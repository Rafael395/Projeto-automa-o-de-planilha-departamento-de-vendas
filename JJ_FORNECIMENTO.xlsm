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26c9438ad18f5d8/Documents/"/>
    </mc:Choice>
  </mc:AlternateContent>
  <xr:revisionPtr revIDLastSave="368" documentId="8_{9447E1A0-8A69-4E94-AC06-B25981949F14}" xr6:coauthVersionLast="47" xr6:coauthVersionMax="47" xr10:uidLastSave="{7577E26C-4E8C-468E-AA0E-67DC0B38EBFE}"/>
  <bookViews>
    <workbookView xWindow="-108" yWindow="-108" windowWidth="23256" windowHeight="12456" xr2:uid="{63805412-C38A-45F8-9105-89878AB798BF}"/>
  </bookViews>
  <sheets>
    <sheet name="Menus" sheetId="9" r:id="rId1"/>
    <sheet name="Vendas" sheetId="1" r:id="rId2"/>
    <sheet name="Agregado Itens" sheetId="8" r:id="rId3"/>
    <sheet name="Vendedores" sheetId="2" r:id="rId4"/>
    <sheet name="FM" sheetId="3" r:id="rId5"/>
    <sheet name="AHD" sheetId="4" r:id="rId6"/>
    <sheet name="CM" sheetId="5" r:id="rId7"/>
    <sheet name="AB" sheetId="6" r:id="rId8"/>
    <sheet name="SC" sheetId="7" r:id="rId9"/>
    <sheet name="Tabelas Auxiliares" sheetId="10" state="hidden" r:id="rId10"/>
  </sheets>
  <definedNames>
    <definedName name="_xlnm._FilterDatabase" localSheetId="1" hidden="1">Vendas!$B$2:$G$2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18" i="2" l="1"/>
  <c r="N18" i="2"/>
  <c r="M18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H6006" i="1"/>
  <c r="I6006" i="1" s="1"/>
  <c r="J6006" i="1" s="1"/>
  <c r="K6006" i="1" s="1"/>
  <c r="L6006" i="1" s="1"/>
  <c r="E6006" i="1"/>
  <c r="C6006" i="1"/>
  <c r="B6006" i="1"/>
  <c r="J18" i="2"/>
  <c r="I18" i="2"/>
  <c r="D18" i="2"/>
  <c r="H3135" i="1"/>
  <c r="I3135" i="1" s="1"/>
  <c r="J3135" i="1" s="1"/>
  <c r="K3135" i="1" s="1"/>
  <c r="L3135" i="1" s="1"/>
  <c r="E3135" i="1"/>
  <c r="C3135" i="1"/>
  <c r="B3135" i="1"/>
  <c r="H2662" i="1"/>
  <c r="I2662" i="1" s="1"/>
  <c r="J2662" i="1" s="1"/>
  <c r="K2662" i="1" s="1"/>
  <c r="L2662" i="1" s="1"/>
  <c r="E2662" i="1"/>
  <c r="C2662" i="1"/>
  <c r="B2662" i="1"/>
  <c r="H2661" i="1"/>
  <c r="I2661" i="1" s="1"/>
  <c r="J2661" i="1" s="1"/>
  <c r="K2661" i="1" s="1"/>
  <c r="L2661" i="1" s="1"/>
  <c r="E2661" i="1"/>
  <c r="C2661" i="1"/>
  <c r="B266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3" i="1"/>
  <c r="B11" i="9"/>
  <c r="E15" i="9"/>
  <c r="B15" i="9"/>
  <c r="E11" i="9"/>
  <c r="E14" i="9"/>
  <c r="B14" i="9"/>
  <c r="B13" i="9"/>
  <c r="E13" i="9"/>
  <c r="C2" i="10" a="1"/>
  <c r="C2" i="10" s="1"/>
  <c r="E3" i="9"/>
  <c r="E2" i="9"/>
  <c r="E4" i="9"/>
  <c r="B4" i="9"/>
  <c r="A2" i="10" a="1"/>
  <c r="A2" i="10" s="1"/>
  <c r="B19" i="8"/>
  <c r="B20" i="8"/>
  <c r="B21" i="8"/>
  <c r="B22" i="8"/>
  <c r="B9" i="8"/>
  <c r="B10" i="8"/>
  <c r="B11" i="8"/>
  <c r="E3828" i="1" s="1"/>
  <c r="B12" i="8"/>
  <c r="E742" i="1" s="1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C9" i="8"/>
  <c r="D9" i="8"/>
  <c r="F9" i="8" s="1"/>
  <c r="G9" i="8" s="1"/>
  <c r="E9" i="8"/>
  <c r="H6004" i="1" s="1"/>
  <c r="I6004" i="1" s="1"/>
  <c r="C10" i="8"/>
  <c r="D10" i="8"/>
  <c r="E10" i="8"/>
  <c r="C11" i="8"/>
  <c r="D11" i="8"/>
  <c r="E11" i="8"/>
  <c r="C12" i="8"/>
  <c r="D12" i="8"/>
  <c r="E12" i="8"/>
  <c r="E8" i="8"/>
  <c r="D8" i="8"/>
  <c r="C8" i="8"/>
  <c r="B8" i="8"/>
  <c r="E1665" i="1" s="1"/>
  <c r="B4" i="8"/>
  <c r="E3761" i="1" s="1"/>
  <c r="C4" i="8"/>
  <c r="D4" i="8"/>
  <c r="E4" i="8"/>
  <c r="B5" i="8"/>
  <c r="C5" i="8"/>
  <c r="D5" i="8"/>
  <c r="E5" i="8"/>
  <c r="B6" i="8"/>
  <c r="C6" i="8"/>
  <c r="D6" i="8"/>
  <c r="E6" i="8"/>
  <c r="B7" i="8"/>
  <c r="C7" i="8"/>
  <c r="D7" i="8"/>
  <c r="E7" i="8"/>
  <c r="E3" i="8"/>
  <c r="D3" i="8"/>
  <c r="C3" i="8"/>
  <c r="B3" i="8"/>
  <c r="B24" i="8"/>
  <c r="C24" i="8"/>
  <c r="D24" i="8"/>
  <c r="E24" i="8"/>
  <c r="B25" i="8"/>
  <c r="C25" i="8"/>
  <c r="D25" i="8"/>
  <c r="E25" i="8"/>
  <c r="H3715" i="1" s="1"/>
  <c r="I3715" i="1" s="1"/>
  <c r="B26" i="8"/>
  <c r="C26" i="8"/>
  <c r="D26" i="8"/>
  <c r="E26" i="8"/>
  <c r="B27" i="8"/>
  <c r="C27" i="8"/>
  <c r="D27" i="8"/>
  <c r="E27" i="8"/>
  <c r="H3694" i="1" s="1"/>
  <c r="I3694" i="1" s="1"/>
  <c r="F23" i="8"/>
  <c r="E23" i="8"/>
  <c r="D23" i="8"/>
  <c r="C23" i="8"/>
  <c r="C19" i="8"/>
  <c r="D19" i="8"/>
  <c r="E19" i="8"/>
  <c r="H3163" i="1" s="1"/>
  <c r="I3163" i="1" s="1"/>
  <c r="C20" i="8"/>
  <c r="D20" i="8"/>
  <c r="E20" i="8"/>
  <c r="H4519" i="1" s="1"/>
  <c r="I4519" i="1" s="1"/>
  <c r="J4519" i="1" s="1"/>
  <c r="C21" i="8"/>
  <c r="D21" i="8"/>
  <c r="E21" i="8"/>
  <c r="C22" i="8"/>
  <c r="D22" i="8"/>
  <c r="E22" i="8"/>
  <c r="H3470" i="1" s="1"/>
  <c r="I3470" i="1" s="1"/>
  <c r="E18" i="8"/>
  <c r="F18" i="8" s="1"/>
  <c r="D18" i="8"/>
  <c r="C18" i="8"/>
  <c r="B18" i="8"/>
  <c r="B14" i="8"/>
  <c r="C14" i="8"/>
  <c r="D14" i="8"/>
  <c r="E14" i="8"/>
  <c r="B15" i="8"/>
  <c r="C15" i="8"/>
  <c r="D15" i="8"/>
  <c r="E15" i="8"/>
  <c r="B16" i="8"/>
  <c r="E3389" i="1" s="1"/>
  <c r="C16" i="8"/>
  <c r="D16" i="8"/>
  <c r="E16" i="8"/>
  <c r="B17" i="8"/>
  <c r="C17" i="8"/>
  <c r="D17" i="8"/>
  <c r="E17" i="8"/>
  <c r="E13" i="8"/>
  <c r="D13" i="8"/>
  <c r="C13" i="8"/>
  <c r="B13" i="8"/>
  <c r="E5737" i="1" s="1"/>
  <c r="B23" i="8"/>
  <c r="J7" i="2"/>
  <c r="J14" i="2"/>
  <c r="J4" i="2"/>
  <c r="J10" i="2"/>
  <c r="J6" i="2"/>
  <c r="J16" i="2"/>
  <c r="J8" i="2"/>
  <c r="J13" i="2"/>
  <c r="J5" i="2"/>
  <c r="J12" i="2"/>
  <c r="J9" i="2"/>
  <c r="J17" i="2"/>
  <c r="J11" i="2"/>
  <c r="J15" i="2"/>
  <c r="J3" i="2"/>
  <c r="G3" i="7"/>
  <c r="H4083" i="1"/>
  <c r="I4083" i="1" s="1"/>
  <c r="J4083" i="1" s="1"/>
  <c r="H4549" i="1"/>
  <c r="I4549" i="1" s="1"/>
  <c r="J4549" i="1" s="1"/>
  <c r="H3359" i="1"/>
  <c r="I3359" i="1" s="1"/>
  <c r="J3359" i="1" s="1"/>
  <c r="H486" i="1"/>
  <c r="I486" i="1" s="1"/>
  <c r="J486" i="1" s="1"/>
  <c r="H4055" i="1"/>
  <c r="I4055" i="1" s="1"/>
  <c r="J4055" i="1" s="1"/>
  <c r="H1271" i="1"/>
  <c r="I1271" i="1" s="1"/>
  <c r="H1872" i="1"/>
  <c r="I1872" i="1" s="1"/>
  <c r="H2400" i="1"/>
  <c r="I2400" i="1" s="1"/>
  <c r="H2154" i="1"/>
  <c r="I2154" i="1" s="1"/>
  <c r="J2154" i="1" s="1"/>
  <c r="H3633" i="1"/>
  <c r="I3633" i="1" s="1"/>
  <c r="J3633" i="1" s="1"/>
  <c r="H1476" i="1"/>
  <c r="I1476" i="1" s="1"/>
  <c r="H4000" i="1"/>
  <c r="I4000" i="1" s="1"/>
  <c r="H3888" i="1"/>
  <c r="I3888" i="1" s="1"/>
  <c r="J3888" i="1" s="1"/>
  <c r="H1014" i="1"/>
  <c r="I1014" i="1" s="1"/>
  <c r="J1014" i="1" s="1"/>
  <c r="H2773" i="1"/>
  <c r="I2773" i="1" s="1"/>
  <c r="H3963" i="1"/>
  <c r="I3963" i="1" s="1"/>
  <c r="H786" i="1"/>
  <c r="I786" i="1" s="1"/>
  <c r="J786" i="1" s="1"/>
  <c r="H2720" i="1"/>
  <c r="I2720" i="1" s="1"/>
  <c r="J2720" i="1" s="1"/>
  <c r="H5187" i="1"/>
  <c r="I5187" i="1" s="1"/>
  <c r="J5187" i="1" s="1"/>
  <c r="H3933" i="1"/>
  <c r="I3933" i="1" s="1"/>
  <c r="H844" i="1"/>
  <c r="I844" i="1" s="1"/>
  <c r="H5220" i="1"/>
  <c r="I5220" i="1" s="1"/>
  <c r="H5372" i="1"/>
  <c r="I5372" i="1" s="1"/>
  <c r="H5471" i="1"/>
  <c r="I5471" i="1" s="1"/>
  <c r="J5471" i="1" s="1"/>
  <c r="K5471" i="1" s="1"/>
  <c r="L5471" i="1" s="1"/>
  <c r="H5160" i="1"/>
  <c r="I5160" i="1" s="1"/>
  <c r="J5160" i="1" s="1"/>
  <c r="H3783" i="1"/>
  <c r="I3783" i="1" s="1"/>
  <c r="J3783" i="1" s="1"/>
  <c r="H4356" i="1"/>
  <c r="I4356" i="1" s="1"/>
  <c r="J4356" i="1" s="1"/>
  <c r="K4356" i="1" s="1"/>
  <c r="L4356" i="1" s="1"/>
  <c r="H4419" i="1"/>
  <c r="I4419" i="1" s="1"/>
  <c r="H5481" i="1"/>
  <c r="I5481" i="1" s="1"/>
  <c r="J5481" i="1" s="1"/>
  <c r="H4233" i="1"/>
  <c r="I4233" i="1" s="1"/>
  <c r="J4233" i="1" s="1"/>
  <c r="H4076" i="1"/>
  <c r="I4076" i="1" s="1"/>
  <c r="J4076" i="1" s="1"/>
  <c r="H479" i="1"/>
  <c r="I479" i="1" s="1"/>
  <c r="J479" i="1" s="1"/>
  <c r="H4592" i="1"/>
  <c r="I4592" i="1" s="1"/>
  <c r="H5444" i="1"/>
  <c r="I5444" i="1" s="1"/>
  <c r="J5444" i="1" s="1"/>
  <c r="K5444" i="1" s="1"/>
  <c r="L5444" i="1" s="1"/>
  <c r="H910" i="1"/>
  <c r="I910" i="1" s="1"/>
  <c r="H3864" i="1"/>
  <c r="I3864" i="1" s="1"/>
  <c r="H1132" i="1"/>
  <c r="I1132" i="1" s="1"/>
  <c r="J1132" i="1" s="1"/>
  <c r="H3274" i="1"/>
  <c r="I3274" i="1" s="1"/>
  <c r="J3274" i="1" s="1"/>
  <c r="H4474" i="1"/>
  <c r="I4474" i="1" s="1"/>
  <c r="J4474" i="1" s="1"/>
  <c r="H1783" i="1"/>
  <c r="I1783" i="1" s="1"/>
  <c r="H3493" i="1"/>
  <c r="I3493" i="1" s="1"/>
  <c r="J3493" i="1" s="1"/>
  <c r="H1473" i="1"/>
  <c r="I1473" i="1" s="1"/>
  <c r="J1473" i="1" s="1"/>
  <c r="H1730" i="1"/>
  <c r="I1730" i="1" s="1"/>
  <c r="J1730" i="1" s="1"/>
  <c r="H1692" i="1"/>
  <c r="I1692" i="1" s="1"/>
  <c r="J1692" i="1" s="1"/>
  <c r="H3612" i="1"/>
  <c r="I3612" i="1" s="1"/>
  <c r="H3728" i="1"/>
  <c r="I3728" i="1" s="1"/>
  <c r="J3728" i="1" s="1"/>
  <c r="H5042" i="1"/>
  <c r="I5042" i="1" s="1"/>
  <c r="J5042" i="1" s="1"/>
  <c r="K5042" i="1" s="1"/>
  <c r="L5042" i="1" s="1"/>
  <c r="H1826" i="1"/>
  <c r="I1826" i="1" s="1"/>
  <c r="J1826" i="1" s="1"/>
  <c r="H4692" i="1"/>
  <c r="I4692" i="1" s="1"/>
  <c r="J4692" i="1" s="1"/>
  <c r="H4858" i="1"/>
  <c r="I4858" i="1" s="1"/>
  <c r="H2297" i="1"/>
  <c r="I2297" i="1" s="1"/>
  <c r="J2297" i="1" s="1"/>
  <c r="H4263" i="1"/>
  <c r="I4263" i="1" s="1"/>
  <c r="J4263" i="1" s="1"/>
  <c r="H3758" i="1"/>
  <c r="I3758" i="1" s="1"/>
  <c r="J3758" i="1" s="1"/>
  <c r="H5542" i="1"/>
  <c r="I5542" i="1" s="1"/>
  <c r="J5542" i="1" s="1"/>
  <c r="H5650" i="1"/>
  <c r="I5650" i="1" s="1"/>
  <c r="H965" i="1"/>
  <c r="I965" i="1" s="1"/>
  <c r="H5408" i="1"/>
  <c r="I5408" i="1" s="1"/>
  <c r="J5408" i="1" s="1"/>
  <c r="K5408" i="1" s="1"/>
  <c r="L5408" i="1" s="1"/>
  <c r="H4940" i="1"/>
  <c r="I4940" i="1" s="1"/>
  <c r="J4940" i="1" s="1"/>
  <c r="K4940" i="1" s="1"/>
  <c r="L4940" i="1" s="1"/>
  <c r="H3417" i="1"/>
  <c r="I3417" i="1" s="1"/>
  <c r="H4558" i="1"/>
  <c r="I4558" i="1" s="1"/>
  <c r="J4558" i="1" s="1"/>
  <c r="H4536" i="1"/>
  <c r="I4536" i="1" s="1"/>
  <c r="J4536" i="1" s="1"/>
  <c r="H4327" i="1"/>
  <c r="I4327" i="1" s="1"/>
  <c r="J4327" i="1" s="1"/>
  <c r="H5764" i="1"/>
  <c r="I5764" i="1" s="1"/>
  <c r="J5764" i="1" s="1"/>
  <c r="K5764" i="1" s="1"/>
  <c r="L5764" i="1" s="1"/>
  <c r="H1425" i="1"/>
  <c r="I1425" i="1" s="1"/>
  <c r="J1425" i="1" s="1"/>
  <c r="H3033" i="1"/>
  <c r="I3033" i="1" s="1"/>
  <c r="J3033" i="1" s="1"/>
  <c r="H4168" i="1"/>
  <c r="I4168" i="1" s="1"/>
  <c r="J4168" i="1" s="1"/>
  <c r="H1717" i="1"/>
  <c r="I1717" i="1" s="1"/>
  <c r="H4072" i="1"/>
  <c r="I4072" i="1" s="1"/>
  <c r="H1589" i="1"/>
  <c r="I1589" i="1" s="1"/>
  <c r="H3347" i="1"/>
  <c r="I3347" i="1" s="1"/>
  <c r="J3347" i="1" s="1"/>
  <c r="H3672" i="1"/>
  <c r="I3672" i="1" s="1"/>
  <c r="H3303" i="1"/>
  <c r="I3303" i="1" s="1"/>
  <c r="H717" i="1"/>
  <c r="I717" i="1" s="1"/>
  <c r="J717" i="1" s="1"/>
  <c r="H4883" i="1"/>
  <c r="I4883" i="1" s="1"/>
  <c r="J4883" i="1" s="1"/>
  <c r="H5464" i="1"/>
  <c r="I5464" i="1" s="1"/>
  <c r="J5464" i="1" s="1"/>
  <c r="H3929" i="1"/>
  <c r="I3929" i="1" s="1"/>
  <c r="H5205" i="1"/>
  <c r="I5205" i="1" s="1"/>
  <c r="H5114" i="1"/>
  <c r="I5114" i="1" s="1"/>
  <c r="H4416" i="1"/>
  <c r="I4416" i="1" s="1"/>
  <c r="J4416" i="1" s="1"/>
  <c r="H1802" i="1"/>
  <c r="I1802" i="1" s="1"/>
  <c r="H5989" i="1"/>
  <c r="I5989" i="1" s="1"/>
  <c r="J5989" i="1" s="1"/>
  <c r="K5989" i="1" s="1"/>
  <c r="L5989" i="1" s="1"/>
  <c r="H1194" i="1"/>
  <c r="I1194" i="1" s="1"/>
  <c r="J1194" i="1" s="1"/>
  <c r="H1739" i="1"/>
  <c r="I1739" i="1" s="1"/>
  <c r="J1739" i="1" s="1"/>
  <c r="H5313" i="1"/>
  <c r="I5313" i="1" s="1"/>
  <c r="H3437" i="1"/>
  <c r="I3437" i="1" s="1"/>
  <c r="J3437" i="1" s="1"/>
  <c r="H5795" i="1"/>
  <c r="I5795" i="1" s="1"/>
  <c r="J5795" i="1" s="1"/>
  <c r="H1164" i="1"/>
  <c r="I1164" i="1" s="1"/>
  <c r="H4245" i="1"/>
  <c r="I4245" i="1" s="1"/>
  <c r="H5356" i="1"/>
  <c r="I5356" i="1" s="1"/>
  <c r="J5356" i="1" s="1"/>
  <c r="H3726" i="1"/>
  <c r="I3726" i="1" s="1"/>
  <c r="J3726" i="1" s="1"/>
  <c r="H5773" i="1"/>
  <c r="I5773" i="1" s="1"/>
  <c r="J5773" i="1" s="1"/>
  <c r="H3984" i="1"/>
  <c r="I3984" i="1" s="1"/>
  <c r="J3984" i="1" s="1"/>
  <c r="H2690" i="1"/>
  <c r="I2690" i="1" s="1"/>
  <c r="H3976" i="1"/>
  <c r="I3976" i="1" s="1"/>
  <c r="H5115" i="1"/>
  <c r="I5115" i="1" s="1"/>
  <c r="H5051" i="1"/>
  <c r="I5051" i="1" s="1"/>
  <c r="H1152" i="1"/>
  <c r="I1152" i="1" s="1"/>
  <c r="H3831" i="1"/>
  <c r="I3831" i="1" s="1"/>
  <c r="J3831" i="1" s="1"/>
  <c r="H5376" i="1"/>
  <c r="I5376" i="1" s="1"/>
  <c r="J5376" i="1" s="1"/>
  <c r="H2502" i="1"/>
  <c r="I2502" i="1" s="1"/>
  <c r="J2502" i="1" s="1"/>
  <c r="H489" i="1"/>
  <c r="I489" i="1" s="1"/>
  <c r="J489" i="1" s="1"/>
  <c r="H1664" i="1"/>
  <c r="I1664" i="1" s="1"/>
  <c r="H4658" i="1"/>
  <c r="I4658" i="1" s="1"/>
  <c r="H5405" i="1"/>
  <c r="I5405" i="1" s="1"/>
  <c r="H4403" i="1"/>
  <c r="I4403" i="1" s="1"/>
  <c r="J4403" i="1" s="1"/>
  <c r="K4403" i="1" s="1"/>
  <c r="L4403" i="1" s="1"/>
  <c r="H340" i="1"/>
  <c r="I340" i="1" s="1"/>
  <c r="J340" i="1" s="1"/>
  <c r="H3591" i="1"/>
  <c r="I3591" i="1" s="1"/>
  <c r="J3591" i="1" s="1"/>
  <c r="H3138" i="1"/>
  <c r="I3138" i="1" s="1"/>
  <c r="J3138" i="1" s="1"/>
  <c r="H4174" i="1"/>
  <c r="I4174" i="1" s="1"/>
  <c r="H5247" i="1"/>
  <c r="I5247" i="1" s="1"/>
  <c r="H5786" i="1"/>
  <c r="I5786" i="1" s="1"/>
  <c r="H5806" i="1"/>
  <c r="I5806" i="1" s="1"/>
  <c r="H2634" i="1"/>
  <c r="I2634" i="1" s="1"/>
  <c r="J2634" i="1" s="1"/>
  <c r="H3381" i="1"/>
  <c r="I3381" i="1" s="1"/>
  <c r="J3381" i="1" s="1"/>
  <c r="H5459" i="1"/>
  <c r="I5459" i="1" s="1"/>
  <c r="J5459" i="1" s="1"/>
  <c r="K5459" i="1" s="1"/>
  <c r="L5459" i="1" s="1"/>
  <c r="H3661" i="1"/>
  <c r="I3661" i="1" s="1"/>
  <c r="J3661" i="1" s="1"/>
  <c r="H3012" i="1"/>
  <c r="I3012" i="1" s="1"/>
  <c r="J3012" i="1" s="1"/>
  <c r="H698" i="1"/>
  <c r="I698" i="1" s="1"/>
  <c r="H5129" i="1"/>
  <c r="I5129" i="1" s="1"/>
  <c r="J5129" i="1" s="1"/>
  <c r="H3589" i="1"/>
  <c r="I3589" i="1" s="1"/>
  <c r="J3589" i="1" s="1"/>
  <c r="H5631" i="1"/>
  <c r="I5631" i="1" s="1"/>
  <c r="J5631" i="1" s="1"/>
  <c r="K5631" i="1" s="1"/>
  <c r="L5631" i="1" s="1"/>
  <c r="H2506" i="1"/>
  <c r="I2506" i="1" s="1"/>
  <c r="J2506" i="1" s="1"/>
  <c r="H595" i="1"/>
  <c r="I595" i="1" s="1"/>
  <c r="H3569" i="1"/>
  <c r="I3569" i="1" s="1"/>
  <c r="H3857" i="1"/>
  <c r="I3857" i="1" s="1"/>
  <c r="H3786" i="1"/>
  <c r="I3786" i="1" s="1"/>
  <c r="J3786" i="1" s="1"/>
  <c r="H4682" i="1"/>
  <c r="I4682" i="1" s="1"/>
  <c r="J4682" i="1" s="1"/>
  <c r="H5506" i="1"/>
  <c r="I5506" i="1" s="1"/>
  <c r="J5506" i="1" s="1"/>
  <c r="H1373" i="1"/>
  <c r="I1373" i="1" s="1"/>
  <c r="J1373" i="1" s="1"/>
  <c r="H2219" i="1"/>
  <c r="I2219" i="1" s="1"/>
  <c r="H3587" i="1"/>
  <c r="I3587" i="1" s="1"/>
  <c r="H3409" i="1"/>
  <c r="I3409" i="1" s="1"/>
  <c r="H4900" i="1"/>
  <c r="I4900" i="1" s="1"/>
  <c r="H867" i="1"/>
  <c r="I867" i="1" s="1"/>
  <c r="J867" i="1" s="1"/>
  <c r="H2254" i="1"/>
  <c r="I2254" i="1" s="1"/>
  <c r="J2254" i="1" s="1"/>
  <c r="H3561" i="1"/>
  <c r="I3561" i="1" s="1"/>
  <c r="J3561" i="1" s="1"/>
  <c r="H1790" i="1"/>
  <c r="I1790" i="1" s="1"/>
  <c r="J1790" i="1" s="1"/>
  <c r="H3078" i="1"/>
  <c r="I3078" i="1" s="1"/>
  <c r="H3273" i="1"/>
  <c r="I3273" i="1" s="1"/>
  <c r="H1882" i="1"/>
  <c r="I1882" i="1" s="1"/>
  <c r="H2888" i="1"/>
  <c r="I2888" i="1" s="1"/>
  <c r="H3810" i="1"/>
  <c r="I3810" i="1" s="1"/>
  <c r="H1255" i="1"/>
  <c r="I1255" i="1" s="1"/>
  <c r="J1255" i="1" s="1"/>
  <c r="H3818" i="1"/>
  <c r="I3818" i="1" s="1"/>
  <c r="J3818" i="1" s="1"/>
  <c r="H1893" i="1"/>
  <c r="I1893" i="1" s="1"/>
  <c r="J1893" i="1" s="1"/>
  <c r="H2019" i="1"/>
  <c r="I2019" i="1" s="1"/>
  <c r="J2019" i="1" s="1"/>
  <c r="H1298" i="1"/>
  <c r="I1298" i="1" s="1"/>
  <c r="J1298" i="1" s="1"/>
  <c r="H1161" i="1"/>
  <c r="I1161" i="1" s="1"/>
  <c r="H2909" i="1"/>
  <c r="I2909" i="1" s="1"/>
  <c r="H1264" i="1"/>
  <c r="I1264" i="1" s="1"/>
  <c r="H3823" i="1"/>
  <c r="I3823" i="1" s="1"/>
  <c r="H3524" i="1"/>
  <c r="I3524" i="1" s="1"/>
  <c r="J3524" i="1" s="1"/>
  <c r="H1585" i="1"/>
  <c r="I1585" i="1" s="1"/>
  <c r="J1585" i="1" s="1"/>
  <c r="H3622" i="1"/>
  <c r="I3622" i="1" s="1"/>
  <c r="J3622" i="1" s="1"/>
  <c r="H3191" i="1"/>
  <c r="I3191" i="1" s="1"/>
  <c r="J3191" i="1" s="1"/>
  <c r="H3618" i="1"/>
  <c r="I3618" i="1" s="1"/>
  <c r="H3319" i="1"/>
  <c r="I3319" i="1" s="1"/>
  <c r="J3319" i="1" s="1"/>
  <c r="H1547" i="1"/>
  <c r="I1547" i="1" s="1"/>
  <c r="H2100" i="1"/>
  <c r="I2100" i="1" s="1"/>
  <c r="J2100" i="1" s="1"/>
  <c r="H3856" i="1"/>
  <c r="I3856" i="1" s="1"/>
  <c r="J3856" i="1" s="1"/>
  <c r="H4677" i="1"/>
  <c r="I4677" i="1" s="1"/>
  <c r="J4677" i="1" s="1"/>
  <c r="K4677" i="1" s="1"/>
  <c r="L4677" i="1" s="1"/>
  <c r="H5473" i="1"/>
  <c r="I5473" i="1" s="1"/>
  <c r="J5473" i="1" s="1"/>
  <c r="K5473" i="1" s="1"/>
  <c r="L5473" i="1" s="1"/>
  <c r="H4248" i="1"/>
  <c r="I4248" i="1" s="1"/>
  <c r="J4248" i="1" s="1"/>
  <c r="H2094" i="1"/>
  <c r="I2094" i="1" s="1"/>
  <c r="H3277" i="1"/>
  <c r="I3277" i="1" s="1"/>
  <c r="J3277" i="1" s="1"/>
  <c r="H904" i="1"/>
  <c r="I904" i="1" s="1"/>
  <c r="J904" i="1" s="1"/>
  <c r="H4875" i="1"/>
  <c r="I4875" i="1" s="1"/>
  <c r="H2898" i="1"/>
  <c r="I2898" i="1" s="1"/>
  <c r="H5309" i="1"/>
  <c r="I5309" i="1" s="1"/>
  <c r="H3487" i="1"/>
  <c r="I3487" i="1" s="1"/>
  <c r="H4250" i="1"/>
  <c r="I4250" i="1" s="1"/>
  <c r="J4250" i="1" s="1"/>
  <c r="H1439" i="1"/>
  <c r="I1439" i="1" s="1"/>
  <c r="J1439" i="1" s="1"/>
  <c r="H2854" i="1"/>
  <c r="I2854" i="1" s="1"/>
  <c r="J2854" i="1" s="1"/>
  <c r="H4123" i="1"/>
  <c r="I4123" i="1" s="1"/>
  <c r="J4123" i="1" s="1"/>
  <c r="H4207" i="1"/>
  <c r="I4207" i="1" s="1"/>
  <c r="J4207" i="1" s="1"/>
  <c r="H2012" i="1"/>
  <c r="I2012" i="1" s="1"/>
  <c r="H5447" i="1"/>
  <c r="I5447" i="1" s="1"/>
  <c r="J5447" i="1" s="1"/>
  <c r="H1766" i="1"/>
  <c r="I1766" i="1" s="1"/>
  <c r="J1766" i="1" s="1"/>
  <c r="H4293" i="1"/>
  <c r="I4293" i="1" s="1"/>
  <c r="H2324" i="1"/>
  <c r="I2324" i="1" s="1"/>
  <c r="H2210" i="1"/>
  <c r="I2210" i="1" s="1"/>
  <c r="J2210" i="1" s="1"/>
  <c r="H4141" i="1"/>
  <c r="I4141" i="1" s="1"/>
  <c r="J4141" i="1" s="1"/>
  <c r="H1059" i="1"/>
  <c r="I1059" i="1" s="1"/>
  <c r="J1059" i="1" s="1"/>
  <c r="H3673" i="1"/>
  <c r="I3673" i="1" s="1"/>
  <c r="H3391" i="1"/>
  <c r="I3391" i="1" s="1"/>
  <c r="J3391" i="1" s="1"/>
  <c r="H4848" i="1"/>
  <c r="I4848" i="1" s="1"/>
  <c r="J4848" i="1" s="1"/>
  <c r="H4130" i="1"/>
  <c r="I4130" i="1" s="1"/>
  <c r="J4130" i="1" s="1"/>
  <c r="H4614" i="1"/>
  <c r="I4614" i="1" s="1"/>
  <c r="J4614" i="1" s="1"/>
  <c r="H3320" i="1"/>
  <c r="I3320" i="1" s="1"/>
  <c r="J3320" i="1" s="1"/>
  <c r="H5509" i="1"/>
  <c r="I5509" i="1" s="1"/>
  <c r="J5509" i="1" s="1"/>
  <c r="K5509" i="1" s="1"/>
  <c r="L5509" i="1" s="1"/>
  <c r="H5399" i="1"/>
  <c r="I5399" i="1" s="1"/>
  <c r="J5399" i="1" s="1"/>
  <c r="K5399" i="1" s="1"/>
  <c r="L5399" i="1" s="1"/>
  <c r="H3194" i="1"/>
  <c r="I3194" i="1" s="1"/>
  <c r="H2709" i="1"/>
  <c r="I2709" i="1" s="1"/>
  <c r="J2709" i="1" s="1"/>
  <c r="H2325" i="1"/>
  <c r="I2325" i="1" s="1"/>
  <c r="J2325" i="1" s="1"/>
  <c r="H3938" i="1"/>
  <c r="I3938" i="1" s="1"/>
  <c r="J3938" i="1" s="1"/>
  <c r="H1237" i="1"/>
  <c r="I1237" i="1" s="1"/>
  <c r="J1237" i="1" s="1"/>
  <c r="H379" i="1"/>
  <c r="I379" i="1" s="1"/>
  <c r="J379" i="1" s="1"/>
  <c r="H2781" i="1"/>
  <c r="I2781" i="1" s="1"/>
  <c r="J2781" i="1" s="1"/>
  <c r="H4230" i="1"/>
  <c r="I4230" i="1" s="1"/>
  <c r="J4230" i="1" s="1"/>
  <c r="H5950" i="1"/>
  <c r="I5950" i="1" s="1"/>
  <c r="J5950" i="1" s="1"/>
  <c r="K5950" i="1" s="1"/>
  <c r="L5950" i="1" s="1"/>
  <c r="H874" i="1"/>
  <c r="I874" i="1" s="1"/>
  <c r="J874" i="1" s="1"/>
  <c r="H1636" i="1"/>
  <c r="I1636" i="1" s="1"/>
  <c r="H1331" i="1"/>
  <c r="I1331" i="1" s="1"/>
  <c r="J1331" i="1" s="1"/>
  <c r="H3235" i="1"/>
  <c r="I3235" i="1" s="1"/>
  <c r="J3235" i="1" s="1"/>
  <c r="H3037" i="1"/>
  <c r="I3037" i="1" s="1"/>
  <c r="J3037" i="1" s="1"/>
  <c r="H2282" i="1"/>
  <c r="I2282" i="1" s="1"/>
  <c r="H4943" i="1"/>
  <c r="I4943" i="1" s="1"/>
  <c r="H2127" i="1"/>
  <c r="I2127" i="1" s="1"/>
  <c r="J2127" i="1" s="1"/>
  <c r="H1227" i="1"/>
  <c r="I1227" i="1" s="1"/>
  <c r="J1227" i="1" s="1"/>
  <c r="H2432" i="1"/>
  <c r="I2432" i="1" s="1"/>
  <c r="J2432" i="1" s="1"/>
  <c r="H3958" i="1"/>
  <c r="I3958" i="1" s="1"/>
  <c r="J3958" i="1" s="1"/>
  <c r="H4716" i="1"/>
  <c r="I4716" i="1" s="1"/>
  <c r="J4716" i="1" s="1"/>
  <c r="H4022" i="1"/>
  <c r="I4022" i="1" s="1"/>
  <c r="J4022" i="1" s="1"/>
  <c r="H1144" i="1"/>
  <c r="I1144" i="1" s="1"/>
  <c r="J1144" i="1" s="1"/>
  <c r="H5561" i="1"/>
  <c r="I5561" i="1" s="1"/>
  <c r="H5665" i="1"/>
  <c r="I5665" i="1" s="1"/>
  <c r="H5888" i="1"/>
  <c r="I5888" i="1" s="1"/>
  <c r="J5888" i="1" s="1"/>
  <c r="H2761" i="1"/>
  <c r="I2761" i="1" s="1"/>
  <c r="J2761" i="1" s="1"/>
  <c r="H2233" i="1"/>
  <c r="I2233" i="1" s="1"/>
  <c r="J2233" i="1" s="1"/>
  <c r="H5076" i="1"/>
  <c r="I5076" i="1" s="1"/>
  <c r="J5076" i="1" s="1"/>
  <c r="K5076" i="1" s="1"/>
  <c r="L5076" i="1" s="1"/>
  <c r="H4102" i="1"/>
  <c r="I4102" i="1" s="1"/>
  <c r="J4102" i="1" s="1"/>
  <c r="H5766" i="1"/>
  <c r="I5766" i="1" s="1"/>
  <c r="H2687" i="1"/>
  <c r="I2687" i="1" s="1"/>
  <c r="J2687" i="1" s="1"/>
  <c r="H5446" i="1"/>
  <c r="I5446" i="1" s="1"/>
  <c r="J5446" i="1" s="1"/>
  <c r="H3620" i="1"/>
  <c r="I3620" i="1" s="1"/>
  <c r="J3620" i="1" s="1"/>
  <c r="H5357" i="1"/>
  <c r="I5357" i="1" s="1"/>
  <c r="J5357" i="1" s="1"/>
  <c r="H4987" i="1"/>
  <c r="I4987" i="1" s="1"/>
  <c r="J4987" i="1" s="1"/>
  <c r="H5443" i="1"/>
  <c r="I5443" i="1" s="1"/>
  <c r="J5443" i="1" s="1"/>
  <c r="H4355" i="1"/>
  <c r="I4355" i="1" s="1"/>
  <c r="J4355" i="1" s="1"/>
  <c r="H2766" i="1"/>
  <c r="I2766" i="1" s="1"/>
  <c r="J2766" i="1" s="1"/>
  <c r="H1528" i="1"/>
  <c r="I1528" i="1" s="1"/>
  <c r="J1528" i="1" s="1"/>
  <c r="H1272" i="1"/>
  <c r="I1272" i="1" s="1"/>
  <c r="J1272" i="1" s="1"/>
  <c r="H391" i="1"/>
  <c r="I391" i="1" s="1"/>
  <c r="J391" i="1" s="1"/>
  <c r="H3901" i="1"/>
  <c r="I3901" i="1" s="1"/>
  <c r="J3901" i="1" s="1"/>
  <c r="H2865" i="1"/>
  <c r="I2865" i="1" s="1"/>
  <c r="J2865" i="1" s="1"/>
  <c r="H5744" i="1"/>
  <c r="I5744" i="1" s="1"/>
  <c r="J5744" i="1" s="1"/>
  <c r="K5744" i="1" s="1"/>
  <c r="L5744" i="1" s="1"/>
  <c r="H2206" i="1"/>
  <c r="I2206" i="1" s="1"/>
  <c r="J2206" i="1" s="1"/>
  <c r="H5787" i="1"/>
  <c r="I5787" i="1" s="1"/>
  <c r="J5787" i="1" s="1"/>
  <c r="H1275" i="1"/>
  <c r="I1275" i="1" s="1"/>
  <c r="J1275" i="1" s="1"/>
  <c r="H3739" i="1"/>
  <c r="I3739" i="1" s="1"/>
  <c r="J3739" i="1" s="1"/>
  <c r="H4867" i="1"/>
  <c r="I4867" i="1" s="1"/>
  <c r="J4867" i="1" s="1"/>
  <c r="H1091" i="1"/>
  <c r="I1091" i="1" s="1"/>
  <c r="J1091" i="1" s="1"/>
  <c r="H3498" i="1"/>
  <c r="I3498" i="1" s="1"/>
  <c r="J3498" i="1" s="1"/>
  <c r="H3481" i="1"/>
  <c r="I3481" i="1" s="1"/>
  <c r="J3481" i="1" s="1"/>
  <c r="H5087" i="1"/>
  <c r="I5087" i="1" s="1"/>
  <c r="J5087" i="1" s="1"/>
  <c r="H5084" i="1"/>
  <c r="I5084" i="1" s="1"/>
  <c r="H4101" i="1"/>
  <c r="I4101" i="1" s="1"/>
  <c r="J4101" i="1" s="1"/>
  <c r="H4797" i="1"/>
  <c r="I4797" i="1" s="1"/>
  <c r="J4797" i="1" s="1"/>
  <c r="H1838" i="1"/>
  <c r="I1838" i="1" s="1"/>
  <c r="J1838" i="1" s="1"/>
  <c r="H937" i="1"/>
  <c r="I937" i="1" s="1"/>
  <c r="H405" i="1"/>
  <c r="I405" i="1" s="1"/>
  <c r="J405" i="1" s="1"/>
  <c r="H3233" i="1"/>
  <c r="I3233" i="1" s="1"/>
  <c r="J3233" i="1" s="1"/>
  <c r="H3586" i="1"/>
  <c r="I3586" i="1" s="1"/>
  <c r="J3586" i="1" s="1"/>
  <c r="H4514" i="1"/>
  <c r="I4514" i="1" s="1"/>
  <c r="J4514" i="1" s="1"/>
  <c r="H3187" i="1"/>
  <c r="I3187" i="1" s="1"/>
  <c r="J3187" i="1" s="1"/>
  <c r="H5082" i="1"/>
  <c r="I5082" i="1" s="1"/>
  <c r="J5082" i="1" s="1"/>
  <c r="H3926" i="1"/>
  <c r="I3926" i="1" s="1"/>
  <c r="J3926" i="1" s="1"/>
  <c r="H1933" i="1"/>
  <c r="I1933" i="1" s="1"/>
  <c r="J1933" i="1" s="1"/>
  <c r="H4240" i="1"/>
  <c r="I4240" i="1" s="1"/>
  <c r="J4240" i="1" s="1"/>
  <c r="H4412" i="1"/>
  <c r="I4412" i="1" s="1"/>
  <c r="J4412" i="1" s="1"/>
  <c r="H359" i="1"/>
  <c r="I359" i="1" s="1"/>
  <c r="J359" i="1" s="1"/>
  <c r="H4929" i="1"/>
  <c r="I4929" i="1" s="1"/>
  <c r="J4929" i="1" s="1"/>
  <c r="H5421" i="1"/>
  <c r="I5421" i="1" s="1"/>
  <c r="J5421" i="1" s="1"/>
  <c r="H3679" i="1"/>
  <c r="I3679" i="1" s="1"/>
  <c r="J3679" i="1" s="1"/>
  <c r="H2329" i="1"/>
  <c r="I2329" i="1" s="1"/>
  <c r="J2329" i="1" s="1"/>
  <c r="H4913" i="1"/>
  <c r="I4913" i="1" s="1"/>
  <c r="J4913" i="1" s="1"/>
  <c r="H3489" i="1"/>
  <c r="I3489" i="1" s="1"/>
  <c r="H4547" i="1"/>
  <c r="I4547" i="1" s="1"/>
  <c r="H4396" i="1"/>
  <c r="I4396" i="1" s="1"/>
  <c r="J4396" i="1" s="1"/>
  <c r="H590" i="1"/>
  <c r="I590" i="1" s="1"/>
  <c r="J590" i="1" s="1"/>
  <c r="H3532" i="1"/>
  <c r="I3532" i="1" s="1"/>
  <c r="J3532" i="1" s="1"/>
  <c r="H5092" i="1"/>
  <c r="I5092" i="1" s="1"/>
  <c r="J5092" i="1" s="1"/>
  <c r="K5092" i="1" s="1"/>
  <c r="L5092" i="1" s="1"/>
  <c r="H4657" i="1"/>
  <c r="I4657" i="1" s="1"/>
  <c r="J4657" i="1" s="1"/>
  <c r="H4235" i="1"/>
  <c r="I4235" i="1" s="1"/>
  <c r="J4235" i="1" s="1"/>
  <c r="H2777" i="1"/>
  <c r="I2777" i="1" s="1"/>
  <c r="J2777" i="1" s="1"/>
  <c r="H4229" i="1"/>
  <c r="I4229" i="1" s="1"/>
  <c r="J4229" i="1" s="1"/>
  <c r="H4107" i="1"/>
  <c r="I4107" i="1" s="1"/>
  <c r="J4107" i="1" s="1"/>
  <c r="H5642" i="1"/>
  <c r="I5642" i="1" s="1"/>
  <c r="J5642" i="1" s="1"/>
  <c r="K5642" i="1" s="1"/>
  <c r="L5642" i="1" s="1"/>
  <c r="H5729" i="1"/>
  <c r="I5729" i="1" s="1"/>
  <c r="J5729" i="1" s="1"/>
  <c r="H1746" i="1"/>
  <c r="I1746" i="1" s="1"/>
  <c r="H5234" i="1"/>
  <c r="I5234" i="1" s="1"/>
  <c r="J5234" i="1" s="1"/>
  <c r="H639" i="1"/>
  <c r="I639" i="1" s="1"/>
  <c r="J639" i="1" s="1"/>
  <c r="H638" i="1"/>
  <c r="I638" i="1" s="1"/>
  <c r="J638" i="1" s="1"/>
  <c r="H5820" i="1"/>
  <c r="I5820" i="1" s="1"/>
  <c r="J5820" i="1" s="1"/>
  <c r="H1458" i="1"/>
  <c r="I1458" i="1" s="1"/>
  <c r="J1458" i="1" s="1"/>
  <c r="H2406" i="1"/>
  <c r="I2406" i="1" s="1"/>
  <c r="J2406" i="1" s="1"/>
  <c r="H1118" i="1"/>
  <c r="I1118" i="1" s="1"/>
  <c r="J1118" i="1" s="1"/>
  <c r="H5516" i="1"/>
  <c r="I5516" i="1" s="1"/>
  <c r="J5516" i="1" s="1"/>
  <c r="H2265" i="1"/>
  <c r="I2265" i="1" s="1"/>
  <c r="H5581" i="1"/>
  <c r="I5581" i="1" s="1"/>
  <c r="J5581" i="1" s="1"/>
  <c r="H722" i="1"/>
  <c r="I722" i="1" s="1"/>
  <c r="H5453" i="1"/>
  <c r="I5453" i="1" s="1"/>
  <c r="J5453" i="1" s="1"/>
  <c r="H4443" i="1"/>
  <c r="I4443" i="1" s="1"/>
  <c r="J4443" i="1" s="1"/>
  <c r="H453" i="1"/>
  <c r="I453" i="1" s="1"/>
  <c r="J453" i="1" s="1"/>
  <c r="H5412" i="1"/>
  <c r="I5412" i="1" s="1"/>
  <c r="J5412" i="1" s="1"/>
  <c r="H4860" i="1"/>
  <c r="I4860" i="1" s="1"/>
  <c r="J4860" i="1" s="1"/>
  <c r="H4456" i="1"/>
  <c r="I4456" i="1" s="1"/>
  <c r="H3397" i="1"/>
  <c r="I3397" i="1" s="1"/>
  <c r="J3397" i="1" s="1"/>
  <c r="H1441" i="1"/>
  <c r="I1441" i="1" s="1"/>
  <c r="J1441" i="1" s="1"/>
  <c r="H3056" i="1"/>
  <c r="I3056" i="1" s="1"/>
  <c r="H1879" i="1"/>
  <c r="I1879" i="1" s="1"/>
  <c r="J1879" i="1" s="1"/>
  <c r="H4118" i="1"/>
  <c r="I4118" i="1" s="1"/>
  <c r="J4118" i="1" s="1"/>
  <c r="H4877" i="1"/>
  <c r="I4877" i="1" s="1"/>
  <c r="J4877" i="1" s="1"/>
  <c r="H4581" i="1"/>
  <c r="I4581" i="1" s="1"/>
  <c r="J4581" i="1" s="1"/>
  <c r="H3771" i="1"/>
  <c r="I3771" i="1" s="1"/>
  <c r="J3771" i="1" s="1"/>
  <c r="H3955" i="1"/>
  <c r="I3955" i="1" s="1"/>
  <c r="J3955" i="1" s="1"/>
  <c r="H740" i="1"/>
  <c r="I740" i="1" s="1"/>
  <c r="H3291" i="1"/>
  <c r="I3291" i="1" s="1"/>
  <c r="J3291" i="1" s="1"/>
  <c r="H1186" i="1"/>
  <c r="I1186" i="1" s="1"/>
  <c r="J1186" i="1" s="1"/>
  <c r="H4071" i="1"/>
  <c r="I4071" i="1" s="1"/>
  <c r="J4071" i="1" s="1"/>
  <c r="H5688" i="1"/>
  <c r="I5688" i="1" s="1"/>
  <c r="J5688" i="1" s="1"/>
  <c r="H2235" i="1"/>
  <c r="I2235" i="1" s="1"/>
  <c r="J2235" i="1" s="1"/>
  <c r="H5392" i="1"/>
  <c r="I5392" i="1" s="1"/>
  <c r="J5392" i="1" s="1"/>
  <c r="H4479" i="1"/>
  <c r="I4479" i="1" s="1"/>
  <c r="J4479" i="1" s="1"/>
  <c r="H3386" i="1"/>
  <c r="I3386" i="1" s="1"/>
  <c r="J3386" i="1" s="1"/>
  <c r="H5882" i="1"/>
  <c r="I5882" i="1" s="1"/>
  <c r="J5882" i="1" s="1"/>
  <c r="H4192" i="1"/>
  <c r="I4192" i="1" s="1"/>
  <c r="J4192" i="1" s="1"/>
  <c r="H3495" i="1"/>
  <c r="I3495" i="1" s="1"/>
  <c r="J3495" i="1" s="1"/>
  <c r="H3227" i="1"/>
  <c r="I3227" i="1" s="1"/>
  <c r="H2262" i="1"/>
  <c r="I2262" i="1" s="1"/>
  <c r="J2262" i="1" s="1"/>
  <c r="H493" i="1"/>
  <c r="I493" i="1" s="1"/>
  <c r="J493" i="1" s="1"/>
  <c r="H4852" i="1"/>
  <c r="I4852" i="1" s="1"/>
  <c r="J4852" i="1" s="1"/>
  <c r="H4782" i="1"/>
  <c r="I4782" i="1" s="1"/>
  <c r="J4782" i="1" s="1"/>
  <c r="H4799" i="1"/>
  <c r="I4799" i="1" s="1"/>
  <c r="J4799" i="1" s="1"/>
  <c r="H3421" i="1"/>
  <c r="I3421" i="1" s="1"/>
  <c r="J3421" i="1" s="1"/>
  <c r="H3335" i="1"/>
  <c r="I3335" i="1" s="1"/>
  <c r="J3335" i="1" s="1"/>
  <c r="H1759" i="1"/>
  <c r="I1759" i="1" s="1"/>
  <c r="J1759" i="1" s="1"/>
  <c r="H3283" i="1"/>
  <c r="I3283" i="1" s="1"/>
  <c r="H3704" i="1"/>
  <c r="I3704" i="1" s="1"/>
  <c r="J3704" i="1" s="1"/>
  <c r="H1226" i="1"/>
  <c r="I1226" i="1" s="1"/>
  <c r="J1226" i="1" s="1"/>
  <c r="H4473" i="1"/>
  <c r="I4473" i="1" s="1"/>
  <c r="J4473" i="1" s="1"/>
  <c r="H5801" i="1"/>
  <c r="I5801" i="1" s="1"/>
  <c r="J5801" i="1" s="1"/>
  <c r="H1287" i="1"/>
  <c r="I1287" i="1" s="1"/>
  <c r="J1287" i="1" s="1"/>
  <c r="H5560" i="1"/>
  <c r="I5560" i="1" s="1"/>
  <c r="J5560" i="1" s="1"/>
  <c r="H4391" i="1"/>
  <c r="I4391" i="1" s="1"/>
  <c r="J4391" i="1" s="1"/>
  <c r="H5533" i="1"/>
  <c r="I5533" i="1" s="1"/>
  <c r="J5533" i="1" s="1"/>
  <c r="H2878" i="1"/>
  <c r="I2878" i="1" s="1"/>
  <c r="J2878" i="1" s="1"/>
  <c r="H3768" i="1"/>
  <c r="I3768" i="1" s="1"/>
  <c r="H5934" i="1"/>
  <c r="I5934" i="1" s="1"/>
  <c r="J5934" i="1" s="1"/>
  <c r="H4764" i="1"/>
  <c r="I4764" i="1" s="1"/>
  <c r="J4764" i="1" s="1"/>
  <c r="H1579" i="1"/>
  <c r="I1579" i="1" s="1"/>
  <c r="J1579" i="1" s="1"/>
  <c r="H3855" i="1"/>
  <c r="I3855" i="1" s="1"/>
  <c r="J3855" i="1" s="1"/>
  <c r="H4766" i="1"/>
  <c r="I4766" i="1" s="1"/>
  <c r="J4766" i="1" s="1"/>
  <c r="H1304" i="1"/>
  <c r="I1304" i="1" s="1"/>
  <c r="H4378" i="1"/>
  <c r="I4378" i="1" s="1"/>
  <c r="J4378" i="1" s="1"/>
  <c r="H3966" i="1"/>
  <c r="I3966" i="1" s="1"/>
  <c r="J3966" i="1" s="1"/>
  <c r="H5268" i="1"/>
  <c r="I5268" i="1" s="1"/>
  <c r="J5268" i="1" s="1"/>
  <c r="K5268" i="1" s="1"/>
  <c r="L5268" i="1" s="1"/>
  <c r="H3759" i="1"/>
  <c r="I3759" i="1" s="1"/>
  <c r="J3759" i="1" s="1"/>
  <c r="H1163" i="1"/>
  <c r="I1163" i="1" s="1"/>
  <c r="J1163" i="1" s="1"/>
  <c r="H3393" i="1"/>
  <c r="I3393" i="1" s="1"/>
  <c r="J3393" i="1" s="1"/>
  <c r="H4030" i="1"/>
  <c r="I4030" i="1" s="1"/>
  <c r="J4030" i="1" s="1"/>
  <c r="H2227" i="1"/>
  <c r="I2227" i="1" s="1"/>
  <c r="J2227" i="1" s="1"/>
  <c r="H5707" i="1"/>
  <c r="I5707" i="1" s="1"/>
  <c r="J5707" i="1" s="1"/>
  <c r="K5707" i="1" s="1"/>
  <c r="L5707" i="1" s="1"/>
  <c r="H5520" i="1"/>
  <c r="I5520" i="1" s="1"/>
  <c r="J5520" i="1" s="1"/>
  <c r="H4596" i="1"/>
  <c r="I4596" i="1" s="1"/>
  <c r="J4596" i="1" s="1"/>
  <c r="H2788" i="1"/>
  <c r="I2788" i="1" s="1"/>
  <c r="J2788" i="1" s="1"/>
  <c r="H3793" i="1"/>
  <c r="I3793" i="1" s="1"/>
  <c r="J3793" i="1" s="1"/>
  <c r="H4778" i="1"/>
  <c r="I4778" i="1" s="1"/>
  <c r="J4778" i="1" s="1"/>
  <c r="H5041" i="1"/>
  <c r="I5041" i="1" s="1"/>
  <c r="J5041" i="1" s="1"/>
  <c r="H3940" i="1"/>
  <c r="I3940" i="1" s="1"/>
  <c r="J3940" i="1" s="1"/>
  <c r="H1130" i="1"/>
  <c r="I1130" i="1" s="1"/>
  <c r="J1130" i="1" s="1"/>
  <c r="H1583" i="1"/>
  <c r="I1583" i="1" s="1"/>
  <c r="J1583" i="1" s="1"/>
  <c r="H2438" i="1"/>
  <c r="I2438" i="1" s="1"/>
  <c r="J2438" i="1" s="1"/>
  <c r="H4364" i="1"/>
  <c r="I4364" i="1" s="1"/>
  <c r="J4364" i="1" s="1"/>
  <c r="H2913" i="1"/>
  <c r="I2913" i="1" s="1"/>
  <c r="J2913" i="1" s="1"/>
  <c r="H4912" i="1"/>
  <c r="I4912" i="1" s="1"/>
  <c r="J4912" i="1" s="1"/>
  <c r="H3714" i="1"/>
  <c r="I3714" i="1" s="1"/>
  <c r="H1048" i="1"/>
  <c r="I1048" i="1" s="1"/>
  <c r="H880" i="1"/>
  <c r="I880" i="1" s="1"/>
  <c r="J880" i="1" s="1"/>
  <c r="H3298" i="1"/>
  <c r="I3298" i="1" s="1"/>
  <c r="J3298" i="1" s="1"/>
  <c r="H5622" i="1"/>
  <c r="I5622" i="1" s="1"/>
  <c r="J5622" i="1" s="1"/>
  <c r="H1963" i="1"/>
  <c r="I1963" i="1" s="1"/>
  <c r="J1963" i="1" s="1"/>
  <c r="H491" i="1"/>
  <c r="I491" i="1" s="1"/>
  <c r="J491" i="1" s="1"/>
  <c r="H5549" i="1"/>
  <c r="I5549" i="1" s="1"/>
  <c r="J5549" i="1" s="1"/>
  <c r="H5233" i="1"/>
  <c r="I5233" i="1" s="1"/>
  <c r="J5233" i="1" s="1"/>
  <c r="H5308" i="1"/>
  <c r="I5308" i="1" s="1"/>
  <c r="J5308" i="1" s="1"/>
  <c r="H1166" i="1"/>
  <c r="I1166" i="1" s="1"/>
  <c r="H4624" i="1"/>
  <c r="I4624" i="1" s="1"/>
  <c r="J4624" i="1" s="1"/>
  <c r="K4624" i="1" s="1"/>
  <c r="L4624" i="1" s="1"/>
  <c r="H3237" i="1"/>
  <c r="I3237" i="1" s="1"/>
  <c r="J3237" i="1" s="1"/>
  <c r="H1820" i="1"/>
  <c r="I1820" i="1" s="1"/>
  <c r="J1820" i="1" s="1"/>
  <c r="H2645" i="1"/>
  <c r="I2645" i="1" s="1"/>
  <c r="J2645" i="1" s="1"/>
  <c r="H5836" i="1"/>
  <c r="I5836" i="1" s="1"/>
  <c r="J5836" i="1" s="1"/>
  <c r="H5969" i="1"/>
  <c r="I5969" i="1" s="1"/>
  <c r="J5969" i="1" s="1"/>
  <c r="H5952" i="1"/>
  <c r="I5952" i="1" s="1"/>
  <c r="J5952" i="1" s="1"/>
  <c r="H4935" i="1"/>
  <c r="I4935" i="1" s="1"/>
  <c r="H3690" i="1"/>
  <c r="I3690" i="1" s="1"/>
  <c r="J3690" i="1" s="1"/>
  <c r="H4228" i="1"/>
  <c r="I4228" i="1" s="1"/>
  <c r="J4228" i="1" s="1"/>
  <c r="H1520" i="1"/>
  <c r="I1520" i="1" s="1"/>
  <c r="J1520" i="1" s="1"/>
  <c r="H3811" i="1"/>
  <c r="I3811" i="1" s="1"/>
  <c r="J3811" i="1" s="1"/>
  <c r="H2625" i="1"/>
  <c r="I2625" i="1" s="1"/>
  <c r="J2625" i="1" s="1"/>
  <c r="H538" i="1"/>
  <c r="I538" i="1" s="1"/>
  <c r="J538" i="1" s="1"/>
  <c r="H5419" i="1"/>
  <c r="I5419" i="1" s="1"/>
  <c r="J5419" i="1" s="1"/>
  <c r="H2135" i="1"/>
  <c r="I2135" i="1" s="1"/>
  <c r="J2135" i="1" s="1"/>
  <c r="H1327" i="1"/>
  <c r="I1327" i="1" s="1"/>
  <c r="J1327" i="1" s="1"/>
  <c r="H5012" i="1"/>
  <c r="I5012" i="1" s="1"/>
  <c r="J5012" i="1" s="1"/>
  <c r="H4957" i="1"/>
  <c r="I4957" i="1" s="1"/>
  <c r="J4957" i="1" s="1"/>
  <c r="H3222" i="1"/>
  <c r="I3222" i="1" s="1"/>
  <c r="J3222" i="1" s="1"/>
  <c r="H3993" i="1"/>
  <c r="I3993" i="1" s="1"/>
  <c r="J3993" i="1" s="1"/>
  <c r="H1251" i="1"/>
  <c r="I1251" i="1" s="1"/>
  <c r="J1251" i="1" s="1"/>
  <c r="H4302" i="1"/>
  <c r="I4302" i="1" s="1"/>
  <c r="J4302" i="1" s="1"/>
  <c r="H406" i="1"/>
  <c r="I406" i="1" s="1"/>
  <c r="J406" i="1" s="1"/>
  <c r="H5159" i="1"/>
  <c r="I5159" i="1" s="1"/>
  <c r="J5159" i="1" s="1"/>
  <c r="H2467" i="1"/>
  <c r="I2467" i="1" s="1"/>
  <c r="J2467" i="1" s="1"/>
  <c r="H2465" i="1"/>
  <c r="I2465" i="1" s="1"/>
  <c r="J2465" i="1" s="1"/>
  <c r="H578" i="1"/>
  <c r="I578" i="1" s="1"/>
  <c r="J578" i="1" s="1"/>
  <c r="H3533" i="1"/>
  <c r="I3533" i="1" s="1"/>
  <c r="J3533" i="1" s="1"/>
  <c r="H1566" i="1"/>
  <c r="I1566" i="1" s="1"/>
  <c r="J1566" i="1" s="1"/>
  <c r="H1453" i="1"/>
  <c r="I1453" i="1" s="1"/>
  <c r="J1453" i="1" s="1"/>
  <c r="H5809" i="1"/>
  <c r="I5809" i="1" s="1"/>
  <c r="J5809" i="1" s="1"/>
  <c r="H3480" i="1"/>
  <c r="I3480" i="1" s="1"/>
  <c r="J3480" i="1" s="1"/>
  <c r="H5763" i="1"/>
  <c r="I5763" i="1" s="1"/>
  <c r="J5763" i="1" s="1"/>
  <c r="K5763" i="1" s="1"/>
  <c r="L5763" i="1" s="1"/>
  <c r="H1090" i="1"/>
  <c r="I1090" i="1" s="1"/>
  <c r="H1198" i="1"/>
  <c r="I1198" i="1" s="1"/>
  <c r="H5902" i="1"/>
  <c r="I5902" i="1" s="1"/>
  <c r="J5902" i="1" s="1"/>
  <c r="H2526" i="1"/>
  <c r="I2526" i="1" s="1"/>
  <c r="H2435" i="1"/>
  <c r="I2435" i="1" s="1"/>
  <c r="J2435" i="1" s="1"/>
  <c r="H3032" i="1"/>
  <c r="I3032" i="1" s="1"/>
  <c r="J3032" i="1" s="1"/>
  <c r="H4493" i="1"/>
  <c r="I4493" i="1" s="1"/>
  <c r="J4493" i="1" s="1"/>
  <c r="H3975" i="1"/>
  <c r="I3975" i="1" s="1"/>
  <c r="H2259" i="1"/>
  <c r="I2259" i="1" s="1"/>
  <c r="H1524" i="1"/>
  <c r="I1524" i="1" s="1"/>
  <c r="J1524" i="1" s="1"/>
  <c r="H4246" i="1"/>
  <c r="I4246" i="1" s="1"/>
  <c r="J4246" i="1" s="1"/>
  <c r="H2742" i="1"/>
  <c r="I2742" i="1" s="1"/>
  <c r="J2742" i="1" s="1"/>
  <c r="H2124" i="1"/>
  <c r="I2124" i="1" s="1"/>
  <c r="H1709" i="1"/>
  <c r="I1709" i="1" s="1"/>
  <c r="J1709" i="1" s="1"/>
  <c r="H5163" i="1"/>
  <c r="I5163" i="1" s="1"/>
  <c r="H5554" i="1"/>
  <c r="I5554" i="1" s="1"/>
  <c r="J5554" i="1" s="1"/>
  <c r="H4124" i="1"/>
  <c r="I4124" i="1" s="1"/>
  <c r="J4124" i="1" s="1"/>
  <c r="H2446" i="1"/>
  <c r="I2446" i="1" s="1"/>
  <c r="J2446" i="1" s="1"/>
  <c r="H3711" i="1"/>
  <c r="I3711" i="1" s="1"/>
  <c r="J3711" i="1" s="1"/>
  <c r="H5318" i="1"/>
  <c r="I5318" i="1" s="1"/>
  <c r="H5711" i="1"/>
  <c r="I5711" i="1" s="1"/>
  <c r="J5711" i="1" s="1"/>
  <c r="K5711" i="1" s="1"/>
  <c r="L5711" i="1" s="1"/>
  <c r="H5758" i="1"/>
  <c r="I5758" i="1" s="1"/>
  <c r="J5758" i="1" s="1"/>
  <c r="H1240" i="1"/>
  <c r="I1240" i="1" s="1"/>
  <c r="J1240" i="1" s="1"/>
  <c r="H1087" i="1"/>
  <c r="I1087" i="1" s="1"/>
  <c r="J1087" i="1" s="1"/>
  <c r="H5411" i="1"/>
  <c r="I5411" i="1" s="1"/>
  <c r="J5411" i="1" s="1"/>
  <c r="K5411" i="1" s="1"/>
  <c r="L5411" i="1" s="1"/>
  <c r="H2784" i="1"/>
  <c r="I2784" i="1" s="1"/>
  <c r="J2784" i="1" s="1"/>
  <c r="H1443" i="1"/>
  <c r="I1443" i="1" s="1"/>
  <c r="H996" i="1"/>
  <c r="I996" i="1" s="1"/>
  <c r="H2060" i="1"/>
  <c r="I2060" i="1" s="1"/>
  <c r="J2060" i="1" s="1"/>
  <c r="H1034" i="1"/>
  <c r="I1034" i="1" s="1"/>
  <c r="J1034" i="1" s="1"/>
  <c r="H2874" i="1"/>
  <c r="I2874" i="1" s="1"/>
  <c r="J2874" i="1" s="1"/>
  <c r="H2734" i="1"/>
  <c r="I2734" i="1" s="1"/>
  <c r="J2734" i="1" s="1"/>
  <c r="H1356" i="1"/>
  <c r="I1356" i="1" s="1"/>
  <c r="J1356" i="1" s="1"/>
  <c r="H334" i="1"/>
  <c r="I334" i="1" s="1"/>
  <c r="J334" i="1" s="1"/>
  <c r="H1433" i="1"/>
  <c r="I1433" i="1" s="1"/>
  <c r="J1433" i="1" s="1"/>
  <c r="H4158" i="1"/>
  <c r="I4158" i="1" s="1"/>
  <c r="J4158" i="1" s="1"/>
  <c r="H1706" i="1"/>
  <c r="I1706" i="1" s="1"/>
  <c r="J1706" i="1" s="1"/>
  <c r="H4659" i="1"/>
  <c r="I4659" i="1" s="1"/>
  <c r="H266" i="1"/>
  <c r="I266" i="1" s="1"/>
  <c r="H3302" i="1"/>
  <c r="I3302" i="1" s="1"/>
  <c r="H5389" i="1"/>
  <c r="I5389" i="1" s="1"/>
  <c r="H5086" i="1"/>
  <c r="I5086" i="1" s="1"/>
  <c r="H5530" i="1"/>
  <c r="I5530" i="1" s="1"/>
  <c r="H3557" i="1"/>
  <c r="I3557" i="1" s="1"/>
  <c r="H1280" i="1"/>
  <c r="I1280" i="1" s="1"/>
  <c r="J1280" i="1" s="1"/>
  <c r="H2279" i="1"/>
  <c r="I2279" i="1" s="1"/>
  <c r="H3564" i="1"/>
  <c r="I3564" i="1" s="1"/>
  <c r="H971" i="1"/>
  <c r="I971" i="1" s="1"/>
  <c r="J971" i="1" s="1"/>
  <c r="H124" i="1"/>
  <c r="I124" i="1" s="1"/>
  <c r="J124" i="1" s="1"/>
  <c r="H1123" i="1"/>
  <c r="I1123" i="1" s="1"/>
  <c r="J1123" i="1" s="1"/>
  <c r="H2627" i="1"/>
  <c r="I2627" i="1" s="1"/>
  <c r="J2627" i="1" s="1"/>
  <c r="H2710" i="1"/>
  <c r="I2710" i="1" s="1"/>
  <c r="J2710" i="1" s="1"/>
  <c r="H3527" i="1"/>
  <c r="I3527" i="1" s="1"/>
  <c r="J3527" i="1" s="1"/>
  <c r="H1527" i="1"/>
  <c r="I1527" i="1" s="1"/>
  <c r="J1527" i="1" s="1"/>
  <c r="H2809" i="1"/>
  <c r="I2809" i="1" s="1"/>
  <c r="J2809" i="1" s="1"/>
  <c r="H4984" i="1"/>
  <c r="I4984" i="1" s="1"/>
  <c r="H2708" i="1"/>
  <c r="I2708" i="1" s="1"/>
  <c r="J2708" i="1" s="1"/>
  <c r="H1040" i="1"/>
  <c r="I1040" i="1" s="1"/>
  <c r="J1040" i="1" s="1"/>
  <c r="H697" i="1"/>
  <c r="I697" i="1" s="1"/>
  <c r="J697" i="1" s="1"/>
  <c r="H2674" i="1"/>
  <c r="I2674" i="1" s="1"/>
  <c r="H3550" i="1"/>
  <c r="I3550" i="1" s="1"/>
  <c r="H4425" i="1"/>
  <c r="I4425" i="1" s="1"/>
  <c r="J4425" i="1" s="1"/>
  <c r="H4100" i="1"/>
  <c r="I4100" i="1" s="1"/>
  <c r="J4100" i="1" s="1"/>
  <c r="H1228" i="1"/>
  <c r="I1228" i="1" s="1"/>
  <c r="J1228" i="1" s="1"/>
  <c r="H1328" i="1"/>
  <c r="I1328" i="1" s="1"/>
  <c r="J1328" i="1" s="1"/>
  <c r="H2747" i="1"/>
  <c r="I2747" i="1" s="1"/>
  <c r="H4218" i="1"/>
  <c r="I4218" i="1" s="1"/>
  <c r="J4218" i="1" s="1"/>
  <c r="H5165" i="1"/>
  <c r="I5165" i="1" s="1"/>
  <c r="J5165" i="1" s="1"/>
  <c r="H2632" i="1"/>
  <c r="I2632" i="1" s="1"/>
  <c r="J2632" i="1" s="1"/>
  <c r="H1594" i="1"/>
  <c r="I1594" i="1" s="1"/>
  <c r="J1594" i="1" s="1"/>
  <c r="H1534" i="1"/>
  <c r="I1534" i="1" s="1"/>
  <c r="H5158" i="1"/>
  <c r="I5158" i="1" s="1"/>
  <c r="J5158" i="1" s="1"/>
  <c r="H5178" i="1"/>
  <c r="I5178" i="1" s="1"/>
  <c r="J5178" i="1" s="1"/>
  <c r="H1747" i="1"/>
  <c r="I1747" i="1" s="1"/>
  <c r="J1747" i="1" s="1"/>
  <c r="H239" i="1"/>
  <c r="I239" i="1" s="1"/>
  <c r="J239" i="1" s="1"/>
  <c r="H5045" i="1"/>
  <c r="I5045" i="1" s="1"/>
  <c r="H5052" i="1"/>
  <c r="I5052" i="1" s="1"/>
  <c r="J5052" i="1" s="1"/>
  <c r="H5970" i="1"/>
  <c r="I5970" i="1" s="1"/>
  <c r="H3130" i="1"/>
  <c r="I3130" i="1" s="1"/>
  <c r="J3130" i="1" s="1"/>
  <c r="H236" i="1"/>
  <c r="I236" i="1" s="1"/>
  <c r="H4698" i="1"/>
  <c r="I4698" i="1" s="1"/>
  <c r="H120" i="1"/>
  <c r="I120" i="1" s="1"/>
  <c r="H2077" i="1"/>
  <c r="I2077" i="1" s="1"/>
  <c r="J2077" i="1" s="1"/>
  <c r="H4154" i="1"/>
  <c r="I4154" i="1" s="1"/>
  <c r="J4154" i="1" s="1"/>
  <c r="H3642" i="1"/>
  <c r="I3642" i="1" s="1"/>
  <c r="H4105" i="1"/>
  <c r="I4105" i="1" s="1"/>
  <c r="H3863" i="1"/>
  <c r="I3863" i="1" s="1"/>
  <c r="H2415" i="1"/>
  <c r="I2415" i="1" s="1"/>
  <c r="H1713" i="1"/>
  <c r="I1713" i="1" s="1"/>
  <c r="H1067" i="1"/>
  <c r="I1067" i="1" s="1"/>
  <c r="H3017" i="1"/>
  <c r="I3017" i="1" s="1"/>
  <c r="J3017" i="1" s="1"/>
  <c r="H2614" i="1"/>
  <c r="I2614" i="1" s="1"/>
  <c r="J2614" i="1" s="1"/>
  <c r="H2697" i="1"/>
  <c r="I2697" i="1" s="1"/>
  <c r="J2697" i="1" s="1"/>
  <c r="H5678" i="1"/>
  <c r="I5678" i="1" s="1"/>
  <c r="J5678" i="1" s="1"/>
  <c r="H835" i="1"/>
  <c r="I835" i="1" s="1"/>
  <c r="H5518" i="1"/>
  <c r="I5518" i="1" s="1"/>
  <c r="H998" i="1"/>
  <c r="I998" i="1" s="1"/>
  <c r="J998" i="1" s="1"/>
  <c r="H240" i="1"/>
  <c r="I240" i="1" s="1"/>
  <c r="J240" i="1" s="1"/>
  <c r="H2824" i="1"/>
  <c r="I2824" i="1" s="1"/>
  <c r="J2824" i="1" s="1"/>
  <c r="H1361" i="1"/>
  <c r="I1361" i="1" s="1"/>
  <c r="H5302" i="1"/>
  <c r="I5302" i="1" s="1"/>
  <c r="H3050" i="1"/>
  <c r="I3050" i="1" s="1"/>
  <c r="H3995" i="1"/>
  <c r="I3995" i="1" s="1"/>
  <c r="H342" i="1"/>
  <c r="I342" i="1" s="1"/>
  <c r="J342" i="1" s="1"/>
  <c r="H2303" i="1"/>
  <c r="I2303" i="1" s="1"/>
  <c r="J2303" i="1" s="1"/>
  <c r="H483" i="1"/>
  <c r="I483" i="1" s="1"/>
  <c r="J483" i="1" s="1"/>
  <c r="H1514" i="1"/>
  <c r="I1514" i="1" s="1"/>
  <c r="J1514" i="1" s="1"/>
  <c r="H869" i="1"/>
  <c r="I869" i="1" s="1"/>
  <c r="J869" i="1" s="1"/>
  <c r="H3598" i="1"/>
  <c r="I3598" i="1" s="1"/>
  <c r="H775" i="1"/>
  <c r="I775" i="1" s="1"/>
  <c r="H2308" i="1"/>
  <c r="I2308" i="1" s="1"/>
  <c r="H2958" i="1"/>
  <c r="I2958" i="1" s="1"/>
  <c r="H436" i="1"/>
  <c r="I436" i="1" s="1"/>
  <c r="H5155" i="1"/>
  <c r="I5155" i="1" s="1"/>
  <c r="H5157" i="1"/>
  <c r="I5157" i="1" s="1"/>
  <c r="J5157" i="1" s="1"/>
  <c r="K5157" i="1" s="1"/>
  <c r="L5157" i="1" s="1"/>
  <c r="H1395" i="1"/>
  <c r="I1395" i="1" s="1"/>
  <c r="H3643" i="1"/>
  <c r="I3643" i="1" s="1"/>
  <c r="H2418" i="1"/>
  <c r="I2418" i="1" s="1"/>
  <c r="H650" i="1"/>
  <c r="I650" i="1" s="1"/>
  <c r="J650" i="1" s="1"/>
  <c r="H1633" i="1"/>
  <c r="I1633" i="1" s="1"/>
  <c r="J1633" i="1" s="1"/>
  <c r="H5018" i="1"/>
  <c r="I5018" i="1" s="1"/>
  <c r="J5018" i="1" s="1"/>
  <c r="H1867" i="1"/>
  <c r="I1867" i="1" s="1"/>
  <c r="J1867" i="1" s="1"/>
  <c r="H2726" i="1"/>
  <c r="I2726" i="1" s="1"/>
  <c r="J2726" i="1" s="1"/>
  <c r="H3895" i="1"/>
  <c r="I3895" i="1" s="1"/>
  <c r="J3895" i="1" s="1"/>
  <c r="H188" i="1"/>
  <c r="I188" i="1" s="1"/>
  <c r="H742" i="1"/>
  <c r="I742" i="1" s="1"/>
  <c r="J742" i="1" s="1"/>
  <c r="H2600" i="1"/>
  <c r="I2600" i="1" s="1"/>
  <c r="H3619" i="1"/>
  <c r="I3619" i="1" s="1"/>
  <c r="J3619" i="1" s="1"/>
  <c r="H4498" i="1"/>
  <c r="I4498" i="1" s="1"/>
  <c r="H3450" i="1"/>
  <c r="I3450" i="1" s="1"/>
  <c r="H668" i="1"/>
  <c r="I668" i="1" s="1"/>
  <c r="J668" i="1" s="1"/>
  <c r="H1886" i="1"/>
  <c r="I1886" i="1" s="1"/>
  <c r="J1886" i="1" s="1"/>
  <c r="H4350" i="1"/>
  <c r="I4350" i="1" s="1"/>
  <c r="J4350" i="1" s="1"/>
  <c r="H1482" i="1"/>
  <c r="I1482" i="1" s="1"/>
  <c r="H4687" i="1"/>
  <c r="I4687" i="1" s="1"/>
  <c r="H286" i="1"/>
  <c r="I286" i="1" s="1"/>
  <c r="H1184" i="1"/>
  <c r="I1184" i="1" s="1"/>
  <c r="J1184" i="1" s="1"/>
  <c r="H4343" i="1"/>
  <c r="I4343" i="1" s="1"/>
  <c r="J4343" i="1" s="1"/>
  <c r="H3116" i="1"/>
  <c r="I3116" i="1" s="1"/>
  <c r="J3116" i="1" s="1"/>
  <c r="H2402" i="1"/>
  <c r="I2402" i="1" s="1"/>
  <c r="H1007" i="1"/>
  <c r="I1007" i="1" s="1"/>
  <c r="J1007" i="1" s="1"/>
  <c r="H4683" i="1"/>
  <c r="I4683" i="1" s="1"/>
  <c r="H2807" i="1"/>
  <c r="I2807" i="1" s="1"/>
  <c r="J2807" i="1" s="1"/>
  <c r="H5770" i="1"/>
  <c r="I5770" i="1" s="1"/>
  <c r="J5770" i="1" s="1"/>
  <c r="H2679" i="1"/>
  <c r="I2679" i="1" s="1"/>
  <c r="H2879" i="1"/>
  <c r="I2879" i="1" s="1"/>
  <c r="J2879" i="1" s="1"/>
  <c r="H2425" i="1"/>
  <c r="I2425" i="1" s="1"/>
  <c r="J2425" i="1" s="1"/>
  <c r="H238" i="1"/>
  <c r="I238" i="1" s="1"/>
  <c r="J238" i="1" s="1"/>
  <c r="H3678" i="1"/>
  <c r="I3678" i="1" s="1"/>
  <c r="J3678" i="1" s="1"/>
  <c r="H4176" i="1"/>
  <c r="I4176" i="1" s="1"/>
  <c r="H4184" i="1"/>
  <c r="I4184" i="1" s="1"/>
  <c r="J4184" i="1" s="1"/>
  <c r="H3942" i="1"/>
  <c r="I3942" i="1" s="1"/>
  <c r="H2877" i="1"/>
  <c r="I2877" i="1" s="1"/>
  <c r="J2877" i="1" s="1"/>
  <c r="H3378" i="1"/>
  <c r="I3378" i="1" s="1"/>
  <c r="J3378" i="1" s="1"/>
  <c r="H5747" i="1"/>
  <c r="I5747" i="1" s="1"/>
  <c r="J5747" i="1" s="1"/>
  <c r="K5747" i="1" s="1"/>
  <c r="L5747" i="1" s="1"/>
  <c r="H3828" i="1"/>
  <c r="I3828" i="1" s="1"/>
  <c r="J3828" i="1" s="1"/>
  <c r="H2986" i="1"/>
  <c r="I2986" i="1" s="1"/>
  <c r="J2986" i="1" s="1"/>
  <c r="H4520" i="1"/>
  <c r="I4520" i="1" s="1"/>
  <c r="J4520" i="1" s="1"/>
  <c r="H5964" i="1"/>
  <c r="I5964" i="1" s="1"/>
  <c r="J5964" i="1" s="1"/>
  <c r="H5726" i="1"/>
  <c r="I5726" i="1" s="1"/>
  <c r="H673" i="1"/>
  <c r="I673" i="1" s="1"/>
  <c r="J673" i="1" s="1"/>
  <c r="H3219" i="1"/>
  <c r="I3219" i="1" s="1"/>
  <c r="H316" i="1"/>
  <c r="I316" i="1" s="1"/>
  <c r="H5388" i="1"/>
  <c r="I5388" i="1" s="1"/>
  <c r="J5388" i="1" s="1"/>
  <c r="H4074" i="1"/>
  <c r="I4074" i="1" s="1"/>
  <c r="J4074" i="1" s="1"/>
  <c r="H3608" i="1"/>
  <c r="I3608" i="1" s="1"/>
  <c r="H2780" i="1"/>
  <c r="I2780" i="1" s="1"/>
  <c r="J2780" i="1" s="1"/>
  <c r="H1399" i="1"/>
  <c r="I1399" i="1" s="1"/>
  <c r="H3878" i="1"/>
  <c r="I3878" i="1" s="1"/>
  <c r="J3878" i="1" s="1"/>
  <c r="H4244" i="1"/>
  <c r="I4244" i="1" s="1"/>
  <c r="J4244" i="1" s="1"/>
  <c r="H5266" i="1"/>
  <c r="I5266" i="1" s="1"/>
  <c r="H654" i="1"/>
  <c r="I654" i="1" s="1"/>
  <c r="J654" i="1" s="1"/>
  <c r="H6003" i="1"/>
  <c r="I6003" i="1" s="1"/>
  <c r="J6003" i="1" s="1"/>
  <c r="H2238" i="1"/>
  <c r="I2238" i="1" s="1"/>
  <c r="J2238" i="1" s="1"/>
  <c r="H3843" i="1"/>
  <c r="I3843" i="1" s="1"/>
  <c r="J3843" i="1" s="1"/>
  <c r="H3797" i="1"/>
  <c r="I3797" i="1" s="1"/>
  <c r="J3797" i="1" s="1"/>
  <c r="H900" i="1"/>
  <c r="I900" i="1" s="1"/>
  <c r="H1626" i="1"/>
  <c r="I1626" i="1" s="1"/>
  <c r="H5503" i="1"/>
  <c r="I5503" i="1" s="1"/>
  <c r="J5503" i="1" s="1"/>
  <c r="H899" i="1"/>
  <c r="I899" i="1" s="1"/>
  <c r="H1051" i="1"/>
  <c r="I1051" i="1" s="1"/>
  <c r="J1051" i="1" s="1"/>
  <c r="H573" i="1"/>
  <c r="I573" i="1" s="1"/>
  <c r="J573" i="1" s="1"/>
  <c r="H1647" i="1"/>
  <c r="I1647" i="1" s="1"/>
  <c r="J1647" i="1" s="1"/>
  <c r="H1463" i="1"/>
  <c r="I1463" i="1" s="1"/>
  <c r="J1463" i="1" s="1"/>
  <c r="H5891" i="1"/>
  <c r="I5891" i="1" s="1"/>
  <c r="J5891" i="1" s="1"/>
  <c r="H2318" i="1"/>
  <c r="I2318" i="1" s="1"/>
  <c r="J2318" i="1" s="1"/>
  <c r="H2245" i="1"/>
  <c r="I2245" i="1" s="1"/>
  <c r="J2245" i="1" s="1"/>
  <c r="H999" i="1"/>
  <c r="I999" i="1" s="1"/>
  <c r="J999" i="1" s="1"/>
  <c r="H5785" i="1"/>
  <c r="I5785" i="1" s="1"/>
  <c r="J5785" i="1" s="1"/>
  <c r="H1561" i="1"/>
  <c r="I1561" i="1" s="1"/>
  <c r="J1561" i="1" s="1"/>
  <c r="H2079" i="1"/>
  <c r="I2079" i="1" s="1"/>
  <c r="J2079" i="1" s="1"/>
  <c r="H3009" i="1"/>
  <c r="I3009" i="1" s="1"/>
  <c r="J3009" i="1" s="1"/>
  <c r="H2388" i="1"/>
  <c r="I2388" i="1" s="1"/>
  <c r="H603" i="1"/>
  <c r="I603" i="1" s="1"/>
  <c r="J603" i="1" s="1"/>
  <c r="H5544" i="1"/>
  <c r="I5544" i="1" s="1"/>
  <c r="J5544" i="1" s="1"/>
  <c r="H2870" i="1"/>
  <c r="I2870" i="1" s="1"/>
  <c r="J2870" i="1" s="1"/>
  <c r="H629" i="1"/>
  <c r="I629" i="1" s="1"/>
  <c r="J629" i="1" s="1"/>
  <c r="H4223" i="1"/>
  <c r="I4223" i="1" s="1"/>
  <c r="J4223" i="1" s="1"/>
  <c r="H541" i="1"/>
  <c r="I541" i="1" s="1"/>
  <c r="H4655" i="1"/>
  <c r="I4655" i="1" s="1"/>
  <c r="J4655" i="1" s="1"/>
  <c r="H2573" i="1"/>
  <c r="I2573" i="1" s="1"/>
  <c r="J2573" i="1" s="1"/>
  <c r="H4917" i="1"/>
  <c r="I4917" i="1" s="1"/>
  <c r="H2089" i="1"/>
  <c r="I2089" i="1" s="1"/>
  <c r="H4955" i="1"/>
  <c r="I4955" i="1" s="1"/>
  <c r="J4955" i="1" s="1"/>
  <c r="H2717" i="1"/>
  <c r="I2717" i="1" s="1"/>
  <c r="H5401" i="1"/>
  <c r="I5401" i="1" s="1"/>
  <c r="J5401" i="1" s="1"/>
  <c r="H4331" i="1"/>
  <c r="I4331" i="1" s="1"/>
  <c r="J4331" i="1" s="1"/>
  <c r="H5014" i="1"/>
  <c r="I5014" i="1" s="1"/>
  <c r="J5014" i="1" s="1"/>
  <c r="H2255" i="1"/>
  <c r="I2255" i="1" s="1"/>
  <c r="H4911" i="1"/>
  <c r="I4911" i="1" s="1"/>
  <c r="J4911" i="1" s="1"/>
  <c r="H4360" i="1"/>
  <c r="I4360" i="1" s="1"/>
  <c r="H5842" i="1"/>
  <c r="I5842" i="1" s="1"/>
  <c r="H5482" i="1"/>
  <c r="I5482" i="1" s="1"/>
  <c r="J5482" i="1" s="1"/>
  <c r="H3699" i="1"/>
  <c r="I3699" i="1" s="1"/>
  <c r="H3723" i="1"/>
  <c r="I3723" i="1" s="1"/>
  <c r="J3723" i="1" s="1"/>
  <c r="H2519" i="1"/>
  <c r="I2519" i="1" s="1"/>
  <c r="J2519" i="1" s="1"/>
  <c r="H3101" i="1"/>
  <c r="I3101" i="1" s="1"/>
  <c r="J3101" i="1" s="1"/>
  <c r="H4221" i="1"/>
  <c r="I4221" i="1" s="1"/>
  <c r="J4221" i="1" s="1"/>
  <c r="H2719" i="1"/>
  <c r="I2719" i="1" s="1"/>
  <c r="J2719" i="1" s="1"/>
  <c r="H5908" i="1"/>
  <c r="I5908" i="1" s="1"/>
  <c r="J5908" i="1" s="1"/>
  <c r="K5908" i="1" s="1"/>
  <c r="L5908" i="1" s="1"/>
  <c r="H5567" i="1"/>
  <c r="I5567" i="1" s="1"/>
  <c r="H4800" i="1"/>
  <c r="I4800" i="1" s="1"/>
  <c r="H841" i="1"/>
  <c r="I841" i="1" s="1"/>
  <c r="J841" i="1" s="1"/>
  <c r="H806" i="1"/>
  <c r="I806" i="1" s="1"/>
  <c r="J806" i="1" s="1"/>
  <c r="H765" i="1"/>
  <c r="I765" i="1" s="1"/>
  <c r="H4310" i="1"/>
  <c r="I4310" i="1" s="1"/>
  <c r="J4310" i="1" s="1"/>
  <c r="H3213" i="1"/>
  <c r="I3213" i="1" s="1"/>
  <c r="J3213" i="1" s="1"/>
  <c r="H2979" i="1"/>
  <c r="I2979" i="1" s="1"/>
  <c r="H4086" i="1"/>
  <c r="I4086" i="1" s="1"/>
  <c r="J4086" i="1" s="1"/>
  <c r="H4222" i="1"/>
  <c r="I4222" i="1" s="1"/>
  <c r="J4222" i="1" s="1"/>
  <c r="H3326" i="1"/>
  <c r="I3326" i="1" s="1"/>
  <c r="J3326" i="1" s="1"/>
  <c r="H4504" i="1"/>
  <c r="I4504" i="1" s="1"/>
  <c r="H3388" i="1"/>
  <c r="I3388" i="1" s="1"/>
  <c r="J3388" i="1" s="1"/>
  <c r="H205" i="1"/>
  <c r="I205" i="1" s="1"/>
  <c r="H3988" i="1"/>
  <c r="I3988" i="1" s="1"/>
  <c r="H5088" i="1"/>
  <c r="I5088" i="1" s="1"/>
  <c r="H5930" i="1"/>
  <c r="I5930" i="1" s="1"/>
  <c r="J5930" i="1" s="1"/>
  <c r="H3667" i="1"/>
  <c r="I3667" i="1" s="1"/>
  <c r="J3667" i="1" s="1"/>
  <c r="H2073" i="1"/>
  <c r="I2073" i="1" s="1"/>
  <c r="J2073" i="1" s="1"/>
  <c r="H3043" i="1"/>
  <c r="I3043" i="1" s="1"/>
  <c r="H2204" i="1"/>
  <c r="I2204" i="1" s="1"/>
  <c r="J2204" i="1" s="1"/>
  <c r="H993" i="1"/>
  <c r="I993" i="1" s="1"/>
  <c r="H5502" i="1"/>
  <c r="I5502" i="1" s="1"/>
  <c r="J5502" i="1" s="1"/>
  <c r="K5502" i="1" s="1"/>
  <c r="L5502" i="1" s="1"/>
  <c r="H758" i="1"/>
  <c r="I758" i="1" s="1"/>
  <c r="H655" i="1"/>
  <c r="I655" i="1" s="1"/>
  <c r="H4499" i="1"/>
  <c r="I4499" i="1" s="1"/>
  <c r="J4499" i="1" s="1"/>
  <c r="K4499" i="1" s="1"/>
  <c r="L4499" i="1" s="1"/>
  <c r="H1492" i="1"/>
  <c r="I1492" i="1" s="1"/>
  <c r="J1492" i="1" s="1"/>
  <c r="H2942" i="1"/>
  <c r="I2942" i="1" s="1"/>
  <c r="J2942" i="1" s="1"/>
  <c r="H4099" i="1"/>
  <c r="I4099" i="1" s="1"/>
  <c r="J4099" i="1" s="1"/>
  <c r="H3860" i="1"/>
  <c r="I3860" i="1" s="1"/>
  <c r="J3860" i="1" s="1"/>
  <c r="H3890" i="1"/>
  <c r="I3890" i="1" s="1"/>
  <c r="J3890" i="1" s="1"/>
  <c r="H4771" i="1"/>
  <c r="I4771" i="1" s="1"/>
  <c r="J4771" i="1" s="1"/>
  <c r="K4771" i="1" s="1"/>
  <c r="L4771" i="1" s="1"/>
  <c r="H5569" i="1"/>
  <c r="I5569" i="1" s="1"/>
  <c r="J5569" i="1" s="1"/>
  <c r="H2585" i="1"/>
  <c r="I2585" i="1" s="1"/>
  <c r="J2585" i="1" s="1"/>
  <c r="H5153" i="1"/>
  <c r="I5153" i="1" s="1"/>
  <c r="J5153" i="1" s="1"/>
  <c r="H2242" i="1"/>
  <c r="I2242" i="1" s="1"/>
  <c r="J2242" i="1" s="1"/>
  <c r="H988" i="1"/>
  <c r="I988" i="1" s="1"/>
  <c r="J988" i="1" s="1"/>
  <c r="H1729" i="1"/>
  <c r="I1729" i="1" s="1"/>
  <c r="J1729" i="1" s="1"/>
  <c r="H5450" i="1"/>
  <c r="I5450" i="1" s="1"/>
  <c r="J5450" i="1" s="1"/>
  <c r="H3456" i="1"/>
  <c r="I3456" i="1" s="1"/>
  <c r="J3456" i="1" s="1"/>
  <c r="H5219" i="1"/>
  <c r="I5219" i="1" s="1"/>
  <c r="H1065" i="1"/>
  <c r="I1065" i="1" s="1"/>
  <c r="H4242" i="1"/>
  <c r="I4242" i="1" s="1"/>
  <c r="J4242" i="1" s="1"/>
  <c r="K4242" i="1" s="1"/>
  <c r="L4242" i="1" s="1"/>
  <c r="H4091" i="1"/>
  <c r="I4091" i="1" s="1"/>
  <c r="H1760" i="1"/>
  <c r="I1760" i="1" s="1"/>
  <c r="H2035" i="1"/>
  <c r="I2035" i="1" s="1"/>
  <c r="H537" i="1"/>
  <c r="I537" i="1" s="1"/>
  <c r="H2152" i="1"/>
  <c r="I2152" i="1" s="1"/>
  <c r="J2152" i="1" s="1"/>
  <c r="H2817" i="1"/>
  <c r="I2817" i="1" s="1"/>
  <c r="J2817" i="1" s="1"/>
  <c r="H693" i="1"/>
  <c r="I693" i="1" s="1"/>
  <c r="J693" i="1" s="1"/>
  <c r="H3835" i="1"/>
  <c r="I3835" i="1" s="1"/>
  <c r="H1517" i="1"/>
  <c r="I1517" i="1" s="1"/>
  <c r="J1517" i="1" s="1"/>
  <c r="H2517" i="1"/>
  <c r="I2517" i="1" s="1"/>
  <c r="J2517" i="1" s="1"/>
  <c r="H2108" i="1"/>
  <c r="I2108" i="1" s="1"/>
  <c r="J2108" i="1" s="1"/>
  <c r="H5559" i="1"/>
  <c r="I5559" i="1" s="1"/>
  <c r="H1757" i="1"/>
  <c r="I1757" i="1" s="1"/>
  <c r="J1757" i="1" s="1"/>
  <c r="H2063" i="1"/>
  <c r="I2063" i="1" s="1"/>
  <c r="J2063" i="1" s="1"/>
  <c r="H4770" i="1"/>
  <c r="I4770" i="1" s="1"/>
  <c r="H4092" i="1"/>
  <c r="I4092" i="1" s="1"/>
  <c r="H1294" i="1"/>
  <c r="I1294" i="1" s="1"/>
  <c r="H3396" i="1"/>
  <c r="I3396" i="1" s="1"/>
  <c r="J3396" i="1" s="1"/>
  <c r="H5238" i="1"/>
  <c r="I5238" i="1" s="1"/>
  <c r="H2114" i="1"/>
  <c r="I2114" i="1" s="1"/>
  <c r="H293" i="1"/>
  <c r="I293" i="1" s="1"/>
  <c r="J293" i="1" s="1"/>
  <c r="H4933" i="1"/>
  <c r="I4933" i="1" s="1"/>
  <c r="J4933" i="1" s="1"/>
  <c r="H5730" i="1"/>
  <c r="I5730" i="1" s="1"/>
  <c r="J5730" i="1" s="1"/>
  <c r="H5031" i="1"/>
  <c r="I5031" i="1" s="1"/>
  <c r="J5031" i="1" s="1"/>
  <c r="H891" i="1"/>
  <c r="I891" i="1" s="1"/>
  <c r="H4382" i="1"/>
  <c r="I4382" i="1" s="1"/>
  <c r="J4382" i="1" s="1"/>
  <c r="H3820" i="1"/>
  <c r="I3820" i="1" s="1"/>
  <c r="J3820" i="1" s="1"/>
  <c r="H858" i="1"/>
  <c r="I858" i="1" s="1"/>
  <c r="H4380" i="1"/>
  <c r="I4380" i="1" s="1"/>
  <c r="H1374" i="1"/>
  <c r="I1374" i="1" s="1"/>
  <c r="H628" i="1"/>
  <c r="I628" i="1" s="1"/>
  <c r="H5575" i="1"/>
  <c r="I5575" i="1" s="1"/>
  <c r="J5575" i="1" s="1"/>
  <c r="H5027" i="1"/>
  <c r="I5027" i="1" s="1"/>
  <c r="J5027" i="1" s="1"/>
  <c r="H5949" i="1"/>
  <c r="I5949" i="1" s="1"/>
  <c r="J5949" i="1" s="1"/>
  <c r="K5949" i="1" s="1"/>
  <c r="L5949" i="1" s="1"/>
  <c r="H710" i="1"/>
  <c r="I710" i="1" s="1"/>
  <c r="H4157" i="1"/>
  <c r="I4157" i="1" s="1"/>
  <c r="J4157" i="1" s="1"/>
  <c r="H198" i="1"/>
  <c r="I198" i="1" s="1"/>
  <c r="H3379" i="1"/>
  <c r="I3379" i="1" s="1"/>
  <c r="H281" i="1"/>
  <c r="I281" i="1" s="1"/>
  <c r="J281" i="1" s="1"/>
  <c r="H2864" i="1"/>
  <c r="I2864" i="1" s="1"/>
  <c r="H651" i="1"/>
  <c r="I651" i="1" s="1"/>
  <c r="J651" i="1" s="1"/>
  <c r="H532" i="1"/>
  <c r="I532" i="1" s="1"/>
  <c r="J532" i="1" s="1"/>
  <c r="H2711" i="1"/>
  <c r="I2711" i="1" s="1"/>
  <c r="J2711" i="1" s="1"/>
  <c r="H4746" i="1"/>
  <c r="I4746" i="1" s="1"/>
  <c r="J4746" i="1" s="1"/>
  <c r="H5555" i="1"/>
  <c r="I5555" i="1" s="1"/>
  <c r="J5555" i="1" s="1"/>
  <c r="K5555" i="1" s="1"/>
  <c r="L5555" i="1" s="1"/>
  <c r="H4278" i="1"/>
  <c r="I4278" i="1" s="1"/>
  <c r="J4278" i="1" s="1"/>
  <c r="H5519" i="1"/>
  <c r="I5519" i="1" s="1"/>
  <c r="J5519" i="1" s="1"/>
  <c r="K5519" i="1" s="1"/>
  <c r="L5519" i="1" s="1"/>
  <c r="H4779" i="1"/>
  <c r="I4779" i="1" s="1"/>
  <c r="J4779" i="1" s="1"/>
  <c r="H2583" i="1"/>
  <c r="I2583" i="1" s="1"/>
  <c r="J2583" i="1" s="1"/>
  <c r="H106" i="1"/>
  <c r="I106" i="1" s="1"/>
  <c r="J106" i="1" s="1"/>
  <c r="H5590" i="1"/>
  <c r="I5590" i="1" s="1"/>
  <c r="J5590" i="1" s="1"/>
  <c r="K5590" i="1" s="1"/>
  <c r="L5590" i="1" s="1"/>
  <c r="H235" i="1"/>
  <c r="I235" i="1" s="1"/>
  <c r="H4251" i="1"/>
  <c r="I4251" i="1" s="1"/>
  <c r="J4251" i="1" s="1"/>
  <c r="H1789" i="1"/>
  <c r="I1789" i="1" s="1"/>
  <c r="H5584" i="1"/>
  <c r="I5584" i="1" s="1"/>
  <c r="J5584" i="1" s="1"/>
  <c r="H992" i="1"/>
  <c r="I992" i="1" s="1"/>
  <c r="J992" i="1" s="1"/>
  <c r="H3460" i="1"/>
  <c r="I3460" i="1" s="1"/>
  <c r="J3460" i="1" s="1"/>
  <c r="H3774" i="1"/>
  <c r="I3774" i="1" s="1"/>
  <c r="H5258" i="1"/>
  <c r="I5258" i="1" s="1"/>
  <c r="H681" i="1"/>
  <c r="I681" i="1" s="1"/>
  <c r="H2429" i="1"/>
  <c r="I2429" i="1" s="1"/>
  <c r="H4915" i="1"/>
  <c r="I4915" i="1" s="1"/>
  <c r="J4915" i="1" s="1"/>
  <c r="K4915" i="1" s="1"/>
  <c r="L4915" i="1" s="1"/>
  <c r="H3422" i="1"/>
  <c r="I3422" i="1" s="1"/>
  <c r="H1472" i="1"/>
  <c r="I1472" i="1" s="1"/>
  <c r="J1472" i="1" s="1"/>
  <c r="H3922" i="1"/>
  <c r="I3922" i="1" s="1"/>
  <c r="H4109" i="1"/>
  <c r="I4109" i="1" s="1"/>
  <c r="J4109" i="1" s="1"/>
  <c r="H1993" i="1"/>
  <c r="I1993" i="1" s="1"/>
  <c r="H427" i="1"/>
  <c r="I427" i="1" s="1"/>
  <c r="H4351" i="1"/>
  <c r="I4351" i="1" s="1"/>
  <c r="J4351" i="1" s="1"/>
  <c r="H377" i="1"/>
  <c r="I377" i="1" s="1"/>
  <c r="J377" i="1" s="1"/>
  <c r="H3520" i="1"/>
  <c r="I3520" i="1" s="1"/>
  <c r="J3520" i="1" s="1"/>
  <c r="H2464" i="1"/>
  <c r="I2464" i="1" s="1"/>
  <c r="J2464" i="1" s="1"/>
  <c r="H4186" i="1"/>
  <c r="I4186" i="1" s="1"/>
  <c r="J4186" i="1" s="1"/>
  <c r="H2577" i="1"/>
  <c r="I2577" i="1" s="1"/>
  <c r="J2577" i="1" s="1"/>
  <c r="H2823" i="1"/>
  <c r="I2823" i="1" s="1"/>
  <c r="J2823" i="1" s="1"/>
  <c r="H600" i="1"/>
  <c r="I600" i="1" s="1"/>
  <c r="J600" i="1" s="1"/>
  <c r="H5296" i="1"/>
  <c r="I5296" i="1" s="1"/>
  <c r="H3873" i="1"/>
  <c r="I3873" i="1" s="1"/>
  <c r="J3873" i="1" s="1"/>
  <c r="H1296" i="1"/>
  <c r="I1296" i="1" s="1"/>
  <c r="H1362" i="1"/>
  <c r="I1362" i="1" s="1"/>
  <c r="H4993" i="1"/>
  <c r="I4993" i="1" s="1"/>
  <c r="J4993" i="1" s="1"/>
  <c r="H4639" i="1"/>
  <c r="I4639" i="1" s="1"/>
  <c r="J4639" i="1" s="1"/>
  <c r="H1035" i="1"/>
  <c r="I1035" i="1" s="1"/>
  <c r="J1035" i="1" s="1"/>
  <c r="H1347" i="1"/>
  <c r="I1347" i="1" s="1"/>
  <c r="H4857" i="1"/>
  <c r="I4857" i="1" s="1"/>
  <c r="J4857" i="1" s="1"/>
  <c r="H2605" i="1"/>
  <c r="I2605" i="1" s="1"/>
  <c r="H5595" i="1"/>
  <c r="I5595" i="1" s="1"/>
  <c r="J5595" i="1" s="1"/>
  <c r="H3095" i="1"/>
  <c r="I3095" i="1" s="1"/>
  <c r="J3095" i="1" s="1"/>
  <c r="H4256" i="1"/>
  <c r="I4256" i="1" s="1"/>
  <c r="J4256" i="1" s="1"/>
  <c r="H1567" i="1"/>
  <c r="I1567" i="1" s="1"/>
  <c r="J1567" i="1" s="1"/>
  <c r="H5484" i="1"/>
  <c r="I5484" i="1" s="1"/>
  <c r="J5484" i="1" s="1"/>
  <c r="H3404" i="1"/>
  <c r="I3404" i="1" s="1"/>
  <c r="H4420" i="1"/>
  <c r="I4420" i="1" s="1"/>
  <c r="J4420" i="1" s="1"/>
  <c r="K4420" i="1" s="1"/>
  <c r="L4420" i="1" s="1"/>
  <c r="H5928" i="1"/>
  <c r="I5928" i="1" s="1"/>
  <c r="H3197" i="1"/>
  <c r="I3197" i="1" s="1"/>
  <c r="H170" i="1"/>
  <c r="I170" i="1" s="1"/>
  <c r="H4455" i="1"/>
  <c r="I4455" i="1" s="1"/>
  <c r="H1643" i="1"/>
  <c r="I1643" i="1" s="1"/>
  <c r="H2579" i="1"/>
  <c r="I2579" i="1" s="1"/>
  <c r="H3837" i="1"/>
  <c r="I3837" i="1" s="1"/>
  <c r="H4421" i="1"/>
  <c r="I4421" i="1" s="1"/>
  <c r="H1239" i="1"/>
  <c r="I1239" i="1" s="1"/>
  <c r="J1239" i="1" s="1"/>
  <c r="H3781" i="1"/>
  <c r="I3781" i="1" s="1"/>
  <c r="J3781" i="1" s="1"/>
  <c r="H4619" i="1"/>
  <c r="I4619" i="1" s="1"/>
  <c r="J4619" i="1" s="1"/>
  <c r="H2422" i="1"/>
  <c r="I2422" i="1" s="1"/>
  <c r="J2422" i="1" s="1"/>
  <c r="H2069" i="1"/>
  <c r="I2069" i="1" s="1"/>
  <c r="J2069" i="1" s="1"/>
  <c r="H1538" i="1"/>
  <c r="I1538" i="1" s="1"/>
  <c r="H137" i="1"/>
  <c r="I137" i="1" s="1"/>
  <c r="H1219" i="1"/>
  <c r="I1219" i="1" s="1"/>
  <c r="J1219" i="1" s="1"/>
  <c r="H5200" i="1"/>
  <c r="I5200" i="1" s="1"/>
  <c r="J5200" i="1" s="1"/>
  <c r="H3989" i="1"/>
  <c r="I3989" i="1" s="1"/>
  <c r="J3989" i="1" s="1"/>
  <c r="H2768" i="1"/>
  <c r="I2768" i="1" s="1"/>
  <c r="J2768" i="1" s="1"/>
  <c r="H5260" i="1"/>
  <c r="I5260" i="1" s="1"/>
  <c r="J5260" i="1" s="1"/>
  <c r="H1447" i="1"/>
  <c r="I1447" i="1" s="1"/>
  <c r="J1447" i="1" s="1"/>
  <c r="H4891" i="1"/>
  <c r="I4891" i="1" s="1"/>
  <c r="J4891" i="1" s="1"/>
  <c r="H2581" i="1"/>
  <c r="I2581" i="1" s="1"/>
  <c r="H2623" i="1"/>
  <c r="I2623" i="1" s="1"/>
  <c r="H5539" i="1"/>
  <c r="I5539" i="1" s="1"/>
  <c r="J5539" i="1" s="1"/>
  <c r="H1858" i="1"/>
  <c r="I1858" i="1" s="1"/>
  <c r="J1858" i="1" s="1"/>
  <c r="H2570" i="1"/>
  <c r="I2570" i="1" s="1"/>
  <c r="J2570" i="1" s="1"/>
  <c r="H503" i="1"/>
  <c r="I503" i="1" s="1"/>
  <c r="J503" i="1" s="1"/>
  <c r="H4135" i="1"/>
  <c r="I4135" i="1" s="1"/>
  <c r="J4135" i="1" s="1"/>
  <c r="H1921" i="1"/>
  <c r="I1921" i="1" s="1"/>
  <c r="J1921" i="1" s="1"/>
  <c r="H4040" i="1"/>
  <c r="I4040" i="1" s="1"/>
  <c r="J4040" i="1" s="1"/>
  <c r="H2868" i="1"/>
  <c r="I2868" i="1" s="1"/>
  <c r="J2868" i="1" s="1"/>
  <c r="H4016" i="1"/>
  <c r="I4016" i="1" s="1"/>
  <c r="J4016" i="1" s="1"/>
  <c r="H2496" i="1"/>
  <c r="I2496" i="1" s="1"/>
  <c r="H1154" i="1"/>
  <c r="I1154" i="1" s="1"/>
  <c r="J1154" i="1" s="1"/>
  <c r="H1970" i="1"/>
  <c r="I1970" i="1" s="1"/>
  <c r="H5760" i="1"/>
  <c r="I5760" i="1" s="1"/>
  <c r="H1971" i="1"/>
  <c r="I1971" i="1" s="1"/>
  <c r="J1971" i="1" s="1"/>
  <c r="H1542" i="1"/>
  <c r="I1542" i="1" s="1"/>
  <c r="J1542" i="1" s="1"/>
  <c r="H6002" i="1"/>
  <c r="I6002" i="1" s="1"/>
  <c r="J6002" i="1" s="1"/>
  <c r="K6002" i="1" s="1"/>
  <c r="L6002" i="1" s="1"/>
  <c r="H5672" i="1"/>
  <c r="I5672" i="1" s="1"/>
  <c r="J5672" i="1" s="1"/>
  <c r="H2547" i="1"/>
  <c r="I2547" i="1" s="1"/>
  <c r="J2547" i="1" s="1"/>
  <c r="H729" i="1"/>
  <c r="I729" i="1" s="1"/>
  <c r="J729" i="1" s="1"/>
  <c r="H5913" i="1"/>
  <c r="I5913" i="1" s="1"/>
  <c r="J5913" i="1" s="1"/>
  <c r="H4964" i="1"/>
  <c r="I4964" i="1" s="1"/>
  <c r="J4964" i="1" s="1"/>
  <c r="K4964" i="1" s="1"/>
  <c r="L4964" i="1" s="1"/>
  <c r="H410" i="1"/>
  <c r="I410" i="1" s="1"/>
  <c r="J410" i="1" s="1"/>
  <c r="H1494" i="1"/>
  <c r="I1494" i="1" s="1"/>
  <c r="J1494" i="1" s="1"/>
  <c r="H3838" i="1"/>
  <c r="I3838" i="1" s="1"/>
  <c r="J3838" i="1" s="1"/>
  <c r="H4991" i="1"/>
  <c r="I4991" i="1" s="1"/>
  <c r="H3682" i="1"/>
  <c r="I3682" i="1" s="1"/>
  <c r="H3861" i="1"/>
  <c r="I3861" i="1" s="1"/>
  <c r="J3861" i="1" s="1"/>
  <c r="H4734" i="1"/>
  <c r="I4734" i="1" s="1"/>
  <c r="H4824" i="1"/>
  <c r="I4824" i="1" s="1"/>
  <c r="H196" i="1"/>
  <c r="I196" i="1" s="1"/>
  <c r="J196" i="1" s="1"/>
  <c r="H4588" i="1"/>
  <c r="I4588" i="1" s="1"/>
  <c r="J4588" i="1" s="1"/>
  <c r="H1863" i="1"/>
  <c r="I1863" i="1" s="1"/>
  <c r="H2313" i="1"/>
  <c r="I2313" i="1" s="1"/>
  <c r="J2313" i="1" s="1"/>
  <c r="H3659" i="1"/>
  <c r="I3659" i="1" s="1"/>
  <c r="J3659" i="1" s="1"/>
  <c r="H5286" i="1"/>
  <c r="I5286" i="1" s="1"/>
  <c r="J5286" i="1" s="1"/>
  <c r="H4708" i="1"/>
  <c r="I4708" i="1" s="1"/>
  <c r="H4051" i="1"/>
  <c r="I4051" i="1" s="1"/>
  <c r="J4051" i="1" s="1"/>
  <c r="H3296" i="1"/>
  <c r="I3296" i="1" s="1"/>
  <c r="H3791" i="1"/>
  <c r="I3791" i="1" s="1"/>
  <c r="J3791" i="1" s="1"/>
  <c r="H4270" i="1"/>
  <c r="I4270" i="1" s="1"/>
  <c r="J4270" i="1" s="1"/>
  <c r="H418" i="1"/>
  <c r="I418" i="1" s="1"/>
  <c r="H801" i="1"/>
  <c r="I801" i="1" s="1"/>
  <c r="J801" i="1" s="1"/>
  <c r="H2875" i="1"/>
  <c r="I2875" i="1" s="1"/>
  <c r="J2875" i="1" s="1"/>
  <c r="H1293" i="1"/>
  <c r="I1293" i="1" s="1"/>
  <c r="H107" i="1"/>
  <c r="I107" i="1" s="1"/>
  <c r="H1929" i="1"/>
  <c r="I1929" i="1" s="1"/>
  <c r="J1929" i="1" s="1"/>
  <c r="H387" i="1"/>
  <c r="I387" i="1" s="1"/>
  <c r="J387" i="1" s="1"/>
  <c r="H4006" i="1"/>
  <c r="I4006" i="1" s="1"/>
  <c r="H5577" i="1"/>
  <c r="I5577" i="1" s="1"/>
  <c r="J5577" i="1" s="1"/>
  <c r="H5580" i="1"/>
  <c r="I5580" i="1" s="1"/>
  <c r="J5580" i="1" s="1"/>
  <c r="H1031" i="1"/>
  <c r="I1031" i="1" s="1"/>
  <c r="H1624" i="1"/>
  <c r="I1624" i="1" s="1"/>
  <c r="J1624" i="1" s="1"/>
  <c r="H516" i="1"/>
  <c r="I516" i="1" s="1"/>
  <c r="J516" i="1" s="1"/>
  <c r="H1683" i="1"/>
  <c r="I1683" i="1" s="1"/>
  <c r="H2762" i="1"/>
  <c r="I2762" i="1" s="1"/>
  <c r="H3700" i="1"/>
  <c r="I3700" i="1" s="1"/>
  <c r="H2814" i="1"/>
  <c r="I2814" i="1" s="1"/>
  <c r="H5330" i="1"/>
  <c r="I5330" i="1" s="1"/>
  <c r="H4465" i="1"/>
  <c r="I4465" i="1" s="1"/>
  <c r="J4465" i="1" s="1"/>
  <c r="H4923" i="1"/>
  <c r="I4923" i="1" s="1"/>
  <c r="J4923" i="1" s="1"/>
  <c r="H1634" i="1"/>
  <c r="I1634" i="1" s="1"/>
  <c r="J1634" i="1" s="1"/>
  <c r="H2978" i="1"/>
  <c r="I2978" i="1" s="1"/>
  <c r="J2978" i="1" s="1"/>
  <c r="H4907" i="1"/>
  <c r="I4907" i="1" s="1"/>
  <c r="J4907" i="1" s="1"/>
  <c r="H3767" i="1"/>
  <c r="I3767" i="1" s="1"/>
  <c r="J3767" i="1" s="1"/>
  <c r="H5271" i="1"/>
  <c r="I5271" i="1" s="1"/>
  <c r="J5271" i="1" s="1"/>
  <c r="H1560" i="1"/>
  <c r="I1560" i="1" s="1"/>
  <c r="H5915" i="1"/>
  <c r="I5915" i="1" s="1"/>
  <c r="J5915" i="1" s="1"/>
  <c r="H2724" i="1"/>
  <c r="I2724" i="1" s="1"/>
  <c r="J2724" i="1" s="1"/>
  <c r="H4804" i="1"/>
  <c r="I4804" i="1" s="1"/>
  <c r="H2088" i="1"/>
  <c r="I2088" i="1" s="1"/>
  <c r="J2088" i="1" s="1"/>
  <c r="H1083" i="1"/>
  <c r="I1083" i="1" s="1"/>
  <c r="H4151" i="1"/>
  <c r="I4151" i="1" s="1"/>
  <c r="H894" i="1"/>
  <c r="I894" i="1" s="1"/>
  <c r="H3447" i="1"/>
  <c r="I3447" i="1" s="1"/>
  <c r="H1670" i="1"/>
  <c r="I1670" i="1" s="1"/>
  <c r="J1670" i="1" s="1"/>
  <c r="H1191" i="1"/>
  <c r="I1191" i="1" s="1"/>
  <c r="J1191" i="1" s="1"/>
  <c r="H1147" i="1"/>
  <c r="I1147" i="1" s="1"/>
  <c r="J1147" i="1" s="1"/>
  <c r="H2058" i="1"/>
  <c r="I2058" i="1" s="1"/>
  <c r="J2058" i="1" s="1"/>
  <c r="H4393" i="1"/>
  <c r="I4393" i="1" s="1"/>
  <c r="J4393" i="1" s="1"/>
  <c r="H1141" i="1"/>
  <c r="I1141" i="1" s="1"/>
  <c r="H3341" i="1"/>
  <c r="I3341" i="1" s="1"/>
  <c r="H2067" i="1"/>
  <c r="I2067" i="1" s="1"/>
  <c r="J2067" i="1" s="1"/>
  <c r="H4726" i="1"/>
  <c r="I4726" i="1" s="1"/>
  <c r="J4726" i="1" s="1"/>
  <c r="H2552" i="1"/>
  <c r="I2552" i="1" s="1"/>
  <c r="J2552" i="1" s="1"/>
  <c r="H2480" i="1"/>
  <c r="I2480" i="1" s="1"/>
  <c r="J2480" i="1" s="1"/>
  <c r="H3994" i="1"/>
  <c r="I3994" i="1" s="1"/>
  <c r="J3994" i="1" s="1"/>
  <c r="H1741" i="1"/>
  <c r="I1741" i="1" s="1"/>
  <c r="H3999" i="1"/>
  <c r="I3999" i="1" s="1"/>
  <c r="J3999" i="1" s="1"/>
  <c r="H5145" i="1"/>
  <c r="I5145" i="1" s="1"/>
  <c r="J5145" i="1" s="1"/>
  <c r="H3518" i="1"/>
  <c r="I3518" i="1" s="1"/>
  <c r="H4887" i="1"/>
  <c r="I4887" i="1" s="1"/>
  <c r="J4887" i="1" s="1"/>
  <c r="H3321" i="1"/>
  <c r="I3321" i="1" s="1"/>
  <c r="J3321" i="1" s="1"/>
  <c r="H4170" i="1"/>
  <c r="I4170" i="1" s="1"/>
  <c r="J4170" i="1" s="1"/>
  <c r="H4631" i="1"/>
  <c r="I4631" i="1" s="1"/>
  <c r="J4631" i="1" s="1"/>
  <c r="H4068" i="1"/>
  <c r="I4068" i="1" s="1"/>
  <c r="J4068" i="1" s="1"/>
  <c r="H4363" i="1"/>
  <c r="I4363" i="1" s="1"/>
  <c r="H970" i="1"/>
  <c r="I970" i="1" s="1"/>
  <c r="H5416" i="1"/>
  <c r="I5416" i="1" s="1"/>
  <c r="J5416" i="1" s="1"/>
  <c r="H5415" i="1"/>
  <c r="I5415" i="1" s="1"/>
  <c r="H3225" i="1"/>
  <c r="I3225" i="1" s="1"/>
  <c r="J3225" i="1" s="1"/>
  <c r="H4254" i="1"/>
  <c r="I4254" i="1" s="1"/>
  <c r="J4254" i="1" s="1"/>
  <c r="H1470" i="1"/>
  <c r="I1470" i="1" s="1"/>
  <c r="J1470" i="1" s="1"/>
  <c r="H989" i="1"/>
  <c r="I989" i="1" s="1"/>
  <c r="J989" i="1" s="1"/>
  <c r="H5394" i="1"/>
  <c r="I5394" i="1" s="1"/>
  <c r="J5394" i="1" s="1"/>
  <c r="H2217" i="1"/>
  <c r="I2217" i="1" s="1"/>
  <c r="J2217" i="1" s="1"/>
  <c r="H4449" i="1"/>
  <c r="I4449" i="1" s="1"/>
  <c r="J4449" i="1" s="1"/>
  <c r="H827" i="1"/>
  <c r="I827" i="1" s="1"/>
  <c r="H1607" i="1"/>
  <c r="I1607" i="1" s="1"/>
  <c r="H2945" i="1"/>
  <c r="I2945" i="1" s="1"/>
  <c r="J2945" i="1" s="1"/>
  <c r="H4763" i="1"/>
  <c r="I4763" i="1" s="1"/>
  <c r="H3515" i="1"/>
  <c r="I3515" i="1" s="1"/>
  <c r="H3853" i="1"/>
  <c r="I3853" i="1" s="1"/>
  <c r="J3853" i="1" s="1"/>
  <c r="H4529" i="1"/>
  <c r="I4529" i="1" s="1"/>
  <c r="J4529" i="1" s="1"/>
  <c r="H3071" i="1"/>
  <c r="I3071" i="1" s="1"/>
  <c r="H3559" i="1"/>
  <c r="I3559" i="1" s="1"/>
  <c r="J3559" i="1" s="1"/>
  <c r="H5788" i="1"/>
  <c r="I5788" i="1" s="1"/>
  <c r="H2646" i="1"/>
  <c r="I2646" i="1" s="1"/>
  <c r="J2646" i="1" s="1"/>
  <c r="H1703" i="1"/>
  <c r="I1703" i="1" s="1"/>
  <c r="J1703" i="1" s="1"/>
  <c r="H1410" i="1"/>
  <c r="I1410" i="1" s="1"/>
  <c r="J1410" i="1" s="1"/>
  <c r="H3375" i="1"/>
  <c r="I3375" i="1" s="1"/>
  <c r="J3375" i="1" s="1"/>
  <c r="H3353" i="1"/>
  <c r="I3353" i="1" s="1"/>
  <c r="H4389" i="1"/>
  <c r="I4389" i="1" s="1"/>
  <c r="J4389" i="1" s="1"/>
  <c r="H4990" i="1"/>
  <c r="I4990" i="1" s="1"/>
  <c r="J4990" i="1" s="1"/>
  <c r="H4832" i="1"/>
  <c r="I4832" i="1" s="1"/>
  <c r="J4832" i="1" s="1"/>
  <c r="H243" i="1"/>
  <c r="I243" i="1" s="1"/>
  <c r="J243" i="1" s="1"/>
  <c r="H2092" i="1"/>
  <c r="I2092" i="1" s="1"/>
  <c r="J2092" i="1" s="1"/>
  <c r="H2561" i="1"/>
  <c r="I2561" i="1" s="1"/>
  <c r="J2561" i="1" s="1"/>
  <c r="H3635" i="1"/>
  <c r="I3635" i="1" s="1"/>
  <c r="J3635" i="1" s="1"/>
  <c r="H3140" i="1"/>
  <c r="I3140" i="1" s="1"/>
  <c r="J3140" i="1" s="1"/>
  <c r="H4361" i="1"/>
  <c r="I4361" i="1" s="1"/>
  <c r="H4571" i="1"/>
  <c r="I4571" i="1" s="1"/>
  <c r="H3453" i="1"/>
  <c r="I3453" i="1" s="1"/>
  <c r="J3453" i="1" s="1"/>
  <c r="H669" i="1"/>
  <c r="I669" i="1" s="1"/>
  <c r="J669" i="1" s="1"/>
  <c r="H664" i="1"/>
  <c r="I664" i="1" s="1"/>
  <c r="J664" i="1" s="1"/>
  <c r="H5781" i="1"/>
  <c r="I5781" i="1" s="1"/>
  <c r="J5781" i="1" s="1"/>
  <c r="K5781" i="1" s="1"/>
  <c r="L5781" i="1" s="1"/>
  <c r="H3893" i="1"/>
  <c r="I3893" i="1" s="1"/>
  <c r="J3893" i="1" s="1"/>
  <c r="H5458" i="1"/>
  <c r="I5458" i="1" s="1"/>
  <c r="J5458" i="1" s="1"/>
  <c r="K5458" i="1" s="1"/>
  <c r="L5458" i="1" s="1"/>
  <c r="H3921" i="1"/>
  <c r="I3921" i="1" s="1"/>
  <c r="H2752" i="1"/>
  <c r="I2752" i="1" s="1"/>
  <c r="J2752" i="1" s="1"/>
  <c r="H5221" i="1"/>
  <c r="I5221" i="1" s="1"/>
  <c r="J5221" i="1" s="1"/>
  <c r="K5221" i="1" s="1"/>
  <c r="L5221" i="1" s="1"/>
  <c r="H200" i="1"/>
  <c r="I200" i="1" s="1"/>
  <c r="H2074" i="1"/>
  <c r="I2074" i="1" s="1"/>
  <c r="J2074" i="1" s="1"/>
  <c r="H3854" i="1"/>
  <c r="I3854" i="1" s="1"/>
  <c r="H4909" i="1"/>
  <c r="I4909" i="1" s="1"/>
  <c r="J4909" i="1" s="1"/>
  <c r="H3517" i="1"/>
  <c r="I3517" i="1" s="1"/>
  <c r="J3517" i="1" s="1"/>
  <c r="H2641" i="1"/>
  <c r="I2641" i="1" s="1"/>
  <c r="J2641" i="1" s="1"/>
  <c r="H4241" i="1"/>
  <c r="I4241" i="1" s="1"/>
  <c r="J4241" i="1" s="1"/>
  <c r="H4261" i="1"/>
  <c r="I4261" i="1" s="1"/>
  <c r="J4261" i="1" s="1"/>
  <c r="H831" i="1"/>
  <c r="I831" i="1" s="1"/>
  <c r="J831" i="1" s="1"/>
  <c r="H151" i="1"/>
  <c r="I151" i="1" s="1"/>
  <c r="H5002" i="1"/>
  <c r="I5002" i="1" s="1"/>
  <c r="J5002" i="1" s="1"/>
  <c r="H922" i="1"/>
  <c r="I922" i="1" s="1"/>
  <c r="J922" i="1" s="1"/>
  <c r="H769" i="1"/>
  <c r="I769" i="1" s="1"/>
  <c r="J769" i="1" s="1"/>
  <c r="H1029" i="1"/>
  <c r="I1029" i="1" s="1"/>
  <c r="J1029" i="1" s="1"/>
  <c r="H612" i="1"/>
  <c r="I612" i="1" s="1"/>
  <c r="J612" i="1" s="1"/>
  <c r="H950" i="1"/>
  <c r="I950" i="1" s="1"/>
  <c r="J950" i="1" s="1"/>
  <c r="H2222" i="1"/>
  <c r="I2222" i="1" s="1"/>
  <c r="J2222" i="1" s="1"/>
  <c r="H3842" i="1"/>
  <c r="I3842" i="1" s="1"/>
  <c r="J3842" i="1" s="1"/>
  <c r="H739" i="1"/>
  <c r="I739" i="1" s="1"/>
  <c r="J739" i="1" s="1"/>
  <c r="H2733" i="1"/>
  <c r="I2733" i="1" s="1"/>
  <c r="H5961" i="1"/>
  <c r="I5961" i="1" s="1"/>
  <c r="J5961" i="1" s="1"/>
  <c r="H2698" i="1"/>
  <c r="I2698" i="1" s="1"/>
  <c r="H3469" i="1"/>
  <c r="I3469" i="1" s="1"/>
  <c r="H5822" i="1"/>
  <c r="I5822" i="1" s="1"/>
  <c r="J5822" i="1" s="1"/>
  <c r="H4062" i="1"/>
  <c r="I4062" i="1" s="1"/>
  <c r="J4062" i="1" s="1"/>
  <c r="H608" i="1"/>
  <c r="I608" i="1" s="1"/>
  <c r="H1041" i="1"/>
  <c r="I1041" i="1" s="1"/>
  <c r="J1041" i="1" s="1"/>
  <c r="H5976" i="1"/>
  <c r="I5976" i="1" s="1"/>
  <c r="J5976" i="1" s="1"/>
  <c r="H2260" i="1"/>
  <c r="I2260" i="1" s="1"/>
  <c r="J2260" i="1" s="1"/>
  <c r="H5248" i="1"/>
  <c r="I5248" i="1" s="1"/>
  <c r="H2598" i="1"/>
  <c r="I2598" i="1" s="1"/>
  <c r="H3104" i="1"/>
  <c r="I3104" i="1" s="1"/>
  <c r="J3104" i="1" s="1"/>
  <c r="H4693" i="1"/>
  <c r="I4693" i="1" s="1"/>
  <c r="H1964" i="1"/>
  <c r="I1964" i="1" s="1"/>
  <c r="H1101" i="1"/>
  <c r="I1101" i="1" s="1"/>
  <c r="J1101" i="1" s="1"/>
  <c r="H5605" i="1"/>
  <c r="I5605" i="1" s="1"/>
  <c r="H1870" i="1"/>
  <c r="I1870" i="1" s="1"/>
  <c r="J1870" i="1" s="1"/>
  <c r="H5541" i="1"/>
  <c r="I5541" i="1" s="1"/>
  <c r="J5541" i="1" s="1"/>
  <c r="K5541" i="1" s="1"/>
  <c r="L5541" i="1" s="1"/>
  <c r="H2669" i="1"/>
  <c r="I2669" i="1" s="1"/>
  <c r="H5802" i="1"/>
  <c r="I5802" i="1" s="1"/>
  <c r="H2684" i="1"/>
  <c r="I2684" i="1" s="1"/>
  <c r="J2684" i="1" s="1"/>
  <c r="H5305" i="1"/>
  <c r="I5305" i="1" s="1"/>
  <c r="J5305" i="1" s="1"/>
  <c r="H4622" i="1"/>
  <c r="I4622" i="1" s="1"/>
  <c r="H4709" i="1"/>
  <c r="I4709" i="1" s="1"/>
  <c r="J4709" i="1" s="1"/>
  <c r="H5430" i="1"/>
  <c r="I5430" i="1" s="1"/>
  <c r="H2681" i="1"/>
  <c r="I2681" i="1" s="1"/>
  <c r="J2681" i="1" s="1"/>
  <c r="H5511" i="1"/>
  <c r="I5511" i="1" s="1"/>
  <c r="J5511" i="1" s="1"/>
  <c r="H5644" i="1"/>
  <c r="I5644" i="1" s="1"/>
  <c r="J5644" i="1" s="1"/>
  <c r="H5861" i="1"/>
  <c r="I5861" i="1" s="1"/>
  <c r="H4287" i="1"/>
  <c r="I4287" i="1" s="1"/>
  <c r="J4287" i="1" s="1"/>
  <c r="H3189" i="1"/>
  <c r="I3189" i="1" s="1"/>
  <c r="H3602" i="1"/>
  <c r="I3602" i="1" s="1"/>
  <c r="J3602" i="1" s="1"/>
  <c r="H4284" i="1"/>
  <c r="I4284" i="1" s="1"/>
  <c r="H1650" i="1"/>
  <c r="I1650" i="1" s="1"/>
  <c r="H2086" i="1"/>
  <c r="I2086" i="1" s="1"/>
  <c r="H2366" i="1"/>
  <c r="I2366" i="1" s="1"/>
  <c r="J2366" i="1" s="1"/>
  <c r="H3836" i="1"/>
  <c r="I3836" i="1" s="1"/>
  <c r="H5589" i="1"/>
  <c r="I5589" i="1" s="1"/>
  <c r="H1238" i="1"/>
  <c r="I1238" i="1" s="1"/>
  <c r="J1238" i="1" s="1"/>
  <c r="H2196" i="1"/>
  <c r="I2196" i="1" s="1"/>
  <c r="J2196" i="1" s="1"/>
  <c r="H1342" i="1"/>
  <c r="I1342" i="1" s="1"/>
  <c r="J1342" i="1" s="1"/>
  <c r="H3060" i="1"/>
  <c r="I3060" i="1" s="1"/>
  <c r="J3060" i="1" s="1"/>
  <c r="H4216" i="1"/>
  <c r="I4216" i="1" s="1"/>
  <c r="H5034" i="1"/>
  <c r="I5034" i="1" s="1"/>
  <c r="J5034" i="1" s="1"/>
  <c r="H5194" i="1"/>
  <c r="I5194" i="1" s="1"/>
  <c r="J5194" i="1" s="1"/>
  <c r="H4636" i="1"/>
  <c r="I4636" i="1" s="1"/>
  <c r="J4636" i="1" s="1"/>
  <c r="H3740" i="1"/>
  <c r="I3740" i="1" s="1"/>
  <c r="J3740" i="1" s="1"/>
  <c r="H197" i="1"/>
  <c r="I197" i="1" s="1"/>
  <c r="J197" i="1" s="1"/>
  <c r="H1116" i="1"/>
  <c r="I1116" i="1" s="1"/>
  <c r="J1116" i="1" s="1"/>
  <c r="H2636" i="1"/>
  <c r="I2636" i="1" s="1"/>
  <c r="J2636" i="1" s="1"/>
  <c r="H2472" i="1"/>
  <c r="I2472" i="1" s="1"/>
  <c r="H4402" i="1"/>
  <c r="I4402" i="1" s="1"/>
  <c r="J4402" i="1" s="1"/>
  <c r="H208" i="1"/>
  <c r="I208" i="1" s="1"/>
  <c r="J208" i="1" s="1"/>
  <c r="H3485" i="1"/>
  <c r="I3485" i="1" s="1"/>
  <c r="J3485" i="1" s="1"/>
  <c r="H2299" i="1"/>
  <c r="I2299" i="1" s="1"/>
  <c r="J2299" i="1" s="1"/>
  <c r="H2376" i="1"/>
  <c r="I2376" i="1" s="1"/>
  <c r="J2376" i="1" s="1"/>
  <c r="H2466" i="1"/>
  <c r="I2466" i="1" s="1"/>
  <c r="J2466" i="1" s="1"/>
  <c r="H3956" i="1"/>
  <c r="I3956" i="1" s="1"/>
  <c r="J3956" i="1" s="1"/>
  <c r="H4035" i="1"/>
  <c r="I4035" i="1" s="1"/>
  <c r="J4035" i="1" s="1"/>
  <c r="H2907" i="1"/>
  <c r="I2907" i="1" s="1"/>
  <c r="H5294" i="1"/>
  <c r="I5294" i="1" s="1"/>
  <c r="J5294" i="1" s="1"/>
  <c r="H4662" i="1"/>
  <c r="I4662" i="1" s="1"/>
  <c r="J4662" i="1" s="1"/>
  <c r="H2548" i="1"/>
  <c r="I2548" i="1" s="1"/>
  <c r="J2548" i="1" s="1"/>
  <c r="H2960" i="1"/>
  <c r="I2960" i="1" s="1"/>
  <c r="J2960" i="1" s="1"/>
  <c r="H1015" i="1"/>
  <c r="I1015" i="1" s="1"/>
  <c r="H633" i="1"/>
  <c r="I633" i="1" s="1"/>
  <c r="H399" i="1"/>
  <c r="I399" i="1" s="1"/>
  <c r="J399" i="1" s="1"/>
  <c r="H1507" i="1"/>
  <c r="I1507" i="1" s="1"/>
  <c r="J1507" i="1" s="1"/>
  <c r="H2862" i="1"/>
  <c r="I2862" i="1" s="1"/>
  <c r="J2862" i="1" s="1"/>
  <c r="H4583" i="1"/>
  <c r="I4583" i="1" s="1"/>
  <c r="H634" i="1"/>
  <c r="I634" i="1" s="1"/>
  <c r="J634" i="1" s="1"/>
  <c r="H1661" i="1"/>
  <c r="I1661" i="1" s="1"/>
  <c r="J1661" i="1" s="1"/>
  <c r="H3115" i="1"/>
  <c r="I3115" i="1" s="1"/>
  <c r="H1359" i="1"/>
  <c r="I1359" i="1" s="1"/>
  <c r="J1359" i="1" s="1"/>
  <c r="H4541" i="1"/>
  <c r="I4541" i="1" s="1"/>
  <c r="J4541" i="1" s="1"/>
  <c r="H3245" i="1"/>
  <c r="I3245" i="1" s="1"/>
  <c r="J3245" i="1" s="1"/>
  <c r="H635" i="1"/>
  <c r="I635" i="1" s="1"/>
  <c r="H5687" i="1"/>
  <c r="I5687" i="1" s="1"/>
  <c r="J5687" i="1" s="1"/>
  <c r="H1992" i="1"/>
  <c r="I1992" i="1" s="1"/>
  <c r="J1992" i="1" s="1"/>
  <c r="H1387" i="1"/>
  <c r="I1387" i="1" s="1"/>
  <c r="H1024" i="1"/>
  <c r="I1024" i="1" s="1"/>
  <c r="J1024" i="1" s="1"/>
  <c r="H4330" i="1"/>
  <c r="I4330" i="1" s="1"/>
  <c r="J4330" i="1" s="1"/>
  <c r="H2629" i="1"/>
  <c r="I2629" i="1" s="1"/>
  <c r="J2629" i="1" s="1"/>
  <c r="H1174" i="1"/>
  <c r="I1174" i="1" s="1"/>
  <c r="J1174" i="1" s="1"/>
  <c r="H934" i="1"/>
  <c r="I934" i="1" s="1"/>
  <c r="J934" i="1" s="1"/>
  <c r="H5907" i="1"/>
  <c r="I5907" i="1" s="1"/>
  <c r="J5907" i="1" s="1"/>
  <c r="K5907" i="1" s="1"/>
  <c r="L5907" i="1" s="1"/>
  <c r="H3707" i="1"/>
  <c r="I3707" i="1" s="1"/>
  <c r="H1112" i="1"/>
  <c r="I1112" i="1" s="1"/>
  <c r="J1112" i="1" s="1"/>
  <c r="H1829" i="1"/>
  <c r="I1829" i="1" s="1"/>
  <c r="J1829" i="1" s="1"/>
  <c r="H3300" i="1"/>
  <c r="I3300" i="1" s="1"/>
  <c r="J3300" i="1" s="1"/>
  <c r="H1159" i="1"/>
  <c r="I1159" i="1" s="1"/>
  <c r="J1159" i="1" s="1"/>
  <c r="H1814" i="1"/>
  <c r="I1814" i="1" s="1"/>
  <c r="J1814" i="1" s="1"/>
  <c r="H3089" i="1"/>
  <c r="I3089" i="1" s="1"/>
  <c r="J3089" i="1" s="1"/>
  <c r="H2215" i="1"/>
  <c r="I2215" i="1" s="1"/>
  <c r="H4282" i="1"/>
  <c r="I4282" i="1" s="1"/>
  <c r="H1658" i="1"/>
  <c r="I1658" i="1" s="1"/>
  <c r="J1658" i="1" s="1"/>
  <c r="H3610" i="1"/>
  <c r="I3610" i="1" s="1"/>
  <c r="J3610" i="1" s="1"/>
  <c r="H543" i="1"/>
  <c r="I543" i="1" s="1"/>
  <c r="J543" i="1" s="1"/>
  <c r="H5366" i="1"/>
  <c r="I5366" i="1" s="1"/>
  <c r="H4469" i="1"/>
  <c r="I4469" i="1" s="1"/>
  <c r="J4469" i="1" s="1"/>
  <c r="K4469" i="1" s="1"/>
  <c r="L4469" i="1" s="1"/>
  <c r="H928" i="1"/>
  <c r="I928" i="1" s="1"/>
  <c r="J928" i="1" s="1"/>
  <c r="H3154" i="1"/>
  <c r="I3154" i="1" s="1"/>
  <c r="J3154" i="1" s="1"/>
  <c r="H3143" i="1"/>
  <c r="I3143" i="1" s="1"/>
  <c r="J3143" i="1" s="1"/>
  <c r="H604" i="1"/>
  <c r="I604" i="1" s="1"/>
  <c r="J604" i="1" s="1"/>
  <c r="H3674" i="1"/>
  <c r="I3674" i="1" s="1"/>
  <c r="J3674" i="1" s="1"/>
  <c r="H1680" i="1"/>
  <c r="I1680" i="1" s="1"/>
  <c r="J1680" i="1" s="1"/>
  <c r="H5748" i="1"/>
  <c r="I5748" i="1" s="1"/>
  <c r="J5748" i="1" s="1"/>
  <c r="K5748" i="1" s="1"/>
  <c r="L5748" i="1" s="1"/>
  <c r="H4786" i="1"/>
  <c r="I4786" i="1" s="1"/>
  <c r="J4786" i="1" s="1"/>
  <c r="H5674" i="1"/>
  <c r="I5674" i="1" s="1"/>
  <c r="J5674" i="1" s="1"/>
  <c r="H393" i="1"/>
  <c r="I393" i="1" s="1"/>
  <c r="J393" i="1" s="1"/>
  <c r="H5598" i="1"/>
  <c r="I5598" i="1" s="1"/>
  <c r="H4926" i="1"/>
  <c r="I4926" i="1" s="1"/>
  <c r="J4926" i="1" s="1"/>
  <c r="H3486" i="1"/>
  <c r="I3486" i="1" s="1"/>
  <c r="J3486" i="1" s="1"/>
  <c r="H2479" i="1"/>
  <c r="I2479" i="1" s="1"/>
  <c r="J2479" i="1" s="1"/>
  <c r="H3096" i="1"/>
  <c r="I3096" i="1" s="1"/>
  <c r="J3096" i="1" s="1"/>
  <c r="H674" i="1"/>
  <c r="I674" i="1" s="1"/>
  <c r="J674" i="1" s="1"/>
  <c r="H2953" i="1"/>
  <c r="I2953" i="1" s="1"/>
  <c r="J2953" i="1" s="1"/>
  <c r="H656" i="1"/>
  <c r="I656" i="1" s="1"/>
  <c r="J656" i="1" s="1"/>
  <c r="H5047" i="1"/>
  <c r="I5047" i="1" s="1"/>
  <c r="H652" i="1"/>
  <c r="I652" i="1" s="1"/>
  <c r="J652" i="1" s="1"/>
  <c r="H1537" i="1"/>
  <c r="I1537" i="1" s="1"/>
  <c r="J1537" i="1" s="1"/>
  <c r="H579" i="1"/>
  <c r="I579" i="1" s="1"/>
  <c r="J579" i="1" s="1"/>
  <c r="H1777" i="1"/>
  <c r="I1777" i="1" s="1"/>
  <c r="H132" i="1"/>
  <c r="I132" i="1" s="1"/>
  <c r="J132" i="1" s="1"/>
  <c r="H4067" i="1"/>
  <c r="I4067" i="1" s="1"/>
  <c r="J4067" i="1" s="1"/>
  <c r="H5677" i="1"/>
  <c r="I5677" i="1" s="1"/>
  <c r="J5677" i="1" s="1"/>
  <c r="H4878" i="1"/>
  <c r="I4878" i="1" s="1"/>
  <c r="J4878" i="1" s="1"/>
  <c r="H2802" i="1"/>
  <c r="I2802" i="1" s="1"/>
  <c r="H5797" i="1"/>
  <c r="I5797" i="1" s="1"/>
  <c r="J5797" i="1" s="1"/>
  <c r="H143" i="1"/>
  <c r="I143" i="1" s="1"/>
  <c r="J143" i="1" s="1"/>
  <c r="H4259" i="1"/>
  <c r="I4259" i="1" s="1"/>
  <c r="J4259" i="1" s="1"/>
  <c r="H711" i="1"/>
  <c r="I711" i="1" s="1"/>
  <c r="H513" i="1"/>
  <c r="I513" i="1" s="1"/>
  <c r="H4808" i="1"/>
  <c r="I4808" i="1" s="1"/>
  <c r="H4618" i="1"/>
  <c r="I4618" i="1" s="1"/>
  <c r="J4618" i="1" s="1"/>
  <c r="H5314" i="1"/>
  <c r="I5314" i="1" s="1"/>
  <c r="J5314" i="1" s="1"/>
  <c r="H2880" i="1"/>
  <c r="I2880" i="1" s="1"/>
  <c r="H3872" i="1"/>
  <c r="I3872" i="1" s="1"/>
  <c r="H1941" i="1"/>
  <c r="I1941" i="1" s="1"/>
  <c r="J1941" i="1" s="1"/>
  <c r="H1241" i="1"/>
  <c r="I1241" i="1" s="1"/>
  <c r="J1241" i="1" s="1"/>
  <c r="H3983" i="1"/>
  <c r="I3983" i="1" s="1"/>
  <c r="J3983" i="1" s="1"/>
  <c r="H2767" i="1"/>
  <c r="I2767" i="1" s="1"/>
  <c r="J2767" i="1" s="1"/>
  <c r="H1312" i="1"/>
  <c r="I1312" i="1" s="1"/>
  <c r="J1312" i="1" s="1"/>
  <c r="H1924" i="1"/>
  <c r="I1924" i="1" s="1"/>
  <c r="J1924" i="1" s="1"/>
  <c r="H5671" i="1"/>
  <c r="I5671" i="1" s="1"/>
  <c r="J5671" i="1" s="1"/>
  <c r="H5681" i="1"/>
  <c r="I5681" i="1" s="1"/>
  <c r="J5681" i="1" s="1"/>
  <c r="H3131" i="1"/>
  <c r="I3131" i="1" s="1"/>
  <c r="J3131" i="1" s="1"/>
  <c r="H5498" i="1"/>
  <c r="I5498" i="1" s="1"/>
  <c r="H5536" i="1"/>
  <c r="I5536" i="1" s="1"/>
  <c r="J5536" i="1" s="1"/>
  <c r="H1436" i="1"/>
  <c r="I1436" i="1" s="1"/>
  <c r="J1436" i="1" s="1"/>
  <c r="H3664" i="1"/>
  <c r="I3664" i="1" s="1"/>
  <c r="J3664" i="1" s="1"/>
  <c r="H2948" i="1"/>
  <c r="I2948" i="1" s="1"/>
  <c r="J2948" i="1" s="1"/>
  <c r="H4450" i="1"/>
  <c r="I4450" i="1" s="1"/>
  <c r="J4450" i="1" s="1"/>
  <c r="H475" i="1"/>
  <c r="I475" i="1" s="1"/>
  <c r="J475" i="1" s="1"/>
  <c r="H5344" i="1"/>
  <c r="I5344" i="1" s="1"/>
  <c r="J5344" i="1" s="1"/>
  <c r="H2695" i="1"/>
  <c r="I2695" i="1" s="1"/>
  <c r="H2985" i="1"/>
  <c r="I2985" i="1" s="1"/>
  <c r="H4348" i="1"/>
  <c r="I4348" i="1" s="1"/>
  <c r="J4348" i="1" s="1"/>
  <c r="H426" i="1"/>
  <c r="I426" i="1" s="1"/>
  <c r="J426" i="1" s="1"/>
  <c r="H1571" i="1"/>
  <c r="I1571" i="1" s="1"/>
  <c r="J1571" i="1" s="1"/>
  <c r="H467" i="1"/>
  <c r="I467" i="1" s="1"/>
  <c r="J467" i="1" s="1"/>
  <c r="H2071" i="1"/>
  <c r="I2071" i="1" s="1"/>
  <c r="J2071" i="1" s="1"/>
  <c r="H5977" i="1"/>
  <c r="I5977" i="1" s="1"/>
  <c r="J5977" i="1" s="1"/>
  <c r="H2395" i="1"/>
  <c r="I2395" i="1" s="1"/>
  <c r="J2395" i="1" s="1"/>
  <c r="H477" i="1"/>
  <c r="I477" i="1" s="1"/>
  <c r="J477" i="1" s="1"/>
  <c r="H1424" i="1"/>
  <c r="I1424" i="1" s="1"/>
  <c r="J1424" i="1" s="1"/>
  <c r="H602" i="1"/>
  <c r="I602" i="1" s="1"/>
  <c r="J602" i="1" s="1"/>
  <c r="H4041" i="1"/>
  <c r="I4041" i="1" s="1"/>
  <c r="J4041" i="1" s="1"/>
  <c r="H1046" i="1"/>
  <c r="I1046" i="1" s="1"/>
  <c r="J1046" i="1" s="1"/>
  <c r="H1325" i="1"/>
  <c r="I1325" i="1" s="1"/>
  <c r="J1325" i="1" s="1"/>
  <c r="H1698" i="1"/>
  <c r="I1698" i="1" s="1"/>
  <c r="J1698" i="1" s="1"/>
  <c r="H175" i="1"/>
  <c r="I175" i="1" s="1"/>
  <c r="J175" i="1" s="1"/>
  <c r="H5621" i="1"/>
  <c r="I5621" i="1" s="1"/>
  <c r="J5621" i="1" s="1"/>
  <c r="H5731" i="1"/>
  <c r="I5731" i="1" s="1"/>
  <c r="J5731" i="1" s="1"/>
  <c r="H4110" i="1"/>
  <c r="I4110" i="1" s="1"/>
  <c r="J4110" i="1" s="1"/>
  <c r="H4762" i="1"/>
  <c r="I4762" i="1" s="1"/>
  <c r="J4762" i="1" s="1"/>
  <c r="H1248" i="1"/>
  <c r="I1248" i="1" s="1"/>
  <c r="J1248" i="1" s="1"/>
  <c r="H2804" i="1"/>
  <c r="I2804" i="1" s="1"/>
  <c r="H4718" i="1"/>
  <c r="I4718" i="1" s="1"/>
  <c r="H3370" i="1"/>
  <c r="I3370" i="1" s="1"/>
  <c r="J3370" i="1" s="1"/>
  <c r="H2901" i="1"/>
  <c r="I2901" i="1" s="1"/>
  <c r="J2901" i="1" s="1"/>
  <c r="H5698" i="1"/>
  <c r="I5698" i="1" s="1"/>
  <c r="J5698" i="1" s="1"/>
  <c r="H763" i="1"/>
  <c r="I763" i="1" s="1"/>
  <c r="J763" i="1" s="1"/>
  <c r="H2558" i="1"/>
  <c r="I2558" i="1" s="1"/>
  <c r="J2558" i="1" s="1"/>
  <c r="H1428" i="1"/>
  <c r="I1428" i="1" s="1"/>
  <c r="H1805" i="1"/>
  <c r="I1805" i="1" s="1"/>
  <c r="H1276" i="1"/>
  <c r="I1276" i="1" s="1"/>
  <c r="H678" i="1"/>
  <c r="I678" i="1" s="1"/>
  <c r="J678" i="1" s="1"/>
  <c r="H2175" i="1"/>
  <c r="I2175" i="1" s="1"/>
  <c r="J2175" i="1" s="1"/>
  <c r="H1400" i="1"/>
  <c r="I1400" i="1" s="1"/>
  <c r="H3020" i="1"/>
  <c r="I3020" i="1" s="1"/>
  <c r="H5442" i="1"/>
  <c r="I5442" i="1" s="1"/>
  <c r="J5442" i="1" s="1"/>
  <c r="K5442" i="1" s="1"/>
  <c r="L5442" i="1" s="1"/>
  <c r="H2808" i="1"/>
  <c r="I2808" i="1" s="1"/>
  <c r="J2808" i="1" s="1"/>
  <c r="H1591" i="1"/>
  <c r="I1591" i="1" s="1"/>
  <c r="J1591" i="1" s="1"/>
  <c r="H1431" i="1"/>
  <c r="I1431" i="1" s="1"/>
  <c r="J1431" i="1" s="1"/>
  <c r="H4116" i="1"/>
  <c r="I4116" i="1" s="1"/>
  <c r="H3243" i="1"/>
  <c r="I3243" i="1" s="1"/>
  <c r="J3243" i="1" s="1"/>
  <c r="H2477" i="1"/>
  <c r="I2477" i="1" s="1"/>
  <c r="J2477" i="1" s="1"/>
  <c r="H1629" i="1"/>
  <c r="I1629" i="1" s="1"/>
  <c r="J1629" i="1" s="1"/>
  <c r="H940" i="1"/>
  <c r="I940" i="1" s="1"/>
  <c r="J940" i="1" s="1"/>
  <c r="H2860" i="1"/>
  <c r="I2860" i="1" s="1"/>
  <c r="H1010" i="1"/>
  <c r="I1010" i="1" s="1"/>
  <c r="H632" i="1"/>
  <c r="I632" i="1" s="1"/>
  <c r="J632" i="1" s="1"/>
  <c r="H986" i="1"/>
  <c r="I986" i="1" s="1"/>
  <c r="J986" i="1" s="1"/>
  <c r="H1069" i="1"/>
  <c r="I1069" i="1" s="1"/>
  <c r="J1069" i="1" s="1"/>
  <c r="H245" i="1"/>
  <c r="I245" i="1" s="1"/>
  <c r="J245" i="1" s="1"/>
  <c r="H2571" i="1"/>
  <c r="I2571" i="1" s="1"/>
  <c r="J2571" i="1" s="1"/>
  <c r="H5072" i="1"/>
  <c r="I5072" i="1" s="1"/>
  <c r="J5072" i="1" s="1"/>
  <c r="H1391" i="1"/>
  <c r="I1391" i="1" s="1"/>
  <c r="J1391" i="1" s="1"/>
  <c r="H449" i="1"/>
  <c r="I449" i="1" s="1"/>
  <c r="H1230" i="1"/>
  <c r="I1230" i="1" s="1"/>
  <c r="J1230" i="1" s="1"/>
  <c r="H5603" i="1"/>
  <c r="I5603" i="1" s="1"/>
  <c r="J5603" i="1" s="1"/>
  <c r="H2528" i="1"/>
  <c r="I2528" i="1" s="1"/>
  <c r="J2528" i="1" s="1"/>
  <c r="H4840" i="1"/>
  <c r="I4840" i="1" s="1"/>
  <c r="J4840" i="1" s="1"/>
  <c r="H5125" i="1"/>
  <c r="I5125" i="1" s="1"/>
  <c r="J5125" i="1" s="1"/>
  <c r="K5125" i="1" s="1"/>
  <c r="L5125" i="1" s="1"/>
  <c r="H1570" i="1"/>
  <c r="I1570" i="1" s="1"/>
  <c r="J1570" i="1" s="1"/>
  <c r="H2691" i="1"/>
  <c r="I2691" i="1" s="1"/>
  <c r="J2691" i="1" s="1"/>
  <c r="H5315" i="1"/>
  <c r="I5315" i="1" s="1"/>
  <c r="H1676" i="1"/>
  <c r="I1676" i="1" s="1"/>
  <c r="J1676" i="1" s="1"/>
  <c r="H4084" i="1"/>
  <c r="I4084" i="1" s="1"/>
  <c r="J4084" i="1" s="1"/>
  <c r="H219" i="1"/>
  <c r="I219" i="1" s="1"/>
  <c r="J219" i="1" s="1"/>
  <c r="H4445" i="1"/>
  <c r="I4445" i="1" s="1"/>
  <c r="J4445" i="1" s="1"/>
  <c r="H2756" i="1"/>
  <c r="I2756" i="1" s="1"/>
  <c r="J2756" i="1" s="1"/>
  <c r="H3596" i="1"/>
  <c r="I3596" i="1" s="1"/>
  <c r="J3596" i="1" s="1"/>
  <c r="H2915" i="1"/>
  <c r="I2915" i="1" s="1"/>
  <c r="H3792" i="1"/>
  <c r="I3792" i="1" s="1"/>
  <c r="J3792" i="1" s="1"/>
  <c r="H2387" i="1"/>
  <c r="I2387" i="1" s="1"/>
  <c r="J2387" i="1" s="1"/>
  <c r="H2998" i="1"/>
  <c r="I2998" i="1" s="1"/>
  <c r="J2998" i="1" s="1"/>
  <c r="H3439" i="1"/>
  <c r="I3439" i="1" s="1"/>
  <c r="J3439" i="1" s="1"/>
  <c r="H4585" i="1"/>
  <c r="I4585" i="1" s="1"/>
  <c r="J4585" i="1" s="1"/>
  <c r="H1573" i="1"/>
  <c r="I1573" i="1" s="1"/>
  <c r="J1573" i="1" s="1"/>
  <c r="H3424" i="1"/>
  <c r="I3424" i="1" s="1"/>
  <c r="J3424" i="1" s="1"/>
  <c r="H1037" i="1"/>
  <c r="I1037" i="1" s="1"/>
  <c r="H174" i="1"/>
  <c r="I174" i="1" s="1"/>
  <c r="J174" i="1" s="1"/>
  <c r="H5591" i="1"/>
  <c r="I5591" i="1" s="1"/>
  <c r="J5591" i="1" s="1"/>
  <c r="H134" i="1"/>
  <c r="I134" i="1" s="1"/>
  <c r="J134" i="1" s="1"/>
  <c r="H1481" i="1"/>
  <c r="I1481" i="1" s="1"/>
  <c r="J1481" i="1" s="1"/>
  <c r="H5020" i="1"/>
  <c r="I5020" i="1" s="1"/>
  <c r="J5020" i="1" s="1"/>
  <c r="H3946" i="1"/>
  <c r="I3946" i="1" s="1"/>
  <c r="H5535" i="1"/>
  <c r="I5535" i="1" s="1"/>
  <c r="J5535" i="1" s="1"/>
  <c r="H1562" i="1"/>
  <c r="I1562" i="1" s="1"/>
  <c r="J1562" i="1" s="1"/>
  <c r="H4103" i="1"/>
  <c r="I4103" i="1" s="1"/>
  <c r="H4673" i="1"/>
  <c r="I4673" i="1" s="1"/>
  <c r="J4673" i="1" s="1"/>
  <c r="H5230" i="1"/>
  <c r="I5230" i="1" s="1"/>
  <c r="J5230" i="1" s="1"/>
  <c r="H4557" i="1"/>
  <c r="I4557" i="1" s="1"/>
  <c r="J4557" i="1" s="1"/>
  <c r="H5136" i="1"/>
  <c r="I5136" i="1" s="1"/>
  <c r="J5136" i="1" s="1"/>
  <c r="H2405" i="1"/>
  <c r="I2405" i="1" s="1"/>
  <c r="J2405" i="1" s="1"/>
  <c r="H626" i="1"/>
  <c r="I626" i="1" s="1"/>
  <c r="H883" i="1"/>
  <c r="I883" i="1" s="1"/>
  <c r="J883" i="1" s="1"/>
  <c r="H2002" i="1"/>
  <c r="I2002" i="1" s="1"/>
  <c r="J2002" i="1" s="1"/>
  <c r="H3514" i="1"/>
  <c r="I3514" i="1" s="1"/>
  <c r="J3514" i="1" s="1"/>
  <c r="H2470" i="1"/>
  <c r="I2470" i="1" s="1"/>
  <c r="H3286" i="1"/>
  <c r="I3286" i="1" s="1"/>
  <c r="J3286" i="1" s="1"/>
  <c r="H1108" i="1"/>
  <c r="I1108" i="1" s="1"/>
  <c r="J1108" i="1" s="1"/>
  <c r="H1066" i="1"/>
  <c r="I1066" i="1" s="1"/>
  <c r="J1066" i="1" s="1"/>
  <c r="H163" i="1"/>
  <c r="I163" i="1" s="1"/>
  <c r="J163" i="1" s="1"/>
  <c r="H3658" i="1"/>
  <c r="I3658" i="1" s="1"/>
  <c r="J3658" i="1" s="1"/>
  <c r="H1712" i="1"/>
  <c r="I1712" i="1" s="1"/>
  <c r="H3773" i="1"/>
  <c r="I3773" i="1" s="1"/>
  <c r="H5470" i="1"/>
  <c r="I5470" i="1" s="1"/>
  <c r="H3117" i="1"/>
  <c r="I3117" i="1" s="1"/>
  <c r="J3117" i="1" s="1"/>
  <c r="H111" i="1"/>
  <c r="I111" i="1" s="1"/>
  <c r="J111" i="1" s="1"/>
  <c r="H3960" i="1"/>
  <c r="I3960" i="1" s="1"/>
  <c r="H1885" i="1"/>
  <c r="I1885" i="1" s="1"/>
  <c r="J1885" i="1" s="1"/>
  <c r="H2890" i="1"/>
  <c r="I2890" i="1" s="1"/>
  <c r="J2890" i="1" s="1"/>
  <c r="H4372" i="1"/>
  <c r="I4372" i="1" s="1"/>
  <c r="J4372" i="1" s="1"/>
  <c r="K4372" i="1" s="1"/>
  <c r="L4372" i="1" s="1"/>
  <c r="H1474" i="1"/>
  <c r="I1474" i="1" s="1"/>
  <c r="J1474" i="1" s="1"/>
  <c r="H5095" i="1"/>
  <c r="I5095" i="1" s="1"/>
  <c r="J5095" i="1" s="1"/>
  <c r="H5635" i="1"/>
  <c r="I5635" i="1" s="1"/>
  <c r="J5635" i="1" s="1"/>
  <c r="K5635" i="1" s="1"/>
  <c r="L5635" i="1" s="1"/>
  <c r="H1551" i="1"/>
  <c r="I1551" i="1" s="1"/>
  <c r="H2554" i="1"/>
  <c r="I2554" i="1" s="1"/>
  <c r="J2554" i="1" s="1"/>
  <c r="H3311" i="1"/>
  <c r="I3311" i="1" s="1"/>
  <c r="J3311" i="1" s="1"/>
  <c r="H588" i="1"/>
  <c r="I588" i="1" s="1"/>
  <c r="J588" i="1" s="1"/>
  <c r="H3609" i="1"/>
  <c r="I3609" i="1" s="1"/>
  <c r="J3609" i="1" s="1"/>
  <c r="H2744" i="1"/>
  <c r="I2744" i="1" s="1"/>
  <c r="J2744" i="1" s="1"/>
  <c r="H3987" i="1"/>
  <c r="I3987" i="1" s="1"/>
  <c r="J3987" i="1" s="1"/>
  <c r="H3090" i="1"/>
  <c r="I3090" i="1" s="1"/>
  <c r="J3090" i="1" s="1"/>
  <c r="H2774" i="1"/>
  <c r="I2774" i="1" s="1"/>
  <c r="J2774" i="1" s="1"/>
  <c r="H4820" i="1"/>
  <c r="I4820" i="1" s="1"/>
  <c r="J4820" i="1" s="1"/>
  <c r="H5921" i="1"/>
  <c r="I5921" i="1" s="1"/>
  <c r="J5921" i="1" s="1"/>
  <c r="K5921" i="1" s="1"/>
  <c r="L5921" i="1" s="1"/>
  <c r="H3136" i="1"/>
  <c r="I3136" i="1" s="1"/>
  <c r="J3136" i="1" s="1"/>
  <c r="H3494" i="1"/>
  <c r="I3494" i="1" s="1"/>
  <c r="J3494" i="1" s="1"/>
  <c r="H5064" i="1"/>
  <c r="I5064" i="1" s="1"/>
  <c r="H3248" i="1"/>
  <c r="I3248" i="1" s="1"/>
  <c r="J3248" i="1" s="1"/>
  <c r="H1791" i="1"/>
  <c r="I1791" i="1" s="1"/>
  <c r="H5661" i="1"/>
  <c r="I5661" i="1" s="1"/>
  <c r="H1604" i="1"/>
  <c r="I1604" i="1" s="1"/>
  <c r="J1604" i="1" s="1"/>
  <c r="H4527" i="1"/>
  <c r="I4527" i="1" s="1"/>
  <c r="H3334" i="1"/>
  <c r="I3334" i="1" s="1"/>
  <c r="J3334" i="1" s="1"/>
  <c r="H617" i="1"/>
  <c r="I617" i="1" s="1"/>
  <c r="J617" i="1" s="1"/>
  <c r="H3687" i="1"/>
  <c r="I3687" i="1" s="1"/>
  <c r="J3687" i="1" s="1"/>
  <c r="H2469" i="1"/>
  <c r="I2469" i="1" s="1"/>
  <c r="J2469" i="1" s="1"/>
  <c r="H851" i="1"/>
  <c r="I851" i="1" s="1"/>
  <c r="J851" i="1" s="1"/>
  <c r="H145" i="1"/>
  <c r="I145" i="1" s="1"/>
  <c r="J145" i="1" s="1"/>
  <c r="H4615" i="1"/>
  <c r="I4615" i="1" s="1"/>
  <c r="J4615" i="1" s="1"/>
  <c r="H4535" i="1"/>
  <c r="I4535" i="1" s="1"/>
  <c r="H4329" i="1"/>
  <c r="I4329" i="1" s="1"/>
  <c r="J4329" i="1" s="1"/>
  <c r="H4589" i="1"/>
  <c r="I4589" i="1" s="1"/>
  <c r="J4589" i="1" s="1"/>
  <c r="H5593" i="1"/>
  <c r="I5593" i="1" s="1"/>
  <c r="J5593" i="1" s="1"/>
  <c r="H4648" i="1"/>
  <c r="I4648" i="1" s="1"/>
  <c r="H5659" i="1"/>
  <c r="I5659" i="1" s="1"/>
  <c r="J5659" i="1" s="1"/>
  <c r="H933" i="1"/>
  <c r="I933" i="1" s="1"/>
  <c r="J933" i="1" s="1"/>
  <c r="H3204" i="1"/>
  <c r="I3204" i="1" s="1"/>
  <c r="J3204" i="1" s="1"/>
  <c r="H3819" i="1"/>
  <c r="I3819" i="1" s="1"/>
  <c r="J3819" i="1" s="1"/>
  <c r="H599" i="1"/>
  <c r="I599" i="1" s="1"/>
  <c r="J599" i="1" s="1"/>
  <c r="H5085" i="1"/>
  <c r="I5085" i="1" s="1"/>
  <c r="H566" i="1"/>
  <c r="I566" i="1" s="1"/>
  <c r="J566" i="1" s="1"/>
  <c r="H4888" i="1"/>
  <c r="I4888" i="1" s="1"/>
  <c r="J4888" i="1" s="1"/>
  <c r="H4326" i="1"/>
  <c r="I4326" i="1" s="1"/>
  <c r="J4326" i="1" s="1"/>
  <c r="H5440" i="1"/>
  <c r="I5440" i="1" s="1"/>
  <c r="J5440" i="1" s="1"/>
  <c r="K5440" i="1" s="1"/>
  <c r="L5440" i="1" s="1"/>
  <c r="H1708" i="1"/>
  <c r="I1708" i="1" s="1"/>
  <c r="J1708" i="1" s="1"/>
  <c r="H135" i="1"/>
  <c r="I135" i="1" s="1"/>
  <c r="J135" i="1" s="1"/>
  <c r="H5534" i="1"/>
  <c r="I5534" i="1" s="1"/>
  <c r="H4864" i="1"/>
  <c r="I4864" i="1" s="1"/>
  <c r="J4864" i="1" s="1"/>
  <c r="H3195" i="1"/>
  <c r="I3195" i="1" s="1"/>
  <c r="J3195" i="1" s="1"/>
  <c r="H4305" i="1"/>
  <c r="I4305" i="1" s="1"/>
  <c r="J4305" i="1" s="1"/>
  <c r="H544" i="1"/>
  <c r="I544" i="1" s="1"/>
  <c r="H5483" i="1"/>
  <c r="I5483" i="1" s="1"/>
  <c r="J5483" i="1" s="1"/>
  <c r="H5466" i="1"/>
  <c r="I5466" i="1" s="1"/>
  <c r="H5830" i="1"/>
  <c r="I5830" i="1" s="1"/>
  <c r="H800" i="1"/>
  <c r="I800" i="1" s="1"/>
  <c r="J800" i="1" s="1"/>
  <c r="H430" i="1"/>
  <c r="I430" i="1" s="1"/>
  <c r="H4834" i="1"/>
  <c r="I4834" i="1" s="1"/>
  <c r="J4834" i="1" s="1"/>
  <c r="H2097" i="1"/>
  <c r="I2097" i="1" s="1"/>
  <c r="J2097" i="1" s="1"/>
  <c r="H115" i="1"/>
  <c r="I115" i="1" s="1"/>
  <c r="J115" i="1" s="1"/>
  <c r="H1688" i="1"/>
  <c r="I1688" i="1" s="1"/>
  <c r="J1688" i="1" s="1"/>
  <c r="H209" i="1"/>
  <c r="I209" i="1" s="1"/>
  <c r="J209" i="1" s="1"/>
  <c r="H4748" i="1"/>
  <c r="I4748" i="1" s="1"/>
  <c r="J4748" i="1" s="1"/>
  <c r="H657" i="1"/>
  <c r="I657" i="1" s="1"/>
  <c r="J657" i="1" s="1"/>
  <c r="H4422" i="1"/>
  <c r="I4422" i="1" s="1"/>
  <c r="H3067" i="1"/>
  <c r="I3067" i="1" s="1"/>
  <c r="J3067" i="1" s="1"/>
  <c r="H4722" i="1"/>
  <c r="I4722" i="1" s="1"/>
  <c r="J4722" i="1" s="1"/>
  <c r="H1064" i="1"/>
  <c r="I1064" i="1" s="1"/>
  <c r="H3914" i="1"/>
  <c r="I3914" i="1" s="1"/>
  <c r="J3914" i="1" s="1"/>
  <c r="H3216" i="1"/>
  <c r="I3216" i="1" s="1"/>
  <c r="J3216" i="1" s="1"/>
  <c r="H4386" i="1"/>
  <c r="I4386" i="1" s="1"/>
  <c r="J4386" i="1" s="1"/>
  <c r="H4768" i="1"/>
  <c r="I4768" i="1" s="1"/>
  <c r="J4768" i="1" s="1"/>
  <c r="H5264" i="1"/>
  <c r="I5264" i="1" s="1"/>
  <c r="J5264" i="1" s="1"/>
  <c r="H4459" i="1"/>
  <c r="I4459" i="1" s="1"/>
  <c r="H2052" i="1"/>
  <c r="I2052" i="1" s="1"/>
  <c r="J2052" i="1" s="1"/>
  <c r="H4981" i="1"/>
  <c r="I4981" i="1" s="1"/>
  <c r="J4981" i="1" s="1"/>
  <c r="K4981" i="1" s="1"/>
  <c r="L4981" i="1" s="1"/>
  <c r="H2794" i="1"/>
  <c r="I2794" i="1" s="1"/>
  <c r="H4005" i="1"/>
  <c r="I4005" i="1" s="1"/>
  <c r="J4005" i="1" s="1"/>
  <c r="H4417" i="1"/>
  <c r="I4417" i="1" s="1"/>
  <c r="J4417" i="1" s="1"/>
  <c r="H3935" i="1"/>
  <c r="I3935" i="1" s="1"/>
  <c r="J3935" i="1" s="1"/>
  <c r="H601" i="1"/>
  <c r="I601" i="1" s="1"/>
  <c r="J601" i="1" s="1"/>
  <c r="H2436" i="1"/>
  <c r="I2436" i="1" s="1"/>
  <c r="J2436" i="1" s="1"/>
  <c r="H839" i="1"/>
  <c r="I839" i="1" s="1"/>
  <c r="J839" i="1" s="1"/>
  <c r="H771" i="1"/>
  <c r="I771" i="1" s="1"/>
  <c r="J771" i="1" s="1"/>
  <c r="H4088" i="1"/>
  <c r="I4088" i="1" s="1"/>
  <c r="H3055" i="1"/>
  <c r="I3055" i="1" s="1"/>
  <c r="J3055" i="1" s="1"/>
  <c r="H4705" i="1"/>
  <c r="I4705" i="1" s="1"/>
  <c r="J4705" i="1" s="1"/>
  <c r="H1761" i="1"/>
  <c r="I1761" i="1" s="1"/>
  <c r="J1761" i="1" s="1"/>
  <c r="H4196" i="1"/>
  <c r="I4196" i="1" s="1"/>
  <c r="J4196" i="1" s="1"/>
  <c r="H814" i="1"/>
  <c r="I814" i="1" s="1"/>
  <c r="H4433" i="1"/>
  <c r="I4433" i="1" s="1"/>
  <c r="J4433" i="1" s="1"/>
  <c r="H549" i="1"/>
  <c r="I549" i="1" s="1"/>
  <c r="J549" i="1" s="1"/>
  <c r="H4546" i="1"/>
  <c r="I4546" i="1" s="1"/>
  <c r="H2786" i="1"/>
  <c r="I2786" i="1" s="1"/>
  <c r="J2786" i="1" s="1"/>
  <c r="H777" i="1"/>
  <c r="I777" i="1" s="1"/>
  <c r="J777" i="1" s="1"/>
  <c r="H411" i="1"/>
  <c r="I411" i="1" s="1"/>
  <c r="J411" i="1" s="1"/>
  <c r="H2424" i="1"/>
  <c r="I2424" i="1" s="1"/>
  <c r="J2424" i="1" s="1"/>
  <c r="H1416" i="1"/>
  <c r="I1416" i="1" s="1"/>
  <c r="J1416" i="1" s="1"/>
  <c r="H3548" i="1"/>
  <c r="I3548" i="1" s="1"/>
  <c r="H5241" i="1"/>
  <c r="I5241" i="1" s="1"/>
  <c r="J5241" i="1" s="1"/>
  <c r="H3151" i="1"/>
  <c r="I3151" i="1" s="1"/>
  <c r="J3151" i="1" s="1"/>
  <c r="H3348" i="1"/>
  <c r="I3348" i="1" s="1"/>
  <c r="J3348" i="1" s="1"/>
  <c r="H4182" i="1"/>
  <c r="I4182" i="1" s="1"/>
  <c r="J4182" i="1" s="1"/>
  <c r="H1274" i="1"/>
  <c r="I1274" i="1" s="1"/>
  <c r="J1274" i="1" s="1"/>
  <c r="H199" i="1"/>
  <c r="I199" i="1" s="1"/>
  <c r="J199" i="1" s="1"/>
  <c r="H337" i="1"/>
  <c r="I337" i="1" s="1"/>
  <c r="J337" i="1" s="1"/>
  <c r="H1176" i="1"/>
  <c r="I1176" i="1" s="1"/>
  <c r="J1176" i="1" s="1"/>
  <c r="H2368" i="1"/>
  <c r="I2368" i="1" s="1"/>
  <c r="H990" i="1"/>
  <c r="I990" i="1" s="1"/>
  <c r="H1695" i="1"/>
  <c r="I1695" i="1" s="1"/>
  <c r="J1695" i="1" s="1"/>
  <c r="H1360" i="1"/>
  <c r="I1360" i="1" s="1"/>
  <c r="J1360" i="1" s="1"/>
  <c r="H692" i="1"/>
  <c r="I692" i="1" s="1"/>
  <c r="J692" i="1" s="1"/>
  <c r="H703" i="1"/>
  <c r="I703" i="1" s="1"/>
  <c r="J703" i="1" s="1"/>
  <c r="H3183" i="1"/>
  <c r="I3183" i="1" s="1"/>
  <c r="J3183" i="1" s="1"/>
  <c r="H5057" i="1"/>
  <c r="I5057" i="1" s="1"/>
  <c r="J5057" i="1" s="1"/>
  <c r="H5510" i="1"/>
  <c r="I5510" i="1" s="1"/>
  <c r="J5510" i="1" s="1"/>
  <c r="H5630" i="1"/>
  <c r="I5630" i="1" s="1"/>
  <c r="J5630" i="1" s="1"/>
  <c r="K5630" i="1" s="1"/>
  <c r="L5630" i="1" s="1"/>
  <c r="H4825" i="1"/>
  <c r="I4825" i="1" s="1"/>
  <c r="J4825" i="1" s="1"/>
  <c r="H4522" i="1"/>
  <c r="I4522" i="1" s="1"/>
  <c r="J4522" i="1" s="1"/>
  <c r="H183" i="1"/>
  <c r="I183" i="1" s="1"/>
  <c r="H3182" i="1"/>
  <c r="I3182" i="1" s="1"/>
  <c r="J3182" i="1" s="1"/>
  <c r="H2783" i="1"/>
  <c r="I2783" i="1" s="1"/>
  <c r="H4697" i="1"/>
  <c r="I4697" i="1" s="1"/>
  <c r="J4697" i="1" s="1"/>
  <c r="H2341" i="1"/>
  <c r="I2341" i="1" s="1"/>
  <c r="J2341" i="1" s="1"/>
  <c r="H6001" i="1"/>
  <c r="I6001" i="1" s="1"/>
  <c r="J6001" i="1" s="1"/>
  <c r="H4125" i="1"/>
  <c r="I4125" i="1" s="1"/>
  <c r="H768" i="1"/>
  <c r="I768" i="1" s="1"/>
  <c r="H1404" i="1"/>
  <c r="I1404" i="1" s="1"/>
  <c r="H4660" i="1"/>
  <c r="I4660" i="1" s="1"/>
  <c r="J4660" i="1" s="1"/>
  <c r="K4660" i="1" s="1"/>
  <c r="L4660" i="1" s="1"/>
  <c r="H2350" i="1"/>
  <c r="I2350" i="1" s="1"/>
  <c r="J2350" i="1" s="1"/>
  <c r="H1611" i="1"/>
  <c r="I1611" i="1" s="1"/>
  <c r="J1611" i="1" s="1"/>
  <c r="H2298" i="1"/>
  <c r="I2298" i="1" s="1"/>
  <c r="J2298" i="1" s="1"/>
  <c r="H3734" i="1"/>
  <c r="I3734" i="1" s="1"/>
  <c r="J3734" i="1" s="1"/>
  <c r="H5454" i="1"/>
  <c r="I5454" i="1" s="1"/>
  <c r="J5454" i="1" s="1"/>
  <c r="H4525" i="1"/>
  <c r="I4525" i="1" s="1"/>
  <c r="H4707" i="1"/>
  <c r="I4707" i="1" s="1"/>
  <c r="J4707" i="1" s="1"/>
  <c r="H1423" i="1"/>
  <c r="I1423" i="1" s="1"/>
  <c r="J1423" i="1" s="1"/>
  <c r="H3784" i="1"/>
  <c r="I3784" i="1" s="1"/>
  <c r="J3784" i="1" s="1"/>
  <c r="H5804" i="1"/>
  <c r="I5804" i="1" s="1"/>
  <c r="J5804" i="1" s="1"/>
  <c r="H5933" i="1"/>
  <c r="I5933" i="1" s="1"/>
  <c r="J5933" i="1" s="1"/>
  <c r="H3785" i="1"/>
  <c r="I3785" i="1" s="1"/>
  <c r="J3785" i="1" s="1"/>
  <c r="H5716" i="1"/>
  <c r="I5716" i="1" s="1"/>
  <c r="J5716" i="1" s="1"/>
  <c r="K5716" i="1" s="1"/>
  <c r="L5716" i="1" s="1"/>
  <c r="H5397" i="1"/>
  <c r="I5397" i="1" s="1"/>
  <c r="J5397" i="1" s="1"/>
  <c r="K5397" i="1" s="1"/>
  <c r="L5397" i="1" s="1"/>
  <c r="H3265" i="1"/>
  <c r="I3265" i="1" s="1"/>
  <c r="J3265" i="1" s="1"/>
  <c r="H5515" i="1"/>
  <c r="I5515" i="1" s="1"/>
  <c r="J5515" i="1" s="1"/>
  <c r="H5909" i="1"/>
  <c r="I5909" i="1" s="1"/>
  <c r="H5097" i="1"/>
  <c r="I5097" i="1" s="1"/>
  <c r="J5097" i="1" s="1"/>
  <c r="H1364" i="1"/>
  <c r="I1364" i="1" s="1"/>
  <c r="J1364" i="1" s="1"/>
  <c r="H1817" i="1"/>
  <c r="I1817" i="1" s="1"/>
  <c r="J1817" i="1" s="1"/>
  <c r="H126" i="1"/>
  <c r="I126" i="1" s="1"/>
  <c r="J126" i="1" s="1"/>
  <c r="H5333" i="1"/>
  <c r="I5333" i="1" s="1"/>
  <c r="J5333" i="1" s="1"/>
  <c r="K5333" i="1" s="1"/>
  <c r="L5333" i="1" s="1"/>
  <c r="H4630" i="1"/>
  <c r="I4630" i="1" s="1"/>
  <c r="J4630" i="1" s="1"/>
  <c r="H2442" i="1"/>
  <c r="I2442" i="1" s="1"/>
  <c r="J2442" i="1" s="1"/>
  <c r="H173" i="1"/>
  <c r="I173" i="1" s="1"/>
  <c r="J173" i="1" s="1"/>
  <c r="H2522" i="1"/>
  <c r="I2522" i="1" s="1"/>
  <c r="J2522" i="1" s="1"/>
  <c r="H5743" i="1"/>
  <c r="I5743" i="1" s="1"/>
  <c r="J5743" i="1" s="1"/>
  <c r="H4607" i="1"/>
  <c r="I4607" i="1" s="1"/>
  <c r="J4607" i="1" s="1"/>
  <c r="H56" i="1"/>
  <c r="I56" i="1" s="1"/>
  <c r="J56" i="1" s="1"/>
  <c r="H3457" i="1"/>
  <c r="I3457" i="1" s="1"/>
  <c r="J3457" i="1" s="1"/>
  <c r="H645" i="1"/>
  <c r="I645" i="1" s="1"/>
  <c r="J645" i="1" s="1"/>
  <c r="H68" i="1"/>
  <c r="I68" i="1" s="1"/>
  <c r="J68" i="1" s="1"/>
  <c r="H2604" i="1"/>
  <c r="I2604" i="1" s="1"/>
  <c r="J2604" i="1" s="1"/>
  <c r="H5010" i="1"/>
  <c r="I5010" i="1" s="1"/>
  <c r="J5010" i="1" s="1"/>
  <c r="H4736" i="1"/>
  <c r="I4736" i="1" s="1"/>
  <c r="J4736" i="1" s="1"/>
  <c r="H3148" i="1"/>
  <c r="I3148" i="1" s="1"/>
  <c r="J3148" i="1" s="1"/>
  <c r="H3761" i="1"/>
  <c r="I3761" i="1" s="1"/>
  <c r="J3761" i="1" s="1"/>
  <c r="H3372" i="1"/>
  <c r="I3372" i="1" s="1"/>
  <c r="J3372" i="1" s="1"/>
  <c r="H2004" i="1"/>
  <c r="I2004" i="1" s="1"/>
  <c r="J2004" i="1" s="1"/>
  <c r="H1196" i="1"/>
  <c r="I1196" i="1" s="1"/>
  <c r="J1196" i="1" s="1"/>
  <c r="H5190" i="1"/>
  <c r="I5190" i="1" s="1"/>
  <c r="J5190" i="1" s="1"/>
  <c r="H552" i="1"/>
  <c r="I552" i="1" s="1"/>
  <c r="J552" i="1" s="1"/>
  <c r="H3357" i="1"/>
  <c r="I3357" i="1" s="1"/>
  <c r="J3357" i="1" s="1"/>
  <c r="H1724" i="1"/>
  <c r="I1724" i="1" s="1"/>
  <c r="J1724" i="1" s="1"/>
  <c r="H74" i="1"/>
  <c r="I74" i="1" s="1"/>
  <c r="J74" i="1" s="1"/>
  <c r="H4236" i="1"/>
  <c r="I4236" i="1" s="1"/>
  <c r="J4236" i="1" s="1"/>
  <c r="H4079" i="1"/>
  <c r="I4079" i="1" s="1"/>
  <c r="J4079" i="1" s="1"/>
  <c r="H773" i="1"/>
  <c r="I773" i="1" s="1"/>
  <c r="J773" i="1" s="1"/>
  <c r="H1818" i="1"/>
  <c r="I1818" i="1" s="1"/>
  <c r="J1818" i="1" s="1"/>
  <c r="H5756" i="1"/>
  <c r="I5756" i="1" s="1"/>
  <c r="J5756" i="1" s="1"/>
  <c r="H5090" i="1"/>
  <c r="I5090" i="1" s="1"/>
  <c r="J5090" i="1" s="1"/>
  <c r="H5931" i="1"/>
  <c r="I5931" i="1" s="1"/>
  <c r="J5931" i="1" s="1"/>
  <c r="H3149" i="1"/>
  <c r="I3149" i="1" s="1"/>
  <c r="J3149" i="1" s="1"/>
  <c r="H3337" i="1"/>
  <c r="I3337" i="1" s="1"/>
  <c r="J3337" i="1" s="1"/>
  <c r="H5932" i="1"/>
  <c r="I5932" i="1" s="1"/>
  <c r="J5932" i="1" s="1"/>
  <c r="H2046" i="1"/>
  <c r="I2046" i="1" s="1"/>
  <c r="J2046" i="1" s="1"/>
  <c r="H159" i="1"/>
  <c r="I159" i="1" s="1"/>
  <c r="J159" i="1" s="1"/>
  <c r="H2999" i="1"/>
  <c r="I2999" i="1" s="1"/>
  <c r="J2999" i="1" s="1"/>
  <c r="H4014" i="1"/>
  <c r="I4014" i="1" s="1"/>
  <c r="J4014" i="1" s="1"/>
  <c r="H812" i="1"/>
  <c r="I812" i="1" s="1"/>
  <c r="J812" i="1" s="1"/>
  <c r="H4324" i="1"/>
  <c r="I4324" i="1" s="1"/>
  <c r="J4324" i="1" s="1"/>
  <c r="H4565" i="1"/>
  <c r="I4565" i="1" s="1"/>
  <c r="J4565" i="1" s="1"/>
  <c r="K4565" i="1" s="1"/>
  <c r="L4565" i="1" s="1"/>
  <c r="H1875" i="1"/>
  <c r="I1875" i="1" s="1"/>
  <c r="J1875" i="1" s="1"/>
  <c r="H4399" i="1"/>
  <c r="I4399" i="1" s="1"/>
  <c r="J4399" i="1" s="1"/>
  <c r="H2746" i="1"/>
  <c r="I2746" i="1" s="1"/>
  <c r="J2746" i="1" s="1"/>
  <c r="H3412" i="1"/>
  <c r="I3412" i="1" s="1"/>
  <c r="J3412" i="1" s="1"/>
  <c r="H1302" i="1"/>
  <c r="I1302" i="1" s="1"/>
  <c r="J1302" i="1" s="1"/>
  <c r="H1671" i="1"/>
  <c r="I1671" i="1" s="1"/>
  <c r="J1671" i="1" s="1"/>
  <c r="H2223" i="1"/>
  <c r="I2223" i="1" s="1"/>
  <c r="J2223" i="1" s="1"/>
  <c r="H4526" i="1"/>
  <c r="I4526" i="1" s="1"/>
  <c r="J4526" i="1" s="1"/>
  <c r="H1153" i="1"/>
  <c r="I1153" i="1" s="1"/>
  <c r="J1153" i="1" s="1"/>
  <c r="H684" i="1"/>
  <c r="I684" i="1" s="1"/>
  <c r="J684" i="1" s="1"/>
  <c r="H4405" i="1"/>
  <c r="I4405" i="1" s="1"/>
  <c r="J4405" i="1" s="1"/>
  <c r="H691" i="1"/>
  <c r="I691" i="1" s="1"/>
  <c r="J691" i="1" s="1"/>
  <c r="H2491" i="1"/>
  <c r="I2491" i="1" s="1"/>
  <c r="J2491" i="1" s="1"/>
  <c r="H242" i="1"/>
  <c r="I242" i="1" s="1"/>
  <c r="J242" i="1" s="1"/>
  <c r="H5714" i="1"/>
  <c r="I5714" i="1" s="1"/>
  <c r="J5714" i="1" s="1"/>
  <c r="H5500" i="1"/>
  <c r="I5500" i="1" s="1"/>
  <c r="J5500" i="1" s="1"/>
  <c r="H3788" i="1"/>
  <c r="I3788" i="1" s="1"/>
  <c r="J3788" i="1" s="1"/>
  <c r="H4409" i="1"/>
  <c r="I4409" i="1" s="1"/>
  <c r="J4409" i="1" s="1"/>
  <c r="H3782" i="1"/>
  <c r="I3782" i="1" s="1"/>
  <c r="J3782" i="1" s="1"/>
  <c r="H2736" i="1"/>
  <c r="I2736" i="1" s="1"/>
  <c r="J2736" i="1" s="1"/>
  <c r="H3492" i="1"/>
  <c r="I3492" i="1" s="1"/>
  <c r="J3492" i="1" s="1"/>
  <c r="H3468" i="1"/>
  <c r="I3468" i="1" s="1"/>
  <c r="J3468" i="1" s="1"/>
  <c r="H1637" i="1"/>
  <c r="I1637" i="1" s="1"/>
  <c r="J1637" i="1" s="1"/>
  <c r="H3156" i="1"/>
  <c r="I3156" i="1" s="1"/>
  <c r="J3156" i="1" s="1"/>
  <c r="H5462" i="1"/>
  <c r="I5462" i="1" s="1"/>
  <c r="J5462" i="1" s="1"/>
  <c r="H378" i="1"/>
  <c r="I378" i="1" s="1"/>
  <c r="J378" i="1" s="1"/>
  <c r="H3025" i="1"/>
  <c r="I3025" i="1" s="1"/>
  <c r="J3025" i="1" s="1"/>
  <c r="H5513" i="1"/>
  <c r="I5513" i="1" s="1"/>
  <c r="J5513" i="1" s="1"/>
  <c r="H5628" i="1"/>
  <c r="I5628" i="1" s="1"/>
  <c r="J5628" i="1" s="1"/>
  <c r="H3539" i="1"/>
  <c r="I3539" i="1" s="1"/>
  <c r="J3539" i="1" s="1"/>
  <c r="H627" i="1"/>
  <c r="I627" i="1" s="1"/>
  <c r="J627" i="1" s="1"/>
  <c r="H2379" i="1"/>
  <c r="I2379" i="1" s="1"/>
  <c r="J2379" i="1" s="1"/>
  <c r="H1438" i="1"/>
  <c r="I1438" i="1" s="1"/>
  <c r="J1438" i="1" s="1"/>
  <c r="H4646" i="1"/>
  <c r="I4646" i="1" s="1"/>
  <c r="J4646" i="1" s="1"/>
  <c r="H482" i="1"/>
  <c r="I482" i="1" s="1"/>
  <c r="J482" i="1" s="1"/>
  <c r="H275" i="1"/>
  <c r="I275" i="1" s="1"/>
  <c r="J275" i="1" s="1"/>
  <c r="H890" i="1"/>
  <c r="I890" i="1" s="1"/>
  <c r="J890" i="1" s="1"/>
  <c r="H1150" i="1"/>
  <c r="I1150" i="1" s="1"/>
  <c r="J1150" i="1" s="1"/>
  <c r="H5024" i="1"/>
  <c r="I5024" i="1" s="1"/>
  <c r="J5024" i="1" s="1"/>
  <c r="H522" i="1"/>
  <c r="I522" i="1" s="1"/>
  <c r="J522" i="1" s="1"/>
  <c r="H80" i="1"/>
  <c r="I80" i="1" s="1"/>
  <c r="J80" i="1" s="1"/>
  <c r="H3051" i="1"/>
  <c r="I3051" i="1" s="1"/>
  <c r="J3051" i="1" s="1"/>
  <c r="H5349" i="1"/>
  <c r="I5349" i="1" s="1"/>
  <c r="J5349" i="1" s="1"/>
  <c r="K5349" i="1" s="1"/>
  <c r="L5349" i="1" s="1"/>
  <c r="H4807" i="1"/>
  <c r="I4807" i="1" s="1"/>
  <c r="J4807" i="1" s="1"/>
  <c r="H1006" i="1"/>
  <c r="I1006" i="1" s="1"/>
  <c r="J1006" i="1" s="1"/>
  <c r="H5851" i="1"/>
  <c r="I5851" i="1" s="1"/>
  <c r="J5851" i="1" s="1"/>
  <c r="H2126" i="1"/>
  <c r="I2126" i="1" s="1"/>
  <c r="J2126" i="1" s="1"/>
  <c r="H2163" i="1"/>
  <c r="I2163" i="1" s="1"/>
  <c r="J2163" i="1" s="1"/>
  <c r="H5290" i="1"/>
  <c r="I5290" i="1" s="1"/>
  <c r="J5290" i="1" s="1"/>
  <c r="H299" i="1"/>
  <c r="I299" i="1" s="1"/>
  <c r="J299" i="1" s="1"/>
  <c r="H3332" i="1"/>
  <c r="I3332" i="1" s="1"/>
  <c r="J3332" i="1" s="1"/>
  <c r="H2148" i="1"/>
  <c r="I2148" i="1" s="1"/>
  <c r="J2148" i="1" s="1"/>
  <c r="H5207" i="1"/>
  <c r="I5207" i="1" s="1"/>
  <c r="J5207" i="1" s="1"/>
  <c r="H5359" i="1"/>
  <c r="I5359" i="1" s="1"/>
  <c r="J5359" i="1" s="1"/>
  <c r="H2006" i="1"/>
  <c r="I2006" i="1" s="1"/>
  <c r="J2006" i="1" s="1"/>
  <c r="H2839" i="1"/>
  <c r="I2839" i="1" s="1"/>
  <c r="J2839" i="1" s="1"/>
  <c r="H1764" i="1"/>
  <c r="I1764" i="1" s="1"/>
  <c r="J1764" i="1" s="1"/>
  <c r="H2205" i="1"/>
  <c r="I2205" i="1" s="1"/>
  <c r="J2205" i="1" s="1"/>
  <c r="H409" i="1"/>
  <c r="I409" i="1" s="1"/>
  <c r="J409" i="1" s="1"/>
  <c r="H3250" i="1"/>
  <c r="I3250" i="1" s="1"/>
  <c r="J3250" i="1" s="1"/>
  <c r="H1649" i="1"/>
  <c r="I1649" i="1" s="1"/>
  <c r="J1649" i="1" s="1"/>
  <c r="H36" i="1"/>
  <c r="I36" i="1" s="1"/>
  <c r="J36" i="1" s="1"/>
  <c r="H3120" i="1"/>
  <c r="I3120" i="1" s="1"/>
  <c r="J3120" i="1" s="1"/>
  <c r="H4365" i="1"/>
  <c r="I4365" i="1" s="1"/>
  <c r="J4365" i="1" s="1"/>
  <c r="H3242" i="1"/>
  <c r="I3242" i="1" s="1"/>
  <c r="J3242" i="1" s="1"/>
  <c r="H310" i="1"/>
  <c r="I310" i="1" s="1"/>
  <c r="J310" i="1" s="1"/>
  <c r="H1011" i="1"/>
  <c r="I1011" i="1" s="1"/>
  <c r="J1011" i="1" s="1"/>
  <c r="H1192" i="1"/>
  <c r="I1192" i="1" s="1"/>
  <c r="J1192" i="1" s="1"/>
  <c r="H5347" i="1"/>
  <c r="I5347" i="1" s="1"/>
  <c r="J5347" i="1" s="1"/>
  <c r="H3244" i="1"/>
  <c r="I3244" i="1" s="1"/>
  <c r="J3244" i="1" s="1"/>
  <c r="H1743" i="1"/>
  <c r="I1743" i="1" s="1"/>
  <c r="J1743" i="1" s="1"/>
  <c r="H2101" i="1"/>
  <c r="I2101" i="1" s="1"/>
  <c r="J2101" i="1" s="1"/>
  <c r="H3949" i="1"/>
  <c r="I3949" i="1" s="1"/>
  <c r="J3949" i="1" s="1"/>
  <c r="H3171" i="1"/>
  <c r="I3171" i="1" s="1"/>
  <c r="J3171" i="1" s="1"/>
  <c r="H2971" i="1"/>
  <c r="I2971" i="1" s="1"/>
  <c r="J2971" i="1" s="1"/>
  <c r="H3004" i="1"/>
  <c r="I3004" i="1" s="1"/>
  <c r="J3004" i="1" s="1"/>
  <c r="H4046" i="1"/>
  <c r="I4046" i="1" s="1"/>
  <c r="J4046" i="1" s="1"/>
  <c r="H2020" i="1"/>
  <c r="I2020" i="1" s="1"/>
  <c r="J2020" i="1" s="1"/>
  <c r="H2068" i="1"/>
  <c r="I2068" i="1" s="1"/>
  <c r="J2068" i="1" s="1"/>
  <c r="H4740" i="1"/>
  <c r="I4740" i="1" s="1"/>
  <c r="J4740" i="1" s="1"/>
  <c r="K4740" i="1" s="1"/>
  <c r="L4740" i="1" s="1"/>
  <c r="H1016" i="1"/>
  <c r="I1016" i="1" s="1"/>
  <c r="J1016" i="1" s="1"/>
  <c r="H1281" i="1"/>
  <c r="I1281" i="1" s="1"/>
  <c r="J1281" i="1" s="1"/>
  <c r="H1403" i="1"/>
  <c r="I1403" i="1" s="1"/>
  <c r="J1403" i="1" s="1"/>
  <c r="H4311" i="1"/>
  <c r="I4311" i="1" s="1"/>
  <c r="J4311" i="1" s="1"/>
  <c r="H4980" i="1"/>
  <c r="I4980" i="1" s="1"/>
  <c r="J4980" i="1" s="1"/>
  <c r="H2893" i="1"/>
  <c r="I2893" i="1" s="1"/>
  <c r="J2893" i="1" s="1"/>
  <c r="H3900" i="1"/>
  <c r="I3900" i="1" s="1"/>
  <c r="J3900" i="1" s="1"/>
  <c r="H4320" i="1"/>
  <c r="I4320" i="1" s="1"/>
  <c r="J4320" i="1" s="1"/>
  <c r="H5926" i="1"/>
  <c r="I5926" i="1" s="1"/>
  <c r="J5926" i="1" s="1"/>
  <c r="H254" i="1"/>
  <c r="I254" i="1" s="1"/>
  <c r="H5727" i="1"/>
  <c r="I5727" i="1" s="1"/>
  <c r="J5727" i="1" s="1"/>
  <c r="H1996" i="1"/>
  <c r="I1996" i="1" s="1"/>
  <c r="J1996" i="1" s="1"/>
  <c r="H2716" i="1"/>
  <c r="I2716" i="1" s="1"/>
  <c r="J2716" i="1" s="1"/>
  <c r="H2200" i="1"/>
  <c r="I2200" i="1" s="1"/>
  <c r="J2200" i="1" s="1"/>
  <c r="H5667" i="1"/>
  <c r="I5667" i="1" s="1"/>
  <c r="J5667" i="1" s="1"/>
  <c r="H443" i="1"/>
  <c r="I443" i="1" s="1"/>
  <c r="J443" i="1" s="1"/>
  <c r="H2927" i="1"/>
  <c r="I2927" i="1" s="1"/>
  <c r="J2927" i="1" s="1"/>
  <c r="H517" i="1"/>
  <c r="I517" i="1" s="1"/>
  <c r="J517" i="1" s="1"/>
  <c r="H3040" i="1"/>
  <c r="I3040" i="1" s="1"/>
  <c r="J3040" i="1" s="1"/>
  <c r="H5025" i="1"/>
  <c r="I5025" i="1" s="1"/>
  <c r="J5025" i="1" s="1"/>
  <c r="H4613" i="1"/>
  <c r="I4613" i="1" s="1"/>
  <c r="J4613" i="1" s="1"/>
  <c r="H4947" i="1"/>
  <c r="I4947" i="1" s="1"/>
  <c r="J4947" i="1" s="1"/>
  <c r="K4947" i="1" s="1"/>
  <c r="L4947" i="1" s="1"/>
  <c r="H4691" i="1"/>
  <c r="I4691" i="1" s="1"/>
  <c r="J4691" i="1" s="1"/>
  <c r="H3936" i="1"/>
  <c r="I3936" i="1" s="1"/>
  <c r="J3936" i="1" s="1"/>
  <c r="H3267" i="1"/>
  <c r="I3267" i="1" s="1"/>
  <c r="J3267" i="1" s="1"/>
  <c r="H2738" i="1"/>
  <c r="I2738" i="1" s="1"/>
  <c r="J2738" i="1" s="1"/>
  <c r="H3053" i="1"/>
  <c r="I3053" i="1" s="1"/>
  <c r="J3053" i="1" s="1"/>
  <c r="H4795" i="1"/>
  <c r="I4795" i="1" s="1"/>
  <c r="J4795" i="1" s="1"/>
  <c r="H5658" i="1"/>
  <c r="I5658" i="1" s="1"/>
  <c r="J5658" i="1" s="1"/>
  <c r="H2357" i="1"/>
  <c r="I2357" i="1" s="1"/>
  <c r="J2357" i="1" s="1"/>
  <c r="H2590" i="1"/>
  <c r="I2590" i="1" s="1"/>
  <c r="J2590" i="1" s="1"/>
  <c r="H292" i="1"/>
  <c r="I292" i="1" s="1"/>
  <c r="J292" i="1" s="1"/>
  <c r="H5404" i="1"/>
  <c r="I5404" i="1" s="1"/>
  <c r="J5404" i="1" s="1"/>
  <c r="H4678" i="1"/>
  <c r="I4678" i="1" s="1"/>
  <c r="J4678" i="1" s="1"/>
  <c r="H4918" i="1"/>
  <c r="I4918" i="1" s="1"/>
  <c r="J4918" i="1" s="1"/>
  <c r="H5409" i="1"/>
  <c r="I5409" i="1" s="1"/>
  <c r="J5409" i="1" s="1"/>
  <c r="H2856" i="1"/>
  <c r="I2856" i="1" s="1"/>
  <c r="J2856" i="1" s="1"/>
  <c r="H2014" i="1"/>
  <c r="I2014" i="1" s="1"/>
  <c r="J2014" i="1" s="1"/>
  <c r="H828" i="1"/>
  <c r="I828" i="1" s="1"/>
  <c r="J828" i="1" s="1"/>
  <c r="H1612" i="1"/>
  <c r="I1612" i="1" s="1"/>
  <c r="J1612" i="1" s="1"/>
  <c r="H2869" i="1"/>
  <c r="I2869" i="1" s="1"/>
  <c r="J2869" i="1" s="1"/>
  <c r="H5212" i="1"/>
  <c r="I5212" i="1" s="1"/>
  <c r="J5212" i="1" s="1"/>
  <c r="H2228" i="1"/>
  <c r="I2228" i="1" s="1"/>
  <c r="J2228" i="1" s="1"/>
  <c r="H563" i="1"/>
  <c r="I563" i="1" s="1"/>
  <c r="J563" i="1" s="1"/>
  <c r="H4830" i="1"/>
  <c r="I4830" i="1" s="1"/>
  <c r="J4830" i="1" s="1"/>
  <c r="H2473" i="1"/>
  <c r="I2473" i="1" s="1"/>
  <c r="J2473" i="1" s="1"/>
  <c r="H4152" i="1"/>
  <c r="I4152" i="1" s="1"/>
  <c r="J4152" i="1" s="1"/>
  <c r="H5375" i="1"/>
  <c r="I5375" i="1" s="1"/>
  <c r="J5375" i="1" s="1"/>
  <c r="H1868" i="1"/>
  <c r="I1868" i="1" s="1"/>
  <c r="J1868" i="1" s="1"/>
  <c r="H494" i="1"/>
  <c r="I494" i="1" s="1"/>
  <c r="J494" i="1" s="1"/>
  <c r="H5941" i="1"/>
  <c r="I5941" i="1" s="1"/>
  <c r="J5941" i="1" s="1"/>
  <c r="K5941" i="1" s="1"/>
  <c r="L5941" i="1" s="1"/>
  <c r="H4577" i="1"/>
  <c r="I4577" i="1" s="1"/>
  <c r="J4577" i="1" s="1"/>
  <c r="H3214" i="1"/>
  <c r="I3214" i="1" s="1"/>
  <c r="J3214" i="1" s="1"/>
  <c r="H1830" i="1"/>
  <c r="I1830" i="1" s="1"/>
  <c r="J1830" i="1" s="1"/>
  <c r="H1595" i="1"/>
  <c r="I1595" i="1" s="1"/>
  <c r="J1595" i="1" s="1"/>
  <c r="H2578" i="1"/>
  <c r="I2578" i="1" s="1"/>
  <c r="J2578" i="1" s="1"/>
  <c r="H1576" i="1"/>
  <c r="I1576" i="1" s="1"/>
  <c r="J1576" i="1" s="1"/>
  <c r="H3555" i="1"/>
  <c r="I3555" i="1" s="1"/>
  <c r="J3555" i="1" s="1"/>
  <c r="H4961" i="1"/>
  <c r="I4961" i="1" s="1"/>
  <c r="J4961" i="1" s="1"/>
  <c r="H1178" i="1"/>
  <c r="I1178" i="1" s="1"/>
  <c r="J1178" i="1" s="1"/>
  <c r="H5192" i="1"/>
  <c r="I5192" i="1" s="1"/>
  <c r="J5192" i="1" s="1"/>
  <c r="H256" i="1"/>
  <c r="I256" i="1" s="1"/>
  <c r="J256" i="1" s="1"/>
  <c r="H403" i="1"/>
  <c r="I403" i="1" s="1"/>
  <c r="J403" i="1" s="1"/>
  <c r="H1696" i="1"/>
  <c r="I1696" i="1" s="1"/>
  <c r="J1696" i="1" s="1"/>
  <c r="H474" i="1"/>
  <c r="I474" i="1" s="1"/>
  <c r="J474" i="1" s="1"/>
  <c r="H2739" i="1"/>
  <c r="I2739" i="1" s="1"/>
  <c r="J2739" i="1" s="1"/>
  <c r="H978" i="1"/>
  <c r="I978" i="1" s="1"/>
  <c r="J978" i="1" s="1"/>
  <c r="H5201" i="1"/>
  <c r="I5201" i="1" s="1"/>
  <c r="J5201" i="1" s="1"/>
  <c r="H4027" i="1"/>
  <c r="I4027" i="1" s="1"/>
  <c r="J4027" i="1" s="1"/>
  <c r="H884" i="1"/>
  <c r="I884" i="1" s="1"/>
  <c r="J884" i="1" s="1"/>
  <c r="H2003" i="1"/>
  <c r="I2003" i="1" s="1"/>
  <c r="J2003" i="1" s="1"/>
  <c r="H1162" i="1"/>
  <c r="I1162" i="1" s="1"/>
  <c r="J1162" i="1" s="1"/>
  <c r="H253" i="1"/>
  <c r="I253" i="1" s="1"/>
  <c r="J253" i="1" s="1"/>
  <c r="H561" i="1"/>
  <c r="I561" i="1" s="1"/>
  <c r="J561" i="1" s="1"/>
  <c r="H28" i="1"/>
  <c r="I28" i="1" s="1"/>
  <c r="J28" i="1" s="1"/>
  <c r="H2396" i="1"/>
  <c r="I2396" i="1" s="1"/>
  <c r="J2396" i="1" s="1"/>
  <c r="H3166" i="1"/>
  <c r="I3166" i="1" s="1"/>
  <c r="J3166" i="1" s="1"/>
  <c r="H5736" i="1"/>
  <c r="I5736" i="1" s="1"/>
  <c r="J5736" i="1" s="1"/>
  <c r="H471" i="1"/>
  <c r="I471" i="1" s="1"/>
  <c r="J471" i="1" s="1"/>
  <c r="H2725" i="1"/>
  <c r="I2725" i="1" s="1"/>
  <c r="J2725" i="1" s="1"/>
  <c r="H4774" i="1"/>
  <c r="I4774" i="1" s="1"/>
  <c r="J4774" i="1" s="1"/>
  <c r="H1928" i="1"/>
  <c r="I1928" i="1" s="1"/>
  <c r="J1928" i="1" s="1"/>
  <c r="H2544" i="1"/>
  <c r="I2544" i="1" s="1"/>
  <c r="J2544" i="1" s="1"/>
  <c r="H76" i="1"/>
  <c r="I76" i="1" s="1"/>
  <c r="J76" i="1" s="1"/>
  <c r="H783" i="1"/>
  <c r="I783" i="1" s="1"/>
  <c r="J783" i="1" s="1"/>
  <c r="H3778" i="1"/>
  <c r="I3778" i="1" s="1"/>
  <c r="J3778" i="1" s="1"/>
  <c r="H86" i="1"/>
  <c r="I86" i="1" s="1"/>
  <c r="J86" i="1" s="1"/>
  <c r="H3429" i="1"/>
  <c r="I3429" i="1" s="1"/>
  <c r="J3429" i="1" s="1"/>
  <c r="H2922" i="1"/>
  <c r="I2922" i="1" s="1"/>
  <c r="J2922" i="1" s="1"/>
  <c r="H966" i="1"/>
  <c r="I966" i="1" s="1"/>
  <c r="J966" i="1" s="1"/>
  <c r="H2070" i="1"/>
  <c r="I2070" i="1" s="1"/>
  <c r="J2070" i="1" s="1"/>
  <c r="H4672" i="1"/>
  <c r="I4672" i="1" s="1"/>
  <c r="J4672" i="1" s="1"/>
  <c r="H2568" i="1"/>
  <c r="I2568" i="1" s="1"/>
  <c r="J2568" i="1" s="1"/>
  <c r="H5456" i="1"/>
  <c r="I5456" i="1" s="1"/>
  <c r="J5456" i="1" s="1"/>
  <c r="H3660" i="1"/>
  <c r="I3660" i="1" s="1"/>
  <c r="J3660" i="1" s="1"/>
  <c r="H3304" i="1"/>
  <c r="I3304" i="1" s="1"/>
  <c r="J3304" i="1" s="1"/>
  <c r="H1497" i="1"/>
  <c r="I1497" i="1" s="1"/>
  <c r="J1497" i="1" s="1"/>
  <c r="H3848" i="1"/>
  <c r="I3848" i="1" s="1"/>
  <c r="J3848" i="1" s="1"/>
  <c r="H550" i="1"/>
  <c r="I550" i="1" s="1"/>
  <c r="J550" i="1" s="1"/>
  <c r="H4846" i="1"/>
  <c r="I4846" i="1" s="1"/>
  <c r="J4846" i="1" s="1"/>
  <c r="H2582" i="1"/>
  <c r="I2582" i="1" s="1"/>
  <c r="J2582" i="1" s="1"/>
  <c r="H2841" i="1"/>
  <c r="I2841" i="1" s="1"/>
  <c r="J2841" i="1" s="1"/>
  <c r="H73" i="1"/>
  <c r="I73" i="1" s="1"/>
  <c r="J73" i="1" s="1"/>
  <c r="H5818" i="1"/>
  <c r="I5818" i="1" s="1"/>
  <c r="J5818" i="1" s="1"/>
  <c r="H2618" i="1"/>
  <c r="I2618" i="1" s="1"/>
  <c r="J2618" i="1" s="1"/>
  <c r="H1080" i="1"/>
  <c r="I1080" i="1" s="1"/>
  <c r="J1080" i="1" s="1"/>
  <c r="H5263" i="1"/>
  <c r="I5263" i="1" s="1"/>
  <c r="J5263" i="1" s="1"/>
  <c r="H1526" i="1"/>
  <c r="I1526" i="1" s="1"/>
  <c r="J1526" i="1" s="1"/>
  <c r="H2050" i="1"/>
  <c r="I2050" i="1" s="1"/>
  <c r="J2050" i="1" s="1"/>
  <c r="H5058" i="1"/>
  <c r="I5058" i="1" s="1"/>
  <c r="J5058" i="1" s="1"/>
  <c r="H761" i="1"/>
  <c r="I761" i="1" s="1"/>
  <c r="J761" i="1" s="1"/>
  <c r="H499" i="1"/>
  <c r="I499" i="1" s="1"/>
  <c r="J499" i="1" s="1"/>
  <c r="H1317" i="1"/>
  <c r="I1317" i="1" s="1"/>
  <c r="J1317" i="1" s="1"/>
  <c r="H3540" i="1"/>
  <c r="I3540" i="1" s="1"/>
  <c r="J3540" i="1" s="1"/>
  <c r="H2529" i="1"/>
  <c r="I2529" i="1" s="1"/>
  <c r="J2529" i="1" s="1"/>
  <c r="H687" i="1"/>
  <c r="I687" i="1" s="1"/>
  <c r="J687" i="1" s="1"/>
  <c r="H1369" i="1"/>
  <c r="I1369" i="1" s="1"/>
  <c r="J1369" i="1" s="1"/>
  <c r="H1887" i="1"/>
  <c r="I1887" i="1" s="1"/>
  <c r="J1887" i="1" s="1"/>
  <c r="H2385" i="1"/>
  <c r="I2385" i="1" s="1"/>
  <c r="J2385" i="1" s="1"/>
  <c r="H4082" i="1"/>
  <c r="I4082" i="1" s="1"/>
  <c r="J4082" i="1" s="1"/>
  <c r="H5173" i="1"/>
  <c r="I5173" i="1" s="1"/>
  <c r="J5173" i="1" s="1"/>
  <c r="H3752" i="1"/>
  <c r="I3752" i="1" s="1"/>
  <c r="J3752" i="1" s="1"/>
  <c r="H2252" i="1"/>
  <c r="I2252" i="1" s="1"/>
  <c r="J2252" i="1" s="1"/>
  <c r="H1699" i="1"/>
  <c r="I1699" i="1" s="1"/>
  <c r="J1699" i="1" s="1"/>
  <c r="H3621" i="1"/>
  <c r="I3621" i="1" s="1"/>
  <c r="J3621" i="1" s="1"/>
  <c r="H4694" i="1"/>
  <c r="I4694" i="1" s="1"/>
  <c r="J4694" i="1" s="1"/>
  <c r="H3088" i="1"/>
  <c r="I3088" i="1" s="1"/>
  <c r="J3088" i="1" s="1"/>
  <c r="H2485" i="1"/>
  <c r="I2485" i="1" s="1"/>
  <c r="J2485" i="1" s="1"/>
  <c r="H2510" i="1"/>
  <c r="I2510" i="1" s="1"/>
  <c r="J2510" i="1" s="1"/>
  <c r="H1767" i="1"/>
  <c r="I1767" i="1" s="1"/>
  <c r="J1767" i="1" s="1"/>
  <c r="H820" i="1"/>
  <c r="I820" i="1" s="1"/>
  <c r="J820" i="1" s="1"/>
  <c r="H3449" i="1"/>
  <c r="I3449" i="1" s="1"/>
  <c r="J3449" i="1" s="1"/>
  <c r="H1353" i="1"/>
  <c r="I1353" i="1" s="1"/>
  <c r="J1353" i="1" s="1"/>
  <c r="H620" i="1"/>
  <c r="I620" i="1" s="1"/>
  <c r="J620" i="1" s="1"/>
  <c r="H1025" i="1"/>
  <c r="I1025" i="1" s="1"/>
  <c r="J1025" i="1" s="1"/>
  <c r="H1454" i="1"/>
  <c r="I1454" i="1" s="1"/>
  <c r="J1454" i="1" s="1"/>
  <c r="H4353" i="1"/>
  <c r="I4353" i="1" s="1"/>
  <c r="J4353" i="1" s="1"/>
  <c r="H2847" i="1"/>
  <c r="I2847" i="1" s="1"/>
  <c r="J2847" i="1" s="1"/>
  <c r="H855" i="1"/>
  <c r="I855" i="1" s="1"/>
  <c r="J855" i="1" s="1"/>
  <c r="H4538" i="1"/>
  <c r="I4538" i="1" s="1"/>
  <c r="J4538" i="1" s="1"/>
  <c r="H264" i="1"/>
  <c r="I264" i="1" s="1"/>
  <c r="J264" i="1" s="1"/>
  <c r="H4828" i="1"/>
  <c r="I4828" i="1" s="1"/>
  <c r="J4828" i="1" s="1"/>
  <c r="H335" i="1"/>
  <c r="I335" i="1" s="1"/>
  <c r="J335" i="1" s="1"/>
  <c r="H1862" i="1"/>
  <c r="I1862" i="1" s="1"/>
  <c r="J1862" i="1" s="1"/>
  <c r="H2037" i="1"/>
  <c r="I2037" i="1" s="1"/>
  <c r="J2037" i="1" s="1"/>
  <c r="H2410" i="1"/>
  <c r="I2410" i="1" s="1"/>
  <c r="J2410" i="1" s="1"/>
  <c r="H2384" i="1"/>
  <c r="I2384" i="1" s="1"/>
  <c r="J2384" i="1" s="1"/>
  <c r="H365" i="1"/>
  <c r="I365" i="1" s="1"/>
  <c r="J365" i="1" s="1"/>
  <c r="H4471" i="1"/>
  <c r="I4471" i="1" s="1"/>
  <c r="J4471" i="1" s="1"/>
  <c r="H5055" i="1"/>
  <c r="I5055" i="1" s="1"/>
  <c r="J5055" i="1" s="1"/>
  <c r="H339" i="1"/>
  <c r="I339" i="1" s="1"/>
  <c r="J339" i="1" s="1"/>
  <c r="H2025" i="1"/>
  <c r="I2025" i="1" s="1"/>
  <c r="J2025" i="1" s="1"/>
  <c r="H5579" i="1"/>
  <c r="I5579" i="1" s="1"/>
  <c r="J5579" i="1" s="1"/>
  <c r="H4685" i="1"/>
  <c r="I4685" i="1" s="1"/>
  <c r="J4685" i="1" s="1"/>
  <c r="H268" i="1"/>
  <c r="I268" i="1" s="1"/>
  <c r="J268" i="1" s="1"/>
  <c r="H4436" i="1"/>
  <c r="I4436" i="1" s="1"/>
  <c r="J4436" i="1" s="1"/>
  <c r="H3390" i="1"/>
  <c r="I3390" i="1" s="1"/>
  <c r="J3390" i="1" s="1"/>
  <c r="H3801" i="1"/>
  <c r="I3801" i="1" s="1"/>
  <c r="J3801" i="1" s="1"/>
  <c r="H1477" i="1"/>
  <c r="I1477" i="1" s="1"/>
  <c r="J1477" i="1" s="1"/>
  <c r="H1733" i="1"/>
  <c r="I1733" i="1" s="1"/>
  <c r="J1733" i="1" s="1"/>
  <c r="H864" i="1"/>
  <c r="I864" i="1" s="1"/>
  <c r="J864" i="1" s="1"/>
  <c r="H3482" i="1"/>
  <c r="I3482" i="1" s="1"/>
  <c r="J3482" i="1" s="1"/>
  <c r="H322" i="1"/>
  <c r="I322" i="1" s="1"/>
  <c r="J322" i="1" s="1"/>
  <c r="H4922" i="1"/>
  <c r="I4922" i="1" s="1"/>
  <c r="J4922" i="1" s="1"/>
  <c r="H2647" i="1"/>
  <c r="I2647" i="1" s="1"/>
  <c r="J2647" i="1" s="1"/>
  <c r="H642" i="1"/>
  <c r="I642" i="1" s="1"/>
  <c r="J642" i="1" s="1"/>
  <c r="H1119" i="1"/>
  <c r="I1119" i="1" s="1"/>
  <c r="J1119" i="1" s="1"/>
  <c r="H616" i="1"/>
  <c r="I616" i="1" s="1"/>
  <c r="J616" i="1" s="1"/>
  <c r="H2133" i="1"/>
  <c r="I2133" i="1" s="1"/>
  <c r="J2133" i="1" s="1"/>
  <c r="H1807" i="1"/>
  <c r="I1807" i="1" s="1"/>
  <c r="J1807" i="1" s="1"/>
  <c r="H1644" i="1"/>
  <c r="I1644" i="1" s="1"/>
  <c r="J1644" i="1" s="1"/>
  <c r="H889" i="1"/>
  <c r="I889" i="1" s="1"/>
  <c r="J889" i="1" s="1"/>
  <c r="H3367" i="1"/>
  <c r="I3367" i="1" s="1"/>
  <c r="J3367" i="1" s="1"/>
  <c r="H581" i="1"/>
  <c r="I581" i="1" s="1"/>
  <c r="J581" i="1" s="1"/>
  <c r="H5299" i="1"/>
  <c r="I5299" i="1" s="1"/>
  <c r="J5299" i="1" s="1"/>
  <c r="K5299" i="1" s="1"/>
  <c r="L5299" i="1" s="1"/>
  <c r="H468" i="1"/>
  <c r="I468" i="1" s="1"/>
  <c r="J468" i="1" s="1"/>
  <c r="H261" i="1"/>
  <c r="I261" i="1" s="1"/>
  <c r="J261" i="1" s="1"/>
  <c r="H5245" i="1"/>
  <c r="I5245" i="1" s="1"/>
  <c r="J5245" i="1" s="1"/>
  <c r="H1798" i="1"/>
  <c r="I1798" i="1" s="1"/>
  <c r="J1798" i="1" s="1"/>
  <c r="H3142" i="1"/>
  <c r="I3142" i="1" s="1"/>
  <c r="J3142" i="1" s="1"/>
  <c r="H4294" i="1"/>
  <c r="I4294" i="1" s="1"/>
  <c r="J4294" i="1" s="1"/>
  <c r="H46" i="1"/>
  <c r="I46" i="1" s="1"/>
  <c r="J46" i="1" s="1"/>
  <c r="H3402" i="1"/>
  <c r="I3402" i="1" s="1"/>
  <c r="J3402" i="1" s="1"/>
  <c r="H324" i="1"/>
  <c r="I324" i="1" s="1"/>
  <c r="J324" i="1" s="1"/>
  <c r="H789" i="1"/>
  <c r="I789" i="1" s="1"/>
  <c r="J789" i="1" s="1"/>
  <c r="H868" i="1"/>
  <c r="I868" i="1" s="1"/>
  <c r="J868" i="1" s="1"/>
  <c r="H3523" i="1"/>
  <c r="I3523" i="1" s="1"/>
  <c r="J3523" i="1" s="1"/>
  <c r="H5331" i="1"/>
  <c r="I5331" i="1" s="1"/>
  <c r="J5331" i="1" s="1"/>
  <c r="H2370" i="1"/>
  <c r="I2370" i="1" s="1"/>
  <c r="J2370" i="1" s="1"/>
  <c r="H1778" i="1"/>
  <c r="I1778" i="1" s="1"/>
  <c r="J1778" i="1" s="1"/>
  <c r="H4485" i="1"/>
  <c r="I4485" i="1" s="1"/>
  <c r="J4485" i="1" s="1"/>
  <c r="H667" i="1"/>
  <c r="I667" i="1" s="1"/>
  <c r="J667" i="1" s="1"/>
  <c r="H3106" i="1"/>
  <c r="I3106" i="1" s="1"/>
  <c r="J3106" i="1" s="1"/>
  <c r="H3282" i="1"/>
  <c r="I3282" i="1" s="1"/>
  <c r="J3282" i="1" s="1"/>
  <c r="H1737" i="1"/>
  <c r="I1737" i="1" s="1"/>
  <c r="J1737" i="1" s="1"/>
  <c r="H2064" i="1"/>
  <c r="I2064" i="1" s="1"/>
  <c r="J2064" i="1" s="1"/>
  <c r="H5371" i="1"/>
  <c r="I5371" i="1" s="1"/>
  <c r="J5371" i="1" s="1"/>
  <c r="H2320" i="1"/>
  <c r="I2320" i="1" s="1"/>
  <c r="J2320" i="1" s="1"/>
  <c r="H1429" i="1"/>
  <c r="I1429" i="1" s="1"/>
  <c r="J1429" i="1" s="1"/>
  <c r="H462" i="1"/>
  <c r="I462" i="1" s="1"/>
  <c r="J462" i="1" s="1"/>
  <c r="H1503" i="1"/>
  <c r="I1503" i="1" s="1"/>
  <c r="J1503" i="1" s="1"/>
  <c r="H1606" i="1"/>
  <c r="I1606" i="1" s="1"/>
  <c r="J1606" i="1" s="1"/>
  <c r="H5583" i="1"/>
  <c r="I5583" i="1" s="1"/>
  <c r="J5583" i="1" s="1"/>
  <c r="H4788" i="1"/>
  <c r="I4788" i="1" s="1"/>
  <c r="J4788" i="1" s="1"/>
  <c r="K4788" i="1" s="1"/>
  <c r="L4788" i="1" s="1"/>
  <c r="H3588" i="1"/>
  <c r="I3588" i="1" s="1"/>
  <c r="J3588" i="1" s="1"/>
  <c r="H551" i="1"/>
  <c r="I551" i="1" s="1"/>
  <c r="J551" i="1" s="1"/>
  <c r="H4341" i="1"/>
  <c r="I4341" i="1" s="1"/>
  <c r="J4341" i="1" s="1"/>
  <c r="H3573" i="1"/>
  <c r="I3573" i="1" s="1"/>
  <c r="J3573" i="1" s="1"/>
  <c r="H4653" i="1"/>
  <c r="I4653" i="1" s="1"/>
  <c r="J4653" i="1" s="1"/>
  <c r="H1581" i="1"/>
  <c r="I1581" i="1" s="1"/>
  <c r="J1581" i="1" s="1"/>
  <c r="H3870" i="1"/>
  <c r="I3870" i="1" s="1"/>
  <c r="J3870" i="1" s="1"/>
  <c r="H3582" i="1"/>
  <c r="I3582" i="1" s="1"/>
  <c r="J3582" i="1" s="1"/>
  <c r="H4711" i="1"/>
  <c r="I4711" i="1" s="1"/>
  <c r="J4711" i="1" s="1"/>
  <c r="H2345" i="1"/>
  <c r="I2345" i="1" s="1"/>
  <c r="J2345" i="1" s="1"/>
  <c r="H2195" i="1"/>
  <c r="I2195" i="1" s="1"/>
  <c r="J2195" i="1" s="1"/>
  <c r="H5183" i="1"/>
  <c r="I5183" i="1" s="1"/>
  <c r="J5183" i="1" s="1"/>
  <c r="H3024" i="1"/>
  <c r="I3024" i="1" s="1"/>
  <c r="J3024" i="1" s="1"/>
  <c r="H895" i="1"/>
  <c r="I895" i="1" s="1"/>
  <c r="J895" i="1" s="1"/>
  <c r="H2820" i="1"/>
  <c r="I2820" i="1" s="1"/>
  <c r="J2820" i="1" s="1"/>
  <c r="H3164" i="1"/>
  <c r="I3164" i="1" s="1"/>
  <c r="J3164" i="1" s="1"/>
  <c r="H5291" i="1"/>
  <c r="I5291" i="1" s="1"/>
  <c r="J5291" i="1" s="1"/>
  <c r="H3510" i="1"/>
  <c r="I3510" i="1" s="1"/>
  <c r="J3510" i="1" s="1"/>
  <c r="H2749" i="1"/>
  <c r="I2749" i="1" s="1"/>
  <c r="J2749" i="1" s="1"/>
  <c r="H2080" i="1"/>
  <c r="I2080" i="1" s="1"/>
  <c r="J2080" i="1" s="1"/>
  <c r="H1977" i="1"/>
  <c r="I1977" i="1" s="1"/>
  <c r="J1977" i="1" s="1"/>
  <c r="H434" i="1"/>
  <c r="I434" i="1" s="1"/>
  <c r="J434" i="1" s="1"/>
  <c r="H61" i="1"/>
  <c r="I61" i="1" s="1"/>
  <c r="J61" i="1" s="1"/>
  <c r="H5508" i="1"/>
  <c r="I5508" i="1" s="1"/>
  <c r="J5508" i="1" s="1"/>
  <c r="K5508" i="1" s="1"/>
  <c r="L5508" i="1" s="1"/>
  <c r="H4515" i="1"/>
  <c r="I4515" i="1" s="1"/>
  <c r="J4515" i="1" s="1"/>
  <c r="H2740" i="1"/>
  <c r="I2740" i="1" s="1"/>
  <c r="J2740" i="1" s="1"/>
  <c r="H5180" i="1"/>
  <c r="I5180" i="1" s="1"/>
  <c r="J5180" i="1" s="1"/>
  <c r="H92" i="1"/>
  <c r="I92" i="1" s="1"/>
  <c r="J92" i="1" s="1"/>
  <c r="H97" i="1"/>
  <c r="I97" i="1" s="1"/>
  <c r="J97" i="1" s="1"/>
  <c r="H312" i="1"/>
  <c r="I312" i="1" s="1"/>
  <c r="J312" i="1" s="1"/>
  <c r="H2696" i="1"/>
  <c r="I2696" i="1" s="1"/>
  <c r="J2696" i="1" s="1"/>
  <c r="H2334" i="1"/>
  <c r="I2334" i="1" s="1"/>
  <c r="J2334" i="1" s="1"/>
  <c r="H653" i="1"/>
  <c r="I653" i="1" s="1"/>
  <c r="J653" i="1" s="1"/>
  <c r="H5866" i="1"/>
  <c r="I5866" i="1" s="1"/>
  <c r="J5866" i="1" s="1"/>
  <c r="H3440" i="1"/>
  <c r="I3440" i="1" s="1"/>
  <c r="J3440" i="1" s="1"/>
  <c r="H3217" i="1"/>
  <c r="I3217" i="1" s="1"/>
  <c r="J3217" i="1" s="1"/>
  <c r="H1343" i="1"/>
  <c r="I1343" i="1" s="1"/>
  <c r="J1343" i="1" s="1"/>
  <c r="H5632" i="1"/>
  <c r="I5632" i="1" s="1"/>
  <c r="J5632" i="1" s="1"/>
  <c r="H5587" i="1"/>
  <c r="I5587" i="1" s="1"/>
  <c r="J5587" i="1" s="1"/>
  <c r="H3907" i="1"/>
  <c r="I3907" i="1" s="1"/>
  <c r="J3907" i="1" s="1"/>
  <c r="H136" i="1"/>
  <c r="I136" i="1" s="1"/>
  <c r="J136" i="1" s="1"/>
  <c r="H2290" i="1"/>
  <c r="I2290" i="1" s="1"/>
  <c r="J2290" i="1" s="1"/>
  <c r="H4777" i="1"/>
  <c r="I4777" i="1" s="1"/>
  <c r="J4777" i="1" s="1"/>
  <c r="H4357" i="1"/>
  <c r="I4357" i="1" s="1"/>
  <c r="J4357" i="1" s="1"/>
  <c r="H2503" i="1"/>
  <c r="I2503" i="1" s="1"/>
  <c r="J2503" i="1" s="1"/>
  <c r="H160" i="1"/>
  <c r="I160" i="1" s="1"/>
  <c r="J160" i="1" s="1"/>
  <c r="H2269" i="1"/>
  <c r="I2269" i="1" s="1"/>
  <c r="J2269" i="1" s="1"/>
  <c r="H983" i="1"/>
  <c r="I983" i="1" s="1"/>
  <c r="J983" i="1" s="1"/>
  <c r="H2655" i="1"/>
  <c r="I2655" i="1" s="1"/>
  <c r="J2655" i="1" s="1"/>
  <c r="H2452" i="1"/>
  <c r="I2452" i="1" s="1"/>
  <c r="J2452" i="1" s="1"/>
  <c r="H1367" i="1"/>
  <c r="I1367" i="1" s="1"/>
  <c r="J1367" i="1" s="1"/>
  <c r="H2448" i="1"/>
  <c r="I2448" i="1" s="1"/>
  <c r="J2448" i="1" s="1"/>
  <c r="H2640" i="1"/>
  <c r="I2640" i="1" s="1"/>
  <c r="J2640" i="1" s="1"/>
  <c r="H5975" i="1"/>
  <c r="I5975" i="1" s="1"/>
  <c r="J5975" i="1" s="1"/>
  <c r="H2319" i="1"/>
  <c r="I2319" i="1" s="1"/>
  <c r="J2319" i="1" s="1"/>
  <c r="H1702" i="1"/>
  <c r="I1702" i="1" s="1"/>
  <c r="J1702" i="1" s="1"/>
  <c r="H3852" i="1"/>
  <c r="I3852" i="1" s="1"/>
  <c r="J3852" i="1" s="1"/>
  <c r="H1950" i="1"/>
  <c r="I1950" i="1" s="1"/>
  <c r="J1950" i="1" s="1"/>
  <c r="H5250" i="1"/>
  <c r="I5250" i="1" s="1"/>
  <c r="J5250" i="1" s="1"/>
  <c r="H1988" i="1"/>
  <c r="I1988" i="1" s="1"/>
  <c r="J1988" i="1" s="1"/>
  <c r="H2264" i="1"/>
  <c r="I2264" i="1" s="1"/>
  <c r="J2264" i="1" s="1"/>
  <c r="H4286" i="1"/>
  <c r="I4286" i="1" s="1"/>
  <c r="J4286" i="1" s="1"/>
  <c r="H1265" i="1"/>
  <c r="I1265" i="1" s="1"/>
  <c r="J1265" i="1" s="1"/>
  <c r="H2889" i="1"/>
  <c r="I2889" i="1" s="1"/>
  <c r="J2889" i="1" s="1"/>
  <c r="H296" i="1"/>
  <c r="I296" i="1" s="1"/>
  <c r="J296" i="1" s="1"/>
  <c r="H60" i="1"/>
  <c r="I60" i="1" s="1"/>
  <c r="J60" i="1" s="1"/>
  <c r="H1468" i="1"/>
  <c r="I1468" i="1" s="1"/>
  <c r="J1468" i="1" s="1"/>
  <c r="H5829" i="1"/>
  <c r="I5829" i="1" s="1"/>
  <c r="J5829" i="1" s="1"/>
  <c r="K5829" i="1" s="1"/>
  <c r="L5829" i="1" s="1"/>
  <c r="H3168" i="1"/>
  <c r="I3168" i="1" s="1"/>
  <c r="J3168" i="1" s="1"/>
  <c r="H5853" i="1"/>
  <c r="I5853" i="1" s="1"/>
  <c r="J5853" i="1" s="1"/>
  <c r="H2484" i="1"/>
  <c r="I2484" i="1" s="1"/>
  <c r="J2484" i="1" s="1"/>
  <c r="H4544" i="1"/>
  <c r="I4544" i="1" s="1"/>
  <c r="J4544" i="1" s="1"/>
  <c r="H1214" i="1"/>
  <c r="I1214" i="1" s="1"/>
  <c r="J1214" i="1" s="1"/>
  <c r="H3455" i="1"/>
  <c r="I3455" i="1" s="1"/>
  <c r="J3455" i="1" s="1"/>
  <c r="H4379" i="1"/>
  <c r="I4379" i="1" s="1"/>
  <c r="J4379" i="1" s="1"/>
  <c r="H4756" i="1"/>
  <c r="I4756" i="1" s="1"/>
  <c r="J4756" i="1" s="1"/>
  <c r="H1509" i="1"/>
  <c r="I1509" i="1" s="1"/>
  <c r="J1509" i="1" s="1"/>
  <c r="H5834" i="1"/>
  <c r="I5834" i="1" s="1"/>
  <c r="J5834" i="1" s="1"/>
  <c r="H127" i="1"/>
  <c r="I127" i="1" s="1"/>
  <c r="J127" i="1" s="1"/>
  <c r="H2337" i="1"/>
  <c r="I2337" i="1" s="1"/>
  <c r="J2337" i="1" s="1"/>
  <c r="H2944" i="1"/>
  <c r="I2944" i="1" s="1"/>
  <c r="J2944" i="1" s="1"/>
  <c r="H98" i="1"/>
  <c r="I98" i="1" s="1"/>
  <c r="J98" i="1" s="1"/>
  <c r="H3905" i="1"/>
  <c r="I3905" i="1" s="1"/>
  <c r="J3905" i="1" s="1"/>
  <c r="H2048" i="1"/>
  <c r="I2048" i="1" s="1"/>
  <c r="J2048" i="1" s="1"/>
  <c r="H4179" i="1"/>
  <c r="I4179" i="1" s="1"/>
  <c r="J4179" i="1" s="1"/>
  <c r="H4885" i="1"/>
  <c r="I4885" i="1" s="1"/>
  <c r="J4885" i="1" s="1"/>
  <c r="H38" i="1"/>
  <c r="I38" i="1" s="1"/>
  <c r="J38" i="1" s="1"/>
  <c r="H265" i="1"/>
  <c r="I265" i="1" s="1"/>
  <c r="J265" i="1" s="1"/>
  <c r="H1142" i="1"/>
  <c r="I1142" i="1" s="1"/>
  <c r="J1142" i="1" s="1"/>
  <c r="H1587" i="1"/>
  <c r="I1587" i="1" s="1"/>
  <c r="J1587" i="1" s="1"/>
  <c r="H4623" i="1"/>
  <c r="I4623" i="1" s="1"/>
  <c r="J4623" i="1" s="1"/>
  <c r="H942" i="1"/>
  <c r="I942" i="1" s="1"/>
  <c r="J942" i="1" s="1"/>
  <c r="H3531" i="1"/>
  <c r="I3531" i="1" s="1"/>
  <c r="J3531" i="1" s="1"/>
  <c r="H1779" i="1"/>
  <c r="I1779" i="1" s="1"/>
  <c r="J1779" i="1" s="1"/>
  <c r="H2194" i="1"/>
  <c r="I2194" i="1" s="1"/>
  <c r="J2194" i="1" s="1"/>
  <c r="H1506" i="1"/>
  <c r="I1506" i="1" s="1"/>
  <c r="J1506" i="1" s="1"/>
  <c r="H2921" i="1"/>
  <c r="I2921" i="1" s="1"/>
  <c r="J2921" i="1" s="1"/>
  <c r="H3790" i="1"/>
  <c r="I3790" i="1" s="1"/>
  <c r="J3790" i="1" s="1"/>
  <c r="H4595" i="1"/>
  <c r="I4595" i="1" s="1"/>
  <c r="J4595" i="1" s="1"/>
  <c r="K4595" i="1" s="1"/>
  <c r="L4595" i="1" s="1"/>
  <c r="H1938" i="1"/>
  <c r="I1938" i="1" s="1"/>
  <c r="J1938" i="1" s="1"/>
  <c r="H1809" i="1"/>
  <c r="I1809" i="1" s="1"/>
  <c r="J1809" i="1" s="1"/>
  <c r="H1357" i="1"/>
  <c r="I1357" i="1" s="1"/>
  <c r="J1357" i="1" s="1"/>
  <c r="H3323" i="1"/>
  <c r="I3323" i="1" s="1"/>
  <c r="J3323" i="1" s="1"/>
  <c r="H1073" i="1"/>
  <c r="I1073" i="1" s="1"/>
  <c r="J1073" i="1" s="1"/>
  <c r="H1632" i="1"/>
  <c r="I1632" i="1" s="1"/>
  <c r="J1632" i="1" s="1"/>
  <c r="H2732" i="1"/>
  <c r="I2732" i="1" s="1"/>
  <c r="J2732" i="1" s="1"/>
  <c r="H540" i="1"/>
  <c r="I540" i="1" s="1"/>
  <c r="J540" i="1" s="1"/>
  <c r="H1171" i="1"/>
  <c r="I1171" i="1" s="1"/>
  <c r="J1171" i="1" s="1"/>
  <c r="H4156" i="1"/>
  <c r="I4156" i="1" s="1"/>
  <c r="J4156" i="1" s="1"/>
  <c r="H5648" i="1"/>
  <c r="I5648" i="1" s="1"/>
  <c r="J5648" i="1" s="1"/>
  <c r="H4069" i="1"/>
  <c r="I4069" i="1" s="1"/>
  <c r="J4069" i="1" s="1"/>
  <c r="H2105" i="1"/>
  <c r="I2105" i="1" s="1"/>
  <c r="J2105" i="1" s="1"/>
  <c r="H3969" i="1"/>
  <c r="I3969" i="1" s="1"/>
  <c r="J3969" i="1" s="1"/>
  <c r="H805" i="1"/>
  <c r="I805" i="1" s="1"/>
  <c r="J805" i="1" s="1"/>
  <c r="H2121" i="1"/>
  <c r="I2121" i="1" s="1"/>
  <c r="J2121" i="1" s="1"/>
  <c r="H4185" i="1"/>
  <c r="I4185" i="1" s="1"/>
  <c r="J4185" i="1" s="1"/>
  <c r="H3952" i="1"/>
  <c r="I3952" i="1" s="1"/>
  <c r="J3952" i="1" s="1"/>
  <c r="H1608" i="1"/>
  <c r="I1608" i="1" s="1"/>
  <c r="J1608" i="1" s="1"/>
  <c r="H5164" i="1"/>
  <c r="I5164" i="1" s="1"/>
  <c r="J5164" i="1" s="1"/>
  <c r="H5623" i="1"/>
  <c r="I5623" i="1" s="1"/>
  <c r="J5623" i="1" s="1"/>
  <c r="H5074" i="1"/>
  <c r="I5074" i="1" s="1"/>
  <c r="J5074" i="1" s="1"/>
  <c r="H1965" i="1"/>
  <c r="I1965" i="1" s="1"/>
  <c r="J1965" i="1" s="1"/>
  <c r="H830" i="1"/>
  <c r="I830" i="1" s="1"/>
  <c r="J830" i="1" s="1"/>
  <c r="H1914" i="1"/>
  <c r="I1914" i="1" s="1"/>
  <c r="J1914" i="1" s="1"/>
  <c r="H1418" i="1"/>
  <c r="I1418" i="1" s="1"/>
  <c r="J1418" i="1" s="1"/>
  <c r="H3500" i="1"/>
  <c r="I3500" i="1" s="1"/>
  <c r="J3500" i="1" s="1"/>
  <c r="H3113" i="1"/>
  <c r="I3113" i="1" s="1"/>
  <c r="J3113" i="1" s="1"/>
  <c r="H2338" i="1"/>
  <c r="I2338" i="1" s="1"/>
  <c r="J2338" i="1" s="1"/>
  <c r="H2160" i="1"/>
  <c r="I2160" i="1" s="1"/>
  <c r="J2160" i="1" s="1"/>
  <c r="H445" i="1"/>
  <c r="I445" i="1" s="1"/>
  <c r="J445" i="1" s="1"/>
  <c r="H44" i="1"/>
  <c r="I44" i="1" s="1"/>
  <c r="J44" i="1" s="1"/>
  <c r="H3188" i="1"/>
  <c r="I3188" i="1" s="1"/>
  <c r="J3188" i="1" s="1"/>
  <c r="H2151" i="1"/>
  <c r="I2151" i="1" s="1"/>
  <c r="J2151" i="1" s="1"/>
  <c r="H5119" i="1"/>
  <c r="I5119" i="1" s="1"/>
  <c r="J5119" i="1" s="1"/>
  <c r="H2023" i="1"/>
  <c r="I2023" i="1" s="1"/>
  <c r="J2023" i="1" s="1"/>
  <c r="H330" i="1"/>
  <c r="I330" i="1" s="1"/>
  <c r="J330" i="1" s="1"/>
  <c r="H5914" i="1"/>
  <c r="I5914" i="1" s="1"/>
  <c r="J5914" i="1" s="1"/>
  <c r="H4897" i="1"/>
  <c r="I4897" i="1" s="1"/>
  <c r="J4897" i="1" s="1"/>
  <c r="H2765" i="1"/>
  <c r="I2765" i="1" s="1"/>
  <c r="J2765" i="1" s="1"/>
  <c r="H2286" i="1"/>
  <c r="I2286" i="1" s="1"/>
  <c r="J2286" i="1" s="1"/>
  <c r="H4645" i="1"/>
  <c r="I4645" i="1" s="1"/>
  <c r="J4645" i="1" s="1"/>
  <c r="H413" i="1"/>
  <c r="I413" i="1" s="1"/>
  <c r="J413" i="1" s="1"/>
  <c r="H5048" i="1"/>
  <c r="I5048" i="1" s="1"/>
  <c r="J5048" i="1" s="1"/>
  <c r="H1973" i="1"/>
  <c r="I1973" i="1" s="1"/>
  <c r="J1973" i="1" s="1"/>
  <c r="H1493" i="1"/>
  <c r="I1493" i="1" s="1"/>
  <c r="J1493" i="1" s="1"/>
  <c r="H911" i="1"/>
  <c r="I911" i="1" s="1"/>
  <c r="J911" i="1" s="1"/>
  <c r="H2335" i="1"/>
  <c r="I2335" i="1" s="1"/>
  <c r="J2335" i="1" s="1"/>
  <c r="H530" i="1"/>
  <c r="I530" i="1" s="1"/>
  <c r="J530" i="1" s="1"/>
  <c r="H748" i="1"/>
  <c r="I748" i="1" s="1"/>
  <c r="J748" i="1" s="1"/>
  <c r="H1961" i="1"/>
  <c r="I1961" i="1" s="1"/>
  <c r="J1961" i="1" s="1"/>
  <c r="H3563" i="1"/>
  <c r="I3563" i="1" s="1"/>
  <c r="J3563" i="1" s="1"/>
  <c r="H4880" i="1"/>
  <c r="I4880" i="1" s="1"/>
  <c r="J4880" i="1" s="1"/>
  <c r="H3525" i="1"/>
  <c r="I3525" i="1" s="1"/>
  <c r="J3525" i="1" s="1"/>
  <c r="H1486" i="1"/>
  <c r="I1486" i="1" s="1"/>
  <c r="J1486" i="1" s="1"/>
  <c r="H1030" i="1"/>
  <c r="I1030" i="1" s="1"/>
  <c r="J1030" i="1" s="1"/>
  <c r="H939" i="1"/>
  <c r="I939" i="1" s="1"/>
  <c r="J939" i="1" s="1"/>
  <c r="H4269" i="1"/>
  <c r="I4269" i="1" s="1"/>
  <c r="J4269" i="1" s="1"/>
  <c r="H3192" i="1"/>
  <c r="I3192" i="1" s="1"/>
  <c r="J3192" i="1" s="1"/>
  <c r="H1878" i="1"/>
  <c r="I1878" i="1" s="1"/>
  <c r="J1878" i="1" s="1"/>
  <c r="H23" i="1"/>
  <c r="I23" i="1" s="1"/>
  <c r="H4556" i="1"/>
  <c r="I4556" i="1" s="1"/>
  <c r="J4556" i="1" s="1"/>
  <c r="H1627" i="1"/>
  <c r="I1627" i="1" s="1"/>
  <c r="J1627" i="1" s="1"/>
  <c r="H5673" i="1"/>
  <c r="I5673" i="1" s="1"/>
  <c r="J5673" i="1" s="1"/>
  <c r="H2482" i="1"/>
  <c r="I2482" i="1" s="1"/>
  <c r="J2482" i="1" s="1"/>
  <c r="H155" i="1"/>
  <c r="I155" i="1" s="1"/>
  <c r="J155" i="1" s="1"/>
  <c r="H785" i="1"/>
  <c r="I785" i="1" s="1"/>
  <c r="J785" i="1" s="1"/>
  <c r="H277" i="1"/>
  <c r="I277" i="1" s="1"/>
  <c r="J277" i="1" s="1"/>
  <c r="H523" i="1"/>
  <c r="I523" i="1" s="1"/>
  <c r="J523" i="1" s="1"/>
  <c r="H2543" i="1"/>
  <c r="I2543" i="1" s="1"/>
  <c r="J2543" i="1" s="1"/>
  <c r="H1513" i="1"/>
  <c r="I1513" i="1" s="1"/>
  <c r="J1513" i="1" s="1"/>
  <c r="H2122" i="1"/>
  <c r="I2122" i="1" s="1"/>
  <c r="J2122" i="1" s="1"/>
  <c r="H361" i="1"/>
  <c r="I361" i="1" s="1"/>
  <c r="J361" i="1" s="1"/>
  <c r="H3230" i="1"/>
  <c r="I3230" i="1" s="1"/>
  <c r="J3230" i="1" s="1"/>
  <c r="H1785" i="1"/>
  <c r="I1785" i="1" s="1"/>
  <c r="J1785" i="1" s="1"/>
  <c r="H1707" i="1"/>
  <c r="I1707" i="1" s="1"/>
  <c r="J1707" i="1" s="1"/>
  <c r="H2516" i="1"/>
  <c r="I2516" i="1" s="1"/>
  <c r="J2516" i="1" s="1"/>
  <c r="H366" i="1"/>
  <c r="I366" i="1" s="1"/>
  <c r="J366" i="1" s="1"/>
  <c r="H338" i="1"/>
  <c r="I338" i="1" s="1"/>
  <c r="J338" i="1" s="1"/>
  <c r="H5008" i="1"/>
  <c r="I5008" i="1" s="1"/>
  <c r="J5008" i="1" s="1"/>
  <c r="H5614" i="1"/>
  <c r="I5614" i="1" s="1"/>
  <c r="J5614" i="1" s="1"/>
  <c r="H5325" i="1"/>
  <c r="I5325" i="1" s="1"/>
  <c r="J5325" i="1" s="1"/>
  <c r="H2903" i="1"/>
  <c r="I2903" i="1" s="1"/>
  <c r="J2903" i="1" s="1"/>
  <c r="H2029" i="1"/>
  <c r="I2029" i="1" s="1"/>
  <c r="J2029" i="1" s="1"/>
  <c r="H290" i="1"/>
  <c r="I290" i="1" s="1"/>
  <c r="J290" i="1" s="1"/>
  <c r="H3896" i="1"/>
  <c r="I3896" i="1" s="1"/>
  <c r="J3896" i="1" s="1"/>
  <c r="H5794" i="1"/>
  <c r="I5794" i="1" s="1"/>
  <c r="J5794" i="1" s="1"/>
  <c r="H1614" i="1"/>
  <c r="I1614" i="1" s="1"/>
  <c r="J1614" i="1" s="1"/>
  <c r="H5609" i="1"/>
  <c r="I5609" i="1" s="1"/>
  <c r="J5609" i="1" s="1"/>
  <c r="H2965" i="1"/>
  <c r="I2965" i="1" s="1"/>
  <c r="J2965" i="1" s="1"/>
  <c r="H185" i="1"/>
  <c r="I185" i="1" s="1"/>
  <c r="J185" i="1" s="1"/>
  <c r="H4621" i="1"/>
  <c r="I4621" i="1" s="1"/>
  <c r="J4621" i="1" s="1"/>
  <c r="H355" i="1"/>
  <c r="I355" i="1" s="1"/>
  <c r="J355" i="1" s="1"/>
  <c r="H1983" i="1"/>
  <c r="I1983" i="1" s="1"/>
  <c r="J1983" i="1" s="1"/>
  <c r="H906" i="1"/>
  <c r="I906" i="1" s="1"/>
  <c r="J906" i="1" s="1"/>
  <c r="H109" i="1"/>
  <c r="I109" i="1" s="1"/>
  <c r="J109" i="1" s="1"/>
  <c r="H862" i="1"/>
  <c r="I862" i="1" s="1"/>
  <c r="J862" i="1" s="1"/>
  <c r="H1444" i="1"/>
  <c r="I1444" i="1" s="1"/>
  <c r="J1444" i="1" s="1"/>
  <c r="H94" i="1"/>
  <c r="I94" i="1" s="1"/>
  <c r="J94" i="1" s="1"/>
  <c r="H3894" i="1"/>
  <c r="I3894" i="1" s="1"/>
  <c r="J3894" i="1" s="1"/>
  <c r="H2040" i="1"/>
  <c r="I2040" i="1" s="1"/>
  <c r="J2040" i="1" s="1"/>
  <c r="H3026" i="1"/>
  <c r="I3026" i="1" s="1"/>
  <c r="J3026" i="1" s="1"/>
  <c r="H5422" i="1"/>
  <c r="I5422" i="1" s="1"/>
  <c r="J5422" i="1" s="1"/>
  <c r="H2454" i="1"/>
  <c r="I2454" i="1" s="1"/>
  <c r="J2454" i="1" s="1"/>
  <c r="H3972" i="1"/>
  <c r="I3972" i="1" s="1"/>
  <c r="J3972" i="1" s="1"/>
  <c r="H3779" i="1"/>
  <c r="I3779" i="1" s="1"/>
  <c r="J3779" i="1" s="1"/>
  <c r="H5576" i="1"/>
  <c r="I5576" i="1" s="1"/>
  <c r="J5576" i="1" s="1"/>
  <c r="H2132" i="1"/>
  <c r="I2132" i="1" s="1"/>
  <c r="J2132" i="1" s="1"/>
  <c r="H4521" i="1"/>
  <c r="I4521" i="1" s="1"/>
  <c r="J4521" i="1" s="1"/>
  <c r="H5613" i="1"/>
  <c r="I5613" i="1" s="1"/>
  <c r="J5613" i="1" s="1"/>
  <c r="H3294" i="1"/>
  <c r="I3294" i="1" s="1"/>
  <c r="J3294" i="1" s="1"/>
  <c r="H2084" i="1"/>
  <c r="I2084" i="1" s="1"/>
  <c r="J2084" i="1" s="1"/>
  <c r="H4506" i="1"/>
  <c r="I4506" i="1" s="1"/>
  <c r="J4506" i="1" s="1"/>
  <c r="H5256" i="1"/>
  <c r="I5256" i="1" s="1"/>
  <c r="J5256" i="1" s="1"/>
  <c r="H1980" i="1"/>
  <c r="I1980" i="1" s="1"/>
  <c r="J1980" i="1" s="1"/>
  <c r="H4666" i="1"/>
  <c r="I4666" i="1" s="1"/>
  <c r="J4666" i="1" s="1"/>
  <c r="H4930" i="1"/>
  <c r="I4930" i="1" s="1"/>
  <c r="J4930" i="1" s="1"/>
  <c r="K4930" i="1" s="1"/>
  <c r="L4930" i="1" s="1"/>
  <c r="H833" i="1"/>
  <c r="I833" i="1" s="1"/>
  <c r="J833" i="1" s="1"/>
  <c r="H2443" i="1"/>
  <c r="I2443" i="1" s="1"/>
  <c r="J2443" i="1" s="1"/>
  <c r="H5824" i="1"/>
  <c r="I5824" i="1" s="1"/>
  <c r="J5824" i="1" s="1"/>
  <c r="H5496" i="1"/>
  <c r="I5496" i="1" s="1"/>
  <c r="J5496" i="1" s="1"/>
  <c r="H4679" i="1"/>
  <c r="I4679" i="1" s="1"/>
  <c r="J4679" i="1" s="1"/>
  <c r="H1335" i="1"/>
  <c r="I1335" i="1" s="1"/>
  <c r="J1335" i="1" s="1"/>
  <c r="H4721" i="1"/>
  <c r="I4721" i="1" s="1"/>
  <c r="J4721" i="1" s="1"/>
  <c r="H2822" i="1"/>
  <c r="I2822" i="1" s="1"/>
  <c r="J2822" i="1" s="1"/>
  <c r="H4809" i="1"/>
  <c r="I4809" i="1" s="1"/>
  <c r="J4809" i="1" s="1"/>
  <c r="H2505" i="1"/>
  <c r="I2505" i="1" s="1"/>
  <c r="J2505" i="1" s="1"/>
  <c r="H4586" i="1"/>
  <c r="I4586" i="1" s="1"/>
  <c r="J4586" i="1" s="1"/>
  <c r="H3420" i="1"/>
  <c r="I3420" i="1" s="1"/>
  <c r="J3420" i="1" s="1"/>
  <c r="H332" i="1"/>
  <c r="I332" i="1" s="1"/>
  <c r="J332" i="1" s="1"/>
  <c r="H2032" i="1"/>
  <c r="I2032" i="1" s="1"/>
  <c r="J2032" i="1" s="1"/>
  <c r="H2285" i="1"/>
  <c r="I2285" i="1" s="1"/>
  <c r="J2285" i="1" s="1"/>
  <c r="H3594" i="1"/>
  <c r="I3594" i="1" s="1"/>
  <c r="J3594" i="1" s="1"/>
  <c r="H1253" i="1"/>
  <c r="I1253" i="1" s="1"/>
  <c r="J1253" i="1" s="1"/>
  <c r="H3970" i="1"/>
  <c r="I3970" i="1" s="1"/>
  <c r="J3970" i="1" s="1"/>
  <c r="H1233" i="1"/>
  <c r="I1233" i="1" s="1"/>
  <c r="J1233" i="1" s="1"/>
  <c r="H514" i="1"/>
  <c r="I514" i="1" s="1"/>
  <c r="J514" i="1" s="1"/>
  <c r="H4200" i="1"/>
  <c r="I4200" i="1" s="1"/>
  <c r="J4200" i="1" s="1"/>
  <c r="H893" i="1"/>
  <c r="I893" i="1" s="1"/>
  <c r="J893" i="1" s="1"/>
  <c r="H2664" i="1"/>
  <c r="I2664" i="1" s="1"/>
  <c r="J2664" i="1" s="1"/>
  <c r="H976" i="1"/>
  <c r="I976" i="1" s="1"/>
  <c r="J976" i="1" s="1"/>
  <c r="H2501" i="1"/>
  <c r="I2501" i="1" s="1"/>
  <c r="J2501" i="1" s="1"/>
  <c r="H2976" i="1"/>
  <c r="I2976" i="1" s="1"/>
  <c r="J2976" i="1" s="1"/>
  <c r="H5023" i="1"/>
  <c r="I5023" i="1" s="1"/>
  <c r="J5023" i="1" s="1"/>
  <c r="H750" i="1"/>
  <c r="I750" i="1" s="1"/>
  <c r="J750" i="1" s="1"/>
  <c r="H3606" i="1"/>
  <c r="I3606" i="1" s="1"/>
  <c r="J3606" i="1" s="1"/>
  <c r="H1677" i="1"/>
  <c r="I1677" i="1" s="1"/>
  <c r="J1677" i="1" s="1"/>
  <c r="H1273" i="1"/>
  <c r="I1273" i="1" s="1"/>
  <c r="J1273" i="1" s="1"/>
  <c r="H490" i="1"/>
  <c r="I490" i="1" s="1"/>
  <c r="J490" i="1" s="1"/>
  <c r="H2421" i="1"/>
  <c r="I2421" i="1" s="1"/>
  <c r="J2421" i="1" s="1"/>
  <c r="H5840" i="1"/>
  <c r="I5840" i="1" s="1"/>
  <c r="J5840" i="1" s="1"/>
  <c r="H309" i="1"/>
  <c r="I309" i="1" s="1"/>
  <c r="J309" i="1" s="1"/>
  <c r="H4986" i="1"/>
  <c r="I4986" i="1" s="1"/>
  <c r="J4986" i="1" s="1"/>
  <c r="H4604" i="1"/>
  <c r="I4604" i="1" s="1"/>
  <c r="J4604" i="1" s="1"/>
  <c r="H531" i="1"/>
  <c r="I531" i="1" s="1"/>
  <c r="J531" i="1" s="1"/>
  <c r="H2728" i="1"/>
  <c r="I2728" i="1" s="1"/>
  <c r="J2728" i="1" s="1"/>
  <c r="H924" i="1"/>
  <c r="I924" i="1" s="1"/>
  <c r="J924" i="1" s="1"/>
  <c r="H3279" i="1"/>
  <c r="I3279" i="1" s="1"/>
  <c r="J3279" i="1" s="1"/>
  <c r="H2232" i="1"/>
  <c r="I2232" i="1" s="1"/>
  <c r="J2232" i="1" s="1"/>
  <c r="H2090" i="1"/>
  <c r="I2090" i="1" s="1"/>
  <c r="J2090" i="1" s="1"/>
  <c r="H4497" i="1"/>
  <c r="I4497" i="1" s="1"/>
  <c r="J4497" i="1" s="1"/>
  <c r="H4640" i="1"/>
  <c r="I4640" i="1" s="1"/>
  <c r="J4640" i="1" s="1"/>
  <c r="H610" i="1"/>
  <c r="I610" i="1" s="1"/>
  <c r="J610" i="1" s="1"/>
  <c r="H2044" i="1"/>
  <c r="I2044" i="1" s="1"/>
  <c r="J2044" i="1" s="1"/>
  <c r="H4478" i="1"/>
  <c r="I4478" i="1" s="1"/>
  <c r="J4478" i="1" s="1"/>
  <c r="H1340" i="1"/>
  <c r="I1340" i="1" s="1"/>
  <c r="J1340" i="1" s="1"/>
  <c r="H3355" i="1"/>
  <c r="I3355" i="1" s="1"/>
  <c r="J3355" i="1" s="1"/>
  <c r="H918" i="1"/>
  <c r="I918" i="1" s="1"/>
  <c r="J918" i="1" s="1"/>
  <c r="H3547" i="1"/>
  <c r="I3547" i="1" s="1"/>
  <c r="J3547" i="1" s="1"/>
  <c r="H3406" i="1"/>
  <c r="I3406" i="1" s="1"/>
  <c r="J3406" i="1" s="1"/>
  <c r="H125" i="1"/>
  <c r="I125" i="1" s="1"/>
  <c r="J125" i="1" s="1"/>
  <c r="H3736" i="1"/>
  <c r="I3736" i="1" s="1"/>
  <c r="J3736" i="1" s="1"/>
  <c r="H49" i="1"/>
  <c r="I49" i="1" s="1"/>
  <c r="J49" i="1" s="1"/>
  <c r="H2654" i="1"/>
  <c r="I2654" i="1" s="1"/>
  <c r="J2654" i="1" s="1"/>
  <c r="H370" i="1"/>
  <c r="I370" i="1" s="1"/>
  <c r="J370" i="1" s="1"/>
  <c r="H5507" i="1"/>
  <c r="I5507" i="1" s="1"/>
  <c r="J5507" i="1" s="1"/>
  <c r="K5507" i="1" s="1"/>
  <c r="L5507" i="1" s="1"/>
  <c r="H1810" i="1"/>
  <c r="I1810" i="1" s="1"/>
  <c r="J1810" i="1" s="1"/>
  <c r="H2800" i="1"/>
  <c r="I2800" i="1" s="1"/>
  <c r="J2800" i="1" s="1"/>
  <c r="H3428" i="1"/>
  <c r="I3428" i="1" s="1"/>
  <c r="J3428" i="1" s="1"/>
  <c r="H5288" i="1"/>
  <c r="I5288" i="1" s="1"/>
  <c r="J5288" i="1" s="1"/>
  <c r="H5211" i="1"/>
  <c r="I5211" i="1" s="1"/>
  <c r="J5211" i="1" s="1"/>
  <c r="H2179" i="1"/>
  <c r="I2179" i="1" s="1"/>
  <c r="J2179" i="1" s="1"/>
  <c r="H3401" i="1"/>
  <c r="I3401" i="1" s="1"/>
  <c r="J3401" i="1" s="1"/>
  <c r="H158" i="1"/>
  <c r="I158" i="1" s="1"/>
  <c r="J158" i="1" s="1"/>
  <c r="H985" i="1"/>
  <c r="I985" i="1" s="1"/>
  <c r="J985" i="1" s="1"/>
  <c r="H276" i="1"/>
  <c r="I276" i="1" s="1"/>
  <c r="J276" i="1" s="1"/>
  <c r="H2481" i="1"/>
  <c r="I2481" i="1" s="1"/>
  <c r="J2481" i="1" s="1"/>
  <c r="H4600" i="1"/>
  <c r="I4600" i="1" s="1"/>
  <c r="J4600" i="1" s="1"/>
  <c r="H5860" i="1"/>
  <c r="I5860" i="1" s="1"/>
  <c r="J5860" i="1" s="1"/>
  <c r="H1848" i="1"/>
  <c r="I1848" i="1" s="1"/>
  <c r="J1848" i="1" s="1"/>
  <c r="H5978" i="1"/>
  <c r="I5978" i="1" s="1"/>
  <c r="J5978" i="1" s="1"/>
  <c r="H704" i="1"/>
  <c r="I704" i="1" s="1"/>
  <c r="J704" i="1" s="1"/>
  <c r="H2374" i="1"/>
  <c r="I2374" i="1" s="1"/>
  <c r="J2374" i="1" s="1"/>
  <c r="H5973" i="1"/>
  <c r="I5973" i="1" s="1"/>
  <c r="J5973" i="1" s="1"/>
  <c r="K5973" i="1" s="1"/>
  <c r="L5973" i="1" s="1"/>
  <c r="H291" i="1"/>
  <c r="I291" i="1" s="1"/>
  <c r="J291" i="1" s="1"/>
  <c r="H3580" i="1"/>
  <c r="I3580" i="1" s="1"/>
  <c r="J3580" i="1" s="1"/>
  <c r="H3258" i="1"/>
  <c r="I3258" i="1" s="1"/>
  <c r="J3258" i="1" s="1"/>
  <c r="H5552" i="1"/>
  <c r="I5552" i="1" s="1"/>
  <c r="J5552" i="1" s="1"/>
  <c r="H2024" i="1"/>
  <c r="I2024" i="1" s="1"/>
  <c r="J2024" i="1" s="1"/>
  <c r="H5108" i="1"/>
  <c r="I5108" i="1" s="1"/>
  <c r="J5108" i="1" s="1"/>
  <c r="H631" i="1"/>
  <c r="I631" i="1" s="1"/>
  <c r="J631" i="1" s="1"/>
  <c r="H3405" i="1"/>
  <c r="I3405" i="1" s="1"/>
  <c r="J3405" i="1" s="1"/>
  <c r="H3813" i="1"/>
  <c r="I3813" i="1" s="1"/>
  <c r="J3813" i="1" s="1"/>
  <c r="H1628" i="1"/>
  <c r="I1628" i="1" s="1"/>
  <c r="J1628" i="1" s="1"/>
  <c r="H4301" i="1"/>
  <c r="I4301" i="1" s="1"/>
  <c r="J4301" i="1" s="1"/>
  <c r="H1572" i="1"/>
  <c r="I1572" i="1" s="1"/>
  <c r="J1572" i="1" s="1"/>
  <c r="H3036" i="1"/>
  <c r="I3036" i="1" s="1"/>
  <c r="J3036" i="1" s="1"/>
  <c r="H793" i="1"/>
  <c r="I793" i="1" s="1"/>
  <c r="J793" i="1" s="1"/>
  <c r="H2284" i="1"/>
  <c r="I2284" i="1" s="1"/>
  <c r="J2284" i="1" s="1"/>
  <c r="H5893" i="1"/>
  <c r="I5893" i="1" s="1"/>
  <c r="J5893" i="1" s="1"/>
  <c r="K5893" i="1" s="1"/>
  <c r="L5893" i="1" s="1"/>
  <c r="H3218" i="1"/>
  <c r="I3218" i="1" s="1"/>
  <c r="J3218" i="1" s="1"/>
  <c r="H415" i="1"/>
  <c r="I415" i="1" s="1"/>
  <c r="J415" i="1" s="1"/>
  <c r="H3766" i="1"/>
  <c r="I3766" i="1" s="1"/>
  <c r="J3766" i="1" s="1"/>
  <c r="H1653" i="1"/>
  <c r="I1653" i="1" s="1"/>
  <c r="J1653" i="1" s="1"/>
  <c r="H2236" i="1"/>
  <c r="I2236" i="1" s="1"/>
  <c r="J2236" i="1" s="1"/>
  <c r="H4239" i="1"/>
  <c r="I4239" i="1" s="1"/>
  <c r="J4239" i="1" s="1"/>
  <c r="H2977" i="1"/>
  <c r="I2977" i="1" s="1"/>
  <c r="J2977" i="1" s="1"/>
  <c r="H2852" i="1"/>
  <c r="I2852" i="1" s="1"/>
  <c r="J2852" i="1" s="1"/>
  <c r="H1306" i="1"/>
  <c r="I1306" i="1" s="1"/>
  <c r="J1306" i="1" s="1"/>
  <c r="H5146" i="1"/>
  <c r="I5146" i="1" s="1"/>
  <c r="J5146" i="1" s="1"/>
  <c r="H2315" i="1"/>
  <c r="I2315" i="1" s="1"/>
  <c r="J2315" i="1" s="1"/>
  <c r="H1552" i="1"/>
  <c r="I1552" i="1" s="1"/>
  <c r="J1552" i="1" s="1"/>
  <c r="H5003" i="1"/>
  <c r="I5003" i="1" s="1"/>
  <c r="J5003" i="1" s="1"/>
  <c r="H1600" i="1"/>
  <c r="I1600" i="1" s="1"/>
  <c r="J1600" i="1" s="1"/>
  <c r="H2792" i="1"/>
  <c r="I2792" i="1" s="1"/>
  <c r="J2792" i="1" s="1"/>
  <c r="H3289" i="1"/>
  <c r="I3289" i="1" s="1"/>
  <c r="J3289" i="1" s="1"/>
  <c r="H2933" i="1"/>
  <c r="I2933" i="1" s="1"/>
  <c r="J2933" i="1" s="1"/>
  <c r="H4656" i="1"/>
  <c r="I4656" i="1" s="1"/>
  <c r="J4656" i="1" s="1"/>
  <c r="H2419" i="1"/>
  <c r="I2419" i="1" s="1"/>
  <c r="J2419" i="1" s="1"/>
  <c r="H1731" i="1"/>
  <c r="I1731" i="1" s="1"/>
  <c r="J1731" i="1" s="1"/>
  <c r="H4775" i="1"/>
  <c r="I4775" i="1" s="1"/>
  <c r="J4775" i="1" s="1"/>
  <c r="H1856" i="1"/>
  <c r="I1856" i="1" s="1"/>
  <c r="J1856" i="1" s="1"/>
  <c r="H24" i="1"/>
  <c r="I24" i="1" s="1"/>
  <c r="J24" i="1" s="1"/>
  <c r="H27" i="1"/>
  <c r="I27" i="1" s="1"/>
  <c r="J27" i="1" s="1"/>
  <c r="H1043" i="1"/>
  <c r="I1043" i="1" s="1"/>
  <c r="J1043" i="1" s="1"/>
  <c r="H5735" i="1"/>
  <c r="I5735" i="1" s="1"/>
  <c r="J5735" i="1" s="1"/>
  <c r="H32" i="1"/>
  <c r="I32" i="1" s="1"/>
  <c r="J32" i="1" s="1"/>
  <c r="H2015" i="1"/>
  <c r="I2015" i="1" s="1"/>
  <c r="J2015" i="1" s="1"/>
  <c r="H958" i="1"/>
  <c r="I958" i="1" s="1"/>
  <c r="J958" i="1" s="1"/>
  <c r="H3824" i="1"/>
  <c r="I3824" i="1" s="1"/>
  <c r="J3824" i="1" s="1"/>
  <c r="H3175" i="1"/>
  <c r="I3175" i="1" s="1"/>
  <c r="J3175" i="1" s="1"/>
  <c r="H5884" i="1"/>
  <c r="I5884" i="1" s="1"/>
  <c r="J5884" i="1" s="1"/>
  <c r="H5993" i="1"/>
  <c r="I5993" i="1" s="1"/>
  <c r="J5993" i="1" s="1"/>
  <c r="H2030" i="1"/>
  <c r="I2030" i="1" s="1"/>
  <c r="J2030" i="1" s="1"/>
  <c r="H3349" i="1"/>
  <c r="I3349" i="1" s="1"/>
  <c r="J3349" i="1" s="1"/>
  <c r="H716" i="1"/>
  <c r="I716" i="1" s="1"/>
  <c r="J716" i="1" s="1"/>
  <c r="H1620" i="1"/>
  <c r="I1620" i="1" s="1"/>
  <c r="J1620" i="1" s="1"/>
  <c r="H3350" i="1"/>
  <c r="I3350" i="1" s="1"/>
  <c r="J3350" i="1" s="1"/>
  <c r="H2910" i="1"/>
  <c r="I2910" i="1" s="1"/>
  <c r="J2910" i="1" s="1"/>
  <c r="H1734" i="1"/>
  <c r="I1734" i="1" s="1"/>
  <c r="J1734" i="1" s="1"/>
  <c r="H5370" i="1"/>
  <c r="I5370" i="1" s="1"/>
  <c r="J5370" i="1" s="1"/>
  <c r="H1109" i="1"/>
  <c r="I1109" i="1" s="1"/>
  <c r="J1109" i="1" s="1"/>
  <c r="H3859" i="1"/>
  <c r="I3859" i="1" s="1"/>
  <c r="J3859" i="1" s="1"/>
  <c r="H139" i="1"/>
  <c r="I139" i="1" s="1"/>
  <c r="J139" i="1" s="1"/>
  <c r="H5152" i="1"/>
  <c r="I5152" i="1" s="1"/>
  <c r="J5152" i="1" s="1"/>
  <c r="H5418" i="1"/>
  <c r="I5418" i="1" s="1"/>
  <c r="J5418" i="1" s="1"/>
  <c r="H4752" i="1"/>
  <c r="I4752" i="1" s="1"/>
  <c r="J4752" i="1" s="1"/>
  <c r="H5321" i="1"/>
  <c r="I5321" i="1" s="1"/>
  <c r="J5321" i="1" s="1"/>
  <c r="H1143" i="1"/>
  <c r="I1143" i="1" s="1"/>
  <c r="J1143" i="1" s="1"/>
  <c r="H1721" i="1"/>
  <c r="I1721" i="1" s="1"/>
  <c r="J1721" i="1" s="1"/>
  <c r="H2364" i="1"/>
  <c r="I2364" i="1" s="1"/>
  <c r="J2364" i="1" s="1"/>
  <c r="H2787" i="1"/>
  <c r="I2787" i="1" s="1"/>
  <c r="J2787" i="1" s="1"/>
  <c r="H4381" i="1"/>
  <c r="I4381" i="1" s="1"/>
  <c r="J4381" i="1" s="1"/>
  <c r="H1345" i="1"/>
  <c r="I1345" i="1" s="1"/>
  <c r="J1345" i="1" s="1"/>
  <c r="H5629" i="1"/>
  <c r="I5629" i="1" s="1"/>
  <c r="J5629" i="1" s="1"/>
  <c r="H4031" i="1"/>
  <c r="I4031" i="1" s="1"/>
  <c r="J4031" i="1" s="1"/>
  <c r="H5597" i="1"/>
  <c r="I5597" i="1" s="1"/>
  <c r="J5597" i="1" s="1"/>
  <c r="H2275" i="1"/>
  <c r="I2275" i="1" s="1"/>
  <c r="J2275" i="1" s="1"/>
  <c r="H3137" i="1"/>
  <c r="I3137" i="1" s="1"/>
  <c r="J3137" i="1" s="1"/>
  <c r="H352" i="1"/>
  <c r="I352" i="1" s="1"/>
  <c r="J352" i="1" s="1"/>
  <c r="H4870" i="1"/>
  <c r="I4870" i="1" s="1"/>
  <c r="J4870" i="1" s="1"/>
  <c r="K4870" i="1" s="1"/>
  <c r="L4870" i="1" s="1"/>
  <c r="H2378" i="1"/>
  <c r="I2378" i="1" s="1"/>
  <c r="J2378" i="1" s="1"/>
  <c r="H4507" i="1"/>
  <c r="I4507" i="1" s="1"/>
  <c r="J4507" i="1" s="1"/>
  <c r="H4318" i="1"/>
  <c r="I4318" i="1" s="1"/>
  <c r="J4318" i="1" s="1"/>
  <c r="H252" i="1"/>
  <c r="I252" i="1" s="1"/>
  <c r="J252" i="1" s="1"/>
  <c r="H1999" i="1"/>
  <c r="I1999" i="1" s="1"/>
  <c r="J1999" i="1" s="1"/>
  <c r="H1256" i="1"/>
  <c r="I1256" i="1" s="1"/>
  <c r="J1256" i="1" s="1"/>
  <c r="H4851" i="1"/>
  <c r="I4851" i="1" s="1"/>
  <c r="J4851" i="1" s="1"/>
  <c r="H2832" i="1"/>
  <c r="I2832" i="1" s="1"/>
  <c r="J2832" i="1" s="1"/>
  <c r="H1763" i="1"/>
  <c r="I1763" i="1" s="1"/>
  <c r="J1763" i="1" s="1"/>
  <c r="H931" i="1"/>
  <c r="I931" i="1" s="1"/>
  <c r="J931" i="1" s="1"/>
  <c r="H250" i="1"/>
  <c r="I250" i="1" s="1"/>
  <c r="J250" i="1" s="1"/>
  <c r="H2360" i="1"/>
  <c r="I2360" i="1" s="1"/>
  <c r="J2360" i="1" s="1"/>
  <c r="H533" i="1"/>
  <c r="I533" i="1" s="1"/>
  <c r="J533" i="1" s="1"/>
  <c r="H5254" i="1"/>
  <c r="I5254" i="1" s="1"/>
  <c r="J5254" i="1" s="1"/>
  <c r="H1667" i="1"/>
  <c r="I1667" i="1" s="1"/>
  <c r="J1667" i="1" s="1"/>
  <c r="H4183" i="1"/>
  <c r="I4183" i="1" s="1"/>
  <c r="J4183" i="1" s="1"/>
  <c r="H2192" i="1"/>
  <c r="I2192" i="1" s="1"/>
  <c r="J2192" i="1" s="1"/>
  <c r="H515" i="1"/>
  <c r="I515" i="1" s="1"/>
  <c r="J515" i="1" s="1"/>
  <c r="H2382" i="1"/>
  <c r="I2382" i="1" s="1"/>
  <c r="J2382" i="1" s="1"/>
  <c r="H3128" i="1"/>
  <c r="I3128" i="1" s="1"/>
  <c r="J3128" i="1" s="1"/>
  <c r="H4758" i="1"/>
  <c r="I4758" i="1" s="1"/>
  <c r="J4758" i="1" s="1"/>
  <c r="H4796" i="1"/>
  <c r="I4796" i="1" s="1"/>
  <c r="J4796" i="1" s="1"/>
  <c r="H5865" i="1"/>
  <c r="I5865" i="1" s="1"/>
  <c r="J5865" i="1" s="1"/>
  <c r="H2584" i="1"/>
  <c r="I2584" i="1" s="1"/>
  <c r="J2584" i="1" s="1"/>
  <c r="H4349" i="1"/>
  <c r="I4349" i="1" s="1"/>
  <c r="J4349" i="1" s="1"/>
  <c r="H5899" i="1"/>
  <c r="I5899" i="1" s="1"/>
  <c r="J5899" i="1" s="1"/>
  <c r="H3757" i="1"/>
  <c r="I3757" i="1" s="1"/>
  <c r="J3757" i="1" s="1"/>
  <c r="H2512" i="1"/>
  <c r="I2512" i="1" s="1"/>
  <c r="J2512" i="1" s="1"/>
  <c r="H2213" i="1"/>
  <c r="I2213" i="1" s="1"/>
  <c r="J2213" i="1" s="1"/>
  <c r="H1675" i="1"/>
  <c r="I1675" i="1" s="1"/>
  <c r="J1675" i="1" s="1"/>
  <c r="H3980" i="1"/>
  <c r="I3980" i="1" s="1"/>
  <c r="J3980" i="1" s="1"/>
  <c r="H3478" i="1"/>
  <c r="I3478" i="1" s="1"/>
  <c r="J3478" i="1" s="1"/>
  <c r="H4803" i="1"/>
  <c r="I4803" i="1" s="1"/>
  <c r="J4803" i="1" s="1"/>
  <c r="H2170" i="1"/>
  <c r="I2170" i="1" s="1"/>
  <c r="J2170" i="1" s="1"/>
  <c r="H4224" i="1"/>
  <c r="I4224" i="1" s="1"/>
  <c r="J4224" i="1" s="1"/>
  <c r="H3931" i="1"/>
  <c r="I3931" i="1" s="1"/>
  <c r="J3931" i="1" s="1"/>
  <c r="H2525" i="1"/>
  <c r="I2525" i="1" s="1"/>
  <c r="J2525" i="1" s="1"/>
  <c r="H5703" i="1"/>
  <c r="I5703" i="1" s="1"/>
  <c r="J5703" i="1" s="1"/>
  <c r="H294" i="1"/>
  <c r="I294" i="1" s="1"/>
  <c r="J294" i="1" s="1"/>
  <c r="H3377" i="1"/>
  <c r="I3377" i="1" s="1"/>
  <c r="J3377" i="1" s="1"/>
  <c r="H5038" i="1"/>
  <c r="I5038" i="1" s="1"/>
  <c r="J5038" i="1" s="1"/>
  <c r="H3624" i="1"/>
  <c r="I3624" i="1" s="1"/>
  <c r="J3624" i="1" s="1"/>
  <c r="H897" i="1"/>
  <c r="I897" i="1" s="1"/>
  <c r="J897" i="1" s="1"/>
  <c r="H1615" i="1"/>
  <c r="I1615" i="1" s="1"/>
  <c r="J1615" i="1" s="1"/>
  <c r="H2861" i="1"/>
  <c r="I2861" i="1" s="1"/>
  <c r="J2861" i="1" s="1"/>
  <c r="H4924" i="1"/>
  <c r="I4924" i="1" s="1"/>
  <c r="J4924" i="1" s="1"/>
  <c r="H1076" i="1"/>
  <c r="I1076" i="1" s="1"/>
  <c r="J1076" i="1" s="1"/>
  <c r="H3427" i="1"/>
  <c r="I3427" i="1" s="1"/>
  <c r="J3427" i="1" s="1"/>
  <c r="H1446" i="1"/>
  <c r="I1446" i="1" s="1"/>
  <c r="J1446" i="1" s="1"/>
  <c r="H4902" i="1"/>
  <c r="I4902" i="1" s="1"/>
  <c r="J4902" i="1" s="1"/>
  <c r="H2989" i="1"/>
  <c r="I2989" i="1" s="1"/>
  <c r="J2989" i="1" s="1"/>
  <c r="H5457" i="1"/>
  <c r="I5457" i="1" s="1"/>
  <c r="J5457" i="1" s="1"/>
  <c r="H84" i="1"/>
  <c r="I84" i="1" s="1"/>
  <c r="J84" i="1" s="1"/>
  <c r="H4398" i="1"/>
  <c r="I4398" i="1" s="1"/>
  <c r="J4398" i="1" s="1"/>
  <c r="H5135" i="1"/>
  <c r="I5135" i="1" s="1"/>
  <c r="J5135" i="1" s="1"/>
  <c r="H11" i="1"/>
  <c r="I11" i="1" s="1"/>
  <c r="J11" i="1" s="1"/>
  <c r="H4769" i="1"/>
  <c r="I4769" i="1" s="1"/>
  <c r="J4769" i="1" s="1"/>
  <c r="H3403" i="1"/>
  <c r="I3403" i="1" s="1"/>
  <c r="J3403" i="1" s="1"/>
  <c r="H2022" i="1"/>
  <c r="I2022" i="1" s="1"/>
  <c r="J2022" i="1" s="1"/>
  <c r="H2182" i="1"/>
  <c r="I2182" i="1" s="1"/>
  <c r="J2182" i="1" s="1"/>
  <c r="H3990" i="1"/>
  <c r="I3990" i="1" s="1"/>
  <c r="J3990" i="1" s="1"/>
  <c r="H1140" i="1"/>
  <c r="I1140" i="1" s="1"/>
  <c r="J1140" i="1" s="1"/>
  <c r="H1323" i="1"/>
  <c r="I1323" i="1" s="1"/>
  <c r="J1323" i="1" s="1"/>
  <c r="H5035" i="1"/>
  <c r="I5035" i="1" s="1"/>
  <c r="J5035" i="1" s="1"/>
  <c r="H5162" i="1"/>
  <c r="I5162" i="1" s="1"/>
  <c r="J5162" i="1" s="1"/>
  <c r="H5396" i="1"/>
  <c r="I5396" i="1" s="1"/>
  <c r="J5396" i="1" s="1"/>
  <c r="H5896" i="1"/>
  <c r="I5896" i="1" s="1"/>
  <c r="J5896" i="1" s="1"/>
  <c r="H121" i="1"/>
  <c r="I121" i="1" s="1"/>
  <c r="J121" i="1" s="1"/>
  <c r="H623" i="1"/>
  <c r="I623" i="1" s="1"/>
  <c r="J623" i="1" s="1"/>
  <c r="H1504" i="1"/>
  <c r="I1504" i="1" s="1"/>
  <c r="J1504" i="1" s="1"/>
  <c r="H5528" i="1"/>
  <c r="I5528" i="1" s="1"/>
  <c r="J5528" i="1" s="1"/>
  <c r="H1245" i="1"/>
  <c r="I1245" i="1" s="1"/>
  <c r="J1245" i="1" s="1"/>
  <c r="H425" i="1"/>
  <c r="I425" i="1" s="1"/>
  <c r="J425" i="1" s="1"/>
  <c r="H31" i="1"/>
  <c r="I31" i="1" s="1"/>
  <c r="J31" i="1" s="1"/>
  <c r="H313" i="1"/>
  <c r="I313" i="1" s="1"/>
  <c r="J313" i="1" s="1"/>
  <c r="H2759" i="1"/>
  <c r="I2759" i="1" s="1"/>
  <c r="J2759" i="1" s="1"/>
  <c r="H420" i="1"/>
  <c r="I420" i="1" s="1"/>
  <c r="J420" i="1" s="1"/>
  <c r="H3292" i="1"/>
  <c r="I3292" i="1" s="1"/>
  <c r="J3292" i="1" s="1"/>
  <c r="H3177" i="1"/>
  <c r="I3177" i="1" s="1"/>
  <c r="J3177" i="1" s="1"/>
  <c r="H4169" i="1"/>
  <c r="I4169" i="1" s="1"/>
  <c r="J4169" i="1" s="1"/>
  <c r="H381" i="1"/>
  <c r="I381" i="1" s="1"/>
  <c r="J381" i="1" s="1"/>
  <c r="H5259" i="1"/>
  <c r="I5259" i="1" s="1"/>
  <c r="J5259" i="1" s="1"/>
  <c r="H3382" i="1"/>
  <c r="I3382" i="1" s="1"/>
  <c r="J3382" i="1" s="1"/>
  <c r="H2180" i="1"/>
  <c r="I2180" i="1" s="1"/>
  <c r="J2180" i="1" s="1"/>
  <c r="H4703" i="1"/>
  <c r="I4703" i="1" s="1"/>
  <c r="J4703" i="1" s="1"/>
  <c r="H1094" i="1"/>
  <c r="I1094" i="1" s="1"/>
  <c r="J1094" i="1" s="1"/>
  <c r="H3483" i="1"/>
  <c r="I3483" i="1" s="1"/>
  <c r="J3483" i="1" s="1"/>
  <c r="H715" i="1"/>
  <c r="I715" i="1" s="1"/>
  <c r="J715" i="1" s="1"/>
  <c r="H2280" i="1"/>
  <c r="I2280" i="1" s="1"/>
  <c r="J2280" i="1" s="1"/>
  <c r="H67" i="1"/>
  <c r="I67" i="1" s="1"/>
  <c r="J67" i="1" s="1"/>
  <c r="H4513" i="1"/>
  <c r="I4513" i="1" s="1"/>
  <c r="J4513" i="1" s="1"/>
  <c r="H849" i="1"/>
  <c r="I849" i="1" s="1"/>
  <c r="J849" i="1" s="1"/>
  <c r="H2643" i="1"/>
  <c r="I2643" i="1" s="1"/>
  <c r="J2643" i="1" s="1"/>
  <c r="H216" i="1"/>
  <c r="I216" i="1" s="1"/>
  <c r="J216" i="1" s="1"/>
  <c r="H901" i="1"/>
  <c r="I901" i="1" s="1"/>
  <c r="J901" i="1" s="1"/>
  <c r="H1656" i="1"/>
  <c r="I1656" i="1" s="1"/>
  <c r="J1656" i="1" s="1"/>
  <c r="H3354" i="1"/>
  <c r="I3354" i="1" s="1"/>
  <c r="J3354" i="1" s="1"/>
  <c r="H3477" i="1"/>
  <c r="I3477" i="1" s="1"/>
  <c r="J3477" i="1" s="1"/>
  <c r="H1207" i="1"/>
  <c r="I1207" i="1" s="1"/>
  <c r="J1207" i="1" s="1"/>
  <c r="H5606" i="1"/>
  <c r="I5606" i="1" s="1"/>
  <c r="J5606" i="1" s="1"/>
  <c r="H1488" i="1"/>
  <c r="I1488" i="1" s="1"/>
  <c r="J1488" i="1" s="1"/>
  <c r="H3503" i="1"/>
  <c r="I3503" i="1" s="1"/>
  <c r="J3503" i="1" s="1"/>
  <c r="H5133" i="1"/>
  <c r="I5133" i="1" s="1"/>
  <c r="J5133" i="1" s="1"/>
  <c r="H43" i="1"/>
  <c r="I43" i="1" s="1"/>
  <c r="J43" i="1" s="1"/>
  <c r="H4562" i="1"/>
  <c r="I4562" i="1" s="1"/>
  <c r="J4562" i="1" s="1"/>
  <c r="H4347" i="1"/>
  <c r="I4347" i="1" s="1"/>
  <c r="J4347" i="1" s="1"/>
  <c r="H3251" i="1"/>
  <c r="I3251" i="1" s="1"/>
  <c r="J3251" i="1" s="1"/>
  <c r="H1022" i="1"/>
  <c r="I1022" i="1" s="1"/>
  <c r="J1022" i="1" s="1"/>
  <c r="H5209" i="1"/>
  <c r="I5209" i="1" s="1"/>
  <c r="J5209" i="1" s="1"/>
  <c r="H5754" i="1"/>
  <c r="I5754" i="1" s="1"/>
  <c r="J5754" i="1" s="1"/>
  <c r="H5112" i="1"/>
  <c r="I5112" i="1" s="1"/>
  <c r="J5112" i="1" s="1"/>
  <c r="H5168" i="1"/>
  <c r="I5168" i="1" s="1"/>
  <c r="J5168" i="1" s="1"/>
  <c r="H923" i="1"/>
  <c r="I923" i="1" s="1"/>
  <c r="J923" i="1" s="1"/>
  <c r="H2741" i="1"/>
  <c r="I2741" i="1" s="1"/>
  <c r="J2741" i="1" s="1"/>
  <c r="H1082" i="1"/>
  <c r="I1082" i="1" s="1"/>
  <c r="J1082" i="1" s="1"/>
  <c r="H3085" i="1"/>
  <c r="I3085" i="1" s="1"/>
  <c r="J3085" i="1" s="1"/>
  <c r="H1018" i="1"/>
  <c r="I1018" i="1" s="1"/>
  <c r="J1018" i="1" s="1"/>
  <c r="H2941" i="1"/>
  <c r="I2941" i="1" s="1"/>
  <c r="J2941" i="1" s="1"/>
  <c r="H1998" i="1"/>
  <c r="I1998" i="1" s="1"/>
  <c r="J1998" i="1" s="1"/>
  <c r="H2301" i="1"/>
  <c r="I2301" i="1" s="1"/>
  <c r="J2301" i="1" s="1"/>
  <c r="H8" i="1"/>
  <c r="I8" i="1" s="1"/>
  <c r="J8" i="1" s="1"/>
  <c r="H952" i="1"/>
  <c r="I952" i="1" s="1"/>
  <c r="J952" i="1" s="1"/>
  <c r="H1291" i="1"/>
  <c r="I1291" i="1" s="1"/>
  <c r="J1291" i="1" s="1"/>
  <c r="H1959" i="1"/>
  <c r="I1959" i="1" s="1"/>
  <c r="J1959" i="1" s="1"/>
  <c r="H1392" i="1"/>
  <c r="I1392" i="1" s="1"/>
  <c r="J1392" i="1" s="1"/>
  <c r="H3578" i="1"/>
  <c r="I3578" i="1" s="1"/>
  <c r="J3578" i="1" s="1"/>
  <c r="H2750" i="1"/>
  <c r="I2750" i="1" s="1"/>
  <c r="J2750" i="1" s="1"/>
  <c r="H5078" i="1"/>
  <c r="I5078" i="1" s="1"/>
  <c r="J5078" i="1" s="1"/>
  <c r="H764" i="1"/>
  <c r="I764" i="1" s="1"/>
  <c r="J764" i="1" s="1"/>
  <c r="H4036" i="1"/>
  <c r="I4036" i="1" s="1"/>
  <c r="J4036" i="1" s="1"/>
  <c r="H3802" i="1"/>
  <c r="I3802" i="1" s="1"/>
  <c r="J3802" i="1" s="1"/>
  <c r="H4346" i="1"/>
  <c r="I4346" i="1" s="1"/>
  <c r="J4346" i="1" s="1"/>
  <c r="H17" i="1"/>
  <c r="I17" i="1" s="1"/>
  <c r="J17" i="1" s="1"/>
  <c r="H82" i="1"/>
  <c r="I82" i="1" s="1"/>
  <c r="J82" i="1" s="1"/>
  <c r="H5522" i="1"/>
  <c r="I5522" i="1" s="1"/>
  <c r="J5522" i="1" s="1"/>
  <c r="H2556" i="1"/>
  <c r="I2556" i="1" s="1"/>
  <c r="J2556" i="1" s="1"/>
  <c r="H5574" i="1"/>
  <c r="I5574" i="1" s="1"/>
  <c r="J5574" i="1" s="1"/>
  <c r="H5485" i="1"/>
  <c r="I5485" i="1" s="1"/>
  <c r="J5485" i="1" s="1"/>
  <c r="H5942" i="1"/>
  <c r="I5942" i="1" s="1"/>
  <c r="J5942" i="1" s="1"/>
  <c r="H2914" i="1"/>
  <c r="I2914" i="1" s="1"/>
  <c r="J2914" i="1" s="1"/>
  <c r="H2359" i="1"/>
  <c r="I2359" i="1" s="1"/>
  <c r="J2359" i="1" s="1"/>
  <c r="H4530" i="1"/>
  <c r="I4530" i="1" s="1"/>
  <c r="J4530" i="1" s="1"/>
  <c r="K4530" i="1" s="1"/>
  <c r="L4530" i="1" s="1"/>
  <c r="H5104" i="1"/>
  <c r="I5104" i="1" s="1"/>
  <c r="J5104" i="1" s="1"/>
  <c r="K5104" i="1" s="1"/>
  <c r="L5104" i="1" s="1"/>
  <c r="H2846" i="1"/>
  <c r="I2846" i="1" s="1"/>
  <c r="J2846" i="1" s="1"/>
  <c r="H314" i="1"/>
  <c r="I314" i="1" s="1"/>
  <c r="J314" i="1" s="1"/>
  <c r="H4723" i="1"/>
  <c r="I4723" i="1" s="1"/>
  <c r="J4723" i="1" s="1"/>
  <c r="H2651" i="1"/>
  <c r="I2651" i="1" s="1"/>
  <c r="J2651" i="1" s="1"/>
  <c r="H5566" i="1"/>
  <c r="I5566" i="1" s="1"/>
  <c r="J5566" i="1" s="1"/>
  <c r="H4492" i="1"/>
  <c r="I4492" i="1" s="1"/>
  <c r="J4492" i="1" s="1"/>
  <c r="H2428" i="1"/>
  <c r="I2428" i="1" s="1"/>
  <c r="J2428" i="1" s="1"/>
  <c r="H4220" i="1"/>
  <c r="I4220" i="1" s="1"/>
  <c r="J4220" i="1" s="1"/>
  <c r="H3528" i="1"/>
  <c r="I3528" i="1" s="1"/>
  <c r="J3528" i="1" s="1"/>
  <c r="H3301" i="1"/>
  <c r="I3301" i="1" s="1"/>
  <c r="J3301" i="1" s="1"/>
  <c r="H4945" i="1"/>
  <c r="I4945" i="1" s="1"/>
  <c r="J4945" i="1" s="1"/>
  <c r="H21" i="1"/>
  <c r="I21" i="1" s="1"/>
  <c r="J21" i="1" s="1"/>
  <c r="H320" i="1"/>
  <c r="I320" i="1" s="1"/>
  <c r="J320" i="1" s="1"/>
  <c r="H3068" i="1"/>
  <c r="I3068" i="1" s="1"/>
  <c r="J3068" i="1" s="1"/>
  <c r="H799" i="1"/>
  <c r="I799" i="1" s="1"/>
  <c r="J799" i="1" s="1"/>
  <c r="H2993" i="1"/>
  <c r="I2993" i="1" s="1"/>
  <c r="J2993" i="1" s="1"/>
  <c r="H3109" i="1"/>
  <c r="I3109" i="1" s="1"/>
  <c r="J3109" i="1" s="1"/>
  <c r="H3343" i="1"/>
  <c r="I3343" i="1" s="1"/>
  <c r="J3343" i="1" s="1"/>
  <c r="H3676" i="1"/>
  <c r="I3676" i="1" s="1"/>
  <c r="J3676" i="1" s="1"/>
  <c r="H3920" i="1"/>
  <c r="I3920" i="1" s="1"/>
  <c r="J3920" i="1" s="1"/>
  <c r="H3961" i="1"/>
  <c r="I3961" i="1" s="1"/>
  <c r="J3961" i="1" s="1"/>
  <c r="H5311" i="1"/>
  <c r="I5311" i="1" s="1"/>
  <c r="J5311" i="1" s="1"/>
  <c r="H1674" i="1"/>
  <c r="I1674" i="1" s="1"/>
  <c r="J1674" i="1" s="1"/>
  <c r="H150" i="1"/>
  <c r="I150" i="1" s="1"/>
  <c r="J150" i="1" s="1"/>
  <c r="H3762" i="1"/>
  <c r="I3762" i="1" s="1"/>
  <c r="J3762" i="1" s="1"/>
  <c r="H4466" i="1"/>
  <c r="I4466" i="1" s="1"/>
  <c r="J4466" i="1" s="1"/>
  <c r="H3841" i="1"/>
  <c r="I3841" i="1" s="1"/>
  <c r="J3841" i="1" s="1"/>
  <c r="H824" i="1"/>
  <c r="I824" i="1" s="1"/>
  <c r="J824" i="1" s="1"/>
  <c r="H3884" i="1"/>
  <c r="I3884" i="1" s="1"/>
  <c r="J3884" i="1" s="1"/>
  <c r="H3712" i="1"/>
  <c r="I3712" i="1" s="1"/>
  <c r="J3712" i="1" s="1"/>
  <c r="H4731" i="1"/>
  <c r="I4731" i="1" s="1"/>
  <c r="J4731" i="1" s="1"/>
  <c r="H5495" i="1"/>
  <c r="I5495" i="1" s="1"/>
  <c r="J5495" i="1" s="1"/>
  <c r="H5898" i="1"/>
  <c r="I5898" i="1" s="1"/>
  <c r="J5898" i="1" s="1"/>
  <c r="H5340" i="1"/>
  <c r="I5340" i="1" s="1"/>
  <c r="J5340" i="1" s="1"/>
  <c r="H1258" i="1"/>
  <c r="I1258" i="1" s="1"/>
  <c r="J1258" i="1" s="1"/>
  <c r="H2683" i="1"/>
  <c r="I2683" i="1" s="1"/>
  <c r="J2683" i="1" s="1"/>
  <c r="H33" i="1"/>
  <c r="I33" i="1" s="1"/>
  <c r="J33" i="1" s="1"/>
  <c r="H3045" i="1"/>
  <c r="I3045" i="1" s="1"/>
  <c r="J3045" i="1" s="1"/>
  <c r="H4539" i="1"/>
  <c r="I4539" i="1" s="1"/>
  <c r="J4539" i="1" s="1"/>
  <c r="H34" i="1"/>
  <c r="I34" i="1" s="1"/>
  <c r="J34" i="1" s="1"/>
  <c r="H2974" i="1"/>
  <c r="I2974" i="1" s="1"/>
  <c r="J2974" i="1" s="1"/>
  <c r="H2216" i="1"/>
  <c r="I2216" i="1" s="1"/>
  <c r="J2216" i="1" s="1"/>
  <c r="H2524" i="1"/>
  <c r="I2524" i="1" s="1"/>
  <c r="J2524" i="1" s="1"/>
  <c r="H1967" i="1"/>
  <c r="I1967" i="1" s="1"/>
  <c r="J1967" i="1" s="1"/>
  <c r="H1156" i="1"/>
  <c r="I1156" i="1" s="1"/>
  <c r="J1156" i="1" s="1"/>
  <c r="H1242" i="1"/>
  <c r="I1242" i="1" s="1"/>
  <c r="J1242" i="1" s="1"/>
  <c r="H1531" i="1"/>
  <c r="I1531" i="1" s="1"/>
  <c r="J1531" i="1" s="1"/>
  <c r="H1089" i="1"/>
  <c r="I1089" i="1" s="1"/>
  <c r="J1089" i="1" s="1"/>
  <c r="H4060" i="1"/>
  <c r="I4060" i="1" s="1"/>
  <c r="J4060" i="1" s="1"/>
  <c r="H5361" i="1"/>
  <c r="I5361" i="1" s="1"/>
  <c r="J5361" i="1" s="1"/>
  <c r="K5361" i="1" s="1"/>
  <c r="L5361" i="1" s="1"/>
  <c r="H4319" i="1"/>
  <c r="I4319" i="1" s="1"/>
  <c r="J4319" i="1" s="1"/>
  <c r="H4939" i="1"/>
  <c r="I4939" i="1" s="1"/>
  <c r="J4939" i="1" s="1"/>
  <c r="H3543" i="1"/>
  <c r="I3543" i="1" s="1"/>
  <c r="J3543" i="1" s="1"/>
  <c r="H527" i="1"/>
  <c r="I527" i="1" s="1"/>
  <c r="J527" i="1" s="1"/>
  <c r="H2072" i="1"/>
  <c r="I2072" i="1" s="1"/>
  <c r="J2072" i="1" s="1"/>
  <c r="H3521" i="1"/>
  <c r="I3521" i="1" s="1"/>
  <c r="J3521" i="1" s="1"/>
  <c r="H4113" i="1"/>
  <c r="I4113" i="1" s="1"/>
  <c r="J4113" i="1" s="1"/>
  <c r="H3881" i="1"/>
  <c r="I3881" i="1" s="1"/>
  <c r="J3881" i="1" s="1"/>
  <c r="H3950" i="1"/>
  <c r="I3950" i="1" s="1"/>
  <c r="J3950" i="1" s="1"/>
  <c r="H927" i="1"/>
  <c r="I927" i="1" s="1"/>
  <c r="J927" i="1" s="1"/>
  <c r="H428" i="1"/>
  <c r="I428" i="1" s="1"/>
  <c r="J428" i="1" s="1"/>
  <c r="H1221" i="1"/>
  <c r="I1221" i="1" s="1"/>
  <c r="J1221" i="1" s="1"/>
  <c r="H1270" i="1"/>
  <c r="I1270" i="1" s="1"/>
  <c r="J1270" i="1" s="1"/>
  <c r="H3315" i="1"/>
  <c r="I3315" i="1" s="1"/>
  <c r="J3315" i="1" s="1"/>
  <c r="H913" i="1"/>
  <c r="I913" i="1" s="1"/>
  <c r="J913" i="1" s="1"/>
  <c r="H5790" i="1"/>
  <c r="I5790" i="1" s="1"/>
  <c r="J5790" i="1" s="1"/>
  <c r="H1723" i="1"/>
  <c r="I1723" i="1" s="1"/>
  <c r="J1723" i="1" s="1"/>
  <c r="H4225" i="1"/>
  <c r="I4225" i="1" s="1"/>
  <c r="J4225" i="1" s="1"/>
  <c r="H2608" i="1"/>
  <c r="I2608" i="1" s="1"/>
  <c r="J2608" i="1" s="1"/>
  <c r="H4896" i="1"/>
  <c r="I4896" i="1" s="1"/>
  <c r="J4896" i="1" s="1"/>
  <c r="H5639" i="1"/>
  <c r="I5639" i="1" s="1"/>
  <c r="J5639" i="1" s="1"/>
  <c r="H2819" i="1"/>
  <c r="I2819" i="1" s="1"/>
  <c r="J2819" i="1" s="1"/>
  <c r="H2829" i="1"/>
  <c r="I2829" i="1" s="1"/>
  <c r="J2829" i="1" s="1"/>
  <c r="H3262" i="1"/>
  <c r="I3262" i="1" s="1"/>
  <c r="J3262" i="1" s="1"/>
  <c r="H4863" i="1"/>
  <c r="I4863" i="1" s="1"/>
  <c r="J4863" i="1" s="1"/>
  <c r="H3816" i="1"/>
  <c r="I3816" i="1" s="1"/>
  <c r="J3816" i="1" s="1"/>
  <c r="H3652" i="1"/>
  <c r="I3652" i="1" s="1"/>
  <c r="J3652" i="1" s="1"/>
  <c r="H2091" i="1"/>
  <c r="I2091" i="1" s="1"/>
  <c r="J2091" i="1" s="1"/>
  <c r="H3069" i="1"/>
  <c r="I3069" i="1" s="1"/>
  <c r="J3069" i="1" s="1"/>
  <c r="H4299" i="1"/>
  <c r="I4299" i="1" s="1"/>
  <c r="J4299" i="1" s="1"/>
  <c r="H2553" i="1"/>
  <c r="I2553" i="1" s="1"/>
  <c r="J2553" i="1" s="1"/>
  <c r="H4542" i="1"/>
  <c r="I4542" i="1" s="1"/>
  <c r="J4542" i="1" s="1"/>
  <c r="H251" i="1"/>
  <c r="I251" i="1" s="1"/>
  <c r="J251" i="1" s="1"/>
  <c r="H1376" i="1"/>
  <c r="I1376" i="1" s="1"/>
  <c r="J1376" i="1" s="1"/>
  <c r="H3552" i="1"/>
  <c r="I3552" i="1" s="1"/>
  <c r="J3552" i="1" s="1"/>
  <c r="H3394" i="1"/>
  <c r="I3394" i="1" s="1"/>
  <c r="J3394" i="1" s="1"/>
  <c r="H4994" i="1"/>
  <c r="I4994" i="1" s="1"/>
  <c r="J4994" i="1" s="1"/>
  <c r="K4994" i="1" s="1"/>
  <c r="L4994" i="1" s="1"/>
  <c r="H725" i="1"/>
  <c r="I725" i="1" s="1"/>
  <c r="J725" i="1" s="1"/>
  <c r="H3430" i="1"/>
  <c r="I3430" i="1" s="1"/>
  <c r="J3430" i="1" s="1"/>
  <c r="H1462" i="1"/>
  <c r="I1462" i="1" s="1"/>
  <c r="J1462" i="1" s="1"/>
  <c r="H733" i="1"/>
  <c r="I733" i="1" s="1"/>
  <c r="J733" i="1" s="1"/>
  <c r="H5217" i="1"/>
  <c r="I5217" i="1" s="1"/>
  <c r="J5217" i="1" s="1"/>
  <c r="K5217" i="1" s="1"/>
  <c r="L5217" i="1" s="1"/>
  <c r="H1962" i="1"/>
  <c r="I1962" i="1" s="1"/>
  <c r="J1962" i="1" s="1"/>
  <c r="H5545" i="1"/>
  <c r="I5545" i="1" s="1"/>
  <c r="J5545" i="1" s="1"/>
  <c r="H5077" i="1"/>
  <c r="I5077" i="1" s="1"/>
  <c r="J5077" i="1" s="1"/>
  <c r="H1651" i="1"/>
  <c r="I1651" i="1" s="1"/>
  <c r="J1651" i="1" s="1"/>
  <c r="H3897" i="1"/>
  <c r="I3897" i="1" s="1"/>
  <c r="J3897" i="1" s="1"/>
  <c r="H100" i="1"/>
  <c r="I100" i="1" s="1"/>
  <c r="J100" i="1" s="1"/>
  <c r="H3247" i="1"/>
  <c r="I3247" i="1" s="1"/>
  <c r="J3247" i="1" s="1"/>
  <c r="H5" i="1"/>
  <c r="I5" i="1" s="1"/>
  <c r="J5" i="1" s="1"/>
  <c r="H3670" i="1"/>
  <c r="I3670" i="1" s="1"/>
  <c r="J3670" i="1" s="1"/>
  <c r="H5096" i="1"/>
  <c r="I5096" i="1" s="1"/>
  <c r="J5096" i="1" s="1"/>
  <c r="H3005" i="1"/>
  <c r="I3005" i="1" s="1"/>
  <c r="J3005" i="1" s="1"/>
  <c r="H1955" i="1"/>
  <c r="I1955" i="1" s="1"/>
  <c r="J1955" i="1" s="1"/>
  <c r="H3849" i="1"/>
  <c r="I3849" i="1" s="1"/>
  <c r="J3849" i="1" s="1"/>
  <c r="H1390" i="1"/>
  <c r="I1390" i="1" s="1"/>
  <c r="J1390" i="1" s="1"/>
  <c r="H3054" i="1"/>
  <c r="I3054" i="1" s="1"/>
  <c r="J3054" i="1" s="1"/>
  <c r="H1861" i="1"/>
  <c r="I1861" i="1" s="1"/>
  <c r="J1861" i="1" s="1"/>
  <c r="H2991" i="1"/>
  <c r="I2991" i="1" s="1"/>
  <c r="J2991" i="1" s="1"/>
  <c r="H5877" i="1"/>
  <c r="I5877" i="1" s="1"/>
  <c r="J5877" i="1" s="1"/>
  <c r="H5175" i="1"/>
  <c r="I5175" i="1" s="1"/>
  <c r="J5175" i="1" s="1"/>
  <c r="H700" i="1"/>
  <c r="I700" i="1" s="1"/>
  <c r="J700" i="1" s="1"/>
  <c r="H1881" i="1"/>
  <c r="I1881" i="1" s="1"/>
  <c r="J1881" i="1" s="1"/>
  <c r="H5819" i="1"/>
  <c r="I5819" i="1" s="1"/>
  <c r="J5819" i="1" s="1"/>
  <c r="H926" i="1"/>
  <c r="I926" i="1" s="1"/>
  <c r="J926" i="1" s="1"/>
  <c r="H5768" i="1"/>
  <c r="I5768" i="1" s="1"/>
  <c r="J5768" i="1" s="1"/>
  <c r="H5600" i="1"/>
  <c r="I5600" i="1" s="1"/>
  <c r="J5600" i="1" s="1"/>
  <c r="H624" i="1"/>
  <c r="I624" i="1" s="1"/>
  <c r="J624" i="1" s="1"/>
  <c r="H1324" i="1"/>
  <c r="I1324" i="1" s="1"/>
  <c r="J1324" i="1" s="1"/>
  <c r="H5431" i="1"/>
  <c r="I5431" i="1" s="1"/>
  <c r="J5431" i="1" s="1"/>
  <c r="H2433" i="1"/>
  <c r="I2433" i="1" s="1"/>
  <c r="J2433" i="1" s="1"/>
  <c r="H2748" i="1"/>
  <c r="I2748" i="1" s="1"/>
  <c r="J2748" i="1" s="1"/>
  <c r="H4837" i="1"/>
  <c r="I4837" i="1" s="1"/>
  <c r="J4837" i="1" s="1"/>
  <c r="H1236" i="1"/>
  <c r="I1236" i="1" s="1"/>
  <c r="J1236" i="1" s="1"/>
  <c r="H2207" i="1"/>
  <c r="I2207" i="1" s="1"/>
  <c r="J2207" i="1" s="1"/>
  <c r="H5572" i="1"/>
  <c r="I5572" i="1" s="1"/>
  <c r="J5572" i="1" s="1"/>
  <c r="K5572" i="1" s="1"/>
  <c r="L5572" i="1" s="1"/>
  <c r="H51" i="1"/>
  <c r="I51" i="1" s="1"/>
  <c r="J51" i="1" s="1"/>
  <c r="H5056" i="1"/>
  <c r="I5056" i="1" s="1"/>
  <c r="J5056" i="1" s="1"/>
  <c r="H4500" i="1"/>
  <c r="I4500" i="1" s="1"/>
  <c r="J4500" i="1" s="1"/>
  <c r="H3306" i="1"/>
  <c r="I3306" i="1" s="1"/>
  <c r="J3306" i="1" s="1"/>
  <c r="H13" i="1"/>
  <c r="I13" i="1" s="1"/>
  <c r="J13" i="1" s="1"/>
  <c r="H2940" i="1"/>
  <c r="I2940" i="1" s="1"/>
  <c r="J2940" i="1" s="1"/>
  <c r="H2631" i="1"/>
  <c r="I2631" i="1" s="1"/>
  <c r="J2631" i="1" s="1"/>
  <c r="H5091" i="1"/>
  <c r="I5091" i="1" s="1"/>
  <c r="J5091" i="1" s="1"/>
  <c r="H3228" i="1"/>
  <c r="I3228" i="1" s="1"/>
  <c r="J3228" i="1" s="1"/>
  <c r="H89" i="1"/>
  <c r="I89" i="1" s="1"/>
  <c r="J89" i="1" s="1"/>
  <c r="H5725" i="1"/>
  <c r="I5725" i="1" s="1"/>
  <c r="J5725" i="1" s="1"/>
  <c r="H3133" i="1"/>
  <c r="I3133" i="1" s="1"/>
  <c r="J3133" i="1" s="1"/>
  <c r="H4570" i="1"/>
  <c r="I4570" i="1" s="1"/>
  <c r="J4570" i="1" s="1"/>
  <c r="H1088" i="1"/>
  <c r="I1088" i="1" s="1"/>
  <c r="J1088" i="1" s="1"/>
  <c r="H5852" i="1"/>
  <c r="I5852" i="1" s="1"/>
  <c r="J5852" i="1" s="1"/>
  <c r="H5410" i="1"/>
  <c r="I5410" i="1" s="1"/>
  <c r="J5410" i="1" s="1"/>
  <c r="H5323" i="1"/>
  <c r="I5323" i="1" s="1"/>
  <c r="J5323" i="1" s="1"/>
  <c r="H5618" i="1"/>
  <c r="I5618" i="1" s="1"/>
  <c r="J5618" i="1" s="1"/>
  <c r="K5618" i="1" s="1"/>
  <c r="L5618" i="1" s="1"/>
  <c r="H865" i="1"/>
  <c r="I865" i="1" s="1"/>
  <c r="J865" i="1" s="1"/>
  <c r="H4489" i="1"/>
  <c r="I4489" i="1" s="1"/>
  <c r="J4489" i="1" s="1"/>
  <c r="H3741" i="1"/>
  <c r="I3741" i="1" s="1"/>
  <c r="J3741" i="1" s="1"/>
  <c r="H1352" i="1"/>
  <c r="I1352" i="1" s="1"/>
  <c r="J1352" i="1" s="1"/>
  <c r="H2967" i="1"/>
  <c r="I2967" i="1" s="1"/>
  <c r="J2967" i="1" s="1"/>
  <c r="H4140" i="1"/>
  <c r="I4140" i="1" s="1"/>
  <c r="J4140" i="1" s="1"/>
  <c r="H4117" i="1"/>
  <c r="I4117" i="1" s="1"/>
  <c r="J4117" i="1" s="1"/>
  <c r="H1426" i="1"/>
  <c r="I1426" i="1" s="1"/>
  <c r="J1426" i="1" s="1"/>
  <c r="H5869" i="1"/>
  <c r="I5869" i="1" s="1"/>
  <c r="J5869" i="1" s="1"/>
  <c r="H5428" i="1"/>
  <c r="I5428" i="1" s="1"/>
  <c r="J5428" i="1" s="1"/>
  <c r="K5428" i="1" s="1"/>
  <c r="L5428" i="1" s="1"/>
  <c r="H4732" i="1"/>
  <c r="I4732" i="1" s="1"/>
  <c r="J4732" i="1" s="1"/>
  <c r="H2611" i="1"/>
  <c r="I2611" i="1" s="1"/>
  <c r="J2611" i="1" s="1"/>
  <c r="H2816" i="1"/>
  <c r="I2816" i="1" s="1"/>
  <c r="J2816" i="1" s="1"/>
  <c r="H4387" i="1"/>
  <c r="I4387" i="1" s="1"/>
  <c r="J4387" i="1" s="1"/>
  <c r="H4205" i="1"/>
  <c r="I4205" i="1" s="1"/>
  <c r="J4205" i="1" s="1"/>
  <c r="H457" i="1"/>
  <c r="I457" i="1" s="1"/>
  <c r="J457" i="1" s="1"/>
  <c r="H4413" i="1"/>
  <c r="I4413" i="1" s="1"/>
  <c r="J4413" i="1" s="1"/>
  <c r="H3570" i="1"/>
  <c r="I3570" i="1" s="1"/>
  <c r="J3570" i="1" s="1"/>
  <c r="H3254" i="1"/>
  <c r="I3254" i="1" s="1"/>
  <c r="J3254" i="1" s="1"/>
  <c r="H5831" i="1"/>
  <c r="I5831" i="1" s="1"/>
  <c r="J5831" i="1" s="1"/>
  <c r="H2499" i="1"/>
  <c r="I2499" i="1" s="1"/>
  <c r="J2499" i="1" s="1"/>
  <c r="H4476" i="1"/>
  <c r="I4476" i="1" s="1"/>
  <c r="J4476" i="1" s="1"/>
  <c r="H5803" i="1"/>
  <c r="I5803" i="1" s="1"/>
  <c r="J5803" i="1" s="1"/>
  <c r="H4342" i="1"/>
  <c r="I4342" i="1" s="1"/>
  <c r="J4342" i="1" s="1"/>
  <c r="H3537" i="1"/>
  <c r="I3537" i="1" s="1"/>
  <c r="J3537" i="1" s="1"/>
  <c r="H4304" i="1"/>
  <c r="I4304" i="1" s="1"/>
  <c r="J4304" i="1" s="1"/>
  <c r="H157" i="1"/>
  <c r="I157" i="1" s="1"/>
  <c r="J157" i="1" s="1"/>
  <c r="H5441" i="1"/>
  <c r="I5441" i="1" s="1"/>
  <c r="J5441" i="1" s="1"/>
  <c r="K5441" i="1" s="1"/>
  <c r="L5441" i="1" s="1"/>
  <c r="H2185" i="1"/>
  <c r="I2185" i="1" s="1"/>
  <c r="J2185" i="1" s="1"/>
  <c r="H3753" i="1"/>
  <c r="I3753" i="1" s="1"/>
  <c r="J3753" i="1" s="1"/>
  <c r="H3047" i="1"/>
  <c r="I3047" i="1" s="1"/>
  <c r="J3047" i="1" s="1"/>
  <c r="H3124" i="1"/>
  <c r="I3124" i="1" s="1"/>
  <c r="J3124" i="1" s="1"/>
  <c r="H4540" i="1"/>
  <c r="I4540" i="1" s="1"/>
  <c r="J4540" i="1" s="1"/>
  <c r="H592" i="1"/>
  <c r="I592" i="1" s="1"/>
  <c r="J592" i="1" s="1"/>
  <c r="H226" i="1"/>
  <c r="I226" i="1" s="1"/>
  <c r="J226" i="1" s="1"/>
  <c r="H5231" i="1"/>
  <c r="I5231" i="1" s="1"/>
  <c r="J5231" i="1" s="1"/>
  <c r="H5426" i="1"/>
  <c r="I5426" i="1" s="1"/>
  <c r="J5426" i="1" s="1"/>
  <c r="H2336" i="1"/>
  <c r="I2336" i="1" s="1"/>
  <c r="J2336" i="1" s="1"/>
  <c r="H5298" i="1"/>
  <c r="I5298" i="1" s="1"/>
  <c r="J5298" i="1" s="1"/>
  <c r="K5298" i="1" s="1"/>
  <c r="L5298" i="1" s="1"/>
  <c r="H3452" i="1"/>
  <c r="I3452" i="1" s="1"/>
  <c r="J3452" i="1" s="1"/>
  <c r="H3102" i="1"/>
  <c r="I3102" i="1" s="1"/>
  <c r="J3102" i="1" s="1"/>
  <c r="H3512" i="1"/>
  <c r="I3512" i="1" s="1"/>
  <c r="J3512" i="1" s="1"/>
  <c r="H944" i="1"/>
  <c r="I944" i="1" s="1"/>
  <c r="J944" i="1" s="1"/>
  <c r="H4047" i="1"/>
  <c r="I4047" i="1" s="1"/>
  <c r="J4047" i="1" s="1"/>
  <c r="H1235" i="1"/>
  <c r="I1235" i="1" s="1"/>
  <c r="J1235" i="1" s="1"/>
  <c r="H5228" i="1"/>
  <c r="I5228" i="1" s="1"/>
  <c r="J5228" i="1" s="1"/>
  <c r="H2764" i="1"/>
  <c r="I2764" i="1" s="1"/>
  <c r="J2764" i="1" s="1"/>
  <c r="H401" i="1"/>
  <c r="I401" i="1" s="1"/>
  <c r="J401" i="1" s="1"/>
  <c r="H4988" i="1"/>
  <c r="I4988" i="1" s="1"/>
  <c r="J4988" i="1" s="1"/>
  <c r="H2837" i="1"/>
  <c r="I2837" i="1" s="1"/>
  <c r="J2837" i="1" s="1"/>
  <c r="H1711" i="1"/>
  <c r="I1711" i="1" s="1"/>
  <c r="J1711" i="1" s="1"/>
  <c r="H1654" i="1"/>
  <c r="I1654" i="1" s="1"/>
  <c r="J1654" i="1" s="1"/>
  <c r="H780" i="1"/>
  <c r="I780" i="1" s="1"/>
  <c r="J780" i="1" s="1"/>
  <c r="H130" i="1"/>
  <c r="I130" i="1" s="1"/>
  <c r="J130" i="1" s="1"/>
  <c r="H4962" i="1"/>
  <c r="I4962" i="1" s="1"/>
  <c r="J4962" i="1" s="1"/>
  <c r="K4962" i="1" s="1"/>
  <c r="L4962" i="1" s="1"/>
  <c r="H3981" i="1"/>
  <c r="I3981" i="1" s="1"/>
  <c r="J3981" i="1" s="1"/>
  <c r="H5448" i="1"/>
  <c r="I5448" i="1" s="1"/>
  <c r="J5448" i="1" s="1"/>
  <c r="H3093" i="1"/>
  <c r="I3093" i="1" s="1"/>
  <c r="J3093" i="1" s="1"/>
  <c r="H3964" i="1"/>
  <c r="I3964" i="1" s="1"/>
  <c r="J3964" i="1" s="1"/>
  <c r="H3203" i="1"/>
  <c r="I3203" i="1" s="1"/>
  <c r="J3203" i="1" s="1"/>
  <c r="H5939" i="1"/>
  <c r="I5939" i="1" s="1"/>
  <c r="J5939" i="1" s="1"/>
  <c r="H1954" i="1"/>
  <c r="I1954" i="1" s="1"/>
  <c r="J1954" i="1" s="1"/>
  <c r="H181" i="1"/>
  <c r="I181" i="1" s="1"/>
  <c r="J181" i="1" s="1"/>
  <c r="H873" i="1"/>
  <c r="I873" i="1" s="1"/>
  <c r="J873" i="1" s="1"/>
  <c r="H914" i="1"/>
  <c r="I914" i="1" s="1"/>
  <c r="J914" i="1" s="1"/>
  <c r="H4307" i="1"/>
  <c r="I4307" i="1" s="1"/>
  <c r="J4307" i="1" s="1"/>
  <c r="H734" i="1"/>
  <c r="I734" i="1" s="1"/>
  <c r="J734" i="1" s="1"/>
  <c r="H1205" i="1"/>
  <c r="I1205" i="1" s="1"/>
  <c r="J1205" i="1" s="1"/>
  <c r="H408" i="1"/>
  <c r="I408" i="1" s="1"/>
  <c r="J408" i="1" s="1"/>
  <c r="H1726" i="1"/>
  <c r="I1726" i="1" s="1"/>
  <c r="J1726" i="1" s="1"/>
  <c r="H5765" i="1"/>
  <c r="I5765" i="1" s="1"/>
  <c r="J5765" i="1" s="1"/>
  <c r="H2844" i="1"/>
  <c r="I2844" i="1" s="1"/>
  <c r="J2844" i="1" s="1"/>
  <c r="H54" i="1"/>
  <c r="I54" i="1" s="1"/>
  <c r="J54" i="1" s="1"/>
  <c r="H1465" i="1"/>
  <c r="I1465" i="1" s="1"/>
  <c r="J1465" i="1" s="1"/>
  <c r="H3186" i="1"/>
  <c r="I3186" i="1" s="1"/>
  <c r="J3186" i="1" s="1"/>
  <c r="H2830" i="1"/>
  <c r="I2830" i="1" s="1"/>
  <c r="J2830" i="1" s="1"/>
  <c r="H5436" i="1"/>
  <c r="I5436" i="1" s="1"/>
  <c r="J5436" i="1" s="1"/>
  <c r="H1071" i="1"/>
  <c r="I1071" i="1" s="1"/>
  <c r="J1071" i="1" s="1"/>
  <c r="H2434" i="1"/>
  <c r="I2434" i="1" s="1"/>
  <c r="J2434" i="1" s="1"/>
  <c r="H3062" i="1"/>
  <c r="I3062" i="1" s="1"/>
  <c r="J3062" i="1" s="1"/>
  <c r="H2930" i="1"/>
  <c r="I2930" i="1" s="1"/>
  <c r="J2930" i="1" s="1"/>
  <c r="H3719" i="1"/>
  <c r="I3719" i="1" s="1"/>
  <c r="J3719" i="1" s="1"/>
  <c r="H770" i="1"/>
  <c r="I770" i="1" s="1"/>
  <c r="J770" i="1" s="1"/>
  <c r="H5529" i="1"/>
  <c r="I5529" i="1" s="1"/>
  <c r="J5529" i="1" s="1"/>
  <c r="H171" i="1"/>
  <c r="I171" i="1" s="1"/>
  <c r="J171" i="1" s="1"/>
  <c r="H3199" i="1"/>
  <c r="I3199" i="1" s="1"/>
  <c r="J3199" i="1" s="1"/>
  <c r="H4098" i="1"/>
  <c r="I4098" i="1" s="1"/>
  <c r="J4098" i="1" s="1"/>
  <c r="H5103" i="1"/>
  <c r="I5103" i="1" s="1"/>
  <c r="J5103" i="1" s="1"/>
  <c r="H791" i="1"/>
  <c r="I791" i="1" s="1"/>
  <c r="J791" i="1" s="1"/>
  <c r="H5958" i="1"/>
  <c r="I5958" i="1" s="1"/>
  <c r="J5958" i="1" s="1"/>
  <c r="H4628" i="1"/>
  <c r="I4628" i="1" s="1"/>
  <c r="J4628" i="1" s="1"/>
  <c r="H5553" i="1"/>
  <c r="I5553" i="1" s="1"/>
  <c r="J5553" i="1" s="1"/>
  <c r="K5553" i="1" s="1"/>
  <c r="L5553" i="1" s="1"/>
  <c r="H826" i="1"/>
  <c r="I826" i="1" s="1"/>
  <c r="J826" i="1" s="1"/>
  <c r="H695" i="1"/>
  <c r="I695" i="1" s="1"/>
  <c r="J695" i="1" s="1"/>
  <c r="H2430" i="1"/>
  <c r="I2430" i="1" s="1"/>
  <c r="J2430" i="1" s="1"/>
  <c r="H4137" i="1"/>
  <c r="I4137" i="1" s="1"/>
  <c r="J4137" i="1" s="1"/>
  <c r="H3167" i="1"/>
  <c r="I3167" i="1" s="1"/>
  <c r="J3167" i="1" s="1"/>
  <c r="H3725" i="1"/>
  <c r="I3725" i="1" s="1"/>
  <c r="J3725" i="1" s="1"/>
  <c r="H3019" i="1"/>
  <c r="I3019" i="1" s="1"/>
  <c r="J3019" i="1" s="1"/>
  <c r="H4314" i="1"/>
  <c r="I4314" i="1" s="1"/>
  <c r="J4314" i="1" s="1"/>
  <c r="H2458" i="1"/>
  <c r="I2458" i="1" s="1"/>
  <c r="J2458" i="1" s="1"/>
  <c r="H2198" i="1"/>
  <c r="I2198" i="1" s="1"/>
  <c r="J2198" i="1" s="1"/>
  <c r="H402" i="1"/>
  <c r="I402" i="1" s="1"/>
  <c r="J402" i="1" s="1"/>
  <c r="H22" i="1"/>
  <c r="I22" i="1" s="1"/>
  <c r="J22" i="1" s="1"/>
  <c r="H4724" i="1"/>
  <c r="I4724" i="1" s="1"/>
  <c r="J4724" i="1" s="1"/>
  <c r="H2923" i="1"/>
  <c r="I2923" i="1" s="1"/>
  <c r="J2923" i="1" s="1"/>
  <c r="H5925" i="1"/>
  <c r="I5925" i="1" s="1"/>
  <c r="J5925" i="1" s="1"/>
  <c r="H3436" i="1"/>
  <c r="I3436" i="1" s="1"/>
  <c r="J3436" i="1" s="1"/>
  <c r="H3338" i="1"/>
  <c r="I3338" i="1" s="1"/>
  <c r="J3338" i="1" s="1"/>
  <c r="H5432" i="1"/>
  <c r="I5432" i="1" s="1"/>
  <c r="J5432" i="1" s="1"/>
  <c r="H1246" i="1"/>
  <c r="I1246" i="1" s="1"/>
  <c r="J1246" i="1" s="1"/>
  <c r="E1923" i="1"/>
  <c r="E4083" i="1"/>
  <c r="E4549" i="1"/>
  <c r="E1578" i="1"/>
  <c r="E3928" i="1"/>
  <c r="E3566" i="1"/>
  <c r="E5081" i="1"/>
  <c r="E1223" i="1"/>
  <c r="E3359" i="1"/>
  <c r="E486" i="1"/>
  <c r="E5728" i="1"/>
  <c r="E4055" i="1"/>
  <c r="E5021" i="1"/>
  <c r="E1271" i="1"/>
  <c r="E319" i="1"/>
  <c r="E3470" i="1"/>
  <c r="E3369" i="1"/>
  <c r="E3082" i="1"/>
  <c r="E4822" i="1"/>
  <c r="E4951" i="1"/>
  <c r="E4401" i="1"/>
  <c r="E5981" i="1"/>
  <c r="E4587" i="1"/>
  <c r="E1872" i="1"/>
  <c r="E3973" i="1"/>
  <c r="E1188" i="1"/>
  <c r="E2400" i="1"/>
  <c r="E4129" i="1"/>
  <c r="E2117" i="1"/>
  <c r="E5295" i="1"/>
  <c r="E822" i="1"/>
  <c r="E2154" i="1"/>
  <c r="E488" i="1"/>
  <c r="E1204" i="1"/>
  <c r="E3260" i="1"/>
  <c r="E4519" i="1"/>
  <c r="E3633" i="1"/>
  <c r="E730" i="1"/>
  <c r="E4122" i="1"/>
  <c r="E1476" i="1"/>
  <c r="E4000" i="1"/>
  <c r="E3888" i="1"/>
  <c r="E1014" i="1"/>
  <c r="E5543" i="1"/>
  <c r="E3163" i="1"/>
  <c r="E2049" i="1"/>
  <c r="E3760" i="1"/>
  <c r="E5287" i="1"/>
  <c r="E3508" i="1"/>
  <c r="E4894" i="1"/>
  <c r="E5872" i="1"/>
  <c r="E5019" i="1"/>
  <c r="E1432" i="1"/>
  <c r="E2773" i="1"/>
  <c r="E4146" i="1"/>
  <c r="E4616" i="1"/>
  <c r="E3830" i="1"/>
  <c r="E4313" i="1"/>
  <c r="E3963" i="1"/>
  <c r="E5451" i="1"/>
  <c r="E4115" i="1"/>
  <c r="E3465" i="1"/>
  <c r="E2239" i="1"/>
  <c r="E786" i="1"/>
  <c r="E4548" i="1"/>
  <c r="E4572" i="1"/>
  <c r="E2377" i="1"/>
  <c r="E2720" i="1"/>
  <c r="E3787" i="1"/>
  <c r="E5602" i="1"/>
  <c r="E5187" i="1"/>
  <c r="E4635" i="1"/>
  <c r="E4744" i="1"/>
  <c r="E3933" i="1"/>
  <c r="E369" i="1"/>
  <c r="E3882" i="1"/>
  <c r="E5624" i="1"/>
  <c r="E2034" i="1"/>
  <c r="E4392" i="1"/>
  <c r="E1855" i="1"/>
  <c r="E2994" i="1"/>
  <c r="E577" i="1"/>
  <c r="E1050" i="1"/>
  <c r="E2523" i="1"/>
  <c r="E784" i="1"/>
  <c r="E844" i="1"/>
  <c r="E1190" i="1"/>
  <c r="E5220" i="1"/>
  <c r="E5641" i="1"/>
  <c r="E5372" i="1"/>
  <c r="E440" i="1"/>
  <c r="E2116" i="1"/>
  <c r="E2234" i="1"/>
  <c r="E5471" i="1"/>
  <c r="E5160" i="1"/>
  <c r="E3783" i="1"/>
  <c r="E887" i="1"/>
  <c r="E4356" i="1"/>
  <c r="E4419" i="1"/>
  <c r="E5481" i="1"/>
  <c r="E3898" i="1"/>
  <c r="E1792" i="1"/>
  <c r="E2146" i="1"/>
  <c r="E2218" i="1"/>
  <c r="E4206" i="1"/>
  <c r="E4279" i="1"/>
  <c r="E3057" i="1"/>
  <c r="E506" i="1"/>
  <c r="E1984" i="1"/>
  <c r="E317" i="1"/>
  <c r="E4973" i="1"/>
  <c r="E3475" i="1"/>
  <c r="E4316" i="1"/>
  <c r="E5690" i="1"/>
  <c r="E3158" i="1"/>
  <c r="E1421" i="1"/>
  <c r="E795" i="1"/>
  <c r="E4383" i="1"/>
  <c r="E4954" i="1"/>
  <c r="E4233" i="1"/>
  <c r="E3666" i="1"/>
  <c r="E3650" i="1"/>
  <c r="E3649" i="1"/>
  <c r="E4815" i="1"/>
  <c r="E4806" i="1"/>
  <c r="E4076" i="1"/>
  <c r="E660" i="1"/>
  <c r="E5843" i="1"/>
  <c r="E5285" i="1"/>
  <c r="E479" i="1"/>
  <c r="E4704" i="1"/>
  <c r="E1008" i="1"/>
  <c r="E3399" i="1"/>
  <c r="E4374" i="1"/>
  <c r="E3862" i="1"/>
  <c r="E4007" i="1"/>
  <c r="E5174" i="1"/>
  <c r="E4431" i="1"/>
  <c r="E2144" i="1"/>
  <c r="E4592" i="1"/>
  <c r="E5444" i="1"/>
  <c r="E2926" i="1"/>
  <c r="E4131" i="1"/>
  <c r="E910" i="1"/>
  <c r="E2723" i="1"/>
  <c r="E3864" i="1"/>
  <c r="E1132" i="1"/>
  <c r="E3274" i="1"/>
  <c r="E4149" i="1"/>
  <c r="E4474" i="1"/>
  <c r="E1800" i="1"/>
  <c r="E4892" i="1"/>
  <c r="E1783" i="1"/>
  <c r="E5901" i="1"/>
  <c r="E4475" i="1"/>
  <c r="E4462" i="1"/>
  <c r="E3256" i="1"/>
  <c r="E3630" i="1"/>
  <c r="E2115" i="1"/>
  <c r="E4114" i="1"/>
  <c r="E2253" i="1"/>
  <c r="E1316" i="1"/>
  <c r="E3240" i="1"/>
  <c r="E1427" i="1"/>
  <c r="E5564" i="1"/>
  <c r="E3185" i="1"/>
  <c r="E4303" i="1"/>
  <c r="E3493" i="1"/>
  <c r="E1081" i="1"/>
  <c r="E484" i="1"/>
  <c r="E364" i="1"/>
  <c r="E1473" i="1"/>
  <c r="E5634" i="1"/>
  <c r="E4550" i="1"/>
  <c r="E4650" i="1"/>
  <c r="E1730" i="1"/>
  <c r="E898" i="1"/>
  <c r="E3603" i="1"/>
  <c r="E5538" i="1"/>
  <c r="E4702" i="1"/>
  <c r="E1692" i="1"/>
  <c r="E4038" i="1"/>
  <c r="E2610" i="1"/>
  <c r="E4743" i="1"/>
  <c r="E2249" i="1"/>
  <c r="E3612" i="1"/>
  <c r="E4827" i="1"/>
  <c r="E4767" i="1"/>
  <c r="E2201" i="1"/>
  <c r="E5022" i="1"/>
  <c r="E4268" i="1"/>
  <c r="E4373" i="1"/>
  <c r="E4277" i="1"/>
  <c r="E2369" i="1"/>
  <c r="E583" i="1"/>
  <c r="E4267" i="1"/>
  <c r="E4508" i="1"/>
  <c r="E4173" i="1"/>
  <c r="E5317" i="1"/>
  <c r="E3728" i="1"/>
  <c r="E3910" i="1"/>
  <c r="E4325" i="1"/>
  <c r="E3419" i="1"/>
  <c r="E4765" i="1"/>
  <c r="E5042" i="1"/>
  <c r="E5335" i="1"/>
  <c r="E5365" i="1"/>
  <c r="E5669" i="1"/>
  <c r="E2033" i="1"/>
  <c r="E1655" i="1"/>
  <c r="E1826" i="1"/>
  <c r="E5833" i="1"/>
  <c r="E3290" i="1"/>
  <c r="E5324" i="1"/>
  <c r="E1389" i="1"/>
  <c r="E5009" i="1"/>
  <c r="E4692" i="1"/>
  <c r="E2557" i="1"/>
  <c r="E1491" i="1"/>
  <c r="E3962" i="1"/>
  <c r="E3084" i="1"/>
  <c r="E3463" i="1"/>
  <c r="E4523" i="1"/>
  <c r="E2098" i="1"/>
  <c r="E4057" i="1"/>
  <c r="E5037" i="1"/>
  <c r="E1195" i="1"/>
  <c r="E3383" i="1"/>
  <c r="E1771" i="1"/>
  <c r="E5171" i="1"/>
  <c r="E5943" i="1"/>
  <c r="E447" i="1"/>
  <c r="E4791" i="1"/>
  <c r="E2440" i="1"/>
  <c r="E5289" i="1"/>
  <c r="E4858" i="1"/>
  <c r="E2297" i="1"/>
  <c r="E4394" i="1"/>
  <c r="E5991" i="1"/>
  <c r="E4871" i="1"/>
  <c r="E5275" i="1"/>
  <c r="E4263" i="1"/>
  <c r="E3758" i="1"/>
  <c r="E2593" i="1"/>
  <c r="E2256" i="1"/>
  <c r="E5847" i="1"/>
  <c r="E1915" i="1"/>
  <c r="E4845" i="1"/>
  <c r="E3722" i="1"/>
  <c r="E1689" i="1"/>
  <c r="E5310" i="1"/>
  <c r="E5004" i="1"/>
  <c r="E1981" i="1"/>
  <c r="E3982" i="1"/>
  <c r="E3560" i="1"/>
  <c r="E5006" i="1"/>
  <c r="E4044" i="1"/>
  <c r="E4749" i="1"/>
  <c r="E4578" i="1"/>
  <c r="E5695" i="1"/>
  <c r="E1588" i="1"/>
  <c r="E5542" i="1"/>
  <c r="E4078" i="1"/>
  <c r="E1685" i="1"/>
  <c r="E5650" i="1"/>
  <c r="E4189" i="1"/>
  <c r="E965" i="1"/>
  <c r="E5408" i="1"/>
  <c r="E5911" i="1"/>
  <c r="E4940" i="1"/>
  <c r="E3814" i="1"/>
  <c r="E3417" i="1"/>
  <c r="E1456" i="1"/>
  <c r="E3392" i="1"/>
  <c r="E4457" i="1"/>
  <c r="E5740" i="1"/>
  <c r="E4633" i="1"/>
  <c r="E3912" i="1"/>
  <c r="E3366" i="1"/>
  <c r="E5147" i="1"/>
  <c r="E1104" i="1"/>
  <c r="E4793" i="1"/>
  <c r="E5193" i="1"/>
  <c r="E1732" i="1"/>
  <c r="E4558" i="1"/>
  <c r="E548" i="1"/>
  <c r="E5065" i="1"/>
  <c r="E3208" i="1"/>
  <c r="E2212" i="1"/>
  <c r="E4536" i="1"/>
  <c r="E4327" i="1"/>
  <c r="E3902" i="1"/>
  <c r="E921" i="1"/>
  <c r="E1308" i="1"/>
  <c r="E5764" i="1"/>
  <c r="E1425" i="1"/>
  <c r="E501" i="1"/>
  <c r="E3033" i="1"/>
  <c r="E1450" i="1"/>
  <c r="E4168" i="1"/>
  <c r="E3593" i="1"/>
  <c r="E4463" i="1"/>
  <c r="E344" i="1"/>
  <c r="E1949" i="1"/>
  <c r="E4560" i="1"/>
  <c r="E1717" i="1"/>
  <c r="E5267" i="1"/>
  <c r="E4072" i="1"/>
  <c r="E380" i="1"/>
  <c r="E1589" i="1"/>
  <c r="E5738" i="1"/>
  <c r="E5424" i="1"/>
  <c r="E3347" i="1"/>
  <c r="E3672" i="1"/>
  <c r="E1584" i="1"/>
  <c r="E3303" i="1"/>
  <c r="E717" i="1"/>
  <c r="E5890" i="1"/>
  <c r="E1445" i="1"/>
  <c r="E4883" i="1"/>
  <c r="E5721" i="1"/>
  <c r="E5464" i="1"/>
  <c r="E5367" i="1"/>
  <c r="E5199" i="1"/>
  <c r="E4745" i="1"/>
  <c r="E4340" i="1"/>
  <c r="E3234" i="1"/>
  <c r="E3929" i="1"/>
  <c r="E4276" i="1"/>
  <c r="E5205" i="1"/>
  <c r="E4322" i="1"/>
  <c r="E2172" i="1"/>
  <c r="E5114" i="1"/>
  <c r="E4937" i="1"/>
  <c r="E4416" i="1"/>
  <c r="E1055" i="1"/>
  <c r="E1802" i="1"/>
  <c r="E5989" i="1"/>
  <c r="E1194" i="1"/>
  <c r="E3592" i="1"/>
  <c r="E1739" i="1"/>
  <c r="E4690" i="1"/>
  <c r="E5313" i="1"/>
  <c r="E3437" i="1"/>
  <c r="E5795" i="1"/>
  <c r="E4126" i="1"/>
  <c r="E1906" i="1"/>
  <c r="E1164" i="1"/>
  <c r="E4245" i="1"/>
  <c r="E834" i="1"/>
  <c r="E3236" i="1"/>
  <c r="E1953" i="1"/>
  <c r="E1622" i="1"/>
  <c r="E1019" i="1"/>
  <c r="E3467" i="1"/>
  <c r="E3083" i="1"/>
  <c r="E2162" i="1"/>
  <c r="E3696" i="1"/>
  <c r="E5356" i="1"/>
  <c r="E3974" i="1"/>
  <c r="E5656" i="1"/>
  <c r="E2754" i="1"/>
  <c r="E353" i="1"/>
  <c r="E3726" i="1"/>
  <c r="E4742" i="1"/>
  <c r="E3796" i="1"/>
  <c r="E5379" i="1"/>
  <c r="E5773" i="1"/>
  <c r="E1098" i="1"/>
  <c r="E3984" i="1"/>
  <c r="E3776" i="1"/>
  <c r="E3107" i="1"/>
  <c r="E3943" i="1"/>
  <c r="E2224" i="1"/>
  <c r="E2690" i="1"/>
  <c r="E3976" i="1"/>
  <c r="E5115" i="1"/>
  <c r="E615" i="1"/>
  <c r="E3252" i="1"/>
  <c r="E5143" i="1"/>
  <c r="E5051" i="1"/>
  <c r="E5954" i="1"/>
  <c r="E1152" i="1"/>
  <c r="E3844" i="1"/>
  <c r="E5657" i="1"/>
  <c r="E3628" i="1"/>
  <c r="E2534" i="1"/>
  <c r="E3831" i="1"/>
  <c r="E5376" i="1"/>
  <c r="E2502" i="1"/>
  <c r="E489" i="1"/>
  <c r="E3499" i="1"/>
  <c r="E2980" i="1"/>
  <c r="E1664" i="1"/>
  <c r="E4658" i="1"/>
  <c r="E4784" i="1"/>
  <c r="E5718" i="1"/>
  <c r="E5156" i="1"/>
  <c r="E5963" i="1"/>
  <c r="E5974" i="1"/>
  <c r="E1329" i="1"/>
  <c r="E4872" i="1"/>
  <c r="E5405" i="1"/>
  <c r="E5445" i="1"/>
  <c r="E3288" i="1"/>
  <c r="E4543" i="1"/>
  <c r="E4403" i="1"/>
  <c r="E340" i="1"/>
  <c r="E3591" i="1"/>
  <c r="E3138" i="1"/>
  <c r="E3623" i="1"/>
  <c r="E4144" i="1"/>
  <c r="E1657" i="1"/>
  <c r="E3822" i="1"/>
  <c r="E4174" i="1"/>
  <c r="E5247" i="1"/>
  <c r="E3365" i="1"/>
  <c r="E1179" i="1"/>
  <c r="E2609" i="1"/>
  <c r="E5786" i="1"/>
  <c r="E4148" i="1"/>
  <c r="E741" i="1"/>
  <c r="E5806" i="1"/>
  <c r="E5486" i="1"/>
  <c r="E2897" i="1"/>
  <c r="E557" i="1"/>
  <c r="E2634" i="1"/>
  <c r="E3381" i="1"/>
  <c r="E5459" i="1"/>
  <c r="E3661" i="1"/>
  <c r="E3012" i="1"/>
  <c r="E3977" i="1"/>
  <c r="E3549" i="1"/>
  <c r="E5881" i="1"/>
  <c r="E4725" i="1"/>
  <c r="E3209" i="1"/>
  <c r="E698" i="1"/>
  <c r="E963" i="1"/>
  <c r="E3798" i="1"/>
  <c r="E5550" i="1"/>
  <c r="E850" i="1"/>
  <c r="E2277" i="1"/>
  <c r="E4780" i="1"/>
  <c r="E564" i="1"/>
  <c r="E1978" i="1"/>
  <c r="E5129" i="1"/>
  <c r="E609" i="1"/>
  <c r="E3589" i="1"/>
  <c r="E5631" i="1"/>
  <c r="E3299" i="1"/>
  <c r="E3501" i="1"/>
  <c r="E582" i="1"/>
  <c r="E2506" i="1"/>
  <c r="E3717" i="1"/>
  <c r="E595" i="1"/>
  <c r="E4789" i="1"/>
  <c r="E2392" i="1"/>
  <c r="E4338" i="1"/>
  <c r="E1396" i="1"/>
  <c r="E3569" i="1"/>
  <c r="E1056" i="1"/>
  <c r="E857" i="1"/>
  <c r="E5059" i="1"/>
  <c r="E3857" i="1"/>
  <c r="E3986" i="1"/>
  <c r="E4029" i="1"/>
  <c r="E576" i="1"/>
  <c r="E1199" i="1"/>
  <c r="E3786" i="1"/>
  <c r="E4682" i="1"/>
  <c r="E662" i="1"/>
  <c r="E5506" i="1"/>
  <c r="E3574" i="1"/>
  <c r="E1373" i="1"/>
  <c r="E5213" i="1"/>
  <c r="E2219" i="1"/>
  <c r="E5627" i="1"/>
  <c r="E4213" i="1"/>
  <c r="E3567" i="1"/>
  <c r="E1211" i="1"/>
  <c r="E4300" i="1"/>
  <c r="E3587" i="1"/>
  <c r="E5273" i="1"/>
  <c r="E3409" i="1"/>
  <c r="E4028" i="1"/>
  <c r="E4900" i="1"/>
  <c r="E949" i="1"/>
  <c r="E867" i="1"/>
  <c r="E2254" i="1"/>
  <c r="E5849" i="1"/>
  <c r="E535" i="1"/>
  <c r="E3561" i="1"/>
  <c r="E1790" i="1"/>
  <c r="E5280" i="1"/>
  <c r="E3078" i="1"/>
  <c r="E3273" i="1"/>
  <c r="E3507" i="1"/>
  <c r="E4920" i="1"/>
  <c r="E3629" i="1"/>
  <c r="E1449" i="1"/>
  <c r="E1882" i="1"/>
  <c r="E2888" i="1"/>
  <c r="E1545" i="1"/>
  <c r="E1577" i="1"/>
  <c r="E3030" i="1"/>
  <c r="E4032" i="1"/>
  <c r="E3810" i="1"/>
  <c r="E1255" i="1"/>
  <c r="E3818" i="1"/>
  <c r="E1893" i="1"/>
  <c r="E2019" i="1"/>
  <c r="E1298" i="1"/>
  <c r="E1097" i="1"/>
  <c r="E1161" i="1"/>
  <c r="E5463" i="1"/>
  <c r="E5279" i="1"/>
  <c r="E2909" i="1"/>
  <c r="E1496" i="1"/>
  <c r="E3471" i="1"/>
  <c r="E2896" i="1"/>
  <c r="E2439" i="1"/>
  <c r="E1832" i="1"/>
  <c r="E3685" i="1"/>
  <c r="E1772" i="1"/>
  <c r="E2667" i="1"/>
  <c r="E1264" i="1"/>
  <c r="E5845" i="1"/>
  <c r="E2594" i="1"/>
  <c r="E5043" i="1"/>
  <c r="E3823" i="1"/>
  <c r="E1812" i="1"/>
  <c r="E3443" i="1"/>
  <c r="E4573" i="1"/>
  <c r="E3524" i="1"/>
  <c r="E2157" i="1"/>
  <c r="E1585" i="1"/>
  <c r="E4439" i="1"/>
  <c r="E1435" i="1"/>
  <c r="E3622" i="1"/>
  <c r="E3191" i="1"/>
  <c r="E5336" i="1"/>
  <c r="E3618" i="1"/>
  <c r="E5924" i="1"/>
  <c r="E4998" i="1"/>
  <c r="E1382" i="1"/>
  <c r="E382" i="1"/>
  <c r="E4490" i="1"/>
  <c r="E2970" i="1"/>
  <c r="E3319" i="1"/>
  <c r="E1547" i="1"/>
  <c r="E1532" i="1"/>
  <c r="E5036" i="1"/>
  <c r="E2100" i="1"/>
  <c r="E3856" i="1"/>
  <c r="E4677" i="1"/>
  <c r="E5701" i="1"/>
  <c r="E1483" i="1"/>
  <c r="E5473" i="1"/>
  <c r="E5358" i="1"/>
  <c r="E4063" i="1"/>
  <c r="E1966" i="1"/>
  <c r="E5531" i="1"/>
  <c r="E4626" i="1"/>
  <c r="E4064" i="1"/>
  <c r="E797" i="1"/>
  <c r="E3249" i="1"/>
  <c r="E2055" i="1"/>
  <c r="E4248" i="1"/>
  <c r="E4841" i="1"/>
  <c r="E5813" i="1"/>
  <c r="E5955" i="1"/>
  <c r="E2094" i="1"/>
  <c r="E3277" i="1"/>
  <c r="E431" i="1"/>
  <c r="E4272" i="1"/>
  <c r="E904" i="1"/>
  <c r="E1847" i="1"/>
  <c r="E4111" i="1"/>
  <c r="E816" i="1"/>
  <c r="E2619" i="1"/>
  <c r="E5477" i="1"/>
  <c r="E1925" i="1"/>
  <c r="E727" i="1"/>
  <c r="E3442" i="1"/>
  <c r="E4875" i="1"/>
  <c r="E1700" i="1"/>
  <c r="E5381" i="1"/>
  <c r="E4321" i="1"/>
  <c r="E4502" i="1"/>
  <c r="E2898" i="1"/>
  <c r="E3205" i="1"/>
  <c r="E3799" i="1"/>
  <c r="E5309" i="1"/>
  <c r="E3487" i="1"/>
  <c r="E1687" i="1"/>
  <c r="E4250" i="1"/>
  <c r="E3735" i="1"/>
  <c r="E3491" i="1"/>
  <c r="E4209" i="1"/>
  <c r="E1439" i="1"/>
  <c r="E2854" i="1"/>
  <c r="E4123" i="1"/>
  <c r="E1355" i="1"/>
  <c r="E4207" i="1"/>
  <c r="E1943" i="1"/>
  <c r="E4579" i="1"/>
  <c r="E4367" i="1"/>
  <c r="E4138" i="1"/>
  <c r="E4369" i="1"/>
  <c r="E5284" i="1"/>
  <c r="E2012" i="1"/>
  <c r="E3710" i="1"/>
  <c r="E5619" i="1"/>
  <c r="E3794" i="1"/>
  <c r="E4424" i="1"/>
  <c r="E5749" i="1"/>
  <c r="E3295" i="1"/>
  <c r="E5447" i="1"/>
  <c r="E5626" i="1"/>
  <c r="E5680" i="1"/>
  <c r="E979" i="1"/>
  <c r="E1766" i="1"/>
  <c r="E4641" i="1"/>
  <c r="E3110" i="1"/>
  <c r="E4371" i="1"/>
  <c r="E1822" i="1"/>
  <c r="E4293" i="1"/>
  <c r="E3385" i="1"/>
  <c r="E2324" i="1"/>
  <c r="E2210" i="1"/>
  <c r="E4141" i="1"/>
  <c r="E1770" i="1"/>
  <c r="E1013" i="1"/>
  <c r="E5655" i="1"/>
  <c r="E1059" i="1"/>
  <c r="E3800" i="1"/>
  <c r="E3673" i="1"/>
  <c r="E2713" i="1"/>
  <c r="E3391" i="1"/>
  <c r="E2365" i="1"/>
  <c r="E4848" i="1"/>
  <c r="E4130" i="1"/>
  <c r="E4614" i="1"/>
  <c r="E298" i="1"/>
  <c r="E4893" i="1"/>
  <c r="E3351" i="1"/>
  <c r="E5246" i="1"/>
  <c r="E3506" i="1"/>
  <c r="E3320" i="1"/>
  <c r="E5113" i="1"/>
  <c r="E437" i="1"/>
  <c r="E5182" i="1"/>
  <c r="E2562" i="1"/>
  <c r="E5509" i="1"/>
  <c r="E1216" i="1"/>
  <c r="E3200" i="1"/>
  <c r="E5399" i="1"/>
  <c r="E3194" i="1"/>
  <c r="E3729" i="1"/>
  <c r="E2709" i="1"/>
  <c r="E2325" i="1"/>
  <c r="E3938" i="1"/>
  <c r="E3340" i="1"/>
  <c r="E2551" i="1"/>
  <c r="E2488" i="1"/>
  <c r="E2876" i="1"/>
  <c r="E390" i="1"/>
  <c r="E3971" i="1"/>
  <c r="E2042" i="1"/>
  <c r="E3681" i="1"/>
  <c r="E1180" i="1"/>
  <c r="E4285" i="1"/>
  <c r="E1638" i="1"/>
  <c r="E1237" i="1"/>
  <c r="E5490" i="1"/>
  <c r="E5242" i="1"/>
  <c r="E4559" i="1"/>
  <c r="E2495" i="1"/>
  <c r="E379" i="1"/>
  <c r="E3310" i="1"/>
  <c r="E2781" i="1"/>
  <c r="E4230" i="1"/>
  <c r="E5950" i="1"/>
  <c r="E3583" i="1"/>
  <c r="E874" i="1"/>
  <c r="E4772" i="1"/>
  <c r="E2771" i="1"/>
  <c r="E5474" i="1"/>
  <c r="E2589" i="1"/>
  <c r="E4045" i="1"/>
  <c r="E1636" i="1"/>
  <c r="E1331" i="1"/>
  <c r="E4953" i="1"/>
  <c r="E3235" i="1"/>
  <c r="E3037" i="1"/>
  <c r="E2282" i="1"/>
  <c r="E3196" i="1"/>
  <c r="E4943" i="1"/>
  <c r="E2127" i="1"/>
  <c r="E1227" i="1"/>
  <c r="E4760" i="1"/>
  <c r="E2432" i="1"/>
  <c r="E964" i="1"/>
  <c r="E2140" i="1"/>
  <c r="E2988" i="1"/>
  <c r="E5475" i="1"/>
  <c r="E4165" i="1"/>
  <c r="E3615" i="1"/>
  <c r="E1575" i="1"/>
  <c r="E4932" i="1"/>
  <c r="E3958" i="1"/>
  <c r="E1122" i="1"/>
  <c r="E4716" i="1"/>
  <c r="E2649" i="1"/>
  <c r="E5176" i="1"/>
  <c r="E4022" i="1"/>
  <c r="E5919" i="1"/>
  <c r="E4675" i="1"/>
  <c r="E1843" i="1"/>
  <c r="E1144" i="1"/>
  <c r="E5561" i="1"/>
  <c r="E5665" i="1"/>
  <c r="E5888" i="1"/>
  <c r="E2761" i="1"/>
  <c r="E2233" i="1"/>
  <c r="E5076" i="1"/>
  <c r="E4102" i="1"/>
  <c r="E5251" i="1"/>
  <c r="E5766" i="1"/>
  <c r="E5676" i="1"/>
  <c r="E4958" i="1"/>
  <c r="E1074" i="1"/>
  <c r="E2118" i="1"/>
  <c r="E2398" i="1"/>
  <c r="E5099" i="1"/>
  <c r="E5586" i="1"/>
  <c r="E2687" i="1"/>
  <c r="E5446" i="1"/>
  <c r="E3620" i="1"/>
  <c r="E4856" i="1"/>
  <c r="E5825" i="1"/>
  <c r="E1231" i="1"/>
  <c r="E5357" i="1"/>
  <c r="E4987" i="1"/>
  <c r="E5443" i="1"/>
  <c r="E4355" i="1"/>
  <c r="E2766" i="1"/>
  <c r="E5835" i="1"/>
  <c r="E1797" i="1"/>
  <c r="E2535" i="1"/>
  <c r="E5301" i="1"/>
  <c r="E2745" i="1"/>
  <c r="E3415" i="1"/>
  <c r="E2818" i="1"/>
  <c r="E1528" i="1"/>
  <c r="E1557" i="1"/>
  <c r="E1398" i="1"/>
  <c r="E1272" i="1"/>
  <c r="E391" i="1"/>
  <c r="E5793" i="1"/>
  <c r="E429" i="1"/>
  <c r="E4467" i="1"/>
  <c r="E3901" i="1"/>
  <c r="E2865" i="1"/>
  <c r="E5744" i="1"/>
  <c r="E5838" i="1"/>
  <c r="E2206" i="1"/>
  <c r="E1300" i="1"/>
  <c r="E2145" i="1"/>
  <c r="E5030" i="1"/>
  <c r="E5807" i="1"/>
  <c r="E1554" i="1"/>
  <c r="E454" i="1"/>
  <c r="E4802" i="1"/>
  <c r="E5435" i="1"/>
  <c r="E1314" i="1"/>
  <c r="E5787" i="1"/>
  <c r="E3865" i="1"/>
  <c r="E2514" i="1"/>
  <c r="E1275" i="1"/>
  <c r="E2343" i="1"/>
  <c r="E1836" i="1"/>
  <c r="E5261" i="1"/>
  <c r="E4231" i="1"/>
  <c r="E1095" i="1"/>
  <c r="E3739" i="1"/>
  <c r="E4867" i="1"/>
  <c r="E1091" i="1"/>
  <c r="E3498" i="1"/>
  <c r="E5433" i="1"/>
  <c r="E3481" i="1"/>
  <c r="E5087" i="1"/>
  <c r="E5107" i="1"/>
  <c r="E5084" i="1"/>
  <c r="E1313" i="1"/>
  <c r="E4101" i="1"/>
  <c r="E4844" i="1"/>
  <c r="E2078" i="1"/>
  <c r="E4797" i="1"/>
  <c r="E5858" i="1"/>
  <c r="E4404" i="1"/>
  <c r="E1838" i="1"/>
  <c r="E892" i="1"/>
  <c r="E937" i="1"/>
  <c r="E5997" i="1"/>
  <c r="E3509" i="1"/>
  <c r="E405" i="1"/>
  <c r="E2305" i="1"/>
  <c r="E960" i="1"/>
  <c r="E3233" i="1"/>
  <c r="E3586" i="1"/>
  <c r="E5060" i="1"/>
  <c r="E2920" i="1"/>
  <c r="E4696" i="1"/>
  <c r="E5985" i="1"/>
  <c r="E4514" i="1"/>
  <c r="E3342" i="1"/>
  <c r="E3187" i="1"/>
  <c r="E5940" i="1"/>
  <c r="E4720" i="1"/>
  <c r="E3454" i="1"/>
  <c r="E5082" i="1"/>
  <c r="E3847" i="1"/>
  <c r="E3877" i="1"/>
  <c r="E5778" i="1"/>
  <c r="E3926" i="1"/>
  <c r="E1933" i="1"/>
  <c r="E3027" i="1"/>
  <c r="E4296" i="1"/>
  <c r="E3651" i="1"/>
  <c r="E4240" i="1"/>
  <c r="E4412" i="1"/>
  <c r="E3833" i="1"/>
  <c r="E5751" i="1"/>
  <c r="E1788" i="1"/>
  <c r="E359" i="1"/>
  <c r="E5537" i="1"/>
  <c r="E1934" i="1"/>
  <c r="E4929" i="1"/>
  <c r="E930" i="1"/>
  <c r="E5421" i="1"/>
  <c r="E5808" i="1"/>
  <c r="E3448" i="1"/>
  <c r="E3679" i="1"/>
  <c r="E2329" i="1"/>
  <c r="E5140" i="1"/>
  <c r="E3821" i="1"/>
  <c r="E3695" i="1"/>
  <c r="E4913" i="1"/>
  <c r="E2949" i="1"/>
  <c r="E3489" i="1"/>
  <c r="E4882" i="1"/>
  <c r="E2887" i="1"/>
  <c r="E1786" i="1"/>
  <c r="E1568" i="1"/>
  <c r="E496" i="1"/>
  <c r="E1151" i="1"/>
  <c r="E5776" i="1"/>
  <c r="E3029" i="1"/>
  <c r="E3161" i="1"/>
  <c r="E3472" i="1"/>
  <c r="E4547" i="1"/>
  <c r="E3073" i="1"/>
  <c r="E4914" i="1"/>
  <c r="E4396" i="1"/>
  <c r="E590" i="1"/>
  <c r="E2735" i="1"/>
  <c r="E5983" i="1"/>
  <c r="E3532" i="1"/>
  <c r="E5092" i="1"/>
  <c r="E4339" i="1"/>
  <c r="E2169" i="1"/>
  <c r="E1630" i="1"/>
  <c r="E4590" i="1"/>
  <c r="E4657" i="1"/>
  <c r="E5186" i="1"/>
  <c r="E5638" i="1"/>
  <c r="E1839" i="1"/>
  <c r="E3223" i="1"/>
  <c r="E4642" i="1"/>
  <c r="E1175" i="1"/>
  <c r="E4235" i="1"/>
  <c r="E4876" i="1"/>
  <c r="E2777" i="1"/>
  <c r="E1816" i="1"/>
  <c r="E2508" i="1"/>
  <c r="E2038" i="1"/>
  <c r="E1200" i="1"/>
  <c r="E756" i="1"/>
  <c r="E4229" i="1"/>
  <c r="E4107" i="1"/>
  <c r="E3668" i="1"/>
  <c r="E5654" i="1"/>
  <c r="E5642" i="1"/>
  <c r="E2603" i="1"/>
  <c r="E5729" i="1"/>
  <c r="E1746" i="1"/>
  <c r="E5234" i="1"/>
  <c r="E3466" i="1"/>
  <c r="E3551" i="1"/>
  <c r="E5610" i="1"/>
  <c r="E3328" i="1"/>
  <c r="E5214" i="1"/>
  <c r="E5558" i="1"/>
  <c r="E2356" i="1"/>
  <c r="E347" i="1"/>
  <c r="E639" i="1"/>
  <c r="E852" i="1"/>
  <c r="E5684" i="1"/>
  <c r="E808" i="1"/>
  <c r="E638" i="1"/>
  <c r="E5820" i="1"/>
  <c r="E1458" i="1"/>
  <c r="E2406" i="1"/>
  <c r="E1118" i="1"/>
  <c r="E5516" i="1"/>
  <c r="E2265" i="1"/>
  <c r="E5992" i="1"/>
  <c r="E2373" i="1"/>
  <c r="E1102" i="1"/>
  <c r="E1642" i="1"/>
  <c r="E4177" i="1"/>
  <c r="E2460" i="1"/>
  <c r="E908" i="1"/>
  <c r="E5093" i="1"/>
  <c r="E5581" i="1"/>
  <c r="E4977" i="1"/>
  <c r="E722" i="1"/>
  <c r="E5453" i="1"/>
  <c r="E2825" i="1"/>
  <c r="E4443" i="1"/>
  <c r="E453" i="1"/>
  <c r="E1320" i="1"/>
  <c r="E5412" i="1"/>
  <c r="E2858" i="1"/>
  <c r="E4860" i="1"/>
  <c r="E4456" i="1"/>
  <c r="E2136" i="1"/>
  <c r="E1187" i="1"/>
  <c r="E4415" i="1"/>
  <c r="E3553" i="1"/>
  <c r="E3744" i="1"/>
  <c r="E4201" i="1"/>
  <c r="E3397" i="1"/>
  <c r="E1441" i="1"/>
  <c r="E2566" i="1"/>
  <c r="E3056" i="1"/>
  <c r="E1879" i="1"/>
  <c r="E3476" i="1"/>
  <c r="E4118" i="1"/>
  <c r="E4877" i="1"/>
  <c r="E4112" i="1"/>
  <c r="E4826" i="1"/>
  <c r="E4581" i="1"/>
  <c r="E3771" i="1"/>
  <c r="E1865" i="1"/>
  <c r="E2109" i="1"/>
  <c r="E2261" i="1"/>
  <c r="E4823" i="1"/>
  <c r="E981" i="1"/>
  <c r="E881" i="1"/>
  <c r="E5141" i="1"/>
  <c r="E1370" i="1"/>
  <c r="E1232" i="1"/>
  <c r="E2487" i="1"/>
  <c r="E3925" i="1"/>
  <c r="E5161" i="1"/>
  <c r="E3955" i="1"/>
  <c r="E740" i="1"/>
  <c r="E5967" i="1"/>
  <c r="E3291" i="1"/>
  <c r="E1186" i="1"/>
  <c r="E1054" i="1"/>
  <c r="E2273" i="1"/>
  <c r="E4071" i="1"/>
  <c r="E5688" i="1"/>
  <c r="E2235" i="1"/>
  <c r="E1704" i="1"/>
  <c r="E4015" i="1"/>
  <c r="E1640" i="1"/>
  <c r="E5392" i="1"/>
  <c r="E1997" i="1"/>
  <c r="E3155" i="1"/>
  <c r="E463" i="1"/>
  <c r="E3647" i="1"/>
  <c r="E4479" i="1"/>
  <c r="E4812" i="1"/>
  <c r="E3738" i="1"/>
  <c r="E3226" i="1"/>
  <c r="E1261" i="1"/>
  <c r="E3386" i="1"/>
  <c r="E5882" i="1"/>
  <c r="E5198" i="1"/>
  <c r="E4192" i="1"/>
  <c r="E3495" i="1"/>
  <c r="E5117" i="1"/>
  <c r="E2951" i="1"/>
  <c r="E4908" i="1"/>
  <c r="E3169" i="1"/>
  <c r="E2381" i="1"/>
  <c r="E3227" i="1"/>
  <c r="E2813" i="1"/>
  <c r="E4533" i="1"/>
  <c r="E3497" i="1"/>
  <c r="E2262" i="1"/>
  <c r="E4019" i="1"/>
  <c r="E3706" i="1"/>
  <c r="E3825" i="1"/>
  <c r="E493" i="1"/>
  <c r="E4852" i="1"/>
  <c r="E4782" i="1"/>
  <c r="E4799" i="1"/>
  <c r="E3421" i="1"/>
  <c r="E3742" i="1"/>
  <c r="E3335" i="1"/>
  <c r="E1722" i="1"/>
  <c r="E5799" i="1"/>
  <c r="E1045" i="1"/>
  <c r="E2199" i="1"/>
  <c r="E3210" i="1"/>
  <c r="E3333" i="1"/>
  <c r="E1903" i="1"/>
  <c r="E4681" i="1"/>
  <c r="E5720" i="1"/>
  <c r="E1759" i="1"/>
  <c r="E3832" i="1"/>
  <c r="E1974" i="1"/>
  <c r="E3283" i="1"/>
  <c r="E6005" i="1"/>
  <c r="E5283" i="1"/>
  <c r="E397" i="1"/>
  <c r="E3704" i="1"/>
  <c r="E1226" i="1"/>
  <c r="E875" i="1"/>
  <c r="E4473" i="1"/>
  <c r="E5801" i="1"/>
  <c r="E1052" i="1"/>
  <c r="E4366" i="1"/>
  <c r="E485" i="1"/>
  <c r="E4034" i="1"/>
  <c r="E1224" i="1"/>
  <c r="E1605" i="1"/>
  <c r="E2339" i="1"/>
  <c r="E1784" i="1"/>
  <c r="E3772" i="1"/>
  <c r="E5472" i="1"/>
  <c r="E2642" i="1"/>
  <c r="E1287" i="1"/>
  <c r="E5560" i="1"/>
  <c r="E4391" i="1"/>
  <c r="E4430" i="1"/>
  <c r="E5533" i="1"/>
  <c r="E3565" i="1"/>
  <c r="E3845" i="1"/>
  <c r="E2878" i="1"/>
  <c r="E1305" i="1"/>
  <c r="E3768" i="1"/>
  <c r="E5934" i="1"/>
  <c r="E376" i="1"/>
  <c r="E539" i="1"/>
  <c r="E4903" i="1"/>
  <c r="E4818" i="1"/>
  <c r="E5570" i="1"/>
  <c r="E4315" i="1"/>
  <c r="E4764" i="1"/>
  <c r="E1579" i="1"/>
  <c r="E3081" i="1"/>
  <c r="E3855" i="1"/>
  <c r="E3445" i="1"/>
  <c r="E4766" i="1"/>
  <c r="E2211" i="1"/>
  <c r="E3817" i="1"/>
  <c r="E1318" i="1"/>
  <c r="E520" i="1"/>
  <c r="E4545" i="1"/>
  <c r="E1304" i="1"/>
  <c r="E1158" i="1"/>
  <c r="E2628" i="1"/>
  <c r="E5105" i="1"/>
  <c r="E4378" i="1"/>
  <c r="E5611" i="1"/>
  <c r="E398" i="1"/>
  <c r="E3966" i="1"/>
  <c r="E5268" i="1"/>
  <c r="E3759" i="1"/>
  <c r="E1093" i="1"/>
  <c r="E2457" i="1"/>
  <c r="E2995" i="1"/>
  <c r="E1163" i="1"/>
  <c r="E3393" i="1"/>
  <c r="E5196" i="1"/>
  <c r="E5696" i="1"/>
  <c r="E5900" i="1"/>
  <c r="E3641" i="1"/>
  <c r="E3431" i="1"/>
  <c r="E4030" i="1"/>
  <c r="E1898" i="1"/>
  <c r="E4599" i="1"/>
  <c r="E2227" i="1"/>
  <c r="E2850" i="1"/>
  <c r="E546" i="1"/>
  <c r="E5707" i="1"/>
  <c r="E5520" i="1"/>
  <c r="E3263" i="1"/>
  <c r="E3954" i="1"/>
  <c r="E4596" i="1"/>
  <c r="E2788" i="1"/>
  <c r="E2137" i="1"/>
  <c r="E5996" i="1"/>
  <c r="E5120" i="1"/>
  <c r="E1972" i="1"/>
  <c r="E458" i="1"/>
  <c r="E3793" i="1"/>
  <c r="E2587" i="1"/>
  <c r="E4778" i="1"/>
  <c r="E2925" i="1"/>
  <c r="E5041" i="1"/>
  <c r="E569" i="1"/>
  <c r="E621" i="1"/>
  <c r="E2805" i="1"/>
  <c r="E560" i="1"/>
  <c r="E3418" i="1"/>
  <c r="E3645" i="1"/>
  <c r="E3940" i="1"/>
  <c r="E5351" i="1"/>
  <c r="E459" i="1"/>
  <c r="E4855" i="1"/>
  <c r="E3585" i="1"/>
  <c r="E1177" i="1"/>
  <c r="E1092" i="1"/>
  <c r="E1913" i="1"/>
  <c r="E720" i="1"/>
  <c r="E1130" i="1"/>
  <c r="E1583" i="1"/>
  <c r="E2670" i="1"/>
  <c r="E2438" i="1"/>
  <c r="E3530" i="1"/>
  <c r="E4364" i="1"/>
  <c r="E2913" i="1"/>
  <c r="E4773" i="1"/>
  <c r="E4912" i="1"/>
  <c r="E4458" i="1"/>
  <c r="E3714" i="1"/>
  <c r="E4728" i="1"/>
  <c r="E1048" i="1"/>
  <c r="E4494" i="1"/>
  <c r="E5476" i="1"/>
  <c r="E880" i="1"/>
  <c r="E925" i="1"/>
  <c r="E2520" i="1"/>
  <c r="E5276" i="1"/>
  <c r="E3298" i="1"/>
  <c r="E4637" i="1"/>
  <c r="E5391" i="1"/>
  <c r="E5622" i="1"/>
  <c r="E1963" i="1"/>
  <c r="E3408" i="1"/>
  <c r="E491" i="1"/>
  <c r="E5549" i="1"/>
  <c r="E5233" i="1"/>
  <c r="E4810" i="1"/>
  <c r="E5308" i="1"/>
  <c r="E1166" i="1"/>
  <c r="E2772" i="1"/>
  <c r="E3638" i="1"/>
  <c r="E4624" i="1"/>
  <c r="E3513" i="1"/>
  <c r="E3237" i="1"/>
  <c r="E3352" i="1"/>
  <c r="E1337" i="1"/>
  <c r="E1820" i="1"/>
  <c r="E5551" i="1"/>
  <c r="E5066" i="1"/>
  <c r="E433" i="1"/>
  <c r="E2645" i="1"/>
  <c r="E5836" i="1"/>
  <c r="E5969" i="1"/>
  <c r="E5952" i="1"/>
  <c r="E5322" i="1"/>
  <c r="E5414" i="1"/>
  <c r="E5374" i="1"/>
  <c r="E4935" i="1"/>
  <c r="E2946" i="1"/>
  <c r="E302" i="1"/>
  <c r="E1002" i="1"/>
  <c r="E1991" i="1"/>
  <c r="E3690" i="1"/>
  <c r="E1901" i="1"/>
  <c r="E671" i="1"/>
  <c r="E726" i="1"/>
  <c r="E4094" i="1"/>
  <c r="E4228" i="1"/>
  <c r="E1520" i="1"/>
  <c r="E3811" i="1"/>
  <c r="E2625" i="1"/>
  <c r="E538" i="1"/>
  <c r="E5419" i="1"/>
  <c r="E1564" i="1"/>
  <c r="E2135" i="1"/>
  <c r="E3751" i="1"/>
  <c r="E3917" i="1"/>
  <c r="E3280" i="1"/>
  <c r="E5346" i="1"/>
  <c r="E3380" i="1"/>
  <c r="E3839" i="1"/>
  <c r="E3930" i="1"/>
  <c r="E1327" i="1"/>
  <c r="E4999" i="1"/>
  <c r="E2964" i="1"/>
  <c r="E5012" i="1"/>
  <c r="E4957" i="1"/>
  <c r="E3222" i="1"/>
  <c r="E3993" i="1"/>
  <c r="E767" i="1"/>
  <c r="E1251" i="1"/>
  <c r="E4302" i="1"/>
  <c r="E4298" i="1"/>
  <c r="E5197" i="1"/>
  <c r="E2656" i="1"/>
  <c r="E661" i="1"/>
  <c r="E5007" i="1"/>
  <c r="E4418" i="1"/>
  <c r="E406" i="1"/>
  <c r="E5159" i="1"/>
  <c r="E2533" i="1"/>
  <c r="E1876" i="1"/>
  <c r="E5810" i="1"/>
  <c r="E315" i="1"/>
  <c r="E2467" i="1"/>
  <c r="E5373" i="1"/>
  <c r="E2465" i="1"/>
  <c r="E578" i="1"/>
  <c r="E3533" i="1"/>
  <c r="E3605" i="1"/>
  <c r="E3691" i="1"/>
  <c r="E1566" i="1"/>
  <c r="E3947" i="1"/>
  <c r="E5265" i="1"/>
  <c r="E2521" i="1"/>
  <c r="E1453" i="1"/>
  <c r="E5809" i="1"/>
  <c r="E4569" i="1"/>
  <c r="E4162" i="1"/>
  <c r="E3480" i="1"/>
  <c r="E5596" i="1"/>
  <c r="E5237" i="1"/>
  <c r="E5763" i="1"/>
  <c r="E1090" i="1"/>
  <c r="E3534" i="1"/>
  <c r="E1198" i="1"/>
  <c r="E2526" i="1"/>
  <c r="E6004" i="1"/>
  <c r="E4246" i="1"/>
  <c r="E2742" i="1"/>
  <c r="E5163" i="1"/>
  <c r="E5318" i="1"/>
  <c r="E5711" i="1"/>
  <c r="E1087" i="1"/>
  <c r="E1443" i="1"/>
  <c r="E2874" i="1"/>
  <c r="E2734" i="1"/>
  <c r="E1433" i="1"/>
  <c r="E4158" i="1"/>
  <c r="E1706" i="1"/>
  <c r="E4659" i="1"/>
  <c r="E5530" i="1"/>
  <c r="E3557" i="1"/>
  <c r="E2279" i="1"/>
  <c r="E3564" i="1"/>
  <c r="E2627" i="1"/>
  <c r="E2710" i="1"/>
  <c r="E4984" i="1"/>
  <c r="E3179" i="1"/>
  <c r="E2674" i="1"/>
  <c r="E3550" i="1"/>
  <c r="E4425" i="1"/>
  <c r="E5121" i="1"/>
  <c r="E2747" i="1"/>
  <c r="E5165" i="1"/>
  <c r="E2632" i="1"/>
  <c r="E5158" i="1"/>
  <c r="E1747" i="1"/>
  <c r="E239" i="1"/>
  <c r="E5045" i="1"/>
  <c r="E236" i="1"/>
  <c r="E4698" i="1"/>
  <c r="E120" i="1"/>
  <c r="E4105" i="1"/>
  <c r="E3863" i="1"/>
  <c r="E1713" i="1"/>
  <c r="E1067" i="1"/>
  <c r="E5905" i="1"/>
  <c r="E3211" i="1"/>
  <c r="E835" i="1"/>
  <c r="E5518" i="1"/>
  <c r="E998" i="1"/>
  <c r="E1514" i="1"/>
  <c r="E775" i="1"/>
  <c r="E2308" i="1"/>
  <c r="E2958" i="1"/>
  <c r="E436" i="1"/>
  <c r="E5155" i="1"/>
  <c r="E1395" i="1"/>
  <c r="E2418" i="1"/>
  <c r="E1867" i="1"/>
  <c r="E5016" i="1"/>
  <c r="E188" i="1"/>
  <c r="E2600" i="1"/>
  <c r="E4498" i="1"/>
  <c r="E3450" i="1"/>
  <c r="E1482" i="1"/>
  <c r="E4687" i="1"/>
  <c r="E1007" i="1"/>
  <c r="E4683" i="1"/>
  <c r="E2679" i="1"/>
  <c r="E3942" i="1"/>
  <c r="E2877" i="1"/>
  <c r="E3378" i="1"/>
  <c r="E5747" i="1"/>
  <c r="E1775" i="1"/>
  <c r="E5726" i="1"/>
  <c r="E673" i="1"/>
  <c r="E3219" i="1"/>
  <c r="E5266" i="1"/>
  <c r="E654" i="1"/>
  <c r="E6003" i="1"/>
  <c r="E1985" i="1"/>
  <c r="E900" i="1"/>
  <c r="E1626" i="1"/>
  <c r="E5785" i="1"/>
  <c r="E1561" i="1"/>
  <c r="E2079" i="1"/>
  <c r="E2388" i="1"/>
  <c r="E5544" i="1"/>
  <c r="E4917" i="1"/>
  <c r="E2717" i="1"/>
  <c r="E4360" i="1"/>
  <c r="E5482" i="1"/>
  <c r="E3699" i="1"/>
  <c r="E4221" i="1"/>
  <c r="E5567" i="1"/>
  <c r="E4800" i="1"/>
  <c r="E806" i="1"/>
  <c r="E765" i="1"/>
  <c r="E2979" i="1"/>
  <c r="E3326" i="1"/>
  <c r="E3388" i="1"/>
  <c r="E205" i="1"/>
  <c r="E3988" i="1"/>
  <c r="E5088" i="1"/>
  <c r="E3043" i="1"/>
  <c r="E2204" i="1"/>
  <c r="E993" i="1"/>
  <c r="E5502" i="1"/>
  <c r="E758" i="1"/>
  <c r="E655" i="1"/>
  <c r="E4499" i="1"/>
  <c r="E1492" i="1"/>
  <c r="E2942" i="1"/>
  <c r="E3456" i="1"/>
  <c r="E5219" i="1"/>
  <c r="E1760" i="1"/>
  <c r="E2035" i="1"/>
  <c r="E3835" i="1"/>
  <c r="E1517" i="1"/>
  <c r="E4092" i="1"/>
  <c r="E1294" i="1"/>
  <c r="E5238" i="1"/>
  <c r="E2114" i="1"/>
  <c r="E293" i="1"/>
  <c r="E4933" i="1"/>
  <c r="E5730" i="1"/>
  <c r="E891" i="1"/>
  <c r="E5949" i="1"/>
  <c r="E710" i="1"/>
  <c r="E4157" i="1"/>
  <c r="E198" i="1"/>
  <c r="E3379" i="1"/>
  <c r="E3221" i="1"/>
  <c r="E2864" i="1"/>
  <c r="E4278" i="1"/>
  <c r="E106" i="1"/>
  <c r="E235" i="1"/>
  <c r="E1789" i="1"/>
  <c r="E3774" i="1"/>
  <c r="E5258" i="1"/>
  <c r="E2429" i="1"/>
  <c r="E4109" i="1"/>
  <c r="E1993" i="1"/>
  <c r="E3520" i="1"/>
  <c r="E2577" i="1"/>
  <c r="E2823" i="1"/>
  <c r="E600" i="1"/>
  <c r="E5296" i="1"/>
  <c r="E3873" i="1"/>
  <c r="E1296" i="1"/>
  <c r="E4857" i="1"/>
  <c r="E2605" i="1"/>
  <c r="E3095" i="1"/>
  <c r="E5484" i="1"/>
  <c r="E3404" i="1"/>
  <c r="E4420" i="1"/>
  <c r="E3197" i="1"/>
  <c r="E170" i="1"/>
  <c r="E1643" i="1"/>
  <c r="E2579" i="1"/>
  <c r="E3837" i="1"/>
  <c r="E1239" i="1"/>
  <c r="E4619" i="1"/>
  <c r="E1538" i="1"/>
  <c r="E1219" i="1"/>
  <c r="E5200" i="1"/>
  <c r="E4927" i="1"/>
  <c r="E2623" i="1"/>
  <c r="E4135" i="1"/>
  <c r="E4016" i="1"/>
  <c r="E1970" i="1"/>
  <c r="E5760" i="1"/>
  <c r="E5672" i="1"/>
  <c r="E2547" i="1"/>
  <c r="E729" i="1"/>
  <c r="E5913" i="1"/>
  <c r="E3838" i="1"/>
  <c r="E4991" i="1"/>
  <c r="E3682" i="1"/>
  <c r="E3861" i="1"/>
  <c r="E4824" i="1"/>
  <c r="E1863" i="1"/>
  <c r="E3659" i="1"/>
  <c r="E4708" i="1"/>
  <c r="E3296" i="1"/>
  <c r="E4270" i="1"/>
  <c r="E418" i="1"/>
  <c r="E1293" i="1"/>
  <c r="E107" i="1"/>
  <c r="E1929" i="1"/>
  <c r="E2187" i="1"/>
  <c r="E387" i="1"/>
  <c r="E5577" i="1"/>
  <c r="E1031" i="1"/>
  <c r="E516" i="1"/>
  <c r="E1683" i="1"/>
  <c r="E2762" i="1"/>
  <c r="E3700" i="1"/>
  <c r="E4465" i="1"/>
  <c r="E1560" i="1"/>
  <c r="E4804" i="1"/>
  <c r="E1083" i="1"/>
  <c r="E4151" i="1"/>
  <c r="E1147" i="1"/>
  <c r="E2058" i="1"/>
  <c r="E1141" i="1"/>
  <c r="E3341" i="1"/>
  <c r="E3994" i="1"/>
  <c r="E1741" i="1"/>
  <c r="E4363" i="1"/>
  <c r="E970" i="1"/>
  <c r="E5416" i="1"/>
  <c r="E4629" i="1"/>
  <c r="E5415" i="1"/>
  <c r="E827" i="1"/>
  <c r="E1607" i="1"/>
  <c r="E2945" i="1"/>
  <c r="E4763" i="1"/>
  <c r="E3515" i="1"/>
  <c r="E3853" i="1"/>
  <c r="E3071" i="1"/>
  <c r="E5788" i="1"/>
  <c r="E3375" i="1"/>
  <c r="E3353" i="1"/>
  <c r="E4389" i="1"/>
  <c r="E4990" i="1"/>
  <c r="E243" i="1"/>
  <c r="E4361" i="1"/>
  <c r="E4571" i="1"/>
  <c r="E5781" i="1"/>
  <c r="E3893" i="1"/>
  <c r="E3921" i="1"/>
  <c r="E200" i="1"/>
  <c r="E3854" i="1"/>
  <c r="E4241" i="1"/>
  <c r="E151" i="1"/>
  <c r="E5002" i="1"/>
  <c r="E2222" i="1"/>
  <c r="E2733" i="1"/>
  <c r="E2698" i="1"/>
  <c r="E3469" i="1"/>
  <c r="E4062" i="1"/>
  <c r="E608" i="1"/>
  <c r="E1041" i="1"/>
  <c r="E5976" i="1"/>
  <c r="E5248" i="1"/>
  <c r="E2598" i="1"/>
  <c r="E4693" i="1"/>
  <c r="E1964" i="1"/>
  <c r="E5605" i="1"/>
  <c r="E2669" i="1"/>
  <c r="E5802" i="1"/>
  <c r="E4622" i="1"/>
  <c r="E4709" i="1"/>
  <c r="E5430" i="1"/>
  <c r="E2681" i="1"/>
  <c r="E5511" i="1"/>
  <c r="E5861" i="1"/>
  <c r="E3189" i="1"/>
  <c r="E3602" i="1"/>
  <c r="E4284" i="1"/>
  <c r="E1650" i="1"/>
  <c r="E2086" i="1"/>
  <c r="E3836" i="1"/>
  <c r="E5589" i="1"/>
  <c r="E1238" i="1"/>
  <c r="E2196" i="1"/>
  <c r="E1342" i="1"/>
  <c r="E4216" i="1"/>
  <c r="E4636" i="1"/>
  <c r="E2472" i="1"/>
  <c r="E4402" i="1"/>
  <c r="E208" i="1"/>
  <c r="E3485" i="1"/>
  <c r="E2299" i="1"/>
  <c r="E2376" i="1"/>
  <c r="E3956" i="1"/>
  <c r="E2907" i="1"/>
  <c r="E5294" i="1"/>
  <c r="E2960" i="1"/>
  <c r="E1015" i="1"/>
  <c r="E633" i="1"/>
  <c r="E2862" i="1"/>
  <c r="E4583" i="1"/>
  <c r="E1026" i="1"/>
  <c r="E634" i="1"/>
  <c r="E3115" i="1"/>
  <c r="E4541" i="1"/>
  <c r="E635" i="1"/>
  <c r="E1387" i="1"/>
  <c r="E1024" i="1"/>
  <c r="E4330" i="1"/>
  <c r="E3707" i="1"/>
  <c r="E1159" i="1"/>
  <c r="E2215" i="1"/>
  <c r="E4282" i="1"/>
  <c r="E5366" i="1"/>
  <c r="E2798" i="1"/>
  <c r="E3143" i="1"/>
  <c r="E3674" i="1"/>
  <c r="E5598" i="1"/>
  <c r="E3096" i="1"/>
  <c r="E674" i="1"/>
  <c r="E1480" i="1"/>
  <c r="E5047" i="1"/>
  <c r="E1777" i="1"/>
  <c r="E2802" i="1"/>
  <c r="E4259" i="1"/>
  <c r="E711" i="1"/>
  <c r="E513" i="1"/>
  <c r="E4808" i="1"/>
  <c r="E2880" i="1"/>
  <c r="E3872" i="1"/>
  <c r="E1941" i="1"/>
  <c r="E1241" i="1"/>
  <c r="E3983" i="1"/>
  <c r="E2767" i="1"/>
  <c r="E5498" i="1"/>
  <c r="E2695" i="1"/>
  <c r="E2985" i="1"/>
  <c r="E477" i="1"/>
  <c r="E1424" i="1"/>
  <c r="E1325" i="1"/>
  <c r="E1248" i="1"/>
  <c r="E2804" i="1"/>
  <c r="E4718" i="1"/>
  <c r="E3370" i="1"/>
  <c r="E2901" i="1"/>
  <c r="E763" i="1"/>
  <c r="E1428" i="1"/>
  <c r="E1805" i="1"/>
  <c r="E1276" i="1"/>
  <c r="E1400" i="1"/>
  <c r="E3020" i="1"/>
  <c r="E4116" i="1"/>
  <c r="E3243" i="1"/>
  <c r="E2860" i="1"/>
  <c r="E1010" i="1"/>
  <c r="E2571" i="1"/>
  <c r="E449" i="1"/>
  <c r="E5315" i="1"/>
  <c r="E4084" i="1"/>
  <c r="E3596" i="1"/>
  <c r="E2915" i="1"/>
  <c r="E2998" i="1"/>
  <c r="E3439" i="1"/>
  <c r="E4585" i="1"/>
  <c r="E1037" i="1"/>
  <c r="E174" i="1"/>
  <c r="E5591" i="1"/>
  <c r="E3946" i="1"/>
  <c r="E4103" i="1"/>
  <c r="E5230" i="1"/>
  <c r="E5136" i="1"/>
  <c r="E626" i="1"/>
  <c r="E883" i="1"/>
  <c r="E3514" i="1"/>
  <c r="E2470" i="1"/>
  <c r="E790" i="1"/>
  <c r="E163" i="1"/>
  <c r="E3658" i="1"/>
  <c r="E1712" i="1"/>
  <c r="E3773" i="1"/>
  <c r="E128" i="1"/>
  <c r="E5470" i="1"/>
  <c r="E111" i="1"/>
  <c r="E3960" i="1"/>
  <c r="E1885" i="1"/>
  <c r="E5095" i="1"/>
  <c r="E1551" i="1"/>
  <c r="E3609" i="1"/>
  <c r="E2774" i="1"/>
  <c r="E3136" i="1"/>
  <c r="E5064" i="1"/>
  <c r="E3248" i="1"/>
  <c r="E4567" i="1"/>
  <c r="E1791" i="1"/>
  <c r="E5651" i="1"/>
  <c r="E5661" i="1"/>
  <c r="E1604" i="1"/>
  <c r="E4527" i="1"/>
  <c r="E851" i="1"/>
  <c r="E4535" i="1"/>
  <c r="E4329" i="1"/>
  <c r="E4589" i="1"/>
  <c r="E4648" i="1"/>
  <c r="E5659" i="1"/>
  <c r="E933" i="1"/>
  <c r="E599" i="1"/>
  <c r="E5085" i="1"/>
  <c r="E566" i="1"/>
  <c r="E5440" i="1"/>
  <c r="E5534" i="1"/>
  <c r="E3584" i="1"/>
  <c r="E3195" i="1"/>
  <c r="E544" i="1"/>
  <c r="E5466" i="1"/>
  <c r="E5830" i="1"/>
  <c r="E430" i="1"/>
  <c r="E1688" i="1"/>
  <c r="E4748" i="1"/>
  <c r="E4422" i="1"/>
  <c r="E3067" i="1"/>
  <c r="E1064" i="1"/>
  <c r="E4385" i="1"/>
  <c r="E4768" i="1"/>
  <c r="E4459" i="1"/>
  <c r="E2052" i="1"/>
  <c r="E4981" i="1"/>
  <c r="E2794" i="1"/>
  <c r="E601" i="1"/>
  <c r="E839" i="1"/>
  <c r="E771" i="1"/>
  <c r="E4088" i="1"/>
  <c r="E4705" i="1"/>
  <c r="E814" i="1"/>
  <c r="E4433" i="1"/>
  <c r="E4546" i="1"/>
  <c r="E5938" i="1"/>
  <c r="E777" i="1"/>
  <c r="E411" i="1"/>
  <c r="E3548" i="1"/>
  <c r="E5241" i="1"/>
  <c r="E3348" i="1"/>
  <c r="E4182" i="1"/>
  <c r="E337" i="1"/>
  <c r="E2368" i="1"/>
  <c r="E990" i="1"/>
  <c r="E3239" i="1"/>
  <c r="E1695" i="1"/>
  <c r="E692" i="1"/>
  <c r="E4453" i="1"/>
  <c r="E5630" i="1"/>
  <c r="E4522" i="1"/>
  <c r="E183" i="1"/>
  <c r="E2783" i="1"/>
  <c r="E4697" i="1"/>
  <c r="E6001" i="1"/>
  <c r="E4125" i="1"/>
  <c r="E768" i="1"/>
  <c r="E1404" i="1"/>
  <c r="E4660" i="1"/>
  <c r="E2350" i="1"/>
  <c r="E1611" i="1"/>
  <c r="E2298" i="1"/>
  <c r="E5454" i="1"/>
  <c r="E4525" i="1"/>
  <c r="E1423" i="1"/>
  <c r="E5933" i="1"/>
  <c r="E5716" i="1"/>
  <c r="E3265" i="1"/>
  <c r="E5909" i="1"/>
  <c r="E4821" i="1"/>
  <c r="E3968" i="1"/>
  <c r="E3795" i="1"/>
  <c r="E640" i="1"/>
  <c r="E1742" i="1"/>
  <c r="E5102" i="1"/>
  <c r="E2633" i="1"/>
  <c r="E1307" i="1"/>
  <c r="E2191" i="1"/>
  <c r="E3039" i="1"/>
  <c r="E5334" i="1"/>
  <c r="E5663" i="1"/>
  <c r="E2156" i="1"/>
  <c r="E4836" i="1"/>
  <c r="E2917" i="1"/>
  <c r="E3535" i="1"/>
  <c r="E2769" i="1"/>
  <c r="E1927" i="1"/>
  <c r="E749" i="1"/>
  <c r="E1744" i="1"/>
  <c r="E1061" i="1"/>
  <c r="E2842" i="1"/>
  <c r="E1137" i="1"/>
  <c r="E2597" i="1"/>
  <c r="E1716" i="1"/>
  <c r="E807" i="1"/>
  <c r="E1679" i="1"/>
  <c r="E1502" i="1"/>
  <c r="E140" i="1"/>
  <c r="E3636" i="1"/>
  <c r="E3765" i="1"/>
  <c r="E1774" i="1"/>
  <c r="E1380" i="1"/>
  <c r="E4410" i="1"/>
  <c r="E2866" i="1"/>
  <c r="E5686" i="1"/>
  <c r="E3998" i="1"/>
  <c r="E1877" i="1"/>
  <c r="E4210" i="1"/>
  <c r="E4384" i="1"/>
  <c r="E363" i="1"/>
  <c r="E3879" i="1"/>
  <c r="E1440" i="1"/>
  <c r="E2295" i="1"/>
  <c r="E1663" i="1"/>
  <c r="E3010" i="1"/>
  <c r="E5277" i="1"/>
  <c r="E4376" i="1"/>
  <c r="E3318" i="1"/>
  <c r="E1096" i="1"/>
  <c r="E572" i="1"/>
  <c r="E3867" i="1"/>
  <c r="E1182" i="1"/>
  <c r="E2718" i="1"/>
  <c r="E280" i="1"/>
  <c r="E754" i="1"/>
  <c r="E3743" i="1"/>
  <c r="E1217" i="1"/>
  <c r="E779" i="1"/>
  <c r="E3511" i="1"/>
  <c r="E5962" i="1"/>
  <c r="E3474" i="1"/>
  <c r="E3285" i="1"/>
  <c r="E3031" i="1"/>
  <c r="E1001" i="1"/>
  <c r="E1662" i="1"/>
  <c r="E1489" i="1"/>
  <c r="E2550" i="1"/>
  <c r="E2714" i="1"/>
  <c r="E2041" i="1"/>
  <c r="E2099" i="1"/>
  <c r="E3414" i="1"/>
  <c r="E346" i="1"/>
  <c r="E1170" i="1"/>
  <c r="E3339" i="1"/>
  <c r="E4234" i="1"/>
  <c r="E4134" i="1"/>
  <c r="E859" i="1"/>
  <c r="E2293" i="1"/>
  <c r="E1203" i="1"/>
  <c r="E3371" i="1"/>
  <c r="E187" i="1"/>
  <c r="E2173" i="1"/>
  <c r="E803" i="1"/>
  <c r="E1834" i="1"/>
  <c r="E2274" i="1"/>
  <c r="E4411" i="1"/>
  <c r="E5876" i="1"/>
  <c r="E3576" i="1"/>
  <c r="E2666" i="1"/>
  <c r="E542" i="1"/>
  <c r="E553" i="1"/>
  <c r="E233" i="1"/>
  <c r="E1417" i="1"/>
  <c r="E5780" i="1"/>
  <c r="E71" i="1"/>
  <c r="E3617" i="1"/>
  <c r="E5988" i="1"/>
  <c r="E1079" i="1"/>
  <c r="E5148" i="1"/>
  <c r="E3462" i="1"/>
  <c r="E4625" i="1"/>
  <c r="E941" i="1"/>
  <c r="E1388" i="1"/>
  <c r="E1748" i="1"/>
  <c r="E1215" i="1"/>
  <c r="E3866" i="1"/>
  <c r="E2796" i="1"/>
  <c r="E105" i="1"/>
  <c r="E5548" i="1"/>
  <c r="E4400" i="1"/>
  <c r="E5013" i="1"/>
  <c r="E4025" i="1"/>
  <c r="E3425" i="1"/>
  <c r="E4950" i="1"/>
  <c r="E4432" i="1"/>
  <c r="E3141" i="1"/>
  <c r="E920" i="1"/>
  <c r="E4528" i="1"/>
  <c r="E4119" i="1"/>
  <c r="E1787" i="1"/>
  <c r="E1510" i="1"/>
  <c r="E1756" i="1"/>
  <c r="E4024" i="1"/>
  <c r="E3275" i="1"/>
  <c r="E1209" i="1"/>
  <c r="E3146" i="1"/>
  <c r="E5063" i="1"/>
  <c r="E861" i="1"/>
  <c r="E5815" i="1"/>
  <c r="E1769" i="1"/>
  <c r="E1842" i="1"/>
  <c r="E4175" i="1"/>
  <c r="E2936" i="1"/>
  <c r="E1945" i="1"/>
  <c r="E2348" i="1"/>
  <c r="E5652" i="1"/>
  <c r="E1922" i="1"/>
  <c r="E3654" i="1"/>
  <c r="E5573" i="1"/>
  <c r="E4853" i="1"/>
  <c r="E2085" i="1"/>
  <c r="E2961" i="1"/>
  <c r="E4150" i="1"/>
  <c r="E1263" i="1"/>
  <c r="E167" i="1"/>
  <c r="E1257" i="1"/>
  <c r="E1383" i="1"/>
  <c r="E2225" i="1"/>
  <c r="E1740" i="1"/>
  <c r="E848" i="1"/>
  <c r="E2164" i="1"/>
  <c r="E525" i="1"/>
  <c r="E3144" i="1"/>
  <c r="E5393" i="1"/>
  <c r="E456" i="1"/>
  <c r="E2494" i="1"/>
  <c r="E1690" i="1"/>
  <c r="E5297" i="1"/>
  <c r="E4944" i="1"/>
  <c r="E2168" i="1"/>
  <c r="E594" i="1"/>
  <c r="E1243" i="1"/>
  <c r="E1495" i="1"/>
  <c r="E2576" i="1"/>
  <c r="E2257" i="1"/>
  <c r="E165" i="1"/>
  <c r="E4334" i="1"/>
  <c r="E326" i="1"/>
  <c r="E3909" i="1"/>
  <c r="E3048" i="1"/>
  <c r="E5362" i="1"/>
  <c r="E1290" i="1"/>
  <c r="E4969" i="1"/>
  <c r="E207" i="1"/>
  <c r="E2743" i="1"/>
  <c r="E1377" i="1"/>
  <c r="E48" i="1"/>
  <c r="E3911" i="1"/>
  <c r="E4452" i="1"/>
  <c r="E1044" i="1"/>
  <c r="E4735" i="1"/>
  <c r="E2184" i="1"/>
  <c r="E2753" i="1"/>
  <c r="E5879" i="1"/>
  <c r="E1753" i="1"/>
  <c r="E929" i="1"/>
  <c r="E3804" i="1"/>
  <c r="E3438" i="1"/>
  <c r="E2969" i="1"/>
  <c r="E295" i="1"/>
  <c r="E2209" i="1"/>
  <c r="E108" i="1"/>
  <c r="E3193" i="1"/>
  <c r="E4288" i="1"/>
  <c r="E4710" i="1"/>
  <c r="E5854" i="1"/>
  <c r="E4464" i="1"/>
  <c r="E2248" i="1"/>
  <c r="E5739" i="1"/>
  <c r="E5578" i="1"/>
  <c r="E2294" i="1"/>
  <c r="E52" i="1"/>
  <c r="E432" i="1"/>
  <c r="E1268" i="1"/>
  <c r="E1149" i="1"/>
  <c r="E1908" i="1"/>
  <c r="E1336" i="1"/>
  <c r="E5354" i="1"/>
  <c r="E5633" i="1"/>
  <c r="E4266" i="1"/>
  <c r="E333" i="1"/>
  <c r="E5864" i="1"/>
  <c r="E3398" i="1"/>
  <c r="E5149" i="1"/>
  <c r="E2316" i="1"/>
  <c r="E416" i="1"/>
  <c r="E5761" i="1"/>
  <c r="E3637" i="1"/>
  <c r="E5953" i="1"/>
  <c r="E3231" i="1"/>
  <c r="E4601" i="1"/>
  <c r="E162" i="1"/>
  <c r="E1053" i="1"/>
  <c r="E905" i="1"/>
  <c r="E4901" i="1"/>
  <c r="E2707" i="1"/>
  <c r="E1292" i="1"/>
  <c r="E2420" i="1"/>
  <c r="E1283" i="1"/>
  <c r="E2246" i="1"/>
  <c r="E1559" i="1"/>
  <c r="E3362" i="1"/>
  <c r="E59" i="1"/>
  <c r="E455" i="1"/>
  <c r="E528" i="1"/>
  <c r="E81" i="1"/>
  <c r="E2680" i="1"/>
  <c r="E3346" i="1"/>
  <c r="E201" i="1"/>
  <c r="E5841" i="1"/>
  <c r="E3484" i="1"/>
  <c r="E1776" i="1"/>
  <c r="E1932" i="1"/>
  <c r="E1420" i="1"/>
  <c r="E5293" i="1"/>
  <c r="E3344" i="1"/>
  <c r="E1529" i="1"/>
  <c r="E4854" i="1"/>
  <c r="E1942" i="1"/>
  <c r="E282" i="1"/>
  <c r="E519" i="1"/>
  <c r="E4204" i="1"/>
  <c r="E3663" i="1"/>
  <c r="E4671" i="1"/>
  <c r="E3018" i="1"/>
  <c r="E1457" i="1"/>
  <c r="E4931" i="1"/>
  <c r="E129" i="1"/>
  <c r="E5039" i="1"/>
  <c r="E5693" i="1"/>
  <c r="E1267" i="1"/>
  <c r="E5497" i="1"/>
  <c r="E5828" i="1"/>
  <c r="E3488" i="1"/>
  <c r="E348" i="1"/>
  <c r="E2288" i="1"/>
  <c r="E5660" i="1"/>
  <c r="E714" i="1"/>
  <c r="E2393" i="1"/>
  <c r="E1212" i="1"/>
  <c r="E4972" i="1"/>
  <c r="E1666" i="1"/>
  <c r="E5700" i="1"/>
  <c r="E5386" i="1"/>
  <c r="E1460" i="1"/>
  <c r="E752" i="1"/>
  <c r="E1133" i="1"/>
  <c r="E4106" i="1"/>
  <c r="E743" i="1"/>
  <c r="E451" i="1"/>
  <c r="E3123" i="1"/>
  <c r="E2947" i="1"/>
  <c r="E5664" i="1"/>
  <c r="E2149" i="1"/>
  <c r="E1451" i="1"/>
  <c r="E75" i="1"/>
  <c r="E4408" i="1"/>
  <c r="E4050" i="1"/>
  <c r="E4609" i="1"/>
  <c r="E3202" i="1"/>
  <c r="E2096" i="1"/>
  <c r="E4352" i="1"/>
  <c r="E2296" i="1"/>
  <c r="E4874" i="1"/>
  <c r="E2630" i="1"/>
  <c r="E2241" i="1"/>
  <c r="E50" i="1"/>
  <c r="E2291" i="1"/>
  <c r="E959" i="1"/>
  <c r="E4916" i="1"/>
  <c r="E1883" i="1"/>
  <c r="E961" i="1"/>
  <c r="E2263" i="1"/>
  <c r="E2130" i="1"/>
  <c r="E3885" i="1"/>
  <c r="E3238" i="1"/>
  <c r="E2782" i="1"/>
  <c r="E636" i="1"/>
  <c r="E166" i="1"/>
  <c r="E3979" i="1"/>
  <c r="E706" i="1"/>
  <c r="E1508" i="1"/>
  <c r="E902" i="1"/>
  <c r="E1574" i="1"/>
  <c r="E1301" i="1"/>
  <c r="E1813" i="1"/>
  <c r="E2171" i="1"/>
  <c r="E5604" i="1"/>
  <c r="E4262" i="1"/>
  <c r="E3616" i="1"/>
  <c r="E2317" i="1"/>
  <c r="E510" i="1"/>
  <c r="E3160" i="1"/>
  <c r="E5488" i="1"/>
  <c r="E2486" i="1"/>
  <c r="E1952" i="1"/>
  <c r="E2220" i="1"/>
  <c r="E782" i="1"/>
  <c r="E2545" i="1"/>
  <c r="E2770" i="1"/>
  <c r="E5880" i="1"/>
  <c r="E3268" i="1"/>
  <c r="E5127" i="1"/>
  <c r="E2613" i="1"/>
  <c r="E644" i="1"/>
  <c r="E53" i="1"/>
  <c r="E2831" i="1"/>
  <c r="E3703" i="1"/>
  <c r="E4243" i="1"/>
  <c r="E3653" i="1"/>
  <c r="E3915" i="1"/>
  <c r="E1247" i="1"/>
  <c r="E2790" i="1"/>
  <c r="E4970" i="1"/>
  <c r="E1745" i="1"/>
  <c r="E1260" i="1"/>
  <c r="E672" i="1"/>
  <c r="E5342" i="1"/>
  <c r="E5710" i="1"/>
  <c r="E5216" i="1"/>
  <c r="E4020" i="1"/>
  <c r="E1371" i="1"/>
  <c r="E4948" i="1"/>
  <c r="E728" i="1"/>
  <c r="E1646" i="1"/>
  <c r="E5643" i="1"/>
  <c r="E2426" i="1"/>
  <c r="E5122" i="1"/>
  <c r="E435" i="1"/>
  <c r="E4632" i="1"/>
  <c r="E5683" i="1"/>
  <c r="E521" i="1"/>
  <c r="E2500" i="1"/>
  <c r="E2959" i="1"/>
  <c r="E2340" i="1"/>
  <c r="E938" i="1"/>
  <c r="E1397" i="1"/>
  <c r="E591" i="1"/>
  <c r="E2142" i="1"/>
  <c r="E2138" i="1"/>
  <c r="E4354" i="1"/>
  <c r="E4968" i="1"/>
  <c r="E5982" i="1"/>
  <c r="E392" i="1"/>
  <c r="E2326" i="1"/>
  <c r="E2414" i="1"/>
  <c r="E745" i="1"/>
  <c r="E5272" i="1"/>
  <c r="E1339" i="1"/>
  <c r="E3600" i="1"/>
  <c r="E3903" i="1"/>
  <c r="E718" i="1"/>
  <c r="E91" i="1"/>
  <c r="E5467" i="1"/>
  <c r="E1333" i="1"/>
  <c r="E946" i="1"/>
  <c r="E3384" i="1"/>
  <c r="E1126" i="1"/>
  <c r="E2843" i="1"/>
  <c r="E1405" i="1"/>
  <c r="E4865" i="1"/>
  <c r="E3097" i="1"/>
  <c r="E325" i="1"/>
  <c r="E580" i="1"/>
  <c r="E2952" i="1"/>
  <c r="E4580" i="1"/>
  <c r="E6000" i="1"/>
  <c r="E4714" i="1"/>
  <c r="E1897" i="1"/>
  <c r="E4517" i="1"/>
  <c r="E4496" i="1"/>
  <c r="E3023" i="1"/>
  <c r="E3655" i="1"/>
  <c r="E1907" i="1"/>
  <c r="E606" i="1"/>
  <c r="E4039" i="1"/>
  <c r="E3967" i="1"/>
  <c r="E4833" i="1"/>
  <c r="E4133" i="1"/>
  <c r="E2574" i="1"/>
  <c r="E5202" i="1"/>
  <c r="E1815" i="1"/>
  <c r="E4127" i="1"/>
  <c r="E504" i="1"/>
  <c r="E2602" i="1"/>
  <c r="E2208" i="1"/>
  <c r="E2056" i="1"/>
  <c r="E611" i="1"/>
  <c r="E4576" i="1"/>
  <c r="E2863" i="1"/>
  <c r="E968" i="1"/>
  <c r="E4451" i="1"/>
  <c r="E3016" i="1"/>
  <c r="E3000" i="1"/>
  <c r="E3502" i="1"/>
  <c r="E473" i="1"/>
  <c r="E3544" i="1"/>
  <c r="E809" i="1"/>
  <c r="E4214" i="1"/>
  <c r="E1442" i="1"/>
  <c r="E2891" i="1"/>
  <c r="E5594" i="1"/>
  <c r="E423" i="1"/>
  <c r="E4052" i="1"/>
  <c r="E116" i="1"/>
  <c r="E2617" i="1"/>
  <c r="E2463" i="1"/>
  <c r="E101" i="1"/>
  <c r="E4805" i="1"/>
  <c r="E5225" i="1"/>
  <c r="E1912" i="1"/>
  <c r="E1005" i="1"/>
  <c r="E585" i="1"/>
  <c r="E813" i="1"/>
  <c r="E1363" i="1"/>
  <c r="E168" i="1"/>
  <c r="E5083" i="1"/>
  <c r="E4013" i="1"/>
  <c r="E1550" i="1"/>
  <c r="E5668" i="1"/>
  <c r="E2984" i="1"/>
  <c r="E2511" i="1"/>
  <c r="E4289" i="1"/>
  <c r="E5429" i="1"/>
  <c r="E288" i="1"/>
  <c r="E4949" i="1"/>
  <c r="E4757" i="1"/>
  <c r="E461" i="1"/>
  <c r="E3644" i="1"/>
  <c r="E3416" i="1"/>
  <c r="E367" i="1"/>
  <c r="E1535" i="1"/>
  <c r="E4869" i="1"/>
  <c r="E5998" i="1"/>
  <c r="E2731" i="1"/>
  <c r="E3086" i="1"/>
  <c r="E4178" i="1"/>
  <c r="E2586" i="1"/>
  <c r="E5762" i="1"/>
  <c r="E3871" i="1"/>
  <c r="E55" i="1"/>
  <c r="E5608" i="1"/>
  <c r="E5191" i="1"/>
  <c r="E4510" i="1"/>
  <c r="E4477" i="1"/>
  <c r="E2314" i="1"/>
  <c r="E4575" i="1"/>
  <c r="E4323" i="1"/>
  <c r="E593" i="1"/>
  <c r="E5292" i="1"/>
  <c r="E5075" i="1"/>
  <c r="E3625" i="1"/>
  <c r="E2996" i="1"/>
  <c r="E3887" i="1"/>
  <c r="E3122" i="1"/>
  <c r="E1758" i="1"/>
  <c r="E5487" i="1"/>
  <c r="E5229" i="1"/>
  <c r="E2226" i="1"/>
  <c r="E1725" i="1"/>
  <c r="E5452" i="1"/>
  <c r="E2580" i="1"/>
  <c r="E5757" i="1"/>
  <c r="E951" i="1"/>
  <c r="E2021" i="1"/>
  <c r="E4043" i="1"/>
  <c r="E1837" i="1"/>
  <c r="E2599" i="1"/>
  <c r="E372" i="1"/>
  <c r="E2763" i="1"/>
  <c r="E2103" i="1"/>
  <c r="E1023" i="1"/>
  <c r="E2555" i="1"/>
  <c r="E1995" i="1"/>
  <c r="E1593" i="1"/>
  <c r="E5110" i="1"/>
  <c r="E886" i="1"/>
  <c r="E972" i="1"/>
  <c r="E2929" i="1"/>
  <c r="E1599" i="1"/>
  <c r="E3125" i="1"/>
  <c r="E3572" i="1"/>
  <c r="E1000" i="1"/>
  <c r="E3042" i="1"/>
  <c r="E478" i="1"/>
  <c r="E853" i="1"/>
  <c r="E3022" i="1"/>
  <c r="E5449" i="1"/>
  <c r="E2703" i="1"/>
  <c r="E4208" i="1"/>
  <c r="E804" i="1"/>
  <c r="E5612" i="1"/>
  <c r="E4750" i="1"/>
  <c r="E1621" i="1"/>
  <c r="E2095" i="1"/>
  <c r="E4976" i="1"/>
  <c r="E305" i="1"/>
  <c r="E4532" i="1"/>
  <c r="E1796" i="1"/>
  <c r="E4959" i="1"/>
  <c r="E5320" i="1"/>
  <c r="E1533" i="1"/>
  <c r="E2167" i="1"/>
  <c r="E5134" i="1"/>
  <c r="E5918" i="1"/>
  <c r="E1160" i="1"/>
  <c r="E555" i="1"/>
  <c r="E4975" i="1"/>
  <c r="E721" i="1"/>
  <c r="E263" i="1"/>
  <c r="E3065" i="1"/>
  <c r="E1849" i="1"/>
  <c r="E3764" i="1"/>
  <c r="E5061" i="1"/>
  <c r="E4787" i="1"/>
  <c r="E1939" i="1"/>
  <c r="E796" i="1"/>
  <c r="E1354" i="1"/>
  <c r="E679" i="1"/>
  <c r="E460" i="1"/>
  <c r="E3387" i="1"/>
  <c r="E5733" i="1"/>
  <c r="E3923" i="1"/>
  <c r="E4166" i="1"/>
  <c r="E4273" i="1"/>
  <c r="E3407" i="1"/>
  <c r="E79" i="1"/>
  <c r="E441" i="1"/>
  <c r="E223" i="1"/>
  <c r="E4934" i="1"/>
  <c r="E422" i="1"/>
  <c r="E994" i="1"/>
  <c r="E356" i="1"/>
  <c r="E5387" i="1"/>
  <c r="E5195" i="1"/>
  <c r="E1530" i="1"/>
  <c r="E3803" i="1"/>
  <c r="E3597" i="1"/>
  <c r="E4488" i="1"/>
  <c r="E5017" i="1"/>
  <c r="E283" i="1"/>
  <c r="E2677" i="1"/>
  <c r="E2588" i="1"/>
  <c r="E2509" i="1"/>
  <c r="E1682" i="1"/>
  <c r="E2231" i="1"/>
  <c r="E2859" i="1"/>
  <c r="E4226" i="1"/>
  <c r="E1105" i="1"/>
  <c r="E241" i="1"/>
  <c r="E753" i="1"/>
  <c r="E172" i="1"/>
  <c r="E4370" i="1"/>
  <c r="E1831" i="1"/>
  <c r="E5015" i="1"/>
  <c r="E1900" i="1"/>
  <c r="E909" i="1"/>
  <c r="E3556" i="1"/>
  <c r="E5873" i="1"/>
  <c r="E4247" i="1"/>
  <c r="E2834" i="1"/>
  <c r="E311" i="1"/>
  <c r="E4992" i="1"/>
  <c r="E3631" i="1"/>
  <c r="E1957" i="1"/>
  <c r="E4460" i="1"/>
  <c r="E1715" i="1"/>
  <c r="E5960" i="1"/>
  <c r="E1062" i="1"/>
  <c r="E1358" i="1"/>
  <c r="E2229" i="1"/>
  <c r="E4249" i="1"/>
  <c r="E1890" i="1"/>
  <c r="E119" i="1"/>
  <c r="E2702" i="1"/>
  <c r="E358" i="1"/>
  <c r="E974" i="1"/>
  <c r="E5532" i="1"/>
  <c r="E5904" i="1"/>
  <c r="E1773" i="1"/>
  <c r="E2871" i="1"/>
  <c r="E1315" i="1"/>
  <c r="E5255" i="1"/>
  <c r="E2939" i="1"/>
  <c r="E2333" i="1"/>
  <c r="E1544" i="1"/>
  <c r="E3176" i="1"/>
  <c r="E1107" i="1"/>
  <c r="E5912" i="1"/>
  <c r="E308" i="1"/>
  <c r="E1279" i="1"/>
  <c r="E4258" i="1"/>
  <c r="E1459" i="1"/>
  <c r="E2483" i="1"/>
  <c r="E5100" i="1"/>
  <c r="E4978" i="1"/>
  <c r="E1958" i="1"/>
  <c r="E480" i="1"/>
  <c r="E1464" i="1"/>
  <c r="E5499" i="1"/>
  <c r="E5565" i="1"/>
  <c r="E1755" i="1"/>
  <c r="E1063" i="1"/>
  <c r="E1896" i="1"/>
  <c r="E5123" i="1"/>
  <c r="E5870" i="1"/>
  <c r="E746" i="1"/>
  <c r="E4831" i="1"/>
  <c r="E1720" i="1"/>
  <c r="E5699" i="1"/>
  <c r="E2390" i="1"/>
  <c r="E825" i="1"/>
  <c r="E3880" i="1"/>
  <c r="E4814" i="1"/>
  <c r="E117" i="1"/>
  <c r="E2134" i="1"/>
  <c r="E3184" i="1"/>
  <c r="E3754" i="1"/>
  <c r="E1714" i="1"/>
  <c r="E567" i="1"/>
  <c r="E2404" i="1"/>
  <c r="E2423" i="1"/>
  <c r="E3094" i="1"/>
  <c r="E5987" i="1"/>
  <c r="E4584" i="1"/>
  <c r="E1853" i="1"/>
  <c r="E1956" i="1"/>
  <c r="E1623" i="1"/>
  <c r="E1485" i="1"/>
  <c r="E1385" i="1"/>
  <c r="E2106" i="1"/>
  <c r="E565" i="1"/>
  <c r="E4054" i="1"/>
  <c r="E508" i="1"/>
  <c r="E1850" i="1"/>
  <c r="E3241" i="1"/>
  <c r="E605" i="1"/>
  <c r="E2057" i="1"/>
  <c r="E1804" i="1"/>
  <c r="E2268" i="1"/>
  <c r="E3542" i="1"/>
  <c r="E4344" i="1"/>
  <c r="E2193" i="1"/>
  <c r="E4085" i="1"/>
  <c r="E2906" i="1"/>
  <c r="E95" i="1"/>
  <c r="E2403" i="1"/>
  <c r="E3433" i="1"/>
  <c r="E3546" i="1"/>
  <c r="E5540" i="1"/>
  <c r="E1032" i="1"/>
  <c r="E4884" i="1"/>
  <c r="E3423" i="1"/>
  <c r="E1582" i="1"/>
  <c r="E297" i="1"/>
  <c r="E1125" i="1"/>
  <c r="E2810" i="1"/>
  <c r="E5132" i="1"/>
  <c r="E787" i="1"/>
  <c r="E4018" i="1"/>
  <c r="E688" i="1"/>
  <c r="E1555" i="1"/>
  <c r="E1169" i="1"/>
  <c r="E5592" i="1"/>
  <c r="E1039" i="1"/>
  <c r="E1278" i="1"/>
  <c r="E1364" i="1"/>
  <c r="E1817" i="1"/>
  <c r="E4652" i="1"/>
  <c r="E126" i="1"/>
  <c r="E5333" i="1"/>
  <c r="E2143" i="1"/>
  <c r="E2596" i="1"/>
  <c r="E4630" i="1"/>
  <c r="E2266" i="1"/>
  <c r="E173" i="1"/>
  <c r="E2522" i="1"/>
  <c r="E4004" i="1"/>
  <c r="E4607" i="1"/>
  <c r="E1718" i="1"/>
  <c r="E4553" i="1"/>
  <c r="E68" i="1"/>
  <c r="E2604" i="1"/>
  <c r="E888" i="1"/>
  <c r="E4736" i="1"/>
  <c r="E3148" i="1"/>
  <c r="E842" i="1"/>
  <c r="E2004" i="1"/>
  <c r="E1196" i="1"/>
  <c r="E919" i="1"/>
  <c r="E552" i="1"/>
  <c r="E663" i="1"/>
  <c r="E5169" i="1"/>
  <c r="E3357" i="1"/>
  <c r="E1724" i="1"/>
  <c r="E5270" i="1"/>
  <c r="E630" i="1"/>
  <c r="E74" i="1"/>
  <c r="E4236" i="1"/>
  <c r="E4079" i="1"/>
  <c r="E773" i="1"/>
  <c r="E5413" i="1"/>
  <c r="E1818" i="1"/>
  <c r="E5756" i="1"/>
  <c r="E5090" i="1"/>
  <c r="E5931" i="1"/>
  <c r="E1484" i="1"/>
  <c r="E3281" i="1"/>
  <c r="E4776" i="1"/>
  <c r="E1546" i="1"/>
  <c r="E3149" i="1"/>
  <c r="E2563" i="1"/>
  <c r="E5932" i="1"/>
  <c r="E2046" i="1"/>
  <c r="E159" i="1"/>
  <c r="E2999" i="1"/>
  <c r="E812" i="1"/>
  <c r="E4565" i="1"/>
  <c r="E2699" i="1"/>
  <c r="E1875" i="1"/>
  <c r="E4399" i="1"/>
  <c r="E2746" i="1"/>
  <c r="E3412" i="1"/>
  <c r="E1302" i="1"/>
  <c r="E1671" i="1"/>
  <c r="E2223" i="1"/>
  <c r="E4526" i="1"/>
  <c r="E1153" i="1"/>
  <c r="E684" i="1"/>
  <c r="E4059" i="1"/>
  <c r="E691" i="1"/>
  <c r="E2491" i="1"/>
  <c r="E242" i="1"/>
  <c r="E5714" i="1"/>
  <c r="E5500" i="1"/>
  <c r="E3788" i="1"/>
  <c r="E3953" i="1"/>
  <c r="E368" i="1"/>
  <c r="E1569" i="1"/>
  <c r="E2676" i="1"/>
  <c r="E4409" i="1"/>
  <c r="E3782" i="1"/>
  <c r="E2736" i="1"/>
  <c r="E2258" i="1"/>
  <c r="E3906" i="1"/>
  <c r="E3468" i="1"/>
  <c r="E1637" i="1"/>
  <c r="E3156" i="1"/>
  <c r="E5462" i="1"/>
  <c r="E378" i="1"/>
  <c r="E3025" i="1"/>
  <c r="E1411" i="1"/>
  <c r="E2653" i="1"/>
  <c r="E3733" i="1"/>
  <c r="E2310" i="1"/>
  <c r="E5628" i="1"/>
  <c r="E3539" i="1"/>
  <c r="E627" i="1"/>
  <c r="E2379" i="1"/>
  <c r="E1438" i="1"/>
  <c r="E4921" i="1"/>
  <c r="E482" i="1"/>
  <c r="E2444" i="1"/>
  <c r="E2659" i="1"/>
  <c r="E275" i="1"/>
  <c r="E890" i="1"/>
  <c r="E400" i="1"/>
  <c r="E1150" i="1"/>
  <c r="E164" i="1"/>
  <c r="E1982" i="1"/>
  <c r="E522" i="1"/>
  <c r="E80" i="1"/>
  <c r="E3051" i="1"/>
  <c r="E3400" i="1"/>
  <c r="E4807" i="1"/>
  <c r="E1006" i="1"/>
  <c r="E5851" i="1"/>
  <c r="E2126" i="1"/>
  <c r="E932" i="1"/>
  <c r="E4211" i="1"/>
  <c r="E299" i="1"/>
  <c r="E3332" i="1"/>
  <c r="E2148" i="1"/>
  <c r="E5207" i="1"/>
  <c r="E5359" i="1"/>
  <c r="E2006" i="1"/>
  <c r="E2839" i="1"/>
  <c r="E1368" i="1"/>
  <c r="E524" i="1"/>
  <c r="E4317" i="1"/>
  <c r="E694" i="1"/>
  <c r="E556" i="1"/>
  <c r="E3250" i="1"/>
  <c r="E4232" i="1"/>
  <c r="E5493" i="1"/>
  <c r="E885" i="1"/>
  <c r="E5527" i="1"/>
  <c r="E792" i="1"/>
  <c r="E36" i="1"/>
  <c r="E778" i="1"/>
  <c r="E1641" i="1"/>
  <c r="E3120" i="1"/>
  <c r="E4365" i="1"/>
  <c r="E845" i="1"/>
  <c r="E1452" i="1"/>
  <c r="E5863" i="1"/>
  <c r="E1192" i="1"/>
  <c r="E4674" i="1"/>
  <c r="E2101" i="1"/>
  <c r="E2789" i="1"/>
  <c r="E3949" i="1"/>
  <c r="E3171" i="1"/>
  <c r="E2971" i="1"/>
  <c r="E3004" i="1"/>
  <c r="E2885" i="1"/>
  <c r="E4046" i="1"/>
  <c r="E2020" i="1"/>
  <c r="E2569" i="1"/>
  <c r="E5717" i="1"/>
  <c r="E4634" i="1"/>
  <c r="E4740" i="1"/>
  <c r="E1016" i="1"/>
  <c r="E568" i="1"/>
  <c r="E1403" i="1"/>
  <c r="E5662" i="1"/>
  <c r="E4843" i="1"/>
  <c r="E4311" i="1"/>
  <c r="E4980" i="1"/>
  <c r="E5871" i="1"/>
  <c r="E3900" i="1"/>
  <c r="E4320" i="1"/>
  <c r="E5926" i="1"/>
  <c r="E254" i="1"/>
  <c r="E5727" i="1"/>
  <c r="E224" i="1"/>
  <c r="E2755" i="1"/>
  <c r="E2200" i="1"/>
  <c r="E5667" i="1"/>
  <c r="E2955" i="1"/>
  <c r="E443" i="1"/>
  <c r="E3934" i="1"/>
  <c r="E2927" i="1"/>
  <c r="E2675" i="1"/>
  <c r="E517" i="1"/>
  <c r="E5501" i="1"/>
  <c r="E4613" i="1"/>
  <c r="E5625" i="1"/>
  <c r="E4947" i="1"/>
  <c r="E3297" i="1"/>
  <c r="E3053" i="1"/>
  <c r="E702" i="1"/>
  <c r="E596" i="1"/>
  <c r="E5658" i="1"/>
  <c r="E2851" i="1"/>
  <c r="E292" i="1"/>
  <c r="E5404" i="1"/>
  <c r="E4918" i="1"/>
  <c r="E1218" i="1"/>
  <c r="E4448" i="1"/>
  <c r="E4121" i="1"/>
  <c r="E3157" i="1"/>
  <c r="E4132" i="1"/>
  <c r="E2856" i="1"/>
  <c r="E2014" i="1"/>
  <c r="E828" i="1"/>
  <c r="E4717" i="1"/>
  <c r="E272" i="1"/>
  <c r="E1612" i="1"/>
  <c r="E2302" i="1"/>
  <c r="E5212" i="1"/>
  <c r="E62" i="1"/>
  <c r="E2228" i="1"/>
  <c r="E2449" i="1"/>
  <c r="E5492" i="1"/>
  <c r="E2902" i="1"/>
  <c r="E563" i="1"/>
  <c r="E1799" i="1"/>
  <c r="E2473" i="1"/>
  <c r="E1868" i="1"/>
  <c r="E1916" i="1"/>
  <c r="E494" i="1"/>
  <c r="E1880" i="1"/>
  <c r="E5941" i="1"/>
  <c r="E4577" i="1"/>
  <c r="E3214" i="1"/>
  <c r="E1727" i="1"/>
  <c r="E1830" i="1"/>
  <c r="E1595" i="1"/>
  <c r="E3639" i="1"/>
  <c r="E3364" i="1"/>
  <c r="E5124" i="1"/>
  <c r="E3815" i="1"/>
  <c r="E1576" i="1"/>
  <c r="E3555" i="1"/>
  <c r="E1430" i="1"/>
  <c r="E1178" i="1"/>
  <c r="E5192" i="1"/>
  <c r="E256" i="1"/>
  <c r="E1471" i="1"/>
  <c r="E1696" i="1"/>
  <c r="E474" i="1"/>
  <c r="E5360" i="1"/>
  <c r="E3916" i="1"/>
  <c r="E1269" i="1"/>
  <c r="E2739" i="1"/>
  <c r="E2375" i="1"/>
  <c r="E978" i="1"/>
  <c r="E4215" i="1"/>
  <c r="E5201" i="1"/>
  <c r="E2758" i="1"/>
  <c r="E4027" i="1"/>
  <c r="E559" i="1"/>
  <c r="E1751" i="1"/>
  <c r="E2003" i="1"/>
  <c r="E1162" i="1"/>
  <c r="E253" i="1"/>
  <c r="E561" i="1"/>
  <c r="E28" i="1"/>
  <c r="E2396" i="1"/>
  <c r="E3166" i="1"/>
  <c r="E3361" i="1"/>
  <c r="E4407" i="1"/>
  <c r="E5736" i="1"/>
  <c r="E2639" i="1"/>
  <c r="E2725" i="1"/>
  <c r="E5326" i="1"/>
  <c r="E96" i="1"/>
  <c r="E1819" i="1"/>
  <c r="E4774" i="1"/>
  <c r="E2838" i="1"/>
  <c r="E2043" i="1"/>
  <c r="E5236" i="1"/>
  <c r="E1500" i="1"/>
  <c r="E2544" i="1"/>
  <c r="E76" i="1"/>
  <c r="E3646" i="1"/>
  <c r="E3778" i="1"/>
  <c r="E349" i="1"/>
  <c r="E86" i="1"/>
  <c r="E3429" i="1"/>
  <c r="E2922" i="1"/>
  <c r="E5469" i="1"/>
  <c r="E690" i="1"/>
  <c r="E1586" i="1"/>
  <c r="E2828" i="1"/>
  <c r="E3829" i="1"/>
  <c r="E2070" i="1"/>
  <c r="E1931" i="1"/>
  <c r="E4672" i="1"/>
  <c r="E5172" i="1"/>
  <c r="E2568" i="1"/>
  <c r="E5456" i="1"/>
  <c r="E3660" i="1"/>
  <c r="E3590" i="1"/>
  <c r="E3304" i="1"/>
  <c r="E4941" i="1"/>
  <c r="E1497" i="1"/>
  <c r="E3848" i="1"/>
  <c r="E5306" i="1"/>
  <c r="E2582" i="1"/>
  <c r="E5341" i="1"/>
  <c r="E220" i="1"/>
  <c r="E5818" i="1"/>
  <c r="E5144" i="1"/>
  <c r="E2618" i="1"/>
  <c r="E1080" i="1"/>
  <c r="E5263" i="1"/>
  <c r="E1526" i="1"/>
  <c r="E407" i="1"/>
  <c r="E40" i="1"/>
  <c r="E2453" i="1"/>
  <c r="E5058" i="1"/>
  <c r="E761" i="1"/>
  <c r="E499" i="1"/>
  <c r="E3869" i="1"/>
  <c r="E1317" i="1"/>
  <c r="E3540" i="1"/>
  <c r="E2529" i="1"/>
  <c r="E687" i="1"/>
  <c r="E1369" i="1"/>
  <c r="E1887" i="1"/>
  <c r="E2119" i="1"/>
  <c r="E2385" i="1"/>
  <c r="E4082" i="1"/>
  <c r="E444" i="1"/>
  <c r="E1693" i="1"/>
  <c r="E3752" i="1"/>
  <c r="E2252" i="1"/>
  <c r="E5350" i="1"/>
  <c r="E5181" i="1"/>
  <c r="E3992" i="1"/>
  <c r="E1553" i="1"/>
  <c r="E1134" i="1"/>
  <c r="E1699" i="1"/>
  <c r="E3621" i="1"/>
  <c r="E4694" i="1"/>
  <c r="E2855" i="1"/>
  <c r="E3041" i="1"/>
  <c r="E5040" i="1"/>
  <c r="E1866" i="1"/>
  <c r="E3088" i="1"/>
  <c r="E2485" i="1"/>
  <c r="E2510" i="1"/>
  <c r="E1767" i="1"/>
  <c r="E820" i="1"/>
  <c r="E3449" i="1"/>
  <c r="E225" i="1"/>
  <c r="E2391" i="1"/>
  <c r="E70" i="1"/>
  <c r="E66" i="1"/>
  <c r="E620" i="1"/>
  <c r="E1025" i="1"/>
  <c r="E1987" i="1"/>
  <c r="E1155" i="1"/>
  <c r="E227" i="1"/>
  <c r="E1454" i="1"/>
  <c r="E4353" i="1"/>
  <c r="E2847" i="1"/>
  <c r="E855" i="1"/>
  <c r="E4538" i="1"/>
  <c r="E5215" i="1"/>
  <c r="E1437" i="1"/>
  <c r="E2836" i="1"/>
  <c r="E4197" i="1"/>
  <c r="E3044" i="1"/>
  <c r="E4828" i="1"/>
  <c r="E3876" i="1"/>
  <c r="E2008" i="1"/>
  <c r="E1862" i="1"/>
  <c r="E5353" i="1"/>
  <c r="E2410" i="1"/>
  <c r="E2384" i="1"/>
  <c r="E1086" i="1"/>
  <c r="E2011" i="1"/>
  <c r="E5303" i="1"/>
  <c r="E4471" i="1"/>
  <c r="E5055" i="1"/>
  <c r="E339" i="1"/>
  <c r="E2025" i="1"/>
  <c r="E5512" i="1"/>
  <c r="E5579" i="1"/>
  <c r="E4685" i="1"/>
  <c r="E1672" i="1"/>
  <c r="E2527" i="1"/>
  <c r="E284" i="1"/>
  <c r="E3173" i="1"/>
  <c r="E4161" i="1"/>
  <c r="E268" i="1"/>
  <c r="E4436" i="1"/>
  <c r="E5968" i="1"/>
  <c r="E3801" i="1"/>
  <c r="E625" i="1"/>
  <c r="E876" i="1"/>
  <c r="E864" i="1"/>
  <c r="E5637" i="1"/>
  <c r="E3482" i="1"/>
  <c r="E832" i="1"/>
  <c r="E112" i="1"/>
  <c r="E4862" i="1"/>
  <c r="E322" i="1"/>
  <c r="E4358" i="1"/>
  <c r="E2647" i="1"/>
  <c r="E2321" i="1"/>
  <c r="E1119" i="1"/>
  <c r="E616" i="1"/>
  <c r="E1807" i="1"/>
  <c r="E1644" i="1"/>
  <c r="E889" i="1"/>
  <c r="E5299" i="1"/>
  <c r="E468" i="1"/>
  <c r="E261" i="1"/>
  <c r="E5245" i="1"/>
  <c r="E4813" i="1"/>
  <c r="E1798" i="1"/>
  <c r="E3142" i="1"/>
  <c r="E4294" i="1"/>
  <c r="E46" i="1"/>
  <c r="E4461" i="1"/>
  <c r="E213" i="1"/>
  <c r="E3402" i="1"/>
  <c r="E203" i="1"/>
  <c r="E2346" i="1"/>
  <c r="E324" i="1"/>
  <c r="E1346" i="1"/>
  <c r="E789" i="1"/>
  <c r="E868" i="1"/>
  <c r="E3523" i="1"/>
  <c r="E5331" i="1"/>
  <c r="E65" i="1"/>
  <c r="E1691" i="1"/>
  <c r="E2370" i="1"/>
  <c r="E1778" i="1"/>
  <c r="E4485" i="1"/>
  <c r="E667" i="1"/>
  <c r="E3106" i="1"/>
  <c r="E3282" i="1"/>
  <c r="E202" i="1"/>
  <c r="E1737" i="1"/>
  <c r="E2064" i="1"/>
  <c r="E5371" i="1"/>
  <c r="E846" i="1"/>
  <c r="E2380" i="1"/>
  <c r="E1429" i="1"/>
  <c r="E5752" i="1"/>
  <c r="E462" i="1"/>
  <c r="E5936" i="1"/>
  <c r="E1503" i="1"/>
  <c r="E646" i="1"/>
  <c r="E2221" i="1"/>
  <c r="E1606" i="1"/>
  <c r="E5583" i="1"/>
  <c r="E4788" i="1"/>
  <c r="E3103" i="1"/>
  <c r="E551" i="1"/>
  <c r="E4341" i="1"/>
  <c r="E3573" i="1"/>
  <c r="E4653" i="1"/>
  <c r="E3198" i="1"/>
  <c r="E3087" i="1"/>
  <c r="E1581" i="1"/>
  <c r="E2693" i="1"/>
  <c r="E3870" i="1"/>
  <c r="E3582" i="1"/>
  <c r="E2345" i="1"/>
  <c r="E3886" i="1"/>
  <c r="E5183" i="1"/>
  <c r="E3024" i="1"/>
  <c r="E5000" i="1"/>
  <c r="E2820" i="1"/>
  <c r="E3164" i="1"/>
  <c r="E5291" i="1"/>
  <c r="E1754" i="1"/>
  <c r="E3510" i="1"/>
  <c r="E2080" i="1"/>
  <c r="E5398" i="1"/>
  <c r="E2686" i="1"/>
  <c r="E1977" i="1"/>
  <c r="E434" i="1"/>
  <c r="E1349" i="1"/>
  <c r="E3246" i="1"/>
  <c r="E61" i="1"/>
  <c r="E3190" i="1"/>
  <c r="E5508" i="1"/>
  <c r="E4515" i="1"/>
  <c r="E2740" i="1"/>
  <c r="E5343" i="1"/>
  <c r="E5180" i="1"/>
  <c r="E92" i="1"/>
  <c r="E2349" i="1"/>
  <c r="E2027" i="1"/>
  <c r="E4198" i="1"/>
  <c r="E3851" i="1"/>
  <c r="E5262" i="1"/>
  <c r="E5281" i="1"/>
  <c r="E97" i="1"/>
  <c r="E4741" i="1"/>
  <c r="E2696" i="1"/>
  <c r="E2334" i="1"/>
  <c r="E987" i="1"/>
  <c r="E653" i="1"/>
  <c r="E5866" i="1"/>
  <c r="E3217" i="1"/>
  <c r="E2950" i="1"/>
  <c r="E5632" i="1"/>
  <c r="E5587" i="1"/>
  <c r="E3907" i="1"/>
  <c r="E136" i="1"/>
  <c r="E5774" i="1"/>
  <c r="E648" i="1"/>
  <c r="E2290" i="1"/>
  <c r="E5546" i="1"/>
  <c r="E558" i="1"/>
  <c r="E2202" i="1"/>
  <c r="E4357" i="1"/>
  <c r="E2503" i="1"/>
  <c r="E2269" i="1"/>
  <c r="E983" i="1"/>
  <c r="E2655" i="1"/>
  <c r="E3118" i="1"/>
  <c r="E2452" i="1"/>
  <c r="E1795" i="1"/>
  <c r="E1367" i="1"/>
  <c r="E2448" i="1"/>
  <c r="E1448" i="1"/>
  <c r="E2640" i="1"/>
  <c r="E3259" i="1"/>
  <c r="E149" i="1"/>
  <c r="E5975" i="1"/>
  <c r="E3284" i="1"/>
  <c r="E2319" i="1"/>
  <c r="E4995" i="1"/>
  <c r="E3852" i="1"/>
  <c r="E1950" i="1"/>
  <c r="E3434" i="1"/>
  <c r="E5250" i="1"/>
  <c r="E1988" i="1"/>
  <c r="E2264" i="1"/>
  <c r="E863" i="1"/>
  <c r="E4160" i="1"/>
  <c r="E856" i="1"/>
  <c r="E274" i="1"/>
  <c r="E759" i="1"/>
  <c r="E4286" i="1"/>
  <c r="E1265" i="1"/>
  <c r="E2889" i="1"/>
  <c r="E296" i="1"/>
  <c r="E2536" i="1"/>
  <c r="E1505" i="1"/>
  <c r="E1468" i="1"/>
  <c r="E5829" i="1"/>
  <c r="E3075" i="1"/>
  <c r="E3595" i="1"/>
  <c r="E3168" i="1"/>
  <c r="E1168" i="1"/>
  <c r="E2881" i="1"/>
  <c r="E90" i="1"/>
  <c r="E1846" i="1"/>
  <c r="E156" i="1"/>
  <c r="E1124" i="1"/>
  <c r="E5304" i="1"/>
  <c r="E4544" i="1"/>
  <c r="E229" i="1"/>
  <c r="E3455" i="1"/>
  <c r="E4643" i="1"/>
  <c r="E4379" i="1"/>
  <c r="E141" i="1"/>
  <c r="E2276" i="1"/>
  <c r="E2304" i="1"/>
  <c r="E3892" i="1"/>
  <c r="E3072" i="1"/>
  <c r="E1100" i="1"/>
  <c r="E4756" i="1"/>
  <c r="E1509" i="1"/>
  <c r="E5889" i="1"/>
  <c r="E481" i="1"/>
  <c r="E3985" i="1"/>
  <c r="E5834" i="1"/>
  <c r="E1975" i="1"/>
  <c r="E860" i="1"/>
  <c r="E1394" i="1"/>
  <c r="E127" i="1"/>
  <c r="E2944" i="1"/>
  <c r="E98" i="1"/>
  <c r="E2048" i="1"/>
  <c r="E4511" i="1"/>
  <c r="E4179" i="1"/>
  <c r="E38" i="1"/>
  <c r="E472" i="1"/>
  <c r="E5856" i="1"/>
  <c r="E1587" i="1"/>
  <c r="E5846" i="1"/>
  <c r="E4623" i="1"/>
  <c r="E4290" i="1"/>
  <c r="E709" i="1"/>
  <c r="E942" i="1"/>
  <c r="E1976" i="1"/>
  <c r="E505" i="1"/>
  <c r="E3531" i="1"/>
  <c r="E1779" i="1"/>
  <c r="E2194" i="1"/>
  <c r="E4965" i="1"/>
  <c r="E1506" i="1"/>
  <c r="E1117" i="1"/>
  <c r="E1909" i="1"/>
  <c r="E2921" i="1"/>
  <c r="E5887" i="1"/>
  <c r="E3790" i="1"/>
  <c r="E5944" i="1"/>
  <c r="E4595" i="1"/>
  <c r="E1938" i="1"/>
  <c r="E2638" i="1"/>
  <c r="E357" i="1"/>
  <c r="E3323" i="1"/>
  <c r="E5491" i="1"/>
  <c r="E1073" i="1"/>
  <c r="E4095" i="1"/>
  <c r="E1632" i="1"/>
  <c r="E3763" i="1"/>
  <c r="E1171" i="1"/>
  <c r="E4021" i="1"/>
  <c r="E4156" i="1"/>
  <c r="E5648" i="1"/>
  <c r="E4069" i="1"/>
  <c r="E2105" i="1"/>
  <c r="E896" i="1"/>
  <c r="E805" i="1"/>
  <c r="E388" i="1"/>
  <c r="E2121" i="1"/>
  <c r="E5184" i="1"/>
  <c r="E193" i="1"/>
  <c r="E3080" i="1"/>
  <c r="E2905" i="1"/>
  <c r="E4309" i="1"/>
  <c r="E3775" i="1"/>
  <c r="E1608" i="1"/>
  <c r="E4664" i="1"/>
  <c r="E1075" i="1"/>
  <c r="E93" i="1"/>
  <c r="E1873" i="1"/>
  <c r="E5074" i="1"/>
  <c r="E658" i="1"/>
  <c r="E1648" i="1"/>
  <c r="E1965" i="1"/>
  <c r="E1824" i="1"/>
  <c r="E64" i="1"/>
  <c r="E536" i="1"/>
  <c r="E5179" i="1"/>
  <c r="E1229" i="1"/>
  <c r="E2123" i="1"/>
  <c r="E1914" i="1"/>
  <c r="E1418" i="1"/>
  <c r="E3500" i="1"/>
  <c r="E2338" i="1"/>
  <c r="E1828" i="1"/>
  <c r="E2160" i="1"/>
  <c r="E5823" i="1"/>
  <c r="E445" i="1"/>
  <c r="E44" i="1"/>
  <c r="E1402" i="1"/>
  <c r="E194" i="1"/>
  <c r="E5119" i="1"/>
  <c r="E330" i="1"/>
  <c r="E4897" i="1"/>
  <c r="E1047" i="1"/>
  <c r="E2765" i="1"/>
  <c r="E2286" i="1"/>
  <c r="E413" i="1"/>
  <c r="E1973" i="1"/>
  <c r="E1493" i="1"/>
  <c r="E911" i="1"/>
  <c r="E2335" i="1"/>
  <c r="E3665" i="1"/>
  <c r="E530" i="1"/>
  <c r="E5712" i="1"/>
  <c r="E1234" i="1"/>
  <c r="E1030" i="1"/>
  <c r="E2051" i="1"/>
  <c r="E3309" i="1"/>
  <c r="E5796" i="1"/>
  <c r="E4280" i="1"/>
  <c r="E4574" i="1"/>
  <c r="E939" i="1"/>
  <c r="E2476" i="1"/>
  <c r="E4269" i="1"/>
  <c r="E3192" i="1"/>
  <c r="E1878" i="1"/>
  <c r="E2139" i="1"/>
  <c r="E23" i="1"/>
  <c r="E641" i="1"/>
  <c r="E1627" i="1"/>
  <c r="E5673" i="1"/>
  <c r="E2289" i="1"/>
  <c r="E389" i="1"/>
  <c r="E5946" i="1"/>
  <c r="E1719" i="1"/>
  <c r="E5395" i="1"/>
  <c r="E72" i="1"/>
  <c r="E3313" i="1"/>
  <c r="E1099" i="1"/>
  <c r="E2344" i="1"/>
  <c r="E3724" i="1"/>
  <c r="E155" i="1"/>
  <c r="E277" i="1"/>
  <c r="E523" i="1"/>
  <c r="E1513" i="1"/>
  <c r="E361" i="1"/>
  <c r="E3230" i="1"/>
  <c r="E39" i="1"/>
  <c r="E5307" i="1"/>
  <c r="E1785" i="1"/>
  <c r="E2575" i="1"/>
  <c r="E5875" i="1"/>
  <c r="E2516" i="1"/>
  <c r="E366" i="1"/>
  <c r="E338" i="1"/>
  <c r="E4147" i="1"/>
  <c r="E5008" i="1"/>
  <c r="E4974" i="1"/>
  <c r="E5614" i="1"/>
  <c r="E5325" i="1"/>
  <c r="E2437" i="1"/>
  <c r="E5779" i="1"/>
  <c r="E1351" i="1"/>
  <c r="E3680" i="1"/>
  <c r="E5437" i="1"/>
  <c r="E4889" i="1"/>
  <c r="E2029" i="1"/>
  <c r="E5101" i="1"/>
  <c r="E2197" i="1"/>
  <c r="E290" i="1"/>
  <c r="E3896" i="1"/>
  <c r="E5794" i="1"/>
  <c r="E1614" i="1"/>
  <c r="E3568" i="1"/>
  <c r="E5609" i="1"/>
  <c r="E2965" i="1"/>
  <c r="E185" i="1"/>
  <c r="E4621" i="1"/>
  <c r="E355" i="1"/>
  <c r="E1983" i="1"/>
  <c r="E3684" i="1"/>
  <c r="E4602" i="1"/>
  <c r="E2538" i="1"/>
  <c r="E109" i="1"/>
  <c r="E862" i="1"/>
  <c r="E2549" i="1"/>
  <c r="E94" i="1"/>
  <c r="E4440" i="1"/>
  <c r="E5524" i="1"/>
  <c r="E47" i="1"/>
  <c r="E554" i="1"/>
  <c r="E374" i="1"/>
  <c r="E5252" i="1"/>
  <c r="E190" i="1"/>
  <c r="E5422" i="1"/>
  <c r="E598" i="1"/>
  <c r="E4333" i="1"/>
  <c r="E2454" i="1"/>
  <c r="E424" i="1"/>
  <c r="E5338" i="1"/>
  <c r="E3779" i="1"/>
  <c r="E1902" i="1"/>
  <c r="E5576" i="1"/>
  <c r="E5053" i="1"/>
  <c r="E2132" i="1"/>
  <c r="E4521" i="1"/>
  <c r="E4997" i="1"/>
  <c r="E5080" i="1"/>
  <c r="E4706" i="1"/>
  <c r="E3294" i="1"/>
  <c r="E1322" i="1"/>
  <c r="E2084" i="1"/>
  <c r="E1381" i="1"/>
  <c r="E4506" i="1"/>
  <c r="E5256" i="1"/>
  <c r="E4666" i="1"/>
  <c r="E331" i="1"/>
  <c r="E5620" i="1"/>
  <c r="E4484" i="1"/>
  <c r="E2443" i="1"/>
  <c r="E5824" i="1"/>
  <c r="E3732" i="1"/>
  <c r="E5496" i="1"/>
  <c r="E1335" i="1"/>
  <c r="E2822" i="1"/>
  <c r="E2267" i="1"/>
  <c r="E4809" i="1"/>
  <c r="E2505" i="1"/>
  <c r="E4586" i="1"/>
  <c r="E3420" i="1"/>
  <c r="E4597" i="1"/>
  <c r="E821" i="1"/>
  <c r="E2983" i="1"/>
  <c r="E2159" i="1"/>
  <c r="E332" i="1"/>
  <c r="E2032" i="1"/>
  <c r="E4979" i="1"/>
  <c r="E2565" i="1"/>
  <c r="E1515" i="1"/>
  <c r="E945" i="1"/>
  <c r="E3594" i="1"/>
  <c r="E1253" i="1"/>
  <c r="E3035" i="1"/>
  <c r="E1738" i="1"/>
  <c r="E1233" i="1"/>
  <c r="E514" i="1"/>
  <c r="E5011" i="1"/>
  <c r="E4200" i="1"/>
  <c r="E893" i="1"/>
  <c r="E2664" i="1"/>
  <c r="E1860" i="1"/>
  <c r="E1521" i="1"/>
  <c r="E2532" i="1"/>
  <c r="E2501" i="1"/>
  <c r="E2976" i="1"/>
  <c r="E5023" i="1"/>
  <c r="E643" i="1"/>
  <c r="E750" i="1"/>
  <c r="E4073" i="1"/>
  <c r="E1393" i="1"/>
  <c r="E5691" i="1"/>
  <c r="E1415" i="1"/>
  <c r="E490" i="1"/>
  <c r="E2421" i="1"/>
  <c r="E724" i="1"/>
  <c r="E2884" i="1"/>
  <c r="E3100" i="1"/>
  <c r="E309" i="1"/>
  <c r="E4986" i="1"/>
  <c r="E4604" i="1"/>
  <c r="E4003" i="1"/>
  <c r="E531" i="1"/>
  <c r="E2728" i="1"/>
  <c r="E924" i="1"/>
  <c r="E975" i="1"/>
  <c r="E954" i="1"/>
  <c r="E2849" i="1"/>
  <c r="E5857" i="1"/>
  <c r="E2081" i="1"/>
  <c r="E4495" i="1"/>
  <c r="E4983" i="1"/>
  <c r="E4497" i="1"/>
  <c r="E3708" i="1"/>
  <c r="E4640" i="1"/>
  <c r="E1749" i="1"/>
  <c r="E3220" i="1"/>
  <c r="E2685" i="1"/>
  <c r="E2411" i="1"/>
  <c r="E329" i="1"/>
  <c r="E1340" i="1"/>
  <c r="E4873" i="1"/>
  <c r="E918" i="1"/>
  <c r="E103" i="1"/>
  <c r="E3547" i="1"/>
  <c r="E5937" i="1"/>
  <c r="E3406" i="1"/>
  <c r="E760" i="1"/>
  <c r="E622" i="1"/>
  <c r="E49" i="1"/>
  <c r="E1114" i="1"/>
  <c r="E2654" i="1"/>
  <c r="E3011" i="1"/>
  <c r="E3278" i="1"/>
  <c r="E370" i="1"/>
  <c r="E4661" i="1"/>
  <c r="E446" i="1"/>
  <c r="E4172" i="1"/>
  <c r="E3368" i="1"/>
  <c r="E5507" i="1"/>
  <c r="E1810" i="1"/>
  <c r="E1947" i="1"/>
  <c r="E3114" i="1"/>
  <c r="E5211" i="1"/>
  <c r="E1884" i="1"/>
  <c r="E3076" i="1"/>
  <c r="E2179" i="1"/>
  <c r="E1197" i="1"/>
  <c r="E2331" i="1"/>
  <c r="E158" i="1"/>
  <c r="E1522" i="1"/>
  <c r="E985" i="1"/>
  <c r="E2760" i="1"/>
  <c r="E133" i="1"/>
  <c r="E161" i="1"/>
  <c r="E276" i="1"/>
  <c r="E1038" i="1"/>
  <c r="E4501" i="1"/>
  <c r="E4600" i="1"/>
  <c r="E5894" i="1"/>
  <c r="E5860" i="1"/>
  <c r="E26" i="1"/>
  <c r="E1848" i="1"/>
  <c r="E1613" i="1"/>
  <c r="E5978" i="1"/>
  <c r="E5682" i="1"/>
  <c r="E5973" i="1"/>
  <c r="E291" i="1"/>
  <c r="E1948" i="1"/>
  <c r="E2757" i="1"/>
  <c r="E3580" i="1"/>
  <c r="E323" i="1"/>
  <c r="E1539" i="1"/>
  <c r="E5552" i="1"/>
  <c r="E511" i="1"/>
  <c r="E2024" i="1"/>
  <c r="E5108" i="1"/>
  <c r="E5837" i="1"/>
  <c r="E5465" i="1"/>
  <c r="E631" i="1"/>
  <c r="E1673" i="1"/>
  <c r="E2327" i="1"/>
  <c r="E3813" i="1"/>
  <c r="E4301" i="1"/>
  <c r="E3327" i="1"/>
  <c r="E1572" i="1"/>
  <c r="E793" i="1"/>
  <c r="E5893" i="1"/>
  <c r="E984" i="1"/>
  <c r="E3218" i="1"/>
  <c r="E415" i="1"/>
  <c r="E1498" i="1"/>
  <c r="E2815" i="1"/>
  <c r="E2928" i="1"/>
  <c r="E3331" i="1"/>
  <c r="E3766" i="1"/>
  <c r="E3132" i="1"/>
  <c r="E1653" i="1"/>
  <c r="E5777" i="1"/>
  <c r="E2236" i="1"/>
  <c r="E4239" i="1"/>
  <c r="E2977" i="1"/>
  <c r="E2852" i="1"/>
  <c r="E1306" i="1"/>
  <c r="E5146" i="1"/>
  <c r="E2315" i="1"/>
  <c r="E1552" i="1"/>
  <c r="E3461" i="1"/>
  <c r="E5417" i="1"/>
  <c r="E35" i="1"/>
  <c r="E41" i="1"/>
  <c r="E4512" i="1"/>
  <c r="E685" i="1"/>
  <c r="E2792" i="1"/>
  <c r="E4203" i="1"/>
  <c r="E271" i="1"/>
  <c r="E3289" i="1"/>
  <c r="E2933" i="1"/>
  <c r="E854" i="1"/>
  <c r="E4656" i="1"/>
  <c r="E3858" i="1"/>
  <c r="E1918" i="1"/>
  <c r="E2419" i="1"/>
  <c r="E1731" i="1"/>
  <c r="E4775" i="1"/>
  <c r="E1856" i="1"/>
  <c r="E4001" i="1"/>
  <c r="E450" i="1"/>
  <c r="E24" i="1"/>
  <c r="E2591" i="1"/>
  <c r="E27" i="1"/>
  <c r="E5859" i="1"/>
  <c r="E32" i="1"/>
  <c r="E2015" i="1"/>
  <c r="E958" i="1"/>
  <c r="E3824" i="1"/>
  <c r="E3175" i="1"/>
  <c r="E5884" i="1"/>
  <c r="E5993" i="1"/>
  <c r="E716" i="1"/>
  <c r="E1620" i="1"/>
  <c r="E3350" i="1"/>
  <c r="E2447" i="1"/>
  <c r="E2910" i="1"/>
  <c r="E1734" i="1"/>
  <c r="E3859" i="1"/>
  <c r="E139" i="1"/>
  <c r="E5152" i="1"/>
  <c r="E1874" i="1"/>
  <c r="E5418" i="1"/>
  <c r="E4752" i="1"/>
  <c r="E5321" i="1"/>
  <c r="E303" i="1"/>
  <c r="E1721" i="1"/>
  <c r="E300" i="1"/>
  <c r="E138" i="1"/>
  <c r="E3111" i="1"/>
  <c r="E3441" i="1"/>
  <c r="E4598" i="1"/>
  <c r="E4801" i="1"/>
  <c r="E2364" i="1"/>
  <c r="E5839" i="1"/>
  <c r="E2787" i="1"/>
  <c r="E2009" i="1"/>
  <c r="E1068" i="1"/>
  <c r="E2247" i="1"/>
  <c r="E4381" i="1"/>
  <c r="E1345" i="1"/>
  <c r="E5629" i="1"/>
  <c r="E5617" i="1"/>
  <c r="E2018" i="1"/>
  <c r="E5597" i="1"/>
  <c r="E2275" i="1"/>
  <c r="E3137" i="1"/>
  <c r="E176" i="1"/>
  <c r="E352" i="1"/>
  <c r="E4870" i="1"/>
  <c r="E2378" i="1"/>
  <c r="E3270" i="1"/>
  <c r="E4507" i="1"/>
  <c r="E4318" i="1"/>
  <c r="E1189" i="1"/>
  <c r="E5468" i="1"/>
  <c r="E1256" i="1"/>
  <c r="E4851" i="1"/>
  <c r="E5050" i="1"/>
  <c r="E3007" i="1"/>
  <c r="E2832" i="1"/>
  <c r="E5750" i="1"/>
  <c r="E1989" i="1"/>
  <c r="E386" i="1"/>
  <c r="E5526" i="1"/>
  <c r="E931" i="1"/>
  <c r="E1851" i="1"/>
  <c r="E250" i="1"/>
  <c r="E3716" i="1"/>
  <c r="E676" i="1"/>
  <c r="E4435" i="1"/>
  <c r="E3147" i="1"/>
  <c r="E1455" i="1"/>
  <c r="E2036" i="1"/>
  <c r="E2635" i="1"/>
  <c r="E1262" i="1"/>
  <c r="E2065" i="1"/>
  <c r="E5300" i="1"/>
  <c r="E4890" i="1"/>
  <c r="E2867" i="1"/>
  <c r="E4183" i="1"/>
  <c r="E2192" i="1"/>
  <c r="E5274" i="1"/>
  <c r="E515" i="1"/>
  <c r="E4345" i="1"/>
  <c r="E2382" i="1"/>
  <c r="E3128" i="1"/>
  <c r="E4758" i="1"/>
  <c r="E682" i="1"/>
  <c r="E4796" i="1"/>
  <c r="E2407" i="1"/>
  <c r="E5865" i="1"/>
  <c r="E5363" i="1"/>
  <c r="E4739" i="1"/>
  <c r="E3805" i="1"/>
  <c r="E2584" i="1"/>
  <c r="E2791" i="1"/>
  <c r="E5312" i="1"/>
  <c r="E4349" i="1"/>
  <c r="E1384" i="1"/>
  <c r="E772" i="1"/>
  <c r="E840" i="1"/>
  <c r="E5899" i="1"/>
  <c r="E3757" i="1"/>
  <c r="E2512" i="1"/>
  <c r="E2213" i="1"/>
  <c r="E1675" i="1"/>
  <c r="E301" i="1"/>
  <c r="E1146" i="1"/>
  <c r="E3980" i="1"/>
  <c r="E2883" i="1"/>
  <c r="E3478" i="1"/>
  <c r="E1249" i="1"/>
  <c r="E4803" i="1"/>
  <c r="E1625" i="1"/>
  <c r="E2170" i="1"/>
  <c r="E4224" i="1"/>
  <c r="E3931" i="1"/>
  <c r="E2525" i="1"/>
  <c r="E3626" i="1"/>
  <c r="E1597" i="1"/>
  <c r="E3059" i="1"/>
  <c r="E4561" i="1"/>
  <c r="E5703" i="1"/>
  <c r="E294" i="1"/>
  <c r="E2644" i="1"/>
  <c r="E3152" i="1"/>
  <c r="E5966" i="1"/>
  <c r="E2306" i="1"/>
  <c r="E2518" i="1"/>
  <c r="E3377" i="1"/>
  <c r="E2102" i="1"/>
  <c r="E3435" i="1"/>
  <c r="E5038" i="1"/>
  <c r="E2461" i="1"/>
  <c r="E3624" i="1"/>
  <c r="E897" i="1"/>
  <c r="E2039" i="1"/>
  <c r="E666" i="1"/>
  <c r="E1615" i="1"/>
  <c r="E5709" i="1"/>
  <c r="E3008" i="1"/>
  <c r="E3554" i="1"/>
  <c r="E2504" i="1"/>
  <c r="E2678" i="1"/>
  <c r="E5438" i="1"/>
  <c r="E1994" i="1"/>
  <c r="E4924" i="1"/>
  <c r="E1076" i="1"/>
  <c r="E5697" i="1"/>
  <c r="E3427" i="1"/>
  <c r="E215" i="1"/>
  <c r="E5046" i="1"/>
  <c r="E1446" i="1"/>
  <c r="E4328" i="1"/>
  <c r="E2990" i="1"/>
  <c r="E1864" i="1"/>
  <c r="E206" i="1"/>
  <c r="E4902" i="1"/>
  <c r="E3715" i="1"/>
  <c r="E3809" i="1"/>
  <c r="E3875" i="1"/>
  <c r="E5332" i="1"/>
  <c r="E4332" i="1"/>
  <c r="E3924" i="1"/>
  <c r="E5670" i="1"/>
  <c r="E3269" i="1"/>
  <c r="E707" i="1"/>
  <c r="E507" i="1"/>
  <c r="E4077" i="1"/>
  <c r="E2826" i="1"/>
  <c r="E211" i="1"/>
  <c r="E2515" i="1"/>
  <c r="E977" i="1"/>
  <c r="E586" i="1"/>
  <c r="E847" i="1"/>
  <c r="E2989" i="1"/>
  <c r="E5457" i="1"/>
  <c r="E2660" i="1"/>
  <c r="E84" i="1"/>
  <c r="E1596" i="1"/>
  <c r="E15" i="1"/>
  <c r="E4676" i="1"/>
  <c r="E4398" i="1"/>
  <c r="E5135" i="1"/>
  <c r="E11" i="1"/>
  <c r="E4769" i="1"/>
  <c r="E3403" i="1"/>
  <c r="E2005" i="1"/>
  <c r="E2022" i="1"/>
  <c r="E2182" i="1"/>
  <c r="E3990" i="1"/>
  <c r="E2281" i="1"/>
  <c r="E5407" i="1"/>
  <c r="E14" i="1"/>
  <c r="E1140" i="1"/>
  <c r="E1323" i="1"/>
  <c r="E5035" i="1"/>
  <c r="E2530" i="1"/>
  <c r="E823" i="1"/>
  <c r="E4966" i="1"/>
  <c r="E1892" i="1"/>
  <c r="E1602" i="1"/>
  <c r="E5162" i="1"/>
  <c r="E1027" i="1"/>
  <c r="E3052" i="1"/>
  <c r="E3329" i="1"/>
  <c r="E2307" i="1"/>
  <c r="E5636" i="1"/>
  <c r="E5396" i="1"/>
  <c r="E3356" i="1"/>
  <c r="E5896" i="1"/>
  <c r="E1889" i="1"/>
  <c r="E121" i="1"/>
  <c r="E623" i="1"/>
  <c r="E343" i="1"/>
  <c r="E5226" i="1"/>
  <c r="E1020" i="1"/>
  <c r="E1504" i="1"/>
  <c r="E4727" i="1"/>
  <c r="E3939" i="1"/>
  <c r="E4097" i="1"/>
  <c r="E2975" i="1"/>
  <c r="E4136" i="1"/>
  <c r="E5528" i="1"/>
  <c r="E2671" i="1"/>
  <c r="E1245" i="1"/>
  <c r="E425" i="1"/>
  <c r="E221" i="1"/>
  <c r="E4437" i="1"/>
  <c r="E3121" i="1"/>
  <c r="E2468" i="1"/>
  <c r="E31" i="1"/>
  <c r="E2161" i="1"/>
  <c r="E5705" i="1"/>
  <c r="E313" i="1"/>
  <c r="E2759" i="1"/>
  <c r="E420" i="1"/>
  <c r="E4171" i="1"/>
  <c r="E3292" i="1"/>
  <c r="E384" i="1"/>
  <c r="E3868" i="1"/>
  <c r="E3177" i="1"/>
  <c r="E4169" i="1"/>
  <c r="E3889" i="1"/>
  <c r="E3345" i="1"/>
  <c r="E1173" i="1"/>
  <c r="E5775" i="1"/>
  <c r="E5259" i="1"/>
  <c r="E916" i="1"/>
  <c r="E1951" i="1"/>
  <c r="E2330" i="1"/>
  <c r="E4217" i="1"/>
  <c r="E3382" i="1"/>
  <c r="E1512" i="1"/>
  <c r="E2180" i="1"/>
  <c r="E4703" i="1"/>
  <c r="E4552" i="1"/>
  <c r="E228" i="1"/>
  <c r="E3180" i="1"/>
  <c r="E1094" i="1"/>
  <c r="E3483" i="1"/>
  <c r="E715" i="1"/>
  <c r="E2280" i="1"/>
  <c r="E3276" i="1"/>
  <c r="E766" i="1"/>
  <c r="E67" i="1"/>
  <c r="E5369" i="1"/>
  <c r="E2972" i="1"/>
  <c r="E4446" i="1"/>
  <c r="E3150" i="1"/>
  <c r="E4963" i="1"/>
  <c r="E5916" i="1"/>
  <c r="E5128" i="1"/>
  <c r="E4513" i="1"/>
  <c r="E5814" i="1"/>
  <c r="E99" i="1"/>
  <c r="E2779" i="1"/>
  <c r="E849" i="1"/>
  <c r="E5990" i="1"/>
  <c r="E2643" i="1"/>
  <c r="E216" i="1"/>
  <c r="E901" i="1"/>
  <c r="E4164" i="1"/>
  <c r="E4534" i="1"/>
  <c r="E1656" i="1"/>
  <c r="E5923" i="1"/>
  <c r="E4684" i="1"/>
  <c r="E2351" i="1"/>
  <c r="E4518" i="1"/>
  <c r="E3354" i="1"/>
  <c r="E3477" i="1"/>
  <c r="E1207" i="1"/>
  <c r="E5606" i="1"/>
  <c r="E1488" i="1"/>
  <c r="E5137" i="1"/>
  <c r="E2474" i="1"/>
  <c r="E3358" i="1"/>
  <c r="E3503" i="1"/>
  <c r="E5133" i="1"/>
  <c r="E375" i="1"/>
  <c r="E43" i="1"/>
  <c r="E2026" i="1"/>
  <c r="E2417" i="1"/>
  <c r="E5910" i="1"/>
  <c r="E3003" i="1"/>
  <c r="E2935" i="1"/>
  <c r="E4562" i="1"/>
  <c r="E2560" i="1"/>
  <c r="E3490" i="1"/>
  <c r="E4347" i="1"/>
  <c r="E4444" i="1"/>
  <c r="E2389" i="1"/>
  <c r="E1598" i="1"/>
  <c r="E3251" i="1"/>
  <c r="E5571" i="1"/>
  <c r="E1022" i="1"/>
  <c r="E5209" i="1"/>
  <c r="E5754" i="1"/>
  <c r="E1946" i="1"/>
  <c r="E2806" i="1"/>
  <c r="E5390" i="1"/>
  <c r="E5694" i="1"/>
  <c r="E2493" i="1"/>
  <c r="E5427" i="1"/>
  <c r="E4910" i="1"/>
  <c r="E5112" i="1"/>
  <c r="E5168" i="1"/>
  <c r="E2394" i="1"/>
  <c r="E2309" i="1"/>
  <c r="E923" i="1"/>
  <c r="E2741" i="1"/>
  <c r="E5616" i="1"/>
  <c r="E1082" i="1"/>
  <c r="E3085" i="1"/>
  <c r="E1018" i="1"/>
  <c r="E2941" i="1"/>
  <c r="E1998" i="1"/>
  <c r="E4591" i="1"/>
  <c r="E2301" i="1"/>
  <c r="E5791" i="1"/>
  <c r="E3322" i="1"/>
  <c r="E2873" i="1"/>
  <c r="E8" i="1"/>
  <c r="E2546" i="1"/>
  <c r="E1525" i="1"/>
  <c r="E952" i="1"/>
  <c r="E1291" i="1"/>
  <c r="E2059" i="1"/>
  <c r="E1959" i="1"/>
  <c r="E1392" i="1"/>
  <c r="E2803" i="1"/>
  <c r="E3578" i="1"/>
  <c r="E5455" i="1"/>
  <c r="E2045" i="1"/>
  <c r="E2750" i="1"/>
  <c r="E4701" i="1"/>
  <c r="E9" i="1"/>
  <c r="E5078" i="1"/>
  <c r="E764" i="1"/>
  <c r="E4036" i="1"/>
  <c r="E4942" i="1"/>
  <c r="E341" i="1"/>
  <c r="E3802" i="1"/>
  <c r="E4346" i="1"/>
  <c r="E17" i="1"/>
  <c r="E5811" i="1"/>
  <c r="E82" i="1"/>
  <c r="E5239" i="1"/>
  <c r="E5522" i="1"/>
  <c r="E4037" i="1"/>
  <c r="E5947" i="1"/>
  <c r="E2556" i="1"/>
  <c r="E5574" i="1"/>
  <c r="E713" i="1"/>
  <c r="E5485" i="1"/>
  <c r="E5130" i="1"/>
  <c r="E4297" i="1"/>
  <c r="E25" i="1"/>
  <c r="E1705" i="1"/>
  <c r="E4423" i="1"/>
  <c r="E5942" i="1"/>
  <c r="E2914" i="1"/>
  <c r="E2359" i="1"/>
  <c r="E3098" i="1"/>
  <c r="E2705" i="1"/>
  <c r="E2904" i="1"/>
  <c r="E675" i="1"/>
  <c r="E2431" i="1"/>
  <c r="E4530" i="1"/>
  <c r="E1854" i="1"/>
  <c r="E3840" i="1"/>
  <c r="E5826" i="1"/>
  <c r="E2846" i="1"/>
  <c r="E5920" i="1"/>
  <c r="E314" i="1"/>
  <c r="E42" i="1"/>
  <c r="E2061" i="1"/>
  <c r="E2492" i="1"/>
  <c r="E4723" i="1"/>
  <c r="E4265" i="1"/>
  <c r="E37" i="1"/>
  <c r="E2087" i="1"/>
  <c r="E3317" i="1"/>
  <c r="E2462" i="1"/>
  <c r="E735" i="1"/>
  <c r="E3105" i="1"/>
  <c r="E5566" i="1"/>
  <c r="E1252" i="1"/>
  <c r="E4492" i="1"/>
  <c r="E2428" i="1"/>
  <c r="E4220" i="1"/>
  <c r="E1332" i="1"/>
  <c r="E2668" i="1"/>
  <c r="E3325" i="1"/>
  <c r="E3528" i="1"/>
  <c r="E465" i="1"/>
  <c r="E2361" i="1"/>
  <c r="E2322" i="1"/>
  <c r="E4792" i="1"/>
  <c r="E3301" i="1"/>
  <c r="E4945" i="1"/>
  <c r="E2663" i="1"/>
  <c r="E1979" i="1"/>
  <c r="E21" i="1"/>
  <c r="E2848" i="1"/>
  <c r="E3677" i="1"/>
  <c r="E102" i="1"/>
  <c r="E320" i="1"/>
  <c r="E5653" i="1"/>
  <c r="E3068" i="1"/>
  <c r="E1225" i="1"/>
  <c r="E799" i="1"/>
  <c r="E5406" i="1"/>
  <c r="E1782" i="1"/>
  <c r="E2993" i="1"/>
  <c r="E5821" i="1"/>
  <c r="E4108" i="1"/>
  <c r="E3109" i="1"/>
  <c r="E3343" i="1"/>
  <c r="E3676" i="1"/>
  <c r="E5523" i="1"/>
  <c r="E1543" i="1"/>
  <c r="E5249" i="1"/>
  <c r="E699" i="1"/>
  <c r="E2592" i="1"/>
  <c r="E3669" i="1"/>
  <c r="E4155" i="1"/>
  <c r="E3920" i="1"/>
  <c r="E3961" i="1"/>
  <c r="E4620" i="1"/>
  <c r="E1499" i="1"/>
  <c r="E5311" i="1"/>
  <c r="E1674" i="1"/>
  <c r="E150" i="1"/>
  <c r="E2363" i="1"/>
  <c r="E3762" i="1"/>
  <c r="E4466" i="1"/>
  <c r="E4956" i="1"/>
  <c r="E2497" i="1"/>
  <c r="E2712" i="1"/>
  <c r="E3841" i="1"/>
  <c r="E824" i="1"/>
  <c r="E3884" i="1"/>
  <c r="E1049" i="1"/>
  <c r="E4899" i="1"/>
  <c r="E3712" i="1"/>
  <c r="E4731" i="1"/>
  <c r="E131" i="1"/>
  <c r="E2650" i="1"/>
  <c r="E5898" i="1"/>
  <c r="E5340" i="1"/>
  <c r="E1563" i="1"/>
  <c r="E1523" i="1"/>
  <c r="E751" i="1"/>
  <c r="E289" i="1"/>
  <c r="E4390" i="1"/>
  <c r="E1348" i="1"/>
  <c r="E5278" i="1"/>
  <c r="E3178" i="1"/>
  <c r="E689" i="1"/>
  <c r="E1258" i="1"/>
  <c r="E2683" i="1"/>
  <c r="E2911" i="1"/>
  <c r="E33" i="1"/>
  <c r="E3" i="1"/>
  <c r="E5892" i="1"/>
  <c r="E3045" i="1"/>
  <c r="E2401" i="1"/>
  <c r="E2987" i="1"/>
  <c r="E4539" i="1"/>
  <c r="E3092" i="1"/>
  <c r="E279" i="1"/>
  <c r="E5585" i="1"/>
  <c r="E4719" i="1"/>
  <c r="E3516" i="1"/>
  <c r="E34" i="1"/>
  <c r="E5494" i="1"/>
  <c r="E4781" i="1"/>
  <c r="E1466" i="1"/>
  <c r="E2974" i="1"/>
  <c r="E2216" i="1"/>
  <c r="E2524" i="1"/>
  <c r="E1967" i="1"/>
  <c r="E4337" i="1"/>
  <c r="E1156" i="1"/>
  <c r="E4012" i="1"/>
  <c r="E4049" i="1"/>
  <c r="E3312" i="1"/>
  <c r="E5562" i="1"/>
  <c r="E1242" i="1"/>
  <c r="E4163" i="1"/>
  <c r="E1531" i="1"/>
  <c r="E5755" i="1"/>
  <c r="E5722" i="1"/>
  <c r="E30" i="1"/>
  <c r="E3261" i="1"/>
  <c r="E4438" i="1"/>
  <c r="E4060" i="1"/>
  <c r="E4042" i="1"/>
  <c r="E4026" i="1"/>
  <c r="E3746" i="1"/>
  <c r="E4612" i="1"/>
  <c r="E10" i="1"/>
  <c r="E1888" i="1"/>
  <c r="E5361" i="1"/>
  <c r="E4319" i="1"/>
  <c r="E4939" i="1"/>
  <c r="E2601" i="1"/>
  <c r="E2622" i="1"/>
  <c r="E3543" i="1"/>
  <c r="E527" i="1"/>
  <c r="E4260" i="1"/>
  <c r="E2072" i="1"/>
  <c r="E63" i="1"/>
  <c r="E2943" i="1"/>
  <c r="E3521" i="1"/>
  <c r="E4113" i="1"/>
  <c r="E2367" i="1"/>
  <c r="E2892" i="1"/>
  <c r="E2251" i="1"/>
  <c r="E186" i="1"/>
  <c r="E3881" i="1"/>
  <c r="E4754" i="1"/>
  <c r="E3950" i="1"/>
  <c r="E3170" i="1"/>
  <c r="E2968" i="1"/>
  <c r="E5079" i="1"/>
  <c r="E1935" i="1"/>
  <c r="E3891" i="1"/>
  <c r="E5062" i="1"/>
  <c r="E4879" i="1"/>
  <c r="E927" i="1"/>
  <c r="E4487" i="1"/>
  <c r="E267" i="1"/>
  <c r="E428" i="1"/>
  <c r="E1221" i="1"/>
  <c r="E1270" i="1"/>
  <c r="E3315" i="1"/>
  <c r="E913" i="1"/>
  <c r="E5253" i="1"/>
  <c r="E5790" i="1"/>
  <c r="E4842" i="1"/>
  <c r="E1723" i="1"/>
  <c r="E4225" i="1"/>
  <c r="E5753" i="1"/>
  <c r="E3579" i="1"/>
  <c r="E2608" i="1"/>
  <c r="E4896" i="1"/>
  <c r="E3713" i="1"/>
  <c r="E5639" i="1"/>
  <c r="E2412" i="1"/>
  <c r="E304" i="1"/>
  <c r="E3541" i="1"/>
  <c r="E2819" i="1"/>
  <c r="E2539" i="1"/>
  <c r="E2606" i="1"/>
  <c r="E4090" i="1"/>
  <c r="E231" i="1"/>
  <c r="E2829" i="1"/>
  <c r="E4145" i="1"/>
  <c r="E3755" i="1"/>
  <c r="E2000" i="1"/>
  <c r="E5282" i="1"/>
  <c r="E3262" i="1"/>
  <c r="E4863" i="1"/>
  <c r="E3816" i="1"/>
  <c r="E3652" i="1"/>
  <c r="E2091" i="1"/>
  <c r="E1136" i="1"/>
  <c r="E4081" i="1"/>
  <c r="E191" i="1"/>
  <c r="E3069" i="1"/>
  <c r="E4299" i="1"/>
  <c r="E3720" i="1"/>
  <c r="E29" i="1"/>
  <c r="E1285" i="1"/>
  <c r="E3908" i="1"/>
  <c r="E5980" i="1"/>
  <c r="E4509" i="1"/>
  <c r="E2957" i="1"/>
  <c r="E3496" i="1"/>
  <c r="E2553" i="1"/>
  <c r="E4542" i="1"/>
  <c r="E251" i="1"/>
  <c r="E3305" i="1"/>
  <c r="E5032" i="1"/>
  <c r="E5504" i="1"/>
  <c r="E5957" i="1"/>
  <c r="E5240" i="1"/>
  <c r="E178" i="1"/>
  <c r="E3410" i="1"/>
  <c r="E1254" i="1"/>
  <c r="E1376" i="1"/>
  <c r="E957" i="1"/>
  <c r="E5460" i="1"/>
  <c r="E247" i="1"/>
  <c r="E3552" i="1"/>
  <c r="E2054" i="1"/>
  <c r="E3394" i="1"/>
  <c r="E4335" i="1"/>
  <c r="E1694" i="1"/>
  <c r="E4994" i="1"/>
  <c r="E4668" i="1"/>
  <c r="E725" i="1"/>
  <c r="E3430" i="1"/>
  <c r="E2962" i="1"/>
  <c r="E570" i="1"/>
  <c r="E5111" i="1"/>
  <c r="E2153" i="1"/>
  <c r="E1462" i="1"/>
  <c r="E917" i="1"/>
  <c r="E5556" i="1"/>
  <c r="E2358" i="1"/>
  <c r="E733" i="1"/>
  <c r="E5217" i="1"/>
  <c r="E1962" i="1"/>
  <c r="E680" i="1"/>
  <c r="E5545" i="1"/>
  <c r="E5077" i="1"/>
  <c r="E1651" i="1"/>
  <c r="E3897" i="1"/>
  <c r="E20" i="1"/>
  <c r="E2853" i="1"/>
  <c r="E100" i="1"/>
  <c r="E3247" i="1"/>
  <c r="E3526" i="1"/>
  <c r="E5" i="1"/>
  <c r="E4564" i="1"/>
  <c r="E3373" i="1"/>
  <c r="E1986" i="1"/>
  <c r="E3670" i="1"/>
  <c r="E3648" i="1"/>
  <c r="E1084" i="1"/>
  <c r="E5096" i="1"/>
  <c r="E5917" i="1"/>
  <c r="E69" i="1"/>
  <c r="E3005" i="1"/>
  <c r="E4017" i="1"/>
  <c r="E5479" i="1"/>
  <c r="E1955" i="1"/>
  <c r="E1366" i="1"/>
  <c r="E2572" i="1"/>
  <c r="E4159" i="1"/>
  <c r="E3849" i="1"/>
  <c r="E45" i="1"/>
  <c r="E4" i="1"/>
  <c r="E3705" i="1"/>
  <c r="E439" i="1"/>
  <c r="E1390" i="1"/>
  <c r="E3054" i="1"/>
  <c r="E3529" i="1"/>
  <c r="E2991" i="1"/>
  <c r="E5666" i="1"/>
  <c r="E5771" i="1"/>
  <c r="E3224" i="1"/>
  <c r="E3991" i="1"/>
  <c r="E395" i="1"/>
  <c r="E470" i="1"/>
  <c r="E144" i="1"/>
  <c r="E5877" i="1"/>
  <c r="E5922" i="1"/>
  <c r="E180" i="1"/>
  <c r="E3951" i="1"/>
  <c r="E5175" i="1"/>
  <c r="E4252" i="1"/>
  <c r="E2540" i="1"/>
  <c r="E2624" i="1"/>
  <c r="E700" i="1"/>
  <c r="E5948" i="1"/>
  <c r="E5819" i="1"/>
  <c r="E2615" i="1"/>
  <c r="E5994" i="1"/>
  <c r="E5106" i="1"/>
  <c r="E5368" i="1"/>
  <c r="E926" i="1"/>
  <c r="E5768" i="1"/>
  <c r="E4434" i="1"/>
  <c r="E2821" i="1"/>
  <c r="E5600" i="1"/>
  <c r="E4938" i="1"/>
  <c r="E2287" i="1"/>
  <c r="E624" i="1"/>
  <c r="E1324" i="1"/>
  <c r="E4426" i="1"/>
  <c r="E110" i="1"/>
  <c r="E5337" i="1"/>
  <c r="E5431" i="1"/>
  <c r="E2433" i="1"/>
  <c r="E1558" i="1"/>
  <c r="E5646" i="1"/>
  <c r="E2017" i="1"/>
  <c r="E414" i="1"/>
  <c r="E2748" i="1"/>
  <c r="E1009" i="1"/>
  <c r="E4837" i="1"/>
  <c r="E1236" i="1"/>
  <c r="E2207" i="1"/>
  <c r="E142" i="1"/>
  <c r="E5572" i="1"/>
  <c r="E3522" i="1"/>
  <c r="E18" i="1"/>
  <c r="E5056" i="1"/>
  <c r="E2812" i="1"/>
  <c r="E5817" i="1"/>
  <c r="E4500" i="1"/>
  <c r="E3306" i="1"/>
  <c r="E1825" i="1"/>
  <c r="E4811" i="1"/>
  <c r="E2932" i="1"/>
  <c r="E5995" i="1"/>
  <c r="E13" i="1"/>
  <c r="E5071" i="1"/>
  <c r="E2940" i="1"/>
  <c r="E1408" i="1"/>
  <c r="E2631" i="1"/>
  <c r="E5091" i="1"/>
  <c r="E737" i="1"/>
  <c r="E258" i="1"/>
  <c r="E1004" i="1"/>
  <c r="E5208" i="1"/>
  <c r="E1639" i="1"/>
  <c r="E810" i="1"/>
  <c r="E5377" i="1"/>
  <c r="E1841" i="1"/>
  <c r="E89" i="1"/>
  <c r="E3021" i="1"/>
  <c r="E5725" i="1"/>
  <c r="E3133" i="1"/>
  <c r="E3997" i="1"/>
  <c r="E4794" i="1"/>
  <c r="E4570" i="1"/>
  <c r="E5329" i="1"/>
  <c r="E1088" i="1"/>
  <c r="E3034" i="1"/>
  <c r="E1467" i="1"/>
  <c r="E5852" i="1"/>
  <c r="E1793" i="1"/>
  <c r="E4093" i="1"/>
  <c r="E1728" i="1"/>
  <c r="E5410" i="1"/>
  <c r="E5323" i="1"/>
  <c r="E2451" i="1"/>
  <c r="E5844" i="1"/>
  <c r="E5223" i="1"/>
  <c r="E3099" i="1"/>
  <c r="E5618" i="1"/>
  <c r="E2240" i="1"/>
  <c r="E865" i="1"/>
  <c r="E1910" i="1"/>
  <c r="E4895" i="1"/>
  <c r="E4859" i="1"/>
  <c r="E3376" i="1"/>
  <c r="E4489" i="1"/>
  <c r="E1752" i="1"/>
  <c r="E3741" i="1"/>
  <c r="E3614" i="1"/>
  <c r="E4866" i="1"/>
  <c r="E5789" i="1"/>
  <c r="E1352" i="1"/>
  <c r="E2967" i="1"/>
  <c r="E5784" i="1"/>
  <c r="E819" i="1"/>
  <c r="E4140" i="1"/>
  <c r="E2311" i="1"/>
  <c r="E4117" i="1"/>
  <c r="E1426" i="1"/>
  <c r="E5869" i="1"/>
  <c r="E5428" i="1"/>
  <c r="E4732" i="1"/>
  <c r="E2611" i="1"/>
  <c r="E88" i="1"/>
  <c r="E2816" i="1"/>
  <c r="E4387" i="1"/>
  <c r="E4829" i="1"/>
  <c r="E259" i="1"/>
  <c r="E4205" i="1"/>
  <c r="E4665" i="1"/>
  <c r="E457" i="1"/>
  <c r="E1478" i="1"/>
  <c r="E4413" i="1"/>
  <c r="E4483" i="1"/>
  <c r="E4730" i="1"/>
  <c r="E4847" i="1"/>
  <c r="E3432" i="1"/>
  <c r="E3570" i="1"/>
  <c r="E3254" i="1"/>
  <c r="E5139" i="1"/>
  <c r="E1844" i="1"/>
  <c r="E4960" i="1"/>
  <c r="E2459" i="1"/>
  <c r="E5831" i="1"/>
  <c r="E2499" i="1"/>
  <c r="E4238" i="1"/>
  <c r="E4476" i="1"/>
  <c r="E1127" i="1"/>
  <c r="E5803" i="1"/>
  <c r="E1669" i="1"/>
  <c r="E417" i="1"/>
  <c r="E3479" i="1"/>
  <c r="E4342" i="1"/>
  <c r="E3464" i="1"/>
  <c r="E3701" i="1"/>
  <c r="E686" i="1"/>
  <c r="E4644" i="1"/>
  <c r="E2595" i="1"/>
  <c r="E4304" i="1"/>
  <c r="E4275" i="1"/>
  <c r="E157" i="1"/>
  <c r="E5441" i="1"/>
  <c r="E4689" i="1"/>
  <c r="E4785" i="1"/>
  <c r="E2185" i="1"/>
  <c r="E3753" i="1"/>
  <c r="E3047" i="1"/>
  <c r="E3165" i="1"/>
  <c r="E4191" i="1"/>
  <c r="E4540" i="1"/>
  <c r="E3324" i="1"/>
  <c r="E1556" i="1"/>
  <c r="E87" i="1"/>
  <c r="E5001" i="1"/>
  <c r="E575" i="1"/>
  <c r="E4946" i="1"/>
  <c r="E2129" i="1"/>
  <c r="E5029" i="1"/>
  <c r="E260" i="1"/>
  <c r="E5109" i="1"/>
  <c r="E7" i="1"/>
  <c r="E592" i="1"/>
  <c r="E1548" i="1"/>
  <c r="E4919" i="1"/>
  <c r="E2801" i="1"/>
  <c r="E226" i="1"/>
  <c r="E2751" i="1"/>
  <c r="E3266" i="1"/>
  <c r="E2793" i="1"/>
  <c r="E1378" i="1"/>
  <c r="E5231" i="1"/>
  <c r="E4219" i="1"/>
  <c r="E5426" i="1"/>
  <c r="E1057" i="1"/>
  <c r="E2336" i="1"/>
  <c r="E762" i="1"/>
  <c r="E1021" i="1"/>
  <c r="E5298" i="1"/>
  <c r="E5068" i="1"/>
  <c r="E843" i="1"/>
  <c r="E3153" i="1"/>
  <c r="E3452" i="1"/>
  <c r="E5070" i="1"/>
  <c r="E4312" i="1"/>
  <c r="E3102" i="1"/>
  <c r="E2827" i="1"/>
  <c r="E118" i="1"/>
  <c r="E5792" i="1"/>
  <c r="E5986" i="1"/>
  <c r="E5505" i="1"/>
  <c r="E4441" i="1"/>
  <c r="E3512" i="1"/>
  <c r="E944" i="1"/>
  <c r="E3789" i="1"/>
  <c r="E3686" i="1"/>
  <c r="E1222" i="1"/>
  <c r="E4047" i="1"/>
  <c r="E1310" i="1"/>
  <c r="E935" i="1"/>
  <c r="E2992" i="1"/>
  <c r="E4281" i="1"/>
  <c r="E1235" i="1"/>
  <c r="E5228" i="1"/>
  <c r="E2764" i="1"/>
  <c r="E401" i="1"/>
  <c r="E2111" i="1"/>
  <c r="E3015" i="1"/>
  <c r="E210" i="1"/>
  <c r="E4195" i="1"/>
  <c r="E3411" i="1"/>
  <c r="E1129" i="1"/>
  <c r="E4988" i="1"/>
  <c r="E2837" i="1"/>
  <c r="E3108" i="1"/>
  <c r="E872" i="1"/>
  <c r="E1350" i="1"/>
  <c r="E5588" i="1"/>
  <c r="E4582" i="1"/>
  <c r="E1711" i="1"/>
  <c r="E4868" i="1"/>
  <c r="E955" i="1"/>
  <c r="E1686" i="1"/>
  <c r="E1654" i="1"/>
  <c r="E780" i="1"/>
  <c r="E4505" i="1"/>
  <c r="E130" i="1"/>
  <c r="E4962" i="1"/>
  <c r="E3981" i="1"/>
  <c r="E5448" i="1"/>
  <c r="E3093" i="1"/>
  <c r="E776" i="1"/>
  <c r="E3964" i="1"/>
  <c r="E3203" i="1"/>
  <c r="E3336" i="1"/>
  <c r="E5939" i="1"/>
  <c r="E871" i="1"/>
  <c r="E4654" i="1"/>
  <c r="E1286" i="1"/>
  <c r="E1954" i="1"/>
  <c r="E2931" i="1"/>
  <c r="E5154" i="1"/>
  <c r="E878" i="1"/>
  <c r="E5189" i="1"/>
  <c r="E5832" i="1"/>
  <c r="E4486" i="1"/>
  <c r="E5005" i="1"/>
  <c r="E257" i="1"/>
  <c r="E4563" i="1"/>
  <c r="E273" i="1"/>
  <c r="E5089" i="1"/>
  <c r="E3571" i="1"/>
  <c r="E873" i="1"/>
  <c r="E914" i="1"/>
  <c r="E3750" i="1"/>
  <c r="E670" i="1"/>
  <c r="E5945" i="1"/>
  <c r="E148" i="1"/>
  <c r="E4307" i="1"/>
  <c r="E1277" i="1"/>
  <c r="E1131" i="1"/>
  <c r="E2372" i="1"/>
  <c r="E3413" i="1"/>
  <c r="E734" i="1"/>
  <c r="E5420" i="1"/>
  <c r="E5150" i="1"/>
  <c r="E1969" i="1"/>
  <c r="E1205" i="1"/>
  <c r="E2399" i="1"/>
  <c r="E5402" i="1"/>
  <c r="E408" i="1"/>
  <c r="E4482" i="1"/>
  <c r="E1726" i="1"/>
  <c r="E5723" i="1"/>
  <c r="E78" i="1"/>
  <c r="E5765" i="1"/>
  <c r="E4056" i="1"/>
  <c r="E2844" i="1"/>
  <c r="E943" i="1"/>
  <c r="E2934" i="1"/>
  <c r="E1288" i="1"/>
  <c r="E3996" i="1"/>
  <c r="E54" i="1"/>
  <c r="E1465" i="1"/>
  <c r="E1519" i="1"/>
  <c r="E882" i="1"/>
  <c r="E2830" i="1"/>
  <c r="E5855" i="1"/>
  <c r="E5436" i="1"/>
  <c r="E3064" i="1"/>
  <c r="E204" i="1"/>
  <c r="E2190" i="1"/>
  <c r="E1071" i="1"/>
  <c r="E2434" i="1"/>
  <c r="E5965" i="1"/>
  <c r="E1413" i="1"/>
  <c r="E4816" i="1"/>
  <c r="E3062" i="1"/>
  <c r="E3519" i="1"/>
  <c r="E2963" i="1"/>
  <c r="E4264" i="1"/>
  <c r="E2930" i="1"/>
  <c r="E3719" i="1"/>
  <c r="E2478" i="1"/>
  <c r="E770" i="1"/>
  <c r="E5529" i="1"/>
  <c r="E171" i="1"/>
  <c r="E1070" i="1"/>
  <c r="E419" i="1"/>
  <c r="E2672" i="1"/>
  <c r="E545" i="1"/>
  <c r="E3199" i="1"/>
  <c r="E4098" i="1"/>
  <c r="E5563" i="1"/>
  <c r="E5103" i="1"/>
  <c r="E3014" i="1"/>
  <c r="E936" i="1"/>
  <c r="E19" i="1"/>
  <c r="E3749" i="1"/>
  <c r="E1078" i="1"/>
  <c r="E5069" i="1"/>
  <c r="E683" i="1"/>
  <c r="E791" i="1"/>
  <c r="E2244" i="1"/>
  <c r="E877" i="1"/>
  <c r="E2795" i="1"/>
  <c r="E3444" i="1"/>
  <c r="E2657" i="1"/>
  <c r="E5131" i="1"/>
  <c r="E5958" i="1"/>
  <c r="E4628" i="1"/>
  <c r="E1210" i="1"/>
  <c r="E3913" i="1"/>
  <c r="E2353" i="1"/>
  <c r="E619" i="1"/>
  <c r="E5553" i="1"/>
  <c r="E826" i="1"/>
  <c r="E3737" i="1"/>
  <c r="E695" i="1"/>
  <c r="E2776" i="1"/>
  <c r="E4651" i="1"/>
  <c r="E5868" i="1"/>
  <c r="E4167" i="1"/>
  <c r="E2430" i="1"/>
  <c r="E5713" i="1"/>
  <c r="E4070" i="1"/>
  <c r="E5355" i="1"/>
  <c r="E4137" i="1"/>
  <c r="E1401" i="1"/>
  <c r="E3167" i="1"/>
  <c r="E3725" i="1"/>
  <c r="E3019" i="1"/>
  <c r="E4314" i="1"/>
  <c r="E2458" i="1"/>
  <c r="E2112" i="1"/>
  <c r="E2332" i="1"/>
  <c r="E2198" i="1"/>
  <c r="E2564" i="1"/>
  <c r="E22" i="1"/>
  <c r="E2982" i="1"/>
  <c r="E5434" i="1"/>
  <c r="E2799" i="1"/>
  <c r="E701" i="1"/>
  <c r="E4724" i="1"/>
  <c r="E2923" i="1"/>
  <c r="E5925" i="1"/>
  <c r="E3692" i="1"/>
  <c r="E3436" i="1"/>
  <c r="E3941" i="1"/>
  <c r="E412" i="1"/>
  <c r="E3338" i="1"/>
  <c r="E5432" i="1"/>
  <c r="E5645" i="1"/>
  <c r="E3688" i="1"/>
  <c r="E3307" i="1"/>
  <c r="E4212" i="1"/>
  <c r="E502" i="1"/>
  <c r="E1246" i="1"/>
  <c r="E2689" i="1"/>
  <c r="E2354" i="1"/>
  <c r="F24" i="8"/>
  <c r="G24" i="8" s="1"/>
  <c r="F19" i="8"/>
  <c r="G19" i="8" s="1"/>
  <c r="F20" i="8"/>
  <c r="G20" i="8" s="1"/>
  <c r="F21" i="8"/>
  <c r="G21" i="8" s="1"/>
  <c r="F22" i="8"/>
  <c r="G22" i="8" s="1"/>
  <c r="F10" i="8"/>
  <c r="G10" i="8" s="1"/>
  <c r="F11" i="8"/>
  <c r="G11" i="8" s="1"/>
  <c r="F12" i="8"/>
  <c r="G12" i="8" s="1"/>
  <c r="F4" i="8"/>
  <c r="G4" i="8" s="1"/>
  <c r="F5" i="8"/>
  <c r="G5" i="8" s="1"/>
  <c r="F6" i="8"/>
  <c r="G6" i="8" s="1"/>
  <c r="B1923" i="1"/>
  <c r="B4083" i="1"/>
  <c r="B4549" i="1"/>
  <c r="B1578" i="1"/>
  <c r="B3928" i="1"/>
  <c r="B3566" i="1"/>
  <c r="B5081" i="1"/>
  <c r="B1223" i="1"/>
  <c r="B3359" i="1"/>
  <c r="B486" i="1"/>
  <c r="B5728" i="1"/>
  <c r="B4055" i="1"/>
  <c r="B5021" i="1"/>
  <c r="B1271" i="1"/>
  <c r="B319" i="1"/>
  <c r="B3470" i="1"/>
  <c r="B3369" i="1"/>
  <c r="B3082" i="1"/>
  <c r="B4822" i="1"/>
  <c r="B4951" i="1"/>
  <c r="B4401" i="1"/>
  <c r="B5981" i="1"/>
  <c r="B4587" i="1"/>
  <c r="B1872" i="1"/>
  <c r="B3973" i="1"/>
  <c r="B1188" i="1"/>
  <c r="B2400" i="1"/>
  <c r="B4129" i="1"/>
  <c r="B2117" i="1"/>
  <c r="B5295" i="1"/>
  <c r="B822" i="1"/>
  <c r="B2154" i="1"/>
  <c r="B488" i="1"/>
  <c r="B1204" i="1"/>
  <c r="B3260" i="1"/>
  <c r="B4519" i="1"/>
  <c r="B3633" i="1"/>
  <c r="B730" i="1"/>
  <c r="B4122" i="1"/>
  <c r="B1476" i="1"/>
  <c r="B4000" i="1"/>
  <c r="B3888" i="1"/>
  <c r="B1014" i="1"/>
  <c r="B5543" i="1"/>
  <c r="B3163" i="1"/>
  <c r="B2049" i="1"/>
  <c r="B3760" i="1"/>
  <c r="B5287" i="1"/>
  <c r="B3508" i="1"/>
  <c r="B4894" i="1"/>
  <c r="B5872" i="1"/>
  <c r="B5019" i="1"/>
  <c r="B1432" i="1"/>
  <c r="B2773" i="1"/>
  <c r="B4146" i="1"/>
  <c r="B4616" i="1"/>
  <c r="B3830" i="1"/>
  <c r="B4313" i="1"/>
  <c r="B3963" i="1"/>
  <c r="B5451" i="1"/>
  <c r="B4115" i="1"/>
  <c r="B3465" i="1"/>
  <c r="B2239" i="1"/>
  <c r="B786" i="1"/>
  <c r="B4548" i="1"/>
  <c r="B4572" i="1"/>
  <c r="B2377" i="1"/>
  <c r="B2720" i="1"/>
  <c r="B3787" i="1"/>
  <c r="B5602" i="1"/>
  <c r="B5187" i="1"/>
  <c r="B4635" i="1"/>
  <c r="B4744" i="1"/>
  <c r="B3933" i="1"/>
  <c r="B369" i="1"/>
  <c r="B3882" i="1"/>
  <c r="B5624" i="1"/>
  <c r="B2034" i="1"/>
  <c r="B4392" i="1"/>
  <c r="B1855" i="1"/>
  <c r="B2994" i="1"/>
  <c r="B577" i="1"/>
  <c r="B1050" i="1"/>
  <c r="B2523" i="1"/>
  <c r="B784" i="1"/>
  <c r="B844" i="1"/>
  <c r="B1190" i="1"/>
  <c r="B5220" i="1"/>
  <c r="B5641" i="1"/>
  <c r="B5372" i="1"/>
  <c r="B440" i="1"/>
  <c r="B2116" i="1"/>
  <c r="B2234" i="1"/>
  <c r="B5471" i="1"/>
  <c r="B5160" i="1"/>
  <c r="B3783" i="1"/>
  <c r="B887" i="1"/>
  <c r="B4356" i="1"/>
  <c r="B4419" i="1"/>
  <c r="B5481" i="1"/>
  <c r="B3898" i="1"/>
  <c r="B1792" i="1"/>
  <c r="B2146" i="1"/>
  <c r="B2218" i="1"/>
  <c r="B4206" i="1"/>
  <c r="B4279" i="1"/>
  <c r="B3057" i="1"/>
  <c r="B506" i="1"/>
  <c r="B1984" i="1"/>
  <c r="B317" i="1"/>
  <c r="B4973" i="1"/>
  <c r="B3475" i="1"/>
  <c r="B4316" i="1"/>
  <c r="B5690" i="1"/>
  <c r="B3158" i="1"/>
  <c r="B1421" i="1"/>
  <c r="B795" i="1"/>
  <c r="B4383" i="1"/>
  <c r="B4954" i="1"/>
  <c r="B4233" i="1"/>
  <c r="B3666" i="1"/>
  <c r="B3650" i="1"/>
  <c r="B3649" i="1"/>
  <c r="B4815" i="1"/>
  <c r="B4806" i="1"/>
  <c r="B4076" i="1"/>
  <c r="B660" i="1"/>
  <c r="B5843" i="1"/>
  <c r="B5285" i="1"/>
  <c r="B479" i="1"/>
  <c r="B4704" i="1"/>
  <c r="B1008" i="1"/>
  <c r="B3399" i="1"/>
  <c r="B4374" i="1"/>
  <c r="B3862" i="1"/>
  <c r="B4007" i="1"/>
  <c r="B5174" i="1"/>
  <c r="B4431" i="1"/>
  <c r="B2144" i="1"/>
  <c r="B4592" i="1"/>
  <c r="B5444" i="1"/>
  <c r="B2926" i="1"/>
  <c r="B4131" i="1"/>
  <c r="B910" i="1"/>
  <c r="B2723" i="1"/>
  <c r="B3864" i="1"/>
  <c r="B1132" i="1"/>
  <c r="B3274" i="1"/>
  <c r="B4149" i="1"/>
  <c r="B4474" i="1"/>
  <c r="B1800" i="1"/>
  <c r="B4892" i="1"/>
  <c r="B1783" i="1"/>
  <c r="B5901" i="1"/>
  <c r="B4475" i="1"/>
  <c r="B4462" i="1"/>
  <c r="B3256" i="1"/>
  <c r="B3630" i="1"/>
  <c r="B2115" i="1"/>
  <c r="B4114" i="1"/>
  <c r="B2253" i="1"/>
  <c r="B1316" i="1"/>
  <c r="B3240" i="1"/>
  <c r="B1427" i="1"/>
  <c r="B5564" i="1"/>
  <c r="B3185" i="1"/>
  <c r="B4303" i="1"/>
  <c r="B3493" i="1"/>
  <c r="B1081" i="1"/>
  <c r="B484" i="1"/>
  <c r="B364" i="1"/>
  <c r="B1473" i="1"/>
  <c r="B5634" i="1"/>
  <c r="B4550" i="1"/>
  <c r="B4650" i="1"/>
  <c r="B1730" i="1"/>
  <c r="B898" i="1"/>
  <c r="B3603" i="1"/>
  <c r="B5538" i="1"/>
  <c r="B4702" i="1"/>
  <c r="B1692" i="1"/>
  <c r="B4038" i="1"/>
  <c r="B2610" i="1"/>
  <c r="B4743" i="1"/>
  <c r="B2249" i="1"/>
  <c r="B3612" i="1"/>
  <c r="B4827" i="1"/>
  <c r="B4767" i="1"/>
  <c r="B2201" i="1"/>
  <c r="B5022" i="1"/>
  <c r="B4268" i="1"/>
  <c r="B4373" i="1"/>
  <c r="B4277" i="1"/>
  <c r="B2369" i="1"/>
  <c r="B583" i="1"/>
  <c r="B4267" i="1"/>
  <c r="B4508" i="1"/>
  <c r="B4173" i="1"/>
  <c r="B5317" i="1"/>
  <c r="B3728" i="1"/>
  <c r="B3910" i="1"/>
  <c r="B4325" i="1"/>
  <c r="B3419" i="1"/>
  <c r="B4765" i="1"/>
  <c r="B5042" i="1"/>
  <c r="B5335" i="1"/>
  <c r="B5365" i="1"/>
  <c r="B5669" i="1"/>
  <c r="B2033" i="1"/>
  <c r="B1655" i="1"/>
  <c r="B1826" i="1"/>
  <c r="B5833" i="1"/>
  <c r="B3290" i="1"/>
  <c r="B5324" i="1"/>
  <c r="B1389" i="1"/>
  <c r="B5009" i="1"/>
  <c r="B4692" i="1"/>
  <c r="B2557" i="1"/>
  <c r="B1491" i="1"/>
  <c r="B3962" i="1"/>
  <c r="B3084" i="1"/>
  <c r="B3463" i="1"/>
  <c r="B4523" i="1"/>
  <c r="B2098" i="1"/>
  <c r="B4057" i="1"/>
  <c r="B5037" i="1"/>
  <c r="B1195" i="1"/>
  <c r="B3383" i="1"/>
  <c r="B1771" i="1"/>
  <c r="B5171" i="1"/>
  <c r="B5943" i="1"/>
  <c r="B447" i="1"/>
  <c r="B4791" i="1"/>
  <c r="B2440" i="1"/>
  <c r="B5289" i="1"/>
  <c r="B4858" i="1"/>
  <c r="B2297" i="1"/>
  <c r="B4394" i="1"/>
  <c r="B5991" i="1"/>
  <c r="B4871" i="1"/>
  <c r="B5275" i="1"/>
  <c r="B4263" i="1"/>
  <c r="B3758" i="1"/>
  <c r="B2593" i="1"/>
  <c r="B2256" i="1"/>
  <c r="B5847" i="1"/>
  <c r="B1915" i="1"/>
  <c r="B4845" i="1"/>
  <c r="B3722" i="1"/>
  <c r="B1689" i="1"/>
  <c r="B5310" i="1"/>
  <c r="B5004" i="1"/>
  <c r="B1981" i="1"/>
  <c r="B3982" i="1"/>
  <c r="B3560" i="1"/>
  <c r="B5006" i="1"/>
  <c r="B4044" i="1"/>
  <c r="B4749" i="1"/>
  <c r="B4578" i="1"/>
  <c r="B5695" i="1"/>
  <c r="B1588" i="1"/>
  <c r="B5542" i="1"/>
  <c r="B4078" i="1"/>
  <c r="B1685" i="1"/>
  <c r="B5650" i="1"/>
  <c r="B4189" i="1"/>
  <c r="B965" i="1"/>
  <c r="B5408" i="1"/>
  <c r="B5911" i="1"/>
  <c r="B4940" i="1"/>
  <c r="B3814" i="1"/>
  <c r="B3417" i="1"/>
  <c r="B1456" i="1"/>
  <c r="B3392" i="1"/>
  <c r="B4457" i="1"/>
  <c r="B5740" i="1"/>
  <c r="B4633" i="1"/>
  <c r="B3912" i="1"/>
  <c r="B3366" i="1"/>
  <c r="B5147" i="1"/>
  <c r="B1104" i="1"/>
  <c r="B4793" i="1"/>
  <c r="B5193" i="1"/>
  <c r="B1732" i="1"/>
  <c r="B4558" i="1"/>
  <c r="B548" i="1"/>
  <c r="B5065" i="1"/>
  <c r="B3208" i="1"/>
  <c r="B2212" i="1"/>
  <c r="B4536" i="1"/>
  <c r="B4327" i="1"/>
  <c r="B3902" i="1"/>
  <c r="B921" i="1"/>
  <c r="B1308" i="1"/>
  <c r="B5764" i="1"/>
  <c r="B1425" i="1"/>
  <c r="B501" i="1"/>
  <c r="B3033" i="1"/>
  <c r="B1450" i="1"/>
  <c r="B4168" i="1"/>
  <c r="B3593" i="1"/>
  <c r="B4463" i="1"/>
  <c r="B344" i="1"/>
  <c r="B1949" i="1"/>
  <c r="B4560" i="1"/>
  <c r="B1717" i="1"/>
  <c r="B5267" i="1"/>
  <c r="B4072" i="1"/>
  <c r="B380" i="1"/>
  <c r="B1589" i="1"/>
  <c r="B5738" i="1"/>
  <c r="B5424" i="1"/>
  <c r="B3347" i="1"/>
  <c r="B3672" i="1"/>
  <c r="B1584" i="1"/>
  <c r="B3303" i="1"/>
  <c r="B717" i="1"/>
  <c r="B5890" i="1"/>
  <c r="B1445" i="1"/>
  <c r="B4883" i="1"/>
  <c r="B5721" i="1"/>
  <c r="B5464" i="1"/>
  <c r="B5367" i="1"/>
  <c r="B5199" i="1"/>
  <c r="B4745" i="1"/>
  <c r="B4340" i="1"/>
  <c r="B3234" i="1"/>
  <c r="B3929" i="1"/>
  <c r="B4276" i="1"/>
  <c r="B5205" i="1"/>
  <c r="B4322" i="1"/>
  <c r="B2172" i="1"/>
  <c r="B5114" i="1"/>
  <c r="B4937" i="1"/>
  <c r="B4416" i="1"/>
  <c r="B1055" i="1"/>
  <c r="B1802" i="1"/>
  <c r="B5989" i="1"/>
  <c r="B1194" i="1"/>
  <c r="B3592" i="1"/>
  <c r="B1739" i="1"/>
  <c r="B4690" i="1"/>
  <c r="B5313" i="1"/>
  <c r="B3437" i="1"/>
  <c r="B5795" i="1"/>
  <c r="B4126" i="1"/>
  <c r="B1906" i="1"/>
  <c r="B1164" i="1"/>
  <c r="B4245" i="1"/>
  <c r="B834" i="1"/>
  <c r="B3236" i="1"/>
  <c r="B1953" i="1"/>
  <c r="B1622" i="1"/>
  <c r="B1019" i="1"/>
  <c r="B3467" i="1"/>
  <c r="B3083" i="1"/>
  <c r="B2162" i="1"/>
  <c r="B3696" i="1"/>
  <c r="B5356" i="1"/>
  <c r="B3974" i="1"/>
  <c r="B5656" i="1"/>
  <c r="B2754" i="1"/>
  <c r="B353" i="1"/>
  <c r="B3726" i="1"/>
  <c r="B4742" i="1"/>
  <c r="B3796" i="1"/>
  <c r="B5379" i="1"/>
  <c r="B5773" i="1"/>
  <c r="B1098" i="1"/>
  <c r="B3984" i="1"/>
  <c r="B3776" i="1"/>
  <c r="B3107" i="1"/>
  <c r="B3943" i="1"/>
  <c r="B2224" i="1"/>
  <c r="B2690" i="1"/>
  <c r="B3976" i="1"/>
  <c r="B5115" i="1"/>
  <c r="B615" i="1"/>
  <c r="B3252" i="1"/>
  <c r="B5143" i="1"/>
  <c r="B5051" i="1"/>
  <c r="B5954" i="1"/>
  <c r="B1152" i="1"/>
  <c r="B3844" i="1"/>
  <c r="B5657" i="1"/>
  <c r="B3628" i="1"/>
  <c r="B2534" i="1"/>
  <c r="B3831" i="1"/>
  <c r="B5376" i="1"/>
  <c r="B2502" i="1"/>
  <c r="B489" i="1"/>
  <c r="B3499" i="1"/>
  <c r="B2980" i="1"/>
  <c r="B1664" i="1"/>
  <c r="B4658" i="1"/>
  <c r="B4784" i="1"/>
  <c r="B5718" i="1"/>
  <c r="B5156" i="1"/>
  <c r="B5963" i="1"/>
  <c r="B5974" i="1"/>
  <c r="B1329" i="1"/>
  <c r="B4872" i="1"/>
  <c r="B5405" i="1"/>
  <c r="B5445" i="1"/>
  <c r="B3288" i="1"/>
  <c r="B4543" i="1"/>
  <c r="B4403" i="1"/>
  <c r="B340" i="1"/>
  <c r="B3591" i="1"/>
  <c r="B3138" i="1"/>
  <c r="B3623" i="1"/>
  <c r="B4144" i="1"/>
  <c r="B1657" i="1"/>
  <c r="B3822" i="1"/>
  <c r="B4174" i="1"/>
  <c r="B5247" i="1"/>
  <c r="B3365" i="1"/>
  <c r="B1179" i="1"/>
  <c r="B2609" i="1"/>
  <c r="B5786" i="1"/>
  <c r="B4148" i="1"/>
  <c r="B741" i="1"/>
  <c r="B5806" i="1"/>
  <c r="B5486" i="1"/>
  <c r="B2897" i="1"/>
  <c r="B557" i="1"/>
  <c r="B2634" i="1"/>
  <c r="B3381" i="1"/>
  <c r="B5459" i="1"/>
  <c r="B3661" i="1"/>
  <c r="B3012" i="1"/>
  <c r="B3977" i="1"/>
  <c r="B3549" i="1"/>
  <c r="B5881" i="1"/>
  <c r="B4725" i="1"/>
  <c r="B3209" i="1"/>
  <c r="B698" i="1"/>
  <c r="B963" i="1"/>
  <c r="B3798" i="1"/>
  <c r="B5550" i="1"/>
  <c r="B850" i="1"/>
  <c r="B2277" i="1"/>
  <c r="B4780" i="1"/>
  <c r="B564" i="1"/>
  <c r="B1978" i="1"/>
  <c r="B5129" i="1"/>
  <c r="B609" i="1"/>
  <c r="B3589" i="1"/>
  <c r="B5631" i="1"/>
  <c r="B3299" i="1"/>
  <c r="B3501" i="1"/>
  <c r="B582" i="1"/>
  <c r="B2506" i="1"/>
  <c r="B3717" i="1"/>
  <c r="B595" i="1"/>
  <c r="B4789" i="1"/>
  <c r="B2392" i="1"/>
  <c r="B4338" i="1"/>
  <c r="B1396" i="1"/>
  <c r="B3569" i="1"/>
  <c r="B1056" i="1"/>
  <c r="B857" i="1"/>
  <c r="B5059" i="1"/>
  <c r="B3857" i="1"/>
  <c r="B3986" i="1"/>
  <c r="B4029" i="1"/>
  <c r="B576" i="1"/>
  <c r="B1199" i="1"/>
  <c r="B3786" i="1"/>
  <c r="B4682" i="1"/>
  <c r="B662" i="1"/>
  <c r="B5506" i="1"/>
  <c r="B3574" i="1"/>
  <c r="B1373" i="1"/>
  <c r="B5213" i="1"/>
  <c r="B2219" i="1"/>
  <c r="B5627" i="1"/>
  <c r="B4213" i="1"/>
  <c r="B3567" i="1"/>
  <c r="B1211" i="1"/>
  <c r="B4300" i="1"/>
  <c r="B3587" i="1"/>
  <c r="B5273" i="1"/>
  <c r="B3409" i="1"/>
  <c r="B4028" i="1"/>
  <c r="B4900" i="1"/>
  <c r="B949" i="1"/>
  <c r="B867" i="1"/>
  <c r="B2254" i="1"/>
  <c r="B5849" i="1"/>
  <c r="B535" i="1"/>
  <c r="B3561" i="1"/>
  <c r="B1790" i="1"/>
  <c r="B5280" i="1"/>
  <c r="B3078" i="1"/>
  <c r="B3273" i="1"/>
  <c r="B3507" i="1"/>
  <c r="B4920" i="1"/>
  <c r="B3629" i="1"/>
  <c r="B1449" i="1"/>
  <c r="B1882" i="1"/>
  <c r="B2888" i="1"/>
  <c r="B1545" i="1"/>
  <c r="B1577" i="1"/>
  <c r="B3030" i="1"/>
  <c r="B4032" i="1"/>
  <c r="B3810" i="1"/>
  <c r="B1255" i="1"/>
  <c r="B3818" i="1"/>
  <c r="B1893" i="1"/>
  <c r="B2019" i="1"/>
  <c r="B1298" i="1"/>
  <c r="B1097" i="1"/>
  <c r="B1161" i="1"/>
  <c r="B5463" i="1"/>
  <c r="B5279" i="1"/>
  <c r="B2909" i="1"/>
  <c r="B1496" i="1"/>
  <c r="B3471" i="1"/>
  <c r="B2896" i="1"/>
  <c r="B2439" i="1"/>
  <c r="B1832" i="1"/>
  <c r="B3685" i="1"/>
  <c r="B1772" i="1"/>
  <c r="B2667" i="1"/>
  <c r="B1264" i="1"/>
  <c r="B5845" i="1"/>
  <c r="B2594" i="1"/>
  <c r="B5043" i="1"/>
  <c r="B3823" i="1"/>
  <c r="B1812" i="1"/>
  <c r="B3443" i="1"/>
  <c r="B4573" i="1"/>
  <c r="B3524" i="1"/>
  <c r="B2157" i="1"/>
  <c r="B1585" i="1"/>
  <c r="B4439" i="1"/>
  <c r="B1435" i="1"/>
  <c r="B3622" i="1"/>
  <c r="B3191" i="1"/>
  <c r="B5336" i="1"/>
  <c r="B3618" i="1"/>
  <c r="B5924" i="1"/>
  <c r="B4998" i="1"/>
  <c r="B1382" i="1"/>
  <c r="B382" i="1"/>
  <c r="B4490" i="1"/>
  <c r="B2970" i="1"/>
  <c r="B3319" i="1"/>
  <c r="B1547" i="1"/>
  <c r="B1532" i="1"/>
  <c r="B5036" i="1"/>
  <c r="B2100" i="1"/>
  <c r="B3856" i="1"/>
  <c r="B4677" i="1"/>
  <c r="B5701" i="1"/>
  <c r="B1483" i="1"/>
  <c r="B5473" i="1"/>
  <c r="B5358" i="1"/>
  <c r="B4063" i="1"/>
  <c r="B1966" i="1"/>
  <c r="B5531" i="1"/>
  <c r="B4626" i="1"/>
  <c r="B4064" i="1"/>
  <c r="B797" i="1"/>
  <c r="B3249" i="1"/>
  <c r="B2055" i="1"/>
  <c r="B4248" i="1"/>
  <c r="B4841" i="1"/>
  <c r="B5813" i="1"/>
  <c r="B5955" i="1"/>
  <c r="B2094" i="1"/>
  <c r="B3277" i="1"/>
  <c r="B431" i="1"/>
  <c r="B4272" i="1"/>
  <c r="B904" i="1"/>
  <c r="B1847" i="1"/>
  <c r="B4111" i="1"/>
  <c r="B816" i="1"/>
  <c r="B2619" i="1"/>
  <c r="B5477" i="1"/>
  <c r="B1925" i="1"/>
  <c r="B727" i="1"/>
  <c r="B3442" i="1"/>
  <c r="B4875" i="1"/>
  <c r="B1700" i="1"/>
  <c r="B5381" i="1"/>
  <c r="B4321" i="1"/>
  <c r="B4502" i="1"/>
  <c r="B2898" i="1"/>
  <c r="B3205" i="1"/>
  <c r="B3799" i="1"/>
  <c r="B5309" i="1"/>
  <c r="B3487" i="1"/>
  <c r="B1687" i="1"/>
  <c r="B4250" i="1"/>
  <c r="B3735" i="1"/>
  <c r="B3491" i="1"/>
  <c r="B4209" i="1"/>
  <c r="B1439" i="1"/>
  <c r="B2854" i="1"/>
  <c r="B4123" i="1"/>
  <c r="B1355" i="1"/>
  <c r="B4207" i="1"/>
  <c r="B1943" i="1"/>
  <c r="B4579" i="1"/>
  <c r="B4367" i="1"/>
  <c r="B4138" i="1"/>
  <c r="B4369" i="1"/>
  <c r="B5284" i="1"/>
  <c r="B2012" i="1"/>
  <c r="B3710" i="1"/>
  <c r="B5619" i="1"/>
  <c r="B3794" i="1"/>
  <c r="B4424" i="1"/>
  <c r="B5749" i="1"/>
  <c r="B3295" i="1"/>
  <c r="B5447" i="1"/>
  <c r="B5626" i="1"/>
  <c r="B5680" i="1"/>
  <c r="B979" i="1"/>
  <c r="B1766" i="1"/>
  <c r="B4641" i="1"/>
  <c r="B3110" i="1"/>
  <c r="B4371" i="1"/>
  <c r="B1822" i="1"/>
  <c r="B4293" i="1"/>
  <c r="B3385" i="1"/>
  <c r="B2324" i="1"/>
  <c r="B2210" i="1"/>
  <c r="B4141" i="1"/>
  <c r="B1770" i="1"/>
  <c r="B1013" i="1"/>
  <c r="B5655" i="1"/>
  <c r="B1059" i="1"/>
  <c r="B3800" i="1"/>
  <c r="B3673" i="1"/>
  <c r="B2713" i="1"/>
  <c r="B3391" i="1"/>
  <c r="B2365" i="1"/>
  <c r="B4848" i="1"/>
  <c r="B4130" i="1"/>
  <c r="B4614" i="1"/>
  <c r="B298" i="1"/>
  <c r="B4893" i="1"/>
  <c r="B3351" i="1"/>
  <c r="B5246" i="1"/>
  <c r="B3506" i="1"/>
  <c r="B3320" i="1"/>
  <c r="B5113" i="1"/>
  <c r="B437" i="1"/>
  <c r="B5182" i="1"/>
  <c r="B2562" i="1"/>
  <c r="B5509" i="1"/>
  <c r="B1216" i="1"/>
  <c r="B3200" i="1"/>
  <c r="B5399" i="1"/>
  <c r="B3194" i="1"/>
  <c r="B3729" i="1"/>
  <c r="B2709" i="1"/>
  <c r="B2325" i="1"/>
  <c r="B3938" i="1"/>
  <c r="B3340" i="1"/>
  <c r="B2551" i="1"/>
  <c r="B2488" i="1"/>
  <c r="B2876" i="1"/>
  <c r="B390" i="1"/>
  <c r="B3971" i="1"/>
  <c r="B2042" i="1"/>
  <c r="B3681" i="1"/>
  <c r="B1180" i="1"/>
  <c r="B4285" i="1"/>
  <c r="B1638" i="1"/>
  <c r="B1237" i="1"/>
  <c r="B5490" i="1"/>
  <c r="B5242" i="1"/>
  <c r="B4559" i="1"/>
  <c r="B2495" i="1"/>
  <c r="B379" i="1"/>
  <c r="B3310" i="1"/>
  <c r="B2781" i="1"/>
  <c r="B4230" i="1"/>
  <c r="B5950" i="1"/>
  <c r="B3583" i="1"/>
  <c r="B874" i="1"/>
  <c r="B4772" i="1"/>
  <c r="B2771" i="1"/>
  <c r="B5474" i="1"/>
  <c r="B2589" i="1"/>
  <c r="B4045" i="1"/>
  <c r="B1636" i="1"/>
  <c r="B1331" i="1"/>
  <c r="B4953" i="1"/>
  <c r="B3235" i="1"/>
  <c r="B3037" i="1"/>
  <c r="B2282" i="1"/>
  <c r="B3196" i="1"/>
  <c r="B4943" i="1"/>
  <c r="B2127" i="1"/>
  <c r="B1227" i="1"/>
  <c r="B4760" i="1"/>
  <c r="B2432" i="1"/>
  <c r="B964" i="1"/>
  <c r="B2140" i="1"/>
  <c r="B2988" i="1"/>
  <c r="B5475" i="1"/>
  <c r="B4165" i="1"/>
  <c r="B3615" i="1"/>
  <c r="B1575" i="1"/>
  <c r="B4932" i="1"/>
  <c r="B3958" i="1"/>
  <c r="B1122" i="1"/>
  <c r="B4716" i="1"/>
  <c r="B2649" i="1"/>
  <c r="B5176" i="1"/>
  <c r="B4022" i="1"/>
  <c r="B5919" i="1"/>
  <c r="B4675" i="1"/>
  <c r="B1843" i="1"/>
  <c r="B1144" i="1"/>
  <c r="B5561" i="1"/>
  <c r="B5665" i="1"/>
  <c r="B5888" i="1"/>
  <c r="B2761" i="1"/>
  <c r="B2233" i="1"/>
  <c r="B5076" i="1"/>
  <c r="B4102" i="1"/>
  <c r="B5251" i="1"/>
  <c r="B5766" i="1"/>
  <c r="B5676" i="1"/>
  <c r="B4958" i="1"/>
  <c r="B1074" i="1"/>
  <c r="B2118" i="1"/>
  <c r="B2398" i="1"/>
  <c r="B5099" i="1"/>
  <c r="B5586" i="1"/>
  <c r="B2687" i="1"/>
  <c r="B5446" i="1"/>
  <c r="B3620" i="1"/>
  <c r="B4856" i="1"/>
  <c r="B5825" i="1"/>
  <c r="B1231" i="1"/>
  <c r="B5357" i="1"/>
  <c r="B4987" i="1"/>
  <c r="B5443" i="1"/>
  <c r="B4355" i="1"/>
  <c r="B2766" i="1"/>
  <c r="B5835" i="1"/>
  <c r="B1797" i="1"/>
  <c r="B2535" i="1"/>
  <c r="B5301" i="1"/>
  <c r="B2745" i="1"/>
  <c r="B3415" i="1"/>
  <c r="B2818" i="1"/>
  <c r="B1528" i="1"/>
  <c r="B1557" i="1"/>
  <c r="B1398" i="1"/>
  <c r="B1272" i="1"/>
  <c r="B391" i="1"/>
  <c r="B5793" i="1"/>
  <c r="B429" i="1"/>
  <c r="B4467" i="1"/>
  <c r="B3901" i="1"/>
  <c r="B2865" i="1"/>
  <c r="B5744" i="1"/>
  <c r="B5838" i="1"/>
  <c r="B2206" i="1"/>
  <c r="B1300" i="1"/>
  <c r="B2145" i="1"/>
  <c r="B5030" i="1"/>
  <c r="B5807" i="1"/>
  <c r="B1554" i="1"/>
  <c r="B454" i="1"/>
  <c r="B4802" i="1"/>
  <c r="B5435" i="1"/>
  <c r="B1314" i="1"/>
  <c r="B5787" i="1"/>
  <c r="B3865" i="1"/>
  <c r="B2514" i="1"/>
  <c r="B1275" i="1"/>
  <c r="B2343" i="1"/>
  <c r="B1836" i="1"/>
  <c r="B5261" i="1"/>
  <c r="B4231" i="1"/>
  <c r="B1095" i="1"/>
  <c r="B3739" i="1"/>
  <c r="B4867" i="1"/>
  <c r="B1091" i="1"/>
  <c r="B3498" i="1"/>
  <c r="B5433" i="1"/>
  <c r="B3481" i="1"/>
  <c r="B5087" i="1"/>
  <c r="B5107" i="1"/>
  <c r="B5084" i="1"/>
  <c r="B1313" i="1"/>
  <c r="B4101" i="1"/>
  <c r="B4844" i="1"/>
  <c r="B2078" i="1"/>
  <c r="B4797" i="1"/>
  <c r="B5858" i="1"/>
  <c r="B4404" i="1"/>
  <c r="B1838" i="1"/>
  <c r="B892" i="1"/>
  <c r="B937" i="1"/>
  <c r="B5997" i="1"/>
  <c r="B3509" i="1"/>
  <c r="B405" i="1"/>
  <c r="B2305" i="1"/>
  <c r="B960" i="1"/>
  <c r="B3233" i="1"/>
  <c r="B3586" i="1"/>
  <c r="B5060" i="1"/>
  <c r="B2920" i="1"/>
  <c r="B4696" i="1"/>
  <c r="B5985" i="1"/>
  <c r="B4514" i="1"/>
  <c r="B3342" i="1"/>
  <c r="B3187" i="1"/>
  <c r="B5940" i="1"/>
  <c r="B4720" i="1"/>
  <c r="B3454" i="1"/>
  <c r="B5082" i="1"/>
  <c r="B3847" i="1"/>
  <c r="B3877" i="1"/>
  <c r="B5778" i="1"/>
  <c r="B3926" i="1"/>
  <c r="B1933" i="1"/>
  <c r="B3027" i="1"/>
  <c r="B4296" i="1"/>
  <c r="B3651" i="1"/>
  <c r="B4240" i="1"/>
  <c r="B4412" i="1"/>
  <c r="B3833" i="1"/>
  <c r="B5751" i="1"/>
  <c r="B1788" i="1"/>
  <c r="B359" i="1"/>
  <c r="B5537" i="1"/>
  <c r="B1934" i="1"/>
  <c r="B4929" i="1"/>
  <c r="B930" i="1"/>
  <c r="B5421" i="1"/>
  <c r="B5808" i="1"/>
  <c r="B3448" i="1"/>
  <c r="B3679" i="1"/>
  <c r="B2329" i="1"/>
  <c r="B5140" i="1"/>
  <c r="B3821" i="1"/>
  <c r="B3695" i="1"/>
  <c r="B4913" i="1"/>
  <c r="B2949" i="1"/>
  <c r="B3489" i="1"/>
  <c r="B4882" i="1"/>
  <c r="B2887" i="1"/>
  <c r="B1786" i="1"/>
  <c r="B1568" i="1"/>
  <c r="B496" i="1"/>
  <c r="B1151" i="1"/>
  <c r="B5776" i="1"/>
  <c r="B3029" i="1"/>
  <c r="B3161" i="1"/>
  <c r="B3472" i="1"/>
  <c r="B4547" i="1"/>
  <c r="B3073" i="1"/>
  <c r="B4914" i="1"/>
  <c r="B4396" i="1"/>
  <c r="B590" i="1"/>
  <c r="B2735" i="1"/>
  <c r="B5983" i="1"/>
  <c r="B3532" i="1"/>
  <c r="B5092" i="1"/>
  <c r="B4339" i="1"/>
  <c r="B2169" i="1"/>
  <c r="B1630" i="1"/>
  <c r="B4590" i="1"/>
  <c r="B4657" i="1"/>
  <c r="B5186" i="1"/>
  <c r="B5638" i="1"/>
  <c r="B1839" i="1"/>
  <c r="B3223" i="1"/>
  <c r="B4642" i="1"/>
  <c r="B1175" i="1"/>
  <c r="B4235" i="1"/>
  <c r="B4876" i="1"/>
  <c r="B2777" i="1"/>
  <c r="B1816" i="1"/>
  <c r="B2508" i="1"/>
  <c r="B2038" i="1"/>
  <c r="B1200" i="1"/>
  <c r="B756" i="1"/>
  <c r="B4229" i="1"/>
  <c r="B4107" i="1"/>
  <c r="B3668" i="1"/>
  <c r="B5654" i="1"/>
  <c r="B5642" i="1"/>
  <c r="B2603" i="1"/>
  <c r="B5729" i="1"/>
  <c r="B1746" i="1"/>
  <c r="B5234" i="1"/>
  <c r="B3466" i="1"/>
  <c r="B3551" i="1"/>
  <c r="B5610" i="1"/>
  <c r="B3328" i="1"/>
  <c r="B5214" i="1"/>
  <c r="B5558" i="1"/>
  <c r="B2356" i="1"/>
  <c r="B347" i="1"/>
  <c r="B639" i="1"/>
  <c r="B852" i="1"/>
  <c r="B5684" i="1"/>
  <c r="B808" i="1"/>
  <c r="B638" i="1"/>
  <c r="B5820" i="1"/>
  <c r="B1458" i="1"/>
  <c r="B2406" i="1"/>
  <c r="B1118" i="1"/>
  <c r="B5516" i="1"/>
  <c r="B2265" i="1"/>
  <c r="B5992" i="1"/>
  <c r="B2373" i="1"/>
  <c r="B1102" i="1"/>
  <c r="B1642" i="1"/>
  <c r="B4177" i="1"/>
  <c r="B2460" i="1"/>
  <c r="B908" i="1"/>
  <c r="B5093" i="1"/>
  <c r="B5581" i="1"/>
  <c r="B4977" i="1"/>
  <c r="B722" i="1"/>
  <c r="B5453" i="1"/>
  <c r="B2825" i="1"/>
  <c r="B4443" i="1"/>
  <c r="B453" i="1"/>
  <c r="B1320" i="1"/>
  <c r="B5412" i="1"/>
  <c r="B2858" i="1"/>
  <c r="B4860" i="1"/>
  <c r="B4456" i="1"/>
  <c r="B2136" i="1"/>
  <c r="B1187" i="1"/>
  <c r="B4415" i="1"/>
  <c r="B3553" i="1"/>
  <c r="B3744" i="1"/>
  <c r="B4201" i="1"/>
  <c r="B3397" i="1"/>
  <c r="B1441" i="1"/>
  <c r="B2566" i="1"/>
  <c r="B3056" i="1"/>
  <c r="B1879" i="1"/>
  <c r="B3476" i="1"/>
  <c r="B4118" i="1"/>
  <c r="B4877" i="1"/>
  <c r="B4112" i="1"/>
  <c r="B4826" i="1"/>
  <c r="B4581" i="1"/>
  <c r="B3771" i="1"/>
  <c r="B1865" i="1"/>
  <c r="B2109" i="1"/>
  <c r="B2261" i="1"/>
  <c r="B4823" i="1"/>
  <c r="B981" i="1"/>
  <c r="B881" i="1"/>
  <c r="B5141" i="1"/>
  <c r="B1370" i="1"/>
  <c r="B1232" i="1"/>
  <c r="B2487" i="1"/>
  <c r="B3925" i="1"/>
  <c r="B5161" i="1"/>
  <c r="B3955" i="1"/>
  <c r="B740" i="1"/>
  <c r="B5967" i="1"/>
  <c r="B3291" i="1"/>
  <c r="B1186" i="1"/>
  <c r="B1054" i="1"/>
  <c r="B2273" i="1"/>
  <c r="B4071" i="1"/>
  <c r="B5688" i="1"/>
  <c r="B2235" i="1"/>
  <c r="B1704" i="1"/>
  <c r="B4015" i="1"/>
  <c r="B1640" i="1"/>
  <c r="B5392" i="1"/>
  <c r="B1997" i="1"/>
  <c r="B3155" i="1"/>
  <c r="B463" i="1"/>
  <c r="B3647" i="1"/>
  <c r="B4479" i="1"/>
  <c r="B4812" i="1"/>
  <c r="B3738" i="1"/>
  <c r="B3226" i="1"/>
  <c r="B1261" i="1"/>
  <c r="B3386" i="1"/>
  <c r="B5882" i="1"/>
  <c r="B5198" i="1"/>
  <c r="B4192" i="1"/>
  <c r="B3495" i="1"/>
  <c r="B5117" i="1"/>
  <c r="B2951" i="1"/>
  <c r="B4908" i="1"/>
  <c r="B3169" i="1"/>
  <c r="B2381" i="1"/>
  <c r="B3227" i="1"/>
  <c r="B2813" i="1"/>
  <c r="B4533" i="1"/>
  <c r="B3497" i="1"/>
  <c r="B2262" i="1"/>
  <c r="B4019" i="1"/>
  <c r="B3706" i="1"/>
  <c r="B3825" i="1"/>
  <c r="B493" i="1"/>
  <c r="B4852" i="1"/>
  <c r="B4782" i="1"/>
  <c r="B4799" i="1"/>
  <c r="B3421" i="1"/>
  <c r="B3742" i="1"/>
  <c r="B3335" i="1"/>
  <c r="B1722" i="1"/>
  <c r="B5799" i="1"/>
  <c r="B1045" i="1"/>
  <c r="B2199" i="1"/>
  <c r="B3210" i="1"/>
  <c r="B3333" i="1"/>
  <c r="B1903" i="1"/>
  <c r="B4681" i="1"/>
  <c r="B5720" i="1"/>
  <c r="B1759" i="1"/>
  <c r="B3832" i="1"/>
  <c r="B1974" i="1"/>
  <c r="B3283" i="1"/>
  <c r="B6005" i="1"/>
  <c r="B5283" i="1"/>
  <c r="B397" i="1"/>
  <c r="B3704" i="1"/>
  <c r="B1226" i="1"/>
  <c r="B875" i="1"/>
  <c r="B4473" i="1"/>
  <c r="B5801" i="1"/>
  <c r="B1052" i="1"/>
  <c r="B4366" i="1"/>
  <c r="B485" i="1"/>
  <c r="B4034" i="1"/>
  <c r="B1224" i="1"/>
  <c r="B1605" i="1"/>
  <c r="B2339" i="1"/>
  <c r="B1784" i="1"/>
  <c r="B3772" i="1"/>
  <c r="B5472" i="1"/>
  <c r="B2642" i="1"/>
  <c r="B1287" i="1"/>
  <c r="B5560" i="1"/>
  <c r="B4391" i="1"/>
  <c r="B4430" i="1"/>
  <c r="B5533" i="1"/>
  <c r="B3565" i="1"/>
  <c r="B3845" i="1"/>
  <c r="B2878" i="1"/>
  <c r="B1305" i="1"/>
  <c r="B3768" i="1"/>
  <c r="B5934" i="1"/>
  <c r="B376" i="1"/>
  <c r="B539" i="1"/>
  <c r="B4903" i="1"/>
  <c r="B4818" i="1"/>
  <c r="B5570" i="1"/>
  <c r="B4315" i="1"/>
  <c r="B4764" i="1"/>
  <c r="B1579" i="1"/>
  <c r="B3081" i="1"/>
  <c r="B3855" i="1"/>
  <c r="B3445" i="1"/>
  <c r="B4766" i="1"/>
  <c r="B2211" i="1"/>
  <c r="B3817" i="1"/>
  <c r="B1318" i="1"/>
  <c r="B520" i="1"/>
  <c r="B4545" i="1"/>
  <c r="B1304" i="1"/>
  <c r="B1158" i="1"/>
  <c r="B2628" i="1"/>
  <c r="B5105" i="1"/>
  <c r="B4378" i="1"/>
  <c r="B5611" i="1"/>
  <c r="B398" i="1"/>
  <c r="B3966" i="1"/>
  <c r="B5268" i="1"/>
  <c r="B3759" i="1"/>
  <c r="B1093" i="1"/>
  <c r="B2457" i="1"/>
  <c r="B2995" i="1"/>
  <c r="B1163" i="1"/>
  <c r="B3393" i="1"/>
  <c r="B5196" i="1"/>
  <c r="B5696" i="1"/>
  <c r="B5900" i="1"/>
  <c r="B3641" i="1"/>
  <c r="B3431" i="1"/>
  <c r="B4030" i="1"/>
  <c r="B1898" i="1"/>
  <c r="B4599" i="1"/>
  <c r="B2227" i="1"/>
  <c r="B2850" i="1"/>
  <c r="B546" i="1"/>
  <c r="B5707" i="1"/>
  <c r="B5520" i="1"/>
  <c r="B3263" i="1"/>
  <c r="B3954" i="1"/>
  <c r="B4596" i="1"/>
  <c r="B2788" i="1"/>
  <c r="B2137" i="1"/>
  <c r="B5996" i="1"/>
  <c r="B5120" i="1"/>
  <c r="B1972" i="1"/>
  <c r="B458" i="1"/>
  <c r="B3793" i="1"/>
  <c r="B2587" i="1"/>
  <c r="B4778" i="1"/>
  <c r="B2925" i="1"/>
  <c r="B5041" i="1"/>
  <c r="B569" i="1"/>
  <c r="B621" i="1"/>
  <c r="B2805" i="1"/>
  <c r="B560" i="1"/>
  <c r="B3418" i="1"/>
  <c r="B3645" i="1"/>
  <c r="B3940" i="1"/>
  <c r="B5351" i="1"/>
  <c r="B459" i="1"/>
  <c r="B4855" i="1"/>
  <c r="B3585" i="1"/>
  <c r="B1177" i="1"/>
  <c r="B1092" i="1"/>
  <c r="B1913" i="1"/>
  <c r="B720" i="1"/>
  <c r="B1130" i="1"/>
  <c r="B1583" i="1"/>
  <c r="B2670" i="1"/>
  <c r="B2438" i="1"/>
  <c r="B3530" i="1"/>
  <c r="B4364" i="1"/>
  <c r="B2913" i="1"/>
  <c r="B4773" i="1"/>
  <c r="B4912" i="1"/>
  <c r="B4458" i="1"/>
  <c r="B3714" i="1"/>
  <c r="B4728" i="1"/>
  <c r="B1048" i="1"/>
  <c r="B4494" i="1"/>
  <c r="B5476" i="1"/>
  <c r="B880" i="1"/>
  <c r="B925" i="1"/>
  <c r="B2520" i="1"/>
  <c r="B5276" i="1"/>
  <c r="B3298" i="1"/>
  <c r="B4637" i="1"/>
  <c r="B5391" i="1"/>
  <c r="B5622" i="1"/>
  <c r="B1963" i="1"/>
  <c r="B3408" i="1"/>
  <c r="B491" i="1"/>
  <c r="B5549" i="1"/>
  <c r="B5233" i="1"/>
  <c r="B4810" i="1"/>
  <c r="B5308" i="1"/>
  <c r="B1166" i="1"/>
  <c r="B2772" i="1"/>
  <c r="B3638" i="1"/>
  <c r="B4624" i="1"/>
  <c r="B3513" i="1"/>
  <c r="B3237" i="1"/>
  <c r="B3352" i="1"/>
  <c r="B1337" i="1"/>
  <c r="B1820" i="1"/>
  <c r="B5551" i="1"/>
  <c r="B5066" i="1"/>
  <c r="B433" i="1"/>
  <c r="B2645" i="1"/>
  <c r="B5836" i="1"/>
  <c r="B5969" i="1"/>
  <c r="B5952" i="1"/>
  <c r="B5322" i="1"/>
  <c r="B5414" i="1"/>
  <c r="B5374" i="1"/>
  <c r="B4935" i="1"/>
  <c r="B2946" i="1"/>
  <c r="B302" i="1"/>
  <c r="B1002" i="1"/>
  <c r="B1991" i="1"/>
  <c r="B3690" i="1"/>
  <c r="B1901" i="1"/>
  <c r="B671" i="1"/>
  <c r="B726" i="1"/>
  <c r="B4094" i="1"/>
  <c r="B4228" i="1"/>
  <c r="B1520" i="1"/>
  <c r="B3811" i="1"/>
  <c r="B2625" i="1"/>
  <c r="B538" i="1"/>
  <c r="B5419" i="1"/>
  <c r="B1564" i="1"/>
  <c r="B2135" i="1"/>
  <c r="B3751" i="1"/>
  <c r="B3917" i="1"/>
  <c r="B3280" i="1"/>
  <c r="B5346" i="1"/>
  <c r="B3380" i="1"/>
  <c r="B3839" i="1"/>
  <c r="B3930" i="1"/>
  <c r="B1327" i="1"/>
  <c r="B4999" i="1"/>
  <c r="B2964" i="1"/>
  <c r="B5012" i="1"/>
  <c r="B4957" i="1"/>
  <c r="B3222" i="1"/>
  <c r="B3993" i="1"/>
  <c r="B767" i="1"/>
  <c r="B1251" i="1"/>
  <c r="B4302" i="1"/>
  <c r="B4298" i="1"/>
  <c r="B5197" i="1"/>
  <c r="B2656" i="1"/>
  <c r="B661" i="1"/>
  <c r="B5007" i="1"/>
  <c r="B4418" i="1"/>
  <c r="B406" i="1"/>
  <c r="B5159" i="1"/>
  <c r="B2533" i="1"/>
  <c r="B1876" i="1"/>
  <c r="B5810" i="1"/>
  <c r="B315" i="1"/>
  <c r="B2467" i="1"/>
  <c r="B5373" i="1"/>
  <c r="B2465" i="1"/>
  <c r="B578" i="1"/>
  <c r="B3533" i="1"/>
  <c r="B3605" i="1"/>
  <c r="B3691" i="1"/>
  <c r="B1566" i="1"/>
  <c r="B3947" i="1"/>
  <c r="B5265" i="1"/>
  <c r="B2521" i="1"/>
  <c r="B1453" i="1"/>
  <c r="B5809" i="1"/>
  <c r="B4569" i="1"/>
  <c r="B4162" i="1"/>
  <c r="B3480" i="1"/>
  <c r="B5596" i="1"/>
  <c r="B5237" i="1"/>
  <c r="B5763" i="1"/>
  <c r="B5745" i="1"/>
  <c r="B1090" i="1"/>
  <c r="B3534" i="1"/>
  <c r="B1198" i="1"/>
  <c r="B5902" i="1"/>
  <c r="B2526" i="1"/>
  <c r="B2435" i="1"/>
  <c r="B3032" i="1"/>
  <c r="B4493" i="1"/>
  <c r="B3975" i="1"/>
  <c r="B2259" i="1"/>
  <c r="B1524" i="1"/>
  <c r="B5867" i="1"/>
  <c r="B6004" i="1"/>
  <c r="B3611" i="1"/>
  <c r="B4246" i="1"/>
  <c r="B2742" i="1"/>
  <c r="B2124" i="1"/>
  <c r="B1709" i="1"/>
  <c r="B5163" i="1"/>
  <c r="B5554" i="1"/>
  <c r="B4124" i="1"/>
  <c r="B2150" i="1"/>
  <c r="B2446" i="1"/>
  <c r="B912" i="1"/>
  <c r="B3711" i="1"/>
  <c r="B5318" i="1"/>
  <c r="B5711" i="1"/>
  <c r="B5758" i="1"/>
  <c r="B2125" i="1"/>
  <c r="B1240" i="1"/>
  <c r="B1087" i="1"/>
  <c r="B5232" i="1"/>
  <c r="B5411" i="1"/>
  <c r="B755" i="1"/>
  <c r="B2784" i="1"/>
  <c r="B1443" i="1"/>
  <c r="B996" i="1"/>
  <c r="B2060" i="1"/>
  <c r="B1034" i="1"/>
  <c r="B4647" i="1"/>
  <c r="B2874" i="1"/>
  <c r="B2658" i="1"/>
  <c r="B2734" i="1"/>
  <c r="B1356" i="1"/>
  <c r="B334" i="1"/>
  <c r="B1433" i="1"/>
  <c r="B4158" i="1"/>
  <c r="B1706" i="1"/>
  <c r="B4659" i="1"/>
  <c r="B266" i="1"/>
  <c r="B3302" i="1"/>
  <c r="B5389" i="1"/>
  <c r="B5086" i="1"/>
  <c r="B5530" i="1"/>
  <c r="B3557" i="1"/>
  <c r="B1280" i="1"/>
  <c r="B3727" i="1"/>
  <c r="B2279" i="1"/>
  <c r="B2919" i="1"/>
  <c r="B3564" i="1"/>
  <c r="B971" i="1"/>
  <c r="B124" i="1"/>
  <c r="B1123" i="1"/>
  <c r="B2627" i="1"/>
  <c r="B2710" i="1"/>
  <c r="B3527" i="1"/>
  <c r="B1806" i="1"/>
  <c r="B3229" i="1"/>
  <c r="B1527" i="1"/>
  <c r="B2809" i="1"/>
  <c r="B4984" i="1"/>
  <c r="B2708" i="1"/>
  <c r="B2053" i="1"/>
  <c r="B2840" i="1"/>
  <c r="B3179" i="1"/>
  <c r="B1334" i="1"/>
  <c r="B1040" i="1"/>
  <c r="B697" i="1"/>
  <c r="B2674" i="1"/>
  <c r="B3550" i="1"/>
  <c r="B4425" i="1"/>
  <c r="B5121" i="1"/>
  <c r="B4611" i="1"/>
  <c r="B4100" i="1"/>
  <c r="B3028" i="1"/>
  <c r="B1228" i="1"/>
  <c r="B1328" i="1"/>
  <c r="B2747" i="1"/>
  <c r="B4218" i="1"/>
  <c r="B5165" i="1"/>
  <c r="B2632" i="1"/>
  <c r="B1594" i="1"/>
  <c r="B1534" i="1"/>
  <c r="B5158" i="1"/>
  <c r="B5178" i="1"/>
  <c r="B1747" i="1"/>
  <c r="B239" i="1"/>
  <c r="B5045" i="1"/>
  <c r="B5052" i="1"/>
  <c r="B5970" i="1"/>
  <c r="B2062" i="1"/>
  <c r="B4839" i="1"/>
  <c r="B3130" i="1"/>
  <c r="B236" i="1"/>
  <c r="B4698" i="1"/>
  <c r="B120" i="1"/>
  <c r="B2077" i="1"/>
  <c r="B4154" i="1"/>
  <c r="B4253" i="1"/>
  <c r="B4554" i="1"/>
  <c r="B3642" i="1"/>
  <c r="B4105" i="1"/>
  <c r="B3863" i="1"/>
  <c r="B2415" i="1"/>
  <c r="B1713" i="1"/>
  <c r="B5525" i="1"/>
  <c r="B1067" i="1"/>
  <c r="B3017" i="1"/>
  <c r="B2614" i="1"/>
  <c r="B2697" i="1"/>
  <c r="B5905" i="1"/>
  <c r="B3211" i="1"/>
  <c r="B1701" i="1"/>
  <c r="B5678" i="1"/>
  <c r="B835" i="1"/>
  <c r="B5518" i="1"/>
  <c r="B998" i="1"/>
  <c r="B240" i="1"/>
  <c r="B2824" i="1"/>
  <c r="B1361" i="1"/>
  <c r="B5302" i="1"/>
  <c r="B3050" i="1"/>
  <c r="B3995" i="1"/>
  <c r="B1103" i="1"/>
  <c r="B342" i="1"/>
  <c r="B2303" i="1"/>
  <c r="B483" i="1"/>
  <c r="B1514" i="1"/>
  <c r="B3536" i="1"/>
  <c r="B869" i="1"/>
  <c r="B574" i="1"/>
  <c r="B3598" i="1"/>
  <c r="B775" i="1"/>
  <c r="B2308" i="1"/>
  <c r="B2958" i="1"/>
  <c r="B436" i="1"/>
  <c r="B5155" i="1"/>
  <c r="B5157" i="1"/>
  <c r="B1395" i="1"/>
  <c r="B3643" i="1"/>
  <c r="B2418" i="1"/>
  <c r="B650" i="1"/>
  <c r="B1633" i="1"/>
  <c r="B5018" i="1"/>
  <c r="B1867" i="1"/>
  <c r="B2726" i="1"/>
  <c r="B3895" i="1"/>
  <c r="B5016" i="1"/>
  <c r="B188" i="1"/>
  <c r="B742" i="1"/>
  <c r="B2600" i="1"/>
  <c r="B3619" i="1"/>
  <c r="B4498" i="1"/>
  <c r="B3450" i="1"/>
  <c r="B668" i="1"/>
  <c r="B1886" i="1"/>
  <c r="B3959" i="1"/>
  <c r="B4350" i="1"/>
  <c r="B1482" i="1"/>
  <c r="B5380" i="1"/>
  <c r="B4687" i="1"/>
  <c r="B286" i="1"/>
  <c r="B1139" i="1"/>
  <c r="B1184" i="1"/>
  <c r="B4343" i="1"/>
  <c r="B3116" i="1"/>
  <c r="B2402" i="1"/>
  <c r="B1007" i="1"/>
  <c r="B4683" i="1"/>
  <c r="B2807" i="1"/>
  <c r="B5770" i="1"/>
  <c r="B2679" i="1"/>
  <c r="B2879" i="1"/>
  <c r="B2425" i="1"/>
  <c r="B238" i="1"/>
  <c r="B3678" i="1"/>
  <c r="B4176" i="1"/>
  <c r="B4184" i="1"/>
  <c r="B3942" i="1"/>
  <c r="B2877" i="1"/>
  <c r="B3378" i="1"/>
  <c r="B5747" i="1"/>
  <c r="B1775" i="1"/>
  <c r="B3828" i="1"/>
  <c r="B2986" i="1"/>
  <c r="B3201" i="1"/>
  <c r="B4520" i="1"/>
  <c r="B1930" i="1"/>
  <c r="B2110" i="1"/>
  <c r="B5964" i="1"/>
  <c r="B5726" i="1"/>
  <c r="B673" i="1"/>
  <c r="B3219" i="1"/>
  <c r="B316" i="1"/>
  <c r="B5388" i="1"/>
  <c r="B4359" i="1"/>
  <c r="B2706" i="1"/>
  <c r="B4074" i="1"/>
  <c r="B269" i="1"/>
  <c r="B3608" i="1"/>
  <c r="B2780" i="1"/>
  <c r="B1399" i="1"/>
  <c r="B3878" i="1"/>
  <c r="B4244" i="1"/>
  <c r="B5266" i="1"/>
  <c r="B2271" i="1"/>
  <c r="B654" i="1"/>
  <c r="B6003" i="1"/>
  <c r="B495" i="1"/>
  <c r="B2238" i="1"/>
  <c r="B3843" i="1"/>
  <c r="B3797" i="1"/>
  <c r="B1138" i="1"/>
  <c r="B1985" i="1"/>
  <c r="B900" i="1"/>
  <c r="B1626" i="1"/>
  <c r="B5503" i="1"/>
  <c r="B899" i="1"/>
  <c r="B1051" i="1"/>
  <c r="B573" i="1"/>
  <c r="B1647" i="1"/>
  <c r="B1463" i="1"/>
  <c r="B5073" i="1"/>
  <c r="B5891" i="1"/>
  <c r="B2318" i="1"/>
  <c r="B4537" i="1"/>
  <c r="B2245" i="1"/>
  <c r="B3049" i="1"/>
  <c r="B999" i="1"/>
  <c r="B5785" i="1"/>
  <c r="B1561" i="1"/>
  <c r="B2079" i="1"/>
  <c r="B3009" i="1"/>
  <c r="B708" i="1"/>
  <c r="B637" i="1"/>
  <c r="B2388" i="1"/>
  <c r="B603" i="1"/>
  <c r="B2455" i="1"/>
  <c r="B5049" i="1"/>
  <c r="B5544" i="1"/>
  <c r="B5742" i="1"/>
  <c r="B2870" i="1"/>
  <c r="B629" i="1"/>
  <c r="B4223" i="1"/>
  <c r="B541" i="1"/>
  <c r="B4655" i="1"/>
  <c r="B2573" i="1"/>
  <c r="B4917" i="1"/>
  <c r="B2089" i="1"/>
  <c r="B4955" i="1"/>
  <c r="B2717" i="1"/>
  <c r="B5401" i="1"/>
  <c r="B4331" i="1"/>
  <c r="B4139" i="1"/>
  <c r="B4491" i="1"/>
  <c r="B5014" i="1"/>
  <c r="B2255" i="1"/>
  <c r="B4531" i="1"/>
  <c r="B104" i="1"/>
  <c r="B4911" i="1"/>
  <c r="B4360" i="1"/>
  <c r="B1365" i="1"/>
  <c r="B5842" i="1"/>
  <c r="B5482" i="1"/>
  <c r="B3699" i="1"/>
  <c r="B3723" i="1"/>
  <c r="B184" i="1"/>
  <c r="B2519" i="1"/>
  <c r="B3101" i="1"/>
  <c r="B817" i="1"/>
  <c r="B4221" i="1"/>
  <c r="B2719" i="1"/>
  <c r="B5908" i="1"/>
  <c r="B2872" i="1"/>
  <c r="B5567" i="1"/>
  <c r="B4800" i="1"/>
  <c r="B5897" i="1"/>
  <c r="B5480" i="1"/>
  <c r="B841" i="1"/>
  <c r="B806" i="1"/>
  <c r="B765" i="1"/>
  <c r="B5679" i="1"/>
  <c r="B4310" i="1"/>
  <c r="B3213" i="1"/>
  <c r="B2979" i="1"/>
  <c r="B4086" i="1"/>
  <c r="B4222" i="1"/>
  <c r="B3326" i="1"/>
  <c r="B4504" i="1"/>
  <c r="B3388" i="1"/>
  <c r="B205" i="1"/>
  <c r="B5094" i="1"/>
  <c r="B4936" i="1"/>
  <c r="B1960" i="1"/>
  <c r="B5798" i="1"/>
  <c r="B3988" i="1"/>
  <c r="B5088" i="1"/>
  <c r="B5930" i="1"/>
  <c r="B3667" i="1"/>
  <c r="B2073" i="1"/>
  <c r="B3043" i="1"/>
  <c r="B879" i="1"/>
  <c r="B2204" i="1"/>
  <c r="B993" i="1"/>
  <c r="B5502" i="1"/>
  <c r="B758" i="1"/>
  <c r="B1201" i="1"/>
  <c r="B655" i="1"/>
  <c r="B4499" i="1"/>
  <c r="B1492" i="1"/>
  <c r="B2942" i="1"/>
  <c r="B4099" i="1"/>
  <c r="B3860" i="1"/>
  <c r="B3890" i="1"/>
  <c r="B177" i="1"/>
  <c r="B4771" i="1"/>
  <c r="B5569" i="1"/>
  <c r="B4638" i="1"/>
  <c r="B2585" i="1"/>
  <c r="B5153" i="1"/>
  <c r="B2242" i="1"/>
  <c r="B988" i="1"/>
  <c r="B1729" i="1"/>
  <c r="B5450" i="1"/>
  <c r="B3456" i="1"/>
  <c r="B5219" i="1"/>
  <c r="B1065" i="1"/>
  <c r="B4242" i="1"/>
  <c r="B4091" i="1"/>
  <c r="B5352" i="1"/>
  <c r="B3957" i="1"/>
  <c r="B1760" i="1"/>
  <c r="B2035" i="1"/>
  <c r="B2954" i="1"/>
  <c r="B537" i="1"/>
  <c r="B2152" i="1"/>
  <c r="B2817" i="1"/>
  <c r="B693" i="1"/>
  <c r="B3835" i="1"/>
  <c r="B3693" i="1"/>
  <c r="B836" i="1"/>
  <c r="B1517" i="1"/>
  <c r="B2517" i="1"/>
  <c r="B2108" i="1"/>
  <c r="B647" i="1"/>
  <c r="B5559" i="1"/>
  <c r="B1757" i="1"/>
  <c r="B2063" i="1"/>
  <c r="B4770" i="1"/>
  <c r="B4092" i="1"/>
  <c r="B1294" i="1"/>
  <c r="B3396" i="1"/>
  <c r="B5238" i="1"/>
  <c r="B2114" i="1"/>
  <c r="B293" i="1"/>
  <c r="B4933" i="1"/>
  <c r="B5730" i="1"/>
  <c r="B736" i="1"/>
  <c r="B5031" i="1"/>
  <c r="B891" i="1"/>
  <c r="B4382" i="1"/>
  <c r="B3820" i="1"/>
  <c r="B858" i="1"/>
  <c r="B4380" i="1"/>
  <c r="B1374" i="1"/>
  <c r="B628" i="1"/>
  <c r="B5575" i="1"/>
  <c r="B5027" i="1"/>
  <c r="B649" i="1"/>
  <c r="B5439" i="1"/>
  <c r="B5949" i="1"/>
  <c r="B710" i="1"/>
  <c r="B4157" i="1"/>
  <c r="B198" i="1"/>
  <c r="B3379" i="1"/>
  <c r="B3221" i="1"/>
  <c r="B281" i="1"/>
  <c r="B2567" i="1"/>
  <c r="B2864" i="1"/>
  <c r="B3632" i="1"/>
  <c r="B651" i="1"/>
  <c r="B532" i="1"/>
  <c r="B794" i="1"/>
  <c r="B2711" i="1"/>
  <c r="B4746" i="1"/>
  <c r="B5555" i="1"/>
  <c r="B4278" i="1"/>
  <c r="B5519" i="1"/>
  <c r="B4779" i="1"/>
  <c r="B2583" i="1"/>
  <c r="B106" i="1"/>
  <c r="B5590" i="1"/>
  <c r="B235" i="1"/>
  <c r="B4251" i="1"/>
  <c r="B1789" i="1"/>
  <c r="B5584" i="1"/>
  <c r="B1652" i="1"/>
  <c r="B992" i="1"/>
  <c r="B3460" i="1"/>
  <c r="B3774" i="1"/>
  <c r="B5258" i="1"/>
  <c r="B681" i="1"/>
  <c r="B2429" i="1"/>
  <c r="B4915" i="1"/>
  <c r="B3422" i="1"/>
  <c r="B1472" i="1"/>
  <c r="B3922" i="1"/>
  <c r="B4109" i="1"/>
  <c r="B1993" i="1"/>
  <c r="B1299" i="1"/>
  <c r="B427" i="1"/>
  <c r="B4351" i="1"/>
  <c r="B377" i="1"/>
  <c r="B712" i="1"/>
  <c r="B3520" i="1"/>
  <c r="B2464" i="1"/>
  <c r="B5812" i="1"/>
  <c r="B4186" i="1"/>
  <c r="B5848" i="1"/>
  <c r="B2577" i="1"/>
  <c r="B2823" i="1"/>
  <c r="B600" i="1"/>
  <c r="B5296" i="1"/>
  <c r="B3873" i="1"/>
  <c r="B2270" i="1"/>
  <c r="B1296" i="1"/>
  <c r="B1362" i="1"/>
  <c r="B4993" i="1"/>
  <c r="B4639" i="1"/>
  <c r="B1035" i="1"/>
  <c r="B1347" i="1"/>
  <c r="B4857" i="1"/>
  <c r="B2605" i="1"/>
  <c r="B5595" i="1"/>
  <c r="B3095" i="1"/>
  <c r="B1603" i="1"/>
  <c r="B4256" i="1"/>
  <c r="B3264" i="1"/>
  <c r="B1567" i="1"/>
  <c r="B5484" i="1"/>
  <c r="B3404" i="1"/>
  <c r="B4420" i="1"/>
  <c r="B5928" i="1"/>
  <c r="B3197" i="1"/>
  <c r="B170" i="1"/>
  <c r="B4455" i="1"/>
  <c r="B2427" i="1"/>
  <c r="B1643" i="1"/>
  <c r="B2579" i="1"/>
  <c r="B5827" i="1"/>
  <c r="B3837" i="1"/>
  <c r="B4421" i="1"/>
  <c r="B5647" i="1"/>
  <c r="B1239" i="1"/>
  <c r="B2559" i="1"/>
  <c r="B3781" i="1"/>
  <c r="B4516" i="1"/>
  <c r="B4619" i="1"/>
  <c r="B2422" i="1"/>
  <c r="B4566" i="1"/>
  <c r="B2416" i="1"/>
  <c r="B2069" i="1"/>
  <c r="B1538" i="1"/>
  <c r="B137" i="1"/>
  <c r="B1219" i="1"/>
  <c r="B5200" i="1"/>
  <c r="B3002" i="1"/>
  <c r="B3989" i="1"/>
  <c r="B2768" i="1"/>
  <c r="B5257" i="1"/>
  <c r="B5260" i="1"/>
  <c r="B4927" i="1"/>
  <c r="B1447" i="1"/>
  <c r="B4891" i="1"/>
  <c r="B2581" i="1"/>
  <c r="B2623" i="1"/>
  <c r="B5539" i="1"/>
  <c r="B1858" i="1"/>
  <c r="B3604" i="1"/>
  <c r="B2570" i="1"/>
  <c r="B1823" i="1"/>
  <c r="B503" i="1"/>
  <c r="B4135" i="1"/>
  <c r="B4447" i="1"/>
  <c r="B4663" i="1"/>
  <c r="B3145" i="1"/>
  <c r="B1921" i="1"/>
  <c r="B4040" i="1"/>
  <c r="B2868" i="1"/>
  <c r="B4016" i="1"/>
  <c r="B2496" i="1"/>
  <c r="B1154" i="1"/>
  <c r="B1970" i="1"/>
  <c r="B5760" i="1"/>
  <c r="B1971" i="1"/>
  <c r="B1542" i="1"/>
  <c r="B6002" i="1"/>
  <c r="B4368" i="1"/>
  <c r="B5672" i="1"/>
  <c r="B2547" i="1"/>
  <c r="B729" i="1"/>
  <c r="B5913" i="1"/>
  <c r="B4964" i="1"/>
  <c r="B410" i="1"/>
  <c r="B1494" i="1"/>
  <c r="B2956" i="1"/>
  <c r="B3838" i="1"/>
  <c r="B5521" i="1"/>
  <c r="B4991" i="1"/>
  <c r="B3682" i="1"/>
  <c r="B3861" i="1"/>
  <c r="B4734" i="1"/>
  <c r="B4824" i="1"/>
  <c r="B1536" i="1"/>
  <c r="B196" i="1"/>
  <c r="B4588" i="1"/>
  <c r="B1863" i="1"/>
  <c r="B2313" i="1"/>
  <c r="B3659" i="1"/>
  <c r="B811" i="1"/>
  <c r="B5286" i="1"/>
  <c r="B2692" i="1"/>
  <c r="B5706" i="1"/>
  <c r="B4708" i="1"/>
  <c r="B4051" i="1"/>
  <c r="B3296" i="1"/>
  <c r="B3791" i="1"/>
  <c r="B4270" i="1"/>
  <c r="B418" i="1"/>
  <c r="B801" i="1"/>
  <c r="B2875" i="1"/>
  <c r="B1293" i="1"/>
  <c r="B107" i="1"/>
  <c r="B1929" i="1"/>
  <c r="B2187" i="1"/>
  <c r="B387" i="1"/>
  <c r="B4759" i="1"/>
  <c r="B4006" i="1"/>
  <c r="B5577" i="1"/>
  <c r="B5580" i="1"/>
  <c r="B3013" i="1"/>
  <c r="B1031" i="1"/>
  <c r="B1624" i="1"/>
  <c r="B837" i="1"/>
  <c r="B516" i="1"/>
  <c r="B1683" i="1"/>
  <c r="B2762" i="1"/>
  <c r="B3700" i="1"/>
  <c r="B2814" i="1"/>
  <c r="B5235" i="1"/>
  <c r="B5330" i="1"/>
  <c r="B4465" i="1"/>
  <c r="B4923" i="1"/>
  <c r="B1634" i="1"/>
  <c r="B2978" i="1"/>
  <c r="B4907" i="1"/>
  <c r="B3767" i="1"/>
  <c r="B5271" i="1"/>
  <c r="B1560" i="1"/>
  <c r="B5915" i="1"/>
  <c r="B2724" i="1"/>
  <c r="B4804" i="1"/>
  <c r="B2088" i="1"/>
  <c r="B1083" i="1"/>
  <c r="B4151" i="1"/>
  <c r="B894" i="1"/>
  <c r="B3447" i="1"/>
  <c r="B1670" i="1"/>
  <c r="B1191" i="1"/>
  <c r="B1147" i="1"/>
  <c r="B2058" i="1"/>
  <c r="B4393" i="1"/>
  <c r="B1141" i="1"/>
  <c r="B3341" i="1"/>
  <c r="B2067" i="1"/>
  <c r="B4726" i="1"/>
  <c r="B1407" i="1"/>
  <c r="B2552" i="1"/>
  <c r="B2480" i="1"/>
  <c r="B452" i="1"/>
  <c r="B3601" i="1"/>
  <c r="B3994" i="1"/>
  <c r="B1741" i="1"/>
  <c r="B3999" i="1"/>
  <c r="B5145" i="1"/>
  <c r="B3518" i="1"/>
  <c r="B4887" i="1"/>
  <c r="B3321" i="1"/>
  <c r="B4170" i="1"/>
  <c r="B4631" i="1"/>
  <c r="B4068" i="1"/>
  <c r="B3257" i="1"/>
  <c r="B4363" i="1"/>
  <c r="B970" i="1"/>
  <c r="B5416" i="1"/>
  <c r="B4629" i="1"/>
  <c r="B2409" i="1"/>
  <c r="B5415" i="1"/>
  <c r="B2283" i="1"/>
  <c r="B3225" i="1"/>
  <c r="B4254" i="1"/>
  <c r="B1470" i="1"/>
  <c r="B989" i="1"/>
  <c r="B5394" i="1"/>
  <c r="B2217" i="1"/>
  <c r="B4449" i="1"/>
  <c r="B827" i="1"/>
  <c r="B1607" i="1"/>
  <c r="B2945" i="1"/>
  <c r="B4763" i="1"/>
  <c r="B2181" i="1"/>
  <c r="B3515" i="1"/>
  <c r="B3853" i="1"/>
  <c r="B4529" i="1"/>
  <c r="B3071" i="1"/>
  <c r="B3559" i="1"/>
  <c r="B5788" i="1"/>
  <c r="B2646" i="1"/>
  <c r="B1703" i="1"/>
  <c r="B3807" i="1"/>
  <c r="B1410" i="1"/>
  <c r="B3293" i="1"/>
  <c r="B3375" i="1"/>
  <c r="B4838" i="1"/>
  <c r="B3353" i="1"/>
  <c r="B4389" i="1"/>
  <c r="B4990" i="1"/>
  <c r="B4832" i="1"/>
  <c r="B243" i="1"/>
  <c r="B2092" i="1"/>
  <c r="B2561" i="1"/>
  <c r="B3635" i="1"/>
  <c r="B3140" i="1"/>
  <c r="B4361" i="1"/>
  <c r="B4571" i="1"/>
  <c r="B3453" i="1"/>
  <c r="B669" i="1"/>
  <c r="B664" i="1"/>
  <c r="B5781" i="1"/>
  <c r="B3893" i="1"/>
  <c r="B5458" i="1"/>
  <c r="B2835" i="1"/>
  <c r="B3921" i="1"/>
  <c r="B2752" i="1"/>
  <c r="B5221" i="1"/>
  <c r="B200" i="1"/>
  <c r="B2250" i="1"/>
  <c r="B2074" i="1"/>
  <c r="B3854" i="1"/>
  <c r="B4909" i="1"/>
  <c r="B1379" i="1"/>
  <c r="B5044" i="1"/>
  <c r="B3517" i="1"/>
  <c r="B2641" i="1"/>
  <c r="B4241" i="1"/>
  <c r="B732" i="1"/>
  <c r="B4261" i="1"/>
  <c r="B831" i="1"/>
  <c r="B2007" i="1"/>
  <c r="B151" i="1"/>
  <c r="B5002" i="1"/>
  <c r="B922" i="1"/>
  <c r="B769" i="1"/>
  <c r="B1029" i="1"/>
  <c r="B612" i="1"/>
  <c r="B950" i="1"/>
  <c r="B2222" i="1"/>
  <c r="B1282" i="1"/>
  <c r="B3842" i="1"/>
  <c r="B739" i="1"/>
  <c r="B4454" i="1"/>
  <c r="B2733" i="1"/>
  <c r="B5961" i="1"/>
  <c r="B2698" i="1"/>
  <c r="B3469" i="1"/>
  <c r="B5822" i="1"/>
  <c r="B4062" i="1"/>
  <c r="B608" i="1"/>
  <c r="B1041" i="1"/>
  <c r="B5976" i="1"/>
  <c r="B2260" i="1"/>
  <c r="B5248" i="1"/>
  <c r="B2598" i="1"/>
  <c r="B3104" i="1"/>
  <c r="B1145" i="1"/>
  <c r="B4693" i="1"/>
  <c r="B1964" i="1"/>
  <c r="B1101" i="1"/>
  <c r="B5605" i="1"/>
  <c r="B1870" i="1"/>
  <c r="B5541" i="1"/>
  <c r="B5339" i="1"/>
  <c r="B2669" i="1"/>
  <c r="B5802" i="1"/>
  <c r="B2684" i="1"/>
  <c r="B5305" i="1"/>
  <c r="B1244" i="1"/>
  <c r="B4622" i="1"/>
  <c r="B4709" i="1"/>
  <c r="B3640" i="1"/>
  <c r="B2490" i="1"/>
  <c r="B2031" i="1"/>
  <c r="B5430" i="1"/>
  <c r="B2681" i="1"/>
  <c r="B512" i="1"/>
  <c r="B5511" i="1"/>
  <c r="B5644" i="1"/>
  <c r="B5861" i="1"/>
  <c r="B4287" i="1"/>
  <c r="B3189" i="1"/>
  <c r="B3602" i="1"/>
  <c r="B4284" i="1"/>
  <c r="B1650" i="1"/>
  <c r="B4713" i="1"/>
  <c r="B2086" i="1"/>
  <c r="B2366" i="1"/>
  <c r="B3836" i="1"/>
  <c r="B5589" i="1"/>
  <c r="B1238" i="1"/>
  <c r="B2196" i="1"/>
  <c r="B1342" i="1"/>
  <c r="B3060" i="1"/>
  <c r="B4216" i="1"/>
  <c r="B5034" i="1"/>
  <c r="B5194" i="1"/>
  <c r="B1213" i="1"/>
  <c r="B5364" i="1"/>
  <c r="B4636" i="1"/>
  <c r="B3740" i="1"/>
  <c r="B4996" i="1"/>
  <c r="B5517" i="1"/>
  <c r="B197" i="1"/>
  <c r="B1116" i="1"/>
  <c r="B2636" i="1"/>
  <c r="B2472" i="1"/>
  <c r="B4402" i="1"/>
  <c r="B208" i="1"/>
  <c r="B3485" i="1"/>
  <c r="B2299" i="1"/>
  <c r="B2715" i="1"/>
  <c r="B2376" i="1"/>
  <c r="B2466" i="1"/>
  <c r="B3883" i="1"/>
  <c r="B3956" i="1"/>
  <c r="B4035" i="1"/>
  <c r="B2907" i="1"/>
  <c r="B5294" i="1"/>
  <c r="B3174" i="1"/>
  <c r="B4662" i="1"/>
  <c r="B2548" i="1"/>
  <c r="B2960" i="1"/>
  <c r="B1015" i="1"/>
  <c r="B633" i="1"/>
  <c r="B399" i="1"/>
  <c r="B1507" i="1"/>
  <c r="B2862" i="1"/>
  <c r="B4583" i="1"/>
  <c r="B1026" i="1"/>
  <c r="B634" i="1"/>
  <c r="B1661" i="1"/>
  <c r="B3115" i="1"/>
  <c r="B1359" i="1"/>
  <c r="B4541" i="1"/>
  <c r="B3245" i="1"/>
  <c r="B635" i="1"/>
  <c r="B5687" i="1"/>
  <c r="B1992" i="1"/>
  <c r="B1387" i="1"/>
  <c r="B1024" i="1"/>
  <c r="B4330" i="1"/>
  <c r="B2629" i="1"/>
  <c r="B1174" i="1"/>
  <c r="B934" i="1"/>
  <c r="B5907" i="1"/>
  <c r="B3707" i="1"/>
  <c r="B1112" i="1"/>
  <c r="B1829" i="1"/>
  <c r="B3300" i="1"/>
  <c r="B1159" i="1"/>
  <c r="B4481" i="1"/>
  <c r="B1814" i="1"/>
  <c r="B4120" i="1"/>
  <c r="B3089" i="1"/>
  <c r="B2215" i="1"/>
  <c r="B4282" i="1"/>
  <c r="B1658" i="1"/>
  <c r="B3610" i="1"/>
  <c r="B1309" i="1"/>
  <c r="B543" i="1"/>
  <c r="B4555" i="1"/>
  <c r="B5366" i="1"/>
  <c r="B4904" i="1"/>
  <c r="B5929" i="1"/>
  <c r="B4469" i="1"/>
  <c r="B928" i="1"/>
  <c r="B802" i="1"/>
  <c r="B3154" i="1"/>
  <c r="B4053" i="1"/>
  <c r="B2798" i="1"/>
  <c r="B3143" i="1"/>
  <c r="B604" i="1"/>
  <c r="B3674" i="1"/>
  <c r="B5741" i="1"/>
  <c r="B1680" i="1"/>
  <c r="B5748" i="1"/>
  <c r="B4786" i="1"/>
  <c r="B618" i="1"/>
  <c r="B5674" i="1"/>
  <c r="B393" i="1"/>
  <c r="B3006" i="1"/>
  <c r="B5598" i="1"/>
  <c r="B4926" i="1"/>
  <c r="B3486" i="1"/>
  <c r="B2479" i="1"/>
  <c r="B3096" i="1"/>
  <c r="B674" i="1"/>
  <c r="B2953" i="1"/>
  <c r="B656" i="1"/>
  <c r="B1480" i="1"/>
  <c r="B1665" i="1"/>
  <c r="B2513" i="1"/>
  <c r="B5047" i="1"/>
  <c r="B652" i="1"/>
  <c r="B1537" i="1"/>
  <c r="B579" i="1"/>
  <c r="B1777" i="1"/>
  <c r="B132" i="1"/>
  <c r="B4067" i="1"/>
  <c r="B5677" i="1"/>
  <c r="B4878" i="1"/>
  <c r="B2802" i="1"/>
  <c r="B5797" i="1"/>
  <c r="B587" i="1"/>
  <c r="B597" i="1"/>
  <c r="B3919" i="1"/>
  <c r="B143" i="1"/>
  <c r="B4259" i="1"/>
  <c r="B4058" i="1"/>
  <c r="B711" i="1"/>
  <c r="B513" i="1"/>
  <c r="B4808" i="1"/>
  <c r="B3850" i="1"/>
  <c r="B4618" i="1"/>
  <c r="B907" i="1"/>
  <c r="B5314" i="1"/>
  <c r="B2880" i="1"/>
  <c r="B3872" i="1"/>
  <c r="B1941" i="1"/>
  <c r="B1241" i="1"/>
  <c r="B3983" i="1"/>
  <c r="B5767" i="1"/>
  <c r="B2767" i="1"/>
  <c r="B1312" i="1"/>
  <c r="B1924" i="1"/>
  <c r="B5671" i="1"/>
  <c r="B5681" i="1"/>
  <c r="B3131" i="1"/>
  <c r="B1012" i="1"/>
  <c r="B5498" i="1"/>
  <c r="B5536" i="1"/>
  <c r="B1436" i="1"/>
  <c r="B3664" i="1"/>
  <c r="B2845" i="1"/>
  <c r="B2948" i="1"/>
  <c r="B4450" i="1"/>
  <c r="B475" i="1"/>
  <c r="B2894" i="1"/>
  <c r="B318" i="1"/>
  <c r="B5344" i="1"/>
  <c r="B2695" i="1"/>
  <c r="B2985" i="1"/>
  <c r="B3581" i="1"/>
  <c r="B4348" i="1"/>
  <c r="B426" i="1"/>
  <c r="B1571" i="1"/>
  <c r="B1028" i="1"/>
  <c r="B467" i="1"/>
  <c r="B2071" i="1"/>
  <c r="B5977" i="1"/>
  <c r="B2395" i="1"/>
  <c r="B2075" i="1"/>
  <c r="B477" i="1"/>
  <c r="B1424" i="1"/>
  <c r="B602" i="1"/>
  <c r="B4041" i="1"/>
  <c r="B1046" i="1"/>
  <c r="B3505" i="1"/>
  <c r="B1325" i="1"/>
  <c r="B4971" i="1"/>
  <c r="B1698" i="1"/>
  <c r="B175" i="1"/>
  <c r="B5621" i="1"/>
  <c r="B3363" i="1"/>
  <c r="B5731" i="1"/>
  <c r="B4110" i="1"/>
  <c r="B4762" i="1"/>
  <c r="B1248" i="1"/>
  <c r="B2804" i="1"/>
  <c r="B4718" i="1"/>
  <c r="B3370" i="1"/>
  <c r="B2901" i="1"/>
  <c r="B5698" i="1"/>
  <c r="B763" i="1"/>
  <c r="B2558" i="1"/>
  <c r="B1428" i="1"/>
  <c r="B1805" i="1"/>
  <c r="B1276" i="1"/>
  <c r="B234" i="1"/>
  <c r="B678" i="1"/>
  <c r="B2175" i="1"/>
  <c r="B3287" i="1"/>
  <c r="B5734" i="1"/>
  <c r="B1400" i="1"/>
  <c r="B3020" i="1"/>
  <c r="B5442" i="1"/>
  <c r="B2808" i="1"/>
  <c r="B1591" i="1"/>
  <c r="B1431" i="1"/>
  <c r="B4116" i="1"/>
  <c r="B3243" i="1"/>
  <c r="B2477" i="1"/>
  <c r="B1629" i="1"/>
  <c r="B940" i="1"/>
  <c r="B2860" i="1"/>
  <c r="B1010" i="1"/>
  <c r="B632" i="1"/>
  <c r="B986" i="1"/>
  <c r="B1069" i="1"/>
  <c r="B245" i="1"/>
  <c r="B2571" i="1"/>
  <c r="B5072" i="1"/>
  <c r="B1391" i="1"/>
  <c r="B449" i="1"/>
  <c r="B4429" i="1"/>
  <c r="B1230" i="1"/>
  <c r="B5603" i="1"/>
  <c r="B500" i="1"/>
  <c r="B2528" i="1"/>
  <c r="B4840" i="1"/>
  <c r="B5151" i="1"/>
  <c r="B5125" i="1"/>
  <c r="B1570" i="1"/>
  <c r="B2691" i="1"/>
  <c r="B5315" i="1"/>
  <c r="B5702" i="1"/>
  <c r="B1676" i="1"/>
  <c r="B5054" i="1"/>
  <c r="B4084" i="1"/>
  <c r="B219" i="1"/>
  <c r="B4445" i="1"/>
  <c r="B2756" i="1"/>
  <c r="B3596" i="1"/>
  <c r="B2915" i="1"/>
  <c r="B5816" i="1"/>
  <c r="B5984" i="1"/>
  <c r="B3792" i="1"/>
  <c r="B3698" i="1"/>
  <c r="B2387" i="1"/>
  <c r="B2998" i="1"/>
  <c r="B3439" i="1"/>
  <c r="B4585" i="1"/>
  <c r="B1573" i="1"/>
  <c r="B3424" i="1"/>
  <c r="B1037" i="1"/>
  <c r="B174" i="1"/>
  <c r="B5126" i="1"/>
  <c r="B5591" i="1"/>
  <c r="B2155" i="1"/>
  <c r="B134" i="1"/>
  <c r="B1481" i="1"/>
  <c r="B5020" i="1"/>
  <c r="B3946" i="1"/>
  <c r="B5535" i="1"/>
  <c r="B1562" i="1"/>
  <c r="B4103" i="1"/>
  <c r="B5783" i="1"/>
  <c r="B4673" i="1"/>
  <c r="B5230" i="1"/>
  <c r="B4557" i="1"/>
  <c r="B5136" i="1"/>
  <c r="B2405" i="1"/>
  <c r="B626" i="1"/>
  <c r="B659" i="1"/>
  <c r="B883" i="1"/>
  <c r="B2002" i="1"/>
  <c r="B3514" i="1"/>
  <c r="B2470" i="1"/>
  <c r="B2120" i="1"/>
  <c r="B2916" i="1"/>
  <c r="B3286" i="1"/>
  <c r="B790" i="1"/>
  <c r="B1108" i="1"/>
  <c r="B1066" i="1"/>
  <c r="B163" i="1"/>
  <c r="B3658" i="1"/>
  <c r="B1712" i="1"/>
  <c r="B3773" i="1"/>
  <c r="B128" i="1"/>
  <c r="B5470" i="1"/>
  <c r="B4291" i="1"/>
  <c r="B3117" i="1"/>
  <c r="B111" i="1"/>
  <c r="B3960" i="1"/>
  <c r="B1710" i="1"/>
  <c r="B1885" i="1"/>
  <c r="B2890" i="1"/>
  <c r="B1619" i="1"/>
  <c r="B3001" i="1"/>
  <c r="B4372" i="1"/>
  <c r="B1474" i="1"/>
  <c r="B5095" i="1"/>
  <c r="B5635" i="1"/>
  <c r="B2665" i="1"/>
  <c r="B1551" i="1"/>
  <c r="B2082" i="1"/>
  <c r="B2722" i="1"/>
  <c r="B2554" i="1"/>
  <c r="B3311" i="1"/>
  <c r="B588" i="1"/>
  <c r="B3609" i="1"/>
  <c r="B2744" i="1"/>
  <c r="B3987" i="1"/>
  <c r="B3090" i="1"/>
  <c r="B2774" i="1"/>
  <c r="B4820" i="1"/>
  <c r="B5921" i="1"/>
  <c r="B3136" i="1"/>
  <c r="B3494" i="1"/>
  <c r="B5064" i="1"/>
  <c r="B4295" i="1"/>
  <c r="B3248" i="1"/>
  <c r="B4567" i="1"/>
  <c r="B1791" i="1"/>
  <c r="B5651" i="1"/>
  <c r="B5661" i="1"/>
  <c r="B1604" i="1"/>
  <c r="B4527" i="1"/>
  <c r="B3334" i="1"/>
  <c r="B617" i="1"/>
  <c r="B3687" i="1"/>
  <c r="B2469" i="1"/>
  <c r="B851" i="1"/>
  <c r="B145" i="1"/>
  <c r="B4615" i="1"/>
  <c r="B4535" i="1"/>
  <c r="B4329" i="1"/>
  <c r="B4589" i="1"/>
  <c r="B5593" i="1"/>
  <c r="B3812" i="1"/>
  <c r="B4648" i="1"/>
  <c r="B5659" i="1"/>
  <c r="B933" i="1"/>
  <c r="B5675" i="1"/>
  <c r="B3204" i="1"/>
  <c r="B3819" i="1"/>
  <c r="B599" i="1"/>
  <c r="B3212" i="1"/>
  <c r="B5085" i="1"/>
  <c r="B566" i="1"/>
  <c r="B4888" i="1"/>
  <c r="B4326" i="1"/>
  <c r="B5440" i="1"/>
  <c r="B1708" i="1"/>
  <c r="B135" i="1"/>
  <c r="B5534" i="1"/>
  <c r="B4603" i="1"/>
  <c r="B3584" i="1"/>
  <c r="B4864" i="1"/>
  <c r="B3195" i="1"/>
  <c r="B4305" i="1"/>
  <c r="B705" i="1"/>
  <c r="B544" i="1"/>
  <c r="B5483" i="1"/>
  <c r="B1905" i="1"/>
  <c r="B5466" i="1"/>
  <c r="B5830" i="1"/>
  <c r="B800" i="1"/>
  <c r="B430" i="1"/>
  <c r="B4834" i="1"/>
  <c r="B2097" i="1"/>
  <c r="B115" i="1"/>
  <c r="B1688" i="1"/>
  <c r="B209" i="1"/>
  <c r="B4748" i="1"/>
  <c r="B657" i="1"/>
  <c r="B1762" i="1"/>
  <c r="B4422" i="1"/>
  <c r="B3067" i="1"/>
  <c r="B4722" i="1"/>
  <c r="B1064" i="1"/>
  <c r="B4385" i="1"/>
  <c r="B3914" i="1"/>
  <c r="B3216" i="1"/>
  <c r="B614" i="1"/>
  <c r="B4386" i="1"/>
  <c r="B4768" i="1"/>
  <c r="B5264" i="1"/>
  <c r="B4459" i="1"/>
  <c r="B2052" i="1"/>
  <c r="B4981" i="1"/>
  <c r="B2794" i="1"/>
  <c r="B1106" i="1"/>
  <c r="B4005" i="1"/>
  <c r="B4417" i="1"/>
  <c r="B3935" i="1"/>
  <c r="B601" i="1"/>
  <c r="B2436" i="1"/>
  <c r="B839" i="1"/>
  <c r="B771" i="1"/>
  <c r="B4088" i="1"/>
  <c r="B3055" i="1"/>
  <c r="B4705" i="1"/>
  <c r="B4009" i="1"/>
  <c r="B1761" i="1"/>
  <c r="B4196" i="1"/>
  <c r="B814" i="1"/>
  <c r="B4433" i="1"/>
  <c r="B2352" i="1"/>
  <c r="B549" i="1"/>
  <c r="B4546" i="1"/>
  <c r="B2786" i="1"/>
  <c r="B5938" i="1"/>
  <c r="B777" i="1"/>
  <c r="B411" i="1"/>
  <c r="B2424" i="1"/>
  <c r="B1416" i="1"/>
  <c r="B3548" i="1"/>
  <c r="B5241" i="1"/>
  <c r="B3662" i="1"/>
  <c r="B3151" i="1"/>
  <c r="B3348" i="1"/>
  <c r="B4182" i="1"/>
  <c r="B1274" i="1"/>
  <c r="B1297" i="1"/>
  <c r="B199" i="1"/>
  <c r="B337" i="1"/>
  <c r="B1176" i="1"/>
  <c r="B2368" i="1"/>
  <c r="B990" i="1"/>
  <c r="B3239" i="1"/>
  <c r="B1695" i="1"/>
  <c r="B4377" i="1"/>
  <c r="B1360" i="1"/>
  <c r="B692" i="1"/>
  <c r="B703" i="1"/>
  <c r="B4453" i="1"/>
  <c r="B2648" i="1"/>
  <c r="B3207" i="1"/>
  <c r="B3183" i="1"/>
  <c r="B5057" i="1"/>
  <c r="B5510" i="1"/>
  <c r="B3074" i="1"/>
  <c r="B5630" i="1"/>
  <c r="B4825" i="1"/>
  <c r="B4522" i="1"/>
  <c r="B5715" i="1"/>
  <c r="B183" i="1"/>
  <c r="B3182" i="1"/>
  <c r="B2783" i="1"/>
  <c r="B4697" i="1"/>
  <c r="B2341" i="1"/>
  <c r="B6001" i="1"/>
  <c r="B4125" i="1"/>
  <c r="B2445" i="1"/>
  <c r="B768" i="1"/>
  <c r="B1811" i="1"/>
  <c r="B3253" i="1"/>
  <c r="B1404" i="1"/>
  <c r="B4660" i="1"/>
  <c r="B2350" i="1"/>
  <c r="B1611" i="1"/>
  <c r="B2298" i="1"/>
  <c r="B915" i="1"/>
  <c r="B3734" i="1"/>
  <c r="B5454" i="1"/>
  <c r="B4525" i="1"/>
  <c r="B4707" i="1"/>
  <c r="B1423" i="1"/>
  <c r="B3784" i="1"/>
  <c r="B5804" i="1"/>
  <c r="B5933" i="1"/>
  <c r="B2300" i="1"/>
  <c r="B774" i="1"/>
  <c r="B3785" i="1"/>
  <c r="B5716" i="1"/>
  <c r="B5397" i="1"/>
  <c r="B2775" i="1"/>
  <c r="B3265" i="1"/>
  <c r="B5515" i="1"/>
  <c r="B2937" i="1"/>
  <c r="B5909" i="1"/>
  <c r="B5097" i="1"/>
  <c r="B818" i="1"/>
  <c r="B4821" i="1"/>
  <c r="B3968" i="1"/>
  <c r="B3795" i="1"/>
  <c r="B5166" i="1"/>
  <c r="B640" i="1"/>
  <c r="B1742" i="1"/>
  <c r="B5102" i="1"/>
  <c r="B2633" i="1"/>
  <c r="B1307" i="1"/>
  <c r="B4442" i="1"/>
  <c r="B2191" i="1"/>
  <c r="B4610" i="1"/>
  <c r="B3039" i="1"/>
  <c r="B5334" i="1"/>
  <c r="B4925" i="1"/>
  <c r="B5663" i="1"/>
  <c r="B2156" i="1"/>
  <c r="B1409" i="1"/>
  <c r="B4836" i="1"/>
  <c r="B2917" i="1"/>
  <c r="B3535" i="1"/>
  <c r="B5222" i="1"/>
  <c r="B3731" i="1"/>
  <c r="B2769" i="1"/>
  <c r="B1927" i="1"/>
  <c r="B3599" i="1"/>
  <c r="B3119" i="1"/>
  <c r="B749" i="1"/>
  <c r="B3139" i="1"/>
  <c r="B1744" i="1"/>
  <c r="B1061" i="1"/>
  <c r="B2842" i="1"/>
  <c r="B3426" i="1"/>
  <c r="B665" i="1"/>
  <c r="B3181" i="1"/>
  <c r="B1137" i="1"/>
  <c r="B2104" i="1"/>
  <c r="B2597" i="1"/>
  <c r="B5026" i="1"/>
  <c r="B1716" i="1"/>
  <c r="B807" i="1"/>
  <c r="B287" i="1"/>
  <c r="B1679" i="1"/>
  <c r="B829" i="1"/>
  <c r="B1479" i="1"/>
  <c r="B1502" i="1"/>
  <c r="B2189" i="1"/>
  <c r="B1840" i="1"/>
  <c r="B140" i="1"/>
  <c r="B4397" i="1"/>
  <c r="B4790" i="1"/>
  <c r="B5210" i="1"/>
  <c r="B3636" i="1"/>
  <c r="B3765" i="1"/>
  <c r="B5906" i="1"/>
  <c r="B487" i="1"/>
  <c r="B1774" i="1"/>
  <c r="B1380" i="1"/>
  <c r="B1891" i="1"/>
  <c r="B421" i="1"/>
  <c r="B4410" i="1"/>
  <c r="B2866" i="1"/>
  <c r="B5686" i="1"/>
  <c r="B5878" i="1"/>
  <c r="B438" i="1"/>
  <c r="B3998" i="1"/>
  <c r="B1877" i="1"/>
  <c r="B4210" i="1"/>
  <c r="B4384" i="1"/>
  <c r="B1111" i="1"/>
  <c r="B1113" i="1"/>
  <c r="B363" i="1"/>
  <c r="B3879" i="1"/>
  <c r="B5116" i="1"/>
  <c r="B3808" i="1"/>
  <c r="B1440" i="1"/>
  <c r="B2295" i="1"/>
  <c r="B3748" i="1"/>
  <c r="B1663" i="1"/>
  <c r="B3010" i="1"/>
  <c r="B5277" i="1"/>
  <c r="B4376" i="1"/>
  <c r="B3318" i="1"/>
  <c r="B1096" i="1"/>
  <c r="B572" i="1"/>
  <c r="B3575" i="1"/>
  <c r="B5425" i="1"/>
  <c r="B3867" i="1"/>
  <c r="B1419" i="1"/>
  <c r="B498" i="1"/>
  <c r="B1182" i="1"/>
  <c r="B2718" i="1"/>
  <c r="B947" i="1"/>
  <c r="B280" i="1"/>
  <c r="B3070" i="1"/>
  <c r="B754" i="1"/>
  <c r="B3743" i="1"/>
  <c r="B1217" i="1"/>
  <c r="B779" i="1"/>
  <c r="B3511" i="1"/>
  <c r="B5962" i="1"/>
  <c r="B3474" i="1"/>
  <c r="B3285" i="1"/>
  <c r="B3031" i="1"/>
  <c r="B4255" i="1"/>
  <c r="B1001" i="1"/>
  <c r="B1662" i="1"/>
  <c r="B1341" i="1"/>
  <c r="B1489" i="1"/>
  <c r="B2550" i="1"/>
  <c r="B2714" i="1"/>
  <c r="B2041" i="1"/>
  <c r="B2099" i="1"/>
  <c r="B3414" i="1"/>
  <c r="B2355" i="1"/>
  <c r="B2371" i="1"/>
  <c r="B4952" i="1"/>
  <c r="B346" i="1"/>
  <c r="B1170" i="1"/>
  <c r="B2131" i="1"/>
  <c r="B1303" i="1"/>
  <c r="B3339" i="1"/>
  <c r="B466" i="1"/>
  <c r="B3066" i="1"/>
  <c r="B4234" i="1"/>
  <c r="B1406" i="1"/>
  <c r="B4134" i="1"/>
  <c r="B859" i="1"/>
  <c r="B2293" i="1"/>
  <c r="B4187" i="1"/>
  <c r="B1203" i="1"/>
  <c r="B3371" i="1"/>
  <c r="B187" i="1"/>
  <c r="B2173" i="1"/>
  <c r="B803" i="1"/>
  <c r="B1834" i="1"/>
  <c r="B2274" i="1"/>
  <c r="B4411" i="1"/>
  <c r="B1295" i="1"/>
  <c r="B5876" i="1"/>
  <c r="B2183" i="1"/>
  <c r="B4605" i="1"/>
  <c r="B3576" i="1"/>
  <c r="B2666" i="1"/>
  <c r="B542" i="1"/>
  <c r="B5746" i="1"/>
  <c r="B2908" i="1"/>
  <c r="B509" i="1"/>
  <c r="B553" i="1"/>
  <c r="B233" i="1"/>
  <c r="B1183" i="1"/>
  <c r="B1417" i="1"/>
  <c r="B5780" i="1"/>
  <c r="B5328" i="1"/>
  <c r="B71" i="1"/>
  <c r="B3617" i="1"/>
  <c r="B5988" i="1"/>
  <c r="B4617" i="1"/>
  <c r="B1079" i="1"/>
  <c r="B5148" i="1"/>
  <c r="B3462" i="1"/>
  <c r="B4625" i="1"/>
  <c r="B1060" i="1"/>
  <c r="B1414" i="1"/>
  <c r="B941" i="1"/>
  <c r="B1590" i="1"/>
  <c r="B1388" i="1"/>
  <c r="B1748" i="1"/>
  <c r="B1869" i="1"/>
  <c r="B1215" i="1"/>
  <c r="B3730" i="1"/>
  <c r="B3866" i="1"/>
  <c r="B2796" i="1"/>
  <c r="B4898" i="1"/>
  <c r="B1266" i="1"/>
  <c r="B105" i="1"/>
  <c r="B3826" i="1"/>
  <c r="B5548" i="1"/>
  <c r="B5708" i="1"/>
  <c r="B4400" i="1"/>
  <c r="B404" i="1"/>
  <c r="B5013" i="1"/>
  <c r="B4025" i="1"/>
  <c r="B3425" i="1"/>
  <c r="B4568" i="1"/>
  <c r="B4753" i="1"/>
  <c r="B4950" i="1"/>
  <c r="B2682" i="1"/>
  <c r="B1540" i="1"/>
  <c r="B4468" i="1"/>
  <c r="B4688" i="1"/>
  <c r="B4432" i="1"/>
  <c r="B469" i="1"/>
  <c r="B1135" i="1"/>
  <c r="B744" i="1"/>
  <c r="B3141" i="1"/>
  <c r="B5737" i="1"/>
  <c r="B920" i="1"/>
  <c r="B4528" i="1"/>
  <c r="B2230" i="1"/>
  <c r="B4119" i="1"/>
  <c r="B1787" i="1"/>
  <c r="B1510" i="1"/>
  <c r="B1756" i="1"/>
  <c r="B4024" i="1"/>
  <c r="B3275" i="1"/>
  <c r="B1209" i="1"/>
  <c r="B3146" i="1"/>
  <c r="B5063" i="1"/>
  <c r="B861" i="1"/>
  <c r="B5951" i="1"/>
  <c r="B5815" i="1"/>
  <c r="B571" i="1"/>
  <c r="B3780" i="1"/>
  <c r="B1769" i="1"/>
  <c r="B1842" i="1"/>
  <c r="B4175" i="1"/>
  <c r="B2936" i="1"/>
  <c r="B1945" i="1"/>
  <c r="B2348" i="1"/>
  <c r="B5652" i="1"/>
  <c r="B5400" i="1"/>
  <c r="B1922" i="1"/>
  <c r="B5224" i="1"/>
  <c r="B1871" i="1"/>
  <c r="B3654" i="1"/>
  <c r="B5573" i="1"/>
  <c r="B4853" i="1"/>
  <c r="B2085" i="1"/>
  <c r="B306" i="1"/>
  <c r="B2961" i="1"/>
  <c r="B4861" i="1"/>
  <c r="B4150" i="1"/>
  <c r="B1263" i="1"/>
  <c r="B167" i="1"/>
  <c r="B526" i="1"/>
  <c r="B1257" i="1"/>
  <c r="B1383" i="1"/>
  <c r="B1894" i="1"/>
  <c r="B2225" i="1"/>
  <c r="B4153" i="1"/>
  <c r="B1740" i="1"/>
  <c r="B1580" i="1"/>
  <c r="B848" i="1"/>
  <c r="B4308" i="1"/>
  <c r="B2164" i="1"/>
  <c r="B5805" i="1"/>
  <c r="B525" i="1"/>
  <c r="B3718" i="1"/>
  <c r="B396" i="1"/>
  <c r="B351" i="1"/>
  <c r="B3308" i="1"/>
  <c r="B870" i="1"/>
  <c r="B3144" i="1"/>
  <c r="B4180" i="1"/>
  <c r="B5393" i="1"/>
  <c r="B4428" i="1"/>
  <c r="B4283" i="1"/>
  <c r="B456" i="1"/>
  <c r="B2494" i="1"/>
  <c r="B1690" i="1"/>
  <c r="B5297" i="1"/>
  <c r="B3944" i="1"/>
  <c r="B4944" i="1"/>
  <c r="B2489" i="1"/>
  <c r="B2168" i="1"/>
  <c r="B1645" i="1"/>
  <c r="B594" i="1"/>
  <c r="B1243" i="1"/>
  <c r="B1495" i="1"/>
  <c r="B2576" i="1"/>
  <c r="B2257" i="1"/>
  <c r="B4336" i="1"/>
  <c r="B165" i="1"/>
  <c r="B2778" i="1"/>
  <c r="B4334" i="1"/>
  <c r="B3129" i="1"/>
  <c r="B326" i="1"/>
  <c r="B3909" i="1"/>
  <c r="B3048" i="1"/>
  <c r="B179" i="1"/>
  <c r="B5362" i="1"/>
  <c r="B2441" i="1"/>
  <c r="B1290" i="1"/>
  <c r="B4969" i="1"/>
  <c r="B1610" i="1"/>
  <c r="B207" i="1"/>
  <c r="B1110" i="1"/>
  <c r="B3316" i="1"/>
  <c r="B4886" i="1"/>
  <c r="B969" i="1"/>
  <c r="B2743" i="1"/>
  <c r="B1475" i="1"/>
  <c r="B1377" i="1"/>
  <c r="B4627" i="1"/>
  <c r="B48" i="1"/>
  <c r="B3948" i="1"/>
  <c r="B146" i="1"/>
  <c r="B1516" i="1"/>
  <c r="B3911" i="1"/>
  <c r="B4194" i="1"/>
  <c r="B1859" i="1"/>
  <c r="B4452" i="1"/>
  <c r="B1044" i="1"/>
  <c r="B4735" i="1"/>
  <c r="B2184" i="1"/>
  <c r="B2753" i="1"/>
  <c r="B5879" i="1"/>
  <c r="B1753" i="1"/>
  <c r="B4849" i="1"/>
  <c r="B929" i="1"/>
  <c r="B3804" i="1"/>
  <c r="B232" i="1"/>
  <c r="B788" i="1"/>
  <c r="B3438" i="1"/>
  <c r="B2969" i="1"/>
  <c r="B295" i="1"/>
  <c r="B2209" i="1"/>
  <c r="B108" i="1"/>
  <c r="B3193" i="1"/>
  <c r="B3613" i="1"/>
  <c r="B4288" i="1"/>
  <c r="B4710" i="1"/>
  <c r="B5854" i="1"/>
  <c r="B4464" i="1"/>
  <c r="B3918" i="1"/>
  <c r="B2248" i="1"/>
  <c r="B5206" i="1"/>
  <c r="B5739" i="1"/>
  <c r="B4190" i="1"/>
  <c r="B4606" i="1"/>
  <c r="B1936" i="1"/>
  <c r="B5578" i="1"/>
  <c r="B4202" i="1"/>
  <c r="B1781" i="1"/>
  <c r="B2294" i="1"/>
  <c r="B212" i="1"/>
  <c r="B52" i="1"/>
  <c r="B1911" i="1"/>
  <c r="B432" i="1"/>
  <c r="B4985" i="1"/>
  <c r="B1268" i="1"/>
  <c r="B1149" i="1"/>
  <c r="B1908" i="1"/>
  <c r="B1336" i="1"/>
  <c r="B114" i="1"/>
  <c r="B5601" i="1"/>
  <c r="B4928" i="1"/>
  <c r="B5354" i="1"/>
  <c r="B5633" i="1"/>
  <c r="B77" i="1"/>
  <c r="B4266" i="1"/>
  <c r="B333" i="1"/>
  <c r="B5028" i="1"/>
  <c r="B4470" i="1"/>
  <c r="B5724" i="1"/>
  <c r="B5864" i="1"/>
  <c r="B2900" i="1"/>
  <c r="B58" i="1"/>
  <c r="B5385" i="1"/>
  <c r="B3398" i="1"/>
  <c r="B5149" i="1"/>
  <c r="B3272" i="1"/>
  <c r="B2316" i="1"/>
  <c r="B416" i="1"/>
  <c r="B1835" i="1"/>
  <c r="B5761" i="1"/>
  <c r="B5885" i="1"/>
  <c r="B3637" i="1"/>
  <c r="B5953" i="1"/>
  <c r="B1085" i="1"/>
  <c r="B3231" i="1"/>
  <c r="B4601" i="1"/>
  <c r="B162" i="1"/>
  <c r="B1053" i="1"/>
  <c r="B905" i="1"/>
  <c r="B4901" i="1"/>
  <c r="B2707" i="1"/>
  <c r="B1292" i="1"/>
  <c r="B2420" i="1"/>
  <c r="B1283" i="1"/>
  <c r="B2246" i="1"/>
  <c r="B1559" i="1"/>
  <c r="B246" i="1"/>
  <c r="B3362" i="1"/>
  <c r="B59" i="1"/>
  <c r="B455" i="1"/>
  <c r="B528" i="1"/>
  <c r="B81" i="1"/>
  <c r="B2680" i="1"/>
  <c r="B2899" i="1"/>
  <c r="B3346" i="1"/>
  <c r="B201" i="1"/>
  <c r="B2694" i="1"/>
  <c r="B5841" i="1"/>
  <c r="B4881" i="1"/>
  <c r="B2531" i="1"/>
  <c r="B3484" i="1"/>
  <c r="B4989" i="1"/>
  <c r="B1776" i="1"/>
  <c r="B3206" i="1"/>
  <c r="B1932" i="1"/>
  <c r="B2507" i="1"/>
  <c r="B1434" i="1"/>
  <c r="B4669" i="1"/>
  <c r="B1420" i="1"/>
  <c r="B5293" i="1"/>
  <c r="B3344" i="1"/>
  <c r="B1529" i="1"/>
  <c r="B1003" i="1"/>
  <c r="B5227" i="1"/>
  <c r="B2178" i="1"/>
  <c r="B1036" i="1"/>
  <c r="B4854" i="1"/>
  <c r="B1942" i="1"/>
  <c r="B282" i="1"/>
  <c r="B519" i="1"/>
  <c r="B4204" i="1"/>
  <c r="B2637" i="1"/>
  <c r="B1684" i="1"/>
  <c r="B3663" i="1"/>
  <c r="B4080" i="1"/>
  <c r="B4671" i="1"/>
  <c r="B3018" i="1"/>
  <c r="B1457" i="1"/>
  <c r="B518" i="1"/>
  <c r="B169" i="1"/>
  <c r="B1330" i="1"/>
  <c r="B547" i="1"/>
  <c r="B4931" i="1"/>
  <c r="B2203" i="1"/>
  <c r="B2912" i="1"/>
  <c r="B129" i="1"/>
  <c r="B3558" i="1"/>
  <c r="B5039" i="1"/>
  <c r="B5693" i="1"/>
  <c r="B1267" i="1"/>
  <c r="B2113" i="1"/>
  <c r="B1185" i="1"/>
  <c r="B5497" i="1"/>
  <c r="B5828" i="1"/>
  <c r="B2292" i="1"/>
  <c r="B3488" i="1"/>
  <c r="B348" i="1"/>
  <c r="B2288" i="1"/>
  <c r="B476" i="1"/>
  <c r="B5660" i="1"/>
  <c r="B1319" i="1"/>
  <c r="B714" i="1"/>
  <c r="B3932" i="1"/>
  <c r="B2393" i="1"/>
  <c r="B1212" i="1"/>
  <c r="B4972" i="1"/>
  <c r="B122" i="1"/>
  <c r="B1666" i="1"/>
  <c r="B4033" i="1"/>
  <c r="B4306" i="1"/>
  <c r="B5700" i="1"/>
  <c r="B1121" i="1"/>
  <c r="B5386" i="1"/>
  <c r="B613" i="1"/>
  <c r="B1460" i="1"/>
  <c r="B752" i="1"/>
  <c r="B1736" i="1"/>
  <c r="B1133" i="1"/>
  <c r="B4106" i="1"/>
  <c r="B4048" i="1"/>
  <c r="B328" i="1"/>
  <c r="B743" i="1"/>
  <c r="B464" i="1"/>
  <c r="B451" i="1"/>
  <c r="B3123" i="1"/>
  <c r="B2947" i="1"/>
  <c r="B3745" i="1"/>
  <c r="B154" i="1"/>
  <c r="B5664" i="1"/>
  <c r="B2149" i="1"/>
  <c r="B1451" i="1"/>
  <c r="B1833" i="1"/>
  <c r="B4143" i="1"/>
  <c r="B75" i="1"/>
  <c r="B4408" i="1"/>
  <c r="B217" i="1"/>
  <c r="B4050" i="1"/>
  <c r="B4609" i="1"/>
  <c r="B3202" i="1"/>
  <c r="B2096" i="1"/>
  <c r="B385" i="1"/>
  <c r="B2701" i="1"/>
  <c r="B4352" i="1"/>
  <c r="B2833" i="1"/>
  <c r="B1940" i="1"/>
  <c r="B4227" i="1"/>
  <c r="B2214" i="1"/>
  <c r="B5599" i="1"/>
  <c r="B2278" i="1"/>
  <c r="B321" i="1"/>
  <c r="B2296" i="1"/>
  <c r="B230" i="1"/>
  <c r="B2626" i="1"/>
  <c r="B995" i="1"/>
  <c r="B3702" i="1"/>
  <c r="B4874" i="1"/>
  <c r="B2630" i="1"/>
  <c r="B2241" i="1"/>
  <c r="B50" i="1"/>
  <c r="B2291" i="1"/>
  <c r="B959" i="1"/>
  <c r="B4916" i="1"/>
  <c r="B5177" i="1"/>
  <c r="B1883" i="1"/>
  <c r="B961" i="1"/>
  <c r="B1206" i="1"/>
  <c r="B2263" i="1"/>
  <c r="B584" i="1"/>
  <c r="B2130" i="1"/>
  <c r="B3885" i="1"/>
  <c r="B3238" i="1"/>
  <c r="B3721" i="1"/>
  <c r="B2782" i="1"/>
  <c r="B636" i="1"/>
  <c r="B166" i="1"/>
  <c r="B3979" i="1"/>
  <c r="B706" i="1"/>
  <c r="B1508" i="1"/>
  <c r="B2158" i="1"/>
  <c r="B902" i="1"/>
  <c r="B1574" i="1"/>
  <c r="B1301" i="1"/>
  <c r="B1813" i="1"/>
  <c r="B2171" i="1"/>
  <c r="B5604" i="1"/>
  <c r="B4262" i="1"/>
  <c r="B3616" i="1"/>
  <c r="B2317" i="1"/>
  <c r="B510" i="1"/>
  <c r="B5927" i="1"/>
  <c r="B781" i="1"/>
  <c r="B757" i="1"/>
  <c r="B3160" i="1"/>
  <c r="B5488" i="1"/>
  <c r="B4271" i="1"/>
  <c r="B2486" i="1"/>
  <c r="B1952" i="1"/>
  <c r="B2220" i="1"/>
  <c r="B4472" i="1"/>
  <c r="B782" i="1"/>
  <c r="B2545" i="1"/>
  <c r="B2770" i="1"/>
  <c r="B5880" i="1"/>
  <c r="B3268" i="1"/>
  <c r="B3162" i="1"/>
  <c r="B5127" i="1"/>
  <c r="B719" i="1"/>
  <c r="B2613" i="1"/>
  <c r="B644" i="1"/>
  <c r="B53" i="1"/>
  <c r="B2831" i="1"/>
  <c r="B4061" i="1"/>
  <c r="B3703" i="1"/>
  <c r="B1501" i="1"/>
  <c r="B4243" i="1"/>
  <c r="B2328" i="1"/>
  <c r="B3653" i="1"/>
  <c r="B3915" i="1"/>
  <c r="B3657" i="1"/>
  <c r="B5098" i="1"/>
  <c r="B1247" i="1"/>
  <c r="B2323" i="1"/>
  <c r="B2790" i="1"/>
  <c r="B1750" i="1"/>
  <c r="B3389" i="1"/>
  <c r="B4970" i="1"/>
  <c r="B1745" i="1"/>
  <c r="B1260" i="1"/>
  <c r="B672" i="1"/>
  <c r="B4670" i="1"/>
  <c r="B2408" i="1"/>
  <c r="B4738" i="1"/>
  <c r="B5342" i="1"/>
  <c r="B5710" i="1"/>
  <c r="B677" i="1"/>
  <c r="B5216" i="1"/>
  <c r="B2243" i="1"/>
  <c r="B1338" i="1"/>
  <c r="B4020" i="1"/>
  <c r="B5185" i="1"/>
  <c r="B1371" i="1"/>
  <c r="B4948" i="1"/>
  <c r="B1678" i="1"/>
  <c r="B728" i="1"/>
  <c r="B1646" i="1"/>
  <c r="B5643" i="1"/>
  <c r="B2426" i="1"/>
  <c r="B5122" i="1"/>
  <c r="B435" i="1"/>
  <c r="B838" i="1"/>
  <c r="B4632" i="1"/>
  <c r="B5683" i="1"/>
  <c r="B4761" i="1"/>
  <c r="B521" i="1"/>
  <c r="B2500" i="1"/>
  <c r="B2959" i="1"/>
  <c r="B2340" i="1"/>
  <c r="B938" i="1"/>
  <c r="B1827" i="1"/>
  <c r="B1397" i="1"/>
  <c r="B2471" i="1"/>
  <c r="B591" i="1"/>
  <c r="B2142" i="1"/>
  <c r="B3607" i="1"/>
  <c r="B5547" i="1"/>
  <c r="B2138" i="1"/>
  <c r="B4354" i="1"/>
  <c r="B4968" i="1"/>
  <c r="B4737" i="1"/>
  <c r="B4715" i="1"/>
  <c r="B5982" i="1"/>
  <c r="B3689" i="1"/>
  <c r="B3846" i="1"/>
  <c r="B4142" i="1"/>
  <c r="B392" i="1"/>
  <c r="B2326" i="1"/>
  <c r="B2414" i="1"/>
  <c r="B745" i="1"/>
  <c r="B1609" i="1"/>
  <c r="B5272" i="1"/>
  <c r="B2621" i="1"/>
  <c r="B1339" i="1"/>
  <c r="B3600" i="1"/>
  <c r="B3903" i="1"/>
  <c r="B718" i="1"/>
  <c r="B91" i="1"/>
  <c r="B3126" i="1"/>
  <c r="B2347" i="1"/>
  <c r="B327" i="1"/>
  <c r="B5461" i="1"/>
  <c r="B5467" i="1"/>
  <c r="B3446" i="1"/>
  <c r="B5167" i="1"/>
  <c r="B1333" i="1"/>
  <c r="B5692" i="1"/>
  <c r="B1919" i="1"/>
  <c r="B1944" i="1"/>
  <c r="B946" i="1"/>
  <c r="B3271" i="1"/>
  <c r="B1668" i="1"/>
  <c r="B5067" i="1"/>
  <c r="B244" i="1"/>
  <c r="B3384" i="1"/>
  <c r="B1126" i="1"/>
  <c r="B1565" i="1"/>
  <c r="B2843" i="1"/>
  <c r="B2174" i="1"/>
  <c r="B1405" i="1"/>
  <c r="B4865" i="1"/>
  <c r="B3097" i="1"/>
  <c r="B973" i="1"/>
  <c r="B325" i="1"/>
  <c r="B152" i="1"/>
  <c r="B580" i="1"/>
  <c r="B5345" i="1"/>
  <c r="B2952" i="1"/>
  <c r="B4087" i="1"/>
  <c r="B5959" i="1"/>
  <c r="B4580" i="1"/>
  <c r="B6000" i="1"/>
  <c r="B4714" i="1"/>
  <c r="B394" i="1"/>
  <c r="B1897" i="1"/>
  <c r="B4517" i="1"/>
  <c r="B5244" i="1"/>
  <c r="B1681" i="1"/>
  <c r="B2362" i="1"/>
  <c r="B4496" i="1"/>
  <c r="B3023" i="1"/>
  <c r="B3655" i="1"/>
  <c r="B1907" i="1"/>
  <c r="B606" i="1"/>
  <c r="B1541" i="1"/>
  <c r="B4039" i="1"/>
  <c r="B492" i="1"/>
  <c r="B3967" i="1"/>
  <c r="B442" i="1"/>
  <c r="B5772" i="1"/>
  <c r="B4833" i="1"/>
  <c r="B4133" i="1"/>
  <c r="B2574" i="1"/>
  <c r="B2857" i="1"/>
  <c r="B5202" i="1"/>
  <c r="B1815" i="1"/>
  <c r="B4127" i="1"/>
  <c r="B504" i="1"/>
  <c r="B2602" i="1"/>
  <c r="B4751" i="1"/>
  <c r="B2208" i="1"/>
  <c r="B2056" i="1"/>
  <c r="B3827" i="1"/>
  <c r="B611" i="1"/>
  <c r="B4576" i="1"/>
  <c r="B2863" i="1"/>
  <c r="B968" i="1"/>
  <c r="B4451" i="1"/>
  <c r="B2188" i="1"/>
  <c r="B3016" i="1"/>
  <c r="B2924" i="1"/>
  <c r="B5895" i="1"/>
  <c r="B3000" i="1"/>
  <c r="B2166" i="1"/>
  <c r="B3502" i="1"/>
  <c r="B473" i="1"/>
  <c r="B3544" i="1"/>
  <c r="B3756" i="1"/>
  <c r="B5979" i="1"/>
  <c r="B809" i="1"/>
  <c r="B1250" i="1"/>
  <c r="B4214" i="1"/>
  <c r="B5568" i="1"/>
  <c r="B1442" i="1"/>
  <c r="B2891" i="1"/>
  <c r="B2882" i="1"/>
  <c r="B2128" i="1"/>
  <c r="B5594" i="1"/>
  <c r="B5204" i="1"/>
  <c r="B423" i="1"/>
  <c r="B5383" i="1"/>
  <c r="B4052" i="1"/>
  <c r="B116" i="1"/>
  <c r="B4503" i="1"/>
  <c r="B2617" i="1"/>
  <c r="B2463" i="1"/>
  <c r="B101" i="1"/>
  <c r="B1511" i="1"/>
  <c r="B5188" i="1"/>
  <c r="B270" i="1"/>
  <c r="B4805" i="1"/>
  <c r="B1845" i="1"/>
  <c r="B1321" i="1"/>
  <c r="B5225" i="1"/>
  <c r="B1912" i="1"/>
  <c r="B1005" i="1"/>
  <c r="B585" i="1"/>
  <c r="B2737" i="1"/>
  <c r="B813" i="1"/>
  <c r="B1363" i="1"/>
  <c r="B168" i="1"/>
  <c r="B5083" i="1"/>
  <c r="B5640" i="1"/>
  <c r="B4013" i="1"/>
  <c r="B1550" i="1"/>
  <c r="B5668" i="1"/>
  <c r="B2984" i="1"/>
  <c r="B2938" i="1"/>
  <c r="B3360" i="1"/>
  <c r="B1487" i="1"/>
  <c r="B2511" i="1"/>
  <c r="B4289" i="1"/>
  <c r="B5429" i="1"/>
  <c r="B696" i="1"/>
  <c r="B5782" i="1"/>
  <c r="B288" i="1"/>
  <c r="B3770" i="1"/>
  <c r="B4949" i="1"/>
  <c r="B248" i="1"/>
  <c r="B4388" i="1"/>
  <c r="B2966" i="1"/>
  <c r="B497" i="1"/>
  <c r="B4757" i="1"/>
  <c r="B4850" i="1"/>
  <c r="B461" i="1"/>
  <c r="B3644" i="1"/>
  <c r="B3899" i="1"/>
  <c r="B2066" i="1"/>
  <c r="B3416" i="1"/>
  <c r="B367" i="1"/>
  <c r="B1535" i="1"/>
  <c r="B4869" i="1"/>
  <c r="B4524" i="1"/>
  <c r="B1490" i="1"/>
  <c r="B5998" i="1"/>
  <c r="B2731" i="1"/>
  <c r="B1461" i="1"/>
  <c r="B3086" i="1"/>
  <c r="B4178" i="1"/>
  <c r="B1697" i="1"/>
  <c r="B2586" i="1"/>
  <c r="B1128" i="1"/>
  <c r="B4023" i="1"/>
  <c r="B5762" i="1"/>
  <c r="B2688" i="1"/>
  <c r="B4551" i="1"/>
  <c r="B3871" i="1"/>
  <c r="B55" i="1"/>
  <c r="B354" i="1"/>
  <c r="B4608" i="1"/>
  <c r="B5608" i="1"/>
  <c r="B5956" i="1"/>
  <c r="B5191" i="1"/>
  <c r="B4510" i="1"/>
  <c r="B1422" i="1"/>
  <c r="B1058" i="1"/>
  <c r="B4477" i="1"/>
  <c r="B2314" i="1"/>
  <c r="B4575" i="1"/>
  <c r="B1372" i="1"/>
  <c r="B4323" i="1"/>
  <c r="B4104" i="1"/>
  <c r="B362" i="1"/>
  <c r="B1780" i="1"/>
  <c r="B5685" i="1"/>
  <c r="B593" i="1"/>
  <c r="B5292" i="1"/>
  <c r="B5075" i="1"/>
  <c r="B3625" i="1"/>
  <c r="B997" i="1"/>
  <c r="B2028" i="1"/>
  <c r="B2996" i="1"/>
  <c r="B3887" i="1"/>
  <c r="B3122" i="1"/>
  <c r="B1617" i="1"/>
  <c r="B1758" i="1"/>
  <c r="B5487" i="1"/>
  <c r="B5229" i="1"/>
  <c r="B3395" i="1"/>
  <c r="B57" i="1"/>
  <c r="B2226" i="1"/>
  <c r="B4427" i="1"/>
  <c r="B1725" i="1"/>
  <c r="B562" i="1"/>
  <c r="B5452" i="1"/>
  <c r="B1518" i="1"/>
  <c r="B2580" i="1"/>
  <c r="B195" i="1"/>
  <c r="B5757" i="1"/>
  <c r="B951" i="1"/>
  <c r="B962" i="1"/>
  <c r="B2997" i="1"/>
  <c r="B2021" i="1"/>
  <c r="B4043" i="1"/>
  <c r="B1837" i="1"/>
  <c r="B2141" i="1"/>
  <c r="B3172" i="1"/>
  <c r="B336" i="1"/>
  <c r="B2599" i="1"/>
  <c r="B372" i="1"/>
  <c r="B5403" i="1"/>
  <c r="B2763" i="1"/>
  <c r="B2103" i="1"/>
  <c r="B1023" i="1"/>
  <c r="B4819" i="1"/>
  <c r="B5935" i="1"/>
  <c r="B4257" i="1"/>
  <c r="B2555" i="1"/>
  <c r="B1995" i="1"/>
  <c r="B1593" i="1"/>
  <c r="B5110" i="1"/>
  <c r="B747" i="1"/>
  <c r="B5704" i="1"/>
  <c r="B1042" i="1"/>
  <c r="B723" i="1"/>
  <c r="B886" i="1"/>
  <c r="B972" i="1"/>
  <c r="B2929" i="1"/>
  <c r="B1599" i="1"/>
  <c r="B3125" i="1"/>
  <c r="B3572" i="1"/>
  <c r="B1000" i="1"/>
  <c r="B3042" i="1"/>
  <c r="B478" i="1"/>
  <c r="B853" i="1"/>
  <c r="B3777" i="1"/>
  <c r="B3022" i="1"/>
  <c r="B5449" i="1"/>
  <c r="B3458" i="1"/>
  <c r="B2703" i="1"/>
  <c r="B4208" i="1"/>
  <c r="B804" i="1"/>
  <c r="B5612" i="1"/>
  <c r="B2312" i="1"/>
  <c r="B4750" i="1"/>
  <c r="B1621" i="1"/>
  <c r="B5971" i="1"/>
  <c r="B2727" i="1"/>
  <c r="B2095" i="1"/>
  <c r="B4976" i="1"/>
  <c r="B5732" i="1"/>
  <c r="B305" i="1"/>
  <c r="B4532" i="1"/>
  <c r="B1796" i="1"/>
  <c r="B4959" i="1"/>
  <c r="B5320" i="1"/>
  <c r="B1533" i="1"/>
  <c r="B1017" i="1"/>
  <c r="B2167" i="1"/>
  <c r="B5134" i="1"/>
  <c r="B5918" i="1"/>
  <c r="B1160" i="1"/>
  <c r="B555" i="1"/>
  <c r="B1311" i="1"/>
  <c r="B5170" i="1"/>
  <c r="B1208" i="1"/>
  <c r="B4975" i="1"/>
  <c r="B721" i="1"/>
  <c r="B263" i="1"/>
  <c r="B3451" i="1"/>
  <c r="B3065" i="1"/>
  <c r="B1259" i="1"/>
  <c r="B1849" i="1"/>
  <c r="B373" i="1"/>
  <c r="B3764" i="1"/>
  <c r="B5061" i="1"/>
  <c r="B3562" i="1"/>
  <c r="B3634" i="1"/>
  <c r="B1072" i="1"/>
  <c r="B4787" i="1"/>
  <c r="B1939" i="1"/>
  <c r="B796" i="1"/>
  <c r="B3079" i="1"/>
  <c r="B1354" i="1"/>
  <c r="B1660" i="1"/>
  <c r="B1344" i="1"/>
  <c r="B679" i="1"/>
  <c r="B147" i="1"/>
  <c r="B460" i="1"/>
  <c r="B3387" i="1"/>
  <c r="B5733" i="1"/>
  <c r="B3923" i="1"/>
  <c r="B1904" i="1"/>
  <c r="B4166" i="1"/>
  <c r="B5903" i="1"/>
  <c r="B4273" i="1"/>
  <c r="B85" i="1"/>
  <c r="B3407" i="1"/>
  <c r="B79" i="1"/>
  <c r="B441" i="1"/>
  <c r="B223" i="1"/>
  <c r="B4934" i="1"/>
  <c r="B1659" i="1"/>
  <c r="B422" i="1"/>
  <c r="B994" i="1"/>
  <c r="B2237" i="1"/>
  <c r="B356" i="1"/>
  <c r="B1803" i="1"/>
  <c r="B5387" i="1"/>
  <c r="B1616" i="1"/>
  <c r="B5195" i="1"/>
  <c r="B345" i="1"/>
  <c r="B1530" i="1"/>
  <c r="B2093" i="1"/>
  <c r="B3803" i="1"/>
  <c r="B3597" i="1"/>
  <c r="B4488" i="1"/>
  <c r="B5017" i="1"/>
  <c r="B283" i="1"/>
  <c r="B2677" i="1"/>
  <c r="B2588" i="1"/>
  <c r="B2509" i="1"/>
  <c r="B1937" i="1"/>
  <c r="B1794" i="1"/>
  <c r="B4680" i="1"/>
  <c r="B1682" i="1"/>
  <c r="B2231" i="1"/>
  <c r="B2859" i="1"/>
  <c r="B4226" i="1"/>
  <c r="B1105" i="1"/>
  <c r="B241" i="1"/>
  <c r="B2177" i="1"/>
  <c r="B222" i="1"/>
  <c r="B2107" i="1"/>
  <c r="B753" i="1"/>
  <c r="B172" i="1"/>
  <c r="B4370" i="1"/>
  <c r="B5384" i="1"/>
  <c r="B1831" i="1"/>
  <c r="B5015" i="1"/>
  <c r="B1857" i="1"/>
  <c r="B4075" i="1"/>
  <c r="B1900" i="1"/>
  <c r="B1289" i="1"/>
  <c r="B948" i="1"/>
  <c r="B909" i="1"/>
  <c r="B3556" i="1"/>
  <c r="B5873" i="1"/>
  <c r="B4247" i="1"/>
  <c r="B2834" i="1"/>
  <c r="B1115" i="1"/>
  <c r="B311" i="1"/>
  <c r="B4992" i="1"/>
  <c r="B3631" i="1"/>
  <c r="B1735" i="1"/>
  <c r="B1957" i="1"/>
  <c r="B4460" i="1"/>
  <c r="B1715" i="1"/>
  <c r="B731" i="1"/>
  <c r="B153" i="1"/>
  <c r="B2973" i="1"/>
  <c r="B5960" i="1"/>
  <c r="B1062" i="1"/>
  <c r="B1358" i="1"/>
  <c r="B4406" i="1"/>
  <c r="B2229" i="1"/>
  <c r="B2498" i="1"/>
  <c r="B4249" i="1"/>
  <c r="B1890" i="1"/>
  <c r="B2620" i="1"/>
  <c r="B1167" i="1"/>
  <c r="B2083" i="1"/>
  <c r="B119" i="1"/>
  <c r="B2702" i="1"/>
  <c r="B358" i="1"/>
  <c r="B974" i="1"/>
  <c r="B1412" i="1"/>
  <c r="B5532" i="1"/>
  <c r="B5203" i="1"/>
  <c r="B5904" i="1"/>
  <c r="B1920" i="1"/>
  <c r="B1773" i="1"/>
  <c r="B2871" i="1"/>
  <c r="B3769" i="1"/>
  <c r="B278" i="1"/>
  <c r="B1315" i="1"/>
  <c r="B5255" i="1"/>
  <c r="B2939" i="1"/>
  <c r="B1386" i="1"/>
  <c r="B2333" i="1"/>
  <c r="B1968" i="1"/>
  <c r="B1544" i="1"/>
  <c r="B3176" i="1"/>
  <c r="B1107" i="1"/>
  <c r="B3965" i="1"/>
  <c r="B5912" i="1"/>
  <c r="B308" i="1"/>
  <c r="B1279" i="1"/>
  <c r="B4258" i="1"/>
  <c r="B1459" i="1"/>
  <c r="B3683" i="1"/>
  <c r="B4128" i="1"/>
  <c r="B2483" i="1"/>
  <c r="B5100" i="1"/>
  <c r="B4978" i="1"/>
  <c r="B3127" i="1"/>
  <c r="B1958" i="1"/>
  <c r="B480" i="1"/>
  <c r="B953" i="1"/>
  <c r="B1464" i="1"/>
  <c r="B5499" i="1"/>
  <c r="B5565" i="1"/>
  <c r="B798" i="1"/>
  <c r="B1755" i="1"/>
  <c r="B1063" i="1"/>
  <c r="B1896" i="1"/>
  <c r="B3627" i="1"/>
  <c r="B2272" i="1"/>
  <c r="B5123" i="1"/>
  <c r="B866" i="1"/>
  <c r="B3874" i="1"/>
  <c r="B5870" i="1"/>
  <c r="B3671" i="1"/>
  <c r="B3061" i="1"/>
  <c r="B4193" i="1"/>
  <c r="B746" i="1"/>
  <c r="B1165" i="1"/>
  <c r="B4831" i="1"/>
  <c r="B1720" i="1"/>
  <c r="B2342" i="1"/>
  <c r="B4274" i="1"/>
  <c r="B5699" i="1"/>
  <c r="B113" i="1"/>
  <c r="B4188" i="1"/>
  <c r="B3978" i="1"/>
  <c r="B5769" i="1"/>
  <c r="B2390" i="1"/>
  <c r="B825" i="1"/>
  <c r="B3880" i="1"/>
  <c r="B4814" i="1"/>
  <c r="B2886" i="1"/>
  <c r="B117" i="1"/>
  <c r="B2134" i="1"/>
  <c r="B4199" i="1"/>
  <c r="B3184" i="1"/>
  <c r="B3754" i="1"/>
  <c r="B1714" i="1"/>
  <c r="B567" i="1"/>
  <c r="B2404" i="1"/>
  <c r="B5489" i="1"/>
  <c r="B2423" i="1"/>
  <c r="B1635" i="1"/>
  <c r="B3094" i="1"/>
  <c r="B5987" i="1"/>
  <c r="B4584" i="1"/>
  <c r="B1853" i="1"/>
  <c r="B1956" i="1"/>
  <c r="B307" i="1"/>
  <c r="B1623" i="1"/>
  <c r="B1485" i="1"/>
  <c r="B5316" i="1"/>
  <c r="B1385" i="1"/>
  <c r="B2106" i="1"/>
  <c r="B565" i="1"/>
  <c r="B5382" i="1"/>
  <c r="B4054" i="1"/>
  <c r="B2652" i="1"/>
  <c r="B1899" i="1"/>
  <c r="B508" i="1"/>
  <c r="B1850" i="1"/>
  <c r="B3241" i="1"/>
  <c r="B605" i="1"/>
  <c r="B5649" i="1"/>
  <c r="B2057" i="1"/>
  <c r="B1804" i="1"/>
  <c r="B2268" i="1"/>
  <c r="B1917" i="1"/>
  <c r="B4905" i="1"/>
  <c r="B3542" i="1"/>
  <c r="B4344" i="1"/>
  <c r="B2730" i="1"/>
  <c r="B4967" i="1"/>
  <c r="B2193" i="1"/>
  <c r="B4085" i="1"/>
  <c r="B2906" i="1"/>
  <c r="B3675" i="1"/>
  <c r="B95" i="1"/>
  <c r="B2403" i="1"/>
  <c r="B3433" i="1"/>
  <c r="B3546" i="1"/>
  <c r="B5540" i="1"/>
  <c r="B4181" i="1"/>
  <c r="B1032" i="1"/>
  <c r="B4884" i="1"/>
  <c r="B3423" i="1"/>
  <c r="B1582" i="1"/>
  <c r="B371" i="1"/>
  <c r="B297" i="1"/>
  <c r="B5862" i="1"/>
  <c r="B383" i="1"/>
  <c r="B1125" i="1"/>
  <c r="B2810" i="1"/>
  <c r="B2456" i="1"/>
  <c r="B5132" i="1"/>
  <c r="B787" i="1"/>
  <c r="B4018" i="1"/>
  <c r="B688" i="1"/>
  <c r="B1631" i="1"/>
  <c r="B1555" i="1"/>
  <c r="B1169" i="1"/>
  <c r="B5592" i="1"/>
  <c r="B1039" i="1"/>
  <c r="B1284" i="1"/>
  <c r="B738" i="1"/>
  <c r="B1278" i="1"/>
  <c r="B1364" i="1"/>
  <c r="B1817" i="1"/>
  <c r="B4652" i="1"/>
  <c r="B126" i="1"/>
  <c r="B5333" i="1"/>
  <c r="B2143" i="1"/>
  <c r="B2596" i="1"/>
  <c r="B4630" i="1"/>
  <c r="B2266" i="1"/>
  <c r="B2442" i="1"/>
  <c r="B173" i="1"/>
  <c r="B2522" i="1"/>
  <c r="B4004" i="1"/>
  <c r="B5743" i="1"/>
  <c r="B4607" i="1"/>
  <c r="B1718" i="1"/>
  <c r="B56" i="1"/>
  <c r="B3457" i="1"/>
  <c r="B4553" i="1"/>
  <c r="B645" i="1"/>
  <c r="B68" i="1"/>
  <c r="B2604" i="1"/>
  <c r="B888" i="1"/>
  <c r="B5010" i="1"/>
  <c r="B4736" i="1"/>
  <c r="B3148" i="1"/>
  <c r="B3761" i="1"/>
  <c r="B842" i="1"/>
  <c r="B3372" i="1"/>
  <c r="B2004" i="1"/>
  <c r="B1196" i="1"/>
  <c r="B5190" i="1"/>
  <c r="B919" i="1"/>
  <c r="B552" i="1"/>
  <c r="B663" i="1"/>
  <c r="B5169" i="1"/>
  <c r="B3357" i="1"/>
  <c r="B1724" i="1"/>
  <c r="B5270" i="1"/>
  <c r="B630" i="1"/>
  <c r="B74" i="1"/>
  <c r="B4236" i="1"/>
  <c r="B4079" i="1"/>
  <c r="B773" i="1"/>
  <c r="B5413" i="1"/>
  <c r="B1818" i="1"/>
  <c r="B5756" i="1"/>
  <c r="B5090" i="1"/>
  <c r="B5931" i="1"/>
  <c r="B1484" i="1"/>
  <c r="B3281" i="1"/>
  <c r="B4776" i="1"/>
  <c r="B1546" i="1"/>
  <c r="B3149" i="1"/>
  <c r="B2563" i="1"/>
  <c r="B3337" i="1"/>
  <c r="B5932" i="1"/>
  <c r="B2046" i="1"/>
  <c r="B159" i="1"/>
  <c r="B2999" i="1"/>
  <c r="B4014" i="1"/>
  <c r="B812" i="1"/>
  <c r="B4324" i="1"/>
  <c r="B4565" i="1"/>
  <c r="B2699" i="1"/>
  <c r="B1875" i="1"/>
  <c r="B4399" i="1"/>
  <c r="B2746" i="1"/>
  <c r="B3412" i="1"/>
  <c r="B1302" i="1"/>
  <c r="B1671" i="1"/>
  <c r="B2223" i="1"/>
  <c r="B4526" i="1"/>
  <c r="B1153" i="1"/>
  <c r="B684" i="1"/>
  <c r="B4059" i="1"/>
  <c r="B4405" i="1"/>
  <c r="B691" i="1"/>
  <c r="B2491" i="1"/>
  <c r="B242" i="1"/>
  <c r="B5714" i="1"/>
  <c r="B5500" i="1"/>
  <c r="B3788" i="1"/>
  <c r="B3953" i="1"/>
  <c r="B368" i="1"/>
  <c r="B1569" i="1"/>
  <c r="B2676" i="1"/>
  <c r="B4409" i="1"/>
  <c r="B3782" i="1"/>
  <c r="B2736" i="1"/>
  <c r="B2258" i="1"/>
  <c r="B3906" i="1"/>
  <c r="B3492" i="1"/>
  <c r="B3468" i="1"/>
  <c r="B1637" i="1"/>
  <c r="B3156" i="1"/>
  <c r="B5462" i="1"/>
  <c r="B378" i="1"/>
  <c r="B3025" i="1"/>
  <c r="B1411" i="1"/>
  <c r="B2653" i="1"/>
  <c r="B3733" i="1"/>
  <c r="B5513" i="1"/>
  <c r="B2310" i="1"/>
  <c r="B5628" i="1"/>
  <c r="B3539" i="1"/>
  <c r="B627" i="1"/>
  <c r="B2379" i="1"/>
  <c r="B1438" i="1"/>
  <c r="B4646" i="1"/>
  <c r="B4921" i="1"/>
  <c r="B482" i="1"/>
  <c r="B2444" i="1"/>
  <c r="B2659" i="1"/>
  <c r="B275" i="1"/>
  <c r="B890" i="1"/>
  <c r="B400" i="1"/>
  <c r="B1150" i="1"/>
  <c r="B164" i="1"/>
  <c r="B1982" i="1"/>
  <c r="B5024" i="1"/>
  <c r="B522" i="1"/>
  <c r="B80" i="1"/>
  <c r="B3051" i="1"/>
  <c r="B3400" i="1"/>
  <c r="B5349" i="1"/>
  <c r="B4807" i="1"/>
  <c r="B1006" i="1"/>
  <c r="B5851" i="1"/>
  <c r="B2126" i="1"/>
  <c r="B932" i="1"/>
  <c r="B2163" i="1"/>
  <c r="B5290" i="1"/>
  <c r="B4211" i="1"/>
  <c r="B299" i="1"/>
  <c r="B3332" i="1"/>
  <c r="B2148" i="1"/>
  <c r="B5207" i="1"/>
  <c r="B5359" i="1"/>
  <c r="B2006" i="1"/>
  <c r="B2839" i="1"/>
  <c r="B1368" i="1"/>
  <c r="B524" i="1"/>
  <c r="B4317" i="1"/>
  <c r="B694" i="1"/>
  <c r="B1764" i="1"/>
  <c r="B2205" i="1"/>
  <c r="B556" i="1"/>
  <c r="B409" i="1"/>
  <c r="B3250" i="1"/>
  <c r="B4232" i="1"/>
  <c r="B5493" i="1"/>
  <c r="B885" i="1"/>
  <c r="B1649" i="1"/>
  <c r="B5527" i="1"/>
  <c r="B792" i="1"/>
  <c r="B36" i="1"/>
  <c r="B778" i="1"/>
  <c r="B1641" i="1"/>
  <c r="B3120" i="1"/>
  <c r="B4365" i="1"/>
  <c r="B3242" i="1"/>
  <c r="B310" i="1"/>
  <c r="B845" i="1"/>
  <c r="B1452" i="1"/>
  <c r="B5863" i="1"/>
  <c r="B1011" i="1"/>
  <c r="B1192" i="1"/>
  <c r="B5347" i="1"/>
  <c r="B3244" i="1"/>
  <c r="B1743" i="1"/>
  <c r="B4674" i="1"/>
  <c r="B2101" i="1"/>
  <c r="B2789" i="1"/>
  <c r="B3949" i="1"/>
  <c r="B3171" i="1"/>
  <c r="B2971" i="1"/>
  <c r="B3004" i="1"/>
  <c r="B2885" i="1"/>
  <c r="B4046" i="1"/>
  <c r="B2020" i="1"/>
  <c r="B2569" i="1"/>
  <c r="B5717" i="1"/>
  <c r="B4634" i="1"/>
  <c r="B2068" i="1"/>
  <c r="B4740" i="1"/>
  <c r="B1016" i="1"/>
  <c r="B568" i="1"/>
  <c r="B1281" i="1"/>
  <c r="B1403" i="1"/>
  <c r="B5662" i="1"/>
  <c r="B4843" i="1"/>
  <c r="B4311" i="1"/>
  <c r="B4980" i="1"/>
  <c r="B2893" i="1"/>
  <c r="B5871" i="1"/>
  <c r="B3900" i="1"/>
  <c r="B4320" i="1"/>
  <c r="B5926" i="1"/>
  <c r="B254" i="1"/>
  <c r="B5727" i="1"/>
  <c r="B224" i="1"/>
  <c r="B1996" i="1"/>
  <c r="B2716" i="1"/>
  <c r="B2755" i="1"/>
  <c r="B2200" i="1"/>
  <c r="B5667" i="1"/>
  <c r="B2955" i="1"/>
  <c r="B443" i="1"/>
  <c r="B3934" i="1"/>
  <c r="B2927" i="1"/>
  <c r="B2675" i="1"/>
  <c r="B517" i="1"/>
  <c r="B3040" i="1"/>
  <c r="B5025" i="1"/>
  <c r="B5501" i="1"/>
  <c r="B4613" i="1"/>
  <c r="B5625" i="1"/>
  <c r="B4947" i="1"/>
  <c r="B4691" i="1"/>
  <c r="B3936" i="1"/>
  <c r="B3267" i="1"/>
  <c r="B2738" i="1"/>
  <c r="B3297" i="1"/>
  <c r="B3053" i="1"/>
  <c r="B4795" i="1"/>
  <c r="B702" i="1"/>
  <c r="B596" i="1"/>
  <c r="B5658" i="1"/>
  <c r="B2357" i="1"/>
  <c r="B2590" i="1"/>
  <c r="B2851" i="1"/>
  <c r="B292" i="1"/>
  <c r="B5404" i="1"/>
  <c r="B4678" i="1"/>
  <c r="B4918" i="1"/>
  <c r="B1218" i="1"/>
  <c r="B4448" i="1"/>
  <c r="B4121" i="1"/>
  <c r="B3157" i="1"/>
  <c r="B5409" i="1"/>
  <c r="B4132" i="1"/>
  <c r="B2856" i="1"/>
  <c r="B2014" i="1"/>
  <c r="B828" i="1"/>
  <c r="B4717" i="1"/>
  <c r="B272" i="1"/>
  <c r="B1612" i="1"/>
  <c r="B2869" i="1"/>
  <c r="B2302" i="1"/>
  <c r="B5212" i="1"/>
  <c r="B62" i="1"/>
  <c r="B2228" i="1"/>
  <c r="B2449" i="1"/>
  <c r="B5492" i="1"/>
  <c r="B2902" i="1"/>
  <c r="B563" i="1"/>
  <c r="B1799" i="1"/>
  <c r="B4830" i="1"/>
  <c r="B2473" i="1"/>
  <c r="B4152" i="1"/>
  <c r="B5375" i="1"/>
  <c r="B1868" i="1"/>
  <c r="B1916" i="1"/>
  <c r="B494" i="1"/>
  <c r="B1880" i="1"/>
  <c r="B5941" i="1"/>
  <c r="B4577" i="1"/>
  <c r="B3214" i="1"/>
  <c r="B1727" i="1"/>
  <c r="B1830" i="1"/>
  <c r="B1595" i="1"/>
  <c r="B3639" i="1"/>
  <c r="B3364" i="1"/>
  <c r="B5124" i="1"/>
  <c r="B3815" i="1"/>
  <c r="B2578" i="1"/>
  <c r="B1576" i="1"/>
  <c r="B3555" i="1"/>
  <c r="B1430" i="1"/>
  <c r="B4961" i="1"/>
  <c r="B1178" i="1"/>
  <c r="B5192" i="1"/>
  <c r="B256" i="1"/>
  <c r="B1471" i="1"/>
  <c r="B403" i="1"/>
  <c r="B1696" i="1"/>
  <c r="B474" i="1"/>
  <c r="B5360" i="1"/>
  <c r="B3916" i="1"/>
  <c r="B1269" i="1"/>
  <c r="B2739" i="1"/>
  <c r="B2375" i="1"/>
  <c r="B978" i="1"/>
  <c r="B4215" i="1"/>
  <c r="B5201" i="1"/>
  <c r="B2758" i="1"/>
  <c r="B4027" i="1"/>
  <c r="B559" i="1"/>
  <c r="B1751" i="1"/>
  <c r="B884" i="1"/>
  <c r="B2003" i="1"/>
  <c r="B1162" i="1"/>
  <c r="B253" i="1"/>
  <c r="B561" i="1"/>
  <c r="B28" i="1"/>
  <c r="B2396" i="1"/>
  <c r="B3166" i="1"/>
  <c r="B3361" i="1"/>
  <c r="B4407" i="1"/>
  <c r="B5736" i="1"/>
  <c r="B471" i="1"/>
  <c r="B2639" i="1"/>
  <c r="B2725" i="1"/>
  <c r="B5326" i="1"/>
  <c r="B96" i="1"/>
  <c r="B1819" i="1"/>
  <c r="B4774" i="1"/>
  <c r="B2838" i="1"/>
  <c r="B2043" i="1"/>
  <c r="B5236" i="1"/>
  <c r="B1928" i="1"/>
  <c r="B1500" i="1"/>
  <c r="B2544" i="1"/>
  <c r="B76" i="1"/>
  <c r="B3646" i="1"/>
  <c r="B783" i="1"/>
  <c r="B3778" i="1"/>
  <c r="B349" i="1"/>
  <c r="B86" i="1"/>
  <c r="B3429" i="1"/>
  <c r="B2922" i="1"/>
  <c r="B5469" i="1"/>
  <c r="B690" i="1"/>
  <c r="B1586" i="1"/>
  <c r="B2828" i="1"/>
  <c r="B966" i="1"/>
  <c r="B3829" i="1"/>
  <c r="B2070" i="1"/>
  <c r="B1931" i="1"/>
  <c r="B4672" i="1"/>
  <c r="B5172" i="1"/>
  <c r="B2568" i="1"/>
  <c r="B5456" i="1"/>
  <c r="B3660" i="1"/>
  <c r="B3590" i="1"/>
  <c r="B3304" i="1"/>
  <c r="B4941" i="1"/>
  <c r="B1497" i="1"/>
  <c r="B3848" i="1"/>
  <c r="B5306" i="1"/>
  <c r="B550" i="1"/>
  <c r="B4846" i="1"/>
  <c r="B2582" i="1"/>
  <c r="B5341" i="1"/>
  <c r="B220" i="1"/>
  <c r="B2841" i="1"/>
  <c r="B73" i="1"/>
  <c r="B5818" i="1"/>
  <c r="B5144" i="1"/>
  <c r="B2618" i="1"/>
  <c r="B1080" i="1"/>
  <c r="B5263" i="1"/>
  <c r="B1526" i="1"/>
  <c r="B407" i="1"/>
  <c r="B40" i="1"/>
  <c r="B2050" i="1"/>
  <c r="B2453" i="1"/>
  <c r="B5058" i="1"/>
  <c r="B761" i="1"/>
  <c r="B499" i="1"/>
  <c r="B3869" i="1"/>
  <c r="B1317" i="1"/>
  <c r="B3540" i="1"/>
  <c r="B2529" i="1"/>
  <c r="B687" i="1"/>
  <c r="B1369" i="1"/>
  <c r="B1887" i="1"/>
  <c r="B2119" i="1"/>
  <c r="B2385" i="1"/>
  <c r="B4082" i="1"/>
  <c r="B5173" i="1"/>
  <c r="B444" i="1"/>
  <c r="B1693" i="1"/>
  <c r="B3752" i="1"/>
  <c r="B2252" i="1"/>
  <c r="B5350" i="1"/>
  <c r="B5181" i="1"/>
  <c r="B3992" i="1"/>
  <c r="B1553" i="1"/>
  <c r="B1134" i="1"/>
  <c r="B1699" i="1"/>
  <c r="B3621" i="1"/>
  <c r="B4694" i="1"/>
  <c r="B2855" i="1"/>
  <c r="B3041" i="1"/>
  <c r="B5040" i="1"/>
  <c r="B1866" i="1"/>
  <c r="B3088" i="1"/>
  <c r="B2485" i="1"/>
  <c r="B2510" i="1"/>
  <c r="B1767" i="1"/>
  <c r="B820" i="1"/>
  <c r="B3449" i="1"/>
  <c r="B225" i="1"/>
  <c r="B1353" i="1"/>
  <c r="B2391" i="1"/>
  <c r="B70" i="1"/>
  <c r="B66" i="1"/>
  <c r="B620" i="1"/>
  <c r="B1025" i="1"/>
  <c r="B1987" i="1"/>
  <c r="B1155" i="1"/>
  <c r="B227" i="1"/>
  <c r="B1454" i="1"/>
  <c r="B4353" i="1"/>
  <c r="B2847" i="1"/>
  <c r="B855" i="1"/>
  <c r="B4538" i="1"/>
  <c r="B5215" i="1"/>
  <c r="B264" i="1"/>
  <c r="B1437" i="1"/>
  <c r="B2836" i="1"/>
  <c r="B4197" i="1"/>
  <c r="B3044" i="1"/>
  <c r="B4828" i="1"/>
  <c r="B3876" i="1"/>
  <c r="B2008" i="1"/>
  <c r="B335" i="1"/>
  <c r="B1862" i="1"/>
  <c r="B5353" i="1"/>
  <c r="B2037" i="1"/>
  <c r="B2410" i="1"/>
  <c r="B2384" i="1"/>
  <c r="B1086" i="1"/>
  <c r="B365" i="1"/>
  <c r="B2011" i="1"/>
  <c r="B5303" i="1"/>
  <c r="B4471" i="1"/>
  <c r="B5055" i="1"/>
  <c r="B339" i="1"/>
  <c r="B2025" i="1"/>
  <c r="B5512" i="1"/>
  <c r="B5579" i="1"/>
  <c r="B4685" i="1"/>
  <c r="B1672" i="1"/>
  <c r="B2527" i="1"/>
  <c r="B284" i="1"/>
  <c r="B3173" i="1"/>
  <c r="B4161" i="1"/>
  <c r="B268" i="1"/>
  <c r="B4436" i="1"/>
  <c r="B5968" i="1"/>
  <c r="B3390" i="1"/>
  <c r="B3801" i="1"/>
  <c r="B1477" i="1"/>
  <c r="B1733" i="1"/>
  <c r="B625" i="1"/>
  <c r="B876" i="1"/>
  <c r="B864" i="1"/>
  <c r="B5637" i="1"/>
  <c r="B3482" i="1"/>
  <c r="B832" i="1"/>
  <c r="B112" i="1"/>
  <c r="B4862" i="1"/>
  <c r="B322" i="1"/>
  <c r="B4358" i="1"/>
  <c r="B4922" i="1"/>
  <c r="B2647" i="1"/>
  <c r="B2321" i="1"/>
  <c r="B642" i="1"/>
  <c r="B1119" i="1"/>
  <c r="B616" i="1"/>
  <c r="B2133" i="1"/>
  <c r="B1807" i="1"/>
  <c r="B1644" i="1"/>
  <c r="B889" i="1"/>
  <c r="B3367" i="1"/>
  <c r="B581" i="1"/>
  <c r="B5299" i="1"/>
  <c r="B468" i="1"/>
  <c r="B261" i="1"/>
  <c r="B5245" i="1"/>
  <c r="B4813" i="1"/>
  <c r="B1798" i="1"/>
  <c r="B3142" i="1"/>
  <c r="B4294" i="1"/>
  <c r="B46" i="1"/>
  <c r="B4461" i="1"/>
  <c r="B213" i="1"/>
  <c r="B3402" i="1"/>
  <c r="B203" i="1"/>
  <c r="B2346" i="1"/>
  <c r="B324" i="1"/>
  <c r="B1346" i="1"/>
  <c r="B789" i="1"/>
  <c r="B868" i="1"/>
  <c r="B3523" i="1"/>
  <c r="B5331" i="1"/>
  <c r="B65" i="1"/>
  <c r="B1691" i="1"/>
  <c r="B2370" i="1"/>
  <c r="B1778" i="1"/>
  <c r="B4485" i="1"/>
  <c r="B667" i="1"/>
  <c r="B3106" i="1"/>
  <c r="B3282" i="1"/>
  <c r="B202" i="1"/>
  <c r="B1737" i="1"/>
  <c r="B2064" i="1"/>
  <c r="B5371" i="1"/>
  <c r="B2320" i="1"/>
  <c r="B846" i="1"/>
  <c r="B2380" i="1"/>
  <c r="B1429" i="1"/>
  <c r="B5752" i="1"/>
  <c r="B462" i="1"/>
  <c r="B5936" i="1"/>
  <c r="B1503" i="1"/>
  <c r="B646" i="1"/>
  <c r="B2221" i="1"/>
  <c r="B1606" i="1"/>
  <c r="B5583" i="1"/>
  <c r="B4788" i="1"/>
  <c r="B3588" i="1"/>
  <c r="B3103" i="1"/>
  <c r="B551" i="1"/>
  <c r="B4341" i="1"/>
  <c r="B3573" i="1"/>
  <c r="B4653" i="1"/>
  <c r="B3198" i="1"/>
  <c r="B3087" i="1"/>
  <c r="B1581" i="1"/>
  <c r="B2693" i="1"/>
  <c r="B3870" i="1"/>
  <c r="B3582" i="1"/>
  <c r="B4711" i="1"/>
  <c r="B2345" i="1"/>
  <c r="B2195" i="1"/>
  <c r="B3886" i="1"/>
  <c r="B5183" i="1"/>
  <c r="B3024" i="1"/>
  <c r="B895" i="1"/>
  <c r="B5000" i="1"/>
  <c r="B2820" i="1"/>
  <c r="B3164" i="1"/>
  <c r="B5291" i="1"/>
  <c r="B1754" i="1"/>
  <c r="B3510" i="1"/>
  <c r="B2749" i="1"/>
  <c r="B2080" i="1"/>
  <c r="B5398" i="1"/>
  <c r="B2686" i="1"/>
  <c r="B1977" i="1"/>
  <c r="B434" i="1"/>
  <c r="B1349" i="1"/>
  <c r="B3246" i="1"/>
  <c r="B61" i="1"/>
  <c r="B3190" i="1"/>
  <c r="B5508" i="1"/>
  <c r="B4515" i="1"/>
  <c r="B2740" i="1"/>
  <c r="B5343" i="1"/>
  <c r="B5180" i="1"/>
  <c r="B92" i="1"/>
  <c r="B2349" i="1"/>
  <c r="B2027" i="1"/>
  <c r="B4198" i="1"/>
  <c r="B3851" i="1"/>
  <c r="B5262" i="1"/>
  <c r="B5281" i="1"/>
  <c r="B97" i="1"/>
  <c r="B312" i="1"/>
  <c r="B4741" i="1"/>
  <c r="B2696" i="1"/>
  <c r="B2334" i="1"/>
  <c r="B987" i="1"/>
  <c r="B653" i="1"/>
  <c r="B5866" i="1"/>
  <c r="B3440" i="1"/>
  <c r="B3217" i="1"/>
  <c r="B1343" i="1"/>
  <c r="B2950" i="1"/>
  <c r="B5632" i="1"/>
  <c r="B5587" i="1"/>
  <c r="B3907" i="1"/>
  <c r="B136" i="1"/>
  <c r="B5774" i="1"/>
  <c r="B648" i="1"/>
  <c r="B2290" i="1"/>
  <c r="B4777" i="1"/>
  <c r="B5546" i="1"/>
  <c r="B558" i="1"/>
  <c r="B2202" i="1"/>
  <c r="B4357" i="1"/>
  <c r="B2503" i="1"/>
  <c r="B160" i="1"/>
  <c r="B2269" i="1"/>
  <c r="B983" i="1"/>
  <c r="B2655" i="1"/>
  <c r="B3118" i="1"/>
  <c r="B2452" i="1"/>
  <c r="B1795" i="1"/>
  <c r="B1367" i="1"/>
  <c r="B2448" i="1"/>
  <c r="B1448" i="1"/>
  <c r="B2640" i="1"/>
  <c r="B3259" i="1"/>
  <c r="B149" i="1"/>
  <c r="B5975" i="1"/>
  <c r="B3284" i="1"/>
  <c r="B2319" i="1"/>
  <c r="B1702" i="1"/>
  <c r="B4995" i="1"/>
  <c r="B3852" i="1"/>
  <c r="B1950" i="1"/>
  <c r="B3434" i="1"/>
  <c r="B5250" i="1"/>
  <c r="B1988" i="1"/>
  <c r="B2264" i="1"/>
  <c r="B863" i="1"/>
  <c r="B4160" i="1"/>
  <c r="B856" i="1"/>
  <c r="B274" i="1"/>
  <c r="B759" i="1"/>
  <c r="B4286" i="1"/>
  <c r="B1265" i="1"/>
  <c r="B2889" i="1"/>
  <c r="B296" i="1"/>
  <c r="B60" i="1"/>
  <c r="B2536" i="1"/>
  <c r="B1505" i="1"/>
  <c r="B1468" i="1"/>
  <c r="B5829" i="1"/>
  <c r="B3075" i="1"/>
  <c r="B3595" i="1"/>
  <c r="B3168" i="1"/>
  <c r="B1168" i="1"/>
  <c r="B2881" i="1"/>
  <c r="B90" i="1"/>
  <c r="B5853" i="1"/>
  <c r="B2484" i="1"/>
  <c r="B1846" i="1"/>
  <c r="B156" i="1"/>
  <c r="B1124" i="1"/>
  <c r="B5304" i="1"/>
  <c r="B4544" i="1"/>
  <c r="B1214" i="1"/>
  <c r="B229" i="1"/>
  <c r="B3455" i="1"/>
  <c r="B4643" i="1"/>
  <c r="B4379" i="1"/>
  <c r="B141" i="1"/>
  <c r="B2276" i="1"/>
  <c r="B2304" i="1"/>
  <c r="B3892" i="1"/>
  <c r="B3072" i="1"/>
  <c r="B1100" i="1"/>
  <c r="B4756" i="1"/>
  <c r="B1509" i="1"/>
  <c r="B5889" i="1"/>
  <c r="B481" i="1"/>
  <c r="B3985" i="1"/>
  <c r="B5834" i="1"/>
  <c r="B1975" i="1"/>
  <c r="B860" i="1"/>
  <c r="B1394" i="1"/>
  <c r="B127" i="1"/>
  <c r="B2337" i="1"/>
  <c r="B2944" i="1"/>
  <c r="B98" i="1"/>
  <c r="B3905" i="1"/>
  <c r="B2048" i="1"/>
  <c r="B4511" i="1"/>
  <c r="B4179" i="1"/>
  <c r="B4885" i="1"/>
  <c r="B38" i="1"/>
  <c r="B265" i="1"/>
  <c r="B472" i="1"/>
  <c r="B1142" i="1"/>
  <c r="B5856" i="1"/>
  <c r="B1587" i="1"/>
  <c r="B5846" i="1"/>
  <c r="B4623" i="1"/>
  <c r="B4290" i="1"/>
  <c r="B709" i="1"/>
  <c r="B942" i="1"/>
  <c r="B1976" i="1"/>
  <c r="B505" i="1"/>
  <c r="B3531" i="1"/>
  <c r="B1779" i="1"/>
  <c r="B2194" i="1"/>
  <c r="B4965" i="1"/>
  <c r="B1506" i="1"/>
  <c r="B1117" i="1"/>
  <c r="B1909" i="1"/>
  <c r="B2921" i="1"/>
  <c r="B5887" i="1"/>
  <c r="B3790" i="1"/>
  <c r="B5944" i="1"/>
  <c r="B4595" i="1"/>
  <c r="B1938" i="1"/>
  <c r="B2638" i="1"/>
  <c r="B1809" i="1"/>
  <c r="B1357" i="1"/>
  <c r="B357" i="1"/>
  <c r="B3323" i="1"/>
  <c r="B5491" i="1"/>
  <c r="B1073" i="1"/>
  <c r="B4095" i="1"/>
  <c r="B1632" i="1"/>
  <c r="B3763" i="1"/>
  <c r="B2732" i="1"/>
  <c r="B540" i="1"/>
  <c r="B1171" i="1"/>
  <c r="B4021" i="1"/>
  <c r="B4156" i="1"/>
  <c r="B5648" i="1"/>
  <c r="B4069" i="1"/>
  <c r="B2105" i="1"/>
  <c r="B3969" i="1"/>
  <c r="B896" i="1"/>
  <c r="B805" i="1"/>
  <c r="B388" i="1"/>
  <c r="B2121" i="1"/>
  <c r="B5184" i="1"/>
  <c r="B193" i="1"/>
  <c r="B3080" i="1"/>
  <c r="B2905" i="1"/>
  <c r="B4185" i="1"/>
  <c r="B3952" i="1"/>
  <c r="B4309" i="1"/>
  <c r="B3775" i="1"/>
  <c r="B1608" i="1"/>
  <c r="B4664" i="1"/>
  <c r="B5164" i="1"/>
  <c r="B1075" i="1"/>
  <c r="B5623" i="1"/>
  <c r="B93" i="1"/>
  <c r="B1873" i="1"/>
  <c r="B5074" i="1"/>
  <c r="B658" i="1"/>
  <c r="B1648" i="1"/>
  <c r="B1965" i="1"/>
  <c r="B1824" i="1"/>
  <c r="B64" i="1"/>
  <c r="B536" i="1"/>
  <c r="B830" i="1"/>
  <c r="B5179" i="1"/>
  <c r="B1229" i="1"/>
  <c r="B2123" i="1"/>
  <c r="B1914" i="1"/>
  <c r="B1418" i="1"/>
  <c r="B3500" i="1"/>
  <c r="B3113" i="1"/>
  <c r="B2338" i="1"/>
  <c r="B1828" i="1"/>
  <c r="B2160" i="1"/>
  <c r="B5823" i="1"/>
  <c r="B445" i="1"/>
  <c r="B44" i="1"/>
  <c r="B1402" i="1"/>
  <c r="B194" i="1"/>
  <c r="B3188" i="1"/>
  <c r="B2151" i="1"/>
  <c r="B5119" i="1"/>
  <c r="B2023" i="1"/>
  <c r="B330" i="1"/>
  <c r="B5914" i="1"/>
  <c r="B4897" i="1"/>
  <c r="B1047" i="1"/>
  <c r="B2765" i="1"/>
  <c r="B2286" i="1"/>
  <c r="B4645" i="1"/>
  <c r="B413" i="1"/>
  <c r="B5048" i="1"/>
  <c r="B1973" i="1"/>
  <c r="B1493" i="1"/>
  <c r="B911" i="1"/>
  <c r="B2335" i="1"/>
  <c r="B3665" i="1"/>
  <c r="B530" i="1"/>
  <c r="B5712" i="1"/>
  <c r="B748" i="1"/>
  <c r="B1961" i="1"/>
  <c r="B3563" i="1"/>
  <c r="B4880" i="1"/>
  <c r="B1234" i="1"/>
  <c r="B3525" i="1"/>
  <c r="B1486" i="1"/>
  <c r="B1030" i="1"/>
  <c r="B2051" i="1"/>
  <c r="B3309" i="1"/>
  <c r="B5796" i="1"/>
  <c r="B4280" i="1"/>
  <c r="B4574" i="1"/>
  <c r="B939" i="1"/>
  <c r="B2476" i="1"/>
  <c r="B4269" i="1"/>
  <c r="B3192" i="1"/>
  <c r="B1878" i="1"/>
  <c r="B2139" i="1"/>
  <c r="B23" i="1"/>
  <c r="B4556" i="1"/>
  <c r="B641" i="1"/>
  <c r="B1627" i="1"/>
  <c r="B5673" i="1"/>
  <c r="B2289" i="1"/>
  <c r="B389" i="1"/>
  <c r="B5946" i="1"/>
  <c r="B2482" i="1"/>
  <c r="B1719" i="1"/>
  <c r="B5395" i="1"/>
  <c r="B72" i="1"/>
  <c r="B3313" i="1"/>
  <c r="B1099" i="1"/>
  <c r="B2344" i="1"/>
  <c r="B3724" i="1"/>
  <c r="B155" i="1"/>
  <c r="B785" i="1"/>
  <c r="B277" i="1"/>
  <c r="B523" i="1"/>
  <c r="B2543" i="1"/>
  <c r="B1513" i="1"/>
  <c r="B2122" i="1"/>
  <c r="B361" i="1"/>
  <c r="B3230" i="1"/>
  <c r="B39" i="1"/>
  <c r="B5307" i="1"/>
  <c r="B1785" i="1"/>
  <c r="B2575" i="1"/>
  <c r="B5875" i="1"/>
  <c r="B1707" i="1"/>
  <c r="B2516" i="1"/>
  <c r="B366" i="1"/>
  <c r="B338" i="1"/>
  <c r="B4147" i="1"/>
  <c r="B5008" i="1"/>
  <c r="B4974" i="1"/>
  <c r="B5614" i="1"/>
  <c r="B5325" i="1"/>
  <c r="B2437" i="1"/>
  <c r="B5779" i="1"/>
  <c r="B1351" i="1"/>
  <c r="B3680" i="1"/>
  <c r="B2903" i="1"/>
  <c r="B5437" i="1"/>
  <c r="B4889" i="1"/>
  <c r="B2029" i="1"/>
  <c r="B5101" i="1"/>
  <c r="B2197" i="1"/>
  <c r="B290" i="1"/>
  <c r="B3896" i="1"/>
  <c r="B5794" i="1"/>
  <c r="B1614" i="1"/>
  <c r="B3568" i="1"/>
  <c r="B5609" i="1"/>
  <c r="B2965" i="1"/>
  <c r="B185" i="1"/>
  <c r="B4621" i="1"/>
  <c r="B355" i="1"/>
  <c r="B1983" i="1"/>
  <c r="B906" i="1"/>
  <c r="B3684" i="1"/>
  <c r="B4602" i="1"/>
  <c r="B2538" i="1"/>
  <c r="B109" i="1"/>
  <c r="B862" i="1"/>
  <c r="B1444" i="1"/>
  <c r="B2549" i="1"/>
  <c r="B94" i="1"/>
  <c r="B4440" i="1"/>
  <c r="B3894" i="1"/>
  <c r="B5524" i="1"/>
  <c r="B2040" i="1"/>
  <c r="B47" i="1"/>
  <c r="B554" i="1"/>
  <c r="B374" i="1"/>
  <c r="B5252" i="1"/>
  <c r="B3026" i="1"/>
  <c r="B190" i="1"/>
  <c r="B5422" i="1"/>
  <c r="B598" i="1"/>
  <c r="B4333" i="1"/>
  <c r="B2454" i="1"/>
  <c r="B424" i="1"/>
  <c r="B5338" i="1"/>
  <c r="B3972" i="1"/>
  <c r="B3779" i="1"/>
  <c r="B1902" i="1"/>
  <c r="B5576" i="1"/>
  <c r="B5053" i="1"/>
  <c r="B2132" i="1"/>
  <c r="B4521" i="1"/>
  <c r="B4997" i="1"/>
  <c r="B5080" i="1"/>
  <c r="B4706" i="1"/>
  <c r="B5613" i="1"/>
  <c r="B3294" i="1"/>
  <c r="B1322" i="1"/>
  <c r="B2084" i="1"/>
  <c r="B1381" i="1"/>
  <c r="B4506" i="1"/>
  <c r="B5256" i="1"/>
  <c r="B1980" i="1"/>
  <c r="B4666" i="1"/>
  <c r="B331" i="1"/>
  <c r="B5620" i="1"/>
  <c r="B4930" i="1"/>
  <c r="B4484" i="1"/>
  <c r="B833" i="1"/>
  <c r="B2443" i="1"/>
  <c r="B5824" i="1"/>
  <c r="B3732" i="1"/>
  <c r="B5496" i="1"/>
  <c r="B4679" i="1"/>
  <c r="B1335" i="1"/>
  <c r="B4721" i="1"/>
  <c r="B2822" i="1"/>
  <c r="B2267" i="1"/>
  <c r="B4809" i="1"/>
  <c r="B2505" i="1"/>
  <c r="B4586" i="1"/>
  <c r="B3420" i="1"/>
  <c r="B4597" i="1"/>
  <c r="B821" i="1"/>
  <c r="B2983" i="1"/>
  <c r="B2159" i="1"/>
  <c r="B332" i="1"/>
  <c r="B2032" i="1"/>
  <c r="B4979" i="1"/>
  <c r="B2285" i="1"/>
  <c r="B2565" i="1"/>
  <c r="B1515" i="1"/>
  <c r="B945" i="1"/>
  <c r="B3594" i="1"/>
  <c r="B1253" i="1"/>
  <c r="B3035" i="1"/>
  <c r="B3970" i="1"/>
  <c r="B1738" i="1"/>
  <c r="B1233" i="1"/>
  <c r="B514" i="1"/>
  <c r="B5011" i="1"/>
  <c r="B4200" i="1"/>
  <c r="B893" i="1"/>
  <c r="B2664" i="1"/>
  <c r="B1860" i="1"/>
  <c r="B1521" i="1"/>
  <c r="B2532" i="1"/>
  <c r="B976" i="1"/>
  <c r="B2501" i="1"/>
  <c r="B2976" i="1"/>
  <c r="B5023" i="1"/>
  <c r="B643" i="1"/>
  <c r="B750" i="1"/>
  <c r="B3606" i="1"/>
  <c r="B4073" i="1"/>
  <c r="B1677" i="1"/>
  <c r="B1393" i="1"/>
  <c r="B5691" i="1"/>
  <c r="B1273" i="1"/>
  <c r="B1415" i="1"/>
  <c r="B490" i="1"/>
  <c r="B2421" i="1"/>
  <c r="B724" i="1"/>
  <c r="B5840" i="1"/>
  <c r="B2884" i="1"/>
  <c r="B3100" i="1"/>
  <c r="B309" i="1"/>
  <c r="B4986" i="1"/>
  <c r="B4604" i="1"/>
  <c r="B4003" i="1"/>
  <c r="B531" i="1"/>
  <c r="B2728" i="1"/>
  <c r="B924" i="1"/>
  <c r="B3279" i="1"/>
  <c r="B975" i="1"/>
  <c r="B2232" i="1"/>
  <c r="B954" i="1"/>
  <c r="B2849" i="1"/>
  <c r="B5857" i="1"/>
  <c r="B2081" i="1"/>
  <c r="B4495" i="1"/>
  <c r="B4983" i="1"/>
  <c r="B2090" i="1"/>
  <c r="B4497" i="1"/>
  <c r="B3708" i="1"/>
  <c r="B4640" i="1"/>
  <c r="B1749" i="1"/>
  <c r="B3220" i="1"/>
  <c r="B610" i="1"/>
  <c r="B2685" i="1"/>
  <c r="B2411" i="1"/>
  <c r="B329" i="1"/>
  <c r="B2044" i="1"/>
  <c r="B4478" i="1"/>
  <c r="B1340" i="1"/>
  <c r="B3355" i="1"/>
  <c r="B4873" i="1"/>
  <c r="B918" i="1"/>
  <c r="B103" i="1"/>
  <c r="B3547" i="1"/>
  <c r="B5937" i="1"/>
  <c r="B3406" i="1"/>
  <c r="B125" i="1"/>
  <c r="B760" i="1"/>
  <c r="B3736" i="1"/>
  <c r="B622" i="1"/>
  <c r="B49" i="1"/>
  <c r="B1114" i="1"/>
  <c r="B2654" i="1"/>
  <c r="B3011" i="1"/>
  <c r="B3278" i="1"/>
  <c r="B370" i="1"/>
  <c r="B4661" i="1"/>
  <c r="B446" i="1"/>
  <c r="B4172" i="1"/>
  <c r="B3368" i="1"/>
  <c r="B5507" i="1"/>
  <c r="B1810" i="1"/>
  <c r="B2800" i="1"/>
  <c r="B3428" i="1"/>
  <c r="B1947" i="1"/>
  <c r="B5288" i="1"/>
  <c r="B3114" i="1"/>
  <c r="B5211" i="1"/>
  <c r="B1884" i="1"/>
  <c r="B3076" i="1"/>
  <c r="B2179" i="1"/>
  <c r="B3401" i="1"/>
  <c r="B1197" i="1"/>
  <c r="B2331" i="1"/>
  <c r="B158" i="1"/>
  <c r="B1522" i="1"/>
  <c r="B985" i="1"/>
  <c r="B2760" i="1"/>
  <c r="B133" i="1"/>
  <c r="B161" i="1"/>
  <c r="B276" i="1"/>
  <c r="B2481" i="1"/>
  <c r="B1038" i="1"/>
  <c r="B4501" i="1"/>
  <c r="B4600" i="1"/>
  <c r="B5894" i="1"/>
  <c r="B5860" i="1"/>
  <c r="B26" i="1"/>
  <c r="B1848" i="1"/>
  <c r="B1613" i="1"/>
  <c r="B5978" i="1"/>
  <c r="B704" i="1"/>
  <c r="B5682" i="1"/>
  <c r="B2374" i="1"/>
  <c r="B5973" i="1"/>
  <c r="B291" i="1"/>
  <c r="B1948" i="1"/>
  <c r="B2757" i="1"/>
  <c r="B3580" i="1"/>
  <c r="B3258" i="1"/>
  <c r="B323" i="1"/>
  <c r="B1539" i="1"/>
  <c r="B5552" i="1"/>
  <c r="B511" i="1"/>
  <c r="B2024" i="1"/>
  <c r="B5108" i="1"/>
  <c r="B5837" i="1"/>
  <c r="B5465" i="1"/>
  <c r="B631" i="1"/>
  <c r="B1673" i="1"/>
  <c r="B3405" i="1"/>
  <c r="B2327" i="1"/>
  <c r="B3813" i="1"/>
  <c r="B1628" i="1"/>
  <c r="B4301" i="1"/>
  <c r="B3327" i="1"/>
  <c r="B1572" i="1"/>
  <c r="B3036" i="1"/>
  <c r="B793" i="1"/>
  <c r="B2284" i="1"/>
  <c r="B5893" i="1"/>
  <c r="B984" i="1"/>
  <c r="B3218" i="1"/>
  <c r="B415" i="1"/>
  <c r="B1498" i="1"/>
  <c r="B2815" i="1"/>
  <c r="B2928" i="1"/>
  <c r="B3331" i="1"/>
  <c r="B3766" i="1"/>
  <c r="B3132" i="1"/>
  <c r="B1653" i="1"/>
  <c r="B5777" i="1"/>
  <c r="B2236" i="1"/>
  <c r="B4239" i="1"/>
  <c r="B2977" i="1"/>
  <c r="B2852" i="1"/>
  <c r="B1306" i="1"/>
  <c r="B5146" i="1"/>
  <c r="B2315" i="1"/>
  <c r="B1552" i="1"/>
  <c r="B3461" i="1"/>
  <c r="B5417" i="1"/>
  <c r="B35" i="1"/>
  <c r="B41" i="1"/>
  <c r="B4512" i="1"/>
  <c r="B5003" i="1"/>
  <c r="B1600" i="1"/>
  <c r="B685" i="1"/>
  <c r="B2792" i="1"/>
  <c r="B4203" i="1"/>
  <c r="B271" i="1"/>
  <c r="B3289" i="1"/>
  <c r="B2933" i="1"/>
  <c r="B854" i="1"/>
  <c r="B4656" i="1"/>
  <c r="B3858" i="1"/>
  <c r="B1918" i="1"/>
  <c r="B2419" i="1"/>
  <c r="B1731" i="1"/>
  <c r="B4775" i="1"/>
  <c r="B1856" i="1"/>
  <c r="B4001" i="1"/>
  <c r="B450" i="1"/>
  <c r="B24" i="1"/>
  <c r="B2591" i="1"/>
  <c r="B27" i="1"/>
  <c r="B5859" i="1"/>
  <c r="B1043" i="1"/>
  <c r="B5735" i="1"/>
  <c r="B32" i="1"/>
  <c r="B2015" i="1"/>
  <c r="B958" i="1"/>
  <c r="B3824" i="1"/>
  <c r="B3175" i="1"/>
  <c r="B5884" i="1"/>
  <c r="B5993" i="1"/>
  <c r="B2030" i="1"/>
  <c r="B3349" i="1"/>
  <c r="B716" i="1"/>
  <c r="B1620" i="1"/>
  <c r="B3350" i="1"/>
  <c r="B2447" i="1"/>
  <c r="B2910" i="1"/>
  <c r="B1734" i="1"/>
  <c r="B5370" i="1"/>
  <c r="B1109" i="1"/>
  <c r="B3859" i="1"/>
  <c r="B139" i="1"/>
  <c r="B5152" i="1"/>
  <c r="B1874" i="1"/>
  <c r="B5418" i="1"/>
  <c r="B4752" i="1"/>
  <c r="B5321" i="1"/>
  <c r="B303" i="1"/>
  <c r="B1143" i="1"/>
  <c r="B1721" i="1"/>
  <c r="B300" i="1"/>
  <c r="B138" i="1"/>
  <c r="B3111" i="1"/>
  <c r="B3441" i="1"/>
  <c r="B4598" i="1"/>
  <c r="B4801" i="1"/>
  <c r="B2364" i="1"/>
  <c r="B5839" i="1"/>
  <c r="B2787" i="1"/>
  <c r="B2009" i="1"/>
  <c r="B1068" i="1"/>
  <c r="B2247" i="1"/>
  <c r="B4381" i="1"/>
  <c r="B1345" i="1"/>
  <c r="B5629" i="1"/>
  <c r="B4031" i="1"/>
  <c r="B5617" i="1"/>
  <c r="B2018" i="1"/>
  <c r="B5597" i="1"/>
  <c r="B2275" i="1"/>
  <c r="B3137" i="1"/>
  <c r="B176" i="1"/>
  <c r="B352" i="1"/>
  <c r="B4870" i="1"/>
  <c r="B2378" i="1"/>
  <c r="B3270" i="1"/>
  <c r="B4507" i="1"/>
  <c r="B4318" i="1"/>
  <c r="B1189" i="1"/>
  <c r="B252" i="1"/>
  <c r="B5468" i="1"/>
  <c r="B1999" i="1"/>
  <c r="B1256" i="1"/>
  <c r="B4851" i="1"/>
  <c r="B5050" i="1"/>
  <c r="B3007" i="1"/>
  <c r="B2832" i="1"/>
  <c r="B5750" i="1"/>
  <c r="B1763" i="1"/>
  <c r="B1989" i="1"/>
  <c r="B386" i="1"/>
  <c r="B5526" i="1"/>
  <c r="B931" i="1"/>
  <c r="B1851" i="1"/>
  <c r="B250" i="1"/>
  <c r="B3716" i="1"/>
  <c r="B2360" i="1"/>
  <c r="B676" i="1"/>
  <c r="B533" i="1"/>
  <c r="B4435" i="1"/>
  <c r="B3147" i="1"/>
  <c r="B1455" i="1"/>
  <c r="B2036" i="1"/>
  <c r="B2635" i="1"/>
  <c r="B1262" i="1"/>
  <c r="B2065" i="1"/>
  <c r="B5300" i="1"/>
  <c r="B4890" i="1"/>
  <c r="B5254" i="1"/>
  <c r="B2867" i="1"/>
  <c r="B1667" i="1"/>
  <c r="B4183" i="1"/>
  <c r="B2192" i="1"/>
  <c r="B5274" i="1"/>
  <c r="B515" i="1"/>
  <c r="B4345" i="1"/>
  <c r="B2382" i="1"/>
  <c r="B3128" i="1"/>
  <c r="B4758" i="1"/>
  <c r="B682" i="1"/>
  <c r="B4796" i="1"/>
  <c r="B2407" i="1"/>
  <c r="B5865" i="1"/>
  <c r="B5363" i="1"/>
  <c r="B4739" i="1"/>
  <c r="B3805" i="1"/>
  <c r="B2584" i="1"/>
  <c r="B2791" i="1"/>
  <c r="B5312" i="1"/>
  <c r="B4349" i="1"/>
  <c r="B1384" i="1"/>
  <c r="B772" i="1"/>
  <c r="B840" i="1"/>
  <c r="B5899" i="1"/>
  <c r="B3757" i="1"/>
  <c r="B2512" i="1"/>
  <c r="B2213" i="1"/>
  <c r="B1675" i="1"/>
  <c r="B3694" i="1"/>
  <c r="B301" i="1"/>
  <c r="B1146" i="1"/>
  <c r="B3980" i="1"/>
  <c r="B2673" i="1"/>
  <c r="B2883" i="1"/>
  <c r="B3478" i="1"/>
  <c r="B4817" i="1"/>
  <c r="B1249" i="1"/>
  <c r="B4803" i="1"/>
  <c r="B1625" i="1"/>
  <c r="B2170" i="1"/>
  <c r="B4224" i="1"/>
  <c r="B3931" i="1"/>
  <c r="B2525" i="1"/>
  <c r="B3626" i="1"/>
  <c r="B1597" i="1"/>
  <c r="B3059" i="1"/>
  <c r="B4561" i="1"/>
  <c r="B5703" i="1"/>
  <c r="B294" i="1"/>
  <c r="B255" i="1"/>
  <c r="B2644" i="1"/>
  <c r="B3152" i="1"/>
  <c r="B5966" i="1"/>
  <c r="B5033" i="1"/>
  <c r="B2306" i="1"/>
  <c r="B2541" i="1"/>
  <c r="B2518" i="1"/>
  <c r="B5883" i="1"/>
  <c r="B3377" i="1"/>
  <c r="B1821" i="1"/>
  <c r="B2102" i="1"/>
  <c r="B3435" i="1"/>
  <c r="B5038" i="1"/>
  <c r="B2461" i="1"/>
  <c r="B3624" i="1"/>
  <c r="B897" i="1"/>
  <c r="B1808" i="1"/>
  <c r="B2039" i="1"/>
  <c r="B1326" i="1"/>
  <c r="B666" i="1"/>
  <c r="B1615" i="1"/>
  <c r="B2861" i="1"/>
  <c r="B5709" i="1"/>
  <c r="B4096" i="1"/>
  <c r="B3008" i="1"/>
  <c r="B3554" i="1"/>
  <c r="B2504" i="1"/>
  <c r="B2678" i="1"/>
  <c r="B5438" i="1"/>
  <c r="B1994" i="1"/>
  <c r="B4924" i="1"/>
  <c r="B1076" i="1"/>
  <c r="B5697" i="1"/>
  <c r="B3427" i="1"/>
  <c r="B215" i="1"/>
  <c r="B1172" i="1"/>
  <c r="B5046" i="1"/>
  <c r="B1446" i="1"/>
  <c r="B1549" i="1"/>
  <c r="B4328" i="1"/>
  <c r="B2990" i="1"/>
  <c r="B5759" i="1"/>
  <c r="B1864" i="1"/>
  <c r="B206" i="1"/>
  <c r="B4902" i="1"/>
  <c r="B3715" i="1"/>
  <c r="B3809" i="1"/>
  <c r="B3875" i="1"/>
  <c r="B2386" i="1"/>
  <c r="B5332" i="1"/>
  <c r="B4332" i="1"/>
  <c r="B3924" i="1"/>
  <c r="B5670" i="1"/>
  <c r="B3269" i="1"/>
  <c r="B707" i="1"/>
  <c r="B4906" i="1"/>
  <c r="B507" i="1"/>
  <c r="B4077" i="1"/>
  <c r="B2826" i="1"/>
  <c r="B211" i="1"/>
  <c r="B2515" i="1"/>
  <c r="B977" i="1"/>
  <c r="B586" i="1"/>
  <c r="B3159" i="1"/>
  <c r="B847" i="1"/>
  <c r="B2989" i="1"/>
  <c r="B5457" i="1"/>
  <c r="B2660" i="1"/>
  <c r="B84" i="1"/>
  <c r="B1596" i="1"/>
  <c r="B4783" i="1"/>
  <c r="B15" i="1"/>
  <c r="B4676" i="1"/>
  <c r="B1193" i="1"/>
  <c r="B4398" i="1"/>
  <c r="B5135" i="1"/>
  <c r="B11" i="1"/>
  <c r="B4769" i="1"/>
  <c r="B3403" i="1"/>
  <c r="B2016" i="1"/>
  <c r="B2005" i="1"/>
  <c r="B2022" i="1"/>
  <c r="B2182" i="1"/>
  <c r="B3990" i="1"/>
  <c r="B2281" i="1"/>
  <c r="B1033" i="1"/>
  <c r="B5407" i="1"/>
  <c r="B2729" i="1"/>
  <c r="B14" i="1"/>
  <c r="B1140" i="1"/>
  <c r="B1323" i="1"/>
  <c r="B5035" i="1"/>
  <c r="B2530" i="1"/>
  <c r="B823" i="1"/>
  <c r="B4966" i="1"/>
  <c r="B1892" i="1"/>
  <c r="B1602" i="1"/>
  <c r="B5348" i="1"/>
  <c r="B5162" i="1"/>
  <c r="B1027" i="1"/>
  <c r="B3052" i="1"/>
  <c r="B3329" i="1"/>
  <c r="B2307" i="1"/>
  <c r="B3538" i="1"/>
  <c r="B5636" i="1"/>
  <c r="B5396" i="1"/>
  <c r="B3356" i="1"/>
  <c r="B5896" i="1"/>
  <c r="B4292" i="1"/>
  <c r="B1889" i="1"/>
  <c r="B121" i="1"/>
  <c r="B623" i="1"/>
  <c r="B3091" i="1"/>
  <c r="B343" i="1"/>
  <c r="B5226" i="1"/>
  <c r="B1020" i="1"/>
  <c r="B3215" i="1"/>
  <c r="B1220" i="1"/>
  <c r="B2010" i="1"/>
  <c r="B1504" i="1"/>
  <c r="B4727" i="1"/>
  <c r="B3939" i="1"/>
  <c r="B4097" i="1"/>
  <c r="B2975" i="1"/>
  <c r="B2147" i="1"/>
  <c r="B4136" i="1"/>
  <c r="B5528" i="1"/>
  <c r="B2671" i="1"/>
  <c r="B1245" i="1"/>
  <c r="B425" i="1"/>
  <c r="B221" i="1"/>
  <c r="B2616" i="1"/>
  <c r="B4437" i="1"/>
  <c r="B3121" i="1"/>
  <c r="B2468" i="1"/>
  <c r="B31" i="1"/>
  <c r="B2161" i="1"/>
  <c r="B5705" i="1"/>
  <c r="B313" i="1"/>
  <c r="B2759" i="1"/>
  <c r="B420" i="1"/>
  <c r="B4171" i="1"/>
  <c r="B3292" i="1"/>
  <c r="B384" i="1"/>
  <c r="B3904" i="1"/>
  <c r="B3868" i="1"/>
  <c r="B3177" i="1"/>
  <c r="B4169" i="1"/>
  <c r="B381" i="1"/>
  <c r="B3889" i="1"/>
  <c r="B3345" i="1"/>
  <c r="B1173" i="1"/>
  <c r="B5775" i="1"/>
  <c r="B5259" i="1"/>
  <c r="B916" i="1"/>
  <c r="B1951" i="1"/>
  <c r="B2330" i="1"/>
  <c r="B4217" i="1"/>
  <c r="B3382" i="1"/>
  <c r="B1512" i="1"/>
  <c r="B2450" i="1"/>
  <c r="B2180" i="1"/>
  <c r="B4703" i="1"/>
  <c r="B4552" i="1"/>
  <c r="B2981" i="1"/>
  <c r="B228" i="1"/>
  <c r="B3180" i="1"/>
  <c r="B1094" i="1"/>
  <c r="B3483" i="1"/>
  <c r="B715" i="1"/>
  <c r="B2280" i="1"/>
  <c r="B3276" i="1"/>
  <c r="B766" i="1"/>
  <c r="B67" i="1"/>
  <c r="B237" i="1"/>
  <c r="B5369" i="1"/>
  <c r="B4066" i="1"/>
  <c r="B2972" i="1"/>
  <c r="B4446" i="1"/>
  <c r="B3150" i="1"/>
  <c r="B4963" i="1"/>
  <c r="B5916" i="1"/>
  <c r="B5128" i="1"/>
  <c r="B4513" i="1"/>
  <c r="B5814" i="1"/>
  <c r="B1181" i="1"/>
  <c r="B99" i="1"/>
  <c r="B2779" i="1"/>
  <c r="B849" i="1"/>
  <c r="B5990" i="1"/>
  <c r="B2643" i="1"/>
  <c r="B216" i="1"/>
  <c r="B901" i="1"/>
  <c r="B4164" i="1"/>
  <c r="B4534" i="1"/>
  <c r="B1656" i="1"/>
  <c r="B5923" i="1"/>
  <c r="B4684" i="1"/>
  <c r="B2351" i="1"/>
  <c r="B4518" i="1"/>
  <c r="B3354" i="1"/>
  <c r="B3477" i="1"/>
  <c r="B1207" i="1"/>
  <c r="B5606" i="1"/>
  <c r="B1488" i="1"/>
  <c r="B5137" i="1"/>
  <c r="B2474" i="1"/>
  <c r="B3358" i="1"/>
  <c r="B1852" i="1"/>
  <c r="B3945" i="1"/>
  <c r="B3503" i="1"/>
  <c r="B5133" i="1"/>
  <c r="B375" i="1"/>
  <c r="B43" i="1"/>
  <c r="B2026" i="1"/>
  <c r="B3330" i="1"/>
  <c r="B2417" i="1"/>
  <c r="B5910" i="1"/>
  <c r="B4835" i="1"/>
  <c r="B3077" i="1"/>
  <c r="B3003" i="1"/>
  <c r="B2935" i="1"/>
  <c r="B4562" i="1"/>
  <c r="B3232" i="1"/>
  <c r="B2560" i="1"/>
  <c r="B3490" i="1"/>
  <c r="B4347" i="1"/>
  <c r="B4444" i="1"/>
  <c r="B2389" i="1"/>
  <c r="B1598" i="1"/>
  <c r="B3251" i="1"/>
  <c r="B5571" i="1"/>
  <c r="B1022" i="1"/>
  <c r="B5209" i="1"/>
  <c r="B5754" i="1"/>
  <c r="B607" i="1"/>
  <c r="B1946" i="1"/>
  <c r="B3314" i="1"/>
  <c r="B2806" i="1"/>
  <c r="B5390" i="1"/>
  <c r="B3038" i="1"/>
  <c r="B1618" i="1"/>
  <c r="B5694" i="1"/>
  <c r="B2493" i="1"/>
  <c r="B5427" i="1"/>
  <c r="B4910" i="1"/>
  <c r="B5112" i="1"/>
  <c r="B5168" i="1"/>
  <c r="B2394" i="1"/>
  <c r="B2309" i="1"/>
  <c r="B923" i="1"/>
  <c r="B2741" i="1"/>
  <c r="B5616" i="1"/>
  <c r="B1082" i="1"/>
  <c r="B980" i="1"/>
  <c r="B3085" i="1"/>
  <c r="B1018" i="1"/>
  <c r="B2941" i="1"/>
  <c r="B1998" i="1"/>
  <c r="B4591" i="1"/>
  <c r="B2301" i="1"/>
  <c r="B5791" i="1"/>
  <c r="B1375" i="1"/>
  <c r="B3322" i="1"/>
  <c r="B2873" i="1"/>
  <c r="B8" i="1"/>
  <c r="B2546" i="1"/>
  <c r="B1525" i="1"/>
  <c r="B952" i="1"/>
  <c r="B1291" i="1"/>
  <c r="B2059" i="1"/>
  <c r="B1959" i="1"/>
  <c r="B1392" i="1"/>
  <c r="B2803" i="1"/>
  <c r="B3578" i="1"/>
  <c r="B5514" i="1"/>
  <c r="B5455" i="1"/>
  <c r="B2045" i="1"/>
  <c r="B2750" i="1"/>
  <c r="B4701" i="1"/>
  <c r="B9" i="1"/>
  <c r="B5078" i="1"/>
  <c r="B764" i="1"/>
  <c r="B4036" i="1"/>
  <c r="B2013" i="1"/>
  <c r="B4942" i="1"/>
  <c r="B341" i="1"/>
  <c r="B529" i="1"/>
  <c r="B3802" i="1"/>
  <c r="B4346" i="1"/>
  <c r="B17" i="1"/>
  <c r="B5811" i="1"/>
  <c r="B82" i="1"/>
  <c r="B5239" i="1"/>
  <c r="B5522" i="1"/>
  <c r="B4037" i="1"/>
  <c r="B5947" i="1"/>
  <c r="B2556" i="1"/>
  <c r="B5574" i="1"/>
  <c r="B713" i="1"/>
  <c r="B5485" i="1"/>
  <c r="B5130" i="1"/>
  <c r="B4297" i="1"/>
  <c r="B25" i="1"/>
  <c r="B4747" i="1"/>
  <c r="B1705" i="1"/>
  <c r="B5689" i="1"/>
  <c r="B4423" i="1"/>
  <c r="B5942" i="1"/>
  <c r="B2914" i="1"/>
  <c r="B2359" i="1"/>
  <c r="B3098" i="1"/>
  <c r="B2705" i="1"/>
  <c r="B2904" i="1"/>
  <c r="B675" i="1"/>
  <c r="B2431" i="1"/>
  <c r="B4530" i="1"/>
  <c r="B1854" i="1"/>
  <c r="B3840" i="1"/>
  <c r="B5104" i="1"/>
  <c r="B2918" i="1"/>
  <c r="B5826" i="1"/>
  <c r="B2846" i="1"/>
  <c r="B4065" i="1"/>
  <c r="B4686" i="1"/>
  <c r="B5920" i="1"/>
  <c r="B5850" i="1"/>
  <c r="B5999" i="1"/>
  <c r="B314" i="1"/>
  <c r="B42" i="1"/>
  <c r="B2704" i="1"/>
  <c r="B2061" i="1"/>
  <c r="B2492" i="1"/>
  <c r="B967" i="1"/>
  <c r="B4723" i="1"/>
  <c r="B4265" i="1"/>
  <c r="B1990" i="1"/>
  <c r="B37" i="1"/>
  <c r="B2087" i="1"/>
  <c r="B3317" i="1"/>
  <c r="B2462" i="1"/>
  <c r="B735" i="1"/>
  <c r="B2651" i="1"/>
  <c r="B3105" i="1"/>
  <c r="B5566" i="1"/>
  <c r="B1252" i="1"/>
  <c r="B4492" i="1"/>
  <c r="B2428" i="1"/>
  <c r="B4220" i="1"/>
  <c r="B1332" i="1"/>
  <c r="B2668" i="1"/>
  <c r="B3325" i="1"/>
  <c r="B3528" i="1"/>
  <c r="B465" i="1"/>
  <c r="B2361" i="1"/>
  <c r="B2322" i="1"/>
  <c r="B4792" i="1"/>
  <c r="B3301" i="1"/>
  <c r="B4945" i="1"/>
  <c r="B2663" i="1"/>
  <c r="B4712" i="1"/>
  <c r="B1979" i="1"/>
  <c r="B1157" i="1"/>
  <c r="B21" i="1"/>
  <c r="B2848" i="1"/>
  <c r="B3677" i="1"/>
  <c r="B4002" i="1"/>
  <c r="B102" i="1"/>
  <c r="B320" i="1"/>
  <c r="B5653" i="1"/>
  <c r="B3068" i="1"/>
  <c r="B1225" i="1"/>
  <c r="B799" i="1"/>
  <c r="B5406" i="1"/>
  <c r="B1782" i="1"/>
  <c r="B2993" i="1"/>
  <c r="B5821" i="1"/>
  <c r="B4108" i="1"/>
  <c r="B3109" i="1"/>
  <c r="B3343" i="1"/>
  <c r="B3676" i="1"/>
  <c r="B5523" i="1"/>
  <c r="B1543" i="1"/>
  <c r="B5118" i="1"/>
  <c r="B5249" i="1"/>
  <c r="B699" i="1"/>
  <c r="B2592" i="1"/>
  <c r="B3669" i="1"/>
  <c r="B4155" i="1"/>
  <c r="B3920" i="1"/>
  <c r="B3961" i="1"/>
  <c r="B4620" i="1"/>
  <c r="B1499" i="1"/>
  <c r="B5311" i="1"/>
  <c r="B1674" i="1"/>
  <c r="B350" i="1"/>
  <c r="B150" i="1"/>
  <c r="B2363" i="1"/>
  <c r="B3762" i="1"/>
  <c r="B4466" i="1"/>
  <c r="B4956" i="1"/>
  <c r="B5327" i="1"/>
  <c r="B2497" i="1"/>
  <c r="B2712" i="1"/>
  <c r="B3841" i="1"/>
  <c r="B824" i="1"/>
  <c r="B3884" i="1"/>
  <c r="B1049" i="1"/>
  <c r="B4899" i="1"/>
  <c r="B3712" i="1"/>
  <c r="B4731" i="1"/>
  <c r="B5495" i="1"/>
  <c r="B131" i="1"/>
  <c r="B2650" i="1"/>
  <c r="B1148" i="1"/>
  <c r="B5898" i="1"/>
  <c r="B5340" i="1"/>
  <c r="B1563" i="1"/>
  <c r="B1523" i="1"/>
  <c r="B751" i="1"/>
  <c r="B4667" i="1"/>
  <c r="B289" i="1"/>
  <c r="B4390" i="1"/>
  <c r="B1348" i="1"/>
  <c r="B5278" i="1"/>
  <c r="B3178" i="1"/>
  <c r="B4011" i="1"/>
  <c r="B689" i="1"/>
  <c r="B218" i="1"/>
  <c r="B1258" i="1"/>
  <c r="B2683" i="1"/>
  <c r="B2911" i="1"/>
  <c r="B33" i="1"/>
  <c r="B3" i="1"/>
  <c r="B5892" i="1"/>
  <c r="B3045" i="1"/>
  <c r="B2401" i="1"/>
  <c r="B2987" i="1"/>
  <c r="B4539" i="1"/>
  <c r="B3092" i="1"/>
  <c r="B279" i="1"/>
  <c r="B5585" i="1"/>
  <c r="B4719" i="1"/>
  <c r="B3516" i="1"/>
  <c r="B34" i="1"/>
  <c r="B2001" i="1"/>
  <c r="B5494" i="1"/>
  <c r="B4781" i="1"/>
  <c r="B1466" i="1"/>
  <c r="B2974" i="1"/>
  <c r="B2216" i="1"/>
  <c r="B2524" i="1"/>
  <c r="B1967" i="1"/>
  <c r="B4337" i="1"/>
  <c r="B1156" i="1"/>
  <c r="B4012" i="1"/>
  <c r="B4049" i="1"/>
  <c r="B3312" i="1"/>
  <c r="B5562" i="1"/>
  <c r="B1242" i="1"/>
  <c r="B4163" i="1"/>
  <c r="B1531" i="1"/>
  <c r="B5755" i="1"/>
  <c r="B4480" i="1"/>
  <c r="B5722" i="1"/>
  <c r="B1089" i="1"/>
  <c r="B30" i="1"/>
  <c r="B3261" i="1"/>
  <c r="B4438" i="1"/>
  <c r="B4060" i="1"/>
  <c r="B4042" i="1"/>
  <c r="B4026" i="1"/>
  <c r="B3746" i="1"/>
  <c r="B4612" i="1"/>
  <c r="B10" i="1"/>
  <c r="B1888" i="1"/>
  <c r="B5361" i="1"/>
  <c r="B4319" i="1"/>
  <c r="B4939" i="1"/>
  <c r="B2601" i="1"/>
  <c r="B2622" i="1"/>
  <c r="B3543" i="1"/>
  <c r="B527" i="1"/>
  <c r="B4260" i="1"/>
  <c r="B2072" i="1"/>
  <c r="B63" i="1"/>
  <c r="B2943" i="1"/>
  <c r="B3046" i="1"/>
  <c r="B3521" i="1"/>
  <c r="B4113" i="1"/>
  <c r="B2367" i="1"/>
  <c r="B2892" i="1"/>
  <c r="B5874" i="1"/>
  <c r="B2251" i="1"/>
  <c r="B186" i="1"/>
  <c r="B3881" i="1"/>
  <c r="B4754" i="1"/>
  <c r="B3950" i="1"/>
  <c r="B3170" i="1"/>
  <c r="B2968" i="1"/>
  <c r="B5079" i="1"/>
  <c r="B1935" i="1"/>
  <c r="B3891" i="1"/>
  <c r="B5062" i="1"/>
  <c r="B5378" i="1"/>
  <c r="B4879" i="1"/>
  <c r="B927" i="1"/>
  <c r="B4487" i="1"/>
  <c r="B267" i="1"/>
  <c r="B428" i="1"/>
  <c r="B1221" i="1"/>
  <c r="B1270" i="1"/>
  <c r="B3315" i="1"/>
  <c r="B913" i="1"/>
  <c r="B5253" i="1"/>
  <c r="B5790" i="1"/>
  <c r="B4842" i="1"/>
  <c r="B5886" i="1"/>
  <c r="B1723" i="1"/>
  <c r="B4225" i="1"/>
  <c r="B448" i="1"/>
  <c r="B5753" i="1"/>
  <c r="B3579" i="1"/>
  <c r="B2608" i="1"/>
  <c r="B4896" i="1"/>
  <c r="B3713" i="1"/>
  <c r="B5639" i="1"/>
  <c r="B2412" i="1"/>
  <c r="B304" i="1"/>
  <c r="B3504" i="1"/>
  <c r="B3541" i="1"/>
  <c r="B2612" i="1"/>
  <c r="B2819" i="1"/>
  <c r="B2539" i="1"/>
  <c r="B189" i="1"/>
  <c r="B2606" i="1"/>
  <c r="B4090" i="1"/>
  <c r="B3058" i="1"/>
  <c r="B231" i="1"/>
  <c r="B2829" i="1"/>
  <c r="B4145" i="1"/>
  <c r="B3755" i="1"/>
  <c r="B2000" i="1"/>
  <c r="B5282" i="1"/>
  <c r="B3262" i="1"/>
  <c r="B4863" i="1"/>
  <c r="B3816" i="1"/>
  <c r="B3652" i="1"/>
  <c r="B2091" i="1"/>
  <c r="B1136" i="1"/>
  <c r="B4081" i="1"/>
  <c r="B191" i="1"/>
  <c r="B3069" i="1"/>
  <c r="B4299" i="1"/>
  <c r="B3720" i="1"/>
  <c r="B29" i="1"/>
  <c r="B1285" i="1"/>
  <c r="B3908" i="1"/>
  <c r="B5980" i="1"/>
  <c r="B3927" i="1"/>
  <c r="B4509" i="1"/>
  <c r="B3709" i="1"/>
  <c r="B2957" i="1"/>
  <c r="B3496" i="1"/>
  <c r="B2553" i="1"/>
  <c r="B4542" i="1"/>
  <c r="B251" i="1"/>
  <c r="B3305" i="1"/>
  <c r="B2076" i="1"/>
  <c r="B5032" i="1"/>
  <c r="B5504" i="1"/>
  <c r="B5957" i="1"/>
  <c r="B5240" i="1"/>
  <c r="B178" i="1"/>
  <c r="B3410" i="1"/>
  <c r="B1254" i="1"/>
  <c r="B360" i="1"/>
  <c r="B1376" i="1"/>
  <c r="B957" i="1"/>
  <c r="B2607" i="1"/>
  <c r="B5460" i="1"/>
  <c r="B247" i="1"/>
  <c r="B3552" i="1"/>
  <c r="B3806" i="1"/>
  <c r="B2054" i="1"/>
  <c r="B5138" i="1"/>
  <c r="B3394" i="1"/>
  <c r="B4335" i="1"/>
  <c r="B1694" i="1"/>
  <c r="B4994" i="1"/>
  <c r="B1801" i="1"/>
  <c r="B4668" i="1"/>
  <c r="B725" i="1"/>
  <c r="B4594" i="1"/>
  <c r="B3430" i="1"/>
  <c r="B2962" i="1"/>
  <c r="B570" i="1"/>
  <c r="B5111" i="1"/>
  <c r="B2153" i="1"/>
  <c r="B5218" i="1"/>
  <c r="B5423" i="1"/>
  <c r="B1462" i="1"/>
  <c r="B917" i="1"/>
  <c r="B5556" i="1"/>
  <c r="B1765" i="1"/>
  <c r="B2358" i="1"/>
  <c r="B733" i="1"/>
  <c r="B5217" i="1"/>
  <c r="B3255" i="1"/>
  <c r="B1962" i="1"/>
  <c r="B680" i="1"/>
  <c r="B5545" i="1"/>
  <c r="B5077" i="1"/>
  <c r="B1651" i="1"/>
  <c r="B3897" i="1"/>
  <c r="B4362" i="1"/>
  <c r="B4375" i="1"/>
  <c r="B20" i="1"/>
  <c r="B16" i="1"/>
  <c r="B2475" i="1"/>
  <c r="B2853" i="1"/>
  <c r="B100" i="1"/>
  <c r="B3247" i="1"/>
  <c r="B3526" i="1"/>
  <c r="B5" i="1"/>
  <c r="B4564" i="1"/>
  <c r="B3373" i="1"/>
  <c r="B1986" i="1"/>
  <c r="B3670" i="1"/>
  <c r="B2047" i="1"/>
  <c r="B3648" i="1"/>
  <c r="B1084" i="1"/>
  <c r="B3577" i="1"/>
  <c r="B5096" i="1"/>
  <c r="B5917" i="1"/>
  <c r="B69" i="1"/>
  <c r="B3005" i="1"/>
  <c r="B4017" i="1"/>
  <c r="B5479" i="1"/>
  <c r="B1955" i="1"/>
  <c r="B4593" i="1"/>
  <c r="B5800" i="1"/>
  <c r="B1366" i="1"/>
  <c r="B2572" i="1"/>
  <c r="B4159" i="1"/>
  <c r="B3849" i="1"/>
  <c r="B45" i="1"/>
  <c r="B4" i="1"/>
  <c r="B3705" i="1"/>
  <c r="B439" i="1"/>
  <c r="B2797" i="1"/>
  <c r="B1390" i="1"/>
  <c r="B3054" i="1"/>
  <c r="B3529" i="1"/>
  <c r="B1861" i="1"/>
  <c r="B1592" i="1"/>
  <c r="B2991" i="1"/>
  <c r="B4982" i="1"/>
  <c r="B5666" i="1"/>
  <c r="B5771" i="1"/>
  <c r="B3224" i="1"/>
  <c r="B3991" i="1"/>
  <c r="B395" i="1"/>
  <c r="B470" i="1"/>
  <c r="B144" i="1"/>
  <c r="B5877" i="1"/>
  <c r="B5922" i="1"/>
  <c r="B180" i="1"/>
  <c r="B3951" i="1"/>
  <c r="B123" i="1"/>
  <c r="B3134" i="1"/>
  <c r="B5175" i="1"/>
  <c r="B2186" i="1"/>
  <c r="B4252" i="1"/>
  <c r="B3747" i="1"/>
  <c r="B589" i="1"/>
  <c r="B2540" i="1"/>
  <c r="B2624" i="1"/>
  <c r="B700" i="1"/>
  <c r="B5948" i="1"/>
  <c r="B956" i="1"/>
  <c r="B1881" i="1"/>
  <c r="B5819" i="1"/>
  <c r="B2615" i="1"/>
  <c r="B5994" i="1"/>
  <c r="B5106" i="1"/>
  <c r="B5368" i="1"/>
  <c r="B926" i="1"/>
  <c r="B5768" i="1"/>
  <c r="B4434" i="1"/>
  <c r="B2821" i="1"/>
  <c r="B982" i="1"/>
  <c r="B5600" i="1"/>
  <c r="B4938" i="1"/>
  <c r="B2287" i="1"/>
  <c r="B624" i="1"/>
  <c r="B1324" i="1"/>
  <c r="B6" i="1"/>
  <c r="B4426" i="1"/>
  <c r="B110" i="1"/>
  <c r="B5337" i="1"/>
  <c r="B5431" i="1"/>
  <c r="B3063" i="1"/>
  <c r="B2433" i="1"/>
  <c r="B1558" i="1"/>
  <c r="B2785" i="1"/>
  <c r="B83" i="1"/>
  <c r="B5646" i="1"/>
  <c r="B2017" i="1"/>
  <c r="B414" i="1"/>
  <c r="B2748" i="1"/>
  <c r="B2537" i="1"/>
  <c r="B1009" i="1"/>
  <c r="B4837" i="1"/>
  <c r="B1236" i="1"/>
  <c r="B815" i="1"/>
  <c r="B2207" i="1"/>
  <c r="B142" i="1"/>
  <c r="B4755" i="1"/>
  <c r="B5572" i="1"/>
  <c r="B3522" i="1"/>
  <c r="B1926" i="1"/>
  <c r="B18" i="1"/>
  <c r="B51" i="1"/>
  <c r="B5056" i="1"/>
  <c r="B2812" i="1"/>
  <c r="B903" i="1"/>
  <c r="B5817" i="1"/>
  <c r="B4500" i="1"/>
  <c r="B3306" i="1"/>
  <c r="B1825" i="1"/>
  <c r="B4811" i="1"/>
  <c r="B2932" i="1"/>
  <c r="B5995" i="1"/>
  <c r="B13" i="1"/>
  <c r="B5071" i="1"/>
  <c r="B1120" i="1"/>
  <c r="B2811" i="1"/>
  <c r="B2940" i="1"/>
  <c r="B1408" i="1"/>
  <c r="B2631" i="1"/>
  <c r="B5091" i="1"/>
  <c r="B3228" i="1"/>
  <c r="B737" i="1"/>
  <c r="B258" i="1"/>
  <c r="B1004" i="1"/>
  <c r="B5208" i="1"/>
  <c r="B3473" i="1"/>
  <c r="B1639" i="1"/>
  <c r="B810" i="1"/>
  <c r="B5377" i="1"/>
  <c r="B1841" i="1"/>
  <c r="B89" i="1"/>
  <c r="B3374" i="1"/>
  <c r="B3021" i="1"/>
  <c r="B5725" i="1"/>
  <c r="B3133" i="1"/>
  <c r="B3997" i="1"/>
  <c r="B4794" i="1"/>
  <c r="B4570" i="1"/>
  <c r="B5329" i="1"/>
  <c r="B991" i="1"/>
  <c r="B1088" i="1"/>
  <c r="B3034" i="1"/>
  <c r="B5557" i="1"/>
  <c r="B1467" i="1"/>
  <c r="B5852" i="1"/>
  <c r="B1793" i="1"/>
  <c r="B4093" i="1"/>
  <c r="B4395" i="1"/>
  <c r="B1728" i="1"/>
  <c r="B5410" i="1"/>
  <c r="B5323" i="1"/>
  <c r="B2451" i="1"/>
  <c r="B5844" i="1"/>
  <c r="B5223" i="1"/>
  <c r="B3099" i="1"/>
  <c r="B5618" i="1"/>
  <c r="B2240" i="1"/>
  <c r="B4729" i="1"/>
  <c r="B865" i="1"/>
  <c r="B2721" i="1"/>
  <c r="B1910" i="1"/>
  <c r="B4895" i="1"/>
  <c r="B4859" i="1"/>
  <c r="B3376" i="1"/>
  <c r="B4489" i="1"/>
  <c r="B1752" i="1"/>
  <c r="B3741" i="1"/>
  <c r="B4237" i="1"/>
  <c r="B3614" i="1"/>
  <c r="B4866" i="1"/>
  <c r="B5789" i="1"/>
  <c r="B1352" i="1"/>
  <c r="B3656" i="1"/>
  <c r="B2967" i="1"/>
  <c r="B5243" i="1"/>
  <c r="B5784" i="1"/>
  <c r="B4733" i="1"/>
  <c r="B4649" i="1"/>
  <c r="B819" i="1"/>
  <c r="B4140" i="1"/>
  <c r="B2311" i="1"/>
  <c r="B4117" i="1"/>
  <c r="B1426" i="1"/>
  <c r="B5869" i="1"/>
  <c r="B5428" i="1"/>
  <c r="B4732" i="1"/>
  <c r="B2611" i="1"/>
  <c r="B88" i="1"/>
  <c r="B4699" i="1"/>
  <c r="B2816" i="1"/>
  <c r="B3697" i="1"/>
  <c r="B4387" i="1"/>
  <c r="B4829" i="1"/>
  <c r="B259" i="1"/>
  <c r="B4205" i="1"/>
  <c r="B4665" i="1"/>
  <c r="B457" i="1"/>
  <c r="B2165" i="1"/>
  <c r="B1478" i="1"/>
  <c r="B1895" i="1"/>
  <c r="B4413" i="1"/>
  <c r="B4483" i="1"/>
  <c r="B4730" i="1"/>
  <c r="B4847" i="1"/>
  <c r="B3432" i="1"/>
  <c r="B534" i="1"/>
  <c r="B3570" i="1"/>
  <c r="B3254" i="1"/>
  <c r="B5139" i="1"/>
  <c r="B1844" i="1"/>
  <c r="B4960" i="1"/>
  <c r="B2459" i="1"/>
  <c r="B5831" i="1"/>
  <c r="B2499" i="1"/>
  <c r="B4238" i="1"/>
  <c r="B4476" i="1"/>
  <c r="B1127" i="1"/>
  <c r="B5803" i="1"/>
  <c r="B1669" i="1"/>
  <c r="B417" i="1"/>
  <c r="B4798" i="1"/>
  <c r="B3479" i="1"/>
  <c r="B4342" i="1"/>
  <c r="B3459" i="1"/>
  <c r="B3464" i="1"/>
  <c r="B12" i="1"/>
  <c r="B5319" i="1"/>
  <c r="B3701" i="1"/>
  <c r="B3537" i="1"/>
  <c r="B686" i="1"/>
  <c r="B4644" i="1"/>
  <c r="B214" i="1"/>
  <c r="B2595" i="1"/>
  <c r="B4010" i="1"/>
  <c r="B4304" i="1"/>
  <c r="B4275" i="1"/>
  <c r="B157" i="1"/>
  <c r="B5441" i="1"/>
  <c r="B4689" i="1"/>
  <c r="B4785" i="1"/>
  <c r="B2185" i="1"/>
  <c r="B5582" i="1"/>
  <c r="B2895" i="1"/>
  <c r="B3753" i="1"/>
  <c r="B3047" i="1"/>
  <c r="B3124" i="1"/>
  <c r="B3165" i="1"/>
  <c r="B4191" i="1"/>
  <c r="B4540" i="1"/>
  <c r="B3324" i="1"/>
  <c r="B1556" i="1"/>
  <c r="B249" i="1"/>
  <c r="B87" i="1"/>
  <c r="B5001" i="1"/>
  <c r="B575" i="1"/>
  <c r="B4946" i="1"/>
  <c r="B2129" i="1"/>
  <c r="B3545" i="1"/>
  <c r="B5029" i="1"/>
  <c r="B260" i="1"/>
  <c r="B5109" i="1"/>
  <c r="B7" i="1"/>
  <c r="B592" i="1"/>
  <c r="B1548" i="1"/>
  <c r="B4919" i="1"/>
  <c r="B2801" i="1"/>
  <c r="B226" i="1"/>
  <c r="B2751" i="1"/>
  <c r="B3266" i="1"/>
  <c r="B2793" i="1"/>
  <c r="B1378" i="1"/>
  <c r="B5231" i="1"/>
  <c r="B4219" i="1"/>
  <c r="B5426" i="1"/>
  <c r="B1057" i="1"/>
  <c r="B2336" i="1"/>
  <c r="B762" i="1"/>
  <c r="B1021" i="1"/>
  <c r="B5298" i="1"/>
  <c r="B5068" i="1"/>
  <c r="B1469" i="1"/>
  <c r="B843" i="1"/>
  <c r="B3153" i="1"/>
  <c r="B3452" i="1"/>
  <c r="B5070" i="1"/>
  <c r="B4312" i="1"/>
  <c r="B3102" i="1"/>
  <c r="B2827" i="1"/>
  <c r="B118" i="1"/>
  <c r="B5792" i="1"/>
  <c r="B5986" i="1"/>
  <c r="B5505" i="1"/>
  <c r="B4441" i="1"/>
  <c r="B3512" i="1"/>
  <c r="B182" i="1"/>
  <c r="B944" i="1"/>
  <c r="B2542" i="1"/>
  <c r="B3789" i="1"/>
  <c r="B3686" i="1"/>
  <c r="B1222" i="1"/>
  <c r="B4047" i="1"/>
  <c r="B1310" i="1"/>
  <c r="B935" i="1"/>
  <c r="B2992" i="1"/>
  <c r="B4281" i="1"/>
  <c r="B1235" i="1"/>
  <c r="B5615" i="1"/>
  <c r="B5228" i="1"/>
  <c r="B285" i="1"/>
  <c r="B2764" i="1"/>
  <c r="B401" i="1"/>
  <c r="B2111" i="1"/>
  <c r="B3015" i="1"/>
  <c r="B210" i="1"/>
  <c r="B4195" i="1"/>
  <c r="B3411" i="1"/>
  <c r="B1129" i="1"/>
  <c r="B4988" i="1"/>
  <c r="B2837" i="1"/>
  <c r="B3108" i="1"/>
  <c r="B872" i="1"/>
  <c r="B1350" i="1"/>
  <c r="B5588" i="1"/>
  <c r="B4582" i="1"/>
  <c r="B1711" i="1"/>
  <c r="B4868" i="1"/>
  <c r="B4700" i="1"/>
  <c r="B955" i="1"/>
  <c r="B1686" i="1"/>
  <c r="B1654" i="1"/>
  <c r="B780" i="1"/>
  <c r="B4505" i="1"/>
  <c r="B1601" i="1"/>
  <c r="B130" i="1"/>
  <c r="B4962" i="1"/>
  <c r="B3981" i="1"/>
  <c r="B5448" i="1"/>
  <c r="B3093" i="1"/>
  <c r="B776" i="1"/>
  <c r="B3964" i="1"/>
  <c r="B1202" i="1"/>
  <c r="B5478" i="1"/>
  <c r="B3203" i="1"/>
  <c r="B2700" i="1"/>
  <c r="B3336" i="1"/>
  <c r="B5939" i="1"/>
  <c r="B871" i="1"/>
  <c r="B4654" i="1"/>
  <c r="B1286" i="1"/>
  <c r="B1954" i="1"/>
  <c r="B5972" i="1"/>
  <c r="B2931" i="1"/>
  <c r="B5154" i="1"/>
  <c r="B1077" i="1"/>
  <c r="B181" i="1"/>
  <c r="B2383" i="1"/>
  <c r="B878" i="1"/>
  <c r="B5189" i="1"/>
  <c r="B5832" i="1"/>
  <c r="B4486" i="1"/>
  <c r="B4695" i="1"/>
  <c r="B5005" i="1"/>
  <c r="B257" i="1"/>
  <c r="B4563" i="1"/>
  <c r="B273" i="1"/>
  <c r="B5089" i="1"/>
  <c r="B3571" i="1"/>
  <c r="B873" i="1"/>
  <c r="B914" i="1"/>
  <c r="B3750" i="1"/>
  <c r="B670" i="1"/>
  <c r="B5945" i="1"/>
  <c r="B148" i="1"/>
  <c r="B4307" i="1"/>
  <c r="B1277" i="1"/>
  <c r="B1131" i="1"/>
  <c r="B2372" i="1"/>
  <c r="B3413" i="1"/>
  <c r="B734" i="1"/>
  <c r="B5420" i="1"/>
  <c r="B5150" i="1"/>
  <c r="B1969" i="1"/>
  <c r="B1205" i="1"/>
  <c r="B2399" i="1"/>
  <c r="B5402" i="1"/>
  <c r="B408" i="1"/>
  <c r="B4482" i="1"/>
  <c r="B1726" i="1"/>
  <c r="B5723" i="1"/>
  <c r="B78" i="1"/>
  <c r="B5765" i="1"/>
  <c r="B2413" i="1"/>
  <c r="B4056" i="1"/>
  <c r="B2844" i="1"/>
  <c r="B943" i="1"/>
  <c r="B2934" i="1"/>
  <c r="B1288" i="1"/>
  <c r="B3996" i="1"/>
  <c r="B5269" i="1"/>
  <c r="B54" i="1"/>
  <c r="B1465" i="1"/>
  <c r="B1519" i="1"/>
  <c r="B3186" i="1"/>
  <c r="B882" i="1"/>
  <c r="B2830" i="1"/>
  <c r="B5855" i="1"/>
  <c r="B5436" i="1"/>
  <c r="B3937" i="1"/>
  <c r="B3064" i="1"/>
  <c r="B204" i="1"/>
  <c r="B2190" i="1"/>
  <c r="B1071" i="1"/>
  <c r="B2434" i="1"/>
  <c r="B5965" i="1"/>
  <c r="B1413" i="1"/>
  <c r="B4816" i="1"/>
  <c r="B3062" i="1"/>
  <c r="B3519" i="1"/>
  <c r="B2963" i="1"/>
  <c r="B4264" i="1"/>
  <c r="B2930" i="1"/>
  <c r="B3719" i="1"/>
  <c r="B2478" i="1"/>
  <c r="B770" i="1"/>
  <c r="B5529" i="1"/>
  <c r="B171" i="1"/>
  <c r="B1070" i="1"/>
  <c r="B419" i="1"/>
  <c r="B2672" i="1"/>
  <c r="B1768" i="1"/>
  <c r="B5719" i="1"/>
  <c r="B545" i="1"/>
  <c r="B3199" i="1"/>
  <c r="B3834" i="1"/>
  <c r="B192" i="1"/>
  <c r="B2176" i="1"/>
  <c r="B4098" i="1"/>
  <c r="B5563" i="1"/>
  <c r="B5142" i="1"/>
  <c r="B5103" i="1"/>
  <c r="B3014" i="1"/>
  <c r="B936" i="1"/>
  <c r="B19" i="1"/>
  <c r="B3749" i="1"/>
  <c r="B1078" i="1"/>
  <c r="B5069" i="1"/>
  <c r="B683" i="1"/>
  <c r="B791" i="1"/>
  <c r="B4008" i="1"/>
  <c r="B2244" i="1"/>
  <c r="B877" i="1"/>
  <c r="B2795" i="1"/>
  <c r="B3444" i="1"/>
  <c r="B2657" i="1"/>
  <c r="B5131" i="1"/>
  <c r="B5958" i="1"/>
  <c r="B4628" i="1"/>
  <c r="B1210" i="1"/>
  <c r="B3913" i="1"/>
  <c r="B2353" i="1"/>
  <c r="B619" i="1"/>
  <c r="B4089" i="1"/>
  <c r="B5553" i="1"/>
  <c r="B2397" i="1"/>
  <c r="B3112" i="1"/>
  <c r="B826" i="1"/>
  <c r="B3737" i="1"/>
  <c r="B695" i="1"/>
  <c r="B2776" i="1"/>
  <c r="B4651" i="1"/>
  <c r="B5868" i="1"/>
  <c r="B4167" i="1"/>
  <c r="B2430" i="1"/>
  <c r="B5713" i="1"/>
  <c r="B4070" i="1"/>
  <c r="B5355" i="1"/>
  <c r="B4137" i="1"/>
  <c r="B1401" i="1"/>
  <c r="B3167" i="1"/>
  <c r="B3725" i="1"/>
  <c r="B3019" i="1"/>
  <c r="B4314" i="1"/>
  <c r="B2458" i="1"/>
  <c r="B5607" i="1"/>
  <c r="B2112" i="1"/>
  <c r="B2332" i="1"/>
  <c r="B2198" i="1"/>
  <c r="B402" i="1"/>
  <c r="B2564" i="1"/>
  <c r="B22" i="1"/>
  <c r="B2982" i="1"/>
  <c r="B5434" i="1"/>
  <c r="B2799" i="1"/>
  <c r="B701" i="1"/>
  <c r="B4724" i="1"/>
  <c r="B262" i="1"/>
  <c r="B2923" i="1"/>
  <c r="B5925" i="1"/>
  <c r="B3692" i="1"/>
  <c r="B3436" i="1"/>
  <c r="B3941" i="1"/>
  <c r="B412" i="1"/>
  <c r="B3338" i="1"/>
  <c r="B5432" i="1"/>
  <c r="B5645" i="1"/>
  <c r="B3688" i="1"/>
  <c r="B3307" i="1"/>
  <c r="B4212" i="1"/>
  <c r="B502" i="1"/>
  <c r="B1246" i="1"/>
  <c r="B2689" i="1"/>
  <c r="B2354" i="1"/>
  <c r="B4414" i="1"/>
  <c r="D7" i="2"/>
  <c r="B2" i="9" s="1"/>
  <c r="D14" i="2"/>
  <c r="D4" i="2"/>
  <c r="D10" i="2"/>
  <c r="D6" i="2"/>
  <c r="D16" i="2"/>
  <c r="D8" i="2"/>
  <c r="D13" i="2"/>
  <c r="D5" i="2"/>
  <c r="D12" i="2"/>
  <c r="D9" i="2"/>
  <c r="D17" i="2"/>
  <c r="D11" i="2"/>
  <c r="D15" i="2"/>
  <c r="D3" i="2"/>
  <c r="F7" i="7"/>
  <c r="G7" i="7" s="1"/>
  <c r="F6" i="7"/>
  <c r="G6" i="7" s="1"/>
  <c r="F5" i="7"/>
  <c r="G5" i="7" s="1"/>
  <c r="F4" i="7"/>
  <c r="G4" i="7" s="1"/>
  <c r="F3" i="7"/>
  <c r="F7" i="6"/>
  <c r="G7" i="6" s="1"/>
  <c r="F6" i="6"/>
  <c r="G6" i="6" s="1"/>
  <c r="F5" i="6"/>
  <c r="G5" i="6" s="1"/>
  <c r="F4" i="6"/>
  <c r="G4" i="6" s="1"/>
  <c r="F3" i="6"/>
  <c r="G3" i="6" s="1"/>
  <c r="F7" i="5"/>
  <c r="G7" i="5" s="1"/>
  <c r="F6" i="5"/>
  <c r="G6" i="5" s="1"/>
  <c r="F5" i="5"/>
  <c r="G5" i="5" s="1"/>
  <c r="F4" i="5"/>
  <c r="G4" i="5" s="1"/>
  <c r="F3" i="5"/>
  <c r="G3" i="5" s="1"/>
  <c r="F7" i="4"/>
  <c r="G7" i="4" s="1"/>
  <c r="F6" i="4"/>
  <c r="G6" i="4" s="1"/>
  <c r="F5" i="4"/>
  <c r="G5" i="4" s="1"/>
  <c r="F4" i="4"/>
  <c r="G4" i="4" s="1"/>
  <c r="F3" i="4"/>
  <c r="G3" i="4" s="1"/>
  <c r="F4" i="3"/>
  <c r="G4" i="3" s="1"/>
  <c r="F5" i="3"/>
  <c r="G5" i="3"/>
  <c r="F6" i="3"/>
  <c r="G6" i="3" s="1"/>
  <c r="F7" i="3"/>
  <c r="G7" i="3"/>
  <c r="F3" i="3"/>
  <c r="G3" i="3" s="1"/>
  <c r="L18" i="2" l="1"/>
  <c r="E12" i="9"/>
  <c r="B5" i="9"/>
  <c r="E5" i="9"/>
  <c r="E4691" i="1"/>
  <c r="E409" i="1"/>
  <c r="E3784" i="1"/>
  <c r="E4864" i="1"/>
  <c r="E4840" i="1"/>
  <c r="E5698" i="1"/>
  <c r="E1012" i="1"/>
  <c r="E2067" i="1"/>
  <c r="E2570" i="1"/>
  <c r="E4223" i="1"/>
  <c r="E818" i="1"/>
  <c r="E1409" i="1"/>
  <c r="E3575" i="1"/>
  <c r="E4255" i="1"/>
  <c r="E5224" i="1"/>
  <c r="E1110" i="1"/>
  <c r="E5601" i="1"/>
  <c r="E3206" i="1"/>
  <c r="E1684" i="1"/>
  <c r="E4819" i="1"/>
  <c r="E1479" i="1"/>
  <c r="E947" i="1"/>
  <c r="E4688" i="1"/>
  <c r="E306" i="1"/>
  <c r="E351" i="1"/>
  <c r="E1781" i="1"/>
  <c r="E4227" i="1"/>
  <c r="E4737" i="1"/>
  <c r="E5345" i="1"/>
  <c r="E4850" i="1"/>
  <c r="E2028" i="1"/>
  <c r="E1042" i="1"/>
  <c r="E1072" i="1"/>
  <c r="E3599" i="1"/>
  <c r="E4397" i="1"/>
  <c r="E5885" i="1"/>
  <c r="E464" i="1"/>
  <c r="E4715" i="1"/>
  <c r="E3446" i="1"/>
  <c r="E5959" i="1"/>
  <c r="E5640" i="1"/>
  <c r="E354" i="1"/>
  <c r="E3172" i="1"/>
  <c r="E1344" i="1"/>
  <c r="E153" i="1"/>
  <c r="E3627" i="1"/>
  <c r="E2886" i="1"/>
  <c r="E4181" i="1"/>
  <c r="E4617" i="1"/>
  <c r="E5400" i="1"/>
  <c r="E4606" i="1"/>
  <c r="E518" i="1"/>
  <c r="E3932" i="1"/>
  <c r="E781" i="1"/>
  <c r="E4738" i="1"/>
  <c r="E3689" i="1"/>
  <c r="E5692" i="1"/>
  <c r="E5956" i="1"/>
  <c r="E5732" i="1"/>
  <c r="E948" i="1"/>
  <c r="E4128" i="1"/>
  <c r="E3874" i="1"/>
  <c r="E1284" i="1"/>
  <c r="E4442" i="1"/>
  <c r="E466" i="1"/>
  <c r="E2183" i="1"/>
  <c r="E404" i="1"/>
  <c r="E1475" i="1"/>
  <c r="E232" i="1"/>
  <c r="E1936" i="1"/>
  <c r="E547" i="1"/>
  <c r="E995" i="1"/>
  <c r="E4061" i="1"/>
  <c r="E1944" i="1"/>
  <c r="E1511" i="1"/>
  <c r="E3769" i="1"/>
  <c r="E4199" i="1"/>
  <c r="E5316" i="1"/>
  <c r="E1917" i="1"/>
  <c r="E3066" i="1"/>
  <c r="E788" i="1"/>
  <c r="E5028" i="1"/>
  <c r="E1003" i="1"/>
  <c r="E3745" i="1"/>
  <c r="E3702" i="1"/>
  <c r="E270" i="1"/>
  <c r="E4524" i="1"/>
  <c r="E1259" i="1"/>
  <c r="E3061" i="1"/>
  <c r="E4610" i="1"/>
  <c r="E3426" i="1"/>
  <c r="E3718" i="1"/>
  <c r="E4470" i="1"/>
  <c r="E5227" i="1"/>
  <c r="E5067" i="1"/>
  <c r="E1490" i="1"/>
  <c r="E562" i="1"/>
  <c r="E2093" i="1"/>
  <c r="E2177" i="1"/>
  <c r="E2498" i="1"/>
  <c r="E4193" i="1"/>
  <c r="E665" i="1"/>
  <c r="E1406" i="1"/>
  <c r="E396" i="1"/>
  <c r="E146" i="1"/>
  <c r="E212" i="1"/>
  <c r="E5724" i="1"/>
  <c r="E2899" i="1"/>
  <c r="E1036" i="1"/>
  <c r="E3558" i="1"/>
  <c r="E2328" i="1"/>
  <c r="E2243" i="1"/>
  <c r="E1845" i="1"/>
  <c r="E3777" i="1"/>
  <c r="E1904" i="1"/>
  <c r="E222" i="1"/>
  <c r="E3127" i="1"/>
  <c r="E4967" i="1"/>
  <c r="E383" i="1"/>
  <c r="E2104" i="1"/>
  <c r="E2908" i="1"/>
  <c r="E5951" i="1"/>
  <c r="E870" i="1"/>
  <c r="E2778" i="1"/>
  <c r="E4194" i="1"/>
  <c r="E1911" i="1"/>
  <c r="E2900" i="1"/>
  <c r="E1121" i="1"/>
  <c r="E1833" i="1"/>
  <c r="E2621" i="1"/>
  <c r="E1565" i="1"/>
  <c r="E4751" i="1"/>
  <c r="E498" i="1"/>
  <c r="E509" i="1"/>
  <c r="E2682" i="1"/>
  <c r="E4861" i="1"/>
  <c r="E1859" i="1"/>
  <c r="E58" i="1"/>
  <c r="E5098" i="1"/>
  <c r="E1827" i="1"/>
  <c r="E3634" i="1"/>
  <c r="E5489" i="1"/>
  <c r="E2652" i="1"/>
  <c r="E2456" i="1"/>
  <c r="E571" i="1"/>
  <c r="E4180" i="1"/>
  <c r="E5385" i="1"/>
  <c r="E4881" i="1"/>
  <c r="E2113" i="1"/>
  <c r="E613" i="1"/>
  <c r="E1678" i="1"/>
  <c r="E2882" i="1"/>
  <c r="E248" i="1"/>
  <c r="E1697" i="1"/>
  <c r="E962" i="1"/>
  <c r="E4188" i="1"/>
  <c r="E1899" i="1"/>
  <c r="E3675" i="1"/>
  <c r="E3613" i="1"/>
  <c r="E2531" i="1"/>
  <c r="E217" i="1"/>
  <c r="E1541" i="1"/>
  <c r="E2128" i="1"/>
  <c r="E2737" i="1"/>
  <c r="E4388" i="1"/>
  <c r="E2997" i="1"/>
  <c r="E723" i="1"/>
  <c r="E5384" i="1"/>
  <c r="E1735" i="1"/>
  <c r="E5769" i="1"/>
  <c r="E1635" i="1"/>
  <c r="E1266" i="1"/>
  <c r="E1894" i="1"/>
  <c r="E4928" i="1"/>
  <c r="E246" i="1"/>
  <c r="E2507" i="1"/>
  <c r="E442" i="1"/>
  <c r="E2141" i="1"/>
  <c r="E2727" i="1"/>
  <c r="E1208" i="1"/>
  <c r="E1660" i="1"/>
  <c r="E4075" i="1"/>
  <c r="E731" i="1"/>
  <c r="E5203" i="1"/>
  <c r="H4007" i="1"/>
  <c r="I4007" i="1" s="1"/>
  <c r="J4007" i="1" s="1"/>
  <c r="H5021" i="1"/>
  <c r="I5021" i="1" s="1"/>
  <c r="J5021" i="1" s="1"/>
  <c r="K5021" i="1" s="1"/>
  <c r="L5021" i="1" s="1"/>
  <c r="H4743" i="1"/>
  <c r="I4743" i="1" s="1"/>
  <c r="J4743" i="1" s="1"/>
  <c r="K4743" i="1" s="1"/>
  <c r="L4743" i="1" s="1"/>
  <c r="H4845" i="1"/>
  <c r="I4845" i="1" s="1"/>
  <c r="J4845" i="1" s="1"/>
  <c r="K4845" i="1" s="1"/>
  <c r="L4845" i="1" s="1"/>
  <c r="H3549" i="1"/>
  <c r="I3549" i="1" s="1"/>
  <c r="J3549" i="1" s="1"/>
  <c r="K3549" i="1" s="1"/>
  <c r="L3549" i="1" s="1"/>
  <c r="H5531" i="1"/>
  <c r="I5531" i="1" s="1"/>
  <c r="J5531" i="1" s="1"/>
  <c r="K5531" i="1" s="1"/>
  <c r="L5531" i="1" s="1"/>
  <c r="H1943" i="1"/>
  <c r="I1943" i="1" s="1"/>
  <c r="J1943" i="1" s="1"/>
  <c r="K1943" i="1" s="1"/>
  <c r="L1943" i="1" s="1"/>
  <c r="H1822" i="1"/>
  <c r="I1822" i="1" s="1"/>
  <c r="J1822" i="1" s="1"/>
  <c r="K1822" i="1" s="1"/>
  <c r="L1822" i="1" s="1"/>
  <c r="H5113" i="1"/>
  <c r="I5113" i="1" s="1"/>
  <c r="J5113" i="1" s="1"/>
  <c r="H2535" i="1"/>
  <c r="I2535" i="1" s="1"/>
  <c r="J2535" i="1" s="1"/>
  <c r="H4696" i="1"/>
  <c r="I4696" i="1" s="1"/>
  <c r="J4696" i="1" s="1"/>
  <c r="K4696" i="1" s="1"/>
  <c r="L4696" i="1" s="1"/>
  <c r="H4015" i="1"/>
  <c r="I4015" i="1" s="1"/>
  <c r="J4015" i="1" s="1"/>
  <c r="H3845" i="1"/>
  <c r="I3845" i="1" s="1"/>
  <c r="J3845" i="1" s="1"/>
  <c r="H4773" i="1"/>
  <c r="I4773" i="1" s="1"/>
  <c r="J4773" i="1" s="1"/>
  <c r="K4773" i="1" s="1"/>
  <c r="L4773" i="1" s="1"/>
  <c r="H5322" i="1"/>
  <c r="I5322" i="1" s="1"/>
  <c r="J5322" i="1" s="1"/>
  <c r="K5322" i="1" s="1"/>
  <c r="L5322" i="1" s="1"/>
  <c r="H1564" i="1"/>
  <c r="I1564" i="1" s="1"/>
  <c r="J1564" i="1" s="1"/>
  <c r="H5197" i="1"/>
  <c r="I5197" i="1" s="1"/>
  <c r="J5197" i="1" s="1"/>
  <c r="H2049" i="1"/>
  <c r="I2049" i="1" s="1"/>
  <c r="J2049" i="1" s="1"/>
  <c r="K2049" i="1" s="1"/>
  <c r="L2049" i="1" s="1"/>
  <c r="H369" i="1"/>
  <c r="I369" i="1" s="1"/>
  <c r="J369" i="1" s="1"/>
  <c r="K369" i="1" s="1"/>
  <c r="L369" i="1" s="1"/>
  <c r="H4206" i="1"/>
  <c r="I4206" i="1" s="1"/>
  <c r="J4206" i="1" s="1"/>
  <c r="K4206" i="1" s="1"/>
  <c r="L4206" i="1" s="1"/>
  <c r="H1008" i="1"/>
  <c r="I1008" i="1" s="1"/>
  <c r="J1008" i="1" s="1"/>
  <c r="K1008" i="1" s="1"/>
  <c r="L1008" i="1" s="1"/>
  <c r="H3722" i="1"/>
  <c r="I3722" i="1" s="1"/>
  <c r="J3722" i="1" s="1"/>
  <c r="K3722" i="1" s="1"/>
  <c r="L3722" i="1" s="1"/>
  <c r="H3442" i="1"/>
  <c r="I3442" i="1" s="1"/>
  <c r="J3442" i="1" s="1"/>
  <c r="K3442" i="1" s="1"/>
  <c r="L3442" i="1" s="1"/>
  <c r="H2589" i="1"/>
  <c r="I2589" i="1" s="1"/>
  <c r="J2589" i="1" s="1"/>
  <c r="H3615" i="1"/>
  <c r="I3615" i="1" s="1"/>
  <c r="J3615" i="1" s="1"/>
  <c r="H5676" i="1"/>
  <c r="I5676" i="1" s="1"/>
  <c r="J5676" i="1" s="1"/>
  <c r="H5985" i="1"/>
  <c r="I5985" i="1" s="1"/>
  <c r="J5985" i="1" s="1"/>
  <c r="K5985" i="1" s="1"/>
  <c r="L5985" i="1" s="1"/>
  <c r="H1640" i="1"/>
  <c r="I1640" i="1" s="1"/>
  <c r="J1640" i="1" s="1"/>
  <c r="H3399" i="1"/>
  <c r="I3399" i="1" s="1"/>
  <c r="J3399" i="1" s="1"/>
  <c r="H1689" i="1"/>
  <c r="I1689" i="1" s="1"/>
  <c r="J1689" i="1" s="1"/>
  <c r="H4560" i="1"/>
  <c r="I4560" i="1" s="1"/>
  <c r="J4560" i="1" s="1"/>
  <c r="K4560" i="1" s="1"/>
  <c r="L4560" i="1" s="1"/>
  <c r="H3822" i="1"/>
  <c r="I3822" i="1" s="1"/>
  <c r="J3822" i="1" s="1"/>
  <c r="H4725" i="1"/>
  <c r="I4725" i="1" s="1"/>
  <c r="J4725" i="1" s="1"/>
  <c r="K4725" i="1" s="1"/>
  <c r="L4725" i="1" s="1"/>
  <c r="H5182" i="1"/>
  <c r="I5182" i="1" s="1"/>
  <c r="J5182" i="1" s="1"/>
  <c r="K5182" i="1" s="1"/>
  <c r="L5182" i="1" s="1"/>
  <c r="H4045" i="1"/>
  <c r="I4045" i="1" s="1"/>
  <c r="J4045" i="1" s="1"/>
  <c r="K4045" i="1" s="1"/>
  <c r="L4045" i="1" s="1"/>
  <c r="H4802" i="1"/>
  <c r="I4802" i="1" s="1"/>
  <c r="J4802" i="1" s="1"/>
  <c r="K4802" i="1" s="1"/>
  <c r="L4802" i="1" s="1"/>
  <c r="H2887" i="1"/>
  <c r="I2887" i="1" s="1"/>
  <c r="J2887" i="1" s="1"/>
  <c r="K2887" i="1" s="1"/>
  <c r="L2887" i="1" s="1"/>
  <c r="H3466" i="1"/>
  <c r="I3466" i="1" s="1"/>
  <c r="J3466" i="1" s="1"/>
  <c r="K3466" i="1" s="1"/>
  <c r="L3466" i="1" s="1"/>
  <c r="H1102" i="1"/>
  <c r="I1102" i="1" s="1"/>
  <c r="J1102" i="1" s="1"/>
  <c r="K1102" i="1" s="1"/>
  <c r="L1102" i="1" s="1"/>
  <c r="H4366" i="1"/>
  <c r="I4366" i="1" s="1"/>
  <c r="J4366" i="1" s="1"/>
  <c r="K4366" i="1" s="1"/>
  <c r="L4366" i="1" s="1"/>
  <c r="H1305" i="1"/>
  <c r="I1305" i="1" s="1"/>
  <c r="J1305" i="1" s="1"/>
  <c r="H3641" i="1"/>
  <c r="I3641" i="1" s="1"/>
  <c r="J3641" i="1" s="1"/>
  <c r="H3751" i="1"/>
  <c r="I3751" i="1" s="1"/>
  <c r="J3751" i="1" s="1"/>
  <c r="K3751" i="1" s="1"/>
  <c r="L3751" i="1" s="1"/>
  <c r="H5007" i="1"/>
  <c r="I5007" i="1" s="1"/>
  <c r="J5007" i="1" s="1"/>
  <c r="H2994" i="1"/>
  <c r="I2994" i="1" s="1"/>
  <c r="J2994" i="1" s="1"/>
  <c r="H4374" i="1"/>
  <c r="I4374" i="1" s="1"/>
  <c r="J4374" i="1" s="1"/>
  <c r="H3567" i="1"/>
  <c r="I3567" i="1" s="1"/>
  <c r="J3567" i="1" s="1"/>
  <c r="K3567" i="1" s="1"/>
  <c r="L3567" i="1" s="1"/>
  <c r="H1122" i="1"/>
  <c r="I1122" i="1" s="1"/>
  <c r="J1122" i="1" s="1"/>
  <c r="H1074" i="1"/>
  <c r="I1074" i="1" s="1"/>
  <c r="J1074" i="1" s="1"/>
  <c r="H5435" i="1"/>
  <c r="I5435" i="1" s="1"/>
  <c r="J5435" i="1" s="1"/>
  <c r="K5435" i="1" s="1"/>
  <c r="L5435" i="1" s="1"/>
  <c r="H3342" i="1"/>
  <c r="I3342" i="1" s="1"/>
  <c r="J3342" i="1" s="1"/>
  <c r="K3342" i="1" s="1"/>
  <c r="L3342" i="1" s="1"/>
  <c r="H5537" i="1"/>
  <c r="I5537" i="1" s="1"/>
  <c r="J5537" i="1" s="1"/>
  <c r="K5537" i="1" s="1"/>
  <c r="L5537" i="1" s="1"/>
  <c r="H1786" i="1"/>
  <c r="I1786" i="1" s="1"/>
  <c r="J1786" i="1" s="1"/>
  <c r="K1786" i="1" s="1"/>
  <c r="L1786" i="1" s="1"/>
  <c r="H1642" i="1"/>
  <c r="I1642" i="1" s="1"/>
  <c r="J1642" i="1" s="1"/>
  <c r="K1642" i="1" s="1"/>
  <c r="L1642" i="1" s="1"/>
  <c r="H3431" i="1"/>
  <c r="I3431" i="1" s="1"/>
  <c r="J3431" i="1" s="1"/>
  <c r="K3431" i="1" s="1"/>
  <c r="L3431" i="1" s="1"/>
  <c r="H784" i="1"/>
  <c r="I784" i="1" s="1"/>
  <c r="J784" i="1" s="1"/>
  <c r="H2253" i="1"/>
  <c r="I2253" i="1" s="1"/>
  <c r="J2253" i="1" s="1"/>
  <c r="H4373" i="1"/>
  <c r="I4373" i="1" s="1"/>
  <c r="J4373" i="1" s="1"/>
  <c r="H3383" i="1"/>
  <c r="I3383" i="1" s="1"/>
  <c r="J3383" i="1" s="1"/>
  <c r="K3383" i="1" s="1"/>
  <c r="L3383" i="1" s="1"/>
  <c r="H5004" i="1"/>
  <c r="I5004" i="1" s="1"/>
  <c r="J5004" i="1" s="1"/>
  <c r="H3252" i="1"/>
  <c r="I3252" i="1" s="1"/>
  <c r="J3252" i="1" s="1"/>
  <c r="H963" i="1"/>
  <c r="I963" i="1" s="1"/>
  <c r="J963" i="1" s="1"/>
  <c r="H382" i="1"/>
  <c r="I382" i="1" s="1"/>
  <c r="J382" i="1" s="1"/>
  <c r="H1568" i="1"/>
  <c r="I1568" i="1" s="1"/>
  <c r="J1568" i="1" s="1"/>
  <c r="H2460" i="1"/>
  <c r="I2460" i="1" s="1"/>
  <c r="J2460" i="1" s="1"/>
  <c r="H4034" i="1"/>
  <c r="I4034" i="1" s="1"/>
  <c r="J4034" i="1" s="1"/>
  <c r="K4034" i="1" s="1"/>
  <c r="L4034" i="1" s="1"/>
  <c r="H5872" i="1"/>
  <c r="I5872" i="1" s="1"/>
  <c r="J5872" i="1" s="1"/>
  <c r="K5872" i="1" s="1"/>
  <c r="L5872" i="1" s="1"/>
  <c r="H5174" i="1"/>
  <c r="I5174" i="1" s="1"/>
  <c r="J5174" i="1" s="1"/>
  <c r="K5174" i="1" s="1"/>
  <c r="L5174" i="1" s="1"/>
  <c r="H3240" i="1"/>
  <c r="I3240" i="1" s="1"/>
  <c r="J3240" i="1" s="1"/>
  <c r="K3240" i="1" s="1"/>
  <c r="L3240" i="1" s="1"/>
  <c r="H1771" i="1"/>
  <c r="I1771" i="1" s="1"/>
  <c r="J1771" i="1" s="1"/>
  <c r="K1771" i="1" s="1"/>
  <c r="L1771" i="1" s="1"/>
  <c r="H1981" i="1"/>
  <c r="I1981" i="1" s="1"/>
  <c r="J1981" i="1" s="1"/>
  <c r="K1981" i="1" s="1"/>
  <c r="L1981" i="1" s="1"/>
  <c r="H5193" i="1"/>
  <c r="I5193" i="1" s="1"/>
  <c r="J5193" i="1" s="1"/>
  <c r="H5143" i="1"/>
  <c r="I5143" i="1" s="1"/>
  <c r="J5143" i="1" s="1"/>
  <c r="H1056" i="1"/>
  <c r="I1056" i="1" s="1"/>
  <c r="J1056" i="1" s="1"/>
  <c r="H1772" i="1"/>
  <c r="I1772" i="1" s="1"/>
  <c r="J1772" i="1" s="1"/>
  <c r="K1772" i="1" s="1"/>
  <c r="L1772" i="1" s="1"/>
  <c r="H3205" i="1"/>
  <c r="I3205" i="1" s="1"/>
  <c r="J3205" i="1" s="1"/>
  <c r="H1216" i="1"/>
  <c r="I1216" i="1" s="1"/>
  <c r="J1216" i="1" s="1"/>
  <c r="H4953" i="1"/>
  <c r="I4953" i="1" s="1"/>
  <c r="J4953" i="1" s="1"/>
  <c r="H5858" i="1"/>
  <c r="I5858" i="1" s="1"/>
  <c r="J5858" i="1" s="1"/>
  <c r="K5858" i="1" s="1"/>
  <c r="L5858" i="1" s="1"/>
  <c r="H4720" i="1"/>
  <c r="I4720" i="1" s="1"/>
  <c r="J4720" i="1" s="1"/>
  <c r="H496" i="1"/>
  <c r="I496" i="1" s="1"/>
  <c r="J496" i="1" s="1"/>
  <c r="H4681" i="1"/>
  <c r="I4681" i="1" s="1"/>
  <c r="J4681" i="1" s="1"/>
  <c r="K4681" i="1" s="1"/>
  <c r="L4681" i="1" s="1"/>
  <c r="H1224" i="1"/>
  <c r="I1224" i="1" s="1"/>
  <c r="J1224" i="1" s="1"/>
  <c r="K1224" i="1" s="1"/>
  <c r="L1224" i="1" s="1"/>
  <c r="H4494" i="1"/>
  <c r="I4494" i="1" s="1"/>
  <c r="J4494" i="1" s="1"/>
  <c r="K4494" i="1" s="1"/>
  <c r="L4494" i="1" s="1"/>
  <c r="H3638" i="1"/>
  <c r="I3638" i="1" s="1"/>
  <c r="J3638" i="1" s="1"/>
  <c r="K3638" i="1" s="1"/>
  <c r="L3638" i="1" s="1"/>
  <c r="H5596" i="1"/>
  <c r="I5596" i="1" s="1"/>
  <c r="J5596" i="1" s="1"/>
  <c r="K5596" i="1" s="1"/>
  <c r="L5596" i="1" s="1"/>
  <c r="H3973" i="1"/>
  <c r="I3973" i="1" s="1"/>
  <c r="J3973" i="1" s="1"/>
  <c r="K3973" i="1" s="1"/>
  <c r="L3973" i="1" s="1"/>
  <c r="H3475" i="1"/>
  <c r="I3475" i="1" s="1"/>
  <c r="J3475" i="1" s="1"/>
  <c r="K3475" i="1" s="1"/>
  <c r="L3475" i="1" s="1"/>
  <c r="H5171" i="1"/>
  <c r="I5171" i="1" s="1"/>
  <c r="J5171" i="1" s="1"/>
  <c r="H4872" i="1"/>
  <c r="I4872" i="1" s="1"/>
  <c r="J4872" i="1" s="1"/>
  <c r="H5550" i="1"/>
  <c r="I5550" i="1" s="1"/>
  <c r="J5550" i="1" s="1"/>
  <c r="K5550" i="1" s="1"/>
  <c r="L5550" i="1" s="1"/>
  <c r="H3799" i="1"/>
  <c r="I3799" i="1" s="1"/>
  <c r="J3799" i="1" s="1"/>
  <c r="H5619" i="1"/>
  <c r="I5619" i="1" s="1"/>
  <c r="J5619" i="1" s="1"/>
  <c r="H5655" i="1"/>
  <c r="I5655" i="1" s="1"/>
  <c r="J5655" i="1" s="1"/>
  <c r="H1843" i="1"/>
  <c r="I1843" i="1" s="1"/>
  <c r="J1843" i="1" s="1"/>
  <c r="K1843" i="1" s="1"/>
  <c r="L1843" i="1" s="1"/>
  <c r="H5093" i="1"/>
  <c r="I5093" i="1" s="1"/>
  <c r="J5093" i="1" s="1"/>
  <c r="K5093" i="1" s="1"/>
  <c r="L5093" i="1" s="1"/>
  <c r="H3925" i="1"/>
  <c r="I3925" i="1" s="1"/>
  <c r="J3925" i="1" s="1"/>
  <c r="H3647" i="1"/>
  <c r="I3647" i="1" s="1"/>
  <c r="J3647" i="1" s="1"/>
  <c r="K3647" i="1" s="1"/>
  <c r="L3647" i="1" s="1"/>
  <c r="H5720" i="1"/>
  <c r="I5720" i="1" s="1"/>
  <c r="J5720" i="1" s="1"/>
  <c r="K5720" i="1" s="1"/>
  <c r="L5720" i="1" s="1"/>
  <c r="H2339" i="1"/>
  <c r="I2339" i="1" s="1"/>
  <c r="J2339" i="1" s="1"/>
  <c r="K2339" i="1" s="1"/>
  <c r="L2339" i="1" s="1"/>
  <c r="H539" i="1"/>
  <c r="I539" i="1" s="1"/>
  <c r="J539" i="1" s="1"/>
  <c r="H1002" i="1"/>
  <c r="I1002" i="1" s="1"/>
  <c r="J1002" i="1" s="1"/>
  <c r="K1002" i="1" s="1"/>
  <c r="L1002" i="1" s="1"/>
  <c r="H5237" i="1"/>
  <c r="I5237" i="1" s="1"/>
  <c r="J5237" i="1" s="1"/>
  <c r="K5237" i="1" s="1"/>
  <c r="L5237" i="1" s="1"/>
  <c r="H4146" i="1"/>
  <c r="I4146" i="1" s="1"/>
  <c r="J4146" i="1" s="1"/>
  <c r="H4316" i="1"/>
  <c r="I4316" i="1" s="1"/>
  <c r="J4316" i="1" s="1"/>
  <c r="H5943" i="1"/>
  <c r="I5943" i="1" s="1"/>
  <c r="J5943" i="1" s="1"/>
  <c r="H4044" i="1"/>
  <c r="I4044" i="1" s="1"/>
  <c r="J4044" i="1" s="1"/>
  <c r="H5954" i="1"/>
  <c r="I5954" i="1" s="1"/>
  <c r="J5954" i="1" s="1"/>
  <c r="K5954" i="1" s="1"/>
  <c r="L5954" i="1" s="1"/>
  <c r="H850" i="1"/>
  <c r="I850" i="1" s="1"/>
  <c r="J850" i="1" s="1"/>
  <c r="H1577" i="1"/>
  <c r="I1577" i="1" s="1"/>
  <c r="J1577" i="1" s="1"/>
  <c r="H5813" i="1"/>
  <c r="I5813" i="1" s="1"/>
  <c r="J5813" i="1" s="1"/>
  <c r="K5813" i="1" s="1"/>
  <c r="L5813" i="1" s="1"/>
  <c r="H3794" i="1"/>
  <c r="I3794" i="1" s="1"/>
  <c r="J3794" i="1" s="1"/>
  <c r="K3794" i="1" s="1"/>
  <c r="L3794" i="1" s="1"/>
  <c r="H5242" i="1"/>
  <c r="I5242" i="1" s="1"/>
  <c r="J5242" i="1" s="1"/>
  <c r="K5242" i="1" s="1"/>
  <c r="L5242" i="1" s="1"/>
  <c r="H3029" i="1"/>
  <c r="I3029" i="1" s="1"/>
  <c r="J3029" i="1" s="1"/>
  <c r="K3029" i="1" s="1"/>
  <c r="L3029" i="1" s="1"/>
  <c r="H1784" i="1"/>
  <c r="I1784" i="1" s="1"/>
  <c r="J1784" i="1" s="1"/>
  <c r="K1784" i="1" s="1"/>
  <c r="L1784" i="1" s="1"/>
  <c r="H4903" i="1"/>
  <c r="I4903" i="1" s="1"/>
  <c r="J4903" i="1" s="1"/>
  <c r="K4903" i="1" s="1"/>
  <c r="L4903" i="1" s="1"/>
  <c r="H5351" i="1"/>
  <c r="I5351" i="1" s="1"/>
  <c r="J5351" i="1" s="1"/>
  <c r="K5351" i="1" s="1"/>
  <c r="L5351" i="1" s="1"/>
  <c r="H315" i="1"/>
  <c r="I315" i="1" s="1"/>
  <c r="H2117" i="1"/>
  <c r="I2117" i="1" s="1"/>
  <c r="J2117" i="1" s="1"/>
  <c r="K2117" i="1" s="1"/>
  <c r="L2117" i="1" s="1"/>
  <c r="H447" i="1"/>
  <c r="I447" i="1" s="1"/>
  <c r="J447" i="1" s="1"/>
  <c r="H5065" i="1"/>
  <c r="I5065" i="1" s="1"/>
  <c r="J5065" i="1" s="1"/>
  <c r="H1055" i="1"/>
  <c r="I1055" i="1" s="1"/>
  <c r="J1055" i="1" s="1"/>
  <c r="H5486" i="1"/>
  <c r="I5486" i="1" s="1"/>
  <c r="J5486" i="1" s="1"/>
  <c r="K5486" i="1" s="1"/>
  <c r="L5486" i="1" s="1"/>
  <c r="H4780" i="1"/>
  <c r="I4780" i="1" s="1"/>
  <c r="J4780" i="1" s="1"/>
  <c r="H576" i="1"/>
  <c r="I576" i="1" s="1"/>
  <c r="J576" i="1" s="1"/>
  <c r="H4028" i="1"/>
  <c r="I4028" i="1" s="1"/>
  <c r="J4028" i="1" s="1"/>
  <c r="H3030" i="1"/>
  <c r="I3030" i="1" s="1"/>
  <c r="J3030" i="1" s="1"/>
  <c r="K3030" i="1" s="1"/>
  <c r="L3030" i="1" s="1"/>
  <c r="H1532" i="1"/>
  <c r="I1532" i="1" s="1"/>
  <c r="J1532" i="1" s="1"/>
  <c r="H4424" i="1"/>
  <c r="I4424" i="1" s="1"/>
  <c r="J4424" i="1" s="1"/>
  <c r="H5793" i="1"/>
  <c r="I5793" i="1" s="1"/>
  <c r="J5793" i="1" s="1"/>
  <c r="K5793" i="1" s="1"/>
  <c r="L5793" i="1" s="1"/>
  <c r="H892" i="1"/>
  <c r="I892" i="1" s="1"/>
  <c r="J892" i="1" s="1"/>
  <c r="K892" i="1" s="1"/>
  <c r="L892" i="1" s="1"/>
  <c r="H3847" i="1"/>
  <c r="I3847" i="1" s="1"/>
  <c r="J3847" i="1" s="1"/>
  <c r="H5808" i="1"/>
  <c r="I5808" i="1" s="1"/>
  <c r="J5808" i="1" s="1"/>
  <c r="K5808" i="1" s="1"/>
  <c r="L5808" i="1" s="1"/>
  <c r="H4977" i="1"/>
  <c r="I4977" i="1" s="1"/>
  <c r="J4977" i="1" s="1"/>
  <c r="K4977" i="1" s="1"/>
  <c r="L4977" i="1" s="1"/>
  <c r="H3832" i="1"/>
  <c r="I3832" i="1" s="1"/>
  <c r="J3832" i="1" s="1"/>
  <c r="K3832" i="1" s="1"/>
  <c r="L3832" i="1" s="1"/>
  <c r="H3772" i="1"/>
  <c r="I3772" i="1" s="1"/>
  <c r="J3772" i="1" s="1"/>
  <c r="H3585" i="1"/>
  <c r="I3585" i="1" s="1"/>
  <c r="J3585" i="1" s="1"/>
  <c r="H925" i="1"/>
  <c r="I925" i="1" s="1"/>
  <c r="J925" i="1" s="1"/>
  <c r="H671" i="1"/>
  <c r="I671" i="1" s="1"/>
  <c r="J671" i="1" s="1"/>
  <c r="K671" i="1" s="1"/>
  <c r="L671" i="1" s="1"/>
  <c r="H1588" i="1"/>
  <c r="I1588" i="1" s="1"/>
  <c r="J1588" i="1" s="1"/>
  <c r="H3208" i="1"/>
  <c r="I3208" i="1" s="1"/>
  <c r="J3208" i="1" s="1"/>
  <c r="H5656" i="1"/>
  <c r="I5656" i="1" s="1"/>
  <c r="J5656" i="1" s="1"/>
  <c r="H564" i="1"/>
  <c r="I564" i="1" s="1"/>
  <c r="J564" i="1" s="1"/>
  <c r="K564" i="1" s="1"/>
  <c r="L564" i="1" s="1"/>
  <c r="H1199" i="1"/>
  <c r="I1199" i="1" s="1"/>
  <c r="J1199" i="1" s="1"/>
  <c r="K1199" i="1" s="1"/>
  <c r="L1199" i="1" s="1"/>
  <c r="H5778" i="1"/>
  <c r="I5778" i="1" s="1"/>
  <c r="J5778" i="1" s="1"/>
  <c r="K5778" i="1" s="1"/>
  <c r="L5778" i="1" s="1"/>
  <c r="H3448" i="1"/>
  <c r="I3448" i="1" s="1"/>
  <c r="J3448" i="1" s="1"/>
  <c r="K3448" i="1" s="1"/>
  <c r="L3448" i="1" s="1"/>
  <c r="H3738" i="1"/>
  <c r="I3738" i="1" s="1"/>
  <c r="J3738" i="1" s="1"/>
  <c r="K3738" i="1" s="1"/>
  <c r="L3738" i="1" s="1"/>
  <c r="H2642" i="1"/>
  <c r="I2642" i="1" s="1"/>
  <c r="J2642" i="1" s="1"/>
  <c r="H1092" i="1"/>
  <c r="I1092" i="1" s="1"/>
  <c r="J1092" i="1" s="1"/>
  <c r="K1092" i="1" s="1"/>
  <c r="L1092" i="1" s="1"/>
  <c r="H2964" i="1"/>
  <c r="I2964" i="1" s="1"/>
  <c r="J2964" i="1" s="1"/>
  <c r="K2964" i="1" s="1"/>
  <c r="L2964" i="1" s="1"/>
  <c r="H2754" i="1"/>
  <c r="I2754" i="1" s="1"/>
  <c r="J2754" i="1" s="1"/>
  <c r="K2754" i="1" s="1"/>
  <c r="L2754" i="1" s="1"/>
  <c r="H2534" i="1"/>
  <c r="I2534" i="1" s="1"/>
  <c r="J2534" i="1" s="1"/>
  <c r="H4543" i="1"/>
  <c r="I4543" i="1" s="1"/>
  <c r="J4543" i="1" s="1"/>
  <c r="H1978" i="1"/>
  <c r="I1978" i="1" s="1"/>
  <c r="J1978" i="1" s="1"/>
  <c r="H949" i="1"/>
  <c r="I949" i="1" s="1"/>
  <c r="J949" i="1" s="1"/>
  <c r="H3295" i="1"/>
  <c r="I3295" i="1" s="1"/>
  <c r="J3295" i="1" s="1"/>
  <c r="H1200" i="1"/>
  <c r="I1200" i="1" s="1"/>
  <c r="J1200" i="1" s="1"/>
  <c r="H3226" i="1"/>
  <c r="I3226" i="1" s="1"/>
  <c r="J3226" i="1" s="1"/>
  <c r="H6005" i="1"/>
  <c r="I6005" i="1" s="1"/>
  <c r="J6005" i="1" s="1"/>
  <c r="K6005" i="1" s="1"/>
  <c r="L6005" i="1" s="1"/>
  <c r="H4315" i="1"/>
  <c r="I4315" i="1" s="1"/>
  <c r="J4315" i="1" s="1"/>
  <c r="H1913" i="1"/>
  <c r="I1913" i="1" s="1"/>
  <c r="J1913" i="1" s="1"/>
  <c r="H4744" i="1"/>
  <c r="I4744" i="1" s="1"/>
  <c r="J4744" i="1" s="1"/>
  <c r="K4744" i="1" s="1"/>
  <c r="L4744" i="1" s="1"/>
  <c r="H4892" i="1"/>
  <c r="I4892" i="1" s="1"/>
  <c r="J4892" i="1" s="1"/>
  <c r="K4892" i="1" s="1"/>
  <c r="L4892" i="1" s="1"/>
  <c r="H4038" i="1"/>
  <c r="I4038" i="1" s="1"/>
  <c r="J4038" i="1" s="1"/>
  <c r="K4038" i="1" s="1"/>
  <c r="L4038" i="1" s="1"/>
  <c r="H5847" i="1"/>
  <c r="I5847" i="1" s="1"/>
  <c r="J5847" i="1" s="1"/>
  <c r="K5847" i="1" s="1"/>
  <c r="L5847" i="1" s="1"/>
  <c r="H3814" i="1"/>
  <c r="I3814" i="1" s="1"/>
  <c r="J3814" i="1" s="1"/>
  <c r="K3814" i="1" s="1"/>
  <c r="L3814" i="1" s="1"/>
  <c r="H2224" i="1"/>
  <c r="I2224" i="1" s="1"/>
  <c r="J2224" i="1" s="1"/>
  <c r="K2224" i="1" s="1"/>
  <c r="L2224" i="1" s="1"/>
  <c r="H3499" i="1"/>
  <c r="I3499" i="1" s="1"/>
  <c r="J3499" i="1" s="1"/>
  <c r="H5280" i="1"/>
  <c r="I5280" i="1" s="1"/>
  <c r="J5280" i="1" s="1"/>
  <c r="K5280" i="1" s="1"/>
  <c r="L5280" i="1" s="1"/>
  <c r="H5336" i="1"/>
  <c r="I5336" i="1" s="1"/>
  <c r="J5336" i="1" s="1"/>
  <c r="H2619" i="1"/>
  <c r="I2619" i="1" s="1"/>
  <c r="J2619" i="1" s="1"/>
  <c r="K2619" i="1" s="1"/>
  <c r="L2619" i="1" s="1"/>
  <c r="H4772" i="1"/>
  <c r="I4772" i="1" s="1"/>
  <c r="J4772" i="1" s="1"/>
  <c r="K4772" i="1" s="1"/>
  <c r="L4772" i="1" s="1"/>
  <c r="H5251" i="1"/>
  <c r="I5251" i="1" s="1"/>
  <c r="J5251" i="1" s="1"/>
  <c r="H5186" i="1"/>
  <c r="I5186" i="1" s="1"/>
  <c r="J5186" i="1" s="1"/>
  <c r="K5186" i="1" s="1"/>
  <c r="L5186" i="1" s="1"/>
  <c r="H5117" i="1"/>
  <c r="I5117" i="1" s="1"/>
  <c r="J5117" i="1" s="1"/>
  <c r="K5117" i="1" s="1"/>
  <c r="L5117" i="1" s="1"/>
  <c r="H3565" i="1"/>
  <c r="I3565" i="1" s="1"/>
  <c r="J3565" i="1" s="1"/>
  <c r="K3565" i="1" s="1"/>
  <c r="L3565" i="1" s="1"/>
  <c r="H2137" i="1"/>
  <c r="I2137" i="1" s="1"/>
  <c r="J2137" i="1" s="1"/>
  <c r="H5265" i="1"/>
  <c r="I5265" i="1" s="1"/>
  <c r="J5265" i="1" s="1"/>
  <c r="K5265" i="1" s="1"/>
  <c r="L5265" i="1" s="1"/>
  <c r="H979" i="1"/>
  <c r="I979" i="1" s="1"/>
  <c r="J979" i="1" s="1"/>
  <c r="K979" i="1" s="1"/>
  <c r="L979" i="1" s="1"/>
  <c r="H2995" i="1"/>
  <c r="I2995" i="1" s="1"/>
  <c r="J2995" i="1" s="1"/>
  <c r="K2995" i="1" s="1"/>
  <c r="L2995" i="1" s="1"/>
  <c r="H5324" i="1"/>
  <c r="I5324" i="1" s="1"/>
  <c r="J5324" i="1" s="1"/>
  <c r="K5324" i="1" s="1"/>
  <c r="L5324" i="1" s="1"/>
  <c r="H1098" i="1"/>
  <c r="I1098" i="1" s="1"/>
  <c r="J1098" i="1" s="1"/>
  <c r="K1098" i="1" s="1"/>
  <c r="L1098" i="1" s="1"/>
  <c r="H4439" i="1"/>
  <c r="I4439" i="1" s="1"/>
  <c r="J4439" i="1" s="1"/>
  <c r="K4439" i="1" s="1"/>
  <c r="L4439" i="1" s="1"/>
  <c r="H4111" i="1"/>
  <c r="I4111" i="1" s="1"/>
  <c r="J4111" i="1" s="1"/>
  <c r="H2305" i="1"/>
  <c r="I2305" i="1" s="1"/>
  <c r="J2305" i="1" s="1"/>
  <c r="H4430" i="1"/>
  <c r="I4430" i="1" s="1"/>
  <c r="J4430" i="1" s="1"/>
  <c r="H1389" i="1"/>
  <c r="I1389" i="1" s="1"/>
  <c r="J1389" i="1" s="1"/>
  <c r="K1389" i="1" s="1"/>
  <c r="L1389" i="1" s="1"/>
  <c r="H816" i="1"/>
  <c r="I816" i="1" s="1"/>
  <c r="J816" i="1" s="1"/>
  <c r="H1300" i="1"/>
  <c r="I1300" i="1" s="1"/>
  <c r="J1300" i="1" s="1"/>
  <c r="H960" i="1"/>
  <c r="I960" i="1" s="1"/>
  <c r="J960" i="1" s="1"/>
  <c r="H5140" i="1"/>
  <c r="I5140" i="1" s="1"/>
  <c r="J5140" i="1" s="1"/>
  <c r="K5140" i="1" s="1"/>
  <c r="L5140" i="1" s="1"/>
  <c r="H3821" i="1"/>
  <c r="I3821" i="1" s="1"/>
  <c r="J3821" i="1" s="1"/>
  <c r="H1320" i="1"/>
  <c r="I1320" i="1" s="1"/>
  <c r="J1320" i="1" s="1"/>
  <c r="H433" i="1"/>
  <c r="I433" i="1" s="1"/>
  <c r="J433" i="1" s="1"/>
  <c r="K433" i="1" s="1"/>
  <c r="L433" i="1" s="1"/>
  <c r="H2551" i="1"/>
  <c r="I2551" i="1" s="1"/>
  <c r="J2551" i="1" s="1"/>
  <c r="K2551" i="1" s="1"/>
  <c r="L2551" i="1" s="1"/>
  <c r="H3695" i="1"/>
  <c r="I3695" i="1" s="1"/>
  <c r="J3695" i="1" s="1"/>
  <c r="K3695" i="1" s="1"/>
  <c r="L3695" i="1" s="1"/>
  <c r="H1054" i="1"/>
  <c r="I1054" i="1" s="1"/>
  <c r="J1054" i="1" s="1"/>
  <c r="K1054" i="1" s="1"/>
  <c r="L1054" i="1" s="1"/>
  <c r="H2488" i="1"/>
  <c r="I2488" i="1" s="1"/>
  <c r="J2488" i="1" s="1"/>
  <c r="K2488" i="1" s="1"/>
  <c r="L2488" i="1" s="1"/>
  <c r="H964" i="1"/>
  <c r="I964" i="1" s="1"/>
  <c r="J964" i="1" s="1"/>
  <c r="K964" i="1" s="1"/>
  <c r="L964" i="1" s="1"/>
  <c r="H4550" i="1"/>
  <c r="I4550" i="1" s="1"/>
  <c r="J4550" i="1" s="1"/>
  <c r="K4550" i="1" s="1"/>
  <c r="L4550" i="1" s="1"/>
  <c r="H3445" i="1"/>
  <c r="I3445" i="1" s="1"/>
  <c r="J3445" i="1" s="1"/>
  <c r="H4815" i="1"/>
  <c r="I4815" i="1" s="1"/>
  <c r="J4815" i="1" s="1"/>
  <c r="H1483" i="1"/>
  <c r="I1483" i="1" s="1"/>
  <c r="J1483" i="1" s="1"/>
  <c r="K1483" i="1" s="1"/>
  <c r="L1483" i="1" s="1"/>
  <c r="H3027" i="1"/>
  <c r="I3027" i="1" s="1"/>
  <c r="J3027" i="1" s="1"/>
  <c r="H5721" i="1"/>
  <c r="I5721" i="1" s="1"/>
  <c r="J5721" i="1" s="1"/>
  <c r="H3574" i="1"/>
  <c r="I3574" i="1" s="1"/>
  <c r="J3574" i="1" s="1"/>
  <c r="H5246" i="1"/>
  <c r="I5246" i="1" s="1"/>
  <c r="J5246" i="1" s="1"/>
  <c r="K5246" i="1" s="1"/>
  <c r="L5246" i="1" s="1"/>
  <c r="H5283" i="1"/>
  <c r="I5283" i="1" s="1"/>
  <c r="J5283" i="1" s="1"/>
  <c r="K5283" i="1" s="1"/>
  <c r="L5283" i="1" s="1"/>
  <c r="H3691" i="1"/>
  <c r="I3691" i="1" s="1"/>
  <c r="J3691" i="1" s="1"/>
  <c r="H2593" i="1"/>
  <c r="I2593" i="1" s="1"/>
  <c r="J2593" i="1" s="1"/>
  <c r="K2593" i="1" s="1"/>
  <c r="L2593" i="1" s="1"/>
  <c r="H875" i="1"/>
  <c r="I875" i="1" s="1"/>
  <c r="J875" i="1" s="1"/>
  <c r="K875" i="1" s="1"/>
  <c r="L875" i="1" s="1"/>
  <c r="H5626" i="1"/>
  <c r="I5626" i="1" s="1"/>
  <c r="J5626" i="1" s="1"/>
  <c r="K5626" i="1" s="1"/>
  <c r="L5626" i="1" s="1"/>
  <c r="H431" i="1"/>
  <c r="I431" i="1" s="1"/>
  <c r="J431" i="1" s="1"/>
  <c r="H2140" i="1"/>
  <c r="I2140" i="1" s="1"/>
  <c r="J2140" i="1" s="1"/>
  <c r="K2140" i="1" s="1"/>
  <c r="L2140" i="1" s="1"/>
  <c r="H4702" i="1"/>
  <c r="I4702" i="1" s="1"/>
  <c r="J4702" i="1" s="1"/>
  <c r="K4702" i="1" s="1"/>
  <c r="L4702" i="1" s="1"/>
  <c r="H1445" i="1"/>
  <c r="I1445" i="1" s="1"/>
  <c r="J1445" i="1" s="1"/>
  <c r="H4806" i="1"/>
  <c r="I4806" i="1" s="1"/>
  <c r="J4806" i="1" s="1"/>
  <c r="K4806" i="1" s="1"/>
  <c r="L4806" i="1" s="1"/>
  <c r="H756" i="1"/>
  <c r="I756" i="1" s="1"/>
  <c r="J756" i="1" s="1"/>
  <c r="H1578" i="1"/>
  <c r="I1578" i="1" s="1"/>
  <c r="J1578" i="1" s="1"/>
  <c r="K1578" i="1" s="1"/>
  <c r="L1578" i="1" s="1"/>
  <c r="E4292" i="1"/>
  <c r="E2147" i="1"/>
  <c r="E2013" i="1"/>
  <c r="E218" i="1"/>
  <c r="E5874" i="1"/>
  <c r="E1765" i="1"/>
  <c r="E2673" i="1"/>
  <c r="E237" i="1"/>
  <c r="E980" i="1"/>
  <c r="E4002" i="1"/>
  <c r="E1148" i="1"/>
  <c r="E1801" i="1"/>
  <c r="E1861" i="1"/>
  <c r="E3134" i="1"/>
  <c r="E3063" i="1"/>
  <c r="E4755" i="1"/>
  <c r="E255" i="1"/>
  <c r="E3159" i="1"/>
  <c r="E2016" i="1"/>
  <c r="E3232" i="1"/>
  <c r="E529" i="1"/>
  <c r="E5104" i="1"/>
  <c r="E5118" i="1"/>
  <c r="E4480" i="1"/>
  <c r="E3927" i="1"/>
  <c r="E1592" i="1"/>
  <c r="E4649" i="1"/>
  <c r="E12" i="1"/>
  <c r="E5582" i="1"/>
  <c r="E3545" i="1"/>
  <c r="E1077" i="1"/>
  <c r="E3834" i="1"/>
  <c r="E1808" i="1"/>
  <c r="E2386" i="1"/>
  <c r="E3091" i="1"/>
  <c r="E3904" i="1"/>
  <c r="E2450" i="1"/>
  <c r="E4066" i="1"/>
  <c r="E1852" i="1"/>
  <c r="E3038" i="1"/>
  <c r="E4747" i="1"/>
  <c r="E2918" i="1"/>
  <c r="E1990" i="1"/>
  <c r="E360" i="1"/>
  <c r="E3255" i="1"/>
  <c r="E4593" i="1"/>
  <c r="E2186" i="1"/>
  <c r="E1120" i="1"/>
  <c r="E5319" i="1"/>
  <c r="E2895" i="1"/>
  <c r="E5615" i="1"/>
  <c r="E181" i="1"/>
  <c r="E3186" i="1"/>
  <c r="E192" i="1"/>
  <c r="E4817" i="1"/>
  <c r="E5348" i="1"/>
  <c r="E3945" i="1"/>
  <c r="E1618" i="1"/>
  <c r="E5327" i="1"/>
  <c r="E1089" i="1"/>
  <c r="E3504" i="1"/>
  <c r="E3709" i="1"/>
  <c r="E4594" i="1"/>
  <c r="E5800" i="1"/>
  <c r="E4982" i="1"/>
  <c r="E2785" i="1"/>
  <c r="E1926" i="1"/>
  <c r="E2811" i="1"/>
  <c r="E3374" i="1"/>
  <c r="E4395" i="1"/>
  <c r="E2383" i="1"/>
  <c r="E2176" i="1"/>
  <c r="E5607" i="1"/>
  <c r="E2541" i="1"/>
  <c r="E2861" i="1"/>
  <c r="E1033" i="1"/>
  <c r="E1220" i="1"/>
  <c r="E5886" i="1"/>
  <c r="E2047" i="1"/>
  <c r="E4237" i="1"/>
  <c r="E1895" i="1"/>
  <c r="E214" i="1"/>
  <c r="E2700" i="1"/>
  <c r="E2413" i="1"/>
  <c r="E3937" i="1"/>
  <c r="E402" i="1"/>
  <c r="E1549" i="1"/>
  <c r="E4783" i="1"/>
  <c r="E2010" i="1"/>
  <c r="E1375" i="1"/>
  <c r="E5850" i="1"/>
  <c r="E2651" i="1"/>
  <c r="E5883" i="1"/>
  <c r="E4096" i="1"/>
  <c r="E4906" i="1"/>
  <c r="E2729" i="1"/>
  <c r="E3538" i="1"/>
  <c r="E3330" i="1"/>
  <c r="E5999" i="1"/>
  <c r="E3372" i="1"/>
  <c r="E4014" i="1"/>
  <c r="E4405" i="1"/>
  <c r="E3492" i="1"/>
  <c r="E1281" i="1"/>
  <c r="E3936" i="1"/>
  <c r="E884" i="1"/>
  <c r="E335" i="1"/>
  <c r="E3588" i="1"/>
  <c r="E312" i="1"/>
  <c r="E2337" i="1"/>
  <c r="E2151" i="1"/>
  <c r="E4930" i="1"/>
  <c r="E125" i="1"/>
  <c r="E2800" i="1"/>
  <c r="E3405" i="1"/>
  <c r="E5254" i="1"/>
  <c r="E4324" i="1"/>
  <c r="E2738" i="1"/>
  <c r="E2050" i="1"/>
  <c r="E581" i="1"/>
  <c r="E895" i="1"/>
  <c r="E4777" i="1"/>
  <c r="E2023" i="1"/>
  <c r="E906" i="1"/>
  <c r="E833" i="1"/>
  <c r="E610" i="1"/>
  <c r="E3736" i="1"/>
  <c r="E2030" i="1"/>
  <c r="E1667" i="1"/>
  <c r="E5190" i="1"/>
  <c r="E550" i="1"/>
  <c r="E2037" i="1"/>
  <c r="E2320" i="1"/>
  <c r="E3905" i="1"/>
  <c r="E1809" i="1"/>
  <c r="E5164" i="1"/>
  <c r="E748" i="1"/>
  <c r="E3026" i="1"/>
  <c r="E3279" i="1"/>
  <c r="E5288" i="1"/>
  <c r="E2481" i="1"/>
  <c r="E1628" i="1"/>
  <c r="E5003" i="1"/>
  <c r="E3349" i="1"/>
  <c r="E252" i="1"/>
  <c r="E56" i="1"/>
  <c r="E5409" i="1"/>
  <c r="E966" i="1"/>
  <c r="E4846" i="1"/>
  <c r="E5853" i="1"/>
  <c r="E1357" i="1"/>
  <c r="E3969" i="1"/>
  <c r="E5914" i="1"/>
  <c r="E1961" i="1"/>
  <c r="E1707" i="1"/>
  <c r="E1273" i="1"/>
  <c r="E1600" i="1"/>
  <c r="E1143" i="1"/>
  <c r="E2360" i="1"/>
  <c r="E3457" i="1"/>
  <c r="E1764" i="1"/>
  <c r="E3242" i="1"/>
  <c r="E4795" i="1"/>
  <c r="E1928" i="1"/>
  <c r="E2484" i="1"/>
  <c r="E5623" i="1"/>
  <c r="E3563" i="1"/>
  <c r="E5613" i="1"/>
  <c r="E2232" i="1"/>
  <c r="E3258" i="1"/>
  <c r="E4031" i="1"/>
  <c r="E1999" i="1"/>
  <c r="E2205" i="1"/>
  <c r="E310" i="1"/>
  <c r="E2893" i="1"/>
  <c r="E4830" i="1"/>
  <c r="E3040" i="1"/>
  <c r="E2357" i="1"/>
  <c r="E5375" i="1"/>
  <c r="E73" i="1"/>
  <c r="E1353" i="1"/>
  <c r="E3390" i="1"/>
  <c r="E2749" i="1"/>
  <c r="E1343" i="1"/>
  <c r="E60" i="1"/>
  <c r="E265" i="1"/>
  <c r="E4645" i="1"/>
  <c r="E1486" i="1"/>
  <c r="E4721" i="1"/>
  <c r="E976" i="1"/>
  <c r="E5840" i="1"/>
  <c r="E3355" i="1"/>
  <c r="E3401" i="1"/>
  <c r="E2284" i="1"/>
  <c r="E1043" i="1"/>
  <c r="E5513" i="1"/>
  <c r="E1011" i="1"/>
  <c r="E5025" i="1"/>
  <c r="E2590" i="1"/>
  <c r="E783" i="1"/>
  <c r="E642" i="1"/>
  <c r="E2543" i="1"/>
  <c r="E5735" i="1"/>
  <c r="E5370" i="1"/>
  <c r="E5010" i="1"/>
  <c r="E3337" i="1"/>
  <c r="E471" i="1"/>
  <c r="E1477" i="1"/>
  <c r="E1214" i="1"/>
  <c r="E1142" i="1"/>
  <c r="E5048" i="1"/>
  <c r="E3972" i="1"/>
  <c r="E1109" i="1"/>
  <c r="E3302" i="1"/>
  <c r="E5302" i="1"/>
  <c r="E2089" i="1"/>
  <c r="E4091" i="1"/>
  <c r="E4382" i="1"/>
  <c r="E281" i="1"/>
  <c r="E5145" i="1"/>
  <c r="E2260" i="1"/>
  <c r="E1829" i="1"/>
  <c r="E579" i="1"/>
  <c r="E134" i="1"/>
  <c r="E2002" i="1"/>
  <c r="E2554" i="1"/>
  <c r="E5264" i="1"/>
  <c r="E703" i="1"/>
  <c r="E2341" i="1"/>
  <c r="E4707" i="1"/>
  <c r="E5389" i="1"/>
  <c r="E5970" i="1"/>
  <c r="E3050" i="1"/>
  <c r="E1399" i="1"/>
  <c r="E899" i="1"/>
  <c r="E5559" i="1"/>
  <c r="E4124" i="1"/>
  <c r="E996" i="1"/>
  <c r="E5086" i="1"/>
  <c r="E1527" i="1"/>
  <c r="E3995" i="1"/>
  <c r="E4520" i="1"/>
  <c r="E2435" i="1"/>
  <c r="E3643" i="1"/>
  <c r="E2073" i="1"/>
  <c r="E4380" i="1"/>
  <c r="E5584" i="1"/>
  <c r="E4907" i="1"/>
  <c r="E3453" i="1"/>
  <c r="E5621" i="1"/>
  <c r="E2446" i="1"/>
  <c r="E1328" i="1"/>
  <c r="E4770" i="1"/>
  <c r="E1374" i="1"/>
  <c r="E3842" i="1"/>
  <c r="E1116" i="1"/>
  <c r="E4662" i="1"/>
  <c r="E3486" i="1"/>
  <c r="E5677" i="1"/>
  <c r="E5314" i="1"/>
  <c r="E467" i="1"/>
  <c r="E5964" i="1"/>
  <c r="E628" i="1"/>
  <c r="E4455" i="1"/>
  <c r="E5271" i="1"/>
  <c r="E664" i="1"/>
  <c r="E5687" i="1"/>
  <c r="E2479" i="1"/>
  <c r="E3664" i="1"/>
  <c r="E5731" i="1"/>
  <c r="E632" i="1"/>
  <c r="E3204" i="1"/>
  <c r="E286" i="1"/>
  <c r="E316" i="1"/>
  <c r="E2238" i="1"/>
  <c r="E1534" i="1"/>
  <c r="E2585" i="1"/>
  <c r="E693" i="1"/>
  <c r="E2711" i="1"/>
  <c r="E1703" i="1"/>
  <c r="E652" i="1"/>
  <c r="E4450" i="1"/>
  <c r="E1676" i="1"/>
  <c r="E5891" i="1"/>
  <c r="E5031" i="1"/>
  <c r="E3422" i="1"/>
  <c r="E3225" i="1"/>
  <c r="E986" i="1"/>
  <c r="E2124" i="1"/>
  <c r="E2402" i="1"/>
  <c r="E1362" i="1"/>
  <c r="E410" i="1"/>
  <c r="E1624" i="1"/>
  <c r="E2088" i="1"/>
  <c r="E2752" i="1"/>
  <c r="E769" i="1"/>
  <c r="E3914" i="1"/>
  <c r="E1709" i="1"/>
  <c r="E3667" i="1"/>
  <c r="E988" i="1"/>
  <c r="E858" i="1"/>
  <c r="E3922" i="1"/>
  <c r="E1347" i="1"/>
  <c r="E989" i="1"/>
  <c r="E5221" i="1"/>
  <c r="E5644" i="1"/>
  <c r="E132" i="1"/>
  <c r="E219" i="1"/>
  <c r="E3090" i="1"/>
  <c r="E3687" i="1"/>
  <c r="E3151" i="1"/>
  <c r="E2255" i="1"/>
  <c r="E1729" i="1"/>
  <c r="E2768" i="1"/>
  <c r="E950" i="1"/>
  <c r="E1101" i="1"/>
  <c r="E5194" i="1"/>
  <c r="E3610" i="1"/>
  <c r="E2469" i="1"/>
  <c r="E5397" i="1"/>
  <c r="E3711" i="1"/>
  <c r="E266" i="1"/>
  <c r="E2824" i="1"/>
  <c r="E2517" i="1"/>
  <c r="E3791" i="1"/>
  <c r="E894" i="1"/>
  <c r="E3999" i="1"/>
  <c r="E5674" i="1"/>
  <c r="E5797" i="1"/>
  <c r="E5072" i="1"/>
  <c r="E4820" i="1"/>
  <c r="E4888" i="1"/>
  <c r="E1761" i="1"/>
  <c r="E5510" i="1"/>
  <c r="E1361" i="1"/>
  <c r="E3608" i="1"/>
  <c r="E427" i="1"/>
  <c r="E2496" i="1"/>
  <c r="E3447" i="1"/>
  <c r="E3518" i="1"/>
  <c r="E1870" i="1"/>
  <c r="E1391" i="1"/>
  <c r="E5020" i="1"/>
  <c r="E4326" i="1"/>
  <c r="E4196" i="1"/>
  <c r="E3642" i="1"/>
  <c r="E4176" i="1"/>
  <c r="E5842" i="1"/>
  <c r="E1065" i="1"/>
  <c r="E5590" i="1"/>
  <c r="E4734" i="1"/>
  <c r="E2814" i="1"/>
  <c r="E4068" i="1"/>
  <c r="E2092" i="1"/>
  <c r="E5961" i="1"/>
  <c r="E1312" i="1"/>
  <c r="E2808" i="1"/>
  <c r="E1108" i="1"/>
  <c r="E1474" i="1"/>
  <c r="E4256" i="1"/>
  <c r="E2581" i="1"/>
  <c r="E2875" i="1"/>
  <c r="E399" i="1"/>
  <c r="E1924" i="1"/>
  <c r="E1571" i="1"/>
  <c r="E1591" i="1"/>
  <c r="E1230" i="1"/>
  <c r="E135" i="1"/>
  <c r="E3598" i="1"/>
  <c r="E4504" i="1"/>
  <c r="E3396" i="1"/>
  <c r="E1542" i="1"/>
  <c r="E5330" i="1"/>
  <c r="E934" i="1"/>
  <c r="E4469" i="1"/>
  <c r="E2953" i="1"/>
  <c r="E5671" i="1"/>
  <c r="E1431" i="1"/>
  <c r="E5603" i="1"/>
  <c r="E5635" i="1"/>
  <c r="E209" i="1"/>
  <c r="E3975" i="1"/>
  <c r="E2415" i="1"/>
  <c r="E1567" i="1"/>
  <c r="E196" i="1"/>
  <c r="E5822" i="1"/>
  <c r="E2684" i="1"/>
  <c r="E5907" i="1"/>
  <c r="E928" i="1"/>
  <c r="E5681" i="1"/>
  <c r="E2528" i="1"/>
  <c r="E5593" i="1"/>
  <c r="E4005" i="1"/>
  <c r="E2786" i="1"/>
  <c r="E1184" i="1"/>
  <c r="E2817" i="1"/>
  <c r="E5928" i="1"/>
  <c r="E137" i="1"/>
  <c r="E4006" i="1"/>
  <c r="E2646" i="1"/>
  <c r="E602" i="1"/>
  <c r="E2558" i="1"/>
  <c r="E3311" i="1"/>
  <c r="E2436" i="1"/>
  <c r="H4826" i="1"/>
  <c r="I4826" i="1" s="1"/>
  <c r="J4826" i="1" s="1"/>
  <c r="H5602" i="1"/>
  <c r="I5602" i="1" s="1"/>
  <c r="J5602" i="1" s="1"/>
  <c r="H5709" i="1"/>
  <c r="I5709" i="1" s="1"/>
  <c r="J5709" i="1" s="1"/>
  <c r="K5709" i="1" s="1"/>
  <c r="L5709" i="1" s="1"/>
  <c r="H375" i="1"/>
  <c r="I375" i="1" s="1"/>
  <c r="J375" i="1" s="1"/>
  <c r="K375" i="1" s="1"/>
  <c r="L375" i="1" s="1"/>
  <c r="H37" i="1"/>
  <c r="I37" i="1" s="1"/>
  <c r="J37" i="1" s="1"/>
  <c r="K37" i="1" s="1"/>
  <c r="L37" i="1" s="1"/>
  <c r="H1129" i="1"/>
  <c r="I1129" i="1" s="1"/>
  <c r="J1129" i="1" s="1"/>
  <c r="H4081" i="1"/>
  <c r="I4081" i="1" s="1"/>
  <c r="J4081" i="1" s="1"/>
  <c r="K4081" i="1" s="1"/>
  <c r="L4081" i="1" s="1"/>
  <c r="H5556" i="1"/>
  <c r="I5556" i="1" s="1"/>
  <c r="J5556" i="1" s="1"/>
  <c r="K5556" i="1" s="1"/>
  <c r="L5556" i="1" s="1"/>
  <c r="H5916" i="1"/>
  <c r="I5916" i="1" s="1"/>
  <c r="J5916" i="1" s="1"/>
  <c r="K5916" i="1" s="1"/>
  <c r="L5916" i="1" s="1"/>
  <c r="H2592" i="1"/>
  <c r="I2592" i="1" s="1"/>
  <c r="J2592" i="1" s="1"/>
  <c r="H1348" i="1"/>
  <c r="I1348" i="1" s="1"/>
  <c r="J1348" i="1" s="1"/>
  <c r="H1864" i="1"/>
  <c r="I1864" i="1" s="1"/>
  <c r="J1864" i="1" s="1"/>
  <c r="K1864" i="1" s="1"/>
  <c r="L1864" i="1" s="1"/>
  <c r="H1057" i="1"/>
  <c r="I1057" i="1" s="1"/>
  <c r="J1057" i="1" s="1"/>
  <c r="H507" i="1"/>
  <c r="I507" i="1" s="1"/>
  <c r="J507" i="1" s="1"/>
  <c r="H2791" i="1"/>
  <c r="I2791" i="1" s="1"/>
  <c r="J2791" i="1" s="1"/>
  <c r="H847" i="1"/>
  <c r="I847" i="1" s="1"/>
  <c r="J847" i="1" s="1"/>
  <c r="K847" i="1" s="1"/>
  <c r="L847" i="1" s="1"/>
  <c r="H465" i="1"/>
  <c r="I465" i="1" s="1"/>
  <c r="J465" i="1" s="1"/>
  <c r="H5957" i="1"/>
  <c r="I5957" i="1" s="1"/>
  <c r="J5957" i="1" s="1"/>
  <c r="K5957" i="1" s="1"/>
  <c r="L5957" i="1" s="1"/>
  <c r="H2671" i="1"/>
  <c r="I2671" i="1" s="1"/>
  <c r="J2671" i="1" s="1"/>
  <c r="K2671" i="1" s="1"/>
  <c r="L2671" i="1" s="1"/>
  <c r="H118" i="1"/>
  <c r="I118" i="1" s="1"/>
  <c r="J118" i="1" s="1"/>
  <c r="K118" i="1" s="1"/>
  <c r="L118" i="1" s="1"/>
  <c r="H4056" i="1"/>
  <c r="I4056" i="1" s="1"/>
  <c r="J4056" i="1" s="1"/>
  <c r="K4056" i="1" s="1"/>
  <c r="L4056" i="1" s="1"/>
  <c r="H5240" i="1"/>
  <c r="I5240" i="1" s="1"/>
  <c r="J5240" i="1" s="1"/>
  <c r="K5240" i="1" s="1"/>
  <c r="L5240" i="1" s="1"/>
  <c r="H5844" i="1"/>
  <c r="I5844" i="1" s="1"/>
  <c r="J5844" i="1" s="1"/>
  <c r="K5844" i="1" s="1"/>
  <c r="L5844" i="1" s="1"/>
  <c r="H3410" i="1"/>
  <c r="I3410" i="1" s="1"/>
  <c r="J3410" i="1" s="1"/>
  <c r="K3410" i="1" s="1"/>
  <c r="L3410" i="1" s="1"/>
  <c r="H3996" i="1"/>
  <c r="I3996" i="1" s="1"/>
  <c r="J3996" i="1" s="1"/>
  <c r="K3996" i="1" s="1"/>
  <c r="L3996" i="1" s="1"/>
  <c r="H1598" i="1"/>
  <c r="I1598" i="1" s="1"/>
  <c r="J1598" i="1" s="1"/>
  <c r="H3541" i="1"/>
  <c r="I3541" i="1" s="1"/>
  <c r="J3541" i="1" s="1"/>
  <c r="H2932" i="1"/>
  <c r="I2932" i="1" s="1"/>
  <c r="J2932" i="1" s="1"/>
  <c r="K2932" i="1" s="1"/>
  <c r="L2932" i="1" s="1"/>
  <c r="H206" i="1"/>
  <c r="I206" i="1" s="1"/>
  <c r="J206" i="1" s="1"/>
  <c r="H2705" i="1"/>
  <c r="I2705" i="1" s="1"/>
  <c r="J2705" i="1" s="1"/>
  <c r="H4561" i="1"/>
  <c r="I4561" i="1" s="1"/>
  <c r="J4561" i="1" s="1"/>
  <c r="H42" i="1"/>
  <c r="I42" i="1" s="1"/>
  <c r="J42" i="1" s="1"/>
  <c r="K42" i="1" s="1"/>
  <c r="L42" i="1" s="1"/>
  <c r="H228" i="1"/>
  <c r="I228" i="1" s="1"/>
  <c r="J228" i="1" s="1"/>
  <c r="H4859" i="1"/>
  <c r="I4859" i="1" s="1"/>
  <c r="J4859" i="1" s="1"/>
  <c r="K4859" i="1" s="1"/>
  <c r="L4859" i="1" s="1"/>
  <c r="H3432" i="1"/>
  <c r="I3432" i="1" s="1"/>
  <c r="J3432" i="1" s="1"/>
  <c r="K3432" i="1" s="1"/>
  <c r="L3432" i="1" s="1"/>
  <c r="H3435" i="1"/>
  <c r="I3435" i="1" s="1"/>
  <c r="J3435" i="1" s="1"/>
  <c r="K3435" i="1" s="1"/>
  <c r="L3435" i="1" s="1"/>
  <c r="H5029" i="1"/>
  <c r="I5029" i="1" s="1"/>
  <c r="J5029" i="1" s="1"/>
  <c r="K5029" i="1" s="1"/>
  <c r="L5029" i="1" s="1"/>
  <c r="F26" i="8"/>
  <c r="G26" i="8" s="1"/>
  <c r="H3519" i="1"/>
  <c r="I3519" i="1" s="1"/>
  <c r="J3519" i="1" s="1"/>
  <c r="K3519" i="1" s="1"/>
  <c r="L3519" i="1" s="1"/>
  <c r="H1705" i="1"/>
  <c r="I1705" i="1" s="1"/>
  <c r="J1705" i="1" s="1"/>
  <c r="K1705" i="1" s="1"/>
  <c r="L1705" i="1" s="1"/>
  <c r="H5420" i="1"/>
  <c r="I5420" i="1" s="1"/>
  <c r="J5420" i="1" s="1"/>
  <c r="K5420" i="1" s="1"/>
  <c r="L5420" i="1" s="1"/>
  <c r="H439" i="1"/>
  <c r="I439" i="1" s="1"/>
  <c r="J439" i="1" s="1"/>
  <c r="H19" i="1"/>
  <c r="I19" i="1" s="1"/>
  <c r="J19" i="1" s="1"/>
  <c r="H1411" i="1"/>
  <c r="I1411" i="1" s="1"/>
  <c r="J1411" i="1" s="1"/>
  <c r="K1411" i="1" s="1"/>
  <c r="L1411" i="1" s="1"/>
  <c r="H1498" i="1"/>
  <c r="I1498" i="1" s="1"/>
  <c r="J1498" i="1" s="1"/>
  <c r="E1806" i="1"/>
  <c r="E4611" i="1"/>
  <c r="E647" i="1"/>
  <c r="E2270" i="1"/>
  <c r="E4516" i="1"/>
  <c r="E4759" i="1"/>
  <c r="E1244" i="1"/>
  <c r="E5929" i="1"/>
  <c r="E4971" i="1"/>
  <c r="E500" i="1"/>
  <c r="E3812" i="1"/>
  <c r="E4009" i="1"/>
  <c r="E3662" i="1"/>
  <c r="E3229" i="1"/>
  <c r="E5525" i="1"/>
  <c r="E3201" i="1"/>
  <c r="E708" i="1"/>
  <c r="E5679" i="1"/>
  <c r="E5352" i="1"/>
  <c r="E2567" i="1"/>
  <c r="E1299" i="1"/>
  <c r="E3028" i="1"/>
  <c r="E2062" i="1"/>
  <c r="E637" i="1"/>
  <c r="E2150" i="1"/>
  <c r="E4839" i="1"/>
  <c r="E1103" i="1"/>
  <c r="E1930" i="1"/>
  <c r="E3632" i="1"/>
  <c r="E4566" i="1"/>
  <c r="E5521" i="1"/>
  <c r="E3807" i="1"/>
  <c r="E5044" i="1"/>
  <c r="E1282" i="1"/>
  <c r="E3640" i="1"/>
  <c r="E3174" i="1"/>
  <c r="E4481" i="1"/>
  <c r="E802" i="1"/>
  <c r="E907" i="1"/>
  <c r="E1028" i="1"/>
  <c r="E234" i="1"/>
  <c r="E5151" i="1"/>
  <c r="E3959" i="1"/>
  <c r="E2110" i="1"/>
  <c r="E1652" i="1"/>
  <c r="E2416" i="1"/>
  <c r="E3013" i="1"/>
  <c r="E1145" i="1"/>
  <c r="E2490" i="1"/>
  <c r="E3363" i="1"/>
  <c r="E912" i="1"/>
  <c r="E4647" i="1"/>
  <c r="E2271" i="1"/>
  <c r="E2455" i="1"/>
  <c r="E4139" i="1"/>
  <c r="E817" i="1"/>
  <c r="E879" i="1"/>
  <c r="E4638" i="1"/>
  <c r="E2954" i="1"/>
  <c r="E712" i="1"/>
  <c r="E3293" i="1"/>
  <c r="E2031" i="1"/>
  <c r="E4120" i="1"/>
  <c r="E4053" i="1"/>
  <c r="E1762" i="1"/>
  <c r="E1106" i="1"/>
  <c r="E2352" i="1"/>
  <c r="E1297" i="1"/>
  <c r="E1811" i="1"/>
  <c r="E2300" i="1"/>
  <c r="E5867" i="1"/>
  <c r="E1334" i="1"/>
  <c r="E4537" i="1"/>
  <c r="E4531" i="1"/>
  <c r="E2872" i="1"/>
  <c r="E2125" i="1"/>
  <c r="E4253" i="1"/>
  <c r="E574" i="1"/>
  <c r="E1139" i="1"/>
  <c r="E104" i="1"/>
  <c r="E1701" i="1"/>
  <c r="E5073" i="1"/>
  <c r="E5798" i="1"/>
  <c r="E736" i="1"/>
  <c r="E4447" i="1"/>
  <c r="E811" i="1"/>
  <c r="E2283" i="1"/>
  <c r="E2835" i="1"/>
  <c r="E5741" i="1"/>
  <c r="E4291" i="1"/>
  <c r="E5897" i="1"/>
  <c r="E4663" i="1"/>
  <c r="E2692" i="1"/>
  <c r="E452" i="1"/>
  <c r="E512" i="1"/>
  <c r="E2053" i="1"/>
  <c r="E4359" i="1"/>
  <c r="E4491" i="1"/>
  <c r="E5480" i="1"/>
  <c r="E3693" i="1"/>
  <c r="E2427" i="1"/>
  <c r="E3002" i="1"/>
  <c r="E3145" i="1"/>
  <c r="E5706" i="1"/>
  <c r="E3601" i="1"/>
  <c r="E4838" i="1"/>
  <c r="E3883" i="1"/>
  <c r="E2894" i="1"/>
  <c r="E3505" i="1"/>
  <c r="E5126" i="1"/>
  <c r="E3212" i="1"/>
  <c r="E1905" i="1"/>
  <c r="E2648" i="1"/>
  <c r="E2840" i="1"/>
  <c r="E2706" i="1"/>
  <c r="E3049" i="1"/>
  <c r="E836" i="1"/>
  <c r="E2956" i="1"/>
  <c r="E837" i="1"/>
  <c r="E318" i="1"/>
  <c r="E3287" i="1"/>
  <c r="E1710" i="1"/>
  <c r="E3207" i="1"/>
  <c r="E3253" i="1"/>
  <c r="E618" i="1"/>
  <c r="E5734" i="1"/>
  <c r="E2155" i="1"/>
  <c r="E614" i="1"/>
  <c r="E269" i="1"/>
  <c r="E5827" i="1"/>
  <c r="E5257" i="1"/>
  <c r="E2250" i="1"/>
  <c r="E1213" i="1"/>
  <c r="E1309" i="1"/>
  <c r="E2120" i="1"/>
  <c r="E1619" i="1"/>
  <c r="E2775" i="1"/>
  <c r="E5745" i="1"/>
  <c r="E649" i="1"/>
  <c r="E4454" i="1"/>
  <c r="E5364" i="1"/>
  <c r="E3006" i="1"/>
  <c r="E587" i="1"/>
  <c r="E5767" i="1"/>
  <c r="E2916" i="1"/>
  <c r="E3001" i="1"/>
  <c r="E3074" i="1"/>
  <c r="E3727" i="1"/>
  <c r="E1603" i="1"/>
  <c r="E5647" i="1"/>
  <c r="E2181" i="1"/>
  <c r="E5339" i="1"/>
  <c r="E4996" i="1"/>
  <c r="E3919" i="1"/>
  <c r="E4429" i="1"/>
  <c r="E5816" i="1"/>
  <c r="E2937" i="1"/>
  <c r="E3536" i="1"/>
  <c r="E5049" i="1"/>
  <c r="E1201" i="1"/>
  <c r="E5812" i="1"/>
  <c r="E5235" i="1"/>
  <c r="E3257" i="1"/>
  <c r="E1379" i="1"/>
  <c r="E5517" i="1"/>
  <c r="E4904" i="1"/>
  <c r="E5984" i="1"/>
  <c r="E915" i="1"/>
  <c r="E5232" i="1"/>
  <c r="E2919" i="1"/>
  <c r="E495" i="1"/>
  <c r="E3957" i="1"/>
  <c r="E3264" i="1"/>
  <c r="E2559" i="1"/>
  <c r="E1536" i="1"/>
  <c r="E4713" i="1"/>
  <c r="E3698" i="1"/>
  <c r="E5783" i="1"/>
  <c r="E4295" i="1"/>
  <c r="E5715" i="1"/>
  <c r="E5742" i="1"/>
  <c r="E184" i="1"/>
  <c r="E5848" i="1"/>
  <c r="E3604" i="1"/>
  <c r="E732" i="1"/>
  <c r="E4058" i="1"/>
  <c r="E2665" i="1"/>
  <c r="E4603" i="1"/>
  <c r="E3611" i="1"/>
  <c r="E2658" i="1"/>
  <c r="E1960" i="1"/>
  <c r="E177" i="1"/>
  <c r="E794" i="1"/>
  <c r="E2715" i="1"/>
  <c r="E3850" i="1"/>
  <c r="E5702" i="1"/>
  <c r="E5675" i="1"/>
  <c r="E705" i="1"/>
  <c r="E5052" i="1"/>
  <c r="E2986" i="1"/>
  <c r="E2780" i="1"/>
  <c r="E5503" i="1"/>
  <c r="E1447" i="1"/>
  <c r="E1494" i="1"/>
  <c r="E5286" i="1"/>
  <c r="E4923" i="1"/>
  <c r="E3140" i="1"/>
  <c r="E3740" i="1"/>
  <c r="E4035" i="1"/>
  <c r="E393" i="1"/>
  <c r="E3131" i="1"/>
  <c r="E4348" i="1"/>
  <c r="E3117" i="1"/>
  <c r="E3820" i="1"/>
  <c r="E2809" i="1"/>
  <c r="E3017" i="1"/>
  <c r="E1886" i="1"/>
  <c r="E4244" i="1"/>
  <c r="E573" i="1"/>
  <c r="E5401" i="1"/>
  <c r="E2519" i="1"/>
  <c r="E4351" i="1"/>
  <c r="E1154" i="1"/>
  <c r="E3104" i="1"/>
  <c r="E2366" i="1"/>
  <c r="E197" i="1"/>
  <c r="E4926" i="1"/>
  <c r="E5536" i="1"/>
  <c r="E3792" i="1"/>
  <c r="E1034" i="1"/>
  <c r="E3130" i="1"/>
  <c r="E342" i="1"/>
  <c r="E4331" i="1"/>
  <c r="E3101" i="1"/>
  <c r="E377" i="1"/>
  <c r="E4639" i="1"/>
  <c r="E5539" i="1"/>
  <c r="E4051" i="1"/>
  <c r="E1410" i="1"/>
  <c r="E669" i="1"/>
  <c r="E3517" i="1"/>
  <c r="E5125" i="1"/>
  <c r="E1280" i="1"/>
  <c r="E2708" i="1"/>
  <c r="E2303" i="1"/>
  <c r="E2425" i="1"/>
  <c r="E4086" i="1"/>
  <c r="E532" i="1"/>
  <c r="E1035" i="1"/>
  <c r="E4631" i="1"/>
  <c r="E4449" i="1"/>
  <c r="E739" i="1"/>
  <c r="E2636" i="1"/>
  <c r="E2548" i="1"/>
  <c r="E4878" i="1"/>
  <c r="E1562" i="1"/>
  <c r="E3286" i="1"/>
  <c r="E2890" i="1"/>
  <c r="E3334" i="1"/>
  <c r="E5057" i="1"/>
  <c r="E1594" i="1"/>
  <c r="E5678" i="1"/>
  <c r="E2870" i="1"/>
  <c r="E971" i="1"/>
  <c r="E3895" i="1"/>
  <c r="E5388" i="1"/>
  <c r="E3843" i="1"/>
  <c r="E3527" i="1"/>
  <c r="E4343" i="1"/>
  <c r="E4915" i="1"/>
  <c r="E2724" i="1"/>
  <c r="E2480" i="1"/>
  <c r="E3089" i="1"/>
  <c r="E4618" i="1"/>
  <c r="E4041" i="1"/>
  <c r="E588" i="1"/>
  <c r="E3819" i="1"/>
  <c r="E1416" i="1"/>
  <c r="E3116" i="1"/>
  <c r="E5153" i="1"/>
  <c r="E4746" i="1"/>
  <c r="E4964" i="1"/>
  <c r="E922" i="1"/>
  <c r="E3060" i="1"/>
  <c r="E2466" i="1"/>
  <c r="E1359" i="1"/>
  <c r="E1680" i="1"/>
  <c r="E1537" i="1"/>
  <c r="E475" i="1"/>
  <c r="E1046" i="1"/>
  <c r="E1633" i="1"/>
  <c r="E2318" i="1"/>
  <c r="E2242" i="1"/>
  <c r="E5555" i="1"/>
  <c r="E1472" i="1"/>
  <c r="E1470" i="1"/>
  <c r="E5748" i="1"/>
  <c r="E1069" i="1"/>
  <c r="E2744" i="1"/>
  <c r="E617" i="1"/>
  <c r="E3785" i="1"/>
  <c r="E5018" i="1"/>
  <c r="E5014" i="1"/>
  <c r="E841" i="1"/>
  <c r="E3989" i="1"/>
  <c r="E1921" i="1"/>
  <c r="E1029" i="1"/>
  <c r="E5034" i="1"/>
  <c r="E1658" i="1"/>
  <c r="E4786" i="1"/>
  <c r="E245" i="1"/>
  <c r="E3216" i="1"/>
  <c r="E3055" i="1"/>
  <c r="E240" i="1"/>
  <c r="E4074" i="1"/>
  <c r="E999" i="1"/>
  <c r="E5575" i="1"/>
  <c r="E5519" i="1"/>
  <c r="E4040" i="1"/>
  <c r="E1992" i="1"/>
  <c r="E5344" i="1"/>
  <c r="E1698" i="1"/>
  <c r="E4445" i="1"/>
  <c r="E3183" i="1"/>
  <c r="E697" i="1"/>
  <c r="E4911" i="1"/>
  <c r="E5450" i="1"/>
  <c r="E5027" i="1"/>
  <c r="E4779" i="1"/>
  <c r="E4287" i="1"/>
  <c r="E175" i="1"/>
  <c r="E2756" i="1"/>
  <c r="E1481" i="1"/>
  <c r="E800" i="1"/>
  <c r="E4386" i="1"/>
  <c r="E2077" i="1"/>
  <c r="E238" i="1"/>
  <c r="E4310" i="1"/>
  <c r="E2108" i="1"/>
  <c r="E2583" i="1"/>
  <c r="E5595" i="1"/>
  <c r="E5260" i="1"/>
  <c r="E4832" i="1"/>
  <c r="E2074" i="1"/>
  <c r="E543" i="1"/>
  <c r="E4110" i="1"/>
  <c r="E5921" i="1"/>
  <c r="E145" i="1"/>
  <c r="E1274" i="1"/>
  <c r="E1240" i="1"/>
  <c r="E4222" i="1"/>
  <c r="E2464" i="1"/>
  <c r="E4891" i="1"/>
  <c r="E801" i="1"/>
  <c r="E4909" i="1"/>
  <c r="E2629" i="1"/>
  <c r="E426" i="1"/>
  <c r="E5535" i="1"/>
  <c r="E3494" i="1"/>
  <c r="E1708" i="1"/>
  <c r="E2097" i="1"/>
  <c r="E4825" i="1"/>
  <c r="E3619" i="1"/>
  <c r="E4242" i="1"/>
  <c r="E1971" i="1"/>
  <c r="E2561" i="1"/>
  <c r="E1174" i="1"/>
  <c r="E143" i="1"/>
  <c r="E1066" i="1"/>
  <c r="E549" i="1"/>
  <c r="E1176" i="1"/>
  <c r="E4186" i="1"/>
  <c r="E3635" i="1"/>
  <c r="E1507" i="1"/>
  <c r="E5977" i="1"/>
  <c r="E3734" i="1"/>
  <c r="E5097" i="1"/>
  <c r="E5411" i="1"/>
  <c r="E4218" i="1"/>
  <c r="E3797" i="1"/>
  <c r="E3460" i="1"/>
  <c r="E3781" i="1"/>
  <c r="E6002" i="1"/>
  <c r="E4529" i="1"/>
  <c r="E656" i="1"/>
  <c r="E2395" i="1"/>
  <c r="E4673" i="1"/>
  <c r="E5178" i="1"/>
  <c r="E2573" i="1"/>
  <c r="E5915" i="1"/>
  <c r="E2552" i="1"/>
  <c r="E5458" i="1"/>
  <c r="E1661" i="1"/>
  <c r="E2948" i="1"/>
  <c r="E3424" i="1"/>
  <c r="E2405" i="1"/>
  <c r="E4722" i="1"/>
  <c r="E2424" i="1"/>
  <c r="E1360" i="1"/>
  <c r="E5804" i="1"/>
  <c r="H3787" i="1"/>
  <c r="I3787" i="1" s="1"/>
  <c r="J3787" i="1" s="1"/>
  <c r="E5972" i="1"/>
  <c r="E249" i="1"/>
  <c r="E4010" i="1"/>
  <c r="E2165" i="1"/>
  <c r="E815" i="1"/>
  <c r="E6" i="1"/>
  <c r="E1881" i="1"/>
  <c r="E5378" i="1"/>
  <c r="E3046" i="1"/>
  <c r="E4667" i="1"/>
  <c r="E1821" i="1"/>
  <c r="E533" i="1"/>
  <c r="E4679" i="1"/>
  <c r="E2903" i="1"/>
  <c r="E3113" i="1"/>
  <c r="E3440" i="1"/>
  <c r="E3367" i="1"/>
  <c r="E5349" i="1"/>
  <c r="E4646" i="1"/>
  <c r="E5649" i="1"/>
  <c r="E2107" i="1"/>
  <c r="E5170" i="1"/>
  <c r="E2347" i="1"/>
  <c r="E2278" i="1"/>
  <c r="E4898" i="1"/>
  <c r="E4377" i="1"/>
  <c r="E940" i="1"/>
  <c r="E1670" i="1"/>
  <c r="E5908" i="1"/>
  <c r="H5843" i="1"/>
  <c r="I5843" i="1" s="1"/>
  <c r="J5843" i="1" s="1"/>
  <c r="K5843" i="1" s="1"/>
  <c r="L5843" i="1" s="1"/>
  <c r="E5142" i="1"/>
  <c r="E1601" i="1"/>
  <c r="E956" i="1"/>
  <c r="E3058" i="1"/>
  <c r="E448" i="1"/>
  <c r="E967" i="1"/>
  <c r="E3036" i="1"/>
  <c r="E3428" i="1"/>
  <c r="E2090" i="1"/>
  <c r="E2285" i="1"/>
  <c r="E2482" i="1"/>
  <c r="E1702" i="1"/>
  <c r="E160" i="1"/>
  <c r="E2841" i="1"/>
  <c r="E403" i="1"/>
  <c r="E4678" i="1"/>
  <c r="E645" i="1"/>
  <c r="E1412" i="1"/>
  <c r="E3308" i="1"/>
  <c r="E1183" i="1"/>
  <c r="E657" i="1"/>
  <c r="E1573" i="1"/>
  <c r="E1629" i="1"/>
  <c r="E4762" i="1"/>
  <c r="E604" i="1"/>
  <c r="E2409" i="1"/>
  <c r="E2422" i="1"/>
  <c r="E1757" i="1"/>
  <c r="E2719" i="1"/>
  <c r="E3678" i="1"/>
  <c r="E4554" i="1"/>
  <c r="E755" i="1"/>
  <c r="H3491" i="1"/>
  <c r="I3491" i="1" s="1"/>
  <c r="J3491" i="1" s="1"/>
  <c r="E5269" i="1"/>
  <c r="E2542" i="1"/>
  <c r="E1469" i="1"/>
  <c r="E3537" i="1"/>
  <c r="E4733" i="1"/>
  <c r="E2721" i="1"/>
  <c r="E5557" i="1"/>
  <c r="E3473" i="1"/>
  <c r="E2537" i="1"/>
  <c r="E5138" i="1"/>
  <c r="E2076" i="1"/>
  <c r="E189" i="1"/>
  <c r="E2704" i="1"/>
  <c r="E5514" i="1"/>
  <c r="E3215" i="1"/>
  <c r="E5759" i="1"/>
  <c r="E5033" i="1"/>
  <c r="E2040" i="1"/>
  <c r="E2122" i="1"/>
  <c r="E2133" i="1"/>
  <c r="E1733" i="1"/>
  <c r="E264" i="1"/>
  <c r="E2869" i="1"/>
  <c r="E3965" i="1"/>
  <c r="E3079" i="1"/>
  <c r="E497" i="1"/>
  <c r="E5746" i="1"/>
  <c r="E3731" i="1"/>
  <c r="E4834" i="1"/>
  <c r="E5442" i="1"/>
  <c r="E5305" i="1"/>
  <c r="E4368" i="1"/>
  <c r="E4421" i="1"/>
  <c r="E2152" i="1"/>
  <c r="E1138" i="1"/>
  <c r="E1123" i="1"/>
  <c r="E5024" i="1"/>
  <c r="E5743" i="1"/>
  <c r="E2445" i="1"/>
  <c r="E2722" i="1"/>
  <c r="E2075" i="1"/>
  <c r="E4555" i="1"/>
  <c r="E2978" i="1"/>
  <c r="E537" i="1"/>
  <c r="E1365" i="1"/>
  <c r="E124" i="1"/>
  <c r="E5719" i="1"/>
  <c r="E182" i="1"/>
  <c r="E3124" i="1"/>
  <c r="E5243" i="1"/>
  <c r="E4729" i="1"/>
  <c r="E982" i="1"/>
  <c r="E589" i="1"/>
  <c r="E2475" i="1"/>
  <c r="E3806" i="1"/>
  <c r="E1157" i="1"/>
  <c r="E3314" i="1"/>
  <c r="E1181" i="1"/>
  <c r="E2374" i="1"/>
  <c r="E3894" i="1"/>
  <c r="E3525" i="1"/>
  <c r="E3952" i="1"/>
  <c r="E540" i="1"/>
  <c r="E2195" i="1"/>
  <c r="E4961" i="1"/>
  <c r="E1649" i="1"/>
  <c r="E5382" i="1"/>
  <c r="E798" i="1"/>
  <c r="E2620" i="1"/>
  <c r="E1659" i="1"/>
  <c r="E2924" i="1"/>
  <c r="E2408" i="1"/>
  <c r="E719" i="1"/>
  <c r="E1303" i="1"/>
  <c r="E5515" i="1"/>
  <c r="E199" i="1"/>
  <c r="E3935" i="1"/>
  <c r="E2082" i="1"/>
  <c r="E3581" i="1"/>
  <c r="E597" i="1"/>
  <c r="E4887" i="1"/>
  <c r="E1634" i="1"/>
  <c r="E4936" i="1"/>
  <c r="E5380" i="1"/>
  <c r="H231" i="1"/>
  <c r="I231" i="1" s="1"/>
  <c r="J231" i="1" s="1"/>
  <c r="J5318" i="1"/>
  <c r="K5318" i="1" s="1"/>
  <c r="L5318" i="1" s="1"/>
  <c r="E3112" i="1"/>
  <c r="E4008" i="1"/>
  <c r="E1768" i="1"/>
  <c r="E4700" i="1"/>
  <c r="E3459" i="1"/>
  <c r="E3697" i="1"/>
  <c r="E991" i="1"/>
  <c r="E903" i="1"/>
  <c r="E3747" i="1"/>
  <c r="E16" i="1"/>
  <c r="E5423" i="1"/>
  <c r="E2612" i="1"/>
  <c r="E350" i="1"/>
  <c r="E3077" i="1"/>
  <c r="E4478" i="1"/>
  <c r="E3188" i="1"/>
  <c r="E830" i="1"/>
  <c r="E4185" i="1"/>
  <c r="E2732" i="1"/>
  <c r="E365" i="1"/>
  <c r="E4680" i="1"/>
  <c r="E4023" i="1"/>
  <c r="E1060" i="1"/>
  <c r="E4417" i="1"/>
  <c r="E659" i="1"/>
  <c r="E5541" i="1"/>
  <c r="E2007" i="1"/>
  <c r="E5094" i="1"/>
  <c r="E483" i="1"/>
  <c r="E2397" i="1"/>
  <c r="E5478" i="1"/>
  <c r="E3656" i="1"/>
  <c r="E5218" i="1"/>
  <c r="E2001" i="1"/>
  <c r="E5495" i="1"/>
  <c r="E4712" i="1"/>
  <c r="E4686" i="1"/>
  <c r="E5689" i="1"/>
  <c r="E607" i="1"/>
  <c r="E4835" i="1"/>
  <c r="E381" i="1"/>
  <c r="E2616" i="1"/>
  <c r="E1193" i="1"/>
  <c r="E1326" i="1"/>
  <c r="E704" i="1"/>
  <c r="E2044" i="1"/>
  <c r="E1677" i="1"/>
  <c r="E785" i="1"/>
  <c r="E4556" i="1"/>
  <c r="E4880" i="1"/>
  <c r="E4885" i="1"/>
  <c r="E4711" i="1"/>
  <c r="E1743" i="1"/>
  <c r="E1289" i="1"/>
  <c r="E3562" i="1"/>
  <c r="E492" i="1"/>
  <c r="E4080" i="1"/>
  <c r="E114" i="1"/>
  <c r="E5483" i="1"/>
  <c r="E4615" i="1"/>
  <c r="E5054" i="1"/>
  <c r="E831" i="1"/>
  <c r="E3559" i="1"/>
  <c r="E2313" i="1"/>
  <c r="E5439" i="1"/>
  <c r="J2526" i="1"/>
  <c r="K2526" i="1" s="1"/>
  <c r="L2526" i="1" s="1"/>
  <c r="E4414" i="1"/>
  <c r="E4695" i="1"/>
  <c r="E1202" i="1"/>
  <c r="E285" i="1"/>
  <c r="E534" i="1"/>
  <c r="E4699" i="1"/>
  <c r="E3228" i="1"/>
  <c r="E83" i="1"/>
  <c r="E4375" i="1"/>
  <c r="E4065" i="1"/>
  <c r="E2981" i="1"/>
  <c r="E1172" i="1"/>
  <c r="E1763" i="1"/>
  <c r="E1980" i="1"/>
  <c r="E4922" i="1"/>
  <c r="E4152" i="1"/>
  <c r="E2716" i="1"/>
  <c r="E3244" i="1"/>
  <c r="E5290" i="1"/>
  <c r="E2442" i="1"/>
  <c r="E1386" i="1"/>
  <c r="E336" i="1"/>
  <c r="E838" i="1"/>
  <c r="E4568" i="1"/>
  <c r="E4952" i="1"/>
  <c r="E287" i="1"/>
  <c r="E774" i="1"/>
  <c r="E4372" i="1"/>
  <c r="E2845" i="1"/>
  <c r="E3300" i="1"/>
  <c r="E4261" i="1"/>
  <c r="E1407" i="1"/>
  <c r="E503" i="1"/>
  <c r="E4655" i="1"/>
  <c r="E1524" i="1"/>
  <c r="H4637" i="1"/>
  <c r="I4637" i="1" s="1"/>
  <c r="J4637" i="1" s="1"/>
  <c r="K4637" i="1" s="1"/>
  <c r="L4637" i="1" s="1"/>
  <c r="E262" i="1"/>
  <c r="E4089" i="1"/>
  <c r="E4798" i="1"/>
  <c r="E51" i="1"/>
  <c r="E123" i="1"/>
  <c r="E2797" i="1"/>
  <c r="E3577" i="1"/>
  <c r="E4362" i="1"/>
  <c r="E2607" i="1"/>
  <c r="E4011" i="1"/>
  <c r="E3694" i="1"/>
  <c r="E3606" i="1"/>
  <c r="E3970" i="1"/>
  <c r="E1444" i="1"/>
  <c r="E5173" i="1"/>
  <c r="E2578" i="1"/>
  <c r="E3267" i="1"/>
  <c r="E1996" i="1"/>
  <c r="E2068" i="1"/>
  <c r="E5347" i="1"/>
  <c r="E2163" i="1"/>
  <c r="E1857" i="1"/>
  <c r="E2637" i="1"/>
  <c r="E4886" i="1"/>
  <c r="E1113" i="1"/>
  <c r="E3182" i="1"/>
  <c r="E4557" i="1"/>
  <c r="E2691" i="1"/>
  <c r="E2513" i="1"/>
  <c r="E1112" i="1"/>
  <c r="E4726" i="1"/>
  <c r="E4588" i="1"/>
  <c r="E1823" i="1"/>
  <c r="E681" i="1"/>
  <c r="E4099" i="1"/>
  <c r="E541" i="1"/>
  <c r="E2259" i="1"/>
  <c r="H955" i="1"/>
  <c r="I955" i="1" s="1"/>
  <c r="J955" i="1" s="1"/>
  <c r="H3263" i="1"/>
  <c r="I3263" i="1" s="1"/>
  <c r="J3263" i="1" s="1"/>
  <c r="K3263" i="1" s="1"/>
  <c r="L3263" i="1" s="1"/>
  <c r="E2784" i="1"/>
  <c r="E3009" i="1"/>
  <c r="E3860" i="1"/>
  <c r="E2868" i="1"/>
  <c r="E1191" i="1"/>
  <c r="E4254" i="1"/>
  <c r="E612" i="1"/>
  <c r="E2477" i="1"/>
  <c r="E115" i="1"/>
  <c r="E5902" i="1"/>
  <c r="E5554" i="1"/>
  <c r="E4100" i="1"/>
  <c r="E5157" i="1"/>
  <c r="E2807" i="1"/>
  <c r="E4955" i="1"/>
  <c r="E3723" i="1"/>
  <c r="E5930" i="1"/>
  <c r="E3890" i="1"/>
  <c r="E4251" i="1"/>
  <c r="E668" i="1"/>
  <c r="E5770" i="1"/>
  <c r="E3878" i="1"/>
  <c r="E1051" i="1"/>
  <c r="E2060" i="1"/>
  <c r="E1228" i="1"/>
  <c r="E3213" i="1"/>
  <c r="E4771" i="1"/>
  <c r="E2063" i="1"/>
  <c r="E4993" i="1"/>
  <c r="E5580" i="1"/>
  <c r="E4393" i="1"/>
  <c r="E3321" i="1"/>
  <c r="E5394" i="1"/>
  <c r="E3245" i="1"/>
  <c r="E4067" i="1"/>
  <c r="E3032" i="1"/>
  <c r="E2614" i="1"/>
  <c r="E2879" i="1"/>
  <c r="E1647" i="1"/>
  <c r="E603" i="1"/>
  <c r="E5569" i="1"/>
  <c r="E651" i="1"/>
  <c r="E3767" i="1"/>
  <c r="E4170" i="1"/>
  <c r="E2217" i="1"/>
  <c r="E1814" i="1"/>
  <c r="E3154" i="1"/>
  <c r="E1436" i="1"/>
  <c r="E678" i="1"/>
  <c r="E4493" i="1"/>
  <c r="E2697" i="1"/>
  <c r="E650" i="1"/>
  <c r="E4350" i="1"/>
  <c r="E1463" i="1"/>
  <c r="E992" i="1"/>
  <c r="E2069" i="1"/>
  <c r="E1858" i="1"/>
  <c r="E2641" i="1"/>
  <c r="E2071" i="1"/>
  <c r="E2175" i="1"/>
  <c r="E1570" i="1"/>
  <c r="E2387" i="1"/>
  <c r="E3987" i="1"/>
  <c r="E4305" i="1"/>
  <c r="E5758" i="1"/>
  <c r="E1356" i="1"/>
  <c r="E4154" i="1"/>
  <c r="E869" i="1"/>
  <c r="E2726" i="1"/>
  <c r="E4184" i="1"/>
  <c r="E334" i="1"/>
  <c r="E1040" i="1"/>
  <c r="E2245" i="1"/>
  <c r="E629" i="1"/>
  <c r="J4088" i="1"/>
  <c r="J5661" i="1"/>
  <c r="K5661" i="1" s="1"/>
  <c r="L5661" i="1" s="1"/>
  <c r="J1551" i="1"/>
  <c r="J1400" i="1"/>
  <c r="J2215" i="1"/>
  <c r="J1964" i="1"/>
  <c r="K1964" i="1" s="1"/>
  <c r="L1964" i="1" s="1"/>
  <c r="J4763" i="1"/>
  <c r="K4763" i="1" s="1"/>
  <c r="L4763" i="1" s="1"/>
  <c r="J6004" i="1"/>
  <c r="K6004" i="1" s="1"/>
  <c r="L6004" i="1" s="1"/>
  <c r="J5155" i="1"/>
  <c r="K5155" i="1" s="1"/>
  <c r="L5155" i="1" s="1"/>
  <c r="J120" i="1"/>
  <c r="K120" i="1" s="1"/>
  <c r="L120" i="1" s="1"/>
  <c r="J2747" i="1"/>
  <c r="K2747" i="1" s="1"/>
  <c r="L2747" i="1" s="1"/>
  <c r="J2368" i="1"/>
  <c r="K2368" i="1" s="1"/>
  <c r="L2368" i="1" s="1"/>
  <c r="J513" i="1"/>
  <c r="K513" i="1" s="1"/>
  <c r="L513" i="1" s="1"/>
  <c r="J3836" i="1"/>
  <c r="K3836" i="1" s="1"/>
  <c r="L3836" i="1" s="1"/>
  <c r="J4804" i="1"/>
  <c r="K4804" i="1" s="1"/>
  <c r="L4804" i="1" s="1"/>
  <c r="J3774" i="1"/>
  <c r="J765" i="1"/>
  <c r="J2388" i="1"/>
  <c r="K2388" i="1" s="1"/>
  <c r="L2388" i="1" s="1"/>
  <c r="J900" i="1"/>
  <c r="J2679" i="1"/>
  <c r="J4498" i="1"/>
  <c r="K4498" i="1" s="1"/>
  <c r="L4498" i="1" s="1"/>
  <c r="J436" i="1"/>
  <c r="K436" i="1" s="1"/>
  <c r="L436" i="1" s="1"/>
  <c r="J4698" i="1"/>
  <c r="K4698" i="1" s="1"/>
  <c r="L4698" i="1" s="1"/>
  <c r="J5470" i="1"/>
  <c r="K5470" i="1" s="1"/>
  <c r="L5470" i="1" s="1"/>
  <c r="J4116" i="1"/>
  <c r="K4116" i="1" s="1"/>
  <c r="L4116" i="1" s="1"/>
  <c r="J5498" i="1"/>
  <c r="K5498" i="1" s="1"/>
  <c r="L5498" i="1" s="1"/>
  <c r="J711" i="1"/>
  <c r="K711" i="1" s="1"/>
  <c r="L711" i="1" s="1"/>
  <c r="J5802" i="1"/>
  <c r="K5802" i="1" s="1"/>
  <c r="L5802" i="1" s="1"/>
  <c r="J5788" i="1"/>
  <c r="K5788" i="1" s="1"/>
  <c r="L5788" i="1" s="1"/>
  <c r="J4708" i="1"/>
  <c r="K4708" i="1" s="1"/>
  <c r="L4708" i="1" s="1"/>
  <c r="J891" i="1"/>
  <c r="K891" i="1" s="1"/>
  <c r="L891" i="1" s="1"/>
  <c r="J3043" i="1"/>
  <c r="J5726" i="1"/>
  <c r="J2958" i="1"/>
  <c r="J5518" i="1"/>
  <c r="K5518" i="1" s="1"/>
  <c r="L5518" i="1" s="1"/>
  <c r="J236" i="1"/>
  <c r="J2783" i="1"/>
  <c r="J814" i="1"/>
  <c r="K814" i="1" s="1"/>
  <c r="L814" i="1" s="1"/>
  <c r="J4459" i="1"/>
  <c r="K4459" i="1" s="1"/>
  <c r="L4459" i="1" s="1"/>
  <c r="J3773" i="1"/>
  <c r="K3773" i="1" s="1"/>
  <c r="L3773" i="1" s="1"/>
  <c r="J4718" i="1"/>
  <c r="K4718" i="1" s="1"/>
  <c r="L4718" i="1" s="1"/>
  <c r="J5366" i="1"/>
  <c r="K5366" i="1" s="1"/>
  <c r="L5366" i="1" s="1"/>
  <c r="J2472" i="1"/>
  <c r="K2472" i="1" s="1"/>
  <c r="L2472" i="1" s="1"/>
  <c r="J2086" i="1"/>
  <c r="K2086" i="1" s="1"/>
  <c r="L2086" i="1" s="1"/>
  <c r="J2669" i="1"/>
  <c r="K2669" i="1" s="1"/>
  <c r="L2669" i="1" s="1"/>
  <c r="J3469" i="1"/>
  <c r="K3469" i="1" s="1"/>
  <c r="L3469" i="1" s="1"/>
  <c r="J4571" i="1"/>
  <c r="K4571" i="1" s="1"/>
  <c r="L4571" i="1" s="1"/>
  <c r="J5415" i="1"/>
  <c r="K5415" i="1" s="1"/>
  <c r="L5415" i="1" s="1"/>
  <c r="J1031" i="1"/>
  <c r="J2864" i="1"/>
  <c r="K2864" i="1" s="1"/>
  <c r="L2864" i="1" s="1"/>
  <c r="J3835" i="1"/>
  <c r="J2600" i="1"/>
  <c r="J2308" i="1"/>
  <c r="J835" i="1"/>
  <c r="K835" i="1" s="1"/>
  <c r="L835" i="1" s="1"/>
  <c r="J430" i="1"/>
  <c r="J5085" i="1"/>
  <c r="K5085" i="1" s="1"/>
  <c r="L5085" i="1" s="1"/>
  <c r="J1712" i="1"/>
  <c r="K1712" i="1" s="1"/>
  <c r="L1712" i="1" s="1"/>
  <c r="J4103" i="1"/>
  <c r="K4103" i="1" s="1"/>
  <c r="L4103" i="1" s="1"/>
  <c r="J449" i="1"/>
  <c r="K449" i="1" s="1"/>
  <c r="L449" i="1" s="1"/>
  <c r="J2804" i="1"/>
  <c r="K2804" i="1" s="1"/>
  <c r="L2804" i="1" s="1"/>
  <c r="J633" i="1"/>
  <c r="K633" i="1" s="1"/>
  <c r="L633" i="1" s="1"/>
  <c r="J1650" i="1"/>
  <c r="K1650" i="1" s="1"/>
  <c r="L1650" i="1" s="1"/>
  <c r="J2698" i="1"/>
  <c r="K2698" i="1" s="1"/>
  <c r="L2698" i="1" s="1"/>
  <c r="J4361" i="1"/>
  <c r="J3071" i="1"/>
  <c r="J1560" i="1"/>
  <c r="K1560" i="1" s="1"/>
  <c r="L1560" i="1" s="1"/>
  <c r="J4800" i="1"/>
  <c r="J4683" i="1"/>
  <c r="J183" i="1"/>
  <c r="J2915" i="1"/>
  <c r="K2915" i="1" s="1"/>
  <c r="L2915" i="1" s="1"/>
  <c r="J1015" i="1"/>
  <c r="K1015" i="1" s="1"/>
  <c r="L1015" i="1" s="1"/>
  <c r="J4284" i="1"/>
  <c r="K4284" i="1" s="1"/>
  <c r="L4284" i="1" s="1"/>
  <c r="J970" i="1"/>
  <c r="K970" i="1" s="1"/>
  <c r="L970" i="1" s="1"/>
  <c r="J3341" i="1"/>
  <c r="K3341" i="1" s="1"/>
  <c r="L3341" i="1" s="1"/>
  <c r="J2605" i="1"/>
  <c r="K2605" i="1" s="1"/>
  <c r="L2605" i="1" s="1"/>
  <c r="J1789" i="1"/>
  <c r="K1789" i="1" s="1"/>
  <c r="L1789" i="1" s="1"/>
  <c r="J3379" i="1"/>
  <c r="K3379" i="1" s="1"/>
  <c r="L3379" i="1" s="1"/>
  <c r="J990" i="1"/>
  <c r="K990" i="1" s="1"/>
  <c r="L990" i="1" s="1"/>
  <c r="J4546" i="1"/>
  <c r="K4546" i="1" s="1"/>
  <c r="L4546" i="1" s="1"/>
  <c r="J2794" i="1"/>
  <c r="J4808" i="1"/>
  <c r="J4583" i="1"/>
  <c r="K4583" i="1" s="1"/>
  <c r="L4583" i="1" s="1"/>
  <c r="J5589" i="1"/>
  <c r="J608" i="1"/>
  <c r="J151" i="1"/>
  <c r="J1683" i="1"/>
  <c r="K1683" i="1" s="1"/>
  <c r="L1683" i="1" s="1"/>
  <c r="J3296" i="1"/>
  <c r="K3296" i="1" s="1"/>
  <c r="L3296" i="1" s="1"/>
  <c r="J1538" i="1"/>
  <c r="K1538" i="1" s="1"/>
  <c r="L1538" i="1" s="1"/>
  <c r="J5258" i="1"/>
  <c r="K5258" i="1" s="1"/>
  <c r="L5258" i="1" s="1"/>
  <c r="J993" i="1"/>
  <c r="K993" i="1" s="1"/>
  <c r="L993" i="1" s="1"/>
  <c r="J1626" i="1"/>
  <c r="K1626" i="1" s="1"/>
  <c r="L1626" i="1" s="1"/>
  <c r="J3219" i="1"/>
  <c r="J3450" i="1"/>
  <c r="K3450" i="1" s="1"/>
  <c r="L3450" i="1" s="1"/>
  <c r="J4659" i="1"/>
  <c r="K4659" i="1" s="1"/>
  <c r="L4659" i="1" s="1"/>
  <c r="H3833" i="1"/>
  <c r="I3833" i="1" s="1"/>
  <c r="J3833" i="1" s="1"/>
  <c r="K3833" i="1" s="1"/>
  <c r="L3833" i="1" s="1"/>
  <c r="H5060" i="1"/>
  <c r="I5060" i="1" s="1"/>
  <c r="J5060" i="1" s="1"/>
  <c r="K5060" i="1" s="1"/>
  <c r="L5060" i="1" s="1"/>
  <c r="H5030" i="1"/>
  <c r="I5030" i="1" s="1"/>
  <c r="J5030" i="1" s="1"/>
  <c r="H1797" i="1"/>
  <c r="I1797" i="1" s="1"/>
  <c r="J1797" i="1" s="1"/>
  <c r="K1797" i="1" s="1"/>
  <c r="L1797" i="1" s="1"/>
  <c r="H2988" i="1"/>
  <c r="I2988" i="1" s="1"/>
  <c r="J2988" i="1" s="1"/>
  <c r="H2876" i="1"/>
  <c r="I2876" i="1" s="1"/>
  <c r="J2876" i="1" s="1"/>
  <c r="H3110" i="1"/>
  <c r="I3110" i="1" s="1"/>
  <c r="J3110" i="1" s="1"/>
  <c r="H1966" i="1"/>
  <c r="I1966" i="1" s="1"/>
  <c r="J1966" i="1" s="1"/>
  <c r="K1966" i="1" s="1"/>
  <c r="L1966" i="1" s="1"/>
  <c r="H1097" i="1"/>
  <c r="I1097" i="1" s="1"/>
  <c r="J1097" i="1" s="1"/>
  <c r="H5213" i="1"/>
  <c r="I5213" i="1" s="1"/>
  <c r="J5213" i="1" s="1"/>
  <c r="K5213" i="1" s="1"/>
  <c r="L5213" i="1" s="1"/>
  <c r="H3717" i="1"/>
  <c r="I3717" i="1" s="1"/>
  <c r="J3717" i="1" s="1"/>
  <c r="K3717" i="1" s="1"/>
  <c r="L3717" i="1" s="1"/>
  <c r="H3977" i="1"/>
  <c r="I3977" i="1" s="1"/>
  <c r="J3977" i="1" s="1"/>
  <c r="K3977" i="1" s="1"/>
  <c r="L3977" i="1" s="1"/>
  <c r="H3623" i="1"/>
  <c r="I3623" i="1" s="1"/>
  <c r="J3623" i="1" s="1"/>
  <c r="K3623" i="1" s="1"/>
  <c r="L3623" i="1" s="1"/>
  <c r="H5199" i="1"/>
  <c r="I5199" i="1" s="1"/>
  <c r="J5199" i="1" s="1"/>
  <c r="K5199" i="1" s="1"/>
  <c r="L5199" i="1" s="1"/>
  <c r="H3084" i="1"/>
  <c r="I3084" i="1" s="1"/>
  <c r="J3084" i="1" s="1"/>
  <c r="K3084" i="1" s="1"/>
  <c r="L3084" i="1" s="1"/>
  <c r="J5567" i="1"/>
  <c r="K5567" i="1" s="1"/>
  <c r="L5567" i="1" s="1"/>
  <c r="J2717" i="1"/>
  <c r="J188" i="1"/>
  <c r="J775" i="1"/>
  <c r="J1198" i="1"/>
  <c r="K1198" i="1" s="1"/>
  <c r="L1198" i="1" s="1"/>
  <c r="J4525" i="1"/>
  <c r="J5830" i="1"/>
  <c r="K5830" i="1" s="1"/>
  <c r="L5830" i="1" s="1"/>
  <c r="J4527" i="1"/>
  <c r="J2802" i="1"/>
  <c r="K2802" i="1" s="1"/>
  <c r="L2802" i="1" s="1"/>
  <c r="J1387" i="1"/>
  <c r="K1387" i="1" s="1"/>
  <c r="L1387" i="1" s="1"/>
  <c r="J5605" i="1"/>
  <c r="K5605" i="1" s="1"/>
  <c r="L5605" i="1" s="1"/>
  <c r="J2733" i="1"/>
  <c r="K2733" i="1" s="1"/>
  <c r="L2733" i="1" s="1"/>
  <c r="J4363" i="1"/>
  <c r="K4363" i="1" s="1"/>
  <c r="L4363" i="1" s="1"/>
  <c r="J1141" i="1"/>
  <c r="K1141" i="1" s="1"/>
  <c r="L1141" i="1" s="1"/>
  <c r="J4006" i="1"/>
  <c r="K4006" i="1" s="1"/>
  <c r="L4006" i="1" s="1"/>
  <c r="J1863" i="1"/>
  <c r="K1863" i="1" s="1"/>
  <c r="L1863" i="1" s="1"/>
  <c r="J2623" i="1"/>
  <c r="K2623" i="1" s="1"/>
  <c r="L2623" i="1" s="1"/>
  <c r="J4421" i="1"/>
  <c r="K4421" i="1" s="1"/>
  <c r="L4421" i="1" s="1"/>
  <c r="J198" i="1"/>
  <c r="J5088" i="1"/>
  <c r="J2402" i="1"/>
  <c r="K2402" i="1" s="1"/>
  <c r="L2402" i="1" s="1"/>
  <c r="H5016" i="1"/>
  <c r="I5016" i="1" s="1"/>
  <c r="J5016" i="1" s="1"/>
  <c r="J3598" i="1"/>
  <c r="H3211" i="1"/>
  <c r="I3211" i="1" s="1"/>
  <c r="J3211" i="1" s="1"/>
  <c r="J5970" i="1"/>
  <c r="K5970" i="1" s="1"/>
  <c r="L5970" i="1" s="1"/>
  <c r="H5121" i="1"/>
  <c r="I5121" i="1" s="1"/>
  <c r="J5121" i="1" s="1"/>
  <c r="K5121" i="1" s="1"/>
  <c r="L5121" i="1" s="1"/>
  <c r="H3534" i="1"/>
  <c r="I3534" i="1" s="1"/>
  <c r="J3534" i="1" s="1"/>
  <c r="K3534" i="1" s="1"/>
  <c r="L3534" i="1" s="1"/>
  <c r="H5373" i="1"/>
  <c r="I5373" i="1" s="1"/>
  <c r="J5373" i="1" s="1"/>
  <c r="K5373" i="1" s="1"/>
  <c r="L5373" i="1" s="1"/>
  <c r="H726" i="1"/>
  <c r="I726" i="1" s="1"/>
  <c r="J726" i="1" s="1"/>
  <c r="K726" i="1" s="1"/>
  <c r="L726" i="1" s="1"/>
  <c r="H1337" i="1"/>
  <c r="I1337" i="1" s="1"/>
  <c r="J1337" i="1" s="1"/>
  <c r="K1337" i="1" s="1"/>
  <c r="L1337" i="1" s="1"/>
  <c r="H5276" i="1"/>
  <c r="I5276" i="1" s="1"/>
  <c r="J5276" i="1" s="1"/>
  <c r="K5276" i="1" s="1"/>
  <c r="L5276" i="1" s="1"/>
  <c r="H546" i="1"/>
  <c r="I546" i="1" s="1"/>
  <c r="J546" i="1" s="1"/>
  <c r="K546" i="1" s="1"/>
  <c r="L546" i="1" s="1"/>
  <c r="H398" i="1"/>
  <c r="I398" i="1" s="1"/>
  <c r="J398" i="1" s="1"/>
  <c r="K398" i="1" s="1"/>
  <c r="L398" i="1" s="1"/>
  <c r="H5570" i="1"/>
  <c r="I5570" i="1" s="1"/>
  <c r="J5570" i="1" s="1"/>
  <c r="K5570" i="1" s="1"/>
  <c r="L5570" i="1" s="1"/>
  <c r="J3283" i="1"/>
  <c r="H3825" i="1"/>
  <c r="I3825" i="1" s="1"/>
  <c r="J3825" i="1" s="1"/>
  <c r="H5967" i="1"/>
  <c r="I5967" i="1" s="1"/>
  <c r="J5967" i="1" s="1"/>
  <c r="K5967" i="1" s="1"/>
  <c r="L5967" i="1" s="1"/>
  <c r="J3056" i="1"/>
  <c r="J722" i="1"/>
  <c r="H808" i="1"/>
  <c r="I808" i="1" s="1"/>
  <c r="J808" i="1" s="1"/>
  <c r="H2038" i="1"/>
  <c r="I2038" i="1" s="1"/>
  <c r="J2038" i="1" s="1"/>
  <c r="K2038" i="1" s="1"/>
  <c r="L2038" i="1" s="1"/>
  <c r="J4547" i="1"/>
  <c r="K4547" i="1" s="1"/>
  <c r="L4547" i="1" s="1"/>
  <c r="J937" i="1"/>
  <c r="K937" i="1" s="1"/>
  <c r="L937" i="1" s="1"/>
  <c r="H1095" i="1"/>
  <c r="I1095" i="1" s="1"/>
  <c r="J1095" i="1" s="1"/>
  <c r="K1095" i="1" s="1"/>
  <c r="L1095" i="1" s="1"/>
  <c r="H429" i="1"/>
  <c r="I429" i="1" s="1"/>
  <c r="J429" i="1" s="1"/>
  <c r="K429" i="1" s="1"/>
  <c r="L429" i="1" s="1"/>
  <c r="H1231" i="1"/>
  <c r="I1231" i="1" s="1"/>
  <c r="J1231" i="1" s="1"/>
  <c r="K1231" i="1" s="1"/>
  <c r="L1231" i="1" s="1"/>
  <c r="J5665" i="1"/>
  <c r="K5665" i="1" s="1"/>
  <c r="L5665" i="1" s="1"/>
  <c r="J4943" i="1"/>
  <c r="K4943" i="1" s="1"/>
  <c r="L4943" i="1" s="1"/>
  <c r="H2495" i="1"/>
  <c r="I2495" i="1" s="1"/>
  <c r="J2495" i="1" s="1"/>
  <c r="K2495" i="1" s="1"/>
  <c r="L2495" i="1" s="1"/>
  <c r="H3729" i="1"/>
  <c r="I3729" i="1" s="1"/>
  <c r="J3729" i="1" s="1"/>
  <c r="K3729" i="1" s="1"/>
  <c r="L3729" i="1" s="1"/>
  <c r="J3673" i="1"/>
  <c r="H5749" i="1"/>
  <c r="I5749" i="1" s="1"/>
  <c r="J5749" i="1" s="1"/>
  <c r="H1687" i="1"/>
  <c r="I1687" i="1" s="1"/>
  <c r="J1687" i="1" s="1"/>
  <c r="K1687" i="1" s="1"/>
  <c r="L1687" i="1" s="1"/>
  <c r="J2094" i="1"/>
  <c r="H5036" i="1"/>
  <c r="I5036" i="1" s="1"/>
  <c r="J5036" i="1" s="1"/>
  <c r="H1812" i="1"/>
  <c r="I1812" i="1" s="1"/>
  <c r="J1812" i="1" s="1"/>
  <c r="J3810" i="1"/>
  <c r="K3810" i="1" s="1"/>
  <c r="L3810" i="1" s="1"/>
  <c r="J4900" i="1"/>
  <c r="K4900" i="1" s="1"/>
  <c r="L4900" i="1" s="1"/>
  <c r="H557" i="1"/>
  <c r="I557" i="1" s="1"/>
  <c r="J557" i="1" s="1"/>
  <c r="K557" i="1" s="1"/>
  <c r="L557" i="1" s="1"/>
  <c r="H3288" i="1"/>
  <c r="I3288" i="1" s="1"/>
  <c r="J3288" i="1" s="1"/>
  <c r="K3288" i="1" s="1"/>
  <c r="L3288" i="1" s="1"/>
  <c r="H3844" i="1"/>
  <c r="I3844" i="1" s="1"/>
  <c r="J3844" i="1" s="1"/>
  <c r="K3844" i="1" s="1"/>
  <c r="L3844" i="1" s="1"/>
  <c r="J1802" i="1"/>
  <c r="K1802" i="1" s="1"/>
  <c r="L1802" i="1" s="1"/>
  <c r="J3303" i="1"/>
  <c r="K3303" i="1" s="1"/>
  <c r="L3303" i="1" s="1"/>
  <c r="H4791" i="1"/>
  <c r="I4791" i="1" s="1"/>
  <c r="J4791" i="1" s="1"/>
  <c r="K4791" i="1" s="1"/>
  <c r="L4791" i="1" s="1"/>
  <c r="H4765" i="1"/>
  <c r="I4765" i="1" s="1"/>
  <c r="J4765" i="1" s="1"/>
  <c r="K4765" i="1" s="1"/>
  <c r="L4765" i="1" s="1"/>
  <c r="H364" i="1"/>
  <c r="I364" i="1" s="1"/>
  <c r="J364" i="1" s="1"/>
  <c r="K364" i="1" s="1"/>
  <c r="L364" i="1" s="1"/>
  <c r="H4131" i="1"/>
  <c r="I4131" i="1" s="1"/>
  <c r="J4131" i="1" s="1"/>
  <c r="H1421" i="1"/>
  <c r="I1421" i="1" s="1"/>
  <c r="H2116" i="1"/>
  <c r="I2116" i="1" s="1"/>
  <c r="J2116" i="1" s="1"/>
  <c r="K2116" i="1" s="1"/>
  <c r="L2116" i="1" s="1"/>
  <c r="H2239" i="1"/>
  <c r="I2239" i="1" s="1"/>
  <c r="H822" i="1"/>
  <c r="I822" i="1" s="1"/>
  <c r="J822" i="1" s="1"/>
  <c r="K822" i="1" s="1"/>
  <c r="L822" i="1" s="1"/>
  <c r="J5466" i="1"/>
  <c r="J3946" i="1"/>
  <c r="K3946" i="1" s="1"/>
  <c r="L3946" i="1" s="1"/>
  <c r="J3020" i="1"/>
  <c r="K3020" i="1" s="1"/>
  <c r="L3020" i="1" s="1"/>
  <c r="J5598" i="1"/>
  <c r="K5598" i="1" s="1"/>
  <c r="L5598" i="1" s="1"/>
  <c r="J4282" i="1"/>
  <c r="K4282" i="1" s="1"/>
  <c r="L4282" i="1" s="1"/>
  <c r="J3189" i="1"/>
  <c r="K3189" i="1" s="1"/>
  <c r="L3189" i="1" s="1"/>
  <c r="J3854" i="1"/>
  <c r="K3854" i="1" s="1"/>
  <c r="L3854" i="1" s="1"/>
  <c r="J3515" i="1"/>
  <c r="K3515" i="1" s="1"/>
  <c r="L3515" i="1" s="1"/>
  <c r="J2581" i="1"/>
  <c r="K2581" i="1" s="1"/>
  <c r="L2581" i="1" s="1"/>
  <c r="J3837" i="1"/>
  <c r="K3837" i="1" s="1"/>
  <c r="L3837" i="1" s="1"/>
  <c r="J1347" i="1"/>
  <c r="K1347" i="1" s="1"/>
  <c r="L1347" i="1" s="1"/>
  <c r="J427" i="1"/>
  <c r="J235" i="1"/>
  <c r="J2114" i="1"/>
  <c r="K2114" i="1" s="1"/>
  <c r="L2114" i="1" s="1"/>
  <c r="J3988" i="1"/>
  <c r="J2089" i="1"/>
  <c r="J5266" i="1"/>
  <c r="K5266" i="1" s="1"/>
  <c r="L5266" i="1" s="1"/>
  <c r="J3564" i="1"/>
  <c r="K3564" i="1" s="1"/>
  <c r="L3564" i="1" s="1"/>
  <c r="J5163" i="1"/>
  <c r="K5163" i="1" s="1"/>
  <c r="L5163" i="1" s="1"/>
  <c r="J1090" i="1"/>
  <c r="K1090" i="1" s="1"/>
  <c r="L1090" i="1" s="1"/>
  <c r="H4999" i="1"/>
  <c r="I4999" i="1" s="1"/>
  <c r="J4999" i="1" s="1"/>
  <c r="K4999" i="1" s="1"/>
  <c r="L4999" i="1" s="1"/>
  <c r="H3352" i="1"/>
  <c r="I3352" i="1" s="1"/>
  <c r="J3352" i="1" s="1"/>
  <c r="K3352" i="1" s="1"/>
  <c r="L3352" i="1" s="1"/>
  <c r="H2850" i="1"/>
  <c r="I2850" i="1" s="1"/>
  <c r="J2850" i="1" s="1"/>
  <c r="K2850" i="1" s="1"/>
  <c r="L2850" i="1" s="1"/>
  <c r="H5611" i="1"/>
  <c r="I5611" i="1" s="1"/>
  <c r="J5611" i="1" s="1"/>
  <c r="K5611" i="1" s="1"/>
  <c r="L5611" i="1" s="1"/>
  <c r="H4818" i="1"/>
  <c r="I4818" i="1" s="1"/>
  <c r="J4818" i="1" s="1"/>
  <c r="K4818" i="1" s="1"/>
  <c r="L4818" i="1" s="1"/>
  <c r="H4019" i="1"/>
  <c r="I4019" i="1" s="1"/>
  <c r="J4019" i="1" s="1"/>
  <c r="K4019" i="1" s="1"/>
  <c r="L4019" i="1" s="1"/>
  <c r="H4812" i="1"/>
  <c r="I4812" i="1" s="1"/>
  <c r="J4812" i="1" s="1"/>
  <c r="K4812" i="1" s="1"/>
  <c r="L4812" i="1" s="1"/>
  <c r="J740" i="1"/>
  <c r="H2566" i="1"/>
  <c r="I2566" i="1" s="1"/>
  <c r="J2566" i="1" s="1"/>
  <c r="H5684" i="1"/>
  <c r="I5684" i="1" s="1"/>
  <c r="J5684" i="1" s="1"/>
  <c r="K5684" i="1" s="1"/>
  <c r="L5684" i="1" s="1"/>
  <c r="H2508" i="1"/>
  <c r="I2508" i="1" s="1"/>
  <c r="J2508" i="1" s="1"/>
  <c r="H3161" i="1"/>
  <c r="I3161" i="1" s="1"/>
  <c r="J3161" i="1" s="1"/>
  <c r="H1836" i="1"/>
  <c r="I1836" i="1" s="1"/>
  <c r="J1836" i="1" s="1"/>
  <c r="H5825" i="1"/>
  <c r="I5825" i="1" s="1"/>
  <c r="J5825" i="1" s="1"/>
  <c r="K5825" i="1" s="1"/>
  <c r="L5825" i="1" s="1"/>
  <c r="J5561" i="1"/>
  <c r="K5561" i="1" s="1"/>
  <c r="L5561" i="1" s="1"/>
  <c r="J2282" i="1"/>
  <c r="K2282" i="1" s="1"/>
  <c r="L2282" i="1" s="1"/>
  <c r="H4559" i="1"/>
  <c r="I4559" i="1" s="1"/>
  <c r="J4559" i="1" s="1"/>
  <c r="K4559" i="1" s="1"/>
  <c r="L4559" i="1" s="1"/>
  <c r="J3194" i="1"/>
  <c r="K3194" i="1" s="1"/>
  <c r="L3194" i="1" s="1"/>
  <c r="H3800" i="1"/>
  <c r="I3800" i="1" s="1"/>
  <c r="J3800" i="1" s="1"/>
  <c r="K3800" i="1" s="1"/>
  <c r="L3800" i="1" s="1"/>
  <c r="J3487" i="1"/>
  <c r="K3487" i="1" s="1"/>
  <c r="L3487" i="1" s="1"/>
  <c r="H5955" i="1"/>
  <c r="I5955" i="1" s="1"/>
  <c r="J5955" i="1" s="1"/>
  <c r="K5955" i="1" s="1"/>
  <c r="L5955" i="1" s="1"/>
  <c r="J3823" i="1"/>
  <c r="K3823" i="1" s="1"/>
  <c r="L3823" i="1" s="1"/>
  <c r="H5445" i="1"/>
  <c r="I5445" i="1" s="1"/>
  <c r="J5445" i="1" s="1"/>
  <c r="K5445" i="1" s="1"/>
  <c r="L5445" i="1" s="1"/>
  <c r="J1152" i="1"/>
  <c r="H3974" i="1"/>
  <c r="I3974" i="1" s="1"/>
  <c r="J3974" i="1" s="1"/>
  <c r="J3672" i="1"/>
  <c r="K3672" i="1" s="1"/>
  <c r="L3672" i="1" s="1"/>
  <c r="H5695" i="1"/>
  <c r="I5695" i="1" s="1"/>
  <c r="J5695" i="1" s="1"/>
  <c r="H3910" i="1"/>
  <c r="I3910" i="1" s="1"/>
  <c r="J3910" i="1" s="1"/>
  <c r="H484" i="1"/>
  <c r="I484" i="1" s="1"/>
  <c r="H2926" i="1"/>
  <c r="I2926" i="1" s="1"/>
  <c r="J2926" i="1" s="1"/>
  <c r="K2926" i="1" s="1"/>
  <c r="L2926" i="1" s="1"/>
  <c r="H5690" i="1"/>
  <c r="I5690" i="1" s="1"/>
  <c r="J5690" i="1" s="1"/>
  <c r="J5372" i="1"/>
  <c r="K5372" i="1" s="1"/>
  <c r="L5372" i="1" s="1"/>
  <c r="J3963" i="1"/>
  <c r="K3963" i="1" s="1"/>
  <c r="L3963" i="1" s="1"/>
  <c r="J3715" i="1"/>
  <c r="K3715" i="1" s="1"/>
  <c r="L3715" i="1" s="1"/>
  <c r="J2579" i="1"/>
  <c r="K2579" i="1" s="1"/>
  <c r="L2579" i="1" s="1"/>
  <c r="J1993" i="1"/>
  <c r="K1993" i="1" s="1"/>
  <c r="L1993" i="1" s="1"/>
  <c r="J710" i="1"/>
  <c r="K710" i="1" s="1"/>
  <c r="L710" i="1" s="1"/>
  <c r="J5238" i="1"/>
  <c r="K5238" i="1" s="1"/>
  <c r="L5238" i="1" s="1"/>
  <c r="J2035" i="1"/>
  <c r="K2035" i="1" s="1"/>
  <c r="L2035" i="1" s="1"/>
  <c r="J205" i="1"/>
  <c r="J4917" i="1"/>
  <c r="K4917" i="1" s="1"/>
  <c r="L4917" i="1" s="1"/>
  <c r="J5045" i="1"/>
  <c r="K5045" i="1" s="1"/>
  <c r="L5045" i="1" s="1"/>
  <c r="J3550" i="1"/>
  <c r="J2279" i="1"/>
  <c r="J1064" i="1"/>
  <c r="J544" i="1"/>
  <c r="K544" i="1" s="1"/>
  <c r="L544" i="1" s="1"/>
  <c r="J1791" i="1"/>
  <c r="K1791" i="1" s="1"/>
  <c r="L1791" i="1" s="1"/>
  <c r="J2985" i="1"/>
  <c r="K2985" i="1" s="1"/>
  <c r="L2985" i="1" s="1"/>
  <c r="J635" i="1"/>
  <c r="K635" i="1" s="1"/>
  <c r="L635" i="1" s="1"/>
  <c r="J5861" i="1"/>
  <c r="K5861" i="1" s="1"/>
  <c r="L5861" i="1" s="1"/>
  <c r="J4693" i="1"/>
  <c r="K4693" i="1" s="1"/>
  <c r="L4693" i="1" s="1"/>
  <c r="J200" i="1"/>
  <c r="K200" i="1" s="1"/>
  <c r="L200" i="1" s="1"/>
  <c r="J107" i="1"/>
  <c r="K107" i="1" s="1"/>
  <c r="L107" i="1" s="1"/>
  <c r="J4824" i="1"/>
  <c r="K4824" i="1" s="1"/>
  <c r="L4824" i="1" s="1"/>
  <c r="J5760" i="1"/>
  <c r="K5760" i="1" s="1"/>
  <c r="L5760" i="1" s="1"/>
  <c r="J1643" i="1"/>
  <c r="J1760" i="1"/>
  <c r="J2674" i="1"/>
  <c r="K2674" i="1" s="1"/>
  <c r="L2674" i="1" s="1"/>
  <c r="J2124" i="1"/>
  <c r="H1876" i="1"/>
  <c r="I1876" i="1" s="1"/>
  <c r="J1876" i="1" s="1"/>
  <c r="H3930" i="1"/>
  <c r="I3930" i="1" s="1"/>
  <c r="J3930" i="1" s="1"/>
  <c r="H5476" i="1"/>
  <c r="I5476" i="1" s="1"/>
  <c r="J5476" i="1" s="1"/>
  <c r="K5476" i="1" s="1"/>
  <c r="L5476" i="1" s="1"/>
  <c r="H4599" i="1"/>
  <c r="I4599" i="1" s="1"/>
  <c r="J4599" i="1" s="1"/>
  <c r="H5105" i="1"/>
  <c r="I5105" i="1" s="1"/>
  <c r="J5105" i="1" s="1"/>
  <c r="K5105" i="1" s="1"/>
  <c r="L5105" i="1" s="1"/>
  <c r="H3497" i="1"/>
  <c r="I3497" i="1" s="1"/>
  <c r="J3497" i="1" s="1"/>
  <c r="K3497" i="1" s="1"/>
  <c r="L3497" i="1" s="1"/>
  <c r="H347" i="1"/>
  <c r="I347" i="1" s="1"/>
  <c r="J347" i="1" s="1"/>
  <c r="K347" i="1" s="1"/>
  <c r="L347" i="1" s="1"/>
  <c r="H4876" i="1"/>
  <c r="I4876" i="1" s="1"/>
  <c r="J4876" i="1" s="1"/>
  <c r="K4876" i="1" s="1"/>
  <c r="L4876" i="1" s="1"/>
  <c r="H5776" i="1"/>
  <c r="I5776" i="1" s="1"/>
  <c r="J5776" i="1" s="1"/>
  <c r="K5776" i="1" s="1"/>
  <c r="L5776" i="1" s="1"/>
  <c r="H930" i="1"/>
  <c r="I930" i="1" s="1"/>
  <c r="J930" i="1" s="1"/>
  <c r="K930" i="1" s="1"/>
  <c r="L930" i="1" s="1"/>
  <c r="H3454" i="1"/>
  <c r="I3454" i="1" s="1"/>
  <c r="J3454" i="1" s="1"/>
  <c r="K3454" i="1" s="1"/>
  <c r="L3454" i="1" s="1"/>
  <c r="H4404" i="1"/>
  <c r="I4404" i="1" s="1"/>
  <c r="J4404" i="1" s="1"/>
  <c r="K4404" i="1" s="1"/>
  <c r="L4404" i="1" s="1"/>
  <c r="H2514" i="1"/>
  <c r="I2514" i="1" s="1"/>
  <c r="J2514" i="1" s="1"/>
  <c r="H3200" i="1"/>
  <c r="I3200" i="1" s="1"/>
  <c r="J3200" i="1" s="1"/>
  <c r="H4841" i="1"/>
  <c r="I4841" i="1" s="1"/>
  <c r="J4841" i="1" s="1"/>
  <c r="K4841" i="1" s="1"/>
  <c r="L4841" i="1" s="1"/>
  <c r="H2667" i="1"/>
  <c r="I2667" i="1" s="1"/>
  <c r="J2667" i="1" s="1"/>
  <c r="H1545" i="1"/>
  <c r="I1545" i="1" s="1"/>
  <c r="J1545" i="1" s="1"/>
  <c r="H5273" i="1"/>
  <c r="I5273" i="1" s="1"/>
  <c r="J5273" i="1" s="1"/>
  <c r="H857" i="1"/>
  <c r="I857" i="1" s="1"/>
  <c r="J857" i="1" s="1"/>
  <c r="K857" i="1" s="1"/>
  <c r="L857" i="1" s="1"/>
  <c r="J5786" i="1"/>
  <c r="K5786" i="1" s="1"/>
  <c r="L5786" i="1" s="1"/>
  <c r="J5051" i="1"/>
  <c r="K5051" i="1" s="1"/>
  <c r="L5051" i="1" s="1"/>
  <c r="H3696" i="1"/>
  <c r="I3696" i="1" s="1"/>
  <c r="J3696" i="1" s="1"/>
  <c r="K3696" i="1" s="1"/>
  <c r="L3696" i="1" s="1"/>
  <c r="H4937" i="1"/>
  <c r="I4937" i="1" s="1"/>
  <c r="J4937" i="1" s="1"/>
  <c r="K4937" i="1" s="1"/>
  <c r="L4937" i="1" s="1"/>
  <c r="J1589" i="1"/>
  <c r="K1589" i="1" s="1"/>
  <c r="L1589" i="1" s="1"/>
  <c r="H1732" i="1"/>
  <c r="I1732" i="1" s="1"/>
  <c r="J1732" i="1" s="1"/>
  <c r="K1732" i="1" s="1"/>
  <c r="L1732" i="1" s="1"/>
  <c r="H5006" i="1"/>
  <c r="I5006" i="1" s="1"/>
  <c r="J5006" i="1" s="1"/>
  <c r="K5006" i="1" s="1"/>
  <c r="L5006" i="1" s="1"/>
  <c r="H5317" i="1"/>
  <c r="I5317" i="1" s="1"/>
  <c r="J5317" i="1" s="1"/>
  <c r="K5317" i="1" s="1"/>
  <c r="L5317" i="1" s="1"/>
  <c r="H4303" i="1"/>
  <c r="I4303" i="1" s="1"/>
  <c r="J4303" i="1" s="1"/>
  <c r="K4303" i="1" s="1"/>
  <c r="L4303" i="1" s="1"/>
  <c r="J4592" i="1"/>
  <c r="H1190" i="1"/>
  <c r="I1190" i="1" s="1"/>
  <c r="J2773" i="1"/>
  <c r="K2773" i="1" s="1"/>
  <c r="L2773" i="1" s="1"/>
  <c r="J3548" i="1"/>
  <c r="J4648" i="1"/>
  <c r="K4648" i="1" s="1"/>
  <c r="L4648" i="1" s="1"/>
  <c r="J2470" i="1"/>
  <c r="J2695" i="1"/>
  <c r="K2695" i="1" s="1"/>
  <c r="L2695" i="1" s="1"/>
  <c r="J2907" i="1"/>
  <c r="K2907" i="1" s="1"/>
  <c r="L2907" i="1" s="1"/>
  <c r="J1607" i="1"/>
  <c r="K1607" i="1" s="1"/>
  <c r="L1607" i="1" s="1"/>
  <c r="J1293" i="1"/>
  <c r="K1293" i="1" s="1"/>
  <c r="L1293" i="1" s="1"/>
  <c r="J4734" i="1"/>
  <c r="K4734" i="1" s="1"/>
  <c r="L4734" i="1" s="1"/>
  <c r="J1970" i="1"/>
  <c r="K1970" i="1" s="1"/>
  <c r="L1970" i="1" s="1"/>
  <c r="J4455" i="1"/>
  <c r="K4455" i="1" s="1"/>
  <c r="L4455" i="1" s="1"/>
  <c r="J3922" i="1"/>
  <c r="K3922" i="1" s="1"/>
  <c r="L3922" i="1" s="1"/>
  <c r="J1294" i="1"/>
  <c r="K1294" i="1" s="1"/>
  <c r="L1294" i="1" s="1"/>
  <c r="J4091" i="1"/>
  <c r="K4091" i="1" s="1"/>
  <c r="L4091" i="1" s="1"/>
  <c r="J4504" i="1"/>
  <c r="J1399" i="1"/>
  <c r="J3942" i="1"/>
  <c r="J286" i="1"/>
  <c r="J1067" i="1"/>
  <c r="J3557" i="1"/>
  <c r="J996" i="1"/>
  <c r="K996" i="1" s="1"/>
  <c r="L996" i="1" s="1"/>
  <c r="H3380" i="1"/>
  <c r="I3380" i="1" s="1"/>
  <c r="J3380" i="1" s="1"/>
  <c r="K3380" i="1" s="1"/>
  <c r="L3380" i="1" s="1"/>
  <c r="H302" i="1"/>
  <c r="I302" i="1" s="1"/>
  <c r="J302" i="1" s="1"/>
  <c r="K302" i="1" s="1"/>
  <c r="L302" i="1" s="1"/>
  <c r="H3645" i="1"/>
  <c r="I3645" i="1" s="1"/>
  <c r="J3645" i="1" s="1"/>
  <c r="K3645" i="1" s="1"/>
  <c r="L3645" i="1" s="1"/>
  <c r="H1898" i="1"/>
  <c r="I1898" i="1" s="1"/>
  <c r="J1898" i="1" s="1"/>
  <c r="K1898" i="1" s="1"/>
  <c r="L1898" i="1" s="1"/>
  <c r="H2628" i="1"/>
  <c r="I2628" i="1" s="1"/>
  <c r="J2628" i="1" s="1"/>
  <c r="K2628" i="1" s="1"/>
  <c r="L2628" i="1" s="1"/>
  <c r="H376" i="1"/>
  <c r="I376" i="1" s="1"/>
  <c r="J376" i="1" s="1"/>
  <c r="K376" i="1" s="1"/>
  <c r="L376" i="1" s="1"/>
  <c r="H4533" i="1"/>
  <c r="I4533" i="1" s="1"/>
  <c r="J4533" i="1" s="1"/>
  <c r="K4533" i="1" s="1"/>
  <c r="L4533" i="1" s="1"/>
  <c r="H463" i="1"/>
  <c r="I463" i="1" s="1"/>
  <c r="J463" i="1" s="1"/>
  <c r="K463" i="1" s="1"/>
  <c r="L463" i="1" s="1"/>
  <c r="H2487" i="1"/>
  <c r="I2487" i="1" s="1"/>
  <c r="J2487" i="1" s="1"/>
  <c r="K2487" i="1" s="1"/>
  <c r="L2487" i="1" s="1"/>
  <c r="H3744" i="1"/>
  <c r="I3744" i="1" s="1"/>
  <c r="J3744" i="1" s="1"/>
  <c r="H908" i="1"/>
  <c r="I908" i="1" s="1"/>
  <c r="J908" i="1" s="1"/>
  <c r="H5558" i="1"/>
  <c r="I5558" i="1" s="1"/>
  <c r="J5558" i="1" s="1"/>
  <c r="K5558" i="1" s="1"/>
  <c r="L5558" i="1" s="1"/>
  <c r="H1398" i="1"/>
  <c r="I1398" i="1" s="1"/>
  <c r="J1398" i="1" s="1"/>
  <c r="H4285" i="1"/>
  <c r="I4285" i="1" s="1"/>
  <c r="H3710" i="1"/>
  <c r="I3710" i="1" s="1"/>
  <c r="J3710" i="1" s="1"/>
  <c r="H4490" i="1"/>
  <c r="I4490" i="1" s="1"/>
  <c r="J4490" i="1" s="1"/>
  <c r="K4490" i="1" s="1"/>
  <c r="L4490" i="1" s="1"/>
  <c r="J2888" i="1"/>
  <c r="K2888" i="1" s="1"/>
  <c r="L2888" i="1" s="1"/>
  <c r="J3587" i="1"/>
  <c r="K3587" i="1" s="1"/>
  <c r="L3587" i="1" s="1"/>
  <c r="H3798" i="1"/>
  <c r="I3798" i="1" s="1"/>
  <c r="J3798" i="1" s="1"/>
  <c r="K3798" i="1" s="1"/>
  <c r="L3798" i="1" s="1"/>
  <c r="H1179" i="1"/>
  <c r="I1179" i="1" s="1"/>
  <c r="J1179" i="1" s="1"/>
  <c r="K1179" i="1" s="1"/>
  <c r="L1179" i="1" s="1"/>
  <c r="H5963" i="1"/>
  <c r="I5963" i="1" s="1"/>
  <c r="J5963" i="1" s="1"/>
  <c r="K5963" i="1" s="1"/>
  <c r="L5963" i="1" s="1"/>
  <c r="H3467" i="1"/>
  <c r="I3467" i="1" s="1"/>
  <c r="J3467" i="1" s="1"/>
  <c r="K3467" i="1" s="1"/>
  <c r="L3467" i="1" s="1"/>
  <c r="J5114" i="1"/>
  <c r="K5114" i="1" s="1"/>
  <c r="L5114" i="1" s="1"/>
  <c r="J4072" i="1"/>
  <c r="K4072" i="1" s="1"/>
  <c r="L4072" i="1" s="1"/>
  <c r="H583" i="1"/>
  <c r="I583" i="1" s="1"/>
  <c r="J583" i="1" s="1"/>
  <c r="K583" i="1" s="1"/>
  <c r="L583" i="1" s="1"/>
  <c r="H4973" i="1"/>
  <c r="I4973" i="1" s="1"/>
  <c r="J4973" i="1" s="1"/>
  <c r="K4973" i="1" s="1"/>
  <c r="L4973" i="1" s="1"/>
  <c r="J844" i="1"/>
  <c r="J1872" i="1"/>
  <c r="K1872" i="1" s="1"/>
  <c r="L1872" i="1" s="1"/>
  <c r="J5909" i="1"/>
  <c r="K5909" i="1" s="1"/>
  <c r="L5909" i="1" s="1"/>
  <c r="J5064" i="1"/>
  <c r="J1276" i="1"/>
  <c r="J1777" i="1"/>
  <c r="K1777" i="1" s="1"/>
  <c r="L1777" i="1" s="1"/>
  <c r="J4216" i="1"/>
  <c r="K4216" i="1" s="1"/>
  <c r="L4216" i="1" s="1"/>
  <c r="J2598" i="1"/>
  <c r="K2598" i="1" s="1"/>
  <c r="L2598" i="1" s="1"/>
  <c r="J827" i="1"/>
  <c r="K827" i="1" s="1"/>
  <c r="L827" i="1" s="1"/>
  <c r="J170" i="1"/>
  <c r="K170" i="1" s="1"/>
  <c r="L170" i="1" s="1"/>
  <c r="J1362" i="1"/>
  <c r="K1362" i="1" s="1"/>
  <c r="L1362" i="1" s="1"/>
  <c r="J4092" i="1"/>
  <c r="K4092" i="1" s="1"/>
  <c r="L4092" i="1" s="1"/>
  <c r="J541" i="1"/>
  <c r="K541" i="1" s="1"/>
  <c r="L541" i="1" s="1"/>
  <c r="J4687" i="1"/>
  <c r="K4687" i="1" s="1"/>
  <c r="L4687" i="1" s="1"/>
  <c r="J1713" i="1"/>
  <c r="K1713" i="1" s="1"/>
  <c r="L1713" i="1" s="1"/>
  <c r="J5530" i="1"/>
  <c r="J1443" i="1"/>
  <c r="H5346" i="1"/>
  <c r="I5346" i="1" s="1"/>
  <c r="J5346" i="1" s="1"/>
  <c r="K5346" i="1" s="1"/>
  <c r="L5346" i="1" s="1"/>
  <c r="H2946" i="1"/>
  <c r="I2946" i="1" s="1"/>
  <c r="J2946" i="1" s="1"/>
  <c r="H2772" i="1"/>
  <c r="I2772" i="1" s="1"/>
  <c r="J2772" i="1" s="1"/>
  <c r="H560" i="1"/>
  <c r="I560" i="1" s="1"/>
  <c r="J560" i="1" s="1"/>
  <c r="H1158" i="1"/>
  <c r="I1158" i="1" s="1"/>
  <c r="J1158" i="1" s="1"/>
  <c r="K1158" i="1" s="1"/>
  <c r="L1158" i="1" s="1"/>
  <c r="H1903" i="1"/>
  <c r="I1903" i="1" s="1"/>
  <c r="J1903" i="1" s="1"/>
  <c r="K1903" i="1" s="1"/>
  <c r="L1903" i="1" s="1"/>
  <c r="H2813" i="1"/>
  <c r="I2813" i="1" s="1"/>
  <c r="J2813" i="1" s="1"/>
  <c r="K2813" i="1" s="1"/>
  <c r="L2813" i="1" s="1"/>
  <c r="H3155" i="1"/>
  <c r="I3155" i="1" s="1"/>
  <c r="H5141" i="1"/>
  <c r="I5141" i="1" s="1"/>
  <c r="J5141" i="1" s="1"/>
  <c r="K5141" i="1" s="1"/>
  <c r="L5141" i="1" s="1"/>
  <c r="H3553" i="1"/>
  <c r="I3553" i="1" s="1"/>
  <c r="J3553" i="1" s="1"/>
  <c r="K3553" i="1" s="1"/>
  <c r="L3553" i="1" s="1"/>
  <c r="H5610" i="1"/>
  <c r="I5610" i="1" s="1"/>
  <c r="J5610" i="1" s="1"/>
  <c r="K5610" i="1" s="1"/>
  <c r="L5610" i="1" s="1"/>
  <c r="H1175" i="1"/>
  <c r="I1175" i="1" s="1"/>
  <c r="J1175" i="1" s="1"/>
  <c r="K1175" i="1" s="1"/>
  <c r="L1175" i="1" s="1"/>
  <c r="H1934" i="1"/>
  <c r="I1934" i="1" s="1"/>
  <c r="J1934" i="1" s="1"/>
  <c r="K1934" i="1" s="1"/>
  <c r="L1934" i="1" s="1"/>
  <c r="H1314" i="1"/>
  <c r="I1314" i="1" s="1"/>
  <c r="J1314" i="1" s="1"/>
  <c r="K1314" i="1" s="1"/>
  <c r="L1314" i="1" s="1"/>
  <c r="H2398" i="1"/>
  <c r="I2398" i="1" s="1"/>
  <c r="J2398" i="1" s="1"/>
  <c r="H1180" i="1"/>
  <c r="I1180" i="1" s="1"/>
  <c r="J2012" i="1"/>
  <c r="K2012" i="1" s="1"/>
  <c r="L2012" i="1" s="1"/>
  <c r="J2898" i="1"/>
  <c r="H2055" i="1"/>
  <c r="I2055" i="1" s="1"/>
  <c r="J2055" i="1" s="1"/>
  <c r="H1832" i="1"/>
  <c r="I1832" i="1" s="1"/>
  <c r="J1832" i="1" s="1"/>
  <c r="J1882" i="1"/>
  <c r="K1882" i="1" s="1"/>
  <c r="L1882" i="1" s="1"/>
  <c r="H1211" i="1"/>
  <c r="I1211" i="1" s="1"/>
  <c r="J1211" i="1" s="1"/>
  <c r="K1211" i="1" s="1"/>
  <c r="L1211" i="1" s="1"/>
  <c r="J3569" i="1"/>
  <c r="K3569" i="1" s="1"/>
  <c r="L3569" i="1" s="1"/>
  <c r="J5247" i="1"/>
  <c r="K5247" i="1" s="1"/>
  <c r="L5247" i="1" s="1"/>
  <c r="H5156" i="1"/>
  <c r="I5156" i="1" s="1"/>
  <c r="J5156" i="1" s="1"/>
  <c r="K5156" i="1" s="1"/>
  <c r="L5156" i="1" s="1"/>
  <c r="H1019" i="1"/>
  <c r="I1019" i="1" s="1"/>
  <c r="J1019" i="1" s="1"/>
  <c r="H2172" i="1"/>
  <c r="I2172" i="1" s="1"/>
  <c r="J2172" i="1" s="1"/>
  <c r="K2172" i="1" s="1"/>
  <c r="L2172" i="1" s="1"/>
  <c r="H5267" i="1"/>
  <c r="I5267" i="1" s="1"/>
  <c r="J5267" i="1" s="1"/>
  <c r="K5267" i="1" s="1"/>
  <c r="L5267" i="1" s="1"/>
  <c r="H4793" i="1"/>
  <c r="I4793" i="1" s="1"/>
  <c r="J4793" i="1" s="1"/>
  <c r="K4793" i="1" s="1"/>
  <c r="L4793" i="1" s="1"/>
  <c r="H3862" i="1"/>
  <c r="I3862" i="1" s="1"/>
  <c r="J3862" i="1" s="1"/>
  <c r="K3862" i="1" s="1"/>
  <c r="L3862" i="1" s="1"/>
  <c r="H317" i="1"/>
  <c r="I317" i="1" s="1"/>
  <c r="J317" i="1" s="1"/>
  <c r="K317" i="1" s="1"/>
  <c r="L317" i="1" s="1"/>
  <c r="H4894" i="1"/>
  <c r="I4894" i="1" s="1"/>
  <c r="H4401" i="1"/>
  <c r="I4401" i="1" s="1"/>
  <c r="J4401" i="1" s="1"/>
  <c r="K4401" i="1" s="1"/>
  <c r="L4401" i="1" s="1"/>
  <c r="J4422" i="1"/>
  <c r="J5315" i="1"/>
  <c r="J1010" i="1"/>
  <c r="J1805" i="1"/>
  <c r="K1805" i="1" s="1"/>
  <c r="L1805" i="1" s="1"/>
  <c r="J3872" i="1"/>
  <c r="J5248" i="1"/>
  <c r="K5248" i="1" s="1"/>
  <c r="L5248" i="1" s="1"/>
  <c r="J3921" i="1"/>
  <c r="K3921" i="1" s="1"/>
  <c r="L3921" i="1" s="1"/>
  <c r="J3518" i="1"/>
  <c r="K3518" i="1" s="1"/>
  <c r="L3518" i="1" s="1"/>
  <c r="J3447" i="1"/>
  <c r="K3447" i="1" s="1"/>
  <c r="L3447" i="1" s="1"/>
  <c r="J5330" i="1"/>
  <c r="K5330" i="1" s="1"/>
  <c r="L5330" i="1" s="1"/>
  <c r="J3682" i="1"/>
  <c r="K3682" i="1" s="1"/>
  <c r="L3682" i="1" s="1"/>
  <c r="J2496" i="1"/>
  <c r="K2496" i="1" s="1"/>
  <c r="L2496" i="1" s="1"/>
  <c r="J3197" i="1"/>
  <c r="K3197" i="1" s="1"/>
  <c r="L3197" i="1" s="1"/>
  <c r="J1296" i="1"/>
  <c r="J3422" i="1"/>
  <c r="J628" i="1"/>
  <c r="K628" i="1" s="1"/>
  <c r="L628" i="1" s="1"/>
  <c r="J4770" i="1"/>
  <c r="J1065" i="1"/>
  <c r="J3699" i="1"/>
  <c r="J3608" i="1"/>
  <c r="K3608" i="1" s="1"/>
  <c r="L3608" i="1" s="1"/>
  <c r="J4176" i="1"/>
  <c r="J1482" i="1"/>
  <c r="K1482" i="1" s="1"/>
  <c r="L1482" i="1" s="1"/>
  <c r="J3995" i="1"/>
  <c r="K3995" i="1" s="1"/>
  <c r="L3995" i="1" s="1"/>
  <c r="J2415" i="1"/>
  <c r="K2415" i="1" s="1"/>
  <c r="L2415" i="1" s="1"/>
  <c r="H3179" i="1"/>
  <c r="I3179" i="1" s="1"/>
  <c r="J3179" i="1" s="1"/>
  <c r="K3179" i="1" s="1"/>
  <c r="L3179" i="1" s="1"/>
  <c r="J5086" i="1"/>
  <c r="K5086" i="1" s="1"/>
  <c r="L5086" i="1" s="1"/>
  <c r="H4569" i="1"/>
  <c r="I4569" i="1" s="1"/>
  <c r="J4569" i="1" s="1"/>
  <c r="K4569" i="1" s="1"/>
  <c r="L4569" i="1" s="1"/>
  <c r="H4418" i="1"/>
  <c r="I4418" i="1" s="1"/>
  <c r="J4418" i="1" s="1"/>
  <c r="K4418" i="1" s="1"/>
  <c r="L4418" i="1" s="1"/>
  <c r="H3917" i="1"/>
  <c r="I3917" i="1" s="1"/>
  <c r="J3917" i="1" s="1"/>
  <c r="K3917" i="1" s="1"/>
  <c r="L3917" i="1" s="1"/>
  <c r="J4935" i="1"/>
  <c r="J1166" i="1"/>
  <c r="J3714" i="1"/>
  <c r="K3714" i="1" s="1"/>
  <c r="L3714" i="1" s="1"/>
  <c r="H2805" i="1"/>
  <c r="I2805" i="1" s="1"/>
  <c r="J2805" i="1" s="1"/>
  <c r="J1304" i="1"/>
  <c r="J3768" i="1"/>
  <c r="H485" i="1"/>
  <c r="I485" i="1" s="1"/>
  <c r="J485" i="1" s="1"/>
  <c r="K485" i="1" s="1"/>
  <c r="L485" i="1" s="1"/>
  <c r="H3333" i="1"/>
  <c r="I3333" i="1" s="1"/>
  <c r="J3333" i="1" s="1"/>
  <c r="J3227" i="1"/>
  <c r="K3227" i="1" s="1"/>
  <c r="L3227" i="1" s="1"/>
  <c r="H1997" i="1"/>
  <c r="I1997" i="1" s="1"/>
  <c r="J1997" i="1" s="1"/>
  <c r="K1997" i="1" s="1"/>
  <c r="L1997" i="1" s="1"/>
  <c r="H881" i="1"/>
  <c r="I881" i="1" s="1"/>
  <c r="J881" i="1" s="1"/>
  <c r="K881" i="1" s="1"/>
  <c r="L881" i="1" s="1"/>
  <c r="H4415" i="1"/>
  <c r="I4415" i="1" s="1"/>
  <c r="J4415" i="1" s="1"/>
  <c r="K4415" i="1" s="1"/>
  <c r="L4415" i="1" s="1"/>
  <c r="H3551" i="1"/>
  <c r="I3551" i="1" s="1"/>
  <c r="J3551" i="1" s="1"/>
  <c r="H4642" i="1"/>
  <c r="I4642" i="1" s="1"/>
  <c r="J4642" i="1" s="1"/>
  <c r="K4642" i="1" s="1"/>
  <c r="L4642" i="1" s="1"/>
  <c r="H2078" i="1"/>
  <c r="I2078" i="1" s="1"/>
  <c r="J2078" i="1" s="1"/>
  <c r="K2078" i="1" s="1"/>
  <c r="L2078" i="1" s="1"/>
  <c r="H2818" i="1"/>
  <c r="I2818" i="1" s="1"/>
  <c r="J2818" i="1" s="1"/>
  <c r="K2818" i="1" s="1"/>
  <c r="L2818" i="1" s="1"/>
  <c r="J1636" i="1"/>
  <c r="H3681" i="1"/>
  <c r="I3681" i="1" s="1"/>
  <c r="J3681" i="1" s="1"/>
  <c r="H2562" i="1"/>
  <c r="I2562" i="1" s="1"/>
  <c r="J2562" i="1" s="1"/>
  <c r="K2562" i="1" s="1"/>
  <c r="L2562" i="1" s="1"/>
  <c r="J2324" i="1"/>
  <c r="H5284" i="1"/>
  <c r="I5284" i="1" s="1"/>
  <c r="J5284" i="1" s="1"/>
  <c r="K5284" i="1" s="1"/>
  <c r="L5284" i="1" s="1"/>
  <c r="H4321" i="1"/>
  <c r="I4321" i="1" s="1"/>
  <c r="J4321" i="1" s="1"/>
  <c r="H3249" i="1"/>
  <c r="I3249" i="1" s="1"/>
  <c r="J3249" i="1" s="1"/>
  <c r="K3249" i="1" s="1"/>
  <c r="L3249" i="1" s="1"/>
  <c r="H1382" i="1"/>
  <c r="I1382" i="1" s="1"/>
  <c r="J1382" i="1" s="1"/>
  <c r="K1382" i="1" s="1"/>
  <c r="L1382" i="1" s="1"/>
  <c r="H1496" i="1"/>
  <c r="I1496" i="1" s="1"/>
  <c r="J1496" i="1" s="1"/>
  <c r="K1496" i="1" s="1"/>
  <c r="L1496" i="1" s="1"/>
  <c r="H3629" i="1"/>
  <c r="I3629" i="1" s="1"/>
  <c r="J3629" i="1" s="1"/>
  <c r="K3629" i="1" s="1"/>
  <c r="L3629" i="1" s="1"/>
  <c r="H1396" i="1"/>
  <c r="I1396" i="1" s="1"/>
  <c r="J1396" i="1" s="1"/>
  <c r="K1396" i="1" s="1"/>
  <c r="L1396" i="1" s="1"/>
  <c r="J698" i="1"/>
  <c r="J4174" i="1"/>
  <c r="K4174" i="1" s="1"/>
  <c r="L4174" i="1" s="1"/>
  <c r="H5718" i="1"/>
  <c r="I5718" i="1" s="1"/>
  <c r="J5718" i="1" s="1"/>
  <c r="K5718" i="1" s="1"/>
  <c r="L5718" i="1" s="1"/>
  <c r="H615" i="1"/>
  <c r="I615" i="1" s="1"/>
  <c r="J615" i="1" s="1"/>
  <c r="K615" i="1" s="1"/>
  <c r="L615" i="1" s="1"/>
  <c r="H1953" i="1"/>
  <c r="I1953" i="1" s="1"/>
  <c r="J1953" i="1" s="1"/>
  <c r="K1953" i="1" s="1"/>
  <c r="L1953" i="1" s="1"/>
  <c r="J5205" i="1"/>
  <c r="J1717" i="1"/>
  <c r="H1104" i="1"/>
  <c r="I1104" i="1" s="1"/>
  <c r="J1104" i="1" s="1"/>
  <c r="K1104" i="1" s="1"/>
  <c r="L1104" i="1" s="1"/>
  <c r="H5310" i="1"/>
  <c r="I5310" i="1" s="1"/>
  <c r="J5310" i="1" s="1"/>
  <c r="K5310" i="1" s="1"/>
  <c r="L5310" i="1" s="1"/>
  <c r="H1195" i="1"/>
  <c r="I1195" i="1" s="1"/>
  <c r="H4268" i="1"/>
  <c r="I4268" i="1" s="1"/>
  <c r="J4268" i="1" s="1"/>
  <c r="H4114" i="1"/>
  <c r="I4114" i="1" s="1"/>
  <c r="J4114" i="1" s="1"/>
  <c r="K4114" i="1" s="1"/>
  <c r="L4114" i="1" s="1"/>
  <c r="H506" i="1"/>
  <c r="I506" i="1" s="1"/>
  <c r="J506" i="1" s="1"/>
  <c r="K506" i="1" s="1"/>
  <c r="L506" i="1" s="1"/>
  <c r="H3508" i="1"/>
  <c r="I3508" i="1" s="1"/>
  <c r="J3508" i="1" s="1"/>
  <c r="K3508" i="1" s="1"/>
  <c r="L3508" i="1" s="1"/>
  <c r="H3369" i="1"/>
  <c r="I3369" i="1" s="1"/>
  <c r="J3369" i="1" s="1"/>
  <c r="K3369" i="1" s="1"/>
  <c r="L3369" i="1" s="1"/>
  <c r="J1404" i="1"/>
  <c r="K1404" i="1" s="1"/>
  <c r="L1404" i="1" s="1"/>
  <c r="J5534" i="1"/>
  <c r="K5534" i="1" s="1"/>
  <c r="L5534" i="1" s="1"/>
  <c r="J1037" i="1"/>
  <c r="J2860" i="1"/>
  <c r="K2860" i="1" s="1"/>
  <c r="L2860" i="1" s="1"/>
  <c r="J1428" i="1"/>
  <c r="K1428" i="1" s="1"/>
  <c r="L1428" i="1" s="1"/>
  <c r="J2880" i="1"/>
  <c r="K2880" i="1" s="1"/>
  <c r="L2880" i="1" s="1"/>
  <c r="J3115" i="1"/>
  <c r="J5430" i="1"/>
  <c r="J3353" i="1"/>
  <c r="K3353" i="1" s="1"/>
  <c r="L3353" i="1" s="1"/>
  <c r="J894" i="1"/>
  <c r="J2814" i="1"/>
  <c r="J418" i="1"/>
  <c r="J4991" i="1"/>
  <c r="K4991" i="1" s="1"/>
  <c r="L4991" i="1" s="1"/>
  <c r="J5928" i="1"/>
  <c r="K5928" i="1" s="1"/>
  <c r="L5928" i="1" s="1"/>
  <c r="J1374" i="1"/>
  <c r="K1374" i="1" s="1"/>
  <c r="L1374" i="1" s="1"/>
  <c r="J5219" i="1"/>
  <c r="K5219" i="1" s="1"/>
  <c r="L5219" i="1" s="1"/>
  <c r="J655" i="1"/>
  <c r="K655" i="1" s="1"/>
  <c r="L655" i="1" s="1"/>
  <c r="J2418" i="1"/>
  <c r="K2418" i="1" s="1"/>
  <c r="L2418" i="1" s="1"/>
  <c r="J3050" i="1"/>
  <c r="K3050" i="1" s="1"/>
  <c r="L3050" i="1" s="1"/>
  <c r="J3863" i="1"/>
  <c r="K3863" i="1" s="1"/>
  <c r="L3863" i="1" s="1"/>
  <c r="J1534" i="1"/>
  <c r="K1534" i="1" s="1"/>
  <c r="L1534" i="1" s="1"/>
  <c r="J5389" i="1"/>
  <c r="K5389" i="1" s="1"/>
  <c r="L5389" i="1" s="1"/>
  <c r="H5374" i="1"/>
  <c r="I5374" i="1" s="1"/>
  <c r="J5374" i="1" s="1"/>
  <c r="H4458" i="1"/>
  <c r="I4458" i="1" s="1"/>
  <c r="J4458" i="1" s="1"/>
  <c r="H520" i="1"/>
  <c r="I520" i="1" s="1"/>
  <c r="J520" i="1" s="1"/>
  <c r="K520" i="1" s="1"/>
  <c r="L520" i="1" s="1"/>
  <c r="H2199" i="1"/>
  <c r="I2199" i="1" s="1"/>
  <c r="J2199" i="1" s="1"/>
  <c r="H2381" i="1"/>
  <c r="I2381" i="1" s="1"/>
  <c r="J2381" i="1" s="1"/>
  <c r="H4823" i="1"/>
  <c r="I4823" i="1" s="1"/>
  <c r="J4823" i="1" s="1"/>
  <c r="H1187" i="1"/>
  <c r="I1187" i="1" s="1"/>
  <c r="J1187" i="1" s="1"/>
  <c r="K1187" i="1" s="1"/>
  <c r="L1187" i="1" s="1"/>
  <c r="H3223" i="1"/>
  <c r="I3223" i="1" s="1"/>
  <c r="J3223" i="1" s="1"/>
  <c r="K3223" i="1" s="1"/>
  <c r="L3223" i="1" s="1"/>
  <c r="H4844" i="1"/>
  <c r="I4844" i="1" s="1"/>
  <c r="J4844" i="1" s="1"/>
  <c r="K4844" i="1" s="1"/>
  <c r="L4844" i="1" s="1"/>
  <c r="H2745" i="1"/>
  <c r="I2745" i="1" s="1"/>
  <c r="J2745" i="1" s="1"/>
  <c r="K2745" i="1" s="1"/>
  <c r="L2745" i="1" s="1"/>
  <c r="H4958" i="1"/>
  <c r="I4958" i="1" s="1"/>
  <c r="J4958" i="1" s="1"/>
  <c r="K4958" i="1" s="1"/>
  <c r="L4958" i="1" s="1"/>
  <c r="H2042" i="1"/>
  <c r="I2042" i="1" s="1"/>
  <c r="J2042" i="1" s="1"/>
  <c r="K2042" i="1" s="1"/>
  <c r="L2042" i="1" s="1"/>
  <c r="H3385" i="1"/>
  <c r="I3385" i="1" s="1"/>
  <c r="J3385" i="1" s="1"/>
  <c r="K3385" i="1" s="1"/>
  <c r="L3385" i="1" s="1"/>
  <c r="H4369" i="1"/>
  <c r="I4369" i="1" s="1"/>
  <c r="J4369" i="1" s="1"/>
  <c r="K4369" i="1" s="1"/>
  <c r="L4369" i="1" s="1"/>
  <c r="J4875" i="1"/>
  <c r="K4875" i="1" s="1"/>
  <c r="L4875" i="1" s="1"/>
  <c r="H797" i="1"/>
  <c r="I797" i="1" s="1"/>
  <c r="J797" i="1" s="1"/>
  <c r="K797" i="1" s="1"/>
  <c r="L797" i="1" s="1"/>
  <c r="H4998" i="1"/>
  <c r="I4998" i="1" s="1"/>
  <c r="J4998" i="1" s="1"/>
  <c r="K4998" i="1" s="1"/>
  <c r="L4998" i="1" s="1"/>
  <c r="J2909" i="1"/>
  <c r="H3507" i="1"/>
  <c r="I3507" i="1" s="1"/>
  <c r="J3507" i="1" s="1"/>
  <c r="K3507" i="1" s="1"/>
  <c r="L3507" i="1" s="1"/>
  <c r="H4213" i="1"/>
  <c r="I4213" i="1" s="1"/>
  <c r="J4213" i="1" s="1"/>
  <c r="H2392" i="1"/>
  <c r="I2392" i="1" s="1"/>
  <c r="J2392" i="1" s="1"/>
  <c r="J4658" i="1"/>
  <c r="K4658" i="1" s="1"/>
  <c r="L4658" i="1" s="1"/>
  <c r="J5115" i="1"/>
  <c r="K5115" i="1" s="1"/>
  <c r="L5115" i="1" s="1"/>
  <c r="J4245" i="1"/>
  <c r="K4245" i="1" s="1"/>
  <c r="L4245" i="1" s="1"/>
  <c r="H4276" i="1"/>
  <c r="I4276" i="1" s="1"/>
  <c r="J4276" i="1" s="1"/>
  <c r="K4276" i="1" s="1"/>
  <c r="L4276" i="1" s="1"/>
  <c r="H4633" i="1"/>
  <c r="I4633" i="1" s="1"/>
  <c r="J4633" i="1" s="1"/>
  <c r="K4633" i="1" s="1"/>
  <c r="L4633" i="1" s="1"/>
  <c r="H5037" i="1"/>
  <c r="I5037" i="1" s="1"/>
  <c r="J5037" i="1" s="1"/>
  <c r="H2201" i="1"/>
  <c r="I2201" i="1" s="1"/>
  <c r="J2201" i="1" s="1"/>
  <c r="K2201" i="1" s="1"/>
  <c r="L2201" i="1" s="1"/>
  <c r="H2115" i="1"/>
  <c r="I2115" i="1" s="1"/>
  <c r="J2115" i="1" s="1"/>
  <c r="K2115" i="1" s="1"/>
  <c r="L2115" i="1" s="1"/>
  <c r="H3057" i="1"/>
  <c r="I3057" i="1" s="1"/>
  <c r="J3057" i="1" s="1"/>
  <c r="K3057" i="1" s="1"/>
  <c r="L3057" i="1" s="1"/>
  <c r="H4392" i="1"/>
  <c r="I4392" i="1" s="1"/>
  <c r="J4392" i="1" s="1"/>
  <c r="K4392" i="1" s="1"/>
  <c r="L4392" i="1" s="1"/>
  <c r="H3760" i="1"/>
  <c r="I3760" i="1" s="1"/>
  <c r="J3760" i="1" s="1"/>
  <c r="K3760" i="1" s="1"/>
  <c r="L3760" i="1" s="1"/>
  <c r="H319" i="1"/>
  <c r="I319" i="1" s="1"/>
  <c r="J319" i="1" s="1"/>
  <c r="K319" i="1" s="1"/>
  <c r="L319" i="1" s="1"/>
  <c r="J768" i="1"/>
  <c r="J4535" i="1"/>
  <c r="K4535" i="1" s="1"/>
  <c r="L4535" i="1" s="1"/>
  <c r="J626" i="1"/>
  <c r="J4151" i="1"/>
  <c r="J3700" i="1"/>
  <c r="J5296" i="1"/>
  <c r="K5296" i="1" s="1"/>
  <c r="L5296" i="1" s="1"/>
  <c r="J2429" i="1"/>
  <c r="K2429" i="1" s="1"/>
  <c r="L2429" i="1" s="1"/>
  <c r="J4380" i="1"/>
  <c r="K4380" i="1" s="1"/>
  <c r="L4380" i="1" s="1"/>
  <c r="J758" i="1"/>
  <c r="K758" i="1" s="1"/>
  <c r="L758" i="1" s="1"/>
  <c r="J2979" i="1"/>
  <c r="K2979" i="1" s="1"/>
  <c r="L2979" i="1" s="1"/>
  <c r="J5842" i="1"/>
  <c r="K5842" i="1" s="1"/>
  <c r="L5842" i="1" s="1"/>
  <c r="J899" i="1"/>
  <c r="K899" i="1" s="1"/>
  <c r="L899" i="1" s="1"/>
  <c r="J3643" i="1"/>
  <c r="K3643" i="1" s="1"/>
  <c r="L3643" i="1" s="1"/>
  <c r="J5302" i="1"/>
  <c r="K5302" i="1" s="1"/>
  <c r="L5302" i="1" s="1"/>
  <c r="J4105" i="1"/>
  <c r="K4105" i="1" s="1"/>
  <c r="L4105" i="1" s="1"/>
  <c r="J4984" i="1"/>
  <c r="J3302" i="1"/>
  <c r="J2259" i="1"/>
  <c r="K2259" i="1" s="1"/>
  <c r="L2259" i="1" s="1"/>
  <c r="H2656" i="1"/>
  <c r="I2656" i="1" s="1"/>
  <c r="J2656" i="1" s="1"/>
  <c r="H5414" i="1"/>
  <c r="I5414" i="1" s="1"/>
  <c r="J5414" i="1" s="1"/>
  <c r="K5414" i="1" s="1"/>
  <c r="L5414" i="1" s="1"/>
  <c r="H4810" i="1"/>
  <c r="I4810" i="1" s="1"/>
  <c r="J4810" i="1" s="1"/>
  <c r="H5900" i="1"/>
  <c r="I5900" i="1" s="1"/>
  <c r="J5900" i="1" s="1"/>
  <c r="K5900" i="1" s="1"/>
  <c r="L5900" i="1" s="1"/>
  <c r="H1318" i="1"/>
  <c r="I1318" i="1" s="1"/>
  <c r="J1318" i="1" s="1"/>
  <c r="K1318" i="1" s="1"/>
  <c r="L1318" i="1" s="1"/>
  <c r="H1052" i="1"/>
  <c r="I1052" i="1" s="1"/>
  <c r="H5799" i="1"/>
  <c r="I5799" i="1" s="1"/>
  <c r="J5799" i="1" s="1"/>
  <c r="K5799" i="1" s="1"/>
  <c r="L5799" i="1" s="1"/>
  <c r="H3169" i="1"/>
  <c r="I3169" i="1" s="1"/>
  <c r="J3169" i="1" s="1"/>
  <c r="K3169" i="1" s="1"/>
  <c r="L3169" i="1" s="1"/>
  <c r="H2261" i="1"/>
  <c r="I2261" i="1" s="1"/>
  <c r="J2261" i="1" s="1"/>
  <c r="K2261" i="1" s="1"/>
  <c r="L2261" i="1" s="1"/>
  <c r="H2136" i="1"/>
  <c r="I2136" i="1" s="1"/>
  <c r="J2136" i="1" s="1"/>
  <c r="K2136" i="1" s="1"/>
  <c r="L2136" i="1" s="1"/>
  <c r="H2373" i="1"/>
  <c r="I2373" i="1" s="1"/>
  <c r="J2373" i="1" s="1"/>
  <c r="K2373" i="1" s="1"/>
  <c r="L2373" i="1" s="1"/>
  <c r="H1839" i="1"/>
  <c r="I1839" i="1" s="1"/>
  <c r="J1839" i="1" s="1"/>
  <c r="K1839" i="1" s="1"/>
  <c r="L1839" i="1" s="1"/>
  <c r="H4882" i="1"/>
  <c r="I4882" i="1" s="1"/>
  <c r="J4882" i="1" s="1"/>
  <c r="K4882" i="1" s="1"/>
  <c r="L4882" i="1" s="1"/>
  <c r="H1788" i="1"/>
  <c r="I1788" i="1" s="1"/>
  <c r="J1788" i="1" s="1"/>
  <c r="K1788" i="1" s="1"/>
  <c r="L1788" i="1" s="1"/>
  <c r="H1554" i="1"/>
  <c r="I1554" i="1" s="1"/>
  <c r="J1554" i="1" s="1"/>
  <c r="H5301" i="1"/>
  <c r="I5301" i="1" s="1"/>
  <c r="J5301" i="1" s="1"/>
  <c r="K5301" i="1" s="1"/>
  <c r="L5301" i="1" s="1"/>
  <c r="H3971" i="1"/>
  <c r="I3971" i="1" s="1"/>
  <c r="J3971" i="1" s="1"/>
  <c r="H437" i="1"/>
  <c r="I437" i="1" s="1"/>
  <c r="J437" i="1" s="1"/>
  <c r="K437" i="1" s="1"/>
  <c r="L437" i="1" s="1"/>
  <c r="J4293" i="1"/>
  <c r="H4367" i="1"/>
  <c r="I4367" i="1" s="1"/>
  <c r="J4367" i="1" s="1"/>
  <c r="K4367" i="1" s="1"/>
  <c r="L4367" i="1" s="1"/>
  <c r="H4064" i="1"/>
  <c r="I4064" i="1" s="1"/>
  <c r="J4064" i="1" s="1"/>
  <c r="H5924" i="1"/>
  <c r="I5924" i="1" s="1"/>
  <c r="J5924" i="1" s="1"/>
  <c r="K5924" i="1" s="1"/>
  <c r="L5924" i="1" s="1"/>
  <c r="H5463" i="1"/>
  <c r="I5463" i="1" s="1"/>
  <c r="J5463" i="1" s="1"/>
  <c r="K5463" i="1" s="1"/>
  <c r="L5463" i="1" s="1"/>
  <c r="J3273" i="1"/>
  <c r="K3273" i="1" s="1"/>
  <c r="L3273" i="1" s="1"/>
  <c r="H5627" i="1"/>
  <c r="I5627" i="1" s="1"/>
  <c r="J5627" i="1" s="1"/>
  <c r="K5627" i="1" s="1"/>
  <c r="L5627" i="1" s="1"/>
  <c r="H4789" i="1"/>
  <c r="I4789" i="1" s="1"/>
  <c r="J4789" i="1" s="1"/>
  <c r="K4789" i="1" s="1"/>
  <c r="L4789" i="1" s="1"/>
  <c r="H5881" i="1"/>
  <c r="I5881" i="1" s="1"/>
  <c r="J5881" i="1" s="1"/>
  <c r="K5881" i="1" s="1"/>
  <c r="L5881" i="1" s="1"/>
  <c r="H1657" i="1"/>
  <c r="I1657" i="1" s="1"/>
  <c r="J1657" i="1" s="1"/>
  <c r="K1657" i="1" s="1"/>
  <c r="L1657" i="1" s="1"/>
  <c r="J1664" i="1"/>
  <c r="K1664" i="1" s="1"/>
  <c r="L1664" i="1" s="1"/>
  <c r="J3976" i="1"/>
  <c r="J1164" i="1"/>
  <c r="J3929" i="1"/>
  <c r="K3929" i="1" s="1"/>
  <c r="L3929" i="1" s="1"/>
  <c r="H344" i="1"/>
  <c r="I344" i="1" s="1"/>
  <c r="J344" i="1" s="1"/>
  <c r="K344" i="1" s="1"/>
  <c r="L344" i="1" s="1"/>
  <c r="H1456" i="1"/>
  <c r="I1456" i="1" s="1"/>
  <c r="J1456" i="1" s="1"/>
  <c r="H4057" i="1"/>
  <c r="I4057" i="1" s="1"/>
  <c r="J4057" i="1" s="1"/>
  <c r="J3612" i="1"/>
  <c r="K3612" i="1" s="1"/>
  <c r="L3612" i="1" s="1"/>
  <c r="H4462" i="1"/>
  <c r="I4462" i="1" s="1"/>
  <c r="J4462" i="1" s="1"/>
  <c r="K4462" i="1" s="1"/>
  <c r="L4462" i="1" s="1"/>
  <c r="J1271" i="1"/>
  <c r="J4125" i="1"/>
  <c r="K4125" i="1" s="1"/>
  <c r="L4125" i="1" s="1"/>
  <c r="J3960" i="1"/>
  <c r="K3960" i="1" s="1"/>
  <c r="L3960" i="1" s="1"/>
  <c r="J5047" i="1"/>
  <c r="K5047" i="1" s="1"/>
  <c r="L5047" i="1" s="1"/>
  <c r="J3707" i="1"/>
  <c r="K3707" i="1" s="1"/>
  <c r="L3707" i="1" s="1"/>
  <c r="J4622" i="1"/>
  <c r="K4622" i="1" s="1"/>
  <c r="L4622" i="1" s="1"/>
  <c r="J1741" i="1"/>
  <c r="K1741" i="1" s="1"/>
  <c r="L1741" i="1" s="1"/>
  <c r="J1083" i="1"/>
  <c r="K1083" i="1" s="1"/>
  <c r="L1083" i="1" s="1"/>
  <c r="J2762" i="1"/>
  <c r="J137" i="1"/>
  <c r="J3404" i="1"/>
  <c r="K3404" i="1" s="1"/>
  <c r="L3404" i="1" s="1"/>
  <c r="J681" i="1"/>
  <c r="J858" i="1"/>
  <c r="J5559" i="1"/>
  <c r="J4360" i="1"/>
  <c r="K4360" i="1" s="1"/>
  <c r="L4360" i="1" s="1"/>
  <c r="J316" i="1"/>
  <c r="J1395" i="1"/>
  <c r="K1395" i="1" s="1"/>
  <c r="L1395" i="1" s="1"/>
  <c r="J1361" i="1"/>
  <c r="K1361" i="1" s="1"/>
  <c r="L1361" i="1" s="1"/>
  <c r="J3642" i="1"/>
  <c r="K3642" i="1" s="1"/>
  <c r="L3642" i="1" s="1"/>
  <c r="J266" i="1"/>
  <c r="K266" i="1" s="1"/>
  <c r="L266" i="1" s="1"/>
  <c r="J3975" i="1"/>
  <c r="K3975" i="1" s="1"/>
  <c r="L3975" i="1" s="1"/>
  <c r="H2521" i="1"/>
  <c r="I2521" i="1" s="1"/>
  <c r="J2521" i="1" s="1"/>
  <c r="K2521" i="1" s="1"/>
  <c r="L2521" i="1" s="1"/>
  <c r="H5696" i="1"/>
  <c r="I5696" i="1" s="1"/>
  <c r="J5696" i="1" s="1"/>
  <c r="K5696" i="1" s="1"/>
  <c r="L5696" i="1" s="1"/>
  <c r="H2211" i="1"/>
  <c r="I2211" i="1" s="1"/>
  <c r="J2211" i="1" s="1"/>
  <c r="K2211" i="1" s="1"/>
  <c r="L2211" i="1" s="1"/>
  <c r="H1722" i="1"/>
  <c r="I1722" i="1" s="1"/>
  <c r="J1722" i="1" s="1"/>
  <c r="K1722" i="1" s="1"/>
  <c r="L1722" i="1" s="1"/>
  <c r="H4908" i="1"/>
  <c r="I4908" i="1" s="1"/>
  <c r="J4908" i="1" s="1"/>
  <c r="H1865" i="1"/>
  <c r="I1865" i="1" s="1"/>
  <c r="J1865" i="1" s="1"/>
  <c r="K1865" i="1" s="1"/>
  <c r="L1865" i="1" s="1"/>
  <c r="J4456" i="1"/>
  <c r="J2265" i="1"/>
  <c r="J1746" i="1"/>
  <c r="H5638" i="1"/>
  <c r="I5638" i="1" s="1"/>
  <c r="J5638" i="1" s="1"/>
  <c r="K5638" i="1" s="1"/>
  <c r="L5638" i="1" s="1"/>
  <c r="J3489" i="1"/>
  <c r="K3489" i="1" s="1"/>
  <c r="L3489" i="1" s="1"/>
  <c r="H5751" i="1"/>
  <c r="I5751" i="1" s="1"/>
  <c r="J5751" i="1" s="1"/>
  <c r="K5751" i="1" s="1"/>
  <c r="L5751" i="1" s="1"/>
  <c r="J5084" i="1"/>
  <c r="K5084" i="1" s="1"/>
  <c r="L5084" i="1" s="1"/>
  <c r="H5807" i="1"/>
  <c r="I5807" i="1" s="1"/>
  <c r="J5807" i="1" s="1"/>
  <c r="K5807" i="1" s="1"/>
  <c r="L5807" i="1" s="1"/>
  <c r="J5766" i="1"/>
  <c r="K5766" i="1" s="1"/>
  <c r="L5766" i="1" s="1"/>
  <c r="H4165" i="1"/>
  <c r="I4165" i="1" s="1"/>
  <c r="J4165" i="1" s="1"/>
  <c r="K4165" i="1" s="1"/>
  <c r="L4165" i="1" s="1"/>
  <c r="H2771" i="1"/>
  <c r="I2771" i="1" s="1"/>
  <c r="J2771" i="1" s="1"/>
  <c r="K2771" i="1" s="1"/>
  <c r="L2771" i="1" s="1"/>
  <c r="H390" i="1"/>
  <c r="I390" i="1" s="1"/>
  <c r="J390" i="1" s="1"/>
  <c r="K390" i="1" s="1"/>
  <c r="L390" i="1" s="1"/>
  <c r="H5477" i="1"/>
  <c r="I5477" i="1" s="1"/>
  <c r="J5477" i="1" s="1"/>
  <c r="K5477" i="1" s="1"/>
  <c r="L5477" i="1" s="1"/>
  <c r="J3618" i="1"/>
  <c r="J1161" i="1"/>
  <c r="J3078" i="1"/>
  <c r="K3078" i="1" s="1"/>
  <c r="L3078" i="1" s="1"/>
  <c r="J2219" i="1"/>
  <c r="J595" i="1"/>
  <c r="K595" i="1" s="1"/>
  <c r="L595" i="1" s="1"/>
  <c r="H4144" i="1"/>
  <c r="I4144" i="1" s="1"/>
  <c r="J4144" i="1" s="1"/>
  <c r="H2980" i="1"/>
  <c r="I2980" i="1" s="1"/>
  <c r="J2980" i="1" s="1"/>
  <c r="K2980" i="1" s="1"/>
  <c r="L2980" i="1" s="1"/>
  <c r="J2690" i="1"/>
  <c r="H4126" i="1"/>
  <c r="I4126" i="1" s="1"/>
  <c r="J4126" i="1" s="1"/>
  <c r="K4126" i="1" s="1"/>
  <c r="L4126" i="1" s="1"/>
  <c r="H3234" i="1"/>
  <c r="I3234" i="1" s="1"/>
  <c r="J3234" i="1" s="1"/>
  <c r="K3234" i="1" s="1"/>
  <c r="L3234" i="1" s="1"/>
  <c r="H3593" i="1"/>
  <c r="I3593" i="1" s="1"/>
  <c r="J3593" i="1" s="1"/>
  <c r="K3593" i="1" s="1"/>
  <c r="L3593" i="1" s="1"/>
  <c r="J3417" i="1"/>
  <c r="K3417" i="1" s="1"/>
  <c r="L3417" i="1" s="1"/>
  <c r="H2098" i="1"/>
  <c r="I2098" i="1" s="1"/>
  <c r="J2098" i="1" s="1"/>
  <c r="K2098" i="1" s="1"/>
  <c r="L2098" i="1" s="1"/>
  <c r="J1783" i="1"/>
  <c r="K1783" i="1" s="1"/>
  <c r="L1783" i="1" s="1"/>
  <c r="H4704" i="1"/>
  <c r="I4704" i="1" s="1"/>
  <c r="J4704" i="1" s="1"/>
  <c r="K4704" i="1" s="1"/>
  <c r="L4704" i="1" s="1"/>
  <c r="H2218" i="1"/>
  <c r="I2218" i="1" s="1"/>
  <c r="J2218" i="1" s="1"/>
  <c r="K2218" i="1" s="1"/>
  <c r="L2218" i="1" s="1"/>
  <c r="J3933" i="1"/>
  <c r="K3933" i="1" s="1"/>
  <c r="L3933" i="1" s="1"/>
  <c r="J3470" i="1"/>
  <c r="J3694" i="1"/>
  <c r="K3694" i="1" s="1"/>
  <c r="L3694" i="1" s="1"/>
  <c r="H5304" i="1"/>
  <c r="I5304" i="1" s="1"/>
  <c r="J5304" i="1" s="1"/>
  <c r="H4309" i="1"/>
  <c r="I4309" i="1" s="1"/>
  <c r="J4309" i="1" s="1"/>
  <c r="H176" i="1"/>
  <c r="I176" i="1" s="1"/>
  <c r="J176" i="1" s="1"/>
  <c r="H4813" i="1"/>
  <c r="I4813" i="1" s="1"/>
  <c r="J4813" i="1" s="1"/>
  <c r="K4813" i="1" s="1"/>
  <c r="L4813" i="1" s="1"/>
  <c r="H4358" i="1"/>
  <c r="I4358" i="1" s="1"/>
  <c r="J4358" i="1" s="1"/>
  <c r="K4358" i="1" s="1"/>
  <c r="L4358" i="1" s="1"/>
  <c r="H559" i="1"/>
  <c r="I559" i="1" s="1"/>
  <c r="J559" i="1" s="1"/>
  <c r="K559" i="1" s="1"/>
  <c r="L559" i="1" s="1"/>
  <c r="H5417" i="1"/>
  <c r="I5417" i="1" s="1"/>
  <c r="J5417" i="1" s="1"/>
  <c r="K5417" i="1" s="1"/>
  <c r="L5417" i="1" s="1"/>
  <c r="H5501" i="1"/>
  <c r="I5501" i="1" s="1"/>
  <c r="J5501" i="1" s="1"/>
  <c r="K5501" i="1" s="1"/>
  <c r="L5501" i="1" s="1"/>
  <c r="H5526" i="1"/>
  <c r="I5526" i="1" s="1"/>
  <c r="J5526" i="1" s="1"/>
  <c r="K5526" i="1" s="1"/>
  <c r="L5526" i="1" s="1"/>
  <c r="H1437" i="1"/>
  <c r="I1437" i="1" s="1"/>
  <c r="J1437" i="1" s="1"/>
  <c r="K1437" i="1" s="1"/>
  <c r="L1437" i="1" s="1"/>
  <c r="H138" i="1"/>
  <c r="I138" i="1" s="1"/>
  <c r="J138" i="1" s="1"/>
  <c r="K138" i="1" s="1"/>
  <c r="L138" i="1" s="1"/>
  <c r="H4611" i="1"/>
  <c r="I4611" i="1" s="1"/>
  <c r="J4611" i="1" s="1"/>
  <c r="K4611" i="1" s="1"/>
  <c r="L4611" i="1" s="1"/>
  <c r="H4971" i="1"/>
  <c r="I4971" i="1" s="1"/>
  <c r="J4971" i="1" s="1"/>
  <c r="K4971" i="1" s="1"/>
  <c r="L4971" i="1" s="1"/>
  <c r="H4759" i="1"/>
  <c r="I4759" i="1" s="1"/>
  <c r="J4759" i="1" s="1"/>
  <c r="K4759" i="1" s="1"/>
  <c r="L4759" i="1" s="1"/>
  <c r="H1806" i="1"/>
  <c r="I1806" i="1" s="1"/>
  <c r="J1806" i="1" s="1"/>
  <c r="K1806" i="1" s="1"/>
  <c r="L1806" i="1" s="1"/>
  <c r="H3812" i="1"/>
  <c r="I3812" i="1" s="1"/>
  <c r="J3812" i="1" s="1"/>
  <c r="K3812" i="1" s="1"/>
  <c r="L3812" i="1" s="1"/>
  <c r="F8" i="8"/>
  <c r="G8" i="8" s="1"/>
  <c r="H4516" i="1"/>
  <c r="I4516" i="1" s="1"/>
  <c r="J4516" i="1" s="1"/>
  <c r="K4516" i="1" s="1"/>
  <c r="L4516" i="1" s="1"/>
  <c r="H647" i="1"/>
  <c r="I647" i="1" s="1"/>
  <c r="J647" i="1" s="1"/>
  <c r="H3662" i="1"/>
  <c r="I3662" i="1" s="1"/>
  <c r="J3662" i="1" s="1"/>
  <c r="K3662" i="1" s="1"/>
  <c r="L3662" i="1" s="1"/>
  <c r="H5929" i="1"/>
  <c r="I5929" i="1" s="1"/>
  <c r="J5929" i="1" s="1"/>
  <c r="K5929" i="1" s="1"/>
  <c r="L5929" i="1" s="1"/>
  <c r="H4009" i="1"/>
  <c r="I4009" i="1" s="1"/>
  <c r="J4009" i="1" s="1"/>
  <c r="K4009" i="1" s="1"/>
  <c r="L4009" i="1" s="1"/>
  <c r="H2270" i="1"/>
  <c r="I2270" i="1" s="1"/>
  <c r="J2270" i="1" s="1"/>
  <c r="K2270" i="1" s="1"/>
  <c r="L2270" i="1" s="1"/>
  <c r="H1244" i="1"/>
  <c r="I1244" i="1" s="1"/>
  <c r="J1244" i="1" s="1"/>
  <c r="K1244" i="1" s="1"/>
  <c r="L1244" i="1" s="1"/>
  <c r="H500" i="1"/>
  <c r="I500" i="1" s="1"/>
  <c r="J500" i="1" s="1"/>
  <c r="K500" i="1" s="1"/>
  <c r="L500" i="1" s="1"/>
  <c r="H4567" i="1"/>
  <c r="I4567" i="1" s="1"/>
  <c r="J4567" i="1" s="1"/>
  <c r="K4567" i="1" s="1"/>
  <c r="L4567" i="1" s="1"/>
  <c r="H2722" i="1"/>
  <c r="I2722" i="1" s="1"/>
  <c r="J2722" i="1" s="1"/>
  <c r="K2722" i="1" s="1"/>
  <c r="L2722" i="1" s="1"/>
  <c r="H4291" i="1"/>
  <c r="I4291" i="1" s="1"/>
  <c r="J4291" i="1" s="1"/>
  <c r="K4291" i="1" s="1"/>
  <c r="L4291" i="1" s="1"/>
  <c r="H2155" i="1"/>
  <c r="I2155" i="1" s="1"/>
  <c r="J2155" i="1" s="1"/>
  <c r="K2155" i="1" s="1"/>
  <c r="L2155" i="1" s="1"/>
  <c r="H3581" i="1"/>
  <c r="I3581" i="1" s="1"/>
  <c r="J3581" i="1" s="1"/>
  <c r="K3581" i="1" s="1"/>
  <c r="L3581" i="1" s="1"/>
  <c r="H4904" i="1"/>
  <c r="I4904" i="1" s="1"/>
  <c r="J4904" i="1" s="1"/>
  <c r="K4904" i="1" s="1"/>
  <c r="L4904" i="1" s="1"/>
  <c r="H811" i="1"/>
  <c r="I811" i="1" s="1"/>
  <c r="J811" i="1" s="1"/>
  <c r="K811" i="1" s="1"/>
  <c r="L811" i="1" s="1"/>
  <c r="H4927" i="1"/>
  <c r="I4927" i="1" s="1"/>
  <c r="J4927" i="1" s="1"/>
  <c r="H3221" i="1"/>
  <c r="I3221" i="1" s="1"/>
  <c r="J3221" i="1" s="1"/>
  <c r="H755" i="1"/>
  <c r="I755" i="1" s="1"/>
  <c r="J755" i="1" s="1"/>
  <c r="H2082" i="1"/>
  <c r="I2082" i="1" s="1"/>
  <c r="J2082" i="1" s="1"/>
  <c r="K2082" i="1" s="1"/>
  <c r="L2082" i="1" s="1"/>
  <c r="H659" i="1"/>
  <c r="I659" i="1" s="1"/>
  <c r="J659" i="1" s="1"/>
  <c r="H3505" i="1"/>
  <c r="I3505" i="1" s="1"/>
  <c r="J3505" i="1" s="1"/>
  <c r="K3505" i="1" s="1"/>
  <c r="L3505" i="1" s="1"/>
  <c r="H618" i="1"/>
  <c r="I618" i="1" s="1"/>
  <c r="J618" i="1" s="1"/>
  <c r="K618" i="1" s="1"/>
  <c r="L618" i="1" s="1"/>
  <c r="H3883" i="1"/>
  <c r="I3883" i="1" s="1"/>
  <c r="J3883" i="1" s="1"/>
  <c r="K3883" i="1" s="1"/>
  <c r="L3883" i="1" s="1"/>
  <c r="H5364" i="1"/>
  <c r="I5364" i="1" s="1"/>
  <c r="J5364" i="1" s="1"/>
  <c r="K5364" i="1" s="1"/>
  <c r="L5364" i="1" s="1"/>
  <c r="H2250" i="1"/>
  <c r="I2250" i="1" s="1"/>
  <c r="J2250" i="1" s="1"/>
  <c r="K2250" i="1" s="1"/>
  <c r="L2250" i="1" s="1"/>
  <c r="H2283" i="1"/>
  <c r="I2283" i="1" s="1"/>
  <c r="J2283" i="1" s="1"/>
  <c r="K2283" i="1" s="1"/>
  <c r="L2283" i="1" s="1"/>
  <c r="H2187" i="1"/>
  <c r="I2187" i="1" s="1"/>
  <c r="J2187" i="1" s="1"/>
  <c r="K2187" i="1" s="1"/>
  <c r="L2187" i="1" s="1"/>
  <c r="H2559" i="1"/>
  <c r="I2559" i="1" s="1"/>
  <c r="J2559" i="1" s="1"/>
  <c r="K2559" i="1" s="1"/>
  <c r="L2559" i="1" s="1"/>
  <c r="H5798" i="1"/>
  <c r="I5798" i="1" s="1"/>
  <c r="J5798" i="1" s="1"/>
  <c r="K5798" i="1" s="1"/>
  <c r="L5798" i="1" s="1"/>
  <c r="H269" i="1"/>
  <c r="I269" i="1" s="1"/>
  <c r="J269" i="1" s="1"/>
  <c r="K269" i="1" s="1"/>
  <c r="L269" i="1" s="1"/>
  <c r="H1775" i="1"/>
  <c r="I1775" i="1" s="1"/>
  <c r="J1775" i="1" s="1"/>
  <c r="K1775" i="1" s="1"/>
  <c r="L1775" i="1" s="1"/>
  <c r="H2937" i="1"/>
  <c r="I2937" i="1" s="1"/>
  <c r="J2937" i="1" s="1"/>
  <c r="H4377" i="1"/>
  <c r="I4377" i="1" s="1"/>
  <c r="J4377" i="1" s="1"/>
  <c r="K4377" i="1" s="1"/>
  <c r="L4377" i="1" s="1"/>
  <c r="H614" i="1"/>
  <c r="I614" i="1" s="1"/>
  <c r="J614" i="1" s="1"/>
  <c r="H4295" i="1"/>
  <c r="I4295" i="1" s="1"/>
  <c r="J4295" i="1" s="1"/>
  <c r="K4295" i="1" s="1"/>
  <c r="L4295" i="1" s="1"/>
  <c r="H128" i="1"/>
  <c r="I128" i="1" s="1"/>
  <c r="J128" i="1" s="1"/>
  <c r="K128" i="1" s="1"/>
  <c r="L128" i="1" s="1"/>
  <c r="H5126" i="1"/>
  <c r="I5126" i="1" s="1"/>
  <c r="J5126" i="1" s="1"/>
  <c r="K5126" i="1" s="1"/>
  <c r="L5126" i="1" s="1"/>
  <c r="H4429" i="1"/>
  <c r="I4429" i="1" s="1"/>
  <c r="J4429" i="1" s="1"/>
  <c r="K4429" i="1" s="1"/>
  <c r="L4429" i="1" s="1"/>
  <c r="H4058" i="1"/>
  <c r="I4058" i="1" s="1"/>
  <c r="J4058" i="1" s="1"/>
  <c r="K4058" i="1" s="1"/>
  <c r="L4058" i="1" s="1"/>
  <c r="H4555" i="1"/>
  <c r="I4555" i="1" s="1"/>
  <c r="J4555" i="1" s="1"/>
  <c r="K4555" i="1" s="1"/>
  <c r="L4555" i="1" s="1"/>
  <c r="H1026" i="1"/>
  <c r="I1026" i="1" s="1"/>
  <c r="J1026" i="1" s="1"/>
  <c r="K1026" i="1" s="1"/>
  <c r="L1026" i="1" s="1"/>
  <c r="H1213" i="1"/>
  <c r="I1213" i="1" s="1"/>
  <c r="J1213" i="1" s="1"/>
  <c r="K1213" i="1" s="1"/>
  <c r="L1213" i="1" s="1"/>
  <c r="H5235" i="1"/>
  <c r="I5235" i="1" s="1"/>
  <c r="J5235" i="1" s="1"/>
  <c r="K5235" i="1" s="1"/>
  <c r="L5235" i="1" s="1"/>
  <c r="H3145" i="1"/>
  <c r="I3145" i="1" s="1"/>
  <c r="J3145" i="1" s="1"/>
  <c r="K3145" i="1" s="1"/>
  <c r="L3145" i="1" s="1"/>
  <c r="H5257" i="1"/>
  <c r="I5257" i="1" s="1"/>
  <c r="J5257" i="1" s="1"/>
  <c r="K5257" i="1" s="1"/>
  <c r="L5257" i="1" s="1"/>
  <c r="H3264" i="1"/>
  <c r="I3264" i="1" s="1"/>
  <c r="J3264" i="1" s="1"/>
  <c r="K3264" i="1" s="1"/>
  <c r="L3264" i="1" s="1"/>
  <c r="H736" i="1"/>
  <c r="I736" i="1" s="1"/>
  <c r="J736" i="1" s="1"/>
  <c r="K736" i="1" s="1"/>
  <c r="L736" i="1" s="1"/>
  <c r="H1960" i="1"/>
  <c r="I1960" i="1" s="1"/>
  <c r="J1960" i="1" s="1"/>
  <c r="H5480" i="1"/>
  <c r="I5480" i="1" s="1"/>
  <c r="J5480" i="1" s="1"/>
  <c r="H1365" i="1"/>
  <c r="I1365" i="1" s="1"/>
  <c r="J1365" i="1" s="1"/>
  <c r="H1985" i="1"/>
  <c r="I1985" i="1" s="1"/>
  <c r="J1985" i="1" s="1"/>
  <c r="K1985" i="1" s="1"/>
  <c r="L1985" i="1" s="1"/>
  <c r="H5232" i="1"/>
  <c r="I5232" i="1" s="1"/>
  <c r="J5232" i="1" s="1"/>
  <c r="K5232" i="1" s="1"/>
  <c r="L5232" i="1" s="1"/>
  <c r="H5745" i="1"/>
  <c r="I5745" i="1" s="1"/>
  <c r="J5745" i="1" s="1"/>
  <c r="K5745" i="1" s="1"/>
  <c r="L5745" i="1" s="1"/>
  <c r="H915" i="1"/>
  <c r="I915" i="1" s="1"/>
  <c r="J915" i="1" s="1"/>
  <c r="K915" i="1" s="1"/>
  <c r="L915" i="1" s="1"/>
  <c r="H2665" i="1"/>
  <c r="I2665" i="1" s="1"/>
  <c r="J2665" i="1" s="1"/>
  <c r="K2665" i="1" s="1"/>
  <c r="L2665" i="1" s="1"/>
  <c r="H2513" i="1"/>
  <c r="I2513" i="1" s="1"/>
  <c r="J2513" i="1" s="1"/>
  <c r="K2513" i="1" s="1"/>
  <c r="L2513" i="1" s="1"/>
  <c r="H2409" i="1"/>
  <c r="I2409" i="1" s="1"/>
  <c r="J2409" i="1" s="1"/>
  <c r="K2409" i="1" s="1"/>
  <c r="L2409" i="1" s="1"/>
  <c r="H3601" i="1"/>
  <c r="I3601" i="1" s="1"/>
  <c r="J3601" i="1" s="1"/>
  <c r="K3601" i="1" s="1"/>
  <c r="L3601" i="1" s="1"/>
  <c r="H4663" i="1"/>
  <c r="I4663" i="1" s="1"/>
  <c r="J4663" i="1" s="1"/>
  <c r="K4663" i="1" s="1"/>
  <c r="L4663" i="1" s="1"/>
  <c r="H5647" i="1"/>
  <c r="I5647" i="1" s="1"/>
  <c r="J5647" i="1" s="1"/>
  <c r="K5647" i="1" s="1"/>
  <c r="L5647" i="1" s="1"/>
  <c r="H836" i="1"/>
  <c r="I836" i="1" s="1"/>
  <c r="J836" i="1" s="1"/>
  <c r="K836" i="1" s="1"/>
  <c r="L836" i="1" s="1"/>
  <c r="H4936" i="1"/>
  <c r="I4936" i="1" s="1"/>
  <c r="J4936" i="1" s="1"/>
  <c r="K4936" i="1" s="1"/>
  <c r="L4936" i="1" s="1"/>
  <c r="H5897" i="1"/>
  <c r="I5897" i="1" s="1"/>
  <c r="J5897" i="1" s="1"/>
  <c r="K5897" i="1" s="1"/>
  <c r="L5897" i="1" s="1"/>
  <c r="H1138" i="1"/>
  <c r="I1138" i="1" s="1"/>
  <c r="J1138" i="1" s="1"/>
  <c r="H2706" i="1"/>
  <c r="I2706" i="1" s="1"/>
  <c r="J2706" i="1" s="1"/>
  <c r="H5715" i="1"/>
  <c r="I5715" i="1" s="1"/>
  <c r="J5715" i="1" s="1"/>
  <c r="K5715" i="1" s="1"/>
  <c r="L5715" i="1" s="1"/>
  <c r="H3239" i="1"/>
  <c r="I3239" i="1" s="1"/>
  <c r="J3239" i="1" s="1"/>
  <c r="K3239" i="1" s="1"/>
  <c r="L3239" i="1" s="1"/>
  <c r="H318" i="1"/>
  <c r="I318" i="1" s="1"/>
  <c r="J318" i="1" s="1"/>
  <c r="H1665" i="1"/>
  <c r="I1665" i="1" s="1"/>
  <c r="J1665" i="1" s="1"/>
  <c r="K1665" i="1" s="1"/>
  <c r="L1665" i="1" s="1"/>
  <c r="H1309" i="1"/>
  <c r="I1309" i="1" s="1"/>
  <c r="J1309" i="1" s="1"/>
  <c r="K1309" i="1" s="1"/>
  <c r="L1309" i="1" s="1"/>
  <c r="H2715" i="1"/>
  <c r="I2715" i="1" s="1"/>
  <c r="J2715" i="1" s="1"/>
  <c r="K2715" i="1" s="1"/>
  <c r="L2715" i="1" s="1"/>
  <c r="H5339" i="1"/>
  <c r="I5339" i="1" s="1"/>
  <c r="J5339" i="1" s="1"/>
  <c r="K5339" i="1" s="1"/>
  <c r="L5339" i="1" s="1"/>
  <c r="H4629" i="1"/>
  <c r="I4629" i="1" s="1"/>
  <c r="J4629" i="1" s="1"/>
  <c r="K4629" i="1" s="1"/>
  <c r="L4629" i="1" s="1"/>
  <c r="H452" i="1"/>
  <c r="I452" i="1" s="1"/>
  <c r="J452" i="1" s="1"/>
  <c r="K452" i="1" s="1"/>
  <c r="L452" i="1" s="1"/>
  <c r="H4447" i="1"/>
  <c r="I4447" i="1" s="1"/>
  <c r="J4447" i="1" s="1"/>
  <c r="K4447" i="1" s="1"/>
  <c r="L4447" i="1" s="1"/>
  <c r="H1603" i="1"/>
  <c r="I1603" i="1" s="1"/>
  <c r="J1603" i="1" s="1"/>
  <c r="K1603" i="1" s="1"/>
  <c r="L1603" i="1" s="1"/>
  <c r="H3693" i="1"/>
  <c r="I3693" i="1" s="1"/>
  <c r="J3693" i="1" s="1"/>
  <c r="K3693" i="1" s="1"/>
  <c r="L3693" i="1" s="1"/>
  <c r="H5094" i="1"/>
  <c r="I5094" i="1" s="1"/>
  <c r="J5094" i="1" s="1"/>
  <c r="K5094" i="1" s="1"/>
  <c r="L5094" i="1" s="1"/>
  <c r="H3049" i="1"/>
  <c r="I3049" i="1" s="1"/>
  <c r="J3049" i="1" s="1"/>
  <c r="K3049" i="1" s="1"/>
  <c r="L3049" i="1" s="1"/>
  <c r="H4359" i="1"/>
  <c r="I4359" i="1" s="1"/>
  <c r="J4359" i="1" s="1"/>
  <c r="H4554" i="1"/>
  <c r="I4554" i="1" s="1"/>
  <c r="J4554" i="1" s="1"/>
  <c r="H3611" i="1"/>
  <c r="I3611" i="1" s="1"/>
  <c r="J3611" i="1" s="1"/>
  <c r="H2775" i="1"/>
  <c r="I2775" i="1" s="1"/>
  <c r="J2775" i="1" s="1"/>
  <c r="K2775" i="1" s="1"/>
  <c r="L2775" i="1" s="1"/>
  <c r="H4385" i="1"/>
  <c r="I4385" i="1" s="1"/>
  <c r="J4385" i="1" s="1"/>
  <c r="H5054" i="1"/>
  <c r="I5054" i="1" s="1"/>
  <c r="J5054" i="1" s="1"/>
  <c r="K5054" i="1" s="1"/>
  <c r="L5054" i="1" s="1"/>
  <c r="H2894" i="1"/>
  <c r="I2894" i="1" s="1"/>
  <c r="J2894" i="1" s="1"/>
  <c r="K2894" i="1" s="1"/>
  <c r="L2894" i="1" s="1"/>
  <c r="H5767" i="1"/>
  <c r="I5767" i="1" s="1"/>
  <c r="J5767" i="1" s="1"/>
  <c r="K5767" i="1" s="1"/>
  <c r="L5767" i="1" s="1"/>
  <c r="H3919" i="1"/>
  <c r="I3919" i="1" s="1"/>
  <c r="J3919" i="1" s="1"/>
  <c r="K3919" i="1" s="1"/>
  <c r="L3919" i="1" s="1"/>
  <c r="H1480" i="1"/>
  <c r="I1480" i="1" s="1"/>
  <c r="J1480" i="1" s="1"/>
  <c r="K1480" i="1" s="1"/>
  <c r="L1480" i="1" s="1"/>
  <c r="H5741" i="1"/>
  <c r="I5741" i="1" s="1"/>
  <c r="J5741" i="1" s="1"/>
  <c r="K5741" i="1" s="1"/>
  <c r="L5741" i="1" s="1"/>
  <c r="H2007" i="1"/>
  <c r="I2007" i="1" s="1"/>
  <c r="J2007" i="1" s="1"/>
  <c r="K2007" i="1" s="1"/>
  <c r="L2007" i="1" s="1"/>
  <c r="H2181" i="1"/>
  <c r="I2181" i="1" s="1"/>
  <c r="J2181" i="1" s="1"/>
  <c r="K2181" i="1" s="1"/>
  <c r="L2181" i="1" s="1"/>
  <c r="H3002" i="1"/>
  <c r="I3002" i="1" s="1"/>
  <c r="J3002" i="1" s="1"/>
  <c r="K3002" i="1" s="1"/>
  <c r="L3002" i="1" s="1"/>
  <c r="H5848" i="1"/>
  <c r="I5848" i="1" s="1"/>
  <c r="J5848" i="1" s="1"/>
  <c r="K5848" i="1" s="1"/>
  <c r="L5848" i="1" s="1"/>
  <c r="H1201" i="1"/>
  <c r="I1201" i="1" s="1"/>
  <c r="J1201" i="1" s="1"/>
  <c r="K1201" i="1" s="1"/>
  <c r="L1201" i="1" s="1"/>
  <c r="H104" i="1"/>
  <c r="I104" i="1" s="1"/>
  <c r="H1139" i="1"/>
  <c r="I1139" i="1" s="1"/>
  <c r="J1139" i="1" s="1"/>
  <c r="H574" i="1"/>
  <c r="I574" i="1" s="1"/>
  <c r="J574" i="1" s="1"/>
  <c r="H4253" i="1"/>
  <c r="I4253" i="1" s="1"/>
  <c r="J4253" i="1" s="1"/>
  <c r="K4253" i="1" s="1"/>
  <c r="L4253" i="1" s="1"/>
  <c r="H2125" i="1"/>
  <c r="I2125" i="1" s="1"/>
  <c r="J2125" i="1" s="1"/>
  <c r="K2125" i="1" s="1"/>
  <c r="L2125" i="1" s="1"/>
  <c r="H5938" i="1"/>
  <c r="I5938" i="1" s="1"/>
  <c r="J5938" i="1" s="1"/>
  <c r="K5938" i="1" s="1"/>
  <c r="L5938" i="1" s="1"/>
  <c r="H1905" i="1"/>
  <c r="I1905" i="1" s="1"/>
  <c r="J1905" i="1" s="1"/>
  <c r="K1905" i="1" s="1"/>
  <c r="L1905" i="1" s="1"/>
  <c r="H597" i="1"/>
  <c r="I597" i="1" s="1"/>
  <c r="J597" i="1" s="1"/>
  <c r="K597" i="1" s="1"/>
  <c r="L597" i="1" s="1"/>
  <c r="H2835" i="1"/>
  <c r="I2835" i="1" s="1"/>
  <c r="J2835" i="1" s="1"/>
  <c r="K2835" i="1" s="1"/>
  <c r="L2835" i="1" s="1"/>
  <c r="H1536" i="1"/>
  <c r="I1536" i="1" s="1"/>
  <c r="J1536" i="1" s="1"/>
  <c r="K1536" i="1" s="1"/>
  <c r="L1536" i="1" s="1"/>
  <c r="H4368" i="1"/>
  <c r="I4368" i="1" s="1"/>
  <c r="J4368" i="1" s="1"/>
  <c r="K4368" i="1" s="1"/>
  <c r="L4368" i="1" s="1"/>
  <c r="H5827" i="1"/>
  <c r="I5827" i="1" s="1"/>
  <c r="J5827" i="1" s="1"/>
  <c r="K5827" i="1" s="1"/>
  <c r="L5827" i="1" s="1"/>
  <c r="H5439" i="1"/>
  <c r="I5439" i="1" s="1"/>
  <c r="J5439" i="1" s="1"/>
  <c r="K5439" i="1" s="1"/>
  <c r="L5439" i="1" s="1"/>
  <c r="H2872" i="1"/>
  <c r="I2872" i="1" s="1"/>
  <c r="J2872" i="1" s="1"/>
  <c r="K2872" i="1" s="1"/>
  <c r="L2872" i="1" s="1"/>
  <c r="H4531" i="1"/>
  <c r="I4531" i="1" s="1"/>
  <c r="J4531" i="1" s="1"/>
  <c r="K4531" i="1" s="1"/>
  <c r="L4531" i="1" s="1"/>
  <c r="H4537" i="1"/>
  <c r="I4537" i="1" s="1"/>
  <c r="J4537" i="1" s="1"/>
  <c r="K4537" i="1" s="1"/>
  <c r="L4537" i="1" s="1"/>
  <c r="H1334" i="1"/>
  <c r="I1334" i="1" s="1"/>
  <c r="J1334" i="1" s="1"/>
  <c r="H5867" i="1"/>
  <c r="I5867" i="1" s="1"/>
  <c r="J5867" i="1" s="1"/>
  <c r="K5867" i="1" s="1"/>
  <c r="L5867" i="1" s="1"/>
  <c r="H3212" i="1"/>
  <c r="I3212" i="1" s="1"/>
  <c r="J3212" i="1" s="1"/>
  <c r="H5702" i="1"/>
  <c r="I5702" i="1" s="1"/>
  <c r="J5702" i="1" s="1"/>
  <c r="K5702" i="1" s="1"/>
  <c r="L5702" i="1" s="1"/>
  <c r="H2075" i="1"/>
  <c r="I2075" i="1" s="1"/>
  <c r="J2075" i="1" s="1"/>
  <c r="H587" i="1"/>
  <c r="I587" i="1" s="1"/>
  <c r="J587" i="1" s="1"/>
  <c r="K587" i="1" s="1"/>
  <c r="L587" i="1" s="1"/>
  <c r="H512" i="1"/>
  <c r="I512" i="1" s="1"/>
  <c r="J512" i="1" s="1"/>
  <c r="K512" i="1" s="1"/>
  <c r="L512" i="1" s="1"/>
  <c r="H1407" i="1"/>
  <c r="I1407" i="1" s="1"/>
  <c r="J1407" i="1" s="1"/>
  <c r="K1407" i="1" s="1"/>
  <c r="L1407" i="1" s="1"/>
  <c r="H1823" i="1"/>
  <c r="I1823" i="1" s="1"/>
  <c r="J1823" i="1" s="1"/>
  <c r="K1823" i="1" s="1"/>
  <c r="L1823" i="1" s="1"/>
  <c r="H5812" i="1"/>
  <c r="I5812" i="1" s="1"/>
  <c r="J5812" i="1" s="1"/>
  <c r="K5812" i="1" s="1"/>
  <c r="L5812" i="1" s="1"/>
  <c r="H649" i="1"/>
  <c r="I649" i="1" s="1"/>
  <c r="J649" i="1" s="1"/>
  <c r="K649" i="1" s="1"/>
  <c r="L649" i="1" s="1"/>
  <c r="H5742" i="1"/>
  <c r="I5742" i="1" s="1"/>
  <c r="J5742" i="1" s="1"/>
  <c r="K5742" i="1" s="1"/>
  <c r="L5742" i="1" s="1"/>
  <c r="H495" i="1"/>
  <c r="I495" i="1" s="1"/>
  <c r="J495" i="1" s="1"/>
  <c r="K495" i="1" s="1"/>
  <c r="L495" i="1" s="1"/>
  <c r="H3536" i="1"/>
  <c r="I3536" i="1" s="1"/>
  <c r="J3536" i="1" s="1"/>
  <c r="K3536" i="1" s="1"/>
  <c r="L3536" i="1" s="1"/>
  <c r="H1701" i="1"/>
  <c r="I1701" i="1" s="1"/>
  <c r="J1701" i="1" s="1"/>
  <c r="K1701" i="1" s="1"/>
  <c r="L1701" i="1" s="1"/>
  <c r="H2919" i="1"/>
  <c r="I2919" i="1" s="1"/>
  <c r="J2919" i="1" s="1"/>
  <c r="K2919" i="1" s="1"/>
  <c r="L2919" i="1" s="1"/>
  <c r="H3074" i="1"/>
  <c r="I3074" i="1" s="1"/>
  <c r="J3074" i="1" s="1"/>
  <c r="H3001" i="1"/>
  <c r="I3001" i="1" s="1"/>
  <c r="J3001" i="1" s="1"/>
  <c r="H5783" i="1"/>
  <c r="I5783" i="1" s="1"/>
  <c r="J5783" i="1" s="1"/>
  <c r="H5734" i="1"/>
  <c r="I5734" i="1" s="1"/>
  <c r="J5734" i="1" s="1"/>
  <c r="K5734" i="1" s="1"/>
  <c r="L5734" i="1" s="1"/>
  <c r="H732" i="1"/>
  <c r="I732" i="1" s="1"/>
  <c r="J732" i="1" s="1"/>
  <c r="K732" i="1" s="1"/>
  <c r="L732" i="1" s="1"/>
  <c r="H4838" i="1"/>
  <c r="I4838" i="1" s="1"/>
  <c r="J4838" i="1" s="1"/>
  <c r="K4838" i="1" s="1"/>
  <c r="L4838" i="1" s="1"/>
  <c r="H3257" i="1"/>
  <c r="I3257" i="1" s="1"/>
  <c r="J3257" i="1" s="1"/>
  <c r="K3257" i="1" s="1"/>
  <c r="L3257" i="1" s="1"/>
  <c r="H837" i="1"/>
  <c r="I837" i="1" s="1"/>
  <c r="J837" i="1" s="1"/>
  <c r="K837" i="1" s="1"/>
  <c r="L837" i="1" s="1"/>
  <c r="H5380" i="1"/>
  <c r="I5380" i="1" s="1"/>
  <c r="J5380" i="1" s="1"/>
  <c r="K5380" i="1" s="1"/>
  <c r="L5380" i="1" s="1"/>
  <c r="H2840" i="1"/>
  <c r="I2840" i="1" s="1"/>
  <c r="J2840" i="1" s="1"/>
  <c r="K2840" i="1" s="1"/>
  <c r="L2840" i="1" s="1"/>
  <c r="H2658" i="1"/>
  <c r="I2658" i="1" s="1"/>
  <c r="J2658" i="1" s="1"/>
  <c r="K2658" i="1" s="1"/>
  <c r="L2658" i="1" s="1"/>
  <c r="H774" i="1"/>
  <c r="I774" i="1" s="1"/>
  <c r="J774" i="1" s="1"/>
  <c r="K774" i="1" s="1"/>
  <c r="L774" i="1" s="1"/>
  <c r="H3253" i="1"/>
  <c r="I3253" i="1" s="1"/>
  <c r="J3253" i="1" s="1"/>
  <c r="K3253" i="1" s="1"/>
  <c r="L3253" i="1" s="1"/>
  <c r="H705" i="1"/>
  <c r="I705" i="1" s="1"/>
  <c r="J705" i="1" s="1"/>
  <c r="K705" i="1" s="1"/>
  <c r="L705" i="1" s="1"/>
  <c r="H1619" i="1"/>
  <c r="I1619" i="1" s="1"/>
  <c r="J1619" i="1" s="1"/>
  <c r="K1619" i="1" s="1"/>
  <c r="L1619" i="1" s="1"/>
  <c r="H790" i="1"/>
  <c r="I790" i="1" s="1"/>
  <c r="J790" i="1" s="1"/>
  <c r="K790" i="1" s="1"/>
  <c r="L790" i="1" s="1"/>
  <c r="H3287" i="1"/>
  <c r="I3287" i="1" s="1"/>
  <c r="J3287" i="1" s="1"/>
  <c r="H2845" i="1"/>
  <c r="I2845" i="1" s="1"/>
  <c r="J2845" i="1" s="1"/>
  <c r="H2798" i="1"/>
  <c r="I2798" i="1" s="1"/>
  <c r="J2798" i="1" s="1"/>
  <c r="H4454" i="1"/>
  <c r="I4454" i="1" s="1"/>
  <c r="J4454" i="1" s="1"/>
  <c r="K4454" i="1" s="1"/>
  <c r="L4454" i="1" s="1"/>
  <c r="H3604" i="1"/>
  <c r="I3604" i="1" s="1"/>
  <c r="J3604" i="1" s="1"/>
  <c r="H2427" i="1"/>
  <c r="I2427" i="1" s="1"/>
  <c r="J2427" i="1" s="1"/>
  <c r="K2427" i="1" s="1"/>
  <c r="L2427" i="1" s="1"/>
  <c r="H794" i="1"/>
  <c r="I794" i="1" s="1"/>
  <c r="J794" i="1" s="1"/>
  <c r="K794" i="1" s="1"/>
  <c r="L794" i="1" s="1"/>
  <c r="H4491" i="1"/>
  <c r="I4491" i="1" s="1"/>
  <c r="J4491" i="1" s="1"/>
  <c r="K4491" i="1" s="1"/>
  <c r="L4491" i="1" s="1"/>
  <c r="H5049" i="1"/>
  <c r="I5049" i="1" s="1"/>
  <c r="J5049" i="1" s="1"/>
  <c r="K5049" i="1" s="1"/>
  <c r="L5049" i="1" s="1"/>
  <c r="H5073" i="1"/>
  <c r="I5073" i="1" s="1"/>
  <c r="J5073" i="1" s="1"/>
  <c r="K5073" i="1" s="1"/>
  <c r="L5073" i="1" s="1"/>
  <c r="H5905" i="1"/>
  <c r="I5905" i="1" s="1"/>
  <c r="J5905" i="1" s="1"/>
  <c r="K5905" i="1" s="1"/>
  <c r="L5905" i="1" s="1"/>
  <c r="H2053" i="1"/>
  <c r="I2053" i="1" s="1"/>
  <c r="J2053" i="1" s="1"/>
  <c r="K2053" i="1" s="1"/>
  <c r="L2053" i="1" s="1"/>
  <c r="H3727" i="1"/>
  <c r="I3727" i="1" s="1"/>
  <c r="J3727" i="1" s="1"/>
  <c r="K3727" i="1" s="1"/>
  <c r="L3727" i="1" s="1"/>
  <c r="H2300" i="1"/>
  <c r="I2300" i="1" s="1"/>
  <c r="J2300" i="1" s="1"/>
  <c r="K2300" i="1" s="1"/>
  <c r="L2300" i="1" s="1"/>
  <c r="H1811" i="1"/>
  <c r="I1811" i="1" s="1"/>
  <c r="J1811" i="1" s="1"/>
  <c r="K1811" i="1" s="1"/>
  <c r="L1811" i="1" s="1"/>
  <c r="H1297" i="1"/>
  <c r="I1297" i="1" s="1"/>
  <c r="J1297" i="1" s="1"/>
  <c r="K1297" i="1" s="1"/>
  <c r="L1297" i="1" s="1"/>
  <c r="H2352" i="1"/>
  <c r="I2352" i="1" s="1"/>
  <c r="J2352" i="1" s="1"/>
  <c r="H1106" i="1"/>
  <c r="I1106" i="1" s="1"/>
  <c r="J1106" i="1" s="1"/>
  <c r="K1106" i="1" s="1"/>
  <c r="L1106" i="1" s="1"/>
  <c r="H1762" i="1"/>
  <c r="I1762" i="1" s="1"/>
  <c r="J1762" i="1" s="1"/>
  <c r="H4053" i="1"/>
  <c r="I4053" i="1" s="1"/>
  <c r="J4053" i="1" s="1"/>
  <c r="K4053" i="1" s="1"/>
  <c r="L4053" i="1" s="1"/>
  <c r="H4120" i="1"/>
  <c r="I4120" i="1" s="1"/>
  <c r="J4120" i="1" s="1"/>
  <c r="K4120" i="1" s="1"/>
  <c r="L4120" i="1" s="1"/>
  <c r="H2031" i="1"/>
  <c r="I2031" i="1" s="1"/>
  <c r="J2031" i="1" s="1"/>
  <c r="K2031" i="1" s="1"/>
  <c r="L2031" i="1" s="1"/>
  <c r="H3293" i="1"/>
  <c r="I3293" i="1" s="1"/>
  <c r="J3293" i="1" s="1"/>
  <c r="K3293" i="1" s="1"/>
  <c r="L3293" i="1" s="1"/>
  <c r="H712" i="1"/>
  <c r="I712" i="1" s="1"/>
  <c r="J712" i="1" s="1"/>
  <c r="K712" i="1" s="1"/>
  <c r="L712" i="1" s="1"/>
  <c r="H2954" i="1"/>
  <c r="I2954" i="1" s="1"/>
  <c r="J2954" i="1" s="1"/>
  <c r="K2954" i="1" s="1"/>
  <c r="L2954" i="1" s="1"/>
  <c r="H4638" i="1"/>
  <c r="I4638" i="1" s="1"/>
  <c r="J4638" i="1" s="1"/>
  <c r="K4638" i="1" s="1"/>
  <c r="L4638" i="1" s="1"/>
  <c r="H879" i="1"/>
  <c r="I879" i="1" s="1"/>
  <c r="J879" i="1" s="1"/>
  <c r="K879" i="1" s="1"/>
  <c r="L879" i="1" s="1"/>
  <c r="H817" i="1"/>
  <c r="I817" i="1" s="1"/>
  <c r="J817" i="1" s="1"/>
  <c r="K817" i="1" s="1"/>
  <c r="L817" i="1" s="1"/>
  <c r="H4139" i="1"/>
  <c r="I4139" i="1" s="1"/>
  <c r="J4139" i="1" s="1"/>
  <c r="K4139" i="1" s="1"/>
  <c r="L4139" i="1" s="1"/>
  <c r="H2455" i="1"/>
  <c r="I2455" i="1" s="1"/>
  <c r="J2455" i="1" s="1"/>
  <c r="K2455" i="1" s="1"/>
  <c r="L2455" i="1" s="1"/>
  <c r="H2271" i="1"/>
  <c r="I2271" i="1" s="1"/>
  <c r="J2271" i="1" s="1"/>
  <c r="K2271" i="1" s="1"/>
  <c r="L2271" i="1" s="1"/>
  <c r="H4647" i="1"/>
  <c r="I4647" i="1" s="1"/>
  <c r="J4647" i="1" s="1"/>
  <c r="K4647" i="1" s="1"/>
  <c r="L4647" i="1" s="1"/>
  <c r="H912" i="1"/>
  <c r="I912" i="1" s="1"/>
  <c r="J912" i="1" s="1"/>
  <c r="H5675" i="1"/>
  <c r="I5675" i="1" s="1"/>
  <c r="J5675" i="1" s="1"/>
  <c r="H2916" i="1"/>
  <c r="I2916" i="1" s="1"/>
  <c r="J2916" i="1" s="1"/>
  <c r="H3698" i="1"/>
  <c r="I3698" i="1" s="1"/>
  <c r="J3698" i="1" s="1"/>
  <c r="K3698" i="1" s="1"/>
  <c r="L3698" i="1" s="1"/>
  <c r="H3363" i="1"/>
  <c r="I3363" i="1" s="1"/>
  <c r="J3363" i="1" s="1"/>
  <c r="K3363" i="1" s="1"/>
  <c r="L3363" i="1" s="1"/>
  <c r="H2490" i="1"/>
  <c r="I2490" i="1" s="1"/>
  <c r="J2490" i="1" s="1"/>
  <c r="K2490" i="1" s="1"/>
  <c r="L2490" i="1" s="1"/>
  <c r="H1145" i="1"/>
  <c r="I1145" i="1" s="1"/>
  <c r="J1145" i="1" s="1"/>
  <c r="K1145" i="1" s="1"/>
  <c r="L1145" i="1" s="1"/>
  <c r="H3013" i="1"/>
  <c r="I3013" i="1" s="1"/>
  <c r="J3013" i="1" s="1"/>
  <c r="K3013" i="1" s="1"/>
  <c r="L3013" i="1" s="1"/>
  <c r="H2416" i="1"/>
  <c r="I2416" i="1" s="1"/>
  <c r="J2416" i="1" s="1"/>
  <c r="K2416" i="1" s="1"/>
  <c r="L2416" i="1" s="1"/>
  <c r="H1652" i="1"/>
  <c r="I1652" i="1" s="1"/>
  <c r="J1652" i="1" s="1"/>
  <c r="K1652" i="1" s="1"/>
  <c r="L1652" i="1" s="1"/>
  <c r="H2110" i="1"/>
  <c r="I2110" i="1" s="1"/>
  <c r="J2110" i="1" s="1"/>
  <c r="K2110" i="1" s="1"/>
  <c r="L2110" i="1" s="1"/>
  <c r="H3959" i="1"/>
  <c r="I3959" i="1" s="1"/>
  <c r="J3959" i="1" s="1"/>
  <c r="K3959" i="1" s="1"/>
  <c r="L3959" i="1" s="1"/>
  <c r="H2445" i="1"/>
  <c r="I2445" i="1" s="1"/>
  <c r="J2445" i="1" s="1"/>
  <c r="K2445" i="1" s="1"/>
  <c r="L2445" i="1" s="1"/>
  <c r="H3207" i="1"/>
  <c r="I3207" i="1" s="1"/>
  <c r="J3207" i="1" s="1"/>
  <c r="K3207" i="1" s="1"/>
  <c r="L3207" i="1" s="1"/>
  <c r="H1710" i="1"/>
  <c r="I1710" i="1" s="1"/>
  <c r="J1710" i="1" s="1"/>
  <c r="K1710" i="1" s="1"/>
  <c r="L1710" i="1" s="1"/>
  <c r="H2120" i="1"/>
  <c r="I2120" i="1" s="1"/>
  <c r="J2120" i="1" s="1"/>
  <c r="K2120" i="1" s="1"/>
  <c r="L2120" i="1" s="1"/>
  <c r="H5151" i="1"/>
  <c r="I5151" i="1" s="1"/>
  <c r="J5151" i="1" s="1"/>
  <c r="H234" i="1"/>
  <c r="I234" i="1" s="1"/>
  <c r="J234" i="1" s="1"/>
  <c r="H1028" i="1"/>
  <c r="I1028" i="1" s="1"/>
  <c r="J1028" i="1" s="1"/>
  <c r="H907" i="1"/>
  <c r="I907" i="1" s="1"/>
  <c r="J907" i="1" s="1"/>
  <c r="K907" i="1" s="1"/>
  <c r="L907" i="1" s="1"/>
  <c r="H802" i="1"/>
  <c r="I802" i="1" s="1"/>
  <c r="J802" i="1" s="1"/>
  <c r="H4481" i="1"/>
  <c r="I4481" i="1" s="1"/>
  <c r="J4481" i="1" s="1"/>
  <c r="K4481" i="1" s="1"/>
  <c r="L4481" i="1" s="1"/>
  <c r="H3174" i="1"/>
  <c r="I3174" i="1" s="1"/>
  <c r="J3174" i="1" s="1"/>
  <c r="K3174" i="1" s="1"/>
  <c r="L3174" i="1" s="1"/>
  <c r="H3640" i="1"/>
  <c r="I3640" i="1" s="1"/>
  <c r="J3640" i="1" s="1"/>
  <c r="K3640" i="1" s="1"/>
  <c r="L3640" i="1" s="1"/>
  <c r="H1282" i="1"/>
  <c r="I1282" i="1" s="1"/>
  <c r="J1282" i="1" s="1"/>
  <c r="K1282" i="1" s="1"/>
  <c r="L1282" i="1" s="1"/>
  <c r="H5044" i="1"/>
  <c r="I5044" i="1" s="1"/>
  <c r="J5044" i="1" s="1"/>
  <c r="K5044" i="1" s="1"/>
  <c r="L5044" i="1" s="1"/>
  <c r="H3807" i="1"/>
  <c r="I3807" i="1" s="1"/>
  <c r="J3807" i="1" s="1"/>
  <c r="K3807" i="1" s="1"/>
  <c r="L3807" i="1" s="1"/>
  <c r="H5521" i="1"/>
  <c r="I5521" i="1" s="1"/>
  <c r="J5521" i="1" s="1"/>
  <c r="K5521" i="1" s="1"/>
  <c r="L5521" i="1" s="1"/>
  <c r="H4566" i="1"/>
  <c r="I4566" i="1" s="1"/>
  <c r="J4566" i="1" s="1"/>
  <c r="K4566" i="1" s="1"/>
  <c r="L4566" i="1" s="1"/>
  <c r="H3632" i="1"/>
  <c r="I3632" i="1" s="1"/>
  <c r="J3632" i="1" s="1"/>
  <c r="K3632" i="1" s="1"/>
  <c r="L3632" i="1" s="1"/>
  <c r="H1930" i="1"/>
  <c r="I1930" i="1" s="1"/>
  <c r="J1930" i="1" s="1"/>
  <c r="K1930" i="1" s="1"/>
  <c r="L1930" i="1" s="1"/>
  <c r="H1103" i="1"/>
  <c r="I1103" i="1" s="1"/>
  <c r="J1103" i="1" s="1"/>
  <c r="K1103" i="1" s="1"/>
  <c r="L1103" i="1" s="1"/>
  <c r="H4839" i="1"/>
  <c r="I4839" i="1" s="1"/>
  <c r="J4839" i="1" s="1"/>
  <c r="H2150" i="1"/>
  <c r="I2150" i="1" s="1"/>
  <c r="J2150" i="1" s="1"/>
  <c r="H2648" i="1"/>
  <c r="I2648" i="1" s="1"/>
  <c r="J2648" i="1" s="1"/>
  <c r="H3584" i="1"/>
  <c r="I3584" i="1" s="1"/>
  <c r="J3584" i="1" s="1"/>
  <c r="K3584" i="1" s="1"/>
  <c r="L3584" i="1" s="1"/>
  <c r="H5984" i="1"/>
  <c r="I5984" i="1" s="1"/>
  <c r="J5984" i="1" s="1"/>
  <c r="K5984" i="1" s="1"/>
  <c r="L5984" i="1" s="1"/>
  <c r="H5517" i="1"/>
  <c r="I5517" i="1" s="1"/>
  <c r="J5517" i="1" s="1"/>
  <c r="K5517" i="1" s="1"/>
  <c r="L5517" i="1" s="1"/>
  <c r="H1379" i="1"/>
  <c r="I1379" i="1" s="1"/>
  <c r="J1379" i="1" s="1"/>
  <c r="K1379" i="1" s="1"/>
  <c r="L1379" i="1" s="1"/>
  <c r="H5706" i="1"/>
  <c r="I5706" i="1" s="1"/>
  <c r="J5706" i="1" s="1"/>
  <c r="K5706" i="1" s="1"/>
  <c r="L5706" i="1" s="1"/>
  <c r="H3957" i="1"/>
  <c r="I3957" i="1" s="1"/>
  <c r="J3957" i="1" s="1"/>
  <c r="K3957" i="1" s="1"/>
  <c r="L3957" i="1" s="1"/>
  <c r="H177" i="1"/>
  <c r="I177" i="1" s="1"/>
  <c r="J177" i="1" s="1"/>
  <c r="K177" i="1" s="1"/>
  <c r="L177" i="1" s="1"/>
  <c r="H184" i="1"/>
  <c r="I184" i="1" s="1"/>
  <c r="J184" i="1" s="1"/>
  <c r="K184" i="1" s="1"/>
  <c r="L184" i="1" s="1"/>
  <c r="H637" i="1"/>
  <c r="I637" i="1" s="1"/>
  <c r="J637" i="1" s="1"/>
  <c r="K637" i="1" s="1"/>
  <c r="L637" i="1" s="1"/>
  <c r="H2062" i="1"/>
  <c r="I2062" i="1" s="1"/>
  <c r="J2062" i="1" s="1"/>
  <c r="K2062" i="1" s="1"/>
  <c r="L2062" i="1" s="1"/>
  <c r="H3028" i="1"/>
  <c r="I3028" i="1" s="1"/>
  <c r="J3028" i="1" s="1"/>
  <c r="K3028" i="1" s="1"/>
  <c r="L3028" i="1" s="1"/>
  <c r="H4453" i="1"/>
  <c r="I4453" i="1" s="1"/>
  <c r="J4453" i="1" s="1"/>
  <c r="K4453" i="1" s="1"/>
  <c r="L4453" i="1" s="1"/>
  <c r="H4603" i="1"/>
  <c r="I4603" i="1" s="1"/>
  <c r="J4603" i="1" s="1"/>
  <c r="K4603" i="1" s="1"/>
  <c r="L4603" i="1" s="1"/>
  <c r="H5651" i="1"/>
  <c r="I5651" i="1" s="1"/>
  <c r="J5651" i="1" s="1"/>
  <c r="H5816" i="1"/>
  <c r="I5816" i="1" s="1"/>
  <c r="J5816" i="1" s="1"/>
  <c r="H1012" i="1"/>
  <c r="I1012" i="1" s="1"/>
  <c r="J1012" i="1" s="1"/>
  <c r="H3850" i="1"/>
  <c r="I3850" i="1" s="1"/>
  <c r="J3850" i="1" s="1"/>
  <c r="K3850" i="1" s="1"/>
  <c r="L3850" i="1" s="1"/>
  <c r="H3006" i="1"/>
  <c r="I3006" i="1" s="1"/>
  <c r="J3006" i="1" s="1"/>
  <c r="K3006" i="1" s="1"/>
  <c r="L3006" i="1" s="1"/>
  <c r="H4996" i="1"/>
  <c r="I4996" i="1" s="1"/>
  <c r="J4996" i="1" s="1"/>
  <c r="K4996" i="1" s="1"/>
  <c r="L4996" i="1" s="1"/>
  <c r="H4713" i="1"/>
  <c r="I4713" i="1" s="1"/>
  <c r="J4713" i="1" s="1"/>
  <c r="K4713" i="1" s="1"/>
  <c r="L4713" i="1" s="1"/>
  <c r="H2692" i="1"/>
  <c r="I2692" i="1" s="1"/>
  <c r="J2692" i="1" s="1"/>
  <c r="K2692" i="1" s="1"/>
  <c r="L2692" i="1" s="1"/>
  <c r="H2956" i="1"/>
  <c r="I2956" i="1" s="1"/>
  <c r="J2956" i="1" s="1"/>
  <c r="K2956" i="1" s="1"/>
  <c r="L2956" i="1" s="1"/>
  <c r="H1299" i="1"/>
  <c r="I1299" i="1" s="1"/>
  <c r="J1299" i="1" s="1"/>
  <c r="K1299" i="1" s="1"/>
  <c r="L1299" i="1" s="1"/>
  <c r="H2567" i="1"/>
  <c r="I2567" i="1" s="1"/>
  <c r="J2567" i="1" s="1"/>
  <c r="K2567" i="1" s="1"/>
  <c r="L2567" i="1" s="1"/>
  <c r="H5352" i="1"/>
  <c r="I5352" i="1" s="1"/>
  <c r="J5352" i="1" s="1"/>
  <c r="K5352" i="1" s="1"/>
  <c r="L5352" i="1" s="1"/>
  <c r="H5679" i="1"/>
  <c r="I5679" i="1" s="1"/>
  <c r="J5679" i="1" s="1"/>
  <c r="K5679" i="1" s="1"/>
  <c r="L5679" i="1" s="1"/>
  <c r="H708" i="1"/>
  <c r="I708" i="1" s="1"/>
  <c r="J708" i="1" s="1"/>
  <c r="K708" i="1" s="1"/>
  <c r="L708" i="1" s="1"/>
  <c r="H3201" i="1"/>
  <c r="I3201" i="1" s="1"/>
  <c r="J3201" i="1" s="1"/>
  <c r="K3201" i="1" s="1"/>
  <c r="L3201" i="1" s="1"/>
  <c r="H5525" i="1"/>
  <c r="I5525" i="1" s="1"/>
  <c r="J5525" i="1" s="1"/>
  <c r="K5525" i="1" s="1"/>
  <c r="L5525" i="1" s="1"/>
  <c r="H3229" i="1"/>
  <c r="I3229" i="1" s="1"/>
  <c r="J3229" i="1" s="1"/>
  <c r="H386" i="1"/>
  <c r="I386" i="1" s="1"/>
  <c r="J386" i="1" s="1"/>
  <c r="H300" i="1"/>
  <c r="I300" i="1" s="1"/>
  <c r="J300" i="1" s="1"/>
  <c r="H3461" i="1"/>
  <c r="I3461" i="1" s="1"/>
  <c r="J3461" i="1" s="1"/>
  <c r="K3461" i="1" s="1"/>
  <c r="L3461" i="1" s="1"/>
  <c r="H1515" i="1"/>
  <c r="I1515" i="1" s="1"/>
  <c r="J1515" i="1" s="1"/>
  <c r="K1515" i="1" s="1"/>
  <c r="L1515" i="1" s="1"/>
  <c r="H4889" i="1"/>
  <c r="I4889" i="1" s="1"/>
  <c r="J4889" i="1" s="1"/>
  <c r="K4889" i="1" s="1"/>
  <c r="L4889" i="1" s="1"/>
  <c r="H641" i="1"/>
  <c r="I641" i="1" s="1"/>
  <c r="J641" i="1" s="1"/>
  <c r="K641" i="1" s="1"/>
  <c r="L641" i="1" s="1"/>
  <c r="H1124" i="1"/>
  <c r="I1124" i="1" s="1"/>
  <c r="J1124" i="1" s="1"/>
  <c r="K1124" i="1" s="1"/>
  <c r="L1124" i="1" s="1"/>
  <c r="H759" i="1"/>
  <c r="I759" i="1" s="1"/>
  <c r="J759" i="1" s="1"/>
  <c r="K759" i="1" s="1"/>
  <c r="L759" i="1" s="1"/>
  <c r="H1691" i="1"/>
  <c r="I1691" i="1" s="1"/>
  <c r="J1691" i="1" s="1"/>
  <c r="K1691" i="1" s="1"/>
  <c r="L1691" i="1" s="1"/>
  <c r="H220" i="1"/>
  <c r="I220" i="1" s="1"/>
  <c r="J220" i="1" s="1"/>
  <c r="K220" i="1" s="1"/>
  <c r="L220" i="1" s="1"/>
  <c r="H2828" i="1"/>
  <c r="I2828" i="1" s="1"/>
  <c r="J2828" i="1" s="1"/>
  <c r="K2828" i="1" s="1"/>
  <c r="L2828" i="1" s="1"/>
  <c r="H1819" i="1"/>
  <c r="I1819" i="1" s="1"/>
  <c r="J1819" i="1" s="1"/>
  <c r="K1819" i="1" s="1"/>
  <c r="L1819" i="1" s="1"/>
  <c r="H1799" i="1"/>
  <c r="I1799" i="1" s="1"/>
  <c r="J1799" i="1" s="1"/>
  <c r="K1799" i="1" s="1"/>
  <c r="L1799" i="1" s="1"/>
  <c r="H5871" i="1"/>
  <c r="I5871" i="1" s="1"/>
  <c r="J5871" i="1" s="1"/>
  <c r="K5871" i="1" s="1"/>
  <c r="L5871" i="1" s="1"/>
  <c r="H778" i="1"/>
  <c r="I778" i="1" s="1"/>
  <c r="J778" i="1" s="1"/>
  <c r="K778" i="1" s="1"/>
  <c r="L778" i="1" s="1"/>
  <c r="H164" i="1"/>
  <c r="I164" i="1" s="1"/>
  <c r="J164" i="1" s="1"/>
  <c r="K164" i="1" s="1"/>
  <c r="L164" i="1" s="1"/>
  <c r="H511" i="1"/>
  <c r="I511" i="1" s="1"/>
  <c r="J511" i="1" s="1"/>
  <c r="H4095" i="1"/>
  <c r="I4095" i="1" s="1"/>
  <c r="J4095" i="1" s="1"/>
  <c r="H4290" i="1"/>
  <c r="I4290" i="1" s="1"/>
  <c r="J4290" i="1" s="1"/>
  <c r="K4290" i="1" s="1"/>
  <c r="L4290" i="1" s="1"/>
  <c r="H860" i="1"/>
  <c r="I860" i="1" s="1"/>
  <c r="J860" i="1" s="1"/>
  <c r="K860" i="1" s="1"/>
  <c r="L860" i="1" s="1"/>
  <c r="H156" i="1"/>
  <c r="I156" i="1" s="1"/>
  <c r="J156" i="1" s="1"/>
  <c r="K156" i="1" s="1"/>
  <c r="L156" i="1" s="1"/>
  <c r="H856" i="1"/>
  <c r="I856" i="1" s="1"/>
  <c r="J856" i="1" s="1"/>
  <c r="K856" i="1" s="1"/>
  <c r="L856" i="1" s="1"/>
  <c r="H65" i="1"/>
  <c r="I65" i="1" s="1"/>
  <c r="J65" i="1" s="1"/>
  <c r="K65" i="1" s="1"/>
  <c r="L65" i="1" s="1"/>
  <c r="H832" i="1"/>
  <c r="I832" i="1" s="1"/>
  <c r="J832" i="1" s="1"/>
  <c r="K832" i="1" s="1"/>
  <c r="L832" i="1" s="1"/>
  <c r="H5341" i="1"/>
  <c r="I5341" i="1" s="1"/>
  <c r="J5341" i="1" s="1"/>
  <c r="K5341" i="1" s="1"/>
  <c r="L5341" i="1" s="1"/>
  <c r="H1586" i="1"/>
  <c r="I1586" i="1" s="1"/>
  <c r="J1586" i="1" s="1"/>
  <c r="K1586" i="1" s="1"/>
  <c r="L1586" i="1" s="1"/>
  <c r="H96" i="1"/>
  <c r="I96" i="1" s="1"/>
  <c r="J96" i="1" s="1"/>
  <c r="K96" i="1" s="1"/>
  <c r="L96" i="1" s="1"/>
  <c r="H2758" i="1"/>
  <c r="I2758" i="1" s="1"/>
  <c r="J2758" i="1" s="1"/>
  <c r="K2758" i="1" s="1"/>
  <c r="L2758" i="1" s="1"/>
  <c r="H630" i="1"/>
  <c r="I630" i="1" s="1"/>
  <c r="J630" i="1" s="1"/>
  <c r="K630" i="1" s="1"/>
  <c r="L630" i="1" s="1"/>
  <c r="H984" i="1"/>
  <c r="I984" i="1" s="1"/>
  <c r="J984" i="1" s="1"/>
  <c r="K984" i="1" s="1"/>
  <c r="L984" i="1" s="1"/>
  <c r="H161" i="1"/>
  <c r="I161" i="1" s="1"/>
  <c r="J161" i="1" s="1"/>
  <c r="K161" i="1" s="1"/>
  <c r="L161" i="1" s="1"/>
  <c r="H1351" i="1"/>
  <c r="I1351" i="1" s="1"/>
  <c r="J1351" i="1" s="1"/>
  <c r="K1351" i="1" s="1"/>
  <c r="L1351" i="1" s="1"/>
  <c r="H536" i="1"/>
  <c r="I536" i="1" s="1"/>
  <c r="J536" i="1" s="1"/>
  <c r="H193" i="1"/>
  <c r="I193" i="1" s="1"/>
  <c r="J193" i="1" s="1"/>
  <c r="H1975" i="1"/>
  <c r="I1975" i="1" s="1"/>
  <c r="J1975" i="1" s="1"/>
  <c r="K1975" i="1" s="1"/>
  <c r="L1975" i="1" s="1"/>
  <c r="H1846" i="1"/>
  <c r="I1846" i="1" s="1"/>
  <c r="J1846" i="1" s="1"/>
  <c r="K1846" i="1" s="1"/>
  <c r="L1846" i="1" s="1"/>
  <c r="H4160" i="1"/>
  <c r="I4160" i="1" s="1"/>
  <c r="J4160" i="1" s="1"/>
  <c r="K4160" i="1" s="1"/>
  <c r="L4160" i="1" s="1"/>
  <c r="H5936" i="1"/>
  <c r="I5936" i="1" s="1"/>
  <c r="J5936" i="1" s="1"/>
  <c r="K5936" i="1" s="1"/>
  <c r="L5936" i="1" s="1"/>
  <c r="H690" i="1"/>
  <c r="I690" i="1" s="1"/>
  <c r="J690" i="1" s="1"/>
  <c r="K690" i="1" s="1"/>
  <c r="L690" i="1" s="1"/>
  <c r="H3815" i="1"/>
  <c r="I3815" i="1" s="1"/>
  <c r="J3815" i="1" s="1"/>
  <c r="K3815" i="1" s="1"/>
  <c r="L3815" i="1" s="1"/>
  <c r="H2902" i="1"/>
  <c r="I2902" i="1" s="1"/>
  <c r="J2902" i="1" s="1"/>
  <c r="K2902" i="1" s="1"/>
  <c r="L2902" i="1" s="1"/>
  <c r="H5527" i="1"/>
  <c r="I5527" i="1" s="1"/>
  <c r="J5527" i="1" s="1"/>
  <c r="K5527" i="1" s="1"/>
  <c r="L5527" i="1" s="1"/>
  <c r="H400" i="1"/>
  <c r="I400" i="1" s="1"/>
  <c r="J400" i="1" s="1"/>
  <c r="K400" i="1" s="1"/>
  <c r="L400" i="1" s="1"/>
  <c r="H4059" i="1"/>
  <c r="I4059" i="1" s="1"/>
  <c r="J4059" i="1" s="1"/>
  <c r="K4059" i="1" s="1"/>
  <c r="L4059" i="1" s="1"/>
  <c r="H5270" i="1"/>
  <c r="I5270" i="1" s="1"/>
  <c r="J5270" i="1" s="1"/>
  <c r="K5270" i="1" s="1"/>
  <c r="L5270" i="1" s="1"/>
  <c r="H4553" i="1"/>
  <c r="I4553" i="1" s="1"/>
  <c r="J4553" i="1" s="1"/>
  <c r="K4553" i="1" s="1"/>
  <c r="L4553" i="1" s="1"/>
  <c r="H3007" i="1"/>
  <c r="I3007" i="1" s="1"/>
  <c r="J3007" i="1" s="1"/>
  <c r="K3007" i="1" s="1"/>
  <c r="L3007" i="1" s="1"/>
  <c r="H5617" i="1"/>
  <c r="I5617" i="1" s="1"/>
  <c r="J5617" i="1" s="1"/>
  <c r="K5617" i="1" s="1"/>
  <c r="L5617" i="1" s="1"/>
  <c r="H303" i="1"/>
  <c r="I303" i="1" s="1"/>
  <c r="J303" i="1" s="1"/>
  <c r="H323" i="1"/>
  <c r="I323" i="1" s="1"/>
  <c r="J323" i="1" s="1"/>
  <c r="H133" i="1"/>
  <c r="I133" i="1" s="1"/>
  <c r="J133" i="1" s="1"/>
  <c r="K133" i="1" s="1"/>
  <c r="L133" i="1" s="1"/>
  <c r="H446" i="1"/>
  <c r="I446" i="1" s="1"/>
  <c r="J446" i="1" s="1"/>
  <c r="K446" i="1" s="1"/>
  <c r="L446" i="1" s="1"/>
  <c r="H2685" i="1"/>
  <c r="I2685" i="1" s="1"/>
  <c r="J2685" i="1" s="1"/>
  <c r="K2685" i="1" s="1"/>
  <c r="L2685" i="1" s="1"/>
  <c r="H4484" i="1"/>
  <c r="I4484" i="1" s="1"/>
  <c r="J4484" i="1" s="1"/>
  <c r="K4484" i="1" s="1"/>
  <c r="L4484" i="1" s="1"/>
  <c r="H5779" i="1"/>
  <c r="I5779" i="1" s="1"/>
  <c r="J5779" i="1" s="1"/>
  <c r="K5779" i="1" s="1"/>
  <c r="L5779" i="1" s="1"/>
  <c r="H5712" i="1"/>
  <c r="I5712" i="1" s="1"/>
  <c r="J5712" i="1" s="1"/>
  <c r="K5712" i="1" s="1"/>
  <c r="L5712" i="1" s="1"/>
  <c r="H1824" i="1"/>
  <c r="I1824" i="1" s="1"/>
  <c r="J1824" i="1" s="1"/>
  <c r="K1824" i="1" s="1"/>
  <c r="L1824" i="1" s="1"/>
  <c r="H5184" i="1"/>
  <c r="I5184" i="1" s="1"/>
  <c r="J5184" i="1" s="1"/>
  <c r="K5184" i="1" s="1"/>
  <c r="L5184" i="1" s="1"/>
  <c r="H5846" i="1"/>
  <c r="I5846" i="1" s="1"/>
  <c r="J5846" i="1" s="1"/>
  <c r="K5846" i="1" s="1"/>
  <c r="L5846" i="1" s="1"/>
  <c r="H5637" i="1"/>
  <c r="I5637" i="1" s="1"/>
  <c r="J5637" i="1" s="1"/>
  <c r="K5637" i="1" s="1"/>
  <c r="L5637" i="1" s="1"/>
  <c r="H3041" i="1"/>
  <c r="I3041" i="1" s="1"/>
  <c r="J3041" i="1" s="1"/>
  <c r="K3041" i="1" s="1"/>
  <c r="L3041" i="1" s="1"/>
  <c r="H5469" i="1"/>
  <c r="I5469" i="1" s="1"/>
  <c r="J5469" i="1" s="1"/>
  <c r="K5469" i="1" s="1"/>
  <c r="L5469" i="1" s="1"/>
  <c r="H2639" i="1"/>
  <c r="I2639" i="1" s="1"/>
  <c r="J2639" i="1" s="1"/>
  <c r="K2639" i="1" s="1"/>
  <c r="L2639" i="1" s="1"/>
  <c r="H4215" i="1"/>
  <c r="I4215" i="1" s="1"/>
  <c r="J4215" i="1" s="1"/>
  <c r="K4215" i="1" s="1"/>
  <c r="L4215" i="1" s="1"/>
  <c r="H3364" i="1"/>
  <c r="I3364" i="1" s="1"/>
  <c r="J3364" i="1" s="1"/>
  <c r="H5492" i="1"/>
  <c r="I5492" i="1" s="1"/>
  <c r="J5492" i="1" s="1"/>
  <c r="K5492" i="1" s="1"/>
  <c r="L5492" i="1" s="1"/>
  <c r="H2851" i="1"/>
  <c r="I2851" i="1" s="1"/>
  <c r="J2851" i="1" s="1"/>
  <c r="K2851" i="1" s="1"/>
  <c r="L2851" i="1" s="1"/>
  <c r="H3858" i="1"/>
  <c r="I3858" i="1" s="1"/>
  <c r="J3858" i="1" s="1"/>
  <c r="H2760" i="1"/>
  <c r="I2760" i="1" s="1"/>
  <c r="J2760" i="1" s="1"/>
  <c r="K2760" i="1" s="1"/>
  <c r="L2760" i="1" s="1"/>
  <c r="H2159" i="1"/>
  <c r="I2159" i="1" s="1"/>
  <c r="J2159" i="1" s="1"/>
  <c r="K2159" i="1" s="1"/>
  <c r="L2159" i="1" s="1"/>
  <c r="H4333" i="1"/>
  <c r="I4333" i="1" s="1"/>
  <c r="J4333" i="1" s="1"/>
  <c r="K4333" i="1" s="1"/>
  <c r="L4333" i="1" s="1"/>
  <c r="H357" i="1"/>
  <c r="I357" i="1" s="1"/>
  <c r="J357" i="1" s="1"/>
  <c r="K357" i="1" s="1"/>
  <c r="L357" i="1" s="1"/>
  <c r="H5889" i="1"/>
  <c r="I5889" i="1" s="1"/>
  <c r="J5889" i="1" s="1"/>
  <c r="K5889" i="1" s="1"/>
  <c r="L5889" i="1" s="1"/>
  <c r="H987" i="1"/>
  <c r="I987" i="1" s="1"/>
  <c r="J987" i="1" s="1"/>
  <c r="K987" i="1" s="1"/>
  <c r="L987" i="1" s="1"/>
  <c r="H1086" i="1"/>
  <c r="I1086" i="1" s="1"/>
  <c r="J1086" i="1" s="1"/>
  <c r="K1086" i="1" s="1"/>
  <c r="L1086" i="1" s="1"/>
  <c r="H4843" i="1"/>
  <c r="I4843" i="1" s="1"/>
  <c r="J4843" i="1" s="1"/>
  <c r="K4843" i="1" s="1"/>
  <c r="L4843" i="1" s="1"/>
  <c r="H4674" i="1"/>
  <c r="I4674" i="1" s="1"/>
  <c r="J4674" i="1" s="1"/>
  <c r="K4674" i="1" s="1"/>
  <c r="L4674" i="1" s="1"/>
  <c r="H885" i="1"/>
  <c r="I885" i="1" s="1"/>
  <c r="J885" i="1" s="1"/>
  <c r="K885" i="1" s="1"/>
  <c r="L885" i="1" s="1"/>
  <c r="H3278" i="1"/>
  <c r="I3278" i="1" s="1"/>
  <c r="J3278" i="1" s="1"/>
  <c r="K3278" i="1" s="1"/>
  <c r="L3278" i="1" s="1"/>
  <c r="H3220" i="1"/>
  <c r="I3220" i="1" s="1"/>
  <c r="J3220" i="1" s="1"/>
  <c r="K3220" i="1" s="1"/>
  <c r="L3220" i="1" s="1"/>
  <c r="H2532" i="1"/>
  <c r="I2532" i="1" s="1"/>
  <c r="J2532" i="1" s="1"/>
  <c r="H2983" i="1"/>
  <c r="I2983" i="1" s="1"/>
  <c r="J2983" i="1" s="1"/>
  <c r="H598" i="1"/>
  <c r="I598" i="1" s="1"/>
  <c r="J598" i="1" s="1"/>
  <c r="K598" i="1" s="1"/>
  <c r="L598" i="1" s="1"/>
  <c r="H3665" i="1"/>
  <c r="I3665" i="1" s="1"/>
  <c r="J3665" i="1" s="1"/>
  <c r="H1648" i="1"/>
  <c r="I1648" i="1" s="1"/>
  <c r="J1648" i="1" s="1"/>
  <c r="K1648" i="1" s="1"/>
  <c r="L1648" i="1" s="1"/>
  <c r="H388" i="1"/>
  <c r="I388" i="1" s="1"/>
  <c r="J388" i="1" s="1"/>
  <c r="K388" i="1" s="1"/>
  <c r="L388" i="1" s="1"/>
  <c r="H2881" i="1"/>
  <c r="I2881" i="1" s="1"/>
  <c r="J2881" i="1" s="1"/>
  <c r="K2881" i="1" s="1"/>
  <c r="L2881" i="1" s="1"/>
  <c r="H5398" i="1"/>
  <c r="I5398" i="1" s="1"/>
  <c r="J5398" i="1" s="1"/>
  <c r="K5398" i="1" s="1"/>
  <c r="L5398" i="1" s="1"/>
  <c r="H846" i="1"/>
  <c r="I846" i="1" s="1"/>
  <c r="J846" i="1" s="1"/>
  <c r="K846" i="1" s="1"/>
  <c r="L846" i="1" s="1"/>
  <c r="H876" i="1"/>
  <c r="I876" i="1" s="1"/>
  <c r="J876" i="1" s="1"/>
  <c r="K876" i="1" s="1"/>
  <c r="L876" i="1" s="1"/>
  <c r="H2375" i="1"/>
  <c r="I2375" i="1" s="1"/>
  <c r="J2375" i="1" s="1"/>
  <c r="K2375" i="1" s="1"/>
  <c r="L2375" i="1" s="1"/>
  <c r="H5662" i="1"/>
  <c r="I5662" i="1" s="1"/>
  <c r="J5662" i="1" s="1"/>
  <c r="K5662" i="1" s="1"/>
  <c r="L5662" i="1" s="1"/>
  <c r="H5493" i="1"/>
  <c r="I5493" i="1" s="1"/>
  <c r="J5493" i="1" s="1"/>
  <c r="K5493" i="1" s="1"/>
  <c r="L5493" i="1" s="1"/>
  <c r="H5169" i="1"/>
  <c r="I5169" i="1" s="1"/>
  <c r="J5169" i="1" s="1"/>
  <c r="K5169" i="1" s="1"/>
  <c r="L5169" i="1" s="1"/>
  <c r="H1749" i="1"/>
  <c r="I1749" i="1" s="1"/>
  <c r="J1749" i="1" s="1"/>
  <c r="K1749" i="1" s="1"/>
  <c r="L1749" i="1" s="1"/>
  <c r="H1521" i="1"/>
  <c r="I1521" i="1" s="1"/>
  <c r="J1521" i="1" s="1"/>
  <c r="H4974" i="1"/>
  <c r="I4974" i="1" s="1"/>
  <c r="J4974" i="1" s="1"/>
  <c r="K4974" i="1" s="1"/>
  <c r="L4974" i="1" s="1"/>
  <c r="H1402" i="1"/>
  <c r="I1402" i="1" s="1"/>
  <c r="J1402" i="1" s="1"/>
  <c r="H658" i="1"/>
  <c r="I658" i="1" s="1"/>
  <c r="J658" i="1" s="1"/>
  <c r="K658" i="1" s="1"/>
  <c r="L658" i="1" s="1"/>
  <c r="H472" i="1"/>
  <c r="I472" i="1" s="1"/>
  <c r="J472" i="1" s="1"/>
  <c r="H1168" i="1"/>
  <c r="I1168" i="1" s="1"/>
  <c r="J1168" i="1" s="1"/>
  <c r="K1168" i="1" s="1"/>
  <c r="L1168" i="1" s="1"/>
  <c r="H558" i="1"/>
  <c r="I558" i="1" s="1"/>
  <c r="J558" i="1" s="1"/>
  <c r="K558" i="1" s="1"/>
  <c r="L558" i="1" s="1"/>
  <c r="H2693" i="1"/>
  <c r="I2693" i="1" s="1"/>
  <c r="J2693" i="1" s="1"/>
  <c r="K2693" i="1" s="1"/>
  <c r="L2693" i="1" s="1"/>
  <c r="H227" i="1"/>
  <c r="I227" i="1" s="1"/>
  <c r="J227" i="1" s="1"/>
  <c r="K227" i="1" s="1"/>
  <c r="L227" i="1" s="1"/>
  <c r="H2302" i="1"/>
  <c r="I2302" i="1" s="1"/>
  <c r="J2302" i="1" s="1"/>
  <c r="K2302" i="1" s="1"/>
  <c r="L2302" i="1" s="1"/>
  <c r="H2563" i="1"/>
  <c r="I2563" i="1" s="1"/>
  <c r="J2563" i="1" s="1"/>
  <c r="K2563" i="1" s="1"/>
  <c r="L2563" i="1" s="1"/>
  <c r="H2331" i="1"/>
  <c r="I2331" i="1" s="1"/>
  <c r="J2331" i="1" s="1"/>
  <c r="K2331" i="1" s="1"/>
  <c r="L2331" i="1" s="1"/>
  <c r="H1114" i="1"/>
  <c r="I1114" i="1" s="1"/>
  <c r="J1114" i="1" s="1"/>
  <c r="K1114" i="1" s="1"/>
  <c r="L1114" i="1" s="1"/>
  <c r="H190" i="1"/>
  <c r="I190" i="1" s="1"/>
  <c r="J190" i="1" s="1"/>
  <c r="K190" i="1" s="1"/>
  <c r="L190" i="1" s="1"/>
  <c r="H4574" i="1"/>
  <c r="I4574" i="1" s="1"/>
  <c r="J4574" i="1" s="1"/>
  <c r="K4574" i="1" s="1"/>
  <c r="L4574" i="1" s="1"/>
  <c r="H3072" i="1"/>
  <c r="I3072" i="1" s="1"/>
  <c r="J3072" i="1" s="1"/>
  <c r="K3072" i="1" s="1"/>
  <c r="L3072" i="1" s="1"/>
  <c r="H5546" i="1"/>
  <c r="I5546" i="1" s="1"/>
  <c r="J5546" i="1" s="1"/>
  <c r="K5546" i="1" s="1"/>
  <c r="L5546" i="1" s="1"/>
  <c r="H4741" i="1"/>
  <c r="I4741" i="1" s="1"/>
  <c r="J4741" i="1" s="1"/>
  <c r="K4741" i="1" s="1"/>
  <c r="L4741" i="1" s="1"/>
  <c r="H2346" i="1"/>
  <c r="I2346" i="1" s="1"/>
  <c r="J2346" i="1" s="1"/>
  <c r="H1155" i="1"/>
  <c r="I1155" i="1" s="1"/>
  <c r="J1155" i="1" s="1"/>
  <c r="K1155" i="1" s="1"/>
  <c r="L1155" i="1" s="1"/>
  <c r="H3992" i="1"/>
  <c r="I3992" i="1" s="1"/>
  <c r="J3992" i="1" s="1"/>
  <c r="H40" i="1"/>
  <c r="I40" i="1" s="1"/>
  <c r="J40" i="1" s="1"/>
  <c r="K40" i="1" s="1"/>
  <c r="L40" i="1" s="1"/>
  <c r="H1269" i="1"/>
  <c r="I1269" i="1" s="1"/>
  <c r="J1269" i="1" s="1"/>
  <c r="K1269" i="1" s="1"/>
  <c r="L1269" i="1" s="1"/>
  <c r="H2755" i="1"/>
  <c r="I2755" i="1" s="1"/>
  <c r="J2755" i="1" s="1"/>
  <c r="K2755" i="1" s="1"/>
  <c r="L2755" i="1" s="1"/>
  <c r="H2036" i="1"/>
  <c r="I2036" i="1" s="1"/>
  <c r="J2036" i="1" s="1"/>
  <c r="K2036" i="1" s="1"/>
  <c r="L2036" i="1" s="1"/>
  <c r="H1189" i="1"/>
  <c r="I1189" i="1" s="1"/>
  <c r="J1189" i="1" s="1"/>
  <c r="K1189" i="1" s="1"/>
  <c r="L1189" i="1" s="1"/>
  <c r="H2247" i="1"/>
  <c r="I2247" i="1" s="1"/>
  <c r="J2247" i="1" s="1"/>
  <c r="K2247" i="1" s="1"/>
  <c r="L2247" i="1" s="1"/>
  <c r="H271" i="1"/>
  <c r="I271" i="1" s="1"/>
  <c r="J271" i="1" s="1"/>
  <c r="K271" i="1" s="1"/>
  <c r="L271" i="1" s="1"/>
  <c r="H4147" i="1"/>
  <c r="I4147" i="1" s="1"/>
  <c r="J4147" i="1" s="1"/>
  <c r="K4147" i="1" s="1"/>
  <c r="L4147" i="1" s="1"/>
  <c r="H1099" i="1"/>
  <c r="I1099" i="1" s="1"/>
  <c r="J1099" i="1" s="1"/>
  <c r="H4280" i="1"/>
  <c r="I4280" i="1" s="1"/>
  <c r="J4280" i="1" s="1"/>
  <c r="K4280" i="1" s="1"/>
  <c r="L4280" i="1" s="1"/>
  <c r="H1873" i="1"/>
  <c r="I1873" i="1" s="1"/>
  <c r="J1873" i="1" s="1"/>
  <c r="K1873" i="1" s="1"/>
  <c r="L1873" i="1" s="1"/>
  <c r="H2304" i="1"/>
  <c r="I2304" i="1" s="1"/>
  <c r="J2304" i="1" s="1"/>
  <c r="K2304" i="1" s="1"/>
  <c r="L2304" i="1" s="1"/>
  <c r="H4995" i="1"/>
  <c r="I4995" i="1" s="1"/>
  <c r="J4995" i="1" s="1"/>
  <c r="H203" i="1"/>
  <c r="I203" i="1" s="1"/>
  <c r="J203" i="1" s="1"/>
  <c r="H5353" i="1"/>
  <c r="I5353" i="1" s="1"/>
  <c r="J5353" i="1" s="1"/>
  <c r="K5353" i="1" s="1"/>
  <c r="L5353" i="1" s="1"/>
  <c r="H3590" i="1"/>
  <c r="I3590" i="1" s="1"/>
  <c r="J3590" i="1" s="1"/>
  <c r="K3590" i="1" s="1"/>
  <c r="L3590" i="1" s="1"/>
  <c r="H556" i="1"/>
  <c r="I556" i="1" s="1"/>
  <c r="J556" i="1" s="1"/>
  <c r="K556" i="1" s="1"/>
  <c r="L556" i="1" s="1"/>
  <c r="H3281" i="1"/>
  <c r="I3281" i="1" s="1"/>
  <c r="J3281" i="1" s="1"/>
  <c r="K3281" i="1" s="1"/>
  <c r="L3281" i="1" s="1"/>
  <c r="H1068" i="1"/>
  <c r="I1068" i="1" s="1"/>
  <c r="J1068" i="1" s="1"/>
  <c r="K1068" i="1" s="1"/>
  <c r="L1068" i="1" s="1"/>
  <c r="H5777" i="1"/>
  <c r="I5777" i="1" s="1"/>
  <c r="J5777" i="1" s="1"/>
  <c r="K5777" i="1" s="1"/>
  <c r="L5777" i="1" s="1"/>
  <c r="H1415" i="1"/>
  <c r="I1415" i="1" s="1"/>
  <c r="J1415" i="1" s="1"/>
  <c r="K1415" i="1" s="1"/>
  <c r="L1415" i="1" s="1"/>
  <c r="H1381" i="1"/>
  <c r="I1381" i="1" s="1"/>
  <c r="J1381" i="1" s="1"/>
  <c r="K1381" i="1" s="1"/>
  <c r="L1381" i="1" s="1"/>
  <c r="H5252" i="1"/>
  <c r="I5252" i="1" s="1"/>
  <c r="J5252" i="1" s="1"/>
  <c r="K5252" i="1" s="1"/>
  <c r="L5252" i="1" s="1"/>
  <c r="H3568" i="1"/>
  <c r="I3568" i="1" s="1"/>
  <c r="J3568" i="1" s="1"/>
  <c r="K3568" i="1" s="1"/>
  <c r="L3568" i="1" s="1"/>
  <c r="H3313" i="1"/>
  <c r="I3313" i="1" s="1"/>
  <c r="J3313" i="1" s="1"/>
  <c r="K3313" i="1" s="1"/>
  <c r="L3313" i="1" s="1"/>
  <c r="H5796" i="1"/>
  <c r="I5796" i="1" s="1"/>
  <c r="J5796" i="1" s="1"/>
  <c r="K5796" i="1" s="1"/>
  <c r="L5796" i="1" s="1"/>
  <c r="H5823" i="1"/>
  <c r="I5823" i="1" s="1"/>
  <c r="J5823" i="1" s="1"/>
  <c r="K5823" i="1" s="1"/>
  <c r="L5823" i="1" s="1"/>
  <c r="H93" i="1"/>
  <c r="I93" i="1" s="1"/>
  <c r="J93" i="1" s="1"/>
  <c r="K93" i="1" s="1"/>
  <c r="L93" i="1" s="1"/>
  <c r="H2276" i="1"/>
  <c r="I2276" i="1" s="1"/>
  <c r="J2276" i="1" s="1"/>
  <c r="H1754" i="1"/>
  <c r="I1754" i="1" s="1"/>
  <c r="J1754" i="1" s="1"/>
  <c r="H3646" i="1"/>
  <c r="I3646" i="1" s="1"/>
  <c r="J3646" i="1" s="1"/>
  <c r="K3646" i="1" s="1"/>
  <c r="L3646" i="1" s="1"/>
  <c r="H1880" i="1"/>
  <c r="I1880" i="1" s="1"/>
  <c r="J1880" i="1" s="1"/>
  <c r="K1880" i="1" s="1"/>
  <c r="L1880" i="1" s="1"/>
  <c r="H368" i="1"/>
  <c r="I368" i="1" s="1"/>
  <c r="J368" i="1" s="1"/>
  <c r="K368" i="1" s="1"/>
  <c r="L368" i="1" s="1"/>
  <c r="H676" i="1"/>
  <c r="I676" i="1" s="1"/>
  <c r="J676" i="1" s="1"/>
  <c r="K676" i="1" s="1"/>
  <c r="L676" i="1" s="1"/>
  <c r="H2009" i="1"/>
  <c r="I2009" i="1" s="1"/>
  <c r="J2009" i="1" s="1"/>
  <c r="K2009" i="1" s="1"/>
  <c r="L2009" i="1" s="1"/>
  <c r="H685" i="1"/>
  <c r="I685" i="1" s="1"/>
  <c r="J685" i="1" s="1"/>
  <c r="K685" i="1" s="1"/>
  <c r="L685" i="1" s="1"/>
  <c r="H3076" i="1"/>
  <c r="I3076" i="1" s="1"/>
  <c r="J3076" i="1" s="1"/>
  <c r="K3076" i="1" s="1"/>
  <c r="L3076" i="1" s="1"/>
  <c r="H760" i="1"/>
  <c r="I760" i="1" s="1"/>
  <c r="J760" i="1" s="1"/>
  <c r="K760" i="1" s="1"/>
  <c r="L760" i="1" s="1"/>
  <c r="H4983" i="1"/>
  <c r="I4983" i="1" s="1"/>
  <c r="J4983" i="1" s="1"/>
  <c r="K4983" i="1" s="1"/>
  <c r="L4983" i="1" s="1"/>
  <c r="H2267" i="1"/>
  <c r="I2267" i="1" s="1"/>
  <c r="J2267" i="1" s="1"/>
  <c r="K2267" i="1" s="1"/>
  <c r="L2267" i="1" s="1"/>
  <c r="H374" i="1"/>
  <c r="I374" i="1" s="1"/>
  <c r="J374" i="1" s="1"/>
  <c r="K374" i="1" s="1"/>
  <c r="L374" i="1" s="1"/>
  <c r="H2051" i="1"/>
  <c r="I2051" i="1" s="1"/>
  <c r="J2051" i="1" s="1"/>
  <c r="K2051" i="1" s="1"/>
  <c r="L2051" i="1" s="1"/>
  <c r="H5887" i="1"/>
  <c r="I5887" i="1" s="1"/>
  <c r="J5887" i="1" s="1"/>
  <c r="K5887" i="1" s="1"/>
  <c r="L5887" i="1" s="1"/>
  <c r="H2536" i="1"/>
  <c r="I2536" i="1" s="1"/>
  <c r="J2536" i="1" s="1"/>
  <c r="K2536" i="1" s="1"/>
  <c r="L2536" i="1" s="1"/>
  <c r="H648" i="1"/>
  <c r="I648" i="1" s="1"/>
  <c r="J648" i="1" s="1"/>
  <c r="H5281" i="1"/>
  <c r="I5281" i="1" s="1"/>
  <c r="J5281" i="1" s="1"/>
  <c r="H213" i="1"/>
  <c r="I213" i="1" s="1"/>
  <c r="J213" i="1" s="1"/>
  <c r="K213" i="1" s="1"/>
  <c r="L213" i="1" s="1"/>
  <c r="H66" i="1"/>
  <c r="I66" i="1" s="1"/>
  <c r="J66" i="1" s="1"/>
  <c r="K66" i="1" s="1"/>
  <c r="L66" i="1" s="1"/>
  <c r="H224" i="1"/>
  <c r="I224" i="1" s="1"/>
  <c r="J224" i="1" s="1"/>
  <c r="K224" i="1" s="1"/>
  <c r="L224" i="1" s="1"/>
  <c r="H5863" i="1"/>
  <c r="I5863" i="1" s="1"/>
  <c r="J5863" i="1" s="1"/>
  <c r="K5863" i="1" s="1"/>
  <c r="L5863" i="1" s="1"/>
  <c r="H3953" i="1"/>
  <c r="I3953" i="1" s="1"/>
  <c r="J3953" i="1" s="1"/>
  <c r="K3953" i="1" s="1"/>
  <c r="L3953" i="1" s="1"/>
  <c r="H3270" i="1"/>
  <c r="I3270" i="1" s="1"/>
  <c r="J3270" i="1" s="1"/>
  <c r="K3270" i="1" s="1"/>
  <c r="L3270" i="1" s="1"/>
  <c r="H3132" i="1"/>
  <c r="I3132" i="1" s="1"/>
  <c r="J3132" i="1" s="1"/>
  <c r="K3132" i="1" s="1"/>
  <c r="L3132" i="1" s="1"/>
  <c r="H2327" i="1"/>
  <c r="I2327" i="1" s="1"/>
  <c r="J2327" i="1" s="1"/>
  <c r="K2327" i="1" s="1"/>
  <c r="L2327" i="1" s="1"/>
  <c r="H1613" i="1"/>
  <c r="I1613" i="1" s="1"/>
  <c r="J1613" i="1" s="1"/>
  <c r="K1613" i="1" s="1"/>
  <c r="L1613" i="1" s="1"/>
  <c r="H4495" i="1"/>
  <c r="I4495" i="1" s="1"/>
  <c r="J4495" i="1" s="1"/>
  <c r="K4495" i="1" s="1"/>
  <c r="L4495" i="1" s="1"/>
  <c r="H5691" i="1"/>
  <c r="I5691" i="1" s="1"/>
  <c r="J5691" i="1" s="1"/>
  <c r="K5691" i="1" s="1"/>
  <c r="L5691" i="1" s="1"/>
  <c r="H554" i="1"/>
  <c r="I554" i="1" s="1"/>
  <c r="J554" i="1" s="1"/>
  <c r="K554" i="1" s="1"/>
  <c r="L554" i="1" s="1"/>
  <c r="H5946" i="1"/>
  <c r="I5946" i="1" s="1"/>
  <c r="J5946" i="1" s="1"/>
  <c r="K5946" i="1" s="1"/>
  <c r="L5946" i="1" s="1"/>
  <c r="H1828" i="1"/>
  <c r="I1828" i="1" s="1"/>
  <c r="J1828" i="1" s="1"/>
  <c r="K1828" i="1" s="1"/>
  <c r="L1828" i="1" s="1"/>
  <c r="H3851" i="1"/>
  <c r="I3851" i="1" s="1"/>
  <c r="J3851" i="1" s="1"/>
  <c r="H2008" i="1"/>
  <c r="I2008" i="1" s="1"/>
  <c r="J2008" i="1" s="1"/>
  <c r="H2391" i="1"/>
  <c r="I2391" i="1" s="1"/>
  <c r="J2391" i="1" s="1"/>
  <c r="K2391" i="1" s="1"/>
  <c r="L2391" i="1" s="1"/>
  <c r="H4634" i="1"/>
  <c r="I4634" i="1" s="1"/>
  <c r="J4634" i="1" s="1"/>
  <c r="K4634" i="1" s="1"/>
  <c r="L4634" i="1" s="1"/>
  <c r="H1452" i="1"/>
  <c r="I1452" i="1" s="1"/>
  <c r="J1452" i="1" s="1"/>
  <c r="K1452" i="1" s="1"/>
  <c r="L1452" i="1" s="1"/>
  <c r="H4317" i="1"/>
  <c r="I4317" i="1" s="1"/>
  <c r="J4317" i="1" s="1"/>
  <c r="K4317" i="1" s="1"/>
  <c r="L4317" i="1" s="1"/>
  <c r="H3400" i="1"/>
  <c r="I3400" i="1" s="1"/>
  <c r="J3400" i="1" s="1"/>
  <c r="K3400" i="1" s="1"/>
  <c r="L3400" i="1" s="1"/>
  <c r="H2596" i="1"/>
  <c r="I2596" i="1" s="1"/>
  <c r="J2596" i="1" s="1"/>
  <c r="K2596" i="1" s="1"/>
  <c r="L2596" i="1" s="1"/>
  <c r="H3114" i="1"/>
  <c r="I3114" i="1" s="1"/>
  <c r="J3114" i="1" s="1"/>
  <c r="K3114" i="1" s="1"/>
  <c r="L3114" i="1" s="1"/>
  <c r="H5857" i="1"/>
  <c r="I5857" i="1" s="1"/>
  <c r="J5857" i="1" s="1"/>
  <c r="K5857" i="1" s="1"/>
  <c r="L5857" i="1" s="1"/>
  <c r="H1393" i="1"/>
  <c r="I1393" i="1" s="1"/>
  <c r="J1393" i="1" s="1"/>
  <c r="K1393" i="1" s="1"/>
  <c r="L1393" i="1" s="1"/>
  <c r="H1738" i="1"/>
  <c r="I1738" i="1" s="1"/>
  <c r="J1738" i="1" s="1"/>
  <c r="K1738" i="1" s="1"/>
  <c r="L1738" i="1" s="1"/>
  <c r="H389" i="1"/>
  <c r="I389" i="1" s="1"/>
  <c r="J389" i="1" s="1"/>
  <c r="K389" i="1" s="1"/>
  <c r="L389" i="1" s="1"/>
  <c r="H4664" i="1"/>
  <c r="I4664" i="1" s="1"/>
  <c r="J4664" i="1" s="1"/>
  <c r="K4664" i="1" s="1"/>
  <c r="L4664" i="1" s="1"/>
  <c r="H4021" i="1"/>
  <c r="I4021" i="1" s="1"/>
  <c r="J4021" i="1" s="1"/>
  <c r="K4021" i="1" s="1"/>
  <c r="L4021" i="1" s="1"/>
  <c r="H229" i="1"/>
  <c r="I229" i="1" s="1"/>
  <c r="J229" i="1" s="1"/>
  <c r="K229" i="1" s="1"/>
  <c r="L229" i="1" s="1"/>
  <c r="H4198" i="1"/>
  <c r="I4198" i="1" s="1"/>
  <c r="J4198" i="1" s="1"/>
  <c r="H3103" i="1"/>
  <c r="I3103" i="1" s="1"/>
  <c r="J3103" i="1" s="1"/>
  <c r="H1672" i="1"/>
  <c r="I1672" i="1" s="1"/>
  <c r="J1672" i="1" s="1"/>
  <c r="K1672" i="1" s="1"/>
  <c r="L1672" i="1" s="1"/>
  <c r="H3876" i="1"/>
  <c r="I3876" i="1" s="1"/>
  <c r="J3876" i="1" s="1"/>
  <c r="K3876" i="1" s="1"/>
  <c r="L3876" i="1" s="1"/>
  <c r="H5144" i="1"/>
  <c r="I5144" i="1" s="1"/>
  <c r="J5144" i="1" s="1"/>
  <c r="K5144" i="1" s="1"/>
  <c r="L5144" i="1" s="1"/>
  <c r="H1368" i="1"/>
  <c r="I1368" i="1" s="1"/>
  <c r="J1368" i="1" s="1"/>
  <c r="K1368" i="1" s="1"/>
  <c r="L1368" i="1" s="1"/>
  <c r="H2310" i="1"/>
  <c r="I2310" i="1" s="1"/>
  <c r="J2310" i="1" s="1"/>
  <c r="K2310" i="1" s="1"/>
  <c r="L2310" i="1" s="1"/>
  <c r="H2143" i="1"/>
  <c r="I2143" i="1" s="1"/>
  <c r="J2143" i="1" s="1"/>
  <c r="K2143" i="1" s="1"/>
  <c r="L2143" i="1" s="1"/>
  <c r="F7" i="8"/>
  <c r="G7" i="8" s="1"/>
  <c r="H5363" i="1"/>
  <c r="I5363" i="1" s="1"/>
  <c r="J5363" i="1" s="1"/>
  <c r="K5363" i="1" s="1"/>
  <c r="L5363" i="1" s="1"/>
  <c r="H1851" i="1"/>
  <c r="I1851" i="1" s="1"/>
  <c r="J1851" i="1" s="1"/>
  <c r="K1851" i="1" s="1"/>
  <c r="L1851" i="1" s="1"/>
  <c r="H4801" i="1"/>
  <c r="I4801" i="1" s="1"/>
  <c r="J4801" i="1" s="1"/>
  <c r="K4801" i="1" s="1"/>
  <c r="L4801" i="1" s="1"/>
  <c r="H41" i="1"/>
  <c r="I41" i="1" s="1"/>
  <c r="J41" i="1" s="1"/>
  <c r="K41" i="1" s="1"/>
  <c r="L41" i="1" s="1"/>
  <c r="H3331" i="1"/>
  <c r="I3331" i="1" s="1"/>
  <c r="J3331" i="1" s="1"/>
  <c r="K3331" i="1" s="1"/>
  <c r="L3331" i="1" s="1"/>
  <c r="H2849" i="1"/>
  <c r="I2849" i="1" s="1"/>
  <c r="J2849" i="1" s="1"/>
  <c r="K2849" i="1" s="1"/>
  <c r="L2849" i="1" s="1"/>
  <c r="H4706" i="1"/>
  <c r="I4706" i="1" s="1"/>
  <c r="J4706" i="1" s="1"/>
  <c r="K4706" i="1" s="1"/>
  <c r="L4706" i="1" s="1"/>
  <c r="H2575" i="1"/>
  <c r="I2575" i="1" s="1"/>
  <c r="J2575" i="1" s="1"/>
  <c r="H2289" i="1"/>
  <c r="I2289" i="1" s="1"/>
  <c r="J2289" i="1" s="1"/>
  <c r="H5000" i="1"/>
  <c r="I5000" i="1" s="1"/>
  <c r="J5000" i="1" s="1"/>
  <c r="K5000" i="1" s="1"/>
  <c r="L5000" i="1" s="1"/>
  <c r="H5236" i="1"/>
  <c r="I5236" i="1" s="1"/>
  <c r="J5236" i="1" s="1"/>
  <c r="K5236" i="1" s="1"/>
  <c r="L5236" i="1" s="1"/>
  <c r="H3157" i="1"/>
  <c r="I3157" i="1" s="1"/>
  <c r="J3157" i="1" s="1"/>
  <c r="K3157" i="1" s="1"/>
  <c r="L3157" i="1" s="1"/>
  <c r="H4598" i="1"/>
  <c r="I4598" i="1" s="1"/>
  <c r="J4598" i="1" s="1"/>
  <c r="K4598" i="1" s="1"/>
  <c r="L4598" i="1" s="1"/>
  <c r="H2447" i="1"/>
  <c r="I2447" i="1" s="1"/>
  <c r="J2447" i="1" s="1"/>
  <c r="K2447" i="1" s="1"/>
  <c r="L2447" i="1" s="1"/>
  <c r="H2591" i="1"/>
  <c r="I2591" i="1" s="1"/>
  <c r="J2591" i="1" s="1"/>
  <c r="K2591" i="1" s="1"/>
  <c r="L2591" i="1" s="1"/>
  <c r="H35" i="1"/>
  <c r="I35" i="1" s="1"/>
  <c r="H2815" i="1"/>
  <c r="I2815" i="1" s="1"/>
  <c r="J2815" i="1" s="1"/>
  <c r="K2815" i="1" s="1"/>
  <c r="L2815" i="1" s="1"/>
  <c r="H5837" i="1"/>
  <c r="I5837" i="1" s="1"/>
  <c r="J5837" i="1" s="1"/>
  <c r="K5837" i="1" s="1"/>
  <c r="L5837" i="1" s="1"/>
  <c r="H5894" i="1"/>
  <c r="I5894" i="1" s="1"/>
  <c r="J5894" i="1" s="1"/>
  <c r="K5894" i="1" s="1"/>
  <c r="L5894" i="1" s="1"/>
  <c r="H1947" i="1"/>
  <c r="I1947" i="1" s="1"/>
  <c r="J1947" i="1" s="1"/>
  <c r="K1947" i="1" s="1"/>
  <c r="L1947" i="1" s="1"/>
  <c r="H4073" i="1"/>
  <c r="I4073" i="1" s="1"/>
  <c r="J4073" i="1" s="1"/>
  <c r="K4073" i="1" s="1"/>
  <c r="L4073" i="1" s="1"/>
  <c r="H5101" i="1"/>
  <c r="I5101" i="1" s="1"/>
  <c r="J5101" i="1" s="1"/>
  <c r="K5101" i="1" s="1"/>
  <c r="L5101" i="1" s="1"/>
  <c r="H1234" i="1"/>
  <c r="I1234" i="1" s="1"/>
  <c r="J1234" i="1" s="1"/>
  <c r="K1234" i="1" s="1"/>
  <c r="L1234" i="1" s="1"/>
  <c r="H3775" i="1"/>
  <c r="I3775" i="1" s="1"/>
  <c r="J3775" i="1" s="1"/>
  <c r="H2836" i="1"/>
  <c r="I2836" i="1" s="1"/>
  <c r="J2836" i="1" s="1"/>
  <c r="H3829" i="1"/>
  <c r="I3829" i="1" s="1"/>
  <c r="J3829" i="1" s="1"/>
  <c r="K3829" i="1" s="1"/>
  <c r="L3829" i="1" s="1"/>
  <c r="H2838" i="1"/>
  <c r="I2838" i="1" s="1"/>
  <c r="J2838" i="1" s="1"/>
  <c r="H1751" i="1"/>
  <c r="I1751" i="1" s="1"/>
  <c r="J1751" i="1" s="1"/>
  <c r="K1751" i="1" s="1"/>
  <c r="L1751" i="1" s="1"/>
  <c r="H4121" i="1"/>
  <c r="I4121" i="1" s="1"/>
  <c r="J4121" i="1" s="1"/>
  <c r="K4121" i="1" s="1"/>
  <c r="L4121" i="1" s="1"/>
  <c r="H2885" i="1"/>
  <c r="I2885" i="1" s="1"/>
  <c r="J2885" i="1" s="1"/>
  <c r="K2885" i="1" s="1"/>
  <c r="L2885" i="1" s="1"/>
  <c r="H4652" i="1"/>
  <c r="I4652" i="1" s="1"/>
  <c r="H663" i="1"/>
  <c r="I663" i="1" s="1"/>
  <c r="J663" i="1" s="1"/>
  <c r="K663" i="1" s="1"/>
  <c r="L663" i="1" s="1"/>
  <c r="H932" i="1"/>
  <c r="I932" i="1" s="1"/>
  <c r="J932" i="1" s="1"/>
  <c r="K932" i="1" s="1"/>
  <c r="L932" i="1" s="1"/>
  <c r="H702" i="1"/>
  <c r="I702" i="1" s="1"/>
  <c r="J702" i="1" s="1"/>
  <c r="K702" i="1" s="1"/>
  <c r="L702" i="1" s="1"/>
  <c r="H5124" i="1"/>
  <c r="I5124" i="1" s="1"/>
  <c r="J5124" i="1" s="1"/>
  <c r="K5124" i="1" s="1"/>
  <c r="L5124" i="1" s="1"/>
  <c r="H1500" i="1"/>
  <c r="I1500" i="1" s="1"/>
  <c r="J1500" i="1" s="1"/>
  <c r="K1500" i="1" s="1"/>
  <c r="L1500" i="1" s="1"/>
  <c r="H5350" i="1"/>
  <c r="I5350" i="1" s="1"/>
  <c r="J5350" i="1" s="1"/>
  <c r="K5350" i="1" s="1"/>
  <c r="L5350" i="1" s="1"/>
  <c r="H3198" i="1"/>
  <c r="I3198" i="1" s="1"/>
  <c r="J3198" i="1" s="1"/>
  <c r="K3198" i="1" s="1"/>
  <c r="L3198" i="1" s="1"/>
  <c r="H5343" i="1"/>
  <c r="I5343" i="1" s="1"/>
  <c r="J5343" i="1" s="1"/>
  <c r="K5343" i="1" s="1"/>
  <c r="L5343" i="1" s="1"/>
  <c r="H3284" i="1"/>
  <c r="I3284" i="1" s="1"/>
  <c r="J3284" i="1" s="1"/>
  <c r="K3284" i="1" s="1"/>
  <c r="L3284" i="1" s="1"/>
  <c r="H1047" i="1"/>
  <c r="I1047" i="1" s="1"/>
  <c r="J1047" i="1" s="1"/>
  <c r="H2197" i="1"/>
  <c r="I2197" i="1" s="1"/>
  <c r="J2197" i="1" s="1"/>
  <c r="K2197" i="1" s="1"/>
  <c r="L2197" i="1" s="1"/>
  <c r="H4979" i="1"/>
  <c r="I4979" i="1" s="1"/>
  <c r="J4979" i="1" s="1"/>
  <c r="K4979" i="1" s="1"/>
  <c r="L4979" i="1" s="1"/>
  <c r="H1860" i="1"/>
  <c r="I1860" i="1" s="1"/>
  <c r="J1860" i="1" s="1"/>
  <c r="K1860" i="1" s="1"/>
  <c r="L1860" i="1" s="1"/>
  <c r="H954" i="1"/>
  <c r="I954" i="1" s="1"/>
  <c r="J954" i="1" s="1"/>
  <c r="K954" i="1" s="1"/>
  <c r="L954" i="1" s="1"/>
  <c r="H1884" i="1"/>
  <c r="I1884" i="1" s="1"/>
  <c r="J1884" i="1" s="1"/>
  <c r="K1884" i="1" s="1"/>
  <c r="L1884" i="1" s="1"/>
  <c r="H274" i="1"/>
  <c r="I274" i="1" s="1"/>
  <c r="J274" i="1" s="1"/>
  <c r="K274" i="1" s="1"/>
  <c r="L274" i="1" s="1"/>
  <c r="H3684" i="1"/>
  <c r="I3684" i="1" s="1"/>
  <c r="J3684" i="1" s="1"/>
  <c r="K3684" i="1" s="1"/>
  <c r="L3684" i="1" s="1"/>
  <c r="H5360" i="1"/>
  <c r="I5360" i="1" s="1"/>
  <c r="J5360" i="1" s="1"/>
  <c r="K5360" i="1" s="1"/>
  <c r="L5360" i="1" s="1"/>
  <c r="H4511" i="1"/>
  <c r="I4511" i="1" s="1"/>
  <c r="J4511" i="1" s="1"/>
  <c r="K4511" i="1" s="1"/>
  <c r="L4511" i="1" s="1"/>
  <c r="H3732" i="1"/>
  <c r="I3732" i="1" s="1"/>
  <c r="J3732" i="1" s="1"/>
  <c r="K3732" i="1" s="1"/>
  <c r="L3732" i="1" s="1"/>
  <c r="H4776" i="1"/>
  <c r="I4776" i="1" s="1"/>
  <c r="J4776" i="1" s="1"/>
  <c r="K4776" i="1" s="1"/>
  <c r="L4776" i="1" s="1"/>
  <c r="H845" i="1"/>
  <c r="I845" i="1" s="1"/>
  <c r="J845" i="1" s="1"/>
  <c r="K845" i="1" s="1"/>
  <c r="L845" i="1" s="1"/>
  <c r="H2675" i="1"/>
  <c r="I2675" i="1" s="1"/>
  <c r="J2675" i="1" s="1"/>
  <c r="K2675" i="1" s="1"/>
  <c r="L2675" i="1" s="1"/>
  <c r="H596" i="1"/>
  <c r="I596" i="1" s="1"/>
  <c r="J596" i="1" s="1"/>
  <c r="K596" i="1" s="1"/>
  <c r="L596" i="1" s="1"/>
  <c r="H1931" i="1"/>
  <c r="I1931" i="1" s="1"/>
  <c r="J1931" i="1" s="1"/>
  <c r="H3869" i="1"/>
  <c r="I3869" i="1" s="1"/>
  <c r="J3869" i="1" s="1"/>
  <c r="H5181" i="1"/>
  <c r="I5181" i="1" s="1"/>
  <c r="J5181" i="1" s="1"/>
  <c r="K5181" i="1" s="1"/>
  <c r="L5181" i="1" s="1"/>
  <c r="H5215" i="1"/>
  <c r="I5215" i="1" s="1"/>
  <c r="J5215" i="1" s="1"/>
  <c r="K5215" i="1" s="1"/>
  <c r="L5215" i="1" s="1"/>
  <c r="H5752" i="1"/>
  <c r="I5752" i="1" s="1"/>
  <c r="J5752" i="1" s="1"/>
  <c r="K5752" i="1" s="1"/>
  <c r="L5752" i="1" s="1"/>
  <c r="H3087" i="1"/>
  <c r="I3087" i="1" s="1"/>
  <c r="J3087" i="1" s="1"/>
  <c r="K3087" i="1" s="1"/>
  <c r="L3087" i="1" s="1"/>
  <c r="H5491" i="1"/>
  <c r="I5491" i="1" s="1"/>
  <c r="J5491" i="1" s="1"/>
  <c r="K5491" i="1" s="1"/>
  <c r="L5491" i="1" s="1"/>
  <c r="H1322" i="1"/>
  <c r="I1322" i="1" s="1"/>
  <c r="J1322" i="1" s="1"/>
  <c r="K1322" i="1" s="1"/>
  <c r="L1322" i="1" s="1"/>
  <c r="H3011" i="1"/>
  <c r="I3011" i="1" s="1"/>
  <c r="J3011" i="1" s="1"/>
  <c r="K3011" i="1" s="1"/>
  <c r="L3011" i="1" s="1"/>
  <c r="H1539" i="1"/>
  <c r="I1539" i="1" s="1"/>
  <c r="J1539" i="1" s="1"/>
  <c r="K1539" i="1" s="1"/>
  <c r="L1539" i="1" s="1"/>
  <c r="H4203" i="1"/>
  <c r="I4203" i="1" s="1"/>
  <c r="J4203" i="1" s="1"/>
  <c r="K4203" i="1" s="1"/>
  <c r="L4203" i="1" s="1"/>
  <c r="H2018" i="1"/>
  <c r="I2018" i="1" s="1"/>
  <c r="J2018" i="1" s="1"/>
  <c r="K2018" i="1" s="1"/>
  <c r="L2018" i="1" s="1"/>
  <c r="H4435" i="1"/>
  <c r="I4435" i="1" s="1"/>
  <c r="J4435" i="1" s="1"/>
  <c r="K4435" i="1" s="1"/>
  <c r="L4435" i="1" s="1"/>
  <c r="H4345" i="1"/>
  <c r="I4345" i="1" s="1"/>
  <c r="J4345" i="1" s="1"/>
  <c r="K4345" i="1" s="1"/>
  <c r="L4345" i="1" s="1"/>
  <c r="H1546" i="1"/>
  <c r="I1546" i="1" s="1"/>
  <c r="J1546" i="1" s="1"/>
  <c r="K1546" i="1" s="1"/>
  <c r="L1546" i="1" s="1"/>
  <c r="H2653" i="1"/>
  <c r="I2653" i="1" s="1"/>
  <c r="J2653" i="1" s="1"/>
  <c r="K2653" i="1" s="1"/>
  <c r="L2653" i="1" s="1"/>
  <c r="H3361" i="1"/>
  <c r="I3361" i="1" s="1"/>
  <c r="J3361" i="1" s="1"/>
  <c r="H225" i="1"/>
  <c r="I225" i="1" s="1"/>
  <c r="J225" i="1" s="1"/>
  <c r="H2011" i="1"/>
  <c r="I2011" i="1" s="1"/>
  <c r="J2011" i="1" s="1"/>
  <c r="K2011" i="1" s="1"/>
  <c r="L2011" i="1" s="1"/>
  <c r="H5968" i="1"/>
  <c r="I5968" i="1" s="1"/>
  <c r="J5968" i="1" s="1"/>
  <c r="K5968" i="1" s="1"/>
  <c r="L5968" i="1" s="1"/>
  <c r="H4965" i="1"/>
  <c r="I4965" i="1" s="1"/>
  <c r="J4965" i="1" s="1"/>
  <c r="K4965" i="1" s="1"/>
  <c r="L4965" i="1" s="1"/>
  <c r="H2565" i="1"/>
  <c r="I2565" i="1" s="1"/>
  <c r="J2565" i="1" s="1"/>
  <c r="K2565" i="1" s="1"/>
  <c r="L2565" i="1" s="1"/>
  <c r="H724" i="1"/>
  <c r="I724" i="1" s="1"/>
  <c r="J724" i="1" s="1"/>
  <c r="K724" i="1" s="1"/>
  <c r="L724" i="1" s="1"/>
  <c r="H5859" i="1"/>
  <c r="I5859" i="1" s="1"/>
  <c r="J5859" i="1" s="1"/>
  <c r="K5859" i="1" s="1"/>
  <c r="L5859" i="1" s="1"/>
  <c r="H3111" i="1"/>
  <c r="I3111" i="1" s="1"/>
  <c r="J3111" i="1" s="1"/>
  <c r="K3111" i="1" s="1"/>
  <c r="L3111" i="1" s="1"/>
  <c r="H5050" i="1"/>
  <c r="I5050" i="1" s="1"/>
  <c r="J5050" i="1" s="1"/>
  <c r="K5050" i="1" s="1"/>
  <c r="L5050" i="1" s="1"/>
  <c r="H3147" i="1"/>
  <c r="I3147" i="1" s="1"/>
  <c r="J3147" i="1" s="1"/>
  <c r="K3147" i="1" s="1"/>
  <c r="L3147" i="1" s="1"/>
  <c r="H2202" i="1"/>
  <c r="I2202" i="1" s="1"/>
  <c r="J2202" i="1" s="1"/>
  <c r="K2202" i="1" s="1"/>
  <c r="L2202" i="1" s="1"/>
  <c r="H1569" i="1"/>
  <c r="I1569" i="1" s="1"/>
  <c r="J1569" i="1" s="1"/>
  <c r="K1569" i="1" s="1"/>
  <c r="L1569" i="1" s="1"/>
  <c r="H3733" i="1"/>
  <c r="I3733" i="1" s="1"/>
  <c r="J3733" i="1" s="1"/>
  <c r="K3733" i="1" s="1"/>
  <c r="L3733" i="1" s="1"/>
  <c r="H4211" i="1"/>
  <c r="I4211" i="1" s="1"/>
  <c r="J4211" i="1" s="1"/>
  <c r="K4211" i="1" s="1"/>
  <c r="L4211" i="1" s="1"/>
  <c r="H2569" i="1"/>
  <c r="I2569" i="1" s="1"/>
  <c r="J2569" i="1" s="1"/>
  <c r="K2569" i="1" s="1"/>
  <c r="L2569" i="1" s="1"/>
  <c r="H4717" i="1"/>
  <c r="I4717" i="1" s="1"/>
  <c r="J4717" i="1" s="1"/>
  <c r="H4407" i="1"/>
  <c r="I4407" i="1" s="1"/>
  <c r="J4407" i="1" s="1"/>
  <c r="H5172" i="1"/>
  <c r="I5172" i="1" s="1"/>
  <c r="J5172" i="1" s="1"/>
  <c r="K5172" i="1" s="1"/>
  <c r="L5172" i="1" s="1"/>
  <c r="H1553" i="1"/>
  <c r="I1553" i="1" s="1"/>
  <c r="J1553" i="1" s="1"/>
  <c r="K1553" i="1" s="1"/>
  <c r="L1553" i="1" s="1"/>
  <c r="H5303" i="1"/>
  <c r="I5303" i="1" s="1"/>
  <c r="J5303" i="1" s="1"/>
  <c r="K5303" i="1" s="1"/>
  <c r="L5303" i="1" s="1"/>
  <c r="H2321" i="1"/>
  <c r="I2321" i="1" s="1"/>
  <c r="J2321" i="1" s="1"/>
  <c r="K2321" i="1" s="1"/>
  <c r="L2321" i="1" s="1"/>
  <c r="H2349" i="1"/>
  <c r="I2349" i="1" s="1"/>
  <c r="J2349" i="1" s="1"/>
  <c r="K2349" i="1" s="1"/>
  <c r="L2349" i="1" s="1"/>
  <c r="H481" i="1"/>
  <c r="I481" i="1" s="1"/>
  <c r="J481" i="1" s="1"/>
  <c r="K481" i="1" s="1"/>
  <c r="L481" i="1" s="1"/>
  <c r="H2549" i="1"/>
  <c r="I2549" i="1" s="1"/>
  <c r="J2549" i="1" s="1"/>
  <c r="K2549" i="1" s="1"/>
  <c r="L2549" i="1" s="1"/>
  <c r="H424" i="1"/>
  <c r="I424" i="1" s="1"/>
  <c r="J424" i="1" s="1"/>
  <c r="K424" i="1" s="1"/>
  <c r="L424" i="1" s="1"/>
  <c r="H2081" i="1"/>
  <c r="I2081" i="1" s="1"/>
  <c r="J2081" i="1" s="1"/>
  <c r="K2081" i="1" s="1"/>
  <c r="L2081" i="1" s="1"/>
  <c r="H26" i="1"/>
  <c r="I26" i="1" s="1"/>
  <c r="J26" i="1" s="1"/>
  <c r="K26" i="1" s="1"/>
  <c r="L26" i="1" s="1"/>
  <c r="H3441" i="1"/>
  <c r="I3441" i="1" s="1"/>
  <c r="J3441" i="1" s="1"/>
  <c r="K3441" i="1" s="1"/>
  <c r="L3441" i="1" s="1"/>
  <c r="H1455" i="1"/>
  <c r="I1455" i="1" s="1"/>
  <c r="J1455" i="1" s="1"/>
  <c r="K1455" i="1" s="1"/>
  <c r="L1455" i="1" s="1"/>
  <c r="H2757" i="1"/>
  <c r="I2757" i="1" s="1"/>
  <c r="J2757" i="1" s="1"/>
  <c r="K2757" i="1" s="1"/>
  <c r="L2757" i="1" s="1"/>
  <c r="H975" i="1"/>
  <c r="I975" i="1" s="1"/>
  <c r="J975" i="1" s="1"/>
  <c r="K975" i="1" s="1"/>
  <c r="L975" i="1" s="1"/>
  <c r="H2659" i="1"/>
  <c r="I2659" i="1" s="1"/>
  <c r="J2659" i="1" s="1"/>
  <c r="K2659" i="1" s="1"/>
  <c r="L2659" i="1" s="1"/>
  <c r="H3934" i="1"/>
  <c r="I3934" i="1" s="1"/>
  <c r="J3934" i="1" s="1"/>
  <c r="H888" i="1"/>
  <c r="I888" i="1" s="1"/>
  <c r="J888" i="1" s="1"/>
  <c r="K888" i="1" s="1"/>
  <c r="L888" i="1" s="1"/>
  <c r="H2676" i="1"/>
  <c r="I2676" i="1" s="1"/>
  <c r="J2676" i="1" s="1"/>
  <c r="K2676" i="1" s="1"/>
  <c r="L2676" i="1" s="1"/>
  <c r="H4232" i="1"/>
  <c r="I4232" i="1" s="1"/>
  <c r="J4232" i="1" s="1"/>
  <c r="K4232" i="1" s="1"/>
  <c r="L4232" i="1" s="1"/>
  <c r="H5717" i="1"/>
  <c r="I5717" i="1" s="1"/>
  <c r="J5717" i="1" s="1"/>
  <c r="K5717" i="1" s="1"/>
  <c r="L5717" i="1" s="1"/>
  <c r="H272" i="1"/>
  <c r="I272" i="1" s="1"/>
  <c r="J272" i="1" s="1"/>
  <c r="K272" i="1" s="1"/>
  <c r="L272" i="1" s="1"/>
  <c r="H1134" i="1"/>
  <c r="I1134" i="1" s="1"/>
  <c r="J1134" i="1" s="1"/>
  <c r="K1134" i="1" s="1"/>
  <c r="L1134" i="1" s="1"/>
  <c r="H2027" i="1"/>
  <c r="I2027" i="1" s="1"/>
  <c r="J2027" i="1" s="1"/>
  <c r="K2027" i="1" s="1"/>
  <c r="L2027" i="1" s="1"/>
  <c r="H2950" i="1"/>
  <c r="I2950" i="1" s="1"/>
  <c r="J2950" i="1" s="1"/>
  <c r="K2950" i="1" s="1"/>
  <c r="L2950" i="1" s="1"/>
  <c r="H3985" i="1"/>
  <c r="I3985" i="1" s="1"/>
  <c r="J3985" i="1" s="1"/>
  <c r="K3985" i="1" s="1"/>
  <c r="L3985" i="1" s="1"/>
  <c r="H1117" i="1"/>
  <c r="I1117" i="1" s="1"/>
  <c r="J1117" i="1" s="1"/>
  <c r="K1117" i="1" s="1"/>
  <c r="L1117" i="1" s="1"/>
  <c r="H5338" i="1"/>
  <c r="I5338" i="1" s="1"/>
  <c r="J5338" i="1" s="1"/>
  <c r="K5338" i="1" s="1"/>
  <c r="L5338" i="1" s="1"/>
  <c r="H945" i="1"/>
  <c r="I945" i="1" s="1"/>
  <c r="J945" i="1" s="1"/>
  <c r="K945" i="1" s="1"/>
  <c r="L945" i="1" s="1"/>
  <c r="H2884" i="1"/>
  <c r="I2884" i="1" s="1"/>
  <c r="J2884" i="1" s="1"/>
  <c r="K2884" i="1" s="1"/>
  <c r="L2884" i="1" s="1"/>
  <c r="H4873" i="1"/>
  <c r="I4873" i="1" s="1"/>
  <c r="J4873" i="1" s="1"/>
  <c r="K4873" i="1" s="1"/>
  <c r="L4873" i="1" s="1"/>
  <c r="H4661" i="1"/>
  <c r="I4661" i="1" s="1"/>
  <c r="J4661" i="1" s="1"/>
  <c r="K4661" i="1" s="1"/>
  <c r="L4661" i="1" s="1"/>
  <c r="H1197" i="1"/>
  <c r="I1197" i="1" s="1"/>
  <c r="J1197" i="1" s="1"/>
  <c r="H2411" i="1"/>
  <c r="I2411" i="1" s="1"/>
  <c r="J2411" i="1" s="1"/>
  <c r="K2411" i="1" s="1"/>
  <c r="L2411" i="1" s="1"/>
  <c r="H1982" i="1"/>
  <c r="I1982" i="1" s="1"/>
  <c r="J1982" i="1" s="1"/>
  <c r="K1982" i="1" s="1"/>
  <c r="L1982" i="1" s="1"/>
  <c r="H1916" i="1"/>
  <c r="I1916" i="1" s="1"/>
  <c r="J1916" i="1" s="1"/>
  <c r="K1916" i="1" s="1"/>
  <c r="L1916" i="1" s="1"/>
  <c r="H1430" i="1"/>
  <c r="I1430" i="1" s="1"/>
  <c r="J1430" i="1" s="1"/>
  <c r="K1430" i="1" s="1"/>
  <c r="L1430" i="1" s="1"/>
  <c r="H70" i="1"/>
  <c r="I70" i="1" s="1"/>
  <c r="J70" i="1" s="1"/>
  <c r="K70" i="1" s="1"/>
  <c r="L70" i="1" s="1"/>
  <c r="H4197" i="1"/>
  <c r="I4197" i="1" s="1"/>
  <c r="J4197" i="1" s="1"/>
  <c r="K4197" i="1" s="1"/>
  <c r="L4197" i="1" s="1"/>
  <c r="H646" i="1"/>
  <c r="I646" i="1" s="1"/>
  <c r="J646" i="1" s="1"/>
  <c r="K646" i="1" s="1"/>
  <c r="L646" i="1" s="1"/>
  <c r="H1505" i="1"/>
  <c r="I1505" i="1" s="1"/>
  <c r="J1505" i="1" s="1"/>
  <c r="K1505" i="1" s="1"/>
  <c r="L1505" i="1" s="1"/>
  <c r="H1909" i="1"/>
  <c r="I1909" i="1" s="1"/>
  <c r="J1909" i="1" s="1"/>
  <c r="K1909" i="1" s="1"/>
  <c r="L1909" i="1" s="1"/>
  <c r="H3763" i="1"/>
  <c r="I3763" i="1" s="1"/>
  <c r="J3763" i="1" s="1"/>
  <c r="K3763" i="1" s="1"/>
  <c r="L3763" i="1" s="1"/>
  <c r="H3080" i="1"/>
  <c r="I3080" i="1" s="1"/>
  <c r="J3080" i="1" s="1"/>
  <c r="K3080" i="1" s="1"/>
  <c r="L3080" i="1" s="1"/>
  <c r="H4440" i="1"/>
  <c r="I4440" i="1" s="1"/>
  <c r="J4440" i="1" s="1"/>
  <c r="K4440" i="1" s="1"/>
  <c r="L4440" i="1" s="1"/>
  <c r="H3100" i="1"/>
  <c r="I3100" i="1" s="1"/>
  <c r="J3100" i="1" s="1"/>
  <c r="K3100" i="1" s="1"/>
  <c r="L3100" i="1" s="1"/>
  <c r="H854" i="1"/>
  <c r="I854" i="1" s="1"/>
  <c r="J854" i="1" s="1"/>
  <c r="K854" i="1" s="1"/>
  <c r="L854" i="1" s="1"/>
  <c r="H5750" i="1"/>
  <c r="I5750" i="1" s="1"/>
  <c r="J5750" i="1" s="1"/>
  <c r="K5750" i="1" s="1"/>
  <c r="L5750" i="1" s="1"/>
  <c r="H2635" i="1"/>
  <c r="I2635" i="1" s="1"/>
  <c r="J2635" i="1" s="1"/>
  <c r="H682" i="1"/>
  <c r="I682" i="1" s="1"/>
  <c r="J682" i="1" s="1"/>
  <c r="K682" i="1" s="1"/>
  <c r="L682" i="1" s="1"/>
  <c r="H3724" i="1"/>
  <c r="I3724" i="1" s="1"/>
  <c r="J3724" i="1" s="1"/>
  <c r="K3724" i="1" s="1"/>
  <c r="L3724" i="1" s="1"/>
  <c r="H2266" i="1"/>
  <c r="I2266" i="1" s="1"/>
  <c r="J2266" i="1" s="1"/>
  <c r="K2266" i="1" s="1"/>
  <c r="L2266" i="1" s="1"/>
  <c r="H349" i="1"/>
  <c r="I349" i="1" s="1"/>
  <c r="J349" i="1" s="1"/>
  <c r="K349" i="1" s="1"/>
  <c r="L349" i="1" s="1"/>
  <c r="H3044" i="1"/>
  <c r="I3044" i="1" s="1"/>
  <c r="J3044" i="1" s="1"/>
  <c r="K3044" i="1" s="1"/>
  <c r="L3044" i="1" s="1"/>
  <c r="H4461" i="1"/>
  <c r="I4461" i="1" s="1"/>
  <c r="J4461" i="1" s="1"/>
  <c r="K4461" i="1" s="1"/>
  <c r="L4461" i="1" s="1"/>
  <c r="H2221" i="1"/>
  <c r="I2221" i="1" s="1"/>
  <c r="J2221" i="1" s="1"/>
  <c r="K2221" i="1" s="1"/>
  <c r="L2221" i="1" s="1"/>
  <c r="H2686" i="1"/>
  <c r="I2686" i="1" s="1"/>
  <c r="J2686" i="1" s="1"/>
  <c r="K2686" i="1" s="1"/>
  <c r="L2686" i="1" s="1"/>
  <c r="H3118" i="1"/>
  <c r="I3118" i="1" s="1"/>
  <c r="J3118" i="1" s="1"/>
  <c r="K3118" i="1" s="1"/>
  <c r="L3118" i="1" s="1"/>
  <c r="H3434" i="1"/>
  <c r="I3434" i="1" s="1"/>
  <c r="J3434" i="1" s="1"/>
  <c r="K3434" i="1" s="1"/>
  <c r="L3434" i="1" s="1"/>
  <c r="H5856" i="1"/>
  <c r="I5856" i="1" s="1"/>
  <c r="J5856" i="1" s="1"/>
  <c r="K5856" i="1" s="1"/>
  <c r="L5856" i="1" s="1"/>
  <c r="H2905" i="1"/>
  <c r="I2905" i="1" s="1"/>
  <c r="J2905" i="1" s="1"/>
  <c r="K2905" i="1" s="1"/>
  <c r="L2905" i="1" s="1"/>
  <c r="H3309" i="1"/>
  <c r="I3309" i="1" s="1"/>
  <c r="J3309" i="1" s="1"/>
  <c r="K3309" i="1" s="1"/>
  <c r="L3309" i="1" s="1"/>
  <c r="H103" i="1"/>
  <c r="I103" i="1" s="1"/>
  <c r="J103" i="1" s="1"/>
  <c r="H4172" i="1"/>
  <c r="I4172" i="1" s="1"/>
  <c r="J4172" i="1" s="1"/>
  <c r="H1262" i="1"/>
  <c r="I1262" i="1" s="1"/>
  <c r="J1262" i="1" s="1"/>
  <c r="H331" i="1"/>
  <c r="I331" i="1" s="1"/>
  <c r="J331" i="1" s="1"/>
  <c r="K331" i="1" s="1"/>
  <c r="L331" i="1" s="1"/>
  <c r="H3716" i="1"/>
  <c r="I3716" i="1" s="1"/>
  <c r="J3716" i="1" s="1"/>
  <c r="K3716" i="1" s="1"/>
  <c r="L3716" i="1" s="1"/>
  <c r="H2444" i="1"/>
  <c r="I2444" i="1" s="1"/>
  <c r="J2444" i="1" s="1"/>
  <c r="K2444" i="1" s="1"/>
  <c r="L2444" i="1" s="1"/>
  <c r="H1075" i="1"/>
  <c r="I1075" i="1" s="1"/>
  <c r="J1075" i="1" s="1"/>
  <c r="K1075" i="1" s="1"/>
  <c r="L1075" i="1" s="1"/>
  <c r="H1100" i="1"/>
  <c r="I1100" i="1" s="1"/>
  <c r="J1100" i="1" s="1"/>
  <c r="K1100" i="1" s="1"/>
  <c r="L1100" i="1" s="1"/>
  <c r="H5625" i="1"/>
  <c r="I5625" i="1" s="1"/>
  <c r="J5625" i="1" s="1"/>
  <c r="K5625" i="1" s="1"/>
  <c r="L5625" i="1" s="1"/>
  <c r="H625" i="1"/>
  <c r="I625" i="1" s="1"/>
  <c r="J625" i="1" s="1"/>
  <c r="K625" i="1" s="1"/>
  <c r="L625" i="1" s="1"/>
  <c r="H5262" i="1"/>
  <c r="I5262" i="1" s="1"/>
  <c r="J5262" i="1" s="1"/>
  <c r="K5262" i="1" s="1"/>
  <c r="L5262" i="1" s="1"/>
  <c r="H64" i="1"/>
  <c r="I64" i="1" s="1"/>
  <c r="J64" i="1" s="1"/>
  <c r="K64" i="1" s="1"/>
  <c r="L64" i="1" s="1"/>
  <c r="H2437" i="1"/>
  <c r="I2437" i="1" s="1"/>
  <c r="J2437" i="1" s="1"/>
  <c r="K2437" i="1" s="1"/>
  <c r="L2437" i="1" s="1"/>
  <c r="H5524" i="1"/>
  <c r="I5524" i="1" s="1"/>
  <c r="J5524" i="1" s="1"/>
  <c r="K5524" i="1" s="1"/>
  <c r="L5524" i="1" s="1"/>
  <c r="H1902" i="1"/>
  <c r="I1902" i="1" s="1"/>
  <c r="J1902" i="1" s="1"/>
  <c r="K1902" i="1" s="1"/>
  <c r="L1902" i="1" s="1"/>
  <c r="H3035" i="1"/>
  <c r="I3035" i="1" s="1"/>
  <c r="J3035" i="1" s="1"/>
  <c r="K3035" i="1" s="1"/>
  <c r="L3035" i="1" s="1"/>
  <c r="H643" i="1"/>
  <c r="I643" i="1" s="1"/>
  <c r="J643" i="1" s="1"/>
  <c r="K643" i="1" s="1"/>
  <c r="L643" i="1" s="1"/>
  <c r="H3368" i="1"/>
  <c r="I3368" i="1" s="1"/>
  <c r="J3368" i="1" s="1"/>
  <c r="H1522" i="1"/>
  <c r="I1522" i="1" s="1"/>
  <c r="J1522" i="1" s="1"/>
  <c r="H5465" i="1"/>
  <c r="I5465" i="1" s="1"/>
  <c r="J5465" i="1" s="1"/>
  <c r="K5465" i="1" s="1"/>
  <c r="L5465" i="1" s="1"/>
  <c r="H5839" i="1"/>
  <c r="I5839" i="1" s="1"/>
  <c r="J5839" i="1" s="1"/>
  <c r="K5839" i="1" s="1"/>
  <c r="L5839" i="1" s="1"/>
  <c r="H1989" i="1"/>
  <c r="I1989" i="1" s="1"/>
  <c r="J1989" i="1" s="1"/>
  <c r="K1989" i="1" s="1"/>
  <c r="L1989" i="1" s="1"/>
  <c r="H2065" i="1"/>
  <c r="I2065" i="1" s="1"/>
  <c r="J2065" i="1" s="1"/>
  <c r="K2065" i="1" s="1"/>
  <c r="L2065" i="1" s="1"/>
  <c r="H2407" i="1"/>
  <c r="I2407" i="1" s="1"/>
  <c r="J2407" i="1" s="1"/>
  <c r="K2407" i="1" s="1"/>
  <c r="L2407" i="1" s="1"/>
  <c r="H5300" i="1"/>
  <c r="I5300" i="1" s="1"/>
  <c r="J5300" i="1" s="1"/>
  <c r="K5300" i="1" s="1"/>
  <c r="L5300" i="1" s="1"/>
  <c r="H2453" i="1"/>
  <c r="I2453" i="1" s="1"/>
  <c r="J2453" i="1" s="1"/>
  <c r="K2453" i="1" s="1"/>
  <c r="L2453" i="1" s="1"/>
  <c r="H112" i="1"/>
  <c r="I112" i="1" s="1"/>
  <c r="J112" i="1" s="1"/>
  <c r="K112" i="1" s="1"/>
  <c r="L112" i="1" s="1"/>
  <c r="H3259" i="1"/>
  <c r="I3259" i="1" s="1"/>
  <c r="J3259" i="1" s="1"/>
  <c r="K3259" i="1" s="1"/>
  <c r="L3259" i="1" s="1"/>
  <c r="H3892" i="1"/>
  <c r="I3892" i="1" s="1"/>
  <c r="J3892" i="1" s="1"/>
  <c r="K3892" i="1" s="1"/>
  <c r="L3892" i="1" s="1"/>
  <c r="H1976" i="1"/>
  <c r="I1976" i="1" s="1"/>
  <c r="J1976" i="1" s="1"/>
  <c r="K1976" i="1" s="1"/>
  <c r="L1976" i="1" s="1"/>
  <c r="H5875" i="1"/>
  <c r="I5875" i="1" s="1"/>
  <c r="J5875" i="1" s="1"/>
  <c r="K5875" i="1" s="1"/>
  <c r="L5875" i="1" s="1"/>
  <c r="H5080" i="1"/>
  <c r="I5080" i="1" s="1"/>
  <c r="J5080" i="1" s="1"/>
  <c r="K5080" i="1" s="1"/>
  <c r="L5080" i="1" s="1"/>
  <c r="H2699" i="1"/>
  <c r="I2699" i="1" s="1"/>
  <c r="J2699" i="1" s="1"/>
  <c r="K2699" i="1" s="1"/>
  <c r="L2699" i="1" s="1"/>
  <c r="H694" i="1"/>
  <c r="I694" i="1" s="1"/>
  <c r="J694" i="1" s="1"/>
  <c r="H3173" i="1"/>
  <c r="I3173" i="1" s="1"/>
  <c r="J3173" i="1" s="1"/>
  <c r="H450" i="1"/>
  <c r="I450" i="1" s="1"/>
  <c r="J450" i="1" s="1"/>
  <c r="K450" i="1" s="1"/>
  <c r="L450" i="1" s="1"/>
  <c r="H2380" i="1"/>
  <c r="I2380" i="1" s="1"/>
  <c r="J2380" i="1" s="1"/>
  <c r="K2380" i="1" s="1"/>
  <c r="L2380" i="1" s="1"/>
  <c r="H329" i="1"/>
  <c r="I329" i="1" s="1"/>
  <c r="J329" i="1" s="1"/>
  <c r="K329" i="1" s="1"/>
  <c r="L329" i="1" s="1"/>
  <c r="H2258" i="1"/>
  <c r="I2258" i="1" s="1"/>
  <c r="J2258" i="1" s="1"/>
  <c r="K2258" i="1" s="1"/>
  <c r="L2258" i="1" s="1"/>
  <c r="H5326" i="1"/>
  <c r="I5326" i="1" s="1"/>
  <c r="J5326" i="1" s="1"/>
  <c r="K5326" i="1" s="1"/>
  <c r="L5326" i="1" s="1"/>
  <c r="H2119" i="1"/>
  <c r="I2119" i="1" s="1"/>
  <c r="J2119" i="1" s="1"/>
  <c r="K2119" i="1" s="1"/>
  <c r="L2119" i="1" s="1"/>
  <c r="H2855" i="1"/>
  <c r="I2855" i="1" s="1"/>
  <c r="J2855" i="1" s="1"/>
  <c r="K2855" i="1" s="1"/>
  <c r="L2855" i="1" s="1"/>
  <c r="H5512" i="1"/>
  <c r="I5512" i="1" s="1"/>
  <c r="J5512" i="1" s="1"/>
  <c r="K5512" i="1" s="1"/>
  <c r="L5512" i="1" s="1"/>
  <c r="H1795" i="1"/>
  <c r="I1795" i="1" s="1"/>
  <c r="J1795" i="1" s="1"/>
  <c r="K1795" i="1" s="1"/>
  <c r="L1795" i="1" s="1"/>
  <c r="H3075" i="1"/>
  <c r="I3075" i="1" s="1"/>
  <c r="J3075" i="1" s="1"/>
  <c r="K3075" i="1" s="1"/>
  <c r="L3075" i="1" s="1"/>
  <c r="H4643" i="1"/>
  <c r="I4643" i="1" s="1"/>
  <c r="J4643" i="1" s="1"/>
  <c r="K4643" i="1" s="1"/>
  <c r="L4643" i="1" s="1"/>
  <c r="H1394" i="1"/>
  <c r="I1394" i="1" s="1"/>
  <c r="J1394" i="1" s="1"/>
  <c r="K1394" i="1" s="1"/>
  <c r="L1394" i="1" s="1"/>
  <c r="H194" i="1"/>
  <c r="I194" i="1" s="1"/>
  <c r="J194" i="1" s="1"/>
  <c r="K194" i="1" s="1"/>
  <c r="L194" i="1" s="1"/>
  <c r="H3708" i="1"/>
  <c r="I3708" i="1" s="1"/>
  <c r="J3708" i="1" s="1"/>
  <c r="K3708" i="1" s="1"/>
  <c r="L3708" i="1" s="1"/>
  <c r="H5937" i="1"/>
  <c r="I5937" i="1" s="1"/>
  <c r="J5937" i="1" s="1"/>
  <c r="H5682" i="1"/>
  <c r="I5682" i="1" s="1"/>
  <c r="J5682" i="1" s="1"/>
  <c r="K5682" i="1" s="1"/>
  <c r="L5682" i="1" s="1"/>
  <c r="H1918" i="1"/>
  <c r="I1918" i="1" s="1"/>
  <c r="J1918" i="1" s="1"/>
  <c r="K1918" i="1" s="1"/>
  <c r="L1918" i="1" s="1"/>
  <c r="H842" i="1"/>
  <c r="I842" i="1" s="1"/>
  <c r="J842" i="1" s="1"/>
  <c r="K842" i="1" s="1"/>
  <c r="L842" i="1" s="1"/>
  <c r="H3906" i="1"/>
  <c r="I3906" i="1" s="1"/>
  <c r="J3906" i="1" s="1"/>
  <c r="K3906" i="1" s="1"/>
  <c r="L3906" i="1" s="1"/>
  <c r="H792" i="1"/>
  <c r="I792" i="1" s="1"/>
  <c r="J792" i="1" s="1"/>
  <c r="K792" i="1" s="1"/>
  <c r="L792" i="1" s="1"/>
  <c r="H568" i="1"/>
  <c r="I568" i="1" s="1"/>
  <c r="J568" i="1" s="1"/>
  <c r="K568" i="1" s="1"/>
  <c r="L568" i="1" s="1"/>
  <c r="H62" i="1"/>
  <c r="I62" i="1" s="1"/>
  <c r="J62" i="1" s="1"/>
  <c r="K62" i="1" s="1"/>
  <c r="L62" i="1" s="1"/>
  <c r="H4941" i="1"/>
  <c r="I4941" i="1" s="1"/>
  <c r="J4941" i="1" s="1"/>
  <c r="K4941" i="1" s="1"/>
  <c r="L4941" i="1" s="1"/>
  <c r="H1987" i="1"/>
  <c r="I1987" i="1" s="1"/>
  <c r="J1987" i="1" s="1"/>
  <c r="K1987" i="1" s="1"/>
  <c r="L1987" i="1" s="1"/>
  <c r="H202" i="1"/>
  <c r="I202" i="1" s="1"/>
  <c r="J202" i="1" s="1"/>
  <c r="K202" i="1" s="1"/>
  <c r="L202" i="1" s="1"/>
  <c r="H3886" i="1"/>
  <c r="I3886" i="1" s="1"/>
  <c r="J3886" i="1" s="1"/>
  <c r="K3886" i="1" s="1"/>
  <c r="L3886" i="1" s="1"/>
  <c r="H1349" i="1"/>
  <c r="I1349" i="1" s="1"/>
  <c r="J1349" i="1" s="1"/>
  <c r="K1349" i="1" s="1"/>
  <c r="L1349" i="1" s="1"/>
  <c r="H5774" i="1"/>
  <c r="I5774" i="1" s="1"/>
  <c r="J5774" i="1" s="1"/>
  <c r="K5774" i="1" s="1"/>
  <c r="L5774" i="1" s="1"/>
  <c r="H3595" i="1"/>
  <c r="I3595" i="1" s="1"/>
  <c r="J3595" i="1" s="1"/>
  <c r="K3595" i="1" s="1"/>
  <c r="L3595" i="1" s="1"/>
  <c r="H5944" i="1"/>
  <c r="I5944" i="1" s="1"/>
  <c r="J5944" i="1" s="1"/>
  <c r="K5944" i="1" s="1"/>
  <c r="L5944" i="1" s="1"/>
  <c r="H1719" i="1"/>
  <c r="I1719" i="1" s="1"/>
  <c r="J1719" i="1" s="1"/>
  <c r="H39" i="1"/>
  <c r="I39" i="1" s="1"/>
  <c r="J39" i="1" s="1"/>
  <c r="H47" i="1"/>
  <c r="I47" i="1" s="1"/>
  <c r="J47" i="1" s="1"/>
  <c r="K47" i="1" s="1"/>
  <c r="L47" i="1" s="1"/>
  <c r="H5053" i="1"/>
  <c r="I5053" i="1" s="1"/>
  <c r="J5053" i="1" s="1"/>
  <c r="K5053" i="1" s="1"/>
  <c r="L5053" i="1" s="1"/>
  <c r="H5620" i="1"/>
  <c r="I5620" i="1" s="1"/>
  <c r="J5620" i="1" s="1"/>
  <c r="K5620" i="1" s="1"/>
  <c r="L5620" i="1" s="1"/>
  <c r="H4003" i="1"/>
  <c r="I4003" i="1" s="1"/>
  <c r="J4003" i="1" s="1"/>
  <c r="K4003" i="1" s="1"/>
  <c r="L4003" i="1" s="1"/>
  <c r="H1673" i="1"/>
  <c r="I1673" i="1" s="1"/>
  <c r="J1673" i="1" s="1"/>
  <c r="K1673" i="1" s="1"/>
  <c r="L1673" i="1" s="1"/>
  <c r="H1874" i="1"/>
  <c r="I1874" i="1" s="1"/>
  <c r="J1874" i="1" s="1"/>
  <c r="K1874" i="1" s="1"/>
  <c r="L1874" i="1" s="1"/>
  <c r="H4890" i="1"/>
  <c r="I4890" i="1" s="1"/>
  <c r="J4890" i="1" s="1"/>
  <c r="K4890" i="1" s="1"/>
  <c r="L4890" i="1" s="1"/>
  <c r="H1718" i="1"/>
  <c r="I1718" i="1" s="1"/>
  <c r="J1718" i="1" s="1"/>
  <c r="K1718" i="1" s="1"/>
  <c r="L1718" i="1" s="1"/>
  <c r="H5468" i="1"/>
  <c r="I5468" i="1" s="1"/>
  <c r="J5468" i="1" s="1"/>
  <c r="K5468" i="1" s="1"/>
  <c r="L5468" i="1" s="1"/>
  <c r="H4161" i="1"/>
  <c r="I4161" i="1" s="1"/>
  <c r="J4161" i="1" s="1"/>
  <c r="K4161" i="1" s="1"/>
  <c r="L4161" i="1" s="1"/>
  <c r="H3327" i="1"/>
  <c r="I3327" i="1" s="1"/>
  <c r="J3327" i="1" s="1"/>
  <c r="K3327" i="1" s="1"/>
  <c r="L3327" i="1" s="1"/>
  <c r="H5274" i="1"/>
  <c r="I5274" i="1" s="1"/>
  <c r="J5274" i="1" s="1"/>
  <c r="K5274" i="1" s="1"/>
  <c r="L5274" i="1" s="1"/>
  <c r="H4004" i="1"/>
  <c r="I4004" i="1" s="1"/>
  <c r="J4004" i="1" s="1"/>
  <c r="K4004" i="1" s="1"/>
  <c r="L4004" i="1" s="1"/>
  <c r="H5413" i="1"/>
  <c r="I5413" i="1" s="1"/>
  <c r="J5413" i="1" s="1"/>
  <c r="K5413" i="1" s="1"/>
  <c r="L5413" i="1" s="1"/>
  <c r="H1218" i="1"/>
  <c r="I1218" i="1" s="1"/>
  <c r="J1218" i="1" s="1"/>
  <c r="K1218" i="1" s="1"/>
  <c r="L1218" i="1" s="1"/>
  <c r="H1471" i="1"/>
  <c r="I1471" i="1" s="1"/>
  <c r="J1471" i="1" s="1"/>
  <c r="H407" i="1"/>
  <c r="I407" i="1" s="1"/>
  <c r="J407" i="1" s="1"/>
  <c r="K407" i="1" s="1"/>
  <c r="L407" i="1" s="1"/>
  <c r="H5040" i="1"/>
  <c r="I5040" i="1" s="1"/>
  <c r="J5040" i="1" s="1"/>
  <c r="K5040" i="1" s="1"/>
  <c r="L5040" i="1" s="1"/>
  <c r="H3246" i="1"/>
  <c r="I3246" i="1" s="1"/>
  <c r="J3246" i="1" s="1"/>
  <c r="K3246" i="1" s="1"/>
  <c r="L3246" i="1" s="1"/>
  <c r="H863" i="1"/>
  <c r="I863" i="1" s="1"/>
  <c r="J863" i="1" s="1"/>
  <c r="K863" i="1" s="1"/>
  <c r="L863" i="1" s="1"/>
  <c r="H141" i="1"/>
  <c r="I141" i="1" s="1"/>
  <c r="J141" i="1" s="1"/>
  <c r="K141" i="1" s="1"/>
  <c r="L141" i="1" s="1"/>
  <c r="H5179" i="1"/>
  <c r="I5179" i="1" s="1"/>
  <c r="J5179" i="1" s="1"/>
  <c r="K5179" i="1" s="1"/>
  <c r="L5179" i="1" s="1"/>
  <c r="H5395" i="1"/>
  <c r="I5395" i="1" s="1"/>
  <c r="J5395" i="1" s="1"/>
  <c r="K5395" i="1" s="1"/>
  <c r="L5395" i="1" s="1"/>
  <c r="H5307" i="1"/>
  <c r="I5307" i="1" s="1"/>
  <c r="J5307" i="1" s="1"/>
  <c r="K5307" i="1" s="1"/>
  <c r="L5307" i="1" s="1"/>
  <c r="H3680" i="1"/>
  <c r="I3680" i="1" s="1"/>
  <c r="J3680" i="1" s="1"/>
  <c r="K3680" i="1" s="1"/>
  <c r="L3680" i="1" s="1"/>
  <c r="H4597" i="1"/>
  <c r="I4597" i="1" s="1"/>
  <c r="J4597" i="1" s="1"/>
  <c r="K4597" i="1" s="1"/>
  <c r="L4597" i="1" s="1"/>
  <c r="H2928" i="1"/>
  <c r="I2928" i="1" s="1"/>
  <c r="J2928" i="1" s="1"/>
  <c r="K2928" i="1" s="1"/>
  <c r="L2928" i="1" s="1"/>
  <c r="H622" i="1"/>
  <c r="I622" i="1" s="1"/>
  <c r="J622" i="1" s="1"/>
  <c r="K622" i="1" s="1"/>
  <c r="L622" i="1" s="1"/>
  <c r="H919" i="1"/>
  <c r="I919" i="1" s="1"/>
  <c r="J919" i="1" s="1"/>
  <c r="K919" i="1" s="1"/>
  <c r="L919" i="1" s="1"/>
  <c r="H2344" i="1"/>
  <c r="I2344" i="1" s="1"/>
  <c r="J2344" i="1" s="1"/>
  <c r="H1484" i="1"/>
  <c r="I1484" i="1" s="1"/>
  <c r="J1484" i="1" s="1"/>
  <c r="H4132" i="1"/>
  <c r="I4132" i="1" s="1"/>
  <c r="J4132" i="1" s="1"/>
  <c r="H3916" i="1"/>
  <c r="I3916" i="1" s="1"/>
  <c r="J3916" i="1" s="1"/>
  <c r="K3916" i="1" s="1"/>
  <c r="L3916" i="1" s="1"/>
  <c r="H2139" i="1"/>
  <c r="I2139" i="1" s="1"/>
  <c r="J2139" i="1" s="1"/>
  <c r="K2139" i="1" s="1"/>
  <c r="L2139" i="1" s="1"/>
  <c r="H2538" i="1"/>
  <c r="I2538" i="1" s="1"/>
  <c r="J2538" i="1" s="1"/>
  <c r="K2538" i="1" s="1"/>
  <c r="L2538" i="1" s="1"/>
  <c r="H2789" i="1"/>
  <c r="I2789" i="1" s="1"/>
  <c r="J2789" i="1" s="1"/>
  <c r="K2789" i="1" s="1"/>
  <c r="L2789" i="1" s="1"/>
  <c r="H4448" i="1"/>
  <c r="I4448" i="1" s="1"/>
  <c r="J4448" i="1" s="1"/>
  <c r="K4448" i="1" s="1"/>
  <c r="L4448" i="1" s="1"/>
  <c r="H2449" i="1"/>
  <c r="I2449" i="1" s="1"/>
  <c r="J2449" i="1" s="1"/>
  <c r="K2449" i="1" s="1"/>
  <c r="L2449" i="1" s="1"/>
  <c r="H1727" i="1"/>
  <c r="I1727" i="1" s="1"/>
  <c r="J1727" i="1" s="1"/>
  <c r="K1727" i="1" s="1"/>
  <c r="L1727" i="1" s="1"/>
  <c r="H1866" i="1"/>
  <c r="I1866" i="1" s="1"/>
  <c r="J1866" i="1" s="1"/>
  <c r="K1866" i="1" s="1"/>
  <c r="L1866" i="1" s="1"/>
  <c r="H1448" i="1"/>
  <c r="I1448" i="1" s="1"/>
  <c r="J1448" i="1" s="1"/>
  <c r="K1448" i="1" s="1"/>
  <c r="L1448" i="1" s="1"/>
  <c r="H709" i="1"/>
  <c r="I709" i="1" s="1"/>
  <c r="J709" i="1" s="1"/>
  <c r="K709" i="1" s="1"/>
  <c r="L709" i="1" s="1"/>
  <c r="H1229" i="1"/>
  <c r="I1229" i="1" s="1"/>
  <c r="J1229" i="1" s="1"/>
  <c r="K1229" i="1" s="1"/>
  <c r="L1229" i="1" s="1"/>
  <c r="H2476" i="1"/>
  <c r="I2476" i="1" s="1"/>
  <c r="J2476" i="1" s="1"/>
  <c r="K2476" i="1" s="1"/>
  <c r="L2476" i="1" s="1"/>
  <c r="H72" i="1"/>
  <c r="I72" i="1" s="1"/>
  <c r="J72" i="1" s="1"/>
  <c r="K72" i="1" s="1"/>
  <c r="L72" i="1" s="1"/>
  <c r="H821" i="1"/>
  <c r="I821" i="1" s="1"/>
  <c r="J821" i="1" s="1"/>
  <c r="H2867" i="1"/>
  <c r="I2867" i="1" s="1"/>
  <c r="J2867" i="1" s="1"/>
  <c r="H2043" i="1"/>
  <c r="I2043" i="1" s="1"/>
  <c r="J2043" i="1" s="1"/>
  <c r="H284" i="1"/>
  <c r="I284" i="1" s="1"/>
  <c r="J284" i="1" s="1"/>
  <c r="K284" i="1" s="1"/>
  <c r="L284" i="1" s="1"/>
  <c r="H90" i="1"/>
  <c r="I90" i="1" s="1"/>
  <c r="J90" i="1" s="1"/>
  <c r="K90" i="1" s="1"/>
  <c r="L90" i="1" s="1"/>
  <c r="H4001" i="1"/>
  <c r="I4001" i="1" s="1"/>
  <c r="J4001" i="1" s="1"/>
  <c r="K4001" i="1" s="1"/>
  <c r="L4001" i="1" s="1"/>
  <c r="H3639" i="1"/>
  <c r="I3639" i="1" s="1"/>
  <c r="J3639" i="1" s="1"/>
  <c r="K3639" i="1" s="1"/>
  <c r="L3639" i="1" s="1"/>
  <c r="H149" i="1"/>
  <c r="I149" i="1" s="1"/>
  <c r="J149" i="1" s="1"/>
  <c r="K149" i="1" s="1"/>
  <c r="L149" i="1" s="1"/>
  <c r="H505" i="1"/>
  <c r="I505" i="1" s="1"/>
  <c r="J505" i="1" s="1"/>
  <c r="K505" i="1" s="1"/>
  <c r="L505" i="1" s="1"/>
  <c r="H1038" i="1"/>
  <c r="I1038" i="1" s="1"/>
  <c r="J1038" i="1" s="1"/>
  <c r="K1038" i="1" s="1"/>
  <c r="L1038" i="1" s="1"/>
  <c r="H896" i="1"/>
  <c r="I896" i="1" s="1"/>
  <c r="J896" i="1" s="1"/>
  <c r="K896" i="1" s="1"/>
  <c r="L896" i="1" s="1"/>
  <c r="H4501" i="1"/>
  <c r="I4501" i="1" s="1"/>
  <c r="J4501" i="1" s="1"/>
  <c r="K4501" i="1" s="1"/>
  <c r="L4501" i="1" s="1"/>
  <c r="H4921" i="1"/>
  <c r="I4921" i="1" s="1"/>
  <c r="J4921" i="1" s="1"/>
  <c r="K4921" i="1" s="1"/>
  <c r="L4921" i="1" s="1"/>
  <c r="H524" i="1"/>
  <c r="I524" i="1" s="1"/>
  <c r="J524" i="1" s="1"/>
  <c r="K524" i="1" s="1"/>
  <c r="L524" i="1" s="1"/>
  <c r="H1641" i="1"/>
  <c r="I1641" i="1" s="1"/>
  <c r="J1641" i="1" s="1"/>
  <c r="K1641" i="1" s="1"/>
  <c r="L1641" i="1" s="1"/>
  <c r="H5306" i="1"/>
  <c r="I5306" i="1" s="1"/>
  <c r="J5306" i="1" s="1"/>
  <c r="K5306" i="1" s="1"/>
  <c r="L5306" i="1" s="1"/>
  <c r="H444" i="1"/>
  <c r="I444" i="1" s="1"/>
  <c r="J444" i="1" s="1"/>
  <c r="K444" i="1" s="1"/>
  <c r="L444" i="1" s="1"/>
  <c r="H2527" i="1"/>
  <c r="I2527" i="1" s="1"/>
  <c r="J2527" i="1" s="1"/>
  <c r="H1346" i="1"/>
  <c r="I1346" i="1" s="1"/>
  <c r="J1346" i="1" s="1"/>
  <c r="H3190" i="1"/>
  <c r="I3190" i="1" s="1"/>
  <c r="J3190" i="1" s="1"/>
  <c r="K3190" i="1" s="1"/>
  <c r="L3190" i="1" s="1"/>
  <c r="H2638" i="1"/>
  <c r="I2638" i="1" s="1"/>
  <c r="J2638" i="1" s="1"/>
  <c r="K2638" i="1" s="1"/>
  <c r="L2638" i="1" s="1"/>
  <c r="H2123" i="1"/>
  <c r="I2123" i="1" s="1"/>
  <c r="J2123" i="1" s="1"/>
  <c r="K2123" i="1" s="1"/>
  <c r="L2123" i="1" s="1"/>
  <c r="H5437" i="1"/>
  <c r="I5437" i="1" s="1"/>
  <c r="J5437" i="1" s="1"/>
  <c r="K5437" i="1" s="1"/>
  <c r="L5437" i="1" s="1"/>
  <c r="H4997" i="1"/>
  <c r="I4997" i="1" s="1"/>
  <c r="J4997" i="1" s="1"/>
  <c r="K4997" i="1" s="1"/>
  <c r="L4997" i="1" s="1"/>
  <c r="H5011" i="1"/>
  <c r="I5011" i="1" s="1"/>
  <c r="J5011" i="1" s="1"/>
  <c r="K5011" i="1" s="1"/>
  <c r="L5011" i="1" s="1"/>
  <c r="H1948" i="1"/>
  <c r="I1948" i="1" s="1"/>
  <c r="J1948" i="1" s="1"/>
  <c r="K1948" i="1" s="1"/>
  <c r="L1948" i="1" s="1"/>
  <c r="H4512" i="1"/>
  <c r="I4512" i="1" s="1"/>
  <c r="J4512" i="1" s="1"/>
  <c r="K4512" i="1" s="1"/>
  <c r="L4512" i="1" s="1"/>
  <c r="H2955" i="1"/>
  <c r="I2955" i="1" s="1"/>
  <c r="J2955" i="1" s="1"/>
  <c r="K2955" i="1" s="1"/>
  <c r="L2955" i="1" s="1"/>
  <c r="H3297" i="1"/>
  <c r="I3297" i="1" s="1"/>
  <c r="J3297" i="1" s="1"/>
  <c r="K3297" i="1" s="1"/>
  <c r="L3297" i="1" s="1"/>
  <c r="H1693" i="1"/>
  <c r="I1693" i="1" s="1"/>
  <c r="J1693" i="1" s="1"/>
  <c r="K1693" i="1" s="1"/>
  <c r="L1693" i="1" s="1"/>
  <c r="H4862" i="1"/>
  <c r="I4862" i="1" s="1"/>
  <c r="J4862" i="1" s="1"/>
  <c r="K4862" i="1" s="1"/>
  <c r="L4862" i="1" s="1"/>
  <c r="H4602" i="1"/>
  <c r="I4602" i="1" s="1"/>
  <c r="J4602" i="1" s="1"/>
  <c r="K4602" i="1" s="1"/>
  <c r="L4602" i="1" s="1"/>
  <c r="H936" i="1"/>
  <c r="I936" i="1" s="1"/>
  <c r="J936" i="1" s="1"/>
  <c r="K936" i="1" s="1"/>
  <c r="L936" i="1" s="1"/>
  <c r="H1467" i="1"/>
  <c r="I1467" i="1" s="1"/>
  <c r="J1467" i="1" s="1"/>
  <c r="H1326" i="1"/>
  <c r="I1326" i="1" s="1"/>
  <c r="J1326" i="1" s="1"/>
  <c r="H3307" i="1"/>
  <c r="I3307" i="1" s="1"/>
  <c r="J3307" i="1" s="1"/>
  <c r="K3307" i="1" s="1"/>
  <c r="L3307" i="1" s="1"/>
  <c r="H5607" i="1"/>
  <c r="I5607" i="1" s="1"/>
  <c r="J5607" i="1" s="1"/>
  <c r="K5607" i="1" s="1"/>
  <c r="L5607" i="1" s="1"/>
  <c r="H4264" i="1"/>
  <c r="I4264" i="1" s="1"/>
  <c r="J4264" i="1" s="1"/>
  <c r="K4264" i="1" s="1"/>
  <c r="L4264" i="1" s="1"/>
  <c r="H5269" i="1"/>
  <c r="I5269" i="1" s="1"/>
  <c r="J5269" i="1" s="1"/>
  <c r="K5269" i="1" s="1"/>
  <c r="L5269" i="1" s="1"/>
  <c r="H3413" i="1"/>
  <c r="I3413" i="1" s="1"/>
  <c r="J3413" i="1" s="1"/>
  <c r="K3413" i="1" s="1"/>
  <c r="L3413" i="1" s="1"/>
  <c r="H2931" i="1"/>
  <c r="I2931" i="1" s="1"/>
  <c r="J2931" i="1" s="1"/>
  <c r="K2931" i="1" s="1"/>
  <c r="L2931" i="1" s="1"/>
  <c r="H210" i="1"/>
  <c r="I210" i="1" s="1"/>
  <c r="J210" i="1" s="1"/>
  <c r="K210" i="1" s="1"/>
  <c r="L210" i="1" s="1"/>
  <c r="H4441" i="1"/>
  <c r="I4441" i="1" s="1"/>
  <c r="J4441" i="1" s="1"/>
  <c r="K4441" i="1" s="1"/>
  <c r="L4441" i="1" s="1"/>
  <c r="H2895" i="1"/>
  <c r="I2895" i="1" s="1"/>
  <c r="J2895" i="1" s="1"/>
  <c r="K2895" i="1" s="1"/>
  <c r="L2895" i="1" s="1"/>
  <c r="H3459" i="1"/>
  <c r="I3459" i="1" s="1"/>
  <c r="J3459" i="1" s="1"/>
  <c r="K3459" i="1" s="1"/>
  <c r="L3459" i="1" s="1"/>
  <c r="H4730" i="1"/>
  <c r="I4730" i="1" s="1"/>
  <c r="J4730" i="1" s="1"/>
  <c r="K4730" i="1" s="1"/>
  <c r="L4730" i="1" s="1"/>
  <c r="H3376" i="1"/>
  <c r="I3376" i="1" s="1"/>
  <c r="J3376" i="1" s="1"/>
  <c r="K3376" i="1" s="1"/>
  <c r="L3376" i="1" s="1"/>
  <c r="H3034" i="1"/>
  <c r="I3034" i="1" s="1"/>
  <c r="J3034" i="1" s="1"/>
  <c r="K3034" i="1" s="1"/>
  <c r="L3034" i="1" s="1"/>
  <c r="H1408" i="1"/>
  <c r="I1408" i="1" s="1"/>
  <c r="J1408" i="1" s="1"/>
  <c r="K1408" i="1" s="1"/>
  <c r="L1408" i="1" s="1"/>
  <c r="H110" i="1"/>
  <c r="I110" i="1" s="1"/>
  <c r="J110" i="1" s="1"/>
  <c r="H2540" i="1"/>
  <c r="I2540" i="1" s="1"/>
  <c r="J2540" i="1" s="1"/>
  <c r="H2797" i="1"/>
  <c r="I2797" i="1" s="1"/>
  <c r="J2797" i="1" s="1"/>
  <c r="K2797" i="1" s="1"/>
  <c r="L2797" i="1" s="1"/>
  <c r="H2047" i="1"/>
  <c r="I2047" i="1" s="1"/>
  <c r="J2047" i="1" s="1"/>
  <c r="K2047" i="1" s="1"/>
  <c r="L2047" i="1" s="1"/>
  <c r="H680" i="1"/>
  <c r="I680" i="1" s="1"/>
  <c r="H1801" i="1"/>
  <c r="I1801" i="1" s="1"/>
  <c r="J1801" i="1" s="1"/>
  <c r="K1801" i="1" s="1"/>
  <c r="L1801" i="1" s="1"/>
  <c r="H5504" i="1"/>
  <c r="I5504" i="1" s="1"/>
  <c r="J5504" i="1" s="1"/>
  <c r="K5504" i="1" s="1"/>
  <c r="L5504" i="1" s="1"/>
  <c r="H3713" i="1"/>
  <c r="I3713" i="1" s="1"/>
  <c r="J3713" i="1" s="1"/>
  <c r="K3713" i="1" s="1"/>
  <c r="L3713" i="1" s="1"/>
  <c r="H63" i="1"/>
  <c r="I63" i="1" s="1"/>
  <c r="J63" i="1" s="1"/>
  <c r="K63" i="1" s="1"/>
  <c r="L63" i="1" s="1"/>
  <c r="H4163" i="1"/>
  <c r="I4163" i="1" s="1"/>
  <c r="J4163" i="1" s="1"/>
  <c r="K4163" i="1" s="1"/>
  <c r="L4163" i="1" s="1"/>
  <c r="H1049" i="1"/>
  <c r="I1049" i="1" s="1"/>
  <c r="J1049" i="1" s="1"/>
  <c r="K1049" i="1" s="1"/>
  <c r="L1049" i="1" s="1"/>
  <c r="H5118" i="1"/>
  <c r="I5118" i="1" s="1"/>
  <c r="J5118" i="1" s="1"/>
  <c r="K5118" i="1" s="1"/>
  <c r="L5118" i="1" s="1"/>
  <c r="H1990" i="1"/>
  <c r="I1990" i="1" s="1"/>
  <c r="J1990" i="1" s="1"/>
  <c r="K1990" i="1" s="1"/>
  <c r="L1990" i="1" s="1"/>
  <c r="H3098" i="1"/>
  <c r="I3098" i="1" s="1"/>
  <c r="J3098" i="1" s="1"/>
  <c r="K3098" i="1" s="1"/>
  <c r="L3098" i="1" s="1"/>
  <c r="H2059" i="1"/>
  <c r="I2059" i="1" s="1"/>
  <c r="J2059" i="1" s="1"/>
  <c r="K2059" i="1" s="1"/>
  <c r="L2059" i="1" s="1"/>
  <c r="H5616" i="1"/>
  <c r="I5616" i="1" s="1"/>
  <c r="J5616" i="1" s="1"/>
  <c r="K5616" i="1" s="1"/>
  <c r="L5616" i="1" s="1"/>
  <c r="H5990" i="1"/>
  <c r="I5990" i="1" s="1"/>
  <c r="J5990" i="1" s="1"/>
  <c r="K5990" i="1" s="1"/>
  <c r="L5990" i="1" s="1"/>
  <c r="H3180" i="1"/>
  <c r="I3180" i="1" s="1"/>
  <c r="J3180" i="1" s="1"/>
  <c r="H3868" i="1"/>
  <c r="I3868" i="1" s="1"/>
  <c r="J3868" i="1" s="1"/>
  <c r="K3868" i="1" s="1"/>
  <c r="L3868" i="1" s="1"/>
  <c r="H2005" i="1"/>
  <c r="I2005" i="1" s="1"/>
  <c r="J2005" i="1" s="1"/>
  <c r="K2005" i="1" s="1"/>
  <c r="L2005" i="1" s="1"/>
  <c r="H3159" i="1"/>
  <c r="I3159" i="1" s="1"/>
  <c r="J3159" i="1" s="1"/>
  <c r="K3159" i="1" s="1"/>
  <c r="L3159" i="1" s="1"/>
  <c r="H5759" i="1"/>
  <c r="I5759" i="1" s="1"/>
  <c r="J5759" i="1" s="1"/>
  <c r="K5759" i="1" s="1"/>
  <c r="L5759" i="1" s="1"/>
  <c r="H1808" i="1"/>
  <c r="I1808" i="1" s="1"/>
  <c r="J1808" i="1" s="1"/>
  <c r="K1808" i="1" s="1"/>
  <c r="L1808" i="1" s="1"/>
  <c r="H3059" i="1"/>
  <c r="I3059" i="1" s="1"/>
  <c r="J3059" i="1" s="1"/>
  <c r="K3059" i="1" s="1"/>
  <c r="L3059" i="1" s="1"/>
  <c r="H3112" i="1"/>
  <c r="I3112" i="1" s="1"/>
  <c r="J3112" i="1" s="1"/>
  <c r="K3112" i="1" s="1"/>
  <c r="L3112" i="1" s="1"/>
  <c r="H182" i="1"/>
  <c r="I182" i="1" s="1"/>
  <c r="J182" i="1" s="1"/>
  <c r="K182" i="1" s="1"/>
  <c r="L182" i="1" s="1"/>
  <c r="H1752" i="1"/>
  <c r="I1752" i="1" s="1"/>
  <c r="J1752" i="1" s="1"/>
  <c r="K1752" i="1" s="1"/>
  <c r="L1752" i="1" s="1"/>
  <c r="H1157" i="1"/>
  <c r="I1157" i="1" s="1"/>
  <c r="J1157" i="1" s="1"/>
  <c r="K1157" i="1" s="1"/>
  <c r="L1157" i="1" s="1"/>
  <c r="H5142" i="1"/>
  <c r="I5142" i="1" s="1"/>
  <c r="J5142" i="1" s="1"/>
  <c r="K5142" i="1" s="1"/>
  <c r="L5142" i="1" s="1"/>
  <c r="H1277" i="1"/>
  <c r="I1277" i="1" s="1"/>
  <c r="J1277" i="1" s="1"/>
  <c r="K1277" i="1" s="1"/>
  <c r="L1277" i="1" s="1"/>
  <c r="H1601" i="1"/>
  <c r="I1601" i="1" s="1"/>
  <c r="J1601" i="1" s="1"/>
  <c r="K1601" i="1" s="1"/>
  <c r="L1601" i="1" s="1"/>
  <c r="H5582" i="1"/>
  <c r="I5582" i="1" s="1"/>
  <c r="J5582" i="1" s="1"/>
  <c r="K5582" i="1" s="1"/>
  <c r="L5582" i="1" s="1"/>
  <c r="H4755" i="1"/>
  <c r="I4755" i="1" s="1"/>
  <c r="J4755" i="1" s="1"/>
  <c r="H4426" i="1"/>
  <c r="I4426" i="1" s="1"/>
  <c r="J4426" i="1" s="1"/>
  <c r="H589" i="1"/>
  <c r="I589" i="1" s="1"/>
  <c r="J589" i="1" s="1"/>
  <c r="K589" i="1" s="1"/>
  <c r="L589" i="1" s="1"/>
  <c r="H5032" i="1"/>
  <c r="I5032" i="1" s="1"/>
  <c r="J5032" i="1" s="1"/>
  <c r="K5032" i="1" s="1"/>
  <c r="L5032" i="1" s="1"/>
  <c r="H5378" i="1"/>
  <c r="I5378" i="1" s="1"/>
  <c r="J5378" i="1" s="1"/>
  <c r="K5378" i="1" s="1"/>
  <c r="L5378" i="1" s="1"/>
  <c r="H3945" i="1"/>
  <c r="I3945" i="1" s="1"/>
  <c r="J3945" i="1" s="1"/>
  <c r="K3945" i="1" s="1"/>
  <c r="L3945" i="1" s="1"/>
  <c r="H3904" i="1"/>
  <c r="I3904" i="1" s="1"/>
  <c r="J3904" i="1" s="1"/>
  <c r="K3904" i="1" s="1"/>
  <c r="L3904" i="1" s="1"/>
  <c r="H3538" i="1"/>
  <c r="I3538" i="1" s="1"/>
  <c r="J3538" i="1" s="1"/>
  <c r="K3538" i="1" s="1"/>
  <c r="L3538" i="1" s="1"/>
  <c r="H2016" i="1"/>
  <c r="I2016" i="1" s="1"/>
  <c r="J2016" i="1" s="1"/>
  <c r="K2016" i="1" s="1"/>
  <c r="L2016" i="1" s="1"/>
  <c r="H977" i="1"/>
  <c r="I977" i="1" s="1"/>
  <c r="J977" i="1" s="1"/>
  <c r="K977" i="1" s="1"/>
  <c r="L977" i="1" s="1"/>
  <c r="H1549" i="1"/>
  <c r="I1549" i="1" s="1"/>
  <c r="J1549" i="1" s="1"/>
  <c r="K1549" i="1" s="1"/>
  <c r="L1549" i="1" s="1"/>
  <c r="H1597" i="1"/>
  <c r="I1597" i="1" s="1"/>
  <c r="J1597" i="1" s="1"/>
  <c r="K1597" i="1" s="1"/>
  <c r="L1597" i="1" s="1"/>
  <c r="H619" i="1"/>
  <c r="I619" i="1" s="1"/>
  <c r="J619" i="1" s="1"/>
  <c r="K619" i="1" s="1"/>
  <c r="L619" i="1" s="1"/>
  <c r="H5563" i="1"/>
  <c r="I5563" i="1" s="1"/>
  <c r="J5563" i="1" s="1"/>
  <c r="K5563" i="1" s="1"/>
  <c r="L5563" i="1" s="1"/>
  <c r="H2934" i="1"/>
  <c r="I2934" i="1" s="1"/>
  <c r="J2934" i="1" s="1"/>
  <c r="K2934" i="1" s="1"/>
  <c r="L2934" i="1" s="1"/>
  <c r="H4505" i="1"/>
  <c r="I4505" i="1" s="1"/>
  <c r="J4505" i="1" s="1"/>
  <c r="K4505" i="1" s="1"/>
  <c r="L4505" i="1" s="1"/>
  <c r="H4798" i="1"/>
  <c r="I4798" i="1" s="1"/>
  <c r="J4798" i="1" s="1"/>
  <c r="K4798" i="1" s="1"/>
  <c r="L4798" i="1" s="1"/>
  <c r="H1895" i="1"/>
  <c r="I1895" i="1" s="1"/>
  <c r="J1895" i="1" s="1"/>
  <c r="H4649" i="1"/>
  <c r="I4649" i="1" s="1"/>
  <c r="J4649" i="1" s="1"/>
  <c r="K4649" i="1" s="1"/>
  <c r="L4649" i="1" s="1"/>
  <c r="H2721" i="1"/>
  <c r="I2721" i="1" s="1"/>
  <c r="J2721" i="1" s="1"/>
  <c r="K2721" i="1" s="1"/>
  <c r="L2721" i="1" s="1"/>
  <c r="H991" i="1"/>
  <c r="I991" i="1" s="1"/>
  <c r="J991" i="1" s="1"/>
  <c r="K991" i="1" s="1"/>
  <c r="L991" i="1" s="1"/>
  <c r="H2811" i="1"/>
  <c r="I2811" i="1" s="1"/>
  <c r="J2811" i="1" s="1"/>
  <c r="K2811" i="1" s="1"/>
  <c r="L2811" i="1" s="1"/>
  <c r="H142" i="1"/>
  <c r="I142" i="1" s="1"/>
  <c r="J142" i="1" s="1"/>
  <c r="K142" i="1" s="1"/>
  <c r="L142" i="1" s="1"/>
  <c r="H6" i="1"/>
  <c r="I6" i="1" s="1"/>
  <c r="J6" i="1" s="1"/>
  <c r="K6" i="1" s="1"/>
  <c r="L6" i="1" s="1"/>
  <c r="H3747" i="1"/>
  <c r="I3747" i="1" s="1"/>
  <c r="J3747" i="1" s="1"/>
  <c r="K3747" i="1" s="1"/>
  <c r="L3747" i="1" s="1"/>
  <c r="H3705" i="1"/>
  <c r="I3705" i="1" s="1"/>
  <c r="J3705" i="1" s="1"/>
  <c r="K3705" i="1" s="1"/>
  <c r="L3705" i="1" s="1"/>
  <c r="H1986" i="1"/>
  <c r="I1986" i="1" s="1"/>
  <c r="J1986" i="1" s="1"/>
  <c r="K1986" i="1" s="1"/>
  <c r="L1986" i="1" s="1"/>
  <c r="H3255" i="1"/>
  <c r="I3255" i="1" s="1"/>
  <c r="J3255" i="1" s="1"/>
  <c r="K3255" i="1" s="1"/>
  <c r="L3255" i="1" s="1"/>
  <c r="H1694" i="1"/>
  <c r="I1694" i="1" s="1"/>
  <c r="J1694" i="1" s="1"/>
  <c r="K1694" i="1" s="1"/>
  <c r="L1694" i="1" s="1"/>
  <c r="H2076" i="1"/>
  <c r="I2076" i="1" s="1"/>
  <c r="J2076" i="1" s="1"/>
  <c r="K2076" i="1" s="1"/>
  <c r="L2076" i="1" s="1"/>
  <c r="H5062" i="1"/>
  <c r="I5062" i="1" s="1"/>
  <c r="J5062" i="1" s="1"/>
  <c r="K5062" i="1" s="1"/>
  <c r="L5062" i="1" s="1"/>
  <c r="H4260" i="1"/>
  <c r="I4260" i="1" s="1"/>
  <c r="J4260" i="1" s="1"/>
  <c r="K4260" i="1" s="1"/>
  <c r="L4260" i="1" s="1"/>
  <c r="H5562" i="1"/>
  <c r="I5562" i="1" s="1"/>
  <c r="J5562" i="1" s="1"/>
  <c r="H4792" i="1"/>
  <c r="I4792" i="1" s="1"/>
  <c r="J4792" i="1" s="1"/>
  <c r="H967" i="1"/>
  <c r="I967" i="1" s="1"/>
  <c r="J967" i="1" s="1"/>
  <c r="K967" i="1" s="1"/>
  <c r="L967" i="1" s="1"/>
  <c r="H529" i="1"/>
  <c r="I529" i="1" s="1"/>
  <c r="J529" i="1" s="1"/>
  <c r="H4444" i="1"/>
  <c r="I4444" i="1" s="1"/>
  <c r="J4444" i="1" s="1"/>
  <c r="K4444" i="1" s="1"/>
  <c r="L4444" i="1" s="1"/>
  <c r="H1852" i="1"/>
  <c r="I1852" i="1" s="1"/>
  <c r="J1852" i="1" s="1"/>
  <c r="K1852" i="1" s="1"/>
  <c r="L1852" i="1" s="1"/>
  <c r="H2779" i="1"/>
  <c r="I2779" i="1" s="1"/>
  <c r="J2779" i="1" s="1"/>
  <c r="K2779" i="1" s="1"/>
  <c r="L2779" i="1" s="1"/>
  <c r="H2981" i="1"/>
  <c r="I2981" i="1" s="1"/>
  <c r="J2981" i="1" s="1"/>
  <c r="K2981" i="1" s="1"/>
  <c r="L2981" i="1" s="1"/>
  <c r="H2147" i="1"/>
  <c r="I2147" i="1" s="1"/>
  <c r="J2147" i="1" s="1"/>
  <c r="K2147" i="1" s="1"/>
  <c r="L2147" i="1" s="1"/>
  <c r="H211" i="1"/>
  <c r="I211" i="1" s="1"/>
  <c r="J211" i="1" s="1"/>
  <c r="K211" i="1" s="1"/>
  <c r="L211" i="1" s="1"/>
  <c r="H840" i="1"/>
  <c r="I840" i="1" s="1"/>
  <c r="J840" i="1" s="1"/>
  <c r="K840" i="1" s="1"/>
  <c r="L840" i="1" s="1"/>
  <c r="H956" i="1"/>
  <c r="I956" i="1" s="1"/>
  <c r="J956" i="1" s="1"/>
  <c r="K956" i="1" s="1"/>
  <c r="L956" i="1" s="1"/>
  <c r="H2332" i="1"/>
  <c r="I2332" i="1" s="1"/>
  <c r="J2332" i="1" s="1"/>
  <c r="K2332" i="1" s="1"/>
  <c r="L2332" i="1" s="1"/>
  <c r="H4136" i="1"/>
  <c r="I4136" i="1" s="1"/>
  <c r="J4136" i="1" s="1"/>
  <c r="K4136" i="1" s="1"/>
  <c r="L4136" i="1" s="1"/>
  <c r="H3941" i="1"/>
  <c r="I3941" i="1" s="1"/>
  <c r="J3941" i="1" s="1"/>
  <c r="K3941" i="1" s="1"/>
  <c r="L3941" i="1" s="1"/>
  <c r="H2353" i="1"/>
  <c r="I2353" i="1" s="1"/>
  <c r="J2353" i="1" s="1"/>
  <c r="K2353" i="1" s="1"/>
  <c r="L2353" i="1" s="1"/>
  <c r="H4816" i="1"/>
  <c r="I4816" i="1" s="1"/>
  <c r="J4816" i="1" s="1"/>
  <c r="K4816" i="1" s="1"/>
  <c r="L4816" i="1" s="1"/>
  <c r="H943" i="1"/>
  <c r="I943" i="1" s="1"/>
  <c r="J943" i="1" s="1"/>
  <c r="H148" i="1"/>
  <c r="I148" i="1" s="1"/>
  <c r="J148" i="1" s="1"/>
  <c r="K148" i="1" s="1"/>
  <c r="L148" i="1" s="1"/>
  <c r="H1286" i="1"/>
  <c r="I1286" i="1" s="1"/>
  <c r="J1286" i="1" s="1"/>
  <c r="K1286" i="1" s="1"/>
  <c r="L1286" i="1" s="1"/>
  <c r="H285" i="1"/>
  <c r="I285" i="1" s="1"/>
  <c r="J285" i="1" s="1"/>
  <c r="K285" i="1" s="1"/>
  <c r="L285" i="1" s="1"/>
  <c r="H4312" i="1"/>
  <c r="I4312" i="1" s="1"/>
  <c r="J4312" i="1" s="1"/>
  <c r="K4312" i="1" s="1"/>
  <c r="L4312" i="1" s="1"/>
  <c r="H7" i="1"/>
  <c r="I7" i="1" s="1"/>
  <c r="J7" i="1" s="1"/>
  <c r="K7" i="1" s="1"/>
  <c r="L7" i="1" s="1"/>
  <c r="H4785" i="1"/>
  <c r="I4785" i="1" s="1"/>
  <c r="J4785" i="1" s="1"/>
  <c r="K4785" i="1" s="1"/>
  <c r="L4785" i="1" s="1"/>
  <c r="H417" i="1"/>
  <c r="I417" i="1" s="1"/>
  <c r="J417" i="1" s="1"/>
  <c r="K417" i="1" s="1"/>
  <c r="L417" i="1" s="1"/>
  <c r="H2165" i="1"/>
  <c r="I2165" i="1" s="1"/>
  <c r="J2165" i="1" s="1"/>
  <c r="K2165" i="1" s="1"/>
  <c r="L2165" i="1" s="1"/>
  <c r="H4733" i="1"/>
  <c r="I4733" i="1" s="1"/>
  <c r="J4733" i="1" s="1"/>
  <c r="K4733" i="1" s="1"/>
  <c r="L4733" i="1" s="1"/>
  <c r="H1120" i="1"/>
  <c r="I1120" i="1" s="1"/>
  <c r="J1120" i="1" s="1"/>
  <c r="K1120" i="1" s="1"/>
  <c r="L1120" i="1" s="1"/>
  <c r="H2186" i="1"/>
  <c r="I2186" i="1" s="1"/>
  <c r="J2186" i="1" s="1"/>
  <c r="K2186" i="1" s="1"/>
  <c r="L2186" i="1" s="1"/>
  <c r="H45" i="1"/>
  <c r="I45" i="1" s="1"/>
  <c r="J45" i="1" s="1"/>
  <c r="K45" i="1" s="1"/>
  <c r="L45" i="1" s="1"/>
  <c r="H3373" i="1"/>
  <c r="I3373" i="1" s="1"/>
  <c r="J3373" i="1" s="1"/>
  <c r="K3373" i="1" s="1"/>
  <c r="L3373" i="1" s="1"/>
  <c r="H3305" i="1"/>
  <c r="I3305" i="1" s="1"/>
  <c r="J3305" i="1" s="1"/>
  <c r="H5753" i="1"/>
  <c r="I5753" i="1" s="1"/>
  <c r="J5753" i="1" s="1"/>
  <c r="H3891" i="1"/>
  <c r="I3891" i="1" s="1"/>
  <c r="J3891" i="1" s="1"/>
  <c r="H218" i="1"/>
  <c r="I218" i="1" s="1"/>
  <c r="J218" i="1" s="1"/>
  <c r="K218" i="1" s="1"/>
  <c r="L218" i="1" s="1"/>
  <c r="H2322" i="1"/>
  <c r="I2322" i="1" s="1"/>
  <c r="J2322" i="1" s="1"/>
  <c r="K2322" i="1" s="1"/>
  <c r="L2322" i="1" s="1"/>
  <c r="H2061" i="1"/>
  <c r="I2061" i="1" s="1"/>
  <c r="J2061" i="1" s="1"/>
  <c r="K2061" i="1" s="1"/>
  <c r="L2061" i="1" s="1"/>
  <c r="H341" i="1"/>
  <c r="I341" i="1" s="1"/>
  <c r="J341" i="1" s="1"/>
  <c r="K341" i="1" s="1"/>
  <c r="L341" i="1" s="1"/>
  <c r="H1525" i="1"/>
  <c r="I1525" i="1" s="1"/>
  <c r="J1525" i="1" s="1"/>
  <c r="K1525" i="1" s="1"/>
  <c r="L1525" i="1" s="1"/>
  <c r="H2309" i="1"/>
  <c r="I2309" i="1" s="1"/>
  <c r="J2309" i="1" s="1"/>
  <c r="K2309" i="1" s="1"/>
  <c r="L2309" i="1" s="1"/>
  <c r="H3358" i="1"/>
  <c r="I3358" i="1" s="1"/>
  <c r="J3358" i="1" s="1"/>
  <c r="K3358" i="1" s="1"/>
  <c r="L3358" i="1" s="1"/>
  <c r="H99" i="1"/>
  <c r="I99" i="1" s="1"/>
  <c r="J99" i="1" s="1"/>
  <c r="K99" i="1" s="1"/>
  <c r="L99" i="1" s="1"/>
  <c r="H4552" i="1"/>
  <c r="I4552" i="1" s="1"/>
  <c r="J4552" i="1" s="1"/>
  <c r="K4552" i="1" s="1"/>
  <c r="L4552" i="1" s="1"/>
  <c r="H4171" i="1"/>
  <c r="I4171" i="1" s="1"/>
  <c r="J4171" i="1" s="1"/>
  <c r="K4171" i="1" s="1"/>
  <c r="L4171" i="1" s="1"/>
  <c r="H2975" i="1"/>
  <c r="I2975" i="1" s="1"/>
  <c r="J2975" i="1" s="1"/>
  <c r="K2975" i="1" s="1"/>
  <c r="L2975" i="1" s="1"/>
  <c r="H5348" i="1"/>
  <c r="I5348" i="1" s="1"/>
  <c r="J5348" i="1" s="1"/>
  <c r="K5348" i="1" s="1"/>
  <c r="L5348" i="1" s="1"/>
  <c r="H2826" i="1"/>
  <c r="I2826" i="1" s="1"/>
  <c r="J2826" i="1" s="1"/>
  <c r="K2826" i="1" s="1"/>
  <c r="L2826" i="1" s="1"/>
  <c r="H5046" i="1"/>
  <c r="I5046" i="1" s="1"/>
  <c r="J5046" i="1" s="1"/>
  <c r="K5046" i="1" s="1"/>
  <c r="L5046" i="1" s="1"/>
  <c r="H2461" i="1"/>
  <c r="I2461" i="1" s="1"/>
  <c r="J2461" i="1" s="1"/>
  <c r="H1384" i="1"/>
  <c r="I1384" i="1" s="1"/>
  <c r="J1384" i="1" s="1"/>
  <c r="H18" i="1"/>
  <c r="I18" i="1" s="1"/>
  <c r="J18" i="1" s="1"/>
  <c r="K18" i="1" s="1"/>
  <c r="L18" i="1" s="1"/>
  <c r="H4480" i="1"/>
  <c r="I4480" i="1" s="1"/>
  <c r="J4480" i="1" s="1"/>
  <c r="K4480" i="1" s="1"/>
  <c r="L4480" i="1" s="1"/>
  <c r="H3014" i="1"/>
  <c r="I3014" i="1" s="1"/>
  <c r="J3014" i="1" s="1"/>
  <c r="K3014" i="1" s="1"/>
  <c r="L3014" i="1" s="1"/>
  <c r="H4089" i="1"/>
  <c r="I4089" i="1" s="1"/>
  <c r="J4089" i="1" s="1"/>
  <c r="K4089" i="1" s="1"/>
  <c r="L4089" i="1" s="1"/>
  <c r="H5972" i="1"/>
  <c r="I5972" i="1" s="1"/>
  <c r="J5972" i="1" s="1"/>
  <c r="K5972" i="1" s="1"/>
  <c r="L5972" i="1" s="1"/>
  <c r="H1210" i="1"/>
  <c r="I1210" i="1" s="1"/>
  <c r="J1210" i="1" s="1"/>
  <c r="K1210" i="1" s="1"/>
  <c r="L1210" i="1" s="1"/>
  <c r="H2176" i="1"/>
  <c r="I2176" i="1" s="1"/>
  <c r="J2176" i="1" s="1"/>
  <c r="K2176" i="1" s="1"/>
  <c r="L2176" i="1" s="1"/>
  <c r="H5965" i="1"/>
  <c r="I5965" i="1" s="1"/>
  <c r="J5965" i="1" s="1"/>
  <c r="K5965" i="1" s="1"/>
  <c r="L5965" i="1" s="1"/>
  <c r="H5945" i="1"/>
  <c r="I5945" i="1" s="1"/>
  <c r="J5945" i="1" s="1"/>
  <c r="K5945" i="1" s="1"/>
  <c r="L5945" i="1" s="1"/>
  <c r="H4654" i="1"/>
  <c r="I4654" i="1" s="1"/>
  <c r="J4654" i="1" s="1"/>
  <c r="K4654" i="1" s="1"/>
  <c r="L4654" i="1" s="1"/>
  <c r="H5070" i="1"/>
  <c r="I5070" i="1" s="1"/>
  <c r="J5070" i="1" s="1"/>
  <c r="K5070" i="1" s="1"/>
  <c r="L5070" i="1" s="1"/>
  <c r="H5109" i="1"/>
  <c r="I5109" i="1" s="1"/>
  <c r="J5109" i="1" s="1"/>
  <c r="K5109" i="1" s="1"/>
  <c r="L5109" i="1" s="1"/>
  <c r="H4689" i="1"/>
  <c r="I4689" i="1" s="1"/>
  <c r="J4689" i="1" s="1"/>
  <c r="K4689" i="1" s="1"/>
  <c r="L4689" i="1" s="1"/>
  <c r="H1669" i="1"/>
  <c r="I1669" i="1" s="1"/>
  <c r="J1669" i="1" s="1"/>
  <c r="K1669" i="1" s="1"/>
  <c r="L1669" i="1" s="1"/>
  <c r="H5784" i="1"/>
  <c r="I5784" i="1" s="1"/>
  <c r="J5784" i="1" s="1"/>
  <c r="H4729" i="1"/>
  <c r="I4729" i="1" s="1"/>
  <c r="J4729" i="1" s="1"/>
  <c r="H3997" i="1"/>
  <c r="I3997" i="1" s="1"/>
  <c r="J3997" i="1" s="1"/>
  <c r="K3997" i="1" s="1"/>
  <c r="L3997" i="1" s="1"/>
  <c r="H815" i="1"/>
  <c r="I815" i="1" s="1"/>
  <c r="J815" i="1" s="1"/>
  <c r="H4564" i="1"/>
  <c r="I4564" i="1" s="1"/>
  <c r="J4564" i="1" s="1"/>
  <c r="K4564" i="1" s="1"/>
  <c r="L4564" i="1" s="1"/>
  <c r="H5138" i="1"/>
  <c r="I5138" i="1" s="1"/>
  <c r="J5138" i="1" s="1"/>
  <c r="K5138" i="1" s="1"/>
  <c r="L5138" i="1" s="1"/>
  <c r="H5282" i="1"/>
  <c r="I5282" i="1" s="1"/>
  <c r="J5282" i="1" s="1"/>
  <c r="K5282" i="1" s="1"/>
  <c r="L5282" i="1" s="1"/>
  <c r="H448" i="1"/>
  <c r="I448" i="1" s="1"/>
  <c r="J448" i="1" s="1"/>
  <c r="K448" i="1" s="1"/>
  <c r="L448" i="1" s="1"/>
  <c r="H5079" i="1"/>
  <c r="I5079" i="1" s="1"/>
  <c r="J5079" i="1" s="1"/>
  <c r="K5079" i="1" s="1"/>
  <c r="L5079" i="1" s="1"/>
  <c r="H4011" i="1"/>
  <c r="I4011" i="1" s="1"/>
  <c r="J4011" i="1" s="1"/>
  <c r="K4011" i="1" s="1"/>
  <c r="L4011" i="1" s="1"/>
  <c r="H2497" i="1"/>
  <c r="I2497" i="1" s="1"/>
  <c r="J2497" i="1" s="1"/>
  <c r="K2497" i="1" s="1"/>
  <c r="L2497" i="1" s="1"/>
  <c r="H5821" i="1"/>
  <c r="I5821" i="1" s="1"/>
  <c r="J5821" i="1" s="1"/>
  <c r="K5821" i="1" s="1"/>
  <c r="L5821" i="1" s="1"/>
  <c r="H2361" i="1"/>
  <c r="I2361" i="1" s="1"/>
  <c r="J2361" i="1" s="1"/>
  <c r="K2361" i="1" s="1"/>
  <c r="L2361" i="1" s="1"/>
  <c r="H2704" i="1"/>
  <c r="I2704" i="1" s="1"/>
  <c r="J2704" i="1" s="1"/>
  <c r="K2704" i="1" s="1"/>
  <c r="L2704" i="1" s="1"/>
  <c r="H5689" i="1"/>
  <c r="I5689" i="1" s="1"/>
  <c r="J5689" i="1" s="1"/>
  <c r="K5689" i="1" s="1"/>
  <c r="L5689" i="1" s="1"/>
  <c r="H2013" i="1"/>
  <c r="I2013" i="1" s="1"/>
  <c r="J2013" i="1" s="1"/>
  <c r="K2013" i="1" s="1"/>
  <c r="L2013" i="1" s="1"/>
  <c r="H2546" i="1"/>
  <c r="I2546" i="1" s="1"/>
  <c r="J2546" i="1" s="1"/>
  <c r="K2546" i="1" s="1"/>
  <c r="L2546" i="1" s="1"/>
  <c r="H2394" i="1"/>
  <c r="I2394" i="1" s="1"/>
  <c r="J2394" i="1" s="1"/>
  <c r="H3490" i="1"/>
  <c r="I3490" i="1" s="1"/>
  <c r="J3490" i="1" s="1"/>
  <c r="K3490" i="1" s="1"/>
  <c r="L3490" i="1" s="1"/>
  <c r="H2474" i="1"/>
  <c r="I2474" i="1" s="1"/>
  <c r="J2474" i="1" s="1"/>
  <c r="K2474" i="1" s="1"/>
  <c r="L2474" i="1" s="1"/>
  <c r="H1181" i="1"/>
  <c r="I1181" i="1" s="1"/>
  <c r="J1181" i="1" s="1"/>
  <c r="K1181" i="1" s="1"/>
  <c r="L1181" i="1" s="1"/>
  <c r="H4727" i="1"/>
  <c r="I4727" i="1" s="1"/>
  <c r="J4727" i="1" s="1"/>
  <c r="K4727" i="1" s="1"/>
  <c r="L4727" i="1" s="1"/>
  <c r="H1892" i="1"/>
  <c r="I1892" i="1" s="1"/>
  <c r="J1892" i="1" s="1"/>
  <c r="K1892" i="1" s="1"/>
  <c r="L1892" i="1" s="1"/>
  <c r="H4077" i="1"/>
  <c r="I4077" i="1" s="1"/>
  <c r="J4077" i="1" s="1"/>
  <c r="K4077" i="1" s="1"/>
  <c r="L4077" i="1" s="1"/>
  <c r="H1172" i="1"/>
  <c r="I1172" i="1" s="1"/>
  <c r="J1172" i="1" s="1"/>
  <c r="K1172" i="1" s="1"/>
  <c r="L1172" i="1" s="1"/>
  <c r="H1926" i="1"/>
  <c r="I1926" i="1" s="1"/>
  <c r="J1926" i="1" s="1"/>
  <c r="K1926" i="1" s="1"/>
  <c r="L1926" i="1" s="1"/>
  <c r="H4712" i="1"/>
  <c r="I4712" i="1" s="1"/>
  <c r="J4712" i="1" s="1"/>
  <c r="K4712" i="1" s="1"/>
  <c r="L4712" i="1" s="1"/>
  <c r="H4594" i="1"/>
  <c r="I4594" i="1" s="1"/>
  <c r="J4594" i="1" s="1"/>
  <c r="K4594" i="1" s="1"/>
  <c r="L4594" i="1" s="1"/>
  <c r="H12" i="1"/>
  <c r="I12" i="1" s="1"/>
  <c r="J12" i="1" s="1"/>
  <c r="K12" i="1" s="1"/>
  <c r="L12" i="1" s="1"/>
  <c r="H5557" i="1"/>
  <c r="I5557" i="1" s="1"/>
  <c r="J5557" i="1" s="1"/>
  <c r="K5557" i="1" s="1"/>
  <c r="L5557" i="1" s="1"/>
  <c r="H1084" i="1"/>
  <c r="I1084" i="1" s="1"/>
  <c r="J1084" i="1" s="1"/>
  <c r="K1084" i="1" s="1"/>
  <c r="L1084" i="1" s="1"/>
  <c r="H5892" i="1"/>
  <c r="I5892" i="1" s="1"/>
  <c r="J5892" i="1" s="1"/>
  <c r="K5892" i="1" s="1"/>
  <c r="L5892" i="1" s="1"/>
  <c r="H192" i="1"/>
  <c r="I192" i="1" s="1"/>
  <c r="J192" i="1" s="1"/>
  <c r="H5243" i="1"/>
  <c r="I5243" i="1" s="1"/>
  <c r="J5243" i="1" s="1"/>
  <c r="H2700" i="1"/>
  <c r="I2700" i="1" s="1"/>
  <c r="J2700" i="1" s="1"/>
  <c r="K2700" i="1" s="1"/>
  <c r="L2700" i="1" s="1"/>
  <c r="H123" i="1"/>
  <c r="I123" i="1" s="1"/>
  <c r="J123" i="1" s="1"/>
  <c r="K123" i="1" s="1"/>
  <c r="L123" i="1" s="1"/>
  <c r="H980" i="1"/>
  <c r="I980" i="1" s="1"/>
  <c r="J980" i="1" s="1"/>
  <c r="K980" i="1" s="1"/>
  <c r="L980" i="1" s="1"/>
  <c r="H2397" i="1"/>
  <c r="I2397" i="1" s="1"/>
  <c r="J2397" i="1" s="1"/>
  <c r="K2397" i="1" s="1"/>
  <c r="L2397" i="1" s="1"/>
  <c r="H2287" i="1"/>
  <c r="I2287" i="1" s="1"/>
  <c r="J2287" i="1" s="1"/>
  <c r="K2287" i="1" s="1"/>
  <c r="L2287" i="1" s="1"/>
  <c r="H1765" i="1"/>
  <c r="I1765" i="1" s="1"/>
  <c r="J1765" i="1" s="1"/>
  <c r="K1765" i="1" s="1"/>
  <c r="L1765" i="1" s="1"/>
  <c r="H5327" i="1"/>
  <c r="I5327" i="1" s="1"/>
  <c r="J5327" i="1" s="1"/>
  <c r="K5327" i="1" s="1"/>
  <c r="L5327" i="1" s="1"/>
  <c r="H3834" i="1"/>
  <c r="I3834" i="1" s="1"/>
  <c r="J3834" i="1" s="1"/>
  <c r="K3834" i="1" s="1"/>
  <c r="L3834" i="1" s="1"/>
  <c r="H3153" i="1"/>
  <c r="I3153" i="1" s="1"/>
  <c r="J3153" i="1" s="1"/>
  <c r="K3153" i="1" s="1"/>
  <c r="L3153" i="1" s="1"/>
  <c r="F25" i="8"/>
  <c r="G25" i="8" s="1"/>
  <c r="H262" i="1"/>
  <c r="I262" i="1" s="1"/>
  <c r="J262" i="1" s="1"/>
  <c r="K262" i="1" s="1"/>
  <c r="L262" i="1" s="1"/>
  <c r="H5713" i="1"/>
  <c r="I5713" i="1" s="1"/>
  <c r="J5713" i="1" s="1"/>
  <c r="K5713" i="1" s="1"/>
  <c r="L5713" i="1" s="1"/>
  <c r="H2795" i="1"/>
  <c r="I2795" i="1" s="1"/>
  <c r="J2795" i="1" s="1"/>
  <c r="K2795" i="1" s="1"/>
  <c r="L2795" i="1" s="1"/>
  <c r="H3064" i="1"/>
  <c r="I3064" i="1" s="1"/>
  <c r="J3064" i="1" s="1"/>
  <c r="K3064" i="1" s="1"/>
  <c r="L3064" i="1" s="1"/>
  <c r="H3571" i="1"/>
  <c r="I3571" i="1" s="1"/>
  <c r="J3571" i="1" s="1"/>
  <c r="K3571" i="1" s="1"/>
  <c r="L3571" i="1" s="1"/>
  <c r="H4700" i="1"/>
  <c r="I4700" i="1" s="1"/>
  <c r="J4700" i="1" s="1"/>
  <c r="H4281" i="1"/>
  <c r="I4281" i="1" s="1"/>
  <c r="J4281" i="1" s="1"/>
  <c r="K4281" i="1" s="1"/>
  <c r="L4281" i="1" s="1"/>
  <c r="H843" i="1"/>
  <c r="I843" i="1" s="1"/>
  <c r="J843" i="1" s="1"/>
  <c r="K843" i="1" s="1"/>
  <c r="L843" i="1" s="1"/>
  <c r="H2129" i="1"/>
  <c r="I2129" i="1" s="1"/>
  <c r="J2129" i="1" s="1"/>
  <c r="K2129" i="1" s="1"/>
  <c r="L2129" i="1" s="1"/>
  <c r="H4275" i="1"/>
  <c r="I4275" i="1" s="1"/>
  <c r="J4275" i="1" s="1"/>
  <c r="K4275" i="1" s="1"/>
  <c r="L4275" i="1" s="1"/>
  <c r="H3697" i="1"/>
  <c r="I3697" i="1" s="1"/>
  <c r="J3697" i="1" s="1"/>
  <c r="K3697" i="1" s="1"/>
  <c r="L3697" i="1" s="1"/>
  <c r="H3656" i="1"/>
  <c r="I3656" i="1" s="1"/>
  <c r="J3656" i="1" s="1"/>
  <c r="K3656" i="1" s="1"/>
  <c r="L3656" i="1" s="1"/>
  <c r="H3374" i="1"/>
  <c r="I3374" i="1" s="1"/>
  <c r="J3374" i="1" s="1"/>
  <c r="K3374" i="1" s="1"/>
  <c r="L3374" i="1" s="1"/>
  <c r="H1009" i="1"/>
  <c r="I1009" i="1" s="1"/>
  <c r="J1009" i="1" s="1"/>
  <c r="K1009" i="1" s="1"/>
  <c r="L1009" i="1" s="1"/>
  <c r="H982" i="1"/>
  <c r="I982" i="1" s="1"/>
  <c r="J982" i="1" s="1"/>
  <c r="K982" i="1" s="1"/>
  <c r="L982" i="1" s="1"/>
  <c r="H180" i="1"/>
  <c r="I180" i="1" s="1"/>
  <c r="J180" i="1" s="1"/>
  <c r="K180" i="1" s="1"/>
  <c r="L180" i="1" s="1"/>
  <c r="H917" i="1"/>
  <c r="I917" i="1" s="1"/>
  <c r="J917" i="1" s="1"/>
  <c r="K917" i="1" s="1"/>
  <c r="L917" i="1" s="1"/>
  <c r="H5460" i="1"/>
  <c r="I5460" i="1" s="1"/>
  <c r="J5460" i="1" s="1"/>
  <c r="K5460" i="1" s="1"/>
  <c r="L5460" i="1" s="1"/>
  <c r="H3709" i="1"/>
  <c r="I3709" i="1" s="1"/>
  <c r="J3709" i="1" s="1"/>
  <c r="K3709" i="1" s="1"/>
  <c r="L3709" i="1" s="1"/>
  <c r="H3058" i="1"/>
  <c r="I3058" i="1" s="1"/>
  <c r="J3058" i="1" s="1"/>
  <c r="K3058" i="1" s="1"/>
  <c r="L3058" i="1" s="1"/>
  <c r="H5886" i="1"/>
  <c r="I5886" i="1" s="1"/>
  <c r="J5886" i="1" s="1"/>
  <c r="K5886" i="1" s="1"/>
  <c r="L5886" i="1" s="1"/>
  <c r="H4754" i="1"/>
  <c r="I4754" i="1" s="1"/>
  <c r="J4754" i="1" s="1"/>
  <c r="H4667" i="1"/>
  <c r="I4667" i="1" s="1"/>
  <c r="J4667" i="1" s="1"/>
  <c r="K4667" i="1" s="1"/>
  <c r="L4667" i="1" s="1"/>
  <c r="H1225" i="1"/>
  <c r="I1225" i="1" s="1"/>
  <c r="J1225" i="1" s="1"/>
  <c r="K1225" i="1" s="1"/>
  <c r="L1225" i="1" s="1"/>
  <c r="H1332" i="1"/>
  <c r="I1332" i="1" s="1"/>
  <c r="J1332" i="1" s="1"/>
  <c r="K1332" i="1" s="1"/>
  <c r="L1332" i="1" s="1"/>
  <c r="H5999" i="1"/>
  <c r="I5999" i="1" s="1"/>
  <c r="J5999" i="1" s="1"/>
  <c r="K5999" i="1" s="1"/>
  <c r="L5999" i="1" s="1"/>
  <c r="H25" i="1"/>
  <c r="I25" i="1" s="1"/>
  <c r="J25" i="1" s="1"/>
  <c r="K25" i="1" s="1"/>
  <c r="L25" i="1" s="1"/>
  <c r="H3322" i="1"/>
  <c r="I3322" i="1" s="1"/>
  <c r="J3322" i="1" s="1"/>
  <c r="K3322" i="1" s="1"/>
  <c r="L3322" i="1" s="1"/>
  <c r="H5694" i="1"/>
  <c r="I5694" i="1" s="1"/>
  <c r="J5694" i="1" s="1"/>
  <c r="K5694" i="1" s="1"/>
  <c r="L5694" i="1" s="1"/>
  <c r="H2935" i="1"/>
  <c r="I2935" i="1" s="1"/>
  <c r="J2935" i="1" s="1"/>
  <c r="K2935" i="1" s="1"/>
  <c r="L2935" i="1" s="1"/>
  <c r="H4066" i="1"/>
  <c r="I4066" i="1" s="1"/>
  <c r="J4066" i="1" s="1"/>
  <c r="K4066" i="1" s="1"/>
  <c r="L4066" i="1" s="1"/>
  <c r="H5705" i="1"/>
  <c r="I5705" i="1" s="1"/>
  <c r="J5705" i="1" s="1"/>
  <c r="K5705" i="1" s="1"/>
  <c r="L5705" i="1" s="1"/>
  <c r="H1220" i="1"/>
  <c r="I1220" i="1" s="1"/>
  <c r="J1220" i="1" s="1"/>
  <c r="K1220" i="1" s="1"/>
  <c r="L1220" i="1" s="1"/>
  <c r="H1193" i="1"/>
  <c r="I1193" i="1" s="1"/>
  <c r="J1193" i="1" s="1"/>
  <c r="K1193" i="1" s="1"/>
  <c r="L1193" i="1" s="1"/>
  <c r="H707" i="1"/>
  <c r="I707" i="1" s="1"/>
  <c r="J707" i="1" s="1"/>
  <c r="K707" i="1" s="1"/>
  <c r="L707" i="1" s="1"/>
  <c r="H4817" i="1"/>
  <c r="I4817" i="1" s="1"/>
  <c r="J4817" i="1" s="1"/>
  <c r="K4817" i="1" s="1"/>
  <c r="L4817" i="1" s="1"/>
  <c r="H534" i="1"/>
  <c r="I534" i="1" s="1"/>
  <c r="J534" i="1" s="1"/>
  <c r="H4219" i="1"/>
  <c r="I4219" i="1" s="1"/>
  <c r="J4219" i="1" s="1"/>
  <c r="H3178" i="1"/>
  <c r="I3178" i="1" s="1"/>
  <c r="J3178" i="1" s="1"/>
  <c r="K3178" i="1" s="1"/>
  <c r="L3178" i="1" s="1"/>
  <c r="H2413" i="1"/>
  <c r="I2413" i="1" s="1"/>
  <c r="J2413" i="1" s="1"/>
  <c r="K2413" i="1" s="1"/>
  <c r="L2413" i="1" s="1"/>
  <c r="H4747" i="1"/>
  <c r="I4747" i="1" s="1"/>
  <c r="J4747" i="1" s="1"/>
  <c r="K4747" i="1" s="1"/>
  <c r="L4747" i="1" s="1"/>
  <c r="H2450" i="1"/>
  <c r="I2450" i="1" s="1"/>
  <c r="J2450" i="1" s="1"/>
  <c r="K2450" i="1" s="1"/>
  <c r="L2450" i="1" s="1"/>
  <c r="H4008" i="1"/>
  <c r="I4008" i="1" s="1"/>
  <c r="J4008" i="1" s="1"/>
  <c r="K4008" i="1" s="1"/>
  <c r="L4008" i="1" s="1"/>
  <c r="H545" i="1"/>
  <c r="I545" i="1" s="1"/>
  <c r="J545" i="1" s="1"/>
  <c r="K545" i="1" s="1"/>
  <c r="L545" i="1" s="1"/>
  <c r="H3937" i="1"/>
  <c r="I3937" i="1" s="1"/>
  <c r="J3937" i="1" s="1"/>
  <c r="K3937" i="1" s="1"/>
  <c r="L3937" i="1" s="1"/>
  <c r="H78" i="1"/>
  <c r="I78" i="1" s="1"/>
  <c r="J78" i="1" s="1"/>
  <c r="K78" i="1" s="1"/>
  <c r="L78" i="1" s="1"/>
  <c r="H4695" i="1"/>
  <c r="I4695" i="1" s="1"/>
  <c r="J4695" i="1" s="1"/>
  <c r="K4695" i="1" s="1"/>
  <c r="L4695" i="1" s="1"/>
  <c r="H5478" i="1"/>
  <c r="I5478" i="1" s="1"/>
  <c r="J5478" i="1" s="1"/>
  <c r="K5478" i="1" s="1"/>
  <c r="L5478" i="1" s="1"/>
  <c r="H4868" i="1"/>
  <c r="I4868" i="1" s="1"/>
  <c r="J4868" i="1" s="1"/>
  <c r="K4868" i="1" s="1"/>
  <c r="L4868" i="1" s="1"/>
  <c r="H1310" i="1"/>
  <c r="I1310" i="1" s="1"/>
  <c r="J1310" i="1" s="1"/>
  <c r="K1310" i="1" s="1"/>
  <c r="L1310" i="1" s="1"/>
  <c r="H1469" i="1"/>
  <c r="I1469" i="1" s="1"/>
  <c r="J1469" i="1" s="1"/>
  <c r="K1469" i="1" s="1"/>
  <c r="L1469" i="1" s="1"/>
  <c r="H575" i="1"/>
  <c r="I575" i="1" s="1"/>
  <c r="J575" i="1" s="1"/>
  <c r="K575" i="1" s="1"/>
  <c r="L575" i="1" s="1"/>
  <c r="H2537" i="1"/>
  <c r="I2537" i="1" s="1"/>
  <c r="J2537" i="1" s="1"/>
  <c r="H4434" i="1"/>
  <c r="I4434" i="1" s="1"/>
  <c r="J4434" i="1" s="1"/>
  <c r="H5479" i="1"/>
  <c r="I5479" i="1" s="1"/>
  <c r="J5479" i="1" s="1"/>
  <c r="K5479" i="1" s="1"/>
  <c r="L5479" i="1" s="1"/>
  <c r="H2475" i="1"/>
  <c r="I2475" i="1" s="1"/>
  <c r="J2475" i="1" s="1"/>
  <c r="K2475" i="1" s="1"/>
  <c r="L2475" i="1" s="1"/>
  <c r="H2607" i="1"/>
  <c r="I2607" i="1" s="1"/>
  <c r="J2607" i="1" s="1"/>
  <c r="K2607" i="1" s="1"/>
  <c r="L2607" i="1" s="1"/>
  <c r="H3927" i="1"/>
  <c r="I3927" i="1" s="1"/>
  <c r="J3927" i="1" s="1"/>
  <c r="K3927" i="1" s="1"/>
  <c r="L3927" i="1" s="1"/>
  <c r="H2606" i="1"/>
  <c r="I2606" i="1" s="1"/>
  <c r="J2606" i="1" s="1"/>
  <c r="K2606" i="1" s="1"/>
  <c r="L2606" i="1" s="1"/>
  <c r="H4842" i="1"/>
  <c r="I4842" i="1" s="1"/>
  <c r="J4842" i="1" s="1"/>
  <c r="K4842" i="1" s="1"/>
  <c r="L4842" i="1" s="1"/>
  <c r="H4612" i="1"/>
  <c r="I4612" i="1" s="1"/>
  <c r="J4612" i="1" s="1"/>
  <c r="K4612" i="1" s="1"/>
  <c r="L4612" i="1" s="1"/>
  <c r="H5494" i="1"/>
  <c r="I5494" i="1" s="1"/>
  <c r="J5494" i="1" s="1"/>
  <c r="K5494" i="1" s="1"/>
  <c r="L5494" i="1" s="1"/>
  <c r="H1523" i="1"/>
  <c r="I1523" i="1" s="1"/>
  <c r="J1523" i="1" s="1"/>
  <c r="K1523" i="1" s="1"/>
  <c r="L1523" i="1" s="1"/>
  <c r="H5850" i="1"/>
  <c r="I5850" i="1" s="1"/>
  <c r="J5850" i="1" s="1"/>
  <c r="K5850" i="1" s="1"/>
  <c r="L5850" i="1" s="1"/>
  <c r="H9" i="1"/>
  <c r="I9" i="1" s="1"/>
  <c r="J9" i="1" s="1"/>
  <c r="K9" i="1" s="1"/>
  <c r="L9" i="1" s="1"/>
  <c r="H1375" i="1"/>
  <c r="I1375" i="1" s="1"/>
  <c r="J1375" i="1" s="1"/>
  <c r="K1375" i="1" s="1"/>
  <c r="L1375" i="1" s="1"/>
  <c r="H1618" i="1"/>
  <c r="I1618" i="1" s="1"/>
  <c r="J1618" i="1" s="1"/>
  <c r="K1618" i="1" s="1"/>
  <c r="L1618" i="1" s="1"/>
  <c r="H3003" i="1"/>
  <c r="I3003" i="1" s="1"/>
  <c r="J3003" i="1" s="1"/>
  <c r="K3003" i="1" s="1"/>
  <c r="L3003" i="1" s="1"/>
  <c r="H5369" i="1"/>
  <c r="I5369" i="1" s="1"/>
  <c r="J5369" i="1" s="1"/>
  <c r="K5369" i="1" s="1"/>
  <c r="L5369" i="1" s="1"/>
  <c r="H2330" i="1"/>
  <c r="I2330" i="1" s="1"/>
  <c r="J2330" i="1" s="1"/>
  <c r="H3215" i="1"/>
  <c r="I3215" i="1" s="1"/>
  <c r="J3215" i="1" s="1"/>
  <c r="K3215" i="1" s="1"/>
  <c r="L3215" i="1" s="1"/>
  <c r="H14" i="1"/>
  <c r="I14" i="1" s="1"/>
  <c r="J14" i="1" s="1"/>
  <c r="K14" i="1" s="1"/>
  <c r="L14" i="1" s="1"/>
  <c r="H4676" i="1"/>
  <c r="I4676" i="1" s="1"/>
  <c r="J4676" i="1" s="1"/>
  <c r="K4676" i="1" s="1"/>
  <c r="L4676" i="1" s="1"/>
  <c r="H3269" i="1"/>
  <c r="I3269" i="1" s="1"/>
  <c r="J3269" i="1" s="1"/>
  <c r="K3269" i="1" s="1"/>
  <c r="L3269" i="1" s="1"/>
  <c r="H1994" i="1"/>
  <c r="I1994" i="1" s="1"/>
  <c r="J1994" i="1" s="1"/>
  <c r="K1994" i="1" s="1"/>
  <c r="L1994" i="1" s="1"/>
  <c r="H5883" i="1"/>
  <c r="I5883" i="1" s="1"/>
  <c r="J5883" i="1" s="1"/>
  <c r="K5883" i="1" s="1"/>
  <c r="L5883" i="1" s="1"/>
  <c r="H4212" i="1"/>
  <c r="I4212" i="1" s="1"/>
  <c r="J4212" i="1" s="1"/>
  <c r="K4212" i="1" s="1"/>
  <c r="L4212" i="1" s="1"/>
  <c r="H5154" i="1"/>
  <c r="I5154" i="1" s="1"/>
  <c r="J5154" i="1" s="1"/>
  <c r="K5154" i="1" s="1"/>
  <c r="L5154" i="1" s="1"/>
  <c r="H3046" i="1"/>
  <c r="I3046" i="1" s="1"/>
  <c r="J3046" i="1" s="1"/>
  <c r="K3046" i="1" s="1"/>
  <c r="L3046" i="1" s="1"/>
  <c r="H3134" i="1"/>
  <c r="I3134" i="1" s="1"/>
  <c r="J3134" i="1" s="1"/>
  <c r="K3134" i="1" s="1"/>
  <c r="L3134" i="1" s="1"/>
  <c r="H3806" i="1"/>
  <c r="I3806" i="1" s="1"/>
  <c r="J3806" i="1" s="1"/>
  <c r="K3806" i="1" s="1"/>
  <c r="L3806" i="1" s="1"/>
  <c r="H3232" i="1"/>
  <c r="I3232" i="1" s="1"/>
  <c r="J3232" i="1" s="1"/>
  <c r="K3232" i="1" s="1"/>
  <c r="L3232" i="1" s="1"/>
  <c r="H1127" i="1"/>
  <c r="I1127" i="1" s="1"/>
  <c r="J1127" i="1" s="1"/>
  <c r="K1127" i="1" s="1"/>
  <c r="L1127" i="1" s="1"/>
  <c r="H4811" i="1"/>
  <c r="I4811" i="1" s="1"/>
  <c r="J4811" i="1" s="1"/>
  <c r="K4811" i="1" s="1"/>
  <c r="L4811" i="1" s="1"/>
  <c r="H4593" i="1"/>
  <c r="I4593" i="1" s="1"/>
  <c r="J4593" i="1" s="1"/>
  <c r="H2010" i="1"/>
  <c r="I2010" i="1" s="1"/>
  <c r="J2010" i="1" s="1"/>
  <c r="H1821" i="1"/>
  <c r="I1821" i="1" s="1"/>
  <c r="J1821" i="1" s="1"/>
  <c r="K1821" i="1" s="1"/>
  <c r="L1821" i="1" s="1"/>
  <c r="H701" i="1"/>
  <c r="I701" i="1" s="1"/>
  <c r="J701" i="1" s="1"/>
  <c r="K701" i="1" s="1"/>
  <c r="L701" i="1" s="1"/>
  <c r="H5868" i="1"/>
  <c r="I5868" i="1" s="1"/>
  <c r="J5868" i="1" s="1"/>
  <c r="K5868" i="1" s="1"/>
  <c r="L5868" i="1" s="1"/>
  <c r="H5719" i="1"/>
  <c r="I5719" i="1" s="1"/>
  <c r="J5719" i="1" s="1"/>
  <c r="K5719" i="1" s="1"/>
  <c r="L5719" i="1" s="1"/>
  <c r="H5832" i="1"/>
  <c r="I5832" i="1" s="1"/>
  <c r="J5832" i="1" s="1"/>
  <c r="K5832" i="1" s="1"/>
  <c r="L5832" i="1" s="1"/>
  <c r="H1202" i="1"/>
  <c r="I1202" i="1" s="1"/>
  <c r="J1202" i="1" s="1"/>
  <c r="K1202" i="1" s="1"/>
  <c r="L1202" i="1" s="1"/>
  <c r="H5068" i="1"/>
  <c r="I5068" i="1" s="1"/>
  <c r="J5068" i="1" s="1"/>
  <c r="K5068" i="1" s="1"/>
  <c r="L5068" i="1" s="1"/>
  <c r="H5001" i="1"/>
  <c r="I5001" i="1" s="1"/>
  <c r="J5001" i="1" s="1"/>
  <c r="K5001" i="1" s="1"/>
  <c r="L5001" i="1" s="1"/>
  <c r="H4010" i="1"/>
  <c r="I4010" i="1" s="1"/>
  <c r="J4010" i="1" s="1"/>
  <c r="K4010" i="1" s="1"/>
  <c r="L4010" i="1" s="1"/>
  <c r="H4699" i="1"/>
  <c r="I4699" i="1" s="1"/>
  <c r="J4699" i="1" s="1"/>
  <c r="K4699" i="1" s="1"/>
  <c r="L4699" i="1" s="1"/>
  <c r="H5789" i="1"/>
  <c r="I5789" i="1" s="1"/>
  <c r="J5789" i="1" s="1"/>
  <c r="K5789" i="1" s="1"/>
  <c r="L5789" i="1" s="1"/>
  <c r="H1728" i="1"/>
  <c r="I1728" i="1" s="1"/>
  <c r="J1728" i="1" s="1"/>
  <c r="K1728" i="1" s="1"/>
  <c r="L1728" i="1" s="1"/>
  <c r="H1639" i="1"/>
  <c r="I1639" i="1" s="1"/>
  <c r="J1639" i="1" s="1"/>
  <c r="K1639" i="1" s="1"/>
  <c r="L1639" i="1" s="1"/>
  <c r="H5817" i="1"/>
  <c r="I5817" i="1" s="1"/>
  <c r="J5817" i="1" s="1"/>
  <c r="K5817" i="1" s="1"/>
  <c r="L5817" i="1" s="1"/>
  <c r="H470" i="1"/>
  <c r="I470" i="1" s="1"/>
  <c r="J470" i="1" s="1"/>
  <c r="H4017" i="1"/>
  <c r="I4017" i="1" s="1"/>
  <c r="J4017" i="1" s="1"/>
  <c r="H16" i="1"/>
  <c r="I16" i="1" s="1"/>
  <c r="J16" i="1" s="1"/>
  <c r="K16" i="1" s="1"/>
  <c r="L16" i="1" s="1"/>
  <c r="H5423" i="1"/>
  <c r="I5423" i="1" s="1"/>
  <c r="J5423" i="1" s="1"/>
  <c r="K5423" i="1" s="1"/>
  <c r="L5423" i="1" s="1"/>
  <c r="H957" i="1"/>
  <c r="I957" i="1" s="1"/>
  <c r="J957" i="1" s="1"/>
  <c r="K957" i="1" s="1"/>
  <c r="L957" i="1" s="1"/>
  <c r="H5980" i="1"/>
  <c r="I5980" i="1" s="1"/>
  <c r="J5980" i="1" s="1"/>
  <c r="K5980" i="1" s="1"/>
  <c r="L5980" i="1" s="1"/>
  <c r="H189" i="1"/>
  <c r="I189" i="1" s="1"/>
  <c r="J189" i="1" s="1"/>
  <c r="K189" i="1" s="1"/>
  <c r="L189" i="1" s="1"/>
  <c r="H186" i="1"/>
  <c r="I186" i="1" s="1"/>
  <c r="J186" i="1" s="1"/>
  <c r="K186" i="1" s="1"/>
  <c r="L186" i="1" s="1"/>
  <c r="H3746" i="1"/>
  <c r="I3746" i="1" s="1"/>
  <c r="J3746" i="1" s="1"/>
  <c r="K3746" i="1" s="1"/>
  <c r="L3746" i="1" s="1"/>
  <c r="H2001" i="1"/>
  <c r="I2001" i="1" s="1"/>
  <c r="J2001" i="1" s="1"/>
  <c r="K2001" i="1" s="1"/>
  <c r="L2001" i="1" s="1"/>
  <c r="H350" i="1"/>
  <c r="I350" i="1" s="1"/>
  <c r="J350" i="1" s="1"/>
  <c r="K350" i="1" s="1"/>
  <c r="L350" i="1" s="1"/>
  <c r="H4686" i="1"/>
  <c r="I4686" i="1" s="1"/>
  <c r="J4686" i="1" s="1"/>
  <c r="K4686" i="1" s="1"/>
  <c r="L4686" i="1" s="1"/>
  <c r="H713" i="1"/>
  <c r="I713" i="1" s="1"/>
  <c r="J713" i="1" s="1"/>
  <c r="K713" i="1" s="1"/>
  <c r="L713" i="1" s="1"/>
  <c r="H3038" i="1"/>
  <c r="I3038" i="1" s="1"/>
  <c r="J3038" i="1" s="1"/>
  <c r="K3038" i="1" s="1"/>
  <c r="L3038" i="1" s="1"/>
  <c r="H3077" i="1"/>
  <c r="I3077" i="1" s="1"/>
  <c r="J3077" i="1" s="1"/>
  <c r="K3077" i="1" s="1"/>
  <c r="L3077" i="1" s="1"/>
  <c r="H237" i="1"/>
  <c r="I237" i="1" s="1"/>
  <c r="J237" i="1" s="1"/>
  <c r="K237" i="1" s="1"/>
  <c r="L237" i="1" s="1"/>
  <c r="H2468" i="1"/>
  <c r="I2468" i="1" s="1"/>
  <c r="J2468" i="1" s="1"/>
  <c r="H1020" i="1"/>
  <c r="I1020" i="1" s="1"/>
  <c r="J1020" i="1" s="1"/>
  <c r="H2729" i="1"/>
  <c r="I2729" i="1" s="1"/>
  <c r="J2729" i="1" s="1"/>
  <c r="K2729" i="1" s="1"/>
  <c r="L2729" i="1" s="1"/>
  <c r="H4783" i="1"/>
  <c r="I4783" i="1" s="1"/>
  <c r="J4783" i="1" s="1"/>
  <c r="K4783" i="1" s="1"/>
  <c r="L4783" i="1" s="1"/>
  <c r="H3924" i="1"/>
  <c r="I3924" i="1" s="1"/>
  <c r="J3924" i="1" s="1"/>
  <c r="K3924" i="1" s="1"/>
  <c r="L3924" i="1" s="1"/>
  <c r="H2504" i="1"/>
  <c r="I2504" i="1" s="1"/>
  <c r="J2504" i="1" s="1"/>
  <c r="K2504" i="1" s="1"/>
  <c r="L2504" i="1" s="1"/>
  <c r="H2541" i="1"/>
  <c r="I2541" i="1" s="1"/>
  <c r="J2541" i="1" s="1"/>
  <c r="K2541" i="1" s="1"/>
  <c r="L2541" i="1" s="1"/>
  <c r="H2673" i="1"/>
  <c r="I2673" i="1" s="1"/>
  <c r="J2673" i="1" s="1"/>
  <c r="K2673" i="1" s="1"/>
  <c r="L2673" i="1" s="1"/>
  <c r="H3063" i="1"/>
  <c r="I3063" i="1" s="1"/>
  <c r="J3063" i="1" s="1"/>
  <c r="K3063" i="1" s="1"/>
  <c r="L3063" i="1" s="1"/>
  <c r="H3504" i="1"/>
  <c r="I3504" i="1" s="1"/>
  <c r="J3504" i="1" s="1"/>
  <c r="K3504" i="1" s="1"/>
  <c r="L3504" i="1" s="1"/>
  <c r="H2462" i="1"/>
  <c r="I2462" i="1" s="1"/>
  <c r="J2462" i="1" s="1"/>
  <c r="K2462" i="1" s="1"/>
  <c r="L2462" i="1" s="1"/>
  <c r="H4487" i="1"/>
  <c r="I4487" i="1" s="1"/>
  <c r="J4487" i="1" s="1"/>
  <c r="K4487" i="1" s="1"/>
  <c r="L4487" i="1" s="1"/>
  <c r="H1686" i="1"/>
  <c r="I1686" i="1" s="1"/>
  <c r="J1686" i="1" s="1"/>
  <c r="K1686" i="1" s="1"/>
  <c r="L1686" i="1" s="1"/>
  <c r="H2799" i="1"/>
  <c r="I2799" i="1" s="1"/>
  <c r="J2799" i="1" s="1"/>
  <c r="K2799" i="1" s="1"/>
  <c r="L2799" i="1" s="1"/>
  <c r="H4651" i="1"/>
  <c r="I4651" i="1" s="1"/>
  <c r="J4651" i="1" s="1"/>
  <c r="K4651" i="1" s="1"/>
  <c r="L4651" i="1" s="1"/>
  <c r="H5069" i="1"/>
  <c r="I5069" i="1" s="1"/>
  <c r="J5069" i="1" s="1"/>
  <c r="K5069" i="1" s="1"/>
  <c r="L5069" i="1" s="1"/>
  <c r="H1768" i="1"/>
  <c r="I1768" i="1" s="1"/>
  <c r="J1768" i="1" s="1"/>
  <c r="K1768" i="1" s="1"/>
  <c r="L1768" i="1" s="1"/>
  <c r="H5855" i="1"/>
  <c r="I5855" i="1" s="1"/>
  <c r="J5855" i="1" s="1"/>
  <c r="H4482" i="1"/>
  <c r="I4482" i="1" s="1"/>
  <c r="J4482" i="1" s="1"/>
  <c r="K4482" i="1" s="1"/>
  <c r="L4482" i="1" s="1"/>
  <c r="H5189" i="1"/>
  <c r="I5189" i="1" s="1"/>
  <c r="J5189" i="1" s="1"/>
  <c r="K5189" i="1" s="1"/>
  <c r="L5189" i="1" s="1"/>
  <c r="H5588" i="1"/>
  <c r="I5588" i="1" s="1"/>
  <c r="J5588" i="1" s="1"/>
  <c r="K5588" i="1" s="1"/>
  <c r="L5588" i="1" s="1"/>
  <c r="H3686" i="1"/>
  <c r="I3686" i="1" s="1"/>
  <c r="J3686" i="1" s="1"/>
  <c r="K3686" i="1" s="1"/>
  <c r="L3686" i="1" s="1"/>
  <c r="H87" i="1"/>
  <c r="I87" i="1" s="1"/>
  <c r="J87" i="1" s="1"/>
  <c r="K87" i="1" s="1"/>
  <c r="L87" i="1" s="1"/>
  <c r="H214" i="1"/>
  <c r="I214" i="1" s="1"/>
  <c r="J214" i="1" s="1"/>
  <c r="K214" i="1" s="1"/>
  <c r="L214" i="1" s="1"/>
  <c r="H2459" i="1"/>
  <c r="I2459" i="1" s="1"/>
  <c r="J2459" i="1" s="1"/>
  <c r="K2459" i="1" s="1"/>
  <c r="L2459" i="1" s="1"/>
  <c r="H88" i="1"/>
  <c r="I88" i="1" s="1"/>
  <c r="J88" i="1" s="1"/>
  <c r="K88" i="1" s="1"/>
  <c r="L88" i="1" s="1"/>
  <c r="H4866" i="1"/>
  <c r="I4866" i="1" s="1"/>
  <c r="J4866" i="1" s="1"/>
  <c r="K4866" i="1" s="1"/>
  <c r="L4866" i="1" s="1"/>
  <c r="H4395" i="1"/>
  <c r="I4395" i="1" s="1"/>
  <c r="J4395" i="1" s="1"/>
  <c r="K4395" i="1" s="1"/>
  <c r="L4395" i="1" s="1"/>
  <c r="H3473" i="1"/>
  <c r="I3473" i="1" s="1"/>
  <c r="J3473" i="1" s="1"/>
  <c r="K3473" i="1" s="1"/>
  <c r="L3473" i="1" s="1"/>
  <c r="H903" i="1"/>
  <c r="I903" i="1" s="1"/>
  <c r="J903" i="1" s="1"/>
  <c r="K903" i="1" s="1"/>
  <c r="L903" i="1" s="1"/>
  <c r="H83" i="1"/>
  <c r="I83" i="1" s="1"/>
  <c r="J83" i="1" s="1"/>
  <c r="K83" i="1" s="1"/>
  <c r="L83" i="1" s="1"/>
  <c r="H4982" i="1"/>
  <c r="I4982" i="1" s="1"/>
  <c r="J4982" i="1" s="1"/>
  <c r="K4982" i="1" s="1"/>
  <c r="L4982" i="1" s="1"/>
  <c r="H4375" i="1"/>
  <c r="I4375" i="1" s="1"/>
  <c r="J4375" i="1" s="1"/>
  <c r="H5218" i="1"/>
  <c r="I5218" i="1" s="1"/>
  <c r="J5218" i="1" s="1"/>
  <c r="H1285" i="1"/>
  <c r="I1285" i="1" s="1"/>
  <c r="J1285" i="1" s="1"/>
  <c r="K1285" i="1" s="1"/>
  <c r="L1285" i="1" s="1"/>
  <c r="H2539" i="1"/>
  <c r="I2539" i="1" s="1"/>
  <c r="J2539" i="1" s="1"/>
  <c r="K2539" i="1" s="1"/>
  <c r="L2539" i="1" s="1"/>
  <c r="H5874" i="1"/>
  <c r="I5874" i="1" s="1"/>
  <c r="J5874" i="1" s="1"/>
  <c r="K5874" i="1" s="1"/>
  <c r="L5874" i="1" s="1"/>
  <c r="H4042" i="1"/>
  <c r="I4042" i="1" s="1"/>
  <c r="J4042" i="1" s="1"/>
  <c r="K4042" i="1" s="1"/>
  <c r="L4042" i="1" s="1"/>
  <c r="H102" i="1"/>
  <c r="I102" i="1" s="1"/>
  <c r="J102" i="1" s="1"/>
  <c r="K102" i="1" s="1"/>
  <c r="L102" i="1" s="1"/>
  <c r="H4065" i="1"/>
  <c r="I4065" i="1" s="1"/>
  <c r="J4065" i="1" s="1"/>
  <c r="K4065" i="1" s="1"/>
  <c r="L4065" i="1" s="1"/>
  <c r="H2045" i="1"/>
  <c r="I2045" i="1" s="1"/>
  <c r="J2045" i="1" s="1"/>
  <c r="K2045" i="1" s="1"/>
  <c r="L2045" i="1" s="1"/>
  <c r="H3314" i="1"/>
  <c r="I3314" i="1" s="1"/>
  <c r="J3314" i="1" s="1"/>
  <c r="K3314" i="1" s="1"/>
  <c r="L3314" i="1" s="1"/>
  <c r="H4835" i="1"/>
  <c r="I4835" i="1" s="1"/>
  <c r="J4835" i="1" s="1"/>
  <c r="K4835" i="1" s="1"/>
  <c r="L4835" i="1" s="1"/>
  <c r="H2351" i="1"/>
  <c r="I2351" i="1" s="1"/>
  <c r="J2351" i="1" s="1"/>
  <c r="K2351" i="1" s="1"/>
  <c r="L2351" i="1" s="1"/>
  <c r="H5775" i="1"/>
  <c r="I5775" i="1" s="1"/>
  <c r="J5775" i="1" s="1"/>
  <c r="K5775" i="1" s="1"/>
  <c r="L5775" i="1" s="1"/>
  <c r="H3121" i="1"/>
  <c r="I3121" i="1" s="1"/>
  <c r="J3121" i="1" s="1"/>
  <c r="K3121" i="1" s="1"/>
  <c r="L3121" i="1" s="1"/>
  <c r="H5226" i="1"/>
  <c r="I5226" i="1" s="1"/>
  <c r="J5226" i="1" s="1"/>
  <c r="K5226" i="1" s="1"/>
  <c r="L5226" i="1" s="1"/>
  <c r="H5407" i="1"/>
  <c r="I5407" i="1" s="1"/>
  <c r="J5407" i="1" s="1"/>
  <c r="K5407" i="1" s="1"/>
  <c r="L5407" i="1" s="1"/>
  <c r="H1596" i="1"/>
  <c r="I1596" i="1" s="1"/>
  <c r="J1596" i="1" s="1"/>
  <c r="K1596" i="1" s="1"/>
  <c r="L1596" i="1" s="1"/>
  <c r="H4332" i="1"/>
  <c r="I4332" i="1" s="1"/>
  <c r="J4332" i="1" s="1"/>
  <c r="H3008" i="1"/>
  <c r="I3008" i="1" s="1"/>
  <c r="J3008" i="1" s="1"/>
  <c r="K3008" i="1" s="1"/>
  <c r="L3008" i="1" s="1"/>
  <c r="H5033" i="1"/>
  <c r="I5033" i="1" s="1"/>
  <c r="J5033" i="1" s="1"/>
  <c r="K5033" i="1" s="1"/>
  <c r="L5033" i="1" s="1"/>
  <c r="H502" i="1"/>
  <c r="I502" i="1" s="1"/>
  <c r="J502" i="1" s="1"/>
  <c r="K502" i="1" s="1"/>
  <c r="L502" i="1" s="1"/>
  <c r="H1077" i="1"/>
  <c r="I1077" i="1" s="1"/>
  <c r="J1077" i="1" s="1"/>
  <c r="K1077" i="1" s="1"/>
  <c r="L1077" i="1" s="1"/>
  <c r="H5319" i="1"/>
  <c r="I5319" i="1" s="1"/>
  <c r="J5319" i="1" s="1"/>
  <c r="K5319" i="1" s="1"/>
  <c r="L5319" i="1" s="1"/>
  <c r="H3577" i="1"/>
  <c r="I3577" i="1" s="1"/>
  <c r="J3577" i="1" s="1"/>
  <c r="K3577" i="1" s="1"/>
  <c r="L3577" i="1" s="1"/>
  <c r="H4292" i="1"/>
  <c r="I4292" i="1" s="1"/>
  <c r="J4292" i="1" s="1"/>
  <c r="K4292" i="1" s="1"/>
  <c r="L4292" i="1" s="1"/>
  <c r="F27" i="8"/>
  <c r="G27" i="8" s="1"/>
  <c r="H5800" i="1"/>
  <c r="I5800" i="1" s="1"/>
  <c r="J5800" i="1" s="1"/>
  <c r="K5800" i="1" s="1"/>
  <c r="L5800" i="1" s="1"/>
  <c r="H3545" i="1"/>
  <c r="I3545" i="1" s="1"/>
  <c r="J3545" i="1" s="1"/>
  <c r="K3545" i="1" s="1"/>
  <c r="L3545" i="1" s="1"/>
  <c r="H4414" i="1"/>
  <c r="I4414" i="1" s="1"/>
  <c r="J4414" i="1" s="1"/>
  <c r="K4414" i="1" s="1"/>
  <c r="L4414" i="1" s="1"/>
  <c r="H5434" i="1"/>
  <c r="I5434" i="1" s="1"/>
  <c r="J5434" i="1" s="1"/>
  <c r="K5434" i="1" s="1"/>
  <c r="L5434" i="1" s="1"/>
  <c r="H1078" i="1"/>
  <c r="I1078" i="1" s="1"/>
  <c r="J1078" i="1" s="1"/>
  <c r="K1078" i="1" s="1"/>
  <c r="L1078" i="1" s="1"/>
  <c r="H878" i="1"/>
  <c r="I878" i="1" s="1"/>
  <c r="J878" i="1" s="1"/>
  <c r="K878" i="1" s="1"/>
  <c r="L878" i="1" s="1"/>
  <c r="H776" i="1"/>
  <c r="I776" i="1" s="1"/>
  <c r="J776" i="1" s="1"/>
  <c r="H1350" i="1"/>
  <c r="I1350" i="1" s="1"/>
  <c r="J1350" i="1" s="1"/>
  <c r="H3789" i="1"/>
  <c r="I3789" i="1" s="1"/>
  <c r="J3789" i="1" s="1"/>
  <c r="K3789" i="1" s="1"/>
  <c r="L3789" i="1" s="1"/>
  <c r="H1021" i="1"/>
  <c r="I1021" i="1" s="1"/>
  <c r="J1021" i="1" s="1"/>
  <c r="H249" i="1"/>
  <c r="I249" i="1" s="1"/>
  <c r="J249" i="1" s="1"/>
  <c r="K249" i="1" s="1"/>
  <c r="L249" i="1" s="1"/>
  <c r="H4644" i="1"/>
  <c r="I4644" i="1" s="1"/>
  <c r="J4644" i="1" s="1"/>
  <c r="K4644" i="1" s="1"/>
  <c r="L4644" i="1" s="1"/>
  <c r="H4960" i="1"/>
  <c r="I4960" i="1" s="1"/>
  <c r="J4960" i="1" s="1"/>
  <c r="K4960" i="1" s="1"/>
  <c r="L4960" i="1" s="1"/>
  <c r="H3614" i="1"/>
  <c r="I3614" i="1" s="1"/>
  <c r="J3614" i="1" s="1"/>
  <c r="K3614" i="1" s="1"/>
  <c r="L3614" i="1" s="1"/>
  <c r="H4093" i="1"/>
  <c r="I4093" i="1" s="1"/>
  <c r="J4093" i="1" s="1"/>
  <c r="K4093" i="1" s="1"/>
  <c r="L4093" i="1" s="1"/>
  <c r="H5208" i="1"/>
  <c r="I5208" i="1" s="1"/>
  <c r="J5208" i="1" s="1"/>
  <c r="K5208" i="1" s="1"/>
  <c r="L5208" i="1" s="1"/>
  <c r="H2812" i="1"/>
  <c r="I2812" i="1" s="1"/>
  <c r="J2812" i="1" s="1"/>
  <c r="K2812" i="1" s="1"/>
  <c r="L2812" i="1" s="1"/>
  <c r="H2785" i="1"/>
  <c r="I2785" i="1" s="1"/>
  <c r="J2785" i="1" s="1"/>
  <c r="K2785" i="1" s="1"/>
  <c r="L2785" i="1" s="1"/>
  <c r="H5106" i="1"/>
  <c r="I5106" i="1" s="1"/>
  <c r="J5106" i="1" s="1"/>
  <c r="K5106" i="1" s="1"/>
  <c r="L5106" i="1" s="1"/>
  <c r="H69" i="1"/>
  <c r="I69" i="1" s="1"/>
  <c r="J69" i="1" s="1"/>
  <c r="K69" i="1" s="1"/>
  <c r="L69" i="1" s="1"/>
  <c r="H4362" i="1"/>
  <c r="I4362" i="1" s="1"/>
  <c r="J4362" i="1" s="1"/>
  <c r="K4362" i="1" s="1"/>
  <c r="L4362" i="1" s="1"/>
  <c r="H570" i="1"/>
  <c r="I570" i="1" s="1"/>
  <c r="J570" i="1" s="1"/>
  <c r="K570" i="1" s="1"/>
  <c r="L570" i="1" s="1"/>
  <c r="H360" i="1"/>
  <c r="I360" i="1" s="1"/>
  <c r="J360" i="1" s="1"/>
  <c r="K360" i="1" s="1"/>
  <c r="L360" i="1" s="1"/>
  <c r="H29" i="1"/>
  <c r="I29" i="1" s="1"/>
  <c r="J29" i="1" s="1"/>
  <c r="H2892" i="1"/>
  <c r="I2892" i="1" s="1"/>
  <c r="J2892" i="1" s="1"/>
  <c r="K2892" i="1" s="1"/>
  <c r="L2892" i="1" s="1"/>
  <c r="H4719" i="1"/>
  <c r="I4719" i="1" s="1"/>
  <c r="J4719" i="1" s="1"/>
  <c r="K4719" i="1" s="1"/>
  <c r="L4719" i="1" s="1"/>
  <c r="H1148" i="1"/>
  <c r="I1148" i="1" s="1"/>
  <c r="J1148" i="1" s="1"/>
  <c r="K1148" i="1" s="1"/>
  <c r="L1148" i="1" s="1"/>
  <c r="H4002" i="1"/>
  <c r="I4002" i="1" s="1"/>
  <c r="J4002" i="1" s="1"/>
  <c r="K4002" i="1" s="1"/>
  <c r="L4002" i="1" s="1"/>
  <c r="H1252" i="1"/>
  <c r="I1252" i="1" s="1"/>
  <c r="J1252" i="1" s="1"/>
  <c r="K1252" i="1" s="1"/>
  <c r="L1252" i="1" s="1"/>
  <c r="H5455" i="1"/>
  <c r="I5455" i="1" s="1"/>
  <c r="J5455" i="1" s="1"/>
  <c r="K5455" i="1" s="1"/>
  <c r="L5455" i="1" s="1"/>
  <c r="H1946" i="1"/>
  <c r="I1946" i="1" s="1"/>
  <c r="J1946" i="1" s="1"/>
  <c r="K1946" i="1" s="1"/>
  <c r="L1946" i="1" s="1"/>
  <c r="H3330" i="1"/>
  <c r="I3330" i="1" s="1"/>
  <c r="J3330" i="1" s="1"/>
  <c r="K3330" i="1" s="1"/>
  <c r="L3330" i="1" s="1"/>
  <c r="H5923" i="1"/>
  <c r="I5923" i="1" s="1"/>
  <c r="J5923" i="1" s="1"/>
  <c r="K5923" i="1" s="1"/>
  <c r="L5923" i="1" s="1"/>
  <c r="H766" i="1"/>
  <c r="I766" i="1" s="1"/>
  <c r="J766" i="1" s="1"/>
  <c r="K766" i="1" s="1"/>
  <c r="L766" i="1" s="1"/>
  <c r="H3345" i="1"/>
  <c r="I3345" i="1" s="1"/>
  <c r="J3345" i="1" s="1"/>
  <c r="K3345" i="1" s="1"/>
  <c r="L3345" i="1" s="1"/>
  <c r="H4437" i="1"/>
  <c r="I4437" i="1" s="1"/>
  <c r="J4437" i="1" s="1"/>
  <c r="K4437" i="1" s="1"/>
  <c r="L4437" i="1" s="1"/>
  <c r="H3091" i="1"/>
  <c r="I3091" i="1" s="1"/>
  <c r="J3091" i="1" s="1"/>
  <c r="K3091" i="1" s="1"/>
  <c r="L3091" i="1" s="1"/>
  <c r="H1033" i="1"/>
  <c r="I1033" i="1" s="1"/>
  <c r="J1033" i="1" s="1"/>
  <c r="K1033" i="1" s="1"/>
  <c r="L1033" i="1" s="1"/>
  <c r="H2386" i="1"/>
  <c r="I2386" i="1" s="1"/>
  <c r="J2386" i="1" s="1"/>
  <c r="H4096" i="1"/>
  <c r="I4096" i="1" s="1"/>
  <c r="J4096" i="1" s="1"/>
  <c r="H5966" i="1"/>
  <c r="I5966" i="1" s="1"/>
  <c r="J5966" i="1" s="1"/>
  <c r="K5966" i="1" s="1"/>
  <c r="L5966" i="1" s="1"/>
  <c r="H1146" i="1"/>
  <c r="I1146" i="1" s="1"/>
  <c r="J1146" i="1" s="1"/>
  <c r="K1146" i="1" s="1"/>
  <c r="L1146" i="1" s="1"/>
  <c r="H5615" i="1"/>
  <c r="I5615" i="1" s="1"/>
  <c r="J5615" i="1" s="1"/>
  <c r="K5615" i="1" s="1"/>
  <c r="L5615" i="1" s="1"/>
  <c r="H2968" i="1"/>
  <c r="I2968" i="1" s="1"/>
  <c r="J2968" i="1" s="1"/>
  <c r="K2968" i="1" s="1"/>
  <c r="L2968" i="1" s="1"/>
  <c r="H2873" i="1"/>
  <c r="I2873" i="1" s="1"/>
  <c r="J2873" i="1" s="1"/>
  <c r="K2873" i="1" s="1"/>
  <c r="L2873" i="1" s="1"/>
  <c r="H4906" i="1"/>
  <c r="I4906" i="1" s="1"/>
  <c r="J4906" i="1" s="1"/>
  <c r="K4906" i="1" s="1"/>
  <c r="L4906" i="1" s="1"/>
  <c r="H2354" i="1"/>
  <c r="I2354" i="1" s="1"/>
  <c r="J2354" i="1" s="1"/>
  <c r="K2354" i="1" s="1"/>
  <c r="L2354" i="1" s="1"/>
  <c r="H3737" i="1"/>
  <c r="I3737" i="1" s="1"/>
  <c r="J3737" i="1" s="1"/>
  <c r="K3737" i="1" s="1"/>
  <c r="L3737" i="1" s="1"/>
  <c r="H3749" i="1"/>
  <c r="I3749" i="1" s="1"/>
  <c r="J3749" i="1" s="1"/>
  <c r="K3749" i="1" s="1"/>
  <c r="L3749" i="1" s="1"/>
  <c r="H882" i="1"/>
  <c r="I882" i="1" s="1"/>
  <c r="J882" i="1" s="1"/>
  <c r="K882" i="1" s="1"/>
  <c r="L882" i="1" s="1"/>
  <c r="H2399" i="1"/>
  <c r="I2399" i="1" s="1"/>
  <c r="J2399" i="1" s="1"/>
  <c r="K2399" i="1" s="1"/>
  <c r="L2399" i="1" s="1"/>
  <c r="H2383" i="1"/>
  <c r="I2383" i="1" s="1"/>
  <c r="J2383" i="1" s="1"/>
  <c r="K2383" i="1" s="1"/>
  <c r="L2383" i="1" s="1"/>
  <c r="H872" i="1"/>
  <c r="I872" i="1" s="1"/>
  <c r="J872" i="1" s="1"/>
  <c r="K872" i="1" s="1"/>
  <c r="L872" i="1" s="1"/>
  <c r="H2542" i="1"/>
  <c r="I2542" i="1" s="1"/>
  <c r="J2542" i="1" s="1"/>
  <c r="K2542" i="1" s="1"/>
  <c r="L2542" i="1" s="1"/>
  <c r="H686" i="1"/>
  <c r="I686" i="1" s="1"/>
  <c r="J686" i="1" s="1"/>
  <c r="H4237" i="1"/>
  <c r="I4237" i="1" s="1"/>
  <c r="J4237" i="1" s="1"/>
  <c r="H1793" i="1"/>
  <c r="I1793" i="1" s="1"/>
  <c r="J1793" i="1" s="1"/>
  <c r="K1793" i="1" s="1"/>
  <c r="L1793" i="1" s="1"/>
  <c r="H1004" i="1"/>
  <c r="I1004" i="1" s="1"/>
  <c r="J1004" i="1" s="1"/>
  <c r="H1558" i="1"/>
  <c r="I1558" i="1" s="1"/>
  <c r="J1558" i="1" s="1"/>
  <c r="K1558" i="1" s="1"/>
  <c r="L1558" i="1" s="1"/>
  <c r="H1592" i="1"/>
  <c r="I1592" i="1" s="1"/>
  <c r="J1592" i="1" s="1"/>
  <c r="K1592" i="1" s="1"/>
  <c r="L1592" i="1" s="1"/>
  <c r="H5917" i="1"/>
  <c r="I5917" i="1" s="1"/>
  <c r="J5917" i="1" s="1"/>
  <c r="K5917" i="1" s="1"/>
  <c r="L5917" i="1" s="1"/>
  <c r="H2962" i="1"/>
  <c r="I2962" i="1" s="1"/>
  <c r="J2962" i="1" s="1"/>
  <c r="K2962" i="1" s="1"/>
  <c r="L2962" i="1" s="1"/>
  <c r="H1254" i="1"/>
  <c r="I1254" i="1" s="1"/>
  <c r="J1254" i="1" s="1"/>
  <c r="K1254" i="1" s="1"/>
  <c r="L1254" i="1" s="1"/>
  <c r="H2612" i="1"/>
  <c r="I2612" i="1" s="1"/>
  <c r="J2612" i="1" s="1"/>
  <c r="K2612" i="1" s="1"/>
  <c r="L2612" i="1" s="1"/>
  <c r="H2367" i="1"/>
  <c r="I2367" i="1" s="1"/>
  <c r="J2367" i="1" s="1"/>
  <c r="K2367" i="1" s="1"/>
  <c r="L2367" i="1" s="1"/>
  <c r="H4438" i="1"/>
  <c r="I4438" i="1" s="1"/>
  <c r="J4438" i="1" s="1"/>
  <c r="K4438" i="1" s="1"/>
  <c r="L4438" i="1" s="1"/>
  <c r="H279" i="1"/>
  <c r="I279" i="1" s="1"/>
  <c r="J279" i="1" s="1"/>
  <c r="K279" i="1" s="1"/>
  <c r="L279" i="1" s="1"/>
  <c r="H131" i="1"/>
  <c r="I131" i="1" s="1"/>
  <c r="J131" i="1" s="1"/>
  <c r="K131" i="1" s="1"/>
  <c r="L131" i="1" s="1"/>
  <c r="H4620" i="1"/>
  <c r="I4620" i="1" s="1"/>
  <c r="J4620" i="1" s="1"/>
  <c r="K4620" i="1" s="1"/>
  <c r="L4620" i="1" s="1"/>
  <c r="H3677" i="1"/>
  <c r="I3677" i="1" s="1"/>
  <c r="J3677" i="1" s="1"/>
  <c r="K3677" i="1" s="1"/>
  <c r="L3677" i="1" s="1"/>
  <c r="H2918" i="1"/>
  <c r="I2918" i="1" s="1"/>
  <c r="J2918" i="1" s="1"/>
  <c r="H5947" i="1"/>
  <c r="I5947" i="1" s="1"/>
  <c r="J5947" i="1" s="1"/>
  <c r="H5514" i="1"/>
  <c r="I5514" i="1" s="1"/>
  <c r="J5514" i="1" s="1"/>
  <c r="K5514" i="1" s="1"/>
  <c r="L5514" i="1" s="1"/>
  <c r="H607" i="1"/>
  <c r="I607" i="1" s="1"/>
  <c r="J607" i="1" s="1"/>
  <c r="K607" i="1" s="1"/>
  <c r="L607" i="1" s="1"/>
  <c r="H2026" i="1"/>
  <c r="I2026" i="1" s="1"/>
  <c r="J2026" i="1" s="1"/>
  <c r="K2026" i="1" s="1"/>
  <c r="L2026" i="1" s="1"/>
  <c r="H3889" i="1"/>
  <c r="I3889" i="1" s="1"/>
  <c r="J3889" i="1" s="1"/>
  <c r="K3889" i="1" s="1"/>
  <c r="L3889" i="1" s="1"/>
  <c r="H2616" i="1"/>
  <c r="I2616" i="1" s="1"/>
  <c r="J2616" i="1" s="1"/>
  <c r="K2616" i="1" s="1"/>
  <c r="L2616" i="1" s="1"/>
  <c r="H2281" i="1"/>
  <c r="I2281" i="1" s="1"/>
  <c r="J2281" i="1" s="1"/>
  <c r="K2281" i="1" s="1"/>
  <c r="L2281" i="1" s="1"/>
  <c r="H2660" i="1"/>
  <c r="I2660" i="1" s="1"/>
  <c r="J2660" i="1" s="1"/>
  <c r="K2660" i="1" s="1"/>
  <c r="L2660" i="1" s="1"/>
  <c r="H255" i="1"/>
  <c r="I255" i="1" s="1"/>
  <c r="J255" i="1" s="1"/>
  <c r="K255" i="1" s="1"/>
  <c r="L255" i="1" s="1"/>
  <c r="G23" i="8"/>
  <c r="H5289" i="1"/>
  <c r="I5289" i="1" s="1"/>
  <c r="J5289" i="1" s="1"/>
  <c r="K5289" i="1" s="1"/>
  <c r="L5289" i="1" s="1"/>
  <c r="H4277" i="1"/>
  <c r="I4277" i="1" s="1"/>
  <c r="J4277" i="1" s="1"/>
  <c r="K4277" i="1" s="1"/>
  <c r="L4277" i="1" s="1"/>
  <c r="J1421" i="1"/>
  <c r="K1421" i="1" s="1"/>
  <c r="L1421" i="1" s="1"/>
  <c r="H3830" i="1"/>
  <c r="I3830" i="1" s="1"/>
  <c r="J3830" i="1" s="1"/>
  <c r="K3830" i="1" s="1"/>
  <c r="L3830" i="1" s="1"/>
  <c r="H3260" i="1"/>
  <c r="I3260" i="1" s="1"/>
  <c r="J3260" i="1" s="1"/>
  <c r="H2440" i="1"/>
  <c r="I2440" i="1" s="1"/>
  <c r="J2440" i="1" s="1"/>
  <c r="K2440" i="1" s="1"/>
  <c r="L2440" i="1" s="1"/>
  <c r="H5634" i="1"/>
  <c r="I5634" i="1" s="1"/>
  <c r="J5634" i="1" s="1"/>
  <c r="K5634" i="1" s="1"/>
  <c r="L5634" i="1" s="1"/>
  <c r="H3158" i="1"/>
  <c r="I3158" i="1" s="1"/>
  <c r="J3158" i="1" s="1"/>
  <c r="K3158" i="1" s="1"/>
  <c r="L3158" i="1" s="1"/>
  <c r="H5624" i="1"/>
  <c r="I5624" i="1" s="1"/>
  <c r="J5624" i="1" s="1"/>
  <c r="K5624" i="1" s="1"/>
  <c r="L5624" i="1" s="1"/>
  <c r="H1204" i="1"/>
  <c r="I1204" i="1" s="1"/>
  <c r="J1204" i="1" s="1"/>
  <c r="K1204" i="1" s="1"/>
  <c r="L1204" i="1" s="1"/>
  <c r="H488" i="1"/>
  <c r="I488" i="1" s="1"/>
  <c r="J488" i="1" s="1"/>
  <c r="K488" i="1" s="1"/>
  <c r="L488" i="1" s="1"/>
  <c r="H5911" i="1"/>
  <c r="I5911" i="1" s="1"/>
  <c r="J5911" i="1" s="1"/>
  <c r="K5911" i="1" s="1"/>
  <c r="L5911" i="1" s="1"/>
  <c r="H1655" i="1"/>
  <c r="I1655" i="1" s="1"/>
  <c r="J1655" i="1" s="1"/>
  <c r="K1655" i="1" s="1"/>
  <c r="L1655" i="1" s="1"/>
  <c r="J484" i="1"/>
  <c r="K484" i="1" s="1"/>
  <c r="L484" i="1" s="1"/>
  <c r="J4894" i="1"/>
  <c r="K4894" i="1" s="1"/>
  <c r="L4894" i="1" s="1"/>
  <c r="H5335" i="1"/>
  <c r="I5335" i="1" s="1"/>
  <c r="J5335" i="1" s="1"/>
  <c r="K5335" i="1" s="1"/>
  <c r="L5335" i="1" s="1"/>
  <c r="H2249" i="1"/>
  <c r="I2249" i="1" s="1"/>
  <c r="J2249" i="1" s="1"/>
  <c r="J3864" i="1"/>
  <c r="K3864" i="1" s="1"/>
  <c r="L3864" i="1" s="1"/>
  <c r="H4635" i="1"/>
  <c r="I4635" i="1" s="1"/>
  <c r="J4635" i="1" s="1"/>
  <c r="K4635" i="1" s="1"/>
  <c r="L4635" i="1" s="1"/>
  <c r="H5295" i="1"/>
  <c r="I5295" i="1" s="1"/>
  <c r="J5295" i="1" s="1"/>
  <c r="K5295" i="1" s="1"/>
  <c r="L5295" i="1" s="1"/>
  <c r="J965" i="1"/>
  <c r="K965" i="1" s="1"/>
  <c r="L965" i="1" s="1"/>
  <c r="H1915" i="1"/>
  <c r="I1915" i="1" s="1"/>
  <c r="J1915" i="1" s="1"/>
  <c r="K1915" i="1" s="1"/>
  <c r="L1915" i="1" s="1"/>
  <c r="H2723" i="1"/>
  <c r="I2723" i="1" s="1"/>
  <c r="J2723" i="1" s="1"/>
  <c r="K2723" i="1" s="1"/>
  <c r="L2723" i="1" s="1"/>
  <c r="H5285" i="1"/>
  <c r="I5285" i="1" s="1"/>
  <c r="J5285" i="1" s="1"/>
  <c r="K5285" i="1" s="1"/>
  <c r="L5285" i="1" s="1"/>
  <c r="H5641" i="1"/>
  <c r="I5641" i="1" s="1"/>
  <c r="J5641" i="1" s="1"/>
  <c r="K5641" i="1" s="1"/>
  <c r="L5641" i="1" s="1"/>
  <c r="H5081" i="1"/>
  <c r="I5081" i="1" s="1"/>
  <c r="J5081" i="1" s="1"/>
  <c r="K5081" i="1" s="1"/>
  <c r="L5081" i="1" s="1"/>
  <c r="H380" i="1"/>
  <c r="I380" i="1" s="1"/>
  <c r="J380" i="1" s="1"/>
  <c r="K380" i="1" s="1"/>
  <c r="L380" i="1" s="1"/>
  <c r="H548" i="1"/>
  <c r="I548" i="1" s="1"/>
  <c r="J548" i="1" s="1"/>
  <c r="K548" i="1" s="1"/>
  <c r="L548" i="1" s="1"/>
  <c r="H4189" i="1"/>
  <c r="I4189" i="1" s="1"/>
  <c r="J4189" i="1" s="1"/>
  <c r="H2610" i="1"/>
  <c r="I2610" i="1" s="1"/>
  <c r="J2610" i="1" s="1"/>
  <c r="K2610" i="1" s="1"/>
  <c r="L2610" i="1" s="1"/>
  <c r="H1427" i="1"/>
  <c r="I1427" i="1" s="1"/>
  <c r="J1427" i="1" s="1"/>
  <c r="K1427" i="1" s="1"/>
  <c r="L1427" i="1" s="1"/>
  <c r="J910" i="1"/>
  <c r="K910" i="1" s="1"/>
  <c r="L910" i="1" s="1"/>
  <c r="J5220" i="1"/>
  <c r="K5220" i="1" s="1"/>
  <c r="L5220" i="1" s="1"/>
  <c r="H4129" i="1"/>
  <c r="I4129" i="1" s="1"/>
  <c r="J4129" i="1" s="1"/>
  <c r="K4129" i="1" s="1"/>
  <c r="L4129" i="1" s="1"/>
  <c r="H3928" i="1"/>
  <c r="I3928" i="1" s="1"/>
  <c r="J3928" i="1" s="1"/>
  <c r="K3928" i="1" s="1"/>
  <c r="L3928" i="1" s="1"/>
  <c r="J5650" i="1"/>
  <c r="K5650" i="1" s="1"/>
  <c r="L5650" i="1" s="1"/>
  <c r="H2256" i="1"/>
  <c r="I2256" i="1" s="1"/>
  <c r="J2256" i="1" s="1"/>
  <c r="K2256" i="1" s="1"/>
  <c r="L2256" i="1" s="1"/>
  <c r="J1195" i="1"/>
  <c r="K1195" i="1" s="1"/>
  <c r="L1195" i="1" s="1"/>
  <c r="H4325" i="1"/>
  <c r="I4325" i="1" s="1"/>
  <c r="J4325" i="1" s="1"/>
  <c r="K4325" i="1" s="1"/>
  <c r="L4325" i="1" s="1"/>
  <c r="H660" i="1"/>
  <c r="I660" i="1" s="1"/>
  <c r="J660" i="1" s="1"/>
  <c r="K660" i="1" s="1"/>
  <c r="L660" i="1" s="1"/>
  <c r="J1190" i="1"/>
  <c r="K1190" i="1" s="1"/>
  <c r="L1190" i="1" s="1"/>
  <c r="J3163" i="1"/>
  <c r="K3163" i="1" s="1"/>
  <c r="L3163" i="1" s="1"/>
  <c r="J2400" i="1"/>
  <c r="H5538" i="1"/>
  <c r="I5538" i="1" s="1"/>
  <c r="J5538" i="1" s="1"/>
  <c r="K5538" i="1" s="1"/>
  <c r="L5538" i="1" s="1"/>
  <c r="H2146" i="1"/>
  <c r="I2146" i="1" s="1"/>
  <c r="J2146" i="1" s="1"/>
  <c r="K2146" i="1" s="1"/>
  <c r="L2146" i="1" s="1"/>
  <c r="H2523" i="1"/>
  <c r="I2523" i="1" s="1"/>
  <c r="J2523" i="1" s="1"/>
  <c r="K2523" i="1" s="1"/>
  <c r="L2523" i="1" s="1"/>
  <c r="J2239" i="1"/>
  <c r="K2239" i="1" s="1"/>
  <c r="L2239" i="1" s="1"/>
  <c r="J4000" i="1"/>
  <c r="K4000" i="1" s="1"/>
  <c r="L4000" i="1" s="1"/>
  <c r="H3415" i="1"/>
  <c r="I3415" i="1" s="1"/>
  <c r="J3415" i="1" s="1"/>
  <c r="K3415" i="1" s="1"/>
  <c r="L3415" i="1" s="1"/>
  <c r="H2118" i="1"/>
  <c r="I2118" i="1" s="1"/>
  <c r="J2118" i="1" s="1"/>
  <c r="K2118" i="1" s="1"/>
  <c r="L2118" i="1" s="1"/>
  <c r="H5176" i="1"/>
  <c r="I5176" i="1" s="1"/>
  <c r="J5176" i="1" s="1"/>
  <c r="K5176" i="1" s="1"/>
  <c r="L5176" i="1" s="1"/>
  <c r="J4285" i="1"/>
  <c r="K4285" i="1" s="1"/>
  <c r="L4285" i="1" s="1"/>
  <c r="H1013" i="1"/>
  <c r="I1013" i="1" s="1"/>
  <c r="J1013" i="1" s="1"/>
  <c r="K1013" i="1" s="1"/>
  <c r="L1013" i="1" s="1"/>
  <c r="J5309" i="1"/>
  <c r="K5309" i="1" s="1"/>
  <c r="L5309" i="1" s="1"/>
  <c r="J1547" i="1"/>
  <c r="K1547" i="1" s="1"/>
  <c r="L1547" i="1" s="1"/>
  <c r="H2594" i="1"/>
  <c r="I2594" i="1" s="1"/>
  <c r="J2594" i="1" s="1"/>
  <c r="K2594" i="1" s="1"/>
  <c r="L2594" i="1" s="1"/>
  <c r="H5379" i="1"/>
  <c r="I5379" i="1" s="1"/>
  <c r="J5379" i="1" s="1"/>
  <c r="K5379" i="1" s="1"/>
  <c r="L5379" i="1" s="1"/>
  <c r="J5313" i="1"/>
  <c r="K5313" i="1" s="1"/>
  <c r="L5313" i="1" s="1"/>
  <c r="H4578" i="1"/>
  <c r="I4578" i="1" s="1"/>
  <c r="J4578" i="1" s="1"/>
  <c r="K4578" i="1" s="1"/>
  <c r="L4578" i="1" s="1"/>
  <c r="H5275" i="1"/>
  <c r="I5275" i="1" s="1"/>
  <c r="J5275" i="1" s="1"/>
  <c r="K5275" i="1" s="1"/>
  <c r="L5275" i="1" s="1"/>
  <c r="H4523" i="1"/>
  <c r="I4523" i="1" s="1"/>
  <c r="J4523" i="1" s="1"/>
  <c r="K4523" i="1" s="1"/>
  <c r="L4523" i="1" s="1"/>
  <c r="H4173" i="1"/>
  <c r="I4173" i="1" s="1"/>
  <c r="J4173" i="1" s="1"/>
  <c r="K4173" i="1" s="1"/>
  <c r="L4173" i="1" s="1"/>
  <c r="H3603" i="1"/>
  <c r="I3603" i="1" s="1"/>
  <c r="J3603" i="1" s="1"/>
  <c r="K3603" i="1" s="1"/>
  <c r="L3603" i="1" s="1"/>
  <c r="H3630" i="1"/>
  <c r="I3630" i="1" s="1"/>
  <c r="J3630" i="1" s="1"/>
  <c r="K3630" i="1" s="1"/>
  <c r="L3630" i="1" s="1"/>
  <c r="H2144" i="1"/>
  <c r="I2144" i="1" s="1"/>
  <c r="J2144" i="1" s="1"/>
  <c r="K2144" i="1" s="1"/>
  <c r="L2144" i="1" s="1"/>
  <c r="H3649" i="1"/>
  <c r="I3649" i="1" s="1"/>
  <c r="J3649" i="1" s="1"/>
  <c r="K3649" i="1" s="1"/>
  <c r="L3649" i="1" s="1"/>
  <c r="H1792" i="1"/>
  <c r="I1792" i="1" s="1"/>
  <c r="J1792" i="1" s="1"/>
  <c r="K1792" i="1" s="1"/>
  <c r="L1792" i="1" s="1"/>
  <c r="H1050" i="1"/>
  <c r="I1050" i="1" s="1"/>
  <c r="J1050" i="1" s="1"/>
  <c r="K1050" i="1" s="1"/>
  <c r="L1050" i="1" s="1"/>
  <c r="H3465" i="1"/>
  <c r="I3465" i="1" s="1"/>
  <c r="J3465" i="1" s="1"/>
  <c r="K3465" i="1" s="1"/>
  <c r="L3465" i="1" s="1"/>
  <c r="J1476" i="1"/>
  <c r="H4951" i="1"/>
  <c r="I4951" i="1" s="1"/>
  <c r="J4951" i="1" s="1"/>
  <c r="K4951" i="1" s="1"/>
  <c r="L4951" i="1" s="1"/>
  <c r="J1180" i="1"/>
  <c r="K1180" i="1" s="1"/>
  <c r="L1180" i="1" s="1"/>
  <c r="H1770" i="1"/>
  <c r="I1770" i="1" s="1"/>
  <c r="J1770" i="1" s="1"/>
  <c r="K1770" i="1" s="1"/>
  <c r="L1770" i="1" s="1"/>
  <c r="J1264" i="1"/>
  <c r="K1264" i="1" s="1"/>
  <c r="L1264" i="1" s="1"/>
  <c r="J3409" i="1"/>
  <c r="K3409" i="1" s="1"/>
  <c r="L3409" i="1" s="1"/>
  <c r="J3857" i="1"/>
  <c r="K3857" i="1" s="1"/>
  <c r="L3857" i="1" s="1"/>
  <c r="H2277" i="1"/>
  <c r="I2277" i="1" s="1"/>
  <c r="J2277" i="1" s="1"/>
  <c r="K2277" i="1" s="1"/>
  <c r="L2277" i="1" s="1"/>
  <c r="H2897" i="1"/>
  <c r="I2897" i="1" s="1"/>
  <c r="J2897" i="1" s="1"/>
  <c r="K2897" i="1" s="1"/>
  <c r="L2897" i="1" s="1"/>
  <c r="H3628" i="1"/>
  <c r="I3628" i="1" s="1"/>
  <c r="J3628" i="1" s="1"/>
  <c r="K3628" i="1" s="1"/>
  <c r="L3628" i="1" s="1"/>
  <c r="H3796" i="1"/>
  <c r="I3796" i="1" s="1"/>
  <c r="J3796" i="1" s="1"/>
  <c r="K3796" i="1" s="1"/>
  <c r="L3796" i="1" s="1"/>
  <c r="H4690" i="1"/>
  <c r="I4690" i="1" s="1"/>
  <c r="J4690" i="1" s="1"/>
  <c r="K4690" i="1" s="1"/>
  <c r="L4690" i="1" s="1"/>
  <c r="H5367" i="1"/>
  <c r="I5367" i="1" s="1"/>
  <c r="J5367" i="1" s="1"/>
  <c r="K5367" i="1" s="1"/>
  <c r="L5367" i="1" s="1"/>
  <c r="H4463" i="1"/>
  <c r="I4463" i="1" s="1"/>
  <c r="J4463" i="1" s="1"/>
  <c r="K4463" i="1" s="1"/>
  <c r="L4463" i="1" s="1"/>
  <c r="H3366" i="1"/>
  <c r="I3366" i="1" s="1"/>
  <c r="J3366" i="1" s="1"/>
  <c r="K3366" i="1" s="1"/>
  <c r="L3366" i="1" s="1"/>
  <c r="H4749" i="1"/>
  <c r="I4749" i="1" s="1"/>
  <c r="J4749" i="1" s="1"/>
  <c r="K4749" i="1" s="1"/>
  <c r="L4749" i="1" s="1"/>
  <c r="H4394" i="1"/>
  <c r="I4394" i="1" s="1"/>
  <c r="J4394" i="1" s="1"/>
  <c r="K4394" i="1" s="1"/>
  <c r="L4394" i="1" s="1"/>
  <c r="H3463" i="1"/>
  <c r="I3463" i="1" s="1"/>
  <c r="J3463" i="1" s="1"/>
  <c r="K3463" i="1" s="1"/>
  <c r="L3463" i="1" s="1"/>
  <c r="H4267" i="1"/>
  <c r="I4267" i="1" s="1"/>
  <c r="J4267" i="1" s="1"/>
  <c r="K4267" i="1" s="1"/>
  <c r="L4267" i="1" s="1"/>
  <c r="H898" i="1"/>
  <c r="I898" i="1" s="1"/>
  <c r="J898" i="1" s="1"/>
  <c r="K898" i="1" s="1"/>
  <c r="L898" i="1" s="1"/>
  <c r="H3256" i="1"/>
  <c r="I3256" i="1" s="1"/>
  <c r="J3256" i="1" s="1"/>
  <c r="K3256" i="1" s="1"/>
  <c r="L3256" i="1" s="1"/>
  <c r="H4431" i="1"/>
  <c r="I4431" i="1" s="1"/>
  <c r="J4431" i="1" s="1"/>
  <c r="K4431" i="1" s="1"/>
  <c r="L4431" i="1" s="1"/>
  <c r="H3666" i="1"/>
  <c r="I3666" i="1" s="1"/>
  <c r="J3666" i="1" s="1"/>
  <c r="K3666" i="1" s="1"/>
  <c r="L3666" i="1" s="1"/>
  <c r="H3898" i="1"/>
  <c r="I3898" i="1" s="1"/>
  <c r="J3898" i="1" s="1"/>
  <c r="K3898" i="1" s="1"/>
  <c r="L3898" i="1" s="1"/>
  <c r="H577" i="1"/>
  <c r="I577" i="1" s="1"/>
  <c r="J577" i="1" s="1"/>
  <c r="K577" i="1" s="1"/>
  <c r="L577" i="1" s="1"/>
  <c r="H5451" i="1"/>
  <c r="I5451" i="1" s="1"/>
  <c r="J5451" i="1" s="1"/>
  <c r="K5451" i="1" s="1"/>
  <c r="L5451" i="1" s="1"/>
  <c r="H730" i="1"/>
  <c r="I730" i="1" s="1"/>
  <c r="J730" i="1" s="1"/>
  <c r="K730" i="1" s="1"/>
  <c r="L730" i="1" s="1"/>
  <c r="H4822" i="1"/>
  <c r="I4822" i="1" s="1"/>
  <c r="J4822" i="1" s="1"/>
  <c r="K4822" i="1" s="1"/>
  <c r="L4822" i="1" s="1"/>
  <c r="J5806" i="1"/>
  <c r="K5806" i="1" s="1"/>
  <c r="L5806" i="1" s="1"/>
  <c r="J5405" i="1"/>
  <c r="K5405" i="1" s="1"/>
  <c r="L5405" i="1" s="1"/>
  <c r="H3592" i="1"/>
  <c r="I3592" i="1" s="1"/>
  <c r="J3592" i="1" s="1"/>
  <c r="K3592" i="1" s="1"/>
  <c r="L3592" i="1" s="1"/>
  <c r="H3392" i="1"/>
  <c r="I3392" i="1" s="1"/>
  <c r="J3392" i="1" s="1"/>
  <c r="K3392" i="1" s="1"/>
  <c r="L3392" i="1" s="1"/>
  <c r="J4858" i="1"/>
  <c r="K4858" i="1" s="1"/>
  <c r="L4858" i="1" s="1"/>
  <c r="H2557" i="1"/>
  <c r="I2557" i="1" s="1"/>
  <c r="J2557" i="1" s="1"/>
  <c r="K2557" i="1" s="1"/>
  <c r="L2557" i="1" s="1"/>
  <c r="H2369" i="1"/>
  <c r="I2369" i="1" s="1"/>
  <c r="J2369" i="1" s="1"/>
  <c r="K2369" i="1" s="1"/>
  <c r="L2369" i="1" s="1"/>
  <c r="H4650" i="1"/>
  <c r="I4650" i="1" s="1"/>
  <c r="J4650" i="1" s="1"/>
  <c r="K4650" i="1" s="1"/>
  <c r="L4650" i="1" s="1"/>
  <c r="H4475" i="1"/>
  <c r="I4475" i="1" s="1"/>
  <c r="J4475" i="1" s="1"/>
  <c r="K4475" i="1" s="1"/>
  <c r="L4475" i="1" s="1"/>
  <c r="H4954" i="1"/>
  <c r="I4954" i="1" s="1"/>
  <c r="J4954" i="1" s="1"/>
  <c r="K4954" i="1" s="1"/>
  <c r="L4954" i="1" s="1"/>
  <c r="J4419" i="1"/>
  <c r="K4419" i="1" s="1"/>
  <c r="L4419" i="1" s="1"/>
  <c r="H1855" i="1"/>
  <c r="I1855" i="1" s="1"/>
  <c r="J1855" i="1" s="1"/>
  <c r="K1855" i="1" s="1"/>
  <c r="L1855" i="1" s="1"/>
  <c r="H4313" i="1"/>
  <c r="I4313" i="1" s="1"/>
  <c r="J4313" i="1" s="1"/>
  <c r="K4313" i="1" s="1"/>
  <c r="L4313" i="1" s="1"/>
  <c r="G18" i="8"/>
  <c r="H1045" i="1"/>
  <c r="I1045" i="1" s="1"/>
  <c r="J1045" i="1" s="1"/>
  <c r="K1045" i="1" s="1"/>
  <c r="L1045" i="1" s="1"/>
  <c r="H4177" i="1"/>
  <c r="I4177" i="1" s="1"/>
  <c r="J4177" i="1" s="1"/>
  <c r="K4177" i="1" s="1"/>
  <c r="L4177" i="1" s="1"/>
  <c r="H4590" i="1"/>
  <c r="I4590" i="1" s="1"/>
  <c r="J4590" i="1" s="1"/>
  <c r="K4590" i="1" s="1"/>
  <c r="L4590" i="1" s="1"/>
  <c r="H3865" i="1"/>
  <c r="I3865" i="1" s="1"/>
  <c r="J3865" i="1" s="1"/>
  <c r="K3865" i="1" s="1"/>
  <c r="L3865" i="1" s="1"/>
  <c r="H4467" i="1"/>
  <c r="I4467" i="1" s="1"/>
  <c r="J4467" i="1" s="1"/>
  <c r="K4467" i="1" s="1"/>
  <c r="L4467" i="1" s="1"/>
  <c r="H2649" i="1"/>
  <c r="I2649" i="1" s="1"/>
  <c r="J2649" i="1" s="1"/>
  <c r="K2649" i="1" s="1"/>
  <c r="L2649" i="1" s="1"/>
  <c r="H1700" i="1"/>
  <c r="I1700" i="1" s="1"/>
  <c r="J1700" i="1" s="1"/>
  <c r="K1700" i="1" s="1"/>
  <c r="L1700" i="1" s="1"/>
  <c r="H1435" i="1"/>
  <c r="I1435" i="1" s="1"/>
  <c r="J1435" i="1" s="1"/>
  <c r="K1435" i="1" s="1"/>
  <c r="L1435" i="1" s="1"/>
  <c r="H4032" i="1"/>
  <c r="I4032" i="1" s="1"/>
  <c r="J4032" i="1" s="1"/>
  <c r="K4032" i="1" s="1"/>
  <c r="L4032" i="1" s="1"/>
  <c r="H5849" i="1"/>
  <c r="I5849" i="1" s="1"/>
  <c r="J5849" i="1" s="1"/>
  <c r="K5849" i="1" s="1"/>
  <c r="L5849" i="1" s="1"/>
  <c r="H4338" i="1"/>
  <c r="I4338" i="1" s="1"/>
  <c r="J4338" i="1" s="1"/>
  <c r="K4338" i="1" s="1"/>
  <c r="L4338" i="1" s="1"/>
  <c r="H5901" i="1"/>
  <c r="I5901" i="1" s="1"/>
  <c r="J5901" i="1" s="1"/>
  <c r="K5901" i="1" s="1"/>
  <c r="L5901" i="1" s="1"/>
  <c r="H3650" i="1"/>
  <c r="I3650" i="1" s="1"/>
  <c r="J3650" i="1" s="1"/>
  <c r="K3650" i="1" s="1"/>
  <c r="L3650" i="1" s="1"/>
  <c r="H4279" i="1"/>
  <c r="I4279" i="1" s="1"/>
  <c r="J4279" i="1" s="1"/>
  <c r="H1188" i="1"/>
  <c r="I1188" i="1" s="1"/>
  <c r="J1188" i="1" s="1"/>
  <c r="K1188" i="1" s="1"/>
  <c r="L1188" i="1" s="1"/>
  <c r="H2533" i="1"/>
  <c r="I2533" i="1" s="1"/>
  <c r="J2533" i="1" s="1"/>
  <c r="K2533" i="1" s="1"/>
  <c r="L2533" i="1" s="1"/>
  <c r="H1177" i="1"/>
  <c r="I1177" i="1" s="1"/>
  <c r="J1177" i="1" s="1"/>
  <c r="K1177" i="1" s="1"/>
  <c r="L1177" i="1" s="1"/>
  <c r="H2356" i="1"/>
  <c r="I2356" i="1" s="1"/>
  <c r="J2356" i="1" s="1"/>
  <c r="K2356" i="1" s="1"/>
  <c r="L2356" i="1" s="1"/>
  <c r="H1630" i="1"/>
  <c r="I1630" i="1" s="1"/>
  <c r="J1630" i="1" s="1"/>
  <c r="K1630" i="1" s="1"/>
  <c r="L1630" i="1" s="1"/>
  <c r="H1151" i="1"/>
  <c r="I1151" i="1" s="1"/>
  <c r="J1151" i="1" s="1"/>
  <c r="K1151" i="1" s="1"/>
  <c r="L1151" i="1" s="1"/>
  <c r="H5107" i="1"/>
  <c r="I5107" i="1" s="1"/>
  <c r="J5107" i="1" s="1"/>
  <c r="K5107" i="1" s="1"/>
  <c r="L5107" i="1" s="1"/>
  <c r="H3196" i="1"/>
  <c r="I3196" i="1" s="1"/>
  <c r="J3196" i="1" s="1"/>
  <c r="K3196" i="1" s="1"/>
  <c r="L3196" i="1" s="1"/>
  <c r="H2439" i="1"/>
  <c r="I2439" i="1" s="1"/>
  <c r="J2439" i="1" s="1"/>
  <c r="K2439" i="1" s="1"/>
  <c r="L2439" i="1" s="1"/>
  <c r="H501" i="1"/>
  <c r="I501" i="1" s="1"/>
  <c r="J501" i="1" s="1"/>
  <c r="K501" i="1" s="1"/>
  <c r="L501" i="1" s="1"/>
  <c r="H1081" i="1"/>
  <c r="I1081" i="1" s="1"/>
  <c r="J1081" i="1" s="1"/>
  <c r="K1081" i="1" s="1"/>
  <c r="L1081" i="1" s="1"/>
  <c r="H4728" i="1"/>
  <c r="I4728" i="1" s="1"/>
  <c r="J4728" i="1" s="1"/>
  <c r="K4728" i="1" s="1"/>
  <c r="L4728" i="1" s="1"/>
  <c r="H458" i="1"/>
  <c r="I458" i="1" s="1"/>
  <c r="J458" i="1" s="1"/>
  <c r="K458" i="1" s="1"/>
  <c r="L458" i="1" s="1"/>
  <c r="H4112" i="1"/>
  <c r="I4112" i="1" s="1"/>
  <c r="J4112" i="1" s="1"/>
  <c r="K4112" i="1" s="1"/>
  <c r="L4112" i="1" s="1"/>
  <c r="H2169" i="1"/>
  <c r="I2169" i="1" s="1"/>
  <c r="J2169" i="1" s="1"/>
  <c r="K2169" i="1" s="1"/>
  <c r="L2169" i="1" s="1"/>
  <c r="H3877" i="1"/>
  <c r="I3877" i="1" s="1"/>
  <c r="J3877" i="1" s="1"/>
  <c r="K3877" i="1" s="1"/>
  <c r="L3877" i="1" s="1"/>
  <c r="H3310" i="1"/>
  <c r="I3310" i="1" s="1"/>
  <c r="J3310" i="1" s="1"/>
  <c r="K3310" i="1" s="1"/>
  <c r="L3310" i="1" s="1"/>
  <c r="H3506" i="1"/>
  <c r="I3506" i="1" s="1"/>
  <c r="J3506" i="1" s="1"/>
  <c r="K3506" i="1" s="1"/>
  <c r="L3506" i="1" s="1"/>
  <c r="H2896" i="1"/>
  <c r="I2896" i="1" s="1"/>
  <c r="J2896" i="1" s="1"/>
  <c r="K2896" i="1" s="1"/>
  <c r="L2896" i="1" s="1"/>
  <c r="H5424" i="1"/>
  <c r="I5424" i="1" s="1"/>
  <c r="J5424" i="1" s="1"/>
  <c r="K5424" i="1" s="1"/>
  <c r="L5424" i="1" s="1"/>
  <c r="H5147" i="1"/>
  <c r="I5147" i="1" s="1"/>
  <c r="J5147" i="1" s="1"/>
  <c r="K5147" i="1" s="1"/>
  <c r="L5147" i="1" s="1"/>
  <c r="H1685" i="1"/>
  <c r="I1685" i="1" s="1"/>
  <c r="J1685" i="1" s="1"/>
  <c r="K1685" i="1" s="1"/>
  <c r="L1685" i="1" s="1"/>
  <c r="H5009" i="1"/>
  <c r="I5009" i="1" s="1"/>
  <c r="J5009" i="1" s="1"/>
  <c r="K5009" i="1" s="1"/>
  <c r="L5009" i="1" s="1"/>
  <c r="H4616" i="1"/>
  <c r="I4616" i="1" s="1"/>
  <c r="J4616" i="1" s="1"/>
  <c r="K4616" i="1" s="1"/>
  <c r="L4616" i="1" s="1"/>
  <c r="H1223" i="1"/>
  <c r="I1223" i="1" s="1"/>
  <c r="J1223" i="1" s="1"/>
  <c r="K1223" i="1" s="1"/>
  <c r="L1223" i="1" s="1"/>
  <c r="H4094" i="1"/>
  <c r="I4094" i="1" s="1"/>
  <c r="J4094" i="1" s="1"/>
  <c r="K4094" i="1" s="1"/>
  <c r="L4094" i="1" s="1"/>
  <c r="H4855" i="1"/>
  <c r="I4855" i="1" s="1"/>
  <c r="J4855" i="1" s="1"/>
  <c r="K4855" i="1" s="1"/>
  <c r="L4855" i="1" s="1"/>
  <c r="H1972" i="1"/>
  <c r="I1972" i="1" s="1"/>
  <c r="J1972" i="1" s="1"/>
  <c r="K1972" i="1" s="1"/>
  <c r="L1972" i="1" s="1"/>
  <c r="H397" i="1"/>
  <c r="I397" i="1" s="1"/>
  <c r="J397" i="1" s="1"/>
  <c r="K397" i="1" s="1"/>
  <c r="L397" i="1" s="1"/>
  <c r="H5161" i="1"/>
  <c r="I5161" i="1" s="1"/>
  <c r="J5161" i="1" s="1"/>
  <c r="K5161" i="1" s="1"/>
  <c r="L5161" i="1" s="1"/>
  <c r="H2858" i="1"/>
  <c r="I2858" i="1" s="1"/>
  <c r="J2858" i="1" s="1"/>
  <c r="K2858" i="1" s="1"/>
  <c r="L2858" i="1" s="1"/>
  <c r="H5214" i="1"/>
  <c r="I5214" i="1" s="1"/>
  <c r="J5214" i="1" s="1"/>
  <c r="K5214" i="1" s="1"/>
  <c r="L5214" i="1" s="1"/>
  <c r="H4339" i="1"/>
  <c r="I4339" i="1" s="1"/>
  <c r="J4339" i="1" s="1"/>
  <c r="K4339" i="1" s="1"/>
  <c r="L4339" i="1" s="1"/>
  <c r="H3340" i="1"/>
  <c r="I3340" i="1" s="1"/>
  <c r="J3340" i="1" s="1"/>
  <c r="K3340" i="1" s="1"/>
  <c r="L3340" i="1" s="1"/>
  <c r="H4209" i="1"/>
  <c r="I4209" i="1" s="1"/>
  <c r="J4209" i="1" s="1"/>
  <c r="K4209" i="1" s="1"/>
  <c r="L4209" i="1" s="1"/>
  <c r="H727" i="1"/>
  <c r="I727" i="1" s="1"/>
  <c r="J727" i="1" s="1"/>
  <c r="K727" i="1" s="1"/>
  <c r="L727" i="1" s="1"/>
  <c r="H2157" i="1"/>
  <c r="I2157" i="1" s="1"/>
  <c r="J2157" i="1" s="1"/>
  <c r="K2157" i="1" s="1"/>
  <c r="L2157" i="1" s="1"/>
  <c r="H3471" i="1"/>
  <c r="I3471" i="1" s="1"/>
  <c r="J3471" i="1" s="1"/>
  <c r="K3471" i="1" s="1"/>
  <c r="L3471" i="1" s="1"/>
  <c r="H662" i="1"/>
  <c r="I662" i="1" s="1"/>
  <c r="J662" i="1" s="1"/>
  <c r="K662" i="1" s="1"/>
  <c r="L662" i="1" s="1"/>
  <c r="H5738" i="1"/>
  <c r="I5738" i="1" s="1"/>
  <c r="J5738" i="1" s="1"/>
  <c r="K5738" i="1" s="1"/>
  <c r="L5738" i="1" s="1"/>
  <c r="H4078" i="1"/>
  <c r="I4078" i="1" s="1"/>
  <c r="J4078" i="1" s="1"/>
  <c r="K4078" i="1" s="1"/>
  <c r="L4078" i="1" s="1"/>
  <c r="H1800" i="1"/>
  <c r="I1800" i="1" s="1"/>
  <c r="J1800" i="1" s="1"/>
  <c r="K1800" i="1" s="1"/>
  <c r="L1800" i="1" s="1"/>
  <c r="H4122" i="1"/>
  <c r="I4122" i="1" s="1"/>
  <c r="J4122" i="1" s="1"/>
  <c r="K4122" i="1" s="1"/>
  <c r="L4122" i="1" s="1"/>
  <c r="H4587" i="1"/>
  <c r="I4587" i="1" s="1"/>
  <c r="J4587" i="1" s="1"/>
  <c r="K4587" i="1" s="1"/>
  <c r="L4587" i="1" s="1"/>
  <c r="H459" i="1"/>
  <c r="I459" i="1" s="1"/>
  <c r="J459" i="1" s="1"/>
  <c r="K459" i="1" s="1"/>
  <c r="L459" i="1" s="1"/>
  <c r="H5120" i="1"/>
  <c r="I5120" i="1" s="1"/>
  <c r="J5120" i="1" s="1"/>
  <c r="K5120" i="1" s="1"/>
  <c r="L5120" i="1" s="1"/>
  <c r="H5472" i="1"/>
  <c r="I5472" i="1" s="1"/>
  <c r="J5472" i="1" s="1"/>
  <c r="K5472" i="1" s="1"/>
  <c r="L5472" i="1" s="1"/>
  <c r="H3742" i="1"/>
  <c r="I3742" i="1" s="1"/>
  <c r="J3742" i="1" s="1"/>
  <c r="K3742" i="1" s="1"/>
  <c r="L3742" i="1" s="1"/>
  <c r="H5992" i="1"/>
  <c r="I5992" i="1" s="1"/>
  <c r="J5992" i="1" s="1"/>
  <c r="K5992" i="1" s="1"/>
  <c r="L5992" i="1" s="1"/>
  <c r="H3328" i="1"/>
  <c r="I3328" i="1" s="1"/>
  <c r="J3328" i="1" s="1"/>
  <c r="K3328" i="1" s="1"/>
  <c r="L3328" i="1" s="1"/>
  <c r="H3509" i="1"/>
  <c r="I3509" i="1" s="1"/>
  <c r="J3509" i="1" s="1"/>
  <c r="K3509" i="1" s="1"/>
  <c r="L3509" i="1" s="1"/>
  <c r="H5433" i="1"/>
  <c r="I5433" i="1" s="1"/>
  <c r="J5433" i="1" s="1"/>
  <c r="K5433" i="1" s="1"/>
  <c r="L5433" i="1" s="1"/>
  <c r="H4932" i="1"/>
  <c r="I4932" i="1" s="1"/>
  <c r="J4932" i="1" s="1"/>
  <c r="K4932" i="1" s="1"/>
  <c r="L4932" i="1" s="1"/>
  <c r="H3351" i="1"/>
  <c r="I3351" i="1" s="1"/>
  <c r="J3351" i="1" s="1"/>
  <c r="K3351" i="1" s="1"/>
  <c r="L3351" i="1" s="1"/>
  <c r="H1925" i="1"/>
  <c r="I1925" i="1" s="1"/>
  <c r="J1925" i="1" s="1"/>
  <c r="K1925" i="1" s="1"/>
  <c r="L1925" i="1" s="1"/>
  <c r="H741" i="1"/>
  <c r="I741" i="1" s="1"/>
  <c r="J741" i="1" s="1"/>
  <c r="K741" i="1" s="1"/>
  <c r="L741" i="1" s="1"/>
  <c r="H4340" i="1"/>
  <c r="I4340" i="1" s="1"/>
  <c r="J4340" i="1" s="1"/>
  <c r="K4340" i="1" s="1"/>
  <c r="L4340" i="1" s="1"/>
  <c r="H1308" i="1"/>
  <c r="I1308" i="1" s="1"/>
  <c r="J1308" i="1" s="1"/>
  <c r="K1308" i="1" s="1"/>
  <c r="L1308" i="1" s="1"/>
  <c r="H3912" i="1"/>
  <c r="I3912" i="1" s="1"/>
  <c r="J3912" i="1" s="1"/>
  <c r="K3912" i="1" s="1"/>
  <c r="L3912" i="1" s="1"/>
  <c r="H3185" i="1"/>
  <c r="I3185" i="1" s="1"/>
  <c r="J3185" i="1" s="1"/>
  <c r="K3185" i="1" s="1"/>
  <c r="L3185" i="1" s="1"/>
  <c r="H4383" i="1"/>
  <c r="I4383" i="1" s="1"/>
  <c r="J4383" i="1" s="1"/>
  <c r="K4383" i="1" s="1"/>
  <c r="L4383" i="1" s="1"/>
  <c r="H5981" i="1"/>
  <c r="I5981" i="1" s="1"/>
  <c r="J5981" i="1" s="1"/>
  <c r="K5981" i="1" s="1"/>
  <c r="L5981" i="1" s="1"/>
  <c r="H3566" i="1"/>
  <c r="I3566" i="1" s="1"/>
  <c r="J3566" i="1" s="1"/>
  <c r="K3566" i="1" s="1"/>
  <c r="L3566" i="1" s="1"/>
  <c r="H3947" i="1"/>
  <c r="I3947" i="1" s="1"/>
  <c r="J3947" i="1" s="1"/>
  <c r="K3947" i="1" s="1"/>
  <c r="L3947" i="1" s="1"/>
  <c r="H3839" i="1"/>
  <c r="I3839" i="1" s="1"/>
  <c r="J3839" i="1" s="1"/>
  <c r="K3839" i="1" s="1"/>
  <c r="L3839" i="1" s="1"/>
  <c r="H5066" i="1"/>
  <c r="I5066" i="1" s="1"/>
  <c r="J5066" i="1" s="1"/>
  <c r="K5066" i="1" s="1"/>
  <c r="L5066" i="1" s="1"/>
  <c r="H3408" i="1"/>
  <c r="I3408" i="1" s="1"/>
  <c r="J3408" i="1" s="1"/>
  <c r="K3408" i="1" s="1"/>
  <c r="L3408" i="1" s="1"/>
  <c r="H5996" i="1"/>
  <c r="I5996" i="1" s="1"/>
  <c r="J5996" i="1" s="1"/>
  <c r="K5996" i="1" s="1"/>
  <c r="L5996" i="1" s="1"/>
  <c r="H2951" i="1"/>
  <c r="I2951" i="1" s="1"/>
  <c r="J2951" i="1" s="1"/>
  <c r="K2951" i="1" s="1"/>
  <c r="L2951" i="1" s="1"/>
  <c r="H3476" i="1"/>
  <c r="I3476" i="1" s="1"/>
  <c r="J3476" i="1" s="1"/>
  <c r="K3476" i="1" s="1"/>
  <c r="L3476" i="1" s="1"/>
  <c r="H1816" i="1"/>
  <c r="I1816" i="1" s="1"/>
  <c r="J1816" i="1" s="1"/>
  <c r="K1816" i="1" s="1"/>
  <c r="L1816" i="1" s="1"/>
  <c r="H5997" i="1"/>
  <c r="I5997" i="1" s="1"/>
  <c r="J5997" i="1" s="1"/>
  <c r="K5997" i="1" s="1"/>
  <c r="L5997" i="1" s="1"/>
  <c r="H454" i="1"/>
  <c r="I454" i="1" s="1"/>
  <c r="J454" i="1" s="1"/>
  <c r="K454" i="1" s="1"/>
  <c r="L454" i="1" s="1"/>
  <c r="H1575" i="1"/>
  <c r="I1575" i="1" s="1"/>
  <c r="J1575" i="1" s="1"/>
  <c r="K1575" i="1" s="1"/>
  <c r="L1575" i="1" s="1"/>
  <c r="H4893" i="1"/>
  <c r="I4893" i="1" s="1"/>
  <c r="J4893" i="1" s="1"/>
  <c r="K4893" i="1" s="1"/>
  <c r="L4893" i="1" s="1"/>
  <c r="H3735" i="1"/>
  <c r="I3735" i="1" s="1"/>
  <c r="J3735" i="1" s="1"/>
  <c r="K3735" i="1" s="1"/>
  <c r="L3735" i="1" s="1"/>
  <c r="H4573" i="1"/>
  <c r="I4573" i="1" s="1"/>
  <c r="J4573" i="1" s="1"/>
  <c r="K4573" i="1" s="1"/>
  <c r="L4573" i="1" s="1"/>
  <c r="H4148" i="1"/>
  <c r="I4148" i="1" s="1"/>
  <c r="J4148" i="1" s="1"/>
  <c r="K4148" i="1" s="1"/>
  <c r="L4148" i="1" s="1"/>
  <c r="H3943" i="1"/>
  <c r="I3943" i="1" s="1"/>
  <c r="J3943" i="1" s="1"/>
  <c r="K3943" i="1" s="1"/>
  <c r="L3943" i="1" s="1"/>
  <c r="H2162" i="1"/>
  <c r="I2162" i="1" s="1"/>
  <c r="J2162" i="1" s="1"/>
  <c r="K2162" i="1" s="1"/>
  <c r="L2162" i="1" s="1"/>
  <c r="H4745" i="1"/>
  <c r="I4745" i="1" s="1"/>
  <c r="J4745" i="1" s="1"/>
  <c r="K4745" i="1" s="1"/>
  <c r="L4745" i="1" s="1"/>
  <c r="H921" i="1"/>
  <c r="I921" i="1" s="1"/>
  <c r="J921" i="1" s="1"/>
  <c r="K921" i="1" s="1"/>
  <c r="L921" i="1" s="1"/>
  <c r="H3290" i="1"/>
  <c r="I3290" i="1" s="1"/>
  <c r="J3290" i="1" s="1"/>
  <c r="K3290" i="1" s="1"/>
  <c r="L3290" i="1" s="1"/>
  <c r="H4508" i="1"/>
  <c r="I4508" i="1" s="1"/>
  <c r="J4508" i="1" s="1"/>
  <c r="K4508" i="1" s="1"/>
  <c r="L4508" i="1" s="1"/>
  <c r="H5564" i="1"/>
  <c r="I5564" i="1" s="1"/>
  <c r="J5564" i="1" s="1"/>
  <c r="K5564" i="1" s="1"/>
  <c r="L5564" i="1" s="1"/>
  <c r="H4149" i="1"/>
  <c r="I4149" i="1" s="1"/>
  <c r="J4149" i="1" s="1"/>
  <c r="K4149" i="1" s="1"/>
  <c r="L4149" i="1" s="1"/>
  <c r="H795" i="1"/>
  <c r="I795" i="1" s="1"/>
  <c r="J795" i="1" s="1"/>
  <c r="K795" i="1" s="1"/>
  <c r="L795" i="1" s="1"/>
  <c r="H1432" i="1"/>
  <c r="I1432" i="1" s="1"/>
  <c r="J1432" i="1" s="1"/>
  <c r="K1432" i="1" s="1"/>
  <c r="L1432" i="1" s="1"/>
  <c r="H661" i="1"/>
  <c r="I661" i="1" s="1"/>
  <c r="J661" i="1" s="1"/>
  <c r="K661" i="1" s="1"/>
  <c r="L661" i="1" s="1"/>
  <c r="H1901" i="1"/>
  <c r="I1901" i="1" s="1"/>
  <c r="J1901" i="1" s="1"/>
  <c r="K1901" i="1" s="1"/>
  <c r="L1901" i="1" s="1"/>
  <c r="H5551" i="1"/>
  <c r="I5551" i="1" s="1"/>
  <c r="J5551" i="1" s="1"/>
  <c r="K5551" i="1" s="1"/>
  <c r="L5551" i="1" s="1"/>
  <c r="H1232" i="1"/>
  <c r="I1232" i="1" s="1"/>
  <c r="J1232" i="1" s="1"/>
  <c r="K1232" i="1" s="1"/>
  <c r="L1232" i="1" s="1"/>
  <c r="H5983" i="1"/>
  <c r="I5983" i="1" s="1"/>
  <c r="J5983" i="1" s="1"/>
  <c r="K5983" i="1" s="1"/>
  <c r="L5983" i="1" s="1"/>
  <c r="H1557" i="1"/>
  <c r="I1557" i="1" s="1"/>
  <c r="J1557" i="1" s="1"/>
  <c r="K1557" i="1" s="1"/>
  <c r="L1557" i="1" s="1"/>
  <c r="H4856" i="1"/>
  <c r="I4856" i="1" s="1"/>
  <c r="J4856" i="1" s="1"/>
  <c r="K4856" i="1" s="1"/>
  <c r="L4856" i="1" s="1"/>
  <c r="H298" i="1"/>
  <c r="I298" i="1" s="1"/>
  <c r="H2970" i="1"/>
  <c r="I2970" i="1" s="1"/>
  <c r="J2970" i="1" s="1"/>
  <c r="K2970" i="1" s="1"/>
  <c r="L2970" i="1" s="1"/>
  <c r="H3443" i="1"/>
  <c r="I3443" i="1" s="1"/>
  <c r="J3443" i="1" s="1"/>
  <c r="K3443" i="1" s="1"/>
  <c r="L3443" i="1" s="1"/>
  <c r="H5279" i="1"/>
  <c r="I5279" i="1" s="1"/>
  <c r="J5279" i="1" s="1"/>
  <c r="K5279" i="1" s="1"/>
  <c r="L5279" i="1" s="1"/>
  <c r="H1449" i="1"/>
  <c r="I1449" i="1" s="1"/>
  <c r="J1449" i="1" s="1"/>
  <c r="K1449" i="1" s="1"/>
  <c r="L1449" i="1" s="1"/>
  <c r="H582" i="1"/>
  <c r="I582" i="1" s="1"/>
  <c r="J582" i="1" s="1"/>
  <c r="K582" i="1" s="1"/>
  <c r="L582" i="1" s="1"/>
  <c r="H3209" i="1"/>
  <c r="I3209" i="1" s="1"/>
  <c r="J3209" i="1" s="1"/>
  <c r="K3209" i="1" s="1"/>
  <c r="L3209" i="1" s="1"/>
  <c r="H3107" i="1"/>
  <c r="I3107" i="1" s="1"/>
  <c r="J3107" i="1" s="1"/>
  <c r="K3107" i="1" s="1"/>
  <c r="L3107" i="1" s="1"/>
  <c r="H3083" i="1"/>
  <c r="I3083" i="1" s="1"/>
  <c r="J3083" i="1" s="1"/>
  <c r="H3902" i="1"/>
  <c r="I3902" i="1" s="1"/>
  <c r="J3902" i="1" s="1"/>
  <c r="K3902" i="1" s="1"/>
  <c r="L3902" i="1" s="1"/>
  <c r="H5740" i="1"/>
  <c r="I5740" i="1" s="1"/>
  <c r="J5740" i="1" s="1"/>
  <c r="K5740" i="1" s="1"/>
  <c r="L5740" i="1" s="1"/>
  <c r="H5833" i="1"/>
  <c r="I5833" i="1" s="1"/>
  <c r="J5833" i="1" s="1"/>
  <c r="K5833" i="1" s="1"/>
  <c r="L5833" i="1" s="1"/>
  <c r="H5019" i="1"/>
  <c r="I5019" i="1" s="1"/>
  <c r="J5019" i="1" s="1"/>
  <c r="K5019" i="1" s="1"/>
  <c r="L5019" i="1" s="1"/>
  <c r="H5196" i="1"/>
  <c r="I5196" i="1" s="1"/>
  <c r="J5196" i="1" s="1"/>
  <c r="K5196" i="1" s="1"/>
  <c r="L5196" i="1" s="1"/>
  <c r="H4545" i="1"/>
  <c r="I4545" i="1" s="1"/>
  <c r="J4545" i="1" s="1"/>
  <c r="K4545" i="1" s="1"/>
  <c r="L4545" i="1" s="1"/>
  <c r="H1974" i="1"/>
  <c r="I1974" i="1" s="1"/>
  <c r="J1974" i="1" s="1"/>
  <c r="K1974" i="1" s="1"/>
  <c r="L1974" i="1" s="1"/>
  <c r="H1370" i="1"/>
  <c r="I1370" i="1" s="1"/>
  <c r="J1370" i="1" s="1"/>
  <c r="K1370" i="1" s="1"/>
  <c r="L1370" i="1" s="1"/>
  <c r="H2735" i="1"/>
  <c r="I2735" i="1" s="1"/>
  <c r="J2735" i="1" s="1"/>
  <c r="K2735" i="1" s="1"/>
  <c r="L2735" i="1" s="1"/>
  <c r="H5940" i="1"/>
  <c r="I5940" i="1" s="1"/>
  <c r="J5940" i="1" s="1"/>
  <c r="K5940" i="1" s="1"/>
  <c r="L5940" i="1" s="1"/>
  <c r="H5490" i="1"/>
  <c r="I5490" i="1" s="1"/>
  <c r="J5490" i="1" s="1"/>
  <c r="K5490" i="1" s="1"/>
  <c r="L5490" i="1" s="1"/>
  <c r="H4626" i="1"/>
  <c r="I4626" i="1" s="1"/>
  <c r="J4626" i="1" s="1"/>
  <c r="K4626" i="1" s="1"/>
  <c r="L4626" i="1" s="1"/>
  <c r="H3501" i="1"/>
  <c r="I3501" i="1" s="1"/>
  <c r="J3501" i="1" s="1"/>
  <c r="K3501" i="1" s="1"/>
  <c r="L3501" i="1" s="1"/>
  <c r="H2609" i="1"/>
  <c r="I2609" i="1" s="1"/>
  <c r="J2609" i="1" s="1"/>
  <c r="K2609" i="1" s="1"/>
  <c r="L2609" i="1" s="1"/>
  <c r="H3776" i="1"/>
  <c r="I3776" i="1" s="1"/>
  <c r="J3776" i="1" s="1"/>
  <c r="K3776" i="1" s="1"/>
  <c r="L3776" i="1" s="1"/>
  <c r="H4457" i="1"/>
  <c r="I4457" i="1" s="1"/>
  <c r="J4457" i="1" s="1"/>
  <c r="H2377" i="1"/>
  <c r="I2377" i="1" s="1"/>
  <c r="J2377" i="1" s="1"/>
  <c r="K2377" i="1" s="1"/>
  <c r="L2377" i="1" s="1"/>
  <c r="H3605" i="1"/>
  <c r="I3605" i="1" s="1"/>
  <c r="J3605" i="1" s="1"/>
  <c r="K3605" i="1" s="1"/>
  <c r="L3605" i="1" s="1"/>
  <c r="H3280" i="1"/>
  <c r="I3280" i="1" s="1"/>
  <c r="J3280" i="1" s="1"/>
  <c r="K3280" i="1" s="1"/>
  <c r="L3280" i="1" s="1"/>
  <c r="H1991" i="1"/>
  <c r="I1991" i="1" s="1"/>
  <c r="J1991" i="1" s="1"/>
  <c r="K1991" i="1" s="1"/>
  <c r="L1991" i="1" s="1"/>
  <c r="H5391" i="1"/>
  <c r="I5391" i="1" s="1"/>
  <c r="J5391" i="1" s="1"/>
  <c r="K5391" i="1" s="1"/>
  <c r="L5391" i="1" s="1"/>
  <c r="H3418" i="1"/>
  <c r="I3418" i="1" s="1"/>
  <c r="J3418" i="1" s="1"/>
  <c r="K3418" i="1" s="1"/>
  <c r="L3418" i="1" s="1"/>
  <c r="H1605" i="1"/>
  <c r="I1605" i="1" s="1"/>
  <c r="J1605" i="1" s="1"/>
  <c r="K1605" i="1" s="1"/>
  <c r="L1605" i="1" s="1"/>
  <c r="H1704" i="1"/>
  <c r="I1704" i="1" s="1"/>
  <c r="J1704" i="1" s="1"/>
  <c r="K1704" i="1" s="1"/>
  <c r="L1704" i="1" s="1"/>
  <c r="H2825" i="1"/>
  <c r="I2825" i="1" s="1"/>
  <c r="J2825" i="1" s="1"/>
  <c r="K2825" i="1" s="1"/>
  <c r="L2825" i="1" s="1"/>
  <c r="H2949" i="1"/>
  <c r="I2949" i="1" s="1"/>
  <c r="J2949" i="1" s="1"/>
  <c r="K2949" i="1" s="1"/>
  <c r="L2949" i="1" s="1"/>
  <c r="H5475" i="1"/>
  <c r="I5475" i="1" s="1"/>
  <c r="J5475" i="1" s="1"/>
  <c r="K5475" i="1" s="1"/>
  <c r="L5475" i="1" s="1"/>
  <c r="H4920" i="1"/>
  <c r="I4920" i="1" s="1"/>
  <c r="J4920" i="1" s="1"/>
  <c r="K4920" i="1" s="1"/>
  <c r="L4920" i="1" s="1"/>
  <c r="H4029" i="1"/>
  <c r="I4029" i="1" s="1"/>
  <c r="J4029" i="1" s="1"/>
  <c r="K4029" i="1" s="1"/>
  <c r="L4029" i="1" s="1"/>
  <c r="H3299" i="1"/>
  <c r="I3299" i="1" s="1"/>
  <c r="J3299" i="1" s="1"/>
  <c r="K3299" i="1" s="1"/>
  <c r="L3299" i="1" s="1"/>
  <c r="H1316" i="1"/>
  <c r="I1316" i="1" s="1"/>
  <c r="J1316" i="1" s="1"/>
  <c r="K1316" i="1" s="1"/>
  <c r="L1316" i="1" s="1"/>
  <c r="H4572" i="1"/>
  <c r="I4572" i="1" s="1"/>
  <c r="J4572" i="1" s="1"/>
  <c r="K4572" i="1" s="1"/>
  <c r="L4572" i="1" s="1"/>
  <c r="H3082" i="1"/>
  <c r="I3082" i="1" s="1"/>
  <c r="J3082" i="1" s="1"/>
  <c r="K3082" i="1" s="1"/>
  <c r="L3082" i="1" s="1"/>
  <c r="H4298" i="1"/>
  <c r="I4298" i="1" s="1"/>
  <c r="J4298" i="1" s="1"/>
  <c r="K4298" i="1" s="1"/>
  <c r="L4298" i="1" s="1"/>
  <c r="H3530" i="1"/>
  <c r="I3530" i="1" s="1"/>
  <c r="J3530" i="1" s="1"/>
  <c r="K3530" i="1" s="1"/>
  <c r="L3530" i="1" s="1"/>
  <c r="H3954" i="1"/>
  <c r="I3954" i="1" s="1"/>
  <c r="J3954" i="1" s="1"/>
  <c r="K3954" i="1" s="1"/>
  <c r="L3954" i="1" s="1"/>
  <c r="H5198" i="1"/>
  <c r="I5198" i="1" s="1"/>
  <c r="J5198" i="1" s="1"/>
  <c r="K5198" i="1" s="1"/>
  <c r="L5198" i="1" s="1"/>
  <c r="H2145" i="1"/>
  <c r="I2145" i="1" s="1"/>
  <c r="J2145" i="1" s="1"/>
  <c r="K2145" i="1" s="1"/>
  <c r="L2145" i="1" s="1"/>
  <c r="H1638" i="1"/>
  <c r="I1638" i="1" s="1"/>
  <c r="J1638" i="1" s="1"/>
  <c r="K1638" i="1" s="1"/>
  <c r="L1638" i="1" s="1"/>
  <c r="H4371" i="1"/>
  <c r="I4371" i="1" s="1"/>
  <c r="J4371" i="1" s="1"/>
  <c r="K4371" i="1" s="1"/>
  <c r="L4371" i="1" s="1"/>
  <c r="H1847" i="1"/>
  <c r="I1847" i="1" s="1"/>
  <c r="J1847" i="1" s="1"/>
  <c r="K1847" i="1" s="1"/>
  <c r="L1847" i="1" s="1"/>
  <c r="H5043" i="1"/>
  <c r="I5043" i="1" s="1"/>
  <c r="J5043" i="1" s="1"/>
  <c r="K5043" i="1" s="1"/>
  <c r="L5043" i="1" s="1"/>
  <c r="H4300" i="1"/>
  <c r="I4300" i="1" s="1"/>
  <c r="J4300" i="1" s="1"/>
  <c r="K4300" i="1" s="1"/>
  <c r="L4300" i="1" s="1"/>
  <c r="H3986" i="1"/>
  <c r="I3986" i="1" s="1"/>
  <c r="J3986" i="1" s="1"/>
  <c r="K3986" i="1" s="1"/>
  <c r="L3986" i="1" s="1"/>
  <c r="H3365" i="1"/>
  <c r="I3365" i="1" s="1"/>
  <c r="J3365" i="1" s="1"/>
  <c r="K3365" i="1" s="1"/>
  <c r="L3365" i="1" s="1"/>
  <c r="H1329" i="1"/>
  <c r="I1329" i="1" s="1"/>
  <c r="J1329" i="1" s="1"/>
  <c r="K1329" i="1" s="1"/>
  <c r="L1329" i="1" s="1"/>
  <c r="H5657" i="1"/>
  <c r="I5657" i="1" s="1"/>
  <c r="J5657" i="1" s="1"/>
  <c r="K5657" i="1" s="1"/>
  <c r="L5657" i="1" s="1"/>
  <c r="H1622" i="1"/>
  <c r="I1622" i="1" s="1"/>
  <c r="J1622" i="1" s="1"/>
  <c r="K1622" i="1" s="1"/>
  <c r="L1622" i="1" s="1"/>
  <c r="H2212" i="1"/>
  <c r="I2212" i="1" s="1"/>
  <c r="J2212" i="1" s="1"/>
  <c r="K2212" i="1" s="1"/>
  <c r="L2212" i="1" s="1"/>
  <c r="H2033" i="1"/>
  <c r="I2033" i="1" s="1"/>
  <c r="J2033" i="1" s="1"/>
  <c r="K2033" i="1" s="1"/>
  <c r="L2033" i="1" s="1"/>
  <c r="H887" i="1"/>
  <c r="I887" i="1" s="1"/>
  <c r="J887" i="1" s="1"/>
  <c r="K887" i="1" s="1"/>
  <c r="L887" i="1" s="1"/>
  <c r="H4548" i="1"/>
  <c r="I4548" i="1" s="1"/>
  <c r="J4548" i="1" s="1"/>
  <c r="K4548" i="1" s="1"/>
  <c r="L4548" i="1" s="1"/>
  <c r="H1923" i="1"/>
  <c r="I1923" i="1" s="1"/>
  <c r="J1923" i="1" s="1"/>
  <c r="K1923" i="1" s="1"/>
  <c r="L1923" i="1" s="1"/>
  <c r="H3817" i="1"/>
  <c r="I3817" i="1" s="1"/>
  <c r="J3817" i="1" s="1"/>
  <c r="K3817" i="1" s="1"/>
  <c r="L3817" i="1" s="1"/>
  <c r="H981" i="1"/>
  <c r="I981" i="1" s="1"/>
  <c r="J981" i="1" s="1"/>
  <c r="K981" i="1" s="1"/>
  <c r="L981" i="1" s="1"/>
  <c r="H4914" i="1"/>
  <c r="I4914" i="1" s="1"/>
  <c r="J4914" i="1" s="1"/>
  <c r="K4914" i="1" s="1"/>
  <c r="L4914" i="1" s="1"/>
  <c r="H4231" i="1"/>
  <c r="I4231" i="1" s="1"/>
  <c r="J4231" i="1" s="1"/>
  <c r="K4231" i="1" s="1"/>
  <c r="L4231" i="1" s="1"/>
  <c r="H5586" i="1"/>
  <c r="I5586" i="1" s="1"/>
  <c r="J5586" i="1" s="1"/>
  <c r="K5586" i="1" s="1"/>
  <c r="L5586" i="1" s="1"/>
  <c r="H5474" i="1"/>
  <c r="I5474" i="1" s="1"/>
  <c r="J5474" i="1" s="1"/>
  <c r="K5474" i="1" s="1"/>
  <c r="L5474" i="1" s="1"/>
  <c r="H2365" i="1"/>
  <c r="I2365" i="1" s="1"/>
  <c r="J2365" i="1" s="1"/>
  <c r="K2365" i="1" s="1"/>
  <c r="L2365" i="1" s="1"/>
  <c r="H4138" i="1"/>
  <c r="I4138" i="1" s="1"/>
  <c r="J4138" i="1" s="1"/>
  <c r="K4138" i="1" s="1"/>
  <c r="L4138" i="1" s="1"/>
  <c r="H4063" i="1"/>
  <c r="I4063" i="1" s="1"/>
  <c r="J4063" i="1" s="1"/>
  <c r="K4063" i="1" s="1"/>
  <c r="L4063" i="1" s="1"/>
  <c r="H5974" i="1"/>
  <c r="I5974" i="1" s="1"/>
  <c r="J5974" i="1" s="1"/>
  <c r="K5974" i="1" s="1"/>
  <c r="L5974" i="1" s="1"/>
  <c r="H1949" i="1"/>
  <c r="I1949" i="1" s="1"/>
  <c r="J1949" i="1" s="1"/>
  <c r="K1949" i="1" s="1"/>
  <c r="L1949" i="1" s="1"/>
  <c r="H4871" i="1"/>
  <c r="I4871" i="1" s="1"/>
  <c r="J4871" i="1" s="1"/>
  <c r="K4871" i="1" s="1"/>
  <c r="L4871" i="1" s="1"/>
  <c r="H5669" i="1"/>
  <c r="I5669" i="1" s="1"/>
  <c r="J5669" i="1" s="1"/>
  <c r="K5669" i="1" s="1"/>
  <c r="L5669" i="1" s="1"/>
  <c r="H5287" i="1"/>
  <c r="I5287" i="1" s="1"/>
  <c r="J5287" i="1" s="1"/>
  <c r="K5287" i="1" s="1"/>
  <c r="L5287" i="1" s="1"/>
  <c r="H3513" i="1"/>
  <c r="I3513" i="1" s="1"/>
  <c r="J3513" i="1" s="1"/>
  <c r="K3513" i="1" s="1"/>
  <c r="L3513" i="1" s="1"/>
  <c r="H2670" i="1"/>
  <c r="I2670" i="1" s="1"/>
  <c r="J2670" i="1" s="1"/>
  <c r="K2670" i="1" s="1"/>
  <c r="L2670" i="1" s="1"/>
  <c r="H621" i="1"/>
  <c r="I621" i="1" s="1"/>
  <c r="J621" i="1" s="1"/>
  <c r="K621" i="1" s="1"/>
  <c r="L621" i="1" s="1"/>
  <c r="H2457" i="1"/>
  <c r="I2457" i="1" s="1"/>
  <c r="J2457" i="1" s="1"/>
  <c r="K2457" i="1" s="1"/>
  <c r="L2457" i="1" s="1"/>
  <c r="H3706" i="1"/>
  <c r="I3706" i="1" s="1"/>
  <c r="J3706" i="1" s="1"/>
  <c r="K3706" i="1" s="1"/>
  <c r="L3706" i="1" s="1"/>
  <c r="H4201" i="1"/>
  <c r="I4201" i="1" s="1"/>
  <c r="J4201" i="1" s="1"/>
  <c r="K4201" i="1" s="1"/>
  <c r="L4201" i="1" s="1"/>
  <c r="H2603" i="1"/>
  <c r="I2603" i="1" s="1"/>
  <c r="J2603" i="1" s="1"/>
  <c r="K2603" i="1" s="1"/>
  <c r="L2603" i="1" s="1"/>
  <c r="H3073" i="1"/>
  <c r="I3073" i="1" s="1"/>
  <c r="J3073" i="1" s="1"/>
  <c r="K3073" i="1" s="1"/>
  <c r="L3073" i="1" s="1"/>
  <c r="H5261" i="1"/>
  <c r="I5261" i="1" s="1"/>
  <c r="J5261" i="1" s="1"/>
  <c r="K5261" i="1" s="1"/>
  <c r="L5261" i="1" s="1"/>
  <c r="H5099" i="1"/>
  <c r="I5099" i="1" s="1"/>
  <c r="J5099" i="1" s="1"/>
  <c r="K5099" i="1" s="1"/>
  <c r="L5099" i="1" s="1"/>
  <c r="H4641" i="1"/>
  <c r="I4641" i="1" s="1"/>
  <c r="J4641" i="1" s="1"/>
  <c r="K4641" i="1" s="1"/>
  <c r="L4641" i="1" s="1"/>
  <c r="H4272" i="1"/>
  <c r="I4272" i="1" s="1"/>
  <c r="J4272" i="1" s="1"/>
  <c r="K4272" i="1" s="1"/>
  <c r="L4272" i="1" s="1"/>
  <c r="H5358" i="1"/>
  <c r="I5358" i="1" s="1"/>
  <c r="J5358" i="1" s="1"/>
  <c r="K5358" i="1" s="1"/>
  <c r="L5358" i="1" s="1"/>
  <c r="H5845" i="1"/>
  <c r="I5845" i="1" s="1"/>
  <c r="J5845" i="1" s="1"/>
  <c r="K5845" i="1" s="1"/>
  <c r="L5845" i="1" s="1"/>
  <c r="H5059" i="1"/>
  <c r="I5059" i="1" s="1"/>
  <c r="J5059" i="1" s="1"/>
  <c r="K5059" i="1" s="1"/>
  <c r="L5059" i="1" s="1"/>
  <c r="H609" i="1"/>
  <c r="I609" i="1" s="1"/>
  <c r="J609" i="1" s="1"/>
  <c r="K609" i="1" s="1"/>
  <c r="L609" i="1" s="1"/>
  <c r="H3236" i="1"/>
  <c r="I3236" i="1" s="1"/>
  <c r="J3236" i="1" s="1"/>
  <c r="K3236" i="1" s="1"/>
  <c r="L3236" i="1" s="1"/>
  <c r="H3560" i="1"/>
  <c r="I3560" i="1" s="1"/>
  <c r="J3560" i="1" s="1"/>
  <c r="K3560" i="1" s="1"/>
  <c r="L3560" i="1" s="1"/>
  <c r="H5991" i="1"/>
  <c r="I5991" i="1" s="1"/>
  <c r="J5991" i="1" s="1"/>
  <c r="K5991" i="1" s="1"/>
  <c r="L5991" i="1" s="1"/>
  <c r="H5365" i="1"/>
  <c r="I5365" i="1" s="1"/>
  <c r="J5365" i="1" s="1"/>
  <c r="K5365" i="1" s="1"/>
  <c r="L5365" i="1" s="1"/>
  <c r="H767" i="1"/>
  <c r="I767" i="1" s="1"/>
  <c r="J767" i="1" s="1"/>
  <c r="K767" i="1" s="1"/>
  <c r="L767" i="1" s="1"/>
  <c r="H2520" i="1"/>
  <c r="I2520" i="1" s="1"/>
  <c r="J2520" i="1" s="1"/>
  <c r="K2520" i="1" s="1"/>
  <c r="L2520" i="1" s="1"/>
  <c r="H569" i="1"/>
  <c r="I569" i="1" s="1"/>
  <c r="J569" i="1" s="1"/>
  <c r="K569" i="1" s="1"/>
  <c r="L569" i="1" s="1"/>
  <c r="H1093" i="1"/>
  <c r="I1093" i="1" s="1"/>
  <c r="J1093" i="1" s="1"/>
  <c r="K1093" i="1" s="1"/>
  <c r="L1093" i="1" s="1"/>
  <c r="H1261" i="1"/>
  <c r="I1261" i="1" s="1"/>
  <c r="J1261" i="1" s="1"/>
  <c r="K1261" i="1" s="1"/>
  <c r="L1261" i="1" s="1"/>
  <c r="H2273" i="1"/>
  <c r="I2273" i="1" s="1"/>
  <c r="J2273" i="1" s="1"/>
  <c r="K2273" i="1" s="1"/>
  <c r="L2273" i="1" s="1"/>
  <c r="H3651" i="1"/>
  <c r="I3651" i="1" s="1"/>
  <c r="J3651" i="1" s="1"/>
  <c r="K3651" i="1" s="1"/>
  <c r="L3651" i="1" s="1"/>
  <c r="H5838" i="1"/>
  <c r="I5838" i="1" s="1"/>
  <c r="J5838" i="1" s="1"/>
  <c r="K5838" i="1" s="1"/>
  <c r="L5838" i="1" s="1"/>
  <c r="H4675" i="1"/>
  <c r="I4675" i="1" s="1"/>
  <c r="J4675" i="1" s="1"/>
  <c r="K4675" i="1" s="1"/>
  <c r="L4675" i="1" s="1"/>
  <c r="H2713" i="1"/>
  <c r="I2713" i="1" s="1"/>
  <c r="J2713" i="1" s="1"/>
  <c r="K2713" i="1" s="1"/>
  <c r="L2713" i="1" s="1"/>
  <c r="H4579" i="1"/>
  <c r="I4579" i="1" s="1"/>
  <c r="J4579" i="1" s="1"/>
  <c r="K4579" i="1" s="1"/>
  <c r="L4579" i="1" s="1"/>
  <c r="H834" i="1"/>
  <c r="I834" i="1" s="1"/>
  <c r="J834" i="1" s="1"/>
  <c r="K834" i="1" s="1"/>
  <c r="L834" i="1" s="1"/>
  <c r="H5890" i="1"/>
  <c r="I5890" i="1" s="1"/>
  <c r="J5890" i="1" s="1"/>
  <c r="K5890" i="1" s="1"/>
  <c r="L5890" i="1" s="1"/>
  <c r="H3982" i="1"/>
  <c r="I3982" i="1" s="1"/>
  <c r="J3982" i="1" s="1"/>
  <c r="K3982" i="1" s="1"/>
  <c r="L3982" i="1" s="1"/>
  <c r="H5022" i="1"/>
  <c r="I5022" i="1" s="1"/>
  <c r="J5022" i="1" s="1"/>
  <c r="K5022" i="1" s="1"/>
  <c r="L5022" i="1" s="1"/>
  <c r="H2034" i="1"/>
  <c r="I2034" i="1" s="1"/>
  <c r="J2034" i="1" s="1"/>
  <c r="K2034" i="1" s="1"/>
  <c r="L2034" i="1" s="1"/>
  <c r="H2109" i="1"/>
  <c r="I2109" i="1" s="1"/>
  <c r="J2109" i="1" s="1"/>
  <c r="K2109" i="1" s="1"/>
  <c r="L2109" i="1" s="1"/>
  <c r="H5654" i="1"/>
  <c r="I5654" i="1" s="1"/>
  <c r="J5654" i="1" s="1"/>
  <c r="K5654" i="1" s="1"/>
  <c r="L5654" i="1" s="1"/>
  <c r="H3472" i="1"/>
  <c r="I3472" i="1" s="1"/>
  <c r="J3472" i="1" s="1"/>
  <c r="K3472" i="1" s="1"/>
  <c r="L3472" i="1" s="1"/>
  <c r="H4296" i="1"/>
  <c r="I4296" i="1" s="1"/>
  <c r="J4296" i="1" s="1"/>
  <c r="K4296" i="1" s="1"/>
  <c r="L4296" i="1" s="1"/>
  <c r="H2920" i="1"/>
  <c r="I2920" i="1" s="1"/>
  <c r="J2920" i="1" s="1"/>
  <c r="K2920" i="1" s="1"/>
  <c r="L2920" i="1" s="1"/>
  <c r="H2343" i="1"/>
  <c r="I2343" i="1" s="1"/>
  <c r="J2343" i="1" s="1"/>
  <c r="K2343" i="1" s="1"/>
  <c r="L2343" i="1" s="1"/>
  <c r="H5919" i="1"/>
  <c r="I5919" i="1" s="1"/>
  <c r="J5919" i="1" s="1"/>
  <c r="K5919" i="1" s="1"/>
  <c r="L5919" i="1" s="1"/>
  <c r="H4760" i="1"/>
  <c r="I4760" i="1" s="1"/>
  <c r="J4760" i="1" s="1"/>
  <c r="K4760" i="1" s="1"/>
  <c r="L4760" i="1" s="1"/>
  <c r="H4502" i="1"/>
  <c r="I4502" i="1" s="1"/>
  <c r="J4502" i="1" s="1"/>
  <c r="K4502" i="1" s="1"/>
  <c r="L4502" i="1" s="1"/>
  <c r="H4742" i="1"/>
  <c r="I4742" i="1" s="1"/>
  <c r="J4742" i="1" s="1"/>
  <c r="K4742" i="1" s="1"/>
  <c r="L4742" i="1" s="1"/>
  <c r="H1984" i="1"/>
  <c r="I1984" i="1" s="1"/>
  <c r="J1984" i="1" s="1"/>
  <c r="K1984" i="1" s="1"/>
  <c r="L1984" i="1" s="1"/>
  <c r="H2234" i="1"/>
  <c r="I2234" i="1" s="1"/>
  <c r="J2234" i="1" s="1"/>
  <c r="K2234" i="1" s="1"/>
  <c r="L2234" i="1" s="1"/>
  <c r="H4115" i="1"/>
  <c r="I4115" i="1" s="1"/>
  <c r="J4115" i="1" s="1"/>
  <c r="K4115" i="1" s="1"/>
  <c r="L4115" i="1" s="1"/>
  <c r="H720" i="1"/>
  <c r="I720" i="1" s="1"/>
  <c r="J720" i="1" s="1"/>
  <c r="K720" i="1" s="1"/>
  <c r="L720" i="1" s="1"/>
  <c r="H2925" i="1"/>
  <c r="I2925" i="1" s="1"/>
  <c r="J2925" i="1" s="1"/>
  <c r="K2925" i="1" s="1"/>
  <c r="L2925" i="1" s="1"/>
  <c r="H3210" i="1"/>
  <c r="I3210" i="1" s="1"/>
  <c r="J3210" i="1" s="1"/>
  <c r="K3210" i="1" s="1"/>
  <c r="L3210" i="1" s="1"/>
  <c r="H852" i="1"/>
  <c r="I852" i="1" s="1"/>
  <c r="J852" i="1" s="1"/>
  <c r="K852" i="1" s="1"/>
  <c r="L852" i="1" s="1"/>
  <c r="H3668" i="1"/>
  <c r="I3668" i="1" s="1"/>
  <c r="J3668" i="1" s="1"/>
  <c r="K3668" i="1" s="1"/>
  <c r="L3668" i="1" s="1"/>
  <c r="H5835" i="1"/>
  <c r="I5835" i="1" s="1"/>
  <c r="J5835" i="1" s="1"/>
  <c r="K5835" i="1" s="1"/>
  <c r="L5835" i="1" s="1"/>
  <c r="H3583" i="1"/>
  <c r="I3583" i="1" s="1"/>
  <c r="J3583" i="1" s="1"/>
  <c r="K3583" i="1" s="1"/>
  <c r="L3583" i="1" s="1"/>
  <c r="H5680" i="1"/>
  <c r="I5680" i="1" s="1"/>
  <c r="J5680" i="1" s="1"/>
  <c r="K5680" i="1" s="1"/>
  <c r="L5680" i="1" s="1"/>
  <c r="H5701" i="1"/>
  <c r="I5701" i="1" s="1"/>
  <c r="J5701" i="1" s="1"/>
  <c r="K5701" i="1" s="1"/>
  <c r="L5701" i="1" s="1"/>
  <c r="H4784" i="1"/>
  <c r="I4784" i="1" s="1"/>
  <c r="J4784" i="1" s="1"/>
  <c r="K4784" i="1" s="1"/>
  <c r="L4784" i="1" s="1"/>
  <c r="H3962" i="1"/>
  <c r="I3962" i="1" s="1"/>
  <c r="J3962" i="1" s="1"/>
  <c r="K3962" i="1" s="1"/>
  <c r="L3962" i="1" s="1"/>
  <c r="H4767" i="1"/>
  <c r="I4767" i="1" s="1"/>
  <c r="J4767" i="1" s="1"/>
  <c r="K4767" i="1" s="1"/>
  <c r="L4767" i="1" s="1"/>
  <c r="H3882" i="1"/>
  <c r="I3882" i="1" s="1"/>
  <c r="J3882" i="1" s="1"/>
  <c r="K3882" i="1" s="1"/>
  <c r="L3882" i="1" s="1"/>
  <c r="H5543" i="1"/>
  <c r="I5543" i="1" s="1"/>
  <c r="J5543" i="1" s="1"/>
  <c r="K5543" i="1" s="1"/>
  <c r="L5543" i="1" s="1"/>
  <c r="H4162" i="1"/>
  <c r="I4162" i="1" s="1"/>
  <c r="J4162" i="1" s="1"/>
  <c r="K4162" i="1" s="1"/>
  <c r="L4162" i="1" s="1"/>
  <c r="H5810" i="1"/>
  <c r="I5810" i="1" s="1"/>
  <c r="J5810" i="1" s="1"/>
  <c r="K5810" i="1" s="1"/>
  <c r="L5810" i="1" s="1"/>
  <c r="H3081" i="1"/>
  <c r="I3081" i="1" s="1"/>
  <c r="J3081" i="1" s="1"/>
  <c r="K3081" i="1" s="1"/>
  <c r="L3081" i="1" s="1"/>
  <c r="H1313" i="1"/>
  <c r="I1313" i="1" s="1"/>
  <c r="J1313" i="1" s="1"/>
  <c r="K1313" i="1" s="1"/>
  <c r="L1313" i="1" s="1"/>
  <c r="H1355" i="1"/>
  <c r="I1355" i="1" s="1"/>
  <c r="J1355" i="1" s="1"/>
  <c r="K1355" i="1" s="1"/>
  <c r="L1355" i="1" s="1"/>
  <c r="H5381" i="1"/>
  <c r="I5381" i="1" s="1"/>
  <c r="J5381" i="1" s="1"/>
  <c r="K5381" i="1" s="1"/>
  <c r="L5381" i="1" s="1"/>
  <c r="H3685" i="1"/>
  <c r="I3685" i="1" s="1"/>
  <c r="J3685" i="1" s="1"/>
  <c r="K3685" i="1" s="1"/>
  <c r="L3685" i="1" s="1"/>
  <c r="H535" i="1"/>
  <c r="I535" i="1" s="1"/>
  <c r="J535" i="1" s="1"/>
  <c r="K535" i="1" s="1"/>
  <c r="L535" i="1" s="1"/>
  <c r="H353" i="1"/>
  <c r="I353" i="1" s="1"/>
  <c r="J353" i="1" s="1"/>
  <c r="K353" i="1" s="1"/>
  <c r="L353" i="1" s="1"/>
  <c r="H1906" i="1"/>
  <c r="I1906" i="1" s="1"/>
  <c r="J1906" i="1" s="1"/>
  <c r="K1906" i="1" s="1"/>
  <c r="L1906" i="1" s="1"/>
  <c r="H4322" i="1"/>
  <c r="I4322" i="1" s="1"/>
  <c r="J4322" i="1" s="1"/>
  <c r="K4322" i="1" s="1"/>
  <c r="L4322" i="1" s="1"/>
  <c r="H1584" i="1"/>
  <c r="I1584" i="1" s="1"/>
  <c r="J1584" i="1" s="1"/>
  <c r="K1584" i="1" s="1"/>
  <c r="L1584" i="1" s="1"/>
  <c r="H1450" i="1"/>
  <c r="I1450" i="1" s="1"/>
  <c r="J1450" i="1" s="1"/>
  <c r="K1450" i="1" s="1"/>
  <c r="L1450" i="1" s="1"/>
  <c r="H1491" i="1"/>
  <c r="I1491" i="1" s="1"/>
  <c r="J1491" i="1" s="1"/>
  <c r="K1491" i="1" s="1"/>
  <c r="L1491" i="1" s="1"/>
  <c r="H3419" i="1"/>
  <c r="I3419" i="1" s="1"/>
  <c r="J3419" i="1" s="1"/>
  <c r="K3419" i="1" s="1"/>
  <c r="L3419" i="1" s="1"/>
  <c r="H4827" i="1"/>
  <c r="I4827" i="1" s="1"/>
  <c r="J4827" i="1" s="1"/>
  <c r="K4827" i="1" s="1"/>
  <c r="L4827" i="1" s="1"/>
  <c r="H440" i="1"/>
  <c r="I440" i="1" s="1"/>
  <c r="J440" i="1" s="1"/>
  <c r="K440" i="1" s="1"/>
  <c r="L440" i="1" s="1"/>
  <c r="H5728" i="1"/>
  <c r="I5728" i="1" s="1"/>
  <c r="J5728" i="1" s="1"/>
  <c r="K5728" i="1" s="1"/>
  <c r="L5728" i="1" s="1"/>
  <c r="H1744" i="1"/>
  <c r="I1744" i="1" s="1"/>
  <c r="J1744" i="1" s="1"/>
  <c r="K1744" i="1" s="1"/>
  <c r="L1744" i="1" s="1"/>
  <c r="H2295" i="1"/>
  <c r="I2295" i="1" s="1"/>
  <c r="J2295" i="1" s="1"/>
  <c r="K2295" i="1" s="1"/>
  <c r="L2295" i="1" s="1"/>
  <c r="H52" i="1"/>
  <c r="I52" i="1" s="1"/>
  <c r="J52" i="1" s="1"/>
  <c r="K52" i="1" s="1"/>
  <c r="L52" i="1" s="1"/>
  <c r="H2796" i="1"/>
  <c r="I2796" i="1" s="1"/>
  <c r="J2796" i="1" s="1"/>
  <c r="K2796" i="1" s="1"/>
  <c r="L2796" i="1" s="1"/>
  <c r="H3416" i="1"/>
  <c r="I3416" i="1" s="1"/>
  <c r="J3416" i="1" s="1"/>
  <c r="K3416" i="1" s="1"/>
  <c r="L3416" i="1" s="1"/>
  <c r="H4334" i="1"/>
  <c r="I4334" i="1" s="1"/>
  <c r="J4334" i="1" s="1"/>
  <c r="K4334" i="1" s="1"/>
  <c r="L4334" i="1" s="1"/>
  <c r="H2463" i="1"/>
  <c r="I2463" i="1" s="1"/>
  <c r="J2463" i="1" s="1"/>
  <c r="K2463" i="1" s="1"/>
  <c r="L2463" i="1" s="1"/>
  <c r="H3144" i="1"/>
  <c r="I3144" i="1" s="1"/>
  <c r="J3144" i="1" s="1"/>
  <c r="K3144" i="1" s="1"/>
  <c r="L3144" i="1" s="1"/>
  <c r="H1212" i="1"/>
  <c r="I1212" i="1" s="1"/>
  <c r="J1212" i="1" s="1"/>
  <c r="K1212" i="1" s="1"/>
  <c r="L1212" i="1" s="1"/>
  <c r="H636" i="1"/>
  <c r="I636" i="1" s="1"/>
  <c r="J636" i="1" s="1"/>
  <c r="K636" i="1" s="1"/>
  <c r="L636" i="1" s="1"/>
  <c r="H555" i="1"/>
  <c r="I555" i="1" s="1"/>
  <c r="J555" i="1" s="1"/>
  <c r="K555" i="1" s="1"/>
  <c r="L555" i="1" s="1"/>
  <c r="H796" i="1"/>
  <c r="I796" i="1" s="1"/>
  <c r="J796" i="1" s="1"/>
  <c r="K796" i="1" s="1"/>
  <c r="L796" i="1" s="1"/>
  <c r="H1957" i="1"/>
  <c r="I1957" i="1" s="1"/>
  <c r="J1957" i="1" s="1"/>
  <c r="K1957" i="1" s="1"/>
  <c r="L1957" i="1" s="1"/>
  <c r="H1217" i="1"/>
  <c r="I1217" i="1" s="1"/>
  <c r="J1217" i="1" s="1"/>
  <c r="K1217" i="1" s="1"/>
  <c r="L1217" i="1" s="1"/>
  <c r="H542" i="1"/>
  <c r="I542" i="1" s="1"/>
  <c r="J542" i="1" s="1"/>
  <c r="K542" i="1" s="1"/>
  <c r="L542" i="1" s="1"/>
  <c r="H1748" i="1"/>
  <c r="I1748" i="1" s="1"/>
  <c r="J1748" i="1" s="1"/>
  <c r="K1748" i="1" s="1"/>
  <c r="L1748" i="1" s="1"/>
  <c r="H920" i="1"/>
  <c r="I920" i="1" s="1"/>
  <c r="J920" i="1" s="1"/>
  <c r="K920" i="1" s="1"/>
  <c r="L920" i="1" s="1"/>
  <c r="H2936" i="1"/>
  <c r="I2936" i="1" s="1"/>
  <c r="J2936" i="1" s="1"/>
  <c r="K2936" i="1" s="1"/>
  <c r="L2936" i="1" s="1"/>
  <c r="H1257" i="1"/>
  <c r="I1257" i="1" s="1"/>
  <c r="H3362" i="1"/>
  <c r="I3362" i="1" s="1"/>
  <c r="J3362" i="1" s="1"/>
  <c r="K3362" i="1" s="1"/>
  <c r="L3362" i="1" s="1"/>
  <c r="H2545" i="1"/>
  <c r="I2545" i="1" s="1"/>
  <c r="J2545" i="1" s="1"/>
  <c r="K2545" i="1" s="1"/>
  <c r="L2545" i="1" s="1"/>
  <c r="H5982" i="1"/>
  <c r="I5982" i="1" s="1"/>
  <c r="J5982" i="1" s="1"/>
  <c r="K5982" i="1" s="1"/>
  <c r="L5982" i="1" s="1"/>
  <c r="H1773" i="1"/>
  <c r="I1773" i="1" s="1"/>
  <c r="J1773" i="1" s="1"/>
  <c r="K1773" i="1" s="1"/>
  <c r="L1773" i="1" s="1"/>
  <c r="H5100" i="1"/>
  <c r="I5100" i="1" s="1"/>
  <c r="J5100" i="1" s="1"/>
  <c r="K5100" i="1" s="1"/>
  <c r="L5100" i="1" s="1"/>
  <c r="H3542" i="1"/>
  <c r="I3542" i="1" s="1"/>
  <c r="J3542" i="1" s="1"/>
  <c r="K3542" i="1" s="1"/>
  <c r="L3542" i="1" s="1"/>
  <c r="H5334" i="1"/>
  <c r="I5334" i="1" s="1"/>
  <c r="J5334" i="1" s="1"/>
  <c r="K5334" i="1" s="1"/>
  <c r="L5334" i="1" s="1"/>
  <c r="H4528" i="1"/>
  <c r="I4528" i="1" s="1"/>
  <c r="J4528" i="1" s="1"/>
  <c r="K4528" i="1" s="1"/>
  <c r="L4528" i="1" s="1"/>
  <c r="H2348" i="1"/>
  <c r="I2348" i="1" s="1"/>
  <c r="J2348" i="1" s="1"/>
  <c r="K2348" i="1" s="1"/>
  <c r="L2348" i="1" s="1"/>
  <c r="H2316" i="1"/>
  <c r="I2316" i="1" s="1"/>
  <c r="J2316" i="1" s="1"/>
  <c r="K2316" i="1" s="1"/>
  <c r="L2316" i="1" s="1"/>
  <c r="H1460" i="1"/>
  <c r="I1460" i="1" s="1"/>
  <c r="J1460" i="1" s="1"/>
  <c r="K1460" i="1" s="1"/>
  <c r="L1460" i="1" s="1"/>
  <c r="H2296" i="1"/>
  <c r="I2296" i="1" s="1"/>
  <c r="J2296" i="1" s="1"/>
  <c r="K2296" i="1" s="1"/>
  <c r="L2296" i="1" s="1"/>
  <c r="H1745" i="1"/>
  <c r="I1745" i="1" s="1"/>
  <c r="J1745" i="1" s="1"/>
  <c r="K1745" i="1" s="1"/>
  <c r="L1745" i="1" s="1"/>
  <c r="H4039" i="1"/>
  <c r="I4039" i="1" s="1"/>
  <c r="J4039" i="1" s="1"/>
  <c r="K4039" i="1" s="1"/>
  <c r="L4039" i="1" s="1"/>
  <c r="H55" i="1"/>
  <c r="I55" i="1" s="1"/>
  <c r="J55" i="1" s="1"/>
  <c r="K55" i="1" s="1"/>
  <c r="L55" i="1" s="1"/>
  <c r="H994" i="1"/>
  <c r="I994" i="1" s="1"/>
  <c r="J994" i="1" s="1"/>
  <c r="K994" i="1" s="1"/>
  <c r="L994" i="1" s="1"/>
  <c r="H2871" i="1"/>
  <c r="I2871" i="1" s="1"/>
  <c r="J2871" i="1" s="1"/>
  <c r="K2871" i="1" s="1"/>
  <c r="L2871" i="1" s="1"/>
  <c r="H1623" i="1"/>
  <c r="I1623" i="1" s="1"/>
  <c r="J1623" i="1" s="1"/>
  <c r="K1623" i="1" s="1"/>
  <c r="L1623" i="1" s="1"/>
  <c r="H5663" i="1"/>
  <c r="I5663" i="1" s="1"/>
  <c r="J5663" i="1" s="1"/>
  <c r="K5663" i="1" s="1"/>
  <c r="L5663" i="1" s="1"/>
  <c r="H3511" i="1"/>
  <c r="I3511" i="1" s="1"/>
  <c r="J3511" i="1" s="1"/>
  <c r="K3511" i="1" s="1"/>
  <c r="L3511" i="1" s="1"/>
  <c r="H4134" i="1"/>
  <c r="I4134" i="1" s="1"/>
  <c r="J4134" i="1" s="1"/>
  <c r="K4134" i="1" s="1"/>
  <c r="L4134" i="1" s="1"/>
  <c r="H5652" i="1"/>
  <c r="I5652" i="1" s="1"/>
  <c r="J5652" i="1" s="1"/>
  <c r="K5652" i="1" s="1"/>
  <c r="L5652" i="1" s="1"/>
  <c r="H1495" i="1"/>
  <c r="I1495" i="1" s="1"/>
  <c r="J1495" i="1" s="1"/>
  <c r="K1495" i="1" s="1"/>
  <c r="L1495" i="1" s="1"/>
  <c r="H2209" i="1"/>
  <c r="I2209" i="1" s="1"/>
  <c r="J2209" i="1" s="1"/>
  <c r="K2209" i="1" s="1"/>
  <c r="L2209" i="1" s="1"/>
  <c r="H4931" i="1"/>
  <c r="I4931" i="1" s="1"/>
  <c r="J4931" i="1" s="1"/>
  <c r="K4931" i="1" s="1"/>
  <c r="L4931" i="1" s="1"/>
  <c r="H5880" i="1"/>
  <c r="I5880" i="1" s="1"/>
  <c r="J5880" i="1" s="1"/>
  <c r="K5880" i="1" s="1"/>
  <c r="L5880" i="1" s="1"/>
  <c r="H3384" i="1"/>
  <c r="I3384" i="1" s="1"/>
  <c r="J3384" i="1" s="1"/>
  <c r="K3384" i="1" s="1"/>
  <c r="L3384" i="1" s="1"/>
  <c r="H473" i="1"/>
  <c r="I473" i="1" s="1"/>
  <c r="J473" i="1" s="1"/>
  <c r="K473" i="1" s="1"/>
  <c r="L473" i="1" s="1"/>
  <c r="H5452" i="1"/>
  <c r="I5452" i="1" s="1"/>
  <c r="J5452" i="1" s="1"/>
  <c r="K5452" i="1" s="1"/>
  <c r="L5452" i="1" s="1"/>
  <c r="H4975" i="1"/>
  <c r="I4975" i="1" s="1"/>
  <c r="J4975" i="1" s="1"/>
  <c r="K4975" i="1" s="1"/>
  <c r="L4975" i="1" s="1"/>
  <c r="H480" i="1"/>
  <c r="I480" i="1" s="1"/>
  <c r="J480" i="1" s="1"/>
  <c r="K480" i="1" s="1"/>
  <c r="L480" i="1" s="1"/>
  <c r="H2390" i="1"/>
  <c r="I2390" i="1" s="1"/>
  <c r="J2390" i="1" s="1"/>
  <c r="K2390" i="1" s="1"/>
  <c r="L2390" i="1" s="1"/>
  <c r="H2193" i="1"/>
  <c r="I2193" i="1" s="1"/>
  <c r="J2193" i="1" s="1"/>
  <c r="K2193" i="1" s="1"/>
  <c r="L2193" i="1" s="1"/>
  <c r="H2156" i="1"/>
  <c r="I2156" i="1" s="1"/>
  <c r="J2156" i="1" s="1"/>
  <c r="K2156" i="1" s="1"/>
  <c r="L2156" i="1" s="1"/>
  <c r="H5962" i="1"/>
  <c r="I5962" i="1" s="1"/>
  <c r="J5962" i="1" s="1"/>
  <c r="K5962" i="1" s="1"/>
  <c r="L5962" i="1" s="1"/>
  <c r="H1740" i="1"/>
  <c r="I1740" i="1" s="1"/>
  <c r="J1740" i="1" s="1"/>
  <c r="K1740" i="1" s="1"/>
  <c r="L1740" i="1" s="1"/>
  <c r="H2576" i="1"/>
  <c r="I2576" i="1" s="1"/>
  <c r="J2576" i="1" s="1"/>
  <c r="K2576" i="1" s="1"/>
  <c r="L2576" i="1" s="1"/>
  <c r="H48" i="1"/>
  <c r="I48" i="1" s="1"/>
  <c r="H5761" i="1"/>
  <c r="I5761" i="1" s="1"/>
  <c r="J5761" i="1" s="1"/>
  <c r="K5761" i="1" s="1"/>
  <c r="L5761" i="1" s="1"/>
  <c r="H743" i="1"/>
  <c r="I743" i="1" s="1"/>
  <c r="J743" i="1" s="1"/>
  <c r="K743" i="1" s="1"/>
  <c r="L743" i="1" s="1"/>
  <c r="H672" i="1"/>
  <c r="I672" i="1" s="1"/>
  <c r="J672" i="1" s="1"/>
  <c r="K672" i="1" s="1"/>
  <c r="L672" i="1" s="1"/>
  <c r="H813" i="1"/>
  <c r="I813" i="1" s="1"/>
  <c r="J813" i="1" s="1"/>
  <c r="K813" i="1" s="1"/>
  <c r="L813" i="1" s="1"/>
  <c r="H721" i="1"/>
  <c r="I721" i="1" s="1"/>
  <c r="J721" i="1" s="1"/>
  <c r="K721" i="1" s="1"/>
  <c r="L721" i="1" s="1"/>
  <c r="H5387" i="1"/>
  <c r="I5387" i="1" s="1"/>
  <c r="J5387" i="1" s="1"/>
  <c r="K5387" i="1" s="1"/>
  <c r="L5387" i="1" s="1"/>
  <c r="H1315" i="1"/>
  <c r="I1315" i="1" s="1"/>
  <c r="J1315" i="1" s="1"/>
  <c r="K1315" i="1" s="1"/>
  <c r="L1315" i="1" s="1"/>
  <c r="H3880" i="1"/>
  <c r="I3880" i="1" s="1"/>
  <c r="J3880" i="1" s="1"/>
  <c r="K3880" i="1" s="1"/>
  <c r="L3880" i="1" s="1"/>
  <c r="H1385" i="1"/>
  <c r="I1385" i="1" s="1"/>
  <c r="J1385" i="1" s="1"/>
  <c r="K1385" i="1" s="1"/>
  <c r="L1385" i="1" s="1"/>
  <c r="H787" i="1"/>
  <c r="I787" i="1" s="1"/>
  <c r="J787" i="1" s="1"/>
  <c r="K787" i="1" s="1"/>
  <c r="L787" i="1" s="1"/>
  <c r="H5277" i="1"/>
  <c r="I5277" i="1" s="1"/>
  <c r="J5277" i="1" s="1"/>
  <c r="K5277" i="1" s="1"/>
  <c r="L5277" i="1" s="1"/>
  <c r="H3031" i="1"/>
  <c r="I3031" i="1" s="1"/>
  <c r="J3031" i="1" s="1"/>
  <c r="K3031" i="1" s="1"/>
  <c r="L3031" i="1" s="1"/>
  <c r="H1203" i="1"/>
  <c r="I1203" i="1" s="1"/>
  <c r="J1203" i="1" s="1"/>
  <c r="K1203" i="1" s="1"/>
  <c r="L1203" i="1" s="1"/>
  <c r="H1756" i="1"/>
  <c r="I1756" i="1" s="1"/>
  <c r="J1756" i="1" s="1"/>
  <c r="K1756" i="1" s="1"/>
  <c r="L1756" i="1" s="1"/>
  <c r="H1529" i="1"/>
  <c r="I1529" i="1" s="1"/>
  <c r="J1529" i="1" s="1"/>
  <c r="K1529" i="1" s="1"/>
  <c r="L1529" i="1" s="1"/>
  <c r="H5127" i="1"/>
  <c r="I5127" i="1" s="1"/>
  <c r="J5127" i="1" s="1"/>
  <c r="K5127" i="1" s="1"/>
  <c r="L5127" i="1" s="1"/>
  <c r="H521" i="1"/>
  <c r="I521" i="1" s="1"/>
  <c r="J521" i="1" s="1"/>
  <c r="K521" i="1" s="1"/>
  <c r="L521" i="1" s="1"/>
  <c r="H745" i="1"/>
  <c r="I745" i="1" s="1"/>
  <c r="J745" i="1" s="1"/>
  <c r="K745" i="1" s="1"/>
  <c r="L745" i="1" s="1"/>
  <c r="H2891" i="1"/>
  <c r="I2891" i="1" s="1"/>
  <c r="J2891" i="1" s="1"/>
  <c r="K2891" i="1" s="1"/>
  <c r="L2891" i="1" s="1"/>
  <c r="H1363" i="1"/>
  <c r="I1363" i="1" s="1"/>
  <c r="J1363" i="1" s="1"/>
  <c r="K1363" i="1" s="1"/>
  <c r="L1363" i="1" s="1"/>
  <c r="H367" i="1"/>
  <c r="I367" i="1" s="1"/>
  <c r="J367" i="1" s="1"/>
  <c r="K367" i="1" s="1"/>
  <c r="L367" i="1" s="1"/>
  <c r="H5191" i="1"/>
  <c r="I5191" i="1" s="1"/>
  <c r="J5191" i="1" s="1"/>
  <c r="K5191" i="1" s="1"/>
  <c r="L5191" i="1" s="1"/>
  <c r="H5499" i="1"/>
  <c r="I5499" i="1" s="1"/>
  <c r="J5499" i="1" s="1"/>
  <c r="K5499" i="1" s="1"/>
  <c r="L5499" i="1" s="1"/>
  <c r="H2106" i="1"/>
  <c r="I2106" i="1" s="1"/>
  <c r="J2106" i="1" s="1"/>
  <c r="K2106" i="1" s="1"/>
  <c r="L2106" i="1" s="1"/>
  <c r="H140" i="1"/>
  <c r="I140" i="1" s="1"/>
  <c r="J140" i="1" s="1"/>
  <c r="K140" i="1" s="1"/>
  <c r="L140" i="1" s="1"/>
  <c r="H105" i="1"/>
  <c r="I105" i="1" s="1"/>
  <c r="J105" i="1" s="1"/>
  <c r="K105" i="1" s="1"/>
  <c r="L105" i="1" s="1"/>
  <c r="H3911" i="1"/>
  <c r="I3911" i="1" s="1"/>
  <c r="J3911" i="1" s="1"/>
  <c r="K3911" i="1" s="1"/>
  <c r="L3911" i="1" s="1"/>
  <c r="H2680" i="1"/>
  <c r="I2680" i="1" s="1"/>
  <c r="J2680" i="1" s="1"/>
  <c r="K2680" i="1" s="1"/>
  <c r="L2680" i="1" s="1"/>
  <c r="H50" i="1"/>
  <c r="I50" i="1" s="1"/>
  <c r="J50" i="1" s="1"/>
  <c r="K50" i="1" s="1"/>
  <c r="L50" i="1" s="1"/>
  <c r="H5604" i="1"/>
  <c r="I5604" i="1" s="1"/>
  <c r="J5604" i="1" s="1"/>
  <c r="K5604" i="1" s="1"/>
  <c r="L5604" i="1" s="1"/>
  <c r="H580" i="1"/>
  <c r="I580" i="1" s="1"/>
  <c r="J580" i="1" s="1"/>
  <c r="K580" i="1" s="1"/>
  <c r="L580" i="1" s="1"/>
  <c r="H4133" i="1"/>
  <c r="I4133" i="1" s="1"/>
  <c r="J4133" i="1" s="1"/>
  <c r="K4133" i="1" s="1"/>
  <c r="L4133" i="1" s="1"/>
  <c r="H168" i="1"/>
  <c r="I168" i="1" s="1"/>
  <c r="J168" i="1" s="1"/>
  <c r="K168" i="1" s="1"/>
  <c r="L168" i="1" s="1"/>
  <c r="H1535" i="1"/>
  <c r="I1535" i="1" s="1"/>
  <c r="J1535" i="1" s="1"/>
  <c r="K1535" i="1" s="1"/>
  <c r="L1535" i="1" s="1"/>
  <c r="H4510" i="1"/>
  <c r="I4510" i="1" s="1"/>
  <c r="J4510" i="1" s="1"/>
  <c r="K4510" i="1" s="1"/>
  <c r="L4510" i="1" s="1"/>
  <c r="H5110" i="1"/>
  <c r="I5110" i="1" s="1"/>
  <c r="J5110" i="1" s="1"/>
  <c r="K5110" i="1" s="1"/>
  <c r="L5110" i="1" s="1"/>
  <c r="H3065" i="1"/>
  <c r="I3065" i="1" s="1"/>
  <c r="J3065" i="1" s="1"/>
  <c r="K3065" i="1" s="1"/>
  <c r="L3065" i="1" s="1"/>
  <c r="H460" i="1"/>
  <c r="I460" i="1" s="1"/>
  <c r="J460" i="1" s="1"/>
  <c r="K460" i="1" s="1"/>
  <c r="L460" i="1" s="1"/>
  <c r="H2229" i="1"/>
  <c r="I2229" i="1" s="1"/>
  <c r="J2229" i="1" s="1"/>
  <c r="K2229" i="1" s="1"/>
  <c r="L2229" i="1" s="1"/>
  <c r="H565" i="1"/>
  <c r="I565" i="1" s="1"/>
  <c r="J565" i="1" s="1"/>
  <c r="K565" i="1" s="1"/>
  <c r="L565" i="1" s="1"/>
  <c r="H95" i="1"/>
  <c r="I95" i="1" s="1"/>
  <c r="J95" i="1" s="1"/>
  <c r="K95" i="1" s="1"/>
  <c r="L95" i="1" s="1"/>
  <c r="H688" i="1"/>
  <c r="I688" i="1" s="1"/>
  <c r="J688" i="1" s="1"/>
  <c r="K688" i="1" s="1"/>
  <c r="L688" i="1" s="1"/>
  <c r="H2917" i="1"/>
  <c r="I2917" i="1" s="1"/>
  <c r="J2917" i="1" s="1"/>
  <c r="K2917" i="1" s="1"/>
  <c r="L2917" i="1" s="1"/>
  <c r="H525" i="1"/>
  <c r="I525" i="1" s="1"/>
  <c r="J525" i="1" s="1"/>
  <c r="K525" i="1" s="1"/>
  <c r="L525" i="1" s="1"/>
  <c r="H5953" i="1"/>
  <c r="I5953" i="1" s="1"/>
  <c r="J5953" i="1" s="1"/>
  <c r="K5953" i="1" s="1"/>
  <c r="L5953" i="1" s="1"/>
  <c r="H5664" i="1"/>
  <c r="I5664" i="1" s="1"/>
  <c r="J5664" i="1" s="1"/>
  <c r="K5664" i="1" s="1"/>
  <c r="L5664" i="1" s="1"/>
  <c r="H2291" i="1"/>
  <c r="I2291" i="1" s="1"/>
  <c r="J2291" i="1" s="1"/>
  <c r="K2291" i="1" s="1"/>
  <c r="L2291" i="1" s="1"/>
  <c r="H2613" i="1"/>
  <c r="I2613" i="1" s="1"/>
  <c r="J2613" i="1" s="1"/>
  <c r="K2613" i="1" s="1"/>
  <c r="L2613" i="1" s="1"/>
  <c r="H938" i="1"/>
  <c r="I938" i="1" s="1"/>
  <c r="J938" i="1" s="1"/>
  <c r="K938" i="1" s="1"/>
  <c r="L938" i="1" s="1"/>
  <c r="H1339" i="1"/>
  <c r="I1339" i="1" s="1"/>
  <c r="J1339" i="1" s="1"/>
  <c r="K1339" i="1" s="1"/>
  <c r="L1339" i="1" s="1"/>
  <c r="H5083" i="1"/>
  <c r="I5083" i="1" s="1"/>
  <c r="J5083" i="1" s="1"/>
  <c r="K5083" i="1" s="1"/>
  <c r="L5083" i="1" s="1"/>
  <c r="H4575" i="1"/>
  <c r="I4575" i="1" s="1"/>
  <c r="J4575" i="1" s="1"/>
  <c r="K4575" i="1" s="1"/>
  <c r="L4575" i="1" s="1"/>
  <c r="H3387" i="1"/>
  <c r="I3387" i="1" s="1"/>
  <c r="J3387" i="1" s="1"/>
  <c r="K3387" i="1" s="1"/>
  <c r="L3387" i="1" s="1"/>
  <c r="H3803" i="1"/>
  <c r="I3803" i="1" s="1"/>
  <c r="J3803" i="1" s="1"/>
  <c r="K3803" i="1" s="1"/>
  <c r="L3803" i="1" s="1"/>
  <c r="H1039" i="1"/>
  <c r="I1039" i="1" s="1"/>
  <c r="J1039" i="1" s="1"/>
  <c r="K1039" i="1" s="1"/>
  <c r="L1039" i="1" s="1"/>
  <c r="H3636" i="1"/>
  <c r="I3636" i="1" s="1"/>
  <c r="J3636" i="1" s="1"/>
  <c r="K3636" i="1" s="1"/>
  <c r="L3636" i="1" s="1"/>
  <c r="H5780" i="1"/>
  <c r="I5780" i="1" s="1"/>
  <c r="J5780" i="1" s="1"/>
  <c r="K5780" i="1" s="1"/>
  <c r="L5780" i="1" s="1"/>
  <c r="H4400" i="1"/>
  <c r="I4400" i="1" s="1"/>
  <c r="J4400" i="1" s="1"/>
  <c r="K4400" i="1" s="1"/>
  <c r="L4400" i="1" s="1"/>
  <c r="H1209" i="1"/>
  <c r="I1209" i="1" s="1"/>
  <c r="J1209" i="1" s="1"/>
  <c r="K1209" i="1" s="1"/>
  <c r="L1209" i="1" s="1"/>
  <c r="H5573" i="1"/>
  <c r="I5573" i="1" s="1"/>
  <c r="J5573" i="1" s="1"/>
  <c r="K5573" i="1" s="1"/>
  <c r="L5573" i="1" s="1"/>
  <c r="H4710" i="1"/>
  <c r="I4710" i="1" s="1"/>
  <c r="J4710" i="1" s="1"/>
  <c r="K4710" i="1" s="1"/>
  <c r="L4710" i="1" s="1"/>
  <c r="H5497" i="1"/>
  <c r="I5497" i="1" s="1"/>
  <c r="J5497" i="1" s="1"/>
  <c r="K5497" i="1" s="1"/>
  <c r="L5497" i="1" s="1"/>
  <c r="H959" i="1"/>
  <c r="I959" i="1" s="1"/>
  <c r="J959" i="1" s="1"/>
  <c r="K959" i="1" s="1"/>
  <c r="L959" i="1" s="1"/>
  <c r="H3616" i="1"/>
  <c r="I3616" i="1" s="1"/>
  <c r="J3616" i="1" s="1"/>
  <c r="K3616" i="1" s="1"/>
  <c r="L3616" i="1" s="1"/>
  <c r="H53" i="1"/>
  <c r="I53" i="1" s="1"/>
  <c r="J53" i="1" s="1"/>
  <c r="K53" i="1" s="1"/>
  <c r="L53" i="1" s="1"/>
  <c r="H5216" i="1"/>
  <c r="I5216" i="1" s="1"/>
  <c r="J5216" i="1" s="1"/>
  <c r="K5216" i="1" s="1"/>
  <c r="L5216" i="1" s="1"/>
  <c r="H4323" i="1"/>
  <c r="I4323" i="1" s="1"/>
  <c r="J4323" i="1" s="1"/>
  <c r="K4323" i="1" s="1"/>
  <c r="L4323" i="1" s="1"/>
  <c r="H3597" i="1"/>
  <c r="I3597" i="1" s="1"/>
  <c r="J3597" i="1" s="1"/>
  <c r="K3597" i="1" s="1"/>
  <c r="L3597" i="1" s="1"/>
  <c r="H4249" i="1"/>
  <c r="I4249" i="1" s="1"/>
  <c r="J4249" i="1" s="1"/>
  <c r="K4249" i="1" s="1"/>
  <c r="L4249" i="1" s="1"/>
  <c r="H1544" i="1"/>
  <c r="I1544" i="1" s="1"/>
  <c r="J1544" i="1" s="1"/>
  <c r="K1544" i="1" s="1"/>
  <c r="L1544" i="1" s="1"/>
  <c r="H3184" i="1"/>
  <c r="I3184" i="1" s="1"/>
  <c r="J3184" i="1" s="1"/>
  <c r="K3184" i="1" s="1"/>
  <c r="L3184" i="1" s="1"/>
  <c r="H4054" i="1"/>
  <c r="I4054" i="1" s="1"/>
  <c r="J4054" i="1" s="1"/>
  <c r="K4054" i="1" s="1"/>
  <c r="L4054" i="1" s="1"/>
  <c r="H3433" i="1"/>
  <c r="I3433" i="1" s="1"/>
  <c r="J3433" i="1" s="1"/>
  <c r="K3433" i="1" s="1"/>
  <c r="L3433" i="1" s="1"/>
  <c r="H3765" i="1"/>
  <c r="I3765" i="1" s="1"/>
  <c r="J3765" i="1" s="1"/>
  <c r="K3765" i="1" s="1"/>
  <c r="L3765" i="1" s="1"/>
  <c r="H803" i="1"/>
  <c r="I803" i="1" s="1"/>
  <c r="J803" i="1" s="1"/>
  <c r="K803" i="1" s="1"/>
  <c r="L803" i="1" s="1"/>
  <c r="H71" i="1"/>
  <c r="I71" i="1" s="1"/>
  <c r="J71" i="1" s="1"/>
  <c r="K71" i="1" s="1"/>
  <c r="L71" i="1" s="1"/>
  <c r="H4853" i="1"/>
  <c r="I4853" i="1" s="1"/>
  <c r="J4853" i="1" s="1"/>
  <c r="K4853" i="1" s="1"/>
  <c r="L4853" i="1" s="1"/>
  <c r="H326" i="1"/>
  <c r="I326" i="1" s="1"/>
  <c r="J326" i="1" s="1"/>
  <c r="K326" i="1" s="1"/>
  <c r="L326" i="1" s="1"/>
  <c r="H4452" i="1"/>
  <c r="I4452" i="1" s="1"/>
  <c r="J4452" i="1" s="1"/>
  <c r="K4452" i="1" s="1"/>
  <c r="L4452" i="1" s="1"/>
  <c r="H4601" i="1"/>
  <c r="I4601" i="1" s="1"/>
  <c r="J4601" i="1" s="1"/>
  <c r="K4601" i="1" s="1"/>
  <c r="L4601" i="1" s="1"/>
  <c r="H201" i="1"/>
  <c r="I201" i="1" s="1"/>
  <c r="J201" i="1" s="1"/>
  <c r="K201" i="1" s="1"/>
  <c r="L201" i="1" s="1"/>
  <c r="H5828" i="1"/>
  <c r="I5828" i="1" s="1"/>
  <c r="J5828" i="1" s="1"/>
  <c r="K5828" i="1" s="1"/>
  <c r="L5828" i="1" s="1"/>
  <c r="H2317" i="1"/>
  <c r="I2317" i="1" s="1"/>
  <c r="J2317" i="1" s="1"/>
  <c r="K2317" i="1" s="1"/>
  <c r="L2317" i="1" s="1"/>
  <c r="H1397" i="1"/>
  <c r="I1397" i="1" s="1"/>
  <c r="J1397" i="1" s="1"/>
  <c r="K1397" i="1" s="1"/>
  <c r="L1397" i="1" s="1"/>
  <c r="H1815" i="1"/>
  <c r="I1815" i="1" s="1"/>
  <c r="J1815" i="1" s="1"/>
  <c r="K1815" i="1" s="1"/>
  <c r="L1815" i="1" s="1"/>
  <c r="H5998" i="1"/>
  <c r="I5998" i="1" s="1"/>
  <c r="J5998" i="1" s="1"/>
  <c r="K5998" i="1" s="1"/>
  <c r="L5998" i="1" s="1"/>
  <c r="H5292" i="1"/>
  <c r="I5292" i="1" s="1"/>
  <c r="J5292" i="1" s="1"/>
  <c r="K5292" i="1" s="1"/>
  <c r="L5292" i="1" s="1"/>
  <c r="H1796" i="1"/>
  <c r="I1796" i="1" s="1"/>
  <c r="J1796" i="1" s="1"/>
  <c r="K1796" i="1" s="1"/>
  <c r="L1796" i="1" s="1"/>
  <c r="H3764" i="1"/>
  <c r="I3764" i="1" s="1"/>
  <c r="J3764" i="1" s="1"/>
  <c r="K3764" i="1" s="1"/>
  <c r="L3764" i="1" s="1"/>
  <c r="H5013" i="1"/>
  <c r="I5013" i="1" s="1"/>
  <c r="J5013" i="1" s="1"/>
  <c r="K5013" i="1" s="1"/>
  <c r="L5013" i="1" s="1"/>
  <c r="H5063" i="1"/>
  <c r="I5063" i="1" s="1"/>
  <c r="J5063" i="1" s="1"/>
  <c r="K5063" i="1" s="1"/>
  <c r="L5063" i="1" s="1"/>
  <c r="H4464" i="1"/>
  <c r="I4464" i="1" s="1"/>
  <c r="J4464" i="1" s="1"/>
  <c r="K4464" i="1" s="1"/>
  <c r="L4464" i="1" s="1"/>
  <c r="H510" i="1"/>
  <c r="I510" i="1" s="1"/>
  <c r="J510" i="1" s="1"/>
  <c r="K510" i="1" s="1"/>
  <c r="L510" i="1" s="1"/>
  <c r="H591" i="1"/>
  <c r="I591" i="1" s="1"/>
  <c r="J591" i="1" s="1"/>
  <c r="K591" i="1" s="1"/>
  <c r="L591" i="1" s="1"/>
  <c r="H1550" i="1"/>
  <c r="I1550" i="1" s="1"/>
  <c r="J1550" i="1" s="1"/>
  <c r="K1550" i="1" s="1"/>
  <c r="L1550" i="1" s="1"/>
  <c r="H5075" i="1"/>
  <c r="I5075" i="1" s="1"/>
  <c r="J5075" i="1" s="1"/>
  <c r="K5075" i="1" s="1"/>
  <c r="L5075" i="1" s="1"/>
  <c r="H972" i="1"/>
  <c r="I972" i="1" s="1"/>
  <c r="J972" i="1" s="1"/>
  <c r="K972" i="1" s="1"/>
  <c r="L972" i="1" s="1"/>
  <c r="H5061" i="1"/>
  <c r="I5061" i="1" s="1"/>
  <c r="J5061" i="1" s="1"/>
  <c r="K5061" i="1" s="1"/>
  <c r="L5061" i="1" s="1"/>
  <c r="H5017" i="1"/>
  <c r="I5017" i="1" s="1"/>
  <c r="J5017" i="1" s="1"/>
  <c r="K5017" i="1" s="1"/>
  <c r="L5017" i="1" s="1"/>
  <c r="H1714" i="1"/>
  <c r="I1714" i="1" s="1"/>
  <c r="J1714" i="1" s="1"/>
  <c r="K1714" i="1" s="1"/>
  <c r="L1714" i="1" s="1"/>
  <c r="H3968" i="1"/>
  <c r="I3968" i="1" s="1"/>
  <c r="J3968" i="1" s="1"/>
  <c r="K3968" i="1" s="1"/>
  <c r="L3968" i="1" s="1"/>
  <c r="H4410" i="1"/>
  <c r="I4410" i="1" s="1"/>
  <c r="J4410" i="1" s="1"/>
  <c r="K4410" i="1" s="1"/>
  <c r="L4410" i="1" s="1"/>
  <c r="H1182" i="1"/>
  <c r="I1182" i="1" s="1"/>
  <c r="J1182" i="1" s="1"/>
  <c r="K1182" i="1" s="1"/>
  <c r="L1182" i="1" s="1"/>
  <c r="H2274" i="1"/>
  <c r="I2274" i="1" s="1"/>
  <c r="J2274" i="1" s="1"/>
  <c r="K2274" i="1" s="1"/>
  <c r="L2274" i="1" s="1"/>
  <c r="H2248" i="1"/>
  <c r="I2248" i="1" s="1"/>
  <c r="J2248" i="1" s="1"/>
  <c r="K2248" i="1" s="1"/>
  <c r="L2248" i="1" s="1"/>
  <c r="H714" i="1"/>
  <c r="I714" i="1" s="1"/>
  <c r="J714" i="1" s="1"/>
  <c r="K714" i="1" s="1"/>
  <c r="L714" i="1" s="1"/>
  <c r="H1371" i="1"/>
  <c r="I1371" i="1" s="1"/>
  <c r="J1371" i="1" s="1"/>
  <c r="K1371" i="1" s="1"/>
  <c r="L1371" i="1" s="1"/>
  <c r="H6000" i="1"/>
  <c r="I6000" i="1" s="1"/>
  <c r="J6000" i="1" s="1"/>
  <c r="K6000" i="1" s="1"/>
  <c r="L6000" i="1" s="1"/>
  <c r="H3556" i="1"/>
  <c r="I3556" i="1" s="1"/>
  <c r="J3556" i="1" s="1"/>
  <c r="K3556" i="1" s="1"/>
  <c r="L3556" i="1" s="1"/>
  <c r="H4884" i="1"/>
  <c r="I4884" i="1" s="1"/>
  <c r="J4884" i="1" s="1"/>
  <c r="K4884" i="1" s="1"/>
  <c r="L4884" i="1" s="1"/>
  <c r="H4411" i="1"/>
  <c r="I4411" i="1" s="1"/>
  <c r="J4411" i="1" s="1"/>
  <c r="K4411" i="1" s="1"/>
  <c r="L4411" i="1" s="1"/>
  <c r="H5148" i="1"/>
  <c r="I5148" i="1" s="1"/>
  <c r="J5148" i="1" s="1"/>
  <c r="K5148" i="1" s="1"/>
  <c r="L5148" i="1" s="1"/>
  <c r="H4950" i="1"/>
  <c r="I4950" i="1" s="1"/>
  <c r="J4950" i="1" s="1"/>
  <c r="K4950" i="1" s="1"/>
  <c r="L4950" i="1" s="1"/>
  <c r="H5739" i="1"/>
  <c r="I5739" i="1" s="1"/>
  <c r="J5739" i="1" s="1"/>
  <c r="K5739" i="1" s="1"/>
  <c r="L5739" i="1" s="1"/>
  <c r="H4901" i="1"/>
  <c r="I4901" i="1" s="1"/>
  <c r="J4901" i="1" s="1"/>
  <c r="K4901" i="1" s="1"/>
  <c r="L4901" i="1" s="1"/>
  <c r="H4204" i="1"/>
  <c r="I4204" i="1" s="1"/>
  <c r="J4204" i="1" s="1"/>
  <c r="K4204" i="1" s="1"/>
  <c r="L4204" i="1" s="1"/>
  <c r="H4609" i="1"/>
  <c r="I4609" i="1" s="1"/>
  <c r="J4609" i="1" s="1"/>
  <c r="K4609" i="1" s="1"/>
  <c r="L4609" i="1" s="1"/>
  <c r="H2130" i="1"/>
  <c r="I2130" i="1" s="1"/>
  <c r="J2130" i="1" s="1"/>
  <c r="K2130" i="1" s="1"/>
  <c r="L2130" i="1" s="1"/>
  <c r="H2138" i="1"/>
  <c r="I2138" i="1" s="1"/>
  <c r="J2138" i="1" s="1"/>
  <c r="K2138" i="1" s="1"/>
  <c r="L2138" i="1" s="1"/>
  <c r="H611" i="1"/>
  <c r="I611" i="1" s="1"/>
  <c r="J611" i="1" s="1"/>
  <c r="K611" i="1" s="1"/>
  <c r="L611" i="1" s="1"/>
  <c r="H2511" i="1"/>
  <c r="I2511" i="1" s="1"/>
  <c r="J2511" i="1" s="1"/>
  <c r="K2511" i="1" s="1"/>
  <c r="L2511" i="1" s="1"/>
  <c r="H4178" i="1"/>
  <c r="I4178" i="1" s="1"/>
  <c r="J4178" i="1" s="1"/>
  <c r="K4178" i="1" s="1"/>
  <c r="L4178" i="1" s="1"/>
  <c r="H2996" i="1"/>
  <c r="I2996" i="1" s="1"/>
  <c r="J2996" i="1" s="1"/>
  <c r="K2996" i="1" s="1"/>
  <c r="L2996" i="1" s="1"/>
  <c r="H2167" i="1"/>
  <c r="I2167" i="1" s="1"/>
  <c r="J2167" i="1" s="1"/>
  <c r="K2167" i="1" s="1"/>
  <c r="L2167" i="1" s="1"/>
  <c r="H4273" i="1"/>
  <c r="I4273" i="1" s="1"/>
  <c r="J4273" i="1" s="1"/>
  <c r="K4273" i="1" s="1"/>
  <c r="L4273" i="1" s="1"/>
  <c r="H2677" i="1"/>
  <c r="I2677" i="1" s="1"/>
  <c r="J2677" i="1" s="1"/>
  <c r="K2677" i="1" s="1"/>
  <c r="L2677" i="1" s="1"/>
  <c r="H358" i="1"/>
  <c r="I358" i="1" s="1"/>
  <c r="J358" i="1" s="1"/>
  <c r="K358" i="1" s="1"/>
  <c r="L358" i="1" s="1"/>
  <c r="H1279" i="1"/>
  <c r="I1279" i="1" s="1"/>
  <c r="J1279" i="1" s="1"/>
  <c r="K1279" i="1" s="1"/>
  <c r="L1279" i="1" s="1"/>
  <c r="H5870" i="1"/>
  <c r="I5870" i="1" s="1"/>
  <c r="J5870" i="1" s="1"/>
  <c r="K5870" i="1" s="1"/>
  <c r="L5870" i="1" s="1"/>
  <c r="H3241" i="1"/>
  <c r="I3241" i="1" s="1"/>
  <c r="J3241" i="1" s="1"/>
  <c r="K3241" i="1" s="1"/>
  <c r="L3241" i="1" s="1"/>
  <c r="H3423" i="1"/>
  <c r="I3423" i="1" s="1"/>
  <c r="J3423" i="1" s="1"/>
  <c r="K3423" i="1" s="1"/>
  <c r="L3423" i="1" s="1"/>
  <c r="H5102" i="1"/>
  <c r="I5102" i="1" s="1"/>
  <c r="J5102" i="1" s="1"/>
  <c r="K5102" i="1" s="1"/>
  <c r="L5102" i="1" s="1"/>
  <c r="H2842" i="1"/>
  <c r="I2842" i="1" s="1"/>
  <c r="J2842" i="1" s="1"/>
  <c r="K2842" i="1" s="1"/>
  <c r="L2842" i="1" s="1"/>
  <c r="H3998" i="1"/>
  <c r="I3998" i="1" s="1"/>
  <c r="J3998" i="1" s="1"/>
  <c r="K3998" i="1" s="1"/>
  <c r="L3998" i="1" s="1"/>
  <c r="H346" i="1"/>
  <c r="I346" i="1" s="1"/>
  <c r="J346" i="1" s="1"/>
  <c r="K346" i="1" s="1"/>
  <c r="L346" i="1" s="1"/>
  <c r="H4625" i="1"/>
  <c r="I4625" i="1" s="1"/>
  <c r="J4625" i="1" s="1"/>
  <c r="K4625" i="1" s="1"/>
  <c r="L4625" i="1" s="1"/>
  <c r="H1290" i="1"/>
  <c r="I1290" i="1" s="1"/>
  <c r="J1290" i="1" s="1"/>
  <c r="K1290" i="1" s="1"/>
  <c r="L1290" i="1" s="1"/>
  <c r="H728" i="1"/>
  <c r="I728" i="1" s="1"/>
  <c r="J728" i="1" s="1"/>
  <c r="K728" i="1" s="1"/>
  <c r="L728" i="1" s="1"/>
  <c r="H4496" i="1"/>
  <c r="I4496" i="1" s="1"/>
  <c r="J4496" i="1" s="1"/>
  <c r="K4496" i="1" s="1"/>
  <c r="L4496" i="1" s="1"/>
  <c r="H3887" i="1"/>
  <c r="I3887" i="1" s="1"/>
  <c r="J3887" i="1" s="1"/>
  <c r="K3887" i="1" s="1"/>
  <c r="L3887" i="1" s="1"/>
  <c r="H1000" i="1"/>
  <c r="I1000" i="1" s="1"/>
  <c r="J1000" i="1" s="1"/>
  <c r="K1000" i="1" s="1"/>
  <c r="L1000" i="1" s="1"/>
  <c r="H5134" i="1"/>
  <c r="I5134" i="1" s="1"/>
  <c r="J5134" i="1" s="1"/>
  <c r="K5134" i="1" s="1"/>
  <c r="L5134" i="1" s="1"/>
  <c r="H3407" i="1"/>
  <c r="I3407" i="1" s="1"/>
  <c r="J3407" i="1" s="1"/>
  <c r="K3407" i="1" s="1"/>
  <c r="L3407" i="1" s="1"/>
  <c r="H1582" i="1"/>
  <c r="I1582" i="1" s="1"/>
  <c r="J1582" i="1" s="1"/>
  <c r="K1582" i="1" s="1"/>
  <c r="L1582" i="1" s="1"/>
  <c r="H4150" i="1"/>
  <c r="I4150" i="1" s="1"/>
  <c r="J4150" i="1" s="1"/>
  <c r="K4150" i="1" s="1"/>
  <c r="L4150" i="1" s="1"/>
  <c r="H4969" i="1"/>
  <c r="I4969" i="1" s="1"/>
  <c r="J4969" i="1" s="1"/>
  <c r="K4969" i="1" s="1"/>
  <c r="L4969" i="1" s="1"/>
  <c r="H3804" i="1"/>
  <c r="I3804" i="1" s="1"/>
  <c r="J3804" i="1" s="1"/>
  <c r="K3804" i="1" s="1"/>
  <c r="L3804" i="1" s="1"/>
  <c r="H1283" i="1"/>
  <c r="I1283" i="1" s="1"/>
  <c r="J1283" i="1" s="1"/>
  <c r="K1283" i="1" s="1"/>
  <c r="L1283" i="1" s="1"/>
  <c r="H4968" i="1"/>
  <c r="I4968" i="1" s="1"/>
  <c r="J4968" i="1" s="1"/>
  <c r="K4968" i="1" s="1"/>
  <c r="L4968" i="1" s="1"/>
  <c r="H3023" i="1"/>
  <c r="I3023" i="1" s="1"/>
  <c r="J3023" i="1" s="1"/>
  <c r="K3023" i="1" s="1"/>
  <c r="L3023" i="1" s="1"/>
  <c r="H968" i="1"/>
  <c r="I968" i="1" s="1"/>
  <c r="J968" i="1" s="1"/>
  <c r="K968" i="1" s="1"/>
  <c r="L968" i="1" s="1"/>
  <c r="H4949" i="1"/>
  <c r="I4949" i="1" s="1"/>
  <c r="J4949" i="1" s="1"/>
  <c r="K4949" i="1" s="1"/>
  <c r="L4949" i="1" s="1"/>
  <c r="H3122" i="1"/>
  <c r="I3122" i="1" s="1"/>
  <c r="J3122" i="1" s="1"/>
  <c r="K3122" i="1" s="1"/>
  <c r="L3122" i="1" s="1"/>
  <c r="H2599" i="1"/>
  <c r="I2599" i="1" s="1"/>
  <c r="J2599" i="1" s="1"/>
  <c r="K2599" i="1" s="1"/>
  <c r="L2599" i="1" s="1"/>
  <c r="H5918" i="1"/>
  <c r="I5918" i="1" s="1"/>
  <c r="J5918" i="1" s="1"/>
  <c r="K5918" i="1" s="1"/>
  <c r="L5918" i="1" s="1"/>
  <c r="H79" i="1"/>
  <c r="I79" i="1" s="1"/>
  <c r="J79" i="1" s="1"/>
  <c r="K79" i="1" s="1"/>
  <c r="L79" i="1" s="1"/>
  <c r="H4992" i="1"/>
  <c r="I4992" i="1" s="1"/>
  <c r="J4992" i="1" s="1"/>
  <c r="K4992" i="1" s="1"/>
  <c r="L4992" i="1" s="1"/>
  <c r="H3094" i="1"/>
  <c r="I3094" i="1" s="1"/>
  <c r="J3094" i="1" s="1"/>
  <c r="K3094" i="1" s="1"/>
  <c r="L3094" i="1" s="1"/>
  <c r="H3576" i="1"/>
  <c r="I3576" i="1" s="1"/>
  <c r="J3576" i="1" s="1"/>
  <c r="K3576" i="1" s="1"/>
  <c r="L3576" i="1" s="1"/>
  <c r="H1842" i="1"/>
  <c r="I1842" i="1" s="1"/>
  <c r="J1842" i="1" s="1"/>
  <c r="K1842" i="1" s="1"/>
  <c r="L1842" i="1" s="1"/>
  <c r="H1263" i="1"/>
  <c r="I1263" i="1" s="1"/>
  <c r="J1263" i="1" s="1"/>
  <c r="K1263" i="1" s="1"/>
  <c r="L1263" i="1" s="1"/>
  <c r="H4352" i="1"/>
  <c r="I4352" i="1" s="1"/>
  <c r="J4352" i="1" s="1"/>
  <c r="K4352" i="1" s="1"/>
  <c r="L4352" i="1" s="1"/>
  <c r="H1952" i="1"/>
  <c r="I1952" i="1" s="1"/>
  <c r="J1952" i="1" s="1"/>
  <c r="K1952" i="1" s="1"/>
  <c r="L1952" i="1" s="1"/>
  <c r="H2790" i="1"/>
  <c r="I2790" i="1" s="1"/>
  <c r="J2790" i="1" s="1"/>
  <c r="K2790" i="1" s="1"/>
  <c r="L2790" i="1" s="1"/>
  <c r="H1758" i="1"/>
  <c r="I1758" i="1" s="1"/>
  <c r="J1758" i="1" s="1"/>
  <c r="K1758" i="1" s="1"/>
  <c r="L1758" i="1" s="1"/>
  <c r="H853" i="1"/>
  <c r="I853" i="1" s="1"/>
  <c r="J853" i="1" s="1"/>
  <c r="K853" i="1" s="1"/>
  <c r="L853" i="1" s="1"/>
  <c r="H4226" i="1"/>
  <c r="I4226" i="1" s="1"/>
  <c r="J4226" i="1" s="1"/>
  <c r="K4226" i="1" s="1"/>
  <c r="L4226" i="1" s="1"/>
  <c r="H5532" i="1"/>
  <c r="I5532" i="1" s="1"/>
  <c r="J5532" i="1" s="1"/>
  <c r="K5532" i="1" s="1"/>
  <c r="L5532" i="1" s="1"/>
  <c r="H4584" i="1"/>
  <c r="I4584" i="1" s="1"/>
  <c r="J4584" i="1" s="1"/>
  <c r="K4584" i="1" s="1"/>
  <c r="L4584" i="1" s="1"/>
  <c r="H2057" i="1"/>
  <c r="I2057" i="1" s="1"/>
  <c r="J2057" i="1" s="1"/>
  <c r="K2057" i="1" s="1"/>
  <c r="L2057" i="1" s="1"/>
  <c r="H1388" i="1"/>
  <c r="I1388" i="1" s="1"/>
  <c r="J1388" i="1" s="1"/>
  <c r="K1388" i="1" s="1"/>
  <c r="L1388" i="1" s="1"/>
  <c r="H3018" i="1"/>
  <c r="I3018" i="1" s="1"/>
  <c r="J3018" i="1" s="1"/>
  <c r="K3018" i="1" s="1"/>
  <c r="L3018" i="1" s="1"/>
  <c r="H5386" i="1"/>
  <c r="I5386" i="1" s="1"/>
  <c r="J5386" i="1" s="1"/>
  <c r="K5386" i="1" s="1"/>
  <c r="L5386" i="1" s="1"/>
  <c r="H166" i="1"/>
  <c r="I166" i="1" s="1"/>
  <c r="J166" i="1" s="1"/>
  <c r="K166" i="1" s="1"/>
  <c r="L166" i="1" s="1"/>
  <c r="H3016" i="1"/>
  <c r="I3016" i="1" s="1"/>
  <c r="J3016" i="1" s="1"/>
  <c r="K3016" i="1" s="1"/>
  <c r="L3016" i="1" s="1"/>
  <c r="H5762" i="1"/>
  <c r="I5762" i="1" s="1"/>
  <c r="J5762" i="1" s="1"/>
  <c r="K5762" i="1" s="1"/>
  <c r="L5762" i="1" s="1"/>
  <c r="H5487" i="1"/>
  <c r="I5487" i="1" s="1"/>
  <c r="J5487" i="1" s="1"/>
  <c r="K5487" i="1" s="1"/>
  <c r="L5487" i="1" s="1"/>
  <c r="H1125" i="1"/>
  <c r="I1125" i="1" s="1"/>
  <c r="J1125" i="1" s="1"/>
  <c r="K1125" i="1" s="1"/>
  <c r="L1125" i="1" s="1"/>
  <c r="F15" i="8"/>
  <c r="G15" i="8" s="1"/>
  <c r="H1440" i="1"/>
  <c r="I1440" i="1" s="1"/>
  <c r="J1440" i="1" s="1"/>
  <c r="K1440" i="1" s="1"/>
  <c r="L1440" i="1" s="1"/>
  <c r="H4944" i="1"/>
  <c r="I4944" i="1" s="1"/>
  <c r="J4944" i="1" s="1"/>
  <c r="K4944" i="1" s="1"/>
  <c r="L4944" i="1" s="1"/>
  <c r="H2743" i="1"/>
  <c r="I2743" i="1" s="1"/>
  <c r="J2743" i="1" s="1"/>
  <c r="K2743" i="1" s="1"/>
  <c r="L2743" i="1" s="1"/>
  <c r="H3438" i="1"/>
  <c r="I3438" i="1" s="1"/>
  <c r="J3438" i="1" s="1"/>
  <c r="K3438" i="1" s="1"/>
  <c r="L3438" i="1" s="1"/>
  <c r="H1508" i="1"/>
  <c r="I1508" i="1" s="1"/>
  <c r="J1508" i="1" s="1"/>
  <c r="K1508" i="1" s="1"/>
  <c r="L1508" i="1" s="1"/>
  <c r="H4970" i="1"/>
  <c r="I4970" i="1" s="1"/>
  <c r="J4970" i="1" s="1"/>
  <c r="K4970" i="1" s="1"/>
  <c r="L4970" i="1" s="1"/>
  <c r="H5122" i="1"/>
  <c r="I5122" i="1" s="1"/>
  <c r="J5122" i="1" s="1"/>
  <c r="K5122" i="1" s="1"/>
  <c r="L5122" i="1" s="1"/>
  <c r="H946" i="1"/>
  <c r="I946" i="1" s="1"/>
  <c r="J946" i="1" s="1"/>
  <c r="K946" i="1" s="1"/>
  <c r="L946" i="1" s="1"/>
  <c r="H5225" i="1"/>
  <c r="I5225" i="1" s="1"/>
  <c r="J5225" i="1" s="1"/>
  <c r="K5225" i="1" s="1"/>
  <c r="L5225" i="1" s="1"/>
  <c r="H3871" i="1"/>
  <c r="I3871" i="1" s="1"/>
  <c r="J3871" i="1" s="1"/>
  <c r="K3871" i="1" s="1"/>
  <c r="L3871" i="1" s="1"/>
  <c r="H5229" i="1"/>
  <c r="I5229" i="1" s="1"/>
  <c r="J5229" i="1" s="1"/>
  <c r="K5229" i="1" s="1"/>
  <c r="L5229" i="1" s="1"/>
  <c r="H2103" i="1"/>
  <c r="I2103" i="1" s="1"/>
  <c r="J2103" i="1" s="1"/>
  <c r="K2103" i="1" s="1"/>
  <c r="L2103" i="1" s="1"/>
  <c r="H5612" i="1"/>
  <c r="I5612" i="1" s="1"/>
  <c r="J5612" i="1" s="1"/>
  <c r="K5612" i="1" s="1"/>
  <c r="L5612" i="1" s="1"/>
  <c r="H1956" i="1"/>
  <c r="I1956" i="1" s="1"/>
  <c r="J1956" i="1" s="1"/>
  <c r="K1956" i="1" s="1"/>
  <c r="L1956" i="1" s="1"/>
  <c r="H2810" i="1"/>
  <c r="I2810" i="1" s="1"/>
  <c r="J2810" i="1" s="1"/>
  <c r="K2810" i="1" s="1"/>
  <c r="L2810" i="1" s="1"/>
  <c r="F14" i="8"/>
  <c r="G14" i="8" s="1"/>
  <c r="H1716" i="1"/>
  <c r="I1716" i="1" s="1"/>
  <c r="J1716" i="1" s="1"/>
  <c r="K1716" i="1" s="1"/>
  <c r="L1716" i="1" s="1"/>
  <c r="H779" i="1"/>
  <c r="I779" i="1" s="1"/>
  <c r="J779" i="1" s="1"/>
  <c r="K779" i="1" s="1"/>
  <c r="L779" i="1" s="1"/>
  <c r="H1383" i="1"/>
  <c r="I1383" i="1" s="1"/>
  <c r="J1383" i="1" s="1"/>
  <c r="K1383" i="1" s="1"/>
  <c r="L1383" i="1" s="1"/>
  <c r="H1243" i="1"/>
  <c r="I1243" i="1" s="1"/>
  <c r="J1243" i="1" s="1"/>
  <c r="K1243" i="1" s="1"/>
  <c r="L1243" i="1" s="1"/>
  <c r="H2969" i="1"/>
  <c r="I2969" i="1" s="1"/>
  <c r="J2969" i="1" s="1"/>
  <c r="K2969" i="1" s="1"/>
  <c r="L2969" i="1" s="1"/>
  <c r="H59" i="1"/>
  <c r="I59" i="1" s="1"/>
  <c r="J59" i="1" s="1"/>
  <c r="K59" i="1" s="1"/>
  <c r="L59" i="1" s="1"/>
  <c r="H1420" i="1"/>
  <c r="I1420" i="1" s="1"/>
  <c r="J1420" i="1" s="1"/>
  <c r="K1420" i="1" s="1"/>
  <c r="L1420" i="1" s="1"/>
  <c r="H902" i="1"/>
  <c r="I902" i="1" s="1"/>
  <c r="J902" i="1" s="1"/>
  <c r="K902" i="1" s="1"/>
  <c r="L902" i="1" s="1"/>
  <c r="H2770" i="1"/>
  <c r="I2770" i="1" s="1"/>
  <c r="J2770" i="1" s="1"/>
  <c r="K2770" i="1" s="1"/>
  <c r="L2770" i="1" s="1"/>
  <c r="H435" i="1"/>
  <c r="I435" i="1" s="1"/>
  <c r="J435" i="1" s="1"/>
  <c r="K435" i="1" s="1"/>
  <c r="L435" i="1" s="1"/>
  <c r="H3502" i="1"/>
  <c r="I3502" i="1" s="1"/>
  <c r="J3502" i="1" s="1"/>
  <c r="K3502" i="1" s="1"/>
  <c r="L3502" i="1" s="1"/>
  <c r="H1005" i="1"/>
  <c r="I1005" i="1" s="1"/>
  <c r="J1005" i="1" s="1"/>
  <c r="K1005" i="1" s="1"/>
  <c r="L1005" i="1" s="1"/>
  <c r="H1023" i="1"/>
  <c r="I1023" i="1" s="1"/>
  <c r="J1023" i="1" s="1"/>
  <c r="K1023" i="1" s="1"/>
  <c r="L1023" i="1" s="1"/>
  <c r="H4750" i="1"/>
  <c r="I4750" i="1" s="1"/>
  <c r="J4750" i="1" s="1"/>
  <c r="K4750" i="1" s="1"/>
  <c r="L4750" i="1" s="1"/>
  <c r="H1354" i="1"/>
  <c r="I1354" i="1" s="1"/>
  <c r="J1354" i="1" s="1"/>
  <c r="K1354" i="1" s="1"/>
  <c r="L1354" i="1" s="1"/>
  <c r="H807" i="1"/>
  <c r="I807" i="1" s="1"/>
  <c r="J807" i="1" s="1"/>
  <c r="K807" i="1" s="1"/>
  <c r="L807" i="1" s="1"/>
  <c r="H1663" i="1"/>
  <c r="I1663" i="1" s="1"/>
  <c r="J1663" i="1" s="1"/>
  <c r="K1663" i="1" s="1"/>
  <c r="L1663" i="1" s="1"/>
  <c r="H1377" i="1"/>
  <c r="I1377" i="1" s="1"/>
  <c r="J1377" i="1" s="1"/>
  <c r="K1377" i="1" s="1"/>
  <c r="L1377" i="1" s="1"/>
  <c r="H416" i="1"/>
  <c r="I416" i="1" s="1"/>
  <c r="J416" i="1" s="1"/>
  <c r="K416" i="1" s="1"/>
  <c r="L416" i="1" s="1"/>
  <c r="H455" i="1"/>
  <c r="I455" i="1" s="1"/>
  <c r="J455" i="1" s="1"/>
  <c r="K455" i="1" s="1"/>
  <c r="L455" i="1" s="1"/>
  <c r="H4106" i="1"/>
  <c r="I4106" i="1" s="1"/>
  <c r="J4106" i="1" s="1"/>
  <c r="K4106" i="1" s="1"/>
  <c r="L4106" i="1" s="1"/>
  <c r="H1574" i="1"/>
  <c r="I1574" i="1" s="1"/>
  <c r="J1574" i="1" s="1"/>
  <c r="K1574" i="1" s="1"/>
  <c r="L1574" i="1" s="1"/>
  <c r="H1260" i="1"/>
  <c r="I1260" i="1" s="1"/>
  <c r="J1260" i="1" s="1"/>
  <c r="K1260" i="1" s="1"/>
  <c r="L1260" i="1" s="1"/>
  <c r="H392" i="1"/>
  <c r="I392" i="1" s="1"/>
  <c r="J392" i="1" s="1"/>
  <c r="K392" i="1" s="1"/>
  <c r="L392" i="1" s="1"/>
  <c r="H5132" i="1"/>
  <c r="I5132" i="1" s="1"/>
  <c r="J5132" i="1" s="1"/>
  <c r="K5132" i="1" s="1"/>
  <c r="L5132" i="1" s="1"/>
  <c r="H3010" i="1"/>
  <c r="I3010" i="1" s="1"/>
  <c r="J3010" i="1" s="1"/>
  <c r="K3010" i="1" s="1"/>
  <c r="L3010" i="1" s="1"/>
  <c r="H2293" i="1"/>
  <c r="I2293" i="1" s="1"/>
  <c r="J2293" i="1" s="1"/>
  <c r="K2293" i="1" s="1"/>
  <c r="L2293" i="1" s="1"/>
  <c r="H1510" i="1"/>
  <c r="I1510" i="1" s="1"/>
  <c r="J1510" i="1" s="1"/>
  <c r="K1510" i="1" s="1"/>
  <c r="L1510" i="1" s="1"/>
  <c r="H108" i="1"/>
  <c r="I108" i="1" s="1"/>
  <c r="J108" i="1" s="1"/>
  <c r="K108" i="1" s="1"/>
  <c r="L108" i="1" s="1"/>
  <c r="H1268" i="1"/>
  <c r="I1268" i="1" s="1"/>
  <c r="J1268" i="1" s="1"/>
  <c r="K1268" i="1" s="1"/>
  <c r="L1268" i="1" s="1"/>
  <c r="H528" i="1"/>
  <c r="I528" i="1" s="1"/>
  <c r="J528" i="1" s="1"/>
  <c r="K528" i="1" s="1"/>
  <c r="L528" i="1" s="1"/>
  <c r="H3344" i="1"/>
  <c r="I3344" i="1" s="1"/>
  <c r="J3344" i="1" s="1"/>
  <c r="K3344" i="1" s="1"/>
  <c r="L3344" i="1" s="1"/>
  <c r="H129" i="1"/>
  <c r="I129" i="1" s="1"/>
  <c r="J129" i="1" s="1"/>
  <c r="K129" i="1" s="1"/>
  <c r="L129" i="1" s="1"/>
  <c r="H1301" i="1"/>
  <c r="I1301" i="1" s="1"/>
  <c r="J1301" i="1" s="1"/>
  <c r="K1301" i="1" s="1"/>
  <c r="L1301" i="1" s="1"/>
  <c r="H3268" i="1"/>
  <c r="I3268" i="1" s="1"/>
  <c r="J3268" i="1" s="1"/>
  <c r="K3268" i="1" s="1"/>
  <c r="L3268" i="1" s="1"/>
  <c r="H5683" i="1"/>
  <c r="I5683" i="1" s="1"/>
  <c r="J5683" i="1" s="1"/>
  <c r="K5683" i="1" s="1"/>
  <c r="L5683" i="1" s="1"/>
  <c r="H2326" i="1"/>
  <c r="I2326" i="1" s="1"/>
  <c r="J2326" i="1" s="1"/>
  <c r="K2326" i="1" s="1"/>
  <c r="L2326" i="1" s="1"/>
  <c r="H3967" i="1"/>
  <c r="I3967" i="1" s="1"/>
  <c r="J3967" i="1" s="1"/>
  <c r="K3967" i="1" s="1"/>
  <c r="L3967" i="1" s="1"/>
  <c r="H3544" i="1"/>
  <c r="I3544" i="1" s="1"/>
  <c r="J3544" i="1" s="1"/>
  <c r="K3544" i="1" s="1"/>
  <c r="L3544" i="1" s="1"/>
  <c r="H2580" i="1"/>
  <c r="I2580" i="1" s="1"/>
  <c r="J2580" i="1" s="1"/>
  <c r="K2580" i="1" s="1"/>
  <c r="L2580" i="1" s="1"/>
  <c r="H2555" i="1"/>
  <c r="I2555" i="1" s="1"/>
  <c r="J2555" i="1" s="1"/>
  <c r="K2555" i="1" s="1"/>
  <c r="L2555" i="1" s="1"/>
  <c r="H2095" i="1"/>
  <c r="I2095" i="1" s="1"/>
  <c r="J2095" i="1" s="1"/>
  <c r="K2095" i="1" s="1"/>
  <c r="L2095" i="1" s="1"/>
  <c r="H753" i="1"/>
  <c r="I753" i="1" s="1"/>
  <c r="J753" i="1" s="1"/>
  <c r="K753" i="1" s="1"/>
  <c r="L753" i="1" s="1"/>
  <c r="H1062" i="1"/>
  <c r="I1062" i="1" s="1"/>
  <c r="J1062" i="1" s="1"/>
  <c r="K1062" i="1" s="1"/>
  <c r="L1062" i="1" s="1"/>
  <c r="H1464" i="1"/>
  <c r="I1464" i="1" s="1"/>
  <c r="J1464" i="1" s="1"/>
  <c r="K1464" i="1" s="1"/>
  <c r="L1464" i="1" s="1"/>
  <c r="H4085" i="1"/>
  <c r="I4085" i="1" s="1"/>
  <c r="J4085" i="1" s="1"/>
  <c r="K4085" i="1" s="1"/>
  <c r="L4085" i="1" s="1"/>
  <c r="H233" i="1"/>
  <c r="I233" i="1" s="1"/>
  <c r="J233" i="1" s="1"/>
  <c r="K233" i="1" s="1"/>
  <c r="L233" i="1" s="1"/>
  <c r="H1922" i="1"/>
  <c r="I1922" i="1" s="1"/>
  <c r="J1922" i="1" s="1"/>
  <c r="K1922" i="1" s="1"/>
  <c r="L1922" i="1" s="1"/>
  <c r="H848" i="1"/>
  <c r="I848" i="1" s="1"/>
  <c r="J848" i="1" s="1"/>
  <c r="K848" i="1" s="1"/>
  <c r="L848" i="1" s="1"/>
  <c r="H2257" i="1"/>
  <c r="I2257" i="1" s="1"/>
  <c r="J2257" i="1" s="1"/>
  <c r="K2257" i="1" s="1"/>
  <c r="L2257" i="1" s="1"/>
  <c r="H3193" i="1"/>
  <c r="I3193" i="1" s="1"/>
  <c r="J3193" i="1" s="1"/>
  <c r="K3193" i="1" s="1"/>
  <c r="L3193" i="1" s="1"/>
  <c r="H1149" i="1"/>
  <c r="I1149" i="1" s="1"/>
  <c r="J1149" i="1" s="1"/>
  <c r="K1149" i="1" s="1"/>
  <c r="L1149" i="1" s="1"/>
  <c r="H81" i="1"/>
  <c r="I81" i="1" s="1"/>
  <c r="J81" i="1" s="1"/>
  <c r="K81" i="1" s="1"/>
  <c r="L81" i="1" s="1"/>
  <c r="H1813" i="1"/>
  <c r="I1813" i="1" s="1"/>
  <c r="J1813" i="1" s="1"/>
  <c r="K1813" i="1" s="1"/>
  <c r="L1813" i="1" s="1"/>
  <c r="H3097" i="1"/>
  <c r="I3097" i="1" s="1"/>
  <c r="J3097" i="1" s="1"/>
  <c r="K3097" i="1" s="1"/>
  <c r="L3097" i="1" s="1"/>
  <c r="H1593" i="1"/>
  <c r="I1593" i="1" s="1"/>
  <c r="J1593" i="1" s="1"/>
  <c r="K1593" i="1" s="1"/>
  <c r="L1593" i="1" s="1"/>
  <c r="H263" i="1"/>
  <c r="I263" i="1" s="1"/>
  <c r="J263" i="1" s="1"/>
  <c r="K263" i="1" s="1"/>
  <c r="L263" i="1" s="1"/>
  <c r="H1530" i="1"/>
  <c r="I1530" i="1" s="1"/>
  <c r="J1530" i="1" s="1"/>
  <c r="K1530" i="1" s="1"/>
  <c r="L1530" i="1" s="1"/>
  <c r="H1358" i="1"/>
  <c r="I1358" i="1" s="1"/>
  <c r="J1358" i="1" s="1"/>
  <c r="K1358" i="1" s="1"/>
  <c r="L1358" i="1" s="1"/>
  <c r="H2939" i="1"/>
  <c r="I2939" i="1" s="1"/>
  <c r="J2939" i="1" s="1"/>
  <c r="K2939" i="1" s="1"/>
  <c r="L2939" i="1" s="1"/>
  <c r="H4814" i="1"/>
  <c r="I4814" i="1" s="1"/>
  <c r="J4814" i="1" s="1"/>
  <c r="K4814" i="1" s="1"/>
  <c r="L4814" i="1" s="1"/>
  <c r="H4018" i="1"/>
  <c r="I4018" i="1" s="1"/>
  <c r="J4018" i="1" s="1"/>
  <c r="K4018" i="1" s="1"/>
  <c r="L4018" i="1" s="1"/>
  <c r="H4836" i="1"/>
  <c r="I4836" i="1" s="1"/>
  <c r="J4836" i="1" s="1"/>
  <c r="K4836" i="1" s="1"/>
  <c r="L4836" i="1" s="1"/>
  <c r="H4376" i="1"/>
  <c r="I4376" i="1" s="1"/>
  <c r="J4376" i="1" s="1"/>
  <c r="K4376" i="1" s="1"/>
  <c r="L4376" i="1" s="1"/>
  <c r="H3371" i="1"/>
  <c r="I3371" i="1" s="1"/>
  <c r="J3371" i="1" s="1"/>
  <c r="K3371" i="1" s="1"/>
  <c r="L3371" i="1" s="1"/>
  <c r="H4024" i="1"/>
  <c r="I4024" i="1" s="1"/>
  <c r="J4024" i="1" s="1"/>
  <c r="K4024" i="1" s="1"/>
  <c r="L4024" i="1" s="1"/>
  <c r="H2164" i="1"/>
  <c r="I2164" i="1" s="1"/>
  <c r="J2164" i="1" s="1"/>
  <c r="K2164" i="1" s="1"/>
  <c r="L2164" i="1" s="1"/>
  <c r="H1267" i="1"/>
  <c r="I1267" i="1" s="1"/>
  <c r="J1267" i="1" s="1"/>
  <c r="K1267" i="1" s="1"/>
  <c r="L1267" i="1" s="1"/>
  <c r="H2340" i="1"/>
  <c r="I2340" i="1" s="1"/>
  <c r="J2340" i="1" s="1"/>
  <c r="K2340" i="1" s="1"/>
  <c r="L2340" i="1" s="1"/>
  <c r="H3318" i="1"/>
  <c r="I3318" i="1" s="1"/>
  <c r="J3318" i="1" s="1"/>
  <c r="K3318" i="1" s="1"/>
  <c r="L3318" i="1" s="1"/>
  <c r="H1001" i="1"/>
  <c r="I1001" i="1" s="1"/>
  <c r="J1001" i="1" s="1"/>
  <c r="K1001" i="1" s="1"/>
  <c r="L1001" i="1" s="1"/>
  <c r="H1417" i="1"/>
  <c r="I1417" i="1" s="1"/>
  <c r="J1417" i="1" s="1"/>
  <c r="K1417" i="1" s="1"/>
  <c r="L1417" i="1" s="1"/>
  <c r="H3275" i="1"/>
  <c r="I3275" i="1" s="1"/>
  <c r="J3275" i="1" s="1"/>
  <c r="K3275" i="1" s="1"/>
  <c r="L3275" i="1" s="1"/>
  <c r="H3654" i="1"/>
  <c r="I3654" i="1" s="1"/>
  <c r="J3654" i="1" s="1"/>
  <c r="K3654" i="1" s="1"/>
  <c r="L3654" i="1" s="1"/>
  <c r="H4288" i="1"/>
  <c r="I4288" i="1" s="1"/>
  <c r="J4288" i="1" s="1"/>
  <c r="K4288" i="1" s="1"/>
  <c r="L4288" i="1" s="1"/>
  <c r="H4262" i="1"/>
  <c r="I4262" i="1" s="1"/>
  <c r="J4262" i="1" s="1"/>
  <c r="K4262" i="1" s="1"/>
  <c r="L4262" i="1" s="1"/>
  <c r="H5342" i="1"/>
  <c r="I5342" i="1" s="1"/>
  <c r="J5342" i="1" s="1"/>
  <c r="K5342" i="1" s="1"/>
  <c r="L5342" i="1" s="1"/>
  <c r="H2574" i="1"/>
  <c r="I2574" i="1" s="1"/>
  <c r="J2574" i="1" s="1"/>
  <c r="K2574" i="1" s="1"/>
  <c r="L2574" i="1" s="1"/>
  <c r="H305" i="1"/>
  <c r="I305" i="1" s="1"/>
  <c r="J305" i="1" s="1"/>
  <c r="K305" i="1" s="1"/>
  <c r="L305" i="1" s="1"/>
  <c r="H2333" i="1"/>
  <c r="I2333" i="1" s="1"/>
  <c r="J2333" i="1" s="1"/>
  <c r="K2333" i="1" s="1"/>
  <c r="L2333" i="1" s="1"/>
  <c r="H1755" i="1"/>
  <c r="I1755" i="1" s="1"/>
  <c r="J1755" i="1" s="1"/>
  <c r="K1755" i="1" s="1"/>
  <c r="L1755" i="1" s="1"/>
  <c r="H2403" i="1"/>
  <c r="I2403" i="1" s="1"/>
  <c r="J2403" i="1" s="1"/>
  <c r="K2403" i="1" s="1"/>
  <c r="L2403" i="1" s="1"/>
  <c r="H3535" i="1"/>
  <c r="I3535" i="1" s="1"/>
  <c r="J3535" i="1" s="1"/>
  <c r="K3535" i="1" s="1"/>
  <c r="L3535" i="1" s="1"/>
  <c r="H572" i="1"/>
  <c r="I572" i="1" s="1"/>
  <c r="J572" i="1" s="1"/>
  <c r="K572" i="1" s="1"/>
  <c r="L572" i="1" s="1"/>
  <c r="H1662" i="1"/>
  <c r="I1662" i="1" s="1"/>
  <c r="J1662" i="1" s="1"/>
  <c r="K1662" i="1" s="1"/>
  <c r="L1662" i="1" s="1"/>
  <c r="H3231" i="1"/>
  <c r="I3231" i="1" s="1"/>
  <c r="J3231" i="1" s="1"/>
  <c r="K3231" i="1" s="1"/>
  <c r="L3231" i="1" s="1"/>
  <c r="H3346" i="1"/>
  <c r="I3346" i="1" s="1"/>
  <c r="J3346" i="1" s="1"/>
  <c r="K3346" i="1" s="1"/>
  <c r="L3346" i="1" s="1"/>
  <c r="H3903" i="1"/>
  <c r="I3903" i="1" s="1"/>
  <c r="J3903" i="1" s="1"/>
  <c r="K3903" i="1" s="1"/>
  <c r="L3903" i="1" s="1"/>
  <c r="H2952" i="1"/>
  <c r="I2952" i="1" s="1"/>
  <c r="J2952" i="1" s="1"/>
  <c r="K2952" i="1" s="1"/>
  <c r="L2952" i="1" s="1"/>
  <c r="H5202" i="1"/>
  <c r="I5202" i="1" s="1"/>
  <c r="J5202" i="1" s="1"/>
  <c r="K5202" i="1" s="1"/>
  <c r="L5202" i="1" s="1"/>
  <c r="H5594" i="1"/>
  <c r="I5594" i="1" s="1"/>
  <c r="J5594" i="1" s="1"/>
  <c r="K5594" i="1" s="1"/>
  <c r="L5594" i="1" s="1"/>
  <c r="H2021" i="1"/>
  <c r="I2021" i="1" s="1"/>
  <c r="J2021" i="1" s="1"/>
  <c r="K2021" i="1" s="1"/>
  <c r="L2021" i="1" s="1"/>
  <c r="H4532" i="1"/>
  <c r="I4532" i="1" s="1"/>
  <c r="J4532" i="1" s="1"/>
  <c r="K4532" i="1" s="1"/>
  <c r="L4532" i="1" s="1"/>
  <c r="H1849" i="1"/>
  <c r="I1849" i="1" s="1"/>
  <c r="J1849" i="1" s="1"/>
  <c r="K1849" i="1" s="1"/>
  <c r="L1849" i="1" s="1"/>
  <c r="H5733" i="1"/>
  <c r="I5733" i="1" s="1"/>
  <c r="J5733" i="1" s="1"/>
  <c r="K5733" i="1" s="1"/>
  <c r="L5733" i="1" s="1"/>
  <c r="H1063" i="1"/>
  <c r="I1063" i="1" s="1"/>
  <c r="J1063" i="1" s="1"/>
  <c r="K1063" i="1" s="1"/>
  <c r="L1063" i="1" s="1"/>
  <c r="H1489" i="1"/>
  <c r="I1489" i="1" s="1"/>
  <c r="J1489" i="1" s="1"/>
  <c r="K1489" i="1" s="1"/>
  <c r="L1489" i="1" s="1"/>
  <c r="H3146" i="1"/>
  <c r="I3146" i="1" s="1"/>
  <c r="J3146" i="1" s="1"/>
  <c r="K3146" i="1" s="1"/>
  <c r="L3146" i="1" s="1"/>
  <c r="H5854" i="1"/>
  <c r="I5854" i="1" s="1"/>
  <c r="J5854" i="1" s="1"/>
  <c r="K5854" i="1" s="1"/>
  <c r="L5854" i="1" s="1"/>
  <c r="H5354" i="1"/>
  <c r="I5354" i="1" s="1"/>
  <c r="J5354" i="1" s="1"/>
  <c r="K5354" i="1" s="1"/>
  <c r="L5354" i="1" s="1"/>
  <c r="H4854" i="1"/>
  <c r="I4854" i="1" s="1"/>
  <c r="J4854" i="1" s="1"/>
  <c r="K4854" i="1" s="1"/>
  <c r="L4854" i="1" s="1"/>
  <c r="H4408" i="1"/>
  <c r="I4408" i="1" s="1"/>
  <c r="J4408" i="1" s="1"/>
  <c r="K4408" i="1" s="1"/>
  <c r="L4408" i="1" s="1"/>
  <c r="H4916" i="1"/>
  <c r="I4916" i="1" s="1"/>
  <c r="J4916" i="1" s="1"/>
  <c r="K4916" i="1" s="1"/>
  <c r="L4916" i="1" s="1"/>
  <c r="H2831" i="1"/>
  <c r="I2831" i="1" s="1"/>
  <c r="J2831" i="1" s="1"/>
  <c r="K2831" i="1" s="1"/>
  <c r="L2831" i="1" s="1"/>
  <c r="H4013" i="1"/>
  <c r="I4013" i="1" s="1"/>
  <c r="J4013" i="1" s="1"/>
  <c r="K4013" i="1" s="1"/>
  <c r="L4013" i="1" s="1"/>
  <c r="H4043" i="1"/>
  <c r="I4043" i="1" s="1"/>
  <c r="J4043" i="1" s="1"/>
  <c r="K4043" i="1" s="1"/>
  <c r="L4043" i="1" s="1"/>
  <c r="H886" i="1"/>
  <c r="I886" i="1" s="1"/>
  <c r="J886" i="1" s="1"/>
  <c r="K886" i="1" s="1"/>
  <c r="L886" i="1" s="1"/>
  <c r="H3923" i="1"/>
  <c r="I3923" i="1" s="1"/>
  <c r="J3923" i="1" s="1"/>
  <c r="K3923" i="1" s="1"/>
  <c r="L3923" i="1" s="1"/>
  <c r="H4488" i="1"/>
  <c r="I4488" i="1" s="1"/>
  <c r="J4488" i="1" s="1"/>
  <c r="K4488" i="1" s="1"/>
  <c r="L4488" i="1" s="1"/>
  <c r="H1890" i="1"/>
  <c r="I1890" i="1" s="1"/>
  <c r="J1890" i="1" s="1"/>
  <c r="K1890" i="1" s="1"/>
  <c r="L1890" i="1" s="1"/>
  <c r="H1107" i="1"/>
  <c r="I1107" i="1" s="1"/>
  <c r="J1107" i="1" s="1"/>
  <c r="K1107" i="1" s="1"/>
  <c r="L1107" i="1" s="1"/>
  <c r="H1896" i="1"/>
  <c r="I1896" i="1" s="1"/>
  <c r="J1896" i="1" s="1"/>
  <c r="K1896" i="1" s="1"/>
  <c r="L1896" i="1" s="1"/>
  <c r="H3754" i="1"/>
  <c r="I3754" i="1" s="1"/>
  <c r="J3754" i="1" s="1"/>
  <c r="K3754" i="1" s="1"/>
  <c r="L3754" i="1" s="1"/>
  <c r="H4821" i="1"/>
  <c r="I4821" i="1" s="1"/>
  <c r="J4821" i="1" s="1"/>
  <c r="K4821" i="1" s="1"/>
  <c r="L4821" i="1" s="1"/>
  <c r="H1380" i="1"/>
  <c r="I1380" i="1" s="1"/>
  <c r="J1380" i="1" s="1"/>
  <c r="K1380" i="1" s="1"/>
  <c r="L1380" i="1" s="1"/>
  <c r="H2099" i="1"/>
  <c r="I2099" i="1" s="1"/>
  <c r="J2099" i="1" s="1"/>
  <c r="K2099" i="1" s="1"/>
  <c r="L2099" i="1" s="1"/>
  <c r="H1834" i="1"/>
  <c r="I1834" i="1" s="1"/>
  <c r="J1834" i="1" s="1"/>
  <c r="K1834" i="1" s="1"/>
  <c r="L1834" i="1" s="1"/>
  <c r="H3617" i="1"/>
  <c r="I3617" i="1" s="1"/>
  <c r="J3617" i="1" s="1"/>
  <c r="K3617" i="1" s="1"/>
  <c r="L3617" i="1" s="1"/>
  <c r="H3909" i="1"/>
  <c r="I3909" i="1" s="1"/>
  <c r="J3909" i="1" s="1"/>
  <c r="K3909" i="1" s="1"/>
  <c r="L3909" i="1" s="1"/>
  <c r="H1044" i="1"/>
  <c r="I1044" i="1" s="1"/>
  <c r="J1044" i="1" s="1"/>
  <c r="K1044" i="1" s="1"/>
  <c r="L1044" i="1" s="1"/>
  <c r="H5633" i="1"/>
  <c r="I5633" i="1" s="1"/>
  <c r="J5633" i="1" s="1"/>
  <c r="K5633" i="1" s="1"/>
  <c r="L5633" i="1" s="1"/>
  <c r="H1053" i="1"/>
  <c r="I1053" i="1" s="1"/>
  <c r="J1053" i="1" s="1"/>
  <c r="K1053" i="1" s="1"/>
  <c r="L1053" i="1" s="1"/>
  <c r="H5841" i="1"/>
  <c r="I5841" i="1" s="1"/>
  <c r="J5841" i="1" s="1"/>
  <c r="K5841" i="1" s="1"/>
  <c r="L5841" i="1" s="1"/>
  <c r="H1942" i="1"/>
  <c r="I1942" i="1" s="1"/>
  <c r="J1942" i="1" s="1"/>
  <c r="K1942" i="1" s="1"/>
  <c r="L1942" i="1" s="1"/>
  <c r="H5660" i="1"/>
  <c r="I5660" i="1" s="1"/>
  <c r="J5660" i="1" s="1"/>
  <c r="K5660" i="1" s="1"/>
  <c r="L5660" i="1" s="1"/>
  <c r="H1883" i="1"/>
  <c r="I1883" i="1" s="1"/>
  <c r="J1883" i="1" s="1"/>
  <c r="K1883" i="1" s="1"/>
  <c r="L1883" i="1" s="1"/>
  <c r="H91" i="1"/>
  <c r="I91" i="1" s="1"/>
  <c r="J91" i="1" s="1"/>
  <c r="K91" i="1" s="1"/>
  <c r="L91" i="1" s="1"/>
  <c r="H4580" i="1"/>
  <c r="I4580" i="1" s="1"/>
  <c r="J4580" i="1" s="1"/>
  <c r="K4580" i="1" s="1"/>
  <c r="L4580" i="1" s="1"/>
  <c r="H4127" i="1"/>
  <c r="I4127" i="1" s="1"/>
  <c r="J4127" i="1" s="1"/>
  <c r="K4127" i="1" s="1"/>
  <c r="L4127" i="1" s="1"/>
  <c r="H4052" i="1"/>
  <c r="I4052" i="1" s="1"/>
  <c r="J4052" i="1" s="1"/>
  <c r="K4052" i="1" s="1"/>
  <c r="L4052" i="1" s="1"/>
  <c r="H2731" i="1"/>
  <c r="I2731" i="1" s="1"/>
  <c r="J2731" i="1" s="1"/>
  <c r="K2731" i="1" s="1"/>
  <c r="L2731" i="1" s="1"/>
  <c r="H1837" i="1"/>
  <c r="I1837" i="1" s="1"/>
  <c r="J1837" i="1" s="1"/>
  <c r="K1837" i="1" s="1"/>
  <c r="L1837" i="1" s="1"/>
  <c r="H5320" i="1"/>
  <c r="I5320" i="1" s="1"/>
  <c r="J5320" i="1" s="1"/>
  <c r="K5320" i="1" s="1"/>
  <c r="L5320" i="1" s="1"/>
  <c r="H749" i="1"/>
  <c r="I749" i="1" s="1"/>
  <c r="J749" i="1" s="1"/>
  <c r="K749" i="1" s="1"/>
  <c r="L749" i="1" s="1"/>
  <c r="H3414" i="1"/>
  <c r="I3414" i="1" s="1"/>
  <c r="J3414" i="1" s="1"/>
  <c r="K3414" i="1" s="1"/>
  <c r="L3414" i="1" s="1"/>
  <c r="H3048" i="1"/>
  <c r="I3048" i="1" s="1"/>
  <c r="J3048" i="1" s="1"/>
  <c r="K3048" i="1" s="1"/>
  <c r="L3048" i="1" s="1"/>
  <c r="H2184" i="1"/>
  <c r="I2184" i="1" s="1"/>
  <c r="J2184" i="1" s="1"/>
  <c r="K2184" i="1" s="1"/>
  <c r="L2184" i="1" s="1"/>
  <c r="H4266" i="1"/>
  <c r="I4266" i="1" s="1"/>
  <c r="J4266" i="1" s="1"/>
  <c r="K4266" i="1" s="1"/>
  <c r="L4266" i="1" s="1"/>
  <c r="H905" i="1"/>
  <c r="I905" i="1" s="1"/>
  <c r="J905" i="1" s="1"/>
  <c r="K905" i="1" s="1"/>
  <c r="L905" i="1" s="1"/>
  <c r="H519" i="1"/>
  <c r="I519" i="1" s="1"/>
  <c r="J519" i="1" s="1"/>
  <c r="K519" i="1" s="1"/>
  <c r="L519" i="1" s="1"/>
  <c r="H4050" i="1"/>
  <c r="I4050" i="1" s="1"/>
  <c r="J4050" i="1" s="1"/>
  <c r="K4050" i="1" s="1"/>
  <c r="L4050" i="1" s="1"/>
  <c r="H2263" i="1"/>
  <c r="I2263" i="1" s="1"/>
  <c r="J2263" i="1" s="1"/>
  <c r="K2263" i="1" s="1"/>
  <c r="L2263" i="1" s="1"/>
  <c r="H3703" i="1"/>
  <c r="I3703" i="1" s="1"/>
  <c r="J3703" i="1" s="1"/>
  <c r="K3703" i="1" s="1"/>
  <c r="L3703" i="1" s="1"/>
  <c r="H2617" i="1"/>
  <c r="I2617" i="1" s="1"/>
  <c r="J2617" i="1" s="1"/>
  <c r="K2617" i="1" s="1"/>
  <c r="L2617" i="1" s="1"/>
  <c r="H5668" i="1"/>
  <c r="I5668" i="1" s="1"/>
  <c r="J5668" i="1" s="1"/>
  <c r="K5668" i="1" s="1"/>
  <c r="L5668" i="1" s="1"/>
  <c r="H3086" i="1"/>
  <c r="I3086" i="1" s="1"/>
  <c r="J3086" i="1" s="1"/>
  <c r="K3086" i="1" s="1"/>
  <c r="L3086" i="1" s="1"/>
  <c r="H3125" i="1"/>
  <c r="I3125" i="1" s="1"/>
  <c r="J3125" i="1" s="1"/>
  <c r="K3125" i="1" s="1"/>
  <c r="L3125" i="1" s="1"/>
  <c r="H1533" i="1"/>
  <c r="I1533" i="1" s="1"/>
  <c r="J1533" i="1" s="1"/>
  <c r="K1533" i="1" s="1"/>
  <c r="L1533" i="1" s="1"/>
  <c r="H4166" i="1"/>
  <c r="I4166" i="1" s="1"/>
  <c r="J4166" i="1" s="1"/>
  <c r="K4166" i="1" s="1"/>
  <c r="L4166" i="1" s="1"/>
  <c r="H283" i="1"/>
  <c r="I283" i="1" s="1"/>
  <c r="J283" i="1" s="1"/>
  <c r="K283" i="1" s="1"/>
  <c r="L283" i="1" s="1"/>
  <c r="H119" i="1"/>
  <c r="I119" i="1" s="1"/>
  <c r="J119" i="1" s="1"/>
  <c r="K119" i="1" s="1"/>
  <c r="L119" i="1" s="1"/>
  <c r="H5912" i="1"/>
  <c r="I5912" i="1" s="1"/>
  <c r="J5912" i="1" s="1"/>
  <c r="K5912" i="1" s="1"/>
  <c r="L5912" i="1" s="1"/>
  <c r="H2404" i="1"/>
  <c r="I2404" i="1" s="1"/>
  <c r="J2404" i="1" s="1"/>
  <c r="K2404" i="1" s="1"/>
  <c r="L2404" i="1" s="1"/>
  <c r="H1850" i="1"/>
  <c r="I1850" i="1" s="1"/>
  <c r="J1850" i="1" s="1"/>
  <c r="K1850" i="1" s="1"/>
  <c r="L1850" i="1" s="1"/>
  <c r="H3795" i="1"/>
  <c r="I3795" i="1" s="1"/>
  <c r="J3795" i="1" s="1"/>
  <c r="K3795" i="1" s="1"/>
  <c r="L3795" i="1" s="1"/>
  <c r="H1061" i="1"/>
  <c r="I1061" i="1" s="1"/>
  <c r="J1061" i="1" s="1"/>
  <c r="K1061" i="1" s="1"/>
  <c r="L1061" i="1" s="1"/>
  <c r="H2866" i="1"/>
  <c r="I2866" i="1" s="1"/>
  <c r="J2866" i="1" s="1"/>
  <c r="K2866" i="1" s="1"/>
  <c r="L2866" i="1" s="1"/>
  <c r="H2718" i="1"/>
  <c r="I2718" i="1" s="1"/>
  <c r="J2718" i="1" s="1"/>
  <c r="K2718" i="1" s="1"/>
  <c r="L2718" i="1" s="1"/>
  <c r="H5815" i="1"/>
  <c r="I5815" i="1" s="1"/>
  <c r="J5815" i="1" s="1"/>
  <c r="K5815" i="1" s="1"/>
  <c r="L5815" i="1" s="1"/>
  <c r="H2961" i="1"/>
  <c r="I2961" i="1" s="1"/>
  <c r="J2961" i="1" s="1"/>
  <c r="K2961" i="1" s="1"/>
  <c r="L2961" i="1" s="1"/>
  <c r="H5879" i="1"/>
  <c r="I5879" i="1" s="1"/>
  <c r="J5879" i="1" s="1"/>
  <c r="K5879" i="1" s="1"/>
  <c r="L5879" i="1" s="1"/>
  <c r="H3160" i="1"/>
  <c r="I3160" i="1" s="1"/>
  <c r="J3160" i="1" s="1"/>
  <c r="K3160" i="1" s="1"/>
  <c r="L3160" i="1" s="1"/>
  <c r="H5467" i="1"/>
  <c r="I5467" i="1" s="1"/>
  <c r="J5467" i="1" s="1"/>
  <c r="K5467" i="1" s="1"/>
  <c r="L5467" i="1" s="1"/>
  <c r="H4517" i="1"/>
  <c r="I4517" i="1" s="1"/>
  <c r="J4517" i="1" s="1"/>
  <c r="K4517" i="1" s="1"/>
  <c r="L4517" i="1" s="1"/>
  <c r="H3572" i="1"/>
  <c r="I3572" i="1" s="1"/>
  <c r="J3572" i="1" s="1"/>
  <c r="K3572" i="1" s="1"/>
  <c r="L3572" i="1" s="1"/>
  <c r="H5873" i="1"/>
  <c r="I5873" i="1" s="1"/>
  <c r="J5873" i="1" s="1"/>
  <c r="K5873" i="1" s="1"/>
  <c r="L5873" i="1" s="1"/>
  <c r="H5876" i="1"/>
  <c r="I5876" i="1" s="1"/>
  <c r="J5876" i="1" s="1"/>
  <c r="K5876" i="1" s="1"/>
  <c r="L5876" i="1" s="1"/>
  <c r="H2707" i="1"/>
  <c r="I2707" i="1" s="1"/>
  <c r="J2707" i="1" s="1"/>
  <c r="K2707" i="1" s="1"/>
  <c r="L2707" i="1" s="1"/>
  <c r="H3484" i="1"/>
  <c r="I3484" i="1" s="1"/>
  <c r="J3484" i="1" s="1"/>
  <c r="K3484" i="1" s="1"/>
  <c r="L3484" i="1" s="1"/>
  <c r="H3885" i="1"/>
  <c r="I3885" i="1" s="1"/>
  <c r="J3885" i="1" s="1"/>
  <c r="K3885" i="1" s="1"/>
  <c r="L3885" i="1" s="1"/>
  <c r="H5488" i="1"/>
  <c r="I5488" i="1" s="1"/>
  <c r="J5488" i="1" s="1"/>
  <c r="K5488" i="1" s="1"/>
  <c r="L5488" i="1" s="1"/>
  <c r="H4576" i="1"/>
  <c r="I4576" i="1" s="1"/>
  <c r="J4576" i="1" s="1"/>
  <c r="K4576" i="1" s="1"/>
  <c r="L4576" i="1" s="1"/>
  <c r="H288" i="1"/>
  <c r="I288" i="1" s="1"/>
  <c r="J288" i="1" s="1"/>
  <c r="K288" i="1" s="1"/>
  <c r="L288" i="1" s="1"/>
  <c r="H2588" i="1"/>
  <c r="I2588" i="1" s="1"/>
  <c r="J2588" i="1" s="1"/>
  <c r="K2588" i="1" s="1"/>
  <c r="L2588" i="1" s="1"/>
  <c r="H974" i="1"/>
  <c r="I974" i="1" s="1"/>
  <c r="J974" i="1" s="1"/>
  <c r="K974" i="1" s="1"/>
  <c r="L974" i="1" s="1"/>
  <c r="H4258" i="1"/>
  <c r="I4258" i="1" s="1"/>
  <c r="J4258" i="1" s="1"/>
  <c r="K4258" i="1" s="1"/>
  <c r="L4258" i="1" s="1"/>
  <c r="H605" i="1"/>
  <c r="I605" i="1" s="1"/>
  <c r="J605" i="1" s="1"/>
  <c r="K605" i="1" s="1"/>
  <c r="L605" i="1" s="1"/>
  <c r="H2633" i="1"/>
  <c r="I2633" i="1" s="1"/>
  <c r="J2633" i="1" s="1"/>
  <c r="K2633" i="1" s="1"/>
  <c r="L2633" i="1" s="1"/>
  <c r="H4210" i="1"/>
  <c r="I4210" i="1" s="1"/>
  <c r="J4210" i="1" s="1"/>
  <c r="K4210" i="1" s="1"/>
  <c r="L4210" i="1" s="1"/>
  <c r="H280" i="1"/>
  <c r="I280" i="1" s="1"/>
  <c r="J280" i="1" s="1"/>
  <c r="K280" i="1" s="1"/>
  <c r="L280" i="1" s="1"/>
  <c r="H1170" i="1"/>
  <c r="I1170" i="1" s="1"/>
  <c r="J1170" i="1" s="1"/>
  <c r="K1170" i="1" s="1"/>
  <c r="L1170" i="1" s="1"/>
  <c r="H1769" i="1"/>
  <c r="I1769" i="1" s="1"/>
  <c r="J1769" i="1" s="1"/>
  <c r="K1769" i="1" s="1"/>
  <c r="L1769" i="1" s="1"/>
  <c r="H1776" i="1"/>
  <c r="I1776" i="1" s="1"/>
  <c r="J1776" i="1" s="1"/>
  <c r="K1776" i="1" s="1"/>
  <c r="L1776" i="1" s="1"/>
  <c r="H1666" i="1"/>
  <c r="I1666" i="1" s="1"/>
  <c r="J1666" i="1" s="1"/>
  <c r="K1666" i="1" s="1"/>
  <c r="L1666" i="1" s="1"/>
  <c r="H2096" i="1"/>
  <c r="I2096" i="1" s="1"/>
  <c r="J2096" i="1" s="1"/>
  <c r="K2096" i="1" s="1"/>
  <c r="L2096" i="1" s="1"/>
  <c r="H3238" i="1"/>
  <c r="I3238" i="1" s="1"/>
  <c r="J3238" i="1" s="1"/>
  <c r="K3238" i="1" s="1"/>
  <c r="L3238" i="1" s="1"/>
  <c r="H2486" i="1"/>
  <c r="I2486" i="1" s="1"/>
  <c r="J2486" i="1" s="1"/>
  <c r="K2486" i="1" s="1"/>
  <c r="L2486" i="1" s="1"/>
  <c r="H2586" i="1"/>
  <c r="I2586" i="1" s="1"/>
  <c r="J2586" i="1" s="1"/>
  <c r="K2586" i="1" s="1"/>
  <c r="L2586" i="1" s="1"/>
  <c r="H478" i="1"/>
  <c r="I478" i="1" s="1"/>
  <c r="J478" i="1" s="1"/>
  <c r="K478" i="1" s="1"/>
  <c r="L478" i="1" s="1"/>
  <c r="H4787" i="1"/>
  <c r="I4787" i="1" s="1"/>
  <c r="J4787" i="1" s="1"/>
  <c r="K4787" i="1" s="1"/>
  <c r="L4787" i="1" s="1"/>
  <c r="H297" i="1"/>
  <c r="I297" i="1" s="1"/>
  <c r="J297" i="1" s="1"/>
  <c r="K297" i="1" s="1"/>
  <c r="L297" i="1" s="1"/>
  <c r="H1307" i="1"/>
  <c r="I1307" i="1" s="1"/>
  <c r="J1307" i="1" s="1"/>
  <c r="K1307" i="1" s="1"/>
  <c r="L1307" i="1" s="1"/>
  <c r="H754" i="1"/>
  <c r="I754" i="1" s="1"/>
  <c r="J754" i="1" s="1"/>
  <c r="K754" i="1" s="1"/>
  <c r="L754" i="1" s="1"/>
  <c r="H941" i="1"/>
  <c r="I941" i="1" s="1"/>
  <c r="J941" i="1" s="1"/>
  <c r="K941" i="1" s="1"/>
  <c r="L941" i="1" s="1"/>
  <c r="H4432" i="1"/>
  <c r="I4432" i="1" s="1"/>
  <c r="J4432" i="1" s="1"/>
  <c r="K4432" i="1" s="1"/>
  <c r="L4432" i="1" s="1"/>
  <c r="H5393" i="1"/>
  <c r="I5393" i="1" s="1"/>
  <c r="J5393" i="1" s="1"/>
  <c r="K5393" i="1" s="1"/>
  <c r="L5393" i="1" s="1"/>
  <c r="H2246" i="1"/>
  <c r="I2246" i="1" s="1"/>
  <c r="J2246" i="1" s="1"/>
  <c r="K2246" i="1" s="1"/>
  <c r="L2246" i="1" s="1"/>
  <c r="H1907" i="1"/>
  <c r="I1907" i="1" s="1"/>
  <c r="J1907" i="1" s="1"/>
  <c r="K1907" i="1" s="1"/>
  <c r="L1907" i="1" s="1"/>
  <c r="H4451" i="1"/>
  <c r="I4451" i="1" s="1"/>
  <c r="J4451" i="1" s="1"/>
  <c r="K4451" i="1" s="1"/>
  <c r="L4451" i="1" s="1"/>
  <c r="H4805" i="1"/>
  <c r="I4805" i="1" s="1"/>
  <c r="J4805" i="1" s="1"/>
  <c r="K4805" i="1" s="1"/>
  <c r="L4805" i="1" s="1"/>
  <c r="H372" i="1"/>
  <c r="I372" i="1" s="1"/>
  <c r="J372" i="1" s="1"/>
  <c r="K372" i="1" s="1"/>
  <c r="L372" i="1" s="1"/>
  <c r="H1160" i="1"/>
  <c r="I1160" i="1" s="1"/>
  <c r="J1160" i="1" s="1"/>
  <c r="K1160" i="1" s="1"/>
  <c r="L1160" i="1" s="1"/>
  <c r="H1939" i="1"/>
  <c r="I1939" i="1" s="1"/>
  <c r="J1939" i="1" s="1"/>
  <c r="K1939" i="1" s="1"/>
  <c r="L1939" i="1" s="1"/>
  <c r="H441" i="1"/>
  <c r="I441" i="1" s="1"/>
  <c r="J441" i="1" s="1"/>
  <c r="K441" i="1" s="1"/>
  <c r="L441" i="1" s="1"/>
  <c r="H746" i="1"/>
  <c r="I746" i="1" s="1"/>
  <c r="J746" i="1" s="1"/>
  <c r="K746" i="1" s="1"/>
  <c r="L746" i="1" s="1"/>
  <c r="H1137" i="1"/>
  <c r="I1137" i="1" s="1"/>
  <c r="J1137" i="1" s="1"/>
  <c r="K1137" i="1" s="1"/>
  <c r="L1137" i="1" s="1"/>
  <c r="H363" i="1"/>
  <c r="I363" i="1" s="1"/>
  <c r="J363" i="1" s="1"/>
  <c r="K363" i="1" s="1"/>
  <c r="L363" i="1" s="1"/>
  <c r="H3743" i="1"/>
  <c r="I3743" i="1" s="1"/>
  <c r="J3743" i="1" s="1"/>
  <c r="K3743" i="1" s="1"/>
  <c r="L3743" i="1" s="1"/>
  <c r="H2666" i="1"/>
  <c r="I2666" i="1" s="1"/>
  <c r="J2666" i="1" s="1"/>
  <c r="K2666" i="1" s="1"/>
  <c r="L2666" i="1" s="1"/>
  <c r="H3141" i="1"/>
  <c r="I3141" i="1" s="1"/>
  <c r="J3141" i="1" s="1"/>
  <c r="K3141" i="1" s="1"/>
  <c r="L3141" i="1" s="1"/>
  <c r="H4175" i="1"/>
  <c r="I4175" i="1" s="1"/>
  <c r="J4175" i="1" s="1"/>
  <c r="K4175" i="1" s="1"/>
  <c r="L4175" i="1" s="1"/>
  <c r="H167" i="1"/>
  <c r="I167" i="1" s="1"/>
  <c r="J167" i="1" s="1"/>
  <c r="K167" i="1" s="1"/>
  <c r="L167" i="1" s="1"/>
  <c r="H2294" i="1"/>
  <c r="I2294" i="1" s="1"/>
  <c r="J2294" i="1" s="1"/>
  <c r="K2294" i="1" s="1"/>
  <c r="L2294" i="1" s="1"/>
  <c r="H1932" i="1"/>
  <c r="I1932" i="1" s="1"/>
  <c r="J1932" i="1" s="1"/>
  <c r="K1932" i="1" s="1"/>
  <c r="L1932" i="1" s="1"/>
  <c r="H782" i="1"/>
  <c r="I782" i="1" s="1"/>
  <c r="J782" i="1" s="1"/>
  <c r="K782" i="1" s="1"/>
  <c r="L782" i="1" s="1"/>
  <c r="H606" i="1"/>
  <c r="I606" i="1" s="1"/>
  <c r="J606" i="1" s="1"/>
  <c r="K606" i="1" s="1"/>
  <c r="L606" i="1" s="1"/>
  <c r="H2763" i="1"/>
  <c r="I2763" i="1" s="1"/>
  <c r="J2763" i="1" s="1"/>
  <c r="K2763" i="1" s="1"/>
  <c r="L2763" i="1" s="1"/>
  <c r="H223" i="1"/>
  <c r="I223" i="1" s="1"/>
  <c r="J223" i="1" s="1"/>
  <c r="K223" i="1" s="1"/>
  <c r="L223" i="1" s="1"/>
  <c r="H1105" i="1"/>
  <c r="I1105" i="1" s="1"/>
  <c r="J1105" i="1" s="1"/>
  <c r="K1105" i="1" s="1"/>
  <c r="L1105" i="1" s="1"/>
  <c r="H2483" i="1"/>
  <c r="I2483" i="1" s="1"/>
  <c r="J2483" i="1" s="1"/>
  <c r="K2483" i="1" s="1"/>
  <c r="L2483" i="1" s="1"/>
  <c r="H5699" i="1"/>
  <c r="I5699" i="1" s="1"/>
  <c r="J5699" i="1" s="1"/>
  <c r="K5699" i="1" s="1"/>
  <c r="L5699" i="1" s="1"/>
  <c r="H4610" i="1"/>
  <c r="I4610" i="1" s="1"/>
  <c r="J4610" i="1" s="1"/>
  <c r="K4610" i="1" s="1"/>
  <c r="L4610" i="1" s="1"/>
  <c r="H2104" i="1"/>
  <c r="I2104" i="1" s="1"/>
  <c r="J2104" i="1" s="1"/>
  <c r="K2104" i="1" s="1"/>
  <c r="L2104" i="1" s="1"/>
  <c r="H3066" i="1"/>
  <c r="I3066" i="1" s="1"/>
  <c r="J3066" i="1" s="1"/>
  <c r="K3066" i="1" s="1"/>
  <c r="L3066" i="1" s="1"/>
  <c r="H212" i="1"/>
  <c r="I212" i="1" s="1"/>
  <c r="J212" i="1" s="1"/>
  <c r="K212" i="1" s="1"/>
  <c r="L212" i="1" s="1"/>
  <c r="H5385" i="1"/>
  <c r="I5385" i="1" s="1"/>
  <c r="J5385" i="1" s="1"/>
  <c r="K5385" i="1" s="1"/>
  <c r="L5385" i="1" s="1"/>
  <c r="H2507" i="1"/>
  <c r="I2507" i="1" s="1"/>
  <c r="J2507" i="1" s="1"/>
  <c r="K2507" i="1" s="1"/>
  <c r="L2507" i="1" s="1"/>
  <c r="H518" i="1"/>
  <c r="I518" i="1" s="1"/>
  <c r="J518" i="1" s="1"/>
  <c r="K518" i="1" s="1"/>
  <c r="L518" i="1" s="1"/>
  <c r="H613" i="1"/>
  <c r="I613" i="1" s="1"/>
  <c r="J613" i="1" s="1"/>
  <c r="K613" i="1" s="1"/>
  <c r="L613" i="1" s="1"/>
  <c r="H2278" i="1"/>
  <c r="I2278" i="1" s="1"/>
  <c r="J2278" i="1" s="1"/>
  <c r="K2278" i="1" s="1"/>
  <c r="L2278" i="1" s="1"/>
  <c r="H1541" i="1"/>
  <c r="I1541" i="1" s="1"/>
  <c r="J1541" i="1" s="1"/>
  <c r="K1541" i="1" s="1"/>
  <c r="L1541" i="1" s="1"/>
  <c r="H2924" i="1"/>
  <c r="I2924" i="1" s="1"/>
  <c r="J2924" i="1" s="1"/>
  <c r="K2924" i="1" s="1"/>
  <c r="L2924" i="1" s="1"/>
  <c r="H497" i="1"/>
  <c r="I497" i="1" s="1"/>
  <c r="J497" i="1" s="1"/>
  <c r="K497" i="1" s="1"/>
  <c r="L497" i="1" s="1"/>
  <c r="H5170" i="1"/>
  <c r="I5170" i="1" s="1"/>
  <c r="J5170" i="1" s="1"/>
  <c r="K5170" i="1" s="1"/>
  <c r="L5170" i="1" s="1"/>
  <c r="H3079" i="1"/>
  <c r="I3079" i="1" s="1"/>
  <c r="J3079" i="1" s="1"/>
  <c r="K3079" i="1" s="1"/>
  <c r="L3079" i="1" s="1"/>
  <c r="H1659" i="1"/>
  <c r="I1659" i="1" s="1"/>
  <c r="J1659" i="1" s="1"/>
  <c r="K1659" i="1" s="1"/>
  <c r="L1659" i="1" s="1"/>
  <c r="H2177" i="1"/>
  <c r="I2177" i="1" s="1"/>
  <c r="J2177" i="1" s="1"/>
  <c r="K2177" i="1" s="1"/>
  <c r="L2177" i="1" s="1"/>
  <c r="H731" i="1"/>
  <c r="I731" i="1" s="1"/>
  <c r="J731" i="1" s="1"/>
  <c r="K731" i="1" s="1"/>
  <c r="L731" i="1" s="1"/>
  <c r="H4188" i="1"/>
  <c r="I4188" i="1" s="1"/>
  <c r="J4188" i="1" s="1"/>
  <c r="K4188" i="1" s="1"/>
  <c r="L4188" i="1" s="1"/>
  <c r="H1406" i="1"/>
  <c r="I1406" i="1" s="1"/>
  <c r="J1406" i="1" s="1"/>
  <c r="K1406" i="1" s="1"/>
  <c r="L1406" i="1" s="1"/>
  <c r="H5746" i="1"/>
  <c r="I5746" i="1" s="1"/>
  <c r="J5746" i="1" s="1"/>
  <c r="K5746" i="1" s="1"/>
  <c r="L5746" i="1" s="1"/>
  <c r="H3866" i="1"/>
  <c r="I3866" i="1" s="1"/>
  <c r="J3866" i="1" s="1"/>
  <c r="K3866" i="1" s="1"/>
  <c r="L3866" i="1" s="1"/>
  <c r="H1475" i="1"/>
  <c r="I1475" i="1" s="1"/>
  <c r="J1475" i="1" s="1"/>
  <c r="K1475" i="1" s="1"/>
  <c r="L1475" i="1" s="1"/>
  <c r="H547" i="1"/>
  <c r="I547" i="1" s="1"/>
  <c r="J547" i="1" s="1"/>
  <c r="K547" i="1" s="1"/>
  <c r="L547" i="1" s="1"/>
  <c r="H3689" i="1"/>
  <c r="I3689" i="1" s="1"/>
  <c r="J3689" i="1" s="1"/>
  <c r="K3689" i="1" s="1"/>
  <c r="L3689" i="1" s="1"/>
  <c r="H5067" i="1"/>
  <c r="I5067" i="1" s="1"/>
  <c r="J5067" i="1" s="1"/>
  <c r="K5067" i="1" s="1"/>
  <c r="L5067" i="1" s="1"/>
  <c r="H4757" i="1"/>
  <c r="I4757" i="1" s="1"/>
  <c r="J4757" i="1" s="1"/>
  <c r="K4757" i="1" s="1"/>
  <c r="L4757" i="1" s="1"/>
  <c r="H562" i="1"/>
  <c r="I562" i="1" s="1"/>
  <c r="J562" i="1" s="1"/>
  <c r="K562" i="1" s="1"/>
  <c r="L562" i="1" s="1"/>
  <c r="H1208" i="1"/>
  <c r="I1208" i="1" s="1"/>
  <c r="J1208" i="1" s="1"/>
  <c r="K1208" i="1" s="1"/>
  <c r="L1208" i="1" s="1"/>
  <c r="H222" i="1"/>
  <c r="I222" i="1" s="1"/>
  <c r="J222" i="1" s="1"/>
  <c r="K222" i="1" s="1"/>
  <c r="L222" i="1" s="1"/>
  <c r="H153" i="1"/>
  <c r="I153" i="1" s="1"/>
  <c r="J153" i="1" s="1"/>
  <c r="K153" i="1" s="1"/>
  <c r="L153" i="1" s="1"/>
  <c r="H3127" i="1"/>
  <c r="I3127" i="1" s="1"/>
  <c r="J3127" i="1" s="1"/>
  <c r="K3127" i="1" s="1"/>
  <c r="L3127" i="1" s="1"/>
  <c r="H5769" i="1"/>
  <c r="I5769" i="1" s="1"/>
  <c r="J5769" i="1" s="1"/>
  <c r="K5769" i="1" s="1"/>
  <c r="L5769" i="1" s="1"/>
  <c r="H4967" i="1"/>
  <c r="I4967" i="1" s="1"/>
  <c r="J4967" i="1" s="1"/>
  <c r="K4967" i="1" s="1"/>
  <c r="L4967" i="1" s="1"/>
  <c r="H2456" i="1"/>
  <c r="I2456" i="1" s="1"/>
  <c r="J2456" i="1" s="1"/>
  <c r="K2456" i="1" s="1"/>
  <c r="L2456" i="1" s="1"/>
  <c r="H2908" i="1"/>
  <c r="I2908" i="1" s="1"/>
  <c r="J2908" i="1" s="1"/>
  <c r="K2908" i="1" s="1"/>
  <c r="L2908" i="1" s="1"/>
  <c r="H4119" i="1"/>
  <c r="I4119" i="1" s="1"/>
  <c r="J4119" i="1" s="1"/>
  <c r="K4119" i="1" s="1"/>
  <c r="L4119" i="1" s="1"/>
  <c r="H1894" i="1"/>
  <c r="I1894" i="1" s="1"/>
  <c r="J1894" i="1" s="1"/>
  <c r="K1894" i="1" s="1"/>
  <c r="L1894" i="1" s="1"/>
  <c r="H1911" i="1"/>
  <c r="I1911" i="1" s="1"/>
  <c r="J1911" i="1" s="1"/>
  <c r="K1911" i="1" s="1"/>
  <c r="L1911" i="1" s="1"/>
  <c r="H5293" i="1"/>
  <c r="I5293" i="1" s="1"/>
  <c r="J5293" i="1" s="1"/>
  <c r="K5293" i="1" s="1"/>
  <c r="L5293" i="1" s="1"/>
  <c r="H995" i="1"/>
  <c r="I995" i="1" s="1"/>
  <c r="J995" i="1" s="1"/>
  <c r="K995" i="1" s="1"/>
  <c r="L995" i="1" s="1"/>
  <c r="H838" i="1"/>
  <c r="I838" i="1" s="1"/>
  <c r="J838" i="1" s="1"/>
  <c r="K838" i="1" s="1"/>
  <c r="L838" i="1" s="1"/>
  <c r="H492" i="1"/>
  <c r="I492" i="1" s="1"/>
  <c r="J492" i="1" s="1"/>
  <c r="K492" i="1" s="1"/>
  <c r="L492" i="1" s="1"/>
  <c r="H2737" i="1"/>
  <c r="I2737" i="1" s="1"/>
  <c r="J2737" i="1" s="1"/>
  <c r="K2737" i="1" s="1"/>
  <c r="L2737" i="1" s="1"/>
  <c r="H4850" i="1"/>
  <c r="I4850" i="1" s="1"/>
  <c r="J4850" i="1" s="1"/>
  <c r="K4850" i="1" s="1"/>
  <c r="L4850" i="1" s="1"/>
  <c r="H354" i="1"/>
  <c r="I354" i="1" s="1"/>
  <c r="J354" i="1" s="1"/>
  <c r="K354" i="1" s="1"/>
  <c r="L354" i="1" s="1"/>
  <c r="H4819" i="1"/>
  <c r="I4819" i="1" s="1"/>
  <c r="J4819" i="1" s="1"/>
  <c r="K4819" i="1" s="1"/>
  <c r="L4819" i="1" s="1"/>
  <c r="H2727" i="1"/>
  <c r="I2727" i="1" s="1"/>
  <c r="J2727" i="1" s="1"/>
  <c r="K2727" i="1" s="1"/>
  <c r="L2727" i="1" s="1"/>
  <c r="H1660" i="1"/>
  <c r="I1660" i="1" s="1"/>
  <c r="J1660" i="1" s="1"/>
  <c r="K1660" i="1" s="1"/>
  <c r="L1660" i="1" s="1"/>
  <c r="H356" i="1"/>
  <c r="I356" i="1" s="1"/>
  <c r="J356" i="1" s="1"/>
  <c r="K356" i="1" s="1"/>
  <c r="L356" i="1" s="1"/>
  <c r="H2107" i="1"/>
  <c r="I2107" i="1" s="1"/>
  <c r="J2107" i="1" s="1"/>
  <c r="K2107" i="1" s="1"/>
  <c r="L2107" i="1" s="1"/>
  <c r="H5960" i="1"/>
  <c r="I5960" i="1" s="1"/>
  <c r="J5960" i="1" s="1"/>
  <c r="K5960" i="1" s="1"/>
  <c r="L5960" i="1" s="1"/>
  <c r="H3769" i="1"/>
  <c r="I3769" i="1" s="1"/>
  <c r="J3769" i="1" s="1"/>
  <c r="K3769" i="1" s="1"/>
  <c r="L3769" i="1" s="1"/>
  <c r="H5316" i="1"/>
  <c r="I5316" i="1" s="1"/>
  <c r="J5316" i="1" s="1"/>
  <c r="K5316" i="1" s="1"/>
  <c r="L5316" i="1" s="1"/>
  <c r="F16" i="8"/>
  <c r="G16" i="8" s="1"/>
  <c r="H287" i="1"/>
  <c r="I287" i="1" s="1"/>
  <c r="J287" i="1" s="1"/>
  <c r="K287" i="1" s="1"/>
  <c r="L287" i="1" s="1"/>
  <c r="H509" i="1"/>
  <c r="I509" i="1" s="1"/>
  <c r="J509" i="1" s="1"/>
  <c r="K509" i="1" s="1"/>
  <c r="L509" i="1" s="1"/>
  <c r="H4898" i="1"/>
  <c r="I4898" i="1" s="1"/>
  <c r="J4898" i="1" s="1"/>
  <c r="K4898" i="1" s="1"/>
  <c r="L4898" i="1" s="1"/>
  <c r="H5400" i="1"/>
  <c r="I5400" i="1" s="1"/>
  <c r="J5400" i="1" s="1"/>
  <c r="K5400" i="1" s="1"/>
  <c r="L5400" i="1" s="1"/>
  <c r="H3702" i="1"/>
  <c r="I3702" i="1" s="1"/>
  <c r="J3702" i="1" s="1"/>
  <c r="K3702" i="1" s="1"/>
  <c r="L3702" i="1" s="1"/>
  <c r="H1565" i="1"/>
  <c r="I1565" i="1" s="1"/>
  <c r="J1565" i="1" s="1"/>
  <c r="K1565" i="1" s="1"/>
  <c r="L1565" i="1" s="1"/>
  <c r="H5956" i="1"/>
  <c r="I5956" i="1" s="1"/>
  <c r="J5956" i="1" s="1"/>
  <c r="K5956" i="1" s="1"/>
  <c r="L5956" i="1" s="1"/>
  <c r="H1344" i="1"/>
  <c r="I1344" i="1" s="1"/>
  <c r="J1344" i="1" s="1"/>
  <c r="K1344" i="1" s="1"/>
  <c r="L1344" i="1" s="1"/>
  <c r="H1409" i="1"/>
  <c r="I1409" i="1" s="1"/>
  <c r="J1409" i="1" s="1"/>
  <c r="K1409" i="1" s="1"/>
  <c r="L1409" i="1" s="1"/>
  <c r="H1479" i="1"/>
  <c r="I1479" i="1" s="1"/>
  <c r="J1479" i="1" s="1"/>
  <c r="K1479" i="1" s="1"/>
  <c r="L1479" i="1" s="1"/>
  <c r="H1266" i="1"/>
  <c r="I1266" i="1" s="1"/>
  <c r="J1266" i="1" s="1"/>
  <c r="K1266" i="1" s="1"/>
  <c r="L1266" i="1" s="1"/>
  <c r="H146" i="1"/>
  <c r="I146" i="1" s="1"/>
  <c r="J146" i="1" s="1"/>
  <c r="K146" i="1" s="1"/>
  <c r="L146" i="1" s="1"/>
  <c r="H5885" i="1"/>
  <c r="I5885" i="1" s="1"/>
  <c r="J5885" i="1" s="1"/>
  <c r="K5885" i="1" s="1"/>
  <c r="L5885" i="1" s="1"/>
  <c r="H3558" i="1"/>
  <c r="I3558" i="1" s="1"/>
  <c r="J3558" i="1" s="1"/>
  <c r="K3558" i="1" s="1"/>
  <c r="L3558" i="1" s="1"/>
  <c r="H464" i="1"/>
  <c r="I464" i="1" s="1"/>
  <c r="J464" i="1" s="1"/>
  <c r="K464" i="1" s="1"/>
  <c r="L464" i="1" s="1"/>
  <c r="H2241" i="1"/>
  <c r="I2241" i="1" s="1"/>
  <c r="J2241" i="1" s="1"/>
  <c r="K2241" i="1" s="1"/>
  <c r="L2241" i="1" s="1"/>
  <c r="H2408" i="1"/>
  <c r="I2408" i="1" s="1"/>
  <c r="J2408" i="1" s="1"/>
  <c r="K2408" i="1" s="1"/>
  <c r="L2408" i="1" s="1"/>
  <c r="H442" i="1"/>
  <c r="I442" i="1" s="1"/>
  <c r="J442" i="1" s="1"/>
  <c r="K442" i="1" s="1"/>
  <c r="L442" i="1" s="1"/>
  <c r="H5757" i="1"/>
  <c r="I5757" i="1" s="1"/>
  <c r="J5757" i="1" s="1"/>
  <c r="K5757" i="1" s="1"/>
  <c r="L5757" i="1" s="1"/>
  <c r="H4976" i="1"/>
  <c r="I4976" i="1" s="1"/>
  <c r="J4976" i="1" s="1"/>
  <c r="K4976" i="1" s="1"/>
  <c r="L4976" i="1" s="1"/>
  <c r="H679" i="1"/>
  <c r="I679" i="1" s="1"/>
  <c r="J679" i="1" s="1"/>
  <c r="K679" i="1" s="1"/>
  <c r="L679" i="1" s="1"/>
  <c r="H5384" i="1"/>
  <c r="I5384" i="1" s="1"/>
  <c r="J5384" i="1" s="1"/>
  <c r="K5384" i="1" s="1"/>
  <c r="L5384" i="1" s="1"/>
  <c r="H3675" i="1"/>
  <c r="I3675" i="1" s="1"/>
  <c r="J3675" i="1" s="1"/>
  <c r="K3675" i="1" s="1"/>
  <c r="L3675" i="1" s="1"/>
  <c r="H4255" i="1"/>
  <c r="I4255" i="1" s="1"/>
  <c r="J4255" i="1" s="1"/>
  <c r="K4255" i="1" s="1"/>
  <c r="L4255" i="1" s="1"/>
  <c r="H1183" i="1"/>
  <c r="I1183" i="1" s="1"/>
  <c r="J1183" i="1" s="1"/>
  <c r="K1183" i="1" s="1"/>
  <c r="L1183" i="1" s="1"/>
  <c r="H5224" i="1"/>
  <c r="I5224" i="1" s="1"/>
  <c r="J5224" i="1" s="1"/>
  <c r="K5224" i="1" s="1"/>
  <c r="L5224" i="1" s="1"/>
  <c r="H165" i="1"/>
  <c r="I165" i="1" s="1"/>
  <c r="J165" i="1" s="1"/>
  <c r="K165" i="1" s="1"/>
  <c r="L165" i="1" s="1"/>
  <c r="H3613" i="1"/>
  <c r="I3613" i="1" s="1"/>
  <c r="J3613" i="1" s="1"/>
  <c r="K3613" i="1" s="1"/>
  <c r="L3613" i="1" s="1"/>
  <c r="H114" i="1"/>
  <c r="I114" i="1" s="1"/>
  <c r="J114" i="1" s="1"/>
  <c r="K114" i="1" s="1"/>
  <c r="L114" i="1" s="1"/>
  <c r="H3637" i="1"/>
  <c r="I3637" i="1" s="1"/>
  <c r="J3637" i="1" s="1"/>
  <c r="K3637" i="1" s="1"/>
  <c r="L3637" i="1" s="1"/>
  <c r="H1003" i="1"/>
  <c r="I1003" i="1" s="1"/>
  <c r="J1003" i="1" s="1"/>
  <c r="K1003" i="1" s="1"/>
  <c r="L1003" i="1" s="1"/>
  <c r="H3745" i="1"/>
  <c r="I3745" i="1" s="1"/>
  <c r="J3745" i="1" s="1"/>
  <c r="K3745" i="1" s="1"/>
  <c r="L3745" i="1" s="1"/>
  <c r="H719" i="1"/>
  <c r="I719" i="1" s="1"/>
  <c r="J719" i="1" s="1"/>
  <c r="K719" i="1" s="1"/>
  <c r="L719" i="1" s="1"/>
  <c r="H4738" i="1"/>
  <c r="I4738" i="1" s="1"/>
  <c r="J4738" i="1" s="1"/>
  <c r="K4738" i="1" s="1"/>
  <c r="L4738" i="1" s="1"/>
  <c r="H2621" i="1"/>
  <c r="I2621" i="1" s="1"/>
  <c r="J2621" i="1" s="1"/>
  <c r="K2621" i="1" s="1"/>
  <c r="L2621" i="1" s="1"/>
  <c r="H2882" i="1"/>
  <c r="I2882" i="1" s="1"/>
  <c r="J2882" i="1" s="1"/>
  <c r="K2882" i="1" s="1"/>
  <c r="L2882" i="1" s="1"/>
  <c r="H962" i="1"/>
  <c r="I962" i="1" s="1"/>
  <c r="J962" i="1" s="1"/>
  <c r="K962" i="1" s="1"/>
  <c r="L962" i="1" s="1"/>
  <c r="H5732" i="1"/>
  <c r="I5732" i="1" s="1"/>
  <c r="J5732" i="1" s="1"/>
  <c r="K5732" i="1" s="1"/>
  <c r="L5732" i="1" s="1"/>
  <c r="H2093" i="1"/>
  <c r="I2093" i="1" s="1"/>
  <c r="J2093" i="1" s="1"/>
  <c r="K2093" i="1" s="1"/>
  <c r="L2093" i="1" s="1"/>
  <c r="H1831" i="1"/>
  <c r="I1831" i="1" s="1"/>
  <c r="J1831" i="1" s="1"/>
  <c r="K1831" i="1" s="1"/>
  <c r="L1831" i="1" s="1"/>
  <c r="H1386" i="1"/>
  <c r="I1386" i="1" s="1"/>
  <c r="J1386" i="1" s="1"/>
  <c r="K1386" i="1" s="1"/>
  <c r="L1386" i="1" s="1"/>
  <c r="H798" i="1"/>
  <c r="I798" i="1" s="1"/>
  <c r="J798" i="1" s="1"/>
  <c r="K798" i="1" s="1"/>
  <c r="L798" i="1" s="1"/>
  <c r="H2886" i="1"/>
  <c r="I2886" i="1" s="1"/>
  <c r="J2886" i="1" s="1"/>
  <c r="K2886" i="1" s="1"/>
  <c r="L2886" i="1" s="1"/>
  <c r="H4397" i="1"/>
  <c r="I4397" i="1" s="1"/>
  <c r="J4397" i="1" s="1"/>
  <c r="K4397" i="1" s="1"/>
  <c r="L4397" i="1" s="1"/>
  <c r="H187" i="1"/>
  <c r="I187" i="1" s="1"/>
  <c r="J187" i="1" s="1"/>
  <c r="K187" i="1" s="1"/>
  <c r="L187" i="1" s="1"/>
  <c r="H5548" i="1"/>
  <c r="I5548" i="1" s="1"/>
  <c r="J5548" i="1" s="1"/>
  <c r="K5548" i="1" s="1"/>
  <c r="L5548" i="1" s="1"/>
  <c r="H2778" i="1"/>
  <c r="I2778" i="1" s="1"/>
  <c r="J2778" i="1" s="1"/>
  <c r="K2778" i="1" s="1"/>
  <c r="L2778" i="1" s="1"/>
  <c r="H4194" i="1"/>
  <c r="I4194" i="1" s="1"/>
  <c r="J4194" i="1" s="1"/>
  <c r="K4194" i="1" s="1"/>
  <c r="L4194" i="1" s="1"/>
  <c r="H5601" i="1"/>
  <c r="I5601" i="1" s="1"/>
  <c r="J5601" i="1" s="1"/>
  <c r="K5601" i="1" s="1"/>
  <c r="L5601" i="1" s="1"/>
  <c r="H2899" i="1"/>
  <c r="I2899" i="1" s="1"/>
  <c r="J2899" i="1" s="1"/>
  <c r="K2899" i="1" s="1"/>
  <c r="L2899" i="1" s="1"/>
  <c r="H5227" i="1"/>
  <c r="I5227" i="1" s="1"/>
  <c r="J5227" i="1" s="1"/>
  <c r="K5227" i="1" s="1"/>
  <c r="L5227" i="1" s="1"/>
  <c r="H2113" i="1"/>
  <c r="I2113" i="1" s="1"/>
  <c r="J2113" i="1" s="1"/>
  <c r="K2113" i="1" s="1"/>
  <c r="L2113" i="1" s="1"/>
  <c r="H5345" i="1"/>
  <c r="I5345" i="1" s="1"/>
  <c r="J5345" i="1" s="1"/>
  <c r="K5345" i="1" s="1"/>
  <c r="L5345" i="1" s="1"/>
  <c r="H2128" i="1"/>
  <c r="I2128" i="1" s="1"/>
  <c r="J2128" i="1" s="1"/>
  <c r="K2128" i="1" s="1"/>
  <c r="L2128" i="1" s="1"/>
  <c r="H4524" i="1"/>
  <c r="I4524" i="1" s="1"/>
  <c r="J4524" i="1" s="1"/>
  <c r="K4524" i="1" s="1"/>
  <c r="L4524" i="1" s="1"/>
  <c r="H2997" i="1"/>
  <c r="I2997" i="1" s="1"/>
  <c r="J2997" i="1" s="1"/>
  <c r="K2997" i="1" s="1"/>
  <c r="L2997" i="1" s="1"/>
  <c r="H1042" i="1"/>
  <c r="I1042" i="1" s="1"/>
  <c r="J1042" i="1" s="1"/>
  <c r="K1042" i="1" s="1"/>
  <c r="L1042" i="1" s="1"/>
  <c r="H1259" i="1"/>
  <c r="I1259" i="1" s="1"/>
  <c r="J1259" i="1" s="1"/>
  <c r="K1259" i="1" s="1"/>
  <c r="L1259" i="1" s="1"/>
  <c r="H1857" i="1"/>
  <c r="I1857" i="1" s="1"/>
  <c r="J1857" i="1" s="1"/>
  <c r="K1857" i="1" s="1"/>
  <c r="L1857" i="1" s="1"/>
  <c r="H2498" i="1"/>
  <c r="I2498" i="1" s="1"/>
  <c r="J2498" i="1" s="1"/>
  <c r="K2498" i="1" s="1"/>
  <c r="L2498" i="1" s="1"/>
  <c r="H4199" i="1"/>
  <c r="I4199" i="1" s="1"/>
  <c r="J4199" i="1" s="1"/>
  <c r="K4199" i="1" s="1"/>
  <c r="L4199" i="1" s="1"/>
  <c r="H5382" i="1"/>
  <c r="I5382" i="1" s="1"/>
  <c r="J5382" i="1" s="1"/>
  <c r="K5382" i="1" s="1"/>
  <c r="L5382" i="1" s="1"/>
  <c r="H2173" i="1"/>
  <c r="I2173" i="1" s="1"/>
  <c r="J2173" i="1" s="1"/>
  <c r="K2173" i="1" s="1"/>
  <c r="L2173" i="1" s="1"/>
  <c r="H3718" i="1"/>
  <c r="I3718" i="1" s="1"/>
  <c r="J3718" i="1" s="1"/>
  <c r="K3718" i="1" s="1"/>
  <c r="L3718" i="1" s="1"/>
  <c r="H1859" i="1"/>
  <c r="I1859" i="1" s="1"/>
  <c r="J1859" i="1" s="1"/>
  <c r="K1859" i="1" s="1"/>
  <c r="L1859" i="1" s="1"/>
  <c r="H4928" i="1"/>
  <c r="I4928" i="1" s="1"/>
  <c r="J4928" i="1" s="1"/>
  <c r="K4928" i="1" s="1"/>
  <c r="L4928" i="1" s="1"/>
  <c r="H1036" i="1"/>
  <c r="I1036" i="1" s="1"/>
  <c r="J1036" i="1" s="1"/>
  <c r="K1036" i="1" s="1"/>
  <c r="L1036" i="1" s="1"/>
  <c r="H1833" i="1"/>
  <c r="I1833" i="1" s="1"/>
  <c r="J1833" i="1" s="1"/>
  <c r="K1833" i="1" s="1"/>
  <c r="L1833" i="1" s="1"/>
  <c r="H1827" i="1"/>
  <c r="I1827" i="1" s="1"/>
  <c r="J1827" i="1" s="1"/>
  <c r="K1827" i="1" s="1"/>
  <c r="L1827" i="1" s="1"/>
  <c r="H5640" i="1"/>
  <c r="I5640" i="1" s="1"/>
  <c r="J5640" i="1" s="1"/>
  <c r="K5640" i="1" s="1"/>
  <c r="L5640" i="1" s="1"/>
  <c r="H1490" i="1"/>
  <c r="I1490" i="1" s="1"/>
  <c r="J1490" i="1" s="1"/>
  <c r="K1490" i="1" s="1"/>
  <c r="L1490" i="1" s="1"/>
  <c r="H723" i="1"/>
  <c r="I723" i="1" s="1"/>
  <c r="J723" i="1" s="1"/>
  <c r="K723" i="1" s="1"/>
  <c r="L723" i="1" s="1"/>
  <c r="H4075" i="1"/>
  <c r="I4075" i="1" s="1"/>
  <c r="J4075" i="1" s="1"/>
  <c r="K4075" i="1" s="1"/>
  <c r="L4075" i="1" s="1"/>
  <c r="H1284" i="1"/>
  <c r="I1284" i="1" s="1"/>
  <c r="J1284" i="1" s="1"/>
  <c r="K1284" i="1" s="1"/>
  <c r="L1284" i="1" s="1"/>
  <c r="H818" i="1"/>
  <c r="I818" i="1" s="1"/>
  <c r="J818" i="1" s="1"/>
  <c r="K818" i="1" s="1"/>
  <c r="L818" i="1" s="1"/>
  <c r="H3731" i="1"/>
  <c r="I3731" i="1" s="1"/>
  <c r="J3731" i="1" s="1"/>
  <c r="K3731" i="1" s="1"/>
  <c r="L3731" i="1" s="1"/>
  <c r="H3575" i="1"/>
  <c r="I3575" i="1" s="1"/>
  <c r="J3575" i="1" s="1"/>
  <c r="K3575" i="1" s="1"/>
  <c r="L3575" i="1" s="1"/>
  <c r="H404" i="1"/>
  <c r="I404" i="1" s="1"/>
  <c r="J404" i="1" s="1"/>
  <c r="K404" i="1" s="1"/>
  <c r="L404" i="1" s="1"/>
  <c r="H396" i="1"/>
  <c r="I396" i="1" s="1"/>
  <c r="J396" i="1" s="1"/>
  <c r="K396" i="1" s="1"/>
  <c r="L396" i="1" s="1"/>
  <c r="H2243" i="1"/>
  <c r="I2243" i="1" s="1"/>
  <c r="J2243" i="1" s="1"/>
  <c r="K2243" i="1" s="1"/>
  <c r="L2243" i="1" s="1"/>
  <c r="H718" i="1"/>
  <c r="I718" i="1" s="1"/>
  <c r="J718" i="1" s="1"/>
  <c r="K718" i="1" s="1"/>
  <c r="L718" i="1" s="1"/>
  <c r="H5959" i="1"/>
  <c r="I5959" i="1" s="1"/>
  <c r="J5959" i="1" s="1"/>
  <c r="K5959" i="1" s="1"/>
  <c r="L5959" i="1" s="1"/>
  <c r="H423" i="1"/>
  <c r="I423" i="1" s="1"/>
  <c r="J423" i="1" s="1"/>
  <c r="K423" i="1" s="1"/>
  <c r="L423" i="1" s="1"/>
  <c r="H1289" i="1"/>
  <c r="I1289" i="1" s="1"/>
  <c r="J1289" i="1" s="1"/>
  <c r="K1289" i="1" s="1"/>
  <c r="L1289" i="1" s="1"/>
  <c r="H2652" i="1"/>
  <c r="I2652" i="1" s="1"/>
  <c r="J2652" i="1" s="1"/>
  <c r="K2652" i="1" s="1"/>
  <c r="L2652" i="1" s="1"/>
  <c r="H4181" i="1"/>
  <c r="I4181" i="1" s="1"/>
  <c r="J4181" i="1" s="1"/>
  <c r="K4181" i="1" s="1"/>
  <c r="L4181" i="1" s="1"/>
  <c r="H3599" i="1"/>
  <c r="I3599" i="1" s="1"/>
  <c r="J3599" i="1" s="1"/>
  <c r="K3599" i="1" s="1"/>
  <c r="L3599" i="1" s="1"/>
  <c r="H498" i="1"/>
  <c r="I498" i="1" s="1"/>
  <c r="J498" i="1" s="1"/>
  <c r="K498" i="1" s="1"/>
  <c r="L498" i="1" s="1"/>
  <c r="H2085" i="1"/>
  <c r="I2085" i="1" s="1"/>
  <c r="J2085" i="1" s="1"/>
  <c r="K2085" i="1" s="1"/>
  <c r="L2085" i="1" s="1"/>
  <c r="H351" i="1"/>
  <c r="I351" i="1" s="1"/>
  <c r="J351" i="1" s="1"/>
  <c r="K351" i="1" s="1"/>
  <c r="L351" i="1" s="1"/>
  <c r="H217" i="1"/>
  <c r="I217" i="1" s="1"/>
  <c r="J217" i="1" s="1"/>
  <c r="K217" i="1" s="1"/>
  <c r="L217" i="1" s="1"/>
  <c r="H4061" i="1"/>
  <c r="I4061" i="1" s="1"/>
  <c r="J4061" i="1" s="1"/>
  <c r="K4061" i="1" s="1"/>
  <c r="L4061" i="1" s="1"/>
  <c r="H4020" i="1"/>
  <c r="I4020" i="1" s="1"/>
  <c r="J4020" i="1" s="1"/>
  <c r="K4020" i="1" s="1"/>
  <c r="L4020" i="1" s="1"/>
  <c r="H1904" i="1"/>
  <c r="I1904" i="1" s="1"/>
  <c r="J1904" i="1" s="1"/>
  <c r="K1904" i="1" s="1"/>
  <c r="L1904" i="1" s="1"/>
  <c r="H948" i="1"/>
  <c r="I948" i="1" s="1"/>
  <c r="J948" i="1" s="1"/>
  <c r="K948" i="1" s="1"/>
  <c r="L948" i="1" s="1"/>
  <c r="H2620" i="1"/>
  <c r="I2620" i="1" s="1"/>
  <c r="J2620" i="1" s="1"/>
  <c r="K2620" i="1" s="1"/>
  <c r="L2620" i="1" s="1"/>
  <c r="H3965" i="1"/>
  <c r="I3965" i="1" s="1"/>
  <c r="J3965" i="1" s="1"/>
  <c r="K3965" i="1" s="1"/>
  <c r="L3965" i="1" s="1"/>
  <c r="H3627" i="1"/>
  <c r="I3627" i="1" s="1"/>
  <c r="J3627" i="1" s="1"/>
  <c r="K3627" i="1" s="1"/>
  <c r="L3627" i="1" s="1"/>
  <c r="H1899" i="1"/>
  <c r="I1899" i="1" s="1"/>
  <c r="J1899" i="1" s="1"/>
  <c r="K1899" i="1" s="1"/>
  <c r="L1899" i="1" s="1"/>
  <c r="H1032" i="1"/>
  <c r="I1032" i="1" s="1"/>
  <c r="J1032" i="1" s="1"/>
  <c r="K1032" i="1" s="1"/>
  <c r="L1032" i="1" s="1"/>
  <c r="H4617" i="1"/>
  <c r="I4617" i="1" s="1"/>
  <c r="J4617" i="1" s="1"/>
  <c r="K4617" i="1" s="1"/>
  <c r="L4617" i="1" s="1"/>
  <c r="H4568" i="1"/>
  <c r="I4568" i="1" s="1"/>
  <c r="J4568" i="1" s="1"/>
  <c r="K4568" i="1" s="1"/>
  <c r="L4568" i="1" s="1"/>
  <c r="H5951" i="1"/>
  <c r="I5951" i="1" s="1"/>
  <c r="J5951" i="1" s="1"/>
  <c r="K5951" i="1" s="1"/>
  <c r="L5951" i="1" s="1"/>
  <c r="H306" i="1"/>
  <c r="I306" i="1" s="1"/>
  <c r="J306" i="1" s="1"/>
  <c r="K306" i="1" s="1"/>
  <c r="L306" i="1" s="1"/>
  <c r="H3308" i="1"/>
  <c r="I3308" i="1" s="1"/>
  <c r="J3308" i="1" s="1"/>
  <c r="K3308" i="1" s="1"/>
  <c r="L3308" i="1" s="1"/>
  <c r="H4881" i="1"/>
  <c r="I4881" i="1" s="1"/>
  <c r="J4881" i="1" s="1"/>
  <c r="K4881" i="1" s="1"/>
  <c r="L4881" i="1" s="1"/>
  <c r="H781" i="1"/>
  <c r="I781" i="1" s="1"/>
  <c r="J781" i="1" s="1"/>
  <c r="K781" i="1" s="1"/>
  <c r="L781" i="1" s="1"/>
  <c r="H2142" i="1"/>
  <c r="I2142" i="1" s="1"/>
  <c r="J2142" i="1" s="1"/>
  <c r="K2142" i="1" s="1"/>
  <c r="L2142" i="1" s="1"/>
  <c r="H2347" i="1"/>
  <c r="I2347" i="1" s="1"/>
  <c r="J2347" i="1" s="1"/>
  <c r="K2347" i="1" s="1"/>
  <c r="L2347" i="1" s="1"/>
  <c r="H4751" i="1"/>
  <c r="I4751" i="1" s="1"/>
  <c r="J4751" i="1" s="1"/>
  <c r="K4751" i="1" s="1"/>
  <c r="L4751" i="1" s="1"/>
  <c r="H2028" i="1"/>
  <c r="I2028" i="1" s="1"/>
  <c r="J2028" i="1" s="1"/>
  <c r="K2028" i="1" s="1"/>
  <c r="L2028" i="1" s="1"/>
  <c r="H2141" i="1"/>
  <c r="I2141" i="1" s="1"/>
  <c r="J2141" i="1" s="1"/>
  <c r="K2141" i="1" s="1"/>
  <c r="L2141" i="1" s="1"/>
  <c r="H3562" i="1"/>
  <c r="I3562" i="1" s="1"/>
  <c r="J3562" i="1" s="1"/>
  <c r="K3562" i="1" s="1"/>
  <c r="L3562" i="1" s="1"/>
  <c r="H3874" i="1"/>
  <c r="I3874" i="1" s="1"/>
  <c r="J3874" i="1" s="1"/>
  <c r="K3874" i="1" s="1"/>
  <c r="L3874" i="1" s="1"/>
  <c r="H4952" i="1"/>
  <c r="I4952" i="1" s="1"/>
  <c r="J4952" i="1" s="1"/>
  <c r="K4952" i="1" s="1"/>
  <c r="L4952" i="1" s="1"/>
  <c r="H870" i="1"/>
  <c r="I870" i="1" s="1"/>
  <c r="J870" i="1" s="1"/>
  <c r="K870" i="1" s="1"/>
  <c r="L870" i="1" s="1"/>
  <c r="H5362" i="1"/>
  <c r="I5362" i="1" s="1"/>
  <c r="J5362" i="1" s="1"/>
  <c r="K5362" i="1" s="1"/>
  <c r="L5362" i="1" s="1"/>
  <c r="H5028" i="1"/>
  <c r="I5028" i="1" s="1"/>
  <c r="J5028" i="1" s="1"/>
  <c r="K5028" i="1" s="1"/>
  <c r="L5028" i="1" s="1"/>
  <c r="H2531" i="1"/>
  <c r="I2531" i="1" s="1"/>
  <c r="J2531" i="1" s="1"/>
  <c r="K2531" i="1" s="1"/>
  <c r="L2531" i="1" s="1"/>
  <c r="H3932" i="1"/>
  <c r="I3932" i="1" s="1"/>
  <c r="J3932" i="1" s="1"/>
  <c r="K3932" i="1" s="1"/>
  <c r="L3932" i="1" s="1"/>
  <c r="H2328" i="1"/>
  <c r="I2328" i="1" s="1"/>
  <c r="J2328" i="1" s="1"/>
  <c r="K2328" i="1" s="1"/>
  <c r="L2328" i="1" s="1"/>
  <c r="H1678" i="1"/>
  <c r="I1678" i="1" s="1"/>
  <c r="J1678" i="1" s="1"/>
  <c r="K1678" i="1" s="1"/>
  <c r="L1678" i="1" s="1"/>
  <c r="H3172" i="1"/>
  <c r="I3172" i="1" s="1"/>
  <c r="J3172" i="1" s="1"/>
  <c r="K3172" i="1" s="1"/>
  <c r="L3172" i="1" s="1"/>
  <c r="H3634" i="1"/>
  <c r="I3634" i="1" s="1"/>
  <c r="J3634" i="1" s="1"/>
  <c r="K3634" i="1" s="1"/>
  <c r="L3634" i="1" s="1"/>
  <c r="H5489" i="1"/>
  <c r="I5489" i="1" s="1"/>
  <c r="J5489" i="1" s="1"/>
  <c r="K5489" i="1" s="1"/>
  <c r="L5489" i="1" s="1"/>
  <c r="H947" i="1"/>
  <c r="I947" i="1" s="1"/>
  <c r="J947" i="1" s="1"/>
  <c r="K947" i="1" s="1"/>
  <c r="L947" i="1" s="1"/>
  <c r="H2682" i="1"/>
  <c r="I2682" i="1" s="1"/>
  <c r="J2682" i="1" s="1"/>
  <c r="K2682" i="1" s="1"/>
  <c r="L2682" i="1" s="1"/>
  <c r="H571" i="1"/>
  <c r="I571" i="1" s="1"/>
  <c r="J571" i="1" s="1"/>
  <c r="K571" i="1" s="1"/>
  <c r="L571" i="1" s="1"/>
  <c r="H4861" i="1"/>
  <c r="I4861" i="1" s="1"/>
  <c r="J4861" i="1" s="1"/>
  <c r="K4861" i="1" s="1"/>
  <c r="L4861" i="1" s="1"/>
  <c r="H929" i="1"/>
  <c r="I929" i="1" s="1"/>
  <c r="J929" i="1" s="1"/>
  <c r="K929" i="1" s="1"/>
  <c r="L929" i="1" s="1"/>
  <c r="H4606" i="1"/>
  <c r="I4606" i="1" s="1"/>
  <c r="J4606" i="1" s="1"/>
  <c r="K4606" i="1" s="1"/>
  <c r="L4606" i="1" s="1"/>
  <c r="H4470" i="1"/>
  <c r="I4470" i="1" s="1"/>
  <c r="J4470" i="1" s="1"/>
  <c r="K4470" i="1" s="1"/>
  <c r="L4470" i="1" s="1"/>
  <c r="H2637" i="1"/>
  <c r="I2637" i="1" s="1"/>
  <c r="J2637" i="1" s="1"/>
  <c r="K2637" i="1" s="1"/>
  <c r="L2637" i="1" s="1"/>
  <c r="H3202" i="1"/>
  <c r="I3202" i="1" s="1"/>
  <c r="J3202" i="1" s="1"/>
  <c r="K3202" i="1" s="1"/>
  <c r="L3202" i="1" s="1"/>
  <c r="H3653" i="1"/>
  <c r="I3653" i="1" s="1"/>
  <c r="J3653" i="1" s="1"/>
  <c r="K3653" i="1" s="1"/>
  <c r="L3653" i="1" s="1"/>
  <c r="H4354" i="1"/>
  <c r="I4354" i="1" s="1"/>
  <c r="J4354" i="1" s="1"/>
  <c r="K4354" i="1" s="1"/>
  <c r="L4354" i="1" s="1"/>
  <c r="H3446" i="1"/>
  <c r="I3446" i="1" s="1"/>
  <c r="J3446" i="1" s="1"/>
  <c r="K3446" i="1" s="1"/>
  <c r="L3446" i="1" s="1"/>
  <c r="H1511" i="1"/>
  <c r="I1511" i="1" s="1"/>
  <c r="J1511" i="1" s="1"/>
  <c r="K1511" i="1" s="1"/>
  <c r="L1511" i="1" s="1"/>
  <c r="H1697" i="1"/>
  <c r="I1697" i="1" s="1"/>
  <c r="J1697" i="1" s="1"/>
  <c r="K1697" i="1" s="1"/>
  <c r="L1697" i="1" s="1"/>
  <c r="H336" i="1"/>
  <c r="I336" i="1" s="1"/>
  <c r="J336" i="1" s="1"/>
  <c r="K336" i="1" s="1"/>
  <c r="L336" i="1" s="1"/>
  <c r="H1072" i="1"/>
  <c r="I1072" i="1" s="1"/>
  <c r="J1072" i="1" s="1"/>
  <c r="K1072" i="1" s="1"/>
  <c r="L1072" i="1" s="1"/>
  <c r="H2834" i="1"/>
  <c r="I2834" i="1" s="1"/>
  <c r="J2834" i="1" s="1"/>
  <c r="K2834" i="1" s="1"/>
  <c r="L2834" i="1" s="1"/>
  <c r="H3061" i="1"/>
  <c r="I3061" i="1" s="1"/>
  <c r="J3061" i="1" s="1"/>
  <c r="K3061" i="1" s="1"/>
  <c r="L3061" i="1" s="1"/>
  <c r="H1635" i="1"/>
  <c r="I1635" i="1" s="1"/>
  <c r="J1635" i="1" s="1"/>
  <c r="K1635" i="1" s="1"/>
  <c r="L1635" i="1" s="1"/>
  <c r="H3426" i="1"/>
  <c r="I3426" i="1" s="1"/>
  <c r="J3426" i="1" s="1"/>
  <c r="K3426" i="1" s="1"/>
  <c r="L3426" i="1" s="1"/>
  <c r="H2183" i="1"/>
  <c r="I2183" i="1" s="1"/>
  <c r="J2183" i="1" s="1"/>
  <c r="K2183" i="1" s="1"/>
  <c r="L2183" i="1" s="1"/>
  <c r="H1060" i="1"/>
  <c r="I1060" i="1" s="1"/>
  <c r="J1060" i="1" s="1"/>
  <c r="K1060" i="1" s="1"/>
  <c r="L1060" i="1" s="1"/>
  <c r="H4688" i="1"/>
  <c r="I4688" i="1" s="1"/>
  <c r="J4688" i="1" s="1"/>
  <c r="K4688" i="1" s="1"/>
  <c r="L4688" i="1" s="1"/>
  <c r="H4180" i="1"/>
  <c r="I4180" i="1" s="1"/>
  <c r="J4180" i="1" s="1"/>
  <c r="K4180" i="1" s="1"/>
  <c r="L4180" i="1" s="1"/>
  <c r="H1936" i="1"/>
  <c r="I1936" i="1" s="1"/>
  <c r="J1936" i="1" s="1"/>
  <c r="K1936" i="1" s="1"/>
  <c r="L1936" i="1" s="1"/>
  <c r="H5724" i="1"/>
  <c r="I5724" i="1" s="1"/>
  <c r="J5724" i="1" s="1"/>
  <c r="K5724" i="1" s="1"/>
  <c r="L5724" i="1" s="1"/>
  <c r="H1684" i="1"/>
  <c r="I1684" i="1" s="1"/>
  <c r="J1684" i="1" s="1"/>
  <c r="K1684" i="1" s="1"/>
  <c r="L1684" i="1" s="1"/>
  <c r="H5098" i="1"/>
  <c r="I5098" i="1" s="1"/>
  <c r="J5098" i="1" s="1"/>
  <c r="K5098" i="1" s="1"/>
  <c r="L5098" i="1" s="1"/>
  <c r="H1646" i="1"/>
  <c r="I1646" i="1" s="1"/>
  <c r="J1646" i="1" s="1"/>
  <c r="K1646" i="1" s="1"/>
  <c r="L1646" i="1" s="1"/>
  <c r="H1333" i="1"/>
  <c r="I1333" i="1" s="1"/>
  <c r="J1333" i="1" s="1"/>
  <c r="K1333" i="1" s="1"/>
  <c r="L1333" i="1" s="1"/>
  <c r="H270" i="1"/>
  <c r="I270" i="1" s="1"/>
  <c r="J270" i="1" s="1"/>
  <c r="K270" i="1" s="1"/>
  <c r="L270" i="1" s="1"/>
  <c r="H4680" i="1"/>
  <c r="I4680" i="1" s="1"/>
  <c r="J4680" i="1" s="1"/>
  <c r="K4680" i="1" s="1"/>
  <c r="L4680" i="1" s="1"/>
  <c r="H1412" i="1"/>
  <c r="I1412" i="1" s="1"/>
  <c r="J1412" i="1" s="1"/>
  <c r="K1412" i="1" s="1"/>
  <c r="L1412" i="1" s="1"/>
  <c r="H1459" i="1"/>
  <c r="I1459" i="1" s="1"/>
  <c r="J1459" i="1" s="1"/>
  <c r="K1459" i="1" s="1"/>
  <c r="L1459" i="1" s="1"/>
  <c r="H4193" i="1"/>
  <c r="I4193" i="1" s="1"/>
  <c r="J4193" i="1" s="1"/>
  <c r="K4193" i="1" s="1"/>
  <c r="L4193" i="1" s="1"/>
  <c r="H5649" i="1"/>
  <c r="I5649" i="1" s="1"/>
  <c r="J5649" i="1" s="1"/>
  <c r="K5649" i="1" s="1"/>
  <c r="L5649" i="1" s="1"/>
  <c r="H665" i="1"/>
  <c r="I665" i="1" s="1"/>
  <c r="J665" i="1" s="1"/>
  <c r="K665" i="1" s="1"/>
  <c r="L665" i="1" s="1"/>
  <c r="H1113" i="1"/>
  <c r="I1113" i="1" s="1"/>
  <c r="J1113" i="1" s="1"/>
  <c r="K1113" i="1" s="1"/>
  <c r="L1113" i="1" s="1"/>
  <c r="H1303" i="1"/>
  <c r="I1303" i="1" s="1"/>
  <c r="J1303" i="1" s="1"/>
  <c r="K1303" i="1" s="1"/>
  <c r="L1303" i="1" s="1"/>
  <c r="H1110" i="1"/>
  <c r="I1110" i="1" s="1"/>
  <c r="J1110" i="1" s="1"/>
  <c r="K1110" i="1" s="1"/>
  <c r="L1110" i="1" s="1"/>
  <c r="H232" i="1"/>
  <c r="I232" i="1" s="1"/>
  <c r="J232" i="1" s="1"/>
  <c r="K232" i="1" s="1"/>
  <c r="L232" i="1" s="1"/>
  <c r="H1781" i="1"/>
  <c r="I1781" i="1" s="1"/>
  <c r="J1781" i="1" s="1"/>
  <c r="K1781" i="1" s="1"/>
  <c r="L1781" i="1" s="1"/>
  <c r="H2900" i="1"/>
  <c r="I2900" i="1" s="1"/>
  <c r="J2900" i="1" s="1"/>
  <c r="K2900" i="1" s="1"/>
  <c r="L2900" i="1" s="1"/>
  <c r="H3206" i="1"/>
  <c r="I3206" i="1" s="1"/>
  <c r="J3206" i="1" s="1"/>
  <c r="K3206" i="1" s="1"/>
  <c r="L3206" i="1" s="1"/>
  <c r="H4080" i="1"/>
  <c r="I4080" i="1" s="1"/>
  <c r="J4080" i="1" s="1"/>
  <c r="K4080" i="1" s="1"/>
  <c r="L4080" i="1" s="1"/>
  <c r="H1121" i="1"/>
  <c r="I1121" i="1" s="1"/>
  <c r="J1121" i="1" s="1"/>
  <c r="K1121" i="1" s="1"/>
  <c r="L1121" i="1" s="1"/>
  <c r="H5643" i="1"/>
  <c r="I5643" i="1" s="1"/>
  <c r="J5643" i="1" s="1"/>
  <c r="K5643" i="1" s="1"/>
  <c r="L5643" i="1" s="1"/>
  <c r="H4737" i="1"/>
  <c r="I4737" i="1" s="1"/>
  <c r="J4737" i="1" s="1"/>
  <c r="K4737" i="1" s="1"/>
  <c r="L4737" i="1" s="1"/>
  <c r="H5692" i="1"/>
  <c r="I5692" i="1" s="1"/>
  <c r="J5692" i="1" s="1"/>
  <c r="K5692" i="1" s="1"/>
  <c r="L5692" i="1" s="1"/>
  <c r="H248" i="1"/>
  <c r="I248" i="1" s="1"/>
  <c r="J248" i="1" s="1"/>
  <c r="K248" i="1" s="1"/>
  <c r="L248" i="1" s="1"/>
  <c r="H4023" i="1"/>
  <c r="I4023" i="1" s="1"/>
  <c r="J4023" i="1" s="1"/>
  <c r="K4023" i="1" s="1"/>
  <c r="L4023" i="1" s="1"/>
  <c r="H1735" i="1"/>
  <c r="I1735" i="1" s="1"/>
  <c r="J1735" i="1" s="1"/>
  <c r="K1735" i="1" s="1"/>
  <c r="L1735" i="1" s="1"/>
  <c r="H4128" i="1"/>
  <c r="I4128" i="1" s="1"/>
  <c r="J4128" i="1" s="1"/>
  <c r="K4128" i="1" s="1"/>
  <c r="L4128" i="1" s="1"/>
  <c r="H383" i="1"/>
  <c r="I383" i="1" s="1"/>
  <c r="J383" i="1" s="1"/>
  <c r="K383" i="1" s="1"/>
  <c r="L383" i="1" s="1"/>
  <c r="H4442" i="1"/>
  <c r="I4442" i="1" s="1"/>
  <c r="J4442" i="1" s="1"/>
  <c r="K4442" i="1" s="1"/>
  <c r="L4442" i="1" s="1"/>
  <c r="H466" i="1"/>
  <c r="I466" i="1" s="1"/>
  <c r="J466" i="1" s="1"/>
  <c r="K466" i="1" s="1"/>
  <c r="L466" i="1" s="1"/>
  <c r="H2494" i="1"/>
  <c r="I2494" i="1" s="1"/>
  <c r="J2494" i="1" s="1"/>
  <c r="K2494" i="1" s="1"/>
  <c r="L2494" i="1" s="1"/>
  <c r="H4886" i="1"/>
  <c r="I4886" i="1" s="1"/>
  <c r="J4886" i="1" s="1"/>
  <c r="K4886" i="1" s="1"/>
  <c r="L4886" i="1" s="1"/>
  <c r="H788" i="1"/>
  <c r="I788" i="1" s="1"/>
  <c r="J788" i="1" s="1"/>
  <c r="K788" i="1" s="1"/>
  <c r="L788" i="1" s="1"/>
  <c r="H58" i="1"/>
  <c r="I58" i="1" s="1"/>
  <c r="J58" i="1" s="1"/>
  <c r="K58" i="1" s="1"/>
  <c r="L58" i="1" s="1"/>
  <c r="H246" i="1"/>
  <c r="I246" i="1" s="1"/>
  <c r="J246" i="1" s="1"/>
  <c r="K246" i="1" s="1"/>
  <c r="L246" i="1" s="1"/>
  <c r="H4227" i="1"/>
  <c r="I4227" i="1" s="1"/>
  <c r="J4227" i="1" s="1"/>
  <c r="K4227" i="1" s="1"/>
  <c r="L4227" i="1" s="1"/>
  <c r="H3389" i="1"/>
  <c r="I3389" i="1" s="1"/>
  <c r="J3389" i="1" s="1"/>
  <c r="K3389" i="1" s="1"/>
  <c r="L3389" i="1" s="1"/>
  <c r="H2426" i="1"/>
  <c r="I2426" i="1" s="1"/>
  <c r="J2426" i="1" s="1"/>
  <c r="K2426" i="1" s="1"/>
  <c r="L2426" i="1" s="1"/>
  <c r="H4715" i="1"/>
  <c r="I4715" i="1" s="1"/>
  <c r="J4715" i="1" s="1"/>
  <c r="K4715" i="1" s="1"/>
  <c r="L4715" i="1" s="1"/>
  <c r="H1944" i="1"/>
  <c r="I1944" i="1" s="1"/>
  <c r="J1944" i="1" s="1"/>
  <c r="K1944" i="1" s="1"/>
  <c r="L1944" i="1" s="1"/>
  <c r="H1845" i="1"/>
  <c r="I1845" i="1" s="1"/>
  <c r="J1845" i="1" s="1"/>
  <c r="K1845" i="1" s="1"/>
  <c r="L1845" i="1" s="1"/>
  <c r="H4388" i="1"/>
  <c r="I4388" i="1" s="1"/>
  <c r="J4388" i="1" s="1"/>
  <c r="K4388" i="1" s="1"/>
  <c r="L4388" i="1" s="1"/>
  <c r="H3777" i="1"/>
  <c r="I3777" i="1" s="1"/>
  <c r="J3777" i="1" s="1"/>
  <c r="K3777" i="1" s="1"/>
  <c r="L3777" i="1" s="1"/>
  <c r="H5203" i="1"/>
  <c r="I5203" i="1" s="1"/>
  <c r="J5203" i="1" s="1"/>
  <c r="K5203" i="1" s="1"/>
  <c r="L5203" i="1" s="1"/>
  <c r="H1853" i="1"/>
  <c r="I1853" i="1" s="1"/>
  <c r="J1853" i="1" s="1"/>
  <c r="K1853" i="1" s="1"/>
  <c r="L1853" i="1" s="1"/>
  <c r="H1917" i="1"/>
  <c r="I1917" i="1" s="1"/>
  <c r="J1917" i="1" s="1"/>
  <c r="K1917" i="1" s="1"/>
  <c r="L1917" i="1" s="1"/>
  <c r="H508" i="1"/>
  <c r="I508" i="1" s="1"/>
  <c r="J508" i="1" s="1"/>
  <c r="K508" i="1" s="1"/>
  <c r="L508" i="1" s="1"/>
  <c r="H5565" i="1"/>
  <c r="I5565" i="1" s="1"/>
  <c r="J5565" i="1" s="1"/>
  <c r="K5565" i="1" s="1"/>
  <c r="L5565" i="1" s="1"/>
  <c r="H3644" i="1"/>
  <c r="I3644" i="1" s="1"/>
  <c r="J3644" i="1" s="1"/>
  <c r="K3644" i="1" s="1"/>
  <c r="L3644" i="1" s="1"/>
  <c r="H4833" i="1"/>
  <c r="I4833" i="1" s="1"/>
  <c r="J4833" i="1" s="1"/>
  <c r="K4833" i="1" s="1"/>
  <c r="L4833" i="1" s="1"/>
  <c r="H4632" i="1"/>
  <c r="I4632" i="1" s="1"/>
  <c r="J4632" i="1" s="1"/>
  <c r="K4632" i="1" s="1"/>
  <c r="L4632" i="1" s="1"/>
  <c r="H2782" i="1"/>
  <c r="I2782" i="1" s="1"/>
  <c r="J2782" i="1" s="1"/>
  <c r="K2782" i="1" s="1"/>
  <c r="L2782" i="1" s="1"/>
  <c r="H2947" i="1"/>
  <c r="I2947" i="1" s="1"/>
  <c r="J2947" i="1" s="1"/>
  <c r="K2947" i="1" s="1"/>
  <c r="L2947" i="1" s="1"/>
  <c r="H2393" i="1"/>
  <c r="I2393" i="1" s="1"/>
  <c r="J2393" i="1" s="1"/>
  <c r="K2393" i="1" s="1"/>
  <c r="L2393" i="1" s="1"/>
  <c r="H162" i="1"/>
  <c r="I162" i="1" s="1"/>
  <c r="J162" i="1" s="1"/>
  <c r="K162" i="1" s="1"/>
  <c r="L162" i="1" s="1"/>
  <c r="H295" i="1"/>
  <c r="I295" i="1" s="1"/>
  <c r="J295" i="1" s="1"/>
  <c r="K295" i="1" s="1"/>
  <c r="L295" i="1" s="1"/>
  <c r="H2423" i="1"/>
  <c r="I2423" i="1" s="1"/>
  <c r="J2423" i="1" s="1"/>
  <c r="K2423" i="1" s="1"/>
  <c r="L2423" i="1" s="1"/>
  <c r="H3176" i="1"/>
  <c r="I3176" i="1" s="1"/>
  <c r="J3176" i="1" s="1"/>
  <c r="K3176" i="1" s="1"/>
  <c r="L3176" i="1" s="1"/>
  <c r="H2702" i="1"/>
  <c r="I2702" i="1" s="1"/>
  <c r="J2702" i="1" s="1"/>
  <c r="K2702" i="1" s="1"/>
  <c r="L2702" i="1" s="1"/>
  <c r="H3631" i="1"/>
  <c r="I3631" i="1" s="1"/>
  <c r="J3631" i="1" s="1"/>
  <c r="K3631" i="1" s="1"/>
  <c r="L3631" i="1" s="1"/>
  <c r="H4370" i="1"/>
  <c r="I4370" i="1" s="1"/>
  <c r="J4370" i="1" s="1"/>
  <c r="K4370" i="1" s="1"/>
  <c r="L4370" i="1" s="1"/>
  <c r="H804" i="1"/>
  <c r="I804" i="1" s="1"/>
  <c r="J804" i="1" s="1"/>
  <c r="K804" i="1" s="1"/>
  <c r="L804" i="1" s="1"/>
  <c r="H461" i="1"/>
  <c r="I461" i="1" s="1"/>
  <c r="J461" i="1" s="1"/>
  <c r="K461" i="1" s="1"/>
  <c r="L461" i="1" s="1"/>
  <c r="H116" i="1"/>
  <c r="I116" i="1" s="1"/>
  <c r="J116" i="1" s="1"/>
  <c r="K116" i="1" s="1"/>
  <c r="L116" i="1" s="1"/>
  <c r="H3123" i="1"/>
  <c r="I3123" i="1" s="1"/>
  <c r="J3123" i="1" s="1"/>
  <c r="K3123" i="1" s="1"/>
  <c r="L3123" i="1" s="1"/>
  <c r="H1215" i="1"/>
  <c r="I1215" i="1" s="1"/>
  <c r="J1215" i="1" s="1"/>
  <c r="K1215" i="1" s="1"/>
  <c r="L1215" i="1" s="1"/>
  <c r="H2041" i="1"/>
  <c r="I2041" i="1" s="1"/>
  <c r="J2041" i="1" s="1"/>
  <c r="K2041" i="1" s="1"/>
  <c r="L2041" i="1" s="1"/>
  <c r="H3879" i="1"/>
  <c r="I3879" i="1" s="1"/>
  <c r="J3879" i="1" s="1"/>
  <c r="K3879" i="1" s="1"/>
  <c r="L3879" i="1" s="1"/>
  <c r="H1502" i="1"/>
  <c r="I1502" i="1" s="1"/>
  <c r="J1502" i="1" s="1"/>
  <c r="K1502" i="1" s="1"/>
  <c r="L1502" i="1" s="1"/>
  <c r="H1927" i="1"/>
  <c r="I1927" i="1" s="1"/>
  <c r="J1927" i="1" s="1"/>
  <c r="K1927" i="1" s="1"/>
  <c r="L1927" i="1" s="1"/>
  <c r="H2906" i="1"/>
  <c r="I2906" i="1" s="1"/>
  <c r="J2906" i="1" s="1"/>
  <c r="K2906" i="1" s="1"/>
  <c r="L2906" i="1" s="1"/>
  <c r="H172" i="1"/>
  <c r="I172" i="1" s="1"/>
  <c r="J172" i="1" s="1"/>
  <c r="K172" i="1" s="1"/>
  <c r="L172" i="1" s="1"/>
  <c r="H4208" i="1"/>
  <c r="I4208" i="1" s="1"/>
  <c r="J4208" i="1" s="1"/>
  <c r="K4208" i="1" s="1"/>
  <c r="L4208" i="1" s="1"/>
  <c r="H644" i="1"/>
  <c r="I644" i="1" s="1"/>
  <c r="J644" i="1" s="1"/>
  <c r="K644" i="1" s="1"/>
  <c r="L644" i="1" s="1"/>
  <c r="H451" i="1"/>
  <c r="I451" i="1" s="1"/>
  <c r="J451" i="1" s="1"/>
  <c r="K451" i="1" s="1"/>
  <c r="L451" i="1" s="1"/>
  <c r="H1457" i="1"/>
  <c r="I1457" i="1" s="1"/>
  <c r="J1457" i="1" s="1"/>
  <c r="K1457" i="1" s="1"/>
  <c r="L1457" i="1" s="1"/>
  <c r="H333" i="1"/>
  <c r="I333" i="1" s="1"/>
  <c r="J333" i="1" s="1"/>
  <c r="K333" i="1" s="1"/>
  <c r="L333" i="1" s="1"/>
  <c r="H553" i="1"/>
  <c r="I553" i="1" s="1"/>
  <c r="J553" i="1" s="1"/>
  <c r="K553" i="1" s="1"/>
  <c r="L553" i="1" s="1"/>
  <c r="H2714" i="1"/>
  <c r="I2714" i="1" s="1"/>
  <c r="J2714" i="1" s="1"/>
  <c r="K2714" i="1" s="1"/>
  <c r="L2714" i="1" s="1"/>
  <c r="H2769" i="1"/>
  <c r="I2769" i="1" s="1"/>
  <c r="J2769" i="1" s="1"/>
  <c r="K2769" i="1" s="1"/>
  <c r="L2769" i="1" s="1"/>
  <c r="H1742" i="1"/>
  <c r="I1742" i="1" s="1"/>
  <c r="J1742" i="1" s="1"/>
  <c r="K1742" i="1" s="1"/>
  <c r="L1742" i="1" s="1"/>
  <c r="H1720" i="1"/>
  <c r="I1720" i="1" s="1"/>
  <c r="J1720" i="1" s="1"/>
  <c r="K1720" i="1" s="1"/>
  <c r="L1720" i="1" s="1"/>
  <c r="H311" i="1"/>
  <c r="I311" i="1" s="1"/>
  <c r="J311" i="1" s="1"/>
  <c r="K311" i="1" s="1"/>
  <c r="L311" i="1" s="1"/>
  <c r="H2703" i="1"/>
  <c r="I2703" i="1" s="1"/>
  <c r="J2703" i="1" s="1"/>
  <c r="K2703" i="1" s="1"/>
  <c r="L2703" i="1" s="1"/>
  <c r="H3625" i="1"/>
  <c r="I3625" i="1" s="1"/>
  <c r="J3625" i="1" s="1"/>
  <c r="K3625" i="1" s="1"/>
  <c r="L3625" i="1" s="1"/>
  <c r="H2863" i="1"/>
  <c r="I2863" i="1" s="1"/>
  <c r="J2863" i="1" s="1"/>
  <c r="K2863" i="1" s="1"/>
  <c r="L2863" i="1" s="1"/>
  <c r="H5578" i="1"/>
  <c r="I5578" i="1" s="1"/>
  <c r="J5578" i="1" s="1"/>
  <c r="K5578" i="1" s="1"/>
  <c r="L5578" i="1" s="1"/>
  <c r="H2550" i="1"/>
  <c r="I2550" i="1" s="1"/>
  <c r="J2550" i="1" s="1"/>
  <c r="K2550" i="1" s="1"/>
  <c r="L2550" i="1" s="1"/>
  <c r="H1679" i="1"/>
  <c r="I1679" i="1" s="1"/>
  <c r="J1679" i="1" s="1"/>
  <c r="K1679" i="1" s="1"/>
  <c r="L1679" i="1" s="1"/>
  <c r="H640" i="1"/>
  <c r="I640" i="1" s="1"/>
  <c r="J640" i="1" s="1"/>
  <c r="K640" i="1" s="1"/>
  <c r="L640" i="1" s="1"/>
  <c r="H567" i="1"/>
  <c r="I567" i="1" s="1"/>
  <c r="J567" i="1" s="1"/>
  <c r="K567" i="1" s="1"/>
  <c r="L567" i="1" s="1"/>
  <c r="H4831" i="1"/>
  <c r="I4831" i="1" s="1"/>
  <c r="J4831" i="1" s="1"/>
  <c r="K4831" i="1" s="1"/>
  <c r="L4831" i="1" s="1"/>
  <c r="H1958" i="1"/>
  <c r="I1958" i="1" s="1"/>
  <c r="J1958" i="1" s="1"/>
  <c r="K1958" i="1" s="1"/>
  <c r="L1958" i="1" s="1"/>
  <c r="H5449" i="1"/>
  <c r="I5449" i="1" s="1"/>
  <c r="J5449" i="1" s="1"/>
  <c r="K5449" i="1" s="1"/>
  <c r="L5449" i="1" s="1"/>
  <c r="H325" i="1"/>
  <c r="I325" i="1" s="1"/>
  <c r="J325" i="1" s="1"/>
  <c r="K325" i="1" s="1"/>
  <c r="L325" i="1" s="1"/>
  <c r="H2288" i="1"/>
  <c r="I2288" i="1" s="1"/>
  <c r="J2288" i="1" s="1"/>
  <c r="K2288" i="1" s="1"/>
  <c r="L2288" i="1" s="1"/>
  <c r="H4671" i="1"/>
  <c r="I4671" i="1" s="1"/>
  <c r="J4671" i="1" s="1"/>
  <c r="K4671" i="1" s="1"/>
  <c r="L4671" i="1" s="1"/>
  <c r="H861" i="1"/>
  <c r="I861" i="1" s="1"/>
  <c r="J861" i="1" s="1"/>
  <c r="K861" i="1" s="1"/>
  <c r="L861" i="1" s="1"/>
  <c r="H859" i="1"/>
  <c r="I859" i="1" s="1"/>
  <c r="J859" i="1" s="1"/>
  <c r="K859" i="1" s="1"/>
  <c r="L859" i="1" s="1"/>
  <c r="H4384" i="1"/>
  <c r="I4384" i="1" s="1"/>
  <c r="J4384" i="1" s="1"/>
  <c r="K4384" i="1" s="1"/>
  <c r="L4384" i="1" s="1"/>
  <c r="H4247" i="1"/>
  <c r="I4247" i="1" s="1"/>
  <c r="J4247" i="1" s="1"/>
  <c r="K4247" i="1" s="1"/>
  <c r="L4247" i="1" s="1"/>
  <c r="H3022" i="1"/>
  <c r="I3022" i="1" s="1"/>
  <c r="J3022" i="1" s="1"/>
  <c r="K3022" i="1" s="1"/>
  <c r="L3022" i="1" s="1"/>
  <c r="H1995" i="1"/>
  <c r="I1995" i="1" s="1"/>
  <c r="J1995" i="1" s="1"/>
  <c r="K1995" i="1" s="1"/>
  <c r="L1995" i="1" s="1"/>
  <c r="H951" i="1"/>
  <c r="I951" i="1" s="1"/>
  <c r="J951" i="1" s="1"/>
  <c r="K951" i="1" s="1"/>
  <c r="L951" i="1" s="1"/>
  <c r="H961" i="1"/>
  <c r="I961" i="1" s="1"/>
  <c r="J961" i="1" s="1"/>
  <c r="K961" i="1" s="1"/>
  <c r="L961" i="1" s="1"/>
  <c r="H348" i="1"/>
  <c r="I348" i="1" s="1"/>
  <c r="J348" i="1" s="1"/>
  <c r="K348" i="1" s="1"/>
  <c r="L348" i="1" s="1"/>
  <c r="H4344" i="1"/>
  <c r="I4344" i="1" s="1"/>
  <c r="J4344" i="1" s="1"/>
  <c r="K4344" i="1" s="1"/>
  <c r="L4344" i="1" s="1"/>
  <c r="H4978" i="1"/>
  <c r="I4978" i="1" s="1"/>
  <c r="J4978" i="1" s="1"/>
  <c r="K4978" i="1" s="1"/>
  <c r="L4978" i="1" s="1"/>
  <c r="H5255" i="1"/>
  <c r="I5255" i="1" s="1"/>
  <c r="J5255" i="1" s="1"/>
  <c r="K5255" i="1" s="1"/>
  <c r="L5255" i="1" s="1"/>
  <c r="H4959" i="1"/>
  <c r="I4959" i="1" s="1"/>
  <c r="J4959" i="1" s="1"/>
  <c r="K4959" i="1" s="1"/>
  <c r="L4959" i="1" s="1"/>
  <c r="H593" i="1"/>
  <c r="I593" i="1" s="1"/>
  <c r="J593" i="1" s="1"/>
  <c r="K593" i="1" s="1"/>
  <c r="L593" i="1" s="1"/>
  <c r="H585" i="1"/>
  <c r="I585" i="1" s="1"/>
  <c r="J585" i="1" s="1"/>
  <c r="K585" i="1" s="1"/>
  <c r="L585" i="1" s="1"/>
  <c r="H2056" i="1"/>
  <c r="I2056" i="1" s="1"/>
  <c r="J2056" i="1" s="1"/>
  <c r="K2056" i="1" s="1"/>
  <c r="L2056" i="1" s="1"/>
  <c r="H4865" i="1"/>
  <c r="I4865" i="1" s="1"/>
  <c r="J4865" i="1" s="1"/>
  <c r="K4865" i="1" s="1"/>
  <c r="L4865" i="1" s="1"/>
  <c r="H2171" i="1"/>
  <c r="I2171" i="1" s="1"/>
  <c r="J2171" i="1" s="1"/>
  <c r="K2171" i="1" s="1"/>
  <c r="L2171" i="1" s="1"/>
  <c r="H1133" i="1"/>
  <c r="I1133" i="1" s="1"/>
  <c r="J1133" i="1" s="1"/>
  <c r="K1133" i="1" s="1"/>
  <c r="L1133" i="1" s="1"/>
  <c r="H3488" i="1"/>
  <c r="I3488" i="1" s="1"/>
  <c r="J3488" i="1" s="1"/>
  <c r="K3488" i="1" s="1"/>
  <c r="L3488" i="1" s="1"/>
  <c r="H3663" i="1"/>
  <c r="I3663" i="1" s="1"/>
  <c r="J3663" i="1" s="1"/>
  <c r="K3663" i="1" s="1"/>
  <c r="L3663" i="1" s="1"/>
  <c r="H594" i="1"/>
  <c r="I594" i="1" s="1"/>
  <c r="J594" i="1" s="1"/>
  <c r="K594" i="1" s="1"/>
  <c r="L594" i="1" s="1"/>
  <c r="H3425" i="1"/>
  <c r="I3425" i="1" s="1"/>
  <c r="J3425" i="1" s="1"/>
  <c r="K3425" i="1" s="1"/>
  <c r="L3425" i="1" s="1"/>
  <c r="H3867" i="1"/>
  <c r="I3867" i="1" s="1"/>
  <c r="J3867" i="1" s="1"/>
  <c r="K3867" i="1" s="1"/>
  <c r="L3867" i="1" s="1"/>
  <c r="H1877" i="1"/>
  <c r="I1877" i="1" s="1"/>
  <c r="J1877" i="1" s="1"/>
  <c r="K1877" i="1" s="1"/>
  <c r="L1877" i="1" s="1"/>
  <c r="H241" i="1"/>
  <c r="I241" i="1" s="1"/>
  <c r="J241" i="1" s="1"/>
  <c r="K241" i="1" s="1"/>
  <c r="L241" i="1" s="1"/>
  <c r="H2208" i="1"/>
  <c r="I2208" i="1" s="1"/>
  <c r="J2208" i="1" s="1"/>
  <c r="K2208" i="1" s="1"/>
  <c r="L2208" i="1" s="1"/>
  <c r="H1405" i="1"/>
  <c r="I1405" i="1" s="1"/>
  <c r="J1405" i="1" s="1"/>
  <c r="K1405" i="1" s="1"/>
  <c r="L1405" i="1" s="1"/>
  <c r="H3600" i="1"/>
  <c r="I3600" i="1" s="1"/>
  <c r="J3600" i="1" s="1"/>
  <c r="K3600" i="1" s="1"/>
  <c r="L3600" i="1" s="1"/>
  <c r="H752" i="1"/>
  <c r="I752" i="1" s="1"/>
  <c r="J752" i="1" s="1"/>
  <c r="K752" i="1" s="1"/>
  <c r="L752" i="1" s="1"/>
  <c r="H1559" i="1"/>
  <c r="I1559" i="1" s="1"/>
  <c r="J1559" i="1" s="1"/>
  <c r="K1559" i="1" s="1"/>
  <c r="L1559" i="1" s="1"/>
  <c r="H1753" i="1"/>
  <c r="I1753" i="1" s="1"/>
  <c r="J1753" i="1" s="1"/>
  <c r="K1753" i="1" s="1"/>
  <c r="L1753" i="1" s="1"/>
  <c r="H2168" i="1"/>
  <c r="I2168" i="1" s="1"/>
  <c r="J2168" i="1" s="1"/>
  <c r="K2168" i="1" s="1"/>
  <c r="L2168" i="1" s="1"/>
  <c r="H4025" i="1"/>
  <c r="I4025" i="1" s="1"/>
  <c r="J4025" i="1" s="1"/>
  <c r="K4025" i="1" s="1"/>
  <c r="L4025" i="1" s="1"/>
  <c r="H3462" i="1"/>
  <c r="I3462" i="1" s="1"/>
  <c r="J3462" i="1" s="1"/>
  <c r="K3462" i="1" s="1"/>
  <c r="L3462" i="1" s="1"/>
  <c r="H4234" i="1"/>
  <c r="I4234" i="1" s="1"/>
  <c r="J4234" i="1" s="1"/>
  <c r="K4234" i="1" s="1"/>
  <c r="L4234" i="1" s="1"/>
  <c r="H2597" i="1"/>
  <c r="I2597" i="1" s="1"/>
  <c r="J2597" i="1" s="1"/>
  <c r="K2597" i="1" s="1"/>
  <c r="L2597" i="1" s="1"/>
  <c r="H1278" i="1"/>
  <c r="I1278" i="1" s="1"/>
  <c r="J1278" i="1" s="1"/>
  <c r="K1278" i="1" s="1"/>
  <c r="L1278" i="1" s="1"/>
  <c r="H909" i="1"/>
  <c r="I909" i="1" s="1"/>
  <c r="J909" i="1" s="1"/>
  <c r="K909" i="1" s="1"/>
  <c r="L909" i="1" s="1"/>
  <c r="H5195" i="1"/>
  <c r="I5195" i="1" s="1"/>
  <c r="J5195" i="1" s="1"/>
  <c r="K5195" i="1" s="1"/>
  <c r="L5195" i="1" s="1"/>
  <c r="H1912" i="1"/>
  <c r="I1912" i="1" s="1"/>
  <c r="J1912" i="1" s="1"/>
  <c r="K1912" i="1" s="1"/>
  <c r="L1912" i="1" s="1"/>
  <c r="H1442" i="1"/>
  <c r="I1442" i="1" s="1"/>
  <c r="J1442" i="1" s="1"/>
  <c r="K1442" i="1" s="1"/>
  <c r="L1442" i="1" s="1"/>
  <c r="H3655" i="1"/>
  <c r="I3655" i="1" s="1"/>
  <c r="J3655" i="1" s="1"/>
  <c r="K3655" i="1" s="1"/>
  <c r="L3655" i="1" s="1"/>
  <c r="H2843" i="1"/>
  <c r="I2843" i="1" s="1"/>
  <c r="J2843" i="1" s="1"/>
  <c r="K2843" i="1" s="1"/>
  <c r="L2843" i="1" s="1"/>
  <c r="H1247" i="1"/>
  <c r="I1247" i="1" s="1"/>
  <c r="J1247" i="1" s="1"/>
  <c r="K1247" i="1" s="1"/>
  <c r="L1247" i="1" s="1"/>
  <c r="H207" i="1"/>
  <c r="I207" i="1" s="1"/>
  <c r="J207" i="1" s="1"/>
  <c r="K207" i="1" s="1"/>
  <c r="L207" i="1" s="1"/>
  <c r="H5686" i="1"/>
  <c r="I5686" i="1" s="1"/>
  <c r="J5686" i="1" s="1"/>
  <c r="K5686" i="1" s="1"/>
  <c r="L5686" i="1" s="1"/>
  <c r="H2268" i="1"/>
  <c r="I2268" i="1" s="1"/>
  <c r="J2268" i="1" s="1"/>
  <c r="K2268" i="1" s="1"/>
  <c r="L2268" i="1" s="1"/>
  <c r="H1485" i="1"/>
  <c r="I1485" i="1" s="1"/>
  <c r="J1485" i="1" s="1"/>
  <c r="K1485" i="1" s="1"/>
  <c r="L1485" i="1" s="1"/>
  <c r="H2134" i="1"/>
  <c r="I2134" i="1" s="1"/>
  <c r="J2134" i="1" s="1"/>
  <c r="K2134" i="1" s="1"/>
  <c r="L2134" i="1" s="1"/>
  <c r="H3042" i="1"/>
  <c r="I3042" i="1" s="1"/>
  <c r="J3042" i="1" s="1"/>
  <c r="K3042" i="1" s="1"/>
  <c r="L3042" i="1" s="1"/>
  <c r="H2314" i="1"/>
  <c r="I2314" i="1" s="1"/>
  <c r="J2314" i="1" s="1"/>
  <c r="K2314" i="1" s="1"/>
  <c r="L2314" i="1" s="1"/>
  <c r="H5429" i="1"/>
  <c r="I5429" i="1" s="1"/>
  <c r="J5429" i="1" s="1"/>
  <c r="K5429" i="1" s="1"/>
  <c r="L5429" i="1" s="1"/>
  <c r="H4214" i="1"/>
  <c r="I4214" i="1" s="1"/>
  <c r="J4214" i="1" s="1"/>
  <c r="K4214" i="1" s="1"/>
  <c r="L4214" i="1" s="1"/>
  <c r="H2602" i="1"/>
  <c r="I2602" i="1" s="1"/>
  <c r="J2602" i="1" s="1"/>
  <c r="K2602" i="1" s="1"/>
  <c r="L2602" i="1" s="1"/>
  <c r="H4948" i="1"/>
  <c r="I4948" i="1" s="1"/>
  <c r="J4948" i="1" s="1"/>
  <c r="K4948" i="1" s="1"/>
  <c r="L4948" i="1" s="1"/>
  <c r="H5149" i="1"/>
  <c r="I5149" i="1" s="1"/>
  <c r="J5149" i="1" s="1"/>
  <c r="K5149" i="1" s="1"/>
  <c r="L5149" i="1" s="1"/>
  <c r="H1336" i="1"/>
  <c r="I1336" i="1" s="1"/>
  <c r="J1336" i="1" s="1"/>
  <c r="K1336" i="1" s="1"/>
  <c r="L1336" i="1" s="1"/>
  <c r="H2753" i="1"/>
  <c r="I2753" i="1" s="1"/>
  <c r="J2753" i="1" s="1"/>
  <c r="K2753" i="1" s="1"/>
  <c r="L2753" i="1" s="1"/>
  <c r="H5297" i="1"/>
  <c r="I5297" i="1" s="1"/>
  <c r="J5297" i="1" s="1"/>
  <c r="K5297" i="1" s="1"/>
  <c r="L5297" i="1" s="1"/>
  <c r="H2225" i="1"/>
  <c r="I2225" i="1" s="1"/>
  <c r="J2225" i="1" s="1"/>
  <c r="K2225" i="1" s="1"/>
  <c r="L2225" i="1" s="1"/>
  <c r="H1079" i="1"/>
  <c r="I1079" i="1" s="1"/>
  <c r="J1079" i="1" s="1"/>
  <c r="K1079" i="1" s="1"/>
  <c r="L1079" i="1" s="1"/>
  <c r="H3285" i="1"/>
  <c r="I3285" i="1" s="1"/>
  <c r="J3285" i="1" s="1"/>
  <c r="K3285" i="1" s="1"/>
  <c r="L3285" i="1" s="1"/>
  <c r="H1096" i="1"/>
  <c r="I1096" i="1" s="1"/>
  <c r="J1096" i="1" s="1"/>
  <c r="K1096" i="1" s="1"/>
  <c r="L1096" i="1" s="1"/>
  <c r="H1804" i="1"/>
  <c r="I1804" i="1" s="1"/>
  <c r="J1804" i="1" s="1"/>
  <c r="K1804" i="1" s="1"/>
  <c r="L1804" i="1" s="1"/>
  <c r="H117" i="1"/>
  <c r="I117" i="1" s="1"/>
  <c r="J117" i="1" s="1"/>
  <c r="K117" i="1" s="1"/>
  <c r="L117" i="1" s="1"/>
  <c r="H5123" i="1"/>
  <c r="I5123" i="1" s="1"/>
  <c r="J5123" i="1" s="1"/>
  <c r="K5123" i="1" s="1"/>
  <c r="L5123" i="1" s="1"/>
  <c r="H2859" i="1"/>
  <c r="I2859" i="1" s="1"/>
  <c r="J2859" i="1" s="1"/>
  <c r="K2859" i="1" s="1"/>
  <c r="L2859" i="1" s="1"/>
  <c r="H1725" i="1"/>
  <c r="I1725" i="1" s="1"/>
  <c r="J1725" i="1" s="1"/>
  <c r="K1725" i="1" s="1"/>
  <c r="L1725" i="1" s="1"/>
  <c r="H4477" i="1"/>
  <c r="I4477" i="1" s="1"/>
  <c r="J4477" i="1" s="1"/>
  <c r="K4477" i="1" s="1"/>
  <c r="L4477" i="1" s="1"/>
  <c r="H4289" i="1"/>
  <c r="I4289" i="1" s="1"/>
  <c r="J4289" i="1" s="1"/>
  <c r="K4289" i="1" s="1"/>
  <c r="L4289" i="1" s="1"/>
  <c r="H809" i="1"/>
  <c r="I809" i="1" s="1"/>
  <c r="J809" i="1" s="1"/>
  <c r="K809" i="1" s="1"/>
  <c r="L809" i="1" s="1"/>
  <c r="H504" i="1"/>
  <c r="I504" i="1" s="1"/>
  <c r="J504" i="1" s="1"/>
  <c r="K504" i="1" s="1"/>
  <c r="L504" i="1" s="1"/>
  <c r="H1126" i="1"/>
  <c r="I1126" i="1" s="1"/>
  <c r="J1126" i="1" s="1"/>
  <c r="K1126" i="1" s="1"/>
  <c r="L1126" i="1" s="1"/>
  <c r="H5272" i="1"/>
  <c r="I5272" i="1" s="1"/>
  <c r="J5272" i="1" s="1"/>
  <c r="K5272" i="1" s="1"/>
  <c r="L5272" i="1" s="1"/>
  <c r="H3915" i="1"/>
  <c r="I3915" i="1" s="1"/>
  <c r="J3915" i="1" s="1"/>
  <c r="K3915" i="1" s="1"/>
  <c r="L3915" i="1" s="1"/>
  <c r="H75" i="1"/>
  <c r="I75" i="1" s="1"/>
  <c r="J75" i="1" s="1"/>
  <c r="K75" i="1" s="1"/>
  <c r="L75" i="1" s="1"/>
  <c r="H2420" i="1"/>
  <c r="I2420" i="1" s="1"/>
  <c r="J2420" i="1" s="1"/>
  <c r="K2420" i="1" s="1"/>
  <c r="L2420" i="1" s="1"/>
  <c r="H3398" i="1"/>
  <c r="I3398" i="1" s="1"/>
  <c r="J3398" i="1" s="1"/>
  <c r="K3398" i="1" s="1"/>
  <c r="L3398" i="1" s="1"/>
  <c r="H1908" i="1"/>
  <c r="I1908" i="1" s="1"/>
  <c r="J1908" i="1" s="1"/>
  <c r="K1908" i="1" s="1"/>
  <c r="L1908" i="1" s="1"/>
  <c r="H1690" i="1"/>
  <c r="I1690" i="1" s="1"/>
  <c r="J1690" i="1" s="1"/>
  <c r="K1690" i="1" s="1"/>
  <c r="L1690" i="1" s="1"/>
  <c r="H3339" i="1"/>
  <c r="I3339" i="1" s="1"/>
  <c r="J3339" i="1" s="1"/>
  <c r="K3339" i="1" s="1"/>
  <c r="L3339" i="1" s="1"/>
  <c r="H3474" i="1"/>
  <c r="I3474" i="1" s="1"/>
  <c r="J3474" i="1" s="1"/>
  <c r="K3474" i="1" s="1"/>
  <c r="L3474" i="1" s="1"/>
  <c r="H5592" i="1"/>
  <c r="I5592" i="1" s="1"/>
  <c r="J5592" i="1" s="1"/>
  <c r="K5592" i="1" s="1"/>
  <c r="L5592" i="1" s="1"/>
  <c r="H5904" i="1"/>
  <c r="I5904" i="1" s="1"/>
  <c r="J5904" i="1" s="1"/>
  <c r="K5904" i="1" s="1"/>
  <c r="L5904" i="1" s="1"/>
  <c r="H1900" i="1"/>
  <c r="I1900" i="1" s="1"/>
  <c r="J1900" i="1" s="1"/>
  <c r="K1900" i="1" s="1"/>
  <c r="L1900" i="1" s="1"/>
  <c r="H2231" i="1"/>
  <c r="I2231" i="1" s="1"/>
  <c r="J2231" i="1" s="1"/>
  <c r="K2231" i="1" s="1"/>
  <c r="L2231" i="1" s="1"/>
  <c r="H2226" i="1"/>
  <c r="I2226" i="1" s="1"/>
  <c r="J2226" i="1" s="1"/>
  <c r="K2226" i="1" s="1"/>
  <c r="L2226" i="1" s="1"/>
  <c r="H2220" i="1"/>
  <c r="I2220" i="1" s="1"/>
  <c r="J2220" i="1" s="1"/>
  <c r="K2220" i="1" s="1"/>
  <c r="L2220" i="1" s="1"/>
  <c r="H5693" i="1"/>
  <c r="I5693" i="1" s="1"/>
  <c r="J5693" i="1" s="1"/>
  <c r="K5693" i="1" s="1"/>
  <c r="L5693" i="1" s="1"/>
  <c r="H282" i="1"/>
  <c r="I282" i="1" s="1"/>
  <c r="H1292" i="1"/>
  <c r="I1292" i="1" s="1"/>
  <c r="J1292" i="1" s="1"/>
  <c r="K1292" i="1" s="1"/>
  <c r="L1292" i="1" s="1"/>
  <c r="H4735" i="1"/>
  <c r="I4735" i="1" s="1"/>
  <c r="J4735" i="1" s="1"/>
  <c r="K4735" i="1" s="1"/>
  <c r="L4735" i="1" s="1"/>
  <c r="H5988" i="1"/>
  <c r="I5988" i="1" s="1"/>
  <c r="J5988" i="1" s="1"/>
  <c r="K5988" i="1" s="1"/>
  <c r="L5988" i="1" s="1"/>
  <c r="H3039" i="1"/>
  <c r="I3039" i="1" s="1"/>
  <c r="J3039" i="1" s="1"/>
  <c r="K3039" i="1" s="1"/>
  <c r="L3039" i="1" s="1"/>
  <c r="H1169" i="1"/>
  <c r="I1169" i="1" s="1"/>
  <c r="J1169" i="1" s="1"/>
  <c r="K1169" i="1" s="1"/>
  <c r="L1169" i="1" s="1"/>
  <c r="H5540" i="1"/>
  <c r="I5540" i="1" s="1"/>
  <c r="J5540" i="1" s="1"/>
  <c r="K5540" i="1" s="1"/>
  <c r="L5540" i="1" s="1"/>
  <c r="H1682" i="1"/>
  <c r="I1682" i="1" s="1"/>
  <c r="J1682" i="1" s="1"/>
  <c r="K1682" i="1" s="1"/>
  <c r="L1682" i="1" s="1"/>
  <c r="H422" i="1"/>
  <c r="I422" i="1" s="1"/>
  <c r="J422" i="1" s="1"/>
  <c r="K422" i="1" s="1"/>
  <c r="L422" i="1" s="1"/>
  <c r="H4869" i="1"/>
  <c r="I4869" i="1" s="1"/>
  <c r="J4869" i="1" s="1"/>
  <c r="K4869" i="1" s="1"/>
  <c r="L4869" i="1" s="1"/>
  <c r="H2984" i="1"/>
  <c r="I2984" i="1" s="1"/>
  <c r="J2984" i="1" s="1"/>
  <c r="K2984" i="1" s="1"/>
  <c r="L2984" i="1" s="1"/>
  <c r="H1897" i="1"/>
  <c r="I1897" i="1" s="1"/>
  <c r="J1897" i="1" s="1"/>
  <c r="K1897" i="1" s="1"/>
  <c r="L1897" i="1" s="1"/>
  <c r="H2414" i="1"/>
  <c r="I2414" i="1" s="1"/>
  <c r="J2414" i="1" s="1"/>
  <c r="K2414" i="1" s="1"/>
  <c r="L2414" i="1" s="1"/>
  <c r="H2959" i="1"/>
  <c r="I2959" i="1" s="1"/>
  <c r="J2959" i="1" s="1"/>
  <c r="K2959" i="1" s="1"/>
  <c r="L2959" i="1" s="1"/>
  <c r="H706" i="1"/>
  <c r="I706" i="1" s="1"/>
  <c r="J706" i="1" s="1"/>
  <c r="K706" i="1" s="1"/>
  <c r="L706" i="1" s="1"/>
  <c r="H2630" i="1"/>
  <c r="I2630" i="1" s="1"/>
  <c r="J2630" i="1" s="1"/>
  <c r="K2630" i="1" s="1"/>
  <c r="L2630" i="1" s="1"/>
  <c r="H1451" i="1"/>
  <c r="I1451" i="1" s="1"/>
  <c r="J1451" i="1" s="1"/>
  <c r="K1451" i="1" s="1"/>
  <c r="L1451" i="1" s="1"/>
  <c r="H5700" i="1"/>
  <c r="I5700" i="1" s="1"/>
  <c r="J5700" i="1" s="1"/>
  <c r="K5700" i="1" s="1"/>
  <c r="L5700" i="1" s="1"/>
  <c r="H5039" i="1"/>
  <c r="I5039" i="1" s="1"/>
  <c r="J5039" i="1" s="1"/>
  <c r="K5039" i="1" s="1"/>
  <c r="L5039" i="1" s="1"/>
  <c r="H456" i="1"/>
  <c r="I456" i="1" s="1"/>
  <c r="J456" i="1" s="1"/>
  <c r="K456" i="1" s="1"/>
  <c r="L456" i="1" s="1"/>
  <c r="H1945" i="1"/>
  <c r="I1945" i="1" s="1"/>
  <c r="J1945" i="1" s="1"/>
  <c r="K1945" i="1" s="1"/>
  <c r="L1945" i="1" s="1"/>
  <c r="H1787" i="1"/>
  <c r="I1787" i="1" s="1"/>
  <c r="J1787" i="1" s="1"/>
  <c r="K1787" i="1" s="1"/>
  <c r="L1787" i="1" s="1"/>
  <c r="H1774" i="1"/>
  <c r="I1774" i="1" s="1"/>
  <c r="J1774" i="1" s="1"/>
  <c r="K1774" i="1" s="1"/>
  <c r="L1774" i="1" s="1"/>
  <c r="H1555" i="1"/>
  <c r="I1555" i="1" s="1"/>
  <c r="J1555" i="1" s="1"/>
  <c r="K1555" i="1" s="1"/>
  <c r="L1555" i="1" s="1"/>
  <c r="H3546" i="1"/>
  <c r="I3546" i="1" s="1"/>
  <c r="J3546" i="1" s="1"/>
  <c r="K3546" i="1" s="1"/>
  <c r="L3546" i="1" s="1"/>
  <c r="H308" i="1"/>
  <c r="I308" i="1" s="1"/>
  <c r="J308" i="1" s="1"/>
  <c r="K308" i="1" s="1"/>
  <c r="L308" i="1" s="1"/>
  <c r="H1715" i="1"/>
  <c r="I1715" i="1" s="1"/>
  <c r="J1715" i="1" s="1"/>
  <c r="K1715" i="1" s="1"/>
  <c r="L1715" i="1" s="1"/>
  <c r="H1599" i="1"/>
  <c r="I1599" i="1" s="1"/>
  <c r="J1599" i="1" s="1"/>
  <c r="K1599" i="1" s="1"/>
  <c r="L1599" i="1" s="1"/>
  <c r="H4714" i="1"/>
  <c r="I4714" i="1" s="1"/>
  <c r="J4714" i="1" s="1"/>
  <c r="K4714" i="1" s="1"/>
  <c r="L4714" i="1" s="1"/>
  <c r="H2500" i="1"/>
  <c r="I2500" i="1" s="1"/>
  <c r="J2500" i="1" s="1"/>
  <c r="K2500" i="1" s="1"/>
  <c r="L2500" i="1" s="1"/>
  <c r="H4243" i="1"/>
  <c r="I4243" i="1" s="1"/>
  <c r="J4243" i="1" s="1"/>
  <c r="K4243" i="1" s="1"/>
  <c r="L4243" i="1" s="1"/>
  <c r="H3979" i="1"/>
  <c r="I3979" i="1" s="1"/>
  <c r="J3979" i="1" s="1"/>
  <c r="K3979" i="1" s="1"/>
  <c r="L3979" i="1" s="1"/>
  <c r="H4874" i="1"/>
  <c r="I4874" i="1" s="1"/>
  <c r="J4874" i="1" s="1"/>
  <c r="K4874" i="1" s="1"/>
  <c r="L4874" i="1" s="1"/>
  <c r="H2149" i="1"/>
  <c r="I2149" i="1" s="1"/>
  <c r="J2149" i="1" s="1"/>
  <c r="K2149" i="1" s="1"/>
  <c r="L2149" i="1" s="1"/>
  <c r="H432" i="1"/>
  <c r="I432" i="1" s="1"/>
  <c r="J432" i="1" s="1"/>
  <c r="K432" i="1" s="1"/>
  <c r="L432" i="1" s="1"/>
  <c r="H2191" i="1"/>
  <c r="I2191" i="1" s="1"/>
  <c r="J2191" i="1" s="1"/>
  <c r="K2191" i="1" s="1"/>
  <c r="L2191" i="1" s="1"/>
  <c r="F17" i="8"/>
  <c r="G17" i="8" s="1"/>
  <c r="H5987" i="1"/>
  <c r="I5987" i="1" s="1"/>
  <c r="J5987" i="1" s="1"/>
  <c r="K5987" i="1" s="1"/>
  <c r="L5987" i="1" s="1"/>
  <c r="H825" i="1"/>
  <c r="I825" i="1" s="1"/>
  <c r="J825" i="1" s="1"/>
  <c r="K825" i="1" s="1"/>
  <c r="L825" i="1" s="1"/>
  <c r="H4460" i="1"/>
  <c r="I4460" i="1" s="1"/>
  <c r="J4460" i="1" s="1"/>
  <c r="K4460" i="1" s="1"/>
  <c r="L4460" i="1" s="1"/>
  <c r="H5015" i="1"/>
  <c r="I5015" i="1" s="1"/>
  <c r="J5015" i="1" s="1"/>
  <c r="K5015" i="1" s="1"/>
  <c r="L5015" i="1" s="1"/>
  <c r="H2509" i="1"/>
  <c r="I2509" i="1" s="1"/>
  <c r="J2509" i="1" s="1"/>
  <c r="K2509" i="1" s="1"/>
  <c r="L2509" i="1" s="1"/>
  <c r="H4934" i="1"/>
  <c r="I4934" i="1" s="1"/>
  <c r="J4934" i="1" s="1"/>
  <c r="K4934" i="1" s="1"/>
  <c r="L4934" i="1" s="1"/>
  <c r="H1621" i="1"/>
  <c r="I1621" i="1" s="1"/>
  <c r="J1621" i="1" s="1"/>
  <c r="K1621" i="1" s="1"/>
  <c r="L1621" i="1" s="1"/>
  <c r="H2929" i="1"/>
  <c r="I2929" i="1" s="1"/>
  <c r="J2929" i="1" s="1"/>
  <c r="K2929" i="1" s="1"/>
  <c r="L2929" i="1" s="1"/>
  <c r="H5608" i="1"/>
  <c r="I5608" i="1" s="1"/>
  <c r="J5608" i="1" s="1"/>
  <c r="K5608" i="1" s="1"/>
  <c r="L5608" i="1" s="1"/>
  <c r="H101" i="1"/>
  <c r="I101" i="1" s="1"/>
  <c r="J101" i="1" s="1"/>
  <c r="K101" i="1" s="1"/>
  <c r="L101" i="1" s="1"/>
  <c r="H3000" i="1"/>
  <c r="I3000" i="1" s="1"/>
  <c r="J3000" i="1" s="1"/>
  <c r="K3000" i="1" s="1"/>
  <c r="L3000" i="1" s="1"/>
  <c r="H5710" i="1"/>
  <c r="I5710" i="1" s="1"/>
  <c r="J5710" i="1" s="1"/>
  <c r="K5710" i="1" s="1"/>
  <c r="L5710" i="1" s="1"/>
  <c r="H4972" i="1"/>
  <c r="I4972" i="1" s="1"/>
  <c r="J4972" i="1" s="1"/>
  <c r="K4972" i="1" s="1"/>
  <c r="L4972" i="1" s="1"/>
  <c r="H5864" i="1"/>
  <c r="I5864" i="1" s="1"/>
  <c r="J5864" i="1" s="1"/>
  <c r="K5864" i="1" s="1"/>
  <c r="L5864" i="1" s="1"/>
  <c r="E5547" i="1"/>
  <c r="E5166" i="1"/>
  <c r="E345" i="1"/>
  <c r="E1311" i="1"/>
  <c r="E5935" i="1"/>
  <c r="E1128" i="1"/>
  <c r="E1487" i="1"/>
  <c r="E5895" i="1"/>
  <c r="E1919" i="1"/>
  <c r="E3607" i="1"/>
  <c r="E584" i="1"/>
  <c r="E230" i="1"/>
  <c r="E4048" i="1"/>
  <c r="E1085" i="1"/>
  <c r="E969" i="1"/>
  <c r="E1580" i="1"/>
  <c r="E744" i="1"/>
  <c r="E5708" i="1"/>
  <c r="E2355" i="1"/>
  <c r="E4790" i="1"/>
  <c r="E3181" i="1"/>
  <c r="E5204" i="1"/>
  <c r="E3671" i="1"/>
  <c r="E1968" i="1"/>
  <c r="E5903" i="1"/>
  <c r="E5971" i="1"/>
  <c r="E3360" i="1"/>
  <c r="E1321" i="1"/>
  <c r="E2362" i="1"/>
  <c r="E973" i="1"/>
  <c r="E1609" i="1"/>
  <c r="E4472" i="1"/>
  <c r="E4283" i="1"/>
  <c r="E1135" i="1"/>
  <c r="E4187" i="1"/>
  <c r="E953" i="1"/>
  <c r="E2371" i="1"/>
  <c r="E1616" i="1"/>
  <c r="E195" i="1"/>
  <c r="E1058" i="1"/>
  <c r="E2938" i="1"/>
  <c r="E2857" i="1"/>
  <c r="E1681" i="1"/>
  <c r="E4670" i="1"/>
  <c r="E1501" i="1"/>
  <c r="E1206" i="1"/>
  <c r="E321" i="1"/>
  <c r="E3316" i="1"/>
  <c r="E4336" i="1"/>
  <c r="E4428" i="1"/>
  <c r="E4153" i="1"/>
  <c r="E1871" i="1"/>
  <c r="E469" i="1"/>
  <c r="E3826" i="1"/>
  <c r="E438" i="1"/>
  <c r="E2973" i="1"/>
  <c r="E1617" i="1"/>
  <c r="E1422" i="1"/>
  <c r="E2188" i="1"/>
  <c r="E5244" i="1"/>
  <c r="E5167" i="1"/>
  <c r="E2471" i="1"/>
  <c r="E4143" i="1"/>
  <c r="E1736" i="1"/>
  <c r="E1319" i="1"/>
  <c r="E2912" i="1"/>
  <c r="E5878" i="1"/>
  <c r="E1840" i="1"/>
  <c r="E4257" i="1"/>
  <c r="E3899" i="1"/>
  <c r="E866" i="1"/>
  <c r="E2083" i="1"/>
  <c r="E1794" i="1"/>
  <c r="E1803" i="1"/>
  <c r="E2312" i="1"/>
  <c r="E1518" i="1"/>
  <c r="E997" i="1"/>
  <c r="E5599" i="1"/>
  <c r="E2203" i="1"/>
  <c r="E4989" i="1"/>
  <c r="E77" i="1"/>
  <c r="E3070" i="1"/>
  <c r="E2189" i="1"/>
  <c r="E4925" i="1"/>
  <c r="E152" i="1"/>
  <c r="E5862" i="1"/>
  <c r="E3978" i="1"/>
  <c r="E1167" i="1"/>
  <c r="E1937" i="1"/>
  <c r="E5403" i="1"/>
  <c r="E1461" i="1"/>
  <c r="E2966" i="1"/>
  <c r="E5188" i="1"/>
  <c r="E5568" i="1"/>
  <c r="E2174" i="1"/>
  <c r="E4271" i="1"/>
  <c r="E2158" i="1"/>
  <c r="E5177" i="1"/>
  <c r="E2214" i="1"/>
  <c r="E476" i="1"/>
  <c r="E1835" i="1"/>
  <c r="E4202" i="1"/>
  <c r="E1610" i="1"/>
  <c r="E4468" i="1"/>
  <c r="E4605" i="1"/>
  <c r="E3748" i="1"/>
  <c r="E2237" i="1"/>
  <c r="E373" i="1"/>
  <c r="E5772" i="1"/>
  <c r="E394" i="1"/>
  <c r="E5461" i="1"/>
  <c r="E4142" i="1"/>
  <c r="E1540" i="1"/>
  <c r="E3139" i="1"/>
  <c r="E328" i="1"/>
  <c r="E5210" i="1"/>
  <c r="E738" i="1"/>
  <c r="E2272" i="1"/>
  <c r="E1017" i="1"/>
  <c r="E371" i="1"/>
  <c r="E2730" i="1"/>
  <c r="E113" i="1"/>
  <c r="E3683" i="1"/>
  <c r="E278" i="1"/>
  <c r="E1250" i="1"/>
  <c r="E327" i="1"/>
  <c r="E3846" i="1"/>
  <c r="E1940" i="1"/>
  <c r="E1330" i="1"/>
  <c r="E2178" i="1"/>
  <c r="E526" i="1"/>
  <c r="E1341" i="1"/>
  <c r="E421" i="1"/>
  <c r="E829" i="1"/>
  <c r="E85" i="1"/>
  <c r="E147" i="1"/>
  <c r="E4427" i="1"/>
  <c r="E4608" i="1"/>
  <c r="E5185" i="1"/>
  <c r="E1750" i="1"/>
  <c r="E757" i="1"/>
  <c r="E2833" i="1"/>
  <c r="E154" i="1"/>
  <c r="E169" i="1"/>
  <c r="E3272" i="1"/>
  <c r="E1516" i="1"/>
  <c r="E2441" i="1"/>
  <c r="E1645" i="1"/>
  <c r="E3730" i="1"/>
  <c r="E1295" i="1"/>
  <c r="E3808" i="1"/>
  <c r="E1891" i="1"/>
  <c r="E3119" i="1"/>
  <c r="E2626" i="1"/>
  <c r="E1434" i="1"/>
  <c r="E1414" i="1"/>
  <c r="E4274" i="1"/>
  <c r="E1115" i="1"/>
  <c r="E3458" i="1"/>
  <c r="E5704" i="1"/>
  <c r="E5685" i="1"/>
  <c r="E3770" i="1"/>
  <c r="E5979" i="1"/>
  <c r="E3827" i="1"/>
  <c r="E3126" i="1"/>
  <c r="E2292" i="1"/>
  <c r="E2694" i="1"/>
  <c r="E4190" i="1"/>
  <c r="E4753" i="1"/>
  <c r="E5328" i="1"/>
  <c r="E5116" i="1"/>
  <c r="E4905" i="1"/>
  <c r="E2342" i="1"/>
  <c r="E3451" i="1"/>
  <c r="E747" i="1"/>
  <c r="E57" i="1"/>
  <c r="E1780" i="1"/>
  <c r="E4503" i="1"/>
  <c r="E3756" i="1"/>
  <c r="E244" i="1"/>
  <c r="E1338" i="1"/>
  <c r="E2323" i="1"/>
  <c r="E5927" i="1"/>
  <c r="E2701" i="1"/>
  <c r="E4306" i="1"/>
  <c r="E3948" i="1"/>
  <c r="E179" i="1"/>
  <c r="E2489" i="1"/>
  <c r="E1869" i="1"/>
  <c r="E1419" i="1"/>
  <c r="E1920" i="1"/>
  <c r="E4406" i="1"/>
  <c r="E3395" i="1"/>
  <c r="E362" i="1"/>
  <c r="E5782" i="1"/>
  <c r="E4087" i="1"/>
  <c r="E4761" i="1"/>
  <c r="E3162" i="1"/>
  <c r="E385" i="1"/>
  <c r="E4033" i="1"/>
  <c r="E5206" i="1"/>
  <c r="E2230" i="1"/>
  <c r="E2131" i="1"/>
  <c r="E487" i="1"/>
  <c r="E1631" i="1"/>
  <c r="E4104" i="1"/>
  <c r="E4551" i="1"/>
  <c r="E696" i="1"/>
  <c r="E1668" i="1"/>
  <c r="E3721" i="1"/>
  <c r="E1185" i="1"/>
  <c r="E4627" i="1"/>
  <c r="E3944" i="1"/>
  <c r="E5805" i="1"/>
  <c r="E5425" i="1"/>
  <c r="E5906" i="1"/>
  <c r="E5026" i="1"/>
  <c r="E1165" i="1"/>
  <c r="E2688" i="1"/>
  <c r="E3271" i="1"/>
  <c r="E677" i="1"/>
  <c r="E3657" i="1"/>
  <c r="E122" i="1"/>
  <c r="E3918" i="1"/>
  <c r="E4849" i="1"/>
  <c r="E3780" i="1"/>
  <c r="E1590" i="1"/>
  <c r="E1111" i="1"/>
  <c r="E5222" i="1"/>
  <c r="E5383" i="1"/>
  <c r="E307" i="1"/>
  <c r="E1372" i="1"/>
  <c r="E2066" i="1"/>
  <c r="E2166" i="1"/>
  <c r="E4669" i="1"/>
  <c r="E4985" i="1"/>
  <c r="E3129" i="1"/>
  <c r="E4308" i="1"/>
  <c r="H1222" i="1"/>
  <c r="I1222" i="1" s="1"/>
  <c r="J1222" i="1" s="1"/>
  <c r="K1222" i="1" s="1"/>
  <c r="L1222" i="1" s="1"/>
  <c r="H20" i="1"/>
  <c r="I20" i="1" s="1"/>
  <c r="J20" i="1" s="1"/>
  <c r="K20" i="1" s="1"/>
  <c r="L20" i="1" s="1"/>
  <c r="H5585" i="1"/>
  <c r="I5585" i="1" s="1"/>
  <c r="J5585" i="1" s="1"/>
  <c r="K5585" i="1" s="1"/>
  <c r="L5585" i="1" s="1"/>
  <c r="H5910" i="1"/>
  <c r="I5910" i="1" s="1"/>
  <c r="J5910" i="1" s="1"/>
  <c r="K5910" i="1" s="1"/>
  <c r="L5910" i="1" s="1"/>
  <c r="H2751" i="1"/>
  <c r="I2751" i="1" s="1"/>
  <c r="J2751" i="1" s="1"/>
  <c r="K2751" i="1" s="1"/>
  <c r="L2751" i="1" s="1"/>
  <c r="H4847" i="1"/>
  <c r="I4847" i="1" s="1"/>
  <c r="J4847" i="1" s="1"/>
  <c r="K4847" i="1" s="1"/>
  <c r="L4847" i="1" s="1"/>
  <c r="H5355" i="1"/>
  <c r="I5355" i="1" s="1"/>
  <c r="J5355" i="1" s="1"/>
  <c r="K5355" i="1" s="1"/>
  <c r="L5355" i="1" s="1"/>
  <c r="H4879" i="1"/>
  <c r="I4879" i="1" s="1"/>
  <c r="J4879" i="1" s="1"/>
  <c r="K4879" i="1" s="1"/>
  <c r="L4879" i="1" s="1"/>
  <c r="H4563" i="1"/>
  <c r="I4563" i="1" s="1"/>
  <c r="J4563" i="1" s="1"/>
  <c r="K4563" i="1" s="1"/>
  <c r="L4563" i="1" s="1"/>
  <c r="H419" i="1"/>
  <c r="I419" i="1" s="1"/>
  <c r="J419" i="1" s="1"/>
  <c r="K419" i="1" s="1"/>
  <c r="L419" i="1" s="1"/>
  <c r="H3554" i="1"/>
  <c r="I3554" i="1" s="1"/>
  <c r="J3554" i="1" s="1"/>
  <c r="K3554" i="1" s="1"/>
  <c r="L3554" i="1" s="1"/>
  <c r="H1979" i="1"/>
  <c r="I1979" i="1" s="1"/>
  <c r="J1979" i="1" s="1"/>
  <c r="K1979" i="1" s="1"/>
  <c r="L1979" i="1" s="1"/>
  <c r="H3312" i="1"/>
  <c r="I3312" i="1" s="1"/>
  <c r="J3312" i="1" s="1"/>
  <c r="K3312" i="1" s="1"/>
  <c r="L3312" i="1" s="1"/>
  <c r="H2904" i="1"/>
  <c r="I2904" i="1" s="1"/>
  <c r="J2904" i="1" s="1"/>
  <c r="K2904" i="1" s="1"/>
  <c r="L2904" i="1" s="1"/>
  <c r="H4108" i="1"/>
  <c r="I4108" i="1" s="1"/>
  <c r="J4108" i="1" s="1"/>
  <c r="K4108" i="1" s="1"/>
  <c r="L4108" i="1" s="1"/>
  <c r="H3939" i="1"/>
  <c r="I3939" i="1" s="1"/>
  <c r="J3939" i="1" s="1"/>
  <c r="K3939" i="1" s="1"/>
  <c r="L3939" i="1" s="1"/>
  <c r="H3626" i="1"/>
  <c r="I3626" i="1" s="1"/>
  <c r="J3626" i="1" s="1"/>
  <c r="K3626" i="1" s="1"/>
  <c r="L3626" i="1" s="1"/>
  <c r="H3411" i="1"/>
  <c r="I3411" i="1" s="1"/>
  <c r="J3411" i="1" s="1"/>
  <c r="K3411" i="1" s="1"/>
  <c r="L3411" i="1" s="1"/>
  <c r="H1401" i="1"/>
  <c r="I1401" i="1" s="1"/>
  <c r="J1401" i="1" s="1"/>
  <c r="K1401" i="1" s="1"/>
  <c r="L1401" i="1" s="1"/>
  <c r="H5089" i="1"/>
  <c r="I5089" i="1" s="1"/>
  <c r="J5089" i="1" s="1"/>
  <c r="K5089" i="1" s="1"/>
  <c r="L5089" i="1" s="1"/>
  <c r="H1888" i="1"/>
  <c r="I1888" i="1" s="1"/>
  <c r="J1888" i="1" s="1"/>
  <c r="K1888" i="1" s="1"/>
  <c r="L1888" i="1" s="1"/>
  <c r="H3516" i="1"/>
  <c r="I3516" i="1" s="1"/>
  <c r="J3516" i="1" s="1"/>
  <c r="K3516" i="1" s="1"/>
  <c r="L3516" i="1" s="1"/>
  <c r="H689" i="1"/>
  <c r="I689" i="1" s="1"/>
  <c r="J689" i="1" s="1"/>
  <c r="K689" i="1" s="1"/>
  <c r="L689" i="1" s="1"/>
  <c r="H2431" i="1"/>
  <c r="I2431" i="1" s="1"/>
  <c r="J2431" i="1" s="1"/>
  <c r="K2431" i="1" s="1"/>
  <c r="L2431" i="1" s="1"/>
  <c r="H1951" i="1"/>
  <c r="I1951" i="1" s="1"/>
  <c r="J1951" i="1" s="1"/>
  <c r="K1951" i="1" s="1"/>
  <c r="L1951" i="1" s="1"/>
  <c r="H301" i="1"/>
  <c r="I301" i="1" s="1"/>
  <c r="J301" i="1" s="1"/>
  <c r="K301" i="1" s="1"/>
  <c r="L301" i="1" s="1"/>
  <c r="H1969" i="1"/>
  <c r="I1969" i="1" s="1"/>
  <c r="J1969" i="1" s="1"/>
  <c r="K1969" i="1" s="1"/>
  <c r="L1969" i="1" s="1"/>
  <c r="H2793" i="1"/>
  <c r="I2793" i="1" s="1"/>
  <c r="J2793" i="1" s="1"/>
  <c r="K2793" i="1" s="1"/>
  <c r="L2793" i="1" s="1"/>
  <c r="H3479" i="1"/>
  <c r="I3479" i="1" s="1"/>
  <c r="J3479" i="1" s="1"/>
  <c r="K3479" i="1" s="1"/>
  <c r="L3479" i="1" s="1"/>
  <c r="H2615" i="1"/>
  <c r="I2615" i="1" s="1"/>
  <c r="J2615" i="1" s="1"/>
  <c r="K2615" i="1" s="1"/>
  <c r="L2615" i="1" s="1"/>
  <c r="H4335" i="1"/>
  <c r="I4335" i="1" s="1"/>
  <c r="J4335" i="1" s="1"/>
  <c r="K4335" i="1" s="1"/>
  <c r="L4335" i="1" s="1"/>
  <c r="H3276" i="1"/>
  <c r="I3276" i="1" s="1"/>
  <c r="J3276" i="1" s="1"/>
  <c r="K3276" i="1" s="1"/>
  <c r="L3276" i="1" s="1"/>
  <c r="H2678" i="1"/>
  <c r="I2678" i="1" s="1"/>
  <c r="J2678" i="1" s="1"/>
  <c r="K2678" i="1" s="1"/>
  <c r="L2678" i="1" s="1"/>
  <c r="H2672" i="1"/>
  <c r="I2672" i="1" s="1"/>
  <c r="J2672" i="1" s="1"/>
  <c r="K2672" i="1" s="1"/>
  <c r="L2672" i="1" s="1"/>
  <c r="H1288" i="1"/>
  <c r="I1288" i="1" s="1"/>
  <c r="J1288" i="1" s="1"/>
  <c r="K1288" i="1" s="1"/>
  <c r="L1288" i="1" s="1"/>
  <c r="H5150" i="1"/>
  <c r="I5150" i="1" s="1"/>
  <c r="J5150" i="1" s="1"/>
  <c r="K5150" i="1" s="1"/>
  <c r="L5150" i="1" s="1"/>
  <c r="H273" i="1"/>
  <c r="I273" i="1" s="1"/>
  <c r="J273" i="1" s="1"/>
  <c r="K273" i="1" s="1"/>
  <c r="L273" i="1" s="1"/>
  <c r="H3266" i="1"/>
  <c r="I3266" i="1" s="1"/>
  <c r="J3266" i="1" s="1"/>
  <c r="K3266" i="1" s="1"/>
  <c r="L3266" i="1" s="1"/>
  <c r="H2240" i="1"/>
  <c r="I2240" i="1" s="1"/>
  <c r="J2240" i="1" s="1"/>
  <c r="K2240" i="1" s="1"/>
  <c r="L2240" i="1" s="1"/>
  <c r="H1825" i="1"/>
  <c r="I1825" i="1" s="1"/>
  <c r="J1825" i="1" s="1"/>
  <c r="K1825" i="1" s="1"/>
  <c r="L1825" i="1" s="1"/>
  <c r="H5922" i="1"/>
  <c r="I5922" i="1" s="1"/>
  <c r="J5922" i="1" s="1"/>
  <c r="K5922" i="1" s="1"/>
  <c r="L5922" i="1" s="1"/>
  <c r="H3720" i="1"/>
  <c r="I3720" i="1" s="1"/>
  <c r="J3720" i="1" s="1"/>
  <c r="K3720" i="1" s="1"/>
  <c r="L3720" i="1" s="1"/>
  <c r="H3579" i="1"/>
  <c r="I3579" i="1" s="1"/>
  <c r="J3579" i="1" s="1"/>
  <c r="K3579" i="1" s="1"/>
  <c r="L3579" i="1" s="1"/>
  <c r="H10" i="1"/>
  <c r="I10" i="1" s="1"/>
  <c r="J10" i="1" s="1"/>
  <c r="K10" i="1" s="1"/>
  <c r="L10" i="1" s="1"/>
  <c r="H675" i="1"/>
  <c r="I675" i="1" s="1"/>
  <c r="J675" i="1" s="1"/>
  <c r="K675" i="1" s="1"/>
  <c r="L675" i="1" s="1"/>
  <c r="H916" i="1"/>
  <c r="I916" i="1" s="1"/>
  <c r="J916" i="1" s="1"/>
  <c r="K916" i="1" s="1"/>
  <c r="L916" i="1" s="1"/>
  <c r="H4097" i="1"/>
  <c r="I4097" i="1" s="1"/>
  <c r="J4097" i="1" s="1"/>
  <c r="K4097" i="1" s="1"/>
  <c r="L4097" i="1" s="1"/>
  <c r="H3356" i="1"/>
  <c r="I3356" i="1" s="1"/>
  <c r="J3356" i="1" s="1"/>
  <c r="K3356" i="1" s="1"/>
  <c r="L3356" i="1" s="1"/>
  <c r="H2102" i="1"/>
  <c r="I2102" i="1" s="1"/>
  <c r="J2102" i="1" s="1"/>
  <c r="K2102" i="1" s="1"/>
  <c r="L2102" i="1" s="1"/>
  <c r="H2982" i="1"/>
  <c r="I2982" i="1" s="1"/>
  <c r="J2982" i="1" s="1"/>
  <c r="K2982" i="1" s="1"/>
  <c r="L2982" i="1" s="1"/>
  <c r="H4070" i="1"/>
  <c r="I4070" i="1" s="1"/>
  <c r="J4070" i="1" s="1"/>
  <c r="K4070" i="1" s="1"/>
  <c r="L4070" i="1" s="1"/>
  <c r="H3913" i="1"/>
  <c r="I3913" i="1" s="1"/>
  <c r="J3913" i="1" s="1"/>
  <c r="K3913" i="1" s="1"/>
  <c r="L3913" i="1" s="1"/>
  <c r="H1070" i="1"/>
  <c r="I1070" i="1" s="1"/>
  <c r="J1070" i="1" s="1"/>
  <c r="K1070" i="1" s="1"/>
  <c r="L1070" i="1" s="1"/>
  <c r="H2190" i="1"/>
  <c r="I2190" i="1" s="1"/>
  <c r="J2190" i="1" s="1"/>
  <c r="K2190" i="1" s="1"/>
  <c r="L2190" i="1" s="1"/>
  <c r="H257" i="1"/>
  <c r="I257" i="1" s="1"/>
  <c r="J257" i="1" s="1"/>
  <c r="K257" i="1" s="1"/>
  <c r="L257" i="1" s="1"/>
  <c r="H871" i="1"/>
  <c r="I871" i="1" s="1"/>
  <c r="J871" i="1" s="1"/>
  <c r="K871" i="1" s="1"/>
  <c r="L871" i="1" s="1"/>
  <c r="H4195" i="1"/>
  <c r="I4195" i="1" s="1"/>
  <c r="J4195" i="1" s="1"/>
  <c r="K4195" i="1" s="1"/>
  <c r="L4195" i="1" s="1"/>
  <c r="H1556" i="1"/>
  <c r="I1556" i="1" s="1"/>
  <c r="J1556" i="1" s="1"/>
  <c r="K1556" i="1" s="1"/>
  <c r="L1556" i="1" s="1"/>
  <c r="H3099" i="1"/>
  <c r="I3099" i="1" s="1"/>
  <c r="J3099" i="1" s="1"/>
  <c r="K3099" i="1" s="1"/>
  <c r="L3099" i="1" s="1"/>
  <c r="H5329" i="1"/>
  <c r="I5329" i="1" s="1"/>
  <c r="J5329" i="1" s="1"/>
  <c r="K5329" i="1" s="1"/>
  <c r="L5329" i="1" s="1"/>
  <c r="H258" i="1"/>
  <c r="I258" i="1" s="1"/>
  <c r="J258" i="1" s="1"/>
  <c r="K258" i="1" s="1"/>
  <c r="L258" i="1" s="1"/>
  <c r="H144" i="1"/>
  <c r="I144" i="1" s="1"/>
  <c r="J144" i="1" s="1"/>
  <c r="K144" i="1" s="1"/>
  <c r="L144" i="1" s="1"/>
  <c r="H2054" i="1"/>
  <c r="I2054" i="1" s="1"/>
  <c r="J2054" i="1" s="1"/>
  <c r="K2054" i="1" s="1"/>
  <c r="L2054" i="1" s="1"/>
  <c r="H4090" i="1"/>
  <c r="I4090" i="1" s="1"/>
  <c r="J4090" i="1" s="1"/>
  <c r="K4090" i="1" s="1"/>
  <c r="L4090" i="1" s="1"/>
  <c r="H4049" i="1"/>
  <c r="I4049" i="1" s="1"/>
  <c r="J4049" i="1" s="1"/>
  <c r="K4049" i="1" s="1"/>
  <c r="L4049" i="1" s="1"/>
  <c r="H5278" i="1"/>
  <c r="I5278" i="1" s="1"/>
  <c r="J5278" i="1" s="1"/>
  <c r="K5278" i="1" s="1"/>
  <c r="L5278" i="1" s="1"/>
  <c r="H4899" i="1"/>
  <c r="I4899" i="1" s="1"/>
  <c r="J4899" i="1" s="1"/>
  <c r="K4899" i="1" s="1"/>
  <c r="L4899" i="1" s="1"/>
  <c r="H1499" i="1"/>
  <c r="I1499" i="1" s="1"/>
  <c r="J1499" i="1" s="1"/>
  <c r="K1499" i="1" s="1"/>
  <c r="L1499" i="1" s="1"/>
  <c r="H2417" i="1"/>
  <c r="I2417" i="1" s="1"/>
  <c r="J2417" i="1" s="1"/>
  <c r="K2417" i="1" s="1"/>
  <c r="L2417" i="1" s="1"/>
  <c r="H5814" i="1"/>
  <c r="I5814" i="1" s="1"/>
  <c r="J5814" i="1" s="1"/>
  <c r="K5814" i="1" s="1"/>
  <c r="L5814" i="1" s="1"/>
  <c r="H2161" i="1"/>
  <c r="I2161" i="1" s="1"/>
  <c r="J2161" i="1" s="1"/>
  <c r="K2161" i="1" s="1"/>
  <c r="L2161" i="1" s="1"/>
  <c r="H5636" i="1"/>
  <c r="I5636" i="1" s="1"/>
  <c r="J5636" i="1" s="1"/>
  <c r="K5636" i="1" s="1"/>
  <c r="L5636" i="1" s="1"/>
  <c r="H2990" i="1"/>
  <c r="I2990" i="1" s="1"/>
  <c r="J2990" i="1" s="1"/>
  <c r="K2990" i="1" s="1"/>
  <c r="L2990" i="1" s="1"/>
  <c r="H3688" i="1"/>
  <c r="I3688" i="1" s="1"/>
  <c r="J3688" i="1" s="1"/>
  <c r="K3688" i="1" s="1"/>
  <c r="L3688" i="1" s="1"/>
  <c r="H204" i="1"/>
  <c r="I204" i="1" s="1"/>
  <c r="J204" i="1" s="1"/>
  <c r="K204" i="1" s="1"/>
  <c r="L204" i="1" s="1"/>
  <c r="H5005" i="1"/>
  <c r="I5005" i="1" s="1"/>
  <c r="J5005" i="1" s="1"/>
  <c r="K5005" i="1" s="1"/>
  <c r="L5005" i="1" s="1"/>
  <c r="H2801" i="1"/>
  <c r="I2801" i="1" s="1"/>
  <c r="J2801" i="1" s="1"/>
  <c r="K2801" i="1" s="1"/>
  <c r="L2801" i="1" s="1"/>
  <c r="H3324" i="1"/>
  <c r="I3324" i="1" s="1"/>
  <c r="J3324" i="1" s="1"/>
  <c r="K3324" i="1" s="1"/>
  <c r="L3324" i="1" s="1"/>
  <c r="H4483" i="1"/>
  <c r="I4483" i="1" s="1"/>
  <c r="J4483" i="1" s="1"/>
  <c r="K4483" i="1" s="1"/>
  <c r="L4483" i="1" s="1"/>
  <c r="H5223" i="1"/>
  <c r="I5223" i="1" s="1"/>
  <c r="J5223" i="1" s="1"/>
  <c r="K5223" i="1" s="1"/>
  <c r="L5223" i="1" s="1"/>
  <c r="H737" i="1"/>
  <c r="I737" i="1" s="1"/>
  <c r="J737" i="1" s="1"/>
  <c r="K737" i="1" s="1"/>
  <c r="L737" i="1" s="1"/>
  <c r="H5948" i="1"/>
  <c r="I5948" i="1" s="1"/>
  <c r="J5948" i="1" s="1"/>
  <c r="K5948" i="1" s="1"/>
  <c r="L5948" i="1" s="1"/>
  <c r="H4" i="1"/>
  <c r="I4" i="1" s="1"/>
  <c r="J4" i="1" s="1"/>
  <c r="K4" i="1" s="1"/>
  <c r="L4" i="1" s="1"/>
  <c r="H191" i="1"/>
  <c r="I191" i="1" s="1"/>
  <c r="J191" i="1" s="1"/>
  <c r="K191" i="1" s="1"/>
  <c r="L191" i="1" s="1"/>
  <c r="H4026" i="1"/>
  <c r="I4026" i="1" s="1"/>
  <c r="J4026" i="1" s="1"/>
  <c r="K4026" i="1" s="1"/>
  <c r="L4026" i="1" s="1"/>
  <c r="H4012" i="1"/>
  <c r="I4012" i="1" s="1"/>
  <c r="J4012" i="1" s="1"/>
  <c r="K4012" i="1" s="1"/>
  <c r="L4012" i="1" s="1"/>
  <c r="H3092" i="1"/>
  <c r="I3092" i="1" s="1"/>
  <c r="J3092" i="1" s="1"/>
  <c r="K3092" i="1" s="1"/>
  <c r="L3092" i="1" s="1"/>
  <c r="H2663" i="1"/>
  <c r="I2663" i="1" s="1"/>
  <c r="J2663" i="1" s="1"/>
  <c r="K2663" i="1" s="1"/>
  <c r="L2663" i="1" s="1"/>
  <c r="H3105" i="1"/>
  <c r="I3105" i="1" s="1"/>
  <c r="J3105" i="1" s="1"/>
  <c r="K3105" i="1" s="1"/>
  <c r="L3105" i="1" s="1"/>
  <c r="H4037" i="1"/>
  <c r="I4037" i="1" s="1"/>
  <c r="J4037" i="1" s="1"/>
  <c r="K4037" i="1" s="1"/>
  <c r="L4037" i="1" s="1"/>
  <c r="H4701" i="1"/>
  <c r="I4701" i="1" s="1"/>
  <c r="J4701" i="1" s="1"/>
  <c r="K4701" i="1" s="1"/>
  <c r="L4701" i="1" s="1"/>
  <c r="H5571" i="1"/>
  <c r="I5571" i="1" s="1"/>
  <c r="J5571" i="1" s="1"/>
  <c r="K5571" i="1" s="1"/>
  <c r="L5571" i="1" s="1"/>
  <c r="H4518" i="1"/>
  <c r="I4518" i="1" s="1"/>
  <c r="J4518" i="1" s="1"/>
  <c r="K4518" i="1" s="1"/>
  <c r="L4518" i="1" s="1"/>
  <c r="H1173" i="1"/>
  <c r="I1173" i="1" s="1"/>
  <c r="J1173" i="1" s="1"/>
  <c r="K1173" i="1" s="1"/>
  <c r="L1173" i="1" s="1"/>
  <c r="H15" i="1"/>
  <c r="I15" i="1" s="1"/>
  <c r="J15" i="1" s="1"/>
  <c r="K15" i="1" s="1"/>
  <c r="L15" i="1" s="1"/>
  <c r="H4328" i="1"/>
  <c r="I4328" i="1" s="1"/>
  <c r="J4328" i="1" s="1"/>
  <c r="K4328" i="1" s="1"/>
  <c r="L4328" i="1" s="1"/>
  <c r="H5645" i="1"/>
  <c r="I5645" i="1" s="1"/>
  <c r="J5645" i="1" s="1"/>
  <c r="K5645" i="1" s="1"/>
  <c r="L5645" i="1" s="1"/>
  <c r="H2564" i="1"/>
  <c r="I2564" i="1" s="1"/>
  <c r="J2564" i="1" s="1"/>
  <c r="K2564" i="1" s="1"/>
  <c r="L2564" i="1" s="1"/>
  <c r="H2372" i="1"/>
  <c r="I2372" i="1" s="1"/>
  <c r="J2372" i="1" s="1"/>
  <c r="K2372" i="1" s="1"/>
  <c r="L2372" i="1" s="1"/>
  <c r="H3336" i="1"/>
  <c r="I3336" i="1" s="1"/>
  <c r="J3336" i="1" s="1"/>
  <c r="K3336" i="1" s="1"/>
  <c r="L3336" i="1" s="1"/>
  <c r="H3015" i="1"/>
  <c r="I3015" i="1" s="1"/>
  <c r="J3015" i="1" s="1"/>
  <c r="K3015" i="1" s="1"/>
  <c r="L3015" i="1" s="1"/>
  <c r="H4919" i="1"/>
  <c r="I4919" i="1" s="1"/>
  <c r="J4919" i="1" s="1"/>
  <c r="K4919" i="1" s="1"/>
  <c r="L4919" i="1" s="1"/>
  <c r="H2595" i="1"/>
  <c r="I2595" i="1" s="1"/>
  <c r="J2595" i="1" s="1"/>
  <c r="K2595" i="1" s="1"/>
  <c r="L2595" i="1" s="1"/>
  <c r="H4794" i="1"/>
  <c r="I4794" i="1" s="1"/>
  <c r="J4794" i="1" s="1"/>
  <c r="K4794" i="1" s="1"/>
  <c r="L4794" i="1" s="1"/>
  <c r="H395" i="1"/>
  <c r="I395" i="1" s="1"/>
  <c r="J395" i="1" s="1"/>
  <c r="K395" i="1" s="1"/>
  <c r="L395" i="1" s="1"/>
  <c r="H3648" i="1"/>
  <c r="I3648" i="1" s="1"/>
  <c r="J3648" i="1" s="1"/>
  <c r="K3648" i="1" s="1"/>
  <c r="L3648" i="1" s="1"/>
  <c r="H2153" i="1"/>
  <c r="I2153" i="1" s="1"/>
  <c r="J2153" i="1" s="1"/>
  <c r="K2153" i="1" s="1"/>
  <c r="L2153" i="1" s="1"/>
  <c r="H2943" i="1"/>
  <c r="I2943" i="1" s="1"/>
  <c r="J2943" i="1" s="1"/>
  <c r="K2943" i="1" s="1"/>
  <c r="L2943" i="1" s="1"/>
  <c r="H4390" i="1"/>
  <c r="I4390" i="1" s="1"/>
  <c r="J4390" i="1" s="1"/>
  <c r="K4390" i="1" s="1"/>
  <c r="L4390" i="1" s="1"/>
  <c r="H1782" i="1"/>
  <c r="I1782" i="1" s="1"/>
  <c r="J1782" i="1" s="1"/>
  <c r="K1782" i="1" s="1"/>
  <c r="L1782" i="1" s="1"/>
  <c r="H5128" i="1"/>
  <c r="I5128" i="1" s="1"/>
  <c r="J5128" i="1" s="1"/>
  <c r="K5128" i="1" s="1"/>
  <c r="L5128" i="1" s="1"/>
  <c r="H2307" i="1"/>
  <c r="I2307" i="1" s="1"/>
  <c r="J2307" i="1" s="1"/>
  <c r="K2307" i="1" s="1"/>
  <c r="L2307" i="1" s="1"/>
  <c r="H2518" i="1"/>
  <c r="I2518" i="1" s="1"/>
  <c r="J2518" i="1" s="1"/>
  <c r="K2518" i="1" s="1"/>
  <c r="L2518" i="1" s="1"/>
  <c r="H4167" i="1"/>
  <c r="I4167" i="1" s="1"/>
  <c r="J4167" i="1" s="1"/>
  <c r="K4167" i="1" s="1"/>
  <c r="L4167" i="1" s="1"/>
  <c r="H1131" i="1"/>
  <c r="I1131" i="1" s="1"/>
  <c r="J1131" i="1" s="1"/>
  <c r="K1131" i="1" s="1"/>
  <c r="L1131" i="1" s="1"/>
  <c r="H4486" i="1"/>
  <c r="I4486" i="1" s="1"/>
  <c r="J4486" i="1" s="1"/>
  <c r="K4486" i="1" s="1"/>
  <c r="L4486" i="1" s="1"/>
  <c r="H2111" i="1"/>
  <c r="I2111" i="1" s="1"/>
  <c r="J2111" i="1" s="1"/>
  <c r="K2111" i="1" s="1"/>
  <c r="L2111" i="1" s="1"/>
  <c r="H1548" i="1"/>
  <c r="I1548" i="1" s="1"/>
  <c r="J1548" i="1" s="1"/>
  <c r="K1548" i="1" s="1"/>
  <c r="L1548" i="1" s="1"/>
  <c r="H4191" i="1"/>
  <c r="I4191" i="1" s="1"/>
  <c r="J4191" i="1" s="1"/>
  <c r="K4191" i="1" s="1"/>
  <c r="L4191" i="1" s="1"/>
  <c r="H2451" i="1"/>
  <c r="I2451" i="1" s="1"/>
  <c r="J2451" i="1" s="1"/>
  <c r="K2451" i="1" s="1"/>
  <c r="L2451" i="1" s="1"/>
  <c r="H414" i="1"/>
  <c r="I414" i="1" s="1"/>
  <c r="J414" i="1" s="1"/>
  <c r="K414" i="1" s="1"/>
  <c r="L414" i="1" s="1"/>
  <c r="H4938" i="1"/>
  <c r="I4938" i="1" s="1"/>
  <c r="J4938" i="1" s="1"/>
  <c r="K4938" i="1" s="1"/>
  <c r="L4938" i="1" s="1"/>
  <c r="H2624" i="1"/>
  <c r="I2624" i="1" s="1"/>
  <c r="J2624" i="1" s="1"/>
  <c r="K2624" i="1" s="1"/>
  <c r="L2624" i="1" s="1"/>
  <c r="H3991" i="1"/>
  <c r="I3991" i="1" s="1"/>
  <c r="J3991" i="1" s="1"/>
  <c r="K3991" i="1" s="1"/>
  <c r="L3991" i="1" s="1"/>
  <c r="H5111" i="1"/>
  <c r="I5111" i="1" s="1"/>
  <c r="J5111" i="1" s="1"/>
  <c r="K5111" i="1" s="1"/>
  <c r="L5111" i="1" s="1"/>
  <c r="H247" i="1"/>
  <c r="I247" i="1" s="1"/>
  <c r="J247" i="1" s="1"/>
  <c r="K247" i="1" s="1"/>
  <c r="L247" i="1" s="1"/>
  <c r="H1136" i="1"/>
  <c r="I1136" i="1" s="1"/>
  <c r="J1136" i="1" s="1"/>
  <c r="K1136" i="1" s="1"/>
  <c r="L1136" i="1" s="1"/>
  <c r="H1935" i="1"/>
  <c r="I1935" i="1" s="1"/>
  <c r="J1935" i="1" s="1"/>
  <c r="K1935" i="1" s="1"/>
  <c r="L1935" i="1" s="1"/>
  <c r="H4337" i="1"/>
  <c r="I4337" i="1" s="1"/>
  <c r="J4337" i="1" s="1"/>
  <c r="K4337" i="1" s="1"/>
  <c r="L4337" i="1" s="1"/>
  <c r="H2987" i="1"/>
  <c r="I2987" i="1" s="1"/>
  <c r="J2987" i="1" s="1"/>
  <c r="K2987" i="1" s="1"/>
  <c r="L2987" i="1" s="1"/>
  <c r="H289" i="1"/>
  <c r="I289" i="1" s="1"/>
  <c r="J289" i="1" s="1"/>
  <c r="K289" i="1" s="1"/>
  <c r="L289" i="1" s="1"/>
  <c r="H5406" i="1"/>
  <c r="I5406" i="1" s="1"/>
  <c r="J5406" i="1" s="1"/>
  <c r="K5406" i="1" s="1"/>
  <c r="L5406" i="1" s="1"/>
  <c r="H735" i="1"/>
  <c r="I735" i="1" s="1"/>
  <c r="J735" i="1" s="1"/>
  <c r="K735" i="1" s="1"/>
  <c r="L735" i="1" s="1"/>
  <c r="H5920" i="1"/>
  <c r="I5920" i="1" s="1"/>
  <c r="J5920" i="1" s="1"/>
  <c r="K5920" i="1" s="1"/>
  <c r="L5920" i="1" s="1"/>
  <c r="H5239" i="1"/>
  <c r="I5239" i="1" s="1"/>
  <c r="J5239" i="1" s="1"/>
  <c r="K5239" i="1" s="1"/>
  <c r="L5239" i="1" s="1"/>
  <c r="H5791" i="1"/>
  <c r="I5791" i="1" s="1"/>
  <c r="J5791" i="1" s="1"/>
  <c r="K5791" i="1" s="1"/>
  <c r="L5791" i="1" s="1"/>
  <c r="H4910" i="1"/>
  <c r="I4910" i="1" s="1"/>
  <c r="J4910" i="1" s="1"/>
  <c r="K4910" i="1" s="1"/>
  <c r="L4910" i="1" s="1"/>
  <c r="H4684" i="1"/>
  <c r="I4684" i="1" s="1"/>
  <c r="J4684" i="1" s="1"/>
  <c r="K4684" i="1" s="1"/>
  <c r="L4684" i="1" s="1"/>
  <c r="H3329" i="1"/>
  <c r="I3329" i="1" s="1"/>
  <c r="J3329" i="1" s="1"/>
  <c r="K3329" i="1" s="1"/>
  <c r="L3329" i="1" s="1"/>
  <c r="H5131" i="1"/>
  <c r="I5131" i="1" s="1"/>
  <c r="J5131" i="1" s="1"/>
  <c r="K5131" i="1" s="1"/>
  <c r="L5131" i="1" s="1"/>
  <c r="H2478" i="1"/>
  <c r="I2478" i="1" s="1"/>
  <c r="J2478" i="1" s="1"/>
  <c r="K2478" i="1" s="1"/>
  <c r="L2478" i="1" s="1"/>
  <c r="H3165" i="1"/>
  <c r="I3165" i="1" s="1"/>
  <c r="J3165" i="1" s="1"/>
  <c r="K3165" i="1" s="1"/>
  <c r="L3165" i="1" s="1"/>
  <c r="H4238" i="1"/>
  <c r="I4238" i="1" s="1"/>
  <c r="J4238" i="1" s="1"/>
  <c r="K4238" i="1" s="1"/>
  <c r="L4238" i="1" s="1"/>
  <c r="H1478" i="1"/>
  <c r="I1478" i="1" s="1"/>
  <c r="J1478" i="1" s="1"/>
  <c r="K1478" i="1" s="1"/>
  <c r="L1478" i="1" s="1"/>
  <c r="H2017" i="1"/>
  <c r="I2017" i="1" s="1"/>
  <c r="J2017" i="1" s="1"/>
  <c r="K2017" i="1" s="1"/>
  <c r="L2017" i="1" s="1"/>
  <c r="H3224" i="1"/>
  <c r="I3224" i="1" s="1"/>
  <c r="J3224" i="1" s="1"/>
  <c r="K3224" i="1" s="1"/>
  <c r="L3224" i="1" s="1"/>
  <c r="H4159" i="1"/>
  <c r="I4159" i="1" s="1"/>
  <c r="J4159" i="1" s="1"/>
  <c r="K4159" i="1" s="1"/>
  <c r="L4159" i="1" s="1"/>
  <c r="H2401" i="1"/>
  <c r="I2401" i="1" s="1"/>
  <c r="J2401" i="1" s="1"/>
  <c r="K2401" i="1" s="1"/>
  <c r="L2401" i="1" s="1"/>
  <c r="H4155" i="1"/>
  <c r="I4155" i="1" s="1"/>
  <c r="J4155" i="1" s="1"/>
  <c r="K4155" i="1" s="1"/>
  <c r="L4155" i="1" s="1"/>
  <c r="H5427" i="1"/>
  <c r="I5427" i="1" s="1"/>
  <c r="J5427" i="1" s="1"/>
  <c r="K5427" i="1" s="1"/>
  <c r="L5427" i="1" s="1"/>
  <c r="H2389" i="1"/>
  <c r="I2389" i="1" s="1"/>
  <c r="J2389" i="1" s="1"/>
  <c r="K2389" i="1" s="1"/>
  <c r="L2389" i="1" s="1"/>
  <c r="H4963" i="1"/>
  <c r="I4963" i="1" s="1"/>
  <c r="J4963" i="1" s="1"/>
  <c r="K4963" i="1" s="1"/>
  <c r="L4963" i="1" s="1"/>
  <c r="H3052" i="1"/>
  <c r="I3052" i="1" s="1"/>
  <c r="J3052" i="1" s="1"/>
  <c r="K3052" i="1" s="1"/>
  <c r="L3052" i="1" s="1"/>
  <c r="H5670" i="1"/>
  <c r="I5670" i="1" s="1"/>
  <c r="J5670" i="1" s="1"/>
  <c r="K5670" i="1" s="1"/>
  <c r="L5670" i="1" s="1"/>
  <c r="H2306" i="1"/>
  <c r="I2306" i="1" s="1"/>
  <c r="J2306" i="1" s="1"/>
  <c r="K2306" i="1" s="1"/>
  <c r="L2306" i="1" s="1"/>
  <c r="H1625" i="1"/>
  <c r="I1625" i="1" s="1"/>
  <c r="J1625" i="1" s="1"/>
  <c r="K1625" i="1" s="1"/>
  <c r="L1625" i="1" s="1"/>
  <c r="H412" i="1"/>
  <c r="I412" i="1" s="1"/>
  <c r="J412" i="1" s="1"/>
  <c r="K412" i="1" s="1"/>
  <c r="L412" i="1" s="1"/>
  <c r="H2657" i="1"/>
  <c r="I2657" i="1" s="1"/>
  <c r="J2657" i="1" s="1"/>
  <c r="K2657" i="1" s="1"/>
  <c r="L2657" i="1" s="1"/>
  <c r="H5646" i="1"/>
  <c r="I5646" i="1" s="1"/>
  <c r="J5646" i="1" s="1"/>
  <c r="K5646" i="1" s="1"/>
  <c r="L5646" i="1" s="1"/>
  <c r="H5771" i="1"/>
  <c r="I5771" i="1" s="1"/>
  <c r="J5771" i="1" s="1"/>
  <c r="K5771" i="1" s="1"/>
  <c r="L5771" i="1" s="1"/>
  <c r="H2572" i="1"/>
  <c r="I2572" i="1" s="1"/>
  <c r="J2572" i="1" s="1"/>
  <c r="K2572" i="1" s="1"/>
  <c r="L2572" i="1" s="1"/>
  <c r="H3496" i="1"/>
  <c r="I3496" i="1" s="1"/>
  <c r="J3496" i="1" s="1"/>
  <c r="K3496" i="1" s="1"/>
  <c r="L3496" i="1" s="1"/>
  <c r="H3261" i="1"/>
  <c r="I3261" i="1" s="1"/>
  <c r="J3261" i="1" s="1"/>
  <c r="K3261" i="1" s="1"/>
  <c r="L3261" i="1" s="1"/>
  <c r="H751" i="1"/>
  <c r="I751" i="1" s="1"/>
  <c r="J751" i="1" s="1"/>
  <c r="K751" i="1" s="1"/>
  <c r="L751" i="1" s="1"/>
  <c r="H2712" i="1"/>
  <c r="I2712" i="1" s="1"/>
  <c r="J2712" i="1" s="1"/>
  <c r="K2712" i="1" s="1"/>
  <c r="L2712" i="1" s="1"/>
  <c r="H3669" i="1"/>
  <c r="I3669" i="1" s="1"/>
  <c r="J3669" i="1" s="1"/>
  <c r="K3669" i="1" s="1"/>
  <c r="L3669" i="1" s="1"/>
  <c r="H3317" i="1"/>
  <c r="I3317" i="1" s="1"/>
  <c r="J3317" i="1" s="1"/>
  <c r="K3317" i="1" s="1"/>
  <c r="L3317" i="1" s="1"/>
  <c r="H4423" i="1"/>
  <c r="I4423" i="1" s="1"/>
  <c r="J4423" i="1" s="1"/>
  <c r="K4423" i="1" s="1"/>
  <c r="L4423" i="1" s="1"/>
  <c r="H5811" i="1"/>
  <c r="I5811" i="1" s="1"/>
  <c r="J5811" i="1" s="1"/>
  <c r="K5811" i="1" s="1"/>
  <c r="L5811" i="1" s="1"/>
  <c r="H4591" i="1"/>
  <c r="I4591" i="1" s="1"/>
  <c r="J4591" i="1" s="1"/>
  <c r="K4591" i="1" s="1"/>
  <c r="L4591" i="1" s="1"/>
  <c r="H2493" i="1"/>
  <c r="I2493" i="1" s="1"/>
  <c r="J2493" i="1" s="1"/>
  <c r="K2493" i="1" s="1"/>
  <c r="L2493" i="1" s="1"/>
  <c r="H3150" i="1"/>
  <c r="I3150" i="1" s="1"/>
  <c r="J3150" i="1" s="1"/>
  <c r="K3150" i="1" s="1"/>
  <c r="L3150" i="1" s="1"/>
  <c r="H1027" i="1"/>
  <c r="I1027" i="1" s="1"/>
  <c r="J1027" i="1" s="1"/>
  <c r="K1027" i="1" s="1"/>
  <c r="L1027" i="1" s="1"/>
  <c r="H666" i="1"/>
  <c r="I666" i="1" s="1"/>
  <c r="J666" i="1" s="1"/>
  <c r="K666" i="1" s="1"/>
  <c r="L666" i="1" s="1"/>
  <c r="H772" i="1"/>
  <c r="I772" i="1" s="1"/>
  <c r="J772" i="1" s="1"/>
  <c r="K772" i="1" s="1"/>
  <c r="L772" i="1" s="1"/>
  <c r="H2112" i="1"/>
  <c r="I2112" i="1" s="1"/>
  <c r="J2112" i="1" s="1"/>
  <c r="K2112" i="1" s="1"/>
  <c r="L2112" i="1" s="1"/>
  <c r="H2776" i="1"/>
  <c r="I2776" i="1" s="1"/>
  <c r="J2776" i="1" s="1"/>
  <c r="K2776" i="1" s="1"/>
  <c r="L2776" i="1" s="1"/>
  <c r="H3444" i="1"/>
  <c r="I3444" i="1" s="1"/>
  <c r="J3444" i="1" s="1"/>
  <c r="K3444" i="1" s="1"/>
  <c r="L3444" i="1" s="1"/>
  <c r="H5723" i="1"/>
  <c r="I5723" i="1" s="1"/>
  <c r="J5723" i="1" s="1"/>
  <c r="K5723" i="1" s="1"/>
  <c r="L5723" i="1" s="1"/>
  <c r="H762" i="1"/>
  <c r="I762" i="1" s="1"/>
  <c r="J762" i="1" s="1"/>
  <c r="K762" i="1" s="1"/>
  <c r="L762" i="1" s="1"/>
  <c r="H2311" i="1"/>
  <c r="I2311" i="1" s="1"/>
  <c r="J2311" i="1" s="1"/>
  <c r="K2311" i="1" s="1"/>
  <c r="L2311" i="1" s="1"/>
  <c r="H3021" i="1"/>
  <c r="I3021" i="1" s="1"/>
  <c r="J3021" i="1" s="1"/>
  <c r="K3021" i="1" s="1"/>
  <c r="L3021" i="1" s="1"/>
  <c r="H2821" i="1"/>
  <c r="I2821" i="1" s="1"/>
  <c r="J2821" i="1" s="1"/>
  <c r="K2821" i="1" s="1"/>
  <c r="L2821" i="1" s="1"/>
  <c r="H5666" i="1"/>
  <c r="I5666" i="1" s="1"/>
  <c r="J5666" i="1" s="1"/>
  <c r="K5666" i="1" s="1"/>
  <c r="L5666" i="1" s="1"/>
  <c r="H1366" i="1"/>
  <c r="I1366" i="1" s="1"/>
  <c r="J1366" i="1" s="1"/>
  <c r="K1366" i="1" s="1"/>
  <c r="L1366" i="1" s="1"/>
  <c r="H2957" i="1"/>
  <c r="I2957" i="1" s="1"/>
  <c r="J2957" i="1" s="1"/>
  <c r="K2957" i="1" s="1"/>
  <c r="L2957" i="1" s="1"/>
  <c r="H5253" i="1"/>
  <c r="I5253" i="1" s="1"/>
  <c r="J5253" i="1" s="1"/>
  <c r="K5253" i="1" s="1"/>
  <c r="L5253" i="1" s="1"/>
  <c r="H3170" i="1"/>
  <c r="I3170" i="1" s="1"/>
  <c r="J3170" i="1" s="1"/>
  <c r="K3170" i="1" s="1"/>
  <c r="L3170" i="1" s="1"/>
  <c r="H30" i="1"/>
  <c r="I30" i="1" s="1"/>
  <c r="J30" i="1" s="1"/>
  <c r="K30" i="1" s="1"/>
  <c r="L30" i="1" s="1"/>
  <c r="H2087" i="1"/>
  <c r="I2087" i="1" s="1"/>
  <c r="J2087" i="1" s="1"/>
  <c r="K2087" i="1" s="1"/>
  <c r="L2087" i="1" s="1"/>
  <c r="H4534" i="1"/>
  <c r="I4534" i="1" s="1"/>
  <c r="J4534" i="1" s="1"/>
  <c r="K4534" i="1" s="1"/>
  <c r="L4534" i="1" s="1"/>
  <c r="H4446" i="1"/>
  <c r="I4446" i="1" s="1"/>
  <c r="J4446" i="1" s="1"/>
  <c r="K4446" i="1" s="1"/>
  <c r="L4446" i="1" s="1"/>
  <c r="H221" i="1"/>
  <c r="I221" i="1" s="1"/>
  <c r="J221" i="1" s="1"/>
  <c r="K221" i="1" s="1"/>
  <c r="L221" i="1" s="1"/>
  <c r="H215" i="1"/>
  <c r="I215" i="1" s="1"/>
  <c r="J215" i="1" s="1"/>
  <c r="K215" i="1" s="1"/>
  <c r="L215" i="1" s="1"/>
  <c r="H1249" i="1"/>
  <c r="I1249" i="1" s="1"/>
  <c r="J1249" i="1" s="1"/>
  <c r="K1249" i="1" s="1"/>
  <c r="L1249" i="1" s="1"/>
  <c r="H4582" i="1"/>
  <c r="I4582" i="1" s="1"/>
  <c r="J4582" i="1" s="1"/>
  <c r="K4582" i="1" s="1"/>
  <c r="L4582" i="1" s="1"/>
  <c r="H5505" i="1"/>
  <c r="I5505" i="1" s="1"/>
  <c r="J5505" i="1" s="1"/>
  <c r="K5505" i="1" s="1"/>
  <c r="L5505" i="1" s="1"/>
  <c r="H260" i="1"/>
  <c r="I260" i="1" s="1"/>
  <c r="J260" i="1" s="1"/>
  <c r="K260" i="1" s="1"/>
  <c r="L260" i="1" s="1"/>
  <c r="H3701" i="1"/>
  <c r="I3701" i="1" s="1"/>
  <c r="J3701" i="1" s="1"/>
  <c r="K3701" i="1" s="1"/>
  <c r="L3701" i="1" s="1"/>
  <c r="H4665" i="1"/>
  <c r="I4665" i="1" s="1"/>
  <c r="J4665" i="1" s="1"/>
  <c r="K4665" i="1" s="1"/>
  <c r="L4665" i="1" s="1"/>
  <c r="H4252" i="1"/>
  <c r="I4252" i="1" s="1"/>
  <c r="J4252" i="1" s="1"/>
  <c r="K4252" i="1" s="1"/>
  <c r="L4252" i="1" s="1"/>
  <c r="H3" i="1"/>
  <c r="I3" i="1" s="1"/>
  <c r="M3" i="2" s="1"/>
  <c r="H1563" i="1"/>
  <c r="I1563" i="1" s="1"/>
  <c r="J1563" i="1" s="1"/>
  <c r="K1563" i="1" s="1"/>
  <c r="L1563" i="1" s="1"/>
  <c r="H699" i="1"/>
  <c r="I699" i="1" s="1"/>
  <c r="J699" i="1" s="1"/>
  <c r="K699" i="1" s="1"/>
  <c r="L699" i="1" s="1"/>
  <c r="H5653" i="1"/>
  <c r="I5653" i="1" s="1"/>
  <c r="J5653" i="1" s="1"/>
  <c r="K5653" i="1" s="1"/>
  <c r="L5653" i="1" s="1"/>
  <c r="H5826" i="1"/>
  <c r="I5826" i="1" s="1"/>
  <c r="J5826" i="1" s="1"/>
  <c r="K5826" i="1" s="1"/>
  <c r="L5826" i="1" s="1"/>
  <c r="H2803" i="1"/>
  <c r="I2803" i="1" s="1"/>
  <c r="J2803" i="1" s="1"/>
  <c r="K2803" i="1" s="1"/>
  <c r="L2803" i="1" s="1"/>
  <c r="H4164" i="1"/>
  <c r="I4164" i="1" s="1"/>
  <c r="J4164" i="1" s="1"/>
  <c r="K4164" i="1" s="1"/>
  <c r="L4164" i="1" s="1"/>
  <c r="H2972" i="1"/>
  <c r="I2972" i="1" s="1"/>
  <c r="J2972" i="1" s="1"/>
  <c r="K2972" i="1" s="1"/>
  <c r="L2972" i="1" s="1"/>
  <c r="H343" i="1"/>
  <c r="I343" i="1" s="1"/>
  <c r="J343" i="1" s="1"/>
  <c r="K343" i="1" s="1"/>
  <c r="L343" i="1" s="1"/>
  <c r="H5332" i="1"/>
  <c r="I5332" i="1" s="1"/>
  <c r="J5332" i="1" s="1"/>
  <c r="K5332" i="1" s="1"/>
  <c r="L5332" i="1" s="1"/>
  <c r="H2039" i="1"/>
  <c r="I2039" i="1" s="1"/>
  <c r="J2039" i="1" s="1"/>
  <c r="K2039" i="1" s="1"/>
  <c r="L2039" i="1" s="1"/>
  <c r="H3152" i="1"/>
  <c r="I3152" i="1" s="1"/>
  <c r="J3152" i="1" s="1"/>
  <c r="K3152" i="1" s="1"/>
  <c r="L3152" i="1" s="1"/>
  <c r="H3692" i="1"/>
  <c r="I3692" i="1" s="1"/>
  <c r="J3692" i="1" s="1"/>
  <c r="K3692" i="1" s="1"/>
  <c r="L3692" i="1" s="1"/>
  <c r="H877" i="1"/>
  <c r="I877" i="1" s="1"/>
  <c r="J877" i="1" s="1"/>
  <c r="K877" i="1" s="1"/>
  <c r="L877" i="1" s="1"/>
  <c r="H2963" i="1"/>
  <c r="I2963" i="1" s="1"/>
  <c r="J2963" i="1" s="1"/>
  <c r="K2963" i="1" s="1"/>
  <c r="L2963" i="1" s="1"/>
  <c r="H670" i="1"/>
  <c r="I670" i="1" s="1"/>
  <c r="J670" i="1" s="1"/>
  <c r="K670" i="1" s="1"/>
  <c r="L670" i="1" s="1"/>
  <c r="H5986" i="1"/>
  <c r="I5986" i="1" s="1"/>
  <c r="J5986" i="1" s="1"/>
  <c r="K5986" i="1" s="1"/>
  <c r="L5986" i="1" s="1"/>
  <c r="H819" i="1"/>
  <c r="I819" i="1" s="1"/>
  <c r="J819" i="1" s="1"/>
  <c r="K819" i="1" s="1"/>
  <c r="L819" i="1" s="1"/>
  <c r="H3522" i="1"/>
  <c r="I3522" i="1" s="1"/>
  <c r="J3522" i="1" s="1"/>
  <c r="K3522" i="1" s="1"/>
  <c r="L3522" i="1" s="1"/>
  <c r="H4509" i="1"/>
  <c r="I4509" i="1" s="1"/>
  <c r="J4509" i="1" s="1"/>
  <c r="K4509" i="1" s="1"/>
  <c r="L4509" i="1" s="1"/>
  <c r="H304" i="1"/>
  <c r="I304" i="1" s="1"/>
  <c r="J304" i="1" s="1"/>
  <c r="K304" i="1" s="1"/>
  <c r="L304" i="1" s="1"/>
  <c r="H2622" i="1"/>
  <c r="I2622" i="1" s="1"/>
  <c r="J2622" i="1" s="1"/>
  <c r="K2622" i="1" s="1"/>
  <c r="L2622" i="1" s="1"/>
  <c r="H5722" i="1"/>
  <c r="I5722" i="1" s="1"/>
  <c r="J5722" i="1" s="1"/>
  <c r="K5722" i="1" s="1"/>
  <c r="L5722" i="1" s="1"/>
  <c r="H1466" i="1"/>
  <c r="I1466" i="1" s="1"/>
  <c r="J1466" i="1" s="1"/>
  <c r="K1466" i="1" s="1"/>
  <c r="L1466" i="1" s="1"/>
  <c r="H4956" i="1"/>
  <c r="I4956" i="1" s="1"/>
  <c r="J4956" i="1" s="1"/>
  <c r="K4956" i="1" s="1"/>
  <c r="L4956" i="1" s="1"/>
  <c r="H5249" i="1"/>
  <c r="I5249" i="1" s="1"/>
  <c r="J5249" i="1" s="1"/>
  <c r="K5249" i="1" s="1"/>
  <c r="L5249" i="1" s="1"/>
  <c r="H2560" i="1"/>
  <c r="I2560" i="1" s="1"/>
  <c r="J2560" i="1" s="1"/>
  <c r="K2560" i="1" s="1"/>
  <c r="L2560" i="1" s="1"/>
  <c r="H1602" i="1"/>
  <c r="I1602" i="1" s="1"/>
  <c r="J1602" i="1" s="1"/>
  <c r="K1602" i="1" s="1"/>
  <c r="L1602" i="1" s="1"/>
  <c r="H5697" i="1"/>
  <c r="I5697" i="1" s="1"/>
  <c r="J5697" i="1" s="1"/>
  <c r="K5697" i="1" s="1"/>
  <c r="L5697" i="1" s="1"/>
  <c r="H2644" i="1"/>
  <c r="I2644" i="1" s="1"/>
  <c r="J2644" i="1" s="1"/>
  <c r="K2644" i="1" s="1"/>
  <c r="L2644" i="1" s="1"/>
  <c r="H5312" i="1"/>
  <c r="I5312" i="1" s="1"/>
  <c r="J5312" i="1" s="1"/>
  <c r="K5312" i="1" s="1"/>
  <c r="L5312" i="1" s="1"/>
  <c r="H2244" i="1"/>
  <c r="I2244" i="1" s="1"/>
  <c r="J2244" i="1" s="1"/>
  <c r="K2244" i="1" s="1"/>
  <c r="L2244" i="1" s="1"/>
  <c r="H1519" i="1"/>
  <c r="I1519" i="1" s="1"/>
  <c r="J1519" i="1" s="1"/>
  <c r="K1519" i="1" s="1"/>
  <c r="L1519" i="1" s="1"/>
  <c r="H3750" i="1"/>
  <c r="I3750" i="1" s="1"/>
  <c r="J3750" i="1" s="1"/>
  <c r="K3750" i="1" s="1"/>
  <c r="L3750" i="1" s="1"/>
  <c r="H5792" i="1"/>
  <c r="I5792" i="1" s="1"/>
  <c r="J5792" i="1" s="1"/>
  <c r="K5792" i="1" s="1"/>
  <c r="L5792" i="1" s="1"/>
  <c r="H1844" i="1"/>
  <c r="I1844" i="1" s="1"/>
  <c r="J1844" i="1" s="1"/>
  <c r="K1844" i="1" s="1"/>
  <c r="L1844" i="1" s="1"/>
  <c r="H259" i="1"/>
  <c r="I259" i="1" s="1"/>
  <c r="J259" i="1" s="1"/>
  <c r="K259" i="1" s="1"/>
  <c r="L259" i="1" s="1"/>
  <c r="H4895" i="1"/>
  <c r="I4895" i="1" s="1"/>
  <c r="J4895" i="1" s="1"/>
  <c r="K4895" i="1" s="1"/>
  <c r="L4895" i="1" s="1"/>
  <c r="H1841" i="1"/>
  <c r="I1841" i="1" s="1"/>
  <c r="J1841" i="1" s="1"/>
  <c r="K1841" i="1" s="1"/>
  <c r="L1841" i="1" s="1"/>
  <c r="H5071" i="1"/>
  <c r="I5071" i="1" s="1"/>
  <c r="J5071" i="1" s="1"/>
  <c r="K5071" i="1" s="1"/>
  <c r="L5071" i="1" s="1"/>
  <c r="H3526" i="1"/>
  <c r="I3526" i="1" s="1"/>
  <c r="J3526" i="1" s="1"/>
  <c r="K3526" i="1" s="1"/>
  <c r="L3526" i="1" s="1"/>
  <c r="H4668" i="1"/>
  <c r="I4668" i="1" s="1"/>
  <c r="J4668" i="1" s="1"/>
  <c r="K4668" i="1" s="1"/>
  <c r="L4668" i="1" s="1"/>
  <c r="H2412" i="1"/>
  <c r="I2412" i="1" s="1"/>
  <c r="J2412" i="1" s="1"/>
  <c r="K2412" i="1" s="1"/>
  <c r="L2412" i="1" s="1"/>
  <c r="H2601" i="1"/>
  <c r="I2601" i="1" s="1"/>
  <c r="J2601" i="1" s="1"/>
  <c r="K2601" i="1" s="1"/>
  <c r="L2601" i="1" s="1"/>
  <c r="H4781" i="1"/>
  <c r="I4781" i="1" s="1"/>
  <c r="J4781" i="1" s="1"/>
  <c r="K4781" i="1" s="1"/>
  <c r="L4781" i="1" s="1"/>
  <c r="H2911" i="1"/>
  <c r="I2911" i="1" s="1"/>
  <c r="J2911" i="1" s="1"/>
  <c r="K2911" i="1" s="1"/>
  <c r="L2911" i="1" s="1"/>
  <c r="H3325" i="1"/>
  <c r="I3325" i="1" s="1"/>
  <c r="J3325" i="1" s="1"/>
  <c r="K3325" i="1" s="1"/>
  <c r="L3325" i="1" s="1"/>
  <c r="H4265" i="1"/>
  <c r="I4265" i="1" s="1"/>
  <c r="J4265" i="1" s="1"/>
  <c r="K4265" i="1" s="1"/>
  <c r="L4265" i="1" s="1"/>
  <c r="H5390" i="1"/>
  <c r="I5390" i="1" s="1"/>
  <c r="J5390" i="1" s="1"/>
  <c r="K5390" i="1" s="1"/>
  <c r="L5390" i="1" s="1"/>
  <c r="H1512" i="1"/>
  <c r="I1512" i="1" s="1"/>
  <c r="J1512" i="1" s="1"/>
  <c r="K1512" i="1" s="1"/>
  <c r="L1512" i="1" s="1"/>
  <c r="H384" i="1"/>
  <c r="I384" i="1" s="1"/>
  <c r="J384" i="1" s="1"/>
  <c r="K384" i="1" s="1"/>
  <c r="L384" i="1" s="1"/>
  <c r="H3875" i="1"/>
  <c r="I3875" i="1" s="1"/>
  <c r="J3875" i="1" s="1"/>
  <c r="K3875" i="1" s="1"/>
  <c r="L3875" i="1" s="1"/>
  <c r="H2883" i="1"/>
  <c r="I2883" i="1" s="1"/>
  <c r="J2883" i="1" s="1"/>
  <c r="K2883" i="1" s="1"/>
  <c r="L2883" i="1" s="1"/>
  <c r="H5402" i="1"/>
  <c r="I5402" i="1" s="1"/>
  <c r="J5402" i="1" s="1"/>
  <c r="K5402" i="1" s="1"/>
  <c r="L5402" i="1" s="1"/>
  <c r="H3464" i="1"/>
  <c r="I3464" i="1" s="1"/>
  <c r="J3464" i="1" s="1"/>
  <c r="K3464" i="1" s="1"/>
  <c r="L3464" i="1" s="1"/>
  <c r="H5139" i="1"/>
  <c r="I5139" i="1" s="1"/>
  <c r="J5139" i="1" s="1"/>
  <c r="K5139" i="1" s="1"/>
  <c r="L5139" i="1" s="1"/>
  <c r="H4829" i="1"/>
  <c r="I4829" i="1" s="1"/>
  <c r="J4829" i="1" s="1"/>
  <c r="K4829" i="1" s="1"/>
  <c r="L4829" i="1" s="1"/>
  <c r="H1910" i="1"/>
  <c r="I1910" i="1" s="1"/>
  <c r="J1910" i="1" s="1"/>
  <c r="K1910" i="1" s="1"/>
  <c r="L1910" i="1" s="1"/>
  <c r="H5377" i="1"/>
  <c r="I5377" i="1" s="1"/>
  <c r="J5377" i="1" s="1"/>
  <c r="K5377" i="1" s="1"/>
  <c r="L5377" i="1" s="1"/>
  <c r="H5368" i="1"/>
  <c r="I5368" i="1" s="1"/>
  <c r="J5368" i="1" s="1"/>
  <c r="K5368" i="1" s="1"/>
  <c r="L5368" i="1" s="1"/>
  <c r="H2000" i="1"/>
  <c r="I2000" i="1" s="1"/>
  <c r="J2000" i="1" s="1"/>
  <c r="K2000" i="1" s="1"/>
  <c r="L2000" i="1" s="1"/>
  <c r="H5755" i="1"/>
  <c r="I5755" i="1" s="1"/>
  <c r="J5755" i="1" s="1"/>
  <c r="K5755" i="1" s="1"/>
  <c r="L5755" i="1" s="1"/>
  <c r="H1543" i="1"/>
  <c r="I1543" i="1" s="1"/>
  <c r="J1543" i="1" s="1"/>
  <c r="K1543" i="1" s="1"/>
  <c r="L1543" i="1" s="1"/>
  <c r="H2668" i="1"/>
  <c r="I2668" i="1" s="1"/>
  <c r="J2668" i="1" s="1"/>
  <c r="K2668" i="1" s="1"/>
  <c r="L2668" i="1" s="1"/>
  <c r="H3840" i="1"/>
  <c r="I3840" i="1" s="1"/>
  <c r="J3840" i="1" s="1"/>
  <c r="K3840" i="1" s="1"/>
  <c r="L3840" i="1" s="1"/>
  <c r="H4297" i="1"/>
  <c r="I4297" i="1" s="1"/>
  <c r="J4297" i="1" s="1"/>
  <c r="K4297" i="1" s="1"/>
  <c r="L4297" i="1" s="1"/>
  <c r="H2806" i="1"/>
  <c r="I2806" i="1" s="1"/>
  <c r="J2806" i="1" s="1"/>
  <c r="K2806" i="1" s="1"/>
  <c r="L2806" i="1" s="1"/>
  <c r="H4966" i="1"/>
  <c r="I4966" i="1" s="1"/>
  <c r="J4966" i="1" s="1"/>
  <c r="K4966" i="1" s="1"/>
  <c r="L4966" i="1" s="1"/>
  <c r="H586" i="1"/>
  <c r="I586" i="1" s="1"/>
  <c r="J586" i="1" s="1"/>
  <c r="K586" i="1" s="1"/>
  <c r="L586" i="1" s="1"/>
  <c r="H3809" i="1"/>
  <c r="I3809" i="1" s="1"/>
  <c r="J3809" i="1" s="1"/>
  <c r="K3809" i="1" s="1"/>
  <c r="L3809" i="1" s="1"/>
  <c r="H3108" i="1"/>
  <c r="I3108" i="1" s="1"/>
  <c r="J3108" i="1" s="1"/>
  <c r="K3108" i="1" s="1"/>
  <c r="L3108" i="1" s="1"/>
  <c r="H2992" i="1"/>
  <c r="I2992" i="1" s="1"/>
  <c r="J2992" i="1" s="1"/>
  <c r="K2992" i="1" s="1"/>
  <c r="L2992" i="1" s="1"/>
  <c r="H2827" i="1"/>
  <c r="I2827" i="1" s="1"/>
  <c r="J2827" i="1" s="1"/>
  <c r="K2827" i="1" s="1"/>
  <c r="L2827" i="1" s="1"/>
  <c r="H4946" i="1"/>
  <c r="I4946" i="1" s="1"/>
  <c r="J4946" i="1" s="1"/>
  <c r="K4946" i="1" s="1"/>
  <c r="L4946" i="1" s="1"/>
  <c r="H810" i="1"/>
  <c r="I810" i="1" s="1"/>
  <c r="J810" i="1" s="1"/>
  <c r="K810" i="1" s="1"/>
  <c r="L810" i="1" s="1"/>
  <c r="H5995" i="1"/>
  <c r="I5995" i="1" s="1"/>
  <c r="J5995" i="1" s="1"/>
  <c r="K5995" i="1" s="1"/>
  <c r="L5995" i="1" s="1"/>
  <c r="H3529" i="1"/>
  <c r="I3529" i="1" s="1"/>
  <c r="J3529" i="1" s="1"/>
  <c r="K3529" i="1" s="1"/>
  <c r="L3529" i="1" s="1"/>
  <c r="H2358" i="1"/>
  <c r="I2358" i="1" s="1"/>
  <c r="J2358" i="1" s="1"/>
  <c r="K2358" i="1" s="1"/>
  <c r="L2358" i="1" s="1"/>
  <c r="H178" i="1"/>
  <c r="I178" i="1" s="1"/>
  <c r="J178" i="1" s="1"/>
  <c r="K178" i="1" s="1"/>
  <c r="L178" i="1" s="1"/>
  <c r="H3908" i="1"/>
  <c r="I3908" i="1" s="1"/>
  <c r="J3908" i="1" s="1"/>
  <c r="K3908" i="1" s="1"/>
  <c r="L3908" i="1" s="1"/>
  <c r="H3755" i="1"/>
  <c r="I3755" i="1" s="1"/>
  <c r="J3755" i="1" s="1"/>
  <c r="K3755" i="1" s="1"/>
  <c r="L3755" i="1" s="1"/>
  <c r="H2251" i="1"/>
  <c r="I2251" i="1" s="1"/>
  <c r="H2650" i="1"/>
  <c r="I2650" i="1" s="1"/>
  <c r="J2650" i="1" s="1"/>
  <c r="K2650" i="1" s="1"/>
  <c r="L2650" i="1" s="1"/>
  <c r="H2363" i="1"/>
  <c r="I2363" i="1" s="1"/>
  <c r="J2363" i="1" s="1"/>
  <c r="K2363" i="1" s="1"/>
  <c r="L2363" i="1" s="1"/>
  <c r="H5523" i="1"/>
  <c r="I5523" i="1" s="1"/>
  <c r="J5523" i="1" s="1"/>
  <c r="K5523" i="1" s="1"/>
  <c r="L5523" i="1" s="1"/>
  <c r="H1854" i="1"/>
  <c r="I1854" i="1" s="1"/>
  <c r="J1854" i="1" s="1"/>
  <c r="K1854" i="1" s="1"/>
  <c r="L1854" i="1" s="1"/>
  <c r="H5130" i="1"/>
  <c r="I5130" i="1" s="1"/>
  <c r="J5130" i="1" s="1"/>
  <c r="K5130" i="1" s="1"/>
  <c r="L5130" i="1" s="1"/>
  <c r="H4942" i="1"/>
  <c r="I4942" i="1" s="1"/>
  <c r="J4942" i="1" s="1"/>
  <c r="K4942" i="1" s="1"/>
  <c r="L4942" i="1" s="1"/>
  <c r="H5137" i="1"/>
  <c r="I5137" i="1" s="1"/>
  <c r="J5137" i="1" s="1"/>
  <c r="K5137" i="1" s="1"/>
  <c r="L5137" i="1" s="1"/>
  <c r="H4217" i="1"/>
  <c r="I4217" i="1" s="1"/>
  <c r="J4217" i="1" s="1"/>
  <c r="K4217" i="1" s="1"/>
  <c r="L4217" i="1" s="1"/>
  <c r="H1889" i="1"/>
  <c r="I1889" i="1" s="1"/>
  <c r="J1889" i="1" s="1"/>
  <c r="K1889" i="1" s="1"/>
  <c r="L1889" i="1" s="1"/>
  <c r="H823" i="1"/>
  <c r="I823" i="1" s="1"/>
  <c r="J823" i="1" s="1"/>
  <c r="K823" i="1" s="1"/>
  <c r="L823" i="1" s="1"/>
  <c r="H3805" i="1"/>
  <c r="I3805" i="1" s="1"/>
  <c r="J3805" i="1" s="1"/>
  <c r="K3805" i="1" s="1"/>
  <c r="L3805" i="1" s="1"/>
  <c r="H2689" i="1"/>
  <c r="I2689" i="1" s="1"/>
  <c r="J2689" i="1" s="1"/>
  <c r="K2689" i="1" s="1"/>
  <c r="L2689" i="1" s="1"/>
  <c r="H683" i="1"/>
  <c r="I683" i="1" s="1"/>
  <c r="J683" i="1" s="1"/>
  <c r="K683" i="1" s="1"/>
  <c r="L683" i="1" s="1"/>
  <c r="H1413" i="1"/>
  <c r="I1413" i="1" s="1"/>
  <c r="J1413" i="1" s="1"/>
  <c r="K1413" i="1" s="1"/>
  <c r="L1413" i="1" s="1"/>
  <c r="H935" i="1"/>
  <c r="I935" i="1" s="1"/>
  <c r="J935" i="1" s="1"/>
  <c r="K935" i="1" s="1"/>
  <c r="L935" i="1" s="1"/>
  <c r="H1378" i="1"/>
  <c r="I1378" i="1" s="1"/>
  <c r="J1378" i="1" s="1"/>
  <c r="K1378" i="1" s="1"/>
  <c r="L1378" i="1" s="1"/>
  <c r="H5337" i="1"/>
  <c r="I5337" i="1" s="1"/>
  <c r="J5337" i="1" s="1"/>
  <c r="K5337" i="1" s="1"/>
  <c r="L5337" i="1" s="1"/>
  <c r="H5994" i="1"/>
  <c r="I5994" i="1" s="1"/>
  <c r="J5994" i="1" s="1"/>
  <c r="K5994" i="1" s="1"/>
  <c r="L5994" i="1" s="1"/>
  <c r="H3951" i="1"/>
  <c r="I3951" i="1" s="1"/>
  <c r="J3951" i="1" s="1"/>
  <c r="K3951" i="1" s="1"/>
  <c r="L3951" i="1" s="1"/>
  <c r="H2853" i="1"/>
  <c r="I2853" i="1" s="1"/>
  <c r="J2853" i="1" s="1"/>
  <c r="K2853" i="1" s="1"/>
  <c r="L2853" i="1" s="1"/>
  <c r="H4145" i="1"/>
  <c r="I4145" i="1" s="1"/>
  <c r="J4145" i="1" s="1"/>
  <c r="K4145" i="1" s="1"/>
  <c r="L4145" i="1" s="1"/>
  <c r="H267" i="1"/>
  <c r="I267" i="1" s="1"/>
  <c r="J267" i="1" s="1"/>
  <c r="K267" i="1" s="1"/>
  <c r="L267" i="1" s="1"/>
  <c r="H2848" i="1"/>
  <c r="I2848" i="1" s="1"/>
  <c r="J2848" i="1" s="1"/>
  <c r="K2848" i="1" s="1"/>
  <c r="L2848" i="1" s="1"/>
  <c r="H2492" i="1"/>
  <c r="I2492" i="1" s="1"/>
  <c r="J2492" i="1" s="1"/>
  <c r="K2492" i="1" s="1"/>
  <c r="L2492" i="1" s="1"/>
  <c r="H2530" i="1"/>
  <c r="I2530" i="1" s="1"/>
  <c r="J2530" i="1" s="1"/>
  <c r="K2530" i="1" s="1"/>
  <c r="L2530" i="1" s="1"/>
  <c r="H2515" i="1"/>
  <c r="I2515" i="1" s="1"/>
  <c r="J2515" i="1" s="1"/>
  <c r="K2515" i="1" s="1"/>
  <c r="L2515" i="1" s="1"/>
  <c r="H5438" i="1"/>
  <c r="I5438" i="1" s="1"/>
  <c r="J5438" i="1" s="1"/>
  <c r="K5438" i="1" s="1"/>
  <c r="L5438" i="1" s="1"/>
  <c r="H4739" i="1"/>
  <c r="I4739" i="1" s="1"/>
  <c r="J4739" i="1" s="1"/>
  <c r="K4739" i="1" s="1"/>
  <c r="L4739" i="1" s="1"/>
  <c r="J23" i="1"/>
  <c r="K23" i="1" s="1"/>
  <c r="L23" i="1" s="1"/>
  <c r="J104" i="1"/>
  <c r="K104" i="1" s="1"/>
  <c r="L104" i="1" s="1"/>
  <c r="J2255" i="1"/>
  <c r="K2255" i="1" s="1"/>
  <c r="L2255" i="1" s="1"/>
  <c r="J254" i="1"/>
  <c r="K254" i="1" s="1"/>
  <c r="L254" i="1" s="1"/>
  <c r="J537" i="1"/>
  <c r="K537" i="1" s="1"/>
  <c r="L537" i="1" s="1"/>
  <c r="J1048" i="1"/>
  <c r="K1048" i="1" s="1"/>
  <c r="L1048" i="1" s="1"/>
  <c r="K6003" i="1"/>
  <c r="L6003" i="1" s="1"/>
  <c r="K5014" i="1"/>
  <c r="L5014" i="1" s="1"/>
  <c r="K4945" i="1"/>
  <c r="L4945" i="1" s="1"/>
  <c r="K5600" i="1"/>
  <c r="L5600" i="1" s="1"/>
  <c r="K5218" i="1"/>
  <c r="L5218" i="1" s="1"/>
  <c r="K5012" i="1"/>
  <c r="L5012" i="1" s="1"/>
  <c r="K4755" i="1"/>
  <c r="L4755" i="1" s="1"/>
  <c r="K4723" i="1"/>
  <c r="L4723" i="1" s="1"/>
  <c r="K4692" i="1"/>
  <c r="L4692" i="1" s="1"/>
  <c r="K4613" i="1"/>
  <c r="L4613" i="1" s="1"/>
  <c r="K4599" i="1"/>
  <c r="L4599" i="1" s="1"/>
  <c r="K4581" i="1"/>
  <c r="L4581" i="1" s="1"/>
  <c r="K4387" i="1"/>
  <c r="L4387" i="1" s="1"/>
  <c r="K4355" i="1"/>
  <c r="L4355" i="1" s="1"/>
  <c r="K5939" i="1"/>
  <c r="L5939" i="1" s="1"/>
  <c r="K5891" i="1"/>
  <c r="L5891" i="1" s="1"/>
  <c r="K5860" i="1"/>
  <c r="L5860" i="1" s="1"/>
  <c r="K5790" i="1"/>
  <c r="L5790" i="1" s="1"/>
  <c r="K5731" i="1"/>
  <c r="L5731" i="1" s="1"/>
  <c r="K5587" i="1"/>
  <c r="L5587" i="1" s="1"/>
  <c r="K5539" i="1"/>
  <c r="L5539" i="1" s="1"/>
  <c r="K5522" i="1"/>
  <c r="L5522" i="1" s="1"/>
  <c r="K5457" i="1"/>
  <c r="L5457" i="1" s="1"/>
  <c r="K5426" i="1"/>
  <c r="L5426" i="1" s="1"/>
  <c r="K5347" i="1"/>
  <c r="L5347" i="1" s="1"/>
  <c r="K5315" i="1"/>
  <c r="L5315" i="1" s="1"/>
  <c r="K5205" i="1"/>
  <c r="L5205" i="1" s="1"/>
  <c r="K5108" i="1"/>
  <c r="L5108" i="1" s="1"/>
  <c r="K5056" i="1"/>
  <c r="L5056" i="1" s="1"/>
  <c r="K5027" i="1"/>
  <c r="L5027" i="1" s="1"/>
  <c r="K4995" i="1"/>
  <c r="L4995" i="1" s="1"/>
  <c r="K4980" i="1"/>
  <c r="L4980" i="1" s="1"/>
  <c r="K4839" i="1"/>
  <c r="L4839" i="1" s="1"/>
  <c r="K4754" i="1"/>
  <c r="L4754" i="1" s="1"/>
  <c r="K4640" i="1"/>
  <c r="L4640" i="1" s="1"/>
  <c r="K4485" i="1"/>
  <c r="L4485" i="1" s="1"/>
  <c r="K4466" i="1"/>
  <c r="L4466" i="1" s="1"/>
  <c r="K4436" i="1"/>
  <c r="L4436" i="1" s="1"/>
  <c r="K4319" i="1"/>
  <c r="L4319" i="1" s="1"/>
  <c r="K4229" i="1"/>
  <c r="L4229" i="1" s="1"/>
  <c r="K6001" i="1"/>
  <c r="L6001" i="1" s="1"/>
  <c r="K5926" i="1"/>
  <c r="L5926" i="1" s="1"/>
  <c r="K5855" i="1"/>
  <c r="L5855" i="1" s="1"/>
  <c r="K5803" i="1"/>
  <c r="L5803" i="1" s="1"/>
  <c r="K5749" i="1"/>
  <c r="L5749" i="1" s="1"/>
  <c r="K5730" i="1"/>
  <c r="L5730" i="1" s="1"/>
  <c r="K5698" i="1"/>
  <c r="L5698" i="1" s="1"/>
  <c r="K5667" i="1"/>
  <c r="L5667" i="1" s="1"/>
  <c r="K5651" i="1"/>
  <c r="L5651" i="1" s="1"/>
  <c r="K5619" i="1"/>
  <c r="L5619" i="1" s="1"/>
  <c r="K5506" i="1"/>
  <c r="L5506" i="1" s="1"/>
  <c r="K5412" i="1"/>
  <c r="L5412" i="1" s="1"/>
  <c r="K5331" i="1"/>
  <c r="L5331" i="1" s="1"/>
  <c r="K5311" i="1"/>
  <c r="L5311" i="1" s="1"/>
  <c r="K5281" i="1"/>
  <c r="L5281" i="1" s="1"/>
  <c r="K5250" i="1"/>
  <c r="L5250" i="1" s="1"/>
  <c r="K5231" i="1"/>
  <c r="L5231" i="1" s="1"/>
  <c r="K5201" i="1"/>
  <c r="L5201" i="1" s="1"/>
  <c r="K5171" i="1"/>
  <c r="L5171" i="1" s="1"/>
  <c r="K5058" i="1"/>
  <c r="L5058" i="1" s="1"/>
  <c r="K5008" i="1"/>
  <c r="L5008" i="1" s="1"/>
  <c r="K4883" i="1"/>
  <c r="L4883" i="1" s="1"/>
  <c r="K4786" i="1"/>
  <c r="L4786" i="1" s="1"/>
  <c r="K4756" i="1"/>
  <c r="L4756" i="1" s="1"/>
  <c r="K4721" i="1"/>
  <c r="L4721" i="1" s="1"/>
  <c r="K4707" i="1"/>
  <c r="L4707" i="1" s="1"/>
  <c r="K4672" i="1"/>
  <c r="L4672" i="1" s="1"/>
  <c r="K4577" i="1"/>
  <c r="L4577" i="1" s="1"/>
  <c r="K4562" i="1"/>
  <c r="L4562" i="1" s="1"/>
  <c r="K4549" i="1"/>
  <c r="L4549" i="1" s="1"/>
  <c r="K4514" i="1"/>
  <c r="L4514" i="1" s="1"/>
  <c r="K4465" i="1"/>
  <c r="L4465" i="1" s="1"/>
  <c r="K4450" i="1"/>
  <c r="L4450" i="1" s="1"/>
  <c r="K4434" i="1"/>
  <c r="L4434" i="1" s="1"/>
  <c r="K4402" i="1"/>
  <c r="L4402" i="1" s="1"/>
  <c r="K4386" i="1"/>
  <c r="L4386" i="1" s="1"/>
  <c r="K4353" i="1"/>
  <c r="L4353" i="1" s="1"/>
  <c r="K4320" i="1"/>
  <c r="L4320" i="1" s="1"/>
  <c r="K4244" i="1"/>
  <c r="L4244" i="1" s="1"/>
  <c r="K5937" i="1"/>
  <c r="L5937" i="1" s="1"/>
  <c r="K5794" i="1"/>
  <c r="L5794" i="1" s="1"/>
  <c r="K5743" i="1"/>
  <c r="L5743" i="1" s="1"/>
  <c r="K5727" i="1"/>
  <c r="L5727" i="1" s="1"/>
  <c r="K5681" i="1"/>
  <c r="L5681" i="1" s="1"/>
  <c r="K5632" i="1"/>
  <c r="L5632" i="1" s="1"/>
  <c r="K5603" i="1"/>
  <c r="L5603" i="1" s="1"/>
  <c r="K5584" i="1"/>
  <c r="L5584" i="1" s="1"/>
  <c r="K5569" i="1"/>
  <c r="L5569" i="1" s="1"/>
  <c r="K5554" i="1"/>
  <c r="L5554" i="1" s="1"/>
  <c r="K5536" i="1"/>
  <c r="L5536" i="1" s="1"/>
  <c r="K5443" i="1"/>
  <c r="L5443" i="1" s="1"/>
  <c r="K5394" i="1"/>
  <c r="L5394" i="1" s="1"/>
  <c r="K5376" i="1"/>
  <c r="L5376" i="1" s="1"/>
  <c r="K5344" i="1"/>
  <c r="L5344" i="1" s="1"/>
  <c r="K5264" i="1"/>
  <c r="L5264" i="1" s="1"/>
  <c r="K5187" i="1"/>
  <c r="L5187" i="1" s="1"/>
  <c r="K5168" i="1"/>
  <c r="L5168" i="1" s="1"/>
  <c r="K5152" i="1"/>
  <c r="L5152" i="1" s="1"/>
  <c r="K5090" i="1"/>
  <c r="L5090" i="1" s="1"/>
  <c r="K5074" i="1"/>
  <c r="L5074" i="1" s="1"/>
  <c r="K5057" i="1"/>
  <c r="L5057" i="1" s="1"/>
  <c r="K5038" i="1"/>
  <c r="L5038" i="1" s="1"/>
  <c r="K5025" i="1"/>
  <c r="L5025" i="1" s="1"/>
  <c r="K5010" i="1"/>
  <c r="L5010" i="1" s="1"/>
  <c r="K4993" i="1"/>
  <c r="L4993" i="1" s="1"/>
  <c r="K4929" i="1"/>
  <c r="L4929" i="1" s="1"/>
  <c r="K4913" i="1"/>
  <c r="L4913" i="1" s="1"/>
  <c r="K4897" i="1"/>
  <c r="L4897" i="1" s="1"/>
  <c r="K4864" i="1"/>
  <c r="L4864" i="1" s="1"/>
  <c r="K4852" i="1"/>
  <c r="L4852" i="1" s="1"/>
  <c r="K4834" i="1"/>
  <c r="L4834" i="1" s="1"/>
  <c r="K4769" i="1"/>
  <c r="L4769" i="1" s="1"/>
  <c r="K4722" i="1"/>
  <c r="L4722" i="1" s="1"/>
  <c r="K4705" i="1"/>
  <c r="L4705" i="1" s="1"/>
  <c r="K4691" i="1"/>
  <c r="L4691" i="1" s="1"/>
  <c r="K4636" i="1"/>
  <c r="L4636" i="1" s="1"/>
  <c r="K4593" i="1"/>
  <c r="L4593" i="1" s="1"/>
  <c r="K4561" i="1"/>
  <c r="L4561" i="1" s="1"/>
  <c r="K4540" i="1"/>
  <c r="L4540" i="1" s="1"/>
  <c r="K4529" i="1"/>
  <c r="L4529" i="1" s="1"/>
  <c r="K4513" i="1"/>
  <c r="L4513" i="1" s="1"/>
  <c r="K4497" i="1"/>
  <c r="L4497" i="1" s="1"/>
  <c r="K4449" i="1"/>
  <c r="L4449" i="1" s="1"/>
  <c r="K4433" i="1"/>
  <c r="L4433" i="1" s="1"/>
  <c r="K4417" i="1"/>
  <c r="L4417" i="1" s="1"/>
  <c r="K4385" i="1"/>
  <c r="L4385" i="1" s="1"/>
  <c r="K4305" i="1"/>
  <c r="L4305" i="1" s="1"/>
  <c r="K4259" i="1"/>
  <c r="L4259" i="1" s="1"/>
  <c r="K5819" i="1"/>
  <c r="L5819" i="1" s="1"/>
  <c r="K5804" i="1"/>
  <c r="L5804" i="1" s="1"/>
  <c r="K5726" i="1"/>
  <c r="L5726" i="1" s="1"/>
  <c r="K5714" i="1"/>
  <c r="L5714" i="1" s="1"/>
  <c r="K5677" i="1"/>
  <c r="L5677" i="1" s="1"/>
  <c r="K5602" i="1"/>
  <c r="L5602" i="1" s="1"/>
  <c r="K5552" i="1"/>
  <c r="L5552" i="1" s="1"/>
  <c r="K5392" i="1"/>
  <c r="L5392" i="1" s="1"/>
  <c r="K5314" i="1"/>
  <c r="L5314" i="1" s="1"/>
  <c r="K5251" i="1"/>
  <c r="L5251" i="1" s="1"/>
  <c r="K5233" i="1"/>
  <c r="L5233" i="1" s="1"/>
  <c r="K5209" i="1"/>
  <c r="L5209" i="1" s="1"/>
  <c r="K5200" i="1"/>
  <c r="L5200" i="1" s="1"/>
  <c r="K5153" i="1"/>
  <c r="L5153" i="1" s="1"/>
  <c r="K5135" i="1"/>
  <c r="L5135" i="1" s="1"/>
  <c r="K5088" i="1"/>
  <c r="L5088" i="1" s="1"/>
  <c r="K5072" i="1"/>
  <c r="L5072" i="1" s="1"/>
  <c r="K5024" i="1"/>
  <c r="L5024" i="1" s="1"/>
  <c r="K5007" i="1"/>
  <c r="L5007" i="1" s="1"/>
  <c r="K4988" i="1"/>
  <c r="L4988" i="1" s="1"/>
  <c r="K4961" i="1"/>
  <c r="L4961" i="1" s="1"/>
  <c r="K4880" i="1"/>
  <c r="L4880" i="1" s="1"/>
  <c r="K5952" i="1"/>
  <c r="L5952" i="1" s="1"/>
  <c r="K5840" i="1"/>
  <c r="L5840" i="1" s="1"/>
  <c r="K5729" i="1"/>
  <c r="L5729" i="1" s="1"/>
  <c r="K5520" i="1"/>
  <c r="L5520" i="1" s="1"/>
  <c r="K5485" i="1"/>
  <c r="L5485" i="1" s="1"/>
  <c r="K5456" i="1"/>
  <c r="L5456" i="1" s="1"/>
  <c r="K5409" i="1"/>
  <c r="L5409" i="1" s="1"/>
  <c r="K5375" i="1"/>
  <c r="L5375" i="1" s="1"/>
  <c r="K5340" i="1"/>
  <c r="L5340" i="1" s="1"/>
  <c r="K5294" i="1"/>
  <c r="L5294" i="1" s="1"/>
  <c r="K5259" i="1"/>
  <c r="L5259" i="1" s="1"/>
  <c r="K5245" i="1"/>
  <c r="L5245" i="1" s="1"/>
  <c r="K5234" i="1"/>
  <c r="L5234" i="1" s="1"/>
  <c r="K5211" i="1"/>
  <c r="L5211" i="1" s="1"/>
  <c r="K5183" i="1"/>
  <c r="L5183" i="1" s="1"/>
  <c r="K5964" i="1"/>
  <c r="L5964" i="1" s="1"/>
  <c r="K5933" i="1"/>
  <c r="L5933" i="1" s="1"/>
  <c r="K5902" i="1"/>
  <c r="L5902" i="1" s="1"/>
  <c r="K5824" i="1"/>
  <c r="L5824" i="1" s="1"/>
  <c r="K5809" i="1"/>
  <c r="L5809" i="1" s="1"/>
  <c r="K5795" i="1"/>
  <c r="L5795" i="1" s="1"/>
  <c r="K5678" i="1"/>
  <c r="L5678" i="1" s="1"/>
  <c r="K5648" i="1"/>
  <c r="L5648" i="1" s="1"/>
  <c r="K5613" i="1"/>
  <c r="L5613" i="1" s="1"/>
  <c r="K5597" i="1"/>
  <c r="L5597" i="1" s="1"/>
  <c r="K5583" i="1"/>
  <c r="L5583" i="1" s="1"/>
  <c r="K5566" i="1"/>
  <c r="L5566" i="1" s="1"/>
  <c r="K5535" i="1"/>
  <c r="L5535" i="1" s="1"/>
  <c r="K5503" i="1"/>
  <c r="L5503" i="1" s="1"/>
  <c r="K5454" i="1"/>
  <c r="L5454" i="1" s="1"/>
  <c r="K5359" i="1"/>
  <c r="L5359" i="1" s="1"/>
  <c r="K5323" i="1"/>
  <c r="L5323" i="1" s="1"/>
  <c r="K5228" i="1"/>
  <c r="L5228" i="1" s="1"/>
  <c r="K5041" i="1"/>
  <c r="L5041" i="1" s="1"/>
  <c r="K5020" i="1"/>
  <c r="L5020" i="1" s="1"/>
  <c r="K4911" i="1"/>
  <c r="L4911" i="1" s="1"/>
  <c r="K4878" i="1"/>
  <c r="L4878" i="1" s="1"/>
  <c r="K4846" i="1"/>
  <c r="L4846" i="1" s="1"/>
  <c r="K4830" i="1"/>
  <c r="L4830" i="1" s="1"/>
  <c r="K5969" i="1"/>
  <c r="L5969" i="1" s="1"/>
  <c r="K5934" i="1"/>
  <c r="L5934" i="1" s="1"/>
  <c r="K5898" i="1"/>
  <c r="L5898" i="1" s="1"/>
  <c r="K5888" i="1"/>
  <c r="L5888" i="1" s="1"/>
  <c r="K5869" i="1"/>
  <c r="L5869" i="1" s="1"/>
  <c r="K5852" i="1"/>
  <c r="L5852" i="1" s="1"/>
  <c r="K5758" i="1"/>
  <c r="L5758" i="1" s="1"/>
  <c r="K5659" i="1"/>
  <c r="L5659" i="1" s="1"/>
  <c r="K5644" i="1"/>
  <c r="L5644" i="1" s="1"/>
  <c r="K5629" i="1"/>
  <c r="L5629" i="1" s="1"/>
  <c r="K5614" i="1"/>
  <c r="L5614" i="1" s="1"/>
  <c r="K5579" i="1"/>
  <c r="L5579" i="1" s="1"/>
  <c r="K5549" i="1"/>
  <c r="L5549" i="1" s="1"/>
  <c r="K5533" i="1"/>
  <c r="L5533" i="1" s="1"/>
  <c r="K5515" i="1"/>
  <c r="L5515" i="1" s="1"/>
  <c r="K5483" i="1"/>
  <c r="L5483" i="1" s="1"/>
  <c r="K5453" i="1"/>
  <c r="L5453" i="1" s="1"/>
  <c r="K5436" i="1"/>
  <c r="L5436" i="1" s="1"/>
  <c r="K5422" i="1"/>
  <c r="L5422" i="1" s="1"/>
  <c r="K5388" i="1"/>
  <c r="L5388" i="1" s="1"/>
  <c r="K5374" i="1"/>
  <c r="L5374" i="1" s="1"/>
  <c r="K5357" i="1"/>
  <c r="L5357" i="1" s="1"/>
  <c r="K5325" i="1"/>
  <c r="L5325" i="1" s="1"/>
  <c r="K5263" i="1"/>
  <c r="L5263" i="1" s="1"/>
  <c r="K5212" i="1"/>
  <c r="L5212" i="1" s="1"/>
  <c r="K5197" i="1"/>
  <c r="L5197" i="1" s="1"/>
  <c r="K5165" i="1"/>
  <c r="L5165" i="1" s="1"/>
  <c r="K5151" i="1"/>
  <c r="L5151" i="1" s="1"/>
  <c r="K5087" i="1"/>
  <c r="L5087" i="1" s="1"/>
  <c r="K5932" i="1"/>
  <c r="L5932" i="1" s="1"/>
  <c r="K5899" i="1"/>
  <c r="L5899" i="1" s="1"/>
  <c r="K5884" i="1"/>
  <c r="L5884" i="1" s="1"/>
  <c r="K5834" i="1"/>
  <c r="L5834" i="1" s="1"/>
  <c r="K5822" i="1"/>
  <c r="L5822" i="1" s="1"/>
  <c r="K5784" i="1"/>
  <c r="L5784" i="1" s="1"/>
  <c r="K5725" i="1"/>
  <c r="L5725" i="1" s="1"/>
  <c r="K5695" i="1"/>
  <c r="L5695" i="1" s="1"/>
  <c r="K5675" i="1"/>
  <c r="L5675" i="1" s="1"/>
  <c r="K5947" i="1"/>
  <c r="L5947" i="1" s="1"/>
  <c r="K5931" i="1"/>
  <c r="L5931" i="1" s="1"/>
  <c r="K5914" i="1"/>
  <c r="L5914" i="1" s="1"/>
  <c r="K5865" i="1"/>
  <c r="L5865" i="1" s="1"/>
  <c r="K5853" i="1"/>
  <c r="L5853" i="1" s="1"/>
  <c r="K5836" i="1"/>
  <c r="L5836" i="1" s="1"/>
  <c r="K5820" i="1"/>
  <c r="L5820" i="1" s="1"/>
  <c r="K5773" i="1"/>
  <c r="L5773" i="1" s="1"/>
  <c r="K5754" i="1"/>
  <c r="L5754" i="1" s="1"/>
  <c r="K5674" i="1"/>
  <c r="L5674" i="1" s="1"/>
  <c r="K5595" i="1"/>
  <c r="L5595" i="1" s="1"/>
  <c r="K5580" i="1"/>
  <c r="L5580" i="1" s="1"/>
  <c r="K5562" i="1"/>
  <c r="L5562" i="1" s="1"/>
  <c r="K5545" i="1"/>
  <c r="L5545" i="1" s="1"/>
  <c r="K5529" i="1"/>
  <c r="L5529" i="1" s="1"/>
  <c r="K5482" i="1"/>
  <c r="L5482" i="1" s="1"/>
  <c r="K5448" i="1"/>
  <c r="L5448" i="1" s="1"/>
  <c r="K5432" i="1"/>
  <c r="L5432" i="1" s="1"/>
  <c r="K5418" i="1"/>
  <c r="L5418" i="1" s="1"/>
  <c r="K5356" i="1"/>
  <c r="L5356" i="1" s="1"/>
  <c r="K5290" i="1"/>
  <c r="L5290" i="1" s="1"/>
  <c r="K5230" i="1"/>
  <c r="L5230" i="1" s="1"/>
  <c r="K5164" i="1"/>
  <c r="L5164" i="1" s="1"/>
  <c r="K5146" i="1"/>
  <c r="L5146" i="1" s="1"/>
  <c r="K5082" i="1"/>
  <c r="L5082" i="1" s="1"/>
  <c r="K5035" i="1"/>
  <c r="L5035" i="1" s="1"/>
  <c r="K4986" i="1"/>
  <c r="L4986" i="1" s="1"/>
  <c r="K4922" i="1"/>
  <c r="L4922" i="1" s="1"/>
  <c r="K4908" i="1"/>
  <c r="L4908" i="1" s="1"/>
  <c r="K4860" i="1"/>
  <c r="L4860" i="1" s="1"/>
  <c r="K4825" i="1"/>
  <c r="L4825" i="1" s="1"/>
  <c r="K4795" i="1"/>
  <c r="L4795" i="1" s="1"/>
  <c r="K4779" i="1"/>
  <c r="L4779" i="1" s="1"/>
  <c r="K4716" i="1"/>
  <c r="L4716" i="1" s="1"/>
  <c r="K4683" i="1"/>
  <c r="L4683" i="1" s="1"/>
  <c r="K4653" i="1"/>
  <c r="L4653" i="1" s="1"/>
  <c r="K4618" i="1"/>
  <c r="L4618" i="1" s="1"/>
  <c r="K4586" i="1"/>
  <c r="L4586" i="1" s="1"/>
  <c r="K4556" i="1"/>
  <c r="L4556" i="1" s="1"/>
  <c r="K4539" i="1"/>
  <c r="L4539" i="1" s="1"/>
  <c r="K4522" i="1"/>
  <c r="L4522" i="1" s="1"/>
  <c r="K4507" i="1"/>
  <c r="L4507" i="1" s="1"/>
  <c r="K4425" i="1"/>
  <c r="L4425" i="1" s="1"/>
  <c r="K4407" i="1"/>
  <c r="L4407" i="1" s="1"/>
  <c r="K4393" i="1"/>
  <c r="L4393" i="1" s="1"/>
  <c r="K4375" i="1"/>
  <c r="L4375" i="1" s="1"/>
  <c r="K5978" i="1"/>
  <c r="L5978" i="1" s="1"/>
  <c r="K5930" i="1"/>
  <c r="L5930" i="1" s="1"/>
  <c r="K5915" i="1"/>
  <c r="L5915" i="1" s="1"/>
  <c r="K5882" i="1"/>
  <c r="L5882" i="1" s="1"/>
  <c r="K5866" i="1"/>
  <c r="L5866" i="1" s="1"/>
  <c r="K5851" i="1"/>
  <c r="L5851" i="1" s="1"/>
  <c r="K5785" i="1"/>
  <c r="L5785" i="1" s="1"/>
  <c r="K5756" i="1"/>
  <c r="L5756" i="1" s="1"/>
  <c r="K5676" i="1"/>
  <c r="L5676" i="1" s="1"/>
  <c r="K5658" i="1"/>
  <c r="L5658" i="1" s="1"/>
  <c r="K5628" i="1"/>
  <c r="L5628" i="1" s="1"/>
  <c r="K5577" i="1"/>
  <c r="L5577" i="1" s="1"/>
  <c r="K5530" i="1"/>
  <c r="L5530" i="1" s="1"/>
  <c r="K5516" i="1"/>
  <c r="L5516" i="1" s="1"/>
  <c r="K5466" i="1"/>
  <c r="L5466" i="1" s="1"/>
  <c r="K5419" i="1"/>
  <c r="L5419" i="1" s="1"/>
  <c r="K5305" i="1"/>
  <c r="L5305" i="1" s="1"/>
  <c r="K5194" i="1"/>
  <c r="L5194" i="1" s="1"/>
  <c r="K5180" i="1"/>
  <c r="L5180" i="1" s="1"/>
  <c r="K5112" i="1"/>
  <c r="L5112" i="1" s="1"/>
  <c r="K5064" i="1"/>
  <c r="L5064" i="1" s="1"/>
  <c r="K5004" i="1"/>
  <c r="L5004" i="1" s="1"/>
  <c r="K4955" i="1"/>
  <c r="L4955" i="1" s="1"/>
  <c r="K4923" i="1"/>
  <c r="L4923" i="1" s="1"/>
  <c r="K4857" i="1"/>
  <c r="L4857" i="1" s="1"/>
  <c r="K4809" i="1"/>
  <c r="L4809" i="1" s="1"/>
  <c r="K4797" i="1"/>
  <c r="L4797" i="1" s="1"/>
  <c r="K4778" i="1"/>
  <c r="L4778" i="1" s="1"/>
  <c r="K4746" i="1"/>
  <c r="L4746" i="1" s="1"/>
  <c r="K4697" i="1"/>
  <c r="L4697" i="1" s="1"/>
  <c r="K4682" i="1"/>
  <c r="L4682" i="1" s="1"/>
  <c r="K5993" i="1"/>
  <c r="L5993" i="1" s="1"/>
  <c r="K5977" i="1"/>
  <c r="L5977" i="1" s="1"/>
  <c r="K5913" i="1"/>
  <c r="L5913" i="1" s="1"/>
  <c r="K5896" i="1"/>
  <c r="L5896" i="1" s="1"/>
  <c r="K5976" i="1"/>
  <c r="L5976" i="1" s="1"/>
  <c r="K5942" i="1"/>
  <c r="L5942" i="1" s="1"/>
  <c r="K5877" i="1"/>
  <c r="L5877" i="1" s="1"/>
  <c r="K5975" i="1"/>
  <c r="L5975" i="1" s="1"/>
  <c r="K5961" i="1"/>
  <c r="L5961" i="1" s="1"/>
  <c r="K5765" i="1"/>
  <c r="L5765" i="1" s="1"/>
  <c r="K5735" i="1"/>
  <c r="L5735" i="1" s="1"/>
  <c r="K5690" i="1"/>
  <c r="L5690" i="1" s="1"/>
  <c r="K5672" i="1"/>
  <c r="L5672" i="1" s="1"/>
  <c r="K5655" i="1"/>
  <c r="L5655" i="1" s="1"/>
  <c r="K5591" i="1"/>
  <c r="L5591" i="1" s="1"/>
  <c r="K5576" i="1"/>
  <c r="L5576" i="1" s="1"/>
  <c r="K5560" i="1"/>
  <c r="L5560" i="1" s="1"/>
  <c r="K5542" i="1"/>
  <c r="L5542" i="1" s="1"/>
  <c r="K5510" i="1"/>
  <c r="L5510" i="1" s="1"/>
  <c r="K4196" i="1"/>
  <c r="L4196" i="1" s="1"/>
  <c r="K4169" i="1"/>
  <c r="L4169" i="1" s="1"/>
  <c r="K4101" i="1"/>
  <c r="L4101" i="1" s="1"/>
  <c r="K4083" i="1"/>
  <c r="L4083" i="1" s="1"/>
  <c r="K4067" i="1"/>
  <c r="L4067" i="1" s="1"/>
  <c r="K4047" i="1"/>
  <c r="L4047" i="1" s="1"/>
  <c r="K4017" i="1"/>
  <c r="L4017" i="1" s="1"/>
  <c r="K3988" i="1"/>
  <c r="L3988" i="1" s="1"/>
  <c r="K3970" i="1"/>
  <c r="L3970" i="1" s="1"/>
  <c r="K3958" i="1"/>
  <c r="L3958" i="1" s="1"/>
  <c r="K3920" i="1"/>
  <c r="L3920" i="1" s="1"/>
  <c r="K3893" i="1"/>
  <c r="L3893" i="1" s="1"/>
  <c r="K3859" i="1"/>
  <c r="L3859" i="1" s="1"/>
  <c r="K3842" i="1"/>
  <c r="L3842" i="1" s="1"/>
  <c r="K3828" i="1"/>
  <c r="L3828" i="1" s="1"/>
  <c r="K3779" i="1"/>
  <c r="L3779" i="1" s="1"/>
  <c r="K3712" i="1"/>
  <c r="L3712" i="1" s="1"/>
  <c r="K3699" i="1"/>
  <c r="L3699" i="1" s="1"/>
  <c r="K3582" i="1"/>
  <c r="L3582" i="1" s="1"/>
  <c r="K3521" i="1"/>
  <c r="L3521" i="1" s="1"/>
  <c r="K3429" i="1"/>
  <c r="L3429" i="1" s="1"/>
  <c r="K3394" i="1"/>
  <c r="L3394" i="1" s="1"/>
  <c r="K3361" i="1"/>
  <c r="L3361" i="1" s="1"/>
  <c r="K3347" i="1"/>
  <c r="L3347" i="1" s="1"/>
  <c r="K3298" i="1"/>
  <c r="L3298" i="1" s="1"/>
  <c r="K3283" i="1"/>
  <c r="L3283" i="1" s="1"/>
  <c r="K3252" i="1"/>
  <c r="L3252" i="1" s="1"/>
  <c r="K3222" i="1"/>
  <c r="L3222" i="1" s="1"/>
  <c r="K3205" i="1"/>
  <c r="L3205" i="1" s="1"/>
  <c r="K3188" i="1"/>
  <c r="L3188" i="1" s="1"/>
  <c r="K3156" i="1"/>
  <c r="L3156" i="1" s="1"/>
  <c r="K3140" i="1"/>
  <c r="L3140" i="1" s="1"/>
  <c r="K3106" i="1"/>
  <c r="L3106" i="1" s="1"/>
  <c r="K3090" i="1"/>
  <c r="L3090" i="1" s="1"/>
  <c r="K3069" i="1"/>
  <c r="L3069" i="1" s="1"/>
  <c r="K3060" i="1"/>
  <c r="L3060" i="1" s="1"/>
  <c r="K3043" i="1"/>
  <c r="L3043" i="1" s="1"/>
  <c r="K3027" i="1"/>
  <c r="L3027" i="1" s="1"/>
  <c r="K3012" i="1"/>
  <c r="L3012" i="1" s="1"/>
  <c r="K2993" i="1"/>
  <c r="L2993" i="1" s="1"/>
  <c r="K2976" i="1"/>
  <c r="L2976" i="1" s="1"/>
  <c r="K2945" i="1"/>
  <c r="L2945" i="1" s="1"/>
  <c r="K2930" i="1"/>
  <c r="L2930" i="1" s="1"/>
  <c r="K4225" i="1"/>
  <c r="L4225" i="1" s="1"/>
  <c r="K4213" i="1"/>
  <c r="L4213" i="1" s="1"/>
  <c r="K4146" i="1"/>
  <c r="L4146" i="1" s="1"/>
  <c r="K4130" i="1"/>
  <c r="L4130" i="1" s="1"/>
  <c r="K4102" i="1"/>
  <c r="L4102" i="1" s="1"/>
  <c r="K4068" i="1"/>
  <c r="L4068" i="1" s="1"/>
  <c r="K4035" i="1"/>
  <c r="L4035" i="1" s="1"/>
  <c r="K3969" i="1"/>
  <c r="L3969" i="1" s="1"/>
  <c r="K3936" i="1"/>
  <c r="L3936" i="1" s="1"/>
  <c r="K3905" i="1"/>
  <c r="L3905" i="1" s="1"/>
  <c r="K3890" i="1"/>
  <c r="L3890" i="1" s="1"/>
  <c r="K3873" i="1"/>
  <c r="L3873" i="1" s="1"/>
  <c r="K3858" i="1"/>
  <c r="L3858" i="1" s="1"/>
  <c r="K3843" i="1"/>
  <c r="L3843" i="1" s="1"/>
  <c r="K3825" i="1"/>
  <c r="L3825" i="1" s="1"/>
  <c r="K3811" i="1"/>
  <c r="L3811" i="1" s="1"/>
  <c r="K3792" i="1"/>
  <c r="L3792" i="1" s="1"/>
  <c r="K3775" i="1"/>
  <c r="L3775" i="1" s="1"/>
  <c r="K3681" i="1"/>
  <c r="L3681" i="1" s="1"/>
  <c r="K3635" i="1"/>
  <c r="L3635" i="1" s="1"/>
  <c r="K3619" i="1"/>
  <c r="L3619" i="1" s="1"/>
  <c r="K3570" i="1"/>
  <c r="L3570" i="1" s="1"/>
  <c r="K3555" i="1"/>
  <c r="L3555" i="1" s="1"/>
  <c r="K3540" i="1"/>
  <c r="L3540" i="1" s="1"/>
  <c r="K3523" i="1"/>
  <c r="L3523" i="1" s="1"/>
  <c r="K3491" i="1"/>
  <c r="L3491" i="1" s="1"/>
  <c r="K3460" i="1"/>
  <c r="L3460" i="1" s="1"/>
  <c r="K3378" i="1"/>
  <c r="L3378" i="1" s="1"/>
  <c r="K3282" i="1"/>
  <c r="L3282" i="1" s="1"/>
  <c r="K3247" i="1"/>
  <c r="L3247" i="1" s="1"/>
  <c r="K3199" i="1"/>
  <c r="L3199" i="1" s="1"/>
  <c r="K3187" i="1"/>
  <c r="L3187" i="1" s="1"/>
  <c r="K3171" i="1"/>
  <c r="L3171" i="1" s="1"/>
  <c r="K3154" i="1"/>
  <c r="L3154" i="1" s="1"/>
  <c r="K3137" i="1"/>
  <c r="L3137" i="1" s="1"/>
  <c r="K3089" i="1"/>
  <c r="L3089" i="1" s="1"/>
  <c r="K3068" i="1"/>
  <c r="L3068" i="1" s="1"/>
  <c r="K3054" i="1"/>
  <c r="L3054" i="1" s="1"/>
  <c r="K3024" i="1"/>
  <c r="L3024" i="1" s="1"/>
  <c r="K3009" i="1"/>
  <c r="L3009" i="1" s="1"/>
  <c r="K2989" i="1"/>
  <c r="L2989" i="1" s="1"/>
  <c r="K2978" i="1"/>
  <c r="L2978" i="1" s="1"/>
  <c r="K2946" i="1"/>
  <c r="L2946" i="1" s="1"/>
  <c r="K2898" i="1"/>
  <c r="L2898" i="1" s="1"/>
  <c r="K4224" i="1"/>
  <c r="L4224" i="1" s="1"/>
  <c r="K4205" i="1"/>
  <c r="L4205" i="1" s="1"/>
  <c r="K4172" i="1"/>
  <c r="L4172" i="1" s="1"/>
  <c r="K4131" i="1"/>
  <c r="L4131" i="1" s="1"/>
  <c r="K4113" i="1"/>
  <c r="L4113" i="1" s="1"/>
  <c r="K4082" i="1"/>
  <c r="L4082" i="1" s="1"/>
  <c r="K3971" i="1"/>
  <c r="L3971" i="1" s="1"/>
  <c r="K3950" i="1"/>
  <c r="L3950" i="1" s="1"/>
  <c r="K3940" i="1"/>
  <c r="L3940" i="1" s="1"/>
  <c r="K3907" i="1"/>
  <c r="L3907" i="1" s="1"/>
  <c r="K3793" i="1"/>
  <c r="L3793" i="1" s="1"/>
  <c r="K3778" i="1"/>
  <c r="L3778" i="1" s="1"/>
  <c r="K3761" i="1"/>
  <c r="L3761" i="1" s="1"/>
  <c r="K3665" i="1"/>
  <c r="L3665" i="1" s="1"/>
  <c r="K3633" i="1"/>
  <c r="L3633" i="1" s="1"/>
  <c r="K3618" i="1"/>
  <c r="L3618" i="1" s="1"/>
  <c r="K3602" i="1"/>
  <c r="L3602" i="1" s="1"/>
  <c r="K3539" i="1"/>
  <c r="L3539" i="1" s="1"/>
  <c r="K3524" i="1"/>
  <c r="L3524" i="1" s="1"/>
  <c r="K3493" i="1"/>
  <c r="L3493" i="1" s="1"/>
  <c r="K3455" i="1"/>
  <c r="L3455" i="1" s="1"/>
  <c r="K3403" i="1"/>
  <c r="L3403" i="1" s="1"/>
  <c r="K3393" i="1"/>
  <c r="L3393" i="1" s="1"/>
  <c r="K3343" i="1"/>
  <c r="L3343" i="1" s="1"/>
  <c r="K3332" i="1"/>
  <c r="L3332" i="1" s="1"/>
  <c r="K3265" i="1"/>
  <c r="L3265" i="1" s="1"/>
  <c r="K3250" i="1"/>
  <c r="L3250" i="1" s="1"/>
  <c r="K3233" i="1"/>
  <c r="L3233" i="1" s="1"/>
  <c r="K3218" i="1"/>
  <c r="L3218" i="1" s="1"/>
  <c r="K3167" i="1"/>
  <c r="L3167" i="1" s="1"/>
  <c r="K3136" i="1"/>
  <c r="L3136" i="1" s="1"/>
  <c r="K3120" i="1"/>
  <c r="L3120" i="1" s="1"/>
  <c r="K3102" i="1"/>
  <c r="L3102" i="1" s="1"/>
  <c r="K3055" i="1"/>
  <c r="L3055" i="1" s="1"/>
  <c r="K3040" i="1"/>
  <c r="L3040" i="1" s="1"/>
  <c r="K3025" i="1"/>
  <c r="L3025" i="1" s="1"/>
  <c r="K2960" i="1"/>
  <c r="L2960" i="1" s="1"/>
  <c r="K2862" i="1"/>
  <c r="L2862" i="1" s="1"/>
  <c r="K4867" i="1"/>
  <c r="L4867" i="1" s="1"/>
  <c r="K4832" i="1"/>
  <c r="L4832" i="1" s="1"/>
  <c r="K4800" i="1"/>
  <c r="L4800" i="1" s="1"/>
  <c r="K4768" i="1"/>
  <c r="L4768" i="1" s="1"/>
  <c r="K4752" i="1"/>
  <c r="L4752" i="1" s="1"/>
  <c r="K4736" i="1"/>
  <c r="L4736" i="1" s="1"/>
  <c r="K4703" i="1"/>
  <c r="L4703" i="1" s="1"/>
  <c r="K4656" i="1"/>
  <c r="L4656" i="1" s="1"/>
  <c r="K4639" i="1"/>
  <c r="L4639" i="1" s="1"/>
  <c r="K4542" i="1"/>
  <c r="L4542" i="1" s="1"/>
  <c r="K4526" i="1"/>
  <c r="L4526" i="1" s="1"/>
  <c r="K4416" i="1"/>
  <c r="L4416" i="1" s="1"/>
  <c r="K4398" i="1"/>
  <c r="L4398" i="1" s="1"/>
  <c r="K4321" i="1"/>
  <c r="L4321" i="1" s="1"/>
  <c r="K4310" i="1"/>
  <c r="L4310" i="1" s="1"/>
  <c r="K4256" i="1"/>
  <c r="L4256" i="1" s="1"/>
  <c r="K4239" i="1"/>
  <c r="L4239" i="1" s="1"/>
  <c r="K4179" i="1"/>
  <c r="L4179" i="1" s="1"/>
  <c r="K4158" i="1"/>
  <c r="L4158" i="1" s="1"/>
  <c r="K4096" i="1"/>
  <c r="L4096" i="1" s="1"/>
  <c r="K4060" i="1"/>
  <c r="L4060" i="1" s="1"/>
  <c r="K4031" i="1"/>
  <c r="L4031" i="1" s="1"/>
  <c r="K4016" i="1"/>
  <c r="L4016" i="1" s="1"/>
  <c r="K3999" i="1"/>
  <c r="L3999" i="1" s="1"/>
  <c r="K3984" i="1"/>
  <c r="L3984" i="1" s="1"/>
  <c r="K3952" i="1"/>
  <c r="L3952" i="1" s="1"/>
  <c r="K3938" i="1"/>
  <c r="L3938" i="1" s="1"/>
  <c r="K3824" i="1"/>
  <c r="L3824" i="1" s="1"/>
  <c r="K5136" i="1"/>
  <c r="L5136" i="1" s="1"/>
  <c r="K5119" i="1"/>
  <c r="L5119" i="1" s="1"/>
  <c r="K5103" i="1"/>
  <c r="L5103" i="1" s="1"/>
  <c r="K5055" i="1"/>
  <c r="L5055" i="1" s="1"/>
  <c r="K5023" i="1"/>
  <c r="L5023" i="1" s="1"/>
  <c r="K4924" i="1"/>
  <c r="L4924" i="1" s="1"/>
  <c r="K4909" i="1"/>
  <c r="L4909" i="1" s="1"/>
  <c r="K4896" i="1"/>
  <c r="L4896" i="1" s="1"/>
  <c r="K4848" i="1"/>
  <c r="L4848" i="1" s="1"/>
  <c r="K4815" i="1"/>
  <c r="L4815" i="1" s="1"/>
  <c r="K4799" i="1"/>
  <c r="L4799" i="1" s="1"/>
  <c r="K4782" i="1"/>
  <c r="L4782" i="1" s="1"/>
  <c r="K4766" i="1"/>
  <c r="L4766" i="1" s="1"/>
  <c r="K4655" i="1"/>
  <c r="L4655" i="1" s="1"/>
  <c r="K4607" i="1"/>
  <c r="L4607" i="1" s="1"/>
  <c r="K4589" i="1"/>
  <c r="L4589" i="1" s="1"/>
  <c r="K4544" i="1"/>
  <c r="L4544" i="1" s="1"/>
  <c r="K4479" i="1"/>
  <c r="L4479" i="1" s="1"/>
  <c r="K4426" i="1"/>
  <c r="L4426" i="1" s="1"/>
  <c r="K4399" i="1"/>
  <c r="L4399" i="1" s="1"/>
  <c r="K4382" i="1"/>
  <c r="L4382" i="1" s="1"/>
  <c r="K4351" i="1"/>
  <c r="L4351" i="1" s="1"/>
  <c r="K4302" i="1"/>
  <c r="L4302" i="1" s="1"/>
  <c r="K4287" i="1"/>
  <c r="L4287" i="1" s="1"/>
  <c r="K4270" i="1"/>
  <c r="L4270" i="1" s="1"/>
  <c r="K4240" i="1"/>
  <c r="L4240" i="1" s="1"/>
  <c r="K4222" i="1"/>
  <c r="L4222" i="1" s="1"/>
  <c r="K4207" i="1"/>
  <c r="L4207" i="1" s="1"/>
  <c r="K4732" i="1"/>
  <c r="L4732" i="1" s="1"/>
  <c r="K4720" i="1"/>
  <c r="L4720" i="1" s="1"/>
  <c r="K4657" i="1"/>
  <c r="L4657" i="1" s="1"/>
  <c r="K4621" i="1"/>
  <c r="L4621" i="1" s="1"/>
  <c r="K4557" i="1"/>
  <c r="L4557" i="1" s="1"/>
  <c r="K4541" i="1"/>
  <c r="L4541" i="1" s="1"/>
  <c r="K4493" i="1"/>
  <c r="L4493" i="1" s="1"/>
  <c r="K4478" i="1"/>
  <c r="L4478" i="1" s="1"/>
  <c r="K4413" i="1"/>
  <c r="L4413" i="1" s="1"/>
  <c r="K4350" i="1"/>
  <c r="L4350" i="1" s="1"/>
  <c r="K4332" i="1"/>
  <c r="L4332" i="1" s="1"/>
  <c r="K4318" i="1"/>
  <c r="L4318" i="1" s="1"/>
  <c r="K4286" i="1"/>
  <c r="L4286" i="1" s="1"/>
  <c r="K4254" i="1"/>
  <c r="L4254" i="1" s="1"/>
  <c r="K4221" i="1"/>
  <c r="L4221" i="1" s="1"/>
  <c r="K4192" i="1"/>
  <c r="L4192" i="1" s="1"/>
  <c r="K4144" i="1"/>
  <c r="L4144" i="1" s="1"/>
  <c r="K4110" i="1"/>
  <c r="L4110" i="1" s="1"/>
  <c r="K4079" i="1"/>
  <c r="L4079" i="1" s="1"/>
  <c r="K4062" i="1"/>
  <c r="L4062" i="1" s="1"/>
  <c r="K4046" i="1"/>
  <c r="L4046" i="1" s="1"/>
  <c r="K3981" i="1"/>
  <c r="L3981" i="1" s="1"/>
  <c r="K3964" i="1"/>
  <c r="L3964" i="1" s="1"/>
  <c r="K3935" i="1"/>
  <c r="L3935" i="1" s="1"/>
  <c r="K3897" i="1"/>
  <c r="L3897" i="1" s="1"/>
  <c r="K3855" i="1"/>
  <c r="L3855" i="1" s="1"/>
  <c r="K3820" i="1"/>
  <c r="L3820" i="1" s="1"/>
  <c r="K3759" i="1"/>
  <c r="L3759" i="1" s="1"/>
  <c r="K3740" i="1"/>
  <c r="L3740" i="1" s="1"/>
  <c r="K3723" i="1"/>
  <c r="L3723" i="1" s="1"/>
  <c r="K3676" i="1"/>
  <c r="L3676" i="1" s="1"/>
  <c r="K3660" i="1"/>
  <c r="L3660" i="1" s="1"/>
  <c r="K3598" i="1"/>
  <c r="L3598" i="1" s="1"/>
  <c r="K3551" i="1"/>
  <c r="L3551" i="1" s="1"/>
  <c r="K3485" i="1"/>
  <c r="L3485" i="1" s="1"/>
  <c r="K5037" i="1"/>
  <c r="L5037" i="1" s="1"/>
  <c r="K5018" i="1"/>
  <c r="L5018" i="1" s="1"/>
  <c r="K5003" i="1"/>
  <c r="L5003" i="1" s="1"/>
  <c r="K4990" i="1"/>
  <c r="L4990" i="1" s="1"/>
  <c r="K4957" i="1"/>
  <c r="L4957" i="1" s="1"/>
  <c r="K4926" i="1"/>
  <c r="L4926" i="1" s="1"/>
  <c r="K4912" i="1"/>
  <c r="L4912" i="1" s="1"/>
  <c r="K4891" i="1"/>
  <c r="L4891" i="1" s="1"/>
  <c r="K4877" i="1"/>
  <c r="L4877" i="1" s="1"/>
  <c r="K4764" i="1"/>
  <c r="L4764" i="1" s="1"/>
  <c r="K4748" i="1"/>
  <c r="L4748" i="1" s="1"/>
  <c r="K4717" i="1"/>
  <c r="L4717" i="1" s="1"/>
  <c r="K4700" i="1"/>
  <c r="L4700" i="1" s="1"/>
  <c r="K4673" i="1"/>
  <c r="L4673" i="1" s="1"/>
  <c r="K4623" i="1"/>
  <c r="L4623" i="1" s="1"/>
  <c r="K4592" i="1"/>
  <c r="L4592" i="1" s="1"/>
  <c r="K4558" i="1"/>
  <c r="L4558" i="1" s="1"/>
  <c r="K4525" i="1"/>
  <c r="L4525" i="1" s="1"/>
  <c r="K4476" i="1"/>
  <c r="L4476" i="1" s="1"/>
  <c r="K4445" i="1"/>
  <c r="L4445" i="1" s="1"/>
  <c r="K4381" i="1"/>
  <c r="L4381" i="1" s="1"/>
  <c r="K4365" i="1"/>
  <c r="L4365" i="1" s="1"/>
  <c r="K4346" i="1"/>
  <c r="L4346" i="1" s="1"/>
  <c r="K4299" i="1"/>
  <c r="L4299" i="1" s="1"/>
  <c r="K4237" i="1"/>
  <c r="L4237" i="1" s="1"/>
  <c r="K4223" i="1"/>
  <c r="L4223" i="1" s="1"/>
  <c r="K4189" i="1"/>
  <c r="L4189" i="1" s="1"/>
  <c r="K4170" i="1"/>
  <c r="L4170" i="1" s="1"/>
  <c r="K4157" i="1"/>
  <c r="L4157" i="1" s="1"/>
  <c r="K4140" i="1"/>
  <c r="L4140" i="1" s="1"/>
  <c r="K4109" i="1"/>
  <c r="L4109" i="1" s="1"/>
  <c r="K4064" i="1"/>
  <c r="L4064" i="1" s="1"/>
  <c r="K4027" i="1"/>
  <c r="L4027" i="1" s="1"/>
  <c r="K3980" i="1"/>
  <c r="L3980" i="1" s="1"/>
  <c r="K3949" i="1"/>
  <c r="L3949" i="1" s="1"/>
  <c r="K3900" i="1"/>
  <c r="L3900" i="1" s="1"/>
  <c r="K3888" i="1"/>
  <c r="L3888" i="1" s="1"/>
  <c r="K3870" i="1"/>
  <c r="L3870" i="1" s="1"/>
  <c r="K3856" i="1"/>
  <c r="L3856" i="1" s="1"/>
  <c r="K3821" i="1"/>
  <c r="L3821" i="1" s="1"/>
  <c r="K3790" i="1"/>
  <c r="L3790" i="1" s="1"/>
  <c r="K5623" i="1"/>
  <c r="L5623" i="1" s="1"/>
  <c r="K5500" i="1"/>
  <c r="L5500" i="1" s="1"/>
  <c r="K5484" i="1"/>
  <c r="L5484" i="1" s="1"/>
  <c r="K5421" i="1"/>
  <c r="L5421" i="1" s="1"/>
  <c r="K5404" i="1"/>
  <c r="L5404" i="1" s="1"/>
  <c r="K5291" i="1"/>
  <c r="L5291" i="1" s="1"/>
  <c r="K5260" i="1"/>
  <c r="L5260" i="1" s="1"/>
  <c r="K5243" i="1"/>
  <c r="L5243" i="1" s="1"/>
  <c r="K5175" i="1"/>
  <c r="L5175" i="1" s="1"/>
  <c r="K5162" i="1"/>
  <c r="L5162" i="1" s="1"/>
  <c r="K5133" i="1"/>
  <c r="L5133" i="1" s="1"/>
  <c r="K5052" i="1"/>
  <c r="L5052" i="1" s="1"/>
  <c r="K5002" i="1"/>
  <c r="L5002" i="1" s="1"/>
  <c r="K4939" i="1"/>
  <c r="L4939" i="1" s="1"/>
  <c r="K4927" i="1"/>
  <c r="L4927" i="1" s="1"/>
  <c r="K4907" i="1"/>
  <c r="L4907" i="1" s="1"/>
  <c r="K4828" i="1"/>
  <c r="L4828" i="1" s="1"/>
  <c r="K4796" i="1"/>
  <c r="L4796" i="1" s="1"/>
  <c r="K4777" i="1"/>
  <c r="L4777" i="1" s="1"/>
  <c r="K4731" i="1"/>
  <c r="L4731" i="1" s="1"/>
  <c r="K4685" i="1"/>
  <c r="L4685" i="1" s="1"/>
  <c r="K4604" i="1"/>
  <c r="L4604" i="1" s="1"/>
  <c r="K4588" i="1"/>
  <c r="L4588" i="1" s="1"/>
  <c r="K4570" i="1"/>
  <c r="L4570" i="1" s="1"/>
  <c r="K4543" i="1"/>
  <c r="L4543" i="1" s="1"/>
  <c r="K4527" i="1"/>
  <c r="L4527" i="1" s="1"/>
  <c r="K4492" i="1"/>
  <c r="L4492" i="1" s="1"/>
  <c r="K4412" i="1"/>
  <c r="L4412" i="1" s="1"/>
  <c r="K4361" i="1"/>
  <c r="L4361" i="1" s="1"/>
  <c r="K4347" i="1"/>
  <c r="L4347" i="1" s="1"/>
  <c r="K4316" i="1"/>
  <c r="L4316" i="1" s="1"/>
  <c r="K4301" i="1"/>
  <c r="L4301" i="1" s="1"/>
  <c r="K4269" i="1"/>
  <c r="L4269" i="1" s="1"/>
  <c r="K4251" i="1"/>
  <c r="L4251" i="1" s="1"/>
  <c r="K4236" i="1"/>
  <c r="L4236" i="1" s="1"/>
  <c r="K4219" i="1"/>
  <c r="L4219" i="1" s="1"/>
  <c r="K4176" i="1"/>
  <c r="L4176" i="1" s="1"/>
  <c r="K4141" i="1"/>
  <c r="L4141" i="1" s="1"/>
  <c r="K4124" i="1"/>
  <c r="L4124" i="1" s="1"/>
  <c r="K4349" i="1"/>
  <c r="L4349" i="1" s="1"/>
  <c r="K4329" i="1"/>
  <c r="L4329" i="1" s="1"/>
  <c r="K4314" i="1"/>
  <c r="L4314" i="1" s="1"/>
  <c r="K4235" i="1"/>
  <c r="L4235" i="1" s="1"/>
  <c r="K4220" i="1"/>
  <c r="L4220" i="1" s="1"/>
  <c r="K4156" i="1"/>
  <c r="L4156" i="1" s="1"/>
  <c r="K4137" i="1"/>
  <c r="L4137" i="1" s="1"/>
  <c r="K4123" i="1"/>
  <c r="L4123" i="1" s="1"/>
  <c r="K3994" i="1"/>
  <c r="L3994" i="1" s="1"/>
  <c r="K3901" i="1"/>
  <c r="L3901" i="1" s="1"/>
  <c r="K3881" i="1"/>
  <c r="L3881" i="1" s="1"/>
  <c r="K3851" i="1"/>
  <c r="L3851" i="1" s="1"/>
  <c r="K3835" i="1"/>
  <c r="L3835" i="1" s="1"/>
  <c r="K3818" i="1"/>
  <c r="L3818" i="1" s="1"/>
  <c r="K3787" i="1"/>
  <c r="L3787" i="1" s="1"/>
  <c r="K3771" i="1"/>
  <c r="L3771" i="1" s="1"/>
  <c r="K3753" i="1"/>
  <c r="L3753" i="1" s="1"/>
  <c r="K3728" i="1"/>
  <c r="L3728" i="1" s="1"/>
  <c r="K3674" i="1"/>
  <c r="L3674" i="1" s="1"/>
  <c r="K3659" i="1"/>
  <c r="L3659" i="1" s="1"/>
  <c r="K3624" i="1"/>
  <c r="L3624" i="1" s="1"/>
  <c r="K3609" i="1"/>
  <c r="L3609" i="1" s="1"/>
  <c r="K3563" i="1"/>
  <c r="L3563" i="1" s="1"/>
  <c r="K3547" i="1"/>
  <c r="L3547" i="1" s="1"/>
  <c r="K3512" i="1"/>
  <c r="L3512" i="1" s="1"/>
  <c r="K3499" i="1"/>
  <c r="L3499" i="1" s="1"/>
  <c r="K3468" i="1"/>
  <c r="L3468" i="1" s="1"/>
  <c r="K3375" i="1"/>
  <c r="L3375" i="1" s="1"/>
  <c r="K3338" i="1"/>
  <c r="L3338" i="1" s="1"/>
  <c r="K3291" i="1"/>
  <c r="L3291" i="1" s="1"/>
  <c r="K3258" i="1"/>
  <c r="L3258" i="1" s="1"/>
  <c r="K3245" i="1"/>
  <c r="L3245" i="1" s="1"/>
  <c r="K3225" i="1"/>
  <c r="L3225" i="1" s="1"/>
  <c r="K3211" i="1"/>
  <c r="L3211" i="1" s="1"/>
  <c r="K3180" i="1"/>
  <c r="L3180" i="1" s="1"/>
  <c r="K4585" i="1"/>
  <c r="L4585" i="1" s="1"/>
  <c r="K4506" i="1"/>
  <c r="L4506" i="1" s="1"/>
  <c r="K4489" i="1"/>
  <c r="L4489" i="1" s="1"/>
  <c r="K4443" i="1"/>
  <c r="L4443" i="1" s="1"/>
  <c r="K4430" i="1"/>
  <c r="L4430" i="1" s="1"/>
  <c r="K4409" i="1"/>
  <c r="L4409" i="1" s="1"/>
  <c r="K4396" i="1"/>
  <c r="L4396" i="1" s="1"/>
  <c r="K4379" i="1"/>
  <c r="L4379" i="1" s="1"/>
  <c r="K4348" i="1"/>
  <c r="L4348" i="1" s="1"/>
  <c r="K4330" i="1"/>
  <c r="L4330" i="1" s="1"/>
  <c r="K4315" i="1"/>
  <c r="L4315" i="1" s="1"/>
  <c r="K4250" i="1"/>
  <c r="L4250" i="1" s="1"/>
  <c r="K4185" i="1"/>
  <c r="L4185" i="1" s="1"/>
  <c r="K4152" i="1"/>
  <c r="L4152" i="1" s="1"/>
  <c r="K4107" i="1"/>
  <c r="L4107" i="1" s="1"/>
  <c r="K4076" i="1"/>
  <c r="L4076" i="1" s="1"/>
  <c r="K3930" i="1"/>
  <c r="L3930" i="1" s="1"/>
  <c r="K3914" i="1"/>
  <c r="L3914" i="1" s="1"/>
  <c r="K3849" i="1"/>
  <c r="L3849" i="1" s="1"/>
  <c r="K3822" i="1"/>
  <c r="L3822" i="1" s="1"/>
  <c r="K3782" i="1"/>
  <c r="L3782" i="1" s="1"/>
  <c r="K3736" i="1"/>
  <c r="L3736" i="1" s="1"/>
  <c r="K3678" i="1"/>
  <c r="L3678" i="1" s="1"/>
  <c r="K3661" i="1"/>
  <c r="L3661" i="1" s="1"/>
  <c r="K3610" i="1"/>
  <c r="L3610" i="1" s="1"/>
  <c r="K3596" i="1"/>
  <c r="L3596" i="1" s="1"/>
  <c r="K3578" i="1"/>
  <c r="L3578" i="1" s="1"/>
  <c r="K3528" i="1"/>
  <c r="L3528" i="1" s="1"/>
  <c r="K3514" i="1"/>
  <c r="L3514" i="1" s="1"/>
  <c r="K5787" i="1"/>
  <c r="L5787" i="1" s="1"/>
  <c r="K5770" i="1"/>
  <c r="L5770" i="1" s="1"/>
  <c r="K5753" i="1"/>
  <c r="L5753" i="1" s="1"/>
  <c r="K5721" i="1"/>
  <c r="L5721" i="1" s="1"/>
  <c r="K5703" i="1"/>
  <c r="L5703" i="1" s="1"/>
  <c r="K5687" i="1"/>
  <c r="L5687" i="1" s="1"/>
  <c r="K5673" i="1"/>
  <c r="L5673" i="1" s="1"/>
  <c r="K5621" i="1"/>
  <c r="L5621" i="1" s="1"/>
  <c r="K5609" i="1"/>
  <c r="L5609" i="1" s="1"/>
  <c r="K5581" i="1"/>
  <c r="L5581" i="1" s="1"/>
  <c r="K5495" i="1"/>
  <c r="L5495" i="1" s="1"/>
  <c r="K5450" i="1"/>
  <c r="L5450" i="1" s="1"/>
  <c r="K5431" i="1"/>
  <c r="L5431" i="1" s="1"/>
  <c r="K5401" i="1"/>
  <c r="L5401" i="1" s="1"/>
  <c r="K5370" i="1"/>
  <c r="L5370" i="1" s="1"/>
  <c r="K5321" i="1"/>
  <c r="L5321" i="1" s="1"/>
  <c r="K5308" i="1"/>
  <c r="L5308" i="1" s="1"/>
  <c r="K5271" i="1"/>
  <c r="L5271" i="1" s="1"/>
  <c r="K5193" i="1"/>
  <c r="L5193" i="1" s="1"/>
  <c r="K5158" i="1"/>
  <c r="L5158" i="1" s="1"/>
  <c r="K5113" i="1"/>
  <c r="L5113" i="1" s="1"/>
  <c r="K5097" i="1"/>
  <c r="L5097" i="1" s="1"/>
  <c r="K5034" i="1"/>
  <c r="L5034" i="1" s="1"/>
  <c r="K4984" i="1"/>
  <c r="L4984" i="1" s="1"/>
  <c r="K4953" i="1"/>
  <c r="L4953" i="1" s="1"/>
  <c r="K4826" i="1"/>
  <c r="L4826" i="1" s="1"/>
  <c r="K4808" i="1"/>
  <c r="L4808" i="1" s="1"/>
  <c r="K4780" i="1"/>
  <c r="L4780" i="1" s="1"/>
  <c r="K4762" i="1"/>
  <c r="L4762" i="1" s="1"/>
  <c r="K4729" i="1"/>
  <c r="L4729" i="1" s="1"/>
  <c r="K4679" i="1"/>
  <c r="L4679" i="1" s="1"/>
  <c r="K4666" i="1"/>
  <c r="L4666" i="1" s="1"/>
  <c r="K4619" i="1"/>
  <c r="L4619" i="1" s="1"/>
  <c r="K4538" i="1"/>
  <c r="L4538" i="1" s="1"/>
  <c r="K4473" i="1"/>
  <c r="L4473" i="1" s="1"/>
  <c r="K4458" i="1"/>
  <c r="L4458" i="1" s="1"/>
  <c r="K4364" i="1"/>
  <c r="L4364" i="1" s="1"/>
  <c r="K4342" i="1"/>
  <c r="L4342" i="1" s="1"/>
  <c r="K4331" i="1"/>
  <c r="L4331" i="1" s="1"/>
  <c r="K4268" i="1"/>
  <c r="L4268" i="1" s="1"/>
  <c r="K4186" i="1"/>
  <c r="L4186" i="1" s="1"/>
  <c r="K5831" i="1"/>
  <c r="L5831" i="1" s="1"/>
  <c r="K5818" i="1"/>
  <c r="L5818" i="1" s="1"/>
  <c r="K5801" i="1"/>
  <c r="L5801" i="1" s="1"/>
  <c r="K5768" i="1"/>
  <c r="L5768" i="1" s="1"/>
  <c r="K5736" i="1"/>
  <c r="L5736" i="1" s="1"/>
  <c r="K5688" i="1"/>
  <c r="L5688" i="1" s="1"/>
  <c r="K5671" i="1"/>
  <c r="L5671" i="1" s="1"/>
  <c r="K5656" i="1"/>
  <c r="L5656" i="1" s="1"/>
  <c r="K5639" i="1"/>
  <c r="L5639" i="1" s="1"/>
  <c r="K5622" i="1"/>
  <c r="L5622" i="1" s="1"/>
  <c r="K5593" i="1"/>
  <c r="L5593" i="1" s="1"/>
  <c r="K5574" i="1"/>
  <c r="L5574" i="1" s="1"/>
  <c r="K5559" i="1"/>
  <c r="L5559" i="1" s="1"/>
  <c r="K5544" i="1"/>
  <c r="L5544" i="1" s="1"/>
  <c r="K5528" i="1"/>
  <c r="L5528" i="1" s="1"/>
  <c r="K5513" i="1"/>
  <c r="L5513" i="1" s="1"/>
  <c r="K5496" i="1"/>
  <c r="L5496" i="1" s="1"/>
  <c r="K5464" i="1"/>
  <c r="L5464" i="1" s="1"/>
  <c r="K5430" i="1"/>
  <c r="L5430" i="1" s="1"/>
  <c r="K5416" i="1"/>
  <c r="L5416" i="1" s="1"/>
  <c r="K5371" i="1"/>
  <c r="L5371" i="1" s="1"/>
  <c r="K5336" i="1"/>
  <c r="L5336" i="1" s="1"/>
  <c r="K5304" i="1"/>
  <c r="L5304" i="1" s="1"/>
  <c r="K5288" i="1"/>
  <c r="L5288" i="1" s="1"/>
  <c r="K5273" i="1"/>
  <c r="L5273" i="1" s="1"/>
  <c r="K5254" i="1"/>
  <c r="L5254" i="1" s="1"/>
  <c r="K5241" i="1"/>
  <c r="L5241" i="1" s="1"/>
  <c r="K5178" i="1"/>
  <c r="L5178" i="1" s="1"/>
  <c r="K5159" i="1"/>
  <c r="L5159" i="1" s="1"/>
  <c r="K5145" i="1"/>
  <c r="L5145" i="1" s="1"/>
  <c r="K5129" i="1"/>
  <c r="L5129" i="1" s="1"/>
  <c r="K5096" i="1"/>
  <c r="L5096" i="1" s="1"/>
  <c r="K5077" i="1"/>
  <c r="L5077" i="1" s="1"/>
  <c r="K5065" i="1"/>
  <c r="L5065" i="1" s="1"/>
  <c r="K5048" i="1"/>
  <c r="L5048" i="1" s="1"/>
  <c r="K5031" i="1"/>
  <c r="L5031" i="1" s="1"/>
  <c r="K4987" i="1"/>
  <c r="L4987" i="1" s="1"/>
  <c r="K4933" i="1"/>
  <c r="L4933" i="1" s="1"/>
  <c r="K4888" i="1"/>
  <c r="L4888" i="1" s="1"/>
  <c r="K4872" i="1"/>
  <c r="L4872" i="1" s="1"/>
  <c r="K4837" i="1"/>
  <c r="L4837" i="1" s="1"/>
  <c r="K4810" i="1"/>
  <c r="L4810" i="1" s="1"/>
  <c r="K4792" i="1"/>
  <c r="L4792" i="1" s="1"/>
  <c r="K4711" i="1"/>
  <c r="L4711" i="1" s="1"/>
  <c r="K4631" i="1"/>
  <c r="L4631" i="1" s="1"/>
  <c r="K4615" i="1"/>
  <c r="L4615" i="1" s="1"/>
  <c r="K4600" i="1"/>
  <c r="L4600" i="1" s="1"/>
  <c r="K4521" i="1"/>
  <c r="L4521" i="1" s="1"/>
  <c r="K4504" i="1"/>
  <c r="L4504" i="1" s="1"/>
  <c r="K4474" i="1"/>
  <c r="L4474" i="1" s="1"/>
  <c r="K4456" i="1"/>
  <c r="L4456" i="1" s="1"/>
  <c r="K4424" i="1"/>
  <c r="L4424" i="1" s="1"/>
  <c r="K4307" i="1"/>
  <c r="L4307" i="1" s="1"/>
  <c r="K4218" i="1"/>
  <c r="L4218" i="1" s="1"/>
  <c r="K4200" i="1"/>
  <c r="L4200" i="1" s="1"/>
  <c r="K4184" i="1"/>
  <c r="L4184" i="1" s="1"/>
  <c r="K4154" i="1"/>
  <c r="L4154" i="1" s="1"/>
  <c r="K4040" i="1"/>
  <c r="L4040" i="1" s="1"/>
  <c r="K3896" i="1"/>
  <c r="L3896" i="1" s="1"/>
  <c r="K3848" i="1"/>
  <c r="L3848" i="1" s="1"/>
  <c r="K3816" i="1"/>
  <c r="L3816" i="1" s="1"/>
  <c r="K3785" i="1"/>
  <c r="L3785" i="1" s="1"/>
  <c r="K3767" i="1"/>
  <c r="L3767" i="1" s="1"/>
  <c r="K3739" i="1"/>
  <c r="L3739" i="1" s="1"/>
  <c r="K3673" i="1"/>
  <c r="L3673" i="1" s="1"/>
  <c r="K3611" i="1"/>
  <c r="L3611" i="1" s="1"/>
  <c r="K3559" i="1"/>
  <c r="L3559" i="1" s="1"/>
  <c r="K3543" i="1"/>
  <c r="L3543" i="1" s="1"/>
  <c r="K3498" i="1"/>
  <c r="L3498" i="1" s="1"/>
  <c r="K3480" i="1"/>
  <c r="L3480" i="1" s="1"/>
  <c r="K3382" i="1"/>
  <c r="L3382" i="1" s="1"/>
  <c r="K5480" i="1"/>
  <c r="L5480" i="1" s="1"/>
  <c r="K5462" i="1"/>
  <c r="L5462" i="1" s="1"/>
  <c r="K5446" i="1"/>
  <c r="L5446" i="1" s="1"/>
  <c r="K5410" i="1"/>
  <c r="L5410" i="1" s="1"/>
  <c r="K5396" i="1"/>
  <c r="L5396" i="1" s="1"/>
  <c r="K5286" i="1"/>
  <c r="L5286" i="1" s="1"/>
  <c r="K5256" i="1"/>
  <c r="L5256" i="1" s="1"/>
  <c r="K5207" i="1"/>
  <c r="L5207" i="1" s="1"/>
  <c r="K5192" i="1"/>
  <c r="L5192" i="1" s="1"/>
  <c r="K5095" i="1"/>
  <c r="L5095" i="1" s="1"/>
  <c r="K5030" i="1"/>
  <c r="L5030" i="1" s="1"/>
  <c r="K5016" i="1"/>
  <c r="L5016" i="1" s="1"/>
  <c r="K4902" i="1"/>
  <c r="L4902" i="1" s="1"/>
  <c r="K4803" i="1"/>
  <c r="L4803" i="1" s="1"/>
  <c r="K4775" i="1"/>
  <c r="L4775" i="1" s="1"/>
  <c r="K4726" i="1"/>
  <c r="L4726" i="1" s="1"/>
  <c r="K4662" i="1"/>
  <c r="L4662" i="1" s="1"/>
  <c r="K4646" i="1"/>
  <c r="L4646" i="1" s="1"/>
  <c r="K4614" i="1"/>
  <c r="L4614" i="1" s="1"/>
  <c r="K4554" i="1"/>
  <c r="L4554" i="1" s="1"/>
  <c r="K4520" i="1"/>
  <c r="L4520" i="1" s="1"/>
  <c r="K4471" i="1"/>
  <c r="L4471" i="1" s="1"/>
  <c r="K4457" i="1"/>
  <c r="L4457" i="1" s="1"/>
  <c r="K4389" i="1"/>
  <c r="L4389" i="1" s="1"/>
  <c r="K4378" i="1"/>
  <c r="L4378" i="1" s="1"/>
  <c r="K4324" i="1"/>
  <c r="L4324" i="1" s="1"/>
  <c r="K4294" i="1"/>
  <c r="L4294" i="1" s="1"/>
  <c r="K4278" i="1"/>
  <c r="L4278" i="1" s="1"/>
  <c r="K4246" i="1"/>
  <c r="L4246" i="1" s="1"/>
  <c r="K4230" i="1"/>
  <c r="L4230" i="1" s="1"/>
  <c r="K4183" i="1"/>
  <c r="L4183" i="1" s="1"/>
  <c r="K4135" i="1"/>
  <c r="L4135" i="1" s="1"/>
  <c r="K4088" i="1"/>
  <c r="L4088" i="1" s="1"/>
  <c r="K4071" i="1"/>
  <c r="L4071" i="1" s="1"/>
  <c r="K4055" i="1"/>
  <c r="L4055" i="1" s="1"/>
  <c r="K4005" i="1"/>
  <c r="L4005" i="1" s="1"/>
  <c r="K3992" i="1"/>
  <c r="L3992" i="1" s="1"/>
  <c r="K3976" i="1"/>
  <c r="L3976" i="1" s="1"/>
  <c r="K3956" i="1"/>
  <c r="L3956" i="1" s="1"/>
  <c r="K3942" i="1"/>
  <c r="L3942" i="1" s="1"/>
  <c r="K3895" i="1"/>
  <c r="L3895" i="1" s="1"/>
  <c r="K3831" i="1"/>
  <c r="L3831" i="1" s="1"/>
  <c r="K3813" i="1"/>
  <c r="L3813" i="1" s="1"/>
  <c r="K3799" i="1"/>
  <c r="L3799" i="1" s="1"/>
  <c r="K3784" i="1"/>
  <c r="L3784" i="1" s="1"/>
  <c r="K3768" i="1"/>
  <c r="L3768" i="1" s="1"/>
  <c r="K3719" i="1"/>
  <c r="L3719" i="1" s="1"/>
  <c r="K5958" i="1"/>
  <c r="L5958" i="1" s="1"/>
  <c r="K5943" i="1"/>
  <c r="L5943" i="1" s="1"/>
  <c r="K5925" i="1"/>
  <c r="L5925" i="1" s="1"/>
  <c r="K5816" i="1"/>
  <c r="L5816" i="1" s="1"/>
  <c r="K5797" i="1"/>
  <c r="L5797" i="1" s="1"/>
  <c r="K5783" i="1"/>
  <c r="L5783" i="1" s="1"/>
  <c r="K5606" i="1"/>
  <c r="L5606" i="1" s="1"/>
  <c r="K5589" i="1"/>
  <c r="L5589" i="1" s="1"/>
  <c r="K5575" i="1"/>
  <c r="L5575" i="1" s="1"/>
  <c r="K5511" i="1"/>
  <c r="L5511" i="1" s="1"/>
  <c r="K5481" i="1"/>
  <c r="L5481" i="1" s="1"/>
  <c r="K5447" i="1"/>
  <c r="L5447" i="1" s="1"/>
  <c r="K5190" i="1"/>
  <c r="L5190" i="1" s="1"/>
  <c r="K5173" i="1"/>
  <c r="L5173" i="1" s="1"/>
  <c r="K5160" i="1"/>
  <c r="L5160" i="1" s="1"/>
  <c r="K5143" i="1"/>
  <c r="L5143" i="1" s="1"/>
  <c r="K5091" i="1"/>
  <c r="L5091" i="1" s="1"/>
  <c r="K5078" i="1"/>
  <c r="L5078" i="1" s="1"/>
  <c r="K5036" i="1"/>
  <c r="L5036" i="1" s="1"/>
  <c r="K4935" i="1"/>
  <c r="L4935" i="1" s="1"/>
  <c r="K4918" i="1"/>
  <c r="L4918" i="1" s="1"/>
  <c r="K4887" i="1"/>
  <c r="L4887" i="1" s="1"/>
  <c r="K4820" i="1"/>
  <c r="L4820" i="1" s="1"/>
  <c r="K4807" i="1"/>
  <c r="L4807" i="1" s="1"/>
  <c r="K4774" i="1"/>
  <c r="L4774" i="1" s="1"/>
  <c r="K4758" i="1"/>
  <c r="L4758" i="1" s="1"/>
  <c r="K4694" i="1"/>
  <c r="L4694" i="1" s="1"/>
  <c r="K4628" i="1"/>
  <c r="L4628" i="1" s="1"/>
  <c r="K4536" i="1"/>
  <c r="L4536" i="1" s="1"/>
  <c r="K4519" i="1"/>
  <c r="L4519" i="1" s="1"/>
  <c r="K4500" i="1"/>
  <c r="L4500" i="1" s="1"/>
  <c r="K4422" i="1"/>
  <c r="L4422" i="1" s="1"/>
  <c r="K4405" i="1"/>
  <c r="L4405" i="1" s="1"/>
  <c r="K4391" i="1"/>
  <c r="L4391" i="1" s="1"/>
  <c r="K4374" i="1"/>
  <c r="L4374" i="1" s="1"/>
  <c r="K2829" i="1"/>
  <c r="L2829" i="1" s="1"/>
  <c r="K2784" i="1"/>
  <c r="L2784" i="1" s="1"/>
  <c r="K2767" i="1"/>
  <c r="L2767" i="1" s="1"/>
  <c r="K2736" i="1"/>
  <c r="L2736" i="1" s="1"/>
  <c r="K2705" i="1"/>
  <c r="L2705" i="1" s="1"/>
  <c r="K2654" i="1"/>
  <c r="L2654" i="1" s="1"/>
  <c r="K2590" i="1"/>
  <c r="L2590" i="1" s="1"/>
  <c r="K2480" i="1"/>
  <c r="L2480" i="1" s="1"/>
  <c r="K2464" i="1"/>
  <c r="L2464" i="1" s="1"/>
  <c r="K2446" i="1"/>
  <c r="L2446" i="1" s="1"/>
  <c r="K2428" i="1"/>
  <c r="L2428" i="1" s="1"/>
  <c r="K2382" i="1"/>
  <c r="L2382" i="1" s="1"/>
  <c r="K2366" i="1"/>
  <c r="L2366" i="1" s="1"/>
  <c r="K2352" i="1"/>
  <c r="L2352" i="1" s="1"/>
  <c r="K2335" i="1"/>
  <c r="L2335" i="1" s="1"/>
  <c r="K2318" i="1"/>
  <c r="L2318" i="1" s="1"/>
  <c r="K2286" i="1"/>
  <c r="L2286" i="1" s="1"/>
  <c r="K2254" i="1"/>
  <c r="L2254" i="1" s="1"/>
  <c r="K2238" i="1"/>
  <c r="L2238" i="1" s="1"/>
  <c r="K2222" i="1"/>
  <c r="L2222" i="1" s="1"/>
  <c r="K2206" i="1"/>
  <c r="L2206" i="1" s="1"/>
  <c r="K2126" i="1"/>
  <c r="L2126" i="1" s="1"/>
  <c r="K2094" i="1"/>
  <c r="L2094" i="1" s="1"/>
  <c r="K2030" i="1"/>
  <c r="L2030" i="1" s="1"/>
  <c r="K2015" i="1"/>
  <c r="L2015" i="1" s="1"/>
  <c r="K1999" i="1"/>
  <c r="L1999" i="1" s="1"/>
  <c r="K1962" i="1"/>
  <c r="L1962" i="1" s="1"/>
  <c r="K1931" i="1"/>
  <c r="L1931" i="1" s="1"/>
  <c r="K1886" i="1"/>
  <c r="L1886" i="1" s="1"/>
  <c r="K1876" i="1"/>
  <c r="L1876" i="1" s="1"/>
  <c r="K1856" i="1"/>
  <c r="L1856" i="1" s="1"/>
  <c r="K1790" i="1"/>
  <c r="L1790" i="1" s="1"/>
  <c r="K1707" i="1"/>
  <c r="L1707" i="1" s="1"/>
  <c r="K1614" i="1"/>
  <c r="L1614" i="1" s="1"/>
  <c r="K1581" i="1"/>
  <c r="L1581" i="1" s="1"/>
  <c r="K1517" i="1"/>
  <c r="L1517" i="1" s="1"/>
  <c r="K1486" i="1"/>
  <c r="L1486" i="1" s="1"/>
  <c r="K1454" i="1"/>
  <c r="L1454" i="1" s="1"/>
  <c r="K1439" i="1"/>
  <c r="L1439" i="1" s="1"/>
  <c r="K3757" i="1"/>
  <c r="L3757" i="1" s="1"/>
  <c r="K3741" i="1"/>
  <c r="L3741" i="1" s="1"/>
  <c r="K3725" i="1"/>
  <c r="L3725" i="1" s="1"/>
  <c r="K3585" i="1"/>
  <c r="L3585" i="1" s="1"/>
  <c r="K3503" i="1"/>
  <c r="L3503" i="1" s="1"/>
  <c r="K3457" i="1"/>
  <c r="L3457" i="1" s="1"/>
  <c r="K3440" i="1"/>
  <c r="L3440" i="1" s="1"/>
  <c r="K3424" i="1"/>
  <c r="L3424" i="1" s="1"/>
  <c r="K3405" i="1"/>
  <c r="L3405" i="1" s="1"/>
  <c r="K3390" i="1"/>
  <c r="L3390" i="1" s="1"/>
  <c r="K3248" i="1"/>
  <c r="L3248" i="1" s="1"/>
  <c r="K3217" i="1"/>
  <c r="L3217" i="1" s="1"/>
  <c r="K3138" i="1"/>
  <c r="L3138" i="1" s="1"/>
  <c r="K3103" i="1"/>
  <c r="L3103" i="1" s="1"/>
  <c r="K3088" i="1"/>
  <c r="L3088" i="1" s="1"/>
  <c r="K3056" i="1"/>
  <c r="L3056" i="1" s="1"/>
  <c r="K2974" i="1"/>
  <c r="L2974" i="1" s="1"/>
  <c r="K2941" i="1"/>
  <c r="L2941" i="1" s="1"/>
  <c r="K2927" i="1"/>
  <c r="L2927" i="1" s="1"/>
  <c r="K2913" i="1"/>
  <c r="L2913" i="1" s="1"/>
  <c r="K2879" i="1"/>
  <c r="L2879" i="1" s="1"/>
  <c r="K2844" i="1"/>
  <c r="L2844" i="1" s="1"/>
  <c r="K2832" i="1"/>
  <c r="L2832" i="1" s="1"/>
  <c r="K2800" i="1"/>
  <c r="L2800" i="1" s="1"/>
  <c r="K2788" i="1"/>
  <c r="L2788" i="1" s="1"/>
  <c r="K2768" i="1"/>
  <c r="L2768" i="1" s="1"/>
  <c r="K2752" i="1"/>
  <c r="L2752" i="1" s="1"/>
  <c r="K2734" i="1"/>
  <c r="L2734" i="1" s="1"/>
  <c r="K2687" i="1"/>
  <c r="L2687" i="1" s="1"/>
  <c r="K2655" i="1"/>
  <c r="L2655" i="1" s="1"/>
  <c r="K2525" i="1"/>
  <c r="L2525" i="1" s="1"/>
  <c r="K4111" i="1"/>
  <c r="L4111" i="1" s="1"/>
  <c r="K4095" i="1"/>
  <c r="L4095" i="1" s="1"/>
  <c r="K4051" i="1"/>
  <c r="L4051" i="1" s="1"/>
  <c r="K4030" i="1"/>
  <c r="L4030" i="1" s="1"/>
  <c r="K4015" i="1"/>
  <c r="L4015" i="1" s="1"/>
  <c r="K3983" i="1"/>
  <c r="L3983" i="1" s="1"/>
  <c r="K3934" i="1"/>
  <c r="L3934" i="1" s="1"/>
  <c r="K3872" i="1"/>
  <c r="L3872" i="1" s="1"/>
  <c r="K3853" i="1"/>
  <c r="L3853" i="1" s="1"/>
  <c r="K3838" i="1"/>
  <c r="L3838" i="1" s="1"/>
  <c r="K3819" i="1"/>
  <c r="L3819" i="1" s="1"/>
  <c r="K3791" i="1"/>
  <c r="L3791" i="1" s="1"/>
  <c r="K3774" i="1"/>
  <c r="L3774" i="1" s="1"/>
  <c r="K3711" i="1"/>
  <c r="L3711" i="1" s="1"/>
  <c r="K3679" i="1"/>
  <c r="L3679" i="1" s="1"/>
  <c r="K3664" i="1"/>
  <c r="L3664" i="1" s="1"/>
  <c r="K3586" i="1"/>
  <c r="L3586" i="1" s="1"/>
  <c r="K3550" i="1"/>
  <c r="L3550" i="1" s="1"/>
  <c r="K3520" i="1"/>
  <c r="L3520" i="1" s="1"/>
  <c r="K3486" i="1"/>
  <c r="L3486" i="1" s="1"/>
  <c r="K3453" i="1"/>
  <c r="L3453" i="1" s="1"/>
  <c r="K3439" i="1"/>
  <c r="L3439" i="1" s="1"/>
  <c r="K3406" i="1"/>
  <c r="L3406" i="1" s="1"/>
  <c r="K3311" i="1"/>
  <c r="L3311" i="1" s="1"/>
  <c r="K3295" i="1"/>
  <c r="L3295" i="1" s="1"/>
  <c r="K3262" i="1"/>
  <c r="L3262" i="1" s="1"/>
  <c r="K3216" i="1"/>
  <c r="L3216" i="1" s="1"/>
  <c r="K3182" i="1"/>
  <c r="L3182" i="1" s="1"/>
  <c r="K3168" i="1"/>
  <c r="L3168" i="1" s="1"/>
  <c r="K3151" i="1"/>
  <c r="L3151" i="1" s="1"/>
  <c r="K3133" i="1"/>
  <c r="L3133" i="1" s="1"/>
  <c r="K3104" i="1"/>
  <c r="L3104" i="1" s="1"/>
  <c r="K3085" i="1"/>
  <c r="L3085" i="1" s="1"/>
  <c r="K3074" i="1"/>
  <c r="L3074" i="1" s="1"/>
  <c r="K2944" i="1"/>
  <c r="L2944" i="1" s="1"/>
  <c r="K2923" i="1"/>
  <c r="L2923" i="1" s="1"/>
  <c r="K2910" i="1"/>
  <c r="L2910" i="1" s="1"/>
  <c r="K2893" i="1"/>
  <c r="L2893" i="1" s="1"/>
  <c r="K2865" i="1"/>
  <c r="L2865" i="1" s="1"/>
  <c r="K2846" i="1"/>
  <c r="L2846" i="1" s="1"/>
  <c r="K2814" i="1"/>
  <c r="L2814" i="1" s="1"/>
  <c r="K3456" i="1"/>
  <c r="L3456" i="1" s="1"/>
  <c r="K3436" i="1"/>
  <c r="L3436" i="1" s="1"/>
  <c r="K3422" i="1"/>
  <c r="L3422" i="1" s="1"/>
  <c r="K3391" i="1"/>
  <c r="L3391" i="1" s="1"/>
  <c r="K3359" i="1"/>
  <c r="L3359" i="1" s="1"/>
  <c r="K3326" i="1"/>
  <c r="L3326" i="1" s="1"/>
  <c r="K3292" i="1"/>
  <c r="L3292" i="1" s="1"/>
  <c r="K3279" i="1"/>
  <c r="L3279" i="1" s="1"/>
  <c r="K3230" i="1"/>
  <c r="L3230" i="1" s="1"/>
  <c r="K3214" i="1"/>
  <c r="L3214" i="1" s="1"/>
  <c r="K3183" i="1"/>
  <c r="L3183" i="1" s="1"/>
  <c r="K3166" i="1"/>
  <c r="L3166" i="1" s="1"/>
  <c r="K3117" i="1"/>
  <c r="L3117" i="1" s="1"/>
  <c r="K3101" i="1"/>
  <c r="L3101" i="1" s="1"/>
  <c r="K3071" i="1"/>
  <c r="L3071" i="1" s="1"/>
  <c r="K3036" i="1"/>
  <c r="L3036" i="1" s="1"/>
  <c r="K3019" i="1"/>
  <c r="L3019" i="1" s="1"/>
  <c r="K3005" i="1"/>
  <c r="L3005" i="1" s="1"/>
  <c r="K2994" i="1"/>
  <c r="L2994" i="1" s="1"/>
  <c r="K2958" i="1"/>
  <c r="L2958" i="1" s="1"/>
  <c r="K2942" i="1"/>
  <c r="L2942" i="1" s="1"/>
  <c r="K2875" i="1"/>
  <c r="L2875" i="1" s="1"/>
  <c r="K2861" i="1"/>
  <c r="L2861" i="1" s="1"/>
  <c r="K2847" i="1"/>
  <c r="L2847" i="1" s="1"/>
  <c r="K2798" i="1"/>
  <c r="L2798" i="1" s="1"/>
  <c r="K2780" i="1"/>
  <c r="L2780" i="1" s="1"/>
  <c r="K2765" i="1"/>
  <c r="L2765" i="1" s="1"/>
  <c r="K2748" i="1"/>
  <c r="L2748" i="1" s="1"/>
  <c r="K2717" i="1"/>
  <c r="L2717" i="1" s="1"/>
  <c r="K2636" i="1"/>
  <c r="L2636" i="1" s="1"/>
  <c r="K2618" i="1"/>
  <c r="L2618" i="1" s="1"/>
  <c r="K2585" i="1"/>
  <c r="L2585" i="1" s="1"/>
  <c r="K2573" i="1"/>
  <c r="L2573" i="1" s="1"/>
  <c r="K3758" i="1"/>
  <c r="L3758" i="1" s="1"/>
  <c r="K3710" i="1"/>
  <c r="L3710" i="1" s="1"/>
  <c r="K3615" i="1"/>
  <c r="L3615" i="1" s="1"/>
  <c r="K3594" i="1"/>
  <c r="L3594" i="1" s="1"/>
  <c r="K3548" i="1"/>
  <c r="L3548" i="1" s="1"/>
  <c r="K3533" i="1"/>
  <c r="L3533" i="1" s="1"/>
  <c r="K3517" i="1"/>
  <c r="L3517" i="1" s="1"/>
  <c r="K3500" i="1"/>
  <c r="L3500" i="1" s="1"/>
  <c r="K3470" i="1"/>
  <c r="L3470" i="1" s="1"/>
  <c r="K3421" i="1"/>
  <c r="L3421" i="1" s="1"/>
  <c r="K3372" i="1"/>
  <c r="L3372" i="1" s="1"/>
  <c r="K3357" i="1"/>
  <c r="L3357" i="1" s="1"/>
  <c r="K3294" i="1"/>
  <c r="L3294" i="1" s="1"/>
  <c r="K3244" i="1"/>
  <c r="L3244" i="1" s="1"/>
  <c r="K3228" i="1"/>
  <c r="L3228" i="1" s="1"/>
  <c r="K3213" i="1"/>
  <c r="L3213" i="1" s="1"/>
  <c r="K3200" i="1"/>
  <c r="L3200" i="1" s="1"/>
  <c r="K3115" i="1"/>
  <c r="L3115" i="1" s="1"/>
  <c r="K3053" i="1"/>
  <c r="L3053" i="1" s="1"/>
  <c r="K3037" i="1"/>
  <c r="L3037" i="1" s="1"/>
  <c r="K2971" i="1"/>
  <c r="L2971" i="1" s="1"/>
  <c r="K2940" i="1"/>
  <c r="L2940" i="1" s="1"/>
  <c r="K2877" i="1"/>
  <c r="L2877" i="1" s="1"/>
  <c r="K2845" i="1"/>
  <c r="L2845" i="1" s="1"/>
  <c r="K2781" i="1"/>
  <c r="L2781" i="1" s="1"/>
  <c r="K2766" i="1"/>
  <c r="L2766" i="1" s="1"/>
  <c r="K2749" i="1"/>
  <c r="L2749" i="1" s="1"/>
  <c r="K2732" i="1"/>
  <c r="L2732" i="1" s="1"/>
  <c r="K2720" i="1"/>
  <c r="L2720" i="1" s="1"/>
  <c r="K2706" i="1"/>
  <c r="L2706" i="1" s="1"/>
  <c r="K4074" i="1"/>
  <c r="L4074" i="1" s="1"/>
  <c r="K4044" i="1"/>
  <c r="L4044" i="1" s="1"/>
  <c r="K4028" i="1"/>
  <c r="L4028" i="1" s="1"/>
  <c r="K4014" i="1"/>
  <c r="L4014" i="1" s="1"/>
  <c r="K3966" i="1"/>
  <c r="L3966" i="1" s="1"/>
  <c r="K3931" i="1"/>
  <c r="L3931" i="1" s="1"/>
  <c r="K3884" i="1"/>
  <c r="L3884" i="1" s="1"/>
  <c r="K3869" i="1"/>
  <c r="L3869" i="1" s="1"/>
  <c r="K3852" i="1"/>
  <c r="L3852" i="1" s="1"/>
  <c r="K3802" i="1"/>
  <c r="L3802" i="1" s="1"/>
  <c r="K3788" i="1"/>
  <c r="L3788" i="1" s="1"/>
  <c r="K3772" i="1"/>
  <c r="L3772" i="1" s="1"/>
  <c r="K3744" i="1"/>
  <c r="L3744" i="1" s="1"/>
  <c r="K3726" i="1"/>
  <c r="L3726" i="1" s="1"/>
  <c r="K3691" i="1"/>
  <c r="L3691" i="1" s="1"/>
  <c r="K3658" i="1"/>
  <c r="L3658" i="1" s="1"/>
  <c r="K3532" i="1"/>
  <c r="L3532" i="1" s="1"/>
  <c r="K3483" i="1"/>
  <c r="L3483" i="1" s="1"/>
  <c r="K3452" i="1"/>
  <c r="L3452" i="1" s="1"/>
  <c r="K3437" i="1"/>
  <c r="L3437" i="1" s="1"/>
  <c r="K3420" i="1"/>
  <c r="L3420" i="1" s="1"/>
  <c r="K3388" i="1"/>
  <c r="L3388" i="1" s="1"/>
  <c r="K3354" i="1"/>
  <c r="L3354" i="1" s="1"/>
  <c r="K3277" i="1"/>
  <c r="L3277" i="1" s="1"/>
  <c r="K3260" i="1"/>
  <c r="L3260" i="1" s="1"/>
  <c r="K3243" i="1"/>
  <c r="L3243" i="1" s="1"/>
  <c r="K3212" i="1"/>
  <c r="L3212" i="1" s="1"/>
  <c r="K3195" i="1"/>
  <c r="L3195" i="1" s="1"/>
  <c r="K3164" i="1"/>
  <c r="L3164" i="1" s="1"/>
  <c r="K3149" i="1"/>
  <c r="L3149" i="1" s="1"/>
  <c r="K3116" i="1"/>
  <c r="L3116" i="1" s="1"/>
  <c r="K3083" i="1"/>
  <c r="L3083" i="1" s="1"/>
  <c r="K3047" i="1"/>
  <c r="L3047" i="1" s="1"/>
  <c r="K3004" i="1"/>
  <c r="L3004" i="1" s="1"/>
  <c r="K2988" i="1"/>
  <c r="L2988" i="1" s="1"/>
  <c r="K2909" i="1"/>
  <c r="L2909" i="1" s="1"/>
  <c r="K2889" i="1"/>
  <c r="L2889" i="1" s="1"/>
  <c r="K2874" i="1"/>
  <c r="L2874" i="1" s="1"/>
  <c r="K2841" i="1"/>
  <c r="L2841" i="1" s="1"/>
  <c r="K3148" i="1"/>
  <c r="L3148" i="1" s="1"/>
  <c r="K3131" i="1"/>
  <c r="L3131" i="1" s="1"/>
  <c r="K3067" i="1"/>
  <c r="L3067" i="1" s="1"/>
  <c r="K2967" i="1"/>
  <c r="L2967" i="1" s="1"/>
  <c r="K2953" i="1"/>
  <c r="L2953" i="1" s="1"/>
  <c r="K2918" i="1"/>
  <c r="L2918" i="1" s="1"/>
  <c r="K2878" i="1"/>
  <c r="L2878" i="1" s="1"/>
  <c r="K2762" i="1"/>
  <c r="L2762" i="1" s="1"/>
  <c r="K2741" i="1"/>
  <c r="L2741" i="1" s="1"/>
  <c r="K2664" i="1"/>
  <c r="L2664" i="1" s="1"/>
  <c r="K2632" i="1"/>
  <c r="L2632" i="1" s="1"/>
  <c r="K2600" i="1"/>
  <c r="L2600" i="1" s="1"/>
  <c r="K2584" i="1"/>
  <c r="L2584" i="1" s="1"/>
  <c r="K2517" i="1"/>
  <c r="L2517" i="1" s="1"/>
  <c r="K2506" i="1"/>
  <c r="L2506" i="1" s="1"/>
  <c r="K2425" i="1"/>
  <c r="L2425" i="1" s="1"/>
  <c r="K2346" i="1"/>
  <c r="L2346" i="1" s="1"/>
  <c r="K2329" i="1"/>
  <c r="L2329" i="1" s="1"/>
  <c r="K2232" i="1"/>
  <c r="L2232" i="1" s="1"/>
  <c r="K2217" i="1"/>
  <c r="L2217" i="1" s="1"/>
  <c r="K2200" i="1"/>
  <c r="L2200" i="1" s="1"/>
  <c r="K2154" i="1"/>
  <c r="L2154" i="1" s="1"/>
  <c r="K2089" i="1"/>
  <c r="L2089" i="1" s="1"/>
  <c r="K2071" i="1"/>
  <c r="L2071" i="1" s="1"/>
  <c r="K2040" i="1"/>
  <c r="L2040" i="1" s="1"/>
  <c r="K2022" i="1"/>
  <c r="L2022" i="1" s="1"/>
  <c r="K2008" i="1"/>
  <c r="L2008" i="1" s="1"/>
  <c r="K1992" i="1"/>
  <c r="L1992" i="1" s="1"/>
  <c r="K1977" i="1"/>
  <c r="L1977" i="1" s="1"/>
  <c r="K1961" i="1"/>
  <c r="L1961" i="1" s="1"/>
  <c r="K1848" i="1"/>
  <c r="L1848" i="1" s="1"/>
  <c r="K1798" i="1"/>
  <c r="L1798" i="1" s="1"/>
  <c r="K1719" i="1"/>
  <c r="L1719" i="1" s="1"/>
  <c r="K1702" i="1"/>
  <c r="L1702" i="1" s="1"/>
  <c r="K1689" i="1"/>
  <c r="L1689" i="1" s="1"/>
  <c r="K3430" i="1"/>
  <c r="L3430" i="1" s="1"/>
  <c r="K3401" i="1"/>
  <c r="L3401" i="1" s="1"/>
  <c r="K3386" i="1"/>
  <c r="L3386" i="1" s="1"/>
  <c r="K3368" i="1"/>
  <c r="L3368" i="1" s="1"/>
  <c r="K3355" i="1"/>
  <c r="L3355" i="1" s="1"/>
  <c r="K3323" i="1"/>
  <c r="L3323" i="1" s="1"/>
  <c r="K3306" i="1"/>
  <c r="L3306" i="1" s="1"/>
  <c r="K3274" i="1"/>
  <c r="L3274" i="1" s="1"/>
  <c r="K3242" i="1"/>
  <c r="L3242" i="1" s="1"/>
  <c r="K3229" i="1"/>
  <c r="L3229" i="1" s="1"/>
  <c r="K3177" i="1"/>
  <c r="L3177" i="1" s="1"/>
  <c r="K3130" i="1"/>
  <c r="L3130" i="1" s="1"/>
  <c r="K3062" i="1"/>
  <c r="L3062" i="1" s="1"/>
  <c r="K3045" i="1"/>
  <c r="L3045" i="1" s="1"/>
  <c r="K3032" i="1"/>
  <c r="L3032" i="1" s="1"/>
  <c r="K3017" i="1"/>
  <c r="L3017" i="1" s="1"/>
  <c r="K2937" i="1"/>
  <c r="L2937" i="1" s="1"/>
  <c r="K2921" i="1"/>
  <c r="L2921" i="1" s="1"/>
  <c r="K2890" i="1"/>
  <c r="L2890" i="1" s="1"/>
  <c r="K2876" i="1"/>
  <c r="L2876" i="1" s="1"/>
  <c r="K2809" i="1"/>
  <c r="L2809" i="1" s="1"/>
  <c r="K2794" i="1"/>
  <c r="L2794" i="1" s="1"/>
  <c r="K2761" i="1"/>
  <c r="L2761" i="1" s="1"/>
  <c r="K2746" i="1"/>
  <c r="L2746" i="1" s="1"/>
  <c r="K2697" i="1"/>
  <c r="L2697" i="1" s="1"/>
  <c r="K2681" i="1"/>
  <c r="L2681" i="1" s="1"/>
  <c r="K2647" i="1"/>
  <c r="L2647" i="1" s="1"/>
  <c r="K2634" i="1"/>
  <c r="L2634" i="1" s="1"/>
  <c r="K2583" i="1"/>
  <c r="L2583" i="1" s="1"/>
  <c r="K2535" i="1"/>
  <c r="L2535" i="1" s="1"/>
  <c r="K2519" i="1"/>
  <c r="L2519" i="1" s="1"/>
  <c r="K2503" i="1"/>
  <c r="L2503" i="1" s="1"/>
  <c r="K2470" i="1"/>
  <c r="L2470" i="1" s="1"/>
  <c r="K2421" i="1"/>
  <c r="L2421" i="1" s="1"/>
  <c r="K2376" i="1"/>
  <c r="L2376" i="1" s="1"/>
  <c r="K2359" i="1"/>
  <c r="L2359" i="1" s="1"/>
  <c r="K2313" i="1"/>
  <c r="L2313" i="1" s="1"/>
  <c r="K2265" i="1"/>
  <c r="L2265" i="1" s="1"/>
  <c r="K2213" i="1"/>
  <c r="L2213" i="1" s="1"/>
  <c r="K4057" i="1"/>
  <c r="L4057" i="1" s="1"/>
  <c r="K4041" i="1"/>
  <c r="L4041" i="1" s="1"/>
  <c r="K3993" i="1"/>
  <c r="L3993" i="1" s="1"/>
  <c r="K3961" i="1"/>
  <c r="L3961" i="1" s="1"/>
  <c r="K3801" i="1"/>
  <c r="L3801" i="1" s="1"/>
  <c r="K3591" i="1"/>
  <c r="L3591" i="1" s="1"/>
  <c r="K3580" i="1"/>
  <c r="L3580" i="1" s="1"/>
  <c r="K3531" i="1"/>
  <c r="L3531" i="1" s="1"/>
  <c r="K3482" i="1"/>
  <c r="L3482" i="1" s="1"/>
  <c r="K3449" i="1"/>
  <c r="L3449" i="1" s="1"/>
  <c r="K3402" i="1"/>
  <c r="L3402" i="1" s="1"/>
  <c r="K3367" i="1"/>
  <c r="L3367" i="1" s="1"/>
  <c r="K3350" i="1"/>
  <c r="L3350" i="1" s="1"/>
  <c r="K3305" i="1"/>
  <c r="L3305" i="1" s="1"/>
  <c r="K3289" i="1"/>
  <c r="L3289" i="1" s="1"/>
  <c r="K3254" i="1"/>
  <c r="L3254" i="1" s="1"/>
  <c r="K3124" i="1"/>
  <c r="L3124" i="1" s="1"/>
  <c r="K3113" i="1"/>
  <c r="L3113" i="1" s="1"/>
  <c r="K3096" i="1"/>
  <c r="L3096" i="1" s="1"/>
  <c r="K3051" i="1"/>
  <c r="L3051" i="1" s="1"/>
  <c r="K3033" i="1"/>
  <c r="L3033" i="1" s="1"/>
  <c r="K3001" i="1"/>
  <c r="L3001" i="1" s="1"/>
  <c r="K2986" i="1"/>
  <c r="L2986" i="1" s="1"/>
  <c r="K2922" i="1"/>
  <c r="L2922" i="1" s="1"/>
  <c r="K2869" i="1"/>
  <c r="L2869" i="1" s="1"/>
  <c r="K2856" i="1"/>
  <c r="L2856" i="1" s="1"/>
  <c r="K2839" i="1"/>
  <c r="L2839" i="1" s="1"/>
  <c r="K2819" i="1"/>
  <c r="L2819" i="1" s="1"/>
  <c r="K2791" i="1"/>
  <c r="L2791" i="1" s="1"/>
  <c r="K2777" i="1"/>
  <c r="L2777" i="1" s="1"/>
  <c r="K2759" i="1"/>
  <c r="L2759" i="1" s="1"/>
  <c r="K2728" i="1"/>
  <c r="L2728" i="1" s="1"/>
  <c r="K2711" i="1"/>
  <c r="L2711" i="1" s="1"/>
  <c r="K2696" i="1"/>
  <c r="L2696" i="1" s="1"/>
  <c r="K3370" i="1"/>
  <c r="L3370" i="1" s="1"/>
  <c r="K3349" i="1"/>
  <c r="L3349" i="1" s="1"/>
  <c r="K3337" i="1"/>
  <c r="L3337" i="1" s="1"/>
  <c r="K3321" i="1"/>
  <c r="L3321" i="1" s="1"/>
  <c r="K3304" i="1"/>
  <c r="L3304" i="1" s="1"/>
  <c r="K3226" i="1"/>
  <c r="L3226" i="1" s="1"/>
  <c r="K3208" i="1"/>
  <c r="L3208" i="1" s="1"/>
  <c r="K3192" i="1"/>
  <c r="L3192" i="1" s="1"/>
  <c r="K3143" i="1"/>
  <c r="L3143" i="1" s="1"/>
  <c r="K3128" i="1"/>
  <c r="L3128" i="1" s="1"/>
  <c r="K3109" i="1"/>
  <c r="L3109" i="1" s="1"/>
  <c r="K3093" i="1"/>
  <c r="L3093" i="1" s="1"/>
  <c r="K2999" i="1"/>
  <c r="L2999" i="1" s="1"/>
  <c r="K2983" i="1"/>
  <c r="L2983" i="1" s="1"/>
  <c r="K2903" i="1"/>
  <c r="L2903" i="1" s="1"/>
  <c r="K2822" i="1"/>
  <c r="L2822" i="1" s="1"/>
  <c r="K2808" i="1"/>
  <c r="L2808" i="1" s="1"/>
  <c r="K2792" i="1"/>
  <c r="L2792" i="1" s="1"/>
  <c r="K2744" i="1"/>
  <c r="L2744" i="1" s="1"/>
  <c r="K2710" i="1"/>
  <c r="L2710" i="1" s="1"/>
  <c r="K2667" i="1"/>
  <c r="L2667" i="1" s="1"/>
  <c r="K2646" i="1"/>
  <c r="L2646" i="1" s="1"/>
  <c r="K2629" i="1"/>
  <c r="L2629" i="1" s="1"/>
  <c r="K2611" i="1"/>
  <c r="L2611" i="1" s="1"/>
  <c r="K2548" i="1"/>
  <c r="L2548" i="1" s="1"/>
  <c r="K2532" i="1"/>
  <c r="L2532" i="1" s="1"/>
  <c r="K2501" i="1"/>
  <c r="L2501" i="1" s="1"/>
  <c r="K2484" i="1"/>
  <c r="L2484" i="1" s="1"/>
  <c r="K2468" i="1"/>
  <c r="L2468" i="1" s="1"/>
  <c r="K2454" i="1"/>
  <c r="L2454" i="1" s="1"/>
  <c r="K2433" i="1"/>
  <c r="L2433" i="1" s="1"/>
  <c r="K2357" i="1"/>
  <c r="L2357" i="1" s="1"/>
  <c r="K2325" i="1"/>
  <c r="L2325" i="1" s="1"/>
  <c r="K2260" i="1"/>
  <c r="L2260" i="1" s="1"/>
  <c r="K2245" i="1"/>
  <c r="L2245" i="1" s="1"/>
  <c r="K2215" i="1"/>
  <c r="L2215" i="1" s="1"/>
  <c r="K2180" i="1"/>
  <c r="L2180" i="1" s="1"/>
  <c r="K2150" i="1"/>
  <c r="L2150" i="1" s="1"/>
  <c r="K2132" i="1"/>
  <c r="L2132" i="1" s="1"/>
  <c r="K2101" i="1"/>
  <c r="L2101" i="1" s="1"/>
  <c r="K3687" i="1"/>
  <c r="L3687" i="1" s="1"/>
  <c r="K3652" i="1"/>
  <c r="L3652" i="1" s="1"/>
  <c r="K3557" i="1"/>
  <c r="L3557" i="1" s="1"/>
  <c r="K3510" i="1"/>
  <c r="L3510" i="1" s="1"/>
  <c r="K3481" i="1"/>
  <c r="L3481" i="1" s="1"/>
  <c r="K3348" i="1"/>
  <c r="L3348" i="1" s="1"/>
  <c r="K3334" i="1"/>
  <c r="L3334" i="1" s="1"/>
  <c r="K3320" i="1"/>
  <c r="L3320" i="1" s="1"/>
  <c r="K3301" i="1"/>
  <c r="L3301" i="1" s="1"/>
  <c r="K3203" i="1"/>
  <c r="L3203" i="1" s="1"/>
  <c r="K3175" i="1"/>
  <c r="L3175" i="1" s="1"/>
  <c r="K3161" i="1"/>
  <c r="L3161" i="1" s="1"/>
  <c r="K2868" i="1"/>
  <c r="L2868" i="1" s="1"/>
  <c r="K2837" i="1"/>
  <c r="L2837" i="1" s="1"/>
  <c r="K2820" i="1"/>
  <c r="L2820" i="1" s="1"/>
  <c r="K2807" i="1"/>
  <c r="L2807" i="1" s="1"/>
  <c r="K2774" i="1"/>
  <c r="L2774" i="1" s="1"/>
  <c r="K2742" i="1"/>
  <c r="L2742" i="1" s="1"/>
  <c r="K2725" i="1"/>
  <c r="L2725" i="1" s="1"/>
  <c r="K2679" i="1"/>
  <c r="L2679" i="1" s="1"/>
  <c r="K2645" i="1"/>
  <c r="L2645" i="1" s="1"/>
  <c r="K2566" i="1"/>
  <c r="L2566" i="1" s="1"/>
  <c r="K2552" i="1"/>
  <c r="L2552" i="1" s="1"/>
  <c r="K2499" i="1"/>
  <c r="L2499" i="1" s="1"/>
  <c r="K2485" i="1"/>
  <c r="L2485" i="1" s="1"/>
  <c r="K2469" i="1"/>
  <c r="L2469" i="1" s="1"/>
  <c r="K2452" i="1"/>
  <c r="L2452" i="1" s="1"/>
  <c r="K2422" i="1"/>
  <c r="L2422" i="1" s="1"/>
  <c r="K2392" i="1"/>
  <c r="L2392" i="1" s="1"/>
  <c r="K2341" i="1"/>
  <c r="L2341" i="1" s="1"/>
  <c r="K2308" i="1"/>
  <c r="L2308" i="1" s="1"/>
  <c r="K2275" i="1"/>
  <c r="L2275" i="1" s="1"/>
  <c r="K2228" i="1"/>
  <c r="L2228" i="1" s="1"/>
  <c r="K2195" i="1"/>
  <c r="L2195" i="1" s="1"/>
  <c r="K2163" i="1"/>
  <c r="L2163" i="1" s="1"/>
  <c r="K2133" i="1"/>
  <c r="L2133" i="1" s="1"/>
  <c r="K2084" i="1"/>
  <c r="L2084" i="1" s="1"/>
  <c r="K2068" i="1"/>
  <c r="L2068" i="1" s="1"/>
  <c r="K2004" i="1"/>
  <c r="L2004" i="1" s="1"/>
  <c r="K4359" i="1"/>
  <c r="L4359" i="1" s="1"/>
  <c r="K4343" i="1"/>
  <c r="L4343" i="1" s="1"/>
  <c r="K4326" i="1"/>
  <c r="L4326" i="1" s="1"/>
  <c r="K4304" i="1"/>
  <c r="L4304" i="1" s="1"/>
  <c r="K4279" i="1"/>
  <c r="L4279" i="1" s="1"/>
  <c r="K4261" i="1"/>
  <c r="L4261" i="1" s="1"/>
  <c r="K4248" i="1"/>
  <c r="L4248" i="1" s="1"/>
  <c r="K4233" i="1"/>
  <c r="L4233" i="1" s="1"/>
  <c r="K4168" i="1"/>
  <c r="L4168" i="1" s="1"/>
  <c r="K4132" i="1"/>
  <c r="L4132" i="1" s="1"/>
  <c r="K4117" i="1"/>
  <c r="L4117" i="1" s="1"/>
  <c r="K4098" i="1"/>
  <c r="L4098" i="1" s="1"/>
  <c r="K4086" i="1"/>
  <c r="L4086" i="1" s="1"/>
  <c r="K3990" i="1"/>
  <c r="L3990" i="1" s="1"/>
  <c r="K3974" i="1"/>
  <c r="L3974" i="1" s="1"/>
  <c r="K3926" i="1"/>
  <c r="L3926" i="1" s="1"/>
  <c r="K3891" i="1"/>
  <c r="L3891" i="1" s="1"/>
  <c r="K3878" i="1"/>
  <c r="L3878" i="1" s="1"/>
  <c r="K3861" i="1"/>
  <c r="L3861" i="1" s="1"/>
  <c r="K3845" i="1"/>
  <c r="L3845" i="1" s="1"/>
  <c r="K3797" i="1"/>
  <c r="L3797" i="1" s="1"/>
  <c r="K3781" i="1"/>
  <c r="L3781" i="1" s="1"/>
  <c r="K3766" i="1"/>
  <c r="L3766" i="1" s="1"/>
  <c r="K3734" i="1"/>
  <c r="L3734" i="1" s="1"/>
  <c r="K3690" i="1"/>
  <c r="L3690" i="1" s="1"/>
  <c r="K3670" i="1"/>
  <c r="L3670" i="1" s="1"/>
  <c r="K3622" i="1"/>
  <c r="L3622" i="1" s="1"/>
  <c r="K3606" i="1"/>
  <c r="L3606" i="1" s="1"/>
  <c r="K3588" i="1"/>
  <c r="L3588" i="1" s="1"/>
  <c r="K3574" i="1"/>
  <c r="L3574" i="1" s="1"/>
  <c r="K3561" i="1"/>
  <c r="L3561" i="1" s="1"/>
  <c r="K3541" i="1"/>
  <c r="L3541" i="1" s="1"/>
  <c r="K3525" i="1"/>
  <c r="L3525" i="1" s="1"/>
  <c r="K3492" i="1"/>
  <c r="L3492" i="1" s="1"/>
  <c r="K3478" i="1"/>
  <c r="L3478" i="1" s="1"/>
  <c r="K3396" i="1"/>
  <c r="L3396" i="1" s="1"/>
  <c r="K3381" i="1"/>
  <c r="L3381" i="1" s="1"/>
  <c r="K3335" i="1"/>
  <c r="L3335" i="1" s="1"/>
  <c r="K3319" i="1"/>
  <c r="L3319" i="1" s="1"/>
  <c r="K3302" i="1"/>
  <c r="L3302" i="1" s="1"/>
  <c r="K3237" i="1"/>
  <c r="L3237" i="1" s="1"/>
  <c r="K3173" i="1"/>
  <c r="L3173" i="1" s="1"/>
  <c r="K3142" i="1"/>
  <c r="L3142" i="1" s="1"/>
  <c r="K3110" i="1"/>
  <c r="L3110" i="1" s="1"/>
  <c r="K3095" i="1"/>
  <c r="L3095" i="1" s="1"/>
  <c r="K2998" i="1"/>
  <c r="L2998" i="1" s="1"/>
  <c r="K2965" i="1"/>
  <c r="L2965" i="1" s="1"/>
  <c r="K2854" i="1"/>
  <c r="L2854" i="1" s="1"/>
  <c r="K2838" i="1"/>
  <c r="L2838" i="1" s="1"/>
  <c r="K2823" i="1"/>
  <c r="L2823" i="1" s="1"/>
  <c r="K2805" i="1"/>
  <c r="L2805" i="1" s="1"/>
  <c r="K2787" i="1"/>
  <c r="L2787" i="1" s="1"/>
  <c r="K2772" i="1"/>
  <c r="L2772" i="1" s="1"/>
  <c r="K4885" i="1"/>
  <c r="L4885" i="1" s="1"/>
  <c r="K4863" i="1"/>
  <c r="L4863" i="1" s="1"/>
  <c r="K4851" i="1"/>
  <c r="L4851" i="1" s="1"/>
  <c r="K4840" i="1"/>
  <c r="L4840" i="1" s="1"/>
  <c r="K4823" i="1"/>
  <c r="L4823" i="1" s="1"/>
  <c r="K4770" i="1"/>
  <c r="L4770" i="1" s="1"/>
  <c r="K4724" i="1"/>
  <c r="L4724" i="1" s="1"/>
  <c r="K4709" i="1"/>
  <c r="L4709" i="1" s="1"/>
  <c r="K4678" i="1"/>
  <c r="L4678" i="1" s="1"/>
  <c r="K4645" i="1"/>
  <c r="L4645" i="1" s="1"/>
  <c r="K4630" i="1"/>
  <c r="L4630" i="1" s="1"/>
  <c r="K4596" i="1"/>
  <c r="L4596" i="1" s="1"/>
  <c r="K4515" i="1"/>
  <c r="L4515" i="1" s="1"/>
  <c r="K4373" i="1"/>
  <c r="L4373" i="1" s="1"/>
  <c r="K4357" i="1"/>
  <c r="L4357" i="1" s="1"/>
  <c r="K4341" i="1"/>
  <c r="L4341" i="1" s="1"/>
  <c r="K4327" i="1"/>
  <c r="L4327" i="1" s="1"/>
  <c r="K4309" i="1"/>
  <c r="L4309" i="1" s="1"/>
  <c r="K4263" i="1"/>
  <c r="L4263" i="1" s="1"/>
  <c r="K4198" i="1"/>
  <c r="L4198" i="1" s="1"/>
  <c r="K4151" i="1"/>
  <c r="L4151" i="1" s="1"/>
  <c r="K4118" i="1"/>
  <c r="L4118" i="1" s="1"/>
  <c r="K4099" i="1"/>
  <c r="L4099" i="1" s="1"/>
  <c r="K4007" i="1"/>
  <c r="L4007" i="1" s="1"/>
  <c r="K3987" i="1"/>
  <c r="L3987" i="1" s="1"/>
  <c r="K3972" i="1"/>
  <c r="L3972" i="1" s="1"/>
  <c r="K3894" i="1"/>
  <c r="L3894" i="1" s="1"/>
  <c r="K3860" i="1"/>
  <c r="L3860" i="1" s="1"/>
  <c r="K3847" i="1"/>
  <c r="L3847" i="1" s="1"/>
  <c r="K3786" i="1"/>
  <c r="L3786" i="1" s="1"/>
  <c r="K3762" i="1"/>
  <c r="L3762" i="1" s="1"/>
  <c r="K3752" i="1"/>
  <c r="L3752" i="1" s="1"/>
  <c r="K3704" i="1"/>
  <c r="L3704" i="1" s="1"/>
  <c r="K3641" i="1"/>
  <c r="L3641" i="1" s="1"/>
  <c r="K3621" i="1"/>
  <c r="L3621" i="1" s="1"/>
  <c r="K3604" i="1"/>
  <c r="L3604" i="1" s="1"/>
  <c r="K3573" i="1"/>
  <c r="L3573" i="1" s="1"/>
  <c r="K3527" i="1"/>
  <c r="L3527" i="1" s="1"/>
  <c r="K3494" i="1"/>
  <c r="L3494" i="1" s="1"/>
  <c r="K3477" i="1"/>
  <c r="L3477" i="1" s="1"/>
  <c r="K3427" i="1"/>
  <c r="L3427" i="1" s="1"/>
  <c r="K3397" i="1"/>
  <c r="L3397" i="1" s="1"/>
  <c r="K3364" i="1"/>
  <c r="L3364" i="1" s="1"/>
  <c r="K3333" i="1"/>
  <c r="L3333" i="1" s="1"/>
  <c r="K3315" i="1"/>
  <c r="L3315" i="1" s="1"/>
  <c r="K3286" i="1"/>
  <c r="L3286" i="1" s="1"/>
  <c r="K3251" i="1"/>
  <c r="L3251" i="1" s="1"/>
  <c r="K4311" i="1"/>
  <c r="L4311" i="1" s="1"/>
  <c r="K4293" i="1"/>
  <c r="L4293" i="1" s="1"/>
  <c r="K4241" i="1"/>
  <c r="L4241" i="1" s="1"/>
  <c r="K4228" i="1"/>
  <c r="L4228" i="1" s="1"/>
  <c r="K4182" i="1"/>
  <c r="L4182" i="1" s="1"/>
  <c r="K4100" i="1"/>
  <c r="L4100" i="1" s="1"/>
  <c r="K4084" i="1"/>
  <c r="L4084" i="1" s="1"/>
  <c r="K4069" i="1"/>
  <c r="L4069" i="1" s="1"/>
  <c r="K4036" i="1"/>
  <c r="L4036" i="1" s="1"/>
  <c r="K4022" i="1"/>
  <c r="L4022" i="1" s="1"/>
  <c r="K3989" i="1"/>
  <c r="L3989" i="1" s="1"/>
  <c r="K3955" i="1"/>
  <c r="L3955" i="1" s="1"/>
  <c r="K3925" i="1"/>
  <c r="L3925" i="1" s="1"/>
  <c r="K3910" i="1"/>
  <c r="L3910" i="1" s="1"/>
  <c r="K3841" i="1"/>
  <c r="L3841" i="1" s="1"/>
  <c r="K3783" i="1"/>
  <c r="L3783" i="1" s="1"/>
  <c r="K3700" i="1"/>
  <c r="L3700" i="1" s="1"/>
  <c r="K3667" i="1"/>
  <c r="L3667" i="1" s="1"/>
  <c r="K3620" i="1"/>
  <c r="L3620" i="1" s="1"/>
  <c r="K3589" i="1"/>
  <c r="L3589" i="1" s="1"/>
  <c r="K3552" i="1"/>
  <c r="L3552" i="1" s="1"/>
  <c r="K3537" i="1"/>
  <c r="L3537" i="1" s="1"/>
  <c r="K3495" i="1"/>
  <c r="L3495" i="1" s="1"/>
  <c r="K3445" i="1"/>
  <c r="L3445" i="1" s="1"/>
  <c r="K3428" i="1"/>
  <c r="L3428" i="1" s="1"/>
  <c r="K3412" i="1"/>
  <c r="L3412" i="1" s="1"/>
  <c r="K3399" i="1"/>
  <c r="L3399" i="1" s="1"/>
  <c r="K3377" i="1"/>
  <c r="L3377" i="1" s="1"/>
  <c r="K3300" i="1"/>
  <c r="L3300" i="1" s="1"/>
  <c r="K3287" i="1"/>
  <c r="L3287" i="1" s="1"/>
  <c r="K3267" i="1"/>
  <c r="L3267" i="1" s="1"/>
  <c r="K3235" i="1"/>
  <c r="L3235" i="1" s="1"/>
  <c r="K3219" i="1"/>
  <c r="L3219" i="1" s="1"/>
  <c r="K3204" i="1"/>
  <c r="L3204" i="1" s="1"/>
  <c r="K3186" i="1"/>
  <c r="L3186" i="1" s="1"/>
  <c r="K2991" i="1"/>
  <c r="L2991" i="1" s="1"/>
  <c r="K2977" i="1"/>
  <c r="L2977" i="1" s="1"/>
  <c r="K2948" i="1"/>
  <c r="L2948" i="1" s="1"/>
  <c r="K2933" i="1"/>
  <c r="L2933" i="1" s="1"/>
  <c r="K2916" i="1"/>
  <c r="L2916" i="1" s="1"/>
  <c r="K2901" i="1"/>
  <c r="L2901" i="1" s="1"/>
  <c r="K2867" i="1"/>
  <c r="L2867" i="1" s="1"/>
  <c r="K2852" i="1"/>
  <c r="L2852" i="1" s="1"/>
  <c r="K2739" i="1"/>
  <c r="L2739" i="1" s="1"/>
  <c r="K2642" i="1"/>
  <c r="L2642" i="1" s="1"/>
  <c r="K2608" i="1"/>
  <c r="L2608" i="1" s="1"/>
  <c r="K2592" i="1"/>
  <c r="L2592" i="1" s="1"/>
  <c r="K2577" i="1"/>
  <c r="L2577" i="1" s="1"/>
  <c r="K2561" i="1"/>
  <c r="L2561" i="1" s="1"/>
  <c r="K2529" i="1"/>
  <c r="L2529" i="1" s="1"/>
  <c r="K2481" i="1"/>
  <c r="L2481" i="1" s="1"/>
  <c r="K2465" i="1"/>
  <c r="L2465" i="1" s="1"/>
  <c r="K2438" i="1"/>
  <c r="L2438" i="1" s="1"/>
  <c r="K2385" i="1"/>
  <c r="L2385" i="1" s="1"/>
  <c r="K2338" i="1"/>
  <c r="L2338" i="1" s="1"/>
  <c r="K2320" i="1"/>
  <c r="L2320" i="1" s="1"/>
  <c r="K2289" i="1"/>
  <c r="L2289" i="1" s="1"/>
  <c r="K2242" i="1"/>
  <c r="L2242" i="1" s="1"/>
  <c r="K2207" i="1"/>
  <c r="L2207" i="1" s="1"/>
  <c r="K2002" i="1"/>
  <c r="L2002" i="1" s="1"/>
  <c r="K1858" i="1"/>
  <c r="L1858" i="1" s="1"/>
  <c r="K1826" i="1"/>
  <c r="L1826" i="1" s="1"/>
  <c r="K1812" i="1"/>
  <c r="L1812" i="1" s="1"/>
  <c r="K1762" i="1"/>
  <c r="L1762" i="1" s="1"/>
  <c r="K1729" i="1"/>
  <c r="L1729" i="1" s="1"/>
  <c r="K1633" i="1"/>
  <c r="L1633" i="1" s="1"/>
  <c r="K1585" i="1"/>
  <c r="L1585" i="1" s="1"/>
  <c r="K1552" i="1"/>
  <c r="L1552" i="1" s="1"/>
  <c r="K1537" i="1"/>
  <c r="L1537" i="1" s="1"/>
  <c r="K1522" i="1"/>
  <c r="L1522" i="1" s="1"/>
  <c r="K1488" i="1"/>
  <c r="L1488" i="1" s="1"/>
  <c r="K1473" i="1"/>
  <c r="L1473" i="1" s="1"/>
  <c r="K1441" i="1"/>
  <c r="L1441" i="1" s="1"/>
  <c r="K1425" i="1"/>
  <c r="L1425" i="1" s="1"/>
  <c r="K1410" i="1"/>
  <c r="L1410" i="1" s="1"/>
  <c r="K1392" i="1"/>
  <c r="L1392" i="1" s="1"/>
  <c r="K2816" i="1"/>
  <c r="L2816" i="1" s="1"/>
  <c r="K2783" i="1"/>
  <c r="L2783" i="1" s="1"/>
  <c r="K2750" i="1"/>
  <c r="L2750" i="1" s="1"/>
  <c r="K2738" i="1"/>
  <c r="L2738" i="1" s="1"/>
  <c r="K2691" i="1"/>
  <c r="L2691" i="1" s="1"/>
  <c r="K2575" i="1"/>
  <c r="L2575" i="1" s="1"/>
  <c r="K2543" i="1"/>
  <c r="L2543" i="1" s="1"/>
  <c r="K2528" i="1"/>
  <c r="L2528" i="1" s="1"/>
  <c r="K2512" i="1"/>
  <c r="L2512" i="1" s="1"/>
  <c r="K2482" i="1"/>
  <c r="L2482" i="1" s="1"/>
  <c r="K2432" i="1"/>
  <c r="L2432" i="1" s="1"/>
  <c r="K2337" i="1"/>
  <c r="L2337" i="1" s="1"/>
  <c r="K2305" i="1"/>
  <c r="L2305" i="1" s="1"/>
  <c r="K2290" i="1"/>
  <c r="L2290" i="1" s="1"/>
  <c r="K2192" i="1"/>
  <c r="L2192" i="1" s="1"/>
  <c r="K2080" i="1"/>
  <c r="L2080" i="1" s="1"/>
  <c r="K2064" i="1"/>
  <c r="L2064" i="1" s="1"/>
  <c r="K2032" i="1"/>
  <c r="L2032" i="1" s="1"/>
  <c r="K2019" i="1"/>
  <c r="L2019" i="1" s="1"/>
  <c r="K1983" i="1"/>
  <c r="L1983" i="1" s="1"/>
  <c r="K1967" i="1"/>
  <c r="L1967" i="1" s="1"/>
  <c r="K1921" i="1"/>
  <c r="L1921" i="1" s="1"/>
  <c r="K1760" i="1"/>
  <c r="L1760" i="1" s="1"/>
  <c r="K1730" i="1"/>
  <c r="L1730" i="1" s="1"/>
  <c r="K1711" i="1"/>
  <c r="L1711" i="1" s="1"/>
  <c r="K1696" i="1"/>
  <c r="L1696" i="1" s="1"/>
  <c r="K1680" i="1"/>
  <c r="L1680" i="1" s="1"/>
  <c r="K1628" i="1"/>
  <c r="L1628" i="1" s="1"/>
  <c r="K1600" i="1"/>
  <c r="L1600" i="1" s="1"/>
  <c r="K2830" i="1"/>
  <c r="L2830" i="1" s="1"/>
  <c r="K2817" i="1"/>
  <c r="L2817" i="1" s="1"/>
  <c r="K2786" i="1"/>
  <c r="L2786" i="1" s="1"/>
  <c r="K2716" i="1"/>
  <c r="L2716" i="1" s="1"/>
  <c r="K2690" i="1"/>
  <c r="L2690" i="1" s="1"/>
  <c r="K2651" i="1"/>
  <c r="L2651" i="1" s="1"/>
  <c r="K2640" i="1"/>
  <c r="L2640" i="1" s="1"/>
  <c r="K2558" i="1"/>
  <c r="L2558" i="1" s="1"/>
  <c r="K2544" i="1"/>
  <c r="L2544" i="1" s="1"/>
  <c r="K2527" i="1"/>
  <c r="L2527" i="1" s="1"/>
  <c r="K2510" i="1"/>
  <c r="L2510" i="1" s="1"/>
  <c r="K2479" i="1"/>
  <c r="L2479" i="1" s="1"/>
  <c r="K2448" i="1"/>
  <c r="L2448" i="1" s="1"/>
  <c r="K2430" i="1"/>
  <c r="L2430" i="1" s="1"/>
  <c r="K2400" i="1"/>
  <c r="L2400" i="1" s="1"/>
  <c r="K2384" i="1"/>
  <c r="L2384" i="1" s="1"/>
  <c r="K2350" i="1"/>
  <c r="L2350" i="1" s="1"/>
  <c r="K2319" i="1"/>
  <c r="L2319" i="1" s="1"/>
  <c r="K2301" i="1"/>
  <c r="L2301" i="1" s="1"/>
  <c r="K2223" i="1"/>
  <c r="L2223" i="1" s="1"/>
  <c r="K2175" i="1"/>
  <c r="L2175" i="1" s="1"/>
  <c r="K2160" i="1"/>
  <c r="L2160" i="1" s="1"/>
  <c r="K2127" i="1"/>
  <c r="L2127" i="1" s="1"/>
  <c r="K2079" i="1"/>
  <c r="L2079" i="1" s="1"/>
  <c r="K2063" i="1"/>
  <c r="L2063" i="1" s="1"/>
  <c r="K2048" i="1"/>
  <c r="L2048" i="1" s="1"/>
  <c r="K1998" i="1"/>
  <c r="L1998" i="1" s="1"/>
  <c r="K1887" i="1"/>
  <c r="L1887" i="1" s="1"/>
  <c r="K1870" i="1"/>
  <c r="L1870" i="1" s="1"/>
  <c r="K1807" i="1"/>
  <c r="L1807" i="1" s="1"/>
  <c r="K1759" i="1"/>
  <c r="L1759" i="1" s="1"/>
  <c r="K1743" i="1"/>
  <c r="L1743" i="1" s="1"/>
  <c r="K1726" i="1"/>
  <c r="L1726" i="1" s="1"/>
  <c r="K1632" i="1"/>
  <c r="L1632" i="1" s="1"/>
  <c r="K1598" i="1"/>
  <c r="L1598" i="1" s="1"/>
  <c r="K1568" i="1"/>
  <c r="L1568" i="1" s="1"/>
  <c r="K1503" i="1"/>
  <c r="L1503" i="1" s="1"/>
  <c r="K2461" i="1"/>
  <c r="L2461" i="1" s="1"/>
  <c r="K2398" i="1"/>
  <c r="L2398" i="1" s="1"/>
  <c r="K2381" i="1"/>
  <c r="L2381" i="1" s="1"/>
  <c r="K2334" i="1"/>
  <c r="L2334" i="1" s="1"/>
  <c r="K2303" i="1"/>
  <c r="L2303" i="1" s="1"/>
  <c r="K2280" i="1"/>
  <c r="L2280" i="1" s="1"/>
  <c r="K2253" i="1"/>
  <c r="L2253" i="1" s="1"/>
  <c r="K2205" i="1"/>
  <c r="L2205" i="1" s="1"/>
  <c r="K2108" i="1"/>
  <c r="L2108" i="1" s="1"/>
  <c r="K2091" i="1"/>
  <c r="L2091" i="1" s="1"/>
  <c r="K2077" i="1"/>
  <c r="L2077" i="1" s="1"/>
  <c r="K2044" i="1"/>
  <c r="L2044" i="1" s="1"/>
  <c r="K2029" i="1"/>
  <c r="L2029" i="1" s="1"/>
  <c r="K2014" i="1"/>
  <c r="L2014" i="1" s="1"/>
  <c r="K1996" i="1"/>
  <c r="L1996" i="1" s="1"/>
  <c r="K1965" i="1"/>
  <c r="L1965" i="1" s="1"/>
  <c r="K1885" i="1"/>
  <c r="L1885" i="1" s="1"/>
  <c r="K1838" i="1"/>
  <c r="L1838" i="1" s="1"/>
  <c r="K1820" i="1"/>
  <c r="L1820" i="1" s="1"/>
  <c r="K1757" i="1"/>
  <c r="L1757" i="1" s="1"/>
  <c r="K1723" i="1"/>
  <c r="L1723" i="1" s="1"/>
  <c r="K1708" i="1"/>
  <c r="L1708" i="1" s="1"/>
  <c r="K1695" i="1"/>
  <c r="L1695" i="1" s="1"/>
  <c r="K1677" i="1"/>
  <c r="L1677" i="1" s="1"/>
  <c r="K1647" i="1"/>
  <c r="L1647" i="1" s="1"/>
  <c r="K1629" i="1"/>
  <c r="L1629" i="1" s="1"/>
  <c r="K2764" i="1"/>
  <c r="L2764" i="1" s="1"/>
  <c r="K2719" i="1"/>
  <c r="L2719" i="1" s="1"/>
  <c r="K2683" i="1"/>
  <c r="L2683" i="1" s="1"/>
  <c r="K2635" i="1"/>
  <c r="L2635" i="1" s="1"/>
  <c r="K2625" i="1"/>
  <c r="L2625" i="1" s="1"/>
  <c r="K2604" i="1"/>
  <c r="L2604" i="1" s="1"/>
  <c r="K2571" i="1"/>
  <c r="L2571" i="1" s="1"/>
  <c r="K2553" i="1"/>
  <c r="L2553" i="1" s="1"/>
  <c r="K2537" i="1"/>
  <c r="L2537" i="1" s="1"/>
  <c r="K2524" i="1"/>
  <c r="L2524" i="1" s="1"/>
  <c r="K2460" i="1"/>
  <c r="L2460" i="1" s="1"/>
  <c r="K2394" i="1"/>
  <c r="L2394" i="1" s="1"/>
  <c r="K2364" i="1"/>
  <c r="L2364" i="1" s="1"/>
  <c r="K2269" i="1"/>
  <c r="L2269" i="1" s="1"/>
  <c r="K2236" i="1"/>
  <c r="L2236" i="1" s="1"/>
  <c r="K2124" i="1"/>
  <c r="L2124" i="1" s="1"/>
  <c r="K2060" i="1"/>
  <c r="L2060" i="1" s="1"/>
  <c r="K2043" i="1"/>
  <c r="L2043" i="1" s="1"/>
  <c r="K1980" i="1"/>
  <c r="L1980" i="1" s="1"/>
  <c r="K1881" i="1"/>
  <c r="L1881" i="1" s="1"/>
  <c r="K1868" i="1"/>
  <c r="L1868" i="1" s="1"/>
  <c r="K1724" i="1"/>
  <c r="L1724" i="1" s="1"/>
  <c r="K1692" i="1"/>
  <c r="L1692" i="1" s="1"/>
  <c r="K1676" i="1"/>
  <c r="L1676" i="1" s="1"/>
  <c r="K1661" i="1"/>
  <c r="L1661" i="1" s="1"/>
  <c r="K1644" i="1"/>
  <c r="L1644" i="1" s="1"/>
  <c r="K1612" i="1"/>
  <c r="L1612" i="1" s="1"/>
  <c r="K1564" i="1"/>
  <c r="L1564" i="1" s="1"/>
  <c r="K1551" i="1"/>
  <c r="L1551" i="1" s="1"/>
  <c r="K1484" i="1"/>
  <c r="L1484" i="1" s="1"/>
  <c r="K2556" i="1"/>
  <c r="L2556" i="1" s="1"/>
  <c r="K2540" i="1"/>
  <c r="L2540" i="1" s="1"/>
  <c r="K2508" i="1"/>
  <c r="L2508" i="1" s="1"/>
  <c r="K2491" i="1"/>
  <c r="L2491" i="1" s="1"/>
  <c r="K2477" i="1"/>
  <c r="L2477" i="1" s="1"/>
  <c r="K2458" i="1"/>
  <c r="L2458" i="1" s="1"/>
  <c r="K2443" i="1"/>
  <c r="L2443" i="1" s="1"/>
  <c r="K2396" i="1"/>
  <c r="L2396" i="1" s="1"/>
  <c r="K2379" i="1"/>
  <c r="L2379" i="1" s="1"/>
  <c r="K2330" i="1"/>
  <c r="L2330" i="1" s="1"/>
  <c r="K2315" i="1"/>
  <c r="L2315" i="1" s="1"/>
  <c r="K2298" i="1"/>
  <c r="L2298" i="1" s="1"/>
  <c r="K2284" i="1"/>
  <c r="L2284" i="1" s="1"/>
  <c r="K2252" i="1"/>
  <c r="L2252" i="1" s="1"/>
  <c r="K2235" i="1"/>
  <c r="L2235" i="1" s="1"/>
  <c r="K2219" i="1"/>
  <c r="L2219" i="1" s="1"/>
  <c r="K2204" i="1"/>
  <c r="L2204" i="1" s="1"/>
  <c r="K2185" i="1"/>
  <c r="L2185" i="1" s="1"/>
  <c r="K2170" i="1"/>
  <c r="L2170" i="1" s="1"/>
  <c r="K2122" i="1"/>
  <c r="L2122" i="1" s="1"/>
  <c r="K2092" i="1"/>
  <c r="L2092" i="1" s="1"/>
  <c r="K2075" i="1"/>
  <c r="L2075" i="1" s="1"/>
  <c r="K2046" i="1"/>
  <c r="L2046" i="1" s="1"/>
  <c r="K1978" i="1"/>
  <c r="L1978" i="1" s="1"/>
  <c r="K1963" i="1"/>
  <c r="L1963" i="1" s="1"/>
  <c r="K1950" i="1"/>
  <c r="L1950" i="1" s="1"/>
  <c r="K1933" i="1"/>
  <c r="L1933" i="1" s="1"/>
  <c r="K1867" i="1"/>
  <c r="L1867" i="1" s="1"/>
  <c r="K1754" i="1"/>
  <c r="L1754" i="1" s="1"/>
  <c r="K1739" i="1"/>
  <c r="L1739" i="1" s="1"/>
  <c r="K1706" i="1"/>
  <c r="L1706" i="1" s="1"/>
  <c r="K1674" i="1"/>
  <c r="L1674" i="1" s="1"/>
  <c r="K1643" i="1"/>
  <c r="L1643" i="1" s="1"/>
  <c r="K1627" i="1"/>
  <c r="L1627" i="1" s="1"/>
  <c r="K1595" i="1"/>
  <c r="L1595" i="1" s="1"/>
  <c r="K1579" i="1"/>
  <c r="L1579" i="1" s="1"/>
  <c r="K2656" i="1"/>
  <c r="L2656" i="1" s="1"/>
  <c r="K2631" i="1"/>
  <c r="L2631" i="1" s="1"/>
  <c r="K2570" i="1"/>
  <c r="L2570" i="1" s="1"/>
  <c r="K2442" i="1"/>
  <c r="L2442" i="1" s="1"/>
  <c r="K2410" i="1"/>
  <c r="L2410" i="1" s="1"/>
  <c r="K2378" i="1"/>
  <c r="L2378" i="1" s="1"/>
  <c r="K2344" i="1"/>
  <c r="L2344" i="1" s="1"/>
  <c r="K2299" i="1"/>
  <c r="L2299" i="1" s="1"/>
  <c r="K2285" i="1"/>
  <c r="L2285" i="1" s="1"/>
  <c r="K2264" i="1"/>
  <c r="L2264" i="1" s="1"/>
  <c r="K2233" i="1"/>
  <c r="L2233" i="1" s="1"/>
  <c r="K2152" i="1"/>
  <c r="L2152" i="1" s="1"/>
  <c r="K2090" i="1"/>
  <c r="L2090" i="1" s="1"/>
  <c r="K2074" i="1"/>
  <c r="L2074" i="1" s="1"/>
  <c r="K2058" i="1"/>
  <c r="L2058" i="1" s="1"/>
  <c r="K2010" i="1"/>
  <c r="L2010" i="1" s="1"/>
  <c r="K1914" i="1"/>
  <c r="L1914" i="1" s="1"/>
  <c r="K1895" i="1"/>
  <c r="L1895" i="1" s="1"/>
  <c r="K1836" i="1"/>
  <c r="L1836" i="1" s="1"/>
  <c r="K1818" i="1"/>
  <c r="L1818" i="1" s="1"/>
  <c r="K1785" i="1"/>
  <c r="L1785" i="1" s="1"/>
  <c r="K1709" i="1"/>
  <c r="L1709" i="1" s="1"/>
  <c r="K1675" i="1"/>
  <c r="L1675" i="1" s="1"/>
  <c r="K1658" i="1"/>
  <c r="L1658" i="1" s="1"/>
  <c r="K1594" i="1"/>
  <c r="L1594" i="1" s="1"/>
  <c r="K1577" i="1"/>
  <c r="L1577" i="1" s="1"/>
  <c r="K1562" i="1"/>
  <c r="L1562" i="1" s="1"/>
  <c r="K1532" i="1"/>
  <c r="L1532" i="1" s="1"/>
  <c r="K1498" i="1"/>
  <c r="L1498" i="1" s="1"/>
  <c r="K1467" i="1"/>
  <c r="L1467" i="1" s="1"/>
  <c r="K1446" i="1"/>
  <c r="L1446" i="1" s="1"/>
  <c r="K1418" i="1"/>
  <c r="L1418" i="1" s="1"/>
  <c r="K1402" i="1"/>
  <c r="L1402" i="1" s="1"/>
  <c r="K1275" i="1"/>
  <c r="L1275" i="1" s="1"/>
  <c r="K2684" i="1"/>
  <c r="L2684" i="1" s="1"/>
  <c r="K2643" i="1"/>
  <c r="L2643" i="1" s="1"/>
  <c r="K2589" i="1"/>
  <c r="L2589" i="1" s="1"/>
  <c r="K2568" i="1"/>
  <c r="L2568" i="1" s="1"/>
  <c r="K2554" i="1"/>
  <c r="L2554" i="1" s="1"/>
  <c r="K2522" i="1"/>
  <c r="L2522" i="1" s="1"/>
  <c r="K2505" i="1"/>
  <c r="L2505" i="1" s="1"/>
  <c r="K2473" i="1"/>
  <c r="L2473" i="1" s="1"/>
  <c r="K2424" i="1"/>
  <c r="L2424" i="1" s="1"/>
  <c r="K2395" i="1"/>
  <c r="L2395" i="1" s="1"/>
  <c r="K2374" i="1"/>
  <c r="L2374" i="1" s="1"/>
  <c r="K2345" i="1"/>
  <c r="L2345" i="1" s="1"/>
  <c r="K2249" i="1"/>
  <c r="L2249" i="1" s="1"/>
  <c r="K2216" i="1"/>
  <c r="L2216" i="1" s="1"/>
  <c r="K2137" i="1"/>
  <c r="L2137" i="1" s="1"/>
  <c r="K2121" i="1"/>
  <c r="L2121" i="1" s="1"/>
  <c r="K2105" i="1"/>
  <c r="L2105" i="1" s="1"/>
  <c r="K2088" i="1"/>
  <c r="L2088" i="1" s="1"/>
  <c r="K2072" i="1"/>
  <c r="L2072" i="1" s="1"/>
  <c r="K2025" i="1"/>
  <c r="L2025" i="1" s="1"/>
  <c r="K1959" i="1"/>
  <c r="L1959" i="1" s="1"/>
  <c r="K1929" i="1"/>
  <c r="L1929" i="1" s="1"/>
  <c r="K1817" i="1"/>
  <c r="L1817" i="1" s="1"/>
  <c r="K1737" i="1"/>
  <c r="L1737" i="1" s="1"/>
  <c r="K1721" i="1"/>
  <c r="L1721" i="1" s="1"/>
  <c r="K1688" i="1"/>
  <c r="L1688" i="1" s="1"/>
  <c r="K1640" i="1"/>
  <c r="L1640" i="1" s="1"/>
  <c r="K1611" i="1"/>
  <c r="L1611" i="1" s="1"/>
  <c r="K1561" i="1"/>
  <c r="L1561" i="1" s="1"/>
  <c r="K1545" i="1"/>
  <c r="L1545" i="1" s="1"/>
  <c r="K1513" i="1"/>
  <c r="L1513" i="1" s="1"/>
  <c r="K1497" i="1"/>
  <c r="L1497" i="1" s="1"/>
  <c r="K1481" i="1"/>
  <c r="L1481" i="1" s="1"/>
  <c r="K1433" i="1"/>
  <c r="L1433" i="1" s="1"/>
  <c r="K1403" i="1"/>
  <c r="L1403" i="1" s="1"/>
  <c r="K1384" i="1"/>
  <c r="L1384" i="1" s="1"/>
  <c r="K1352" i="1"/>
  <c r="L1352" i="1" s="1"/>
  <c r="K1654" i="1"/>
  <c r="L1654" i="1" s="1"/>
  <c r="K1624" i="1"/>
  <c r="L1624" i="1" s="1"/>
  <c r="K1608" i="1"/>
  <c r="L1608" i="1" s="1"/>
  <c r="K1576" i="1"/>
  <c r="L1576" i="1" s="1"/>
  <c r="K1527" i="1"/>
  <c r="L1527" i="1" s="1"/>
  <c r="K1514" i="1"/>
  <c r="L1514" i="1" s="1"/>
  <c r="K1447" i="1"/>
  <c r="L1447" i="1" s="1"/>
  <c r="K1431" i="1"/>
  <c r="L1431" i="1" s="1"/>
  <c r="K1416" i="1"/>
  <c r="L1416" i="1" s="1"/>
  <c r="K1400" i="1"/>
  <c r="L1400" i="1" s="1"/>
  <c r="K1353" i="1"/>
  <c r="L1353" i="1" s="1"/>
  <c r="K1335" i="1"/>
  <c r="L1335" i="1" s="1"/>
  <c r="K1304" i="1"/>
  <c r="L1304" i="1" s="1"/>
  <c r="K1270" i="1"/>
  <c r="L1270" i="1" s="1"/>
  <c r="K1238" i="1"/>
  <c r="L1238" i="1" s="1"/>
  <c r="K1207" i="1"/>
  <c r="L1207" i="1" s="1"/>
  <c r="K1192" i="1"/>
  <c r="L1192" i="1" s="1"/>
  <c r="K1159" i="1"/>
  <c r="L1159" i="1" s="1"/>
  <c r="K1143" i="1"/>
  <c r="L1143" i="1" s="1"/>
  <c r="K1112" i="1"/>
  <c r="L1112" i="1" s="1"/>
  <c r="K1065" i="1"/>
  <c r="L1065" i="1" s="1"/>
  <c r="K1034" i="1"/>
  <c r="L1034" i="1" s="1"/>
  <c r="K1016" i="1"/>
  <c r="L1016" i="1" s="1"/>
  <c r="K985" i="1"/>
  <c r="L985" i="1" s="1"/>
  <c r="K904" i="1"/>
  <c r="L904" i="1" s="1"/>
  <c r="K791" i="1"/>
  <c r="L791" i="1" s="1"/>
  <c r="K776" i="1"/>
  <c r="L776" i="1" s="1"/>
  <c r="K761" i="1"/>
  <c r="L761" i="1" s="1"/>
  <c r="K697" i="1"/>
  <c r="L697" i="1" s="1"/>
  <c r="K664" i="1"/>
  <c r="L664" i="1" s="1"/>
  <c r="K648" i="1"/>
  <c r="L648" i="1" s="1"/>
  <c r="K632" i="1"/>
  <c r="L632" i="1" s="1"/>
  <c r="K617" i="1"/>
  <c r="L617" i="1" s="1"/>
  <c r="K599" i="1"/>
  <c r="L599" i="1" s="1"/>
  <c r="K536" i="1"/>
  <c r="L536" i="1" s="1"/>
  <c r="K472" i="1"/>
  <c r="L472" i="1" s="1"/>
  <c r="K439" i="1"/>
  <c r="L439" i="1" s="1"/>
  <c r="K408" i="1"/>
  <c r="L408" i="1" s="1"/>
  <c r="K393" i="1"/>
  <c r="L393" i="1" s="1"/>
  <c r="K312" i="1"/>
  <c r="L312" i="1" s="1"/>
  <c r="K296" i="1"/>
  <c r="L296" i="1" s="1"/>
  <c r="K281" i="1"/>
  <c r="L281" i="1" s="1"/>
  <c r="K265" i="1"/>
  <c r="L265" i="1" s="1"/>
  <c r="K2198" i="1"/>
  <c r="L2198" i="1" s="1"/>
  <c r="K2182" i="1"/>
  <c r="L2182" i="1" s="1"/>
  <c r="K2151" i="1"/>
  <c r="L2151" i="1" s="1"/>
  <c r="K2073" i="1"/>
  <c r="L2073" i="1" s="1"/>
  <c r="K2024" i="1"/>
  <c r="L2024" i="1" s="1"/>
  <c r="K2006" i="1"/>
  <c r="L2006" i="1" s="1"/>
  <c r="K1928" i="1"/>
  <c r="L1928" i="1" s="1"/>
  <c r="K1913" i="1"/>
  <c r="L1913" i="1" s="1"/>
  <c r="K1878" i="1"/>
  <c r="L1878" i="1" s="1"/>
  <c r="K1832" i="1"/>
  <c r="L1832" i="1" s="1"/>
  <c r="K1703" i="1"/>
  <c r="L1703" i="1" s="1"/>
  <c r="K1656" i="1"/>
  <c r="L1656" i="1" s="1"/>
  <c r="K1528" i="1"/>
  <c r="L1528" i="1" s="1"/>
  <c r="K1463" i="1"/>
  <c r="L1463" i="1" s="1"/>
  <c r="K1399" i="1"/>
  <c r="L1399" i="1" s="1"/>
  <c r="K1367" i="1"/>
  <c r="L1367" i="1" s="1"/>
  <c r="K1350" i="1"/>
  <c r="L1350" i="1" s="1"/>
  <c r="K1320" i="1"/>
  <c r="L1320" i="1" s="1"/>
  <c r="K1305" i="1"/>
  <c r="L1305" i="1" s="1"/>
  <c r="K1272" i="1"/>
  <c r="L1272" i="1" s="1"/>
  <c r="K1255" i="1"/>
  <c r="L1255" i="1" s="1"/>
  <c r="K1239" i="1"/>
  <c r="L1239" i="1" s="1"/>
  <c r="K1191" i="1"/>
  <c r="L1191" i="1" s="1"/>
  <c r="K1142" i="1"/>
  <c r="L1142" i="1" s="1"/>
  <c r="K1130" i="1"/>
  <c r="L1130" i="1" s="1"/>
  <c r="K2648" i="1"/>
  <c r="L2648" i="1" s="1"/>
  <c r="K2614" i="1"/>
  <c r="L2614" i="1" s="1"/>
  <c r="K2582" i="1"/>
  <c r="L2582" i="1" s="1"/>
  <c r="K2534" i="1"/>
  <c r="L2534" i="1" s="1"/>
  <c r="K2502" i="1"/>
  <c r="L2502" i="1" s="1"/>
  <c r="K2434" i="1"/>
  <c r="L2434" i="1" s="1"/>
  <c r="K2406" i="1"/>
  <c r="L2406" i="1" s="1"/>
  <c r="K2360" i="1"/>
  <c r="L2360" i="1" s="1"/>
  <c r="K2297" i="1"/>
  <c r="L2297" i="1" s="1"/>
  <c r="K2279" i="1"/>
  <c r="L2279" i="1" s="1"/>
  <c r="K2262" i="1"/>
  <c r="L2262" i="1" s="1"/>
  <c r="K2199" i="1"/>
  <c r="L2199" i="1" s="1"/>
  <c r="K2135" i="1"/>
  <c r="L2135" i="1" s="1"/>
  <c r="K2070" i="1"/>
  <c r="L2070" i="1" s="1"/>
  <c r="K2055" i="1"/>
  <c r="L2055" i="1" s="1"/>
  <c r="K2037" i="1"/>
  <c r="L2037" i="1" s="1"/>
  <c r="K2023" i="1"/>
  <c r="L2023" i="1" s="1"/>
  <c r="K1960" i="1"/>
  <c r="L1960" i="1" s="1"/>
  <c r="K1861" i="1"/>
  <c r="L1861" i="1" s="1"/>
  <c r="K1830" i="1"/>
  <c r="L1830" i="1" s="1"/>
  <c r="K1814" i="1"/>
  <c r="L1814" i="1" s="1"/>
  <c r="K1767" i="1"/>
  <c r="L1767" i="1" s="1"/>
  <c r="K1734" i="1"/>
  <c r="L1734" i="1" s="1"/>
  <c r="K1671" i="1"/>
  <c r="L1671" i="1" s="1"/>
  <c r="K1606" i="1"/>
  <c r="L1606" i="1" s="1"/>
  <c r="K1591" i="1"/>
  <c r="L1591" i="1" s="1"/>
  <c r="K1572" i="1"/>
  <c r="L1572" i="1" s="1"/>
  <c r="K1493" i="1"/>
  <c r="L1493" i="1" s="1"/>
  <c r="K1462" i="1"/>
  <c r="L1462" i="1" s="1"/>
  <c r="K1429" i="1"/>
  <c r="L1429" i="1" s="1"/>
  <c r="K1398" i="1"/>
  <c r="L1398" i="1" s="1"/>
  <c r="K1348" i="1"/>
  <c r="L1348" i="1" s="1"/>
  <c r="K1302" i="1"/>
  <c r="L1302" i="1" s="1"/>
  <c r="K2069" i="1"/>
  <c r="L2069" i="1" s="1"/>
  <c r="K2052" i="1"/>
  <c r="L2052" i="1" s="1"/>
  <c r="K1973" i="1"/>
  <c r="L1973" i="1" s="1"/>
  <c r="K1954" i="1"/>
  <c r="L1954" i="1" s="1"/>
  <c r="K1941" i="1"/>
  <c r="L1941" i="1" s="1"/>
  <c r="K1924" i="1"/>
  <c r="L1924" i="1" s="1"/>
  <c r="K1893" i="1"/>
  <c r="L1893" i="1" s="1"/>
  <c r="K1879" i="1"/>
  <c r="L1879" i="1" s="1"/>
  <c r="K1862" i="1"/>
  <c r="L1862" i="1" s="1"/>
  <c r="K1829" i="1"/>
  <c r="L1829" i="1" s="1"/>
  <c r="K1810" i="1"/>
  <c r="L1810" i="1" s="1"/>
  <c r="K1766" i="1"/>
  <c r="L1766" i="1" s="1"/>
  <c r="K1731" i="1"/>
  <c r="L1731" i="1" s="1"/>
  <c r="K1651" i="1"/>
  <c r="L1651" i="1" s="1"/>
  <c r="K1637" i="1"/>
  <c r="L1637" i="1" s="1"/>
  <c r="K1604" i="1"/>
  <c r="L1604" i="1" s="1"/>
  <c r="K1526" i="1"/>
  <c r="L1526" i="1" s="1"/>
  <c r="K1509" i="1"/>
  <c r="L1509" i="1" s="1"/>
  <c r="K1494" i="1"/>
  <c r="L1494" i="1" s="1"/>
  <c r="K1477" i="1"/>
  <c r="L1477" i="1" s="1"/>
  <c r="K1445" i="1"/>
  <c r="L1445" i="1" s="1"/>
  <c r="K1364" i="1"/>
  <c r="L1364" i="1" s="1"/>
  <c r="K1334" i="1"/>
  <c r="L1334" i="1" s="1"/>
  <c r="K1317" i="1"/>
  <c r="L1317" i="1" s="1"/>
  <c r="K1235" i="1"/>
  <c r="L1235" i="1" s="1"/>
  <c r="K1221" i="1"/>
  <c r="L1221" i="1" s="1"/>
  <c r="K1174" i="1"/>
  <c r="L1174" i="1" s="1"/>
  <c r="K1109" i="1"/>
  <c r="L1109" i="1" s="1"/>
  <c r="K1030" i="1"/>
  <c r="L1030" i="1" s="1"/>
  <c r="K1014" i="1"/>
  <c r="L1014" i="1" s="1"/>
  <c r="K950" i="1"/>
  <c r="L950" i="1" s="1"/>
  <c r="K933" i="1"/>
  <c r="L933" i="1" s="1"/>
  <c r="K869" i="1"/>
  <c r="L869" i="1" s="1"/>
  <c r="K821" i="1"/>
  <c r="L821" i="1" s="1"/>
  <c r="K805" i="1"/>
  <c r="L805" i="1" s="1"/>
  <c r="K789" i="1"/>
  <c r="L789" i="1" s="1"/>
  <c r="K773" i="1"/>
  <c r="L773" i="1" s="1"/>
  <c r="K725" i="1"/>
  <c r="L725" i="1" s="1"/>
  <c r="K692" i="1"/>
  <c r="L692" i="1" s="1"/>
  <c r="K678" i="1"/>
  <c r="L678" i="1" s="1"/>
  <c r="K647" i="1"/>
  <c r="L647" i="1" s="1"/>
  <c r="K629" i="1"/>
  <c r="L629" i="1" s="1"/>
  <c r="K563" i="1"/>
  <c r="L563" i="1" s="1"/>
  <c r="K549" i="1"/>
  <c r="L549" i="1" s="1"/>
  <c r="K533" i="1"/>
  <c r="L533" i="1" s="1"/>
  <c r="K517" i="1"/>
  <c r="L517" i="1" s="1"/>
  <c r="K499" i="1"/>
  <c r="L499" i="1" s="1"/>
  <c r="K1955" i="1"/>
  <c r="L1955" i="1" s="1"/>
  <c r="K1809" i="1"/>
  <c r="L1809" i="1" s="1"/>
  <c r="K1764" i="1"/>
  <c r="L1764" i="1" s="1"/>
  <c r="K1733" i="1"/>
  <c r="L1733" i="1" s="1"/>
  <c r="K1717" i="1"/>
  <c r="L1717" i="1" s="1"/>
  <c r="K1699" i="1"/>
  <c r="L1699" i="1" s="1"/>
  <c r="K1670" i="1"/>
  <c r="L1670" i="1" s="1"/>
  <c r="K1653" i="1"/>
  <c r="L1653" i="1" s="1"/>
  <c r="K1588" i="1"/>
  <c r="L1588" i="1" s="1"/>
  <c r="K1573" i="1"/>
  <c r="L1573" i="1" s="1"/>
  <c r="K1542" i="1"/>
  <c r="L1542" i="1" s="1"/>
  <c r="K1524" i="1"/>
  <c r="L1524" i="1" s="1"/>
  <c r="K1492" i="1"/>
  <c r="L1492" i="1" s="1"/>
  <c r="K1444" i="1"/>
  <c r="L1444" i="1" s="1"/>
  <c r="K1365" i="1"/>
  <c r="L1365" i="1" s="1"/>
  <c r="K1300" i="1"/>
  <c r="L1300" i="1" s="1"/>
  <c r="K1287" i="1"/>
  <c r="L1287" i="1" s="1"/>
  <c r="K1253" i="1"/>
  <c r="L1253" i="1" s="1"/>
  <c r="K1236" i="1"/>
  <c r="L1236" i="1" s="1"/>
  <c r="K1156" i="1"/>
  <c r="L1156" i="1" s="1"/>
  <c r="K1140" i="1"/>
  <c r="L1140" i="1" s="1"/>
  <c r="K1108" i="1"/>
  <c r="L1108" i="1" s="1"/>
  <c r="K1076" i="1"/>
  <c r="L1076" i="1" s="1"/>
  <c r="K1043" i="1"/>
  <c r="L1043" i="1" s="1"/>
  <c r="K1028" i="1"/>
  <c r="L1028" i="1" s="1"/>
  <c r="K1011" i="1"/>
  <c r="L1011" i="1" s="1"/>
  <c r="K949" i="1"/>
  <c r="L949" i="1" s="1"/>
  <c r="K884" i="1"/>
  <c r="L884" i="1" s="1"/>
  <c r="K868" i="1"/>
  <c r="L868" i="1" s="1"/>
  <c r="K851" i="1"/>
  <c r="L851" i="1" s="1"/>
  <c r="K820" i="1"/>
  <c r="L820" i="1" s="1"/>
  <c r="K739" i="1"/>
  <c r="L739" i="1" s="1"/>
  <c r="K693" i="1"/>
  <c r="L693" i="1" s="1"/>
  <c r="K612" i="1"/>
  <c r="L612" i="1" s="1"/>
  <c r="K532" i="1"/>
  <c r="L532" i="1" s="1"/>
  <c r="K516" i="1"/>
  <c r="L516" i="1" s="1"/>
  <c r="K468" i="1"/>
  <c r="L468" i="1" s="1"/>
  <c r="K420" i="1"/>
  <c r="L420" i="1" s="1"/>
  <c r="K405" i="1"/>
  <c r="L405" i="1" s="1"/>
  <c r="K340" i="1"/>
  <c r="L340" i="1" s="1"/>
  <c r="K324" i="1"/>
  <c r="L324" i="1" s="1"/>
  <c r="K2724" i="1"/>
  <c r="L2724" i="1" s="1"/>
  <c r="K2708" i="1"/>
  <c r="L2708" i="1" s="1"/>
  <c r="K2627" i="1"/>
  <c r="L2627" i="1" s="1"/>
  <c r="K2547" i="1"/>
  <c r="L2547" i="1" s="1"/>
  <c r="K2516" i="1"/>
  <c r="L2516" i="1" s="1"/>
  <c r="K2467" i="1"/>
  <c r="L2467" i="1" s="1"/>
  <c r="K2436" i="1"/>
  <c r="L2436" i="1" s="1"/>
  <c r="K2405" i="1"/>
  <c r="L2405" i="1" s="1"/>
  <c r="K2386" i="1"/>
  <c r="L2386" i="1" s="1"/>
  <c r="K2370" i="1"/>
  <c r="L2370" i="1" s="1"/>
  <c r="K2276" i="1"/>
  <c r="L2276" i="1" s="1"/>
  <c r="K2196" i="1"/>
  <c r="L2196" i="1" s="1"/>
  <c r="K2179" i="1"/>
  <c r="L2179" i="1" s="1"/>
  <c r="K2148" i="1"/>
  <c r="L2148" i="1" s="1"/>
  <c r="K2100" i="1"/>
  <c r="L2100" i="1" s="1"/>
  <c r="K2003" i="1"/>
  <c r="L2003" i="1" s="1"/>
  <c r="K1988" i="1"/>
  <c r="L1988" i="1" s="1"/>
  <c r="K1971" i="1"/>
  <c r="L1971" i="1" s="1"/>
  <c r="K1779" i="1"/>
  <c r="L1779" i="1" s="1"/>
  <c r="K1763" i="1"/>
  <c r="L1763" i="1" s="1"/>
  <c r="K1747" i="1"/>
  <c r="L1747" i="1" s="1"/>
  <c r="K1698" i="1"/>
  <c r="L1698" i="1" s="1"/>
  <c r="K1667" i="1"/>
  <c r="L1667" i="1" s="1"/>
  <c r="K1634" i="1"/>
  <c r="L1634" i="1" s="1"/>
  <c r="K1615" i="1"/>
  <c r="L1615" i="1" s="1"/>
  <c r="K1587" i="1"/>
  <c r="L1587" i="1" s="1"/>
  <c r="K1570" i="1"/>
  <c r="L1570" i="1" s="1"/>
  <c r="K1554" i="1"/>
  <c r="L1554" i="1" s="1"/>
  <c r="K1504" i="1"/>
  <c r="L1504" i="1" s="1"/>
  <c r="K1474" i="1"/>
  <c r="L1474" i="1" s="1"/>
  <c r="K1443" i="1"/>
  <c r="L1443" i="1" s="1"/>
  <c r="K1251" i="1"/>
  <c r="L1251" i="1" s="1"/>
  <c r="K1237" i="1"/>
  <c r="L1237" i="1" s="1"/>
  <c r="K1219" i="1"/>
  <c r="L1219" i="1" s="1"/>
  <c r="K1186" i="1"/>
  <c r="L1186" i="1" s="1"/>
  <c r="K1171" i="1"/>
  <c r="L1171" i="1" s="1"/>
  <c r="K1123" i="1"/>
  <c r="L1123" i="1" s="1"/>
  <c r="K1091" i="1"/>
  <c r="L1091" i="1" s="1"/>
  <c r="K3221" i="1"/>
  <c r="L3221" i="1" s="1"/>
  <c r="K3191" i="1"/>
  <c r="L3191" i="1" s="1"/>
  <c r="K3026" i="1"/>
  <c r="L3026" i="1" s="1"/>
  <c r="K2914" i="1"/>
  <c r="L2914" i="1" s="1"/>
  <c r="K2870" i="1"/>
  <c r="L2870" i="1" s="1"/>
  <c r="K2836" i="1"/>
  <c r="L2836" i="1" s="1"/>
  <c r="K2824" i="1"/>
  <c r="L2824" i="1" s="1"/>
  <c r="K2756" i="1"/>
  <c r="L2756" i="1" s="1"/>
  <c r="K2740" i="1"/>
  <c r="L2740" i="1" s="1"/>
  <c r="K2726" i="1"/>
  <c r="L2726" i="1" s="1"/>
  <c r="K2709" i="1"/>
  <c r="L2709" i="1" s="1"/>
  <c r="K2641" i="1"/>
  <c r="L2641" i="1" s="1"/>
  <c r="K2578" i="1"/>
  <c r="L2578" i="1" s="1"/>
  <c r="K2514" i="1"/>
  <c r="L2514" i="1" s="1"/>
  <c r="K2466" i="1"/>
  <c r="L2466" i="1" s="1"/>
  <c r="K2435" i="1"/>
  <c r="L2435" i="1" s="1"/>
  <c r="K2419" i="1"/>
  <c r="L2419" i="1" s="1"/>
  <c r="K2387" i="1"/>
  <c r="L2387" i="1" s="1"/>
  <c r="K2336" i="1"/>
  <c r="L2336" i="1" s="1"/>
  <c r="K2324" i="1"/>
  <c r="L2324" i="1" s="1"/>
  <c r="K2227" i="1"/>
  <c r="L2227" i="1" s="1"/>
  <c r="K2210" i="1"/>
  <c r="L2210" i="1" s="1"/>
  <c r="K2194" i="1"/>
  <c r="L2194" i="1" s="1"/>
  <c r="K2097" i="1"/>
  <c r="L2097" i="1" s="1"/>
  <c r="K2067" i="1"/>
  <c r="L2067" i="1" s="1"/>
  <c r="K2050" i="1"/>
  <c r="L2050" i="1" s="1"/>
  <c r="K2020" i="1"/>
  <c r="L2020" i="1" s="1"/>
  <c r="K1938" i="1"/>
  <c r="L1938" i="1" s="1"/>
  <c r="K1875" i="1"/>
  <c r="L1875" i="1" s="1"/>
  <c r="K1778" i="1"/>
  <c r="L1778" i="1" s="1"/>
  <c r="K1761" i="1"/>
  <c r="L1761" i="1" s="1"/>
  <c r="K1746" i="1"/>
  <c r="L1746" i="1" s="1"/>
  <c r="K1649" i="1"/>
  <c r="L1649" i="1" s="1"/>
  <c r="K1636" i="1"/>
  <c r="L1636" i="1" s="1"/>
  <c r="K1620" i="1"/>
  <c r="L1620" i="1" s="1"/>
  <c r="K1571" i="1"/>
  <c r="L1571" i="1" s="1"/>
  <c r="K1047" i="1"/>
  <c r="L1047" i="1" s="1"/>
  <c r="K1031" i="1"/>
  <c r="L1031" i="1" s="1"/>
  <c r="K999" i="1"/>
  <c r="L999" i="1" s="1"/>
  <c r="K966" i="1"/>
  <c r="L966" i="1" s="1"/>
  <c r="K806" i="1"/>
  <c r="L806" i="1" s="1"/>
  <c r="K775" i="1"/>
  <c r="L775" i="1" s="1"/>
  <c r="K698" i="1"/>
  <c r="L698" i="1" s="1"/>
  <c r="K631" i="1"/>
  <c r="L631" i="1" s="1"/>
  <c r="K600" i="1"/>
  <c r="L600" i="1" s="1"/>
  <c r="K551" i="1"/>
  <c r="L551" i="1" s="1"/>
  <c r="K534" i="1"/>
  <c r="L534" i="1" s="1"/>
  <c r="K503" i="1"/>
  <c r="L503" i="1" s="1"/>
  <c r="K471" i="1"/>
  <c r="L471" i="1" s="1"/>
  <c r="K391" i="1"/>
  <c r="L391" i="1" s="1"/>
  <c r="K359" i="1"/>
  <c r="L359" i="1" s="1"/>
  <c r="K309" i="1"/>
  <c r="L309" i="1" s="1"/>
  <c r="K294" i="1"/>
  <c r="L294" i="1" s="1"/>
  <c r="K264" i="1"/>
  <c r="L264" i="1" s="1"/>
  <c r="K231" i="1"/>
  <c r="L231" i="1" s="1"/>
  <c r="K199" i="1"/>
  <c r="L199" i="1" s="1"/>
  <c r="K183" i="1"/>
  <c r="L183" i="1" s="1"/>
  <c r="K150" i="1"/>
  <c r="L150" i="1" s="1"/>
  <c r="K135" i="1"/>
  <c r="L135" i="1" s="1"/>
  <c r="K103" i="1"/>
  <c r="L103" i="1" s="1"/>
  <c r="K39" i="1"/>
  <c r="L39" i="1" s="1"/>
  <c r="K1271" i="1"/>
  <c r="L1271" i="1" s="1"/>
  <c r="K1240" i="1"/>
  <c r="L1240" i="1" s="1"/>
  <c r="K1205" i="1"/>
  <c r="L1205" i="1" s="1"/>
  <c r="K1161" i="1"/>
  <c r="L1161" i="1" s="1"/>
  <c r="K1144" i="1"/>
  <c r="L1144" i="1" s="1"/>
  <c r="K1094" i="1"/>
  <c r="L1094" i="1" s="1"/>
  <c r="K1046" i="1"/>
  <c r="L1046" i="1" s="1"/>
  <c r="K998" i="1"/>
  <c r="L998" i="1" s="1"/>
  <c r="K983" i="1"/>
  <c r="L983" i="1" s="1"/>
  <c r="K934" i="1"/>
  <c r="L934" i="1" s="1"/>
  <c r="K918" i="1"/>
  <c r="L918" i="1" s="1"/>
  <c r="K901" i="1"/>
  <c r="L901" i="1" s="1"/>
  <c r="K855" i="1"/>
  <c r="L855" i="1" s="1"/>
  <c r="K839" i="1"/>
  <c r="L839" i="1" s="1"/>
  <c r="K808" i="1"/>
  <c r="L808" i="1" s="1"/>
  <c r="K742" i="1"/>
  <c r="L742" i="1" s="1"/>
  <c r="K694" i="1"/>
  <c r="L694" i="1" s="1"/>
  <c r="K645" i="1"/>
  <c r="L645" i="1" s="1"/>
  <c r="K614" i="1"/>
  <c r="L614" i="1" s="1"/>
  <c r="K581" i="1"/>
  <c r="L581" i="1" s="1"/>
  <c r="K566" i="1"/>
  <c r="L566" i="1" s="1"/>
  <c r="K550" i="1"/>
  <c r="L550" i="1" s="1"/>
  <c r="K486" i="1"/>
  <c r="L486" i="1" s="1"/>
  <c r="K470" i="1"/>
  <c r="L470" i="1" s="1"/>
  <c r="K453" i="1"/>
  <c r="L453" i="1" s="1"/>
  <c r="K406" i="1"/>
  <c r="L406" i="1" s="1"/>
  <c r="K342" i="1"/>
  <c r="L342" i="1" s="1"/>
  <c r="K310" i="1"/>
  <c r="L310" i="1" s="1"/>
  <c r="K1059" i="1"/>
  <c r="L1059" i="1" s="1"/>
  <c r="K1029" i="1"/>
  <c r="L1029" i="1" s="1"/>
  <c r="K1010" i="1"/>
  <c r="L1010" i="1" s="1"/>
  <c r="K963" i="1"/>
  <c r="L963" i="1" s="1"/>
  <c r="K931" i="1"/>
  <c r="L931" i="1" s="1"/>
  <c r="K914" i="1"/>
  <c r="L914" i="1" s="1"/>
  <c r="K900" i="1"/>
  <c r="L900" i="1" s="1"/>
  <c r="K883" i="1"/>
  <c r="L883" i="1" s="1"/>
  <c r="K865" i="1"/>
  <c r="L865" i="1" s="1"/>
  <c r="K771" i="1"/>
  <c r="L771" i="1" s="1"/>
  <c r="K755" i="1"/>
  <c r="L755" i="1" s="1"/>
  <c r="K740" i="1"/>
  <c r="L740" i="1" s="1"/>
  <c r="K691" i="1"/>
  <c r="L691" i="1" s="1"/>
  <c r="K659" i="1"/>
  <c r="L659" i="1" s="1"/>
  <c r="K627" i="1"/>
  <c r="L627" i="1" s="1"/>
  <c r="K579" i="1"/>
  <c r="L579" i="1" s="1"/>
  <c r="K531" i="1"/>
  <c r="L531" i="1" s="1"/>
  <c r="K515" i="1"/>
  <c r="L515" i="1" s="1"/>
  <c r="K483" i="1"/>
  <c r="L483" i="1" s="1"/>
  <c r="K467" i="1"/>
  <c r="L467" i="1" s="1"/>
  <c r="K403" i="1"/>
  <c r="L403" i="1" s="1"/>
  <c r="K387" i="1"/>
  <c r="L387" i="1" s="1"/>
  <c r="K355" i="1"/>
  <c r="L355" i="1" s="1"/>
  <c r="K338" i="1"/>
  <c r="L338" i="1" s="1"/>
  <c r="K1506" i="1"/>
  <c r="L1506" i="1" s="1"/>
  <c r="K1476" i="1"/>
  <c r="L1476" i="1" s="1"/>
  <c r="K1458" i="1"/>
  <c r="L1458" i="1" s="1"/>
  <c r="K1426" i="1"/>
  <c r="L1426" i="1" s="1"/>
  <c r="K1346" i="1"/>
  <c r="L1346" i="1" s="1"/>
  <c r="K1331" i="1"/>
  <c r="L1331" i="1" s="1"/>
  <c r="K1214" i="1"/>
  <c r="L1214" i="1" s="1"/>
  <c r="K1154" i="1"/>
  <c r="L1154" i="1" s="1"/>
  <c r="K1089" i="1"/>
  <c r="L1089" i="1" s="1"/>
  <c r="K1071" i="1"/>
  <c r="L1071" i="1" s="1"/>
  <c r="K1012" i="1"/>
  <c r="L1012" i="1" s="1"/>
  <c r="K978" i="1"/>
  <c r="L978" i="1" s="1"/>
  <c r="K913" i="1"/>
  <c r="L913" i="1" s="1"/>
  <c r="K849" i="1"/>
  <c r="L849" i="1" s="1"/>
  <c r="K802" i="1"/>
  <c r="L802" i="1" s="1"/>
  <c r="K786" i="1"/>
  <c r="L786" i="1" s="1"/>
  <c r="K770" i="1"/>
  <c r="L770" i="1" s="1"/>
  <c r="K756" i="1"/>
  <c r="L756" i="1" s="1"/>
  <c r="K704" i="1"/>
  <c r="L704" i="1" s="1"/>
  <c r="K674" i="1"/>
  <c r="L674" i="1" s="1"/>
  <c r="K642" i="1"/>
  <c r="L642" i="1" s="1"/>
  <c r="K626" i="1"/>
  <c r="L626" i="1" s="1"/>
  <c r="K610" i="1"/>
  <c r="L610" i="1" s="1"/>
  <c r="K592" i="1"/>
  <c r="L592" i="1" s="1"/>
  <c r="K578" i="1"/>
  <c r="L578" i="1" s="1"/>
  <c r="K529" i="1"/>
  <c r="L529" i="1" s="1"/>
  <c r="K514" i="1"/>
  <c r="L514" i="1" s="1"/>
  <c r="K482" i="1"/>
  <c r="L482" i="1" s="1"/>
  <c r="K434" i="1"/>
  <c r="L434" i="1" s="1"/>
  <c r="K418" i="1"/>
  <c r="L418" i="1" s="1"/>
  <c r="K402" i="1"/>
  <c r="L402" i="1" s="1"/>
  <c r="K1345" i="1"/>
  <c r="L1345" i="1" s="1"/>
  <c r="K1296" i="1"/>
  <c r="L1296" i="1" s="1"/>
  <c r="K1281" i="1"/>
  <c r="L1281" i="1" s="1"/>
  <c r="K1265" i="1"/>
  <c r="L1265" i="1" s="1"/>
  <c r="K1233" i="1"/>
  <c r="L1233" i="1" s="1"/>
  <c r="K1138" i="1"/>
  <c r="L1138" i="1" s="1"/>
  <c r="K1122" i="1"/>
  <c r="L1122" i="1" s="1"/>
  <c r="K1073" i="1"/>
  <c r="L1073" i="1" s="1"/>
  <c r="K1057" i="1"/>
  <c r="L1057" i="1" s="1"/>
  <c r="K1041" i="1"/>
  <c r="L1041" i="1" s="1"/>
  <c r="K1025" i="1"/>
  <c r="L1025" i="1" s="1"/>
  <c r="K944" i="1"/>
  <c r="L944" i="1" s="1"/>
  <c r="K928" i="1"/>
  <c r="L928" i="1" s="1"/>
  <c r="K897" i="1"/>
  <c r="L897" i="1" s="1"/>
  <c r="K867" i="1"/>
  <c r="L867" i="1" s="1"/>
  <c r="K850" i="1"/>
  <c r="L850" i="1" s="1"/>
  <c r="K833" i="1"/>
  <c r="L833" i="1" s="1"/>
  <c r="K815" i="1"/>
  <c r="L815" i="1" s="1"/>
  <c r="K801" i="1"/>
  <c r="L801" i="1" s="1"/>
  <c r="K785" i="1"/>
  <c r="L785" i="1" s="1"/>
  <c r="K768" i="1"/>
  <c r="L768" i="1" s="1"/>
  <c r="K722" i="1"/>
  <c r="L722" i="1" s="1"/>
  <c r="K673" i="1"/>
  <c r="L673" i="1" s="1"/>
  <c r="K657" i="1"/>
  <c r="L657" i="1" s="1"/>
  <c r="K624" i="1"/>
  <c r="L624" i="1" s="1"/>
  <c r="K561" i="1"/>
  <c r="L561" i="1" s="1"/>
  <c r="K530" i="1"/>
  <c r="L530" i="1" s="1"/>
  <c r="K465" i="1"/>
  <c r="L465" i="1" s="1"/>
  <c r="K401" i="1"/>
  <c r="L401" i="1" s="1"/>
  <c r="K352" i="1"/>
  <c r="L352" i="1" s="1"/>
  <c r="K337" i="1"/>
  <c r="L337" i="1" s="1"/>
  <c r="K320" i="1"/>
  <c r="L320" i="1" s="1"/>
  <c r="K1583" i="1"/>
  <c r="L1583" i="1" s="1"/>
  <c r="K1567" i="1"/>
  <c r="L1567" i="1" s="1"/>
  <c r="K1521" i="1"/>
  <c r="L1521" i="1" s="1"/>
  <c r="K1507" i="1"/>
  <c r="L1507" i="1" s="1"/>
  <c r="K1471" i="1"/>
  <c r="L1471" i="1" s="1"/>
  <c r="K1456" i="1"/>
  <c r="L1456" i="1" s="1"/>
  <c r="K1438" i="1"/>
  <c r="L1438" i="1" s="1"/>
  <c r="K1424" i="1"/>
  <c r="L1424" i="1" s="1"/>
  <c r="K1376" i="1"/>
  <c r="L1376" i="1" s="1"/>
  <c r="K1360" i="1"/>
  <c r="L1360" i="1" s="1"/>
  <c r="K1328" i="1"/>
  <c r="L1328" i="1" s="1"/>
  <c r="K1312" i="1"/>
  <c r="L1312" i="1" s="1"/>
  <c r="K1248" i="1"/>
  <c r="L1248" i="1" s="1"/>
  <c r="K1230" i="1"/>
  <c r="L1230" i="1" s="1"/>
  <c r="K1200" i="1"/>
  <c r="L1200" i="1" s="1"/>
  <c r="K1184" i="1"/>
  <c r="L1184" i="1" s="1"/>
  <c r="K1150" i="1"/>
  <c r="L1150" i="1" s="1"/>
  <c r="K1139" i="1"/>
  <c r="L1139" i="1" s="1"/>
  <c r="K1101" i="1"/>
  <c r="L1101" i="1" s="1"/>
  <c r="K1088" i="1"/>
  <c r="L1088" i="1" s="1"/>
  <c r="K1056" i="1"/>
  <c r="L1056" i="1" s="1"/>
  <c r="K1040" i="1"/>
  <c r="L1040" i="1" s="1"/>
  <c r="K1007" i="1"/>
  <c r="L1007" i="1" s="1"/>
  <c r="K976" i="1"/>
  <c r="L976" i="1" s="1"/>
  <c r="K960" i="1"/>
  <c r="L960" i="1" s="1"/>
  <c r="K912" i="1"/>
  <c r="L912" i="1" s="1"/>
  <c r="K862" i="1"/>
  <c r="L862" i="1" s="1"/>
  <c r="K799" i="1"/>
  <c r="L799" i="1" s="1"/>
  <c r="K780" i="1"/>
  <c r="L780" i="1" s="1"/>
  <c r="K769" i="1"/>
  <c r="L769" i="1" s="1"/>
  <c r="K703" i="1"/>
  <c r="L703" i="1" s="1"/>
  <c r="K687" i="1"/>
  <c r="L687" i="1" s="1"/>
  <c r="K656" i="1"/>
  <c r="L656" i="1" s="1"/>
  <c r="K623" i="1"/>
  <c r="L623" i="1" s="1"/>
  <c r="K608" i="1"/>
  <c r="L608" i="1" s="1"/>
  <c r="K576" i="1"/>
  <c r="L576" i="1" s="1"/>
  <c r="K496" i="1"/>
  <c r="L496" i="1" s="1"/>
  <c r="K1472" i="1"/>
  <c r="L1472" i="1" s="1"/>
  <c r="K1391" i="1"/>
  <c r="L1391" i="1" s="1"/>
  <c r="K1359" i="1"/>
  <c r="L1359" i="1" s="1"/>
  <c r="K1343" i="1"/>
  <c r="L1343" i="1" s="1"/>
  <c r="K1326" i="1"/>
  <c r="L1326" i="1" s="1"/>
  <c r="K1258" i="1"/>
  <c r="L1258" i="1" s="1"/>
  <c r="K1153" i="1"/>
  <c r="L1153" i="1" s="1"/>
  <c r="K1119" i="1"/>
  <c r="L1119" i="1" s="1"/>
  <c r="K1087" i="1"/>
  <c r="L1087" i="1" s="1"/>
  <c r="K1074" i="1"/>
  <c r="L1074" i="1" s="1"/>
  <c r="K1055" i="1"/>
  <c r="L1055" i="1" s="1"/>
  <c r="K1024" i="1"/>
  <c r="L1024" i="1" s="1"/>
  <c r="K992" i="1"/>
  <c r="L992" i="1" s="1"/>
  <c r="K943" i="1"/>
  <c r="L943" i="1" s="1"/>
  <c r="K926" i="1"/>
  <c r="L926" i="1" s="1"/>
  <c r="K911" i="1"/>
  <c r="L911" i="1" s="1"/>
  <c r="K895" i="1"/>
  <c r="L895" i="1" s="1"/>
  <c r="K880" i="1"/>
  <c r="L880" i="1" s="1"/>
  <c r="K831" i="1"/>
  <c r="L831" i="1" s="1"/>
  <c r="K816" i="1"/>
  <c r="L816" i="1" s="1"/>
  <c r="K800" i="1"/>
  <c r="L800" i="1" s="1"/>
  <c r="K783" i="1"/>
  <c r="L783" i="1" s="1"/>
  <c r="K638" i="1"/>
  <c r="L638" i="1" s="1"/>
  <c r="K560" i="1"/>
  <c r="L560" i="1" s="1"/>
  <c r="K543" i="1"/>
  <c r="L543" i="1" s="1"/>
  <c r="K527" i="1"/>
  <c r="L527" i="1" s="1"/>
  <c r="K511" i="1"/>
  <c r="L511" i="1" s="1"/>
  <c r="K479" i="1"/>
  <c r="L479" i="1" s="1"/>
  <c r="K431" i="1"/>
  <c r="L431" i="1" s="1"/>
  <c r="K399" i="1"/>
  <c r="L399" i="1" s="1"/>
  <c r="K1423" i="1"/>
  <c r="L1423" i="1" s="1"/>
  <c r="K1390" i="1"/>
  <c r="L1390" i="1" s="1"/>
  <c r="K1342" i="1"/>
  <c r="L1342" i="1" s="1"/>
  <c r="K1327" i="1"/>
  <c r="L1327" i="1" s="1"/>
  <c r="K1298" i="1"/>
  <c r="L1298" i="1" s="1"/>
  <c r="K1262" i="1"/>
  <c r="L1262" i="1" s="1"/>
  <c r="K1246" i="1"/>
  <c r="L1246" i="1" s="1"/>
  <c r="K1216" i="1"/>
  <c r="L1216" i="1" s="1"/>
  <c r="K1118" i="1"/>
  <c r="L1118" i="1" s="1"/>
  <c r="K1022" i="1"/>
  <c r="L1022" i="1" s="1"/>
  <c r="K1004" i="1"/>
  <c r="L1004" i="1" s="1"/>
  <c r="K958" i="1"/>
  <c r="L958" i="1" s="1"/>
  <c r="K942" i="1"/>
  <c r="L942" i="1" s="1"/>
  <c r="K927" i="1"/>
  <c r="L927" i="1" s="1"/>
  <c r="K894" i="1"/>
  <c r="L894" i="1" s="1"/>
  <c r="K864" i="1"/>
  <c r="L864" i="1" s="1"/>
  <c r="K830" i="1"/>
  <c r="L830" i="1" s="1"/>
  <c r="K765" i="1"/>
  <c r="L765" i="1" s="1"/>
  <c r="K750" i="1"/>
  <c r="L750" i="1" s="1"/>
  <c r="K734" i="1"/>
  <c r="L734" i="1" s="1"/>
  <c r="K686" i="1"/>
  <c r="L686" i="1" s="1"/>
  <c r="K654" i="1"/>
  <c r="L654" i="1" s="1"/>
  <c r="K639" i="1"/>
  <c r="L639" i="1" s="1"/>
  <c r="K574" i="1"/>
  <c r="L574" i="1" s="1"/>
  <c r="K494" i="1"/>
  <c r="L494" i="1" s="1"/>
  <c r="K462" i="1"/>
  <c r="L462" i="1" s="1"/>
  <c r="K447" i="1"/>
  <c r="L447" i="1" s="1"/>
  <c r="K430" i="1"/>
  <c r="L430" i="1" s="1"/>
  <c r="K415" i="1"/>
  <c r="L415" i="1" s="1"/>
  <c r="K381" i="1"/>
  <c r="L381" i="1" s="1"/>
  <c r="K1566" i="1"/>
  <c r="L1566" i="1" s="1"/>
  <c r="K1531" i="1"/>
  <c r="L1531" i="1" s="1"/>
  <c r="K1520" i="1"/>
  <c r="L1520" i="1" s="1"/>
  <c r="K1468" i="1"/>
  <c r="L1468" i="1" s="1"/>
  <c r="K1453" i="1"/>
  <c r="L1453" i="1" s="1"/>
  <c r="K1373" i="1"/>
  <c r="L1373" i="1" s="1"/>
  <c r="K1357" i="1"/>
  <c r="L1357" i="1" s="1"/>
  <c r="K1324" i="1"/>
  <c r="L1324" i="1" s="1"/>
  <c r="K1276" i="1"/>
  <c r="L1276" i="1" s="1"/>
  <c r="K1245" i="1"/>
  <c r="L1245" i="1" s="1"/>
  <c r="K1197" i="1"/>
  <c r="L1197" i="1" s="1"/>
  <c r="K1166" i="1"/>
  <c r="L1166" i="1" s="1"/>
  <c r="K1051" i="1"/>
  <c r="L1051" i="1" s="1"/>
  <c r="K1021" i="1"/>
  <c r="L1021" i="1" s="1"/>
  <c r="K1006" i="1"/>
  <c r="L1006" i="1" s="1"/>
  <c r="K989" i="1"/>
  <c r="L989" i="1" s="1"/>
  <c r="K923" i="1"/>
  <c r="L923" i="1" s="1"/>
  <c r="K908" i="1"/>
  <c r="L908" i="1" s="1"/>
  <c r="K893" i="1"/>
  <c r="L893" i="1" s="1"/>
  <c r="K828" i="1"/>
  <c r="L828" i="1" s="1"/>
  <c r="K812" i="1"/>
  <c r="L812" i="1" s="1"/>
  <c r="K733" i="1"/>
  <c r="L733" i="1" s="1"/>
  <c r="K716" i="1"/>
  <c r="L716" i="1" s="1"/>
  <c r="K700" i="1"/>
  <c r="L700" i="1" s="1"/>
  <c r="K669" i="1"/>
  <c r="L669" i="1" s="1"/>
  <c r="K653" i="1"/>
  <c r="L653" i="1" s="1"/>
  <c r="K590" i="1"/>
  <c r="L590" i="1" s="1"/>
  <c r="K477" i="1"/>
  <c r="L477" i="1" s="1"/>
  <c r="K445" i="1"/>
  <c r="L445" i="1" s="1"/>
  <c r="K1470" i="1"/>
  <c r="L1470" i="1" s="1"/>
  <c r="K1436" i="1"/>
  <c r="L1436" i="1" s="1"/>
  <c r="K1356" i="1"/>
  <c r="L1356" i="1" s="1"/>
  <c r="K1340" i="1"/>
  <c r="L1340" i="1" s="1"/>
  <c r="K1325" i="1"/>
  <c r="L1325" i="1" s="1"/>
  <c r="K1280" i="1"/>
  <c r="L1280" i="1" s="1"/>
  <c r="K1228" i="1"/>
  <c r="L1228" i="1" s="1"/>
  <c r="K1196" i="1"/>
  <c r="L1196" i="1" s="1"/>
  <c r="K1164" i="1"/>
  <c r="L1164" i="1" s="1"/>
  <c r="K1152" i="1"/>
  <c r="L1152" i="1" s="1"/>
  <c r="K1132" i="1"/>
  <c r="L1132" i="1" s="1"/>
  <c r="K1116" i="1"/>
  <c r="L1116" i="1" s="1"/>
  <c r="K1099" i="1"/>
  <c r="L1099" i="1" s="1"/>
  <c r="K1069" i="1"/>
  <c r="L1069" i="1" s="1"/>
  <c r="K1037" i="1"/>
  <c r="L1037" i="1" s="1"/>
  <c r="K1020" i="1"/>
  <c r="L1020" i="1" s="1"/>
  <c r="K940" i="1"/>
  <c r="L940" i="1" s="1"/>
  <c r="K924" i="1"/>
  <c r="L924" i="1" s="1"/>
  <c r="K784" i="1"/>
  <c r="L784" i="1" s="1"/>
  <c r="K764" i="1"/>
  <c r="L764" i="1" s="1"/>
  <c r="K748" i="1"/>
  <c r="L748" i="1" s="1"/>
  <c r="K717" i="1"/>
  <c r="L717" i="1" s="1"/>
  <c r="K668" i="1"/>
  <c r="L668" i="1" s="1"/>
  <c r="K652" i="1"/>
  <c r="L652" i="1" s="1"/>
  <c r="K620" i="1"/>
  <c r="L620" i="1" s="1"/>
  <c r="K604" i="1"/>
  <c r="L604" i="1" s="1"/>
  <c r="K588" i="1"/>
  <c r="L588" i="1" s="1"/>
  <c r="K573" i="1"/>
  <c r="L573" i="1" s="1"/>
  <c r="K540" i="1"/>
  <c r="L540" i="1" s="1"/>
  <c r="K493" i="1"/>
  <c r="L493" i="1" s="1"/>
  <c r="K428" i="1"/>
  <c r="L428" i="1" s="1"/>
  <c r="K413" i="1"/>
  <c r="L413" i="1" s="1"/>
  <c r="K1465" i="1"/>
  <c r="L1465" i="1" s="1"/>
  <c r="K1369" i="1"/>
  <c r="L1369" i="1" s="1"/>
  <c r="K1323" i="1"/>
  <c r="L1323" i="1" s="1"/>
  <c r="K1306" i="1"/>
  <c r="L1306" i="1" s="1"/>
  <c r="K1291" i="1"/>
  <c r="L1291" i="1" s="1"/>
  <c r="K1274" i="1"/>
  <c r="L1274" i="1" s="1"/>
  <c r="K1242" i="1"/>
  <c r="L1242" i="1" s="1"/>
  <c r="K1227" i="1"/>
  <c r="L1227" i="1" s="1"/>
  <c r="K1162" i="1"/>
  <c r="L1162" i="1" s="1"/>
  <c r="K1147" i="1"/>
  <c r="L1147" i="1" s="1"/>
  <c r="K1082" i="1"/>
  <c r="L1082" i="1" s="1"/>
  <c r="K1067" i="1"/>
  <c r="L1067" i="1" s="1"/>
  <c r="K1018" i="1"/>
  <c r="L1018" i="1" s="1"/>
  <c r="K986" i="1"/>
  <c r="L986" i="1" s="1"/>
  <c r="K955" i="1"/>
  <c r="L955" i="1" s="1"/>
  <c r="K939" i="1"/>
  <c r="L939" i="1" s="1"/>
  <c r="K925" i="1"/>
  <c r="L925" i="1" s="1"/>
  <c r="K906" i="1"/>
  <c r="L906" i="1" s="1"/>
  <c r="K844" i="1"/>
  <c r="L844" i="1" s="1"/>
  <c r="K793" i="1"/>
  <c r="L793" i="1" s="1"/>
  <c r="K763" i="1"/>
  <c r="L763" i="1" s="1"/>
  <c r="K715" i="1"/>
  <c r="L715" i="1" s="1"/>
  <c r="K684" i="1"/>
  <c r="L684" i="1" s="1"/>
  <c r="K667" i="1"/>
  <c r="L667" i="1" s="1"/>
  <c r="K651" i="1"/>
  <c r="L651" i="1" s="1"/>
  <c r="K603" i="1"/>
  <c r="L603" i="1" s="1"/>
  <c r="K538" i="1"/>
  <c r="L538" i="1" s="1"/>
  <c r="K523" i="1"/>
  <c r="L523" i="1" s="1"/>
  <c r="K507" i="1"/>
  <c r="L507" i="1" s="1"/>
  <c r="K491" i="1"/>
  <c r="L491" i="1" s="1"/>
  <c r="K475" i="1"/>
  <c r="L475" i="1" s="1"/>
  <c r="K443" i="1"/>
  <c r="L443" i="1" s="1"/>
  <c r="K426" i="1"/>
  <c r="L426" i="1" s="1"/>
  <c r="K411" i="1"/>
  <c r="L411" i="1" s="1"/>
  <c r="K1194" i="1"/>
  <c r="L1194" i="1" s="1"/>
  <c r="K1178" i="1"/>
  <c r="L1178" i="1" s="1"/>
  <c r="K1163" i="1"/>
  <c r="L1163" i="1" s="1"/>
  <c r="K1129" i="1"/>
  <c r="L1129" i="1" s="1"/>
  <c r="K1066" i="1"/>
  <c r="L1066" i="1" s="1"/>
  <c r="K1019" i="1"/>
  <c r="L1019" i="1" s="1"/>
  <c r="K988" i="1"/>
  <c r="L988" i="1" s="1"/>
  <c r="K971" i="1"/>
  <c r="L971" i="1" s="1"/>
  <c r="K922" i="1"/>
  <c r="L922" i="1" s="1"/>
  <c r="K889" i="1"/>
  <c r="L889" i="1" s="1"/>
  <c r="K874" i="1"/>
  <c r="L874" i="1" s="1"/>
  <c r="K858" i="1"/>
  <c r="L858" i="1" s="1"/>
  <c r="K826" i="1"/>
  <c r="L826" i="1" s="1"/>
  <c r="K695" i="1"/>
  <c r="L695" i="1" s="1"/>
  <c r="K650" i="1"/>
  <c r="L650" i="1" s="1"/>
  <c r="K634" i="1"/>
  <c r="L634" i="1" s="1"/>
  <c r="K601" i="1"/>
  <c r="L601" i="1" s="1"/>
  <c r="K539" i="1"/>
  <c r="L539" i="1" s="1"/>
  <c r="K522" i="1"/>
  <c r="L522" i="1" s="1"/>
  <c r="K490" i="1"/>
  <c r="L490" i="1" s="1"/>
  <c r="K474" i="1"/>
  <c r="L474" i="1" s="1"/>
  <c r="K427" i="1"/>
  <c r="L427" i="1" s="1"/>
  <c r="K410" i="1"/>
  <c r="L410" i="1" s="1"/>
  <c r="K378" i="1"/>
  <c r="L378" i="1" s="1"/>
  <c r="K234" i="1"/>
  <c r="L234" i="1" s="1"/>
  <c r="K203" i="1"/>
  <c r="L203" i="1" s="1"/>
  <c r="K106" i="1"/>
  <c r="L106" i="1" s="1"/>
  <c r="K74" i="1"/>
  <c r="L74" i="1" s="1"/>
  <c r="K1273" i="1"/>
  <c r="L1273" i="1" s="1"/>
  <c r="K1256" i="1"/>
  <c r="L1256" i="1" s="1"/>
  <c r="K1241" i="1"/>
  <c r="L1241" i="1" s="1"/>
  <c r="K1226" i="1"/>
  <c r="L1226" i="1" s="1"/>
  <c r="K1176" i="1"/>
  <c r="L1176" i="1" s="1"/>
  <c r="K1097" i="1"/>
  <c r="L1097" i="1" s="1"/>
  <c r="K1080" i="1"/>
  <c r="L1080" i="1" s="1"/>
  <c r="K1064" i="1"/>
  <c r="L1064" i="1" s="1"/>
  <c r="K1035" i="1"/>
  <c r="L1035" i="1" s="1"/>
  <c r="K952" i="1"/>
  <c r="L952" i="1" s="1"/>
  <c r="K890" i="1"/>
  <c r="L890" i="1" s="1"/>
  <c r="K873" i="1"/>
  <c r="L873" i="1" s="1"/>
  <c r="K841" i="1"/>
  <c r="L841" i="1" s="1"/>
  <c r="K824" i="1"/>
  <c r="L824" i="1" s="1"/>
  <c r="K777" i="1"/>
  <c r="L777" i="1" s="1"/>
  <c r="K729" i="1"/>
  <c r="L729" i="1" s="1"/>
  <c r="K681" i="1"/>
  <c r="L681" i="1" s="1"/>
  <c r="K616" i="1"/>
  <c r="L616" i="1" s="1"/>
  <c r="K602" i="1"/>
  <c r="L602" i="1" s="1"/>
  <c r="K552" i="1"/>
  <c r="L552" i="1" s="1"/>
  <c r="K489" i="1"/>
  <c r="L489" i="1" s="1"/>
  <c r="K457" i="1"/>
  <c r="L457" i="1" s="1"/>
  <c r="K425" i="1"/>
  <c r="L425" i="1" s="1"/>
  <c r="K409" i="1"/>
  <c r="L409" i="1" s="1"/>
  <c r="K377" i="1"/>
  <c r="L377" i="1" s="1"/>
  <c r="K361" i="1"/>
  <c r="L361" i="1" s="1"/>
  <c r="K330" i="1"/>
  <c r="L330" i="1" s="1"/>
  <c r="K313" i="1"/>
  <c r="L313" i="1" s="1"/>
  <c r="K250" i="1"/>
  <c r="L250" i="1" s="1"/>
  <c r="K185" i="1"/>
  <c r="L185" i="1" s="1"/>
  <c r="K137" i="1"/>
  <c r="L137" i="1" s="1"/>
  <c r="K121" i="1"/>
  <c r="L121" i="1" s="1"/>
  <c r="K89" i="1"/>
  <c r="L89" i="1" s="1"/>
  <c r="K73" i="1"/>
  <c r="L73" i="1" s="1"/>
  <c r="K216" i="1"/>
  <c r="L216" i="1" s="1"/>
  <c r="K136" i="1"/>
  <c r="L136" i="1" s="1"/>
  <c r="K56" i="1"/>
  <c r="L56" i="1" s="1"/>
  <c r="K24" i="1"/>
  <c r="L24" i="1" s="1"/>
  <c r="K8" i="1"/>
  <c r="L8" i="1" s="1"/>
  <c r="K198" i="1"/>
  <c r="L198" i="1" s="1"/>
  <c r="K151" i="1"/>
  <c r="L151" i="1" s="1"/>
  <c r="K134" i="1"/>
  <c r="L134" i="1" s="1"/>
  <c r="K86" i="1"/>
  <c r="L86" i="1" s="1"/>
  <c r="K54" i="1"/>
  <c r="L54" i="1" s="1"/>
  <c r="K38" i="1"/>
  <c r="L38" i="1" s="1"/>
  <c r="K22" i="1"/>
  <c r="L22" i="1" s="1"/>
  <c r="K323" i="1"/>
  <c r="L323" i="1" s="1"/>
  <c r="K293" i="1"/>
  <c r="L293" i="1" s="1"/>
  <c r="K277" i="1"/>
  <c r="L277" i="1" s="1"/>
  <c r="K261" i="1"/>
  <c r="L261" i="1" s="1"/>
  <c r="K245" i="1"/>
  <c r="L245" i="1" s="1"/>
  <c r="K197" i="1"/>
  <c r="L197" i="1" s="1"/>
  <c r="K181" i="1"/>
  <c r="L181" i="1" s="1"/>
  <c r="K100" i="1"/>
  <c r="L100" i="1" s="1"/>
  <c r="K67" i="1"/>
  <c r="L67" i="1" s="1"/>
  <c r="K21" i="1"/>
  <c r="L21" i="1" s="1"/>
  <c r="K5" i="1"/>
  <c r="L5" i="1" s="1"/>
  <c r="K276" i="1"/>
  <c r="L276" i="1" s="1"/>
  <c r="K226" i="1"/>
  <c r="L226" i="1" s="1"/>
  <c r="K196" i="1"/>
  <c r="L196" i="1" s="1"/>
  <c r="K132" i="1"/>
  <c r="L132" i="1" s="1"/>
  <c r="K51" i="1"/>
  <c r="L51" i="1" s="1"/>
  <c r="K291" i="1"/>
  <c r="L291" i="1" s="1"/>
  <c r="K275" i="1"/>
  <c r="L275" i="1" s="1"/>
  <c r="K243" i="1"/>
  <c r="L243" i="1" s="1"/>
  <c r="K228" i="1"/>
  <c r="L228" i="1" s="1"/>
  <c r="K163" i="1"/>
  <c r="L163" i="1" s="1"/>
  <c r="K115" i="1"/>
  <c r="L115" i="1" s="1"/>
  <c r="K84" i="1"/>
  <c r="L84" i="1" s="1"/>
  <c r="K68" i="1"/>
  <c r="L68" i="1" s="1"/>
  <c r="K36" i="1"/>
  <c r="L36" i="1" s="1"/>
  <c r="K19" i="1"/>
  <c r="L19" i="1" s="1"/>
  <c r="K386" i="1"/>
  <c r="L386" i="1" s="1"/>
  <c r="K370" i="1"/>
  <c r="L370" i="1" s="1"/>
  <c r="K339" i="1"/>
  <c r="L339" i="1" s="1"/>
  <c r="K322" i="1"/>
  <c r="L322" i="1" s="1"/>
  <c r="K290" i="1"/>
  <c r="L290" i="1" s="1"/>
  <c r="K242" i="1"/>
  <c r="L242" i="1" s="1"/>
  <c r="K130" i="1"/>
  <c r="L130" i="1" s="1"/>
  <c r="K98" i="1"/>
  <c r="L98" i="1" s="1"/>
  <c r="K82" i="1"/>
  <c r="L82" i="1" s="1"/>
  <c r="K34" i="1"/>
  <c r="L34" i="1" s="1"/>
  <c r="K292" i="1"/>
  <c r="L292" i="1" s="1"/>
  <c r="K225" i="1"/>
  <c r="L225" i="1" s="1"/>
  <c r="K209" i="1"/>
  <c r="L209" i="1" s="1"/>
  <c r="K192" i="1"/>
  <c r="L192" i="1" s="1"/>
  <c r="K145" i="1"/>
  <c r="L145" i="1" s="1"/>
  <c r="K97" i="1"/>
  <c r="L97" i="1" s="1"/>
  <c r="K49" i="1"/>
  <c r="L49" i="1" s="1"/>
  <c r="K33" i="1"/>
  <c r="L33" i="1" s="1"/>
  <c r="K17" i="1"/>
  <c r="L17" i="1" s="1"/>
  <c r="K240" i="1"/>
  <c r="L240" i="1" s="1"/>
  <c r="K206" i="1"/>
  <c r="L206" i="1" s="1"/>
  <c r="K193" i="1"/>
  <c r="L193" i="1" s="1"/>
  <c r="K176" i="1"/>
  <c r="L176" i="1" s="1"/>
  <c r="K160" i="1"/>
  <c r="L160" i="1" s="1"/>
  <c r="K80" i="1"/>
  <c r="L80" i="1" s="1"/>
  <c r="K32" i="1"/>
  <c r="L32" i="1" s="1"/>
  <c r="K335" i="1"/>
  <c r="L335" i="1" s="1"/>
  <c r="K318" i="1"/>
  <c r="L318" i="1" s="1"/>
  <c r="K303" i="1"/>
  <c r="L303" i="1" s="1"/>
  <c r="K256" i="1"/>
  <c r="L256" i="1" s="1"/>
  <c r="K239" i="1"/>
  <c r="L239" i="1" s="1"/>
  <c r="K174" i="1"/>
  <c r="L174" i="1" s="1"/>
  <c r="K159" i="1"/>
  <c r="L159" i="1" s="1"/>
  <c r="K127" i="1"/>
  <c r="L127" i="1" s="1"/>
  <c r="K110" i="1"/>
  <c r="L110" i="1" s="1"/>
  <c r="K31" i="1"/>
  <c r="L31" i="1" s="1"/>
  <c r="K366" i="1"/>
  <c r="L366" i="1" s="1"/>
  <c r="K334" i="1"/>
  <c r="L334" i="1" s="1"/>
  <c r="K286" i="1"/>
  <c r="L286" i="1" s="1"/>
  <c r="K238" i="1"/>
  <c r="L238" i="1" s="1"/>
  <c r="K208" i="1"/>
  <c r="L208" i="1" s="1"/>
  <c r="K175" i="1"/>
  <c r="L175" i="1" s="1"/>
  <c r="K158" i="1"/>
  <c r="L158" i="1" s="1"/>
  <c r="K143" i="1"/>
  <c r="L143" i="1" s="1"/>
  <c r="K125" i="1"/>
  <c r="L125" i="1" s="1"/>
  <c r="K111" i="1"/>
  <c r="L111" i="1" s="1"/>
  <c r="K94" i="1"/>
  <c r="L94" i="1" s="1"/>
  <c r="K61" i="1"/>
  <c r="L61" i="1" s="1"/>
  <c r="K46" i="1"/>
  <c r="L46" i="1" s="1"/>
  <c r="K382" i="1"/>
  <c r="L382" i="1" s="1"/>
  <c r="K365" i="1"/>
  <c r="L365" i="1" s="1"/>
  <c r="K316" i="1"/>
  <c r="L316" i="1" s="1"/>
  <c r="K268" i="1"/>
  <c r="L268" i="1" s="1"/>
  <c r="K253" i="1"/>
  <c r="L253" i="1" s="1"/>
  <c r="K205" i="1"/>
  <c r="L205" i="1" s="1"/>
  <c r="K173" i="1"/>
  <c r="L173" i="1" s="1"/>
  <c r="K157" i="1"/>
  <c r="L157" i="1" s="1"/>
  <c r="K126" i="1"/>
  <c r="L126" i="1" s="1"/>
  <c r="K109" i="1"/>
  <c r="L109" i="1" s="1"/>
  <c r="K29" i="1"/>
  <c r="L29" i="1" s="1"/>
  <c r="K13" i="1"/>
  <c r="L13" i="1" s="1"/>
  <c r="K332" i="1"/>
  <c r="L332" i="1" s="1"/>
  <c r="K300" i="1"/>
  <c r="L300" i="1" s="1"/>
  <c r="K252" i="1"/>
  <c r="L252" i="1" s="1"/>
  <c r="K236" i="1"/>
  <c r="L236" i="1" s="1"/>
  <c r="K188" i="1"/>
  <c r="L188" i="1" s="1"/>
  <c r="K155" i="1"/>
  <c r="L155" i="1" s="1"/>
  <c r="K92" i="1"/>
  <c r="L92" i="1" s="1"/>
  <c r="K76" i="1"/>
  <c r="L76" i="1" s="1"/>
  <c r="K60" i="1"/>
  <c r="L60" i="1" s="1"/>
  <c r="K44" i="1"/>
  <c r="L44" i="1" s="1"/>
  <c r="K28" i="1"/>
  <c r="L28" i="1" s="1"/>
  <c r="K379" i="1"/>
  <c r="L379" i="1" s="1"/>
  <c r="K314" i="1"/>
  <c r="L314" i="1" s="1"/>
  <c r="K299" i="1"/>
  <c r="L299" i="1" s="1"/>
  <c r="K251" i="1"/>
  <c r="L251" i="1" s="1"/>
  <c r="K235" i="1"/>
  <c r="L235" i="1" s="1"/>
  <c r="K219" i="1"/>
  <c r="L219" i="1" s="1"/>
  <c r="K171" i="1"/>
  <c r="L171" i="1" s="1"/>
  <c r="K139" i="1"/>
  <c r="L139" i="1" s="1"/>
  <c r="K124" i="1"/>
  <c r="L124" i="1" s="1"/>
  <c r="K43" i="1"/>
  <c r="L43" i="1" s="1"/>
  <c r="K27" i="1"/>
  <c r="L27" i="1" s="1"/>
  <c r="K11" i="1"/>
  <c r="L11" i="1" s="1"/>
  <c r="F3" i="8"/>
  <c r="G3" i="8" s="1"/>
  <c r="M15" i="2" l="1"/>
  <c r="O16" i="2"/>
  <c r="N16" i="2"/>
  <c r="O6" i="2"/>
  <c r="N6" i="2"/>
  <c r="M6" i="2"/>
  <c r="O7" i="2"/>
  <c r="N7" i="2"/>
  <c r="M9" i="2"/>
  <c r="M14" i="2"/>
  <c r="M7" i="2"/>
  <c r="M17" i="2"/>
  <c r="M10" i="2"/>
  <c r="M11" i="2"/>
  <c r="J1052" i="1"/>
  <c r="K1052" i="1" s="1"/>
  <c r="L1052" i="1" s="1"/>
  <c r="M4" i="2"/>
  <c r="O10" i="2"/>
  <c r="N10" i="2"/>
  <c r="M16" i="2"/>
  <c r="J48" i="1"/>
  <c r="K48" i="1" s="1"/>
  <c r="L48" i="1" s="1"/>
  <c r="J298" i="1"/>
  <c r="K298" i="1" s="1"/>
  <c r="L298" i="1" s="1"/>
  <c r="J1257" i="1"/>
  <c r="K1257" i="1" s="1"/>
  <c r="L1257" i="1" s="1"/>
  <c r="J282" i="1"/>
  <c r="K282" i="1" s="1"/>
  <c r="L282" i="1" s="1"/>
  <c r="J3155" i="1"/>
  <c r="K3155" i="1" s="1"/>
  <c r="L3155" i="1" s="1"/>
  <c r="J2251" i="1"/>
  <c r="K2251" i="1" s="1"/>
  <c r="L2251" i="1" s="1"/>
  <c r="J680" i="1"/>
  <c r="K680" i="1" s="1"/>
  <c r="L680" i="1" s="1"/>
  <c r="J3" i="1"/>
  <c r="K3" i="1" s="1"/>
  <c r="L3" i="1" s="1"/>
  <c r="J35" i="1"/>
  <c r="B16" i="9"/>
  <c r="J315" i="1"/>
  <c r="L10" i="2"/>
  <c r="L16" i="2"/>
  <c r="L6" i="2"/>
  <c r="L7" i="2"/>
  <c r="J4652" i="1"/>
  <c r="K4652" i="1" s="1"/>
  <c r="L14" i="2"/>
  <c r="L4" i="2"/>
  <c r="H2587" i="1"/>
  <c r="I2587" i="1" s="1"/>
  <c r="J2587" i="1" s="1"/>
  <c r="K2587" i="1" s="1"/>
  <c r="L17" i="2"/>
  <c r="L9" i="2"/>
  <c r="F13" i="8"/>
  <c r="G13" i="8" s="1"/>
  <c r="H3748" i="1"/>
  <c r="I3748" i="1" s="1"/>
  <c r="J3748" i="1" s="1"/>
  <c r="K3748" i="1" s="1"/>
  <c r="L3748" i="1" s="1"/>
  <c r="H4605" i="1"/>
  <c r="I4605" i="1" s="1"/>
  <c r="J4605" i="1" s="1"/>
  <c r="K4605" i="1" s="1"/>
  <c r="L4605" i="1" s="1"/>
  <c r="H4468" i="1"/>
  <c r="I4468" i="1" s="1"/>
  <c r="J4468" i="1" s="1"/>
  <c r="K4468" i="1" s="1"/>
  <c r="L4468" i="1" s="1"/>
  <c r="H1610" i="1"/>
  <c r="I1610" i="1" s="1"/>
  <c r="J1610" i="1" s="1"/>
  <c r="K1610" i="1" s="1"/>
  <c r="L1610" i="1" s="1"/>
  <c r="H4202" i="1"/>
  <c r="I4202" i="1" s="1"/>
  <c r="J4202" i="1" s="1"/>
  <c r="K4202" i="1" s="1"/>
  <c r="L4202" i="1" s="1"/>
  <c r="H1835" i="1"/>
  <c r="I1835" i="1" s="1"/>
  <c r="J1835" i="1" s="1"/>
  <c r="K1835" i="1" s="1"/>
  <c r="L1835" i="1" s="1"/>
  <c r="H476" i="1"/>
  <c r="I476" i="1" s="1"/>
  <c r="J476" i="1" s="1"/>
  <c r="K476" i="1" s="1"/>
  <c r="L476" i="1" s="1"/>
  <c r="H2214" i="1"/>
  <c r="I2214" i="1" s="1"/>
  <c r="J2214" i="1" s="1"/>
  <c r="K2214" i="1" s="1"/>
  <c r="L2214" i="1" s="1"/>
  <c r="H5177" i="1"/>
  <c r="I5177" i="1" s="1"/>
  <c r="J5177" i="1" s="1"/>
  <c r="K5177" i="1" s="1"/>
  <c r="L5177" i="1" s="1"/>
  <c r="H2158" i="1"/>
  <c r="I2158" i="1" s="1"/>
  <c r="J2158" i="1" s="1"/>
  <c r="K2158" i="1" s="1"/>
  <c r="L2158" i="1" s="1"/>
  <c r="H4271" i="1"/>
  <c r="I4271" i="1" s="1"/>
  <c r="J4271" i="1" s="1"/>
  <c r="K4271" i="1" s="1"/>
  <c r="L4271" i="1" s="1"/>
  <c r="H2174" i="1"/>
  <c r="I2174" i="1" s="1"/>
  <c r="J2174" i="1" s="1"/>
  <c r="K2174" i="1" s="1"/>
  <c r="L2174" i="1" s="1"/>
  <c r="H5568" i="1"/>
  <c r="I5568" i="1" s="1"/>
  <c r="J5568" i="1" s="1"/>
  <c r="K5568" i="1" s="1"/>
  <c r="L5568" i="1" s="1"/>
  <c r="H5188" i="1"/>
  <c r="I5188" i="1" s="1"/>
  <c r="J5188" i="1" s="1"/>
  <c r="K5188" i="1" s="1"/>
  <c r="L5188" i="1" s="1"/>
  <c r="H2966" i="1"/>
  <c r="I2966" i="1" s="1"/>
  <c r="J2966" i="1" s="1"/>
  <c r="K2966" i="1" s="1"/>
  <c r="L2966" i="1" s="1"/>
  <c r="H1461" i="1"/>
  <c r="I1461" i="1" s="1"/>
  <c r="J1461" i="1" s="1"/>
  <c r="K1461" i="1" s="1"/>
  <c r="L1461" i="1" s="1"/>
  <c r="H5403" i="1"/>
  <c r="I5403" i="1" s="1"/>
  <c r="J5403" i="1" s="1"/>
  <c r="K5403" i="1" s="1"/>
  <c r="L5403" i="1" s="1"/>
  <c r="H1937" i="1"/>
  <c r="I1937" i="1" s="1"/>
  <c r="J1937" i="1" s="1"/>
  <c r="K1937" i="1" s="1"/>
  <c r="L1937" i="1" s="1"/>
  <c r="H1167" i="1"/>
  <c r="I1167" i="1" s="1"/>
  <c r="J1167" i="1" s="1"/>
  <c r="K1167" i="1" s="1"/>
  <c r="L1167" i="1" s="1"/>
  <c r="H3978" i="1"/>
  <c r="I3978" i="1" s="1"/>
  <c r="J3978" i="1" s="1"/>
  <c r="K3978" i="1" s="1"/>
  <c r="L3978" i="1" s="1"/>
  <c r="H5862" i="1"/>
  <c r="I5862" i="1" s="1"/>
  <c r="J5862" i="1" s="1"/>
  <c r="K5862" i="1" s="1"/>
  <c r="L5862" i="1" s="1"/>
  <c r="H4925" i="1"/>
  <c r="I4925" i="1" s="1"/>
  <c r="J4925" i="1" s="1"/>
  <c r="K4925" i="1" s="1"/>
  <c r="L4925" i="1" s="1"/>
  <c r="H2189" i="1"/>
  <c r="I2189" i="1" s="1"/>
  <c r="J2189" i="1" s="1"/>
  <c r="K2189" i="1" s="1"/>
  <c r="L2189" i="1" s="1"/>
  <c r="H3070" i="1"/>
  <c r="I3070" i="1" s="1"/>
  <c r="J3070" i="1" s="1"/>
  <c r="K3070" i="1" s="1"/>
  <c r="L3070" i="1" s="1"/>
  <c r="H77" i="1"/>
  <c r="I77" i="1" s="1"/>
  <c r="J77" i="1" s="1"/>
  <c r="K77" i="1" s="1"/>
  <c r="L77" i="1" s="1"/>
  <c r="H4989" i="1"/>
  <c r="I4989" i="1" s="1"/>
  <c r="J4989" i="1" s="1"/>
  <c r="K4989" i="1" s="1"/>
  <c r="L4989" i="1" s="1"/>
  <c r="H2203" i="1"/>
  <c r="I2203" i="1" s="1"/>
  <c r="J2203" i="1" s="1"/>
  <c r="K2203" i="1" s="1"/>
  <c r="L2203" i="1" s="1"/>
  <c r="H5599" i="1"/>
  <c r="I5599" i="1" s="1"/>
  <c r="J5599" i="1" s="1"/>
  <c r="K5599" i="1" s="1"/>
  <c r="L5599" i="1" s="1"/>
  <c r="H997" i="1"/>
  <c r="I997" i="1" s="1"/>
  <c r="J997" i="1" s="1"/>
  <c r="K997" i="1" s="1"/>
  <c r="L997" i="1" s="1"/>
  <c r="H1518" i="1"/>
  <c r="I1518" i="1" s="1"/>
  <c r="J1518" i="1" s="1"/>
  <c r="K1518" i="1" s="1"/>
  <c r="L1518" i="1" s="1"/>
  <c r="H2312" i="1"/>
  <c r="I2312" i="1" s="1"/>
  <c r="J2312" i="1" s="1"/>
  <c r="K2312" i="1" s="1"/>
  <c r="L2312" i="1" s="1"/>
  <c r="H1803" i="1"/>
  <c r="I1803" i="1" s="1"/>
  <c r="J1803" i="1" s="1"/>
  <c r="K1803" i="1" s="1"/>
  <c r="L1803" i="1" s="1"/>
  <c r="H1794" i="1"/>
  <c r="I1794" i="1" s="1"/>
  <c r="J1794" i="1" s="1"/>
  <c r="K1794" i="1" s="1"/>
  <c r="L1794" i="1" s="1"/>
  <c r="H2083" i="1"/>
  <c r="I2083" i="1" s="1"/>
  <c r="J2083" i="1" s="1"/>
  <c r="K2083" i="1" s="1"/>
  <c r="L2083" i="1" s="1"/>
  <c r="H866" i="1"/>
  <c r="I866" i="1" s="1"/>
  <c r="J866" i="1" s="1"/>
  <c r="K866" i="1" s="1"/>
  <c r="L866" i="1" s="1"/>
  <c r="H1840" i="1"/>
  <c r="I1840" i="1" s="1"/>
  <c r="J1840" i="1" s="1"/>
  <c r="K1840" i="1" s="1"/>
  <c r="L1840" i="1" s="1"/>
  <c r="H5878" i="1"/>
  <c r="I5878" i="1" s="1"/>
  <c r="J5878" i="1" s="1"/>
  <c r="K5878" i="1" s="1"/>
  <c r="L5878" i="1" s="1"/>
  <c r="H2912" i="1"/>
  <c r="I2912" i="1" s="1"/>
  <c r="J2912" i="1" s="1"/>
  <c r="K2912" i="1" s="1"/>
  <c r="L2912" i="1" s="1"/>
  <c r="H1319" i="1"/>
  <c r="I1319" i="1" s="1"/>
  <c r="J1319" i="1" s="1"/>
  <c r="K1319" i="1" s="1"/>
  <c r="L1319" i="1" s="1"/>
  <c r="H1736" i="1"/>
  <c r="I1736" i="1" s="1"/>
  <c r="J1736" i="1" s="1"/>
  <c r="K1736" i="1" s="1"/>
  <c r="L1736" i="1" s="1"/>
  <c r="H4143" i="1"/>
  <c r="I4143" i="1" s="1"/>
  <c r="J4143" i="1" s="1"/>
  <c r="K4143" i="1" s="1"/>
  <c r="L4143" i="1" s="1"/>
  <c r="H2471" i="1"/>
  <c r="I2471" i="1" s="1"/>
  <c r="J2471" i="1" s="1"/>
  <c r="K2471" i="1" s="1"/>
  <c r="L2471" i="1" s="1"/>
  <c r="H5167" i="1"/>
  <c r="I5167" i="1" s="1"/>
  <c r="J5167" i="1" s="1"/>
  <c r="K5167" i="1" s="1"/>
  <c r="L5167" i="1" s="1"/>
  <c r="H5244" i="1"/>
  <c r="I5244" i="1" s="1"/>
  <c r="J5244" i="1" s="1"/>
  <c r="K5244" i="1" s="1"/>
  <c r="L5244" i="1" s="1"/>
  <c r="H2188" i="1"/>
  <c r="I2188" i="1" s="1"/>
  <c r="J2188" i="1" s="1"/>
  <c r="K2188" i="1" s="1"/>
  <c r="L2188" i="1" s="1"/>
  <c r="H1422" i="1"/>
  <c r="I1422" i="1" s="1"/>
  <c r="J1422" i="1" s="1"/>
  <c r="K1422" i="1" s="1"/>
  <c r="L1422" i="1" s="1"/>
  <c r="H438" i="1"/>
  <c r="I438" i="1" s="1"/>
  <c r="J438" i="1" s="1"/>
  <c r="K438" i="1" s="1"/>
  <c r="L438" i="1" s="1"/>
  <c r="H3826" i="1"/>
  <c r="I3826" i="1" s="1"/>
  <c r="J3826" i="1" s="1"/>
  <c r="K3826" i="1" s="1"/>
  <c r="L3826" i="1" s="1"/>
  <c r="H469" i="1"/>
  <c r="I469" i="1" s="1"/>
  <c r="J469" i="1" s="1"/>
  <c r="K469" i="1" s="1"/>
  <c r="L469" i="1" s="1"/>
  <c r="H1871" i="1"/>
  <c r="I1871" i="1" s="1"/>
  <c r="J1871" i="1" s="1"/>
  <c r="K1871" i="1" s="1"/>
  <c r="L1871" i="1" s="1"/>
  <c r="H4153" i="1"/>
  <c r="I4153" i="1" s="1"/>
  <c r="J4153" i="1" s="1"/>
  <c r="K4153" i="1" s="1"/>
  <c r="L4153" i="1" s="1"/>
  <c r="H4428" i="1"/>
  <c r="I4428" i="1" s="1"/>
  <c r="J4428" i="1" s="1"/>
  <c r="K4428" i="1" s="1"/>
  <c r="L4428" i="1" s="1"/>
  <c r="H4336" i="1"/>
  <c r="I4336" i="1" s="1"/>
  <c r="J4336" i="1" s="1"/>
  <c r="K4336" i="1" s="1"/>
  <c r="L4336" i="1" s="1"/>
  <c r="H3316" i="1"/>
  <c r="I3316" i="1" s="1"/>
  <c r="J3316" i="1" s="1"/>
  <c r="K3316" i="1" s="1"/>
  <c r="L3316" i="1" s="1"/>
  <c r="H321" i="1"/>
  <c r="I321" i="1" s="1"/>
  <c r="J321" i="1" s="1"/>
  <c r="K321" i="1" s="1"/>
  <c r="L321" i="1" s="1"/>
  <c r="H1206" i="1"/>
  <c r="I1206" i="1" s="1"/>
  <c r="J1206" i="1" s="1"/>
  <c r="K1206" i="1" s="1"/>
  <c r="L1206" i="1" s="1"/>
  <c r="H1501" i="1"/>
  <c r="I1501" i="1" s="1"/>
  <c r="J1501" i="1" s="1"/>
  <c r="K1501" i="1" s="1"/>
  <c r="L1501" i="1" s="1"/>
  <c r="H4670" i="1"/>
  <c r="I4670" i="1" s="1"/>
  <c r="J4670" i="1" s="1"/>
  <c r="K4670" i="1" s="1"/>
  <c r="L4670" i="1" s="1"/>
  <c r="H1681" i="1"/>
  <c r="I1681" i="1" s="1"/>
  <c r="J1681" i="1" s="1"/>
  <c r="K1681" i="1" s="1"/>
  <c r="L1681" i="1" s="1"/>
  <c r="H2857" i="1"/>
  <c r="I2857" i="1" s="1"/>
  <c r="J2857" i="1" s="1"/>
  <c r="K2857" i="1" s="1"/>
  <c r="L2857" i="1" s="1"/>
  <c r="H2938" i="1"/>
  <c r="I2938" i="1" s="1"/>
  <c r="J2938" i="1" s="1"/>
  <c r="K2938" i="1" s="1"/>
  <c r="L2938" i="1" s="1"/>
  <c r="H1058" i="1"/>
  <c r="I1058" i="1" s="1"/>
  <c r="J1058" i="1" s="1"/>
  <c r="K1058" i="1" s="1"/>
  <c r="L1058" i="1" s="1"/>
  <c r="H195" i="1"/>
  <c r="I195" i="1" s="1"/>
  <c r="J195" i="1" s="1"/>
  <c r="K195" i="1" s="1"/>
  <c r="L195" i="1" s="1"/>
  <c r="H1616" i="1"/>
  <c r="I1616" i="1" s="1"/>
  <c r="J1616" i="1" s="1"/>
  <c r="K1616" i="1" s="1"/>
  <c r="L1616" i="1" s="1"/>
  <c r="H4187" i="1"/>
  <c r="I4187" i="1" s="1"/>
  <c r="J4187" i="1" s="1"/>
  <c r="K4187" i="1" s="1"/>
  <c r="L4187" i="1" s="1"/>
  <c r="H1135" i="1"/>
  <c r="I1135" i="1" s="1"/>
  <c r="J1135" i="1" s="1"/>
  <c r="K1135" i="1" s="1"/>
  <c r="L1135" i="1" s="1"/>
  <c r="H4283" i="1"/>
  <c r="I4283" i="1" s="1"/>
  <c r="J4283" i="1" s="1"/>
  <c r="K4283" i="1" s="1"/>
  <c r="L4283" i="1" s="1"/>
  <c r="H4472" i="1"/>
  <c r="I4472" i="1" s="1"/>
  <c r="J4472" i="1" s="1"/>
  <c r="K4472" i="1" s="1"/>
  <c r="L4472" i="1" s="1"/>
  <c r="H1609" i="1"/>
  <c r="I1609" i="1" s="1"/>
  <c r="J1609" i="1" s="1"/>
  <c r="K1609" i="1" s="1"/>
  <c r="L1609" i="1" s="1"/>
  <c r="H973" i="1"/>
  <c r="I973" i="1" s="1"/>
  <c r="J973" i="1" s="1"/>
  <c r="K973" i="1" s="1"/>
  <c r="L973" i="1" s="1"/>
  <c r="H2362" i="1"/>
  <c r="I2362" i="1" s="1"/>
  <c r="J2362" i="1" s="1"/>
  <c r="K2362" i="1" s="1"/>
  <c r="L2362" i="1" s="1"/>
  <c r="H1321" i="1"/>
  <c r="I1321" i="1" s="1"/>
  <c r="J1321" i="1" s="1"/>
  <c r="K1321" i="1" s="1"/>
  <c r="L1321" i="1" s="1"/>
  <c r="H3360" i="1"/>
  <c r="I3360" i="1" s="1"/>
  <c r="J3360" i="1" s="1"/>
  <c r="K3360" i="1" s="1"/>
  <c r="L3360" i="1" s="1"/>
  <c r="H5971" i="1"/>
  <c r="I5971" i="1" s="1"/>
  <c r="J5971" i="1" s="1"/>
  <c r="K5971" i="1" s="1"/>
  <c r="L5971" i="1" s="1"/>
  <c r="H5903" i="1"/>
  <c r="I5903" i="1" s="1"/>
  <c r="J5903" i="1" s="1"/>
  <c r="K5903" i="1" s="1"/>
  <c r="L5903" i="1" s="1"/>
  <c r="H1968" i="1"/>
  <c r="I1968" i="1" s="1"/>
  <c r="J1968" i="1" s="1"/>
  <c r="K1968" i="1" s="1"/>
  <c r="L1968" i="1" s="1"/>
  <c r="H3671" i="1"/>
  <c r="I3671" i="1" s="1"/>
  <c r="J3671" i="1" s="1"/>
  <c r="K3671" i="1" s="1"/>
  <c r="L3671" i="1" s="1"/>
  <c r="H3181" i="1"/>
  <c r="I3181" i="1" s="1"/>
  <c r="J3181" i="1" s="1"/>
  <c r="K3181" i="1" s="1"/>
  <c r="L3181" i="1" s="1"/>
  <c r="H4790" i="1"/>
  <c r="I4790" i="1" s="1"/>
  <c r="J4790" i="1" s="1"/>
  <c r="K4790" i="1" s="1"/>
  <c r="L4790" i="1" s="1"/>
  <c r="H2355" i="1"/>
  <c r="I2355" i="1" s="1"/>
  <c r="J2355" i="1" s="1"/>
  <c r="K2355" i="1" s="1"/>
  <c r="L2355" i="1" s="1"/>
  <c r="H5708" i="1"/>
  <c r="I5708" i="1" s="1"/>
  <c r="J5708" i="1" s="1"/>
  <c r="K5708" i="1" s="1"/>
  <c r="L5708" i="1" s="1"/>
  <c r="H744" i="1"/>
  <c r="I744" i="1" s="1"/>
  <c r="J744" i="1" s="1"/>
  <c r="K744" i="1" s="1"/>
  <c r="L744" i="1" s="1"/>
  <c r="H1580" i="1"/>
  <c r="I1580" i="1" s="1"/>
  <c r="J1580" i="1" s="1"/>
  <c r="K1580" i="1" s="1"/>
  <c r="L1580" i="1" s="1"/>
  <c r="H969" i="1"/>
  <c r="I969" i="1" s="1"/>
  <c r="J969" i="1" s="1"/>
  <c r="K969" i="1" s="1"/>
  <c r="L969" i="1" s="1"/>
  <c r="H1085" i="1"/>
  <c r="I1085" i="1" s="1"/>
  <c r="J1085" i="1" s="1"/>
  <c r="K1085" i="1" s="1"/>
  <c r="L1085" i="1" s="1"/>
  <c r="H4048" i="1"/>
  <c r="I4048" i="1" s="1"/>
  <c r="J4048" i="1" s="1"/>
  <c r="K4048" i="1" s="1"/>
  <c r="L4048" i="1" s="1"/>
  <c r="H230" i="1"/>
  <c r="I230" i="1" s="1"/>
  <c r="J230" i="1" s="1"/>
  <c r="K230" i="1" s="1"/>
  <c r="L230" i="1" s="1"/>
  <c r="H584" i="1"/>
  <c r="I584" i="1" s="1"/>
  <c r="J584" i="1" s="1"/>
  <c r="K584" i="1" s="1"/>
  <c r="L584" i="1" s="1"/>
  <c r="H3607" i="1"/>
  <c r="I3607" i="1" s="1"/>
  <c r="J3607" i="1" s="1"/>
  <c r="K3607" i="1" s="1"/>
  <c r="L3607" i="1" s="1"/>
  <c r="H1919" i="1"/>
  <c r="I1919" i="1" s="1"/>
  <c r="J1919" i="1" s="1"/>
  <c r="K1919" i="1" s="1"/>
  <c r="L1919" i="1" s="1"/>
  <c r="H5895" i="1"/>
  <c r="I5895" i="1" s="1"/>
  <c r="J5895" i="1" s="1"/>
  <c r="K5895" i="1" s="1"/>
  <c r="L5895" i="1" s="1"/>
  <c r="H1487" i="1"/>
  <c r="I1487" i="1" s="1"/>
  <c r="J1487" i="1" s="1"/>
  <c r="K1487" i="1" s="1"/>
  <c r="L1487" i="1" s="1"/>
  <c r="H1128" i="1"/>
  <c r="I1128" i="1" s="1"/>
  <c r="J1128" i="1" s="1"/>
  <c r="K1128" i="1" s="1"/>
  <c r="L1128" i="1" s="1"/>
  <c r="H5935" i="1"/>
  <c r="I5935" i="1" s="1"/>
  <c r="J5935" i="1" s="1"/>
  <c r="K5935" i="1" s="1"/>
  <c r="L5935" i="1" s="1"/>
  <c r="H1311" i="1"/>
  <c r="I1311" i="1" s="1"/>
  <c r="J1311" i="1" s="1"/>
  <c r="K1311" i="1" s="1"/>
  <c r="L1311" i="1" s="1"/>
  <c r="H345" i="1"/>
  <c r="I345" i="1" s="1"/>
  <c r="J345" i="1" s="1"/>
  <c r="K345" i="1" s="1"/>
  <c r="L345" i="1" s="1"/>
  <c r="H5166" i="1"/>
  <c r="I5166" i="1" s="1"/>
  <c r="J5166" i="1" s="1"/>
  <c r="K5166" i="1" s="1"/>
  <c r="L5166" i="1" s="1"/>
  <c r="H5210" i="1"/>
  <c r="I5210" i="1" s="1"/>
  <c r="J5210" i="1" s="1"/>
  <c r="K5210" i="1" s="1"/>
  <c r="L5210" i="1" s="1"/>
  <c r="H2371" i="1"/>
  <c r="I2371" i="1" s="1"/>
  <c r="J2371" i="1" s="1"/>
  <c r="K2371" i="1" s="1"/>
  <c r="L2371" i="1" s="1"/>
  <c r="H1414" i="1"/>
  <c r="I1414" i="1" s="1"/>
  <c r="J1414" i="1" s="1"/>
  <c r="K1414" i="1" s="1"/>
  <c r="L1414" i="1" s="1"/>
  <c r="H1434" i="1"/>
  <c r="I1434" i="1" s="1"/>
  <c r="J1434" i="1" s="1"/>
  <c r="K1434" i="1" s="1"/>
  <c r="L1434" i="1" s="1"/>
  <c r="H328" i="1"/>
  <c r="I328" i="1" s="1"/>
  <c r="J328" i="1" s="1"/>
  <c r="K328" i="1" s="1"/>
  <c r="L328" i="1" s="1"/>
  <c r="H2626" i="1"/>
  <c r="I2626" i="1" s="1"/>
  <c r="J2626" i="1" s="1"/>
  <c r="K2626" i="1" s="1"/>
  <c r="L2626" i="1" s="1"/>
  <c r="H5547" i="1"/>
  <c r="I5547" i="1" s="1"/>
  <c r="J5547" i="1" s="1"/>
  <c r="K5547" i="1" s="1"/>
  <c r="L5547" i="1" s="1"/>
  <c r="H152" i="1"/>
  <c r="I152" i="1" s="1"/>
  <c r="J152" i="1" s="1"/>
  <c r="K152" i="1" s="1"/>
  <c r="L152" i="1" s="1"/>
  <c r="H5204" i="1"/>
  <c r="I5204" i="1" s="1"/>
  <c r="J5204" i="1" s="1"/>
  <c r="K5204" i="1" s="1"/>
  <c r="L5204" i="1" s="1"/>
  <c r="H3899" i="1"/>
  <c r="I3899" i="1" s="1"/>
  <c r="J3899" i="1" s="1"/>
  <c r="K3899" i="1" s="1"/>
  <c r="L3899" i="1" s="1"/>
  <c r="H1617" i="1"/>
  <c r="I1617" i="1" s="1"/>
  <c r="J1617" i="1" s="1"/>
  <c r="K1617" i="1" s="1"/>
  <c r="L1617" i="1" s="1"/>
  <c r="H4257" i="1"/>
  <c r="I4257" i="1" s="1"/>
  <c r="J4257" i="1" s="1"/>
  <c r="K4257" i="1" s="1"/>
  <c r="L4257" i="1" s="1"/>
  <c r="H85" i="1"/>
  <c r="I85" i="1" s="1"/>
  <c r="J85" i="1" s="1"/>
  <c r="K85" i="1" s="1"/>
  <c r="L85" i="1" s="1"/>
  <c r="H2973" i="1"/>
  <c r="I2973" i="1" s="1"/>
  <c r="J2973" i="1" s="1"/>
  <c r="K2973" i="1" s="1"/>
  <c r="L2973" i="1" s="1"/>
  <c r="H953" i="1"/>
  <c r="I953" i="1" s="1"/>
  <c r="J953" i="1" s="1"/>
  <c r="K953" i="1" s="1"/>
  <c r="L953" i="1" s="1"/>
  <c r="H5737" i="1"/>
  <c r="I5737" i="1" s="1"/>
  <c r="J5737" i="1" s="1"/>
  <c r="K5737" i="1" s="1"/>
  <c r="L5737" i="1" s="1"/>
  <c r="H4308" i="1"/>
  <c r="I4308" i="1" s="1"/>
  <c r="J4308" i="1" s="1"/>
  <c r="K4308" i="1" s="1"/>
  <c r="L4308" i="1" s="1"/>
  <c r="H3129" i="1"/>
  <c r="I3129" i="1" s="1"/>
  <c r="J3129" i="1" s="1"/>
  <c r="K3129" i="1" s="1"/>
  <c r="L3129" i="1" s="1"/>
  <c r="H4985" i="1"/>
  <c r="I4985" i="1" s="1"/>
  <c r="J4985" i="1" s="1"/>
  <c r="K4985" i="1" s="1"/>
  <c r="L4985" i="1" s="1"/>
  <c r="H4669" i="1"/>
  <c r="I4669" i="1" s="1"/>
  <c r="J4669" i="1" s="1"/>
  <c r="K4669" i="1" s="1"/>
  <c r="L4669" i="1" s="1"/>
  <c r="H2166" i="1"/>
  <c r="I2166" i="1" s="1"/>
  <c r="J2166" i="1" s="1"/>
  <c r="K2166" i="1" s="1"/>
  <c r="L2166" i="1" s="1"/>
  <c r="H2066" i="1"/>
  <c r="I2066" i="1" s="1"/>
  <c r="J2066" i="1" s="1"/>
  <c r="K2066" i="1" s="1"/>
  <c r="L2066" i="1" s="1"/>
  <c r="H1372" i="1"/>
  <c r="I1372" i="1" s="1"/>
  <c r="J1372" i="1" s="1"/>
  <c r="K1372" i="1" s="1"/>
  <c r="L1372" i="1" s="1"/>
  <c r="H307" i="1"/>
  <c r="I307" i="1" s="1"/>
  <c r="M8" i="2" s="1"/>
  <c r="H5222" i="1"/>
  <c r="I5222" i="1" s="1"/>
  <c r="J5222" i="1" s="1"/>
  <c r="K5222" i="1" s="1"/>
  <c r="L5222" i="1" s="1"/>
  <c r="H1111" i="1"/>
  <c r="I1111" i="1" s="1"/>
  <c r="J1111" i="1" s="1"/>
  <c r="K1111" i="1" s="1"/>
  <c r="L1111" i="1" s="1"/>
  <c r="H1590" i="1"/>
  <c r="I1590" i="1" s="1"/>
  <c r="J1590" i="1" s="1"/>
  <c r="K1590" i="1" s="1"/>
  <c r="L1590" i="1" s="1"/>
  <c r="H3780" i="1"/>
  <c r="I3780" i="1" s="1"/>
  <c r="J3780" i="1" s="1"/>
  <c r="K3780" i="1" s="1"/>
  <c r="L3780" i="1" s="1"/>
  <c r="H4849" i="1"/>
  <c r="I4849" i="1" s="1"/>
  <c r="J4849" i="1" s="1"/>
  <c r="K4849" i="1" s="1"/>
  <c r="L4849" i="1" s="1"/>
  <c r="H3918" i="1"/>
  <c r="I3918" i="1" s="1"/>
  <c r="J3918" i="1" s="1"/>
  <c r="K3918" i="1" s="1"/>
  <c r="L3918" i="1" s="1"/>
  <c r="H122" i="1"/>
  <c r="I122" i="1" s="1"/>
  <c r="J122" i="1" s="1"/>
  <c r="K122" i="1" s="1"/>
  <c r="L122" i="1" s="1"/>
  <c r="H3657" i="1"/>
  <c r="I3657" i="1" s="1"/>
  <c r="J3657" i="1" s="1"/>
  <c r="K3657" i="1" s="1"/>
  <c r="L3657" i="1" s="1"/>
  <c r="H677" i="1"/>
  <c r="I677" i="1" s="1"/>
  <c r="J677" i="1" s="1"/>
  <c r="K677" i="1" s="1"/>
  <c r="L677" i="1" s="1"/>
  <c r="H3271" i="1"/>
  <c r="I3271" i="1" s="1"/>
  <c r="J3271" i="1" s="1"/>
  <c r="K3271" i="1" s="1"/>
  <c r="L3271" i="1" s="1"/>
  <c r="H5383" i="1"/>
  <c r="I5383" i="1" s="1"/>
  <c r="J5383" i="1" s="1"/>
  <c r="K5383" i="1" s="1"/>
  <c r="L5383" i="1" s="1"/>
  <c r="H2688" i="1"/>
  <c r="I2688" i="1" s="1"/>
  <c r="J2688" i="1" s="1"/>
  <c r="K2688" i="1" s="1"/>
  <c r="L2688" i="1" s="1"/>
  <c r="H1165" i="1"/>
  <c r="I1165" i="1" s="1"/>
  <c r="J1165" i="1" s="1"/>
  <c r="K1165" i="1" s="1"/>
  <c r="L1165" i="1" s="1"/>
  <c r="H5026" i="1"/>
  <c r="I5026" i="1" s="1"/>
  <c r="J5026" i="1" s="1"/>
  <c r="K5026" i="1" s="1"/>
  <c r="L5026" i="1" s="1"/>
  <c r="H5906" i="1"/>
  <c r="I5906" i="1" s="1"/>
  <c r="J5906" i="1" s="1"/>
  <c r="K5906" i="1" s="1"/>
  <c r="L5906" i="1" s="1"/>
  <c r="H5425" i="1"/>
  <c r="I5425" i="1" s="1"/>
  <c r="J5425" i="1" s="1"/>
  <c r="K5425" i="1" s="1"/>
  <c r="L5425" i="1" s="1"/>
  <c r="H5805" i="1"/>
  <c r="I5805" i="1" s="1"/>
  <c r="J5805" i="1" s="1"/>
  <c r="K5805" i="1" s="1"/>
  <c r="L5805" i="1" s="1"/>
  <c r="H3944" i="1"/>
  <c r="I3944" i="1" s="1"/>
  <c r="J3944" i="1" s="1"/>
  <c r="K3944" i="1" s="1"/>
  <c r="L3944" i="1" s="1"/>
  <c r="H4627" i="1"/>
  <c r="I4627" i="1" s="1"/>
  <c r="J4627" i="1" s="1"/>
  <c r="K4627" i="1" s="1"/>
  <c r="L4627" i="1" s="1"/>
  <c r="H1185" i="1"/>
  <c r="I1185" i="1" s="1"/>
  <c r="J1185" i="1" s="1"/>
  <c r="K1185" i="1" s="1"/>
  <c r="L1185" i="1" s="1"/>
  <c r="H3721" i="1"/>
  <c r="I3721" i="1" s="1"/>
  <c r="J3721" i="1" s="1"/>
  <c r="K3721" i="1" s="1"/>
  <c r="L3721" i="1" s="1"/>
  <c r="H1668" i="1"/>
  <c r="I1668" i="1" s="1"/>
  <c r="J1668" i="1" s="1"/>
  <c r="K1668" i="1" s="1"/>
  <c r="L1668" i="1" s="1"/>
  <c r="H696" i="1"/>
  <c r="I696" i="1" s="1"/>
  <c r="J696" i="1" s="1"/>
  <c r="K696" i="1" s="1"/>
  <c r="L696" i="1" s="1"/>
  <c r="H4551" i="1"/>
  <c r="I4551" i="1" s="1"/>
  <c r="J4551" i="1" s="1"/>
  <c r="K4551" i="1" s="1"/>
  <c r="L4551" i="1" s="1"/>
  <c r="H4104" i="1"/>
  <c r="I4104" i="1" s="1"/>
  <c r="J4104" i="1" s="1"/>
  <c r="K4104" i="1" s="1"/>
  <c r="L4104" i="1" s="1"/>
  <c r="H1631" i="1"/>
  <c r="I1631" i="1" s="1"/>
  <c r="J1631" i="1" s="1"/>
  <c r="K1631" i="1" s="1"/>
  <c r="L1631" i="1" s="1"/>
  <c r="H487" i="1"/>
  <c r="I487" i="1" s="1"/>
  <c r="J487" i="1" s="1"/>
  <c r="K487" i="1" s="1"/>
  <c r="L487" i="1" s="1"/>
  <c r="H2131" i="1"/>
  <c r="I2131" i="1" s="1"/>
  <c r="J2131" i="1" s="1"/>
  <c r="K2131" i="1" s="1"/>
  <c r="L2131" i="1" s="1"/>
  <c r="H2230" i="1"/>
  <c r="I2230" i="1" s="1"/>
  <c r="J2230" i="1" s="1"/>
  <c r="K2230" i="1" s="1"/>
  <c r="L2230" i="1" s="1"/>
  <c r="H5206" i="1"/>
  <c r="I5206" i="1" s="1"/>
  <c r="J5206" i="1" s="1"/>
  <c r="K5206" i="1" s="1"/>
  <c r="L5206" i="1" s="1"/>
  <c r="H4033" i="1"/>
  <c r="I4033" i="1" s="1"/>
  <c r="J4033" i="1" s="1"/>
  <c r="K4033" i="1" s="1"/>
  <c r="L4033" i="1" s="1"/>
  <c r="H385" i="1"/>
  <c r="I385" i="1" s="1"/>
  <c r="J385" i="1" s="1"/>
  <c r="K385" i="1" s="1"/>
  <c r="L385" i="1" s="1"/>
  <c r="H3162" i="1"/>
  <c r="I3162" i="1" s="1"/>
  <c r="J3162" i="1" s="1"/>
  <c r="K3162" i="1" s="1"/>
  <c r="L3162" i="1" s="1"/>
  <c r="H4761" i="1"/>
  <c r="I4761" i="1" s="1"/>
  <c r="J4761" i="1" s="1"/>
  <c r="K4761" i="1" s="1"/>
  <c r="L4761" i="1" s="1"/>
  <c r="H4087" i="1"/>
  <c r="I4087" i="1" s="1"/>
  <c r="J4087" i="1" s="1"/>
  <c r="K4087" i="1" s="1"/>
  <c r="L4087" i="1" s="1"/>
  <c r="H5782" i="1"/>
  <c r="I5782" i="1" s="1"/>
  <c r="J5782" i="1" s="1"/>
  <c r="K5782" i="1" s="1"/>
  <c r="L5782" i="1" s="1"/>
  <c r="H362" i="1"/>
  <c r="I362" i="1" s="1"/>
  <c r="J362" i="1" s="1"/>
  <c r="K362" i="1" s="1"/>
  <c r="L362" i="1" s="1"/>
  <c r="H3395" i="1"/>
  <c r="I3395" i="1" s="1"/>
  <c r="J3395" i="1" s="1"/>
  <c r="K3395" i="1" s="1"/>
  <c r="L3395" i="1" s="1"/>
  <c r="H4406" i="1"/>
  <c r="I4406" i="1" s="1"/>
  <c r="J4406" i="1" s="1"/>
  <c r="K4406" i="1" s="1"/>
  <c r="L4406" i="1" s="1"/>
  <c r="H1920" i="1"/>
  <c r="I1920" i="1" s="1"/>
  <c r="J1920" i="1" s="1"/>
  <c r="K1920" i="1" s="1"/>
  <c r="L1920" i="1" s="1"/>
  <c r="H394" i="1"/>
  <c r="I394" i="1" s="1"/>
  <c r="J394" i="1" s="1"/>
  <c r="K394" i="1" s="1"/>
  <c r="L394" i="1" s="1"/>
  <c r="H373" i="1"/>
  <c r="I373" i="1" s="1"/>
  <c r="J373" i="1" s="1"/>
  <c r="K373" i="1" s="1"/>
  <c r="L373" i="1" s="1"/>
  <c r="H2237" i="1"/>
  <c r="I2237" i="1" s="1"/>
  <c r="J2237" i="1" s="1"/>
  <c r="K2237" i="1" s="1"/>
  <c r="L2237" i="1" s="1"/>
  <c r="H1419" i="1"/>
  <c r="I1419" i="1" s="1"/>
  <c r="J1419" i="1" s="1"/>
  <c r="K1419" i="1" s="1"/>
  <c r="L1419" i="1" s="1"/>
  <c r="H1869" i="1"/>
  <c r="I1869" i="1" s="1"/>
  <c r="J1869" i="1" s="1"/>
  <c r="K1869" i="1" s="1"/>
  <c r="L1869" i="1" s="1"/>
  <c r="H2489" i="1"/>
  <c r="I2489" i="1" s="1"/>
  <c r="J2489" i="1" s="1"/>
  <c r="K2489" i="1" s="1"/>
  <c r="L2489" i="1" s="1"/>
  <c r="H179" i="1"/>
  <c r="I179" i="1" s="1"/>
  <c r="J179" i="1" s="1"/>
  <c r="K179" i="1" s="1"/>
  <c r="L179" i="1" s="1"/>
  <c r="H3948" i="1"/>
  <c r="I3948" i="1" s="1"/>
  <c r="J3948" i="1" s="1"/>
  <c r="K3948" i="1" s="1"/>
  <c r="L3948" i="1" s="1"/>
  <c r="H4306" i="1"/>
  <c r="I4306" i="1" s="1"/>
  <c r="J4306" i="1" s="1"/>
  <c r="K4306" i="1" s="1"/>
  <c r="L4306" i="1" s="1"/>
  <c r="H2701" i="1"/>
  <c r="I2701" i="1" s="1"/>
  <c r="J2701" i="1" s="1"/>
  <c r="K2701" i="1" s="1"/>
  <c r="L2701" i="1" s="1"/>
  <c r="H5927" i="1"/>
  <c r="I5927" i="1" s="1"/>
  <c r="J5927" i="1" s="1"/>
  <c r="K5927" i="1" s="1"/>
  <c r="L5927" i="1" s="1"/>
  <c r="H2323" i="1"/>
  <c r="I2323" i="1" s="1"/>
  <c r="J2323" i="1" s="1"/>
  <c r="K2323" i="1" s="1"/>
  <c r="L2323" i="1" s="1"/>
  <c r="H1338" i="1"/>
  <c r="I1338" i="1" s="1"/>
  <c r="J1338" i="1" s="1"/>
  <c r="K1338" i="1" s="1"/>
  <c r="L1338" i="1" s="1"/>
  <c r="H244" i="1"/>
  <c r="I244" i="1" s="1"/>
  <c r="J244" i="1" s="1"/>
  <c r="K244" i="1" s="1"/>
  <c r="L244" i="1" s="1"/>
  <c r="H3756" i="1"/>
  <c r="I3756" i="1" s="1"/>
  <c r="J3756" i="1" s="1"/>
  <c r="K3756" i="1" s="1"/>
  <c r="L3756" i="1" s="1"/>
  <c r="H4503" i="1"/>
  <c r="I4503" i="1" s="1"/>
  <c r="J4503" i="1" s="1"/>
  <c r="K4503" i="1" s="1"/>
  <c r="L4503" i="1" s="1"/>
  <c r="H1780" i="1"/>
  <c r="I1780" i="1" s="1"/>
  <c r="J1780" i="1" s="1"/>
  <c r="K1780" i="1" s="1"/>
  <c r="L1780" i="1" s="1"/>
  <c r="H57" i="1"/>
  <c r="I57" i="1" s="1"/>
  <c r="H747" i="1"/>
  <c r="I747" i="1" s="1"/>
  <c r="J747" i="1" s="1"/>
  <c r="K747" i="1" s="1"/>
  <c r="L747" i="1" s="1"/>
  <c r="H3451" i="1"/>
  <c r="I3451" i="1" s="1"/>
  <c r="J3451" i="1" s="1"/>
  <c r="K3451" i="1" s="1"/>
  <c r="L3451" i="1" s="1"/>
  <c r="H2342" i="1"/>
  <c r="I2342" i="1" s="1"/>
  <c r="J2342" i="1" s="1"/>
  <c r="K2342" i="1" s="1"/>
  <c r="L2342" i="1" s="1"/>
  <c r="H4905" i="1"/>
  <c r="I4905" i="1" s="1"/>
  <c r="J4905" i="1" s="1"/>
  <c r="K4905" i="1" s="1"/>
  <c r="L4905" i="1" s="1"/>
  <c r="H1017" i="1"/>
  <c r="I1017" i="1" s="1"/>
  <c r="J1017" i="1" s="1"/>
  <c r="K1017" i="1" s="1"/>
  <c r="L1017" i="1" s="1"/>
  <c r="H2272" i="1"/>
  <c r="I2272" i="1" s="1"/>
  <c r="J2272" i="1" s="1"/>
  <c r="K2272" i="1" s="1"/>
  <c r="L2272" i="1" s="1"/>
  <c r="H5116" i="1"/>
  <c r="I5116" i="1" s="1"/>
  <c r="J5116" i="1" s="1"/>
  <c r="K5116" i="1" s="1"/>
  <c r="L5116" i="1" s="1"/>
  <c r="H5328" i="1"/>
  <c r="I5328" i="1" s="1"/>
  <c r="J5328" i="1" s="1"/>
  <c r="K5328" i="1" s="1"/>
  <c r="L5328" i="1" s="1"/>
  <c r="H4753" i="1"/>
  <c r="I4753" i="1" s="1"/>
  <c r="J4753" i="1" s="1"/>
  <c r="K4753" i="1" s="1"/>
  <c r="L4753" i="1" s="1"/>
  <c r="H4190" i="1"/>
  <c r="I4190" i="1" s="1"/>
  <c r="J4190" i="1" s="1"/>
  <c r="K4190" i="1" s="1"/>
  <c r="L4190" i="1" s="1"/>
  <c r="H2694" i="1"/>
  <c r="I2694" i="1" s="1"/>
  <c r="J2694" i="1" s="1"/>
  <c r="K2694" i="1" s="1"/>
  <c r="L2694" i="1" s="1"/>
  <c r="H2292" i="1"/>
  <c r="I2292" i="1" s="1"/>
  <c r="J2292" i="1" s="1"/>
  <c r="K2292" i="1" s="1"/>
  <c r="L2292" i="1" s="1"/>
  <c r="H3126" i="1"/>
  <c r="I3126" i="1" s="1"/>
  <c r="J3126" i="1" s="1"/>
  <c r="K3126" i="1" s="1"/>
  <c r="L3126" i="1" s="1"/>
  <c r="H3827" i="1"/>
  <c r="I3827" i="1" s="1"/>
  <c r="J3827" i="1" s="1"/>
  <c r="K3827" i="1" s="1"/>
  <c r="L3827" i="1" s="1"/>
  <c r="H5979" i="1"/>
  <c r="I5979" i="1" s="1"/>
  <c r="J5979" i="1" s="1"/>
  <c r="K5979" i="1" s="1"/>
  <c r="L5979" i="1" s="1"/>
  <c r="H3770" i="1"/>
  <c r="I3770" i="1" s="1"/>
  <c r="J3770" i="1" s="1"/>
  <c r="K3770" i="1" s="1"/>
  <c r="L3770" i="1" s="1"/>
  <c r="H5685" i="1"/>
  <c r="I5685" i="1" s="1"/>
  <c r="J5685" i="1" s="1"/>
  <c r="K5685" i="1" s="1"/>
  <c r="L5685" i="1" s="1"/>
  <c r="H5704" i="1"/>
  <c r="I5704" i="1" s="1"/>
  <c r="J5704" i="1" s="1"/>
  <c r="K5704" i="1" s="1"/>
  <c r="L5704" i="1" s="1"/>
  <c r="H3458" i="1"/>
  <c r="I3458" i="1" s="1"/>
  <c r="J3458" i="1" s="1"/>
  <c r="K3458" i="1" s="1"/>
  <c r="L3458" i="1" s="1"/>
  <c r="H1115" i="1"/>
  <c r="I1115" i="1" s="1"/>
  <c r="J1115" i="1" s="1"/>
  <c r="K1115" i="1" s="1"/>
  <c r="L1115" i="1" s="1"/>
  <c r="H4274" i="1"/>
  <c r="I4274" i="1" s="1"/>
  <c r="J4274" i="1" s="1"/>
  <c r="K4274" i="1" s="1"/>
  <c r="L4274" i="1" s="1"/>
  <c r="H5461" i="1"/>
  <c r="I5461" i="1" s="1"/>
  <c r="J5461" i="1" s="1"/>
  <c r="K5461" i="1" s="1"/>
  <c r="L5461" i="1" s="1"/>
  <c r="H3119" i="1"/>
  <c r="I3119" i="1" s="1"/>
  <c r="J3119" i="1" s="1"/>
  <c r="K3119" i="1" s="1"/>
  <c r="L3119" i="1" s="1"/>
  <c r="H1891" i="1"/>
  <c r="I1891" i="1" s="1"/>
  <c r="J1891" i="1" s="1"/>
  <c r="K1891" i="1" s="1"/>
  <c r="L1891" i="1" s="1"/>
  <c r="H3808" i="1"/>
  <c r="I3808" i="1" s="1"/>
  <c r="J3808" i="1" s="1"/>
  <c r="K3808" i="1" s="1"/>
  <c r="L3808" i="1" s="1"/>
  <c r="H1295" i="1"/>
  <c r="I1295" i="1" s="1"/>
  <c r="M13" i="2" s="1"/>
  <c r="H3730" i="1"/>
  <c r="I3730" i="1" s="1"/>
  <c r="J3730" i="1" s="1"/>
  <c r="K3730" i="1" s="1"/>
  <c r="L3730" i="1" s="1"/>
  <c r="H1645" i="1"/>
  <c r="I1645" i="1" s="1"/>
  <c r="J1645" i="1" s="1"/>
  <c r="K1645" i="1" s="1"/>
  <c r="L1645" i="1" s="1"/>
  <c r="H2441" i="1"/>
  <c r="I2441" i="1" s="1"/>
  <c r="J2441" i="1" s="1"/>
  <c r="K2441" i="1" s="1"/>
  <c r="L2441" i="1" s="1"/>
  <c r="H1516" i="1"/>
  <c r="I1516" i="1" s="1"/>
  <c r="J1516" i="1" s="1"/>
  <c r="K1516" i="1" s="1"/>
  <c r="L1516" i="1" s="1"/>
  <c r="H3272" i="1"/>
  <c r="I3272" i="1" s="1"/>
  <c r="J3272" i="1" s="1"/>
  <c r="K3272" i="1" s="1"/>
  <c r="L3272" i="1" s="1"/>
  <c r="H169" i="1"/>
  <c r="I169" i="1" s="1"/>
  <c r="J169" i="1" s="1"/>
  <c r="K169" i="1" s="1"/>
  <c r="L169" i="1" s="1"/>
  <c r="H154" i="1"/>
  <c r="I154" i="1" s="1"/>
  <c r="J154" i="1" s="1"/>
  <c r="K154" i="1" s="1"/>
  <c r="L154" i="1" s="1"/>
  <c r="H2833" i="1"/>
  <c r="I2833" i="1" s="1"/>
  <c r="J2833" i="1" s="1"/>
  <c r="K2833" i="1" s="1"/>
  <c r="L2833" i="1" s="1"/>
  <c r="H757" i="1"/>
  <c r="I757" i="1" s="1"/>
  <c r="J757" i="1" s="1"/>
  <c r="K757" i="1" s="1"/>
  <c r="L757" i="1" s="1"/>
  <c r="H1750" i="1"/>
  <c r="I1750" i="1" s="1"/>
  <c r="J1750" i="1" s="1"/>
  <c r="K1750" i="1" s="1"/>
  <c r="L1750" i="1" s="1"/>
  <c r="H5185" i="1"/>
  <c r="I5185" i="1" s="1"/>
  <c r="J5185" i="1" s="1"/>
  <c r="K5185" i="1" s="1"/>
  <c r="L5185" i="1" s="1"/>
  <c r="H4608" i="1"/>
  <c r="I4608" i="1" s="1"/>
  <c r="J4608" i="1" s="1"/>
  <c r="K4608" i="1" s="1"/>
  <c r="L4608" i="1" s="1"/>
  <c r="H4427" i="1"/>
  <c r="I4427" i="1" s="1"/>
  <c r="J4427" i="1" s="1"/>
  <c r="K4427" i="1" s="1"/>
  <c r="L4427" i="1" s="1"/>
  <c r="H147" i="1"/>
  <c r="I147" i="1" s="1"/>
  <c r="J147" i="1" s="1"/>
  <c r="K147" i="1" s="1"/>
  <c r="L147" i="1" s="1"/>
  <c r="H3139" i="1"/>
  <c r="I3139" i="1" s="1"/>
  <c r="J3139" i="1" s="1"/>
  <c r="K3139" i="1" s="1"/>
  <c r="L3139" i="1" s="1"/>
  <c r="H1540" i="1"/>
  <c r="I1540" i="1" s="1"/>
  <c r="J1540" i="1" s="1"/>
  <c r="K1540" i="1" s="1"/>
  <c r="L1540" i="1" s="1"/>
  <c r="H4142" i="1"/>
  <c r="I4142" i="1" s="1"/>
  <c r="J4142" i="1" s="1"/>
  <c r="K4142" i="1" s="1"/>
  <c r="L4142" i="1" s="1"/>
  <c r="H5772" i="1"/>
  <c r="I5772" i="1" s="1"/>
  <c r="J5772" i="1" s="1"/>
  <c r="K5772" i="1" s="1"/>
  <c r="L5772" i="1" s="1"/>
  <c r="H829" i="1"/>
  <c r="I829" i="1" s="1"/>
  <c r="J829" i="1" s="1"/>
  <c r="K829" i="1" s="1"/>
  <c r="L829" i="1" s="1"/>
  <c r="H421" i="1"/>
  <c r="I421" i="1" s="1"/>
  <c r="J421" i="1" s="1"/>
  <c r="K421" i="1" s="1"/>
  <c r="L421" i="1" s="1"/>
  <c r="H1341" i="1"/>
  <c r="I1341" i="1" s="1"/>
  <c r="J1341" i="1" s="1"/>
  <c r="K1341" i="1" s="1"/>
  <c r="L1341" i="1" s="1"/>
  <c r="H526" i="1"/>
  <c r="I526" i="1" s="1"/>
  <c r="J526" i="1" s="1"/>
  <c r="K526" i="1" s="1"/>
  <c r="L526" i="1" s="1"/>
  <c r="H2178" i="1"/>
  <c r="I2178" i="1" s="1"/>
  <c r="J2178" i="1" s="1"/>
  <c r="K2178" i="1" s="1"/>
  <c r="L2178" i="1" s="1"/>
  <c r="H1330" i="1"/>
  <c r="I1330" i="1" s="1"/>
  <c r="J1330" i="1" s="1"/>
  <c r="K1330" i="1" s="1"/>
  <c r="L1330" i="1" s="1"/>
  <c r="H1940" i="1"/>
  <c r="I1940" i="1" s="1"/>
  <c r="J1940" i="1" s="1"/>
  <c r="K1940" i="1" s="1"/>
  <c r="L1940" i="1" s="1"/>
  <c r="H3846" i="1"/>
  <c r="I3846" i="1" s="1"/>
  <c r="J3846" i="1" s="1"/>
  <c r="K3846" i="1" s="1"/>
  <c r="L3846" i="1" s="1"/>
  <c r="H327" i="1"/>
  <c r="I327" i="1" s="1"/>
  <c r="J327" i="1" s="1"/>
  <c r="K327" i="1" s="1"/>
  <c r="L327" i="1" s="1"/>
  <c r="H1250" i="1"/>
  <c r="I1250" i="1" s="1"/>
  <c r="J1250" i="1" s="1"/>
  <c r="K1250" i="1" s="1"/>
  <c r="L1250" i="1" s="1"/>
  <c r="H278" i="1"/>
  <c r="I278" i="1" s="1"/>
  <c r="J278" i="1" s="1"/>
  <c r="K278" i="1" s="1"/>
  <c r="L278" i="1" s="1"/>
  <c r="H3683" i="1"/>
  <c r="I3683" i="1" s="1"/>
  <c r="J3683" i="1" s="1"/>
  <c r="K3683" i="1" s="1"/>
  <c r="L3683" i="1" s="1"/>
  <c r="H113" i="1"/>
  <c r="I113" i="1" s="1"/>
  <c r="J113" i="1" s="1"/>
  <c r="K113" i="1" s="1"/>
  <c r="L113" i="1" s="1"/>
  <c r="H2730" i="1"/>
  <c r="I2730" i="1" s="1"/>
  <c r="J2730" i="1" s="1"/>
  <c r="K2730" i="1" s="1"/>
  <c r="L2730" i="1" s="1"/>
  <c r="H371" i="1"/>
  <c r="I371" i="1" s="1"/>
  <c r="J371" i="1" s="1"/>
  <c r="K371" i="1" s="1"/>
  <c r="L371" i="1" s="1"/>
  <c r="H738" i="1"/>
  <c r="I738" i="1" s="1"/>
  <c r="J738" i="1" s="1"/>
  <c r="K738" i="1" s="1"/>
  <c r="L738" i="1" s="1"/>
  <c r="L3" i="2"/>
  <c r="L15" i="2"/>
  <c r="L11" i="2"/>
  <c r="M5" i="2" l="1"/>
  <c r="M12" i="2"/>
  <c r="O5" i="2"/>
  <c r="N5" i="2"/>
  <c r="O3" i="2"/>
  <c r="N3" i="2"/>
  <c r="O11" i="2"/>
  <c r="N11" i="2"/>
  <c r="O15" i="2"/>
  <c r="N15" i="2"/>
  <c r="O17" i="2"/>
  <c r="N17" i="2"/>
  <c r="O9" i="2"/>
  <c r="N9" i="2"/>
  <c r="O8" i="2"/>
  <c r="L4652" i="1"/>
  <c r="L2587" i="1"/>
  <c r="K35" i="1"/>
  <c r="L35" i="1" s="1"/>
  <c r="E16" i="9"/>
  <c r="K315" i="1"/>
  <c r="L315" i="1" s="1"/>
  <c r="B6" i="9"/>
  <c r="E6" i="9"/>
  <c r="L12" i="2"/>
  <c r="J307" i="1"/>
  <c r="K307" i="1" s="1"/>
  <c r="L307" i="1" s="1"/>
  <c r="N8" i="2" s="1"/>
  <c r="L8" i="2"/>
  <c r="J57" i="1"/>
  <c r="K57" i="1" s="1"/>
  <c r="L57" i="1" s="1"/>
  <c r="L5" i="2"/>
  <c r="J1295" i="1"/>
  <c r="K1295" i="1" s="1"/>
  <c r="L1295" i="1" s="1"/>
  <c r="O13" i="2" s="1"/>
  <c r="L13" i="2"/>
  <c r="N12" i="2" l="1"/>
  <c r="O12" i="2"/>
  <c r="O4" i="2"/>
  <c r="N4" i="2"/>
  <c r="O14" i="2"/>
  <c r="N14" i="2"/>
  <c r="N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<sst xmlns="http://schemas.openxmlformats.org/spreadsheetml/2006/main" count="6282" uniqueCount="155">
  <si>
    <t>Vendedor Responsável</t>
  </si>
  <si>
    <t>Data da Venda</t>
  </si>
  <si>
    <t>Qnt Vendida</t>
  </si>
  <si>
    <t>ID Item Vendido</t>
  </si>
  <si>
    <t>Setor da Venda</t>
  </si>
  <si>
    <t>Rodrigo</t>
  </si>
  <si>
    <t>FM0004</t>
  </si>
  <si>
    <t>FM</t>
  </si>
  <si>
    <t>Juliana</t>
  </si>
  <si>
    <t>AHD0001</t>
  </si>
  <si>
    <t>AHD</t>
  </si>
  <si>
    <t>Larissa</t>
  </si>
  <si>
    <t>AB0001</t>
  </si>
  <si>
    <t>Carlos</t>
  </si>
  <si>
    <t>SC0001</t>
  </si>
  <si>
    <t>SC</t>
  </si>
  <si>
    <t>Beatriz</t>
  </si>
  <si>
    <t>Camila</t>
  </si>
  <si>
    <t>AHD0005</t>
  </si>
  <si>
    <t>Fernanda</t>
  </si>
  <si>
    <t>FM0001</t>
  </si>
  <si>
    <t>André</t>
  </si>
  <si>
    <t>CM0004</t>
  </si>
  <si>
    <t>CM</t>
  </si>
  <si>
    <t>AB0003</t>
  </si>
  <si>
    <t>SC0003</t>
  </si>
  <si>
    <t>Marcelo</t>
  </si>
  <si>
    <t>FM0002</t>
  </si>
  <si>
    <t>AHD0002</t>
  </si>
  <si>
    <t>Thiago</t>
  </si>
  <si>
    <t>AHD0003</t>
  </si>
  <si>
    <t>FM0005</t>
  </si>
  <si>
    <t>CM0002</t>
  </si>
  <si>
    <t>Bruno</t>
  </si>
  <si>
    <t>CM0003</t>
  </si>
  <si>
    <t>Diego</t>
  </si>
  <si>
    <t>AB0002</t>
  </si>
  <si>
    <t>AB0004</t>
  </si>
  <si>
    <t>Renata</t>
  </si>
  <si>
    <t>AB0005</t>
  </si>
  <si>
    <t>Gustavo</t>
  </si>
  <si>
    <t>SC0004</t>
  </si>
  <si>
    <t>SC0002</t>
  </si>
  <si>
    <t>CM0001</t>
  </si>
  <si>
    <t>AHD0004</t>
  </si>
  <si>
    <t>CM0005</t>
  </si>
  <si>
    <t>Patrícia</t>
  </si>
  <si>
    <t>FM0003</t>
  </si>
  <si>
    <t>SC0005</t>
  </si>
  <si>
    <t>AB</t>
  </si>
  <si>
    <t>M</t>
  </si>
  <si>
    <t>F</t>
  </si>
  <si>
    <t>Nome</t>
  </si>
  <si>
    <t>Sexo</t>
  </si>
  <si>
    <t>Setor</t>
  </si>
  <si>
    <t>Data de nascimento</t>
  </si>
  <si>
    <t>Data de contratação</t>
  </si>
  <si>
    <t>Barra de aço simples</t>
  </si>
  <si>
    <t>Chapa de metal lisa 1x2m</t>
  </si>
  <si>
    <t>Fio de arame galvanizado rolo 50m</t>
  </si>
  <si>
    <t>Parafuso comum 500un</t>
  </si>
  <si>
    <t>Tela de metal soldada rolo 2x25m</t>
  </si>
  <si>
    <t>Produto</t>
  </si>
  <si>
    <t>Unidade</t>
  </si>
  <si>
    <t>Custo</t>
  </si>
  <si>
    <t>Revenda</t>
  </si>
  <si>
    <t>Peça usinada CNC</t>
  </si>
  <si>
    <t>Estrutura metálica soldada</t>
  </si>
  <si>
    <t>Liga metálica especial</t>
  </si>
  <si>
    <t>Peça forjada sob encomenda</t>
  </si>
  <si>
    <t>Madeira Bruta (Tora)</t>
  </si>
  <si>
    <t>m³</t>
  </si>
  <si>
    <t>Tábua tratada e cortada 3m</t>
  </si>
  <si>
    <t>Restos de madeira p/ MDP/OSB saco de 20kg</t>
  </si>
  <si>
    <t>Painel MDP 2,75x1,83m</t>
  </si>
  <si>
    <t>Viga de madeira tratada 4m</t>
  </si>
  <si>
    <t>Grânulo de plástico reciclado refinado</t>
  </si>
  <si>
    <t>Borracha vulcanizada em manta</t>
  </si>
  <si>
    <t>Resina plástica PET purificada saco de 25kg</t>
  </si>
  <si>
    <t>Composto de borracha para vedação rolo 10m</t>
  </si>
  <si>
    <t>Filme plástico industrial rolo 50m</t>
  </si>
  <si>
    <t>Barril de plástico 200L</t>
  </si>
  <si>
    <t>Container de ferro industrial</t>
  </si>
  <si>
    <t>Palete de plástico</t>
  </si>
  <si>
    <t>Tambor metálico 200L</t>
  </si>
  <si>
    <t>ID</t>
  </si>
  <si>
    <t>Lucro</t>
  </si>
  <si>
    <t>Margem de Lucro (%)</t>
  </si>
  <si>
    <t>SANTOS CONTAINERS</t>
  </si>
  <si>
    <t>ALTO E BAIXO: PLÁSTICOS &amp; BORRACHAS</t>
  </si>
  <si>
    <t>CASTOR MADEIRAS</t>
  </si>
  <si>
    <t>AHD METAIS</t>
  </si>
  <si>
    <t>FERRERO METAIS</t>
  </si>
  <si>
    <t>Palete de madeira reforçado</t>
  </si>
  <si>
    <t>Qnt de vendas</t>
  </si>
  <si>
    <t>Qnt de Produtos vendidos</t>
  </si>
  <si>
    <t>Valor de Vendas</t>
  </si>
  <si>
    <t>J&amp;J SOLUÇÕES PARA FORNECIMENTO - VENDEDORES</t>
  </si>
  <si>
    <t>Valor Unitário</t>
  </si>
  <si>
    <t>Valor da Venda</t>
  </si>
  <si>
    <t>ID Vendedor</t>
  </si>
  <si>
    <t>Sobrenome</t>
  </si>
  <si>
    <t>Nome Completo</t>
  </si>
  <si>
    <t>Almeida Santos</t>
  </si>
  <si>
    <t>Costa Ribeiro</t>
  </si>
  <si>
    <t>Vieira Nunes</t>
  </si>
  <si>
    <t>Rezende Duarte</t>
  </si>
  <si>
    <t>Barbosa Lima</t>
  </si>
  <si>
    <t>Martins Freitas</t>
  </si>
  <si>
    <t>Luiz Carvalho</t>
  </si>
  <si>
    <t>Gomes Alencar</t>
  </si>
  <si>
    <t>Cardoso Teixeira</t>
  </si>
  <si>
    <t>Moreira Cunha</t>
  </si>
  <si>
    <t>Fernandes Rocha</t>
  </si>
  <si>
    <t>Souza Pinheiro</t>
  </si>
  <si>
    <t>Henrique Prado</t>
  </si>
  <si>
    <t>Nascimento Farias</t>
  </si>
  <si>
    <t>Eduardo Monteiro</t>
  </si>
  <si>
    <t>Comissão</t>
  </si>
  <si>
    <t>Lucro da Venda</t>
  </si>
  <si>
    <t>Un</t>
  </si>
  <si>
    <t>Kg</t>
  </si>
  <si>
    <t>TABELA AUXILIAR - AGREGADO DE ITENS</t>
  </si>
  <si>
    <t>Comissões Total</t>
  </si>
  <si>
    <t>Média de venda</t>
  </si>
  <si>
    <t>Média de Qnt Vendida</t>
  </si>
  <si>
    <t>J&amp;J SOLUÇÕES DE FORNECIMENTO - TABELA DE VENDAS</t>
  </si>
  <si>
    <t>Média de Comissões</t>
  </si>
  <si>
    <t>Descrição do Item</t>
  </si>
  <si>
    <t>J&amp;J SOLUÇÕES PARA FORNECIMENTO - PESQUISA DE VENDEDORES</t>
  </si>
  <si>
    <t>Data de Nascimento</t>
  </si>
  <si>
    <t>Data de Contratação</t>
  </si>
  <si>
    <t>Quantidade total de vendas</t>
  </si>
  <si>
    <t>Valor total em vendas</t>
  </si>
  <si>
    <t>Numero de produtos vendidos</t>
  </si>
  <si>
    <t>Valor em comissões</t>
  </si>
  <si>
    <t>Nome completo</t>
  </si>
  <si>
    <t>ID do Vendedor</t>
  </si>
  <si>
    <t>J&amp;J SOLUÇÕES PARA FORNECIMENTO - PESQUISA DE VENDAS POR PRODUTO</t>
  </si>
  <si>
    <t>Desc Produto</t>
  </si>
  <si>
    <t>ID produto</t>
  </si>
  <si>
    <t>Custo do item</t>
  </si>
  <si>
    <t>Valor de revenda</t>
  </si>
  <si>
    <t>Valor de lucro bruto</t>
  </si>
  <si>
    <t>Margem de lucro bruto</t>
  </si>
  <si>
    <t>Numero total de itens vendidos</t>
  </si>
  <si>
    <t>Lucro bruto total obtido</t>
  </si>
  <si>
    <t>Valor total vendido</t>
  </si>
  <si>
    <t>Unidade de medida</t>
  </si>
  <si>
    <t>ID do Item</t>
  </si>
  <si>
    <t>Quantidade vendida</t>
  </si>
  <si>
    <t>NOVA VENDA</t>
  </si>
  <si>
    <t>NOVO VENDEDOR</t>
  </si>
  <si>
    <t>Adriano</t>
  </si>
  <si>
    <t>Rosa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</si>
</sst>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28"/>
      <color theme="0"/>
      <name val="Aptos Display"/>
      <family val="2"/>
      <scheme val="major"/>
    </font>
    <font>
      <sz val="14"/>
      <color theme="1"/>
      <name val="Aptos Display"/>
      <family val="2"/>
      <scheme val="major"/>
    </font>
    <font>
      <b/>
      <sz val="14"/>
      <color theme="0"/>
      <name val="Aptos Narrow"/>
      <family val="2"/>
      <scheme val="minor"/>
    </font>
    <font>
      <b/>
      <sz val="22"/>
      <color theme="0"/>
      <name val="Aptos Display"/>
      <family val="2"/>
      <scheme val="major"/>
    </font>
    <font>
      <b/>
      <sz val="20"/>
      <color theme="0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44" fontId="0" fillId="0" borderId="0" xfId="1" applyFont="1"/>
    <xf numFmtId="9" fontId="0" fillId="0" borderId="0" xfId="2" applyFont="1"/>
    <xf numFmtId="44" fontId="0" fillId="0" borderId="0" xfId="0" applyNumberFormat="1"/>
    <xf numFmtId="10" fontId="0" fillId="0" borderId="0" xfId="2" applyNumberFormat="1" applyFont="1"/>
    <xf numFmtId="10" fontId="0" fillId="0" borderId="0" xfId="0" applyNumberFormat="1"/>
    <xf numFmtId="9" fontId="0" fillId="0" borderId="0" xfId="2" applyFont="1" applyAlignment="1">
      <alignment horizontal="center"/>
    </xf>
    <xf numFmtId="0" fontId="0" fillId="0" borderId="0" xfId="0" applyAlignment="1">
      <alignment horizontal="center"/>
    </xf>
    <xf numFmtId="44" fontId="0" fillId="0" borderId="0" xfId="2" applyNumberFormat="1" applyFont="1"/>
    <xf numFmtId="0" fontId="4" fillId="0" borderId="0" xfId="0" applyFont="1"/>
    <xf numFmtId="44" fontId="4" fillId="0" borderId="0" xfId="1" applyFont="1"/>
    <xf numFmtId="9" fontId="4" fillId="0" borderId="0" xfId="2" applyFont="1"/>
    <xf numFmtId="0" fontId="4" fillId="0" borderId="0" xfId="0" applyFont="1" applyAlignment="1">
      <alignment horizontal="center"/>
    </xf>
    <xf numFmtId="44" fontId="4" fillId="0" borderId="0" xfId="0" applyNumberFormat="1" applyFont="1"/>
    <xf numFmtId="14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 wrapText="1"/>
    </xf>
    <xf numFmtId="44" fontId="8" fillId="0" borderId="0" xfId="0" applyNumberFormat="1" applyFont="1" applyAlignment="1">
      <alignment horizontal="center" vertical="center" wrapText="1"/>
    </xf>
    <xf numFmtId="44" fontId="8" fillId="0" borderId="0" xfId="1" applyFont="1" applyAlignment="1">
      <alignment horizontal="center" vertical="center" wrapText="1"/>
    </xf>
    <xf numFmtId="10" fontId="4" fillId="0" borderId="0" xfId="0" applyNumberFormat="1" applyFont="1"/>
    <xf numFmtId="0" fontId="5" fillId="0" borderId="0" xfId="0" applyFont="1" applyAlignment="1">
      <alignment horizontal="center" vertical="center" wrapText="1"/>
    </xf>
    <xf numFmtId="44" fontId="5" fillId="0" borderId="0" xfId="0" applyNumberFormat="1" applyFont="1" applyAlignment="1">
      <alignment horizontal="center" vertical="center" wrapText="1"/>
    </xf>
    <xf numFmtId="10" fontId="5" fillId="0" borderId="0" xfId="0" applyNumberFormat="1" applyFont="1" applyAlignment="1">
      <alignment horizontal="center" vertical="center" wrapText="1"/>
    </xf>
    <xf numFmtId="9" fontId="8" fillId="0" borderId="0" xfId="2" applyFont="1" applyAlignment="1">
      <alignment horizontal="center" vertical="center" wrapText="1"/>
    </xf>
    <xf numFmtId="44" fontId="5" fillId="0" borderId="0" xfId="1" applyFont="1" applyAlignment="1">
      <alignment horizontal="center" vertical="center" wrapText="1"/>
    </xf>
    <xf numFmtId="10" fontId="5" fillId="0" borderId="0" xfId="2" applyNumberFormat="1" applyFont="1" applyAlignment="1">
      <alignment horizontal="center" vertical="center" wrapText="1"/>
    </xf>
    <xf numFmtId="0" fontId="9" fillId="5" borderId="1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left" vertical="center"/>
    </xf>
    <xf numFmtId="0" fontId="9" fillId="5" borderId="11" xfId="0" applyFont="1" applyFill="1" applyBorder="1" applyAlignment="1">
      <alignment horizontal="left" vertical="center" wrapText="1"/>
    </xf>
    <xf numFmtId="0" fontId="9" fillId="5" borderId="11" xfId="0" applyFont="1" applyFill="1" applyBorder="1"/>
    <xf numFmtId="0" fontId="9" fillId="5" borderId="12" xfId="0" applyFont="1" applyFill="1" applyBorder="1" applyAlignment="1">
      <alignment horizontal="left" vertical="center"/>
    </xf>
    <xf numFmtId="0" fontId="9" fillId="5" borderId="13" xfId="0" applyFont="1" applyFill="1" applyBorder="1" applyAlignment="1">
      <alignment horizontal="left" vertical="center"/>
    </xf>
    <xf numFmtId="0" fontId="9" fillId="5" borderId="13" xfId="0" applyFont="1" applyFill="1" applyBorder="1" applyAlignment="1">
      <alignment horizontal="left" vertical="center" wrapText="1"/>
    </xf>
    <xf numFmtId="0" fontId="9" fillId="5" borderId="14" xfId="0" applyFont="1" applyFill="1" applyBorder="1" applyAlignment="1">
      <alignment horizontal="left" vertical="center" wrapText="1"/>
    </xf>
    <xf numFmtId="0" fontId="9" fillId="5" borderId="15" xfId="0" applyFont="1" applyFill="1" applyBorder="1" applyAlignment="1">
      <alignment horizontal="left" vertical="center" wrapText="1"/>
    </xf>
    <xf numFmtId="0" fontId="9" fillId="5" borderId="16" xfId="0" applyFont="1" applyFill="1" applyBorder="1" applyAlignment="1">
      <alignment horizontal="left" vertical="center"/>
    </xf>
    <xf numFmtId="0" fontId="9" fillId="5" borderId="17" xfId="0" applyFont="1" applyFill="1" applyBorder="1" applyAlignment="1">
      <alignment horizontal="left" vertical="center"/>
    </xf>
    <xf numFmtId="0" fontId="9" fillId="5" borderId="18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44" fontId="4" fillId="7" borderId="10" xfId="1" applyFont="1" applyFill="1" applyBorder="1" applyAlignment="1">
      <alignment horizontal="left" vertical="center" wrapText="1"/>
    </xf>
    <xf numFmtId="44" fontId="4" fillId="7" borderId="5" xfId="1" applyFont="1" applyFill="1" applyBorder="1" applyAlignment="1">
      <alignment horizontal="left" vertical="center" wrapText="1"/>
    </xf>
    <xf numFmtId="44" fontId="4" fillId="7" borderId="9" xfId="1" applyFont="1" applyFill="1" applyBorder="1" applyAlignment="1">
      <alignment horizontal="left" vertical="center" wrapText="1"/>
    </xf>
    <xf numFmtId="0" fontId="4" fillId="7" borderId="8" xfId="0" applyFont="1" applyFill="1" applyBorder="1" applyAlignment="1">
      <alignment horizontal="left" vertical="center" wrapText="1"/>
    </xf>
    <xf numFmtId="0" fontId="4" fillId="7" borderId="3" xfId="0" applyFont="1" applyFill="1" applyBorder="1" applyAlignment="1">
      <alignment horizontal="left" vertical="center" wrapText="1"/>
    </xf>
    <xf numFmtId="0" fontId="4" fillId="7" borderId="0" xfId="0" applyFont="1" applyFill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4" fillId="7" borderId="0" xfId="0" applyFont="1" applyFill="1" applyAlignment="1">
      <alignment horizontal="left" vertical="center" wrapText="1"/>
    </xf>
    <xf numFmtId="0" fontId="4" fillId="7" borderId="4" xfId="0" applyFont="1" applyFill="1" applyBorder="1" applyAlignment="1">
      <alignment horizontal="left" vertical="center" wrapText="1"/>
    </xf>
    <xf numFmtId="14" fontId="4" fillId="7" borderId="9" xfId="0" applyNumberFormat="1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14" fontId="4" fillId="7" borderId="8" xfId="0" applyNumberFormat="1" applyFont="1" applyFill="1" applyBorder="1" applyAlignment="1">
      <alignment horizontal="center" wrapText="1"/>
    </xf>
    <xf numFmtId="14" fontId="4" fillId="7" borderId="3" xfId="0" applyNumberFormat="1" applyFont="1" applyFill="1" applyBorder="1" applyAlignment="1">
      <alignment horizontal="center" wrapText="1"/>
    </xf>
    <xf numFmtId="44" fontId="4" fillId="7" borderId="10" xfId="1" applyFont="1" applyFill="1" applyBorder="1" applyAlignment="1">
      <alignment horizontal="center" wrapText="1"/>
    </xf>
    <xf numFmtId="44" fontId="4" fillId="7" borderId="5" xfId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11" fontId="3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" fontId="4" fillId="7" borderId="10" xfId="1" applyNumberFormat="1" applyFont="1" applyFill="1" applyBorder="1" applyAlignment="1">
      <alignment horizontal="right" vertical="center" wrapText="1"/>
    </xf>
    <xf numFmtId="1" fontId="4" fillId="7" borderId="5" xfId="1" applyNumberFormat="1" applyFont="1" applyFill="1" applyBorder="1" applyAlignment="1">
      <alignment horizontal="right" vertical="center" wrapText="1"/>
    </xf>
    <xf numFmtId="1" fontId="4" fillId="7" borderId="10" xfId="0" applyNumberFormat="1" applyFont="1" applyFill="1" applyBorder="1" applyAlignment="1">
      <alignment horizontal="right" vertical="center" wrapText="1"/>
    </xf>
    <xf numFmtId="10" fontId="4" fillId="7" borderId="9" xfId="0" applyNumberFormat="1" applyFont="1" applyFill="1" applyBorder="1" applyAlignment="1">
      <alignment horizontal="right" vertical="center" wrapText="1"/>
    </xf>
    <xf numFmtId="10" fontId="4" fillId="7" borderId="7" xfId="0" applyNumberFormat="1" applyFont="1" applyFill="1" applyBorder="1" applyAlignment="1">
      <alignment horizontal="right" vertical="center" wrapText="1"/>
    </xf>
    <xf numFmtId="1" fontId="4" fillId="7" borderId="9" xfId="0" applyNumberFormat="1" applyFont="1" applyFill="1" applyBorder="1" applyAlignment="1">
      <alignment horizontal="right" vertical="center"/>
    </xf>
    <xf numFmtId="1" fontId="4" fillId="7" borderId="7" xfId="0" applyNumberFormat="1" applyFont="1" applyFill="1" applyBorder="1" applyAlignment="1">
      <alignment horizontal="right" vertical="center"/>
    </xf>
    <xf numFmtId="10" fontId="0" fillId="0" borderId="0" xfId="2" applyNumberFormat="1" applyFont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6" borderId="7" xfId="0" applyFont="1" applyFill="1" applyBorder="1" applyAlignment="1">
      <alignment horizontal="center" vertical="center" wrapText="1"/>
    </xf>
    <xf numFmtId="0" fontId="9" fillId="5" borderId="17" xfId="0" applyFont="1" applyFill="1" applyBorder="1"/>
    <xf numFmtId="0" fontId="9" fillId="5" borderId="1" xfId="0" applyFont="1" applyFill="1" applyBorder="1"/>
    <xf numFmtId="0" fontId="0" fillId="0" borderId="0" xfId="0" applyNumberFormat="1"/>
    <xf numFmtId="0" fontId="10" fillId="6" borderId="21" xfId="0" applyFont="1" applyFill="1" applyBorder="1" applyAlignment="1">
      <alignment horizontal="center"/>
    </xf>
    <xf numFmtId="0" fontId="10" fillId="6" borderId="21" xfId="0" applyFont="1" applyFill="1" applyBorder="1" applyAlignment="1">
      <alignment horizontal="center" vertical="center" wrapText="1"/>
    </xf>
    <xf numFmtId="0" fontId="0" fillId="0" borderId="19" xfId="0" applyNumberFormat="1" applyBorder="1" applyAlignment="1">
      <alignment horizontal="right"/>
    </xf>
    <xf numFmtId="0" fontId="0" fillId="0" borderId="19" xfId="0" applyBorder="1" applyAlignment="1">
      <alignment horizontal="right"/>
    </xf>
    <xf numFmtId="14" fontId="0" fillId="0" borderId="19" xfId="0" applyNumberFormat="1" applyBorder="1" applyAlignment="1">
      <alignment horizontal="right"/>
    </xf>
    <xf numFmtId="14" fontId="0" fillId="0" borderId="20" xfId="0" applyNumberFormat="1" applyBorder="1" applyAlignment="1">
      <alignment horizontal="right"/>
    </xf>
    <xf numFmtId="0" fontId="9" fillId="5" borderId="22" xfId="0" applyFont="1" applyFill="1" applyBorder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82">
    <dxf>
      <font>
        <strike val="0"/>
        <outline val="0"/>
        <shadow val="0"/>
        <u val="none"/>
        <vertAlign val="baseline"/>
        <sz val="12"/>
        <color theme="1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</font>
      <numFmt numFmtId="2" formatCode="0.00"/>
      <alignment horizontal="center" vertical="bottom" textRotation="0" wrapText="0" indent="0" justifyLastLine="0" shrinkToFit="0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4" formatCode="0.00%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  <alignment horizontal="center" textRotation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Display"/>
        <family val="2"/>
        <scheme val="major"/>
      </font>
      <numFmt numFmtId="34" formatCode="_-&quot;R$&quot;\ * #,##0.00_-;\-&quot;R$&quot;\ * #,##0.00_-;_-&quot;R$&quot;\ * &quot;-&quot;??_-;_-@_-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9" formatCode="dd/mm/yyyy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9" formatCode="dd/mm/yyyy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</font>
    </dxf>
    <dxf>
      <font>
        <strike val="0"/>
        <outline val="0"/>
        <shadow val="0"/>
        <u val="none"/>
        <vertAlign val="baseline"/>
        <sz val="12"/>
        <color theme="1"/>
      </font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</dxf>
    <dxf>
      <font>
        <strike val="0"/>
        <outline val="0"/>
        <shadow val="0"/>
        <u val="none"/>
        <vertAlign val="baseline"/>
        <sz val="14"/>
        <color theme="1"/>
        <name val="Aptos Display"/>
        <family val="2"/>
        <scheme val="maj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textRotation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numFmt numFmtId="0" formatCode="General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0" formatCode="General"/>
    </dxf>
    <dxf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23</xdr:row>
      <xdr:rowOff>19050</xdr:rowOff>
    </xdr:from>
    <xdr:to>
      <xdr:col>2</xdr:col>
      <xdr:colOff>38100</xdr:colOff>
      <xdr:row>26</xdr:row>
      <xdr:rowOff>12700</xdr:rowOff>
    </xdr:to>
    <xdr:sp macro="[0]!Adicionar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2E283F2-26CF-324B-1539-42124442EFFA}"/>
            </a:ext>
          </a:extLst>
        </xdr:cNvPr>
        <xdr:cNvSpPr/>
      </xdr:nvSpPr>
      <xdr:spPr>
        <a:xfrm>
          <a:off x="1651000" y="6877050"/>
          <a:ext cx="1473200" cy="54610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60000"/>
              <a:lumOff val="40000"/>
            </a:schemeClr>
          </a:solidFill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</a:t>
          </a:r>
          <a:r>
            <a:rPr lang="pt-BR" sz="1200" b="1" baseline="0"/>
            <a:t> NOVA VENDA</a:t>
          </a:r>
          <a:endParaRPr lang="pt-BR" sz="1200" b="1"/>
        </a:p>
      </xdr:txBody>
    </xdr:sp>
    <xdr:clientData/>
  </xdr:twoCellAnchor>
  <xdr:twoCellAnchor>
    <xdr:from>
      <xdr:col>0</xdr:col>
      <xdr:colOff>1638300</xdr:colOff>
      <xdr:row>34</xdr:row>
      <xdr:rowOff>25400</xdr:rowOff>
    </xdr:from>
    <xdr:to>
      <xdr:col>2</xdr:col>
      <xdr:colOff>0</xdr:colOff>
      <xdr:row>37</xdr:row>
      <xdr:rowOff>69850</xdr:rowOff>
    </xdr:to>
    <xdr:sp macro="[0]!AdicionarVendedo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AA3EACF-D89D-4144-B480-E7E4DCEF6A8D}"/>
            </a:ext>
          </a:extLst>
        </xdr:cNvPr>
        <xdr:cNvSpPr/>
      </xdr:nvSpPr>
      <xdr:spPr>
        <a:xfrm>
          <a:off x="1638300" y="9359900"/>
          <a:ext cx="1447800" cy="59690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60000"/>
              <a:lumOff val="40000"/>
            </a:schemeClr>
          </a:solidFill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</a:t>
          </a:r>
          <a:r>
            <a:rPr lang="pt-BR" sz="1200" b="1" baseline="0"/>
            <a:t> NOVO VENDEDOR</a:t>
          </a:r>
          <a:endParaRPr lang="pt-BR" sz="12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A25136-69EC-4941-A7E3-F4F02A3CE0A7}" name="Vendas" displayName="Vendas" ref="A2:L6006" headerRowDxfId="81">
  <autoFilter ref="A2:L6006" xr:uid="{61A25136-69EC-4941-A7E3-F4F02A3CE0A7}"/>
  <sortState xmlns:xlrd2="http://schemas.microsoft.com/office/spreadsheetml/2017/richdata2" ref="A3:L6005">
    <sortCondition ref="F2:F6005"/>
  </sortState>
  <tableColumns count="12">
    <tableColumn id="1" xr3:uid="{DE369774-9FAE-458C-8773-2E77C556DC97}" name="ID Vendedor" totalsRowLabel="Total" dataDxfId="80"/>
    <tableColumn id="2" xr3:uid="{3904F10A-5B97-4378-8544-A91EDD74EC37}" name="Vendedor Responsável" dataDxfId="79">
      <calculatedColumnFormula>_xlfn.XLOOKUP(Vendas[[#This Row],[ID Vendedor]],Vendedores[ID],Vendedores[Nome])</calculatedColumnFormula>
    </tableColumn>
    <tableColumn id="3" xr3:uid="{A1E81E39-881C-44C6-8F9E-AD27CCAEFE64}" name="Setor da Venda" dataDxfId="78">
      <calculatedColumnFormula>_xlfn.XLOOKUP(Vendas[[#This Row],[ID Vendedor]],Vendedores[ID],Vendedores[Setor])</calculatedColumnFormula>
    </tableColumn>
    <tableColumn id="4" xr3:uid="{E55AAEA4-030E-4491-A2E6-36B0A035EC6D}" name="ID Item Vendido" dataDxfId="77"/>
    <tableColumn id="5" xr3:uid="{337FA89A-61DC-42CC-B561-8712755103DA}" name="Descrição do Item" dataDxfId="76">
      <calculatedColumnFormula>_xlfn.XLOOKUP(Vendas[[#This Row],[ID Item Vendido]],Agregado[ID],Agregado[Produto])</calculatedColumnFormula>
    </tableColumn>
    <tableColumn id="6" xr3:uid="{0B4D315A-2408-4ECA-B0F2-9481AA8C4A0B}" name="Data da Venda" dataDxfId="75"/>
    <tableColumn id="7" xr3:uid="{D13221FB-AA1C-4BED-9F3D-0BA787555C8E}" name="Qnt Vendida" dataDxfId="74"/>
    <tableColumn id="8" xr3:uid="{44BE263F-A75E-4B82-8E1C-92C641B0A99B}" name="Valor Unitário" dataDxfId="73">
      <calculatedColumnFormula>_xlfn.XLOOKUP(Vendas[[#This Row],[ID Item Vendido]],Agregado[ID],Agregado[Revenda])</calculatedColumnFormula>
    </tableColumn>
    <tableColumn id="9" xr3:uid="{6133F22E-BA1B-43ED-BC7D-8452B9C29317}" name="Valor da Venda" dataDxfId="72">
      <calculatedColumnFormula>Vendas[[#This Row],[Valor Unitário]]*Vendas[[#This Row],[Qnt Vendida]]</calculatedColumnFormula>
    </tableColumn>
    <tableColumn id="10" xr3:uid="{3ED62531-5E46-47D6-AC4D-D35025F0ABE3}" name="Lucro da Venda" dataDxfId="71">
      <calculatedColumnFormula>Vendas[[#This Row],[Valor da Venda]]-(_xlfn.XLOOKUP(Vendas[[#This Row],[ID Item Vendido]],Agregado[ID],Agregado[Custo])*Vendas[[#This Row],[Qnt Vendida]])</calculatedColumnFormula>
    </tableColumn>
    <tableColumn id="12" xr3:uid="{E8D5B269-2471-42B5-A72A-98FC093BE23A}" name="Margem de Lucro (%)" dataDxfId="7" totalsRowDxfId="4" dataCellStyle="Porcentagem">
      <calculatedColumnFormula>Vendas[[#This Row],[Lucro da Venda]]/Vendas[[#This Row],[Valor da Venda]]</calculatedColumnFormula>
    </tableColumn>
    <tableColumn id="11" xr3:uid="{15E3264A-DDFD-471C-BF1D-9B05B4158C7F}" name="Comissão" totalsRowFunction="sum" dataDxfId="6" totalsRowDxfId="5">
      <calculatedColumnFormula>_xlfn.IFS(Vendas[[#This Row],[Margem de Lucro (%)]]&lt;15%,Vendas[[#This Row],[Valor da Venda]]*3%,Vendas[[#This Row],[Margem de Lucro (%)]]&lt;=20%,Vendas[[#This Row],[Valor da Venda]]*4.5%,TRUE,Vendas[[#This Row],[Valor da Venda]]*6%)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88879B2-7EB4-46A4-B24A-6CC62E7BF3A0}" name="Agregado" displayName="Agregado" ref="A2:G27" totalsRowShown="0" headerRowDxfId="70" dataDxfId="69">
  <autoFilter ref="A2:G27" xr:uid="{E88879B2-7EB4-46A4-B24A-6CC62E7BF3A0}"/>
  <tableColumns count="7">
    <tableColumn id="1" xr3:uid="{4307E749-0927-449C-BAEA-4DB8849C2C38}" name="ID" dataDxfId="68"/>
    <tableColumn id="2" xr3:uid="{909D4DB8-2450-4829-AE17-E6F2A72A8417}" name="Produto" dataDxfId="67">
      <calculatedColumnFormula>_xlfn.XLOOKUP(A3,SC[ID],SC[Produto])</calculatedColumnFormula>
    </tableColumn>
    <tableColumn id="3" xr3:uid="{962B38BA-2036-4049-881B-04BFB7DE3F76}" name="Unidade" dataDxfId="66">
      <calculatedColumnFormula>_xlfn.XLOOKUP(B3,SC[Produto],SC[Unidade])</calculatedColumnFormula>
    </tableColumn>
    <tableColumn id="4" xr3:uid="{B6E5B777-B29E-460E-8CE1-3E91121D41A0}" name="Custo" dataDxfId="65">
      <calculatedColumnFormula>_xlfn.XLOOKUP(C3,SC[Unidade],SC[Custo])</calculatedColumnFormula>
    </tableColumn>
    <tableColumn id="5" xr3:uid="{E6A50DF9-3FE7-430A-B8F4-7DF5F9CAAA29}" name="Revenda" dataDxfId="64">
      <calculatedColumnFormula>_xlfn.XLOOKUP(D3,SC[Custo],SC[Revenda])</calculatedColumnFormula>
    </tableColumn>
    <tableColumn id="6" xr3:uid="{D8A2D0EB-D489-44F5-83E1-305C778F183F}" name="Lucro" dataDxfId="63">
      <calculatedColumnFormula>E3-D3</calculatedColumnFormula>
    </tableColumn>
    <tableColumn id="7" xr3:uid="{0D583D60-9CF4-4B97-9C50-420665B6EB3F}" name="Margem de Lucro (%)" dataDxfId="62">
      <calculatedColumnFormula>F3/E3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C2812C-EB0A-49F6-BB85-76210416D192}" name="Vendedores" displayName="Vendedores" ref="A2:O18" totalsRowShown="0" headerRowDxfId="61" dataDxfId="60">
  <autoFilter ref="A2:O18" xr:uid="{36C2812C-EB0A-49F6-BB85-76210416D192}"/>
  <sortState xmlns:xlrd2="http://schemas.microsoft.com/office/spreadsheetml/2017/richdata2" ref="A3:O17">
    <sortCondition ref="H2:H17"/>
  </sortState>
  <tableColumns count="15">
    <tableColumn id="1" xr3:uid="{2DEFF29F-4A3B-4DEC-A7C1-044954EEECF3}" name="ID" dataDxfId="59"/>
    <tableColumn id="2" xr3:uid="{3E2ACC73-6B9B-49FC-AB07-A11244894C0F}" name="Nome" dataDxfId="58"/>
    <tableColumn id="12" xr3:uid="{9EA14F8F-76FC-47B9-BCA9-4506316F8AE2}" name="Sobrenome" dataDxfId="57"/>
    <tableColumn id="11" xr3:uid="{DB9FD5A0-4C9C-4779-84DC-E586464576E4}" name="Nome Completo" dataDxfId="56">
      <calculatedColumnFormula>Vendedores[[#This Row],[Nome]]&amp;" "&amp;Vendedores[[#This Row],[Sobrenome]]</calculatedColumnFormula>
    </tableColumn>
    <tableColumn id="3" xr3:uid="{8E1D6D35-794C-4B91-81DD-C75B253F49B5}" name="Sexo" dataDxfId="55"/>
    <tableColumn id="4" xr3:uid="{EA4713BF-E7D4-4E39-98D8-562FEFD2CC4E}" name="Setor" dataDxfId="54"/>
    <tableColumn id="5" xr3:uid="{81EA4F13-A1CE-42A7-993B-0741D861F8AE}" name="Data de nascimento" dataDxfId="53"/>
    <tableColumn id="6" xr3:uid="{E6000E68-FD3E-43B5-BF71-5355D7D762E4}" name="Data de contratação" dataDxfId="52"/>
    <tableColumn id="7" xr3:uid="{6AFFAAFE-D356-4341-A0E0-798C457D2539}" name="Qnt de vendas" dataDxfId="51">
      <calculatedColumnFormula>COUNTIF(Vendas[ID Vendedor],Vendedores[[#This Row],[ID]])</calculatedColumnFormula>
    </tableColumn>
    <tableColumn id="8" xr3:uid="{23F2D980-0A04-4A6A-A7FB-EAE55069F5A4}" name="Qnt de Produtos vendidos" dataDxfId="50">
      <calculatedColumnFormula>SUMIF(Vendas[ID Vendedor],Vendedores[[#This Row],[ID]],Vendas[Qnt Vendida])</calculatedColumnFormula>
    </tableColumn>
    <tableColumn id="15" xr3:uid="{2EBC6856-C87E-430E-87A9-334CDD20F1E9}" name="Média de Qnt Vendida" dataDxfId="3">
      <calculatedColumnFormula>AVERAGEIF(Vendas[ID Vendedor],Vendedores[[#This Row],[ID]],Vendas[Qnt Vendida])</calculatedColumnFormula>
    </tableColumn>
    <tableColumn id="9" xr3:uid="{C143337F-C28B-45CA-A74D-4665FEA11203}" name="Valor de Vendas" dataDxfId="49">
      <calculatedColumnFormula>SUMIF(Vendas[ID Vendedor],Vendedores[[#This Row],[ID]],Vendas[Valor da Venda])</calculatedColumnFormula>
    </tableColumn>
    <tableColumn id="14" xr3:uid="{57483896-06D3-4F34-A2A8-B51EA3DFF970}" name="Média de venda" dataDxfId="2">
      <calculatedColumnFormula>AVERAGEIF(Vendas[ID Vendedor],Vendedores[[#This Row],[ID]],Vendas[Valor da Venda])</calculatedColumnFormula>
    </tableColumn>
    <tableColumn id="13" xr3:uid="{3A674609-04E8-49A4-96D4-30929C90E001}" name="Comissões Total" dataDxfId="1" dataCellStyle="Moeda">
      <calculatedColumnFormula>SUMIF(Vendas[ID Vendedor],Vendedores[[#This Row],[ID]],Vendas[Comissão])</calculatedColumnFormula>
    </tableColumn>
    <tableColumn id="10" xr3:uid="{C9F355A6-7ED8-4086-A1AE-F72EF3AC5B8B}" name="Média de Comissões" dataDxfId="0" dataCellStyle="Moeda">
      <calculatedColumnFormula>AVERAGEIF(Vendas[ID Vendedor],Vendedores[[#This Row],[ID]],Vendas[Comissão])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24D200-7FBB-448E-AB83-DDAA3B70F076}" name="FM" displayName="FM" ref="A2:G7" totalsRowShown="0" headerRowDxfId="48" dataDxfId="47" headerRowCellStyle="Moeda" dataCellStyle="Moeda">
  <autoFilter ref="A2:G7" xr:uid="{B624D200-7FBB-448E-AB83-DDAA3B70F076}"/>
  <tableColumns count="7">
    <tableColumn id="1" xr3:uid="{F34A01DB-31A6-45E0-A2BD-51C47BA1538D}" name="ID" dataDxfId="46"/>
    <tableColumn id="2" xr3:uid="{924A8D18-48D0-445E-A974-75B751DB9216}" name="Produto" dataDxfId="45"/>
    <tableColumn id="3" xr3:uid="{D4D49581-D5EE-4477-BA54-4CE9C95082BB}" name="Unidade" dataDxfId="44"/>
    <tableColumn id="4" xr3:uid="{D747DEC5-24F5-42DB-BC1A-630731ECEDA6}" name="Custo" dataDxfId="43" dataCellStyle="Moeda"/>
    <tableColumn id="5" xr3:uid="{70992A25-E04F-4603-B65F-EE4CF8E734F4}" name="Revenda" dataDxfId="42" dataCellStyle="Moeda"/>
    <tableColumn id="6" xr3:uid="{0FDA1E82-AE45-4AE5-8D27-361BA2E86FB9}" name="Lucro" dataDxfId="41" dataCellStyle="Moeda">
      <calculatedColumnFormula>E3-D3</calculatedColumnFormula>
    </tableColumn>
    <tableColumn id="7" xr3:uid="{97BE6EA7-D338-4B73-BB63-FBEEA04B7EEE}" name="Margem de Lucro (%)" dataDxfId="40" dataCellStyle="Porcentagem">
      <calculatedColumnFormula>F3/E3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64E6DC-0562-47E4-BF9F-8A6B85EA0914}" name="AHD" displayName="AHD" ref="A2:G7" totalsRowShown="0" headerRowDxfId="39">
  <autoFilter ref="A2:G7" xr:uid="{AC64E6DC-0562-47E4-BF9F-8A6B85EA0914}"/>
  <tableColumns count="7">
    <tableColumn id="1" xr3:uid="{50ACD833-7652-4E43-9FFB-6B808FE72EC0}" name="ID" dataDxfId="38"/>
    <tableColumn id="2" xr3:uid="{124DC16F-C5DD-4A6F-9122-4E24C416F8A6}" name="Produto" dataDxfId="37"/>
    <tableColumn id="3" xr3:uid="{E9D5CFB2-2423-4FA9-989A-D1BF208BE473}" name="Unidade" dataDxfId="36"/>
    <tableColumn id="4" xr3:uid="{54CE9A1F-533E-44FF-8516-ED91443EC6B8}" name="Custo" dataDxfId="35"/>
    <tableColumn id="5" xr3:uid="{5D2F828B-EAF6-405A-BE75-B1A417E0208B}" name="Revenda" dataDxfId="34"/>
    <tableColumn id="6" xr3:uid="{4916A51B-F0F2-45B5-8AEE-F4AEDCB03D2C}" name="Lucro" dataDxfId="33" dataCellStyle="Moeda">
      <calculatedColumnFormula>E3-D3</calculatedColumnFormula>
    </tableColumn>
    <tableColumn id="7" xr3:uid="{B18FC0AD-6AED-43DE-A8A2-4CF31B32888E}" name="Margem de Lucro (%)" dataDxfId="32" dataCellStyle="Porcentagem">
      <calculatedColumnFormula>F3/E3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CCB381-57D5-46F4-B001-5AB74ED91FE1}" name="CM" displayName="CM" ref="A2:G7" totalsRowShown="0" headerRowDxfId="31">
  <autoFilter ref="A2:G7" xr:uid="{0DCCB381-57D5-46F4-B001-5AB74ED91FE1}"/>
  <tableColumns count="7">
    <tableColumn id="1" xr3:uid="{311DC9F9-EA94-4C62-BB84-6260C24E2025}" name="ID" dataDxfId="30"/>
    <tableColumn id="2" xr3:uid="{C773456E-D4DA-4707-A5AC-C0D312C8E665}" name="Produto" dataDxfId="29"/>
    <tableColumn id="3" xr3:uid="{179D4B98-6495-48B7-A1C1-9C8C52D47E1D}" name="Unidade" dataDxfId="28"/>
    <tableColumn id="4" xr3:uid="{8E19DFE4-0931-4510-B0E3-A8A2E9953707}" name="Custo" dataDxfId="27"/>
    <tableColumn id="5" xr3:uid="{4BF2DBAB-9BD9-4684-A2FE-A9DADF5915B9}" name="Revenda" dataDxfId="26"/>
    <tableColumn id="6" xr3:uid="{42BFEE84-0172-4C8D-BF56-0DD2610F04C5}" name="Lucro" dataDxfId="25" dataCellStyle="Moeda">
      <calculatedColumnFormula>E3-D3</calculatedColumnFormula>
    </tableColumn>
    <tableColumn id="7" xr3:uid="{0FB5125E-37BC-453E-BDBB-AB13EF2CD845}" name="Margem de Lucro (%)" dataDxfId="24" dataCellStyle="Porcentagem">
      <calculatedColumnFormula>F3/E3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F913D-D43D-4612-9015-3E2E8CE73A51}" name="AB" displayName="AB" ref="A2:G7" totalsRowShown="0" headerRowDxfId="23">
  <autoFilter ref="A2:G7" xr:uid="{912F913D-D43D-4612-9015-3E2E8CE73A51}"/>
  <tableColumns count="7">
    <tableColumn id="1" xr3:uid="{0944462F-1868-4767-AC69-B606471357C1}" name="ID" dataDxfId="22"/>
    <tableColumn id="2" xr3:uid="{B526A039-FBE8-4CF6-B72F-F5F36B915A97}" name="Produto" dataDxfId="21"/>
    <tableColumn id="3" xr3:uid="{E3B090EF-6E45-4E6C-9151-F6803E26C5CA}" name="Unidade" dataDxfId="20"/>
    <tableColumn id="4" xr3:uid="{B8D9147D-4EAE-4CDD-89BA-480FD240B26F}" name="Custo" dataDxfId="19"/>
    <tableColumn id="5" xr3:uid="{FB1F7E0C-A3B5-4B6E-A62F-38F5C4091DDA}" name="Revenda" dataDxfId="18"/>
    <tableColumn id="6" xr3:uid="{FB527687-4461-47E4-9E85-2B4C694D01AC}" name="Lucro" dataDxfId="17" dataCellStyle="Moeda">
      <calculatedColumnFormula>E3-D3</calculatedColumnFormula>
    </tableColumn>
    <tableColumn id="7" xr3:uid="{2566CE9B-DF83-4F45-9839-8C19D237F392}" name="Margem de Lucro (%)" dataDxfId="16" dataCellStyle="Porcentagem">
      <calculatedColumnFormula>F3/E3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74DCC2-BEB2-43FB-9B4D-6B1EAD844906}" name="SC" displayName="SC" ref="A2:G7" totalsRowShown="0" headerRowDxfId="15">
  <autoFilter ref="A2:G7" xr:uid="{4A74DCC2-BEB2-43FB-9B4D-6B1EAD844906}"/>
  <tableColumns count="7">
    <tableColumn id="1" xr3:uid="{EE19A2E7-BF11-4BFA-9178-5EBCF182CCAB}" name="ID" dataDxfId="14"/>
    <tableColumn id="2" xr3:uid="{82735A02-739E-4AAB-8F3D-AF4E42B3993F}" name="Produto" dataDxfId="13"/>
    <tableColumn id="3" xr3:uid="{55CF1DDD-B187-4996-8F3E-870E28ABB078}" name="Unidade" dataDxfId="12"/>
    <tableColumn id="4" xr3:uid="{E2F87A9C-7160-437F-B1DA-C5839D208274}" name="Custo" dataDxfId="11"/>
    <tableColumn id="5" xr3:uid="{9AD940BB-398B-4083-8DFB-688B78EAB407}" name="Revenda" dataDxfId="10"/>
    <tableColumn id="6" xr3:uid="{2AE8AD4F-9E59-41E5-B822-2E4C4BDDDA69}" name="Lucro" dataDxfId="9" dataCellStyle="Moeda">
      <calculatedColumnFormula>E3-D3</calculatedColumnFormula>
    </tableColumn>
    <tableColumn id="7" xr3:uid="{85100F6A-095B-4416-AF7C-BE215BEDEBCE}" name="Margem de Lucro (%)" dataDxfId="8" dataCellStyle="Porcentagem">
      <calculatedColumnFormula>F3/E3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EA589-5680-4FE1-8340-839A5424B2E4}">
  <sheetPr codeName="Planilha1"/>
  <dimension ref="A1:F34"/>
  <sheetViews>
    <sheetView showGridLines="0" tabSelected="1" zoomScale="80" zoomScaleNormal="80" workbookViewId="0">
      <selection activeCell="J7" sqref="J7"/>
    </sheetView>
  </sheetViews>
  <sheetFormatPr defaultRowHeight="14.4" x14ac:dyDescent="0.3"/>
  <cols>
    <col min="1" max="1" width="24" bestFit="1" customWidth="1"/>
    <col min="2" max="2" width="21" customWidth="1"/>
    <col min="3" max="3" width="8.6640625" customWidth="1"/>
    <col min="4" max="4" width="33.33203125" bestFit="1" customWidth="1"/>
    <col min="5" max="6" width="12.77734375" customWidth="1"/>
  </cols>
  <sheetData>
    <row r="1" spans="1:6" ht="53.4" customHeight="1" x14ac:dyDescent="0.3">
      <c r="A1" s="73" t="s">
        <v>129</v>
      </c>
      <c r="B1" s="73"/>
      <c r="C1" s="73"/>
      <c r="D1" s="73"/>
      <c r="E1" s="73"/>
      <c r="F1" s="73"/>
    </row>
    <row r="2" spans="1:6" ht="18" x14ac:dyDescent="0.3">
      <c r="A2" s="31" t="s">
        <v>136</v>
      </c>
      <c r="B2" s="46" t="str">
        <f>_xlfn.XLOOKUP($B$3,Vendedores[ID],Vendedores[Nome Completo]," ",0,1)</f>
        <v>Camila Rezende Duarte</v>
      </c>
      <c r="C2" s="46"/>
      <c r="D2" s="27" t="s">
        <v>53</v>
      </c>
      <c r="E2" s="46" t="str">
        <f>_xlfn.XLOOKUP($B$3,Vendedores[ID],Vendedores[Sexo]," ",0,1)</f>
        <v>F</v>
      </c>
      <c r="F2" s="52"/>
    </row>
    <row r="3" spans="1:6" ht="18" x14ac:dyDescent="0.35">
      <c r="A3" s="32" t="s">
        <v>137</v>
      </c>
      <c r="B3" s="47">
        <v>400244</v>
      </c>
      <c r="C3" s="47"/>
      <c r="D3" s="30" t="s">
        <v>54</v>
      </c>
      <c r="E3" s="47" t="str">
        <f>_xlfn.XLOOKUP($B$3,Vendedores[ID],Vendedores[Setor]," ",0,1)</f>
        <v>AHD</v>
      </c>
      <c r="F3" s="48"/>
    </row>
    <row r="4" spans="1:6" ht="18" x14ac:dyDescent="0.3">
      <c r="A4" s="33" t="s">
        <v>130</v>
      </c>
      <c r="B4" s="51">
        <f>_xlfn.XLOOKUP($B$3,Vendedores[ID],Vendedores[Data de nascimento]," ",0,1)</f>
        <v>33186</v>
      </c>
      <c r="C4" s="51"/>
      <c r="D4" s="29" t="s">
        <v>131</v>
      </c>
      <c r="E4" s="53">
        <f>_xlfn.XLOOKUP($B$3,Vendedores[ID],Vendedores[Data de contratação]," ",0,1)</f>
        <v>43946</v>
      </c>
      <c r="F4" s="54"/>
    </row>
    <row r="5" spans="1:6" ht="36" x14ac:dyDescent="0.3">
      <c r="A5" s="33" t="s">
        <v>132</v>
      </c>
      <c r="B5" s="68">
        <f>_xlfn.XLOOKUP($B$3,Vendedores[ID],Vendedores[Qnt de vendas]," ",0,1)</f>
        <v>452</v>
      </c>
      <c r="C5" s="68"/>
      <c r="D5" s="29" t="s">
        <v>134</v>
      </c>
      <c r="E5" s="68">
        <f>_xlfn.XLOOKUP($B$3,Vendedores[ID],Vendedores[Qnt de Produtos vendidos]," ",0,1)</f>
        <v>11846</v>
      </c>
      <c r="F5" s="69"/>
    </row>
    <row r="6" spans="1:6" ht="18" x14ac:dyDescent="0.3">
      <c r="A6" s="34" t="s">
        <v>133</v>
      </c>
      <c r="B6" s="55">
        <f>_xlfn.XLOOKUP($B$3,Vendedores[ID],Vendedores[Valor de Vendas]," ",0,1)</f>
        <v>511399.39999999991</v>
      </c>
      <c r="C6" s="55"/>
      <c r="D6" s="35" t="s">
        <v>135</v>
      </c>
      <c r="E6" s="55">
        <f>_xlfn.XLOOKUP($B$3,Vendedores[ID],Vendedores[Comissões Total]," ",0,1)</f>
        <v>24320.157000000028</v>
      </c>
      <c r="F6" s="56"/>
    </row>
    <row r="10" spans="1:6" ht="53.4" customHeight="1" x14ac:dyDescent="0.3">
      <c r="A10" s="74" t="s">
        <v>138</v>
      </c>
      <c r="B10" s="75"/>
      <c r="C10" s="75"/>
      <c r="D10" s="75"/>
      <c r="E10" s="75"/>
      <c r="F10" s="76"/>
    </row>
    <row r="11" spans="1:6" ht="33.6" customHeight="1" x14ac:dyDescent="0.3">
      <c r="A11" s="38" t="s">
        <v>139</v>
      </c>
      <c r="B11" s="44" t="str">
        <f>_xlfn.XLOOKUP($B$12,Agregado[ID],Agregado[Produto]," ")</f>
        <v>Tela de metal soldada rolo 2x25m</v>
      </c>
      <c r="C11" s="44"/>
      <c r="D11" s="37" t="s">
        <v>148</v>
      </c>
      <c r="E11" s="49" t="str">
        <f>_xlfn.XLOOKUP($B$12,Agregado[ID],Agregado[Unidade]," ")</f>
        <v>Un</v>
      </c>
      <c r="F11" s="50"/>
    </row>
    <row r="12" spans="1:6" ht="18" x14ac:dyDescent="0.3">
      <c r="A12" s="33" t="s">
        <v>140</v>
      </c>
      <c r="B12" s="44" t="s">
        <v>31</v>
      </c>
      <c r="C12" s="44"/>
      <c r="D12" s="28" t="s">
        <v>54</v>
      </c>
      <c r="E12" s="44" t="str">
        <f>_xlfn.XLOOKUP(B12,Vendas[ID Item Vendido],Vendas[Setor da Venda]," ")</f>
        <v>FM</v>
      </c>
      <c r="F12" s="45"/>
    </row>
    <row r="13" spans="1:6" ht="28.2" customHeight="1" x14ac:dyDescent="0.3">
      <c r="A13" s="33" t="s">
        <v>143</v>
      </c>
      <c r="B13" s="43">
        <f>_xlfn.XLOOKUP($B$12,Agregado[ID],Agregado[Lucro]," ")</f>
        <v>5.7000000000000028</v>
      </c>
      <c r="C13" s="43"/>
      <c r="D13" s="28" t="s">
        <v>144</v>
      </c>
      <c r="E13" s="66">
        <f>_xlfn.XLOOKUP($B$12,Agregado[ID],Agregado[Margem de Lucro (%)]," ")</f>
        <v>0.1304347826086957</v>
      </c>
      <c r="F13" s="67"/>
    </row>
    <row r="14" spans="1:6" ht="18" x14ac:dyDescent="0.3">
      <c r="A14" s="33" t="s">
        <v>141</v>
      </c>
      <c r="B14" s="43">
        <f>_xlfn.XLOOKUP($B$12,Agregado[ID],Agregado[Custo]," ")</f>
        <v>38</v>
      </c>
      <c r="C14" s="43"/>
      <c r="D14" s="28" t="s">
        <v>142</v>
      </c>
      <c r="E14" s="41">
        <f>_xlfn.XLOOKUP($B$12,Agregado[ID],Agregado[Revenda]," ")</f>
        <v>43.7</v>
      </c>
      <c r="F14" s="42"/>
    </row>
    <row r="15" spans="1:6" ht="36" x14ac:dyDescent="0.3">
      <c r="A15" s="33" t="s">
        <v>132</v>
      </c>
      <c r="B15" s="65">
        <f>IF(B12&gt;1,COUNTIF(Vendas[ID Item Vendido],B12)," ")</f>
        <v>246</v>
      </c>
      <c r="C15" s="65"/>
      <c r="D15" s="28" t="s">
        <v>145</v>
      </c>
      <c r="E15" s="63">
        <f>IF(B12&gt;1,SUMIF(Vendas[ID Item Vendido],$B$12,Vendas[Qnt Vendida])," ")</f>
        <v>2628</v>
      </c>
      <c r="F15" s="64"/>
    </row>
    <row r="16" spans="1:6" ht="18" x14ac:dyDescent="0.3">
      <c r="A16" s="34" t="s">
        <v>147</v>
      </c>
      <c r="B16" s="41">
        <f>IF(B12&gt;1,SUMIF(Vendas[ID Item Vendido],$B$12,Vendas[Valor da Venda])," ")</f>
        <v>114843.60000000005</v>
      </c>
      <c r="C16" s="41"/>
      <c r="D16" s="36" t="s">
        <v>146</v>
      </c>
      <c r="E16" s="41">
        <f>IF(B12&gt;1,SUMIF(Vendas[ID Item Vendido],$B$12,Vendas[Lucro da Venda])," ")</f>
        <v>14979.599999999991</v>
      </c>
      <c r="F16" s="42"/>
    </row>
    <row r="19" spans="1:2" ht="28.8" customHeight="1" x14ac:dyDescent="0.3">
      <c r="A19" s="72" t="s">
        <v>151</v>
      </c>
      <c r="B19" s="81"/>
    </row>
    <row r="20" spans="1:2" ht="18" x14ac:dyDescent="0.35">
      <c r="A20" s="77" t="s">
        <v>100</v>
      </c>
      <c r="B20" s="82"/>
    </row>
    <row r="21" spans="1:2" ht="18" x14ac:dyDescent="0.35">
      <c r="A21" s="78" t="s">
        <v>149</v>
      </c>
      <c r="B21" s="83"/>
    </row>
    <row r="22" spans="1:2" ht="18" x14ac:dyDescent="0.35">
      <c r="A22" s="78" t="s">
        <v>1</v>
      </c>
      <c r="B22" s="84"/>
    </row>
    <row r="23" spans="1:2" ht="18" x14ac:dyDescent="0.35">
      <c r="A23" s="86" t="s">
        <v>150</v>
      </c>
      <c r="B23" s="82"/>
    </row>
    <row r="28" spans="1:2" ht="28.8" x14ac:dyDescent="0.55000000000000004">
      <c r="A28" s="71" t="s">
        <v>152</v>
      </c>
      <c r="B28" s="80"/>
    </row>
    <row r="29" spans="1:2" ht="18" x14ac:dyDescent="0.35">
      <c r="A29" s="77" t="s">
        <v>52</v>
      </c>
      <c r="B29" s="83"/>
    </row>
    <row r="30" spans="1:2" ht="18" x14ac:dyDescent="0.35">
      <c r="A30" s="78" t="s">
        <v>101</v>
      </c>
      <c r="B30" s="83"/>
    </row>
    <row r="31" spans="1:2" ht="18" x14ac:dyDescent="0.35">
      <c r="A31" s="78" t="s">
        <v>53</v>
      </c>
      <c r="B31" s="83"/>
    </row>
    <row r="32" spans="1:2" ht="18" x14ac:dyDescent="0.35">
      <c r="A32" s="78" t="s">
        <v>54</v>
      </c>
      <c r="B32" s="83"/>
    </row>
    <row r="33" spans="1:2" ht="18" x14ac:dyDescent="0.35">
      <c r="A33" s="78" t="s">
        <v>55</v>
      </c>
      <c r="B33" s="84"/>
    </row>
    <row r="34" spans="1:2" ht="18" x14ac:dyDescent="0.35">
      <c r="A34" s="86" t="s">
        <v>56</v>
      </c>
      <c r="B34" s="85"/>
    </row>
  </sheetData>
  <sheetProtection algorithmName="SHA-512" hashValue="Et78u2IqJ4xxYu1Zqj1XCIJpp0mZkk5fGW+Hw1Q0bD3gmG1t3lqh8/slYwsVa38glp+Fp7w6PEdk9P971CzGqg==" saltValue="rbaYIw4YrVHL/FnqkTn2KQ==" spinCount="100000" sheet="1" formatCells="0" formatColumns="0" formatRows="0" insertColumns="0" insertRows="0" insertHyperlinks="0" deleteColumns="0" deleteRows="0" pivotTables="0"/>
  <protectedRanges>
    <protectedRange algorithmName="SHA-512" hashValue="AG7+b7sSde5VdoNxddwK8AEPUDqjzO1GQDLZXIUN7PvLvDa8YiNvcPs3Ku7O32TY611DtW6O9fwIWrqT3cjEtw==" saltValue="NQDGL8muen43hpg/Bb4gvA==" spinCount="100000" sqref="B29:B34" name="vendedores"/>
    <protectedRange algorithmName="SHA-512" hashValue="q62kFoeHSWpvlYc5VkIFsWUXfKw7BLlstWzapj23Q5KRDKAfnD61MexkOZi8DpfsS8oVMzDah/fAbP9r226zBQ==" saltValue="r6wGdEdUgKkzhR/O2GZ/PQ==" spinCount="100000" sqref="B20:B23" name="Vendas"/>
    <protectedRange sqref="B12" name="Pesquisa_Item"/>
    <protectedRange sqref="B3" name="Pesquisa_Vendedor"/>
  </protectedRanges>
  <mergeCells count="26">
    <mergeCell ref="A28:B28"/>
    <mergeCell ref="A19:B19"/>
    <mergeCell ref="A1:F1"/>
    <mergeCell ref="B2:C2"/>
    <mergeCell ref="E3:F3"/>
    <mergeCell ref="A10:F10"/>
    <mergeCell ref="B11:C11"/>
    <mergeCell ref="E11:F11"/>
    <mergeCell ref="E5:F5"/>
    <mergeCell ref="B5:C5"/>
    <mergeCell ref="B4:C4"/>
    <mergeCell ref="B3:C3"/>
    <mergeCell ref="E2:F2"/>
    <mergeCell ref="E4:F4"/>
    <mergeCell ref="B6:C6"/>
    <mergeCell ref="E6:F6"/>
    <mergeCell ref="B12:C12"/>
    <mergeCell ref="E12:F12"/>
    <mergeCell ref="E13:F13"/>
    <mergeCell ref="E14:F14"/>
    <mergeCell ref="E15:F15"/>
    <mergeCell ref="E16:F16"/>
    <mergeCell ref="B16:C16"/>
    <mergeCell ref="B15:C15"/>
    <mergeCell ref="B14:C14"/>
    <mergeCell ref="B13:C1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0A7F3A-E098-4C66-9DE4-A1446E0D9948}">
          <x14:formula1>
            <xm:f>_xlfn.ANCHORARRAY('Tabelas Auxiliares'!$A$2)</xm:f>
          </x14:formula1>
          <xm:sqref>B3:C3</xm:sqref>
        </x14:dataValidation>
        <x14:dataValidation type="list" allowBlank="1" showInputMessage="1" showErrorMessage="1" xr:uid="{55F078EB-EF77-4586-860B-D5236E9FF49F}">
          <x14:formula1>
            <xm:f>_xlfn.ANCHORARRAY('Tabelas Auxiliares'!$C$2)</xm:f>
          </x14:formula1>
          <xm:sqref>B12:C12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06C6D-AD96-4EC8-A3FC-D614653B209F}">
  <sheetPr codeName="Planilha2"/>
  <dimension ref="A1:N6006"/>
  <sheetViews>
    <sheetView showGridLines="0" topLeftCell="A5979" zoomScale="95" zoomScaleNormal="95" workbookViewId="0">
      <selection activeCell="E6008" sqref="E6008"/>
    </sheetView>
  </sheetViews>
  <sheetFormatPr defaultRowHeight="14.4" x14ac:dyDescent="0.3"/>
  <cols>
    <col min="1" max="1" width="15.88671875" style="7" customWidth="1"/>
    <col min="2" max="2" width="19.109375" bestFit="1" customWidth="1"/>
    <col min="3" max="3" width="14.109375" style="7" bestFit="1" customWidth="1"/>
    <col min="4" max="4" width="14.21875" style="7" bestFit="1" customWidth="1"/>
    <col min="5" max="5" width="38.44140625" bestFit="1" customWidth="1"/>
    <col min="6" max="6" width="38.44140625" style="7" customWidth="1"/>
    <col min="7" max="7" width="13.33203125" bestFit="1" customWidth="1"/>
    <col min="8" max="8" width="18.44140625" style="7" bestFit="1" customWidth="1"/>
    <col min="9" max="9" width="13.88671875" style="3" bestFit="1" customWidth="1"/>
    <col min="10" max="10" width="14.44140625" style="3" bestFit="1" customWidth="1"/>
    <col min="11" max="11" width="14.88671875" style="5" bestFit="1" customWidth="1"/>
    <col min="12" max="12" width="17.21875" style="6" customWidth="1"/>
    <col min="13" max="13" width="16.6640625" style="3" bestFit="1" customWidth="1"/>
    <col min="15" max="15" width="10.33203125" bestFit="1" customWidth="1"/>
  </cols>
  <sheetData>
    <row r="1" spans="1:14" ht="36.6" x14ac:dyDescent="0.3">
      <c r="A1" s="40" t="s">
        <v>126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</row>
    <row r="2" spans="1:14" ht="36" x14ac:dyDescent="0.3">
      <c r="A2" s="21" t="s">
        <v>100</v>
      </c>
      <c r="B2" s="21" t="s">
        <v>0</v>
      </c>
      <c r="C2" s="21" t="s">
        <v>4</v>
      </c>
      <c r="D2" s="21" t="s">
        <v>3</v>
      </c>
      <c r="E2" s="21" t="s">
        <v>128</v>
      </c>
      <c r="F2" s="21" t="s">
        <v>1</v>
      </c>
      <c r="G2" s="21" t="s">
        <v>2</v>
      </c>
      <c r="H2" s="22" t="s">
        <v>98</v>
      </c>
      <c r="I2" s="22" t="s">
        <v>99</v>
      </c>
      <c r="J2" s="22" t="s">
        <v>119</v>
      </c>
      <c r="K2" s="23" t="s">
        <v>87</v>
      </c>
      <c r="L2" s="22" t="s">
        <v>118</v>
      </c>
      <c r="M2"/>
    </row>
    <row r="3" spans="1:14" x14ac:dyDescent="0.3">
      <c r="A3" s="7">
        <v>400255</v>
      </c>
      <c r="B3" t="str">
        <f>_xlfn.XLOOKUP(Vendas[[#This Row],[ID Vendedor]],Vendedores[ID],Vendedores[Nome])</f>
        <v>Carlos</v>
      </c>
      <c r="C3" s="7" t="str">
        <f>_xlfn.XLOOKUP(Vendas[[#This Row],[ID Vendedor]],Vendedores[ID],Vendedores[Setor])</f>
        <v>SC</v>
      </c>
      <c r="D3" s="7" t="s">
        <v>14</v>
      </c>
      <c r="E3" t="str">
        <f>_xlfn.XLOOKUP(Vendas[[#This Row],[ID Item Vendido]],Agregado[ID],Agregado[Produto])</f>
        <v>Barril de plástico 200L</v>
      </c>
      <c r="F3" s="39">
        <v>42913</v>
      </c>
      <c r="G3" s="7">
        <v>4</v>
      </c>
      <c r="H3" s="3">
        <f>_xlfn.XLOOKUP(Vendas[[#This Row],[ID Item Vendido]],Agregado[ID],Agregado[Revenda])</f>
        <v>114</v>
      </c>
      <c r="I3" s="3">
        <f>Vendas[[#This Row],[Valor Unitário]]*Vendas[[#This Row],[Qnt Vendida]]</f>
        <v>456</v>
      </c>
      <c r="J3" s="3">
        <f>Vendas[[#This Row],[Valor da Venda]]-(_xlfn.XLOOKUP(Vendas[[#This Row],[ID Item Vendido]],Agregado[ID],Agregado[Custo])*Vendas[[#This Row],[Qnt Vendida]])</f>
        <v>76</v>
      </c>
      <c r="K3" s="70">
        <f>Vendas[[#This Row],[Lucro da Venda]]/Vendas[[#This Row],[Valor da Venda]]</f>
        <v>0.16666666666666666</v>
      </c>
      <c r="L3" s="3">
        <f>_xlfn.IFS(Vendas[[#This Row],[Margem de Lucro (%)]]&lt;15%,Vendas[[#This Row],[Valor da Venda]]*3%,Vendas[[#This Row],[Margem de Lucro (%)]]&lt;=20%,Vendas[[#This Row],[Valor da Venda]]*4.5%,TRUE,Vendas[[#This Row],[Valor da Venda]]*6%)</f>
        <v>20.52</v>
      </c>
      <c r="M3"/>
      <c r="N3" s="8"/>
    </row>
    <row r="4" spans="1:14" x14ac:dyDescent="0.3">
      <c r="A4" s="7">
        <v>400255</v>
      </c>
      <c r="B4" t="str">
        <f>_xlfn.XLOOKUP(Vendas[[#This Row],[ID Vendedor]],Vendedores[ID],Vendedores[Nome])</f>
        <v>Carlos</v>
      </c>
      <c r="C4" s="7" t="str">
        <f>_xlfn.XLOOKUP(Vendas[[#This Row],[ID Vendedor]],Vendedores[ID],Vendedores[Setor])</f>
        <v>SC</v>
      </c>
      <c r="D4" s="7" t="s">
        <v>14</v>
      </c>
      <c r="E4" t="str">
        <f>_xlfn.XLOOKUP(Vendas[[#This Row],[ID Item Vendido]],Agregado[ID],Agregado[Produto])</f>
        <v>Barril de plástico 200L</v>
      </c>
      <c r="F4" s="39">
        <v>42915</v>
      </c>
      <c r="G4" s="7">
        <v>8</v>
      </c>
      <c r="H4" s="3">
        <f>_xlfn.XLOOKUP(Vendas[[#This Row],[ID Item Vendido]],Agregado[ID],Agregado[Revenda])</f>
        <v>114</v>
      </c>
      <c r="I4" s="3">
        <f>Vendas[[#This Row],[Valor Unitário]]*Vendas[[#This Row],[Qnt Vendida]]</f>
        <v>912</v>
      </c>
      <c r="J4" s="3">
        <f>Vendas[[#This Row],[Valor da Venda]]-(_xlfn.XLOOKUP(Vendas[[#This Row],[ID Item Vendido]],Agregado[ID],Agregado[Custo])*Vendas[[#This Row],[Qnt Vendida]])</f>
        <v>152</v>
      </c>
      <c r="K4" s="70">
        <f>Vendas[[#This Row],[Lucro da Venda]]/Vendas[[#This Row],[Valor da Venda]]</f>
        <v>0.16666666666666666</v>
      </c>
      <c r="L4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4"/>
      <c r="N4" s="2"/>
    </row>
    <row r="5" spans="1:14" x14ac:dyDescent="0.3">
      <c r="A5" s="7">
        <v>400255</v>
      </c>
      <c r="B5" t="str">
        <f>_xlfn.XLOOKUP(Vendas[[#This Row],[ID Vendedor]],Vendedores[ID],Vendedores[Nome])</f>
        <v>Carlos</v>
      </c>
      <c r="C5" s="7" t="str">
        <f>_xlfn.XLOOKUP(Vendas[[#This Row],[ID Vendedor]],Vendedores[ID],Vendedores[Setor])</f>
        <v>SC</v>
      </c>
      <c r="D5" s="7" t="s">
        <v>42</v>
      </c>
      <c r="E5" t="str">
        <f>_xlfn.XLOOKUP(Vendas[[#This Row],[ID Item Vendido]],Agregado[ID],Agregado[Produto])</f>
        <v>Container de ferro industrial</v>
      </c>
      <c r="F5" s="39">
        <v>42949</v>
      </c>
      <c r="G5" s="7">
        <v>5</v>
      </c>
      <c r="H5" s="3">
        <f>_xlfn.XLOOKUP(Vendas[[#This Row],[ID Item Vendido]],Agregado[ID],Agregado[Revenda])</f>
        <v>830</v>
      </c>
      <c r="I5" s="3">
        <f>Vendas[[#This Row],[Valor Unitário]]*Vendas[[#This Row],[Qnt Vendida]]</f>
        <v>4150</v>
      </c>
      <c r="J5" s="3">
        <f>Vendas[[#This Row],[Valor da Venda]]-(_xlfn.XLOOKUP(Vendas[[#This Row],[ID Item Vendido]],Agregado[ID],Agregado[Custo])*Vendas[[#This Row],[Qnt Vendida]])</f>
        <v>750</v>
      </c>
      <c r="K5" s="70">
        <f>Vendas[[#This Row],[Lucro da Venda]]/Vendas[[#This Row],[Valor da Venda]]</f>
        <v>0.18072289156626506</v>
      </c>
      <c r="L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"/>
      <c r="N5" s="2"/>
    </row>
    <row r="6" spans="1:14" x14ac:dyDescent="0.3">
      <c r="A6" s="7">
        <v>400255</v>
      </c>
      <c r="B6" t="str">
        <f>_xlfn.XLOOKUP(Vendas[[#This Row],[ID Vendedor]],Vendedores[ID],Vendedores[Nome])</f>
        <v>Carlos</v>
      </c>
      <c r="C6" s="7" t="str">
        <f>_xlfn.XLOOKUP(Vendas[[#This Row],[ID Vendedor]],Vendedores[ID],Vendedores[Setor])</f>
        <v>SC</v>
      </c>
      <c r="D6" s="7" t="s">
        <v>48</v>
      </c>
      <c r="E6" t="str">
        <f>_xlfn.XLOOKUP(Vendas[[#This Row],[ID Item Vendido]],Agregado[ID],Agregado[Produto])</f>
        <v>Tambor metálico 200L</v>
      </c>
      <c r="F6" s="39">
        <v>42956</v>
      </c>
      <c r="G6" s="7">
        <v>2</v>
      </c>
      <c r="H6" s="3">
        <f>_xlfn.XLOOKUP(Vendas[[#This Row],[ID Item Vendido]],Agregado[ID],Agregado[Revenda])</f>
        <v>144</v>
      </c>
      <c r="I6" s="3">
        <f>Vendas[[#This Row],[Valor Unitário]]*Vendas[[#This Row],[Qnt Vendida]]</f>
        <v>288</v>
      </c>
      <c r="J6" s="3">
        <f>Vendas[[#This Row],[Valor da Venda]]-(_xlfn.XLOOKUP(Vendas[[#This Row],[ID Item Vendido]],Agregado[ID],Agregado[Custo])*Vendas[[#This Row],[Qnt Vendida]])</f>
        <v>48</v>
      </c>
      <c r="K6" s="70">
        <f>Vendas[[#This Row],[Lucro da Venda]]/Vendas[[#This Row],[Valor da Venda]]</f>
        <v>0.16666666666666666</v>
      </c>
      <c r="L6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6"/>
      <c r="N6" s="2"/>
    </row>
    <row r="7" spans="1:14" x14ac:dyDescent="0.3">
      <c r="A7" s="7">
        <v>400255</v>
      </c>
      <c r="B7" t="str">
        <f>_xlfn.XLOOKUP(Vendas[[#This Row],[ID Vendedor]],Vendedores[ID],Vendedores[Nome])</f>
        <v>Carlos</v>
      </c>
      <c r="C7" s="7" t="str">
        <f>_xlfn.XLOOKUP(Vendas[[#This Row],[ID Vendedor]],Vendedores[ID],Vendedores[Setor])</f>
        <v>SC</v>
      </c>
      <c r="D7" s="7" t="s">
        <v>25</v>
      </c>
      <c r="E7" t="str">
        <f>_xlfn.XLOOKUP(Vendas[[#This Row],[ID Item Vendido]],Agregado[ID],Agregado[Produto])</f>
        <v>Palete de plástico</v>
      </c>
      <c r="F7" s="39">
        <v>42961</v>
      </c>
      <c r="G7" s="7">
        <v>6</v>
      </c>
      <c r="H7" s="3">
        <f>_xlfn.XLOOKUP(Vendas[[#This Row],[ID Item Vendido]],Agregado[ID],Agregado[Revenda])</f>
        <v>70.8</v>
      </c>
      <c r="I7" s="3">
        <f>Vendas[[#This Row],[Valor Unitário]]*Vendas[[#This Row],[Qnt Vendida]]</f>
        <v>424.79999999999995</v>
      </c>
      <c r="J7" s="3">
        <f>Vendas[[#This Row],[Valor da Venda]]-(_xlfn.XLOOKUP(Vendas[[#This Row],[ID Item Vendido]],Agregado[ID],Agregado[Custo])*Vendas[[#This Row],[Qnt Vendida]])</f>
        <v>64.799999999999955</v>
      </c>
      <c r="K7" s="70">
        <f>Vendas[[#This Row],[Lucro da Venda]]/Vendas[[#This Row],[Valor da Venda]]</f>
        <v>0.15254237288135583</v>
      </c>
      <c r="L7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7"/>
      <c r="N7" s="2"/>
    </row>
    <row r="8" spans="1:14" x14ac:dyDescent="0.3">
      <c r="A8" s="7">
        <v>400255</v>
      </c>
      <c r="B8" t="str">
        <f>_xlfn.XLOOKUP(Vendas[[#This Row],[ID Vendedor]],Vendedores[ID],Vendedores[Nome])</f>
        <v>Carlos</v>
      </c>
      <c r="C8" s="7" t="str">
        <f>_xlfn.XLOOKUP(Vendas[[#This Row],[ID Vendedor]],Vendedores[ID],Vendedores[Setor])</f>
        <v>SC</v>
      </c>
      <c r="D8" s="7" t="s">
        <v>42</v>
      </c>
      <c r="E8" t="str">
        <f>_xlfn.XLOOKUP(Vendas[[#This Row],[ID Item Vendido]],Agregado[ID],Agregado[Produto])</f>
        <v>Container de ferro industrial</v>
      </c>
      <c r="F8" s="39">
        <v>42965</v>
      </c>
      <c r="G8" s="7">
        <v>2</v>
      </c>
      <c r="H8" s="3">
        <f>_xlfn.XLOOKUP(Vendas[[#This Row],[ID Item Vendido]],Agregado[ID],Agregado[Revenda])</f>
        <v>830</v>
      </c>
      <c r="I8" s="3">
        <f>Vendas[[#This Row],[Valor Unitário]]*Vendas[[#This Row],[Qnt Vendida]]</f>
        <v>1660</v>
      </c>
      <c r="J8" s="3">
        <f>Vendas[[#This Row],[Valor da Venda]]-(_xlfn.XLOOKUP(Vendas[[#This Row],[ID Item Vendido]],Agregado[ID],Agregado[Custo])*Vendas[[#This Row],[Qnt Vendida]])</f>
        <v>300</v>
      </c>
      <c r="K8" s="70">
        <f>Vendas[[#This Row],[Lucro da Venda]]/Vendas[[#This Row],[Valor da Venda]]</f>
        <v>0.18072289156626506</v>
      </c>
      <c r="L8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8"/>
      <c r="N8" s="2"/>
    </row>
    <row r="9" spans="1:14" x14ac:dyDescent="0.3">
      <c r="A9" s="7">
        <v>400255</v>
      </c>
      <c r="B9" t="str">
        <f>_xlfn.XLOOKUP(Vendas[[#This Row],[ID Vendedor]],Vendedores[ID],Vendedores[Nome])</f>
        <v>Carlos</v>
      </c>
      <c r="C9" s="7" t="str">
        <f>_xlfn.XLOOKUP(Vendas[[#This Row],[ID Vendedor]],Vendedores[ID],Vendedores[Setor])</f>
        <v>SC</v>
      </c>
      <c r="D9" s="7" t="s">
        <v>48</v>
      </c>
      <c r="E9" t="str">
        <f>_xlfn.XLOOKUP(Vendas[[#This Row],[ID Item Vendido]],Agregado[ID],Agregado[Produto])</f>
        <v>Tambor metálico 200L</v>
      </c>
      <c r="F9" s="39">
        <v>42996</v>
      </c>
      <c r="G9" s="7">
        <v>10</v>
      </c>
      <c r="H9" s="3">
        <f>_xlfn.XLOOKUP(Vendas[[#This Row],[ID Item Vendido]],Agregado[ID],Agregado[Revenda])</f>
        <v>144</v>
      </c>
      <c r="I9" s="3">
        <f>Vendas[[#This Row],[Valor Unitário]]*Vendas[[#This Row],[Qnt Vendida]]</f>
        <v>1440</v>
      </c>
      <c r="J9" s="3">
        <f>Vendas[[#This Row],[Valor da Venda]]-(_xlfn.XLOOKUP(Vendas[[#This Row],[ID Item Vendido]],Agregado[ID],Agregado[Custo])*Vendas[[#This Row],[Qnt Vendida]])</f>
        <v>240</v>
      </c>
      <c r="K9" s="70">
        <f>Vendas[[#This Row],[Lucro da Venda]]/Vendas[[#This Row],[Valor da Venda]]</f>
        <v>0.16666666666666666</v>
      </c>
      <c r="L9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9"/>
      <c r="N9" s="2"/>
    </row>
    <row r="10" spans="1:14" x14ac:dyDescent="0.3">
      <c r="A10" s="7">
        <v>400255</v>
      </c>
      <c r="B10" t="str">
        <f>_xlfn.XLOOKUP(Vendas[[#This Row],[ID Vendedor]],Vendedores[ID],Vendedores[Nome])</f>
        <v>Carlos</v>
      </c>
      <c r="C10" s="7" t="str">
        <f>_xlfn.XLOOKUP(Vendas[[#This Row],[ID Vendedor]],Vendedores[ID],Vendedores[Setor])</f>
        <v>SC</v>
      </c>
      <c r="D10" s="7" t="s">
        <v>14</v>
      </c>
      <c r="E10" t="str">
        <f>_xlfn.XLOOKUP(Vendas[[#This Row],[ID Item Vendido]],Agregado[ID],Agregado[Produto])</f>
        <v>Barril de plástico 200L</v>
      </c>
      <c r="F10" s="39">
        <v>42999</v>
      </c>
      <c r="G10" s="7">
        <v>25</v>
      </c>
      <c r="H10" s="3">
        <f>_xlfn.XLOOKUP(Vendas[[#This Row],[ID Item Vendido]],Agregado[ID],Agregado[Revenda])</f>
        <v>114</v>
      </c>
      <c r="I10" s="3">
        <f>Vendas[[#This Row],[Valor Unitário]]*Vendas[[#This Row],[Qnt Vendida]]</f>
        <v>2850</v>
      </c>
      <c r="J10" s="3">
        <f>Vendas[[#This Row],[Valor da Venda]]-(_xlfn.XLOOKUP(Vendas[[#This Row],[ID Item Vendido]],Agregado[ID],Agregado[Custo])*Vendas[[#This Row],[Qnt Vendida]])</f>
        <v>475</v>
      </c>
      <c r="K10" s="70">
        <f>Vendas[[#This Row],[Lucro da Venda]]/Vendas[[#This Row],[Valor da Venda]]</f>
        <v>0.16666666666666666</v>
      </c>
      <c r="L10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10"/>
      <c r="N10" s="2"/>
    </row>
    <row r="11" spans="1:14" x14ac:dyDescent="0.3">
      <c r="A11" s="7">
        <v>400255</v>
      </c>
      <c r="B11" t="str">
        <f>_xlfn.XLOOKUP(Vendas[[#This Row],[ID Vendedor]],Vendedores[ID],Vendedores[Nome])</f>
        <v>Carlos</v>
      </c>
      <c r="C11" s="7" t="str">
        <f>_xlfn.XLOOKUP(Vendas[[#This Row],[ID Vendedor]],Vendedores[ID],Vendedores[Setor])</f>
        <v>SC</v>
      </c>
      <c r="D11" s="7" t="s">
        <v>42</v>
      </c>
      <c r="E11" t="str">
        <f>_xlfn.XLOOKUP(Vendas[[#This Row],[ID Item Vendido]],Agregado[ID],Agregado[Produto])</f>
        <v>Container de ferro industrial</v>
      </c>
      <c r="F11" s="39">
        <v>43013</v>
      </c>
      <c r="G11" s="7">
        <v>3</v>
      </c>
      <c r="H11" s="3">
        <f>_xlfn.XLOOKUP(Vendas[[#This Row],[ID Item Vendido]],Agregado[ID],Agregado[Revenda])</f>
        <v>830</v>
      </c>
      <c r="I11" s="3">
        <f>Vendas[[#This Row],[Valor Unitário]]*Vendas[[#This Row],[Qnt Vendida]]</f>
        <v>2490</v>
      </c>
      <c r="J11" s="3">
        <f>Vendas[[#This Row],[Valor da Venda]]-(_xlfn.XLOOKUP(Vendas[[#This Row],[ID Item Vendido]],Agregado[ID],Agregado[Custo])*Vendas[[#This Row],[Qnt Vendida]])</f>
        <v>450</v>
      </c>
      <c r="K11" s="70">
        <f>Vendas[[#This Row],[Lucro da Venda]]/Vendas[[#This Row],[Valor da Venda]]</f>
        <v>0.18072289156626506</v>
      </c>
      <c r="L11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1"/>
      <c r="N11" s="2"/>
    </row>
    <row r="12" spans="1:14" x14ac:dyDescent="0.3">
      <c r="A12" s="7">
        <v>400255</v>
      </c>
      <c r="B12" t="str">
        <f>_xlfn.XLOOKUP(Vendas[[#This Row],[ID Vendedor]],Vendedores[ID],Vendedores[Nome])</f>
        <v>Carlos</v>
      </c>
      <c r="C12" s="7" t="str">
        <f>_xlfn.XLOOKUP(Vendas[[#This Row],[ID Vendedor]],Vendedores[ID],Vendedores[Setor])</f>
        <v>SC</v>
      </c>
      <c r="D12" s="7" t="s">
        <v>48</v>
      </c>
      <c r="E12" t="str">
        <f>_xlfn.XLOOKUP(Vendas[[#This Row],[ID Item Vendido]],Agregado[ID],Agregado[Produto])</f>
        <v>Tambor metálico 200L</v>
      </c>
      <c r="F12" s="39">
        <v>43016</v>
      </c>
      <c r="G12" s="7">
        <v>3</v>
      </c>
      <c r="H12" s="3">
        <f>_xlfn.XLOOKUP(Vendas[[#This Row],[ID Item Vendido]],Agregado[ID],Agregado[Revenda])</f>
        <v>144</v>
      </c>
      <c r="I12" s="3">
        <f>Vendas[[#This Row],[Valor Unitário]]*Vendas[[#This Row],[Qnt Vendida]]</f>
        <v>432</v>
      </c>
      <c r="J12" s="3">
        <f>Vendas[[#This Row],[Valor da Venda]]-(_xlfn.XLOOKUP(Vendas[[#This Row],[ID Item Vendido]],Agregado[ID],Agregado[Custo])*Vendas[[#This Row],[Qnt Vendida]])</f>
        <v>72</v>
      </c>
      <c r="K12" s="70">
        <f>Vendas[[#This Row],[Lucro da Venda]]/Vendas[[#This Row],[Valor da Venda]]</f>
        <v>0.16666666666666666</v>
      </c>
      <c r="L12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12"/>
      <c r="N12" s="2"/>
    </row>
    <row r="13" spans="1:14" x14ac:dyDescent="0.3">
      <c r="A13" s="7">
        <v>400255</v>
      </c>
      <c r="B13" t="str">
        <f>_xlfn.XLOOKUP(Vendas[[#This Row],[ID Vendedor]],Vendedores[ID],Vendedores[Nome])</f>
        <v>Carlos</v>
      </c>
      <c r="C13" s="7" t="str">
        <f>_xlfn.XLOOKUP(Vendas[[#This Row],[ID Vendedor]],Vendedores[ID],Vendedores[Setor])</f>
        <v>SC</v>
      </c>
      <c r="D13" s="7" t="s">
        <v>42</v>
      </c>
      <c r="E13" t="str">
        <f>_xlfn.XLOOKUP(Vendas[[#This Row],[ID Item Vendido]],Agregado[ID],Agregado[Produto])</f>
        <v>Container de ferro industrial</v>
      </c>
      <c r="F13" s="39">
        <v>43018</v>
      </c>
      <c r="G13" s="7">
        <v>3</v>
      </c>
      <c r="H13" s="3">
        <f>_xlfn.XLOOKUP(Vendas[[#This Row],[ID Item Vendido]],Agregado[ID],Agregado[Revenda])</f>
        <v>830</v>
      </c>
      <c r="I13" s="3">
        <f>Vendas[[#This Row],[Valor Unitário]]*Vendas[[#This Row],[Qnt Vendida]]</f>
        <v>2490</v>
      </c>
      <c r="J13" s="3">
        <f>Vendas[[#This Row],[Valor da Venda]]-(_xlfn.XLOOKUP(Vendas[[#This Row],[ID Item Vendido]],Agregado[ID],Agregado[Custo])*Vendas[[#This Row],[Qnt Vendida]])</f>
        <v>450</v>
      </c>
      <c r="K13" s="70">
        <f>Vendas[[#This Row],[Lucro da Venda]]/Vendas[[#This Row],[Valor da Venda]]</f>
        <v>0.18072289156626506</v>
      </c>
      <c r="L1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3"/>
      <c r="N13" s="2"/>
    </row>
    <row r="14" spans="1:14" x14ac:dyDescent="0.3">
      <c r="A14" s="7">
        <v>400255</v>
      </c>
      <c r="B14" t="str">
        <f>_xlfn.XLOOKUP(Vendas[[#This Row],[ID Vendedor]],Vendedores[ID],Vendedores[Nome])</f>
        <v>Carlos</v>
      </c>
      <c r="C14" s="7" t="str">
        <f>_xlfn.XLOOKUP(Vendas[[#This Row],[ID Vendedor]],Vendedores[ID],Vendedores[Setor])</f>
        <v>SC</v>
      </c>
      <c r="D14" s="7" t="s">
        <v>25</v>
      </c>
      <c r="E14" t="str">
        <f>_xlfn.XLOOKUP(Vendas[[#This Row],[ID Item Vendido]],Agregado[ID],Agregado[Produto])</f>
        <v>Palete de plástico</v>
      </c>
      <c r="F14" s="39">
        <v>43022</v>
      </c>
      <c r="G14" s="7">
        <v>12</v>
      </c>
      <c r="H14" s="3">
        <f>_xlfn.XLOOKUP(Vendas[[#This Row],[ID Item Vendido]],Agregado[ID],Agregado[Revenda])</f>
        <v>70.8</v>
      </c>
      <c r="I14" s="3">
        <f>Vendas[[#This Row],[Valor Unitário]]*Vendas[[#This Row],[Qnt Vendida]]</f>
        <v>849.59999999999991</v>
      </c>
      <c r="J14" s="3">
        <f>Vendas[[#This Row],[Valor da Venda]]-(_xlfn.XLOOKUP(Vendas[[#This Row],[ID Item Vendido]],Agregado[ID],Agregado[Custo])*Vendas[[#This Row],[Qnt Vendida]])</f>
        <v>129.59999999999991</v>
      </c>
      <c r="K14" s="70">
        <f>Vendas[[#This Row],[Lucro da Venda]]/Vendas[[#This Row],[Valor da Venda]]</f>
        <v>0.15254237288135583</v>
      </c>
      <c r="L14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14"/>
      <c r="N14" s="2"/>
    </row>
    <row r="15" spans="1:14" x14ac:dyDescent="0.3">
      <c r="A15" s="7">
        <v>400255</v>
      </c>
      <c r="B15" t="str">
        <f>_xlfn.XLOOKUP(Vendas[[#This Row],[ID Vendedor]],Vendedores[ID],Vendedores[Nome])</f>
        <v>Carlos</v>
      </c>
      <c r="C15" s="7" t="str">
        <f>_xlfn.XLOOKUP(Vendas[[#This Row],[ID Vendedor]],Vendedores[ID],Vendedores[Setor])</f>
        <v>SC</v>
      </c>
      <c r="D15" s="7" t="s">
        <v>14</v>
      </c>
      <c r="E15" t="str">
        <f>_xlfn.XLOOKUP(Vendas[[#This Row],[ID Item Vendido]],Agregado[ID],Agregado[Produto])</f>
        <v>Barril de plástico 200L</v>
      </c>
      <c r="F15" s="39">
        <v>43023</v>
      </c>
      <c r="G15" s="7">
        <v>19</v>
      </c>
      <c r="H15" s="3">
        <f>_xlfn.XLOOKUP(Vendas[[#This Row],[ID Item Vendido]],Agregado[ID],Agregado[Revenda])</f>
        <v>114</v>
      </c>
      <c r="I15" s="3">
        <f>Vendas[[#This Row],[Valor Unitário]]*Vendas[[#This Row],[Qnt Vendida]]</f>
        <v>2166</v>
      </c>
      <c r="J15" s="3">
        <f>Vendas[[#This Row],[Valor da Venda]]-(_xlfn.XLOOKUP(Vendas[[#This Row],[ID Item Vendido]],Agregado[ID],Agregado[Custo])*Vendas[[#This Row],[Qnt Vendida]])</f>
        <v>361</v>
      </c>
      <c r="K15" s="70">
        <f>Vendas[[#This Row],[Lucro da Venda]]/Vendas[[#This Row],[Valor da Venda]]</f>
        <v>0.16666666666666666</v>
      </c>
      <c r="L15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15"/>
      <c r="N15" s="2"/>
    </row>
    <row r="16" spans="1:14" x14ac:dyDescent="0.3">
      <c r="A16" s="7">
        <v>400255</v>
      </c>
      <c r="B16" t="str">
        <f>_xlfn.XLOOKUP(Vendas[[#This Row],[ID Vendedor]],Vendedores[ID],Vendedores[Nome])</f>
        <v>Carlos</v>
      </c>
      <c r="C16" s="7" t="str">
        <f>_xlfn.XLOOKUP(Vendas[[#This Row],[ID Vendedor]],Vendedores[ID],Vendedores[Setor])</f>
        <v>SC</v>
      </c>
      <c r="D16" s="7" t="s">
        <v>48</v>
      </c>
      <c r="E16" t="str">
        <f>_xlfn.XLOOKUP(Vendas[[#This Row],[ID Item Vendido]],Agregado[ID],Agregado[Produto])</f>
        <v>Tambor metálico 200L</v>
      </c>
      <c r="F16" s="39">
        <v>43024</v>
      </c>
      <c r="G16" s="7">
        <v>17</v>
      </c>
      <c r="H16" s="3">
        <f>_xlfn.XLOOKUP(Vendas[[#This Row],[ID Item Vendido]],Agregado[ID],Agregado[Revenda])</f>
        <v>144</v>
      </c>
      <c r="I16" s="3">
        <f>Vendas[[#This Row],[Valor Unitário]]*Vendas[[#This Row],[Qnt Vendida]]</f>
        <v>2448</v>
      </c>
      <c r="J16" s="3">
        <f>Vendas[[#This Row],[Valor da Venda]]-(_xlfn.XLOOKUP(Vendas[[#This Row],[ID Item Vendido]],Agregado[ID],Agregado[Custo])*Vendas[[#This Row],[Qnt Vendida]])</f>
        <v>408</v>
      </c>
      <c r="K16" s="70">
        <f>Vendas[[#This Row],[Lucro da Venda]]/Vendas[[#This Row],[Valor da Venda]]</f>
        <v>0.16666666666666666</v>
      </c>
      <c r="L16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16"/>
      <c r="N16" s="2"/>
    </row>
    <row r="17" spans="1:14" x14ac:dyDescent="0.3">
      <c r="A17" s="7">
        <v>400255</v>
      </c>
      <c r="B17" t="str">
        <f>_xlfn.XLOOKUP(Vendas[[#This Row],[ID Vendedor]],Vendedores[ID],Vendedores[Nome])</f>
        <v>Carlos</v>
      </c>
      <c r="C17" s="7" t="str">
        <f>_xlfn.XLOOKUP(Vendas[[#This Row],[ID Vendedor]],Vendedores[ID],Vendedores[Setor])</f>
        <v>SC</v>
      </c>
      <c r="D17" s="7" t="s">
        <v>42</v>
      </c>
      <c r="E17" t="str">
        <f>_xlfn.XLOOKUP(Vendas[[#This Row],[ID Item Vendido]],Agregado[ID],Agregado[Produto])</f>
        <v>Container de ferro industrial</v>
      </c>
      <c r="F17" s="39">
        <v>43025</v>
      </c>
      <c r="G17" s="7">
        <v>6</v>
      </c>
      <c r="H17" s="3">
        <f>_xlfn.XLOOKUP(Vendas[[#This Row],[ID Item Vendido]],Agregado[ID],Agregado[Revenda])</f>
        <v>830</v>
      </c>
      <c r="I17" s="3">
        <f>Vendas[[#This Row],[Valor Unitário]]*Vendas[[#This Row],[Qnt Vendida]]</f>
        <v>4980</v>
      </c>
      <c r="J17" s="3">
        <f>Vendas[[#This Row],[Valor da Venda]]-(_xlfn.XLOOKUP(Vendas[[#This Row],[ID Item Vendido]],Agregado[ID],Agregado[Custo])*Vendas[[#This Row],[Qnt Vendida]])</f>
        <v>900</v>
      </c>
      <c r="K17" s="70">
        <f>Vendas[[#This Row],[Lucro da Venda]]/Vendas[[#This Row],[Valor da Venda]]</f>
        <v>0.18072289156626506</v>
      </c>
      <c r="L17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7"/>
      <c r="N17" s="2"/>
    </row>
    <row r="18" spans="1:14" x14ac:dyDescent="0.3">
      <c r="A18" s="7">
        <v>400255</v>
      </c>
      <c r="B18" t="str">
        <f>_xlfn.XLOOKUP(Vendas[[#This Row],[ID Vendedor]],Vendedores[ID],Vendedores[Nome])</f>
        <v>Carlos</v>
      </c>
      <c r="C18" s="7" t="str">
        <f>_xlfn.XLOOKUP(Vendas[[#This Row],[ID Vendedor]],Vendedores[ID],Vendedores[Setor])</f>
        <v>SC</v>
      </c>
      <c r="D18" s="7" t="s">
        <v>48</v>
      </c>
      <c r="E18" t="str">
        <f>_xlfn.XLOOKUP(Vendas[[#This Row],[ID Item Vendido]],Agregado[ID],Agregado[Produto])</f>
        <v>Tambor metálico 200L</v>
      </c>
      <c r="F18" s="39">
        <v>43032</v>
      </c>
      <c r="G18" s="7">
        <v>15</v>
      </c>
      <c r="H18" s="3">
        <f>_xlfn.XLOOKUP(Vendas[[#This Row],[ID Item Vendido]],Agregado[ID],Agregado[Revenda])</f>
        <v>144</v>
      </c>
      <c r="I18" s="3">
        <f>Vendas[[#This Row],[Valor Unitário]]*Vendas[[#This Row],[Qnt Vendida]]</f>
        <v>2160</v>
      </c>
      <c r="J18" s="3">
        <f>Vendas[[#This Row],[Valor da Venda]]-(_xlfn.XLOOKUP(Vendas[[#This Row],[ID Item Vendido]],Agregado[ID],Agregado[Custo])*Vendas[[#This Row],[Qnt Vendida]])</f>
        <v>360</v>
      </c>
      <c r="K18" s="70">
        <f>Vendas[[#This Row],[Lucro da Venda]]/Vendas[[#This Row],[Valor da Venda]]</f>
        <v>0.16666666666666666</v>
      </c>
      <c r="L18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8"/>
      <c r="N18" s="2"/>
    </row>
    <row r="19" spans="1:14" x14ac:dyDescent="0.3">
      <c r="A19" s="7">
        <v>400255</v>
      </c>
      <c r="B19" t="str">
        <f>_xlfn.XLOOKUP(Vendas[[#This Row],[ID Vendedor]],Vendedores[ID],Vendedores[Nome])</f>
        <v>Carlos</v>
      </c>
      <c r="C19" s="7" t="str">
        <f>_xlfn.XLOOKUP(Vendas[[#This Row],[ID Vendedor]],Vendedores[ID],Vendedores[Setor])</f>
        <v>SC</v>
      </c>
      <c r="D19" s="7" t="s">
        <v>41</v>
      </c>
      <c r="E19" t="str">
        <f>_xlfn.XLOOKUP(Vendas[[#This Row],[ID Item Vendido]],Agregado[ID],Agregado[Produto])</f>
        <v>Palete de madeira reforçado</v>
      </c>
      <c r="F19" s="39">
        <v>43037</v>
      </c>
      <c r="G19" s="7">
        <v>4</v>
      </c>
      <c r="H19" s="3">
        <f>_xlfn.XLOOKUP(Vendas[[#This Row],[ID Item Vendido]],Agregado[ID],Agregado[Revenda])</f>
        <v>131</v>
      </c>
      <c r="I19" s="3">
        <f>Vendas[[#This Row],[Valor Unitário]]*Vendas[[#This Row],[Qnt Vendida]]</f>
        <v>524</v>
      </c>
      <c r="J19" s="3">
        <f>Vendas[[#This Row],[Valor da Venda]]-(_xlfn.XLOOKUP(Vendas[[#This Row],[ID Item Vendido]],Agregado[ID],Agregado[Custo])*Vendas[[#This Row],[Qnt Vendida]])</f>
        <v>84</v>
      </c>
      <c r="K19" s="70">
        <f>Vendas[[#This Row],[Lucro da Venda]]/Vendas[[#This Row],[Valor da Venda]]</f>
        <v>0.16030534351145037</v>
      </c>
      <c r="L19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9"/>
      <c r="N19" s="2"/>
    </row>
    <row r="20" spans="1:14" x14ac:dyDescent="0.3">
      <c r="A20" s="7">
        <v>400255</v>
      </c>
      <c r="B20" t="str">
        <f>_xlfn.XLOOKUP(Vendas[[#This Row],[ID Vendedor]],Vendedores[ID],Vendedores[Nome])</f>
        <v>Carlos</v>
      </c>
      <c r="C20" s="7" t="str">
        <f>_xlfn.XLOOKUP(Vendas[[#This Row],[ID Vendedor]],Vendedores[ID],Vendedores[Setor])</f>
        <v>SC</v>
      </c>
      <c r="D20" s="7" t="s">
        <v>14</v>
      </c>
      <c r="E20" t="str">
        <f>_xlfn.XLOOKUP(Vendas[[#This Row],[ID Item Vendido]],Agregado[ID],Agregado[Produto])</f>
        <v>Barril de plástico 200L</v>
      </c>
      <c r="F20" s="39">
        <v>43042</v>
      </c>
      <c r="G20" s="7">
        <v>17</v>
      </c>
      <c r="H20" s="3">
        <f>_xlfn.XLOOKUP(Vendas[[#This Row],[ID Item Vendido]],Agregado[ID],Agregado[Revenda])</f>
        <v>114</v>
      </c>
      <c r="I20" s="3">
        <f>Vendas[[#This Row],[Valor Unitário]]*Vendas[[#This Row],[Qnt Vendida]]</f>
        <v>1938</v>
      </c>
      <c r="J20" s="3">
        <f>Vendas[[#This Row],[Valor da Venda]]-(_xlfn.XLOOKUP(Vendas[[#This Row],[ID Item Vendido]],Agregado[ID],Agregado[Custo])*Vendas[[#This Row],[Qnt Vendida]])</f>
        <v>323</v>
      </c>
      <c r="K20" s="70">
        <f>Vendas[[#This Row],[Lucro da Venda]]/Vendas[[#This Row],[Valor da Venda]]</f>
        <v>0.16666666666666666</v>
      </c>
      <c r="L20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0"/>
      <c r="N20" s="2"/>
    </row>
    <row r="21" spans="1:14" x14ac:dyDescent="0.3">
      <c r="A21" s="7">
        <v>400255</v>
      </c>
      <c r="B21" t="str">
        <f>_xlfn.XLOOKUP(Vendas[[#This Row],[ID Vendedor]],Vendedores[ID],Vendedores[Nome])</f>
        <v>Carlos</v>
      </c>
      <c r="C21" s="7" t="str">
        <f>_xlfn.XLOOKUP(Vendas[[#This Row],[ID Vendedor]],Vendedores[ID],Vendedores[Setor])</f>
        <v>SC</v>
      </c>
      <c r="D21" s="7" t="s">
        <v>48</v>
      </c>
      <c r="E21" t="str">
        <f>_xlfn.XLOOKUP(Vendas[[#This Row],[ID Item Vendido]],Agregado[ID],Agregado[Produto])</f>
        <v>Tambor metálico 200L</v>
      </c>
      <c r="F21" s="39">
        <v>43043</v>
      </c>
      <c r="G21" s="7">
        <v>18</v>
      </c>
      <c r="H21" s="3">
        <f>_xlfn.XLOOKUP(Vendas[[#This Row],[ID Item Vendido]],Agregado[ID],Agregado[Revenda])</f>
        <v>144</v>
      </c>
      <c r="I21" s="3">
        <f>Vendas[[#This Row],[Valor Unitário]]*Vendas[[#This Row],[Qnt Vendida]]</f>
        <v>2592</v>
      </c>
      <c r="J21" s="3">
        <f>Vendas[[#This Row],[Valor da Venda]]-(_xlfn.XLOOKUP(Vendas[[#This Row],[ID Item Vendido]],Agregado[ID],Agregado[Custo])*Vendas[[#This Row],[Qnt Vendida]])</f>
        <v>432</v>
      </c>
      <c r="K21" s="70">
        <f>Vendas[[#This Row],[Lucro da Venda]]/Vendas[[#This Row],[Valor da Venda]]</f>
        <v>0.16666666666666666</v>
      </c>
      <c r="L21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1"/>
    </row>
    <row r="22" spans="1:14" x14ac:dyDescent="0.3">
      <c r="A22" s="7">
        <v>400255</v>
      </c>
      <c r="B22" t="str">
        <f>_xlfn.XLOOKUP(Vendas[[#This Row],[ID Vendedor]],Vendedores[ID],Vendedores[Nome])</f>
        <v>Carlos</v>
      </c>
      <c r="C22" s="7" t="str">
        <f>_xlfn.XLOOKUP(Vendas[[#This Row],[ID Vendedor]],Vendedores[ID],Vendedores[Setor])</f>
        <v>SC</v>
      </c>
      <c r="D22" s="7" t="s">
        <v>42</v>
      </c>
      <c r="E22" t="str">
        <f>_xlfn.XLOOKUP(Vendas[[#This Row],[ID Item Vendido]],Agregado[ID],Agregado[Produto])</f>
        <v>Container de ferro industrial</v>
      </c>
      <c r="F22" s="39">
        <v>43051</v>
      </c>
      <c r="G22" s="7">
        <v>5</v>
      </c>
      <c r="H22" s="3">
        <f>_xlfn.XLOOKUP(Vendas[[#This Row],[ID Item Vendido]],Agregado[ID],Agregado[Revenda])</f>
        <v>830</v>
      </c>
      <c r="I22" s="3">
        <f>Vendas[[#This Row],[Valor Unitário]]*Vendas[[#This Row],[Qnt Vendida]]</f>
        <v>4150</v>
      </c>
      <c r="J22" s="3">
        <f>Vendas[[#This Row],[Valor da Venda]]-(_xlfn.XLOOKUP(Vendas[[#This Row],[ID Item Vendido]],Agregado[ID],Agregado[Custo])*Vendas[[#This Row],[Qnt Vendida]])</f>
        <v>750</v>
      </c>
      <c r="K22" s="70">
        <f>Vendas[[#This Row],[Lucro da Venda]]/Vendas[[#This Row],[Valor da Venda]]</f>
        <v>0.18072289156626506</v>
      </c>
      <c r="L22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2"/>
    </row>
    <row r="23" spans="1:14" x14ac:dyDescent="0.3">
      <c r="A23" s="7">
        <v>400243</v>
      </c>
      <c r="B23" t="str">
        <f>_xlfn.XLOOKUP(Vendas[[#This Row],[ID Vendedor]],Vendedores[ID],Vendedores[Nome])</f>
        <v>Marcelo</v>
      </c>
      <c r="C23" s="7" t="str">
        <f>_xlfn.XLOOKUP(Vendas[[#This Row],[ID Vendedor]],Vendedores[ID],Vendedores[Setor])</f>
        <v>FM</v>
      </c>
      <c r="D23" s="7" t="s">
        <v>47</v>
      </c>
      <c r="E23" t="str">
        <f>_xlfn.XLOOKUP(Vendas[[#This Row],[ID Item Vendido]],Agregado[ID],Agregado[Produto])</f>
        <v>Fio de arame galvanizado rolo 50m</v>
      </c>
      <c r="F23" s="39">
        <v>43059</v>
      </c>
      <c r="G23" s="7">
        <v>36</v>
      </c>
      <c r="H23" s="3">
        <f>_xlfn.XLOOKUP(Vendas[[#This Row],[ID Item Vendido]],Agregado[ID],Agregado[Revenda])</f>
        <v>21.2</v>
      </c>
      <c r="I23" s="3">
        <f>Vendas[[#This Row],[Valor Unitário]]*Vendas[[#This Row],[Qnt Vendida]]</f>
        <v>763.19999999999993</v>
      </c>
      <c r="J23" s="3">
        <f>Vendas[[#This Row],[Valor da Venda]]-(_xlfn.XLOOKUP(Vendas[[#This Row],[ID Item Vendido]],Agregado[ID],Agregado[Custo])*Vendas[[#This Row],[Qnt Vendida]])</f>
        <v>115.19999999999993</v>
      </c>
      <c r="K23" s="70">
        <f>Vendas[[#This Row],[Lucro da Venda]]/Vendas[[#This Row],[Valor da Venda]]</f>
        <v>0.15094339622641501</v>
      </c>
      <c r="L23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23"/>
    </row>
    <row r="24" spans="1:14" x14ac:dyDescent="0.3">
      <c r="A24" s="7">
        <v>400243</v>
      </c>
      <c r="B24" t="str">
        <f>_xlfn.XLOOKUP(Vendas[[#This Row],[ID Vendedor]],Vendedores[ID],Vendedores[Nome])</f>
        <v>Marcelo</v>
      </c>
      <c r="C24" s="7" t="str">
        <f>_xlfn.XLOOKUP(Vendas[[#This Row],[ID Vendedor]],Vendedores[ID],Vendedores[Setor])</f>
        <v>FM</v>
      </c>
      <c r="D24" s="7" t="s">
        <v>6</v>
      </c>
      <c r="E24" t="str">
        <f>_xlfn.XLOOKUP(Vendas[[#This Row],[ID Item Vendido]],Agregado[ID],Agregado[Produto])</f>
        <v>Parafuso comum 500un</v>
      </c>
      <c r="F24" s="39">
        <v>43062</v>
      </c>
      <c r="G24" s="7">
        <v>18</v>
      </c>
      <c r="H24" s="3">
        <f>_xlfn.XLOOKUP(Vendas[[#This Row],[ID Item Vendido]],Agregado[ID],Agregado[Revenda])</f>
        <v>24.6</v>
      </c>
      <c r="I24" s="3">
        <f>Vendas[[#This Row],[Valor Unitário]]*Vendas[[#This Row],[Qnt Vendida]]</f>
        <v>442.8</v>
      </c>
      <c r="J24" s="3">
        <f>Vendas[[#This Row],[Valor da Venda]]-(_xlfn.XLOOKUP(Vendas[[#This Row],[ID Item Vendido]],Agregado[ID],Agregado[Custo])*Vendas[[#This Row],[Qnt Vendida]])</f>
        <v>46.800000000000011</v>
      </c>
      <c r="K24" s="70">
        <f>Vendas[[#This Row],[Lucro da Venda]]/Vendas[[#This Row],[Valor da Venda]]</f>
        <v>0.10569105691056913</v>
      </c>
      <c r="L24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24"/>
    </row>
    <row r="25" spans="1:14" x14ac:dyDescent="0.3">
      <c r="A25" s="7">
        <v>400255</v>
      </c>
      <c r="B25" t="str">
        <f>_xlfn.XLOOKUP(Vendas[[#This Row],[ID Vendedor]],Vendedores[ID],Vendedores[Nome])</f>
        <v>Carlos</v>
      </c>
      <c r="C25" s="7" t="str">
        <f>_xlfn.XLOOKUP(Vendas[[#This Row],[ID Vendedor]],Vendedores[ID],Vendedores[Setor])</f>
        <v>SC</v>
      </c>
      <c r="D25" s="7" t="s">
        <v>25</v>
      </c>
      <c r="E25" t="str">
        <f>_xlfn.XLOOKUP(Vendas[[#This Row],[ID Item Vendido]],Agregado[ID],Agregado[Produto])</f>
        <v>Palete de plástico</v>
      </c>
      <c r="F25" s="39">
        <v>43064</v>
      </c>
      <c r="G25" s="7">
        <v>5</v>
      </c>
      <c r="H25" s="3">
        <f>_xlfn.XLOOKUP(Vendas[[#This Row],[ID Item Vendido]],Agregado[ID],Agregado[Revenda])</f>
        <v>70.8</v>
      </c>
      <c r="I25" s="3">
        <f>Vendas[[#This Row],[Valor Unitário]]*Vendas[[#This Row],[Qnt Vendida]]</f>
        <v>354</v>
      </c>
      <c r="J25" s="3">
        <f>Vendas[[#This Row],[Valor da Venda]]-(_xlfn.XLOOKUP(Vendas[[#This Row],[ID Item Vendido]],Agregado[ID],Agregado[Custo])*Vendas[[#This Row],[Qnt Vendida]])</f>
        <v>54</v>
      </c>
      <c r="K25" s="70">
        <f>Vendas[[#This Row],[Lucro da Venda]]/Vendas[[#This Row],[Valor da Venda]]</f>
        <v>0.15254237288135594</v>
      </c>
      <c r="L25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25"/>
    </row>
    <row r="26" spans="1:14" x14ac:dyDescent="0.3">
      <c r="A26" s="7">
        <v>400243</v>
      </c>
      <c r="B26" t="str">
        <f>_xlfn.XLOOKUP(Vendas[[#This Row],[ID Vendedor]],Vendedores[ID],Vendedores[Nome])</f>
        <v>Marcelo</v>
      </c>
      <c r="C26" s="7" t="str">
        <f>_xlfn.XLOOKUP(Vendas[[#This Row],[ID Vendedor]],Vendedores[ID],Vendedores[Setor])</f>
        <v>FM</v>
      </c>
      <c r="D26" s="7" t="s">
        <v>20</v>
      </c>
      <c r="E26" t="str">
        <f>_xlfn.XLOOKUP(Vendas[[#This Row],[ID Item Vendido]],Agregado[ID],Agregado[Produto])</f>
        <v>Barra de aço simples</v>
      </c>
      <c r="F26" s="39">
        <v>43067</v>
      </c>
      <c r="G26" s="7">
        <v>83</v>
      </c>
      <c r="H26" s="3">
        <f>_xlfn.XLOOKUP(Vendas[[#This Row],[ID Item Vendido]],Agregado[ID],Agregado[Revenda])</f>
        <v>4.8</v>
      </c>
      <c r="I26" s="3">
        <f>Vendas[[#This Row],[Valor Unitário]]*Vendas[[#This Row],[Qnt Vendida]]</f>
        <v>398.4</v>
      </c>
      <c r="J26" s="3">
        <f>Vendas[[#This Row],[Valor da Venda]]-(_xlfn.XLOOKUP(Vendas[[#This Row],[ID Item Vendido]],Agregado[ID],Agregado[Custo])*Vendas[[#This Row],[Qnt Vendida]])</f>
        <v>49.799999999999955</v>
      </c>
      <c r="K26" s="70">
        <f>Vendas[[#This Row],[Lucro da Venda]]/Vendas[[#This Row],[Valor da Venda]]</f>
        <v>0.12499999999999989</v>
      </c>
      <c r="L26" s="3">
        <f>_xlfn.IFS(Vendas[[#This Row],[Margem de Lucro (%)]]&lt;15%,Vendas[[#This Row],[Valor da Venda]]*3%,Vendas[[#This Row],[Margem de Lucro (%)]]&lt;=20%,Vendas[[#This Row],[Valor da Venda]]*4.5%,TRUE,Vendas[[#This Row],[Valor da Venda]]*6%)</f>
        <v>11.951999999999998</v>
      </c>
      <c r="M26"/>
    </row>
    <row r="27" spans="1:14" x14ac:dyDescent="0.3">
      <c r="A27" s="7">
        <v>400243</v>
      </c>
      <c r="B27" t="str">
        <f>_xlfn.XLOOKUP(Vendas[[#This Row],[ID Vendedor]],Vendedores[ID],Vendedores[Nome])</f>
        <v>Marcelo</v>
      </c>
      <c r="C27" s="7" t="str">
        <f>_xlfn.XLOOKUP(Vendas[[#This Row],[ID Vendedor]],Vendedores[ID],Vendedores[Setor])</f>
        <v>FM</v>
      </c>
      <c r="D27" s="7" t="s">
        <v>47</v>
      </c>
      <c r="E27" t="str">
        <f>_xlfn.XLOOKUP(Vendas[[#This Row],[ID Item Vendido]],Agregado[ID],Agregado[Produto])</f>
        <v>Fio de arame galvanizado rolo 50m</v>
      </c>
      <c r="F27" s="39">
        <v>43068</v>
      </c>
      <c r="G27" s="7">
        <v>33</v>
      </c>
      <c r="H27" s="3">
        <f>_xlfn.XLOOKUP(Vendas[[#This Row],[ID Item Vendido]],Agregado[ID],Agregado[Revenda])</f>
        <v>21.2</v>
      </c>
      <c r="I27" s="3">
        <f>Vendas[[#This Row],[Valor Unitário]]*Vendas[[#This Row],[Qnt Vendida]]</f>
        <v>699.6</v>
      </c>
      <c r="J27" s="3">
        <f>Vendas[[#This Row],[Valor da Venda]]-(_xlfn.XLOOKUP(Vendas[[#This Row],[ID Item Vendido]],Agregado[ID],Agregado[Custo])*Vendas[[#This Row],[Qnt Vendida]])</f>
        <v>105.60000000000002</v>
      </c>
      <c r="K27" s="70">
        <f>Vendas[[#This Row],[Lucro da Venda]]/Vendas[[#This Row],[Valor da Venda]]</f>
        <v>0.15094339622641512</v>
      </c>
      <c r="L27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27"/>
    </row>
    <row r="28" spans="1:14" x14ac:dyDescent="0.3">
      <c r="A28" s="7">
        <v>400243</v>
      </c>
      <c r="B28" t="str">
        <f>_xlfn.XLOOKUP(Vendas[[#This Row],[ID Vendedor]],Vendedores[ID],Vendedores[Nome])</f>
        <v>Marcelo</v>
      </c>
      <c r="C28" s="7" t="str">
        <f>_xlfn.XLOOKUP(Vendas[[#This Row],[ID Vendedor]],Vendedores[ID],Vendedores[Setor])</f>
        <v>FM</v>
      </c>
      <c r="D28" s="7" t="s">
        <v>6</v>
      </c>
      <c r="E28" t="str">
        <f>_xlfn.XLOOKUP(Vendas[[#This Row],[ID Item Vendido]],Agregado[ID],Agregado[Produto])</f>
        <v>Parafuso comum 500un</v>
      </c>
      <c r="F28" s="39">
        <v>43084</v>
      </c>
      <c r="G28" s="7">
        <v>4</v>
      </c>
      <c r="H28" s="3">
        <f>_xlfn.XLOOKUP(Vendas[[#This Row],[ID Item Vendido]],Agregado[ID],Agregado[Revenda])</f>
        <v>24.6</v>
      </c>
      <c r="I28" s="3">
        <f>Vendas[[#This Row],[Valor Unitário]]*Vendas[[#This Row],[Qnt Vendida]]</f>
        <v>98.4</v>
      </c>
      <c r="J28" s="3">
        <f>Vendas[[#This Row],[Valor da Venda]]-(_xlfn.XLOOKUP(Vendas[[#This Row],[ID Item Vendido]],Agregado[ID],Agregado[Custo])*Vendas[[#This Row],[Qnt Vendida]])</f>
        <v>10.400000000000006</v>
      </c>
      <c r="K28" s="70">
        <f>Vendas[[#This Row],[Lucro da Venda]]/Vendas[[#This Row],[Valor da Venda]]</f>
        <v>0.10569105691056915</v>
      </c>
      <c r="L28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28"/>
    </row>
    <row r="29" spans="1:14" x14ac:dyDescent="0.3">
      <c r="A29" s="7">
        <v>400255</v>
      </c>
      <c r="B29" t="str">
        <f>_xlfn.XLOOKUP(Vendas[[#This Row],[ID Vendedor]],Vendedores[ID],Vendedores[Nome])</f>
        <v>Carlos</v>
      </c>
      <c r="C29" s="7" t="str">
        <f>_xlfn.XLOOKUP(Vendas[[#This Row],[ID Vendedor]],Vendedores[ID],Vendedores[Setor])</f>
        <v>SC</v>
      </c>
      <c r="D29" s="7" t="s">
        <v>48</v>
      </c>
      <c r="E29" t="str">
        <f>_xlfn.XLOOKUP(Vendas[[#This Row],[ID Item Vendido]],Agregado[ID],Agregado[Produto])</f>
        <v>Tambor metálico 200L</v>
      </c>
      <c r="F29" s="39">
        <v>43085</v>
      </c>
      <c r="G29" s="7">
        <v>14</v>
      </c>
      <c r="H29" s="3">
        <f>_xlfn.XLOOKUP(Vendas[[#This Row],[ID Item Vendido]],Agregado[ID],Agregado[Revenda])</f>
        <v>144</v>
      </c>
      <c r="I29" s="3">
        <f>Vendas[[#This Row],[Valor Unitário]]*Vendas[[#This Row],[Qnt Vendida]]</f>
        <v>2016</v>
      </c>
      <c r="J29" s="3">
        <f>Vendas[[#This Row],[Valor da Venda]]-(_xlfn.XLOOKUP(Vendas[[#This Row],[ID Item Vendido]],Agregado[ID],Agregado[Custo])*Vendas[[#This Row],[Qnt Vendida]])</f>
        <v>336</v>
      </c>
      <c r="K29" s="70">
        <f>Vendas[[#This Row],[Lucro da Venda]]/Vendas[[#This Row],[Valor da Venda]]</f>
        <v>0.16666666666666666</v>
      </c>
      <c r="L29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29"/>
    </row>
    <row r="30" spans="1:14" x14ac:dyDescent="0.3">
      <c r="A30" s="7">
        <v>400255</v>
      </c>
      <c r="B30" t="str">
        <f>_xlfn.XLOOKUP(Vendas[[#This Row],[ID Vendedor]],Vendedores[ID],Vendedores[Nome])</f>
        <v>Carlos</v>
      </c>
      <c r="C30" s="7" t="str">
        <f>_xlfn.XLOOKUP(Vendas[[#This Row],[ID Vendedor]],Vendedores[ID],Vendedores[Setor])</f>
        <v>SC</v>
      </c>
      <c r="D30" s="7" t="s">
        <v>14</v>
      </c>
      <c r="E30" t="str">
        <f>_xlfn.XLOOKUP(Vendas[[#This Row],[ID Item Vendido]],Agregado[ID],Agregado[Produto])</f>
        <v>Barril de plástico 200L</v>
      </c>
      <c r="F30" s="39">
        <v>43098</v>
      </c>
      <c r="G30" s="7">
        <v>25</v>
      </c>
      <c r="H30" s="3">
        <f>_xlfn.XLOOKUP(Vendas[[#This Row],[ID Item Vendido]],Agregado[ID],Agregado[Revenda])</f>
        <v>114</v>
      </c>
      <c r="I30" s="3">
        <f>Vendas[[#This Row],[Valor Unitário]]*Vendas[[#This Row],[Qnt Vendida]]</f>
        <v>2850</v>
      </c>
      <c r="J30" s="3">
        <f>Vendas[[#This Row],[Valor da Venda]]-(_xlfn.XLOOKUP(Vendas[[#This Row],[ID Item Vendido]],Agregado[ID],Agregado[Custo])*Vendas[[#This Row],[Qnt Vendida]])</f>
        <v>475</v>
      </c>
      <c r="K30" s="70">
        <f>Vendas[[#This Row],[Lucro da Venda]]/Vendas[[#This Row],[Valor da Venda]]</f>
        <v>0.16666666666666666</v>
      </c>
      <c r="L30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30"/>
    </row>
    <row r="31" spans="1:14" x14ac:dyDescent="0.3">
      <c r="A31" s="7">
        <v>400255</v>
      </c>
      <c r="B31" t="str">
        <f>_xlfn.XLOOKUP(Vendas[[#This Row],[ID Vendedor]],Vendedores[ID],Vendedores[Nome])</f>
        <v>Carlos</v>
      </c>
      <c r="C31" s="7" t="str">
        <f>_xlfn.XLOOKUP(Vendas[[#This Row],[ID Vendedor]],Vendedores[ID],Vendedores[Setor])</f>
        <v>SC</v>
      </c>
      <c r="D31" s="7" t="s">
        <v>42</v>
      </c>
      <c r="E31" t="str">
        <f>_xlfn.XLOOKUP(Vendas[[#This Row],[ID Item Vendido]],Agregado[ID],Agregado[Produto])</f>
        <v>Container de ferro industrial</v>
      </c>
      <c r="F31" s="39">
        <v>43105</v>
      </c>
      <c r="G31" s="7">
        <v>6</v>
      </c>
      <c r="H31" s="3">
        <f>_xlfn.XLOOKUP(Vendas[[#This Row],[ID Item Vendido]],Agregado[ID],Agregado[Revenda])</f>
        <v>830</v>
      </c>
      <c r="I31" s="3">
        <f>Vendas[[#This Row],[Valor Unitário]]*Vendas[[#This Row],[Qnt Vendida]]</f>
        <v>4980</v>
      </c>
      <c r="J31" s="3">
        <f>Vendas[[#This Row],[Valor da Venda]]-(_xlfn.XLOOKUP(Vendas[[#This Row],[ID Item Vendido]],Agregado[ID],Agregado[Custo])*Vendas[[#This Row],[Qnt Vendida]])</f>
        <v>900</v>
      </c>
      <c r="K31" s="70">
        <f>Vendas[[#This Row],[Lucro da Venda]]/Vendas[[#This Row],[Valor da Venda]]</f>
        <v>0.18072289156626506</v>
      </c>
      <c r="L3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1"/>
    </row>
    <row r="32" spans="1:14" x14ac:dyDescent="0.3">
      <c r="A32" s="7">
        <v>400243</v>
      </c>
      <c r="B32" t="str">
        <f>_xlfn.XLOOKUP(Vendas[[#This Row],[ID Vendedor]],Vendedores[ID],Vendedores[Nome])</f>
        <v>Marcelo</v>
      </c>
      <c r="C32" s="7" t="str">
        <f>_xlfn.XLOOKUP(Vendas[[#This Row],[ID Vendedor]],Vendedores[ID],Vendedores[Setor])</f>
        <v>FM</v>
      </c>
      <c r="D32" s="7" t="s">
        <v>47</v>
      </c>
      <c r="E32" t="str">
        <f>_xlfn.XLOOKUP(Vendas[[#This Row],[ID Item Vendido]],Agregado[ID],Agregado[Produto])</f>
        <v>Fio de arame galvanizado rolo 50m</v>
      </c>
      <c r="F32" s="39">
        <v>43107</v>
      </c>
      <c r="G32" s="7">
        <v>37</v>
      </c>
      <c r="H32" s="3">
        <f>_xlfn.XLOOKUP(Vendas[[#This Row],[ID Item Vendido]],Agregado[ID],Agregado[Revenda])</f>
        <v>21.2</v>
      </c>
      <c r="I32" s="3">
        <f>Vendas[[#This Row],[Valor Unitário]]*Vendas[[#This Row],[Qnt Vendida]]</f>
        <v>784.4</v>
      </c>
      <c r="J32" s="3">
        <f>Vendas[[#This Row],[Valor da Venda]]-(_xlfn.XLOOKUP(Vendas[[#This Row],[ID Item Vendido]],Agregado[ID],Agregado[Custo])*Vendas[[#This Row],[Qnt Vendida]])</f>
        <v>118.39999999999998</v>
      </c>
      <c r="K32" s="70">
        <f>Vendas[[#This Row],[Lucro da Venda]]/Vendas[[#This Row],[Valor da Venda]]</f>
        <v>0.15094339622641506</v>
      </c>
      <c r="L32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32"/>
    </row>
    <row r="33" spans="1:13" x14ac:dyDescent="0.3">
      <c r="A33" s="7">
        <v>400255</v>
      </c>
      <c r="B33" t="str">
        <f>_xlfn.XLOOKUP(Vendas[[#This Row],[ID Vendedor]],Vendedores[ID],Vendedores[Nome])</f>
        <v>Carlos</v>
      </c>
      <c r="C33" s="7" t="str">
        <f>_xlfn.XLOOKUP(Vendas[[#This Row],[ID Vendedor]],Vendedores[ID],Vendedores[Setor])</f>
        <v>SC</v>
      </c>
      <c r="D33" s="7" t="s">
        <v>42</v>
      </c>
      <c r="E33" t="str">
        <f>_xlfn.XLOOKUP(Vendas[[#This Row],[ID Item Vendido]],Agregado[ID],Agregado[Produto])</f>
        <v>Container de ferro industrial</v>
      </c>
      <c r="F33" s="39">
        <v>43130</v>
      </c>
      <c r="G33" s="7">
        <v>6</v>
      </c>
      <c r="H33" s="3">
        <f>_xlfn.XLOOKUP(Vendas[[#This Row],[ID Item Vendido]],Agregado[ID],Agregado[Revenda])</f>
        <v>830</v>
      </c>
      <c r="I33" s="3">
        <f>Vendas[[#This Row],[Valor Unitário]]*Vendas[[#This Row],[Qnt Vendida]]</f>
        <v>4980</v>
      </c>
      <c r="J33" s="3">
        <f>Vendas[[#This Row],[Valor da Venda]]-(_xlfn.XLOOKUP(Vendas[[#This Row],[ID Item Vendido]],Agregado[ID],Agregado[Custo])*Vendas[[#This Row],[Qnt Vendida]])</f>
        <v>900</v>
      </c>
      <c r="K33" s="70">
        <f>Vendas[[#This Row],[Lucro da Venda]]/Vendas[[#This Row],[Valor da Venda]]</f>
        <v>0.18072289156626506</v>
      </c>
      <c r="L33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3"/>
    </row>
    <row r="34" spans="1:13" x14ac:dyDescent="0.3">
      <c r="A34" s="7">
        <v>400255</v>
      </c>
      <c r="B34" t="str">
        <f>_xlfn.XLOOKUP(Vendas[[#This Row],[ID Vendedor]],Vendedores[ID],Vendedores[Nome])</f>
        <v>Carlos</v>
      </c>
      <c r="C34" s="7" t="str">
        <f>_xlfn.XLOOKUP(Vendas[[#This Row],[ID Vendedor]],Vendedores[ID],Vendedores[Setor])</f>
        <v>SC</v>
      </c>
      <c r="D34" s="7" t="s">
        <v>42</v>
      </c>
      <c r="E34" t="str">
        <f>_xlfn.XLOOKUP(Vendas[[#This Row],[ID Item Vendido]],Agregado[ID],Agregado[Produto])</f>
        <v>Container de ferro industrial</v>
      </c>
      <c r="F34" s="39">
        <v>43145</v>
      </c>
      <c r="G34" s="7">
        <v>5</v>
      </c>
      <c r="H34" s="3">
        <f>_xlfn.XLOOKUP(Vendas[[#This Row],[ID Item Vendido]],Agregado[ID],Agregado[Revenda])</f>
        <v>830</v>
      </c>
      <c r="I34" s="3">
        <f>Vendas[[#This Row],[Valor Unitário]]*Vendas[[#This Row],[Qnt Vendida]]</f>
        <v>4150</v>
      </c>
      <c r="J34" s="3">
        <f>Vendas[[#This Row],[Valor da Venda]]-(_xlfn.XLOOKUP(Vendas[[#This Row],[ID Item Vendido]],Agregado[ID],Agregado[Custo])*Vendas[[#This Row],[Qnt Vendida]])</f>
        <v>750</v>
      </c>
      <c r="K34" s="70">
        <f>Vendas[[#This Row],[Lucro da Venda]]/Vendas[[#This Row],[Valor da Venda]]</f>
        <v>0.18072289156626506</v>
      </c>
      <c r="L3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4"/>
    </row>
    <row r="35" spans="1:13" x14ac:dyDescent="0.3">
      <c r="A35" s="7">
        <v>400243</v>
      </c>
      <c r="B35" t="str">
        <f>_xlfn.XLOOKUP(Vendas[[#This Row],[ID Vendedor]],Vendedores[ID],Vendedores[Nome])</f>
        <v>Marcelo</v>
      </c>
      <c r="C35" s="7" t="str">
        <f>_xlfn.XLOOKUP(Vendas[[#This Row],[ID Vendedor]],Vendedores[ID],Vendedores[Setor])</f>
        <v>FM</v>
      </c>
      <c r="D35" s="7" t="s">
        <v>31</v>
      </c>
      <c r="E35" t="str">
        <f>_xlfn.XLOOKUP(Vendas[[#This Row],[ID Item Vendido]],Agregado[ID],Agregado[Produto])</f>
        <v>Tela de metal soldada rolo 2x25m</v>
      </c>
      <c r="F35" s="39">
        <v>43146</v>
      </c>
      <c r="G35" s="7">
        <v>12</v>
      </c>
      <c r="H35" s="3">
        <f>_xlfn.XLOOKUP(Vendas[[#This Row],[ID Item Vendido]],Agregado[ID],Agregado[Revenda])</f>
        <v>43.7</v>
      </c>
      <c r="I35" s="3">
        <f>Vendas[[#This Row],[Valor Unitário]]*Vendas[[#This Row],[Qnt Vendida]]</f>
        <v>524.40000000000009</v>
      </c>
      <c r="J35" s="3">
        <f>Vendas[[#This Row],[Valor da Venda]]-(_xlfn.XLOOKUP(Vendas[[#This Row],[ID Item Vendido]],Agregado[ID],Agregado[Custo])*Vendas[[#This Row],[Qnt Vendida]])</f>
        <v>68.400000000000091</v>
      </c>
      <c r="K35" s="70">
        <f>Vendas[[#This Row],[Lucro da Venda]]/Vendas[[#This Row],[Valor da Venda]]</f>
        <v>0.13043478260869582</v>
      </c>
      <c r="L35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35"/>
    </row>
    <row r="36" spans="1:13" x14ac:dyDescent="0.3">
      <c r="A36" s="7">
        <v>400243</v>
      </c>
      <c r="B36" t="str">
        <f>_xlfn.XLOOKUP(Vendas[[#This Row],[ID Vendedor]],Vendedores[ID],Vendedores[Nome])</f>
        <v>Marcelo</v>
      </c>
      <c r="C36" s="7" t="str">
        <f>_xlfn.XLOOKUP(Vendas[[#This Row],[ID Vendedor]],Vendedores[ID],Vendedores[Setor])</f>
        <v>FM</v>
      </c>
      <c r="D36" s="7" t="s">
        <v>47</v>
      </c>
      <c r="E36" t="str">
        <f>_xlfn.XLOOKUP(Vendas[[#This Row],[ID Item Vendido]],Agregado[ID],Agregado[Produto])</f>
        <v>Fio de arame galvanizado rolo 50m</v>
      </c>
      <c r="F36" s="39">
        <v>43146</v>
      </c>
      <c r="G36" s="7">
        <v>7</v>
      </c>
      <c r="H36" s="3">
        <f>_xlfn.XLOOKUP(Vendas[[#This Row],[ID Item Vendido]],Agregado[ID],Agregado[Revenda])</f>
        <v>21.2</v>
      </c>
      <c r="I36" s="3">
        <f>Vendas[[#This Row],[Valor Unitário]]*Vendas[[#This Row],[Qnt Vendida]]</f>
        <v>148.4</v>
      </c>
      <c r="J36" s="3">
        <f>Vendas[[#This Row],[Valor da Venda]]-(_xlfn.XLOOKUP(Vendas[[#This Row],[ID Item Vendido]],Agregado[ID],Agregado[Custo])*Vendas[[#This Row],[Qnt Vendida]])</f>
        <v>22.400000000000006</v>
      </c>
      <c r="K36" s="70">
        <f>Vendas[[#This Row],[Lucro da Venda]]/Vendas[[#This Row],[Valor da Venda]]</f>
        <v>0.15094339622641512</v>
      </c>
      <c r="L36" s="3">
        <f>_xlfn.IFS(Vendas[[#This Row],[Margem de Lucro (%)]]&lt;15%,Vendas[[#This Row],[Valor da Venda]]*3%,Vendas[[#This Row],[Margem de Lucro (%)]]&lt;=20%,Vendas[[#This Row],[Valor da Venda]]*4.5%,TRUE,Vendas[[#This Row],[Valor da Venda]]*6%)</f>
        <v>6.6779999999999999</v>
      </c>
      <c r="M36"/>
    </row>
    <row r="37" spans="1:13" x14ac:dyDescent="0.3">
      <c r="A37" s="7">
        <v>400255</v>
      </c>
      <c r="B37" t="str">
        <f>_xlfn.XLOOKUP(Vendas[[#This Row],[ID Vendedor]],Vendedores[ID],Vendedores[Nome])</f>
        <v>Carlos</v>
      </c>
      <c r="C37" s="7" t="str">
        <f>_xlfn.XLOOKUP(Vendas[[#This Row],[ID Vendedor]],Vendedores[ID],Vendedores[Setor])</f>
        <v>SC</v>
      </c>
      <c r="D37" s="7" t="s">
        <v>41</v>
      </c>
      <c r="E37" t="str">
        <f>_xlfn.XLOOKUP(Vendas[[#This Row],[ID Item Vendido]],Agregado[ID],Agregado[Produto])</f>
        <v>Palete de madeira reforçado</v>
      </c>
      <c r="F37" s="39">
        <v>43147</v>
      </c>
      <c r="G37" s="7">
        <v>3</v>
      </c>
      <c r="H37" s="3">
        <f>_xlfn.XLOOKUP(Vendas[[#This Row],[ID Item Vendido]],Agregado[ID],Agregado[Revenda])</f>
        <v>131</v>
      </c>
      <c r="I37" s="3">
        <f>Vendas[[#This Row],[Valor Unitário]]*Vendas[[#This Row],[Qnt Vendida]]</f>
        <v>393</v>
      </c>
      <c r="J37" s="3">
        <f>Vendas[[#This Row],[Valor da Venda]]-(_xlfn.XLOOKUP(Vendas[[#This Row],[ID Item Vendido]],Agregado[ID],Agregado[Custo])*Vendas[[#This Row],[Qnt Vendida]])</f>
        <v>63</v>
      </c>
      <c r="K37" s="70">
        <f>Vendas[[#This Row],[Lucro da Venda]]/Vendas[[#This Row],[Valor da Venda]]</f>
        <v>0.16030534351145037</v>
      </c>
      <c r="L37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37"/>
    </row>
    <row r="38" spans="1:13" x14ac:dyDescent="0.3">
      <c r="A38" s="7">
        <v>400243</v>
      </c>
      <c r="B38" t="str">
        <f>_xlfn.XLOOKUP(Vendas[[#This Row],[ID Vendedor]],Vendedores[ID],Vendedores[Nome])</f>
        <v>Marcelo</v>
      </c>
      <c r="C38" s="7" t="str">
        <f>_xlfn.XLOOKUP(Vendas[[#This Row],[ID Vendedor]],Vendedores[ID],Vendedores[Setor])</f>
        <v>FM</v>
      </c>
      <c r="D38" s="7" t="s">
        <v>6</v>
      </c>
      <c r="E38" t="str">
        <f>_xlfn.XLOOKUP(Vendas[[#This Row],[ID Item Vendido]],Agregado[ID],Agregado[Produto])</f>
        <v>Parafuso comum 500un</v>
      </c>
      <c r="F38" s="39">
        <v>43153</v>
      </c>
      <c r="G38" s="7">
        <v>17</v>
      </c>
      <c r="H38" s="3">
        <f>_xlfn.XLOOKUP(Vendas[[#This Row],[ID Item Vendido]],Agregado[ID],Agregado[Revenda])</f>
        <v>24.6</v>
      </c>
      <c r="I38" s="3">
        <f>Vendas[[#This Row],[Valor Unitário]]*Vendas[[#This Row],[Qnt Vendida]]</f>
        <v>418.20000000000005</v>
      </c>
      <c r="J38" s="3">
        <f>Vendas[[#This Row],[Valor da Venda]]-(_xlfn.XLOOKUP(Vendas[[#This Row],[ID Item Vendido]],Agregado[ID],Agregado[Custo])*Vendas[[#This Row],[Qnt Vendida]])</f>
        <v>44.200000000000045</v>
      </c>
      <c r="K38" s="70">
        <f>Vendas[[#This Row],[Lucro da Venda]]/Vendas[[#This Row],[Valor da Venda]]</f>
        <v>0.10569105691056921</v>
      </c>
      <c r="L38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38"/>
    </row>
    <row r="39" spans="1:13" x14ac:dyDescent="0.3">
      <c r="A39" s="7">
        <v>400243</v>
      </c>
      <c r="B39" t="str">
        <f>_xlfn.XLOOKUP(Vendas[[#This Row],[ID Vendedor]],Vendedores[ID],Vendedores[Nome])</f>
        <v>Marcelo</v>
      </c>
      <c r="C39" s="7" t="str">
        <f>_xlfn.XLOOKUP(Vendas[[#This Row],[ID Vendedor]],Vendedores[ID],Vendedores[Setor])</f>
        <v>FM</v>
      </c>
      <c r="D39" s="7" t="s">
        <v>20</v>
      </c>
      <c r="E39" t="str">
        <f>_xlfn.XLOOKUP(Vendas[[#This Row],[ID Item Vendido]],Agregado[ID],Agregado[Produto])</f>
        <v>Barra de aço simples</v>
      </c>
      <c r="F39" s="39">
        <v>43166</v>
      </c>
      <c r="G39" s="7">
        <v>73</v>
      </c>
      <c r="H39" s="3">
        <f>_xlfn.XLOOKUP(Vendas[[#This Row],[ID Item Vendido]],Agregado[ID],Agregado[Revenda])</f>
        <v>4.8</v>
      </c>
      <c r="I39" s="3">
        <f>Vendas[[#This Row],[Valor Unitário]]*Vendas[[#This Row],[Qnt Vendida]]</f>
        <v>350.4</v>
      </c>
      <c r="J39" s="3">
        <f>Vendas[[#This Row],[Valor da Venda]]-(_xlfn.XLOOKUP(Vendas[[#This Row],[ID Item Vendido]],Agregado[ID],Agregado[Custo])*Vendas[[#This Row],[Qnt Vendida]])</f>
        <v>43.799999999999955</v>
      </c>
      <c r="K39" s="70">
        <f>Vendas[[#This Row],[Lucro da Venda]]/Vendas[[#This Row],[Valor da Venda]]</f>
        <v>0.12499999999999988</v>
      </c>
      <c r="L39" s="3">
        <f>_xlfn.IFS(Vendas[[#This Row],[Margem de Lucro (%)]]&lt;15%,Vendas[[#This Row],[Valor da Venda]]*3%,Vendas[[#This Row],[Margem de Lucro (%)]]&lt;=20%,Vendas[[#This Row],[Valor da Venda]]*4.5%,TRUE,Vendas[[#This Row],[Valor da Venda]]*6%)</f>
        <v>10.511999999999999</v>
      </c>
      <c r="M39"/>
    </row>
    <row r="40" spans="1:13" x14ac:dyDescent="0.3">
      <c r="A40" s="7">
        <v>400243</v>
      </c>
      <c r="B40" t="str">
        <f>_xlfn.XLOOKUP(Vendas[[#This Row],[ID Vendedor]],Vendedores[ID],Vendedores[Nome])</f>
        <v>Marcelo</v>
      </c>
      <c r="C40" s="7" t="str">
        <f>_xlfn.XLOOKUP(Vendas[[#This Row],[ID Vendedor]],Vendedores[ID],Vendedores[Setor])</f>
        <v>FM</v>
      </c>
      <c r="D40" s="7" t="s">
        <v>31</v>
      </c>
      <c r="E40" t="str">
        <f>_xlfn.XLOOKUP(Vendas[[#This Row],[ID Item Vendido]],Agregado[ID],Agregado[Produto])</f>
        <v>Tela de metal soldada rolo 2x25m</v>
      </c>
      <c r="F40" s="39">
        <v>43168</v>
      </c>
      <c r="G40" s="7">
        <v>7</v>
      </c>
      <c r="H40" s="3">
        <f>_xlfn.XLOOKUP(Vendas[[#This Row],[ID Item Vendido]],Agregado[ID],Agregado[Revenda])</f>
        <v>43.7</v>
      </c>
      <c r="I40" s="3">
        <f>Vendas[[#This Row],[Valor Unitário]]*Vendas[[#This Row],[Qnt Vendida]]</f>
        <v>305.90000000000003</v>
      </c>
      <c r="J40" s="3">
        <f>Vendas[[#This Row],[Valor da Venda]]-(_xlfn.XLOOKUP(Vendas[[#This Row],[ID Item Vendido]],Agregado[ID],Agregado[Custo])*Vendas[[#This Row],[Qnt Vendida]])</f>
        <v>39.900000000000034</v>
      </c>
      <c r="K40" s="70">
        <f>Vendas[[#This Row],[Lucro da Venda]]/Vendas[[#This Row],[Valor da Venda]]</f>
        <v>0.13043478260869576</v>
      </c>
      <c r="L40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40"/>
    </row>
    <row r="41" spans="1:13" x14ac:dyDescent="0.3">
      <c r="A41" s="7">
        <v>400243</v>
      </c>
      <c r="B41" t="str">
        <f>_xlfn.XLOOKUP(Vendas[[#This Row],[ID Vendedor]],Vendedores[ID],Vendedores[Nome])</f>
        <v>Marcelo</v>
      </c>
      <c r="C41" s="7" t="str">
        <f>_xlfn.XLOOKUP(Vendas[[#This Row],[ID Vendedor]],Vendedores[ID],Vendedores[Setor])</f>
        <v>FM</v>
      </c>
      <c r="D41" s="7" t="s">
        <v>31</v>
      </c>
      <c r="E41" t="str">
        <f>_xlfn.XLOOKUP(Vendas[[#This Row],[ID Item Vendido]],Agregado[ID],Agregado[Produto])</f>
        <v>Tela de metal soldada rolo 2x25m</v>
      </c>
      <c r="F41" s="39">
        <v>43178</v>
      </c>
      <c r="G41" s="7">
        <v>16</v>
      </c>
      <c r="H41" s="3">
        <f>_xlfn.XLOOKUP(Vendas[[#This Row],[ID Item Vendido]],Agregado[ID],Agregado[Revenda])</f>
        <v>43.7</v>
      </c>
      <c r="I41" s="3">
        <f>Vendas[[#This Row],[Valor Unitário]]*Vendas[[#This Row],[Qnt Vendida]]</f>
        <v>699.2</v>
      </c>
      <c r="J41" s="3">
        <f>Vendas[[#This Row],[Valor da Venda]]-(_xlfn.XLOOKUP(Vendas[[#This Row],[ID Item Vendido]],Agregado[ID],Agregado[Custo])*Vendas[[#This Row],[Qnt Vendida]])</f>
        <v>91.200000000000045</v>
      </c>
      <c r="K41" s="70">
        <f>Vendas[[#This Row],[Lucro da Venda]]/Vendas[[#This Row],[Valor da Venda]]</f>
        <v>0.1304347826086957</v>
      </c>
      <c r="L41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41"/>
    </row>
    <row r="42" spans="1:13" x14ac:dyDescent="0.3">
      <c r="A42" s="7">
        <v>400255</v>
      </c>
      <c r="B42" t="str">
        <f>_xlfn.XLOOKUP(Vendas[[#This Row],[ID Vendedor]],Vendedores[ID],Vendedores[Nome])</f>
        <v>Carlos</v>
      </c>
      <c r="C42" s="7" t="str">
        <f>_xlfn.XLOOKUP(Vendas[[#This Row],[ID Vendedor]],Vendedores[ID],Vendedores[Setor])</f>
        <v>SC</v>
      </c>
      <c r="D42" s="7" t="s">
        <v>41</v>
      </c>
      <c r="E42" t="str">
        <f>_xlfn.XLOOKUP(Vendas[[#This Row],[ID Item Vendido]],Agregado[ID],Agregado[Produto])</f>
        <v>Palete de madeira reforçado</v>
      </c>
      <c r="F42" s="39">
        <v>43180</v>
      </c>
      <c r="G42" s="7">
        <v>3</v>
      </c>
      <c r="H42" s="3">
        <f>_xlfn.XLOOKUP(Vendas[[#This Row],[ID Item Vendido]],Agregado[ID],Agregado[Revenda])</f>
        <v>131</v>
      </c>
      <c r="I42" s="3">
        <f>Vendas[[#This Row],[Valor Unitário]]*Vendas[[#This Row],[Qnt Vendida]]</f>
        <v>393</v>
      </c>
      <c r="J42" s="3">
        <f>Vendas[[#This Row],[Valor da Venda]]-(_xlfn.XLOOKUP(Vendas[[#This Row],[ID Item Vendido]],Agregado[ID],Agregado[Custo])*Vendas[[#This Row],[Qnt Vendida]])</f>
        <v>63</v>
      </c>
      <c r="K42" s="70">
        <f>Vendas[[#This Row],[Lucro da Venda]]/Vendas[[#This Row],[Valor da Venda]]</f>
        <v>0.16030534351145037</v>
      </c>
      <c r="L42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42"/>
    </row>
    <row r="43" spans="1:13" x14ac:dyDescent="0.3">
      <c r="A43" s="7">
        <v>400255</v>
      </c>
      <c r="B43" t="str">
        <f>_xlfn.XLOOKUP(Vendas[[#This Row],[ID Vendedor]],Vendedores[ID],Vendedores[Nome])</f>
        <v>Carlos</v>
      </c>
      <c r="C43" s="7" t="str">
        <f>_xlfn.XLOOKUP(Vendas[[#This Row],[ID Vendedor]],Vendedores[ID],Vendedores[Setor])</f>
        <v>SC</v>
      </c>
      <c r="D43" s="7" t="s">
        <v>42</v>
      </c>
      <c r="E43" t="str">
        <f>_xlfn.XLOOKUP(Vendas[[#This Row],[ID Item Vendido]],Agregado[ID],Agregado[Produto])</f>
        <v>Container de ferro industrial</v>
      </c>
      <c r="F43" s="39">
        <v>43184</v>
      </c>
      <c r="G43" s="7">
        <v>3</v>
      </c>
      <c r="H43" s="3">
        <f>_xlfn.XLOOKUP(Vendas[[#This Row],[ID Item Vendido]],Agregado[ID],Agregado[Revenda])</f>
        <v>830</v>
      </c>
      <c r="I43" s="3">
        <f>Vendas[[#This Row],[Valor Unitário]]*Vendas[[#This Row],[Qnt Vendida]]</f>
        <v>2490</v>
      </c>
      <c r="J43" s="3">
        <f>Vendas[[#This Row],[Valor da Venda]]-(_xlfn.XLOOKUP(Vendas[[#This Row],[ID Item Vendido]],Agregado[ID],Agregado[Custo])*Vendas[[#This Row],[Qnt Vendida]])</f>
        <v>450</v>
      </c>
      <c r="K43" s="70">
        <f>Vendas[[#This Row],[Lucro da Venda]]/Vendas[[#This Row],[Valor da Venda]]</f>
        <v>0.18072289156626506</v>
      </c>
      <c r="L4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3"/>
    </row>
    <row r="44" spans="1:13" x14ac:dyDescent="0.3">
      <c r="A44" s="7">
        <v>400243</v>
      </c>
      <c r="B44" t="str">
        <f>_xlfn.XLOOKUP(Vendas[[#This Row],[ID Vendedor]],Vendedores[ID],Vendedores[Nome])</f>
        <v>Marcelo</v>
      </c>
      <c r="C44" s="7" t="str">
        <f>_xlfn.XLOOKUP(Vendas[[#This Row],[ID Vendedor]],Vendedores[ID],Vendedores[Setor])</f>
        <v>FM</v>
      </c>
      <c r="D44" s="7" t="s">
        <v>47</v>
      </c>
      <c r="E44" t="str">
        <f>_xlfn.XLOOKUP(Vendas[[#This Row],[ID Item Vendido]],Agregado[ID],Agregado[Produto])</f>
        <v>Fio de arame galvanizado rolo 50m</v>
      </c>
      <c r="F44" s="39">
        <v>43185</v>
      </c>
      <c r="G44" s="7">
        <v>11</v>
      </c>
      <c r="H44" s="3">
        <f>_xlfn.XLOOKUP(Vendas[[#This Row],[ID Item Vendido]],Agregado[ID],Agregado[Revenda])</f>
        <v>21.2</v>
      </c>
      <c r="I44" s="3">
        <f>Vendas[[#This Row],[Valor Unitário]]*Vendas[[#This Row],[Qnt Vendida]]</f>
        <v>233.2</v>
      </c>
      <c r="J44" s="3">
        <f>Vendas[[#This Row],[Valor da Venda]]-(_xlfn.XLOOKUP(Vendas[[#This Row],[ID Item Vendido]],Agregado[ID],Agregado[Custo])*Vendas[[#This Row],[Qnt Vendida]])</f>
        <v>35.199999999999989</v>
      </c>
      <c r="K44" s="70">
        <f>Vendas[[#This Row],[Lucro da Venda]]/Vendas[[#This Row],[Valor da Venda]]</f>
        <v>0.15094339622641506</v>
      </c>
      <c r="L44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44"/>
    </row>
    <row r="45" spans="1:13" x14ac:dyDescent="0.3">
      <c r="A45" s="7">
        <v>400255</v>
      </c>
      <c r="B45" t="str">
        <f>_xlfn.XLOOKUP(Vendas[[#This Row],[ID Vendedor]],Vendedores[ID],Vendedores[Nome])</f>
        <v>Carlos</v>
      </c>
      <c r="C45" s="7" t="str">
        <f>_xlfn.XLOOKUP(Vendas[[#This Row],[ID Vendedor]],Vendedores[ID],Vendedores[Setor])</f>
        <v>SC</v>
      </c>
      <c r="D45" s="7" t="s">
        <v>48</v>
      </c>
      <c r="E45" t="str">
        <f>_xlfn.XLOOKUP(Vendas[[#This Row],[ID Item Vendido]],Agregado[ID],Agregado[Produto])</f>
        <v>Tambor metálico 200L</v>
      </c>
      <c r="F45" s="39">
        <v>43188</v>
      </c>
      <c r="G45" s="7">
        <v>18</v>
      </c>
      <c r="H45" s="3">
        <f>_xlfn.XLOOKUP(Vendas[[#This Row],[ID Item Vendido]],Agregado[ID],Agregado[Revenda])</f>
        <v>144</v>
      </c>
      <c r="I45" s="3">
        <f>Vendas[[#This Row],[Valor Unitário]]*Vendas[[#This Row],[Qnt Vendida]]</f>
        <v>2592</v>
      </c>
      <c r="J45" s="3">
        <f>Vendas[[#This Row],[Valor da Venda]]-(_xlfn.XLOOKUP(Vendas[[#This Row],[ID Item Vendido]],Agregado[ID],Agregado[Custo])*Vendas[[#This Row],[Qnt Vendida]])</f>
        <v>432</v>
      </c>
      <c r="K45" s="70">
        <f>Vendas[[#This Row],[Lucro da Venda]]/Vendas[[#This Row],[Valor da Venda]]</f>
        <v>0.16666666666666666</v>
      </c>
      <c r="L45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45"/>
    </row>
    <row r="46" spans="1:13" x14ac:dyDescent="0.3">
      <c r="A46" s="7">
        <v>400243</v>
      </c>
      <c r="B46" t="str">
        <f>_xlfn.XLOOKUP(Vendas[[#This Row],[ID Vendedor]],Vendedores[ID],Vendedores[Nome])</f>
        <v>Marcelo</v>
      </c>
      <c r="C46" s="7" t="str">
        <f>_xlfn.XLOOKUP(Vendas[[#This Row],[ID Vendedor]],Vendedores[ID],Vendedores[Setor])</f>
        <v>FM</v>
      </c>
      <c r="D46" s="7" t="s">
        <v>47</v>
      </c>
      <c r="E46" t="str">
        <f>_xlfn.XLOOKUP(Vendas[[#This Row],[ID Item Vendido]],Agregado[ID],Agregado[Produto])</f>
        <v>Fio de arame galvanizado rolo 50m</v>
      </c>
      <c r="F46" s="39">
        <v>43190</v>
      </c>
      <c r="G46" s="7">
        <v>40</v>
      </c>
      <c r="H46" s="3">
        <f>_xlfn.XLOOKUP(Vendas[[#This Row],[ID Item Vendido]],Agregado[ID],Agregado[Revenda])</f>
        <v>21.2</v>
      </c>
      <c r="I46" s="3">
        <f>Vendas[[#This Row],[Valor Unitário]]*Vendas[[#This Row],[Qnt Vendida]]</f>
        <v>848</v>
      </c>
      <c r="J46" s="3">
        <f>Vendas[[#This Row],[Valor da Venda]]-(_xlfn.XLOOKUP(Vendas[[#This Row],[ID Item Vendido]],Agregado[ID],Agregado[Custo])*Vendas[[#This Row],[Qnt Vendida]])</f>
        <v>128</v>
      </c>
      <c r="K46" s="70">
        <f>Vendas[[#This Row],[Lucro da Venda]]/Vendas[[#This Row],[Valor da Venda]]</f>
        <v>0.15094339622641509</v>
      </c>
      <c r="L46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46"/>
    </row>
    <row r="47" spans="1:13" x14ac:dyDescent="0.3">
      <c r="A47" s="7">
        <v>400243</v>
      </c>
      <c r="B47" t="str">
        <f>_xlfn.XLOOKUP(Vendas[[#This Row],[ID Vendedor]],Vendedores[ID],Vendedores[Nome])</f>
        <v>Marcelo</v>
      </c>
      <c r="C47" s="7" t="str">
        <f>_xlfn.XLOOKUP(Vendas[[#This Row],[ID Vendedor]],Vendedores[ID],Vendedores[Setor])</f>
        <v>FM</v>
      </c>
      <c r="D47" s="7" t="s">
        <v>20</v>
      </c>
      <c r="E47" t="str">
        <f>_xlfn.XLOOKUP(Vendas[[#This Row],[ID Item Vendido]],Agregado[ID],Agregado[Produto])</f>
        <v>Barra de aço simples</v>
      </c>
      <c r="F47" s="39">
        <v>43191</v>
      </c>
      <c r="G47" s="7">
        <v>31</v>
      </c>
      <c r="H47" s="3">
        <f>_xlfn.XLOOKUP(Vendas[[#This Row],[ID Item Vendido]],Agregado[ID],Agregado[Revenda])</f>
        <v>4.8</v>
      </c>
      <c r="I47" s="3">
        <f>Vendas[[#This Row],[Valor Unitário]]*Vendas[[#This Row],[Qnt Vendida]]</f>
        <v>148.79999999999998</v>
      </c>
      <c r="J47" s="3">
        <f>Vendas[[#This Row],[Valor da Venda]]-(_xlfn.XLOOKUP(Vendas[[#This Row],[ID Item Vendido]],Agregado[ID],Agregado[Custo])*Vendas[[#This Row],[Qnt Vendida]])</f>
        <v>18.599999999999966</v>
      </c>
      <c r="K47" s="70">
        <f>Vendas[[#This Row],[Lucro da Venda]]/Vendas[[#This Row],[Valor da Venda]]</f>
        <v>0.12499999999999979</v>
      </c>
      <c r="L47" s="3">
        <f>_xlfn.IFS(Vendas[[#This Row],[Margem de Lucro (%)]]&lt;15%,Vendas[[#This Row],[Valor da Venda]]*3%,Vendas[[#This Row],[Margem de Lucro (%)]]&lt;=20%,Vendas[[#This Row],[Valor da Venda]]*4.5%,TRUE,Vendas[[#This Row],[Valor da Venda]]*6%)</f>
        <v>4.4639999999999995</v>
      </c>
      <c r="M47"/>
    </row>
    <row r="48" spans="1:13" x14ac:dyDescent="0.3">
      <c r="A48" s="7">
        <v>400249</v>
      </c>
      <c r="B48" t="str">
        <f>_xlfn.XLOOKUP(Vendas[[#This Row],[ID Vendedor]],Vendedores[ID],Vendedores[Nome])</f>
        <v>Bruno</v>
      </c>
      <c r="C48" s="7" t="str">
        <f>_xlfn.XLOOKUP(Vendas[[#This Row],[ID Vendedor]],Vendedores[ID],Vendedores[Setor])</f>
        <v>CM</v>
      </c>
      <c r="D48" s="7" t="s">
        <v>34</v>
      </c>
      <c r="E48" t="str">
        <f>_xlfn.XLOOKUP(Vendas[[#This Row],[ID Item Vendido]],Agregado[ID],Agregado[Produto])</f>
        <v>Restos de madeira p/ MDP/OSB saco de 20kg</v>
      </c>
      <c r="F48" s="39">
        <v>43194</v>
      </c>
      <c r="G48" s="7">
        <v>22</v>
      </c>
      <c r="H48" s="3">
        <f>_xlfn.XLOOKUP(Vendas[[#This Row],[ID Item Vendido]],Agregado[ID],Agregado[Revenda])</f>
        <v>13.8</v>
      </c>
      <c r="I48" s="3">
        <f>Vendas[[#This Row],[Valor Unitário]]*Vendas[[#This Row],[Qnt Vendida]]</f>
        <v>303.60000000000002</v>
      </c>
      <c r="J48" s="3">
        <f>Vendas[[#This Row],[Valor da Venda]]-(_xlfn.XLOOKUP(Vendas[[#This Row],[ID Item Vendido]],Agregado[ID],Agregado[Custo])*Vendas[[#This Row],[Qnt Vendida]])</f>
        <v>39.600000000000023</v>
      </c>
      <c r="K48" s="70">
        <f>Vendas[[#This Row],[Lucro da Venda]]/Vendas[[#This Row],[Valor da Venda]]</f>
        <v>0.1304347826086957</v>
      </c>
      <c r="L48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8"/>
    </row>
    <row r="49" spans="1:13" x14ac:dyDescent="0.3">
      <c r="A49" s="7">
        <v>400243</v>
      </c>
      <c r="B49" t="str">
        <f>_xlfn.XLOOKUP(Vendas[[#This Row],[ID Vendedor]],Vendedores[ID],Vendedores[Nome])</f>
        <v>Marcelo</v>
      </c>
      <c r="C49" s="7" t="str">
        <f>_xlfn.XLOOKUP(Vendas[[#This Row],[ID Vendedor]],Vendedores[ID],Vendedores[Setor])</f>
        <v>FM</v>
      </c>
      <c r="D49" s="7" t="s">
        <v>6</v>
      </c>
      <c r="E49" t="str">
        <f>_xlfn.XLOOKUP(Vendas[[#This Row],[ID Item Vendido]],Agregado[ID],Agregado[Produto])</f>
        <v>Parafuso comum 500un</v>
      </c>
      <c r="F49" s="39">
        <v>43200</v>
      </c>
      <c r="G49" s="7">
        <v>4</v>
      </c>
      <c r="H49" s="3">
        <f>_xlfn.XLOOKUP(Vendas[[#This Row],[ID Item Vendido]],Agregado[ID],Agregado[Revenda])</f>
        <v>24.6</v>
      </c>
      <c r="I49" s="3">
        <f>Vendas[[#This Row],[Valor Unitário]]*Vendas[[#This Row],[Qnt Vendida]]</f>
        <v>98.4</v>
      </c>
      <c r="J49" s="3">
        <f>Vendas[[#This Row],[Valor da Venda]]-(_xlfn.XLOOKUP(Vendas[[#This Row],[ID Item Vendido]],Agregado[ID],Agregado[Custo])*Vendas[[#This Row],[Qnt Vendida]])</f>
        <v>10.400000000000006</v>
      </c>
      <c r="K49" s="70">
        <f>Vendas[[#This Row],[Lucro da Venda]]/Vendas[[#This Row],[Valor da Venda]]</f>
        <v>0.10569105691056915</v>
      </c>
      <c r="L49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49"/>
    </row>
    <row r="50" spans="1:13" x14ac:dyDescent="0.3">
      <c r="A50" s="7">
        <v>400249</v>
      </c>
      <c r="B50" t="str">
        <f>_xlfn.XLOOKUP(Vendas[[#This Row],[ID Vendedor]],Vendedores[ID],Vendedores[Nome])</f>
        <v>Bruno</v>
      </c>
      <c r="C50" s="7" t="str">
        <f>_xlfn.XLOOKUP(Vendas[[#This Row],[ID Vendedor]],Vendedores[ID],Vendedores[Setor])</f>
        <v>CM</v>
      </c>
      <c r="D50" s="7" t="s">
        <v>34</v>
      </c>
      <c r="E50" t="str">
        <f>_xlfn.XLOOKUP(Vendas[[#This Row],[ID Item Vendido]],Agregado[ID],Agregado[Produto])</f>
        <v>Restos de madeira p/ MDP/OSB saco de 20kg</v>
      </c>
      <c r="F50" s="39">
        <v>43201</v>
      </c>
      <c r="G50" s="7">
        <v>25</v>
      </c>
      <c r="H50" s="3">
        <f>_xlfn.XLOOKUP(Vendas[[#This Row],[ID Item Vendido]],Agregado[ID],Agregado[Revenda])</f>
        <v>13.8</v>
      </c>
      <c r="I50" s="3">
        <f>Vendas[[#This Row],[Valor Unitário]]*Vendas[[#This Row],[Qnt Vendida]]</f>
        <v>345</v>
      </c>
      <c r="J50" s="3">
        <f>Vendas[[#This Row],[Valor da Venda]]-(_xlfn.XLOOKUP(Vendas[[#This Row],[ID Item Vendido]],Agregado[ID],Agregado[Custo])*Vendas[[#This Row],[Qnt Vendida]])</f>
        <v>45</v>
      </c>
      <c r="K50" s="70">
        <f>Vendas[[#This Row],[Lucro da Venda]]/Vendas[[#This Row],[Valor da Venda]]</f>
        <v>0.13043478260869565</v>
      </c>
      <c r="L50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50"/>
    </row>
    <row r="51" spans="1:13" x14ac:dyDescent="0.3">
      <c r="A51" s="7">
        <v>400255</v>
      </c>
      <c r="B51" t="str">
        <f>_xlfn.XLOOKUP(Vendas[[#This Row],[ID Vendedor]],Vendedores[ID],Vendedores[Nome])</f>
        <v>Carlos</v>
      </c>
      <c r="C51" s="7" t="str">
        <f>_xlfn.XLOOKUP(Vendas[[#This Row],[ID Vendedor]],Vendedores[ID],Vendedores[Setor])</f>
        <v>SC</v>
      </c>
      <c r="D51" s="7" t="s">
        <v>48</v>
      </c>
      <c r="E51" t="str">
        <f>_xlfn.XLOOKUP(Vendas[[#This Row],[ID Item Vendido]],Agregado[ID],Agregado[Produto])</f>
        <v>Tambor metálico 200L</v>
      </c>
      <c r="F51" s="39">
        <v>43210</v>
      </c>
      <c r="G51" s="7">
        <v>7</v>
      </c>
      <c r="H51" s="3">
        <f>_xlfn.XLOOKUP(Vendas[[#This Row],[ID Item Vendido]],Agregado[ID],Agregado[Revenda])</f>
        <v>144</v>
      </c>
      <c r="I51" s="3">
        <f>Vendas[[#This Row],[Valor Unitário]]*Vendas[[#This Row],[Qnt Vendida]]</f>
        <v>1008</v>
      </c>
      <c r="J51" s="3">
        <f>Vendas[[#This Row],[Valor da Venda]]-(_xlfn.XLOOKUP(Vendas[[#This Row],[ID Item Vendido]],Agregado[ID],Agregado[Custo])*Vendas[[#This Row],[Qnt Vendida]])</f>
        <v>168</v>
      </c>
      <c r="K51" s="70">
        <f>Vendas[[#This Row],[Lucro da Venda]]/Vendas[[#This Row],[Valor da Venda]]</f>
        <v>0.16666666666666666</v>
      </c>
      <c r="L51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51"/>
    </row>
    <row r="52" spans="1:13" x14ac:dyDescent="0.3">
      <c r="A52" s="7">
        <v>400249</v>
      </c>
      <c r="B52" t="str">
        <f>_xlfn.XLOOKUP(Vendas[[#This Row],[ID Vendedor]],Vendedores[ID],Vendedores[Nome])</f>
        <v>Bruno</v>
      </c>
      <c r="C52" s="7" t="str">
        <f>_xlfn.XLOOKUP(Vendas[[#This Row],[ID Vendedor]],Vendedores[ID],Vendedores[Setor])</f>
        <v>CM</v>
      </c>
      <c r="D52" s="7" t="s">
        <v>45</v>
      </c>
      <c r="E52" t="str">
        <f>_xlfn.XLOOKUP(Vendas[[#This Row],[ID Item Vendido]],Agregado[ID],Agregado[Produto])</f>
        <v>Viga de madeira tratada 4m</v>
      </c>
      <c r="F52" s="39">
        <v>43210</v>
      </c>
      <c r="G52" s="7">
        <v>3</v>
      </c>
      <c r="H52" s="3">
        <f>_xlfn.XLOOKUP(Vendas[[#This Row],[ID Item Vendido]],Agregado[ID],Agregado[Revenda])</f>
        <v>66</v>
      </c>
      <c r="I52" s="3">
        <f>Vendas[[#This Row],[Valor Unitário]]*Vendas[[#This Row],[Qnt Vendida]]</f>
        <v>198</v>
      </c>
      <c r="J52" s="3">
        <f>Vendas[[#This Row],[Valor da Venda]]-(_xlfn.XLOOKUP(Vendas[[#This Row],[ID Item Vendido]],Agregado[ID],Agregado[Custo])*Vendas[[#This Row],[Qnt Vendida]])</f>
        <v>33</v>
      </c>
      <c r="K52" s="70">
        <f>Vendas[[#This Row],[Lucro da Venda]]/Vendas[[#This Row],[Valor da Venda]]</f>
        <v>0.16666666666666666</v>
      </c>
      <c r="L52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52"/>
    </row>
    <row r="53" spans="1:13" x14ac:dyDescent="0.3">
      <c r="A53" s="7">
        <v>400249</v>
      </c>
      <c r="B53" t="str">
        <f>_xlfn.XLOOKUP(Vendas[[#This Row],[ID Vendedor]],Vendedores[ID],Vendedores[Nome])</f>
        <v>Bruno</v>
      </c>
      <c r="C53" s="7" t="str">
        <f>_xlfn.XLOOKUP(Vendas[[#This Row],[ID Vendedor]],Vendedores[ID],Vendedores[Setor])</f>
        <v>CM</v>
      </c>
      <c r="D53" s="7" t="s">
        <v>34</v>
      </c>
      <c r="E53" t="str">
        <f>_xlfn.XLOOKUP(Vendas[[#This Row],[ID Item Vendido]],Agregado[ID],Agregado[Produto])</f>
        <v>Restos de madeira p/ MDP/OSB saco de 20kg</v>
      </c>
      <c r="F53" s="39">
        <v>43211</v>
      </c>
      <c r="G53" s="7">
        <v>15</v>
      </c>
      <c r="H53" s="3">
        <f>_xlfn.XLOOKUP(Vendas[[#This Row],[ID Item Vendido]],Agregado[ID],Agregado[Revenda])</f>
        <v>13.8</v>
      </c>
      <c r="I53" s="3">
        <f>Vendas[[#This Row],[Valor Unitário]]*Vendas[[#This Row],[Qnt Vendida]]</f>
        <v>207</v>
      </c>
      <c r="J53" s="3">
        <f>Vendas[[#This Row],[Valor da Venda]]-(_xlfn.XLOOKUP(Vendas[[#This Row],[ID Item Vendido]],Agregado[ID],Agregado[Custo])*Vendas[[#This Row],[Qnt Vendida]])</f>
        <v>27</v>
      </c>
      <c r="K53" s="70">
        <f>Vendas[[#This Row],[Lucro da Venda]]/Vendas[[#This Row],[Valor da Venda]]</f>
        <v>0.13043478260869565</v>
      </c>
      <c r="L53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53"/>
    </row>
    <row r="54" spans="1:13" x14ac:dyDescent="0.3">
      <c r="A54" s="7">
        <v>400255</v>
      </c>
      <c r="B54" t="str">
        <f>_xlfn.XLOOKUP(Vendas[[#This Row],[ID Vendedor]],Vendedores[ID],Vendedores[Nome])</f>
        <v>Carlos</v>
      </c>
      <c r="C54" s="7" t="str">
        <f>_xlfn.XLOOKUP(Vendas[[#This Row],[ID Vendedor]],Vendedores[ID],Vendedores[Setor])</f>
        <v>SC</v>
      </c>
      <c r="D54" s="7" t="s">
        <v>42</v>
      </c>
      <c r="E54" t="str">
        <f>_xlfn.XLOOKUP(Vendas[[#This Row],[ID Item Vendido]],Agregado[ID],Agregado[Produto])</f>
        <v>Container de ferro industrial</v>
      </c>
      <c r="F54" s="39">
        <v>43214</v>
      </c>
      <c r="G54" s="7">
        <v>5</v>
      </c>
      <c r="H54" s="3">
        <f>_xlfn.XLOOKUP(Vendas[[#This Row],[ID Item Vendido]],Agregado[ID],Agregado[Revenda])</f>
        <v>830</v>
      </c>
      <c r="I54" s="3">
        <f>Vendas[[#This Row],[Valor Unitário]]*Vendas[[#This Row],[Qnt Vendida]]</f>
        <v>4150</v>
      </c>
      <c r="J54" s="3">
        <f>Vendas[[#This Row],[Valor da Venda]]-(_xlfn.XLOOKUP(Vendas[[#This Row],[ID Item Vendido]],Agregado[ID],Agregado[Custo])*Vendas[[#This Row],[Qnt Vendida]])</f>
        <v>750</v>
      </c>
      <c r="K54" s="70">
        <f>Vendas[[#This Row],[Lucro da Venda]]/Vendas[[#This Row],[Valor da Venda]]</f>
        <v>0.18072289156626506</v>
      </c>
      <c r="L5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4"/>
    </row>
    <row r="55" spans="1:13" x14ac:dyDescent="0.3">
      <c r="A55" s="7">
        <v>400249</v>
      </c>
      <c r="B55" t="str">
        <f>_xlfn.XLOOKUP(Vendas[[#This Row],[ID Vendedor]],Vendedores[ID],Vendedores[Nome])</f>
        <v>Bruno</v>
      </c>
      <c r="C55" s="7" t="str">
        <f>_xlfn.XLOOKUP(Vendas[[#This Row],[ID Vendedor]],Vendedores[ID],Vendedores[Setor])</f>
        <v>CM</v>
      </c>
      <c r="D55" s="7" t="s">
        <v>34</v>
      </c>
      <c r="E55" t="str">
        <f>_xlfn.XLOOKUP(Vendas[[#This Row],[ID Item Vendido]],Agregado[ID],Agregado[Produto])</f>
        <v>Restos de madeira p/ MDP/OSB saco de 20kg</v>
      </c>
      <c r="F55" s="39">
        <v>43215</v>
      </c>
      <c r="G55" s="7">
        <v>25</v>
      </c>
      <c r="H55" s="3">
        <f>_xlfn.XLOOKUP(Vendas[[#This Row],[ID Item Vendido]],Agregado[ID],Agregado[Revenda])</f>
        <v>13.8</v>
      </c>
      <c r="I55" s="3">
        <f>Vendas[[#This Row],[Valor Unitário]]*Vendas[[#This Row],[Qnt Vendida]]</f>
        <v>345</v>
      </c>
      <c r="J55" s="3">
        <f>Vendas[[#This Row],[Valor da Venda]]-(_xlfn.XLOOKUP(Vendas[[#This Row],[ID Item Vendido]],Agregado[ID],Agregado[Custo])*Vendas[[#This Row],[Qnt Vendida]])</f>
        <v>45</v>
      </c>
      <c r="K55" s="70">
        <f>Vendas[[#This Row],[Lucro da Venda]]/Vendas[[#This Row],[Valor da Venda]]</f>
        <v>0.13043478260869565</v>
      </c>
      <c r="L55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55"/>
    </row>
    <row r="56" spans="1:13" x14ac:dyDescent="0.3">
      <c r="A56" s="7">
        <v>400243</v>
      </c>
      <c r="B56" t="str">
        <f>_xlfn.XLOOKUP(Vendas[[#This Row],[ID Vendedor]],Vendedores[ID],Vendedores[Nome])</f>
        <v>Marcelo</v>
      </c>
      <c r="C56" s="7" t="str">
        <f>_xlfn.XLOOKUP(Vendas[[#This Row],[ID Vendedor]],Vendedores[ID],Vendedores[Setor])</f>
        <v>FM</v>
      </c>
      <c r="D56" s="7" t="s">
        <v>27</v>
      </c>
      <c r="E56" t="str">
        <f>_xlfn.XLOOKUP(Vendas[[#This Row],[ID Item Vendido]],Agregado[ID],Agregado[Produto])</f>
        <v>Chapa de metal lisa 1x2m</v>
      </c>
      <c r="F56" s="39">
        <v>43219</v>
      </c>
      <c r="G56" s="7">
        <v>21</v>
      </c>
      <c r="H56" s="3">
        <f>_xlfn.XLOOKUP(Vendas[[#This Row],[ID Item Vendido]],Agregado[ID],Agregado[Revenda])</f>
        <v>52</v>
      </c>
      <c r="I56" s="3">
        <f>Vendas[[#This Row],[Valor Unitário]]*Vendas[[#This Row],[Qnt Vendida]]</f>
        <v>1092</v>
      </c>
      <c r="J56" s="3">
        <f>Vendas[[#This Row],[Valor da Venda]]-(_xlfn.XLOOKUP(Vendas[[#This Row],[ID Item Vendido]],Agregado[ID],Agregado[Custo])*Vendas[[#This Row],[Qnt Vendida]])</f>
        <v>147</v>
      </c>
      <c r="K56" s="70">
        <f>Vendas[[#This Row],[Lucro da Venda]]/Vendas[[#This Row],[Valor da Venda]]</f>
        <v>0.13461538461538461</v>
      </c>
      <c r="L56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56"/>
    </row>
    <row r="57" spans="1:13" x14ac:dyDescent="0.3">
      <c r="A57" s="7">
        <v>400249</v>
      </c>
      <c r="B57" t="str">
        <f>_xlfn.XLOOKUP(Vendas[[#This Row],[ID Vendedor]],Vendedores[ID],Vendedores[Nome])</f>
        <v>Bruno</v>
      </c>
      <c r="C57" s="7" t="str">
        <f>_xlfn.XLOOKUP(Vendas[[#This Row],[ID Vendedor]],Vendedores[ID],Vendedores[Setor])</f>
        <v>CM</v>
      </c>
      <c r="D57" s="7" t="s">
        <v>43</v>
      </c>
      <c r="E57" t="str">
        <f>_xlfn.XLOOKUP(Vendas[[#This Row],[ID Item Vendido]],Agregado[ID],Agregado[Produto])</f>
        <v>Madeira Bruta (Tora)</v>
      </c>
      <c r="F57" s="39">
        <v>43220</v>
      </c>
      <c r="G57" s="7">
        <v>8</v>
      </c>
      <c r="H57" s="3">
        <f>_xlfn.XLOOKUP(Vendas[[#This Row],[ID Item Vendido]],Agregado[ID],Agregado[Revenda])</f>
        <v>212</v>
      </c>
      <c r="I57" s="3">
        <f>Vendas[[#This Row],[Valor Unitário]]*Vendas[[#This Row],[Qnt Vendida]]</f>
        <v>1696</v>
      </c>
      <c r="J57" s="3">
        <f>Vendas[[#This Row],[Valor da Venda]]-(_xlfn.XLOOKUP(Vendas[[#This Row],[ID Item Vendido]],Agregado[ID],Agregado[Custo])*Vendas[[#This Row],[Qnt Vendida]])</f>
        <v>256</v>
      </c>
      <c r="K57" s="70">
        <f>Vendas[[#This Row],[Lucro da Venda]]/Vendas[[#This Row],[Valor da Venda]]</f>
        <v>0.15094339622641509</v>
      </c>
      <c r="L57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57"/>
    </row>
    <row r="58" spans="1:13" x14ac:dyDescent="0.3">
      <c r="A58" s="7">
        <v>400249</v>
      </c>
      <c r="B58" t="str">
        <f>_xlfn.XLOOKUP(Vendas[[#This Row],[ID Vendedor]],Vendedores[ID],Vendedores[Nome])</f>
        <v>Bruno</v>
      </c>
      <c r="C58" s="7" t="str">
        <f>_xlfn.XLOOKUP(Vendas[[#This Row],[ID Vendedor]],Vendedores[ID],Vendedores[Setor])</f>
        <v>CM</v>
      </c>
      <c r="D58" s="7" t="s">
        <v>22</v>
      </c>
      <c r="E58" t="str">
        <f>_xlfn.XLOOKUP(Vendas[[#This Row],[ID Item Vendido]],Agregado[ID],Agregado[Produto])</f>
        <v>Painel MDP 2,75x1,83m</v>
      </c>
      <c r="F58" s="39">
        <v>43221</v>
      </c>
      <c r="G58" s="7">
        <v>13</v>
      </c>
      <c r="H58" s="3">
        <f>_xlfn.XLOOKUP(Vendas[[#This Row],[ID Item Vendido]],Agregado[ID],Agregado[Revenda])</f>
        <v>119</v>
      </c>
      <c r="I58" s="3">
        <f>Vendas[[#This Row],[Valor Unitário]]*Vendas[[#This Row],[Qnt Vendida]]</f>
        <v>1547</v>
      </c>
      <c r="J58" s="3">
        <f>Vendas[[#This Row],[Valor da Venda]]-(_xlfn.XLOOKUP(Vendas[[#This Row],[ID Item Vendido]],Agregado[ID],Agregado[Custo])*Vendas[[#This Row],[Qnt Vendida]])</f>
        <v>312</v>
      </c>
      <c r="K58" s="70">
        <f>Vendas[[#This Row],[Lucro da Venda]]/Vendas[[#This Row],[Valor da Venda]]</f>
        <v>0.20168067226890757</v>
      </c>
      <c r="L58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8"/>
    </row>
    <row r="59" spans="1:13" x14ac:dyDescent="0.3">
      <c r="A59" s="7">
        <v>400249</v>
      </c>
      <c r="B59" t="str">
        <f>_xlfn.XLOOKUP(Vendas[[#This Row],[ID Vendedor]],Vendedores[ID],Vendedores[Nome])</f>
        <v>Bruno</v>
      </c>
      <c r="C59" s="7" t="str">
        <f>_xlfn.XLOOKUP(Vendas[[#This Row],[ID Vendedor]],Vendedores[ID],Vendedores[Setor])</f>
        <v>CM</v>
      </c>
      <c r="D59" s="7" t="s">
        <v>32</v>
      </c>
      <c r="E59" t="str">
        <f>_xlfn.XLOOKUP(Vendas[[#This Row],[ID Item Vendido]],Agregado[ID],Agregado[Produto])</f>
        <v>Tábua tratada e cortada 3m</v>
      </c>
      <c r="F59" s="39">
        <v>43222</v>
      </c>
      <c r="G59" s="7">
        <v>26</v>
      </c>
      <c r="H59" s="3">
        <f>_xlfn.XLOOKUP(Vendas[[#This Row],[ID Item Vendido]],Agregado[ID],Agregado[Revenda])</f>
        <v>39</v>
      </c>
      <c r="I59" s="3">
        <f>Vendas[[#This Row],[Valor Unitário]]*Vendas[[#This Row],[Qnt Vendida]]</f>
        <v>1014</v>
      </c>
      <c r="J59" s="3">
        <f>Vendas[[#This Row],[Valor da Venda]]-(_xlfn.XLOOKUP(Vendas[[#This Row],[ID Item Vendido]],Agregado[ID],Agregado[Custo])*Vendas[[#This Row],[Qnt Vendida]])</f>
        <v>182</v>
      </c>
      <c r="K59" s="70">
        <f>Vendas[[#This Row],[Lucro da Venda]]/Vendas[[#This Row],[Valor da Venda]]</f>
        <v>0.17948717948717949</v>
      </c>
      <c r="L59" s="3">
        <f>_xlfn.IFS(Vendas[[#This Row],[Margem de Lucro (%)]]&lt;15%,Vendas[[#This Row],[Valor da Venda]]*3%,Vendas[[#This Row],[Margem de Lucro (%)]]&lt;=20%,Vendas[[#This Row],[Valor da Venda]]*4.5%,TRUE,Vendas[[#This Row],[Valor da Venda]]*6%)</f>
        <v>45.629999999999995</v>
      </c>
      <c r="M59"/>
    </row>
    <row r="60" spans="1:13" x14ac:dyDescent="0.3">
      <c r="A60" s="7">
        <v>400243</v>
      </c>
      <c r="B60" t="str">
        <f>_xlfn.XLOOKUP(Vendas[[#This Row],[ID Vendedor]],Vendedores[ID],Vendedores[Nome])</f>
        <v>Marcelo</v>
      </c>
      <c r="C60" s="7" t="str">
        <f>_xlfn.XLOOKUP(Vendas[[#This Row],[ID Vendedor]],Vendedores[ID],Vendedores[Setor])</f>
        <v>FM</v>
      </c>
      <c r="D60" s="7" t="s">
        <v>27</v>
      </c>
      <c r="E60" t="str">
        <f>_xlfn.XLOOKUP(Vendas[[#This Row],[ID Item Vendido]],Agregado[ID],Agregado[Produto])</f>
        <v>Chapa de metal lisa 1x2m</v>
      </c>
      <c r="F60" s="39">
        <v>43224</v>
      </c>
      <c r="G60" s="7">
        <v>10</v>
      </c>
      <c r="H60" s="3">
        <f>_xlfn.XLOOKUP(Vendas[[#This Row],[ID Item Vendido]],Agregado[ID],Agregado[Revenda])</f>
        <v>52</v>
      </c>
      <c r="I60" s="3">
        <f>Vendas[[#This Row],[Valor Unitário]]*Vendas[[#This Row],[Qnt Vendida]]</f>
        <v>520</v>
      </c>
      <c r="J60" s="3">
        <f>Vendas[[#This Row],[Valor da Venda]]-(_xlfn.XLOOKUP(Vendas[[#This Row],[ID Item Vendido]],Agregado[ID],Agregado[Custo])*Vendas[[#This Row],[Qnt Vendida]])</f>
        <v>70</v>
      </c>
      <c r="K60" s="70">
        <f>Vendas[[#This Row],[Lucro da Venda]]/Vendas[[#This Row],[Valor da Venda]]</f>
        <v>0.13461538461538461</v>
      </c>
      <c r="L60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60"/>
    </row>
    <row r="61" spans="1:13" x14ac:dyDescent="0.3">
      <c r="A61" s="7">
        <v>400243</v>
      </c>
      <c r="B61" t="str">
        <f>_xlfn.XLOOKUP(Vendas[[#This Row],[ID Vendedor]],Vendedores[ID],Vendedores[Nome])</f>
        <v>Marcelo</v>
      </c>
      <c r="C61" s="7" t="str">
        <f>_xlfn.XLOOKUP(Vendas[[#This Row],[ID Vendedor]],Vendedores[ID],Vendedores[Setor])</f>
        <v>FM</v>
      </c>
      <c r="D61" s="7" t="s">
        <v>27</v>
      </c>
      <c r="E61" t="str">
        <f>_xlfn.XLOOKUP(Vendas[[#This Row],[ID Item Vendido]],Agregado[ID],Agregado[Produto])</f>
        <v>Chapa de metal lisa 1x2m</v>
      </c>
      <c r="F61" s="39">
        <v>43230</v>
      </c>
      <c r="G61" s="7">
        <v>17</v>
      </c>
      <c r="H61" s="3">
        <f>_xlfn.XLOOKUP(Vendas[[#This Row],[ID Item Vendido]],Agregado[ID],Agregado[Revenda])</f>
        <v>52</v>
      </c>
      <c r="I61" s="3">
        <f>Vendas[[#This Row],[Valor Unitário]]*Vendas[[#This Row],[Qnt Vendida]]</f>
        <v>884</v>
      </c>
      <c r="J61" s="3">
        <f>Vendas[[#This Row],[Valor da Venda]]-(_xlfn.XLOOKUP(Vendas[[#This Row],[ID Item Vendido]],Agregado[ID],Agregado[Custo])*Vendas[[#This Row],[Qnt Vendida]])</f>
        <v>119</v>
      </c>
      <c r="K61" s="70">
        <f>Vendas[[#This Row],[Lucro da Venda]]/Vendas[[#This Row],[Valor da Venda]]</f>
        <v>0.13461538461538461</v>
      </c>
      <c r="L61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61"/>
    </row>
    <row r="62" spans="1:13" x14ac:dyDescent="0.3">
      <c r="A62" s="7">
        <v>400243</v>
      </c>
      <c r="B62" t="str">
        <f>_xlfn.XLOOKUP(Vendas[[#This Row],[ID Vendedor]],Vendedores[ID],Vendedores[Nome])</f>
        <v>Marcelo</v>
      </c>
      <c r="C62" s="7" t="str">
        <f>_xlfn.XLOOKUP(Vendas[[#This Row],[ID Vendedor]],Vendedores[ID],Vendedores[Setor])</f>
        <v>FM</v>
      </c>
      <c r="D62" s="7" t="s">
        <v>20</v>
      </c>
      <c r="E62" t="str">
        <f>_xlfn.XLOOKUP(Vendas[[#This Row],[ID Item Vendido]],Agregado[ID],Agregado[Produto])</f>
        <v>Barra de aço simples</v>
      </c>
      <c r="F62" s="39">
        <v>43230</v>
      </c>
      <c r="G62" s="7">
        <v>136</v>
      </c>
      <c r="H62" s="3">
        <f>_xlfn.XLOOKUP(Vendas[[#This Row],[ID Item Vendido]],Agregado[ID],Agregado[Revenda])</f>
        <v>4.8</v>
      </c>
      <c r="I62" s="3">
        <f>Vendas[[#This Row],[Valor Unitário]]*Vendas[[#This Row],[Qnt Vendida]]</f>
        <v>652.79999999999995</v>
      </c>
      <c r="J62" s="3">
        <f>Vendas[[#This Row],[Valor da Venda]]-(_xlfn.XLOOKUP(Vendas[[#This Row],[ID Item Vendido]],Agregado[ID],Agregado[Custo])*Vendas[[#This Row],[Qnt Vendida]])</f>
        <v>81.599999999999909</v>
      </c>
      <c r="K62" s="70">
        <f>Vendas[[#This Row],[Lucro da Venda]]/Vendas[[#This Row],[Valor da Venda]]</f>
        <v>0.12499999999999988</v>
      </c>
      <c r="L62" s="3">
        <f>_xlfn.IFS(Vendas[[#This Row],[Margem de Lucro (%)]]&lt;15%,Vendas[[#This Row],[Valor da Venda]]*3%,Vendas[[#This Row],[Margem de Lucro (%)]]&lt;=20%,Vendas[[#This Row],[Valor da Venda]]*4.5%,TRUE,Vendas[[#This Row],[Valor da Venda]]*6%)</f>
        <v>19.584</v>
      </c>
      <c r="M62"/>
    </row>
    <row r="63" spans="1:13" x14ac:dyDescent="0.3">
      <c r="A63" s="7">
        <v>400255</v>
      </c>
      <c r="B63" t="str">
        <f>_xlfn.XLOOKUP(Vendas[[#This Row],[ID Vendedor]],Vendedores[ID],Vendedores[Nome])</f>
        <v>Carlos</v>
      </c>
      <c r="C63" s="7" t="str">
        <f>_xlfn.XLOOKUP(Vendas[[#This Row],[ID Vendedor]],Vendedores[ID],Vendedores[Setor])</f>
        <v>SC</v>
      </c>
      <c r="D63" s="7" t="s">
        <v>41</v>
      </c>
      <c r="E63" t="str">
        <f>_xlfn.XLOOKUP(Vendas[[#This Row],[ID Item Vendido]],Agregado[ID],Agregado[Produto])</f>
        <v>Palete de madeira reforçado</v>
      </c>
      <c r="F63" s="39">
        <v>43230</v>
      </c>
      <c r="G63" s="7">
        <v>4</v>
      </c>
      <c r="H63" s="3">
        <f>_xlfn.XLOOKUP(Vendas[[#This Row],[ID Item Vendido]],Agregado[ID],Agregado[Revenda])</f>
        <v>131</v>
      </c>
      <c r="I63" s="3">
        <f>Vendas[[#This Row],[Valor Unitário]]*Vendas[[#This Row],[Qnt Vendida]]</f>
        <v>524</v>
      </c>
      <c r="J63" s="3">
        <f>Vendas[[#This Row],[Valor da Venda]]-(_xlfn.XLOOKUP(Vendas[[#This Row],[ID Item Vendido]],Agregado[ID],Agregado[Custo])*Vendas[[#This Row],[Qnt Vendida]])</f>
        <v>84</v>
      </c>
      <c r="K63" s="70">
        <f>Vendas[[#This Row],[Lucro da Venda]]/Vendas[[#This Row],[Valor da Venda]]</f>
        <v>0.16030534351145037</v>
      </c>
      <c r="L63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63"/>
    </row>
    <row r="64" spans="1:13" x14ac:dyDescent="0.3">
      <c r="A64" s="7">
        <v>400243</v>
      </c>
      <c r="B64" t="str">
        <f>_xlfn.XLOOKUP(Vendas[[#This Row],[ID Vendedor]],Vendedores[ID],Vendedores[Nome])</f>
        <v>Marcelo</v>
      </c>
      <c r="C64" s="7" t="str">
        <f>_xlfn.XLOOKUP(Vendas[[#This Row],[ID Vendedor]],Vendedores[ID],Vendedores[Setor])</f>
        <v>FM</v>
      </c>
      <c r="D64" s="7" t="s">
        <v>20</v>
      </c>
      <c r="E64" t="str">
        <f>_xlfn.XLOOKUP(Vendas[[#This Row],[ID Item Vendido]],Agregado[ID],Agregado[Produto])</f>
        <v>Barra de aço simples</v>
      </c>
      <c r="F64" s="39">
        <v>43231</v>
      </c>
      <c r="G64" s="7">
        <v>142</v>
      </c>
      <c r="H64" s="3">
        <f>_xlfn.XLOOKUP(Vendas[[#This Row],[ID Item Vendido]],Agregado[ID],Agregado[Revenda])</f>
        <v>4.8</v>
      </c>
      <c r="I64" s="3">
        <f>Vendas[[#This Row],[Valor Unitário]]*Vendas[[#This Row],[Qnt Vendida]]</f>
        <v>681.6</v>
      </c>
      <c r="J64" s="3">
        <f>Vendas[[#This Row],[Valor da Venda]]-(_xlfn.XLOOKUP(Vendas[[#This Row],[ID Item Vendido]],Agregado[ID],Agregado[Custo])*Vendas[[#This Row],[Qnt Vendida]])</f>
        <v>85.200000000000045</v>
      </c>
      <c r="K64" s="70">
        <f>Vendas[[#This Row],[Lucro da Venda]]/Vendas[[#This Row],[Valor da Venda]]</f>
        <v>0.12500000000000006</v>
      </c>
      <c r="L64" s="3">
        <f>_xlfn.IFS(Vendas[[#This Row],[Margem de Lucro (%)]]&lt;15%,Vendas[[#This Row],[Valor da Venda]]*3%,Vendas[[#This Row],[Margem de Lucro (%)]]&lt;=20%,Vendas[[#This Row],[Valor da Venda]]*4.5%,TRUE,Vendas[[#This Row],[Valor da Venda]]*6%)</f>
        <v>20.448</v>
      </c>
      <c r="M64"/>
    </row>
    <row r="65" spans="1:13" x14ac:dyDescent="0.3">
      <c r="A65" s="7">
        <v>400243</v>
      </c>
      <c r="B65" t="str">
        <f>_xlfn.XLOOKUP(Vendas[[#This Row],[ID Vendedor]],Vendedores[ID],Vendedores[Nome])</f>
        <v>Marcelo</v>
      </c>
      <c r="C65" s="7" t="str">
        <f>_xlfn.XLOOKUP(Vendas[[#This Row],[ID Vendedor]],Vendedores[ID],Vendedores[Setor])</f>
        <v>FM</v>
      </c>
      <c r="D65" s="7" t="s">
        <v>31</v>
      </c>
      <c r="E65" t="str">
        <f>_xlfn.XLOOKUP(Vendas[[#This Row],[ID Item Vendido]],Agregado[ID],Agregado[Produto])</f>
        <v>Tela de metal soldada rolo 2x25m</v>
      </c>
      <c r="F65" s="39">
        <v>43233</v>
      </c>
      <c r="G65" s="7">
        <v>10</v>
      </c>
      <c r="H65" s="3">
        <f>_xlfn.XLOOKUP(Vendas[[#This Row],[ID Item Vendido]],Agregado[ID],Agregado[Revenda])</f>
        <v>43.7</v>
      </c>
      <c r="I65" s="3">
        <f>Vendas[[#This Row],[Valor Unitário]]*Vendas[[#This Row],[Qnt Vendida]]</f>
        <v>437</v>
      </c>
      <c r="J65" s="3">
        <f>Vendas[[#This Row],[Valor da Venda]]-(_xlfn.XLOOKUP(Vendas[[#This Row],[ID Item Vendido]],Agregado[ID],Agregado[Custo])*Vendas[[#This Row],[Qnt Vendida]])</f>
        <v>57</v>
      </c>
      <c r="K65" s="70">
        <f>Vendas[[#This Row],[Lucro da Venda]]/Vendas[[#This Row],[Valor da Venda]]</f>
        <v>0.13043478260869565</v>
      </c>
      <c r="L65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65"/>
    </row>
    <row r="66" spans="1:13" x14ac:dyDescent="0.3">
      <c r="A66" s="7">
        <v>400243</v>
      </c>
      <c r="B66" t="str">
        <f>_xlfn.XLOOKUP(Vendas[[#This Row],[ID Vendedor]],Vendedores[ID],Vendedores[Nome])</f>
        <v>Marcelo</v>
      </c>
      <c r="C66" s="7" t="str">
        <f>_xlfn.XLOOKUP(Vendas[[#This Row],[ID Vendedor]],Vendedores[ID],Vendedores[Setor])</f>
        <v>FM</v>
      </c>
      <c r="D66" s="7" t="s">
        <v>31</v>
      </c>
      <c r="E66" t="str">
        <f>_xlfn.XLOOKUP(Vendas[[#This Row],[ID Item Vendido]],Agregado[ID],Agregado[Produto])</f>
        <v>Tela de metal soldada rolo 2x25m</v>
      </c>
      <c r="F66" s="39">
        <v>43236</v>
      </c>
      <c r="G66" s="7">
        <v>13</v>
      </c>
      <c r="H66" s="3">
        <f>_xlfn.XLOOKUP(Vendas[[#This Row],[ID Item Vendido]],Agregado[ID],Agregado[Revenda])</f>
        <v>43.7</v>
      </c>
      <c r="I66" s="3">
        <f>Vendas[[#This Row],[Valor Unitário]]*Vendas[[#This Row],[Qnt Vendida]]</f>
        <v>568.1</v>
      </c>
      <c r="J66" s="3">
        <f>Vendas[[#This Row],[Valor da Venda]]-(_xlfn.XLOOKUP(Vendas[[#This Row],[ID Item Vendido]],Agregado[ID],Agregado[Custo])*Vendas[[#This Row],[Qnt Vendida]])</f>
        <v>74.100000000000023</v>
      </c>
      <c r="K66" s="70">
        <f>Vendas[[#This Row],[Lucro da Venda]]/Vendas[[#This Row],[Valor da Venda]]</f>
        <v>0.13043478260869568</v>
      </c>
      <c r="L66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66"/>
    </row>
    <row r="67" spans="1:13" x14ac:dyDescent="0.3">
      <c r="A67" s="7">
        <v>400255</v>
      </c>
      <c r="B67" t="str">
        <f>_xlfn.XLOOKUP(Vendas[[#This Row],[ID Vendedor]],Vendedores[ID],Vendedores[Nome])</f>
        <v>Carlos</v>
      </c>
      <c r="C67" s="7" t="str">
        <f>_xlfn.XLOOKUP(Vendas[[#This Row],[ID Vendedor]],Vendedores[ID],Vendedores[Setor])</f>
        <v>SC</v>
      </c>
      <c r="D67" s="7" t="s">
        <v>42</v>
      </c>
      <c r="E67" t="str">
        <f>_xlfn.XLOOKUP(Vendas[[#This Row],[ID Item Vendido]],Agregado[ID],Agregado[Produto])</f>
        <v>Container de ferro industrial</v>
      </c>
      <c r="F67" s="39">
        <v>43237</v>
      </c>
      <c r="G67" s="7">
        <v>1</v>
      </c>
      <c r="H67" s="3">
        <f>_xlfn.XLOOKUP(Vendas[[#This Row],[ID Item Vendido]],Agregado[ID],Agregado[Revenda])</f>
        <v>830</v>
      </c>
      <c r="I67" s="3">
        <f>Vendas[[#This Row],[Valor Unitário]]*Vendas[[#This Row],[Qnt Vendida]]</f>
        <v>830</v>
      </c>
      <c r="J67" s="3">
        <f>Vendas[[#This Row],[Valor da Venda]]-(_xlfn.XLOOKUP(Vendas[[#This Row],[ID Item Vendido]],Agregado[ID],Agregado[Custo])*Vendas[[#This Row],[Qnt Vendida]])</f>
        <v>150</v>
      </c>
      <c r="K67" s="70">
        <f>Vendas[[#This Row],[Lucro da Venda]]/Vendas[[#This Row],[Valor da Venda]]</f>
        <v>0.18072289156626506</v>
      </c>
      <c r="L67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67"/>
    </row>
    <row r="68" spans="1:13" x14ac:dyDescent="0.3">
      <c r="A68" s="7">
        <v>400243</v>
      </c>
      <c r="B68" t="str">
        <f>_xlfn.XLOOKUP(Vendas[[#This Row],[ID Vendedor]],Vendedores[ID],Vendedores[Nome])</f>
        <v>Marcelo</v>
      </c>
      <c r="C68" s="7" t="str">
        <f>_xlfn.XLOOKUP(Vendas[[#This Row],[ID Vendedor]],Vendedores[ID],Vendedores[Setor])</f>
        <v>FM</v>
      </c>
      <c r="D68" s="7" t="s">
        <v>47</v>
      </c>
      <c r="E68" t="str">
        <f>_xlfn.XLOOKUP(Vendas[[#This Row],[ID Item Vendido]],Agregado[ID],Agregado[Produto])</f>
        <v>Fio de arame galvanizado rolo 50m</v>
      </c>
      <c r="F68" s="39">
        <v>43237</v>
      </c>
      <c r="G68" s="7">
        <v>20</v>
      </c>
      <c r="H68" s="3">
        <f>_xlfn.XLOOKUP(Vendas[[#This Row],[ID Item Vendido]],Agregado[ID],Agregado[Revenda])</f>
        <v>21.2</v>
      </c>
      <c r="I68" s="3">
        <f>Vendas[[#This Row],[Valor Unitário]]*Vendas[[#This Row],[Qnt Vendida]]</f>
        <v>424</v>
      </c>
      <c r="J68" s="3">
        <f>Vendas[[#This Row],[Valor da Venda]]-(_xlfn.XLOOKUP(Vendas[[#This Row],[ID Item Vendido]],Agregado[ID],Agregado[Custo])*Vendas[[#This Row],[Qnt Vendida]])</f>
        <v>64</v>
      </c>
      <c r="K68" s="70">
        <f>Vendas[[#This Row],[Lucro da Venda]]/Vendas[[#This Row],[Valor da Venda]]</f>
        <v>0.15094339622641509</v>
      </c>
      <c r="L68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68"/>
    </row>
    <row r="69" spans="1:13" x14ac:dyDescent="0.3">
      <c r="A69" s="7">
        <v>400255</v>
      </c>
      <c r="B69" t="str">
        <f>_xlfn.XLOOKUP(Vendas[[#This Row],[ID Vendedor]],Vendedores[ID],Vendedores[Nome])</f>
        <v>Carlos</v>
      </c>
      <c r="C69" s="7" t="str">
        <f>_xlfn.XLOOKUP(Vendas[[#This Row],[ID Vendedor]],Vendedores[ID],Vendedores[Setor])</f>
        <v>SC</v>
      </c>
      <c r="D69" s="7" t="s">
        <v>25</v>
      </c>
      <c r="E69" t="str">
        <f>_xlfn.XLOOKUP(Vendas[[#This Row],[ID Item Vendido]],Agregado[ID],Agregado[Produto])</f>
        <v>Palete de plástico</v>
      </c>
      <c r="F69" s="39">
        <v>43237</v>
      </c>
      <c r="G69" s="7">
        <v>5</v>
      </c>
      <c r="H69" s="3">
        <f>_xlfn.XLOOKUP(Vendas[[#This Row],[ID Item Vendido]],Agregado[ID],Agregado[Revenda])</f>
        <v>70.8</v>
      </c>
      <c r="I69" s="3">
        <f>Vendas[[#This Row],[Valor Unitário]]*Vendas[[#This Row],[Qnt Vendida]]</f>
        <v>354</v>
      </c>
      <c r="J69" s="3">
        <f>Vendas[[#This Row],[Valor da Venda]]-(_xlfn.XLOOKUP(Vendas[[#This Row],[ID Item Vendido]],Agregado[ID],Agregado[Custo])*Vendas[[#This Row],[Qnt Vendida]])</f>
        <v>54</v>
      </c>
      <c r="K69" s="70">
        <f>Vendas[[#This Row],[Lucro da Venda]]/Vendas[[#This Row],[Valor da Venda]]</f>
        <v>0.15254237288135594</v>
      </c>
      <c r="L69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69"/>
    </row>
    <row r="70" spans="1:13" x14ac:dyDescent="0.3">
      <c r="A70" s="7">
        <v>400243</v>
      </c>
      <c r="B70" t="str">
        <f>_xlfn.XLOOKUP(Vendas[[#This Row],[ID Vendedor]],Vendedores[ID],Vendedores[Nome])</f>
        <v>Marcelo</v>
      </c>
      <c r="C70" s="7" t="str">
        <f>_xlfn.XLOOKUP(Vendas[[#This Row],[ID Vendedor]],Vendedores[ID],Vendedores[Setor])</f>
        <v>FM</v>
      </c>
      <c r="D70" s="7" t="s">
        <v>20</v>
      </c>
      <c r="E70" t="str">
        <f>_xlfn.XLOOKUP(Vendas[[#This Row],[ID Item Vendido]],Agregado[ID],Agregado[Produto])</f>
        <v>Barra de aço simples</v>
      </c>
      <c r="F70" s="39">
        <v>43237</v>
      </c>
      <c r="G70" s="7">
        <v>62</v>
      </c>
      <c r="H70" s="3">
        <f>_xlfn.XLOOKUP(Vendas[[#This Row],[ID Item Vendido]],Agregado[ID],Agregado[Revenda])</f>
        <v>4.8</v>
      </c>
      <c r="I70" s="3">
        <f>Vendas[[#This Row],[Valor Unitário]]*Vendas[[#This Row],[Qnt Vendida]]</f>
        <v>297.59999999999997</v>
      </c>
      <c r="J70" s="3">
        <f>Vendas[[#This Row],[Valor da Venda]]-(_xlfn.XLOOKUP(Vendas[[#This Row],[ID Item Vendido]],Agregado[ID],Agregado[Custo])*Vendas[[#This Row],[Qnt Vendida]])</f>
        <v>37.199999999999932</v>
      </c>
      <c r="K70" s="70">
        <f>Vendas[[#This Row],[Lucro da Venda]]/Vendas[[#This Row],[Valor da Venda]]</f>
        <v>0.12499999999999979</v>
      </c>
      <c r="L70" s="3">
        <f>_xlfn.IFS(Vendas[[#This Row],[Margem de Lucro (%)]]&lt;15%,Vendas[[#This Row],[Valor da Venda]]*3%,Vendas[[#This Row],[Margem de Lucro (%)]]&lt;=20%,Vendas[[#This Row],[Valor da Venda]]*4.5%,TRUE,Vendas[[#This Row],[Valor da Venda]]*6%)</f>
        <v>8.927999999999999</v>
      </c>
      <c r="M70"/>
    </row>
    <row r="71" spans="1:13" x14ac:dyDescent="0.3">
      <c r="A71" s="7">
        <v>400249</v>
      </c>
      <c r="B71" t="str">
        <f>_xlfn.XLOOKUP(Vendas[[#This Row],[ID Vendedor]],Vendedores[ID],Vendedores[Nome])</f>
        <v>Bruno</v>
      </c>
      <c r="C71" s="7" t="str">
        <f>_xlfn.XLOOKUP(Vendas[[#This Row],[ID Vendedor]],Vendedores[ID],Vendedores[Setor])</f>
        <v>CM</v>
      </c>
      <c r="D71" s="7" t="s">
        <v>34</v>
      </c>
      <c r="E71" t="str">
        <f>_xlfn.XLOOKUP(Vendas[[#This Row],[ID Item Vendido]],Agregado[ID],Agregado[Produto])</f>
        <v>Restos de madeira p/ MDP/OSB saco de 20kg</v>
      </c>
      <c r="F71" s="39">
        <v>43239</v>
      </c>
      <c r="G71" s="7">
        <v>29</v>
      </c>
      <c r="H71" s="3">
        <f>_xlfn.XLOOKUP(Vendas[[#This Row],[ID Item Vendido]],Agregado[ID],Agregado[Revenda])</f>
        <v>13.8</v>
      </c>
      <c r="I71" s="3">
        <f>Vendas[[#This Row],[Valor Unitário]]*Vendas[[#This Row],[Qnt Vendida]]</f>
        <v>400.20000000000005</v>
      </c>
      <c r="J71" s="3">
        <f>Vendas[[#This Row],[Valor da Venda]]-(_xlfn.XLOOKUP(Vendas[[#This Row],[ID Item Vendido]],Agregado[ID],Agregado[Custo])*Vendas[[#This Row],[Qnt Vendida]])</f>
        <v>52.200000000000045</v>
      </c>
      <c r="K71" s="70">
        <f>Vendas[[#This Row],[Lucro da Venda]]/Vendas[[#This Row],[Valor da Venda]]</f>
        <v>0.13043478260869576</v>
      </c>
      <c r="L71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71"/>
    </row>
    <row r="72" spans="1:13" x14ac:dyDescent="0.3">
      <c r="A72" s="7">
        <v>400243</v>
      </c>
      <c r="B72" t="str">
        <f>_xlfn.XLOOKUP(Vendas[[#This Row],[ID Vendedor]],Vendedores[ID],Vendedores[Nome])</f>
        <v>Marcelo</v>
      </c>
      <c r="C72" s="7" t="str">
        <f>_xlfn.XLOOKUP(Vendas[[#This Row],[ID Vendedor]],Vendedores[ID],Vendedores[Setor])</f>
        <v>FM</v>
      </c>
      <c r="D72" s="7" t="s">
        <v>20</v>
      </c>
      <c r="E72" t="str">
        <f>_xlfn.XLOOKUP(Vendas[[#This Row],[ID Item Vendido]],Agregado[ID],Agregado[Produto])</f>
        <v>Barra de aço simples</v>
      </c>
      <c r="F72" s="39">
        <v>43239</v>
      </c>
      <c r="G72" s="7">
        <v>29</v>
      </c>
      <c r="H72" s="3">
        <f>_xlfn.XLOOKUP(Vendas[[#This Row],[ID Item Vendido]],Agregado[ID],Agregado[Revenda])</f>
        <v>4.8</v>
      </c>
      <c r="I72" s="3">
        <f>Vendas[[#This Row],[Valor Unitário]]*Vendas[[#This Row],[Qnt Vendida]]</f>
        <v>139.19999999999999</v>
      </c>
      <c r="J72" s="3">
        <f>Vendas[[#This Row],[Valor da Venda]]-(_xlfn.XLOOKUP(Vendas[[#This Row],[ID Item Vendido]],Agregado[ID],Agregado[Custo])*Vendas[[#This Row],[Qnt Vendida]])</f>
        <v>17.399999999999977</v>
      </c>
      <c r="K72" s="70">
        <f>Vendas[[#This Row],[Lucro da Venda]]/Vendas[[#This Row],[Valor da Venda]]</f>
        <v>0.12499999999999985</v>
      </c>
      <c r="L72" s="3">
        <f>_xlfn.IFS(Vendas[[#This Row],[Margem de Lucro (%)]]&lt;15%,Vendas[[#This Row],[Valor da Venda]]*3%,Vendas[[#This Row],[Margem de Lucro (%)]]&lt;=20%,Vendas[[#This Row],[Valor da Venda]]*4.5%,TRUE,Vendas[[#This Row],[Valor da Venda]]*6%)</f>
        <v>4.1759999999999993</v>
      </c>
      <c r="M72"/>
    </row>
    <row r="73" spans="1:13" x14ac:dyDescent="0.3">
      <c r="A73" s="7">
        <v>400243</v>
      </c>
      <c r="B73" t="str">
        <f>_xlfn.XLOOKUP(Vendas[[#This Row],[ID Vendedor]],Vendedores[ID],Vendedores[Nome])</f>
        <v>Marcelo</v>
      </c>
      <c r="C73" s="7" t="str">
        <f>_xlfn.XLOOKUP(Vendas[[#This Row],[ID Vendedor]],Vendedores[ID],Vendedores[Setor])</f>
        <v>FM</v>
      </c>
      <c r="D73" s="7" t="s">
        <v>27</v>
      </c>
      <c r="E73" t="str">
        <f>_xlfn.XLOOKUP(Vendas[[#This Row],[ID Item Vendido]],Agregado[ID],Agregado[Produto])</f>
        <v>Chapa de metal lisa 1x2m</v>
      </c>
      <c r="F73" s="39">
        <v>43240</v>
      </c>
      <c r="G73" s="7">
        <v>29</v>
      </c>
      <c r="H73" s="3">
        <f>_xlfn.XLOOKUP(Vendas[[#This Row],[ID Item Vendido]],Agregado[ID],Agregado[Revenda])</f>
        <v>52</v>
      </c>
      <c r="I73" s="3">
        <f>Vendas[[#This Row],[Valor Unitário]]*Vendas[[#This Row],[Qnt Vendida]]</f>
        <v>1508</v>
      </c>
      <c r="J73" s="3">
        <f>Vendas[[#This Row],[Valor da Venda]]-(_xlfn.XLOOKUP(Vendas[[#This Row],[ID Item Vendido]],Agregado[ID],Agregado[Custo])*Vendas[[#This Row],[Qnt Vendida]])</f>
        <v>203</v>
      </c>
      <c r="K73" s="70">
        <f>Vendas[[#This Row],[Lucro da Venda]]/Vendas[[#This Row],[Valor da Venda]]</f>
        <v>0.13461538461538461</v>
      </c>
      <c r="L73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73"/>
    </row>
    <row r="74" spans="1:13" x14ac:dyDescent="0.3">
      <c r="A74" s="7">
        <v>400243</v>
      </c>
      <c r="B74" t="str">
        <f>_xlfn.XLOOKUP(Vendas[[#This Row],[ID Vendedor]],Vendedores[ID],Vendedores[Nome])</f>
        <v>Marcelo</v>
      </c>
      <c r="C74" s="7" t="str">
        <f>_xlfn.XLOOKUP(Vendas[[#This Row],[ID Vendedor]],Vendedores[ID],Vendedores[Setor])</f>
        <v>FM</v>
      </c>
      <c r="D74" s="7" t="s">
        <v>47</v>
      </c>
      <c r="E74" t="str">
        <f>_xlfn.XLOOKUP(Vendas[[#This Row],[ID Item Vendido]],Agregado[ID],Agregado[Produto])</f>
        <v>Fio de arame galvanizado rolo 50m</v>
      </c>
      <c r="F74" s="39">
        <v>43243</v>
      </c>
      <c r="G74" s="7">
        <v>20</v>
      </c>
      <c r="H74" s="3">
        <f>_xlfn.XLOOKUP(Vendas[[#This Row],[ID Item Vendido]],Agregado[ID],Agregado[Revenda])</f>
        <v>21.2</v>
      </c>
      <c r="I74" s="3">
        <f>Vendas[[#This Row],[Valor Unitário]]*Vendas[[#This Row],[Qnt Vendida]]</f>
        <v>424</v>
      </c>
      <c r="J74" s="3">
        <f>Vendas[[#This Row],[Valor da Venda]]-(_xlfn.XLOOKUP(Vendas[[#This Row],[ID Item Vendido]],Agregado[ID],Agregado[Custo])*Vendas[[#This Row],[Qnt Vendida]])</f>
        <v>64</v>
      </c>
      <c r="K74" s="70">
        <f>Vendas[[#This Row],[Lucro da Venda]]/Vendas[[#This Row],[Valor da Venda]]</f>
        <v>0.15094339622641509</v>
      </c>
      <c r="L74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74"/>
    </row>
    <row r="75" spans="1:13" x14ac:dyDescent="0.3">
      <c r="A75" s="7">
        <v>400249</v>
      </c>
      <c r="B75" t="str">
        <f>_xlfn.XLOOKUP(Vendas[[#This Row],[ID Vendedor]],Vendedores[ID],Vendedores[Nome])</f>
        <v>Bruno</v>
      </c>
      <c r="C75" s="7" t="str">
        <f>_xlfn.XLOOKUP(Vendas[[#This Row],[ID Vendedor]],Vendedores[ID],Vendedores[Setor])</f>
        <v>CM</v>
      </c>
      <c r="D75" s="7" t="s">
        <v>45</v>
      </c>
      <c r="E75" t="str">
        <f>_xlfn.XLOOKUP(Vendas[[#This Row],[ID Item Vendido]],Agregado[ID],Agregado[Produto])</f>
        <v>Viga de madeira tratada 4m</v>
      </c>
      <c r="F75" s="39">
        <v>43247</v>
      </c>
      <c r="G75" s="7">
        <v>12</v>
      </c>
      <c r="H75" s="3">
        <f>_xlfn.XLOOKUP(Vendas[[#This Row],[ID Item Vendido]],Agregado[ID],Agregado[Revenda])</f>
        <v>66</v>
      </c>
      <c r="I75" s="3">
        <f>Vendas[[#This Row],[Valor Unitário]]*Vendas[[#This Row],[Qnt Vendida]]</f>
        <v>792</v>
      </c>
      <c r="J75" s="3">
        <f>Vendas[[#This Row],[Valor da Venda]]-(_xlfn.XLOOKUP(Vendas[[#This Row],[ID Item Vendido]],Agregado[ID],Agregado[Custo])*Vendas[[#This Row],[Qnt Vendida]])</f>
        <v>132</v>
      </c>
      <c r="K75" s="70">
        <f>Vendas[[#This Row],[Lucro da Venda]]/Vendas[[#This Row],[Valor da Venda]]</f>
        <v>0.16666666666666666</v>
      </c>
      <c r="L75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75"/>
    </row>
    <row r="76" spans="1:13" x14ac:dyDescent="0.3">
      <c r="A76" s="7">
        <v>400243</v>
      </c>
      <c r="B76" t="str">
        <f>_xlfn.XLOOKUP(Vendas[[#This Row],[ID Vendedor]],Vendedores[ID],Vendedores[Nome])</f>
        <v>Marcelo</v>
      </c>
      <c r="C76" s="7" t="str">
        <f>_xlfn.XLOOKUP(Vendas[[#This Row],[ID Vendedor]],Vendedores[ID],Vendedores[Setor])</f>
        <v>FM</v>
      </c>
      <c r="D76" s="7" t="s">
        <v>27</v>
      </c>
      <c r="E76" t="str">
        <f>_xlfn.XLOOKUP(Vendas[[#This Row],[ID Item Vendido]],Agregado[ID],Agregado[Produto])</f>
        <v>Chapa de metal lisa 1x2m</v>
      </c>
      <c r="F76" s="39">
        <v>43251</v>
      </c>
      <c r="G76" s="7">
        <v>10</v>
      </c>
      <c r="H76" s="3">
        <f>_xlfn.XLOOKUP(Vendas[[#This Row],[ID Item Vendido]],Agregado[ID],Agregado[Revenda])</f>
        <v>52</v>
      </c>
      <c r="I76" s="3">
        <f>Vendas[[#This Row],[Valor Unitário]]*Vendas[[#This Row],[Qnt Vendida]]</f>
        <v>520</v>
      </c>
      <c r="J76" s="3">
        <f>Vendas[[#This Row],[Valor da Venda]]-(_xlfn.XLOOKUP(Vendas[[#This Row],[ID Item Vendido]],Agregado[ID],Agregado[Custo])*Vendas[[#This Row],[Qnt Vendida]])</f>
        <v>70</v>
      </c>
      <c r="K76" s="70">
        <f>Vendas[[#This Row],[Lucro da Venda]]/Vendas[[#This Row],[Valor da Venda]]</f>
        <v>0.13461538461538461</v>
      </c>
      <c r="L76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76"/>
    </row>
    <row r="77" spans="1:13" x14ac:dyDescent="0.3">
      <c r="A77" s="7">
        <v>400249</v>
      </c>
      <c r="B77" t="str">
        <f>_xlfn.XLOOKUP(Vendas[[#This Row],[ID Vendedor]],Vendedores[ID],Vendedores[Nome])</f>
        <v>Bruno</v>
      </c>
      <c r="C77" s="7" t="str">
        <f>_xlfn.XLOOKUP(Vendas[[#This Row],[ID Vendedor]],Vendedores[ID],Vendedores[Setor])</f>
        <v>CM</v>
      </c>
      <c r="D77" s="7" t="s">
        <v>43</v>
      </c>
      <c r="E77" t="str">
        <f>_xlfn.XLOOKUP(Vendas[[#This Row],[ID Item Vendido]],Agregado[ID],Agregado[Produto])</f>
        <v>Madeira Bruta (Tora)</v>
      </c>
      <c r="F77" s="39">
        <v>43262</v>
      </c>
      <c r="G77" s="7">
        <v>9</v>
      </c>
      <c r="H77" s="3">
        <f>_xlfn.XLOOKUP(Vendas[[#This Row],[ID Item Vendido]],Agregado[ID],Agregado[Revenda])</f>
        <v>212</v>
      </c>
      <c r="I77" s="3">
        <f>Vendas[[#This Row],[Valor Unitário]]*Vendas[[#This Row],[Qnt Vendida]]</f>
        <v>1908</v>
      </c>
      <c r="J77" s="3">
        <f>Vendas[[#This Row],[Valor da Venda]]-(_xlfn.XLOOKUP(Vendas[[#This Row],[ID Item Vendido]],Agregado[ID],Agregado[Custo])*Vendas[[#This Row],[Qnt Vendida]])</f>
        <v>288</v>
      </c>
      <c r="K77" s="70">
        <f>Vendas[[#This Row],[Lucro da Venda]]/Vendas[[#This Row],[Valor da Venda]]</f>
        <v>0.15094339622641509</v>
      </c>
      <c r="L77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77"/>
    </row>
    <row r="78" spans="1:13" x14ac:dyDescent="0.3">
      <c r="A78" s="7">
        <v>400255</v>
      </c>
      <c r="B78" t="str">
        <f>_xlfn.XLOOKUP(Vendas[[#This Row],[ID Vendedor]],Vendedores[ID],Vendedores[Nome])</f>
        <v>Carlos</v>
      </c>
      <c r="C78" s="7" t="str">
        <f>_xlfn.XLOOKUP(Vendas[[#This Row],[ID Vendedor]],Vendedores[ID],Vendedores[Setor])</f>
        <v>SC</v>
      </c>
      <c r="D78" s="7" t="s">
        <v>48</v>
      </c>
      <c r="E78" t="str">
        <f>_xlfn.XLOOKUP(Vendas[[#This Row],[ID Item Vendido]],Agregado[ID],Agregado[Produto])</f>
        <v>Tambor metálico 200L</v>
      </c>
      <c r="F78" s="39">
        <v>43269</v>
      </c>
      <c r="G78" s="7">
        <v>9</v>
      </c>
      <c r="H78" s="3">
        <f>_xlfn.XLOOKUP(Vendas[[#This Row],[ID Item Vendido]],Agregado[ID],Agregado[Revenda])</f>
        <v>144</v>
      </c>
      <c r="I78" s="3">
        <f>Vendas[[#This Row],[Valor Unitário]]*Vendas[[#This Row],[Qnt Vendida]]</f>
        <v>1296</v>
      </c>
      <c r="J78" s="3">
        <f>Vendas[[#This Row],[Valor da Venda]]-(_xlfn.XLOOKUP(Vendas[[#This Row],[ID Item Vendido]],Agregado[ID],Agregado[Custo])*Vendas[[#This Row],[Qnt Vendida]])</f>
        <v>216</v>
      </c>
      <c r="K78" s="70">
        <f>Vendas[[#This Row],[Lucro da Venda]]/Vendas[[#This Row],[Valor da Venda]]</f>
        <v>0.16666666666666666</v>
      </c>
      <c r="L78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78"/>
    </row>
    <row r="79" spans="1:13" x14ac:dyDescent="0.3">
      <c r="A79" s="7">
        <v>400249</v>
      </c>
      <c r="B79" t="str">
        <f>_xlfn.XLOOKUP(Vendas[[#This Row],[ID Vendedor]],Vendedores[ID],Vendedores[Nome])</f>
        <v>Bruno</v>
      </c>
      <c r="C79" s="7" t="str">
        <f>_xlfn.XLOOKUP(Vendas[[#This Row],[ID Vendedor]],Vendedores[ID],Vendedores[Setor])</f>
        <v>CM</v>
      </c>
      <c r="D79" s="7" t="s">
        <v>34</v>
      </c>
      <c r="E79" t="str">
        <f>_xlfn.XLOOKUP(Vendas[[#This Row],[ID Item Vendido]],Agregado[ID],Agregado[Produto])</f>
        <v>Restos de madeira p/ MDP/OSB saco de 20kg</v>
      </c>
      <c r="F79" s="39">
        <v>43273</v>
      </c>
      <c r="G79" s="7">
        <v>26</v>
      </c>
      <c r="H79" s="3">
        <f>_xlfn.XLOOKUP(Vendas[[#This Row],[ID Item Vendido]],Agregado[ID],Agregado[Revenda])</f>
        <v>13.8</v>
      </c>
      <c r="I79" s="3">
        <f>Vendas[[#This Row],[Valor Unitário]]*Vendas[[#This Row],[Qnt Vendida]]</f>
        <v>358.8</v>
      </c>
      <c r="J79" s="3">
        <f>Vendas[[#This Row],[Valor da Venda]]-(_xlfn.XLOOKUP(Vendas[[#This Row],[ID Item Vendido]],Agregado[ID],Agregado[Custo])*Vendas[[#This Row],[Qnt Vendida]])</f>
        <v>46.800000000000011</v>
      </c>
      <c r="K79" s="70">
        <f>Vendas[[#This Row],[Lucro da Venda]]/Vendas[[#This Row],[Valor da Venda]]</f>
        <v>0.13043478260869568</v>
      </c>
      <c r="L79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79"/>
    </row>
    <row r="80" spans="1:13" x14ac:dyDescent="0.3">
      <c r="A80" s="7">
        <v>400243</v>
      </c>
      <c r="B80" t="str">
        <f>_xlfn.XLOOKUP(Vendas[[#This Row],[ID Vendedor]],Vendedores[ID],Vendedores[Nome])</f>
        <v>Marcelo</v>
      </c>
      <c r="C80" s="7" t="str">
        <f>_xlfn.XLOOKUP(Vendas[[#This Row],[ID Vendedor]],Vendedores[ID],Vendedores[Setor])</f>
        <v>FM</v>
      </c>
      <c r="D80" s="7" t="s">
        <v>6</v>
      </c>
      <c r="E80" t="str">
        <f>_xlfn.XLOOKUP(Vendas[[#This Row],[ID Item Vendido]],Agregado[ID],Agregado[Produto])</f>
        <v>Parafuso comum 500un</v>
      </c>
      <c r="F80" s="39">
        <v>43276</v>
      </c>
      <c r="G80" s="7">
        <v>13</v>
      </c>
      <c r="H80" s="3">
        <f>_xlfn.XLOOKUP(Vendas[[#This Row],[ID Item Vendido]],Agregado[ID],Agregado[Revenda])</f>
        <v>24.6</v>
      </c>
      <c r="I80" s="3">
        <f>Vendas[[#This Row],[Valor Unitário]]*Vendas[[#This Row],[Qnt Vendida]]</f>
        <v>319.8</v>
      </c>
      <c r="J80" s="3">
        <f>Vendas[[#This Row],[Valor da Venda]]-(_xlfn.XLOOKUP(Vendas[[#This Row],[ID Item Vendido]],Agregado[ID],Agregado[Custo])*Vendas[[#This Row],[Qnt Vendida]])</f>
        <v>33.800000000000011</v>
      </c>
      <c r="K80" s="70">
        <f>Vendas[[#This Row],[Lucro da Venda]]/Vendas[[#This Row],[Valor da Venda]]</f>
        <v>0.10569105691056914</v>
      </c>
      <c r="L80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80"/>
    </row>
    <row r="81" spans="1:13" x14ac:dyDescent="0.3">
      <c r="A81" s="7">
        <v>400249</v>
      </c>
      <c r="B81" t="str">
        <f>_xlfn.XLOOKUP(Vendas[[#This Row],[ID Vendedor]],Vendedores[ID],Vendedores[Nome])</f>
        <v>Bruno</v>
      </c>
      <c r="C81" s="7" t="str">
        <f>_xlfn.XLOOKUP(Vendas[[#This Row],[ID Vendedor]],Vendedores[ID],Vendedores[Setor])</f>
        <v>CM</v>
      </c>
      <c r="D81" s="7" t="s">
        <v>32</v>
      </c>
      <c r="E81" t="str">
        <f>_xlfn.XLOOKUP(Vendas[[#This Row],[ID Item Vendido]],Agregado[ID],Agregado[Produto])</f>
        <v>Tábua tratada e cortada 3m</v>
      </c>
      <c r="F81" s="39">
        <v>43277</v>
      </c>
      <c r="G81" s="7">
        <v>15</v>
      </c>
      <c r="H81" s="3">
        <f>_xlfn.XLOOKUP(Vendas[[#This Row],[ID Item Vendido]],Agregado[ID],Agregado[Revenda])</f>
        <v>39</v>
      </c>
      <c r="I81" s="3">
        <f>Vendas[[#This Row],[Valor Unitário]]*Vendas[[#This Row],[Qnt Vendida]]</f>
        <v>585</v>
      </c>
      <c r="J81" s="3">
        <f>Vendas[[#This Row],[Valor da Venda]]-(_xlfn.XLOOKUP(Vendas[[#This Row],[ID Item Vendido]],Agregado[ID],Agregado[Custo])*Vendas[[#This Row],[Qnt Vendida]])</f>
        <v>105</v>
      </c>
      <c r="K81" s="70">
        <f>Vendas[[#This Row],[Lucro da Venda]]/Vendas[[#This Row],[Valor da Venda]]</f>
        <v>0.17948717948717949</v>
      </c>
      <c r="L81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81"/>
    </row>
    <row r="82" spans="1:13" x14ac:dyDescent="0.3">
      <c r="A82" s="7">
        <v>400255</v>
      </c>
      <c r="B82" t="str">
        <f>_xlfn.XLOOKUP(Vendas[[#This Row],[ID Vendedor]],Vendedores[ID],Vendedores[Nome])</f>
        <v>Carlos</v>
      </c>
      <c r="C82" s="7" t="str">
        <f>_xlfn.XLOOKUP(Vendas[[#This Row],[ID Vendedor]],Vendedores[ID],Vendedores[Setor])</f>
        <v>SC</v>
      </c>
      <c r="D82" s="7" t="s">
        <v>25</v>
      </c>
      <c r="E82" t="str">
        <f>_xlfn.XLOOKUP(Vendas[[#This Row],[ID Item Vendido]],Agregado[ID],Agregado[Produto])</f>
        <v>Palete de plástico</v>
      </c>
      <c r="F82" s="39">
        <v>43277</v>
      </c>
      <c r="G82" s="7">
        <v>4</v>
      </c>
      <c r="H82" s="3">
        <f>_xlfn.XLOOKUP(Vendas[[#This Row],[ID Item Vendido]],Agregado[ID],Agregado[Revenda])</f>
        <v>70.8</v>
      </c>
      <c r="I82" s="3">
        <f>Vendas[[#This Row],[Valor Unitário]]*Vendas[[#This Row],[Qnt Vendida]]</f>
        <v>283.2</v>
      </c>
      <c r="J82" s="3">
        <f>Vendas[[#This Row],[Valor da Venda]]-(_xlfn.XLOOKUP(Vendas[[#This Row],[ID Item Vendido]],Agregado[ID],Agregado[Custo])*Vendas[[#This Row],[Qnt Vendida]])</f>
        <v>43.199999999999989</v>
      </c>
      <c r="K82" s="70">
        <f>Vendas[[#This Row],[Lucro da Venda]]/Vendas[[#This Row],[Valor da Venda]]</f>
        <v>0.15254237288135589</v>
      </c>
      <c r="L82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82"/>
    </row>
    <row r="83" spans="1:13" x14ac:dyDescent="0.3">
      <c r="A83" s="7">
        <v>400255</v>
      </c>
      <c r="B83" t="str">
        <f>_xlfn.XLOOKUP(Vendas[[#This Row],[ID Vendedor]],Vendedores[ID],Vendedores[Nome])</f>
        <v>Carlos</v>
      </c>
      <c r="C83" s="7" t="str">
        <f>_xlfn.XLOOKUP(Vendas[[#This Row],[ID Vendedor]],Vendedores[ID],Vendedores[Setor])</f>
        <v>SC</v>
      </c>
      <c r="D83" s="7" t="s">
        <v>48</v>
      </c>
      <c r="E83" t="str">
        <f>_xlfn.XLOOKUP(Vendas[[#This Row],[ID Item Vendido]],Agregado[ID],Agregado[Produto])</f>
        <v>Tambor metálico 200L</v>
      </c>
      <c r="F83" s="39">
        <v>43280</v>
      </c>
      <c r="G83" s="7">
        <v>16</v>
      </c>
      <c r="H83" s="3">
        <f>_xlfn.XLOOKUP(Vendas[[#This Row],[ID Item Vendido]],Agregado[ID],Agregado[Revenda])</f>
        <v>144</v>
      </c>
      <c r="I83" s="3">
        <f>Vendas[[#This Row],[Valor Unitário]]*Vendas[[#This Row],[Qnt Vendida]]</f>
        <v>2304</v>
      </c>
      <c r="J83" s="3">
        <f>Vendas[[#This Row],[Valor da Venda]]-(_xlfn.XLOOKUP(Vendas[[#This Row],[ID Item Vendido]],Agregado[ID],Agregado[Custo])*Vendas[[#This Row],[Qnt Vendida]])</f>
        <v>384</v>
      </c>
      <c r="K83" s="70">
        <f>Vendas[[#This Row],[Lucro da Venda]]/Vendas[[#This Row],[Valor da Venda]]</f>
        <v>0.16666666666666666</v>
      </c>
      <c r="L83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83"/>
    </row>
    <row r="84" spans="1:13" x14ac:dyDescent="0.3">
      <c r="A84" s="7">
        <v>400255</v>
      </c>
      <c r="B84" t="str">
        <f>_xlfn.XLOOKUP(Vendas[[#This Row],[ID Vendedor]],Vendedores[ID],Vendedores[Nome])</f>
        <v>Carlos</v>
      </c>
      <c r="C84" s="7" t="str">
        <f>_xlfn.XLOOKUP(Vendas[[#This Row],[ID Vendedor]],Vendedores[ID],Vendedores[Setor])</f>
        <v>SC</v>
      </c>
      <c r="D84" s="7" t="s">
        <v>42</v>
      </c>
      <c r="E84" t="str">
        <f>_xlfn.XLOOKUP(Vendas[[#This Row],[ID Item Vendido]],Agregado[ID],Agregado[Produto])</f>
        <v>Container de ferro industrial</v>
      </c>
      <c r="F84" s="39">
        <v>43280</v>
      </c>
      <c r="G84" s="7">
        <v>1</v>
      </c>
      <c r="H84" s="3">
        <f>_xlfn.XLOOKUP(Vendas[[#This Row],[ID Item Vendido]],Agregado[ID],Agregado[Revenda])</f>
        <v>830</v>
      </c>
      <c r="I84" s="3">
        <f>Vendas[[#This Row],[Valor Unitário]]*Vendas[[#This Row],[Qnt Vendida]]</f>
        <v>830</v>
      </c>
      <c r="J84" s="3">
        <f>Vendas[[#This Row],[Valor da Venda]]-(_xlfn.XLOOKUP(Vendas[[#This Row],[ID Item Vendido]],Agregado[ID],Agregado[Custo])*Vendas[[#This Row],[Qnt Vendida]])</f>
        <v>150</v>
      </c>
      <c r="K84" s="70">
        <f>Vendas[[#This Row],[Lucro da Venda]]/Vendas[[#This Row],[Valor da Venda]]</f>
        <v>0.18072289156626506</v>
      </c>
      <c r="L8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84"/>
    </row>
    <row r="85" spans="1:13" x14ac:dyDescent="0.3">
      <c r="A85" s="7">
        <v>400249</v>
      </c>
      <c r="B85" t="str">
        <f>_xlfn.XLOOKUP(Vendas[[#This Row],[ID Vendedor]],Vendedores[ID],Vendedores[Nome])</f>
        <v>Bruno</v>
      </c>
      <c r="C85" s="7" t="str">
        <f>_xlfn.XLOOKUP(Vendas[[#This Row],[ID Vendedor]],Vendedores[ID],Vendedores[Setor])</f>
        <v>CM</v>
      </c>
      <c r="D85" s="7" t="s">
        <v>43</v>
      </c>
      <c r="E85" t="str">
        <f>_xlfn.XLOOKUP(Vendas[[#This Row],[ID Item Vendido]],Agregado[ID],Agregado[Produto])</f>
        <v>Madeira Bruta (Tora)</v>
      </c>
      <c r="F85" s="39">
        <v>43281</v>
      </c>
      <c r="G85" s="7">
        <v>14</v>
      </c>
      <c r="H85" s="3">
        <f>_xlfn.XLOOKUP(Vendas[[#This Row],[ID Item Vendido]],Agregado[ID],Agregado[Revenda])</f>
        <v>212</v>
      </c>
      <c r="I85" s="3">
        <f>Vendas[[#This Row],[Valor Unitário]]*Vendas[[#This Row],[Qnt Vendida]]</f>
        <v>2968</v>
      </c>
      <c r="J85" s="3">
        <f>Vendas[[#This Row],[Valor da Venda]]-(_xlfn.XLOOKUP(Vendas[[#This Row],[ID Item Vendido]],Agregado[ID],Agregado[Custo])*Vendas[[#This Row],[Qnt Vendida]])</f>
        <v>448</v>
      </c>
      <c r="K85" s="70">
        <f>Vendas[[#This Row],[Lucro da Venda]]/Vendas[[#This Row],[Valor da Venda]]</f>
        <v>0.15094339622641509</v>
      </c>
      <c r="L85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85"/>
    </row>
    <row r="86" spans="1:13" x14ac:dyDescent="0.3">
      <c r="A86" s="7">
        <v>400243</v>
      </c>
      <c r="B86" t="str">
        <f>_xlfn.XLOOKUP(Vendas[[#This Row],[ID Vendedor]],Vendedores[ID],Vendedores[Nome])</f>
        <v>Marcelo</v>
      </c>
      <c r="C86" s="7" t="str">
        <f>_xlfn.XLOOKUP(Vendas[[#This Row],[ID Vendedor]],Vendedores[ID],Vendedores[Setor])</f>
        <v>FM</v>
      </c>
      <c r="D86" s="7" t="s">
        <v>47</v>
      </c>
      <c r="E86" t="str">
        <f>_xlfn.XLOOKUP(Vendas[[#This Row],[ID Item Vendido]],Agregado[ID],Agregado[Produto])</f>
        <v>Fio de arame galvanizado rolo 50m</v>
      </c>
      <c r="F86" s="39">
        <v>43283</v>
      </c>
      <c r="G86" s="7">
        <v>4</v>
      </c>
      <c r="H86" s="3">
        <f>_xlfn.XLOOKUP(Vendas[[#This Row],[ID Item Vendido]],Agregado[ID],Agregado[Revenda])</f>
        <v>21.2</v>
      </c>
      <c r="I86" s="3">
        <f>Vendas[[#This Row],[Valor Unitário]]*Vendas[[#This Row],[Qnt Vendida]]</f>
        <v>84.8</v>
      </c>
      <c r="J86" s="3">
        <f>Vendas[[#This Row],[Valor da Venda]]-(_xlfn.XLOOKUP(Vendas[[#This Row],[ID Item Vendido]],Agregado[ID],Agregado[Custo])*Vendas[[#This Row],[Qnt Vendida]])</f>
        <v>12.799999999999997</v>
      </c>
      <c r="K86" s="70">
        <f>Vendas[[#This Row],[Lucro da Venda]]/Vendas[[#This Row],[Valor da Venda]]</f>
        <v>0.15094339622641506</v>
      </c>
      <c r="L86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86"/>
    </row>
    <row r="87" spans="1:13" x14ac:dyDescent="0.3">
      <c r="A87" s="7">
        <v>400255</v>
      </c>
      <c r="B87" t="str">
        <f>_xlfn.XLOOKUP(Vendas[[#This Row],[ID Vendedor]],Vendedores[ID],Vendedores[Nome])</f>
        <v>Carlos</v>
      </c>
      <c r="C87" s="7" t="str">
        <f>_xlfn.XLOOKUP(Vendas[[#This Row],[ID Vendedor]],Vendedores[ID],Vendedores[Setor])</f>
        <v>SC</v>
      </c>
      <c r="D87" s="7" t="s">
        <v>48</v>
      </c>
      <c r="E87" t="str">
        <f>_xlfn.XLOOKUP(Vendas[[#This Row],[ID Item Vendido]],Agregado[ID],Agregado[Produto])</f>
        <v>Tambor metálico 200L</v>
      </c>
      <c r="F87" s="39">
        <v>43285</v>
      </c>
      <c r="G87" s="7">
        <v>2</v>
      </c>
      <c r="H87" s="3">
        <f>_xlfn.XLOOKUP(Vendas[[#This Row],[ID Item Vendido]],Agregado[ID],Agregado[Revenda])</f>
        <v>144</v>
      </c>
      <c r="I87" s="3">
        <f>Vendas[[#This Row],[Valor Unitário]]*Vendas[[#This Row],[Qnt Vendida]]</f>
        <v>288</v>
      </c>
      <c r="J87" s="3">
        <f>Vendas[[#This Row],[Valor da Venda]]-(_xlfn.XLOOKUP(Vendas[[#This Row],[ID Item Vendido]],Agregado[ID],Agregado[Custo])*Vendas[[#This Row],[Qnt Vendida]])</f>
        <v>48</v>
      </c>
      <c r="K87" s="70">
        <f>Vendas[[#This Row],[Lucro da Venda]]/Vendas[[#This Row],[Valor da Venda]]</f>
        <v>0.16666666666666666</v>
      </c>
      <c r="L87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87"/>
    </row>
    <row r="88" spans="1:13" x14ac:dyDescent="0.3">
      <c r="A88" s="7">
        <v>400255</v>
      </c>
      <c r="B88" t="str">
        <f>_xlfn.XLOOKUP(Vendas[[#This Row],[ID Vendedor]],Vendedores[ID],Vendedores[Nome])</f>
        <v>Carlos</v>
      </c>
      <c r="C88" s="7" t="str">
        <f>_xlfn.XLOOKUP(Vendas[[#This Row],[ID Vendedor]],Vendedores[ID],Vendedores[Setor])</f>
        <v>SC</v>
      </c>
      <c r="D88" s="7" t="s">
        <v>41</v>
      </c>
      <c r="E88" t="str">
        <f>_xlfn.XLOOKUP(Vendas[[#This Row],[ID Item Vendido]],Agregado[ID],Agregado[Produto])</f>
        <v>Palete de madeira reforçado</v>
      </c>
      <c r="F88" s="39">
        <v>43287</v>
      </c>
      <c r="G88" s="7">
        <v>1</v>
      </c>
      <c r="H88" s="3">
        <f>_xlfn.XLOOKUP(Vendas[[#This Row],[ID Item Vendido]],Agregado[ID],Agregado[Revenda])</f>
        <v>131</v>
      </c>
      <c r="I88" s="3">
        <f>Vendas[[#This Row],[Valor Unitário]]*Vendas[[#This Row],[Qnt Vendida]]</f>
        <v>131</v>
      </c>
      <c r="J88" s="3">
        <f>Vendas[[#This Row],[Valor da Venda]]-(_xlfn.XLOOKUP(Vendas[[#This Row],[ID Item Vendido]],Agregado[ID],Agregado[Custo])*Vendas[[#This Row],[Qnt Vendida]])</f>
        <v>21</v>
      </c>
      <c r="K88" s="70">
        <f>Vendas[[#This Row],[Lucro da Venda]]/Vendas[[#This Row],[Valor da Venda]]</f>
        <v>0.16030534351145037</v>
      </c>
      <c r="L88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88"/>
    </row>
    <row r="89" spans="1:13" x14ac:dyDescent="0.3">
      <c r="A89" s="7">
        <v>400255</v>
      </c>
      <c r="B89" t="str">
        <f>_xlfn.XLOOKUP(Vendas[[#This Row],[ID Vendedor]],Vendedores[ID],Vendedores[Nome])</f>
        <v>Carlos</v>
      </c>
      <c r="C89" s="7" t="str">
        <f>_xlfn.XLOOKUP(Vendas[[#This Row],[ID Vendedor]],Vendedores[ID],Vendedores[Setor])</f>
        <v>SC</v>
      </c>
      <c r="D89" s="7" t="s">
        <v>42</v>
      </c>
      <c r="E89" t="str">
        <f>_xlfn.XLOOKUP(Vendas[[#This Row],[ID Item Vendido]],Agregado[ID],Agregado[Produto])</f>
        <v>Container de ferro industrial</v>
      </c>
      <c r="F89" s="39">
        <v>43291</v>
      </c>
      <c r="G89" s="7">
        <v>1</v>
      </c>
      <c r="H89" s="3">
        <f>_xlfn.XLOOKUP(Vendas[[#This Row],[ID Item Vendido]],Agregado[ID],Agregado[Revenda])</f>
        <v>830</v>
      </c>
      <c r="I89" s="3">
        <f>Vendas[[#This Row],[Valor Unitário]]*Vendas[[#This Row],[Qnt Vendida]]</f>
        <v>830</v>
      </c>
      <c r="J89" s="3">
        <f>Vendas[[#This Row],[Valor da Venda]]-(_xlfn.XLOOKUP(Vendas[[#This Row],[ID Item Vendido]],Agregado[ID],Agregado[Custo])*Vendas[[#This Row],[Qnt Vendida]])</f>
        <v>150</v>
      </c>
      <c r="K89" s="70">
        <f>Vendas[[#This Row],[Lucro da Venda]]/Vendas[[#This Row],[Valor da Venda]]</f>
        <v>0.18072289156626506</v>
      </c>
      <c r="L8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89"/>
    </row>
    <row r="90" spans="1:13" x14ac:dyDescent="0.3">
      <c r="A90" s="7">
        <v>400243</v>
      </c>
      <c r="B90" t="str">
        <f>_xlfn.XLOOKUP(Vendas[[#This Row],[ID Vendedor]],Vendedores[ID],Vendedores[Nome])</f>
        <v>Marcelo</v>
      </c>
      <c r="C90" s="7" t="str">
        <f>_xlfn.XLOOKUP(Vendas[[#This Row],[ID Vendedor]],Vendedores[ID],Vendedores[Setor])</f>
        <v>FM</v>
      </c>
      <c r="D90" s="7" t="s">
        <v>20</v>
      </c>
      <c r="E90" t="str">
        <f>_xlfn.XLOOKUP(Vendas[[#This Row],[ID Item Vendido]],Agregado[ID],Agregado[Produto])</f>
        <v>Barra de aço simples</v>
      </c>
      <c r="F90" s="39">
        <v>43299</v>
      </c>
      <c r="G90" s="7">
        <v>162</v>
      </c>
      <c r="H90" s="3">
        <f>_xlfn.XLOOKUP(Vendas[[#This Row],[ID Item Vendido]],Agregado[ID],Agregado[Revenda])</f>
        <v>4.8</v>
      </c>
      <c r="I90" s="3">
        <f>Vendas[[#This Row],[Valor Unitário]]*Vendas[[#This Row],[Qnt Vendida]]</f>
        <v>777.6</v>
      </c>
      <c r="J90" s="3">
        <f>Vendas[[#This Row],[Valor da Venda]]-(_xlfn.XLOOKUP(Vendas[[#This Row],[ID Item Vendido]],Agregado[ID],Agregado[Custo])*Vendas[[#This Row],[Qnt Vendida]])</f>
        <v>97.200000000000045</v>
      </c>
      <c r="K90" s="70">
        <f>Vendas[[#This Row],[Lucro da Venda]]/Vendas[[#This Row],[Valor da Venda]]</f>
        <v>0.12500000000000006</v>
      </c>
      <c r="L90" s="3">
        <f>_xlfn.IFS(Vendas[[#This Row],[Margem de Lucro (%)]]&lt;15%,Vendas[[#This Row],[Valor da Venda]]*3%,Vendas[[#This Row],[Margem de Lucro (%)]]&lt;=20%,Vendas[[#This Row],[Valor da Venda]]*4.5%,TRUE,Vendas[[#This Row],[Valor da Venda]]*6%)</f>
        <v>23.327999999999999</v>
      </c>
      <c r="M90"/>
    </row>
    <row r="91" spans="1:13" x14ac:dyDescent="0.3">
      <c r="A91" s="7">
        <v>400249</v>
      </c>
      <c r="B91" t="str">
        <f>_xlfn.XLOOKUP(Vendas[[#This Row],[ID Vendedor]],Vendedores[ID],Vendedores[Nome])</f>
        <v>Bruno</v>
      </c>
      <c r="C91" s="7" t="str">
        <f>_xlfn.XLOOKUP(Vendas[[#This Row],[ID Vendedor]],Vendedores[ID],Vendedores[Setor])</f>
        <v>CM</v>
      </c>
      <c r="D91" s="7" t="s">
        <v>32</v>
      </c>
      <c r="E91" t="str">
        <f>_xlfn.XLOOKUP(Vendas[[#This Row],[ID Item Vendido]],Agregado[ID],Agregado[Produto])</f>
        <v>Tábua tratada e cortada 3m</v>
      </c>
      <c r="F91" s="39">
        <v>43301</v>
      </c>
      <c r="G91" s="7">
        <v>49</v>
      </c>
      <c r="H91" s="3">
        <f>_xlfn.XLOOKUP(Vendas[[#This Row],[ID Item Vendido]],Agregado[ID],Agregado[Revenda])</f>
        <v>39</v>
      </c>
      <c r="I91" s="3">
        <f>Vendas[[#This Row],[Valor Unitário]]*Vendas[[#This Row],[Qnt Vendida]]</f>
        <v>1911</v>
      </c>
      <c r="J91" s="3">
        <f>Vendas[[#This Row],[Valor da Venda]]-(_xlfn.XLOOKUP(Vendas[[#This Row],[ID Item Vendido]],Agregado[ID],Agregado[Custo])*Vendas[[#This Row],[Qnt Vendida]])</f>
        <v>343</v>
      </c>
      <c r="K91" s="70">
        <f>Vendas[[#This Row],[Lucro da Venda]]/Vendas[[#This Row],[Valor da Venda]]</f>
        <v>0.17948717948717949</v>
      </c>
      <c r="L91" s="3">
        <f>_xlfn.IFS(Vendas[[#This Row],[Margem de Lucro (%)]]&lt;15%,Vendas[[#This Row],[Valor da Venda]]*3%,Vendas[[#This Row],[Margem de Lucro (%)]]&lt;=20%,Vendas[[#This Row],[Valor da Venda]]*4.5%,TRUE,Vendas[[#This Row],[Valor da Venda]]*6%)</f>
        <v>85.99499999999999</v>
      </c>
      <c r="M91"/>
    </row>
    <row r="92" spans="1:13" x14ac:dyDescent="0.3">
      <c r="A92" s="7">
        <v>400243</v>
      </c>
      <c r="B92" t="str">
        <f>_xlfn.XLOOKUP(Vendas[[#This Row],[ID Vendedor]],Vendedores[ID],Vendedores[Nome])</f>
        <v>Marcelo</v>
      </c>
      <c r="C92" s="7" t="str">
        <f>_xlfn.XLOOKUP(Vendas[[#This Row],[ID Vendedor]],Vendedores[ID],Vendedores[Setor])</f>
        <v>FM</v>
      </c>
      <c r="D92" s="7" t="s">
        <v>47</v>
      </c>
      <c r="E92" t="str">
        <f>_xlfn.XLOOKUP(Vendas[[#This Row],[ID Item Vendido]],Agregado[ID],Agregado[Produto])</f>
        <v>Fio de arame galvanizado rolo 50m</v>
      </c>
      <c r="F92" s="39">
        <v>43307</v>
      </c>
      <c r="G92" s="7">
        <v>9</v>
      </c>
      <c r="H92" s="3">
        <f>_xlfn.XLOOKUP(Vendas[[#This Row],[ID Item Vendido]],Agregado[ID],Agregado[Revenda])</f>
        <v>21.2</v>
      </c>
      <c r="I92" s="3">
        <f>Vendas[[#This Row],[Valor Unitário]]*Vendas[[#This Row],[Qnt Vendida]]</f>
        <v>190.79999999999998</v>
      </c>
      <c r="J92" s="3">
        <f>Vendas[[#This Row],[Valor da Venda]]-(_xlfn.XLOOKUP(Vendas[[#This Row],[ID Item Vendido]],Agregado[ID],Agregado[Custo])*Vendas[[#This Row],[Qnt Vendida]])</f>
        <v>28.799999999999983</v>
      </c>
      <c r="K92" s="70">
        <f>Vendas[[#This Row],[Lucro da Venda]]/Vendas[[#This Row],[Valor da Venda]]</f>
        <v>0.15094339622641501</v>
      </c>
      <c r="L92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92"/>
    </row>
    <row r="93" spans="1:13" x14ac:dyDescent="0.3">
      <c r="A93" s="7">
        <v>400243</v>
      </c>
      <c r="B93" t="str">
        <f>_xlfn.XLOOKUP(Vendas[[#This Row],[ID Vendedor]],Vendedores[ID],Vendedores[Nome])</f>
        <v>Marcelo</v>
      </c>
      <c r="C93" s="7" t="str">
        <f>_xlfn.XLOOKUP(Vendas[[#This Row],[ID Vendedor]],Vendedores[ID],Vendedores[Setor])</f>
        <v>FM</v>
      </c>
      <c r="D93" s="7" t="s">
        <v>31</v>
      </c>
      <c r="E93" t="str">
        <f>_xlfn.XLOOKUP(Vendas[[#This Row],[ID Item Vendido]],Agregado[ID],Agregado[Produto])</f>
        <v>Tela de metal soldada rolo 2x25m</v>
      </c>
      <c r="F93" s="39">
        <v>43316</v>
      </c>
      <c r="G93" s="7">
        <v>4</v>
      </c>
      <c r="H93" s="3">
        <f>_xlfn.XLOOKUP(Vendas[[#This Row],[ID Item Vendido]],Agregado[ID],Agregado[Revenda])</f>
        <v>43.7</v>
      </c>
      <c r="I93" s="3">
        <f>Vendas[[#This Row],[Valor Unitário]]*Vendas[[#This Row],[Qnt Vendida]]</f>
        <v>174.8</v>
      </c>
      <c r="J93" s="3">
        <f>Vendas[[#This Row],[Valor da Venda]]-(_xlfn.XLOOKUP(Vendas[[#This Row],[ID Item Vendido]],Agregado[ID],Agregado[Custo])*Vendas[[#This Row],[Qnt Vendida]])</f>
        <v>22.800000000000011</v>
      </c>
      <c r="K93" s="70">
        <f>Vendas[[#This Row],[Lucro da Venda]]/Vendas[[#This Row],[Valor da Venda]]</f>
        <v>0.1304347826086957</v>
      </c>
      <c r="L93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93"/>
    </row>
    <row r="94" spans="1:13" x14ac:dyDescent="0.3">
      <c r="A94" s="7">
        <v>400243</v>
      </c>
      <c r="B94" t="str">
        <f>_xlfn.XLOOKUP(Vendas[[#This Row],[ID Vendedor]],Vendedores[ID],Vendedores[Nome])</f>
        <v>Marcelo</v>
      </c>
      <c r="C94" s="7" t="str">
        <f>_xlfn.XLOOKUP(Vendas[[#This Row],[ID Vendedor]],Vendedores[ID],Vendedores[Setor])</f>
        <v>FM</v>
      </c>
      <c r="D94" s="7" t="s">
        <v>47</v>
      </c>
      <c r="E94" t="str">
        <f>_xlfn.XLOOKUP(Vendas[[#This Row],[ID Item Vendido]],Agregado[ID],Agregado[Produto])</f>
        <v>Fio de arame galvanizado rolo 50m</v>
      </c>
      <c r="F94" s="39">
        <v>43316</v>
      </c>
      <c r="G94" s="7">
        <v>6</v>
      </c>
      <c r="H94" s="3">
        <f>_xlfn.XLOOKUP(Vendas[[#This Row],[ID Item Vendido]],Agregado[ID],Agregado[Revenda])</f>
        <v>21.2</v>
      </c>
      <c r="I94" s="3">
        <f>Vendas[[#This Row],[Valor Unitário]]*Vendas[[#This Row],[Qnt Vendida]]</f>
        <v>127.19999999999999</v>
      </c>
      <c r="J94" s="3">
        <f>Vendas[[#This Row],[Valor da Venda]]-(_xlfn.XLOOKUP(Vendas[[#This Row],[ID Item Vendido]],Agregado[ID],Agregado[Custo])*Vendas[[#This Row],[Qnt Vendida]])</f>
        <v>19.199999999999989</v>
      </c>
      <c r="K94" s="70">
        <f>Vendas[[#This Row],[Lucro da Venda]]/Vendas[[#This Row],[Valor da Venda]]</f>
        <v>0.15094339622641501</v>
      </c>
      <c r="L94" s="3">
        <f>_xlfn.IFS(Vendas[[#This Row],[Margem de Lucro (%)]]&lt;15%,Vendas[[#This Row],[Valor da Venda]]*3%,Vendas[[#This Row],[Margem de Lucro (%)]]&lt;=20%,Vendas[[#This Row],[Valor da Venda]]*4.5%,TRUE,Vendas[[#This Row],[Valor da Venda]]*6%)</f>
        <v>5.7239999999999993</v>
      </c>
      <c r="M94"/>
    </row>
    <row r="95" spans="1:13" x14ac:dyDescent="0.3">
      <c r="A95" s="7">
        <v>400249</v>
      </c>
      <c r="B95" t="str">
        <f>_xlfn.XLOOKUP(Vendas[[#This Row],[ID Vendedor]],Vendedores[ID],Vendedores[Nome])</f>
        <v>Bruno</v>
      </c>
      <c r="C95" s="7" t="str">
        <f>_xlfn.XLOOKUP(Vendas[[#This Row],[ID Vendedor]],Vendedores[ID],Vendedores[Setor])</f>
        <v>CM</v>
      </c>
      <c r="D95" s="7" t="s">
        <v>34</v>
      </c>
      <c r="E95" t="str">
        <f>_xlfn.XLOOKUP(Vendas[[#This Row],[ID Item Vendido]],Agregado[ID],Agregado[Produto])</f>
        <v>Restos de madeira p/ MDP/OSB saco de 20kg</v>
      </c>
      <c r="F95" s="39">
        <v>43319</v>
      </c>
      <c r="G95" s="7">
        <v>11</v>
      </c>
      <c r="H95" s="3">
        <f>_xlfn.XLOOKUP(Vendas[[#This Row],[ID Item Vendido]],Agregado[ID],Agregado[Revenda])</f>
        <v>13.8</v>
      </c>
      <c r="I95" s="3">
        <f>Vendas[[#This Row],[Valor Unitário]]*Vendas[[#This Row],[Qnt Vendida]]</f>
        <v>151.80000000000001</v>
      </c>
      <c r="J95" s="3">
        <f>Vendas[[#This Row],[Valor da Venda]]-(_xlfn.XLOOKUP(Vendas[[#This Row],[ID Item Vendido]],Agregado[ID],Agregado[Custo])*Vendas[[#This Row],[Qnt Vendida]])</f>
        <v>19.800000000000011</v>
      </c>
      <c r="K95" s="70">
        <f>Vendas[[#This Row],[Lucro da Venda]]/Vendas[[#This Row],[Valor da Venda]]</f>
        <v>0.1304347826086957</v>
      </c>
      <c r="L95" s="3">
        <f>_xlfn.IFS(Vendas[[#This Row],[Margem de Lucro (%)]]&lt;15%,Vendas[[#This Row],[Valor da Venda]]*3%,Vendas[[#This Row],[Margem de Lucro (%)]]&lt;=20%,Vendas[[#This Row],[Valor da Venda]]*4.5%,TRUE,Vendas[[#This Row],[Valor da Venda]]*6%)</f>
        <v>4.5540000000000003</v>
      </c>
      <c r="M95"/>
    </row>
    <row r="96" spans="1:13" x14ac:dyDescent="0.3">
      <c r="A96" s="7">
        <v>400243</v>
      </c>
      <c r="B96" t="str">
        <f>_xlfn.XLOOKUP(Vendas[[#This Row],[ID Vendedor]],Vendedores[ID],Vendedores[Nome])</f>
        <v>Marcelo</v>
      </c>
      <c r="C96" s="7" t="str">
        <f>_xlfn.XLOOKUP(Vendas[[#This Row],[ID Vendedor]],Vendedores[ID],Vendedores[Setor])</f>
        <v>FM</v>
      </c>
      <c r="D96" s="7" t="s">
        <v>31</v>
      </c>
      <c r="E96" t="str">
        <f>_xlfn.XLOOKUP(Vendas[[#This Row],[ID Item Vendido]],Agregado[ID],Agregado[Produto])</f>
        <v>Tela de metal soldada rolo 2x25m</v>
      </c>
      <c r="F96" s="39">
        <v>43322</v>
      </c>
      <c r="G96" s="7">
        <v>7</v>
      </c>
      <c r="H96" s="3">
        <f>_xlfn.XLOOKUP(Vendas[[#This Row],[ID Item Vendido]],Agregado[ID],Agregado[Revenda])</f>
        <v>43.7</v>
      </c>
      <c r="I96" s="3">
        <f>Vendas[[#This Row],[Valor Unitário]]*Vendas[[#This Row],[Qnt Vendida]]</f>
        <v>305.90000000000003</v>
      </c>
      <c r="J96" s="3">
        <f>Vendas[[#This Row],[Valor da Venda]]-(_xlfn.XLOOKUP(Vendas[[#This Row],[ID Item Vendido]],Agregado[ID],Agregado[Custo])*Vendas[[#This Row],[Qnt Vendida]])</f>
        <v>39.900000000000034</v>
      </c>
      <c r="K96" s="70">
        <f>Vendas[[#This Row],[Lucro da Venda]]/Vendas[[#This Row],[Valor da Venda]]</f>
        <v>0.13043478260869576</v>
      </c>
      <c r="L96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96"/>
    </row>
    <row r="97" spans="1:13" x14ac:dyDescent="0.3">
      <c r="A97" s="7">
        <v>400243</v>
      </c>
      <c r="B97" t="str">
        <f>_xlfn.XLOOKUP(Vendas[[#This Row],[ID Vendedor]],Vendedores[ID],Vendedores[Nome])</f>
        <v>Marcelo</v>
      </c>
      <c r="C97" s="7" t="str">
        <f>_xlfn.XLOOKUP(Vendas[[#This Row],[ID Vendedor]],Vendedores[ID],Vendedores[Setor])</f>
        <v>FM</v>
      </c>
      <c r="D97" s="7" t="s">
        <v>47</v>
      </c>
      <c r="E97" t="str">
        <f>_xlfn.XLOOKUP(Vendas[[#This Row],[ID Item Vendido]],Agregado[ID],Agregado[Produto])</f>
        <v>Fio de arame galvanizado rolo 50m</v>
      </c>
      <c r="F97" s="39">
        <v>43323</v>
      </c>
      <c r="G97" s="7">
        <v>6</v>
      </c>
      <c r="H97" s="3">
        <f>_xlfn.XLOOKUP(Vendas[[#This Row],[ID Item Vendido]],Agregado[ID],Agregado[Revenda])</f>
        <v>21.2</v>
      </c>
      <c r="I97" s="3">
        <f>Vendas[[#This Row],[Valor Unitário]]*Vendas[[#This Row],[Qnt Vendida]]</f>
        <v>127.19999999999999</v>
      </c>
      <c r="J97" s="3">
        <f>Vendas[[#This Row],[Valor da Venda]]-(_xlfn.XLOOKUP(Vendas[[#This Row],[ID Item Vendido]],Agregado[ID],Agregado[Custo])*Vendas[[#This Row],[Qnt Vendida]])</f>
        <v>19.199999999999989</v>
      </c>
      <c r="K97" s="70">
        <f>Vendas[[#This Row],[Lucro da Venda]]/Vendas[[#This Row],[Valor da Venda]]</f>
        <v>0.15094339622641501</v>
      </c>
      <c r="L97" s="3">
        <f>_xlfn.IFS(Vendas[[#This Row],[Margem de Lucro (%)]]&lt;15%,Vendas[[#This Row],[Valor da Venda]]*3%,Vendas[[#This Row],[Margem de Lucro (%)]]&lt;=20%,Vendas[[#This Row],[Valor da Venda]]*4.5%,TRUE,Vendas[[#This Row],[Valor da Venda]]*6%)</f>
        <v>5.7239999999999993</v>
      </c>
      <c r="M97"/>
    </row>
    <row r="98" spans="1:13" x14ac:dyDescent="0.3">
      <c r="A98" s="7">
        <v>400243</v>
      </c>
      <c r="B98" t="str">
        <f>_xlfn.XLOOKUP(Vendas[[#This Row],[ID Vendedor]],Vendedores[ID],Vendedores[Nome])</f>
        <v>Marcelo</v>
      </c>
      <c r="C98" s="7" t="str">
        <f>_xlfn.XLOOKUP(Vendas[[#This Row],[ID Vendedor]],Vendedores[ID],Vendedores[Setor])</f>
        <v>FM</v>
      </c>
      <c r="D98" s="7" t="s">
        <v>47</v>
      </c>
      <c r="E98" t="str">
        <f>_xlfn.XLOOKUP(Vendas[[#This Row],[ID Item Vendido]],Agregado[ID],Agregado[Produto])</f>
        <v>Fio de arame galvanizado rolo 50m</v>
      </c>
      <c r="F98" s="39">
        <v>43331</v>
      </c>
      <c r="G98" s="7">
        <v>20</v>
      </c>
      <c r="H98" s="3">
        <f>_xlfn.XLOOKUP(Vendas[[#This Row],[ID Item Vendido]],Agregado[ID],Agregado[Revenda])</f>
        <v>21.2</v>
      </c>
      <c r="I98" s="3">
        <f>Vendas[[#This Row],[Valor Unitário]]*Vendas[[#This Row],[Qnt Vendida]]</f>
        <v>424</v>
      </c>
      <c r="J98" s="3">
        <f>Vendas[[#This Row],[Valor da Venda]]-(_xlfn.XLOOKUP(Vendas[[#This Row],[ID Item Vendido]],Agregado[ID],Agregado[Custo])*Vendas[[#This Row],[Qnt Vendida]])</f>
        <v>64</v>
      </c>
      <c r="K98" s="70">
        <f>Vendas[[#This Row],[Lucro da Venda]]/Vendas[[#This Row],[Valor da Venda]]</f>
        <v>0.15094339622641509</v>
      </c>
      <c r="L98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98"/>
    </row>
    <row r="99" spans="1:13" x14ac:dyDescent="0.3">
      <c r="A99" s="7">
        <v>400255</v>
      </c>
      <c r="B99" t="str">
        <f>_xlfn.XLOOKUP(Vendas[[#This Row],[ID Vendedor]],Vendedores[ID],Vendedores[Nome])</f>
        <v>Carlos</v>
      </c>
      <c r="C99" s="7" t="str">
        <f>_xlfn.XLOOKUP(Vendas[[#This Row],[ID Vendedor]],Vendedores[ID],Vendedores[Setor])</f>
        <v>SC</v>
      </c>
      <c r="D99" s="7" t="s">
        <v>25</v>
      </c>
      <c r="E99" t="str">
        <f>_xlfn.XLOOKUP(Vendas[[#This Row],[ID Item Vendido]],Agregado[ID],Agregado[Produto])</f>
        <v>Palete de plástico</v>
      </c>
      <c r="F99" s="39">
        <v>43345</v>
      </c>
      <c r="G99" s="7">
        <v>12</v>
      </c>
      <c r="H99" s="3">
        <f>_xlfn.XLOOKUP(Vendas[[#This Row],[ID Item Vendido]],Agregado[ID],Agregado[Revenda])</f>
        <v>70.8</v>
      </c>
      <c r="I99" s="3">
        <f>Vendas[[#This Row],[Valor Unitário]]*Vendas[[#This Row],[Qnt Vendida]]</f>
        <v>849.59999999999991</v>
      </c>
      <c r="J99" s="3">
        <f>Vendas[[#This Row],[Valor da Venda]]-(_xlfn.XLOOKUP(Vendas[[#This Row],[ID Item Vendido]],Agregado[ID],Agregado[Custo])*Vendas[[#This Row],[Qnt Vendida]])</f>
        <v>129.59999999999991</v>
      </c>
      <c r="K99" s="70">
        <f>Vendas[[#This Row],[Lucro da Venda]]/Vendas[[#This Row],[Valor da Venda]]</f>
        <v>0.15254237288135583</v>
      </c>
      <c r="L99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99"/>
    </row>
    <row r="100" spans="1:13" x14ac:dyDescent="0.3">
      <c r="A100" s="7">
        <v>400255</v>
      </c>
      <c r="B100" t="str">
        <f>_xlfn.XLOOKUP(Vendas[[#This Row],[ID Vendedor]],Vendedores[ID],Vendedores[Nome])</f>
        <v>Carlos</v>
      </c>
      <c r="C100" s="7" t="str">
        <f>_xlfn.XLOOKUP(Vendas[[#This Row],[ID Vendedor]],Vendedores[ID],Vendedores[Setor])</f>
        <v>SC</v>
      </c>
      <c r="D100" s="7" t="s">
        <v>42</v>
      </c>
      <c r="E100" t="str">
        <f>_xlfn.XLOOKUP(Vendas[[#This Row],[ID Item Vendido]],Agregado[ID],Agregado[Produto])</f>
        <v>Container de ferro industrial</v>
      </c>
      <c r="F100" s="39">
        <v>43348</v>
      </c>
      <c r="G100" s="7">
        <v>5</v>
      </c>
      <c r="H100" s="3">
        <f>_xlfn.XLOOKUP(Vendas[[#This Row],[ID Item Vendido]],Agregado[ID],Agregado[Revenda])</f>
        <v>830</v>
      </c>
      <c r="I100" s="3">
        <f>Vendas[[#This Row],[Valor Unitário]]*Vendas[[#This Row],[Qnt Vendida]]</f>
        <v>4150</v>
      </c>
      <c r="J100" s="3">
        <f>Vendas[[#This Row],[Valor da Venda]]-(_xlfn.XLOOKUP(Vendas[[#This Row],[ID Item Vendido]],Agregado[ID],Agregado[Custo])*Vendas[[#This Row],[Qnt Vendida]])</f>
        <v>750</v>
      </c>
      <c r="K100" s="70">
        <f>Vendas[[#This Row],[Lucro da Venda]]/Vendas[[#This Row],[Valor da Venda]]</f>
        <v>0.18072289156626506</v>
      </c>
      <c r="L100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00"/>
    </row>
    <row r="101" spans="1:13" x14ac:dyDescent="0.3">
      <c r="A101" s="7">
        <v>400249</v>
      </c>
      <c r="B101" t="str">
        <f>_xlfn.XLOOKUP(Vendas[[#This Row],[ID Vendedor]],Vendedores[ID],Vendedores[Nome])</f>
        <v>Bruno</v>
      </c>
      <c r="C101" s="7" t="str">
        <f>_xlfn.XLOOKUP(Vendas[[#This Row],[ID Vendedor]],Vendedores[ID],Vendedores[Setor])</f>
        <v>CM</v>
      </c>
      <c r="D101" s="7" t="s">
        <v>45</v>
      </c>
      <c r="E101" t="str">
        <f>_xlfn.XLOOKUP(Vendas[[#This Row],[ID Item Vendido]],Agregado[ID],Agregado[Produto])</f>
        <v>Viga de madeira tratada 4m</v>
      </c>
      <c r="F101" s="39">
        <v>43348</v>
      </c>
      <c r="G101" s="7">
        <v>11</v>
      </c>
      <c r="H101" s="3">
        <f>_xlfn.XLOOKUP(Vendas[[#This Row],[ID Item Vendido]],Agregado[ID],Agregado[Revenda])</f>
        <v>66</v>
      </c>
      <c r="I101" s="3">
        <f>Vendas[[#This Row],[Valor Unitário]]*Vendas[[#This Row],[Qnt Vendida]]</f>
        <v>726</v>
      </c>
      <c r="J101" s="3">
        <f>Vendas[[#This Row],[Valor da Venda]]-(_xlfn.XLOOKUP(Vendas[[#This Row],[ID Item Vendido]],Agregado[ID],Agregado[Custo])*Vendas[[#This Row],[Qnt Vendida]])</f>
        <v>121</v>
      </c>
      <c r="K101" s="70">
        <f>Vendas[[#This Row],[Lucro da Venda]]/Vendas[[#This Row],[Valor da Venda]]</f>
        <v>0.16666666666666666</v>
      </c>
      <c r="L101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101"/>
    </row>
    <row r="102" spans="1:13" x14ac:dyDescent="0.3">
      <c r="A102" s="7">
        <v>400255</v>
      </c>
      <c r="B102" t="str">
        <f>_xlfn.XLOOKUP(Vendas[[#This Row],[ID Vendedor]],Vendedores[ID],Vendedores[Nome])</f>
        <v>Carlos</v>
      </c>
      <c r="C102" s="7" t="str">
        <f>_xlfn.XLOOKUP(Vendas[[#This Row],[ID Vendedor]],Vendedores[ID],Vendedores[Setor])</f>
        <v>SC</v>
      </c>
      <c r="D102" s="7" t="s">
        <v>25</v>
      </c>
      <c r="E102" t="str">
        <f>_xlfn.XLOOKUP(Vendas[[#This Row],[ID Item Vendido]],Agregado[ID],Agregado[Produto])</f>
        <v>Palete de plástico</v>
      </c>
      <c r="F102" s="39">
        <v>43349</v>
      </c>
      <c r="G102" s="7">
        <v>4</v>
      </c>
      <c r="H102" s="3">
        <f>_xlfn.XLOOKUP(Vendas[[#This Row],[ID Item Vendido]],Agregado[ID],Agregado[Revenda])</f>
        <v>70.8</v>
      </c>
      <c r="I102" s="3">
        <f>Vendas[[#This Row],[Valor Unitário]]*Vendas[[#This Row],[Qnt Vendida]]</f>
        <v>283.2</v>
      </c>
      <c r="J102" s="3">
        <f>Vendas[[#This Row],[Valor da Venda]]-(_xlfn.XLOOKUP(Vendas[[#This Row],[ID Item Vendido]],Agregado[ID],Agregado[Custo])*Vendas[[#This Row],[Qnt Vendida]])</f>
        <v>43.199999999999989</v>
      </c>
      <c r="K102" s="70">
        <f>Vendas[[#This Row],[Lucro da Venda]]/Vendas[[#This Row],[Valor da Venda]]</f>
        <v>0.15254237288135589</v>
      </c>
      <c r="L102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102"/>
    </row>
    <row r="103" spans="1:13" x14ac:dyDescent="0.3">
      <c r="A103" s="7">
        <v>400243</v>
      </c>
      <c r="B103" t="str">
        <f>_xlfn.XLOOKUP(Vendas[[#This Row],[ID Vendedor]],Vendedores[ID],Vendedores[Nome])</f>
        <v>Marcelo</v>
      </c>
      <c r="C103" s="7" t="str">
        <f>_xlfn.XLOOKUP(Vendas[[#This Row],[ID Vendedor]],Vendedores[ID],Vendedores[Setor])</f>
        <v>FM</v>
      </c>
      <c r="D103" s="7" t="s">
        <v>20</v>
      </c>
      <c r="E103" t="str">
        <f>_xlfn.XLOOKUP(Vendas[[#This Row],[ID Item Vendido]],Agregado[ID],Agregado[Produto])</f>
        <v>Barra de aço simples</v>
      </c>
      <c r="F103" s="39">
        <v>43349</v>
      </c>
      <c r="G103" s="7">
        <v>56</v>
      </c>
      <c r="H103" s="3">
        <f>_xlfn.XLOOKUP(Vendas[[#This Row],[ID Item Vendido]],Agregado[ID],Agregado[Revenda])</f>
        <v>4.8</v>
      </c>
      <c r="I103" s="3">
        <f>Vendas[[#This Row],[Valor Unitário]]*Vendas[[#This Row],[Qnt Vendida]]</f>
        <v>268.8</v>
      </c>
      <c r="J103" s="3">
        <f>Vendas[[#This Row],[Valor da Venda]]-(_xlfn.XLOOKUP(Vendas[[#This Row],[ID Item Vendido]],Agregado[ID],Agregado[Custo])*Vendas[[#This Row],[Qnt Vendida]])</f>
        <v>33.599999999999994</v>
      </c>
      <c r="K103" s="70">
        <f>Vendas[[#This Row],[Lucro da Venda]]/Vendas[[#This Row],[Valor da Venda]]</f>
        <v>0.12499999999999997</v>
      </c>
      <c r="L103" s="3">
        <f>_xlfn.IFS(Vendas[[#This Row],[Margem de Lucro (%)]]&lt;15%,Vendas[[#This Row],[Valor da Venda]]*3%,Vendas[[#This Row],[Margem de Lucro (%)]]&lt;=20%,Vendas[[#This Row],[Valor da Venda]]*4.5%,TRUE,Vendas[[#This Row],[Valor da Venda]]*6%)</f>
        <v>8.0640000000000001</v>
      </c>
      <c r="M103"/>
    </row>
    <row r="104" spans="1:13" x14ac:dyDescent="0.3">
      <c r="A104" s="7">
        <v>400245</v>
      </c>
      <c r="B104" t="str">
        <f>_xlfn.XLOOKUP(Vendas[[#This Row],[ID Vendedor]],Vendedores[ID],Vendedores[Nome])</f>
        <v>Thiago</v>
      </c>
      <c r="C104" s="7" t="str">
        <f>_xlfn.XLOOKUP(Vendas[[#This Row],[ID Vendedor]],Vendedores[ID],Vendedores[Setor])</f>
        <v>AHD</v>
      </c>
      <c r="D104" s="7" t="s">
        <v>9</v>
      </c>
      <c r="E104" t="str">
        <f>_xlfn.XLOOKUP(Vendas[[#This Row],[ID Item Vendido]],Agregado[ID],Agregado[Produto])</f>
        <v>Barra de aço simples</v>
      </c>
      <c r="F104" s="39">
        <v>43349</v>
      </c>
      <c r="G104" s="7">
        <v>28</v>
      </c>
      <c r="H104" s="3">
        <f>_xlfn.XLOOKUP(Vendas[[#This Row],[ID Item Vendido]],Agregado[ID],Agregado[Revenda])</f>
        <v>6.7</v>
      </c>
      <c r="I104" s="3">
        <f>Vendas[[#This Row],[Valor Unitário]]*Vendas[[#This Row],[Qnt Vendida]]</f>
        <v>187.6</v>
      </c>
      <c r="J104" s="3">
        <f>Vendas[[#This Row],[Valor da Venda]]-(_xlfn.XLOOKUP(Vendas[[#This Row],[ID Item Vendido]],Agregado[ID],Agregado[Custo])*Vendas[[#This Row],[Qnt Vendida]])</f>
        <v>25.199999999999989</v>
      </c>
      <c r="K104" s="70">
        <f>Vendas[[#This Row],[Lucro da Venda]]/Vendas[[#This Row],[Valor da Venda]]</f>
        <v>0.13432835820895517</v>
      </c>
      <c r="L104" s="3">
        <f>_xlfn.IFS(Vendas[[#This Row],[Margem de Lucro (%)]]&lt;15%,Vendas[[#This Row],[Valor da Venda]]*3%,Vendas[[#This Row],[Margem de Lucro (%)]]&lt;=20%,Vendas[[#This Row],[Valor da Venda]]*4.5%,TRUE,Vendas[[#This Row],[Valor da Venda]]*6%)</f>
        <v>5.6279999999999992</v>
      </c>
      <c r="M104"/>
    </row>
    <row r="105" spans="1:13" x14ac:dyDescent="0.3">
      <c r="A105" s="7">
        <v>400249</v>
      </c>
      <c r="B105" t="str">
        <f>_xlfn.XLOOKUP(Vendas[[#This Row],[ID Vendedor]],Vendedores[ID],Vendedores[Nome])</f>
        <v>Bruno</v>
      </c>
      <c r="C105" s="7" t="str">
        <f>_xlfn.XLOOKUP(Vendas[[#This Row],[ID Vendedor]],Vendedores[ID],Vendedores[Setor])</f>
        <v>CM</v>
      </c>
      <c r="D105" s="7" t="s">
        <v>34</v>
      </c>
      <c r="E105" t="str">
        <f>_xlfn.XLOOKUP(Vendas[[#This Row],[ID Item Vendido]],Agregado[ID],Agregado[Produto])</f>
        <v>Restos de madeira p/ MDP/OSB saco de 20kg</v>
      </c>
      <c r="F105" s="39">
        <v>43350</v>
      </c>
      <c r="G105" s="7">
        <v>7</v>
      </c>
      <c r="H105" s="3">
        <f>_xlfn.XLOOKUP(Vendas[[#This Row],[ID Item Vendido]],Agregado[ID],Agregado[Revenda])</f>
        <v>13.8</v>
      </c>
      <c r="I105" s="3">
        <f>Vendas[[#This Row],[Valor Unitário]]*Vendas[[#This Row],[Qnt Vendida]]</f>
        <v>96.600000000000009</v>
      </c>
      <c r="J105" s="3">
        <f>Vendas[[#This Row],[Valor da Venda]]-(_xlfn.XLOOKUP(Vendas[[#This Row],[ID Item Vendido]],Agregado[ID],Agregado[Custo])*Vendas[[#This Row],[Qnt Vendida]])</f>
        <v>12.600000000000009</v>
      </c>
      <c r="K105" s="70">
        <f>Vendas[[#This Row],[Lucro da Venda]]/Vendas[[#This Row],[Valor da Venda]]</f>
        <v>0.13043478260869573</v>
      </c>
      <c r="L105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105"/>
    </row>
    <row r="106" spans="1:13" x14ac:dyDescent="0.3">
      <c r="A106" s="7">
        <v>400245</v>
      </c>
      <c r="B106" t="str">
        <f>_xlfn.XLOOKUP(Vendas[[#This Row],[ID Vendedor]],Vendedores[ID],Vendedores[Nome])</f>
        <v>Thiago</v>
      </c>
      <c r="C106" s="7" t="str">
        <f>_xlfn.XLOOKUP(Vendas[[#This Row],[ID Vendedor]],Vendedores[ID],Vendedores[Setor])</f>
        <v>AHD</v>
      </c>
      <c r="D106" s="7" t="s">
        <v>18</v>
      </c>
      <c r="E106" t="str">
        <f>_xlfn.XLOOKUP(Vendas[[#This Row],[ID Item Vendido]],Agregado[ID],Agregado[Produto])</f>
        <v>Peça forjada sob encomenda</v>
      </c>
      <c r="F106" s="39">
        <v>43352</v>
      </c>
      <c r="G106" s="7">
        <v>5</v>
      </c>
      <c r="H106" s="3">
        <f>_xlfn.XLOOKUP(Vendas[[#This Row],[ID Item Vendido]],Agregado[ID],Agregado[Revenda])</f>
        <v>264.60000000000002</v>
      </c>
      <c r="I106" s="3">
        <f>Vendas[[#This Row],[Valor Unitário]]*Vendas[[#This Row],[Qnt Vendida]]</f>
        <v>1323</v>
      </c>
      <c r="J106" s="3">
        <f>Vendas[[#This Row],[Valor da Venda]]-(_xlfn.XLOOKUP(Vendas[[#This Row],[ID Item Vendido]],Agregado[ID],Agregado[Custo])*Vendas[[#This Row],[Qnt Vendida]])</f>
        <v>73</v>
      </c>
      <c r="K106" s="70">
        <f>Vendas[[#This Row],[Lucro da Venda]]/Vendas[[#This Row],[Valor da Venda]]</f>
        <v>5.5177626606198037E-2</v>
      </c>
      <c r="L106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06"/>
    </row>
    <row r="107" spans="1:13" x14ac:dyDescent="0.3">
      <c r="A107" s="7">
        <v>400245</v>
      </c>
      <c r="B107" t="str">
        <f>_xlfn.XLOOKUP(Vendas[[#This Row],[ID Vendedor]],Vendedores[ID],Vendedores[Nome])</f>
        <v>Thiago</v>
      </c>
      <c r="C107" s="7" t="str">
        <f>_xlfn.XLOOKUP(Vendas[[#This Row],[ID Vendedor]],Vendedores[ID],Vendedores[Setor])</f>
        <v>AHD</v>
      </c>
      <c r="D107" s="7" t="s">
        <v>28</v>
      </c>
      <c r="E107" t="str">
        <f>_xlfn.XLOOKUP(Vendas[[#This Row],[ID Item Vendido]],Agregado[ID],Agregado[Produto])</f>
        <v>Peça usinada CNC</v>
      </c>
      <c r="F107" s="39">
        <v>43352</v>
      </c>
      <c r="G107" s="7">
        <v>9</v>
      </c>
      <c r="H107" s="3">
        <f>_xlfn.XLOOKUP(Vendas[[#This Row],[ID Item Vendido]],Agregado[ID],Agregado[Revenda])</f>
        <v>192</v>
      </c>
      <c r="I107" s="3">
        <f>Vendas[[#This Row],[Valor Unitário]]*Vendas[[#This Row],[Qnt Vendida]]</f>
        <v>1728</v>
      </c>
      <c r="J107" s="3">
        <f>Vendas[[#This Row],[Valor da Venda]]-(_xlfn.XLOOKUP(Vendas[[#This Row],[ID Item Vendido]],Agregado[ID],Agregado[Custo])*Vendas[[#This Row],[Qnt Vendida]])</f>
        <v>378</v>
      </c>
      <c r="K107" s="70">
        <f>Vendas[[#This Row],[Lucro da Venda]]/Vendas[[#This Row],[Valor da Venda]]</f>
        <v>0.21875</v>
      </c>
      <c r="L107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07"/>
    </row>
    <row r="108" spans="1:13" x14ac:dyDescent="0.3">
      <c r="A108" s="7">
        <v>400249</v>
      </c>
      <c r="B108" t="str">
        <f>_xlfn.XLOOKUP(Vendas[[#This Row],[ID Vendedor]],Vendedores[ID],Vendedores[Nome])</f>
        <v>Bruno</v>
      </c>
      <c r="C108" s="7" t="str">
        <f>_xlfn.XLOOKUP(Vendas[[#This Row],[ID Vendedor]],Vendedores[ID],Vendedores[Setor])</f>
        <v>CM</v>
      </c>
      <c r="D108" s="7" t="s">
        <v>32</v>
      </c>
      <c r="E108" t="str">
        <f>_xlfn.XLOOKUP(Vendas[[#This Row],[ID Item Vendido]],Agregado[ID],Agregado[Produto])</f>
        <v>Tábua tratada e cortada 3m</v>
      </c>
      <c r="F108" s="39">
        <v>43355</v>
      </c>
      <c r="G108" s="7">
        <v>49</v>
      </c>
      <c r="H108" s="3">
        <f>_xlfn.XLOOKUP(Vendas[[#This Row],[ID Item Vendido]],Agregado[ID],Agregado[Revenda])</f>
        <v>39</v>
      </c>
      <c r="I108" s="3">
        <f>Vendas[[#This Row],[Valor Unitário]]*Vendas[[#This Row],[Qnt Vendida]]</f>
        <v>1911</v>
      </c>
      <c r="J108" s="3">
        <f>Vendas[[#This Row],[Valor da Venda]]-(_xlfn.XLOOKUP(Vendas[[#This Row],[ID Item Vendido]],Agregado[ID],Agregado[Custo])*Vendas[[#This Row],[Qnt Vendida]])</f>
        <v>343</v>
      </c>
      <c r="K108" s="70">
        <f>Vendas[[#This Row],[Lucro da Venda]]/Vendas[[#This Row],[Valor da Venda]]</f>
        <v>0.17948717948717949</v>
      </c>
      <c r="L108" s="3">
        <f>_xlfn.IFS(Vendas[[#This Row],[Margem de Lucro (%)]]&lt;15%,Vendas[[#This Row],[Valor da Venda]]*3%,Vendas[[#This Row],[Margem de Lucro (%)]]&lt;=20%,Vendas[[#This Row],[Valor da Venda]]*4.5%,TRUE,Vendas[[#This Row],[Valor da Venda]]*6%)</f>
        <v>85.99499999999999</v>
      </c>
      <c r="M108"/>
    </row>
    <row r="109" spans="1:13" x14ac:dyDescent="0.3">
      <c r="A109" s="7">
        <v>400243</v>
      </c>
      <c r="B109" t="str">
        <f>_xlfn.XLOOKUP(Vendas[[#This Row],[ID Vendedor]],Vendedores[ID],Vendedores[Nome])</f>
        <v>Marcelo</v>
      </c>
      <c r="C109" s="7" t="str">
        <f>_xlfn.XLOOKUP(Vendas[[#This Row],[ID Vendedor]],Vendedores[ID],Vendedores[Setor])</f>
        <v>FM</v>
      </c>
      <c r="D109" s="7" t="s">
        <v>27</v>
      </c>
      <c r="E109" t="str">
        <f>_xlfn.XLOOKUP(Vendas[[#This Row],[ID Item Vendido]],Agregado[ID],Agregado[Produto])</f>
        <v>Chapa de metal lisa 1x2m</v>
      </c>
      <c r="F109" s="39">
        <v>43355</v>
      </c>
      <c r="G109" s="7">
        <v>6</v>
      </c>
      <c r="H109" s="3">
        <f>_xlfn.XLOOKUP(Vendas[[#This Row],[ID Item Vendido]],Agregado[ID],Agregado[Revenda])</f>
        <v>52</v>
      </c>
      <c r="I109" s="3">
        <f>Vendas[[#This Row],[Valor Unitário]]*Vendas[[#This Row],[Qnt Vendida]]</f>
        <v>312</v>
      </c>
      <c r="J109" s="3">
        <f>Vendas[[#This Row],[Valor da Venda]]-(_xlfn.XLOOKUP(Vendas[[#This Row],[ID Item Vendido]],Agregado[ID],Agregado[Custo])*Vendas[[#This Row],[Qnt Vendida]])</f>
        <v>42</v>
      </c>
      <c r="K109" s="70">
        <f>Vendas[[#This Row],[Lucro da Venda]]/Vendas[[#This Row],[Valor da Venda]]</f>
        <v>0.13461538461538461</v>
      </c>
      <c r="L109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09"/>
    </row>
    <row r="110" spans="1:13" x14ac:dyDescent="0.3">
      <c r="A110" s="7">
        <v>400255</v>
      </c>
      <c r="B110" t="str">
        <f>_xlfn.XLOOKUP(Vendas[[#This Row],[ID Vendedor]],Vendedores[ID],Vendedores[Nome])</f>
        <v>Carlos</v>
      </c>
      <c r="C110" s="7" t="str">
        <f>_xlfn.XLOOKUP(Vendas[[#This Row],[ID Vendedor]],Vendedores[ID],Vendedores[Setor])</f>
        <v>SC</v>
      </c>
      <c r="D110" s="7" t="s">
        <v>48</v>
      </c>
      <c r="E110" t="str">
        <f>_xlfn.XLOOKUP(Vendas[[#This Row],[ID Item Vendido]],Agregado[ID],Agregado[Produto])</f>
        <v>Tambor metálico 200L</v>
      </c>
      <c r="F110" s="39">
        <v>43358</v>
      </c>
      <c r="G110" s="7">
        <v>11</v>
      </c>
      <c r="H110" s="3">
        <f>_xlfn.XLOOKUP(Vendas[[#This Row],[ID Item Vendido]],Agregado[ID],Agregado[Revenda])</f>
        <v>144</v>
      </c>
      <c r="I110" s="3">
        <f>Vendas[[#This Row],[Valor Unitário]]*Vendas[[#This Row],[Qnt Vendida]]</f>
        <v>1584</v>
      </c>
      <c r="J110" s="3">
        <f>Vendas[[#This Row],[Valor da Venda]]-(_xlfn.XLOOKUP(Vendas[[#This Row],[ID Item Vendido]],Agregado[ID],Agregado[Custo])*Vendas[[#This Row],[Qnt Vendida]])</f>
        <v>264</v>
      </c>
      <c r="K110" s="70">
        <f>Vendas[[#This Row],[Lucro da Venda]]/Vendas[[#This Row],[Valor da Venda]]</f>
        <v>0.16666666666666666</v>
      </c>
      <c r="L110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110"/>
    </row>
    <row r="111" spans="1:13" x14ac:dyDescent="0.3">
      <c r="A111" s="7">
        <v>400245</v>
      </c>
      <c r="B111" t="str">
        <f>_xlfn.XLOOKUP(Vendas[[#This Row],[ID Vendedor]],Vendedores[ID],Vendedores[Nome])</f>
        <v>Thiago</v>
      </c>
      <c r="C111" s="7" t="str">
        <f>_xlfn.XLOOKUP(Vendas[[#This Row],[ID Vendedor]],Vendedores[ID],Vendedores[Setor])</f>
        <v>AHD</v>
      </c>
      <c r="D111" s="7" t="s">
        <v>30</v>
      </c>
      <c r="E111" t="str">
        <f>_xlfn.XLOOKUP(Vendas[[#This Row],[ID Item Vendido]],Agregado[ID],Agregado[Produto])</f>
        <v>Estrutura metálica soldada</v>
      </c>
      <c r="F111" s="39">
        <v>43358</v>
      </c>
      <c r="G111" s="7">
        <v>2</v>
      </c>
      <c r="H111" s="3">
        <f>_xlfn.XLOOKUP(Vendas[[#This Row],[ID Item Vendido]],Agregado[ID],Agregado[Revenda])</f>
        <v>400</v>
      </c>
      <c r="I111" s="3">
        <f>Vendas[[#This Row],[Valor Unitário]]*Vendas[[#This Row],[Qnt Vendida]]</f>
        <v>800</v>
      </c>
      <c r="J111" s="3">
        <f>Vendas[[#This Row],[Valor da Venda]]-(_xlfn.XLOOKUP(Vendas[[#This Row],[ID Item Vendido]],Agregado[ID],Agregado[Custo])*Vendas[[#This Row],[Qnt Vendida]])</f>
        <v>160</v>
      </c>
      <c r="K111" s="70">
        <f>Vendas[[#This Row],[Lucro da Venda]]/Vendas[[#This Row],[Valor da Venda]]</f>
        <v>0.2</v>
      </c>
      <c r="L111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11"/>
    </row>
    <row r="112" spans="1:13" x14ac:dyDescent="0.3">
      <c r="A112" s="7">
        <v>400243</v>
      </c>
      <c r="B112" t="str">
        <f>_xlfn.XLOOKUP(Vendas[[#This Row],[ID Vendedor]],Vendedores[ID],Vendedores[Nome])</f>
        <v>Marcelo</v>
      </c>
      <c r="C112" s="7" t="str">
        <f>_xlfn.XLOOKUP(Vendas[[#This Row],[ID Vendedor]],Vendedores[ID],Vendedores[Setor])</f>
        <v>FM</v>
      </c>
      <c r="D112" s="7" t="s">
        <v>20</v>
      </c>
      <c r="E112" t="str">
        <f>_xlfn.XLOOKUP(Vendas[[#This Row],[ID Item Vendido]],Agregado[ID],Agregado[Produto])</f>
        <v>Barra de aço simples</v>
      </c>
      <c r="F112" s="39">
        <v>43359</v>
      </c>
      <c r="G112" s="7">
        <v>168</v>
      </c>
      <c r="H112" s="3">
        <f>_xlfn.XLOOKUP(Vendas[[#This Row],[ID Item Vendido]],Agregado[ID],Agregado[Revenda])</f>
        <v>4.8</v>
      </c>
      <c r="I112" s="3">
        <f>Vendas[[#This Row],[Valor Unitário]]*Vendas[[#This Row],[Qnt Vendida]]</f>
        <v>806.4</v>
      </c>
      <c r="J112" s="3">
        <f>Vendas[[#This Row],[Valor da Venda]]-(_xlfn.XLOOKUP(Vendas[[#This Row],[ID Item Vendido]],Agregado[ID],Agregado[Custo])*Vendas[[#This Row],[Qnt Vendida]])</f>
        <v>100.79999999999995</v>
      </c>
      <c r="K112" s="70">
        <f>Vendas[[#This Row],[Lucro da Venda]]/Vendas[[#This Row],[Valor da Venda]]</f>
        <v>0.12499999999999994</v>
      </c>
      <c r="L112" s="3">
        <f>_xlfn.IFS(Vendas[[#This Row],[Margem de Lucro (%)]]&lt;15%,Vendas[[#This Row],[Valor da Venda]]*3%,Vendas[[#This Row],[Margem de Lucro (%)]]&lt;=20%,Vendas[[#This Row],[Valor da Venda]]*4.5%,TRUE,Vendas[[#This Row],[Valor da Venda]]*6%)</f>
        <v>24.192</v>
      </c>
      <c r="M112"/>
    </row>
    <row r="113" spans="1:13" x14ac:dyDescent="0.3">
      <c r="A113" s="7">
        <v>400249</v>
      </c>
      <c r="B113" t="str">
        <f>_xlfn.XLOOKUP(Vendas[[#This Row],[ID Vendedor]],Vendedores[ID],Vendedores[Nome])</f>
        <v>Bruno</v>
      </c>
      <c r="C113" s="7" t="str">
        <f>_xlfn.XLOOKUP(Vendas[[#This Row],[ID Vendedor]],Vendedores[ID],Vendedores[Setor])</f>
        <v>CM</v>
      </c>
      <c r="D113" s="7" t="s">
        <v>43</v>
      </c>
      <c r="E113" t="str">
        <f>_xlfn.XLOOKUP(Vendas[[#This Row],[ID Item Vendido]],Agregado[ID],Agregado[Produto])</f>
        <v>Madeira Bruta (Tora)</v>
      </c>
      <c r="F113" s="39">
        <v>43362</v>
      </c>
      <c r="G113" s="7">
        <v>6</v>
      </c>
      <c r="H113" s="3">
        <f>_xlfn.XLOOKUP(Vendas[[#This Row],[ID Item Vendido]],Agregado[ID],Agregado[Revenda])</f>
        <v>212</v>
      </c>
      <c r="I113" s="3">
        <f>Vendas[[#This Row],[Valor Unitário]]*Vendas[[#This Row],[Qnt Vendida]]</f>
        <v>1272</v>
      </c>
      <c r="J113" s="3">
        <f>Vendas[[#This Row],[Valor da Venda]]-(_xlfn.XLOOKUP(Vendas[[#This Row],[ID Item Vendido]],Agregado[ID],Agregado[Custo])*Vendas[[#This Row],[Qnt Vendida]])</f>
        <v>192</v>
      </c>
      <c r="K113" s="70">
        <f>Vendas[[#This Row],[Lucro da Venda]]/Vendas[[#This Row],[Valor da Venda]]</f>
        <v>0.15094339622641509</v>
      </c>
      <c r="L113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113"/>
    </row>
    <row r="114" spans="1:13" x14ac:dyDescent="0.3">
      <c r="A114" s="7">
        <v>400249</v>
      </c>
      <c r="B114" t="str">
        <f>_xlfn.XLOOKUP(Vendas[[#This Row],[ID Vendedor]],Vendedores[ID],Vendedores[Nome])</f>
        <v>Bruno</v>
      </c>
      <c r="C114" s="7" t="str">
        <f>_xlfn.XLOOKUP(Vendas[[#This Row],[ID Vendedor]],Vendedores[ID],Vendedores[Setor])</f>
        <v>CM</v>
      </c>
      <c r="D114" s="7" t="s">
        <v>22</v>
      </c>
      <c r="E114" t="str">
        <f>_xlfn.XLOOKUP(Vendas[[#This Row],[ID Item Vendido]],Agregado[ID],Agregado[Produto])</f>
        <v>Painel MDP 2,75x1,83m</v>
      </c>
      <c r="F114" s="39">
        <v>43368</v>
      </c>
      <c r="G114" s="7">
        <v>12</v>
      </c>
      <c r="H114" s="3">
        <f>_xlfn.XLOOKUP(Vendas[[#This Row],[ID Item Vendido]],Agregado[ID],Agregado[Revenda])</f>
        <v>119</v>
      </c>
      <c r="I114" s="3">
        <f>Vendas[[#This Row],[Valor Unitário]]*Vendas[[#This Row],[Qnt Vendida]]</f>
        <v>1428</v>
      </c>
      <c r="J114" s="3">
        <f>Vendas[[#This Row],[Valor da Venda]]-(_xlfn.XLOOKUP(Vendas[[#This Row],[ID Item Vendido]],Agregado[ID],Agregado[Custo])*Vendas[[#This Row],[Qnt Vendida]])</f>
        <v>288</v>
      </c>
      <c r="K114" s="70">
        <f>Vendas[[#This Row],[Lucro da Venda]]/Vendas[[#This Row],[Valor da Venda]]</f>
        <v>0.20168067226890757</v>
      </c>
      <c r="L114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14"/>
    </row>
    <row r="115" spans="1:13" x14ac:dyDescent="0.3">
      <c r="A115" s="7">
        <v>400245</v>
      </c>
      <c r="B115" t="str">
        <f>_xlfn.XLOOKUP(Vendas[[#This Row],[ID Vendedor]],Vendedores[ID],Vendedores[Nome])</f>
        <v>Thiago</v>
      </c>
      <c r="C115" s="7" t="str">
        <f>_xlfn.XLOOKUP(Vendas[[#This Row],[ID Vendedor]],Vendedores[ID],Vendedores[Setor])</f>
        <v>AHD</v>
      </c>
      <c r="D115" s="7" t="s">
        <v>30</v>
      </c>
      <c r="E115" t="str">
        <f>_xlfn.XLOOKUP(Vendas[[#This Row],[ID Item Vendido]],Agregado[ID],Agregado[Produto])</f>
        <v>Estrutura metálica soldada</v>
      </c>
      <c r="F115" s="39">
        <v>43370</v>
      </c>
      <c r="G115" s="7">
        <v>8</v>
      </c>
      <c r="H115" s="3">
        <f>_xlfn.XLOOKUP(Vendas[[#This Row],[ID Item Vendido]],Agregado[ID],Agregado[Revenda])</f>
        <v>400</v>
      </c>
      <c r="I115" s="3">
        <f>Vendas[[#This Row],[Valor Unitário]]*Vendas[[#This Row],[Qnt Vendida]]</f>
        <v>3200</v>
      </c>
      <c r="J115" s="3">
        <f>Vendas[[#This Row],[Valor da Venda]]-(_xlfn.XLOOKUP(Vendas[[#This Row],[ID Item Vendido]],Agregado[ID],Agregado[Custo])*Vendas[[#This Row],[Qnt Vendida]])</f>
        <v>640</v>
      </c>
      <c r="K115" s="70">
        <f>Vendas[[#This Row],[Lucro da Venda]]/Vendas[[#This Row],[Valor da Venda]]</f>
        <v>0.2</v>
      </c>
      <c r="L11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115"/>
    </row>
    <row r="116" spans="1:13" x14ac:dyDescent="0.3">
      <c r="A116" s="7">
        <v>400249</v>
      </c>
      <c r="B116" t="str">
        <f>_xlfn.XLOOKUP(Vendas[[#This Row],[ID Vendedor]],Vendedores[ID],Vendedores[Nome])</f>
        <v>Bruno</v>
      </c>
      <c r="C116" s="7" t="str">
        <f>_xlfn.XLOOKUP(Vendas[[#This Row],[ID Vendedor]],Vendedores[ID],Vendedores[Setor])</f>
        <v>CM</v>
      </c>
      <c r="D116" s="7" t="s">
        <v>45</v>
      </c>
      <c r="E116" t="str">
        <f>_xlfn.XLOOKUP(Vendas[[#This Row],[ID Item Vendido]],Agregado[ID],Agregado[Produto])</f>
        <v>Viga de madeira tratada 4m</v>
      </c>
      <c r="F116" s="39">
        <v>43371</v>
      </c>
      <c r="G116" s="7">
        <v>16</v>
      </c>
      <c r="H116" s="3">
        <f>_xlfn.XLOOKUP(Vendas[[#This Row],[ID Item Vendido]],Agregado[ID],Agregado[Revenda])</f>
        <v>66</v>
      </c>
      <c r="I116" s="3">
        <f>Vendas[[#This Row],[Valor Unitário]]*Vendas[[#This Row],[Qnt Vendida]]</f>
        <v>1056</v>
      </c>
      <c r="J116" s="3">
        <f>Vendas[[#This Row],[Valor da Venda]]-(_xlfn.XLOOKUP(Vendas[[#This Row],[ID Item Vendido]],Agregado[ID],Agregado[Custo])*Vendas[[#This Row],[Qnt Vendida]])</f>
        <v>176</v>
      </c>
      <c r="K116" s="70">
        <f>Vendas[[#This Row],[Lucro da Venda]]/Vendas[[#This Row],[Valor da Venda]]</f>
        <v>0.16666666666666666</v>
      </c>
      <c r="L116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116"/>
    </row>
    <row r="117" spans="1:13" x14ac:dyDescent="0.3">
      <c r="A117" s="7">
        <v>400249</v>
      </c>
      <c r="B117" t="str">
        <f>_xlfn.XLOOKUP(Vendas[[#This Row],[ID Vendedor]],Vendedores[ID],Vendedores[Nome])</f>
        <v>Bruno</v>
      </c>
      <c r="C117" s="7" t="str">
        <f>_xlfn.XLOOKUP(Vendas[[#This Row],[ID Vendedor]],Vendedores[ID],Vendedores[Setor])</f>
        <v>CM</v>
      </c>
      <c r="D117" s="7" t="s">
        <v>45</v>
      </c>
      <c r="E117" t="str">
        <f>_xlfn.XLOOKUP(Vendas[[#This Row],[ID Item Vendido]],Agregado[ID],Agregado[Produto])</f>
        <v>Viga de madeira tratada 4m</v>
      </c>
      <c r="F117" s="39">
        <v>43372</v>
      </c>
      <c r="G117" s="7">
        <v>10</v>
      </c>
      <c r="H117" s="3">
        <f>_xlfn.XLOOKUP(Vendas[[#This Row],[ID Item Vendido]],Agregado[ID],Agregado[Revenda])</f>
        <v>66</v>
      </c>
      <c r="I117" s="3">
        <f>Vendas[[#This Row],[Valor Unitário]]*Vendas[[#This Row],[Qnt Vendida]]</f>
        <v>660</v>
      </c>
      <c r="J117" s="3">
        <f>Vendas[[#This Row],[Valor da Venda]]-(_xlfn.XLOOKUP(Vendas[[#This Row],[ID Item Vendido]],Agregado[ID],Agregado[Custo])*Vendas[[#This Row],[Qnt Vendida]])</f>
        <v>110</v>
      </c>
      <c r="K117" s="70">
        <f>Vendas[[#This Row],[Lucro da Venda]]/Vendas[[#This Row],[Valor da Venda]]</f>
        <v>0.16666666666666666</v>
      </c>
      <c r="L117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117"/>
    </row>
    <row r="118" spans="1:13" x14ac:dyDescent="0.3">
      <c r="A118" s="7">
        <v>400255</v>
      </c>
      <c r="B118" t="str">
        <f>_xlfn.XLOOKUP(Vendas[[#This Row],[ID Vendedor]],Vendedores[ID],Vendedores[Nome])</f>
        <v>Carlos</v>
      </c>
      <c r="C118" s="7" t="str">
        <f>_xlfn.XLOOKUP(Vendas[[#This Row],[ID Vendedor]],Vendedores[ID],Vendedores[Setor])</f>
        <v>SC</v>
      </c>
      <c r="D118" s="7" t="s">
        <v>41</v>
      </c>
      <c r="E118" t="str">
        <f>_xlfn.XLOOKUP(Vendas[[#This Row],[ID Item Vendido]],Agregado[ID],Agregado[Produto])</f>
        <v>Palete de madeira reforçado</v>
      </c>
      <c r="F118" s="39">
        <v>43372</v>
      </c>
      <c r="G118" s="7">
        <v>5</v>
      </c>
      <c r="H118" s="3">
        <f>_xlfn.XLOOKUP(Vendas[[#This Row],[ID Item Vendido]],Agregado[ID],Agregado[Revenda])</f>
        <v>131</v>
      </c>
      <c r="I118" s="3">
        <f>Vendas[[#This Row],[Valor Unitário]]*Vendas[[#This Row],[Qnt Vendida]]</f>
        <v>655</v>
      </c>
      <c r="J118" s="3">
        <f>Vendas[[#This Row],[Valor da Venda]]-(_xlfn.XLOOKUP(Vendas[[#This Row],[ID Item Vendido]],Agregado[ID],Agregado[Custo])*Vendas[[#This Row],[Qnt Vendida]])</f>
        <v>105</v>
      </c>
      <c r="K118" s="70">
        <f>Vendas[[#This Row],[Lucro da Venda]]/Vendas[[#This Row],[Valor da Venda]]</f>
        <v>0.16030534351145037</v>
      </c>
      <c r="L118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118"/>
    </row>
    <row r="119" spans="1:13" x14ac:dyDescent="0.3">
      <c r="A119" s="7">
        <v>400249</v>
      </c>
      <c r="B119" t="str">
        <f>_xlfn.XLOOKUP(Vendas[[#This Row],[ID Vendedor]],Vendedores[ID],Vendedores[Nome])</f>
        <v>Bruno</v>
      </c>
      <c r="C119" s="7" t="str">
        <f>_xlfn.XLOOKUP(Vendas[[#This Row],[ID Vendedor]],Vendedores[ID],Vendedores[Setor])</f>
        <v>CM</v>
      </c>
      <c r="D119" s="7" t="s">
        <v>32</v>
      </c>
      <c r="E119" t="str">
        <f>_xlfn.XLOOKUP(Vendas[[#This Row],[ID Item Vendido]],Agregado[ID],Agregado[Produto])</f>
        <v>Tábua tratada e cortada 3m</v>
      </c>
      <c r="F119" s="39">
        <v>43373</v>
      </c>
      <c r="G119" s="7">
        <v>42</v>
      </c>
      <c r="H119" s="3">
        <f>_xlfn.XLOOKUP(Vendas[[#This Row],[ID Item Vendido]],Agregado[ID],Agregado[Revenda])</f>
        <v>39</v>
      </c>
      <c r="I119" s="3">
        <f>Vendas[[#This Row],[Valor Unitário]]*Vendas[[#This Row],[Qnt Vendida]]</f>
        <v>1638</v>
      </c>
      <c r="J119" s="3">
        <f>Vendas[[#This Row],[Valor da Venda]]-(_xlfn.XLOOKUP(Vendas[[#This Row],[ID Item Vendido]],Agregado[ID],Agregado[Custo])*Vendas[[#This Row],[Qnt Vendida]])</f>
        <v>294</v>
      </c>
      <c r="K119" s="70">
        <f>Vendas[[#This Row],[Lucro da Venda]]/Vendas[[#This Row],[Valor da Venda]]</f>
        <v>0.17948717948717949</v>
      </c>
      <c r="L119" s="3">
        <f>_xlfn.IFS(Vendas[[#This Row],[Margem de Lucro (%)]]&lt;15%,Vendas[[#This Row],[Valor da Venda]]*3%,Vendas[[#This Row],[Margem de Lucro (%)]]&lt;=20%,Vendas[[#This Row],[Valor da Venda]]*4.5%,TRUE,Vendas[[#This Row],[Valor da Venda]]*6%)</f>
        <v>73.709999999999994</v>
      </c>
      <c r="M119"/>
    </row>
    <row r="120" spans="1:13" x14ac:dyDescent="0.3">
      <c r="A120" s="7">
        <v>400245</v>
      </c>
      <c r="B120" t="str">
        <f>_xlfn.XLOOKUP(Vendas[[#This Row],[ID Vendedor]],Vendedores[ID],Vendedores[Nome])</f>
        <v>Thiago</v>
      </c>
      <c r="C120" s="7" t="str">
        <f>_xlfn.XLOOKUP(Vendas[[#This Row],[ID Vendedor]],Vendedores[ID],Vendedores[Setor])</f>
        <v>AHD</v>
      </c>
      <c r="D120" s="7" t="s">
        <v>28</v>
      </c>
      <c r="E120" t="str">
        <f>_xlfn.XLOOKUP(Vendas[[#This Row],[ID Item Vendido]],Agregado[ID],Agregado[Produto])</f>
        <v>Peça usinada CNC</v>
      </c>
      <c r="F120" s="39">
        <v>43373</v>
      </c>
      <c r="G120" s="7">
        <v>4</v>
      </c>
      <c r="H120" s="3">
        <f>_xlfn.XLOOKUP(Vendas[[#This Row],[ID Item Vendido]],Agregado[ID],Agregado[Revenda])</f>
        <v>192</v>
      </c>
      <c r="I120" s="3">
        <f>Vendas[[#This Row],[Valor Unitário]]*Vendas[[#This Row],[Qnt Vendida]]</f>
        <v>768</v>
      </c>
      <c r="J120" s="3">
        <f>Vendas[[#This Row],[Valor da Venda]]-(_xlfn.XLOOKUP(Vendas[[#This Row],[ID Item Vendido]],Agregado[ID],Agregado[Custo])*Vendas[[#This Row],[Qnt Vendida]])</f>
        <v>168</v>
      </c>
      <c r="K120" s="70">
        <f>Vendas[[#This Row],[Lucro da Venda]]/Vendas[[#This Row],[Valor da Venda]]</f>
        <v>0.21875</v>
      </c>
      <c r="L120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120"/>
    </row>
    <row r="121" spans="1:13" x14ac:dyDescent="0.3">
      <c r="A121" s="7">
        <v>400255</v>
      </c>
      <c r="B121" t="str">
        <f>_xlfn.XLOOKUP(Vendas[[#This Row],[ID Vendedor]],Vendedores[ID],Vendedores[Nome])</f>
        <v>Carlos</v>
      </c>
      <c r="C121" s="7" t="str">
        <f>_xlfn.XLOOKUP(Vendas[[#This Row],[ID Vendedor]],Vendedores[ID],Vendedores[Setor])</f>
        <v>SC</v>
      </c>
      <c r="D121" s="7" t="s">
        <v>25</v>
      </c>
      <c r="E121" t="str">
        <f>_xlfn.XLOOKUP(Vendas[[#This Row],[ID Item Vendido]],Agregado[ID],Agregado[Produto])</f>
        <v>Palete de plástico</v>
      </c>
      <c r="F121" s="39">
        <v>43373</v>
      </c>
      <c r="G121" s="7">
        <v>7</v>
      </c>
      <c r="H121" s="3">
        <f>_xlfn.XLOOKUP(Vendas[[#This Row],[ID Item Vendido]],Agregado[ID],Agregado[Revenda])</f>
        <v>70.8</v>
      </c>
      <c r="I121" s="3">
        <f>Vendas[[#This Row],[Valor Unitário]]*Vendas[[#This Row],[Qnt Vendida]]</f>
        <v>495.59999999999997</v>
      </c>
      <c r="J121" s="3">
        <f>Vendas[[#This Row],[Valor da Venda]]-(_xlfn.XLOOKUP(Vendas[[#This Row],[ID Item Vendido]],Agregado[ID],Agregado[Custo])*Vendas[[#This Row],[Qnt Vendida]])</f>
        <v>75.599999999999966</v>
      </c>
      <c r="K121" s="70">
        <f>Vendas[[#This Row],[Lucro da Venda]]/Vendas[[#This Row],[Valor da Venda]]</f>
        <v>0.15254237288135589</v>
      </c>
      <c r="L121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21"/>
    </row>
    <row r="122" spans="1:13" x14ac:dyDescent="0.3">
      <c r="A122" s="7">
        <v>400249</v>
      </c>
      <c r="B122" t="str">
        <f>_xlfn.XLOOKUP(Vendas[[#This Row],[ID Vendedor]],Vendedores[ID],Vendedores[Nome])</f>
        <v>Bruno</v>
      </c>
      <c r="C122" s="7" t="str">
        <f>_xlfn.XLOOKUP(Vendas[[#This Row],[ID Vendedor]],Vendedores[ID],Vendedores[Setor])</f>
        <v>CM</v>
      </c>
      <c r="D122" s="7" t="s">
        <v>43</v>
      </c>
      <c r="E122" t="str">
        <f>_xlfn.XLOOKUP(Vendas[[#This Row],[ID Item Vendido]],Agregado[ID],Agregado[Produto])</f>
        <v>Madeira Bruta (Tora)</v>
      </c>
      <c r="F122" s="39">
        <v>43375</v>
      </c>
      <c r="G122" s="7">
        <v>4</v>
      </c>
      <c r="H122" s="3">
        <f>_xlfn.XLOOKUP(Vendas[[#This Row],[ID Item Vendido]],Agregado[ID],Agregado[Revenda])</f>
        <v>212</v>
      </c>
      <c r="I122" s="3">
        <f>Vendas[[#This Row],[Valor Unitário]]*Vendas[[#This Row],[Qnt Vendida]]</f>
        <v>848</v>
      </c>
      <c r="J122" s="3">
        <f>Vendas[[#This Row],[Valor da Venda]]-(_xlfn.XLOOKUP(Vendas[[#This Row],[ID Item Vendido]],Agregado[ID],Agregado[Custo])*Vendas[[#This Row],[Qnt Vendida]])</f>
        <v>128</v>
      </c>
      <c r="K122" s="70">
        <f>Vendas[[#This Row],[Lucro da Venda]]/Vendas[[#This Row],[Valor da Venda]]</f>
        <v>0.15094339622641509</v>
      </c>
      <c r="L122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22"/>
    </row>
    <row r="123" spans="1:13" x14ac:dyDescent="0.3">
      <c r="A123" s="7">
        <v>400255</v>
      </c>
      <c r="B123" t="str">
        <f>_xlfn.XLOOKUP(Vendas[[#This Row],[ID Vendedor]],Vendedores[ID],Vendedores[Nome])</f>
        <v>Carlos</v>
      </c>
      <c r="C123" s="7" t="str">
        <f>_xlfn.XLOOKUP(Vendas[[#This Row],[ID Vendedor]],Vendedores[ID],Vendedores[Setor])</f>
        <v>SC</v>
      </c>
      <c r="D123" s="7" t="s">
        <v>48</v>
      </c>
      <c r="E123" t="str">
        <f>_xlfn.XLOOKUP(Vendas[[#This Row],[ID Item Vendido]],Agregado[ID],Agregado[Produto])</f>
        <v>Tambor metálico 200L</v>
      </c>
      <c r="F123" s="39">
        <v>43377</v>
      </c>
      <c r="G123" s="7">
        <v>13</v>
      </c>
      <c r="H123" s="3">
        <f>_xlfn.XLOOKUP(Vendas[[#This Row],[ID Item Vendido]],Agregado[ID],Agregado[Revenda])</f>
        <v>144</v>
      </c>
      <c r="I123" s="3">
        <f>Vendas[[#This Row],[Valor Unitário]]*Vendas[[#This Row],[Qnt Vendida]]</f>
        <v>1872</v>
      </c>
      <c r="J123" s="3">
        <f>Vendas[[#This Row],[Valor da Venda]]-(_xlfn.XLOOKUP(Vendas[[#This Row],[ID Item Vendido]],Agregado[ID],Agregado[Custo])*Vendas[[#This Row],[Qnt Vendida]])</f>
        <v>312</v>
      </c>
      <c r="K123" s="70">
        <f>Vendas[[#This Row],[Lucro da Venda]]/Vendas[[#This Row],[Valor da Venda]]</f>
        <v>0.16666666666666666</v>
      </c>
      <c r="L123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123"/>
    </row>
    <row r="124" spans="1:13" x14ac:dyDescent="0.3">
      <c r="A124" s="7">
        <v>400245</v>
      </c>
      <c r="B124" t="str">
        <f>_xlfn.XLOOKUP(Vendas[[#This Row],[ID Vendedor]],Vendedores[ID],Vendedores[Nome])</f>
        <v>Thiago</v>
      </c>
      <c r="C124" s="7" t="str">
        <f>_xlfn.XLOOKUP(Vendas[[#This Row],[ID Vendedor]],Vendedores[ID],Vendedores[Setor])</f>
        <v>AHD</v>
      </c>
      <c r="D124" s="7" t="s">
        <v>18</v>
      </c>
      <c r="E124" t="str">
        <f>_xlfn.XLOOKUP(Vendas[[#This Row],[ID Item Vendido]],Agregado[ID],Agregado[Produto])</f>
        <v>Peça forjada sob encomenda</v>
      </c>
      <c r="F124" s="39">
        <v>43377</v>
      </c>
      <c r="G124" s="7">
        <v>1</v>
      </c>
      <c r="H124" s="3">
        <f>_xlfn.XLOOKUP(Vendas[[#This Row],[ID Item Vendido]],Agregado[ID],Agregado[Revenda])</f>
        <v>264.60000000000002</v>
      </c>
      <c r="I124" s="3">
        <f>Vendas[[#This Row],[Valor Unitário]]*Vendas[[#This Row],[Qnt Vendida]]</f>
        <v>264.60000000000002</v>
      </c>
      <c r="J124" s="3">
        <f>Vendas[[#This Row],[Valor da Venda]]-(_xlfn.XLOOKUP(Vendas[[#This Row],[ID Item Vendido]],Agregado[ID],Agregado[Custo])*Vendas[[#This Row],[Qnt Vendida]])</f>
        <v>14.600000000000023</v>
      </c>
      <c r="K124" s="70">
        <f>Vendas[[#This Row],[Lucro da Venda]]/Vendas[[#This Row],[Valor da Venda]]</f>
        <v>5.5177626606198113E-2</v>
      </c>
      <c r="L12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24"/>
    </row>
    <row r="125" spans="1:13" x14ac:dyDescent="0.3">
      <c r="A125" s="7">
        <v>400243</v>
      </c>
      <c r="B125" t="str">
        <f>_xlfn.XLOOKUP(Vendas[[#This Row],[ID Vendedor]],Vendedores[ID],Vendedores[Nome])</f>
        <v>Marcelo</v>
      </c>
      <c r="C125" s="7" t="str">
        <f>_xlfn.XLOOKUP(Vendas[[#This Row],[ID Vendedor]],Vendedores[ID],Vendedores[Setor])</f>
        <v>FM</v>
      </c>
      <c r="D125" s="7" t="s">
        <v>27</v>
      </c>
      <c r="E125" t="str">
        <f>_xlfn.XLOOKUP(Vendas[[#This Row],[ID Item Vendido]],Agregado[ID],Agregado[Produto])</f>
        <v>Chapa de metal lisa 1x2m</v>
      </c>
      <c r="F125" s="39">
        <v>43383</v>
      </c>
      <c r="G125" s="7">
        <v>20</v>
      </c>
      <c r="H125" s="3">
        <f>_xlfn.XLOOKUP(Vendas[[#This Row],[ID Item Vendido]],Agregado[ID],Agregado[Revenda])</f>
        <v>52</v>
      </c>
      <c r="I125" s="3">
        <f>Vendas[[#This Row],[Valor Unitário]]*Vendas[[#This Row],[Qnt Vendida]]</f>
        <v>1040</v>
      </c>
      <c r="J125" s="3">
        <f>Vendas[[#This Row],[Valor da Venda]]-(_xlfn.XLOOKUP(Vendas[[#This Row],[ID Item Vendido]],Agregado[ID],Agregado[Custo])*Vendas[[#This Row],[Qnt Vendida]])</f>
        <v>140</v>
      </c>
      <c r="K125" s="70">
        <f>Vendas[[#This Row],[Lucro da Venda]]/Vendas[[#This Row],[Valor da Venda]]</f>
        <v>0.13461538461538461</v>
      </c>
      <c r="L125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125"/>
    </row>
    <row r="126" spans="1:13" x14ac:dyDescent="0.3">
      <c r="A126" s="7">
        <v>400243</v>
      </c>
      <c r="B126" t="str">
        <f>_xlfn.XLOOKUP(Vendas[[#This Row],[ID Vendedor]],Vendedores[ID],Vendedores[Nome])</f>
        <v>Marcelo</v>
      </c>
      <c r="C126" s="7" t="str">
        <f>_xlfn.XLOOKUP(Vendas[[#This Row],[ID Vendedor]],Vendedores[ID],Vendedores[Setor])</f>
        <v>FM</v>
      </c>
      <c r="D126" s="7" t="s">
        <v>27</v>
      </c>
      <c r="E126" t="str">
        <f>_xlfn.XLOOKUP(Vendas[[#This Row],[ID Item Vendido]],Agregado[ID],Agregado[Produto])</f>
        <v>Chapa de metal lisa 1x2m</v>
      </c>
      <c r="F126" s="39">
        <v>43383</v>
      </c>
      <c r="G126" s="7">
        <v>11</v>
      </c>
      <c r="H126" s="3">
        <f>_xlfn.XLOOKUP(Vendas[[#This Row],[ID Item Vendido]],Agregado[ID],Agregado[Revenda])</f>
        <v>52</v>
      </c>
      <c r="I126" s="3">
        <f>Vendas[[#This Row],[Valor Unitário]]*Vendas[[#This Row],[Qnt Vendida]]</f>
        <v>572</v>
      </c>
      <c r="J126" s="3">
        <f>Vendas[[#This Row],[Valor da Venda]]-(_xlfn.XLOOKUP(Vendas[[#This Row],[ID Item Vendido]],Agregado[ID],Agregado[Custo])*Vendas[[#This Row],[Qnt Vendida]])</f>
        <v>77</v>
      </c>
      <c r="K126" s="70">
        <f>Vendas[[#This Row],[Lucro da Venda]]/Vendas[[#This Row],[Valor da Venda]]</f>
        <v>0.13461538461538461</v>
      </c>
      <c r="L126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126"/>
    </row>
    <row r="127" spans="1:13" x14ac:dyDescent="0.3">
      <c r="A127" s="7">
        <v>400243</v>
      </c>
      <c r="B127" t="str">
        <f>_xlfn.XLOOKUP(Vendas[[#This Row],[ID Vendedor]],Vendedores[ID],Vendedores[Nome])</f>
        <v>Marcelo</v>
      </c>
      <c r="C127" s="7" t="str">
        <f>_xlfn.XLOOKUP(Vendas[[#This Row],[ID Vendedor]],Vendedores[ID],Vendedores[Setor])</f>
        <v>FM</v>
      </c>
      <c r="D127" s="7" t="s">
        <v>6</v>
      </c>
      <c r="E127" t="str">
        <f>_xlfn.XLOOKUP(Vendas[[#This Row],[ID Item Vendido]],Agregado[ID],Agregado[Produto])</f>
        <v>Parafuso comum 500un</v>
      </c>
      <c r="F127" s="39">
        <v>43384</v>
      </c>
      <c r="G127" s="7">
        <v>15</v>
      </c>
      <c r="H127" s="3">
        <f>_xlfn.XLOOKUP(Vendas[[#This Row],[ID Item Vendido]],Agregado[ID],Agregado[Revenda])</f>
        <v>24.6</v>
      </c>
      <c r="I127" s="3">
        <f>Vendas[[#This Row],[Valor Unitário]]*Vendas[[#This Row],[Qnt Vendida]]</f>
        <v>369</v>
      </c>
      <c r="J127" s="3">
        <f>Vendas[[#This Row],[Valor da Venda]]-(_xlfn.XLOOKUP(Vendas[[#This Row],[ID Item Vendido]],Agregado[ID],Agregado[Custo])*Vendas[[#This Row],[Qnt Vendida]])</f>
        <v>39</v>
      </c>
      <c r="K127" s="70">
        <f>Vendas[[#This Row],[Lucro da Venda]]/Vendas[[#This Row],[Valor da Venda]]</f>
        <v>0.10569105691056911</v>
      </c>
      <c r="L127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127"/>
    </row>
    <row r="128" spans="1:13" x14ac:dyDescent="0.3">
      <c r="A128" s="7">
        <v>400245</v>
      </c>
      <c r="B128" t="str">
        <f>_xlfn.XLOOKUP(Vendas[[#This Row],[ID Vendedor]],Vendedores[ID],Vendedores[Nome])</f>
        <v>Thiago</v>
      </c>
      <c r="C128" s="7" t="str">
        <f>_xlfn.XLOOKUP(Vendas[[#This Row],[ID Vendedor]],Vendedores[ID],Vendedores[Setor])</f>
        <v>AHD</v>
      </c>
      <c r="D128" s="7" t="s">
        <v>9</v>
      </c>
      <c r="E128" t="str">
        <f>_xlfn.XLOOKUP(Vendas[[#This Row],[ID Item Vendido]],Agregado[ID],Agregado[Produto])</f>
        <v>Barra de aço simples</v>
      </c>
      <c r="F128" s="39">
        <v>43385</v>
      </c>
      <c r="G128" s="7">
        <v>137</v>
      </c>
      <c r="H128" s="3">
        <f>_xlfn.XLOOKUP(Vendas[[#This Row],[ID Item Vendido]],Agregado[ID],Agregado[Revenda])</f>
        <v>6.7</v>
      </c>
      <c r="I128" s="3">
        <f>Vendas[[#This Row],[Valor Unitário]]*Vendas[[#This Row],[Qnt Vendida]]</f>
        <v>917.9</v>
      </c>
      <c r="J128" s="3">
        <f>Vendas[[#This Row],[Valor da Venda]]-(_xlfn.XLOOKUP(Vendas[[#This Row],[ID Item Vendido]],Agregado[ID],Agregado[Custo])*Vendas[[#This Row],[Qnt Vendida]])</f>
        <v>123.29999999999995</v>
      </c>
      <c r="K128" s="70">
        <f>Vendas[[#This Row],[Lucro da Venda]]/Vendas[[#This Row],[Valor da Venda]]</f>
        <v>0.13432835820895517</v>
      </c>
      <c r="L128" s="3">
        <f>_xlfn.IFS(Vendas[[#This Row],[Margem de Lucro (%)]]&lt;15%,Vendas[[#This Row],[Valor da Venda]]*3%,Vendas[[#This Row],[Margem de Lucro (%)]]&lt;=20%,Vendas[[#This Row],[Valor da Venda]]*4.5%,TRUE,Vendas[[#This Row],[Valor da Venda]]*6%)</f>
        <v>27.536999999999999</v>
      </c>
      <c r="M128"/>
    </row>
    <row r="129" spans="1:13" x14ac:dyDescent="0.3">
      <c r="A129" s="7">
        <v>400249</v>
      </c>
      <c r="B129" t="str">
        <f>_xlfn.XLOOKUP(Vendas[[#This Row],[ID Vendedor]],Vendedores[ID],Vendedores[Nome])</f>
        <v>Bruno</v>
      </c>
      <c r="C129" s="7" t="str">
        <f>_xlfn.XLOOKUP(Vendas[[#This Row],[ID Vendedor]],Vendedores[ID],Vendedores[Setor])</f>
        <v>CM</v>
      </c>
      <c r="D129" s="7" t="s">
        <v>32</v>
      </c>
      <c r="E129" t="str">
        <f>_xlfn.XLOOKUP(Vendas[[#This Row],[ID Item Vendido]],Agregado[ID],Agregado[Produto])</f>
        <v>Tábua tratada e cortada 3m</v>
      </c>
      <c r="F129" s="39">
        <v>43385</v>
      </c>
      <c r="G129" s="7">
        <v>9</v>
      </c>
      <c r="H129" s="3">
        <f>_xlfn.XLOOKUP(Vendas[[#This Row],[ID Item Vendido]],Agregado[ID],Agregado[Revenda])</f>
        <v>39</v>
      </c>
      <c r="I129" s="3">
        <f>Vendas[[#This Row],[Valor Unitário]]*Vendas[[#This Row],[Qnt Vendida]]</f>
        <v>351</v>
      </c>
      <c r="J129" s="3">
        <f>Vendas[[#This Row],[Valor da Venda]]-(_xlfn.XLOOKUP(Vendas[[#This Row],[ID Item Vendido]],Agregado[ID],Agregado[Custo])*Vendas[[#This Row],[Qnt Vendida]])</f>
        <v>63</v>
      </c>
      <c r="K129" s="70">
        <f>Vendas[[#This Row],[Lucro da Venda]]/Vendas[[#This Row],[Valor da Venda]]</f>
        <v>0.17948717948717949</v>
      </c>
      <c r="L129" s="3">
        <f>_xlfn.IFS(Vendas[[#This Row],[Margem de Lucro (%)]]&lt;15%,Vendas[[#This Row],[Valor da Venda]]*3%,Vendas[[#This Row],[Margem de Lucro (%)]]&lt;=20%,Vendas[[#This Row],[Valor da Venda]]*4.5%,TRUE,Vendas[[#This Row],[Valor da Venda]]*6%)</f>
        <v>15.795</v>
      </c>
      <c r="M129"/>
    </row>
    <row r="130" spans="1:13" x14ac:dyDescent="0.3">
      <c r="A130" s="7">
        <v>400255</v>
      </c>
      <c r="B130" t="str">
        <f>_xlfn.XLOOKUP(Vendas[[#This Row],[ID Vendedor]],Vendedores[ID],Vendedores[Nome])</f>
        <v>Carlos</v>
      </c>
      <c r="C130" s="7" t="str">
        <f>_xlfn.XLOOKUP(Vendas[[#This Row],[ID Vendedor]],Vendedores[ID],Vendedores[Setor])</f>
        <v>SC</v>
      </c>
      <c r="D130" s="7" t="s">
        <v>42</v>
      </c>
      <c r="E130" t="str">
        <f>_xlfn.XLOOKUP(Vendas[[#This Row],[ID Item Vendido]],Agregado[ID],Agregado[Produto])</f>
        <v>Container de ferro industrial</v>
      </c>
      <c r="F130" s="39">
        <v>43388</v>
      </c>
      <c r="G130" s="7">
        <v>5</v>
      </c>
      <c r="H130" s="3">
        <f>_xlfn.XLOOKUP(Vendas[[#This Row],[ID Item Vendido]],Agregado[ID],Agregado[Revenda])</f>
        <v>830</v>
      </c>
      <c r="I130" s="3">
        <f>Vendas[[#This Row],[Valor Unitário]]*Vendas[[#This Row],[Qnt Vendida]]</f>
        <v>4150</v>
      </c>
      <c r="J130" s="3">
        <f>Vendas[[#This Row],[Valor da Venda]]-(_xlfn.XLOOKUP(Vendas[[#This Row],[ID Item Vendido]],Agregado[ID],Agregado[Custo])*Vendas[[#This Row],[Qnt Vendida]])</f>
        <v>750</v>
      </c>
      <c r="K130" s="70">
        <f>Vendas[[#This Row],[Lucro da Venda]]/Vendas[[#This Row],[Valor da Venda]]</f>
        <v>0.18072289156626506</v>
      </c>
      <c r="L130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30"/>
    </row>
    <row r="131" spans="1:13" x14ac:dyDescent="0.3">
      <c r="A131" s="7">
        <v>400255</v>
      </c>
      <c r="B131" t="str">
        <f>_xlfn.XLOOKUP(Vendas[[#This Row],[ID Vendedor]],Vendedores[ID],Vendedores[Nome])</f>
        <v>Carlos</v>
      </c>
      <c r="C131" s="7" t="str">
        <f>_xlfn.XLOOKUP(Vendas[[#This Row],[ID Vendedor]],Vendedores[ID],Vendedores[Setor])</f>
        <v>SC</v>
      </c>
      <c r="D131" s="7" t="s">
        <v>25</v>
      </c>
      <c r="E131" t="str">
        <f>_xlfn.XLOOKUP(Vendas[[#This Row],[ID Item Vendido]],Agregado[ID],Agregado[Produto])</f>
        <v>Palete de plástico</v>
      </c>
      <c r="F131" s="39">
        <v>43393</v>
      </c>
      <c r="G131" s="7">
        <v>1</v>
      </c>
      <c r="H131" s="3">
        <f>_xlfn.XLOOKUP(Vendas[[#This Row],[ID Item Vendido]],Agregado[ID],Agregado[Revenda])</f>
        <v>70.8</v>
      </c>
      <c r="I131" s="3">
        <f>Vendas[[#This Row],[Valor Unitário]]*Vendas[[#This Row],[Qnt Vendida]]</f>
        <v>70.8</v>
      </c>
      <c r="J131" s="3">
        <f>Vendas[[#This Row],[Valor da Venda]]-(_xlfn.XLOOKUP(Vendas[[#This Row],[ID Item Vendido]],Agregado[ID],Agregado[Custo])*Vendas[[#This Row],[Qnt Vendida]])</f>
        <v>10.799999999999997</v>
      </c>
      <c r="K131" s="70">
        <f>Vendas[[#This Row],[Lucro da Venda]]/Vendas[[#This Row],[Valor da Venda]]</f>
        <v>0.15254237288135589</v>
      </c>
      <c r="L131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131"/>
    </row>
    <row r="132" spans="1:13" x14ac:dyDescent="0.3">
      <c r="A132" s="7">
        <v>400245</v>
      </c>
      <c r="B132" t="str">
        <f>_xlfn.XLOOKUP(Vendas[[#This Row],[ID Vendedor]],Vendedores[ID],Vendedores[Nome])</f>
        <v>Thiago</v>
      </c>
      <c r="C132" s="7" t="str">
        <f>_xlfn.XLOOKUP(Vendas[[#This Row],[ID Vendedor]],Vendedores[ID],Vendedores[Setor])</f>
        <v>AHD</v>
      </c>
      <c r="D132" s="7" t="s">
        <v>18</v>
      </c>
      <c r="E132" t="str">
        <f>_xlfn.XLOOKUP(Vendas[[#This Row],[ID Item Vendido]],Agregado[ID],Agregado[Produto])</f>
        <v>Peça forjada sob encomenda</v>
      </c>
      <c r="F132" s="39">
        <v>43394</v>
      </c>
      <c r="G132" s="7">
        <v>3</v>
      </c>
      <c r="H132" s="3">
        <f>_xlfn.XLOOKUP(Vendas[[#This Row],[ID Item Vendido]],Agregado[ID],Agregado[Revenda])</f>
        <v>264.60000000000002</v>
      </c>
      <c r="I132" s="3">
        <f>Vendas[[#This Row],[Valor Unitário]]*Vendas[[#This Row],[Qnt Vendida]]</f>
        <v>793.80000000000007</v>
      </c>
      <c r="J132" s="3">
        <f>Vendas[[#This Row],[Valor da Venda]]-(_xlfn.XLOOKUP(Vendas[[#This Row],[ID Item Vendido]],Agregado[ID],Agregado[Custo])*Vendas[[#This Row],[Qnt Vendida]])</f>
        <v>43.800000000000068</v>
      </c>
      <c r="K132" s="70">
        <f>Vendas[[#This Row],[Lucro da Venda]]/Vendas[[#This Row],[Valor da Venda]]</f>
        <v>5.5177626606198113E-2</v>
      </c>
      <c r="L132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132"/>
    </row>
    <row r="133" spans="1:13" x14ac:dyDescent="0.3">
      <c r="A133" s="7">
        <v>400243</v>
      </c>
      <c r="B133" t="str">
        <f>_xlfn.XLOOKUP(Vendas[[#This Row],[ID Vendedor]],Vendedores[ID],Vendedores[Nome])</f>
        <v>Marcelo</v>
      </c>
      <c r="C133" s="7" t="str">
        <f>_xlfn.XLOOKUP(Vendas[[#This Row],[ID Vendedor]],Vendedores[ID],Vendedores[Setor])</f>
        <v>FM</v>
      </c>
      <c r="D133" s="7" t="s">
        <v>31</v>
      </c>
      <c r="E133" t="str">
        <f>_xlfn.XLOOKUP(Vendas[[#This Row],[ID Item Vendido]],Agregado[ID],Agregado[Produto])</f>
        <v>Tela de metal soldada rolo 2x25m</v>
      </c>
      <c r="F133" s="39">
        <v>43394</v>
      </c>
      <c r="G133" s="7">
        <v>16</v>
      </c>
      <c r="H133" s="3">
        <f>_xlfn.XLOOKUP(Vendas[[#This Row],[ID Item Vendido]],Agregado[ID],Agregado[Revenda])</f>
        <v>43.7</v>
      </c>
      <c r="I133" s="3">
        <f>Vendas[[#This Row],[Valor Unitário]]*Vendas[[#This Row],[Qnt Vendida]]</f>
        <v>699.2</v>
      </c>
      <c r="J133" s="3">
        <f>Vendas[[#This Row],[Valor da Venda]]-(_xlfn.XLOOKUP(Vendas[[#This Row],[ID Item Vendido]],Agregado[ID],Agregado[Custo])*Vendas[[#This Row],[Qnt Vendida]])</f>
        <v>91.200000000000045</v>
      </c>
      <c r="K133" s="70">
        <f>Vendas[[#This Row],[Lucro da Venda]]/Vendas[[#This Row],[Valor da Venda]]</f>
        <v>0.1304347826086957</v>
      </c>
      <c r="L133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133"/>
    </row>
    <row r="134" spans="1:13" x14ac:dyDescent="0.3">
      <c r="A134" s="7">
        <v>400245</v>
      </c>
      <c r="B134" t="str">
        <f>_xlfn.XLOOKUP(Vendas[[#This Row],[ID Vendedor]],Vendedores[ID],Vendedores[Nome])</f>
        <v>Thiago</v>
      </c>
      <c r="C134" s="7" t="str">
        <f>_xlfn.XLOOKUP(Vendas[[#This Row],[ID Vendedor]],Vendedores[ID],Vendedores[Setor])</f>
        <v>AHD</v>
      </c>
      <c r="D134" s="7" t="s">
        <v>18</v>
      </c>
      <c r="E134" t="str">
        <f>_xlfn.XLOOKUP(Vendas[[#This Row],[ID Item Vendido]],Agregado[ID],Agregado[Produto])</f>
        <v>Peça forjada sob encomenda</v>
      </c>
      <c r="F134" s="39">
        <v>43396</v>
      </c>
      <c r="G134" s="7">
        <v>5</v>
      </c>
      <c r="H134" s="3">
        <f>_xlfn.XLOOKUP(Vendas[[#This Row],[ID Item Vendido]],Agregado[ID],Agregado[Revenda])</f>
        <v>264.60000000000002</v>
      </c>
      <c r="I134" s="3">
        <f>Vendas[[#This Row],[Valor Unitário]]*Vendas[[#This Row],[Qnt Vendida]]</f>
        <v>1323</v>
      </c>
      <c r="J134" s="3">
        <f>Vendas[[#This Row],[Valor da Venda]]-(_xlfn.XLOOKUP(Vendas[[#This Row],[ID Item Vendido]],Agregado[ID],Agregado[Custo])*Vendas[[#This Row],[Qnt Vendida]])</f>
        <v>73</v>
      </c>
      <c r="K134" s="70">
        <f>Vendas[[#This Row],[Lucro da Venda]]/Vendas[[#This Row],[Valor da Venda]]</f>
        <v>5.5177626606198037E-2</v>
      </c>
      <c r="L13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34"/>
    </row>
    <row r="135" spans="1:13" x14ac:dyDescent="0.3">
      <c r="A135" s="7">
        <v>400245</v>
      </c>
      <c r="B135" t="str">
        <f>_xlfn.XLOOKUP(Vendas[[#This Row],[ID Vendedor]],Vendedores[ID],Vendedores[Nome])</f>
        <v>Thiago</v>
      </c>
      <c r="C135" s="7" t="str">
        <f>_xlfn.XLOOKUP(Vendas[[#This Row],[ID Vendedor]],Vendedores[ID],Vendedores[Setor])</f>
        <v>AHD</v>
      </c>
      <c r="D135" s="7" t="s">
        <v>18</v>
      </c>
      <c r="E135" t="str">
        <f>_xlfn.XLOOKUP(Vendas[[#This Row],[ID Item Vendido]],Agregado[ID],Agregado[Produto])</f>
        <v>Peça forjada sob encomenda</v>
      </c>
      <c r="F135" s="39">
        <v>43396</v>
      </c>
      <c r="G135" s="7">
        <v>4</v>
      </c>
      <c r="H135" s="3">
        <f>_xlfn.XLOOKUP(Vendas[[#This Row],[ID Item Vendido]],Agregado[ID],Agregado[Revenda])</f>
        <v>264.60000000000002</v>
      </c>
      <c r="I135" s="3">
        <f>Vendas[[#This Row],[Valor Unitário]]*Vendas[[#This Row],[Qnt Vendida]]</f>
        <v>1058.4000000000001</v>
      </c>
      <c r="J135" s="3">
        <f>Vendas[[#This Row],[Valor da Venda]]-(_xlfn.XLOOKUP(Vendas[[#This Row],[ID Item Vendido]],Agregado[ID],Agregado[Custo])*Vendas[[#This Row],[Qnt Vendida]])</f>
        <v>58.400000000000091</v>
      </c>
      <c r="K135" s="70">
        <f>Vendas[[#This Row],[Lucro da Venda]]/Vendas[[#This Row],[Valor da Venda]]</f>
        <v>5.5177626606198113E-2</v>
      </c>
      <c r="L135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135"/>
    </row>
    <row r="136" spans="1:13" x14ac:dyDescent="0.3">
      <c r="A136" s="7">
        <v>400243</v>
      </c>
      <c r="B136" t="str">
        <f>_xlfn.XLOOKUP(Vendas[[#This Row],[ID Vendedor]],Vendedores[ID],Vendedores[Nome])</f>
        <v>Marcelo</v>
      </c>
      <c r="C136" s="7" t="str">
        <f>_xlfn.XLOOKUP(Vendas[[#This Row],[ID Vendedor]],Vendedores[ID],Vendedores[Setor])</f>
        <v>FM</v>
      </c>
      <c r="D136" s="7" t="s">
        <v>47</v>
      </c>
      <c r="E136" t="str">
        <f>_xlfn.XLOOKUP(Vendas[[#This Row],[ID Item Vendido]],Agregado[ID],Agregado[Produto])</f>
        <v>Fio de arame galvanizado rolo 50m</v>
      </c>
      <c r="F136" s="39">
        <v>43397</v>
      </c>
      <c r="G136" s="7">
        <v>25</v>
      </c>
      <c r="H136" s="3">
        <f>_xlfn.XLOOKUP(Vendas[[#This Row],[ID Item Vendido]],Agregado[ID],Agregado[Revenda])</f>
        <v>21.2</v>
      </c>
      <c r="I136" s="3">
        <f>Vendas[[#This Row],[Valor Unitário]]*Vendas[[#This Row],[Qnt Vendida]]</f>
        <v>530</v>
      </c>
      <c r="J136" s="3">
        <f>Vendas[[#This Row],[Valor da Venda]]-(_xlfn.XLOOKUP(Vendas[[#This Row],[ID Item Vendido]],Agregado[ID],Agregado[Custo])*Vendas[[#This Row],[Qnt Vendida]])</f>
        <v>80</v>
      </c>
      <c r="K136" s="70">
        <f>Vendas[[#This Row],[Lucro da Venda]]/Vendas[[#This Row],[Valor da Venda]]</f>
        <v>0.15094339622641509</v>
      </c>
      <c r="L136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136"/>
    </row>
    <row r="137" spans="1:13" x14ac:dyDescent="0.3">
      <c r="A137" s="7">
        <v>400245</v>
      </c>
      <c r="B137" t="str">
        <f>_xlfn.XLOOKUP(Vendas[[#This Row],[ID Vendedor]],Vendedores[ID],Vendedores[Nome])</f>
        <v>Thiago</v>
      </c>
      <c r="C137" s="7" t="str">
        <f>_xlfn.XLOOKUP(Vendas[[#This Row],[ID Vendedor]],Vendedores[ID],Vendedores[Setor])</f>
        <v>AHD</v>
      </c>
      <c r="D137" s="7" t="s">
        <v>18</v>
      </c>
      <c r="E137" t="str">
        <f>_xlfn.XLOOKUP(Vendas[[#This Row],[ID Item Vendido]],Agregado[ID],Agregado[Produto])</f>
        <v>Peça forjada sob encomenda</v>
      </c>
      <c r="F137" s="39">
        <v>43398</v>
      </c>
      <c r="G137" s="7">
        <v>2</v>
      </c>
      <c r="H137" s="3">
        <f>_xlfn.XLOOKUP(Vendas[[#This Row],[ID Item Vendido]],Agregado[ID],Agregado[Revenda])</f>
        <v>264.60000000000002</v>
      </c>
      <c r="I137" s="3">
        <f>Vendas[[#This Row],[Valor Unitário]]*Vendas[[#This Row],[Qnt Vendida]]</f>
        <v>529.20000000000005</v>
      </c>
      <c r="J137" s="3">
        <f>Vendas[[#This Row],[Valor da Venda]]-(_xlfn.XLOOKUP(Vendas[[#This Row],[ID Item Vendido]],Agregado[ID],Agregado[Custo])*Vendas[[#This Row],[Qnt Vendida]])</f>
        <v>29.200000000000045</v>
      </c>
      <c r="K137" s="70">
        <f>Vendas[[#This Row],[Lucro da Venda]]/Vendas[[#This Row],[Valor da Venda]]</f>
        <v>5.5177626606198113E-2</v>
      </c>
      <c r="L137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37"/>
    </row>
    <row r="138" spans="1:13" x14ac:dyDescent="0.3">
      <c r="A138" s="7">
        <v>400243</v>
      </c>
      <c r="B138" t="str">
        <f>_xlfn.XLOOKUP(Vendas[[#This Row],[ID Vendedor]],Vendedores[ID],Vendedores[Nome])</f>
        <v>Marcelo</v>
      </c>
      <c r="C138" s="7" t="str">
        <f>_xlfn.XLOOKUP(Vendas[[#This Row],[ID Vendedor]],Vendedores[ID],Vendedores[Setor])</f>
        <v>FM</v>
      </c>
      <c r="D138" s="7" t="s">
        <v>31</v>
      </c>
      <c r="E138" t="str">
        <f>_xlfn.XLOOKUP(Vendas[[#This Row],[ID Item Vendido]],Agregado[ID],Agregado[Produto])</f>
        <v>Tela de metal soldada rolo 2x25m</v>
      </c>
      <c r="F138" s="39">
        <v>43399</v>
      </c>
      <c r="G138" s="7">
        <v>15</v>
      </c>
      <c r="H138" s="3">
        <f>_xlfn.XLOOKUP(Vendas[[#This Row],[ID Item Vendido]],Agregado[ID],Agregado[Revenda])</f>
        <v>43.7</v>
      </c>
      <c r="I138" s="3">
        <f>Vendas[[#This Row],[Valor Unitário]]*Vendas[[#This Row],[Qnt Vendida]]</f>
        <v>655.5</v>
      </c>
      <c r="J138" s="3">
        <f>Vendas[[#This Row],[Valor da Venda]]-(_xlfn.XLOOKUP(Vendas[[#This Row],[ID Item Vendido]],Agregado[ID],Agregado[Custo])*Vendas[[#This Row],[Qnt Vendida]])</f>
        <v>85.5</v>
      </c>
      <c r="K138" s="70">
        <f>Vendas[[#This Row],[Lucro da Venda]]/Vendas[[#This Row],[Valor da Venda]]</f>
        <v>0.13043478260869565</v>
      </c>
      <c r="L138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138"/>
    </row>
    <row r="139" spans="1:13" x14ac:dyDescent="0.3">
      <c r="A139" s="7">
        <v>400243</v>
      </c>
      <c r="B139" t="str">
        <f>_xlfn.XLOOKUP(Vendas[[#This Row],[ID Vendedor]],Vendedores[ID],Vendedores[Nome])</f>
        <v>Marcelo</v>
      </c>
      <c r="C139" s="7" t="str">
        <f>_xlfn.XLOOKUP(Vendas[[#This Row],[ID Vendedor]],Vendedores[ID],Vendedores[Setor])</f>
        <v>FM</v>
      </c>
      <c r="D139" s="7" t="s">
        <v>47</v>
      </c>
      <c r="E139" t="str">
        <f>_xlfn.XLOOKUP(Vendas[[#This Row],[ID Item Vendido]],Agregado[ID],Agregado[Produto])</f>
        <v>Fio de arame galvanizado rolo 50m</v>
      </c>
      <c r="F139" s="39">
        <v>43401</v>
      </c>
      <c r="G139" s="7">
        <v>23</v>
      </c>
      <c r="H139" s="3">
        <f>_xlfn.XLOOKUP(Vendas[[#This Row],[ID Item Vendido]],Agregado[ID],Agregado[Revenda])</f>
        <v>21.2</v>
      </c>
      <c r="I139" s="3">
        <f>Vendas[[#This Row],[Valor Unitário]]*Vendas[[#This Row],[Qnt Vendida]]</f>
        <v>487.59999999999997</v>
      </c>
      <c r="J139" s="3">
        <f>Vendas[[#This Row],[Valor da Venda]]-(_xlfn.XLOOKUP(Vendas[[#This Row],[ID Item Vendido]],Agregado[ID],Agregado[Custo])*Vendas[[#This Row],[Qnt Vendida]])</f>
        <v>73.599999999999966</v>
      </c>
      <c r="K139" s="70">
        <f>Vendas[[#This Row],[Lucro da Venda]]/Vendas[[#This Row],[Valor da Venda]]</f>
        <v>0.15094339622641503</v>
      </c>
      <c r="L139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139"/>
    </row>
    <row r="140" spans="1:13" x14ac:dyDescent="0.3">
      <c r="A140" s="7">
        <v>400249</v>
      </c>
      <c r="B140" t="str">
        <f>_xlfn.XLOOKUP(Vendas[[#This Row],[ID Vendedor]],Vendedores[ID],Vendedores[Nome])</f>
        <v>Bruno</v>
      </c>
      <c r="C140" s="7" t="str">
        <f>_xlfn.XLOOKUP(Vendas[[#This Row],[ID Vendedor]],Vendedores[ID],Vendedores[Setor])</f>
        <v>CM</v>
      </c>
      <c r="D140" s="7" t="s">
        <v>34</v>
      </c>
      <c r="E140" t="str">
        <f>_xlfn.XLOOKUP(Vendas[[#This Row],[ID Item Vendido]],Agregado[ID],Agregado[Produto])</f>
        <v>Restos de madeira p/ MDP/OSB saco de 20kg</v>
      </c>
      <c r="F140" s="39">
        <v>43404</v>
      </c>
      <c r="G140" s="7">
        <v>30</v>
      </c>
      <c r="H140" s="3">
        <f>_xlfn.XLOOKUP(Vendas[[#This Row],[ID Item Vendido]],Agregado[ID],Agregado[Revenda])</f>
        <v>13.8</v>
      </c>
      <c r="I140" s="3">
        <f>Vendas[[#This Row],[Valor Unitário]]*Vendas[[#This Row],[Qnt Vendida]]</f>
        <v>414</v>
      </c>
      <c r="J140" s="3">
        <f>Vendas[[#This Row],[Valor da Venda]]-(_xlfn.XLOOKUP(Vendas[[#This Row],[ID Item Vendido]],Agregado[ID],Agregado[Custo])*Vendas[[#This Row],[Qnt Vendida]])</f>
        <v>54</v>
      </c>
      <c r="K140" s="70">
        <f>Vendas[[#This Row],[Lucro da Venda]]/Vendas[[#This Row],[Valor da Venda]]</f>
        <v>0.13043478260869565</v>
      </c>
      <c r="L140" s="3">
        <f>_xlfn.IFS(Vendas[[#This Row],[Margem de Lucro (%)]]&lt;15%,Vendas[[#This Row],[Valor da Venda]]*3%,Vendas[[#This Row],[Margem de Lucro (%)]]&lt;=20%,Vendas[[#This Row],[Valor da Venda]]*4.5%,TRUE,Vendas[[#This Row],[Valor da Venda]]*6%)</f>
        <v>12.42</v>
      </c>
      <c r="M140"/>
    </row>
    <row r="141" spans="1:13" x14ac:dyDescent="0.3">
      <c r="A141" s="7">
        <v>400243</v>
      </c>
      <c r="B141" t="str">
        <f>_xlfn.XLOOKUP(Vendas[[#This Row],[ID Vendedor]],Vendedores[ID],Vendedores[Nome])</f>
        <v>Marcelo</v>
      </c>
      <c r="C141" s="7" t="str">
        <f>_xlfn.XLOOKUP(Vendas[[#This Row],[ID Vendedor]],Vendedores[ID],Vendedores[Setor])</f>
        <v>FM</v>
      </c>
      <c r="D141" s="7" t="s">
        <v>20</v>
      </c>
      <c r="E141" t="str">
        <f>_xlfn.XLOOKUP(Vendas[[#This Row],[ID Item Vendido]],Agregado[ID],Agregado[Produto])</f>
        <v>Barra de aço simples</v>
      </c>
      <c r="F141" s="39">
        <v>43408</v>
      </c>
      <c r="G141" s="7">
        <v>36</v>
      </c>
      <c r="H141" s="3">
        <f>_xlfn.XLOOKUP(Vendas[[#This Row],[ID Item Vendido]],Agregado[ID],Agregado[Revenda])</f>
        <v>4.8</v>
      </c>
      <c r="I141" s="3">
        <f>Vendas[[#This Row],[Valor Unitário]]*Vendas[[#This Row],[Qnt Vendida]]</f>
        <v>172.79999999999998</v>
      </c>
      <c r="J141" s="3">
        <f>Vendas[[#This Row],[Valor da Venda]]-(_xlfn.XLOOKUP(Vendas[[#This Row],[ID Item Vendido]],Agregado[ID],Agregado[Custo])*Vendas[[#This Row],[Qnt Vendida]])</f>
        <v>21.599999999999966</v>
      </c>
      <c r="K141" s="70">
        <f>Vendas[[#This Row],[Lucro da Venda]]/Vendas[[#This Row],[Valor da Venda]]</f>
        <v>0.12499999999999982</v>
      </c>
      <c r="L141" s="3">
        <f>_xlfn.IFS(Vendas[[#This Row],[Margem de Lucro (%)]]&lt;15%,Vendas[[#This Row],[Valor da Venda]]*3%,Vendas[[#This Row],[Margem de Lucro (%)]]&lt;=20%,Vendas[[#This Row],[Valor da Venda]]*4.5%,TRUE,Vendas[[#This Row],[Valor da Venda]]*6%)</f>
        <v>5.1839999999999993</v>
      </c>
      <c r="M141"/>
    </row>
    <row r="142" spans="1:13" x14ac:dyDescent="0.3">
      <c r="A142" s="7">
        <v>400255</v>
      </c>
      <c r="B142" t="str">
        <f>_xlfn.XLOOKUP(Vendas[[#This Row],[ID Vendedor]],Vendedores[ID],Vendedores[Nome])</f>
        <v>Carlos</v>
      </c>
      <c r="C142" s="7" t="str">
        <f>_xlfn.XLOOKUP(Vendas[[#This Row],[ID Vendedor]],Vendedores[ID],Vendedores[Setor])</f>
        <v>SC</v>
      </c>
      <c r="D142" s="7" t="s">
        <v>48</v>
      </c>
      <c r="E142" t="str">
        <f>_xlfn.XLOOKUP(Vendas[[#This Row],[ID Item Vendido]],Agregado[ID],Agregado[Produto])</f>
        <v>Tambor metálico 200L</v>
      </c>
      <c r="F142" s="39">
        <v>43409</v>
      </c>
      <c r="G142" s="7">
        <v>14</v>
      </c>
      <c r="H142" s="3">
        <f>_xlfn.XLOOKUP(Vendas[[#This Row],[ID Item Vendido]],Agregado[ID],Agregado[Revenda])</f>
        <v>144</v>
      </c>
      <c r="I142" s="3">
        <f>Vendas[[#This Row],[Valor Unitário]]*Vendas[[#This Row],[Qnt Vendida]]</f>
        <v>2016</v>
      </c>
      <c r="J142" s="3">
        <f>Vendas[[#This Row],[Valor da Venda]]-(_xlfn.XLOOKUP(Vendas[[#This Row],[ID Item Vendido]],Agregado[ID],Agregado[Custo])*Vendas[[#This Row],[Qnt Vendida]])</f>
        <v>336</v>
      </c>
      <c r="K142" s="70">
        <f>Vendas[[#This Row],[Lucro da Venda]]/Vendas[[#This Row],[Valor da Venda]]</f>
        <v>0.16666666666666666</v>
      </c>
      <c r="L142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142"/>
    </row>
    <row r="143" spans="1:13" x14ac:dyDescent="0.3">
      <c r="A143" s="7">
        <v>400245</v>
      </c>
      <c r="B143" t="str">
        <f>_xlfn.XLOOKUP(Vendas[[#This Row],[ID Vendedor]],Vendedores[ID],Vendedores[Nome])</f>
        <v>Thiago</v>
      </c>
      <c r="C143" s="7" t="str">
        <f>_xlfn.XLOOKUP(Vendas[[#This Row],[ID Vendedor]],Vendedores[ID],Vendedores[Setor])</f>
        <v>AHD</v>
      </c>
      <c r="D143" s="7" t="s">
        <v>44</v>
      </c>
      <c r="E143" t="str">
        <f>_xlfn.XLOOKUP(Vendas[[#This Row],[ID Item Vendido]],Agregado[ID],Agregado[Produto])</f>
        <v>Liga metálica especial</v>
      </c>
      <c r="F143" s="39">
        <v>43409</v>
      </c>
      <c r="G143" s="7">
        <v>55</v>
      </c>
      <c r="H143" s="3">
        <f>_xlfn.XLOOKUP(Vendas[[#This Row],[ID Item Vendido]],Agregado[ID],Agregado[Revenda])</f>
        <v>32.5</v>
      </c>
      <c r="I143" s="3">
        <f>Vendas[[#This Row],[Valor Unitário]]*Vendas[[#This Row],[Qnt Vendida]]</f>
        <v>1787.5</v>
      </c>
      <c r="J143" s="3">
        <f>Vendas[[#This Row],[Valor da Venda]]-(_xlfn.XLOOKUP(Vendas[[#This Row],[ID Item Vendido]],Agregado[ID],Agregado[Custo])*Vendas[[#This Row],[Qnt Vendida]])</f>
        <v>412.5</v>
      </c>
      <c r="K143" s="70">
        <f>Vendas[[#This Row],[Lucro da Venda]]/Vendas[[#This Row],[Valor da Venda]]</f>
        <v>0.23076923076923078</v>
      </c>
      <c r="L143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143"/>
    </row>
    <row r="144" spans="1:13" x14ac:dyDescent="0.3">
      <c r="A144" s="7">
        <v>400255</v>
      </c>
      <c r="B144" t="str">
        <f>_xlfn.XLOOKUP(Vendas[[#This Row],[ID Vendedor]],Vendedores[ID],Vendedores[Nome])</f>
        <v>Carlos</v>
      </c>
      <c r="C144" s="7" t="str">
        <f>_xlfn.XLOOKUP(Vendas[[#This Row],[ID Vendedor]],Vendedores[ID],Vendedores[Setor])</f>
        <v>SC</v>
      </c>
      <c r="D144" s="7" t="s">
        <v>14</v>
      </c>
      <c r="E144" t="str">
        <f>_xlfn.XLOOKUP(Vendas[[#This Row],[ID Item Vendido]],Agregado[ID],Agregado[Produto])</f>
        <v>Barril de plástico 200L</v>
      </c>
      <c r="F144" s="39">
        <v>43410</v>
      </c>
      <c r="G144" s="7">
        <v>6</v>
      </c>
      <c r="H144" s="3">
        <f>_xlfn.XLOOKUP(Vendas[[#This Row],[ID Item Vendido]],Agregado[ID],Agregado[Revenda])</f>
        <v>114</v>
      </c>
      <c r="I144" s="3">
        <f>Vendas[[#This Row],[Valor Unitário]]*Vendas[[#This Row],[Qnt Vendida]]</f>
        <v>684</v>
      </c>
      <c r="J144" s="3">
        <f>Vendas[[#This Row],[Valor da Venda]]-(_xlfn.XLOOKUP(Vendas[[#This Row],[ID Item Vendido]],Agregado[ID],Agregado[Custo])*Vendas[[#This Row],[Qnt Vendida]])</f>
        <v>114</v>
      </c>
      <c r="K144" s="70">
        <f>Vendas[[#This Row],[Lucro da Venda]]/Vendas[[#This Row],[Valor da Venda]]</f>
        <v>0.16666666666666666</v>
      </c>
      <c r="L144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144"/>
    </row>
    <row r="145" spans="1:13" x14ac:dyDescent="0.3">
      <c r="A145" s="7">
        <v>400245</v>
      </c>
      <c r="B145" t="str">
        <f>_xlfn.XLOOKUP(Vendas[[#This Row],[ID Vendedor]],Vendedores[ID],Vendedores[Nome])</f>
        <v>Thiago</v>
      </c>
      <c r="C145" s="7" t="str">
        <f>_xlfn.XLOOKUP(Vendas[[#This Row],[ID Vendedor]],Vendedores[ID],Vendedores[Setor])</f>
        <v>AHD</v>
      </c>
      <c r="D145" s="7" t="s">
        <v>44</v>
      </c>
      <c r="E145" t="str">
        <f>_xlfn.XLOOKUP(Vendas[[#This Row],[ID Item Vendido]],Agregado[ID],Agregado[Produto])</f>
        <v>Liga metálica especial</v>
      </c>
      <c r="F145" s="39">
        <v>43411</v>
      </c>
      <c r="G145" s="7">
        <v>43</v>
      </c>
      <c r="H145" s="3">
        <f>_xlfn.XLOOKUP(Vendas[[#This Row],[ID Item Vendido]],Agregado[ID],Agregado[Revenda])</f>
        <v>32.5</v>
      </c>
      <c r="I145" s="3">
        <f>Vendas[[#This Row],[Valor Unitário]]*Vendas[[#This Row],[Qnt Vendida]]</f>
        <v>1397.5</v>
      </c>
      <c r="J145" s="3">
        <f>Vendas[[#This Row],[Valor da Venda]]-(_xlfn.XLOOKUP(Vendas[[#This Row],[ID Item Vendido]],Agregado[ID],Agregado[Custo])*Vendas[[#This Row],[Qnt Vendida]])</f>
        <v>322.5</v>
      </c>
      <c r="K145" s="70">
        <f>Vendas[[#This Row],[Lucro da Venda]]/Vendas[[#This Row],[Valor da Venda]]</f>
        <v>0.23076923076923078</v>
      </c>
      <c r="L145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145"/>
    </row>
    <row r="146" spans="1:13" x14ac:dyDescent="0.3">
      <c r="A146" s="7">
        <v>400249</v>
      </c>
      <c r="B146" t="str">
        <f>_xlfn.XLOOKUP(Vendas[[#This Row],[ID Vendedor]],Vendedores[ID],Vendedores[Nome])</f>
        <v>Bruno</v>
      </c>
      <c r="C146" s="7" t="str">
        <f>_xlfn.XLOOKUP(Vendas[[#This Row],[ID Vendedor]],Vendedores[ID],Vendedores[Setor])</f>
        <v>CM</v>
      </c>
      <c r="D146" s="7" t="s">
        <v>22</v>
      </c>
      <c r="E146" t="str">
        <f>_xlfn.XLOOKUP(Vendas[[#This Row],[ID Item Vendido]],Agregado[ID],Agregado[Produto])</f>
        <v>Painel MDP 2,75x1,83m</v>
      </c>
      <c r="F146" s="39">
        <v>43412</v>
      </c>
      <c r="G146" s="7">
        <v>10</v>
      </c>
      <c r="H146" s="3">
        <f>_xlfn.XLOOKUP(Vendas[[#This Row],[ID Item Vendido]],Agregado[ID],Agregado[Revenda])</f>
        <v>119</v>
      </c>
      <c r="I146" s="3">
        <f>Vendas[[#This Row],[Valor Unitário]]*Vendas[[#This Row],[Qnt Vendida]]</f>
        <v>1190</v>
      </c>
      <c r="J146" s="3">
        <f>Vendas[[#This Row],[Valor da Venda]]-(_xlfn.XLOOKUP(Vendas[[#This Row],[ID Item Vendido]],Agregado[ID],Agregado[Custo])*Vendas[[#This Row],[Qnt Vendida]])</f>
        <v>240</v>
      </c>
      <c r="K146" s="70">
        <f>Vendas[[#This Row],[Lucro da Venda]]/Vendas[[#This Row],[Valor da Venda]]</f>
        <v>0.20168067226890757</v>
      </c>
      <c r="L146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46"/>
    </row>
    <row r="147" spans="1:13" x14ac:dyDescent="0.3">
      <c r="A147" s="7">
        <v>400249</v>
      </c>
      <c r="B147" t="str">
        <f>_xlfn.XLOOKUP(Vendas[[#This Row],[ID Vendedor]],Vendedores[ID],Vendedores[Nome])</f>
        <v>Bruno</v>
      </c>
      <c r="C147" s="7" t="str">
        <f>_xlfn.XLOOKUP(Vendas[[#This Row],[ID Vendedor]],Vendedores[ID],Vendedores[Setor])</f>
        <v>CM</v>
      </c>
      <c r="D147" s="7" t="s">
        <v>43</v>
      </c>
      <c r="E147" t="str">
        <f>_xlfn.XLOOKUP(Vendas[[#This Row],[ID Item Vendido]],Agregado[ID],Agregado[Produto])</f>
        <v>Madeira Bruta (Tora)</v>
      </c>
      <c r="F147" s="39">
        <v>43413</v>
      </c>
      <c r="G147" s="7">
        <v>2</v>
      </c>
      <c r="H147" s="3">
        <f>_xlfn.XLOOKUP(Vendas[[#This Row],[ID Item Vendido]],Agregado[ID],Agregado[Revenda])</f>
        <v>212</v>
      </c>
      <c r="I147" s="3">
        <f>Vendas[[#This Row],[Valor Unitário]]*Vendas[[#This Row],[Qnt Vendida]]</f>
        <v>424</v>
      </c>
      <c r="J147" s="3">
        <f>Vendas[[#This Row],[Valor da Venda]]-(_xlfn.XLOOKUP(Vendas[[#This Row],[ID Item Vendido]],Agregado[ID],Agregado[Custo])*Vendas[[#This Row],[Qnt Vendida]])</f>
        <v>64</v>
      </c>
      <c r="K147" s="70">
        <f>Vendas[[#This Row],[Lucro da Venda]]/Vendas[[#This Row],[Valor da Venda]]</f>
        <v>0.15094339622641509</v>
      </c>
      <c r="L147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47"/>
    </row>
    <row r="148" spans="1:13" x14ac:dyDescent="0.3">
      <c r="A148" s="7">
        <v>400255</v>
      </c>
      <c r="B148" t="str">
        <f>_xlfn.XLOOKUP(Vendas[[#This Row],[ID Vendedor]],Vendedores[ID],Vendedores[Nome])</f>
        <v>Carlos</v>
      </c>
      <c r="C148" s="7" t="str">
        <f>_xlfn.XLOOKUP(Vendas[[#This Row],[ID Vendedor]],Vendedores[ID],Vendedores[Setor])</f>
        <v>SC</v>
      </c>
      <c r="D148" s="7" t="s">
        <v>41</v>
      </c>
      <c r="E148" t="str">
        <f>_xlfn.XLOOKUP(Vendas[[#This Row],[ID Item Vendido]],Agregado[ID],Agregado[Produto])</f>
        <v>Palete de madeira reforçado</v>
      </c>
      <c r="F148" s="39">
        <v>43414</v>
      </c>
      <c r="G148" s="7">
        <v>4</v>
      </c>
      <c r="H148" s="3">
        <f>_xlfn.XLOOKUP(Vendas[[#This Row],[ID Item Vendido]],Agregado[ID],Agregado[Revenda])</f>
        <v>131</v>
      </c>
      <c r="I148" s="3">
        <f>Vendas[[#This Row],[Valor Unitário]]*Vendas[[#This Row],[Qnt Vendida]]</f>
        <v>524</v>
      </c>
      <c r="J148" s="3">
        <f>Vendas[[#This Row],[Valor da Venda]]-(_xlfn.XLOOKUP(Vendas[[#This Row],[ID Item Vendido]],Agregado[ID],Agregado[Custo])*Vendas[[#This Row],[Qnt Vendida]])</f>
        <v>84</v>
      </c>
      <c r="K148" s="70">
        <f>Vendas[[#This Row],[Lucro da Venda]]/Vendas[[#This Row],[Valor da Venda]]</f>
        <v>0.16030534351145037</v>
      </c>
      <c r="L148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48"/>
    </row>
    <row r="149" spans="1:13" x14ac:dyDescent="0.3">
      <c r="A149" s="7">
        <v>400243</v>
      </c>
      <c r="B149" t="str">
        <f>_xlfn.XLOOKUP(Vendas[[#This Row],[ID Vendedor]],Vendedores[ID],Vendedores[Nome])</f>
        <v>Marcelo</v>
      </c>
      <c r="C149" s="7" t="str">
        <f>_xlfn.XLOOKUP(Vendas[[#This Row],[ID Vendedor]],Vendedores[ID],Vendedores[Setor])</f>
        <v>FM</v>
      </c>
      <c r="D149" s="7" t="s">
        <v>20</v>
      </c>
      <c r="E149" t="str">
        <f>_xlfn.XLOOKUP(Vendas[[#This Row],[ID Item Vendido]],Agregado[ID],Agregado[Produto])</f>
        <v>Barra de aço simples</v>
      </c>
      <c r="F149" s="39">
        <v>43416</v>
      </c>
      <c r="G149" s="7">
        <v>151</v>
      </c>
      <c r="H149" s="3">
        <f>_xlfn.XLOOKUP(Vendas[[#This Row],[ID Item Vendido]],Agregado[ID],Agregado[Revenda])</f>
        <v>4.8</v>
      </c>
      <c r="I149" s="3">
        <f>Vendas[[#This Row],[Valor Unitário]]*Vendas[[#This Row],[Qnt Vendida]]</f>
        <v>724.8</v>
      </c>
      <c r="J149" s="3">
        <f>Vendas[[#This Row],[Valor da Venda]]-(_xlfn.XLOOKUP(Vendas[[#This Row],[ID Item Vendido]],Agregado[ID],Agregado[Custo])*Vendas[[#This Row],[Qnt Vendida]])</f>
        <v>90.599999999999909</v>
      </c>
      <c r="K149" s="70">
        <f>Vendas[[#This Row],[Lucro da Venda]]/Vendas[[#This Row],[Valor da Venda]]</f>
        <v>0.12499999999999989</v>
      </c>
      <c r="L149" s="3">
        <f>_xlfn.IFS(Vendas[[#This Row],[Margem de Lucro (%)]]&lt;15%,Vendas[[#This Row],[Valor da Venda]]*3%,Vendas[[#This Row],[Margem de Lucro (%)]]&lt;=20%,Vendas[[#This Row],[Valor da Venda]]*4.5%,TRUE,Vendas[[#This Row],[Valor da Venda]]*6%)</f>
        <v>21.743999999999996</v>
      </c>
      <c r="M149"/>
    </row>
    <row r="150" spans="1:13" x14ac:dyDescent="0.3">
      <c r="A150" s="7">
        <v>400255</v>
      </c>
      <c r="B150" t="str">
        <f>_xlfn.XLOOKUP(Vendas[[#This Row],[ID Vendedor]],Vendedores[ID],Vendedores[Nome])</f>
        <v>Carlos</v>
      </c>
      <c r="C150" s="7" t="str">
        <f>_xlfn.XLOOKUP(Vendas[[#This Row],[ID Vendedor]],Vendedores[ID],Vendedores[Setor])</f>
        <v>SC</v>
      </c>
      <c r="D150" s="7" t="s">
        <v>42</v>
      </c>
      <c r="E150" t="str">
        <f>_xlfn.XLOOKUP(Vendas[[#This Row],[ID Item Vendido]],Agregado[ID],Agregado[Produto])</f>
        <v>Container de ferro industrial</v>
      </c>
      <c r="F150" s="39">
        <v>43417</v>
      </c>
      <c r="G150" s="7">
        <v>5</v>
      </c>
      <c r="H150" s="3">
        <f>_xlfn.XLOOKUP(Vendas[[#This Row],[ID Item Vendido]],Agregado[ID],Agregado[Revenda])</f>
        <v>830</v>
      </c>
      <c r="I150" s="3">
        <f>Vendas[[#This Row],[Valor Unitário]]*Vendas[[#This Row],[Qnt Vendida]]</f>
        <v>4150</v>
      </c>
      <c r="J150" s="3">
        <f>Vendas[[#This Row],[Valor da Venda]]-(_xlfn.XLOOKUP(Vendas[[#This Row],[ID Item Vendido]],Agregado[ID],Agregado[Custo])*Vendas[[#This Row],[Qnt Vendida]])</f>
        <v>750</v>
      </c>
      <c r="K150" s="70">
        <f>Vendas[[#This Row],[Lucro da Venda]]/Vendas[[#This Row],[Valor da Venda]]</f>
        <v>0.18072289156626506</v>
      </c>
      <c r="L150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50"/>
    </row>
    <row r="151" spans="1:13" x14ac:dyDescent="0.3">
      <c r="A151" s="7">
        <v>400245</v>
      </c>
      <c r="B151" t="str">
        <f>_xlfn.XLOOKUP(Vendas[[#This Row],[ID Vendedor]],Vendedores[ID],Vendedores[Nome])</f>
        <v>Thiago</v>
      </c>
      <c r="C151" s="7" t="str">
        <f>_xlfn.XLOOKUP(Vendas[[#This Row],[ID Vendedor]],Vendedores[ID],Vendedores[Setor])</f>
        <v>AHD</v>
      </c>
      <c r="D151" s="7" t="s">
        <v>28</v>
      </c>
      <c r="E151" t="str">
        <f>_xlfn.XLOOKUP(Vendas[[#This Row],[ID Item Vendido]],Agregado[ID],Agregado[Produto])</f>
        <v>Peça usinada CNC</v>
      </c>
      <c r="F151" s="39">
        <v>43417</v>
      </c>
      <c r="G151" s="7">
        <v>10</v>
      </c>
      <c r="H151" s="3">
        <f>_xlfn.XLOOKUP(Vendas[[#This Row],[ID Item Vendido]],Agregado[ID],Agregado[Revenda])</f>
        <v>192</v>
      </c>
      <c r="I151" s="3">
        <f>Vendas[[#This Row],[Valor Unitário]]*Vendas[[#This Row],[Qnt Vendida]]</f>
        <v>1920</v>
      </c>
      <c r="J151" s="3">
        <f>Vendas[[#This Row],[Valor da Venda]]-(_xlfn.XLOOKUP(Vendas[[#This Row],[ID Item Vendido]],Agregado[ID],Agregado[Custo])*Vendas[[#This Row],[Qnt Vendida]])</f>
        <v>420</v>
      </c>
      <c r="K151" s="70">
        <f>Vendas[[#This Row],[Lucro da Venda]]/Vendas[[#This Row],[Valor da Venda]]</f>
        <v>0.21875</v>
      </c>
      <c r="L151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151"/>
    </row>
    <row r="152" spans="1:13" x14ac:dyDescent="0.3">
      <c r="A152" s="7">
        <v>400249</v>
      </c>
      <c r="B152" t="str">
        <f>_xlfn.XLOOKUP(Vendas[[#This Row],[ID Vendedor]],Vendedores[ID],Vendedores[Nome])</f>
        <v>Bruno</v>
      </c>
      <c r="C152" s="7" t="str">
        <f>_xlfn.XLOOKUP(Vendas[[#This Row],[ID Vendedor]],Vendedores[ID],Vendedores[Setor])</f>
        <v>CM</v>
      </c>
      <c r="D152" s="7" t="s">
        <v>43</v>
      </c>
      <c r="E152" t="str">
        <f>_xlfn.XLOOKUP(Vendas[[#This Row],[ID Item Vendido]],Agregado[ID],Agregado[Produto])</f>
        <v>Madeira Bruta (Tora)</v>
      </c>
      <c r="F152" s="39">
        <v>43419</v>
      </c>
      <c r="G152" s="7">
        <v>2</v>
      </c>
      <c r="H152" s="3">
        <f>_xlfn.XLOOKUP(Vendas[[#This Row],[ID Item Vendido]],Agregado[ID],Agregado[Revenda])</f>
        <v>212</v>
      </c>
      <c r="I152" s="3">
        <f>Vendas[[#This Row],[Valor Unitário]]*Vendas[[#This Row],[Qnt Vendida]]</f>
        <v>424</v>
      </c>
      <c r="J152" s="3">
        <f>Vendas[[#This Row],[Valor da Venda]]-(_xlfn.XLOOKUP(Vendas[[#This Row],[ID Item Vendido]],Agregado[ID],Agregado[Custo])*Vendas[[#This Row],[Qnt Vendida]])</f>
        <v>64</v>
      </c>
      <c r="K152" s="70">
        <f>Vendas[[#This Row],[Lucro da Venda]]/Vendas[[#This Row],[Valor da Venda]]</f>
        <v>0.15094339622641509</v>
      </c>
      <c r="L152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52"/>
    </row>
    <row r="153" spans="1:13" x14ac:dyDescent="0.3">
      <c r="A153" s="7">
        <v>400249</v>
      </c>
      <c r="B153" t="str">
        <f>_xlfn.XLOOKUP(Vendas[[#This Row],[ID Vendedor]],Vendedores[ID],Vendedores[Nome])</f>
        <v>Bruno</v>
      </c>
      <c r="C153" s="7" t="str">
        <f>_xlfn.XLOOKUP(Vendas[[#This Row],[ID Vendedor]],Vendedores[ID],Vendedores[Setor])</f>
        <v>CM</v>
      </c>
      <c r="D153" s="7" t="s">
        <v>22</v>
      </c>
      <c r="E153" t="str">
        <f>_xlfn.XLOOKUP(Vendas[[#This Row],[ID Item Vendido]],Agregado[ID],Agregado[Produto])</f>
        <v>Painel MDP 2,75x1,83m</v>
      </c>
      <c r="F153" s="39">
        <v>43420</v>
      </c>
      <c r="G153" s="7">
        <v>6</v>
      </c>
      <c r="H153" s="3">
        <f>_xlfn.XLOOKUP(Vendas[[#This Row],[ID Item Vendido]],Agregado[ID],Agregado[Revenda])</f>
        <v>119</v>
      </c>
      <c r="I153" s="3">
        <f>Vendas[[#This Row],[Valor Unitário]]*Vendas[[#This Row],[Qnt Vendida]]</f>
        <v>714</v>
      </c>
      <c r="J153" s="3">
        <f>Vendas[[#This Row],[Valor da Venda]]-(_xlfn.XLOOKUP(Vendas[[#This Row],[ID Item Vendido]],Agregado[ID],Agregado[Custo])*Vendas[[#This Row],[Qnt Vendida]])</f>
        <v>144</v>
      </c>
      <c r="K153" s="70">
        <f>Vendas[[#This Row],[Lucro da Venda]]/Vendas[[#This Row],[Valor da Venda]]</f>
        <v>0.20168067226890757</v>
      </c>
      <c r="L153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153"/>
    </row>
    <row r="154" spans="1:13" x14ac:dyDescent="0.3">
      <c r="A154" s="7">
        <v>400249</v>
      </c>
      <c r="B154" t="str">
        <f>_xlfn.XLOOKUP(Vendas[[#This Row],[ID Vendedor]],Vendedores[ID],Vendedores[Nome])</f>
        <v>Bruno</v>
      </c>
      <c r="C154" s="7" t="str">
        <f>_xlfn.XLOOKUP(Vendas[[#This Row],[ID Vendedor]],Vendedores[ID],Vendedores[Setor])</f>
        <v>CM</v>
      </c>
      <c r="D154" s="7" t="s">
        <v>43</v>
      </c>
      <c r="E154" t="str">
        <f>_xlfn.XLOOKUP(Vendas[[#This Row],[ID Item Vendido]],Agregado[ID],Agregado[Produto])</f>
        <v>Madeira Bruta (Tora)</v>
      </c>
      <c r="F154" s="39">
        <v>43422</v>
      </c>
      <c r="G154" s="7">
        <v>11</v>
      </c>
      <c r="H154" s="3">
        <f>_xlfn.XLOOKUP(Vendas[[#This Row],[ID Item Vendido]],Agregado[ID],Agregado[Revenda])</f>
        <v>212</v>
      </c>
      <c r="I154" s="3">
        <f>Vendas[[#This Row],[Valor Unitário]]*Vendas[[#This Row],[Qnt Vendida]]</f>
        <v>2332</v>
      </c>
      <c r="J154" s="3">
        <f>Vendas[[#This Row],[Valor da Venda]]-(_xlfn.XLOOKUP(Vendas[[#This Row],[ID Item Vendido]],Agregado[ID],Agregado[Custo])*Vendas[[#This Row],[Qnt Vendida]])</f>
        <v>352</v>
      </c>
      <c r="K154" s="70">
        <f>Vendas[[#This Row],[Lucro da Venda]]/Vendas[[#This Row],[Valor da Venda]]</f>
        <v>0.15094339622641509</v>
      </c>
      <c r="L154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54"/>
    </row>
    <row r="155" spans="1:13" x14ac:dyDescent="0.3">
      <c r="A155" s="7">
        <v>400243</v>
      </c>
      <c r="B155" t="str">
        <f>_xlfn.XLOOKUP(Vendas[[#This Row],[ID Vendedor]],Vendedores[ID],Vendedores[Nome])</f>
        <v>Marcelo</v>
      </c>
      <c r="C155" s="7" t="str">
        <f>_xlfn.XLOOKUP(Vendas[[#This Row],[ID Vendedor]],Vendedores[ID],Vendedores[Setor])</f>
        <v>FM</v>
      </c>
      <c r="D155" s="7" t="s">
        <v>6</v>
      </c>
      <c r="E155" t="str">
        <f>_xlfn.XLOOKUP(Vendas[[#This Row],[ID Item Vendido]],Agregado[ID],Agregado[Produto])</f>
        <v>Parafuso comum 500un</v>
      </c>
      <c r="F155" s="39">
        <v>43422</v>
      </c>
      <c r="G155" s="7">
        <v>23</v>
      </c>
      <c r="H155" s="3">
        <f>_xlfn.XLOOKUP(Vendas[[#This Row],[ID Item Vendido]],Agregado[ID],Agregado[Revenda])</f>
        <v>24.6</v>
      </c>
      <c r="I155" s="3">
        <f>Vendas[[#This Row],[Valor Unitário]]*Vendas[[#This Row],[Qnt Vendida]]</f>
        <v>565.80000000000007</v>
      </c>
      <c r="J155" s="3">
        <f>Vendas[[#This Row],[Valor da Venda]]-(_xlfn.XLOOKUP(Vendas[[#This Row],[ID Item Vendido]],Agregado[ID],Agregado[Custo])*Vendas[[#This Row],[Qnt Vendida]])</f>
        <v>59.800000000000068</v>
      </c>
      <c r="K155" s="70">
        <f>Vendas[[#This Row],[Lucro da Venda]]/Vendas[[#This Row],[Valor da Venda]]</f>
        <v>0.10569105691056921</v>
      </c>
      <c r="L155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155"/>
    </row>
    <row r="156" spans="1:13" x14ac:dyDescent="0.3">
      <c r="A156" s="7">
        <v>400243</v>
      </c>
      <c r="B156" t="str">
        <f>_xlfn.XLOOKUP(Vendas[[#This Row],[ID Vendedor]],Vendedores[ID],Vendedores[Nome])</f>
        <v>Marcelo</v>
      </c>
      <c r="C156" s="7" t="str">
        <f>_xlfn.XLOOKUP(Vendas[[#This Row],[ID Vendedor]],Vendedores[ID],Vendedores[Setor])</f>
        <v>FM</v>
      </c>
      <c r="D156" s="7" t="s">
        <v>31</v>
      </c>
      <c r="E156" t="str">
        <f>_xlfn.XLOOKUP(Vendas[[#This Row],[ID Item Vendido]],Agregado[ID],Agregado[Produto])</f>
        <v>Tela de metal soldada rolo 2x25m</v>
      </c>
      <c r="F156" s="39">
        <v>43422</v>
      </c>
      <c r="G156" s="7">
        <v>8</v>
      </c>
      <c r="H156" s="3">
        <f>_xlfn.XLOOKUP(Vendas[[#This Row],[ID Item Vendido]],Agregado[ID],Agregado[Revenda])</f>
        <v>43.7</v>
      </c>
      <c r="I156" s="3">
        <f>Vendas[[#This Row],[Valor Unitário]]*Vendas[[#This Row],[Qnt Vendida]]</f>
        <v>349.6</v>
      </c>
      <c r="J156" s="3">
        <f>Vendas[[#This Row],[Valor da Venda]]-(_xlfn.XLOOKUP(Vendas[[#This Row],[ID Item Vendido]],Agregado[ID],Agregado[Custo])*Vendas[[#This Row],[Qnt Vendida]])</f>
        <v>45.600000000000023</v>
      </c>
      <c r="K156" s="70">
        <f>Vendas[[#This Row],[Lucro da Venda]]/Vendas[[#This Row],[Valor da Venda]]</f>
        <v>0.1304347826086957</v>
      </c>
      <c r="L156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156"/>
    </row>
    <row r="157" spans="1:13" x14ac:dyDescent="0.3">
      <c r="A157" s="7">
        <v>400255</v>
      </c>
      <c r="B157" t="str">
        <f>_xlfn.XLOOKUP(Vendas[[#This Row],[ID Vendedor]],Vendedores[ID],Vendedores[Nome])</f>
        <v>Carlos</v>
      </c>
      <c r="C157" s="7" t="str">
        <f>_xlfn.XLOOKUP(Vendas[[#This Row],[ID Vendedor]],Vendedores[ID],Vendedores[Setor])</f>
        <v>SC</v>
      </c>
      <c r="D157" s="7" t="s">
        <v>42</v>
      </c>
      <c r="E157" t="str">
        <f>_xlfn.XLOOKUP(Vendas[[#This Row],[ID Item Vendido]],Agregado[ID],Agregado[Produto])</f>
        <v>Container de ferro industrial</v>
      </c>
      <c r="F157" s="39">
        <v>43423</v>
      </c>
      <c r="G157" s="7">
        <v>2</v>
      </c>
      <c r="H157" s="3">
        <f>_xlfn.XLOOKUP(Vendas[[#This Row],[ID Item Vendido]],Agregado[ID],Agregado[Revenda])</f>
        <v>830</v>
      </c>
      <c r="I157" s="3">
        <f>Vendas[[#This Row],[Valor Unitário]]*Vendas[[#This Row],[Qnt Vendida]]</f>
        <v>1660</v>
      </c>
      <c r="J157" s="3">
        <f>Vendas[[#This Row],[Valor da Venda]]-(_xlfn.XLOOKUP(Vendas[[#This Row],[ID Item Vendido]],Agregado[ID],Agregado[Custo])*Vendas[[#This Row],[Qnt Vendida]])</f>
        <v>300</v>
      </c>
      <c r="K157" s="70">
        <f>Vendas[[#This Row],[Lucro da Venda]]/Vendas[[#This Row],[Valor da Venda]]</f>
        <v>0.18072289156626506</v>
      </c>
      <c r="L15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57"/>
    </row>
    <row r="158" spans="1:13" x14ac:dyDescent="0.3">
      <c r="A158" s="7">
        <v>400243</v>
      </c>
      <c r="B158" t="str">
        <f>_xlfn.XLOOKUP(Vendas[[#This Row],[ID Vendedor]],Vendedores[ID],Vendedores[Nome])</f>
        <v>Marcelo</v>
      </c>
      <c r="C158" s="7" t="str">
        <f>_xlfn.XLOOKUP(Vendas[[#This Row],[ID Vendedor]],Vendedores[ID],Vendedores[Setor])</f>
        <v>FM</v>
      </c>
      <c r="D158" s="7" t="s">
        <v>47</v>
      </c>
      <c r="E158" t="str">
        <f>_xlfn.XLOOKUP(Vendas[[#This Row],[ID Item Vendido]],Agregado[ID],Agregado[Produto])</f>
        <v>Fio de arame galvanizado rolo 50m</v>
      </c>
      <c r="F158" s="39">
        <v>43425</v>
      </c>
      <c r="G158" s="7">
        <v>39</v>
      </c>
      <c r="H158" s="3">
        <f>_xlfn.XLOOKUP(Vendas[[#This Row],[ID Item Vendido]],Agregado[ID],Agregado[Revenda])</f>
        <v>21.2</v>
      </c>
      <c r="I158" s="3">
        <f>Vendas[[#This Row],[Valor Unitário]]*Vendas[[#This Row],[Qnt Vendida]]</f>
        <v>826.8</v>
      </c>
      <c r="J158" s="3">
        <f>Vendas[[#This Row],[Valor da Venda]]-(_xlfn.XLOOKUP(Vendas[[#This Row],[ID Item Vendido]],Agregado[ID],Agregado[Custo])*Vendas[[#This Row],[Qnt Vendida]])</f>
        <v>124.79999999999995</v>
      </c>
      <c r="K158" s="70">
        <f>Vendas[[#This Row],[Lucro da Venda]]/Vendas[[#This Row],[Valor da Venda]]</f>
        <v>0.15094339622641506</v>
      </c>
      <c r="L158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158"/>
    </row>
    <row r="159" spans="1:13" x14ac:dyDescent="0.3">
      <c r="A159" s="7">
        <v>400243</v>
      </c>
      <c r="B159" t="str">
        <f>_xlfn.XLOOKUP(Vendas[[#This Row],[ID Vendedor]],Vendedores[ID],Vendedores[Nome])</f>
        <v>Marcelo</v>
      </c>
      <c r="C159" s="7" t="str">
        <f>_xlfn.XLOOKUP(Vendas[[#This Row],[ID Vendedor]],Vendedores[ID],Vendedores[Setor])</f>
        <v>FM</v>
      </c>
      <c r="D159" s="7" t="s">
        <v>27</v>
      </c>
      <c r="E159" t="str">
        <f>_xlfn.XLOOKUP(Vendas[[#This Row],[ID Item Vendido]],Agregado[ID],Agregado[Produto])</f>
        <v>Chapa de metal lisa 1x2m</v>
      </c>
      <c r="F159" s="39">
        <v>43426</v>
      </c>
      <c r="G159" s="7">
        <v>6</v>
      </c>
      <c r="H159" s="3">
        <f>_xlfn.XLOOKUP(Vendas[[#This Row],[ID Item Vendido]],Agregado[ID],Agregado[Revenda])</f>
        <v>52</v>
      </c>
      <c r="I159" s="3">
        <f>Vendas[[#This Row],[Valor Unitário]]*Vendas[[#This Row],[Qnt Vendida]]</f>
        <v>312</v>
      </c>
      <c r="J159" s="3">
        <f>Vendas[[#This Row],[Valor da Venda]]-(_xlfn.XLOOKUP(Vendas[[#This Row],[ID Item Vendido]],Agregado[ID],Agregado[Custo])*Vendas[[#This Row],[Qnt Vendida]])</f>
        <v>42</v>
      </c>
      <c r="K159" s="70">
        <f>Vendas[[#This Row],[Lucro da Venda]]/Vendas[[#This Row],[Valor da Venda]]</f>
        <v>0.13461538461538461</v>
      </c>
      <c r="L159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59"/>
    </row>
    <row r="160" spans="1:13" x14ac:dyDescent="0.3">
      <c r="A160" s="7">
        <v>400243</v>
      </c>
      <c r="B160" t="str">
        <f>_xlfn.XLOOKUP(Vendas[[#This Row],[ID Vendedor]],Vendedores[ID],Vendedores[Nome])</f>
        <v>Marcelo</v>
      </c>
      <c r="C160" s="7" t="str">
        <f>_xlfn.XLOOKUP(Vendas[[#This Row],[ID Vendedor]],Vendedores[ID],Vendedores[Setor])</f>
        <v>FM</v>
      </c>
      <c r="D160" s="7" t="s">
        <v>27</v>
      </c>
      <c r="E160" t="str">
        <f>_xlfn.XLOOKUP(Vendas[[#This Row],[ID Item Vendido]],Agregado[ID],Agregado[Produto])</f>
        <v>Chapa de metal lisa 1x2m</v>
      </c>
      <c r="F160" s="39">
        <v>43431</v>
      </c>
      <c r="G160" s="7">
        <v>10</v>
      </c>
      <c r="H160" s="3">
        <f>_xlfn.XLOOKUP(Vendas[[#This Row],[ID Item Vendido]],Agregado[ID],Agregado[Revenda])</f>
        <v>52</v>
      </c>
      <c r="I160" s="3">
        <f>Vendas[[#This Row],[Valor Unitário]]*Vendas[[#This Row],[Qnt Vendida]]</f>
        <v>520</v>
      </c>
      <c r="J160" s="3">
        <f>Vendas[[#This Row],[Valor da Venda]]-(_xlfn.XLOOKUP(Vendas[[#This Row],[ID Item Vendido]],Agregado[ID],Agregado[Custo])*Vendas[[#This Row],[Qnt Vendida]])</f>
        <v>70</v>
      </c>
      <c r="K160" s="70">
        <f>Vendas[[#This Row],[Lucro da Venda]]/Vendas[[#This Row],[Valor da Venda]]</f>
        <v>0.13461538461538461</v>
      </c>
      <c r="L160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160"/>
    </row>
    <row r="161" spans="1:13" x14ac:dyDescent="0.3">
      <c r="A161" s="7">
        <v>400243</v>
      </c>
      <c r="B161" t="str">
        <f>_xlfn.XLOOKUP(Vendas[[#This Row],[ID Vendedor]],Vendedores[ID],Vendedores[Nome])</f>
        <v>Marcelo</v>
      </c>
      <c r="C161" s="7" t="str">
        <f>_xlfn.XLOOKUP(Vendas[[#This Row],[ID Vendedor]],Vendedores[ID],Vendedores[Setor])</f>
        <v>FM</v>
      </c>
      <c r="D161" s="7" t="s">
        <v>31</v>
      </c>
      <c r="E161" t="str">
        <f>_xlfn.XLOOKUP(Vendas[[#This Row],[ID Item Vendido]],Agregado[ID],Agregado[Produto])</f>
        <v>Tela de metal soldada rolo 2x25m</v>
      </c>
      <c r="F161" s="39">
        <v>43435</v>
      </c>
      <c r="G161" s="7">
        <v>12</v>
      </c>
      <c r="H161" s="3">
        <f>_xlfn.XLOOKUP(Vendas[[#This Row],[ID Item Vendido]],Agregado[ID],Agregado[Revenda])</f>
        <v>43.7</v>
      </c>
      <c r="I161" s="3">
        <f>Vendas[[#This Row],[Valor Unitário]]*Vendas[[#This Row],[Qnt Vendida]]</f>
        <v>524.40000000000009</v>
      </c>
      <c r="J161" s="3">
        <f>Vendas[[#This Row],[Valor da Venda]]-(_xlfn.XLOOKUP(Vendas[[#This Row],[ID Item Vendido]],Agregado[ID],Agregado[Custo])*Vendas[[#This Row],[Qnt Vendida]])</f>
        <v>68.400000000000091</v>
      </c>
      <c r="K161" s="70">
        <f>Vendas[[#This Row],[Lucro da Venda]]/Vendas[[#This Row],[Valor da Venda]]</f>
        <v>0.13043478260869582</v>
      </c>
      <c r="L161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161"/>
    </row>
    <row r="162" spans="1:13" x14ac:dyDescent="0.3">
      <c r="A162" s="7">
        <v>400249</v>
      </c>
      <c r="B162" t="str">
        <f>_xlfn.XLOOKUP(Vendas[[#This Row],[ID Vendedor]],Vendedores[ID],Vendedores[Nome])</f>
        <v>Bruno</v>
      </c>
      <c r="C162" s="7" t="str">
        <f>_xlfn.XLOOKUP(Vendas[[#This Row],[ID Vendedor]],Vendedores[ID],Vendedores[Setor])</f>
        <v>CM</v>
      </c>
      <c r="D162" s="7" t="s">
        <v>45</v>
      </c>
      <c r="E162" t="str">
        <f>_xlfn.XLOOKUP(Vendas[[#This Row],[ID Item Vendido]],Agregado[ID],Agregado[Produto])</f>
        <v>Viga de madeira tratada 4m</v>
      </c>
      <c r="F162" s="39">
        <v>43435</v>
      </c>
      <c r="G162" s="7">
        <v>2</v>
      </c>
      <c r="H162" s="3">
        <f>_xlfn.XLOOKUP(Vendas[[#This Row],[ID Item Vendido]],Agregado[ID],Agregado[Revenda])</f>
        <v>66</v>
      </c>
      <c r="I162" s="3">
        <f>Vendas[[#This Row],[Valor Unitário]]*Vendas[[#This Row],[Qnt Vendida]]</f>
        <v>132</v>
      </c>
      <c r="J162" s="3">
        <f>Vendas[[#This Row],[Valor da Venda]]-(_xlfn.XLOOKUP(Vendas[[#This Row],[ID Item Vendido]],Agregado[ID],Agregado[Custo])*Vendas[[#This Row],[Qnt Vendida]])</f>
        <v>22</v>
      </c>
      <c r="K162" s="70">
        <f>Vendas[[#This Row],[Lucro da Venda]]/Vendas[[#This Row],[Valor da Venda]]</f>
        <v>0.16666666666666666</v>
      </c>
      <c r="L162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162"/>
    </row>
    <row r="163" spans="1:13" x14ac:dyDescent="0.3">
      <c r="A163" s="7">
        <v>400245</v>
      </c>
      <c r="B163" t="str">
        <f>_xlfn.XLOOKUP(Vendas[[#This Row],[ID Vendedor]],Vendedores[ID],Vendedores[Nome])</f>
        <v>Thiago</v>
      </c>
      <c r="C163" s="7" t="str">
        <f>_xlfn.XLOOKUP(Vendas[[#This Row],[ID Vendedor]],Vendedores[ID],Vendedores[Setor])</f>
        <v>AHD</v>
      </c>
      <c r="D163" s="7" t="s">
        <v>30</v>
      </c>
      <c r="E163" t="str">
        <f>_xlfn.XLOOKUP(Vendas[[#This Row],[ID Item Vendido]],Agregado[ID],Agregado[Produto])</f>
        <v>Estrutura metálica soldada</v>
      </c>
      <c r="F163" s="39">
        <v>43438</v>
      </c>
      <c r="G163" s="7">
        <v>2</v>
      </c>
      <c r="H163" s="3">
        <f>_xlfn.XLOOKUP(Vendas[[#This Row],[ID Item Vendido]],Agregado[ID],Agregado[Revenda])</f>
        <v>400</v>
      </c>
      <c r="I163" s="3">
        <f>Vendas[[#This Row],[Valor Unitário]]*Vendas[[#This Row],[Qnt Vendida]]</f>
        <v>800</v>
      </c>
      <c r="J163" s="3">
        <f>Vendas[[#This Row],[Valor da Venda]]-(_xlfn.XLOOKUP(Vendas[[#This Row],[ID Item Vendido]],Agregado[ID],Agregado[Custo])*Vendas[[#This Row],[Qnt Vendida]])</f>
        <v>160</v>
      </c>
      <c r="K163" s="70">
        <f>Vendas[[#This Row],[Lucro da Venda]]/Vendas[[#This Row],[Valor da Venda]]</f>
        <v>0.2</v>
      </c>
      <c r="L163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63"/>
    </row>
    <row r="164" spans="1:13" x14ac:dyDescent="0.3">
      <c r="A164" s="7">
        <v>400243</v>
      </c>
      <c r="B164" t="str">
        <f>_xlfn.XLOOKUP(Vendas[[#This Row],[ID Vendedor]],Vendedores[ID],Vendedores[Nome])</f>
        <v>Marcelo</v>
      </c>
      <c r="C164" s="7" t="str">
        <f>_xlfn.XLOOKUP(Vendas[[#This Row],[ID Vendedor]],Vendedores[ID],Vendedores[Setor])</f>
        <v>FM</v>
      </c>
      <c r="D164" s="7" t="s">
        <v>31</v>
      </c>
      <c r="E164" t="str">
        <f>_xlfn.XLOOKUP(Vendas[[#This Row],[ID Item Vendido]],Agregado[ID],Agregado[Produto])</f>
        <v>Tela de metal soldada rolo 2x25m</v>
      </c>
      <c r="F164" s="39">
        <v>43439</v>
      </c>
      <c r="G164" s="7">
        <v>3</v>
      </c>
      <c r="H164" s="3">
        <f>_xlfn.XLOOKUP(Vendas[[#This Row],[ID Item Vendido]],Agregado[ID],Agregado[Revenda])</f>
        <v>43.7</v>
      </c>
      <c r="I164" s="3">
        <f>Vendas[[#This Row],[Valor Unitário]]*Vendas[[#This Row],[Qnt Vendida]]</f>
        <v>131.10000000000002</v>
      </c>
      <c r="J164" s="3">
        <f>Vendas[[#This Row],[Valor da Venda]]-(_xlfn.XLOOKUP(Vendas[[#This Row],[ID Item Vendido]],Agregado[ID],Agregado[Custo])*Vendas[[#This Row],[Qnt Vendida]])</f>
        <v>17.100000000000023</v>
      </c>
      <c r="K164" s="70">
        <f>Vendas[[#This Row],[Lucro da Venda]]/Vendas[[#This Row],[Valor da Venda]]</f>
        <v>0.13043478260869582</v>
      </c>
      <c r="L164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164"/>
    </row>
    <row r="165" spans="1:13" x14ac:dyDescent="0.3">
      <c r="A165" s="7">
        <v>400249</v>
      </c>
      <c r="B165" t="str">
        <f>_xlfn.XLOOKUP(Vendas[[#This Row],[ID Vendedor]],Vendedores[ID],Vendedores[Nome])</f>
        <v>Bruno</v>
      </c>
      <c r="C165" s="7" t="str">
        <f>_xlfn.XLOOKUP(Vendas[[#This Row],[ID Vendedor]],Vendedores[ID],Vendedores[Setor])</f>
        <v>CM</v>
      </c>
      <c r="D165" s="7" t="s">
        <v>22</v>
      </c>
      <c r="E165" t="str">
        <f>_xlfn.XLOOKUP(Vendas[[#This Row],[ID Item Vendido]],Agregado[ID],Agregado[Produto])</f>
        <v>Painel MDP 2,75x1,83m</v>
      </c>
      <c r="F165" s="39">
        <v>43440</v>
      </c>
      <c r="G165" s="7">
        <v>10</v>
      </c>
      <c r="H165" s="3">
        <f>_xlfn.XLOOKUP(Vendas[[#This Row],[ID Item Vendido]],Agregado[ID],Agregado[Revenda])</f>
        <v>119</v>
      </c>
      <c r="I165" s="3">
        <f>Vendas[[#This Row],[Valor Unitário]]*Vendas[[#This Row],[Qnt Vendida]]</f>
        <v>1190</v>
      </c>
      <c r="J165" s="3">
        <f>Vendas[[#This Row],[Valor da Venda]]-(_xlfn.XLOOKUP(Vendas[[#This Row],[ID Item Vendido]],Agregado[ID],Agregado[Custo])*Vendas[[#This Row],[Qnt Vendida]])</f>
        <v>240</v>
      </c>
      <c r="K165" s="70">
        <f>Vendas[[#This Row],[Lucro da Venda]]/Vendas[[#This Row],[Valor da Venda]]</f>
        <v>0.20168067226890757</v>
      </c>
      <c r="L165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65"/>
    </row>
    <row r="166" spans="1:13" x14ac:dyDescent="0.3">
      <c r="A166" s="7">
        <v>400249</v>
      </c>
      <c r="B166" t="str">
        <f>_xlfn.XLOOKUP(Vendas[[#This Row],[ID Vendedor]],Vendedores[ID],Vendedores[Nome])</f>
        <v>Bruno</v>
      </c>
      <c r="C166" s="7" t="str">
        <f>_xlfn.XLOOKUP(Vendas[[#This Row],[ID Vendedor]],Vendedores[ID],Vendedores[Setor])</f>
        <v>CM</v>
      </c>
      <c r="D166" s="7" t="s">
        <v>34</v>
      </c>
      <c r="E166" t="str">
        <f>_xlfn.XLOOKUP(Vendas[[#This Row],[ID Item Vendido]],Agregado[ID],Agregado[Produto])</f>
        <v>Restos de madeira p/ MDP/OSB saco de 20kg</v>
      </c>
      <c r="F166" s="39">
        <v>43446</v>
      </c>
      <c r="G166" s="7">
        <v>18</v>
      </c>
      <c r="H166" s="3">
        <f>_xlfn.XLOOKUP(Vendas[[#This Row],[ID Item Vendido]],Agregado[ID],Agregado[Revenda])</f>
        <v>13.8</v>
      </c>
      <c r="I166" s="3">
        <f>Vendas[[#This Row],[Valor Unitário]]*Vendas[[#This Row],[Qnt Vendida]]</f>
        <v>248.4</v>
      </c>
      <c r="J166" s="3">
        <f>Vendas[[#This Row],[Valor da Venda]]-(_xlfn.XLOOKUP(Vendas[[#This Row],[ID Item Vendido]],Agregado[ID],Agregado[Custo])*Vendas[[#This Row],[Qnt Vendida]])</f>
        <v>32.400000000000006</v>
      </c>
      <c r="K166" s="70">
        <f>Vendas[[#This Row],[Lucro da Venda]]/Vendas[[#This Row],[Valor da Venda]]</f>
        <v>0.13043478260869568</v>
      </c>
      <c r="L166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166"/>
    </row>
    <row r="167" spans="1:13" x14ac:dyDescent="0.3">
      <c r="A167" s="7">
        <v>400249</v>
      </c>
      <c r="B167" t="str">
        <f>_xlfn.XLOOKUP(Vendas[[#This Row],[ID Vendedor]],Vendedores[ID],Vendedores[Nome])</f>
        <v>Bruno</v>
      </c>
      <c r="C167" s="7" t="str">
        <f>_xlfn.XLOOKUP(Vendas[[#This Row],[ID Vendedor]],Vendedores[ID],Vendedores[Setor])</f>
        <v>CM</v>
      </c>
      <c r="D167" s="7" t="s">
        <v>32</v>
      </c>
      <c r="E167" t="str">
        <f>_xlfn.XLOOKUP(Vendas[[#This Row],[ID Item Vendido]],Agregado[ID],Agregado[Produto])</f>
        <v>Tábua tratada e cortada 3m</v>
      </c>
      <c r="F167" s="39">
        <v>43448</v>
      </c>
      <c r="G167" s="7">
        <v>49</v>
      </c>
      <c r="H167" s="3">
        <f>_xlfn.XLOOKUP(Vendas[[#This Row],[ID Item Vendido]],Agregado[ID],Agregado[Revenda])</f>
        <v>39</v>
      </c>
      <c r="I167" s="3">
        <f>Vendas[[#This Row],[Valor Unitário]]*Vendas[[#This Row],[Qnt Vendida]]</f>
        <v>1911</v>
      </c>
      <c r="J167" s="3">
        <f>Vendas[[#This Row],[Valor da Venda]]-(_xlfn.XLOOKUP(Vendas[[#This Row],[ID Item Vendido]],Agregado[ID],Agregado[Custo])*Vendas[[#This Row],[Qnt Vendida]])</f>
        <v>343</v>
      </c>
      <c r="K167" s="70">
        <f>Vendas[[#This Row],[Lucro da Venda]]/Vendas[[#This Row],[Valor da Venda]]</f>
        <v>0.17948717948717949</v>
      </c>
      <c r="L167" s="3">
        <f>_xlfn.IFS(Vendas[[#This Row],[Margem de Lucro (%)]]&lt;15%,Vendas[[#This Row],[Valor da Venda]]*3%,Vendas[[#This Row],[Margem de Lucro (%)]]&lt;=20%,Vendas[[#This Row],[Valor da Venda]]*4.5%,TRUE,Vendas[[#This Row],[Valor da Venda]]*6%)</f>
        <v>85.99499999999999</v>
      </c>
      <c r="M167"/>
    </row>
    <row r="168" spans="1:13" x14ac:dyDescent="0.3">
      <c r="A168" s="7">
        <v>400249</v>
      </c>
      <c r="B168" t="str">
        <f>_xlfn.XLOOKUP(Vendas[[#This Row],[ID Vendedor]],Vendedores[ID],Vendedores[Nome])</f>
        <v>Bruno</v>
      </c>
      <c r="C168" s="7" t="str">
        <f>_xlfn.XLOOKUP(Vendas[[#This Row],[ID Vendedor]],Vendedores[ID],Vendedores[Setor])</f>
        <v>CM</v>
      </c>
      <c r="D168" s="7" t="s">
        <v>34</v>
      </c>
      <c r="E168" t="str">
        <f>_xlfn.XLOOKUP(Vendas[[#This Row],[ID Item Vendido]],Agregado[ID],Agregado[Produto])</f>
        <v>Restos de madeira p/ MDP/OSB saco de 20kg</v>
      </c>
      <c r="F168" s="39">
        <v>43448</v>
      </c>
      <c r="G168" s="7">
        <v>24</v>
      </c>
      <c r="H168" s="3">
        <f>_xlfn.XLOOKUP(Vendas[[#This Row],[ID Item Vendido]],Agregado[ID],Agregado[Revenda])</f>
        <v>13.8</v>
      </c>
      <c r="I168" s="3">
        <f>Vendas[[#This Row],[Valor Unitário]]*Vendas[[#This Row],[Qnt Vendida]]</f>
        <v>331.20000000000005</v>
      </c>
      <c r="J168" s="3">
        <f>Vendas[[#This Row],[Valor da Venda]]-(_xlfn.XLOOKUP(Vendas[[#This Row],[ID Item Vendido]],Agregado[ID],Agregado[Custo])*Vendas[[#This Row],[Qnt Vendida]])</f>
        <v>43.200000000000045</v>
      </c>
      <c r="K168" s="70">
        <f>Vendas[[#This Row],[Lucro da Venda]]/Vendas[[#This Row],[Valor da Venda]]</f>
        <v>0.13043478260869576</v>
      </c>
      <c r="L168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168"/>
    </row>
    <row r="169" spans="1:13" x14ac:dyDescent="0.3">
      <c r="A169" s="7">
        <v>400249</v>
      </c>
      <c r="B169" t="str">
        <f>_xlfn.XLOOKUP(Vendas[[#This Row],[ID Vendedor]],Vendedores[ID],Vendedores[Nome])</f>
        <v>Bruno</v>
      </c>
      <c r="C169" s="7" t="str">
        <f>_xlfn.XLOOKUP(Vendas[[#This Row],[ID Vendedor]],Vendedores[ID],Vendedores[Setor])</f>
        <v>CM</v>
      </c>
      <c r="D169" s="7" t="s">
        <v>43</v>
      </c>
      <c r="E169" t="str">
        <f>_xlfn.XLOOKUP(Vendas[[#This Row],[ID Item Vendido]],Agregado[ID],Agregado[Produto])</f>
        <v>Madeira Bruta (Tora)</v>
      </c>
      <c r="F169" s="39">
        <v>43449</v>
      </c>
      <c r="G169" s="7">
        <v>6</v>
      </c>
      <c r="H169" s="3">
        <f>_xlfn.XLOOKUP(Vendas[[#This Row],[ID Item Vendido]],Agregado[ID],Agregado[Revenda])</f>
        <v>212</v>
      </c>
      <c r="I169" s="3">
        <f>Vendas[[#This Row],[Valor Unitário]]*Vendas[[#This Row],[Qnt Vendida]]</f>
        <v>1272</v>
      </c>
      <c r="J169" s="3">
        <f>Vendas[[#This Row],[Valor da Venda]]-(_xlfn.XLOOKUP(Vendas[[#This Row],[ID Item Vendido]],Agregado[ID],Agregado[Custo])*Vendas[[#This Row],[Qnt Vendida]])</f>
        <v>192</v>
      </c>
      <c r="K169" s="70">
        <f>Vendas[[#This Row],[Lucro da Venda]]/Vendas[[#This Row],[Valor da Venda]]</f>
        <v>0.15094339622641509</v>
      </c>
      <c r="L169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169"/>
    </row>
    <row r="170" spans="1:13" x14ac:dyDescent="0.3">
      <c r="A170" s="7">
        <v>400245</v>
      </c>
      <c r="B170" t="str">
        <f>_xlfn.XLOOKUP(Vendas[[#This Row],[ID Vendedor]],Vendedores[ID],Vendedores[Nome])</f>
        <v>Thiago</v>
      </c>
      <c r="C170" s="7" t="str">
        <f>_xlfn.XLOOKUP(Vendas[[#This Row],[ID Vendedor]],Vendedores[ID],Vendedores[Setor])</f>
        <v>AHD</v>
      </c>
      <c r="D170" s="7" t="s">
        <v>28</v>
      </c>
      <c r="E170" t="str">
        <f>_xlfn.XLOOKUP(Vendas[[#This Row],[ID Item Vendido]],Agregado[ID],Agregado[Produto])</f>
        <v>Peça usinada CNC</v>
      </c>
      <c r="F170" s="39">
        <v>43451</v>
      </c>
      <c r="G170" s="7">
        <v>2</v>
      </c>
      <c r="H170" s="3">
        <f>_xlfn.XLOOKUP(Vendas[[#This Row],[ID Item Vendido]],Agregado[ID],Agregado[Revenda])</f>
        <v>192</v>
      </c>
      <c r="I170" s="3">
        <f>Vendas[[#This Row],[Valor Unitário]]*Vendas[[#This Row],[Qnt Vendida]]</f>
        <v>384</v>
      </c>
      <c r="J170" s="3">
        <f>Vendas[[#This Row],[Valor da Venda]]-(_xlfn.XLOOKUP(Vendas[[#This Row],[ID Item Vendido]],Agregado[ID],Agregado[Custo])*Vendas[[#This Row],[Qnt Vendida]])</f>
        <v>84</v>
      </c>
      <c r="K170" s="70">
        <f>Vendas[[#This Row],[Lucro da Venda]]/Vendas[[#This Row],[Valor da Venda]]</f>
        <v>0.21875</v>
      </c>
      <c r="L170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170"/>
    </row>
    <row r="171" spans="1:13" x14ac:dyDescent="0.3">
      <c r="A171" s="7">
        <v>400255</v>
      </c>
      <c r="B171" t="str">
        <f>_xlfn.XLOOKUP(Vendas[[#This Row],[ID Vendedor]],Vendedores[ID],Vendedores[Nome])</f>
        <v>Carlos</v>
      </c>
      <c r="C171" s="7" t="str">
        <f>_xlfn.XLOOKUP(Vendas[[#This Row],[ID Vendedor]],Vendedores[ID],Vendedores[Setor])</f>
        <v>SC</v>
      </c>
      <c r="D171" s="7" t="s">
        <v>42</v>
      </c>
      <c r="E171" t="str">
        <f>_xlfn.XLOOKUP(Vendas[[#This Row],[ID Item Vendido]],Agregado[ID],Agregado[Produto])</f>
        <v>Container de ferro industrial</v>
      </c>
      <c r="F171" s="39">
        <v>43458</v>
      </c>
      <c r="G171" s="7">
        <v>6</v>
      </c>
      <c r="H171" s="3">
        <f>_xlfn.XLOOKUP(Vendas[[#This Row],[ID Item Vendido]],Agregado[ID],Agregado[Revenda])</f>
        <v>830</v>
      </c>
      <c r="I171" s="3">
        <f>Vendas[[#This Row],[Valor Unitário]]*Vendas[[#This Row],[Qnt Vendida]]</f>
        <v>4980</v>
      </c>
      <c r="J171" s="3">
        <f>Vendas[[#This Row],[Valor da Venda]]-(_xlfn.XLOOKUP(Vendas[[#This Row],[ID Item Vendido]],Agregado[ID],Agregado[Custo])*Vendas[[#This Row],[Qnt Vendida]])</f>
        <v>900</v>
      </c>
      <c r="K171" s="70">
        <f>Vendas[[#This Row],[Lucro da Venda]]/Vendas[[#This Row],[Valor da Venda]]</f>
        <v>0.18072289156626506</v>
      </c>
      <c r="L17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71"/>
    </row>
    <row r="172" spans="1:13" x14ac:dyDescent="0.3">
      <c r="A172" s="7">
        <v>400249</v>
      </c>
      <c r="B172" t="str">
        <f>_xlfn.XLOOKUP(Vendas[[#This Row],[ID Vendedor]],Vendedores[ID],Vendedores[Nome])</f>
        <v>Bruno</v>
      </c>
      <c r="C172" s="7" t="str">
        <f>_xlfn.XLOOKUP(Vendas[[#This Row],[ID Vendedor]],Vendedores[ID],Vendedores[Setor])</f>
        <v>CM</v>
      </c>
      <c r="D172" s="7" t="s">
        <v>45</v>
      </c>
      <c r="E172" t="str">
        <f>_xlfn.XLOOKUP(Vendas[[#This Row],[ID Item Vendido]],Agregado[ID],Agregado[Produto])</f>
        <v>Viga de madeira tratada 4m</v>
      </c>
      <c r="F172" s="39">
        <v>43459</v>
      </c>
      <c r="G172" s="7">
        <v>18</v>
      </c>
      <c r="H172" s="3">
        <f>_xlfn.XLOOKUP(Vendas[[#This Row],[ID Item Vendido]],Agregado[ID],Agregado[Revenda])</f>
        <v>66</v>
      </c>
      <c r="I172" s="3">
        <f>Vendas[[#This Row],[Valor Unitário]]*Vendas[[#This Row],[Qnt Vendida]]</f>
        <v>1188</v>
      </c>
      <c r="J172" s="3">
        <f>Vendas[[#This Row],[Valor da Venda]]-(_xlfn.XLOOKUP(Vendas[[#This Row],[ID Item Vendido]],Agregado[ID],Agregado[Custo])*Vendas[[#This Row],[Qnt Vendida]])</f>
        <v>198</v>
      </c>
      <c r="K172" s="70">
        <f>Vendas[[#This Row],[Lucro da Venda]]/Vendas[[#This Row],[Valor da Venda]]</f>
        <v>0.16666666666666666</v>
      </c>
      <c r="L172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172"/>
    </row>
    <row r="173" spans="1:13" x14ac:dyDescent="0.3">
      <c r="A173" s="7">
        <v>400243</v>
      </c>
      <c r="B173" t="str">
        <f>_xlfn.XLOOKUP(Vendas[[#This Row],[ID Vendedor]],Vendedores[ID],Vendedores[Nome])</f>
        <v>Marcelo</v>
      </c>
      <c r="C173" s="7" t="str">
        <f>_xlfn.XLOOKUP(Vendas[[#This Row],[ID Vendedor]],Vendedores[ID],Vendedores[Setor])</f>
        <v>FM</v>
      </c>
      <c r="D173" s="7" t="s">
        <v>6</v>
      </c>
      <c r="E173" t="str">
        <f>_xlfn.XLOOKUP(Vendas[[#This Row],[ID Item Vendido]],Agregado[ID],Agregado[Produto])</f>
        <v>Parafuso comum 500un</v>
      </c>
      <c r="F173" s="39">
        <v>43460</v>
      </c>
      <c r="G173" s="7">
        <v>22</v>
      </c>
      <c r="H173" s="3">
        <f>_xlfn.XLOOKUP(Vendas[[#This Row],[ID Item Vendido]],Agregado[ID],Agregado[Revenda])</f>
        <v>24.6</v>
      </c>
      <c r="I173" s="3">
        <f>Vendas[[#This Row],[Valor Unitário]]*Vendas[[#This Row],[Qnt Vendida]]</f>
        <v>541.20000000000005</v>
      </c>
      <c r="J173" s="3">
        <f>Vendas[[#This Row],[Valor da Venda]]-(_xlfn.XLOOKUP(Vendas[[#This Row],[ID Item Vendido]],Agregado[ID],Agregado[Custo])*Vendas[[#This Row],[Qnt Vendida]])</f>
        <v>57.200000000000045</v>
      </c>
      <c r="K173" s="70">
        <f>Vendas[[#This Row],[Lucro da Venda]]/Vendas[[#This Row],[Valor da Venda]]</f>
        <v>0.10569105691056918</v>
      </c>
      <c r="L173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173"/>
    </row>
    <row r="174" spans="1:13" x14ac:dyDescent="0.3">
      <c r="A174" s="7">
        <v>400245</v>
      </c>
      <c r="B174" t="str">
        <f>_xlfn.XLOOKUP(Vendas[[#This Row],[ID Vendedor]],Vendedores[ID],Vendedores[Nome])</f>
        <v>Thiago</v>
      </c>
      <c r="C174" s="7" t="str">
        <f>_xlfn.XLOOKUP(Vendas[[#This Row],[ID Vendedor]],Vendedores[ID],Vendedores[Setor])</f>
        <v>AHD</v>
      </c>
      <c r="D174" s="7" t="s">
        <v>30</v>
      </c>
      <c r="E174" t="str">
        <f>_xlfn.XLOOKUP(Vendas[[#This Row],[ID Item Vendido]],Agregado[ID],Agregado[Produto])</f>
        <v>Estrutura metálica soldada</v>
      </c>
      <c r="F174" s="39">
        <v>43461</v>
      </c>
      <c r="G174" s="7">
        <v>8</v>
      </c>
      <c r="H174" s="3">
        <f>_xlfn.XLOOKUP(Vendas[[#This Row],[ID Item Vendido]],Agregado[ID],Agregado[Revenda])</f>
        <v>400</v>
      </c>
      <c r="I174" s="3">
        <f>Vendas[[#This Row],[Valor Unitário]]*Vendas[[#This Row],[Qnt Vendida]]</f>
        <v>3200</v>
      </c>
      <c r="J174" s="3">
        <f>Vendas[[#This Row],[Valor da Venda]]-(_xlfn.XLOOKUP(Vendas[[#This Row],[ID Item Vendido]],Agregado[ID],Agregado[Custo])*Vendas[[#This Row],[Qnt Vendida]])</f>
        <v>640</v>
      </c>
      <c r="K174" s="70">
        <f>Vendas[[#This Row],[Lucro da Venda]]/Vendas[[#This Row],[Valor da Venda]]</f>
        <v>0.2</v>
      </c>
      <c r="L174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174"/>
    </row>
    <row r="175" spans="1:13" x14ac:dyDescent="0.3">
      <c r="A175" s="7">
        <v>400245</v>
      </c>
      <c r="B175" t="str">
        <f>_xlfn.XLOOKUP(Vendas[[#This Row],[ID Vendedor]],Vendedores[ID],Vendedores[Nome])</f>
        <v>Thiago</v>
      </c>
      <c r="C175" s="7" t="str">
        <f>_xlfn.XLOOKUP(Vendas[[#This Row],[ID Vendedor]],Vendedores[ID],Vendedores[Setor])</f>
        <v>AHD</v>
      </c>
      <c r="D175" s="7" t="s">
        <v>44</v>
      </c>
      <c r="E175" t="str">
        <f>_xlfn.XLOOKUP(Vendas[[#This Row],[ID Item Vendido]],Agregado[ID],Agregado[Produto])</f>
        <v>Liga metálica especial</v>
      </c>
      <c r="F175" s="39">
        <v>43461</v>
      </c>
      <c r="G175" s="7">
        <v>48</v>
      </c>
      <c r="H175" s="3">
        <f>_xlfn.XLOOKUP(Vendas[[#This Row],[ID Item Vendido]],Agregado[ID],Agregado[Revenda])</f>
        <v>32.5</v>
      </c>
      <c r="I175" s="3">
        <f>Vendas[[#This Row],[Valor Unitário]]*Vendas[[#This Row],[Qnt Vendida]]</f>
        <v>1560</v>
      </c>
      <c r="J175" s="3">
        <f>Vendas[[#This Row],[Valor da Venda]]-(_xlfn.XLOOKUP(Vendas[[#This Row],[ID Item Vendido]],Agregado[ID],Agregado[Custo])*Vendas[[#This Row],[Qnt Vendida]])</f>
        <v>360</v>
      </c>
      <c r="K175" s="70">
        <f>Vendas[[#This Row],[Lucro da Venda]]/Vendas[[#This Row],[Valor da Venda]]</f>
        <v>0.23076923076923078</v>
      </c>
      <c r="L175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175"/>
    </row>
    <row r="176" spans="1:13" x14ac:dyDescent="0.3">
      <c r="A176" s="7">
        <v>400243</v>
      </c>
      <c r="B176" t="str">
        <f>_xlfn.XLOOKUP(Vendas[[#This Row],[ID Vendedor]],Vendedores[ID],Vendedores[Nome])</f>
        <v>Marcelo</v>
      </c>
      <c r="C176" s="7" t="str">
        <f>_xlfn.XLOOKUP(Vendas[[#This Row],[ID Vendedor]],Vendedores[ID],Vendedores[Setor])</f>
        <v>FM</v>
      </c>
      <c r="D176" s="7" t="s">
        <v>31</v>
      </c>
      <c r="E176" t="str">
        <f>_xlfn.XLOOKUP(Vendas[[#This Row],[ID Item Vendido]],Agregado[ID],Agregado[Produto])</f>
        <v>Tela de metal soldada rolo 2x25m</v>
      </c>
      <c r="F176" s="39">
        <v>43462</v>
      </c>
      <c r="G176" s="7">
        <v>11</v>
      </c>
      <c r="H176" s="3">
        <f>_xlfn.XLOOKUP(Vendas[[#This Row],[ID Item Vendido]],Agregado[ID],Agregado[Revenda])</f>
        <v>43.7</v>
      </c>
      <c r="I176" s="3">
        <f>Vendas[[#This Row],[Valor Unitário]]*Vendas[[#This Row],[Qnt Vendida]]</f>
        <v>480.70000000000005</v>
      </c>
      <c r="J176" s="3">
        <f>Vendas[[#This Row],[Valor da Venda]]-(_xlfn.XLOOKUP(Vendas[[#This Row],[ID Item Vendido]],Agregado[ID],Agregado[Custo])*Vendas[[#This Row],[Qnt Vendida]])</f>
        <v>62.700000000000045</v>
      </c>
      <c r="K176" s="70">
        <f>Vendas[[#This Row],[Lucro da Venda]]/Vendas[[#This Row],[Valor da Venda]]</f>
        <v>0.13043478260869573</v>
      </c>
      <c r="L176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176"/>
    </row>
    <row r="177" spans="1:13" x14ac:dyDescent="0.3">
      <c r="A177" s="7">
        <v>400245</v>
      </c>
      <c r="B177" t="str">
        <f>_xlfn.XLOOKUP(Vendas[[#This Row],[ID Vendedor]],Vendedores[ID],Vendedores[Nome])</f>
        <v>Thiago</v>
      </c>
      <c r="C177" s="7" t="str">
        <f>_xlfn.XLOOKUP(Vendas[[#This Row],[ID Vendedor]],Vendedores[ID],Vendedores[Setor])</f>
        <v>AHD</v>
      </c>
      <c r="D177" s="7" t="s">
        <v>9</v>
      </c>
      <c r="E177" t="str">
        <f>_xlfn.XLOOKUP(Vendas[[#This Row],[ID Item Vendido]],Agregado[ID],Agregado[Produto])</f>
        <v>Barra de aço simples</v>
      </c>
      <c r="F177" s="39">
        <v>43463</v>
      </c>
      <c r="G177" s="7">
        <v>52</v>
      </c>
      <c r="H177" s="3">
        <f>_xlfn.XLOOKUP(Vendas[[#This Row],[ID Item Vendido]],Agregado[ID],Agregado[Revenda])</f>
        <v>6.7</v>
      </c>
      <c r="I177" s="3">
        <f>Vendas[[#This Row],[Valor Unitário]]*Vendas[[#This Row],[Qnt Vendida]]</f>
        <v>348.40000000000003</v>
      </c>
      <c r="J177" s="3">
        <f>Vendas[[#This Row],[Valor da Venda]]-(_xlfn.XLOOKUP(Vendas[[#This Row],[ID Item Vendido]],Agregado[ID],Agregado[Custo])*Vendas[[#This Row],[Qnt Vendida]])</f>
        <v>46.800000000000068</v>
      </c>
      <c r="K177" s="70">
        <f>Vendas[[#This Row],[Lucro da Venda]]/Vendas[[#This Row],[Valor da Venda]]</f>
        <v>0.13432835820895542</v>
      </c>
      <c r="L177" s="3">
        <f>_xlfn.IFS(Vendas[[#This Row],[Margem de Lucro (%)]]&lt;15%,Vendas[[#This Row],[Valor da Venda]]*3%,Vendas[[#This Row],[Margem de Lucro (%)]]&lt;=20%,Vendas[[#This Row],[Valor da Venda]]*4.5%,TRUE,Vendas[[#This Row],[Valor da Venda]]*6%)</f>
        <v>10.452</v>
      </c>
      <c r="M177"/>
    </row>
    <row r="178" spans="1:13" x14ac:dyDescent="0.3">
      <c r="A178" s="7">
        <v>400255</v>
      </c>
      <c r="B178" t="str">
        <f>_xlfn.XLOOKUP(Vendas[[#This Row],[ID Vendedor]],Vendedores[ID],Vendedores[Nome])</f>
        <v>Carlos</v>
      </c>
      <c r="C178" s="7" t="str">
        <f>_xlfn.XLOOKUP(Vendas[[#This Row],[ID Vendedor]],Vendedores[ID],Vendedores[Setor])</f>
        <v>SC</v>
      </c>
      <c r="D178" s="7" t="s">
        <v>14</v>
      </c>
      <c r="E178" t="str">
        <f>_xlfn.XLOOKUP(Vendas[[#This Row],[ID Item Vendido]],Agregado[ID],Agregado[Produto])</f>
        <v>Barril de plástico 200L</v>
      </c>
      <c r="F178" s="39">
        <v>43467</v>
      </c>
      <c r="G178" s="7">
        <v>12</v>
      </c>
      <c r="H178" s="3">
        <f>_xlfn.XLOOKUP(Vendas[[#This Row],[ID Item Vendido]],Agregado[ID],Agregado[Revenda])</f>
        <v>114</v>
      </c>
      <c r="I178" s="3">
        <f>Vendas[[#This Row],[Valor Unitário]]*Vendas[[#This Row],[Qnt Vendida]]</f>
        <v>1368</v>
      </c>
      <c r="J178" s="3">
        <f>Vendas[[#This Row],[Valor da Venda]]-(_xlfn.XLOOKUP(Vendas[[#This Row],[ID Item Vendido]],Agregado[ID],Agregado[Custo])*Vendas[[#This Row],[Qnt Vendida]])</f>
        <v>228</v>
      </c>
      <c r="K178" s="70">
        <f>Vendas[[#This Row],[Lucro da Venda]]/Vendas[[#This Row],[Valor da Venda]]</f>
        <v>0.16666666666666666</v>
      </c>
      <c r="L178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178"/>
    </row>
    <row r="179" spans="1:13" x14ac:dyDescent="0.3">
      <c r="A179" s="7">
        <v>400249</v>
      </c>
      <c r="B179" t="str">
        <f>_xlfn.XLOOKUP(Vendas[[#This Row],[ID Vendedor]],Vendedores[ID],Vendedores[Nome])</f>
        <v>Bruno</v>
      </c>
      <c r="C179" s="7" t="str">
        <f>_xlfn.XLOOKUP(Vendas[[#This Row],[ID Vendedor]],Vendedores[ID],Vendedores[Setor])</f>
        <v>CM</v>
      </c>
      <c r="D179" s="7" t="s">
        <v>43</v>
      </c>
      <c r="E179" t="str">
        <f>_xlfn.XLOOKUP(Vendas[[#This Row],[ID Item Vendido]],Agregado[ID],Agregado[Produto])</f>
        <v>Madeira Bruta (Tora)</v>
      </c>
      <c r="F179" s="39">
        <v>43467</v>
      </c>
      <c r="G179" s="7">
        <v>1</v>
      </c>
      <c r="H179" s="3">
        <f>_xlfn.XLOOKUP(Vendas[[#This Row],[ID Item Vendido]],Agregado[ID],Agregado[Revenda])</f>
        <v>212</v>
      </c>
      <c r="I179" s="3">
        <f>Vendas[[#This Row],[Valor Unitário]]*Vendas[[#This Row],[Qnt Vendida]]</f>
        <v>212</v>
      </c>
      <c r="J179" s="3">
        <f>Vendas[[#This Row],[Valor da Venda]]-(_xlfn.XLOOKUP(Vendas[[#This Row],[ID Item Vendido]],Agregado[ID],Agregado[Custo])*Vendas[[#This Row],[Qnt Vendida]])</f>
        <v>32</v>
      </c>
      <c r="K179" s="70">
        <f>Vendas[[#This Row],[Lucro da Venda]]/Vendas[[#This Row],[Valor da Venda]]</f>
        <v>0.15094339622641509</v>
      </c>
      <c r="L179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79"/>
    </row>
    <row r="180" spans="1:13" x14ac:dyDescent="0.3">
      <c r="A180" s="7">
        <v>400255</v>
      </c>
      <c r="B180" t="str">
        <f>_xlfn.XLOOKUP(Vendas[[#This Row],[ID Vendedor]],Vendedores[ID],Vendedores[Nome])</f>
        <v>Carlos</v>
      </c>
      <c r="C180" s="7" t="str">
        <f>_xlfn.XLOOKUP(Vendas[[#This Row],[ID Vendedor]],Vendedores[ID],Vendedores[Setor])</f>
        <v>SC</v>
      </c>
      <c r="D180" s="7" t="s">
        <v>48</v>
      </c>
      <c r="E180" t="str">
        <f>_xlfn.XLOOKUP(Vendas[[#This Row],[ID Item Vendido]],Agregado[ID],Agregado[Produto])</f>
        <v>Tambor metálico 200L</v>
      </c>
      <c r="F180" s="39">
        <v>43469</v>
      </c>
      <c r="G180" s="7">
        <v>20</v>
      </c>
      <c r="H180" s="3">
        <f>_xlfn.XLOOKUP(Vendas[[#This Row],[ID Item Vendido]],Agregado[ID],Agregado[Revenda])</f>
        <v>144</v>
      </c>
      <c r="I180" s="3">
        <f>Vendas[[#This Row],[Valor Unitário]]*Vendas[[#This Row],[Qnt Vendida]]</f>
        <v>2880</v>
      </c>
      <c r="J180" s="3">
        <f>Vendas[[#This Row],[Valor da Venda]]-(_xlfn.XLOOKUP(Vendas[[#This Row],[ID Item Vendido]],Agregado[ID],Agregado[Custo])*Vendas[[#This Row],[Qnt Vendida]])</f>
        <v>480</v>
      </c>
      <c r="K180" s="70">
        <f>Vendas[[#This Row],[Lucro da Venda]]/Vendas[[#This Row],[Valor da Venda]]</f>
        <v>0.16666666666666666</v>
      </c>
      <c r="L180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180"/>
    </row>
    <row r="181" spans="1:13" x14ac:dyDescent="0.3">
      <c r="A181" s="7">
        <v>400255</v>
      </c>
      <c r="B181" t="str">
        <f>_xlfn.XLOOKUP(Vendas[[#This Row],[ID Vendedor]],Vendedores[ID],Vendedores[Nome])</f>
        <v>Carlos</v>
      </c>
      <c r="C181" s="7" t="str">
        <f>_xlfn.XLOOKUP(Vendas[[#This Row],[ID Vendedor]],Vendedores[ID],Vendedores[Setor])</f>
        <v>SC</v>
      </c>
      <c r="D181" s="7" t="s">
        <v>48</v>
      </c>
      <c r="E181" t="str">
        <f>_xlfn.XLOOKUP(Vendas[[#This Row],[ID Item Vendido]],Agregado[ID],Agregado[Produto])</f>
        <v>Tambor metálico 200L</v>
      </c>
      <c r="F181" s="39">
        <v>43473</v>
      </c>
      <c r="G181" s="7">
        <v>20</v>
      </c>
      <c r="H181" s="3">
        <f>_xlfn.XLOOKUP(Vendas[[#This Row],[ID Item Vendido]],Agregado[ID],Agregado[Revenda])</f>
        <v>144</v>
      </c>
      <c r="I181" s="3">
        <f>Vendas[[#This Row],[Valor Unitário]]*Vendas[[#This Row],[Qnt Vendida]]</f>
        <v>2880</v>
      </c>
      <c r="J181" s="3">
        <f>Vendas[[#This Row],[Valor da Venda]]-(_xlfn.XLOOKUP(Vendas[[#This Row],[ID Item Vendido]],Agregado[ID],Agregado[Custo])*Vendas[[#This Row],[Qnt Vendida]])</f>
        <v>480</v>
      </c>
      <c r="K181" s="70">
        <f>Vendas[[#This Row],[Lucro da Venda]]/Vendas[[#This Row],[Valor da Venda]]</f>
        <v>0.16666666666666666</v>
      </c>
      <c r="L181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181"/>
    </row>
    <row r="182" spans="1:13" x14ac:dyDescent="0.3">
      <c r="A182" s="7">
        <v>400255</v>
      </c>
      <c r="B182" t="str">
        <f>_xlfn.XLOOKUP(Vendas[[#This Row],[ID Vendedor]],Vendedores[ID],Vendedores[Nome])</f>
        <v>Carlos</v>
      </c>
      <c r="C182" s="7" t="str">
        <f>_xlfn.XLOOKUP(Vendas[[#This Row],[ID Vendedor]],Vendedores[ID],Vendedores[Setor])</f>
        <v>SC</v>
      </c>
      <c r="D182" s="7" t="s">
        <v>48</v>
      </c>
      <c r="E182" t="str">
        <f>_xlfn.XLOOKUP(Vendas[[#This Row],[ID Item Vendido]],Agregado[ID],Agregado[Produto])</f>
        <v>Tambor metálico 200L</v>
      </c>
      <c r="F182" s="39">
        <v>43476</v>
      </c>
      <c r="G182" s="7">
        <v>4</v>
      </c>
      <c r="H182" s="3">
        <f>_xlfn.XLOOKUP(Vendas[[#This Row],[ID Item Vendido]],Agregado[ID],Agregado[Revenda])</f>
        <v>144</v>
      </c>
      <c r="I182" s="3">
        <f>Vendas[[#This Row],[Valor Unitário]]*Vendas[[#This Row],[Qnt Vendida]]</f>
        <v>576</v>
      </c>
      <c r="J182" s="3">
        <f>Vendas[[#This Row],[Valor da Venda]]-(_xlfn.XLOOKUP(Vendas[[#This Row],[ID Item Vendido]],Agregado[ID],Agregado[Custo])*Vendas[[#This Row],[Qnt Vendida]])</f>
        <v>96</v>
      </c>
      <c r="K182" s="70">
        <f>Vendas[[#This Row],[Lucro da Venda]]/Vendas[[#This Row],[Valor da Venda]]</f>
        <v>0.16666666666666666</v>
      </c>
      <c r="L182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182"/>
    </row>
    <row r="183" spans="1:13" x14ac:dyDescent="0.3">
      <c r="A183" s="7">
        <v>400245</v>
      </c>
      <c r="B183" t="str">
        <f>_xlfn.XLOOKUP(Vendas[[#This Row],[ID Vendedor]],Vendedores[ID],Vendedores[Nome])</f>
        <v>Thiago</v>
      </c>
      <c r="C183" s="7" t="str">
        <f>_xlfn.XLOOKUP(Vendas[[#This Row],[ID Vendedor]],Vendedores[ID],Vendedores[Setor])</f>
        <v>AHD</v>
      </c>
      <c r="D183" s="7" t="s">
        <v>28</v>
      </c>
      <c r="E183" t="str">
        <f>_xlfn.XLOOKUP(Vendas[[#This Row],[ID Item Vendido]],Agregado[ID],Agregado[Produto])</f>
        <v>Peça usinada CNC</v>
      </c>
      <c r="F183" s="39">
        <v>43480</v>
      </c>
      <c r="G183" s="7">
        <v>2</v>
      </c>
      <c r="H183" s="3">
        <f>_xlfn.XLOOKUP(Vendas[[#This Row],[ID Item Vendido]],Agregado[ID],Agregado[Revenda])</f>
        <v>192</v>
      </c>
      <c r="I183" s="3">
        <f>Vendas[[#This Row],[Valor Unitário]]*Vendas[[#This Row],[Qnt Vendida]]</f>
        <v>384</v>
      </c>
      <c r="J183" s="3">
        <f>Vendas[[#This Row],[Valor da Venda]]-(_xlfn.XLOOKUP(Vendas[[#This Row],[ID Item Vendido]],Agregado[ID],Agregado[Custo])*Vendas[[#This Row],[Qnt Vendida]])</f>
        <v>84</v>
      </c>
      <c r="K183" s="70">
        <f>Vendas[[#This Row],[Lucro da Venda]]/Vendas[[#This Row],[Valor da Venda]]</f>
        <v>0.21875</v>
      </c>
      <c r="L183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183"/>
    </row>
    <row r="184" spans="1:13" x14ac:dyDescent="0.3">
      <c r="A184" s="7">
        <v>400245</v>
      </c>
      <c r="B184" t="str">
        <f>_xlfn.XLOOKUP(Vendas[[#This Row],[ID Vendedor]],Vendedores[ID],Vendedores[Nome])</f>
        <v>Thiago</v>
      </c>
      <c r="C184" s="7" t="str">
        <f>_xlfn.XLOOKUP(Vendas[[#This Row],[ID Vendedor]],Vendedores[ID],Vendedores[Setor])</f>
        <v>AHD</v>
      </c>
      <c r="D184" s="7" t="s">
        <v>9</v>
      </c>
      <c r="E184" t="str">
        <f>_xlfn.XLOOKUP(Vendas[[#This Row],[ID Item Vendido]],Agregado[ID],Agregado[Produto])</f>
        <v>Barra de aço simples</v>
      </c>
      <c r="F184" s="39">
        <v>43481</v>
      </c>
      <c r="G184" s="7">
        <v>150</v>
      </c>
      <c r="H184" s="3">
        <f>_xlfn.XLOOKUP(Vendas[[#This Row],[ID Item Vendido]],Agregado[ID],Agregado[Revenda])</f>
        <v>6.7</v>
      </c>
      <c r="I184" s="3">
        <f>Vendas[[#This Row],[Valor Unitário]]*Vendas[[#This Row],[Qnt Vendida]]</f>
        <v>1005</v>
      </c>
      <c r="J184" s="3">
        <f>Vendas[[#This Row],[Valor da Venda]]-(_xlfn.XLOOKUP(Vendas[[#This Row],[ID Item Vendido]],Agregado[ID],Agregado[Custo])*Vendas[[#This Row],[Qnt Vendida]])</f>
        <v>135</v>
      </c>
      <c r="K184" s="70">
        <f>Vendas[[#This Row],[Lucro da Venda]]/Vendas[[#This Row],[Valor da Venda]]</f>
        <v>0.13432835820895522</v>
      </c>
      <c r="L184" s="3">
        <f>_xlfn.IFS(Vendas[[#This Row],[Margem de Lucro (%)]]&lt;15%,Vendas[[#This Row],[Valor da Venda]]*3%,Vendas[[#This Row],[Margem de Lucro (%)]]&lt;=20%,Vendas[[#This Row],[Valor da Venda]]*4.5%,TRUE,Vendas[[#This Row],[Valor da Venda]]*6%)</f>
        <v>30.15</v>
      </c>
      <c r="M184"/>
    </row>
    <row r="185" spans="1:13" x14ac:dyDescent="0.3">
      <c r="A185" s="7">
        <v>400243</v>
      </c>
      <c r="B185" t="str">
        <f>_xlfn.XLOOKUP(Vendas[[#This Row],[ID Vendedor]],Vendedores[ID],Vendedores[Nome])</f>
        <v>Marcelo</v>
      </c>
      <c r="C185" s="7" t="str">
        <f>_xlfn.XLOOKUP(Vendas[[#This Row],[ID Vendedor]],Vendedores[ID],Vendedores[Setor])</f>
        <v>FM</v>
      </c>
      <c r="D185" s="7" t="s">
        <v>6</v>
      </c>
      <c r="E185" t="str">
        <f>_xlfn.XLOOKUP(Vendas[[#This Row],[ID Item Vendido]],Agregado[ID],Agregado[Produto])</f>
        <v>Parafuso comum 500un</v>
      </c>
      <c r="F185" s="39">
        <v>43482</v>
      </c>
      <c r="G185" s="7">
        <v>25</v>
      </c>
      <c r="H185" s="3">
        <f>_xlfn.XLOOKUP(Vendas[[#This Row],[ID Item Vendido]],Agregado[ID],Agregado[Revenda])</f>
        <v>24.6</v>
      </c>
      <c r="I185" s="3">
        <f>Vendas[[#This Row],[Valor Unitário]]*Vendas[[#This Row],[Qnt Vendida]]</f>
        <v>615</v>
      </c>
      <c r="J185" s="3">
        <f>Vendas[[#This Row],[Valor da Venda]]-(_xlfn.XLOOKUP(Vendas[[#This Row],[ID Item Vendido]],Agregado[ID],Agregado[Custo])*Vendas[[#This Row],[Qnt Vendida]])</f>
        <v>65</v>
      </c>
      <c r="K185" s="70">
        <f>Vendas[[#This Row],[Lucro da Venda]]/Vendas[[#This Row],[Valor da Venda]]</f>
        <v>0.10569105691056911</v>
      </c>
      <c r="L185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185"/>
    </row>
    <row r="186" spans="1:13" x14ac:dyDescent="0.3">
      <c r="A186" s="7">
        <v>400255</v>
      </c>
      <c r="B186" t="str">
        <f>_xlfn.XLOOKUP(Vendas[[#This Row],[ID Vendedor]],Vendedores[ID],Vendedores[Nome])</f>
        <v>Carlos</v>
      </c>
      <c r="C186" s="7" t="str">
        <f>_xlfn.XLOOKUP(Vendas[[#This Row],[ID Vendedor]],Vendedores[ID],Vendedores[Setor])</f>
        <v>SC</v>
      </c>
      <c r="D186" s="7" t="s">
        <v>25</v>
      </c>
      <c r="E186" t="str">
        <f>_xlfn.XLOOKUP(Vendas[[#This Row],[ID Item Vendido]],Agregado[ID],Agregado[Produto])</f>
        <v>Palete de plástico</v>
      </c>
      <c r="F186" s="39">
        <v>43485</v>
      </c>
      <c r="G186" s="7">
        <v>8</v>
      </c>
      <c r="H186" s="3">
        <f>_xlfn.XLOOKUP(Vendas[[#This Row],[ID Item Vendido]],Agregado[ID],Agregado[Revenda])</f>
        <v>70.8</v>
      </c>
      <c r="I186" s="3">
        <f>Vendas[[#This Row],[Valor Unitário]]*Vendas[[#This Row],[Qnt Vendida]]</f>
        <v>566.4</v>
      </c>
      <c r="J186" s="3">
        <f>Vendas[[#This Row],[Valor da Venda]]-(_xlfn.XLOOKUP(Vendas[[#This Row],[ID Item Vendido]],Agregado[ID],Agregado[Custo])*Vendas[[#This Row],[Qnt Vendida]])</f>
        <v>86.399999999999977</v>
      </c>
      <c r="K186" s="70">
        <f>Vendas[[#This Row],[Lucro da Venda]]/Vendas[[#This Row],[Valor da Venda]]</f>
        <v>0.15254237288135589</v>
      </c>
      <c r="L186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186"/>
    </row>
    <row r="187" spans="1:13" x14ac:dyDescent="0.3">
      <c r="A187" s="7">
        <v>400249</v>
      </c>
      <c r="B187" t="str">
        <f>_xlfn.XLOOKUP(Vendas[[#This Row],[ID Vendedor]],Vendedores[ID],Vendedores[Nome])</f>
        <v>Bruno</v>
      </c>
      <c r="C187" s="7" t="str">
        <f>_xlfn.XLOOKUP(Vendas[[#This Row],[ID Vendedor]],Vendedores[ID],Vendedores[Setor])</f>
        <v>CM</v>
      </c>
      <c r="D187" s="7" t="s">
        <v>22</v>
      </c>
      <c r="E187" t="str">
        <f>_xlfn.XLOOKUP(Vendas[[#This Row],[ID Item Vendido]],Agregado[ID],Agregado[Produto])</f>
        <v>Painel MDP 2,75x1,83m</v>
      </c>
      <c r="F187" s="39">
        <v>43487</v>
      </c>
      <c r="G187" s="7">
        <v>17</v>
      </c>
      <c r="H187" s="3">
        <f>_xlfn.XLOOKUP(Vendas[[#This Row],[ID Item Vendido]],Agregado[ID],Agregado[Revenda])</f>
        <v>119</v>
      </c>
      <c r="I187" s="3">
        <f>Vendas[[#This Row],[Valor Unitário]]*Vendas[[#This Row],[Qnt Vendida]]</f>
        <v>2023</v>
      </c>
      <c r="J187" s="3">
        <f>Vendas[[#This Row],[Valor da Venda]]-(_xlfn.XLOOKUP(Vendas[[#This Row],[ID Item Vendido]],Agregado[ID],Agregado[Custo])*Vendas[[#This Row],[Qnt Vendida]])</f>
        <v>408</v>
      </c>
      <c r="K187" s="70">
        <f>Vendas[[#This Row],[Lucro da Venda]]/Vendas[[#This Row],[Valor da Venda]]</f>
        <v>0.20168067226890757</v>
      </c>
      <c r="L187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187"/>
    </row>
    <row r="188" spans="1:13" x14ac:dyDescent="0.3">
      <c r="A188" s="7">
        <v>400245</v>
      </c>
      <c r="B188" t="str">
        <f>_xlfn.XLOOKUP(Vendas[[#This Row],[ID Vendedor]],Vendedores[ID],Vendedores[Nome])</f>
        <v>Thiago</v>
      </c>
      <c r="C188" s="7" t="str">
        <f>_xlfn.XLOOKUP(Vendas[[#This Row],[ID Vendedor]],Vendedores[ID],Vendedores[Setor])</f>
        <v>AHD</v>
      </c>
      <c r="D188" s="7" t="s">
        <v>28</v>
      </c>
      <c r="E188" t="str">
        <f>_xlfn.XLOOKUP(Vendas[[#This Row],[ID Item Vendido]],Agregado[ID],Agregado[Produto])</f>
        <v>Peça usinada CNC</v>
      </c>
      <c r="F188" s="39">
        <v>43488</v>
      </c>
      <c r="G188" s="7">
        <v>7</v>
      </c>
      <c r="H188" s="3">
        <f>_xlfn.XLOOKUP(Vendas[[#This Row],[ID Item Vendido]],Agregado[ID],Agregado[Revenda])</f>
        <v>192</v>
      </c>
      <c r="I188" s="3">
        <f>Vendas[[#This Row],[Valor Unitário]]*Vendas[[#This Row],[Qnt Vendida]]</f>
        <v>1344</v>
      </c>
      <c r="J188" s="3">
        <f>Vendas[[#This Row],[Valor da Venda]]-(_xlfn.XLOOKUP(Vendas[[#This Row],[ID Item Vendido]],Agregado[ID],Agregado[Custo])*Vendas[[#This Row],[Qnt Vendida]])</f>
        <v>294</v>
      </c>
      <c r="K188" s="70">
        <f>Vendas[[#This Row],[Lucro da Venda]]/Vendas[[#This Row],[Valor da Venda]]</f>
        <v>0.21875</v>
      </c>
      <c r="L188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188"/>
    </row>
    <row r="189" spans="1:13" x14ac:dyDescent="0.3">
      <c r="A189" s="7">
        <v>400255</v>
      </c>
      <c r="B189" t="str">
        <f>_xlfn.XLOOKUP(Vendas[[#This Row],[ID Vendedor]],Vendedores[ID],Vendedores[Nome])</f>
        <v>Carlos</v>
      </c>
      <c r="C189" s="7" t="str">
        <f>_xlfn.XLOOKUP(Vendas[[#This Row],[ID Vendedor]],Vendedores[ID],Vendedores[Setor])</f>
        <v>SC</v>
      </c>
      <c r="D189" s="7" t="s">
        <v>48</v>
      </c>
      <c r="E189" t="str">
        <f>_xlfn.XLOOKUP(Vendas[[#This Row],[ID Item Vendido]],Agregado[ID],Agregado[Produto])</f>
        <v>Tambor metálico 200L</v>
      </c>
      <c r="F189" s="39">
        <v>43488</v>
      </c>
      <c r="G189" s="7">
        <v>2</v>
      </c>
      <c r="H189" s="3">
        <f>_xlfn.XLOOKUP(Vendas[[#This Row],[ID Item Vendido]],Agregado[ID],Agregado[Revenda])</f>
        <v>144</v>
      </c>
      <c r="I189" s="3">
        <f>Vendas[[#This Row],[Valor Unitário]]*Vendas[[#This Row],[Qnt Vendida]]</f>
        <v>288</v>
      </c>
      <c r="J189" s="3">
        <f>Vendas[[#This Row],[Valor da Venda]]-(_xlfn.XLOOKUP(Vendas[[#This Row],[ID Item Vendido]],Agregado[ID],Agregado[Custo])*Vendas[[#This Row],[Qnt Vendida]])</f>
        <v>48</v>
      </c>
      <c r="K189" s="70">
        <f>Vendas[[#This Row],[Lucro da Venda]]/Vendas[[#This Row],[Valor da Venda]]</f>
        <v>0.16666666666666666</v>
      </c>
      <c r="L189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189"/>
    </row>
    <row r="190" spans="1:13" x14ac:dyDescent="0.3">
      <c r="A190" s="7">
        <v>400243</v>
      </c>
      <c r="B190" t="str">
        <f>_xlfn.XLOOKUP(Vendas[[#This Row],[ID Vendedor]],Vendedores[ID],Vendedores[Nome])</f>
        <v>Marcelo</v>
      </c>
      <c r="C190" s="7" t="str">
        <f>_xlfn.XLOOKUP(Vendas[[#This Row],[ID Vendedor]],Vendedores[ID],Vendedores[Setor])</f>
        <v>FM</v>
      </c>
      <c r="D190" s="7" t="s">
        <v>31</v>
      </c>
      <c r="E190" t="str">
        <f>_xlfn.XLOOKUP(Vendas[[#This Row],[ID Item Vendido]],Agregado[ID],Agregado[Produto])</f>
        <v>Tela de metal soldada rolo 2x25m</v>
      </c>
      <c r="F190" s="39">
        <v>43495</v>
      </c>
      <c r="G190" s="7">
        <v>12</v>
      </c>
      <c r="H190" s="3">
        <f>_xlfn.XLOOKUP(Vendas[[#This Row],[ID Item Vendido]],Agregado[ID],Agregado[Revenda])</f>
        <v>43.7</v>
      </c>
      <c r="I190" s="3">
        <f>Vendas[[#This Row],[Valor Unitário]]*Vendas[[#This Row],[Qnt Vendida]]</f>
        <v>524.40000000000009</v>
      </c>
      <c r="J190" s="3">
        <f>Vendas[[#This Row],[Valor da Venda]]-(_xlfn.XLOOKUP(Vendas[[#This Row],[ID Item Vendido]],Agregado[ID],Agregado[Custo])*Vendas[[#This Row],[Qnt Vendida]])</f>
        <v>68.400000000000091</v>
      </c>
      <c r="K190" s="70">
        <f>Vendas[[#This Row],[Lucro da Venda]]/Vendas[[#This Row],[Valor da Venda]]</f>
        <v>0.13043478260869582</v>
      </c>
      <c r="L190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190"/>
    </row>
    <row r="191" spans="1:13" x14ac:dyDescent="0.3">
      <c r="A191" s="7">
        <v>400255</v>
      </c>
      <c r="B191" t="str">
        <f>_xlfn.XLOOKUP(Vendas[[#This Row],[ID Vendedor]],Vendedores[ID],Vendedores[Nome])</f>
        <v>Carlos</v>
      </c>
      <c r="C191" s="7" t="str">
        <f>_xlfn.XLOOKUP(Vendas[[#This Row],[ID Vendedor]],Vendedores[ID],Vendedores[Setor])</f>
        <v>SC</v>
      </c>
      <c r="D191" s="7" t="s">
        <v>14</v>
      </c>
      <c r="E191" t="str">
        <f>_xlfn.XLOOKUP(Vendas[[#This Row],[ID Item Vendido]],Agregado[ID],Agregado[Produto])</f>
        <v>Barril de plástico 200L</v>
      </c>
      <c r="F191" s="39">
        <v>43496</v>
      </c>
      <c r="G191" s="7">
        <v>16</v>
      </c>
      <c r="H191" s="3">
        <f>_xlfn.XLOOKUP(Vendas[[#This Row],[ID Item Vendido]],Agregado[ID],Agregado[Revenda])</f>
        <v>114</v>
      </c>
      <c r="I191" s="3">
        <f>Vendas[[#This Row],[Valor Unitário]]*Vendas[[#This Row],[Qnt Vendida]]</f>
        <v>1824</v>
      </c>
      <c r="J191" s="3">
        <f>Vendas[[#This Row],[Valor da Venda]]-(_xlfn.XLOOKUP(Vendas[[#This Row],[ID Item Vendido]],Agregado[ID],Agregado[Custo])*Vendas[[#This Row],[Qnt Vendida]])</f>
        <v>304</v>
      </c>
      <c r="K191" s="70">
        <f>Vendas[[#This Row],[Lucro da Venda]]/Vendas[[#This Row],[Valor da Venda]]</f>
        <v>0.16666666666666666</v>
      </c>
      <c r="L191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191"/>
    </row>
    <row r="192" spans="1:13" x14ac:dyDescent="0.3">
      <c r="A192" s="7">
        <v>400255</v>
      </c>
      <c r="B192" t="str">
        <f>_xlfn.XLOOKUP(Vendas[[#This Row],[ID Vendedor]],Vendedores[ID],Vendedores[Nome])</f>
        <v>Carlos</v>
      </c>
      <c r="C192" s="7" t="str">
        <f>_xlfn.XLOOKUP(Vendas[[#This Row],[ID Vendedor]],Vendedores[ID],Vendedores[Setor])</f>
        <v>SC</v>
      </c>
      <c r="D192" s="7" t="s">
        <v>48</v>
      </c>
      <c r="E192" t="str">
        <f>_xlfn.XLOOKUP(Vendas[[#This Row],[ID Item Vendido]],Agregado[ID],Agregado[Produto])</f>
        <v>Tambor metálico 200L</v>
      </c>
      <c r="F192" s="39">
        <v>43498</v>
      </c>
      <c r="G192" s="7">
        <v>8</v>
      </c>
      <c r="H192" s="3">
        <f>_xlfn.XLOOKUP(Vendas[[#This Row],[ID Item Vendido]],Agregado[ID],Agregado[Revenda])</f>
        <v>144</v>
      </c>
      <c r="I192" s="3">
        <f>Vendas[[#This Row],[Valor Unitário]]*Vendas[[#This Row],[Qnt Vendida]]</f>
        <v>1152</v>
      </c>
      <c r="J192" s="3">
        <f>Vendas[[#This Row],[Valor da Venda]]-(_xlfn.XLOOKUP(Vendas[[#This Row],[ID Item Vendido]],Agregado[ID],Agregado[Custo])*Vendas[[#This Row],[Qnt Vendida]])</f>
        <v>192</v>
      </c>
      <c r="K192" s="70">
        <f>Vendas[[#This Row],[Lucro da Venda]]/Vendas[[#This Row],[Valor da Venda]]</f>
        <v>0.16666666666666666</v>
      </c>
      <c r="L192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92"/>
    </row>
    <row r="193" spans="1:13" x14ac:dyDescent="0.3">
      <c r="A193" s="7">
        <v>400243</v>
      </c>
      <c r="B193" t="str">
        <f>_xlfn.XLOOKUP(Vendas[[#This Row],[ID Vendedor]],Vendedores[ID],Vendedores[Nome])</f>
        <v>Marcelo</v>
      </c>
      <c r="C193" s="7" t="str">
        <f>_xlfn.XLOOKUP(Vendas[[#This Row],[ID Vendedor]],Vendedores[ID],Vendedores[Setor])</f>
        <v>FM</v>
      </c>
      <c r="D193" s="7" t="s">
        <v>31</v>
      </c>
      <c r="E193" t="str">
        <f>_xlfn.XLOOKUP(Vendas[[#This Row],[ID Item Vendido]],Agregado[ID],Agregado[Produto])</f>
        <v>Tela de metal soldada rolo 2x25m</v>
      </c>
      <c r="F193" s="39">
        <v>43498</v>
      </c>
      <c r="G193" s="7">
        <v>6</v>
      </c>
      <c r="H193" s="3">
        <f>_xlfn.XLOOKUP(Vendas[[#This Row],[ID Item Vendido]],Agregado[ID],Agregado[Revenda])</f>
        <v>43.7</v>
      </c>
      <c r="I193" s="3">
        <f>Vendas[[#This Row],[Valor Unitário]]*Vendas[[#This Row],[Qnt Vendida]]</f>
        <v>262.20000000000005</v>
      </c>
      <c r="J193" s="3">
        <f>Vendas[[#This Row],[Valor da Venda]]-(_xlfn.XLOOKUP(Vendas[[#This Row],[ID Item Vendido]],Agregado[ID],Agregado[Custo])*Vendas[[#This Row],[Qnt Vendida]])</f>
        <v>34.200000000000045</v>
      </c>
      <c r="K193" s="70">
        <f>Vendas[[#This Row],[Lucro da Venda]]/Vendas[[#This Row],[Valor da Venda]]</f>
        <v>0.13043478260869582</v>
      </c>
      <c r="L193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193"/>
    </row>
    <row r="194" spans="1:13" x14ac:dyDescent="0.3">
      <c r="A194" s="7">
        <v>400243</v>
      </c>
      <c r="B194" t="str">
        <f>_xlfn.XLOOKUP(Vendas[[#This Row],[ID Vendedor]],Vendedores[ID],Vendedores[Nome])</f>
        <v>Marcelo</v>
      </c>
      <c r="C194" s="7" t="str">
        <f>_xlfn.XLOOKUP(Vendas[[#This Row],[ID Vendedor]],Vendedores[ID],Vendedores[Setor])</f>
        <v>FM</v>
      </c>
      <c r="D194" s="7" t="s">
        <v>20</v>
      </c>
      <c r="E194" t="str">
        <f>_xlfn.XLOOKUP(Vendas[[#This Row],[ID Item Vendido]],Agregado[ID],Agregado[Produto])</f>
        <v>Barra de aço simples</v>
      </c>
      <c r="F194" s="39">
        <v>43501</v>
      </c>
      <c r="G194" s="7">
        <v>127</v>
      </c>
      <c r="H194" s="3">
        <f>_xlfn.XLOOKUP(Vendas[[#This Row],[ID Item Vendido]],Agregado[ID],Agregado[Revenda])</f>
        <v>4.8</v>
      </c>
      <c r="I194" s="3">
        <f>Vendas[[#This Row],[Valor Unitário]]*Vendas[[#This Row],[Qnt Vendida]]</f>
        <v>609.6</v>
      </c>
      <c r="J194" s="3">
        <f>Vendas[[#This Row],[Valor da Venda]]-(_xlfn.XLOOKUP(Vendas[[#This Row],[ID Item Vendido]],Agregado[ID],Agregado[Custo])*Vendas[[#This Row],[Qnt Vendida]])</f>
        <v>76.200000000000045</v>
      </c>
      <c r="K194" s="70">
        <f>Vendas[[#This Row],[Lucro da Venda]]/Vendas[[#This Row],[Valor da Venda]]</f>
        <v>0.12500000000000008</v>
      </c>
      <c r="L194" s="3">
        <f>_xlfn.IFS(Vendas[[#This Row],[Margem de Lucro (%)]]&lt;15%,Vendas[[#This Row],[Valor da Venda]]*3%,Vendas[[#This Row],[Margem de Lucro (%)]]&lt;=20%,Vendas[[#This Row],[Valor da Venda]]*4.5%,TRUE,Vendas[[#This Row],[Valor da Venda]]*6%)</f>
        <v>18.288</v>
      </c>
      <c r="M194"/>
    </row>
    <row r="195" spans="1:13" x14ac:dyDescent="0.3">
      <c r="A195" s="7">
        <v>400249</v>
      </c>
      <c r="B195" t="str">
        <f>_xlfn.XLOOKUP(Vendas[[#This Row],[ID Vendedor]],Vendedores[ID],Vendedores[Nome])</f>
        <v>Bruno</v>
      </c>
      <c r="C195" s="7" t="str">
        <f>_xlfn.XLOOKUP(Vendas[[#This Row],[ID Vendedor]],Vendedores[ID],Vendedores[Setor])</f>
        <v>CM</v>
      </c>
      <c r="D195" s="7" t="s">
        <v>43</v>
      </c>
      <c r="E195" t="str">
        <f>_xlfn.XLOOKUP(Vendas[[#This Row],[ID Item Vendido]],Agregado[ID],Agregado[Produto])</f>
        <v>Madeira Bruta (Tora)</v>
      </c>
      <c r="F195" s="39">
        <v>43503</v>
      </c>
      <c r="G195" s="7">
        <v>4</v>
      </c>
      <c r="H195" s="3">
        <f>_xlfn.XLOOKUP(Vendas[[#This Row],[ID Item Vendido]],Agregado[ID],Agregado[Revenda])</f>
        <v>212</v>
      </c>
      <c r="I195" s="3">
        <f>Vendas[[#This Row],[Valor Unitário]]*Vendas[[#This Row],[Qnt Vendida]]</f>
        <v>848</v>
      </c>
      <c r="J195" s="3">
        <f>Vendas[[#This Row],[Valor da Venda]]-(_xlfn.XLOOKUP(Vendas[[#This Row],[ID Item Vendido]],Agregado[ID],Agregado[Custo])*Vendas[[#This Row],[Qnt Vendida]])</f>
        <v>128</v>
      </c>
      <c r="K195" s="70">
        <f>Vendas[[#This Row],[Lucro da Venda]]/Vendas[[#This Row],[Valor da Venda]]</f>
        <v>0.15094339622641509</v>
      </c>
      <c r="L195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95"/>
    </row>
    <row r="196" spans="1:13" x14ac:dyDescent="0.3">
      <c r="A196" s="7">
        <v>400245</v>
      </c>
      <c r="B196" t="str">
        <f>_xlfn.XLOOKUP(Vendas[[#This Row],[ID Vendedor]],Vendedores[ID],Vendedores[Nome])</f>
        <v>Thiago</v>
      </c>
      <c r="C196" s="7" t="str">
        <f>_xlfn.XLOOKUP(Vendas[[#This Row],[ID Vendedor]],Vendedores[ID],Vendedores[Setor])</f>
        <v>AHD</v>
      </c>
      <c r="D196" s="7" t="s">
        <v>18</v>
      </c>
      <c r="E196" t="str">
        <f>_xlfn.XLOOKUP(Vendas[[#This Row],[ID Item Vendido]],Agregado[ID],Agregado[Produto])</f>
        <v>Peça forjada sob encomenda</v>
      </c>
      <c r="F196" s="39">
        <v>43505</v>
      </c>
      <c r="G196" s="7">
        <v>1</v>
      </c>
      <c r="H196" s="3">
        <f>_xlfn.XLOOKUP(Vendas[[#This Row],[ID Item Vendido]],Agregado[ID],Agregado[Revenda])</f>
        <v>264.60000000000002</v>
      </c>
      <c r="I196" s="3">
        <f>Vendas[[#This Row],[Valor Unitário]]*Vendas[[#This Row],[Qnt Vendida]]</f>
        <v>264.60000000000002</v>
      </c>
      <c r="J196" s="3">
        <f>Vendas[[#This Row],[Valor da Venda]]-(_xlfn.XLOOKUP(Vendas[[#This Row],[ID Item Vendido]],Agregado[ID],Agregado[Custo])*Vendas[[#This Row],[Qnt Vendida]])</f>
        <v>14.600000000000023</v>
      </c>
      <c r="K196" s="70">
        <f>Vendas[[#This Row],[Lucro da Venda]]/Vendas[[#This Row],[Valor da Venda]]</f>
        <v>5.5177626606198113E-2</v>
      </c>
      <c r="L196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96"/>
    </row>
    <row r="197" spans="1:13" x14ac:dyDescent="0.3">
      <c r="A197" s="7">
        <v>400245</v>
      </c>
      <c r="B197" t="str">
        <f>_xlfn.XLOOKUP(Vendas[[#This Row],[ID Vendedor]],Vendedores[ID],Vendedores[Nome])</f>
        <v>Thiago</v>
      </c>
      <c r="C197" s="7" t="str">
        <f>_xlfn.XLOOKUP(Vendas[[#This Row],[ID Vendedor]],Vendedores[ID],Vendedores[Setor])</f>
        <v>AHD</v>
      </c>
      <c r="D197" s="7" t="s">
        <v>44</v>
      </c>
      <c r="E197" t="str">
        <f>_xlfn.XLOOKUP(Vendas[[#This Row],[ID Item Vendido]],Agregado[ID],Agregado[Produto])</f>
        <v>Liga metálica especial</v>
      </c>
      <c r="F197" s="39">
        <v>43506</v>
      </c>
      <c r="G197" s="7">
        <v>19</v>
      </c>
      <c r="H197" s="3">
        <f>_xlfn.XLOOKUP(Vendas[[#This Row],[ID Item Vendido]],Agregado[ID],Agregado[Revenda])</f>
        <v>32.5</v>
      </c>
      <c r="I197" s="3">
        <f>Vendas[[#This Row],[Valor Unitário]]*Vendas[[#This Row],[Qnt Vendida]]</f>
        <v>617.5</v>
      </c>
      <c r="J197" s="3">
        <f>Vendas[[#This Row],[Valor da Venda]]-(_xlfn.XLOOKUP(Vendas[[#This Row],[ID Item Vendido]],Agregado[ID],Agregado[Custo])*Vendas[[#This Row],[Qnt Vendida]])</f>
        <v>142.5</v>
      </c>
      <c r="K197" s="70">
        <f>Vendas[[#This Row],[Lucro da Venda]]/Vendas[[#This Row],[Valor da Venda]]</f>
        <v>0.23076923076923078</v>
      </c>
      <c r="L197" s="3">
        <f>_xlfn.IFS(Vendas[[#This Row],[Margem de Lucro (%)]]&lt;15%,Vendas[[#This Row],[Valor da Venda]]*3%,Vendas[[#This Row],[Margem de Lucro (%)]]&lt;=20%,Vendas[[#This Row],[Valor da Venda]]*4.5%,TRUE,Vendas[[#This Row],[Valor da Venda]]*6%)</f>
        <v>37.049999999999997</v>
      </c>
      <c r="M197"/>
    </row>
    <row r="198" spans="1:13" x14ac:dyDescent="0.3">
      <c r="A198" s="7">
        <v>400245</v>
      </c>
      <c r="B198" t="str">
        <f>_xlfn.XLOOKUP(Vendas[[#This Row],[ID Vendedor]],Vendedores[ID],Vendedores[Nome])</f>
        <v>Thiago</v>
      </c>
      <c r="C198" s="7" t="str">
        <f>_xlfn.XLOOKUP(Vendas[[#This Row],[ID Vendedor]],Vendedores[ID],Vendedores[Setor])</f>
        <v>AHD</v>
      </c>
      <c r="D198" s="7" t="s">
        <v>28</v>
      </c>
      <c r="E198" t="str">
        <f>_xlfn.XLOOKUP(Vendas[[#This Row],[ID Item Vendido]],Agregado[ID],Agregado[Produto])</f>
        <v>Peça usinada CNC</v>
      </c>
      <c r="F198" s="39">
        <v>43508</v>
      </c>
      <c r="G198" s="7">
        <v>13</v>
      </c>
      <c r="H198" s="3">
        <f>_xlfn.XLOOKUP(Vendas[[#This Row],[ID Item Vendido]],Agregado[ID],Agregado[Revenda])</f>
        <v>192</v>
      </c>
      <c r="I198" s="3">
        <f>Vendas[[#This Row],[Valor Unitário]]*Vendas[[#This Row],[Qnt Vendida]]</f>
        <v>2496</v>
      </c>
      <c r="J198" s="3">
        <f>Vendas[[#This Row],[Valor da Venda]]-(_xlfn.XLOOKUP(Vendas[[#This Row],[ID Item Vendido]],Agregado[ID],Agregado[Custo])*Vendas[[#This Row],[Qnt Vendida]])</f>
        <v>546</v>
      </c>
      <c r="K198" s="70">
        <f>Vendas[[#This Row],[Lucro da Venda]]/Vendas[[#This Row],[Valor da Venda]]</f>
        <v>0.21875</v>
      </c>
      <c r="L198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198"/>
    </row>
    <row r="199" spans="1:13" x14ac:dyDescent="0.3">
      <c r="A199" s="7">
        <v>400245</v>
      </c>
      <c r="B199" t="str">
        <f>_xlfn.XLOOKUP(Vendas[[#This Row],[ID Vendedor]],Vendedores[ID],Vendedores[Nome])</f>
        <v>Thiago</v>
      </c>
      <c r="C199" s="7" t="str">
        <f>_xlfn.XLOOKUP(Vendas[[#This Row],[ID Vendedor]],Vendedores[ID],Vendedores[Setor])</f>
        <v>AHD</v>
      </c>
      <c r="D199" s="7" t="s">
        <v>44</v>
      </c>
      <c r="E199" t="str">
        <f>_xlfn.XLOOKUP(Vendas[[#This Row],[ID Item Vendido]],Agregado[ID],Agregado[Produto])</f>
        <v>Liga metálica especial</v>
      </c>
      <c r="F199" s="39">
        <v>43508</v>
      </c>
      <c r="G199" s="7">
        <v>39</v>
      </c>
      <c r="H199" s="3">
        <f>_xlfn.XLOOKUP(Vendas[[#This Row],[ID Item Vendido]],Agregado[ID],Agregado[Revenda])</f>
        <v>32.5</v>
      </c>
      <c r="I199" s="3">
        <f>Vendas[[#This Row],[Valor Unitário]]*Vendas[[#This Row],[Qnt Vendida]]</f>
        <v>1267.5</v>
      </c>
      <c r="J199" s="3">
        <f>Vendas[[#This Row],[Valor da Venda]]-(_xlfn.XLOOKUP(Vendas[[#This Row],[ID Item Vendido]],Agregado[ID],Agregado[Custo])*Vendas[[#This Row],[Qnt Vendida]])</f>
        <v>292.5</v>
      </c>
      <c r="K199" s="70">
        <f>Vendas[[#This Row],[Lucro da Venda]]/Vendas[[#This Row],[Valor da Venda]]</f>
        <v>0.23076923076923078</v>
      </c>
      <c r="L199" s="3">
        <f>_xlfn.IFS(Vendas[[#This Row],[Margem de Lucro (%)]]&lt;15%,Vendas[[#This Row],[Valor da Venda]]*3%,Vendas[[#This Row],[Margem de Lucro (%)]]&lt;=20%,Vendas[[#This Row],[Valor da Venda]]*4.5%,TRUE,Vendas[[#This Row],[Valor da Venda]]*6%)</f>
        <v>76.05</v>
      </c>
      <c r="M199"/>
    </row>
    <row r="200" spans="1:13" x14ac:dyDescent="0.3">
      <c r="A200" s="7">
        <v>400245</v>
      </c>
      <c r="B200" t="str">
        <f>_xlfn.XLOOKUP(Vendas[[#This Row],[ID Vendedor]],Vendedores[ID],Vendedores[Nome])</f>
        <v>Thiago</v>
      </c>
      <c r="C200" s="7" t="str">
        <f>_xlfn.XLOOKUP(Vendas[[#This Row],[ID Vendedor]],Vendedores[ID],Vendedores[Setor])</f>
        <v>AHD</v>
      </c>
      <c r="D200" s="7" t="s">
        <v>28</v>
      </c>
      <c r="E200" t="str">
        <f>_xlfn.XLOOKUP(Vendas[[#This Row],[ID Item Vendido]],Agregado[ID],Agregado[Produto])</f>
        <v>Peça usinada CNC</v>
      </c>
      <c r="F200" s="39">
        <v>43509</v>
      </c>
      <c r="G200" s="7">
        <v>3</v>
      </c>
      <c r="H200" s="3">
        <f>_xlfn.XLOOKUP(Vendas[[#This Row],[ID Item Vendido]],Agregado[ID],Agregado[Revenda])</f>
        <v>192</v>
      </c>
      <c r="I200" s="3">
        <f>Vendas[[#This Row],[Valor Unitário]]*Vendas[[#This Row],[Qnt Vendida]]</f>
        <v>576</v>
      </c>
      <c r="J200" s="3">
        <f>Vendas[[#This Row],[Valor da Venda]]-(_xlfn.XLOOKUP(Vendas[[#This Row],[ID Item Vendido]],Agregado[ID],Agregado[Custo])*Vendas[[#This Row],[Qnt Vendida]])</f>
        <v>126</v>
      </c>
      <c r="K200" s="70">
        <f>Vendas[[#This Row],[Lucro da Venda]]/Vendas[[#This Row],[Valor da Venda]]</f>
        <v>0.21875</v>
      </c>
      <c r="L200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200"/>
    </row>
    <row r="201" spans="1:13" x14ac:dyDescent="0.3">
      <c r="A201" s="7">
        <v>400249</v>
      </c>
      <c r="B201" t="str">
        <f>_xlfn.XLOOKUP(Vendas[[#This Row],[ID Vendedor]],Vendedores[ID],Vendedores[Nome])</f>
        <v>Bruno</v>
      </c>
      <c r="C201" s="7" t="str">
        <f>_xlfn.XLOOKUP(Vendas[[#This Row],[ID Vendedor]],Vendedores[ID],Vendedores[Setor])</f>
        <v>CM</v>
      </c>
      <c r="D201" s="7" t="s">
        <v>34</v>
      </c>
      <c r="E201" t="str">
        <f>_xlfn.XLOOKUP(Vendas[[#This Row],[ID Item Vendido]],Agregado[ID],Agregado[Produto])</f>
        <v>Restos de madeira p/ MDP/OSB saco de 20kg</v>
      </c>
      <c r="F201" s="39">
        <v>43509</v>
      </c>
      <c r="G201" s="7">
        <v>22</v>
      </c>
      <c r="H201" s="3">
        <f>_xlfn.XLOOKUP(Vendas[[#This Row],[ID Item Vendido]],Agregado[ID],Agregado[Revenda])</f>
        <v>13.8</v>
      </c>
      <c r="I201" s="3">
        <f>Vendas[[#This Row],[Valor Unitário]]*Vendas[[#This Row],[Qnt Vendida]]</f>
        <v>303.60000000000002</v>
      </c>
      <c r="J201" s="3">
        <f>Vendas[[#This Row],[Valor da Venda]]-(_xlfn.XLOOKUP(Vendas[[#This Row],[ID Item Vendido]],Agregado[ID],Agregado[Custo])*Vendas[[#This Row],[Qnt Vendida]])</f>
        <v>39.600000000000023</v>
      </c>
      <c r="K201" s="70">
        <f>Vendas[[#This Row],[Lucro da Venda]]/Vendas[[#This Row],[Valor da Venda]]</f>
        <v>0.1304347826086957</v>
      </c>
      <c r="L201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201"/>
    </row>
    <row r="202" spans="1:13" x14ac:dyDescent="0.3">
      <c r="A202" s="7">
        <v>400243</v>
      </c>
      <c r="B202" t="str">
        <f>_xlfn.XLOOKUP(Vendas[[#This Row],[ID Vendedor]],Vendedores[ID],Vendedores[Nome])</f>
        <v>Marcelo</v>
      </c>
      <c r="C202" s="7" t="str">
        <f>_xlfn.XLOOKUP(Vendas[[#This Row],[ID Vendedor]],Vendedores[ID],Vendedores[Setor])</f>
        <v>FM</v>
      </c>
      <c r="D202" s="7" t="s">
        <v>20</v>
      </c>
      <c r="E202" t="str">
        <f>_xlfn.XLOOKUP(Vendas[[#This Row],[ID Item Vendido]],Agregado[ID],Agregado[Produto])</f>
        <v>Barra de aço simples</v>
      </c>
      <c r="F202" s="39">
        <v>43511</v>
      </c>
      <c r="G202" s="7">
        <v>83</v>
      </c>
      <c r="H202" s="3">
        <f>_xlfn.XLOOKUP(Vendas[[#This Row],[ID Item Vendido]],Agregado[ID],Agregado[Revenda])</f>
        <v>4.8</v>
      </c>
      <c r="I202" s="3">
        <f>Vendas[[#This Row],[Valor Unitário]]*Vendas[[#This Row],[Qnt Vendida]]</f>
        <v>398.4</v>
      </c>
      <c r="J202" s="3">
        <f>Vendas[[#This Row],[Valor da Venda]]-(_xlfn.XLOOKUP(Vendas[[#This Row],[ID Item Vendido]],Agregado[ID],Agregado[Custo])*Vendas[[#This Row],[Qnt Vendida]])</f>
        <v>49.799999999999955</v>
      </c>
      <c r="K202" s="70">
        <f>Vendas[[#This Row],[Lucro da Venda]]/Vendas[[#This Row],[Valor da Venda]]</f>
        <v>0.12499999999999989</v>
      </c>
      <c r="L202" s="3">
        <f>_xlfn.IFS(Vendas[[#This Row],[Margem de Lucro (%)]]&lt;15%,Vendas[[#This Row],[Valor da Venda]]*3%,Vendas[[#This Row],[Margem de Lucro (%)]]&lt;=20%,Vendas[[#This Row],[Valor da Venda]]*4.5%,TRUE,Vendas[[#This Row],[Valor da Venda]]*6%)</f>
        <v>11.951999999999998</v>
      </c>
      <c r="M202"/>
    </row>
    <row r="203" spans="1:13" x14ac:dyDescent="0.3">
      <c r="A203" s="7">
        <v>400243</v>
      </c>
      <c r="B203" t="str">
        <f>_xlfn.XLOOKUP(Vendas[[#This Row],[ID Vendedor]],Vendedores[ID],Vendedores[Nome])</f>
        <v>Marcelo</v>
      </c>
      <c r="C203" s="7" t="str">
        <f>_xlfn.XLOOKUP(Vendas[[#This Row],[ID Vendedor]],Vendedores[ID],Vendedores[Setor])</f>
        <v>FM</v>
      </c>
      <c r="D203" s="7" t="s">
        <v>31</v>
      </c>
      <c r="E203" t="str">
        <f>_xlfn.XLOOKUP(Vendas[[#This Row],[ID Item Vendido]],Agregado[ID],Agregado[Produto])</f>
        <v>Tela de metal soldada rolo 2x25m</v>
      </c>
      <c r="F203" s="39">
        <v>43511</v>
      </c>
      <c r="G203" s="7">
        <v>5</v>
      </c>
      <c r="H203" s="3">
        <f>_xlfn.XLOOKUP(Vendas[[#This Row],[ID Item Vendido]],Agregado[ID],Agregado[Revenda])</f>
        <v>43.7</v>
      </c>
      <c r="I203" s="3">
        <f>Vendas[[#This Row],[Valor Unitário]]*Vendas[[#This Row],[Qnt Vendida]]</f>
        <v>218.5</v>
      </c>
      <c r="J203" s="3">
        <f>Vendas[[#This Row],[Valor da Venda]]-(_xlfn.XLOOKUP(Vendas[[#This Row],[ID Item Vendido]],Agregado[ID],Agregado[Custo])*Vendas[[#This Row],[Qnt Vendida]])</f>
        <v>28.5</v>
      </c>
      <c r="K203" s="70">
        <f>Vendas[[#This Row],[Lucro da Venda]]/Vendas[[#This Row],[Valor da Venda]]</f>
        <v>0.13043478260869565</v>
      </c>
      <c r="L203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203"/>
    </row>
    <row r="204" spans="1:13" x14ac:dyDescent="0.3">
      <c r="A204" s="7">
        <v>400255</v>
      </c>
      <c r="B204" t="str">
        <f>_xlfn.XLOOKUP(Vendas[[#This Row],[ID Vendedor]],Vendedores[ID],Vendedores[Nome])</f>
        <v>Carlos</v>
      </c>
      <c r="C204" s="7" t="str">
        <f>_xlfn.XLOOKUP(Vendas[[#This Row],[ID Vendedor]],Vendedores[ID],Vendedores[Setor])</f>
        <v>SC</v>
      </c>
      <c r="D204" s="7" t="s">
        <v>14</v>
      </c>
      <c r="E204" t="str">
        <f>_xlfn.XLOOKUP(Vendas[[#This Row],[ID Item Vendido]],Agregado[ID],Agregado[Produto])</f>
        <v>Barril de plástico 200L</v>
      </c>
      <c r="F204" s="39">
        <v>43513</v>
      </c>
      <c r="G204" s="7">
        <v>3</v>
      </c>
      <c r="H204" s="3">
        <f>_xlfn.XLOOKUP(Vendas[[#This Row],[ID Item Vendido]],Agregado[ID],Agregado[Revenda])</f>
        <v>114</v>
      </c>
      <c r="I204" s="3">
        <f>Vendas[[#This Row],[Valor Unitário]]*Vendas[[#This Row],[Qnt Vendida]]</f>
        <v>342</v>
      </c>
      <c r="J204" s="3">
        <f>Vendas[[#This Row],[Valor da Venda]]-(_xlfn.XLOOKUP(Vendas[[#This Row],[ID Item Vendido]],Agregado[ID],Agregado[Custo])*Vendas[[#This Row],[Qnt Vendida]])</f>
        <v>57</v>
      </c>
      <c r="K204" s="70">
        <f>Vendas[[#This Row],[Lucro da Venda]]/Vendas[[#This Row],[Valor da Venda]]</f>
        <v>0.16666666666666666</v>
      </c>
      <c r="L204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204"/>
    </row>
    <row r="205" spans="1:13" x14ac:dyDescent="0.3">
      <c r="A205" s="7">
        <v>400245</v>
      </c>
      <c r="B205" t="str">
        <f>_xlfn.XLOOKUP(Vendas[[#This Row],[ID Vendedor]],Vendedores[ID],Vendedores[Nome])</f>
        <v>Thiago</v>
      </c>
      <c r="C205" s="7" t="str">
        <f>_xlfn.XLOOKUP(Vendas[[#This Row],[ID Vendedor]],Vendedores[ID],Vendedores[Setor])</f>
        <v>AHD</v>
      </c>
      <c r="D205" s="7" t="s">
        <v>28</v>
      </c>
      <c r="E205" t="str">
        <f>_xlfn.XLOOKUP(Vendas[[#This Row],[ID Item Vendido]],Agregado[ID],Agregado[Produto])</f>
        <v>Peça usinada CNC</v>
      </c>
      <c r="F205" s="39">
        <v>43518</v>
      </c>
      <c r="G205" s="7">
        <v>8</v>
      </c>
      <c r="H205" s="3">
        <f>_xlfn.XLOOKUP(Vendas[[#This Row],[ID Item Vendido]],Agregado[ID],Agregado[Revenda])</f>
        <v>192</v>
      </c>
      <c r="I205" s="3">
        <f>Vendas[[#This Row],[Valor Unitário]]*Vendas[[#This Row],[Qnt Vendida]]</f>
        <v>1536</v>
      </c>
      <c r="J205" s="3">
        <f>Vendas[[#This Row],[Valor da Venda]]-(_xlfn.XLOOKUP(Vendas[[#This Row],[ID Item Vendido]],Agregado[ID],Agregado[Custo])*Vendas[[#This Row],[Qnt Vendida]])</f>
        <v>336</v>
      </c>
      <c r="K205" s="70">
        <f>Vendas[[#This Row],[Lucro da Venda]]/Vendas[[#This Row],[Valor da Venda]]</f>
        <v>0.21875</v>
      </c>
      <c r="L20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205"/>
    </row>
    <row r="206" spans="1:13" x14ac:dyDescent="0.3">
      <c r="A206" s="7">
        <v>400255</v>
      </c>
      <c r="B206" t="str">
        <f>_xlfn.XLOOKUP(Vendas[[#This Row],[ID Vendedor]],Vendedores[ID],Vendedores[Nome])</f>
        <v>Carlos</v>
      </c>
      <c r="C206" s="7" t="str">
        <f>_xlfn.XLOOKUP(Vendas[[#This Row],[ID Vendedor]],Vendedores[ID],Vendedores[Setor])</f>
        <v>SC</v>
      </c>
      <c r="D206" s="7" t="s">
        <v>41</v>
      </c>
      <c r="E206" t="str">
        <f>_xlfn.XLOOKUP(Vendas[[#This Row],[ID Item Vendido]],Agregado[ID],Agregado[Produto])</f>
        <v>Palete de madeira reforçado</v>
      </c>
      <c r="F206" s="39">
        <v>43518</v>
      </c>
      <c r="G206" s="7">
        <v>7</v>
      </c>
      <c r="H206" s="3">
        <f>_xlfn.XLOOKUP(Vendas[[#This Row],[ID Item Vendido]],Agregado[ID],Agregado[Revenda])</f>
        <v>131</v>
      </c>
      <c r="I206" s="3">
        <f>Vendas[[#This Row],[Valor Unitário]]*Vendas[[#This Row],[Qnt Vendida]]</f>
        <v>917</v>
      </c>
      <c r="J206" s="3">
        <f>Vendas[[#This Row],[Valor da Venda]]-(_xlfn.XLOOKUP(Vendas[[#This Row],[ID Item Vendido]],Agregado[ID],Agregado[Custo])*Vendas[[#This Row],[Qnt Vendida]])</f>
        <v>147</v>
      </c>
      <c r="K206" s="70">
        <f>Vendas[[#This Row],[Lucro da Venda]]/Vendas[[#This Row],[Valor da Venda]]</f>
        <v>0.16030534351145037</v>
      </c>
      <c r="L206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206"/>
    </row>
    <row r="207" spans="1:13" x14ac:dyDescent="0.3">
      <c r="A207" s="7">
        <v>400249</v>
      </c>
      <c r="B207" t="str">
        <f>_xlfn.XLOOKUP(Vendas[[#This Row],[ID Vendedor]],Vendedores[ID],Vendedores[Nome])</f>
        <v>Bruno</v>
      </c>
      <c r="C207" s="7" t="str">
        <f>_xlfn.XLOOKUP(Vendas[[#This Row],[ID Vendedor]],Vendedores[ID],Vendedores[Setor])</f>
        <v>CM</v>
      </c>
      <c r="D207" s="7" t="s">
        <v>45</v>
      </c>
      <c r="E207" t="str">
        <f>_xlfn.XLOOKUP(Vendas[[#This Row],[ID Item Vendido]],Agregado[ID],Agregado[Produto])</f>
        <v>Viga de madeira tratada 4m</v>
      </c>
      <c r="F207" s="39">
        <v>43518</v>
      </c>
      <c r="G207" s="7">
        <v>12</v>
      </c>
      <c r="H207" s="3">
        <f>_xlfn.XLOOKUP(Vendas[[#This Row],[ID Item Vendido]],Agregado[ID],Agregado[Revenda])</f>
        <v>66</v>
      </c>
      <c r="I207" s="3">
        <f>Vendas[[#This Row],[Valor Unitário]]*Vendas[[#This Row],[Qnt Vendida]]</f>
        <v>792</v>
      </c>
      <c r="J207" s="3">
        <f>Vendas[[#This Row],[Valor da Venda]]-(_xlfn.XLOOKUP(Vendas[[#This Row],[ID Item Vendido]],Agregado[ID],Agregado[Custo])*Vendas[[#This Row],[Qnt Vendida]])</f>
        <v>132</v>
      </c>
      <c r="K207" s="70">
        <f>Vendas[[#This Row],[Lucro da Venda]]/Vendas[[#This Row],[Valor da Venda]]</f>
        <v>0.16666666666666666</v>
      </c>
      <c r="L207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207"/>
    </row>
    <row r="208" spans="1:13" x14ac:dyDescent="0.3">
      <c r="A208" s="7">
        <v>400245</v>
      </c>
      <c r="B208" t="str">
        <f>_xlfn.XLOOKUP(Vendas[[#This Row],[ID Vendedor]],Vendedores[ID],Vendedores[Nome])</f>
        <v>Thiago</v>
      </c>
      <c r="C208" s="7" t="str">
        <f>_xlfn.XLOOKUP(Vendas[[#This Row],[ID Vendedor]],Vendedores[ID],Vendedores[Setor])</f>
        <v>AHD</v>
      </c>
      <c r="D208" s="7" t="s">
        <v>44</v>
      </c>
      <c r="E208" t="str">
        <f>_xlfn.XLOOKUP(Vendas[[#This Row],[ID Item Vendido]],Agregado[ID],Agregado[Produto])</f>
        <v>Liga metálica especial</v>
      </c>
      <c r="F208" s="39">
        <v>43518</v>
      </c>
      <c r="G208" s="7">
        <v>6</v>
      </c>
      <c r="H208" s="3">
        <f>_xlfn.XLOOKUP(Vendas[[#This Row],[ID Item Vendido]],Agregado[ID],Agregado[Revenda])</f>
        <v>32.5</v>
      </c>
      <c r="I208" s="3">
        <f>Vendas[[#This Row],[Valor Unitário]]*Vendas[[#This Row],[Qnt Vendida]]</f>
        <v>195</v>
      </c>
      <c r="J208" s="3">
        <f>Vendas[[#This Row],[Valor da Venda]]-(_xlfn.XLOOKUP(Vendas[[#This Row],[ID Item Vendido]],Agregado[ID],Agregado[Custo])*Vendas[[#This Row],[Qnt Vendida]])</f>
        <v>45</v>
      </c>
      <c r="K208" s="70">
        <f>Vendas[[#This Row],[Lucro da Venda]]/Vendas[[#This Row],[Valor da Venda]]</f>
        <v>0.23076923076923078</v>
      </c>
      <c r="L208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208"/>
    </row>
    <row r="209" spans="1:13" x14ac:dyDescent="0.3">
      <c r="A209" s="7">
        <v>400245</v>
      </c>
      <c r="B209" t="str">
        <f>_xlfn.XLOOKUP(Vendas[[#This Row],[ID Vendedor]],Vendedores[ID],Vendedores[Nome])</f>
        <v>Thiago</v>
      </c>
      <c r="C209" s="7" t="str">
        <f>_xlfn.XLOOKUP(Vendas[[#This Row],[ID Vendedor]],Vendedores[ID],Vendedores[Setor])</f>
        <v>AHD</v>
      </c>
      <c r="D209" s="7" t="s">
        <v>18</v>
      </c>
      <c r="E209" t="str">
        <f>_xlfn.XLOOKUP(Vendas[[#This Row],[ID Item Vendido]],Agregado[ID],Agregado[Produto])</f>
        <v>Peça forjada sob encomenda</v>
      </c>
      <c r="F209" s="39">
        <v>43526</v>
      </c>
      <c r="G209" s="7">
        <v>3</v>
      </c>
      <c r="H209" s="3">
        <f>_xlfn.XLOOKUP(Vendas[[#This Row],[ID Item Vendido]],Agregado[ID],Agregado[Revenda])</f>
        <v>264.60000000000002</v>
      </c>
      <c r="I209" s="3">
        <f>Vendas[[#This Row],[Valor Unitário]]*Vendas[[#This Row],[Qnt Vendida]]</f>
        <v>793.80000000000007</v>
      </c>
      <c r="J209" s="3">
        <f>Vendas[[#This Row],[Valor da Venda]]-(_xlfn.XLOOKUP(Vendas[[#This Row],[ID Item Vendido]],Agregado[ID],Agregado[Custo])*Vendas[[#This Row],[Qnt Vendida]])</f>
        <v>43.800000000000068</v>
      </c>
      <c r="K209" s="70">
        <f>Vendas[[#This Row],[Lucro da Venda]]/Vendas[[#This Row],[Valor da Venda]]</f>
        <v>5.5177626606198113E-2</v>
      </c>
      <c r="L20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09"/>
    </row>
    <row r="210" spans="1:13" x14ac:dyDescent="0.3">
      <c r="A210" s="7">
        <v>400255</v>
      </c>
      <c r="B210" t="str">
        <f>_xlfn.XLOOKUP(Vendas[[#This Row],[ID Vendedor]],Vendedores[ID],Vendedores[Nome])</f>
        <v>Carlos</v>
      </c>
      <c r="C210" s="7" t="str">
        <f>_xlfn.XLOOKUP(Vendas[[#This Row],[ID Vendedor]],Vendedores[ID],Vendedores[Setor])</f>
        <v>SC</v>
      </c>
      <c r="D210" s="7" t="s">
        <v>41</v>
      </c>
      <c r="E210" t="str">
        <f>_xlfn.XLOOKUP(Vendas[[#This Row],[ID Item Vendido]],Agregado[ID],Agregado[Produto])</f>
        <v>Palete de madeira reforçado</v>
      </c>
      <c r="F210" s="39">
        <v>43531</v>
      </c>
      <c r="G210" s="7">
        <v>8</v>
      </c>
      <c r="H210" s="3">
        <f>_xlfn.XLOOKUP(Vendas[[#This Row],[ID Item Vendido]],Agregado[ID],Agregado[Revenda])</f>
        <v>131</v>
      </c>
      <c r="I210" s="3">
        <f>Vendas[[#This Row],[Valor Unitário]]*Vendas[[#This Row],[Qnt Vendida]]</f>
        <v>1048</v>
      </c>
      <c r="J210" s="3">
        <f>Vendas[[#This Row],[Valor da Venda]]-(_xlfn.XLOOKUP(Vendas[[#This Row],[ID Item Vendido]],Agregado[ID],Agregado[Custo])*Vendas[[#This Row],[Qnt Vendida]])</f>
        <v>168</v>
      </c>
      <c r="K210" s="70">
        <f>Vendas[[#This Row],[Lucro da Venda]]/Vendas[[#This Row],[Valor da Venda]]</f>
        <v>0.16030534351145037</v>
      </c>
      <c r="L210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210"/>
    </row>
    <row r="211" spans="1:13" x14ac:dyDescent="0.3">
      <c r="A211" s="7">
        <v>400255</v>
      </c>
      <c r="B211" t="str">
        <f>_xlfn.XLOOKUP(Vendas[[#This Row],[ID Vendedor]],Vendedores[ID],Vendedores[Nome])</f>
        <v>Carlos</v>
      </c>
      <c r="C211" s="7" t="str">
        <f>_xlfn.XLOOKUP(Vendas[[#This Row],[ID Vendedor]],Vendedores[ID],Vendedores[Setor])</f>
        <v>SC</v>
      </c>
      <c r="D211" s="7" t="s">
        <v>41</v>
      </c>
      <c r="E211" t="str">
        <f>_xlfn.XLOOKUP(Vendas[[#This Row],[ID Item Vendido]],Agregado[ID],Agregado[Produto])</f>
        <v>Palete de madeira reforçado</v>
      </c>
      <c r="F211" s="39">
        <v>43537</v>
      </c>
      <c r="G211" s="7">
        <v>5</v>
      </c>
      <c r="H211" s="3">
        <f>_xlfn.XLOOKUP(Vendas[[#This Row],[ID Item Vendido]],Agregado[ID],Agregado[Revenda])</f>
        <v>131</v>
      </c>
      <c r="I211" s="3">
        <f>Vendas[[#This Row],[Valor Unitário]]*Vendas[[#This Row],[Qnt Vendida]]</f>
        <v>655</v>
      </c>
      <c r="J211" s="3">
        <f>Vendas[[#This Row],[Valor da Venda]]-(_xlfn.XLOOKUP(Vendas[[#This Row],[ID Item Vendido]],Agregado[ID],Agregado[Custo])*Vendas[[#This Row],[Qnt Vendida]])</f>
        <v>105</v>
      </c>
      <c r="K211" s="70">
        <f>Vendas[[#This Row],[Lucro da Venda]]/Vendas[[#This Row],[Valor da Venda]]</f>
        <v>0.16030534351145037</v>
      </c>
      <c r="L211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211"/>
    </row>
    <row r="212" spans="1:13" x14ac:dyDescent="0.3">
      <c r="A212" s="7">
        <v>400249</v>
      </c>
      <c r="B212" t="str">
        <f>_xlfn.XLOOKUP(Vendas[[#This Row],[ID Vendedor]],Vendedores[ID],Vendedores[Nome])</f>
        <v>Bruno</v>
      </c>
      <c r="C212" s="7" t="str">
        <f>_xlfn.XLOOKUP(Vendas[[#This Row],[ID Vendedor]],Vendedores[ID],Vendedores[Setor])</f>
        <v>CM</v>
      </c>
      <c r="D212" s="7" t="s">
        <v>22</v>
      </c>
      <c r="E212" t="str">
        <f>_xlfn.XLOOKUP(Vendas[[#This Row],[ID Item Vendido]],Agregado[ID],Agregado[Produto])</f>
        <v>Painel MDP 2,75x1,83m</v>
      </c>
      <c r="F212" s="39">
        <v>43540</v>
      </c>
      <c r="G212" s="7">
        <v>16</v>
      </c>
      <c r="H212" s="3">
        <f>_xlfn.XLOOKUP(Vendas[[#This Row],[ID Item Vendido]],Agregado[ID],Agregado[Revenda])</f>
        <v>119</v>
      </c>
      <c r="I212" s="3">
        <f>Vendas[[#This Row],[Valor Unitário]]*Vendas[[#This Row],[Qnt Vendida]]</f>
        <v>1904</v>
      </c>
      <c r="J212" s="3">
        <f>Vendas[[#This Row],[Valor da Venda]]-(_xlfn.XLOOKUP(Vendas[[#This Row],[ID Item Vendido]],Agregado[ID],Agregado[Custo])*Vendas[[#This Row],[Qnt Vendida]])</f>
        <v>384</v>
      </c>
      <c r="K212" s="70">
        <f>Vendas[[#This Row],[Lucro da Venda]]/Vendas[[#This Row],[Valor da Venda]]</f>
        <v>0.20168067226890757</v>
      </c>
      <c r="L212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12"/>
    </row>
    <row r="213" spans="1:13" x14ac:dyDescent="0.3">
      <c r="A213" s="7">
        <v>400243</v>
      </c>
      <c r="B213" t="str">
        <f>_xlfn.XLOOKUP(Vendas[[#This Row],[ID Vendedor]],Vendedores[ID],Vendedores[Nome])</f>
        <v>Marcelo</v>
      </c>
      <c r="C213" s="7" t="str">
        <f>_xlfn.XLOOKUP(Vendas[[#This Row],[ID Vendedor]],Vendedores[ID],Vendedores[Setor])</f>
        <v>FM</v>
      </c>
      <c r="D213" s="7" t="s">
        <v>31</v>
      </c>
      <c r="E213" t="str">
        <f>_xlfn.XLOOKUP(Vendas[[#This Row],[ID Item Vendido]],Agregado[ID],Agregado[Produto])</f>
        <v>Tela de metal soldada rolo 2x25m</v>
      </c>
      <c r="F213" s="39">
        <v>43541</v>
      </c>
      <c r="G213" s="7">
        <v>18</v>
      </c>
      <c r="H213" s="3">
        <f>_xlfn.XLOOKUP(Vendas[[#This Row],[ID Item Vendido]],Agregado[ID],Agregado[Revenda])</f>
        <v>43.7</v>
      </c>
      <c r="I213" s="3">
        <f>Vendas[[#This Row],[Valor Unitário]]*Vendas[[#This Row],[Qnt Vendida]]</f>
        <v>786.6</v>
      </c>
      <c r="J213" s="3">
        <f>Vendas[[#This Row],[Valor da Venda]]-(_xlfn.XLOOKUP(Vendas[[#This Row],[ID Item Vendido]],Agregado[ID],Agregado[Custo])*Vendas[[#This Row],[Qnt Vendida]])</f>
        <v>102.60000000000002</v>
      </c>
      <c r="K213" s="70">
        <f>Vendas[[#This Row],[Lucro da Venda]]/Vendas[[#This Row],[Valor da Venda]]</f>
        <v>0.13043478260869568</v>
      </c>
      <c r="L213" s="3">
        <f>_xlfn.IFS(Vendas[[#This Row],[Margem de Lucro (%)]]&lt;15%,Vendas[[#This Row],[Valor da Venda]]*3%,Vendas[[#This Row],[Margem de Lucro (%)]]&lt;=20%,Vendas[[#This Row],[Valor da Venda]]*4.5%,TRUE,Vendas[[#This Row],[Valor da Venda]]*6%)</f>
        <v>23.597999999999999</v>
      </c>
      <c r="M213"/>
    </row>
    <row r="214" spans="1:13" x14ac:dyDescent="0.3">
      <c r="A214" s="7">
        <v>400255</v>
      </c>
      <c r="B214" t="str">
        <f>_xlfn.XLOOKUP(Vendas[[#This Row],[ID Vendedor]],Vendedores[ID],Vendedores[Nome])</f>
        <v>Carlos</v>
      </c>
      <c r="C214" s="7" t="str">
        <f>_xlfn.XLOOKUP(Vendas[[#This Row],[ID Vendedor]],Vendedores[ID],Vendedores[Setor])</f>
        <v>SC</v>
      </c>
      <c r="D214" s="7" t="s">
        <v>48</v>
      </c>
      <c r="E214" t="str">
        <f>_xlfn.XLOOKUP(Vendas[[#This Row],[ID Item Vendido]],Agregado[ID],Agregado[Produto])</f>
        <v>Tambor metálico 200L</v>
      </c>
      <c r="F214" s="39">
        <v>43544</v>
      </c>
      <c r="G214" s="7">
        <v>20</v>
      </c>
      <c r="H214" s="3">
        <f>_xlfn.XLOOKUP(Vendas[[#This Row],[ID Item Vendido]],Agregado[ID],Agregado[Revenda])</f>
        <v>144</v>
      </c>
      <c r="I214" s="3">
        <f>Vendas[[#This Row],[Valor Unitário]]*Vendas[[#This Row],[Qnt Vendida]]</f>
        <v>2880</v>
      </c>
      <c r="J214" s="3">
        <f>Vendas[[#This Row],[Valor da Venda]]-(_xlfn.XLOOKUP(Vendas[[#This Row],[ID Item Vendido]],Agregado[ID],Agregado[Custo])*Vendas[[#This Row],[Qnt Vendida]])</f>
        <v>480</v>
      </c>
      <c r="K214" s="70">
        <f>Vendas[[#This Row],[Lucro da Venda]]/Vendas[[#This Row],[Valor da Venda]]</f>
        <v>0.16666666666666666</v>
      </c>
      <c r="L214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214"/>
    </row>
    <row r="215" spans="1:13" x14ac:dyDescent="0.3">
      <c r="A215" s="7">
        <v>400255</v>
      </c>
      <c r="B215" t="str">
        <f>_xlfn.XLOOKUP(Vendas[[#This Row],[ID Vendedor]],Vendedores[ID],Vendedores[Nome])</f>
        <v>Carlos</v>
      </c>
      <c r="C215" s="7" t="str">
        <f>_xlfn.XLOOKUP(Vendas[[#This Row],[ID Vendedor]],Vendedores[ID],Vendedores[Setor])</f>
        <v>SC</v>
      </c>
      <c r="D215" s="7" t="s">
        <v>14</v>
      </c>
      <c r="E215" t="str">
        <f>_xlfn.XLOOKUP(Vendas[[#This Row],[ID Item Vendido]],Agregado[ID],Agregado[Produto])</f>
        <v>Barril de plástico 200L</v>
      </c>
      <c r="F215" s="39">
        <v>43544</v>
      </c>
      <c r="G215" s="7">
        <v>20</v>
      </c>
      <c r="H215" s="3">
        <f>_xlfn.XLOOKUP(Vendas[[#This Row],[ID Item Vendido]],Agregado[ID],Agregado[Revenda])</f>
        <v>114</v>
      </c>
      <c r="I215" s="3">
        <f>Vendas[[#This Row],[Valor Unitário]]*Vendas[[#This Row],[Qnt Vendida]]</f>
        <v>2280</v>
      </c>
      <c r="J215" s="3">
        <f>Vendas[[#This Row],[Valor da Venda]]-(_xlfn.XLOOKUP(Vendas[[#This Row],[ID Item Vendido]],Agregado[ID],Agregado[Custo])*Vendas[[#This Row],[Qnt Vendida]])</f>
        <v>380</v>
      </c>
      <c r="K215" s="70">
        <f>Vendas[[#This Row],[Lucro da Venda]]/Vendas[[#This Row],[Valor da Venda]]</f>
        <v>0.16666666666666666</v>
      </c>
      <c r="L215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215"/>
    </row>
    <row r="216" spans="1:13" x14ac:dyDescent="0.3">
      <c r="A216" s="7">
        <v>400255</v>
      </c>
      <c r="B216" t="str">
        <f>_xlfn.XLOOKUP(Vendas[[#This Row],[ID Vendedor]],Vendedores[ID],Vendedores[Nome])</f>
        <v>Carlos</v>
      </c>
      <c r="C216" s="7" t="str">
        <f>_xlfn.XLOOKUP(Vendas[[#This Row],[ID Vendedor]],Vendedores[ID],Vendedores[Setor])</f>
        <v>SC</v>
      </c>
      <c r="D216" s="7" t="s">
        <v>25</v>
      </c>
      <c r="E216" t="str">
        <f>_xlfn.XLOOKUP(Vendas[[#This Row],[ID Item Vendido]],Agregado[ID],Agregado[Produto])</f>
        <v>Palete de plástico</v>
      </c>
      <c r="F216" s="39">
        <v>43546</v>
      </c>
      <c r="G216" s="7">
        <v>10</v>
      </c>
      <c r="H216" s="3">
        <f>_xlfn.XLOOKUP(Vendas[[#This Row],[ID Item Vendido]],Agregado[ID],Agregado[Revenda])</f>
        <v>70.8</v>
      </c>
      <c r="I216" s="3">
        <f>Vendas[[#This Row],[Valor Unitário]]*Vendas[[#This Row],[Qnt Vendida]]</f>
        <v>708</v>
      </c>
      <c r="J216" s="3">
        <f>Vendas[[#This Row],[Valor da Venda]]-(_xlfn.XLOOKUP(Vendas[[#This Row],[ID Item Vendido]],Agregado[ID],Agregado[Custo])*Vendas[[#This Row],[Qnt Vendida]])</f>
        <v>108</v>
      </c>
      <c r="K216" s="70">
        <f>Vendas[[#This Row],[Lucro da Venda]]/Vendas[[#This Row],[Valor da Venda]]</f>
        <v>0.15254237288135594</v>
      </c>
      <c r="L216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216"/>
    </row>
    <row r="217" spans="1:13" x14ac:dyDescent="0.3">
      <c r="A217" s="7">
        <v>400249</v>
      </c>
      <c r="B217" t="str">
        <f>_xlfn.XLOOKUP(Vendas[[#This Row],[ID Vendedor]],Vendedores[ID],Vendedores[Nome])</f>
        <v>Bruno</v>
      </c>
      <c r="C217" s="7" t="str">
        <f>_xlfn.XLOOKUP(Vendas[[#This Row],[ID Vendedor]],Vendedores[ID],Vendedores[Setor])</f>
        <v>CM</v>
      </c>
      <c r="D217" s="7" t="s">
        <v>22</v>
      </c>
      <c r="E217" t="str">
        <f>_xlfn.XLOOKUP(Vendas[[#This Row],[ID Item Vendido]],Agregado[ID],Agregado[Produto])</f>
        <v>Painel MDP 2,75x1,83m</v>
      </c>
      <c r="F217" s="39">
        <v>43547</v>
      </c>
      <c r="G217" s="7">
        <v>5</v>
      </c>
      <c r="H217" s="3">
        <f>_xlfn.XLOOKUP(Vendas[[#This Row],[ID Item Vendido]],Agregado[ID],Agregado[Revenda])</f>
        <v>119</v>
      </c>
      <c r="I217" s="3">
        <f>Vendas[[#This Row],[Valor Unitário]]*Vendas[[#This Row],[Qnt Vendida]]</f>
        <v>595</v>
      </c>
      <c r="J217" s="3">
        <f>Vendas[[#This Row],[Valor da Venda]]-(_xlfn.XLOOKUP(Vendas[[#This Row],[ID Item Vendido]],Agregado[ID],Agregado[Custo])*Vendas[[#This Row],[Qnt Vendida]])</f>
        <v>120</v>
      </c>
      <c r="K217" s="70">
        <f>Vendas[[#This Row],[Lucro da Venda]]/Vendas[[#This Row],[Valor da Venda]]</f>
        <v>0.20168067226890757</v>
      </c>
      <c r="L217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217"/>
    </row>
    <row r="218" spans="1:13" x14ac:dyDescent="0.3">
      <c r="A218" s="7">
        <v>400255</v>
      </c>
      <c r="B218" t="str">
        <f>_xlfn.XLOOKUP(Vendas[[#This Row],[ID Vendedor]],Vendedores[ID],Vendedores[Nome])</f>
        <v>Carlos</v>
      </c>
      <c r="C218" s="7" t="str">
        <f>_xlfn.XLOOKUP(Vendas[[#This Row],[ID Vendedor]],Vendedores[ID],Vendedores[Setor])</f>
        <v>SC</v>
      </c>
      <c r="D218" s="7" t="s">
        <v>48</v>
      </c>
      <c r="E218" t="str">
        <f>_xlfn.XLOOKUP(Vendas[[#This Row],[ID Item Vendido]],Agregado[ID],Agregado[Produto])</f>
        <v>Tambor metálico 200L</v>
      </c>
      <c r="F218" s="39">
        <v>43548</v>
      </c>
      <c r="G218" s="7">
        <v>19</v>
      </c>
      <c r="H218" s="3">
        <f>_xlfn.XLOOKUP(Vendas[[#This Row],[ID Item Vendido]],Agregado[ID],Agregado[Revenda])</f>
        <v>144</v>
      </c>
      <c r="I218" s="3">
        <f>Vendas[[#This Row],[Valor Unitário]]*Vendas[[#This Row],[Qnt Vendida]]</f>
        <v>2736</v>
      </c>
      <c r="J218" s="3">
        <f>Vendas[[#This Row],[Valor da Venda]]-(_xlfn.XLOOKUP(Vendas[[#This Row],[ID Item Vendido]],Agregado[ID],Agregado[Custo])*Vendas[[#This Row],[Qnt Vendida]])</f>
        <v>456</v>
      </c>
      <c r="K218" s="70">
        <f>Vendas[[#This Row],[Lucro da Venda]]/Vendas[[#This Row],[Valor da Venda]]</f>
        <v>0.16666666666666666</v>
      </c>
      <c r="L218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18"/>
    </row>
    <row r="219" spans="1:13" x14ac:dyDescent="0.3">
      <c r="A219" s="7">
        <v>400245</v>
      </c>
      <c r="B219" t="str">
        <f>_xlfn.XLOOKUP(Vendas[[#This Row],[ID Vendedor]],Vendedores[ID],Vendedores[Nome])</f>
        <v>Thiago</v>
      </c>
      <c r="C219" s="7" t="str">
        <f>_xlfn.XLOOKUP(Vendas[[#This Row],[ID Vendedor]],Vendedores[ID],Vendedores[Setor])</f>
        <v>AHD</v>
      </c>
      <c r="D219" s="7" t="s">
        <v>18</v>
      </c>
      <c r="E219" t="str">
        <f>_xlfn.XLOOKUP(Vendas[[#This Row],[ID Item Vendido]],Agregado[ID],Agregado[Produto])</f>
        <v>Peça forjada sob encomenda</v>
      </c>
      <c r="F219" s="39">
        <v>43550</v>
      </c>
      <c r="G219" s="7">
        <v>5</v>
      </c>
      <c r="H219" s="3">
        <f>_xlfn.XLOOKUP(Vendas[[#This Row],[ID Item Vendido]],Agregado[ID],Agregado[Revenda])</f>
        <v>264.60000000000002</v>
      </c>
      <c r="I219" s="3">
        <f>Vendas[[#This Row],[Valor Unitário]]*Vendas[[#This Row],[Qnt Vendida]]</f>
        <v>1323</v>
      </c>
      <c r="J219" s="3">
        <f>Vendas[[#This Row],[Valor da Venda]]-(_xlfn.XLOOKUP(Vendas[[#This Row],[ID Item Vendido]],Agregado[ID],Agregado[Custo])*Vendas[[#This Row],[Qnt Vendida]])</f>
        <v>73</v>
      </c>
      <c r="K219" s="70">
        <f>Vendas[[#This Row],[Lucro da Venda]]/Vendas[[#This Row],[Valor da Venda]]</f>
        <v>5.5177626606198037E-2</v>
      </c>
      <c r="L219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19"/>
    </row>
    <row r="220" spans="1:13" x14ac:dyDescent="0.3">
      <c r="A220" s="7">
        <v>400243</v>
      </c>
      <c r="B220" t="str">
        <f>_xlfn.XLOOKUP(Vendas[[#This Row],[ID Vendedor]],Vendedores[ID],Vendedores[Nome])</f>
        <v>Marcelo</v>
      </c>
      <c r="C220" s="7" t="str">
        <f>_xlfn.XLOOKUP(Vendas[[#This Row],[ID Vendedor]],Vendedores[ID],Vendedores[Setor])</f>
        <v>FM</v>
      </c>
      <c r="D220" s="7" t="s">
        <v>31</v>
      </c>
      <c r="E220" t="str">
        <f>_xlfn.XLOOKUP(Vendas[[#This Row],[ID Item Vendido]],Agregado[ID],Agregado[Produto])</f>
        <v>Tela de metal soldada rolo 2x25m</v>
      </c>
      <c r="F220" s="39">
        <v>43552</v>
      </c>
      <c r="G220" s="7">
        <v>5</v>
      </c>
      <c r="H220" s="3">
        <f>_xlfn.XLOOKUP(Vendas[[#This Row],[ID Item Vendido]],Agregado[ID],Agregado[Revenda])</f>
        <v>43.7</v>
      </c>
      <c r="I220" s="3">
        <f>Vendas[[#This Row],[Valor Unitário]]*Vendas[[#This Row],[Qnt Vendida]]</f>
        <v>218.5</v>
      </c>
      <c r="J220" s="3">
        <f>Vendas[[#This Row],[Valor da Venda]]-(_xlfn.XLOOKUP(Vendas[[#This Row],[ID Item Vendido]],Agregado[ID],Agregado[Custo])*Vendas[[#This Row],[Qnt Vendida]])</f>
        <v>28.5</v>
      </c>
      <c r="K220" s="70">
        <f>Vendas[[#This Row],[Lucro da Venda]]/Vendas[[#This Row],[Valor da Venda]]</f>
        <v>0.13043478260869565</v>
      </c>
      <c r="L220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220"/>
    </row>
    <row r="221" spans="1:13" x14ac:dyDescent="0.3">
      <c r="A221" s="7">
        <v>400255</v>
      </c>
      <c r="B221" t="str">
        <f>_xlfn.XLOOKUP(Vendas[[#This Row],[ID Vendedor]],Vendedores[ID],Vendedores[Nome])</f>
        <v>Carlos</v>
      </c>
      <c r="C221" s="7" t="str">
        <f>_xlfn.XLOOKUP(Vendas[[#This Row],[ID Vendedor]],Vendedores[ID],Vendedores[Setor])</f>
        <v>SC</v>
      </c>
      <c r="D221" s="7" t="s">
        <v>14</v>
      </c>
      <c r="E221" t="str">
        <f>_xlfn.XLOOKUP(Vendas[[#This Row],[ID Item Vendido]],Agregado[ID],Agregado[Produto])</f>
        <v>Barril de plástico 200L</v>
      </c>
      <c r="F221" s="39">
        <v>43555</v>
      </c>
      <c r="G221" s="7">
        <v>22</v>
      </c>
      <c r="H221" s="3">
        <f>_xlfn.XLOOKUP(Vendas[[#This Row],[ID Item Vendido]],Agregado[ID],Agregado[Revenda])</f>
        <v>114</v>
      </c>
      <c r="I221" s="3">
        <f>Vendas[[#This Row],[Valor Unitário]]*Vendas[[#This Row],[Qnt Vendida]]</f>
        <v>2508</v>
      </c>
      <c r="J221" s="3">
        <f>Vendas[[#This Row],[Valor da Venda]]-(_xlfn.XLOOKUP(Vendas[[#This Row],[ID Item Vendido]],Agregado[ID],Agregado[Custo])*Vendas[[#This Row],[Qnt Vendida]])</f>
        <v>418</v>
      </c>
      <c r="K221" s="70">
        <f>Vendas[[#This Row],[Lucro da Venda]]/Vendas[[#This Row],[Valor da Venda]]</f>
        <v>0.16666666666666666</v>
      </c>
      <c r="L221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221"/>
    </row>
    <row r="222" spans="1:13" x14ac:dyDescent="0.3">
      <c r="A222" s="7">
        <v>400249</v>
      </c>
      <c r="B222" t="str">
        <f>_xlfn.XLOOKUP(Vendas[[#This Row],[ID Vendedor]],Vendedores[ID],Vendedores[Nome])</f>
        <v>Bruno</v>
      </c>
      <c r="C222" s="7" t="str">
        <f>_xlfn.XLOOKUP(Vendas[[#This Row],[ID Vendedor]],Vendedores[ID],Vendedores[Setor])</f>
        <v>CM</v>
      </c>
      <c r="D222" s="7" t="s">
        <v>22</v>
      </c>
      <c r="E222" t="str">
        <f>_xlfn.XLOOKUP(Vendas[[#This Row],[ID Item Vendido]],Agregado[ID],Agregado[Produto])</f>
        <v>Painel MDP 2,75x1,83m</v>
      </c>
      <c r="F222" s="39">
        <v>43555</v>
      </c>
      <c r="G222" s="7">
        <v>6</v>
      </c>
      <c r="H222" s="3">
        <f>_xlfn.XLOOKUP(Vendas[[#This Row],[ID Item Vendido]],Agregado[ID],Agregado[Revenda])</f>
        <v>119</v>
      </c>
      <c r="I222" s="3">
        <f>Vendas[[#This Row],[Valor Unitário]]*Vendas[[#This Row],[Qnt Vendida]]</f>
        <v>714</v>
      </c>
      <c r="J222" s="3">
        <f>Vendas[[#This Row],[Valor da Venda]]-(_xlfn.XLOOKUP(Vendas[[#This Row],[ID Item Vendido]],Agregado[ID],Agregado[Custo])*Vendas[[#This Row],[Qnt Vendida]])</f>
        <v>144</v>
      </c>
      <c r="K222" s="70">
        <f>Vendas[[#This Row],[Lucro da Venda]]/Vendas[[#This Row],[Valor da Venda]]</f>
        <v>0.20168067226890757</v>
      </c>
      <c r="L222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222"/>
    </row>
    <row r="223" spans="1:13" x14ac:dyDescent="0.3">
      <c r="A223" s="7">
        <v>400249</v>
      </c>
      <c r="B223" t="str">
        <f>_xlfn.XLOOKUP(Vendas[[#This Row],[ID Vendedor]],Vendedores[ID],Vendedores[Nome])</f>
        <v>Bruno</v>
      </c>
      <c r="C223" s="7" t="str">
        <f>_xlfn.XLOOKUP(Vendas[[#This Row],[ID Vendedor]],Vendedores[ID],Vendedores[Setor])</f>
        <v>CM</v>
      </c>
      <c r="D223" s="7" t="s">
        <v>32</v>
      </c>
      <c r="E223" t="str">
        <f>_xlfn.XLOOKUP(Vendas[[#This Row],[ID Item Vendido]],Agregado[ID],Agregado[Produto])</f>
        <v>Tábua tratada e cortada 3m</v>
      </c>
      <c r="F223" s="39">
        <v>43559</v>
      </c>
      <c r="G223" s="7">
        <v>30</v>
      </c>
      <c r="H223" s="3">
        <f>_xlfn.XLOOKUP(Vendas[[#This Row],[ID Item Vendido]],Agregado[ID],Agregado[Revenda])</f>
        <v>39</v>
      </c>
      <c r="I223" s="3">
        <f>Vendas[[#This Row],[Valor Unitário]]*Vendas[[#This Row],[Qnt Vendida]]</f>
        <v>1170</v>
      </c>
      <c r="J223" s="3">
        <f>Vendas[[#This Row],[Valor da Venda]]-(_xlfn.XLOOKUP(Vendas[[#This Row],[ID Item Vendido]],Agregado[ID],Agregado[Custo])*Vendas[[#This Row],[Qnt Vendida]])</f>
        <v>210</v>
      </c>
      <c r="K223" s="70">
        <f>Vendas[[#This Row],[Lucro da Venda]]/Vendas[[#This Row],[Valor da Venda]]</f>
        <v>0.17948717948717949</v>
      </c>
      <c r="L22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223"/>
    </row>
    <row r="224" spans="1:13" x14ac:dyDescent="0.3">
      <c r="A224" s="7">
        <v>400243</v>
      </c>
      <c r="B224" t="str">
        <f>_xlfn.XLOOKUP(Vendas[[#This Row],[ID Vendedor]],Vendedores[ID],Vendedores[Nome])</f>
        <v>Marcelo</v>
      </c>
      <c r="C224" s="7" t="str">
        <f>_xlfn.XLOOKUP(Vendas[[#This Row],[ID Vendedor]],Vendedores[ID],Vendedores[Setor])</f>
        <v>FM</v>
      </c>
      <c r="D224" s="7" t="s">
        <v>31</v>
      </c>
      <c r="E224" t="str">
        <f>_xlfn.XLOOKUP(Vendas[[#This Row],[ID Item Vendido]],Agregado[ID],Agregado[Produto])</f>
        <v>Tela de metal soldada rolo 2x25m</v>
      </c>
      <c r="F224" s="39">
        <v>43561</v>
      </c>
      <c r="G224" s="7">
        <v>20</v>
      </c>
      <c r="H224" s="3">
        <f>_xlfn.XLOOKUP(Vendas[[#This Row],[ID Item Vendido]],Agregado[ID],Agregado[Revenda])</f>
        <v>43.7</v>
      </c>
      <c r="I224" s="3">
        <f>Vendas[[#This Row],[Valor Unitário]]*Vendas[[#This Row],[Qnt Vendida]]</f>
        <v>874</v>
      </c>
      <c r="J224" s="3">
        <f>Vendas[[#This Row],[Valor da Venda]]-(_xlfn.XLOOKUP(Vendas[[#This Row],[ID Item Vendido]],Agregado[ID],Agregado[Custo])*Vendas[[#This Row],[Qnt Vendida]])</f>
        <v>114</v>
      </c>
      <c r="K224" s="70">
        <f>Vendas[[#This Row],[Lucro da Venda]]/Vendas[[#This Row],[Valor da Venda]]</f>
        <v>0.13043478260869565</v>
      </c>
      <c r="L224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224"/>
    </row>
    <row r="225" spans="1:13" x14ac:dyDescent="0.3">
      <c r="A225" s="7">
        <v>400243</v>
      </c>
      <c r="B225" t="str">
        <f>_xlfn.XLOOKUP(Vendas[[#This Row],[ID Vendedor]],Vendedores[ID],Vendedores[Nome])</f>
        <v>Marcelo</v>
      </c>
      <c r="C225" s="7" t="str">
        <f>_xlfn.XLOOKUP(Vendas[[#This Row],[ID Vendedor]],Vendedores[ID],Vendedores[Setor])</f>
        <v>FM</v>
      </c>
      <c r="D225" s="7" t="s">
        <v>20</v>
      </c>
      <c r="E225" t="str">
        <f>_xlfn.XLOOKUP(Vendas[[#This Row],[ID Item Vendido]],Agregado[ID],Agregado[Produto])</f>
        <v>Barra de aço simples</v>
      </c>
      <c r="F225" s="39">
        <v>43565</v>
      </c>
      <c r="G225" s="7">
        <v>95</v>
      </c>
      <c r="H225" s="3">
        <f>_xlfn.XLOOKUP(Vendas[[#This Row],[ID Item Vendido]],Agregado[ID],Agregado[Revenda])</f>
        <v>4.8</v>
      </c>
      <c r="I225" s="3">
        <f>Vendas[[#This Row],[Valor Unitário]]*Vendas[[#This Row],[Qnt Vendida]]</f>
        <v>456</v>
      </c>
      <c r="J225" s="3">
        <f>Vendas[[#This Row],[Valor da Venda]]-(_xlfn.XLOOKUP(Vendas[[#This Row],[ID Item Vendido]],Agregado[ID],Agregado[Custo])*Vendas[[#This Row],[Qnt Vendida]])</f>
        <v>57</v>
      </c>
      <c r="K225" s="70">
        <f>Vendas[[#This Row],[Lucro da Venda]]/Vendas[[#This Row],[Valor da Venda]]</f>
        <v>0.125</v>
      </c>
      <c r="L225" s="3">
        <f>_xlfn.IFS(Vendas[[#This Row],[Margem de Lucro (%)]]&lt;15%,Vendas[[#This Row],[Valor da Venda]]*3%,Vendas[[#This Row],[Margem de Lucro (%)]]&lt;=20%,Vendas[[#This Row],[Valor da Venda]]*4.5%,TRUE,Vendas[[#This Row],[Valor da Venda]]*6%)</f>
        <v>13.68</v>
      </c>
      <c r="M225"/>
    </row>
    <row r="226" spans="1:13" x14ac:dyDescent="0.3">
      <c r="A226" s="7">
        <v>400255</v>
      </c>
      <c r="B226" t="str">
        <f>_xlfn.XLOOKUP(Vendas[[#This Row],[ID Vendedor]],Vendedores[ID],Vendedores[Nome])</f>
        <v>Carlos</v>
      </c>
      <c r="C226" s="7" t="str">
        <f>_xlfn.XLOOKUP(Vendas[[#This Row],[ID Vendedor]],Vendedores[ID],Vendedores[Setor])</f>
        <v>SC</v>
      </c>
      <c r="D226" s="7" t="s">
        <v>25</v>
      </c>
      <c r="E226" t="str">
        <f>_xlfn.XLOOKUP(Vendas[[#This Row],[ID Item Vendido]],Agregado[ID],Agregado[Produto])</f>
        <v>Palete de plástico</v>
      </c>
      <c r="F226" s="39">
        <v>43571</v>
      </c>
      <c r="G226" s="7">
        <v>11</v>
      </c>
      <c r="H226" s="3">
        <f>_xlfn.XLOOKUP(Vendas[[#This Row],[ID Item Vendido]],Agregado[ID],Agregado[Revenda])</f>
        <v>70.8</v>
      </c>
      <c r="I226" s="3">
        <f>Vendas[[#This Row],[Valor Unitário]]*Vendas[[#This Row],[Qnt Vendida]]</f>
        <v>778.8</v>
      </c>
      <c r="J226" s="3">
        <f>Vendas[[#This Row],[Valor da Venda]]-(_xlfn.XLOOKUP(Vendas[[#This Row],[ID Item Vendido]],Agregado[ID],Agregado[Custo])*Vendas[[#This Row],[Qnt Vendida]])</f>
        <v>118.79999999999995</v>
      </c>
      <c r="K226" s="70">
        <f>Vendas[[#This Row],[Lucro da Venda]]/Vendas[[#This Row],[Valor da Venda]]</f>
        <v>0.15254237288135589</v>
      </c>
      <c r="L226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226"/>
    </row>
    <row r="227" spans="1:13" x14ac:dyDescent="0.3">
      <c r="A227" s="7">
        <v>400243</v>
      </c>
      <c r="B227" t="str">
        <f>_xlfn.XLOOKUP(Vendas[[#This Row],[ID Vendedor]],Vendedores[ID],Vendedores[Nome])</f>
        <v>Marcelo</v>
      </c>
      <c r="C227" s="7" t="str">
        <f>_xlfn.XLOOKUP(Vendas[[#This Row],[ID Vendedor]],Vendedores[ID],Vendedores[Setor])</f>
        <v>FM</v>
      </c>
      <c r="D227" s="7" t="s">
        <v>31</v>
      </c>
      <c r="E227" t="str">
        <f>_xlfn.XLOOKUP(Vendas[[#This Row],[ID Item Vendido]],Agregado[ID],Agregado[Produto])</f>
        <v>Tela de metal soldada rolo 2x25m</v>
      </c>
      <c r="F227" s="39">
        <v>43571</v>
      </c>
      <c r="G227" s="7">
        <v>8</v>
      </c>
      <c r="H227" s="3">
        <f>_xlfn.XLOOKUP(Vendas[[#This Row],[ID Item Vendido]],Agregado[ID],Agregado[Revenda])</f>
        <v>43.7</v>
      </c>
      <c r="I227" s="3">
        <f>Vendas[[#This Row],[Valor Unitário]]*Vendas[[#This Row],[Qnt Vendida]]</f>
        <v>349.6</v>
      </c>
      <c r="J227" s="3">
        <f>Vendas[[#This Row],[Valor da Venda]]-(_xlfn.XLOOKUP(Vendas[[#This Row],[ID Item Vendido]],Agregado[ID],Agregado[Custo])*Vendas[[#This Row],[Qnt Vendida]])</f>
        <v>45.600000000000023</v>
      </c>
      <c r="K227" s="70">
        <f>Vendas[[#This Row],[Lucro da Venda]]/Vendas[[#This Row],[Valor da Venda]]</f>
        <v>0.1304347826086957</v>
      </c>
      <c r="L227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227"/>
    </row>
    <row r="228" spans="1:13" x14ac:dyDescent="0.3">
      <c r="A228" s="7">
        <v>400255</v>
      </c>
      <c r="B228" t="str">
        <f>_xlfn.XLOOKUP(Vendas[[#This Row],[ID Vendedor]],Vendedores[ID],Vendedores[Nome])</f>
        <v>Carlos</v>
      </c>
      <c r="C228" s="7" t="str">
        <f>_xlfn.XLOOKUP(Vendas[[#This Row],[ID Vendedor]],Vendedores[ID],Vendedores[Setor])</f>
        <v>SC</v>
      </c>
      <c r="D228" s="7" t="s">
        <v>41</v>
      </c>
      <c r="E228" t="str">
        <f>_xlfn.XLOOKUP(Vendas[[#This Row],[ID Item Vendido]],Agregado[ID],Agregado[Produto])</f>
        <v>Palete de madeira reforçado</v>
      </c>
      <c r="F228" s="39">
        <v>43571</v>
      </c>
      <c r="G228" s="7">
        <v>1</v>
      </c>
      <c r="H228" s="3">
        <f>_xlfn.XLOOKUP(Vendas[[#This Row],[ID Item Vendido]],Agregado[ID],Agregado[Revenda])</f>
        <v>131</v>
      </c>
      <c r="I228" s="3">
        <f>Vendas[[#This Row],[Valor Unitário]]*Vendas[[#This Row],[Qnt Vendida]]</f>
        <v>131</v>
      </c>
      <c r="J228" s="3">
        <f>Vendas[[#This Row],[Valor da Venda]]-(_xlfn.XLOOKUP(Vendas[[#This Row],[ID Item Vendido]],Agregado[ID],Agregado[Custo])*Vendas[[#This Row],[Qnt Vendida]])</f>
        <v>21</v>
      </c>
      <c r="K228" s="70">
        <f>Vendas[[#This Row],[Lucro da Venda]]/Vendas[[#This Row],[Valor da Venda]]</f>
        <v>0.16030534351145037</v>
      </c>
      <c r="L228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228"/>
    </row>
    <row r="229" spans="1:13" x14ac:dyDescent="0.3">
      <c r="A229" s="7">
        <v>400243</v>
      </c>
      <c r="B229" t="str">
        <f>_xlfn.XLOOKUP(Vendas[[#This Row],[ID Vendedor]],Vendedores[ID],Vendedores[Nome])</f>
        <v>Marcelo</v>
      </c>
      <c r="C229" s="7" t="str">
        <f>_xlfn.XLOOKUP(Vendas[[#This Row],[ID Vendedor]],Vendedores[ID],Vendedores[Setor])</f>
        <v>FM</v>
      </c>
      <c r="D229" s="7" t="s">
        <v>31</v>
      </c>
      <c r="E229" t="str">
        <f>_xlfn.XLOOKUP(Vendas[[#This Row],[ID Item Vendido]],Agregado[ID],Agregado[Produto])</f>
        <v>Tela de metal soldada rolo 2x25m</v>
      </c>
      <c r="F229" s="39">
        <v>43577</v>
      </c>
      <c r="G229" s="7">
        <v>8</v>
      </c>
      <c r="H229" s="3">
        <f>_xlfn.XLOOKUP(Vendas[[#This Row],[ID Item Vendido]],Agregado[ID],Agregado[Revenda])</f>
        <v>43.7</v>
      </c>
      <c r="I229" s="3">
        <f>Vendas[[#This Row],[Valor Unitário]]*Vendas[[#This Row],[Qnt Vendida]]</f>
        <v>349.6</v>
      </c>
      <c r="J229" s="3">
        <f>Vendas[[#This Row],[Valor da Venda]]-(_xlfn.XLOOKUP(Vendas[[#This Row],[ID Item Vendido]],Agregado[ID],Agregado[Custo])*Vendas[[#This Row],[Qnt Vendida]])</f>
        <v>45.600000000000023</v>
      </c>
      <c r="K229" s="70">
        <f>Vendas[[#This Row],[Lucro da Venda]]/Vendas[[#This Row],[Valor da Venda]]</f>
        <v>0.1304347826086957</v>
      </c>
      <c r="L229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229"/>
    </row>
    <row r="230" spans="1:13" x14ac:dyDescent="0.3">
      <c r="A230" s="7">
        <v>400249</v>
      </c>
      <c r="B230" t="str">
        <f>_xlfn.XLOOKUP(Vendas[[#This Row],[ID Vendedor]],Vendedores[ID],Vendedores[Nome])</f>
        <v>Bruno</v>
      </c>
      <c r="C230" s="7" t="str">
        <f>_xlfn.XLOOKUP(Vendas[[#This Row],[ID Vendedor]],Vendedores[ID],Vendedores[Setor])</f>
        <v>CM</v>
      </c>
      <c r="D230" s="7" t="s">
        <v>43</v>
      </c>
      <c r="E230" t="str">
        <f>_xlfn.XLOOKUP(Vendas[[#This Row],[ID Item Vendido]],Agregado[ID],Agregado[Produto])</f>
        <v>Madeira Bruta (Tora)</v>
      </c>
      <c r="F230" s="39">
        <v>43578</v>
      </c>
      <c r="G230" s="7">
        <v>8</v>
      </c>
      <c r="H230" s="3">
        <f>_xlfn.XLOOKUP(Vendas[[#This Row],[ID Item Vendido]],Agregado[ID],Agregado[Revenda])</f>
        <v>212</v>
      </c>
      <c r="I230" s="3">
        <f>Vendas[[#This Row],[Valor Unitário]]*Vendas[[#This Row],[Qnt Vendida]]</f>
        <v>1696</v>
      </c>
      <c r="J230" s="3">
        <f>Vendas[[#This Row],[Valor da Venda]]-(_xlfn.XLOOKUP(Vendas[[#This Row],[ID Item Vendido]],Agregado[ID],Agregado[Custo])*Vendas[[#This Row],[Qnt Vendida]])</f>
        <v>256</v>
      </c>
      <c r="K230" s="70">
        <f>Vendas[[#This Row],[Lucro da Venda]]/Vendas[[#This Row],[Valor da Venda]]</f>
        <v>0.15094339622641509</v>
      </c>
      <c r="L230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230"/>
    </row>
    <row r="231" spans="1:13" x14ac:dyDescent="0.3">
      <c r="A231" s="7">
        <v>400255</v>
      </c>
      <c r="B231" t="str">
        <f>_xlfn.XLOOKUP(Vendas[[#This Row],[ID Vendedor]],Vendedores[ID],Vendedores[Nome])</f>
        <v>Carlos</v>
      </c>
      <c r="C231" s="7" t="str">
        <f>_xlfn.XLOOKUP(Vendas[[#This Row],[ID Vendedor]],Vendedores[ID],Vendedores[Setor])</f>
        <v>SC</v>
      </c>
      <c r="D231" s="7" t="s">
        <v>41</v>
      </c>
      <c r="E231" t="str">
        <f>_xlfn.XLOOKUP(Vendas[[#This Row],[ID Item Vendido]],Agregado[ID],Agregado[Produto])</f>
        <v>Palete de madeira reforçado</v>
      </c>
      <c r="F231" s="39">
        <v>43580</v>
      </c>
      <c r="G231" s="7">
        <v>2</v>
      </c>
      <c r="H231" s="3">
        <f>_xlfn.XLOOKUP(Vendas[[#This Row],[ID Item Vendido]],Agregado[ID],Agregado[Revenda])</f>
        <v>131</v>
      </c>
      <c r="I231" s="3">
        <f>Vendas[[#This Row],[Valor Unitário]]*Vendas[[#This Row],[Qnt Vendida]]</f>
        <v>262</v>
      </c>
      <c r="J231" s="3">
        <f>Vendas[[#This Row],[Valor da Venda]]-(_xlfn.XLOOKUP(Vendas[[#This Row],[ID Item Vendido]],Agregado[ID],Agregado[Custo])*Vendas[[#This Row],[Qnt Vendida]])</f>
        <v>42</v>
      </c>
      <c r="K231" s="70">
        <f>Vendas[[#This Row],[Lucro da Venda]]/Vendas[[#This Row],[Valor da Venda]]</f>
        <v>0.16030534351145037</v>
      </c>
      <c r="L231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231"/>
    </row>
    <row r="232" spans="1:13" x14ac:dyDescent="0.3">
      <c r="A232" s="7">
        <v>400249</v>
      </c>
      <c r="B232" t="str">
        <f>_xlfn.XLOOKUP(Vendas[[#This Row],[ID Vendedor]],Vendedores[ID],Vendedores[Nome])</f>
        <v>Bruno</v>
      </c>
      <c r="C232" s="7" t="str">
        <f>_xlfn.XLOOKUP(Vendas[[#This Row],[ID Vendedor]],Vendedores[ID],Vendedores[Setor])</f>
        <v>CM</v>
      </c>
      <c r="D232" s="7" t="s">
        <v>22</v>
      </c>
      <c r="E232" t="str">
        <f>_xlfn.XLOOKUP(Vendas[[#This Row],[ID Item Vendido]],Agregado[ID],Agregado[Produto])</f>
        <v>Painel MDP 2,75x1,83m</v>
      </c>
      <c r="F232" s="39">
        <v>43581</v>
      </c>
      <c r="G232" s="7">
        <v>13</v>
      </c>
      <c r="H232" s="3">
        <f>_xlfn.XLOOKUP(Vendas[[#This Row],[ID Item Vendido]],Agregado[ID],Agregado[Revenda])</f>
        <v>119</v>
      </c>
      <c r="I232" s="3">
        <f>Vendas[[#This Row],[Valor Unitário]]*Vendas[[#This Row],[Qnt Vendida]]</f>
        <v>1547</v>
      </c>
      <c r="J232" s="3">
        <f>Vendas[[#This Row],[Valor da Venda]]-(_xlfn.XLOOKUP(Vendas[[#This Row],[ID Item Vendido]],Agregado[ID],Agregado[Custo])*Vendas[[#This Row],[Qnt Vendida]])</f>
        <v>312</v>
      </c>
      <c r="K232" s="70">
        <f>Vendas[[#This Row],[Lucro da Venda]]/Vendas[[#This Row],[Valor da Venda]]</f>
        <v>0.20168067226890757</v>
      </c>
      <c r="L232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232"/>
    </row>
    <row r="233" spans="1:13" x14ac:dyDescent="0.3">
      <c r="A233" s="7">
        <v>400249</v>
      </c>
      <c r="B233" t="str">
        <f>_xlfn.XLOOKUP(Vendas[[#This Row],[ID Vendedor]],Vendedores[ID],Vendedores[Nome])</f>
        <v>Bruno</v>
      </c>
      <c r="C233" s="7" t="str">
        <f>_xlfn.XLOOKUP(Vendas[[#This Row],[ID Vendedor]],Vendedores[ID],Vendedores[Setor])</f>
        <v>CM</v>
      </c>
      <c r="D233" s="7" t="s">
        <v>32</v>
      </c>
      <c r="E233" t="str">
        <f>_xlfn.XLOOKUP(Vendas[[#This Row],[ID Item Vendido]],Agregado[ID],Agregado[Produto])</f>
        <v>Tábua tratada e cortada 3m</v>
      </c>
      <c r="F233" s="39">
        <v>43581</v>
      </c>
      <c r="G233" s="7">
        <v>18</v>
      </c>
      <c r="H233" s="3">
        <f>_xlfn.XLOOKUP(Vendas[[#This Row],[ID Item Vendido]],Agregado[ID],Agregado[Revenda])</f>
        <v>39</v>
      </c>
      <c r="I233" s="3">
        <f>Vendas[[#This Row],[Valor Unitário]]*Vendas[[#This Row],[Qnt Vendida]]</f>
        <v>702</v>
      </c>
      <c r="J233" s="3">
        <f>Vendas[[#This Row],[Valor da Venda]]-(_xlfn.XLOOKUP(Vendas[[#This Row],[ID Item Vendido]],Agregado[ID],Agregado[Custo])*Vendas[[#This Row],[Qnt Vendida]])</f>
        <v>126</v>
      </c>
      <c r="K233" s="70">
        <f>Vendas[[#This Row],[Lucro da Venda]]/Vendas[[#This Row],[Valor da Venda]]</f>
        <v>0.17948717948717949</v>
      </c>
      <c r="L233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233"/>
    </row>
    <row r="234" spans="1:13" x14ac:dyDescent="0.3">
      <c r="A234" s="7">
        <v>400245</v>
      </c>
      <c r="B234" t="str">
        <f>_xlfn.XLOOKUP(Vendas[[#This Row],[ID Vendedor]],Vendedores[ID],Vendedores[Nome])</f>
        <v>Thiago</v>
      </c>
      <c r="C234" s="7" t="str">
        <f>_xlfn.XLOOKUP(Vendas[[#This Row],[ID Vendedor]],Vendedores[ID],Vendedores[Setor])</f>
        <v>AHD</v>
      </c>
      <c r="D234" s="7" t="s">
        <v>9</v>
      </c>
      <c r="E234" t="str">
        <f>_xlfn.XLOOKUP(Vendas[[#This Row],[ID Item Vendido]],Agregado[ID],Agregado[Produto])</f>
        <v>Barra de aço simples</v>
      </c>
      <c r="F234" s="39">
        <v>43585</v>
      </c>
      <c r="G234" s="7">
        <v>110</v>
      </c>
      <c r="H234" s="3">
        <f>_xlfn.XLOOKUP(Vendas[[#This Row],[ID Item Vendido]],Agregado[ID],Agregado[Revenda])</f>
        <v>6.7</v>
      </c>
      <c r="I234" s="3">
        <f>Vendas[[#This Row],[Valor Unitário]]*Vendas[[#This Row],[Qnt Vendida]]</f>
        <v>737</v>
      </c>
      <c r="J234" s="3">
        <f>Vendas[[#This Row],[Valor da Venda]]-(_xlfn.XLOOKUP(Vendas[[#This Row],[ID Item Vendido]],Agregado[ID],Agregado[Custo])*Vendas[[#This Row],[Qnt Vendida]])</f>
        <v>99</v>
      </c>
      <c r="K234" s="70">
        <f>Vendas[[#This Row],[Lucro da Venda]]/Vendas[[#This Row],[Valor da Venda]]</f>
        <v>0.13432835820895522</v>
      </c>
      <c r="L234" s="3">
        <f>_xlfn.IFS(Vendas[[#This Row],[Margem de Lucro (%)]]&lt;15%,Vendas[[#This Row],[Valor da Venda]]*3%,Vendas[[#This Row],[Margem de Lucro (%)]]&lt;=20%,Vendas[[#This Row],[Valor da Venda]]*4.5%,TRUE,Vendas[[#This Row],[Valor da Venda]]*6%)</f>
        <v>22.11</v>
      </c>
      <c r="M234"/>
    </row>
    <row r="235" spans="1:13" x14ac:dyDescent="0.3">
      <c r="A235" s="7">
        <v>400245</v>
      </c>
      <c r="B235" t="str">
        <f>_xlfn.XLOOKUP(Vendas[[#This Row],[ID Vendedor]],Vendedores[ID],Vendedores[Nome])</f>
        <v>Thiago</v>
      </c>
      <c r="C235" s="7" t="str">
        <f>_xlfn.XLOOKUP(Vendas[[#This Row],[ID Vendedor]],Vendedores[ID],Vendedores[Setor])</f>
        <v>AHD</v>
      </c>
      <c r="D235" s="7" t="s">
        <v>28</v>
      </c>
      <c r="E235" t="str">
        <f>_xlfn.XLOOKUP(Vendas[[#This Row],[ID Item Vendido]],Agregado[ID],Agregado[Produto])</f>
        <v>Peça usinada CNC</v>
      </c>
      <c r="F235" s="39">
        <v>43586</v>
      </c>
      <c r="G235" s="7">
        <v>7</v>
      </c>
      <c r="H235" s="3">
        <f>_xlfn.XLOOKUP(Vendas[[#This Row],[ID Item Vendido]],Agregado[ID],Agregado[Revenda])</f>
        <v>192</v>
      </c>
      <c r="I235" s="3">
        <f>Vendas[[#This Row],[Valor Unitário]]*Vendas[[#This Row],[Qnt Vendida]]</f>
        <v>1344</v>
      </c>
      <c r="J235" s="3">
        <f>Vendas[[#This Row],[Valor da Venda]]-(_xlfn.XLOOKUP(Vendas[[#This Row],[ID Item Vendido]],Agregado[ID],Agregado[Custo])*Vendas[[#This Row],[Qnt Vendida]])</f>
        <v>294</v>
      </c>
      <c r="K235" s="70">
        <f>Vendas[[#This Row],[Lucro da Venda]]/Vendas[[#This Row],[Valor da Venda]]</f>
        <v>0.21875</v>
      </c>
      <c r="L235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235"/>
    </row>
    <row r="236" spans="1:13" x14ac:dyDescent="0.3">
      <c r="A236" s="7">
        <v>400245</v>
      </c>
      <c r="B236" t="str">
        <f>_xlfn.XLOOKUP(Vendas[[#This Row],[ID Vendedor]],Vendedores[ID],Vendedores[Nome])</f>
        <v>Thiago</v>
      </c>
      <c r="C236" s="7" t="str">
        <f>_xlfn.XLOOKUP(Vendas[[#This Row],[ID Vendedor]],Vendedores[ID],Vendedores[Setor])</f>
        <v>AHD</v>
      </c>
      <c r="D236" s="7" t="s">
        <v>28</v>
      </c>
      <c r="E236" t="str">
        <f>_xlfn.XLOOKUP(Vendas[[#This Row],[ID Item Vendido]],Agregado[ID],Agregado[Produto])</f>
        <v>Peça usinada CNC</v>
      </c>
      <c r="F236" s="39">
        <v>43588</v>
      </c>
      <c r="G236" s="7">
        <v>11</v>
      </c>
      <c r="H236" s="3">
        <f>_xlfn.XLOOKUP(Vendas[[#This Row],[ID Item Vendido]],Agregado[ID],Agregado[Revenda])</f>
        <v>192</v>
      </c>
      <c r="I236" s="3">
        <f>Vendas[[#This Row],[Valor Unitário]]*Vendas[[#This Row],[Qnt Vendida]]</f>
        <v>2112</v>
      </c>
      <c r="J236" s="3">
        <f>Vendas[[#This Row],[Valor da Venda]]-(_xlfn.XLOOKUP(Vendas[[#This Row],[ID Item Vendido]],Agregado[ID],Agregado[Custo])*Vendas[[#This Row],[Qnt Vendida]])</f>
        <v>462</v>
      </c>
      <c r="K236" s="70">
        <f>Vendas[[#This Row],[Lucro da Venda]]/Vendas[[#This Row],[Valor da Venda]]</f>
        <v>0.21875</v>
      </c>
      <c r="L236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236"/>
    </row>
    <row r="237" spans="1:13" x14ac:dyDescent="0.3">
      <c r="A237" s="7">
        <v>400255</v>
      </c>
      <c r="B237" t="str">
        <f>_xlfn.XLOOKUP(Vendas[[#This Row],[ID Vendedor]],Vendedores[ID],Vendedores[Nome])</f>
        <v>Carlos</v>
      </c>
      <c r="C237" s="7" t="str">
        <f>_xlfn.XLOOKUP(Vendas[[#This Row],[ID Vendedor]],Vendedores[ID],Vendedores[Setor])</f>
        <v>SC</v>
      </c>
      <c r="D237" s="7" t="s">
        <v>48</v>
      </c>
      <c r="E237" t="str">
        <f>_xlfn.XLOOKUP(Vendas[[#This Row],[ID Item Vendido]],Agregado[ID],Agregado[Produto])</f>
        <v>Tambor metálico 200L</v>
      </c>
      <c r="F237" s="39">
        <v>43598</v>
      </c>
      <c r="G237" s="7">
        <v>15</v>
      </c>
      <c r="H237" s="3">
        <f>_xlfn.XLOOKUP(Vendas[[#This Row],[ID Item Vendido]],Agregado[ID],Agregado[Revenda])</f>
        <v>144</v>
      </c>
      <c r="I237" s="3">
        <f>Vendas[[#This Row],[Valor Unitário]]*Vendas[[#This Row],[Qnt Vendida]]</f>
        <v>2160</v>
      </c>
      <c r="J237" s="3">
        <f>Vendas[[#This Row],[Valor da Venda]]-(_xlfn.XLOOKUP(Vendas[[#This Row],[ID Item Vendido]],Agregado[ID],Agregado[Custo])*Vendas[[#This Row],[Qnt Vendida]])</f>
        <v>360</v>
      </c>
      <c r="K237" s="70">
        <f>Vendas[[#This Row],[Lucro da Venda]]/Vendas[[#This Row],[Valor da Venda]]</f>
        <v>0.16666666666666666</v>
      </c>
      <c r="L237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237"/>
    </row>
    <row r="238" spans="1:13" x14ac:dyDescent="0.3">
      <c r="A238" s="7">
        <v>400245</v>
      </c>
      <c r="B238" t="str">
        <f>_xlfn.XLOOKUP(Vendas[[#This Row],[ID Vendedor]],Vendedores[ID],Vendedores[Nome])</f>
        <v>Thiago</v>
      </c>
      <c r="C238" s="7" t="str">
        <f>_xlfn.XLOOKUP(Vendas[[#This Row],[ID Vendedor]],Vendedores[ID],Vendedores[Setor])</f>
        <v>AHD</v>
      </c>
      <c r="D238" s="7" t="s">
        <v>44</v>
      </c>
      <c r="E238" t="str">
        <f>_xlfn.XLOOKUP(Vendas[[#This Row],[ID Item Vendido]],Agregado[ID],Agregado[Produto])</f>
        <v>Liga metálica especial</v>
      </c>
      <c r="F238" s="39">
        <v>43600</v>
      </c>
      <c r="G238" s="7">
        <v>14</v>
      </c>
      <c r="H238" s="3">
        <f>_xlfn.XLOOKUP(Vendas[[#This Row],[ID Item Vendido]],Agregado[ID],Agregado[Revenda])</f>
        <v>32.5</v>
      </c>
      <c r="I238" s="3">
        <f>Vendas[[#This Row],[Valor Unitário]]*Vendas[[#This Row],[Qnt Vendida]]</f>
        <v>455</v>
      </c>
      <c r="J238" s="3">
        <f>Vendas[[#This Row],[Valor da Venda]]-(_xlfn.XLOOKUP(Vendas[[#This Row],[ID Item Vendido]],Agregado[ID],Agregado[Custo])*Vendas[[#This Row],[Qnt Vendida]])</f>
        <v>105</v>
      </c>
      <c r="K238" s="70">
        <f>Vendas[[#This Row],[Lucro da Venda]]/Vendas[[#This Row],[Valor da Venda]]</f>
        <v>0.23076923076923078</v>
      </c>
      <c r="L238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238"/>
    </row>
    <row r="239" spans="1:13" x14ac:dyDescent="0.3">
      <c r="A239" s="7">
        <v>400245</v>
      </c>
      <c r="B239" t="str">
        <f>_xlfn.XLOOKUP(Vendas[[#This Row],[ID Vendedor]],Vendedores[ID],Vendedores[Nome])</f>
        <v>Thiago</v>
      </c>
      <c r="C239" s="7" t="str">
        <f>_xlfn.XLOOKUP(Vendas[[#This Row],[ID Vendedor]],Vendedores[ID],Vendedores[Setor])</f>
        <v>AHD</v>
      </c>
      <c r="D239" s="7" t="s">
        <v>30</v>
      </c>
      <c r="E239" t="str">
        <f>_xlfn.XLOOKUP(Vendas[[#This Row],[ID Item Vendido]],Agregado[ID],Agregado[Produto])</f>
        <v>Estrutura metálica soldada</v>
      </c>
      <c r="F239" s="39">
        <v>43601</v>
      </c>
      <c r="G239" s="7">
        <v>8</v>
      </c>
      <c r="H239" s="3">
        <f>_xlfn.XLOOKUP(Vendas[[#This Row],[ID Item Vendido]],Agregado[ID],Agregado[Revenda])</f>
        <v>400</v>
      </c>
      <c r="I239" s="3">
        <f>Vendas[[#This Row],[Valor Unitário]]*Vendas[[#This Row],[Qnt Vendida]]</f>
        <v>3200</v>
      </c>
      <c r="J239" s="3">
        <f>Vendas[[#This Row],[Valor da Venda]]-(_xlfn.XLOOKUP(Vendas[[#This Row],[ID Item Vendido]],Agregado[ID],Agregado[Custo])*Vendas[[#This Row],[Qnt Vendida]])</f>
        <v>640</v>
      </c>
      <c r="K239" s="70">
        <f>Vendas[[#This Row],[Lucro da Venda]]/Vendas[[#This Row],[Valor da Venda]]</f>
        <v>0.2</v>
      </c>
      <c r="L239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39"/>
    </row>
    <row r="240" spans="1:13" x14ac:dyDescent="0.3">
      <c r="A240" s="7">
        <v>400245</v>
      </c>
      <c r="B240" t="str">
        <f>_xlfn.XLOOKUP(Vendas[[#This Row],[ID Vendedor]],Vendedores[ID],Vendedores[Nome])</f>
        <v>Thiago</v>
      </c>
      <c r="C240" s="7" t="str">
        <f>_xlfn.XLOOKUP(Vendas[[#This Row],[ID Vendedor]],Vendedores[ID],Vendedores[Setor])</f>
        <v>AHD</v>
      </c>
      <c r="D240" s="7" t="s">
        <v>44</v>
      </c>
      <c r="E240" t="str">
        <f>_xlfn.XLOOKUP(Vendas[[#This Row],[ID Item Vendido]],Agregado[ID],Agregado[Produto])</f>
        <v>Liga metálica especial</v>
      </c>
      <c r="F240" s="39">
        <v>43602</v>
      </c>
      <c r="G240" s="7">
        <v>56</v>
      </c>
      <c r="H240" s="3">
        <f>_xlfn.XLOOKUP(Vendas[[#This Row],[ID Item Vendido]],Agregado[ID],Agregado[Revenda])</f>
        <v>32.5</v>
      </c>
      <c r="I240" s="3">
        <f>Vendas[[#This Row],[Valor Unitário]]*Vendas[[#This Row],[Qnt Vendida]]</f>
        <v>1820</v>
      </c>
      <c r="J240" s="3">
        <f>Vendas[[#This Row],[Valor da Venda]]-(_xlfn.XLOOKUP(Vendas[[#This Row],[ID Item Vendido]],Agregado[ID],Agregado[Custo])*Vendas[[#This Row],[Qnt Vendida]])</f>
        <v>420</v>
      </c>
      <c r="K240" s="70">
        <f>Vendas[[#This Row],[Lucro da Venda]]/Vendas[[#This Row],[Valor da Venda]]</f>
        <v>0.23076923076923078</v>
      </c>
      <c r="L240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240"/>
    </row>
    <row r="241" spans="1:13" x14ac:dyDescent="0.3">
      <c r="A241" s="7">
        <v>400249</v>
      </c>
      <c r="B241" t="str">
        <f>_xlfn.XLOOKUP(Vendas[[#This Row],[ID Vendedor]],Vendedores[ID],Vendedores[Nome])</f>
        <v>Bruno</v>
      </c>
      <c r="C241" s="7" t="str">
        <f>_xlfn.XLOOKUP(Vendas[[#This Row],[ID Vendedor]],Vendedores[ID],Vendedores[Setor])</f>
        <v>CM</v>
      </c>
      <c r="D241" s="7" t="s">
        <v>45</v>
      </c>
      <c r="E241" t="str">
        <f>_xlfn.XLOOKUP(Vendas[[#This Row],[ID Item Vendido]],Agregado[ID],Agregado[Produto])</f>
        <v>Viga de madeira tratada 4m</v>
      </c>
      <c r="F241" s="39">
        <v>43603</v>
      </c>
      <c r="G241" s="7">
        <v>5</v>
      </c>
      <c r="H241" s="3">
        <f>_xlfn.XLOOKUP(Vendas[[#This Row],[ID Item Vendido]],Agregado[ID],Agregado[Revenda])</f>
        <v>66</v>
      </c>
      <c r="I241" s="3">
        <f>Vendas[[#This Row],[Valor Unitário]]*Vendas[[#This Row],[Qnt Vendida]]</f>
        <v>330</v>
      </c>
      <c r="J241" s="3">
        <f>Vendas[[#This Row],[Valor da Venda]]-(_xlfn.XLOOKUP(Vendas[[#This Row],[ID Item Vendido]],Agregado[ID],Agregado[Custo])*Vendas[[#This Row],[Qnt Vendida]])</f>
        <v>55</v>
      </c>
      <c r="K241" s="70">
        <f>Vendas[[#This Row],[Lucro da Venda]]/Vendas[[#This Row],[Valor da Venda]]</f>
        <v>0.16666666666666666</v>
      </c>
      <c r="L241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241"/>
    </row>
    <row r="242" spans="1:13" x14ac:dyDescent="0.3">
      <c r="A242" s="7">
        <v>400243</v>
      </c>
      <c r="B242" t="str">
        <f>_xlfn.XLOOKUP(Vendas[[#This Row],[ID Vendedor]],Vendedores[ID],Vendedores[Nome])</f>
        <v>Marcelo</v>
      </c>
      <c r="C242" s="7" t="str">
        <f>_xlfn.XLOOKUP(Vendas[[#This Row],[ID Vendedor]],Vendedores[ID],Vendedores[Setor])</f>
        <v>FM</v>
      </c>
      <c r="D242" s="7" t="s">
        <v>6</v>
      </c>
      <c r="E242" t="str">
        <f>_xlfn.XLOOKUP(Vendas[[#This Row],[ID Item Vendido]],Agregado[ID],Agregado[Produto])</f>
        <v>Parafuso comum 500un</v>
      </c>
      <c r="F242" s="39">
        <v>43603</v>
      </c>
      <c r="G242" s="7">
        <v>12</v>
      </c>
      <c r="H242" s="3">
        <f>_xlfn.XLOOKUP(Vendas[[#This Row],[ID Item Vendido]],Agregado[ID],Agregado[Revenda])</f>
        <v>24.6</v>
      </c>
      <c r="I242" s="3">
        <f>Vendas[[#This Row],[Valor Unitário]]*Vendas[[#This Row],[Qnt Vendida]]</f>
        <v>295.20000000000005</v>
      </c>
      <c r="J242" s="3">
        <f>Vendas[[#This Row],[Valor da Venda]]-(_xlfn.XLOOKUP(Vendas[[#This Row],[ID Item Vendido]],Agregado[ID],Agregado[Custo])*Vendas[[#This Row],[Qnt Vendida]])</f>
        <v>31.200000000000045</v>
      </c>
      <c r="K242" s="70">
        <f>Vendas[[#This Row],[Lucro da Venda]]/Vendas[[#This Row],[Valor da Venda]]</f>
        <v>0.10569105691056924</v>
      </c>
      <c r="L242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242"/>
    </row>
    <row r="243" spans="1:13" x14ac:dyDescent="0.3">
      <c r="A243" s="7">
        <v>400245</v>
      </c>
      <c r="B243" t="str">
        <f>_xlfn.XLOOKUP(Vendas[[#This Row],[ID Vendedor]],Vendedores[ID],Vendedores[Nome])</f>
        <v>Thiago</v>
      </c>
      <c r="C243" s="7" t="str">
        <f>_xlfn.XLOOKUP(Vendas[[#This Row],[ID Vendedor]],Vendedores[ID],Vendedores[Setor])</f>
        <v>AHD</v>
      </c>
      <c r="D243" s="7" t="s">
        <v>30</v>
      </c>
      <c r="E243" t="str">
        <f>_xlfn.XLOOKUP(Vendas[[#This Row],[ID Item Vendido]],Agregado[ID],Agregado[Produto])</f>
        <v>Estrutura metálica soldada</v>
      </c>
      <c r="F243" s="39">
        <v>43604</v>
      </c>
      <c r="G243" s="7">
        <v>8</v>
      </c>
      <c r="H243" s="3">
        <f>_xlfn.XLOOKUP(Vendas[[#This Row],[ID Item Vendido]],Agregado[ID],Agregado[Revenda])</f>
        <v>400</v>
      </c>
      <c r="I243" s="3">
        <f>Vendas[[#This Row],[Valor Unitário]]*Vendas[[#This Row],[Qnt Vendida]]</f>
        <v>3200</v>
      </c>
      <c r="J243" s="3">
        <f>Vendas[[#This Row],[Valor da Venda]]-(_xlfn.XLOOKUP(Vendas[[#This Row],[ID Item Vendido]],Agregado[ID],Agregado[Custo])*Vendas[[#This Row],[Qnt Vendida]])</f>
        <v>640</v>
      </c>
      <c r="K243" s="70">
        <f>Vendas[[#This Row],[Lucro da Venda]]/Vendas[[#This Row],[Valor da Venda]]</f>
        <v>0.2</v>
      </c>
      <c r="L24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43"/>
    </row>
    <row r="244" spans="1:13" x14ac:dyDescent="0.3">
      <c r="A244" s="7">
        <v>400249</v>
      </c>
      <c r="B244" t="str">
        <f>_xlfn.XLOOKUP(Vendas[[#This Row],[ID Vendedor]],Vendedores[ID],Vendedores[Nome])</f>
        <v>Bruno</v>
      </c>
      <c r="C244" s="7" t="str">
        <f>_xlfn.XLOOKUP(Vendas[[#This Row],[ID Vendedor]],Vendedores[ID],Vendedores[Setor])</f>
        <v>CM</v>
      </c>
      <c r="D244" s="7" t="s">
        <v>43</v>
      </c>
      <c r="E244" t="str">
        <f>_xlfn.XLOOKUP(Vendas[[#This Row],[ID Item Vendido]],Agregado[ID],Agregado[Produto])</f>
        <v>Madeira Bruta (Tora)</v>
      </c>
      <c r="F244" s="39">
        <v>43604</v>
      </c>
      <c r="G244" s="7">
        <v>5</v>
      </c>
      <c r="H244" s="3">
        <f>_xlfn.XLOOKUP(Vendas[[#This Row],[ID Item Vendido]],Agregado[ID],Agregado[Revenda])</f>
        <v>212</v>
      </c>
      <c r="I244" s="3">
        <f>Vendas[[#This Row],[Valor Unitário]]*Vendas[[#This Row],[Qnt Vendida]]</f>
        <v>1060</v>
      </c>
      <c r="J244" s="3">
        <f>Vendas[[#This Row],[Valor da Venda]]-(_xlfn.XLOOKUP(Vendas[[#This Row],[ID Item Vendido]],Agregado[ID],Agregado[Custo])*Vendas[[#This Row],[Qnt Vendida]])</f>
        <v>160</v>
      </c>
      <c r="K244" s="70">
        <f>Vendas[[#This Row],[Lucro da Venda]]/Vendas[[#This Row],[Valor da Venda]]</f>
        <v>0.15094339622641509</v>
      </c>
      <c r="L244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244"/>
    </row>
    <row r="245" spans="1:13" x14ac:dyDescent="0.3">
      <c r="A245" s="7">
        <v>400245</v>
      </c>
      <c r="B245" t="str">
        <f>_xlfn.XLOOKUP(Vendas[[#This Row],[ID Vendedor]],Vendedores[ID],Vendedores[Nome])</f>
        <v>Thiago</v>
      </c>
      <c r="C245" s="7" t="str">
        <f>_xlfn.XLOOKUP(Vendas[[#This Row],[ID Vendedor]],Vendedores[ID],Vendedores[Setor])</f>
        <v>AHD</v>
      </c>
      <c r="D245" s="7" t="s">
        <v>44</v>
      </c>
      <c r="E245" t="str">
        <f>_xlfn.XLOOKUP(Vendas[[#This Row],[ID Item Vendido]],Agregado[ID],Agregado[Produto])</f>
        <v>Liga metálica especial</v>
      </c>
      <c r="F245" s="39">
        <v>43605</v>
      </c>
      <c r="G245" s="7">
        <v>51</v>
      </c>
      <c r="H245" s="3">
        <f>_xlfn.XLOOKUP(Vendas[[#This Row],[ID Item Vendido]],Agregado[ID],Agregado[Revenda])</f>
        <v>32.5</v>
      </c>
      <c r="I245" s="3">
        <f>Vendas[[#This Row],[Valor Unitário]]*Vendas[[#This Row],[Qnt Vendida]]</f>
        <v>1657.5</v>
      </c>
      <c r="J245" s="3">
        <f>Vendas[[#This Row],[Valor da Venda]]-(_xlfn.XLOOKUP(Vendas[[#This Row],[ID Item Vendido]],Agregado[ID],Agregado[Custo])*Vendas[[#This Row],[Qnt Vendida]])</f>
        <v>382.5</v>
      </c>
      <c r="K245" s="70">
        <f>Vendas[[#This Row],[Lucro da Venda]]/Vendas[[#This Row],[Valor da Venda]]</f>
        <v>0.23076923076923078</v>
      </c>
      <c r="L245" s="3">
        <f>_xlfn.IFS(Vendas[[#This Row],[Margem de Lucro (%)]]&lt;15%,Vendas[[#This Row],[Valor da Venda]]*3%,Vendas[[#This Row],[Margem de Lucro (%)]]&lt;=20%,Vendas[[#This Row],[Valor da Venda]]*4.5%,TRUE,Vendas[[#This Row],[Valor da Venda]]*6%)</f>
        <v>99.45</v>
      </c>
      <c r="M245"/>
    </row>
    <row r="246" spans="1:13" x14ac:dyDescent="0.3">
      <c r="A246" s="7">
        <v>400249</v>
      </c>
      <c r="B246" t="str">
        <f>_xlfn.XLOOKUP(Vendas[[#This Row],[ID Vendedor]],Vendedores[ID],Vendedores[Nome])</f>
        <v>Bruno</v>
      </c>
      <c r="C246" s="7" t="str">
        <f>_xlfn.XLOOKUP(Vendas[[#This Row],[ID Vendedor]],Vendedores[ID],Vendedores[Setor])</f>
        <v>CM</v>
      </c>
      <c r="D246" s="7" t="s">
        <v>22</v>
      </c>
      <c r="E246" t="str">
        <f>_xlfn.XLOOKUP(Vendas[[#This Row],[ID Item Vendido]],Agregado[ID],Agregado[Produto])</f>
        <v>Painel MDP 2,75x1,83m</v>
      </c>
      <c r="F246" s="39">
        <v>43606</v>
      </c>
      <c r="G246" s="7">
        <v>4</v>
      </c>
      <c r="H246" s="3">
        <f>_xlfn.XLOOKUP(Vendas[[#This Row],[ID Item Vendido]],Agregado[ID],Agregado[Revenda])</f>
        <v>119</v>
      </c>
      <c r="I246" s="3">
        <f>Vendas[[#This Row],[Valor Unitário]]*Vendas[[#This Row],[Qnt Vendida]]</f>
        <v>476</v>
      </c>
      <c r="J246" s="3">
        <f>Vendas[[#This Row],[Valor da Venda]]-(_xlfn.XLOOKUP(Vendas[[#This Row],[ID Item Vendido]],Agregado[ID],Agregado[Custo])*Vendas[[#This Row],[Qnt Vendida]])</f>
        <v>96</v>
      </c>
      <c r="K246" s="70">
        <f>Vendas[[#This Row],[Lucro da Venda]]/Vendas[[#This Row],[Valor da Venda]]</f>
        <v>0.20168067226890757</v>
      </c>
      <c r="L246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246"/>
    </row>
    <row r="247" spans="1:13" x14ac:dyDescent="0.3">
      <c r="A247" s="7">
        <v>400255</v>
      </c>
      <c r="B247" t="str">
        <f>_xlfn.XLOOKUP(Vendas[[#This Row],[ID Vendedor]],Vendedores[ID],Vendedores[Nome])</f>
        <v>Carlos</v>
      </c>
      <c r="C247" s="7" t="str">
        <f>_xlfn.XLOOKUP(Vendas[[#This Row],[ID Vendedor]],Vendedores[ID],Vendedores[Setor])</f>
        <v>SC</v>
      </c>
      <c r="D247" s="7" t="s">
        <v>14</v>
      </c>
      <c r="E247" t="str">
        <f>_xlfn.XLOOKUP(Vendas[[#This Row],[ID Item Vendido]],Agregado[ID],Agregado[Produto])</f>
        <v>Barril de plástico 200L</v>
      </c>
      <c r="F247" s="39">
        <v>43608</v>
      </c>
      <c r="G247" s="7">
        <v>25</v>
      </c>
      <c r="H247" s="3">
        <f>_xlfn.XLOOKUP(Vendas[[#This Row],[ID Item Vendido]],Agregado[ID],Agregado[Revenda])</f>
        <v>114</v>
      </c>
      <c r="I247" s="3">
        <f>Vendas[[#This Row],[Valor Unitário]]*Vendas[[#This Row],[Qnt Vendida]]</f>
        <v>2850</v>
      </c>
      <c r="J247" s="3">
        <f>Vendas[[#This Row],[Valor da Venda]]-(_xlfn.XLOOKUP(Vendas[[#This Row],[ID Item Vendido]],Agregado[ID],Agregado[Custo])*Vendas[[#This Row],[Qnt Vendida]])</f>
        <v>475</v>
      </c>
      <c r="K247" s="70">
        <f>Vendas[[#This Row],[Lucro da Venda]]/Vendas[[#This Row],[Valor da Venda]]</f>
        <v>0.16666666666666666</v>
      </c>
      <c r="L247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247"/>
    </row>
    <row r="248" spans="1:13" x14ac:dyDescent="0.3">
      <c r="A248" s="7">
        <v>400249</v>
      </c>
      <c r="B248" t="str">
        <f>_xlfn.XLOOKUP(Vendas[[#This Row],[ID Vendedor]],Vendedores[ID],Vendedores[Nome])</f>
        <v>Bruno</v>
      </c>
      <c r="C248" s="7" t="str">
        <f>_xlfn.XLOOKUP(Vendas[[#This Row],[ID Vendedor]],Vendedores[ID],Vendedores[Setor])</f>
        <v>CM</v>
      </c>
      <c r="D248" s="7" t="s">
        <v>22</v>
      </c>
      <c r="E248" t="str">
        <f>_xlfn.XLOOKUP(Vendas[[#This Row],[ID Item Vendido]],Agregado[ID],Agregado[Produto])</f>
        <v>Painel MDP 2,75x1,83m</v>
      </c>
      <c r="F248" s="39">
        <v>43608</v>
      </c>
      <c r="G248" s="7">
        <v>3</v>
      </c>
      <c r="H248" s="3">
        <f>_xlfn.XLOOKUP(Vendas[[#This Row],[ID Item Vendido]],Agregado[ID],Agregado[Revenda])</f>
        <v>119</v>
      </c>
      <c r="I248" s="3">
        <f>Vendas[[#This Row],[Valor Unitário]]*Vendas[[#This Row],[Qnt Vendida]]</f>
        <v>357</v>
      </c>
      <c r="J248" s="3">
        <f>Vendas[[#This Row],[Valor da Venda]]-(_xlfn.XLOOKUP(Vendas[[#This Row],[ID Item Vendido]],Agregado[ID],Agregado[Custo])*Vendas[[#This Row],[Qnt Vendida]])</f>
        <v>72</v>
      </c>
      <c r="K248" s="70">
        <f>Vendas[[#This Row],[Lucro da Venda]]/Vendas[[#This Row],[Valor da Venda]]</f>
        <v>0.20168067226890757</v>
      </c>
      <c r="L248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248"/>
    </row>
    <row r="249" spans="1:13" x14ac:dyDescent="0.3">
      <c r="A249" s="7">
        <v>400255</v>
      </c>
      <c r="B249" t="str">
        <f>_xlfn.XLOOKUP(Vendas[[#This Row],[ID Vendedor]],Vendedores[ID],Vendedores[Nome])</f>
        <v>Carlos</v>
      </c>
      <c r="C249" s="7" t="str">
        <f>_xlfn.XLOOKUP(Vendas[[#This Row],[ID Vendedor]],Vendedores[ID],Vendedores[Setor])</f>
        <v>SC</v>
      </c>
      <c r="D249" s="7" t="s">
        <v>48</v>
      </c>
      <c r="E249" t="str">
        <f>_xlfn.XLOOKUP(Vendas[[#This Row],[ID Item Vendido]],Agregado[ID],Agregado[Produto])</f>
        <v>Tambor metálico 200L</v>
      </c>
      <c r="F249" s="39">
        <v>43611</v>
      </c>
      <c r="G249" s="7">
        <v>17</v>
      </c>
      <c r="H249" s="3">
        <f>_xlfn.XLOOKUP(Vendas[[#This Row],[ID Item Vendido]],Agregado[ID],Agregado[Revenda])</f>
        <v>144</v>
      </c>
      <c r="I249" s="3">
        <f>Vendas[[#This Row],[Valor Unitário]]*Vendas[[#This Row],[Qnt Vendida]]</f>
        <v>2448</v>
      </c>
      <c r="J249" s="3">
        <f>Vendas[[#This Row],[Valor da Venda]]-(_xlfn.XLOOKUP(Vendas[[#This Row],[ID Item Vendido]],Agregado[ID],Agregado[Custo])*Vendas[[#This Row],[Qnt Vendida]])</f>
        <v>408</v>
      </c>
      <c r="K249" s="70">
        <f>Vendas[[#This Row],[Lucro da Venda]]/Vendas[[#This Row],[Valor da Venda]]</f>
        <v>0.16666666666666666</v>
      </c>
      <c r="L249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249"/>
    </row>
    <row r="250" spans="1:13" x14ac:dyDescent="0.3">
      <c r="A250" s="7">
        <v>400243</v>
      </c>
      <c r="B250" t="str">
        <f>_xlfn.XLOOKUP(Vendas[[#This Row],[ID Vendedor]],Vendedores[ID],Vendedores[Nome])</f>
        <v>Marcelo</v>
      </c>
      <c r="C250" s="7" t="str">
        <f>_xlfn.XLOOKUP(Vendas[[#This Row],[ID Vendedor]],Vendedores[ID],Vendedores[Setor])</f>
        <v>FM</v>
      </c>
      <c r="D250" s="7" t="s">
        <v>6</v>
      </c>
      <c r="E250" t="str">
        <f>_xlfn.XLOOKUP(Vendas[[#This Row],[ID Item Vendido]],Agregado[ID],Agregado[Produto])</f>
        <v>Parafuso comum 500un</v>
      </c>
      <c r="F250" s="39">
        <v>43611</v>
      </c>
      <c r="G250" s="7">
        <v>2</v>
      </c>
      <c r="H250" s="3">
        <f>_xlfn.XLOOKUP(Vendas[[#This Row],[ID Item Vendido]],Agregado[ID],Agregado[Revenda])</f>
        <v>24.6</v>
      </c>
      <c r="I250" s="3">
        <f>Vendas[[#This Row],[Valor Unitário]]*Vendas[[#This Row],[Qnt Vendida]]</f>
        <v>49.2</v>
      </c>
      <c r="J250" s="3">
        <f>Vendas[[#This Row],[Valor da Venda]]-(_xlfn.XLOOKUP(Vendas[[#This Row],[ID Item Vendido]],Agregado[ID],Agregado[Custo])*Vendas[[#This Row],[Qnt Vendida]])</f>
        <v>5.2000000000000028</v>
      </c>
      <c r="K250" s="70">
        <f>Vendas[[#This Row],[Lucro da Venda]]/Vendas[[#This Row],[Valor da Venda]]</f>
        <v>0.10569105691056915</v>
      </c>
      <c r="L250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250"/>
    </row>
    <row r="251" spans="1:13" x14ac:dyDescent="0.3">
      <c r="A251" s="7">
        <v>400255</v>
      </c>
      <c r="B251" t="str">
        <f>_xlfn.XLOOKUP(Vendas[[#This Row],[ID Vendedor]],Vendedores[ID],Vendedores[Nome])</f>
        <v>Carlos</v>
      </c>
      <c r="C251" s="7" t="str">
        <f>_xlfn.XLOOKUP(Vendas[[#This Row],[ID Vendedor]],Vendedores[ID],Vendedores[Setor])</f>
        <v>SC</v>
      </c>
      <c r="D251" s="7" t="s">
        <v>42</v>
      </c>
      <c r="E251" t="str">
        <f>_xlfn.XLOOKUP(Vendas[[#This Row],[ID Item Vendido]],Agregado[ID],Agregado[Produto])</f>
        <v>Container de ferro industrial</v>
      </c>
      <c r="F251" s="39">
        <v>43619</v>
      </c>
      <c r="G251" s="7">
        <v>1</v>
      </c>
      <c r="H251" s="3">
        <f>_xlfn.XLOOKUP(Vendas[[#This Row],[ID Item Vendido]],Agregado[ID],Agregado[Revenda])</f>
        <v>830</v>
      </c>
      <c r="I251" s="3">
        <f>Vendas[[#This Row],[Valor Unitário]]*Vendas[[#This Row],[Qnt Vendida]]</f>
        <v>830</v>
      </c>
      <c r="J251" s="3">
        <f>Vendas[[#This Row],[Valor da Venda]]-(_xlfn.XLOOKUP(Vendas[[#This Row],[ID Item Vendido]],Agregado[ID],Agregado[Custo])*Vendas[[#This Row],[Qnt Vendida]])</f>
        <v>150</v>
      </c>
      <c r="K251" s="70">
        <f>Vendas[[#This Row],[Lucro da Venda]]/Vendas[[#This Row],[Valor da Venda]]</f>
        <v>0.18072289156626506</v>
      </c>
      <c r="L251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51"/>
    </row>
    <row r="252" spans="1:13" x14ac:dyDescent="0.3">
      <c r="A252" s="7">
        <v>400243</v>
      </c>
      <c r="B252" t="str">
        <f>_xlfn.XLOOKUP(Vendas[[#This Row],[ID Vendedor]],Vendedores[ID],Vendedores[Nome])</f>
        <v>Marcelo</v>
      </c>
      <c r="C252" s="7" t="str">
        <f>_xlfn.XLOOKUP(Vendas[[#This Row],[ID Vendedor]],Vendedores[ID],Vendedores[Setor])</f>
        <v>FM</v>
      </c>
      <c r="D252" s="7" t="s">
        <v>27</v>
      </c>
      <c r="E252" t="str">
        <f>_xlfn.XLOOKUP(Vendas[[#This Row],[ID Item Vendido]],Agregado[ID],Agregado[Produto])</f>
        <v>Chapa de metal lisa 1x2m</v>
      </c>
      <c r="F252" s="39">
        <v>43622</v>
      </c>
      <c r="G252" s="7">
        <v>28</v>
      </c>
      <c r="H252" s="3">
        <f>_xlfn.XLOOKUP(Vendas[[#This Row],[ID Item Vendido]],Agregado[ID],Agregado[Revenda])</f>
        <v>52</v>
      </c>
      <c r="I252" s="3">
        <f>Vendas[[#This Row],[Valor Unitário]]*Vendas[[#This Row],[Qnt Vendida]]</f>
        <v>1456</v>
      </c>
      <c r="J252" s="3">
        <f>Vendas[[#This Row],[Valor da Venda]]-(_xlfn.XLOOKUP(Vendas[[#This Row],[ID Item Vendido]],Agregado[ID],Agregado[Custo])*Vendas[[#This Row],[Qnt Vendida]])</f>
        <v>196</v>
      </c>
      <c r="K252" s="70">
        <f>Vendas[[#This Row],[Lucro da Venda]]/Vendas[[#This Row],[Valor da Venda]]</f>
        <v>0.13461538461538461</v>
      </c>
      <c r="L252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252"/>
    </row>
    <row r="253" spans="1:13" x14ac:dyDescent="0.3">
      <c r="A253" s="7">
        <v>400243</v>
      </c>
      <c r="B253" t="str">
        <f>_xlfn.XLOOKUP(Vendas[[#This Row],[ID Vendedor]],Vendedores[ID],Vendedores[Nome])</f>
        <v>Marcelo</v>
      </c>
      <c r="C253" s="7" t="str">
        <f>_xlfn.XLOOKUP(Vendas[[#This Row],[ID Vendedor]],Vendedores[ID],Vendedores[Setor])</f>
        <v>FM</v>
      </c>
      <c r="D253" s="7" t="s">
        <v>47</v>
      </c>
      <c r="E253" t="str">
        <f>_xlfn.XLOOKUP(Vendas[[#This Row],[ID Item Vendido]],Agregado[ID],Agregado[Produto])</f>
        <v>Fio de arame galvanizado rolo 50m</v>
      </c>
      <c r="F253" s="39">
        <v>43628</v>
      </c>
      <c r="G253" s="7">
        <v>5</v>
      </c>
      <c r="H253" s="3">
        <f>_xlfn.XLOOKUP(Vendas[[#This Row],[ID Item Vendido]],Agregado[ID],Agregado[Revenda])</f>
        <v>21.2</v>
      </c>
      <c r="I253" s="3">
        <f>Vendas[[#This Row],[Valor Unitário]]*Vendas[[#This Row],[Qnt Vendida]]</f>
        <v>106</v>
      </c>
      <c r="J253" s="3">
        <f>Vendas[[#This Row],[Valor da Venda]]-(_xlfn.XLOOKUP(Vendas[[#This Row],[ID Item Vendido]],Agregado[ID],Agregado[Custo])*Vendas[[#This Row],[Qnt Vendida]])</f>
        <v>16</v>
      </c>
      <c r="K253" s="70">
        <f>Vendas[[#This Row],[Lucro da Venda]]/Vendas[[#This Row],[Valor da Venda]]</f>
        <v>0.15094339622641509</v>
      </c>
      <c r="L253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253"/>
    </row>
    <row r="254" spans="1:13" x14ac:dyDescent="0.3">
      <c r="A254" s="7">
        <v>400241</v>
      </c>
      <c r="B254" t="str">
        <f>_xlfn.XLOOKUP(Vendas[[#This Row],[ID Vendedor]],Vendedores[ID],Vendedores[Nome])</f>
        <v>Rodrigo</v>
      </c>
      <c r="C254" s="7" t="str">
        <f>_xlfn.XLOOKUP(Vendas[[#This Row],[ID Vendedor]],Vendedores[ID],Vendedores[Setor])</f>
        <v>FM</v>
      </c>
      <c r="D254" s="7" t="s">
        <v>6</v>
      </c>
      <c r="E254" t="str">
        <f>_xlfn.XLOOKUP(Vendas[[#This Row],[ID Item Vendido]],Agregado[ID],Agregado[Produto])</f>
        <v>Parafuso comum 500un</v>
      </c>
      <c r="F254" s="39">
        <v>43629</v>
      </c>
      <c r="G254" s="7">
        <v>9</v>
      </c>
      <c r="H254" s="3">
        <f>_xlfn.XLOOKUP(Vendas[[#This Row],[ID Item Vendido]],Agregado[ID],Agregado[Revenda])</f>
        <v>24.6</v>
      </c>
      <c r="I254" s="3">
        <f>Vendas[[#This Row],[Valor Unitário]]*Vendas[[#This Row],[Qnt Vendida]]</f>
        <v>221.4</v>
      </c>
      <c r="J254" s="3">
        <f>Vendas[[#This Row],[Valor da Venda]]-(_xlfn.XLOOKUP(Vendas[[#This Row],[ID Item Vendido]],Agregado[ID],Agregado[Custo])*Vendas[[#This Row],[Qnt Vendida]])</f>
        <v>23.400000000000006</v>
      </c>
      <c r="K254" s="70">
        <f>Vendas[[#This Row],[Lucro da Venda]]/Vendas[[#This Row],[Valor da Venda]]</f>
        <v>0.10569105691056913</v>
      </c>
      <c r="L254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254"/>
    </row>
    <row r="255" spans="1:13" x14ac:dyDescent="0.3">
      <c r="A255" s="7">
        <v>400255</v>
      </c>
      <c r="B255" t="str">
        <f>_xlfn.XLOOKUP(Vendas[[#This Row],[ID Vendedor]],Vendedores[ID],Vendedores[Nome])</f>
        <v>Carlos</v>
      </c>
      <c r="C255" s="7" t="str">
        <f>_xlfn.XLOOKUP(Vendas[[#This Row],[ID Vendedor]],Vendedores[ID],Vendedores[Setor])</f>
        <v>SC</v>
      </c>
      <c r="D255" s="7" t="s">
        <v>48</v>
      </c>
      <c r="E255" t="str">
        <f>_xlfn.XLOOKUP(Vendas[[#This Row],[ID Item Vendido]],Agregado[ID],Agregado[Produto])</f>
        <v>Tambor metálico 200L</v>
      </c>
      <c r="F255" s="39">
        <v>43630</v>
      </c>
      <c r="G255" s="7">
        <v>7</v>
      </c>
      <c r="H255" s="3">
        <f>_xlfn.XLOOKUP(Vendas[[#This Row],[ID Item Vendido]],Agregado[ID],Agregado[Revenda])</f>
        <v>144</v>
      </c>
      <c r="I255" s="3">
        <f>Vendas[[#This Row],[Valor Unitário]]*Vendas[[#This Row],[Qnt Vendida]]</f>
        <v>1008</v>
      </c>
      <c r="J255" s="3">
        <f>Vendas[[#This Row],[Valor da Venda]]-(_xlfn.XLOOKUP(Vendas[[#This Row],[ID Item Vendido]],Agregado[ID],Agregado[Custo])*Vendas[[#This Row],[Qnt Vendida]])</f>
        <v>168</v>
      </c>
      <c r="K255" s="70">
        <f>Vendas[[#This Row],[Lucro da Venda]]/Vendas[[#This Row],[Valor da Venda]]</f>
        <v>0.16666666666666666</v>
      </c>
      <c r="L255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255"/>
    </row>
    <row r="256" spans="1:13" x14ac:dyDescent="0.3">
      <c r="A256" s="7">
        <v>400243</v>
      </c>
      <c r="B256" t="str">
        <f>_xlfn.XLOOKUP(Vendas[[#This Row],[ID Vendedor]],Vendedores[ID],Vendedores[Nome])</f>
        <v>Marcelo</v>
      </c>
      <c r="C256" s="7" t="str">
        <f>_xlfn.XLOOKUP(Vendas[[#This Row],[ID Vendedor]],Vendedores[ID],Vendedores[Setor])</f>
        <v>FM</v>
      </c>
      <c r="D256" s="7" t="s">
        <v>47</v>
      </c>
      <c r="E256" t="str">
        <f>_xlfn.XLOOKUP(Vendas[[#This Row],[ID Item Vendido]],Agregado[ID],Agregado[Produto])</f>
        <v>Fio de arame galvanizado rolo 50m</v>
      </c>
      <c r="F256" s="39">
        <v>43630</v>
      </c>
      <c r="G256" s="7">
        <v>15</v>
      </c>
      <c r="H256" s="3">
        <f>_xlfn.XLOOKUP(Vendas[[#This Row],[ID Item Vendido]],Agregado[ID],Agregado[Revenda])</f>
        <v>21.2</v>
      </c>
      <c r="I256" s="3">
        <f>Vendas[[#This Row],[Valor Unitário]]*Vendas[[#This Row],[Qnt Vendida]]</f>
        <v>318</v>
      </c>
      <c r="J256" s="3">
        <f>Vendas[[#This Row],[Valor da Venda]]-(_xlfn.XLOOKUP(Vendas[[#This Row],[ID Item Vendido]],Agregado[ID],Agregado[Custo])*Vendas[[#This Row],[Qnt Vendida]])</f>
        <v>48</v>
      </c>
      <c r="K256" s="70">
        <f>Vendas[[#This Row],[Lucro da Venda]]/Vendas[[#This Row],[Valor da Venda]]</f>
        <v>0.15094339622641509</v>
      </c>
      <c r="L256" s="3">
        <f>_xlfn.IFS(Vendas[[#This Row],[Margem de Lucro (%)]]&lt;15%,Vendas[[#This Row],[Valor da Venda]]*3%,Vendas[[#This Row],[Margem de Lucro (%)]]&lt;=20%,Vendas[[#This Row],[Valor da Venda]]*4.5%,TRUE,Vendas[[#This Row],[Valor da Venda]]*6%)</f>
        <v>14.309999999999999</v>
      </c>
      <c r="M256"/>
    </row>
    <row r="257" spans="1:13" x14ac:dyDescent="0.3">
      <c r="A257" s="7">
        <v>400255</v>
      </c>
      <c r="B257" t="str">
        <f>_xlfn.XLOOKUP(Vendas[[#This Row],[ID Vendedor]],Vendedores[ID],Vendedores[Nome])</f>
        <v>Carlos</v>
      </c>
      <c r="C257" s="7" t="str">
        <f>_xlfn.XLOOKUP(Vendas[[#This Row],[ID Vendedor]],Vendedores[ID],Vendedores[Setor])</f>
        <v>SC</v>
      </c>
      <c r="D257" s="7" t="s">
        <v>14</v>
      </c>
      <c r="E257" t="str">
        <f>_xlfn.XLOOKUP(Vendas[[#This Row],[ID Item Vendido]],Agregado[ID],Agregado[Produto])</f>
        <v>Barril de plástico 200L</v>
      </c>
      <c r="F257" s="39">
        <v>43632</v>
      </c>
      <c r="G257" s="7">
        <v>13</v>
      </c>
      <c r="H257" s="3">
        <f>_xlfn.XLOOKUP(Vendas[[#This Row],[ID Item Vendido]],Agregado[ID],Agregado[Revenda])</f>
        <v>114</v>
      </c>
      <c r="I257" s="3">
        <f>Vendas[[#This Row],[Valor Unitário]]*Vendas[[#This Row],[Qnt Vendida]]</f>
        <v>1482</v>
      </c>
      <c r="J257" s="3">
        <f>Vendas[[#This Row],[Valor da Venda]]-(_xlfn.XLOOKUP(Vendas[[#This Row],[ID Item Vendido]],Agregado[ID],Agregado[Custo])*Vendas[[#This Row],[Qnt Vendida]])</f>
        <v>247</v>
      </c>
      <c r="K257" s="70">
        <f>Vendas[[#This Row],[Lucro da Venda]]/Vendas[[#This Row],[Valor da Venda]]</f>
        <v>0.16666666666666666</v>
      </c>
      <c r="L257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57"/>
    </row>
    <row r="258" spans="1:13" x14ac:dyDescent="0.3">
      <c r="A258" s="7">
        <v>400255</v>
      </c>
      <c r="B258" t="str">
        <f>_xlfn.XLOOKUP(Vendas[[#This Row],[ID Vendedor]],Vendedores[ID],Vendedores[Nome])</f>
        <v>Carlos</v>
      </c>
      <c r="C258" s="7" t="str">
        <f>_xlfn.XLOOKUP(Vendas[[#This Row],[ID Vendedor]],Vendedores[ID],Vendedores[Setor])</f>
        <v>SC</v>
      </c>
      <c r="D258" s="7" t="s">
        <v>14</v>
      </c>
      <c r="E258" t="str">
        <f>_xlfn.XLOOKUP(Vendas[[#This Row],[ID Item Vendido]],Agregado[ID],Agregado[Produto])</f>
        <v>Barril de plástico 200L</v>
      </c>
      <c r="F258" s="39">
        <v>43637</v>
      </c>
      <c r="G258" s="7">
        <v>16</v>
      </c>
      <c r="H258" s="3">
        <f>_xlfn.XLOOKUP(Vendas[[#This Row],[ID Item Vendido]],Agregado[ID],Agregado[Revenda])</f>
        <v>114</v>
      </c>
      <c r="I258" s="3">
        <f>Vendas[[#This Row],[Valor Unitário]]*Vendas[[#This Row],[Qnt Vendida]]</f>
        <v>1824</v>
      </c>
      <c r="J258" s="3">
        <f>Vendas[[#This Row],[Valor da Venda]]-(_xlfn.XLOOKUP(Vendas[[#This Row],[ID Item Vendido]],Agregado[ID],Agregado[Custo])*Vendas[[#This Row],[Qnt Vendida]])</f>
        <v>304</v>
      </c>
      <c r="K258" s="70">
        <f>Vendas[[#This Row],[Lucro da Venda]]/Vendas[[#This Row],[Valor da Venda]]</f>
        <v>0.16666666666666666</v>
      </c>
      <c r="L258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258"/>
    </row>
    <row r="259" spans="1:13" x14ac:dyDescent="0.3">
      <c r="A259" s="7">
        <v>400255</v>
      </c>
      <c r="B259" t="str">
        <f>_xlfn.XLOOKUP(Vendas[[#This Row],[ID Vendedor]],Vendedores[ID],Vendedores[Nome])</f>
        <v>Carlos</v>
      </c>
      <c r="C259" s="7" t="str">
        <f>_xlfn.XLOOKUP(Vendas[[#This Row],[ID Vendedor]],Vendedores[ID],Vendedores[Setor])</f>
        <v>SC</v>
      </c>
      <c r="D259" s="7" t="s">
        <v>14</v>
      </c>
      <c r="E259" t="str">
        <f>_xlfn.XLOOKUP(Vendas[[#This Row],[ID Item Vendido]],Agregado[ID],Agregado[Produto])</f>
        <v>Barril de plástico 200L</v>
      </c>
      <c r="F259" s="39">
        <v>43637</v>
      </c>
      <c r="G259" s="7">
        <v>11</v>
      </c>
      <c r="H259" s="3">
        <f>_xlfn.XLOOKUP(Vendas[[#This Row],[ID Item Vendido]],Agregado[ID],Agregado[Revenda])</f>
        <v>114</v>
      </c>
      <c r="I259" s="3">
        <f>Vendas[[#This Row],[Valor Unitário]]*Vendas[[#This Row],[Qnt Vendida]]</f>
        <v>1254</v>
      </c>
      <c r="J259" s="3">
        <f>Vendas[[#This Row],[Valor da Venda]]-(_xlfn.XLOOKUP(Vendas[[#This Row],[ID Item Vendido]],Agregado[ID],Agregado[Custo])*Vendas[[#This Row],[Qnt Vendida]])</f>
        <v>209</v>
      </c>
      <c r="K259" s="70">
        <f>Vendas[[#This Row],[Lucro da Venda]]/Vendas[[#This Row],[Valor da Venda]]</f>
        <v>0.16666666666666666</v>
      </c>
      <c r="L25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59"/>
    </row>
    <row r="260" spans="1:13" x14ac:dyDescent="0.3">
      <c r="A260" s="7">
        <v>400255</v>
      </c>
      <c r="B260" t="str">
        <f>_xlfn.XLOOKUP(Vendas[[#This Row],[ID Vendedor]],Vendedores[ID],Vendedores[Nome])</f>
        <v>Carlos</v>
      </c>
      <c r="C260" s="7" t="str">
        <f>_xlfn.XLOOKUP(Vendas[[#This Row],[ID Vendedor]],Vendedores[ID],Vendedores[Setor])</f>
        <v>SC</v>
      </c>
      <c r="D260" s="7" t="s">
        <v>14</v>
      </c>
      <c r="E260" t="str">
        <f>_xlfn.XLOOKUP(Vendas[[#This Row],[ID Item Vendido]],Agregado[ID],Agregado[Produto])</f>
        <v>Barril de plástico 200L</v>
      </c>
      <c r="F260" s="39">
        <v>43642</v>
      </c>
      <c r="G260" s="7">
        <v>13</v>
      </c>
      <c r="H260" s="3">
        <f>_xlfn.XLOOKUP(Vendas[[#This Row],[ID Item Vendido]],Agregado[ID],Agregado[Revenda])</f>
        <v>114</v>
      </c>
      <c r="I260" s="3">
        <f>Vendas[[#This Row],[Valor Unitário]]*Vendas[[#This Row],[Qnt Vendida]]</f>
        <v>1482</v>
      </c>
      <c r="J260" s="3">
        <f>Vendas[[#This Row],[Valor da Venda]]-(_xlfn.XLOOKUP(Vendas[[#This Row],[ID Item Vendido]],Agregado[ID],Agregado[Custo])*Vendas[[#This Row],[Qnt Vendida]])</f>
        <v>247</v>
      </c>
      <c r="K260" s="70">
        <f>Vendas[[#This Row],[Lucro da Venda]]/Vendas[[#This Row],[Valor da Venda]]</f>
        <v>0.16666666666666666</v>
      </c>
      <c r="L260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60"/>
    </row>
    <row r="261" spans="1:13" x14ac:dyDescent="0.3">
      <c r="A261" s="7">
        <v>400243</v>
      </c>
      <c r="B261" t="str">
        <f>_xlfn.XLOOKUP(Vendas[[#This Row],[ID Vendedor]],Vendedores[ID],Vendedores[Nome])</f>
        <v>Marcelo</v>
      </c>
      <c r="C261" s="7" t="str">
        <f>_xlfn.XLOOKUP(Vendas[[#This Row],[ID Vendedor]],Vendedores[ID],Vendedores[Setor])</f>
        <v>FM</v>
      </c>
      <c r="D261" s="7" t="s">
        <v>6</v>
      </c>
      <c r="E261" t="str">
        <f>_xlfn.XLOOKUP(Vendas[[#This Row],[ID Item Vendido]],Agregado[ID],Agregado[Produto])</f>
        <v>Parafuso comum 500un</v>
      </c>
      <c r="F261" s="39">
        <v>43649</v>
      </c>
      <c r="G261" s="7">
        <v>21</v>
      </c>
      <c r="H261" s="3">
        <f>_xlfn.XLOOKUP(Vendas[[#This Row],[ID Item Vendido]],Agregado[ID],Agregado[Revenda])</f>
        <v>24.6</v>
      </c>
      <c r="I261" s="3">
        <f>Vendas[[#This Row],[Valor Unitário]]*Vendas[[#This Row],[Qnt Vendida]]</f>
        <v>516.6</v>
      </c>
      <c r="J261" s="3">
        <f>Vendas[[#This Row],[Valor da Venda]]-(_xlfn.XLOOKUP(Vendas[[#This Row],[ID Item Vendido]],Agregado[ID],Agregado[Custo])*Vendas[[#This Row],[Qnt Vendida]])</f>
        <v>54.600000000000023</v>
      </c>
      <c r="K261" s="70">
        <f>Vendas[[#This Row],[Lucro da Venda]]/Vendas[[#This Row],[Valor da Venda]]</f>
        <v>0.10569105691056914</v>
      </c>
      <c r="L261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261"/>
    </row>
    <row r="262" spans="1:13" x14ac:dyDescent="0.3">
      <c r="A262" s="7">
        <v>400255</v>
      </c>
      <c r="B262" t="str">
        <f>_xlfn.XLOOKUP(Vendas[[#This Row],[ID Vendedor]],Vendedores[ID],Vendedores[Nome])</f>
        <v>Carlos</v>
      </c>
      <c r="C262" s="7" t="str">
        <f>_xlfn.XLOOKUP(Vendas[[#This Row],[ID Vendedor]],Vendedores[ID],Vendedores[Setor])</f>
        <v>SC</v>
      </c>
      <c r="D262" s="7" t="s">
        <v>48</v>
      </c>
      <c r="E262" t="str">
        <f>_xlfn.XLOOKUP(Vendas[[#This Row],[ID Item Vendido]],Agregado[ID],Agregado[Produto])</f>
        <v>Tambor metálico 200L</v>
      </c>
      <c r="F262" s="39">
        <v>43650</v>
      </c>
      <c r="G262" s="7">
        <v>15</v>
      </c>
      <c r="H262" s="3">
        <f>_xlfn.XLOOKUP(Vendas[[#This Row],[ID Item Vendido]],Agregado[ID],Agregado[Revenda])</f>
        <v>144</v>
      </c>
      <c r="I262" s="3">
        <f>Vendas[[#This Row],[Valor Unitário]]*Vendas[[#This Row],[Qnt Vendida]]</f>
        <v>2160</v>
      </c>
      <c r="J262" s="3">
        <f>Vendas[[#This Row],[Valor da Venda]]-(_xlfn.XLOOKUP(Vendas[[#This Row],[ID Item Vendido]],Agregado[ID],Agregado[Custo])*Vendas[[#This Row],[Qnt Vendida]])</f>
        <v>360</v>
      </c>
      <c r="K262" s="70">
        <f>Vendas[[#This Row],[Lucro da Venda]]/Vendas[[#This Row],[Valor da Venda]]</f>
        <v>0.16666666666666666</v>
      </c>
      <c r="L262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262"/>
    </row>
    <row r="263" spans="1:13" x14ac:dyDescent="0.3">
      <c r="A263" s="7">
        <v>400249</v>
      </c>
      <c r="B263" t="str">
        <f>_xlfn.XLOOKUP(Vendas[[#This Row],[ID Vendedor]],Vendedores[ID],Vendedores[Nome])</f>
        <v>Bruno</v>
      </c>
      <c r="C263" s="7" t="str">
        <f>_xlfn.XLOOKUP(Vendas[[#This Row],[ID Vendedor]],Vendedores[ID],Vendedores[Setor])</f>
        <v>CM</v>
      </c>
      <c r="D263" s="7" t="s">
        <v>32</v>
      </c>
      <c r="E263" t="str">
        <f>_xlfn.XLOOKUP(Vendas[[#This Row],[ID Item Vendido]],Agregado[ID],Agregado[Produto])</f>
        <v>Tábua tratada e cortada 3m</v>
      </c>
      <c r="F263" s="39">
        <v>43650</v>
      </c>
      <c r="G263" s="7">
        <v>45</v>
      </c>
      <c r="H263" s="3">
        <f>_xlfn.XLOOKUP(Vendas[[#This Row],[ID Item Vendido]],Agregado[ID],Agregado[Revenda])</f>
        <v>39</v>
      </c>
      <c r="I263" s="3">
        <f>Vendas[[#This Row],[Valor Unitário]]*Vendas[[#This Row],[Qnt Vendida]]</f>
        <v>1755</v>
      </c>
      <c r="J263" s="3">
        <f>Vendas[[#This Row],[Valor da Venda]]-(_xlfn.XLOOKUP(Vendas[[#This Row],[ID Item Vendido]],Agregado[ID],Agregado[Custo])*Vendas[[#This Row],[Qnt Vendida]])</f>
        <v>315</v>
      </c>
      <c r="K263" s="70">
        <f>Vendas[[#This Row],[Lucro da Venda]]/Vendas[[#This Row],[Valor da Venda]]</f>
        <v>0.17948717948717949</v>
      </c>
      <c r="L263" s="3">
        <f>_xlfn.IFS(Vendas[[#This Row],[Margem de Lucro (%)]]&lt;15%,Vendas[[#This Row],[Valor da Venda]]*3%,Vendas[[#This Row],[Margem de Lucro (%)]]&lt;=20%,Vendas[[#This Row],[Valor da Venda]]*4.5%,TRUE,Vendas[[#This Row],[Valor da Venda]]*6%)</f>
        <v>78.974999999999994</v>
      </c>
      <c r="M263"/>
    </row>
    <row r="264" spans="1:13" x14ac:dyDescent="0.3">
      <c r="A264" s="7">
        <v>400241</v>
      </c>
      <c r="B264" t="str">
        <f>_xlfn.XLOOKUP(Vendas[[#This Row],[ID Vendedor]],Vendedores[ID],Vendedores[Nome])</f>
        <v>Rodrigo</v>
      </c>
      <c r="C264" s="7" t="str">
        <f>_xlfn.XLOOKUP(Vendas[[#This Row],[ID Vendedor]],Vendedores[ID],Vendedores[Setor])</f>
        <v>FM</v>
      </c>
      <c r="D264" s="7" t="s">
        <v>27</v>
      </c>
      <c r="E264" t="str">
        <f>_xlfn.XLOOKUP(Vendas[[#This Row],[ID Item Vendido]],Agregado[ID],Agregado[Produto])</f>
        <v>Chapa de metal lisa 1x2m</v>
      </c>
      <c r="F264" s="39">
        <v>43650</v>
      </c>
      <c r="G264" s="7">
        <v>27</v>
      </c>
      <c r="H264" s="3">
        <f>_xlfn.XLOOKUP(Vendas[[#This Row],[ID Item Vendido]],Agregado[ID],Agregado[Revenda])</f>
        <v>52</v>
      </c>
      <c r="I264" s="3">
        <f>Vendas[[#This Row],[Valor Unitário]]*Vendas[[#This Row],[Qnt Vendida]]</f>
        <v>1404</v>
      </c>
      <c r="J264" s="3">
        <f>Vendas[[#This Row],[Valor da Venda]]-(_xlfn.XLOOKUP(Vendas[[#This Row],[ID Item Vendido]],Agregado[ID],Agregado[Custo])*Vendas[[#This Row],[Qnt Vendida]])</f>
        <v>189</v>
      </c>
      <c r="K264" s="70">
        <f>Vendas[[#This Row],[Lucro da Venda]]/Vendas[[#This Row],[Valor da Venda]]</f>
        <v>0.13461538461538461</v>
      </c>
      <c r="L264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264"/>
    </row>
    <row r="265" spans="1:13" x14ac:dyDescent="0.3">
      <c r="A265" s="7">
        <v>400241</v>
      </c>
      <c r="B265" t="str">
        <f>_xlfn.XLOOKUP(Vendas[[#This Row],[ID Vendedor]],Vendedores[ID],Vendedores[Nome])</f>
        <v>Rodrigo</v>
      </c>
      <c r="C265" s="7" t="str">
        <f>_xlfn.XLOOKUP(Vendas[[#This Row],[ID Vendedor]],Vendedores[ID],Vendedores[Setor])</f>
        <v>FM</v>
      </c>
      <c r="D265" s="7" t="s">
        <v>27</v>
      </c>
      <c r="E265" t="str">
        <f>_xlfn.XLOOKUP(Vendas[[#This Row],[ID Item Vendido]],Agregado[ID],Agregado[Produto])</f>
        <v>Chapa de metal lisa 1x2m</v>
      </c>
      <c r="F265" s="39">
        <v>43650</v>
      </c>
      <c r="G265" s="7">
        <v>17</v>
      </c>
      <c r="H265" s="3">
        <f>_xlfn.XLOOKUP(Vendas[[#This Row],[ID Item Vendido]],Agregado[ID],Agregado[Revenda])</f>
        <v>52</v>
      </c>
      <c r="I265" s="3">
        <f>Vendas[[#This Row],[Valor Unitário]]*Vendas[[#This Row],[Qnt Vendida]]</f>
        <v>884</v>
      </c>
      <c r="J265" s="3">
        <f>Vendas[[#This Row],[Valor da Venda]]-(_xlfn.XLOOKUP(Vendas[[#This Row],[ID Item Vendido]],Agregado[ID],Agregado[Custo])*Vendas[[#This Row],[Qnt Vendida]])</f>
        <v>119</v>
      </c>
      <c r="K265" s="70">
        <f>Vendas[[#This Row],[Lucro da Venda]]/Vendas[[#This Row],[Valor da Venda]]</f>
        <v>0.13461538461538461</v>
      </c>
      <c r="L265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265"/>
    </row>
    <row r="266" spans="1:13" x14ac:dyDescent="0.3">
      <c r="A266" s="7">
        <v>400245</v>
      </c>
      <c r="B266" t="str">
        <f>_xlfn.XLOOKUP(Vendas[[#This Row],[ID Vendedor]],Vendedores[ID],Vendedores[Nome])</f>
        <v>Thiago</v>
      </c>
      <c r="C266" s="7" t="str">
        <f>_xlfn.XLOOKUP(Vendas[[#This Row],[ID Vendedor]],Vendedores[ID],Vendedores[Setor])</f>
        <v>AHD</v>
      </c>
      <c r="D266" s="7" t="s">
        <v>18</v>
      </c>
      <c r="E266" t="str">
        <f>_xlfn.XLOOKUP(Vendas[[#This Row],[ID Item Vendido]],Agregado[ID],Agregado[Produto])</f>
        <v>Peça forjada sob encomenda</v>
      </c>
      <c r="F266" s="39">
        <v>43652</v>
      </c>
      <c r="G266" s="7">
        <v>2</v>
      </c>
      <c r="H266" s="3">
        <f>_xlfn.XLOOKUP(Vendas[[#This Row],[ID Item Vendido]],Agregado[ID],Agregado[Revenda])</f>
        <v>264.60000000000002</v>
      </c>
      <c r="I266" s="3">
        <f>Vendas[[#This Row],[Valor Unitário]]*Vendas[[#This Row],[Qnt Vendida]]</f>
        <v>529.20000000000005</v>
      </c>
      <c r="J266" s="3">
        <f>Vendas[[#This Row],[Valor da Venda]]-(_xlfn.XLOOKUP(Vendas[[#This Row],[ID Item Vendido]],Agregado[ID],Agregado[Custo])*Vendas[[#This Row],[Qnt Vendida]])</f>
        <v>29.200000000000045</v>
      </c>
      <c r="K266" s="70">
        <f>Vendas[[#This Row],[Lucro da Venda]]/Vendas[[#This Row],[Valor da Venda]]</f>
        <v>5.5177626606198113E-2</v>
      </c>
      <c r="L266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66"/>
    </row>
    <row r="267" spans="1:13" x14ac:dyDescent="0.3">
      <c r="A267" s="7">
        <v>400255</v>
      </c>
      <c r="B267" t="str">
        <f>_xlfn.XLOOKUP(Vendas[[#This Row],[ID Vendedor]],Vendedores[ID],Vendedores[Nome])</f>
        <v>Carlos</v>
      </c>
      <c r="C267" s="7" t="str">
        <f>_xlfn.XLOOKUP(Vendas[[#This Row],[ID Vendedor]],Vendedores[ID],Vendedores[Setor])</f>
        <v>SC</v>
      </c>
      <c r="D267" s="7" t="s">
        <v>14</v>
      </c>
      <c r="E267" t="str">
        <f>_xlfn.XLOOKUP(Vendas[[#This Row],[ID Item Vendido]],Agregado[ID],Agregado[Produto])</f>
        <v>Barril de plástico 200L</v>
      </c>
      <c r="F267" s="39">
        <v>43655</v>
      </c>
      <c r="G267" s="7">
        <v>14</v>
      </c>
      <c r="H267" s="3">
        <f>_xlfn.XLOOKUP(Vendas[[#This Row],[ID Item Vendido]],Agregado[ID],Agregado[Revenda])</f>
        <v>114</v>
      </c>
      <c r="I267" s="3">
        <f>Vendas[[#This Row],[Valor Unitário]]*Vendas[[#This Row],[Qnt Vendida]]</f>
        <v>1596</v>
      </c>
      <c r="J267" s="3">
        <f>Vendas[[#This Row],[Valor da Venda]]-(_xlfn.XLOOKUP(Vendas[[#This Row],[ID Item Vendido]],Agregado[ID],Agregado[Custo])*Vendas[[#This Row],[Qnt Vendida]])</f>
        <v>266</v>
      </c>
      <c r="K267" s="70">
        <f>Vendas[[#This Row],[Lucro da Venda]]/Vendas[[#This Row],[Valor da Venda]]</f>
        <v>0.16666666666666666</v>
      </c>
      <c r="L267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67"/>
    </row>
    <row r="268" spans="1:13" x14ac:dyDescent="0.3">
      <c r="A268" s="7">
        <v>400241</v>
      </c>
      <c r="B268" t="str">
        <f>_xlfn.XLOOKUP(Vendas[[#This Row],[ID Vendedor]],Vendedores[ID],Vendedores[Nome])</f>
        <v>Rodrigo</v>
      </c>
      <c r="C268" s="7" t="str">
        <f>_xlfn.XLOOKUP(Vendas[[#This Row],[ID Vendedor]],Vendedores[ID],Vendedores[Setor])</f>
        <v>FM</v>
      </c>
      <c r="D268" s="7" t="s">
        <v>47</v>
      </c>
      <c r="E268" t="str">
        <f>_xlfn.XLOOKUP(Vendas[[#This Row],[ID Item Vendido]],Agregado[ID],Agregado[Produto])</f>
        <v>Fio de arame galvanizado rolo 50m</v>
      </c>
      <c r="F268" s="39">
        <v>43657</v>
      </c>
      <c r="G268" s="7">
        <v>40</v>
      </c>
      <c r="H268" s="3">
        <f>_xlfn.XLOOKUP(Vendas[[#This Row],[ID Item Vendido]],Agregado[ID],Agregado[Revenda])</f>
        <v>21.2</v>
      </c>
      <c r="I268" s="3">
        <f>Vendas[[#This Row],[Valor Unitário]]*Vendas[[#This Row],[Qnt Vendida]]</f>
        <v>848</v>
      </c>
      <c r="J268" s="3">
        <f>Vendas[[#This Row],[Valor da Venda]]-(_xlfn.XLOOKUP(Vendas[[#This Row],[ID Item Vendido]],Agregado[ID],Agregado[Custo])*Vendas[[#This Row],[Qnt Vendida]])</f>
        <v>128</v>
      </c>
      <c r="K268" s="70">
        <f>Vendas[[#This Row],[Lucro da Venda]]/Vendas[[#This Row],[Valor da Venda]]</f>
        <v>0.15094339622641509</v>
      </c>
      <c r="L26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68"/>
    </row>
    <row r="269" spans="1:13" x14ac:dyDescent="0.3">
      <c r="A269" s="7">
        <v>400245</v>
      </c>
      <c r="B269" t="str">
        <f>_xlfn.XLOOKUP(Vendas[[#This Row],[ID Vendedor]],Vendedores[ID],Vendedores[Nome])</f>
        <v>Thiago</v>
      </c>
      <c r="C269" s="7" t="str">
        <f>_xlfn.XLOOKUP(Vendas[[#This Row],[ID Vendedor]],Vendedores[ID],Vendedores[Setor])</f>
        <v>AHD</v>
      </c>
      <c r="D269" s="7" t="s">
        <v>9</v>
      </c>
      <c r="E269" t="str">
        <f>_xlfn.XLOOKUP(Vendas[[#This Row],[ID Item Vendido]],Agregado[ID],Agregado[Produto])</f>
        <v>Barra de aço simples</v>
      </c>
      <c r="F269" s="39">
        <v>43657</v>
      </c>
      <c r="G269" s="7">
        <v>102</v>
      </c>
      <c r="H269" s="3">
        <f>_xlfn.XLOOKUP(Vendas[[#This Row],[ID Item Vendido]],Agregado[ID],Agregado[Revenda])</f>
        <v>6.7</v>
      </c>
      <c r="I269" s="3">
        <f>Vendas[[#This Row],[Valor Unitário]]*Vendas[[#This Row],[Qnt Vendida]]</f>
        <v>683.4</v>
      </c>
      <c r="J269" s="3">
        <f>Vendas[[#This Row],[Valor da Venda]]-(_xlfn.XLOOKUP(Vendas[[#This Row],[ID Item Vendido]],Agregado[ID],Agregado[Custo])*Vendas[[#This Row],[Qnt Vendida]])</f>
        <v>91.799999999999955</v>
      </c>
      <c r="K269" s="70">
        <f>Vendas[[#This Row],[Lucro da Venda]]/Vendas[[#This Row],[Valor da Venda]]</f>
        <v>0.13432835820895517</v>
      </c>
      <c r="L269" s="3">
        <f>_xlfn.IFS(Vendas[[#This Row],[Margem de Lucro (%)]]&lt;15%,Vendas[[#This Row],[Valor da Venda]]*3%,Vendas[[#This Row],[Margem de Lucro (%)]]&lt;=20%,Vendas[[#This Row],[Valor da Venda]]*4.5%,TRUE,Vendas[[#This Row],[Valor da Venda]]*6%)</f>
        <v>20.501999999999999</v>
      </c>
      <c r="M269"/>
    </row>
    <row r="270" spans="1:13" x14ac:dyDescent="0.3">
      <c r="A270" s="7">
        <v>400249</v>
      </c>
      <c r="B270" t="str">
        <f>_xlfn.XLOOKUP(Vendas[[#This Row],[ID Vendedor]],Vendedores[ID],Vendedores[Nome])</f>
        <v>Bruno</v>
      </c>
      <c r="C270" s="7" t="str">
        <f>_xlfn.XLOOKUP(Vendas[[#This Row],[ID Vendedor]],Vendedores[ID],Vendedores[Setor])</f>
        <v>CM</v>
      </c>
      <c r="D270" s="7" t="s">
        <v>22</v>
      </c>
      <c r="E270" t="str">
        <f>_xlfn.XLOOKUP(Vendas[[#This Row],[ID Item Vendido]],Agregado[ID],Agregado[Produto])</f>
        <v>Painel MDP 2,75x1,83m</v>
      </c>
      <c r="F270" s="39">
        <v>43658</v>
      </c>
      <c r="G270" s="7">
        <v>2</v>
      </c>
      <c r="H270" s="3">
        <f>_xlfn.XLOOKUP(Vendas[[#This Row],[ID Item Vendido]],Agregado[ID],Agregado[Revenda])</f>
        <v>119</v>
      </c>
      <c r="I270" s="3">
        <f>Vendas[[#This Row],[Valor Unitário]]*Vendas[[#This Row],[Qnt Vendida]]</f>
        <v>238</v>
      </c>
      <c r="J270" s="3">
        <f>Vendas[[#This Row],[Valor da Venda]]-(_xlfn.XLOOKUP(Vendas[[#This Row],[ID Item Vendido]],Agregado[ID],Agregado[Custo])*Vendas[[#This Row],[Qnt Vendida]])</f>
        <v>48</v>
      </c>
      <c r="K270" s="70">
        <f>Vendas[[#This Row],[Lucro da Venda]]/Vendas[[#This Row],[Valor da Venda]]</f>
        <v>0.20168067226890757</v>
      </c>
      <c r="L270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270"/>
    </row>
    <row r="271" spans="1:13" x14ac:dyDescent="0.3">
      <c r="A271" s="7">
        <v>400243</v>
      </c>
      <c r="B271" t="str">
        <f>_xlfn.XLOOKUP(Vendas[[#This Row],[ID Vendedor]],Vendedores[ID],Vendedores[Nome])</f>
        <v>Marcelo</v>
      </c>
      <c r="C271" s="7" t="str">
        <f>_xlfn.XLOOKUP(Vendas[[#This Row],[ID Vendedor]],Vendedores[ID],Vendedores[Setor])</f>
        <v>FM</v>
      </c>
      <c r="D271" s="7" t="s">
        <v>31</v>
      </c>
      <c r="E271" t="str">
        <f>_xlfn.XLOOKUP(Vendas[[#This Row],[ID Item Vendido]],Agregado[ID],Agregado[Produto])</f>
        <v>Tela de metal soldada rolo 2x25m</v>
      </c>
      <c r="F271" s="39">
        <v>43660</v>
      </c>
      <c r="G271" s="7">
        <v>16</v>
      </c>
      <c r="H271" s="3">
        <f>_xlfn.XLOOKUP(Vendas[[#This Row],[ID Item Vendido]],Agregado[ID],Agregado[Revenda])</f>
        <v>43.7</v>
      </c>
      <c r="I271" s="3">
        <f>Vendas[[#This Row],[Valor Unitário]]*Vendas[[#This Row],[Qnt Vendida]]</f>
        <v>699.2</v>
      </c>
      <c r="J271" s="3">
        <f>Vendas[[#This Row],[Valor da Venda]]-(_xlfn.XLOOKUP(Vendas[[#This Row],[ID Item Vendido]],Agregado[ID],Agregado[Custo])*Vendas[[#This Row],[Qnt Vendida]])</f>
        <v>91.200000000000045</v>
      </c>
      <c r="K271" s="70">
        <f>Vendas[[#This Row],[Lucro da Venda]]/Vendas[[#This Row],[Valor da Venda]]</f>
        <v>0.1304347826086957</v>
      </c>
      <c r="L271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271"/>
    </row>
    <row r="272" spans="1:13" x14ac:dyDescent="0.3">
      <c r="A272" s="7">
        <v>400243</v>
      </c>
      <c r="B272" t="str">
        <f>_xlfn.XLOOKUP(Vendas[[#This Row],[ID Vendedor]],Vendedores[ID],Vendedores[Nome])</f>
        <v>Marcelo</v>
      </c>
      <c r="C272" s="7" t="str">
        <f>_xlfn.XLOOKUP(Vendas[[#This Row],[ID Vendedor]],Vendedores[ID],Vendedores[Setor])</f>
        <v>FM</v>
      </c>
      <c r="D272" s="7" t="s">
        <v>20</v>
      </c>
      <c r="E272" t="str">
        <f>_xlfn.XLOOKUP(Vendas[[#This Row],[ID Item Vendido]],Agregado[ID],Agregado[Produto])</f>
        <v>Barra de aço simples</v>
      </c>
      <c r="F272" s="39">
        <v>43661</v>
      </c>
      <c r="G272" s="7">
        <v>178</v>
      </c>
      <c r="H272" s="3">
        <f>_xlfn.XLOOKUP(Vendas[[#This Row],[ID Item Vendido]],Agregado[ID],Agregado[Revenda])</f>
        <v>4.8</v>
      </c>
      <c r="I272" s="3">
        <f>Vendas[[#This Row],[Valor Unitário]]*Vendas[[#This Row],[Qnt Vendida]]</f>
        <v>854.4</v>
      </c>
      <c r="J272" s="3">
        <f>Vendas[[#This Row],[Valor da Venda]]-(_xlfn.XLOOKUP(Vendas[[#This Row],[ID Item Vendido]],Agregado[ID],Agregado[Custo])*Vendas[[#This Row],[Qnt Vendida]])</f>
        <v>106.79999999999995</v>
      </c>
      <c r="K272" s="70">
        <f>Vendas[[#This Row],[Lucro da Venda]]/Vendas[[#This Row],[Valor da Venda]]</f>
        <v>0.12499999999999994</v>
      </c>
      <c r="L272" s="3">
        <f>_xlfn.IFS(Vendas[[#This Row],[Margem de Lucro (%)]]&lt;15%,Vendas[[#This Row],[Valor da Venda]]*3%,Vendas[[#This Row],[Margem de Lucro (%)]]&lt;=20%,Vendas[[#This Row],[Valor da Venda]]*4.5%,TRUE,Vendas[[#This Row],[Valor da Venda]]*6%)</f>
        <v>25.631999999999998</v>
      </c>
      <c r="M272"/>
    </row>
    <row r="273" spans="1:13" x14ac:dyDescent="0.3">
      <c r="A273" s="7">
        <v>400255</v>
      </c>
      <c r="B273" t="str">
        <f>_xlfn.XLOOKUP(Vendas[[#This Row],[ID Vendedor]],Vendedores[ID],Vendedores[Nome])</f>
        <v>Carlos</v>
      </c>
      <c r="C273" s="7" t="str">
        <f>_xlfn.XLOOKUP(Vendas[[#This Row],[ID Vendedor]],Vendedores[ID],Vendedores[Setor])</f>
        <v>SC</v>
      </c>
      <c r="D273" s="7" t="s">
        <v>14</v>
      </c>
      <c r="E273" t="str">
        <f>_xlfn.XLOOKUP(Vendas[[#This Row],[ID Item Vendido]],Agregado[ID],Agregado[Produto])</f>
        <v>Barril de plástico 200L</v>
      </c>
      <c r="F273" s="39">
        <v>43668</v>
      </c>
      <c r="G273" s="7">
        <v>10</v>
      </c>
      <c r="H273" s="3">
        <f>_xlfn.XLOOKUP(Vendas[[#This Row],[ID Item Vendido]],Agregado[ID],Agregado[Revenda])</f>
        <v>114</v>
      </c>
      <c r="I273" s="3">
        <f>Vendas[[#This Row],[Valor Unitário]]*Vendas[[#This Row],[Qnt Vendida]]</f>
        <v>1140</v>
      </c>
      <c r="J273" s="3">
        <f>Vendas[[#This Row],[Valor da Venda]]-(_xlfn.XLOOKUP(Vendas[[#This Row],[ID Item Vendido]],Agregado[ID],Agregado[Custo])*Vendas[[#This Row],[Qnt Vendida]])</f>
        <v>190</v>
      </c>
      <c r="K273" s="70">
        <f>Vendas[[#This Row],[Lucro da Venda]]/Vendas[[#This Row],[Valor da Venda]]</f>
        <v>0.16666666666666666</v>
      </c>
      <c r="L273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273"/>
    </row>
    <row r="274" spans="1:13" x14ac:dyDescent="0.3">
      <c r="A274" s="7">
        <v>400241</v>
      </c>
      <c r="B274" t="str">
        <f>_xlfn.XLOOKUP(Vendas[[#This Row],[ID Vendedor]],Vendedores[ID],Vendedores[Nome])</f>
        <v>Rodrigo</v>
      </c>
      <c r="C274" s="7" t="str">
        <f>_xlfn.XLOOKUP(Vendas[[#This Row],[ID Vendedor]],Vendedores[ID],Vendedores[Setor])</f>
        <v>FM</v>
      </c>
      <c r="D274" s="7" t="s">
        <v>20</v>
      </c>
      <c r="E274" t="str">
        <f>_xlfn.XLOOKUP(Vendas[[#This Row],[ID Item Vendido]],Agregado[ID],Agregado[Produto])</f>
        <v>Barra de aço simples</v>
      </c>
      <c r="F274" s="39">
        <v>43668</v>
      </c>
      <c r="G274" s="7">
        <v>102</v>
      </c>
      <c r="H274" s="3">
        <f>_xlfn.XLOOKUP(Vendas[[#This Row],[ID Item Vendido]],Agregado[ID],Agregado[Revenda])</f>
        <v>4.8</v>
      </c>
      <c r="I274" s="3">
        <f>Vendas[[#This Row],[Valor Unitário]]*Vendas[[#This Row],[Qnt Vendida]]</f>
        <v>489.59999999999997</v>
      </c>
      <c r="J274" s="3">
        <f>Vendas[[#This Row],[Valor da Venda]]-(_xlfn.XLOOKUP(Vendas[[#This Row],[ID Item Vendido]],Agregado[ID],Agregado[Custo])*Vendas[[#This Row],[Qnt Vendida]])</f>
        <v>61.199999999999932</v>
      </c>
      <c r="K274" s="70">
        <f>Vendas[[#This Row],[Lucro da Venda]]/Vendas[[#This Row],[Valor da Venda]]</f>
        <v>0.12499999999999988</v>
      </c>
      <c r="L274" s="3">
        <f>_xlfn.IFS(Vendas[[#This Row],[Margem de Lucro (%)]]&lt;15%,Vendas[[#This Row],[Valor da Venda]]*3%,Vendas[[#This Row],[Margem de Lucro (%)]]&lt;=20%,Vendas[[#This Row],[Valor da Venda]]*4.5%,TRUE,Vendas[[#This Row],[Valor da Venda]]*6%)</f>
        <v>14.687999999999999</v>
      </c>
      <c r="M274"/>
    </row>
    <row r="275" spans="1:13" x14ac:dyDescent="0.3">
      <c r="A275" s="7">
        <v>400241</v>
      </c>
      <c r="B275" t="str">
        <f>_xlfn.XLOOKUP(Vendas[[#This Row],[ID Vendedor]],Vendedores[ID],Vendedores[Nome])</f>
        <v>Rodrigo</v>
      </c>
      <c r="C275" s="7" t="str">
        <f>_xlfn.XLOOKUP(Vendas[[#This Row],[ID Vendedor]],Vendedores[ID],Vendedores[Setor])</f>
        <v>FM</v>
      </c>
      <c r="D275" s="7" t="s">
        <v>47</v>
      </c>
      <c r="E275" t="str">
        <f>_xlfn.XLOOKUP(Vendas[[#This Row],[ID Item Vendido]],Agregado[ID],Agregado[Produto])</f>
        <v>Fio de arame galvanizado rolo 50m</v>
      </c>
      <c r="F275" s="39">
        <v>43669</v>
      </c>
      <c r="G275" s="7">
        <v>29</v>
      </c>
      <c r="H275" s="3">
        <f>_xlfn.XLOOKUP(Vendas[[#This Row],[ID Item Vendido]],Agregado[ID],Agregado[Revenda])</f>
        <v>21.2</v>
      </c>
      <c r="I275" s="3">
        <f>Vendas[[#This Row],[Valor Unitário]]*Vendas[[#This Row],[Qnt Vendida]]</f>
        <v>614.79999999999995</v>
      </c>
      <c r="J275" s="3">
        <f>Vendas[[#This Row],[Valor da Venda]]-(_xlfn.XLOOKUP(Vendas[[#This Row],[ID Item Vendido]],Agregado[ID],Agregado[Custo])*Vendas[[#This Row],[Qnt Vendida]])</f>
        <v>92.799999999999955</v>
      </c>
      <c r="K275" s="70">
        <f>Vendas[[#This Row],[Lucro da Venda]]/Vendas[[#This Row],[Valor da Venda]]</f>
        <v>0.15094339622641503</v>
      </c>
      <c r="L275" s="3">
        <f>_xlfn.IFS(Vendas[[#This Row],[Margem de Lucro (%)]]&lt;15%,Vendas[[#This Row],[Valor da Venda]]*3%,Vendas[[#This Row],[Margem de Lucro (%)]]&lt;=20%,Vendas[[#This Row],[Valor da Venda]]*4.5%,TRUE,Vendas[[#This Row],[Valor da Venda]]*6%)</f>
        <v>27.665999999999997</v>
      </c>
      <c r="M275"/>
    </row>
    <row r="276" spans="1:13" x14ac:dyDescent="0.3">
      <c r="A276" s="7">
        <v>400241</v>
      </c>
      <c r="B276" t="str">
        <f>_xlfn.XLOOKUP(Vendas[[#This Row],[ID Vendedor]],Vendedores[ID],Vendedores[Nome])</f>
        <v>Rodrigo</v>
      </c>
      <c r="C276" s="7" t="str">
        <f>_xlfn.XLOOKUP(Vendas[[#This Row],[ID Vendedor]],Vendedores[ID],Vendedores[Setor])</f>
        <v>FM</v>
      </c>
      <c r="D276" s="7" t="s">
        <v>6</v>
      </c>
      <c r="E276" t="str">
        <f>_xlfn.XLOOKUP(Vendas[[#This Row],[ID Item Vendido]],Agregado[ID],Agregado[Produto])</f>
        <v>Parafuso comum 500un</v>
      </c>
      <c r="F276" s="39">
        <v>43670</v>
      </c>
      <c r="G276" s="7">
        <v>23</v>
      </c>
      <c r="H276" s="3">
        <f>_xlfn.XLOOKUP(Vendas[[#This Row],[ID Item Vendido]],Agregado[ID],Agregado[Revenda])</f>
        <v>24.6</v>
      </c>
      <c r="I276" s="3">
        <f>Vendas[[#This Row],[Valor Unitário]]*Vendas[[#This Row],[Qnt Vendida]]</f>
        <v>565.80000000000007</v>
      </c>
      <c r="J276" s="3">
        <f>Vendas[[#This Row],[Valor da Venda]]-(_xlfn.XLOOKUP(Vendas[[#This Row],[ID Item Vendido]],Agregado[ID],Agregado[Custo])*Vendas[[#This Row],[Qnt Vendida]])</f>
        <v>59.800000000000068</v>
      </c>
      <c r="K276" s="70">
        <f>Vendas[[#This Row],[Lucro da Venda]]/Vendas[[#This Row],[Valor da Venda]]</f>
        <v>0.10569105691056921</v>
      </c>
      <c r="L276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276"/>
    </row>
    <row r="277" spans="1:13" x14ac:dyDescent="0.3">
      <c r="A277" s="7">
        <v>400243</v>
      </c>
      <c r="B277" t="str">
        <f>_xlfn.XLOOKUP(Vendas[[#This Row],[ID Vendedor]],Vendedores[ID],Vendedores[Nome])</f>
        <v>Marcelo</v>
      </c>
      <c r="C277" s="7" t="str">
        <f>_xlfn.XLOOKUP(Vendas[[#This Row],[ID Vendedor]],Vendedores[ID],Vendedores[Setor])</f>
        <v>FM</v>
      </c>
      <c r="D277" s="7" t="s">
        <v>6</v>
      </c>
      <c r="E277" t="str">
        <f>_xlfn.XLOOKUP(Vendas[[#This Row],[ID Item Vendido]],Agregado[ID],Agregado[Produto])</f>
        <v>Parafuso comum 500un</v>
      </c>
      <c r="F277" s="39">
        <v>43671</v>
      </c>
      <c r="G277" s="7">
        <v>6</v>
      </c>
      <c r="H277" s="3">
        <f>_xlfn.XLOOKUP(Vendas[[#This Row],[ID Item Vendido]],Agregado[ID],Agregado[Revenda])</f>
        <v>24.6</v>
      </c>
      <c r="I277" s="3">
        <f>Vendas[[#This Row],[Valor Unitário]]*Vendas[[#This Row],[Qnt Vendida]]</f>
        <v>147.60000000000002</v>
      </c>
      <c r="J277" s="3">
        <f>Vendas[[#This Row],[Valor da Venda]]-(_xlfn.XLOOKUP(Vendas[[#This Row],[ID Item Vendido]],Agregado[ID],Agregado[Custo])*Vendas[[#This Row],[Qnt Vendida]])</f>
        <v>15.600000000000023</v>
      </c>
      <c r="K277" s="70">
        <f>Vendas[[#This Row],[Lucro da Venda]]/Vendas[[#This Row],[Valor da Venda]]</f>
        <v>0.10569105691056924</v>
      </c>
      <c r="L277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277"/>
    </row>
    <row r="278" spans="1:13" x14ac:dyDescent="0.3">
      <c r="A278" s="7">
        <v>400249</v>
      </c>
      <c r="B278" t="str">
        <f>_xlfn.XLOOKUP(Vendas[[#This Row],[ID Vendedor]],Vendedores[ID],Vendedores[Nome])</f>
        <v>Bruno</v>
      </c>
      <c r="C278" s="7" t="str">
        <f>_xlfn.XLOOKUP(Vendas[[#This Row],[ID Vendedor]],Vendedores[ID],Vendedores[Setor])</f>
        <v>CM</v>
      </c>
      <c r="D278" s="7" t="s">
        <v>43</v>
      </c>
      <c r="E278" t="str">
        <f>_xlfn.XLOOKUP(Vendas[[#This Row],[ID Item Vendido]],Agregado[ID],Agregado[Produto])</f>
        <v>Madeira Bruta (Tora)</v>
      </c>
      <c r="F278" s="39">
        <v>43672</v>
      </c>
      <c r="G278" s="7">
        <v>14</v>
      </c>
      <c r="H278" s="3">
        <f>_xlfn.XLOOKUP(Vendas[[#This Row],[ID Item Vendido]],Agregado[ID],Agregado[Revenda])</f>
        <v>212</v>
      </c>
      <c r="I278" s="3">
        <f>Vendas[[#This Row],[Valor Unitário]]*Vendas[[#This Row],[Qnt Vendida]]</f>
        <v>2968</v>
      </c>
      <c r="J278" s="3">
        <f>Vendas[[#This Row],[Valor da Venda]]-(_xlfn.XLOOKUP(Vendas[[#This Row],[ID Item Vendido]],Agregado[ID],Agregado[Custo])*Vendas[[#This Row],[Qnt Vendida]])</f>
        <v>448</v>
      </c>
      <c r="K278" s="70">
        <f>Vendas[[#This Row],[Lucro da Venda]]/Vendas[[#This Row],[Valor da Venda]]</f>
        <v>0.15094339622641509</v>
      </c>
      <c r="L278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278"/>
    </row>
    <row r="279" spans="1:13" x14ac:dyDescent="0.3">
      <c r="A279" s="7">
        <v>400255</v>
      </c>
      <c r="B279" t="str">
        <f>_xlfn.XLOOKUP(Vendas[[#This Row],[ID Vendedor]],Vendedores[ID],Vendedores[Nome])</f>
        <v>Carlos</v>
      </c>
      <c r="C279" s="7" t="str">
        <f>_xlfn.XLOOKUP(Vendas[[#This Row],[ID Vendedor]],Vendedores[ID],Vendedores[Setor])</f>
        <v>SC</v>
      </c>
      <c r="D279" s="7" t="s">
        <v>48</v>
      </c>
      <c r="E279" t="str">
        <f>_xlfn.XLOOKUP(Vendas[[#This Row],[ID Item Vendido]],Agregado[ID],Agregado[Produto])</f>
        <v>Tambor metálico 200L</v>
      </c>
      <c r="F279" s="39">
        <v>43672</v>
      </c>
      <c r="G279" s="7">
        <v>12</v>
      </c>
      <c r="H279" s="3">
        <f>_xlfn.XLOOKUP(Vendas[[#This Row],[ID Item Vendido]],Agregado[ID],Agregado[Revenda])</f>
        <v>144</v>
      </c>
      <c r="I279" s="3">
        <f>Vendas[[#This Row],[Valor Unitário]]*Vendas[[#This Row],[Qnt Vendida]]</f>
        <v>1728</v>
      </c>
      <c r="J279" s="3">
        <f>Vendas[[#This Row],[Valor da Venda]]-(_xlfn.XLOOKUP(Vendas[[#This Row],[ID Item Vendido]],Agregado[ID],Agregado[Custo])*Vendas[[#This Row],[Qnt Vendida]])</f>
        <v>288</v>
      </c>
      <c r="K279" s="70">
        <f>Vendas[[#This Row],[Lucro da Venda]]/Vendas[[#This Row],[Valor da Venda]]</f>
        <v>0.16666666666666666</v>
      </c>
      <c r="L279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279"/>
    </row>
    <row r="280" spans="1:13" x14ac:dyDescent="0.3">
      <c r="A280" s="7">
        <v>400249</v>
      </c>
      <c r="B280" t="str">
        <f>_xlfn.XLOOKUP(Vendas[[#This Row],[ID Vendedor]],Vendedores[ID],Vendedores[Nome])</f>
        <v>Bruno</v>
      </c>
      <c r="C280" s="7" t="str">
        <f>_xlfn.XLOOKUP(Vendas[[#This Row],[ID Vendedor]],Vendedores[ID],Vendedores[Setor])</f>
        <v>CM</v>
      </c>
      <c r="D280" s="7" t="s">
        <v>32</v>
      </c>
      <c r="E280" t="str">
        <f>_xlfn.XLOOKUP(Vendas[[#This Row],[ID Item Vendido]],Agregado[ID],Agregado[Produto])</f>
        <v>Tábua tratada e cortada 3m</v>
      </c>
      <c r="F280" s="39">
        <v>43673</v>
      </c>
      <c r="G280" s="7">
        <v>45</v>
      </c>
      <c r="H280" s="3">
        <f>_xlfn.XLOOKUP(Vendas[[#This Row],[ID Item Vendido]],Agregado[ID],Agregado[Revenda])</f>
        <v>39</v>
      </c>
      <c r="I280" s="3">
        <f>Vendas[[#This Row],[Valor Unitário]]*Vendas[[#This Row],[Qnt Vendida]]</f>
        <v>1755</v>
      </c>
      <c r="J280" s="3">
        <f>Vendas[[#This Row],[Valor da Venda]]-(_xlfn.XLOOKUP(Vendas[[#This Row],[ID Item Vendido]],Agregado[ID],Agregado[Custo])*Vendas[[#This Row],[Qnt Vendida]])</f>
        <v>315</v>
      </c>
      <c r="K280" s="70">
        <f>Vendas[[#This Row],[Lucro da Venda]]/Vendas[[#This Row],[Valor da Venda]]</f>
        <v>0.17948717948717949</v>
      </c>
      <c r="L280" s="3">
        <f>_xlfn.IFS(Vendas[[#This Row],[Margem de Lucro (%)]]&lt;15%,Vendas[[#This Row],[Valor da Venda]]*3%,Vendas[[#This Row],[Margem de Lucro (%)]]&lt;=20%,Vendas[[#This Row],[Valor da Venda]]*4.5%,TRUE,Vendas[[#This Row],[Valor da Venda]]*6%)</f>
        <v>78.974999999999994</v>
      </c>
      <c r="M280"/>
    </row>
    <row r="281" spans="1:13" x14ac:dyDescent="0.3">
      <c r="A281" s="7">
        <v>400245</v>
      </c>
      <c r="B281" t="str">
        <f>_xlfn.XLOOKUP(Vendas[[#This Row],[ID Vendedor]],Vendedores[ID],Vendedores[Nome])</f>
        <v>Thiago</v>
      </c>
      <c r="C281" s="7" t="str">
        <f>_xlfn.XLOOKUP(Vendas[[#This Row],[ID Vendedor]],Vendedores[ID],Vendedores[Setor])</f>
        <v>AHD</v>
      </c>
      <c r="D281" s="7" t="s">
        <v>18</v>
      </c>
      <c r="E281" t="str">
        <f>_xlfn.XLOOKUP(Vendas[[#This Row],[ID Item Vendido]],Agregado[ID],Agregado[Produto])</f>
        <v>Peça forjada sob encomenda</v>
      </c>
      <c r="F281" s="39">
        <v>43673</v>
      </c>
      <c r="G281" s="7">
        <v>4</v>
      </c>
      <c r="H281" s="3">
        <f>_xlfn.XLOOKUP(Vendas[[#This Row],[ID Item Vendido]],Agregado[ID],Agregado[Revenda])</f>
        <v>264.60000000000002</v>
      </c>
      <c r="I281" s="3">
        <f>Vendas[[#This Row],[Valor Unitário]]*Vendas[[#This Row],[Qnt Vendida]]</f>
        <v>1058.4000000000001</v>
      </c>
      <c r="J281" s="3">
        <f>Vendas[[#This Row],[Valor da Venda]]-(_xlfn.XLOOKUP(Vendas[[#This Row],[ID Item Vendido]],Agregado[ID],Agregado[Custo])*Vendas[[#This Row],[Qnt Vendida]])</f>
        <v>58.400000000000091</v>
      </c>
      <c r="K281" s="70">
        <f>Vendas[[#This Row],[Lucro da Venda]]/Vendas[[#This Row],[Valor da Venda]]</f>
        <v>5.5177626606198113E-2</v>
      </c>
      <c r="L28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81"/>
    </row>
    <row r="282" spans="1:13" x14ac:dyDescent="0.3">
      <c r="A282" s="7">
        <v>400247</v>
      </c>
      <c r="B282" t="str">
        <f>_xlfn.XLOOKUP(Vendas[[#This Row],[ID Vendedor]],Vendedores[ID],Vendedores[Nome])</f>
        <v>André</v>
      </c>
      <c r="C282" s="7" t="str">
        <f>_xlfn.XLOOKUP(Vendas[[#This Row],[ID Vendedor]],Vendedores[ID],Vendedores[Setor])</f>
        <v>CM</v>
      </c>
      <c r="D282" s="7" t="s">
        <v>45</v>
      </c>
      <c r="E282" t="str">
        <f>_xlfn.XLOOKUP(Vendas[[#This Row],[ID Item Vendido]],Agregado[ID],Agregado[Produto])</f>
        <v>Viga de madeira tratada 4m</v>
      </c>
      <c r="F282" s="39">
        <v>43674</v>
      </c>
      <c r="G282" s="7">
        <v>17</v>
      </c>
      <c r="H282" s="3">
        <f>_xlfn.XLOOKUP(Vendas[[#This Row],[ID Item Vendido]],Agregado[ID],Agregado[Revenda])</f>
        <v>66</v>
      </c>
      <c r="I282" s="3">
        <f>Vendas[[#This Row],[Valor Unitário]]*Vendas[[#This Row],[Qnt Vendida]]</f>
        <v>1122</v>
      </c>
      <c r="J282" s="3">
        <f>Vendas[[#This Row],[Valor da Venda]]-(_xlfn.XLOOKUP(Vendas[[#This Row],[ID Item Vendido]],Agregado[ID],Agregado[Custo])*Vendas[[#This Row],[Qnt Vendida]])</f>
        <v>187</v>
      </c>
      <c r="K282" s="70">
        <f>Vendas[[#This Row],[Lucro da Venda]]/Vendas[[#This Row],[Valor da Venda]]</f>
        <v>0.16666666666666666</v>
      </c>
      <c r="L282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282"/>
    </row>
    <row r="283" spans="1:13" x14ac:dyDescent="0.3">
      <c r="A283" s="7">
        <v>400249</v>
      </c>
      <c r="B283" t="str">
        <f>_xlfn.XLOOKUP(Vendas[[#This Row],[ID Vendedor]],Vendedores[ID],Vendedores[Nome])</f>
        <v>Bruno</v>
      </c>
      <c r="C283" s="7" t="str">
        <f>_xlfn.XLOOKUP(Vendas[[#This Row],[ID Vendedor]],Vendedores[ID],Vendedores[Setor])</f>
        <v>CM</v>
      </c>
      <c r="D283" s="7" t="s">
        <v>32</v>
      </c>
      <c r="E283" t="str">
        <f>_xlfn.XLOOKUP(Vendas[[#This Row],[ID Item Vendido]],Agregado[ID],Agregado[Produto])</f>
        <v>Tábua tratada e cortada 3m</v>
      </c>
      <c r="F283" s="39">
        <v>43675</v>
      </c>
      <c r="G283" s="7">
        <v>30</v>
      </c>
      <c r="H283" s="3">
        <f>_xlfn.XLOOKUP(Vendas[[#This Row],[ID Item Vendido]],Agregado[ID],Agregado[Revenda])</f>
        <v>39</v>
      </c>
      <c r="I283" s="3">
        <f>Vendas[[#This Row],[Valor Unitário]]*Vendas[[#This Row],[Qnt Vendida]]</f>
        <v>1170</v>
      </c>
      <c r="J283" s="3">
        <f>Vendas[[#This Row],[Valor da Venda]]-(_xlfn.XLOOKUP(Vendas[[#This Row],[ID Item Vendido]],Agregado[ID],Agregado[Custo])*Vendas[[#This Row],[Qnt Vendida]])</f>
        <v>210</v>
      </c>
      <c r="K283" s="70">
        <f>Vendas[[#This Row],[Lucro da Venda]]/Vendas[[#This Row],[Valor da Venda]]</f>
        <v>0.17948717948717949</v>
      </c>
      <c r="L28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283"/>
    </row>
    <row r="284" spans="1:13" x14ac:dyDescent="0.3">
      <c r="A284" s="7">
        <v>400241</v>
      </c>
      <c r="B284" t="str">
        <f>_xlfn.XLOOKUP(Vendas[[#This Row],[ID Vendedor]],Vendedores[ID],Vendedores[Nome])</f>
        <v>Rodrigo</v>
      </c>
      <c r="C284" s="7" t="str">
        <f>_xlfn.XLOOKUP(Vendas[[#This Row],[ID Vendedor]],Vendedores[ID],Vendedores[Setor])</f>
        <v>FM</v>
      </c>
      <c r="D284" s="7" t="s">
        <v>20</v>
      </c>
      <c r="E284" t="str">
        <f>_xlfn.XLOOKUP(Vendas[[#This Row],[ID Item Vendido]],Agregado[ID],Agregado[Produto])</f>
        <v>Barra de aço simples</v>
      </c>
      <c r="F284" s="39">
        <v>43676</v>
      </c>
      <c r="G284" s="7">
        <v>148</v>
      </c>
      <c r="H284" s="3">
        <f>_xlfn.XLOOKUP(Vendas[[#This Row],[ID Item Vendido]],Agregado[ID],Agregado[Revenda])</f>
        <v>4.8</v>
      </c>
      <c r="I284" s="3">
        <f>Vendas[[#This Row],[Valor Unitário]]*Vendas[[#This Row],[Qnt Vendida]]</f>
        <v>710.4</v>
      </c>
      <c r="J284" s="3">
        <f>Vendas[[#This Row],[Valor da Venda]]-(_xlfn.XLOOKUP(Vendas[[#This Row],[ID Item Vendido]],Agregado[ID],Agregado[Custo])*Vendas[[#This Row],[Qnt Vendida]])</f>
        <v>88.799999999999955</v>
      </c>
      <c r="K284" s="70">
        <f>Vendas[[#This Row],[Lucro da Venda]]/Vendas[[#This Row],[Valor da Venda]]</f>
        <v>0.12499999999999994</v>
      </c>
      <c r="L284" s="3">
        <f>_xlfn.IFS(Vendas[[#This Row],[Margem de Lucro (%)]]&lt;15%,Vendas[[#This Row],[Valor da Venda]]*3%,Vendas[[#This Row],[Margem de Lucro (%)]]&lt;=20%,Vendas[[#This Row],[Valor da Venda]]*4.5%,TRUE,Vendas[[#This Row],[Valor da Venda]]*6%)</f>
        <v>21.311999999999998</v>
      </c>
      <c r="M284"/>
    </row>
    <row r="285" spans="1:13" x14ac:dyDescent="0.3">
      <c r="A285" s="7">
        <v>400255</v>
      </c>
      <c r="B285" t="str">
        <f>_xlfn.XLOOKUP(Vendas[[#This Row],[ID Vendedor]],Vendedores[ID],Vendedores[Nome])</f>
        <v>Carlos</v>
      </c>
      <c r="C285" s="7" t="str">
        <f>_xlfn.XLOOKUP(Vendas[[#This Row],[ID Vendedor]],Vendedores[ID],Vendedores[Setor])</f>
        <v>SC</v>
      </c>
      <c r="D285" s="7" t="s">
        <v>48</v>
      </c>
      <c r="E285" t="str">
        <f>_xlfn.XLOOKUP(Vendas[[#This Row],[ID Item Vendido]],Agregado[ID],Agregado[Produto])</f>
        <v>Tambor metálico 200L</v>
      </c>
      <c r="F285" s="39">
        <v>43676</v>
      </c>
      <c r="G285" s="7">
        <v>2</v>
      </c>
      <c r="H285" s="3">
        <f>_xlfn.XLOOKUP(Vendas[[#This Row],[ID Item Vendido]],Agregado[ID],Agregado[Revenda])</f>
        <v>144</v>
      </c>
      <c r="I285" s="3">
        <f>Vendas[[#This Row],[Valor Unitário]]*Vendas[[#This Row],[Qnt Vendida]]</f>
        <v>288</v>
      </c>
      <c r="J285" s="3">
        <f>Vendas[[#This Row],[Valor da Venda]]-(_xlfn.XLOOKUP(Vendas[[#This Row],[ID Item Vendido]],Agregado[ID],Agregado[Custo])*Vendas[[#This Row],[Qnt Vendida]])</f>
        <v>48</v>
      </c>
      <c r="K285" s="70">
        <f>Vendas[[#This Row],[Lucro da Venda]]/Vendas[[#This Row],[Valor da Venda]]</f>
        <v>0.16666666666666666</v>
      </c>
      <c r="L285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285"/>
    </row>
    <row r="286" spans="1:13" x14ac:dyDescent="0.3">
      <c r="A286" s="7">
        <v>400245</v>
      </c>
      <c r="B286" t="str">
        <f>_xlfn.XLOOKUP(Vendas[[#This Row],[ID Vendedor]],Vendedores[ID],Vendedores[Nome])</f>
        <v>Thiago</v>
      </c>
      <c r="C286" s="7" t="str">
        <f>_xlfn.XLOOKUP(Vendas[[#This Row],[ID Vendedor]],Vendedores[ID],Vendedores[Setor])</f>
        <v>AHD</v>
      </c>
      <c r="D286" s="7" t="s">
        <v>18</v>
      </c>
      <c r="E286" t="str">
        <f>_xlfn.XLOOKUP(Vendas[[#This Row],[ID Item Vendido]],Agregado[ID],Agregado[Produto])</f>
        <v>Peça forjada sob encomenda</v>
      </c>
      <c r="F286" s="39">
        <v>43677</v>
      </c>
      <c r="G286" s="7">
        <v>2</v>
      </c>
      <c r="H286" s="3">
        <f>_xlfn.XLOOKUP(Vendas[[#This Row],[ID Item Vendido]],Agregado[ID],Agregado[Revenda])</f>
        <v>264.60000000000002</v>
      </c>
      <c r="I286" s="3">
        <f>Vendas[[#This Row],[Valor Unitário]]*Vendas[[#This Row],[Qnt Vendida]]</f>
        <v>529.20000000000005</v>
      </c>
      <c r="J286" s="3">
        <f>Vendas[[#This Row],[Valor da Venda]]-(_xlfn.XLOOKUP(Vendas[[#This Row],[ID Item Vendido]],Agregado[ID],Agregado[Custo])*Vendas[[#This Row],[Qnt Vendida]])</f>
        <v>29.200000000000045</v>
      </c>
      <c r="K286" s="70">
        <f>Vendas[[#This Row],[Lucro da Venda]]/Vendas[[#This Row],[Valor da Venda]]</f>
        <v>5.5177626606198113E-2</v>
      </c>
      <c r="L286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86"/>
    </row>
    <row r="287" spans="1:13" x14ac:dyDescent="0.3">
      <c r="A287" s="7">
        <v>400247</v>
      </c>
      <c r="B287" t="str">
        <f>_xlfn.XLOOKUP(Vendas[[#This Row],[ID Vendedor]],Vendedores[ID],Vendedores[Nome])</f>
        <v>André</v>
      </c>
      <c r="C287" s="7" t="str">
        <f>_xlfn.XLOOKUP(Vendas[[#This Row],[ID Vendedor]],Vendedores[ID],Vendedores[Setor])</f>
        <v>CM</v>
      </c>
      <c r="D287" s="7" t="s">
        <v>22</v>
      </c>
      <c r="E287" t="str">
        <f>_xlfn.XLOOKUP(Vendas[[#This Row],[ID Item Vendido]],Agregado[ID],Agregado[Produto])</f>
        <v>Painel MDP 2,75x1,83m</v>
      </c>
      <c r="F287" s="39">
        <v>43679</v>
      </c>
      <c r="G287" s="7">
        <v>21</v>
      </c>
      <c r="H287" s="3">
        <f>_xlfn.XLOOKUP(Vendas[[#This Row],[ID Item Vendido]],Agregado[ID],Agregado[Revenda])</f>
        <v>119</v>
      </c>
      <c r="I287" s="3">
        <f>Vendas[[#This Row],[Valor Unitário]]*Vendas[[#This Row],[Qnt Vendida]]</f>
        <v>2499</v>
      </c>
      <c r="J287" s="3">
        <f>Vendas[[#This Row],[Valor da Venda]]-(_xlfn.XLOOKUP(Vendas[[#This Row],[ID Item Vendido]],Agregado[ID],Agregado[Custo])*Vendas[[#This Row],[Qnt Vendida]])</f>
        <v>504</v>
      </c>
      <c r="K287" s="70">
        <f>Vendas[[#This Row],[Lucro da Venda]]/Vendas[[#This Row],[Valor da Venda]]</f>
        <v>0.20168067226890757</v>
      </c>
      <c r="L287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287"/>
    </row>
    <row r="288" spans="1:13" x14ac:dyDescent="0.3">
      <c r="A288" s="7">
        <v>400249</v>
      </c>
      <c r="B288" t="str">
        <f>_xlfn.XLOOKUP(Vendas[[#This Row],[ID Vendedor]],Vendedores[ID],Vendedores[Nome])</f>
        <v>Bruno</v>
      </c>
      <c r="C288" s="7" t="str">
        <f>_xlfn.XLOOKUP(Vendas[[#This Row],[ID Vendedor]],Vendedores[ID],Vendedores[Setor])</f>
        <v>CM</v>
      </c>
      <c r="D288" s="7" t="s">
        <v>32</v>
      </c>
      <c r="E288" t="str">
        <f>_xlfn.XLOOKUP(Vendas[[#This Row],[ID Item Vendido]],Agregado[ID],Agregado[Produto])</f>
        <v>Tábua tratada e cortada 3m</v>
      </c>
      <c r="F288" s="39">
        <v>43679</v>
      </c>
      <c r="G288" s="7">
        <v>41</v>
      </c>
      <c r="H288" s="3">
        <f>_xlfn.XLOOKUP(Vendas[[#This Row],[ID Item Vendido]],Agregado[ID],Agregado[Revenda])</f>
        <v>39</v>
      </c>
      <c r="I288" s="3">
        <f>Vendas[[#This Row],[Valor Unitário]]*Vendas[[#This Row],[Qnt Vendida]]</f>
        <v>1599</v>
      </c>
      <c r="J288" s="3">
        <f>Vendas[[#This Row],[Valor da Venda]]-(_xlfn.XLOOKUP(Vendas[[#This Row],[ID Item Vendido]],Agregado[ID],Agregado[Custo])*Vendas[[#This Row],[Qnt Vendida]])</f>
        <v>287</v>
      </c>
      <c r="K288" s="70">
        <f>Vendas[[#This Row],[Lucro da Venda]]/Vendas[[#This Row],[Valor da Venda]]</f>
        <v>0.17948717948717949</v>
      </c>
      <c r="L288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288"/>
    </row>
    <row r="289" spans="1:13" x14ac:dyDescent="0.3">
      <c r="A289" s="7">
        <v>400255</v>
      </c>
      <c r="B289" t="str">
        <f>_xlfn.XLOOKUP(Vendas[[#This Row],[ID Vendedor]],Vendedores[ID],Vendedores[Nome])</f>
        <v>Carlos</v>
      </c>
      <c r="C289" s="7" t="str">
        <f>_xlfn.XLOOKUP(Vendas[[#This Row],[ID Vendedor]],Vendedores[ID],Vendedores[Setor])</f>
        <v>SC</v>
      </c>
      <c r="D289" s="7" t="s">
        <v>14</v>
      </c>
      <c r="E289" t="str">
        <f>_xlfn.XLOOKUP(Vendas[[#This Row],[ID Item Vendido]],Agregado[ID],Agregado[Produto])</f>
        <v>Barril de plástico 200L</v>
      </c>
      <c r="F289" s="39">
        <v>43682</v>
      </c>
      <c r="G289" s="7">
        <v>14</v>
      </c>
      <c r="H289" s="3">
        <f>_xlfn.XLOOKUP(Vendas[[#This Row],[ID Item Vendido]],Agregado[ID],Agregado[Revenda])</f>
        <v>114</v>
      </c>
      <c r="I289" s="3">
        <f>Vendas[[#This Row],[Valor Unitário]]*Vendas[[#This Row],[Qnt Vendida]]</f>
        <v>1596</v>
      </c>
      <c r="J289" s="3">
        <f>Vendas[[#This Row],[Valor da Venda]]-(_xlfn.XLOOKUP(Vendas[[#This Row],[ID Item Vendido]],Agregado[ID],Agregado[Custo])*Vendas[[#This Row],[Qnt Vendida]])</f>
        <v>266</v>
      </c>
      <c r="K289" s="70">
        <f>Vendas[[#This Row],[Lucro da Venda]]/Vendas[[#This Row],[Valor da Venda]]</f>
        <v>0.16666666666666666</v>
      </c>
      <c r="L289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89"/>
    </row>
    <row r="290" spans="1:13" x14ac:dyDescent="0.3">
      <c r="A290" s="7">
        <v>400241</v>
      </c>
      <c r="B290" t="str">
        <f>_xlfn.XLOOKUP(Vendas[[#This Row],[ID Vendedor]],Vendedores[ID],Vendedores[Nome])</f>
        <v>Rodrigo</v>
      </c>
      <c r="C290" s="7" t="str">
        <f>_xlfn.XLOOKUP(Vendas[[#This Row],[ID Vendedor]],Vendedores[ID],Vendedores[Setor])</f>
        <v>FM</v>
      </c>
      <c r="D290" s="7" t="s">
        <v>6</v>
      </c>
      <c r="E290" t="str">
        <f>_xlfn.XLOOKUP(Vendas[[#This Row],[ID Item Vendido]],Agregado[ID],Agregado[Produto])</f>
        <v>Parafuso comum 500un</v>
      </c>
      <c r="F290" s="39">
        <v>43682</v>
      </c>
      <c r="G290" s="7">
        <v>19</v>
      </c>
      <c r="H290" s="3">
        <f>_xlfn.XLOOKUP(Vendas[[#This Row],[ID Item Vendido]],Agregado[ID],Agregado[Revenda])</f>
        <v>24.6</v>
      </c>
      <c r="I290" s="3">
        <f>Vendas[[#This Row],[Valor Unitário]]*Vendas[[#This Row],[Qnt Vendida]]</f>
        <v>467.40000000000003</v>
      </c>
      <c r="J290" s="3">
        <f>Vendas[[#This Row],[Valor da Venda]]-(_xlfn.XLOOKUP(Vendas[[#This Row],[ID Item Vendido]],Agregado[ID],Agregado[Custo])*Vendas[[#This Row],[Qnt Vendida]])</f>
        <v>49.400000000000034</v>
      </c>
      <c r="K290" s="70">
        <f>Vendas[[#This Row],[Lucro da Venda]]/Vendas[[#This Row],[Valor da Venda]]</f>
        <v>0.10569105691056917</v>
      </c>
      <c r="L29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290"/>
    </row>
    <row r="291" spans="1:13" x14ac:dyDescent="0.3">
      <c r="A291" s="7">
        <v>400241</v>
      </c>
      <c r="B291" t="str">
        <f>_xlfn.XLOOKUP(Vendas[[#This Row],[ID Vendedor]],Vendedores[ID],Vendedores[Nome])</f>
        <v>Rodrigo</v>
      </c>
      <c r="C291" s="7" t="str">
        <f>_xlfn.XLOOKUP(Vendas[[#This Row],[ID Vendedor]],Vendedores[ID],Vendedores[Setor])</f>
        <v>FM</v>
      </c>
      <c r="D291" s="7" t="s">
        <v>6</v>
      </c>
      <c r="E291" t="str">
        <f>_xlfn.XLOOKUP(Vendas[[#This Row],[ID Item Vendido]],Agregado[ID],Agregado[Produto])</f>
        <v>Parafuso comum 500un</v>
      </c>
      <c r="F291" s="39">
        <v>43682</v>
      </c>
      <c r="G291" s="7">
        <v>19</v>
      </c>
      <c r="H291" s="3">
        <f>_xlfn.XLOOKUP(Vendas[[#This Row],[ID Item Vendido]],Agregado[ID],Agregado[Revenda])</f>
        <v>24.6</v>
      </c>
      <c r="I291" s="3">
        <f>Vendas[[#This Row],[Valor Unitário]]*Vendas[[#This Row],[Qnt Vendida]]</f>
        <v>467.40000000000003</v>
      </c>
      <c r="J291" s="3">
        <f>Vendas[[#This Row],[Valor da Venda]]-(_xlfn.XLOOKUP(Vendas[[#This Row],[ID Item Vendido]],Agregado[ID],Agregado[Custo])*Vendas[[#This Row],[Qnt Vendida]])</f>
        <v>49.400000000000034</v>
      </c>
      <c r="K291" s="70">
        <f>Vendas[[#This Row],[Lucro da Venda]]/Vendas[[#This Row],[Valor da Venda]]</f>
        <v>0.10569105691056917</v>
      </c>
      <c r="L291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291"/>
    </row>
    <row r="292" spans="1:13" x14ac:dyDescent="0.3">
      <c r="A292" s="7">
        <v>400241</v>
      </c>
      <c r="B292" t="str">
        <f>_xlfn.XLOOKUP(Vendas[[#This Row],[ID Vendedor]],Vendedores[ID],Vendedores[Nome])</f>
        <v>Rodrigo</v>
      </c>
      <c r="C292" s="7" t="str">
        <f>_xlfn.XLOOKUP(Vendas[[#This Row],[ID Vendedor]],Vendedores[ID],Vendedores[Setor])</f>
        <v>FM</v>
      </c>
      <c r="D292" s="7" t="s">
        <v>6</v>
      </c>
      <c r="E292" t="str">
        <f>_xlfn.XLOOKUP(Vendas[[#This Row],[ID Item Vendido]],Agregado[ID],Agregado[Produto])</f>
        <v>Parafuso comum 500un</v>
      </c>
      <c r="F292" s="39">
        <v>43682</v>
      </c>
      <c r="G292" s="7">
        <v>12</v>
      </c>
      <c r="H292" s="3">
        <f>_xlfn.XLOOKUP(Vendas[[#This Row],[ID Item Vendido]],Agregado[ID],Agregado[Revenda])</f>
        <v>24.6</v>
      </c>
      <c r="I292" s="3">
        <f>Vendas[[#This Row],[Valor Unitário]]*Vendas[[#This Row],[Qnt Vendida]]</f>
        <v>295.20000000000005</v>
      </c>
      <c r="J292" s="3">
        <f>Vendas[[#This Row],[Valor da Venda]]-(_xlfn.XLOOKUP(Vendas[[#This Row],[ID Item Vendido]],Agregado[ID],Agregado[Custo])*Vendas[[#This Row],[Qnt Vendida]])</f>
        <v>31.200000000000045</v>
      </c>
      <c r="K292" s="70">
        <f>Vendas[[#This Row],[Lucro da Venda]]/Vendas[[#This Row],[Valor da Venda]]</f>
        <v>0.10569105691056924</v>
      </c>
      <c r="L292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292"/>
    </row>
    <row r="293" spans="1:13" x14ac:dyDescent="0.3">
      <c r="A293" s="7">
        <v>400245</v>
      </c>
      <c r="B293" t="str">
        <f>_xlfn.XLOOKUP(Vendas[[#This Row],[ID Vendedor]],Vendedores[ID],Vendedores[Nome])</f>
        <v>Thiago</v>
      </c>
      <c r="C293" s="7" t="str">
        <f>_xlfn.XLOOKUP(Vendas[[#This Row],[ID Vendedor]],Vendedores[ID],Vendedores[Setor])</f>
        <v>AHD</v>
      </c>
      <c r="D293" s="7" t="s">
        <v>44</v>
      </c>
      <c r="E293" t="str">
        <f>_xlfn.XLOOKUP(Vendas[[#This Row],[ID Item Vendido]],Agregado[ID],Agregado[Produto])</f>
        <v>Liga metálica especial</v>
      </c>
      <c r="F293" s="39">
        <v>43683</v>
      </c>
      <c r="G293" s="7">
        <v>27</v>
      </c>
      <c r="H293" s="3">
        <f>_xlfn.XLOOKUP(Vendas[[#This Row],[ID Item Vendido]],Agregado[ID],Agregado[Revenda])</f>
        <v>32.5</v>
      </c>
      <c r="I293" s="3">
        <f>Vendas[[#This Row],[Valor Unitário]]*Vendas[[#This Row],[Qnt Vendida]]</f>
        <v>877.5</v>
      </c>
      <c r="J293" s="3">
        <f>Vendas[[#This Row],[Valor da Venda]]-(_xlfn.XLOOKUP(Vendas[[#This Row],[ID Item Vendido]],Agregado[ID],Agregado[Custo])*Vendas[[#This Row],[Qnt Vendida]])</f>
        <v>202.5</v>
      </c>
      <c r="K293" s="70">
        <f>Vendas[[#This Row],[Lucro da Venda]]/Vendas[[#This Row],[Valor da Venda]]</f>
        <v>0.23076923076923078</v>
      </c>
      <c r="L29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293"/>
    </row>
    <row r="294" spans="1:13" x14ac:dyDescent="0.3">
      <c r="A294" s="7">
        <v>400255</v>
      </c>
      <c r="B294" t="str">
        <f>_xlfn.XLOOKUP(Vendas[[#This Row],[ID Vendedor]],Vendedores[ID],Vendedores[Nome])</f>
        <v>Carlos</v>
      </c>
      <c r="C294" s="7" t="str">
        <f>_xlfn.XLOOKUP(Vendas[[#This Row],[ID Vendedor]],Vendedores[ID],Vendedores[Setor])</f>
        <v>SC</v>
      </c>
      <c r="D294" s="7" t="s">
        <v>42</v>
      </c>
      <c r="E294" t="str">
        <f>_xlfn.XLOOKUP(Vendas[[#This Row],[ID Item Vendido]],Agregado[ID],Agregado[Produto])</f>
        <v>Container de ferro industrial</v>
      </c>
      <c r="F294" s="39">
        <v>43685</v>
      </c>
      <c r="G294" s="7">
        <v>3</v>
      </c>
      <c r="H294" s="3">
        <f>_xlfn.XLOOKUP(Vendas[[#This Row],[ID Item Vendido]],Agregado[ID],Agregado[Revenda])</f>
        <v>830</v>
      </c>
      <c r="I294" s="3">
        <f>Vendas[[#This Row],[Valor Unitário]]*Vendas[[#This Row],[Qnt Vendida]]</f>
        <v>2490</v>
      </c>
      <c r="J294" s="3">
        <f>Vendas[[#This Row],[Valor da Venda]]-(_xlfn.XLOOKUP(Vendas[[#This Row],[ID Item Vendido]],Agregado[ID],Agregado[Custo])*Vendas[[#This Row],[Qnt Vendida]])</f>
        <v>450</v>
      </c>
      <c r="K294" s="70">
        <f>Vendas[[#This Row],[Lucro da Venda]]/Vendas[[#This Row],[Valor da Venda]]</f>
        <v>0.18072289156626506</v>
      </c>
      <c r="L29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94"/>
    </row>
    <row r="295" spans="1:13" x14ac:dyDescent="0.3">
      <c r="A295" s="7">
        <v>400247</v>
      </c>
      <c r="B295" t="str">
        <f>_xlfn.XLOOKUP(Vendas[[#This Row],[ID Vendedor]],Vendedores[ID],Vendedores[Nome])</f>
        <v>André</v>
      </c>
      <c r="C295" s="7" t="str">
        <f>_xlfn.XLOOKUP(Vendas[[#This Row],[ID Vendedor]],Vendedores[ID],Vendedores[Setor])</f>
        <v>CM</v>
      </c>
      <c r="D295" s="7" t="s">
        <v>45</v>
      </c>
      <c r="E295" t="str">
        <f>_xlfn.XLOOKUP(Vendas[[#This Row],[ID Item Vendido]],Agregado[ID],Agregado[Produto])</f>
        <v>Viga de madeira tratada 4m</v>
      </c>
      <c r="F295" s="39">
        <v>43685</v>
      </c>
      <c r="G295" s="7">
        <v>19</v>
      </c>
      <c r="H295" s="3">
        <f>_xlfn.XLOOKUP(Vendas[[#This Row],[ID Item Vendido]],Agregado[ID],Agregado[Revenda])</f>
        <v>66</v>
      </c>
      <c r="I295" s="3">
        <f>Vendas[[#This Row],[Valor Unitário]]*Vendas[[#This Row],[Qnt Vendida]]</f>
        <v>1254</v>
      </c>
      <c r="J295" s="3">
        <f>Vendas[[#This Row],[Valor da Venda]]-(_xlfn.XLOOKUP(Vendas[[#This Row],[ID Item Vendido]],Agregado[ID],Agregado[Custo])*Vendas[[#This Row],[Qnt Vendida]])</f>
        <v>209</v>
      </c>
      <c r="K295" s="70">
        <f>Vendas[[#This Row],[Lucro da Venda]]/Vendas[[#This Row],[Valor da Venda]]</f>
        <v>0.16666666666666666</v>
      </c>
      <c r="L29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95"/>
    </row>
    <row r="296" spans="1:13" x14ac:dyDescent="0.3">
      <c r="A296" s="7">
        <v>400243</v>
      </c>
      <c r="B296" t="str">
        <f>_xlfn.XLOOKUP(Vendas[[#This Row],[ID Vendedor]],Vendedores[ID],Vendedores[Nome])</f>
        <v>Marcelo</v>
      </c>
      <c r="C296" s="7" t="str">
        <f>_xlfn.XLOOKUP(Vendas[[#This Row],[ID Vendedor]],Vendedores[ID],Vendedores[Setor])</f>
        <v>FM</v>
      </c>
      <c r="D296" s="7" t="s">
        <v>6</v>
      </c>
      <c r="E296" t="str">
        <f>_xlfn.XLOOKUP(Vendas[[#This Row],[ID Item Vendido]],Agregado[ID],Agregado[Produto])</f>
        <v>Parafuso comum 500un</v>
      </c>
      <c r="F296" s="39">
        <v>43686</v>
      </c>
      <c r="G296" s="7">
        <v>16</v>
      </c>
      <c r="H296" s="3">
        <f>_xlfn.XLOOKUP(Vendas[[#This Row],[ID Item Vendido]],Agregado[ID],Agregado[Revenda])</f>
        <v>24.6</v>
      </c>
      <c r="I296" s="3">
        <f>Vendas[[#This Row],[Valor Unitário]]*Vendas[[#This Row],[Qnt Vendida]]</f>
        <v>393.6</v>
      </c>
      <c r="J296" s="3">
        <f>Vendas[[#This Row],[Valor da Venda]]-(_xlfn.XLOOKUP(Vendas[[#This Row],[ID Item Vendido]],Agregado[ID],Agregado[Custo])*Vendas[[#This Row],[Qnt Vendida]])</f>
        <v>41.600000000000023</v>
      </c>
      <c r="K296" s="70">
        <f>Vendas[[#This Row],[Lucro da Venda]]/Vendas[[#This Row],[Valor da Venda]]</f>
        <v>0.10569105691056915</v>
      </c>
      <c r="L296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296"/>
    </row>
    <row r="297" spans="1:13" x14ac:dyDescent="0.3">
      <c r="A297" s="7">
        <v>400247</v>
      </c>
      <c r="B297" t="str">
        <f>_xlfn.XLOOKUP(Vendas[[#This Row],[ID Vendedor]],Vendedores[ID],Vendedores[Nome])</f>
        <v>André</v>
      </c>
      <c r="C297" s="7" t="str">
        <f>_xlfn.XLOOKUP(Vendas[[#This Row],[ID Vendedor]],Vendedores[ID],Vendedores[Setor])</f>
        <v>CM</v>
      </c>
      <c r="D297" s="7" t="s">
        <v>32</v>
      </c>
      <c r="E297" t="str">
        <f>_xlfn.XLOOKUP(Vendas[[#This Row],[ID Item Vendido]],Agregado[ID],Agregado[Produto])</f>
        <v>Tábua tratada e cortada 3m</v>
      </c>
      <c r="F297" s="39">
        <v>43687</v>
      </c>
      <c r="G297" s="7">
        <v>35</v>
      </c>
      <c r="H297" s="3">
        <f>_xlfn.XLOOKUP(Vendas[[#This Row],[ID Item Vendido]],Agregado[ID],Agregado[Revenda])</f>
        <v>39</v>
      </c>
      <c r="I297" s="3">
        <f>Vendas[[#This Row],[Valor Unitário]]*Vendas[[#This Row],[Qnt Vendida]]</f>
        <v>1365</v>
      </c>
      <c r="J297" s="3">
        <f>Vendas[[#This Row],[Valor da Venda]]-(_xlfn.XLOOKUP(Vendas[[#This Row],[ID Item Vendido]],Agregado[ID],Agregado[Custo])*Vendas[[#This Row],[Qnt Vendida]])</f>
        <v>245</v>
      </c>
      <c r="K297" s="70">
        <f>Vendas[[#This Row],[Lucro da Venda]]/Vendas[[#This Row],[Valor da Venda]]</f>
        <v>0.17948717948717949</v>
      </c>
      <c r="L297" s="3">
        <f>_xlfn.IFS(Vendas[[#This Row],[Margem de Lucro (%)]]&lt;15%,Vendas[[#This Row],[Valor da Venda]]*3%,Vendas[[#This Row],[Margem de Lucro (%)]]&lt;=20%,Vendas[[#This Row],[Valor da Venda]]*4.5%,TRUE,Vendas[[#This Row],[Valor da Venda]]*6%)</f>
        <v>61.424999999999997</v>
      </c>
      <c r="M297"/>
    </row>
    <row r="298" spans="1:13" x14ac:dyDescent="0.3">
      <c r="A298" s="7">
        <v>400251</v>
      </c>
      <c r="B298" t="str">
        <f>_xlfn.XLOOKUP(Vendas[[#This Row],[ID Vendedor]],Vendedores[ID],Vendedores[Nome])</f>
        <v>Diego</v>
      </c>
      <c r="C298" s="7" t="str">
        <f>_xlfn.XLOOKUP(Vendas[[#This Row],[ID Vendedor]],Vendedores[ID],Vendedores[Setor])</f>
        <v>AB</v>
      </c>
      <c r="D298" s="7" t="s">
        <v>12</v>
      </c>
      <c r="E298" t="str">
        <f>_xlfn.XLOOKUP(Vendas[[#This Row],[ID Item Vendido]],Agregado[ID],Agregado[Produto])</f>
        <v>Grânulo de plástico reciclado refinado</v>
      </c>
      <c r="F298" s="39">
        <v>43687</v>
      </c>
      <c r="G298" s="7">
        <v>86</v>
      </c>
      <c r="H298" s="3">
        <f>_xlfn.XLOOKUP(Vendas[[#This Row],[ID Item Vendido]],Agregado[ID],Agregado[Revenda])</f>
        <v>4.7</v>
      </c>
      <c r="I298" s="3">
        <f>Vendas[[#This Row],[Valor Unitário]]*Vendas[[#This Row],[Qnt Vendida]]</f>
        <v>404.2</v>
      </c>
      <c r="J298" s="3">
        <f>Vendas[[#This Row],[Valor da Venda]]-(_xlfn.XLOOKUP(Vendas[[#This Row],[ID Item Vendido]],Agregado[ID],Agregado[Custo])*Vendas[[#This Row],[Qnt Vendida]])</f>
        <v>103.19999999999999</v>
      </c>
      <c r="K298" s="70">
        <f>Vendas[[#This Row],[Lucro da Venda]]/Vendas[[#This Row],[Valor da Venda]]</f>
        <v>0.25531914893617019</v>
      </c>
      <c r="L298" s="3">
        <f>_xlfn.IFS(Vendas[[#This Row],[Margem de Lucro (%)]]&lt;15%,Vendas[[#This Row],[Valor da Venda]]*3%,Vendas[[#This Row],[Margem de Lucro (%)]]&lt;=20%,Vendas[[#This Row],[Valor da Venda]]*4.5%,TRUE,Vendas[[#This Row],[Valor da Venda]]*6%)</f>
        <v>24.251999999999999</v>
      </c>
      <c r="M298"/>
    </row>
    <row r="299" spans="1:13" x14ac:dyDescent="0.3">
      <c r="A299" s="7">
        <v>400241</v>
      </c>
      <c r="B299" t="str">
        <f>_xlfn.XLOOKUP(Vendas[[#This Row],[ID Vendedor]],Vendedores[ID],Vendedores[Nome])</f>
        <v>Rodrigo</v>
      </c>
      <c r="C299" s="7" t="str">
        <f>_xlfn.XLOOKUP(Vendas[[#This Row],[ID Vendedor]],Vendedores[ID],Vendedores[Setor])</f>
        <v>FM</v>
      </c>
      <c r="D299" s="7" t="s">
        <v>6</v>
      </c>
      <c r="E299" t="str">
        <f>_xlfn.XLOOKUP(Vendas[[#This Row],[ID Item Vendido]],Agregado[ID],Agregado[Produto])</f>
        <v>Parafuso comum 500un</v>
      </c>
      <c r="F299" s="39">
        <v>43687</v>
      </c>
      <c r="G299" s="7">
        <v>16</v>
      </c>
      <c r="H299" s="3">
        <f>_xlfn.XLOOKUP(Vendas[[#This Row],[ID Item Vendido]],Agregado[ID],Agregado[Revenda])</f>
        <v>24.6</v>
      </c>
      <c r="I299" s="3">
        <f>Vendas[[#This Row],[Valor Unitário]]*Vendas[[#This Row],[Qnt Vendida]]</f>
        <v>393.6</v>
      </c>
      <c r="J299" s="3">
        <f>Vendas[[#This Row],[Valor da Venda]]-(_xlfn.XLOOKUP(Vendas[[#This Row],[ID Item Vendido]],Agregado[ID],Agregado[Custo])*Vendas[[#This Row],[Qnt Vendida]])</f>
        <v>41.600000000000023</v>
      </c>
      <c r="K299" s="70">
        <f>Vendas[[#This Row],[Lucro da Venda]]/Vendas[[#This Row],[Valor da Venda]]</f>
        <v>0.10569105691056915</v>
      </c>
      <c r="L299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299"/>
    </row>
    <row r="300" spans="1:13" x14ac:dyDescent="0.3">
      <c r="A300" s="7">
        <v>400243</v>
      </c>
      <c r="B300" t="str">
        <f>_xlfn.XLOOKUP(Vendas[[#This Row],[ID Vendedor]],Vendedores[ID],Vendedores[Nome])</f>
        <v>Marcelo</v>
      </c>
      <c r="C300" s="7" t="str">
        <f>_xlfn.XLOOKUP(Vendas[[#This Row],[ID Vendedor]],Vendedores[ID],Vendedores[Setor])</f>
        <v>FM</v>
      </c>
      <c r="D300" s="7" t="s">
        <v>31</v>
      </c>
      <c r="E300" t="str">
        <f>_xlfn.XLOOKUP(Vendas[[#This Row],[ID Item Vendido]],Agregado[ID],Agregado[Produto])</f>
        <v>Tela de metal soldada rolo 2x25m</v>
      </c>
      <c r="F300" s="39">
        <v>43688</v>
      </c>
      <c r="G300" s="7">
        <v>16</v>
      </c>
      <c r="H300" s="3">
        <f>_xlfn.XLOOKUP(Vendas[[#This Row],[ID Item Vendido]],Agregado[ID],Agregado[Revenda])</f>
        <v>43.7</v>
      </c>
      <c r="I300" s="3">
        <f>Vendas[[#This Row],[Valor Unitário]]*Vendas[[#This Row],[Qnt Vendida]]</f>
        <v>699.2</v>
      </c>
      <c r="J300" s="3">
        <f>Vendas[[#This Row],[Valor da Venda]]-(_xlfn.XLOOKUP(Vendas[[#This Row],[ID Item Vendido]],Agregado[ID],Agregado[Custo])*Vendas[[#This Row],[Qnt Vendida]])</f>
        <v>91.200000000000045</v>
      </c>
      <c r="K300" s="70">
        <f>Vendas[[#This Row],[Lucro da Venda]]/Vendas[[#This Row],[Valor da Venda]]</f>
        <v>0.1304347826086957</v>
      </c>
      <c r="L300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300"/>
    </row>
    <row r="301" spans="1:13" x14ac:dyDescent="0.3">
      <c r="A301" s="7">
        <v>400255</v>
      </c>
      <c r="B301" t="str">
        <f>_xlfn.XLOOKUP(Vendas[[#This Row],[ID Vendedor]],Vendedores[ID],Vendedores[Nome])</f>
        <v>Carlos</v>
      </c>
      <c r="C301" s="7" t="str">
        <f>_xlfn.XLOOKUP(Vendas[[#This Row],[ID Vendedor]],Vendedores[ID],Vendedores[Setor])</f>
        <v>SC</v>
      </c>
      <c r="D301" s="7" t="s">
        <v>14</v>
      </c>
      <c r="E301" t="str">
        <f>_xlfn.XLOOKUP(Vendas[[#This Row],[ID Item Vendido]],Agregado[ID],Agregado[Produto])</f>
        <v>Barril de plástico 200L</v>
      </c>
      <c r="F301" s="39">
        <v>43691</v>
      </c>
      <c r="G301" s="7">
        <v>20</v>
      </c>
      <c r="H301" s="3">
        <f>_xlfn.XLOOKUP(Vendas[[#This Row],[ID Item Vendido]],Agregado[ID],Agregado[Revenda])</f>
        <v>114</v>
      </c>
      <c r="I301" s="3">
        <f>Vendas[[#This Row],[Valor Unitário]]*Vendas[[#This Row],[Qnt Vendida]]</f>
        <v>2280</v>
      </c>
      <c r="J301" s="3">
        <f>Vendas[[#This Row],[Valor da Venda]]-(_xlfn.XLOOKUP(Vendas[[#This Row],[ID Item Vendido]],Agregado[ID],Agregado[Custo])*Vendas[[#This Row],[Qnt Vendida]])</f>
        <v>380</v>
      </c>
      <c r="K301" s="70">
        <f>Vendas[[#This Row],[Lucro da Venda]]/Vendas[[#This Row],[Valor da Venda]]</f>
        <v>0.16666666666666666</v>
      </c>
      <c r="L301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301"/>
    </row>
    <row r="302" spans="1:13" x14ac:dyDescent="0.3">
      <c r="A302" s="7">
        <v>400251</v>
      </c>
      <c r="B302" t="str">
        <f>_xlfn.XLOOKUP(Vendas[[#This Row],[ID Vendedor]],Vendedores[ID],Vendedores[Nome])</f>
        <v>Diego</v>
      </c>
      <c r="C302" s="7" t="str">
        <f>_xlfn.XLOOKUP(Vendas[[#This Row],[ID Vendedor]],Vendedores[ID],Vendedores[Setor])</f>
        <v>AB</v>
      </c>
      <c r="D302" s="7" t="s">
        <v>24</v>
      </c>
      <c r="E302" t="str">
        <f>_xlfn.XLOOKUP(Vendas[[#This Row],[ID Item Vendido]],Agregado[ID],Agregado[Produto])</f>
        <v>Resina plástica PET purificada saco de 25kg</v>
      </c>
      <c r="F302" s="39">
        <v>43692</v>
      </c>
      <c r="G302" s="7">
        <v>4</v>
      </c>
      <c r="H302" s="3">
        <f>_xlfn.XLOOKUP(Vendas[[#This Row],[ID Item Vendido]],Agregado[ID],Agregado[Revenda])</f>
        <v>119</v>
      </c>
      <c r="I302" s="3">
        <f>Vendas[[#This Row],[Valor Unitário]]*Vendas[[#This Row],[Qnt Vendida]]</f>
        <v>476</v>
      </c>
      <c r="J302" s="3">
        <f>Vendas[[#This Row],[Valor da Venda]]-(_xlfn.XLOOKUP(Vendas[[#This Row],[ID Item Vendido]],Agregado[ID],Agregado[Custo])*Vendas[[#This Row],[Qnt Vendida]])</f>
        <v>136</v>
      </c>
      <c r="K302" s="70">
        <f>Vendas[[#This Row],[Lucro da Venda]]/Vendas[[#This Row],[Valor da Venda]]</f>
        <v>0.2857142857142857</v>
      </c>
      <c r="L302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302"/>
    </row>
    <row r="303" spans="1:13" x14ac:dyDescent="0.3">
      <c r="A303" s="7">
        <v>400241</v>
      </c>
      <c r="B303" t="str">
        <f>_xlfn.XLOOKUP(Vendas[[#This Row],[ID Vendedor]],Vendedores[ID],Vendedores[Nome])</f>
        <v>Rodrigo</v>
      </c>
      <c r="C303" s="7" t="str">
        <f>_xlfn.XLOOKUP(Vendas[[#This Row],[ID Vendedor]],Vendedores[ID],Vendedores[Setor])</f>
        <v>FM</v>
      </c>
      <c r="D303" s="7" t="s">
        <v>31</v>
      </c>
      <c r="E303" t="str">
        <f>_xlfn.XLOOKUP(Vendas[[#This Row],[ID Item Vendido]],Agregado[ID],Agregado[Produto])</f>
        <v>Tela de metal soldada rolo 2x25m</v>
      </c>
      <c r="F303" s="39">
        <v>43696</v>
      </c>
      <c r="G303" s="7">
        <v>10</v>
      </c>
      <c r="H303" s="3">
        <f>_xlfn.XLOOKUP(Vendas[[#This Row],[ID Item Vendido]],Agregado[ID],Agregado[Revenda])</f>
        <v>43.7</v>
      </c>
      <c r="I303" s="3">
        <f>Vendas[[#This Row],[Valor Unitário]]*Vendas[[#This Row],[Qnt Vendida]]</f>
        <v>437</v>
      </c>
      <c r="J303" s="3">
        <f>Vendas[[#This Row],[Valor da Venda]]-(_xlfn.XLOOKUP(Vendas[[#This Row],[ID Item Vendido]],Agregado[ID],Agregado[Custo])*Vendas[[#This Row],[Qnt Vendida]])</f>
        <v>57</v>
      </c>
      <c r="K303" s="70">
        <f>Vendas[[#This Row],[Lucro da Venda]]/Vendas[[#This Row],[Valor da Venda]]</f>
        <v>0.13043478260869565</v>
      </c>
      <c r="L303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303"/>
    </row>
    <row r="304" spans="1:13" x14ac:dyDescent="0.3">
      <c r="A304" s="7">
        <v>400255</v>
      </c>
      <c r="B304" t="str">
        <f>_xlfn.XLOOKUP(Vendas[[#This Row],[ID Vendedor]],Vendedores[ID],Vendedores[Nome])</f>
        <v>Carlos</v>
      </c>
      <c r="C304" s="7" t="str">
        <f>_xlfn.XLOOKUP(Vendas[[#This Row],[ID Vendedor]],Vendedores[ID],Vendedores[Setor])</f>
        <v>SC</v>
      </c>
      <c r="D304" s="7" t="s">
        <v>14</v>
      </c>
      <c r="E304" t="str">
        <f>_xlfn.XLOOKUP(Vendas[[#This Row],[ID Item Vendido]],Agregado[ID],Agregado[Produto])</f>
        <v>Barril de plástico 200L</v>
      </c>
      <c r="F304" s="39">
        <v>43699</v>
      </c>
      <c r="G304" s="7">
        <v>7</v>
      </c>
      <c r="H304" s="3">
        <f>_xlfn.XLOOKUP(Vendas[[#This Row],[ID Item Vendido]],Agregado[ID],Agregado[Revenda])</f>
        <v>114</v>
      </c>
      <c r="I304" s="3">
        <f>Vendas[[#This Row],[Valor Unitário]]*Vendas[[#This Row],[Qnt Vendida]]</f>
        <v>798</v>
      </c>
      <c r="J304" s="3">
        <f>Vendas[[#This Row],[Valor da Venda]]-(_xlfn.XLOOKUP(Vendas[[#This Row],[ID Item Vendido]],Agregado[ID],Agregado[Custo])*Vendas[[#This Row],[Qnt Vendida]])</f>
        <v>133</v>
      </c>
      <c r="K304" s="70">
        <f>Vendas[[#This Row],[Lucro da Venda]]/Vendas[[#This Row],[Valor da Venda]]</f>
        <v>0.16666666666666666</v>
      </c>
      <c r="L304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304"/>
    </row>
    <row r="305" spans="1:13" x14ac:dyDescent="0.3">
      <c r="A305" s="7">
        <v>400247</v>
      </c>
      <c r="B305" t="str">
        <f>_xlfn.XLOOKUP(Vendas[[#This Row],[ID Vendedor]],Vendedores[ID],Vendedores[Nome])</f>
        <v>André</v>
      </c>
      <c r="C305" s="7" t="str">
        <f>_xlfn.XLOOKUP(Vendas[[#This Row],[ID Vendedor]],Vendedores[ID],Vendedores[Setor])</f>
        <v>CM</v>
      </c>
      <c r="D305" s="7" t="s">
        <v>32</v>
      </c>
      <c r="E305" t="str">
        <f>_xlfn.XLOOKUP(Vendas[[#This Row],[ID Item Vendido]],Agregado[ID],Agregado[Produto])</f>
        <v>Tábua tratada e cortada 3m</v>
      </c>
      <c r="F305" s="39">
        <v>43700</v>
      </c>
      <c r="G305" s="7">
        <v>9</v>
      </c>
      <c r="H305" s="3">
        <f>_xlfn.XLOOKUP(Vendas[[#This Row],[ID Item Vendido]],Agregado[ID],Agregado[Revenda])</f>
        <v>39</v>
      </c>
      <c r="I305" s="3">
        <f>Vendas[[#This Row],[Valor Unitário]]*Vendas[[#This Row],[Qnt Vendida]]</f>
        <v>351</v>
      </c>
      <c r="J305" s="3">
        <f>Vendas[[#This Row],[Valor da Venda]]-(_xlfn.XLOOKUP(Vendas[[#This Row],[ID Item Vendido]],Agregado[ID],Agregado[Custo])*Vendas[[#This Row],[Qnt Vendida]])</f>
        <v>63</v>
      </c>
      <c r="K305" s="70">
        <f>Vendas[[#This Row],[Lucro da Venda]]/Vendas[[#This Row],[Valor da Venda]]</f>
        <v>0.17948717948717949</v>
      </c>
      <c r="L305" s="3">
        <f>_xlfn.IFS(Vendas[[#This Row],[Margem de Lucro (%)]]&lt;15%,Vendas[[#This Row],[Valor da Venda]]*3%,Vendas[[#This Row],[Margem de Lucro (%)]]&lt;=20%,Vendas[[#This Row],[Valor da Venda]]*4.5%,TRUE,Vendas[[#This Row],[Valor da Venda]]*6%)</f>
        <v>15.795</v>
      </c>
      <c r="M305"/>
    </row>
    <row r="306" spans="1:13" x14ac:dyDescent="0.3">
      <c r="A306" s="7">
        <v>400247</v>
      </c>
      <c r="B306" t="str">
        <f>_xlfn.XLOOKUP(Vendas[[#This Row],[ID Vendedor]],Vendedores[ID],Vendedores[Nome])</f>
        <v>André</v>
      </c>
      <c r="C306" s="7" t="str">
        <f>_xlfn.XLOOKUP(Vendas[[#This Row],[ID Vendedor]],Vendedores[ID],Vendedores[Setor])</f>
        <v>CM</v>
      </c>
      <c r="D306" s="7" t="s">
        <v>22</v>
      </c>
      <c r="E306" t="str">
        <f>_xlfn.XLOOKUP(Vendas[[#This Row],[ID Item Vendido]],Agregado[ID],Agregado[Produto])</f>
        <v>Painel MDP 2,75x1,83m</v>
      </c>
      <c r="F306" s="39">
        <v>43701</v>
      </c>
      <c r="G306" s="7">
        <v>25</v>
      </c>
      <c r="H306" s="3">
        <f>_xlfn.XLOOKUP(Vendas[[#This Row],[ID Item Vendido]],Agregado[ID],Agregado[Revenda])</f>
        <v>119</v>
      </c>
      <c r="I306" s="3">
        <f>Vendas[[#This Row],[Valor Unitário]]*Vendas[[#This Row],[Qnt Vendida]]</f>
        <v>2975</v>
      </c>
      <c r="J306" s="3">
        <f>Vendas[[#This Row],[Valor da Venda]]-(_xlfn.XLOOKUP(Vendas[[#This Row],[ID Item Vendido]],Agregado[ID],Agregado[Custo])*Vendas[[#This Row],[Qnt Vendida]])</f>
        <v>600</v>
      </c>
      <c r="K306" s="70">
        <f>Vendas[[#This Row],[Lucro da Venda]]/Vendas[[#This Row],[Valor da Venda]]</f>
        <v>0.20168067226890757</v>
      </c>
      <c r="L306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306"/>
    </row>
    <row r="307" spans="1:13" x14ac:dyDescent="0.3">
      <c r="A307" s="7">
        <v>400247</v>
      </c>
      <c r="B307" t="str">
        <f>_xlfn.XLOOKUP(Vendas[[#This Row],[ID Vendedor]],Vendedores[ID],Vendedores[Nome])</f>
        <v>André</v>
      </c>
      <c r="C307" s="7" t="str">
        <f>_xlfn.XLOOKUP(Vendas[[#This Row],[ID Vendedor]],Vendedores[ID],Vendedores[Setor])</f>
        <v>CM</v>
      </c>
      <c r="D307" s="7" t="s">
        <v>43</v>
      </c>
      <c r="E307" t="str">
        <f>_xlfn.XLOOKUP(Vendas[[#This Row],[ID Item Vendido]],Agregado[ID],Agregado[Produto])</f>
        <v>Madeira Bruta (Tora)</v>
      </c>
      <c r="F307" s="39">
        <v>43701</v>
      </c>
      <c r="G307" s="7">
        <v>14</v>
      </c>
      <c r="H307" s="3">
        <f>_xlfn.XLOOKUP(Vendas[[#This Row],[ID Item Vendido]],Agregado[ID],Agregado[Revenda])</f>
        <v>212</v>
      </c>
      <c r="I307" s="3">
        <f>Vendas[[#This Row],[Valor Unitário]]*Vendas[[#This Row],[Qnt Vendida]]</f>
        <v>2968</v>
      </c>
      <c r="J307" s="3">
        <f>Vendas[[#This Row],[Valor da Venda]]-(_xlfn.XLOOKUP(Vendas[[#This Row],[ID Item Vendido]],Agregado[ID],Agregado[Custo])*Vendas[[#This Row],[Qnt Vendida]])</f>
        <v>448</v>
      </c>
      <c r="K307" s="70">
        <f>Vendas[[#This Row],[Lucro da Venda]]/Vendas[[#This Row],[Valor da Venda]]</f>
        <v>0.15094339622641509</v>
      </c>
      <c r="L307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307"/>
    </row>
    <row r="308" spans="1:13" x14ac:dyDescent="0.3">
      <c r="A308" s="7">
        <v>400249</v>
      </c>
      <c r="B308" t="str">
        <f>_xlfn.XLOOKUP(Vendas[[#This Row],[ID Vendedor]],Vendedores[ID],Vendedores[Nome])</f>
        <v>Bruno</v>
      </c>
      <c r="C308" s="7" t="str">
        <f>_xlfn.XLOOKUP(Vendas[[#This Row],[ID Vendedor]],Vendedores[ID],Vendedores[Setor])</f>
        <v>CM</v>
      </c>
      <c r="D308" s="7" t="s">
        <v>45</v>
      </c>
      <c r="E308" t="str">
        <f>_xlfn.XLOOKUP(Vendas[[#This Row],[ID Item Vendido]],Agregado[ID],Agregado[Produto])</f>
        <v>Viga de madeira tratada 4m</v>
      </c>
      <c r="F308" s="39">
        <v>43701</v>
      </c>
      <c r="G308" s="7">
        <v>14</v>
      </c>
      <c r="H308" s="3">
        <f>_xlfn.XLOOKUP(Vendas[[#This Row],[ID Item Vendido]],Agregado[ID],Agregado[Revenda])</f>
        <v>66</v>
      </c>
      <c r="I308" s="3">
        <f>Vendas[[#This Row],[Valor Unitário]]*Vendas[[#This Row],[Qnt Vendida]]</f>
        <v>924</v>
      </c>
      <c r="J308" s="3">
        <f>Vendas[[#This Row],[Valor da Venda]]-(_xlfn.XLOOKUP(Vendas[[#This Row],[ID Item Vendido]],Agregado[ID],Agregado[Custo])*Vendas[[#This Row],[Qnt Vendida]])</f>
        <v>154</v>
      </c>
      <c r="K308" s="70">
        <f>Vendas[[#This Row],[Lucro da Venda]]/Vendas[[#This Row],[Valor da Venda]]</f>
        <v>0.16666666666666666</v>
      </c>
      <c r="L308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308"/>
    </row>
    <row r="309" spans="1:13" x14ac:dyDescent="0.3">
      <c r="A309" s="7">
        <v>400243</v>
      </c>
      <c r="B309" t="str">
        <f>_xlfn.XLOOKUP(Vendas[[#This Row],[ID Vendedor]],Vendedores[ID],Vendedores[Nome])</f>
        <v>Marcelo</v>
      </c>
      <c r="C309" s="7" t="str">
        <f>_xlfn.XLOOKUP(Vendas[[#This Row],[ID Vendedor]],Vendedores[ID],Vendedores[Setor])</f>
        <v>FM</v>
      </c>
      <c r="D309" s="7" t="s">
        <v>27</v>
      </c>
      <c r="E309" t="str">
        <f>_xlfn.XLOOKUP(Vendas[[#This Row],[ID Item Vendido]],Agregado[ID],Agregado[Produto])</f>
        <v>Chapa de metal lisa 1x2m</v>
      </c>
      <c r="F309" s="39">
        <v>43702</v>
      </c>
      <c r="G309" s="7">
        <v>25</v>
      </c>
      <c r="H309" s="3">
        <f>_xlfn.XLOOKUP(Vendas[[#This Row],[ID Item Vendido]],Agregado[ID],Agregado[Revenda])</f>
        <v>52</v>
      </c>
      <c r="I309" s="3">
        <f>Vendas[[#This Row],[Valor Unitário]]*Vendas[[#This Row],[Qnt Vendida]]</f>
        <v>1300</v>
      </c>
      <c r="J309" s="3">
        <f>Vendas[[#This Row],[Valor da Venda]]-(_xlfn.XLOOKUP(Vendas[[#This Row],[ID Item Vendido]],Agregado[ID],Agregado[Custo])*Vendas[[#This Row],[Qnt Vendida]])</f>
        <v>175</v>
      </c>
      <c r="K309" s="70">
        <f>Vendas[[#This Row],[Lucro da Venda]]/Vendas[[#This Row],[Valor da Venda]]</f>
        <v>0.13461538461538461</v>
      </c>
      <c r="L309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309"/>
    </row>
    <row r="310" spans="1:13" x14ac:dyDescent="0.3">
      <c r="A310" s="7">
        <v>400241</v>
      </c>
      <c r="B310" t="str">
        <f>_xlfn.XLOOKUP(Vendas[[#This Row],[ID Vendedor]],Vendedores[ID],Vendedores[Nome])</f>
        <v>Rodrigo</v>
      </c>
      <c r="C310" s="7" t="str">
        <f>_xlfn.XLOOKUP(Vendas[[#This Row],[ID Vendedor]],Vendedores[ID],Vendedores[Setor])</f>
        <v>FM</v>
      </c>
      <c r="D310" s="7" t="s">
        <v>27</v>
      </c>
      <c r="E310" t="str">
        <f>_xlfn.XLOOKUP(Vendas[[#This Row],[ID Item Vendido]],Agregado[ID],Agregado[Produto])</f>
        <v>Chapa de metal lisa 1x2m</v>
      </c>
      <c r="F310" s="39">
        <v>43702</v>
      </c>
      <c r="G310" s="7">
        <v>9</v>
      </c>
      <c r="H310" s="3">
        <f>_xlfn.XLOOKUP(Vendas[[#This Row],[ID Item Vendido]],Agregado[ID],Agregado[Revenda])</f>
        <v>52</v>
      </c>
      <c r="I310" s="3">
        <f>Vendas[[#This Row],[Valor Unitário]]*Vendas[[#This Row],[Qnt Vendida]]</f>
        <v>468</v>
      </c>
      <c r="J310" s="3">
        <f>Vendas[[#This Row],[Valor da Venda]]-(_xlfn.XLOOKUP(Vendas[[#This Row],[ID Item Vendido]],Agregado[ID],Agregado[Custo])*Vendas[[#This Row],[Qnt Vendida]])</f>
        <v>63</v>
      </c>
      <c r="K310" s="70">
        <f>Vendas[[#This Row],[Lucro da Venda]]/Vendas[[#This Row],[Valor da Venda]]</f>
        <v>0.13461538461538461</v>
      </c>
      <c r="L310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10"/>
    </row>
    <row r="311" spans="1:13" x14ac:dyDescent="0.3">
      <c r="A311" s="7">
        <v>400249</v>
      </c>
      <c r="B311" t="str">
        <f>_xlfn.XLOOKUP(Vendas[[#This Row],[ID Vendedor]],Vendedores[ID],Vendedores[Nome])</f>
        <v>Bruno</v>
      </c>
      <c r="C311" s="7" t="str">
        <f>_xlfn.XLOOKUP(Vendas[[#This Row],[ID Vendedor]],Vendedores[ID],Vendedores[Setor])</f>
        <v>CM</v>
      </c>
      <c r="D311" s="7" t="s">
        <v>45</v>
      </c>
      <c r="E311" t="str">
        <f>_xlfn.XLOOKUP(Vendas[[#This Row],[ID Item Vendido]],Agregado[ID],Agregado[Produto])</f>
        <v>Viga de madeira tratada 4m</v>
      </c>
      <c r="F311" s="39">
        <v>43702</v>
      </c>
      <c r="G311" s="7">
        <v>3</v>
      </c>
      <c r="H311" s="3">
        <f>_xlfn.XLOOKUP(Vendas[[#This Row],[ID Item Vendido]],Agregado[ID],Agregado[Revenda])</f>
        <v>66</v>
      </c>
      <c r="I311" s="3">
        <f>Vendas[[#This Row],[Valor Unitário]]*Vendas[[#This Row],[Qnt Vendida]]</f>
        <v>198</v>
      </c>
      <c r="J311" s="3">
        <f>Vendas[[#This Row],[Valor da Venda]]-(_xlfn.XLOOKUP(Vendas[[#This Row],[ID Item Vendido]],Agregado[ID],Agregado[Custo])*Vendas[[#This Row],[Qnt Vendida]])</f>
        <v>33</v>
      </c>
      <c r="K311" s="70">
        <f>Vendas[[#This Row],[Lucro da Venda]]/Vendas[[#This Row],[Valor da Venda]]</f>
        <v>0.16666666666666666</v>
      </c>
      <c r="L311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311"/>
    </row>
    <row r="312" spans="1:13" x14ac:dyDescent="0.3">
      <c r="A312" s="7">
        <v>400241</v>
      </c>
      <c r="B312" t="str">
        <f>_xlfn.XLOOKUP(Vendas[[#This Row],[ID Vendedor]],Vendedores[ID],Vendedores[Nome])</f>
        <v>Rodrigo</v>
      </c>
      <c r="C312" s="7" t="str">
        <f>_xlfn.XLOOKUP(Vendas[[#This Row],[ID Vendedor]],Vendedores[ID],Vendedores[Setor])</f>
        <v>FM</v>
      </c>
      <c r="D312" s="7" t="s">
        <v>27</v>
      </c>
      <c r="E312" t="str">
        <f>_xlfn.XLOOKUP(Vendas[[#This Row],[ID Item Vendido]],Agregado[ID],Agregado[Produto])</f>
        <v>Chapa de metal lisa 1x2m</v>
      </c>
      <c r="F312" s="39">
        <v>43703</v>
      </c>
      <c r="G312" s="7">
        <v>22</v>
      </c>
      <c r="H312" s="3">
        <f>_xlfn.XLOOKUP(Vendas[[#This Row],[ID Item Vendido]],Agregado[ID],Agregado[Revenda])</f>
        <v>52</v>
      </c>
      <c r="I312" s="3">
        <f>Vendas[[#This Row],[Valor Unitário]]*Vendas[[#This Row],[Qnt Vendida]]</f>
        <v>1144</v>
      </c>
      <c r="J312" s="3">
        <f>Vendas[[#This Row],[Valor da Venda]]-(_xlfn.XLOOKUP(Vendas[[#This Row],[ID Item Vendido]],Agregado[ID],Agregado[Custo])*Vendas[[#This Row],[Qnt Vendida]])</f>
        <v>154</v>
      </c>
      <c r="K312" s="70">
        <f>Vendas[[#This Row],[Lucro da Venda]]/Vendas[[#This Row],[Valor da Venda]]</f>
        <v>0.13461538461538461</v>
      </c>
      <c r="L312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312"/>
    </row>
    <row r="313" spans="1:13" x14ac:dyDescent="0.3">
      <c r="A313" s="7">
        <v>400255</v>
      </c>
      <c r="B313" t="str">
        <f>_xlfn.XLOOKUP(Vendas[[#This Row],[ID Vendedor]],Vendedores[ID],Vendedores[Nome])</f>
        <v>Carlos</v>
      </c>
      <c r="C313" s="7" t="str">
        <f>_xlfn.XLOOKUP(Vendas[[#This Row],[ID Vendedor]],Vendedores[ID],Vendedores[Setor])</f>
        <v>SC</v>
      </c>
      <c r="D313" s="7" t="s">
        <v>25</v>
      </c>
      <c r="E313" t="str">
        <f>_xlfn.XLOOKUP(Vendas[[#This Row],[ID Item Vendido]],Agregado[ID],Agregado[Produto])</f>
        <v>Palete de plástico</v>
      </c>
      <c r="F313" s="39">
        <v>43705</v>
      </c>
      <c r="G313" s="7">
        <v>12</v>
      </c>
      <c r="H313" s="3">
        <f>_xlfn.XLOOKUP(Vendas[[#This Row],[ID Item Vendido]],Agregado[ID],Agregado[Revenda])</f>
        <v>70.8</v>
      </c>
      <c r="I313" s="3">
        <f>Vendas[[#This Row],[Valor Unitário]]*Vendas[[#This Row],[Qnt Vendida]]</f>
        <v>849.59999999999991</v>
      </c>
      <c r="J313" s="3">
        <f>Vendas[[#This Row],[Valor da Venda]]-(_xlfn.XLOOKUP(Vendas[[#This Row],[ID Item Vendido]],Agregado[ID],Agregado[Custo])*Vendas[[#This Row],[Qnt Vendida]])</f>
        <v>129.59999999999991</v>
      </c>
      <c r="K313" s="70">
        <f>Vendas[[#This Row],[Lucro da Venda]]/Vendas[[#This Row],[Valor da Venda]]</f>
        <v>0.15254237288135583</v>
      </c>
      <c r="L313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313"/>
    </row>
    <row r="314" spans="1:13" x14ac:dyDescent="0.3">
      <c r="A314" s="7">
        <v>400255</v>
      </c>
      <c r="B314" t="str">
        <f>_xlfn.XLOOKUP(Vendas[[#This Row],[ID Vendedor]],Vendedores[ID],Vendedores[Nome])</f>
        <v>Carlos</v>
      </c>
      <c r="C314" s="7" t="str">
        <f>_xlfn.XLOOKUP(Vendas[[#This Row],[ID Vendedor]],Vendedores[ID],Vendedores[Setor])</f>
        <v>SC</v>
      </c>
      <c r="D314" s="7" t="s">
        <v>42</v>
      </c>
      <c r="E314" t="str">
        <f>_xlfn.XLOOKUP(Vendas[[#This Row],[ID Item Vendido]],Agregado[ID],Agregado[Produto])</f>
        <v>Container de ferro industrial</v>
      </c>
      <c r="F314" s="39">
        <v>43706</v>
      </c>
      <c r="G314" s="7">
        <v>5</v>
      </c>
      <c r="H314" s="3">
        <f>_xlfn.XLOOKUP(Vendas[[#This Row],[ID Item Vendido]],Agregado[ID],Agregado[Revenda])</f>
        <v>830</v>
      </c>
      <c r="I314" s="3">
        <f>Vendas[[#This Row],[Valor Unitário]]*Vendas[[#This Row],[Qnt Vendida]]</f>
        <v>4150</v>
      </c>
      <c r="J314" s="3">
        <f>Vendas[[#This Row],[Valor da Venda]]-(_xlfn.XLOOKUP(Vendas[[#This Row],[ID Item Vendido]],Agregado[ID],Agregado[Custo])*Vendas[[#This Row],[Qnt Vendida]])</f>
        <v>750</v>
      </c>
      <c r="K314" s="70">
        <f>Vendas[[#This Row],[Lucro da Venda]]/Vendas[[#This Row],[Valor da Venda]]</f>
        <v>0.18072289156626506</v>
      </c>
      <c r="L31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14"/>
    </row>
    <row r="315" spans="1:13" x14ac:dyDescent="0.3">
      <c r="A315" s="7">
        <v>400251</v>
      </c>
      <c r="B315" t="str">
        <f>_xlfn.XLOOKUP(Vendas[[#This Row],[ID Vendedor]],Vendedores[ID],Vendedores[Nome])</f>
        <v>Diego</v>
      </c>
      <c r="C315" s="7" t="str">
        <f>_xlfn.XLOOKUP(Vendas[[#This Row],[ID Vendedor]],Vendedores[ID],Vendedores[Setor])</f>
        <v>AB</v>
      </c>
      <c r="D315" s="7" t="s">
        <v>37</v>
      </c>
      <c r="E315" t="str">
        <f>_xlfn.XLOOKUP(Vendas[[#This Row],[ID Item Vendido]],Agregado[ID],Agregado[Produto])</f>
        <v>Composto de borracha para vedação rolo 10m</v>
      </c>
      <c r="F315" s="39">
        <v>43706</v>
      </c>
      <c r="G315" s="7">
        <v>17</v>
      </c>
      <c r="H315" s="3">
        <f>_xlfn.XLOOKUP(Vendas[[#This Row],[ID Item Vendido]],Agregado[ID],Agregado[Revenda])</f>
        <v>51.2</v>
      </c>
      <c r="I315" s="3">
        <f>Vendas[[#This Row],[Valor Unitário]]*Vendas[[#This Row],[Qnt Vendida]]</f>
        <v>870.40000000000009</v>
      </c>
      <c r="J315" s="3">
        <f>Vendas[[#This Row],[Valor da Venda]]-(_xlfn.XLOOKUP(Vendas[[#This Row],[ID Item Vendido]],Agregado[ID],Agregado[Custo])*Vendas[[#This Row],[Qnt Vendida]])</f>
        <v>190.40000000000009</v>
      </c>
      <c r="K315" s="70">
        <f>Vendas[[#This Row],[Lucro da Venda]]/Vendas[[#This Row],[Valor da Venda]]</f>
        <v>0.21875000000000008</v>
      </c>
      <c r="L31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15"/>
    </row>
    <row r="316" spans="1:13" x14ac:dyDescent="0.3">
      <c r="A316" s="7">
        <v>400245</v>
      </c>
      <c r="B316" t="str">
        <f>_xlfn.XLOOKUP(Vendas[[#This Row],[ID Vendedor]],Vendedores[ID],Vendedores[Nome])</f>
        <v>Thiago</v>
      </c>
      <c r="C316" s="7" t="str">
        <f>_xlfn.XLOOKUP(Vendas[[#This Row],[ID Vendedor]],Vendedores[ID],Vendedores[Setor])</f>
        <v>AHD</v>
      </c>
      <c r="D316" s="7" t="s">
        <v>18</v>
      </c>
      <c r="E316" t="str">
        <f>_xlfn.XLOOKUP(Vendas[[#This Row],[ID Item Vendido]],Agregado[ID],Agregado[Produto])</f>
        <v>Peça forjada sob encomenda</v>
      </c>
      <c r="F316" s="39">
        <v>43707</v>
      </c>
      <c r="G316" s="7">
        <v>4</v>
      </c>
      <c r="H316" s="3">
        <f>_xlfn.XLOOKUP(Vendas[[#This Row],[ID Item Vendido]],Agregado[ID],Agregado[Revenda])</f>
        <v>264.60000000000002</v>
      </c>
      <c r="I316" s="3">
        <f>Vendas[[#This Row],[Valor Unitário]]*Vendas[[#This Row],[Qnt Vendida]]</f>
        <v>1058.4000000000001</v>
      </c>
      <c r="J316" s="3">
        <f>Vendas[[#This Row],[Valor da Venda]]-(_xlfn.XLOOKUP(Vendas[[#This Row],[ID Item Vendido]],Agregado[ID],Agregado[Custo])*Vendas[[#This Row],[Qnt Vendida]])</f>
        <v>58.400000000000091</v>
      </c>
      <c r="K316" s="70">
        <f>Vendas[[#This Row],[Lucro da Venda]]/Vendas[[#This Row],[Valor da Venda]]</f>
        <v>5.5177626606198113E-2</v>
      </c>
      <c r="L316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16"/>
    </row>
    <row r="317" spans="1:13" x14ac:dyDescent="0.3">
      <c r="A317" s="7">
        <v>400251</v>
      </c>
      <c r="B317" t="str">
        <f>_xlfn.XLOOKUP(Vendas[[#This Row],[ID Vendedor]],Vendedores[ID],Vendedores[Nome])</f>
        <v>Diego</v>
      </c>
      <c r="C317" s="7" t="str">
        <f>_xlfn.XLOOKUP(Vendas[[#This Row],[ID Vendedor]],Vendedores[ID],Vendedores[Setor])</f>
        <v>AB</v>
      </c>
      <c r="D317" s="7" t="s">
        <v>36</v>
      </c>
      <c r="E317" t="str">
        <f>_xlfn.XLOOKUP(Vendas[[#This Row],[ID Item Vendido]],Agregado[ID],Agregado[Produto])</f>
        <v>Borracha vulcanizada em manta</v>
      </c>
      <c r="F317" s="39">
        <v>43707</v>
      </c>
      <c r="G317" s="7">
        <v>19</v>
      </c>
      <c r="H317" s="3">
        <f>_xlfn.XLOOKUP(Vendas[[#This Row],[ID Item Vendido]],Agregado[ID],Agregado[Revenda])</f>
        <v>7.8</v>
      </c>
      <c r="I317" s="3">
        <f>Vendas[[#This Row],[Valor Unitário]]*Vendas[[#This Row],[Qnt Vendida]]</f>
        <v>148.19999999999999</v>
      </c>
      <c r="J317" s="3">
        <f>Vendas[[#This Row],[Valor da Venda]]-(_xlfn.XLOOKUP(Vendas[[#This Row],[ID Item Vendido]],Agregado[ID],Agregado[Custo])*Vendas[[#This Row],[Qnt Vendida]])</f>
        <v>34.199999999999989</v>
      </c>
      <c r="K317" s="70">
        <f>Vendas[[#This Row],[Lucro da Venda]]/Vendas[[#This Row],[Valor da Venda]]</f>
        <v>0.2307692307692307</v>
      </c>
      <c r="L317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317"/>
    </row>
    <row r="318" spans="1:13" x14ac:dyDescent="0.3">
      <c r="A318" s="7">
        <v>400245</v>
      </c>
      <c r="B318" t="str">
        <f>_xlfn.XLOOKUP(Vendas[[#This Row],[ID Vendedor]],Vendedores[ID],Vendedores[Nome])</f>
        <v>Thiago</v>
      </c>
      <c r="C318" s="7" t="str">
        <f>_xlfn.XLOOKUP(Vendas[[#This Row],[ID Vendedor]],Vendedores[ID],Vendedores[Setor])</f>
        <v>AHD</v>
      </c>
      <c r="D318" s="7" t="s">
        <v>9</v>
      </c>
      <c r="E318" t="str">
        <f>_xlfn.XLOOKUP(Vendas[[#This Row],[ID Item Vendido]],Agregado[ID],Agregado[Produto])</f>
        <v>Barra de aço simples</v>
      </c>
      <c r="F318" s="39">
        <v>43708</v>
      </c>
      <c r="G318" s="7">
        <v>45</v>
      </c>
      <c r="H318" s="3">
        <f>_xlfn.XLOOKUP(Vendas[[#This Row],[ID Item Vendido]],Agregado[ID],Agregado[Revenda])</f>
        <v>6.7</v>
      </c>
      <c r="I318" s="3">
        <f>Vendas[[#This Row],[Valor Unitário]]*Vendas[[#This Row],[Qnt Vendida]]</f>
        <v>301.5</v>
      </c>
      <c r="J318" s="3">
        <f>Vendas[[#This Row],[Valor da Venda]]-(_xlfn.XLOOKUP(Vendas[[#This Row],[ID Item Vendido]],Agregado[ID],Agregado[Custo])*Vendas[[#This Row],[Qnt Vendida]])</f>
        <v>40.5</v>
      </c>
      <c r="K318" s="70">
        <f>Vendas[[#This Row],[Lucro da Venda]]/Vendas[[#This Row],[Valor da Venda]]</f>
        <v>0.13432835820895522</v>
      </c>
      <c r="L318" s="3">
        <f>_xlfn.IFS(Vendas[[#This Row],[Margem de Lucro (%)]]&lt;15%,Vendas[[#This Row],[Valor da Venda]]*3%,Vendas[[#This Row],[Margem de Lucro (%)]]&lt;=20%,Vendas[[#This Row],[Valor da Venda]]*4.5%,TRUE,Vendas[[#This Row],[Valor da Venda]]*6%)</f>
        <v>9.0449999999999999</v>
      </c>
      <c r="M318"/>
    </row>
    <row r="319" spans="1:13" x14ac:dyDescent="0.3">
      <c r="A319" s="7">
        <v>400251</v>
      </c>
      <c r="B319" t="str">
        <f>_xlfn.XLOOKUP(Vendas[[#This Row],[ID Vendedor]],Vendedores[ID],Vendedores[Nome])</f>
        <v>Diego</v>
      </c>
      <c r="C319" s="7" t="str">
        <f>_xlfn.XLOOKUP(Vendas[[#This Row],[ID Vendedor]],Vendedores[ID],Vendedores[Setor])</f>
        <v>AB</v>
      </c>
      <c r="D319" s="7" t="s">
        <v>36</v>
      </c>
      <c r="E319" t="str">
        <f>_xlfn.XLOOKUP(Vendas[[#This Row],[ID Item Vendido]],Agregado[ID],Agregado[Produto])</f>
        <v>Borracha vulcanizada em manta</v>
      </c>
      <c r="F319" s="39">
        <v>43708</v>
      </c>
      <c r="G319" s="7">
        <v>26</v>
      </c>
      <c r="H319" s="3">
        <f>_xlfn.XLOOKUP(Vendas[[#This Row],[ID Item Vendido]],Agregado[ID],Agregado[Revenda])</f>
        <v>7.8</v>
      </c>
      <c r="I319" s="3">
        <f>Vendas[[#This Row],[Valor Unitário]]*Vendas[[#This Row],[Qnt Vendida]]</f>
        <v>202.79999999999998</v>
      </c>
      <c r="J319" s="3">
        <f>Vendas[[#This Row],[Valor da Venda]]-(_xlfn.XLOOKUP(Vendas[[#This Row],[ID Item Vendido]],Agregado[ID],Agregado[Custo])*Vendas[[#This Row],[Qnt Vendida]])</f>
        <v>46.799999999999983</v>
      </c>
      <c r="K319" s="70">
        <f>Vendas[[#This Row],[Lucro da Venda]]/Vendas[[#This Row],[Valor da Venda]]</f>
        <v>0.2307692307692307</v>
      </c>
      <c r="L319" s="3">
        <f>_xlfn.IFS(Vendas[[#This Row],[Margem de Lucro (%)]]&lt;15%,Vendas[[#This Row],[Valor da Venda]]*3%,Vendas[[#This Row],[Margem de Lucro (%)]]&lt;=20%,Vendas[[#This Row],[Valor da Venda]]*4.5%,TRUE,Vendas[[#This Row],[Valor da Venda]]*6%)</f>
        <v>12.167999999999999</v>
      </c>
      <c r="M319"/>
    </row>
    <row r="320" spans="1:13" x14ac:dyDescent="0.3">
      <c r="A320" s="7">
        <v>400255</v>
      </c>
      <c r="B320" t="str">
        <f>_xlfn.XLOOKUP(Vendas[[#This Row],[ID Vendedor]],Vendedores[ID],Vendedores[Nome])</f>
        <v>Carlos</v>
      </c>
      <c r="C320" s="7" t="str">
        <f>_xlfn.XLOOKUP(Vendas[[#This Row],[ID Vendedor]],Vendedores[ID],Vendedores[Setor])</f>
        <v>SC</v>
      </c>
      <c r="D320" s="7" t="s">
        <v>42</v>
      </c>
      <c r="E320" t="str">
        <f>_xlfn.XLOOKUP(Vendas[[#This Row],[ID Item Vendido]],Agregado[ID],Agregado[Produto])</f>
        <v>Container de ferro industrial</v>
      </c>
      <c r="F320" s="39">
        <v>43712</v>
      </c>
      <c r="G320" s="7">
        <v>6</v>
      </c>
      <c r="H320" s="3">
        <f>_xlfn.XLOOKUP(Vendas[[#This Row],[ID Item Vendido]],Agregado[ID],Agregado[Revenda])</f>
        <v>830</v>
      </c>
      <c r="I320" s="3">
        <f>Vendas[[#This Row],[Valor Unitário]]*Vendas[[#This Row],[Qnt Vendida]]</f>
        <v>4980</v>
      </c>
      <c r="J320" s="3">
        <f>Vendas[[#This Row],[Valor da Venda]]-(_xlfn.XLOOKUP(Vendas[[#This Row],[ID Item Vendido]],Agregado[ID],Agregado[Custo])*Vendas[[#This Row],[Qnt Vendida]])</f>
        <v>900</v>
      </c>
      <c r="K320" s="70">
        <f>Vendas[[#This Row],[Lucro da Venda]]/Vendas[[#This Row],[Valor da Venda]]</f>
        <v>0.18072289156626506</v>
      </c>
      <c r="L32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20"/>
    </row>
    <row r="321" spans="1:13" x14ac:dyDescent="0.3">
      <c r="A321" s="7">
        <v>400247</v>
      </c>
      <c r="B321" t="str">
        <f>_xlfn.XLOOKUP(Vendas[[#This Row],[ID Vendedor]],Vendedores[ID],Vendedores[Nome])</f>
        <v>André</v>
      </c>
      <c r="C321" s="7" t="str">
        <f>_xlfn.XLOOKUP(Vendas[[#This Row],[ID Vendedor]],Vendedores[ID],Vendedores[Setor])</f>
        <v>CM</v>
      </c>
      <c r="D321" s="7" t="s">
        <v>43</v>
      </c>
      <c r="E321" t="str">
        <f>_xlfn.XLOOKUP(Vendas[[#This Row],[ID Item Vendido]],Agregado[ID],Agregado[Produto])</f>
        <v>Madeira Bruta (Tora)</v>
      </c>
      <c r="F321" s="39">
        <v>43712</v>
      </c>
      <c r="G321" s="7">
        <v>12</v>
      </c>
      <c r="H321" s="3">
        <f>_xlfn.XLOOKUP(Vendas[[#This Row],[ID Item Vendido]],Agregado[ID],Agregado[Revenda])</f>
        <v>212</v>
      </c>
      <c r="I321" s="3">
        <f>Vendas[[#This Row],[Valor Unitário]]*Vendas[[#This Row],[Qnt Vendida]]</f>
        <v>2544</v>
      </c>
      <c r="J321" s="3">
        <f>Vendas[[#This Row],[Valor da Venda]]-(_xlfn.XLOOKUP(Vendas[[#This Row],[ID Item Vendido]],Agregado[ID],Agregado[Custo])*Vendas[[#This Row],[Qnt Vendida]])</f>
        <v>384</v>
      </c>
      <c r="K321" s="70">
        <f>Vendas[[#This Row],[Lucro da Venda]]/Vendas[[#This Row],[Valor da Venda]]</f>
        <v>0.15094339622641509</v>
      </c>
      <c r="L321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321"/>
    </row>
    <row r="322" spans="1:13" x14ac:dyDescent="0.3">
      <c r="A322" s="7">
        <v>400243</v>
      </c>
      <c r="B322" t="str">
        <f>_xlfn.XLOOKUP(Vendas[[#This Row],[ID Vendedor]],Vendedores[ID],Vendedores[Nome])</f>
        <v>Marcelo</v>
      </c>
      <c r="C322" s="7" t="str">
        <f>_xlfn.XLOOKUP(Vendas[[#This Row],[ID Vendedor]],Vendedores[ID],Vendedores[Setor])</f>
        <v>FM</v>
      </c>
      <c r="D322" s="7" t="s">
        <v>6</v>
      </c>
      <c r="E322" t="str">
        <f>_xlfn.XLOOKUP(Vendas[[#This Row],[ID Item Vendido]],Agregado[ID],Agregado[Produto])</f>
        <v>Parafuso comum 500un</v>
      </c>
      <c r="F322" s="39">
        <v>43713</v>
      </c>
      <c r="G322" s="7">
        <v>18</v>
      </c>
      <c r="H322" s="3">
        <f>_xlfn.XLOOKUP(Vendas[[#This Row],[ID Item Vendido]],Agregado[ID],Agregado[Revenda])</f>
        <v>24.6</v>
      </c>
      <c r="I322" s="3">
        <f>Vendas[[#This Row],[Valor Unitário]]*Vendas[[#This Row],[Qnt Vendida]]</f>
        <v>442.8</v>
      </c>
      <c r="J322" s="3">
        <f>Vendas[[#This Row],[Valor da Venda]]-(_xlfn.XLOOKUP(Vendas[[#This Row],[ID Item Vendido]],Agregado[ID],Agregado[Custo])*Vendas[[#This Row],[Qnt Vendida]])</f>
        <v>46.800000000000011</v>
      </c>
      <c r="K322" s="70">
        <f>Vendas[[#This Row],[Lucro da Venda]]/Vendas[[#This Row],[Valor da Venda]]</f>
        <v>0.10569105691056913</v>
      </c>
      <c r="L322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322"/>
    </row>
    <row r="323" spans="1:13" x14ac:dyDescent="0.3">
      <c r="A323" s="7">
        <v>400243</v>
      </c>
      <c r="B323" t="str">
        <f>_xlfn.XLOOKUP(Vendas[[#This Row],[ID Vendedor]],Vendedores[ID],Vendedores[Nome])</f>
        <v>Marcelo</v>
      </c>
      <c r="C323" s="7" t="str">
        <f>_xlfn.XLOOKUP(Vendas[[#This Row],[ID Vendedor]],Vendedores[ID],Vendedores[Setor])</f>
        <v>FM</v>
      </c>
      <c r="D323" s="7" t="s">
        <v>31</v>
      </c>
      <c r="E323" t="str">
        <f>_xlfn.XLOOKUP(Vendas[[#This Row],[ID Item Vendido]],Agregado[ID],Agregado[Produto])</f>
        <v>Tela de metal soldada rolo 2x25m</v>
      </c>
      <c r="F323" s="39">
        <v>43715</v>
      </c>
      <c r="G323" s="7">
        <v>16</v>
      </c>
      <c r="H323" s="3">
        <f>_xlfn.XLOOKUP(Vendas[[#This Row],[ID Item Vendido]],Agregado[ID],Agregado[Revenda])</f>
        <v>43.7</v>
      </c>
      <c r="I323" s="3">
        <f>Vendas[[#This Row],[Valor Unitário]]*Vendas[[#This Row],[Qnt Vendida]]</f>
        <v>699.2</v>
      </c>
      <c r="J323" s="3">
        <f>Vendas[[#This Row],[Valor da Venda]]-(_xlfn.XLOOKUP(Vendas[[#This Row],[ID Item Vendido]],Agregado[ID],Agregado[Custo])*Vendas[[#This Row],[Qnt Vendida]])</f>
        <v>91.200000000000045</v>
      </c>
      <c r="K323" s="70">
        <f>Vendas[[#This Row],[Lucro da Venda]]/Vendas[[#This Row],[Valor da Venda]]</f>
        <v>0.1304347826086957</v>
      </c>
      <c r="L323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323"/>
    </row>
    <row r="324" spans="1:13" x14ac:dyDescent="0.3">
      <c r="A324" s="7">
        <v>400241</v>
      </c>
      <c r="B324" t="str">
        <f>_xlfn.XLOOKUP(Vendas[[#This Row],[ID Vendedor]],Vendedores[ID],Vendedores[Nome])</f>
        <v>Rodrigo</v>
      </c>
      <c r="C324" s="7" t="str">
        <f>_xlfn.XLOOKUP(Vendas[[#This Row],[ID Vendedor]],Vendedores[ID],Vendedores[Setor])</f>
        <v>FM</v>
      </c>
      <c r="D324" s="7" t="s">
        <v>6</v>
      </c>
      <c r="E324" t="str">
        <f>_xlfn.XLOOKUP(Vendas[[#This Row],[ID Item Vendido]],Agregado[ID],Agregado[Produto])</f>
        <v>Parafuso comum 500un</v>
      </c>
      <c r="F324" s="39">
        <v>43715</v>
      </c>
      <c r="G324" s="7">
        <v>19</v>
      </c>
      <c r="H324" s="3">
        <f>_xlfn.XLOOKUP(Vendas[[#This Row],[ID Item Vendido]],Agregado[ID],Agregado[Revenda])</f>
        <v>24.6</v>
      </c>
      <c r="I324" s="3">
        <f>Vendas[[#This Row],[Valor Unitário]]*Vendas[[#This Row],[Qnt Vendida]]</f>
        <v>467.40000000000003</v>
      </c>
      <c r="J324" s="3">
        <f>Vendas[[#This Row],[Valor da Venda]]-(_xlfn.XLOOKUP(Vendas[[#This Row],[ID Item Vendido]],Agregado[ID],Agregado[Custo])*Vendas[[#This Row],[Qnt Vendida]])</f>
        <v>49.400000000000034</v>
      </c>
      <c r="K324" s="70">
        <f>Vendas[[#This Row],[Lucro da Venda]]/Vendas[[#This Row],[Valor da Venda]]</f>
        <v>0.10569105691056917</v>
      </c>
      <c r="L324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324"/>
    </row>
    <row r="325" spans="1:13" x14ac:dyDescent="0.3">
      <c r="A325" s="7">
        <v>400249</v>
      </c>
      <c r="B325" t="str">
        <f>_xlfn.XLOOKUP(Vendas[[#This Row],[ID Vendedor]],Vendedores[ID],Vendedores[Nome])</f>
        <v>Bruno</v>
      </c>
      <c r="C325" s="7" t="str">
        <f>_xlfn.XLOOKUP(Vendas[[#This Row],[ID Vendedor]],Vendedores[ID],Vendedores[Setor])</f>
        <v>CM</v>
      </c>
      <c r="D325" s="7" t="s">
        <v>45</v>
      </c>
      <c r="E325" t="str">
        <f>_xlfn.XLOOKUP(Vendas[[#This Row],[ID Item Vendido]],Agregado[ID],Agregado[Produto])</f>
        <v>Viga de madeira tratada 4m</v>
      </c>
      <c r="F325" s="39">
        <v>43715</v>
      </c>
      <c r="G325" s="7">
        <v>2</v>
      </c>
      <c r="H325" s="3">
        <f>_xlfn.XLOOKUP(Vendas[[#This Row],[ID Item Vendido]],Agregado[ID],Agregado[Revenda])</f>
        <v>66</v>
      </c>
      <c r="I325" s="3">
        <f>Vendas[[#This Row],[Valor Unitário]]*Vendas[[#This Row],[Qnt Vendida]]</f>
        <v>132</v>
      </c>
      <c r="J325" s="3">
        <f>Vendas[[#This Row],[Valor da Venda]]-(_xlfn.XLOOKUP(Vendas[[#This Row],[ID Item Vendido]],Agregado[ID],Agregado[Custo])*Vendas[[#This Row],[Qnt Vendida]])</f>
        <v>22</v>
      </c>
      <c r="K325" s="70">
        <f>Vendas[[#This Row],[Lucro da Venda]]/Vendas[[#This Row],[Valor da Venda]]</f>
        <v>0.16666666666666666</v>
      </c>
      <c r="L325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325"/>
    </row>
    <row r="326" spans="1:13" x14ac:dyDescent="0.3">
      <c r="A326" s="7">
        <v>400247</v>
      </c>
      <c r="B326" t="str">
        <f>_xlfn.XLOOKUP(Vendas[[#This Row],[ID Vendedor]],Vendedores[ID],Vendedores[Nome])</f>
        <v>André</v>
      </c>
      <c r="C326" s="7" t="str">
        <f>_xlfn.XLOOKUP(Vendas[[#This Row],[ID Vendedor]],Vendedores[ID],Vendedores[Setor])</f>
        <v>CM</v>
      </c>
      <c r="D326" s="7" t="s">
        <v>34</v>
      </c>
      <c r="E326" t="str">
        <f>_xlfn.XLOOKUP(Vendas[[#This Row],[ID Item Vendido]],Agregado[ID],Agregado[Produto])</f>
        <v>Restos de madeira p/ MDP/OSB saco de 20kg</v>
      </c>
      <c r="F326" s="39">
        <v>43716</v>
      </c>
      <c r="G326" s="7">
        <v>15</v>
      </c>
      <c r="H326" s="3">
        <f>_xlfn.XLOOKUP(Vendas[[#This Row],[ID Item Vendido]],Agregado[ID],Agregado[Revenda])</f>
        <v>13.8</v>
      </c>
      <c r="I326" s="3">
        <f>Vendas[[#This Row],[Valor Unitário]]*Vendas[[#This Row],[Qnt Vendida]]</f>
        <v>207</v>
      </c>
      <c r="J326" s="3">
        <f>Vendas[[#This Row],[Valor da Venda]]-(_xlfn.XLOOKUP(Vendas[[#This Row],[ID Item Vendido]],Agregado[ID],Agregado[Custo])*Vendas[[#This Row],[Qnt Vendida]])</f>
        <v>27</v>
      </c>
      <c r="K326" s="70">
        <f>Vendas[[#This Row],[Lucro da Venda]]/Vendas[[#This Row],[Valor da Venda]]</f>
        <v>0.13043478260869565</v>
      </c>
      <c r="L326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326"/>
    </row>
    <row r="327" spans="1:13" x14ac:dyDescent="0.3">
      <c r="A327" s="7">
        <v>400247</v>
      </c>
      <c r="B327" t="str">
        <f>_xlfn.XLOOKUP(Vendas[[#This Row],[ID Vendedor]],Vendedores[ID],Vendedores[Nome])</f>
        <v>André</v>
      </c>
      <c r="C327" s="7" t="str">
        <f>_xlfn.XLOOKUP(Vendas[[#This Row],[ID Vendedor]],Vendedores[ID],Vendedores[Setor])</f>
        <v>CM</v>
      </c>
      <c r="D327" s="7" t="s">
        <v>43</v>
      </c>
      <c r="E327" t="str">
        <f>_xlfn.XLOOKUP(Vendas[[#This Row],[ID Item Vendido]],Agregado[ID],Agregado[Produto])</f>
        <v>Madeira Bruta (Tora)</v>
      </c>
      <c r="F327" s="39">
        <v>43719</v>
      </c>
      <c r="G327" s="7">
        <v>9</v>
      </c>
      <c r="H327" s="3">
        <f>_xlfn.XLOOKUP(Vendas[[#This Row],[ID Item Vendido]],Agregado[ID],Agregado[Revenda])</f>
        <v>212</v>
      </c>
      <c r="I327" s="3">
        <f>Vendas[[#This Row],[Valor Unitário]]*Vendas[[#This Row],[Qnt Vendida]]</f>
        <v>1908</v>
      </c>
      <c r="J327" s="3">
        <f>Vendas[[#This Row],[Valor da Venda]]-(_xlfn.XLOOKUP(Vendas[[#This Row],[ID Item Vendido]],Agregado[ID],Agregado[Custo])*Vendas[[#This Row],[Qnt Vendida]])</f>
        <v>288</v>
      </c>
      <c r="K327" s="70">
        <f>Vendas[[#This Row],[Lucro da Venda]]/Vendas[[#This Row],[Valor da Venda]]</f>
        <v>0.15094339622641509</v>
      </c>
      <c r="L327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327"/>
    </row>
    <row r="328" spans="1:13" x14ac:dyDescent="0.3">
      <c r="A328" s="7">
        <v>400247</v>
      </c>
      <c r="B328" t="str">
        <f>_xlfn.XLOOKUP(Vendas[[#This Row],[ID Vendedor]],Vendedores[ID],Vendedores[Nome])</f>
        <v>André</v>
      </c>
      <c r="C328" s="7" t="str">
        <f>_xlfn.XLOOKUP(Vendas[[#This Row],[ID Vendedor]],Vendedores[ID],Vendedores[Setor])</f>
        <v>CM</v>
      </c>
      <c r="D328" s="7" t="s">
        <v>43</v>
      </c>
      <c r="E328" t="str">
        <f>_xlfn.XLOOKUP(Vendas[[#This Row],[ID Item Vendido]],Agregado[ID],Agregado[Produto])</f>
        <v>Madeira Bruta (Tora)</v>
      </c>
      <c r="F328" s="39">
        <v>43719</v>
      </c>
      <c r="G328" s="7">
        <v>2</v>
      </c>
      <c r="H328" s="3">
        <f>_xlfn.XLOOKUP(Vendas[[#This Row],[ID Item Vendido]],Agregado[ID],Agregado[Revenda])</f>
        <v>212</v>
      </c>
      <c r="I328" s="3">
        <f>Vendas[[#This Row],[Valor Unitário]]*Vendas[[#This Row],[Qnt Vendida]]</f>
        <v>424</v>
      </c>
      <c r="J328" s="3">
        <f>Vendas[[#This Row],[Valor da Venda]]-(_xlfn.XLOOKUP(Vendas[[#This Row],[ID Item Vendido]],Agregado[ID],Agregado[Custo])*Vendas[[#This Row],[Qnt Vendida]])</f>
        <v>64</v>
      </c>
      <c r="K328" s="70">
        <f>Vendas[[#This Row],[Lucro da Venda]]/Vendas[[#This Row],[Valor da Venda]]</f>
        <v>0.15094339622641509</v>
      </c>
      <c r="L328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28"/>
    </row>
    <row r="329" spans="1:13" x14ac:dyDescent="0.3">
      <c r="A329" s="7">
        <v>400243</v>
      </c>
      <c r="B329" t="str">
        <f>_xlfn.XLOOKUP(Vendas[[#This Row],[ID Vendedor]],Vendedores[ID],Vendedores[Nome])</f>
        <v>Marcelo</v>
      </c>
      <c r="C329" s="7" t="str">
        <f>_xlfn.XLOOKUP(Vendas[[#This Row],[ID Vendedor]],Vendedores[ID],Vendedores[Setor])</f>
        <v>FM</v>
      </c>
      <c r="D329" s="7" t="s">
        <v>20</v>
      </c>
      <c r="E329" t="str">
        <f>_xlfn.XLOOKUP(Vendas[[#This Row],[ID Item Vendido]],Agregado[ID],Agregado[Produto])</f>
        <v>Barra de aço simples</v>
      </c>
      <c r="F329" s="39">
        <v>43720</v>
      </c>
      <c r="G329" s="7">
        <v>140</v>
      </c>
      <c r="H329" s="3">
        <f>_xlfn.XLOOKUP(Vendas[[#This Row],[ID Item Vendido]],Agregado[ID],Agregado[Revenda])</f>
        <v>4.8</v>
      </c>
      <c r="I329" s="3">
        <f>Vendas[[#This Row],[Valor Unitário]]*Vendas[[#This Row],[Qnt Vendida]]</f>
        <v>672</v>
      </c>
      <c r="J329" s="3">
        <f>Vendas[[#This Row],[Valor da Venda]]-(_xlfn.XLOOKUP(Vendas[[#This Row],[ID Item Vendido]],Agregado[ID],Agregado[Custo])*Vendas[[#This Row],[Qnt Vendida]])</f>
        <v>84</v>
      </c>
      <c r="K329" s="70">
        <f>Vendas[[#This Row],[Lucro da Venda]]/Vendas[[#This Row],[Valor da Venda]]</f>
        <v>0.125</v>
      </c>
      <c r="L329" s="3">
        <f>_xlfn.IFS(Vendas[[#This Row],[Margem de Lucro (%)]]&lt;15%,Vendas[[#This Row],[Valor da Venda]]*3%,Vendas[[#This Row],[Margem de Lucro (%)]]&lt;=20%,Vendas[[#This Row],[Valor da Venda]]*4.5%,TRUE,Vendas[[#This Row],[Valor da Venda]]*6%)</f>
        <v>20.16</v>
      </c>
      <c r="M329"/>
    </row>
    <row r="330" spans="1:13" x14ac:dyDescent="0.3">
      <c r="A330" s="7">
        <v>400241</v>
      </c>
      <c r="B330" t="str">
        <f>_xlfn.XLOOKUP(Vendas[[#This Row],[ID Vendedor]],Vendedores[ID],Vendedores[Nome])</f>
        <v>Rodrigo</v>
      </c>
      <c r="C330" s="7" t="str">
        <f>_xlfn.XLOOKUP(Vendas[[#This Row],[ID Vendedor]],Vendedores[ID],Vendedores[Setor])</f>
        <v>FM</v>
      </c>
      <c r="D330" s="7" t="s">
        <v>6</v>
      </c>
      <c r="E330" t="str">
        <f>_xlfn.XLOOKUP(Vendas[[#This Row],[ID Item Vendido]],Agregado[ID],Agregado[Produto])</f>
        <v>Parafuso comum 500un</v>
      </c>
      <c r="F330" s="39">
        <v>43720</v>
      </c>
      <c r="G330" s="7">
        <v>2</v>
      </c>
      <c r="H330" s="3">
        <f>_xlfn.XLOOKUP(Vendas[[#This Row],[ID Item Vendido]],Agregado[ID],Agregado[Revenda])</f>
        <v>24.6</v>
      </c>
      <c r="I330" s="3">
        <f>Vendas[[#This Row],[Valor Unitário]]*Vendas[[#This Row],[Qnt Vendida]]</f>
        <v>49.2</v>
      </c>
      <c r="J330" s="3">
        <f>Vendas[[#This Row],[Valor da Venda]]-(_xlfn.XLOOKUP(Vendas[[#This Row],[ID Item Vendido]],Agregado[ID],Agregado[Custo])*Vendas[[#This Row],[Qnt Vendida]])</f>
        <v>5.2000000000000028</v>
      </c>
      <c r="K330" s="70">
        <f>Vendas[[#This Row],[Lucro da Venda]]/Vendas[[#This Row],[Valor da Venda]]</f>
        <v>0.10569105691056915</v>
      </c>
      <c r="L330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330"/>
    </row>
    <row r="331" spans="1:13" x14ac:dyDescent="0.3">
      <c r="A331" s="7">
        <v>400243</v>
      </c>
      <c r="B331" t="str">
        <f>_xlfn.XLOOKUP(Vendas[[#This Row],[ID Vendedor]],Vendedores[ID],Vendedores[Nome])</f>
        <v>Marcelo</v>
      </c>
      <c r="C331" s="7" t="str">
        <f>_xlfn.XLOOKUP(Vendas[[#This Row],[ID Vendedor]],Vendedores[ID],Vendedores[Setor])</f>
        <v>FM</v>
      </c>
      <c r="D331" s="7" t="s">
        <v>20</v>
      </c>
      <c r="E331" t="str">
        <f>_xlfn.XLOOKUP(Vendas[[#This Row],[ID Item Vendido]],Agregado[ID],Agregado[Produto])</f>
        <v>Barra de aço simples</v>
      </c>
      <c r="F331" s="39">
        <v>43722</v>
      </c>
      <c r="G331" s="7">
        <v>142</v>
      </c>
      <c r="H331" s="3">
        <f>_xlfn.XLOOKUP(Vendas[[#This Row],[ID Item Vendido]],Agregado[ID],Agregado[Revenda])</f>
        <v>4.8</v>
      </c>
      <c r="I331" s="3">
        <f>Vendas[[#This Row],[Valor Unitário]]*Vendas[[#This Row],[Qnt Vendida]]</f>
        <v>681.6</v>
      </c>
      <c r="J331" s="3">
        <f>Vendas[[#This Row],[Valor da Venda]]-(_xlfn.XLOOKUP(Vendas[[#This Row],[ID Item Vendido]],Agregado[ID],Agregado[Custo])*Vendas[[#This Row],[Qnt Vendida]])</f>
        <v>85.200000000000045</v>
      </c>
      <c r="K331" s="70">
        <f>Vendas[[#This Row],[Lucro da Venda]]/Vendas[[#This Row],[Valor da Venda]]</f>
        <v>0.12500000000000006</v>
      </c>
      <c r="L331" s="3">
        <f>_xlfn.IFS(Vendas[[#This Row],[Margem de Lucro (%)]]&lt;15%,Vendas[[#This Row],[Valor da Venda]]*3%,Vendas[[#This Row],[Margem de Lucro (%)]]&lt;=20%,Vendas[[#This Row],[Valor da Venda]]*4.5%,TRUE,Vendas[[#This Row],[Valor da Venda]]*6%)</f>
        <v>20.448</v>
      </c>
      <c r="M331"/>
    </row>
    <row r="332" spans="1:13" x14ac:dyDescent="0.3">
      <c r="A332" s="7">
        <v>400241</v>
      </c>
      <c r="B332" t="str">
        <f>_xlfn.XLOOKUP(Vendas[[#This Row],[ID Vendedor]],Vendedores[ID],Vendedores[Nome])</f>
        <v>Rodrigo</v>
      </c>
      <c r="C332" s="7" t="str">
        <f>_xlfn.XLOOKUP(Vendas[[#This Row],[ID Vendedor]],Vendedores[ID],Vendedores[Setor])</f>
        <v>FM</v>
      </c>
      <c r="D332" s="7" t="s">
        <v>47</v>
      </c>
      <c r="E332" t="str">
        <f>_xlfn.XLOOKUP(Vendas[[#This Row],[ID Item Vendido]],Agregado[ID],Agregado[Produto])</f>
        <v>Fio de arame galvanizado rolo 50m</v>
      </c>
      <c r="F332" s="39">
        <v>43724</v>
      </c>
      <c r="G332" s="7">
        <v>13</v>
      </c>
      <c r="H332" s="3">
        <f>_xlfn.XLOOKUP(Vendas[[#This Row],[ID Item Vendido]],Agregado[ID],Agregado[Revenda])</f>
        <v>21.2</v>
      </c>
      <c r="I332" s="3">
        <f>Vendas[[#This Row],[Valor Unitário]]*Vendas[[#This Row],[Qnt Vendida]]</f>
        <v>275.59999999999997</v>
      </c>
      <c r="J332" s="3">
        <f>Vendas[[#This Row],[Valor da Venda]]-(_xlfn.XLOOKUP(Vendas[[#This Row],[ID Item Vendido]],Agregado[ID],Agregado[Custo])*Vendas[[#This Row],[Qnt Vendida]])</f>
        <v>41.599999999999966</v>
      </c>
      <c r="K332" s="70">
        <f>Vendas[[#This Row],[Lucro da Venda]]/Vendas[[#This Row],[Valor da Venda]]</f>
        <v>0.15094339622641498</v>
      </c>
      <c r="L332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332"/>
    </row>
    <row r="333" spans="1:13" x14ac:dyDescent="0.3">
      <c r="A333" s="7">
        <v>400249</v>
      </c>
      <c r="B333" t="str">
        <f>_xlfn.XLOOKUP(Vendas[[#This Row],[ID Vendedor]],Vendedores[ID],Vendedores[Nome])</f>
        <v>Bruno</v>
      </c>
      <c r="C333" s="7" t="str">
        <f>_xlfn.XLOOKUP(Vendas[[#This Row],[ID Vendedor]],Vendedores[ID],Vendedores[Setor])</f>
        <v>CM</v>
      </c>
      <c r="D333" s="7" t="s">
        <v>45</v>
      </c>
      <c r="E333" t="str">
        <f>_xlfn.XLOOKUP(Vendas[[#This Row],[ID Item Vendido]],Agregado[ID],Agregado[Produto])</f>
        <v>Viga de madeira tratada 4m</v>
      </c>
      <c r="F333" s="39">
        <v>43726</v>
      </c>
      <c r="G333" s="7">
        <v>16</v>
      </c>
      <c r="H333" s="3">
        <f>_xlfn.XLOOKUP(Vendas[[#This Row],[ID Item Vendido]],Agregado[ID],Agregado[Revenda])</f>
        <v>66</v>
      </c>
      <c r="I333" s="3">
        <f>Vendas[[#This Row],[Valor Unitário]]*Vendas[[#This Row],[Qnt Vendida]]</f>
        <v>1056</v>
      </c>
      <c r="J333" s="3">
        <f>Vendas[[#This Row],[Valor da Venda]]-(_xlfn.XLOOKUP(Vendas[[#This Row],[ID Item Vendido]],Agregado[ID],Agregado[Custo])*Vendas[[#This Row],[Qnt Vendida]])</f>
        <v>176</v>
      </c>
      <c r="K333" s="70">
        <f>Vendas[[#This Row],[Lucro da Venda]]/Vendas[[#This Row],[Valor da Venda]]</f>
        <v>0.16666666666666666</v>
      </c>
      <c r="L333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333"/>
    </row>
    <row r="334" spans="1:13" x14ac:dyDescent="0.3">
      <c r="A334" s="7">
        <v>400245</v>
      </c>
      <c r="B334" t="str">
        <f>_xlfn.XLOOKUP(Vendas[[#This Row],[ID Vendedor]],Vendedores[ID],Vendedores[Nome])</f>
        <v>Thiago</v>
      </c>
      <c r="C334" s="7" t="str">
        <f>_xlfn.XLOOKUP(Vendas[[#This Row],[ID Vendedor]],Vendedores[ID],Vendedores[Setor])</f>
        <v>AHD</v>
      </c>
      <c r="D334" s="7" t="s">
        <v>30</v>
      </c>
      <c r="E334" t="str">
        <f>_xlfn.XLOOKUP(Vendas[[#This Row],[ID Item Vendido]],Agregado[ID],Agregado[Produto])</f>
        <v>Estrutura metálica soldada</v>
      </c>
      <c r="F334" s="39">
        <v>43727</v>
      </c>
      <c r="G334" s="7">
        <v>7</v>
      </c>
      <c r="H334" s="3">
        <f>_xlfn.XLOOKUP(Vendas[[#This Row],[ID Item Vendido]],Agregado[ID],Agregado[Revenda])</f>
        <v>400</v>
      </c>
      <c r="I334" s="3">
        <f>Vendas[[#This Row],[Valor Unitário]]*Vendas[[#This Row],[Qnt Vendida]]</f>
        <v>2800</v>
      </c>
      <c r="J334" s="3">
        <f>Vendas[[#This Row],[Valor da Venda]]-(_xlfn.XLOOKUP(Vendas[[#This Row],[ID Item Vendido]],Agregado[ID],Agregado[Custo])*Vendas[[#This Row],[Qnt Vendida]])</f>
        <v>560</v>
      </c>
      <c r="K334" s="70">
        <f>Vendas[[#This Row],[Lucro da Venda]]/Vendas[[#This Row],[Valor da Venda]]</f>
        <v>0.2</v>
      </c>
      <c r="L334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334"/>
    </row>
    <row r="335" spans="1:13" x14ac:dyDescent="0.3">
      <c r="A335" s="7">
        <v>400243</v>
      </c>
      <c r="B335" t="str">
        <f>_xlfn.XLOOKUP(Vendas[[#This Row],[ID Vendedor]],Vendedores[ID],Vendedores[Nome])</f>
        <v>Marcelo</v>
      </c>
      <c r="C335" s="7" t="str">
        <f>_xlfn.XLOOKUP(Vendas[[#This Row],[ID Vendedor]],Vendedores[ID],Vendedores[Setor])</f>
        <v>FM</v>
      </c>
      <c r="D335" s="7" t="s">
        <v>27</v>
      </c>
      <c r="E335" t="str">
        <f>_xlfn.XLOOKUP(Vendas[[#This Row],[ID Item Vendido]],Agregado[ID],Agregado[Produto])</f>
        <v>Chapa de metal lisa 1x2m</v>
      </c>
      <c r="F335" s="39">
        <v>43727</v>
      </c>
      <c r="G335" s="7">
        <v>22</v>
      </c>
      <c r="H335" s="3">
        <f>_xlfn.XLOOKUP(Vendas[[#This Row],[ID Item Vendido]],Agregado[ID],Agregado[Revenda])</f>
        <v>52</v>
      </c>
      <c r="I335" s="3">
        <f>Vendas[[#This Row],[Valor Unitário]]*Vendas[[#This Row],[Qnt Vendida]]</f>
        <v>1144</v>
      </c>
      <c r="J335" s="3">
        <f>Vendas[[#This Row],[Valor da Venda]]-(_xlfn.XLOOKUP(Vendas[[#This Row],[ID Item Vendido]],Agregado[ID],Agregado[Custo])*Vendas[[#This Row],[Qnt Vendida]])</f>
        <v>154</v>
      </c>
      <c r="K335" s="70">
        <f>Vendas[[#This Row],[Lucro da Venda]]/Vendas[[#This Row],[Valor da Venda]]</f>
        <v>0.13461538461538461</v>
      </c>
      <c r="L335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335"/>
    </row>
    <row r="336" spans="1:13" x14ac:dyDescent="0.3">
      <c r="A336" s="7">
        <v>400249</v>
      </c>
      <c r="B336" t="str">
        <f>_xlfn.XLOOKUP(Vendas[[#This Row],[ID Vendedor]],Vendedores[ID],Vendedores[Nome])</f>
        <v>Bruno</v>
      </c>
      <c r="C336" s="7" t="str">
        <f>_xlfn.XLOOKUP(Vendas[[#This Row],[ID Vendedor]],Vendedores[ID],Vendedores[Setor])</f>
        <v>CM</v>
      </c>
      <c r="D336" s="7" t="s">
        <v>22</v>
      </c>
      <c r="E336" t="str">
        <f>_xlfn.XLOOKUP(Vendas[[#This Row],[ID Item Vendido]],Agregado[ID],Agregado[Produto])</f>
        <v>Painel MDP 2,75x1,83m</v>
      </c>
      <c r="F336" s="39">
        <v>43729</v>
      </c>
      <c r="G336" s="7">
        <v>10</v>
      </c>
      <c r="H336" s="3">
        <f>_xlfn.XLOOKUP(Vendas[[#This Row],[ID Item Vendido]],Agregado[ID],Agregado[Revenda])</f>
        <v>119</v>
      </c>
      <c r="I336" s="3">
        <f>Vendas[[#This Row],[Valor Unitário]]*Vendas[[#This Row],[Qnt Vendida]]</f>
        <v>1190</v>
      </c>
      <c r="J336" s="3">
        <f>Vendas[[#This Row],[Valor da Venda]]-(_xlfn.XLOOKUP(Vendas[[#This Row],[ID Item Vendido]],Agregado[ID],Agregado[Custo])*Vendas[[#This Row],[Qnt Vendida]])</f>
        <v>240</v>
      </c>
      <c r="K336" s="70">
        <f>Vendas[[#This Row],[Lucro da Venda]]/Vendas[[#This Row],[Valor da Venda]]</f>
        <v>0.20168067226890757</v>
      </c>
      <c r="L336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336"/>
    </row>
    <row r="337" spans="1:13" x14ac:dyDescent="0.3">
      <c r="A337" s="7">
        <v>400245</v>
      </c>
      <c r="B337" t="str">
        <f>_xlfn.XLOOKUP(Vendas[[#This Row],[ID Vendedor]],Vendedores[ID],Vendedores[Nome])</f>
        <v>Thiago</v>
      </c>
      <c r="C337" s="7" t="str">
        <f>_xlfn.XLOOKUP(Vendas[[#This Row],[ID Vendedor]],Vendedores[ID],Vendedores[Setor])</f>
        <v>AHD</v>
      </c>
      <c r="D337" s="7" t="s">
        <v>30</v>
      </c>
      <c r="E337" t="str">
        <f>_xlfn.XLOOKUP(Vendas[[#This Row],[ID Item Vendido]],Agregado[ID],Agregado[Produto])</f>
        <v>Estrutura metálica soldada</v>
      </c>
      <c r="F337" s="39">
        <v>43730</v>
      </c>
      <c r="G337" s="7">
        <v>1</v>
      </c>
      <c r="H337" s="3">
        <f>_xlfn.XLOOKUP(Vendas[[#This Row],[ID Item Vendido]],Agregado[ID],Agregado[Revenda])</f>
        <v>400</v>
      </c>
      <c r="I337" s="3">
        <f>Vendas[[#This Row],[Valor Unitário]]*Vendas[[#This Row],[Qnt Vendida]]</f>
        <v>400</v>
      </c>
      <c r="J337" s="3">
        <f>Vendas[[#This Row],[Valor da Venda]]-(_xlfn.XLOOKUP(Vendas[[#This Row],[ID Item Vendido]],Agregado[ID],Agregado[Custo])*Vendas[[#This Row],[Qnt Vendida]])</f>
        <v>80</v>
      </c>
      <c r="K337" s="70">
        <f>Vendas[[#This Row],[Lucro da Venda]]/Vendas[[#This Row],[Valor da Venda]]</f>
        <v>0.2</v>
      </c>
      <c r="L337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37"/>
    </row>
    <row r="338" spans="1:13" x14ac:dyDescent="0.3">
      <c r="A338" s="7">
        <v>400241</v>
      </c>
      <c r="B338" t="str">
        <f>_xlfn.XLOOKUP(Vendas[[#This Row],[ID Vendedor]],Vendedores[ID],Vendedores[Nome])</f>
        <v>Rodrigo</v>
      </c>
      <c r="C338" s="7" t="str">
        <f>_xlfn.XLOOKUP(Vendas[[#This Row],[ID Vendedor]],Vendedores[ID],Vendedores[Setor])</f>
        <v>FM</v>
      </c>
      <c r="D338" s="7" t="s">
        <v>47</v>
      </c>
      <c r="E338" t="str">
        <f>_xlfn.XLOOKUP(Vendas[[#This Row],[ID Item Vendido]],Agregado[ID],Agregado[Produto])</f>
        <v>Fio de arame galvanizado rolo 50m</v>
      </c>
      <c r="F338" s="39">
        <v>43733</v>
      </c>
      <c r="G338" s="7">
        <v>13</v>
      </c>
      <c r="H338" s="3">
        <f>_xlfn.XLOOKUP(Vendas[[#This Row],[ID Item Vendido]],Agregado[ID],Agregado[Revenda])</f>
        <v>21.2</v>
      </c>
      <c r="I338" s="3">
        <f>Vendas[[#This Row],[Valor Unitário]]*Vendas[[#This Row],[Qnt Vendida]]</f>
        <v>275.59999999999997</v>
      </c>
      <c r="J338" s="3">
        <f>Vendas[[#This Row],[Valor da Venda]]-(_xlfn.XLOOKUP(Vendas[[#This Row],[ID Item Vendido]],Agregado[ID],Agregado[Custo])*Vendas[[#This Row],[Qnt Vendida]])</f>
        <v>41.599999999999966</v>
      </c>
      <c r="K338" s="70">
        <f>Vendas[[#This Row],[Lucro da Venda]]/Vendas[[#This Row],[Valor da Venda]]</f>
        <v>0.15094339622641498</v>
      </c>
      <c r="L338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338"/>
    </row>
    <row r="339" spans="1:13" x14ac:dyDescent="0.3">
      <c r="A339" s="7">
        <v>400243</v>
      </c>
      <c r="B339" t="str">
        <f>_xlfn.XLOOKUP(Vendas[[#This Row],[ID Vendedor]],Vendedores[ID],Vendedores[Nome])</f>
        <v>Marcelo</v>
      </c>
      <c r="C339" s="7" t="str">
        <f>_xlfn.XLOOKUP(Vendas[[#This Row],[ID Vendedor]],Vendedores[ID],Vendedores[Setor])</f>
        <v>FM</v>
      </c>
      <c r="D339" s="7" t="s">
        <v>27</v>
      </c>
      <c r="E339" t="str">
        <f>_xlfn.XLOOKUP(Vendas[[#This Row],[ID Item Vendido]],Agregado[ID],Agregado[Produto])</f>
        <v>Chapa de metal lisa 1x2m</v>
      </c>
      <c r="F339" s="39">
        <v>43733</v>
      </c>
      <c r="G339" s="7">
        <v>4</v>
      </c>
      <c r="H339" s="3">
        <f>_xlfn.XLOOKUP(Vendas[[#This Row],[ID Item Vendido]],Agregado[ID],Agregado[Revenda])</f>
        <v>52</v>
      </c>
      <c r="I339" s="3">
        <f>Vendas[[#This Row],[Valor Unitário]]*Vendas[[#This Row],[Qnt Vendida]]</f>
        <v>208</v>
      </c>
      <c r="J339" s="3">
        <f>Vendas[[#This Row],[Valor da Venda]]-(_xlfn.XLOOKUP(Vendas[[#This Row],[ID Item Vendido]],Agregado[ID],Agregado[Custo])*Vendas[[#This Row],[Qnt Vendida]])</f>
        <v>28</v>
      </c>
      <c r="K339" s="70">
        <f>Vendas[[#This Row],[Lucro da Venda]]/Vendas[[#This Row],[Valor da Venda]]</f>
        <v>0.13461538461538461</v>
      </c>
      <c r="L339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339"/>
    </row>
    <row r="340" spans="1:13" x14ac:dyDescent="0.3">
      <c r="A340" s="7">
        <v>400251</v>
      </c>
      <c r="B340" t="str">
        <f>_xlfn.XLOOKUP(Vendas[[#This Row],[ID Vendedor]],Vendedores[ID],Vendedores[Nome])</f>
        <v>Diego</v>
      </c>
      <c r="C340" s="7" t="str">
        <f>_xlfn.XLOOKUP(Vendas[[#This Row],[ID Vendedor]],Vendedores[ID],Vendedores[Setor])</f>
        <v>AB</v>
      </c>
      <c r="D340" s="7" t="s">
        <v>39</v>
      </c>
      <c r="E340" t="str">
        <f>_xlfn.XLOOKUP(Vendas[[#This Row],[ID Item Vendido]],Agregado[ID],Agregado[Produto])</f>
        <v>Filme plástico industrial rolo 50m</v>
      </c>
      <c r="F340" s="39">
        <v>43734</v>
      </c>
      <c r="G340" s="7">
        <v>26</v>
      </c>
      <c r="H340" s="3">
        <f>_xlfn.XLOOKUP(Vendas[[#This Row],[ID Item Vendido]],Agregado[ID],Agregado[Revenda])</f>
        <v>37</v>
      </c>
      <c r="I340" s="3">
        <f>Vendas[[#This Row],[Valor Unitário]]*Vendas[[#This Row],[Qnt Vendida]]</f>
        <v>962</v>
      </c>
      <c r="J340" s="3">
        <f>Vendas[[#This Row],[Valor da Venda]]-(_xlfn.XLOOKUP(Vendas[[#This Row],[ID Item Vendido]],Agregado[ID],Agregado[Custo])*Vendas[[#This Row],[Qnt Vendida]])</f>
        <v>234</v>
      </c>
      <c r="K340" s="70">
        <f>Vendas[[#This Row],[Lucro da Venda]]/Vendas[[#This Row],[Valor da Venda]]</f>
        <v>0.24324324324324326</v>
      </c>
      <c r="L340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40"/>
    </row>
    <row r="341" spans="1:13" x14ac:dyDescent="0.3">
      <c r="A341" s="7">
        <v>400255</v>
      </c>
      <c r="B341" t="str">
        <f>_xlfn.XLOOKUP(Vendas[[#This Row],[ID Vendedor]],Vendedores[ID],Vendedores[Nome])</f>
        <v>Carlos</v>
      </c>
      <c r="C341" s="7" t="str">
        <f>_xlfn.XLOOKUP(Vendas[[#This Row],[ID Vendedor]],Vendedores[ID],Vendedores[Setor])</f>
        <v>SC</v>
      </c>
      <c r="D341" s="7" t="s">
        <v>25</v>
      </c>
      <c r="E341" t="str">
        <f>_xlfn.XLOOKUP(Vendas[[#This Row],[ID Item Vendido]],Agregado[ID],Agregado[Produto])</f>
        <v>Palete de plástico</v>
      </c>
      <c r="F341" s="39">
        <v>43734</v>
      </c>
      <c r="G341" s="7">
        <v>9</v>
      </c>
      <c r="H341" s="3">
        <f>_xlfn.XLOOKUP(Vendas[[#This Row],[ID Item Vendido]],Agregado[ID],Agregado[Revenda])</f>
        <v>70.8</v>
      </c>
      <c r="I341" s="3">
        <f>Vendas[[#This Row],[Valor Unitário]]*Vendas[[#This Row],[Qnt Vendida]]</f>
        <v>637.19999999999993</v>
      </c>
      <c r="J341" s="3">
        <f>Vendas[[#This Row],[Valor da Venda]]-(_xlfn.XLOOKUP(Vendas[[#This Row],[ID Item Vendido]],Agregado[ID],Agregado[Custo])*Vendas[[#This Row],[Qnt Vendida]])</f>
        <v>97.199999999999932</v>
      </c>
      <c r="K341" s="70">
        <f>Vendas[[#This Row],[Lucro da Venda]]/Vendas[[#This Row],[Valor da Venda]]</f>
        <v>0.15254237288135583</v>
      </c>
      <c r="L341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341"/>
    </row>
    <row r="342" spans="1:13" x14ac:dyDescent="0.3">
      <c r="A342" s="7">
        <v>400245</v>
      </c>
      <c r="B342" t="str">
        <f>_xlfn.XLOOKUP(Vendas[[#This Row],[ID Vendedor]],Vendedores[ID],Vendedores[Nome])</f>
        <v>Thiago</v>
      </c>
      <c r="C342" s="7" t="str">
        <f>_xlfn.XLOOKUP(Vendas[[#This Row],[ID Vendedor]],Vendedores[ID],Vendedores[Setor])</f>
        <v>AHD</v>
      </c>
      <c r="D342" s="7" t="s">
        <v>44</v>
      </c>
      <c r="E342" t="str">
        <f>_xlfn.XLOOKUP(Vendas[[#This Row],[ID Item Vendido]],Agregado[ID],Agregado[Produto])</f>
        <v>Liga metálica especial</v>
      </c>
      <c r="F342" s="39">
        <v>43735</v>
      </c>
      <c r="G342" s="7">
        <v>50</v>
      </c>
      <c r="H342" s="3">
        <f>_xlfn.XLOOKUP(Vendas[[#This Row],[ID Item Vendido]],Agregado[ID],Agregado[Revenda])</f>
        <v>32.5</v>
      </c>
      <c r="I342" s="3">
        <f>Vendas[[#This Row],[Valor Unitário]]*Vendas[[#This Row],[Qnt Vendida]]</f>
        <v>1625</v>
      </c>
      <c r="J342" s="3">
        <f>Vendas[[#This Row],[Valor da Venda]]-(_xlfn.XLOOKUP(Vendas[[#This Row],[ID Item Vendido]],Agregado[ID],Agregado[Custo])*Vendas[[#This Row],[Qnt Vendida]])</f>
        <v>375</v>
      </c>
      <c r="K342" s="70">
        <f>Vendas[[#This Row],[Lucro da Venda]]/Vendas[[#This Row],[Valor da Venda]]</f>
        <v>0.23076923076923078</v>
      </c>
      <c r="L342" s="3">
        <f>_xlfn.IFS(Vendas[[#This Row],[Margem de Lucro (%)]]&lt;15%,Vendas[[#This Row],[Valor da Venda]]*3%,Vendas[[#This Row],[Margem de Lucro (%)]]&lt;=20%,Vendas[[#This Row],[Valor da Venda]]*4.5%,TRUE,Vendas[[#This Row],[Valor da Venda]]*6%)</f>
        <v>97.5</v>
      </c>
      <c r="M342"/>
    </row>
    <row r="343" spans="1:13" x14ac:dyDescent="0.3">
      <c r="A343" s="7">
        <v>400255</v>
      </c>
      <c r="B343" t="str">
        <f>_xlfn.XLOOKUP(Vendas[[#This Row],[ID Vendedor]],Vendedores[ID],Vendedores[Nome])</f>
        <v>Carlos</v>
      </c>
      <c r="C343" s="7" t="str">
        <f>_xlfn.XLOOKUP(Vendas[[#This Row],[ID Vendedor]],Vendedores[ID],Vendedores[Setor])</f>
        <v>SC</v>
      </c>
      <c r="D343" s="7" t="s">
        <v>14</v>
      </c>
      <c r="E343" t="str">
        <f>_xlfn.XLOOKUP(Vendas[[#This Row],[ID Item Vendido]],Agregado[ID],Agregado[Produto])</f>
        <v>Barril de plástico 200L</v>
      </c>
      <c r="F343" s="39">
        <v>43735</v>
      </c>
      <c r="G343" s="7">
        <v>8</v>
      </c>
      <c r="H343" s="3">
        <f>_xlfn.XLOOKUP(Vendas[[#This Row],[ID Item Vendido]],Agregado[ID],Agregado[Revenda])</f>
        <v>114</v>
      </c>
      <c r="I343" s="3">
        <f>Vendas[[#This Row],[Valor Unitário]]*Vendas[[#This Row],[Qnt Vendida]]</f>
        <v>912</v>
      </c>
      <c r="J343" s="3">
        <f>Vendas[[#This Row],[Valor da Venda]]-(_xlfn.XLOOKUP(Vendas[[#This Row],[ID Item Vendido]],Agregado[ID],Agregado[Custo])*Vendas[[#This Row],[Qnt Vendida]])</f>
        <v>152</v>
      </c>
      <c r="K343" s="70">
        <f>Vendas[[#This Row],[Lucro da Venda]]/Vendas[[#This Row],[Valor da Venda]]</f>
        <v>0.16666666666666666</v>
      </c>
      <c r="L343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343"/>
    </row>
    <row r="344" spans="1:13" x14ac:dyDescent="0.3">
      <c r="A344" s="7">
        <v>400251</v>
      </c>
      <c r="B344" t="str">
        <f>_xlfn.XLOOKUP(Vendas[[#This Row],[ID Vendedor]],Vendedores[ID],Vendedores[Nome])</f>
        <v>Diego</v>
      </c>
      <c r="C344" s="7" t="str">
        <f>_xlfn.XLOOKUP(Vendas[[#This Row],[ID Vendedor]],Vendedores[ID],Vendedores[Setor])</f>
        <v>AB</v>
      </c>
      <c r="D344" s="7" t="s">
        <v>36</v>
      </c>
      <c r="E344" t="str">
        <f>_xlfn.XLOOKUP(Vendas[[#This Row],[ID Item Vendido]],Agregado[ID],Agregado[Produto])</f>
        <v>Borracha vulcanizada em manta</v>
      </c>
      <c r="F344" s="39">
        <v>43736</v>
      </c>
      <c r="G344" s="7">
        <v>79</v>
      </c>
      <c r="H344" s="3">
        <f>_xlfn.XLOOKUP(Vendas[[#This Row],[ID Item Vendido]],Agregado[ID],Agregado[Revenda])</f>
        <v>7.8</v>
      </c>
      <c r="I344" s="3">
        <f>Vendas[[#This Row],[Valor Unitário]]*Vendas[[#This Row],[Qnt Vendida]]</f>
        <v>616.19999999999993</v>
      </c>
      <c r="J344" s="3">
        <f>Vendas[[#This Row],[Valor da Venda]]-(_xlfn.XLOOKUP(Vendas[[#This Row],[ID Item Vendido]],Agregado[ID],Agregado[Custo])*Vendas[[#This Row],[Qnt Vendida]])</f>
        <v>142.19999999999993</v>
      </c>
      <c r="K344" s="70">
        <f>Vendas[[#This Row],[Lucro da Venda]]/Vendas[[#This Row],[Valor da Venda]]</f>
        <v>0.23076923076923067</v>
      </c>
      <c r="L344" s="3">
        <f>_xlfn.IFS(Vendas[[#This Row],[Margem de Lucro (%)]]&lt;15%,Vendas[[#This Row],[Valor da Venda]]*3%,Vendas[[#This Row],[Margem de Lucro (%)]]&lt;=20%,Vendas[[#This Row],[Valor da Venda]]*4.5%,TRUE,Vendas[[#This Row],[Valor da Venda]]*6%)</f>
        <v>36.971999999999994</v>
      </c>
      <c r="M344"/>
    </row>
    <row r="345" spans="1:13" x14ac:dyDescent="0.3">
      <c r="A345" s="7">
        <v>400247</v>
      </c>
      <c r="B345" t="str">
        <f>_xlfn.XLOOKUP(Vendas[[#This Row],[ID Vendedor]],Vendedores[ID],Vendedores[Nome])</f>
        <v>André</v>
      </c>
      <c r="C345" s="7" t="str">
        <f>_xlfn.XLOOKUP(Vendas[[#This Row],[ID Vendedor]],Vendedores[ID],Vendedores[Setor])</f>
        <v>CM</v>
      </c>
      <c r="D345" s="7" t="s">
        <v>43</v>
      </c>
      <c r="E345" t="str">
        <f>_xlfn.XLOOKUP(Vendas[[#This Row],[ID Item Vendido]],Agregado[ID],Agregado[Produto])</f>
        <v>Madeira Bruta (Tora)</v>
      </c>
      <c r="F345" s="39">
        <v>43737</v>
      </c>
      <c r="G345" s="7">
        <v>12</v>
      </c>
      <c r="H345" s="3">
        <f>_xlfn.XLOOKUP(Vendas[[#This Row],[ID Item Vendido]],Agregado[ID],Agregado[Revenda])</f>
        <v>212</v>
      </c>
      <c r="I345" s="3">
        <f>Vendas[[#This Row],[Valor Unitário]]*Vendas[[#This Row],[Qnt Vendida]]</f>
        <v>2544</v>
      </c>
      <c r="J345" s="3">
        <f>Vendas[[#This Row],[Valor da Venda]]-(_xlfn.XLOOKUP(Vendas[[#This Row],[ID Item Vendido]],Agregado[ID],Agregado[Custo])*Vendas[[#This Row],[Qnt Vendida]])</f>
        <v>384</v>
      </c>
      <c r="K345" s="70">
        <f>Vendas[[#This Row],[Lucro da Venda]]/Vendas[[#This Row],[Valor da Venda]]</f>
        <v>0.15094339622641509</v>
      </c>
      <c r="L345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345"/>
    </row>
    <row r="346" spans="1:13" x14ac:dyDescent="0.3">
      <c r="A346" s="7">
        <v>400249</v>
      </c>
      <c r="B346" t="str">
        <f>_xlfn.XLOOKUP(Vendas[[#This Row],[ID Vendedor]],Vendedores[ID],Vendedores[Nome])</f>
        <v>Bruno</v>
      </c>
      <c r="C346" s="7" t="str">
        <f>_xlfn.XLOOKUP(Vendas[[#This Row],[ID Vendedor]],Vendedores[ID],Vendedores[Setor])</f>
        <v>CM</v>
      </c>
      <c r="D346" s="7" t="s">
        <v>34</v>
      </c>
      <c r="E346" t="str">
        <f>_xlfn.XLOOKUP(Vendas[[#This Row],[ID Item Vendido]],Agregado[ID],Agregado[Produto])</f>
        <v>Restos de madeira p/ MDP/OSB saco de 20kg</v>
      </c>
      <c r="F346" s="39">
        <v>43737</v>
      </c>
      <c r="G346" s="7">
        <v>23</v>
      </c>
      <c r="H346" s="3">
        <f>_xlfn.XLOOKUP(Vendas[[#This Row],[ID Item Vendido]],Agregado[ID],Agregado[Revenda])</f>
        <v>13.8</v>
      </c>
      <c r="I346" s="3">
        <f>Vendas[[#This Row],[Valor Unitário]]*Vendas[[#This Row],[Qnt Vendida]]</f>
        <v>317.40000000000003</v>
      </c>
      <c r="J346" s="3">
        <f>Vendas[[#This Row],[Valor da Venda]]-(_xlfn.XLOOKUP(Vendas[[#This Row],[ID Item Vendido]],Agregado[ID],Agregado[Custo])*Vendas[[#This Row],[Qnt Vendida]])</f>
        <v>41.400000000000034</v>
      </c>
      <c r="K346" s="70">
        <f>Vendas[[#This Row],[Lucro da Venda]]/Vendas[[#This Row],[Valor da Venda]]</f>
        <v>0.13043478260869573</v>
      </c>
      <c r="L346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346"/>
    </row>
    <row r="347" spans="1:13" x14ac:dyDescent="0.3">
      <c r="A347" s="7">
        <v>400251</v>
      </c>
      <c r="B347" t="str">
        <f>_xlfn.XLOOKUP(Vendas[[#This Row],[ID Vendedor]],Vendedores[ID],Vendedores[Nome])</f>
        <v>Diego</v>
      </c>
      <c r="C347" s="7" t="str">
        <f>_xlfn.XLOOKUP(Vendas[[#This Row],[ID Vendedor]],Vendedores[ID],Vendedores[Setor])</f>
        <v>AB</v>
      </c>
      <c r="D347" s="7" t="s">
        <v>36</v>
      </c>
      <c r="E347" t="str">
        <f>_xlfn.XLOOKUP(Vendas[[#This Row],[ID Item Vendido]],Agregado[ID],Agregado[Produto])</f>
        <v>Borracha vulcanizada em manta</v>
      </c>
      <c r="F347" s="39">
        <v>43739</v>
      </c>
      <c r="G347" s="7">
        <v>17</v>
      </c>
      <c r="H347" s="3">
        <f>_xlfn.XLOOKUP(Vendas[[#This Row],[ID Item Vendido]],Agregado[ID],Agregado[Revenda])</f>
        <v>7.8</v>
      </c>
      <c r="I347" s="3">
        <f>Vendas[[#This Row],[Valor Unitário]]*Vendas[[#This Row],[Qnt Vendida]]</f>
        <v>132.6</v>
      </c>
      <c r="J347" s="3">
        <f>Vendas[[#This Row],[Valor da Venda]]-(_xlfn.XLOOKUP(Vendas[[#This Row],[ID Item Vendido]],Agregado[ID],Agregado[Custo])*Vendas[[#This Row],[Qnt Vendida]])</f>
        <v>30.599999999999994</v>
      </c>
      <c r="K347" s="70">
        <f>Vendas[[#This Row],[Lucro da Venda]]/Vendas[[#This Row],[Valor da Venda]]</f>
        <v>0.23076923076923073</v>
      </c>
      <c r="L347" s="3">
        <f>_xlfn.IFS(Vendas[[#This Row],[Margem de Lucro (%)]]&lt;15%,Vendas[[#This Row],[Valor da Venda]]*3%,Vendas[[#This Row],[Margem de Lucro (%)]]&lt;=20%,Vendas[[#This Row],[Valor da Venda]]*4.5%,TRUE,Vendas[[#This Row],[Valor da Venda]]*6%)</f>
        <v>7.9559999999999995</v>
      </c>
      <c r="M347"/>
    </row>
    <row r="348" spans="1:13" x14ac:dyDescent="0.3">
      <c r="A348" s="7">
        <v>400247</v>
      </c>
      <c r="B348" t="str">
        <f>_xlfn.XLOOKUP(Vendas[[#This Row],[ID Vendedor]],Vendedores[ID],Vendedores[Nome])</f>
        <v>André</v>
      </c>
      <c r="C348" s="7" t="str">
        <f>_xlfn.XLOOKUP(Vendas[[#This Row],[ID Vendedor]],Vendedores[ID],Vendedores[Setor])</f>
        <v>CM</v>
      </c>
      <c r="D348" s="7" t="s">
        <v>45</v>
      </c>
      <c r="E348" t="str">
        <f>_xlfn.XLOOKUP(Vendas[[#This Row],[ID Item Vendido]],Agregado[ID],Agregado[Produto])</f>
        <v>Viga de madeira tratada 4m</v>
      </c>
      <c r="F348" s="39">
        <v>43740</v>
      </c>
      <c r="G348" s="7">
        <v>15</v>
      </c>
      <c r="H348" s="3">
        <f>_xlfn.XLOOKUP(Vendas[[#This Row],[ID Item Vendido]],Agregado[ID],Agregado[Revenda])</f>
        <v>66</v>
      </c>
      <c r="I348" s="3">
        <f>Vendas[[#This Row],[Valor Unitário]]*Vendas[[#This Row],[Qnt Vendida]]</f>
        <v>990</v>
      </c>
      <c r="J348" s="3">
        <f>Vendas[[#This Row],[Valor da Venda]]-(_xlfn.XLOOKUP(Vendas[[#This Row],[ID Item Vendido]],Agregado[ID],Agregado[Custo])*Vendas[[#This Row],[Qnt Vendida]])</f>
        <v>165</v>
      </c>
      <c r="K348" s="70">
        <f>Vendas[[#This Row],[Lucro da Venda]]/Vendas[[#This Row],[Valor da Venda]]</f>
        <v>0.16666666666666666</v>
      </c>
      <c r="L348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348"/>
    </row>
    <row r="349" spans="1:13" x14ac:dyDescent="0.3">
      <c r="A349" s="7">
        <v>400241</v>
      </c>
      <c r="B349" t="str">
        <f>_xlfn.XLOOKUP(Vendas[[#This Row],[ID Vendedor]],Vendedores[ID],Vendedores[Nome])</f>
        <v>Rodrigo</v>
      </c>
      <c r="C349" s="7" t="str">
        <f>_xlfn.XLOOKUP(Vendas[[#This Row],[ID Vendedor]],Vendedores[ID],Vendedores[Setor])</f>
        <v>FM</v>
      </c>
      <c r="D349" s="7" t="s">
        <v>20</v>
      </c>
      <c r="E349" t="str">
        <f>_xlfn.XLOOKUP(Vendas[[#This Row],[ID Item Vendido]],Agregado[ID],Agregado[Produto])</f>
        <v>Barra de aço simples</v>
      </c>
      <c r="F349" s="39">
        <v>43740</v>
      </c>
      <c r="G349" s="7">
        <v>54</v>
      </c>
      <c r="H349" s="3">
        <f>_xlfn.XLOOKUP(Vendas[[#This Row],[ID Item Vendido]],Agregado[ID],Agregado[Revenda])</f>
        <v>4.8</v>
      </c>
      <c r="I349" s="3">
        <f>Vendas[[#This Row],[Valor Unitário]]*Vendas[[#This Row],[Qnt Vendida]]</f>
        <v>259.2</v>
      </c>
      <c r="J349" s="3">
        <f>Vendas[[#This Row],[Valor da Venda]]-(_xlfn.XLOOKUP(Vendas[[#This Row],[ID Item Vendido]],Agregado[ID],Agregado[Custo])*Vendas[[#This Row],[Qnt Vendida]])</f>
        <v>32.399999999999977</v>
      </c>
      <c r="K349" s="70">
        <f>Vendas[[#This Row],[Lucro da Venda]]/Vendas[[#This Row],[Valor da Venda]]</f>
        <v>0.12499999999999992</v>
      </c>
      <c r="L349" s="3">
        <f>_xlfn.IFS(Vendas[[#This Row],[Margem de Lucro (%)]]&lt;15%,Vendas[[#This Row],[Valor da Venda]]*3%,Vendas[[#This Row],[Margem de Lucro (%)]]&lt;=20%,Vendas[[#This Row],[Valor da Venda]]*4.5%,TRUE,Vendas[[#This Row],[Valor da Venda]]*6%)</f>
        <v>7.7759999999999998</v>
      </c>
      <c r="M349"/>
    </row>
    <row r="350" spans="1:13" x14ac:dyDescent="0.3">
      <c r="A350" s="7">
        <v>400255</v>
      </c>
      <c r="B350" t="str">
        <f>_xlfn.XLOOKUP(Vendas[[#This Row],[ID Vendedor]],Vendedores[ID],Vendedores[Nome])</f>
        <v>Carlos</v>
      </c>
      <c r="C350" s="7" t="str">
        <f>_xlfn.XLOOKUP(Vendas[[#This Row],[ID Vendedor]],Vendedores[ID],Vendedores[Setor])</f>
        <v>SC</v>
      </c>
      <c r="D350" s="7" t="s">
        <v>48</v>
      </c>
      <c r="E350" t="str">
        <f>_xlfn.XLOOKUP(Vendas[[#This Row],[ID Item Vendido]],Agregado[ID],Agregado[Produto])</f>
        <v>Tambor metálico 200L</v>
      </c>
      <c r="F350" s="39">
        <v>43741</v>
      </c>
      <c r="G350" s="7">
        <v>4</v>
      </c>
      <c r="H350" s="3">
        <f>_xlfn.XLOOKUP(Vendas[[#This Row],[ID Item Vendido]],Agregado[ID],Agregado[Revenda])</f>
        <v>144</v>
      </c>
      <c r="I350" s="3">
        <f>Vendas[[#This Row],[Valor Unitário]]*Vendas[[#This Row],[Qnt Vendida]]</f>
        <v>576</v>
      </c>
      <c r="J350" s="3">
        <f>Vendas[[#This Row],[Valor da Venda]]-(_xlfn.XLOOKUP(Vendas[[#This Row],[ID Item Vendido]],Agregado[ID],Agregado[Custo])*Vendas[[#This Row],[Qnt Vendida]])</f>
        <v>96</v>
      </c>
      <c r="K350" s="70">
        <f>Vendas[[#This Row],[Lucro da Venda]]/Vendas[[#This Row],[Valor da Venda]]</f>
        <v>0.16666666666666666</v>
      </c>
      <c r="L350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350"/>
    </row>
    <row r="351" spans="1:13" x14ac:dyDescent="0.3">
      <c r="A351" s="7">
        <v>400249</v>
      </c>
      <c r="B351" t="str">
        <f>_xlfn.XLOOKUP(Vendas[[#This Row],[ID Vendedor]],Vendedores[ID],Vendedores[Nome])</f>
        <v>Bruno</v>
      </c>
      <c r="C351" s="7" t="str">
        <f>_xlfn.XLOOKUP(Vendas[[#This Row],[ID Vendedor]],Vendedores[ID],Vendedores[Setor])</f>
        <v>CM</v>
      </c>
      <c r="D351" s="7" t="s">
        <v>22</v>
      </c>
      <c r="E351" t="str">
        <f>_xlfn.XLOOKUP(Vendas[[#This Row],[ID Item Vendido]],Agregado[ID],Agregado[Produto])</f>
        <v>Painel MDP 2,75x1,83m</v>
      </c>
      <c r="F351" s="39">
        <v>43742</v>
      </c>
      <c r="G351" s="7">
        <v>18</v>
      </c>
      <c r="H351" s="3">
        <f>_xlfn.XLOOKUP(Vendas[[#This Row],[ID Item Vendido]],Agregado[ID],Agregado[Revenda])</f>
        <v>119</v>
      </c>
      <c r="I351" s="3">
        <f>Vendas[[#This Row],[Valor Unitário]]*Vendas[[#This Row],[Qnt Vendida]]</f>
        <v>2142</v>
      </c>
      <c r="J351" s="3">
        <f>Vendas[[#This Row],[Valor da Venda]]-(_xlfn.XLOOKUP(Vendas[[#This Row],[ID Item Vendido]],Agregado[ID],Agregado[Custo])*Vendas[[#This Row],[Qnt Vendida]])</f>
        <v>432</v>
      </c>
      <c r="K351" s="70">
        <f>Vendas[[#This Row],[Lucro da Venda]]/Vendas[[#This Row],[Valor da Venda]]</f>
        <v>0.20168067226890757</v>
      </c>
      <c r="L351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51"/>
    </row>
    <row r="352" spans="1:13" x14ac:dyDescent="0.3">
      <c r="A352" s="7">
        <v>400241</v>
      </c>
      <c r="B352" t="str">
        <f>_xlfn.XLOOKUP(Vendas[[#This Row],[ID Vendedor]],Vendedores[ID],Vendedores[Nome])</f>
        <v>Rodrigo</v>
      </c>
      <c r="C352" s="7" t="str">
        <f>_xlfn.XLOOKUP(Vendas[[#This Row],[ID Vendedor]],Vendedores[ID],Vendedores[Setor])</f>
        <v>FM</v>
      </c>
      <c r="D352" s="7" t="s">
        <v>47</v>
      </c>
      <c r="E352" t="str">
        <f>_xlfn.XLOOKUP(Vendas[[#This Row],[ID Item Vendido]],Agregado[ID],Agregado[Produto])</f>
        <v>Fio de arame galvanizado rolo 50m</v>
      </c>
      <c r="F352" s="39">
        <v>43742</v>
      </c>
      <c r="G352" s="7">
        <v>25</v>
      </c>
      <c r="H352" s="3">
        <f>_xlfn.XLOOKUP(Vendas[[#This Row],[ID Item Vendido]],Agregado[ID],Agregado[Revenda])</f>
        <v>21.2</v>
      </c>
      <c r="I352" s="3">
        <f>Vendas[[#This Row],[Valor Unitário]]*Vendas[[#This Row],[Qnt Vendida]]</f>
        <v>530</v>
      </c>
      <c r="J352" s="3">
        <f>Vendas[[#This Row],[Valor da Venda]]-(_xlfn.XLOOKUP(Vendas[[#This Row],[ID Item Vendido]],Agregado[ID],Agregado[Custo])*Vendas[[#This Row],[Qnt Vendida]])</f>
        <v>80</v>
      </c>
      <c r="K352" s="70">
        <f>Vendas[[#This Row],[Lucro da Venda]]/Vendas[[#This Row],[Valor da Venda]]</f>
        <v>0.15094339622641509</v>
      </c>
      <c r="L352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352"/>
    </row>
    <row r="353" spans="1:13" x14ac:dyDescent="0.3">
      <c r="A353" s="7">
        <v>400251</v>
      </c>
      <c r="B353" t="str">
        <f>_xlfn.XLOOKUP(Vendas[[#This Row],[ID Vendedor]],Vendedores[ID],Vendedores[Nome])</f>
        <v>Diego</v>
      </c>
      <c r="C353" s="7" t="str">
        <f>_xlfn.XLOOKUP(Vendas[[#This Row],[ID Vendedor]],Vendedores[ID],Vendedores[Setor])</f>
        <v>AB</v>
      </c>
      <c r="D353" s="7" t="s">
        <v>12</v>
      </c>
      <c r="E353" t="str">
        <f>_xlfn.XLOOKUP(Vendas[[#This Row],[ID Item Vendido]],Agregado[ID],Agregado[Produto])</f>
        <v>Grânulo de plástico reciclado refinado</v>
      </c>
      <c r="F353" s="39">
        <v>43742</v>
      </c>
      <c r="G353" s="7">
        <v>44</v>
      </c>
      <c r="H353" s="3">
        <f>_xlfn.XLOOKUP(Vendas[[#This Row],[ID Item Vendido]],Agregado[ID],Agregado[Revenda])</f>
        <v>4.7</v>
      </c>
      <c r="I353" s="3">
        <f>Vendas[[#This Row],[Valor Unitário]]*Vendas[[#This Row],[Qnt Vendida]]</f>
        <v>206.8</v>
      </c>
      <c r="J353" s="3">
        <f>Vendas[[#This Row],[Valor da Venda]]-(_xlfn.XLOOKUP(Vendas[[#This Row],[ID Item Vendido]],Agregado[ID],Agregado[Custo])*Vendas[[#This Row],[Qnt Vendida]])</f>
        <v>52.800000000000011</v>
      </c>
      <c r="K353" s="70">
        <f>Vendas[[#This Row],[Lucro da Venda]]/Vendas[[#This Row],[Valor da Venda]]</f>
        <v>0.25531914893617025</v>
      </c>
      <c r="L353" s="3">
        <f>_xlfn.IFS(Vendas[[#This Row],[Margem de Lucro (%)]]&lt;15%,Vendas[[#This Row],[Valor da Venda]]*3%,Vendas[[#This Row],[Margem de Lucro (%)]]&lt;=20%,Vendas[[#This Row],[Valor da Venda]]*4.5%,TRUE,Vendas[[#This Row],[Valor da Venda]]*6%)</f>
        <v>12.407999999999999</v>
      </c>
      <c r="M353"/>
    </row>
    <row r="354" spans="1:13" x14ac:dyDescent="0.3">
      <c r="A354" s="7">
        <v>400249</v>
      </c>
      <c r="B354" t="str">
        <f>_xlfn.XLOOKUP(Vendas[[#This Row],[ID Vendedor]],Vendedores[ID],Vendedores[Nome])</f>
        <v>Bruno</v>
      </c>
      <c r="C354" s="7" t="str">
        <f>_xlfn.XLOOKUP(Vendas[[#This Row],[ID Vendedor]],Vendedores[ID],Vendedores[Setor])</f>
        <v>CM</v>
      </c>
      <c r="D354" s="7" t="s">
        <v>22</v>
      </c>
      <c r="E354" t="str">
        <f>_xlfn.XLOOKUP(Vendas[[#This Row],[ID Item Vendido]],Agregado[ID],Agregado[Produto])</f>
        <v>Painel MDP 2,75x1,83m</v>
      </c>
      <c r="F354" s="39">
        <v>43744</v>
      </c>
      <c r="G354" s="7">
        <v>17</v>
      </c>
      <c r="H354" s="3">
        <f>_xlfn.XLOOKUP(Vendas[[#This Row],[ID Item Vendido]],Agregado[ID],Agregado[Revenda])</f>
        <v>119</v>
      </c>
      <c r="I354" s="3">
        <f>Vendas[[#This Row],[Valor Unitário]]*Vendas[[#This Row],[Qnt Vendida]]</f>
        <v>2023</v>
      </c>
      <c r="J354" s="3">
        <f>Vendas[[#This Row],[Valor da Venda]]-(_xlfn.XLOOKUP(Vendas[[#This Row],[ID Item Vendido]],Agregado[ID],Agregado[Custo])*Vendas[[#This Row],[Qnt Vendida]])</f>
        <v>408</v>
      </c>
      <c r="K354" s="70">
        <f>Vendas[[#This Row],[Lucro da Venda]]/Vendas[[#This Row],[Valor da Venda]]</f>
        <v>0.20168067226890757</v>
      </c>
      <c r="L354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354"/>
    </row>
    <row r="355" spans="1:13" x14ac:dyDescent="0.3">
      <c r="A355" s="7">
        <v>400243</v>
      </c>
      <c r="B355" t="str">
        <f>_xlfn.XLOOKUP(Vendas[[#This Row],[ID Vendedor]],Vendedores[ID],Vendedores[Nome])</f>
        <v>Marcelo</v>
      </c>
      <c r="C355" s="7" t="str">
        <f>_xlfn.XLOOKUP(Vendas[[#This Row],[ID Vendedor]],Vendedores[ID],Vendedores[Setor])</f>
        <v>FM</v>
      </c>
      <c r="D355" s="7" t="s">
        <v>47</v>
      </c>
      <c r="E355" t="str">
        <f>_xlfn.XLOOKUP(Vendas[[#This Row],[ID Item Vendido]],Agregado[ID],Agregado[Produto])</f>
        <v>Fio de arame galvanizado rolo 50m</v>
      </c>
      <c r="F355" s="39">
        <v>43744</v>
      </c>
      <c r="G355" s="7">
        <v>16</v>
      </c>
      <c r="H355" s="3">
        <f>_xlfn.XLOOKUP(Vendas[[#This Row],[ID Item Vendido]],Agregado[ID],Agregado[Revenda])</f>
        <v>21.2</v>
      </c>
      <c r="I355" s="3">
        <f>Vendas[[#This Row],[Valor Unitário]]*Vendas[[#This Row],[Qnt Vendida]]</f>
        <v>339.2</v>
      </c>
      <c r="J355" s="3">
        <f>Vendas[[#This Row],[Valor da Venda]]-(_xlfn.XLOOKUP(Vendas[[#This Row],[ID Item Vendido]],Agregado[ID],Agregado[Custo])*Vendas[[#This Row],[Qnt Vendida]])</f>
        <v>51.199999999999989</v>
      </c>
      <c r="K355" s="70">
        <f>Vendas[[#This Row],[Lucro da Venda]]/Vendas[[#This Row],[Valor da Venda]]</f>
        <v>0.15094339622641506</v>
      </c>
      <c r="L355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355"/>
    </row>
    <row r="356" spans="1:13" x14ac:dyDescent="0.3">
      <c r="A356" s="7">
        <v>400249</v>
      </c>
      <c r="B356" t="str">
        <f>_xlfn.XLOOKUP(Vendas[[#This Row],[ID Vendedor]],Vendedores[ID],Vendedores[Nome])</f>
        <v>Bruno</v>
      </c>
      <c r="C356" s="7" t="str">
        <f>_xlfn.XLOOKUP(Vendas[[#This Row],[ID Vendedor]],Vendedores[ID],Vendedores[Setor])</f>
        <v>CM</v>
      </c>
      <c r="D356" s="7" t="s">
        <v>22</v>
      </c>
      <c r="E356" t="str">
        <f>_xlfn.XLOOKUP(Vendas[[#This Row],[ID Item Vendido]],Agregado[ID],Agregado[Produto])</f>
        <v>Painel MDP 2,75x1,83m</v>
      </c>
      <c r="F356" s="39">
        <v>43745</v>
      </c>
      <c r="G356" s="7">
        <v>16</v>
      </c>
      <c r="H356" s="3">
        <f>_xlfn.XLOOKUP(Vendas[[#This Row],[ID Item Vendido]],Agregado[ID],Agregado[Revenda])</f>
        <v>119</v>
      </c>
      <c r="I356" s="3">
        <f>Vendas[[#This Row],[Valor Unitário]]*Vendas[[#This Row],[Qnt Vendida]]</f>
        <v>1904</v>
      </c>
      <c r="J356" s="3">
        <f>Vendas[[#This Row],[Valor da Venda]]-(_xlfn.XLOOKUP(Vendas[[#This Row],[ID Item Vendido]],Agregado[ID],Agregado[Custo])*Vendas[[#This Row],[Qnt Vendida]])</f>
        <v>384</v>
      </c>
      <c r="K356" s="70">
        <f>Vendas[[#This Row],[Lucro da Venda]]/Vendas[[#This Row],[Valor da Venda]]</f>
        <v>0.20168067226890757</v>
      </c>
      <c r="L356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356"/>
    </row>
    <row r="357" spans="1:13" x14ac:dyDescent="0.3">
      <c r="A357" s="7">
        <v>400243</v>
      </c>
      <c r="B357" t="str">
        <f>_xlfn.XLOOKUP(Vendas[[#This Row],[ID Vendedor]],Vendedores[ID],Vendedores[Nome])</f>
        <v>Marcelo</v>
      </c>
      <c r="C357" s="7" t="str">
        <f>_xlfn.XLOOKUP(Vendas[[#This Row],[ID Vendedor]],Vendedores[ID],Vendedores[Setor])</f>
        <v>FM</v>
      </c>
      <c r="D357" s="7" t="s">
        <v>31</v>
      </c>
      <c r="E357" t="str">
        <f>_xlfn.XLOOKUP(Vendas[[#This Row],[ID Item Vendido]],Agregado[ID],Agregado[Produto])</f>
        <v>Tela de metal soldada rolo 2x25m</v>
      </c>
      <c r="F357" s="39">
        <v>43746</v>
      </c>
      <c r="G357" s="7">
        <v>14</v>
      </c>
      <c r="H357" s="3">
        <f>_xlfn.XLOOKUP(Vendas[[#This Row],[ID Item Vendido]],Agregado[ID],Agregado[Revenda])</f>
        <v>43.7</v>
      </c>
      <c r="I357" s="3">
        <f>Vendas[[#This Row],[Valor Unitário]]*Vendas[[#This Row],[Qnt Vendida]]</f>
        <v>611.80000000000007</v>
      </c>
      <c r="J357" s="3">
        <f>Vendas[[#This Row],[Valor da Venda]]-(_xlfn.XLOOKUP(Vendas[[#This Row],[ID Item Vendido]],Agregado[ID],Agregado[Custo])*Vendas[[#This Row],[Qnt Vendida]])</f>
        <v>79.800000000000068</v>
      </c>
      <c r="K357" s="70">
        <f>Vendas[[#This Row],[Lucro da Venda]]/Vendas[[#This Row],[Valor da Venda]]</f>
        <v>0.13043478260869576</v>
      </c>
      <c r="L357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357"/>
    </row>
    <row r="358" spans="1:13" x14ac:dyDescent="0.3">
      <c r="A358" s="7">
        <v>400247</v>
      </c>
      <c r="B358" t="str">
        <f>_xlfn.XLOOKUP(Vendas[[#This Row],[ID Vendedor]],Vendedores[ID],Vendedores[Nome])</f>
        <v>André</v>
      </c>
      <c r="C358" s="7" t="str">
        <f>_xlfn.XLOOKUP(Vendas[[#This Row],[ID Vendedor]],Vendedores[ID],Vendedores[Setor])</f>
        <v>CM</v>
      </c>
      <c r="D358" s="7" t="s">
        <v>34</v>
      </c>
      <c r="E358" t="str">
        <f>_xlfn.XLOOKUP(Vendas[[#This Row],[ID Item Vendido]],Agregado[ID],Agregado[Produto])</f>
        <v>Restos de madeira p/ MDP/OSB saco de 20kg</v>
      </c>
      <c r="F358" s="39">
        <v>43748</v>
      </c>
      <c r="G358" s="7">
        <v>16</v>
      </c>
      <c r="H358" s="3">
        <f>_xlfn.XLOOKUP(Vendas[[#This Row],[ID Item Vendido]],Agregado[ID],Agregado[Revenda])</f>
        <v>13.8</v>
      </c>
      <c r="I358" s="3">
        <f>Vendas[[#This Row],[Valor Unitário]]*Vendas[[#This Row],[Qnt Vendida]]</f>
        <v>220.8</v>
      </c>
      <c r="J358" s="3">
        <f>Vendas[[#This Row],[Valor da Venda]]-(_xlfn.XLOOKUP(Vendas[[#This Row],[ID Item Vendido]],Agregado[ID],Agregado[Custo])*Vendas[[#This Row],[Qnt Vendida]])</f>
        <v>28.800000000000011</v>
      </c>
      <c r="K358" s="70">
        <f>Vendas[[#This Row],[Lucro da Venda]]/Vendas[[#This Row],[Valor da Venda]]</f>
        <v>0.1304347826086957</v>
      </c>
      <c r="L358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358"/>
    </row>
    <row r="359" spans="1:13" x14ac:dyDescent="0.3">
      <c r="A359" s="7">
        <v>400251</v>
      </c>
      <c r="B359" t="str">
        <f>_xlfn.XLOOKUP(Vendas[[#This Row],[ID Vendedor]],Vendedores[ID],Vendedores[Nome])</f>
        <v>Diego</v>
      </c>
      <c r="C359" s="7" t="str">
        <f>_xlfn.XLOOKUP(Vendas[[#This Row],[ID Vendedor]],Vendedores[ID],Vendedores[Setor])</f>
        <v>AB</v>
      </c>
      <c r="D359" s="7" t="s">
        <v>39</v>
      </c>
      <c r="E359" t="str">
        <f>_xlfn.XLOOKUP(Vendas[[#This Row],[ID Item Vendido]],Agregado[ID],Agregado[Produto])</f>
        <v>Filme plástico industrial rolo 50m</v>
      </c>
      <c r="F359" s="39">
        <v>43751</v>
      </c>
      <c r="G359" s="7">
        <v>3</v>
      </c>
      <c r="H359" s="3">
        <f>_xlfn.XLOOKUP(Vendas[[#This Row],[ID Item Vendido]],Agregado[ID],Agregado[Revenda])</f>
        <v>37</v>
      </c>
      <c r="I359" s="3">
        <f>Vendas[[#This Row],[Valor Unitário]]*Vendas[[#This Row],[Qnt Vendida]]</f>
        <v>111</v>
      </c>
      <c r="J359" s="3">
        <f>Vendas[[#This Row],[Valor da Venda]]-(_xlfn.XLOOKUP(Vendas[[#This Row],[ID Item Vendido]],Agregado[ID],Agregado[Custo])*Vendas[[#This Row],[Qnt Vendida]])</f>
        <v>27</v>
      </c>
      <c r="K359" s="70">
        <f>Vendas[[#This Row],[Lucro da Venda]]/Vendas[[#This Row],[Valor da Venda]]</f>
        <v>0.24324324324324326</v>
      </c>
      <c r="L359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359"/>
    </row>
    <row r="360" spans="1:13" x14ac:dyDescent="0.3">
      <c r="A360" s="7">
        <v>400255</v>
      </c>
      <c r="B360" t="str">
        <f>_xlfn.XLOOKUP(Vendas[[#This Row],[ID Vendedor]],Vendedores[ID],Vendedores[Nome])</f>
        <v>Carlos</v>
      </c>
      <c r="C360" s="7" t="str">
        <f>_xlfn.XLOOKUP(Vendas[[#This Row],[ID Vendedor]],Vendedores[ID],Vendedores[Setor])</f>
        <v>SC</v>
      </c>
      <c r="D360" s="7" t="s">
        <v>48</v>
      </c>
      <c r="E360" t="str">
        <f>_xlfn.XLOOKUP(Vendas[[#This Row],[ID Item Vendido]],Agregado[ID],Agregado[Produto])</f>
        <v>Tambor metálico 200L</v>
      </c>
      <c r="F360" s="39">
        <v>43752</v>
      </c>
      <c r="G360" s="7">
        <v>11</v>
      </c>
      <c r="H360" s="3">
        <f>_xlfn.XLOOKUP(Vendas[[#This Row],[ID Item Vendido]],Agregado[ID],Agregado[Revenda])</f>
        <v>144</v>
      </c>
      <c r="I360" s="3">
        <f>Vendas[[#This Row],[Valor Unitário]]*Vendas[[#This Row],[Qnt Vendida]]</f>
        <v>1584</v>
      </c>
      <c r="J360" s="3">
        <f>Vendas[[#This Row],[Valor da Venda]]-(_xlfn.XLOOKUP(Vendas[[#This Row],[ID Item Vendido]],Agregado[ID],Agregado[Custo])*Vendas[[#This Row],[Qnt Vendida]])</f>
        <v>264</v>
      </c>
      <c r="K360" s="70">
        <f>Vendas[[#This Row],[Lucro da Venda]]/Vendas[[#This Row],[Valor da Venda]]</f>
        <v>0.16666666666666666</v>
      </c>
      <c r="L360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60"/>
    </row>
    <row r="361" spans="1:13" x14ac:dyDescent="0.3">
      <c r="A361" s="7">
        <v>400241</v>
      </c>
      <c r="B361" t="str">
        <f>_xlfn.XLOOKUP(Vendas[[#This Row],[ID Vendedor]],Vendedores[ID],Vendedores[Nome])</f>
        <v>Rodrigo</v>
      </c>
      <c r="C361" s="7" t="str">
        <f>_xlfn.XLOOKUP(Vendas[[#This Row],[ID Vendedor]],Vendedores[ID],Vendedores[Setor])</f>
        <v>FM</v>
      </c>
      <c r="D361" s="7" t="s">
        <v>6</v>
      </c>
      <c r="E361" t="str">
        <f>_xlfn.XLOOKUP(Vendas[[#This Row],[ID Item Vendido]],Agregado[ID],Agregado[Produto])</f>
        <v>Parafuso comum 500un</v>
      </c>
      <c r="F361" s="39">
        <v>43753</v>
      </c>
      <c r="G361" s="7">
        <v>11</v>
      </c>
      <c r="H361" s="3">
        <f>_xlfn.XLOOKUP(Vendas[[#This Row],[ID Item Vendido]],Agregado[ID],Agregado[Revenda])</f>
        <v>24.6</v>
      </c>
      <c r="I361" s="3">
        <f>Vendas[[#This Row],[Valor Unitário]]*Vendas[[#This Row],[Qnt Vendida]]</f>
        <v>270.60000000000002</v>
      </c>
      <c r="J361" s="3">
        <f>Vendas[[#This Row],[Valor da Venda]]-(_xlfn.XLOOKUP(Vendas[[#This Row],[ID Item Vendido]],Agregado[ID],Agregado[Custo])*Vendas[[#This Row],[Qnt Vendida]])</f>
        <v>28.600000000000023</v>
      </c>
      <c r="K361" s="70">
        <f>Vendas[[#This Row],[Lucro da Venda]]/Vendas[[#This Row],[Valor da Venda]]</f>
        <v>0.10569105691056918</v>
      </c>
      <c r="L361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361"/>
    </row>
    <row r="362" spans="1:13" x14ac:dyDescent="0.3">
      <c r="A362" s="7">
        <v>400249</v>
      </c>
      <c r="B362" t="str">
        <f>_xlfn.XLOOKUP(Vendas[[#This Row],[ID Vendedor]],Vendedores[ID],Vendedores[Nome])</f>
        <v>Bruno</v>
      </c>
      <c r="C362" s="7" t="str">
        <f>_xlfn.XLOOKUP(Vendas[[#This Row],[ID Vendedor]],Vendedores[ID],Vendedores[Setor])</f>
        <v>CM</v>
      </c>
      <c r="D362" s="7" t="s">
        <v>43</v>
      </c>
      <c r="E362" t="str">
        <f>_xlfn.XLOOKUP(Vendas[[#This Row],[ID Item Vendido]],Agregado[ID],Agregado[Produto])</f>
        <v>Madeira Bruta (Tora)</v>
      </c>
      <c r="F362" s="39">
        <v>43755</v>
      </c>
      <c r="G362" s="7">
        <v>4</v>
      </c>
      <c r="H362" s="3">
        <f>_xlfn.XLOOKUP(Vendas[[#This Row],[ID Item Vendido]],Agregado[ID],Agregado[Revenda])</f>
        <v>212</v>
      </c>
      <c r="I362" s="3">
        <f>Vendas[[#This Row],[Valor Unitário]]*Vendas[[#This Row],[Qnt Vendida]]</f>
        <v>848</v>
      </c>
      <c r="J362" s="3">
        <f>Vendas[[#This Row],[Valor da Venda]]-(_xlfn.XLOOKUP(Vendas[[#This Row],[ID Item Vendido]],Agregado[ID],Agregado[Custo])*Vendas[[#This Row],[Qnt Vendida]])</f>
        <v>128</v>
      </c>
      <c r="K362" s="70">
        <f>Vendas[[#This Row],[Lucro da Venda]]/Vendas[[#This Row],[Valor da Venda]]</f>
        <v>0.15094339622641509</v>
      </c>
      <c r="L362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362"/>
    </row>
    <row r="363" spans="1:13" x14ac:dyDescent="0.3">
      <c r="A363" s="7">
        <v>400249</v>
      </c>
      <c r="B363" t="str">
        <f>_xlfn.XLOOKUP(Vendas[[#This Row],[ID Vendedor]],Vendedores[ID],Vendedores[Nome])</f>
        <v>Bruno</v>
      </c>
      <c r="C363" s="7" t="str">
        <f>_xlfn.XLOOKUP(Vendas[[#This Row],[ID Vendedor]],Vendedores[ID],Vendedores[Setor])</f>
        <v>CM</v>
      </c>
      <c r="D363" s="7" t="s">
        <v>32</v>
      </c>
      <c r="E363" t="str">
        <f>_xlfn.XLOOKUP(Vendas[[#This Row],[ID Item Vendido]],Agregado[ID],Agregado[Produto])</f>
        <v>Tábua tratada e cortada 3m</v>
      </c>
      <c r="F363" s="39">
        <v>43757</v>
      </c>
      <c r="G363" s="7">
        <v>15</v>
      </c>
      <c r="H363" s="3">
        <f>_xlfn.XLOOKUP(Vendas[[#This Row],[ID Item Vendido]],Agregado[ID],Agregado[Revenda])</f>
        <v>39</v>
      </c>
      <c r="I363" s="3">
        <f>Vendas[[#This Row],[Valor Unitário]]*Vendas[[#This Row],[Qnt Vendida]]</f>
        <v>585</v>
      </c>
      <c r="J363" s="3">
        <f>Vendas[[#This Row],[Valor da Venda]]-(_xlfn.XLOOKUP(Vendas[[#This Row],[ID Item Vendido]],Agregado[ID],Agregado[Custo])*Vendas[[#This Row],[Qnt Vendida]])</f>
        <v>105</v>
      </c>
      <c r="K363" s="70">
        <f>Vendas[[#This Row],[Lucro da Venda]]/Vendas[[#This Row],[Valor da Venda]]</f>
        <v>0.17948717948717949</v>
      </c>
      <c r="L363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363"/>
    </row>
    <row r="364" spans="1:13" x14ac:dyDescent="0.3">
      <c r="A364" s="7">
        <v>400251</v>
      </c>
      <c r="B364" t="str">
        <f>_xlfn.XLOOKUP(Vendas[[#This Row],[ID Vendedor]],Vendedores[ID],Vendedores[Nome])</f>
        <v>Diego</v>
      </c>
      <c r="C364" s="7" t="str">
        <f>_xlfn.XLOOKUP(Vendas[[#This Row],[ID Vendedor]],Vendedores[ID],Vendedores[Setor])</f>
        <v>AB</v>
      </c>
      <c r="D364" s="7" t="s">
        <v>36</v>
      </c>
      <c r="E364" t="str">
        <f>_xlfn.XLOOKUP(Vendas[[#This Row],[ID Item Vendido]],Agregado[ID],Agregado[Produto])</f>
        <v>Borracha vulcanizada em manta</v>
      </c>
      <c r="F364" s="39">
        <v>43758</v>
      </c>
      <c r="G364" s="7">
        <v>71</v>
      </c>
      <c r="H364" s="3">
        <f>_xlfn.XLOOKUP(Vendas[[#This Row],[ID Item Vendido]],Agregado[ID],Agregado[Revenda])</f>
        <v>7.8</v>
      </c>
      <c r="I364" s="3">
        <f>Vendas[[#This Row],[Valor Unitário]]*Vendas[[#This Row],[Qnt Vendida]]</f>
        <v>553.79999999999995</v>
      </c>
      <c r="J364" s="3">
        <f>Vendas[[#This Row],[Valor da Venda]]-(_xlfn.XLOOKUP(Vendas[[#This Row],[ID Item Vendido]],Agregado[ID],Agregado[Custo])*Vendas[[#This Row],[Qnt Vendida]])</f>
        <v>127.79999999999995</v>
      </c>
      <c r="K364" s="70">
        <f>Vendas[[#This Row],[Lucro da Venda]]/Vendas[[#This Row],[Valor da Venda]]</f>
        <v>0.2307692307692307</v>
      </c>
      <c r="L364" s="3">
        <f>_xlfn.IFS(Vendas[[#This Row],[Margem de Lucro (%)]]&lt;15%,Vendas[[#This Row],[Valor da Venda]]*3%,Vendas[[#This Row],[Margem de Lucro (%)]]&lt;=20%,Vendas[[#This Row],[Valor da Venda]]*4.5%,TRUE,Vendas[[#This Row],[Valor da Venda]]*6%)</f>
        <v>33.227999999999994</v>
      </c>
      <c r="M364"/>
    </row>
    <row r="365" spans="1:13" x14ac:dyDescent="0.3">
      <c r="A365" s="7">
        <v>400243</v>
      </c>
      <c r="B365" t="str">
        <f>_xlfn.XLOOKUP(Vendas[[#This Row],[ID Vendedor]],Vendedores[ID],Vendedores[Nome])</f>
        <v>Marcelo</v>
      </c>
      <c r="C365" s="7" t="str">
        <f>_xlfn.XLOOKUP(Vendas[[#This Row],[ID Vendedor]],Vendedores[ID],Vendedores[Setor])</f>
        <v>FM</v>
      </c>
      <c r="D365" s="7" t="s">
        <v>27</v>
      </c>
      <c r="E365" t="str">
        <f>_xlfn.XLOOKUP(Vendas[[#This Row],[ID Item Vendido]],Agregado[ID],Agregado[Produto])</f>
        <v>Chapa de metal lisa 1x2m</v>
      </c>
      <c r="F365" s="39">
        <v>43759</v>
      </c>
      <c r="G365" s="7">
        <v>19</v>
      </c>
      <c r="H365" s="3">
        <f>_xlfn.XLOOKUP(Vendas[[#This Row],[ID Item Vendido]],Agregado[ID],Agregado[Revenda])</f>
        <v>52</v>
      </c>
      <c r="I365" s="3">
        <f>Vendas[[#This Row],[Valor Unitário]]*Vendas[[#This Row],[Qnt Vendida]]</f>
        <v>988</v>
      </c>
      <c r="J365" s="3">
        <f>Vendas[[#This Row],[Valor da Venda]]-(_xlfn.XLOOKUP(Vendas[[#This Row],[ID Item Vendido]],Agregado[ID],Agregado[Custo])*Vendas[[#This Row],[Qnt Vendida]])</f>
        <v>133</v>
      </c>
      <c r="K365" s="70">
        <f>Vendas[[#This Row],[Lucro da Venda]]/Vendas[[#This Row],[Valor da Venda]]</f>
        <v>0.13461538461538461</v>
      </c>
      <c r="L365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365"/>
    </row>
    <row r="366" spans="1:13" x14ac:dyDescent="0.3">
      <c r="A366" s="7">
        <v>400243</v>
      </c>
      <c r="B366" t="str">
        <f>_xlfn.XLOOKUP(Vendas[[#This Row],[ID Vendedor]],Vendedores[ID],Vendedores[Nome])</f>
        <v>Marcelo</v>
      </c>
      <c r="C366" s="7" t="str">
        <f>_xlfn.XLOOKUP(Vendas[[#This Row],[ID Vendedor]],Vendedores[ID],Vendedores[Setor])</f>
        <v>FM</v>
      </c>
      <c r="D366" s="7" t="s">
        <v>47</v>
      </c>
      <c r="E366" t="str">
        <f>_xlfn.XLOOKUP(Vendas[[#This Row],[ID Item Vendido]],Agregado[ID],Agregado[Produto])</f>
        <v>Fio de arame galvanizado rolo 50m</v>
      </c>
      <c r="F366" s="39">
        <v>43759</v>
      </c>
      <c r="G366" s="7">
        <v>37</v>
      </c>
      <c r="H366" s="3">
        <f>_xlfn.XLOOKUP(Vendas[[#This Row],[ID Item Vendido]],Agregado[ID],Agregado[Revenda])</f>
        <v>21.2</v>
      </c>
      <c r="I366" s="3">
        <f>Vendas[[#This Row],[Valor Unitário]]*Vendas[[#This Row],[Qnt Vendida]]</f>
        <v>784.4</v>
      </c>
      <c r="J366" s="3">
        <f>Vendas[[#This Row],[Valor da Venda]]-(_xlfn.XLOOKUP(Vendas[[#This Row],[ID Item Vendido]],Agregado[ID],Agregado[Custo])*Vendas[[#This Row],[Qnt Vendida]])</f>
        <v>118.39999999999998</v>
      </c>
      <c r="K366" s="70">
        <f>Vendas[[#This Row],[Lucro da Venda]]/Vendas[[#This Row],[Valor da Venda]]</f>
        <v>0.15094339622641506</v>
      </c>
      <c r="L366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366"/>
    </row>
    <row r="367" spans="1:13" x14ac:dyDescent="0.3">
      <c r="A367" s="7">
        <v>400247</v>
      </c>
      <c r="B367" t="str">
        <f>_xlfn.XLOOKUP(Vendas[[#This Row],[ID Vendedor]],Vendedores[ID],Vendedores[Nome])</f>
        <v>André</v>
      </c>
      <c r="C367" s="7" t="str">
        <f>_xlfn.XLOOKUP(Vendas[[#This Row],[ID Vendedor]],Vendedores[ID],Vendedores[Setor])</f>
        <v>CM</v>
      </c>
      <c r="D367" s="7" t="s">
        <v>34</v>
      </c>
      <c r="E367" t="str">
        <f>_xlfn.XLOOKUP(Vendas[[#This Row],[ID Item Vendido]],Agregado[ID],Agregado[Produto])</f>
        <v>Restos de madeira p/ MDP/OSB saco de 20kg</v>
      </c>
      <c r="F367" s="39">
        <v>43761</v>
      </c>
      <c r="G367" s="7">
        <v>16</v>
      </c>
      <c r="H367" s="3">
        <f>_xlfn.XLOOKUP(Vendas[[#This Row],[ID Item Vendido]],Agregado[ID],Agregado[Revenda])</f>
        <v>13.8</v>
      </c>
      <c r="I367" s="3">
        <f>Vendas[[#This Row],[Valor Unitário]]*Vendas[[#This Row],[Qnt Vendida]]</f>
        <v>220.8</v>
      </c>
      <c r="J367" s="3">
        <f>Vendas[[#This Row],[Valor da Venda]]-(_xlfn.XLOOKUP(Vendas[[#This Row],[ID Item Vendido]],Agregado[ID],Agregado[Custo])*Vendas[[#This Row],[Qnt Vendida]])</f>
        <v>28.800000000000011</v>
      </c>
      <c r="K367" s="70">
        <f>Vendas[[#This Row],[Lucro da Venda]]/Vendas[[#This Row],[Valor da Venda]]</f>
        <v>0.1304347826086957</v>
      </c>
      <c r="L367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367"/>
    </row>
    <row r="368" spans="1:13" x14ac:dyDescent="0.3">
      <c r="A368" s="7">
        <v>400241</v>
      </c>
      <c r="B368" t="str">
        <f>_xlfn.XLOOKUP(Vendas[[#This Row],[ID Vendedor]],Vendedores[ID],Vendedores[Nome])</f>
        <v>Rodrigo</v>
      </c>
      <c r="C368" s="7" t="str">
        <f>_xlfn.XLOOKUP(Vendas[[#This Row],[ID Vendedor]],Vendedores[ID],Vendedores[Setor])</f>
        <v>FM</v>
      </c>
      <c r="D368" s="7" t="s">
        <v>31</v>
      </c>
      <c r="E368" t="str">
        <f>_xlfn.XLOOKUP(Vendas[[#This Row],[ID Item Vendido]],Agregado[ID],Agregado[Produto])</f>
        <v>Tela de metal soldada rolo 2x25m</v>
      </c>
      <c r="F368" s="39">
        <v>43763</v>
      </c>
      <c r="G368" s="7">
        <v>16</v>
      </c>
      <c r="H368" s="3">
        <f>_xlfn.XLOOKUP(Vendas[[#This Row],[ID Item Vendido]],Agregado[ID],Agregado[Revenda])</f>
        <v>43.7</v>
      </c>
      <c r="I368" s="3">
        <f>Vendas[[#This Row],[Valor Unitário]]*Vendas[[#This Row],[Qnt Vendida]]</f>
        <v>699.2</v>
      </c>
      <c r="J368" s="3">
        <f>Vendas[[#This Row],[Valor da Venda]]-(_xlfn.XLOOKUP(Vendas[[#This Row],[ID Item Vendido]],Agregado[ID],Agregado[Custo])*Vendas[[#This Row],[Qnt Vendida]])</f>
        <v>91.200000000000045</v>
      </c>
      <c r="K368" s="70">
        <f>Vendas[[#This Row],[Lucro da Venda]]/Vendas[[#This Row],[Valor da Venda]]</f>
        <v>0.1304347826086957</v>
      </c>
      <c r="L368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368"/>
    </row>
    <row r="369" spans="1:13" x14ac:dyDescent="0.3">
      <c r="A369" s="7">
        <v>400251</v>
      </c>
      <c r="B369" t="str">
        <f>_xlfn.XLOOKUP(Vendas[[#This Row],[ID Vendedor]],Vendedores[ID],Vendedores[Nome])</f>
        <v>Diego</v>
      </c>
      <c r="C369" s="7" t="str">
        <f>_xlfn.XLOOKUP(Vendas[[#This Row],[ID Vendedor]],Vendedores[ID],Vendedores[Setor])</f>
        <v>AB</v>
      </c>
      <c r="D369" s="7" t="s">
        <v>37</v>
      </c>
      <c r="E369" t="str">
        <f>_xlfn.XLOOKUP(Vendas[[#This Row],[ID Item Vendido]],Agregado[ID],Agregado[Produto])</f>
        <v>Composto de borracha para vedação rolo 10m</v>
      </c>
      <c r="F369" s="39">
        <v>43763</v>
      </c>
      <c r="G369" s="7">
        <v>4</v>
      </c>
      <c r="H369" s="3">
        <f>_xlfn.XLOOKUP(Vendas[[#This Row],[ID Item Vendido]],Agregado[ID],Agregado[Revenda])</f>
        <v>51.2</v>
      </c>
      <c r="I369" s="3">
        <f>Vendas[[#This Row],[Valor Unitário]]*Vendas[[#This Row],[Qnt Vendida]]</f>
        <v>204.8</v>
      </c>
      <c r="J369" s="3">
        <f>Vendas[[#This Row],[Valor da Venda]]-(_xlfn.XLOOKUP(Vendas[[#This Row],[ID Item Vendido]],Agregado[ID],Agregado[Custo])*Vendas[[#This Row],[Qnt Vendida]])</f>
        <v>44.800000000000011</v>
      </c>
      <c r="K369" s="70">
        <f>Vendas[[#This Row],[Lucro da Venda]]/Vendas[[#This Row],[Valor da Venda]]</f>
        <v>0.21875000000000006</v>
      </c>
      <c r="L369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369"/>
    </row>
    <row r="370" spans="1:13" x14ac:dyDescent="0.3">
      <c r="A370" s="7">
        <v>400241</v>
      </c>
      <c r="B370" t="str">
        <f>_xlfn.XLOOKUP(Vendas[[#This Row],[ID Vendedor]],Vendedores[ID],Vendedores[Nome])</f>
        <v>Rodrigo</v>
      </c>
      <c r="C370" s="7" t="str">
        <f>_xlfn.XLOOKUP(Vendas[[#This Row],[ID Vendedor]],Vendedores[ID],Vendedores[Setor])</f>
        <v>FM</v>
      </c>
      <c r="D370" s="7" t="s">
        <v>6</v>
      </c>
      <c r="E370" t="str">
        <f>_xlfn.XLOOKUP(Vendas[[#This Row],[ID Item Vendido]],Agregado[ID],Agregado[Produto])</f>
        <v>Parafuso comum 500un</v>
      </c>
      <c r="F370" s="39">
        <v>43764</v>
      </c>
      <c r="G370" s="7">
        <v>10</v>
      </c>
      <c r="H370" s="3">
        <f>_xlfn.XLOOKUP(Vendas[[#This Row],[ID Item Vendido]],Agregado[ID],Agregado[Revenda])</f>
        <v>24.6</v>
      </c>
      <c r="I370" s="3">
        <f>Vendas[[#This Row],[Valor Unitário]]*Vendas[[#This Row],[Qnt Vendida]]</f>
        <v>246</v>
      </c>
      <c r="J370" s="3">
        <f>Vendas[[#This Row],[Valor da Venda]]-(_xlfn.XLOOKUP(Vendas[[#This Row],[ID Item Vendido]],Agregado[ID],Agregado[Custo])*Vendas[[#This Row],[Qnt Vendida]])</f>
        <v>26</v>
      </c>
      <c r="K370" s="70">
        <f>Vendas[[#This Row],[Lucro da Venda]]/Vendas[[#This Row],[Valor da Venda]]</f>
        <v>0.10569105691056911</v>
      </c>
      <c r="L370" s="3">
        <f>_xlfn.IFS(Vendas[[#This Row],[Margem de Lucro (%)]]&lt;15%,Vendas[[#This Row],[Valor da Venda]]*3%,Vendas[[#This Row],[Margem de Lucro (%)]]&lt;=20%,Vendas[[#This Row],[Valor da Venda]]*4.5%,TRUE,Vendas[[#This Row],[Valor da Venda]]*6%)</f>
        <v>7.38</v>
      </c>
      <c r="M370"/>
    </row>
    <row r="371" spans="1:13" x14ac:dyDescent="0.3">
      <c r="A371" s="7">
        <v>400249</v>
      </c>
      <c r="B371" t="str">
        <f>_xlfn.XLOOKUP(Vendas[[#This Row],[ID Vendedor]],Vendedores[ID],Vendedores[Nome])</f>
        <v>Bruno</v>
      </c>
      <c r="C371" s="7" t="str">
        <f>_xlfn.XLOOKUP(Vendas[[#This Row],[ID Vendedor]],Vendedores[ID],Vendedores[Setor])</f>
        <v>CM</v>
      </c>
      <c r="D371" s="7" t="s">
        <v>43</v>
      </c>
      <c r="E371" t="str">
        <f>_xlfn.XLOOKUP(Vendas[[#This Row],[ID Item Vendido]],Agregado[ID],Agregado[Produto])</f>
        <v>Madeira Bruta (Tora)</v>
      </c>
      <c r="F371" s="39">
        <v>43765</v>
      </c>
      <c r="G371" s="7">
        <v>12</v>
      </c>
      <c r="H371" s="3">
        <f>_xlfn.XLOOKUP(Vendas[[#This Row],[ID Item Vendido]],Agregado[ID],Agregado[Revenda])</f>
        <v>212</v>
      </c>
      <c r="I371" s="3">
        <f>Vendas[[#This Row],[Valor Unitário]]*Vendas[[#This Row],[Qnt Vendida]]</f>
        <v>2544</v>
      </c>
      <c r="J371" s="3">
        <f>Vendas[[#This Row],[Valor da Venda]]-(_xlfn.XLOOKUP(Vendas[[#This Row],[ID Item Vendido]],Agregado[ID],Agregado[Custo])*Vendas[[#This Row],[Qnt Vendida]])</f>
        <v>384</v>
      </c>
      <c r="K371" s="70">
        <f>Vendas[[#This Row],[Lucro da Venda]]/Vendas[[#This Row],[Valor da Venda]]</f>
        <v>0.15094339622641509</v>
      </c>
      <c r="L371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371"/>
    </row>
    <row r="372" spans="1:13" x14ac:dyDescent="0.3">
      <c r="A372" s="7">
        <v>400249</v>
      </c>
      <c r="B372" t="str">
        <f>_xlfn.XLOOKUP(Vendas[[#This Row],[ID Vendedor]],Vendedores[ID],Vendedores[Nome])</f>
        <v>Bruno</v>
      </c>
      <c r="C372" s="7" t="str">
        <f>_xlfn.XLOOKUP(Vendas[[#This Row],[ID Vendedor]],Vendedores[ID],Vendedores[Setor])</f>
        <v>CM</v>
      </c>
      <c r="D372" s="7" t="s">
        <v>32</v>
      </c>
      <c r="E372" t="str">
        <f>_xlfn.XLOOKUP(Vendas[[#This Row],[ID Item Vendido]],Agregado[ID],Agregado[Produto])</f>
        <v>Tábua tratada e cortada 3m</v>
      </c>
      <c r="F372" s="39">
        <v>43765</v>
      </c>
      <c r="G372" s="7">
        <v>44</v>
      </c>
      <c r="H372" s="3">
        <f>_xlfn.XLOOKUP(Vendas[[#This Row],[ID Item Vendido]],Agregado[ID],Agregado[Revenda])</f>
        <v>39</v>
      </c>
      <c r="I372" s="3">
        <f>Vendas[[#This Row],[Valor Unitário]]*Vendas[[#This Row],[Qnt Vendida]]</f>
        <v>1716</v>
      </c>
      <c r="J372" s="3">
        <f>Vendas[[#This Row],[Valor da Venda]]-(_xlfn.XLOOKUP(Vendas[[#This Row],[ID Item Vendido]],Agregado[ID],Agregado[Custo])*Vendas[[#This Row],[Qnt Vendida]])</f>
        <v>308</v>
      </c>
      <c r="K372" s="70">
        <f>Vendas[[#This Row],[Lucro da Venda]]/Vendas[[#This Row],[Valor da Venda]]</f>
        <v>0.17948717948717949</v>
      </c>
      <c r="L372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372"/>
    </row>
    <row r="373" spans="1:13" x14ac:dyDescent="0.3">
      <c r="A373" s="7">
        <v>400249</v>
      </c>
      <c r="B373" t="str">
        <f>_xlfn.XLOOKUP(Vendas[[#This Row],[ID Vendedor]],Vendedores[ID],Vendedores[Nome])</f>
        <v>Bruno</v>
      </c>
      <c r="C373" s="7" t="str">
        <f>_xlfn.XLOOKUP(Vendas[[#This Row],[ID Vendedor]],Vendedores[ID],Vendedores[Setor])</f>
        <v>CM</v>
      </c>
      <c r="D373" s="7" t="s">
        <v>43</v>
      </c>
      <c r="E373" t="str">
        <f>_xlfn.XLOOKUP(Vendas[[#This Row],[ID Item Vendido]],Agregado[ID],Agregado[Produto])</f>
        <v>Madeira Bruta (Tora)</v>
      </c>
      <c r="F373" s="39">
        <v>43766</v>
      </c>
      <c r="G373" s="7">
        <v>10</v>
      </c>
      <c r="H373" s="3">
        <f>_xlfn.XLOOKUP(Vendas[[#This Row],[ID Item Vendido]],Agregado[ID],Agregado[Revenda])</f>
        <v>212</v>
      </c>
      <c r="I373" s="3">
        <f>Vendas[[#This Row],[Valor Unitário]]*Vendas[[#This Row],[Qnt Vendida]]</f>
        <v>2120</v>
      </c>
      <c r="J373" s="3">
        <f>Vendas[[#This Row],[Valor da Venda]]-(_xlfn.XLOOKUP(Vendas[[#This Row],[ID Item Vendido]],Agregado[ID],Agregado[Custo])*Vendas[[#This Row],[Qnt Vendida]])</f>
        <v>320</v>
      </c>
      <c r="K373" s="70">
        <f>Vendas[[#This Row],[Lucro da Venda]]/Vendas[[#This Row],[Valor da Venda]]</f>
        <v>0.15094339622641509</v>
      </c>
      <c r="L373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373"/>
    </row>
    <row r="374" spans="1:13" x14ac:dyDescent="0.3">
      <c r="A374" s="7">
        <v>400241</v>
      </c>
      <c r="B374" t="str">
        <f>_xlfn.XLOOKUP(Vendas[[#This Row],[ID Vendedor]],Vendedores[ID],Vendedores[Nome])</f>
        <v>Rodrigo</v>
      </c>
      <c r="C374" s="7" t="str">
        <f>_xlfn.XLOOKUP(Vendas[[#This Row],[ID Vendedor]],Vendedores[ID],Vendedores[Setor])</f>
        <v>FM</v>
      </c>
      <c r="D374" s="7" t="s">
        <v>31</v>
      </c>
      <c r="E374" t="str">
        <f>_xlfn.XLOOKUP(Vendas[[#This Row],[ID Item Vendido]],Agregado[ID],Agregado[Produto])</f>
        <v>Tela de metal soldada rolo 2x25m</v>
      </c>
      <c r="F374" s="39">
        <v>43766</v>
      </c>
      <c r="G374" s="7">
        <v>4</v>
      </c>
      <c r="H374" s="3">
        <f>_xlfn.XLOOKUP(Vendas[[#This Row],[ID Item Vendido]],Agregado[ID],Agregado[Revenda])</f>
        <v>43.7</v>
      </c>
      <c r="I374" s="3">
        <f>Vendas[[#This Row],[Valor Unitário]]*Vendas[[#This Row],[Qnt Vendida]]</f>
        <v>174.8</v>
      </c>
      <c r="J374" s="3">
        <f>Vendas[[#This Row],[Valor da Venda]]-(_xlfn.XLOOKUP(Vendas[[#This Row],[ID Item Vendido]],Agregado[ID],Agregado[Custo])*Vendas[[#This Row],[Qnt Vendida]])</f>
        <v>22.800000000000011</v>
      </c>
      <c r="K374" s="70">
        <f>Vendas[[#This Row],[Lucro da Venda]]/Vendas[[#This Row],[Valor da Venda]]</f>
        <v>0.1304347826086957</v>
      </c>
      <c r="L374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374"/>
    </row>
    <row r="375" spans="1:13" x14ac:dyDescent="0.3">
      <c r="A375" s="7">
        <v>400255</v>
      </c>
      <c r="B375" t="str">
        <f>_xlfn.XLOOKUP(Vendas[[#This Row],[ID Vendedor]],Vendedores[ID],Vendedores[Nome])</f>
        <v>Carlos</v>
      </c>
      <c r="C375" s="7" t="str">
        <f>_xlfn.XLOOKUP(Vendas[[#This Row],[ID Vendedor]],Vendedores[ID],Vendedores[Setor])</f>
        <v>SC</v>
      </c>
      <c r="D375" s="7" t="s">
        <v>41</v>
      </c>
      <c r="E375" t="str">
        <f>_xlfn.XLOOKUP(Vendas[[#This Row],[ID Item Vendido]],Agregado[ID],Agregado[Produto])</f>
        <v>Palete de madeira reforçado</v>
      </c>
      <c r="F375" s="39">
        <v>43766</v>
      </c>
      <c r="G375" s="7">
        <v>1</v>
      </c>
      <c r="H375" s="3">
        <f>_xlfn.XLOOKUP(Vendas[[#This Row],[ID Item Vendido]],Agregado[ID],Agregado[Revenda])</f>
        <v>131</v>
      </c>
      <c r="I375" s="3">
        <f>Vendas[[#This Row],[Valor Unitário]]*Vendas[[#This Row],[Qnt Vendida]]</f>
        <v>131</v>
      </c>
      <c r="J375" s="3">
        <f>Vendas[[#This Row],[Valor da Venda]]-(_xlfn.XLOOKUP(Vendas[[#This Row],[ID Item Vendido]],Agregado[ID],Agregado[Custo])*Vendas[[#This Row],[Qnt Vendida]])</f>
        <v>21</v>
      </c>
      <c r="K375" s="70">
        <f>Vendas[[#This Row],[Lucro da Venda]]/Vendas[[#This Row],[Valor da Venda]]</f>
        <v>0.16030534351145037</v>
      </c>
      <c r="L375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375"/>
    </row>
    <row r="376" spans="1:13" x14ac:dyDescent="0.3">
      <c r="A376" s="7">
        <v>400251</v>
      </c>
      <c r="B376" t="str">
        <f>_xlfn.XLOOKUP(Vendas[[#This Row],[ID Vendedor]],Vendedores[ID],Vendedores[Nome])</f>
        <v>Diego</v>
      </c>
      <c r="C376" s="7" t="str">
        <f>_xlfn.XLOOKUP(Vendas[[#This Row],[ID Vendedor]],Vendedores[ID],Vendedores[Setor])</f>
        <v>AB</v>
      </c>
      <c r="D376" s="7" t="s">
        <v>36</v>
      </c>
      <c r="E376" t="str">
        <f>_xlfn.XLOOKUP(Vendas[[#This Row],[ID Item Vendido]],Agregado[ID],Agregado[Produto])</f>
        <v>Borracha vulcanizada em manta</v>
      </c>
      <c r="F376" s="39">
        <v>43767</v>
      </c>
      <c r="G376" s="7">
        <v>68</v>
      </c>
      <c r="H376" s="3">
        <f>_xlfn.XLOOKUP(Vendas[[#This Row],[ID Item Vendido]],Agregado[ID],Agregado[Revenda])</f>
        <v>7.8</v>
      </c>
      <c r="I376" s="3">
        <f>Vendas[[#This Row],[Valor Unitário]]*Vendas[[#This Row],[Qnt Vendida]]</f>
        <v>530.4</v>
      </c>
      <c r="J376" s="3">
        <f>Vendas[[#This Row],[Valor da Venda]]-(_xlfn.XLOOKUP(Vendas[[#This Row],[ID Item Vendido]],Agregado[ID],Agregado[Custo])*Vendas[[#This Row],[Qnt Vendida]])</f>
        <v>122.39999999999998</v>
      </c>
      <c r="K376" s="70">
        <f>Vendas[[#This Row],[Lucro da Venda]]/Vendas[[#This Row],[Valor da Venda]]</f>
        <v>0.23076923076923073</v>
      </c>
      <c r="L376" s="3">
        <f>_xlfn.IFS(Vendas[[#This Row],[Margem de Lucro (%)]]&lt;15%,Vendas[[#This Row],[Valor da Venda]]*3%,Vendas[[#This Row],[Margem de Lucro (%)]]&lt;=20%,Vendas[[#This Row],[Valor da Venda]]*4.5%,TRUE,Vendas[[#This Row],[Valor da Venda]]*6%)</f>
        <v>31.823999999999998</v>
      </c>
      <c r="M376"/>
    </row>
    <row r="377" spans="1:13" x14ac:dyDescent="0.3">
      <c r="A377" s="7">
        <v>400245</v>
      </c>
      <c r="B377" t="str">
        <f>_xlfn.XLOOKUP(Vendas[[#This Row],[ID Vendedor]],Vendedores[ID],Vendedores[Nome])</f>
        <v>Thiago</v>
      </c>
      <c r="C377" s="7" t="str">
        <f>_xlfn.XLOOKUP(Vendas[[#This Row],[ID Vendedor]],Vendedores[ID],Vendedores[Setor])</f>
        <v>AHD</v>
      </c>
      <c r="D377" s="7" t="s">
        <v>44</v>
      </c>
      <c r="E377" t="str">
        <f>_xlfn.XLOOKUP(Vendas[[#This Row],[ID Item Vendido]],Agregado[ID],Agregado[Produto])</f>
        <v>Liga metálica especial</v>
      </c>
      <c r="F377" s="39">
        <v>43768</v>
      </c>
      <c r="G377" s="7">
        <v>56</v>
      </c>
      <c r="H377" s="3">
        <f>_xlfn.XLOOKUP(Vendas[[#This Row],[ID Item Vendido]],Agregado[ID],Agregado[Revenda])</f>
        <v>32.5</v>
      </c>
      <c r="I377" s="3">
        <f>Vendas[[#This Row],[Valor Unitário]]*Vendas[[#This Row],[Qnt Vendida]]</f>
        <v>1820</v>
      </c>
      <c r="J377" s="3">
        <f>Vendas[[#This Row],[Valor da Venda]]-(_xlfn.XLOOKUP(Vendas[[#This Row],[ID Item Vendido]],Agregado[ID],Agregado[Custo])*Vendas[[#This Row],[Qnt Vendida]])</f>
        <v>420</v>
      </c>
      <c r="K377" s="70">
        <f>Vendas[[#This Row],[Lucro da Venda]]/Vendas[[#This Row],[Valor da Venda]]</f>
        <v>0.23076923076923078</v>
      </c>
      <c r="L377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377"/>
    </row>
    <row r="378" spans="1:13" x14ac:dyDescent="0.3">
      <c r="A378" s="7">
        <v>400241</v>
      </c>
      <c r="B378" t="str">
        <f>_xlfn.XLOOKUP(Vendas[[#This Row],[ID Vendedor]],Vendedores[ID],Vendedores[Nome])</f>
        <v>Rodrigo</v>
      </c>
      <c r="C378" s="7" t="str">
        <f>_xlfn.XLOOKUP(Vendas[[#This Row],[ID Vendedor]],Vendedores[ID],Vendedores[Setor])</f>
        <v>FM</v>
      </c>
      <c r="D378" s="7" t="s">
        <v>47</v>
      </c>
      <c r="E378" t="str">
        <f>_xlfn.XLOOKUP(Vendas[[#This Row],[ID Item Vendido]],Agregado[ID],Agregado[Produto])</f>
        <v>Fio de arame galvanizado rolo 50m</v>
      </c>
      <c r="F378" s="39">
        <v>43769</v>
      </c>
      <c r="G378" s="7">
        <v>14</v>
      </c>
      <c r="H378" s="3">
        <f>_xlfn.XLOOKUP(Vendas[[#This Row],[ID Item Vendido]],Agregado[ID],Agregado[Revenda])</f>
        <v>21.2</v>
      </c>
      <c r="I378" s="3">
        <f>Vendas[[#This Row],[Valor Unitário]]*Vendas[[#This Row],[Qnt Vendida]]</f>
        <v>296.8</v>
      </c>
      <c r="J378" s="3">
        <f>Vendas[[#This Row],[Valor da Venda]]-(_xlfn.XLOOKUP(Vendas[[#This Row],[ID Item Vendido]],Agregado[ID],Agregado[Custo])*Vendas[[#This Row],[Qnt Vendida]])</f>
        <v>44.800000000000011</v>
      </c>
      <c r="K378" s="70">
        <f>Vendas[[#This Row],[Lucro da Venda]]/Vendas[[#This Row],[Valor da Venda]]</f>
        <v>0.15094339622641512</v>
      </c>
      <c r="L378" s="3">
        <f>_xlfn.IFS(Vendas[[#This Row],[Margem de Lucro (%)]]&lt;15%,Vendas[[#This Row],[Valor da Venda]]*3%,Vendas[[#This Row],[Margem de Lucro (%)]]&lt;=20%,Vendas[[#This Row],[Valor da Venda]]*4.5%,TRUE,Vendas[[#This Row],[Valor da Venda]]*6%)</f>
        <v>13.356</v>
      </c>
      <c r="M378"/>
    </row>
    <row r="379" spans="1:13" x14ac:dyDescent="0.3">
      <c r="A379" s="7">
        <v>400251</v>
      </c>
      <c r="B379" t="str">
        <f>_xlfn.XLOOKUP(Vendas[[#This Row],[ID Vendedor]],Vendedores[ID],Vendedores[Nome])</f>
        <v>Diego</v>
      </c>
      <c r="C379" s="7" t="str">
        <f>_xlfn.XLOOKUP(Vendas[[#This Row],[ID Vendedor]],Vendedores[ID],Vendedores[Setor])</f>
        <v>AB</v>
      </c>
      <c r="D379" s="7" t="s">
        <v>39</v>
      </c>
      <c r="E379" t="str">
        <f>_xlfn.XLOOKUP(Vendas[[#This Row],[ID Item Vendido]],Agregado[ID],Agregado[Produto])</f>
        <v>Filme plástico industrial rolo 50m</v>
      </c>
      <c r="F379" s="39">
        <v>43771</v>
      </c>
      <c r="G379" s="7">
        <v>13</v>
      </c>
      <c r="H379" s="3">
        <f>_xlfn.XLOOKUP(Vendas[[#This Row],[ID Item Vendido]],Agregado[ID],Agregado[Revenda])</f>
        <v>37</v>
      </c>
      <c r="I379" s="3">
        <f>Vendas[[#This Row],[Valor Unitário]]*Vendas[[#This Row],[Qnt Vendida]]</f>
        <v>481</v>
      </c>
      <c r="J379" s="3">
        <f>Vendas[[#This Row],[Valor da Venda]]-(_xlfn.XLOOKUP(Vendas[[#This Row],[ID Item Vendido]],Agregado[ID],Agregado[Custo])*Vendas[[#This Row],[Qnt Vendida]])</f>
        <v>117</v>
      </c>
      <c r="K379" s="70">
        <f>Vendas[[#This Row],[Lucro da Venda]]/Vendas[[#This Row],[Valor da Venda]]</f>
        <v>0.24324324324324326</v>
      </c>
      <c r="L379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379"/>
    </row>
    <row r="380" spans="1:13" x14ac:dyDescent="0.3">
      <c r="A380" s="7">
        <v>400251</v>
      </c>
      <c r="B380" t="str">
        <f>_xlfn.XLOOKUP(Vendas[[#This Row],[ID Vendedor]],Vendedores[ID],Vendedores[Nome])</f>
        <v>Diego</v>
      </c>
      <c r="C380" s="7" t="str">
        <f>_xlfn.XLOOKUP(Vendas[[#This Row],[ID Vendedor]],Vendedores[ID],Vendedores[Setor])</f>
        <v>AB</v>
      </c>
      <c r="D380" s="7" t="s">
        <v>24</v>
      </c>
      <c r="E380" t="str">
        <f>_xlfn.XLOOKUP(Vendas[[#This Row],[ID Item Vendido]],Agregado[ID],Agregado[Produto])</f>
        <v>Resina plástica PET purificada saco de 25kg</v>
      </c>
      <c r="F380" s="39">
        <v>43773</v>
      </c>
      <c r="G380" s="7">
        <v>25</v>
      </c>
      <c r="H380" s="3">
        <f>_xlfn.XLOOKUP(Vendas[[#This Row],[ID Item Vendido]],Agregado[ID],Agregado[Revenda])</f>
        <v>119</v>
      </c>
      <c r="I380" s="3">
        <f>Vendas[[#This Row],[Valor Unitário]]*Vendas[[#This Row],[Qnt Vendida]]</f>
        <v>2975</v>
      </c>
      <c r="J380" s="3">
        <f>Vendas[[#This Row],[Valor da Venda]]-(_xlfn.XLOOKUP(Vendas[[#This Row],[ID Item Vendido]],Agregado[ID],Agregado[Custo])*Vendas[[#This Row],[Qnt Vendida]])</f>
        <v>850</v>
      </c>
      <c r="K380" s="70">
        <f>Vendas[[#This Row],[Lucro da Venda]]/Vendas[[#This Row],[Valor da Venda]]</f>
        <v>0.2857142857142857</v>
      </c>
      <c r="L380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380"/>
    </row>
    <row r="381" spans="1:13" x14ac:dyDescent="0.3">
      <c r="A381" s="7">
        <v>400255</v>
      </c>
      <c r="B381" t="str">
        <f>_xlfn.XLOOKUP(Vendas[[#This Row],[ID Vendedor]],Vendedores[ID],Vendedores[Nome])</f>
        <v>Carlos</v>
      </c>
      <c r="C381" s="7" t="str">
        <f>_xlfn.XLOOKUP(Vendas[[#This Row],[ID Vendedor]],Vendedores[ID],Vendedores[Setor])</f>
        <v>SC</v>
      </c>
      <c r="D381" s="7" t="s">
        <v>48</v>
      </c>
      <c r="E381" t="str">
        <f>_xlfn.XLOOKUP(Vendas[[#This Row],[ID Item Vendido]],Agregado[ID],Agregado[Produto])</f>
        <v>Tambor metálico 200L</v>
      </c>
      <c r="F381" s="39">
        <v>43773</v>
      </c>
      <c r="G381" s="7">
        <v>11</v>
      </c>
      <c r="H381" s="3">
        <f>_xlfn.XLOOKUP(Vendas[[#This Row],[ID Item Vendido]],Agregado[ID],Agregado[Revenda])</f>
        <v>144</v>
      </c>
      <c r="I381" s="3">
        <f>Vendas[[#This Row],[Valor Unitário]]*Vendas[[#This Row],[Qnt Vendida]]</f>
        <v>1584</v>
      </c>
      <c r="J381" s="3">
        <f>Vendas[[#This Row],[Valor da Venda]]-(_xlfn.XLOOKUP(Vendas[[#This Row],[ID Item Vendido]],Agregado[ID],Agregado[Custo])*Vendas[[#This Row],[Qnt Vendida]])</f>
        <v>264</v>
      </c>
      <c r="K381" s="70">
        <f>Vendas[[#This Row],[Lucro da Venda]]/Vendas[[#This Row],[Valor da Venda]]</f>
        <v>0.16666666666666666</v>
      </c>
      <c r="L381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81"/>
    </row>
    <row r="382" spans="1:13" x14ac:dyDescent="0.3">
      <c r="A382" s="7">
        <v>400251</v>
      </c>
      <c r="B382" t="str">
        <f>_xlfn.XLOOKUP(Vendas[[#This Row],[ID Vendedor]],Vendedores[ID],Vendedores[Nome])</f>
        <v>Diego</v>
      </c>
      <c r="C382" s="7" t="str">
        <f>_xlfn.XLOOKUP(Vendas[[#This Row],[ID Vendedor]],Vendedores[ID],Vendedores[Setor])</f>
        <v>AB</v>
      </c>
      <c r="D382" s="7" t="s">
        <v>37</v>
      </c>
      <c r="E382" t="str">
        <f>_xlfn.XLOOKUP(Vendas[[#This Row],[ID Item Vendido]],Agregado[ID],Agregado[Produto])</f>
        <v>Composto de borracha para vedação rolo 10m</v>
      </c>
      <c r="F382" s="39">
        <v>43773</v>
      </c>
      <c r="G382" s="7">
        <v>9</v>
      </c>
      <c r="H382" s="3">
        <f>_xlfn.XLOOKUP(Vendas[[#This Row],[ID Item Vendido]],Agregado[ID],Agregado[Revenda])</f>
        <v>51.2</v>
      </c>
      <c r="I382" s="3">
        <f>Vendas[[#This Row],[Valor Unitário]]*Vendas[[#This Row],[Qnt Vendida]]</f>
        <v>460.8</v>
      </c>
      <c r="J382" s="3">
        <f>Vendas[[#This Row],[Valor da Venda]]-(_xlfn.XLOOKUP(Vendas[[#This Row],[ID Item Vendido]],Agregado[ID],Agregado[Custo])*Vendas[[#This Row],[Qnt Vendida]])</f>
        <v>100.80000000000001</v>
      </c>
      <c r="K382" s="70">
        <f>Vendas[[#This Row],[Lucro da Venda]]/Vendas[[#This Row],[Valor da Venda]]</f>
        <v>0.21875000000000003</v>
      </c>
      <c r="L382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382"/>
    </row>
    <row r="383" spans="1:13" x14ac:dyDescent="0.3">
      <c r="A383" s="7">
        <v>400247</v>
      </c>
      <c r="B383" t="str">
        <f>_xlfn.XLOOKUP(Vendas[[#This Row],[ID Vendedor]],Vendedores[ID],Vendedores[Nome])</f>
        <v>André</v>
      </c>
      <c r="C383" s="7" t="str">
        <f>_xlfn.XLOOKUP(Vendas[[#This Row],[ID Vendedor]],Vendedores[ID],Vendedores[Setor])</f>
        <v>CM</v>
      </c>
      <c r="D383" s="7" t="s">
        <v>22</v>
      </c>
      <c r="E383" t="str">
        <f>_xlfn.XLOOKUP(Vendas[[#This Row],[ID Item Vendido]],Agregado[ID],Agregado[Produto])</f>
        <v>Painel MDP 2,75x1,83m</v>
      </c>
      <c r="F383" s="39">
        <v>43776</v>
      </c>
      <c r="G383" s="7">
        <v>6</v>
      </c>
      <c r="H383" s="3">
        <f>_xlfn.XLOOKUP(Vendas[[#This Row],[ID Item Vendido]],Agregado[ID],Agregado[Revenda])</f>
        <v>119</v>
      </c>
      <c r="I383" s="3">
        <f>Vendas[[#This Row],[Valor Unitário]]*Vendas[[#This Row],[Qnt Vendida]]</f>
        <v>714</v>
      </c>
      <c r="J383" s="3">
        <f>Vendas[[#This Row],[Valor da Venda]]-(_xlfn.XLOOKUP(Vendas[[#This Row],[ID Item Vendido]],Agregado[ID],Agregado[Custo])*Vendas[[#This Row],[Qnt Vendida]])</f>
        <v>144</v>
      </c>
      <c r="K383" s="70">
        <f>Vendas[[#This Row],[Lucro da Venda]]/Vendas[[#This Row],[Valor da Venda]]</f>
        <v>0.20168067226890757</v>
      </c>
      <c r="L383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83"/>
    </row>
    <row r="384" spans="1:13" x14ac:dyDescent="0.3">
      <c r="A384" s="7">
        <v>400255</v>
      </c>
      <c r="B384" t="str">
        <f>_xlfn.XLOOKUP(Vendas[[#This Row],[ID Vendedor]],Vendedores[ID],Vendedores[Nome])</f>
        <v>Carlos</v>
      </c>
      <c r="C384" s="7" t="str">
        <f>_xlfn.XLOOKUP(Vendas[[#This Row],[ID Vendedor]],Vendedores[ID],Vendedores[Setor])</f>
        <v>SC</v>
      </c>
      <c r="D384" s="7" t="s">
        <v>14</v>
      </c>
      <c r="E384" t="str">
        <f>_xlfn.XLOOKUP(Vendas[[#This Row],[ID Item Vendido]],Agregado[ID],Agregado[Produto])</f>
        <v>Barril de plástico 200L</v>
      </c>
      <c r="F384" s="39">
        <v>43776</v>
      </c>
      <c r="G384" s="7">
        <v>4</v>
      </c>
      <c r="H384" s="3">
        <f>_xlfn.XLOOKUP(Vendas[[#This Row],[ID Item Vendido]],Agregado[ID],Agregado[Revenda])</f>
        <v>114</v>
      </c>
      <c r="I384" s="3">
        <f>Vendas[[#This Row],[Valor Unitário]]*Vendas[[#This Row],[Qnt Vendida]]</f>
        <v>456</v>
      </c>
      <c r="J384" s="3">
        <f>Vendas[[#This Row],[Valor da Venda]]-(_xlfn.XLOOKUP(Vendas[[#This Row],[ID Item Vendido]],Agregado[ID],Agregado[Custo])*Vendas[[#This Row],[Qnt Vendida]])</f>
        <v>76</v>
      </c>
      <c r="K384" s="70">
        <f>Vendas[[#This Row],[Lucro da Venda]]/Vendas[[#This Row],[Valor da Venda]]</f>
        <v>0.16666666666666666</v>
      </c>
      <c r="L384" s="3">
        <f>_xlfn.IFS(Vendas[[#This Row],[Margem de Lucro (%)]]&lt;15%,Vendas[[#This Row],[Valor da Venda]]*3%,Vendas[[#This Row],[Margem de Lucro (%)]]&lt;=20%,Vendas[[#This Row],[Valor da Venda]]*4.5%,TRUE,Vendas[[#This Row],[Valor da Venda]]*6%)</f>
        <v>20.52</v>
      </c>
      <c r="M384"/>
    </row>
    <row r="385" spans="1:13" x14ac:dyDescent="0.3">
      <c r="A385" s="7">
        <v>400249</v>
      </c>
      <c r="B385" t="str">
        <f>_xlfn.XLOOKUP(Vendas[[#This Row],[ID Vendedor]],Vendedores[ID],Vendedores[Nome])</f>
        <v>Bruno</v>
      </c>
      <c r="C385" s="7" t="str">
        <f>_xlfn.XLOOKUP(Vendas[[#This Row],[ID Vendedor]],Vendedores[ID],Vendedores[Setor])</f>
        <v>CM</v>
      </c>
      <c r="D385" s="7" t="s">
        <v>43</v>
      </c>
      <c r="E385" t="str">
        <f>_xlfn.XLOOKUP(Vendas[[#This Row],[ID Item Vendido]],Agregado[ID],Agregado[Produto])</f>
        <v>Madeira Bruta (Tora)</v>
      </c>
      <c r="F385" s="39">
        <v>43777</v>
      </c>
      <c r="G385" s="7">
        <v>2</v>
      </c>
      <c r="H385" s="3">
        <f>_xlfn.XLOOKUP(Vendas[[#This Row],[ID Item Vendido]],Agregado[ID],Agregado[Revenda])</f>
        <v>212</v>
      </c>
      <c r="I385" s="3">
        <f>Vendas[[#This Row],[Valor Unitário]]*Vendas[[#This Row],[Qnt Vendida]]</f>
        <v>424</v>
      </c>
      <c r="J385" s="3">
        <f>Vendas[[#This Row],[Valor da Venda]]-(_xlfn.XLOOKUP(Vendas[[#This Row],[ID Item Vendido]],Agregado[ID],Agregado[Custo])*Vendas[[#This Row],[Qnt Vendida]])</f>
        <v>64</v>
      </c>
      <c r="K385" s="70">
        <f>Vendas[[#This Row],[Lucro da Venda]]/Vendas[[#This Row],[Valor da Venda]]</f>
        <v>0.15094339622641509</v>
      </c>
      <c r="L38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85"/>
    </row>
    <row r="386" spans="1:13" x14ac:dyDescent="0.3">
      <c r="A386" s="7">
        <v>400241</v>
      </c>
      <c r="B386" t="str">
        <f>_xlfn.XLOOKUP(Vendas[[#This Row],[ID Vendedor]],Vendedores[ID],Vendedores[Nome])</f>
        <v>Rodrigo</v>
      </c>
      <c r="C386" s="7" t="str">
        <f>_xlfn.XLOOKUP(Vendas[[#This Row],[ID Vendedor]],Vendedores[ID],Vendedores[Setor])</f>
        <v>FM</v>
      </c>
      <c r="D386" s="7" t="s">
        <v>31</v>
      </c>
      <c r="E386" t="str">
        <f>_xlfn.XLOOKUP(Vendas[[#This Row],[ID Item Vendido]],Agregado[ID],Agregado[Produto])</f>
        <v>Tela de metal soldada rolo 2x25m</v>
      </c>
      <c r="F386" s="39">
        <v>43779</v>
      </c>
      <c r="G386" s="7">
        <v>7</v>
      </c>
      <c r="H386" s="3">
        <f>_xlfn.XLOOKUP(Vendas[[#This Row],[ID Item Vendido]],Agregado[ID],Agregado[Revenda])</f>
        <v>43.7</v>
      </c>
      <c r="I386" s="3">
        <f>Vendas[[#This Row],[Valor Unitário]]*Vendas[[#This Row],[Qnt Vendida]]</f>
        <v>305.90000000000003</v>
      </c>
      <c r="J386" s="3">
        <f>Vendas[[#This Row],[Valor da Venda]]-(_xlfn.XLOOKUP(Vendas[[#This Row],[ID Item Vendido]],Agregado[ID],Agregado[Custo])*Vendas[[#This Row],[Qnt Vendida]])</f>
        <v>39.900000000000034</v>
      </c>
      <c r="K386" s="70">
        <f>Vendas[[#This Row],[Lucro da Venda]]/Vendas[[#This Row],[Valor da Venda]]</f>
        <v>0.13043478260869576</v>
      </c>
      <c r="L386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386"/>
    </row>
    <row r="387" spans="1:13" x14ac:dyDescent="0.3">
      <c r="A387" s="7">
        <v>400245</v>
      </c>
      <c r="B387" t="str">
        <f>_xlfn.XLOOKUP(Vendas[[#This Row],[ID Vendedor]],Vendedores[ID],Vendedores[Nome])</f>
        <v>Thiago</v>
      </c>
      <c r="C387" s="7" t="str">
        <f>_xlfn.XLOOKUP(Vendas[[#This Row],[ID Vendedor]],Vendedores[ID],Vendedores[Setor])</f>
        <v>AHD</v>
      </c>
      <c r="D387" s="7" t="s">
        <v>44</v>
      </c>
      <c r="E387" t="str">
        <f>_xlfn.XLOOKUP(Vendas[[#This Row],[ID Item Vendido]],Agregado[ID],Agregado[Produto])</f>
        <v>Liga metálica especial</v>
      </c>
      <c r="F387" s="39">
        <v>43781</v>
      </c>
      <c r="G387" s="7">
        <v>58</v>
      </c>
      <c r="H387" s="3">
        <f>_xlfn.XLOOKUP(Vendas[[#This Row],[ID Item Vendido]],Agregado[ID],Agregado[Revenda])</f>
        <v>32.5</v>
      </c>
      <c r="I387" s="3">
        <f>Vendas[[#This Row],[Valor Unitário]]*Vendas[[#This Row],[Qnt Vendida]]</f>
        <v>1885</v>
      </c>
      <c r="J387" s="3">
        <f>Vendas[[#This Row],[Valor da Venda]]-(_xlfn.XLOOKUP(Vendas[[#This Row],[ID Item Vendido]],Agregado[ID],Agregado[Custo])*Vendas[[#This Row],[Qnt Vendida]])</f>
        <v>435</v>
      </c>
      <c r="K387" s="70">
        <f>Vendas[[#This Row],[Lucro da Venda]]/Vendas[[#This Row],[Valor da Venda]]</f>
        <v>0.23076923076923078</v>
      </c>
      <c r="L387" s="3">
        <f>_xlfn.IFS(Vendas[[#This Row],[Margem de Lucro (%)]]&lt;15%,Vendas[[#This Row],[Valor da Venda]]*3%,Vendas[[#This Row],[Margem de Lucro (%)]]&lt;=20%,Vendas[[#This Row],[Valor da Venda]]*4.5%,TRUE,Vendas[[#This Row],[Valor da Venda]]*6%)</f>
        <v>113.1</v>
      </c>
      <c r="M387"/>
    </row>
    <row r="388" spans="1:13" x14ac:dyDescent="0.3">
      <c r="A388" s="7">
        <v>400241</v>
      </c>
      <c r="B388" t="str">
        <f>_xlfn.XLOOKUP(Vendas[[#This Row],[ID Vendedor]],Vendedores[ID],Vendedores[Nome])</f>
        <v>Rodrigo</v>
      </c>
      <c r="C388" s="7" t="str">
        <f>_xlfn.XLOOKUP(Vendas[[#This Row],[ID Vendedor]],Vendedores[ID],Vendedores[Setor])</f>
        <v>FM</v>
      </c>
      <c r="D388" s="7" t="s">
        <v>31</v>
      </c>
      <c r="E388" t="str">
        <f>_xlfn.XLOOKUP(Vendas[[#This Row],[ID Item Vendido]],Agregado[ID],Agregado[Produto])</f>
        <v>Tela de metal soldada rolo 2x25m</v>
      </c>
      <c r="F388" s="39">
        <v>43782</v>
      </c>
      <c r="G388" s="7">
        <v>4</v>
      </c>
      <c r="H388" s="3">
        <f>_xlfn.XLOOKUP(Vendas[[#This Row],[ID Item Vendido]],Agregado[ID],Agregado[Revenda])</f>
        <v>43.7</v>
      </c>
      <c r="I388" s="3">
        <f>Vendas[[#This Row],[Valor Unitário]]*Vendas[[#This Row],[Qnt Vendida]]</f>
        <v>174.8</v>
      </c>
      <c r="J388" s="3">
        <f>Vendas[[#This Row],[Valor da Venda]]-(_xlfn.XLOOKUP(Vendas[[#This Row],[ID Item Vendido]],Agregado[ID],Agregado[Custo])*Vendas[[#This Row],[Qnt Vendida]])</f>
        <v>22.800000000000011</v>
      </c>
      <c r="K388" s="70">
        <f>Vendas[[#This Row],[Lucro da Venda]]/Vendas[[#This Row],[Valor da Venda]]</f>
        <v>0.1304347826086957</v>
      </c>
      <c r="L388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388"/>
    </row>
    <row r="389" spans="1:13" x14ac:dyDescent="0.3">
      <c r="A389" s="7">
        <v>400241</v>
      </c>
      <c r="B389" t="str">
        <f>_xlfn.XLOOKUP(Vendas[[#This Row],[ID Vendedor]],Vendedores[ID],Vendedores[Nome])</f>
        <v>Rodrigo</v>
      </c>
      <c r="C389" s="7" t="str">
        <f>_xlfn.XLOOKUP(Vendas[[#This Row],[ID Vendedor]],Vendedores[ID],Vendedores[Setor])</f>
        <v>FM</v>
      </c>
      <c r="D389" s="7" t="s">
        <v>31</v>
      </c>
      <c r="E389" t="str">
        <f>_xlfn.XLOOKUP(Vendas[[#This Row],[ID Item Vendido]],Agregado[ID],Agregado[Produto])</f>
        <v>Tela de metal soldada rolo 2x25m</v>
      </c>
      <c r="F389" s="39">
        <v>43782</v>
      </c>
      <c r="G389" s="7">
        <v>2</v>
      </c>
      <c r="H389" s="3">
        <f>_xlfn.XLOOKUP(Vendas[[#This Row],[ID Item Vendido]],Agregado[ID],Agregado[Revenda])</f>
        <v>43.7</v>
      </c>
      <c r="I389" s="3">
        <f>Vendas[[#This Row],[Valor Unitário]]*Vendas[[#This Row],[Qnt Vendida]]</f>
        <v>87.4</v>
      </c>
      <c r="J389" s="3">
        <f>Vendas[[#This Row],[Valor da Venda]]-(_xlfn.XLOOKUP(Vendas[[#This Row],[ID Item Vendido]],Agregado[ID],Agregado[Custo])*Vendas[[#This Row],[Qnt Vendida]])</f>
        <v>11.400000000000006</v>
      </c>
      <c r="K389" s="70">
        <f>Vendas[[#This Row],[Lucro da Venda]]/Vendas[[#This Row],[Valor da Venda]]</f>
        <v>0.1304347826086957</v>
      </c>
      <c r="L389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389"/>
    </row>
    <row r="390" spans="1:13" x14ac:dyDescent="0.3">
      <c r="A390" s="7">
        <v>400251</v>
      </c>
      <c r="B390" t="str">
        <f>_xlfn.XLOOKUP(Vendas[[#This Row],[ID Vendedor]],Vendedores[ID],Vendedores[Nome])</f>
        <v>Diego</v>
      </c>
      <c r="C390" s="7" t="str">
        <f>_xlfn.XLOOKUP(Vendas[[#This Row],[ID Vendedor]],Vendedores[ID],Vendedores[Setor])</f>
        <v>AB</v>
      </c>
      <c r="D390" s="7" t="s">
        <v>36</v>
      </c>
      <c r="E390" t="str">
        <f>_xlfn.XLOOKUP(Vendas[[#This Row],[ID Item Vendido]],Agregado[ID],Agregado[Produto])</f>
        <v>Borracha vulcanizada em manta</v>
      </c>
      <c r="F390" s="39">
        <v>43783</v>
      </c>
      <c r="G390" s="7">
        <v>70</v>
      </c>
      <c r="H390" s="3">
        <f>_xlfn.XLOOKUP(Vendas[[#This Row],[ID Item Vendido]],Agregado[ID],Agregado[Revenda])</f>
        <v>7.8</v>
      </c>
      <c r="I390" s="3">
        <f>Vendas[[#This Row],[Valor Unitário]]*Vendas[[#This Row],[Qnt Vendida]]</f>
        <v>546</v>
      </c>
      <c r="J390" s="3">
        <f>Vendas[[#This Row],[Valor da Venda]]-(_xlfn.XLOOKUP(Vendas[[#This Row],[ID Item Vendido]],Agregado[ID],Agregado[Custo])*Vendas[[#This Row],[Qnt Vendida]])</f>
        <v>126</v>
      </c>
      <c r="K390" s="70">
        <f>Vendas[[#This Row],[Lucro da Venda]]/Vendas[[#This Row],[Valor da Venda]]</f>
        <v>0.23076923076923078</v>
      </c>
      <c r="L390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390"/>
    </row>
    <row r="391" spans="1:13" x14ac:dyDescent="0.3">
      <c r="A391" s="7">
        <v>400251</v>
      </c>
      <c r="B391" t="str">
        <f>_xlfn.XLOOKUP(Vendas[[#This Row],[ID Vendedor]],Vendedores[ID],Vendedores[Nome])</f>
        <v>Diego</v>
      </c>
      <c r="C391" s="7" t="str">
        <f>_xlfn.XLOOKUP(Vendas[[#This Row],[ID Vendedor]],Vendedores[ID],Vendedores[Setor])</f>
        <v>AB</v>
      </c>
      <c r="D391" s="7" t="s">
        <v>36</v>
      </c>
      <c r="E391" t="str">
        <f>_xlfn.XLOOKUP(Vendas[[#This Row],[ID Item Vendido]],Agregado[ID],Agregado[Produto])</f>
        <v>Borracha vulcanizada em manta</v>
      </c>
      <c r="F391" s="39">
        <v>43783</v>
      </c>
      <c r="G391" s="7">
        <v>55</v>
      </c>
      <c r="H391" s="3">
        <f>_xlfn.XLOOKUP(Vendas[[#This Row],[ID Item Vendido]],Agregado[ID],Agregado[Revenda])</f>
        <v>7.8</v>
      </c>
      <c r="I391" s="3">
        <f>Vendas[[#This Row],[Valor Unitário]]*Vendas[[#This Row],[Qnt Vendida]]</f>
        <v>429</v>
      </c>
      <c r="J391" s="3">
        <f>Vendas[[#This Row],[Valor da Venda]]-(_xlfn.XLOOKUP(Vendas[[#This Row],[ID Item Vendido]],Agregado[ID],Agregado[Custo])*Vendas[[#This Row],[Qnt Vendida]])</f>
        <v>99</v>
      </c>
      <c r="K391" s="70">
        <f>Vendas[[#This Row],[Lucro da Venda]]/Vendas[[#This Row],[Valor da Venda]]</f>
        <v>0.23076923076923078</v>
      </c>
      <c r="L391" s="3">
        <f>_xlfn.IFS(Vendas[[#This Row],[Margem de Lucro (%)]]&lt;15%,Vendas[[#This Row],[Valor da Venda]]*3%,Vendas[[#This Row],[Margem de Lucro (%)]]&lt;=20%,Vendas[[#This Row],[Valor da Venda]]*4.5%,TRUE,Vendas[[#This Row],[Valor da Venda]]*6%)</f>
        <v>25.74</v>
      </c>
      <c r="M391"/>
    </row>
    <row r="392" spans="1:13" x14ac:dyDescent="0.3">
      <c r="A392" s="7">
        <v>400247</v>
      </c>
      <c r="B392" t="str">
        <f>_xlfn.XLOOKUP(Vendas[[#This Row],[ID Vendedor]],Vendedores[ID],Vendedores[Nome])</f>
        <v>André</v>
      </c>
      <c r="C392" s="7" t="str">
        <f>_xlfn.XLOOKUP(Vendas[[#This Row],[ID Vendedor]],Vendedores[ID],Vendedores[Setor])</f>
        <v>CM</v>
      </c>
      <c r="D392" s="7" t="s">
        <v>32</v>
      </c>
      <c r="E392" t="str">
        <f>_xlfn.XLOOKUP(Vendas[[#This Row],[ID Item Vendido]],Agregado[ID],Agregado[Produto])</f>
        <v>Tábua tratada e cortada 3m</v>
      </c>
      <c r="F392" s="39">
        <v>43784</v>
      </c>
      <c r="G392" s="7">
        <v>29</v>
      </c>
      <c r="H392" s="3">
        <f>_xlfn.XLOOKUP(Vendas[[#This Row],[ID Item Vendido]],Agregado[ID],Agregado[Revenda])</f>
        <v>39</v>
      </c>
      <c r="I392" s="3">
        <f>Vendas[[#This Row],[Valor Unitário]]*Vendas[[#This Row],[Qnt Vendida]]</f>
        <v>1131</v>
      </c>
      <c r="J392" s="3">
        <f>Vendas[[#This Row],[Valor da Venda]]-(_xlfn.XLOOKUP(Vendas[[#This Row],[ID Item Vendido]],Agregado[ID],Agregado[Custo])*Vendas[[#This Row],[Qnt Vendida]])</f>
        <v>203</v>
      </c>
      <c r="K392" s="70">
        <f>Vendas[[#This Row],[Lucro da Venda]]/Vendas[[#This Row],[Valor da Venda]]</f>
        <v>0.17948717948717949</v>
      </c>
      <c r="L392" s="3">
        <f>_xlfn.IFS(Vendas[[#This Row],[Margem de Lucro (%)]]&lt;15%,Vendas[[#This Row],[Valor da Venda]]*3%,Vendas[[#This Row],[Margem de Lucro (%)]]&lt;=20%,Vendas[[#This Row],[Valor da Venda]]*4.5%,TRUE,Vendas[[#This Row],[Valor da Venda]]*6%)</f>
        <v>50.894999999999996</v>
      </c>
      <c r="M392"/>
    </row>
    <row r="393" spans="1:13" x14ac:dyDescent="0.3">
      <c r="A393" s="7">
        <v>400245</v>
      </c>
      <c r="B393" t="str">
        <f>_xlfn.XLOOKUP(Vendas[[#This Row],[ID Vendedor]],Vendedores[ID],Vendedores[Nome])</f>
        <v>Thiago</v>
      </c>
      <c r="C393" s="7" t="str">
        <f>_xlfn.XLOOKUP(Vendas[[#This Row],[ID Vendedor]],Vendedores[ID],Vendedores[Setor])</f>
        <v>AHD</v>
      </c>
      <c r="D393" s="7" t="s">
        <v>44</v>
      </c>
      <c r="E393" t="str">
        <f>_xlfn.XLOOKUP(Vendas[[#This Row],[ID Item Vendido]],Agregado[ID],Agregado[Produto])</f>
        <v>Liga metálica especial</v>
      </c>
      <c r="F393" s="39">
        <v>43784</v>
      </c>
      <c r="G393" s="7">
        <v>27</v>
      </c>
      <c r="H393" s="3">
        <f>_xlfn.XLOOKUP(Vendas[[#This Row],[ID Item Vendido]],Agregado[ID],Agregado[Revenda])</f>
        <v>32.5</v>
      </c>
      <c r="I393" s="3">
        <f>Vendas[[#This Row],[Valor Unitário]]*Vendas[[#This Row],[Qnt Vendida]]</f>
        <v>877.5</v>
      </c>
      <c r="J393" s="3">
        <f>Vendas[[#This Row],[Valor da Venda]]-(_xlfn.XLOOKUP(Vendas[[#This Row],[ID Item Vendido]],Agregado[ID],Agregado[Custo])*Vendas[[#This Row],[Qnt Vendida]])</f>
        <v>202.5</v>
      </c>
      <c r="K393" s="70">
        <f>Vendas[[#This Row],[Lucro da Venda]]/Vendas[[#This Row],[Valor da Venda]]</f>
        <v>0.23076923076923078</v>
      </c>
      <c r="L39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393"/>
    </row>
    <row r="394" spans="1:13" x14ac:dyDescent="0.3">
      <c r="A394" s="7">
        <v>400247</v>
      </c>
      <c r="B394" t="str">
        <f>_xlfn.XLOOKUP(Vendas[[#This Row],[ID Vendedor]],Vendedores[ID],Vendedores[Nome])</f>
        <v>André</v>
      </c>
      <c r="C394" s="7" t="str">
        <f>_xlfn.XLOOKUP(Vendas[[#This Row],[ID Vendedor]],Vendedores[ID],Vendedores[Setor])</f>
        <v>CM</v>
      </c>
      <c r="D394" s="7" t="s">
        <v>43</v>
      </c>
      <c r="E394" t="str">
        <f>_xlfn.XLOOKUP(Vendas[[#This Row],[ID Item Vendido]],Agregado[ID],Agregado[Produto])</f>
        <v>Madeira Bruta (Tora)</v>
      </c>
      <c r="F394" s="39">
        <v>43786</v>
      </c>
      <c r="G394" s="7">
        <v>1</v>
      </c>
      <c r="H394" s="3">
        <f>_xlfn.XLOOKUP(Vendas[[#This Row],[ID Item Vendido]],Agregado[ID],Agregado[Revenda])</f>
        <v>212</v>
      </c>
      <c r="I394" s="3">
        <f>Vendas[[#This Row],[Valor Unitário]]*Vendas[[#This Row],[Qnt Vendida]]</f>
        <v>212</v>
      </c>
      <c r="J394" s="3">
        <f>Vendas[[#This Row],[Valor da Venda]]-(_xlfn.XLOOKUP(Vendas[[#This Row],[ID Item Vendido]],Agregado[ID],Agregado[Custo])*Vendas[[#This Row],[Qnt Vendida]])</f>
        <v>32</v>
      </c>
      <c r="K394" s="70">
        <f>Vendas[[#This Row],[Lucro da Venda]]/Vendas[[#This Row],[Valor da Venda]]</f>
        <v>0.15094339622641509</v>
      </c>
      <c r="L394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394"/>
    </row>
    <row r="395" spans="1:13" x14ac:dyDescent="0.3">
      <c r="A395" s="7">
        <v>400255</v>
      </c>
      <c r="B395" t="str">
        <f>_xlfn.XLOOKUP(Vendas[[#This Row],[ID Vendedor]],Vendedores[ID],Vendedores[Nome])</f>
        <v>Carlos</v>
      </c>
      <c r="C395" s="7" t="str">
        <f>_xlfn.XLOOKUP(Vendas[[#This Row],[ID Vendedor]],Vendedores[ID],Vendedores[Setor])</f>
        <v>SC</v>
      </c>
      <c r="D395" s="7" t="s">
        <v>14</v>
      </c>
      <c r="E395" t="str">
        <f>_xlfn.XLOOKUP(Vendas[[#This Row],[ID Item Vendido]],Agregado[ID],Agregado[Produto])</f>
        <v>Barril de plástico 200L</v>
      </c>
      <c r="F395" s="39">
        <v>43787</v>
      </c>
      <c r="G395" s="7">
        <v>20</v>
      </c>
      <c r="H395" s="3">
        <f>_xlfn.XLOOKUP(Vendas[[#This Row],[ID Item Vendido]],Agregado[ID],Agregado[Revenda])</f>
        <v>114</v>
      </c>
      <c r="I395" s="3">
        <f>Vendas[[#This Row],[Valor Unitário]]*Vendas[[#This Row],[Qnt Vendida]]</f>
        <v>2280</v>
      </c>
      <c r="J395" s="3">
        <f>Vendas[[#This Row],[Valor da Venda]]-(_xlfn.XLOOKUP(Vendas[[#This Row],[ID Item Vendido]],Agregado[ID],Agregado[Custo])*Vendas[[#This Row],[Qnt Vendida]])</f>
        <v>380</v>
      </c>
      <c r="K395" s="70">
        <f>Vendas[[#This Row],[Lucro da Venda]]/Vendas[[#This Row],[Valor da Venda]]</f>
        <v>0.16666666666666666</v>
      </c>
      <c r="L395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395"/>
    </row>
    <row r="396" spans="1:13" x14ac:dyDescent="0.3">
      <c r="A396" s="7">
        <v>400247</v>
      </c>
      <c r="B396" t="str">
        <f>_xlfn.XLOOKUP(Vendas[[#This Row],[ID Vendedor]],Vendedores[ID],Vendedores[Nome])</f>
        <v>André</v>
      </c>
      <c r="C396" s="7" t="str">
        <f>_xlfn.XLOOKUP(Vendas[[#This Row],[ID Vendedor]],Vendedores[ID],Vendedores[Setor])</f>
        <v>CM</v>
      </c>
      <c r="D396" s="7" t="s">
        <v>22</v>
      </c>
      <c r="E396" t="str">
        <f>_xlfn.XLOOKUP(Vendas[[#This Row],[ID Item Vendido]],Agregado[ID],Agregado[Produto])</f>
        <v>Painel MDP 2,75x1,83m</v>
      </c>
      <c r="F396" s="39">
        <v>43788</v>
      </c>
      <c r="G396" s="7">
        <v>14</v>
      </c>
      <c r="H396" s="3">
        <f>_xlfn.XLOOKUP(Vendas[[#This Row],[ID Item Vendido]],Agregado[ID],Agregado[Revenda])</f>
        <v>119</v>
      </c>
      <c r="I396" s="3">
        <f>Vendas[[#This Row],[Valor Unitário]]*Vendas[[#This Row],[Qnt Vendida]]</f>
        <v>1666</v>
      </c>
      <c r="J396" s="3">
        <f>Vendas[[#This Row],[Valor da Venda]]-(_xlfn.XLOOKUP(Vendas[[#This Row],[ID Item Vendido]],Agregado[ID],Agregado[Custo])*Vendas[[#This Row],[Qnt Vendida]])</f>
        <v>336</v>
      </c>
      <c r="K396" s="70">
        <f>Vendas[[#This Row],[Lucro da Venda]]/Vendas[[#This Row],[Valor da Venda]]</f>
        <v>0.20168067226890757</v>
      </c>
      <c r="L396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96"/>
    </row>
    <row r="397" spans="1:13" x14ac:dyDescent="0.3">
      <c r="A397" s="7">
        <v>400251</v>
      </c>
      <c r="B397" t="str">
        <f>_xlfn.XLOOKUP(Vendas[[#This Row],[ID Vendedor]],Vendedores[ID],Vendedores[Nome])</f>
        <v>Diego</v>
      </c>
      <c r="C397" s="7" t="str">
        <f>_xlfn.XLOOKUP(Vendas[[#This Row],[ID Vendedor]],Vendedores[ID],Vendedores[Setor])</f>
        <v>AB</v>
      </c>
      <c r="D397" s="7" t="s">
        <v>12</v>
      </c>
      <c r="E397" t="str">
        <f>_xlfn.XLOOKUP(Vendas[[#This Row],[ID Item Vendido]],Agregado[ID],Agregado[Produto])</f>
        <v>Grânulo de plástico reciclado refinado</v>
      </c>
      <c r="F397" s="39">
        <v>43788</v>
      </c>
      <c r="G397" s="7">
        <v>40</v>
      </c>
      <c r="H397" s="3">
        <f>_xlfn.XLOOKUP(Vendas[[#This Row],[ID Item Vendido]],Agregado[ID],Agregado[Revenda])</f>
        <v>4.7</v>
      </c>
      <c r="I397" s="3">
        <f>Vendas[[#This Row],[Valor Unitário]]*Vendas[[#This Row],[Qnt Vendida]]</f>
        <v>188</v>
      </c>
      <c r="J397" s="3">
        <f>Vendas[[#This Row],[Valor da Venda]]-(_xlfn.XLOOKUP(Vendas[[#This Row],[ID Item Vendido]],Agregado[ID],Agregado[Custo])*Vendas[[#This Row],[Qnt Vendida]])</f>
        <v>48</v>
      </c>
      <c r="K397" s="70">
        <f>Vendas[[#This Row],[Lucro da Venda]]/Vendas[[#This Row],[Valor da Venda]]</f>
        <v>0.25531914893617019</v>
      </c>
      <c r="L397" s="3">
        <f>_xlfn.IFS(Vendas[[#This Row],[Margem de Lucro (%)]]&lt;15%,Vendas[[#This Row],[Valor da Venda]]*3%,Vendas[[#This Row],[Margem de Lucro (%)]]&lt;=20%,Vendas[[#This Row],[Valor da Venda]]*4.5%,TRUE,Vendas[[#This Row],[Valor da Venda]]*6%)</f>
        <v>11.28</v>
      </c>
      <c r="M397"/>
    </row>
    <row r="398" spans="1:13" x14ac:dyDescent="0.3">
      <c r="A398" s="7">
        <v>400251</v>
      </c>
      <c r="B398" t="str">
        <f>_xlfn.XLOOKUP(Vendas[[#This Row],[ID Vendedor]],Vendedores[ID],Vendedores[Nome])</f>
        <v>Diego</v>
      </c>
      <c r="C398" s="7" t="str">
        <f>_xlfn.XLOOKUP(Vendas[[#This Row],[ID Vendedor]],Vendedores[ID],Vendedores[Setor])</f>
        <v>AB</v>
      </c>
      <c r="D398" s="7" t="s">
        <v>36</v>
      </c>
      <c r="E398" t="str">
        <f>_xlfn.XLOOKUP(Vendas[[#This Row],[ID Item Vendido]],Agregado[ID],Agregado[Produto])</f>
        <v>Borracha vulcanizada em manta</v>
      </c>
      <c r="F398" s="39">
        <v>43790</v>
      </c>
      <c r="G398" s="7">
        <v>26</v>
      </c>
      <c r="H398" s="3">
        <f>_xlfn.XLOOKUP(Vendas[[#This Row],[ID Item Vendido]],Agregado[ID],Agregado[Revenda])</f>
        <v>7.8</v>
      </c>
      <c r="I398" s="3">
        <f>Vendas[[#This Row],[Valor Unitário]]*Vendas[[#This Row],[Qnt Vendida]]</f>
        <v>202.79999999999998</v>
      </c>
      <c r="J398" s="3">
        <f>Vendas[[#This Row],[Valor da Venda]]-(_xlfn.XLOOKUP(Vendas[[#This Row],[ID Item Vendido]],Agregado[ID],Agregado[Custo])*Vendas[[#This Row],[Qnt Vendida]])</f>
        <v>46.799999999999983</v>
      </c>
      <c r="K398" s="70">
        <f>Vendas[[#This Row],[Lucro da Venda]]/Vendas[[#This Row],[Valor da Venda]]</f>
        <v>0.2307692307692307</v>
      </c>
      <c r="L398" s="3">
        <f>_xlfn.IFS(Vendas[[#This Row],[Margem de Lucro (%)]]&lt;15%,Vendas[[#This Row],[Valor da Venda]]*3%,Vendas[[#This Row],[Margem de Lucro (%)]]&lt;=20%,Vendas[[#This Row],[Valor da Venda]]*4.5%,TRUE,Vendas[[#This Row],[Valor da Venda]]*6%)</f>
        <v>12.167999999999999</v>
      </c>
      <c r="M398"/>
    </row>
    <row r="399" spans="1:13" x14ac:dyDescent="0.3">
      <c r="A399" s="7">
        <v>400245</v>
      </c>
      <c r="B399" t="str">
        <f>_xlfn.XLOOKUP(Vendas[[#This Row],[ID Vendedor]],Vendedores[ID],Vendedores[Nome])</f>
        <v>Thiago</v>
      </c>
      <c r="C399" s="7" t="str">
        <f>_xlfn.XLOOKUP(Vendas[[#This Row],[ID Vendedor]],Vendedores[ID],Vendedores[Setor])</f>
        <v>AHD</v>
      </c>
      <c r="D399" s="7" t="s">
        <v>18</v>
      </c>
      <c r="E399" t="str">
        <f>_xlfn.XLOOKUP(Vendas[[#This Row],[ID Item Vendido]],Agregado[ID],Agregado[Produto])</f>
        <v>Peça forjada sob encomenda</v>
      </c>
      <c r="F399" s="39">
        <v>43791</v>
      </c>
      <c r="G399" s="7">
        <v>4</v>
      </c>
      <c r="H399" s="3">
        <f>_xlfn.XLOOKUP(Vendas[[#This Row],[ID Item Vendido]],Agregado[ID],Agregado[Revenda])</f>
        <v>264.60000000000002</v>
      </c>
      <c r="I399" s="3">
        <f>Vendas[[#This Row],[Valor Unitário]]*Vendas[[#This Row],[Qnt Vendida]]</f>
        <v>1058.4000000000001</v>
      </c>
      <c r="J399" s="3">
        <f>Vendas[[#This Row],[Valor da Venda]]-(_xlfn.XLOOKUP(Vendas[[#This Row],[ID Item Vendido]],Agregado[ID],Agregado[Custo])*Vendas[[#This Row],[Qnt Vendida]])</f>
        <v>58.400000000000091</v>
      </c>
      <c r="K399" s="70">
        <f>Vendas[[#This Row],[Lucro da Venda]]/Vendas[[#This Row],[Valor da Venda]]</f>
        <v>5.5177626606198113E-2</v>
      </c>
      <c r="L399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99"/>
    </row>
    <row r="400" spans="1:13" x14ac:dyDescent="0.3">
      <c r="A400" s="7">
        <v>400243</v>
      </c>
      <c r="B400" t="str">
        <f>_xlfn.XLOOKUP(Vendas[[#This Row],[ID Vendedor]],Vendedores[ID],Vendedores[Nome])</f>
        <v>Marcelo</v>
      </c>
      <c r="C400" s="7" t="str">
        <f>_xlfn.XLOOKUP(Vendas[[#This Row],[ID Vendedor]],Vendedores[ID],Vendedores[Setor])</f>
        <v>FM</v>
      </c>
      <c r="D400" s="7" t="s">
        <v>31</v>
      </c>
      <c r="E400" t="str">
        <f>_xlfn.XLOOKUP(Vendas[[#This Row],[ID Item Vendido]],Agregado[ID],Agregado[Produto])</f>
        <v>Tela de metal soldada rolo 2x25m</v>
      </c>
      <c r="F400" s="39">
        <v>43791</v>
      </c>
      <c r="G400" s="7">
        <v>15</v>
      </c>
      <c r="H400" s="3">
        <f>_xlfn.XLOOKUP(Vendas[[#This Row],[ID Item Vendido]],Agregado[ID],Agregado[Revenda])</f>
        <v>43.7</v>
      </c>
      <c r="I400" s="3">
        <f>Vendas[[#This Row],[Valor Unitário]]*Vendas[[#This Row],[Qnt Vendida]]</f>
        <v>655.5</v>
      </c>
      <c r="J400" s="3">
        <f>Vendas[[#This Row],[Valor da Venda]]-(_xlfn.XLOOKUP(Vendas[[#This Row],[ID Item Vendido]],Agregado[ID],Agregado[Custo])*Vendas[[#This Row],[Qnt Vendida]])</f>
        <v>85.5</v>
      </c>
      <c r="K400" s="70">
        <f>Vendas[[#This Row],[Lucro da Venda]]/Vendas[[#This Row],[Valor da Venda]]</f>
        <v>0.13043478260869565</v>
      </c>
      <c r="L400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400"/>
    </row>
    <row r="401" spans="1:13" x14ac:dyDescent="0.3">
      <c r="A401" s="7">
        <v>400255</v>
      </c>
      <c r="B401" t="str">
        <f>_xlfn.XLOOKUP(Vendas[[#This Row],[ID Vendedor]],Vendedores[ID],Vendedores[Nome])</f>
        <v>Carlos</v>
      </c>
      <c r="C401" s="7" t="str">
        <f>_xlfn.XLOOKUP(Vendas[[#This Row],[ID Vendedor]],Vendedores[ID],Vendedores[Setor])</f>
        <v>SC</v>
      </c>
      <c r="D401" s="7" t="s">
        <v>42</v>
      </c>
      <c r="E401" t="str">
        <f>_xlfn.XLOOKUP(Vendas[[#This Row],[ID Item Vendido]],Agregado[ID],Agregado[Produto])</f>
        <v>Container de ferro industrial</v>
      </c>
      <c r="F401" s="39">
        <v>43794</v>
      </c>
      <c r="G401" s="7">
        <v>5</v>
      </c>
      <c r="H401" s="3">
        <f>_xlfn.XLOOKUP(Vendas[[#This Row],[ID Item Vendido]],Agregado[ID],Agregado[Revenda])</f>
        <v>830</v>
      </c>
      <c r="I401" s="3">
        <f>Vendas[[#This Row],[Valor Unitário]]*Vendas[[#This Row],[Qnt Vendida]]</f>
        <v>4150</v>
      </c>
      <c r="J401" s="3">
        <f>Vendas[[#This Row],[Valor da Venda]]-(_xlfn.XLOOKUP(Vendas[[#This Row],[ID Item Vendido]],Agregado[ID],Agregado[Custo])*Vendas[[#This Row],[Qnt Vendida]])</f>
        <v>750</v>
      </c>
      <c r="K401" s="70">
        <f>Vendas[[#This Row],[Lucro da Venda]]/Vendas[[#This Row],[Valor da Venda]]</f>
        <v>0.18072289156626506</v>
      </c>
      <c r="L40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01"/>
    </row>
    <row r="402" spans="1:13" x14ac:dyDescent="0.3">
      <c r="A402" s="7">
        <v>400255</v>
      </c>
      <c r="B402" t="str">
        <f>_xlfn.XLOOKUP(Vendas[[#This Row],[ID Vendedor]],Vendedores[ID],Vendedores[Nome])</f>
        <v>Carlos</v>
      </c>
      <c r="C402" s="7" t="str">
        <f>_xlfn.XLOOKUP(Vendas[[#This Row],[ID Vendedor]],Vendedores[ID],Vendedores[Setor])</f>
        <v>SC</v>
      </c>
      <c r="D402" s="7" t="s">
        <v>48</v>
      </c>
      <c r="E402" t="str">
        <f>_xlfn.XLOOKUP(Vendas[[#This Row],[ID Item Vendido]],Agregado[ID],Agregado[Produto])</f>
        <v>Tambor metálico 200L</v>
      </c>
      <c r="F402" s="39">
        <v>43794</v>
      </c>
      <c r="G402" s="7">
        <v>2</v>
      </c>
      <c r="H402" s="3">
        <f>_xlfn.XLOOKUP(Vendas[[#This Row],[ID Item Vendido]],Agregado[ID],Agregado[Revenda])</f>
        <v>144</v>
      </c>
      <c r="I402" s="3">
        <f>Vendas[[#This Row],[Valor Unitário]]*Vendas[[#This Row],[Qnt Vendida]]</f>
        <v>288</v>
      </c>
      <c r="J402" s="3">
        <f>Vendas[[#This Row],[Valor da Venda]]-(_xlfn.XLOOKUP(Vendas[[#This Row],[ID Item Vendido]],Agregado[ID],Agregado[Custo])*Vendas[[#This Row],[Qnt Vendida]])</f>
        <v>48</v>
      </c>
      <c r="K402" s="70">
        <f>Vendas[[#This Row],[Lucro da Venda]]/Vendas[[#This Row],[Valor da Venda]]</f>
        <v>0.16666666666666666</v>
      </c>
      <c r="L402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402"/>
    </row>
    <row r="403" spans="1:13" x14ac:dyDescent="0.3">
      <c r="A403" s="7">
        <v>400241</v>
      </c>
      <c r="B403" t="str">
        <f>_xlfn.XLOOKUP(Vendas[[#This Row],[ID Vendedor]],Vendedores[ID],Vendedores[Nome])</f>
        <v>Rodrigo</v>
      </c>
      <c r="C403" s="7" t="str">
        <f>_xlfn.XLOOKUP(Vendas[[#This Row],[ID Vendedor]],Vendedores[ID],Vendedores[Setor])</f>
        <v>FM</v>
      </c>
      <c r="D403" s="7" t="s">
        <v>27</v>
      </c>
      <c r="E403" t="str">
        <f>_xlfn.XLOOKUP(Vendas[[#This Row],[ID Item Vendido]],Agregado[ID],Agregado[Produto])</f>
        <v>Chapa de metal lisa 1x2m</v>
      </c>
      <c r="F403" s="39">
        <v>43796</v>
      </c>
      <c r="G403" s="7">
        <v>12</v>
      </c>
      <c r="H403" s="3">
        <f>_xlfn.XLOOKUP(Vendas[[#This Row],[ID Item Vendido]],Agregado[ID],Agregado[Revenda])</f>
        <v>52</v>
      </c>
      <c r="I403" s="3">
        <f>Vendas[[#This Row],[Valor Unitário]]*Vendas[[#This Row],[Qnt Vendida]]</f>
        <v>624</v>
      </c>
      <c r="J403" s="3">
        <f>Vendas[[#This Row],[Valor da Venda]]-(_xlfn.XLOOKUP(Vendas[[#This Row],[ID Item Vendido]],Agregado[ID],Agregado[Custo])*Vendas[[#This Row],[Qnt Vendida]])</f>
        <v>84</v>
      </c>
      <c r="K403" s="70">
        <f>Vendas[[#This Row],[Lucro da Venda]]/Vendas[[#This Row],[Valor da Venda]]</f>
        <v>0.13461538461538461</v>
      </c>
      <c r="L403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403"/>
    </row>
    <row r="404" spans="1:13" x14ac:dyDescent="0.3">
      <c r="A404" s="7">
        <v>400249</v>
      </c>
      <c r="B404" t="str">
        <f>_xlfn.XLOOKUP(Vendas[[#This Row],[ID Vendedor]],Vendedores[ID],Vendedores[Nome])</f>
        <v>Bruno</v>
      </c>
      <c r="C404" s="7" t="str">
        <f>_xlfn.XLOOKUP(Vendas[[#This Row],[ID Vendedor]],Vendedores[ID],Vendedores[Setor])</f>
        <v>CM</v>
      </c>
      <c r="D404" s="7" t="s">
        <v>22</v>
      </c>
      <c r="E404" t="str">
        <f>_xlfn.XLOOKUP(Vendas[[#This Row],[ID Item Vendido]],Agregado[ID],Agregado[Produto])</f>
        <v>Painel MDP 2,75x1,83m</v>
      </c>
      <c r="F404" s="39">
        <v>43797</v>
      </c>
      <c r="G404" s="7">
        <v>14</v>
      </c>
      <c r="H404" s="3">
        <f>_xlfn.XLOOKUP(Vendas[[#This Row],[ID Item Vendido]],Agregado[ID],Agregado[Revenda])</f>
        <v>119</v>
      </c>
      <c r="I404" s="3">
        <f>Vendas[[#This Row],[Valor Unitário]]*Vendas[[#This Row],[Qnt Vendida]]</f>
        <v>1666</v>
      </c>
      <c r="J404" s="3">
        <f>Vendas[[#This Row],[Valor da Venda]]-(_xlfn.XLOOKUP(Vendas[[#This Row],[ID Item Vendido]],Agregado[ID],Agregado[Custo])*Vendas[[#This Row],[Qnt Vendida]])</f>
        <v>336</v>
      </c>
      <c r="K404" s="70">
        <f>Vendas[[#This Row],[Lucro da Venda]]/Vendas[[#This Row],[Valor da Venda]]</f>
        <v>0.20168067226890757</v>
      </c>
      <c r="L404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04"/>
    </row>
    <row r="405" spans="1:13" x14ac:dyDescent="0.3">
      <c r="A405" s="7">
        <v>400251</v>
      </c>
      <c r="B405" t="str">
        <f>_xlfn.XLOOKUP(Vendas[[#This Row],[ID Vendedor]],Vendedores[ID],Vendedores[Nome])</f>
        <v>Diego</v>
      </c>
      <c r="C405" s="7" t="str">
        <f>_xlfn.XLOOKUP(Vendas[[#This Row],[ID Vendedor]],Vendedores[ID],Vendedores[Setor])</f>
        <v>AB</v>
      </c>
      <c r="D405" s="7" t="s">
        <v>39</v>
      </c>
      <c r="E405" t="str">
        <f>_xlfn.XLOOKUP(Vendas[[#This Row],[ID Item Vendido]],Agregado[ID],Agregado[Produto])</f>
        <v>Filme plástico industrial rolo 50m</v>
      </c>
      <c r="F405" s="39">
        <v>43797</v>
      </c>
      <c r="G405" s="7">
        <v>4</v>
      </c>
      <c r="H405" s="3">
        <f>_xlfn.XLOOKUP(Vendas[[#This Row],[ID Item Vendido]],Agregado[ID],Agregado[Revenda])</f>
        <v>37</v>
      </c>
      <c r="I405" s="3">
        <f>Vendas[[#This Row],[Valor Unitário]]*Vendas[[#This Row],[Qnt Vendida]]</f>
        <v>148</v>
      </c>
      <c r="J405" s="3">
        <f>Vendas[[#This Row],[Valor da Venda]]-(_xlfn.XLOOKUP(Vendas[[#This Row],[ID Item Vendido]],Agregado[ID],Agregado[Custo])*Vendas[[#This Row],[Qnt Vendida]])</f>
        <v>36</v>
      </c>
      <c r="K405" s="70">
        <f>Vendas[[#This Row],[Lucro da Venda]]/Vendas[[#This Row],[Valor da Venda]]</f>
        <v>0.24324324324324326</v>
      </c>
      <c r="L405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405"/>
    </row>
    <row r="406" spans="1:13" x14ac:dyDescent="0.3">
      <c r="A406" s="7">
        <v>400251</v>
      </c>
      <c r="B406" t="str">
        <f>_xlfn.XLOOKUP(Vendas[[#This Row],[ID Vendedor]],Vendedores[ID],Vendedores[Nome])</f>
        <v>Diego</v>
      </c>
      <c r="C406" s="7" t="str">
        <f>_xlfn.XLOOKUP(Vendas[[#This Row],[ID Vendedor]],Vendedores[ID],Vendedores[Setor])</f>
        <v>AB</v>
      </c>
      <c r="D406" s="7" t="s">
        <v>39</v>
      </c>
      <c r="E406" t="str">
        <f>_xlfn.XLOOKUP(Vendas[[#This Row],[ID Item Vendido]],Agregado[ID],Agregado[Produto])</f>
        <v>Filme plástico industrial rolo 50m</v>
      </c>
      <c r="F406" s="39">
        <v>43803</v>
      </c>
      <c r="G406" s="7">
        <v>20</v>
      </c>
      <c r="H406" s="3">
        <f>_xlfn.XLOOKUP(Vendas[[#This Row],[ID Item Vendido]],Agregado[ID],Agregado[Revenda])</f>
        <v>37</v>
      </c>
      <c r="I406" s="3">
        <f>Vendas[[#This Row],[Valor Unitário]]*Vendas[[#This Row],[Qnt Vendida]]</f>
        <v>740</v>
      </c>
      <c r="J406" s="3">
        <f>Vendas[[#This Row],[Valor da Venda]]-(_xlfn.XLOOKUP(Vendas[[#This Row],[ID Item Vendido]],Agregado[ID],Agregado[Custo])*Vendas[[#This Row],[Qnt Vendida]])</f>
        <v>180</v>
      </c>
      <c r="K406" s="70">
        <f>Vendas[[#This Row],[Lucro da Venda]]/Vendas[[#This Row],[Valor da Venda]]</f>
        <v>0.24324324324324326</v>
      </c>
      <c r="L406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406"/>
    </row>
    <row r="407" spans="1:13" x14ac:dyDescent="0.3">
      <c r="A407" s="7">
        <v>400243</v>
      </c>
      <c r="B407" t="str">
        <f>_xlfn.XLOOKUP(Vendas[[#This Row],[ID Vendedor]],Vendedores[ID],Vendedores[Nome])</f>
        <v>Marcelo</v>
      </c>
      <c r="C407" s="7" t="str">
        <f>_xlfn.XLOOKUP(Vendas[[#This Row],[ID Vendedor]],Vendedores[ID],Vendedores[Setor])</f>
        <v>FM</v>
      </c>
      <c r="D407" s="7" t="s">
        <v>20</v>
      </c>
      <c r="E407" t="str">
        <f>_xlfn.XLOOKUP(Vendas[[#This Row],[ID Item Vendido]],Agregado[ID],Agregado[Produto])</f>
        <v>Barra de aço simples</v>
      </c>
      <c r="F407" s="39">
        <v>43805</v>
      </c>
      <c r="G407" s="7">
        <v>56</v>
      </c>
      <c r="H407" s="3">
        <f>_xlfn.XLOOKUP(Vendas[[#This Row],[ID Item Vendido]],Agregado[ID],Agregado[Revenda])</f>
        <v>4.8</v>
      </c>
      <c r="I407" s="3">
        <f>Vendas[[#This Row],[Valor Unitário]]*Vendas[[#This Row],[Qnt Vendida]]</f>
        <v>268.8</v>
      </c>
      <c r="J407" s="3">
        <f>Vendas[[#This Row],[Valor da Venda]]-(_xlfn.XLOOKUP(Vendas[[#This Row],[ID Item Vendido]],Agregado[ID],Agregado[Custo])*Vendas[[#This Row],[Qnt Vendida]])</f>
        <v>33.599999999999994</v>
      </c>
      <c r="K407" s="70">
        <f>Vendas[[#This Row],[Lucro da Venda]]/Vendas[[#This Row],[Valor da Venda]]</f>
        <v>0.12499999999999997</v>
      </c>
      <c r="L407" s="3">
        <f>_xlfn.IFS(Vendas[[#This Row],[Margem de Lucro (%)]]&lt;15%,Vendas[[#This Row],[Valor da Venda]]*3%,Vendas[[#This Row],[Margem de Lucro (%)]]&lt;=20%,Vendas[[#This Row],[Valor da Venda]]*4.5%,TRUE,Vendas[[#This Row],[Valor da Venda]]*6%)</f>
        <v>8.0640000000000001</v>
      </c>
      <c r="M407"/>
    </row>
    <row r="408" spans="1:13" x14ac:dyDescent="0.3">
      <c r="A408" s="7">
        <v>400255</v>
      </c>
      <c r="B408" t="str">
        <f>_xlfn.XLOOKUP(Vendas[[#This Row],[ID Vendedor]],Vendedores[ID],Vendedores[Nome])</f>
        <v>Carlos</v>
      </c>
      <c r="C408" s="7" t="str">
        <f>_xlfn.XLOOKUP(Vendas[[#This Row],[ID Vendedor]],Vendedores[ID],Vendedores[Setor])</f>
        <v>SC</v>
      </c>
      <c r="D408" s="7" t="s">
        <v>42</v>
      </c>
      <c r="E408" t="str">
        <f>_xlfn.XLOOKUP(Vendas[[#This Row],[ID Item Vendido]],Agregado[ID],Agregado[Produto])</f>
        <v>Container de ferro industrial</v>
      </c>
      <c r="F408" s="39">
        <v>43806</v>
      </c>
      <c r="G408" s="7">
        <v>3</v>
      </c>
      <c r="H408" s="3">
        <f>_xlfn.XLOOKUP(Vendas[[#This Row],[ID Item Vendido]],Agregado[ID],Agregado[Revenda])</f>
        <v>830</v>
      </c>
      <c r="I408" s="3">
        <f>Vendas[[#This Row],[Valor Unitário]]*Vendas[[#This Row],[Qnt Vendida]]</f>
        <v>2490</v>
      </c>
      <c r="J408" s="3">
        <f>Vendas[[#This Row],[Valor da Venda]]-(_xlfn.XLOOKUP(Vendas[[#This Row],[ID Item Vendido]],Agregado[ID],Agregado[Custo])*Vendas[[#This Row],[Qnt Vendida]])</f>
        <v>450</v>
      </c>
      <c r="K408" s="70">
        <f>Vendas[[#This Row],[Lucro da Venda]]/Vendas[[#This Row],[Valor da Venda]]</f>
        <v>0.18072289156626506</v>
      </c>
      <c r="L408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08"/>
    </row>
    <row r="409" spans="1:13" x14ac:dyDescent="0.3">
      <c r="A409" s="7">
        <v>400241</v>
      </c>
      <c r="B409" t="str">
        <f>_xlfn.XLOOKUP(Vendas[[#This Row],[ID Vendedor]],Vendedores[ID],Vendedores[Nome])</f>
        <v>Rodrigo</v>
      </c>
      <c r="C409" s="7" t="str">
        <f>_xlfn.XLOOKUP(Vendas[[#This Row],[ID Vendedor]],Vendedores[ID],Vendedores[Setor])</f>
        <v>FM</v>
      </c>
      <c r="D409" s="7" t="s">
        <v>27</v>
      </c>
      <c r="E409" t="str">
        <f>_xlfn.XLOOKUP(Vendas[[#This Row],[ID Item Vendido]],Agregado[ID],Agregado[Produto])</f>
        <v>Chapa de metal lisa 1x2m</v>
      </c>
      <c r="F409" s="39">
        <v>43809</v>
      </c>
      <c r="G409" s="7">
        <v>18</v>
      </c>
      <c r="H409" s="3">
        <f>_xlfn.XLOOKUP(Vendas[[#This Row],[ID Item Vendido]],Agregado[ID],Agregado[Revenda])</f>
        <v>52</v>
      </c>
      <c r="I409" s="3">
        <f>Vendas[[#This Row],[Valor Unitário]]*Vendas[[#This Row],[Qnt Vendida]]</f>
        <v>936</v>
      </c>
      <c r="J409" s="3">
        <f>Vendas[[#This Row],[Valor da Venda]]-(_xlfn.XLOOKUP(Vendas[[#This Row],[ID Item Vendido]],Agregado[ID],Agregado[Custo])*Vendas[[#This Row],[Qnt Vendida]])</f>
        <v>126</v>
      </c>
      <c r="K409" s="70">
        <f>Vendas[[#This Row],[Lucro da Venda]]/Vendas[[#This Row],[Valor da Venda]]</f>
        <v>0.13461538461538461</v>
      </c>
      <c r="L409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409"/>
    </row>
    <row r="410" spans="1:13" x14ac:dyDescent="0.3">
      <c r="A410" s="7">
        <v>400245</v>
      </c>
      <c r="B410" t="str">
        <f>_xlfn.XLOOKUP(Vendas[[#This Row],[ID Vendedor]],Vendedores[ID],Vendedores[Nome])</f>
        <v>Thiago</v>
      </c>
      <c r="C410" s="7" t="str">
        <f>_xlfn.XLOOKUP(Vendas[[#This Row],[ID Vendedor]],Vendedores[ID],Vendedores[Setor])</f>
        <v>AHD</v>
      </c>
      <c r="D410" s="7" t="s">
        <v>18</v>
      </c>
      <c r="E410" t="str">
        <f>_xlfn.XLOOKUP(Vendas[[#This Row],[ID Item Vendido]],Agregado[ID],Agregado[Produto])</f>
        <v>Peça forjada sob encomenda</v>
      </c>
      <c r="F410" s="39">
        <v>43811</v>
      </c>
      <c r="G410" s="7">
        <v>6</v>
      </c>
      <c r="H410" s="3">
        <f>_xlfn.XLOOKUP(Vendas[[#This Row],[ID Item Vendido]],Agregado[ID],Agregado[Revenda])</f>
        <v>264.60000000000002</v>
      </c>
      <c r="I410" s="3">
        <f>Vendas[[#This Row],[Valor Unitário]]*Vendas[[#This Row],[Qnt Vendida]]</f>
        <v>1587.6000000000001</v>
      </c>
      <c r="J410" s="3">
        <f>Vendas[[#This Row],[Valor da Venda]]-(_xlfn.XLOOKUP(Vendas[[#This Row],[ID Item Vendido]],Agregado[ID],Agregado[Custo])*Vendas[[#This Row],[Qnt Vendida]])</f>
        <v>87.600000000000136</v>
      </c>
      <c r="K410" s="70">
        <f>Vendas[[#This Row],[Lucro da Venda]]/Vendas[[#This Row],[Valor da Venda]]</f>
        <v>5.5177626606198113E-2</v>
      </c>
      <c r="L410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10"/>
    </row>
    <row r="411" spans="1:13" x14ac:dyDescent="0.3">
      <c r="A411" s="7">
        <v>400245</v>
      </c>
      <c r="B411" t="str">
        <f>_xlfn.XLOOKUP(Vendas[[#This Row],[ID Vendedor]],Vendedores[ID],Vendedores[Nome])</f>
        <v>Thiago</v>
      </c>
      <c r="C411" s="7" t="str">
        <f>_xlfn.XLOOKUP(Vendas[[#This Row],[ID Vendedor]],Vendedores[ID],Vendedores[Setor])</f>
        <v>AHD</v>
      </c>
      <c r="D411" s="7" t="s">
        <v>30</v>
      </c>
      <c r="E411" t="str">
        <f>_xlfn.XLOOKUP(Vendas[[#This Row],[ID Item Vendido]],Agregado[ID],Agregado[Produto])</f>
        <v>Estrutura metálica soldada</v>
      </c>
      <c r="F411" s="39">
        <v>43812</v>
      </c>
      <c r="G411" s="7">
        <v>8</v>
      </c>
      <c r="H411" s="3">
        <f>_xlfn.XLOOKUP(Vendas[[#This Row],[ID Item Vendido]],Agregado[ID],Agregado[Revenda])</f>
        <v>400</v>
      </c>
      <c r="I411" s="3">
        <f>Vendas[[#This Row],[Valor Unitário]]*Vendas[[#This Row],[Qnt Vendida]]</f>
        <v>3200</v>
      </c>
      <c r="J411" s="3">
        <f>Vendas[[#This Row],[Valor da Venda]]-(_xlfn.XLOOKUP(Vendas[[#This Row],[ID Item Vendido]],Agregado[ID],Agregado[Custo])*Vendas[[#This Row],[Qnt Vendida]])</f>
        <v>640</v>
      </c>
      <c r="K411" s="70">
        <f>Vendas[[#This Row],[Lucro da Venda]]/Vendas[[#This Row],[Valor da Venda]]</f>
        <v>0.2</v>
      </c>
      <c r="L411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11"/>
    </row>
    <row r="412" spans="1:13" x14ac:dyDescent="0.3">
      <c r="A412" s="7">
        <v>400255</v>
      </c>
      <c r="B412" t="str">
        <f>_xlfn.XLOOKUP(Vendas[[#This Row],[ID Vendedor]],Vendedores[ID],Vendedores[Nome])</f>
        <v>Carlos</v>
      </c>
      <c r="C412" s="7" t="str">
        <f>_xlfn.XLOOKUP(Vendas[[#This Row],[ID Vendedor]],Vendedores[ID],Vendedores[Setor])</f>
        <v>SC</v>
      </c>
      <c r="D412" s="7" t="s">
        <v>14</v>
      </c>
      <c r="E412" t="str">
        <f>_xlfn.XLOOKUP(Vendas[[#This Row],[ID Item Vendido]],Agregado[ID],Agregado[Produto])</f>
        <v>Barril de plástico 200L</v>
      </c>
      <c r="F412" s="39">
        <v>43813</v>
      </c>
      <c r="G412" s="7">
        <v>13</v>
      </c>
      <c r="H412" s="3">
        <f>_xlfn.XLOOKUP(Vendas[[#This Row],[ID Item Vendido]],Agregado[ID],Agregado[Revenda])</f>
        <v>114</v>
      </c>
      <c r="I412" s="3">
        <f>Vendas[[#This Row],[Valor Unitário]]*Vendas[[#This Row],[Qnt Vendida]]</f>
        <v>1482</v>
      </c>
      <c r="J412" s="3">
        <f>Vendas[[#This Row],[Valor da Venda]]-(_xlfn.XLOOKUP(Vendas[[#This Row],[ID Item Vendido]],Agregado[ID],Agregado[Custo])*Vendas[[#This Row],[Qnt Vendida]])</f>
        <v>247</v>
      </c>
      <c r="K412" s="70">
        <f>Vendas[[#This Row],[Lucro da Venda]]/Vendas[[#This Row],[Valor da Venda]]</f>
        <v>0.16666666666666666</v>
      </c>
      <c r="L412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412"/>
    </row>
    <row r="413" spans="1:13" x14ac:dyDescent="0.3">
      <c r="A413" s="7">
        <v>400243</v>
      </c>
      <c r="B413" t="str">
        <f>_xlfn.XLOOKUP(Vendas[[#This Row],[ID Vendedor]],Vendedores[ID],Vendedores[Nome])</f>
        <v>Marcelo</v>
      </c>
      <c r="C413" s="7" t="str">
        <f>_xlfn.XLOOKUP(Vendas[[#This Row],[ID Vendedor]],Vendedores[ID],Vendedores[Setor])</f>
        <v>FM</v>
      </c>
      <c r="D413" s="7" t="s">
        <v>6</v>
      </c>
      <c r="E413" t="str">
        <f>_xlfn.XLOOKUP(Vendas[[#This Row],[ID Item Vendido]],Agregado[ID],Agregado[Produto])</f>
        <v>Parafuso comum 500un</v>
      </c>
      <c r="F413" s="39">
        <v>43813</v>
      </c>
      <c r="G413" s="7">
        <v>18</v>
      </c>
      <c r="H413" s="3">
        <f>_xlfn.XLOOKUP(Vendas[[#This Row],[ID Item Vendido]],Agregado[ID],Agregado[Revenda])</f>
        <v>24.6</v>
      </c>
      <c r="I413" s="3">
        <f>Vendas[[#This Row],[Valor Unitário]]*Vendas[[#This Row],[Qnt Vendida]]</f>
        <v>442.8</v>
      </c>
      <c r="J413" s="3">
        <f>Vendas[[#This Row],[Valor da Venda]]-(_xlfn.XLOOKUP(Vendas[[#This Row],[ID Item Vendido]],Agregado[ID],Agregado[Custo])*Vendas[[#This Row],[Qnt Vendida]])</f>
        <v>46.800000000000011</v>
      </c>
      <c r="K413" s="70">
        <f>Vendas[[#This Row],[Lucro da Venda]]/Vendas[[#This Row],[Valor da Venda]]</f>
        <v>0.10569105691056913</v>
      </c>
      <c r="L413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413"/>
    </row>
    <row r="414" spans="1:13" x14ac:dyDescent="0.3">
      <c r="A414" s="7">
        <v>400255</v>
      </c>
      <c r="B414" t="str">
        <f>_xlfn.XLOOKUP(Vendas[[#This Row],[ID Vendedor]],Vendedores[ID],Vendedores[Nome])</f>
        <v>Carlos</v>
      </c>
      <c r="C414" s="7" t="str">
        <f>_xlfn.XLOOKUP(Vendas[[#This Row],[ID Vendedor]],Vendedores[ID],Vendedores[Setor])</f>
        <v>SC</v>
      </c>
      <c r="D414" s="7" t="s">
        <v>14</v>
      </c>
      <c r="E414" t="str">
        <f>_xlfn.XLOOKUP(Vendas[[#This Row],[ID Item Vendido]],Agregado[ID],Agregado[Produto])</f>
        <v>Barril de plástico 200L</v>
      </c>
      <c r="F414" s="39">
        <v>43815</v>
      </c>
      <c r="G414" s="7">
        <v>21</v>
      </c>
      <c r="H414" s="3">
        <f>_xlfn.XLOOKUP(Vendas[[#This Row],[ID Item Vendido]],Agregado[ID],Agregado[Revenda])</f>
        <v>114</v>
      </c>
      <c r="I414" s="3">
        <f>Vendas[[#This Row],[Valor Unitário]]*Vendas[[#This Row],[Qnt Vendida]]</f>
        <v>2394</v>
      </c>
      <c r="J414" s="3">
        <f>Vendas[[#This Row],[Valor da Venda]]-(_xlfn.XLOOKUP(Vendas[[#This Row],[ID Item Vendido]],Agregado[ID],Agregado[Custo])*Vendas[[#This Row],[Qnt Vendida]])</f>
        <v>399</v>
      </c>
      <c r="K414" s="70">
        <f>Vendas[[#This Row],[Lucro da Venda]]/Vendas[[#This Row],[Valor da Venda]]</f>
        <v>0.16666666666666666</v>
      </c>
      <c r="L414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414"/>
    </row>
    <row r="415" spans="1:13" x14ac:dyDescent="0.3">
      <c r="A415" s="7">
        <v>400243</v>
      </c>
      <c r="B415" t="str">
        <f>_xlfn.XLOOKUP(Vendas[[#This Row],[ID Vendedor]],Vendedores[ID],Vendedores[Nome])</f>
        <v>Marcelo</v>
      </c>
      <c r="C415" s="7" t="str">
        <f>_xlfn.XLOOKUP(Vendas[[#This Row],[ID Vendedor]],Vendedores[ID],Vendedores[Setor])</f>
        <v>FM</v>
      </c>
      <c r="D415" s="7" t="s">
        <v>27</v>
      </c>
      <c r="E415" t="str">
        <f>_xlfn.XLOOKUP(Vendas[[#This Row],[ID Item Vendido]],Agregado[ID],Agregado[Produto])</f>
        <v>Chapa de metal lisa 1x2m</v>
      </c>
      <c r="F415" s="39">
        <v>43815</v>
      </c>
      <c r="G415" s="7">
        <v>8</v>
      </c>
      <c r="H415" s="3">
        <f>_xlfn.XLOOKUP(Vendas[[#This Row],[ID Item Vendido]],Agregado[ID],Agregado[Revenda])</f>
        <v>52</v>
      </c>
      <c r="I415" s="3">
        <f>Vendas[[#This Row],[Valor Unitário]]*Vendas[[#This Row],[Qnt Vendida]]</f>
        <v>416</v>
      </c>
      <c r="J415" s="3">
        <f>Vendas[[#This Row],[Valor da Venda]]-(_xlfn.XLOOKUP(Vendas[[#This Row],[ID Item Vendido]],Agregado[ID],Agregado[Custo])*Vendas[[#This Row],[Qnt Vendida]])</f>
        <v>56</v>
      </c>
      <c r="K415" s="70">
        <f>Vendas[[#This Row],[Lucro da Venda]]/Vendas[[#This Row],[Valor da Venda]]</f>
        <v>0.13461538461538461</v>
      </c>
      <c r="L415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415"/>
    </row>
    <row r="416" spans="1:13" x14ac:dyDescent="0.3">
      <c r="A416" s="7">
        <v>400249</v>
      </c>
      <c r="B416" t="str">
        <f>_xlfn.XLOOKUP(Vendas[[#This Row],[ID Vendedor]],Vendedores[ID],Vendedores[Nome])</f>
        <v>Bruno</v>
      </c>
      <c r="C416" s="7" t="str">
        <f>_xlfn.XLOOKUP(Vendas[[#This Row],[ID Vendedor]],Vendedores[ID],Vendedores[Setor])</f>
        <v>CM</v>
      </c>
      <c r="D416" s="7" t="s">
        <v>32</v>
      </c>
      <c r="E416" t="str">
        <f>_xlfn.XLOOKUP(Vendas[[#This Row],[ID Item Vendido]],Agregado[ID],Agregado[Produto])</f>
        <v>Tábua tratada e cortada 3m</v>
      </c>
      <c r="F416" s="39">
        <v>43816</v>
      </c>
      <c r="G416" s="7">
        <v>36</v>
      </c>
      <c r="H416" s="3">
        <f>_xlfn.XLOOKUP(Vendas[[#This Row],[ID Item Vendido]],Agregado[ID],Agregado[Revenda])</f>
        <v>39</v>
      </c>
      <c r="I416" s="3">
        <f>Vendas[[#This Row],[Valor Unitário]]*Vendas[[#This Row],[Qnt Vendida]]</f>
        <v>1404</v>
      </c>
      <c r="J416" s="3">
        <f>Vendas[[#This Row],[Valor da Venda]]-(_xlfn.XLOOKUP(Vendas[[#This Row],[ID Item Vendido]],Agregado[ID],Agregado[Custo])*Vendas[[#This Row],[Qnt Vendida]])</f>
        <v>252</v>
      </c>
      <c r="K416" s="70">
        <f>Vendas[[#This Row],[Lucro da Venda]]/Vendas[[#This Row],[Valor da Venda]]</f>
        <v>0.17948717948717949</v>
      </c>
      <c r="L416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416"/>
    </row>
    <row r="417" spans="1:13" x14ac:dyDescent="0.3">
      <c r="A417" s="7">
        <v>400255</v>
      </c>
      <c r="B417" t="str">
        <f>_xlfn.XLOOKUP(Vendas[[#This Row],[ID Vendedor]],Vendedores[ID],Vendedores[Nome])</f>
        <v>Carlos</v>
      </c>
      <c r="C417" s="7" t="str">
        <f>_xlfn.XLOOKUP(Vendas[[#This Row],[ID Vendedor]],Vendedores[ID],Vendedores[Setor])</f>
        <v>SC</v>
      </c>
      <c r="D417" s="7" t="s">
        <v>41</v>
      </c>
      <c r="E417" t="str">
        <f>_xlfn.XLOOKUP(Vendas[[#This Row],[ID Item Vendido]],Agregado[ID],Agregado[Produto])</f>
        <v>Palete de madeira reforçado</v>
      </c>
      <c r="F417" s="39">
        <v>43816</v>
      </c>
      <c r="G417" s="7">
        <v>5</v>
      </c>
      <c r="H417" s="3">
        <f>_xlfn.XLOOKUP(Vendas[[#This Row],[ID Item Vendido]],Agregado[ID],Agregado[Revenda])</f>
        <v>131</v>
      </c>
      <c r="I417" s="3">
        <f>Vendas[[#This Row],[Valor Unitário]]*Vendas[[#This Row],[Qnt Vendida]]</f>
        <v>655</v>
      </c>
      <c r="J417" s="3">
        <f>Vendas[[#This Row],[Valor da Venda]]-(_xlfn.XLOOKUP(Vendas[[#This Row],[ID Item Vendido]],Agregado[ID],Agregado[Custo])*Vendas[[#This Row],[Qnt Vendida]])</f>
        <v>105</v>
      </c>
      <c r="K417" s="70">
        <f>Vendas[[#This Row],[Lucro da Venda]]/Vendas[[#This Row],[Valor da Venda]]</f>
        <v>0.16030534351145037</v>
      </c>
      <c r="L417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417"/>
    </row>
    <row r="418" spans="1:13" x14ac:dyDescent="0.3">
      <c r="A418" s="7">
        <v>400245</v>
      </c>
      <c r="B418" t="str">
        <f>_xlfn.XLOOKUP(Vendas[[#This Row],[ID Vendedor]],Vendedores[ID],Vendedores[Nome])</f>
        <v>Thiago</v>
      </c>
      <c r="C418" s="7" t="str">
        <f>_xlfn.XLOOKUP(Vendas[[#This Row],[ID Vendedor]],Vendedores[ID],Vendedores[Setor])</f>
        <v>AHD</v>
      </c>
      <c r="D418" s="7" t="s">
        <v>28</v>
      </c>
      <c r="E418" t="str">
        <f>_xlfn.XLOOKUP(Vendas[[#This Row],[ID Item Vendido]],Agregado[ID],Agregado[Produto])</f>
        <v>Peça usinada CNC</v>
      </c>
      <c r="F418" s="39">
        <v>43818</v>
      </c>
      <c r="G418" s="7">
        <v>15</v>
      </c>
      <c r="H418" s="3">
        <f>_xlfn.XLOOKUP(Vendas[[#This Row],[ID Item Vendido]],Agregado[ID],Agregado[Revenda])</f>
        <v>192</v>
      </c>
      <c r="I418" s="3">
        <f>Vendas[[#This Row],[Valor Unitário]]*Vendas[[#This Row],[Qnt Vendida]]</f>
        <v>2880</v>
      </c>
      <c r="J418" s="3">
        <f>Vendas[[#This Row],[Valor da Venda]]-(_xlfn.XLOOKUP(Vendas[[#This Row],[ID Item Vendido]],Agregado[ID],Agregado[Custo])*Vendas[[#This Row],[Qnt Vendida]])</f>
        <v>630</v>
      </c>
      <c r="K418" s="70">
        <f>Vendas[[#This Row],[Lucro da Venda]]/Vendas[[#This Row],[Valor da Venda]]</f>
        <v>0.21875</v>
      </c>
      <c r="L418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418"/>
    </row>
    <row r="419" spans="1:13" x14ac:dyDescent="0.3">
      <c r="A419" s="7">
        <v>400255</v>
      </c>
      <c r="B419" t="str">
        <f>_xlfn.XLOOKUP(Vendas[[#This Row],[ID Vendedor]],Vendedores[ID],Vendedores[Nome])</f>
        <v>Carlos</v>
      </c>
      <c r="C419" s="7" t="str">
        <f>_xlfn.XLOOKUP(Vendas[[#This Row],[ID Vendedor]],Vendedores[ID],Vendedores[Setor])</f>
        <v>SC</v>
      </c>
      <c r="D419" s="7" t="s">
        <v>14</v>
      </c>
      <c r="E419" t="str">
        <f>_xlfn.XLOOKUP(Vendas[[#This Row],[ID Item Vendido]],Agregado[ID],Agregado[Produto])</f>
        <v>Barril de plástico 200L</v>
      </c>
      <c r="F419" s="39">
        <v>43818</v>
      </c>
      <c r="G419" s="7">
        <v>19</v>
      </c>
      <c r="H419" s="3">
        <f>_xlfn.XLOOKUP(Vendas[[#This Row],[ID Item Vendido]],Agregado[ID],Agregado[Revenda])</f>
        <v>114</v>
      </c>
      <c r="I419" s="3">
        <f>Vendas[[#This Row],[Valor Unitário]]*Vendas[[#This Row],[Qnt Vendida]]</f>
        <v>2166</v>
      </c>
      <c r="J419" s="3">
        <f>Vendas[[#This Row],[Valor da Venda]]-(_xlfn.XLOOKUP(Vendas[[#This Row],[ID Item Vendido]],Agregado[ID],Agregado[Custo])*Vendas[[#This Row],[Qnt Vendida]])</f>
        <v>361</v>
      </c>
      <c r="K419" s="70">
        <f>Vendas[[#This Row],[Lucro da Venda]]/Vendas[[#This Row],[Valor da Venda]]</f>
        <v>0.16666666666666666</v>
      </c>
      <c r="L419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419"/>
    </row>
    <row r="420" spans="1:13" x14ac:dyDescent="0.3">
      <c r="A420" s="7">
        <v>400255</v>
      </c>
      <c r="B420" t="str">
        <f>_xlfn.XLOOKUP(Vendas[[#This Row],[ID Vendedor]],Vendedores[ID],Vendedores[Nome])</f>
        <v>Carlos</v>
      </c>
      <c r="C420" s="7" t="str">
        <f>_xlfn.XLOOKUP(Vendas[[#This Row],[ID Vendedor]],Vendedores[ID],Vendedores[Setor])</f>
        <v>SC</v>
      </c>
      <c r="D420" s="7" t="s">
        <v>42</v>
      </c>
      <c r="E420" t="str">
        <f>_xlfn.XLOOKUP(Vendas[[#This Row],[ID Item Vendido]],Agregado[ID],Agregado[Produto])</f>
        <v>Container de ferro industrial</v>
      </c>
      <c r="F420" s="39">
        <v>43819</v>
      </c>
      <c r="G420" s="7">
        <v>3</v>
      </c>
      <c r="H420" s="3">
        <f>_xlfn.XLOOKUP(Vendas[[#This Row],[ID Item Vendido]],Agregado[ID],Agregado[Revenda])</f>
        <v>830</v>
      </c>
      <c r="I420" s="3">
        <f>Vendas[[#This Row],[Valor Unitário]]*Vendas[[#This Row],[Qnt Vendida]]</f>
        <v>2490</v>
      </c>
      <c r="J420" s="3">
        <f>Vendas[[#This Row],[Valor da Venda]]-(_xlfn.XLOOKUP(Vendas[[#This Row],[ID Item Vendido]],Agregado[ID],Agregado[Custo])*Vendas[[#This Row],[Qnt Vendida]])</f>
        <v>450</v>
      </c>
      <c r="K420" s="70">
        <f>Vendas[[#This Row],[Lucro da Venda]]/Vendas[[#This Row],[Valor da Venda]]</f>
        <v>0.18072289156626506</v>
      </c>
      <c r="L420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20"/>
    </row>
    <row r="421" spans="1:13" x14ac:dyDescent="0.3">
      <c r="A421" s="7">
        <v>400249</v>
      </c>
      <c r="B421" t="str">
        <f>_xlfn.XLOOKUP(Vendas[[#This Row],[ID Vendedor]],Vendedores[ID],Vendedores[Nome])</f>
        <v>Bruno</v>
      </c>
      <c r="C421" s="7" t="str">
        <f>_xlfn.XLOOKUP(Vendas[[#This Row],[ID Vendedor]],Vendedores[ID],Vendedores[Setor])</f>
        <v>CM</v>
      </c>
      <c r="D421" s="7" t="s">
        <v>43</v>
      </c>
      <c r="E421" t="str">
        <f>_xlfn.XLOOKUP(Vendas[[#This Row],[ID Item Vendido]],Agregado[ID],Agregado[Produto])</f>
        <v>Madeira Bruta (Tora)</v>
      </c>
      <c r="F421" s="39">
        <v>43820</v>
      </c>
      <c r="G421" s="7">
        <v>7</v>
      </c>
      <c r="H421" s="3">
        <f>_xlfn.XLOOKUP(Vendas[[#This Row],[ID Item Vendido]],Agregado[ID],Agregado[Revenda])</f>
        <v>212</v>
      </c>
      <c r="I421" s="3">
        <f>Vendas[[#This Row],[Valor Unitário]]*Vendas[[#This Row],[Qnt Vendida]]</f>
        <v>1484</v>
      </c>
      <c r="J421" s="3">
        <f>Vendas[[#This Row],[Valor da Venda]]-(_xlfn.XLOOKUP(Vendas[[#This Row],[ID Item Vendido]],Agregado[ID],Agregado[Custo])*Vendas[[#This Row],[Qnt Vendida]])</f>
        <v>224</v>
      </c>
      <c r="K421" s="70">
        <f>Vendas[[#This Row],[Lucro da Venda]]/Vendas[[#This Row],[Valor da Venda]]</f>
        <v>0.15094339622641509</v>
      </c>
      <c r="L421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21"/>
    </row>
    <row r="422" spans="1:13" x14ac:dyDescent="0.3">
      <c r="A422" s="7">
        <v>400247</v>
      </c>
      <c r="B422" t="str">
        <f>_xlfn.XLOOKUP(Vendas[[#This Row],[ID Vendedor]],Vendedores[ID],Vendedores[Nome])</f>
        <v>André</v>
      </c>
      <c r="C422" s="7" t="str">
        <f>_xlfn.XLOOKUP(Vendas[[#This Row],[ID Vendedor]],Vendedores[ID],Vendedores[Setor])</f>
        <v>CM</v>
      </c>
      <c r="D422" s="7" t="s">
        <v>45</v>
      </c>
      <c r="E422" t="str">
        <f>_xlfn.XLOOKUP(Vendas[[#This Row],[ID Item Vendido]],Agregado[ID],Agregado[Produto])</f>
        <v>Viga de madeira tratada 4m</v>
      </c>
      <c r="F422" s="39">
        <v>43821</v>
      </c>
      <c r="G422" s="7">
        <v>5</v>
      </c>
      <c r="H422" s="3">
        <f>_xlfn.XLOOKUP(Vendas[[#This Row],[ID Item Vendido]],Agregado[ID],Agregado[Revenda])</f>
        <v>66</v>
      </c>
      <c r="I422" s="3">
        <f>Vendas[[#This Row],[Valor Unitário]]*Vendas[[#This Row],[Qnt Vendida]]</f>
        <v>330</v>
      </c>
      <c r="J422" s="3">
        <f>Vendas[[#This Row],[Valor da Venda]]-(_xlfn.XLOOKUP(Vendas[[#This Row],[ID Item Vendido]],Agregado[ID],Agregado[Custo])*Vendas[[#This Row],[Qnt Vendida]])</f>
        <v>55</v>
      </c>
      <c r="K422" s="70">
        <f>Vendas[[#This Row],[Lucro da Venda]]/Vendas[[#This Row],[Valor da Venda]]</f>
        <v>0.16666666666666666</v>
      </c>
      <c r="L422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422"/>
    </row>
    <row r="423" spans="1:13" x14ac:dyDescent="0.3">
      <c r="A423" s="7">
        <v>400247</v>
      </c>
      <c r="B423" t="str">
        <f>_xlfn.XLOOKUP(Vendas[[#This Row],[ID Vendedor]],Vendedores[ID],Vendedores[Nome])</f>
        <v>André</v>
      </c>
      <c r="C423" s="7" t="str">
        <f>_xlfn.XLOOKUP(Vendas[[#This Row],[ID Vendedor]],Vendedores[ID],Vendedores[Setor])</f>
        <v>CM</v>
      </c>
      <c r="D423" s="7" t="s">
        <v>22</v>
      </c>
      <c r="E423" t="str">
        <f>_xlfn.XLOOKUP(Vendas[[#This Row],[ID Item Vendido]],Agregado[ID],Agregado[Produto])</f>
        <v>Painel MDP 2,75x1,83m</v>
      </c>
      <c r="F423" s="39">
        <v>43825</v>
      </c>
      <c r="G423" s="7">
        <v>15</v>
      </c>
      <c r="H423" s="3">
        <f>_xlfn.XLOOKUP(Vendas[[#This Row],[ID Item Vendido]],Agregado[ID],Agregado[Revenda])</f>
        <v>119</v>
      </c>
      <c r="I423" s="3">
        <f>Vendas[[#This Row],[Valor Unitário]]*Vendas[[#This Row],[Qnt Vendida]]</f>
        <v>1785</v>
      </c>
      <c r="J423" s="3">
        <f>Vendas[[#This Row],[Valor da Venda]]-(_xlfn.XLOOKUP(Vendas[[#This Row],[ID Item Vendido]],Agregado[ID],Agregado[Custo])*Vendas[[#This Row],[Qnt Vendida]])</f>
        <v>360</v>
      </c>
      <c r="K423" s="70">
        <f>Vendas[[#This Row],[Lucro da Venda]]/Vendas[[#This Row],[Valor da Venda]]</f>
        <v>0.20168067226890757</v>
      </c>
      <c r="L423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423"/>
    </row>
    <row r="424" spans="1:13" x14ac:dyDescent="0.3">
      <c r="A424" s="7">
        <v>400241</v>
      </c>
      <c r="B424" t="str">
        <f>_xlfn.XLOOKUP(Vendas[[#This Row],[ID Vendedor]],Vendedores[ID],Vendedores[Nome])</f>
        <v>Rodrigo</v>
      </c>
      <c r="C424" s="7" t="str">
        <f>_xlfn.XLOOKUP(Vendas[[#This Row],[ID Vendedor]],Vendedores[ID],Vendedores[Setor])</f>
        <v>FM</v>
      </c>
      <c r="D424" s="7" t="s">
        <v>20</v>
      </c>
      <c r="E424" t="str">
        <f>_xlfn.XLOOKUP(Vendas[[#This Row],[ID Item Vendido]],Agregado[ID],Agregado[Produto])</f>
        <v>Barra de aço simples</v>
      </c>
      <c r="F424" s="39">
        <v>43828</v>
      </c>
      <c r="G424" s="7">
        <v>126</v>
      </c>
      <c r="H424" s="3">
        <f>_xlfn.XLOOKUP(Vendas[[#This Row],[ID Item Vendido]],Agregado[ID],Agregado[Revenda])</f>
        <v>4.8</v>
      </c>
      <c r="I424" s="3">
        <f>Vendas[[#This Row],[Valor Unitário]]*Vendas[[#This Row],[Qnt Vendida]]</f>
        <v>604.79999999999995</v>
      </c>
      <c r="J424" s="3">
        <f>Vendas[[#This Row],[Valor da Venda]]-(_xlfn.XLOOKUP(Vendas[[#This Row],[ID Item Vendido]],Agregado[ID],Agregado[Custo])*Vendas[[#This Row],[Qnt Vendida]])</f>
        <v>75.599999999999909</v>
      </c>
      <c r="K424" s="70">
        <f>Vendas[[#This Row],[Lucro da Venda]]/Vendas[[#This Row],[Valor da Venda]]</f>
        <v>0.12499999999999986</v>
      </c>
      <c r="L424" s="3">
        <f>_xlfn.IFS(Vendas[[#This Row],[Margem de Lucro (%)]]&lt;15%,Vendas[[#This Row],[Valor da Venda]]*3%,Vendas[[#This Row],[Margem de Lucro (%)]]&lt;=20%,Vendas[[#This Row],[Valor da Venda]]*4.5%,TRUE,Vendas[[#This Row],[Valor da Venda]]*6%)</f>
        <v>18.143999999999998</v>
      </c>
      <c r="M424"/>
    </row>
    <row r="425" spans="1:13" x14ac:dyDescent="0.3">
      <c r="A425" s="7">
        <v>400255</v>
      </c>
      <c r="B425" t="str">
        <f>_xlfn.XLOOKUP(Vendas[[#This Row],[ID Vendedor]],Vendedores[ID],Vendedores[Nome])</f>
        <v>Carlos</v>
      </c>
      <c r="C425" s="7" t="str">
        <f>_xlfn.XLOOKUP(Vendas[[#This Row],[ID Vendedor]],Vendedores[ID],Vendedores[Setor])</f>
        <v>SC</v>
      </c>
      <c r="D425" s="7" t="s">
        <v>25</v>
      </c>
      <c r="E425" t="str">
        <f>_xlfn.XLOOKUP(Vendas[[#This Row],[ID Item Vendido]],Agregado[ID],Agregado[Produto])</f>
        <v>Palete de plástico</v>
      </c>
      <c r="F425" s="39">
        <v>43830</v>
      </c>
      <c r="G425" s="7">
        <v>10</v>
      </c>
      <c r="H425" s="3">
        <f>_xlfn.XLOOKUP(Vendas[[#This Row],[ID Item Vendido]],Agregado[ID],Agregado[Revenda])</f>
        <v>70.8</v>
      </c>
      <c r="I425" s="3">
        <f>Vendas[[#This Row],[Valor Unitário]]*Vendas[[#This Row],[Qnt Vendida]]</f>
        <v>708</v>
      </c>
      <c r="J425" s="3">
        <f>Vendas[[#This Row],[Valor da Venda]]-(_xlfn.XLOOKUP(Vendas[[#This Row],[ID Item Vendido]],Agregado[ID],Agregado[Custo])*Vendas[[#This Row],[Qnt Vendida]])</f>
        <v>108</v>
      </c>
      <c r="K425" s="70">
        <f>Vendas[[#This Row],[Lucro da Venda]]/Vendas[[#This Row],[Valor da Venda]]</f>
        <v>0.15254237288135594</v>
      </c>
      <c r="L425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425"/>
    </row>
    <row r="426" spans="1:13" x14ac:dyDescent="0.3">
      <c r="A426" s="7">
        <v>400245</v>
      </c>
      <c r="B426" t="str">
        <f>_xlfn.XLOOKUP(Vendas[[#This Row],[ID Vendedor]],Vendedores[ID],Vendedores[Nome])</f>
        <v>Thiago</v>
      </c>
      <c r="C426" s="7" t="str">
        <f>_xlfn.XLOOKUP(Vendas[[#This Row],[ID Vendedor]],Vendedores[ID],Vendedores[Setor])</f>
        <v>AHD</v>
      </c>
      <c r="D426" s="7" t="s">
        <v>44</v>
      </c>
      <c r="E426" t="str">
        <f>_xlfn.XLOOKUP(Vendas[[#This Row],[ID Item Vendido]],Agregado[ID],Agregado[Produto])</f>
        <v>Liga metálica especial</v>
      </c>
      <c r="F426" s="39">
        <v>43832</v>
      </c>
      <c r="G426" s="7">
        <v>42</v>
      </c>
      <c r="H426" s="3">
        <f>_xlfn.XLOOKUP(Vendas[[#This Row],[ID Item Vendido]],Agregado[ID],Agregado[Revenda])</f>
        <v>32.5</v>
      </c>
      <c r="I426" s="3">
        <f>Vendas[[#This Row],[Valor Unitário]]*Vendas[[#This Row],[Qnt Vendida]]</f>
        <v>1365</v>
      </c>
      <c r="J426" s="3">
        <f>Vendas[[#This Row],[Valor da Venda]]-(_xlfn.XLOOKUP(Vendas[[#This Row],[ID Item Vendido]],Agregado[ID],Agregado[Custo])*Vendas[[#This Row],[Qnt Vendida]])</f>
        <v>315</v>
      </c>
      <c r="K426" s="70">
        <f>Vendas[[#This Row],[Lucro da Venda]]/Vendas[[#This Row],[Valor da Venda]]</f>
        <v>0.23076923076923078</v>
      </c>
      <c r="L426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426"/>
    </row>
    <row r="427" spans="1:13" x14ac:dyDescent="0.3">
      <c r="A427" s="7">
        <v>400245</v>
      </c>
      <c r="B427" t="str">
        <f>_xlfn.XLOOKUP(Vendas[[#This Row],[ID Vendedor]],Vendedores[ID],Vendedores[Nome])</f>
        <v>Thiago</v>
      </c>
      <c r="C427" s="7" t="str">
        <f>_xlfn.XLOOKUP(Vendas[[#This Row],[ID Vendedor]],Vendedores[ID],Vendedores[Setor])</f>
        <v>AHD</v>
      </c>
      <c r="D427" s="7" t="s">
        <v>18</v>
      </c>
      <c r="E427" t="str">
        <f>_xlfn.XLOOKUP(Vendas[[#This Row],[ID Item Vendido]],Agregado[ID],Agregado[Produto])</f>
        <v>Peça forjada sob encomenda</v>
      </c>
      <c r="F427" s="39">
        <v>43832</v>
      </c>
      <c r="G427" s="7">
        <v>3</v>
      </c>
      <c r="H427" s="3">
        <f>_xlfn.XLOOKUP(Vendas[[#This Row],[ID Item Vendido]],Agregado[ID],Agregado[Revenda])</f>
        <v>264.60000000000002</v>
      </c>
      <c r="I427" s="3">
        <f>Vendas[[#This Row],[Valor Unitário]]*Vendas[[#This Row],[Qnt Vendida]]</f>
        <v>793.80000000000007</v>
      </c>
      <c r="J427" s="3">
        <f>Vendas[[#This Row],[Valor da Venda]]-(_xlfn.XLOOKUP(Vendas[[#This Row],[ID Item Vendido]],Agregado[ID],Agregado[Custo])*Vendas[[#This Row],[Qnt Vendida]])</f>
        <v>43.800000000000068</v>
      </c>
      <c r="K427" s="70">
        <f>Vendas[[#This Row],[Lucro da Venda]]/Vendas[[#This Row],[Valor da Venda]]</f>
        <v>5.5177626606198113E-2</v>
      </c>
      <c r="L427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27"/>
    </row>
    <row r="428" spans="1:13" x14ac:dyDescent="0.3">
      <c r="A428" s="7">
        <v>400255</v>
      </c>
      <c r="B428" t="str">
        <f>_xlfn.XLOOKUP(Vendas[[#This Row],[ID Vendedor]],Vendedores[ID],Vendedores[Nome])</f>
        <v>Carlos</v>
      </c>
      <c r="C428" s="7" t="str">
        <f>_xlfn.XLOOKUP(Vendas[[#This Row],[ID Vendedor]],Vendedores[ID],Vendedores[Setor])</f>
        <v>SC</v>
      </c>
      <c r="D428" s="7" t="s">
        <v>42</v>
      </c>
      <c r="E428" t="str">
        <f>_xlfn.XLOOKUP(Vendas[[#This Row],[ID Item Vendido]],Agregado[ID],Agregado[Produto])</f>
        <v>Container de ferro industrial</v>
      </c>
      <c r="F428" s="39">
        <v>43833</v>
      </c>
      <c r="G428" s="7">
        <v>2</v>
      </c>
      <c r="H428" s="3">
        <f>_xlfn.XLOOKUP(Vendas[[#This Row],[ID Item Vendido]],Agregado[ID],Agregado[Revenda])</f>
        <v>830</v>
      </c>
      <c r="I428" s="3">
        <f>Vendas[[#This Row],[Valor Unitário]]*Vendas[[#This Row],[Qnt Vendida]]</f>
        <v>1660</v>
      </c>
      <c r="J428" s="3">
        <f>Vendas[[#This Row],[Valor da Venda]]-(_xlfn.XLOOKUP(Vendas[[#This Row],[ID Item Vendido]],Agregado[ID],Agregado[Custo])*Vendas[[#This Row],[Qnt Vendida]])</f>
        <v>300</v>
      </c>
      <c r="K428" s="70">
        <f>Vendas[[#This Row],[Lucro da Venda]]/Vendas[[#This Row],[Valor da Venda]]</f>
        <v>0.18072289156626506</v>
      </c>
      <c r="L428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28"/>
    </row>
    <row r="429" spans="1:13" x14ac:dyDescent="0.3">
      <c r="A429" s="7">
        <v>400251</v>
      </c>
      <c r="B429" t="str">
        <f>_xlfn.XLOOKUP(Vendas[[#This Row],[ID Vendedor]],Vendedores[ID],Vendedores[Nome])</f>
        <v>Diego</v>
      </c>
      <c r="C429" s="7" t="str">
        <f>_xlfn.XLOOKUP(Vendas[[#This Row],[ID Vendedor]],Vendedores[ID],Vendedores[Setor])</f>
        <v>AB</v>
      </c>
      <c r="D429" s="7" t="s">
        <v>24</v>
      </c>
      <c r="E429" t="str">
        <f>_xlfn.XLOOKUP(Vendas[[#This Row],[ID Item Vendido]],Agregado[ID],Agregado[Produto])</f>
        <v>Resina plástica PET purificada saco de 25kg</v>
      </c>
      <c r="F429" s="39">
        <v>43834</v>
      </c>
      <c r="G429" s="7">
        <v>18</v>
      </c>
      <c r="H429" s="3">
        <f>_xlfn.XLOOKUP(Vendas[[#This Row],[ID Item Vendido]],Agregado[ID],Agregado[Revenda])</f>
        <v>119</v>
      </c>
      <c r="I429" s="3">
        <f>Vendas[[#This Row],[Valor Unitário]]*Vendas[[#This Row],[Qnt Vendida]]</f>
        <v>2142</v>
      </c>
      <c r="J429" s="3">
        <f>Vendas[[#This Row],[Valor da Venda]]-(_xlfn.XLOOKUP(Vendas[[#This Row],[ID Item Vendido]],Agregado[ID],Agregado[Custo])*Vendas[[#This Row],[Qnt Vendida]])</f>
        <v>612</v>
      </c>
      <c r="K429" s="70">
        <f>Vendas[[#This Row],[Lucro da Venda]]/Vendas[[#This Row],[Valor da Venda]]</f>
        <v>0.2857142857142857</v>
      </c>
      <c r="L429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429"/>
    </row>
    <row r="430" spans="1:13" x14ac:dyDescent="0.3">
      <c r="A430" s="7">
        <v>400245</v>
      </c>
      <c r="B430" t="str">
        <f>_xlfn.XLOOKUP(Vendas[[#This Row],[ID Vendedor]],Vendedores[ID],Vendedores[Nome])</f>
        <v>Thiago</v>
      </c>
      <c r="C430" s="7" t="str">
        <f>_xlfn.XLOOKUP(Vendas[[#This Row],[ID Vendedor]],Vendedores[ID],Vendedores[Setor])</f>
        <v>AHD</v>
      </c>
      <c r="D430" s="7" t="s">
        <v>28</v>
      </c>
      <c r="E430" t="str">
        <f>_xlfn.XLOOKUP(Vendas[[#This Row],[ID Item Vendido]],Agregado[ID],Agregado[Produto])</f>
        <v>Peça usinada CNC</v>
      </c>
      <c r="F430" s="39">
        <v>43834</v>
      </c>
      <c r="G430" s="7">
        <v>11</v>
      </c>
      <c r="H430" s="3">
        <f>_xlfn.XLOOKUP(Vendas[[#This Row],[ID Item Vendido]],Agregado[ID],Agregado[Revenda])</f>
        <v>192</v>
      </c>
      <c r="I430" s="3">
        <f>Vendas[[#This Row],[Valor Unitário]]*Vendas[[#This Row],[Qnt Vendida]]</f>
        <v>2112</v>
      </c>
      <c r="J430" s="3">
        <f>Vendas[[#This Row],[Valor da Venda]]-(_xlfn.XLOOKUP(Vendas[[#This Row],[ID Item Vendido]],Agregado[ID],Agregado[Custo])*Vendas[[#This Row],[Qnt Vendida]])</f>
        <v>462</v>
      </c>
      <c r="K430" s="70">
        <f>Vendas[[#This Row],[Lucro da Venda]]/Vendas[[#This Row],[Valor da Venda]]</f>
        <v>0.21875</v>
      </c>
      <c r="L430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430"/>
    </row>
    <row r="431" spans="1:13" x14ac:dyDescent="0.3">
      <c r="A431" s="7">
        <v>400251</v>
      </c>
      <c r="B431" t="str">
        <f>_xlfn.XLOOKUP(Vendas[[#This Row],[ID Vendedor]],Vendedores[ID],Vendedores[Nome])</f>
        <v>Diego</v>
      </c>
      <c r="C431" s="7" t="str">
        <f>_xlfn.XLOOKUP(Vendas[[#This Row],[ID Vendedor]],Vendedores[ID],Vendedores[Setor])</f>
        <v>AB</v>
      </c>
      <c r="D431" s="7" t="s">
        <v>37</v>
      </c>
      <c r="E431" t="str">
        <f>_xlfn.XLOOKUP(Vendas[[#This Row],[ID Item Vendido]],Agregado[ID],Agregado[Produto])</f>
        <v>Composto de borracha para vedação rolo 10m</v>
      </c>
      <c r="F431" s="39">
        <v>43835</v>
      </c>
      <c r="G431" s="7">
        <v>6</v>
      </c>
      <c r="H431" s="3">
        <f>_xlfn.XLOOKUP(Vendas[[#This Row],[ID Item Vendido]],Agregado[ID],Agregado[Revenda])</f>
        <v>51.2</v>
      </c>
      <c r="I431" s="3">
        <f>Vendas[[#This Row],[Valor Unitário]]*Vendas[[#This Row],[Qnt Vendida]]</f>
        <v>307.20000000000005</v>
      </c>
      <c r="J431" s="3">
        <f>Vendas[[#This Row],[Valor da Venda]]-(_xlfn.XLOOKUP(Vendas[[#This Row],[ID Item Vendido]],Agregado[ID],Agregado[Custo])*Vendas[[#This Row],[Qnt Vendida]])</f>
        <v>67.200000000000045</v>
      </c>
      <c r="K431" s="70">
        <f>Vendas[[#This Row],[Lucro da Venda]]/Vendas[[#This Row],[Valor da Venda]]</f>
        <v>0.21875000000000011</v>
      </c>
      <c r="L431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431"/>
    </row>
    <row r="432" spans="1:13" x14ac:dyDescent="0.3">
      <c r="A432" s="7">
        <v>400247</v>
      </c>
      <c r="B432" t="str">
        <f>_xlfn.XLOOKUP(Vendas[[#This Row],[ID Vendedor]],Vendedores[ID],Vendedores[Nome])</f>
        <v>André</v>
      </c>
      <c r="C432" s="7" t="str">
        <f>_xlfn.XLOOKUP(Vendas[[#This Row],[ID Vendedor]],Vendedores[ID],Vendedores[Setor])</f>
        <v>CM</v>
      </c>
      <c r="D432" s="7" t="s">
        <v>45</v>
      </c>
      <c r="E432" t="str">
        <f>_xlfn.XLOOKUP(Vendas[[#This Row],[ID Item Vendido]],Agregado[ID],Agregado[Produto])</f>
        <v>Viga de madeira tratada 4m</v>
      </c>
      <c r="F432" s="39">
        <v>43836</v>
      </c>
      <c r="G432" s="7">
        <v>19</v>
      </c>
      <c r="H432" s="3">
        <f>_xlfn.XLOOKUP(Vendas[[#This Row],[ID Item Vendido]],Agregado[ID],Agregado[Revenda])</f>
        <v>66</v>
      </c>
      <c r="I432" s="3">
        <f>Vendas[[#This Row],[Valor Unitário]]*Vendas[[#This Row],[Qnt Vendida]]</f>
        <v>1254</v>
      </c>
      <c r="J432" s="3">
        <f>Vendas[[#This Row],[Valor da Venda]]-(_xlfn.XLOOKUP(Vendas[[#This Row],[ID Item Vendido]],Agregado[ID],Agregado[Custo])*Vendas[[#This Row],[Qnt Vendida]])</f>
        <v>209</v>
      </c>
      <c r="K432" s="70">
        <f>Vendas[[#This Row],[Lucro da Venda]]/Vendas[[#This Row],[Valor da Venda]]</f>
        <v>0.16666666666666666</v>
      </c>
      <c r="L432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432"/>
    </row>
    <row r="433" spans="1:13" x14ac:dyDescent="0.3">
      <c r="A433" s="7">
        <v>400251</v>
      </c>
      <c r="B433" t="str">
        <f>_xlfn.XLOOKUP(Vendas[[#This Row],[ID Vendedor]],Vendedores[ID],Vendedores[Nome])</f>
        <v>Diego</v>
      </c>
      <c r="C433" s="7" t="str">
        <f>_xlfn.XLOOKUP(Vendas[[#This Row],[ID Vendedor]],Vendedores[ID],Vendedores[Setor])</f>
        <v>AB</v>
      </c>
      <c r="D433" s="7" t="s">
        <v>37</v>
      </c>
      <c r="E433" t="str">
        <f>_xlfn.XLOOKUP(Vendas[[#This Row],[ID Item Vendido]],Agregado[ID],Agregado[Produto])</f>
        <v>Composto de borracha para vedação rolo 10m</v>
      </c>
      <c r="F433" s="39">
        <v>43836</v>
      </c>
      <c r="G433" s="7">
        <v>21</v>
      </c>
      <c r="H433" s="3">
        <f>_xlfn.XLOOKUP(Vendas[[#This Row],[ID Item Vendido]],Agregado[ID],Agregado[Revenda])</f>
        <v>51.2</v>
      </c>
      <c r="I433" s="3">
        <f>Vendas[[#This Row],[Valor Unitário]]*Vendas[[#This Row],[Qnt Vendida]]</f>
        <v>1075.2</v>
      </c>
      <c r="J433" s="3">
        <f>Vendas[[#This Row],[Valor da Venda]]-(_xlfn.XLOOKUP(Vendas[[#This Row],[ID Item Vendido]],Agregado[ID],Agregado[Custo])*Vendas[[#This Row],[Qnt Vendida]])</f>
        <v>235.20000000000005</v>
      </c>
      <c r="K433" s="70">
        <f>Vendas[[#This Row],[Lucro da Venda]]/Vendas[[#This Row],[Valor da Venda]]</f>
        <v>0.21875000000000003</v>
      </c>
      <c r="L433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433"/>
    </row>
    <row r="434" spans="1:13" x14ac:dyDescent="0.3">
      <c r="A434" s="7">
        <v>400243</v>
      </c>
      <c r="B434" t="str">
        <f>_xlfn.XLOOKUP(Vendas[[#This Row],[ID Vendedor]],Vendedores[ID],Vendedores[Nome])</f>
        <v>Marcelo</v>
      </c>
      <c r="C434" s="7" t="str">
        <f>_xlfn.XLOOKUP(Vendas[[#This Row],[ID Vendedor]],Vendedores[ID],Vendedores[Setor])</f>
        <v>FM</v>
      </c>
      <c r="D434" s="7" t="s">
        <v>6</v>
      </c>
      <c r="E434" t="str">
        <f>_xlfn.XLOOKUP(Vendas[[#This Row],[ID Item Vendido]],Agregado[ID],Agregado[Produto])</f>
        <v>Parafuso comum 500un</v>
      </c>
      <c r="F434" s="39">
        <v>43836</v>
      </c>
      <c r="G434" s="7">
        <v>12</v>
      </c>
      <c r="H434" s="3">
        <f>_xlfn.XLOOKUP(Vendas[[#This Row],[ID Item Vendido]],Agregado[ID],Agregado[Revenda])</f>
        <v>24.6</v>
      </c>
      <c r="I434" s="3">
        <f>Vendas[[#This Row],[Valor Unitário]]*Vendas[[#This Row],[Qnt Vendida]]</f>
        <v>295.20000000000005</v>
      </c>
      <c r="J434" s="3">
        <f>Vendas[[#This Row],[Valor da Venda]]-(_xlfn.XLOOKUP(Vendas[[#This Row],[ID Item Vendido]],Agregado[ID],Agregado[Custo])*Vendas[[#This Row],[Qnt Vendida]])</f>
        <v>31.200000000000045</v>
      </c>
      <c r="K434" s="70">
        <f>Vendas[[#This Row],[Lucro da Venda]]/Vendas[[#This Row],[Valor da Venda]]</f>
        <v>0.10569105691056924</v>
      </c>
      <c r="L434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434"/>
    </row>
    <row r="435" spans="1:13" x14ac:dyDescent="0.3">
      <c r="A435" s="7">
        <v>400249</v>
      </c>
      <c r="B435" t="str">
        <f>_xlfn.XLOOKUP(Vendas[[#This Row],[ID Vendedor]],Vendedores[ID],Vendedores[Nome])</f>
        <v>Bruno</v>
      </c>
      <c r="C435" s="7" t="str">
        <f>_xlfn.XLOOKUP(Vendas[[#This Row],[ID Vendedor]],Vendedores[ID],Vendedores[Setor])</f>
        <v>CM</v>
      </c>
      <c r="D435" s="7" t="s">
        <v>32</v>
      </c>
      <c r="E435" t="str">
        <f>_xlfn.XLOOKUP(Vendas[[#This Row],[ID Item Vendido]],Agregado[ID],Agregado[Produto])</f>
        <v>Tábua tratada e cortada 3m</v>
      </c>
      <c r="F435" s="39">
        <v>43837</v>
      </c>
      <c r="G435" s="7">
        <v>48</v>
      </c>
      <c r="H435" s="3">
        <f>_xlfn.XLOOKUP(Vendas[[#This Row],[ID Item Vendido]],Agregado[ID],Agregado[Revenda])</f>
        <v>39</v>
      </c>
      <c r="I435" s="3">
        <f>Vendas[[#This Row],[Valor Unitário]]*Vendas[[#This Row],[Qnt Vendida]]</f>
        <v>1872</v>
      </c>
      <c r="J435" s="3">
        <f>Vendas[[#This Row],[Valor da Venda]]-(_xlfn.XLOOKUP(Vendas[[#This Row],[ID Item Vendido]],Agregado[ID],Agregado[Custo])*Vendas[[#This Row],[Qnt Vendida]])</f>
        <v>336</v>
      </c>
      <c r="K435" s="70">
        <f>Vendas[[#This Row],[Lucro da Venda]]/Vendas[[#This Row],[Valor da Venda]]</f>
        <v>0.17948717948717949</v>
      </c>
      <c r="L435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435"/>
    </row>
    <row r="436" spans="1:13" x14ac:dyDescent="0.3">
      <c r="A436" s="7">
        <v>400245</v>
      </c>
      <c r="B436" t="str">
        <f>_xlfn.XLOOKUP(Vendas[[#This Row],[ID Vendedor]],Vendedores[ID],Vendedores[Nome])</f>
        <v>Thiago</v>
      </c>
      <c r="C436" s="7" t="str">
        <f>_xlfn.XLOOKUP(Vendas[[#This Row],[ID Vendedor]],Vendedores[ID],Vendedores[Setor])</f>
        <v>AHD</v>
      </c>
      <c r="D436" s="7" t="s">
        <v>28</v>
      </c>
      <c r="E436" t="str">
        <f>_xlfn.XLOOKUP(Vendas[[#This Row],[ID Item Vendido]],Agregado[ID],Agregado[Produto])</f>
        <v>Peça usinada CNC</v>
      </c>
      <c r="F436" s="39">
        <v>43837</v>
      </c>
      <c r="G436" s="7">
        <v>5</v>
      </c>
      <c r="H436" s="3">
        <f>_xlfn.XLOOKUP(Vendas[[#This Row],[ID Item Vendido]],Agregado[ID],Agregado[Revenda])</f>
        <v>192</v>
      </c>
      <c r="I436" s="3">
        <f>Vendas[[#This Row],[Valor Unitário]]*Vendas[[#This Row],[Qnt Vendida]]</f>
        <v>960</v>
      </c>
      <c r="J436" s="3">
        <f>Vendas[[#This Row],[Valor da Venda]]-(_xlfn.XLOOKUP(Vendas[[#This Row],[ID Item Vendido]],Agregado[ID],Agregado[Custo])*Vendas[[#This Row],[Qnt Vendida]])</f>
        <v>210</v>
      </c>
      <c r="K436" s="70">
        <f>Vendas[[#This Row],[Lucro da Venda]]/Vendas[[#This Row],[Valor da Venda]]</f>
        <v>0.21875</v>
      </c>
      <c r="L436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436"/>
    </row>
    <row r="437" spans="1:13" x14ac:dyDescent="0.3">
      <c r="A437" s="7">
        <v>400251</v>
      </c>
      <c r="B437" t="str">
        <f>_xlfn.XLOOKUP(Vendas[[#This Row],[ID Vendedor]],Vendedores[ID],Vendedores[Nome])</f>
        <v>Diego</v>
      </c>
      <c r="C437" s="7" t="str">
        <f>_xlfn.XLOOKUP(Vendas[[#This Row],[ID Vendedor]],Vendedores[ID],Vendedores[Setor])</f>
        <v>AB</v>
      </c>
      <c r="D437" s="7" t="s">
        <v>24</v>
      </c>
      <c r="E437" t="str">
        <f>_xlfn.XLOOKUP(Vendas[[#This Row],[ID Item Vendido]],Agregado[ID],Agregado[Produto])</f>
        <v>Resina plástica PET purificada saco de 25kg</v>
      </c>
      <c r="F437" s="39">
        <v>43838</v>
      </c>
      <c r="G437" s="7">
        <v>18</v>
      </c>
      <c r="H437" s="3">
        <f>_xlfn.XLOOKUP(Vendas[[#This Row],[ID Item Vendido]],Agregado[ID],Agregado[Revenda])</f>
        <v>119</v>
      </c>
      <c r="I437" s="3">
        <f>Vendas[[#This Row],[Valor Unitário]]*Vendas[[#This Row],[Qnt Vendida]]</f>
        <v>2142</v>
      </c>
      <c r="J437" s="3">
        <f>Vendas[[#This Row],[Valor da Venda]]-(_xlfn.XLOOKUP(Vendas[[#This Row],[ID Item Vendido]],Agregado[ID],Agregado[Custo])*Vendas[[#This Row],[Qnt Vendida]])</f>
        <v>612</v>
      </c>
      <c r="K437" s="70">
        <f>Vendas[[#This Row],[Lucro da Venda]]/Vendas[[#This Row],[Valor da Venda]]</f>
        <v>0.2857142857142857</v>
      </c>
      <c r="L437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437"/>
    </row>
    <row r="438" spans="1:13" x14ac:dyDescent="0.3">
      <c r="A438" s="7">
        <v>400247</v>
      </c>
      <c r="B438" t="str">
        <f>_xlfn.XLOOKUP(Vendas[[#This Row],[ID Vendedor]],Vendedores[ID],Vendedores[Nome])</f>
        <v>André</v>
      </c>
      <c r="C438" s="7" t="str">
        <f>_xlfn.XLOOKUP(Vendas[[#This Row],[ID Vendedor]],Vendedores[ID],Vendedores[Setor])</f>
        <v>CM</v>
      </c>
      <c r="D438" s="7" t="s">
        <v>43</v>
      </c>
      <c r="E438" t="str">
        <f>_xlfn.XLOOKUP(Vendas[[#This Row],[ID Item Vendido]],Agregado[ID],Agregado[Produto])</f>
        <v>Madeira Bruta (Tora)</v>
      </c>
      <c r="F438" s="39">
        <v>43839</v>
      </c>
      <c r="G438" s="7">
        <v>4</v>
      </c>
      <c r="H438" s="3">
        <f>_xlfn.XLOOKUP(Vendas[[#This Row],[ID Item Vendido]],Agregado[ID],Agregado[Revenda])</f>
        <v>212</v>
      </c>
      <c r="I438" s="3">
        <f>Vendas[[#This Row],[Valor Unitário]]*Vendas[[#This Row],[Qnt Vendida]]</f>
        <v>848</v>
      </c>
      <c r="J438" s="3">
        <f>Vendas[[#This Row],[Valor da Venda]]-(_xlfn.XLOOKUP(Vendas[[#This Row],[ID Item Vendido]],Agregado[ID],Agregado[Custo])*Vendas[[#This Row],[Qnt Vendida]])</f>
        <v>128</v>
      </c>
      <c r="K438" s="70">
        <f>Vendas[[#This Row],[Lucro da Venda]]/Vendas[[#This Row],[Valor da Venda]]</f>
        <v>0.15094339622641509</v>
      </c>
      <c r="L43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438"/>
    </row>
    <row r="439" spans="1:13" x14ac:dyDescent="0.3">
      <c r="A439" s="7">
        <v>400255</v>
      </c>
      <c r="B439" t="str">
        <f>_xlfn.XLOOKUP(Vendas[[#This Row],[ID Vendedor]],Vendedores[ID],Vendedores[Nome])</f>
        <v>Carlos</v>
      </c>
      <c r="C439" s="7" t="str">
        <f>_xlfn.XLOOKUP(Vendas[[#This Row],[ID Vendedor]],Vendedores[ID],Vendedores[Setor])</f>
        <v>SC</v>
      </c>
      <c r="D439" s="7" t="s">
        <v>41</v>
      </c>
      <c r="E439" t="str">
        <f>_xlfn.XLOOKUP(Vendas[[#This Row],[ID Item Vendido]],Agregado[ID],Agregado[Produto])</f>
        <v>Palete de madeira reforçado</v>
      </c>
      <c r="F439" s="39">
        <v>43839</v>
      </c>
      <c r="G439" s="7">
        <v>4</v>
      </c>
      <c r="H439" s="3">
        <f>_xlfn.XLOOKUP(Vendas[[#This Row],[ID Item Vendido]],Agregado[ID],Agregado[Revenda])</f>
        <v>131</v>
      </c>
      <c r="I439" s="3">
        <f>Vendas[[#This Row],[Valor Unitário]]*Vendas[[#This Row],[Qnt Vendida]]</f>
        <v>524</v>
      </c>
      <c r="J439" s="3">
        <f>Vendas[[#This Row],[Valor da Venda]]-(_xlfn.XLOOKUP(Vendas[[#This Row],[ID Item Vendido]],Agregado[ID],Agregado[Custo])*Vendas[[#This Row],[Qnt Vendida]])</f>
        <v>84</v>
      </c>
      <c r="K439" s="70">
        <f>Vendas[[#This Row],[Lucro da Venda]]/Vendas[[#This Row],[Valor da Venda]]</f>
        <v>0.16030534351145037</v>
      </c>
      <c r="L439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439"/>
    </row>
    <row r="440" spans="1:13" x14ac:dyDescent="0.3">
      <c r="A440" s="7">
        <v>400251</v>
      </c>
      <c r="B440" t="str">
        <f>_xlfn.XLOOKUP(Vendas[[#This Row],[ID Vendedor]],Vendedores[ID],Vendedores[Nome])</f>
        <v>Diego</v>
      </c>
      <c r="C440" s="7" t="str">
        <f>_xlfn.XLOOKUP(Vendas[[#This Row],[ID Vendedor]],Vendedores[ID],Vendedores[Setor])</f>
        <v>AB</v>
      </c>
      <c r="D440" s="7" t="s">
        <v>12</v>
      </c>
      <c r="E440" t="str">
        <f>_xlfn.XLOOKUP(Vendas[[#This Row],[ID Item Vendido]],Agregado[ID],Agregado[Produto])</f>
        <v>Grânulo de plástico reciclado refinado</v>
      </c>
      <c r="F440" s="39">
        <v>43839</v>
      </c>
      <c r="G440" s="7">
        <v>84</v>
      </c>
      <c r="H440" s="3">
        <f>_xlfn.XLOOKUP(Vendas[[#This Row],[ID Item Vendido]],Agregado[ID],Agregado[Revenda])</f>
        <v>4.7</v>
      </c>
      <c r="I440" s="3">
        <f>Vendas[[#This Row],[Valor Unitário]]*Vendas[[#This Row],[Qnt Vendida]]</f>
        <v>394.8</v>
      </c>
      <c r="J440" s="3">
        <f>Vendas[[#This Row],[Valor da Venda]]-(_xlfn.XLOOKUP(Vendas[[#This Row],[ID Item Vendido]],Agregado[ID],Agregado[Custo])*Vendas[[#This Row],[Qnt Vendida]])</f>
        <v>100.80000000000001</v>
      </c>
      <c r="K440" s="70">
        <f>Vendas[[#This Row],[Lucro da Venda]]/Vendas[[#This Row],[Valor da Venda]]</f>
        <v>0.25531914893617025</v>
      </c>
      <c r="L440" s="3">
        <f>_xlfn.IFS(Vendas[[#This Row],[Margem de Lucro (%)]]&lt;15%,Vendas[[#This Row],[Valor da Venda]]*3%,Vendas[[#This Row],[Margem de Lucro (%)]]&lt;=20%,Vendas[[#This Row],[Valor da Venda]]*4.5%,TRUE,Vendas[[#This Row],[Valor da Venda]]*6%)</f>
        <v>23.687999999999999</v>
      </c>
      <c r="M440"/>
    </row>
    <row r="441" spans="1:13" x14ac:dyDescent="0.3">
      <c r="A441" s="7">
        <v>400247</v>
      </c>
      <c r="B441" t="str">
        <f>_xlfn.XLOOKUP(Vendas[[#This Row],[ID Vendedor]],Vendedores[ID],Vendedores[Nome])</f>
        <v>André</v>
      </c>
      <c r="C441" s="7" t="str">
        <f>_xlfn.XLOOKUP(Vendas[[#This Row],[ID Vendedor]],Vendedores[ID],Vendedores[Setor])</f>
        <v>CM</v>
      </c>
      <c r="D441" s="7" t="s">
        <v>32</v>
      </c>
      <c r="E441" t="str">
        <f>_xlfn.XLOOKUP(Vendas[[#This Row],[ID Item Vendido]],Agregado[ID],Agregado[Produto])</f>
        <v>Tábua tratada e cortada 3m</v>
      </c>
      <c r="F441" s="39">
        <v>43841</v>
      </c>
      <c r="G441" s="7">
        <v>30</v>
      </c>
      <c r="H441" s="3">
        <f>_xlfn.XLOOKUP(Vendas[[#This Row],[ID Item Vendido]],Agregado[ID],Agregado[Revenda])</f>
        <v>39</v>
      </c>
      <c r="I441" s="3">
        <f>Vendas[[#This Row],[Valor Unitário]]*Vendas[[#This Row],[Qnt Vendida]]</f>
        <v>1170</v>
      </c>
      <c r="J441" s="3">
        <f>Vendas[[#This Row],[Valor da Venda]]-(_xlfn.XLOOKUP(Vendas[[#This Row],[ID Item Vendido]],Agregado[ID],Agregado[Custo])*Vendas[[#This Row],[Qnt Vendida]])</f>
        <v>210</v>
      </c>
      <c r="K441" s="70">
        <f>Vendas[[#This Row],[Lucro da Venda]]/Vendas[[#This Row],[Valor da Venda]]</f>
        <v>0.17948717948717949</v>
      </c>
      <c r="L441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441"/>
    </row>
    <row r="442" spans="1:13" x14ac:dyDescent="0.3">
      <c r="A442" s="7">
        <v>400249</v>
      </c>
      <c r="B442" t="str">
        <f>_xlfn.XLOOKUP(Vendas[[#This Row],[ID Vendedor]],Vendedores[ID],Vendedores[Nome])</f>
        <v>Bruno</v>
      </c>
      <c r="C442" s="7" t="str">
        <f>_xlfn.XLOOKUP(Vendas[[#This Row],[ID Vendedor]],Vendedores[ID],Vendedores[Setor])</f>
        <v>CM</v>
      </c>
      <c r="D442" s="7" t="s">
        <v>22</v>
      </c>
      <c r="E442" t="str">
        <f>_xlfn.XLOOKUP(Vendas[[#This Row],[ID Item Vendido]],Agregado[ID],Agregado[Produto])</f>
        <v>Painel MDP 2,75x1,83m</v>
      </c>
      <c r="F442" s="39">
        <v>43842</v>
      </c>
      <c r="G442" s="7">
        <v>25</v>
      </c>
      <c r="H442" s="3">
        <f>_xlfn.XLOOKUP(Vendas[[#This Row],[ID Item Vendido]],Agregado[ID],Agregado[Revenda])</f>
        <v>119</v>
      </c>
      <c r="I442" s="3">
        <f>Vendas[[#This Row],[Valor Unitário]]*Vendas[[#This Row],[Qnt Vendida]]</f>
        <v>2975</v>
      </c>
      <c r="J442" s="3">
        <f>Vendas[[#This Row],[Valor da Venda]]-(_xlfn.XLOOKUP(Vendas[[#This Row],[ID Item Vendido]],Agregado[ID],Agregado[Custo])*Vendas[[#This Row],[Qnt Vendida]])</f>
        <v>600</v>
      </c>
      <c r="K442" s="70">
        <f>Vendas[[#This Row],[Lucro da Venda]]/Vendas[[#This Row],[Valor da Venda]]</f>
        <v>0.20168067226890757</v>
      </c>
      <c r="L442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42"/>
    </row>
    <row r="443" spans="1:13" x14ac:dyDescent="0.3">
      <c r="A443" s="7">
        <v>400241</v>
      </c>
      <c r="B443" t="str">
        <f>_xlfn.XLOOKUP(Vendas[[#This Row],[ID Vendedor]],Vendedores[ID],Vendedores[Nome])</f>
        <v>Rodrigo</v>
      </c>
      <c r="C443" s="7" t="str">
        <f>_xlfn.XLOOKUP(Vendas[[#This Row],[ID Vendedor]],Vendedores[ID],Vendedores[Setor])</f>
        <v>FM</v>
      </c>
      <c r="D443" s="7" t="s">
        <v>6</v>
      </c>
      <c r="E443" t="str">
        <f>_xlfn.XLOOKUP(Vendas[[#This Row],[ID Item Vendido]],Agregado[ID],Agregado[Produto])</f>
        <v>Parafuso comum 500un</v>
      </c>
      <c r="F443" s="39">
        <v>43843</v>
      </c>
      <c r="G443" s="7">
        <v>20</v>
      </c>
      <c r="H443" s="3">
        <f>_xlfn.XLOOKUP(Vendas[[#This Row],[ID Item Vendido]],Agregado[ID],Agregado[Revenda])</f>
        <v>24.6</v>
      </c>
      <c r="I443" s="3">
        <f>Vendas[[#This Row],[Valor Unitário]]*Vendas[[#This Row],[Qnt Vendida]]</f>
        <v>492</v>
      </c>
      <c r="J443" s="3">
        <f>Vendas[[#This Row],[Valor da Venda]]-(_xlfn.XLOOKUP(Vendas[[#This Row],[ID Item Vendido]],Agregado[ID],Agregado[Custo])*Vendas[[#This Row],[Qnt Vendida]])</f>
        <v>52</v>
      </c>
      <c r="K443" s="70">
        <f>Vendas[[#This Row],[Lucro da Venda]]/Vendas[[#This Row],[Valor da Venda]]</f>
        <v>0.10569105691056911</v>
      </c>
      <c r="L443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443"/>
    </row>
    <row r="444" spans="1:13" x14ac:dyDescent="0.3">
      <c r="A444" s="7">
        <v>400241</v>
      </c>
      <c r="B444" t="str">
        <f>_xlfn.XLOOKUP(Vendas[[#This Row],[ID Vendedor]],Vendedores[ID],Vendedores[Nome])</f>
        <v>Rodrigo</v>
      </c>
      <c r="C444" s="7" t="str">
        <f>_xlfn.XLOOKUP(Vendas[[#This Row],[ID Vendedor]],Vendedores[ID],Vendedores[Setor])</f>
        <v>FM</v>
      </c>
      <c r="D444" s="7" t="s">
        <v>20</v>
      </c>
      <c r="E444" t="str">
        <f>_xlfn.XLOOKUP(Vendas[[#This Row],[ID Item Vendido]],Agregado[ID],Agregado[Produto])</f>
        <v>Barra de aço simples</v>
      </c>
      <c r="F444" s="39">
        <v>43845</v>
      </c>
      <c r="G444" s="7">
        <v>133</v>
      </c>
      <c r="H444" s="3">
        <f>_xlfn.XLOOKUP(Vendas[[#This Row],[ID Item Vendido]],Agregado[ID],Agregado[Revenda])</f>
        <v>4.8</v>
      </c>
      <c r="I444" s="3">
        <f>Vendas[[#This Row],[Valor Unitário]]*Vendas[[#This Row],[Qnt Vendida]]</f>
        <v>638.4</v>
      </c>
      <c r="J444" s="3">
        <f>Vendas[[#This Row],[Valor da Venda]]-(_xlfn.XLOOKUP(Vendas[[#This Row],[ID Item Vendido]],Agregado[ID],Agregado[Custo])*Vendas[[#This Row],[Qnt Vendida]])</f>
        <v>79.799999999999955</v>
      </c>
      <c r="K444" s="70">
        <f>Vendas[[#This Row],[Lucro da Venda]]/Vendas[[#This Row],[Valor da Venda]]</f>
        <v>0.12499999999999993</v>
      </c>
      <c r="L444" s="3">
        <f>_xlfn.IFS(Vendas[[#This Row],[Margem de Lucro (%)]]&lt;15%,Vendas[[#This Row],[Valor da Venda]]*3%,Vendas[[#This Row],[Margem de Lucro (%)]]&lt;=20%,Vendas[[#This Row],[Valor da Venda]]*4.5%,TRUE,Vendas[[#This Row],[Valor da Venda]]*6%)</f>
        <v>19.151999999999997</v>
      </c>
      <c r="M444"/>
    </row>
    <row r="445" spans="1:13" x14ac:dyDescent="0.3">
      <c r="A445" s="7">
        <v>400243</v>
      </c>
      <c r="B445" t="str">
        <f>_xlfn.XLOOKUP(Vendas[[#This Row],[ID Vendedor]],Vendedores[ID],Vendedores[Nome])</f>
        <v>Marcelo</v>
      </c>
      <c r="C445" s="7" t="str">
        <f>_xlfn.XLOOKUP(Vendas[[#This Row],[ID Vendedor]],Vendedores[ID],Vendedores[Setor])</f>
        <v>FM</v>
      </c>
      <c r="D445" s="7" t="s">
        <v>47</v>
      </c>
      <c r="E445" t="str">
        <f>_xlfn.XLOOKUP(Vendas[[#This Row],[ID Item Vendido]],Agregado[ID],Agregado[Produto])</f>
        <v>Fio de arame galvanizado rolo 50m</v>
      </c>
      <c r="F445" s="39">
        <v>43845</v>
      </c>
      <c r="G445" s="7">
        <v>20</v>
      </c>
      <c r="H445" s="3">
        <f>_xlfn.XLOOKUP(Vendas[[#This Row],[ID Item Vendido]],Agregado[ID],Agregado[Revenda])</f>
        <v>21.2</v>
      </c>
      <c r="I445" s="3">
        <f>Vendas[[#This Row],[Valor Unitário]]*Vendas[[#This Row],[Qnt Vendida]]</f>
        <v>424</v>
      </c>
      <c r="J445" s="3">
        <f>Vendas[[#This Row],[Valor da Venda]]-(_xlfn.XLOOKUP(Vendas[[#This Row],[ID Item Vendido]],Agregado[ID],Agregado[Custo])*Vendas[[#This Row],[Qnt Vendida]])</f>
        <v>64</v>
      </c>
      <c r="K445" s="70">
        <f>Vendas[[#This Row],[Lucro da Venda]]/Vendas[[#This Row],[Valor da Venda]]</f>
        <v>0.15094339622641509</v>
      </c>
      <c r="L44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445"/>
    </row>
    <row r="446" spans="1:13" x14ac:dyDescent="0.3">
      <c r="A446" s="7">
        <v>400243</v>
      </c>
      <c r="B446" t="str">
        <f>_xlfn.XLOOKUP(Vendas[[#This Row],[ID Vendedor]],Vendedores[ID],Vendedores[Nome])</f>
        <v>Marcelo</v>
      </c>
      <c r="C446" s="7" t="str">
        <f>_xlfn.XLOOKUP(Vendas[[#This Row],[ID Vendedor]],Vendedores[ID],Vendedores[Setor])</f>
        <v>FM</v>
      </c>
      <c r="D446" s="7" t="s">
        <v>31</v>
      </c>
      <c r="E446" t="str">
        <f>_xlfn.XLOOKUP(Vendas[[#This Row],[ID Item Vendido]],Agregado[ID],Agregado[Produto])</f>
        <v>Tela de metal soldada rolo 2x25m</v>
      </c>
      <c r="F446" s="39">
        <v>43847</v>
      </c>
      <c r="G446" s="7">
        <v>13</v>
      </c>
      <c r="H446" s="3">
        <f>_xlfn.XLOOKUP(Vendas[[#This Row],[ID Item Vendido]],Agregado[ID],Agregado[Revenda])</f>
        <v>43.7</v>
      </c>
      <c r="I446" s="3">
        <f>Vendas[[#This Row],[Valor Unitário]]*Vendas[[#This Row],[Qnt Vendida]]</f>
        <v>568.1</v>
      </c>
      <c r="J446" s="3">
        <f>Vendas[[#This Row],[Valor da Venda]]-(_xlfn.XLOOKUP(Vendas[[#This Row],[ID Item Vendido]],Agregado[ID],Agregado[Custo])*Vendas[[#This Row],[Qnt Vendida]])</f>
        <v>74.100000000000023</v>
      </c>
      <c r="K446" s="70">
        <f>Vendas[[#This Row],[Lucro da Venda]]/Vendas[[#This Row],[Valor da Venda]]</f>
        <v>0.13043478260869568</v>
      </c>
      <c r="L446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446"/>
    </row>
    <row r="447" spans="1:13" x14ac:dyDescent="0.3">
      <c r="A447" s="7">
        <v>400251</v>
      </c>
      <c r="B447" t="str">
        <f>_xlfn.XLOOKUP(Vendas[[#This Row],[ID Vendedor]],Vendedores[ID],Vendedores[Nome])</f>
        <v>Diego</v>
      </c>
      <c r="C447" s="7" t="str">
        <f>_xlfn.XLOOKUP(Vendas[[#This Row],[ID Vendedor]],Vendedores[ID],Vendedores[Setor])</f>
        <v>AB</v>
      </c>
      <c r="D447" s="7" t="s">
        <v>37</v>
      </c>
      <c r="E447" t="str">
        <f>_xlfn.XLOOKUP(Vendas[[#This Row],[ID Item Vendido]],Agregado[ID],Agregado[Produto])</f>
        <v>Composto de borracha para vedação rolo 10m</v>
      </c>
      <c r="F447" s="39">
        <v>43847</v>
      </c>
      <c r="G447" s="7">
        <v>10</v>
      </c>
      <c r="H447" s="3">
        <f>_xlfn.XLOOKUP(Vendas[[#This Row],[ID Item Vendido]],Agregado[ID],Agregado[Revenda])</f>
        <v>51.2</v>
      </c>
      <c r="I447" s="3">
        <f>Vendas[[#This Row],[Valor Unitário]]*Vendas[[#This Row],[Qnt Vendida]]</f>
        <v>512</v>
      </c>
      <c r="J447" s="3">
        <f>Vendas[[#This Row],[Valor da Venda]]-(_xlfn.XLOOKUP(Vendas[[#This Row],[ID Item Vendido]],Agregado[ID],Agregado[Custo])*Vendas[[#This Row],[Qnt Vendida]])</f>
        <v>112</v>
      </c>
      <c r="K447" s="70">
        <f>Vendas[[#This Row],[Lucro da Venda]]/Vendas[[#This Row],[Valor da Venda]]</f>
        <v>0.21875</v>
      </c>
      <c r="L447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447"/>
    </row>
    <row r="448" spans="1:13" x14ac:dyDescent="0.3">
      <c r="A448" s="7">
        <v>400255</v>
      </c>
      <c r="B448" t="str">
        <f>_xlfn.XLOOKUP(Vendas[[#This Row],[ID Vendedor]],Vendedores[ID],Vendedores[Nome])</f>
        <v>Carlos</v>
      </c>
      <c r="C448" s="7" t="str">
        <f>_xlfn.XLOOKUP(Vendas[[#This Row],[ID Vendedor]],Vendedores[ID],Vendedores[Setor])</f>
        <v>SC</v>
      </c>
      <c r="D448" s="7" t="s">
        <v>48</v>
      </c>
      <c r="E448" t="str">
        <f>_xlfn.XLOOKUP(Vendas[[#This Row],[ID Item Vendido]],Agregado[ID],Agregado[Produto])</f>
        <v>Tambor metálico 200L</v>
      </c>
      <c r="F448" s="39">
        <v>43848</v>
      </c>
      <c r="G448" s="7">
        <v>18</v>
      </c>
      <c r="H448" s="3">
        <f>_xlfn.XLOOKUP(Vendas[[#This Row],[ID Item Vendido]],Agregado[ID],Agregado[Revenda])</f>
        <v>144</v>
      </c>
      <c r="I448" s="3">
        <f>Vendas[[#This Row],[Valor Unitário]]*Vendas[[#This Row],[Qnt Vendida]]</f>
        <v>2592</v>
      </c>
      <c r="J448" s="3">
        <f>Vendas[[#This Row],[Valor da Venda]]-(_xlfn.XLOOKUP(Vendas[[#This Row],[ID Item Vendido]],Agregado[ID],Agregado[Custo])*Vendas[[#This Row],[Qnt Vendida]])</f>
        <v>432</v>
      </c>
      <c r="K448" s="70">
        <f>Vendas[[#This Row],[Lucro da Venda]]/Vendas[[#This Row],[Valor da Venda]]</f>
        <v>0.16666666666666666</v>
      </c>
      <c r="L448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448"/>
    </row>
    <row r="449" spans="1:13" x14ac:dyDescent="0.3">
      <c r="A449" s="7">
        <v>400245</v>
      </c>
      <c r="B449" t="str">
        <f>_xlfn.XLOOKUP(Vendas[[#This Row],[ID Vendedor]],Vendedores[ID],Vendedores[Nome])</f>
        <v>Thiago</v>
      </c>
      <c r="C449" s="7" t="str">
        <f>_xlfn.XLOOKUP(Vendas[[#This Row],[ID Vendedor]],Vendedores[ID],Vendedores[Setor])</f>
        <v>AHD</v>
      </c>
      <c r="D449" s="7" t="s">
        <v>28</v>
      </c>
      <c r="E449" t="str">
        <f>_xlfn.XLOOKUP(Vendas[[#This Row],[ID Item Vendido]],Agregado[ID],Agregado[Produto])</f>
        <v>Peça usinada CNC</v>
      </c>
      <c r="F449" s="39">
        <v>43849</v>
      </c>
      <c r="G449" s="7">
        <v>12</v>
      </c>
      <c r="H449" s="3">
        <f>_xlfn.XLOOKUP(Vendas[[#This Row],[ID Item Vendido]],Agregado[ID],Agregado[Revenda])</f>
        <v>192</v>
      </c>
      <c r="I449" s="3">
        <f>Vendas[[#This Row],[Valor Unitário]]*Vendas[[#This Row],[Qnt Vendida]]</f>
        <v>2304</v>
      </c>
      <c r="J449" s="3">
        <f>Vendas[[#This Row],[Valor da Venda]]-(_xlfn.XLOOKUP(Vendas[[#This Row],[ID Item Vendido]],Agregado[ID],Agregado[Custo])*Vendas[[#This Row],[Qnt Vendida]])</f>
        <v>504</v>
      </c>
      <c r="K449" s="70">
        <f>Vendas[[#This Row],[Lucro da Venda]]/Vendas[[#This Row],[Valor da Venda]]</f>
        <v>0.21875</v>
      </c>
      <c r="L449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449"/>
    </row>
    <row r="450" spans="1:13" x14ac:dyDescent="0.3">
      <c r="A450" s="7">
        <v>400243</v>
      </c>
      <c r="B450" t="str">
        <f>_xlfn.XLOOKUP(Vendas[[#This Row],[ID Vendedor]],Vendedores[ID],Vendedores[Nome])</f>
        <v>Marcelo</v>
      </c>
      <c r="C450" s="7" t="str">
        <f>_xlfn.XLOOKUP(Vendas[[#This Row],[ID Vendedor]],Vendedores[ID],Vendedores[Setor])</f>
        <v>FM</v>
      </c>
      <c r="D450" s="7" t="s">
        <v>20</v>
      </c>
      <c r="E450" t="str">
        <f>_xlfn.XLOOKUP(Vendas[[#This Row],[ID Item Vendido]],Agregado[ID],Agregado[Produto])</f>
        <v>Barra de aço simples</v>
      </c>
      <c r="F450" s="39">
        <v>43849</v>
      </c>
      <c r="G450" s="7">
        <v>143</v>
      </c>
      <c r="H450" s="3">
        <f>_xlfn.XLOOKUP(Vendas[[#This Row],[ID Item Vendido]],Agregado[ID],Agregado[Revenda])</f>
        <v>4.8</v>
      </c>
      <c r="I450" s="3">
        <f>Vendas[[#This Row],[Valor Unitário]]*Vendas[[#This Row],[Qnt Vendida]]</f>
        <v>686.4</v>
      </c>
      <c r="J450" s="3">
        <f>Vendas[[#This Row],[Valor da Venda]]-(_xlfn.XLOOKUP(Vendas[[#This Row],[ID Item Vendido]],Agregado[ID],Agregado[Custo])*Vendas[[#This Row],[Qnt Vendida]])</f>
        <v>85.799999999999955</v>
      </c>
      <c r="K450" s="70">
        <f>Vendas[[#This Row],[Lucro da Venda]]/Vendas[[#This Row],[Valor da Venda]]</f>
        <v>0.12499999999999994</v>
      </c>
      <c r="L450" s="3">
        <f>_xlfn.IFS(Vendas[[#This Row],[Margem de Lucro (%)]]&lt;15%,Vendas[[#This Row],[Valor da Venda]]*3%,Vendas[[#This Row],[Margem de Lucro (%)]]&lt;=20%,Vendas[[#This Row],[Valor da Venda]]*4.5%,TRUE,Vendas[[#This Row],[Valor da Venda]]*6%)</f>
        <v>20.591999999999999</v>
      </c>
      <c r="M450"/>
    </row>
    <row r="451" spans="1:13" x14ac:dyDescent="0.3">
      <c r="A451" s="7">
        <v>400247</v>
      </c>
      <c r="B451" t="str">
        <f>_xlfn.XLOOKUP(Vendas[[#This Row],[ID Vendedor]],Vendedores[ID],Vendedores[Nome])</f>
        <v>André</v>
      </c>
      <c r="C451" s="7" t="str">
        <f>_xlfn.XLOOKUP(Vendas[[#This Row],[ID Vendedor]],Vendedores[ID],Vendedores[Setor])</f>
        <v>CM</v>
      </c>
      <c r="D451" s="7" t="s">
        <v>45</v>
      </c>
      <c r="E451" t="str">
        <f>_xlfn.XLOOKUP(Vendas[[#This Row],[ID Item Vendido]],Agregado[ID],Agregado[Produto])</f>
        <v>Viga de madeira tratada 4m</v>
      </c>
      <c r="F451" s="39">
        <v>43851</v>
      </c>
      <c r="G451" s="7">
        <v>20</v>
      </c>
      <c r="H451" s="3">
        <f>_xlfn.XLOOKUP(Vendas[[#This Row],[ID Item Vendido]],Agregado[ID],Agregado[Revenda])</f>
        <v>66</v>
      </c>
      <c r="I451" s="3">
        <f>Vendas[[#This Row],[Valor Unitário]]*Vendas[[#This Row],[Qnt Vendida]]</f>
        <v>1320</v>
      </c>
      <c r="J451" s="3">
        <f>Vendas[[#This Row],[Valor da Venda]]-(_xlfn.XLOOKUP(Vendas[[#This Row],[ID Item Vendido]],Agregado[ID],Agregado[Custo])*Vendas[[#This Row],[Qnt Vendida]])</f>
        <v>220</v>
      </c>
      <c r="K451" s="70">
        <f>Vendas[[#This Row],[Lucro da Venda]]/Vendas[[#This Row],[Valor da Venda]]</f>
        <v>0.16666666666666666</v>
      </c>
      <c r="L451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451"/>
    </row>
    <row r="452" spans="1:13" x14ac:dyDescent="0.3">
      <c r="A452" s="7">
        <v>400245</v>
      </c>
      <c r="B452" t="str">
        <f>_xlfn.XLOOKUP(Vendas[[#This Row],[ID Vendedor]],Vendedores[ID],Vendedores[Nome])</f>
        <v>Thiago</v>
      </c>
      <c r="C452" s="7" t="str">
        <f>_xlfn.XLOOKUP(Vendas[[#This Row],[ID Vendedor]],Vendedores[ID],Vendedores[Setor])</f>
        <v>AHD</v>
      </c>
      <c r="D452" s="7" t="s">
        <v>9</v>
      </c>
      <c r="E452" t="str">
        <f>_xlfn.XLOOKUP(Vendas[[#This Row],[ID Item Vendido]],Agregado[ID],Agregado[Produto])</f>
        <v>Barra de aço simples</v>
      </c>
      <c r="F452" s="39">
        <v>43851</v>
      </c>
      <c r="G452" s="7">
        <v>117</v>
      </c>
      <c r="H452" s="3">
        <f>_xlfn.XLOOKUP(Vendas[[#This Row],[ID Item Vendido]],Agregado[ID],Agregado[Revenda])</f>
        <v>6.7</v>
      </c>
      <c r="I452" s="3">
        <f>Vendas[[#This Row],[Valor Unitário]]*Vendas[[#This Row],[Qnt Vendida]]</f>
        <v>783.9</v>
      </c>
      <c r="J452" s="3">
        <f>Vendas[[#This Row],[Valor da Venda]]-(_xlfn.XLOOKUP(Vendas[[#This Row],[ID Item Vendido]],Agregado[ID],Agregado[Custo])*Vendas[[#This Row],[Qnt Vendida]])</f>
        <v>105.29999999999995</v>
      </c>
      <c r="K452" s="70">
        <f>Vendas[[#This Row],[Lucro da Venda]]/Vendas[[#This Row],[Valor da Venda]]</f>
        <v>0.13432835820895517</v>
      </c>
      <c r="L452" s="3">
        <f>_xlfn.IFS(Vendas[[#This Row],[Margem de Lucro (%)]]&lt;15%,Vendas[[#This Row],[Valor da Venda]]*3%,Vendas[[#This Row],[Margem de Lucro (%)]]&lt;=20%,Vendas[[#This Row],[Valor da Venda]]*4.5%,TRUE,Vendas[[#This Row],[Valor da Venda]]*6%)</f>
        <v>23.516999999999999</v>
      </c>
      <c r="M452"/>
    </row>
    <row r="453" spans="1:13" x14ac:dyDescent="0.3">
      <c r="A453" s="7">
        <v>400251</v>
      </c>
      <c r="B453" t="str">
        <f>_xlfn.XLOOKUP(Vendas[[#This Row],[ID Vendedor]],Vendedores[ID],Vendedores[Nome])</f>
        <v>Diego</v>
      </c>
      <c r="C453" s="7" t="str">
        <f>_xlfn.XLOOKUP(Vendas[[#This Row],[ID Vendedor]],Vendedores[ID],Vendedores[Setor])</f>
        <v>AB</v>
      </c>
      <c r="D453" s="7" t="s">
        <v>39</v>
      </c>
      <c r="E453" t="str">
        <f>_xlfn.XLOOKUP(Vendas[[#This Row],[ID Item Vendido]],Agregado[ID],Agregado[Produto])</f>
        <v>Filme plástico industrial rolo 50m</v>
      </c>
      <c r="F453" s="39">
        <v>43852</v>
      </c>
      <c r="G453" s="7">
        <v>30</v>
      </c>
      <c r="H453" s="3">
        <f>_xlfn.XLOOKUP(Vendas[[#This Row],[ID Item Vendido]],Agregado[ID],Agregado[Revenda])</f>
        <v>37</v>
      </c>
      <c r="I453" s="3">
        <f>Vendas[[#This Row],[Valor Unitário]]*Vendas[[#This Row],[Qnt Vendida]]</f>
        <v>1110</v>
      </c>
      <c r="J453" s="3">
        <f>Vendas[[#This Row],[Valor da Venda]]-(_xlfn.XLOOKUP(Vendas[[#This Row],[ID Item Vendido]],Agregado[ID],Agregado[Custo])*Vendas[[#This Row],[Qnt Vendida]])</f>
        <v>270</v>
      </c>
      <c r="K453" s="70">
        <f>Vendas[[#This Row],[Lucro da Venda]]/Vendas[[#This Row],[Valor da Venda]]</f>
        <v>0.24324324324324326</v>
      </c>
      <c r="L453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453"/>
    </row>
    <row r="454" spans="1:13" x14ac:dyDescent="0.3">
      <c r="A454" s="7">
        <v>400251</v>
      </c>
      <c r="B454" t="str">
        <f>_xlfn.XLOOKUP(Vendas[[#This Row],[ID Vendedor]],Vendedores[ID],Vendedores[Nome])</f>
        <v>Diego</v>
      </c>
      <c r="C454" s="7" t="str">
        <f>_xlfn.XLOOKUP(Vendas[[#This Row],[ID Vendedor]],Vendedores[ID],Vendedores[Setor])</f>
        <v>AB</v>
      </c>
      <c r="D454" s="7" t="s">
        <v>12</v>
      </c>
      <c r="E454" t="str">
        <f>_xlfn.XLOOKUP(Vendas[[#This Row],[ID Item Vendido]],Agregado[ID],Agregado[Produto])</f>
        <v>Grânulo de plástico reciclado refinado</v>
      </c>
      <c r="F454" s="39">
        <v>43852</v>
      </c>
      <c r="G454" s="7">
        <v>68</v>
      </c>
      <c r="H454" s="3">
        <f>_xlfn.XLOOKUP(Vendas[[#This Row],[ID Item Vendido]],Agregado[ID],Agregado[Revenda])</f>
        <v>4.7</v>
      </c>
      <c r="I454" s="3">
        <f>Vendas[[#This Row],[Valor Unitário]]*Vendas[[#This Row],[Qnt Vendida]]</f>
        <v>319.60000000000002</v>
      </c>
      <c r="J454" s="3">
        <f>Vendas[[#This Row],[Valor da Venda]]-(_xlfn.XLOOKUP(Vendas[[#This Row],[ID Item Vendido]],Agregado[ID],Agregado[Custo])*Vendas[[#This Row],[Qnt Vendida]])</f>
        <v>81.600000000000023</v>
      </c>
      <c r="K454" s="70">
        <f>Vendas[[#This Row],[Lucro da Venda]]/Vendas[[#This Row],[Valor da Venda]]</f>
        <v>0.25531914893617025</v>
      </c>
      <c r="L454" s="3">
        <f>_xlfn.IFS(Vendas[[#This Row],[Margem de Lucro (%)]]&lt;15%,Vendas[[#This Row],[Valor da Venda]]*3%,Vendas[[#This Row],[Margem de Lucro (%)]]&lt;=20%,Vendas[[#This Row],[Valor da Venda]]*4.5%,TRUE,Vendas[[#This Row],[Valor da Venda]]*6%)</f>
        <v>19.176000000000002</v>
      </c>
      <c r="M454"/>
    </row>
    <row r="455" spans="1:13" x14ac:dyDescent="0.3">
      <c r="A455" s="7">
        <v>400249</v>
      </c>
      <c r="B455" t="str">
        <f>_xlfn.XLOOKUP(Vendas[[#This Row],[ID Vendedor]],Vendedores[ID],Vendedores[Nome])</f>
        <v>Bruno</v>
      </c>
      <c r="C455" s="7" t="str">
        <f>_xlfn.XLOOKUP(Vendas[[#This Row],[ID Vendedor]],Vendedores[ID],Vendedores[Setor])</f>
        <v>CM</v>
      </c>
      <c r="D455" s="7" t="s">
        <v>32</v>
      </c>
      <c r="E455" t="str">
        <f>_xlfn.XLOOKUP(Vendas[[#This Row],[ID Item Vendido]],Agregado[ID],Agregado[Produto])</f>
        <v>Tábua tratada e cortada 3m</v>
      </c>
      <c r="F455" s="39">
        <v>43853</v>
      </c>
      <c r="G455" s="7">
        <v>24</v>
      </c>
      <c r="H455" s="3">
        <f>_xlfn.XLOOKUP(Vendas[[#This Row],[ID Item Vendido]],Agregado[ID],Agregado[Revenda])</f>
        <v>39</v>
      </c>
      <c r="I455" s="3">
        <f>Vendas[[#This Row],[Valor Unitário]]*Vendas[[#This Row],[Qnt Vendida]]</f>
        <v>936</v>
      </c>
      <c r="J455" s="3">
        <f>Vendas[[#This Row],[Valor da Venda]]-(_xlfn.XLOOKUP(Vendas[[#This Row],[ID Item Vendido]],Agregado[ID],Agregado[Custo])*Vendas[[#This Row],[Qnt Vendida]])</f>
        <v>168</v>
      </c>
      <c r="K455" s="70">
        <f>Vendas[[#This Row],[Lucro da Venda]]/Vendas[[#This Row],[Valor da Venda]]</f>
        <v>0.17948717948717949</v>
      </c>
      <c r="L455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455"/>
    </row>
    <row r="456" spans="1:13" x14ac:dyDescent="0.3">
      <c r="A456" s="7">
        <v>400249</v>
      </c>
      <c r="B456" t="str">
        <f>_xlfn.XLOOKUP(Vendas[[#This Row],[ID Vendedor]],Vendedores[ID],Vendedores[Nome])</f>
        <v>Bruno</v>
      </c>
      <c r="C456" s="7" t="str">
        <f>_xlfn.XLOOKUP(Vendas[[#This Row],[ID Vendedor]],Vendedores[ID],Vendedores[Setor])</f>
        <v>CM</v>
      </c>
      <c r="D456" s="7" t="s">
        <v>45</v>
      </c>
      <c r="E456" t="str">
        <f>_xlfn.XLOOKUP(Vendas[[#This Row],[ID Item Vendido]],Agregado[ID],Agregado[Produto])</f>
        <v>Viga de madeira tratada 4m</v>
      </c>
      <c r="F456" s="39">
        <v>43853</v>
      </c>
      <c r="G456" s="7">
        <v>6</v>
      </c>
      <c r="H456" s="3">
        <f>_xlfn.XLOOKUP(Vendas[[#This Row],[ID Item Vendido]],Agregado[ID],Agregado[Revenda])</f>
        <v>66</v>
      </c>
      <c r="I456" s="3">
        <f>Vendas[[#This Row],[Valor Unitário]]*Vendas[[#This Row],[Qnt Vendida]]</f>
        <v>396</v>
      </c>
      <c r="J456" s="3">
        <f>Vendas[[#This Row],[Valor da Venda]]-(_xlfn.XLOOKUP(Vendas[[#This Row],[ID Item Vendido]],Agregado[ID],Agregado[Custo])*Vendas[[#This Row],[Qnt Vendida]])</f>
        <v>66</v>
      </c>
      <c r="K456" s="70">
        <f>Vendas[[#This Row],[Lucro da Venda]]/Vendas[[#This Row],[Valor da Venda]]</f>
        <v>0.16666666666666666</v>
      </c>
      <c r="L456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456"/>
    </row>
    <row r="457" spans="1:13" x14ac:dyDescent="0.3">
      <c r="A457" s="7">
        <v>400255</v>
      </c>
      <c r="B457" t="str">
        <f>_xlfn.XLOOKUP(Vendas[[#This Row],[ID Vendedor]],Vendedores[ID],Vendedores[Nome])</f>
        <v>Carlos</v>
      </c>
      <c r="C457" s="7" t="str">
        <f>_xlfn.XLOOKUP(Vendas[[#This Row],[ID Vendedor]],Vendedores[ID],Vendedores[Setor])</f>
        <v>SC</v>
      </c>
      <c r="D457" s="7" t="s">
        <v>42</v>
      </c>
      <c r="E457" t="str">
        <f>_xlfn.XLOOKUP(Vendas[[#This Row],[ID Item Vendido]],Agregado[ID],Agregado[Produto])</f>
        <v>Container de ferro industrial</v>
      </c>
      <c r="F457" s="39">
        <v>43857</v>
      </c>
      <c r="G457" s="7">
        <v>1</v>
      </c>
      <c r="H457" s="3">
        <f>_xlfn.XLOOKUP(Vendas[[#This Row],[ID Item Vendido]],Agregado[ID],Agregado[Revenda])</f>
        <v>830</v>
      </c>
      <c r="I457" s="3">
        <f>Vendas[[#This Row],[Valor Unitário]]*Vendas[[#This Row],[Qnt Vendida]]</f>
        <v>830</v>
      </c>
      <c r="J457" s="3">
        <f>Vendas[[#This Row],[Valor da Venda]]-(_xlfn.XLOOKUP(Vendas[[#This Row],[ID Item Vendido]],Agregado[ID],Agregado[Custo])*Vendas[[#This Row],[Qnt Vendida]])</f>
        <v>150</v>
      </c>
      <c r="K457" s="70">
        <f>Vendas[[#This Row],[Lucro da Venda]]/Vendas[[#This Row],[Valor da Venda]]</f>
        <v>0.18072289156626506</v>
      </c>
      <c r="L457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57"/>
    </row>
    <row r="458" spans="1:13" x14ac:dyDescent="0.3">
      <c r="A458" s="7">
        <v>400251</v>
      </c>
      <c r="B458" t="str">
        <f>_xlfn.XLOOKUP(Vendas[[#This Row],[ID Vendedor]],Vendedores[ID],Vendedores[Nome])</f>
        <v>Diego</v>
      </c>
      <c r="C458" s="7" t="str">
        <f>_xlfn.XLOOKUP(Vendas[[#This Row],[ID Vendedor]],Vendedores[ID],Vendedores[Setor])</f>
        <v>AB</v>
      </c>
      <c r="D458" s="7" t="s">
        <v>12</v>
      </c>
      <c r="E458" t="str">
        <f>_xlfn.XLOOKUP(Vendas[[#This Row],[ID Item Vendido]],Agregado[ID],Agregado[Produto])</f>
        <v>Grânulo de plástico reciclado refinado</v>
      </c>
      <c r="F458" s="39">
        <v>43858</v>
      </c>
      <c r="G458" s="7">
        <v>88</v>
      </c>
      <c r="H458" s="3">
        <f>_xlfn.XLOOKUP(Vendas[[#This Row],[ID Item Vendido]],Agregado[ID],Agregado[Revenda])</f>
        <v>4.7</v>
      </c>
      <c r="I458" s="3">
        <f>Vendas[[#This Row],[Valor Unitário]]*Vendas[[#This Row],[Qnt Vendida]]</f>
        <v>413.6</v>
      </c>
      <c r="J458" s="3">
        <f>Vendas[[#This Row],[Valor da Venda]]-(_xlfn.XLOOKUP(Vendas[[#This Row],[ID Item Vendido]],Agregado[ID],Agregado[Custo])*Vendas[[#This Row],[Qnt Vendida]])</f>
        <v>105.60000000000002</v>
      </c>
      <c r="K458" s="70">
        <f>Vendas[[#This Row],[Lucro da Venda]]/Vendas[[#This Row],[Valor da Venda]]</f>
        <v>0.25531914893617025</v>
      </c>
      <c r="L458" s="3">
        <f>_xlfn.IFS(Vendas[[#This Row],[Margem de Lucro (%)]]&lt;15%,Vendas[[#This Row],[Valor da Venda]]*3%,Vendas[[#This Row],[Margem de Lucro (%)]]&lt;=20%,Vendas[[#This Row],[Valor da Venda]]*4.5%,TRUE,Vendas[[#This Row],[Valor da Venda]]*6%)</f>
        <v>24.815999999999999</v>
      </c>
      <c r="M458"/>
    </row>
    <row r="459" spans="1:13" x14ac:dyDescent="0.3">
      <c r="A459" s="7">
        <v>400251</v>
      </c>
      <c r="B459" t="str">
        <f>_xlfn.XLOOKUP(Vendas[[#This Row],[ID Vendedor]],Vendedores[ID],Vendedores[Nome])</f>
        <v>Diego</v>
      </c>
      <c r="C459" s="7" t="str">
        <f>_xlfn.XLOOKUP(Vendas[[#This Row],[ID Vendedor]],Vendedores[ID],Vendedores[Setor])</f>
        <v>AB</v>
      </c>
      <c r="D459" s="7" t="s">
        <v>12</v>
      </c>
      <c r="E459" t="str">
        <f>_xlfn.XLOOKUP(Vendas[[#This Row],[ID Item Vendido]],Agregado[ID],Agregado[Produto])</f>
        <v>Grânulo de plástico reciclado refinado</v>
      </c>
      <c r="F459" s="39">
        <v>43860</v>
      </c>
      <c r="G459" s="7">
        <v>133</v>
      </c>
      <c r="H459" s="3">
        <f>_xlfn.XLOOKUP(Vendas[[#This Row],[ID Item Vendido]],Agregado[ID],Agregado[Revenda])</f>
        <v>4.7</v>
      </c>
      <c r="I459" s="3">
        <f>Vendas[[#This Row],[Valor Unitário]]*Vendas[[#This Row],[Qnt Vendida]]</f>
        <v>625.1</v>
      </c>
      <c r="J459" s="3">
        <f>Vendas[[#This Row],[Valor da Venda]]-(_xlfn.XLOOKUP(Vendas[[#This Row],[ID Item Vendido]],Agregado[ID],Agregado[Custo])*Vendas[[#This Row],[Qnt Vendida]])</f>
        <v>159.60000000000002</v>
      </c>
      <c r="K459" s="70">
        <f>Vendas[[#This Row],[Lucro da Venda]]/Vendas[[#This Row],[Valor da Venda]]</f>
        <v>0.25531914893617025</v>
      </c>
      <c r="L459" s="3">
        <f>_xlfn.IFS(Vendas[[#This Row],[Margem de Lucro (%)]]&lt;15%,Vendas[[#This Row],[Valor da Venda]]*3%,Vendas[[#This Row],[Margem de Lucro (%)]]&lt;=20%,Vendas[[#This Row],[Valor da Venda]]*4.5%,TRUE,Vendas[[#This Row],[Valor da Venda]]*6%)</f>
        <v>37.506</v>
      </c>
      <c r="M459"/>
    </row>
    <row r="460" spans="1:13" x14ac:dyDescent="0.3">
      <c r="A460" s="7">
        <v>400247</v>
      </c>
      <c r="B460" t="str">
        <f>_xlfn.XLOOKUP(Vendas[[#This Row],[ID Vendedor]],Vendedores[ID],Vendedores[Nome])</f>
        <v>André</v>
      </c>
      <c r="C460" s="7" t="str">
        <f>_xlfn.XLOOKUP(Vendas[[#This Row],[ID Vendedor]],Vendedores[ID],Vendedores[Setor])</f>
        <v>CM</v>
      </c>
      <c r="D460" s="7" t="s">
        <v>34</v>
      </c>
      <c r="E460" t="str">
        <f>_xlfn.XLOOKUP(Vendas[[#This Row],[ID Item Vendido]],Agregado[ID],Agregado[Produto])</f>
        <v>Restos de madeira p/ MDP/OSB saco de 20kg</v>
      </c>
      <c r="F460" s="39">
        <v>43861</v>
      </c>
      <c r="G460" s="7">
        <v>22</v>
      </c>
      <c r="H460" s="3">
        <f>_xlfn.XLOOKUP(Vendas[[#This Row],[ID Item Vendido]],Agregado[ID],Agregado[Revenda])</f>
        <v>13.8</v>
      </c>
      <c r="I460" s="3">
        <f>Vendas[[#This Row],[Valor Unitário]]*Vendas[[#This Row],[Qnt Vendida]]</f>
        <v>303.60000000000002</v>
      </c>
      <c r="J460" s="3">
        <f>Vendas[[#This Row],[Valor da Venda]]-(_xlfn.XLOOKUP(Vendas[[#This Row],[ID Item Vendido]],Agregado[ID],Agregado[Custo])*Vendas[[#This Row],[Qnt Vendida]])</f>
        <v>39.600000000000023</v>
      </c>
      <c r="K460" s="70">
        <f>Vendas[[#This Row],[Lucro da Venda]]/Vendas[[#This Row],[Valor da Venda]]</f>
        <v>0.1304347826086957</v>
      </c>
      <c r="L460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60"/>
    </row>
    <row r="461" spans="1:13" x14ac:dyDescent="0.3">
      <c r="A461" s="7">
        <v>400249</v>
      </c>
      <c r="B461" t="str">
        <f>_xlfn.XLOOKUP(Vendas[[#This Row],[ID Vendedor]],Vendedores[ID],Vendedores[Nome])</f>
        <v>Bruno</v>
      </c>
      <c r="C461" s="7" t="str">
        <f>_xlfn.XLOOKUP(Vendas[[#This Row],[ID Vendedor]],Vendedores[ID],Vendedores[Setor])</f>
        <v>CM</v>
      </c>
      <c r="D461" s="7" t="s">
        <v>45</v>
      </c>
      <c r="E461" t="str">
        <f>_xlfn.XLOOKUP(Vendas[[#This Row],[ID Item Vendido]],Agregado[ID],Agregado[Produto])</f>
        <v>Viga de madeira tratada 4m</v>
      </c>
      <c r="F461" s="39">
        <v>43861</v>
      </c>
      <c r="G461" s="7">
        <v>2</v>
      </c>
      <c r="H461" s="3">
        <f>_xlfn.XLOOKUP(Vendas[[#This Row],[ID Item Vendido]],Agregado[ID],Agregado[Revenda])</f>
        <v>66</v>
      </c>
      <c r="I461" s="3">
        <f>Vendas[[#This Row],[Valor Unitário]]*Vendas[[#This Row],[Qnt Vendida]]</f>
        <v>132</v>
      </c>
      <c r="J461" s="3">
        <f>Vendas[[#This Row],[Valor da Venda]]-(_xlfn.XLOOKUP(Vendas[[#This Row],[ID Item Vendido]],Agregado[ID],Agregado[Custo])*Vendas[[#This Row],[Qnt Vendida]])</f>
        <v>22</v>
      </c>
      <c r="K461" s="70">
        <f>Vendas[[#This Row],[Lucro da Venda]]/Vendas[[#This Row],[Valor da Venda]]</f>
        <v>0.16666666666666666</v>
      </c>
      <c r="L461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461"/>
    </row>
    <row r="462" spans="1:13" x14ac:dyDescent="0.3">
      <c r="A462" s="7">
        <v>400243</v>
      </c>
      <c r="B462" t="str">
        <f>_xlfn.XLOOKUP(Vendas[[#This Row],[ID Vendedor]],Vendedores[ID],Vendedores[Nome])</f>
        <v>Marcelo</v>
      </c>
      <c r="C462" s="7" t="str">
        <f>_xlfn.XLOOKUP(Vendas[[#This Row],[ID Vendedor]],Vendedores[ID],Vendedores[Setor])</f>
        <v>FM</v>
      </c>
      <c r="D462" s="7" t="s">
        <v>27</v>
      </c>
      <c r="E462" t="str">
        <f>_xlfn.XLOOKUP(Vendas[[#This Row],[ID Item Vendido]],Agregado[ID],Agregado[Produto])</f>
        <v>Chapa de metal lisa 1x2m</v>
      </c>
      <c r="F462" s="39">
        <v>43862</v>
      </c>
      <c r="G462" s="7">
        <v>25</v>
      </c>
      <c r="H462" s="3">
        <f>_xlfn.XLOOKUP(Vendas[[#This Row],[ID Item Vendido]],Agregado[ID],Agregado[Revenda])</f>
        <v>52</v>
      </c>
      <c r="I462" s="3">
        <f>Vendas[[#This Row],[Valor Unitário]]*Vendas[[#This Row],[Qnt Vendida]]</f>
        <v>1300</v>
      </c>
      <c r="J462" s="3">
        <f>Vendas[[#This Row],[Valor da Venda]]-(_xlfn.XLOOKUP(Vendas[[#This Row],[ID Item Vendido]],Agregado[ID],Agregado[Custo])*Vendas[[#This Row],[Qnt Vendida]])</f>
        <v>175</v>
      </c>
      <c r="K462" s="70">
        <f>Vendas[[#This Row],[Lucro da Venda]]/Vendas[[#This Row],[Valor da Venda]]</f>
        <v>0.13461538461538461</v>
      </c>
      <c r="L462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462"/>
    </row>
    <row r="463" spans="1:13" x14ac:dyDescent="0.3">
      <c r="A463" s="7">
        <v>400251</v>
      </c>
      <c r="B463" t="str">
        <f>_xlfn.XLOOKUP(Vendas[[#This Row],[ID Vendedor]],Vendedores[ID],Vendedores[Nome])</f>
        <v>Diego</v>
      </c>
      <c r="C463" s="7" t="str">
        <f>_xlfn.XLOOKUP(Vendas[[#This Row],[ID Vendedor]],Vendedores[ID],Vendedores[Setor])</f>
        <v>AB</v>
      </c>
      <c r="D463" s="7" t="s">
        <v>24</v>
      </c>
      <c r="E463" t="str">
        <f>_xlfn.XLOOKUP(Vendas[[#This Row],[ID Item Vendido]],Agregado[ID],Agregado[Produto])</f>
        <v>Resina plástica PET purificada saco de 25kg</v>
      </c>
      <c r="F463" s="39">
        <v>43863</v>
      </c>
      <c r="G463" s="7">
        <v>5</v>
      </c>
      <c r="H463" s="3">
        <f>_xlfn.XLOOKUP(Vendas[[#This Row],[ID Item Vendido]],Agregado[ID],Agregado[Revenda])</f>
        <v>119</v>
      </c>
      <c r="I463" s="3">
        <f>Vendas[[#This Row],[Valor Unitário]]*Vendas[[#This Row],[Qnt Vendida]]</f>
        <v>595</v>
      </c>
      <c r="J463" s="3">
        <f>Vendas[[#This Row],[Valor da Venda]]-(_xlfn.XLOOKUP(Vendas[[#This Row],[ID Item Vendido]],Agregado[ID],Agregado[Custo])*Vendas[[#This Row],[Qnt Vendida]])</f>
        <v>170</v>
      </c>
      <c r="K463" s="70">
        <f>Vendas[[#This Row],[Lucro da Venda]]/Vendas[[#This Row],[Valor da Venda]]</f>
        <v>0.2857142857142857</v>
      </c>
      <c r="L463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463"/>
    </row>
    <row r="464" spans="1:13" x14ac:dyDescent="0.3">
      <c r="A464" s="7">
        <v>400249</v>
      </c>
      <c r="B464" t="str">
        <f>_xlfn.XLOOKUP(Vendas[[#This Row],[ID Vendedor]],Vendedores[ID],Vendedores[Nome])</f>
        <v>Bruno</v>
      </c>
      <c r="C464" s="7" t="str">
        <f>_xlfn.XLOOKUP(Vendas[[#This Row],[ID Vendedor]],Vendedores[ID],Vendedores[Setor])</f>
        <v>CM</v>
      </c>
      <c r="D464" s="7" t="s">
        <v>22</v>
      </c>
      <c r="E464" t="str">
        <f>_xlfn.XLOOKUP(Vendas[[#This Row],[ID Item Vendido]],Agregado[ID],Agregado[Produto])</f>
        <v>Painel MDP 2,75x1,83m</v>
      </c>
      <c r="F464" s="39">
        <v>43864</v>
      </c>
      <c r="G464" s="7">
        <v>14</v>
      </c>
      <c r="H464" s="3">
        <f>_xlfn.XLOOKUP(Vendas[[#This Row],[ID Item Vendido]],Agregado[ID],Agregado[Revenda])</f>
        <v>119</v>
      </c>
      <c r="I464" s="3">
        <f>Vendas[[#This Row],[Valor Unitário]]*Vendas[[#This Row],[Qnt Vendida]]</f>
        <v>1666</v>
      </c>
      <c r="J464" s="3">
        <f>Vendas[[#This Row],[Valor da Venda]]-(_xlfn.XLOOKUP(Vendas[[#This Row],[ID Item Vendido]],Agregado[ID],Agregado[Custo])*Vendas[[#This Row],[Qnt Vendida]])</f>
        <v>336</v>
      </c>
      <c r="K464" s="70">
        <f>Vendas[[#This Row],[Lucro da Venda]]/Vendas[[#This Row],[Valor da Venda]]</f>
        <v>0.20168067226890757</v>
      </c>
      <c r="L464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64"/>
    </row>
    <row r="465" spans="1:13" x14ac:dyDescent="0.3">
      <c r="A465" s="7">
        <v>400255</v>
      </c>
      <c r="B465" t="str">
        <f>_xlfn.XLOOKUP(Vendas[[#This Row],[ID Vendedor]],Vendedores[ID],Vendedores[Nome])</f>
        <v>Carlos</v>
      </c>
      <c r="C465" s="7" t="str">
        <f>_xlfn.XLOOKUP(Vendas[[#This Row],[ID Vendedor]],Vendedores[ID],Vendedores[Setor])</f>
        <v>SC</v>
      </c>
      <c r="D465" s="7" t="s">
        <v>41</v>
      </c>
      <c r="E465" t="str">
        <f>_xlfn.XLOOKUP(Vendas[[#This Row],[ID Item Vendido]],Agregado[ID],Agregado[Produto])</f>
        <v>Palete de madeira reforçado</v>
      </c>
      <c r="F465" s="39">
        <v>43865</v>
      </c>
      <c r="G465" s="7">
        <v>1</v>
      </c>
      <c r="H465" s="3">
        <f>_xlfn.XLOOKUP(Vendas[[#This Row],[ID Item Vendido]],Agregado[ID],Agregado[Revenda])</f>
        <v>131</v>
      </c>
      <c r="I465" s="3">
        <f>Vendas[[#This Row],[Valor Unitário]]*Vendas[[#This Row],[Qnt Vendida]]</f>
        <v>131</v>
      </c>
      <c r="J465" s="3">
        <f>Vendas[[#This Row],[Valor da Venda]]-(_xlfn.XLOOKUP(Vendas[[#This Row],[ID Item Vendido]],Agregado[ID],Agregado[Custo])*Vendas[[#This Row],[Qnt Vendida]])</f>
        <v>21</v>
      </c>
      <c r="K465" s="70">
        <f>Vendas[[#This Row],[Lucro da Venda]]/Vendas[[#This Row],[Valor da Venda]]</f>
        <v>0.16030534351145037</v>
      </c>
      <c r="L465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465"/>
    </row>
    <row r="466" spans="1:13" x14ac:dyDescent="0.3">
      <c r="A466" s="7">
        <v>400249</v>
      </c>
      <c r="B466" t="str">
        <f>_xlfn.XLOOKUP(Vendas[[#This Row],[ID Vendedor]],Vendedores[ID],Vendedores[Nome])</f>
        <v>Bruno</v>
      </c>
      <c r="C466" s="7" t="str">
        <f>_xlfn.XLOOKUP(Vendas[[#This Row],[ID Vendedor]],Vendedores[ID],Vendedores[Setor])</f>
        <v>CM</v>
      </c>
      <c r="D466" s="7" t="s">
        <v>22</v>
      </c>
      <c r="E466" t="str">
        <f>_xlfn.XLOOKUP(Vendas[[#This Row],[ID Item Vendido]],Agregado[ID],Agregado[Produto])</f>
        <v>Painel MDP 2,75x1,83m</v>
      </c>
      <c r="F466" s="39">
        <v>43868</v>
      </c>
      <c r="G466" s="7">
        <v>15</v>
      </c>
      <c r="H466" s="3">
        <f>_xlfn.XLOOKUP(Vendas[[#This Row],[ID Item Vendido]],Agregado[ID],Agregado[Revenda])</f>
        <v>119</v>
      </c>
      <c r="I466" s="3">
        <f>Vendas[[#This Row],[Valor Unitário]]*Vendas[[#This Row],[Qnt Vendida]]</f>
        <v>1785</v>
      </c>
      <c r="J466" s="3">
        <f>Vendas[[#This Row],[Valor da Venda]]-(_xlfn.XLOOKUP(Vendas[[#This Row],[ID Item Vendido]],Agregado[ID],Agregado[Custo])*Vendas[[#This Row],[Qnt Vendida]])</f>
        <v>360</v>
      </c>
      <c r="K466" s="70">
        <f>Vendas[[#This Row],[Lucro da Venda]]/Vendas[[#This Row],[Valor da Venda]]</f>
        <v>0.20168067226890757</v>
      </c>
      <c r="L466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466"/>
    </row>
    <row r="467" spans="1:13" x14ac:dyDescent="0.3">
      <c r="A467" s="7">
        <v>400245</v>
      </c>
      <c r="B467" t="str">
        <f>_xlfn.XLOOKUP(Vendas[[#This Row],[ID Vendedor]],Vendedores[ID],Vendedores[Nome])</f>
        <v>Thiago</v>
      </c>
      <c r="C467" s="7" t="str">
        <f>_xlfn.XLOOKUP(Vendas[[#This Row],[ID Vendedor]],Vendedores[ID],Vendedores[Setor])</f>
        <v>AHD</v>
      </c>
      <c r="D467" s="7" t="s">
        <v>18</v>
      </c>
      <c r="E467" t="str">
        <f>_xlfn.XLOOKUP(Vendas[[#This Row],[ID Item Vendido]],Agregado[ID],Agregado[Produto])</f>
        <v>Peça forjada sob encomenda</v>
      </c>
      <c r="F467" s="39">
        <v>43870</v>
      </c>
      <c r="G467" s="7">
        <v>2</v>
      </c>
      <c r="H467" s="3">
        <f>_xlfn.XLOOKUP(Vendas[[#This Row],[ID Item Vendido]],Agregado[ID],Agregado[Revenda])</f>
        <v>264.60000000000002</v>
      </c>
      <c r="I467" s="3">
        <f>Vendas[[#This Row],[Valor Unitário]]*Vendas[[#This Row],[Qnt Vendida]]</f>
        <v>529.20000000000005</v>
      </c>
      <c r="J467" s="3">
        <f>Vendas[[#This Row],[Valor da Venda]]-(_xlfn.XLOOKUP(Vendas[[#This Row],[ID Item Vendido]],Agregado[ID],Agregado[Custo])*Vendas[[#This Row],[Qnt Vendida]])</f>
        <v>29.200000000000045</v>
      </c>
      <c r="K467" s="70">
        <f>Vendas[[#This Row],[Lucro da Venda]]/Vendas[[#This Row],[Valor da Venda]]</f>
        <v>5.5177626606198113E-2</v>
      </c>
      <c r="L467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467"/>
    </row>
    <row r="468" spans="1:13" x14ac:dyDescent="0.3">
      <c r="A468" s="7">
        <v>400243</v>
      </c>
      <c r="B468" t="str">
        <f>_xlfn.XLOOKUP(Vendas[[#This Row],[ID Vendedor]],Vendedores[ID],Vendedores[Nome])</f>
        <v>Marcelo</v>
      </c>
      <c r="C468" s="7" t="str">
        <f>_xlfn.XLOOKUP(Vendas[[#This Row],[ID Vendedor]],Vendedores[ID],Vendedores[Setor])</f>
        <v>FM</v>
      </c>
      <c r="D468" s="7" t="s">
        <v>6</v>
      </c>
      <c r="E468" t="str">
        <f>_xlfn.XLOOKUP(Vendas[[#This Row],[ID Item Vendido]],Agregado[ID],Agregado[Produto])</f>
        <v>Parafuso comum 500un</v>
      </c>
      <c r="F468" s="39">
        <v>43870</v>
      </c>
      <c r="G468" s="7">
        <v>21</v>
      </c>
      <c r="H468" s="3">
        <f>_xlfn.XLOOKUP(Vendas[[#This Row],[ID Item Vendido]],Agregado[ID],Agregado[Revenda])</f>
        <v>24.6</v>
      </c>
      <c r="I468" s="3">
        <f>Vendas[[#This Row],[Valor Unitário]]*Vendas[[#This Row],[Qnt Vendida]]</f>
        <v>516.6</v>
      </c>
      <c r="J468" s="3">
        <f>Vendas[[#This Row],[Valor da Venda]]-(_xlfn.XLOOKUP(Vendas[[#This Row],[ID Item Vendido]],Agregado[ID],Agregado[Custo])*Vendas[[#This Row],[Qnt Vendida]])</f>
        <v>54.600000000000023</v>
      </c>
      <c r="K468" s="70">
        <f>Vendas[[#This Row],[Lucro da Venda]]/Vendas[[#This Row],[Valor da Venda]]</f>
        <v>0.10569105691056914</v>
      </c>
      <c r="L468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468"/>
    </row>
    <row r="469" spans="1:13" x14ac:dyDescent="0.3">
      <c r="A469" s="7">
        <v>400249</v>
      </c>
      <c r="B469" t="str">
        <f>_xlfn.XLOOKUP(Vendas[[#This Row],[ID Vendedor]],Vendedores[ID],Vendedores[Nome])</f>
        <v>Bruno</v>
      </c>
      <c r="C469" s="7" t="str">
        <f>_xlfn.XLOOKUP(Vendas[[#This Row],[ID Vendedor]],Vendedores[ID],Vendedores[Setor])</f>
        <v>CM</v>
      </c>
      <c r="D469" s="7" t="s">
        <v>43</v>
      </c>
      <c r="E469" t="str">
        <f>_xlfn.XLOOKUP(Vendas[[#This Row],[ID Item Vendido]],Agregado[ID],Agregado[Produto])</f>
        <v>Madeira Bruta (Tora)</v>
      </c>
      <c r="F469" s="39">
        <v>43874</v>
      </c>
      <c r="G469" s="7">
        <v>2</v>
      </c>
      <c r="H469" s="3">
        <f>_xlfn.XLOOKUP(Vendas[[#This Row],[ID Item Vendido]],Agregado[ID],Agregado[Revenda])</f>
        <v>212</v>
      </c>
      <c r="I469" s="3">
        <f>Vendas[[#This Row],[Valor Unitário]]*Vendas[[#This Row],[Qnt Vendida]]</f>
        <v>424</v>
      </c>
      <c r="J469" s="3">
        <f>Vendas[[#This Row],[Valor da Venda]]-(_xlfn.XLOOKUP(Vendas[[#This Row],[ID Item Vendido]],Agregado[ID],Agregado[Custo])*Vendas[[#This Row],[Qnt Vendida]])</f>
        <v>64</v>
      </c>
      <c r="K469" s="70">
        <f>Vendas[[#This Row],[Lucro da Venda]]/Vendas[[#This Row],[Valor da Venda]]</f>
        <v>0.15094339622641509</v>
      </c>
      <c r="L469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469"/>
    </row>
    <row r="470" spans="1:13" x14ac:dyDescent="0.3">
      <c r="A470" s="7">
        <v>400255</v>
      </c>
      <c r="B470" t="str">
        <f>_xlfn.XLOOKUP(Vendas[[#This Row],[ID Vendedor]],Vendedores[ID],Vendedores[Nome])</f>
        <v>Carlos</v>
      </c>
      <c r="C470" s="7" t="str">
        <f>_xlfn.XLOOKUP(Vendas[[#This Row],[ID Vendedor]],Vendedores[ID],Vendedores[Setor])</f>
        <v>SC</v>
      </c>
      <c r="D470" s="7" t="s">
        <v>25</v>
      </c>
      <c r="E470" t="str">
        <f>_xlfn.XLOOKUP(Vendas[[#This Row],[ID Item Vendido]],Agregado[ID],Agregado[Produto])</f>
        <v>Palete de plástico</v>
      </c>
      <c r="F470" s="39">
        <v>43874</v>
      </c>
      <c r="G470" s="7">
        <v>2</v>
      </c>
      <c r="H470" s="3">
        <f>_xlfn.XLOOKUP(Vendas[[#This Row],[ID Item Vendido]],Agregado[ID],Agregado[Revenda])</f>
        <v>70.8</v>
      </c>
      <c r="I470" s="3">
        <f>Vendas[[#This Row],[Valor Unitário]]*Vendas[[#This Row],[Qnt Vendida]]</f>
        <v>141.6</v>
      </c>
      <c r="J470" s="3">
        <f>Vendas[[#This Row],[Valor da Venda]]-(_xlfn.XLOOKUP(Vendas[[#This Row],[ID Item Vendido]],Agregado[ID],Agregado[Custo])*Vendas[[#This Row],[Qnt Vendida]])</f>
        <v>21.599999999999994</v>
      </c>
      <c r="K470" s="70">
        <f>Vendas[[#This Row],[Lucro da Venda]]/Vendas[[#This Row],[Valor da Venda]]</f>
        <v>0.15254237288135589</v>
      </c>
      <c r="L470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470"/>
    </row>
    <row r="471" spans="1:13" x14ac:dyDescent="0.3">
      <c r="A471" s="7">
        <v>400243</v>
      </c>
      <c r="B471" t="str">
        <f>_xlfn.XLOOKUP(Vendas[[#This Row],[ID Vendedor]],Vendedores[ID],Vendedores[Nome])</f>
        <v>Marcelo</v>
      </c>
      <c r="C471" s="7" t="str">
        <f>_xlfn.XLOOKUP(Vendas[[#This Row],[ID Vendedor]],Vendedores[ID],Vendedores[Setor])</f>
        <v>FM</v>
      </c>
      <c r="D471" s="7" t="s">
        <v>27</v>
      </c>
      <c r="E471" t="str">
        <f>_xlfn.XLOOKUP(Vendas[[#This Row],[ID Item Vendido]],Agregado[ID],Agregado[Produto])</f>
        <v>Chapa de metal lisa 1x2m</v>
      </c>
      <c r="F471" s="39">
        <v>43876</v>
      </c>
      <c r="G471" s="7">
        <v>30</v>
      </c>
      <c r="H471" s="3">
        <f>_xlfn.XLOOKUP(Vendas[[#This Row],[ID Item Vendido]],Agregado[ID],Agregado[Revenda])</f>
        <v>52</v>
      </c>
      <c r="I471" s="3">
        <f>Vendas[[#This Row],[Valor Unitário]]*Vendas[[#This Row],[Qnt Vendida]]</f>
        <v>1560</v>
      </c>
      <c r="J471" s="3">
        <f>Vendas[[#This Row],[Valor da Venda]]-(_xlfn.XLOOKUP(Vendas[[#This Row],[ID Item Vendido]],Agregado[ID],Agregado[Custo])*Vendas[[#This Row],[Qnt Vendida]])</f>
        <v>210</v>
      </c>
      <c r="K471" s="70">
        <f>Vendas[[#This Row],[Lucro da Venda]]/Vendas[[#This Row],[Valor da Venda]]</f>
        <v>0.13461538461538461</v>
      </c>
      <c r="L471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471"/>
    </row>
    <row r="472" spans="1:13" x14ac:dyDescent="0.3">
      <c r="A472" s="7">
        <v>400243</v>
      </c>
      <c r="B472" t="str">
        <f>_xlfn.XLOOKUP(Vendas[[#This Row],[ID Vendedor]],Vendedores[ID],Vendedores[Nome])</f>
        <v>Marcelo</v>
      </c>
      <c r="C472" s="7" t="str">
        <f>_xlfn.XLOOKUP(Vendas[[#This Row],[ID Vendedor]],Vendedores[ID],Vendedores[Setor])</f>
        <v>FM</v>
      </c>
      <c r="D472" s="7" t="s">
        <v>31</v>
      </c>
      <c r="E472" t="str">
        <f>_xlfn.XLOOKUP(Vendas[[#This Row],[ID Item Vendido]],Agregado[ID],Agregado[Produto])</f>
        <v>Tela de metal soldada rolo 2x25m</v>
      </c>
      <c r="F472" s="39">
        <v>43876</v>
      </c>
      <c r="G472" s="7">
        <v>8</v>
      </c>
      <c r="H472" s="3">
        <f>_xlfn.XLOOKUP(Vendas[[#This Row],[ID Item Vendido]],Agregado[ID],Agregado[Revenda])</f>
        <v>43.7</v>
      </c>
      <c r="I472" s="3">
        <f>Vendas[[#This Row],[Valor Unitário]]*Vendas[[#This Row],[Qnt Vendida]]</f>
        <v>349.6</v>
      </c>
      <c r="J472" s="3">
        <f>Vendas[[#This Row],[Valor da Venda]]-(_xlfn.XLOOKUP(Vendas[[#This Row],[ID Item Vendido]],Agregado[ID],Agregado[Custo])*Vendas[[#This Row],[Qnt Vendida]])</f>
        <v>45.600000000000023</v>
      </c>
      <c r="K472" s="70">
        <f>Vendas[[#This Row],[Lucro da Venda]]/Vendas[[#This Row],[Valor da Venda]]</f>
        <v>0.1304347826086957</v>
      </c>
      <c r="L472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472"/>
    </row>
    <row r="473" spans="1:13" x14ac:dyDescent="0.3">
      <c r="A473" s="7">
        <v>400247</v>
      </c>
      <c r="B473" t="str">
        <f>_xlfn.XLOOKUP(Vendas[[#This Row],[ID Vendedor]],Vendedores[ID],Vendedores[Nome])</f>
        <v>André</v>
      </c>
      <c r="C473" s="7" t="str">
        <f>_xlfn.XLOOKUP(Vendas[[#This Row],[ID Vendedor]],Vendedores[ID],Vendedores[Setor])</f>
        <v>CM</v>
      </c>
      <c r="D473" s="7" t="s">
        <v>34</v>
      </c>
      <c r="E473" t="str">
        <f>_xlfn.XLOOKUP(Vendas[[#This Row],[ID Item Vendido]],Agregado[ID],Agregado[Produto])</f>
        <v>Restos de madeira p/ MDP/OSB saco de 20kg</v>
      </c>
      <c r="F473" s="39">
        <v>43878</v>
      </c>
      <c r="G473" s="7">
        <v>15</v>
      </c>
      <c r="H473" s="3">
        <f>_xlfn.XLOOKUP(Vendas[[#This Row],[ID Item Vendido]],Agregado[ID],Agregado[Revenda])</f>
        <v>13.8</v>
      </c>
      <c r="I473" s="3">
        <f>Vendas[[#This Row],[Valor Unitário]]*Vendas[[#This Row],[Qnt Vendida]]</f>
        <v>207</v>
      </c>
      <c r="J473" s="3">
        <f>Vendas[[#This Row],[Valor da Venda]]-(_xlfn.XLOOKUP(Vendas[[#This Row],[ID Item Vendido]],Agregado[ID],Agregado[Custo])*Vendas[[#This Row],[Qnt Vendida]])</f>
        <v>27</v>
      </c>
      <c r="K473" s="70">
        <f>Vendas[[#This Row],[Lucro da Venda]]/Vendas[[#This Row],[Valor da Venda]]</f>
        <v>0.13043478260869565</v>
      </c>
      <c r="L473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473"/>
    </row>
    <row r="474" spans="1:13" x14ac:dyDescent="0.3">
      <c r="A474" s="7">
        <v>400241</v>
      </c>
      <c r="B474" t="str">
        <f>_xlfn.XLOOKUP(Vendas[[#This Row],[ID Vendedor]],Vendedores[ID],Vendedores[Nome])</f>
        <v>Rodrigo</v>
      </c>
      <c r="C474" s="7" t="str">
        <f>_xlfn.XLOOKUP(Vendas[[#This Row],[ID Vendedor]],Vendedores[ID],Vendedores[Setor])</f>
        <v>FM</v>
      </c>
      <c r="D474" s="7" t="s">
        <v>47</v>
      </c>
      <c r="E474" t="str">
        <f>_xlfn.XLOOKUP(Vendas[[#This Row],[ID Item Vendido]],Agregado[ID],Agregado[Produto])</f>
        <v>Fio de arame galvanizado rolo 50m</v>
      </c>
      <c r="F474" s="39">
        <v>43879</v>
      </c>
      <c r="G474" s="7">
        <v>17</v>
      </c>
      <c r="H474" s="3">
        <f>_xlfn.XLOOKUP(Vendas[[#This Row],[ID Item Vendido]],Agregado[ID],Agregado[Revenda])</f>
        <v>21.2</v>
      </c>
      <c r="I474" s="3">
        <f>Vendas[[#This Row],[Valor Unitário]]*Vendas[[#This Row],[Qnt Vendida]]</f>
        <v>360.4</v>
      </c>
      <c r="J474" s="3">
        <f>Vendas[[#This Row],[Valor da Venda]]-(_xlfn.XLOOKUP(Vendas[[#This Row],[ID Item Vendido]],Agregado[ID],Agregado[Custo])*Vendas[[#This Row],[Qnt Vendida]])</f>
        <v>54.399999999999977</v>
      </c>
      <c r="K474" s="70">
        <f>Vendas[[#This Row],[Lucro da Venda]]/Vendas[[#This Row],[Valor da Venda]]</f>
        <v>0.15094339622641503</v>
      </c>
      <c r="L474" s="3">
        <f>_xlfn.IFS(Vendas[[#This Row],[Margem de Lucro (%)]]&lt;15%,Vendas[[#This Row],[Valor da Venda]]*3%,Vendas[[#This Row],[Margem de Lucro (%)]]&lt;=20%,Vendas[[#This Row],[Valor da Venda]]*4.5%,TRUE,Vendas[[#This Row],[Valor da Venda]]*6%)</f>
        <v>16.218</v>
      </c>
      <c r="M474"/>
    </row>
    <row r="475" spans="1:13" x14ac:dyDescent="0.3">
      <c r="A475" s="7">
        <v>400245</v>
      </c>
      <c r="B475" t="str">
        <f>_xlfn.XLOOKUP(Vendas[[#This Row],[ID Vendedor]],Vendedores[ID],Vendedores[Nome])</f>
        <v>Thiago</v>
      </c>
      <c r="C475" s="7" t="str">
        <f>_xlfn.XLOOKUP(Vendas[[#This Row],[ID Vendedor]],Vendedores[ID],Vendedores[Setor])</f>
        <v>AHD</v>
      </c>
      <c r="D475" s="7" t="s">
        <v>44</v>
      </c>
      <c r="E475" t="str">
        <f>_xlfn.XLOOKUP(Vendas[[#This Row],[ID Item Vendido]],Agregado[ID],Agregado[Produto])</f>
        <v>Liga metálica especial</v>
      </c>
      <c r="F475" s="39">
        <v>43881</v>
      </c>
      <c r="G475" s="7">
        <v>7</v>
      </c>
      <c r="H475" s="3">
        <f>_xlfn.XLOOKUP(Vendas[[#This Row],[ID Item Vendido]],Agregado[ID],Agregado[Revenda])</f>
        <v>32.5</v>
      </c>
      <c r="I475" s="3">
        <f>Vendas[[#This Row],[Valor Unitário]]*Vendas[[#This Row],[Qnt Vendida]]</f>
        <v>227.5</v>
      </c>
      <c r="J475" s="3">
        <f>Vendas[[#This Row],[Valor da Venda]]-(_xlfn.XLOOKUP(Vendas[[#This Row],[ID Item Vendido]],Agregado[ID],Agregado[Custo])*Vendas[[#This Row],[Qnt Vendida]])</f>
        <v>52.5</v>
      </c>
      <c r="K475" s="70">
        <f>Vendas[[#This Row],[Lucro da Venda]]/Vendas[[#This Row],[Valor da Venda]]</f>
        <v>0.23076923076923078</v>
      </c>
      <c r="L475" s="3">
        <f>_xlfn.IFS(Vendas[[#This Row],[Margem de Lucro (%)]]&lt;15%,Vendas[[#This Row],[Valor da Venda]]*3%,Vendas[[#This Row],[Margem de Lucro (%)]]&lt;=20%,Vendas[[#This Row],[Valor da Venda]]*4.5%,TRUE,Vendas[[#This Row],[Valor da Venda]]*6%)</f>
        <v>13.65</v>
      </c>
      <c r="M475"/>
    </row>
    <row r="476" spans="1:13" x14ac:dyDescent="0.3">
      <c r="A476" s="7">
        <v>400247</v>
      </c>
      <c r="B476" t="str">
        <f>_xlfn.XLOOKUP(Vendas[[#This Row],[ID Vendedor]],Vendedores[ID],Vendedores[Nome])</f>
        <v>André</v>
      </c>
      <c r="C476" s="7" t="str">
        <f>_xlfn.XLOOKUP(Vendas[[#This Row],[ID Vendedor]],Vendedores[ID],Vendedores[Setor])</f>
        <v>CM</v>
      </c>
      <c r="D476" s="7" t="s">
        <v>43</v>
      </c>
      <c r="E476" t="str">
        <f>_xlfn.XLOOKUP(Vendas[[#This Row],[ID Item Vendido]],Agregado[ID],Agregado[Produto])</f>
        <v>Madeira Bruta (Tora)</v>
      </c>
      <c r="F476" s="39">
        <v>43881</v>
      </c>
      <c r="G476" s="7">
        <v>1</v>
      </c>
      <c r="H476" s="3">
        <f>_xlfn.XLOOKUP(Vendas[[#This Row],[ID Item Vendido]],Agregado[ID],Agregado[Revenda])</f>
        <v>212</v>
      </c>
      <c r="I476" s="3">
        <f>Vendas[[#This Row],[Valor Unitário]]*Vendas[[#This Row],[Qnt Vendida]]</f>
        <v>212</v>
      </c>
      <c r="J476" s="3">
        <f>Vendas[[#This Row],[Valor da Venda]]-(_xlfn.XLOOKUP(Vendas[[#This Row],[ID Item Vendido]],Agregado[ID],Agregado[Custo])*Vendas[[#This Row],[Qnt Vendida]])</f>
        <v>32</v>
      </c>
      <c r="K476" s="70">
        <f>Vendas[[#This Row],[Lucro da Venda]]/Vendas[[#This Row],[Valor da Venda]]</f>
        <v>0.15094339622641509</v>
      </c>
      <c r="L476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476"/>
    </row>
    <row r="477" spans="1:13" x14ac:dyDescent="0.3">
      <c r="A477" s="7">
        <v>400245</v>
      </c>
      <c r="B477" t="str">
        <f>_xlfn.XLOOKUP(Vendas[[#This Row],[ID Vendedor]],Vendedores[ID],Vendedores[Nome])</f>
        <v>Thiago</v>
      </c>
      <c r="C477" s="7" t="str">
        <f>_xlfn.XLOOKUP(Vendas[[#This Row],[ID Vendedor]],Vendedores[ID],Vendedores[Setor])</f>
        <v>AHD</v>
      </c>
      <c r="D477" s="7" t="s">
        <v>30</v>
      </c>
      <c r="E477" t="str">
        <f>_xlfn.XLOOKUP(Vendas[[#This Row],[ID Item Vendido]],Agregado[ID],Agregado[Produto])</f>
        <v>Estrutura metálica soldada</v>
      </c>
      <c r="F477" s="39">
        <v>43882</v>
      </c>
      <c r="G477" s="7">
        <v>5</v>
      </c>
      <c r="H477" s="3">
        <f>_xlfn.XLOOKUP(Vendas[[#This Row],[ID Item Vendido]],Agregado[ID],Agregado[Revenda])</f>
        <v>400</v>
      </c>
      <c r="I477" s="3">
        <f>Vendas[[#This Row],[Valor Unitário]]*Vendas[[#This Row],[Qnt Vendida]]</f>
        <v>2000</v>
      </c>
      <c r="J477" s="3">
        <f>Vendas[[#This Row],[Valor da Venda]]-(_xlfn.XLOOKUP(Vendas[[#This Row],[ID Item Vendido]],Agregado[ID],Agregado[Custo])*Vendas[[#This Row],[Qnt Vendida]])</f>
        <v>400</v>
      </c>
      <c r="K477" s="70">
        <f>Vendas[[#This Row],[Lucro da Venda]]/Vendas[[#This Row],[Valor da Venda]]</f>
        <v>0.2</v>
      </c>
      <c r="L477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77"/>
    </row>
    <row r="478" spans="1:13" x14ac:dyDescent="0.3">
      <c r="A478" s="7">
        <v>400247</v>
      </c>
      <c r="B478" t="str">
        <f>_xlfn.XLOOKUP(Vendas[[#This Row],[ID Vendedor]],Vendedores[ID],Vendedores[Nome])</f>
        <v>André</v>
      </c>
      <c r="C478" s="7" t="str">
        <f>_xlfn.XLOOKUP(Vendas[[#This Row],[ID Vendedor]],Vendedores[ID],Vendedores[Setor])</f>
        <v>CM</v>
      </c>
      <c r="D478" s="7" t="s">
        <v>32</v>
      </c>
      <c r="E478" t="str">
        <f>_xlfn.XLOOKUP(Vendas[[#This Row],[ID Item Vendido]],Agregado[ID],Agregado[Produto])</f>
        <v>Tábua tratada e cortada 3m</v>
      </c>
      <c r="F478" s="39">
        <v>43883</v>
      </c>
      <c r="G478" s="7">
        <v>21</v>
      </c>
      <c r="H478" s="3">
        <f>_xlfn.XLOOKUP(Vendas[[#This Row],[ID Item Vendido]],Agregado[ID],Agregado[Revenda])</f>
        <v>39</v>
      </c>
      <c r="I478" s="3">
        <f>Vendas[[#This Row],[Valor Unitário]]*Vendas[[#This Row],[Qnt Vendida]]</f>
        <v>819</v>
      </c>
      <c r="J478" s="3">
        <f>Vendas[[#This Row],[Valor da Venda]]-(_xlfn.XLOOKUP(Vendas[[#This Row],[ID Item Vendido]],Agregado[ID],Agregado[Custo])*Vendas[[#This Row],[Qnt Vendida]])</f>
        <v>147</v>
      </c>
      <c r="K478" s="70">
        <f>Vendas[[#This Row],[Lucro da Venda]]/Vendas[[#This Row],[Valor da Venda]]</f>
        <v>0.17948717948717949</v>
      </c>
      <c r="L478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478"/>
    </row>
    <row r="479" spans="1:13" x14ac:dyDescent="0.3">
      <c r="A479" s="7">
        <v>400251</v>
      </c>
      <c r="B479" t="str">
        <f>_xlfn.XLOOKUP(Vendas[[#This Row],[ID Vendedor]],Vendedores[ID],Vendedores[Nome])</f>
        <v>Diego</v>
      </c>
      <c r="C479" s="7" t="str">
        <f>_xlfn.XLOOKUP(Vendas[[#This Row],[ID Vendedor]],Vendedores[ID],Vendedores[Setor])</f>
        <v>AB</v>
      </c>
      <c r="D479" s="7" t="s">
        <v>39</v>
      </c>
      <c r="E479" t="str">
        <f>_xlfn.XLOOKUP(Vendas[[#This Row],[ID Item Vendido]],Agregado[ID],Agregado[Produto])</f>
        <v>Filme plástico industrial rolo 50m</v>
      </c>
      <c r="F479" s="39">
        <v>43884</v>
      </c>
      <c r="G479" s="7">
        <v>26</v>
      </c>
      <c r="H479" s="3">
        <f>_xlfn.XLOOKUP(Vendas[[#This Row],[ID Item Vendido]],Agregado[ID],Agregado[Revenda])</f>
        <v>37</v>
      </c>
      <c r="I479" s="3">
        <f>Vendas[[#This Row],[Valor Unitário]]*Vendas[[#This Row],[Qnt Vendida]]</f>
        <v>962</v>
      </c>
      <c r="J479" s="3">
        <f>Vendas[[#This Row],[Valor da Venda]]-(_xlfn.XLOOKUP(Vendas[[#This Row],[ID Item Vendido]],Agregado[ID],Agregado[Custo])*Vendas[[#This Row],[Qnt Vendida]])</f>
        <v>234</v>
      </c>
      <c r="K479" s="70">
        <f>Vendas[[#This Row],[Lucro da Venda]]/Vendas[[#This Row],[Valor da Venda]]</f>
        <v>0.24324324324324326</v>
      </c>
      <c r="L479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479"/>
    </row>
    <row r="480" spans="1:13" x14ac:dyDescent="0.3">
      <c r="A480" s="7">
        <v>400247</v>
      </c>
      <c r="B480" t="str">
        <f>_xlfn.XLOOKUP(Vendas[[#This Row],[ID Vendedor]],Vendedores[ID],Vendedores[Nome])</f>
        <v>André</v>
      </c>
      <c r="C480" s="7" t="str">
        <f>_xlfn.XLOOKUP(Vendas[[#This Row],[ID Vendedor]],Vendedores[ID],Vendedores[Setor])</f>
        <v>CM</v>
      </c>
      <c r="D480" s="7" t="s">
        <v>34</v>
      </c>
      <c r="E480" t="str">
        <f>_xlfn.XLOOKUP(Vendas[[#This Row],[ID Item Vendido]],Agregado[ID],Agregado[Produto])</f>
        <v>Restos de madeira p/ MDP/OSB saco de 20kg</v>
      </c>
      <c r="F480" s="39">
        <v>43886</v>
      </c>
      <c r="G480" s="7">
        <v>18</v>
      </c>
      <c r="H480" s="3">
        <f>_xlfn.XLOOKUP(Vendas[[#This Row],[ID Item Vendido]],Agregado[ID],Agregado[Revenda])</f>
        <v>13.8</v>
      </c>
      <c r="I480" s="3">
        <f>Vendas[[#This Row],[Valor Unitário]]*Vendas[[#This Row],[Qnt Vendida]]</f>
        <v>248.4</v>
      </c>
      <c r="J480" s="3">
        <f>Vendas[[#This Row],[Valor da Venda]]-(_xlfn.XLOOKUP(Vendas[[#This Row],[ID Item Vendido]],Agregado[ID],Agregado[Custo])*Vendas[[#This Row],[Qnt Vendida]])</f>
        <v>32.400000000000006</v>
      </c>
      <c r="K480" s="70">
        <f>Vendas[[#This Row],[Lucro da Venda]]/Vendas[[#This Row],[Valor da Venda]]</f>
        <v>0.13043478260869568</v>
      </c>
      <c r="L480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480"/>
    </row>
    <row r="481" spans="1:13" x14ac:dyDescent="0.3">
      <c r="A481" s="7">
        <v>400241</v>
      </c>
      <c r="B481" t="str">
        <f>_xlfn.XLOOKUP(Vendas[[#This Row],[ID Vendedor]],Vendedores[ID],Vendedores[Nome])</f>
        <v>Rodrigo</v>
      </c>
      <c r="C481" s="7" t="str">
        <f>_xlfn.XLOOKUP(Vendas[[#This Row],[ID Vendedor]],Vendedores[ID],Vendedores[Setor])</f>
        <v>FM</v>
      </c>
      <c r="D481" s="7" t="s">
        <v>20</v>
      </c>
      <c r="E481" t="str">
        <f>_xlfn.XLOOKUP(Vendas[[#This Row],[ID Item Vendido]],Agregado[ID],Agregado[Produto])</f>
        <v>Barra de aço simples</v>
      </c>
      <c r="F481" s="39">
        <v>43887</v>
      </c>
      <c r="G481" s="7">
        <v>115</v>
      </c>
      <c r="H481" s="3">
        <f>_xlfn.XLOOKUP(Vendas[[#This Row],[ID Item Vendido]],Agregado[ID],Agregado[Revenda])</f>
        <v>4.8</v>
      </c>
      <c r="I481" s="3">
        <f>Vendas[[#This Row],[Valor Unitário]]*Vendas[[#This Row],[Qnt Vendida]]</f>
        <v>552</v>
      </c>
      <c r="J481" s="3">
        <f>Vendas[[#This Row],[Valor da Venda]]-(_xlfn.XLOOKUP(Vendas[[#This Row],[ID Item Vendido]],Agregado[ID],Agregado[Custo])*Vendas[[#This Row],[Qnt Vendida]])</f>
        <v>69</v>
      </c>
      <c r="K481" s="70">
        <f>Vendas[[#This Row],[Lucro da Venda]]/Vendas[[#This Row],[Valor da Venda]]</f>
        <v>0.125</v>
      </c>
      <c r="L481" s="3">
        <f>_xlfn.IFS(Vendas[[#This Row],[Margem de Lucro (%)]]&lt;15%,Vendas[[#This Row],[Valor da Venda]]*3%,Vendas[[#This Row],[Margem de Lucro (%)]]&lt;=20%,Vendas[[#This Row],[Valor da Venda]]*4.5%,TRUE,Vendas[[#This Row],[Valor da Venda]]*6%)</f>
        <v>16.559999999999999</v>
      </c>
      <c r="M481"/>
    </row>
    <row r="482" spans="1:13" x14ac:dyDescent="0.3">
      <c r="A482" s="7">
        <v>400243</v>
      </c>
      <c r="B482" t="str">
        <f>_xlfn.XLOOKUP(Vendas[[#This Row],[ID Vendedor]],Vendedores[ID],Vendedores[Nome])</f>
        <v>Marcelo</v>
      </c>
      <c r="C482" s="7" t="str">
        <f>_xlfn.XLOOKUP(Vendas[[#This Row],[ID Vendedor]],Vendedores[ID],Vendedores[Setor])</f>
        <v>FM</v>
      </c>
      <c r="D482" s="7" t="s">
        <v>47</v>
      </c>
      <c r="E482" t="str">
        <f>_xlfn.XLOOKUP(Vendas[[#This Row],[ID Item Vendido]],Agregado[ID],Agregado[Produto])</f>
        <v>Fio de arame galvanizado rolo 50m</v>
      </c>
      <c r="F482" s="39">
        <v>43889</v>
      </c>
      <c r="G482" s="7">
        <v>23</v>
      </c>
      <c r="H482" s="3">
        <f>_xlfn.XLOOKUP(Vendas[[#This Row],[ID Item Vendido]],Agregado[ID],Agregado[Revenda])</f>
        <v>21.2</v>
      </c>
      <c r="I482" s="3">
        <f>Vendas[[#This Row],[Valor Unitário]]*Vendas[[#This Row],[Qnt Vendida]]</f>
        <v>487.59999999999997</v>
      </c>
      <c r="J482" s="3">
        <f>Vendas[[#This Row],[Valor da Venda]]-(_xlfn.XLOOKUP(Vendas[[#This Row],[ID Item Vendido]],Agregado[ID],Agregado[Custo])*Vendas[[#This Row],[Qnt Vendida]])</f>
        <v>73.599999999999966</v>
      </c>
      <c r="K482" s="70">
        <f>Vendas[[#This Row],[Lucro da Venda]]/Vendas[[#This Row],[Valor da Venda]]</f>
        <v>0.15094339622641503</v>
      </c>
      <c r="L482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482"/>
    </row>
    <row r="483" spans="1:13" x14ac:dyDescent="0.3">
      <c r="A483" s="7">
        <v>400245</v>
      </c>
      <c r="B483" t="str">
        <f>_xlfn.XLOOKUP(Vendas[[#This Row],[ID Vendedor]],Vendedores[ID],Vendedores[Nome])</f>
        <v>Thiago</v>
      </c>
      <c r="C483" s="7" t="str">
        <f>_xlfn.XLOOKUP(Vendas[[#This Row],[ID Vendedor]],Vendedores[ID],Vendedores[Setor])</f>
        <v>AHD</v>
      </c>
      <c r="D483" s="7" t="s">
        <v>44</v>
      </c>
      <c r="E483" t="str">
        <f>_xlfn.XLOOKUP(Vendas[[#This Row],[ID Item Vendido]],Agregado[ID],Agregado[Produto])</f>
        <v>Liga metálica especial</v>
      </c>
      <c r="F483" s="39">
        <v>43891</v>
      </c>
      <c r="G483" s="7">
        <v>53</v>
      </c>
      <c r="H483" s="3">
        <f>_xlfn.XLOOKUP(Vendas[[#This Row],[ID Item Vendido]],Agregado[ID],Agregado[Revenda])</f>
        <v>32.5</v>
      </c>
      <c r="I483" s="3">
        <f>Vendas[[#This Row],[Valor Unitário]]*Vendas[[#This Row],[Qnt Vendida]]</f>
        <v>1722.5</v>
      </c>
      <c r="J483" s="3">
        <f>Vendas[[#This Row],[Valor da Venda]]-(_xlfn.XLOOKUP(Vendas[[#This Row],[ID Item Vendido]],Agregado[ID],Agregado[Custo])*Vendas[[#This Row],[Qnt Vendida]])</f>
        <v>397.5</v>
      </c>
      <c r="K483" s="70">
        <f>Vendas[[#This Row],[Lucro da Venda]]/Vendas[[#This Row],[Valor da Venda]]</f>
        <v>0.23076923076923078</v>
      </c>
      <c r="L483" s="3">
        <f>_xlfn.IFS(Vendas[[#This Row],[Margem de Lucro (%)]]&lt;15%,Vendas[[#This Row],[Valor da Venda]]*3%,Vendas[[#This Row],[Margem de Lucro (%)]]&lt;=20%,Vendas[[#This Row],[Valor da Venda]]*4.5%,TRUE,Vendas[[#This Row],[Valor da Venda]]*6%)</f>
        <v>103.35</v>
      </c>
      <c r="M483"/>
    </row>
    <row r="484" spans="1:13" x14ac:dyDescent="0.3">
      <c r="A484" s="7">
        <v>400251</v>
      </c>
      <c r="B484" t="str">
        <f>_xlfn.XLOOKUP(Vendas[[#This Row],[ID Vendedor]],Vendedores[ID],Vendedores[Nome])</f>
        <v>Diego</v>
      </c>
      <c r="C484" s="7" t="str">
        <f>_xlfn.XLOOKUP(Vendas[[#This Row],[ID Vendedor]],Vendedores[ID],Vendedores[Setor])</f>
        <v>AB</v>
      </c>
      <c r="D484" s="7" t="s">
        <v>36</v>
      </c>
      <c r="E484" t="str">
        <f>_xlfn.XLOOKUP(Vendas[[#This Row],[ID Item Vendido]],Agregado[ID],Agregado[Produto])</f>
        <v>Borracha vulcanizada em manta</v>
      </c>
      <c r="F484" s="39">
        <v>43892</v>
      </c>
      <c r="G484" s="7">
        <v>43</v>
      </c>
      <c r="H484" s="3">
        <f>_xlfn.XLOOKUP(Vendas[[#This Row],[ID Item Vendido]],Agregado[ID],Agregado[Revenda])</f>
        <v>7.8</v>
      </c>
      <c r="I484" s="3">
        <f>Vendas[[#This Row],[Valor Unitário]]*Vendas[[#This Row],[Qnt Vendida]]</f>
        <v>335.4</v>
      </c>
      <c r="J484" s="3">
        <f>Vendas[[#This Row],[Valor da Venda]]-(_xlfn.XLOOKUP(Vendas[[#This Row],[ID Item Vendido]],Agregado[ID],Agregado[Custo])*Vendas[[#This Row],[Qnt Vendida]])</f>
        <v>77.399999999999977</v>
      </c>
      <c r="K484" s="70">
        <f>Vendas[[#This Row],[Lucro da Venda]]/Vendas[[#This Row],[Valor da Venda]]</f>
        <v>0.23076923076923073</v>
      </c>
      <c r="L484" s="3">
        <f>_xlfn.IFS(Vendas[[#This Row],[Margem de Lucro (%)]]&lt;15%,Vendas[[#This Row],[Valor da Venda]]*3%,Vendas[[#This Row],[Margem de Lucro (%)]]&lt;=20%,Vendas[[#This Row],[Valor da Venda]]*4.5%,TRUE,Vendas[[#This Row],[Valor da Venda]]*6%)</f>
        <v>20.123999999999999</v>
      </c>
      <c r="M484"/>
    </row>
    <row r="485" spans="1:13" x14ac:dyDescent="0.3">
      <c r="A485" s="7">
        <v>400251</v>
      </c>
      <c r="B485" t="str">
        <f>_xlfn.XLOOKUP(Vendas[[#This Row],[ID Vendedor]],Vendedores[ID],Vendedores[Nome])</f>
        <v>Diego</v>
      </c>
      <c r="C485" s="7" t="str">
        <f>_xlfn.XLOOKUP(Vendas[[#This Row],[ID Vendedor]],Vendedores[ID],Vendedores[Setor])</f>
        <v>AB</v>
      </c>
      <c r="D485" s="7" t="s">
        <v>36</v>
      </c>
      <c r="E485" t="str">
        <f>_xlfn.XLOOKUP(Vendas[[#This Row],[ID Item Vendido]],Agregado[ID],Agregado[Produto])</f>
        <v>Borracha vulcanizada em manta</v>
      </c>
      <c r="F485" s="39">
        <v>43893</v>
      </c>
      <c r="G485" s="7">
        <v>13</v>
      </c>
      <c r="H485" s="3">
        <f>_xlfn.XLOOKUP(Vendas[[#This Row],[ID Item Vendido]],Agregado[ID],Agregado[Revenda])</f>
        <v>7.8</v>
      </c>
      <c r="I485" s="3">
        <f>Vendas[[#This Row],[Valor Unitário]]*Vendas[[#This Row],[Qnt Vendida]]</f>
        <v>101.39999999999999</v>
      </c>
      <c r="J485" s="3">
        <f>Vendas[[#This Row],[Valor da Venda]]-(_xlfn.XLOOKUP(Vendas[[#This Row],[ID Item Vendido]],Agregado[ID],Agregado[Custo])*Vendas[[#This Row],[Qnt Vendida]])</f>
        <v>23.399999999999991</v>
      </c>
      <c r="K485" s="70">
        <f>Vendas[[#This Row],[Lucro da Venda]]/Vendas[[#This Row],[Valor da Venda]]</f>
        <v>0.2307692307692307</v>
      </c>
      <c r="L485" s="3">
        <f>_xlfn.IFS(Vendas[[#This Row],[Margem de Lucro (%)]]&lt;15%,Vendas[[#This Row],[Valor da Venda]]*3%,Vendas[[#This Row],[Margem de Lucro (%)]]&lt;=20%,Vendas[[#This Row],[Valor da Venda]]*4.5%,TRUE,Vendas[[#This Row],[Valor da Venda]]*6%)</f>
        <v>6.0839999999999996</v>
      </c>
      <c r="M485"/>
    </row>
    <row r="486" spans="1:13" x14ac:dyDescent="0.3">
      <c r="A486" s="7">
        <v>400251</v>
      </c>
      <c r="B486" t="str">
        <f>_xlfn.XLOOKUP(Vendas[[#This Row],[ID Vendedor]],Vendedores[ID],Vendedores[Nome])</f>
        <v>Diego</v>
      </c>
      <c r="C486" s="7" t="str">
        <f>_xlfn.XLOOKUP(Vendas[[#This Row],[ID Vendedor]],Vendedores[ID],Vendedores[Setor])</f>
        <v>AB</v>
      </c>
      <c r="D486" s="7" t="s">
        <v>39</v>
      </c>
      <c r="E486" t="str">
        <f>_xlfn.XLOOKUP(Vendas[[#This Row],[ID Item Vendido]],Agregado[ID],Agregado[Produto])</f>
        <v>Filme plástico industrial rolo 50m</v>
      </c>
      <c r="F486" s="39">
        <v>43894</v>
      </c>
      <c r="G486" s="7">
        <v>29</v>
      </c>
      <c r="H486" s="3">
        <f>_xlfn.XLOOKUP(Vendas[[#This Row],[ID Item Vendido]],Agregado[ID],Agregado[Revenda])</f>
        <v>37</v>
      </c>
      <c r="I486" s="3">
        <f>Vendas[[#This Row],[Valor Unitário]]*Vendas[[#This Row],[Qnt Vendida]]</f>
        <v>1073</v>
      </c>
      <c r="J486" s="3">
        <f>Vendas[[#This Row],[Valor da Venda]]-(_xlfn.XLOOKUP(Vendas[[#This Row],[ID Item Vendido]],Agregado[ID],Agregado[Custo])*Vendas[[#This Row],[Qnt Vendida]])</f>
        <v>261</v>
      </c>
      <c r="K486" s="70">
        <f>Vendas[[#This Row],[Lucro da Venda]]/Vendas[[#This Row],[Valor da Venda]]</f>
        <v>0.24324324324324326</v>
      </c>
      <c r="L486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86"/>
    </row>
    <row r="487" spans="1:13" x14ac:dyDescent="0.3">
      <c r="A487" s="7">
        <v>400249</v>
      </c>
      <c r="B487" t="str">
        <f>_xlfn.XLOOKUP(Vendas[[#This Row],[ID Vendedor]],Vendedores[ID],Vendedores[Nome])</f>
        <v>Bruno</v>
      </c>
      <c r="C487" s="7" t="str">
        <f>_xlfn.XLOOKUP(Vendas[[#This Row],[ID Vendedor]],Vendedores[ID],Vendedores[Setor])</f>
        <v>CM</v>
      </c>
      <c r="D487" s="7" t="s">
        <v>43</v>
      </c>
      <c r="E487" t="str">
        <f>_xlfn.XLOOKUP(Vendas[[#This Row],[ID Item Vendido]],Agregado[ID],Agregado[Produto])</f>
        <v>Madeira Bruta (Tora)</v>
      </c>
      <c r="F487" s="39">
        <v>43895</v>
      </c>
      <c r="G487" s="7">
        <v>11</v>
      </c>
      <c r="H487" s="3">
        <f>_xlfn.XLOOKUP(Vendas[[#This Row],[ID Item Vendido]],Agregado[ID],Agregado[Revenda])</f>
        <v>212</v>
      </c>
      <c r="I487" s="3">
        <f>Vendas[[#This Row],[Valor Unitário]]*Vendas[[#This Row],[Qnt Vendida]]</f>
        <v>2332</v>
      </c>
      <c r="J487" s="3">
        <f>Vendas[[#This Row],[Valor da Venda]]-(_xlfn.XLOOKUP(Vendas[[#This Row],[ID Item Vendido]],Agregado[ID],Agregado[Custo])*Vendas[[#This Row],[Qnt Vendida]])</f>
        <v>352</v>
      </c>
      <c r="K487" s="70">
        <f>Vendas[[#This Row],[Lucro da Venda]]/Vendas[[#This Row],[Valor da Venda]]</f>
        <v>0.15094339622641509</v>
      </c>
      <c r="L487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487"/>
    </row>
    <row r="488" spans="1:13" x14ac:dyDescent="0.3">
      <c r="A488" s="7">
        <v>400251</v>
      </c>
      <c r="B488" t="str">
        <f>_xlfn.XLOOKUP(Vendas[[#This Row],[ID Vendedor]],Vendedores[ID],Vendedores[Nome])</f>
        <v>Diego</v>
      </c>
      <c r="C488" s="7" t="str">
        <f>_xlfn.XLOOKUP(Vendas[[#This Row],[ID Vendedor]],Vendedores[ID],Vendedores[Setor])</f>
        <v>AB</v>
      </c>
      <c r="D488" s="7" t="s">
        <v>24</v>
      </c>
      <c r="E488" t="str">
        <f>_xlfn.XLOOKUP(Vendas[[#This Row],[ID Item Vendido]],Agregado[ID],Agregado[Produto])</f>
        <v>Resina plástica PET purificada saco de 25kg</v>
      </c>
      <c r="F488" s="39">
        <v>43896</v>
      </c>
      <c r="G488" s="7">
        <v>7</v>
      </c>
      <c r="H488" s="3">
        <f>_xlfn.XLOOKUP(Vendas[[#This Row],[ID Item Vendido]],Agregado[ID],Agregado[Revenda])</f>
        <v>119</v>
      </c>
      <c r="I488" s="3">
        <f>Vendas[[#This Row],[Valor Unitário]]*Vendas[[#This Row],[Qnt Vendida]]</f>
        <v>833</v>
      </c>
      <c r="J488" s="3">
        <f>Vendas[[#This Row],[Valor da Venda]]-(_xlfn.XLOOKUP(Vendas[[#This Row],[ID Item Vendido]],Agregado[ID],Agregado[Custo])*Vendas[[#This Row],[Qnt Vendida]])</f>
        <v>238</v>
      </c>
      <c r="K488" s="70">
        <f>Vendas[[#This Row],[Lucro da Venda]]/Vendas[[#This Row],[Valor da Venda]]</f>
        <v>0.2857142857142857</v>
      </c>
      <c r="L488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488"/>
    </row>
    <row r="489" spans="1:13" x14ac:dyDescent="0.3">
      <c r="A489" s="7">
        <v>400251</v>
      </c>
      <c r="B489" t="str">
        <f>_xlfn.XLOOKUP(Vendas[[#This Row],[ID Vendedor]],Vendedores[ID],Vendedores[Nome])</f>
        <v>Diego</v>
      </c>
      <c r="C489" s="7" t="str">
        <f>_xlfn.XLOOKUP(Vendas[[#This Row],[ID Vendedor]],Vendedores[ID],Vendedores[Setor])</f>
        <v>AB</v>
      </c>
      <c r="D489" s="7" t="s">
        <v>36</v>
      </c>
      <c r="E489" t="str">
        <f>_xlfn.XLOOKUP(Vendas[[#This Row],[ID Item Vendido]],Agregado[ID],Agregado[Produto])</f>
        <v>Borracha vulcanizada em manta</v>
      </c>
      <c r="F489" s="39">
        <v>43898</v>
      </c>
      <c r="G489" s="7">
        <v>23</v>
      </c>
      <c r="H489" s="3">
        <f>_xlfn.XLOOKUP(Vendas[[#This Row],[ID Item Vendido]],Agregado[ID],Agregado[Revenda])</f>
        <v>7.8</v>
      </c>
      <c r="I489" s="3">
        <f>Vendas[[#This Row],[Valor Unitário]]*Vendas[[#This Row],[Qnt Vendida]]</f>
        <v>179.4</v>
      </c>
      <c r="J489" s="3">
        <f>Vendas[[#This Row],[Valor da Venda]]-(_xlfn.XLOOKUP(Vendas[[#This Row],[ID Item Vendido]],Agregado[ID],Agregado[Custo])*Vendas[[#This Row],[Qnt Vendida]])</f>
        <v>41.400000000000006</v>
      </c>
      <c r="K489" s="70">
        <f>Vendas[[#This Row],[Lucro da Venda]]/Vendas[[#This Row],[Valor da Venda]]</f>
        <v>0.23076923076923078</v>
      </c>
      <c r="L489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489"/>
    </row>
    <row r="490" spans="1:13" x14ac:dyDescent="0.3">
      <c r="A490" s="7">
        <v>400241</v>
      </c>
      <c r="B490" t="str">
        <f>_xlfn.XLOOKUP(Vendas[[#This Row],[ID Vendedor]],Vendedores[ID],Vendedores[Nome])</f>
        <v>Rodrigo</v>
      </c>
      <c r="C490" s="7" t="str">
        <f>_xlfn.XLOOKUP(Vendas[[#This Row],[ID Vendedor]],Vendedores[ID],Vendedores[Setor])</f>
        <v>FM</v>
      </c>
      <c r="D490" s="7" t="s">
        <v>47</v>
      </c>
      <c r="E490" t="str">
        <f>_xlfn.XLOOKUP(Vendas[[#This Row],[ID Item Vendido]],Agregado[ID],Agregado[Produto])</f>
        <v>Fio de arame galvanizado rolo 50m</v>
      </c>
      <c r="F490" s="39">
        <v>43899</v>
      </c>
      <c r="G490" s="7">
        <v>32</v>
      </c>
      <c r="H490" s="3">
        <f>_xlfn.XLOOKUP(Vendas[[#This Row],[ID Item Vendido]],Agregado[ID],Agregado[Revenda])</f>
        <v>21.2</v>
      </c>
      <c r="I490" s="3">
        <f>Vendas[[#This Row],[Valor Unitário]]*Vendas[[#This Row],[Qnt Vendida]]</f>
        <v>678.4</v>
      </c>
      <c r="J490" s="3">
        <f>Vendas[[#This Row],[Valor da Venda]]-(_xlfn.XLOOKUP(Vendas[[#This Row],[ID Item Vendido]],Agregado[ID],Agregado[Custo])*Vendas[[#This Row],[Qnt Vendida]])</f>
        <v>102.39999999999998</v>
      </c>
      <c r="K490" s="70">
        <f>Vendas[[#This Row],[Lucro da Venda]]/Vendas[[#This Row],[Valor da Venda]]</f>
        <v>0.15094339622641506</v>
      </c>
      <c r="L490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490"/>
    </row>
    <row r="491" spans="1:13" x14ac:dyDescent="0.3">
      <c r="A491" s="7">
        <v>400251</v>
      </c>
      <c r="B491" t="str">
        <f>_xlfn.XLOOKUP(Vendas[[#This Row],[ID Vendedor]],Vendedores[ID],Vendedores[Nome])</f>
        <v>Diego</v>
      </c>
      <c r="C491" s="7" t="str">
        <f>_xlfn.XLOOKUP(Vendas[[#This Row],[ID Vendedor]],Vendedores[ID],Vendedores[Setor])</f>
        <v>AB</v>
      </c>
      <c r="D491" s="7" t="s">
        <v>36</v>
      </c>
      <c r="E491" t="str">
        <f>_xlfn.XLOOKUP(Vendas[[#This Row],[ID Item Vendido]],Agregado[ID],Agregado[Produto])</f>
        <v>Borracha vulcanizada em manta</v>
      </c>
      <c r="F491" s="39">
        <v>43900</v>
      </c>
      <c r="G491" s="7">
        <v>8</v>
      </c>
      <c r="H491" s="3">
        <f>_xlfn.XLOOKUP(Vendas[[#This Row],[ID Item Vendido]],Agregado[ID],Agregado[Revenda])</f>
        <v>7.8</v>
      </c>
      <c r="I491" s="3">
        <f>Vendas[[#This Row],[Valor Unitário]]*Vendas[[#This Row],[Qnt Vendida]]</f>
        <v>62.4</v>
      </c>
      <c r="J491" s="3">
        <f>Vendas[[#This Row],[Valor da Venda]]-(_xlfn.XLOOKUP(Vendas[[#This Row],[ID Item Vendido]],Agregado[ID],Agregado[Custo])*Vendas[[#This Row],[Qnt Vendida]])</f>
        <v>14.399999999999999</v>
      </c>
      <c r="K491" s="70">
        <f>Vendas[[#This Row],[Lucro da Venda]]/Vendas[[#This Row],[Valor da Venda]]</f>
        <v>0.23076923076923075</v>
      </c>
      <c r="L491" s="3">
        <f>_xlfn.IFS(Vendas[[#This Row],[Margem de Lucro (%)]]&lt;15%,Vendas[[#This Row],[Valor da Venda]]*3%,Vendas[[#This Row],[Margem de Lucro (%)]]&lt;=20%,Vendas[[#This Row],[Valor da Venda]]*4.5%,TRUE,Vendas[[#This Row],[Valor da Venda]]*6%)</f>
        <v>3.7439999999999998</v>
      </c>
      <c r="M491"/>
    </row>
    <row r="492" spans="1:13" x14ac:dyDescent="0.3">
      <c r="A492" s="7">
        <v>400249</v>
      </c>
      <c r="B492" t="str">
        <f>_xlfn.XLOOKUP(Vendas[[#This Row],[ID Vendedor]],Vendedores[ID],Vendedores[Nome])</f>
        <v>Bruno</v>
      </c>
      <c r="C492" s="7" t="str">
        <f>_xlfn.XLOOKUP(Vendas[[#This Row],[ID Vendedor]],Vendedores[ID],Vendedores[Setor])</f>
        <v>CM</v>
      </c>
      <c r="D492" s="7" t="s">
        <v>22</v>
      </c>
      <c r="E492" t="str">
        <f>_xlfn.XLOOKUP(Vendas[[#This Row],[ID Item Vendido]],Agregado[ID],Agregado[Produto])</f>
        <v>Painel MDP 2,75x1,83m</v>
      </c>
      <c r="F492" s="39">
        <v>43901</v>
      </c>
      <c r="G492" s="7">
        <v>15</v>
      </c>
      <c r="H492" s="3">
        <f>_xlfn.XLOOKUP(Vendas[[#This Row],[ID Item Vendido]],Agregado[ID],Agregado[Revenda])</f>
        <v>119</v>
      </c>
      <c r="I492" s="3">
        <f>Vendas[[#This Row],[Valor Unitário]]*Vendas[[#This Row],[Qnt Vendida]]</f>
        <v>1785</v>
      </c>
      <c r="J492" s="3">
        <f>Vendas[[#This Row],[Valor da Venda]]-(_xlfn.XLOOKUP(Vendas[[#This Row],[ID Item Vendido]],Agregado[ID],Agregado[Custo])*Vendas[[#This Row],[Qnt Vendida]])</f>
        <v>360</v>
      </c>
      <c r="K492" s="70">
        <f>Vendas[[#This Row],[Lucro da Venda]]/Vendas[[#This Row],[Valor da Venda]]</f>
        <v>0.20168067226890757</v>
      </c>
      <c r="L492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492"/>
    </row>
    <row r="493" spans="1:13" x14ac:dyDescent="0.3">
      <c r="A493" s="7">
        <v>400251</v>
      </c>
      <c r="B493" t="str">
        <f>_xlfn.XLOOKUP(Vendas[[#This Row],[ID Vendedor]],Vendedores[ID],Vendedores[Nome])</f>
        <v>Diego</v>
      </c>
      <c r="C493" s="7" t="str">
        <f>_xlfn.XLOOKUP(Vendas[[#This Row],[ID Vendedor]],Vendedores[ID],Vendedores[Setor])</f>
        <v>AB</v>
      </c>
      <c r="D493" s="7" t="s">
        <v>39</v>
      </c>
      <c r="E493" t="str">
        <f>_xlfn.XLOOKUP(Vendas[[#This Row],[ID Item Vendido]],Agregado[ID],Agregado[Produto])</f>
        <v>Filme plástico industrial rolo 50m</v>
      </c>
      <c r="F493" s="39">
        <v>43901</v>
      </c>
      <c r="G493" s="7">
        <v>12</v>
      </c>
      <c r="H493" s="3">
        <f>_xlfn.XLOOKUP(Vendas[[#This Row],[ID Item Vendido]],Agregado[ID],Agregado[Revenda])</f>
        <v>37</v>
      </c>
      <c r="I493" s="3">
        <f>Vendas[[#This Row],[Valor Unitário]]*Vendas[[#This Row],[Qnt Vendida]]</f>
        <v>444</v>
      </c>
      <c r="J493" s="3">
        <f>Vendas[[#This Row],[Valor da Venda]]-(_xlfn.XLOOKUP(Vendas[[#This Row],[ID Item Vendido]],Agregado[ID],Agregado[Custo])*Vendas[[#This Row],[Qnt Vendida]])</f>
        <v>108</v>
      </c>
      <c r="K493" s="70">
        <f>Vendas[[#This Row],[Lucro da Venda]]/Vendas[[#This Row],[Valor da Venda]]</f>
        <v>0.24324324324324326</v>
      </c>
      <c r="L493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493"/>
    </row>
    <row r="494" spans="1:13" x14ac:dyDescent="0.3">
      <c r="A494" s="7">
        <v>400243</v>
      </c>
      <c r="B494" t="str">
        <f>_xlfn.XLOOKUP(Vendas[[#This Row],[ID Vendedor]],Vendedores[ID],Vendedores[Nome])</f>
        <v>Marcelo</v>
      </c>
      <c r="C494" s="7" t="str">
        <f>_xlfn.XLOOKUP(Vendas[[#This Row],[ID Vendedor]],Vendedores[ID],Vendedores[Setor])</f>
        <v>FM</v>
      </c>
      <c r="D494" s="7" t="s">
        <v>47</v>
      </c>
      <c r="E494" t="str">
        <f>_xlfn.XLOOKUP(Vendas[[#This Row],[ID Item Vendido]],Agregado[ID],Agregado[Produto])</f>
        <v>Fio de arame galvanizado rolo 50m</v>
      </c>
      <c r="F494" s="39">
        <v>43903</v>
      </c>
      <c r="G494" s="7">
        <v>9</v>
      </c>
      <c r="H494" s="3">
        <f>_xlfn.XLOOKUP(Vendas[[#This Row],[ID Item Vendido]],Agregado[ID],Agregado[Revenda])</f>
        <v>21.2</v>
      </c>
      <c r="I494" s="3">
        <f>Vendas[[#This Row],[Valor Unitário]]*Vendas[[#This Row],[Qnt Vendida]]</f>
        <v>190.79999999999998</v>
      </c>
      <c r="J494" s="3">
        <f>Vendas[[#This Row],[Valor da Venda]]-(_xlfn.XLOOKUP(Vendas[[#This Row],[ID Item Vendido]],Agregado[ID],Agregado[Custo])*Vendas[[#This Row],[Qnt Vendida]])</f>
        <v>28.799999999999983</v>
      </c>
      <c r="K494" s="70">
        <f>Vendas[[#This Row],[Lucro da Venda]]/Vendas[[#This Row],[Valor da Venda]]</f>
        <v>0.15094339622641501</v>
      </c>
      <c r="L494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494"/>
    </row>
    <row r="495" spans="1:13" x14ac:dyDescent="0.3">
      <c r="A495" s="7">
        <v>400245</v>
      </c>
      <c r="B495" t="str">
        <f>_xlfn.XLOOKUP(Vendas[[#This Row],[ID Vendedor]],Vendedores[ID],Vendedores[Nome])</f>
        <v>Thiago</v>
      </c>
      <c r="C495" s="7" t="str">
        <f>_xlfn.XLOOKUP(Vendas[[#This Row],[ID Vendedor]],Vendedores[ID],Vendedores[Setor])</f>
        <v>AHD</v>
      </c>
      <c r="D495" s="7" t="s">
        <v>9</v>
      </c>
      <c r="E495" t="str">
        <f>_xlfn.XLOOKUP(Vendas[[#This Row],[ID Item Vendido]],Agregado[ID],Agregado[Produto])</f>
        <v>Barra de aço simples</v>
      </c>
      <c r="F495" s="39">
        <v>43904</v>
      </c>
      <c r="G495" s="7">
        <v>148</v>
      </c>
      <c r="H495" s="3">
        <f>_xlfn.XLOOKUP(Vendas[[#This Row],[ID Item Vendido]],Agregado[ID],Agregado[Revenda])</f>
        <v>6.7</v>
      </c>
      <c r="I495" s="3">
        <f>Vendas[[#This Row],[Valor Unitário]]*Vendas[[#This Row],[Qnt Vendida]]</f>
        <v>991.6</v>
      </c>
      <c r="J495" s="3">
        <f>Vendas[[#This Row],[Valor da Venda]]-(_xlfn.XLOOKUP(Vendas[[#This Row],[ID Item Vendido]],Agregado[ID],Agregado[Custo])*Vendas[[#This Row],[Qnt Vendida]])</f>
        <v>133.20000000000005</v>
      </c>
      <c r="K495" s="70">
        <f>Vendas[[#This Row],[Lucro da Venda]]/Vendas[[#This Row],[Valor da Venda]]</f>
        <v>0.13432835820895528</v>
      </c>
      <c r="L495" s="3">
        <f>_xlfn.IFS(Vendas[[#This Row],[Margem de Lucro (%)]]&lt;15%,Vendas[[#This Row],[Valor da Venda]]*3%,Vendas[[#This Row],[Margem de Lucro (%)]]&lt;=20%,Vendas[[#This Row],[Valor da Venda]]*4.5%,TRUE,Vendas[[#This Row],[Valor da Venda]]*6%)</f>
        <v>29.748000000000001</v>
      </c>
      <c r="M495"/>
    </row>
    <row r="496" spans="1:13" x14ac:dyDescent="0.3">
      <c r="A496" s="7">
        <v>400251</v>
      </c>
      <c r="B496" t="str">
        <f>_xlfn.XLOOKUP(Vendas[[#This Row],[ID Vendedor]],Vendedores[ID],Vendedores[Nome])</f>
        <v>Diego</v>
      </c>
      <c r="C496" s="7" t="str">
        <f>_xlfn.XLOOKUP(Vendas[[#This Row],[ID Vendedor]],Vendedores[ID],Vendedores[Setor])</f>
        <v>AB</v>
      </c>
      <c r="D496" s="7" t="s">
        <v>37</v>
      </c>
      <c r="E496" t="str">
        <f>_xlfn.XLOOKUP(Vendas[[#This Row],[ID Item Vendido]],Agregado[ID],Agregado[Produto])</f>
        <v>Composto de borracha para vedação rolo 10m</v>
      </c>
      <c r="F496" s="39">
        <v>43905</v>
      </c>
      <c r="G496" s="7">
        <v>6</v>
      </c>
      <c r="H496" s="3">
        <f>_xlfn.XLOOKUP(Vendas[[#This Row],[ID Item Vendido]],Agregado[ID],Agregado[Revenda])</f>
        <v>51.2</v>
      </c>
      <c r="I496" s="3">
        <f>Vendas[[#This Row],[Valor Unitário]]*Vendas[[#This Row],[Qnt Vendida]]</f>
        <v>307.20000000000005</v>
      </c>
      <c r="J496" s="3">
        <f>Vendas[[#This Row],[Valor da Venda]]-(_xlfn.XLOOKUP(Vendas[[#This Row],[ID Item Vendido]],Agregado[ID],Agregado[Custo])*Vendas[[#This Row],[Qnt Vendida]])</f>
        <v>67.200000000000045</v>
      </c>
      <c r="K496" s="70">
        <f>Vendas[[#This Row],[Lucro da Venda]]/Vendas[[#This Row],[Valor da Venda]]</f>
        <v>0.21875000000000011</v>
      </c>
      <c r="L496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496"/>
    </row>
    <row r="497" spans="1:13" x14ac:dyDescent="0.3">
      <c r="A497" s="7">
        <v>400249</v>
      </c>
      <c r="B497" t="str">
        <f>_xlfn.XLOOKUP(Vendas[[#This Row],[ID Vendedor]],Vendedores[ID],Vendedores[Nome])</f>
        <v>Bruno</v>
      </c>
      <c r="C497" s="7" t="str">
        <f>_xlfn.XLOOKUP(Vendas[[#This Row],[ID Vendedor]],Vendedores[ID],Vendedores[Setor])</f>
        <v>CM</v>
      </c>
      <c r="D497" s="7" t="s">
        <v>22</v>
      </c>
      <c r="E497" t="str">
        <f>_xlfn.XLOOKUP(Vendas[[#This Row],[ID Item Vendido]],Agregado[ID],Agregado[Produto])</f>
        <v>Painel MDP 2,75x1,83m</v>
      </c>
      <c r="F497" s="39">
        <v>43906</v>
      </c>
      <c r="G497" s="7">
        <v>8</v>
      </c>
      <c r="H497" s="3">
        <f>_xlfn.XLOOKUP(Vendas[[#This Row],[ID Item Vendido]],Agregado[ID],Agregado[Revenda])</f>
        <v>119</v>
      </c>
      <c r="I497" s="3">
        <f>Vendas[[#This Row],[Valor Unitário]]*Vendas[[#This Row],[Qnt Vendida]]</f>
        <v>952</v>
      </c>
      <c r="J497" s="3">
        <f>Vendas[[#This Row],[Valor da Venda]]-(_xlfn.XLOOKUP(Vendas[[#This Row],[ID Item Vendido]],Agregado[ID],Agregado[Custo])*Vendas[[#This Row],[Qnt Vendida]])</f>
        <v>192</v>
      </c>
      <c r="K497" s="70">
        <f>Vendas[[#This Row],[Lucro da Venda]]/Vendas[[#This Row],[Valor da Venda]]</f>
        <v>0.20168067226890757</v>
      </c>
      <c r="L497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497"/>
    </row>
    <row r="498" spans="1:13" x14ac:dyDescent="0.3">
      <c r="A498" s="7">
        <v>400249</v>
      </c>
      <c r="B498" t="str">
        <f>_xlfn.XLOOKUP(Vendas[[#This Row],[ID Vendedor]],Vendedores[ID],Vendedores[Nome])</f>
        <v>Bruno</v>
      </c>
      <c r="C498" s="7" t="str">
        <f>_xlfn.XLOOKUP(Vendas[[#This Row],[ID Vendedor]],Vendedores[ID],Vendedores[Setor])</f>
        <v>CM</v>
      </c>
      <c r="D498" s="7" t="s">
        <v>22</v>
      </c>
      <c r="E498" t="str">
        <f>_xlfn.XLOOKUP(Vendas[[#This Row],[ID Item Vendido]],Agregado[ID],Agregado[Produto])</f>
        <v>Painel MDP 2,75x1,83m</v>
      </c>
      <c r="F498" s="39">
        <v>43907</v>
      </c>
      <c r="G498" s="7">
        <v>8</v>
      </c>
      <c r="H498" s="3">
        <f>_xlfn.XLOOKUP(Vendas[[#This Row],[ID Item Vendido]],Agregado[ID],Agregado[Revenda])</f>
        <v>119</v>
      </c>
      <c r="I498" s="3">
        <f>Vendas[[#This Row],[Valor Unitário]]*Vendas[[#This Row],[Qnt Vendida]]</f>
        <v>952</v>
      </c>
      <c r="J498" s="3">
        <f>Vendas[[#This Row],[Valor da Venda]]-(_xlfn.XLOOKUP(Vendas[[#This Row],[ID Item Vendido]],Agregado[ID],Agregado[Custo])*Vendas[[#This Row],[Qnt Vendida]])</f>
        <v>192</v>
      </c>
      <c r="K498" s="70">
        <f>Vendas[[#This Row],[Lucro da Venda]]/Vendas[[#This Row],[Valor da Venda]]</f>
        <v>0.20168067226890757</v>
      </c>
      <c r="L498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498"/>
    </row>
    <row r="499" spans="1:13" x14ac:dyDescent="0.3">
      <c r="A499" s="7">
        <v>400241</v>
      </c>
      <c r="B499" t="str">
        <f>_xlfn.XLOOKUP(Vendas[[#This Row],[ID Vendedor]],Vendedores[ID],Vendedores[Nome])</f>
        <v>Rodrigo</v>
      </c>
      <c r="C499" s="7" t="str">
        <f>_xlfn.XLOOKUP(Vendas[[#This Row],[ID Vendedor]],Vendedores[ID],Vendedores[Setor])</f>
        <v>FM</v>
      </c>
      <c r="D499" s="7" t="s">
        <v>6</v>
      </c>
      <c r="E499" t="str">
        <f>_xlfn.XLOOKUP(Vendas[[#This Row],[ID Item Vendido]],Agregado[ID],Agregado[Produto])</f>
        <v>Parafuso comum 500un</v>
      </c>
      <c r="F499" s="39">
        <v>43907</v>
      </c>
      <c r="G499" s="7">
        <v>20</v>
      </c>
      <c r="H499" s="3">
        <f>_xlfn.XLOOKUP(Vendas[[#This Row],[ID Item Vendido]],Agregado[ID],Agregado[Revenda])</f>
        <v>24.6</v>
      </c>
      <c r="I499" s="3">
        <f>Vendas[[#This Row],[Valor Unitário]]*Vendas[[#This Row],[Qnt Vendida]]</f>
        <v>492</v>
      </c>
      <c r="J499" s="3">
        <f>Vendas[[#This Row],[Valor da Venda]]-(_xlfn.XLOOKUP(Vendas[[#This Row],[ID Item Vendido]],Agregado[ID],Agregado[Custo])*Vendas[[#This Row],[Qnt Vendida]])</f>
        <v>52</v>
      </c>
      <c r="K499" s="70">
        <f>Vendas[[#This Row],[Lucro da Venda]]/Vendas[[#This Row],[Valor da Venda]]</f>
        <v>0.10569105691056911</v>
      </c>
      <c r="L499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499"/>
    </row>
    <row r="500" spans="1:13" x14ac:dyDescent="0.3">
      <c r="A500" s="7">
        <v>400245</v>
      </c>
      <c r="B500" t="str">
        <f>_xlfn.XLOOKUP(Vendas[[#This Row],[ID Vendedor]],Vendedores[ID],Vendedores[Nome])</f>
        <v>Thiago</v>
      </c>
      <c r="C500" s="7" t="str">
        <f>_xlfn.XLOOKUP(Vendas[[#This Row],[ID Vendedor]],Vendedores[ID],Vendedores[Setor])</f>
        <v>AHD</v>
      </c>
      <c r="D500" s="7" t="s">
        <v>9</v>
      </c>
      <c r="E500" t="str">
        <f>_xlfn.XLOOKUP(Vendas[[#This Row],[ID Item Vendido]],Agregado[ID],Agregado[Produto])</f>
        <v>Barra de aço simples</v>
      </c>
      <c r="F500" s="39">
        <v>43907</v>
      </c>
      <c r="G500" s="7">
        <v>35</v>
      </c>
      <c r="H500" s="3">
        <f>_xlfn.XLOOKUP(Vendas[[#This Row],[ID Item Vendido]],Agregado[ID],Agregado[Revenda])</f>
        <v>6.7</v>
      </c>
      <c r="I500" s="3">
        <f>Vendas[[#This Row],[Valor Unitário]]*Vendas[[#This Row],[Qnt Vendida]]</f>
        <v>234.5</v>
      </c>
      <c r="J500" s="3">
        <f>Vendas[[#This Row],[Valor da Venda]]-(_xlfn.XLOOKUP(Vendas[[#This Row],[ID Item Vendido]],Agregado[ID],Agregado[Custo])*Vendas[[#This Row],[Qnt Vendida]])</f>
        <v>31.5</v>
      </c>
      <c r="K500" s="70">
        <f>Vendas[[#This Row],[Lucro da Venda]]/Vendas[[#This Row],[Valor da Venda]]</f>
        <v>0.13432835820895522</v>
      </c>
      <c r="L500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500"/>
    </row>
    <row r="501" spans="1:13" x14ac:dyDescent="0.3">
      <c r="A501" s="7">
        <v>400251</v>
      </c>
      <c r="B501" t="str">
        <f>_xlfn.XLOOKUP(Vendas[[#This Row],[ID Vendedor]],Vendedores[ID],Vendedores[Nome])</f>
        <v>Diego</v>
      </c>
      <c r="C501" s="7" t="str">
        <f>_xlfn.XLOOKUP(Vendas[[#This Row],[ID Vendedor]],Vendedores[ID],Vendedores[Setor])</f>
        <v>AB</v>
      </c>
      <c r="D501" s="7" t="s">
        <v>12</v>
      </c>
      <c r="E501" t="str">
        <f>_xlfn.XLOOKUP(Vendas[[#This Row],[ID Item Vendido]],Agregado[ID],Agregado[Produto])</f>
        <v>Grânulo de plástico reciclado refinado</v>
      </c>
      <c r="F501" s="39">
        <v>43907</v>
      </c>
      <c r="G501" s="7">
        <v>21</v>
      </c>
      <c r="H501" s="3">
        <f>_xlfn.XLOOKUP(Vendas[[#This Row],[ID Item Vendido]],Agregado[ID],Agregado[Revenda])</f>
        <v>4.7</v>
      </c>
      <c r="I501" s="3">
        <f>Vendas[[#This Row],[Valor Unitário]]*Vendas[[#This Row],[Qnt Vendida]]</f>
        <v>98.7</v>
      </c>
      <c r="J501" s="3">
        <f>Vendas[[#This Row],[Valor da Venda]]-(_xlfn.XLOOKUP(Vendas[[#This Row],[ID Item Vendido]],Agregado[ID],Agregado[Custo])*Vendas[[#This Row],[Qnt Vendida]])</f>
        <v>25.200000000000003</v>
      </c>
      <c r="K501" s="70">
        <f>Vendas[[#This Row],[Lucro da Venda]]/Vendas[[#This Row],[Valor da Venda]]</f>
        <v>0.25531914893617025</v>
      </c>
      <c r="L501" s="3">
        <f>_xlfn.IFS(Vendas[[#This Row],[Margem de Lucro (%)]]&lt;15%,Vendas[[#This Row],[Valor da Venda]]*3%,Vendas[[#This Row],[Margem de Lucro (%)]]&lt;=20%,Vendas[[#This Row],[Valor da Venda]]*4.5%,TRUE,Vendas[[#This Row],[Valor da Venda]]*6%)</f>
        <v>5.9219999999999997</v>
      </c>
      <c r="M501"/>
    </row>
    <row r="502" spans="1:13" x14ac:dyDescent="0.3">
      <c r="A502" s="7">
        <v>400255</v>
      </c>
      <c r="B502" t="str">
        <f>_xlfn.XLOOKUP(Vendas[[#This Row],[ID Vendedor]],Vendedores[ID],Vendedores[Nome])</f>
        <v>Carlos</v>
      </c>
      <c r="C502" s="7" t="str">
        <f>_xlfn.XLOOKUP(Vendas[[#This Row],[ID Vendedor]],Vendedores[ID],Vendedores[Setor])</f>
        <v>SC</v>
      </c>
      <c r="D502" s="7" t="s">
        <v>48</v>
      </c>
      <c r="E502" t="str">
        <f>_xlfn.XLOOKUP(Vendas[[#This Row],[ID Item Vendido]],Agregado[ID],Agregado[Produto])</f>
        <v>Tambor metálico 200L</v>
      </c>
      <c r="F502" s="39">
        <v>43909</v>
      </c>
      <c r="G502" s="7">
        <v>6</v>
      </c>
      <c r="H502" s="3">
        <f>_xlfn.XLOOKUP(Vendas[[#This Row],[ID Item Vendido]],Agregado[ID],Agregado[Revenda])</f>
        <v>144</v>
      </c>
      <c r="I502" s="3">
        <f>Vendas[[#This Row],[Valor Unitário]]*Vendas[[#This Row],[Qnt Vendida]]</f>
        <v>864</v>
      </c>
      <c r="J502" s="3">
        <f>Vendas[[#This Row],[Valor da Venda]]-(_xlfn.XLOOKUP(Vendas[[#This Row],[ID Item Vendido]],Agregado[ID],Agregado[Custo])*Vendas[[#This Row],[Qnt Vendida]])</f>
        <v>144</v>
      </c>
      <c r="K502" s="70">
        <f>Vendas[[#This Row],[Lucro da Venda]]/Vendas[[#This Row],[Valor da Venda]]</f>
        <v>0.16666666666666666</v>
      </c>
      <c r="L502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502"/>
    </row>
    <row r="503" spans="1:13" x14ac:dyDescent="0.3">
      <c r="A503" s="7">
        <v>400245</v>
      </c>
      <c r="B503" t="str">
        <f>_xlfn.XLOOKUP(Vendas[[#This Row],[ID Vendedor]],Vendedores[ID],Vendedores[Nome])</f>
        <v>Thiago</v>
      </c>
      <c r="C503" s="7" t="str">
        <f>_xlfn.XLOOKUP(Vendas[[#This Row],[ID Vendedor]],Vendedores[ID],Vendedores[Setor])</f>
        <v>AHD</v>
      </c>
      <c r="D503" s="7" t="s">
        <v>44</v>
      </c>
      <c r="E503" t="str">
        <f>_xlfn.XLOOKUP(Vendas[[#This Row],[ID Item Vendido]],Agregado[ID],Agregado[Produto])</f>
        <v>Liga metálica especial</v>
      </c>
      <c r="F503" s="39">
        <v>43910</v>
      </c>
      <c r="G503" s="7">
        <v>40</v>
      </c>
      <c r="H503" s="3">
        <f>_xlfn.XLOOKUP(Vendas[[#This Row],[ID Item Vendido]],Agregado[ID],Agregado[Revenda])</f>
        <v>32.5</v>
      </c>
      <c r="I503" s="3">
        <f>Vendas[[#This Row],[Valor Unitário]]*Vendas[[#This Row],[Qnt Vendida]]</f>
        <v>1300</v>
      </c>
      <c r="J503" s="3">
        <f>Vendas[[#This Row],[Valor da Venda]]-(_xlfn.XLOOKUP(Vendas[[#This Row],[ID Item Vendido]],Agregado[ID],Agregado[Custo])*Vendas[[#This Row],[Qnt Vendida]])</f>
        <v>300</v>
      </c>
      <c r="K503" s="70">
        <f>Vendas[[#This Row],[Lucro da Venda]]/Vendas[[#This Row],[Valor da Venda]]</f>
        <v>0.23076923076923078</v>
      </c>
      <c r="L503" s="3">
        <f>_xlfn.IFS(Vendas[[#This Row],[Margem de Lucro (%)]]&lt;15%,Vendas[[#This Row],[Valor da Venda]]*3%,Vendas[[#This Row],[Margem de Lucro (%)]]&lt;=20%,Vendas[[#This Row],[Valor da Venda]]*4.5%,TRUE,Vendas[[#This Row],[Valor da Venda]]*6%)</f>
        <v>78</v>
      </c>
      <c r="M503"/>
    </row>
    <row r="504" spans="1:13" x14ac:dyDescent="0.3">
      <c r="A504" s="7">
        <v>400247</v>
      </c>
      <c r="B504" t="str">
        <f>_xlfn.XLOOKUP(Vendas[[#This Row],[ID Vendedor]],Vendedores[ID],Vendedores[Nome])</f>
        <v>André</v>
      </c>
      <c r="C504" s="7" t="str">
        <f>_xlfn.XLOOKUP(Vendas[[#This Row],[ID Vendedor]],Vendedores[ID],Vendedores[Setor])</f>
        <v>CM</v>
      </c>
      <c r="D504" s="7" t="s">
        <v>45</v>
      </c>
      <c r="E504" t="str">
        <f>_xlfn.XLOOKUP(Vendas[[#This Row],[ID Item Vendido]],Agregado[ID],Agregado[Produto])</f>
        <v>Viga de madeira tratada 4m</v>
      </c>
      <c r="F504" s="39">
        <v>43912</v>
      </c>
      <c r="G504" s="7">
        <v>15</v>
      </c>
      <c r="H504" s="3">
        <f>_xlfn.XLOOKUP(Vendas[[#This Row],[ID Item Vendido]],Agregado[ID],Agregado[Revenda])</f>
        <v>66</v>
      </c>
      <c r="I504" s="3">
        <f>Vendas[[#This Row],[Valor Unitário]]*Vendas[[#This Row],[Qnt Vendida]]</f>
        <v>990</v>
      </c>
      <c r="J504" s="3">
        <f>Vendas[[#This Row],[Valor da Venda]]-(_xlfn.XLOOKUP(Vendas[[#This Row],[ID Item Vendido]],Agregado[ID],Agregado[Custo])*Vendas[[#This Row],[Qnt Vendida]])</f>
        <v>165</v>
      </c>
      <c r="K504" s="70">
        <f>Vendas[[#This Row],[Lucro da Venda]]/Vendas[[#This Row],[Valor da Venda]]</f>
        <v>0.16666666666666666</v>
      </c>
      <c r="L504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504"/>
    </row>
    <row r="505" spans="1:13" x14ac:dyDescent="0.3">
      <c r="A505" s="7">
        <v>400241</v>
      </c>
      <c r="B505" t="str">
        <f>_xlfn.XLOOKUP(Vendas[[#This Row],[ID Vendedor]],Vendedores[ID],Vendedores[Nome])</f>
        <v>Rodrigo</v>
      </c>
      <c r="C505" s="7" t="str">
        <f>_xlfn.XLOOKUP(Vendas[[#This Row],[ID Vendedor]],Vendedores[ID],Vendedores[Setor])</f>
        <v>FM</v>
      </c>
      <c r="D505" s="7" t="s">
        <v>20</v>
      </c>
      <c r="E505" t="str">
        <f>_xlfn.XLOOKUP(Vendas[[#This Row],[ID Item Vendido]],Agregado[ID],Agregado[Produto])</f>
        <v>Barra de aço simples</v>
      </c>
      <c r="F505" s="39">
        <v>43913</v>
      </c>
      <c r="G505" s="7">
        <v>194</v>
      </c>
      <c r="H505" s="3">
        <f>_xlfn.XLOOKUP(Vendas[[#This Row],[ID Item Vendido]],Agregado[ID],Agregado[Revenda])</f>
        <v>4.8</v>
      </c>
      <c r="I505" s="3">
        <f>Vendas[[#This Row],[Valor Unitário]]*Vendas[[#This Row],[Qnt Vendida]]</f>
        <v>931.19999999999993</v>
      </c>
      <c r="J505" s="3">
        <f>Vendas[[#This Row],[Valor da Venda]]-(_xlfn.XLOOKUP(Vendas[[#This Row],[ID Item Vendido]],Agregado[ID],Agregado[Custo])*Vendas[[#This Row],[Qnt Vendida]])</f>
        <v>116.39999999999986</v>
      </c>
      <c r="K505" s="70">
        <f>Vendas[[#This Row],[Lucro da Venda]]/Vendas[[#This Row],[Valor da Venda]]</f>
        <v>0.12499999999999986</v>
      </c>
      <c r="L505" s="3">
        <f>_xlfn.IFS(Vendas[[#This Row],[Margem de Lucro (%)]]&lt;15%,Vendas[[#This Row],[Valor da Venda]]*3%,Vendas[[#This Row],[Margem de Lucro (%)]]&lt;=20%,Vendas[[#This Row],[Valor da Venda]]*4.5%,TRUE,Vendas[[#This Row],[Valor da Venda]]*6%)</f>
        <v>27.935999999999996</v>
      </c>
      <c r="M505"/>
    </row>
    <row r="506" spans="1:13" x14ac:dyDescent="0.3">
      <c r="A506" s="7">
        <v>400251</v>
      </c>
      <c r="B506" t="str">
        <f>_xlfn.XLOOKUP(Vendas[[#This Row],[ID Vendedor]],Vendedores[ID],Vendedores[Nome])</f>
        <v>Diego</v>
      </c>
      <c r="C506" s="7" t="str">
        <f>_xlfn.XLOOKUP(Vendas[[#This Row],[ID Vendedor]],Vendedores[ID],Vendedores[Setor])</f>
        <v>AB</v>
      </c>
      <c r="D506" s="7" t="s">
        <v>36</v>
      </c>
      <c r="E506" t="str">
        <f>_xlfn.XLOOKUP(Vendas[[#This Row],[ID Item Vendido]],Agregado[ID],Agregado[Produto])</f>
        <v>Borracha vulcanizada em manta</v>
      </c>
      <c r="F506" s="39">
        <v>43915</v>
      </c>
      <c r="G506" s="7">
        <v>68</v>
      </c>
      <c r="H506" s="3">
        <f>_xlfn.XLOOKUP(Vendas[[#This Row],[ID Item Vendido]],Agregado[ID],Agregado[Revenda])</f>
        <v>7.8</v>
      </c>
      <c r="I506" s="3">
        <f>Vendas[[#This Row],[Valor Unitário]]*Vendas[[#This Row],[Qnt Vendida]]</f>
        <v>530.4</v>
      </c>
      <c r="J506" s="3">
        <f>Vendas[[#This Row],[Valor da Venda]]-(_xlfn.XLOOKUP(Vendas[[#This Row],[ID Item Vendido]],Agregado[ID],Agregado[Custo])*Vendas[[#This Row],[Qnt Vendida]])</f>
        <v>122.39999999999998</v>
      </c>
      <c r="K506" s="70">
        <f>Vendas[[#This Row],[Lucro da Venda]]/Vendas[[#This Row],[Valor da Venda]]</f>
        <v>0.23076923076923073</v>
      </c>
      <c r="L506" s="3">
        <f>_xlfn.IFS(Vendas[[#This Row],[Margem de Lucro (%)]]&lt;15%,Vendas[[#This Row],[Valor da Venda]]*3%,Vendas[[#This Row],[Margem de Lucro (%)]]&lt;=20%,Vendas[[#This Row],[Valor da Venda]]*4.5%,TRUE,Vendas[[#This Row],[Valor da Venda]]*6%)</f>
        <v>31.823999999999998</v>
      </c>
      <c r="M506"/>
    </row>
    <row r="507" spans="1:13" x14ac:dyDescent="0.3">
      <c r="A507" s="7">
        <v>400255</v>
      </c>
      <c r="B507" t="str">
        <f>_xlfn.XLOOKUP(Vendas[[#This Row],[ID Vendedor]],Vendedores[ID],Vendedores[Nome])</f>
        <v>Carlos</v>
      </c>
      <c r="C507" s="7" t="str">
        <f>_xlfn.XLOOKUP(Vendas[[#This Row],[ID Vendedor]],Vendedores[ID],Vendedores[Setor])</f>
        <v>SC</v>
      </c>
      <c r="D507" s="7" t="s">
        <v>41</v>
      </c>
      <c r="E507" t="str">
        <f>_xlfn.XLOOKUP(Vendas[[#This Row],[ID Item Vendido]],Agregado[ID],Agregado[Produto])</f>
        <v>Palete de madeira reforçado</v>
      </c>
      <c r="F507" s="39">
        <v>43915</v>
      </c>
      <c r="G507" s="7">
        <v>1</v>
      </c>
      <c r="H507" s="3">
        <f>_xlfn.XLOOKUP(Vendas[[#This Row],[ID Item Vendido]],Agregado[ID],Agregado[Revenda])</f>
        <v>131</v>
      </c>
      <c r="I507" s="3">
        <f>Vendas[[#This Row],[Valor Unitário]]*Vendas[[#This Row],[Qnt Vendida]]</f>
        <v>131</v>
      </c>
      <c r="J507" s="3">
        <f>Vendas[[#This Row],[Valor da Venda]]-(_xlfn.XLOOKUP(Vendas[[#This Row],[ID Item Vendido]],Agregado[ID],Agregado[Custo])*Vendas[[#This Row],[Qnt Vendida]])</f>
        <v>21</v>
      </c>
      <c r="K507" s="70">
        <f>Vendas[[#This Row],[Lucro da Venda]]/Vendas[[#This Row],[Valor da Venda]]</f>
        <v>0.16030534351145037</v>
      </c>
      <c r="L507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507"/>
    </row>
    <row r="508" spans="1:13" x14ac:dyDescent="0.3">
      <c r="A508" s="7">
        <v>400247</v>
      </c>
      <c r="B508" t="str">
        <f>_xlfn.XLOOKUP(Vendas[[#This Row],[ID Vendedor]],Vendedores[ID],Vendedores[Nome])</f>
        <v>André</v>
      </c>
      <c r="C508" s="7" t="str">
        <f>_xlfn.XLOOKUP(Vendas[[#This Row],[ID Vendedor]],Vendedores[ID],Vendedores[Setor])</f>
        <v>CM</v>
      </c>
      <c r="D508" s="7" t="s">
        <v>45</v>
      </c>
      <c r="E508" t="str">
        <f>_xlfn.XLOOKUP(Vendas[[#This Row],[ID Item Vendido]],Agregado[ID],Agregado[Produto])</f>
        <v>Viga de madeira tratada 4m</v>
      </c>
      <c r="F508" s="39">
        <v>43916</v>
      </c>
      <c r="G508" s="7">
        <v>18</v>
      </c>
      <c r="H508" s="3">
        <f>_xlfn.XLOOKUP(Vendas[[#This Row],[ID Item Vendido]],Agregado[ID],Agregado[Revenda])</f>
        <v>66</v>
      </c>
      <c r="I508" s="3">
        <f>Vendas[[#This Row],[Valor Unitário]]*Vendas[[#This Row],[Qnt Vendida]]</f>
        <v>1188</v>
      </c>
      <c r="J508" s="3">
        <f>Vendas[[#This Row],[Valor da Venda]]-(_xlfn.XLOOKUP(Vendas[[#This Row],[ID Item Vendido]],Agregado[ID],Agregado[Custo])*Vendas[[#This Row],[Qnt Vendida]])</f>
        <v>198</v>
      </c>
      <c r="K508" s="70">
        <f>Vendas[[#This Row],[Lucro da Venda]]/Vendas[[#This Row],[Valor da Venda]]</f>
        <v>0.16666666666666666</v>
      </c>
      <c r="L508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508"/>
    </row>
    <row r="509" spans="1:13" x14ac:dyDescent="0.3">
      <c r="A509" s="7">
        <v>400249</v>
      </c>
      <c r="B509" t="str">
        <f>_xlfn.XLOOKUP(Vendas[[#This Row],[ID Vendedor]],Vendedores[ID],Vendedores[Nome])</f>
        <v>Bruno</v>
      </c>
      <c r="C509" s="7" t="str">
        <f>_xlfn.XLOOKUP(Vendas[[#This Row],[ID Vendedor]],Vendedores[ID],Vendedores[Setor])</f>
        <v>CM</v>
      </c>
      <c r="D509" s="7" t="s">
        <v>22</v>
      </c>
      <c r="E509" t="str">
        <f>_xlfn.XLOOKUP(Vendas[[#This Row],[ID Item Vendido]],Agregado[ID],Agregado[Produto])</f>
        <v>Painel MDP 2,75x1,83m</v>
      </c>
      <c r="F509" s="39">
        <v>43916</v>
      </c>
      <c r="G509" s="7">
        <v>6</v>
      </c>
      <c r="H509" s="3">
        <f>_xlfn.XLOOKUP(Vendas[[#This Row],[ID Item Vendido]],Agregado[ID],Agregado[Revenda])</f>
        <v>119</v>
      </c>
      <c r="I509" s="3">
        <f>Vendas[[#This Row],[Valor Unitário]]*Vendas[[#This Row],[Qnt Vendida]]</f>
        <v>714</v>
      </c>
      <c r="J509" s="3">
        <f>Vendas[[#This Row],[Valor da Venda]]-(_xlfn.XLOOKUP(Vendas[[#This Row],[ID Item Vendido]],Agregado[ID],Agregado[Custo])*Vendas[[#This Row],[Qnt Vendida]])</f>
        <v>144</v>
      </c>
      <c r="K509" s="70">
        <f>Vendas[[#This Row],[Lucro da Venda]]/Vendas[[#This Row],[Valor da Venda]]</f>
        <v>0.20168067226890757</v>
      </c>
      <c r="L509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09"/>
    </row>
    <row r="510" spans="1:13" x14ac:dyDescent="0.3">
      <c r="A510" s="7">
        <v>400247</v>
      </c>
      <c r="B510" t="str">
        <f>_xlfn.XLOOKUP(Vendas[[#This Row],[ID Vendedor]],Vendedores[ID],Vendedores[Nome])</f>
        <v>André</v>
      </c>
      <c r="C510" s="7" t="str">
        <f>_xlfn.XLOOKUP(Vendas[[#This Row],[ID Vendedor]],Vendedores[ID],Vendedores[Setor])</f>
        <v>CM</v>
      </c>
      <c r="D510" s="7" t="s">
        <v>34</v>
      </c>
      <c r="E510" t="str">
        <f>_xlfn.XLOOKUP(Vendas[[#This Row],[ID Item Vendido]],Agregado[ID],Agregado[Produto])</f>
        <v>Restos de madeira p/ MDP/OSB saco de 20kg</v>
      </c>
      <c r="F510" s="39">
        <v>43917</v>
      </c>
      <c r="G510" s="7">
        <v>9</v>
      </c>
      <c r="H510" s="3">
        <f>_xlfn.XLOOKUP(Vendas[[#This Row],[ID Item Vendido]],Agregado[ID],Agregado[Revenda])</f>
        <v>13.8</v>
      </c>
      <c r="I510" s="3">
        <f>Vendas[[#This Row],[Valor Unitário]]*Vendas[[#This Row],[Qnt Vendida]]</f>
        <v>124.2</v>
      </c>
      <c r="J510" s="3">
        <f>Vendas[[#This Row],[Valor da Venda]]-(_xlfn.XLOOKUP(Vendas[[#This Row],[ID Item Vendido]],Agregado[ID],Agregado[Custo])*Vendas[[#This Row],[Qnt Vendida]])</f>
        <v>16.200000000000003</v>
      </c>
      <c r="K510" s="70">
        <f>Vendas[[#This Row],[Lucro da Venda]]/Vendas[[#This Row],[Valor da Venda]]</f>
        <v>0.13043478260869568</v>
      </c>
      <c r="L510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510"/>
    </row>
    <row r="511" spans="1:13" x14ac:dyDescent="0.3">
      <c r="A511" s="7">
        <v>400241</v>
      </c>
      <c r="B511" t="str">
        <f>_xlfn.XLOOKUP(Vendas[[#This Row],[ID Vendedor]],Vendedores[ID],Vendedores[Nome])</f>
        <v>Rodrigo</v>
      </c>
      <c r="C511" s="7" t="str">
        <f>_xlfn.XLOOKUP(Vendas[[#This Row],[ID Vendedor]],Vendedores[ID],Vendedores[Setor])</f>
        <v>FM</v>
      </c>
      <c r="D511" s="7" t="s">
        <v>31</v>
      </c>
      <c r="E511" t="str">
        <f>_xlfn.XLOOKUP(Vendas[[#This Row],[ID Item Vendido]],Agregado[ID],Agregado[Produto])</f>
        <v>Tela de metal soldada rolo 2x25m</v>
      </c>
      <c r="F511" s="39">
        <v>43919</v>
      </c>
      <c r="G511" s="7">
        <v>11</v>
      </c>
      <c r="H511" s="3">
        <f>_xlfn.XLOOKUP(Vendas[[#This Row],[ID Item Vendido]],Agregado[ID],Agregado[Revenda])</f>
        <v>43.7</v>
      </c>
      <c r="I511" s="3">
        <f>Vendas[[#This Row],[Valor Unitário]]*Vendas[[#This Row],[Qnt Vendida]]</f>
        <v>480.70000000000005</v>
      </c>
      <c r="J511" s="3">
        <f>Vendas[[#This Row],[Valor da Venda]]-(_xlfn.XLOOKUP(Vendas[[#This Row],[ID Item Vendido]],Agregado[ID],Agregado[Custo])*Vendas[[#This Row],[Qnt Vendida]])</f>
        <v>62.700000000000045</v>
      </c>
      <c r="K511" s="70">
        <f>Vendas[[#This Row],[Lucro da Venda]]/Vendas[[#This Row],[Valor da Venda]]</f>
        <v>0.13043478260869573</v>
      </c>
      <c r="L511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511"/>
    </row>
    <row r="512" spans="1:13" x14ac:dyDescent="0.3">
      <c r="A512" s="7">
        <v>400245</v>
      </c>
      <c r="B512" t="str">
        <f>_xlfn.XLOOKUP(Vendas[[#This Row],[ID Vendedor]],Vendedores[ID],Vendedores[Nome])</f>
        <v>Thiago</v>
      </c>
      <c r="C512" s="7" t="str">
        <f>_xlfn.XLOOKUP(Vendas[[#This Row],[ID Vendedor]],Vendedores[ID],Vendedores[Setor])</f>
        <v>AHD</v>
      </c>
      <c r="D512" s="7" t="s">
        <v>9</v>
      </c>
      <c r="E512" t="str">
        <f>_xlfn.XLOOKUP(Vendas[[#This Row],[ID Item Vendido]],Agregado[ID],Agregado[Produto])</f>
        <v>Barra de aço simples</v>
      </c>
      <c r="F512" s="39">
        <v>43922</v>
      </c>
      <c r="G512" s="7">
        <v>88</v>
      </c>
      <c r="H512" s="3">
        <f>_xlfn.XLOOKUP(Vendas[[#This Row],[ID Item Vendido]],Agregado[ID],Agregado[Revenda])</f>
        <v>6.7</v>
      </c>
      <c r="I512" s="3">
        <f>Vendas[[#This Row],[Valor Unitário]]*Vendas[[#This Row],[Qnt Vendida]]</f>
        <v>589.6</v>
      </c>
      <c r="J512" s="3">
        <f>Vendas[[#This Row],[Valor da Venda]]-(_xlfn.XLOOKUP(Vendas[[#This Row],[ID Item Vendido]],Agregado[ID],Agregado[Custo])*Vendas[[#This Row],[Qnt Vendida]])</f>
        <v>79.200000000000045</v>
      </c>
      <c r="K512" s="70">
        <f>Vendas[[#This Row],[Lucro da Venda]]/Vendas[[#This Row],[Valor da Venda]]</f>
        <v>0.13432835820895531</v>
      </c>
      <c r="L512" s="3">
        <f>_xlfn.IFS(Vendas[[#This Row],[Margem de Lucro (%)]]&lt;15%,Vendas[[#This Row],[Valor da Venda]]*3%,Vendas[[#This Row],[Margem de Lucro (%)]]&lt;=20%,Vendas[[#This Row],[Valor da Venda]]*4.5%,TRUE,Vendas[[#This Row],[Valor da Venda]]*6%)</f>
        <v>17.687999999999999</v>
      </c>
      <c r="M512"/>
    </row>
    <row r="513" spans="1:13" x14ac:dyDescent="0.3">
      <c r="A513" s="7">
        <v>400245</v>
      </c>
      <c r="B513" t="str">
        <f>_xlfn.XLOOKUP(Vendas[[#This Row],[ID Vendedor]],Vendedores[ID],Vendedores[Nome])</f>
        <v>Thiago</v>
      </c>
      <c r="C513" s="7" t="str">
        <f>_xlfn.XLOOKUP(Vendas[[#This Row],[ID Vendedor]],Vendedores[ID],Vendedores[Setor])</f>
        <v>AHD</v>
      </c>
      <c r="D513" s="7" t="s">
        <v>28</v>
      </c>
      <c r="E513" t="str">
        <f>_xlfn.XLOOKUP(Vendas[[#This Row],[ID Item Vendido]],Agregado[ID],Agregado[Produto])</f>
        <v>Peça usinada CNC</v>
      </c>
      <c r="F513" s="39">
        <v>43923</v>
      </c>
      <c r="G513" s="7">
        <v>3</v>
      </c>
      <c r="H513" s="3">
        <f>_xlfn.XLOOKUP(Vendas[[#This Row],[ID Item Vendido]],Agregado[ID],Agregado[Revenda])</f>
        <v>192</v>
      </c>
      <c r="I513" s="3">
        <f>Vendas[[#This Row],[Valor Unitário]]*Vendas[[#This Row],[Qnt Vendida]]</f>
        <v>576</v>
      </c>
      <c r="J513" s="3">
        <f>Vendas[[#This Row],[Valor da Venda]]-(_xlfn.XLOOKUP(Vendas[[#This Row],[ID Item Vendido]],Agregado[ID],Agregado[Custo])*Vendas[[#This Row],[Qnt Vendida]])</f>
        <v>126</v>
      </c>
      <c r="K513" s="70">
        <f>Vendas[[#This Row],[Lucro da Venda]]/Vendas[[#This Row],[Valor da Venda]]</f>
        <v>0.21875</v>
      </c>
      <c r="L513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513"/>
    </row>
    <row r="514" spans="1:13" x14ac:dyDescent="0.3">
      <c r="A514" s="7">
        <v>400243</v>
      </c>
      <c r="B514" t="str">
        <f>_xlfn.XLOOKUP(Vendas[[#This Row],[ID Vendedor]],Vendedores[ID],Vendedores[Nome])</f>
        <v>Marcelo</v>
      </c>
      <c r="C514" s="7" t="str">
        <f>_xlfn.XLOOKUP(Vendas[[#This Row],[ID Vendedor]],Vendedores[ID],Vendedores[Setor])</f>
        <v>FM</v>
      </c>
      <c r="D514" s="7" t="s">
        <v>6</v>
      </c>
      <c r="E514" t="str">
        <f>_xlfn.XLOOKUP(Vendas[[#This Row],[ID Item Vendido]],Agregado[ID],Agregado[Produto])</f>
        <v>Parafuso comum 500un</v>
      </c>
      <c r="F514" s="39">
        <v>43923</v>
      </c>
      <c r="G514" s="7">
        <v>20</v>
      </c>
      <c r="H514" s="3">
        <f>_xlfn.XLOOKUP(Vendas[[#This Row],[ID Item Vendido]],Agregado[ID],Agregado[Revenda])</f>
        <v>24.6</v>
      </c>
      <c r="I514" s="3">
        <f>Vendas[[#This Row],[Valor Unitário]]*Vendas[[#This Row],[Qnt Vendida]]</f>
        <v>492</v>
      </c>
      <c r="J514" s="3">
        <f>Vendas[[#This Row],[Valor da Venda]]-(_xlfn.XLOOKUP(Vendas[[#This Row],[ID Item Vendido]],Agregado[ID],Agregado[Custo])*Vendas[[#This Row],[Qnt Vendida]])</f>
        <v>52</v>
      </c>
      <c r="K514" s="70">
        <f>Vendas[[#This Row],[Lucro da Venda]]/Vendas[[#This Row],[Valor da Venda]]</f>
        <v>0.10569105691056911</v>
      </c>
      <c r="L514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514"/>
    </row>
    <row r="515" spans="1:13" x14ac:dyDescent="0.3">
      <c r="A515" s="7">
        <v>400243</v>
      </c>
      <c r="B515" t="str">
        <f>_xlfn.XLOOKUP(Vendas[[#This Row],[ID Vendedor]],Vendedores[ID],Vendedores[Nome])</f>
        <v>Marcelo</v>
      </c>
      <c r="C515" s="7" t="str">
        <f>_xlfn.XLOOKUP(Vendas[[#This Row],[ID Vendedor]],Vendedores[ID],Vendedores[Setor])</f>
        <v>FM</v>
      </c>
      <c r="D515" s="7" t="s">
        <v>27</v>
      </c>
      <c r="E515" t="str">
        <f>_xlfn.XLOOKUP(Vendas[[#This Row],[ID Item Vendido]],Agregado[ID],Agregado[Produto])</f>
        <v>Chapa de metal lisa 1x2m</v>
      </c>
      <c r="F515" s="39">
        <v>43923</v>
      </c>
      <c r="G515" s="7">
        <v>9</v>
      </c>
      <c r="H515" s="3">
        <f>_xlfn.XLOOKUP(Vendas[[#This Row],[ID Item Vendido]],Agregado[ID],Agregado[Revenda])</f>
        <v>52</v>
      </c>
      <c r="I515" s="3">
        <f>Vendas[[#This Row],[Valor Unitário]]*Vendas[[#This Row],[Qnt Vendida]]</f>
        <v>468</v>
      </c>
      <c r="J515" s="3">
        <f>Vendas[[#This Row],[Valor da Venda]]-(_xlfn.XLOOKUP(Vendas[[#This Row],[ID Item Vendido]],Agregado[ID],Agregado[Custo])*Vendas[[#This Row],[Qnt Vendida]])</f>
        <v>63</v>
      </c>
      <c r="K515" s="70">
        <f>Vendas[[#This Row],[Lucro da Venda]]/Vendas[[#This Row],[Valor da Venda]]</f>
        <v>0.13461538461538461</v>
      </c>
      <c r="L515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15"/>
    </row>
    <row r="516" spans="1:13" x14ac:dyDescent="0.3">
      <c r="A516" s="7">
        <v>400245</v>
      </c>
      <c r="B516" t="str">
        <f>_xlfn.XLOOKUP(Vendas[[#This Row],[ID Vendedor]],Vendedores[ID],Vendedores[Nome])</f>
        <v>Thiago</v>
      </c>
      <c r="C516" s="7" t="str">
        <f>_xlfn.XLOOKUP(Vendas[[#This Row],[ID Vendedor]],Vendedores[ID],Vendedores[Setor])</f>
        <v>AHD</v>
      </c>
      <c r="D516" s="7" t="s">
        <v>30</v>
      </c>
      <c r="E516" t="str">
        <f>_xlfn.XLOOKUP(Vendas[[#This Row],[ID Item Vendido]],Agregado[ID],Agregado[Produto])</f>
        <v>Estrutura metálica soldada</v>
      </c>
      <c r="F516" s="39">
        <v>43927</v>
      </c>
      <c r="G516" s="7">
        <v>6</v>
      </c>
      <c r="H516" s="3">
        <f>_xlfn.XLOOKUP(Vendas[[#This Row],[ID Item Vendido]],Agregado[ID],Agregado[Revenda])</f>
        <v>400</v>
      </c>
      <c r="I516" s="3">
        <f>Vendas[[#This Row],[Valor Unitário]]*Vendas[[#This Row],[Qnt Vendida]]</f>
        <v>2400</v>
      </c>
      <c r="J516" s="3">
        <f>Vendas[[#This Row],[Valor da Venda]]-(_xlfn.XLOOKUP(Vendas[[#This Row],[ID Item Vendido]],Agregado[ID],Agregado[Custo])*Vendas[[#This Row],[Qnt Vendida]])</f>
        <v>480</v>
      </c>
      <c r="K516" s="70">
        <f>Vendas[[#This Row],[Lucro da Venda]]/Vendas[[#This Row],[Valor da Venda]]</f>
        <v>0.2</v>
      </c>
      <c r="L516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516"/>
    </row>
    <row r="517" spans="1:13" x14ac:dyDescent="0.3">
      <c r="A517" s="7">
        <v>400243</v>
      </c>
      <c r="B517" t="str">
        <f>_xlfn.XLOOKUP(Vendas[[#This Row],[ID Vendedor]],Vendedores[ID],Vendedores[Nome])</f>
        <v>Marcelo</v>
      </c>
      <c r="C517" s="7" t="str">
        <f>_xlfn.XLOOKUP(Vendas[[#This Row],[ID Vendedor]],Vendedores[ID],Vendedores[Setor])</f>
        <v>FM</v>
      </c>
      <c r="D517" s="7" t="s">
        <v>47</v>
      </c>
      <c r="E517" t="str">
        <f>_xlfn.XLOOKUP(Vendas[[#This Row],[ID Item Vendido]],Agregado[ID],Agregado[Produto])</f>
        <v>Fio de arame galvanizado rolo 50m</v>
      </c>
      <c r="F517" s="39">
        <v>43928</v>
      </c>
      <c r="G517" s="7">
        <v>40</v>
      </c>
      <c r="H517" s="3">
        <f>_xlfn.XLOOKUP(Vendas[[#This Row],[ID Item Vendido]],Agregado[ID],Agregado[Revenda])</f>
        <v>21.2</v>
      </c>
      <c r="I517" s="3">
        <f>Vendas[[#This Row],[Valor Unitário]]*Vendas[[#This Row],[Qnt Vendida]]</f>
        <v>848</v>
      </c>
      <c r="J517" s="3">
        <f>Vendas[[#This Row],[Valor da Venda]]-(_xlfn.XLOOKUP(Vendas[[#This Row],[ID Item Vendido]],Agregado[ID],Agregado[Custo])*Vendas[[#This Row],[Qnt Vendida]])</f>
        <v>128</v>
      </c>
      <c r="K517" s="70">
        <f>Vendas[[#This Row],[Lucro da Venda]]/Vendas[[#This Row],[Valor da Venda]]</f>
        <v>0.15094339622641509</v>
      </c>
      <c r="L517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17"/>
    </row>
    <row r="518" spans="1:13" x14ac:dyDescent="0.3">
      <c r="A518" s="7">
        <v>400249</v>
      </c>
      <c r="B518" t="str">
        <f>_xlfn.XLOOKUP(Vendas[[#This Row],[ID Vendedor]],Vendedores[ID],Vendedores[Nome])</f>
        <v>Bruno</v>
      </c>
      <c r="C518" s="7" t="str">
        <f>_xlfn.XLOOKUP(Vendas[[#This Row],[ID Vendedor]],Vendedores[ID],Vendedores[Setor])</f>
        <v>CM</v>
      </c>
      <c r="D518" s="7" t="s">
        <v>22</v>
      </c>
      <c r="E518" t="str">
        <f>_xlfn.XLOOKUP(Vendas[[#This Row],[ID Item Vendido]],Agregado[ID],Agregado[Produto])</f>
        <v>Painel MDP 2,75x1,83m</v>
      </c>
      <c r="F518" s="39">
        <v>43930</v>
      </c>
      <c r="G518" s="7">
        <v>20</v>
      </c>
      <c r="H518" s="3">
        <f>_xlfn.XLOOKUP(Vendas[[#This Row],[ID Item Vendido]],Agregado[ID],Agregado[Revenda])</f>
        <v>119</v>
      </c>
      <c r="I518" s="3">
        <f>Vendas[[#This Row],[Valor Unitário]]*Vendas[[#This Row],[Qnt Vendida]]</f>
        <v>2380</v>
      </c>
      <c r="J518" s="3">
        <f>Vendas[[#This Row],[Valor da Venda]]-(_xlfn.XLOOKUP(Vendas[[#This Row],[ID Item Vendido]],Agregado[ID],Agregado[Custo])*Vendas[[#This Row],[Qnt Vendida]])</f>
        <v>480</v>
      </c>
      <c r="K518" s="70">
        <f>Vendas[[#This Row],[Lucro da Venda]]/Vendas[[#This Row],[Valor da Venda]]</f>
        <v>0.20168067226890757</v>
      </c>
      <c r="L518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18"/>
    </row>
    <row r="519" spans="1:13" x14ac:dyDescent="0.3">
      <c r="A519" s="7">
        <v>400247</v>
      </c>
      <c r="B519" t="str">
        <f>_xlfn.XLOOKUP(Vendas[[#This Row],[ID Vendedor]],Vendedores[ID],Vendedores[Nome])</f>
        <v>André</v>
      </c>
      <c r="C519" s="7" t="str">
        <f>_xlfn.XLOOKUP(Vendas[[#This Row],[ID Vendedor]],Vendedores[ID],Vendedores[Setor])</f>
        <v>CM</v>
      </c>
      <c r="D519" s="7" t="s">
        <v>32</v>
      </c>
      <c r="E519" t="str">
        <f>_xlfn.XLOOKUP(Vendas[[#This Row],[ID Item Vendido]],Agregado[ID],Agregado[Produto])</f>
        <v>Tábua tratada e cortada 3m</v>
      </c>
      <c r="F519" s="39">
        <v>43931</v>
      </c>
      <c r="G519" s="7">
        <v>20</v>
      </c>
      <c r="H519" s="3">
        <f>_xlfn.XLOOKUP(Vendas[[#This Row],[ID Item Vendido]],Agregado[ID],Agregado[Revenda])</f>
        <v>39</v>
      </c>
      <c r="I519" s="3">
        <f>Vendas[[#This Row],[Valor Unitário]]*Vendas[[#This Row],[Qnt Vendida]]</f>
        <v>780</v>
      </c>
      <c r="J519" s="3">
        <f>Vendas[[#This Row],[Valor da Venda]]-(_xlfn.XLOOKUP(Vendas[[#This Row],[ID Item Vendido]],Agregado[ID],Agregado[Custo])*Vendas[[#This Row],[Qnt Vendida]])</f>
        <v>140</v>
      </c>
      <c r="K519" s="70">
        <f>Vendas[[#This Row],[Lucro da Venda]]/Vendas[[#This Row],[Valor da Venda]]</f>
        <v>0.17948717948717949</v>
      </c>
      <c r="L519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19"/>
    </row>
    <row r="520" spans="1:13" x14ac:dyDescent="0.3">
      <c r="A520" s="7">
        <v>400251</v>
      </c>
      <c r="B520" t="str">
        <f>_xlfn.XLOOKUP(Vendas[[#This Row],[ID Vendedor]],Vendedores[ID],Vendedores[Nome])</f>
        <v>Diego</v>
      </c>
      <c r="C520" s="7" t="str">
        <f>_xlfn.XLOOKUP(Vendas[[#This Row],[ID Vendedor]],Vendedores[ID],Vendedores[Setor])</f>
        <v>AB</v>
      </c>
      <c r="D520" s="7" t="s">
        <v>24</v>
      </c>
      <c r="E520" t="str">
        <f>_xlfn.XLOOKUP(Vendas[[#This Row],[ID Item Vendido]],Agregado[ID],Agregado[Produto])</f>
        <v>Resina plástica PET purificada saco de 25kg</v>
      </c>
      <c r="F520" s="39">
        <v>43934</v>
      </c>
      <c r="G520" s="7">
        <v>4</v>
      </c>
      <c r="H520" s="3">
        <f>_xlfn.XLOOKUP(Vendas[[#This Row],[ID Item Vendido]],Agregado[ID],Agregado[Revenda])</f>
        <v>119</v>
      </c>
      <c r="I520" s="3">
        <f>Vendas[[#This Row],[Valor Unitário]]*Vendas[[#This Row],[Qnt Vendida]]</f>
        <v>476</v>
      </c>
      <c r="J520" s="3">
        <f>Vendas[[#This Row],[Valor da Venda]]-(_xlfn.XLOOKUP(Vendas[[#This Row],[ID Item Vendido]],Agregado[ID],Agregado[Custo])*Vendas[[#This Row],[Qnt Vendida]])</f>
        <v>136</v>
      </c>
      <c r="K520" s="70">
        <f>Vendas[[#This Row],[Lucro da Venda]]/Vendas[[#This Row],[Valor da Venda]]</f>
        <v>0.2857142857142857</v>
      </c>
      <c r="L520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520"/>
    </row>
    <row r="521" spans="1:13" x14ac:dyDescent="0.3">
      <c r="A521" s="7">
        <v>400249</v>
      </c>
      <c r="B521" t="str">
        <f>_xlfn.XLOOKUP(Vendas[[#This Row],[ID Vendedor]],Vendedores[ID],Vendedores[Nome])</f>
        <v>Bruno</v>
      </c>
      <c r="C521" s="7" t="str">
        <f>_xlfn.XLOOKUP(Vendas[[#This Row],[ID Vendedor]],Vendedores[ID],Vendedores[Setor])</f>
        <v>CM</v>
      </c>
      <c r="D521" s="7" t="s">
        <v>34</v>
      </c>
      <c r="E521" t="str">
        <f>_xlfn.XLOOKUP(Vendas[[#This Row],[ID Item Vendido]],Agregado[ID],Agregado[Produto])</f>
        <v>Restos de madeira p/ MDP/OSB saco de 20kg</v>
      </c>
      <c r="F521" s="39">
        <v>43935</v>
      </c>
      <c r="G521" s="7">
        <v>26</v>
      </c>
      <c r="H521" s="3">
        <f>_xlfn.XLOOKUP(Vendas[[#This Row],[ID Item Vendido]],Agregado[ID],Agregado[Revenda])</f>
        <v>13.8</v>
      </c>
      <c r="I521" s="3">
        <f>Vendas[[#This Row],[Valor Unitário]]*Vendas[[#This Row],[Qnt Vendida]]</f>
        <v>358.8</v>
      </c>
      <c r="J521" s="3">
        <f>Vendas[[#This Row],[Valor da Venda]]-(_xlfn.XLOOKUP(Vendas[[#This Row],[ID Item Vendido]],Agregado[ID],Agregado[Custo])*Vendas[[#This Row],[Qnt Vendida]])</f>
        <v>46.800000000000011</v>
      </c>
      <c r="K521" s="70">
        <f>Vendas[[#This Row],[Lucro da Venda]]/Vendas[[#This Row],[Valor da Venda]]</f>
        <v>0.13043478260869568</v>
      </c>
      <c r="L521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521"/>
    </row>
    <row r="522" spans="1:13" x14ac:dyDescent="0.3">
      <c r="A522" s="7">
        <v>400241</v>
      </c>
      <c r="B522" t="str">
        <f>_xlfn.XLOOKUP(Vendas[[#This Row],[ID Vendedor]],Vendedores[ID],Vendedores[Nome])</f>
        <v>Rodrigo</v>
      </c>
      <c r="C522" s="7" t="str">
        <f>_xlfn.XLOOKUP(Vendas[[#This Row],[ID Vendedor]],Vendedores[ID],Vendedores[Setor])</f>
        <v>FM</v>
      </c>
      <c r="D522" s="7" t="s">
        <v>47</v>
      </c>
      <c r="E522" t="str">
        <f>_xlfn.XLOOKUP(Vendas[[#This Row],[ID Item Vendido]],Agregado[ID],Agregado[Produto])</f>
        <v>Fio de arame galvanizado rolo 50m</v>
      </c>
      <c r="F522" s="39">
        <v>43936</v>
      </c>
      <c r="G522" s="7">
        <v>28</v>
      </c>
      <c r="H522" s="3">
        <f>_xlfn.XLOOKUP(Vendas[[#This Row],[ID Item Vendido]],Agregado[ID],Agregado[Revenda])</f>
        <v>21.2</v>
      </c>
      <c r="I522" s="3">
        <f>Vendas[[#This Row],[Valor Unitário]]*Vendas[[#This Row],[Qnt Vendida]]</f>
        <v>593.6</v>
      </c>
      <c r="J522" s="3">
        <f>Vendas[[#This Row],[Valor da Venda]]-(_xlfn.XLOOKUP(Vendas[[#This Row],[ID Item Vendido]],Agregado[ID],Agregado[Custo])*Vendas[[#This Row],[Qnt Vendida]])</f>
        <v>89.600000000000023</v>
      </c>
      <c r="K522" s="70">
        <f>Vendas[[#This Row],[Lucro da Venda]]/Vendas[[#This Row],[Valor da Venda]]</f>
        <v>0.15094339622641512</v>
      </c>
      <c r="L522" s="3">
        <f>_xlfn.IFS(Vendas[[#This Row],[Margem de Lucro (%)]]&lt;15%,Vendas[[#This Row],[Valor da Venda]]*3%,Vendas[[#This Row],[Margem de Lucro (%)]]&lt;=20%,Vendas[[#This Row],[Valor da Venda]]*4.5%,TRUE,Vendas[[#This Row],[Valor da Venda]]*6%)</f>
        <v>26.712</v>
      </c>
      <c r="M522"/>
    </row>
    <row r="523" spans="1:13" x14ac:dyDescent="0.3">
      <c r="A523" s="7">
        <v>400243</v>
      </c>
      <c r="B523" t="str">
        <f>_xlfn.XLOOKUP(Vendas[[#This Row],[ID Vendedor]],Vendedores[ID],Vendedores[Nome])</f>
        <v>Marcelo</v>
      </c>
      <c r="C523" s="7" t="str">
        <f>_xlfn.XLOOKUP(Vendas[[#This Row],[ID Vendedor]],Vendedores[ID],Vendedores[Setor])</f>
        <v>FM</v>
      </c>
      <c r="D523" s="7" t="s">
        <v>6</v>
      </c>
      <c r="E523" t="str">
        <f>_xlfn.XLOOKUP(Vendas[[#This Row],[ID Item Vendido]],Agregado[ID],Agregado[Produto])</f>
        <v>Parafuso comum 500un</v>
      </c>
      <c r="F523" s="39">
        <v>43936</v>
      </c>
      <c r="G523" s="7">
        <v>2</v>
      </c>
      <c r="H523" s="3">
        <f>_xlfn.XLOOKUP(Vendas[[#This Row],[ID Item Vendido]],Agregado[ID],Agregado[Revenda])</f>
        <v>24.6</v>
      </c>
      <c r="I523" s="3">
        <f>Vendas[[#This Row],[Valor Unitário]]*Vendas[[#This Row],[Qnt Vendida]]</f>
        <v>49.2</v>
      </c>
      <c r="J523" s="3">
        <f>Vendas[[#This Row],[Valor da Venda]]-(_xlfn.XLOOKUP(Vendas[[#This Row],[ID Item Vendido]],Agregado[ID],Agregado[Custo])*Vendas[[#This Row],[Qnt Vendida]])</f>
        <v>5.2000000000000028</v>
      </c>
      <c r="K523" s="70">
        <f>Vendas[[#This Row],[Lucro da Venda]]/Vendas[[#This Row],[Valor da Venda]]</f>
        <v>0.10569105691056915</v>
      </c>
      <c r="L523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523"/>
    </row>
    <row r="524" spans="1:13" x14ac:dyDescent="0.3">
      <c r="A524" s="7">
        <v>400243</v>
      </c>
      <c r="B524" t="str">
        <f>_xlfn.XLOOKUP(Vendas[[#This Row],[ID Vendedor]],Vendedores[ID],Vendedores[Nome])</f>
        <v>Marcelo</v>
      </c>
      <c r="C524" s="7" t="str">
        <f>_xlfn.XLOOKUP(Vendas[[#This Row],[ID Vendedor]],Vendedores[ID],Vendedores[Setor])</f>
        <v>FM</v>
      </c>
      <c r="D524" s="7" t="s">
        <v>20</v>
      </c>
      <c r="E524" t="str">
        <f>_xlfn.XLOOKUP(Vendas[[#This Row],[ID Item Vendido]],Agregado[ID],Agregado[Produto])</f>
        <v>Barra de aço simples</v>
      </c>
      <c r="F524" s="39">
        <v>43940</v>
      </c>
      <c r="G524" s="7">
        <v>87</v>
      </c>
      <c r="H524" s="3">
        <f>_xlfn.XLOOKUP(Vendas[[#This Row],[ID Item Vendido]],Agregado[ID],Agregado[Revenda])</f>
        <v>4.8</v>
      </c>
      <c r="I524" s="3">
        <f>Vendas[[#This Row],[Valor Unitário]]*Vendas[[#This Row],[Qnt Vendida]]</f>
        <v>417.59999999999997</v>
      </c>
      <c r="J524" s="3">
        <f>Vendas[[#This Row],[Valor da Venda]]-(_xlfn.XLOOKUP(Vendas[[#This Row],[ID Item Vendido]],Agregado[ID],Agregado[Custo])*Vendas[[#This Row],[Qnt Vendida]])</f>
        <v>52.199999999999932</v>
      </c>
      <c r="K524" s="70">
        <f>Vendas[[#This Row],[Lucro da Venda]]/Vendas[[#This Row],[Valor da Venda]]</f>
        <v>0.12499999999999985</v>
      </c>
      <c r="L524" s="3">
        <f>_xlfn.IFS(Vendas[[#This Row],[Margem de Lucro (%)]]&lt;15%,Vendas[[#This Row],[Valor da Venda]]*3%,Vendas[[#This Row],[Margem de Lucro (%)]]&lt;=20%,Vendas[[#This Row],[Valor da Venda]]*4.5%,TRUE,Vendas[[#This Row],[Valor da Venda]]*6%)</f>
        <v>12.527999999999999</v>
      </c>
      <c r="M524"/>
    </row>
    <row r="525" spans="1:13" x14ac:dyDescent="0.3">
      <c r="A525" s="7">
        <v>400247</v>
      </c>
      <c r="B525" t="str">
        <f>_xlfn.XLOOKUP(Vendas[[#This Row],[ID Vendedor]],Vendedores[ID],Vendedores[Nome])</f>
        <v>André</v>
      </c>
      <c r="C525" s="7" t="str">
        <f>_xlfn.XLOOKUP(Vendas[[#This Row],[ID Vendedor]],Vendedores[ID],Vendedores[Setor])</f>
        <v>CM</v>
      </c>
      <c r="D525" s="7" t="s">
        <v>34</v>
      </c>
      <c r="E525" t="str">
        <f>_xlfn.XLOOKUP(Vendas[[#This Row],[ID Item Vendido]],Agregado[ID],Agregado[Produto])</f>
        <v>Restos de madeira p/ MDP/OSB saco de 20kg</v>
      </c>
      <c r="F525" s="39">
        <v>43940</v>
      </c>
      <c r="G525" s="7">
        <v>2</v>
      </c>
      <c r="H525" s="3">
        <f>_xlfn.XLOOKUP(Vendas[[#This Row],[ID Item Vendido]],Agregado[ID],Agregado[Revenda])</f>
        <v>13.8</v>
      </c>
      <c r="I525" s="3">
        <f>Vendas[[#This Row],[Valor Unitário]]*Vendas[[#This Row],[Qnt Vendida]]</f>
        <v>27.6</v>
      </c>
      <c r="J525" s="3">
        <f>Vendas[[#This Row],[Valor da Venda]]-(_xlfn.XLOOKUP(Vendas[[#This Row],[ID Item Vendido]],Agregado[ID],Agregado[Custo])*Vendas[[#This Row],[Qnt Vendida]])</f>
        <v>3.6000000000000014</v>
      </c>
      <c r="K525" s="70">
        <f>Vendas[[#This Row],[Lucro da Venda]]/Vendas[[#This Row],[Valor da Venda]]</f>
        <v>0.1304347826086957</v>
      </c>
      <c r="L525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525"/>
    </row>
    <row r="526" spans="1:13" x14ac:dyDescent="0.3">
      <c r="A526" s="7">
        <v>400247</v>
      </c>
      <c r="B526" t="str">
        <f>_xlfn.XLOOKUP(Vendas[[#This Row],[ID Vendedor]],Vendedores[ID],Vendedores[Nome])</f>
        <v>André</v>
      </c>
      <c r="C526" s="7" t="str">
        <f>_xlfn.XLOOKUP(Vendas[[#This Row],[ID Vendedor]],Vendedores[ID],Vendedores[Setor])</f>
        <v>CM</v>
      </c>
      <c r="D526" s="7" t="s">
        <v>43</v>
      </c>
      <c r="E526" t="str">
        <f>_xlfn.XLOOKUP(Vendas[[#This Row],[ID Item Vendido]],Agregado[ID],Agregado[Produto])</f>
        <v>Madeira Bruta (Tora)</v>
      </c>
      <c r="F526" s="39">
        <v>43941</v>
      </c>
      <c r="G526" s="7">
        <v>11</v>
      </c>
      <c r="H526" s="3">
        <f>_xlfn.XLOOKUP(Vendas[[#This Row],[ID Item Vendido]],Agregado[ID],Agregado[Revenda])</f>
        <v>212</v>
      </c>
      <c r="I526" s="3">
        <f>Vendas[[#This Row],[Valor Unitário]]*Vendas[[#This Row],[Qnt Vendida]]</f>
        <v>2332</v>
      </c>
      <c r="J526" s="3">
        <f>Vendas[[#This Row],[Valor da Venda]]-(_xlfn.XLOOKUP(Vendas[[#This Row],[ID Item Vendido]],Agregado[ID],Agregado[Custo])*Vendas[[#This Row],[Qnt Vendida]])</f>
        <v>352</v>
      </c>
      <c r="K526" s="70">
        <f>Vendas[[#This Row],[Lucro da Venda]]/Vendas[[#This Row],[Valor da Venda]]</f>
        <v>0.15094339622641509</v>
      </c>
      <c r="L526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526"/>
    </row>
    <row r="527" spans="1:13" x14ac:dyDescent="0.3">
      <c r="A527" s="7">
        <v>400255</v>
      </c>
      <c r="B527" t="str">
        <f>_xlfn.XLOOKUP(Vendas[[#This Row],[ID Vendedor]],Vendedores[ID],Vendedores[Nome])</f>
        <v>Carlos</v>
      </c>
      <c r="C527" s="7" t="str">
        <f>_xlfn.XLOOKUP(Vendas[[#This Row],[ID Vendedor]],Vendedores[ID],Vendedores[Setor])</f>
        <v>SC</v>
      </c>
      <c r="D527" s="7" t="s">
        <v>42</v>
      </c>
      <c r="E527" t="str">
        <f>_xlfn.XLOOKUP(Vendas[[#This Row],[ID Item Vendido]],Agregado[ID],Agregado[Produto])</f>
        <v>Container de ferro industrial</v>
      </c>
      <c r="F527" s="39">
        <v>43942</v>
      </c>
      <c r="G527" s="7">
        <v>5</v>
      </c>
      <c r="H527" s="3">
        <f>_xlfn.XLOOKUP(Vendas[[#This Row],[ID Item Vendido]],Agregado[ID],Agregado[Revenda])</f>
        <v>830</v>
      </c>
      <c r="I527" s="3">
        <f>Vendas[[#This Row],[Valor Unitário]]*Vendas[[#This Row],[Qnt Vendida]]</f>
        <v>4150</v>
      </c>
      <c r="J527" s="3">
        <f>Vendas[[#This Row],[Valor da Venda]]-(_xlfn.XLOOKUP(Vendas[[#This Row],[ID Item Vendido]],Agregado[ID],Agregado[Custo])*Vendas[[#This Row],[Qnt Vendida]])</f>
        <v>750</v>
      </c>
      <c r="K527" s="70">
        <f>Vendas[[#This Row],[Lucro da Venda]]/Vendas[[#This Row],[Valor da Venda]]</f>
        <v>0.18072289156626506</v>
      </c>
      <c r="L527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27"/>
    </row>
    <row r="528" spans="1:13" x14ac:dyDescent="0.3">
      <c r="A528" s="7">
        <v>400249</v>
      </c>
      <c r="B528" t="str">
        <f>_xlfn.XLOOKUP(Vendas[[#This Row],[ID Vendedor]],Vendedores[ID],Vendedores[Nome])</f>
        <v>Bruno</v>
      </c>
      <c r="C528" s="7" t="str">
        <f>_xlfn.XLOOKUP(Vendas[[#This Row],[ID Vendedor]],Vendedores[ID],Vendedores[Setor])</f>
        <v>CM</v>
      </c>
      <c r="D528" s="7" t="s">
        <v>32</v>
      </c>
      <c r="E528" t="str">
        <f>_xlfn.XLOOKUP(Vendas[[#This Row],[ID Item Vendido]],Agregado[ID],Agregado[Produto])</f>
        <v>Tábua tratada e cortada 3m</v>
      </c>
      <c r="F528" s="39">
        <v>43943</v>
      </c>
      <c r="G528" s="7">
        <v>28</v>
      </c>
      <c r="H528" s="3">
        <f>_xlfn.XLOOKUP(Vendas[[#This Row],[ID Item Vendido]],Agregado[ID],Agregado[Revenda])</f>
        <v>39</v>
      </c>
      <c r="I528" s="3">
        <f>Vendas[[#This Row],[Valor Unitário]]*Vendas[[#This Row],[Qnt Vendida]]</f>
        <v>1092</v>
      </c>
      <c r="J528" s="3">
        <f>Vendas[[#This Row],[Valor da Venda]]-(_xlfn.XLOOKUP(Vendas[[#This Row],[ID Item Vendido]],Agregado[ID],Agregado[Custo])*Vendas[[#This Row],[Qnt Vendida]])</f>
        <v>196</v>
      </c>
      <c r="K528" s="70">
        <f>Vendas[[#This Row],[Lucro da Venda]]/Vendas[[#This Row],[Valor da Venda]]</f>
        <v>0.17948717948717949</v>
      </c>
      <c r="L528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528"/>
    </row>
    <row r="529" spans="1:13" x14ac:dyDescent="0.3">
      <c r="A529" s="7">
        <v>400255</v>
      </c>
      <c r="B529" t="str">
        <f>_xlfn.XLOOKUP(Vendas[[#This Row],[ID Vendedor]],Vendedores[ID],Vendedores[Nome])</f>
        <v>Carlos</v>
      </c>
      <c r="C529" s="7" t="str">
        <f>_xlfn.XLOOKUP(Vendas[[#This Row],[ID Vendedor]],Vendedores[ID],Vendedores[Setor])</f>
        <v>SC</v>
      </c>
      <c r="D529" s="7" t="s">
        <v>48</v>
      </c>
      <c r="E529" t="str">
        <f>_xlfn.XLOOKUP(Vendas[[#This Row],[ID Item Vendido]],Agregado[ID],Agregado[Produto])</f>
        <v>Tambor metálico 200L</v>
      </c>
      <c r="F529" s="39">
        <v>43944</v>
      </c>
      <c r="G529" s="7">
        <v>18</v>
      </c>
      <c r="H529" s="3">
        <f>_xlfn.XLOOKUP(Vendas[[#This Row],[ID Item Vendido]],Agregado[ID],Agregado[Revenda])</f>
        <v>144</v>
      </c>
      <c r="I529" s="3">
        <f>Vendas[[#This Row],[Valor Unitário]]*Vendas[[#This Row],[Qnt Vendida]]</f>
        <v>2592</v>
      </c>
      <c r="J529" s="3">
        <f>Vendas[[#This Row],[Valor da Venda]]-(_xlfn.XLOOKUP(Vendas[[#This Row],[ID Item Vendido]],Agregado[ID],Agregado[Custo])*Vendas[[#This Row],[Qnt Vendida]])</f>
        <v>432</v>
      </c>
      <c r="K529" s="70">
        <f>Vendas[[#This Row],[Lucro da Venda]]/Vendas[[#This Row],[Valor da Venda]]</f>
        <v>0.16666666666666666</v>
      </c>
      <c r="L529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29"/>
    </row>
    <row r="530" spans="1:13" x14ac:dyDescent="0.3">
      <c r="A530" s="7">
        <v>400243</v>
      </c>
      <c r="B530" t="str">
        <f>_xlfn.XLOOKUP(Vendas[[#This Row],[ID Vendedor]],Vendedores[ID],Vendedores[Nome])</f>
        <v>Marcelo</v>
      </c>
      <c r="C530" s="7" t="str">
        <f>_xlfn.XLOOKUP(Vendas[[#This Row],[ID Vendedor]],Vendedores[ID],Vendedores[Setor])</f>
        <v>FM</v>
      </c>
      <c r="D530" s="7" t="s">
        <v>6</v>
      </c>
      <c r="E530" t="str">
        <f>_xlfn.XLOOKUP(Vendas[[#This Row],[ID Item Vendido]],Agregado[ID],Agregado[Produto])</f>
        <v>Parafuso comum 500un</v>
      </c>
      <c r="F530" s="39">
        <v>43944</v>
      </c>
      <c r="G530" s="7">
        <v>17</v>
      </c>
      <c r="H530" s="3">
        <f>_xlfn.XLOOKUP(Vendas[[#This Row],[ID Item Vendido]],Agregado[ID],Agregado[Revenda])</f>
        <v>24.6</v>
      </c>
      <c r="I530" s="3">
        <f>Vendas[[#This Row],[Valor Unitário]]*Vendas[[#This Row],[Qnt Vendida]]</f>
        <v>418.20000000000005</v>
      </c>
      <c r="J530" s="3">
        <f>Vendas[[#This Row],[Valor da Venda]]-(_xlfn.XLOOKUP(Vendas[[#This Row],[ID Item Vendido]],Agregado[ID],Agregado[Custo])*Vendas[[#This Row],[Qnt Vendida]])</f>
        <v>44.200000000000045</v>
      </c>
      <c r="K530" s="70">
        <f>Vendas[[#This Row],[Lucro da Venda]]/Vendas[[#This Row],[Valor da Venda]]</f>
        <v>0.10569105691056921</v>
      </c>
      <c r="L530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530"/>
    </row>
    <row r="531" spans="1:13" x14ac:dyDescent="0.3">
      <c r="A531" s="7">
        <v>400243</v>
      </c>
      <c r="B531" t="str">
        <f>_xlfn.XLOOKUP(Vendas[[#This Row],[ID Vendedor]],Vendedores[ID],Vendedores[Nome])</f>
        <v>Marcelo</v>
      </c>
      <c r="C531" s="7" t="str">
        <f>_xlfn.XLOOKUP(Vendas[[#This Row],[ID Vendedor]],Vendedores[ID],Vendedores[Setor])</f>
        <v>FM</v>
      </c>
      <c r="D531" s="7" t="s">
        <v>47</v>
      </c>
      <c r="E531" t="str">
        <f>_xlfn.XLOOKUP(Vendas[[#This Row],[ID Item Vendido]],Agregado[ID],Agregado[Produto])</f>
        <v>Fio de arame galvanizado rolo 50m</v>
      </c>
      <c r="F531" s="39">
        <v>43948</v>
      </c>
      <c r="G531" s="7">
        <v>11</v>
      </c>
      <c r="H531" s="3">
        <f>_xlfn.XLOOKUP(Vendas[[#This Row],[ID Item Vendido]],Agregado[ID],Agregado[Revenda])</f>
        <v>21.2</v>
      </c>
      <c r="I531" s="3">
        <f>Vendas[[#This Row],[Valor Unitário]]*Vendas[[#This Row],[Qnt Vendida]]</f>
        <v>233.2</v>
      </c>
      <c r="J531" s="3">
        <f>Vendas[[#This Row],[Valor da Venda]]-(_xlfn.XLOOKUP(Vendas[[#This Row],[ID Item Vendido]],Agregado[ID],Agregado[Custo])*Vendas[[#This Row],[Qnt Vendida]])</f>
        <v>35.199999999999989</v>
      </c>
      <c r="K531" s="70">
        <f>Vendas[[#This Row],[Lucro da Venda]]/Vendas[[#This Row],[Valor da Venda]]</f>
        <v>0.15094339622641506</v>
      </c>
      <c r="L531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531"/>
    </row>
    <row r="532" spans="1:13" x14ac:dyDescent="0.3">
      <c r="A532" s="7">
        <v>400245</v>
      </c>
      <c r="B532" t="str">
        <f>_xlfn.XLOOKUP(Vendas[[#This Row],[ID Vendedor]],Vendedores[ID],Vendedores[Nome])</f>
        <v>Thiago</v>
      </c>
      <c r="C532" s="7" t="str">
        <f>_xlfn.XLOOKUP(Vendas[[#This Row],[ID Vendedor]],Vendedores[ID],Vendedores[Setor])</f>
        <v>AHD</v>
      </c>
      <c r="D532" s="7" t="s">
        <v>44</v>
      </c>
      <c r="E532" t="str">
        <f>_xlfn.XLOOKUP(Vendas[[#This Row],[ID Item Vendido]],Agregado[ID],Agregado[Produto])</f>
        <v>Liga metálica especial</v>
      </c>
      <c r="F532" s="39">
        <v>43949</v>
      </c>
      <c r="G532" s="7">
        <v>48</v>
      </c>
      <c r="H532" s="3">
        <f>_xlfn.XLOOKUP(Vendas[[#This Row],[ID Item Vendido]],Agregado[ID],Agregado[Revenda])</f>
        <v>32.5</v>
      </c>
      <c r="I532" s="3">
        <f>Vendas[[#This Row],[Valor Unitário]]*Vendas[[#This Row],[Qnt Vendida]]</f>
        <v>1560</v>
      </c>
      <c r="J532" s="3">
        <f>Vendas[[#This Row],[Valor da Venda]]-(_xlfn.XLOOKUP(Vendas[[#This Row],[ID Item Vendido]],Agregado[ID],Agregado[Custo])*Vendas[[#This Row],[Qnt Vendida]])</f>
        <v>360</v>
      </c>
      <c r="K532" s="70">
        <f>Vendas[[#This Row],[Lucro da Venda]]/Vendas[[#This Row],[Valor da Venda]]</f>
        <v>0.23076923076923078</v>
      </c>
      <c r="L532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532"/>
    </row>
    <row r="533" spans="1:13" x14ac:dyDescent="0.3">
      <c r="A533" s="7">
        <v>400243</v>
      </c>
      <c r="B533" t="str">
        <f>_xlfn.XLOOKUP(Vendas[[#This Row],[ID Vendedor]],Vendedores[ID],Vendedores[Nome])</f>
        <v>Marcelo</v>
      </c>
      <c r="C533" s="7" t="str">
        <f>_xlfn.XLOOKUP(Vendas[[#This Row],[ID Vendedor]],Vendedores[ID],Vendedores[Setor])</f>
        <v>FM</v>
      </c>
      <c r="D533" s="7" t="s">
        <v>27</v>
      </c>
      <c r="E533" t="str">
        <f>_xlfn.XLOOKUP(Vendas[[#This Row],[ID Item Vendido]],Agregado[ID],Agregado[Produto])</f>
        <v>Chapa de metal lisa 1x2m</v>
      </c>
      <c r="F533" s="39">
        <v>43949</v>
      </c>
      <c r="G533" s="7">
        <v>12</v>
      </c>
      <c r="H533" s="3">
        <f>_xlfn.XLOOKUP(Vendas[[#This Row],[ID Item Vendido]],Agregado[ID],Agregado[Revenda])</f>
        <v>52</v>
      </c>
      <c r="I533" s="3">
        <f>Vendas[[#This Row],[Valor Unitário]]*Vendas[[#This Row],[Qnt Vendida]]</f>
        <v>624</v>
      </c>
      <c r="J533" s="3">
        <f>Vendas[[#This Row],[Valor da Venda]]-(_xlfn.XLOOKUP(Vendas[[#This Row],[ID Item Vendido]],Agregado[ID],Agregado[Custo])*Vendas[[#This Row],[Qnt Vendida]])</f>
        <v>84</v>
      </c>
      <c r="K533" s="70">
        <f>Vendas[[#This Row],[Lucro da Venda]]/Vendas[[#This Row],[Valor da Venda]]</f>
        <v>0.13461538461538461</v>
      </c>
      <c r="L533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533"/>
    </row>
    <row r="534" spans="1:13" x14ac:dyDescent="0.3">
      <c r="A534" s="7">
        <v>400255</v>
      </c>
      <c r="B534" t="str">
        <f>_xlfn.XLOOKUP(Vendas[[#This Row],[ID Vendedor]],Vendedores[ID],Vendedores[Nome])</f>
        <v>Carlos</v>
      </c>
      <c r="C534" s="7" t="str">
        <f>_xlfn.XLOOKUP(Vendas[[#This Row],[ID Vendedor]],Vendedores[ID],Vendedores[Setor])</f>
        <v>SC</v>
      </c>
      <c r="D534" s="7" t="s">
        <v>48</v>
      </c>
      <c r="E534" t="str">
        <f>_xlfn.XLOOKUP(Vendas[[#This Row],[ID Item Vendido]],Agregado[ID],Agregado[Produto])</f>
        <v>Tambor metálico 200L</v>
      </c>
      <c r="F534" s="39">
        <v>43950</v>
      </c>
      <c r="G534" s="7">
        <v>18</v>
      </c>
      <c r="H534" s="3">
        <f>_xlfn.XLOOKUP(Vendas[[#This Row],[ID Item Vendido]],Agregado[ID],Agregado[Revenda])</f>
        <v>144</v>
      </c>
      <c r="I534" s="3">
        <f>Vendas[[#This Row],[Valor Unitário]]*Vendas[[#This Row],[Qnt Vendida]]</f>
        <v>2592</v>
      </c>
      <c r="J534" s="3">
        <f>Vendas[[#This Row],[Valor da Venda]]-(_xlfn.XLOOKUP(Vendas[[#This Row],[ID Item Vendido]],Agregado[ID],Agregado[Custo])*Vendas[[#This Row],[Qnt Vendida]])</f>
        <v>432</v>
      </c>
      <c r="K534" s="70">
        <f>Vendas[[#This Row],[Lucro da Venda]]/Vendas[[#This Row],[Valor da Venda]]</f>
        <v>0.16666666666666666</v>
      </c>
      <c r="L534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34"/>
    </row>
    <row r="535" spans="1:13" x14ac:dyDescent="0.3">
      <c r="A535" s="7">
        <v>400251</v>
      </c>
      <c r="B535" t="str">
        <f>_xlfn.XLOOKUP(Vendas[[#This Row],[ID Vendedor]],Vendedores[ID],Vendedores[Nome])</f>
        <v>Diego</v>
      </c>
      <c r="C535" s="7" t="str">
        <f>_xlfn.XLOOKUP(Vendas[[#This Row],[ID Vendedor]],Vendedores[ID],Vendedores[Setor])</f>
        <v>AB</v>
      </c>
      <c r="D535" s="7" t="s">
        <v>12</v>
      </c>
      <c r="E535" t="str">
        <f>_xlfn.XLOOKUP(Vendas[[#This Row],[ID Item Vendido]],Agregado[ID],Agregado[Produto])</f>
        <v>Grânulo de plástico reciclado refinado</v>
      </c>
      <c r="F535" s="39">
        <v>43950</v>
      </c>
      <c r="G535" s="7">
        <v>94</v>
      </c>
      <c r="H535" s="3">
        <f>_xlfn.XLOOKUP(Vendas[[#This Row],[ID Item Vendido]],Agregado[ID],Agregado[Revenda])</f>
        <v>4.7</v>
      </c>
      <c r="I535" s="3">
        <f>Vendas[[#This Row],[Valor Unitário]]*Vendas[[#This Row],[Qnt Vendida]]</f>
        <v>441.8</v>
      </c>
      <c r="J535" s="3">
        <f>Vendas[[#This Row],[Valor da Venda]]-(_xlfn.XLOOKUP(Vendas[[#This Row],[ID Item Vendido]],Agregado[ID],Agregado[Custo])*Vendas[[#This Row],[Qnt Vendida]])</f>
        <v>112.80000000000001</v>
      </c>
      <c r="K535" s="70">
        <f>Vendas[[#This Row],[Lucro da Venda]]/Vendas[[#This Row],[Valor da Venda]]</f>
        <v>0.25531914893617025</v>
      </c>
      <c r="L535" s="3">
        <f>_xlfn.IFS(Vendas[[#This Row],[Margem de Lucro (%)]]&lt;15%,Vendas[[#This Row],[Valor da Venda]]*3%,Vendas[[#This Row],[Margem de Lucro (%)]]&lt;=20%,Vendas[[#This Row],[Valor da Venda]]*4.5%,TRUE,Vendas[[#This Row],[Valor da Venda]]*6%)</f>
        <v>26.507999999999999</v>
      </c>
      <c r="M535"/>
    </row>
    <row r="536" spans="1:13" x14ac:dyDescent="0.3">
      <c r="A536" s="7">
        <v>400243</v>
      </c>
      <c r="B536" t="str">
        <f>_xlfn.XLOOKUP(Vendas[[#This Row],[ID Vendedor]],Vendedores[ID],Vendedores[Nome])</f>
        <v>Marcelo</v>
      </c>
      <c r="C536" s="7" t="str">
        <f>_xlfn.XLOOKUP(Vendas[[#This Row],[ID Vendedor]],Vendedores[ID],Vendedores[Setor])</f>
        <v>FM</v>
      </c>
      <c r="D536" s="7" t="s">
        <v>31</v>
      </c>
      <c r="E536" t="str">
        <f>_xlfn.XLOOKUP(Vendas[[#This Row],[ID Item Vendido]],Agregado[ID],Agregado[Produto])</f>
        <v>Tela de metal soldada rolo 2x25m</v>
      </c>
      <c r="F536" s="39">
        <v>43951</v>
      </c>
      <c r="G536" s="7">
        <v>17</v>
      </c>
      <c r="H536" s="3">
        <f>_xlfn.XLOOKUP(Vendas[[#This Row],[ID Item Vendido]],Agregado[ID],Agregado[Revenda])</f>
        <v>43.7</v>
      </c>
      <c r="I536" s="3">
        <f>Vendas[[#This Row],[Valor Unitário]]*Vendas[[#This Row],[Qnt Vendida]]</f>
        <v>742.90000000000009</v>
      </c>
      <c r="J536" s="3">
        <f>Vendas[[#This Row],[Valor da Venda]]-(_xlfn.XLOOKUP(Vendas[[#This Row],[ID Item Vendido]],Agregado[ID],Agregado[Custo])*Vendas[[#This Row],[Qnt Vendida]])</f>
        <v>96.900000000000091</v>
      </c>
      <c r="K536" s="70">
        <f>Vendas[[#This Row],[Lucro da Venda]]/Vendas[[#This Row],[Valor da Venda]]</f>
        <v>0.13043478260869576</v>
      </c>
      <c r="L536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536"/>
    </row>
    <row r="537" spans="1:13" x14ac:dyDescent="0.3">
      <c r="A537" s="7">
        <v>400244</v>
      </c>
      <c r="B537" t="str">
        <f>_xlfn.XLOOKUP(Vendas[[#This Row],[ID Vendedor]],Vendedores[ID],Vendedores[Nome])</f>
        <v>Camila</v>
      </c>
      <c r="C537" s="7" t="str">
        <f>_xlfn.XLOOKUP(Vendas[[#This Row],[ID Vendedor]],Vendedores[ID],Vendedores[Setor])</f>
        <v>AHD</v>
      </c>
      <c r="D537" s="7" t="s">
        <v>18</v>
      </c>
      <c r="E537" t="str">
        <f>_xlfn.XLOOKUP(Vendas[[#This Row],[ID Item Vendido]],Agregado[ID],Agregado[Produto])</f>
        <v>Peça forjada sob encomenda</v>
      </c>
      <c r="F537" s="39">
        <v>43954</v>
      </c>
      <c r="G537" s="7">
        <v>4</v>
      </c>
      <c r="H537" s="3">
        <f>_xlfn.XLOOKUP(Vendas[[#This Row],[ID Item Vendido]],Agregado[ID],Agregado[Revenda])</f>
        <v>264.60000000000002</v>
      </c>
      <c r="I537" s="3">
        <f>Vendas[[#This Row],[Valor Unitário]]*Vendas[[#This Row],[Qnt Vendida]]</f>
        <v>1058.4000000000001</v>
      </c>
      <c r="J537" s="3">
        <f>Vendas[[#This Row],[Valor da Venda]]-(_xlfn.XLOOKUP(Vendas[[#This Row],[ID Item Vendido]],Agregado[ID],Agregado[Custo])*Vendas[[#This Row],[Qnt Vendida]])</f>
        <v>58.400000000000091</v>
      </c>
      <c r="K537" s="70">
        <f>Vendas[[#This Row],[Lucro da Venda]]/Vendas[[#This Row],[Valor da Venda]]</f>
        <v>5.5177626606198113E-2</v>
      </c>
      <c r="L537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37"/>
    </row>
    <row r="538" spans="1:13" x14ac:dyDescent="0.3">
      <c r="A538" s="7">
        <v>400251</v>
      </c>
      <c r="B538" t="str">
        <f>_xlfn.XLOOKUP(Vendas[[#This Row],[ID Vendedor]],Vendedores[ID],Vendedores[Nome])</f>
        <v>Diego</v>
      </c>
      <c r="C538" s="7" t="str">
        <f>_xlfn.XLOOKUP(Vendas[[#This Row],[ID Vendedor]],Vendedores[ID],Vendedores[Setor])</f>
        <v>AB</v>
      </c>
      <c r="D538" s="7" t="s">
        <v>39</v>
      </c>
      <c r="E538" t="str">
        <f>_xlfn.XLOOKUP(Vendas[[#This Row],[ID Item Vendido]],Agregado[ID],Agregado[Produto])</f>
        <v>Filme plástico industrial rolo 50m</v>
      </c>
      <c r="F538" s="39">
        <v>43957</v>
      </c>
      <c r="G538" s="7">
        <v>20</v>
      </c>
      <c r="H538" s="3">
        <f>_xlfn.XLOOKUP(Vendas[[#This Row],[ID Item Vendido]],Agregado[ID],Agregado[Revenda])</f>
        <v>37</v>
      </c>
      <c r="I538" s="3">
        <f>Vendas[[#This Row],[Valor Unitário]]*Vendas[[#This Row],[Qnt Vendida]]</f>
        <v>740</v>
      </c>
      <c r="J538" s="3">
        <f>Vendas[[#This Row],[Valor da Venda]]-(_xlfn.XLOOKUP(Vendas[[#This Row],[ID Item Vendido]],Agregado[ID],Agregado[Custo])*Vendas[[#This Row],[Qnt Vendida]])</f>
        <v>180</v>
      </c>
      <c r="K538" s="70">
        <f>Vendas[[#This Row],[Lucro da Venda]]/Vendas[[#This Row],[Valor da Venda]]</f>
        <v>0.24324324324324326</v>
      </c>
      <c r="L538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538"/>
    </row>
    <row r="539" spans="1:13" x14ac:dyDescent="0.3">
      <c r="A539" s="7">
        <v>400251</v>
      </c>
      <c r="B539" t="str">
        <f>_xlfn.XLOOKUP(Vendas[[#This Row],[ID Vendedor]],Vendedores[ID],Vendedores[Nome])</f>
        <v>Diego</v>
      </c>
      <c r="C539" s="7" t="str">
        <f>_xlfn.XLOOKUP(Vendas[[#This Row],[ID Vendedor]],Vendedores[ID],Vendedores[Setor])</f>
        <v>AB</v>
      </c>
      <c r="D539" s="7" t="s">
        <v>37</v>
      </c>
      <c r="E539" t="str">
        <f>_xlfn.XLOOKUP(Vendas[[#This Row],[ID Item Vendido]],Agregado[ID],Agregado[Produto])</f>
        <v>Composto de borracha para vedação rolo 10m</v>
      </c>
      <c r="F539" s="39">
        <v>43957</v>
      </c>
      <c r="G539" s="7">
        <v>13</v>
      </c>
      <c r="H539" s="3">
        <f>_xlfn.XLOOKUP(Vendas[[#This Row],[ID Item Vendido]],Agregado[ID],Agregado[Revenda])</f>
        <v>51.2</v>
      </c>
      <c r="I539" s="3">
        <f>Vendas[[#This Row],[Valor Unitário]]*Vendas[[#This Row],[Qnt Vendida]]</f>
        <v>665.6</v>
      </c>
      <c r="J539" s="3">
        <f>Vendas[[#This Row],[Valor da Venda]]-(_xlfn.XLOOKUP(Vendas[[#This Row],[ID Item Vendido]],Agregado[ID],Agregado[Custo])*Vendas[[#This Row],[Qnt Vendida]])</f>
        <v>145.60000000000002</v>
      </c>
      <c r="K539" s="70">
        <f>Vendas[[#This Row],[Lucro da Venda]]/Vendas[[#This Row],[Valor da Venda]]</f>
        <v>0.21875000000000003</v>
      </c>
      <c r="L539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539"/>
    </row>
    <row r="540" spans="1:13" x14ac:dyDescent="0.3">
      <c r="A540" s="7">
        <v>400243</v>
      </c>
      <c r="B540" t="str">
        <f>_xlfn.XLOOKUP(Vendas[[#This Row],[ID Vendedor]],Vendedores[ID],Vendedores[Nome])</f>
        <v>Marcelo</v>
      </c>
      <c r="C540" s="7" t="str">
        <f>_xlfn.XLOOKUP(Vendas[[#This Row],[ID Vendedor]],Vendedores[ID],Vendedores[Setor])</f>
        <v>FM</v>
      </c>
      <c r="D540" s="7" t="s">
        <v>27</v>
      </c>
      <c r="E540" t="str">
        <f>_xlfn.XLOOKUP(Vendas[[#This Row],[ID Item Vendido]],Agregado[ID],Agregado[Produto])</f>
        <v>Chapa de metal lisa 1x2m</v>
      </c>
      <c r="F540" s="39">
        <v>43959</v>
      </c>
      <c r="G540" s="7">
        <v>14</v>
      </c>
      <c r="H540" s="3">
        <f>_xlfn.XLOOKUP(Vendas[[#This Row],[ID Item Vendido]],Agregado[ID],Agregado[Revenda])</f>
        <v>52</v>
      </c>
      <c r="I540" s="3">
        <f>Vendas[[#This Row],[Valor Unitário]]*Vendas[[#This Row],[Qnt Vendida]]</f>
        <v>728</v>
      </c>
      <c r="J540" s="3">
        <f>Vendas[[#This Row],[Valor da Venda]]-(_xlfn.XLOOKUP(Vendas[[#This Row],[ID Item Vendido]],Agregado[ID],Agregado[Custo])*Vendas[[#This Row],[Qnt Vendida]])</f>
        <v>98</v>
      </c>
      <c r="K540" s="70">
        <f>Vendas[[#This Row],[Lucro da Venda]]/Vendas[[#This Row],[Valor da Venda]]</f>
        <v>0.13461538461538461</v>
      </c>
      <c r="L540" s="3">
        <f>_xlfn.IFS(Vendas[[#This Row],[Margem de Lucro (%)]]&lt;15%,Vendas[[#This Row],[Valor da Venda]]*3%,Vendas[[#This Row],[Margem de Lucro (%)]]&lt;=20%,Vendas[[#This Row],[Valor da Venda]]*4.5%,TRUE,Vendas[[#This Row],[Valor da Venda]]*6%)</f>
        <v>21.84</v>
      </c>
      <c r="M540"/>
    </row>
    <row r="541" spans="1:13" x14ac:dyDescent="0.3">
      <c r="A541" s="7">
        <v>400244</v>
      </c>
      <c r="B541" t="str">
        <f>_xlfn.XLOOKUP(Vendas[[#This Row],[ID Vendedor]],Vendedores[ID],Vendedores[Nome])</f>
        <v>Camila</v>
      </c>
      <c r="C541" s="7" t="str">
        <f>_xlfn.XLOOKUP(Vendas[[#This Row],[ID Vendedor]],Vendedores[ID],Vendedores[Setor])</f>
        <v>AHD</v>
      </c>
      <c r="D541" s="7" t="s">
        <v>18</v>
      </c>
      <c r="E541" t="str">
        <f>_xlfn.XLOOKUP(Vendas[[#This Row],[ID Item Vendido]],Agregado[ID],Agregado[Produto])</f>
        <v>Peça forjada sob encomenda</v>
      </c>
      <c r="F541" s="39">
        <v>43960</v>
      </c>
      <c r="G541" s="7">
        <v>2</v>
      </c>
      <c r="H541" s="3">
        <f>_xlfn.XLOOKUP(Vendas[[#This Row],[ID Item Vendido]],Agregado[ID],Agregado[Revenda])</f>
        <v>264.60000000000002</v>
      </c>
      <c r="I541" s="3">
        <f>Vendas[[#This Row],[Valor Unitário]]*Vendas[[#This Row],[Qnt Vendida]]</f>
        <v>529.20000000000005</v>
      </c>
      <c r="J541" s="3">
        <f>Vendas[[#This Row],[Valor da Venda]]-(_xlfn.XLOOKUP(Vendas[[#This Row],[ID Item Vendido]],Agregado[ID],Agregado[Custo])*Vendas[[#This Row],[Qnt Vendida]])</f>
        <v>29.200000000000045</v>
      </c>
      <c r="K541" s="70">
        <f>Vendas[[#This Row],[Lucro da Venda]]/Vendas[[#This Row],[Valor da Venda]]</f>
        <v>5.5177626606198113E-2</v>
      </c>
      <c r="L541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41"/>
    </row>
    <row r="542" spans="1:13" x14ac:dyDescent="0.3">
      <c r="A542" s="7">
        <v>400249</v>
      </c>
      <c r="B542" t="str">
        <f>_xlfn.XLOOKUP(Vendas[[#This Row],[ID Vendedor]],Vendedores[ID],Vendedores[Nome])</f>
        <v>Bruno</v>
      </c>
      <c r="C542" s="7" t="str">
        <f>_xlfn.XLOOKUP(Vendas[[#This Row],[ID Vendedor]],Vendedores[ID],Vendedores[Setor])</f>
        <v>CM</v>
      </c>
      <c r="D542" s="7" t="s">
        <v>34</v>
      </c>
      <c r="E542" t="str">
        <f>_xlfn.XLOOKUP(Vendas[[#This Row],[ID Item Vendido]],Agregado[ID],Agregado[Produto])</f>
        <v>Restos de madeira p/ MDP/OSB saco de 20kg</v>
      </c>
      <c r="F542" s="39">
        <v>43960</v>
      </c>
      <c r="G542" s="7">
        <v>20</v>
      </c>
      <c r="H542" s="3">
        <f>_xlfn.XLOOKUP(Vendas[[#This Row],[ID Item Vendido]],Agregado[ID],Agregado[Revenda])</f>
        <v>13.8</v>
      </c>
      <c r="I542" s="3">
        <f>Vendas[[#This Row],[Valor Unitário]]*Vendas[[#This Row],[Qnt Vendida]]</f>
        <v>276</v>
      </c>
      <c r="J542" s="3">
        <f>Vendas[[#This Row],[Valor da Venda]]-(_xlfn.XLOOKUP(Vendas[[#This Row],[ID Item Vendido]],Agregado[ID],Agregado[Custo])*Vendas[[#This Row],[Qnt Vendida]])</f>
        <v>36</v>
      </c>
      <c r="K542" s="70">
        <f>Vendas[[#This Row],[Lucro da Venda]]/Vendas[[#This Row],[Valor da Venda]]</f>
        <v>0.13043478260869565</v>
      </c>
      <c r="L542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542"/>
    </row>
    <row r="543" spans="1:13" x14ac:dyDescent="0.3">
      <c r="A543" s="7">
        <v>400244</v>
      </c>
      <c r="B543" t="str">
        <f>_xlfn.XLOOKUP(Vendas[[#This Row],[ID Vendedor]],Vendedores[ID],Vendedores[Nome])</f>
        <v>Camila</v>
      </c>
      <c r="C543" s="7" t="str">
        <f>_xlfn.XLOOKUP(Vendas[[#This Row],[ID Vendedor]],Vendedores[ID],Vendedores[Setor])</f>
        <v>AHD</v>
      </c>
      <c r="D543" s="7" t="s">
        <v>44</v>
      </c>
      <c r="E543" t="str">
        <f>_xlfn.XLOOKUP(Vendas[[#This Row],[ID Item Vendido]],Agregado[ID],Agregado[Produto])</f>
        <v>Liga metálica especial</v>
      </c>
      <c r="F543" s="39">
        <v>43966</v>
      </c>
      <c r="G543" s="7">
        <v>17</v>
      </c>
      <c r="H543" s="3">
        <f>_xlfn.XLOOKUP(Vendas[[#This Row],[ID Item Vendido]],Agregado[ID],Agregado[Revenda])</f>
        <v>32.5</v>
      </c>
      <c r="I543" s="3">
        <f>Vendas[[#This Row],[Valor Unitário]]*Vendas[[#This Row],[Qnt Vendida]]</f>
        <v>552.5</v>
      </c>
      <c r="J543" s="3">
        <f>Vendas[[#This Row],[Valor da Venda]]-(_xlfn.XLOOKUP(Vendas[[#This Row],[ID Item Vendido]],Agregado[ID],Agregado[Custo])*Vendas[[#This Row],[Qnt Vendida]])</f>
        <v>127.5</v>
      </c>
      <c r="K543" s="70">
        <f>Vendas[[#This Row],[Lucro da Venda]]/Vendas[[#This Row],[Valor da Venda]]</f>
        <v>0.23076923076923078</v>
      </c>
      <c r="L543" s="3">
        <f>_xlfn.IFS(Vendas[[#This Row],[Margem de Lucro (%)]]&lt;15%,Vendas[[#This Row],[Valor da Venda]]*3%,Vendas[[#This Row],[Margem de Lucro (%)]]&lt;=20%,Vendas[[#This Row],[Valor da Venda]]*4.5%,TRUE,Vendas[[#This Row],[Valor da Venda]]*6%)</f>
        <v>33.15</v>
      </c>
      <c r="M543"/>
    </row>
    <row r="544" spans="1:13" x14ac:dyDescent="0.3">
      <c r="A544" s="7">
        <v>400244</v>
      </c>
      <c r="B544" t="str">
        <f>_xlfn.XLOOKUP(Vendas[[#This Row],[ID Vendedor]],Vendedores[ID],Vendedores[Nome])</f>
        <v>Camila</v>
      </c>
      <c r="C544" s="7" t="str">
        <f>_xlfn.XLOOKUP(Vendas[[#This Row],[ID Vendedor]],Vendedores[ID],Vendedores[Setor])</f>
        <v>AHD</v>
      </c>
      <c r="D544" s="7" t="s">
        <v>28</v>
      </c>
      <c r="E544" t="str">
        <f>_xlfn.XLOOKUP(Vendas[[#This Row],[ID Item Vendido]],Agregado[ID],Agregado[Produto])</f>
        <v>Peça usinada CNC</v>
      </c>
      <c r="F544" s="39">
        <v>43967</v>
      </c>
      <c r="G544" s="7">
        <v>2</v>
      </c>
      <c r="H544" s="3">
        <f>_xlfn.XLOOKUP(Vendas[[#This Row],[ID Item Vendido]],Agregado[ID],Agregado[Revenda])</f>
        <v>192</v>
      </c>
      <c r="I544" s="3">
        <f>Vendas[[#This Row],[Valor Unitário]]*Vendas[[#This Row],[Qnt Vendida]]</f>
        <v>384</v>
      </c>
      <c r="J544" s="3">
        <f>Vendas[[#This Row],[Valor da Venda]]-(_xlfn.XLOOKUP(Vendas[[#This Row],[ID Item Vendido]],Agregado[ID],Agregado[Custo])*Vendas[[#This Row],[Qnt Vendida]])</f>
        <v>84</v>
      </c>
      <c r="K544" s="70">
        <f>Vendas[[#This Row],[Lucro da Venda]]/Vendas[[#This Row],[Valor da Venda]]</f>
        <v>0.21875</v>
      </c>
      <c r="L544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544"/>
    </row>
    <row r="545" spans="1:13" x14ac:dyDescent="0.3">
      <c r="A545" s="7">
        <v>400255</v>
      </c>
      <c r="B545" t="str">
        <f>_xlfn.XLOOKUP(Vendas[[#This Row],[ID Vendedor]],Vendedores[ID],Vendedores[Nome])</f>
        <v>Carlos</v>
      </c>
      <c r="C545" s="7" t="str">
        <f>_xlfn.XLOOKUP(Vendas[[#This Row],[ID Vendedor]],Vendedores[ID],Vendedores[Setor])</f>
        <v>SC</v>
      </c>
      <c r="D545" s="7" t="s">
        <v>41</v>
      </c>
      <c r="E545" t="str">
        <f>_xlfn.XLOOKUP(Vendas[[#This Row],[ID Item Vendido]],Agregado[ID],Agregado[Produto])</f>
        <v>Palete de madeira reforçado</v>
      </c>
      <c r="F545" s="39">
        <v>43968</v>
      </c>
      <c r="G545" s="7">
        <v>2</v>
      </c>
      <c r="H545" s="3">
        <f>_xlfn.XLOOKUP(Vendas[[#This Row],[ID Item Vendido]],Agregado[ID],Agregado[Revenda])</f>
        <v>131</v>
      </c>
      <c r="I545" s="3">
        <f>Vendas[[#This Row],[Valor Unitário]]*Vendas[[#This Row],[Qnt Vendida]]</f>
        <v>262</v>
      </c>
      <c r="J545" s="3">
        <f>Vendas[[#This Row],[Valor da Venda]]-(_xlfn.XLOOKUP(Vendas[[#This Row],[ID Item Vendido]],Agregado[ID],Agregado[Custo])*Vendas[[#This Row],[Qnt Vendida]])</f>
        <v>42</v>
      </c>
      <c r="K545" s="70">
        <f>Vendas[[#This Row],[Lucro da Venda]]/Vendas[[#This Row],[Valor da Venda]]</f>
        <v>0.16030534351145037</v>
      </c>
      <c r="L545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45"/>
    </row>
    <row r="546" spans="1:13" x14ac:dyDescent="0.3">
      <c r="A546" s="7">
        <v>400251</v>
      </c>
      <c r="B546" t="str">
        <f>_xlfn.XLOOKUP(Vendas[[#This Row],[ID Vendedor]],Vendedores[ID],Vendedores[Nome])</f>
        <v>Diego</v>
      </c>
      <c r="C546" s="7" t="str">
        <f>_xlfn.XLOOKUP(Vendas[[#This Row],[ID Vendedor]],Vendedores[ID],Vendedores[Setor])</f>
        <v>AB</v>
      </c>
      <c r="D546" s="7" t="s">
        <v>36</v>
      </c>
      <c r="E546" t="str">
        <f>_xlfn.XLOOKUP(Vendas[[#This Row],[ID Item Vendido]],Agregado[ID],Agregado[Produto])</f>
        <v>Borracha vulcanizada em manta</v>
      </c>
      <c r="F546" s="39">
        <v>43971</v>
      </c>
      <c r="G546" s="7">
        <v>15</v>
      </c>
      <c r="H546" s="3">
        <f>_xlfn.XLOOKUP(Vendas[[#This Row],[ID Item Vendido]],Agregado[ID],Agregado[Revenda])</f>
        <v>7.8</v>
      </c>
      <c r="I546" s="3">
        <f>Vendas[[#This Row],[Valor Unitário]]*Vendas[[#This Row],[Qnt Vendida]]</f>
        <v>117</v>
      </c>
      <c r="J546" s="3">
        <f>Vendas[[#This Row],[Valor da Venda]]-(_xlfn.XLOOKUP(Vendas[[#This Row],[ID Item Vendido]],Agregado[ID],Agregado[Custo])*Vendas[[#This Row],[Qnt Vendida]])</f>
        <v>27</v>
      </c>
      <c r="K546" s="70">
        <f>Vendas[[#This Row],[Lucro da Venda]]/Vendas[[#This Row],[Valor da Venda]]</f>
        <v>0.23076923076923078</v>
      </c>
      <c r="L546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546"/>
    </row>
    <row r="547" spans="1:13" x14ac:dyDescent="0.3">
      <c r="A547" s="7">
        <v>400247</v>
      </c>
      <c r="B547" t="str">
        <f>_xlfn.XLOOKUP(Vendas[[#This Row],[ID Vendedor]],Vendedores[ID],Vendedores[Nome])</f>
        <v>André</v>
      </c>
      <c r="C547" s="7" t="str">
        <f>_xlfn.XLOOKUP(Vendas[[#This Row],[ID Vendedor]],Vendedores[ID],Vendedores[Setor])</f>
        <v>CM</v>
      </c>
      <c r="D547" s="7" t="s">
        <v>22</v>
      </c>
      <c r="E547" t="str">
        <f>_xlfn.XLOOKUP(Vendas[[#This Row],[ID Item Vendido]],Agregado[ID],Agregado[Produto])</f>
        <v>Painel MDP 2,75x1,83m</v>
      </c>
      <c r="F547" s="39">
        <v>43972</v>
      </c>
      <c r="G547" s="7">
        <v>15</v>
      </c>
      <c r="H547" s="3">
        <f>_xlfn.XLOOKUP(Vendas[[#This Row],[ID Item Vendido]],Agregado[ID],Agregado[Revenda])</f>
        <v>119</v>
      </c>
      <c r="I547" s="3">
        <f>Vendas[[#This Row],[Valor Unitário]]*Vendas[[#This Row],[Qnt Vendida]]</f>
        <v>1785</v>
      </c>
      <c r="J547" s="3">
        <f>Vendas[[#This Row],[Valor da Venda]]-(_xlfn.XLOOKUP(Vendas[[#This Row],[ID Item Vendido]],Agregado[ID],Agregado[Custo])*Vendas[[#This Row],[Qnt Vendida]])</f>
        <v>360</v>
      </c>
      <c r="K547" s="70">
        <f>Vendas[[#This Row],[Lucro da Venda]]/Vendas[[#This Row],[Valor da Venda]]</f>
        <v>0.20168067226890757</v>
      </c>
      <c r="L547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547"/>
    </row>
    <row r="548" spans="1:13" x14ac:dyDescent="0.3">
      <c r="A548" s="7">
        <v>400251</v>
      </c>
      <c r="B548" t="str">
        <f>_xlfn.XLOOKUP(Vendas[[#This Row],[ID Vendedor]],Vendedores[ID],Vendedores[Nome])</f>
        <v>Diego</v>
      </c>
      <c r="C548" s="7" t="str">
        <f>_xlfn.XLOOKUP(Vendas[[#This Row],[ID Vendedor]],Vendedores[ID],Vendedores[Setor])</f>
        <v>AB</v>
      </c>
      <c r="D548" s="7" t="s">
        <v>24</v>
      </c>
      <c r="E548" t="str">
        <f>_xlfn.XLOOKUP(Vendas[[#This Row],[ID Item Vendido]],Agregado[ID],Agregado[Produto])</f>
        <v>Resina plástica PET purificada saco de 25kg</v>
      </c>
      <c r="F548" s="39">
        <v>43973</v>
      </c>
      <c r="G548" s="7">
        <v>29</v>
      </c>
      <c r="H548" s="3">
        <f>_xlfn.XLOOKUP(Vendas[[#This Row],[ID Item Vendido]],Agregado[ID],Agregado[Revenda])</f>
        <v>119</v>
      </c>
      <c r="I548" s="3">
        <f>Vendas[[#This Row],[Valor Unitário]]*Vendas[[#This Row],[Qnt Vendida]]</f>
        <v>3451</v>
      </c>
      <c r="J548" s="3">
        <f>Vendas[[#This Row],[Valor da Venda]]-(_xlfn.XLOOKUP(Vendas[[#This Row],[ID Item Vendido]],Agregado[ID],Agregado[Custo])*Vendas[[#This Row],[Qnt Vendida]])</f>
        <v>986</v>
      </c>
      <c r="K548" s="70">
        <f>Vendas[[#This Row],[Lucro da Venda]]/Vendas[[#This Row],[Valor da Venda]]</f>
        <v>0.2857142857142857</v>
      </c>
      <c r="L548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548"/>
    </row>
    <row r="549" spans="1:13" x14ac:dyDescent="0.3">
      <c r="A549" s="7">
        <v>400244</v>
      </c>
      <c r="B549" t="str">
        <f>_xlfn.XLOOKUP(Vendas[[#This Row],[ID Vendedor]],Vendedores[ID],Vendedores[Nome])</f>
        <v>Camila</v>
      </c>
      <c r="C549" s="7" t="str">
        <f>_xlfn.XLOOKUP(Vendas[[#This Row],[ID Vendedor]],Vendedores[ID],Vendedores[Setor])</f>
        <v>AHD</v>
      </c>
      <c r="D549" s="7" t="s">
        <v>44</v>
      </c>
      <c r="E549" t="str">
        <f>_xlfn.XLOOKUP(Vendas[[#This Row],[ID Item Vendido]],Agregado[ID],Agregado[Produto])</f>
        <v>Liga metálica especial</v>
      </c>
      <c r="F549" s="39">
        <v>43974</v>
      </c>
      <c r="G549" s="7">
        <v>36</v>
      </c>
      <c r="H549" s="3">
        <f>_xlfn.XLOOKUP(Vendas[[#This Row],[ID Item Vendido]],Agregado[ID],Agregado[Revenda])</f>
        <v>32.5</v>
      </c>
      <c r="I549" s="3">
        <f>Vendas[[#This Row],[Valor Unitário]]*Vendas[[#This Row],[Qnt Vendida]]</f>
        <v>1170</v>
      </c>
      <c r="J549" s="3">
        <f>Vendas[[#This Row],[Valor da Venda]]-(_xlfn.XLOOKUP(Vendas[[#This Row],[ID Item Vendido]],Agregado[ID],Agregado[Custo])*Vendas[[#This Row],[Qnt Vendida]])</f>
        <v>270</v>
      </c>
      <c r="K549" s="70">
        <f>Vendas[[#This Row],[Lucro da Venda]]/Vendas[[#This Row],[Valor da Venda]]</f>
        <v>0.23076923076923078</v>
      </c>
      <c r="L549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549"/>
    </row>
    <row r="550" spans="1:13" x14ac:dyDescent="0.3">
      <c r="A550" s="7">
        <v>400243</v>
      </c>
      <c r="B550" t="str">
        <f>_xlfn.XLOOKUP(Vendas[[#This Row],[ID Vendedor]],Vendedores[ID],Vendedores[Nome])</f>
        <v>Marcelo</v>
      </c>
      <c r="C550" s="7" t="str">
        <f>_xlfn.XLOOKUP(Vendas[[#This Row],[ID Vendedor]],Vendedores[ID],Vendedores[Setor])</f>
        <v>FM</v>
      </c>
      <c r="D550" s="7" t="s">
        <v>27</v>
      </c>
      <c r="E550" t="str">
        <f>_xlfn.XLOOKUP(Vendas[[#This Row],[ID Item Vendido]],Agregado[ID],Agregado[Produto])</f>
        <v>Chapa de metal lisa 1x2m</v>
      </c>
      <c r="F550" s="39">
        <v>43974</v>
      </c>
      <c r="G550" s="7">
        <v>19</v>
      </c>
      <c r="H550" s="3">
        <f>_xlfn.XLOOKUP(Vendas[[#This Row],[ID Item Vendido]],Agregado[ID],Agregado[Revenda])</f>
        <v>52</v>
      </c>
      <c r="I550" s="3">
        <f>Vendas[[#This Row],[Valor Unitário]]*Vendas[[#This Row],[Qnt Vendida]]</f>
        <v>988</v>
      </c>
      <c r="J550" s="3">
        <f>Vendas[[#This Row],[Valor da Venda]]-(_xlfn.XLOOKUP(Vendas[[#This Row],[ID Item Vendido]],Agregado[ID],Agregado[Custo])*Vendas[[#This Row],[Qnt Vendida]])</f>
        <v>133</v>
      </c>
      <c r="K550" s="70">
        <f>Vendas[[#This Row],[Lucro da Venda]]/Vendas[[#This Row],[Valor da Venda]]</f>
        <v>0.13461538461538461</v>
      </c>
      <c r="L550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550"/>
    </row>
    <row r="551" spans="1:13" x14ac:dyDescent="0.3">
      <c r="A551" s="7">
        <v>400243</v>
      </c>
      <c r="B551" t="str">
        <f>_xlfn.XLOOKUP(Vendas[[#This Row],[ID Vendedor]],Vendedores[ID],Vendedores[Nome])</f>
        <v>Marcelo</v>
      </c>
      <c r="C551" s="7" t="str">
        <f>_xlfn.XLOOKUP(Vendas[[#This Row],[ID Vendedor]],Vendedores[ID],Vendedores[Setor])</f>
        <v>FM</v>
      </c>
      <c r="D551" s="7" t="s">
        <v>47</v>
      </c>
      <c r="E551" t="str">
        <f>_xlfn.XLOOKUP(Vendas[[#This Row],[ID Item Vendido]],Agregado[ID],Agregado[Produto])</f>
        <v>Fio de arame galvanizado rolo 50m</v>
      </c>
      <c r="F551" s="39">
        <v>43974</v>
      </c>
      <c r="G551" s="7">
        <v>4</v>
      </c>
      <c r="H551" s="3">
        <f>_xlfn.XLOOKUP(Vendas[[#This Row],[ID Item Vendido]],Agregado[ID],Agregado[Revenda])</f>
        <v>21.2</v>
      </c>
      <c r="I551" s="3">
        <f>Vendas[[#This Row],[Valor Unitário]]*Vendas[[#This Row],[Qnt Vendida]]</f>
        <v>84.8</v>
      </c>
      <c r="J551" s="3">
        <f>Vendas[[#This Row],[Valor da Venda]]-(_xlfn.XLOOKUP(Vendas[[#This Row],[ID Item Vendido]],Agregado[ID],Agregado[Custo])*Vendas[[#This Row],[Qnt Vendida]])</f>
        <v>12.799999999999997</v>
      </c>
      <c r="K551" s="70">
        <f>Vendas[[#This Row],[Lucro da Venda]]/Vendas[[#This Row],[Valor da Venda]]</f>
        <v>0.15094339622641506</v>
      </c>
      <c r="L551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551"/>
    </row>
    <row r="552" spans="1:13" x14ac:dyDescent="0.3">
      <c r="A552" s="7">
        <v>400243</v>
      </c>
      <c r="B552" t="str">
        <f>_xlfn.XLOOKUP(Vendas[[#This Row],[ID Vendedor]],Vendedores[ID],Vendedores[Nome])</f>
        <v>Marcelo</v>
      </c>
      <c r="C552" s="7" t="str">
        <f>_xlfn.XLOOKUP(Vendas[[#This Row],[ID Vendedor]],Vendedores[ID],Vendedores[Setor])</f>
        <v>FM</v>
      </c>
      <c r="D552" s="7" t="s">
        <v>47</v>
      </c>
      <c r="E552" t="str">
        <f>_xlfn.XLOOKUP(Vendas[[#This Row],[ID Item Vendido]],Agregado[ID],Agregado[Produto])</f>
        <v>Fio de arame galvanizado rolo 50m</v>
      </c>
      <c r="F552" s="39">
        <v>43975</v>
      </c>
      <c r="G552" s="7">
        <v>25</v>
      </c>
      <c r="H552" s="3">
        <f>_xlfn.XLOOKUP(Vendas[[#This Row],[ID Item Vendido]],Agregado[ID],Agregado[Revenda])</f>
        <v>21.2</v>
      </c>
      <c r="I552" s="3">
        <f>Vendas[[#This Row],[Valor Unitário]]*Vendas[[#This Row],[Qnt Vendida]]</f>
        <v>530</v>
      </c>
      <c r="J552" s="3">
        <f>Vendas[[#This Row],[Valor da Venda]]-(_xlfn.XLOOKUP(Vendas[[#This Row],[ID Item Vendido]],Agregado[ID],Agregado[Custo])*Vendas[[#This Row],[Qnt Vendida]])</f>
        <v>80</v>
      </c>
      <c r="K552" s="70">
        <f>Vendas[[#This Row],[Lucro da Venda]]/Vendas[[#This Row],[Valor da Venda]]</f>
        <v>0.15094339622641509</v>
      </c>
      <c r="L552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552"/>
    </row>
    <row r="553" spans="1:13" x14ac:dyDescent="0.3">
      <c r="A553" s="7">
        <v>400247</v>
      </c>
      <c r="B553" t="str">
        <f>_xlfn.XLOOKUP(Vendas[[#This Row],[ID Vendedor]],Vendedores[ID],Vendedores[Nome])</f>
        <v>André</v>
      </c>
      <c r="C553" s="7" t="str">
        <f>_xlfn.XLOOKUP(Vendas[[#This Row],[ID Vendedor]],Vendedores[ID],Vendedores[Setor])</f>
        <v>CM</v>
      </c>
      <c r="D553" s="7" t="s">
        <v>45</v>
      </c>
      <c r="E553" t="str">
        <f>_xlfn.XLOOKUP(Vendas[[#This Row],[ID Item Vendido]],Agregado[ID],Agregado[Produto])</f>
        <v>Viga de madeira tratada 4m</v>
      </c>
      <c r="F553" s="39">
        <v>43975</v>
      </c>
      <c r="G553" s="7">
        <v>7</v>
      </c>
      <c r="H553" s="3">
        <f>_xlfn.XLOOKUP(Vendas[[#This Row],[ID Item Vendido]],Agregado[ID],Agregado[Revenda])</f>
        <v>66</v>
      </c>
      <c r="I553" s="3">
        <f>Vendas[[#This Row],[Valor Unitário]]*Vendas[[#This Row],[Qnt Vendida]]</f>
        <v>462</v>
      </c>
      <c r="J553" s="3">
        <f>Vendas[[#This Row],[Valor da Venda]]-(_xlfn.XLOOKUP(Vendas[[#This Row],[ID Item Vendido]],Agregado[ID],Agregado[Custo])*Vendas[[#This Row],[Qnt Vendida]])</f>
        <v>77</v>
      </c>
      <c r="K553" s="70">
        <f>Vendas[[#This Row],[Lucro da Venda]]/Vendas[[#This Row],[Valor da Venda]]</f>
        <v>0.16666666666666666</v>
      </c>
      <c r="L553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553"/>
    </row>
    <row r="554" spans="1:13" x14ac:dyDescent="0.3">
      <c r="A554" s="7">
        <v>400241</v>
      </c>
      <c r="B554" t="str">
        <f>_xlfn.XLOOKUP(Vendas[[#This Row],[ID Vendedor]],Vendedores[ID],Vendedores[Nome])</f>
        <v>Rodrigo</v>
      </c>
      <c r="C554" s="7" t="str">
        <f>_xlfn.XLOOKUP(Vendas[[#This Row],[ID Vendedor]],Vendedores[ID],Vendedores[Setor])</f>
        <v>FM</v>
      </c>
      <c r="D554" s="7" t="s">
        <v>31</v>
      </c>
      <c r="E554" t="str">
        <f>_xlfn.XLOOKUP(Vendas[[#This Row],[ID Item Vendido]],Agregado[ID],Agregado[Produto])</f>
        <v>Tela de metal soldada rolo 2x25m</v>
      </c>
      <c r="F554" s="39">
        <v>43975</v>
      </c>
      <c r="G554" s="7">
        <v>10</v>
      </c>
      <c r="H554" s="3">
        <f>_xlfn.XLOOKUP(Vendas[[#This Row],[ID Item Vendido]],Agregado[ID],Agregado[Revenda])</f>
        <v>43.7</v>
      </c>
      <c r="I554" s="3">
        <f>Vendas[[#This Row],[Valor Unitário]]*Vendas[[#This Row],[Qnt Vendida]]</f>
        <v>437</v>
      </c>
      <c r="J554" s="3">
        <f>Vendas[[#This Row],[Valor da Venda]]-(_xlfn.XLOOKUP(Vendas[[#This Row],[ID Item Vendido]],Agregado[ID],Agregado[Custo])*Vendas[[#This Row],[Qnt Vendida]])</f>
        <v>57</v>
      </c>
      <c r="K554" s="70">
        <f>Vendas[[#This Row],[Lucro da Venda]]/Vendas[[#This Row],[Valor da Venda]]</f>
        <v>0.13043478260869565</v>
      </c>
      <c r="L554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554"/>
    </row>
    <row r="555" spans="1:13" x14ac:dyDescent="0.3">
      <c r="A555" s="7">
        <v>400249</v>
      </c>
      <c r="B555" t="str">
        <f>_xlfn.XLOOKUP(Vendas[[#This Row],[ID Vendedor]],Vendedores[ID],Vendedores[Nome])</f>
        <v>Bruno</v>
      </c>
      <c r="C555" s="7" t="str">
        <f>_xlfn.XLOOKUP(Vendas[[#This Row],[ID Vendedor]],Vendedores[ID],Vendedores[Setor])</f>
        <v>CM</v>
      </c>
      <c r="D555" s="7" t="s">
        <v>45</v>
      </c>
      <c r="E555" t="str">
        <f>_xlfn.XLOOKUP(Vendas[[#This Row],[ID Item Vendido]],Agregado[ID],Agregado[Produto])</f>
        <v>Viga de madeira tratada 4m</v>
      </c>
      <c r="F555" s="39">
        <v>43976</v>
      </c>
      <c r="G555" s="7">
        <v>14</v>
      </c>
      <c r="H555" s="3">
        <f>_xlfn.XLOOKUP(Vendas[[#This Row],[ID Item Vendido]],Agregado[ID],Agregado[Revenda])</f>
        <v>66</v>
      </c>
      <c r="I555" s="3">
        <f>Vendas[[#This Row],[Valor Unitário]]*Vendas[[#This Row],[Qnt Vendida]]</f>
        <v>924</v>
      </c>
      <c r="J555" s="3">
        <f>Vendas[[#This Row],[Valor da Venda]]-(_xlfn.XLOOKUP(Vendas[[#This Row],[ID Item Vendido]],Agregado[ID],Agregado[Custo])*Vendas[[#This Row],[Qnt Vendida]])</f>
        <v>154</v>
      </c>
      <c r="K555" s="70">
        <f>Vendas[[#This Row],[Lucro da Venda]]/Vendas[[#This Row],[Valor da Venda]]</f>
        <v>0.16666666666666666</v>
      </c>
      <c r="L555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555"/>
    </row>
    <row r="556" spans="1:13" x14ac:dyDescent="0.3">
      <c r="A556" s="7">
        <v>400243</v>
      </c>
      <c r="B556" t="str">
        <f>_xlfn.XLOOKUP(Vendas[[#This Row],[ID Vendedor]],Vendedores[ID],Vendedores[Nome])</f>
        <v>Marcelo</v>
      </c>
      <c r="C556" s="7" t="str">
        <f>_xlfn.XLOOKUP(Vendas[[#This Row],[ID Vendedor]],Vendedores[ID],Vendedores[Setor])</f>
        <v>FM</v>
      </c>
      <c r="D556" s="7" t="s">
        <v>31</v>
      </c>
      <c r="E556" t="str">
        <f>_xlfn.XLOOKUP(Vendas[[#This Row],[ID Item Vendido]],Agregado[ID],Agregado[Produto])</f>
        <v>Tela de metal soldada rolo 2x25m</v>
      </c>
      <c r="F556" s="39">
        <v>43976</v>
      </c>
      <c r="G556" s="7">
        <v>15</v>
      </c>
      <c r="H556" s="3">
        <f>_xlfn.XLOOKUP(Vendas[[#This Row],[ID Item Vendido]],Agregado[ID],Agregado[Revenda])</f>
        <v>43.7</v>
      </c>
      <c r="I556" s="3">
        <f>Vendas[[#This Row],[Valor Unitário]]*Vendas[[#This Row],[Qnt Vendida]]</f>
        <v>655.5</v>
      </c>
      <c r="J556" s="3">
        <f>Vendas[[#This Row],[Valor da Venda]]-(_xlfn.XLOOKUP(Vendas[[#This Row],[ID Item Vendido]],Agregado[ID],Agregado[Custo])*Vendas[[#This Row],[Qnt Vendida]])</f>
        <v>85.5</v>
      </c>
      <c r="K556" s="70">
        <f>Vendas[[#This Row],[Lucro da Venda]]/Vendas[[#This Row],[Valor da Venda]]</f>
        <v>0.13043478260869565</v>
      </c>
      <c r="L556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556"/>
    </row>
    <row r="557" spans="1:13" x14ac:dyDescent="0.3">
      <c r="A557" s="7">
        <v>400251</v>
      </c>
      <c r="B557" t="str">
        <f>_xlfn.XLOOKUP(Vendas[[#This Row],[ID Vendedor]],Vendedores[ID],Vendedores[Nome])</f>
        <v>Diego</v>
      </c>
      <c r="C557" s="7" t="str">
        <f>_xlfn.XLOOKUP(Vendas[[#This Row],[ID Vendedor]],Vendedores[ID],Vendedores[Setor])</f>
        <v>AB</v>
      </c>
      <c r="D557" s="7" t="s">
        <v>36</v>
      </c>
      <c r="E557" t="str">
        <f>_xlfn.XLOOKUP(Vendas[[#This Row],[ID Item Vendido]],Agregado[ID],Agregado[Produto])</f>
        <v>Borracha vulcanizada em manta</v>
      </c>
      <c r="F557" s="39">
        <v>43977</v>
      </c>
      <c r="G557" s="7">
        <v>83</v>
      </c>
      <c r="H557" s="3">
        <f>_xlfn.XLOOKUP(Vendas[[#This Row],[ID Item Vendido]],Agregado[ID],Agregado[Revenda])</f>
        <v>7.8</v>
      </c>
      <c r="I557" s="3">
        <f>Vendas[[#This Row],[Valor Unitário]]*Vendas[[#This Row],[Qnt Vendida]]</f>
        <v>647.4</v>
      </c>
      <c r="J557" s="3">
        <f>Vendas[[#This Row],[Valor da Venda]]-(_xlfn.XLOOKUP(Vendas[[#This Row],[ID Item Vendido]],Agregado[ID],Agregado[Custo])*Vendas[[#This Row],[Qnt Vendida]])</f>
        <v>149.39999999999998</v>
      </c>
      <c r="K557" s="70">
        <f>Vendas[[#This Row],[Lucro da Venda]]/Vendas[[#This Row],[Valor da Venda]]</f>
        <v>0.23076923076923075</v>
      </c>
      <c r="L557" s="3">
        <f>_xlfn.IFS(Vendas[[#This Row],[Margem de Lucro (%)]]&lt;15%,Vendas[[#This Row],[Valor da Venda]]*3%,Vendas[[#This Row],[Margem de Lucro (%)]]&lt;=20%,Vendas[[#This Row],[Valor da Venda]]*4.5%,TRUE,Vendas[[#This Row],[Valor da Venda]]*6%)</f>
        <v>38.843999999999994</v>
      </c>
      <c r="M557"/>
    </row>
    <row r="558" spans="1:13" x14ac:dyDescent="0.3">
      <c r="A558" s="7">
        <v>400243</v>
      </c>
      <c r="B558" t="str">
        <f>_xlfn.XLOOKUP(Vendas[[#This Row],[ID Vendedor]],Vendedores[ID],Vendedores[Nome])</f>
        <v>Marcelo</v>
      </c>
      <c r="C558" s="7" t="str">
        <f>_xlfn.XLOOKUP(Vendas[[#This Row],[ID Vendedor]],Vendedores[ID],Vendedores[Setor])</f>
        <v>FM</v>
      </c>
      <c r="D558" s="7" t="s">
        <v>31</v>
      </c>
      <c r="E558" t="str">
        <f>_xlfn.XLOOKUP(Vendas[[#This Row],[ID Item Vendido]],Agregado[ID],Agregado[Produto])</f>
        <v>Tela de metal soldada rolo 2x25m</v>
      </c>
      <c r="F558" s="39">
        <v>43977</v>
      </c>
      <c r="G558" s="7">
        <v>12</v>
      </c>
      <c r="H558" s="3">
        <f>_xlfn.XLOOKUP(Vendas[[#This Row],[ID Item Vendido]],Agregado[ID],Agregado[Revenda])</f>
        <v>43.7</v>
      </c>
      <c r="I558" s="3">
        <f>Vendas[[#This Row],[Valor Unitário]]*Vendas[[#This Row],[Qnt Vendida]]</f>
        <v>524.40000000000009</v>
      </c>
      <c r="J558" s="3">
        <f>Vendas[[#This Row],[Valor da Venda]]-(_xlfn.XLOOKUP(Vendas[[#This Row],[ID Item Vendido]],Agregado[ID],Agregado[Custo])*Vendas[[#This Row],[Qnt Vendida]])</f>
        <v>68.400000000000091</v>
      </c>
      <c r="K558" s="70">
        <f>Vendas[[#This Row],[Lucro da Venda]]/Vendas[[#This Row],[Valor da Venda]]</f>
        <v>0.13043478260869582</v>
      </c>
      <c r="L558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558"/>
    </row>
    <row r="559" spans="1:13" x14ac:dyDescent="0.3">
      <c r="A559" s="7">
        <v>400241</v>
      </c>
      <c r="B559" t="str">
        <f>_xlfn.XLOOKUP(Vendas[[#This Row],[ID Vendedor]],Vendedores[ID],Vendedores[Nome])</f>
        <v>Rodrigo</v>
      </c>
      <c r="C559" s="7" t="str">
        <f>_xlfn.XLOOKUP(Vendas[[#This Row],[ID Vendedor]],Vendedores[ID],Vendedores[Setor])</f>
        <v>FM</v>
      </c>
      <c r="D559" s="7" t="s">
        <v>31</v>
      </c>
      <c r="E559" t="str">
        <f>_xlfn.XLOOKUP(Vendas[[#This Row],[ID Item Vendido]],Agregado[ID],Agregado[Produto])</f>
        <v>Tela de metal soldada rolo 2x25m</v>
      </c>
      <c r="F559" s="39">
        <v>43978</v>
      </c>
      <c r="G559" s="7">
        <v>16</v>
      </c>
      <c r="H559" s="3">
        <f>_xlfn.XLOOKUP(Vendas[[#This Row],[ID Item Vendido]],Agregado[ID],Agregado[Revenda])</f>
        <v>43.7</v>
      </c>
      <c r="I559" s="3">
        <f>Vendas[[#This Row],[Valor Unitário]]*Vendas[[#This Row],[Qnt Vendida]]</f>
        <v>699.2</v>
      </c>
      <c r="J559" s="3">
        <f>Vendas[[#This Row],[Valor da Venda]]-(_xlfn.XLOOKUP(Vendas[[#This Row],[ID Item Vendido]],Agregado[ID],Agregado[Custo])*Vendas[[#This Row],[Qnt Vendida]])</f>
        <v>91.200000000000045</v>
      </c>
      <c r="K559" s="70">
        <f>Vendas[[#This Row],[Lucro da Venda]]/Vendas[[#This Row],[Valor da Venda]]</f>
        <v>0.1304347826086957</v>
      </c>
      <c r="L559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559"/>
    </row>
    <row r="560" spans="1:13" x14ac:dyDescent="0.3">
      <c r="A560" s="7">
        <v>400251</v>
      </c>
      <c r="B560" t="str">
        <f>_xlfn.XLOOKUP(Vendas[[#This Row],[ID Vendedor]],Vendedores[ID],Vendedores[Nome])</f>
        <v>Diego</v>
      </c>
      <c r="C560" s="7" t="str">
        <f>_xlfn.XLOOKUP(Vendas[[#This Row],[ID Vendedor]],Vendedores[ID],Vendedores[Setor])</f>
        <v>AB</v>
      </c>
      <c r="D560" s="7" t="s">
        <v>36</v>
      </c>
      <c r="E560" t="str">
        <f>_xlfn.XLOOKUP(Vendas[[#This Row],[ID Item Vendido]],Agregado[ID],Agregado[Produto])</f>
        <v>Borracha vulcanizada em manta</v>
      </c>
      <c r="F560" s="39">
        <v>43978</v>
      </c>
      <c r="G560" s="7">
        <v>85</v>
      </c>
      <c r="H560" s="3">
        <f>_xlfn.XLOOKUP(Vendas[[#This Row],[ID Item Vendido]],Agregado[ID],Agregado[Revenda])</f>
        <v>7.8</v>
      </c>
      <c r="I560" s="3">
        <f>Vendas[[#This Row],[Valor Unitário]]*Vendas[[#This Row],[Qnt Vendida]]</f>
        <v>663</v>
      </c>
      <c r="J560" s="3">
        <f>Vendas[[#This Row],[Valor da Venda]]-(_xlfn.XLOOKUP(Vendas[[#This Row],[ID Item Vendido]],Agregado[ID],Agregado[Custo])*Vendas[[#This Row],[Qnt Vendida]])</f>
        <v>153</v>
      </c>
      <c r="K560" s="70">
        <f>Vendas[[#This Row],[Lucro da Venda]]/Vendas[[#This Row],[Valor da Venda]]</f>
        <v>0.23076923076923078</v>
      </c>
      <c r="L560" s="3">
        <f>_xlfn.IFS(Vendas[[#This Row],[Margem de Lucro (%)]]&lt;15%,Vendas[[#This Row],[Valor da Venda]]*3%,Vendas[[#This Row],[Margem de Lucro (%)]]&lt;=20%,Vendas[[#This Row],[Valor da Venda]]*4.5%,TRUE,Vendas[[#This Row],[Valor da Venda]]*6%)</f>
        <v>39.78</v>
      </c>
      <c r="M560"/>
    </row>
    <row r="561" spans="1:13" x14ac:dyDescent="0.3">
      <c r="A561" s="7">
        <v>400241</v>
      </c>
      <c r="B561" t="str">
        <f>_xlfn.XLOOKUP(Vendas[[#This Row],[ID Vendedor]],Vendedores[ID],Vendedores[Nome])</f>
        <v>Rodrigo</v>
      </c>
      <c r="C561" s="7" t="str">
        <f>_xlfn.XLOOKUP(Vendas[[#This Row],[ID Vendedor]],Vendedores[ID],Vendedores[Setor])</f>
        <v>FM</v>
      </c>
      <c r="D561" s="7" t="s">
        <v>47</v>
      </c>
      <c r="E561" t="str">
        <f>_xlfn.XLOOKUP(Vendas[[#This Row],[ID Item Vendido]],Agregado[ID],Agregado[Produto])</f>
        <v>Fio de arame galvanizado rolo 50m</v>
      </c>
      <c r="F561" s="39">
        <v>43978</v>
      </c>
      <c r="G561" s="7">
        <v>31</v>
      </c>
      <c r="H561" s="3">
        <f>_xlfn.XLOOKUP(Vendas[[#This Row],[ID Item Vendido]],Agregado[ID],Agregado[Revenda])</f>
        <v>21.2</v>
      </c>
      <c r="I561" s="3">
        <f>Vendas[[#This Row],[Valor Unitário]]*Vendas[[#This Row],[Qnt Vendida]]</f>
        <v>657.19999999999993</v>
      </c>
      <c r="J561" s="3">
        <f>Vendas[[#This Row],[Valor da Venda]]-(_xlfn.XLOOKUP(Vendas[[#This Row],[ID Item Vendido]],Agregado[ID],Agregado[Custo])*Vendas[[#This Row],[Qnt Vendida]])</f>
        <v>99.199999999999932</v>
      </c>
      <c r="K561" s="70">
        <f>Vendas[[#This Row],[Lucro da Venda]]/Vendas[[#This Row],[Valor da Venda]]</f>
        <v>0.15094339622641501</v>
      </c>
      <c r="L561" s="3">
        <f>_xlfn.IFS(Vendas[[#This Row],[Margem de Lucro (%)]]&lt;15%,Vendas[[#This Row],[Valor da Venda]]*3%,Vendas[[#This Row],[Margem de Lucro (%)]]&lt;=20%,Vendas[[#This Row],[Valor da Venda]]*4.5%,TRUE,Vendas[[#This Row],[Valor da Venda]]*6%)</f>
        <v>29.573999999999995</v>
      </c>
      <c r="M561"/>
    </row>
    <row r="562" spans="1:13" x14ac:dyDescent="0.3">
      <c r="A562" s="7">
        <v>400247</v>
      </c>
      <c r="B562" t="str">
        <f>_xlfn.XLOOKUP(Vendas[[#This Row],[ID Vendedor]],Vendedores[ID],Vendedores[Nome])</f>
        <v>André</v>
      </c>
      <c r="C562" s="7" t="str">
        <f>_xlfn.XLOOKUP(Vendas[[#This Row],[ID Vendedor]],Vendedores[ID],Vendedores[Setor])</f>
        <v>CM</v>
      </c>
      <c r="D562" s="7" t="s">
        <v>22</v>
      </c>
      <c r="E562" t="str">
        <f>_xlfn.XLOOKUP(Vendas[[#This Row],[ID Item Vendido]],Agregado[ID],Agregado[Produto])</f>
        <v>Painel MDP 2,75x1,83m</v>
      </c>
      <c r="F562" s="39">
        <v>43979</v>
      </c>
      <c r="G562" s="7">
        <v>15</v>
      </c>
      <c r="H562" s="3">
        <f>_xlfn.XLOOKUP(Vendas[[#This Row],[ID Item Vendido]],Agregado[ID],Agregado[Revenda])</f>
        <v>119</v>
      </c>
      <c r="I562" s="3">
        <f>Vendas[[#This Row],[Valor Unitário]]*Vendas[[#This Row],[Qnt Vendida]]</f>
        <v>1785</v>
      </c>
      <c r="J562" s="3">
        <f>Vendas[[#This Row],[Valor da Venda]]-(_xlfn.XLOOKUP(Vendas[[#This Row],[ID Item Vendido]],Agregado[ID],Agregado[Custo])*Vendas[[#This Row],[Qnt Vendida]])</f>
        <v>360</v>
      </c>
      <c r="K562" s="70">
        <f>Vendas[[#This Row],[Lucro da Venda]]/Vendas[[#This Row],[Valor da Venda]]</f>
        <v>0.20168067226890757</v>
      </c>
      <c r="L562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562"/>
    </row>
    <row r="563" spans="1:13" x14ac:dyDescent="0.3">
      <c r="A563" s="7">
        <v>400241</v>
      </c>
      <c r="B563" t="str">
        <f>_xlfn.XLOOKUP(Vendas[[#This Row],[ID Vendedor]],Vendedores[ID],Vendedores[Nome])</f>
        <v>Rodrigo</v>
      </c>
      <c r="C563" s="7" t="str">
        <f>_xlfn.XLOOKUP(Vendas[[#This Row],[ID Vendedor]],Vendedores[ID],Vendedores[Setor])</f>
        <v>FM</v>
      </c>
      <c r="D563" s="7" t="s">
        <v>47</v>
      </c>
      <c r="E563" t="str">
        <f>_xlfn.XLOOKUP(Vendas[[#This Row],[ID Item Vendido]],Agregado[ID],Agregado[Produto])</f>
        <v>Fio de arame galvanizado rolo 50m</v>
      </c>
      <c r="F563" s="39">
        <v>43980</v>
      </c>
      <c r="G563" s="7">
        <v>36</v>
      </c>
      <c r="H563" s="3">
        <f>_xlfn.XLOOKUP(Vendas[[#This Row],[ID Item Vendido]],Agregado[ID],Agregado[Revenda])</f>
        <v>21.2</v>
      </c>
      <c r="I563" s="3">
        <f>Vendas[[#This Row],[Valor Unitário]]*Vendas[[#This Row],[Qnt Vendida]]</f>
        <v>763.19999999999993</v>
      </c>
      <c r="J563" s="3">
        <f>Vendas[[#This Row],[Valor da Venda]]-(_xlfn.XLOOKUP(Vendas[[#This Row],[ID Item Vendido]],Agregado[ID],Agregado[Custo])*Vendas[[#This Row],[Qnt Vendida]])</f>
        <v>115.19999999999993</v>
      </c>
      <c r="K563" s="70">
        <f>Vendas[[#This Row],[Lucro da Venda]]/Vendas[[#This Row],[Valor da Venda]]</f>
        <v>0.15094339622641501</v>
      </c>
      <c r="L563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563"/>
    </row>
    <row r="564" spans="1:13" x14ac:dyDescent="0.3">
      <c r="A564" s="7">
        <v>400251</v>
      </c>
      <c r="B564" t="str">
        <f>_xlfn.XLOOKUP(Vendas[[#This Row],[ID Vendedor]],Vendedores[ID],Vendedores[Nome])</f>
        <v>Diego</v>
      </c>
      <c r="C564" s="7" t="str">
        <f>_xlfn.XLOOKUP(Vendas[[#This Row],[ID Vendedor]],Vendedores[ID],Vendedores[Setor])</f>
        <v>AB</v>
      </c>
      <c r="D564" s="7" t="s">
        <v>37</v>
      </c>
      <c r="E564" t="str">
        <f>_xlfn.XLOOKUP(Vendas[[#This Row],[ID Item Vendido]],Agregado[ID],Agregado[Produto])</f>
        <v>Composto de borracha para vedação rolo 10m</v>
      </c>
      <c r="F564" s="39">
        <v>43980</v>
      </c>
      <c r="G564" s="7">
        <v>14</v>
      </c>
      <c r="H564" s="3">
        <f>_xlfn.XLOOKUP(Vendas[[#This Row],[ID Item Vendido]],Agregado[ID],Agregado[Revenda])</f>
        <v>51.2</v>
      </c>
      <c r="I564" s="3">
        <f>Vendas[[#This Row],[Valor Unitário]]*Vendas[[#This Row],[Qnt Vendida]]</f>
        <v>716.80000000000007</v>
      </c>
      <c r="J564" s="3">
        <f>Vendas[[#This Row],[Valor da Venda]]-(_xlfn.XLOOKUP(Vendas[[#This Row],[ID Item Vendido]],Agregado[ID],Agregado[Custo])*Vendas[[#This Row],[Qnt Vendida]])</f>
        <v>156.80000000000007</v>
      </c>
      <c r="K564" s="70">
        <f>Vendas[[#This Row],[Lucro da Venda]]/Vendas[[#This Row],[Valor da Venda]]</f>
        <v>0.21875000000000008</v>
      </c>
      <c r="L564" s="3">
        <f>_xlfn.IFS(Vendas[[#This Row],[Margem de Lucro (%)]]&lt;15%,Vendas[[#This Row],[Valor da Venda]]*3%,Vendas[[#This Row],[Margem de Lucro (%)]]&lt;=20%,Vendas[[#This Row],[Valor da Venda]]*4.5%,TRUE,Vendas[[#This Row],[Valor da Venda]]*6%)</f>
        <v>43.008000000000003</v>
      </c>
      <c r="M564"/>
    </row>
    <row r="565" spans="1:13" x14ac:dyDescent="0.3">
      <c r="A565" s="7">
        <v>400249</v>
      </c>
      <c r="B565" t="str">
        <f>_xlfn.XLOOKUP(Vendas[[#This Row],[ID Vendedor]],Vendedores[ID],Vendedores[Nome])</f>
        <v>Bruno</v>
      </c>
      <c r="C565" s="7" t="str">
        <f>_xlfn.XLOOKUP(Vendas[[#This Row],[ID Vendedor]],Vendedores[ID],Vendedores[Setor])</f>
        <v>CM</v>
      </c>
      <c r="D565" s="7" t="s">
        <v>34</v>
      </c>
      <c r="E565" t="str">
        <f>_xlfn.XLOOKUP(Vendas[[#This Row],[ID Item Vendido]],Agregado[ID],Agregado[Produto])</f>
        <v>Restos de madeira p/ MDP/OSB saco de 20kg</v>
      </c>
      <c r="F565" s="39">
        <v>43980</v>
      </c>
      <c r="G565" s="7">
        <v>15</v>
      </c>
      <c r="H565" s="3">
        <f>_xlfn.XLOOKUP(Vendas[[#This Row],[ID Item Vendido]],Agregado[ID],Agregado[Revenda])</f>
        <v>13.8</v>
      </c>
      <c r="I565" s="3">
        <f>Vendas[[#This Row],[Valor Unitário]]*Vendas[[#This Row],[Qnt Vendida]]</f>
        <v>207</v>
      </c>
      <c r="J565" s="3">
        <f>Vendas[[#This Row],[Valor da Venda]]-(_xlfn.XLOOKUP(Vendas[[#This Row],[ID Item Vendido]],Agregado[ID],Agregado[Custo])*Vendas[[#This Row],[Qnt Vendida]])</f>
        <v>27</v>
      </c>
      <c r="K565" s="70">
        <f>Vendas[[#This Row],[Lucro da Venda]]/Vendas[[#This Row],[Valor da Venda]]</f>
        <v>0.13043478260869565</v>
      </c>
      <c r="L565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565"/>
    </row>
    <row r="566" spans="1:13" x14ac:dyDescent="0.3">
      <c r="A566" s="7">
        <v>400244</v>
      </c>
      <c r="B566" t="str">
        <f>_xlfn.XLOOKUP(Vendas[[#This Row],[ID Vendedor]],Vendedores[ID],Vendedores[Nome])</f>
        <v>Camila</v>
      </c>
      <c r="C566" s="7" t="str">
        <f>_xlfn.XLOOKUP(Vendas[[#This Row],[ID Vendedor]],Vendedores[ID],Vendedores[Setor])</f>
        <v>AHD</v>
      </c>
      <c r="D566" s="7" t="s">
        <v>30</v>
      </c>
      <c r="E566" t="str">
        <f>_xlfn.XLOOKUP(Vendas[[#This Row],[ID Item Vendido]],Agregado[ID],Agregado[Produto])</f>
        <v>Estrutura metálica soldada</v>
      </c>
      <c r="F566" s="39">
        <v>43982</v>
      </c>
      <c r="G566" s="7">
        <v>4</v>
      </c>
      <c r="H566" s="3">
        <f>_xlfn.XLOOKUP(Vendas[[#This Row],[ID Item Vendido]],Agregado[ID],Agregado[Revenda])</f>
        <v>400</v>
      </c>
      <c r="I566" s="3">
        <f>Vendas[[#This Row],[Valor Unitário]]*Vendas[[#This Row],[Qnt Vendida]]</f>
        <v>1600</v>
      </c>
      <c r="J566" s="3">
        <f>Vendas[[#This Row],[Valor da Venda]]-(_xlfn.XLOOKUP(Vendas[[#This Row],[ID Item Vendido]],Agregado[ID],Agregado[Custo])*Vendas[[#This Row],[Qnt Vendida]])</f>
        <v>320</v>
      </c>
      <c r="K566" s="70">
        <f>Vendas[[#This Row],[Lucro da Venda]]/Vendas[[#This Row],[Valor da Venda]]</f>
        <v>0.2</v>
      </c>
      <c r="L566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566"/>
    </row>
    <row r="567" spans="1:13" x14ac:dyDescent="0.3">
      <c r="A567" s="7">
        <v>400247</v>
      </c>
      <c r="B567" t="str">
        <f>_xlfn.XLOOKUP(Vendas[[#This Row],[ID Vendedor]],Vendedores[ID],Vendedores[Nome])</f>
        <v>André</v>
      </c>
      <c r="C567" s="7" t="str">
        <f>_xlfn.XLOOKUP(Vendas[[#This Row],[ID Vendedor]],Vendedores[ID],Vendedores[Setor])</f>
        <v>CM</v>
      </c>
      <c r="D567" s="7" t="s">
        <v>45</v>
      </c>
      <c r="E567" t="str">
        <f>_xlfn.XLOOKUP(Vendas[[#This Row],[ID Item Vendido]],Agregado[ID],Agregado[Produto])</f>
        <v>Viga de madeira tratada 4m</v>
      </c>
      <c r="F567" s="39">
        <v>43983</v>
      </c>
      <c r="G567" s="7">
        <v>7</v>
      </c>
      <c r="H567" s="3">
        <f>_xlfn.XLOOKUP(Vendas[[#This Row],[ID Item Vendido]],Agregado[ID],Agregado[Revenda])</f>
        <v>66</v>
      </c>
      <c r="I567" s="3">
        <f>Vendas[[#This Row],[Valor Unitário]]*Vendas[[#This Row],[Qnt Vendida]]</f>
        <v>462</v>
      </c>
      <c r="J567" s="3">
        <f>Vendas[[#This Row],[Valor da Venda]]-(_xlfn.XLOOKUP(Vendas[[#This Row],[ID Item Vendido]],Agregado[ID],Agregado[Custo])*Vendas[[#This Row],[Qnt Vendida]])</f>
        <v>77</v>
      </c>
      <c r="K567" s="70">
        <f>Vendas[[#This Row],[Lucro da Venda]]/Vendas[[#This Row],[Valor da Venda]]</f>
        <v>0.16666666666666666</v>
      </c>
      <c r="L567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567"/>
    </row>
    <row r="568" spans="1:13" x14ac:dyDescent="0.3">
      <c r="A568" s="7">
        <v>400243</v>
      </c>
      <c r="B568" t="str">
        <f>_xlfn.XLOOKUP(Vendas[[#This Row],[ID Vendedor]],Vendedores[ID],Vendedores[Nome])</f>
        <v>Marcelo</v>
      </c>
      <c r="C568" s="7" t="str">
        <f>_xlfn.XLOOKUP(Vendas[[#This Row],[ID Vendedor]],Vendedores[ID],Vendedores[Setor])</f>
        <v>FM</v>
      </c>
      <c r="D568" s="7" t="s">
        <v>20</v>
      </c>
      <c r="E568" t="str">
        <f>_xlfn.XLOOKUP(Vendas[[#This Row],[ID Item Vendido]],Agregado[ID],Agregado[Produto])</f>
        <v>Barra de aço simples</v>
      </c>
      <c r="F568" s="39">
        <v>43983</v>
      </c>
      <c r="G568" s="7">
        <v>83</v>
      </c>
      <c r="H568" s="3">
        <f>_xlfn.XLOOKUP(Vendas[[#This Row],[ID Item Vendido]],Agregado[ID],Agregado[Revenda])</f>
        <v>4.8</v>
      </c>
      <c r="I568" s="3">
        <f>Vendas[[#This Row],[Valor Unitário]]*Vendas[[#This Row],[Qnt Vendida]]</f>
        <v>398.4</v>
      </c>
      <c r="J568" s="3">
        <f>Vendas[[#This Row],[Valor da Venda]]-(_xlfn.XLOOKUP(Vendas[[#This Row],[ID Item Vendido]],Agregado[ID],Agregado[Custo])*Vendas[[#This Row],[Qnt Vendida]])</f>
        <v>49.799999999999955</v>
      </c>
      <c r="K568" s="70">
        <f>Vendas[[#This Row],[Lucro da Venda]]/Vendas[[#This Row],[Valor da Venda]]</f>
        <v>0.12499999999999989</v>
      </c>
      <c r="L568" s="3">
        <f>_xlfn.IFS(Vendas[[#This Row],[Margem de Lucro (%)]]&lt;15%,Vendas[[#This Row],[Valor da Venda]]*3%,Vendas[[#This Row],[Margem de Lucro (%)]]&lt;=20%,Vendas[[#This Row],[Valor da Venda]]*4.5%,TRUE,Vendas[[#This Row],[Valor da Venda]]*6%)</f>
        <v>11.951999999999998</v>
      </c>
      <c r="M568"/>
    </row>
    <row r="569" spans="1:13" x14ac:dyDescent="0.3">
      <c r="A569" s="7">
        <v>400251</v>
      </c>
      <c r="B569" t="str">
        <f>_xlfn.XLOOKUP(Vendas[[#This Row],[ID Vendedor]],Vendedores[ID],Vendedores[Nome])</f>
        <v>Diego</v>
      </c>
      <c r="C569" s="7" t="str">
        <f>_xlfn.XLOOKUP(Vendas[[#This Row],[ID Vendedor]],Vendedores[ID],Vendedores[Setor])</f>
        <v>AB</v>
      </c>
      <c r="D569" s="7" t="s">
        <v>12</v>
      </c>
      <c r="E569" t="str">
        <f>_xlfn.XLOOKUP(Vendas[[#This Row],[ID Item Vendido]],Agregado[ID],Agregado[Produto])</f>
        <v>Grânulo de plástico reciclado refinado</v>
      </c>
      <c r="F569" s="39">
        <v>43986</v>
      </c>
      <c r="G569" s="7">
        <v>53</v>
      </c>
      <c r="H569" s="3">
        <f>_xlfn.XLOOKUP(Vendas[[#This Row],[ID Item Vendido]],Agregado[ID],Agregado[Revenda])</f>
        <v>4.7</v>
      </c>
      <c r="I569" s="3">
        <f>Vendas[[#This Row],[Valor Unitário]]*Vendas[[#This Row],[Qnt Vendida]]</f>
        <v>249.10000000000002</v>
      </c>
      <c r="J569" s="3">
        <f>Vendas[[#This Row],[Valor da Venda]]-(_xlfn.XLOOKUP(Vendas[[#This Row],[ID Item Vendido]],Agregado[ID],Agregado[Custo])*Vendas[[#This Row],[Qnt Vendida]])</f>
        <v>63.600000000000023</v>
      </c>
      <c r="K569" s="70">
        <f>Vendas[[#This Row],[Lucro da Venda]]/Vendas[[#This Row],[Valor da Venda]]</f>
        <v>0.2553191489361703</v>
      </c>
      <c r="L569" s="3">
        <f>_xlfn.IFS(Vendas[[#This Row],[Margem de Lucro (%)]]&lt;15%,Vendas[[#This Row],[Valor da Venda]]*3%,Vendas[[#This Row],[Margem de Lucro (%)]]&lt;=20%,Vendas[[#This Row],[Valor da Venda]]*4.5%,TRUE,Vendas[[#This Row],[Valor da Venda]]*6%)</f>
        <v>14.946000000000002</v>
      </c>
      <c r="M569"/>
    </row>
    <row r="570" spans="1:13" x14ac:dyDescent="0.3">
      <c r="A570" s="7">
        <v>400255</v>
      </c>
      <c r="B570" t="str">
        <f>_xlfn.XLOOKUP(Vendas[[#This Row],[ID Vendedor]],Vendedores[ID],Vendedores[Nome])</f>
        <v>Carlos</v>
      </c>
      <c r="C570" s="7" t="str">
        <f>_xlfn.XLOOKUP(Vendas[[#This Row],[ID Vendedor]],Vendedores[ID],Vendedores[Setor])</f>
        <v>SC</v>
      </c>
      <c r="D570" s="7" t="s">
        <v>48</v>
      </c>
      <c r="E570" t="str">
        <f>_xlfn.XLOOKUP(Vendas[[#This Row],[ID Item Vendido]],Agregado[ID],Agregado[Produto])</f>
        <v>Tambor metálico 200L</v>
      </c>
      <c r="F570" s="39">
        <v>43987</v>
      </c>
      <c r="G570" s="7">
        <v>20</v>
      </c>
      <c r="H570" s="3">
        <f>_xlfn.XLOOKUP(Vendas[[#This Row],[ID Item Vendido]],Agregado[ID],Agregado[Revenda])</f>
        <v>144</v>
      </c>
      <c r="I570" s="3">
        <f>Vendas[[#This Row],[Valor Unitário]]*Vendas[[#This Row],[Qnt Vendida]]</f>
        <v>2880</v>
      </c>
      <c r="J570" s="3">
        <f>Vendas[[#This Row],[Valor da Venda]]-(_xlfn.XLOOKUP(Vendas[[#This Row],[ID Item Vendido]],Agregado[ID],Agregado[Custo])*Vendas[[#This Row],[Qnt Vendida]])</f>
        <v>480</v>
      </c>
      <c r="K570" s="70">
        <f>Vendas[[#This Row],[Lucro da Venda]]/Vendas[[#This Row],[Valor da Venda]]</f>
        <v>0.16666666666666666</v>
      </c>
      <c r="L570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570"/>
    </row>
    <row r="571" spans="1:13" x14ac:dyDescent="0.3">
      <c r="A571" s="7">
        <v>400247</v>
      </c>
      <c r="B571" t="str">
        <f>_xlfn.XLOOKUP(Vendas[[#This Row],[ID Vendedor]],Vendedores[ID],Vendedores[Nome])</f>
        <v>André</v>
      </c>
      <c r="C571" s="7" t="str">
        <f>_xlfn.XLOOKUP(Vendas[[#This Row],[ID Vendedor]],Vendedores[ID],Vendedores[Setor])</f>
        <v>CM</v>
      </c>
      <c r="D571" s="7" t="s">
        <v>22</v>
      </c>
      <c r="E571" t="str">
        <f>_xlfn.XLOOKUP(Vendas[[#This Row],[ID Item Vendido]],Agregado[ID],Agregado[Produto])</f>
        <v>Painel MDP 2,75x1,83m</v>
      </c>
      <c r="F571" s="39">
        <v>43989</v>
      </c>
      <c r="G571" s="7">
        <v>5</v>
      </c>
      <c r="H571" s="3">
        <f>_xlfn.XLOOKUP(Vendas[[#This Row],[ID Item Vendido]],Agregado[ID],Agregado[Revenda])</f>
        <v>119</v>
      </c>
      <c r="I571" s="3">
        <f>Vendas[[#This Row],[Valor Unitário]]*Vendas[[#This Row],[Qnt Vendida]]</f>
        <v>595</v>
      </c>
      <c r="J571" s="3">
        <f>Vendas[[#This Row],[Valor da Venda]]-(_xlfn.XLOOKUP(Vendas[[#This Row],[ID Item Vendido]],Agregado[ID],Agregado[Custo])*Vendas[[#This Row],[Qnt Vendida]])</f>
        <v>120</v>
      </c>
      <c r="K571" s="70">
        <f>Vendas[[#This Row],[Lucro da Venda]]/Vendas[[#This Row],[Valor da Venda]]</f>
        <v>0.20168067226890757</v>
      </c>
      <c r="L571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571"/>
    </row>
    <row r="572" spans="1:13" x14ac:dyDescent="0.3">
      <c r="A572" s="7">
        <v>400247</v>
      </c>
      <c r="B572" t="str">
        <f>_xlfn.XLOOKUP(Vendas[[#This Row],[ID Vendedor]],Vendedores[ID],Vendedores[Nome])</f>
        <v>André</v>
      </c>
      <c r="C572" s="7" t="str">
        <f>_xlfn.XLOOKUP(Vendas[[#This Row],[ID Vendedor]],Vendedores[ID],Vendedores[Setor])</f>
        <v>CM</v>
      </c>
      <c r="D572" s="7" t="s">
        <v>32</v>
      </c>
      <c r="E572" t="str">
        <f>_xlfn.XLOOKUP(Vendas[[#This Row],[ID Item Vendido]],Agregado[ID],Agregado[Produto])</f>
        <v>Tábua tratada e cortada 3m</v>
      </c>
      <c r="F572" s="39">
        <v>43991</v>
      </c>
      <c r="G572" s="7">
        <v>21</v>
      </c>
      <c r="H572" s="3">
        <f>_xlfn.XLOOKUP(Vendas[[#This Row],[ID Item Vendido]],Agregado[ID],Agregado[Revenda])</f>
        <v>39</v>
      </c>
      <c r="I572" s="3">
        <f>Vendas[[#This Row],[Valor Unitário]]*Vendas[[#This Row],[Qnt Vendida]]</f>
        <v>819</v>
      </c>
      <c r="J572" s="3">
        <f>Vendas[[#This Row],[Valor da Venda]]-(_xlfn.XLOOKUP(Vendas[[#This Row],[ID Item Vendido]],Agregado[ID],Agregado[Custo])*Vendas[[#This Row],[Qnt Vendida]])</f>
        <v>147</v>
      </c>
      <c r="K572" s="70">
        <f>Vendas[[#This Row],[Lucro da Venda]]/Vendas[[#This Row],[Valor da Venda]]</f>
        <v>0.17948717948717949</v>
      </c>
      <c r="L572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572"/>
    </row>
    <row r="573" spans="1:13" x14ac:dyDescent="0.3">
      <c r="A573" s="7">
        <v>400245</v>
      </c>
      <c r="B573" t="str">
        <f>_xlfn.XLOOKUP(Vendas[[#This Row],[ID Vendedor]],Vendedores[ID],Vendedores[Nome])</f>
        <v>Thiago</v>
      </c>
      <c r="C573" s="7" t="str">
        <f>_xlfn.XLOOKUP(Vendas[[#This Row],[ID Vendedor]],Vendedores[ID],Vendedores[Setor])</f>
        <v>AHD</v>
      </c>
      <c r="D573" s="7" t="s">
        <v>44</v>
      </c>
      <c r="E573" t="str">
        <f>_xlfn.XLOOKUP(Vendas[[#This Row],[ID Item Vendido]],Agregado[ID],Agregado[Produto])</f>
        <v>Liga metálica especial</v>
      </c>
      <c r="F573" s="39">
        <v>43991</v>
      </c>
      <c r="G573" s="7">
        <v>20</v>
      </c>
      <c r="H573" s="3">
        <f>_xlfn.XLOOKUP(Vendas[[#This Row],[ID Item Vendido]],Agregado[ID],Agregado[Revenda])</f>
        <v>32.5</v>
      </c>
      <c r="I573" s="3">
        <f>Vendas[[#This Row],[Valor Unitário]]*Vendas[[#This Row],[Qnt Vendida]]</f>
        <v>650</v>
      </c>
      <c r="J573" s="3">
        <f>Vendas[[#This Row],[Valor da Venda]]-(_xlfn.XLOOKUP(Vendas[[#This Row],[ID Item Vendido]],Agregado[ID],Agregado[Custo])*Vendas[[#This Row],[Qnt Vendida]])</f>
        <v>150</v>
      </c>
      <c r="K573" s="70">
        <f>Vendas[[#This Row],[Lucro da Venda]]/Vendas[[#This Row],[Valor da Venda]]</f>
        <v>0.23076923076923078</v>
      </c>
      <c r="L573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573"/>
    </row>
    <row r="574" spans="1:13" x14ac:dyDescent="0.3">
      <c r="A574" s="7">
        <v>400244</v>
      </c>
      <c r="B574" t="str">
        <f>_xlfn.XLOOKUP(Vendas[[#This Row],[ID Vendedor]],Vendedores[ID],Vendedores[Nome])</f>
        <v>Camila</v>
      </c>
      <c r="C574" s="7" t="str">
        <f>_xlfn.XLOOKUP(Vendas[[#This Row],[ID Vendedor]],Vendedores[ID],Vendedores[Setor])</f>
        <v>AHD</v>
      </c>
      <c r="D574" s="7" t="s">
        <v>9</v>
      </c>
      <c r="E574" t="str">
        <f>_xlfn.XLOOKUP(Vendas[[#This Row],[ID Item Vendido]],Agregado[ID],Agregado[Produto])</f>
        <v>Barra de aço simples</v>
      </c>
      <c r="F574" s="39">
        <v>43992</v>
      </c>
      <c r="G574" s="7">
        <v>50</v>
      </c>
      <c r="H574" s="3">
        <f>_xlfn.XLOOKUP(Vendas[[#This Row],[ID Item Vendido]],Agregado[ID],Agregado[Revenda])</f>
        <v>6.7</v>
      </c>
      <c r="I574" s="3">
        <f>Vendas[[#This Row],[Valor Unitário]]*Vendas[[#This Row],[Qnt Vendida]]</f>
        <v>335</v>
      </c>
      <c r="J574" s="3">
        <f>Vendas[[#This Row],[Valor da Venda]]-(_xlfn.XLOOKUP(Vendas[[#This Row],[ID Item Vendido]],Agregado[ID],Agregado[Custo])*Vendas[[#This Row],[Qnt Vendida]])</f>
        <v>45</v>
      </c>
      <c r="K574" s="70">
        <f>Vendas[[#This Row],[Lucro da Venda]]/Vendas[[#This Row],[Valor da Venda]]</f>
        <v>0.13432835820895522</v>
      </c>
      <c r="L574" s="3">
        <f>_xlfn.IFS(Vendas[[#This Row],[Margem de Lucro (%)]]&lt;15%,Vendas[[#This Row],[Valor da Venda]]*3%,Vendas[[#This Row],[Margem de Lucro (%)]]&lt;=20%,Vendas[[#This Row],[Valor da Venda]]*4.5%,TRUE,Vendas[[#This Row],[Valor da Venda]]*6%)</f>
        <v>10.049999999999999</v>
      </c>
      <c r="M574"/>
    </row>
    <row r="575" spans="1:13" x14ac:dyDescent="0.3">
      <c r="A575" s="7">
        <v>400255</v>
      </c>
      <c r="B575" t="str">
        <f>_xlfn.XLOOKUP(Vendas[[#This Row],[ID Vendedor]],Vendedores[ID],Vendedores[Nome])</f>
        <v>Carlos</v>
      </c>
      <c r="C575" s="7" t="str">
        <f>_xlfn.XLOOKUP(Vendas[[#This Row],[ID Vendedor]],Vendedores[ID],Vendedores[Setor])</f>
        <v>SC</v>
      </c>
      <c r="D575" s="7" t="s">
        <v>48</v>
      </c>
      <c r="E575" t="str">
        <f>_xlfn.XLOOKUP(Vendas[[#This Row],[ID Item Vendido]],Agregado[ID],Agregado[Produto])</f>
        <v>Tambor metálico 200L</v>
      </c>
      <c r="F575" s="39">
        <v>43993</v>
      </c>
      <c r="G575" s="7">
        <v>7</v>
      </c>
      <c r="H575" s="3">
        <f>_xlfn.XLOOKUP(Vendas[[#This Row],[ID Item Vendido]],Agregado[ID],Agregado[Revenda])</f>
        <v>144</v>
      </c>
      <c r="I575" s="3">
        <f>Vendas[[#This Row],[Valor Unitário]]*Vendas[[#This Row],[Qnt Vendida]]</f>
        <v>1008</v>
      </c>
      <c r="J575" s="3">
        <f>Vendas[[#This Row],[Valor da Venda]]-(_xlfn.XLOOKUP(Vendas[[#This Row],[ID Item Vendido]],Agregado[ID],Agregado[Custo])*Vendas[[#This Row],[Qnt Vendida]])</f>
        <v>168</v>
      </c>
      <c r="K575" s="70">
        <f>Vendas[[#This Row],[Lucro da Venda]]/Vendas[[#This Row],[Valor da Venda]]</f>
        <v>0.16666666666666666</v>
      </c>
      <c r="L575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575"/>
    </row>
    <row r="576" spans="1:13" x14ac:dyDescent="0.3">
      <c r="A576" s="7">
        <v>400251</v>
      </c>
      <c r="B576" t="str">
        <f>_xlfn.XLOOKUP(Vendas[[#This Row],[ID Vendedor]],Vendedores[ID],Vendedores[Nome])</f>
        <v>Diego</v>
      </c>
      <c r="C576" s="7" t="str">
        <f>_xlfn.XLOOKUP(Vendas[[#This Row],[ID Vendedor]],Vendedores[ID],Vendedores[Setor])</f>
        <v>AB</v>
      </c>
      <c r="D576" s="7" t="s">
        <v>37</v>
      </c>
      <c r="E576" t="str">
        <f>_xlfn.XLOOKUP(Vendas[[#This Row],[ID Item Vendido]],Agregado[ID],Agregado[Produto])</f>
        <v>Composto de borracha para vedação rolo 10m</v>
      </c>
      <c r="F576" s="39">
        <v>43993</v>
      </c>
      <c r="G576" s="7">
        <v>18</v>
      </c>
      <c r="H576" s="3">
        <f>_xlfn.XLOOKUP(Vendas[[#This Row],[ID Item Vendido]],Agregado[ID],Agregado[Revenda])</f>
        <v>51.2</v>
      </c>
      <c r="I576" s="3">
        <f>Vendas[[#This Row],[Valor Unitário]]*Vendas[[#This Row],[Qnt Vendida]]</f>
        <v>921.6</v>
      </c>
      <c r="J576" s="3">
        <f>Vendas[[#This Row],[Valor da Venda]]-(_xlfn.XLOOKUP(Vendas[[#This Row],[ID Item Vendido]],Agregado[ID],Agregado[Custo])*Vendas[[#This Row],[Qnt Vendida]])</f>
        <v>201.60000000000002</v>
      </c>
      <c r="K576" s="70">
        <f>Vendas[[#This Row],[Lucro da Venda]]/Vendas[[#This Row],[Valor da Venda]]</f>
        <v>0.21875000000000003</v>
      </c>
      <c r="L576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576"/>
    </row>
    <row r="577" spans="1:13" x14ac:dyDescent="0.3">
      <c r="A577" s="7">
        <v>400251</v>
      </c>
      <c r="B577" t="str">
        <f>_xlfn.XLOOKUP(Vendas[[#This Row],[ID Vendedor]],Vendedores[ID],Vendedores[Nome])</f>
        <v>Diego</v>
      </c>
      <c r="C577" s="7" t="str">
        <f>_xlfn.XLOOKUP(Vendas[[#This Row],[ID Vendedor]],Vendedores[ID],Vendedores[Setor])</f>
        <v>AB</v>
      </c>
      <c r="D577" s="7" t="s">
        <v>37</v>
      </c>
      <c r="E577" t="str">
        <f>_xlfn.XLOOKUP(Vendas[[#This Row],[ID Item Vendido]],Agregado[ID],Agregado[Produto])</f>
        <v>Composto de borracha para vedação rolo 10m</v>
      </c>
      <c r="F577" s="39">
        <v>43993</v>
      </c>
      <c r="G577" s="7">
        <v>3</v>
      </c>
      <c r="H577" s="3">
        <f>_xlfn.XLOOKUP(Vendas[[#This Row],[ID Item Vendido]],Agregado[ID],Agregado[Revenda])</f>
        <v>51.2</v>
      </c>
      <c r="I577" s="3">
        <f>Vendas[[#This Row],[Valor Unitário]]*Vendas[[#This Row],[Qnt Vendida]]</f>
        <v>153.60000000000002</v>
      </c>
      <c r="J577" s="3">
        <f>Vendas[[#This Row],[Valor da Venda]]-(_xlfn.XLOOKUP(Vendas[[#This Row],[ID Item Vendido]],Agregado[ID],Agregado[Custo])*Vendas[[#This Row],[Qnt Vendida]])</f>
        <v>33.600000000000023</v>
      </c>
      <c r="K577" s="70">
        <f>Vendas[[#This Row],[Lucro da Venda]]/Vendas[[#This Row],[Valor da Venda]]</f>
        <v>0.21875000000000011</v>
      </c>
      <c r="L577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577"/>
    </row>
    <row r="578" spans="1:13" x14ac:dyDescent="0.3">
      <c r="A578" s="7">
        <v>400251</v>
      </c>
      <c r="B578" t="str">
        <f>_xlfn.XLOOKUP(Vendas[[#This Row],[ID Vendedor]],Vendedores[ID],Vendedores[Nome])</f>
        <v>Diego</v>
      </c>
      <c r="C578" s="7" t="str">
        <f>_xlfn.XLOOKUP(Vendas[[#This Row],[ID Vendedor]],Vendedores[ID],Vendedores[Setor])</f>
        <v>AB</v>
      </c>
      <c r="D578" s="7" t="s">
        <v>39</v>
      </c>
      <c r="E578" t="str">
        <f>_xlfn.XLOOKUP(Vendas[[#This Row],[ID Item Vendido]],Agregado[ID],Agregado[Produto])</f>
        <v>Filme plástico industrial rolo 50m</v>
      </c>
      <c r="F578" s="39">
        <v>43995</v>
      </c>
      <c r="G578" s="7">
        <v>19</v>
      </c>
      <c r="H578" s="3">
        <f>_xlfn.XLOOKUP(Vendas[[#This Row],[ID Item Vendido]],Agregado[ID],Agregado[Revenda])</f>
        <v>37</v>
      </c>
      <c r="I578" s="3">
        <f>Vendas[[#This Row],[Valor Unitário]]*Vendas[[#This Row],[Qnt Vendida]]</f>
        <v>703</v>
      </c>
      <c r="J578" s="3">
        <f>Vendas[[#This Row],[Valor da Venda]]-(_xlfn.XLOOKUP(Vendas[[#This Row],[ID Item Vendido]],Agregado[ID],Agregado[Custo])*Vendas[[#This Row],[Qnt Vendida]])</f>
        <v>171</v>
      </c>
      <c r="K578" s="70">
        <f>Vendas[[#This Row],[Lucro da Venda]]/Vendas[[#This Row],[Valor da Venda]]</f>
        <v>0.24324324324324326</v>
      </c>
      <c r="L578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578"/>
    </row>
    <row r="579" spans="1:13" x14ac:dyDescent="0.3">
      <c r="A579" s="7">
        <v>400244</v>
      </c>
      <c r="B579" t="str">
        <f>_xlfn.XLOOKUP(Vendas[[#This Row],[ID Vendedor]],Vendedores[ID],Vendedores[Nome])</f>
        <v>Camila</v>
      </c>
      <c r="C579" s="7" t="str">
        <f>_xlfn.XLOOKUP(Vendas[[#This Row],[ID Vendedor]],Vendedores[ID],Vendedores[Setor])</f>
        <v>AHD</v>
      </c>
      <c r="D579" s="7" t="s">
        <v>18</v>
      </c>
      <c r="E579" t="str">
        <f>_xlfn.XLOOKUP(Vendas[[#This Row],[ID Item Vendido]],Agregado[ID],Agregado[Produto])</f>
        <v>Peça forjada sob encomenda</v>
      </c>
      <c r="F579" s="39">
        <v>43997</v>
      </c>
      <c r="G579" s="7">
        <v>3</v>
      </c>
      <c r="H579" s="3">
        <f>_xlfn.XLOOKUP(Vendas[[#This Row],[ID Item Vendido]],Agregado[ID],Agregado[Revenda])</f>
        <v>264.60000000000002</v>
      </c>
      <c r="I579" s="3">
        <f>Vendas[[#This Row],[Valor Unitário]]*Vendas[[#This Row],[Qnt Vendida]]</f>
        <v>793.80000000000007</v>
      </c>
      <c r="J579" s="3">
        <f>Vendas[[#This Row],[Valor da Venda]]-(_xlfn.XLOOKUP(Vendas[[#This Row],[ID Item Vendido]],Agregado[ID],Agregado[Custo])*Vendas[[#This Row],[Qnt Vendida]])</f>
        <v>43.800000000000068</v>
      </c>
      <c r="K579" s="70">
        <f>Vendas[[#This Row],[Lucro da Venda]]/Vendas[[#This Row],[Valor da Venda]]</f>
        <v>5.5177626606198113E-2</v>
      </c>
      <c r="L57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79"/>
    </row>
    <row r="580" spans="1:13" x14ac:dyDescent="0.3">
      <c r="A580" s="7">
        <v>400249</v>
      </c>
      <c r="B580" t="str">
        <f>_xlfn.XLOOKUP(Vendas[[#This Row],[ID Vendedor]],Vendedores[ID],Vendedores[Nome])</f>
        <v>Bruno</v>
      </c>
      <c r="C580" s="7" t="str">
        <f>_xlfn.XLOOKUP(Vendas[[#This Row],[ID Vendedor]],Vendedores[ID],Vendedores[Setor])</f>
        <v>CM</v>
      </c>
      <c r="D580" s="7" t="s">
        <v>34</v>
      </c>
      <c r="E580" t="str">
        <f>_xlfn.XLOOKUP(Vendas[[#This Row],[ID Item Vendido]],Agregado[ID],Agregado[Produto])</f>
        <v>Restos de madeira p/ MDP/OSB saco de 20kg</v>
      </c>
      <c r="F580" s="39">
        <v>43997</v>
      </c>
      <c r="G580" s="7">
        <v>17</v>
      </c>
      <c r="H580" s="3">
        <f>_xlfn.XLOOKUP(Vendas[[#This Row],[ID Item Vendido]],Agregado[ID],Agregado[Revenda])</f>
        <v>13.8</v>
      </c>
      <c r="I580" s="3">
        <f>Vendas[[#This Row],[Valor Unitário]]*Vendas[[#This Row],[Qnt Vendida]]</f>
        <v>234.60000000000002</v>
      </c>
      <c r="J580" s="3">
        <f>Vendas[[#This Row],[Valor da Venda]]-(_xlfn.XLOOKUP(Vendas[[#This Row],[ID Item Vendido]],Agregado[ID],Agregado[Custo])*Vendas[[#This Row],[Qnt Vendida]])</f>
        <v>30.600000000000023</v>
      </c>
      <c r="K580" s="70">
        <f>Vendas[[#This Row],[Lucro da Venda]]/Vendas[[#This Row],[Valor da Venda]]</f>
        <v>0.13043478260869573</v>
      </c>
      <c r="L580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580"/>
    </row>
    <row r="581" spans="1:13" x14ac:dyDescent="0.3">
      <c r="A581" s="7">
        <v>400241</v>
      </c>
      <c r="B581" t="str">
        <f>_xlfn.XLOOKUP(Vendas[[#This Row],[ID Vendedor]],Vendedores[ID],Vendedores[Nome])</f>
        <v>Rodrigo</v>
      </c>
      <c r="C581" s="7" t="str">
        <f>_xlfn.XLOOKUP(Vendas[[#This Row],[ID Vendedor]],Vendedores[ID],Vendedores[Setor])</f>
        <v>FM</v>
      </c>
      <c r="D581" s="7" t="s">
        <v>27</v>
      </c>
      <c r="E581" t="str">
        <f>_xlfn.XLOOKUP(Vendas[[#This Row],[ID Item Vendido]],Agregado[ID],Agregado[Produto])</f>
        <v>Chapa de metal lisa 1x2m</v>
      </c>
      <c r="F581" s="39">
        <v>44003</v>
      </c>
      <c r="G581" s="7">
        <v>16</v>
      </c>
      <c r="H581" s="3">
        <f>_xlfn.XLOOKUP(Vendas[[#This Row],[ID Item Vendido]],Agregado[ID],Agregado[Revenda])</f>
        <v>52</v>
      </c>
      <c r="I581" s="3">
        <f>Vendas[[#This Row],[Valor Unitário]]*Vendas[[#This Row],[Qnt Vendida]]</f>
        <v>832</v>
      </c>
      <c r="J581" s="3">
        <f>Vendas[[#This Row],[Valor da Venda]]-(_xlfn.XLOOKUP(Vendas[[#This Row],[ID Item Vendido]],Agregado[ID],Agregado[Custo])*Vendas[[#This Row],[Qnt Vendida]])</f>
        <v>112</v>
      </c>
      <c r="K581" s="70">
        <f>Vendas[[#This Row],[Lucro da Venda]]/Vendas[[#This Row],[Valor da Venda]]</f>
        <v>0.13461538461538461</v>
      </c>
      <c r="L581" s="3">
        <f>_xlfn.IFS(Vendas[[#This Row],[Margem de Lucro (%)]]&lt;15%,Vendas[[#This Row],[Valor da Venda]]*3%,Vendas[[#This Row],[Margem de Lucro (%)]]&lt;=20%,Vendas[[#This Row],[Valor da Venda]]*4.5%,TRUE,Vendas[[#This Row],[Valor da Venda]]*6%)</f>
        <v>24.96</v>
      </c>
      <c r="M581"/>
    </row>
    <row r="582" spans="1:13" x14ac:dyDescent="0.3">
      <c r="A582" s="7">
        <v>400251</v>
      </c>
      <c r="B582" t="str">
        <f>_xlfn.XLOOKUP(Vendas[[#This Row],[ID Vendedor]],Vendedores[ID],Vendedores[Nome])</f>
        <v>Diego</v>
      </c>
      <c r="C582" s="7" t="str">
        <f>_xlfn.XLOOKUP(Vendas[[#This Row],[ID Vendedor]],Vendedores[ID],Vendedores[Setor])</f>
        <v>AB</v>
      </c>
      <c r="D582" s="7" t="s">
        <v>12</v>
      </c>
      <c r="E582" t="str">
        <f>_xlfn.XLOOKUP(Vendas[[#This Row],[ID Item Vendido]],Agregado[ID],Agregado[Produto])</f>
        <v>Grânulo de plástico reciclado refinado</v>
      </c>
      <c r="F582" s="39">
        <v>44003</v>
      </c>
      <c r="G582" s="7">
        <v>73</v>
      </c>
      <c r="H582" s="3">
        <f>_xlfn.XLOOKUP(Vendas[[#This Row],[ID Item Vendido]],Agregado[ID],Agregado[Revenda])</f>
        <v>4.7</v>
      </c>
      <c r="I582" s="3">
        <f>Vendas[[#This Row],[Valor Unitário]]*Vendas[[#This Row],[Qnt Vendida]]</f>
        <v>343.1</v>
      </c>
      <c r="J582" s="3">
        <f>Vendas[[#This Row],[Valor da Venda]]-(_xlfn.XLOOKUP(Vendas[[#This Row],[ID Item Vendido]],Agregado[ID],Agregado[Custo])*Vendas[[#This Row],[Qnt Vendida]])</f>
        <v>87.600000000000023</v>
      </c>
      <c r="K582" s="70">
        <f>Vendas[[#This Row],[Lucro da Venda]]/Vendas[[#This Row],[Valor da Venda]]</f>
        <v>0.25531914893617025</v>
      </c>
      <c r="L582" s="3">
        <f>_xlfn.IFS(Vendas[[#This Row],[Margem de Lucro (%)]]&lt;15%,Vendas[[#This Row],[Valor da Venda]]*3%,Vendas[[#This Row],[Margem de Lucro (%)]]&lt;=20%,Vendas[[#This Row],[Valor da Venda]]*4.5%,TRUE,Vendas[[#This Row],[Valor da Venda]]*6%)</f>
        <v>20.586000000000002</v>
      </c>
      <c r="M582"/>
    </row>
    <row r="583" spans="1:13" x14ac:dyDescent="0.3">
      <c r="A583" s="7">
        <v>400251</v>
      </c>
      <c r="B583" t="str">
        <f>_xlfn.XLOOKUP(Vendas[[#This Row],[ID Vendedor]],Vendedores[ID],Vendedores[Nome])</f>
        <v>Diego</v>
      </c>
      <c r="C583" s="7" t="str">
        <f>_xlfn.XLOOKUP(Vendas[[#This Row],[ID Vendedor]],Vendedores[ID],Vendedores[Setor])</f>
        <v>AB</v>
      </c>
      <c r="D583" s="7" t="s">
        <v>24</v>
      </c>
      <c r="E583" t="str">
        <f>_xlfn.XLOOKUP(Vendas[[#This Row],[ID Item Vendido]],Agregado[ID],Agregado[Produto])</f>
        <v>Resina plástica PET purificada saco de 25kg</v>
      </c>
      <c r="F583" s="39">
        <v>44004</v>
      </c>
      <c r="G583" s="7">
        <v>30</v>
      </c>
      <c r="H583" s="3">
        <f>_xlfn.XLOOKUP(Vendas[[#This Row],[ID Item Vendido]],Agregado[ID],Agregado[Revenda])</f>
        <v>119</v>
      </c>
      <c r="I583" s="3">
        <f>Vendas[[#This Row],[Valor Unitário]]*Vendas[[#This Row],[Qnt Vendida]]</f>
        <v>3570</v>
      </c>
      <c r="J583" s="3">
        <f>Vendas[[#This Row],[Valor da Venda]]-(_xlfn.XLOOKUP(Vendas[[#This Row],[ID Item Vendido]],Agregado[ID],Agregado[Custo])*Vendas[[#This Row],[Qnt Vendida]])</f>
        <v>1020</v>
      </c>
      <c r="K583" s="70">
        <f>Vendas[[#This Row],[Lucro da Venda]]/Vendas[[#This Row],[Valor da Venda]]</f>
        <v>0.2857142857142857</v>
      </c>
      <c r="L583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583"/>
    </row>
    <row r="584" spans="1:13" x14ac:dyDescent="0.3">
      <c r="A584" s="7">
        <v>400249</v>
      </c>
      <c r="B584" t="str">
        <f>_xlfn.XLOOKUP(Vendas[[#This Row],[ID Vendedor]],Vendedores[ID],Vendedores[Nome])</f>
        <v>Bruno</v>
      </c>
      <c r="C584" s="7" t="str">
        <f>_xlfn.XLOOKUP(Vendas[[#This Row],[ID Vendedor]],Vendedores[ID],Vendedores[Setor])</f>
        <v>CM</v>
      </c>
      <c r="D584" s="7" t="s">
        <v>43</v>
      </c>
      <c r="E584" t="str">
        <f>_xlfn.XLOOKUP(Vendas[[#This Row],[ID Item Vendido]],Agregado[ID],Agregado[Produto])</f>
        <v>Madeira Bruta (Tora)</v>
      </c>
      <c r="F584" s="39">
        <v>44006</v>
      </c>
      <c r="G584" s="7">
        <v>13</v>
      </c>
      <c r="H584" s="3">
        <f>_xlfn.XLOOKUP(Vendas[[#This Row],[ID Item Vendido]],Agregado[ID],Agregado[Revenda])</f>
        <v>212</v>
      </c>
      <c r="I584" s="3">
        <f>Vendas[[#This Row],[Valor Unitário]]*Vendas[[#This Row],[Qnt Vendida]]</f>
        <v>2756</v>
      </c>
      <c r="J584" s="3">
        <f>Vendas[[#This Row],[Valor da Venda]]-(_xlfn.XLOOKUP(Vendas[[#This Row],[ID Item Vendido]],Agregado[ID],Agregado[Custo])*Vendas[[#This Row],[Qnt Vendida]])</f>
        <v>416</v>
      </c>
      <c r="K584" s="70">
        <f>Vendas[[#This Row],[Lucro da Venda]]/Vendas[[#This Row],[Valor da Venda]]</f>
        <v>0.15094339622641509</v>
      </c>
      <c r="L584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584"/>
    </row>
    <row r="585" spans="1:13" x14ac:dyDescent="0.3">
      <c r="A585" s="7">
        <v>400249</v>
      </c>
      <c r="B585" t="str">
        <f>_xlfn.XLOOKUP(Vendas[[#This Row],[ID Vendedor]],Vendedores[ID],Vendedores[Nome])</f>
        <v>Bruno</v>
      </c>
      <c r="C585" s="7" t="str">
        <f>_xlfn.XLOOKUP(Vendas[[#This Row],[ID Vendedor]],Vendedores[ID],Vendedores[Setor])</f>
        <v>CM</v>
      </c>
      <c r="D585" s="7" t="s">
        <v>45</v>
      </c>
      <c r="E585" t="str">
        <f>_xlfn.XLOOKUP(Vendas[[#This Row],[ID Item Vendido]],Agregado[ID],Agregado[Produto])</f>
        <v>Viga de madeira tratada 4m</v>
      </c>
      <c r="F585" s="39">
        <v>44006</v>
      </c>
      <c r="G585" s="7">
        <v>20</v>
      </c>
      <c r="H585" s="3">
        <f>_xlfn.XLOOKUP(Vendas[[#This Row],[ID Item Vendido]],Agregado[ID],Agregado[Revenda])</f>
        <v>66</v>
      </c>
      <c r="I585" s="3">
        <f>Vendas[[#This Row],[Valor Unitário]]*Vendas[[#This Row],[Qnt Vendida]]</f>
        <v>1320</v>
      </c>
      <c r="J585" s="3">
        <f>Vendas[[#This Row],[Valor da Venda]]-(_xlfn.XLOOKUP(Vendas[[#This Row],[ID Item Vendido]],Agregado[ID],Agregado[Custo])*Vendas[[#This Row],[Qnt Vendida]])</f>
        <v>220</v>
      </c>
      <c r="K585" s="70">
        <f>Vendas[[#This Row],[Lucro da Venda]]/Vendas[[#This Row],[Valor da Venda]]</f>
        <v>0.16666666666666666</v>
      </c>
      <c r="L585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585"/>
    </row>
    <row r="586" spans="1:13" x14ac:dyDescent="0.3">
      <c r="A586" s="7">
        <v>400255</v>
      </c>
      <c r="B586" t="str">
        <f>_xlfn.XLOOKUP(Vendas[[#This Row],[ID Vendedor]],Vendedores[ID],Vendedores[Nome])</f>
        <v>Carlos</v>
      </c>
      <c r="C586" s="7" t="str">
        <f>_xlfn.XLOOKUP(Vendas[[#This Row],[ID Vendedor]],Vendedores[ID],Vendedores[Setor])</f>
        <v>SC</v>
      </c>
      <c r="D586" s="7" t="s">
        <v>14</v>
      </c>
      <c r="E586" t="str">
        <f>_xlfn.XLOOKUP(Vendas[[#This Row],[ID Item Vendido]],Agregado[ID],Agregado[Produto])</f>
        <v>Barril de plástico 200L</v>
      </c>
      <c r="F586" s="39">
        <v>44007</v>
      </c>
      <c r="G586" s="7">
        <v>13</v>
      </c>
      <c r="H586" s="3">
        <f>_xlfn.XLOOKUP(Vendas[[#This Row],[ID Item Vendido]],Agregado[ID],Agregado[Revenda])</f>
        <v>114</v>
      </c>
      <c r="I586" s="3">
        <f>Vendas[[#This Row],[Valor Unitário]]*Vendas[[#This Row],[Qnt Vendida]]</f>
        <v>1482</v>
      </c>
      <c r="J586" s="3">
        <f>Vendas[[#This Row],[Valor da Venda]]-(_xlfn.XLOOKUP(Vendas[[#This Row],[ID Item Vendido]],Agregado[ID],Agregado[Custo])*Vendas[[#This Row],[Qnt Vendida]])</f>
        <v>247</v>
      </c>
      <c r="K586" s="70">
        <f>Vendas[[#This Row],[Lucro da Venda]]/Vendas[[#This Row],[Valor da Venda]]</f>
        <v>0.16666666666666666</v>
      </c>
      <c r="L586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586"/>
    </row>
    <row r="587" spans="1:13" x14ac:dyDescent="0.3">
      <c r="A587" s="7">
        <v>400244</v>
      </c>
      <c r="B587" t="str">
        <f>_xlfn.XLOOKUP(Vendas[[#This Row],[ID Vendedor]],Vendedores[ID],Vendedores[Nome])</f>
        <v>Camila</v>
      </c>
      <c r="C587" s="7" t="str">
        <f>_xlfn.XLOOKUP(Vendas[[#This Row],[ID Vendedor]],Vendedores[ID],Vendedores[Setor])</f>
        <v>AHD</v>
      </c>
      <c r="D587" s="7" t="s">
        <v>9</v>
      </c>
      <c r="E587" t="str">
        <f>_xlfn.XLOOKUP(Vendas[[#This Row],[ID Item Vendido]],Agregado[ID],Agregado[Produto])</f>
        <v>Barra de aço simples</v>
      </c>
      <c r="F587" s="39">
        <v>44007</v>
      </c>
      <c r="G587" s="7">
        <v>44</v>
      </c>
      <c r="H587" s="3">
        <f>_xlfn.XLOOKUP(Vendas[[#This Row],[ID Item Vendido]],Agregado[ID],Agregado[Revenda])</f>
        <v>6.7</v>
      </c>
      <c r="I587" s="3">
        <f>Vendas[[#This Row],[Valor Unitário]]*Vendas[[#This Row],[Qnt Vendida]]</f>
        <v>294.8</v>
      </c>
      <c r="J587" s="3">
        <f>Vendas[[#This Row],[Valor da Venda]]-(_xlfn.XLOOKUP(Vendas[[#This Row],[ID Item Vendido]],Agregado[ID],Agregado[Custo])*Vendas[[#This Row],[Qnt Vendida]])</f>
        <v>39.600000000000023</v>
      </c>
      <c r="K587" s="70">
        <f>Vendas[[#This Row],[Lucro da Venda]]/Vendas[[#This Row],[Valor da Venda]]</f>
        <v>0.13432835820895531</v>
      </c>
      <c r="L587" s="3">
        <f>_xlfn.IFS(Vendas[[#This Row],[Margem de Lucro (%)]]&lt;15%,Vendas[[#This Row],[Valor da Venda]]*3%,Vendas[[#This Row],[Margem de Lucro (%)]]&lt;=20%,Vendas[[#This Row],[Valor da Venda]]*4.5%,TRUE,Vendas[[#This Row],[Valor da Venda]]*6%)</f>
        <v>8.8439999999999994</v>
      </c>
      <c r="M587"/>
    </row>
    <row r="588" spans="1:13" x14ac:dyDescent="0.3">
      <c r="A588" s="7">
        <v>400245</v>
      </c>
      <c r="B588" t="str">
        <f>_xlfn.XLOOKUP(Vendas[[#This Row],[ID Vendedor]],Vendedores[ID],Vendedores[Nome])</f>
        <v>Thiago</v>
      </c>
      <c r="C588" s="7" t="str">
        <f>_xlfn.XLOOKUP(Vendas[[#This Row],[ID Vendedor]],Vendedores[ID],Vendedores[Setor])</f>
        <v>AHD</v>
      </c>
      <c r="D588" s="7" t="s">
        <v>44</v>
      </c>
      <c r="E588" t="str">
        <f>_xlfn.XLOOKUP(Vendas[[#This Row],[ID Item Vendido]],Agregado[ID],Agregado[Produto])</f>
        <v>Liga metálica especial</v>
      </c>
      <c r="F588" s="39">
        <v>44008</v>
      </c>
      <c r="G588" s="7">
        <v>10</v>
      </c>
      <c r="H588" s="3">
        <f>_xlfn.XLOOKUP(Vendas[[#This Row],[ID Item Vendido]],Agregado[ID],Agregado[Revenda])</f>
        <v>32.5</v>
      </c>
      <c r="I588" s="3">
        <f>Vendas[[#This Row],[Valor Unitário]]*Vendas[[#This Row],[Qnt Vendida]]</f>
        <v>325</v>
      </c>
      <c r="J588" s="3">
        <f>Vendas[[#This Row],[Valor da Venda]]-(_xlfn.XLOOKUP(Vendas[[#This Row],[ID Item Vendido]],Agregado[ID],Agregado[Custo])*Vendas[[#This Row],[Qnt Vendida]])</f>
        <v>75</v>
      </c>
      <c r="K588" s="70">
        <f>Vendas[[#This Row],[Lucro da Venda]]/Vendas[[#This Row],[Valor da Venda]]</f>
        <v>0.23076923076923078</v>
      </c>
      <c r="L588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588"/>
    </row>
    <row r="589" spans="1:13" x14ac:dyDescent="0.3">
      <c r="A589" s="7">
        <v>400255</v>
      </c>
      <c r="B589" t="str">
        <f>_xlfn.XLOOKUP(Vendas[[#This Row],[ID Vendedor]],Vendedores[ID],Vendedores[Nome])</f>
        <v>Carlos</v>
      </c>
      <c r="C589" s="7" t="str">
        <f>_xlfn.XLOOKUP(Vendas[[#This Row],[ID Vendedor]],Vendedores[ID],Vendedores[Setor])</f>
        <v>SC</v>
      </c>
      <c r="D589" s="7" t="s">
        <v>48</v>
      </c>
      <c r="E589" t="str">
        <f>_xlfn.XLOOKUP(Vendas[[#This Row],[ID Item Vendido]],Agregado[ID],Agregado[Produto])</f>
        <v>Tambor metálico 200L</v>
      </c>
      <c r="F589" s="39">
        <v>44009</v>
      </c>
      <c r="G589" s="7">
        <v>5</v>
      </c>
      <c r="H589" s="3">
        <f>_xlfn.XLOOKUP(Vendas[[#This Row],[ID Item Vendido]],Agregado[ID],Agregado[Revenda])</f>
        <v>144</v>
      </c>
      <c r="I589" s="3">
        <f>Vendas[[#This Row],[Valor Unitário]]*Vendas[[#This Row],[Qnt Vendida]]</f>
        <v>720</v>
      </c>
      <c r="J589" s="3">
        <f>Vendas[[#This Row],[Valor da Venda]]-(_xlfn.XLOOKUP(Vendas[[#This Row],[ID Item Vendido]],Agregado[ID],Agregado[Custo])*Vendas[[#This Row],[Qnt Vendida]])</f>
        <v>120</v>
      </c>
      <c r="K589" s="70">
        <f>Vendas[[#This Row],[Lucro da Venda]]/Vendas[[#This Row],[Valor da Venda]]</f>
        <v>0.16666666666666666</v>
      </c>
      <c r="L589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589"/>
    </row>
    <row r="590" spans="1:13" x14ac:dyDescent="0.3">
      <c r="A590" s="7">
        <v>400251</v>
      </c>
      <c r="B590" t="str">
        <f>_xlfn.XLOOKUP(Vendas[[#This Row],[ID Vendedor]],Vendedores[ID],Vendedores[Nome])</f>
        <v>Diego</v>
      </c>
      <c r="C590" s="7" t="str">
        <f>_xlfn.XLOOKUP(Vendas[[#This Row],[ID Vendedor]],Vendedores[ID],Vendedores[Setor])</f>
        <v>AB</v>
      </c>
      <c r="D590" s="7" t="s">
        <v>24</v>
      </c>
      <c r="E590" t="str">
        <f>_xlfn.XLOOKUP(Vendas[[#This Row],[ID Item Vendido]],Agregado[ID],Agregado[Produto])</f>
        <v>Resina plástica PET purificada saco de 25kg</v>
      </c>
      <c r="F590" s="39">
        <v>44009</v>
      </c>
      <c r="G590" s="7">
        <v>6</v>
      </c>
      <c r="H590" s="3">
        <f>_xlfn.XLOOKUP(Vendas[[#This Row],[ID Item Vendido]],Agregado[ID],Agregado[Revenda])</f>
        <v>119</v>
      </c>
      <c r="I590" s="3">
        <f>Vendas[[#This Row],[Valor Unitário]]*Vendas[[#This Row],[Qnt Vendida]]</f>
        <v>714</v>
      </c>
      <c r="J590" s="3">
        <f>Vendas[[#This Row],[Valor da Venda]]-(_xlfn.XLOOKUP(Vendas[[#This Row],[ID Item Vendido]],Agregado[ID],Agregado[Custo])*Vendas[[#This Row],[Qnt Vendida]])</f>
        <v>204</v>
      </c>
      <c r="K590" s="70">
        <f>Vendas[[#This Row],[Lucro da Venda]]/Vendas[[#This Row],[Valor da Venda]]</f>
        <v>0.2857142857142857</v>
      </c>
      <c r="L590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90"/>
    </row>
    <row r="591" spans="1:13" x14ac:dyDescent="0.3">
      <c r="A591" s="7">
        <v>400249</v>
      </c>
      <c r="B591" t="str">
        <f>_xlfn.XLOOKUP(Vendas[[#This Row],[ID Vendedor]],Vendedores[ID],Vendedores[Nome])</f>
        <v>Bruno</v>
      </c>
      <c r="C591" s="7" t="str">
        <f>_xlfn.XLOOKUP(Vendas[[#This Row],[ID Vendedor]],Vendedores[ID],Vendedores[Setor])</f>
        <v>CM</v>
      </c>
      <c r="D591" s="7" t="s">
        <v>34</v>
      </c>
      <c r="E591" t="str">
        <f>_xlfn.XLOOKUP(Vendas[[#This Row],[ID Item Vendido]],Agregado[ID],Agregado[Produto])</f>
        <v>Restos de madeira p/ MDP/OSB saco de 20kg</v>
      </c>
      <c r="F591" s="39">
        <v>44009</v>
      </c>
      <c r="G591" s="7">
        <v>23</v>
      </c>
      <c r="H591" s="3">
        <f>_xlfn.XLOOKUP(Vendas[[#This Row],[ID Item Vendido]],Agregado[ID],Agregado[Revenda])</f>
        <v>13.8</v>
      </c>
      <c r="I591" s="3">
        <f>Vendas[[#This Row],[Valor Unitário]]*Vendas[[#This Row],[Qnt Vendida]]</f>
        <v>317.40000000000003</v>
      </c>
      <c r="J591" s="3">
        <f>Vendas[[#This Row],[Valor da Venda]]-(_xlfn.XLOOKUP(Vendas[[#This Row],[ID Item Vendido]],Agregado[ID],Agregado[Custo])*Vendas[[#This Row],[Qnt Vendida]])</f>
        <v>41.400000000000034</v>
      </c>
      <c r="K591" s="70">
        <f>Vendas[[#This Row],[Lucro da Venda]]/Vendas[[#This Row],[Valor da Venda]]</f>
        <v>0.13043478260869573</v>
      </c>
      <c r="L591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591"/>
    </row>
    <row r="592" spans="1:13" x14ac:dyDescent="0.3">
      <c r="A592" s="7">
        <v>400255</v>
      </c>
      <c r="B592" t="str">
        <f>_xlfn.XLOOKUP(Vendas[[#This Row],[ID Vendedor]],Vendedores[ID],Vendedores[Nome])</f>
        <v>Carlos</v>
      </c>
      <c r="C592" s="7" t="str">
        <f>_xlfn.XLOOKUP(Vendas[[#This Row],[ID Vendedor]],Vendedores[ID],Vendedores[Setor])</f>
        <v>SC</v>
      </c>
      <c r="D592" s="7" t="s">
        <v>42</v>
      </c>
      <c r="E592" t="str">
        <f>_xlfn.XLOOKUP(Vendas[[#This Row],[ID Item Vendido]],Agregado[ID],Agregado[Produto])</f>
        <v>Container de ferro industrial</v>
      </c>
      <c r="F592" s="39">
        <v>44010</v>
      </c>
      <c r="G592" s="7">
        <v>2</v>
      </c>
      <c r="H592" s="3">
        <f>_xlfn.XLOOKUP(Vendas[[#This Row],[ID Item Vendido]],Agregado[ID],Agregado[Revenda])</f>
        <v>830</v>
      </c>
      <c r="I592" s="3">
        <f>Vendas[[#This Row],[Valor Unitário]]*Vendas[[#This Row],[Qnt Vendida]]</f>
        <v>1660</v>
      </c>
      <c r="J592" s="3">
        <f>Vendas[[#This Row],[Valor da Venda]]-(_xlfn.XLOOKUP(Vendas[[#This Row],[ID Item Vendido]],Agregado[ID],Agregado[Custo])*Vendas[[#This Row],[Qnt Vendida]])</f>
        <v>300</v>
      </c>
      <c r="K592" s="70">
        <f>Vendas[[#This Row],[Lucro da Venda]]/Vendas[[#This Row],[Valor da Venda]]</f>
        <v>0.18072289156626506</v>
      </c>
      <c r="L59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92"/>
    </row>
    <row r="593" spans="1:13" x14ac:dyDescent="0.3">
      <c r="A593" s="7">
        <v>400247</v>
      </c>
      <c r="B593" t="str">
        <f>_xlfn.XLOOKUP(Vendas[[#This Row],[ID Vendedor]],Vendedores[ID],Vendedores[Nome])</f>
        <v>André</v>
      </c>
      <c r="C593" s="7" t="str">
        <f>_xlfn.XLOOKUP(Vendas[[#This Row],[ID Vendedor]],Vendedores[ID],Vendedores[Setor])</f>
        <v>CM</v>
      </c>
      <c r="D593" s="7" t="s">
        <v>45</v>
      </c>
      <c r="E593" t="str">
        <f>_xlfn.XLOOKUP(Vendas[[#This Row],[ID Item Vendido]],Agregado[ID],Agregado[Produto])</f>
        <v>Viga de madeira tratada 4m</v>
      </c>
      <c r="F593" s="39">
        <v>44010</v>
      </c>
      <c r="G593" s="7">
        <v>19</v>
      </c>
      <c r="H593" s="3">
        <f>_xlfn.XLOOKUP(Vendas[[#This Row],[ID Item Vendido]],Agregado[ID],Agregado[Revenda])</f>
        <v>66</v>
      </c>
      <c r="I593" s="3">
        <f>Vendas[[#This Row],[Valor Unitário]]*Vendas[[#This Row],[Qnt Vendida]]</f>
        <v>1254</v>
      </c>
      <c r="J593" s="3">
        <f>Vendas[[#This Row],[Valor da Venda]]-(_xlfn.XLOOKUP(Vendas[[#This Row],[ID Item Vendido]],Agregado[ID],Agregado[Custo])*Vendas[[#This Row],[Qnt Vendida]])</f>
        <v>209</v>
      </c>
      <c r="K593" s="70">
        <f>Vendas[[#This Row],[Lucro da Venda]]/Vendas[[#This Row],[Valor da Venda]]</f>
        <v>0.16666666666666666</v>
      </c>
      <c r="L593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93"/>
    </row>
    <row r="594" spans="1:13" x14ac:dyDescent="0.3">
      <c r="A594" s="7">
        <v>400249</v>
      </c>
      <c r="B594" t="str">
        <f>_xlfn.XLOOKUP(Vendas[[#This Row],[ID Vendedor]],Vendedores[ID],Vendedores[Nome])</f>
        <v>Bruno</v>
      </c>
      <c r="C594" s="7" t="str">
        <f>_xlfn.XLOOKUP(Vendas[[#This Row],[ID Vendedor]],Vendedores[ID],Vendedores[Setor])</f>
        <v>CM</v>
      </c>
      <c r="D594" s="7" t="s">
        <v>45</v>
      </c>
      <c r="E594" t="str">
        <f>_xlfn.XLOOKUP(Vendas[[#This Row],[ID Item Vendido]],Agregado[ID],Agregado[Produto])</f>
        <v>Viga de madeira tratada 4m</v>
      </c>
      <c r="F594" s="39">
        <v>44010</v>
      </c>
      <c r="G594" s="7">
        <v>12</v>
      </c>
      <c r="H594" s="3">
        <f>_xlfn.XLOOKUP(Vendas[[#This Row],[ID Item Vendido]],Agregado[ID],Agregado[Revenda])</f>
        <v>66</v>
      </c>
      <c r="I594" s="3">
        <f>Vendas[[#This Row],[Valor Unitário]]*Vendas[[#This Row],[Qnt Vendida]]</f>
        <v>792</v>
      </c>
      <c r="J594" s="3">
        <f>Vendas[[#This Row],[Valor da Venda]]-(_xlfn.XLOOKUP(Vendas[[#This Row],[ID Item Vendido]],Agregado[ID],Agregado[Custo])*Vendas[[#This Row],[Qnt Vendida]])</f>
        <v>132</v>
      </c>
      <c r="K594" s="70">
        <f>Vendas[[#This Row],[Lucro da Venda]]/Vendas[[#This Row],[Valor da Venda]]</f>
        <v>0.16666666666666666</v>
      </c>
      <c r="L594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594"/>
    </row>
    <row r="595" spans="1:13" x14ac:dyDescent="0.3">
      <c r="A595" s="7">
        <v>400251</v>
      </c>
      <c r="B595" t="str">
        <f>_xlfn.XLOOKUP(Vendas[[#This Row],[ID Vendedor]],Vendedores[ID],Vendedores[Nome])</f>
        <v>Diego</v>
      </c>
      <c r="C595" s="7" t="str">
        <f>_xlfn.XLOOKUP(Vendas[[#This Row],[ID Vendedor]],Vendedores[ID],Vendedores[Setor])</f>
        <v>AB</v>
      </c>
      <c r="D595" s="7" t="s">
        <v>39</v>
      </c>
      <c r="E595" t="str">
        <f>_xlfn.XLOOKUP(Vendas[[#This Row],[ID Item Vendido]],Agregado[ID],Agregado[Produto])</f>
        <v>Filme plástico industrial rolo 50m</v>
      </c>
      <c r="F595" s="39">
        <v>44011</v>
      </c>
      <c r="G595" s="7">
        <v>22</v>
      </c>
      <c r="H595" s="3">
        <f>_xlfn.XLOOKUP(Vendas[[#This Row],[ID Item Vendido]],Agregado[ID],Agregado[Revenda])</f>
        <v>37</v>
      </c>
      <c r="I595" s="3">
        <f>Vendas[[#This Row],[Valor Unitário]]*Vendas[[#This Row],[Qnt Vendida]]</f>
        <v>814</v>
      </c>
      <c r="J595" s="3">
        <f>Vendas[[#This Row],[Valor da Venda]]-(_xlfn.XLOOKUP(Vendas[[#This Row],[ID Item Vendido]],Agregado[ID],Agregado[Custo])*Vendas[[#This Row],[Qnt Vendida]])</f>
        <v>198</v>
      </c>
      <c r="K595" s="70">
        <f>Vendas[[#This Row],[Lucro da Venda]]/Vendas[[#This Row],[Valor da Venda]]</f>
        <v>0.24324324324324326</v>
      </c>
      <c r="L595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595"/>
    </row>
    <row r="596" spans="1:13" x14ac:dyDescent="0.3">
      <c r="A596" s="7">
        <v>400241</v>
      </c>
      <c r="B596" t="str">
        <f>_xlfn.XLOOKUP(Vendas[[#This Row],[ID Vendedor]],Vendedores[ID],Vendedores[Nome])</f>
        <v>Rodrigo</v>
      </c>
      <c r="C596" s="7" t="str">
        <f>_xlfn.XLOOKUP(Vendas[[#This Row],[ID Vendedor]],Vendedores[ID],Vendedores[Setor])</f>
        <v>FM</v>
      </c>
      <c r="D596" s="7" t="s">
        <v>20</v>
      </c>
      <c r="E596" t="str">
        <f>_xlfn.XLOOKUP(Vendas[[#This Row],[ID Item Vendido]],Agregado[ID],Agregado[Produto])</f>
        <v>Barra de aço simples</v>
      </c>
      <c r="F596" s="39">
        <v>44012</v>
      </c>
      <c r="G596" s="7">
        <v>46</v>
      </c>
      <c r="H596" s="3">
        <f>_xlfn.XLOOKUP(Vendas[[#This Row],[ID Item Vendido]],Agregado[ID],Agregado[Revenda])</f>
        <v>4.8</v>
      </c>
      <c r="I596" s="3">
        <f>Vendas[[#This Row],[Valor Unitário]]*Vendas[[#This Row],[Qnt Vendida]]</f>
        <v>220.79999999999998</v>
      </c>
      <c r="J596" s="3">
        <f>Vendas[[#This Row],[Valor da Venda]]-(_xlfn.XLOOKUP(Vendas[[#This Row],[ID Item Vendido]],Agregado[ID],Agregado[Custo])*Vendas[[#This Row],[Qnt Vendida]])</f>
        <v>27.599999999999966</v>
      </c>
      <c r="K596" s="70">
        <f>Vendas[[#This Row],[Lucro da Venda]]/Vendas[[#This Row],[Valor da Venda]]</f>
        <v>0.12499999999999986</v>
      </c>
      <c r="L596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596"/>
    </row>
    <row r="597" spans="1:13" x14ac:dyDescent="0.3">
      <c r="A597" s="7">
        <v>400244</v>
      </c>
      <c r="B597" t="str">
        <f>_xlfn.XLOOKUP(Vendas[[#This Row],[ID Vendedor]],Vendedores[ID],Vendedores[Nome])</f>
        <v>Camila</v>
      </c>
      <c r="C597" s="7" t="str">
        <f>_xlfn.XLOOKUP(Vendas[[#This Row],[ID Vendedor]],Vendedores[ID],Vendedores[Setor])</f>
        <v>AHD</v>
      </c>
      <c r="D597" s="7" t="s">
        <v>9</v>
      </c>
      <c r="E597" t="str">
        <f>_xlfn.XLOOKUP(Vendas[[#This Row],[ID Item Vendido]],Agregado[ID],Agregado[Produto])</f>
        <v>Barra de aço simples</v>
      </c>
      <c r="F597" s="39">
        <v>44012</v>
      </c>
      <c r="G597" s="7">
        <v>15</v>
      </c>
      <c r="H597" s="3">
        <f>_xlfn.XLOOKUP(Vendas[[#This Row],[ID Item Vendido]],Agregado[ID],Agregado[Revenda])</f>
        <v>6.7</v>
      </c>
      <c r="I597" s="3">
        <f>Vendas[[#This Row],[Valor Unitário]]*Vendas[[#This Row],[Qnt Vendida]]</f>
        <v>100.5</v>
      </c>
      <c r="J597" s="3">
        <f>Vendas[[#This Row],[Valor da Venda]]-(_xlfn.XLOOKUP(Vendas[[#This Row],[ID Item Vendido]],Agregado[ID],Agregado[Custo])*Vendas[[#This Row],[Qnt Vendida]])</f>
        <v>13.5</v>
      </c>
      <c r="K597" s="70">
        <f>Vendas[[#This Row],[Lucro da Venda]]/Vendas[[#This Row],[Valor da Venda]]</f>
        <v>0.13432835820895522</v>
      </c>
      <c r="L597" s="3">
        <f>_xlfn.IFS(Vendas[[#This Row],[Margem de Lucro (%)]]&lt;15%,Vendas[[#This Row],[Valor da Venda]]*3%,Vendas[[#This Row],[Margem de Lucro (%)]]&lt;=20%,Vendas[[#This Row],[Valor da Venda]]*4.5%,TRUE,Vendas[[#This Row],[Valor da Venda]]*6%)</f>
        <v>3.0149999999999997</v>
      </c>
      <c r="M597"/>
    </row>
    <row r="598" spans="1:13" x14ac:dyDescent="0.3">
      <c r="A598" s="7">
        <v>400243</v>
      </c>
      <c r="B598" t="str">
        <f>_xlfn.XLOOKUP(Vendas[[#This Row],[ID Vendedor]],Vendedores[ID],Vendedores[Nome])</f>
        <v>Marcelo</v>
      </c>
      <c r="C598" s="7" t="str">
        <f>_xlfn.XLOOKUP(Vendas[[#This Row],[ID Vendedor]],Vendedores[ID],Vendedores[Setor])</f>
        <v>FM</v>
      </c>
      <c r="D598" s="7" t="s">
        <v>31</v>
      </c>
      <c r="E598" t="str">
        <f>_xlfn.XLOOKUP(Vendas[[#This Row],[ID Item Vendido]],Agregado[ID],Agregado[Produto])</f>
        <v>Tela de metal soldada rolo 2x25m</v>
      </c>
      <c r="F598" s="39">
        <v>44013</v>
      </c>
      <c r="G598" s="7">
        <v>5</v>
      </c>
      <c r="H598" s="3">
        <f>_xlfn.XLOOKUP(Vendas[[#This Row],[ID Item Vendido]],Agregado[ID],Agregado[Revenda])</f>
        <v>43.7</v>
      </c>
      <c r="I598" s="3">
        <f>Vendas[[#This Row],[Valor Unitário]]*Vendas[[#This Row],[Qnt Vendida]]</f>
        <v>218.5</v>
      </c>
      <c r="J598" s="3">
        <f>Vendas[[#This Row],[Valor da Venda]]-(_xlfn.XLOOKUP(Vendas[[#This Row],[ID Item Vendido]],Agregado[ID],Agregado[Custo])*Vendas[[#This Row],[Qnt Vendida]])</f>
        <v>28.5</v>
      </c>
      <c r="K598" s="70">
        <f>Vendas[[#This Row],[Lucro da Venda]]/Vendas[[#This Row],[Valor da Venda]]</f>
        <v>0.13043478260869565</v>
      </c>
      <c r="L598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598"/>
    </row>
    <row r="599" spans="1:13" x14ac:dyDescent="0.3">
      <c r="A599" s="7">
        <v>400244</v>
      </c>
      <c r="B599" t="str">
        <f>_xlfn.XLOOKUP(Vendas[[#This Row],[ID Vendedor]],Vendedores[ID],Vendedores[Nome])</f>
        <v>Camila</v>
      </c>
      <c r="C599" s="7" t="str">
        <f>_xlfn.XLOOKUP(Vendas[[#This Row],[ID Vendedor]],Vendedores[ID],Vendedores[Setor])</f>
        <v>AHD</v>
      </c>
      <c r="D599" s="7" t="s">
        <v>30</v>
      </c>
      <c r="E599" t="str">
        <f>_xlfn.XLOOKUP(Vendas[[#This Row],[ID Item Vendido]],Agregado[ID],Agregado[Produto])</f>
        <v>Estrutura metálica soldada</v>
      </c>
      <c r="F599" s="39">
        <v>44014</v>
      </c>
      <c r="G599" s="7">
        <v>3</v>
      </c>
      <c r="H599" s="3">
        <f>_xlfn.XLOOKUP(Vendas[[#This Row],[ID Item Vendido]],Agregado[ID],Agregado[Revenda])</f>
        <v>400</v>
      </c>
      <c r="I599" s="3">
        <f>Vendas[[#This Row],[Valor Unitário]]*Vendas[[#This Row],[Qnt Vendida]]</f>
        <v>1200</v>
      </c>
      <c r="J599" s="3">
        <f>Vendas[[#This Row],[Valor da Venda]]-(_xlfn.XLOOKUP(Vendas[[#This Row],[ID Item Vendido]],Agregado[ID],Agregado[Custo])*Vendas[[#This Row],[Qnt Vendida]])</f>
        <v>240</v>
      </c>
      <c r="K599" s="70">
        <f>Vendas[[#This Row],[Lucro da Venda]]/Vendas[[#This Row],[Valor da Venda]]</f>
        <v>0.2</v>
      </c>
      <c r="L599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599"/>
    </row>
    <row r="600" spans="1:13" x14ac:dyDescent="0.3">
      <c r="A600" s="7">
        <v>400245</v>
      </c>
      <c r="B600" t="str">
        <f>_xlfn.XLOOKUP(Vendas[[#This Row],[ID Vendedor]],Vendedores[ID],Vendedores[Nome])</f>
        <v>Thiago</v>
      </c>
      <c r="C600" s="7" t="str">
        <f>_xlfn.XLOOKUP(Vendas[[#This Row],[ID Vendedor]],Vendedores[ID],Vendedores[Setor])</f>
        <v>AHD</v>
      </c>
      <c r="D600" s="7" t="s">
        <v>44</v>
      </c>
      <c r="E600" t="str">
        <f>_xlfn.XLOOKUP(Vendas[[#This Row],[ID Item Vendido]],Agregado[ID],Agregado[Produto])</f>
        <v>Liga metálica especial</v>
      </c>
      <c r="F600" s="39">
        <v>44014</v>
      </c>
      <c r="G600" s="7">
        <v>33</v>
      </c>
      <c r="H600" s="3">
        <f>_xlfn.XLOOKUP(Vendas[[#This Row],[ID Item Vendido]],Agregado[ID],Agregado[Revenda])</f>
        <v>32.5</v>
      </c>
      <c r="I600" s="3">
        <f>Vendas[[#This Row],[Valor Unitário]]*Vendas[[#This Row],[Qnt Vendida]]</f>
        <v>1072.5</v>
      </c>
      <c r="J600" s="3">
        <f>Vendas[[#This Row],[Valor da Venda]]-(_xlfn.XLOOKUP(Vendas[[#This Row],[ID Item Vendido]],Agregado[ID],Agregado[Custo])*Vendas[[#This Row],[Qnt Vendida]])</f>
        <v>247.5</v>
      </c>
      <c r="K600" s="70">
        <f>Vendas[[#This Row],[Lucro da Venda]]/Vendas[[#This Row],[Valor da Venda]]</f>
        <v>0.23076923076923078</v>
      </c>
      <c r="L600" s="3">
        <f>_xlfn.IFS(Vendas[[#This Row],[Margem de Lucro (%)]]&lt;15%,Vendas[[#This Row],[Valor da Venda]]*3%,Vendas[[#This Row],[Margem de Lucro (%)]]&lt;=20%,Vendas[[#This Row],[Valor da Venda]]*4.5%,TRUE,Vendas[[#This Row],[Valor da Venda]]*6%)</f>
        <v>64.349999999999994</v>
      </c>
      <c r="M600"/>
    </row>
    <row r="601" spans="1:13" x14ac:dyDescent="0.3">
      <c r="A601" s="7">
        <v>400244</v>
      </c>
      <c r="B601" t="str">
        <f>_xlfn.XLOOKUP(Vendas[[#This Row],[ID Vendedor]],Vendedores[ID],Vendedores[Nome])</f>
        <v>Camila</v>
      </c>
      <c r="C601" s="7" t="str">
        <f>_xlfn.XLOOKUP(Vendas[[#This Row],[ID Vendedor]],Vendedores[ID],Vendedores[Setor])</f>
        <v>AHD</v>
      </c>
      <c r="D601" s="7" t="s">
        <v>30</v>
      </c>
      <c r="E601" t="str">
        <f>_xlfn.XLOOKUP(Vendas[[#This Row],[ID Item Vendido]],Agregado[ID],Agregado[Produto])</f>
        <v>Estrutura metálica soldada</v>
      </c>
      <c r="F601" s="39">
        <v>44015</v>
      </c>
      <c r="G601" s="7">
        <v>7</v>
      </c>
      <c r="H601" s="3">
        <f>_xlfn.XLOOKUP(Vendas[[#This Row],[ID Item Vendido]],Agregado[ID],Agregado[Revenda])</f>
        <v>400</v>
      </c>
      <c r="I601" s="3">
        <f>Vendas[[#This Row],[Valor Unitário]]*Vendas[[#This Row],[Qnt Vendida]]</f>
        <v>2800</v>
      </c>
      <c r="J601" s="3">
        <f>Vendas[[#This Row],[Valor da Venda]]-(_xlfn.XLOOKUP(Vendas[[#This Row],[ID Item Vendido]],Agregado[ID],Agregado[Custo])*Vendas[[#This Row],[Qnt Vendida]])</f>
        <v>560</v>
      </c>
      <c r="K601" s="70">
        <f>Vendas[[#This Row],[Lucro da Venda]]/Vendas[[#This Row],[Valor da Venda]]</f>
        <v>0.2</v>
      </c>
      <c r="L601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601"/>
    </row>
    <row r="602" spans="1:13" x14ac:dyDescent="0.3">
      <c r="A602" s="7">
        <v>400244</v>
      </c>
      <c r="B602" t="str">
        <f>_xlfn.XLOOKUP(Vendas[[#This Row],[ID Vendedor]],Vendedores[ID],Vendedores[Nome])</f>
        <v>Camila</v>
      </c>
      <c r="C602" s="7" t="str">
        <f>_xlfn.XLOOKUP(Vendas[[#This Row],[ID Vendedor]],Vendedores[ID],Vendedores[Setor])</f>
        <v>AHD</v>
      </c>
      <c r="D602" s="7" t="s">
        <v>18</v>
      </c>
      <c r="E602" t="str">
        <f>_xlfn.XLOOKUP(Vendas[[#This Row],[ID Item Vendido]],Agregado[ID],Agregado[Produto])</f>
        <v>Peça forjada sob encomenda</v>
      </c>
      <c r="F602" s="39">
        <v>44015</v>
      </c>
      <c r="G602" s="7">
        <v>5</v>
      </c>
      <c r="H602" s="3">
        <f>_xlfn.XLOOKUP(Vendas[[#This Row],[ID Item Vendido]],Agregado[ID],Agregado[Revenda])</f>
        <v>264.60000000000002</v>
      </c>
      <c r="I602" s="3">
        <f>Vendas[[#This Row],[Valor Unitário]]*Vendas[[#This Row],[Qnt Vendida]]</f>
        <v>1323</v>
      </c>
      <c r="J602" s="3">
        <f>Vendas[[#This Row],[Valor da Venda]]-(_xlfn.XLOOKUP(Vendas[[#This Row],[ID Item Vendido]],Agregado[ID],Agregado[Custo])*Vendas[[#This Row],[Qnt Vendida]])</f>
        <v>73</v>
      </c>
      <c r="K602" s="70">
        <f>Vendas[[#This Row],[Lucro da Venda]]/Vendas[[#This Row],[Valor da Venda]]</f>
        <v>5.5177626606198037E-2</v>
      </c>
      <c r="L602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602"/>
    </row>
    <row r="603" spans="1:13" x14ac:dyDescent="0.3">
      <c r="A603" s="7">
        <v>400245</v>
      </c>
      <c r="B603" t="str">
        <f>_xlfn.XLOOKUP(Vendas[[#This Row],[ID Vendedor]],Vendedores[ID],Vendedores[Nome])</f>
        <v>Thiago</v>
      </c>
      <c r="C603" s="7" t="str">
        <f>_xlfn.XLOOKUP(Vendas[[#This Row],[ID Vendedor]],Vendedores[ID],Vendedores[Setor])</f>
        <v>AHD</v>
      </c>
      <c r="D603" s="7" t="s">
        <v>30</v>
      </c>
      <c r="E603" t="str">
        <f>_xlfn.XLOOKUP(Vendas[[#This Row],[ID Item Vendido]],Agregado[ID],Agregado[Produto])</f>
        <v>Estrutura metálica soldada</v>
      </c>
      <c r="F603" s="39">
        <v>44016</v>
      </c>
      <c r="G603" s="7">
        <v>3</v>
      </c>
      <c r="H603" s="3">
        <f>_xlfn.XLOOKUP(Vendas[[#This Row],[ID Item Vendido]],Agregado[ID],Agregado[Revenda])</f>
        <v>400</v>
      </c>
      <c r="I603" s="3">
        <f>Vendas[[#This Row],[Valor Unitário]]*Vendas[[#This Row],[Qnt Vendida]]</f>
        <v>1200</v>
      </c>
      <c r="J603" s="3">
        <f>Vendas[[#This Row],[Valor da Venda]]-(_xlfn.XLOOKUP(Vendas[[#This Row],[ID Item Vendido]],Agregado[ID],Agregado[Custo])*Vendas[[#This Row],[Qnt Vendida]])</f>
        <v>240</v>
      </c>
      <c r="K603" s="70">
        <f>Vendas[[#This Row],[Lucro da Venda]]/Vendas[[#This Row],[Valor da Venda]]</f>
        <v>0.2</v>
      </c>
      <c r="L603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603"/>
    </row>
    <row r="604" spans="1:13" x14ac:dyDescent="0.3">
      <c r="A604" s="7">
        <v>400244</v>
      </c>
      <c r="B604" t="str">
        <f>_xlfn.XLOOKUP(Vendas[[#This Row],[ID Vendedor]],Vendedores[ID],Vendedores[Nome])</f>
        <v>Camila</v>
      </c>
      <c r="C604" s="7" t="str">
        <f>_xlfn.XLOOKUP(Vendas[[#This Row],[ID Vendedor]],Vendedores[ID],Vendedores[Setor])</f>
        <v>AHD</v>
      </c>
      <c r="D604" s="7" t="s">
        <v>44</v>
      </c>
      <c r="E604" t="str">
        <f>_xlfn.XLOOKUP(Vendas[[#This Row],[ID Item Vendido]],Agregado[ID],Agregado[Produto])</f>
        <v>Liga metálica especial</v>
      </c>
      <c r="F604" s="39">
        <v>44017</v>
      </c>
      <c r="G604" s="7">
        <v>6</v>
      </c>
      <c r="H604" s="3">
        <f>_xlfn.XLOOKUP(Vendas[[#This Row],[ID Item Vendido]],Agregado[ID],Agregado[Revenda])</f>
        <v>32.5</v>
      </c>
      <c r="I604" s="3">
        <f>Vendas[[#This Row],[Valor Unitário]]*Vendas[[#This Row],[Qnt Vendida]]</f>
        <v>195</v>
      </c>
      <c r="J604" s="3">
        <f>Vendas[[#This Row],[Valor da Venda]]-(_xlfn.XLOOKUP(Vendas[[#This Row],[ID Item Vendido]],Agregado[ID],Agregado[Custo])*Vendas[[#This Row],[Qnt Vendida]])</f>
        <v>45</v>
      </c>
      <c r="K604" s="70">
        <f>Vendas[[#This Row],[Lucro da Venda]]/Vendas[[#This Row],[Valor da Venda]]</f>
        <v>0.23076923076923078</v>
      </c>
      <c r="L604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604"/>
    </row>
    <row r="605" spans="1:13" x14ac:dyDescent="0.3">
      <c r="A605" s="7">
        <v>400249</v>
      </c>
      <c r="B605" t="str">
        <f>_xlfn.XLOOKUP(Vendas[[#This Row],[ID Vendedor]],Vendedores[ID],Vendedores[Nome])</f>
        <v>Bruno</v>
      </c>
      <c r="C605" s="7" t="str">
        <f>_xlfn.XLOOKUP(Vendas[[#This Row],[ID Vendedor]],Vendedores[ID],Vendedores[Setor])</f>
        <v>CM</v>
      </c>
      <c r="D605" s="7" t="s">
        <v>32</v>
      </c>
      <c r="E605" t="str">
        <f>_xlfn.XLOOKUP(Vendas[[#This Row],[ID Item Vendido]],Agregado[ID],Agregado[Produto])</f>
        <v>Tábua tratada e cortada 3m</v>
      </c>
      <c r="F605" s="39">
        <v>44018</v>
      </c>
      <c r="G605" s="7">
        <v>21</v>
      </c>
      <c r="H605" s="3">
        <f>_xlfn.XLOOKUP(Vendas[[#This Row],[ID Item Vendido]],Agregado[ID],Agregado[Revenda])</f>
        <v>39</v>
      </c>
      <c r="I605" s="3">
        <f>Vendas[[#This Row],[Valor Unitário]]*Vendas[[#This Row],[Qnt Vendida]]</f>
        <v>819</v>
      </c>
      <c r="J605" s="3">
        <f>Vendas[[#This Row],[Valor da Venda]]-(_xlfn.XLOOKUP(Vendas[[#This Row],[ID Item Vendido]],Agregado[ID],Agregado[Custo])*Vendas[[#This Row],[Qnt Vendida]])</f>
        <v>147</v>
      </c>
      <c r="K605" s="70">
        <f>Vendas[[#This Row],[Lucro da Venda]]/Vendas[[#This Row],[Valor da Venda]]</f>
        <v>0.17948717948717949</v>
      </c>
      <c r="L605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605"/>
    </row>
    <row r="606" spans="1:13" x14ac:dyDescent="0.3">
      <c r="A606" s="7">
        <v>400249</v>
      </c>
      <c r="B606" t="str">
        <f>_xlfn.XLOOKUP(Vendas[[#This Row],[ID Vendedor]],Vendedores[ID],Vendedores[Nome])</f>
        <v>Bruno</v>
      </c>
      <c r="C606" s="7" t="str">
        <f>_xlfn.XLOOKUP(Vendas[[#This Row],[ID Vendedor]],Vendedores[ID],Vendedores[Setor])</f>
        <v>CM</v>
      </c>
      <c r="D606" s="7" t="s">
        <v>32</v>
      </c>
      <c r="E606" t="str">
        <f>_xlfn.XLOOKUP(Vendas[[#This Row],[ID Item Vendido]],Agregado[ID],Agregado[Produto])</f>
        <v>Tábua tratada e cortada 3m</v>
      </c>
      <c r="F606" s="39">
        <v>44019</v>
      </c>
      <c r="G606" s="7">
        <v>33</v>
      </c>
      <c r="H606" s="3">
        <f>_xlfn.XLOOKUP(Vendas[[#This Row],[ID Item Vendido]],Agregado[ID],Agregado[Revenda])</f>
        <v>39</v>
      </c>
      <c r="I606" s="3">
        <f>Vendas[[#This Row],[Valor Unitário]]*Vendas[[#This Row],[Qnt Vendida]]</f>
        <v>1287</v>
      </c>
      <c r="J606" s="3">
        <f>Vendas[[#This Row],[Valor da Venda]]-(_xlfn.XLOOKUP(Vendas[[#This Row],[ID Item Vendido]],Agregado[ID],Agregado[Custo])*Vendas[[#This Row],[Qnt Vendida]])</f>
        <v>231</v>
      </c>
      <c r="K606" s="70">
        <f>Vendas[[#This Row],[Lucro da Venda]]/Vendas[[#This Row],[Valor da Venda]]</f>
        <v>0.17948717948717949</v>
      </c>
      <c r="L606" s="3">
        <f>_xlfn.IFS(Vendas[[#This Row],[Margem de Lucro (%)]]&lt;15%,Vendas[[#This Row],[Valor da Venda]]*3%,Vendas[[#This Row],[Margem de Lucro (%)]]&lt;=20%,Vendas[[#This Row],[Valor da Venda]]*4.5%,TRUE,Vendas[[#This Row],[Valor da Venda]]*6%)</f>
        <v>57.914999999999999</v>
      </c>
      <c r="M606"/>
    </row>
    <row r="607" spans="1:13" x14ac:dyDescent="0.3">
      <c r="A607" s="7">
        <v>400255</v>
      </c>
      <c r="B607" t="str">
        <f>_xlfn.XLOOKUP(Vendas[[#This Row],[ID Vendedor]],Vendedores[ID],Vendedores[Nome])</f>
        <v>Carlos</v>
      </c>
      <c r="C607" s="7" t="str">
        <f>_xlfn.XLOOKUP(Vendas[[#This Row],[ID Vendedor]],Vendedores[ID],Vendedores[Setor])</f>
        <v>SC</v>
      </c>
      <c r="D607" s="7" t="s">
        <v>48</v>
      </c>
      <c r="E607" t="str">
        <f>_xlfn.XLOOKUP(Vendas[[#This Row],[ID Item Vendido]],Agregado[ID],Agregado[Produto])</f>
        <v>Tambor metálico 200L</v>
      </c>
      <c r="F607" s="39">
        <v>44020</v>
      </c>
      <c r="G607" s="7">
        <v>12</v>
      </c>
      <c r="H607" s="3">
        <f>_xlfn.XLOOKUP(Vendas[[#This Row],[ID Item Vendido]],Agregado[ID],Agregado[Revenda])</f>
        <v>144</v>
      </c>
      <c r="I607" s="3">
        <f>Vendas[[#This Row],[Valor Unitário]]*Vendas[[#This Row],[Qnt Vendida]]</f>
        <v>1728</v>
      </c>
      <c r="J607" s="3">
        <f>Vendas[[#This Row],[Valor da Venda]]-(_xlfn.XLOOKUP(Vendas[[#This Row],[ID Item Vendido]],Agregado[ID],Agregado[Custo])*Vendas[[#This Row],[Qnt Vendida]])</f>
        <v>288</v>
      </c>
      <c r="K607" s="70">
        <f>Vendas[[#This Row],[Lucro da Venda]]/Vendas[[#This Row],[Valor da Venda]]</f>
        <v>0.16666666666666666</v>
      </c>
      <c r="L607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607"/>
    </row>
    <row r="608" spans="1:13" x14ac:dyDescent="0.3">
      <c r="A608" s="7">
        <v>400245</v>
      </c>
      <c r="B608" t="str">
        <f>_xlfn.XLOOKUP(Vendas[[#This Row],[ID Vendedor]],Vendedores[ID],Vendedores[Nome])</f>
        <v>Thiago</v>
      </c>
      <c r="C608" s="7" t="str">
        <f>_xlfn.XLOOKUP(Vendas[[#This Row],[ID Vendedor]],Vendedores[ID],Vendedores[Setor])</f>
        <v>AHD</v>
      </c>
      <c r="D608" s="7" t="s">
        <v>28</v>
      </c>
      <c r="E608" t="str">
        <f>_xlfn.XLOOKUP(Vendas[[#This Row],[ID Item Vendido]],Agregado[ID],Agregado[Produto])</f>
        <v>Peça usinada CNC</v>
      </c>
      <c r="F608" s="39">
        <v>44021</v>
      </c>
      <c r="G608" s="7">
        <v>13</v>
      </c>
      <c r="H608" s="3">
        <f>_xlfn.XLOOKUP(Vendas[[#This Row],[ID Item Vendido]],Agregado[ID],Agregado[Revenda])</f>
        <v>192</v>
      </c>
      <c r="I608" s="3">
        <f>Vendas[[#This Row],[Valor Unitário]]*Vendas[[#This Row],[Qnt Vendida]]</f>
        <v>2496</v>
      </c>
      <c r="J608" s="3">
        <f>Vendas[[#This Row],[Valor da Venda]]-(_xlfn.XLOOKUP(Vendas[[#This Row],[ID Item Vendido]],Agregado[ID],Agregado[Custo])*Vendas[[#This Row],[Qnt Vendida]])</f>
        <v>546</v>
      </c>
      <c r="K608" s="70">
        <f>Vendas[[#This Row],[Lucro da Venda]]/Vendas[[#This Row],[Valor da Venda]]</f>
        <v>0.21875</v>
      </c>
      <c r="L608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608"/>
    </row>
    <row r="609" spans="1:13" x14ac:dyDescent="0.3">
      <c r="A609" s="7">
        <v>400251</v>
      </c>
      <c r="B609" t="str">
        <f>_xlfn.XLOOKUP(Vendas[[#This Row],[ID Vendedor]],Vendedores[ID],Vendedores[Nome])</f>
        <v>Diego</v>
      </c>
      <c r="C609" s="7" t="str">
        <f>_xlfn.XLOOKUP(Vendas[[#This Row],[ID Vendedor]],Vendedores[ID],Vendedores[Setor])</f>
        <v>AB</v>
      </c>
      <c r="D609" s="7" t="s">
        <v>12</v>
      </c>
      <c r="E609" t="str">
        <f>_xlfn.XLOOKUP(Vendas[[#This Row],[ID Item Vendido]],Agregado[ID],Agregado[Produto])</f>
        <v>Grânulo de plástico reciclado refinado</v>
      </c>
      <c r="F609" s="39">
        <v>44024</v>
      </c>
      <c r="G609" s="7">
        <v>39</v>
      </c>
      <c r="H609" s="3">
        <f>_xlfn.XLOOKUP(Vendas[[#This Row],[ID Item Vendido]],Agregado[ID],Agregado[Revenda])</f>
        <v>4.7</v>
      </c>
      <c r="I609" s="3">
        <f>Vendas[[#This Row],[Valor Unitário]]*Vendas[[#This Row],[Qnt Vendida]]</f>
        <v>183.3</v>
      </c>
      <c r="J609" s="3">
        <f>Vendas[[#This Row],[Valor da Venda]]-(_xlfn.XLOOKUP(Vendas[[#This Row],[ID Item Vendido]],Agregado[ID],Agregado[Custo])*Vendas[[#This Row],[Qnt Vendida]])</f>
        <v>46.800000000000011</v>
      </c>
      <c r="K609" s="70">
        <f>Vendas[[#This Row],[Lucro da Venda]]/Vendas[[#This Row],[Valor da Venda]]</f>
        <v>0.25531914893617025</v>
      </c>
      <c r="L609" s="3">
        <f>_xlfn.IFS(Vendas[[#This Row],[Margem de Lucro (%)]]&lt;15%,Vendas[[#This Row],[Valor da Venda]]*3%,Vendas[[#This Row],[Margem de Lucro (%)]]&lt;=20%,Vendas[[#This Row],[Valor da Venda]]*4.5%,TRUE,Vendas[[#This Row],[Valor da Venda]]*6%)</f>
        <v>10.998000000000001</v>
      </c>
      <c r="M609"/>
    </row>
    <row r="610" spans="1:13" x14ac:dyDescent="0.3">
      <c r="A610" s="7">
        <v>400243</v>
      </c>
      <c r="B610" t="str">
        <f>_xlfn.XLOOKUP(Vendas[[#This Row],[ID Vendedor]],Vendedores[ID],Vendedores[Nome])</f>
        <v>Marcelo</v>
      </c>
      <c r="C610" s="7" t="str">
        <f>_xlfn.XLOOKUP(Vendas[[#This Row],[ID Vendedor]],Vendedores[ID],Vendedores[Setor])</f>
        <v>FM</v>
      </c>
      <c r="D610" s="7" t="s">
        <v>27</v>
      </c>
      <c r="E610" t="str">
        <f>_xlfn.XLOOKUP(Vendas[[#This Row],[ID Item Vendido]],Agregado[ID],Agregado[Produto])</f>
        <v>Chapa de metal lisa 1x2m</v>
      </c>
      <c r="F610" s="39">
        <v>44025</v>
      </c>
      <c r="G610" s="7">
        <v>29</v>
      </c>
      <c r="H610" s="3">
        <f>_xlfn.XLOOKUP(Vendas[[#This Row],[ID Item Vendido]],Agregado[ID],Agregado[Revenda])</f>
        <v>52</v>
      </c>
      <c r="I610" s="3">
        <f>Vendas[[#This Row],[Valor Unitário]]*Vendas[[#This Row],[Qnt Vendida]]</f>
        <v>1508</v>
      </c>
      <c r="J610" s="3">
        <f>Vendas[[#This Row],[Valor da Venda]]-(_xlfn.XLOOKUP(Vendas[[#This Row],[ID Item Vendido]],Agregado[ID],Agregado[Custo])*Vendas[[#This Row],[Qnt Vendida]])</f>
        <v>203</v>
      </c>
      <c r="K610" s="70">
        <f>Vendas[[#This Row],[Lucro da Venda]]/Vendas[[#This Row],[Valor da Venda]]</f>
        <v>0.13461538461538461</v>
      </c>
      <c r="L610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610"/>
    </row>
    <row r="611" spans="1:13" x14ac:dyDescent="0.3">
      <c r="A611" s="7">
        <v>400249</v>
      </c>
      <c r="B611" t="str">
        <f>_xlfn.XLOOKUP(Vendas[[#This Row],[ID Vendedor]],Vendedores[ID],Vendedores[Nome])</f>
        <v>Bruno</v>
      </c>
      <c r="C611" s="7" t="str">
        <f>_xlfn.XLOOKUP(Vendas[[#This Row],[ID Vendedor]],Vendedores[ID],Vendedores[Setor])</f>
        <v>CM</v>
      </c>
      <c r="D611" s="7" t="s">
        <v>34</v>
      </c>
      <c r="E611" t="str">
        <f>_xlfn.XLOOKUP(Vendas[[#This Row],[ID Item Vendido]],Agregado[ID],Agregado[Produto])</f>
        <v>Restos de madeira p/ MDP/OSB saco de 20kg</v>
      </c>
      <c r="F611" s="39">
        <v>44026</v>
      </c>
      <c r="G611" s="7">
        <v>12</v>
      </c>
      <c r="H611" s="3">
        <f>_xlfn.XLOOKUP(Vendas[[#This Row],[ID Item Vendido]],Agregado[ID],Agregado[Revenda])</f>
        <v>13.8</v>
      </c>
      <c r="I611" s="3">
        <f>Vendas[[#This Row],[Valor Unitário]]*Vendas[[#This Row],[Qnt Vendida]]</f>
        <v>165.60000000000002</v>
      </c>
      <c r="J611" s="3">
        <f>Vendas[[#This Row],[Valor da Venda]]-(_xlfn.XLOOKUP(Vendas[[#This Row],[ID Item Vendido]],Agregado[ID],Agregado[Custo])*Vendas[[#This Row],[Qnt Vendida]])</f>
        <v>21.600000000000023</v>
      </c>
      <c r="K611" s="70">
        <f>Vendas[[#This Row],[Lucro da Venda]]/Vendas[[#This Row],[Valor da Venda]]</f>
        <v>0.13043478260869576</v>
      </c>
      <c r="L611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611"/>
    </row>
    <row r="612" spans="1:13" x14ac:dyDescent="0.3">
      <c r="A612" s="7">
        <v>400245</v>
      </c>
      <c r="B612" t="str">
        <f>_xlfn.XLOOKUP(Vendas[[#This Row],[ID Vendedor]],Vendedores[ID],Vendedores[Nome])</f>
        <v>Thiago</v>
      </c>
      <c r="C612" s="7" t="str">
        <f>_xlfn.XLOOKUP(Vendas[[#This Row],[ID Vendedor]],Vendedores[ID],Vendedores[Setor])</f>
        <v>AHD</v>
      </c>
      <c r="D612" s="7" t="s">
        <v>30</v>
      </c>
      <c r="E612" t="str">
        <f>_xlfn.XLOOKUP(Vendas[[#This Row],[ID Item Vendido]],Agregado[ID],Agregado[Produto])</f>
        <v>Estrutura metálica soldada</v>
      </c>
      <c r="F612" s="39">
        <v>44033</v>
      </c>
      <c r="G612" s="7">
        <v>7</v>
      </c>
      <c r="H612" s="3">
        <f>_xlfn.XLOOKUP(Vendas[[#This Row],[ID Item Vendido]],Agregado[ID],Agregado[Revenda])</f>
        <v>400</v>
      </c>
      <c r="I612" s="3">
        <f>Vendas[[#This Row],[Valor Unitário]]*Vendas[[#This Row],[Qnt Vendida]]</f>
        <v>2800</v>
      </c>
      <c r="J612" s="3">
        <f>Vendas[[#This Row],[Valor da Venda]]-(_xlfn.XLOOKUP(Vendas[[#This Row],[ID Item Vendido]],Agregado[ID],Agregado[Custo])*Vendas[[#This Row],[Qnt Vendida]])</f>
        <v>560</v>
      </c>
      <c r="K612" s="70">
        <f>Vendas[[#This Row],[Lucro da Venda]]/Vendas[[#This Row],[Valor da Venda]]</f>
        <v>0.2</v>
      </c>
      <c r="L612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612"/>
    </row>
    <row r="613" spans="1:13" x14ac:dyDescent="0.3">
      <c r="A613" s="7">
        <v>400249</v>
      </c>
      <c r="B613" t="str">
        <f>_xlfn.XLOOKUP(Vendas[[#This Row],[ID Vendedor]],Vendedores[ID],Vendedores[Nome])</f>
        <v>Bruno</v>
      </c>
      <c r="C613" s="7" t="str">
        <f>_xlfn.XLOOKUP(Vendas[[#This Row],[ID Vendedor]],Vendedores[ID],Vendedores[Setor])</f>
        <v>CM</v>
      </c>
      <c r="D613" s="7" t="s">
        <v>22</v>
      </c>
      <c r="E613" t="str">
        <f>_xlfn.XLOOKUP(Vendas[[#This Row],[ID Item Vendido]],Agregado[ID],Agregado[Produto])</f>
        <v>Painel MDP 2,75x1,83m</v>
      </c>
      <c r="F613" s="39">
        <v>44033</v>
      </c>
      <c r="G613" s="7">
        <v>19</v>
      </c>
      <c r="H613" s="3">
        <f>_xlfn.XLOOKUP(Vendas[[#This Row],[ID Item Vendido]],Agregado[ID],Agregado[Revenda])</f>
        <v>119</v>
      </c>
      <c r="I613" s="3">
        <f>Vendas[[#This Row],[Valor Unitário]]*Vendas[[#This Row],[Qnt Vendida]]</f>
        <v>2261</v>
      </c>
      <c r="J613" s="3">
        <f>Vendas[[#This Row],[Valor da Venda]]-(_xlfn.XLOOKUP(Vendas[[#This Row],[ID Item Vendido]],Agregado[ID],Agregado[Custo])*Vendas[[#This Row],[Qnt Vendida]])</f>
        <v>456</v>
      </c>
      <c r="K613" s="70">
        <f>Vendas[[#This Row],[Lucro da Venda]]/Vendas[[#This Row],[Valor da Venda]]</f>
        <v>0.20168067226890757</v>
      </c>
      <c r="L613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613"/>
    </row>
    <row r="614" spans="1:13" x14ac:dyDescent="0.3">
      <c r="A614" s="7">
        <v>400244</v>
      </c>
      <c r="B614" t="str">
        <f>_xlfn.XLOOKUP(Vendas[[#This Row],[ID Vendedor]],Vendedores[ID],Vendedores[Nome])</f>
        <v>Camila</v>
      </c>
      <c r="C614" s="7" t="str">
        <f>_xlfn.XLOOKUP(Vendas[[#This Row],[ID Vendedor]],Vendedores[ID],Vendedores[Setor])</f>
        <v>AHD</v>
      </c>
      <c r="D614" s="7" t="s">
        <v>9</v>
      </c>
      <c r="E614" t="str">
        <f>_xlfn.XLOOKUP(Vendas[[#This Row],[ID Item Vendido]],Agregado[ID],Agregado[Produto])</f>
        <v>Barra de aço simples</v>
      </c>
      <c r="F614" s="39">
        <v>44034</v>
      </c>
      <c r="G614" s="7">
        <v>61</v>
      </c>
      <c r="H614" s="3">
        <f>_xlfn.XLOOKUP(Vendas[[#This Row],[ID Item Vendido]],Agregado[ID],Agregado[Revenda])</f>
        <v>6.7</v>
      </c>
      <c r="I614" s="3">
        <f>Vendas[[#This Row],[Valor Unitário]]*Vendas[[#This Row],[Qnt Vendida]]</f>
        <v>408.7</v>
      </c>
      <c r="J614" s="3">
        <f>Vendas[[#This Row],[Valor da Venda]]-(_xlfn.XLOOKUP(Vendas[[#This Row],[ID Item Vendido]],Agregado[ID],Agregado[Custo])*Vendas[[#This Row],[Qnt Vendida]])</f>
        <v>54.899999999999977</v>
      </c>
      <c r="K614" s="70">
        <f>Vendas[[#This Row],[Lucro da Venda]]/Vendas[[#This Row],[Valor da Venda]]</f>
        <v>0.13432835820895517</v>
      </c>
      <c r="L614" s="3">
        <f>_xlfn.IFS(Vendas[[#This Row],[Margem de Lucro (%)]]&lt;15%,Vendas[[#This Row],[Valor da Venda]]*3%,Vendas[[#This Row],[Margem de Lucro (%)]]&lt;=20%,Vendas[[#This Row],[Valor da Venda]]*4.5%,TRUE,Vendas[[#This Row],[Valor da Venda]]*6%)</f>
        <v>12.260999999999999</v>
      </c>
      <c r="M614"/>
    </row>
    <row r="615" spans="1:13" x14ac:dyDescent="0.3">
      <c r="A615" s="7">
        <v>400251</v>
      </c>
      <c r="B615" t="str">
        <f>_xlfn.XLOOKUP(Vendas[[#This Row],[ID Vendedor]],Vendedores[ID],Vendedores[Nome])</f>
        <v>Diego</v>
      </c>
      <c r="C615" s="7" t="str">
        <f>_xlfn.XLOOKUP(Vendas[[#This Row],[ID Vendedor]],Vendedores[ID],Vendedores[Setor])</f>
        <v>AB</v>
      </c>
      <c r="D615" s="7" t="s">
        <v>36</v>
      </c>
      <c r="E615" t="str">
        <f>_xlfn.XLOOKUP(Vendas[[#This Row],[ID Item Vendido]],Agregado[ID],Agregado[Produto])</f>
        <v>Borracha vulcanizada em manta</v>
      </c>
      <c r="F615" s="39">
        <v>44035</v>
      </c>
      <c r="G615" s="7">
        <v>29</v>
      </c>
      <c r="H615" s="3">
        <f>_xlfn.XLOOKUP(Vendas[[#This Row],[ID Item Vendido]],Agregado[ID],Agregado[Revenda])</f>
        <v>7.8</v>
      </c>
      <c r="I615" s="3">
        <f>Vendas[[#This Row],[Valor Unitário]]*Vendas[[#This Row],[Qnt Vendida]]</f>
        <v>226.2</v>
      </c>
      <c r="J615" s="3">
        <f>Vendas[[#This Row],[Valor da Venda]]-(_xlfn.XLOOKUP(Vendas[[#This Row],[ID Item Vendido]],Agregado[ID],Agregado[Custo])*Vendas[[#This Row],[Qnt Vendida]])</f>
        <v>52.199999999999989</v>
      </c>
      <c r="K615" s="70">
        <f>Vendas[[#This Row],[Lucro da Venda]]/Vendas[[#This Row],[Valor da Venda]]</f>
        <v>0.23076923076923073</v>
      </c>
      <c r="L615" s="3">
        <f>_xlfn.IFS(Vendas[[#This Row],[Margem de Lucro (%)]]&lt;15%,Vendas[[#This Row],[Valor da Venda]]*3%,Vendas[[#This Row],[Margem de Lucro (%)]]&lt;=20%,Vendas[[#This Row],[Valor da Venda]]*4.5%,TRUE,Vendas[[#This Row],[Valor da Venda]]*6%)</f>
        <v>13.571999999999999</v>
      </c>
      <c r="M615"/>
    </row>
    <row r="616" spans="1:13" x14ac:dyDescent="0.3">
      <c r="A616" s="7">
        <v>400243</v>
      </c>
      <c r="B616" t="str">
        <f>_xlfn.XLOOKUP(Vendas[[#This Row],[ID Vendedor]],Vendedores[ID],Vendedores[Nome])</f>
        <v>Marcelo</v>
      </c>
      <c r="C616" s="7" t="str">
        <f>_xlfn.XLOOKUP(Vendas[[#This Row],[ID Vendedor]],Vendedores[ID],Vendedores[Setor])</f>
        <v>FM</v>
      </c>
      <c r="D616" s="7" t="s">
        <v>6</v>
      </c>
      <c r="E616" t="str">
        <f>_xlfn.XLOOKUP(Vendas[[#This Row],[ID Item Vendido]],Agregado[ID],Agregado[Produto])</f>
        <v>Parafuso comum 500un</v>
      </c>
      <c r="F616" s="39">
        <v>44036</v>
      </c>
      <c r="G616" s="7">
        <v>14</v>
      </c>
      <c r="H616" s="3">
        <f>_xlfn.XLOOKUP(Vendas[[#This Row],[ID Item Vendido]],Agregado[ID],Agregado[Revenda])</f>
        <v>24.6</v>
      </c>
      <c r="I616" s="3">
        <f>Vendas[[#This Row],[Valor Unitário]]*Vendas[[#This Row],[Qnt Vendida]]</f>
        <v>344.40000000000003</v>
      </c>
      <c r="J616" s="3">
        <f>Vendas[[#This Row],[Valor da Venda]]-(_xlfn.XLOOKUP(Vendas[[#This Row],[ID Item Vendido]],Agregado[ID],Agregado[Custo])*Vendas[[#This Row],[Qnt Vendida]])</f>
        <v>36.400000000000034</v>
      </c>
      <c r="K616" s="70">
        <f>Vendas[[#This Row],[Lucro da Venda]]/Vendas[[#This Row],[Valor da Venda]]</f>
        <v>0.10569105691056919</v>
      </c>
      <c r="L616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616"/>
    </row>
    <row r="617" spans="1:13" x14ac:dyDescent="0.3">
      <c r="A617" s="7">
        <v>400245</v>
      </c>
      <c r="B617" t="str">
        <f>_xlfn.XLOOKUP(Vendas[[#This Row],[ID Vendedor]],Vendedores[ID],Vendedores[Nome])</f>
        <v>Thiago</v>
      </c>
      <c r="C617" s="7" t="str">
        <f>_xlfn.XLOOKUP(Vendas[[#This Row],[ID Vendedor]],Vendedores[ID],Vendedores[Setor])</f>
        <v>AHD</v>
      </c>
      <c r="D617" s="7" t="s">
        <v>44</v>
      </c>
      <c r="E617" t="str">
        <f>_xlfn.XLOOKUP(Vendas[[#This Row],[ID Item Vendido]],Agregado[ID],Agregado[Produto])</f>
        <v>Liga metálica especial</v>
      </c>
      <c r="F617" s="39">
        <v>44036</v>
      </c>
      <c r="G617" s="7">
        <v>7</v>
      </c>
      <c r="H617" s="3">
        <f>_xlfn.XLOOKUP(Vendas[[#This Row],[ID Item Vendido]],Agregado[ID],Agregado[Revenda])</f>
        <v>32.5</v>
      </c>
      <c r="I617" s="3">
        <f>Vendas[[#This Row],[Valor Unitário]]*Vendas[[#This Row],[Qnt Vendida]]</f>
        <v>227.5</v>
      </c>
      <c r="J617" s="3">
        <f>Vendas[[#This Row],[Valor da Venda]]-(_xlfn.XLOOKUP(Vendas[[#This Row],[ID Item Vendido]],Agregado[ID],Agregado[Custo])*Vendas[[#This Row],[Qnt Vendida]])</f>
        <v>52.5</v>
      </c>
      <c r="K617" s="70">
        <f>Vendas[[#This Row],[Lucro da Venda]]/Vendas[[#This Row],[Valor da Venda]]</f>
        <v>0.23076923076923078</v>
      </c>
      <c r="L617" s="3">
        <f>_xlfn.IFS(Vendas[[#This Row],[Margem de Lucro (%)]]&lt;15%,Vendas[[#This Row],[Valor da Venda]]*3%,Vendas[[#This Row],[Margem de Lucro (%)]]&lt;=20%,Vendas[[#This Row],[Valor da Venda]]*4.5%,TRUE,Vendas[[#This Row],[Valor da Venda]]*6%)</f>
        <v>13.65</v>
      </c>
      <c r="M617"/>
    </row>
    <row r="618" spans="1:13" x14ac:dyDescent="0.3">
      <c r="A618" s="7">
        <v>400244</v>
      </c>
      <c r="B618" t="str">
        <f>_xlfn.XLOOKUP(Vendas[[#This Row],[ID Vendedor]],Vendedores[ID],Vendedores[Nome])</f>
        <v>Camila</v>
      </c>
      <c r="C618" s="7" t="str">
        <f>_xlfn.XLOOKUP(Vendas[[#This Row],[ID Vendedor]],Vendedores[ID],Vendedores[Setor])</f>
        <v>AHD</v>
      </c>
      <c r="D618" s="7" t="s">
        <v>9</v>
      </c>
      <c r="E618" t="str">
        <f>_xlfn.XLOOKUP(Vendas[[#This Row],[ID Item Vendido]],Agregado[ID],Agregado[Produto])</f>
        <v>Barra de aço simples</v>
      </c>
      <c r="F618" s="39">
        <v>44037</v>
      </c>
      <c r="G618" s="7">
        <v>128</v>
      </c>
      <c r="H618" s="3">
        <f>_xlfn.XLOOKUP(Vendas[[#This Row],[ID Item Vendido]],Agregado[ID],Agregado[Revenda])</f>
        <v>6.7</v>
      </c>
      <c r="I618" s="3">
        <f>Vendas[[#This Row],[Valor Unitário]]*Vendas[[#This Row],[Qnt Vendida]]</f>
        <v>857.6</v>
      </c>
      <c r="J618" s="3">
        <f>Vendas[[#This Row],[Valor da Venda]]-(_xlfn.XLOOKUP(Vendas[[#This Row],[ID Item Vendido]],Agregado[ID],Agregado[Custo])*Vendas[[#This Row],[Qnt Vendida]])</f>
        <v>115.20000000000005</v>
      </c>
      <c r="K618" s="70">
        <f>Vendas[[#This Row],[Lucro da Venda]]/Vendas[[#This Row],[Valor da Venda]]</f>
        <v>0.13432835820895528</v>
      </c>
      <c r="L618" s="3">
        <f>_xlfn.IFS(Vendas[[#This Row],[Margem de Lucro (%)]]&lt;15%,Vendas[[#This Row],[Valor da Venda]]*3%,Vendas[[#This Row],[Margem de Lucro (%)]]&lt;=20%,Vendas[[#This Row],[Valor da Venda]]*4.5%,TRUE,Vendas[[#This Row],[Valor da Venda]]*6%)</f>
        <v>25.727999999999998</v>
      </c>
      <c r="M618"/>
    </row>
    <row r="619" spans="1:13" x14ac:dyDescent="0.3">
      <c r="A619" s="7">
        <v>400255</v>
      </c>
      <c r="B619" t="str">
        <f>_xlfn.XLOOKUP(Vendas[[#This Row],[ID Vendedor]],Vendedores[ID],Vendedores[Nome])</f>
        <v>Carlos</v>
      </c>
      <c r="C619" s="7" t="str">
        <f>_xlfn.XLOOKUP(Vendas[[#This Row],[ID Vendedor]],Vendedores[ID],Vendedores[Setor])</f>
        <v>SC</v>
      </c>
      <c r="D619" s="7" t="s">
        <v>48</v>
      </c>
      <c r="E619" t="str">
        <f>_xlfn.XLOOKUP(Vendas[[#This Row],[ID Item Vendido]],Agregado[ID],Agregado[Produto])</f>
        <v>Tambor metálico 200L</v>
      </c>
      <c r="F619" s="39">
        <v>44038</v>
      </c>
      <c r="G619" s="7">
        <v>9</v>
      </c>
      <c r="H619" s="3">
        <f>_xlfn.XLOOKUP(Vendas[[#This Row],[ID Item Vendido]],Agregado[ID],Agregado[Revenda])</f>
        <v>144</v>
      </c>
      <c r="I619" s="3">
        <f>Vendas[[#This Row],[Valor Unitário]]*Vendas[[#This Row],[Qnt Vendida]]</f>
        <v>1296</v>
      </c>
      <c r="J619" s="3">
        <f>Vendas[[#This Row],[Valor da Venda]]-(_xlfn.XLOOKUP(Vendas[[#This Row],[ID Item Vendido]],Agregado[ID],Agregado[Custo])*Vendas[[#This Row],[Qnt Vendida]])</f>
        <v>216</v>
      </c>
      <c r="K619" s="70">
        <f>Vendas[[#This Row],[Lucro da Venda]]/Vendas[[#This Row],[Valor da Venda]]</f>
        <v>0.16666666666666666</v>
      </c>
      <c r="L619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619"/>
    </row>
    <row r="620" spans="1:13" x14ac:dyDescent="0.3">
      <c r="A620" s="7">
        <v>400241</v>
      </c>
      <c r="B620" t="str">
        <f>_xlfn.XLOOKUP(Vendas[[#This Row],[ID Vendedor]],Vendedores[ID],Vendedores[Nome])</f>
        <v>Rodrigo</v>
      </c>
      <c r="C620" s="7" t="str">
        <f>_xlfn.XLOOKUP(Vendas[[#This Row],[ID Vendedor]],Vendedores[ID],Vendedores[Setor])</f>
        <v>FM</v>
      </c>
      <c r="D620" s="7" t="s">
        <v>47</v>
      </c>
      <c r="E620" t="str">
        <f>_xlfn.XLOOKUP(Vendas[[#This Row],[ID Item Vendido]],Agregado[ID],Agregado[Produto])</f>
        <v>Fio de arame galvanizado rolo 50m</v>
      </c>
      <c r="F620" s="39">
        <v>44038</v>
      </c>
      <c r="G620" s="7">
        <v>34</v>
      </c>
      <c r="H620" s="3">
        <f>_xlfn.XLOOKUP(Vendas[[#This Row],[ID Item Vendido]],Agregado[ID],Agregado[Revenda])</f>
        <v>21.2</v>
      </c>
      <c r="I620" s="3">
        <f>Vendas[[#This Row],[Valor Unitário]]*Vendas[[#This Row],[Qnt Vendida]]</f>
        <v>720.8</v>
      </c>
      <c r="J620" s="3">
        <f>Vendas[[#This Row],[Valor da Venda]]-(_xlfn.XLOOKUP(Vendas[[#This Row],[ID Item Vendido]],Agregado[ID],Agregado[Custo])*Vendas[[#This Row],[Qnt Vendida]])</f>
        <v>108.79999999999995</v>
      </c>
      <c r="K620" s="70">
        <f>Vendas[[#This Row],[Lucro da Venda]]/Vendas[[#This Row],[Valor da Venda]]</f>
        <v>0.15094339622641503</v>
      </c>
      <c r="L620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620"/>
    </row>
    <row r="621" spans="1:13" x14ac:dyDescent="0.3">
      <c r="A621" s="7">
        <v>400251</v>
      </c>
      <c r="B621" t="str">
        <f>_xlfn.XLOOKUP(Vendas[[#This Row],[ID Vendedor]],Vendedores[ID],Vendedores[Nome])</f>
        <v>Diego</v>
      </c>
      <c r="C621" s="7" t="str">
        <f>_xlfn.XLOOKUP(Vendas[[#This Row],[ID Vendedor]],Vendedores[ID],Vendedores[Setor])</f>
        <v>AB</v>
      </c>
      <c r="D621" s="7" t="s">
        <v>12</v>
      </c>
      <c r="E621" t="str">
        <f>_xlfn.XLOOKUP(Vendas[[#This Row],[ID Item Vendido]],Agregado[ID],Agregado[Produto])</f>
        <v>Grânulo de plástico reciclado refinado</v>
      </c>
      <c r="F621" s="39">
        <v>44038</v>
      </c>
      <c r="G621" s="7">
        <v>117</v>
      </c>
      <c r="H621" s="3">
        <f>_xlfn.XLOOKUP(Vendas[[#This Row],[ID Item Vendido]],Agregado[ID],Agregado[Revenda])</f>
        <v>4.7</v>
      </c>
      <c r="I621" s="3">
        <f>Vendas[[#This Row],[Valor Unitário]]*Vendas[[#This Row],[Qnt Vendida]]</f>
        <v>549.9</v>
      </c>
      <c r="J621" s="3">
        <f>Vendas[[#This Row],[Valor da Venda]]-(_xlfn.XLOOKUP(Vendas[[#This Row],[ID Item Vendido]],Agregado[ID],Agregado[Custo])*Vendas[[#This Row],[Qnt Vendida]])</f>
        <v>140.39999999999998</v>
      </c>
      <c r="K621" s="70">
        <f>Vendas[[#This Row],[Lucro da Venda]]/Vendas[[#This Row],[Valor da Venda]]</f>
        <v>0.25531914893617019</v>
      </c>
      <c r="L621" s="3">
        <f>_xlfn.IFS(Vendas[[#This Row],[Margem de Lucro (%)]]&lt;15%,Vendas[[#This Row],[Valor da Venda]]*3%,Vendas[[#This Row],[Margem de Lucro (%)]]&lt;=20%,Vendas[[#This Row],[Valor da Venda]]*4.5%,TRUE,Vendas[[#This Row],[Valor da Venda]]*6%)</f>
        <v>32.994</v>
      </c>
      <c r="M621"/>
    </row>
    <row r="622" spans="1:13" x14ac:dyDescent="0.3">
      <c r="A622" s="7">
        <v>400243</v>
      </c>
      <c r="B622" t="str">
        <f>_xlfn.XLOOKUP(Vendas[[#This Row],[ID Vendedor]],Vendedores[ID],Vendedores[Nome])</f>
        <v>Marcelo</v>
      </c>
      <c r="C622" s="7" t="str">
        <f>_xlfn.XLOOKUP(Vendas[[#This Row],[ID Vendedor]],Vendedores[ID],Vendedores[Setor])</f>
        <v>FM</v>
      </c>
      <c r="D622" s="7" t="s">
        <v>20</v>
      </c>
      <c r="E622" t="str">
        <f>_xlfn.XLOOKUP(Vendas[[#This Row],[ID Item Vendido]],Agregado[ID],Agregado[Produto])</f>
        <v>Barra de aço simples</v>
      </c>
      <c r="F622" s="39">
        <v>44039</v>
      </c>
      <c r="G622" s="7">
        <v>150</v>
      </c>
      <c r="H622" s="3">
        <f>_xlfn.XLOOKUP(Vendas[[#This Row],[ID Item Vendido]],Agregado[ID],Agregado[Revenda])</f>
        <v>4.8</v>
      </c>
      <c r="I622" s="3">
        <f>Vendas[[#This Row],[Valor Unitário]]*Vendas[[#This Row],[Qnt Vendida]]</f>
        <v>720</v>
      </c>
      <c r="J622" s="3">
        <f>Vendas[[#This Row],[Valor da Venda]]-(_xlfn.XLOOKUP(Vendas[[#This Row],[ID Item Vendido]],Agregado[ID],Agregado[Custo])*Vendas[[#This Row],[Qnt Vendida]])</f>
        <v>90</v>
      </c>
      <c r="K622" s="70">
        <f>Vendas[[#This Row],[Lucro da Venda]]/Vendas[[#This Row],[Valor da Venda]]</f>
        <v>0.125</v>
      </c>
      <c r="L622" s="3">
        <f>_xlfn.IFS(Vendas[[#This Row],[Margem de Lucro (%)]]&lt;15%,Vendas[[#This Row],[Valor da Venda]]*3%,Vendas[[#This Row],[Margem de Lucro (%)]]&lt;=20%,Vendas[[#This Row],[Valor da Venda]]*4.5%,TRUE,Vendas[[#This Row],[Valor da Venda]]*6%)</f>
        <v>21.599999999999998</v>
      </c>
      <c r="M622"/>
    </row>
    <row r="623" spans="1:13" x14ac:dyDescent="0.3">
      <c r="A623" s="7">
        <v>400255</v>
      </c>
      <c r="B623" t="str">
        <f>_xlfn.XLOOKUP(Vendas[[#This Row],[ID Vendedor]],Vendedores[ID],Vendedores[Nome])</f>
        <v>Carlos</v>
      </c>
      <c r="C623" s="7" t="str">
        <f>_xlfn.XLOOKUP(Vendas[[#This Row],[ID Vendedor]],Vendedores[ID],Vendedores[Setor])</f>
        <v>SC</v>
      </c>
      <c r="D623" s="7" t="s">
        <v>42</v>
      </c>
      <c r="E623" t="str">
        <f>_xlfn.XLOOKUP(Vendas[[#This Row],[ID Item Vendido]],Agregado[ID],Agregado[Produto])</f>
        <v>Container de ferro industrial</v>
      </c>
      <c r="F623" s="39">
        <v>44041</v>
      </c>
      <c r="G623" s="7">
        <v>2</v>
      </c>
      <c r="H623" s="3">
        <f>_xlfn.XLOOKUP(Vendas[[#This Row],[ID Item Vendido]],Agregado[ID],Agregado[Revenda])</f>
        <v>830</v>
      </c>
      <c r="I623" s="3">
        <f>Vendas[[#This Row],[Valor Unitário]]*Vendas[[#This Row],[Qnt Vendida]]</f>
        <v>1660</v>
      </c>
      <c r="J623" s="3">
        <f>Vendas[[#This Row],[Valor da Venda]]-(_xlfn.XLOOKUP(Vendas[[#This Row],[ID Item Vendido]],Agregado[ID],Agregado[Custo])*Vendas[[#This Row],[Qnt Vendida]])</f>
        <v>300</v>
      </c>
      <c r="K623" s="70">
        <f>Vendas[[#This Row],[Lucro da Venda]]/Vendas[[#This Row],[Valor da Venda]]</f>
        <v>0.18072289156626506</v>
      </c>
      <c r="L62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623"/>
    </row>
    <row r="624" spans="1:13" x14ac:dyDescent="0.3">
      <c r="A624" s="7">
        <v>400255</v>
      </c>
      <c r="B624" t="str">
        <f>_xlfn.XLOOKUP(Vendas[[#This Row],[ID Vendedor]],Vendedores[ID],Vendedores[Nome])</f>
        <v>Carlos</v>
      </c>
      <c r="C624" s="7" t="str">
        <f>_xlfn.XLOOKUP(Vendas[[#This Row],[ID Vendedor]],Vendedores[ID],Vendedores[Setor])</f>
        <v>SC</v>
      </c>
      <c r="D624" s="7" t="s">
        <v>42</v>
      </c>
      <c r="E624" t="str">
        <f>_xlfn.XLOOKUP(Vendas[[#This Row],[ID Item Vendido]],Agregado[ID],Agregado[Produto])</f>
        <v>Container de ferro industrial</v>
      </c>
      <c r="F624" s="39">
        <v>44041</v>
      </c>
      <c r="G624" s="7">
        <v>2</v>
      </c>
      <c r="H624" s="3">
        <f>_xlfn.XLOOKUP(Vendas[[#This Row],[ID Item Vendido]],Agregado[ID],Agregado[Revenda])</f>
        <v>830</v>
      </c>
      <c r="I624" s="3">
        <f>Vendas[[#This Row],[Valor Unitário]]*Vendas[[#This Row],[Qnt Vendida]]</f>
        <v>1660</v>
      </c>
      <c r="J624" s="3">
        <f>Vendas[[#This Row],[Valor da Venda]]-(_xlfn.XLOOKUP(Vendas[[#This Row],[ID Item Vendido]],Agregado[ID],Agregado[Custo])*Vendas[[#This Row],[Qnt Vendida]])</f>
        <v>300</v>
      </c>
      <c r="K624" s="70">
        <f>Vendas[[#This Row],[Lucro da Venda]]/Vendas[[#This Row],[Valor da Venda]]</f>
        <v>0.18072289156626506</v>
      </c>
      <c r="L624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624"/>
    </row>
    <row r="625" spans="1:13" x14ac:dyDescent="0.3">
      <c r="A625" s="7">
        <v>400241</v>
      </c>
      <c r="B625" t="str">
        <f>_xlfn.XLOOKUP(Vendas[[#This Row],[ID Vendedor]],Vendedores[ID],Vendedores[Nome])</f>
        <v>Rodrigo</v>
      </c>
      <c r="C625" s="7" t="str">
        <f>_xlfn.XLOOKUP(Vendas[[#This Row],[ID Vendedor]],Vendedores[ID],Vendedores[Setor])</f>
        <v>FM</v>
      </c>
      <c r="D625" s="7" t="s">
        <v>20</v>
      </c>
      <c r="E625" t="str">
        <f>_xlfn.XLOOKUP(Vendas[[#This Row],[ID Item Vendido]],Agregado[ID],Agregado[Produto])</f>
        <v>Barra de aço simples</v>
      </c>
      <c r="F625" s="39">
        <v>44041</v>
      </c>
      <c r="G625" s="7">
        <v>95</v>
      </c>
      <c r="H625" s="3">
        <f>_xlfn.XLOOKUP(Vendas[[#This Row],[ID Item Vendido]],Agregado[ID],Agregado[Revenda])</f>
        <v>4.8</v>
      </c>
      <c r="I625" s="3">
        <f>Vendas[[#This Row],[Valor Unitário]]*Vendas[[#This Row],[Qnt Vendida]]</f>
        <v>456</v>
      </c>
      <c r="J625" s="3">
        <f>Vendas[[#This Row],[Valor da Venda]]-(_xlfn.XLOOKUP(Vendas[[#This Row],[ID Item Vendido]],Agregado[ID],Agregado[Custo])*Vendas[[#This Row],[Qnt Vendida]])</f>
        <v>57</v>
      </c>
      <c r="K625" s="70">
        <f>Vendas[[#This Row],[Lucro da Venda]]/Vendas[[#This Row],[Valor da Venda]]</f>
        <v>0.125</v>
      </c>
      <c r="L625" s="3">
        <f>_xlfn.IFS(Vendas[[#This Row],[Margem de Lucro (%)]]&lt;15%,Vendas[[#This Row],[Valor da Venda]]*3%,Vendas[[#This Row],[Margem de Lucro (%)]]&lt;=20%,Vendas[[#This Row],[Valor da Venda]]*4.5%,TRUE,Vendas[[#This Row],[Valor da Venda]]*6%)</f>
        <v>13.68</v>
      </c>
      <c r="M625"/>
    </row>
    <row r="626" spans="1:13" x14ac:dyDescent="0.3">
      <c r="A626" s="7">
        <v>400244</v>
      </c>
      <c r="B626" t="str">
        <f>_xlfn.XLOOKUP(Vendas[[#This Row],[ID Vendedor]],Vendedores[ID],Vendedores[Nome])</f>
        <v>Camila</v>
      </c>
      <c r="C626" s="7" t="str">
        <f>_xlfn.XLOOKUP(Vendas[[#This Row],[ID Vendedor]],Vendedores[ID],Vendedores[Setor])</f>
        <v>AHD</v>
      </c>
      <c r="D626" s="7" t="s">
        <v>28</v>
      </c>
      <c r="E626" t="str">
        <f>_xlfn.XLOOKUP(Vendas[[#This Row],[ID Item Vendido]],Agregado[ID],Agregado[Produto])</f>
        <v>Peça usinada CNC</v>
      </c>
      <c r="F626" s="39">
        <v>44042</v>
      </c>
      <c r="G626" s="7">
        <v>7</v>
      </c>
      <c r="H626" s="3">
        <f>_xlfn.XLOOKUP(Vendas[[#This Row],[ID Item Vendido]],Agregado[ID],Agregado[Revenda])</f>
        <v>192</v>
      </c>
      <c r="I626" s="3">
        <f>Vendas[[#This Row],[Valor Unitário]]*Vendas[[#This Row],[Qnt Vendida]]</f>
        <v>1344</v>
      </c>
      <c r="J626" s="3">
        <f>Vendas[[#This Row],[Valor da Venda]]-(_xlfn.XLOOKUP(Vendas[[#This Row],[ID Item Vendido]],Agregado[ID],Agregado[Custo])*Vendas[[#This Row],[Qnt Vendida]])</f>
        <v>294</v>
      </c>
      <c r="K626" s="70">
        <f>Vendas[[#This Row],[Lucro da Venda]]/Vendas[[#This Row],[Valor da Venda]]</f>
        <v>0.21875</v>
      </c>
      <c r="L626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626"/>
    </row>
    <row r="627" spans="1:13" x14ac:dyDescent="0.3">
      <c r="A627" s="7">
        <v>400243</v>
      </c>
      <c r="B627" t="str">
        <f>_xlfn.XLOOKUP(Vendas[[#This Row],[ID Vendedor]],Vendedores[ID],Vendedores[Nome])</f>
        <v>Marcelo</v>
      </c>
      <c r="C627" s="7" t="str">
        <f>_xlfn.XLOOKUP(Vendas[[#This Row],[ID Vendedor]],Vendedores[ID],Vendedores[Setor])</f>
        <v>FM</v>
      </c>
      <c r="D627" s="7" t="s">
        <v>47</v>
      </c>
      <c r="E627" t="str">
        <f>_xlfn.XLOOKUP(Vendas[[#This Row],[ID Item Vendido]],Agregado[ID],Agregado[Produto])</f>
        <v>Fio de arame galvanizado rolo 50m</v>
      </c>
      <c r="F627" s="39">
        <v>44042</v>
      </c>
      <c r="G627" s="7">
        <v>4</v>
      </c>
      <c r="H627" s="3">
        <f>_xlfn.XLOOKUP(Vendas[[#This Row],[ID Item Vendido]],Agregado[ID],Agregado[Revenda])</f>
        <v>21.2</v>
      </c>
      <c r="I627" s="3">
        <f>Vendas[[#This Row],[Valor Unitário]]*Vendas[[#This Row],[Qnt Vendida]]</f>
        <v>84.8</v>
      </c>
      <c r="J627" s="3">
        <f>Vendas[[#This Row],[Valor da Venda]]-(_xlfn.XLOOKUP(Vendas[[#This Row],[ID Item Vendido]],Agregado[ID],Agregado[Custo])*Vendas[[#This Row],[Qnt Vendida]])</f>
        <v>12.799999999999997</v>
      </c>
      <c r="K627" s="70">
        <f>Vendas[[#This Row],[Lucro da Venda]]/Vendas[[#This Row],[Valor da Venda]]</f>
        <v>0.15094339622641506</v>
      </c>
      <c r="L627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627"/>
    </row>
    <row r="628" spans="1:13" x14ac:dyDescent="0.3">
      <c r="A628" s="7">
        <v>400245</v>
      </c>
      <c r="B628" t="str">
        <f>_xlfn.XLOOKUP(Vendas[[#This Row],[ID Vendedor]],Vendedores[ID],Vendedores[Nome])</f>
        <v>Thiago</v>
      </c>
      <c r="C628" s="7" t="str">
        <f>_xlfn.XLOOKUP(Vendas[[#This Row],[ID Vendedor]],Vendedores[ID],Vendedores[Setor])</f>
        <v>AHD</v>
      </c>
      <c r="D628" s="7" t="s">
        <v>18</v>
      </c>
      <c r="E628" t="str">
        <f>_xlfn.XLOOKUP(Vendas[[#This Row],[ID Item Vendido]],Agregado[ID],Agregado[Produto])</f>
        <v>Peça forjada sob encomenda</v>
      </c>
      <c r="F628" s="39">
        <v>44044</v>
      </c>
      <c r="G628" s="7">
        <v>2</v>
      </c>
      <c r="H628" s="3">
        <f>_xlfn.XLOOKUP(Vendas[[#This Row],[ID Item Vendido]],Agregado[ID],Agregado[Revenda])</f>
        <v>264.60000000000002</v>
      </c>
      <c r="I628" s="3">
        <f>Vendas[[#This Row],[Valor Unitário]]*Vendas[[#This Row],[Qnt Vendida]]</f>
        <v>529.20000000000005</v>
      </c>
      <c r="J628" s="3">
        <f>Vendas[[#This Row],[Valor da Venda]]-(_xlfn.XLOOKUP(Vendas[[#This Row],[ID Item Vendido]],Agregado[ID],Agregado[Custo])*Vendas[[#This Row],[Qnt Vendida]])</f>
        <v>29.200000000000045</v>
      </c>
      <c r="K628" s="70">
        <f>Vendas[[#This Row],[Lucro da Venda]]/Vendas[[#This Row],[Valor da Venda]]</f>
        <v>5.5177626606198113E-2</v>
      </c>
      <c r="L628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628"/>
    </row>
    <row r="629" spans="1:13" x14ac:dyDescent="0.3">
      <c r="A629" s="7">
        <v>400245</v>
      </c>
      <c r="B629" t="str">
        <f>_xlfn.XLOOKUP(Vendas[[#This Row],[ID Vendedor]],Vendedores[ID],Vendedores[Nome])</f>
        <v>Thiago</v>
      </c>
      <c r="C629" s="7" t="str">
        <f>_xlfn.XLOOKUP(Vendas[[#This Row],[ID Vendedor]],Vendedores[ID],Vendedores[Setor])</f>
        <v>AHD</v>
      </c>
      <c r="D629" s="7" t="s">
        <v>30</v>
      </c>
      <c r="E629" t="str">
        <f>_xlfn.XLOOKUP(Vendas[[#This Row],[ID Item Vendido]],Agregado[ID],Agregado[Produto])</f>
        <v>Estrutura metálica soldada</v>
      </c>
      <c r="F629" s="39">
        <v>44045</v>
      </c>
      <c r="G629" s="7">
        <v>1</v>
      </c>
      <c r="H629" s="3">
        <f>_xlfn.XLOOKUP(Vendas[[#This Row],[ID Item Vendido]],Agregado[ID],Agregado[Revenda])</f>
        <v>400</v>
      </c>
      <c r="I629" s="3">
        <f>Vendas[[#This Row],[Valor Unitário]]*Vendas[[#This Row],[Qnt Vendida]]</f>
        <v>400</v>
      </c>
      <c r="J629" s="3">
        <f>Vendas[[#This Row],[Valor da Venda]]-(_xlfn.XLOOKUP(Vendas[[#This Row],[ID Item Vendido]],Agregado[ID],Agregado[Custo])*Vendas[[#This Row],[Qnt Vendida]])</f>
        <v>80</v>
      </c>
      <c r="K629" s="70">
        <f>Vendas[[#This Row],[Lucro da Venda]]/Vendas[[#This Row],[Valor da Venda]]</f>
        <v>0.2</v>
      </c>
      <c r="L629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629"/>
    </row>
    <row r="630" spans="1:13" x14ac:dyDescent="0.3">
      <c r="A630" s="7">
        <v>400243</v>
      </c>
      <c r="B630" t="str">
        <f>_xlfn.XLOOKUP(Vendas[[#This Row],[ID Vendedor]],Vendedores[ID],Vendedores[Nome])</f>
        <v>Marcelo</v>
      </c>
      <c r="C630" s="7" t="str">
        <f>_xlfn.XLOOKUP(Vendas[[#This Row],[ID Vendedor]],Vendedores[ID],Vendedores[Setor])</f>
        <v>FM</v>
      </c>
      <c r="D630" s="7" t="s">
        <v>31</v>
      </c>
      <c r="E630" t="str">
        <f>_xlfn.XLOOKUP(Vendas[[#This Row],[ID Item Vendido]],Agregado[ID],Agregado[Produto])</f>
        <v>Tela de metal soldada rolo 2x25m</v>
      </c>
      <c r="F630" s="39">
        <v>44045</v>
      </c>
      <c r="G630" s="7">
        <v>4</v>
      </c>
      <c r="H630" s="3">
        <f>_xlfn.XLOOKUP(Vendas[[#This Row],[ID Item Vendido]],Agregado[ID],Agregado[Revenda])</f>
        <v>43.7</v>
      </c>
      <c r="I630" s="3">
        <f>Vendas[[#This Row],[Valor Unitário]]*Vendas[[#This Row],[Qnt Vendida]]</f>
        <v>174.8</v>
      </c>
      <c r="J630" s="3">
        <f>Vendas[[#This Row],[Valor da Venda]]-(_xlfn.XLOOKUP(Vendas[[#This Row],[ID Item Vendido]],Agregado[ID],Agregado[Custo])*Vendas[[#This Row],[Qnt Vendida]])</f>
        <v>22.800000000000011</v>
      </c>
      <c r="K630" s="70">
        <f>Vendas[[#This Row],[Lucro da Venda]]/Vendas[[#This Row],[Valor da Venda]]</f>
        <v>0.1304347826086957</v>
      </c>
      <c r="L630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630"/>
    </row>
    <row r="631" spans="1:13" x14ac:dyDescent="0.3">
      <c r="A631" s="7">
        <v>400243</v>
      </c>
      <c r="B631" t="str">
        <f>_xlfn.XLOOKUP(Vendas[[#This Row],[ID Vendedor]],Vendedores[ID],Vendedores[Nome])</f>
        <v>Marcelo</v>
      </c>
      <c r="C631" s="7" t="str">
        <f>_xlfn.XLOOKUP(Vendas[[#This Row],[ID Vendedor]],Vendedores[ID],Vendedores[Setor])</f>
        <v>FM</v>
      </c>
      <c r="D631" s="7" t="s">
        <v>6</v>
      </c>
      <c r="E631" t="str">
        <f>_xlfn.XLOOKUP(Vendas[[#This Row],[ID Item Vendido]],Agregado[ID],Agregado[Produto])</f>
        <v>Parafuso comum 500un</v>
      </c>
      <c r="F631" s="39">
        <v>44045</v>
      </c>
      <c r="G631" s="7">
        <v>2</v>
      </c>
      <c r="H631" s="3">
        <f>_xlfn.XLOOKUP(Vendas[[#This Row],[ID Item Vendido]],Agregado[ID],Agregado[Revenda])</f>
        <v>24.6</v>
      </c>
      <c r="I631" s="3">
        <f>Vendas[[#This Row],[Valor Unitário]]*Vendas[[#This Row],[Qnt Vendida]]</f>
        <v>49.2</v>
      </c>
      <c r="J631" s="3">
        <f>Vendas[[#This Row],[Valor da Venda]]-(_xlfn.XLOOKUP(Vendas[[#This Row],[ID Item Vendido]],Agregado[ID],Agregado[Custo])*Vendas[[#This Row],[Qnt Vendida]])</f>
        <v>5.2000000000000028</v>
      </c>
      <c r="K631" s="70">
        <f>Vendas[[#This Row],[Lucro da Venda]]/Vendas[[#This Row],[Valor da Venda]]</f>
        <v>0.10569105691056915</v>
      </c>
      <c r="L631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631"/>
    </row>
    <row r="632" spans="1:13" x14ac:dyDescent="0.3">
      <c r="A632" s="7">
        <v>400245</v>
      </c>
      <c r="B632" t="str">
        <f>_xlfn.XLOOKUP(Vendas[[#This Row],[ID Vendedor]],Vendedores[ID],Vendedores[Nome])</f>
        <v>Thiago</v>
      </c>
      <c r="C632" s="7" t="str">
        <f>_xlfn.XLOOKUP(Vendas[[#This Row],[ID Vendedor]],Vendedores[ID],Vendedores[Setor])</f>
        <v>AHD</v>
      </c>
      <c r="D632" s="7" t="s">
        <v>18</v>
      </c>
      <c r="E632" t="str">
        <f>_xlfn.XLOOKUP(Vendas[[#This Row],[ID Item Vendido]],Agregado[ID],Agregado[Produto])</f>
        <v>Peça forjada sob encomenda</v>
      </c>
      <c r="F632" s="39">
        <v>44046</v>
      </c>
      <c r="G632" s="7">
        <v>5</v>
      </c>
      <c r="H632" s="3">
        <f>_xlfn.XLOOKUP(Vendas[[#This Row],[ID Item Vendido]],Agregado[ID],Agregado[Revenda])</f>
        <v>264.60000000000002</v>
      </c>
      <c r="I632" s="3">
        <f>Vendas[[#This Row],[Valor Unitário]]*Vendas[[#This Row],[Qnt Vendida]]</f>
        <v>1323</v>
      </c>
      <c r="J632" s="3">
        <f>Vendas[[#This Row],[Valor da Venda]]-(_xlfn.XLOOKUP(Vendas[[#This Row],[ID Item Vendido]],Agregado[ID],Agregado[Custo])*Vendas[[#This Row],[Qnt Vendida]])</f>
        <v>73</v>
      </c>
      <c r="K632" s="70">
        <f>Vendas[[#This Row],[Lucro da Venda]]/Vendas[[#This Row],[Valor da Venda]]</f>
        <v>5.5177626606198037E-2</v>
      </c>
      <c r="L632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632"/>
    </row>
    <row r="633" spans="1:13" x14ac:dyDescent="0.3">
      <c r="A633" s="7">
        <v>400245</v>
      </c>
      <c r="B633" t="str">
        <f>_xlfn.XLOOKUP(Vendas[[#This Row],[ID Vendedor]],Vendedores[ID],Vendedores[Nome])</f>
        <v>Thiago</v>
      </c>
      <c r="C633" s="7" t="str">
        <f>_xlfn.XLOOKUP(Vendas[[#This Row],[ID Vendedor]],Vendedores[ID],Vendedores[Setor])</f>
        <v>AHD</v>
      </c>
      <c r="D633" s="7" t="s">
        <v>28</v>
      </c>
      <c r="E633" t="str">
        <f>_xlfn.XLOOKUP(Vendas[[#This Row],[ID Item Vendido]],Agregado[ID],Agregado[Produto])</f>
        <v>Peça usinada CNC</v>
      </c>
      <c r="F633" s="39">
        <v>44047</v>
      </c>
      <c r="G633" s="7">
        <v>15</v>
      </c>
      <c r="H633" s="3">
        <f>_xlfn.XLOOKUP(Vendas[[#This Row],[ID Item Vendido]],Agregado[ID],Agregado[Revenda])</f>
        <v>192</v>
      </c>
      <c r="I633" s="3">
        <f>Vendas[[#This Row],[Valor Unitário]]*Vendas[[#This Row],[Qnt Vendida]]</f>
        <v>2880</v>
      </c>
      <c r="J633" s="3">
        <f>Vendas[[#This Row],[Valor da Venda]]-(_xlfn.XLOOKUP(Vendas[[#This Row],[ID Item Vendido]],Agregado[ID],Agregado[Custo])*Vendas[[#This Row],[Qnt Vendida]])</f>
        <v>630</v>
      </c>
      <c r="K633" s="70">
        <f>Vendas[[#This Row],[Lucro da Venda]]/Vendas[[#This Row],[Valor da Venda]]</f>
        <v>0.21875</v>
      </c>
      <c r="L633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633"/>
    </row>
    <row r="634" spans="1:13" x14ac:dyDescent="0.3">
      <c r="A634" s="7">
        <v>400245</v>
      </c>
      <c r="B634" t="str">
        <f>_xlfn.XLOOKUP(Vendas[[#This Row],[ID Vendedor]],Vendedores[ID],Vendedores[Nome])</f>
        <v>Thiago</v>
      </c>
      <c r="C634" s="7" t="str">
        <f>_xlfn.XLOOKUP(Vendas[[#This Row],[ID Vendedor]],Vendedores[ID],Vendedores[Setor])</f>
        <v>AHD</v>
      </c>
      <c r="D634" s="7" t="s">
        <v>30</v>
      </c>
      <c r="E634" t="str">
        <f>_xlfn.XLOOKUP(Vendas[[#This Row],[ID Item Vendido]],Agregado[ID],Agregado[Produto])</f>
        <v>Estrutura metálica soldada</v>
      </c>
      <c r="F634" s="39">
        <v>44048</v>
      </c>
      <c r="G634" s="7">
        <v>7</v>
      </c>
      <c r="H634" s="3">
        <f>_xlfn.XLOOKUP(Vendas[[#This Row],[ID Item Vendido]],Agregado[ID],Agregado[Revenda])</f>
        <v>400</v>
      </c>
      <c r="I634" s="3">
        <f>Vendas[[#This Row],[Valor Unitário]]*Vendas[[#This Row],[Qnt Vendida]]</f>
        <v>2800</v>
      </c>
      <c r="J634" s="3">
        <f>Vendas[[#This Row],[Valor da Venda]]-(_xlfn.XLOOKUP(Vendas[[#This Row],[ID Item Vendido]],Agregado[ID],Agregado[Custo])*Vendas[[#This Row],[Qnt Vendida]])</f>
        <v>560</v>
      </c>
      <c r="K634" s="70">
        <f>Vendas[[#This Row],[Lucro da Venda]]/Vendas[[#This Row],[Valor da Venda]]</f>
        <v>0.2</v>
      </c>
      <c r="L634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634"/>
    </row>
    <row r="635" spans="1:13" x14ac:dyDescent="0.3">
      <c r="A635" s="7">
        <v>400245</v>
      </c>
      <c r="B635" t="str">
        <f>_xlfn.XLOOKUP(Vendas[[#This Row],[ID Vendedor]],Vendedores[ID],Vendedores[Nome])</f>
        <v>Thiago</v>
      </c>
      <c r="C635" s="7" t="str">
        <f>_xlfn.XLOOKUP(Vendas[[#This Row],[ID Vendedor]],Vendedores[ID],Vendedores[Setor])</f>
        <v>AHD</v>
      </c>
      <c r="D635" s="7" t="s">
        <v>28</v>
      </c>
      <c r="E635" t="str">
        <f>_xlfn.XLOOKUP(Vendas[[#This Row],[ID Item Vendido]],Agregado[ID],Agregado[Produto])</f>
        <v>Peça usinada CNC</v>
      </c>
      <c r="F635" s="39">
        <v>44049</v>
      </c>
      <c r="G635" s="7">
        <v>10</v>
      </c>
      <c r="H635" s="3">
        <f>_xlfn.XLOOKUP(Vendas[[#This Row],[ID Item Vendido]],Agregado[ID],Agregado[Revenda])</f>
        <v>192</v>
      </c>
      <c r="I635" s="3">
        <f>Vendas[[#This Row],[Valor Unitário]]*Vendas[[#This Row],[Qnt Vendida]]</f>
        <v>1920</v>
      </c>
      <c r="J635" s="3">
        <f>Vendas[[#This Row],[Valor da Venda]]-(_xlfn.XLOOKUP(Vendas[[#This Row],[ID Item Vendido]],Agregado[ID],Agregado[Custo])*Vendas[[#This Row],[Qnt Vendida]])</f>
        <v>420</v>
      </c>
      <c r="K635" s="70">
        <f>Vendas[[#This Row],[Lucro da Venda]]/Vendas[[#This Row],[Valor da Venda]]</f>
        <v>0.21875</v>
      </c>
      <c r="L635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635"/>
    </row>
    <row r="636" spans="1:13" x14ac:dyDescent="0.3">
      <c r="A636" s="7">
        <v>400249</v>
      </c>
      <c r="B636" t="str">
        <f>_xlfn.XLOOKUP(Vendas[[#This Row],[ID Vendedor]],Vendedores[ID],Vendedores[Nome])</f>
        <v>Bruno</v>
      </c>
      <c r="C636" s="7" t="str">
        <f>_xlfn.XLOOKUP(Vendas[[#This Row],[ID Vendedor]],Vendedores[ID],Vendedores[Setor])</f>
        <v>CM</v>
      </c>
      <c r="D636" s="7" t="s">
        <v>45</v>
      </c>
      <c r="E636" t="str">
        <f>_xlfn.XLOOKUP(Vendas[[#This Row],[ID Item Vendido]],Agregado[ID],Agregado[Produto])</f>
        <v>Viga de madeira tratada 4m</v>
      </c>
      <c r="F636" s="39">
        <v>44052</v>
      </c>
      <c r="G636" s="7">
        <v>18</v>
      </c>
      <c r="H636" s="3">
        <f>_xlfn.XLOOKUP(Vendas[[#This Row],[ID Item Vendido]],Agregado[ID],Agregado[Revenda])</f>
        <v>66</v>
      </c>
      <c r="I636" s="3">
        <f>Vendas[[#This Row],[Valor Unitário]]*Vendas[[#This Row],[Qnt Vendida]]</f>
        <v>1188</v>
      </c>
      <c r="J636" s="3">
        <f>Vendas[[#This Row],[Valor da Venda]]-(_xlfn.XLOOKUP(Vendas[[#This Row],[ID Item Vendido]],Agregado[ID],Agregado[Custo])*Vendas[[#This Row],[Qnt Vendida]])</f>
        <v>198</v>
      </c>
      <c r="K636" s="70">
        <f>Vendas[[#This Row],[Lucro da Venda]]/Vendas[[#This Row],[Valor da Venda]]</f>
        <v>0.16666666666666666</v>
      </c>
      <c r="L636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636"/>
    </row>
    <row r="637" spans="1:13" x14ac:dyDescent="0.3">
      <c r="A637" s="7">
        <v>400244</v>
      </c>
      <c r="B637" t="str">
        <f>_xlfn.XLOOKUP(Vendas[[#This Row],[ID Vendedor]],Vendedores[ID],Vendedores[Nome])</f>
        <v>Camila</v>
      </c>
      <c r="C637" s="7" t="str">
        <f>_xlfn.XLOOKUP(Vendas[[#This Row],[ID Vendedor]],Vendedores[ID],Vendedores[Setor])</f>
        <v>AHD</v>
      </c>
      <c r="D637" s="7" t="s">
        <v>9</v>
      </c>
      <c r="E637" t="str">
        <f>_xlfn.XLOOKUP(Vendas[[#This Row],[ID Item Vendido]],Agregado[ID],Agregado[Produto])</f>
        <v>Barra de aço simples</v>
      </c>
      <c r="F637" s="39">
        <v>44053</v>
      </c>
      <c r="G637" s="7">
        <v>62</v>
      </c>
      <c r="H637" s="3">
        <f>_xlfn.XLOOKUP(Vendas[[#This Row],[ID Item Vendido]],Agregado[ID],Agregado[Revenda])</f>
        <v>6.7</v>
      </c>
      <c r="I637" s="3">
        <f>Vendas[[#This Row],[Valor Unitário]]*Vendas[[#This Row],[Qnt Vendida]]</f>
        <v>415.40000000000003</v>
      </c>
      <c r="J637" s="3">
        <f>Vendas[[#This Row],[Valor da Venda]]-(_xlfn.XLOOKUP(Vendas[[#This Row],[ID Item Vendido]],Agregado[ID],Agregado[Custo])*Vendas[[#This Row],[Qnt Vendida]])</f>
        <v>55.800000000000068</v>
      </c>
      <c r="K637" s="70">
        <f>Vendas[[#This Row],[Lucro da Venda]]/Vendas[[#This Row],[Valor da Venda]]</f>
        <v>0.13432835820895539</v>
      </c>
      <c r="L637" s="3">
        <f>_xlfn.IFS(Vendas[[#This Row],[Margem de Lucro (%)]]&lt;15%,Vendas[[#This Row],[Valor da Venda]]*3%,Vendas[[#This Row],[Margem de Lucro (%)]]&lt;=20%,Vendas[[#This Row],[Valor da Venda]]*4.5%,TRUE,Vendas[[#This Row],[Valor da Venda]]*6%)</f>
        <v>12.462</v>
      </c>
      <c r="M637"/>
    </row>
    <row r="638" spans="1:13" x14ac:dyDescent="0.3">
      <c r="A638" s="7">
        <v>400251</v>
      </c>
      <c r="B638" t="str">
        <f>_xlfn.XLOOKUP(Vendas[[#This Row],[ID Vendedor]],Vendedores[ID],Vendedores[Nome])</f>
        <v>Diego</v>
      </c>
      <c r="C638" s="7" t="str">
        <f>_xlfn.XLOOKUP(Vendas[[#This Row],[ID Vendedor]],Vendedores[ID],Vendedores[Setor])</f>
        <v>AB</v>
      </c>
      <c r="D638" s="7" t="s">
        <v>24</v>
      </c>
      <c r="E638" t="str">
        <f>_xlfn.XLOOKUP(Vendas[[#This Row],[ID Item Vendido]],Agregado[ID],Agregado[Produto])</f>
        <v>Resina plástica PET purificada saco de 25kg</v>
      </c>
      <c r="F638" s="39">
        <v>44055</v>
      </c>
      <c r="G638" s="7">
        <v>24</v>
      </c>
      <c r="H638" s="3">
        <f>_xlfn.XLOOKUP(Vendas[[#This Row],[ID Item Vendido]],Agregado[ID],Agregado[Revenda])</f>
        <v>119</v>
      </c>
      <c r="I638" s="3">
        <f>Vendas[[#This Row],[Valor Unitário]]*Vendas[[#This Row],[Qnt Vendida]]</f>
        <v>2856</v>
      </c>
      <c r="J638" s="3">
        <f>Vendas[[#This Row],[Valor da Venda]]-(_xlfn.XLOOKUP(Vendas[[#This Row],[ID Item Vendido]],Agregado[ID],Agregado[Custo])*Vendas[[#This Row],[Qnt Vendida]])</f>
        <v>816</v>
      </c>
      <c r="K638" s="70">
        <f>Vendas[[#This Row],[Lucro da Venda]]/Vendas[[#This Row],[Valor da Venda]]</f>
        <v>0.2857142857142857</v>
      </c>
      <c r="L638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638"/>
    </row>
    <row r="639" spans="1:13" x14ac:dyDescent="0.3">
      <c r="A639" s="7">
        <v>400251</v>
      </c>
      <c r="B639" t="str">
        <f>_xlfn.XLOOKUP(Vendas[[#This Row],[ID Vendedor]],Vendedores[ID],Vendedores[Nome])</f>
        <v>Diego</v>
      </c>
      <c r="C639" s="7" t="str">
        <f>_xlfn.XLOOKUP(Vendas[[#This Row],[ID Vendedor]],Vendedores[ID],Vendedores[Setor])</f>
        <v>AB</v>
      </c>
      <c r="D639" s="7" t="s">
        <v>36</v>
      </c>
      <c r="E639" t="str">
        <f>_xlfn.XLOOKUP(Vendas[[#This Row],[ID Item Vendido]],Agregado[ID],Agregado[Produto])</f>
        <v>Borracha vulcanizada em manta</v>
      </c>
      <c r="F639" s="39">
        <v>44055</v>
      </c>
      <c r="G639" s="7">
        <v>19</v>
      </c>
      <c r="H639" s="3">
        <f>_xlfn.XLOOKUP(Vendas[[#This Row],[ID Item Vendido]],Agregado[ID],Agregado[Revenda])</f>
        <v>7.8</v>
      </c>
      <c r="I639" s="3">
        <f>Vendas[[#This Row],[Valor Unitário]]*Vendas[[#This Row],[Qnt Vendida]]</f>
        <v>148.19999999999999</v>
      </c>
      <c r="J639" s="3">
        <f>Vendas[[#This Row],[Valor da Venda]]-(_xlfn.XLOOKUP(Vendas[[#This Row],[ID Item Vendido]],Agregado[ID],Agregado[Custo])*Vendas[[#This Row],[Qnt Vendida]])</f>
        <v>34.199999999999989</v>
      </c>
      <c r="K639" s="70">
        <f>Vendas[[#This Row],[Lucro da Venda]]/Vendas[[#This Row],[Valor da Venda]]</f>
        <v>0.2307692307692307</v>
      </c>
      <c r="L639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639"/>
    </row>
    <row r="640" spans="1:13" x14ac:dyDescent="0.3">
      <c r="A640" s="7">
        <v>400249</v>
      </c>
      <c r="B640" t="str">
        <f>_xlfn.XLOOKUP(Vendas[[#This Row],[ID Vendedor]],Vendedores[ID],Vendedores[Nome])</f>
        <v>Bruno</v>
      </c>
      <c r="C640" s="7" t="str">
        <f>_xlfn.XLOOKUP(Vendas[[#This Row],[ID Vendedor]],Vendedores[ID],Vendedores[Setor])</f>
        <v>CM</v>
      </c>
      <c r="D640" s="7" t="s">
        <v>45</v>
      </c>
      <c r="E640" t="str">
        <f>_xlfn.XLOOKUP(Vendas[[#This Row],[ID Item Vendido]],Agregado[ID],Agregado[Produto])</f>
        <v>Viga de madeira tratada 4m</v>
      </c>
      <c r="F640" s="39">
        <v>44056</v>
      </c>
      <c r="G640" s="7">
        <v>15</v>
      </c>
      <c r="H640" s="3">
        <f>_xlfn.XLOOKUP(Vendas[[#This Row],[ID Item Vendido]],Agregado[ID],Agregado[Revenda])</f>
        <v>66</v>
      </c>
      <c r="I640" s="3">
        <f>Vendas[[#This Row],[Valor Unitário]]*Vendas[[#This Row],[Qnt Vendida]]</f>
        <v>990</v>
      </c>
      <c r="J640" s="3">
        <f>Vendas[[#This Row],[Valor da Venda]]-(_xlfn.XLOOKUP(Vendas[[#This Row],[ID Item Vendido]],Agregado[ID],Agregado[Custo])*Vendas[[#This Row],[Qnt Vendida]])</f>
        <v>165</v>
      </c>
      <c r="K640" s="70">
        <f>Vendas[[#This Row],[Lucro da Venda]]/Vendas[[#This Row],[Valor da Venda]]</f>
        <v>0.16666666666666666</v>
      </c>
      <c r="L640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640"/>
    </row>
    <row r="641" spans="1:13" x14ac:dyDescent="0.3">
      <c r="A641" s="7">
        <v>400241</v>
      </c>
      <c r="B641" t="str">
        <f>_xlfn.XLOOKUP(Vendas[[#This Row],[ID Vendedor]],Vendedores[ID],Vendedores[Nome])</f>
        <v>Rodrigo</v>
      </c>
      <c r="C641" s="7" t="str">
        <f>_xlfn.XLOOKUP(Vendas[[#This Row],[ID Vendedor]],Vendedores[ID],Vendedores[Setor])</f>
        <v>FM</v>
      </c>
      <c r="D641" s="7" t="s">
        <v>31</v>
      </c>
      <c r="E641" t="str">
        <f>_xlfn.XLOOKUP(Vendas[[#This Row],[ID Item Vendido]],Agregado[ID],Agregado[Produto])</f>
        <v>Tela de metal soldada rolo 2x25m</v>
      </c>
      <c r="F641" s="39">
        <v>44056</v>
      </c>
      <c r="G641" s="7">
        <v>18</v>
      </c>
      <c r="H641" s="3">
        <f>_xlfn.XLOOKUP(Vendas[[#This Row],[ID Item Vendido]],Agregado[ID],Agregado[Revenda])</f>
        <v>43.7</v>
      </c>
      <c r="I641" s="3">
        <f>Vendas[[#This Row],[Valor Unitário]]*Vendas[[#This Row],[Qnt Vendida]]</f>
        <v>786.6</v>
      </c>
      <c r="J641" s="3">
        <f>Vendas[[#This Row],[Valor da Venda]]-(_xlfn.XLOOKUP(Vendas[[#This Row],[ID Item Vendido]],Agregado[ID],Agregado[Custo])*Vendas[[#This Row],[Qnt Vendida]])</f>
        <v>102.60000000000002</v>
      </c>
      <c r="K641" s="70">
        <f>Vendas[[#This Row],[Lucro da Venda]]/Vendas[[#This Row],[Valor da Venda]]</f>
        <v>0.13043478260869568</v>
      </c>
      <c r="L641" s="3">
        <f>_xlfn.IFS(Vendas[[#This Row],[Margem de Lucro (%)]]&lt;15%,Vendas[[#This Row],[Valor da Venda]]*3%,Vendas[[#This Row],[Margem de Lucro (%)]]&lt;=20%,Vendas[[#This Row],[Valor da Venda]]*4.5%,TRUE,Vendas[[#This Row],[Valor da Venda]]*6%)</f>
        <v>23.597999999999999</v>
      </c>
      <c r="M641"/>
    </row>
    <row r="642" spans="1:13" x14ac:dyDescent="0.3">
      <c r="A642" s="7">
        <v>400241</v>
      </c>
      <c r="B642" t="str">
        <f>_xlfn.XLOOKUP(Vendas[[#This Row],[ID Vendedor]],Vendedores[ID],Vendedores[Nome])</f>
        <v>Rodrigo</v>
      </c>
      <c r="C642" s="7" t="str">
        <f>_xlfn.XLOOKUP(Vendas[[#This Row],[ID Vendedor]],Vendedores[ID],Vendedores[Setor])</f>
        <v>FM</v>
      </c>
      <c r="D642" s="7" t="s">
        <v>27</v>
      </c>
      <c r="E642" t="str">
        <f>_xlfn.XLOOKUP(Vendas[[#This Row],[ID Item Vendido]],Agregado[ID],Agregado[Produto])</f>
        <v>Chapa de metal lisa 1x2m</v>
      </c>
      <c r="F642" s="39">
        <v>44057</v>
      </c>
      <c r="G642" s="7">
        <v>19</v>
      </c>
      <c r="H642" s="3">
        <f>_xlfn.XLOOKUP(Vendas[[#This Row],[ID Item Vendido]],Agregado[ID],Agregado[Revenda])</f>
        <v>52</v>
      </c>
      <c r="I642" s="3">
        <f>Vendas[[#This Row],[Valor Unitário]]*Vendas[[#This Row],[Qnt Vendida]]</f>
        <v>988</v>
      </c>
      <c r="J642" s="3">
        <f>Vendas[[#This Row],[Valor da Venda]]-(_xlfn.XLOOKUP(Vendas[[#This Row],[ID Item Vendido]],Agregado[ID],Agregado[Custo])*Vendas[[#This Row],[Qnt Vendida]])</f>
        <v>133</v>
      </c>
      <c r="K642" s="70">
        <f>Vendas[[#This Row],[Lucro da Venda]]/Vendas[[#This Row],[Valor da Venda]]</f>
        <v>0.13461538461538461</v>
      </c>
      <c r="L642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642"/>
    </row>
    <row r="643" spans="1:13" x14ac:dyDescent="0.3">
      <c r="A643" s="7">
        <v>400241</v>
      </c>
      <c r="B643" t="str">
        <f>_xlfn.XLOOKUP(Vendas[[#This Row],[ID Vendedor]],Vendedores[ID],Vendedores[Nome])</f>
        <v>Rodrigo</v>
      </c>
      <c r="C643" s="7" t="str">
        <f>_xlfn.XLOOKUP(Vendas[[#This Row],[ID Vendedor]],Vendedores[ID],Vendedores[Setor])</f>
        <v>FM</v>
      </c>
      <c r="D643" s="7" t="s">
        <v>20</v>
      </c>
      <c r="E643" t="str">
        <f>_xlfn.XLOOKUP(Vendas[[#This Row],[ID Item Vendido]],Agregado[ID],Agregado[Produto])</f>
        <v>Barra de aço simples</v>
      </c>
      <c r="F643" s="39">
        <v>44057</v>
      </c>
      <c r="G643" s="7">
        <v>111</v>
      </c>
      <c r="H643" s="3">
        <f>_xlfn.XLOOKUP(Vendas[[#This Row],[ID Item Vendido]],Agregado[ID],Agregado[Revenda])</f>
        <v>4.8</v>
      </c>
      <c r="I643" s="3">
        <f>Vendas[[#This Row],[Valor Unitário]]*Vendas[[#This Row],[Qnt Vendida]]</f>
        <v>532.79999999999995</v>
      </c>
      <c r="J643" s="3">
        <f>Vendas[[#This Row],[Valor da Venda]]-(_xlfn.XLOOKUP(Vendas[[#This Row],[ID Item Vendido]],Agregado[ID],Agregado[Custo])*Vendas[[#This Row],[Qnt Vendida]])</f>
        <v>66.599999999999909</v>
      </c>
      <c r="K643" s="70">
        <f>Vendas[[#This Row],[Lucro da Venda]]/Vendas[[#This Row],[Valor da Venda]]</f>
        <v>0.12499999999999983</v>
      </c>
      <c r="L643" s="3">
        <f>_xlfn.IFS(Vendas[[#This Row],[Margem de Lucro (%)]]&lt;15%,Vendas[[#This Row],[Valor da Venda]]*3%,Vendas[[#This Row],[Margem de Lucro (%)]]&lt;=20%,Vendas[[#This Row],[Valor da Venda]]*4.5%,TRUE,Vendas[[#This Row],[Valor da Venda]]*6%)</f>
        <v>15.983999999999998</v>
      </c>
      <c r="M643"/>
    </row>
    <row r="644" spans="1:13" x14ac:dyDescent="0.3">
      <c r="A644" s="7">
        <v>400247</v>
      </c>
      <c r="B644" t="str">
        <f>_xlfn.XLOOKUP(Vendas[[#This Row],[ID Vendedor]],Vendedores[ID],Vendedores[Nome])</f>
        <v>André</v>
      </c>
      <c r="C644" s="7" t="str">
        <f>_xlfn.XLOOKUP(Vendas[[#This Row],[ID Vendedor]],Vendedores[ID],Vendedores[Setor])</f>
        <v>CM</v>
      </c>
      <c r="D644" s="7" t="s">
        <v>45</v>
      </c>
      <c r="E644" t="str">
        <f>_xlfn.XLOOKUP(Vendas[[#This Row],[ID Item Vendido]],Agregado[ID],Agregado[Produto])</f>
        <v>Viga de madeira tratada 4m</v>
      </c>
      <c r="F644" s="39">
        <v>44058</v>
      </c>
      <c r="G644" s="7">
        <v>4</v>
      </c>
      <c r="H644" s="3">
        <f>_xlfn.XLOOKUP(Vendas[[#This Row],[ID Item Vendido]],Agregado[ID],Agregado[Revenda])</f>
        <v>66</v>
      </c>
      <c r="I644" s="3">
        <f>Vendas[[#This Row],[Valor Unitário]]*Vendas[[#This Row],[Qnt Vendida]]</f>
        <v>264</v>
      </c>
      <c r="J644" s="3">
        <f>Vendas[[#This Row],[Valor da Venda]]-(_xlfn.XLOOKUP(Vendas[[#This Row],[ID Item Vendido]],Agregado[ID],Agregado[Custo])*Vendas[[#This Row],[Qnt Vendida]])</f>
        <v>44</v>
      </c>
      <c r="K644" s="70">
        <f>Vendas[[#This Row],[Lucro da Venda]]/Vendas[[#This Row],[Valor da Venda]]</f>
        <v>0.16666666666666666</v>
      </c>
      <c r="L644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644"/>
    </row>
    <row r="645" spans="1:13" x14ac:dyDescent="0.3">
      <c r="A645" s="7">
        <v>400241</v>
      </c>
      <c r="B645" t="str">
        <f>_xlfn.XLOOKUP(Vendas[[#This Row],[ID Vendedor]],Vendedores[ID],Vendedores[Nome])</f>
        <v>Rodrigo</v>
      </c>
      <c r="C645" s="7" t="str">
        <f>_xlfn.XLOOKUP(Vendas[[#This Row],[ID Vendedor]],Vendedores[ID],Vendedores[Setor])</f>
        <v>FM</v>
      </c>
      <c r="D645" s="7" t="s">
        <v>27</v>
      </c>
      <c r="E645" t="str">
        <f>_xlfn.XLOOKUP(Vendas[[#This Row],[ID Item Vendido]],Agregado[ID],Agregado[Produto])</f>
        <v>Chapa de metal lisa 1x2m</v>
      </c>
      <c r="F645" s="39">
        <v>44059</v>
      </c>
      <c r="G645" s="7">
        <v>30</v>
      </c>
      <c r="H645" s="3">
        <f>_xlfn.XLOOKUP(Vendas[[#This Row],[ID Item Vendido]],Agregado[ID],Agregado[Revenda])</f>
        <v>52</v>
      </c>
      <c r="I645" s="3">
        <f>Vendas[[#This Row],[Valor Unitário]]*Vendas[[#This Row],[Qnt Vendida]]</f>
        <v>1560</v>
      </c>
      <c r="J645" s="3">
        <f>Vendas[[#This Row],[Valor da Venda]]-(_xlfn.XLOOKUP(Vendas[[#This Row],[ID Item Vendido]],Agregado[ID],Agregado[Custo])*Vendas[[#This Row],[Qnt Vendida]])</f>
        <v>210</v>
      </c>
      <c r="K645" s="70">
        <f>Vendas[[#This Row],[Lucro da Venda]]/Vendas[[#This Row],[Valor da Venda]]</f>
        <v>0.13461538461538461</v>
      </c>
      <c r="L645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645"/>
    </row>
    <row r="646" spans="1:13" x14ac:dyDescent="0.3">
      <c r="A646" s="7">
        <v>400241</v>
      </c>
      <c r="B646" t="str">
        <f>_xlfn.XLOOKUP(Vendas[[#This Row],[ID Vendedor]],Vendedores[ID],Vendedores[Nome])</f>
        <v>Rodrigo</v>
      </c>
      <c r="C646" s="7" t="str">
        <f>_xlfn.XLOOKUP(Vendas[[#This Row],[ID Vendedor]],Vendedores[ID],Vendedores[Setor])</f>
        <v>FM</v>
      </c>
      <c r="D646" s="7" t="s">
        <v>20</v>
      </c>
      <c r="E646" t="str">
        <f>_xlfn.XLOOKUP(Vendas[[#This Row],[ID Item Vendido]],Agregado[ID],Agregado[Produto])</f>
        <v>Barra de aço simples</v>
      </c>
      <c r="F646" s="39">
        <v>44059</v>
      </c>
      <c r="G646" s="7">
        <v>186</v>
      </c>
      <c r="H646" s="3">
        <f>_xlfn.XLOOKUP(Vendas[[#This Row],[ID Item Vendido]],Agregado[ID],Agregado[Revenda])</f>
        <v>4.8</v>
      </c>
      <c r="I646" s="3">
        <f>Vendas[[#This Row],[Valor Unitário]]*Vendas[[#This Row],[Qnt Vendida]]</f>
        <v>892.8</v>
      </c>
      <c r="J646" s="3">
        <f>Vendas[[#This Row],[Valor da Venda]]-(_xlfn.XLOOKUP(Vendas[[#This Row],[ID Item Vendido]],Agregado[ID],Agregado[Custo])*Vendas[[#This Row],[Qnt Vendida]])</f>
        <v>111.59999999999991</v>
      </c>
      <c r="K646" s="70">
        <f>Vendas[[#This Row],[Lucro da Venda]]/Vendas[[#This Row],[Valor da Venda]]</f>
        <v>0.1249999999999999</v>
      </c>
      <c r="L646" s="3">
        <f>_xlfn.IFS(Vendas[[#This Row],[Margem de Lucro (%)]]&lt;15%,Vendas[[#This Row],[Valor da Venda]]*3%,Vendas[[#This Row],[Margem de Lucro (%)]]&lt;=20%,Vendas[[#This Row],[Valor da Venda]]*4.5%,TRUE,Vendas[[#This Row],[Valor da Venda]]*6%)</f>
        <v>26.783999999999999</v>
      </c>
      <c r="M646"/>
    </row>
    <row r="647" spans="1:13" x14ac:dyDescent="0.3">
      <c r="A647" s="7">
        <v>400245</v>
      </c>
      <c r="B647" t="str">
        <f>_xlfn.XLOOKUP(Vendas[[#This Row],[ID Vendedor]],Vendedores[ID],Vendedores[Nome])</f>
        <v>Thiago</v>
      </c>
      <c r="C647" s="7" t="str">
        <f>_xlfn.XLOOKUP(Vendas[[#This Row],[ID Vendedor]],Vendedores[ID],Vendedores[Setor])</f>
        <v>AHD</v>
      </c>
      <c r="D647" s="7" t="s">
        <v>9</v>
      </c>
      <c r="E647" t="str">
        <f>_xlfn.XLOOKUP(Vendas[[#This Row],[ID Item Vendido]],Agregado[ID],Agregado[Produto])</f>
        <v>Barra de aço simples</v>
      </c>
      <c r="F647" s="39">
        <v>44059</v>
      </c>
      <c r="G647" s="7">
        <v>82</v>
      </c>
      <c r="H647" s="3">
        <f>_xlfn.XLOOKUP(Vendas[[#This Row],[ID Item Vendido]],Agregado[ID],Agregado[Revenda])</f>
        <v>6.7</v>
      </c>
      <c r="I647" s="3">
        <f>Vendas[[#This Row],[Valor Unitário]]*Vendas[[#This Row],[Qnt Vendida]]</f>
        <v>549.4</v>
      </c>
      <c r="J647" s="3">
        <f>Vendas[[#This Row],[Valor da Venda]]-(_xlfn.XLOOKUP(Vendas[[#This Row],[ID Item Vendido]],Agregado[ID],Agregado[Custo])*Vendas[[#This Row],[Qnt Vendida]])</f>
        <v>73.800000000000011</v>
      </c>
      <c r="K647" s="70">
        <f>Vendas[[#This Row],[Lucro da Venda]]/Vendas[[#This Row],[Valor da Venda]]</f>
        <v>0.13432835820895525</v>
      </c>
      <c r="L647" s="3">
        <f>_xlfn.IFS(Vendas[[#This Row],[Margem de Lucro (%)]]&lt;15%,Vendas[[#This Row],[Valor da Venda]]*3%,Vendas[[#This Row],[Margem de Lucro (%)]]&lt;=20%,Vendas[[#This Row],[Valor da Venda]]*4.5%,TRUE,Vendas[[#This Row],[Valor da Venda]]*6%)</f>
        <v>16.481999999999999</v>
      </c>
      <c r="M647"/>
    </row>
    <row r="648" spans="1:13" x14ac:dyDescent="0.3">
      <c r="A648" s="7">
        <v>400243</v>
      </c>
      <c r="B648" t="str">
        <f>_xlfn.XLOOKUP(Vendas[[#This Row],[ID Vendedor]],Vendedores[ID],Vendedores[Nome])</f>
        <v>Marcelo</v>
      </c>
      <c r="C648" s="7" t="str">
        <f>_xlfn.XLOOKUP(Vendas[[#This Row],[ID Vendedor]],Vendedores[ID],Vendedores[Setor])</f>
        <v>FM</v>
      </c>
      <c r="D648" s="7" t="s">
        <v>31</v>
      </c>
      <c r="E648" t="str">
        <f>_xlfn.XLOOKUP(Vendas[[#This Row],[ID Item Vendido]],Agregado[ID],Agregado[Produto])</f>
        <v>Tela de metal soldada rolo 2x25m</v>
      </c>
      <c r="F648" s="39">
        <v>44059</v>
      </c>
      <c r="G648" s="7">
        <v>7</v>
      </c>
      <c r="H648" s="3">
        <f>_xlfn.XLOOKUP(Vendas[[#This Row],[ID Item Vendido]],Agregado[ID],Agregado[Revenda])</f>
        <v>43.7</v>
      </c>
      <c r="I648" s="3">
        <f>Vendas[[#This Row],[Valor Unitário]]*Vendas[[#This Row],[Qnt Vendida]]</f>
        <v>305.90000000000003</v>
      </c>
      <c r="J648" s="3">
        <f>Vendas[[#This Row],[Valor da Venda]]-(_xlfn.XLOOKUP(Vendas[[#This Row],[ID Item Vendido]],Agregado[ID],Agregado[Custo])*Vendas[[#This Row],[Qnt Vendida]])</f>
        <v>39.900000000000034</v>
      </c>
      <c r="K648" s="70">
        <f>Vendas[[#This Row],[Lucro da Venda]]/Vendas[[#This Row],[Valor da Venda]]</f>
        <v>0.13043478260869576</v>
      </c>
      <c r="L648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648"/>
    </row>
    <row r="649" spans="1:13" x14ac:dyDescent="0.3">
      <c r="A649" s="7">
        <v>400244</v>
      </c>
      <c r="B649" t="str">
        <f>_xlfn.XLOOKUP(Vendas[[#This Row],[ID Vendedor]],Vendedores[ID],Vendedores[Nome])</f>
        <v>Camila</v>
      </c>
      <c r="C649" s="7" t="str">
        <f>_xlfn.XLOOKUP(Vendas[[#This Row],[ID Vendedor]],Vendedores[ID],Vendedores[Setor])</f>
        <v>AHD</v>
      </c>
      <c r="D649" s="7" t="s">
        <v>9</v>
      </c>
      <c r="E649" t="str">
        <f>_xlfn.XLOOKUP(Vendas[[#This Row],[ID Item Vendido]],Agregado[ID],Agregado[Produto])</f>
        <v>Barra de aço simples</v>
      </c>
      <c r="F649" s="39">
        <v>44060</v>
      </c>
      <c r="G649" s="7">
        <v>122</v>
      </c>
      <c r="H649" s="3">
        <f>_xlfn.XLOOKUP(Vendas[[#This Row],[ID Item Vendido]],Agregado[ID],Agregado[Revenda])</f>
        <v>6.7</v>
      </c>
      <c r="I649" s="3">
        <f>Vendas[[#This Row],[Valor Unitário]]*Vendas[[#This Row],[Qnt Vendida]]</f>
        <v>817.4</v>
      </c>
      <c r="J649" s="3">
        <f>Vendas[[#This Row],[Valor da Venda]]-(_xlfn.XLOOKUP(Vendas[[#This Row],[ID Item Vendido]],Agregado[ID],Agregado[Custo])*Vendas[[#This Row],[Qnt Vendida]])</f>
        <v>109.79999999999995</v>
      </c>
      <c r="K649" s="70">
        <f>Vendas[[#This Row],[Lucro da Venda]]/Vendas[[#This Row],[Valor da Venda]]</f>
        <v>0.13432835820895517</v>
      </c>
      <c r="L649" s="3">
        <f>_xlfn.IFS(Vendas[[#This Row],[Margem de Lucro (%)]]&lt;15%,Vendas[[#This Row],[Valor da Venda]]*3%,Vendas[[#This Row],[Margem de Lucro (%)]]&lt;=20%,Vendas[[#This Row],[Valor da Venda]]*4.5%,TRUE,Vendas[[#This Row],[Valor da Venda]]*6%)</f>
        <v>24.521999999999998</v>
      </c>
      <c r="M649"/>
    </row>
    <row r="650" spans="1:13" x14ac:dyDescent="0.3">
      <c r="A650" s="7">
        <v>400244</v>
      </c>
      <c r="B650" t="str">
        <f>_xlfn.XLOOKUP(Vendas[[#This Row],[ID Vendedor]],Vendedores[ID],Vendedores[Nome])</f>
        <v>Camila</v>
      </c>
      <c r="C650" s="7" t="str">
        <f>_xlfn.XLOOKUP(Vendas[[#This Row],[ID Vendedor]],Vendedores[ID],Vendedores[Setor])</f>
        <v>AHD</v>
      </c>
      <c r="D650" s="7" t="s">
        <v>30</v>
      </c>
      <c r="E650" t="str">
        <f>_xlfn.XLOOKUP(Vendas[[#This Row],[ID Item Vendido]],Agregado[ID],Agregado[Produto])</f>
        <v>Estrutura metálica soldada</v>
      </c>
      <c r="F650" s="39">
        <v>44061</v>
      </c>
      <c r="G650" s="7">
        <v>6</v>
      </c>
      <c r="H650" s="3">
        <f>_xlfn.XLOOKUP(Vendas[[#This Row],[ID Item Vendido]],Agregado[ID],Agregado[Revenda])</f>
        <v>400</v>
      </c>
      <c r="I650" s="3">
        <f>Vendas[[#This Row],[Valor Unitário]]*Vendas[[#This Row],[Qnt Vendida]]</f>
        <v>2400</v>
      </c>
      <c r="J650" s="3">
        <f>Vendas[[#This Row],[Valor da Venda]]-(_xlfn.XLOOKUP(Vendas[[#This Row],[ID Item Vendido]],Agregado[ID],Agregado[Custo])*Vendas[[#This Row],[Qnt Vendida]])</f>
        <v>480</v>
      </c>
      <c r="K650" s="70">
        <f>Vendas[[#This Row],[Lucro da Venda]]/Vendas[[#This Row],[Valor da Venda]]</f>
        <v>0.2</v>
      </c>
      <c r="L65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650"/>
    </row>
    <row r="651" spans="1:13" x14ac:dyDescent="0.3">
      <c r="A651" s="7">
        <v>400244</v>
      </c>
      <c r="B651" t="str">
        <f>_xlfn.XLOOKUP(Vendas[[#This Row],[ID Vendedor]],Vendedores[ID],Vendedores[Nome])</f>
        <v>Camila</v>
      </c>
      <c r="C651" s="7" t="str">
        <f>_xlfn.XLOOKUP(Vendas[[#This Row],[ID Vendedor]],Vendedores[ID],Vendedores[Setor])</f>
        <v>AHD</v>
      </c>
      <c r="D651" s="7" t="s">
        <v>30</v>
      </c>
      <c r="E651" t="str">
        <f>_xlfn.XLOOKUP(Vendas[[#This Row],[ID Item Vendido]],Agregado[ID],Agregado[Produto])</f>
        <v>Estrutura metálica soldada</v>
      </c>
      <c r="F651" s="39">
        <v>44061</v>
      </c>
      <c r="G651" s="7">
        <v>6</v>
      </c>
      <c r="H651" s="3">
        <f>_xlfn.XLOOKUP(Vendas[[#This Row],[ID Item Vendido]],Agregado[ID],Agregado[Revenda])</f>
        <v>400</v>
      </c>
      <c r="I651" s="3">
        <f>Vendas[[#This Row],[Valor Unitário]]*Vendas[[#This Row],[Qnt Vendida]]</f>
        <v>2400</v>
      </c>
      <c r="J651" s="3">
        <f>Vendas[[#This Row],[Valor da Venda]]-(_xlfn.XLOOKUP(Vendas[[#This Row],[ID Item Vendido]],Agregado[ID],Agregado[Custo])*Vendas[[#This Row],[Qnt Vendida]])</f>
        <v>480</v>
      </c>
      <c r="K651" s="70">
        <f>Vendas[[#This Row],[Lucro da Venda]]/Vendas[[#This Row],[Valor da Venda]]</f>
        <v>0.2</v>
      </c>
      <c r="L651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651"/>
    </row>
    <row r="652" spans="1:13" x14ac:dyDescent="0.3">
      <c r="A652" s="7">
        <v>400245</v>
      </c>
      <c r="B652" t="str">
        <f>_xlfn.XLOOKUP(Vendas[[#This Row],[ID Vendedor]],Vendedores[ID],Vendedores[Nome])</f>
        <v>Thiago</v>
      </c>
      <c r="C652" s="7" t="str">
        <f>_xlfn.XLOOKUP(Vendas[[#This Row],[ID Vendedor]],Vendedores[ID],Vendedores[Setor])</f>
        <v>AHD</v>
      </c>
      <c r="D652" s="7" t="s">
        <v>18</v>
      </c>
      <c r="E652" t="str">
        <f>_xlfn.XLOOKUP(Vendas[[#This Row],[ID Item Vendido]],Agregado[ID],Agregado[Produto])</f>
        <v>Peça forjada sob encomenda</v>
      </c>
      <c r="F652" s="39">
        <v>44062</v>
      </c>
      <c r="G652" s="7">
        <v>5</v>
      </c>
      <c r="H652" s="3">
        <f>_xlfn.XLOOKUP(Vendas[[#This Row],[ID Item Vendido]],Agregado[ID],Agregado[Revenda])</f>
        <v>264.60000000000002</v>
      </c>
      <c r="I652" s="3">
        <f>Vendas[[#This Row],[Valor Unitário]]*Vendas[[#This Row],[Qnt Vendida]]</f>
        <v>1323</v>
      </c>
      <c r="J652" s="3">
        <f>Vendas[[#This Row],[Valor da Venda]]-(_xlfn.XLOOKUP(Vendas[[#This Row],[ID Item Vendido]],Agregado[ID],Agregado[Custo])*Vendas[[#This Row],[Qnt Vendida]])</f>
        <v>73</v>
      </c>
      <c r="K652" s="70">
        <f>Vendas[[#This Row],[Lucro da Venda]]/Vendas[[#This Row],[Valor da Venda]]</f>
        <v>5.5177626606198037E-2</v>
      </c>
      <c r="L652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652"/>
    </row>
    <row r="653" spans="1:13" x14ac:dyDescent="0.3">
      <c r="A653" s="7">
        <v>400241</v>
      </c>
      <c r="B653" t="str">
        <f>_xlfn.XLOOKUP(Vendas[[#This Row],[ID Vendedor]],Vendedores[ID],Vendedores[Nome])</f>
        <v>Rodrigo</v>
      </c>
      <c r="C653" s="7" t="str">
        <f>_xlfn.XLOOKUP(Vendas[[#This Row],[ID Vendedor]],Vendedores[ID],Vendedores[Setor])</f>
        <v>FM</v>
      </c>
      <c r="D653" s="7" t="s">
        <v>6</v>
      </c>
      <c r="E653" t="str">
        <f>_xlfn.XLOOKUP(Vendas[[#This Row],[ID Item Vendido]],Agregado[ID],Agregado[Produto])</f>
        <v>Parafuso comum 500un</v>
      </c>
      <c r="F653" s="39">
        <v>44062</v>
      </c>
      <c r="G653" s="7">
        <v>18</v>
      </c>
      <c r="H653" s="3">
        <f>_xlfn.XLOOKUP(Vendas[[#This Row],[ID Item Vendido]],Agregado[ID],Agregado[Revenda])</f>
        <v>24.6</v>
      </c>
      <c r="I653" s="3">
        <f>Vendas[[#This Row],[Valor Unitário]]*Vendas[[#This Row],[Qnt Vendida]]</f>
        <v>442.8</v>
      </c>
      <c r="J653" s="3">
        <f>Vendas[[#This Row],[Valor da Venda]]-(_xlfn.XLOOKUP(Vendas[[#This Row],[ID Item Vendido]],Agregado[ID],Agregado[Custo])*Vendas[[#This Row],[Qnt Vendida]])</f>
        <v>46.800000000000011</v>
      </c>
      <c r="K653" s="70">
        <f>Vendas[[#This Row],[Lucro da Venda]]/Vendas[[#This Row],[Valor da Venda]]</f>
        <v>0.10569105691056913</v>
      </c>
      <c r="L653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653"/>
    </row>
    <row r="654" spans="1:13" x14ac:dyDescent="0.3">
      <c r="A654" s="7">
        <v>400244</v>
      </c>
      <c r="B654" t="str">
        <f>_xlfn.XLOOKUP(Vendas[[#This Row],[ID Vendedor]],Vendedores[ID],Vendedores[Nome])</f>
        <v>Camila</v>
      </c>
      <c r="C654" s="7" t="str">
        <f>_xlfn.XLOOKUP(Vendas[[#This Row],[ID Vendedor]],Vendedores[ID],Vendedores[Setor])</f>
        <v>AHD</v>
      </c>
      <c r="D654" s="7" t="s">
        <v>30</v>
      </c>
      <c r="E654" t="str">
        <f>_xlfn.XLOOKUP(Vendas[[#This Row],[ID Item Vendido]],Agregado[ID],Agregado[Produto])</f>
        <v>Estrutura metálica soldada</v>
      </c>
      <c r="F654" s="39">
        <v>44063</v>
      </c>
      <c r="G654" s="7">
        <v>3</v>
      </c>
      <c r="H654" s="3">
        <f>_xlfn.XLOOKUP(Vendas[[#This Row],[ID Item Vendido]],Agregado[ID],Agregado[Revenda])</f>
        <v>400</v>
      </c>
      <c r="I654" s="3">
        <f>Vendas[[#This Row],[Valor Unitário]]*Vendas[[#This Row],[Qnt Vendida]]</f>
        <v>1200</v>
      </c>
      <c r="J654" s="3">
        <f>Vendas[[#This Row],[Valor da Venda]]-(_xlfn.XLOOKUP(Vendas[[#This Row],[ID Item Vendido]],Agregado[ID],Agregado[Custo])*Vendas[[#This Row],[Qnt Vendida]])</f>
        <v>240</v>
      </c>
      <c r="K654" s="70">
        <f>Vendas[[#This Row],[Lucro da Venda]]/Vendas[[#This Row],[Valor da Venda]]</f>
        <v>0.2</v>
      </c>
      <c r="L654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654"/>
    </row>
    <row r="655" spans="1:13" x14ac:dyDescent="0.3">
      <c r="A655" s="7">
        <v>400245</v>
      </c>
      <c r="B655" t="str">
        <f>_xlfn.XLOOKUP(Vendas[[#This Row],[ID Vendedor]],Vendedores[ID],Vendedores[Nome])</f>
        <v>Thiago</v>
      </c>
      <c r="C655" s="7" t="str">
        <f>_xlfn.XLOOKUP(Vendas[[#This Row],[ID Vendedor]],Vendedores[ID],Vendedores[Setor])</f>
        <v>AHD</v>
      </c>
      <c r="D655" s="7" t="s">
        <v>28</v>
      </c>
      <c r="E655" t="str">
        <f>_xlfn.XLOOKUP(Vendas[[#This Row],[ID Item Vendido]],Agregado[ID],Agregado[Produto])</f>
        <v>Peça usinada CNC</v>
      </c>
      <c r="F655" s="39">
        <v>44063</v>
      </c>
      <c r="G655" s="7">
        <v>2</v>
      </c>
      <c r="H655" s="3">
        <f>_xlfn.XLOOKUP(Vendas[[#This Row],[ID Item Vendido]],Agregado[ID],Agregado[Revenda])</f>
        <v>192</v>
      </c>
      <c r="I655" s="3">
        <f>Vendas[[#This Row],[Valor Unitário]]*Vendas[[#This Row],[Qnt Vendida]]</f>
        <v>384</v>
      </c>
      <c r="J655" s="3">
        <f>Vendas[[#This Row],[Valor da Venda]]-(_xlfn.XLOOKUP(Vendas[[#This Row],[ID Item Vendido]],Agregado[ID],Agregado[Custo])*Vendas[[#This Row],[Qnt Vendida]])</f>
        <v>84</v>
      </c>
      <c r="K655" s="70">
        <f>Vendas[[#This Row],[Lucro da Venda]]/Vendas[[#This Row],[Valor da Venda]]</f>
        <v>0.21875</v>
      </c>
      <c r="L655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655"/>
    </row>
    <row r="656" spans="1:13" x14ac:dyDescent="0.3">
      <c r="A656" s="7">
        <v>400244</v>
      </c>
      <c r="B656" t="str">
        <f>_xlfn.XLOOKUP(Vendas[[#This Row],[ID Vendedor]],Vendedores[ID],Vendedores[Nome])</f>
        <v>Camila</v>
      </c>
      <c r="C656" s="7" t="str">
        <f>_xlfn.XLOOKUP(Vendas[[#This Row],[ID Vendedor]],Vendedores[ID],Vendedores[Setor])</f>
        <v>AHD</v>
      </c>
      <c r="D656" s="7" t="s">
        <v>44</v>
      </c>
      <c r="E656" t="str">
        <f>_xlfn.XLOOKUP(Vendas[[#This Row],[ID Item Vendido]],Agregado[ID],Agregado[Produto])</f>
        <v>Liga metálica especial</v>
      </c>
      <c r="F656" s="39">
        <v>44064</v>
      </c>
      <c r="G656" s="7">
        <v>56</v>
      </c>
      <c r="H656" s="3">
        <f>_xlfn.XLOOKUP(Vendas[[#This Row],[ID Item Vendido]],Agregado[ID],Agregado[Revenda])</f>
        <v>32.5</v>
      </c>
      <c r="I656" s="3">
        <f>Vendas[[#This Row],[Valor Unitário]]*Vendas[[#This Row],[Qnt Vendida]]</f>
        <v>1820</v>
      </c>
      <c r="J656" s="3">
        <f>Vendas[[#This Row],[Valor da Venda]]-(_xlfn.XLOOKUP(Vendas[[#This Row],[ID Item Vendido]],Agregado[ID],Agregado[Custo])*Vendas[[#This Row],[Qnt Vendida]])</f>
        <v>420</v>
      </c>
      <c r="K656" s="70">
        <f>Vendas[[#This Row],[Lucro da Venda]]/Vendas[[#This Row],[Valor da Venda]]</f>
        <v>0.23076923076923078</v>
      </c>
      <c r="L656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656"/>
    </row>
    <row r="657" spans="1:13" x14ac:dyDescent="0.3">
      <c r="A657" s="7">
        <v>400244</v>
      </c>
      <c r="B657" t="str">
        <f>_xlfn.XLOOKUP(Vendas[[#This Row],[ID Vendedor]],Vendedores[ID],Vendedores[Nome])</f>
        <v>Camila</v>
      </c>
      <c r="C657" s="7" t="str">
        <f>_xlfn.XLOOKUP(Vendas[[#This Row],[ID Vendedor]],Vendedores[ID],Vendedores[Setor])</f>
        <v>AHD</v>
      </c>
      <c r="D657" s="7" t="s">
        <v>18</v>
      </c>
      <c r="E657" t="str">
        <f>_xlfn.XLOOKUP(Vendas[[#This Row],[ID Item Vendido]],Agregado[ID],Agregado[Produto])</f>
        <v>Peça forjada sob encomenda</v>
      </c>
      <c r="F657" s="39">
        <v>44064</v>
      </c>
      <c r="G657" s="7">
        <v>2</v>
      </c>
      <c r="H657" s="3">
        <f>_xlfn.XLOOKUP(Vendas[[#This Row],[ID Item Vendido]],Agregado[ID],Agregado[Revenda])</f>
        <v>264.60000000000002</v>
      </c>
      <c r="I657" s="3">
        <f>Vendas[[#This Row],[Valor Unitário]]*Vendas[[#This Row],[Qnt Vendida]]</f>
        <v>529.20000000000005</v>
      </c>
      <c r="J657" s="3">
        <f>Vendas[[#This Row],[Valor da Venda]]-(_xlfn.XLOOKUP(Vendas[[#This Row],[ID Item Vendido]],Agregado[ID],Agregado[Custo])*Vendas[[#This Row],[Qnt Vendida]])</f>
        <v>29.200000000000045</v>
      </c>
      <c r="K657" s="70">
        <f>Vendas[[#This Row],[Lucro da Venda]]/Vendas[[#This Row],[Valor da Venda]]</f>
        <v>5.5177626606198113E-2</v>
      </c>
      <c r="L657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657"/>
    </row>
    <row r="658" spans="1:13" x14ac:dyDescent="0.3">
      <c r="A658" s="7">
        <v>400243</v>
      </c>
      <c r="B658" t="str">
        <f>_xlfn.XLOOKUP(Vendas[[#This Row],[ID Vendedor]],Vendedores[ID],Vendedores[Nome])</f>
        <v>Marcelo</v>
      </c>
      <c r="C658" s="7" t="str">
        <f>_xlfn.XLOOKUP(Vendas[[#This Row],[ID Vendedor]],Vendedores[ID],Vendedores[Setor])</f>
        <v>FM</v>
      </c>
      <c r="D658" s="7" t="s">
        <v>31</v>
      </c>
      <c r="E658" t="str">
        <f>_xlfn.XLOOKUP(Vendas[[#This Row],[ID Item Vendido]],Agregado[ID],Agregado[Produto])</f>
        <v>Tela de metal soldada rolo 2x25m</v>
      </c>
      <c r="F658" s="39">
        <v>44064</v>
      </c>
      <c r="G658" s="7">
        <v>12</v>
      </c>
      <c r="H658" s="3">
        <f>_xlfn.XLOOKUP(Vendas[[#This Row],[ID Item Vendido]],Agregado[ID],Agregado[Revenda])</f>
        <v>43.7</v>
      </c>
      <c r="I658" s="3">
        <f>Vendas[[#This Row],[Valor Unitário]]*Vendas[[#This Row],[Qnt Vendida]]</f>
        <v>524.40000000000009</v>
      </c>
      <c r="J658" s="3">
        <f>Vendas[[#This Row],[Valor da Venda]]-(_xlfn.XLOOKUP(Vendas[[#This Row],[ID Item Vendido]],Agregado[ID],Agregado[Custo])*Vendas[[#This Row],[Qnt Vendida]])</f>
        <v>68.400000000000091</v>
      </c>
      <c r="K658" s="70">
        <f>Vendas[[#This Row],[Lucro da Venda]]/Vendas[[#This Row],[Valor da Venda]]</f>
        <v>0.13043478260869582</v>
      </c>
      <c r="L658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658"/>
    </row>
    <row r="659" spans="1:13" x14ac:dyDescent="0.3">
      <c r="A659" s="7">
        <v>400245</v>
      </c>
      <c r="B659" t="str">
        <f>_xlfn.XLOOKUP(Vendas[[#This Row],[ID Vendedor]],Vendedores[ID],Vendedores[Nome])</f>
        <v>Thiago</v>
      </c>
      <c r="C659" s="7" t="str">
        <f>_xlfn.XLOOKUP(Vendas[[#This Row],[ID Vendedor]],Vendedores[ID],Vendedores[Setor])</f>
        <v>AHD</v>
      </c>
      <c r="D659" s="7" t="s">
        <v>9</v>
      </c>
      <c r="E659" t="str">
        <f>_xlfn.XLOOKUP(Vendas[[#This Row],[ID Item Vendido]],Agregado[ID],Agregado[Produto])</f>
        <v>Barra de aço simples</v>
      </c>
      <c r="F659" s="39">
        <v>44065</v>
      </c>
      <c r="G659" s="7">
        <v>37</v>
      </c>
      <c r="H659" s="3">
        <f>_xlfn.XLOOKUP(Vendas[[#This Row],[ID Item Vendido]],Agregado[ID],Agregado[Revenda])</f>
        <v>6.7</v>
      </c>
      <c r="I659" s="3">
        <f>Vendas[[#This Row],[Valor Unitário]]*Vendas[[#This Row],[Qnt Vendida]]</f>
        <v>247.9</v>
      </c>
      <c r="J659" s="3">
        <f>Vendas[[#This Row],[Valor da Venda]]-(_xlfn.XLOOKUP(Vendas[[#This Row],[ID Item Vendido]],Agregado[ID],Agregado[Custo])*Vendas[[#This Row],[Qnt Vendida]])</f>
        <v>33.300000000000011</v>
      </c>
      <c r="K659" s="70">
        <f>Vendas[[#This Row],[Lucro da Venda]]/Vendas[[#This Row],[Valor da Venda]]</f>
        <v>0.13432835820895528</v>
      </c>
      <c r="L659" s="3">
        <f>_xlfn.IFS(Vendas[[#This Row],[Margem de Lucro (%)]]&lt;15%,Vendas[[#This Row],[Valor da Venda]]*3%,Vendas[[#This Row],[Margem de Lucro (%)]]&lt;=20%,Vendas[[#This Row],[Valor da Venda]]*4.5%,TRUE,Vendas[[#This Row],[Valor da Venda]]*6%)</f>
        <v>7.4370000000000003</v>
      </c>
      <c r="M659"/>
    </row>
    <row r="660" spans="1:13" x14ac:dyDescent="0.3">
      <c r="A660" s="7">
        <v>400251</v>
      </c>
      <c r="B660" t="str">
        <f>_xlfn.XLOOKUP(Vendas[[#This Row],[ID Vendedor]],Vendedores[ID],Vendedores[Nome])</f>
        <v>Diego</v>
      </c>
      <c r="C660" s="7" t="str">
        <f>_xlfn.XLOOKUP(Vendas[[#This Row],[ID Vendedor]],Vendedores[ID],Vendedores[Setor])</f>
        <v>AB</v>
      </c>
      <c r="D660" s="7" t="s">
        <v>24</v>
      </c>
      <c r="E660" t="str">
        <f>_xlfn.XLOOKUP(Vendas[[#This Row],[ID Item Vendido]],Agregado[ID],Agregado[Produto])</f>
        <v>Resina plástica PET purificada saco de 25kg</v>
      </c>
      <c r="F660" s="39">
        <v>44067</v>
      </c>
      <c r="G660" s="7">
        <v>22</v>
      </c>
      <c r="H660" s="3">
        <f>_xlfn.XLOOKUP(Vendas[[#This Row],[ID Item Vendido]],Agregado[ID],Agregado[Revenda])</f>
        <v>119</v>
      </c>
      <c r="I660" s="3">
        <f>Vendas[[#This Row],[Valor Unitário]]*Vendas[[#This Row],[Qnt Vendida]]</f>
        <v>2618</v>
      </c>
      <c r="J660" s="3">
        <f>Vendas[[#This Row],[Valor da Venda]]-(_xlfn.XLOOKUP(Vendas[[#This Row],[ID Item Vendido]],Agregado[ID],Agregado[Custo])*Vendas[[#This Row],[Qnt Vendida]])</f>
        <v>748</v>
      </c>
      <c r="K660" s="70">
        <f>Vendas[[#This Row],[Lucro da Venda]]/Vendas[[#This Row],[Valor da Venda]]</f>
        <v>0.2857142857142857</v>
      </c>
      <c r="L660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660"/>
    </row>
    <row r="661" spans="1:13" x14ac:dyDescent="0.3">
      <c r="A661" s="7">
        <v>400251</v>
      </c>
      <c r="B661" t="str">
        <f>_xlfn.XLOOKUP(Vendas[[#This Row],[ID Vendedor]],Vendedores[ID],Vendedores[Nome])</f>
        <v>Diego</v>
      </c>
      <c r="C661" s="7" t="str">
        <f>_xlfn.XLOOKUP(Vendas[[#This Row],[ID Vendedor]],Vendedores[ID],Vendedores[Setor])</f>
        <v>AB</v>
      </c>
      <c r="D661" s="7" t="s">
        <v>12</v>
      </c>
      <c r="E661" t="str">
        <f>_xlfn.XLOOKUP(Vendas[[#This Row],[ID Item Vendido]],Agregado[ID],Agregado[Produto])</f>
        <v>Grânulo de plástico reciclado refinado</v>
      </c>
      <c r="F661" s="39">
        <v>44067</v>
      </c>
      <c r="G661" s="7">
        <v>116</v>
      </c>
      <c r="H661" s="3">
        <f>_xlfn.XLOOKUP(Vendas[[#This Row],[ID Item Vendido]],Agregado[ID],Agregado[Revenda])</f>
        <v>4.7</v>
      </c>
      <c r="I661" s="3">
        <f>Vendas[[#This Row],[Valor Unitário]]*Vendas[[#This Row],[Qnt Vendida]]</f>
        <v>545.20000000000005</v>
      </c>
      <c r="J661" s="3">
        <f>Vendas[[#This Row],[Valor da Venda]]-(_xlfn.XLOOKUP(Vendas[[#This Row],[ID Item Vendido]],Agregado[ID],Agregado[Custo])*Vendas[[#This Row],[Qnt Vendida]])</f>
        <v>139.20000000000005</v>
      </c>
      <c r="K661" s="70">
        <f>Vendas[[#This Row],[Lucro da Venda]]/Vendas[[#This Row],[Valor da Venda]]</f>
        <v>0.25531914893617025</v>
      </c>
      <c r="L661" s="3">
        <f>_xlfn.IFS(Vendas[[#This Row],[Margem de Lucro (%)]]&lt;15%,Vendas[[#This Row],[Valor da Venda]]*3%,Vendas[[#This Row],[Margem de Lucro (%)]]&lt;=20%,Vendas[[#This Row],[Valor da Venda]]*4.5%,TRUE,Vendas[[#This Row],[Valor da Venda]]*6%)</f>
        <v>32.712000000000003</v>
      </c>
      <c r="M661"/>
    </row>
    <row r="662" spans="1:13" x14ac:dyDescent="0.3">
      <c r="A662" s="7">
        <v>400251</v>
      </c>
      <c r="B662" t="str">
        <f>_xlfn.XLOOKUP(Vendas[[#This Row],[ID Vendedor]],Vendedores[ID],Vendedores[Nome])</f>
        <v>Diego</v>
      </c>
      <c r="C662" s="7" t="str">
        <f>_xlfn.XLOOKUP(Vendas[[#This Row],[ID Vendedor]],Vendedores[ID],Vendedores[Setor])</f>
        <v>AB</v>
      </c>
      <c r="D662" s="7" t="s">
        <v>12</v>
      </c>
      <c r="E662" t="str">
        <f>_xlfn.XLOOKUP(Vendas[[#This Row],[ID Item Vendido]],Agregado[ID],Agregado[Produto])</f>
        <v>Grânulo de plástico reciclado refinado</v>
      </c>
      <c r="F662" s="39">
        <v>44069</v>
      </c>
      <c r="G662" s="7">
        <v>132</v>
      </c>
      <c r="H662" s="3">
        <f>_xlfn.XLOOKUP(Vendas[[#This Row],[ID Item Vendido]],Agregado[ID],Agregado[Revenda])</f>
        <v>4.7</v>
      </c>
      <c r="I662" s="3">
        <f>Vendas[[#This Row],[Valor Unitário]]*Vendas[[#This Row],[Qnt Vendida]]</f>
        <v>620.4</v>
      </c>
      <c r="J662" s="3">
        <f>Vendas[[#This Row],[Valor da Venda]]-(_xlfn.XLOOKUP(Vendas[[#This Row],[ID Item Vendido]],Agregado[ID],Agregado[Custo])*Vendas[[#This Row],[Qnt Vendida]])</f>
        <v>158.39999999999998</v>
      </c>
      <c r="K662" s="70">
        <f>Vendas[[#This Row],[Lucro da Venda]]/Vendas[[#This Row],[Valor da Venda]]</f>
        <v>0.25531914893617019</v>
      </c>
      <c r="L662" s="3">
        <f>_xlfn.IFS(Vendas[[#This Row],[Margem de Lucro (%)]]&lt;15%,Vendas[[#This Row],[Valor da Venda]]*3%,Vendas[[#This Row],[Margem de Lucro (%)]]&lt;=20%,Vendas[[#This Row],[Valor da Venda]]*4.5%,TRUE,Vendas[[#This Row],[Valor da Venda]]*6%)</f>
        <v>37.223999999999997</v>
      </c>
      <c r="M662"/>
    </row>
    <row r="663" spans="1:13" x14ac:dyDescent="0.3">
      <c r="A663" s="7">
        <v>400243</v>
      </c>
      <c r="B663" t="str">
        <f>_xlfn.XLOOKUP(Vendas[[#This Row],[ID Vendedor]],Vendedores[ID],Vendedores[Nome])</f>
        <v>Marcelo</v>
      </c>
      <c r="C663" s="7" t="str">
        <f>_xlfn.XLOOKUP(Vendas[[#This Row],[ID Vendedor]],Vendedores[ID],Vendedores[Setor])</f>
        <v>FM</v>
      </c>
      <c r="D663" s="7" t="s">
        <v>20</v>
      </c>
      <c r="E663" t="str">
        <f>_xlfn.XLOOKUP(Vendas[[#This Row],[ID Item Vendido]],Agregado[ID],Agregado[Produto])</f>
        <v>Barra de aço simples</v>
      </c>
      <c r="F663" s="39">
        <v>44069</v>
      </c>
      <c r="G663" s="7">
        <v>27</v>
      </c>
      <c r="H663" s="3">
        <f>_xlfn.XLOOKUP(Vendas[[#This Row],[ID Item Vendido]],Agregado[ID],Agregado[Revenda])</f>
        <v>4.8</v>
      </c>
      <c r="I663" s="3">
        <f>Vendas[[#This Row],[Valor Unitário]]*Vendas[[#This Row],[Qnt Vendida]]</f>
        <v>129.6</v>
      </c>
      <c r="J663" s="3">
        <f>Vendas[[#This Row],[Valor da Venda]]-(_xlfn.XLOOKUP(Vendas[[#This Row],[ID Item Vendido]],Agregado[ID],Agregado[Custo])*Vendas[[#This Row],[Qnt Vendida]])</f>
        <v>16.199999999999989</v>
      </c>
      <c r="K663" s="70">
        <f>Vendas[[#This Row],[Lucro da Venda]]/Vendas[[#This Row],[Valor da Venda]]</f>
        <v>0.12499999999999992</v>
      </c>
      <c r="L663" s="3">
        <f>_xlfn.IFS(Vendas[[#This Row],[Margem de Lucro (%)]]&lt;15%,Vendas[[#This Row],[Valor da Venda]]*3%,Vendas[[#This Row],[Margem de Lucro (%)]]&lt;=20%,Vendas[[#This Row],[Valor da Venda]]*4.5%,TRUE,Vendas[[#This Row],[Valor da Venda]]*6%)</f>
        <v>3.8879999999999999</v>
      </c>
      <c r="M663"/>
    </row>
    <row r="664" spans="1:13" x14ac:dyDescent="0.3">
      <c r="A664" s="7">
        <v>400244</v>
      </c>
      <c r="B664" t="str">
        <f>_xlfn.XLOOKUP(Vendas[[#This Row],[ID Vendedor]],Vendedores[ID],Vendedores[Nome])</f>
        <v>Camila</v>
      </c>
      <c r="C664" s="7" t="str">
        <f>_xlfn.XLOOKUP(Vendas[[#This Row],[ID Vendedor]],Vendedores[ID],Vendedores[Setor])</f>
        <v>AHD</v>
      </c>
      <c r="D664" s="7" t="s">
        <v>18</v>
      </c>
      <c r="E664" t="str">
        <f>_xlfn.XLOOKUP(Vendas[[#This Row],[ID Item Vendido]],Agregado[ID],Agregado[Produto])</f>
        <v>Peça forjada sob encomenda</v>
      </c>
      <c r="F664" s="39">
        <v>44070</v>
      </c>
      <c r="G664" s="7">
        <v>6</v>
      </c>
      <c r="H664" s="3">
        <f>_xlfn.XLOOKUP(Vendas[[#This Row],[ID Item Vendido]],Agregado[ID],Agregado[Revenda])</f>
        <v>264.60000000000002</v>
      </c>
      <c r="I664" s="3">
        <f>Vendas[[#This Row],[Valor Unitário]]*Vendas[[#This Row],[Qnt Vendida]]</f>
        <v>1587.6000000000001</v>
      </c>
      <c r="J664" s="3">
        <f>Vendas[[#This Row],[Valor da Venda]]-(_xlfn.XLOOKUP(Vendas[[#This Row],[ID Item Vendido]],Agregado[ID],Agregado[Custo])*Vendas[[#This Row],[Qnt Vendida]])</f>
        <v>87.600000000000136</v>
      </c>
      <c r="K664" s="70">
        <f>Vendas[[#This Row],[Lucro da Venda]]/Vendas[[#This Row],[Valor da Venda]]</f>
        <v>5.5177626606198113E-2</v>
      </c>
      <c r="L664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664"/>
    </row>
    <row r="665" spans="1:13" x14ac:dyDescent="0.3">
      <c r="A665" s="7">
        <v>400247</v>
      </c>
      <c r="B665" t="str">
        <f>_xlfn.XLOOKUP(Vendas[[#This Row],[ID Vendedor]],Vendedores[ID],Vendedores[Nome])</f>
        <v>André</v>
      </c>
      <c r="C665" s="7" t="str">
        <f>_xlfn.XLOOKUP(Vendas[[#This Row],[ID Vendedor]],Vendedores[ID],Vendedores[Setor])</f>
        <v>CM</v>
      </c>
      <c r="D665" s="7" t="s">
        <v>22</v>
      </c>
      <c r="E665" t="str">
        <f>_xlfn.XLOOKUP(Vendas[[#This Row],[ID Item Vendido]],Agregado[ID],Agregado[Produto])</f>
        <v>Painel MDP 2,75x1,83m</v>
      </c>
      <c r="F665" s="39">
        <v>44071</v>
      </c>
      <c r="G665" s="7">
        <v>15</v>
      </c>
      <c r="H665" s="3">
        <f>_xlfn.XLOOKUP(Vendas[[#This Row],[ID Item Vendido]],Agregado[ID],Agregado[Revenda])</f>
        <v>119</v>
      </c>
      <c r="I665" s="3">
        <f>Vendas[[#This Row],[Valor Unitário]]*Vendas[[#This Row],[Qnt Vendida]]</f>
        <v>1785</v>
      </c>
      <c r="J665" s="3">
        <f>Vendas[[#This Row],[Valor da Venda]]-(_xlfn.XLOOKUP(Vendas[[#This Row],[ID Item Vendido]],Agregado[ID],Agregado[Custo])*Vendas[[#This Row],[Qnt Vendida]])</f>
        <v>360</v>
      </c>
      <c r="K665" s="70">
        <f>Vendas[[#This Row],[Lucro da Venda]]/Vendas[[#This Row],[Valor da Venda]]</f>
        <v>0.20168067226890757</v>
      </c>
      <c r="L665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665"/>
    </row>
    <row r="666" spans="1:13" x14ac:dyDescent="0.3">
      <c r="A666" s="7">
        <v>400255</v>
      </c>
      <c r="B666" t="str">
        <f>_xlfn.XLOOKUP(Vendas[[#This Row],[ID Vendedor]],Vendedores[ID],Vendedores[Nome])</f>
        <v>Carlos</v>
      </c>
      <c r="C666" s="7" t="str">
        <f>_xlfn.XLOOKUP(Vendas[[#This Row],[ID Vendedor]],Vendedores[ID],Vendedores[Setor])</f>
        <v>SC</v>
      </c>
      <c r="D666" s="7" t="s">
        <v>14</v>
      </c>
      <c r="E666" t="str">
        <f>_xlfn.XLOOKUP(Vendas[[#This Row],[ID Item Vendido]],Agregado[ID],Agregado[Produto])</f>
        <v>Barril de plástico 200L</v>
      </c>
      <c r="F666" s="39">
        <v>44071</v>
      </c>
      <c r="G666" s="7">
        <v>13</v>
      </c>
      <c r="H666" s="3">
        <f>_xlfn.XLOOKUP(Vendas[[#This Row],[ID Item Vendido]],Agregado[ID],Agregado[Revenda])</f>
        <v>114</v>
      </c>
      <c r="I666" s="3">
        <f>Vendas[[#This Row],[Valor Unitário]]*Vendas[[#This Row],[Qnt Vendida]]</f>
        <v>1482</v>
      </c>
      <c r="J666" s="3">
        <f>Vendas[[#This Row],[Valor da Venda]]-(_xlfn.XLOOKUP(Vendas[[#This Row],[ID Item Vendido]],Agregado[ID],Agregado[Custo])*Vendas[[#This Row],[Qnt Vendida]])</f>
        <v>247</v>
      </c>
      <c r="K666" s="70">
        <f>Vendas[[#This Row],[Lucro da Venda]]/Vendas[[#This Row],[Valor da Venda]]</f>
        <v>0.16666666666666666</v>
      </c>
      <c r="L666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666"/>
    </row>
    <row r="667" spans="1:13" x14ac:dyDescent="0.3">
      <c r="A667" s="7">
        <v>400241</v>
      </c>
      <c r="B667" t="str">
        <f>_xlfn.XLOOKUP(Vendas[[#This Row],[ID Vendedor]],Vendedores[ID],Vendedores[Nome])</f>
        <v>Rodrigo</v>
      </c>
      <c r="C667" s="7" t="str">
        <f>_xlfn.XLOOKUP(Vendas[[#This Row],[ID Vendedor]],Vendedores[ID],Vendedores[Setor])</f>
        <v>FM</v>
      </c>
      <c r="D667" s="7" t="s">
        <v>47</v>
      </c>
      <c r="E667" t="str">
        <f>_xlfn.XLOOKUP(Vendas[[#This Row],[ID Item Vendido]],Agregado[ID],Agregado[Produto])</f>
        <v>Fio de arame galvanizado rolo 50m</v>
      </c>
      <c r="F667" s="39">
        <v>44072</v>
      </c>
      <c r="G667" s="7">
        <v>9</v>
      </c>
      <c r="H667" s="3">
        <f>_xlfn.XLOOKUP(Vendas[[#This Row],[ID Item Vendido]],Agregado[ID],Agregado[Revenda])</f>
        <v>21.2</v>
      </c>
      <c r="I667" s="3">
        <f>Vendas[[#This Row],[Valor Unitário]]*Vendas[[#This Row],[Qnt Vendida]]</f>
        <v>190.79999999999998</v>
      </c>
      <c r="J667" s="3">
        <f>Vendas[[#This Row],[Valor da Venda]]-(_xlfn.XLOOKUP(Vendas[[#This Row],[ID Item Vendido]],Agregado[ID],Agregado[Custo])*Vendas[[#This Row],[Qnt Vendida]])</f>
        <v>28.799999999999983</v>
      </c>
      <c r="K667" s="70">
        <f>Vendas[[#This Row],[Lucro da Venda]]/Vendas[[#This Row],[Valor da Venda]]</f>
        <v>0.15094339622641501</v>
      </c>
      <c r="L667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667"/>
    </row>
    <row r="668" spans="1:13" x14ac:dyDescent="0.3">
      <c r="A668" s="7">
        <v>400245</v>
      </c>
      <c r="B668" t="str">
        <f>_xlfn.XLOOKUP(Vendas[[#This Row],[ID Vendedor]],Vendedores[ID],Vendedores[Nome])</f>
        <v>Thiago</v>
      </c>
      <c r="C668" s="7" t="str">
        <f>_xlfn.XLOOKUP(Vendas[[#This Row],[ID Vendedor]],Vendedores[ID],Vendedores[Setor])</f>
        <v>AHD</v>
      </c>
      <c r="D668" s="7" t="s">
        <v>30</v>
      </c>
      <c r="E668" t="str">
        <f>_xlfn.XLOOKUP(Vendas[[#This Row],[ID Item Vendido]],Agregado[ID],Agregado[Produto])</f>
        <v>Estrutura metálica soldada</v>
      </c>
      <c r="F668" s="39">
        <v>44073</v>
      </c>
      <c r="G668" s="7">
        <v>8</v>
      </c>
      <c r="H668" s="3">
        <f>_xlfn.XLOOKUP(Vendas[[#This Row],[ID Item Vendido]],Agregado[ID],Agregado[Revenda])</f>
        <v>400</v>
      </c>
      <c r="I668" s="3">
        <f>Vendas[[#This Row],[Valor Unitário]]*Vendas[[#This Row],[Qnt Vendida]]</f>
        <v>3200</v>
      </c>
      <c r="J668" s="3">
        <f>Vendas[[#This Row],[Valor da Venda]]-(_xlfn.XLOOKUP(Vendas[[#This Row],[ID Item Vendido]],Agregado[ID],Agregado[Custo])*Vendas[[#This Row],[Qnt Vendida]])</f>
        <v>640</v>
      </c>
      <c r="K668" s="70">
        <f>Vendas[[#This Row],[Lucro da Venda]]/Vendas[[#This Row],[Valor da Venda]]</f>
        <v>0.2</v>
      </c>
      <c r="L668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668"/>
    </row>
    <row r="669" spans="1:13" x14ac:dyDescent="0.3">
      <c r="A669" s="7">
        <v>400244</v>
      </c>
      <c r="B669" t="str">
        <f>_xlfn.XLOOKUP(Vendas[[#This Row],[ID Vendedor]],Vendedores[ID],Vendedores[Nome])</f>
        <v>Camila</v>
      </c>
      <c r="C669" s="7" t="str">
        <f>_xlfn.XLOOKUP(Vendas[[#This Row],[ID Vendedor]],Vendedores[ID],Vendedores[Setor])</f>
        <v>AHD</v>
      </c>
      <c r="D669" s="7" t="s">
        <v>44</v>
      </c>
      <c r="E669" t="str">
        <f>_xlfn.XLOOKUP(Vendas[[#This Row],[ID Item Vendido]],Agregado[ID],Agregado[Produto])</f>
        <v>Liga metálica especial</v>
      </c>
      <c r="F669" s="39">
        <v>44073</v>
      </c>
      <c r="G669" s="7">
        <v>5</v>
      </c>
      <c r="H669" s="3">
        <f>_xlfn.XLOOKUP(Vendas[[#This Row],[ID Item Vendido]],Agregado[ID],Agregado[Revenda])</f>
        <v>32.5</v>
      </c>
      <c r="I669" s="3">
        <f>Vendas[[#This Row],[Valor Unitário]]*Vendas[[#This Row],[Qnt Vendida]]</f>
        <v>162.5</v>
      </c>
      <c r="J669" s="3">
        <f>Vendas[[#This Row],[Valor da Venda]]-(_xlfn.XLOOKUP(Vendas[[#This Row],[ID Item Vendido]],Agregado[ID],Agregado[Custo])*Vendas[[#This Row],[Qnt Vendida]])</f>
        <v>37.5</v>
      </c>
      <c r="K669" s="70">
        <f>Vendas[[#This Row],[Lucro da Venda]]/Vendas[[#This Row],[Valor da Venda]]</f>
        <v>0.23076923076923078</v>
      </c>
      <c r="L669" s="3">
        <f>_xlfn.IFS(Vendas[[#This Row],[Margem de Lucro (%)]]&lt;15%,Vendas[[#This Row],[Valor da Venda]]*3%,Vendas[[#This Row],[Margem de Lucro (%)]]&lt;=20%,Vendas[[#This Row],[Valor da Venda]]*4.5%,TRUE,Vendas[[#This Row],[Valor da Venda]]*6%)</f>
        <v>9.75</v>
      </c>
      <c r="M669"/>
    </row>
    <row r="670" spans="1:13" x14ac:dyDescent="0.3">
      <c r="A670" s="7">
        <v>400255</v>
      </c>
      <c r="B670" t="str">
        <f>_xlfn.XLOOKUP(Vendas[[#This Row],[ID Vendedor]],Vendedores[ID],Vendedores[Nome])</f>
        <v>Carlos</v>
      </c>
      <c r="C670" s="7" t="str">
        <f>_xlfn.XLOOKUP(Vendas[[#This Row],[ID Vendedor]],Vendedores[ID],Vendedores[Setor])</f>
        <v>SC</v>
      </c>
      <c r="D670" s="7" t="s">
        <v>14</v>
      </c>
      <c r="E670" t="str">
        <f>_xlfn.XLOOKUP(Vendas[[#This Row],[ID Item Vendido]],Agregado[ID],Agregado[Produto])</f>
        <v>Barril de plástico 200L</v>
      </c>
      <c r="F670" s="39">
        <v>44074</v>
      </c>
      <c r="G670" s="7">
        <v>12</v>
      </c>
      <c r="H670" s="3">
        <f>_xlfn.XLOOKUP(Vendas[[#This Row],[ID Item Vendido]],Agregado[ID],Agregado[Revenda])</f>
        <v>114</v>
      </c>
      <c r="I670" s="3">
        <f>Vendas[[#This Row],[Valor Unitário]]*Vendas[[#This Row],[Qnt Vendida]]</f>
        <v>1368</v>
      </c>
      <c r="J670" s="3">
        <f>Vendas[[#This Row],[Valor da Venda]]-(_xlfn.XLOOKUP(Vendas[[#This Row],[ID Item Vendido]],Agregado[ID],Agregado[Custo])*Vendas[[#This Row],[Qnt Vendida]])</f>
        <v>228</v>
      </c>
      <c r="K670" s="70">
        <f>Vendas[[#This Row],[Lucro da Venda]]/Vendas[[#This Row],[Valor da Venda]]</f>
        <v>0.16666666666666666</v>
      </c>
      <c r="L670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670"/>
    </row>
    <row r="671" spans="1:13" x14ac:dyDescent="0.3">
      <c r="A671" s="7">
        <v>400251</v>
      </c>
      <c r="B671" t="str">
        <f>_xlfn.XLOOKUP(Vendas[[#This Row],[ID Vendedor]],Vendedores[ID],Vendedores[Nome])</f>
        <v>Diego</v>
      </c>
      <c r="C671" s="7" t="str">
        <f>_xlfn.XLOOKUP(Vendas[[#This Row],[ID Vendedor]],Vendedores[ID],Vendedores[Setor])</f>
        <v>AB</v>
      </c>
      <c r="D671" s="7" t="s">
        <v>37</v>
      </c>
      <c r="E671" t="str">
        <f>_xlfn.XLOOKUP(Vendas[[#This Row],[ID Item Vendido]],Agregado[ID],Agregado[Produto])</f>
        <v>Composto de borracha para vedação rolo 10m</v>
      </c>
      <c r="F671" s="39">
        <v>44074</v>
      </c>
      <c r="G671" s="7">
        <v>15</v>
      </c>
      <c r="H671" s="3">
        <f>_xlfn.XLOOKUP(Vendas[[#This Row],[ID Item Vendido]],Agregado[ID],Agregado[Revenda])</f>
        <v>51.2</v>
      </c>
      <c r="I671" s="3">
        <f>Vendas[[#This Row],[Valor Unitário]]*Vendas[[#This Row],[Qnt Vendida]]</f>
        <v>768</v>
      </c>
      <c r="J671" s="3">
        <f>Vendas[[#This Row],[Valor da Venda]]-(_xlfn.XLOOKUP(Vendas[[#This Row],[ID Item Vendido]],Agregado[ID],Agregado[Custo])*Vendas[[#This Row],[Qnt Vendida]])</f>
        <v>168</v>
      </c>
      <c r="K671" s="70">
        <f>Vendas[[#This Row],[Lucro da Venda]]/Vendas[[#This Row],[Valor da Venda]]</f>
        <v>0.21875</v>
      </c>
      <c r="L67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671"/>
    </row>
    <row r="672" spans="1:13" x14ac:dyDescent="0.3">
      <c r="A672" s="7">
        <v>400247</v>
      </c>
      <c r="B672" t="str">
        <f>_xlfn.XLOOKUP(Vendas[[#This Row],[ID Vendedor]],Vendedores[ID],Vendedores[Nome])</f>
        <v>André</v>
      </c>
      <c r="C672" s="7" t="str">
        <f>_xlfn.XLOOKUP(Vendas[[#This Row],[ID Vendedor]],Vendedores[ID],Vendedores[Setor])</f>
        <v>CM</v>
      </c>
      <c r="D672" s="7" t="s">
        <v>34</v>
      </c>
      <c r="E672" t="str">
        <f>_xlfn.XLOOKUP(Vendas[[#This Row],[ID Item Vendido]],Agregado[ID],Agregado[Produto])</f>
        <v>Restos de madeira p/ MDP/OSB saco de 20kg</v>
      </c>
      <c r="F672" s="39">
        <v>44077</v>
      </c>
      <c r="G672" s="7">
        <v>13</v>
      </c>
      <c r="H672" s="3">
        <f>_xlfn.XLOOKUP(Vendas[[#This Row],[ID Item Vendido]],Agregado[ID],Agregado[Revenda])</f>
        <v>13.8</v>
      </c>
      <c r="I672" s="3">
        <f>Vendas[[#This Row],[Valor Unitário]]*Vendas[[#This Row],[Qnt Vendida]]</f>
        <v>179.4</v>
      </c>
      <c r="J672" s="3">
        <f>Vendas[[#This Row],[Valor da Venda]]-(_xlfn.XLOOKUP(Vendas[[#This Row],[ID Item Vendido]],Agregado[ID],Agregado[Custo])*Vendas[[#This Row],[Qnt Vendida]])</f>
        <v>23.400000000000006</v>
      </c>
      <c r="K672" s="70">
        <f>Vendas[[#This Row],[Lucro da Venda]]/Vendas[[#This Row],[Valor da Venda]]</f>
        <v>0.13043478260869568</v>
      </c>
      <c r="L672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672"/>
    </row>
    <row r="673" spans="1:13" x14ac:dyDescent="0.3">
      <c r="A673" s="7">
        <v>400245</v>
      </c>
      <c r="B673" t="str">
        <f>_xlfn.XLOOKUP(Vendas[[#This Row],[ID Vendedor]],Vendedores[ID],Vendedores[Nome])</f>
        <v>Thiago</v>
      </c>
      <c r="C673" s="7" t="str">
        <f>_xlfn.XLOOKUP(Vendas[[#This Row],[ID Vendedor]],Vendedores[ID],Vendedores[Setor])</f>
        <v>AHD</v>
      </c>
      <c r="D673" s="7" t="s">
        <v>30</v>
      </c>
      <c r="E673" t="str">
        <f>_xlfn.XLOOKUP(Vendas[[#This Row],[ID Item Vendido]],Agregado[ID],Agregado[Produto])</f>
        <v>Estrutura metálica soldada</v>
      </c>
      <c r="F673" s="39">
        <v>44078</v>
      </c>
      <c r="G673" s="7">
        <v>8</v>
      </c>
      <c r="H673" s="3">
        <f>_xlfn.XLOOKUP(Vendas[[#This Row],[ID Item Vendido]],Agregado[ID],Agregado[Revenda])</f>
        <v>400</v>
      </c>
      <c r="I673" s="3">
        <f>Vendas[[#This Row],[Valor Unitário]]*Vendas[[#This Row],[Qnt Vendida]]</f>
        <v>3200</v>
      </c>
      <c r="J673" s="3">
        <f>Vendas[[#This Row],[Valor da Venda]]-(_xlfn.XLOOKUP(Vendas[[#This Row],[ID Item Vendido]],Agregado[ID],Agregado[Custo])*Vendas[[#This Row],[Qnt Vendida]])</f>
        <v>640</v>
      </c>
      <c r="K673" s="70">
        <f>Vendas[[#This Row],[Lucro da Venda]]/Vendas[[#This Row],[Valor da Venda]]</f>
        <v>0.2</v>
      </c>
      <c r="L67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673"/>
    </row>
    <row r="674" spans="1:13" x14ac:dyDescent="0.3">
      <c r="A674" s="7">
        <v>400245</v>
      </c>
      <c r="B674" t="str">
        <f>_xlfn.XLOOKUP(Vendas[[#This Row],[ID Vendedor]],Vendedores[ID],Vendedores[Nome])</f>
        <v>Thiago</v>
      </c>
      <c r="C674" s="7" t="str">
        <f>_xlfn.XLOOKUP(Vendas[[#This Row],[ID Vendedor]],Vendedores[ID],Vendedores[Setor])</f>
        <v>AHD</v>
      </c>
      <c r="D674" s="7" t="s">
        <v>30</v>
      </c>
      <c r="E674" t="str">
        <f>_xlfn.XLOOKUP(Vendas[[#This Row],[ID Item Vendido]],Agregado[ID],Agregado[Produto])</f>
        <v>Estrutura metálica soldada</v>
      </c>
      <c r="F674" s="39">
        <v>44078</v>
      </c>
      <c r="G674" s="7">
        <v>5</v>
      </c>
      <c r="H674" s="3">
        <f>_xlfn.XLOOKUP(Vendas[[#This Row],[ID Item Vendido]],Agregado[ID],Agregado[Revenda])</f>
        <v>400</v>
      </c>
      <c r="I674" s="3">
        <f>Vendas[[#This Row],[Valor Unitário]]*Vendas[[#This Row],[Qnt Vendida]]</f>
        <v>2000</v>
      </c>
      <c r="J674" s="3">
        <f>Vendas[[#This Row],[Valor da Venda]]-(_xlfn.XLOOKUP(Vendas[[#This Row],[ID Item Vendido]],Agregado[ID],Agregado[Custo])*Vendas[[#This Row],[Qnt Vendida]])</f>
        <v>400</v>
      </c>
      <c r="K674" s="70">
        <f>Vendas[[#This Row],[Lucro da Venda]]/Vendas[[#This Row],[Valor da Venda]]</f>
        <v>0.2</v>
      </c>
      <c r="L67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674"/>
    </row>
    <row r="675" spans="1:13" x14ac:dyDescent="0.3">
      <c r="A675" s="7">
        <v>400255</v>
      </c>
      <c r="B675" t="str">
        <f>_xlfn.XLOOKUP(Vendas[[#This Row],[ID Vendedor]],Vendedores[ID],Vendedores[Nome])</f>
        <v>Carlos</v>
      </c>
      <c r="C675" s="7" t="str">
        <f>_xlfn.XLOOKUP(Vendas[[#This Row],[ID Vendedor]],Vendedores[ID],Vendedores[Setor])</f>
        <v>SC</v>
      </c>
      <c r="D675" s="7" t="s">
        <v>14</v>
      </c>
      <c r="E675" t="str">
        <f>_xlfn.XLOOKUP(Vendas[[#This Row],[ID Item Vendido]],Agregado[ID],Agregado[Produto])</f>
        <v>Barril de plástico 200L</v>
      </c>
      <c r="F675" s="39">
        <v>44078</v>
      </c>
      <c r="G675" s="7">
        <v>11</v>
      </c>
      <c r="H675" s="3">
        <f>_xlfn.XLOOKUP(Vendas[[#This Row],[ID Item Vendido]],Agregado[ID],Agregado[Revenda])</f>
        <v>114</v>
      </c>
      <c r="I675" s="3">
        <f>Vendas[[#This Row],[Valor Unitário]]*Vendas[[#This Row],[Qnt Vendida]]</f>
        <v>1254</v>
      </c>
      <c r="J675" s="3">
        <f>Vendas[[#This Row],[Valor da Venda]]-(_xlfn.XLOOKUP(Vendas[[#This Row],[ID Item Vendido]],Agregado[ID],Agregado[Custo])*Vendas[[#This Row],[Qnt Vendida]])</f>
        <v>209</v>
      </c>
      <c r="K675" s="70">
        <f>Vendas[[#This Row],[Lucro da Venda]]/Vendas[[#This Row],[Valor da Venda]]</f>
        <v>0.16666666666666666</v>
      </c>
      <c r="L67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675"/>
    </row>
    <row r="676" spans="1:13" x14ac:dyDescent="0.3">
      <c r="A676" s="7">
        <v>400243</v>
      </c>
      <c r="B676" t="str">
        <f>_xlfn.XLOOKUP(Vendas[[#This Row],[ID Vendedor]],Vendedores[ID],Vendedores[Nome])</f>
        <v>Marcelo</v>
      </c>
      <c r="C676" s="7" t="str">
        <f>_xlfn.XLOOKUP(Vendas[[#This Row],[ID Vendedor]],Vendedores[ID],Vendedores[Setor])</f>
        <v>FM</v>
      </c>
      <c r="D676" s="7" t="s">
        <v>31</v>
      </c>
      <c r="E676" t="str">
        <f>_xlfn.XLOOKUP(Vendas[[#This Row],[ID Item Vendido]],Agregado[ID],Agregado[Produto])</f>
        <v>Tela de metal soldada rolo 2x25m</v>
      </c>
      <c r="F676" s="39">
        <v>44078</v>
      </c>
      <c r="G676" s="7">
        <v>7</v>
      </c>
      <c r="H676" s="3">
        <f>_xlfn.XLOOKUP(Vendas[[#This Row],[ID Item Vendido]],Agregado[ID],Agregado[Revenda])</f>
        <v>43.7</v>
      </c>
      <c r="I676" s="3">
        <f>Vendas[[#This Row],[Valor Unitário]]*Vendas[[#This Row],[Qnt Vendida]]</f>
        <v>305.90000000000003</v>
      </c>
      <c r="J676" s="3">
        <f>Vendas[[#This Row],[Valor da Venda]]-(_xlfn.XLOOKUP(Vendas[[#This Row],[ID Item Vendido]],Agregado[ID],Agregado[Custo])*Vendas[[#This Row],[Qnt Vendida]])</f>
        <v>39.900000000000034</v>
      </c>
      <c r="K676" s="70">
        <f>Vendas[[#This Row],[Lucro da Venda]]/Vendas[[#This Row],[Valor da Venda]]</f>
        <v>0.13043478260869576</v>
      </c>
      <c r="L676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676"/>
    </row>
    <row r="677" spans="1:13" x14ac:dyDescent="0.3">
      <c r="A677" s="7">
        <v>400247</v>
      </c>
      <c r="B677" t="str">
        <f>_xlfn.XLOOKUP(Vendas[[#This Row],[ID Vendedor]],Vendedores[ID],Vendedores[Nome])</f>
        <v>André</v>
      </c>
      <c r="C677" s="7" t="str">
        <f>_xlfn.XLOOKUP(Vendas[[#This Row],[ID Vendedor]],Vendedores[ID],Vendedores[Setor])</f>
        <v>CM</v>
      </c>
      <c r="D677" s="7" t="s">
        <v>43</v>
      </c>
      <c r="E677" t="str">
        <f>_xlfn.XLOOKUP(Vendas[[#This Row],[ID Item Vendido]],Agregado[ID],Agregado[Produto])</f>
        <v>Madeira Bruta (Tora)</v>
      </c>
      <c r="F677" s="39">
        <v>44082</v>
      </c>
      <c r="G677" s="7">
        <v>12</v>
      </c>
      <c r="H677" s="3">
        <f>_xlfn.XLOOKUP(Vendas[[#This Row],[ID Item Vendido]],Agregado[ID],Agregado[Revenda])</f>
        <v>212</v>
      </c>
      <c r="I677" s="3">
        <f>Vendas[[#This Row],[Valor Unitário]]*Vendas[[#This Row],[Qnt Vendida]]</f>
        <v>2544</v>
      </c>
      <c r="J677" s="3">
        <f>Vendas[[#This Row],[Valor da Venda]]-(_xlfn.XLOOKUP(Vendas[[#This Row],[ID Item Vendido]],Agregado[ID],Agregado[Custo])*Vendas[[#This Row],[Qnt Vendida]])</f>
        <v>384</v>
      </c>
      <c r="K677" s="70">
        <f>Vendas[[#This Row],[Lucro da Venda]]/Vendas[[#This Row],[Valor da Venda]]</f>
        <v>0.15094339622641509</v>
      </c>
      <c r="L677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677"/>
    </row>
    <row r="678" spans="1:13" x14ac:dyDescent="0.3">
      <c r="A678" s="7">
        <v>400245</v>
      </c>
      <c r="B678" t="str">
        <f>_xlfn.XLOOKUP(Vendas[[#This Row],[ID Vendedor]],Vendedores[ID],Vendedores[Nome])</f>
        <v>Thiago</v>
      </c>
      <c r="C678" s="7" t="str">
        <f>_xlfn.XLOOKUP(Vendas[[#This Row],[ID Vendedor]],Vendedores[ID],Vendedores[Setor])</f>
        <v>AHD</v>
      </c>
      <c r="D678" s="7" t="s">
        <v>30</v>
      </c>
      <c r="E678" t="str">
        <f>_xlfn.XLOOKUP(Vendas[[#This Row],[ID Item Vendido]],Agregado[ID],Agregado[Produto])</f>
        <v>Estrutura metálica soldada</v>
      </c>
      <c r="F678" s="39">
        <v>44082</v>
      </c>
      <c r="G678" s="7">
        <v>2</v>
      </c>
      <c r="H678" s="3">
        <f>_xlfn.XLOOKUP(Vendas[[#This Row],[ID Item Vendido]],Agregado[ID],Agregado[Revenda])</f>
        <v>400</v>
      </c>
      <c r="I678" s="3">
        <f>Vendas[[#This Row],[Valor Unitário]]*Vendas[[#This Row],[Qnt Vendida]]</f>
        <v>800</v>
      </c>
      <c r="J678" s="3">
        <f>Vendas[[#This Row],[Valor da Venda]]-(_xlfn.XLOOKUP(Vendas[[#This Row],[ID Item Vendido]],Agregado[ID],Agregado[Custo])*Vendas[[#This Row],[Qnt Vendida]])</f>
        <v>160</v>
      </c>
      <c r="K678" s="70">
        <f>Vendas[[#This Row],[Lucro da Venda]]/Vendas[[#This Row],[Valor da Venda]]</f>
        <v>0.2</v>
      </c>
      <c r="L678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678"/>
    </row>
    <row r="679" spans="1:13" x14ac:dyDescent="0.3">
      <c r="A679" s="7">
        <v>400247</v>
      </c>
      <c r="B679" t="str">
        <f>_xlfn.XLOOKUP(Vendas[[#This Row],[ID Vendedor]],Vendedores[ID],Vendedores[Nome])</f>
        <v>André</v>
      </c>
      <c r="C679" s="7" t="str">
        <f>_xlfn.XLOOKUP(Vendas[[#This Row],[ID Vendedor]],Vendedores[ID],Vendedores[Setor])</f>
        <v>CM</v>
      </c>
      <c r="D679" s="7" t="s">
        <v>22</v>
      </c>
      <c r="E679" t="str">
        <f>_xlfn.XLOOKUP(Vendas[[#This Row],[ID Item Vendido]],Agregado[ID],Agregado[Produto])</f>
        <v>Painel MDP 2,75x1,83m</v>
      </c>
      <c r="F679" s="39">
        <v>44083</v>
      </c>
      <c r="G679" s="7">
        <v>12</v>
      </c>
      <c r="H679" s="3">
        <f>_xlfn.XLOOKUP(Vendas[[#This Row],[ID Item Vendido]],Agregado[ID],Agregado[Revenda])</f>
        <v>119</v>
      </c>
      <c r="I679" s="3">
        <f>Vendas[[#This Row],[Valor Unitário]]*Vendas[[#This Row],[Qnt Vendida]]</f>
        <v>1428</v>
      </c>
      <c r="J679" s="3">
        <f>Vendas[[#This Row],[Valor da Venda]]-(_xlfn.XLOOKUP(Vendas[[#This Row],[ID Item Vendido]],Agregado[ID],Agregado[Custo])*Vendas[[#This Row],[Qnt Vendida]])</f>
        <v>288</v>
      </c>
      <c r="K679" s="70">
        <f>Vendas[[#This Row],[Lucro da Venda]]/Vendas[[#This Row],[Valor da Venda]]</f>
        <v>0.20168067226890757</v>
      </c>
      <c r="L679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679"/>
    </row>
    <row r="680" spans="1:13" x14ac:dyDescent="0.3">
      <c r="A680" s="7">
        <v>400253</v>
      </c>
      <c r="B680" t="str">
        <f>_xlfn.XLOOKUP(Vendas[[#This Row],[ID Vendedor]],Vendedores[ID],Vendedores[Nome])</f>
        <v>Gustavo</v>
      </c>
      <c r="C680" s="7" t="str">
        <f>_xlfn.XLOOKUP(Vendas[[#This Row],[ID Vendedor]],Vendedores[ID],Vendedores[Setor])</f>
        <v>SC</v>
      </c>
      <c r="D680" s="7" t="s">
        <v>48</v>
      </c>
      <c r="E680" t="str">
        <f>_xlfn.XLOOKUP(Vendas[[#This Row],[ID Item Vendido]],Agregado[ID],Agregado[Produto])</f>
        <v>Tambor metálico 200L</v>
      </c>
      <c r="F680" s="39">
        <v>44085</v>
      </c>
      <c r="G680" s="7">
        <v>10</v>
      </c>
      <c r="H680" s="3">
        <f>_xlfn.XLOOKUP(Vendas[[#This Row],[ID Item Vendido]],Agregado[ID],Agregado[Revenda])</f>
        <v>144</v>
      </c>
      <c r="I680" s="3">
        <f>Vendas[[#This Row],[Valor Unitário]]*Vendas[[#This Row],[Qnt Vendida]]</f>
        <v>1440</v>
      </c>
      <c r="J680" s="3">
        <f>Vendas[[#This Row],[Valor da Venda]]-(_xlfn.XLOOKUP(Vendas[[#This Row],[ID Item Vendido]],Agregado[ID],Agregado[Custo])*Vendas[[#This Row],[Qnt Vendida]])</f>
        <v>240</v>
      </c>
      <c r="K680" s="70">
        <f>Vendas[[#This Row],[Lucro da Venda]]/Vendas[[#This Row],[Valor da Venda]]</f>
        <v>0.16666666666666666</v>
      </c>
      <c r="L680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680"/>
    </row>
    <row r="681" spans="1:13" x14ac:dyDescent="0.3">
      <c r="A681" s="7">
        <v>400245</v>
      </c>
      <c r="B681" t="str">
        <f>_xlfn.XLOOKUP(Vendas[[#This Row],[ID Vendedor]],Vendedores[ID],Vendedores[Nome])</f>
        <v>Thiago</v>
      </c>
      <c r="C681" s="7" t="str">
        <f>_xlfn.XLOOKUP(Vendas[[#This Row],[ID Vendedor]],Vendedores[ID],Vendedores[Setor])</f>
        <v>AHD</v>
      </c>
      <c r="D681" s="7" t="s">
        <v>18</v>
      </c>
      <c r="E681" t="str">
        <f>_xlfn.XLOOKUP(Vendas[[#This Row],[ID Item Vendido]],Agregado[ID],Agregado[Produto])</f>
        <v>Peça forjada sob encomenda</v>
      </c>
      <c r="F681" s="39">
        <v>44086</v>
      </c>
      <c r="G681" s="7">
        <v>4</v>
      </c>
      <c r="H681" s="3">
        <f>_xlfn.XLOOKUP(Vendas[[#This Row],[ID Item Vendido]],Agregado[ID],Agregado[Revenda])</f>
        <v>264.60000000000002</v>
      </c>
      <c r="I681" s="3">
        <f>Vendas[[#This Row],[Valor Unitário]]*Vendas[[#This Row],[Qnt Vendida]]</f>
        <v>1058.4000000000001</v>
      </c>
      <c r="J681" s="3">
        <f>Vendas[[#This Row],[Valor da Venda]]-(_xlfn.XLOOKUP(Vendas[[#This Row],[ID Item Vendido]],Agregado[ID],Agregado[Custo])*Vendas[[#This Row],[Qnt Vendida]])</f>
        <v>58.400000000000091</v>
      </c>
      <c r="K681" s="70">
        <f>Vendas[[#This Row],[Lucro da Venda]]/Vendas[[#This Row],[Valor da Venda]]</f>
        <v>5.5177626606198113E-2</v>
      </c>
      <c r="L68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681"/>
    </row>
    <row r="682" spans="1:13" x14ac:dyDescent="0.3">
      <c r="A682" s="7">
        <v>400241</v>
      </c>
      <c r="B682" t="str">
        <f>_xlfn.XLOOKUP(Vendas[[#This Row],[ID Vendedor]],Vendedores[ID],Vendedores[Nome])</f>
        <v>Rodrigo</v>
      </c>
      <c r="C682" s="7" t="str">
        <f>_xlfn.XLOOKUP(Vendas[[#This Row],[ID Vendedor]],Vendedores[ID],Vendedores[Setor])</f>
        <v>FM</v>
      </c>
      <c r="D682" s="7" t="s">
        <v>20</v>
      </c>
      <c r="E682" t="str">
        <f>_xlfn.XLOOKUP(Vendas[[#This Row],[ID Item Vendido]],Agregado[ID],Agregado[Produto])</f>
        <v>Barra de aço simples</v>
      </c>
      <c r="F682" s="39">
        <v>44087</v>
      </c>
      <c r="G682" s="7">
        <v>37</v>
      </c>
      <c r="H682" s="3">
        <f>_xlfn.XLOOKUP(Vendas[[#This Row],[ID Item Vendido]],Agregado[ID],Agregado[Revenda])</f>
        <v>4.8</v>
      </c>
      <c r="I682" s="3">
        <f>Vendas[[#This Row],[Valor Unitário]]*Vendas[[#This Row],[Qnt Vendida]]</f>
        <v>177.6</v>
      </c>
      <c r="J682" s="3">
        <f>Vendas[[#This Row],[Valor da Venda]]-(_xlfn.XLOOKUP(Vendas[[#This Row],[ID Item Vendido]],Agregado[ID],Agregado[Custo])*Vendas[[#This Row],[Qnt Vendida]])</f>
        <v>22.199999999999989</v>
      </c>
      <c r="K682" s="70">
        <f>Vendas[[#This Row],[Lucro da Venda]]/Vendas[[#This Row],[Valor da Venda]]</f>
        <v>0.12499999999999994</v>
      </c>
      <c r="L682" s="3">
        <f>_xlfn.IFS(Vendas[[#This Row],[Margem de Lucro (%)]]&lt;15%,Vendas[[#This Row],[Valor da Venda]]*3%,Vendas[[#This Row],[Margem de Lucro (%)]]&lt;=20%,Vendas[[#This Row],[Valor da Venda]]*4.5%,TRUE,Vendas[[#This Row],[Valor da Venda]]*6%)</f>
        <v>5.3279999999999994</v>
      </c>
      <c r="M682"/>
    </row>
    <row r="683" spans="1:13" x14ac:dyDescent="0.3">
      <c r="A683" s="7">
        <v>400253</v>
      </c>
      <c r="B683" t="str">
        <f>_xlfn.XLOOKUP(Vendas[[#This Row],[ID Vendedor]],Vendedores[ID],Vendedores[Nome])</f>
        <v>Gustavo</v>
      </c>
      <c r="C683" s="7" t="str">
        <f>_xlfn.XLOOKUP(Vendas[[#This Row],[ID Vendedor]],Vendedores[ID],Vendedores[Setor])</f>
        <v>SC</v>
      </c>
      <c r="D683" s="7" t="s">
        <v>14</v>
      </c>
      <c r="E683" t="str">
        <f>_xlfn.XLOOKUP(Vendas[[#This Row],[ID Item Vendido]],Agregado[ID],Agregado[Produto])</f>
        <v>Barril de plástico 200L</v>
      </c>
      <c r="F683" s="39">
        <v>44089</v>
      </c>
      <c r="G683" s="7">
        <v>15</v>
      </c>
      <c r="H683" s="3">
        <f>_xlfn.XLOOKUP(Vendas[[#This Row],[ID Item Vendido]],Agregado[ID],Agregado[Revenda])</f>
        <v>114</v>
      </c>
      <c r="I683" s="3">
        <f>Vendas[[#This Row],[Valor Unitário]]*Vendas[[#This Row],[Qnt Vendida]]</f>
        <v>1710</v>
      </c>
      <c r="J683" s="3">
        <f>Vendas[[#This Row],[Valor da Venda]]-(_xlfn.XLOOKUP(Vendas[[#This Row],[ID Item Vendido]],Agregado[ID],Agregado[Custo])*Vendas[[#This Row],[Qnt Vendida]])</f>
        <v>285</v>
      </c>
      <c r="K683" s="70">
        <f>Vendas[[#This Row],[Lucro da Venda]]/Vendas[[#This Row],[Valor da Venda]]</f>
        <v>0.16666666666666666</v>
      </c>
      <c r="L683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683"/>
    </row>
    <row r="684" spans="1:13" x14ac:dyDescent="0.3">
      <c r="A684" s="7">
        <v>400243</v>
      </c>
      <c r="B684" t="str">
        <f>_xlfn.XLOOKUP(Vendas[[#This Row],[ID Vendedor]],Vendedores[ID],Vendedores[Nome])</f>
        <v>Marcelo</v>
      </c>
      <c r="C684" s="7" t="str">
        <f>_xlfn.XLOOKUP(Vendas[[#This Row],[ID Vendedor]],Vendedores[ID],Vendedores[Setor])</f>
        <v>FM</v>
      </c>
      <c r="D684" s="7" t="s">
        <v>6</v>
      </c>
      <c r="E684" t="str">
        <f>_xlfn.XLOOKUP(Vendas[[#This Row],[ID Item Vendido]],Agregado[ID],Agregado[Produto])</f>
        <v>Parafuso comum 500un</v>
      </c>
      <c r="F684" s="39">
        <v>44089</v>
      </c>
      <c r="G684" s="7">
        <v>11</v>
      </c>
      <c r="H684" s="3">
        <f>_xlfn.XLOOKUP(Vendas[[#This Row],[ID Item Vendido]],Agregado[ID],Agregado[Revenda])</f>
        <v>24.6</v>
      </c>
      <c r="I684" s="3">
        <f>Vendas[[#This Row],[Valor Unitário]]*Vendas[[#This Row],[Qnt Vendida]]</f>
        <v>270.60000000000002</v>
      </c>
      <c r="J684" s="3">
        <f>Vendas[[#This Row],[Valor da Venda]]-(_xlfn.XLOOKUP(Vendas[[#This Row],[ID Item Vendido]],Agregado[ID],Agregado[Custo])*Vendas[[#This Row],[Qnt Vendida]])</f>
        <v>28.600000000000023</v>
      </c>
      <c r="K684" s="70">
        <f>Vendas[[#This Row],[Lucro da Venda]]/Vendas[[#This Row],[Valor da Venda]]</f>
        <v>0.10569105691056918</v>
      </c>
      <c r="L684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684"/>
    </row>
    <row r="685" spans="1:13" x14ac:dyDescent="0.3">
      <c r="A685" s="7">
        <v>400241</v>
      </c>
      <c r="B685" t="str">
        <f>_xlfn.XLOOKUP(Vendas[[#This Row],[ID Vendedor]],Vendedores[ID],Vendedores[Nome])</f>
        <v>Rodrigo</v>
      </c>
      <c r="C685" s="7" t="str">
        <f>_xlfn.XLOOKUP(Vendas[[#This Row],[ID Vendedor]],Vendedores[ID],Vendedores[Setor])</f>
        <v>FM</v>
      </c>
      <c r="D685" s="7" t="s">
        <v>31</v>
      </c>
      <c r="E685" t="str">
        <f>_xlfn.XLOOKUP(Vendas[[#This Row],[ID Item Vendido]],Agregado[ID],Agregado[Produto])</f>
        <v>Tela de metal soldada rolo 2x25m</v>
      </c>
      <c r="F685" s="39">
        <v>44089</v>
      </c>
      <c r="G685" s="7">
        <v>3</v>
      </c>
      <c r="H685" s="3">
        <f>_xlfn.XLOOKUP(Vendas[[#This Row],[ID Item Vendido]],Agregado[ID],Agregado[Revenda])</f>
        <v>43.7</v>
      </c>
      <c r="I685" s="3">
        <f>Vendas[[#This Row],[Valor Unitário]]*Vendas[[#This Row],[Qnt Vendida]]</f>
        <v>131.10000000000002</v>
      </c>
      <c r="J685" s="3">
        <f>Vendas[[#This Row],[Valor da Venda]]-(_xlfn.XLOOKUP(Vendas[[#This Row],[ID Item Vendido]],Agregado[ID],Agregado[Custo])*Vendas[[#This Row],[Qnt Vendida]])</f>
        <v>17.100000000000023</v>
      </c>
      <c r="K685" s="70">
        <f>Vendas[[#This Row],[Lucro da Venda]]/Vendas[[#This Row],[Valor da Venda]]</f>
        <v>0.13043478260869582</v>
      </c>
      <c r="L685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685"/>
    </row>
    <row r="686" spans="1:13" x14ac:dyDescent="0.3">
      <c r="A686" s="7">
        <v>400253</v>
      </c>
      <c r="B686" t="str">
        <f>_xlfn.XLOOKUP(Vendas[[#This Row],[ID Vendedor]],Vendedores[ID],Vendedores[Nome])</f>
        <v>Gustavo</v>
      </c>
      <c r="C686" s="7" t="str">
        <f>_xlfn.XLOOKUP(Vendas[[#This Row],[ID Vendedor]],Vendedores[ID],Vendedores[Setor])</f>
        <v>SC</v>
      </c>
      <c r="D686" s="7" t="s">
        <v>48</v>
      </c>
      <c r="E686" t="str">
        <f>_xlfn.XLOOKUP(Vendas[[#This Row],[ID Item Vendido]],Agregado[ID],Agregado[Produto])</f>
        <v>Tambor metálico 200L</v>
      </c>
      <c r="F686" s="39">
        <v>44090</v>
      </c>
      <c r="G686" s="7">
        <v>7</v>
      </c>
      <c r="H686" s="3">
        <f>_xlfn.XLOOKUP(Vendas[[#This Row],[ID Item Vendido]],Agregado[ID],Agregado[Revenda])</f>
        <v>144</v>
      </c>
      <c r="I686" s="3">
        <f>Vendas[[#This Row],[Valor Unitário]]*Vendas[[#This Row],[Qnt Vendida]]</f>
        <v>1008</v>
      </c>
      <c r="J686" s="3">
        <f>Vendas[[#This Row],[Valor da Venda]]-(_xlfn.XLOOKUP(Vendas[[#This Row],[ID Item Vendido]],Agregado[ID],Agregado[Custo])*Vendas[[#This Row],[Qnt Vendida]])</f>
        <v>168</v>
      </c>
      <c r="K686" s="70">
        <f>Vendas[[#This Row],[Lucro da Venda]]/Vendas[[#This Row],[Valor da Venda]]</f>
        <v>0.16666666666666666</v>
      </c>
      <c r="L686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686"/>
    </row>
    <row r="687" spans="1:13" x14ac:dyDescent="0.3">
      <c r="A687" s="7">
        <v>400243</v>
      </c>
      <c r="B687" t="str">
        <f>_xlfn.XLOOKUP(Vendas[[#This Row],[ID Vendedor]],Vendedores[ID],Vendedores[Nome])</f>
        <v>Marcelo</v>
      </c>
      <c r="C687" s="7" t="str">
        <f>_xlfn.XLOOKUP(Vendas[[#This Row],[ID Vendedor]],Vendedores[ID],Vendedores[Setor])</f>
        <v>FM</v>
      </c>
      <c r="D687" s="7" t="s">
        <v>6</v>
      </c>
      <c r="E687" t="str">
        <f>_xlfn.XLOOKUP(Vendas[[#This Row],[ID Item Vendido]],Agregado[ID],Agregado[Produto])</f>
        <v>Parafuso comum 500un</v>
      </c>
      <c r="F687" s="39">
        <v>44092</v>
      </c>
      <c r="G687" s="7">
        <v>21</v>
      </c>
      <c r="H687" s="3">
        <f>_xlfn.XLOOKUP(Vendas[[#This Row],[ID Item Vendido]],Agregado[ID],Agregado[Revenda])</f>
        <v>24.6</v>
      </c>
      <c r="I687" s="3">
        <f>Vendas[[#This Row],[Valor Unitário]]*Vendas[[#This Row],[Qnt Vendida]]</f>
        <v>516.6</v>
      </c>
      <c r="J687" s="3">
        <f>Vendas[[#This Row],[Valor da Venda]]-(_xlfn.XLOOKUP(Vendas[[#This Row],[ID Item Vendido]],Agregado[ID],Agregado[Custo])*Vendas[[#This Row],[Qnt Vendida]])</f>
        <v>54.600000000000023</v>
      </c>
      <c r="K687" s="70">
        <f>Vendas[[#This Row],[Lucro da Venda]]/Vendas[[#This Row],[Valor da Venda]]</f>
        <v>0.10569105691056914</v>
      </c>
      <c r="L687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687"/>
    </row>
    <row r="688" spans="1:13" x14ac:dyDescent="0.3">
      <c r="A688" s="7">
        <v>400249</v>
      </c>
      <c r="B688" t="str">
        <f>_xlfn.XLOOKUP(Vendas[[#This Row],[ID Vendedor]],Vendedores[ID],Vendedores[Nome])</f>
        <v>Bruno</v>
      </c>
      <c r="C688" s="7" t="str">
        <f>_xlfn.XLOOKUP(Vendas[[#This Row],[ID Vendedor]],Vendedores[ID],Vendedores[Setor])</f>
        <v>CM</v>
      </c>
      <c r="D688" s="7" t="s">
        <v>34</v>
      </c>
      <c r="E688" t="str">
        <f>_xlfn.XLOOKUP(Vendas[[#This Row],[ID Item Vendido]],Agregado[ID],Agregado[Produto])</f>
        <v>Restos de madeira p/ MDP/OSB saco de 20kg</v>
      </c>
      <c r="F688" s="39">
        <v>44092</v>
      </c>
      <c r="G688" s="7">
        <v>15</v>
      </c>
      <c r="H688" s="3">
        <f>_xlfn.XLOOKUP(Vendas[[#This Row],[ID Item Vendido]],Agregado[ID],Agregado[Revenda])</f>
        <v>13.8</v>
      </c>
      <c r="I688" s="3">
        <f>Vendas[[#This Row],[Valor Unitário]]*Vendas[[#This Row],[Qnt Vendida]]</f>
        <v>207</v>
      </c>
      <c r="J688" s="3">
        <f>Vendas[[#This Row],[Valor da Venda]]-(_xlfn.XLOOKUP(Vendas[[#This Row],[ID Item Vendido]],Agregado[ID],Agregado[Custo])*Vendas[[#This Row],[Qnt Vendida]])</f>
        <v>27</v>
      </c>
      <c r="K688" s="70">
        <f>Vendas[[#This Row],[Lucro da Venda]]/Vendas[[#This Row],[Valor da Venda]]</f>
        <v>0.13043478260869565</v>
      </c>
      <c r="L688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688"/>
    </row>
    <row r="689" spans="1:13" x14ac:dyDescent="0.3">
      <c r="A689" s="7">
        <v>400255</v>
      </c>
      <c r="B689" t="str">
        <f>_xlfn.XLOOKUP(Vendas[[#This Row],[ID Vendedor]],Vendedores[ID],Vendedores[Nome])</f>
        <v>Carlos</v>
      </c>
      <c r="C689" s="7" t="str">
        <f>_xlfn.XLOOKUP(Vendas[[#This Row],[ID Vendedor]],Vendedores[ID],Vendedores[Setor])</f>
        <v>SC</v>
      </c>
      <c r="D689" s="7" t="s">
        <v>14</v>
      </c>
      <c r="E689" t="str">
        <f>_xlfn.XLOOKUP(Vendas[[#This Row],[ID Item Vendido]],Agregado[ID],Agregado[Produto])</f>
        <v>Barril de plástico 200L</v>
      </c>
      <c r="F689" s="39">
        <v>44093</v>
      </c>
      <c r="G689" s="7">
        <v>17</v>
      </c>
      <c r="H689" s="3">
        <f>_xlfn.XLOOKUP(Vendas[[#This Row],[ID Item Vendido]],Agregado[ID],Agregado[Revenda])</f>
        <v>114</v>
      </c>
      <c r="I689" s="3">
        <f>Vendas[[#This Row],[Valor Unitário]]*Vendas[[#This Row],[Qnt Vendida]]</f>
        <v>1938</v>
      </c>
      <c r="J689" s="3">
        <f>Vendas[[#This Row],[Valor da Venda]]-(_xlfn.XLOOKUP(Vendas[[#This Row],[ID Item Vendido]],Agregado[ID],Agregado[Custo])*Vendas[[#This Row],[Qnt Vendida]])</f>
        <v>323</v>
      </c>
      <c r="K689" s="70">
        <f>Vendas[[#This Row],[Lucro da Venda]]/Vendas[[#This Row],[Valor da Venda]]</f>
        <v>0.16666666666666666</v>
      </c>
      <c r="L689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689"/>
    </row>
    <row r="690" spans="1:13" x14ac:dyDescent="0.3">
      <c r="A690" s="7">
        <v>400243</v>
      </c>
      <c r="B690" t="str">
        <f>_xlfn.XLOOKUP(Vendas[[#This Row],[ID Vendedor]],Vendedores[ID],Vendedores[Nome])</f>
        <v>Marcelo</v>
      </c>
      <c r="C690" s="7" t="str">
        <f>_xlfn.XLOOKUP(Vendas[[#This Row],[ID Vendedor]],Vendedores[ID],Vendedores[Setor])</f>
        <v>FM</v>
      </c>
      <c r="D690" s="7" t="s">
        <v>31</v>
      </c>
      <c r="E690" t="str">
        <f>_xlfn.XLOOKUP(Vendas[[#This Row],[ID Item Vendido]],Agregado[ID],Agregado[Produto])</f>
        <v>Tela de metal soldada rolo 2x25m</v>
      </c>
      <c r="F690" s="39">
        <v>44093</v>
      </c>
      <c r="G690" s="7">
        <v>9</v>
      </c>
      <c r="H690" s="3">
        <f>_xlfn.XLOOKUP(Vendas[[#This Row],[ID Item Vendido]],Agregado[ID],Agregado[Revenda])</f>
        <v>43.7</v>
      </c>
      <c r="I690" s="3">
        <f>Vendas[[#This Row],[Valor Unitário]]*Vendas[[#This Row],[Qnt Vendida]]</f>
        <v>393.3</v>
      </c>
      <c r="J690" s="3">
        <f>Vendas[[#This Row],[Valor da Venda]]-(_xlfn.XLOOKUP(Vendas[[#This Row],[ID Item Vendido]],Agregado[ID],Agregado[Custo])*Vendas[[#This Row],[Qnt Vendida]])</f>
        <v>51.300000000000011</v>
      </c>
      <c r="K690" s="70">
        <f>Vendas[[#This Row],[Lucro da Venda]]/Vendas[[#This Row],[Valor da Venda]]</f>
        <v>0.13043478260869568</v>
      </c>
      <c r="L690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690"/>
    </row>
    <row r="691" spans="1:13" x14ac:dyDescent="0.3">
      <c r="A691" s="7">
        <v>400243</v>
      </c>
      <c r="B691" t="str">
        <f>_xlfn.XLOOKUP(Vendas[[#This Row],[ID Vendedor]],Vendedores[ID],Vendedores[Nome])</f>
        <v>Marcelo</v>
      </c>
      <c r="C691" s="7" t="str">
        <f>_xlfn.XLOOKUP(Vendas[[#This Row],[ID Vendedor]],Vendedores[ID],Vendedores[Setor])</f>
        <v>FM</v>
      </c>
      <c r="D691" s="7" t="s">
        <v>27</v>
      </c>
      <c r="E691" t="str">
        <f>_xlfn.XLOOKUP(Vendas[[#This Row],[ID Item Vendido]],Agregado[ID],Agregado[Produto])</f>
        <v>Chapa de metal lisa 1x2m</v>
      </c>
      <c r="F691" s="39">
        <v>44095</v>
      </c>
      <c r="G691" s="7">
        <v>13</v>
      </c>
      <c r="H691" s="3">
        <f>_xlfn.XLOOKUP(Vendas[[#This Row],[ID Item Vendido]],Agregado[ID],Agregado[Revenda])</f>
        <v>52</v>
      </c>
      <c r="I691" s="3">
        <f>Vendas[[#This Row],[Valor Unitário]]*Vendas[[#This Row],[Qnt Vendida]]</f>
        <v>676</v>
      </c>
      <c r="J691" s="3">
        <f>Vendas[[#This Row],[Valor da Venda]]-(_xlfn.XLOOKUP(Vendas[[#This Row],[ID Item Vendido]],Agregado[ID],Agregado[Custo])*Vendas[[#This Row],[Qnt Vendida]])</f>
        <v>91</v>
      </c>
      <c r="K691" s="70">
        <f>Vendas[[#This Row],[Lucro da Venda]]/Vendas[[#This Row],[Valor da Venda]]</f>
        <v>0.13461538461538461</v>
      </c>
      <c r="L691" s="3">
        <f>_xlfn.IFS(Vendas[[#This Row],[Margem de Lucro (%)]]&lt;15%,Vendas[[#This Row],[Valor da Venda]]*3%,Vendas[[#This Row],[Margem de Lucro (%)]]&lt;=20%,Vendas[[#This Row],[Valor da Venda]]*4.5%,TRUE,Vendas[[#This Row],[Valor da Venda]]*6%)</f>
        <v>20.279999999999998</v>
      </c>
      <c r="M691"/>
    </row>
    <row r="692" spans="1:13" x14ac:dyDescent="0.3">
      <c r="A692" s="7">
        <v>400244</v>
      </c>
      <c r="B692" t="str">
        <f>_xlfn.XLOOKUP(Vendas[[#This Row],[ID Vendedor]],Vendedores[ID],Vendedores[Nome])</f>
        <v>Camila</v>
      </c>
      <c r="C692" s="7" t="str">
        <f>_xlfn.XLOOKUP(Vendas[[#This Row],[ID Vendedor]],Vendedores[ID],Vendedores[Setor])</f>
        <v>AHD</v>
      </c>
      <c r="D692" s="7" t="s">
        <v>30</v>
      </c>
      <c r="E692" t="str">
        <f>_xlfn.XLOOKUP(Vendas[[#This Row],[ID Item Vendido]],Agregado[ID],Agregado[Produto])</f>
        <v>Estrutura metálica soldada</v>
      </c>
      <c r="F692" s="39">
        <v>44096</v>
      </c>
      <c r="G692" s="7">
        <v>8</v>
      </c>
      <c r="H692" s="3">
        <f>_xlfn.XLOOKUP(Vendas[[#This Row],[ID Item Vendido]],Agregado[ID],Agregado[Revenda])</f>
        <v>400</v>
      </c>
      <c r="I692" s="3">
        <f>Vendas[[#This Row],[Valor Unitário]]*Vendas[[#This Row],[Qnt Vendida]]</f>
        <v>3200</v>
      </c>
      <c r="J692" s="3">
        <f>Vendas[[#This Row],[Valor da Venda]]-(_xlfn.XLOOKUP(Vendas[[#This Row],[ID Item Vendido]],Agregado[ID],Agregado[Custo])*Vendas[[#This Row],[Qnt Vendida]])</f>
        <v>640</v>
      </c>
      <c r="K692" s="70">
        <f>Vendas[[#This Row],[Lucro da Venda]]/Vendas[[#This Row],[Valor da Venda]]</f>
        <v>0.2</v>
      </c>
      <c r="L692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692"/>
    </row>
    <row r="693" spans="1:13" x14ac:dyDescent="0.3">
      <c r="A693" s="7">
        <v>400244</v>
      </c>
      <c r="B693" t="str">
        <f>_xlfn.XLOOKUP(Vendas[[#This Row],[ID Vendedor]],Vendedores[ID],Vendedores[Nome])</f>
        <v>Camila</v>
      </c>
      <c r="C693" s="7" t="str">
        <f>_xlfn.XLOOKUP(Vendas[[#This Row],[ID Vendedor]],Vendedores[ID],Vendedores[Setor])</f>
        <v>AHD</v>
      </c>
      <c r="D693" s="7" t="s">
        <v>18</v>
      </c>
      <c r="E693" t="str">
        <f>_xlfn.XLOOKUP(Vendas[[#This Row],[ID Item Vendido]],Agregado[ID],Agregado[Produto])</f>
        <v>Peça forjada sob encomenda</v>
      </c>
      <c r="F693" s="39">
        <v>44096</v>
      </c>
      <c r="G693" s="7">
        <v>3</v>
      </c>
      <c r="H693" s="3">
        <f>_xlfn.XLOOKUP(Vendas[[#This Row],[ID Item Vendido]],Agregado[ID],Agregado[Revenda])</f>
        <v>264.60000000000002</v>
      </c>
      <c r="I693" s="3">
        <f>Vendas[[#This Row],[Valor Unitário]]*Vendas[[#This Row],[Qnt Vendida]]</f>
        <v>793.80000000000007</v>
      </c>
      <c r="J693" s="3">
        <f>Vendas[[#This Row],[Valor da Venda]]-(_xlfn.XLOOKUP(Vendas[[#This Row],[ID Item Vendido]],Agregado[ID],Agregado[Custo])*Vendas[[#This Row],[Qnt Vendida]])</f>
        <v>43.800000000000068</v>
      </c>
      <c r="K693" s="70">
        <f>Vendas[[#This Row],[Lucro da Venda]]/Vendas[[#This Row],[Valor da Venda]]</f>
        <v>5.5177626606198113E-2</v>
      </c>
      <c r="L693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693"/>
    </row>
    <row r="694" spans="1:13" x14ac:dyDescent="0.3">
      <c r="A694" s="7">
        <v>400241</v>
      </c>
      <c r="B694" t="str">
        <f>_xlfn.XLOOKUP(Vendas[[#This Row],[ID Vendedor]],Vendedores[ID],Vendedores[Nome])</f>
        <v>Rodrigo</v>
      </c>
      <c r="C694" s="7" t="str">
        <f>_xlfn.XLOOKUP(Vendas[[#This Row],[ID Vendedor]],Vendedores[ID],Vendedores[Setor])</f>
        <v>FM</v>
      </c>
      <c r="D694" s="7" t="s">
        <v>20</v>
      </c>
      <c r="E694" t="str">
        <f>_xlfn.XLOOKUP(Vendas[[#This Row],[ID Item Vendido]],Agregado[ID],Agregado[Produto])</f>
        <v>Barra de aço simples</v>
      </c>
      <c r="F694" s="39">
        <v>44096</v>
      </c>
      <c r="G694" s="7">
        <v>131</v>
      </c>
      <c r="H694" s="3">
        <f>_xlfn.XLOOKUP(Vendas[[#This Row],[ID Item Vendido]],Agregado[ID],Agregado[Revenda])</f>
        <v>4.8</v>
      </c>
      <c r="I694" s="3">
        <f>Vendas[[#This Row],[Valor Unitário]]*Vendas[[#This Row],[Qnt Vendida]]</f>
        <v>628.79999999999995</v>
      </c>
      <c r="J694" s="3">
        <f>Vendas[[#This Row],[Valor da Venda]]-(_xlfn.XLOOKUP(Vendas[[#This Row],[ID Item Vendido]],Agregado[ID],Agregado[Custo])*Vendas[[#This Row],[Qnt Vendida]])</f>
        <v>78.599999999999909</v>
      </c>
      <c r="K694" s="70">
        <f>Vendas[[#This Row],[Lucro da Venda]]/Vendas[[#This Row],[Valor da Venda]]</f>
        <v>0.12499999999999986</v>
      </c>
      <c r="L694" s="3">
        <f>_xlfn.IFS(Vendas[[#This Row],[Margem de Lucro (%)]]&lt;15%,Vendas[[#This Row],[Valor da Venda]]*3%,Vendas[[#This Row],[Margem de Lucro (%)]]&lt;=20%,Vendas[[#This Row],[Valor da Venda]]*4.5%,TRUE,Vendas[[#This Row],[Valor da Venda]]*6%)</f>
        <v>18.863999999999997</v>
      </c>
      <c r="M694"/>
    </row>
    <row r="695" spans="1:13" x14ac:dyDescent="0.3">
      <c r="A695" s="7">
        <v>400253</v>
      </c>
      <c r="B695" t="str">
        <f>_xlfn.XLOOKUP(Vendas[[#This Row],[ID Vendedor]],Vendedores[ID],Vendedores[Nome])</f>
        <v>Gustavo</v>
      </c>
      <c r="C695" s="7" t="str">
        <f>_xlfn.XLOOKUP(Vendas[[#This Row],[ID Vendedor]],Vendedores[ID],Vendedores[Setor])</f>
        <v>SC</v>
      </c>
      <c r="D695" s="7" t="s">
        <v>42</v>
      </c>
      <c r="E695" t="str">
        <f>_xlfn.XLOOKUP(Vendas[[#This Row],[ID Item Vendido]],Agregado[ID],Agregado[Produto])</f>
        <v>Container de ferro industrial</v>
      </c>
      <c r="F695" s="39">
        <v>44097</v>
      </c>
      <c r="G695" s="7">
        <v>4</v>
      </c>
      <c r="H695" s="3">
        <f>_xlfn.XLOOKUP(Vendas[[#This Row],[ID Item Vendido]],Agregado[ID],Agregado[Revenda])</f>
        <v>830</v>
      </c>
      <c r="I695" s="3">
        <f>Vendas[[#This Row],[Valor Unitário]]*Vendas[[#This Row],[Qnt Vendida]]</f>
        <v>3320</v>
      </c>
      <c r="J695" s="3">
        <f>Vendas[[#This Row],[Valor da Venda]]-(_xlfn.XLOOKUP(Vendas[[#This Row],[ID Item Vendido]],Agregado[ID],Agregado[Custo])*Vendas[[#This Row],[Qnt Vendida]])</f>
        <v>600</v>
      </c>
      <c r="K695" s="70">
        <f>Vendas[[#This Row],[Lucro da Venda]]/Vendas[[#This Row],[Valor da Venda]]</f>
        <v>0.18072289156626506</v>
      </c>
      <c r="L695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695"/>
    </row>
    <row r="696" spans="1:13" x14ac:dyDescent="0.3">
      <c r="A696" s="7">
        <v>400249</v>
      </c>
      <c r="B696" t="str">
        <f>_xlfn.XLOOKUP(Vendas[[#This Row],[ID Vendedor]],Vendedores[ID],Vendedores[Nome])</f>
        <v>Bruno</v>
      </c>
      <c r="C696" s="7" t="str">
        <f>_xlfn.XLOOKUP(Vendas[[#This Row],[ID Vendedor]],Vendedores[ID],Vendedores[Setor])</f>
        <v>CM</v>
      </c>
      <c r="D696" s="7" t="s">
        <v>43</v>
      </c>
      <c r="E696" t="str">
        <f>_xlfn.XLOOKUP(Vendas[[#This Row],[ID Item Vendido]],Agregado[ID],Agregado[Produto])</f>
        <v>Madeira Bruta (Tora)</v>
      </c>
      <c r="F696" s="39">
        <v>44097</v>
      </c>
      <c r="G696" s="7">
        <v>12</v>
      </c>
      <c r="H696" s="3">
        <f>_xlfn.XLOOKUP(Vendas[[#This Row],[ID Item Vendido]],Agregado[ID],Agregado[Revenda])</f>
        <v>212</v>
      </c>
      <c r="I696" s="3">
        <f>Vendas[[#This Row],[Valor Unitário]]*Vendas[[#This Row],[Qnt Vendida]]</f>
        <v>2544</v>
      </c>
      <c r="J696" s="3">
        <f>Vendas[[#This Row],[Valor da Venda]]-(_xlfn.XLOOKUP(Vendas[[#This Row],[ID Item Vendido]],Agregado[ID],Agregado[Custo])*Vendas[[#This Row],[Qnt Vendida]])</f>
        <v>384</v>
      </c>
      <c r="K696" s="70">
        <f>Vendas[[#This Row],[Lucro da Venda]]/Vendas[[#This Row],[Valor da Venda]]</f>
        <v>0.15094339622641509</v>
      </c>
      <c r="L696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696"/>
    </row>
    <row r="697" spans="1:13" x14ac:dyDescent="0.3">
      <c r="A697" s="7">
        <v>400244</v>
      </c>
      <c r="B697" t="str">
        <f>_xlfn.XLOOKUP(Vendas[[#This Row],[ID Vendedor]],Vendedores[ID],Vendedores[Nome])</f>
        <v>Camila</v>
      </c>
      <c r="C697" s="7" t="str">
        <f>_xlfn.XLOOKUP(Vendas[[#This Row],[ID Vendedor]],Vendedores[ID],Vendedores[Setor])</f>
        <v>AHD</v>
      </c>
      <c r="D697" s="7" t="s">
        <v>44</v>
      </c>
      <c r="E697" t="str">
        <f>_xlfn.XLOOKUP(Vendas[[#This Row],[ID Item Vendido]],Agregado[ID],Agregado[Produto])</f>
        <v>Liga metálica especial</v>
      </c>
      <c r="F697" s="39">
        <v>44097</v>
      </c>
      <c r="G697" s="7">
        <v>34</v>
      </c>
      <c r="H697" s="3">
        <f>_xlfn.XLOOKUP(Vendas[[#This Row],[ID Item Vendido]],Agregado[ID],Agregado[Revenda])</f>
        <v>32.5</v>
      </c>
      <c r="I697" s="3">
        <f>Vendas[[#This Row],[Valor Unitário]]*Vendas[[#This Row],[Qnt Vendida]]</f>
        <v>1105</v>
      </c>
      <c r="J697" s="3">
        <f>Vendas[[#This Row],[Valor da Venda]]-(_xlfn.XLOOKUP(Vendas[[#This Row],[ID Item Vendido]],Agregado[ID],Agregado[Custo])*Vendas[[#This Row],[Qnt Vendida]])</f>
        <v>255</v>
      </c>
      <c r="K697" s="70">
        <f>Vendas[[#This Row],[Lucro da Venda]]/Vendas[[#This Row],[Valor da Venda]]</f>
        <v>0.23076923076923078</v>
      </c>
      <c r="L697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697"/>
    </row>
    <row r="698" spans="1:13" x14ac:dyDescent="0.3">
      <c r="A698" s="7">
        <v>400251</v>
      </c>
      <c r="B698" t="str">
        <f>_xlfn.XLOOKUP(Vendas[[#This Row],[ID Vendedor]],Vendedores[ID],Vendedores[Nome])</f>
        <v>Diego</v>
      </c>
      <c r="C698" s="7" t="str">
        <f>_xlfn.XLOOKUP(Vendas[[#This Row],[ID Vendedor]],Vendedores[ID],Vendedores[Setor])</f>
        <v>AB</v>
      </c>
      <c r="D698" s="7" t="s">
        <v>39</v>
      </c>
      <c r="E698" t="str">
        <f>_xlfn.XLOOKUP(Vendas[[#This Row],[ID Item Vendido]],Agregado[ID],Agregado[Produto])</f>
        <v>Filme plástico industrial rolo 50m</v>
      </c>
      <c r="F698" s="39">
        <v>44097</v>
      </c>
      <c r="G698" s="7">
        <v>29</v>
      </c>
      <c r="H698" s="3">
        <f>_xlfn.XLOOKUP(Vendas[[#This Row],[ID Item Vendido]],Agregado[ID],Agregado[Revenda])</f>
        <v>37</v>
      </c>
      <c r="I698" s="3">
        <f>Vendas[[#This Row],[Valor Unitário]]*Vendas[[#This Row],[Qnt Vendida]]</f>
        <v>1073</v>
      </c>
      <c r="J698" s="3">
        <f>Vendas[[#This Row],[Valor da Venda]]-(_xlfn.XLOOKUP(Vendas[[#This Row],[ID Item Vendido]],Agregado[ID],Agregado[Custo])*Vendas[[#This Row],[Qnt Vendida]])</f>
        <v>261</v>
      </c>
      <c r="K698" s="70">
        <f>Vendas[[#This Row],[Lucro da Venda]]/Vendas[[#This Row],[Valor da Venda]]</f>
        <v>0.24324324324324326</v>
      </c>
      <c r="L698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698"/>
    </row>
    <row r="699" spans="1:13" x14ac:dyDescent="0.3">
      <c r="A699" s="7">
        <v>400255</v>
      </c>
      <c r="B699" t="str">
        <f>_xlfn.XLOOKUP(Vendas[[#This Row],[ID Vendedor]],Vendedores[ID],Vendedores[Nome])</f>
        <v>Carlos</v>
      </c>
      <c r="C699" s="7" t="str">
        <f>_xlfn.XLOOKUP(Vendas[[#This Row],[ID Vendedor]],Vendedores[ID],Vendedores[Setor])</f>
        <v>SC</v>
      </c>
      <c r="D699" s="7" t="s">
        <v>14</v>
      </c>
      <c r="E699" t="str">
        <f>_xlfn.XLOOKUP(Vendas[[#This Row],[ID Item Vendido]],Agregado[ID],Agregado[Produto])</f>
        <v>Barril de plástico 200L</v>
      </c>
      <c r="F699" s="39">
        <v>44098</v>
      </c>
      <c r="G699" s="7">
        <v>17</v>
      </c>
      <c r="H699" s="3">
        <f>_xlfn.XLOOKUP(Vendas[[#This Row],[ID Item Vendido]],Agregado[ID],Agregado[Revenda])</f>
        <v>114</v>
      </c>
      <c r="I699" s="3">
        <f>Vendas[[#This Row],[Valor Unitário]]*Vendas[[#This Row],[Qnt Vendida]]</f>
        <v>1938</v>
      </c>
      <c r="J699" s="3">
        <f>Vendas[[#This Row],[Valor da Venda]]-(_xlfn.XLOOKUP(Vendas[[#This Row],[ID Item Vendido]],Agregado[ID],Agregado[Custo])*Vendas[[#This Row],[Qnt Vendida]])</f>
        <v>323</v>
      </c>
      <c r="K699" s="70">
        <f>Vendas[[#This Row],[Lucro da Venda]]/Vendas[[#This Row],[Valor da Venda]]</f>
        <v>0.16666666666666666</v>
      </c>
      <c r="L699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699"/>
    </row>
    <row r="700" spans="1:13" x14ac:dyDescent="0.3">
      <c r="A700" s="7">
        <v>400253</v>
      </c>
      <c r="B700" t="str">
        <f>_xlfn.XLOOKUP(Vendas[[#This Row],[ID Vendedor]],Vendedores[ID],Vendedores[Nome])</f>
        <v>Gustavo</v>
      </c>
      <c r="C700" s="7" t="str">
        <f>_xlfn.XLOOKUP(Vendas[[#This Row],[ID Vendedor]],Vendedores[ID],Vendedores[Setor])</f>
        <v>SC</v>
      </c>
      <c r="D700" s="7" t="s">
        <v>25</v>
      </c>
      <c r="E700" t="str">
        <f>_xlfn.XLOOKUP(Vendas[[#This Row],[ID Item Vendido]],Agregado[ID],Agregado[Produto])</f>
        <v>Palete de plástico</v>
      </c>
      <c r="F700" s="39">
        <v>44098</v>
      </c>
      <c r="G700" s="7">
        <v>9</v>
      </c>
      <c r="H700" s="3">
        <f>_xlfn.XLOOKUP(Vendas[[#This Row],[ID Item Vendido]],Agregado[ID],Agregado[Revenda])</f>
        <v>70.8</v>
      </c>
      <c r="I700" s="3">
        <f>Vendas[[#This Row],[Valor Unitário]]*Vendas[[#This Row],[Qnt Vendida]]</f>
        <v>637.19999999999993</v>
      </c>
      <c r="J700" s="3">
        <f>Vendas[[#This Row],[Valor da Venda]]-(_xlfn.XLOOKUP(Vendas[[#This Row],[ID Item Vendido]],Agregado[ID],Agregado[Custo])*Vendas[[#This Row],[Qnt Vendida]])</f>
        <v>97.199999999999932</v>
      </c>
      <c r="K700" s="70">
        <f>Vendas[[#This Row],[Lucro da Venda]]/Vendas[[#This Row],[Valor da Venda]]</f>
        <v>0.15254237288135583</v>
      </c>
      <c r="L700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700"/>
    </row>
    <row r="701" spans="1:13" x14ac:dyDescent="0.3">
      <c r="A701" s="7">
        <v>400255</v>
      </c>
      <c r="B701" t="str">
        <f>_xlfn.XLOOKUP(Vendas[[#This Row],[ID Vendedor]],Vendedores[ID],Vendedores[Nome])</f>
        <v>Carlos</v>
      </c>
      <c r="C701" s="7" t="str">
        <f>_xlfn.XLOOKUP(Vendas[[#This Row],[ID Vendedor]],Vendedores[ID],Vendedores[Setor])</f>
        <v>SC</v>
      </c>
      <c r="D701" s="7" t="s">
        <v>48</v>
      </c>
      <c r="E701" t="str">
        <f>_xlfn.XLOOKUP(Vendas[[#This Row],[ID Item Vendido]],Agregado[ID],Agregado[Produto])</f>
        <v>Tambor metálico 200L</v>
      </c>
      <c r="F701" s="39">
        <v>44098</v>
      </c>
      <c r="G701" s="7">
        <v>4</v>
      </c>
      <c r="H701" s="3">
        <f>_xlfn.XLOOKUP(Vendas[[#This Row],[ID Item Vendido]],Agregado[ID],Agregado[Revenda])</f>
        <v>144</v>
      </c>
      <c r="I701" s="3">
        <f>Vendas[[#This Row],[Valor Unitário]]*Vendas[[#This Row],[Qnt Vendida]]</f>
        <v>576</v>
      </c>
      <c r="J701" s="3">
        <f>Vendas[[#This Row],[Valor da Venda]]-(_xlfn.XLOOKUP(Vendas[[#This Row],[ID Item Vendido]],Agregado[ID],Agregado[Custo])*Vendas[[#This Row],[Qnt Vendida]])</f>
        <v>96</v>
      </c>
      <c r="K701" s="70">
        <f>Vendas[[#This Row],[Lucro da Venda]]/Vendas[[#This Row],[Valor da Venda]]</f>
        <v>0.16666666666666666</v>
      </c>
      <c r="L701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701"/>
    </row>
    <row r="702" spans="1:13" x14ac:dyDescent="0.3">
      <c r="A702" s="7">
        <v>400243</v>
      </c>
      <c r="B702" t="str">
        <f>_xlfn.XLOOKUP(Vendas[[#This Row],[ID Vendedor]],Vendedores[ID],Vendedores[Nome])</f>
        <v>Marcelo</v>
      </c>
      <c r="C702" s="7" t="str">
        <f>_xlfn.XLOOKUP(Vendas[[#This Row],[ID Vendedor]],Vendedores[ID],Vendedores[Setor])</f>
        <v>FM</v>
      </c>
      <c r="D702" s="7" t="s">
        <v>20</v>
      </c>
      <c r="E702" t="str">
        <f>_xlfn.XLOOKUP(Vendas[[#This Row],[ID Item Vendido]],Agregado[ID],Agregado[Produto])</f>
        <v>Barra de aço simples</v>
      </c>
      <c r="F702" s="39">
        <v>44098</v>
      </c>
      <c r="G702" s="7">
        <v>75</v>
      </c>
      <c r="H702" s="3">
        <f>_xlfn.XLOOKUP(Vendas[[#This Row],[ID Item Vendido]],Agregado[ID],Agregado[Revenda])</f>
        <v>4.8</v>
      </c>
      <c r="I702" s="3">
        <f>Vendas[[#This Row],[Valor Unitário]]*Vendas[[#This Row],[Qnt Vendida]]</f>
        <v>360</v>
      </c>
      <c r="J702" s="3">
        <f>Vendas[[#This Row],[Valor da Venda]]-(_xlfn.XLOOKUP(Vendas[[#This Row],[ID Item Vendido]],Agregado[ID],Agregado[Custo])*Vendas[[#This Row],[Qnt Vendida]])</f>
        <v>45</v>
      </c>
      <c r="K702" s="70">
        <f>Vendas[[#This Row],[Lucro da Venda]]/Vendas[[#This Row],[Valor da Venda]]</f>
        <v>0.125</v>
      </c>
      <c r="L702" s="3">
        <f>_xlfn.IFS(Vendas[[#This Row],[Margem de Lucro (%)]]&lt;15%,Vendas[[#This Row],[Valor da Venda]]*3%,Vendas[[#This Row],[Margem de Lucro (%)]]&lt;=20%,Vendas[[#This Row],[Valor da Venda]]*4.5%,TRUE,Vendas[[#This Row],[Valor da Venda]]*6%)</f>
        <v>10.799999999999999</v>
      </c>
      <c r="M702"/>
    </row>
    <row r="703" spans="1:13" x14ac:dyDescent="0.3">
      <c r="A703" s="7">
        <v>400244</v>
      </c>
      <c r="B703" t="str">
        <f>_xlfn.XLOOKUP(Vendas[[#This Row],[ID Vendedor]],Vendedores[ID],Vendedores[Nome])</f>
        <v>Camila</v>
      </c>
      <c r="C703" s="7" t="str">
        <f>_xlfn.XLOOKUP(Vendas[[#This Row],[ID Vendedor]],Vendedores[ID],Vendedores[Setor])</f>
        <v>AHD</v>
      </c>
      <c r="D703" s="7" t="s">
        <v>18</v>
      </c>
      <c r="E703" t="str">
        <f>_xlfn.XLOOKUP(Vendas[[#This Row],[ID Item Vendido]],Agregado[ID],Agregado[Produto])</f>
        <v>Peça forjada sob encomenda</v>
      </c>
      <c r="F703" s="39">
        <v>44099</v>
      </c>
      <c r="G703" s="7">
        <v>3</v>
      </c>
      <c r="H703" s="3">
        <f>_xlfn.XLOOKUP(Vendas[[#This Row],[ID Item Vendido]],Agregado[ID],Agregado[Revenda])</f>
        <v>264.60000000000002</v>
      </c>
      <c r="I703" s="3">
        <f>Vendas[[#This Row],[Valor Unitário]]*Vendas[[#This Row],[Qnt Vendida]]</f>
        <v>793.80000000000007</v>
      </c>
      <c r="J703" s="3">
        <f>Vendas[[#This Row],[Valor da Venda]]-(_xlfn.XLOOKUP(Vendas[[#This Row],[ID Item Vendido]],Agregado[ID],Agregado[Custo])*Vendas[[#This Row],[Qnt Vendida]])</f>
        <v>43.800000000000068</v>
      </c>
      <c r="K703" s="70">
        <f>Vendas[[#This Row],[Lucro da Venda]]/Vendas[[#This Row],[Valor da Venda]]</f>
        <v>5.5177626606198113E-2</v>
      </c>
      <c r="L703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703"/>
    </row>
    <row r="704" spans="1:13" x14ac:dyDescent="0.3">
      <c r="A704" s="7">
        <v>400241</v>
      </c>
      <c r="B704" t="str">
        <f>_xlfn.XLOOKUP(Vendas[[#This Row],[ID Vendedor]],Vendedores[ID],Vendedores[Nome])</f>
        <v>Rodrigo</v>
      </c>
      <c r="C704" s="7" t="str">
        <f>_xlfn.XLOOKUP(Vendas[[#This Row],[ID Vendedor]],Vendedores[ID],Vendedores[Setor])</f>
        <v>FM</v>
      </c>
      <c r="D704" s="7" t="s">
        <v>27</v>
      </c>
      <c r="E704" t="str">
        <f>_xlfn.XLOOKUP(Vendas[[#This Row],[ID Item Vendido]],Agregado[ID],Agregado[Produto])</f>
        <v>Chapa de metal lisa 1x2m</v>
      </c>
      <c r="F704" s="39">
        <v>44099</v>
      </c>
      <c r="G704" s="7">
        <v>17</v>
      </c>
      <c r="H704" s="3">
        <f>_xlfn.XLOOKUP(Vendas[[#This Row],[ID Item Vendido]],Agregado[ID],Agregado[Revenda])</f>
        <v>52</v>
      </c>
      <c r="I704" s="3">
        <f>Vendas[[#This Row],[Valor Unitário]]*Vendas[[#This Row],[Qnt Vendida]]</f>
        <v>884</v>
      </c>
      <c r="J704" s="3">
        <f>Vendas[[#This Row],[Valor da Venda]]-(_xlfn.XLOOKUP(Vendas[[#This Row],[ID Item Vendido]],Agregado[ID],Agregado[Custo])*Vendas[[#This Row],[Qnt Vendida]])</f>
        <v>119</v>
      </c>
      <c r="K704" s="70">
        <f>Vendas[[#This Row],[Lucro da Venda]]/Vendas[[#This Row],[Valor da Venda]]</f>
        <v>0.13461538461538461</v>
      </c>
      <c r="L704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704"/>
    </row>
    <row r="705" spans="1:13" x14ac:dyDescent="0.3">
      <c r="A705" s="7">
        <v>400245</v>
      </c>
      <c r="B705" t="str">
        <f>_xlfn.XLOOKUP(Vendas[[#This Row],[ID Vendedor]],Vendedores[ID],Vendedores[Nome])</f>
        <v>Thiago</v>
      </c>
      <c r="C705" s="7" t="str">
        <f>_xlfn.XLOOKUP(Vendas[[#This Row],[ID Vendedor]],Vendedores[ID],Vendedores[Setor])</f>
        <v>AHD</v>
      </c>
      <c r="D705" s="7" t="s">
        <v>9</v>
      </c>
      <c r="E705" t="str">
        <f>_xlfn.XLOOKUP(Vendas[[#This Row],[ID Item Vendido]],Agregado[ID],Agregado[Produto])</f>
        <v>Barra de aço simples</v>
      </c>
      <c r="F705" s="39">
        <v>44099</v>
      </c>
      <c r="G705" s="7">
        <v>91</v>
      </c>
      <c r="H705" s="3">
        <f>_xlfn.XLOOKUP(Vendas[[#This Row],[ID Item Vendido]],Agregado[ID],Agregado[Revenda])</f>
        <v>6.7</v>
      </c>
      <c r="I705" s="3">
        <f>Vendas[[#This Row],[Valor Unitário]]*Vendas[[#This Row],[Qnt Vendida]]</f>
        <v>609.70000000000005</v>
      </c>
      <c r="J705" s="3">
        <f>Vendas[[#This Row],[Valor da Venda]]-(_xlfn.XLOOKUP(Vendas[[#This Row],[ID Item Vendido]],Agregado[ID],Agregado[Custo])*Vendas[[#This Row],[Qnt Vendida]])</f>
        <v>81.900000000000091</v>
      </c>
      <c r="K705" s="70">
        <f>Vendas[[#This Row],[Lucro da Venda]]/Vendas[[#This Row],[Valor da Venda]]</f>
        <v>0.13432835820895536</v>
      </c>
      <c r="L705" s="3">
        <f>_xlfn.IFS(Vendas[[#This Row],[Margem de Lucro (%)]]&lt;15%,Vendas[[#This Row],[Valor da Venda]]*3%,Vendas[[#This Row],[Margem de Lucro (%)]]&lt;=20%,Vendas[[#This Row],[Valor da Venda]]*4.5%,TRUE,Vendas[[#This Row],[Valor da Venda]]*6%)</f>
        <v>18.291</v>
      </c>
      <c r="M705"/>
    </row>
    <row r="706" spans="1:13" x14ac:dyDescent="0.3">
      <c r="A706" s="7">
        <v>400247</v>
      </c>
      <c r="B706" t="str">
        <f>_xlfn.XLOOKUP(Vendas[[#This Row],[ID Vendedor]],Vendedores[ID],Vendedores[Nome])</f>
        <v>André</v>
      </c>
      <c r="C706" s="7" t="str">
        <f>_xlfn.XLOOKUP(Vendas[[#This Row],[ID Vendedor]],Vendedores[ID],Vendedores[Setor])</f>
        <v>CM</v>
      </c>
      <c r="D706" s="7" t="s">
        <v>45</v>
      </c>
      <c r="E706" t="str">
        <f>_xlfn.XLOOKUP(Vendas[[#This Row],[ID Item Vendido]],Agregado[ID],Agregado[Produto])</f>
        <v>Viga de madeira tratada 4m</v>
      </c>
      <c r="F706" s="39">
        <v>44099</v>
      </c>
      <c r="G706" s="7">
        <v>9</v>
      </c>
      <c r="H706" s="3">
        <f>_xlfn.XLOOKUP(Vendas[[#This Row],[ID Item Vendido]],Agregado[ID],Agregado[Revenda])</f>
        <v>66</v>
      </c>
      <c r="I706" s="3">
        <f>Vendas[[#This Row],[Valor Unitário]]*Vendas[[#This Row],[Qnt Vendida]]</f>
        <v>594</v>
      </c>
      <c r="J706" s="3">
        <f>Vendas[[#This Row],[Valor da Venda]]-(_xlfn.XLOOKUP(Vendas[[#This Row],[ID Item Vendido]],Agregado[ID],Agregado[Custo])*Vendas[[#This Row],[Qnt Vendida]])</f>
        <v>99</v>
      </c>
      <c r="K706" s="70">
        <f>Vendas[[#This Row],[Lucro da Venda]]/Vendas[[#This Row],[Valor da Venda]]</f>
        <v>0.16666666666666666</v>
      </c>
      <c r="L706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706"/>
    </row>
    <row r="707" spans="1:13" x14ac:dyDescent="0.3">
      <c r="A707" s="7">
        <v>400253</v>
      </c>
      <c r="B707" t="str">
        <f>_xlfn.XLOOKUP(Vendas[[#This Row],[ID Vendedor]],Vendedores[ID],Vendedores[Nome])</f>
        <v>Gustavo</v>
      </c>
      <c r="C707" s="7" t="str">
        <f>_xlfn.XLOOKUP(Vendas[[#This Row],[ID Vendedor]],Vendedores[ID],Vendedores[Setor])</f>
        <v>SC</v>
      </c>
      <c r="D707" s="7" t="s">
        <v>41</v>
      </c>
      <c r="E707" t="str">
        <f>_xlfn.XLOOKUP(Vendas[[#This Row],[ID Item Vendido]],Agregado[ID],Agregado[Produto])</f>
        <v>Palete de madeira reforçado</v>
      </c>
      <c r="F707" s="39">
        <v>44099</v>
      </c>
      <c r="G707" s="7">
        <v>4</v>
      </c>
      <c r="H707" s="3">
        <f>_xlfn.XLOOKUP(Vendas[[#This Row],[ID Item Vendido]],Agregado[ID],Agregado[Revenda])</f>
        <v>131</v>
      </c>
      <c r="I707" s="3">
        <f>Vendas[[#This Row],[Valor Unitário]]*Vendas[[#This Row],[Qnt Vendida]]</f>
        <v>524</v>
      </c>
      <c r="J707" s="3">
        <f>Vendas[[#This Row],[Valor da Venda]]-(_xlfn.XLOOKUP(Vendas[[#This Row],[ID Item Vendido]],Agregado[ID],Agregado[Custo])*Vendas[[#This Row],[Qnt Vendida]])</f>
        <v>84</v>
      </c>
      <c r="K707" s="70">
        <f>Vendas[[#This Row],[Lucro da Venda]]/Vendas[[#This Row],[Valor da Venda]]</f>
        <v>0.16030534351145037</v>
      </c>
      <c r="L707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707"/>
    </row>
    <row r="708" spans="1:13" x14ac:dyDescent="0.3">
      <c r="A708" s="7">
        <v>400245</v>
      </c>
      <c r="B708" t="str">
        <f>_xlfn.XLOOKUP(Vendas[[#This Row],[ID Vendedor]],Vendedores[ID],Vendedores[Nome])</f>
        <v>Thiago</v>
      </c>
      <c r="C708" s="7" t="str">
        <f>_xlfn.XLOOKUP(Vendas[[#This Row],[ID Vendedor]],Vendedores[ID],Vendedores[Setor])</f>
        <v>AHD</v>
      </c>
      <c r="D708" s="7" t="s">
        <v>9</v>
      </c>
      <c r="E708" t="str">
        <f>_xlfn.XLOOKUP(Vendas[[#This Row],[ID Item Vendido]],Agregado[ID],Agregado[Produto])</f>
        <v>Barra de aço simples</v>
      </c>
      <c r="F708" s="39">
        <v>44100</v>
      </c>
      <c r="G708" s="7">
        <v>45</v>
      </c>
      <c r="H708" s="3">
        <f>_xlfn.XLOOKUP(Vendas[[#This Row],[ID Item Vendido]],Agregado[ID],Agregado[Revenda])</f>
        <v>6.7</v>
      </c>
      <c r="I708" s="3">
        <f>Vendas[[#This Row],[Valor Unitário]]*Vendas[[#This Row],[Qnt Vendida]]</f>
        <v>301.5</v>
      </c>
      <c r="J708" s="3">
        <f>Vendas[[#This Row],[Valor da Venda]]-(_xlfn.XLOOKUP(Vendas[[#This Row],[ID Item Vendido]],Agregado[ID],Agregado[Custo])*Vendas[[#This Row],[Qnt Vendida]])</f>
        <v>40.5</v>
      </c>
      <c r="K708" s="70">
        <f>Vendas[[#This Row],[Lucro da Venda]]/Vendas[[#This Row],[Valor da Venda]]</f>
        <v>0.13432835820895522</v>
      </c>
      <c r="L708" s="3">
        <f>_xlfn.IFS(Vendas[[#This Row],[Margem de Lucro (%)]]&lt;15%,Vendas[[#This Row],[Valor da Venda]]*3%,Vendas[[#This Row],[Margem de Lucro (%)]]&lt;=20%,Vendas[[#This Row],[Valor da Venda]]*4.5%,TRUE,Vendas[[#This Row],[Valor da Venda]]*6%)</f>
        <v>9.0449999999999999</v>
      </c>
      <c r="M708"/>
    </row>
    <row r="709" spans="1:13" x14ac:dyDescent="0.3">
      <c r="A709" s="7">
        <v>400243</v>
      </c>
      <c r="B709" t="str">
        <f>_xlfn.XLOOKUP(Vendas[[#This Row],[ID Vendedor]],Vendedores[ID],Vendedores[Nome])</f>
        <v>Marcelo</v>
      </c>
      <c r="C709" s="7" t="str">
        <f>_xlfn.XLOOKUP(Vendas[[#This Row],[ID Vendedor]],Vendedores[ID],Vendedores[Setor])</f>
        <v>FM</v>
      </c>
      <c r="D709" s="7" t="s">
        <v>20</v>
      </c>
      <c r="E709" t="str">
        <f>_xlfn.XLOOKUP(Vendas[[#This Row],[ID Item Vendido]],Agregado[ID],Agregado[Produto])</f>
        <v>Barra de aço simples</v>
      </c>
      <c r="F709" s="39">
        <v>44100</v>
      </c>
      <c r="G709" s="7">
        <v>21</v>
      </c>
      <c r="H709" s="3">
        <f>_xlfn.XLOOKUP(Vendas[[#This Row],[ID Item Vendido]],Agregado[ID],Agregado[Revenda])</f>
        <v>4.8</v>
      </c>
      <c r="I709" s="3">
        <f>Vendas[[#This Row],[Valor Unitário]]*Vendas[[#This Row],[Qnt Vendida]]</f>
        <v>100.8</v>
      </c>
      <c r="J709" s="3">
        <f>Vendas[[#This Row],[Valor da Venda]]-(_xlfn.XLOOKUP(Vendas[[#This Row],[ID Item Vendido]],Agregado[ID],Agregado[Custo])*Vendas[[#This Row],[Qnt Vendida]])</f>
        <v>12.599999999999994</v>
      </c>
      <c r="K709" s="70">
        <f>Vendas[[#This Row],[Lucro da Venda]]/Vendas[[#This Row],[Valor da Venda]]</f>
        <v>0.12499999999999994</v>
      </c>
      <c r="L709" s="3">
        <f>_xlfn.IFS(Vendas[[#This Row],[Margem de Lucro (%)]]&lt;15%,Vendas[[#This Row],[Valor da Venda]]*3%,Vendas[[#This Row],[Margem de Lucro (%)]]&lt;=20%,Vendas[[#This Row],[Valor da Venda]]*4.5%,TRUE,Vendas[[#This Row],[Valor da Venda]]*6%)</f>
        <v>3.024</v>
      </c>
      <c r="M709"/>
    </row>
    <row r="710" spans="1:13" x14ac:dyDescent="0.3">
      <c r="A710" s="7">
        <v>400244</v>
      </c>
      <c r="B710" t="str">
        <f>_xlfn.XLOOKUP(Vendas[[#This Row],[ID Vendedor]],Vendedores[ID],Vendedores[Nome])</f>
        <v>Camila</v>
      </c>
      <c r="C710" s="7" t="str">
        <f>_xlfn.XLOOKUP(Vendas[[#This Row],[ID Vendedor]],Vendedores[ID],Vendedores[Setor])</f>
        <v>AHD</v>
      </c>
      <c r="D710" s="7" t="s">
        <v>28</v>
      </c>
      <c r="E710" t="str">
        <f>_xlfn.XLOOKUP(Vendas[[#This Row],[ID Item Vendido]],Agregado[ID],Agregado[Produto])</f>
        <v>Peça usinada CNC</v>
      </c>
      <c r="F710" s="39">
        <v>44101</v>
      </c>
      <c r="G710" s="7">
        <v>11</v>
      </c>
      <c r="H710" s="3">
        <f>_xlfn.XLOOKUP(Vendas[[#This Row],[ID Item Vendido]],Agregado[ID],Agregado[Revenda])</f>
        <v>192</v>
      </c>
      <c r="I710" s="3">
        <f>Vendas[[#This Row],[Valor Unitário]]*Vendas[[#This Row],[Qnt Vendida]]</f>
        <v>2112</v>
      </c>
      <c r="J710" s="3">
        <f>Vendas[[#This Row],[Valor da Venda]]-(_xlfn.XLOOKUP(Vendas[[#This Row],[ID Item Vendido]],Agregado[ID],Agregado[Custo])*Vendas[[#This Row],[Qnt Vendida]])</f>
        <v>462</v>
      </c>
      <c r="K710" s="70">
        <f>Vendas[[#This Row],[Lucro da Venda]]/Vendas[[#This Row],[Valor da Venda]]</f>
        <v>0.21875</v>
      </c>
      <c r="L710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710"/>
    </row>
    <row r="711" spans="1:13" x14ac:dyDescent="0.3">
      <c r="A711" s="7">
        <v>400245</v>
      </c>
      <c r="B711" t="str">
        <f>_xlfn.XLOOKUP(Vendas[[#This Row],[ID Vendedor]],Vendedores[ID],Vendedores[Nome])</f>
        <v>Thiago</v>
      </c>
      <c r="C711" s="7" t="str">
        <f>_xlfn.XLOOKUP(Vendas[[#This Row],[ID Vendedor]],Vendedores[ID],Vendedores[Setor])</f>
        <v>AHD</v>
      </c>
      <c r="D711" s="7" t="s">
        <v>28</v>
      </c>
      <c r="E711" t="str">
        <f>_xlfn.XLOOKUP(Vendas[[#This Row],[ID Item Vendido]],Agregado[ID],Agregado[Produto])</f>
        <v>Peça usinada CNC</v>
      </c>
      <c r="F711" s="39">
        <v>44103</v>
      </c>
      <c r="G711" s="7">
        <v>10</v>
      </c>
      <c r="H711" s="3">
        <f>_xlfn.XLOOKUP(Vendas[[#This Row],[ID Item Vendido]],Agregado[ID],Agregado[Revenda])</f>
        <v>192</v>
      </c>
      <c r="I711" s="3">
        <f>Vendas[[#This Row],[Valor Unitário]]*Vendas[[#This Row],[Qnt Vendida]]</f>
        <v>1920</v>
      </c>
      <c r="J711" s="3">
        <f>Vendas[[#This Row],[Valor da Venda]]-(_xlfn.XLOOKUP(Vendas[[#This Row],[ID Item Vendido]],Agregado[ID],Agregado[Custo])*Vendas[[#This Row],[Qnt Vendida]])</f>
        <v>420</v>
      </c>
      <c r="K711" s="70">
        <f>Vendas[[#This Row],[Lucro da Venda]]/Vendas[[#This Row],[Valor da Venda]]</f>
        <v>0.21875</v>
      </c>
      <c r="L711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711"/>
    </row>
    <row r="712" spans="1:13" x14ac:dyDescent="0.3">
      <c r="A712" s="7">
        <v>400244</v>
      </c>
      <c r="B712" t="str">
        <f>_xlfn.XLOOKUP(Vendas[[#This Row],[ID Vendedor]],Vendedores[ID],Vendedores[Nome])</f>
        <v>Camila</v>
      </c>
      <c r="C712" s="7" t="str">
        <f>_xlfn.XLOOKUP(Vendas[[#This Row],[ID Vendedor]],Vendedores[ID],Vendedores[Setor])</f>
        <v>AHD</v>
      </c>
      <c r="D712" s="7" t="s">
        <v>9</v>
      </c>
      <c r="E712" t="str">
        <f>_xlfn.XLOOKUP(Vendas[[#This Row],[ID Item Vendido]],Agregado[ID],Agregado[Produto])</f>
        <v>Barra de aço simples</v>
      </c>
      <c r="F712" s="39">
        <v>44103</v>
      </c>
      <c r="G712" s="7">
        <v>117</v>
      </c>
      <c r="H712" s="3">
        <f>_xlfn.XLOOKUP(Vendas[[#This Row],[ID Item Vendido]],Agregado[ID],Agregado[Revenda])</f>
        <v>6.7</v>
      </c>
      <c r="I712" s="3">
        <f>Vendas[[#This Row],[Valor Unitário]]*Vendas[[#This Row],[Qnt Vendida]]</f>
        <v>783.9</v>
      </c>
      <c r="J712" s="3">
        <f>Vendas[[#This Row],[Valor da Venda]]-(_xlfn.XLOOKUP(Vendas[[#This Row],[ID Item Vendido]],Agregado[ID],Agregado[Custo])*Vendas[[#This Row],[Qnt Vendida]])</f>
        <v>105.29999999999995</v>
      </c>
      <c r="K712" s="70">
        <f>Vendas[[#This Row],[Lucro da Venda]]/Vendas[[#This Row],[Valor da Venda]]</f>
        <v>0.13432835820895517</v>
      </c>
      <c r="L712" s="3">
        <f>_xlfn.IFS(Vendas[[#This Row],[Margem de Lucro (%)]]&lt;15%,Vendas[[#This Row],[Valor da Venda]]*3%,Vendas[[#This Row],[Margem de Lucro (%)]]&lt;=20%,Vendas[[#This Row],[Valor da Venda]]*4.5%,TRUE,Vendas[[#This Row],[Valor da Venda]]*6%)</f>
        <v>23.516999999999999</v>
      </c>
      <c r="M712"/>
    </row>
    <row r="713" spans="1:13" x14ac:dyDescent="0.3">
      <c r="A713" s="7">
        <v>400255</v>
      </c>
      <c r="B713" t="str">
        <f>_xlfn.XLOOKUP(Vendas[[#This Row],[ID Vendedor]],Vendedores[ID],Vendedores[Nome])</f>
        <v>Carlos</v>
      </c>
      <c r="C713" s="7" t="str">
        <f>_xlfn.XLOOKUP(Vendas[[#This Row],[ID Vendedor]],Vendedores[ID],Vendedores[Setor])</f>
        <v>SC</v>
      </c>
      <c r="D713" s="7" t="s">
        <v>41</v>
      </c>
      <c r="E713" t="str">
        <f>_xlfn.XLOOKUP(Vendas[[#This Row],[ID Item Vendido]],Agregado[ID],Agregado[Produto])</f>
        <v>Palete de madeira reforçado</v>
      </c>
      <c r="F713" s="39">
        <v>44103</v>
      </c>
      <c r="G713" s="7">
        <v>2</v>
      </c>
      <c r="H713" s="3">
        <f>_xlfn.XLOOKUP(Vendas[[#This Row],[ID Item Vendido]],Agregado[ID],Agregado[Revenda])</f>
        <v>131</v>
      </c>
      <c r="I713" s="3">
        <f>Vendas[[#This Row],[Valor Unitário]]*Vendas[[#This Row],[Qnt Vendida]]</f>
        <v>262</v>
      </c>
      <c r="J713" s="3">
        <f>Vendas[[#This Row],[Valor da Venda]]-(_xlfn.XLOOKUP(Vendas[[#This Row],[ID Item Vendido]],Agregado[ID],Agregado[Custo])*Vendas[[#This Row],[Qnt Vendida]])</f>
        <v>42</v>
      </c>
      <c r="K713" s="70">
        <f>Vendas[[#This Row],[Lucro da Venda]]/Vendas[[#This Row],[Valor da Venda]]</f>
        <v>0.16030534351145037</v>
      </c>
      <c r="L713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713"/>
    </row>
    <row r="714" spans="1:13" x14ac:dyDescent="0.3">
      <c r="A714" s="7">
        <v>400247</v>
      </c>
      <c r="B714" t="str">
        <f>_xlfn.XLOOKUP(Vendas[[#This Row],[ID Vendedor]],Vendedores[ID],Vendedores[Nome])</f>
        <v>André</v>
      </c>
      <c r="C714" s="7" t="str">
        <f>_xlfn.XLOOKUP(Vendas[[#This Row],[ID Vendedor]],Vendedores[ID],Vendedores[Setor])</f>
        <v>CM</v>
      </c>
      <c r="D714" s="7" t="s">
        <v>34</v>
      </c>
      <c r="E714" t="str">
        <f>_xlfn.XLOOKUP(Vendas[[#This Row],[ID Item Vendido]],Agregado[ID],Agregado[Produto])</f>
        <v>Restos de madeira p/ MDP/OSB saco de 20kg</v>
      </c>
      <c r="F714" s="39">
        <v>44103</v>
      </c>
      <c r="G714" s="7">
        <v>4</v>
      </c>
      <c r="H714" s="3">
        <f>_xlfn.XLOOKUP(Vendas[[#This Row],[ID Item Vendido]],Agregado[ID],Agregado[Revenda])</f>
        <v>13.8</v>
      </c>
      <c r="I714" s="3">
        <f>Vendas[[#This Row],[Valor Unitário]]*Vendas[[#This Row],[Qnt Vendida]]</f>
        <v>55.2</v>
      </c>
      <c r="J714" s="3">
        <f>Vendas[[#This Row],[Valor da Venda]]-(_xlfn.XLOOKUP(Vendas[[#This Row],[ID Item Vendido]],Agregado[ID],Agregado[Custo])*Vendas[[#This Row],[Qnt Vendida]])</f>
        <v>7.2000000000000028</v>
      </c>
      <c r="K714" s="70">
        <f>Vendas[[#This Row],[Lucro da Venda]]/Vendas[[#This Row],[Valor da Venda]]</f>
        <v>0.1304347826086957</v>
      </c>
      <c r="L714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714"/>
    </row>
    <row r="715" spans="1:13" x14ac:dyDescent="0.3">
      <c r="A715" s="7">
        <v>400253</v>
      </c>
      <c r="B715" t="str">
        <f>_xlfn.XLOOKUP(Vendas[[#This Row],[ID Vendedor]],Vendedores[ID],Vendedores[Nome])</f>
        <v>Gustavo</v>
      </c>
      <c r="C715" s="7" t="str">
        <f>_xlfn.XLOOKUP(Vendas[[#This Row],[ID Vendedor]],Vendedores[ID],Vendedores[Setor])</f>
        <v>SC</v>
      </c>
      <c r="D715" s="7" t="s">
        <v>42</v>
      </c>
      <c r="E715" t="str">
        <f>_xlfn.XLOOKUP(Vendas[[#This Row],[ID Item Vendido]],Agregado[ID],Agregado[Produto])</f>
        <v>Container de ferro industrial</v>
      </c>
      <c r="F715" s="39">
        <v>44104</v>
      </c>
      <c r="G715" s="7">
        <v>4</v>
      </c>
      <c r="H715" s="3">
        <f>_xlfn.XLOOKUP(Vendas[[#This Row],[ID Item Vendido]],Agregado[ID],Agregado[Revenda])</f>
        <v>830</v>
      </c>
      <c r="I715" s="3">
        <f>Vendas[[#This Row],[Valor Unitário]]*Vendas[[#This Row],[Qnt Vendida]]</f>
        <v>3320</v>
      </c>
      <c r="J715" s="3">
        <f>Vendas[[#This Row],[Valor da Venda]]-(_xlfn.XLOOKUP(Vendas[[#This Row],[ID Item Vendido]],Agregado[ID],Agregado[Custo])*Vendas[[#This Row],[Qnt Vendida]])</f>
        <v>600</v>
      </c>
      <c r="K715" s="70">
        <f>Vendas[[#This Row],[Lucro da Venda]]/Vendas[[#This Row],[Valor da Venda]]</f>
        <v>0.18072289156626506</v>
      </c>
      <c r="L715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715"/>
    </row>
    <row r="716" spans="1:13" x14ac:dyDescent="0.3">
      <c r="A716" s="7">
        <v>400241</v>
      </c>
      <c r="B716" t="str">
        <f>_xlfn.XLOOKUP(Vendas[[#This Row],[ID Vendedor]],Vendedores[ID],Vendedores[Nome])</f>
        <v>Rodrigo</v>
      </c>
      <c r="C716" s="7" t="str">
        <f>_xlfn.XLOOKUP(Vendas[[#This Row],[ID Vendedor]],Vendedores[ID],Vendedores[Setor])</f>
        <v>FM</v>
      </c>
      <c r="D716" s="7" t="s">
        <v>47</v>
      </c>
      <c r="E716" t="str">
        <f>_xlfn.XLOOKUP(Vendas[[#This Row],[ID Item Vendido]],Agregado[ID],Agregado[Produto])</f>
        <v>Fio de arame galvanizado rolo 50m</v>
      </c>
      <c r="F716" s="39">
        <v>44105</v>
      </c>
      <c r="G716" s="7">
        <v>40</v>
      </c>
      <c r="H716" s="3">
        <f>_xlfn.XLOOKUP(Vendas[[#This Row],[ID Item Vendido]],Agregado[ID],Agregado[Revenda])</f>
        <v>21.2</v>
      </c>
      <c r="I716" s="3">
        <f>Vendas[[#This Row],[Valor Unitário]]*Vendas[[#This Row],[Qnt Vendida]]</f>
        <v>848</v>
      </c>
      <c r="J716" s="3">
        <f>Vendas[[#This Row],[Valor da Venda]]-(_xlfn.XLOOKUP(Vendas[[#This Row],[ID Item Vendido]],Agregado[ID],Agregado[Custo])*Vendas[[#This Row],[Qnt Vendida]])</f>
        <v>128</v>
      </c>
      <c r="K716" s="70">
        <f>Vendas[[#This Row],[Lucro da Venda]]/Vendas[[#This Row],[Valor da Venda]]</f>
        <v>0.15094339622641509</v>
      </c>
      <c r="L716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716"/>
    </row>
    <row r="717" spans="1:13" x14ac:dyDescent="0.3">
      <c r="A717" s="7">
        <v>400251</v>
      </c>
      <c r="B717" t="str">
        <f>_xlfn.XLOOKUP(Vendas[[#This Row],[ID Vendedor]],Vendedores[ID],Vendedores[Nome])</f>
        <v>Diego</v>
      </c>
      <c r="C717" s="7" t="str">
        <f>_xlfn.XLOOKUP(Vendas[[#This Row],[ID Vendedor]],Vendedores[ID],Vendedores[Setor])</f>
        <v>AB</v>
      </c>
      <c r="D717" s="7" t="s">
        <v>39</v>
      </c>
      <c r="E717" t="str">
        <f>_xlfn.XLOOKUP(Vendas[[#This Row],[ID Item Vendido]],Agregado[ID],Agregado[Produto])</f>
        <v>Filme plástico industrial rolo 50m</v>
      </c>
      <c r="F717" s="39">
        <v>44105</v>
      </c>
      <c r="G717" s="7">
        <v>7</v>
      </c>
      <c r="H717" s="3">
        <f>_xlfn.XLOOKUP(Vendas[[#This Row],[ID Item Vendido]],Agregado[ID],Agregado[Revenda])</f>
        <v>37</v>
      </c>
      <c r="I717" s="3">
        <f>Vendas[[#This Row],[Valor Unitário]]*Vendas[[#This Row],[Qnt Vendida]]</f>
        <v>259</v>
      </c>
      <c r="J717" s="3">
        <f>Vendas[[#This Row],[Valor da Venda]]-(_xlfn.XLOOKUP(Vendas[[#This Row],[ID Item Vendido]],Agregado[ID],Agregado[Custo])*Vendas[[#This Row],[Qnt Vendida]])</f>
        <v>63</v>
      </c>
      <c r="K717" s="70">
        <f>Vendas[[#This Row],[Lucro da Venda]]/Vendas[[#This Row],[Valor da Venda]]</f>
        <v>0.24324324324324326</v>
      </c>
      <c r="L717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717"/>
    </row>
    <row r="718" spans="1:13" x14ac:dyDescent="0.3">
      <c r="A718" s="7">
        <v>400249</v>
      </c>
      <c r="B718" t="str">
        <f>_xlfn.XLOOKUP(Vendas[[#This Row],[ID Vendedor]],Vendedores[ID],Vendedores[Nome])</f>
        <v>Bruno</v>
      </c>
      <c r="C718" s="7" t="str">
        <f>_xlfn.XLOOKUP(Vendas[[#This Row],[ID Vendedor]],Vendedores[ID],Vendedores[Setor])</f>
        <v>CM</v>
      </c>
      <c r="D718" s="7" t="s">
        <v>22</v>
      </c>
      <c r="E718" t="str">
        <f>_xlfn.XLOOKUP(Vendas[[#This Row],[ID Item Vendido]],Agregado[ID],Agregado[Produto])</f>
        <v>Painel MDP 2,75x1,83m</v>
      </c>
      <c r="F718" s="39">
        <v>44106</v>
      </c>
      <c r="G718" s="7">
        <v>19</v>
      </c>
      <c r="H718" s="3">
        <f>_xlfn.XLOOKUP(Vendas[[#This Row],[ID Item Vendido]],Agregado[ID],Agregado[Revenda])</f>
        <v>119</v>
      </c>
      <c r="I718" s="3">
        <f>Vendas[[#This Row],[Valor Unitário]]*Vendas[[#This Row],[Qnt Vendida]]</f>
        <v>2261</v>
      </c>
      <c r="J718" s="3">
        <f>Vendas[[#This Row],[Valor da Venda]]-(_xlfn.XLOOKUP(Vendas[[#This Row],[ID Item Vendido]],Agregado[ID],Agregado[Custo])*Vendas[[#This Row],[Qnt Vendida]])</f>
        <v>456</v>
      </c>
      <c r="K718" s="70">
        <f>Vendas[[#This Row],[Lucro da Venda]]/Vendas[[#This Row],[Valor da Venda]]</f>
        <v>0.20168067226890757</v>
      </c>
      <c r="L718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718"/>
    </row>
    <row r="719" spans="1:13" x14ac:dyDescent="0.3">
      <c r="A719" s="7">
        <v>400249</v>
      </c>
      <c r="B719" t="str">
        <f>_xlfn.XLOOKUP(Vendas[[#This Row],[ID Vendedor]],Vendedores[ID],Vendedores[Nome])</f>
        <v>Bruno</v>
      </c>
      <c r="C719" s="7" t="str">
        <f>_xlfn.XLOOKUP(Vendas[[#This Row],[ID Vendedor]],Vendedores[ID],Vendedores[Setor])</f>
        <v>CM</v>
      </c>
      <c r="D719" s="7" t="s">
        <v>22</v>
      </c>
      <c r="E719" t="str">
        <f>_xlfn.XLOOKUP(Vendas[[#This Row],[ID Item Vendido]],Agregado[ID],Agregado[Produto])</f>
        <v>Painel MDP 2,75x1,83m</v>
      </c>
      <c r="F719" s="39">
        <v>44106</v>
      </c>
      <c r="G719" s="7">
        <v>16</v>
      </c>
      <c r="H719" s="3">
        <f>_xlfn.XLOOKUP(Vendas[[#This Row],[ID Item Vendido]],Agregado[ID],Agregado[Revenda])</f>
        <v>119</v>
      </c>
      <c r="I719" s="3">
        <f>Vendas[[#This Row],[Valor Unitário]]*Vendas[[#This Row],[Qnt Vendida]]</f>
        <v>1904</v>
      </c>
      <c r="J719" s="3">
        <f>Vendas[[#This Row],[Valor da Venda]]-(_xlfn.XLOOKUP(Vendas[[#This Row],[ID Item Vendido]],Agregado[ID],Agregado[Custo])*Vendas[[#This Row],[Qnt Vendida]])</f>
        <v>384</v>
      </c>
      <c r="K719" s="70">
        <f>Vendas[[#This Row],[Lucro da Venda]]/Vendas[[#This Row],[Valor da Venda]]</f>
        <v>0.20168067226890757</v>
      </c>
      <c r="L719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719"/>
    </row>
    <row r="720" spans="1:13" x14ac:dyDescent="0.3">
      <c r="A720" s="7">
        <v>400251</v>
      </c>
      <c r="B720" t="str">
        <f>_xlfn.XLOOKUP(Vendas[[#This Row],[ID Vendedor]],Vendedores[ID],Vendedores[Nome])</f>
        <v>Diego</v>
      </c>
      <c r="C720" s="7" t="str">
        <f>_xlfn.XLOOKUP(Vendas[[#This Row],[ID Vendedor]],Vendedores[ID],Vendedores[Setor])</f>
        <v>AB</v>
      </c>
      <c r="D720" s="7" t="s">
        <v>12</v>
      </c>
      <c r="E720" t="str">
        <f>_xlfn.XLOOKUP(Vendas[[#This Row],[ID Item Vendido]],Agregado[ID],Agregado[Produto])</f>
        <v>Grânulo de plástico reciclado refinado</v>
      </c>
      <c r="F720" s="39">
        <v>44106</v>
      </c>
      <c r="G720" s="7">
        <v>114</v>
      </c>
      <c r="H720" s="3">
        <f>_xlfn.XLOOKUP(Vendas[[#This Row],[ID Item Vendido]],Agregado[ID],Agregado[Revenda])</f>
        <v>4.7</v>
      </c>
      <c r="I720" s="3">
        <f>Vendas[[#This Row],[Valor Unitário]]*Vendas[[#This Row],[Qnt Vendida]]</f>
        <v>535.80000000000007</v>
      </c>
      <c r="J720" s="3">
        <f>Vendas[[#This Row],[Valor da Venda]]-(_xlfn.XLOOKUP(Vendas[[#This Row],[ID Item Vendido]],Agregado[ID],Agregado[Custo])*Vendas[[#This Row],[Qnt Vendida]])</f>
        <v>136.80000000000007</v>
      </c>
      <c r="K720" s="70">
        <f>Vendas[[#This Row],[Lucro da Venda]]/Vendas[[#This Row],[Valor da Venda]]</f>
        <v>0.2553191489361703</v>
      </c>
      <c r="L720" s="3">
        <f>_xlfn.IFS(Vendas[[#This Row],[Margem de Lucro (%)]]&lt;15%,Vendas[[#This Row],[Valor da Venda]]*3%,Vendas[[#This Row],[Margem de Lucro (%)]]&lt;=20%,Vendas[[#This Row],[Valor da Venda]]*4.5%,TRUE,Vendas[[#This Row],[Valor da Venda]]*6%)</f>
        <v>32.148000000000003</v>
      </c>
      <c r="M720"/>
    </row>
    <row r="721" spans="1:13" x14ac:dyDescent="0.3">
      <c r="A721" s="7">
        <v>400249</v>
      </c>
      <c r="B721" t="str">
        <f>_xlfn.XLOOKUP(Vendas[[#This Row],[ID Vendedor]],Vendedores[ID],Vendedores[Nome])</f>
        <v>Bruno</v>
      </c>
      <c r="C721" s="7" t="str">
        <f>_xlfn.XLOOKUP(Vendas[[#This Row],[ID Vendedor]],Vendedores[ID],Vendedores[Setor])</f>
        <v>CM</v>
      </c>
      <c r="D721" s="7" t="s">
        <v>34</v>
      </c>
      <c r="E721" t="str">
        <f>_xlfn.XLOOKUP(Vendas[[#This Row],[ID Item Vendido]],Agregado[ID],Agregado[Produto])</f>
        <v>Restos de madeira p/ MDP/OSB saco de 20kg</v>
      </c>
      <c r="F721" s="39">
        <v>44108</v>
      </c>
      <c r="G721" s="7">
        <v>29</v>
      </c>
      <c r="H721" s="3">
        <f>_xlfn.XLOOKUP(Vendas[[#This Row],[ID Item Vendido]],Agregado[ID],Agregado[Revenda])</f>
        <v>13.8</v>
      </c>
      <c r="I721" s="3">
        <f>Vendas[[#This Row],[Valor Unitário]]*Vendas[[#This Row],[Qnt Vendida]]</f>
        <v>400.20000000000005</v>
      </c>
      <c r="J721" s="3">
        <f>Vendas[[#This Row],[Valor da Venda]]-(_xlfn.XLOOKUP(Vendas[[#This Row],[ID Item Vendido]],Agregado[ID],Agregado[Custo])*Vendas[[#This Row],[Qnt Vendida]])</f>
        <v>52.200000000000045</v>
      </c>
      <c r="K721" s="70">
        <f>Vendas[[#This Row],[Lucro da Venda]]/Vendas[[#This Row],[Valor da Venda]]</f>
        <v>0.13043478260869576</v>
      </c>
      <c r="L721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721"/>
    </row>
    <row r="722" spans="1:13" x14ac:dyDescent="0.3">
      <c r="A722" s="7">
        <v>400251</v>
      </c>
      <c r="B722" t="str">
        <f>_xlfn.XLOOKUP(Vendas[[#This Row],[ID Vendedor]],Vendedores[ID],Vendedores[Nome])</f>
        <v>Diego</v>
      </c>
      <c r="C722" s="7" t="str">
        <f>_xlfn.XLOOKUP(Vendas[[#This Row],[ID Vendedor]],Vendedores[ID],Vendedores[Setor])</f>
        <v>AB</v>
      </c>
      <c r="D722" s="7" t="s">
        <v>39</v>
      </c>
      <c r="E722" t="str">
        <f>_xlfn.XLOOKUP(Vendas[[#This Row],[ID Item Vendido]],Agregado[ID],Agregado[Produto])</f>
        <v>Filme plástico industrial rolo 50m</v>
      </c>
      <c r="F722" s="39">
        <v>44108</v>
      </c>
      <c r="G722" s="7">
        <v>6</v>
      </c>
      <c r="H722" s="3">
        <f>_xlfn.XLOOKUP(Vendas[[#This Row],[ID Item Vendido]],Agregado[ID],Agregado[Revenda])</f>
        <v>37</v>
      </c>
      <c r="I722" s="3">
        <f>Vendas[[#This Row],[Valor Unitário]]*Vendas[[#This Row],[Qnt Vendida]]</f>
        <v>222</v>
      </c>
      <c r="J722" s="3">
        <f>Vendas[[#This Row],[Valor da Venda]]-(_xlfn.XLOOKUP(Vendas[[#This Row],[ID Item Vendido]],Agregado[ID],Agregado[Custo])*Vendas[[#This Row],[Qnt Vendida]])</f>
        <v>54</v>
      </c>
      <c r="K722" s="70">
        <f>Vendas[[#This Row],[Lucro da Venda]]/Vendas[[#This Row],[Valor da Venda]]</f>
        <v>0.24324324324324326</v>
      </c>
      <c r="L722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722"/>
    </row>
    <row r="723" spans="1:13" x14ac:dyDescent="0.3">
      <c r="A723" s="7">
        <v>400249</v>
      </c>
      <c r="B723" t="str">
        <f>_xlfn.XLOOKUP(Vendas[[#This Row],[ID Vendedor]],Vendedores[ID],Vendedores[Nome])</f>
        <v>Bruno</v>
      </c>
      <c r="C723" s="7" t="str">
        <f>_xlfn.XLOOKUP(Vendas[[#This Row],[ID Vendedor]],Vendedores[ID],Vendedores[Setor])</f>
        <v>CM</v>
      </c>
      <c r="D723" s="7" t="s">
        <v>22</v>
      </c>
      <c r="E723" t="str">
        <f>_xlfn.XLOOKUP(Vendas[[#This Row],[ID Item Vendido]],Agregado[ID],Agregado[Produto])</f>
        <v>Painel MDP 2,75x1,83m</v>
      </c>
      <c r="F723" s="39">
        <v>44109</v>
      </c>
      <c r="G723" s="7">
        <v>24</v>
      </c>
      <c r="H723" s="3">
        <f>_xlfn.XLOOKUP(Vendas[[#This Row],[ID Item Vendido]],Agregado[ID],Agregado[Revenda])</f>
        <v>119</v>
      </c>
      <c r="I723" s="3">
        <f>Vendas[[#This Row],[Valor Unitário]]*Vendas[[#This Row],[Qnt Vendida]]</f>
        <v>2856</v>
      </c>
      <c r="J723" s="3">
        <f>Vendas[[#This Row],[Valor da Venda]]-(_xlfn.XLOOKUP(Vendas[[#This Row],[ID Item Vendido]],Agregado[ID],Agregado[Custo])*Vendas[[#This Row],[Qnt Vendida]])</f>
        <v>576</v>
      </c>
      <c r="K723" s="70">
        <f>Vendas[[#This Row],[Lucro da Venda]]/Vendas[[#This Row],[Valor da Venda]]</f>
        <v>0.20168067226890757</v>
      </c>
      <c r="L723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723"/>
    </row>
    <row r="724" spans="1:13" x14ac:dyDescent="0.3">
      <c r="A724" s="7">
        <v>400241</v>
      </c>
      <c r="B724" t="str">
        <f>_xlfn.XLOOKUP(Vendas[[#This Row],[ID Vendedor]],Vendedores[ID],Vendedores[Nome])</f>
        <v>Rodrigo</v>
      </c>
      <c r="C724" s="7" t="str">
        <f>_xlfn.XLOOKUP(Vendas[[#This Row],[ID Vendedor]],Vendedores[ID],Vendedores[Setor])</f>
        <v>FM</v>
      </c>
      <c r="D724" s="7" t="s">
        <v>20</v>
      </c>
      <c r="E724" t="str">
        <f>_xlfn.XLOOKUP(Vendas[[#This Row],[ID Item Vendido]],Agregado[ID],Agregado[Produto])</f>
        <v>Barra de aço simples</v>
      </c>
      <c r="F724" s="39">
        <v>44109</v>
      </c>
      <c r="G724" s="7">
        <v>32</v>
      </c>
      <c r="H724" s="3">
        <f>_xlfn.XLOOKUP(Vendas[[#This Row],[ID Item Vendido]],Agregado[ID],Agregado[Revenda])</f>
        <v>4.8</v>
      </c>
      <c r="I724" s="3">
        <f>Vendas[[#This Row],[Valor Unitário]]*Vendas[[#This Row],[Qnt Vendida]]</f>
        <v>153.6</v>
      </c>
      <c r="J724" s="3">
        <f>Vendas[[#This Row],[Valor da Venda]]-(_xlfn.XLOOKUP(Vendas[[#This Row],[ID Item Vendido]],Agregado[ID],Agregado[Custo])*Vendas[[#This Row],[Qnt Vendida]])</f>
        <v>19.199999999999989</v>
      </c>
      <c r="K724" s="70">
        <f>Vendas[[#This Row],[Lucro da Venda]]/Vendas[[#This Row],[Valor da Venda]]</f>
        <v>0.12499999999999993</v>
      </c>
      <c r="L724" s="3">
        <f>_xlfn.IFS(Vendas[[#This Row],[Margem de Lucro (%)]]&lt;15%,Vendas[[#This Row],[Valor da Venda]]*3%,Vendas[[#This Row],[Margem de Lucro (%)]]&lt;=20%,Vendas[[#This Row],[Valor da Venda]]*4.5%,TRUE,Vendas[[#This Row],[Valor da Venda]]*6%)</f>
        <v>4.6079999999999997</v>
      </c>
      <c r="M724"/>
    </row>
    <row r="725" spans="1:13" x14ac:dyDescent="0.3">
      <c r="A725" s="7">
        <v>400253</v>
      </c>
      <c r="B725" t="str">
        <f>_xlfn.XLOOKUP(Vendas[[#This Row],[ID Vendedor]],Vendedores[ID],Vendedores[Nome])</f>
        <v>Gustavo</v>
      </c>
      <c r="C725" s="7" t="str">
        <f>_xlfn.XLOOKUP(Vendas[[#This Row],[ID Vendedor]],Vendedores[ID],Vendedores[Setor])</f>
        <v>SC</v>
      </c>
      <c r="D725" s="7" t="s">
        <v>42</v>
      </c>
      <c r="E725" t="str">
        <f>_xlfn.XLOOKUP(Vendas[[#This Row],[ID Item Vendido]],Agregado[ID],Agregado[Produto])</f>
        <v>Container de ferro industrial</v>
      </c>
      <c r="F725" s="39">
        <v>44110</v>
      </c>
      <c r="G725" s="7">
        <v>5</v>
      </c>
      <c r="H725" s="3">
        <f>_xlfn.XLOOKUP(Vendas[[#This Row],[ID Item Vendido]],Agregado[ID],Agregado[Revenda])</f>
        <v>830</v>
      </c>
      <c r="I725" s="3">
        <f>Vendas[[#This Row],[Valor Unitário]]*Vendas[[#This Row],[Qnt Vendida]]</f>
        <v>4150</v>
      </c>
      <c r="J725" s="3">
        <f>Vendas[[#This Row],[Valor da Venda]]-(_xlfn.XLOOKUP(Vendas[[#This Row],[ID Item Vendido]],Agregado[ID],Agregado[Custo])*Vendas[[#This Row],[Qnt Vendida]])</f>
        <v>750</v>
      </c>
      <c r="K725" s="70">
        <f>Vendas[[#This Row],[Lucro da Venda]]/Vendas[[#This Row],[Valor da Venda]]</f>
        <v>0.18072289156626506</v>
      </c>
      <c r="L72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725"/>
    </row>
    <row r="726" spans="1:13" x14ac:dyDescent="0.3">
      <c r="A726" s="7">
        <v>400251</v>
      </c>
      <c r="B726" t="str">
        <f>_xlfn.XLOOKUP(Vendas[[#This Row],[ID Vendedor]],Vendedores[ID],Vendedores[Nome])</f>
        <v>Diego</v>
      </c>
      <c r="C726" s="7" t="str">
        <f>_xlfn.XLOOKUP(Vendas[[#This Row],[ID Vendedor]],Vendedores[ID],Vendedores[Setor])</f>
        <v>AB</v>
      </c>
      <c r="D726" s="7" t="s">
        <v>24</v>
      </c>
      <c r="E726" t="str">
        <f>_xlfn.XLOOKUP(Vendas[[#This Row],[ID Item Vendido]],Agregado[ID],Agregado[Produto])</f>
        <v>Resina plástica PET purificada saco de 25kg</v>
      </c>
      <c r="F726" s="39">
        <v>44111</v>
      </c>
      <c r="G726" s="7">
        <v>7</v>
      </c>
      <c r="H726" s="3">
        <f>_xlfn.XLOOKUP(Vendas[[#This Row],[ID Item Vendido]],Agregado[ID],Agregado[Revenda])</f>
        <v>119</v>
      </c>
      <c r="I726" s="3">
        <f>Vendas[[#This Row],[Valor Unitário]]*Vendas[[#This Row],[Qnt Vendida]]</f>
        <v>833</v>
      </c>
      <c r="J726" s="3">
        <f>Vendas[[#This Row],[Valor da Venda]]-(_xlfn.XLOOKUP(Vendas[[#This Row],[ID Item Vendido]],Agregado[ID],Agregado[Custo])*Vendas[[#This Row],[Qnt Vendida]])</f>
        <v>238</v>
      </c>
      <c r="K726" s="70">
        <f>Vendas[[#This Row],[Lucro da Venda]]/Vendas[[#This Row],[Valor da Venda]]</f>
        <v>0.2857142857142857</v>
      </c>
      <c r="L726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726"/>
    </row>
    <row r="727" spans="1:13" x14ac:dyDescent="0.3">
      <c r="A727" s="7">
        <v>400251</v>
      </c>
      <c r="B727" t="str">
        <f>_xlfn.XLOOKUP(Vendas[[#This Row],[ID Vendedor]],Vendedores[ID],Vendedores[Nome])</f>
        <v>Diego</v>
      </c>
      <c r="C727" s="7" t="str">
        <f>_xlfn.XLOOKUP(Vendas[[#This Row],[ID Vendedor]],Vendedores[ID],Vendedores[Setor])</f>
        <v>AB</v>
      </c>
      <c r="D727" s="7" t="s">
        <v>12</v>
      </c>
      <c r="E727" t="str">
        <f>_xlfn.XLOOKUP(Vendas[[#This Row],[ID Item Vendido]],Agregado[ID],Agregado[Produto])</f>
        <v>Grânulo de plástico reciclado refinado</v>
      </c>
      <c r="F727" s="39">
        <v>44111</v>
      </c>
      <c r="G727" s="7">
        <v>149</v>
      </c>
      <c r="H727" s="3">
        <f>_xlfn.XLOOKUP(Vendas[[#This Row],[ID Item Vendido]],Agregado[ID],Agregado[Revenda])</f>
        <v>4.7</v>
      </c>
      <c r="I727" s="3">
        <f>Vendas[[#This Row],[Valor Unitário]]*Vendas[[#This Row],[Qnt Vendida]]</f>
        <v>700.30000000000007</v>
      </c>
      <c r="J727" s="3">
        <f>Vendas[[#This Row],[Valor da Venda]]-(_xlfn.XLOOKUP(Vendas[[#This Row],[ID Item Vendido]],Agregado[ID],Agregado[Custo])*Vendas[[#This Row],[Qnt Vendida]])</f>
        <v>178.80000000000007</v>
      </c>
      <c r="K727" s="70">
        <f>Vendas[[#This Row],[Lucro da Venda]]/Vendas[[#This Row],[Valor da Venda]]</f>
        <v>0.2553191489361703</v>
      </c>
      <c r="L727" s="3">
        <f>_xlfn.IFS(Vendas[[#This Row],[Margem de Lucro (%)]]&lt;15%,Vendas[[#This Row],[Valor da Venda]]*3%,Vendas[[#This Row],[Margem de Lucro (%)]]&lt;=20%,Vendas[[#This Row],[Valor da Venda]]*4.5%,TRUE,Vendas[[#This Row],[Valor da Venda]]*6%)</f>
        <v>42.018000000000001</v>
      </c>
      <c r="M727"/>
    </row>
    <row r="728" spans="1:13" x14ac:dyDescent="0.3">
      <c r="A728" s="7">
        <v>400249</v>
      </c>
      <c r="B728" t="str">
        <f>_xlfn.XLOOKUP(Vendas[[#This Row],[ID Vendedor]],Vendedores[ID],Vendedores[Nome])</f>
        <v>Bruno</v>
      </c>
      <c r="C728" s="7" t="str">
        <f>_xlfn.XLOOKUP(Vendas[[#This Row],[ID Vendedor]],Vendedores[ID],Vendedores[Setor])</f>
        <v>CM</v>
      </c>
      <c r="D728" s="7" t="s">
        <v>34</v>
      </c>
      <c r="E728" t="str">
        <f>_xlfn.XLOOKUP(Vendas[[#This Row],[ID Item Vendido]],Agregado[ID],Agregado[Produto])</f>
        <v>Restos de madeira p/ MDP/OSB saco de 20kg</v>
      </c>
      <c r="F728" s="39">
        <v>44111</v>
      </c>
      <c r="G728" s="7">
        <v>14</v>
      </c>
      <c r="H728" s="3">
        <f>_xlfn.XLOOKUP(Vendas[[#This Row],[ID Item Vendido]],Agregado[ID],Agregado[Revenda])</f>
        <v>13.8</v>
      </c>
      <c r="I728" s="3">
        <f>Vendas[[#This Row],[Valor Unitário]]*Vendas[[#This Row],[Qnt Vendida]]</f>
        <v>193.20000000000002</v>
      </c>
      <c r="J728" s="3">
        <f>Vendas[[#This Row],[Valor da Venda]]-(_xlfn.XLOOKUP(Vendas[[#This Row],[ID Item Vendido]],Agregado[ID],Agregado[Custo])*Vendas[[#This Row],[Qnt Vendida]])</f>
        <v>25.200000000000017</v>
      </c>
      <c r="K728" s="70">
        <f>Vendas[[#This Row],[Lucro da Venda]]/Vendas[[#This Row],[Valor da Venda]]</f>
        <v>0.13043478260869573</v>
      </c>
      <c r="L728" s="3">
        <f>_xlfn.IFS(Vendas[[#This Row],[Margem de Lucro (%)]]&lt;15%,Vendas[[#This Row],[Valor da Venda]]*3%,Vendas[[#This Row],[Margem de Lucro (%)]]&lt;=20%,Vendas[[#This Row],[Valor da Venda]]*4.5%,TRUE,Vendas[[#This Row],[Valor da Venda]]*6%)</f>
        <v>5.7960000000000003</v>
      </c>
      <c r="M728"/>
    </row>
    <row r="729" spans="1:13" x14ac:dyDescent="0.3">
      <c r="A729" s="7">
        <v>400245</v>
      </c>
      <c r="B729" t="str">
        <f>_xlfn.XLOOKUP(Vendas[[#This Row],[ID Vendedor]],Vendedores[ID],Vendedores[Nome])</f>
        <v>Thiago</v>
      </c>
      <c r="C729" s="7" t="str">
        <f>_xlfn.XLOOKUP(Vendas[[#This Row],[ID Vendedor]],Vendedores[ID],Vendedores[Setor])</f>
        <v>AHD</v>
      </c>
      <c r="D729" s="7" t="s">
        <v>30</v>
      </c>
      <c r="E729" t="str">
        <f>_xlfn.XLOOKUP(Vendas[[#This Row],[ID Item Vendido]],Agregado[ID],Agregado[Produto])</f>
        <v>Estrutura metálica soldada</v>
      </c>
      <c r="F729" s="39">
        <v>44112</v>
      </c>
      <c r="G729" s="7">
        <v>8</v>
      </c>
      <c r="H729" s="3">
        <f>_xlfn.XLOOKUP(Vendas[[#This Row],[ID Item Vendido]],Agregado[ID],Agregado[Revenda])</f>
        <v>400</v>
      </c>
      <c r="I729" s="3">
        <f>Vendas[[#This Row],[Valor Unitário]]*Vendas[[#This Row],[Qnt Vendida]]</f>
        <v>3200</v>
      </c>
      <c r="J729" s="3">
        <f>Vendas[[#This Row],[Valor da Venda]]-(_xlfn.XLOOKUP(Vendas[[#This Row],[ID Item Vendido]],Agregado[ID],Agregado[Custo])*Vendas[[#This Row],[Qnt Vendida]])</f>
        <v>640</v>
      </c>
      <c r="K729" s="70">
        <f>Vendas[[#This Row],[Lucro da Venda]]/Vendas[[#This Row],[Valor da Venda]]</f>
        <v>0.2</v>
      </c>
      <c r="L729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729"/>
    </row>
    <row r="730" spans="1:13" x14ac:dyDescent="0.3">
      <c r="A730" s="7">
        <v>400251</v>
      </c>
      <c r="B730" t="str">
        <f>_xlfn.XLOOKUP(Vendas[[#This Row],[ID Vendedor]],Vendedores[ID],Vendedores[Nome])</f>
        <v>Diego</v>
      </c>
      <c r="C730" s="7" t="str">
        <f>_xlfn.XLOOKUP(Vendas[[#This Row],[ID Vendedor]],Vendedores[ID],Vendedores[Setor])</f>
        <v>AB</v>
      </c>
      <c r="D730" s="7" t="s">
        <v>24</v>
      </c>
      <c r="E730" t="str">
        <f>_xlfn.XLOOKUP(Vendas[[#This Row],[ID Item Vendido]],Agregado[ID],Agregado[Produto])</f>
        <v>Resina plástica PET purificada saco de 25kg</v>
      </c>
      <c r="F730" s="39">
        <v>44114</v>
      </c>
      <c r="G730" s="7">
        <v>12</v>
      </c>
      <c r="H730" s="3">
        <f>_xlfn.XLOOKUP(Vendas[[#This Row],[ID Item Vendido]],Agregado[ID],Agregado[Revenda])</f>
        <v>119</v>
      </c>
      <c r="I730" s="3">
        <f>Vendas[[#This Row],[Valor Unitário]]*Vendas[[#This Row],[Qnt Vendida]]</f>
        <v>1428</v>
      </c>
      <c r="J730" s="3">
        <f>Vendas[[#This Row],[Valor da Venda]]-(_xlfn.XLOOKUP(Vendas[[#This Row],[ID Item Vendido]],Agregado[ID],Agregado[Custo])*Vendas[[#This Row],[Qnt Vendida]])</f>
        <v>408</v>
      </c>
      <c r="K730" s="70">
        <f>Vendas[[#This Row],[Lucro da Venda]]/Vendas[[#This Row],[Valor da Venda]]</f>
        <v>0.2857142857142857</v>
      </c>
      <c r="L730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730"/>
    </row>
    <row r="731" spans="1:13" x14ac:dyDescent="0.3">
      <c r="A731" s="7">
        <v>400249</v>
      </c>
      <c r="B731" t="str">
        <f>_xlfn.XLOOKUP(Vendas[[#This Row],[ID Vendedor]],Vendedores[ID],Vendedores[Nome])</f>
        <v>Bruno</v>
      </c>
      <c r="C731" s="7" t="str">
        <f>_xlfn.XLOOKUP(Vendas[[#This Row],[ID Vendedor]],Vendedores[ID],Vendedores[Setor])</f>
        <v>CM</v>
      </c>
      <c r="D731" s="7" t="s">
        <v>22</v>
      </c>
      <c r="E731" t="str">
        <f>_xlfn.XLOOKUP(Vendas[[#This Row],[ID Item Vendido]],Agregado[ID],Agregado[Produto])</f>
        <v>Painel MDP 2,75x1,83m</v>
      </c>
      <c r="F731" s="39">
        <v>44114</v>
      </c>
      <c r="G731" s="7">
        <v>3</v>
      </c>
      <c r="H731" s="3">
        <f>_xlfn.XLOOKUP(Vendas[[#This Row],[ID Item Vendido]],Agregado[ID],Agregado[Revenda])</f>
        <v>119</v>
      </c>
      <c r="I731" s="3">
        <f>Vendas[[#This Row],[Valor Unitário]]*Vendas[[#This Row],[Qnt Vendida]]</f>
        <v>357</v>
      </c>
      <c r="J731" s="3">
        <f>Vendas[[#This Row],[Valor da Venda]]-(_xlfn.XLOOKUP(Vendas[[#This Row],[ID Item Vendido]],Agregado[ID],Agregado[Custo])*Vendas[[#This Row],[Qnt Vendida]])</f>
        <v>72</v>
      </c>
      <c r="K731" s="70">
        <f>Vendas[[#This Row],[Lucro da Venda]]/Vendas[[#This Row],[Valor da Venda]]</f>
        <v>0.20168067226890757</v>
      </c>
      <c r="L731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731"/>
    </row>
    <row r="732" spans="1:13" x14ac:dyDescent="0.3">
      <c r="A732" s="7">
        <v>400244</v>
      </c>
      <c r="B732" t="str">
        <f>_xlfn.XLOOKUP(Vendas[[#This Row],[ID Vendedor]],Vendedores[ID],Vendedores[Nome])</f>
        <v>Camila</v>
      </c>
      <c r="C732" s="7" t="str">
        <f>_xlfn.XLOOKUP(Vendas[[#This Row],[ID Vendedor]],Vendedores[ID],Vendedores[Setor])</f>
        <v>AHD</v>
      </c>
      <c r="D732" s="7" t="s">
        <v>9</v>
      </c>
      <c r="E732" t="str">
        <f>_xlfn.XLOOKUP(Vendas[[#This Row],[ID Item Vendido]],Agregado[ID],Agregado[Produto])</f>
        <v>Barra de aço simples</v>
      </c>
      <c r="F732" s="39">
        <v>44114</v>
      </c>
      <c r="G732" s="7">
        <v>28</v>
      </c>
      <c r="H732" s="3">
        <f>_xlfn.XLOOKUP(Vendas[[#This Row],[ID Item Vendido]],Agregado[ID],Agregado[Revenda])</f>
        <v>6.7</v>
      </c>
      <c r="I732" s="3">
        <f>Vendas[[#This Row],[Valor Unitário]]*Vendas[[#This Row],[Qnt Vendida]]</f>
        <v>187.6</v>
      </c>
      <c r="J732" s="3">
        <f>Vendas[[#This Row],[Valor da Venda]]-(_xlfn.XLOOKUP(Vendas[[#This Row],[ID Item Vendido]],Agregado[ID],Agregado[Custo])*Vendas[[#This Row],[Qnt Vendida]])</f>
        <v>25.199999999999989</v>
      </c>
      <c r="K732" s="70">
        <f>Vendas[[#This Row],[Lucro da Venda]]/Vendas[[#This Row],[Valor da Venda]]</f>
        <v>0.13432835820895517</v>
      </c>
      <c r="L732" s="3">
        <f>_xlfn.IFS(Vendas[[#This Row],[Margem de Lucro (%)]]&lt;15%,Vendas[[#This Row],[Valor da Venda]]*3%,Vendas[[#This Row],[Margem de Lucro (%)]]&lt;=20%,Vendas[[#This Row],[Valor da Venda]]*4.5%,TRUE,Vendas[[#This Row],[Valor da Venda]]*6%)</f>
        <v>5.6279999999999992</v>
      </c>
      <c r="M732"/>
    </row>
    <row r="733" spans="1:13" x14ac:dyDescent="0.3">
      <c r="A733" s="7">
        <v>400253</v>
      </c>
      <c r="B733" t="str">
        <f>_xlfn.XLOOKUP(Vendas[[#This Row],[ID Vendedor]],Vendedores[ID],Vendedores[Nome])</f>
        <v>Gustavo</v>
      </c>
      <c r="C733" s="7" t="str">
        <f>_xlfn.XLOOKUP(Vendas[[#This Row],[ID Vendedor]],Vendedores[ID],Vendedores[Setor])</f>
        <v>SC</v>
      </c>
      <c r="D733" s="7" t="s">
        <v>42</v>
      </c>
      <c r="E733" t="str">
        <f>_xlfn.XLOOKUP(Vendas[[#This Row],[ID Item Vendido]],Agregado[ID],Agregado[Produto])</f>
        <v>Container de ferro industrial</v>
      </c>
      <c r="F733" s="39">
        <v>44115</v>
      </c>
      <c r="G733" s="7">
        <v>2</v>
      </c>
      <c r="H733" s="3">
        <f>_xlfn.XLOOKUP(Vendas[[#This Row],[ID Item Vendido]],Agregado[ID],Agregado[Revenda])</f>
        <v>830</v>
      </c>
      <c r="I733" s="3">
        <f>Vendas[[#This Row],[Valor Unitário]]*Vendas[[#This Row],[Qnt Vendida]]</f>
        <v>1660</v>
      </c>
      <c r="J733" s="3">
        <f>Vendas[[#This Row],[Valor da Venda]]-(_xlfn.XLOOKUP(Vendas[[#This Row],[ID Item Vendido]],Agregado[ID],Agregado[Custo])*Vendas[[#This Row],[Qnt Vendida]])</f>
        <v>300</v>
      </c>
      <c r="K733" s="70">
        <f>Vendas[[#This Row],[Lucro da Venda]]/Vendas[[#This Row],[Valor da Venda]]</f>
        <v>0.18072289156626506</v>
      </c>
      <c r="L73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733"/>
    </row>
    <row r="734" spans="1:13" x14ac:dyDescent="0.3">
      <c r="A734" s="7">
        <v>400253</v>
      </c>
      <c r="B734" t="str">
        <f>_xlfn.XLOOKUP(Vendas[[#This Row],[ID Vendedor]],Vendedores[ID],Vendedores[Nome])</f>
        <v>Gustavo</v>
      </c>
      <c r="C734" s="7" t="str">
        <f>_xlfn.XLOOKUP(Vendas[[#This Row],[ID Vendedor]],Vendedores[ID],Vendedores[Setor])</f>
        <v>SC</v>
      </c>
      <c r="D734" s="7" t="s">
        <v>25</v>
      </c>
      <c r="E734" t="str">
        <f>_xlfn.XLOOKUP(Vendas[[#This Row],[ID Item Vendido]],Agregado[ID],Agregado[Produto])</f>
        <v>Palete de plástico</v>
      </c>
      <c r="F734" s="39">
        <v>44115</v>
      </c>
      <c r="G734" s="7">
        <v>12</v>
      </c>
      <c r="H734" s="3">
        <f>_xlfn.XLOOKUP(Vendas[[#This Row],[ID Item Vendido]],Agregado[ID],Agregado[Revenda])</f>
        <v>70.8</v>
      </c>
      <c r="I734" s="3">
        <f>Vendas[[#This Row],[Valor Unitário]]*Vendas[[#This Row],[Qnt Vendida]]</f>
        <v>849.59999999999991</v>
      </c>
      <c r="J734" s="3">
        <f>Vendas[[#This Row],[Valor da Venda]]-(_xlfn.XLOOKUP(Vendas[[#This Row],[ID Item Vendido]],Agregado[ID],Agregado[Custo])*Vendas[[#This Row],[Qnt Vendida]])</f>
        <v>129.59999999999991</v>
      </c>
      <c r="K734" s="70">
        <f>Vendas[[#This Row],[Lucro da Venda]]/Vendas[[#This Row],[Valor da Venda]]</f>
        <v>0.15254237288135583</v>
      </c>
      <c r="L734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734"/>
    </row>
    <row r="735" spans="1:13" x14ac:dyDescent="0.3">
      <c r="A735" s="7">
        <v>400255</v>
      </c>
      <c r="B735" t="str">
        <f>_xlfn.XLOOKUP(Vendas[[#This Row],[ID Vendedor]],Vendedores[ID],Vendedores[Nome])</f>
        <v>Carlos</v>
      </c>
      <c r="C735" s="7" t="str">
        <f>_xlfn.XLOOKUP(Vendas[[#This Row],[ID Vendedor]],Vendedores[ID],Vendedores[Setor])</f>
        <v>SC</v>
      </c>
      <c r="D735" s="7" t="s">
        <v>14</v>
      </c>
      <c r="E735" t="str">
        <f>_xlfn.XLOOKUP(Vendas[[#This Row],[ID Item Vendido]],Agregado[ID],Agregado[Produto])</f>
        <v>Barril de plástico 200L</v>
      </c>
      <c r="F735" s="39">
        <v>44117</v>
      </c>
      <c r="G735" s="7">
        <v>19</v>
      </c>
      <c r="H735" s="3">
        <f>_xlfn.XLOOKUP(Vendas[[#This Row],[ID Item Vendido]],Agregado[ID],Agregado[Revenda])</f>
        <v>114</v>
      </c>
      <c r="I735" s="3">
        <f>Vendas[[#This Row],[Valor Unitário]]*Vendas[[#This Row],[Qnt Vendida]]</f>
        <v>2166</v>
      </c>
      <c r="J735" s="3">
        <f>Vendas[[#This Row],[Valor da Venda]]-(_xlfn.XLOOKUP(Vendas[[#This Row],[ID Item Vendido]],Agregado[ID],Agregado[Custo])*Vendas[[#This Row],[Qnt Vendida]])</f>
        <v>361</v>
      </c>
      <c r="K735" s="70">
        <f>Vendas[[#This Row],[Lucro da Venda]]/Vendas[[#This Row],[Valor da Venda]]</f>
        <v>0.16666666666666666</v>
      </c>
      <c r="L735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735"/>
    </row>
    <row r="736" spans="1:13" x14ac:dyDescent="0.3">
      <c r="A736" s="7">
        <v>400245</v>
      </c>
      <c r="B736" t="str">
        <f>_xlfn.XLOOKUP(Vendas[[#This Row],[ID Vendedor]],Vendedores[ID],Vendedores[Nome])</f>
        <v>Thiago</v>
      </c>
      <c r="C736" s="7" t="str">
        <f>_xlfn.XLOOKUP(Vendas[[#This Row],[ID Vendedor]],Vendedores[ID],Vendedores[Setor])</f>
        <v>AHD</v>
      </c>
      <c r="D736" s="7" t="s">
        <v>9</v>
      </c>
      <c r="E736" t="str">
        <f>_xlfn.XLOOKUP(Vendas[[#This Row],[ID Item Vendido]],Agregado[ID],Agregado[Produto])</f>
        <v>Barra de aço simples</v>
      </c>
      <c r="F736" s="39">
        <v>44117</v>
      </c>
      <c r="G736" s="7">
        <v>113</v>
      </c>
      <c r="H736" s="3">
        <f>_xlfn.XLOOKUP(Vendas[[#This Row],[ID Item Vendido]],Agregado[ID],Agregado[Revenda])</f>
        <v>6.7</v>
      </c>
      <c r="I736" s="3">
        <f>Vendas[[#This Row],[Valor Unitário]]*Vendas[[#This Row],[Qnt Vendida]]</f>
        <v>757.1</v>
      </c>
      <c r="J736" s="3">
        <f>Vendas[[#This Row],[Valor da Venda]]-(_xlfn.XLOOKUP(Vendas[[#This Row],[ID Item Vendido]],Agregado[ID],Agregado[Custo])*Vendas[[#This Row],[Qnt Vendida]])</f>
        <v>101.70000000000005</v>
      </c>
      <c r="K736" s="70">
        <f>Vendas[[#This Row],[Lucro da Venda]]/Vendas[[#This Row],[Valor da Venda]]</f>
        <v>0.13432835820895528</v>
      </c>
      <c r="L736" s="3">
        <f>_xlfn.IFS(Vendas[[#This Row],[Margem de Lucro (%)]]&lt;15%,Vendas[[#This Row],[Valor da Venda]]*3%,Vendas[[#This Row],[Margem de Lucro (%)]]&lt;=20%,Vendas[[#This Row],[Valor da Venda]]*4.5%,TRUE,Vendas[[#This Row],[Valor da Venda]]*6%)</f>
        <v>22.713000000000001</v>
      </c>
      <c r="M736"/>
    </row>
    <row r="737" spans="1:13" x14ac:dyDescent="0.3">
      <c r="A737" s="7">
        <v>400253</v>
      </c>
      <c r="B737" t="str">
        <f>_xlfn.XLOOKUP(Vendas[[#This Row],[ID Vendedor]],Vendedores[ID],Vendedores[Nome])</f>
        <v>Gustavo</v>
      </c>
      <c r="C737" s="7" t="str">
        <f>_xlfn.XLOOKUP(Vendas[[#This Row],[ID Vendedor]],Vendedores[ID],Vendedores[Setor])</f>
        <v>SC</v>
      </c>
      <c r="D737" s="7" t="s">
        <v>14</v>
      </c>
      <c r="E737" t="str">
        <f>_xlfn.XLOOKUP(Vendas[[#This Row],[ID Item Vendido]],Agregado[ID],Agregado[Produto])</f>
        <v>Barril de plástico 200L</v>
      </c>
      <c r="F737" s="39">
        <v>44118</v>
      </c>
      <c r="G737" s="7">
        <v>25</v>
      </c>
      <c r="H737" s="3">
        <f>_xlfn.XLOOKUP(Vendas[[#This Row],[ID Item Vendido]],Agregado[ID],Agregado[Revenda])</f>
        <v>114</v>
      </c>
      <c r="I737" s="3">
        <f>Vendas[[#This Row],[Valor Unitário]]*Vendas[[#This Row],[Qnt Vendida]]</f>
        <v>2850</v>
      </c>
      <c r="J737" s="3">
        <f>Vendas[[#This Row],[Valor da Venda]]-(_xlfn.XLOOKUP(Vendas[[#This Row],[ID Item Vendido]],Agregado[ID],Agregado[Custo])*Vendas[[#This Row],[Qnt Vendida]])</f>
        <v>475</v>
      </c>
      <c r="K737" s="70">
        <f>Vendas[[#This Row],[Lucro da Venda]]/Vendas[[#This Row],[Valor da Venda]]</f>
        <v>0.16666666666666666</v>
      </c>
      <c r="L737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737"/>
    </row>
    <row r="738" spans="1:13" x14ac:dyDescent="0.3">
      <c r="A738" s="7">
        <v>400247</v>
      </c>
      <c r="B738" t="str">
        <f>_xlfn.XLOOKUP(Vendas[[#This Row],[ID Vendedor]],Vendedores[ID],Vendedores[Nome])</f>
        <v>André</v>
      </c>
      <c r="C738" s="7" t="str">
        <f>_xlfn.XLOOKUP(Vendas[[#This Row],[ID Vendedor]],Vendedores[ID],Vendedores[Setor])</f>
        <v>CM</v>
      </c>
      <c r="D738" s="7" t="s">
        <v>43</v>
      </c>
      <c r="E738" t="str">
        <f>_xlfn.XLOOKUP(Vendas[[#This Row],[ID Item Vendido]],Agregado[ID],Agregado[Produto])</f>
        <v>Madeira Bruta (Tora)</v>
      </c>
      <c r="F738" s="39">
        <v>44119</v>
      </c>
      <c r="G738" s="7">
        <v>10</v>
      </c>
      <c r="H738" s="3">
        <f>_xlfn.XLOOKUP(Vendas[[#This Row],[ID Item Vendido]],Agregado[ID],Agregado[Revenda])</f>
        <v>212</v>
      </c>
      <c r="I738" s="3">
        <f>Vendas[[#This Row],[Valor Unitário]]*Vendas[[#This Row],[Qnt Vendida]]</f>
        <v>2120</v>
      </c>
      <c r="J738" s="3">
        <f>Vendas[[#This Row],[Valor da Venda]]-(_xlfn.XLOOKUP(Vendas[[#This Row],[ID Item Vendido]],Agregado[ID],Agregado[Custo])*Vendas[[#This Row],[Qnt Vendida]])</f>
        <v>320</v>
      </c>
      <c r="K738" s="70">
        <f>Vendas[[#This Row],[Lucro da Venda]]/Vendas[[#This Row],[Valor da Venda]]</f>
        <v>0.15094339622641509</v>
      </c>
      <c r="L738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738"/>
    </row>
    <row r="739" spans="1:13" x14ac:dyDescent="0.3">
      <c r="A739" s="7">
        <v>400244</v>
      </c>
      <c r="B739" t="str">
        <f>_xlfn.XLOOKUP(Vendas[[#This Row],[ID Vendedor]],Vendedores[ID],Vendedores[Nome])</f>
        <v>Camila</v>
      </c>
      <c r="C739" s="7" t="str">
        <f>_xlfn.XLOOKUP(Vendas[[#This Row],[ID Vendedor]],Vendedores[ID],Vendedores[Setor])</f>
        <v>AHD</v>
      </c>
      <c r="D739" s="7" t="s">
        <v>44</v>
      </c>
      <c r="E739" t="str">
        <f>_xlfn.XLOOKUP(Vendas[[#This Row],[ID Item Vendido]],Agregado[ID],Agregado[Produto])</f>
        <v>Liga metálica especial</v>
      </c>
      <c r="F739" s="39">
        <v>44119</v>
      </c>
      <c r="G739" s="7">
        <v>53</v>
      </c>
      <c r="H739" s="3">
        <f>_xlfn.XLOOKUP(Vendas[[#This Row],[ID Item Vendido]],Agregado[ID],Agregado[Revenda])</f>
        <v>32.5</v>
      </c>
      <c r="I739" s="3">
        <f>Vendas[[#This Row],[Valor Unitário]]*Vendas[[#This Row],[Qnt Vendida]]</f>
        <v>1722.5</v>
      </c>
      <c r="J739" s="3">
        <f>Vendas[[#This Row],[Valor da Venda]]-(_xlfn.XLOOKUP(Vendas[[#This Row],[ID Item Vendido]],Agregado[ID],Agregado[Custo])*Vendas[[#This Row],[Qnt Vendida]])</f>
        <v>397.5</v>
      </c>
      <c r="K739" s="70">
        <f>Vendas[[#This Row],[Lucro da Venda]]/Vendas[[#This Row],[Valor da Venda]]</f>
        <v>0.23076923076923078</v>
      </c>
      <c r="L739" s="3">
        <f>_xlfn.IFS(Vendas[[#This Row],[Margem de Lucro (%)]]&lt;15%,Vendas[[#This Row],[Valor da Venda]]*3%,Vendas[[#This Row],[Margem de Lucro (%)]]&lt;=20%,Vendas[[#This Row],[Valor da Venda]]*4.5%,TRUE,Vendas[[#This Row],[Valor da Venda]]*6%)</f>
        <v>103.35</v>
      </c>
      <c r="M739"/>
    </row>
    <row r="740" spans="1:13" x14ac:dyDescent="0.3">
      <c r="A740" s="7">
        <v>400251</v>
      </c>
      <c r="B740" t="str">
        <f>_xlfn.XLOOKUP(Vendas[[#This Row],[ID Vendedor]],Vendedores[ID],Vendedores[Nome])</f>
        <v>Diego</v>
      </c>
      <c r="C740" s="7" t="str">
        <f>_xlfn.XLOOKUP(Vendas[[#This Row],[ID Vendedor]],Vendedores[ID],Vendedores[Setor])</f>
        <v>AB</v>
      </c>
      <c r="D740" s="7" t="s">
        <v>39</v>
      </c>
      <c r="E740" t="str">
        <f>_xlfn.XLOOKUP(Vendas[[#This Row],[ID Item Vendido]],Agregado[ID],Agregado[Produto])</f>
        <v>Filme plástico industrial rolo 50m</v>
      </c>
      <c r="F740" s="39">
        <v>44119</v>
      </c>
      <c r="G740" s="7">
        <v>15</v>
      </c>
      <c r="H740" s="3">
        <f>_xlfn.XLOOKUP(Vendas[[#This Row],[ID Item Vendido]],Agregado[ID],Agregado[Revenda])</f>
        <v>37</v>
      </c>
      <c r="I740" s="3">
        <f>Vendas[[#This Row],[Valor Unitário]]*Vendas[[#This Row],[Qnt Vendida]]</f>
        <v>555</v>
      </c>
      <c r="J740" s="3">
        <f>Vendas[[#This Row],[Valor da Venda]]-(_xlfn.XLOOKUP(Vendas[[#This Row],[ID Item Vendido]],Agregado[ID],Agregado[Custo])*Vendas[[#This Row],[Qnt Vendida]])</f>
        <v>135</v>
      </c>
      <c r="K740" s="70">
        <f>Vendas[[#This Row],[Lucro da Venda]]/Vendas[[#This Row],[Valor da Venda]]</f>
        <v>0.24324324324324326</v>
      </c>
      <c r="L740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740"/>
    </row>
    <row r="741" spans="1:13" x14ac:dyDescent="0.3">
      <c r="A741" s="7">
        <v>400251</v>
      </c>
      <c r="B741" t="str">
        <f>_xlfn.XLOOKUP(Vendas[[#This Row],[ID Vendedor]],Vendedores[ID],Vendedores[Nome])</f>
        <v>Diego</v>
      </c>
      <c r="C741" s="7" t="str">
        <f>_xlfn.XLOOKUP(Vendas[[#This Row],[ID Vendedor]],Vendedores[ID],Vendedores[Setor])</f>
        <v>AB</v>
      </c>
      <c r="D741" s="7" t="s">
        <v>12</v>
      </c>
      <c r="E741" t="str">
        <f>_xlfn.XLOOKUP(Vendas[[#This Row],[ID Item Vendido]],Agregado[ID],Agregado[Produto])</f>
        <v>Grânulo de plástico reciclado refinado</v>
      </c>
      <c r="F741" s="39">
        <v>44119</v>
      </c>
      <c r="G741" s="7">
        <v>64</v>
      </c>
      <c r="H741" s="3">
        <f>_xlfn.XLOOKUP(Vendas[[#This Row],[ID Item Vendido]],Agregado[ID],Agregado[Revenda])</f>
        <v>4.7</v>
      </c>
      <c r="I741" s="3">
        <f>Vendas[[#This Row],[Valor Unitário]]*Vendas[[#This Row],[Qnt Vendida]]</f>
        <v>300.8</v>
      </c>
      <c r="J741" s="3">
        <f>Vendas[[#This Row],[Valor da Venda]]-(_xlfn.XLOOKUP(Vendas[[#This Row],[ID Item Vendido]],Agregado[ID],Agregado[Custo])*Vendas[[#This Row],[Qnt Vendida]])</f>
        <v>76.800000000000011</v>
      </c>
      <c r="K741" s="70">
        <f>Vendas[[#This Row],[Lucro da Venda]]/Vendas[[#This Row],[Valor da Venda]]</f>
        <v>0.25531914893617025</v>
      </c>
      <c r="L741" s="3">
        <f>_xlfn.IFS(Vendas[[#This Row],[Margem de Lucro (%)]]&lt;15%,Vendas[[#This Row],[Valor da Venda]]*3%,Vendas[[#This Row],[Margem de Lucro (%)]]&lt;=20%,Vendas[[#This Row],[Valor da Venda]]*4.5%,TRUE,Vendas[[#This Row],[Valor da Venda]]*6%)</f>
        <v>18.047999999999998</v>
      </c>
      <c r="M741"/>
    </row>
    <row r="742" spans="1:13" x14ac:dyDescent="0.3">
      <c r="A742" s="7">
        <v>400244</v>
      </c>
      <c r="B742" t="str">
        <f>_xlfn.XLOOKUP(Vendas[[#This Row],[ID Vendedor]],Vendedores[ID],Vendedores[Nome])</f>
        <v>Camila</v>
      </c>
      <c r="C742" s="7" t="str">
        <f>_xlfn.XLOOKUP(Vendas[[#This Row],[ID Vendedor]],Vendedores[ID],Vendedores[Setor])</f>
        <v>AHD</v>
      </c>
      <c r="D742" s="7" t="s">
        <v>18</v>
      </c>
      <c r="E742" t="str">
        <f>_xlfn.XLOOKUP(Vendas[[#This Row],[ID Item Vendido]],Agregado[ID],Agregado[Produto])</f>
        <v>Peça forjada sob encomenda</v>
      </c>
      <c r="F742" s="39">
        <v>44120</v>
      </c>
      <c r="G742" s="7">
        <v>2</v>
      </c>
      <c r="H742" s="3">
        <f>_xlfn.XLOOKUP(Vendas[[#This Row],[ID Item Vendido]],Agregado[ID],Agregado[Revenda])</f>
        <v>264.60000000000002</v>
      </c>
      <c r="I742" s="3">
        <f>Vendas[[#This Row],[Valor Unitário]]*Vendas[[#This Row],[Qnt Vendida]]</f>
        <v>529.20000000000005</v>
      </c>
      <c r="J742" s="3">
        <f>Vendas[[#This Row],[Valor da Venda]]-(_xlfn.XLOOKUP(Vendas[[#This Row],[ID Item Vendido]],Agregado[ID],Agregado[Custo])*Vendas[[#This Row],[Qnt Vendida]])</f>
        <v>29.200000000000045</v>
      </c>
      <c r="K742" s="70">
        <f>Vendas[[#This Row],[Lucro da Venda]]/Vendas[[#This Row],[Valor da Venda]]</f>
        <v>5.5177626606198113E-2</v>
      </c>
      <c r="L742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742"/>
    </row>
    <row r="743" spans="1:13" x14ac:dyDescent="0.3">
      <c r="A743" s="7">
        <v>400249</v>
      </c>
      <c r="B743" t="str">
        <f>_xlfn.XLOOKUP(Vendas[[#This Row],[ID Vendedor]],Vendedores[ID],Vendedores[Nome])</f>
        <v>Bruno</v>
      </c>
      <c r="C743" s="7" t="str">
        <f>_xlfn.XLOOKUP(Vendas[[#This Row],[ID Vendedor]],Vendedores[ID],Vendedores[Setor])</f>
        <v>CM</v>
      </c>
      <c r="D743" s="7" t="s">
        <v>34</v>
      </c>
      <c r="E743" t="str">
        <f>_xlfn.XLOOKUP(Vendas[[#This Row],[ID Item Vendido]],Agregado[ID],Agregado[Produto])</f>
        <v>Restos de madeira p/ MDP/OSB saco de 20kg</v>
      </c>
      <c r="F743" s="39">
        <v>44120</v>
      </c>
      <c r="G743" s="7">
        <v>24</v>
      </c>
      <c r="H743" s="3">
        <f>_xlfn.XLOOKUP(Vendas[[#This Row],[ID Item Vendido]],Agregado[ID],Agregado[Revenda])</f>
        <v>13.8</v>
      </c>
      <c r="I743" s="3">
        <f>Vendas[[#This Row],[Valor Unitário]]*Vendas[[#This Row],[Qnt Vendida]]</f>
        <v>331.20000000000005</v>
      </c>
      <c r="J743" s="3">
        <f>Vendas[[#This Row],[Valor da Venda]]-(_xlfn.XLOOKUP(Vendas[[#This Row],[ID Item Vendido]],Agregado[ID],Agregado[Custo])*Vendas[[#This Row],[Qnt Vendida]])</f>
        <v>43.200000000000045</v>
      </c>
      <c r="K743" s="70">
        <f>Vendas[[#This Row],[Lucro da Venda]]/Vendas[[#This Row],[Valor da Venda]]</f>
        <v>0.13043478260869576</v>
      </c>
      <c r="L743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743"/>
    </row>
    <row r="744" spans="1:13" x14ac:dyDescent="0.3">
      <c r="A744" s="7">
        <v>400249</v>
      </c>
      <c r="B744" t="str">
        <f>_xlfn.XLOOKUP(Vendas[[#This Row],[ID Vendedor]],Vendedores[ID],Vendedores[Nome])</f>
        <v>Bruno</v>
      </c>
      <c r="C744" s="7" t="str">
        <f>_xlfn.XLOOKUP(Vendas[[#This Row],[ID Vendedor]],Vendedores[ID],Vendedores[Setor])</f>
        <v>CM</v>
      </c>
      <c r="D744" s="7" t="s">
        <v>43</v>
      </c>
      <c r="E744" t="str">
        <f>_xlfn.XLOOKUP(Vendas[[#This Row],[ID Item Vendido]],Agregado[ID],Agregado[Produto])</f>
        <v>Madeira Bruta (Tora)</v>
      </c>
      <c r="F744" s="39">
        <v>44121</v>
      </c>
      <c r="G744" s="7">
        <v>14</v>
      </c>
      <c r="H744" s="3">
        <f>_xlfn.XLOOKUP(Vendas[[#This Row],[ID Item Vendido]],Agregado[ID],Agregado[Revenda])</f>
        <v>212</v>
      </c>
      <c r="I744" s="3">
        <f>Vendas[[#This Row],[Valor Unitário]]*Vendas[[#This Row],[Qnt Vendida]]</f>
        <v>2968</v>
      </c>
      <c r="J744" s="3">
        <f>Vendas[[#This Row],[Valor da Venda]]-(_xlfn.XLOOKUP(Vendas[[#This Row],[ID Item Vendido]],Agregado[ID],Agregado[Custo])*Vendas[[#This Row],[Qnt Vendida]])</f>
        <v>448</v>
      </c>
      <c r="K744" s="70">
        <f>Vendas[[#This Row],[Lucro da Venda]]/Vendas[[#This Row],[Valor da Venda]]</f>
        <v>0.15094339622641509</v>
      </c>
      <c r="L744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744"/>
    </row>
    <row r="745" spans="1:13" x14ac:dyDescent="0.3">
      <c r="A745" s="7">
        <v>400249</v>
      </c>
      <c r="B745" t="str">
        <f>_xlfn.XLOOKUP(Vendas[[#This Row],[ID Vendedor]],Vendedores[ID],Vendedores[Nome])</f>
        <v>Bruno</v>
      </c>
      <c r="C745" s="7" t="str">
        <f>_xlfn.XLOOKUP(Vendas[[#This Row],[ID Vendedor]],Vendedores[ID],Vendedores[Setor])</f>
        <v>CM</v>
      </c>
      <c r="D745" s="7" t="s">
        <v>34</v>
      </c>
      <c r="E745" t="str">
        <f>_xlfn.XLOOKUP(Vendas[[#This Row],[ID Item Vendido]],Agregado[ID],Agregado[Produto])</f>
        <v>Restos de madeira p/ MDP/OSB saco de 20kg</v>
      </c>
      <c r="F745" s="39">
        <v>44121</v>
      </c>
      <c r="G745" s="7">
        <v>27</v>
      </c>
      <c r="H745" s="3">
        <f>_xlfn.XLOOKUP(Vendas[[#This Row],[ID Item Vendido]],Agregado[ID],Agregado[Revenda])</f>
        <v>13.8</v>
      </c>
      <c r="I745" s="3">
        <f>Vendas[[#This Row],[Valor Unitário]]*Vendas[[#This Row],[Qnt Vendida]]</f>
        <v>372.6</v>
      </c>
      <c r="J745" s="3">
        <f>Vendas[[#This Row],[Valor da Venda]]-(_xlfn.XLOOKUP(Vendas[[#This Row],[ID Item Vendido]],Agregado[ID],Agregado[Custo])*Vendas[[#This Row],[Qnt Vendida]])</f>
        <v>48.600000000000023</v>
      </c>
      <c r="K745" s="70">
        <f>Vendas[[#This Row],[Lucro da Venda]]/Vendas[[#This Row],[Valor da Venda]]</f>
        <v>0.1304347826086957</v>
      </c>
      <c r="L745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745"/>
    </row>
    <row r="746" spans="1:13" x14ac:dyDescent="0.3">
      <c r="A746" s="7">
        <v>400249</v>
      </c>
      <c r="B746" t="str">
        <f>_xlfn.XLOOKUP(Vendas[[#This Row],[ID Vendedor]],Vendedores[ID],Vendedores[Nome])</f>
        <v>Bruno</v>
      </c>
      <c r="C746" s="7" t="str">
        <f>_xlfn.XLOOKUP(Vendas[[#This Row],[ID Vendedor]],Vendedores[ID],Vendedores[Setor])</f>
        <v>CM</v>
      </c>
      <c r="D746" s="7" t="s">
        <v>32</v>
      </c>
      <c r="E746" t="str">
        <f>_xlfn.XLOOKUP(Vendas[[#This Row],[ID Item Vendido]],Agregado[ID],Agregado[Produto])</f>
        <v>Tábua tratada e cortada 3m</v>
      </c>
      <c r="F746" s="39">
        <v>44122</v>
      </c>
      <c r="G746" s="7">
        <v>24</v>
      </c>
      <c r="H746" s="3">
        <f>_xlfn.XLOOKUP(Vendas[[#This Row],[ID Item Vendido]],Agregado[ID],Agregado[Revenda])</f>
        <v>39</v>
      </c>
      <c r="I746" s="3">
        <f>Vendas[[#This Row],[Valor Unitário]]*Vendas[[#This Row],[Qnt Vendida]]</f>
        <v>936</v>
      </c>
      <c r="J746" s="3">
        <f>Vendas[[#This Row],[Valor da Venda]]-(_xlfn.XLOOKUP(Vendas[[#This Row],[ID Item Vendido]],Agregado[ID],Agregado[Custo])*Vendas[[#This Row],[Qnt Vendida]])</f>
        <v>168</v>
      </c>
      <c r="K746" s="70">
        <f>Vendas[[#This Row],[Lucro da Venda]]/Vendas[[#This Row],[Valor da Venda]]</f>
        <v>0.17948717948717949</v>
      </c>
      <c r="L746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746"/>
    </row>
    <row r="747" spans="1:13" x14ac:dyDescent="0.3">
      <c r="A747" s="7">
        <v>400249</v>
      </c>
      <c r="B747" t="str">
        <f>_xlfn.XLOOKUP(Vendas[[#This Row],[ID Vendedor]],Vendedores[ID],Vendedores[Nome])</f>
        <v>Bruno</v>
      </c>
      <c r="C747" s="7" t="str">
        <f>_xlfn.XLOOKUP(Vendas[[#This Row],[ID Vendedor]],Vendedores[ID],Vendedores[Setor])</f>
        <v>CM</v>
      </c>
      <c r="D747" s="7" t="s">
        <v>43</v>
      </c>
      <c r="E747" t="str">
        <f>_xlfn.XLOOKUP(Vendas[[#This Row],[ID Item Vendido]],Agregado[ID],Agregado[Produto])</f>
        <v>Madeira Bruta (Tora)</v>
      </c>
      <c r="F747" s="39">
        <v>44125</v>
      </c>
      <c r="G747" s="7">
        <v>15</v>
      </c>
      <c r="H747" s="3">
        <f>_xlfn.XLOOKUP(Vendas[[#This Row],[ID Item Vendido]],Agregado[ID],Agregado[Revenda])</f>
        <v>212</v>
      </c>
      <c r="I747" s="3">
        <f>Vendas[[#This Row],[Valor Unitário]]*Vendas[[#This Row],[Qnt Vendida]]</f>
        <v>3180</v>
      </c>
      <c r="J747" s="3">
        <f>Vendas[[#This Row],[Valor da Venda]]-(_xlfn.XLOOKUP(Vendas[[#This Row],[ID Item Vendido]],Agregado[ID],Agregado[Custo])*Vendas[[#This Row],[Qnt Vendida]])</f>
        <v>480</v>
      </c>
      <c r="K747" s="70">
        <f>Vendas[[#This Row],[Lucro da Venda]]/Vendas[[#This Row],[Valor da Venda]]</f>
        <v>0.15094339622641509</v>
      </c>
      <c r="L747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747"/>
    </row>
    <row r="748" spans="1:13" x14ac:dyDescent="0.3">
      <c r="A748" s="7">
        <v>400241</v>
      </c>
      <c r="B748" t="str">
        <f>_xlfn.XLOOKUP(Vendas[[#This Row],[ID Vendedor]],Vendedores[ID],Vendedores[Nome])</f>
        <v>Rodrigo</v>
      </c>
      <c r="C748" s="7" t="str">
        <f>_xlfn.XLOOKUP(Vendas[[#This Row],[ID Vendedor]],Vendedores[ID],Vendedores[Setor])</f>
        <v>FM</v>
      </c>
      <c r="D748" s="7" t="s">
        <v>27</v>
      </c>
      <c r="E748" t="str">
        <f>_xlfn.XLOOKUP(Vendas[[#This Row],[ID Item Vendido]],Agregado[ID],Agregado[Produto])</f>
        <v>Chapa de metal lisa 1x2m</v>
      </c>
      <c r="F748" s="39">
        <v>44125</v>
      </c>
      <c r="G748" s="7">
        <v>4</v>
      </c>
      <c r="H748" s="3">
        <f>_xlfn.XLOOKUP(Vendas[[#This Row],[ID Item Vendido]],Agregado[ID],Agregado[Revenda])</f>
        <v>52</v>
      </c>
      <c r="I748" s="3">
        <f>Vendas[[#This Row],[Valor Unitário]]*Vendas[[#This Row],[Qnt Vendida]]</f>
        <v>208</v>
      </c>
      <c r="J748" s="3">
        <f>Vendas[[#This Row],[Valor da Venda]]-(_xlfn.XLOOKUP(Vendas[[#This Row],[ID Item Vendido]],Agregado[ID],Agregado[Custo])*Vendas[[#This Row],[Qnt Vendida]])</f>
        <v>28</v>
      </c>
      <c r="K748" s="70">
        <f>Vendas[[#This Row],[Lucro da Venda]]/Vendas[[#This Row],[Valor da Venda]]</f>
        <v>0.13461538461538461</v>
      </c>
      <c r="L748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748"/>
    </row>
    <row r="749" spans="1:13" x14ac:dyDescent="0.3">
      <c r="A749" s="7">
        <v>400249</v>
      </c>
      <c r="B749" t="str">
        <f>_xlfn.XLOOKUP(Vendas[[#This Row],[ID Vendedor]],Vendedores[ID],Vendedores[Nome])</f>
        <v>Bruno</v>
      </c>
      <c r="C749" s="7" t="str">
        <f>_xlfn.XLOOKUP(Vendas[[#This Row],[ID Vendedor]],Vendedores[ID],Vendedores[Setor])</f>
        <v>CM</v>
      </c>
      <c r="D749" s="7" t="s">
        <v>32</v>
      </c>
      <c r="E749" t="str">
        <f>_xlfn.XLOOKUP(Vendas[[#This Row],[ID Item Vendido]],Agregado[ID],Agregado[Produto])</f>
        <v>Tábua tratada e cortada 3m</v>
      </c>
      <c r="F749" s="39">
        <v>44126</v>
      </c>
      <c r="G749" s="7">
        <v>8</v>
      </c>
      <c r="H749" s="3">
        <f>_xlfn.XLOOKUP(Vendas[[#This Row],[ID Item Vendido]],Agregado[ID],Agregado[Revenda])</f>
        <v>39</v>
      </c>
      <c r="I749" s="3">
        <f>Vendas[[#This Row],[Valor Unitário]]*Vendas[[#This Row],[Qnt Vendida]]</f>
        <v>312</v>
      </c>
      <c r="J749" s="3">
        <f>Vendas[[#This Row],[Valor da Venda]]-(_xlfn.XLOOKUP(Vendas[[#This Row],[ID Item Vendido]],Agregado[ID],Agregado[Custo])*Vendas[[#This Row],[Qnt Vendida]])</f>
        <v>56</v>
      </c>
      <c r="K749" s="70">
        <f>Vendas[[#This Row],[Lucro da Venda]]/Vendas[[#This Row],[Valor da Venda]]</f>
        <v>0.17948717948717949</v>
      </c>
      <c r="L749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749"/>
    </row>
    <row r="750" spans="1:13" x14ac:dyDescent="0.3">
      <c r="A750" s="7">
        <v>400243</v>
      </c>
      <c r="B750" t="str">
        <f>_xlfn.XLOOKUP(Vendas[[#This Row],[ID Vendedor]],Vendedores[ID],Vendedores[Nome])</f>
        <v>Marcelo</v>
      </c>
      <c r="C750" s="7" t="str">
        <f>_xlfn.XLOOKUP(Vendas[[#This Row],[ID Vendedor]],Vendedores[ID],Vendedores[Setor])</f>
        <v>FM</v>
      </c>
      <c r="D750" s="7" t="s">
        <v>6</v>
      </c>
      <c r="E750" t="str">
        <f>_xlfn.XLOOKUP(Vendas[[#This Row],[ID Item Vendido]],Agregado[ID],Agregado[Produto])</f>
        <v>Parafuso comum 500un</v>
      </c>
      <c r="F750" s="39">
        <v>44126</v>
      </c>
      <c r="G750" s="7">
        <v>4</v>
      </c>
      <c r="H750" s="3">
        <f>_xlfn.XLOOKUP(Vendas[[#This Row],[ID Item Vendido]],Agregado[ID],Agregado[Revenda])</f>
        <v>24.6</v>
      </c>
      <c r="I750" s="3">
        <f>Vendas[[#This Row],[Valor Unitário]]*Vendas[[#This Row],[Qnt Vendida]]</f>
        <v>98.4</v>
      </c>
      <c r="J750" s="3">
        <f>Vendas[[#This Row],[Valor da Venda]]-(_xlfn.XLOOKUP(Vendas[[#This Row],[ID Item Vendido]],Agregado[ID],Agregado[Custo])*Vendas[[#This Row],[Qnt Vendida]])</f>
        <v>10.400000000000006</v>
      </c>
      <c r="K750" s="70">
        <f>Vendas[[#This Row],[Lucro da Venda]]/Vendas[[#This Row],[Valor da Venda]]</f>
        <v>0.10569105691056915</v>
      </c>
      <c r="L750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750"/>
    </row>
    <row r="751" spans="1:13" x14ac:dyDescent="0.3">
      <c r="A751" s="7">
        <v>400253</v>
      </c>
      <c r="B751" t="str">
        <f>_xlfn.XLOOKUP(Vendas[[#This Row],[ID Vendedor]],Vendedores[ID],Vendedores[Nome])</f>
        <v>Gustavo</v>
      </c>
      <c r="C751" s="7" t="str">
        <f>_xlfn.XLOOKUP(Vendas[[#This Row],[ID Vendedor]],Vendedores[ID],Vendedores[Setor])</f>
        <v>SC</v>
      </c>
      <c r="D751" s="7" t="s">
        <v>14</v>
      </c>
      <c r="E751" t="str">
        <f>_xlfn.XLOOKUP(Vendas[[#This Row],[ID Item Vendido]],Agregado[ID],Agregado[Produto])</f>
        <v>Barril de plástico 200L</v>
      </c>
      <c r="F751" s="39">
        <v>44127</v>
      </c>
      <c r="G751" s="7">
        <v>3</v>
      </c>
      <c r="H751" s="3">
        <f>_xlfn.XLOOKUP(Vendas[[#This Row],[ID Item Vendido]],Agregado[ID],Agregado[Revenda])</f>
        <v>114</v>
      </c>
      <c r="I751" s="3">
        <f>Vendas[[#This Row],[Valor Unitário]]*Vendas[[#This Row],[Qnt Vendida]]</f>
        <v>342</v>
      </c>
      <c r="J751" s="3">
        <f>Vendas[[#This Row],[Valor da Venda]]-(_xlfn.XLOOKUP(Vendas[[#This Row],[ID Item Vendido]],Agregado[ID],Agregado[Custo])*Vendas[[#This Row],[Qnt Vendida]])</f>
        <v>57</v>
      </c>
      <c r="K751" s="70">
        <f>Vendas[[#This Row],[Lucro da Venda]]/Vendas[[#This Row],[Valor da Venda]]</f>
        <v>0.16666666666666666</v>
      </c>
      <c r="L751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751"/>
    </row>
    <row r="752" spans="1:13" x14ac:dyDescent="0.3">
      <c r="A752" s="7">
        <v>400247</v>
      </c>
      <c r="B752" t="str">
        <f>_xlfn.XLOOKUP(Vendas[[#This Row],[ID Vendedor]],Vendedores[ID],Vendedores[Nome])</f>
        <v>André</v>
      </c>
      <c r="C752" s="7" t="str">
        <f>_xlfn.XLOOKUP(Vendas[[#This Row],[ID Vendedor]],Vendedores[ID],Vendedores[Setor])</f>
        <v>CM</v>
      </c>
      <c r="D752" s="7" t="s">
        <v>45</v>
      </c>
      <c r="E752" t="str">
        <f>_xlfn.XLOOKUP(Vendas[[#This Row],[ID Item Vendido]],Agregado[ID],Agregado[Produto])</f>
        <v>Viga de madeira tratada 4m</v>
      </c>
      <c r="F752" s="39">
        <v>44128</v>
      </c>
      <c r="G752" s="7">
        <v>14</v>
      </c>
      <c r="H752" s="3">
        <f>_xlfn.XLOOKUP(Vendas[[#This Row],[ID Item Vendido]],Agregado[ID],Agregado[Revenda])</f>
        <v>66</v>
      </c>
      <c r="I752" s="3">
        <f>Vendas[[#This Row],[Valor Unitário]]*Vendas[[#This Row],[Qnt Vendida]]</f>
        <v>924</v>
      </c>
      <c r="J752" s="3">
        <f>Vendas[[#This Row],[Valor da Venda]]-(_xlfn.XLOOKUP(Vendas[[#This Row],[ID Item Vendido]],Agregado[ID],Agregado[Custo])*Vendas[[#This Row],[Qnt Vendida]])</f>
        <v>154</v>
      </c>
      <c r="K752" s="70">
        <f>Vendas[[#This Row],[Lucro da Venda]]/Vendas[[#This Row],[Valor da Venda]]</f>
        <v>0.16666666666666666</v>
      </c>
      <c r="L752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752"/>
    </row>
    <row r="753" spans="1:13" x14ac:dyDescent="0.3">
      <c r="A753" s="7">
        <v>400247</v>
      </c>
      <c r="B753" t="str">
        <f>_xlfn.XLOOKUP(Vendas[[#This Row],[ID Vendedor]],Vendedores[ID],Vendedores[Nome])</f>
        <v>André</v>
      </c>
      <c r="C753" s="7" t="str">
        <f>_xlfn.XLOOKUP(Vendas[[#This Row],[ID Vendedor]],Vendedores[ID],Vendedores[Setor])</f>
        <v>CM</v>
      </c>
      <c r="D753" s="7" t="s">
        <v>32</v>
      </c>
      <c r="E753" t="str">
        <f>_xlfn.XLOOKUP(Vendas[[#This Row],[ID Item Vendido]],Agregado[ID],Agregado[Produto])</f>
        <v>Tábua tratada e cortada 3m</v>
      </c>
      <c r="F753" s="39">
        <v>44128</v>
      </c>
      <c r="G753" s="7">
        <v>16</v>
      </c>
      <c r="H753" s="3">
        <f>_xlfn.XLOOKUP(Vendas[[#This Row],[ID Item Vendido]],Agregado[ID],Agregado[Revenda])</f>
        <v>39</v>
      </c>
      <c r="I753" s="3">
        <f>Vendas[[#This Row],[Valor Unitário]]*Vendas[[#This Row],[Qnt Vendida]]</f>
        <v>624</v>
      </c>
      <c r="J753" s="3">
        <f>Vendas[[#This Row],[Valor da Venda]]-(_xlfn.XLOOKUP(Vendas[[#This Row],[ID Item Vendido]],Agregado[ID],Agregado[Custo])*Vendas[[#This Row],[Qnt Vendida]])</f>
        <v>112</v>
      </c>
      <c r="K753" s="70">
        <f>Vendas[[#This Row],[Lucro da Venda]]/Vendas[[#This Row],[Valor da Venda]]</f>
        <v>0.17948717948717949</v>
      </c>
      <c r="L753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753"/>
    </row>
    <row r="754" spans="1:13" x14ac:dyDescent="0.3">
      <c r="A754" s="7">
        <v>400247</v>
      </c>
      <c r="B754" t="str">
        <f>_xlfn.XLOOKUP(Vendas[[#This Row],[ID Vendedor]],Vendedores[ID],Vendedores[Nome])</f>
        <v>André</v>
      </c>
      <c r="C754" s="7" t="str">
        <f>_xlfn.XLOOKUP(Vendas[[#This Row],[ID Vendedor]],Vendedores[ID],Vendedores[Setor])</f>
        <v>CM</v>
      </c>
      <c r="D754" s="7" t="s">
        <v>32</v>
      </c>
      <c r="E754" t="str">
        <f>_xlfn.XLOOKUP(Vendas[[#This Row],[ID Item Vendido]],Agregado[ID],Agregado[Produto])</f>
        <v>Tábua tratada e cortada 3m</v>
      </c>
      <c r="F754" s="39">
        <v>44130</v>
      </c>
      <c r="G754" s="7">
        <v>49</v>
      </c>
      <c r="H754" s="3">
        <f>_xlfn.XLOOKUP(Vendas[[#This Row],[ID Item Vendido]],Agregado[ID],Agregado[Revenda])</f>
        <v>39</v>
      </c>
      <c r="I754" s="3">
        <f>Vendas[[#This Row],[Valor Unitário]]*Vendas[[#This Row],[Qnt Vendida]]</f>
        <v>1911</v>
      </c>
      <c r="J754" s="3">
        <f>Vendas[[#This Row],[Valor da Venda]]-(_xlfn.XLOOKUP(Vendas[[#This Row],[ID Item Vendido]],Agregado[ID],Agregado[Custo])*Vendas[[#This Row],[Qnt Vendida]])</f>
        <v>343</v>
      </c>
      <c r="K754" s="70">
        <f>Vendas[[#This Row],[Lucro da Venda]]/Vendas[[#This Row],[Valor da Venda]]</f>
        <v>0.17948717948717949</v>
      </c>
      <c r="L754" s="3">
        <f>_xlfn.IFS(Vendas[[#This Row],[Margem de Lucro (%)]]&lt;15%,Vendas[[#This Row],[Valor da Venda]]*3%,Vendas[[#This Row],[Margem de Lucro (%)]]&lt;=20%,Vendas[[#This Row],[Valor da Venda]]*4.5%,TRUE,Vendas[[#This Row],[Valor da Venda]]*6%)</f>
        <v>85.99499999999999</v>
      </c>
      <c r="M754"/>
    </row>
    <row r="755" spans="1:13" x14ac:dyDescent="0.3">
      <c r="A755" s="7">
        <v>400245</v>
      </c>
      <c r="B755" t="str">
        <f>_xlfn.XLOOKUP(Vendas[[#This Row],[ID Vendedor]],Vendedores[ID],Vendedores[Nome])</f>
        <v>Thiago</v>
      </c>
      <c r="C755" s="7" t="str">
        <f>_xlfn.XLOOKUP(Vendas[[#This Row],[ID Vendedor]],Vendedores[ID],Vendedores[Setor])</f>
        <v>AHD</v>
      </c>
      <c r="D755" s="7" t="s">
        <v>9</v>
      </c>
      <c r="E755" t="str">
        <f>_xlfn.XLOOKUP(Vendas[[#This Row],[ID Item Vendido]],Agregado[ID],Agregado[Produto])</f>
        <v>Barra de aço simples</v>
      </c>
      <c r="F755" s="39">
        <v>44130</v>
      </c>
      <c r="G755" s="7">
        <v>62</v>
      </c>
      <c r="H755" s="3">
        <f>_xlfn.XLOOKUP(Vendas[[#This Row],[ID Item Vendido]],Agregado[ID],Agregado[Revenda])</f>
        <v>6.7</v>
      </c>
      <c r="I755" s="3">
        <f>Vendas[[#This Row],[Valor Unitário]]*Vendas[[#This Row],[Qnt Vendida]]</f>
        <v>415.40000000000003</v>
      </c>
      <c r="J755" s="3">
        <f>Vendas[[#This Row],[Valor da Venda]]-(_xlfn.XLOOKUP(Vendas[[#This Row],[ID Item Vendido]],Agregado[ID],Agregado[Custo])*Vendas[[#This Row],[Qnt Vendida]])</f>
        <v>55.800000000000068</v>
      </c>
      <c r="K755" s="70">
        <f>Vendas[[#This Row],[Lucro da Venda]]/Vendas[[#This Row],[Valor da Venda]]</f>
        <v>0.13432835820895539</v>
      </c>
      <c r="L755" s="3">
        <f>_xlfn.IFS(Vendas[[#This Row],[Margem de Lucro (%)]]&lt;15%,Vendas[[#This Row],[Valor da Venda]]*3%,Vendas[[#This Row],[Margem de Lucro (%)]]&lt;=20%,Vendas[[#This Row],[Valor da Venda]]*4.5%,TRUE,Vendas[[#This Row],[Valor da Venda]]*6%)</f>
        <v>12.462</v>
      </c>
      <c r="M755"/>
    </row>
    <row r="756" spans="1:13" x14ac:dyDescent="0.3">
      <c r="A756" s="7">
        <v>400251</v>
      </c>
      <c r="B756" t="str">
        <f>_xlfn.XLOOKUP(Vendas[[#This Row],[ID Vendedor]],Vendedores[ID],Vendedores[Nome])</f>
        <v>Diego</v>
      </c>
      <c r="C756" s="7" t="str">
        <f>_xlfn.XLOOKUP(Vendas[[#This Row],[ID Vendedor]],Vendedores[ID],Vendedores[Setor])</f>
        <v>AB</v>
      </c>
      <c r="D756" s="7" t="s">
        <v>37</v>
      </c>
      <c r="E756" t="str">
        <f>_xlfn.XLOOKUP(Vendas[[#This Row],[ID Item Vendido]],Agregado[ID],Agregado[Produto])</f>
        <v>Composto de borracha para vedação rolo 10m</v>
      </c>
      <c r="F756" s="39">
        <v>44130</v>
      </c>
      <c r="G756" s="7">
        <v>3</v>
      </c>
      <c r="H756" s="3">
        <f>_xlfn.XLOOKUP(Vendas[[#This Row],[ID Item Vendido]],Agregado[ID],Agregado[Revenda])</f>
        <v>51.2</v>
      </c>
      <c r="I756" s="3">
        <f>Vendas[[#This Row],[Valor Unitário]]*Vendas[[#This Row],[Qnt Vendida]]</f>
        <v>153.60000000000002</v>
      </c>
      <c r="J756" s="3">
        <f>Vendas[[#This Row],[Valor da Venda]]-(_xlfn.XLOOKUP(Vendas[[#This Row],[ID Item Vendido]],Agregado[ID],Agregado[Custo])*Vendas[[#This Row],[Qnt Vendida]])</f>
        <v>33.600000000000023</v>
      </c>
      <c r="K756" s="70">
        <f>Vendas[[#This Row],[Lucro da Venda]]/Vendas[[#This Row],[Valor da Venda]]</f>
        <v>0.21875000000000011</v>
      </c>
      <c r="L756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756"/>
    </row>
    <row r="757" spans="1:13" x14ac:dyDescent="0.3">
      <c r="A757" s="7">
        <v>400247</v>
      </c>
      <c r="B757" t="str">
        <f>_xlfn.XLOOKUP(Vendas[[#This Row],[ID Vendedor]],Vendedores[ID],Vendedores[Nome])</f>
        <v>André</v>
      </c>
      <c r="C757" s="7" t="str">
        <f>_xlfn.XLOOKUP(Vendas[[#This Row],[ID Vendedor]],Vendedores[ID],Vendedores[Setor])</f>
        <v>CM</v>
      </c>
      <c r="D757" s="7" t="s">
        <v>43</v>
      </c>
      <c r="E757" t="str">
        <f>_xlfn.XLOOKUP(Vendas[[#This Row],[ID Item Vendido]],Agregado[ID],Agregado[Produto])</f>
        <v>Madeira Bruta (Tora)</v>
      </c>
      <c r="F757" s="39">
        <v>44131</v>
      </c>
      <c r="G757" s="7">
        <v>8</v>
      </c>
      <c r="H757" s="3">
        <f>_xlfn.XLOOKUP(Vendas[[#This Row],[ID Item Vendido]],Agregado[ID],Agregado[Revenda])</f>
        <v>212</v>
      </c>
      <c r="I757" s="3">
        <f>Vendas[[#This Row],[Valor Unitário]]*Vendas[[#This Row],[Qnt Vendida]]</f>
        <v>1696</v>
      </c>
      <c r="J757" s="3">
        <f>Vendas[[#This Row],[Valor da Venda]]-(_xlfn.XLOOKUP(Vendas[[#This Row],[ID Item Vendido]],Agregado[ID],Agregado[Custo])*Vendas[[#This Row],[Qnt Vendida]])</f>
        <v>256</v>
      </c>
      <c r="K757" s="70">
        <f>Vendas[[#This Row],[Lucro da Venda]]/Vendas[[#This Row],[Valor da Venda]]</f>
        <v>0.15094339622641509</v>
      </c>
      <c r="L757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757"/>
    </row>
    <row r="758" spans="1:13" x14ac:dyDescent="0.3">
      <c r="A758" s="7">
        <v>400245</v>
      </c>
      <c r="B758" t="str">
        <f>_xlfn.XLOOKUP(Vendas[[#This Row],[ID Vendedor]],Vendedores[ID],Vendedores[Nome])</f>
        <v>Thiago</v>
      </c>
      <c r="C758" s="7" t="str">
        <f>_xlfn.XLOOKUP(Vendas[[#This Row],[ID Vendedor]],Vendedores[ID],Vendedores[Setor])</f>
        <v>AHD</v>
      </c>
      <c r="D758" s="7" t="s">
        <v>28</v>
      </c>
      <c r="E758" t="str">
        <f>_xlfn.XLOOKUP(Vendas[[#This Row],[ID Item Vendido]],Agregado[ID],Agregado[Produto])</f>
        <v>Peça usinada CNC</v>
      </c>
      <c r="F758" s="39">
        <v>44132</v>
      </c>
      <c r="G758" s="7">
        <v>3</v>
      </c>
      <c r="H758" s="3">
        <f>_xlfn.XLOOKUP(Vendas[[#This Row],[ID Item Vendido]],Agregado[ID],Agregado[Revenda])</f>
        <v>192</v>
      </c>
      <c r="I758" s="3">
        <f>Vendas[[#This Row],[Valor Unitário]]*Vendas[[#This Row],[Qnt Vendida]]</f>
        <v>576</v>
      </c>
      <c r="J758" s="3">
        <f>Vendas[[#This Row],[Valor da Venda]]-(_xlfn.XLOOKUP(Vendas[[#This Row],[ID Item Vendido]],Agregado[ID],Agregado[Custo])*Vendas[[#This Row],[Qnt Vendida]])</f>
        <v>126</v>
      </c>
      <c r="K758" s="70">
        <f>Vendas[[#This Row],[Lucro da Venda]]/Vendas[[#This Row],[Valor da Venda]]</f>
        <v>0.21875</v>
      </c>
      <c r="L758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758"/>
    </row>
    <row r="759" spans="1:13" x14ac:dyDescent="0.3">
      <c r="A759" s="7">
        <v>400243</v>
      </c>
      <c r="B759" t="str">
        <f>_xlfn.XLOOKUP(Vendas[[#This Row],[ID Vendedor]],Vendedores[ID],Vendedores[Nome])</f>
        <v>Marcelo</v>
      </c>
      <c r="C759" s="7" t="str">
        <f>_xlfn.XLOOKUP(Vendas[[#This Row],[ID Vendedor]],Vendedores[ID],Vendedores[Setor])</f>
        <v>FM</v>
      </c>
      <c r="D759" s="7" t="s">
        <v>31</v>
      </c>
      <c r="E759" t="str">
        <f>_xlfn.XLOOKUP(Vendas[[#This Row],[ID Item Vendido]],Agregado[ID],Agregado[Produto])</f>
        <v>Tela de metal soldada rolo 2x25m</v>
      </c>
      <c r="F759" s="39">
        <v>44133</v>
      </c>
      <c r="G759" s="7">
        <v>18</v>
      </c>
      <c r="H759" s="3">
        <f>_xlfn.XLOOKUP(Vendas[[#This Row],[ID Item Vendido]],Agregado[ID],Agregado[Revenda])</f>
        <v>43.7</v>
      </c>
      <c r="I759" s="3">
        <f>Vendas[[#This Row],[Valor Unitário]]*Vendas[[#This Row],[Qnt Vendida]]</f>
        <v>786.6</v>
      </c>
      <c r="J759" s="3">
        <f>Vendas[[#This Row],[Valor da Venda]]-(_xlfn.XLOOKUP(Vendas[[#This Row],[ID Item Vendido]],Agregado[ID],Agregado[Custo])*Vendas[[#This Row],[Qnt Vendida]])</f>
        <v>102.60000000000002</v>
      </c>
      <c r="K759" s="70">
        <f>Vendas[[#This Row],[Lucro da Venda]]/Vendas[[#This Row],[Valor da Venda]]</f>
        <v>0.13043478260869568</v>
      </c>
      <c r="L759" s="3">
        <f>_xlfn.IFS(Vendas[[#This Row],[Margem de Lucro (%)]]&lt;15%,Vendas[[#This Row],[Valor da Venda]]*3%,Vendas[[#This Row],[Margem de Lucro (%)]]&lt;=20%,Vendas[[#This Row],[Valor da Venda]]*4.5%,TRUE,Vendas[[#This Row],[Valor da Venda]]*6%)</f>
        <v>23.597999999999999</v>
      </c>
      <c r="M759"/>
    </row>
    <row r="760" spans="1:13" x14ac:dyDescent="0.3">
      <c r="A760" s="7">
        <v>400241</v>
      </c>
      <c r="B760" t="str">
        <f>_xlfn.XLOOKUP(Vendas[[#This Row],[ID Vendedor]],Vendedores[ID],Vendedores[Nome])</f>
        <v>Rodrigo</v>
      </c>
      <c r="C760" s="7" t="str">
        <f>_xlfn.XLOOKUP(Vendas[[#This Row],[ID Vendedor]],Vendedores[ID],Vendedores[Setor])</f>
        <v>FM</v>
      </c>
      <c r="D760" s="7" t="s">
        <v>31</v>
      </c>
      <c r="E760" t="str">
        <f>_xlfn.XLOOKUP(Vendas[[#This Row],[ID Item Vendido]],Agregado[ID],Agregado[Produto])</f>
        <v>Tela de metal soldada rolo 2x25m</v>
      </c>
      <c r="F760" s="39">
        <v>44135</v>
      </c>
      <c r="G760" s="7">
        <v>19</v>
      </c>
      <c r="H760" s="3">
        <f>_xlfn.XLOOKUP(Vendas[[#This Row],[ID Item Vendido]],Agregado[ID],Agregado[Revenda])</f>
        <v>43.7</v>
      </c>
      <c r="I760" s="3">
        <f>Vendas[[#This Row],[Valor Unitário]]*Vendas[[#This Row],[Qnt Vendida]]</f>
        <v>830.30000000000007</v>
      </c>
      <c r="J760" s="3">
        <f>Vendas[[#This Row],[Valor da Venda]]-(_xlfn.XLOOKUP(Vendas[[#This Row],[ID Item Vendido]],Agregado[ID],Agregado[Custo])*Vendas[[#This Row],[Qnt Vendida]])</f>
        <v>108.30000000000007</v>
      </c>
      <c r="K760" s="70">
        <f>Vendas[[#This Row],[Lucro da Venda]]/Vendas[[#This Row],[Valor da Venda]]</f>
        <v>0.13043478260869573</v>
      </c>
      <c r="L760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760"/>
    </row>
    <row r="761" spans="1:13" x14ac:dyDescent="0.3">
      <c r="A761" s="7">
        <v>400241</v>
      </c>
      <c r="B761" t="str">
        <f>_xlfn.XLOOKUP(Vendas[[#This Row],[ID Vendedor]],Vendedores[ID],Vendedores[Nome])</f>
        <v>Rodrigo</v>
      </c>
      <c r="C761" s="7" t="str">
        <f>_xlfn.XLOOKUP(Vendas[[#This Row],[ID Vendedor]],Vendedores[ID],Vendedores[Setor])</f>
        <v>FM</v>
      </c>
      <c r="D761" s="7" t="s">
        <v>6</v>
      </c>
      <c r="E761" t="str">
        <f>_xlfn.XLOOKUP(Vendas[[#This Row],[ID Item Vendido]],Agregado[ID],Agregado[Produto])</f>
        <v>Parafuso comum 500un</v>
      </c>
      <c r="F761" s="39">
        <v>44135</v>
      </c>
      <c r="G761" s="7">
        <v>22</v>
      </c>
      <c r="H761" s="3">
        <f>_xlfn.XLOOKUP(Vendas[[#This Row],[ID Item Vendido]],Agregado[ID],Agregado[Revenda])</f>
        <v>24.6</v>
      </c>
      <c r="I761" s="3">
        <f>Vendas[[#This Row],[Valor Unitário]]*Vendas[[#This Row],[Qnt Vendida]]</f>
        <v>541.20000000000005</v>
      </c>
      <c r="J761" s="3">
        <f>Vendas[[#This Row],[Valor da Venda]]-(_xlfn.XLOOKUP(Vendas[[#This Row],[ID Item Vendido]],Agregado[ID],Agregado[Custo])*Vendas[[#This Row],[Qnt Vendida]])</f>
        <v>57.200000000000045</v>
      </c>
      <c r="K761" s="70">
        <f>Vendas[[#This Row],[Lucro da Venda]]/Vendas[[#This Row],[Valor da Venda]]</f>
        <v>0.10569105691056918</v>
      </c>
      <c r="L761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761"/>
    </row>
    <row r="762" spans="1:13" x14ac:dyDescent="0.3">
      <c r="A762" s="7">
        <v>400255</v>
      </c>
      <c r="B762" t="str">
        <f>_xlfn.XLOOKUP(Vendas[[#This Row],[ID Vendedor]],Vendedores[ID],Vendedores[Nome])</f>
        <v>Carlos</v>
      </c>
      <c r="C762" s="7" t="str">
        <f>_xlfn.XLOOKUP(Vendas[[#This Row],[ID Vendedor]],Vendedores[ID],Vendedores[Setor])</f>
        <v>SC</v>
      </c>
      <c r="D762" s="7" t="s">
        <v>14</v>
      </c>
      <c r="E762" t="str">
        <f>_xlfn.XLOOKUP(Vendas[[#This Row],[ID Item Vendido]],Agregado[ID],Agregado[Produto])</f>
        <v>Barril de plástico 200L</v>
      </c>
      <c r="F762" s="39">
        <v>44137</v>
      </c>
      <c r="G762" s="7">
        <v>24</v>
      </c>
      <c r="H762" s="3">
        <f>_xlfn.XLOOKUP(Vendas[[#This Row],[ID Item Vendido]],Agregado[ID],Agregado[Revenda])</f>
        <v>114</v>
      </c>
      <c r="I762" s="3">
        <f>Vendas[[#This Row],[Valor Unitário]]*Vendas[[#This Row],[Qnt Vendida]]</f>
        <v>2736</v>
      </c>
      <c r="J762" s="3">
        <f>Vendas[[#This Row],[Valor da Venda]]-(_xlfn.XLOOKUP(Vendas[[#This Row],[ID Item Vendido]],Agregado[ID],Agregado[Custo])*Vendas[[#This Row],[Qnt Vendida]])</f>
        <v>456</v>
      </c>
      <c r="K762" s="70">
        <f>Vendas[[#This Row],[Lucro da Venda]]/Vendas[[#This Row],[Valor da Venda]]</f>
        <v>0.16666666666666666</v>
      </c>
      <c r="L762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762"/>
    </row>
    <row r="763" spans="1:13" x14ac:dyDescent="0.3">
      <c r="A763" s="7">
        <v>400244</v>
      </c>
      <c r="B763" t="str">
        <f>_xlfn.XLOOKUP(Vendas[[#This Row],[ID Vendedor]],Vendedores[ID],Vendedores[Nome])</f>
        <v>Camila</v>
      </c>
      <c r="C763" s="7" t="str">
        <f>_xlfn.XLOOKUP(Vendas[[#This Row],[ID Vendedor]],Vendedores[ID],Vendedores[Setor])</f>
        <v>AHD</v>
      </c>
      <c r="D763" s="7" t="s">
        <v>30</v>
      </c>
      <c r="E763" t="str">
        <f>_xlfn.XLOOKUP(Vendas[[#This Row],[ID Item Vendido]],Agregado[ID],Agregado[Produto])</f>
        <v>Estrutura metálica soldada</v>
      </c>
      <c r="F763" s="39">
        <v>44138</v>
      </c>
      <c r="G763" s="7">
        <v>6</v>
      </c>
      <c r="H763" s="3">
        <f>_xlfn.XLOOKUP(Vendas[[#This Row],[ID Item Vendido]],Agregado[ID],Agregado[Revenda])</f>
        <v>400</v>
      </c>
      <c r="I763" s="3">
        <f>Vendas[[#This Row],[Valor Unitário]]*Vendas[[#This Row],[Qnt Vendida]]</f>
        <v>2400</v>
      </c>
      <c r="J763" s="3">
        <f>Vendas[[#This Row],[Valor da Venda]]-(_xlfn.XLOOKUP(Vendas[[#This Row],[ID Item Vendido]],Agregado[ID],Agregado[Custo])*Vendas[[#This Row],[Qnt Vendida]])</f>
        <v>480</v>
      </c>
      <c r="K763" s="70">
        <f>Vendas[[#This Row],[Lucro da Venda]]/Vendas[[#This Row],[Valor da Venda]]</f>
        <v>0.2</v>
      </c>
      <c r="L763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763"/>
    </row>
    <row r="764" spans="1:13" x14ac:dyDescent="0.3">
      <c r="A764" s="7">
        <v>400255</v>
      </c>
      <c r="B764" t="str">
        <f>_xlfn.XLOOKUP(Vendas[[#This Row],[ID Vendedor]],Vendedores[ID],Vendedores[Nome])</f>
        <v>Carlos</v>
      </c>
      <c r="C764" s="7" t="str">
        <f>_xlfn.XLOOKUP(Vendas[[#This Row],[ID Vendedor]],Vendedores[ID],Vendedores[Setor])</f>
        <v>SC</v>
      </c>
      <c r="D764" s="7" t="s">
        <v>42</v>
      </c>
      <c r="E764" t="str">
        <f>_xlfn.XLOOKUP(Vendas[[#This Row],[ID Item Vendido]],Agregado[ID],Agregado[Produto])</f>
        <v>Container de ferro industrial</v>
      </c>
      <c r="F764" s="39">
        <v>44139</v>
      </c>
      <c r="G764" s="7">
        <v>5</v>
      </c>
      <c r="H764" s="3">
        <f>_xlfn.XLOOKUP(Vendas[[#This Row],[ID Item Vendido]],Agregado[ID],Agregado[Revenda])</f>
        <v>830</v>
      </c>
      <c r="I764" s="3">
        <f>Vendas[[#This Row],[Valor Unitário]]*Vendas[[#This Row],[Qnt Vendida]]</f>
        <v>4150</v>
      </c>
      <c r="J764" s="3">
        <f>Vendas[[#This Row],[Valor da Venda]]-(_xlfn.XLOOKUP(Vendas[[#This Row],[ID Item Vendido]],Agregado[ID],Agregado[Custo])*Vendas[[#This Row],[Qnt Vendida]])</f>
        <v>750</v>
      </c>
      <c r="K764" s="70">
        <f>Vendas[[#This Row],[Lucro da Venda]]/Vendas[[#This Row],[Valor da Venda]]</f>
        <v>0.18072289156626506</v>
      </c>
      <c r="L76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764"/>
    </row>
    <row r="765" spans="1:13" x14ac:dyDescent="0.3">
      <c r="A765" s="7">
        <v>400245</v>
      </c>
      <c r="B765" t="str">
        <f>_xlfn.XLOOKUP(Vendas[[#This Row],[ID Vendedor]],Vendedores[ID],Vendedores[Nome])</f>
        <v>Thiago</v>
      </c>
      <c r="C765" s="7" t="str">
        <f>_xlfn.XLOOKUP(Vendas[[#This Row],[ID Vendedor]],Vendedores[ID],Vendedores[Setor])</f>
        <v>AHD</v>
      </c>
      <c r="D765" s="7" t="s">
        <v>28</v>
      </c>
      <c r="E765" t="str">
        <f>_xlfn.XLOOKUP(Vendas[[#This Row],[ID Item Vendido]],Agregado[ID],Agregado[Produto])</f>
        <v>Peça usinada CNC</v>
      </c>
      <c r="F765" s="39">
        <v>44141</v>
      </c>
      <c r="G765" s="7">
        <v>8</v>
      </c>
      <c r="H765" s="3">
        <f>_xlfn.XLOOKUP(Vendas[[#This Row],[ID Item Vendido]],Agregado[ID],Agregado[Revenda])</f>
        <v>192</v>
      </c>
      <c r="I765" s="3">
        <f>Vendas[[#This Row],[Valor Unitário]]*Vendas[[#This Row],[Qnt Vendida]]</f>
        <v>1536</v>
      </c>
      <c r="J765" s="3">
        <f>Vendas[[#This Row],[Valor da Venda]]-(_xlfn.XLOOKUP(Vendas[[#This Row],[ID Item Vendido]],Agregado[ID],Agregado[Custo])*Vendas[[#This Row],[Qnt Vendida]])</f>
        <v>336</v>
      </c>
      <c r="K765" s="70">
        <f>Vendas[[#This Row],[Lucro da Venda]]/Vendas[[#This Row],[Valor da Venda]]</f>
        <v>0.21875</v>
      </c>
      <c r="L76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765"/>
    </row>
    <row r="766" spans="1:13" x14ac:dyDescent="0.3">
      <c r="A766" s="7">
        <v>400255</v>
      </c>
      <c r="B766" t="str">
        <f>_xlfn.XLOOKUP(Vendas[[#This Row],[ID Vendedor]],Vendedores[ID],Vendedores[Nome])</f>
        <v>Carlos</v>
      </c>
      <c r="C766" s="7" t="str">
        <f>_xlfn.XLOOKUP(Vendas[[#This Row],[ID Vendedor]],Vendedores[ID],Vendedores[Setor])</f>
        <v>SC</v>
      </c>
      <c r="D766" s="7" t="s">
        <v>41</v>
      </c>
      <c r="E766" t="str">
        <f>_xlfn.XLOOKUP(Vendas[[#This Row],[ID Item Vendido]],Agregado[ID],Agregado[Produto])</f>
        <v>Palete de madeira reforçado</v>
      </c>
      <c r="F766" s="39">
        <v>44141</v>
      </c>
      <c r="G766" s="7">
        <v>8</v>
      </c>
      <c r="H766" s="3">
        <f>_xlfn.XLOOKUP(Vendas[[#This Row],[ID Item Vendido]],Agregado[ID],Agregado[Revenda])</f>
        <v>131</v>
      </c>
      <c r="I766" s="3">
        <f>Vendas[[#This Row],[Valor Unitário]]*Vendas[[#This Row],[Qnt Vendida]]</f>
        <v>1048</v>
      </c>
      <c r="J766" s="3">
        <f>Vendas[[#This Row],[Valor da Venda]]-(_xlfn.XLOOKUP(Vendas[[#This Row],[ID Item Vendido]],Agregado[ID],Agregado[Custo])*Vendas[[#This Row],[Qnt Vendida]])</f>
        <v>168</v>
      </c>
      <c r="K766" s="70">
        <f>Vendas[[#This Row],[Lucro da Venda]]/Vendas[[#This Row],[Valor da Venda]]</f>
        <v>0.16030534351145037</v>
      </c>
      <c r="L766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766"/>
    </row>
    <row r="767" spans="1:13" x14ac:dyDescent="0.3">
      <c r="A767" s="7">
        <v>400251</v>
      </c>
      <c r="B767" t="str">
        <f>_xlfn.XLOOKUP(Vendas[[#This Row],[ID Vendedor]],Vendedores[ID],Vendedores[Nome])</f>
        <v>Diego</v>
      </c>
      <c r="C767" s="7" t="str">
        <f>_xlfn.XLOOKUP(Vendas[[#This Row],[ID Vendedor]],Vendedores[ID],Vendedores[Setor])</f>
        <v>AB</v>
      </c>
      <c r="D767" s="7" t="s">
        <v>12</v>
      </c>
      <c r="E767" t="str">
        <f>_xlfn.XLOOKUP(Vendas[[#This Row],[ID Item Vendido]],Agregado[ID],Agregado[Produto])</f>
        <v>Grânulo de plástico reciclado refinado</v>
      </c>
      <c r="F767" s="39">
        <v>44141</v>
      </c>
      <c r="G767" s="7">
        <v>138</v>
      </c>
      <c r="H767" s="3">
        <f>_xlfn.XLOOKUP(Vendas[[#This Row],[ID Item Vendido]],Agregado[ID],Agregado[Revenda])</f>
        <v>4.7</v>
      </c>
      <c r="I767" s="3">
        <f>Vendas[[#This Row],[Valor Unitário]]*Vendas[[#This Row],[Qnt Vendida]]</f>
        <v>648.6</v>
      </c>
      <c r="J767" s="3">
        <f>Vendas[[#This Row],[Valor da Venda]]-(_xlfn.XLOOKUP(Vendas[[#This Row],[ID Item Vendido]],Agregado[ID],Agregado[Custo])*Vendas[[#This Row],[Qnt Vendida]])</f>
        <v>165.60000000000002</v>
      </c>
      <c r="K767" s="70">
        <f>Vendas[[#This Row],[Lucro da Venda]]/Vendas[[#This Row],[Valor da Venda]]</f>
        <v>0.25531914893617025</v>
      </c>
      <c r="L767" s="3">
        <f>_xlfn.IFS(Vendas[[#This Row],[Margem de Lucro (%)]]&lt;15%,Vendas[[#This Row],[Valor da Venda]]*3%,Vendas[[#This Row],[Margem de Lucro (%)]]&lt;=20%,Vendas[[#This Row],[Valor da Venda]]*4.5%,TRUE,Vendas[[#This Row],[Valor da Venda]]*6%)</f>
        <v>38.915999999999997</v>
      </c>
      <c r="M767"/>
    </row>
    <row r="768" spans="1:13" x14ac:dyDescent="0.3">
      <c r="A768" s="7">
        <v>400244</v>
      </c>
      <c r="B768" t="str">
        <f>_xlfn.XLOOKUP(Vendas[[#This Row],[ID Vendedor]],Vendedores[ID],Vendedores[Nome])</f>
        <v>Camila</v>
      </c>
      <c r="C768" s="7" t="str">
        <f>_xlfn.XLOOKUP(Vendas[[#This Row],[ID Vendedor]],Vendedores[ID],Vendedores[Setor])</f>
        <v>AHD</v>
      </c>
      <c r="D768" s="7" t="s">
        <v>28</v>
      </c>
      <c r="E768" t="str">
        <f>_xlfn.XLOOKUP(Vendas[[#This Row],[ID Item Vendido]],Agregado[ID],Agregado[Produto])</f>
        <v>Peça usinada CNC</v>
      </c>
      <c r="F768" s="39">
        <v>44142</v>
      </c>
      <c r="G768" s="7">
        <v>15</v>
      </c>
      <c r="H768" s="3">
        <f>_xlfn.XLOOKUP(Vendas[[#This Row],[ID Item Vendido]],Agregado[ID],Agregado[Revenda])</f>
        <v>192</v>
      </c>
      <c r="I768" s="3">
        <f>Vendas[[#This Row],[Valor Unitário]]*Vendas[[#This Row],[Qnt Vendida]]</f>
        <v>2880</v>
      </c>
      <c r="J768" s="3">
        <f>Vendas[[#This Row],[Valor da Venda]]-(_xlfn.XLOOKUP(Vendas[[#This Row],[ID Item Vendido]],Agregado[ID],Agregado[Custo])*Vendas[[#This Row],[Qnt Vendida]])</f>
        <v>630</v>
      </c>
      <c r="K768" s="70">
        <f>Vendas[[#This Row],[Lucro da Venda]]/Vendas[[#This Row],[Valor da Venda]]</f>
        <v>0.21875</v>
      </c>
      <c r="L768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768"/>
    </row>
    <row r="769" spans="1:13" x14ac:dyDescent="0.3">
      <c r="A769" s="7">
        <v>400244</v>
      </c>
      <c r="B769" t="str">
        <f>_xlfn.XLOOKUP(Vendas[[#This Row],[ID Vendedor]],Vendedores[ID],Vendedores[Nome])</f>
        <v>Camila</v>
      </c>
      <c r="C769" s="7" t="str">
        <f>_xlfn.XLOOKUP(Vendas[[#This Row],[ID Vendedor]],Vendedores[ID],Vendedores[Setor])</f>
        <v>AHD</v>
      </c>
      <c r="D769" s="7" t="s">
        <v>18</v>
      </c>
      <c r="E769" t="str">
        <f>_xlfn.XLOOKUP(Vendas[[#This Row],[ID Item Vendido]],Agregado[ID],Agregado[Produto])</f>
        <v>Peça forjada sob encomenda</v>
      </c>
      <c r="F769" s="39">
        <v>44142</v>
      </c>
      <c r="G769" s="7">
        <v>3</v>
      </c>
      <c r="H769" s="3">
        <f>_xlfn.XLOOKUP(Vendas[[#This Row],[ID Item Vendido]],Agregado[ID],Agregado[Revenda])</f>
        <v>264.60000000000002</v>
      </c>
      <c r="I769" s="3">
        <f>Vendas[[#This Row],[Valor Unitário]]*Vendas[[#This Row],[Qnt Vendida]]</f>
        <v>793.80000000000007</v>
      </c>
      <c r="J769" s="3">
        <f>Vendas[[#This Row],[Valor da Venda]]-(_xlfn.XLOOKUP(Vendas[[#This Row],[ID Item Vendido]],Agregado[ID],Agregado[Custo])*Vendas[[#This Row],[Qnt Vendida]])</f>
        <v>43.800000000000068</v>
      </c>
      <c r="K769" s="70">
        <f>Vendas[[#This Row],[Lucro da Venda]]/Vendas[[#This Row],[Valor da Venda]]</f>
        <v>5.5177626606198113E-2</v>
      </c>
      <c r="L76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769"/>
    </row>
    <row r="770" spans="1:13" x14ac:dyDescent="0.3">
      <c r="A770" s="7">
        <v>400255</v>
      </c>
      <c r="B770" t="str">
        <f>_xlfn.XLOOKUP(Vendas[[#This Row],[ID Vendedor]],Vendedores[ID],Vendedores[Nome])</f>
        <v>Carlos</v>
      </c>
      <c r="C770" s="7" t="str">
        <f>_xlfn.XLOOKUP(Vendas[[#This Row],[ID Vendedor]],Vendedores[ID],Vendedores[Setor])</f>
        <v>SC</v>
      </c>
      <c r="D770" s="7" t="s">
        <v>42</v>
      </c>
      <c r="E770" t="str">
        <f>_xlfn.XLOOKUP(Vendas[[#This Row],[ID Item Vendido]],Agregado[ID],Agregado[Produto])</f>
        <v>Container de ferro industrial</v>
      </c>
      <c r="F770" s="39">
        <v>44143</v>
      </c>
      <c r="G770" s="7">
        <v>6</v>
      </c>
      <c r="H770" s="3">
        <f>_xlfn.XLOOKUP(Vendas[[#This Row],[ID Item Vendido]],Agregado[ID],Agregado[Revenda])</f>
        <v>830</v>
      </c>
      <c r="I770" s="3">
        <f>Vendas[[#This Row],[Valor Unitário]]*Vendas[[#This Row],[Qnt Vendida]]</f>
        <v>4980</v>
      </c>
      <c r="J770" s="3">
        <f>Vendas[[#This Row],[Valor da Venda]]-(_xlfn.XLOOKUP(Vendas[[#This Row],[ID Item Vendido]],Agregado[ID],Agregado[Custo])*Vendas[[#This Row],[Qnt Vendida]])</f>
        <v>900</v>
      </c>
      <c r="K770" s="70">
        <f>Vendas[[#This Row],[Lucro da Venda]]/Vendas[[#This Row],[Valor da Venda]]</f>
        <v>0.18072289156626506</v>
      </c>
      <c r="L77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770"/>
    </row>
    <row r="771" spans="1:13" x14ac:dyDescent="0.3">
      <c r="A771" s="7">
        <v>400244</v>
      </c>
      <c r="B771" t="str">
        <f>_xlfn.XLOOKUP(Vendas[[#This Row],[ID Vendedor]],Vendedores[ID],Vendedores[Nome])</f>
        <v>Camila</v>
      </c>
      <c r="C771" s="7" t="str">
        <f>_xlfn.XLOOKUP(Vendas[[#This Row],[ID Vendedor]],Vendedores[ID],Vendedores[Setor])</f>
        <v>AHD</v>
      </c>
      <c r="D771" s="7" t="s">
        <v>44</v>
      </c>
      <c r="E771" t="str">
        <f>_xlfn.XLOOKUP(Vendas[[#This Row],[ID Item Vendido]],Agregado[ID],Agregado[Produto])</f>
        <v>Liga metálica especial</v>
      </c>
      <c r="F771" s="39">
        <v>44144</v>
      </c>
      <c r="G771" s="7">
        <v>26</v>
      </c>
      <c r="H771" s="3">
        <f>_xlfn.XLOOKUP(Vendas[[#This Row],[ID Item Vendido]],Agregado[ID],Agregado[Revenda])</f>
        <v>32.5</v>
      </c>
      <c r="I771" s="3">
        <f>Vendas[[#This Row],[Valor Unitário]]*Vendas[[#This Row],[Qnt Vendida]]</f>
        <v>845</v>
      </c>
      <c r="J771" s="3">
        <f>Vendas[[#This Row],[Valor da Venda]]-(_xlfn.XLOOKUP(Vendas[[#This Row],[ID Item Vendido]],Agregado[ID],Agregado[Custo])*Vendas[[#This Row],[Qnt Vendida]])</f>
        <v>195</v>
      </c>
      <c r="K771" s="70">
        <f>Vendas[[#This Row],[Lucro da Venda]]/Vendas[[#This Row],[Valor da Venda]]</f>
        <v>0.23076923076923078</v>
      </c>
      <c r="L771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771"/>
    </row>
    <row r="772" spans="1:13" x14ac:dyDescent="0.3">
      <c r="A772" s="7">
        <v>400253</v>
      </c>
      <c r="B772" t="str">
        <f>_xlfn.XLOOKUP(Vendas[[#This Row],[ID Vendedor]],Vendedores[ID],Vendedores[Nome])</f>
        <v>Gustavo</v>
      </c>
      <c r="C772" s="7" t="str">
        <f>_xlfn.XLOOKUP(Vendas[[#This Row],[ID Vendedor]],Vendedores[ID],Vendedores[Setor])</f>
        <v>SC</v>
      </c>
      <c r="D772" s="7" t="s">
        <v>14</v>
      </c>
      <c r="E772" t="str">
        <f>_xlfn.XLOOKUP(Vendas[[#This Row],[ID Item Vendido]],Agregado[ID],Agregado[Produto])</f>
        <v>Barril de plástico 200L</v>
      </c>
      <c r="F772" s="39">
        <v>44145</v>
      </c>
      <c r="G772" s="7">
        <v>19</v>
      </c>
      <c r="H772" s="3">
        <f>_xlfn.XLOOKUP(Vendas[[#This Row],[ID Item Vendido]],Agregado[ID],Agregado[Revenda])</f>
        <v>114</v>
      </c>
      <c r="I772" s="3">
        <f>Vendas[[#This Row],[Valor Unitário]]*Vendas[[#This Row],[Qnt Vendida]]</f>
        <v>2166</v>
      </c>
      <c r="J772" s="3">
        <f>Vendas[[#This Row],[Valor da Venda]]-(_xlfn.XLOOKUP(Vendas[[#This Row],[ID Item Vendido]],Agregado[ID],Agregado[Custo])*Vendas[[#This Row],[Qnt Vendida]])</f>
        <v>361</v>
      </c>
      <c r="K772" s="70">
        <f>Vendas[[#This Row],[Lucro da Venda]]/Vendas[[#This Row],[Valor da Venda]]</f>
        <v>0.16666666666666666</v>
      </c>
      <c r="L772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772"/>
    </row>
    <row r="773" spans="1:13" x14ac:dyDescent="0.3">
      <c r="A773" s="7">
        <v>400243</v>
      </c>
      <c r="B773" t="str">
        <f>_xlfn.XLOOKUP(Vendas[[#This Row],[ID Vendedor]],Vendedores[ID],Vendedores[Nome])</f>
        <v>Marcelo</v>
      </c>
      <c r="C773" s="7" t="str">
        <f>_xlfn.XLOOKUP(Vendas[[#This Row],[ID Vendedor]],Vendedores[ID],Vendedores[Setor])</f>
        <v>FM</v>
      </c>
      <c r="D773" s="7" t="s">
        <v>27</v>
      </c>
      <c r="E773" t="str">
        <f>_xlfn.XLOOKUP(Vendas[[#This Row],[ID Item Vendido]],Agregado[ID],Agregado[Produto])</f>
        <v>Chapa de metal lisa 1x2m</v>
      </c>
      <c r="F773" s="39">
        <v>44145</v>
      </c>
      <c r="G773" s="7">
        <v>6</v>
      </c>
      <c r="H773" s="3">
        <f>_xlfn.XLOOKUP(Vendas[[#This Row],[ID Item Vendido]],Agregado[ID],Agregado[Revenda])</f>
        <v>52</v>
      </c>
      <c r="I773" s="3">
        <f>Vendas[[#This Row],[Valor Unitário]]*Vendas[[#This Row],[Qnt Vendida]]</f>
        <v>312</v>
      </c>
      <c r="J773" s="3">
        <f>Vendas[[#This Row],[Valor da Venda]]-(_xlfn.XLOOKUP(Vendas[[#This Row],[ID Item Vendido]],Agregado[ID],Agregado[Custo])*Vendas[[#This Row],[Qnt Vendida]])</f>
        <v>42</v>
      </c>
      <c r="K773" s="70">
        <f>Vendas[[#This Row],[Lucro da Venda]]/Vendas[[#This Row],[Valor da Venda]]</f>
        <v>0.13461538461538461</v>
      </c>
      <c r="L773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773"/>
    </row>
    <row r="774" spans="1:13" x14ac:dyDescent="0.3">
      <c r="A774" s="7">
        <v>400244</v>
      </c>
      <c r="B774" t="str">
        <f>_xlfn.XLOOKUP(Vendas[[#This Row],[ID Vendedor]],Vendedores[ID],Vendedores[Nome])</f>
        <v>Camila</v>
      </c>
      <c r="C774" s="7" t="str">
        <f>_xlfn.XLOOKUP(Vendas[[#This Row],[ID Vendedor]],Vendedores[ID],Vendedores[Setor])</f>
        <v>AHD</v>
      </c>
      <c r="D774" s="7" t="s">
        <v>9</v>
      </c>
      <c r="E774" t="str">
        <f>_xlfn.XLOOKUP(Vendas[[#This Row],[ID Item Vendido]],Agregado[ID],Agregado[Produto])</f>
        <v>Barra de aço simples</v>
      </c>
      <c r="F774" s="39">
        <v>44145</v>
      </c>
      <c r="G774" s="7">
        <v>39</v>
      </c>
      <c r="H774" s="3">
        <f>_xlfn.XLOOKUP(Vendas[[#This Row],[ID Item Vendido]],Agregado[ID],Agregado[Revenda])</f>
        <v>6.7</v>
      </c>
      <c r="I774" s="3">
        <f>Vendas[[#This Row],[Valor Unitário]]*Vendas[[#This Row],[Qnt Vendida]]</f>
        <v>261.3</v>
      </c>
      <c r="J774" s="3">
        <f>Vendas[[#This Row],[Valor da Venda]]-(_xlfn.XLOOKUP(Vendas[[#This Row],[ID Item Vendido]],Agregado[ID],Agregado[Custo])*Vendas[[#This Row],[Qnt Vendida]])</f>
        <v>35.100000000000023</v>
      </c>
      <c r="K774" s="70">
        <f>Vendas[[#This Row],[Lucro da Venda]]/Vendas[[#This Row],[Valor da Venda]]</f>
        <v>0.13432835820895531</v>
      </c>
      <c r="L774" s="3">
        <f>_xlfn.IFS(Vendas[[#This Row],[Margem de Lucro (%)]]&lt;15%,Vendas[[#This Row],[Valor da Venda]]*3%,Vendas[[#This Row],[Margem de Lucro (%)]]&lt;=20%,Vendas[[#This Row],[Valor da Venda]]*4.5%,TRUE,Vendas[[#This Row],[Valor da Venda]]*6%)</f>
        <v>7.8390000000000004</v>
      </c>
      <c r="M774"/>
    </row>
    <row r="775" spans="1:13" x14ac:dyDescent="0.3">
      <c r="A775" s="7">
        <v>400245</v>
      </c>
      <c r="B775" t="str">
        <f>_xlfn.XLOOKUP(Vendas[[#This Row],[ID Vendedor]],Vendedores[ID],Vendedores[Nome])</f>
        <v>Thiago</v>
      </c>
      <c r="C775" s="7" t="str">
        <f>_xlfn.XLOOKUP(Vendas[[#This Row],[ID Vendedor]],Vendedores[ID],Vendedores[Setor])</f>
        <v>AHD</v>
      </c>
      <c r="D775" s="7" t="s">
        <v>28</v>
      </c>
      <c r="E775" t="str">
        <f>_xlfn.XLOOKUP(Vendas[[#This Row],[ID Item Vendido]],Agregado[ID],Agregado[Produto])</f>
        <v>Peça usinada CNC</v>
      </c>
      <c r="F775" s="39">
        <v>44146</v>
      </c>
      <c r="G775" s="7">
        <v>8</v>
      </c>
      <c r="H775" s="3">
        <f>_xlfn.XLOOKUP(Vendas[[#This Row],[ID Item Vendido]],Agregado[ID],Agregado[Revenda])</f>
        <v>192</v>
      </c>
      <c r="I775" s="3">
        <f>Vendas[[#This Row],[Valor Unitário]]*Vendas[[#This Row],[Qnt Vendida]]</f>
        <v>1536</v>
      </c>
      <c r="J775" s="3">
        <f>Vendas[[#This Row],[Valor da Venda]]-(_xlfn.XLOOKUP(Vendas[[#This Row],[ID Item Vendido]],Agregado[ID],Agregado[Custo])*Vendas[[#This Row],[Qnt Vendida]])</f>
        <v>336</v>
      </c>
      <c r="K775" s="70">
        <f>Vendas[[#This Row],[Lucro da Venda]]/Vendas[[#This Row],[Valor da Venda]]</f>
        <v>0.21875</v>
      </c>
      <c r="L77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775"/>
    </row>
    <row r="776" spans="1:13" x14ac:dyDescent="0.3">
      <c r="A776" s="7">
        <v>400253</v>
      </c>
      <c r="B776" t="str">
        <f>_xlfn.XLOOKUP(Vendas[[#This Row],[ID Vendedor]],Vendedores[ID],Vendedores[Nome])</f>
        <v>Gustavo</v>
      </c>
      <c r="C776" s="7" t="str">
        <f>_xlfn.XLOOKUP(Vendas[[#This Row],[ID Vendedor]],Vendedores[ID],Vendedores[Setor])</f>
        <v>SC</v>
      </c>
      <c r="D776" s="7" t="s">
        <v>25</v>
      </c>
      <c r="E776" t="str">
        <f>_xlfn.XLOOKUP(Vendas[[#This Row],[ID Item Vendido]],Agregado[ID],Agregado[Produto])</f>
        <v>Palete de plástico</v>
      </c>
      <c r="F776" s="39">
        <v>44146</v>
      </c>
      <c r="G776" s="7">
        <v>6</v>
      </c>
      <c r="H776" s="3">
        <f>_xlfn.XLOOKUP(Vendas[[#This Row],[ID Item Vendido]],Agregado[ID],Agregado[Revenda])</f>
        <v>70.8</v>
      </c>
      <c r="I776" s="3">
        <f>Vendas[[#This Row],[Valor Unitário]]*Vendas[[#This Row],[Qnt Vendida]]</f>
        <v>424.79999999999995</v>
      </c>
      <c r="J776" s="3">
        <f>Vendas[[#This Row],[Valor da Venda]]-(_xlfn.XLOOKUP(Vendas[[#This Row],[ID Item Vendido]],Agregado[ID],Agregado[Custo])*Vendas[[#This Row],[Qnt Vendida]])</f>
        <v>64.799999999999955</v>
      </c>
      <c r="K776" s="70">
        <f>Vendas[[#This Row],[Lucro da Venda]]/Vendas[[#This Row],[Valor da Venda]]</f>
        <v>0.15254237288135583</v>
      </c>
      <c r="L776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776"/>
    </row>
    <row r="777" spans="1:13" x14ac:dyDescent="0.3">
      <c r="A777" s="7">
        <v>400244</v>
      </c>
      <c r="B777" t="str">
        <f>_xlfn.XLOOKUP(Vendas[[#This Row],[ID Vendedor]],Vendedores[ID],Vendedores[Nome])</f>
        <v>Camila</v>
      </c>
      <c r="C777" s="7" t="str">
        <f>_xlfn.XLOOKUP(Vendas[[#This Row],[ID Vendedor]],Vendedores[ID],Vendedores[Setor])</f>
        <v>AHD</v>
      </c>
      <c r="D777" s="7" t="s">
        <v>18</v>
      </c>
      <c r="E777" t="str">
        <f>_xlfn.XLOOKUP(Vendas[[#This Row],[ID Item Vendido]],Agregado[ID],Agregado[Produto])</f>
        <v>Peça forjada sob encomenda</v>
      </c>
      <c r="F777" s="39">
        <v>44147</v>
      </c>
      <c r="G777" s="7">
        <v>3</v>
      </c>
      <c r="H777" s="3">
        <f>_xlfn.XLOOKUP(Vendas[[#This Row],[ID Item Vendido]],Agregado[ID],Agregado[Revenda])</f>
        <v>264.60000000000002</v>
      </c>
      <c r="I777" s="3">
        <f>Vendas[[#This Row],[Valor Unitário]]*Vendas[[#This Row],[Qnt Vendida]]</f>
        <v>793.80000000000007</v>
      </c>
      <c r="J777" s="3">
        <f>Vendas[[#This Row],[Valor da Venda]]-(_xlfn.XLOOKUP(Vendas[[#This Row],[ID Item Vendido]],Agregado[ID],Agregado[Custo])*Vendas[[#This Row],[Qnt Vendida]])</f>
        <v>43.800000000000068</v>
      </c>
      <c r="K777" s="70">
        <f>Vendas[[#This Row],[Lucro da Venda]]/Vendas[[#This Row],[Valor da Venda]]</f>
        <v>5.5177626606198113E-2</v>
      </c>
      <c r="L777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777"/>
    </row>
    <row r="778" spans="1:13" x14ac:dyDescent="0.3">
      <c r="A778" s="7">
        <v>400241</v>
      </c>
      <c r="B778" t="str">
        <f>_xlfn.XLOOKUP(Vendas[[#This Row],[ID Vendedor]],Vendedores[ID],Vendedores[Nome])</f>
        <v>Rodrigo</v>
      </c>
      <c r="C778" s="7" t="str">
        <f>_xlfn.XLOOKUP(Vendas[[#This Row],[ID Vendedor]],Vendedores[ID],Vendedores[Setor])</f>
        <v>FM</v>
      </c>
      <c r="D778" s="7" t="s">
        <v>31</v>
      </c>
      <c r="E778" t="str">
        <f>_xlfn.XLOOKUP(Vendas[[#This Row],[ID Item Vendido]],Agregado[ID],Agregado[Produto])</f>
        <v>Tela de metal soldada rolo 2x25m</v>
      </c>
      <c r="F778" s="39">
        <v>44148</v>
      </c>
      <c r="G778" s="7">
        <v>16</v>
      </c>
      <c r="H778" s="3">
        <f>_xlfn.XLOOKUP(Vendas[[#This Row],[ID Item Vendido]],Agregado[ID],Agregado[Revenda])</f>
        <v>43.7</v>
      </c>
      <c r="I778" s="3">
        <f>Vendas[[#This Row],[Valor Unitário]]*Vendas[[#This Row],[Qnt Vendida]]</f>
        <v>699.2</v>
      </c>
      <c r="J778" s="3">
        <f>Vendas[[#This Row],[Valor da Venda]]-(_xlfn.XLOOKUP(Vendas[[#This Row],[ID Item Vendido]],Agregado[ID],Agregado[Custo])*Vendas[[#This Row],[Qnt Vendida]])</f>
        <v>91.200000000000045</v>
      </c>
      <c r="K778" s="70">
        <f>Vendas[[#This Row],[Lucro da Venda]]/Vendas[[#This Row],[Valor da Venda]]</f>
        <v>0.1304347826086957</v>
      </c>
      <c r="L778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778"/>
    </row>
    <row r="779" spans="1:13" x14ac:dyDescent="0.3">
      <c r="A779" s="7">
        <v>400247</v>
      </c>
      <c r="B779" t="str">
        <f>_xlfn.XLOOKUP(Vendas[[#This Row],[ID Vendedor]],Vendedores[ID],Vendedores[Nome])</f>
        <v>André</v>
      </c>
      <c r="C779" s="7" t="str">
        <f>_xlfn.XLOOKUP(Vendas[[#This Row],[ID Vendedor]],Vendedores[ID],Vendedores[Setor])</f>
        <v>CM</v>
      </c>
      <c r="D779" s="7" t="s">
        <v>32</v>
      </c>
      <c r="E779" t="str">
        <f>_xlfn.XLOOKUP(Vendas[[#This Row],[ID Item Vendido]],Agregado[ID],Agregado[Produto])</f>
        <v>Tábua tratada e cortada 3m</v>
      </c>
      <c r="F779" s="39">
        <v>44148</v>
      </c>
      <c r="G779" s="7">
        <v>15</v>
      </c>
      <c r="H779" s="3">
        <f>_xlfn.XLOOKUP(Vendas[[#This Row],[ID Item Vendido]],Agregado[ID],Agregado[Revenda])</f>
        <v>39</v>
      </c>
      <c r="I779" s="3">
        <f>Vendas[[#This Row],[Valor Unitário]]*Vendas[[#This Row],[Qnt Vendida]]</f>
        <v>585</v>
      </c>
      <c r="J779" s="3">
        <f>Vendas[[#This Row],[Valor da Venda]]-(_xlfn.XLOOKUP(Vendas[[#This Row],[ID Item Vendido]],Agregado[ID],Agregado[Custo])*Vendas[[#This Row],[Qnt Vendida]])</f>
        <v>105</v>
      </c>
      <c r="K779" s="70">
        <f>Vendas[[#This Row],[Lucro da Venda]]/Vendas[[#This Row],[Valor da Venda]]</f>
        <v>0.17948717948717949</v>
      </c>
      <c r="L779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779"/>
    </row>
    <row r="780" spans="1:13" x14ac:dyDescent="0.3">
      <c r="A780" s="7">
        <v>400253</v>
      </c>
      <c r="B780" t="str">
        <f>_xlfn.XLOOKUP(Vendas[[#This Row],[ID Vendedor]],Vendedores[ID],Vendedores[Nome])</f>
        <v>Gustavo</v>
      </c>
      <c r="C780" s="7" t="str">
        <f>_xlfn.XLOOKUP(Vendas[[#This Row],[ID Vendedor]],Vendedores[ID],Vendedores[Setor])</f>
        <v>SC</v>
      </c>
      <c r="D780" s="7" t="s">
        <v>42</v>
      </c>
      <c r="E780" t="str">
        <f>_xlfn.XLOOKUP(Vendas[[#This Row],[ID Item Vendido]],Agregado[ID],Agregado[Produto])</f>
        <v>Container de ferro industrial</v>
      </c>
      <c r="F780" s="39">
        <v>44150</v>
      </c>
      <c r="G780" s="7">
        <v>6</v>
      </c>
      <c r="H780" s="3">
        <f>_xlfn.XLOOKUP(Vendas[[#This Row],[ID Item Vendido]],Agregado[ID],Agregado[Revenda])</f>
        <v>830</v>
      </c>
      <c r="I780" s="3">
        <f>Vendas[[#This Row],[Valor Unitário]]*Vendas[[#This Row],[Qnt Vendida]]</f>
        <v>4980</v>
      </c>
      <c r="J780" s="3">
        <f>Vendas[[#This Row],[Valor da Venda]]-(_xlfn.XLOOKUP(Vendas[[#This Row],[ID Item Vendido]],Agregado[ID],Agregado[Custo])*Vendas[[#This Row],[Qnt Vendida]])</f>
        <v>900</v>
      </c>
      <c r="K780" s="70">
        <f>Vendas[[#This Row],[Lucro da Venda]]/Vendas[[#This Row],[Valor da Venda]]</f>
        <v>0.18072289156626506</v>
      </c>
      <c r="L78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780"/>
    </row>
    <row r="781" spans="1:13" x14ac:dyDescent="0.3">
      <c r="A781" s="7">
        <v>400249</v>
      </c>
      <c r="B781" t="str">
        <f>_xlfn.XLOOKUP(Vendas[[#This Row],[ID Vendedor]],Vendedores[ID],Vendedores[Nome])</f>
        <v>Bruno</v>
      </c>
      <c r="C781" s="7" t="str">
        <f>_xlfn.XLOOKUP(Vendas[[#This Row],[ID Vendedor]],Vendedores[ID],Vendedores[Setor])</f>
        <v>CM</v>
      </c>
      <c r="D781" s="7" t="s">
        <v>22</v>
      </c>
      <c r="E781" t="str">
        <f>_xlfn.XLOOKUP(Vendas[[#This Row],[ID Item Vendido]],Agregado[ID],Agregado[Produto])</f>
        <v>Painel MDP 2,75x1,83m</v>
      </c>
      <c r="F781" s="39">
        <v>44150</v>
      </c>
      <c r="G781" s="7">
        <v>21</v>
      </c>
      <c r="H781" s="3">
        <f>_xlfn.XLOOKUP(Vendas[[#This Row],[ID Item Vendido]],Agregado[ID],Agregado[Revenda])</f>
        <v>119</v>
      </c>
      <c r="I781" s="3">
        <f>Vendas[[#This Row],[Valor Unitário]]*Vendas[[#This Row],[Qnt Vendida]]</f>
        <v>2499</v>
      </c>
      <c r="J781" s="3">
        <f>Vendas[[#This Row],[Valor da Venda]]-(_xlfn.XLOOKUP(Vendas[[#This Row],[ID Item Vendido]],Agregado[ID],Agregado[Custo])*Vendas[[#This Row],[Qnt Vendida]])</f>
        <v>504</v>
      </c>
      <c r="K781" s="70">
        <f>Vendas[[#This Row],[Lucro da Venda]]/Vendas[[#This Row],[Valor da Venda]]</f>
        <v>0.20168067226890757</v>
      </c>
      <c r="L781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781"/>
    </row>
    <row r="782" spans="1:13" x14ac:dyDescent="0.3">
      <c r="A782" s="7">
        <v>400249</v>
      </c>
      <c r="B782" t="str">
        <f>_xlfn.XLOOKUP(Vendas[[#This Row],[ID Vendedor]],Vendedores[ID],Vendedores[Nome])</f>
        <v>Bruno</v>
      </c>
      <c r="C782" s="7" t="str">
        <f>_xlfn.XLOOKUP(Vendas[[#This Row],[ID Vendedor]],Vendedores[ID],Vendedores[Setor])</f>
        <v>CM</v>
      </c>
      <c r="D782" s="7" t="s">
        <v>32</v>
      </c>
      <c r="E782" t="str">
        <f>_xlfn.XLOOKUP(Vendas[[#This Row],[ID Item Vendido]],Agregado[ID],Agregado[Produto])</f>
        <v>Tábua tratada e cortada 3m</v>
      </c>
      <c r="F782" s="39">
        <v>44150</v>
      </c>
      <c r="G782" s="7">
        <v>40</v>
      </c>
      <c r="H782" s="3">
        <f>_xlfn.XLOOKUP(Vendas[[#This Row],[ID Item Vendido]],Agregado[ID],Agregado[Revenda])</f>
        <v>39</v>
      </c>
      <c r="I782" s="3">
        <f>Vendas[[#This Row],[Valor Unitário]]*Vendas[[#This Row],[Qnt Vendida]]</f>
        <v>1560</v>
      </c>
      <c r="J782" s="3">
        <f>Vendas[[#This Row],[Valor da Venda]]-(_xlfn.XLOOKUP(Vendas[[#This Row],[ID Item Vendido]],Agregado[ID],Agregado[Custo])*Vendas[[#This Row],[Qnt Vendida]])</f>
        <v>280</v>
      </c>
      <c r="K782" s="70">
        <f>Vendas[[#This Row],[Lucro da Venda]]/Vendas[[#This Row],[Valor da Venda]]</f>
        <v>0.17948717948717949</v>
      </c>
      <c r="L782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782"/>
    </row>
    <row r="783" spans="1:13" x14ac:dyDescent="0.3">
      <c r="A783" s="7">
        <v>400243</v>
      </c>
      <c r="B783" t="str">
        <f>_xlfn.XLOOKUP(Vendas[[#This Row],[ID Vendedor]],Vendedores[ID],Vendedores[Nome])</f>
        <v>Marcelo</v>
      </c>
      <c r="C783" s="7" t="str">
        <f>_xlfn.XLOOKUP(Vendas[[#This Row],[ID Vendedor]],Vendedores[ID],Vendedores[Setor])</f>
        <v>FM</v>
      </c>
      <c r="D783" s="7" t="s">
        <v>27</v>
      </c>
      <c r="E783" t="str">
        <f>_xlfn.XLOOKUP(Vendas[[#This Row],[ID Item Vendido]],Agregado[ID],Agregado[Produto])</f>
        <v>Chapa de metal lisa 1x2m</v>
      </c>
      <c r="F783" s="39">
        <v>44150</v>
      </c>
      <c r="G783" s="7">
        <v>15</v>
      </c>
      <c r="H783" s="3">
        <f>_xlfn.XLOOKUP(Vendas[[#This Row],[ID Item Vendido]],Agregado[ID],Agregado[Revenda])</f>
        <v>52</v>
      </c>
      <c r="I783" s="3">
        <f>Vendas[[#This Row],[Valor Unitário]]*Vendas[[#This Row],[Qnt Vendida]]</f>
        <v>780</v>
      </c>
      <c r="J783" s="3">
        <f>Vendas[[#This Row],[Valor da Venda]]-(_xlfn.XLOOKUP(Vendas[[#This Row],[ID Item Vendido]],Agregado[ID],Agregado[Custo])*Vendas[[#This Row],[Qnt Vendida]])</f>
        <v>105</v>
      </c>
      <c r="K783" s="70">
        <f>Vendas[[#This Row],[Lucro da Venda]]/Vendas[[#This Row],[Valor da Venda]]</f>
        <v>0.13461538461538461</v>
      </c>
      <c r="L783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783"/>
    </row>
    <row r="784" spans="1:13" x14ac:dyDescent="0.3">
      <c r="A784" s="7">
        <v>400251</v>
      </c>
      <c r="B784" t="str">
        <f>_xlfn.XLOOKUP(Vendas[[#This Row],[ID Vendedor]],Vendedores[ID],Vendedores[Nome])</f>
        <v>Diego</v>
      </c>
      <c r="C784" s="7" t="str">
        <f>_xlfn.XLOOKUP(Vendas[[#This Row],[ID Vendedor]],Vendedores[ID],Vendedores[Setor])</f>
        <v>AB</v>
      </c>
      <c r="D784" s="7" t="s">
        <v>37</v>
      </c>
      <c r="E784" t="str">
        <f>_xlfn.XLOOKUP(Vendas[[#This Row],[ID Item Vendido]],Agregado[ID],Agregado[Produto])</f>
        <v>Composto de borracha para vedação rolo 10m</v>
      </c>
      <c r="F784" s="39">
        <v>44150</v>
      </c>
      <c r="G784" s="7">
        <v>9</v>
      </c>
      <c r="H784" s="3">
        <f>_xlfn.XLOOKUP(Vendas[[#This Row],[ID Item Vendido]],Agregado[ID],Agregado[Revenda])</f>
        <v>51.2</v>
      </c>
      <c r="I784" s="3">
        <f>Vendas[[#This Row],[Valor Unitário]]*Vendas[[#This Row],[Qnt Vendida]]</f>
        <v>460.8</v>
      </c>
      <c r="J784" s="3">
        <f>Vendas[[#This Row],[Valor da Venda]]-(_xlfn.XLOOKUP(Vendas[[#This Row],[ID Item Vendido]],Agregado[ID],Agregado[Custo])*Vendas[[#This Row],[Qnt Vendida]])</f>
        <v>100.80000000000001</v>
      </c>
      <c r="K784" s="70">
        <f>Vendas[[#This Row],[Lucro da Venda]]/Vendas[[#This Row],[Valor da Venda]]</f>
        <v>0.21875000000000003</v>
      </c>
      <c r="L784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784"/>
    </row>
    <row r="785" spans="1:13" x14ac:dyDescent="0.3">
      <c r="A785" s="7">
        <v>400241</v>
      </c>
      <c r="B785" t="str">
        <f>_xlfn.XLOOKUP(Vendas[[#This Row],[ID Vendedor]],Vendedores[ID],Vendedores[Nome])</f>
        <v>Rodrigo</v>
      </c>
      <c r="C785" s="7" t="str">
        <f>_xlfn.XLOOKUP(Vendas[[#This Row],[ID Vendedor]],Vendedores[ID],Vendedores[Setor])</f>
        <v>FM</v>
      </c>
      <c r="D785" s="7" t="s">
        <v>27</v>
      </c>
      <c r="E785" t="str">
        <f>_xlfn.XLOOKUP(Vendas[[#This Row],[ID Item Vendido]],Agregado[ID],Agregado[Produto])</f>
        <v>Chapa de metal lisa 1x2m</v>
      </c>
      <c r="F785" s="39">
        <v>44151</v>
      </c>
      <c r="G785" s="7">
        <v>5</v>
      </c>
      <c r="H785" s="3">
        <f>_xlfn.XLOOKUP(Vendas[[#This Row],[ID Item Vendido]],Agregado[ID],Agregado[Revenda])</f>
        <v>52</v>
      </c>
      <c r="I785" s="3">
        <f>Vendas[[#This Row],[Valor Unitário]]*Vendas[[#This Row],[Qnt Vendida]]</f>
        <v>260</v>
      </c>
      <c r="J785" s="3">
        <f>Vendas[[#This Row],[Valor da Venda]]-(_xlfn.XLOOKUP(Vendas[[#This Row],[ID Item Vendido]],Agregado[ID],Agregado[Custo])*Vendas[[#This Row],[Qnt Vendida]])</f>
        <v>35</v>
      </c>
      <c r="K785" s="70">
        <f>Vendas[[#This Row],[Lucro da Venda]]/Vendas[[#This Row],[Valor da Venda]]</f>
        <v>0.13461538461538461</v>
      </c>
      <c r="L785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785"/>
    </row>
    <row r="786" spans="1:13" x14ac:dyDescent="0.3">
      <c r="A786" s="7">
        <v>400251</v>
      </c>
      <c r="B786" t="str">
        <f>_xlfn.XLOOKUP(Vendas[[#This Row],[ID Vendedor]],Vendedores[ID],Vendedores[Nome])</f>
        <v>Diego</v>
      </c>
      <c r="C786" s="7" t="str">
        <f>_xlfn.XLOOKUP(Vendas[[#This Row],[ID Vendedor]],Vendedores[ID],Vendedores[Setor])</f>
        <v>AB</v>
      </c>
      <c r="D786" s="7" t="s">
        <v>36</v>
      </c>
      <c r="E786" t="str">
        <f>_xlfn.XLOOKUP(Vendas[[#This Row],[ID Item Vendido]],Agregado[ID],Agregado[Produto])</f>
        <v>Borracha vulcanizada em manta</v>
      </c>
      <c r="F786" s="39">
        <v>44152</v>
      </c>
      <c r="G786" s="7">
        <v>73</v>
      </c>
      <c r="H786" s="3">
        <f>_xlfn.XLOOKUP(Vendas[[#This Row],[ID Item Vendido]],Agregado[ID],Agregado[Revenda])</f>
        <v>7.8</v>
      </c>
      <c r="I786" s="3">
        <f>Vendas[[#This Row],[Valor Unitário]]*Vendas[[#This Row],[Qnt Vendida]]</f>
        <v>569.4</v>
      </c>
      <c r="J786" s="3">
        <f>Vendas[[#This Row],[Valor da Venda]]-(_xlfn.XLOOKUP(Vendas[[#This Row],[ID Item Vendido]],Agregado[ID],Agregado[Custo])*Vendas[[#This Row],[Qnt Vendida]])</f>
        <v>131.39999999999998</v>
      </c>
      <c r="K786" s="70">
        <f>Vendas[[#This Row],[Lucro da Venda]]/Vendas[[#This Row],[Valor da Venda]]</f>
        <v>0.23076923076923073</v>
      </c>
      <c r="L786" s="3">
        <f>_xlfn.IFS(Vendas[[#This Row],[Margem de Lucro (%)]]&lt;15%,Vendas[[#This Row],[Valor da Venda]]*3%,Vendas[[#This Row],[Margem de Lucro (%)]]&lt;=20%,Vendas[[#This Row],[Valor da Venda]]*4.5%,TRUE,Vendas[[#This Row],[Valor da Venda]]*6%)</f>
        <v>34.163999999999994</v>
      </c>
      <c r="M786"/>
    </row>
    <row r="787" spans="1:13" x14ac:dyDescent="0.3">
      <c r="A787" s="7">
        <v>400247</v>
      </c>
      <c r="B787" t="str">
        <f>_xlfn.XLOOKUP(Vendas[[#This Row],[ID Vendedor]],Vendedores[ID],Vendedores[Nome])</f>
        <v>André</v>
      </c>
      <c r="C787" s="7" t="str">
        <f>_xlfn.XLOOKUP(Vendas[[#This Row],[ID Vendedor]],Vendedores[ID],Vendedores[Setor])</f>
        <v>CM</v>
      </c>
      <c r="D787" s="7" t="s">
        <v>34</v>
      </c>
      <c r="E787" t="str">
        <f>_xlfn.XLOOKUP(Vendas[[#This Row],[ID Item Vendido]],Agregado[ID],Agregado[Produto])</f>
        <v>Restos de madeira p/ MDP/OSB saco de 20kg</v>
      </c>
      <c r="F787" s="39">
        <v>44152</v>
      </c>
      <c r="G787" s="7">
        <v>27</v>
      </c>
      <c r="H787" s="3">
        <f>_xlfn.XLOOKUP(Vendas[[#This Row],[ID Item Vendido]],Agregado[ID],Agregado[Revenda])</f>
        <v>13.8</v>
      </c>
      <c r="I787" s="3">
        <f>Vendas[[#This Row],[Valor Unitário]]*Vendas[[#This Row],[Qnt Vendida]]</f>
        <v>372.6</v>
      </c>
      <c r="J787" s="3">
        <f>Vendas[[#This Row],[Valor da Venda]]-(_xlfn.XLOOKUP(Vendas[[#This Row],[ID Item Vendido]],Agregado[ID],Agregado[Custo])*Vendas[[#This Row],[Qnt Vendida]])</f>
        <v>48.600000000000023</v>
      </c>
      <c r="K787" s="70">
        <f>Vendas[[#This Row],[Lucro da Venda]]/Vendas[[#This Row],[Valor da Venda]]</f>
        <v>0.1304347826086957</v>
      </c>
      <c r="L787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787"/>
    </row>
    <row r="788" spans="1:13" x14ac:dyDescent="0.3">
      <c r="A788" s="7">
        <v>400247</v>
      </c>
      <c r="B788" t="str">
        <f>_xlfn.XLOOKUP(Vendas[[#This Row],[ID Vendedor]],Vendedores[ID],Vendedores[Nome])</f>
        <v>André</v>
      </c>
      <c r="C788" s="7" t="str">
        <f>_xlfn.XLOOKUP(Vendas[[#This Row],[ID Vendedor]],Vendedores[ID],Vendedores[Setor])</f>
        <v>CM</v>
      </c>
      <c r="D788" s="7" t="s">
        <v>22</v>
      </c>
      <c r="E788" t="str">
        <f>_xlfn.XLOOKUP(Vendas[[#This Row],[ID Item Vendido]],Agregado[ID],Agregado[Produto])</f>
        <v>Painel MDP 2,75x1,83m</v>
      </c>
      <c r="F788" s="39">
        <v>44153</v>
      </c>
      <c r="G788" s="7">
        <v>2</v>
      </c>
      <c r="H788" s="3">
        <f>_xlfn.XLOOKUP(Vendas[[#This Row],[ID Item Vendido]],Agregado[ID],Agregado[Revenda])</f>
        <v>119</v>
      </c>
      <c r="I788" s="3">
        <f>Vendas[[#This Row],[Valor Unitário]]*Vendas[[#This Row],[Qnt Vendida]]</f>
        <v>238</v>
      </c>
      <c r="J788" s="3">
        <f>Vendas[[#This Row],[Valor da Venda]]-(_xlfn.XLOOKUP(Vendas[[#This Row],[ID Item Vendido]],Agregado[ID],Agregado[Custo])*Vendas[[#This Row],[Qnt Vendida]])</f>
        <v>48</v>
      </c>
      <c r="K788" s="70">
        <f>Vendas[[#This Row],[Lucro da Venda]]/Vendas[[#This Row],[Valor da Venda]]</f>
        <v>0.20168067226890757</v>
      </c>
      <c r="L788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788"/>
    </row>
    <row r="789" spans="1:13" x14ac:dyDescent="0.3">
      <c r="A789" s="7">
        <v>400243</v>
      </c>
      <c r="B789" t="str">
        <f>_xlfn.XLOOKUP(Vendas[[#This Row],[ID Vendedor]],Vendedores[ID],Vendedores[Nome])</f>
        <v>Marcelo</v>
      </c>
      <c r="C789" s="7" t="str">
        <f>_xlfn.XLOOKUP(Vendas[[#This Row],[ID Vendedor]],Vendedores[ID],Vendedores[Setor])</f>
        <v>FM</v>
      </c>
      <c r="D789" s="7" t="s">
        <v>6</v>
      </c>
      <c r="E789" t="str">
        <f>_xlfn.XLOOKUP(Vendas[[#This Row],[ID Item Vendido]],Agregado[ID],Agregado[Produto])</f>
        <v>Parafuso comum 500un</v>
      </c>
      <c r="F789" s="39">
        <v>44153</v>
      </c>
      <c r="G789" s="7">
        <v>6</v>
      </c>
      <c r="H789" s="3">
        <f>_xlfn.XLOOKUP(Vendas[[#This Row],[ID Item Vendido]],Agregado[ID],Agregado[Revenda])</f>
        <v>24.6</v>
      </c>
      <c r="I789" s="3">
        <f>Vendas[[#This Row],[Valor Unitário]]*Vendas[[#This Row],[Qnt Vendida]]</f>
        <v>147.60000000000002</v>
      </c>
      <c r="J789" s="3">
        <f>Vendas[[#This Row],[Valor da Venda]]-(_xlfn.XLOOKUP(Vendas[[#This Row],[ID Item Vendido]],Agregado[ID],Agregado[Custo])*Vendas[[#This Row],[Qnt Vendida]])</f>
        <v>15.600000000000023</v>
      </c>
      <c r="K789" s="70">
        <f>Vendas[[#This Row],[Lucro da Venda]]/Vendas[[#This Row],[Valor da Venda]]</f>
        <v>0.10569105691056924</v>
      </c>
      <c r="L789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789"/>
    </row>
    <row r="790" spans="1:13" x14ac:dyDescent="0.3">
      <c r="A790" s="7">
        <v>400244</v>
      </c>
      <c r="B790" t="str">
        <f>_xlfn.XLOOKUP(Vendas[[#This Row],[ID Vendedor]],Vendedores[ID],Vendedores[Nome])</f>
        <v>Camila</v>
      </c>
      <c r="C790" s="7" t="str">
        <f>_xlfn.XLOOKUP(Vendas[[#This Row],[ID Vendedor]],Vendedores[ID],Vendedores[Setor])</f>
        <v>AHD</v>
      </c>
      <c r="D790" s="7" t="s">
        <v>9</v>
      </c>
      <c r="E790" t="str">
        <f>_xlfn.XLOOKUP(Vendas[[#This Row],[ID Item Vendido]],Agregado[ID],Agregado[Produto])</f>
        <v>Barra de aço simples</v>
      </c>
      <c r="F790" s="39">
        <v>44154</v>
      </c>
      <c r="G790" s="7">
        <v>117</v>
      </c>
      <c r="H790" s="3">
        <f>_xlfn.XLOOKUP(Vendas[[#This Row],[ID Item Vendido]],Agregado[ID],Agregado[Revenda])</f>
        <v>6.7</v>
      </c>
      <c r="I790" s="3">
        <f>Vendas[[#This Row],[Valor Unitário]]*Vendas[[#This Row],[Qnt Vendida]]</f>
        <v>783.9</v>
      </c>
      <c r="J790" s="3">
        <f>Vendas[[#This Row],[Valor da Venda]]-(_xlfn.XLOOKUP(Vendas[[#This Row],[ID Item Vendido]],Agregado[ID],Agregado[Custo])*Vendas[[#This Row],[Qnt Vendida]])</f>
        <v>105.29999999999995</v>
      </c>
      <c r="K790" s="70">
        <f>Vendas[[#This Row],[Lucro da Venda]]/Vendas[[#This Row],[Valor da Venda]]</f>
        <v>0.13432835820895517</v>
      </c>
      <c r="L790" s="3">
        <f>_xlfn.IFS(Vendas[[#This Row],[Margem de Lucro (%)]]&lt;15%,Vendas[[#This Row],[Valor da Venda]]*3%,Vendas[[#This Row],[Margem de Lucro (%)]]&lt;=20%,Vendas[[#This Row],[Valor da Venda]]*4.5%,TRUE,Vendas[[#This Row],[Valor da Venda]]*6%)</f>
        <v>23.516999999999999</v>
      </c>
      <c r="M790"/>
    </row>
    <row r="791" spans="1:13" x14ac:dyDescent="0.3">
      <c r="A791" s="7">
        <v>400253</v>
      </c>
      <c r="B791" t="str">
        <f>_xlfn.XLOOKUP(Vendas[[#This Row],[ID Vendedor]],Vendedores[ID],Vendedores[Nome])</f>
        <v>Gustavo</v>
      </c>
      <c r="C791" s="7" t="str">
        <f>_xlfn.XLOOKUP(Vendas[[#This Row],[ID Vendedor]],Vendedores[ID],Vendedores[Setor])</f>
        <v>SC</v>
      </c>
      <c r="D791" s="7" t="s">
        <v>42</v>
      </c>
      <c r="E791" t="str">
        <f>_xlfn.XLOOKUP(Vendas[[#This Row],[ID Item Vendido]],Agregado[ID],Agregado[Produto])</f>
        <v>Container de ferro industrial</v>
      </c>
      <c r="F791" s="39">
        <v>44156</v>
      </c>
      <c r="G791" s="7">
        <v>3</v>
      </c>
      <c r="H791" s="3">
        <f>_xlfn.XLOOKUP(Vendas[[#This Row],[ID Item Vendido]],Agregado[ID],Agregado[Revenda])</f>
        <v>830</v>
      </c>
      <c r="I791" s="3">
        <f>Vendas[[#This Row],[Valor Unitário]]*Vendas[[#This Row],[Qnt Vendida]]</f>
        <v>2490</v>
      </c>
      <c r="J791" s="3">
        <f>Vendas[[#This Row],[Valor da Venda]]-(_xlfn.XLOOKUP(Vendas[[#This Row],[ID Item Vendido]],Agregado[ID],Agregado[Custo])*Vendas[[#This Row],[Qnt Vendida]])</f>
        <v>450</v>
      </c>
      <c r="K791" s="70">
        <f>Vendas[[#This Row],[Lucro da Venda]]/Vendas[[#This Row],[Valor da Venda]]</f>
        <v>0.18072289156626506</v>
      </c>
      <c r="L791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791"/>
    </row>
    <row r="792" spans="1:13" x14ac:dyDescent="0.3">
      <c r="A792" s="7">
        <v>400241</v>
      </c>
      <c r="B792" t="str">
        <f>_xlfn.XLOOKUP(Vendas[[#This Row],[ID Vendedor]],Vendedores[ID],Vendedores[Nome])</f>
        <v>Rodrigo</v>
      </c>
      <c r="C792" s="7" t="str">
        <f>_xlfn.XLOOKUP(Vendas[[#This Row],[ID Vendedor]],Vendedores[ID],Vendedores[Setor])</f>
        <v>FM</v>
      </c>
      <c r="D792" s="7" t="s">
        <v>20</v>
      </c>
      <c r="E792" t="str">
        <f>_xlfn.XLOOKUP(Vendas[[#This Row],[ID Item Vendido]],Agregado[ID],Agregado[Produto])</f>
        <v>Barra de aço simples</v>
      </c>
      <c r="F792" s="39">
        <v>44156</v>
      </c>
      <c r="G792" s="7">
        <v>76</v>
      </c>
      <c r="H792" s="3">
        <f>_xlfn.XLOOKUP(Vendas[[#This Row],[ID Item Vendido]],Agregado[ID],Agregado[Revenda])</f>
        <v>4.8</v>
      </c>
      <c r="I792" s="3">
        <f>Vendas[[#This Row],[Valor Unitário]]*Vendas[[#This Row],[Qnt Vendida]]</f>
        <v>364.8</v>
      </c>
      <c r="J792" s="3">
        <f>Vendas[[#This Row],[Valor da Venda]]-(_xlfn.XLOOKUP(Vendas[[#This Row],[ID Item Vendido]],Agregado[ID],Agregado[Custo])*Vendas[[#This Row],[Qnt Vendida]])</f>
        <v>45.600000000000023</v>
      </c>
      <c r="K792" s="70">
        <f>Vendas[[#This Row],[Lucro da Venda]]/Vendas[[#This Row],[Valor da Venda]]</f>
        <v>0.12500000000000006</v>
      </c>
      <c r="L792" s="3">
        <f>_xlfn.IFS(Vendas[[#This Row],[Margem de Lucro (%)]]&lt;15%,Vendas[[#This Row],[Valor da Venda]]*3%,Vendas[[#This Row],[Margem de Lucro (%)]]&lt;=20%,Vendas[[#This Row],[Valor da Venda]]*4.5%,TRUE,Vendas[[#This Row],[Valor da Venda]]*6%)</f>
        <v>10.943999999999999</v>
      </c>
      <c r="M792"/>
    </row>
    <row r="793" spans="1:13" x14ac:dyDescent="0.3">
      <c r="A793" s="7">
        <v>400243</v>
      </c>
      <c r="B793" t="str">
        <f>_xlfn.XLOOKUP(Vendas[[#This Row],[ID Vendedor]],Vendedores[ID],Vendedores[Nome])</f>
        <v>Marcelo</v>
      </c>
      <c r="C793" s="7" t="str">
        <f>_xlfn.XLOOKUP(Vendas[[#This Row],[ID Vendedor]],Vendedores[ID],Vendedores[Setor])</f>
        <v>FM</v>
      </c>
      <c r="D793" s="7" t="s">
        <v>47</v>
      </c>
      <c r="E793" t="str">
        <f>_xlfn.XLOOKUP(Vendas[[#This Row],[ID Item Vendido]],Agregado[ID],Agregado[Produto])</f>
        <v>Fio de arame galvanizado rolo 50m</v>
      </c>
      <c r="F793" s="39">
        <v>44157</v>
      </c>
      <c r="G793" s="7">
        <v>37</v>
      </c>
      <c r="H793" s="3">
        <f>_xlfn.XLOOKUP(Vendas[[#This Row],[ID Item Vendido]],Agregado[ID],Agregado[Revenda])</f>
        <v>21.2</v>
      </c>
      <c r="I793" s="3">
        <f>Vendas[[#This Row],[Valor Unitário]]*Vendas[[#This Row],[Qnt Vendida]]</f>
        <v>784.4</v>
      </c>
      <c r="J793" s="3">
        <f>Vendas[[#This Row],[Valor da Venda]]-(_xlfn.XLOOKUP(Vendas[[#This Row],[ID Item Vendido]],Agregado[ID],Agregado[Custo])*Vendas[[#This Row],[Qnt Vendida]])</f>
        <v>118.39999999999998</v>
      </c>
      <c r="K793" s="70">
        <f>Vendas[[#This Row],[Lucro da Venda]]/Vendas[[#This Row],[Valor da Venda]]</f>
        <v>0.15094339622641506</v>
      </c>
      <c r="L793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793"/>
    </row>
    <row r="794" spans="1:13" x14ac:dyDescent="0.3">
      <c r="A794" s="7">
        <v>400245</v>
      </c>
      <c r="B794" t="str">
        <f>_xlfn.XLOOKUP(Vendas[[#This Row],[ID Vendedor]],Vendedores[ID],Vendedores[Nome])</f>
        <v>Thiago</v>
      </c>
      <c r="C794" s="7" t="str">
        <f>_xlfn.XLOOKUP(Vendas[[#This Row],[ID Vendedor]],Vendedores[ID],Vendedores[Setor])</f>
        <v>AHD</v>
      </c>
      <c r="D794" s="7" t="s">
        <v>9</v>
      </c>
      <c r="E794" t="str">
        <f>_xlfn.XLOOKUP(Vendas[[#This Row],[ID Item Vendido]],Agregado[ID],Agregado[Produto])</f>
        <v>Barra de aço simples</v>
      </c>
      <c r="F794" s="39">
        <v>44157</v>
      </c>
      <c r="G794" s="7">
        <v>49</v>
      </c>
      <c r="H794" s="3">
        <f>_xlfn.XLOOKUP(Vendas[[#This Row],[ID Item Vendido]],Agregado[ID],Agregado[Revenda])</f>
        <v>6.7</v>
      </c>
      <c r="I794" s="3">
        <f>Vendas[[#This Row],[Valor Unitário]]*Vendas[[#This Row],[Qnt Vendida]]</f>
        <v>328.3</v>
      </c>
      <c r="J794" s="3">
        <f>Vendas[[#This Row],[Valor da Venda]]-(_xlfn.XLOOKUP(Vendas[[#This Row],[ID Item Vendido]],Agregado[ID],Agregado[Custo])*Vendas[[#This Row],[Qnt Vendida]])</f>
        <v>44.100000000000023</v>
      </c>
      <c r="K794" s="70">
        <f>Vendas[[#This Row],[Lucro da Venda]]/Vendas[[#This Row],[Valor da Venda]]</f>
        <v>0.13432835820895528</v>
      </c>
      <c r="L794" s="3">
        <f>_xlfn.IFS(Vendas[[#This Row],[Margem de Lucro (%)]]&lt;15%,Vendas[[#This Row],[Valor da Venda]]*3%,Vendas[[#This Row],[Margem de Lucro (%)]]&lt;=20%,Vendas[[#This Row],[Valor da Venda]]*4.5%,TRUE,Vendas[[#This Row],[Valor da Venda]]*6%)</f>
        <v>9.8490000000000002</v>
      </c>
      <c r="M794"/>
    </row>
    <row r="795" spans="1:13" x14ac:dyDescent="0.3">
      <c r="A795" s="7">
        <v>400251</v>
      </c>
      <c r="B795" t="str">
        <f>_xlfn.XLOOKUP(Vendas[[#This Row],[ID Vendedor]],Vendedores[ID],Vendedores[Nome])</f>
        <v>Diego</v>
      </c>
      <c r="C795" s="7" t="str">
        <f>_xlfn.XLOOKUP(Vendas[[#This Row],[ID Vendedor]],Vendedores[ID],Vendedores[Setor])</f>
        <v>AB</v>
      </c>
      <c r="D795" s="7" t="s">
        <v>12</v>
      </c>
      <c r="E795" t="str">
        <f>_xlfn.XLOOKUP(Vendas[[#This Row],[ID Item Vendido]],Agregado[ID],Agregado[Produto])</f>
        <v>Grânulo de plástico reciclado refinado</v>
      </c>
      <c r="F795" s="39">
        <v>44157</v>
      </c>
      <c r="G795" s="7">
        <v>21</v>
      </c>
      <c r="H795" s="3">
        <f>_xlfn.XLOOKUP(Vendas[[#This Row],[ID Item Vendido]],Agregado[ID],Agregado[Revenda])</f>
        <v>4.7</v>
      </c>
      <c r="I795" s="3">
        <f>Vendas[[#This Row],[Valor Unitário]]*Vendas[[#This Row],[Qnt Vendida]]</f>
        <v>98.7</v>
      </c>
      <c r="J795" s="3">
        <f>Vendas[[#This Row],[Valor da Venda]]-(_xlfn.XLOOKUP(Vendas[[#This Row],[ID Item Vendido]],Agregado[ID],Agregado[Custo])*Vendas[[#This Row],[Qnt Vendida]])</f>
        <v>25.200000000000003</v>
      </c>
      <c r="K795" s="70">
        <f>Vendas[[#This Row],[Lucro da Venda]]/Vendas[[#This Row],[Valor da Venda]]</f>
        <v>0.25531914893617025</v>
      </c>
      <c r="L795" s="3">
        <f>_xlfn.IFS(Vendas[[#This Row],[Margem de Lucro (%)]]&lt;15%,Vendas[[#This Row],[Valor da Venda]]*3%,Vendas[[#This Row],[Margem de Lucro (%)]]&lt;=20%,Vendas[[#This Row],[Valor da Venda]]*4.5%,TRUE,Vendas[[#This Row],[Valor da Venda]]*6%)</f>
        <v>5.9219999999999997</v>
      </c>
      <c r="M795"/>
    </row>
    <row r="796" spans="1:13" x14ac:dyDescent="0.3">
      <c r="A796" s="7">
        <v>400249</v>
      </c>
      <c r="B796" t="str">
        <f>_xlfn.XLOOKUP(Vendas[[#This Row],[ID Vendedor]],Vendedores[ID],Vendedores[Nome])</f>
        <v>Bruno</v>
      </c>
      <c r="C796" s="7" t="str">
        <f>_xlfn.XLOOKUP(Vendas[[#This Row],[ID Vendedor]],Vendedores[ID],Vendedores[Setor])</f>
        <v>CM</v>
      </c>
      <c r="D796" s="7" t="s">
        <v>45</v>
      </c>
      <c r="E796" t="str">
        <f>_xlfn.XLOOKUP(Vendas[[#This Row],[ID Item Vendido]],Agregado[ID],Agregado[Produto])</f>
        <v>Viga de madeira tratada 4m</v>
      </c>
      <c r="F796" s="39">
        <v>44159</v>
      </c>
      <c r="G796" s="7">
        <v>19</v>
      </c>
      <c r="H796" s="3">
        <f>_xlfn.XLOOKUP(Vendas[[#This Row],[ID Item Vendido]],Agregado[ID],Agregado[Revenda])</f>
        <v>66</v>
      </c>
      <c r="I796" s="3">
        <f>Vendas[[#This Row],[Valor Unitário]]*Vendas[[#This Row],[Qnt Vendida]]</f>
        <v>1254</v>
      </c>
      <c r="J796" s="3">
        <f>Vendas[[#This Row],[Valor da Venda]]-(_xlfn.XLOOKUP(Vendas[[#This Row],[ID Item Vendido]],Agregado[ID],Agregado[Custo])*Vendas[[#This Row],[Qnt Vendida]])</f>
        <v>209</v>
      </c>
      <c r="K796" s="70">
        <f>Vendas[[#This Row],[Lucro da Venda]]/Vendas[[#This Row],[Valor da Venda]]</f>
        <v>0.16666666666666666</v>
      </c>
      <c r="L796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796"/>
    </row>
    <row r="797" spans="1:13" x14ac:dyDescent="0.3">
      <c r="A797" s="7">
        <v>400251</v>
      </c>
      <c r="B797" t="str">
        <f>_xlfn.XLOOKUP(Vendas[[#This Row],[ID Vendedor]],Vendedores[ID],Vendedores[Nome])</f>
        <v>Diego</v>
      </c>
      <c r="C797" s="7" t="str">
        <f>_xlfn.XLOOKUP(Vendas[[#This Row],[ID Vendedor]],Vendedores[ID],Vendedores[Setor])</f>
        <v>AB</v>
      </c>
      <c r="D797" s="7" t="s">
        <v>36</v>
      </c>
      <c r="E797" t="str">
        <f>_xlfn.XLOOKUP(Vendas[[#This Row],[ID Item Vendido]],Agregado[ID],Agregado[Produto])</f>
        <v>Borracha vulcanizada em manta</v>
      </c>
      <c r="F797" s="39">
        <v>44160</v>
      </c>
      <c r="G797" s="7">
        <v>62</v>
      </c>
      <c r="H797" s="3">
        <f>_xlfn.XLOOKUP(Vendas[[#This Row],[ID Item Vendido]],Agregado[ID],Agregado[Revenda])</f>
        <v>7.8</v>
      </c>
      <c r="I797" s="3">
        <f>Vendas[[#This Row],[Valor Unitário]]*Vendas[[#This Row],[Qnt Vendida]]</f>
        <v>483.59999999999997</v>
      </c>
      <c r="J797" s="3">
        <f>Vendas[[#This Row],[Valor da Venda]]-(_xlfn.XLOOKUP(Vendas[[#This Row],[ID Item Vendido]],Agregado[ID],Agregado[Custo])*Vendas[[#This Row],[Qnt Vendida]])</f>
        <v>111.59999999999997</v>
      </c>
      <c r="K797" s="70">
        <f>Vendas[[#This Row],[Lucro da Venda]]/Vendas[[#This Row],[Valor da Venda]]</f>
        <v>0.23076923076923073</v>
      </c>
      <c r="L797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797"/>
    </row>
    <row r="798" spans="1:13" x14ac:dyDescent="0.3">
      <c r="A798" s="7">
        <v>400247</v>
      </c>
      <c r="B798" t="str">
        <f>_xlfn.XLOOKUP(Vendas[[#This Row],[ID Vendedor]],Vendedores[ID],Vendedores[Nome])</f>
        <v>André</v>
      </c>
      <c r="C798" s="7" t="str">
        <f>_xlfn.XLOOKUP(Vendas[[#This Row],[ID Vendedor]],Vendedores[ID],Vendedores[Setor])</f>
        <v>CM</v>
      </c>
      <c r="D798" s="7" t="s">
        <v>22</v>
      </c>
      <c r="E798" t="str">
        <f>_xlfn.XLOOKUP(Vendas[[#This Row],[ID Item Vendido]],Agregado[ID],Agregado[Produto])</f>
        <v>Painel MDP 2,75x1,83m</v>
      </c>
      <c r="F798" s="39">
        <v>44162</v>
      </c>
      <c r="G798" s="7">
        <v>20</v>
      </c>
      <c r="H798" s="3">
        <f>_xlfn.XLOOKUP(Vendas[[#This Row],[ID Item Vendido]],Agregado[ID],Agregado[Revenda])</f>
        <v>119</v>
      </c>
      <c r="I798" s="3">
        <f>Vendas[[#This Row],[Valor Unitário]]*Vendas[[#This Row],[Qnt Vendida]]</f>
        <v>2380</v>
      </c>
      <c r="J798" s="3">
        <f>Vendas[[#This Row],[Valor da Venda]]-(_xlfn.XLOOKUP(Vendas[[#This Row],[ID Item Vendido]],Agregado[ID],Agregado[Custo])*Vendas[[#This Row],[Qnt Vendida]])</f>
        <v>480</v>
      </c>
      <c r="K798" s="70">
        <f>Vendas[[#This Row],[Lucro da Venda]]/Vendas[[#This Row],[Valor da Venda]]</f>
        <v>0.20168067226890757</v>
      </c>
      <c r="L798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798"/>
    </row>
    <row r="799" spans="1:13" x14ac:dyDescent="0.3">
      <c r="A799" s="7">
        <v>400253</v>
      </c>
      <c r="B799" t="str">
        <f>_xlfn.XLOOKUP(Vendas[[#This Row],[ID Vendedor]],Vendedores[ID],Vendedores[Nome])</f>
        <v>Gustavo</v>
      </c>
      <c r="C799" s="7" t="str">
        <f>_xlfn.XLOOKUP(Vendas[[#This Row],[ID Vendedor]],Vendedores[ID],Vendedores[Setor])</f>
        <v>SC</v>
      </c>
      <c r="D799" s="7" t="s">
        <v>42</v>
      </c>
      <c r="E799" t="str">
        <f>_xlfn.XLOOKUP(Vendas[[#This Row],[ID Item Vendido]],Agregado[ID],Agregado[Produto])</f>
        <v>Container de ferro industrial</v>
      </c>
      <c r="F799" s="39">
        <v>44165</v>
      </c>
      <c r="G799" s="7">
        <v>6</v>
      </c>
      <c r="H799" s="3">
        <f>_xlfn.XLOOKUP(Vendas[[#This Row],[ID Item Vendido]],Agregado[ID],Agregado[Revenda])</f>
        <v>830</v>
      </c>
      <c r="I799" s="3">
        <f>Vendas[[#This Row],[Valor Unitário]]*Vendas[[#This Row],[Qnt Vendida]]</f>
        <v>4980</v>
      </c>
      <c r="J799" s="3">
        <f>Vendas[[#This Row],[Valor da Venda]]-(_xlfn.XLOOKUP(Vendas[[#This Row],[ID Item Vendido]],Agregado[ID],Agregado[Custo])*Vendas[[#This Row],[Qnt Vendida]])</f>
        <v>900</v>
      </c>
      <c r="K799" s="70">
        <f>Vendas[[#This Row],[Lucro da Venda]]/Vendas[[#This Row],[Valor da Venda]]</f>
        <v>0.18072289156626506</v>
      </c>
      <c r="L799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799"/>
    </row>
    <row r="800" spans="1:13" x14ac:dyDescent="0.3">
      <c r="A800" s="7">
        <v>400245</v>
      </c>
      <c r="B800" t="str">
        <f>_xlfn.XLOOKUP(Vendas[[#This Row],[ID Vendedor]],Vendedores[ID],Vendedores[Nome])</f>
        <v>Thiago</v>
      </c>
      <c r="C800" s="7" t="str">
        <f>_xlfn.XLOOKUP(Vendas[[#This Row],[ID Vendedor]],Vendedores[ID],Vendedores[Setor])</f>
        <v>AHD</v>
      </c>
      <c r="D800" s="7" t="s">
        <v>44</v>
      </c>
      <c r="E800" t="str">
        <f>_xlfn.XLOOKUP(Vendas[[#This Row],[ID Item Vendido]],Agregado[ID],Agregado[Produto])</f>
        <v>Liga metálica especial</v>
      </c>
      <c r="F800" s="39">
        <v>44165</v>
      </c>
      <c r="G800" s="7">
        <v>13</v>
      </c>
      <c r="H800" s="3">
        <f>_xlfn.XLOOKUP(Vendas[[#This Row],[ID Item Vendido]],Agregado[ID],Agregado[Revenda])</f>
        <v>32.5</v>
      </c>
      <c r="I800" s="3">
        <f>Vendas[[#This Row],[Valor Unitário]]*Vendas[[#This Row],[Qnt Vendida]]</f>
        <v>422.5</v>
      </c>
      <c r="J800" s="3">
        <f>Vendas[[#This Row],[Valor da Venda]]-(_xlfn.XLOOKUP(Vendas[[#This Row],[ID Item Vendido]],Agregado[ID],Agregado[Custo])*Vendas[[#This Row],[Qnt Vendida]])</f>
        <v>97.5</v>
      </c>
      <c r="K800" s="70">
        <f>Vendas[[#This Row],[Lucro da Venda]]/Vendas[[#This Row],[Valor da Venda]]</f>
        <v>0.23076923076923078</v>
      </c>
      <c r="L800" s="3">
        <f>_xlfn.IFS(Vendas[[#This Row],[Margem de Lucro (%)]]&lt;15%,Vendas[[#This Row],[Valor da Venda]]*3%,Vendas[[#This Row],[Margem de Lucro (%)]]&lt;=20%,Vendas[[#This Row],[Valor da Venda]]*4.5%,TRUE,Vendas[[#This Row],[Valor da Venda]]*6%)</f>
        <v>25.349999999999998</v>
      </c>
      <c r="M800"/>
    </row>
    <row r="801" spans="1:13" x14ac:dyDescent="0.3">
      <c r="A801" s="7">
        <v>400244</v>
      </c>
      <c r="B801" t="str">
        <f>_xlfn.XLOOKUP(Vendas[[#This Row],[ID Vendedor]],Vendedores[ID],Vendedores[Nome])</f>
        <v>Camila</v>
      </c>
      <c r="C801" s="7" t="str">
        <f>_xlfn.XLOOKUP(Vendas[[#This Row],[ID Vendedor]],Vendedores[ID],Vendedores[Setor])</f>
        <v>AHD</v>
      </c>
      <c r="D801" s="7" t="s">
        <v>44</v>
      </c>
      <c r="E801" t="str">
        <f>_xlfn.XLOOKUP(Vendas[[#This Row],[ID Item Vendido]],Agregado[ID],Agregado[Produto])</f>
        <v>Liga metálica especial</v>
      </c>
      <c r="F801" s="39">
        <v>44166</v>
      </c>
      <c r="G801" s="7">
        <v>55</v>
      </c>
      <c r="H801" s="3">
        <f>_xlfn.XLOOKUP(Vendas[[#This Row],[ID Item Vendido]],Agregado[ID],Agregado[Revenda])</f>
        <v>32.5</v>
      </c>
      <c r="I801" s="3">
        <f>Vendas[[#This Row],[Valor Unitário]]*Vendas[[#This Row],[Qnt Vendida]]</f>
        <v>1787.5</v>
      </c>
      <c r="J801" s="3">
        <f>Vendas[[#This Row],[Valor da Venda]]-(_xlfn.XLOOKUP(Vendas[[#This Row],[ID Item Vendido]],Agregado[ID],Agregado[Custo])*Vendas[[#This Row],[Qnt Vendida]])</f>
        <v>412.5</v>
      </c>
      <c r="K801" s="70">
        <f>Vendas[[#This Row],[Lucro da Venda]]/Vendas[[#This Row],[Valor da Venda]]</f>
        <v>0.23076923076923078</v>
      </c>
      <c r="L801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801"/>
    </row>
    <row r="802" spans="1:13" x14ac:dyDescent="0.3">
      <c r="A802" s="7">
        <v>400244</v>
      </c>
      <c r="B802" t="str">
        <f>_xlfn.XLOOKUP(Vendas[[#This Row],[ID Vendedor]],Vendedores[ID],Vendedores[Nome])</f>
        <v>Camila</v>
      </c>
      <c r="C802" s="7" t="str">
        <f>_xlfn.XLOOKUP(Vendas[[#This Row],[ID Vendedor]],Vendedores[ID],Vendedores[Setor])</f>
        <v>AHD</v>
      </c>
      <c r="D802" s="7" t="s">
        <v>9</v>
      </c>
      <c r="E802" t="str">
        <f>_xlfn.XLOOKUP(Vendas[[#This Row],[ID Item Vendido]],Agregado[ID],Agregado[Produto])</f>
        <v>Barra de aço simples</v>
      </c>
      <c r="F802" s="39">
        <v>44166</v>
      </c>
      <c r="G802" s="7">
        <v>138</v>
      </c>
      <c r="H802" s="3">
        <f>_xlfn.XLOOKUP(Vendas[[#This Row],[ID Item Vendido]],Agregado[ID],Agregado[Revenda])</f>
        <v>6.7</v>
      </c>
      <c r="I802" s="3">
        <f>Vendas[[#This Row],[Valor Unitário]]*Vendas[[#This Row],[Qnt Vendida]]</f>
        <v>924.6</v>
      </c>
      <c r="J802" s="3">
        <f>Vendas[[#This Row],[Valor da Venda]]-(_xlfn.XLOOKUP(Vendas[[#This Row],[ID Item Vendido]],Agregado[ID],Agregado[Custo])*Vendas[[#This Row],[Qnt Vendida]])</f>
        <v>124.20000000000005</v>
      </c>
      <c r="K802" s="70">
        <f>Vendas[[#This Row],[Lucro da Venda]]/Vendas[[#This Row],[Valor da Venda]]</f>
        <v>0.13432835820895528</v>
      </c>
      <c r="L802" s="3">
        <f>_xlfn.IFS(Vendas[[#This Row],[Margem de Lucro (%)]]&lt;15%,Vendas[[#This Row],[Valor da Venda]]*3%,Vendas[[#This Row],[Margem de Lucro (%)]]&lt;=20%,Vendas[[#This Row],[Valor da Venda]]*4.5%,TRUE,Vendas[[#This Row],[Valor da Venda]]*6%)</f>
        <v>27.738</v>
      </c>
      <c r="M802"/>
    </row>
    <row r="803" spans="1:13" x14ac:dyDescent="0.3">
      <c r="A803" s="7">
        <v>400249</v>
      </c>
      <c r="B803" t="str">
        <f>_xlfn.XLOOKUP(Vendas[[#This Row],[ID Vendedor]],Vendedores[ID],Vendedores[Nome])</f>
        <v>Bruno</v>
      </c>
      <c r="C803" s="7" t="str">
        <f>_xlfn.XLOOKUP(Vendas[[#This Row],[ID Vendedor]],Vendedores[ID],Vendedores[Setor])</f>
        <v>CM</v>
      </c>
      <c r="D803" s="7" t="s">
        <v>34</v>
      </c>
      <c r="E803" t="str">
        <f>_xlfn.XLOOKUP(Vendas[[#This Row],[ID Item Vendido]],Agregado[ID],Agregado[Produto])</f>
        <v>Restos de madeira p/ MDP/OSB saco de 20kg</v>
      </c>
      <c r="F803" s="39">
        <v>44166</v>
      </c>
      <c r="G803" s="7">
        <v>29</v>
      </c>
      <c r="H803" s="3">
        <f>_xlfn.XLOOKUP(Vendas[[#This Row],[ID Item Vendido]],Agregado[ID],Agregado[Revenda])</f>
        <v>13.8</v>
      </c>
      <c r="I803" s="3">
        <f>Vendas[[#This Row],[Valor Unitário]]*Vendas[[#This Row],[Qnt Vendida]]</f>
        <v>400.20000000000005</v>
      </c>
      <c r="J803" s="3">
        <f>Vendas[[#This Row],[Valor da Venda]]-(_xlfn.XLOOKUP(Vendas[[#This Row],[ID Item Vendido]],Agregado[ID],Agregado[Custo])*Vendas[[#This Row],[Qnt Vendida]])</f>
        <v>52.200000000000045</v>
      </c>
      <c r="K803" s="70">
        <f>Vendas[[#This Row],[Lucro da Venda]]/Vendas[[#This Row],[Valor da Venda]]</f>
        <v>0.13043478260869576</v>
      </c>
      <c r="L803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803"/>
    </row>
    <row r="804" spans="1:13" x14ac:dyDescent="0.3">
      <c r="A804" s="7">
        <v>400247</v>
      </c>
      <c r="B804" t="str">
        <f>_xlfn.XLOOKUP(Vendas[[#This Row],[ID Vendedor]],Vendedores[ID],Vendedores[Nome])</f>
        <v>André</v>
      </c>
      <c r="C804" s="7" t="str">
        <f>_xlfn.XLOOKUP(Vendas[[#This Row],[ID Vendedor]],Vendedores[ID],Vendedores[Setor])</f>
        <v>CM</v>
      </c>
      <c r="D804" s="7" t="s">
        <v>45</v>
      </c>
      <c r="E804" t="str">
        <f>_xlfn.XLOOKUP(Vendas[[#This Row],[ID Item Vendido]],Agregado[ID],Agregado[Produto])</f>
        <v>Viga de madeira tratada 4m</v>
      </c>
      <c r="F804" s="39">
        <v>44167</v>
      </c>
      <c r="G804" s="7">
        <v>11</v>
      </c>
      <c r="H804" s="3">
        <f>_xlfn.XLOOKUP(Vendas[[#This Row],[ID Item Vendido]],Agregado[ID],Agregado[Revenda])</f>
        <v>66</v>
      </c>
      <c r="I804" s="3">
        <f>Vendas[[#This Row],[Valor Unitário]]*Vendas[[#This Row],[Qnt Vendida]]</f>
        <v>726</v>
      </c>
      <c r="J804" s="3">
        <f>Vendas[[#This Row],[Valor da Venda]]-(_xlfn.XLOOKUP(Vendas[[#This Row],[ID Item Vendido]],Agregado[ID],Agregado[Custo])*Vendas[[#This Row],[Qnt Vendida]])</f>
        <v>121</v>
      </c>
      <c r="K804" s="70">
        <f>Vendas[[#This Row],[Lucro da Venda]]/Vendas[[#This Row],[Valor da Venda]]</f>
        <v>0.16666666666666666</v>
      </c>
      <c r="L804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804"/>
    </row>
    <row r="805" spans="1:13" x14ac:dyDescent="0.3">
      <c r="A805" s="7">
        <v>400241</v>
      </c>
      <c r="B805" t="str">
        <f>_xlfn.XLOOKUP(Vendas[[#This Row],[ID Vendedor]],Vendedores[ID],Vendedores[Nome])</f>
        <v>Rodrigo</v>
      </c>
      <c r="C805" s="7" t="str">
        <f>_xlfn.XLOOKUP(Vendas[[#This Row],[ID Vendedor]],Vendedores[ID],Vendedores[Setor])</f>
        <v>FM</v>
      </c>
      <c r="D805" s="7" t="s">
        <v>47</v>
      </c>
      <c r="E805" t="str">
        <f>_xlfn.XLOOKUP(Vendas[[#This Row],[ID Item Vendido]],Agregado[ID],Agregado[Produto])</f>
        <v>Fio de arame galvanizado rolo 50m</v>
      </c>
      <c r="F805" s="39">
        <v>44167</v>
      </c>
      <c r="G805" s="7">
        <v>5</v>
      </c>
      <c r="H805" s="3">
        <f>_xlfn.XLOOKUP(Vendas[[#This Row],[ID Item Vendido]],Agregado[ID],Agregado[Revenda])</f>
        <v>21.2</v>
      </c>
      <c r="I805" s="3">
        <f>Vendas[[#This Row],[Valor Unitário]]*Vendas[[#This Row],[Qnt Vendida]]</f>
        <v>106</v>
      </c>
      <c r="J805" s="3">
        <f>Vendas[[#This Row],[Valor da Venda]]-(_xlfn.XLOOKUP(Vendas[[#This Row],[ID Item Vendido]],Agregado[ID],Agregado[Custo])*Vendas[[#This Row],[Qnt Vendida]])</f>
        <v>16</v>
      </c>
      <c r="K805" s="70">
        <f>Vendas[[#This Row],[Lucro da Venda]]/Vendas[[#This Row],[Valor da Venda]]</f>
        <v>0.15094339622641509</v>
      </c>
      <c r="L805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805"/>
    </row>
    <row r="806" spans="1:13" x14ac:dyDescent="0.3">
      <c r="A806" s="7">
        <v>400244</v>
      </c>
      <c r="B806" t="str">
        <f>_xlfn.XLOOKUP(Vendas[[#This Row],[ID Vendedor]],Vendedores[ID],Vendedores[Nome])</f>
        <v>Camila</v>
      </c>
      <c r="C806" s="7" t="str">
        <f>_xlfn.XLOOKUP(Vendas[[#This Row],[ID Vendedor]],Vendedores[ID],Vendedores[Setor])</f>
        <v>AHD</v>
      </c>
      <c r="D806" s="7" t="s">
        <v>30</v>
      </c>
      <c r="E806" t="str">
        <f>_xlfn.XLOOKUP(Vendas[[#This Row],[ID Item Vendido]],Agregado[ID],Agregado[Produto])</f>
        <v>Estrutura metálica soldada</v>
      </c>
      <c r="F806" s="39">
        <v>44168</v>
      </c>
      <c r="G806" s="7">
        <v>8</v>
      </c>
      <c r="H806" s="3">
        <f>_xlfn.XLOOKUP(Vendas[[#This Row],[ID Item Vendido]],Agregado[ID],Agregado[Revenda])</f>
        <v>400</v>
      </c>
      <c r="I806" s="3">
        <f>Vendas[[#This Row],[Valor Unitário]]*Vendas[[#This Row],[Qnt Vendida]]</f>
        <v>3200</v>
      </c>
      <c r="J806" s="3">
        <f>Vendas[[#This Row],[Valor da Venda]]-(_xlfn.XLOOKUP(Vendas[[#This Row],[ID Item Vendido]],Agregado[ID],Agregado[Custo])*Vendas[[#This Row],[Qnt Vendida]])</f>
        <v>640</v>
      </c>
      <c r="K806" s="70">
        <f>Vendas[[#This Row],[Lucro da Venda]]/Vendas[[#This Row],[Valor da Venda]]</f>
        <v>0.2</v>
      </c>
      <c r="L806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806"/>
    </row>
    <row r="807" spans="1:13" x14ac:dyDescent="0.3">
      <c r="A807" s="7">
        <v>400247</v>
      </c>
      <c r="B807" t="str">
        <f>_xlfn.XLOOKUP(Vendas[[#This Row],[ID Vendedor]],Vendedores[ID],Vendedores[Nome])</f>
        <v>André</v>
      </c>
      <c r="C807" s="7" t="str">
        <f>_xlfn.XLOOKUP(Vendas[[#This Row],[ID Vendedor]],Vendedores[ID],Vendedores[Setor])</f>
        <v>CM</v>
      </c>
      <c r="D807" s="7" t="s">
        <v>32</v>
      </c>
      <c r="E807" t="str">
        <f>_xlfn.XLOOKUP(Vendas[[#This Row],[ID Item Vendido]],Agregado[ID],Agregado[Produto])</f>
        <v>Tábua tratada e cortada 3m</v>
      </c>
      <c r="F807" s="39">
        <v>44168</v>
      </c>
      <c r="G807" s="7">
        <v>15</v>
      </c>
      <c r="H807" s="3">
        <f>_xlfn.XLOOKUP(Vendas[[#This Row],[ID Item Vendido]],Agregado[ID],Agregado[Revenda])</f>
        <v>39</v>
      </c>
      <c r="I807" s="3">
        <f>Vendas[[#This Row],[Valor Unitário]]*Vendas[[#This Row],[Qnt Vendida]]</f>
        <v>585</v>
      </c>
      <c r="J807" s="3">
        <f>Vendas[[#This Row],[Valor da Venda]]-(_xlfn.XLOOKUP(Vendas[[#This Row],[ID Item Vendido]],Agregado[ID],Agregado[Custo])*Vendas[[#This Row],[Qnt Vendida]])</f>
        <v>105</v>
      </c>
      <c r="K807" s="70">
        <f>Vendas[[#This Row],[Lucro da Venda]]/Vendas[[#This Row],[Valor da Venda]]</f>
        <v>0.17948717948717949</v>
      </c>
      <c r="L807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807"/>
    </row>
    <row r="808" spans="1:13" x14ac:dyDescent="0.3">
      <c r="A808" s="7">
        <v>400251</v>
      </c>
      <c r="B808" t="str">
        <f>_xlfn.XLOOKUP(Vendas[[#This Row],[ID Vendedor]],Vendedores[ID],Vendedores[Nome])</f>
        <v>Diego</v>
      </c>
      <c r="C808" s="7" t="str">
        <f>_xlfn.XLOOKUP(Vendas[[#This Row],[ID Vendedor]],Vendedores[ID],Vendedores[Setor])</f>
        <v>AB</v>
      </c>
      <c r="D808" s="7" t="s">
        <v>36</v>
      </c>
      <c r="E808" t="str">
        <f>_xlfn.XLOOKUP(Vendas[[#This Row],[ID Item Vendido]],Agregado[ID],Agregado[Produto])</f>
        <v>Borracha vulcanizada em manta</v>
      </c>
      <c r="F808" s="39">
        <v>44168</v>
      </c>
      <c r="G808" s="7">
        <v>48</v>
      </c>
      <c r="H808" s="3">
        <f>_xlfn.XLOOKUP(Vendas[[#This Row],[ID Item Vendido]],Agregado[ID],Agregado[Revenda])</f>
        <v>7.8</v>
      </c>
      <c r="I808" s="3">
        <f>Vendas[[#This Row],[Valor Unitário]]*Vendas[[#This Row],[Qnt Vendida]]</f>
        <v>374.4</v>
      </c>
      <c r="J808" s="3">
        <f>Vendas[[#This Row],[Valor da Venda]]-(_xlfn.XLOOKUP(Vendas[[#This Row],[ID Item Vendido]],Agregado[ID],Agregado[Custo])*Vendas[[#This Row],[Qnt Vendida]])</f>
        <v>86.399999999999977</v>
      </c>
      <c r="K808" s="70">
        <f>Vendas[[#This Row],[Lucro da Venda]]/Vendas[[#This Row],[Valor da Venda]]</f>
        <v>0.23076923076923073</v>
      </c>
      <c r="L808" s="3">
        <f>_xlfn.IFS(Vendas[[#This Row],[Margem de Lucro (%)]]&lt;15%,Vendas[[#This Row],[Valor da Venda]]*3%,Vendas[[#This Row],[Margem de Lucro (%)]]&lt;=20%,Vendas[[#This Row],[Valor da Venda]]*4.5%,TRUE,Vendas[[#This Row],[Valor da Venda]]*6%)</f>
        <v>22.463999999999999</v>
      </c>
      <c r="M808"/>
    </row>
    <row r="809" spans="1:13" x14ac:dyDescent="0.3">
      <c r="A809" s="7">
        <v>400247</v>
      </c>
      <c r="B809" t="str">
        <f>_xlfn.XLOOKUP(Vendas[[#This Row],[ID Vendedor]],Vendedores[ID],Vendedores[Nome])</f>
        <v>André</v>
      </c>
      <c r="C809" s="7" t="str">
        <f>_xlfn.XLOOKUP(Vendas[[#This Row],[ID Vendedor]],Vendedores[ID],Vendedores[Setor])</f>
        <v>CM</v>
      </c>
      <c r="D809" s="7" t="s">
        <v>45</v>
      </c>
      <c r="E809" t="str">
        <f>_xlfn.XLOOKUP(Vendas[[#This Row],[ID Item Vendido]],Agregado[ID],Agregado[Produto])</f>
        <v>Viga de madeira tratada 4m</v>
      </c>
      <c r="F809" s="39">
        <v>44173</v>
      </c>
      <c r="G809" s="7">
        <v>20</v>
      </c>
      <c r="H809" s="3">
        <f>_xlfn.XLOOKUP(Vendas[[#This Row],[ID Item Vendido]],Agregado[ID],Agregado[Revenda])</f>
        <v>66</v>
      </c>
      <c r="I809" s="3">
        <f>Vendas[[#This Row],[Valor Unitário]]*Vendas[[#This Row],[Qnt Vendida]]</f>
        <v>1320</v>
      </c>
      <c r="J809" s="3">
        <f>Vendas[[#This Row],[Valor da Venda]]-(_xlfn.XLOOKUP(Vendas[[#This Row],[ID Item Vendido]],Agregado[ID],Agregado[Custo])*Vendas[[#This Row],[Qnt Vendida]])</f>
        <v>220</v>
      </c>
      <c r="K809" s="70">
        <f>Vendas[[#This Row],[Lucro da Venda]]/Vendas[[#This Row],[Valor da Venda]]</f>
        <v>0.16666666666666666</v>
      </c>
      <c r="L809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809"/>
    </row>
    <row r="810" spans="1:13" x14ac:dyDescent="0.3">
      <c r="A810" s="7">
        <v>400255</v>
      </c>
      <c r="B810" t="str">
        <f>_xlfn.XLOOKUP(Vendas[[#This Row],[ID Vendedor]],Vendedores[ID],Vendedores[Nome])</f>
        <v>Carlos</v>
      </c>
      <c r="C810" s="7" t="str">
        <f>_xlfn.XLOOKUP(Vendas[[#This Row],[ID Vendedor]],Vendedores[ID],Vendedores[Setor])</f>
        <v>SC</v>
      </c>
      <c r="D810" s="7" t="s">
        <v>14</v>
      </c>
      <c r="E810" t="str">
        <f>_xlfn.XLOOKUP(Vendas[[#This Row],[ID Item Vendido]],Agregado[ID],Agregado[Produto])</f>
        <v>Barril de plástico 200L</v>
      </c>
      <c r="F810" s="39">
        <v>44174</v>
      </c>
      <c r="G810" s="7">
        <v>19</v>
      </c>
      <c r="H810" s="3">
        <f>_xlfn.XLOOKUP(Vendas[[#This Row],[ID Item Vendido]],Agregado[ID],Agregado[Revenda])</f>
        <v>114</v>
      </c>
      <c r="I810" s="3">
        <f>Vendas[[#This Row],[Valor Unitário]]*Vendas[[#This Row],[Qnt Vendida]]</f>
        <v>2166</v>
      </c>
      <c r="J810" s="3">
        <f>Vendas[[#This Row],[Valor da Venda]]-(_xlfn.XLOOKUP(Vendas[[#This Row],[ID Item Vendido]],Agregado[ID],Agregado[Custo])*Vendas[[#This Row],[Qnt Vendida]])</f>
        <v>361</v>
      </c>
      <c r="K810" s="70">
        <f>Vendas[[#This Row],[Lucro da Venda]]/Vendas[[#This Row],[Valor da Venda]]</f>
        <v>0.16666666666666666</v>
      </c>
      <c r="L810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810"/>
    </row>
    <row r="811" spans="1:13" x14ac:dyDescent="0.3">
      <c r="A811" s="7">
        <v>400244</v>
      </c>
      <c r="B811" t="str">
        <f>_xlfn.XLOOKUP(Vendas[[#This Row],[ID Vendedor]],Vendedores[ID],Vendedores[Nome])</f>
        <v>Camila</v>
      </c>
      <c r="C811" s="7" t="str">
        <f>_xlfn.XLOOKUP(Vendas[[#This Row],[ID Vendedor]],Vendedores[ID],Vendedores[Setor])</f>
        <v>AHD</v>
      </c>
      <c r="D811" s="7" t="s">
        <v>9</v>
      </c>
      <c r="E811" t="str">
        <f>_xlfn.XLOOKUP(Vendas[[#This Row],[ID Item Vendido]],Agregado[ID],Agregado[Produto])</f>
        <v>Barra de aço simples</v>
      </c>
      <c r="F811" s="39">
        <v>44175</v>
      </c>
      <c r="G811" s="7">
        <v>45</v>
      </c>
      <c r="H811" s="3">
        <f>_xlfn.XLOOKUP(Vendas[[#This Row],[ID Item Vendido]],Agregado[ID],Agregado[Revenda])</f>
        <v>6.7</v>
      </c>
      <c r="I811" s="3">
        <f>Vendas[[#This Row],[Valor Unitário]]*Vendas[[#This Row],[Qnt Vendida]]</f>
        <v>301.5</v>
      </c>
      <c r="J811" s="3">
        <f>Vendas[[#This Row],[Valor da Venda]]-(_xlfn.XLOOKUP(Vendas[[#This Row],[ID Item Vendido]],Agregado[ID],Agregado[Custo])*Vendas[[#This Row],[Qnt Vendida]])</f>
        <v>40.5</v>
      </c>
      <c r="K811" s="70">
        <f>Vendas[[#This Row],[Lucro da Venda]]/Vendas[[#This Row],[Valor da Venda]]</f>
        <v>0.13432835820895522</v>
      </c>
      <c r="L811" s="3">
        <f>_xlfn.IFS(Vendas[[#This Row],[Margem de Lucro (%)]]&lt;15%,Vendas[[#This Row],[Valor da Venda]]*3%,Vendas[[#This Row],[Margem de Lucro (%)]]&lt;=20%,Vendas[[#This Row],[Valor da Venda]]*4.5%,TRUE,Vendas[[#This Row],[Valor da Venda]]*6%)</f>
        <v>9.0449999999999999</v>
      </c>
      <c r="M811"/>
    </row>
    <row r="812" spans="1:13" x14ac:dyDescent="0.3">
      <c r="A812" s="7">
        <v>400241</v>
      </c>
      <c r="B812" t="str">
        <f>_xlfn.XLOOKUP(Vendas[[#This Row],[ID Vendedor]],Vendedores[ID],Vendedores[Nome])</f>
        <v>Rodrigo</v>
      </c>
      <c r="C812" s="7" t="str">
        <f>_xlfn.XLOOKUP(Vendas[[#This Row],[ID Vendedor]],Vendedores[ID],Vendedores[Setor])</f>
        <v>FM</v>
      </c>
      <c r="D812" s="7" t="s">
        <v>27</v>
      </c>
      <c r="E812" t="str">
        <f>_xlfn.XLOOKUP(Vendas[[#This Row],[ID Item Vendido]],Agregado[ID],Agregado[Produto])</f>
        <v>Chapa de metal lisa 1x2m</v>
      </c>
      <c r="F812" s="39">
        <v>44176</v>
      </c>
      <c r="G812" s="7">
        <v>19</v>
      </c>
      <c r="H812" s="3">
        <f>_xlfn.XLOOKUP(Vendas[[#This Row],[ID Item Vendido]],Agregado[ID],Agregado[Revenda])</f>
        <v>52</v>
      </c>
      <c r="I812" s="3">
        <f>Vendas[[#This Row],[Valor Unitário]]*Vendas[[#This Row],[Qnt Vendida]]</f>
        <v>988</v>
      </c>
      <c r="J812" s="3">
        <f>Vendas[[#This Row],[Valor da Venda]]-(_xlfn.XLOOKUP(Vendas[[#This Row],[ID Item Vendido]],Agregado[ID],Agregado[Custo])*Vendas[[#This Row],[Qnt Vendida]])</f>
        <v>133</v>
      </c>
      <c r="K812" s="70">
        <f>Vendas[[#This Row],[Lucro da Venda]]/Vendas[[#This Row],[Valor da Venda]]</f>
        <v>0.13461538461538461</v>
      </c>
      <c r="L812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812"/>
    </row>
    <row r="813" spans="1:13" x14ac:dyDescent="0.3">
      <c r="A813" s="7">
        <v>400249</v>
      </c>
      <c r="B813" t="str">
        <f>_xlfn.XLOOKUP(Vendas[[#This Row],[ID Vendedor]],Vendedores[ID],Vendedores[Nome])</f>
        <v>Bruno</v>
      </c>
      <c r="C813" s="7" t="str">
        <f>_xlfn.XLOOKUP(Vendas[[#This Row],[ID Vendedor]],Vendedores[ID],Vendedores[Setor])</f>
        <v>CM</v>
      </c>
      <c r="D813" s="7" t="s">
        <v>34</v>
      </c>
      <c r="E813" t="str">
        <f>_xlfn.XLOOKUP(Vendas[[#This Row],[ID Item Vendido]],Agregado[ID],Agregado[Produto])</f>
        <v>Restos de madeira p/ MDP/OSB saco de 20kg</v>
      </c>
      <c r="F813" s="39">
        <v>44176</v>
      </c>
      <c r="G813" s="7">
        <v>22</v>
      </c>
      <c r="H813" s="3">
        <f>_xlfn.XLOOKUP(Vendas[[#This Row],[ID Item Vendido]],Agregado[ID],Agregado[Revenda])</f>
        <v>13.8</v>
      </c>
      <c r="I813" s="3">
        <f>Vendas[[#This Row],[Valor Unitário]]*Vendas[[#This Row],[Qnt Vendida]]</f>
        <v>303.60000000000002</v>
      </c>
      <c r="J813" s="3">
        <f>Vendas[[#This Row],[Valor da Venda]]-(_xlfn.XLOOKUP(Vendas[[#This Row],[ID Item Vendido]],Agregado[ID],Agregado[Custo])*Vendas[[#This Row],[Qnt Vendida]])</f>
        <v>39.600000000000023</v>
      </c>
      <c r="K813" s="70">
        <f>Vendas[[#This Row],[Lucro da Venda]]/Vendas[[#This Row],[Valor da Venda]]</f>
        <v>0.1304347826086957</v>
      </c>
      <c r="L813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813"/>
    </row>
    <row r="814" spans="1:13" x14ac:dyDescent="0.3">
      <c r="A814" s="7">
        <v>400244</v>
      </c>
      <c r="B814" t="str">
        <f>_xlfn.XLOOKUP(Vendas[[#This Row],[ID Vendedor]],Vendedores[ID],Vendedores[Nome])</f>
        <v>Camila</v>
      </c>
      <c r="C814" s="7" t="str">
        <f>_xlfn.XLOOKUP(Vendas[[#This Row],[ID Vendedor]],Vendedores[ID],Vendedores[Setor])</f>
        <v>AHD</v>
      </c>
      <c r="D814" s="7" t="s">
        <v>28</v>
      </c>
      <c r="E814" t="str">
        <f>_xlfn.XLOOKUP(Vendas[[#This Row],[ID Item Vendido]],Agregado[ID],Agregado[Produto])</f>
        <v>Peça usinada CNC</v>
      </c>
      <c r="F814" s="39">
        <v>44177</v>
      </c>
      <c r="G814" s="7">
        <v>11</v>
      </c>
      <c r="H814" s="3">
        <f>_xlfn.XLOOKUP(Vendas[[#This Row],[ID Item Vendido]],Agregado[ID],Agregado[Revenda])</f>
        <v>192</v>
      </c>
      <c r="I814" s="3">
        <f>Vendas[[#This Row],[Valor Unitário]]*Vendas[[#This Row],[Qnt Vendida]]</f>
        <v>2112</v>
      </c>
      <c r="J814" s="3">
        <f>Vendas[[#This Row],[Valor da Venda]]-(_xlfn.XLOOKUP(Vendas[[#This Row],[ID Item Vendido]],Agregado[ID],Agregado[Custo])*Vendas[[#This Row],[Qnt Vendida]])</f>
        <v>462</v>
      </c>
      <c r="K814" s="70">
        <f>Vendas[[#This Row],[Lucro da Venda]]/Vendas[[#This Row],[Valor da Venda]]</f>
        <v>0.21875</v>
      </c>
      <c r="L814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814"/>
    </row>
    <row r="815" spans="1:13" x14ac:dyDescent="0.3">
      <c r="A815" s="7">
        <v>400253</v>
      </c>
      <c r="B815" t="str">
        <f>_xlfn.XLOOKUP(Vendas[[#This Row],[ID Vendedor]],Vendedores[ID],Vendedores[Nome])</f>
        <v>Gustavo</v>
      </c>
      <c r="C815" s="7" t="str">
        <f>_xlfn.XLOOKUP(Vendas[[#This Row],[ID Vendedor]],Vendedores[ID],Vendedores[Setor])</f>
        <v>SC</v>
      </c>
      <c r="D815" s="7" t="s">
        <v>48</v>
      </c>
      <c r="E815" t="str">
        <f>_xlfn.XLOOKUP(Vendas[[#This Row],[ID Item Vendido]],Agregado[ID],Agregado[Produto])</f>
        <v>Tambor metálico 200L</v>
      </c>
      <c r="F815" s="39">
        <v>44178</v>
      </c>
      <c r="G815" s="7">
        <v>10</v>
      </c>
      <c r="H815" s="3">
        <f>_xlfn.XLOOKUP(Vendas[[#This Row],[ID Item Vendido]],Agregado[ID],Agregado[Revenda])</f>
        <v>144</v>
      </c>
      <c r="I815" s="3">
        <f>Vendas[[#This Row],[Valor Unitário]]*Vendas[[#This Row],[Qnt Vendida]]</f>
        <v>1440</v>
      </c>
      <c r="J815" s="3">
        <f>Vendas[[#This Row],[Valor da Venda]]-(_xlfn.XLOOKUP(Vendas[[#This Row],[ID Item Vendido]],Agregado[ID],Agregado[Custo])*Vendas[[#This Row],[Qnt Vendida]])</f>
        <v>240</v>
      </c>
      <c r="K815" s="70">
        <f>Vendas[[#This Row],[Lucro da Venda]]/Vendas[[#This Row],[Valor da Venda]]</f>
        <v>0.16666666666666666</v>
      </c>
      <c r="L815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815"/>
    </row>
    <row r="816" spans="1:13" x14ac:dyDescent="0.3">
      <c r="A816" s="7">
        <v>400251</v>
      </c>
      <c r="B816" t="str">
        <f>_xlfn.XLOOKUP(Vendas[[#This Row],[ID Vendedor]],Vendedores[ID],Vendedores[Nome])</f>
        <v>Diego</v>
      </c>
      <c r="C816" s="7" t="str">
        <f>_xlfn.XLOOKUP(Vendas[[#This Row],[ID Vendedor]],Vendedores[ID],Vendedores[Setor])</f>
        <v>AB</v>
      </c>
      <c r="D816" s="7" t="s">
        <v>37</v>
      </c>
      <c r="E816" t="str">
        <f>_xlfn.XLOOKUP(Vendas[[#This Row],[ID Item Vendido]],Agregado[ID],Agregado[Produto])</f>
        <v>Composto de borracha para vedação rolo 10m</v>
      </c>
      <c r="F816" s="39">
        <v>44178</v>
      </c>
      <c r="G816" s="7">
        <v>10</v>
      </c>
      <c r="H816" s="3">
        <f>_xlfn.XLOOKUP(Vendas[[#This Row],[ID Item Vendido]],Agregado[ID],Agregado[Revenda])</f>
        <v>51.2</v>
      </c>
      <c r="I816" s="3">
        <f>Vendas[[#This Row],[Valor Unitário]]*Vendas[[#This Row],[Qnt Vendida]]</f>
        <v>512</v>
      </c>
      <c r="J816" s="3">
        <f>Vendas[[#This Row],[Valor da Venda]]-(_xlfn.XLOOKUP(Vendas[[#This Row],[ID Item Vendido]],Agregado[ID],Agregado[Custo])*Vendas[[#This Row],[Qnt Vendida]])</f>
        <v>112</v>
      </c>
      <c r="K816" s="70">
        <f>Vendas[[#This Row],[Lucro da Venda]]/Vendas[[#This Row],[Valor da Venda]]</f>
        <v>0.21875</v>
      </c>
      <c r="L816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816"/>
    </row>
    <row r="817" spans="1:13" x14ac:dyDescent="0.3">
      <c r="A817" s="7">
        <v>400244</v>
      </c>
      <c r="B817" t="str">
        <f>_xlfn.XLOOKUP(Vendas[[#This Row],[ID Vendedor]],Vendedores[ID],Vendedores[Nome])</f>
        <v>Camila</v>
      </c>
      <c r="C817" s="7" t="str">
        <f>_xlfn.XLOOKUP(Vendas[[#This Row],[ID Vendedor]],Vendedores[ID],Vendedores[Setor])</f>
        <v>AHD</v>
      </c>
      <c r="D817" s="7" t="s">
        <v>9</v>
      </c>
      <c r="E817" t="str">
        <f>_xlfn.XLOOKUP(Vendas[[#This Row],[ID Item Vendido]],Agregado[ID],Agregado[Produto])</f>
        <v>Barra de aço simples</v>
      </c>
      <c r="F817" s="39">
        <v>44178</v>
      </c>
      <c r="G817" s="7">
        <v>38</v>
      </c>
      <c r="H817" s="3">
        <f>_xlfn.XLOOKUP(Vendas[[#This Row],[ID Item Vendido]],Agregado[ID],Agregado[Revenda])</f>
        <v>6.7</v>
      </c>
      <c r="I817" s="3">
        <f>Vendas[[#This Row],[Valor Unitário]]*Vendas[[#This Row],[Qnt Vendida]]</f>
        <v>254.6</v>
      </c>
      <c r="J817" s="3">
        <f>Vendas[[#This Row],[Valor da Venda]]-(_xlfn.XLOOKUP(Vendas[[#This Row],[ID Item Vendido]],Agregado[ID],Agregado[Custo])*Vendas[[#This Row],[Qnt Vendida]])</f>
        <v>34.199999999999989</v>
      </c>
      <c r="K817" s="70">
        <f>Vendas[[#This Row],[Lucro da Venda]]/Vendas[[#This Row],[Valor da Venda]]</f>
        <v>0.1343283582089552</v>
      </c>
      <c r="L817" s="3">
        <f>_xlfn.IFS(Vendas[[#This Row],[Margem de Lucro (%)]]&lt;15%,Vendas[[#This Row],[Valor da Venda]]*3%,Vendas[[#This Row],[Margem de Lucro (%)]]&lt;=20%,Vendas[[#This Row],[Valor da Venda]]*4.5%,TRUE,Vendas[[#This Row],[Valor da Venda]]*6%)</f>
        <v>7.6379999999999999</v>
      </c>
      <c r="M817"/>
    </row>
    <row r="818" spans="1:13" x14ac:dyDescent="0.3">
      <c r="A818" s="7">
        <v>400247</v>
      </c>
      <c r="B818" t="str">
        <f>_xlfn.XLOOKUP(Vendas[[#This Row],[ID Vendedor]],Vendedores[ID],Vendedores[Nome])</f>
        <v>André</v>
      </c>
      <c r="C818" s="7" t="str">
        <f>_xlfn.XLOOKUP(Vendas[[#This Row],[ID Vendedor]],Vendedores[ID],Vendedores[Setor])</f>
        <v>CM</v>
      </c>
      <c r="D818" s="7" t="s">
        <v>22</v>
      </c>
      <c r="E818" t="str">
        <f>_xlfn.XLOOKUP(Vendas[[#This Row],[ID Item Vendido]],Agregado[ID],Agregado[Produto])</f>
        <v>Painel MDP 2,75x1,83m</v>
      </c>
      <c r="F818" s="39">
        <v>44179</v>
      </c>
      <c r="G818" s="7">
        <v>19</v>
      </c>
      <c r="H818" s="3">
        <f>_xlfn.XLOOKUP(Vendas[[#This Row],[ID Item Vendido]],Agregado[ID],Agregado[Revenda])</f>
        <v>119</v>
      </c>
      <c r="I818" s="3">
        <f>Vendas[[#This Row],[Valor Unitário]]*Vendas[[#This Row],[Qnt Vendida]]</f>
        <v>2261</v>
      </c>
      <c r="J818" s="3">
        <f>Vendas[[#This Row],[Valor da Venda]]-(_xlfn.XLOOKUP(Vendas[[#This Row],[ID Item Vendido]],Agregado[ID],Agregado[Custo])*Vendas[[#This Row],[Qnt Vendida]])</f>
        <v>456</v>
      </c>
      <c r="K818" s="70">
        <f>Vendas[[#This Row],[Lucro da Venda]]/Vendas[[#This Row],[Valor da Venda]]</f>
        <v>0.20168067226890757</v>
      </c>
      <c r="L818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818"/>
    </row>
    <row r="819" spans="1:13" x14ac:dyDescent="0.3">
      <c r="A819" s="7">
        <v>400255</v>
      </c>
      <c r="B819" t="str">
        <f>_xlfn.XLOOKUP(Vendas[[#This Row],[ID Vendedor]],Vendedores[ID],Vendedores[Nome])</f>
        <v>Carlos</v>
      </c>
      <c r="C819" s="7" t="str">
        <f>_xlfn.XLOOKUP(Vendas[[#This Row],[ID Vendedor]],Vendedores[ID],Vendedores[Setor])</f>
        <v>SC</v>
      </c>
      <c r="D819" s="7" t="s">
        <v>14</v>
      </c>
      <c r="E819" t="str">
        <f>_xlfn.XLOOKUP(Vendas[[#This Row],[ID Item Vendido]],Agregado[ID],Agregado[Produto])</f>
        <v>Barril de plástico 200L</v>
      </c>
      <c r="F819" s="39">
        <v>44180</v>
      </c>
      <c r="G819" s="7">
        <v>12</v>
      </c>
      <c r="H819" s="3">
        <f>_xlfn.XLOOKUP(Vendas[[#This Row],[ID Item Vendido]],Agregado[ID],Agregado[Revenda])</f>
        <v>114</v>
      </c>
      <c r="I819" s="3">
        <f>Vendas[[#This Row],[Valor Unitário]]*Vendas[[#This Row],[Qnt Vendida]]</f>
        <v>1368</v>
      </c>
      <c r="J819" s="3">
        <f>Vendas[[#This Row],[Valor da Venda]]-(_xlfn.XLOOKUP(Vendas[[#This Row],[ID Item Vendido]],Agregado[ID],Agregado[Custo])*Vendas[[#This Row],[Qnt Vendida]])</f>
        <v>228</v>
      </c>
      <c r="K819" s="70">
        <f>Vendas[[#This Row],[Lucro da Venda]]/Vendas[[#This Row],[Valor da Venda]]</f>
        <v>0.16666666666666666</v>
      </c>
      <c r="L819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819"/>
    </row>
    <row r="820" spans="1:13" x14ac:dyDescent="0.3">
      <c r="A820" s="7">
        <v>400241</v>
      </c>
      <c r="B820" t="str">
        <f>_xlfn.XLOOKUP(Vendas[[#This Row],[ID Vendedor]],Vendedores[ID],Vendedores[Nome])</f>
        <v>Rodrigo</v>
      </c>
      <c r="C820" s="7" t="str">
        <f>_xlfn.XLOOKUP(Vendas[[#This Row],[ID Vendedor]],Vendedores[ID],Vendedores[Setor])</f>
        <v>FM</v>
      </c>
      <c r="D820" s="7" t="s">
        <v>27</v>
      </c>
      <c r="E820" t="str">
        <f>_xlfn.XLOOKUP(Vendas[[#This Row],[ID Item Vendido]],Agregado[ID],Agregado[Produto])</f>
        <v>Chapa de metal lisa 1x2m</v>
      </c>
      <c r="F820" s="39">
        <v>44180</v>
      </c>
      <c r="G820" s="7">
        <v>24</v>
      </c>
      <c r="H820" s="3">
        <f>_xlfn.XLOOKUP(Vendas[[#This Row],[ID Item Vendido]],Agregado[ID],Agregado[Revenda])</f>
        <v>52</v>
      </c>
      <c r="I820" s="3">
        <f>Vendas[[#This Row],[Valor Unitário]]*Vendas[[#This Row],[Qnt Vendida]]</f>
        <v>1248</v>
      </c>
      <c r="J820" s="3">
        <f>Vendas[[#This Row],[Valor da Venda]]-(_xlfn.XLOOKUP(Vendas[[#This Row],[ID Item Vendido]],Agregado[ID],Agregado[Custo])*Vendas[[#This Row],[Qnt Vendida]])</f>
        <v>168</v>
      </c>
      <c r="K820" s="70">
        <f>Vendas[[#This Row],[Lucro da Venda]]/Vendas[[#This Row],[Valor da Venda]]</f>
        <v>0.13461538461538461</v>
      </c>
      <c r="L820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820"/>
    </row>
    <row r="821" spans="1:13" x14ac:dyDescent="0.3">
      <c r="A821" s="7">
        <v>400241</v>
      </c>
      <c r="B821" t="str">
        <f>_xlfn.XLOOKUP(Vendas[[#This Row],[ID Vendedor]],Vendedores[ID],Vendedores[Nome])</f>
        <v>Rodrigo</v>
      </c>
      <c r="C821" s="7" t="str">
        <f>_xlfn.XLOOKUP(Vendas[[#This Row],[ID Vendedor]],Vendedores[ID],Vendedores[Setor])</f>
        <v>FM</v>
      </c>
      <c r="D821" s="7" t="s">
        <v>20</v>
      </c>
      <c r="E821" t="str">
        <f>_xlfn.XLOOKUP(Vendas[[#This Row],[ID Item Vendido]],Agregado[ID],Agregado[Produto])</f>
        <v>Barra de aço simples</v>
      </c>
      <c r="F821" s="39">
        <v>44180</v>
      </c>
      <c r="G821" s="7">
        <v>90</v>
      </c>
      <c r="H821" s="3">
        <f>_xlfn.XLOOKUP(Vendas[[#This Row],[ID Item Vendido]],Agregado[ID],Agregado[Revenda])</f>
        <v>4.8</v>
      </c>
      <c r="I821" s="3">
        <f>Vendas[[#This Row],[Valor Unitário]]*Vendas[[#This Row],[Qnt Vendida]]</f>
        <v>432</v>
      </c>
      <c r="J821" s="3">
        <f>Vendas[[#This Row],[Valor da Venda]]-(_xlfn.XLOOKUP(Vendas[[#This Row],[ID Item Vendido]],Agregado[ID],Agregado[Custo])*Vendas[[#This Row],[Qnt Vendida]])</f>
        <v>54</v>
      </c>
      <c r="K821" s="70">
        <f>Vendas[[#This Row],[Lucro da Venda]]/Vendas[[#This Row],[Valor da Venda]]</f>
        <v>0.125</v>
      </c>
      <c r="L821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821"/>
    </row>
    <row r="822" spans="1:13" x14ac:dyDescent="0.3">
      <c r="A822" s="7">
        <v>400251</v>
      </c>
      <c r="B822" t="str">
        <f>_xlfn.XLOOKUP(Vendas[[#This Row],[ID Vendedor]],Vendedores[ID],Vendedores[Nome])</f>
        <v>Diego</v>
      </c>
      <c r="C822" s="7" t="str">
        <f>_xlfn.XLOOKUP(Vendas[[#This Row],[ID Vendedor]],Vendedores[ID],Vendedores[Setor])</f>
        <v>AB</v>
      </c>
      <c r="D822" s="7" t="s">
        <v>36</v>
      </c>
      <c r="E822" t="str">
        <f>_xlfn.XLOOKUP(Vendas[[#This Row],[ID Item Vendido]],Agregado[ID],Agregado[Produto])</f>
        <v>Borracha vulcanizada em manta</v>
      </c>
      <c r="F822" s="39">
        <v>44180</v>
      </c>
      <c r="G822" s="7">
        <v>37</v>
      </c>
      <c r="H822" s="3">
        <f>_xlfn.XLOOKUP(Vendas[[#This Row],[ID Item Vendido]],Agregado[ID],Agregado[Revenda])</f>
        <v>7.8</v>
      </c>
      <c r="I822" s="3">
        <f>Vendas[[#This Row],[Valor Unitário]]*Vendas[[#This Row],[Qnt Vendida]]</f>
        <v>288.59999999999997</v>
      </c>
      <c r="J822" s="3">
        <f>Vendas[[#This Row],[Valor da Venda]]-(_xlfn.XLOOKUP(Vendas[[#This Row],[ID Item Vendido]],Agregado[ID],Agregado[Custo])*Vendas[[#This Row],[Qnt Vendida]])</f>
        <v>66.599999999999966</v>
      </c>
      <c r="K822" s="70">
        <f>Vendas[[#This Row],[Lucro da Venda]]/Vendas[[#This Row],[Valor da Venda]]</f>
        <v>0.23076923076923067</v>
      </c>
      <c r="L822" s="3">
        <f>_xlfn.IFS(Vendas[[#This Row],[Margem de Lucro (%)]]&lt;15%,Vendas[[#This Row],[Valor da Venda]]*3%,Vendas[[#This Row],[Margem de Lucro (%)]]&lt;=20%,Vendas[[#This Row],[Valor da Venda]]*4.5%,TRUE,Vendas[[#This Row],[Valor da Venda]]*6%)</f>
        <v>17.315999999999999</v>
      </c>
      <c r="M822"/>
    </row>
    <row r="823" spans="1:13" x14ac:dyDescent="0.3">
      <c r="A823" s="7">
        <v>400253</v>
      </c>
      <c r="B823" t="str">
        <f>_xlfn.XLOOKUP(Vendas[[#This Row],[ID Vendedor]],Vendedores[ID],Vendedores[Nome])</f>
        <v>Gustavo</v>
      </c>
      <c r="C823" s="7" t="str">
        <f>_xlfn.XLOOKUP(Vendas[[#This Row],[ID Vendedor]],Vendedores[ID],Vendedores[Setor])</f>
        <v>SC</v>
      </c>
      <c r="D823" s="7" t="s">
        <v>14</v>
      </c>
      <c r="E823" t="str">
        <f>_xlfn.XLOOKUP(Vendas[[#This Row],[ID Item Vendido]],Agregado[ID],Agregado[Produto])</f>
        <v>Barril de plástico 200L</v>
      </c>
      <c r="F823" s="39">
        <v>44182</v>
      </c>
      <c r="G823" s="7">
        <v>15</v>
      </c>
      <c r="H823" s="3">
        <f>_xlfn.XLOOKUP(Vendas[[#This Row],[ID Item Vendido]],Agregado[ID],Agregado[Revenda])</f>
        <v>114</v>
      </c>
      <c r="I823" s="3">
        <f>Vendas[[#This Row],[Valor Unitário]]*Vendas[[#This Row],[Qnt Vendida]]</f>
        <v>1710</v>
      </c>
      <c r="J823" s="3">
        <f>Vendas[[#This Row],[Valor da Venda]]-(_xlfn.XLOOKUP(Vendas[[#This Row],[ID Item Vendido]],Agregado[ID],Agregado[Custo])*Vendas[[#This Row],[Qnt Vendida]])</f>
        <v>285</v>
      </c>
      <c r="K823" s="70">
        <f>Vendas[[#This Row],[Lucro da Venda]]/Vendas[[#This Row],[Valor da Venda]]</f>
        <v>0.16666666666666666</v>
      </c>
      <c r="L823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823"/>
    </row>
    <row r="824" spans="1:13" x14ac:dyDescent="0.3">
      <c r="A824" s="7">
        <v>400253</v>
      </c>
      <c r="B824" t="str">
        <f>_xlfn.XLOOKUP(Vendas[[#This Row],[ID Vendedor]],Vendedores[ID],Vendedores[Nome])</f>
        <v>Gustavo</v>
      </c>
      <c r="C824" s="7" t="str">
        <f>_xlfn.XLOOKUP(Vendas[[#This Row],[ID Vendedor]],Vendedores[ID],Vendedores[Setor])</f>
        <v>SC</v>
      </c>
      <c r="D824" s="7" t="s">
        <v>42</v>
      </c>
      <c r="E824" t="str">
        <f>_xlfn.XLOOKUP(Vendas[[#This Row],[ID Item Vendido]],Agregado[ID],Agregado[Produto])</f>
        <v>Container de ferro industrial</v>
      </c>
      <c r="F824" s="39">
        <v>44182</v>
      </c>
      <c r="G824" s="7">
        <v>2</v>
      </c>
      <c r="H824" s="3">
        <f>_xlfn.XLOOKUP(Vendas[[#This Row],[ID Item Vendido]],Agregado[ID],Agregado[Revenda])</f>
        <v>830</v>
      </c>
      <c r="I824" s="3">
        <f>Vendas[[#This Row],[Valor Unitário]]*Vendas[[#This Row],[Qnt Vendida]]</f>
        <v>1660</v>
      </c>
      <c r="J824" s="3">
        <f>Vendas[[#This Row],[Valor da Venda]]-(_xlfn.XLOOKUP(Vendas[[#This Row],[ID Item Vendido]],Agregado[ID],Agregado[Custo])*Vendas[[#This Row],[Qnt Vendida]])</f>
        <v>300</v>
      </c>
      <c r="K824" s="70">
        <f>Vendas[[#This Row],[Lucro da Venda]]/Vendas[[#This Row],[Valor da Venda]]</f>
        <v>0.18072289156626506</v>
      </c>
      <c r="L824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824"/>
    </row>
    <row r="825" spans="1:13" x14ac:dyDescent="0.3">
      <c r="A825" s="7">
        <v>400249</v>
      </c>
      <c r="B825" t="str">
        <f>_xlfn.XLOOKUP(Vendas[[#This Row],[ID Vendedor]],Vendedores[ID],Vendedores[Nome])</f>
        <v>Bruno</v>
      </c>
      <c r="C825" s="7" t="str">
        <f>_xlfn.XLOOKUP(Vendas[[#This Row],[ID Vendedor]],Vendedores[ID],Vendedores[Setor])</f>
        <v>CM</v>
      </c>
      <c r="D825" s="7" t="s">
        <v>45</v>
      </c>
      <c r="E825" t="str">
        <f>_xlfn.XLOOKUP(Vendas[[#This Row],[ID Item Vendido]],Agregado[ID],Agregado[Produto])</f>
        <v>Viga de madeira tratada 4m</v>
      </c>
      <c r="F825" s="39">
        <v>44182</v>
      </c>
      <c r="G825" s="7">
        <v>3</v>
      </c>
      <c r="H825" s="3">
        <f>_xlfn.XLOOKUP(Vendas[[#This Row],[ID Item Vendido]],Agregado[ID],Agregado[Revenda])</f>
        <v>66</v>
      </c>
      <c r="I825" s="3">
        <f>Vendas[[#This Row],[Valor Unitário]]*Vendas[[#This Row],[Qnt Vendida]]</f>
        <v>198</v>
      </c>
      <c r="J825" s="3">
        <f>Vendas[[#This Row],[Valor da Venda]]-(_xlfn.XLOOKUP(Vendas[[#This Row],[ID Item Vendido]],Agregado[ID],Agregado[Custo])*Vendas[[#This Row],[Qnt Vendida]])</f>
        <v>33</v>
      </c>
      <c r="K825" s="70">
        <f>Vendas[[#This Row],[Lucro da Venda]]/Vendas[[#This Row],[Valor da Venda]]</f>
        <v>0.16666666666666666</v>
      </c>
      <c r="L825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825"/>
    </row>
    <row r="826" spans="1:13" x14ac:dyDescent="0.3">
      <c r="A826" s="7">
        <v>400253</v>
      </c>
      <c r="B826" t="str">
        <f>_xlfn.XLOOKUP(Vendas[[#This Row],[ID Vendedor]],Vendedores[ID],Vendedores[Nome])</f>
        <v>Gustavo</v>
      </c>
      <c r="C826" s="7" t="str">
        <f>_xlfn.XLOOKUP(Vendas[[#This Row],[ID Vendedor]],Vendedores[ID],Vendedores[Setor])</f>
        <v>SC</v>
      </c>
      <c r="D826" s="7" t="s">
        <v>25</v>
      </c>
      <c r="E826" t="str">
        <f>_xlfn.XLOOKUP(Vendas[[#This Row],[ID Item Vendido]],Agregado[ID],Agregado[Produto])</f>
        <v>Palete de plástico</v>
      </c>
      <c r="F826" s="39">
        <v>44183</v>
      </c>
      <c r="G826" s="7">
        <v>7</v>
      </c>
      <c r="H826" s="3">
        <f>_xlfn.XLOOKUP(Vendas[[#This Row],[ID Item Vendido]],Agregado[ID],Agregado[Revenda])</f>
        <v>70.8</v>
      </c>
      <c r="I826" s="3">
        <f>Vendas[[#This Row],[Valor Unitário]]*Vendas[[#This Row],[Qnt Vendida]]</f>
        <v>495.59999999999997</v>
      </c>
      <c r="J826" s="3">
        <f>Vendas[[#This Row],[Valor da Venda]]-(_xlfn.XLOOKUP(Vendas[[#This Row],[ID Item Vendido]],Agregado[ID],Agregado[Custo])*Vendas[[#This Row],[Qnt Vendida]])</f>
        <v>75.599999999999966</v>
      </c>
      <c r="K826" s="70">
        <f>Vendas[[#This Row],[Lucro da Venda]]/Vendas[[#This Row],[Valor da Venda]]</f>
        <v>0.15254237288135589</v>
      </c>
      <c r="L826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826"/>
    </row>
    <row r="827" spans="1:13" x14ac:dyDescent="0.3">
      <c r="A827" s="7">
        <v>400244</v>
      </c>
      <c r="B827" t="str">
        <f>_xlfn.XLOOKUP(Vendas[[#This Row],[ID Vendedor]],Vendedores[ID],Vendedores[Nome])</f>
        <v>Camila</v>
      </c>
      <c r="C827" s="7" t="str">
        <f>_xlfn.XLOOKUP(Vendas[[#This Row],[ID Vendedor]],Vendedores[ID],Vendedores[Setor])</f>
        <v>AHD</v>
      </c>
      <c r="D827" s="7" t="s">
        <v>28</v>
      </c>
      <c r="E827" t="str">
        <f>_xlfn.XLOOKUP(Vendas[[#This Row],[ID Item Vendido]],Agregado[ID],Agregado[Produto])</f>
        <v>Peça usinada CNC</v>
      </c>
      <c r="F827" s="39">
        <v>44185</v>
      </c>
      <c r="G827" s="7">
        <v>10</v>
      </c>
      <c r="H827" s="3">
        <f>_xlfn.XLOOKUP(Vendas[[#This Row],[ID Item Vendido]],Agregado[ID],Agregado[Revenda])</f>
        <v>192</v>
      </c>
      <c r="I827" s="3">
        <f>Vendas[[#This Row],[Valor Unitário]]*Vendas[[#This Row],[Qnt Vendida]]</f>
        <v>1920</v>
      </c>
      <c r="J827" s="3">
        <f>Vendas[[#This Row],[Valor da Venda]]-(_xlfn.XLOOKUP(Vendas[[#This Row],[ID Item Vendido]],Agregado[ID],Agregado[Custo])*Vendas[[#This Row],[Qnt Vendida]])</f>
        <v>420</v>
      </c>
      <c r="K827" s="70">
        <f>Vendas[[#This Row],[Lucro da Venda]]/Vendas[[#This Row],[Valor da Venda]]</f>
        <v>0.21875</v>
      </c>
      <c r="L827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827"/>
    </row>
    <row r="828" spans="1:13" x14ac:dyDescent="0.3">
      <c r="A828" s="7">
        <v>400241</v>
      </c>
      <c r="B828" t="str">
        <f>_xlfn.XLOOKUP(Vendas[[#This Row],[ID Vendedor]],Vendedores[ID],Vendedores[Nome])</f>
        <v>Rodrigo</v>
      </c>
      <c r="C828" s="7" t="str">
        <f>_xlfn.XLOOKUP(Vendas[[#This Row],[ID Vendedor]],Vendedores[ID],Vendedores[Setor])</f>
        <v>FM</v>
      </c>
      <c r="D828" s="7" t="s">
        <v>47</v>
      </c>
      <c r="E828" t="str">
        <f>_xlfn.XLOOKUP(Vendas[[#This Row],[ID Item Vendido]],Agregado[ID],Agregado[Produto])</f>
        <v>Fio de arame galvanizado rolo 50m</v>
      </c>
      <c r="F828" s="39">
        <v>44187</v>
      </c>
      <c r="G828" s="7">
        <v>12</v>
      </c>
      <c r="H828" s="3">
        <f>_xlfn.XLOOKUP(Vendas[[#This Row],[ID Item Vendido]],Agregado[ID],Agregado[Revenda])</f>
        <v>21.2</v>
      </c>
      <c r="I828" s="3">
        <f>Vendas[[#This Row],[Valor Unitário]]*Vendas[[#This Row],[Qnt Vendida]]</f>
        <v>254.39999999999998</v>
      </c>
      <c r="J828" s="3">
        <f>Vendas[[#This Row],[Valor da Venda]]-(_xlfn.XLOOKUP(Vendas[[#This Row],[ID Item Vendido]],Agregado[ID],Agregado[Custo])*Vendas[[#This Row],[Qnt Vendida]])</f>
        <v>38.399999999999977</v>
      </c>
      <c r="K828" s="70">
        <f>Vendas[[#This Row],[Lucro da Venda]]/Vendas[[#This Row],[Valor da Venda]]</f>
        <v>0.15094339622641501</v>
      </c>
      <c r="L828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828"/>
    </row>
    <row r="829" spans="1:13" x14ac:dyDescent="0.3">
      <c r="A829" s="7">
        <v>400247</v>
      </c>
      <c r="B829" t="str">
        <f>_xlfn.XLOOKUP(Vendas[[#This Row],[ID Vendedor]],Vendedores[ID],Vendedores[Nome])</f>
        <v>André</v>
      </c>
      <c r="C829" s="7" t="str">
        <f>_xlfn.XLOOKUP(Vendas[[#This Row],[ID Vendedor]],Vendedores[ID],Vendedores[Setor])</f>
        <v>CM</v>
      </c>
      <c r="D829" s="7" t="s">
        <v>43</v>
      </c>
      <c r="E829" t="str">
        <f>_xlfn.XLOOKUP(Vendas[[#This Row],[ID Item Vendido]],Agregado[ID],Agregado[Produto])</f>
        <v>Madeira Bruta (Tora)</v>
      </c>
      <c r="F829" s="39">
        <v>44187</v>
      </c>
      <c r="G829" s="7">
        <v>1</v>
      </c>
      <c r="H829" s="3">
        <f>_xlfn.XLOOKUP(Vendas[[#This Row],[ID Item Vendido]],Agregado[ID],Agregado[Revenda])</f>
        <v>212</v>
      </c>
      <c r="I829" s="3">
        <f>Vendas[[#This Row],[Valor Unitário]]*Vendas[[#This Row],[Qnt Vendida]]</f>
        <v>212</v>
      </c>
      <c r="J829" s="3">
        <f>Vendas[[#This Row],[Valor da Venda]]-(_xlfn.XLOOKUP(Vendas[[#This Row],[ID Item Vendido]],Agregado[ID],Agregado[Custo])*Vendas[[#This Row],[Qnt Vendida]])</f>
        <v>32</v>
      </c>
      <c r="K829" s="70">
        <f>Vendas[[#This Row],[Lucro da Venda]]/Vendas[[#This Row],[Valor da Venda]]</f>
        <v>0.15094339622641509</v>
      </c>
      <c r="L829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829"/>
    </row>
    <row r="830" spans="1:13" x14ac:dyDescent="0.3">
      <c r="A830" s="7">
        <v>400243</v>
      </c>
      <c r="B830" t="str">
        <f>_xlfn.XLOOKUP(Vendas[[#This Row],[ID Vendedor]],Vendedores[ID],Vendedores[Nome])</f>
        <v>Marcelo</v>
      </c>
      <c r="C830" s="7" t="str">
        <f>_xlfn.XLOOKUP(Vendas[[#This Row],[ID Vendedor]],Vendedores[ID],Vendedores[Setor])</f>
        <v>FM</v>
      </c>
      <c r="D830" s="7" t="s">
        <v>27</v>
      </c>
      <c r="E830" t="str">
        <f>_xlfn.XLOOKUP(Vendas[[#This Row],[ID Item Vendido]],Agregado[ID],Agregado[Produto])</f>
        <v>Chapa de metal lisa 1x2m</v>
      </c>
      <c r="F830" s="39">
        <v>44189</v>
      </c>
      <c r="G830" s="7">
        <v>8</v>
      </c>
      <c r="H830" s="3">
        <f>_xlfn.XLOOKUP(Vendas[[#This Row],[ID Item Vendido]],Agregado[ID],Agregado[Revenda])</f>
        <v>52</v>
      </c>
      <c r="I830" s="3">
        <f>Vendas[[#This Row],[Valor Unitário]]*Vendas[[#This Row],[Qnt Vendida]]</f>
        <v>416</v>
      </c>
      <c r="J830" s="3">
        <f>Vendas[[#This Row],[Valor da Venda]]-(_xlfn.XLOOKUP(Vendas[[#This Row],[ID Item Vendido]],Agregado[ID],Agregado[Custo])*Vendas[[#This Row],[Qnt Vendida]])</f>
        <v>56</v>
      </c>
      <c r="K830" s="70">
        <f>Vendas[[#This Row],[Lucro da Venda]]/Vendas[[#This Row],[Valor da Venda]]</f>
        <v>0.13461538461538461</v>
      </c>
      <c r="L830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830"/>
    </row>
    <row r="831" spans="1:13" x14ac:dyDescent="0.3">
      <c r="A831" s="7">
        <v>400244</v>
      </c>
      <c r="B831" t="str">
        <f>_xlfn.XLOOKUP(Vendas[[#This Row],[ID Vendedor]],Vendedores[ID],Vendedores[Nome])</f>
        <v>Camila</v>
      </c>
      <c r="C831" s="7" t="str">
        <f>_xlfn.XLOOKUP(Vendas[[#This Row],[ID Vendedor]],Vendedores[ID],Vendedores[Setor])</f>
        <v>AHD</v>
      </c>
      <c r="D831" s="7" t="s">
        <v>18</v>
      </c>
      <c r="E831" t="str">
        <f>_xlfn.XLOOKUP(Vendas[[#This Row],[ID Item Vendido]],Agregado[ID],Agregado[Produto])</f>
        <v>Peça forjada sob encomenda</v>
      </c>
      <c r="F831" s="39">
        <v>44191</v>
      </c>
      <c r="G831" s="7">
        <v>5</v>
      </c>
      <c r="H831" s="3">
        <f>_xlfn.XLOOKUP(Vendas[[#This Row],[ID Item Vendido]],Agregado[ID],Agregado[Revenda])</f>
        <v>264.60000000000002</v>
      </c>
      <c r="I831" s="3">
        <f>Vendas[[#This Row],[Valor Unitário]]*Vendas[[#This Row],[Qnt Vendida]]</f>
        <v>1323</v>
      </c>
      <c r="J831" s="3">
        <f>Vendas[[#This Row],[Valor da Venda]]-(_xlfn.XLOOKUP(Vendas[[#This Row],[ID Item Vendido]],Agregado[ID],Agregado[Custo])*Vendas[[#This Row],[Qnt Vendida]])</f>
        <v>73</v>
      </c>
      <c r="K831" s="70">
        <f>Vendas[[#This Row],[Lucro da Venda]]/Vendas[[#This Row],[Valor da Venda]]</f>
        <v>5.5177626606198037E-2</v>
      </c>
      <c r="L83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831"/>
    </row>
    <row r="832" spans="1:13" x14ac:dyDescent="0.3">
      <c r="A832" s="7">
        <v>400241</v>
      </c>
      <c r="B832" t="str">
        <f>_xlfn.XLOOKUP(Vendas[[#This Row],[ID Vendedor]],Vendedores[ID],Vendedores[Nome])</f>
        <v>Rodrigo</v>
      </c>
      <c r="C832" s="7" t="str">
        <f>_xlfn.XLOOKUP(Vendas[[#This Row],[ID Vendedor]],Vendedores[ID],Vendedores[Setor])</f>
        <v>FM</v>
      </c>
      <c r="D832" s="7" t="s">
        <v>31</v>
      </c>
      <c r="E832" t="str">
        <f>_xlfn.XLOOKUP(Vendas[[#This Row],[ID Item Vendido]],Agregado[ID],Agregado[Produto])</f>
        <v>Tela de metal soldada rolo 2x25m</v>
      </c>
      <c r="F832" s="39">
        <v>44191</v>
      </c>
      <c r="G832" s="7">
        <v>13</v>
      </c>
      <c r="H832" s="3">
        <f>_xlfn.XLOOKUP(Vendas[[#This Row],[ID Item Vendido]],Agregado[ID],Agregado[Revenda])</f>
        <v>43.7</v>
      </c>
      <c r="I832" s="3">
        <f>Vendas[[#This Row],[Valor Unitário]]*Vendas[[#This Row],[Qnt Vendida]]</f>
        <v>568.1</v>
      </c>
      <c r="J832" s="3">
        <f>Vendas[[#This Row],[Valor da Venda]]-(_xlfn.XLOOKUP(Vendas[[#This Row],[ID Item Vendido]],Agregado[ID],Agregado[Custo])*Vendas[[#This Row],[Qnt Vendida]])</f>
        <v>74.100000000000023</v>
      </c>
      <c r="K832" s="70">
        <f>Vendas[[#This Row],[Lucro da Venda]]/Vendas[[#This Row],[Valor da Venda]]</f>
        <v>0.13043478260869568</v>
      </c>
      <c r="L832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832"/>
    </row>
    <row r="833" spans="1:13" x14ac:dyDescent="0.3">
      <c r="A833" s="7">
        <v>400243</v>
      </c>
      <c r="B833" t="str">
        <f>_xlfn.XLOOKUP(Vendas[[#This Row],[ID Vendedor]],Vendedores[ID],Vendedores[Nome])</f>
        <v>Marcelo</v>
      </c>
      <c r="C833" s="7" t="str">
        <f>_xlfn.XLOOKUP(Vendas[[#This Row],[ID Vendedor]],Vendedores[ID],Vendedores[Setor])</f>
        <v>FM</v>
      </c>
      <c r="D833" s="7" t="s">
        <v>27</v>
      </c>
      <c r="E833" t="str">
        <f>_xlfn.XLOOKUP(Vendas[[#This Row],[ID Item Vendido]],Agregado[ID],Agregado[Produto])</f>
        <v>Chapa de metal lisa 1x2m</v>
      </c>
      <c r="F833" s="39">
        <v>44191</v>
      </c>
      <c r="G833" s="7">
        <v>3</v>
      </c>
      <c r="H833" s="3">
        <f>_xlfn.XLOOKUP(Vendas[[#This Row],[ID Item Vendido]],Agregado[ID],Agregado[Revenda])</f>
        <v>52</v>
      </c>
      <c r="I833" s="3">
        <f>Vendas[[#This Row],[Valor Unitário]]*Vendas[[#This Row],[Qnt Vendida]]</f>
        <v>156</v>
      </c>
      <c r="J833" s="3">
        <f>Vendas[[#This Row],[Valor da Venda]]-(_xlfn.XLOOKUP(Vendas[[#This Row],[ID Item Vendido]],Agregado[ID],Agregado[Custo])*Vendas[[#This Row],[Qnt Vendida]])</f>
        <v>21</v>
      </c>
      <c r="K833" s="70">
        <f>Vendas[[#This Row],[Lucro da Venda]]/Vendas[[#This Row],[Valor da Venda]]</f>
        <v>0.13461538461538461</v>
      </c>
      <c r="L833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833"/>
    </row>
    <row r="834" spans="1:13" x14ac:dyDescent="0.3">
      <c r="A834" s="7">
        <v>400251</v>
      </c>
      <c r="B834" t="str">
        <f>_xlfn.XLOOKUP(Vendas[[#This Row],[ID Vendedor]],Vendedores[ID],Vendedores[Nome])</f>
        <v>Diego</v>
      </c>
      <c r="C834" s="7" t="str">
        <f>_xlfn.XLOOKUP(Vendas[[#This Row],[ID Vendedor]],Vendedores[ID],Vendedores[Setor])</f>
        <v>AB</v>
      </c>
      <c r="D834" s="7" t="s">
        <v>12</v>
      </c>
      <c r="E834" t="str">
        <f>_xlfn.XLOOKUP(Vendas[[#This Row],[ID Item Vendido]],Agregado[ID],Agregado[Produto])</f>
        <v>Grânulo de plástico reciclado refinado</v>
      </c>
      <c r="F834" s="39">
        <v>44192</v>
      </c>
      <c r="G834" s="7">
        <v>47</v>
      </c>
      <c r="H834" s="3">
        <f>_xlfn.XLOOKUP(Vendas[[#This Row],[ID Item Vendido]],Agregado[ID],Agregado[Revenda])</f>
        <v>4.7</v>
      </c>
      <c r="I834" s="3">
        <f>Vendas[[#This Row],[Valor Unitário]]*Vendas[[#This Row],[Qnt Vendida]]</f>
        <v>220.9</v>
      </c>
      <c r="J834" s="3">
        <f>Vendas[[#This Row],[Valor da Venda]]-(_xlfn.XLOOKUP(Vendas[[#This Row],[ID Item Vendido]],Agregado[ID],Agregado[Custo])*Vendas[[#This Row],[Qnt Vendida]])</f>
        <v>56.400000000000006</v>
      </c>
      <c r="K834" s="70">
        <f>Vendas[[#This Row],[Lucro da Venda]]/Vendas[[#This Row],[Valor da Venda]]</f>
        <v>0.25531914893617025</v>
      </c>
      <c r="L834" s="3">
        <f>_xlfn.IFS(Vendas[[#This Row],[Margem de Lucro (%)]]&lt;15%,Vendas[[#This Row],[Valor da Venda]]*3%,Vendas[[#This Row],[Margem de Lucro (%)]]&lt;=20%,Vendas[[#This Row],[Valor da Venda]]*4.5%,TRUE,Vendas[[#This Row],[Valor da Venda]]*6%)</f>
        <v>13.254</v>
      </c>
      <c r="M834"/>
    </row>
    <row r="835" spans="1:13" x14ac:dyDescent="0.3">
      <c r="A835" s="7">
        <v>400245</v>
      </c>
      <c r="B835" t="str">
        <f>_xlfn.XLOOKUP(Vendas[[#This Row],[ID Vendedor]],Vendedores[ID],Vendedores[Nome])</f>
        <v>Thiago</v>
      </c>
      <c r="C835" s="7" t="str">
        <f>_xlfn.XLOOKUP(Vendas[[#This Row],[ID Vendedor]],Vendedores[ID],Vendedores[Setor])</f>
        <v>AHD</v>
      </c>
      <c r="D835" s="7" t="s">
        <v>28</v>
      </c>
      <c r="E835" t="str">
        <f>_xlfn.XLOOKUP(Vendas[[#This Row],[ID Item Vendido]],Agregado[ID],Agregado[Produto])</f>
        <v>Peça usinada CNC</v>
      </c>
      <c r="F835" s="39">
        <v>44193</v>
      </c>
      <c r="G835" s="7">
        <v>8</v>
      </c>
      <c r="H835" s="3">
        <f>_xlfn.XLOOKUP(Vendas[[#This Row],[ID Item Vendido]],Agregado[ID],Agregado[Revenda])</f>
        <v>192</v>
      </c>
      <c r="I835" s="3">
        <f>Vendas[[#This Row],[Valor Unitário]]*Vendas[[#This Row],[Qnt Vendida]]</f>
        <v>1536</v>
      </c>
      <c r="J835" s="3">
        <f>Vendas[[#This Row],[Valor da Venda]]-(_xlfn.XLOOKUP(Vendas[[#This Row],[ID Item Vendido]],Agregado[ID],Agregado[Custo])*Vendas[[#This Row],[Qnt Vendida]])</f>
        <v>336</v>
      </c>
      <c r="K835" s="70">
        <f>Vendas[[#This Row],[Lucro da Venda]]/Vendas[[#This Row],[Valor da Venda]]</f>
        <v>0.21875</v>
      </c>
      <c r="L83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835"/>
    </row>
    <row r="836" spans="1:13" x14ac:dyDescent="0.3">
      <c r="A836" s="7">
        <v>400244</v>
      </c>
      <c r="B836" t="str">
        <f>_xlfn.XLOOKUP(Vendas[[#This Row],[ID Vendedor]],Vendedores[ID],Vendedores[Nome])</f>
        <v>Camila</v>
      </c>
      <c r="C836" s="7" t="str">
        <f>_xlfn.XLOOKUP(Vendas[[#This Row],[ID Vendedor]],Vendedores[ID],Vendedores[Setor])</f>
        <v>AHD</v>
      </c>
      <c r="D836" s="7" t="s">
        <v>9</v>
      </c>
      <c r="E836" t="str">
        <f>_xlfn.XLOOKUP(Vendas[[#This Row],[ID Item Vendido]],Agregado[ID],Agregado[Produto])</f>
        <v>Barra de aço simples</v>
      </c>
      <c r="F836" s="39">
        <v>44193</v>
      </c>
      <c r="G836" s="7">
        <v>26</v>
      </c>
      <c r="H836" s="3">
        <f>_xlfn.XLOOKUP(Vendas[[#This Row],[ID Item Vendido]],Agregado[ID],Agregado[Revenda])</f>
        <v>6.7</v>
      </c>
      <c r="I836" s="3">
        <f>Vendas[[#This Row],[Valor Unitário]]*Vendas[[#This Row],[Qnt Vendida]]</f>
        <v>174.20000000000002</v>
      </c>
      <c r="J836" s="3">
        <f>Vendas[[#This Row],[Valor da Venda]]-(_xlfn.XLOOKUP(Vendas[[#This Row],[ID Item Vendido]],Agregado[ID],Agregado[Custo])*Vendas[[#This Row],[Qnt Vendida]])</f>
        <v>23.400000000000034</v>
      </c>
      <c r="K836" s="70">
        <f>Vendas[[#This Row],[Lucro da Venda]]/Vendas[[#This Row],[Valor da Venda]]</f>
        <v>0.13432835820895542</v>
      </c>
      <c r="L836" s="3">
        <f>_xlfn.IFS(Vendas[[#This Row],[Margem de Lucro (%)]]&lt;15%,Vendas[[#This Row],[Valor da Venda]]*3%,Vendas[[#This Row],[Margem de Lucro (%)]]&lt;=20%,Vendas[[#This Row],[Valor da Venda]]*4.5%,TRUE,Vendas[[#This Row],[Valor da Venda]]*6%)</f>
        <v>5.226</v>
      </c>
      <c r="M836"/>
    </row>
    <row r="837" spans="1:13" x14ac:dyDescent="0.3">
      <c r="A837" s="7">
        <v>400245</v>
      </c>
      <c r="B837" t="str">
        <f>_xlfn.XLOOKUP(Vendas[[#This Row],[ID Vendedor]],Vendedores[ID],Vendedores[Nome])</f>
        <v>Thiago</v>
      </c>
      <c r="C837" s="7" t="str">
        <f>_xlfn.XLOOKUP(Vendas[[#This Row],[ID Vendedor]],Vendedores[ID],Vendedores[Setor])</f>
        <v>AHD</v>
      </c>
      <c r="D837" s="7" t="s">
        <v>9</v>
      </c>
      <c r="E837" t="str">
        <f>_xlfn.XLOOKUP(Vendas[[#This Row],[ID Item Vendido]],Agregado[ID],Agregado[Produto])</f>
        <v>Barra de aço simples</v>
      </c>
      <c r="F837" s="39">
        <v>44193</v>
      </c>
      <c r="G837" s="7">
        <v>22</v>
      </c>
      <c r="H837" s="3">
        <f>_xlfn.XLOOKUP(Vendas[[#This Row],[ID Item Vendido]],Agregado[ID],Agregado[Revenda])</f>
        <v>6.7</v>
      </c>
      <c r="I837" s="3">
        <f>Vendas[[#This Row],[Valor Unitário]]*Vendas[[#This Row],[Qnt Vendida]]</f>
        <v>147.4</v>
      </c>
      <c r="J837" s="3">
        <f>Vendas[[#This Row],[Valor da Venda]]-(_xlfn.XLOOKUP(Vendas[[#This Row],[ID Item Vendido]],Agregado[ID],Agregado[Custo])*Vendas[[#This Row],[Qnt Vendida]])</f>
        <v>19.800000000000011</v>
      </c>
      <c r="K837" s="70">
        <f>Vendas[[#This Row],[Lucro da Venda]]/Vendas[[#This Row],[Valor da Venda]]</f>
        <v>0.13432835820895531</v>
      </c>
      <c r="L837" s="3">
        <f>_xlfn.IFS(Vendas[[#This Row],[Margem de Lucro (%)]]&lt;15%,Vendas[[#This Row],[Valor da Venda]]*3%,Vendas[[#This Row],[Margem de Lucro (%)]]&lt;=20%,Vendas[[#This Row],[Valor da Venda]]*4.5%,TRUE,Vendas[[#This Row],[Valor da Venda]]*6%)</f>
        <v>4.4219999999999997</v>
      </c>
      <c r="M837"/>
    </row>
    <row r="838" spans="1:13" x14ac:dyDescent="0.3">
      <c r="A838" s="7">
        <v>400247</v>
      </c>
      <c r="B838" t="str">
        <f>_xlfn.XLOOKUP(Vendas[[#This Row],[ID Vendedor]],Vendedores[ID],Vendedores[Nome])</f>
        <v>André</v>
      </c>
      <c r="C838" s="7" t="str">
        <f>_xlfn.XLOOKUP(Vendas[[#This Row],[ID Vendedor]],Vendedores[ID],Vendedores[Setor])</f>
        <v>CM</v>
      </c>
      <c r="D838" s="7" t="s">
        <v>22</v>
      </c>
      <c r="E838" t="str">
        <f>_xlfn.XLOOKUP(Vendas[[#This Row],[ID Item Vendido]],Agregado[ID],Agregado[Produto])</f>
        <v>Painel MDP 2,75x1,83m</v>
      </c>
      <c r="F838" s="39">
        <v>44194</v>
      </c>
      <c r="G838" s="7">
        <v>24</v>
      </c>
      <c r="H838" s="3">
        <f>_xlfn.XLOOKUP(Vendas[[#This Row],[ID Item Vendido]],Agregado[ID],Agregado[Revenda])</f>
        <v>119</v>
      </c>
      <c r="I838" s="3">
        <f>Vendas[[#This Row],[Valor Unitário]]*Vendas[[#This Row],[Qnt Vendida]]</f>
        <v>2856</v>
      </c>
      <c r="J838" s="3">
        <f>Vendas[[#This Row],[Valor da Venda]]-(_xlfn.XLOOKUP(Vendas[[#This Row],[ID Item Vendido]],Agregado[ID],Agregado[Custo])*Vendas[[#This Row],[Qnt Vendida]])</f>
        <v>576</v>
      </c>
      <c r="K838" s="70">
        <f>Vendas[[#This Row],[Lucro da Venda]]/Vendas[[#This Row],[Valor da Venda]]</f>
        <v>0.20168067226890757</v>
      </c>
      <c r="L838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838"/>
    </row>
    <row r="839" spans="1:13" x14ac:dyDescent="0.3">
      <c r="A839" s="7">
        <v>400244</v>
      </c>
      <c r="B839" t="str">
        <f>_xlfn.XLOOKUP(Vendas[[#This Row],[ID Vendedor]],Vendedores[ID],Vendedores[Nome])</f>
        <v>Camila</v>
      </c>
      <c r="C839" s="7" t="str">
        <f>_xlfn.XLOOKUP(Vendas[[#This Row],[ID Vendedor]],Vendedores[ID],Vendedores[Setor])</f>
        <v>AHD</v>
      </c>
      <c r="D839" s="7" t="s">
        <v>30</v>
      </c>
      <c r="E839" t="str">
        <f>_xlfn.XLOOKUP(Vendas[[#This Row],[ID Item Vendido]],Agregado[ID],Agregado[Produto])</f>
        <v>Estrutura metálica soldada</v>
      </c>
      <c r="F839" s="39">
        <v>44194</v>
      </c>
      <c r="G839" s="7">
        <v>7</v>
      </c>
      <c r="H839" s="3">
        <f>_xlfn.XLOOKUP(Vendas[[#This Row],[ID Item Vendido]],Agregado[ID],Agregado[Revenda])</f>
        <v>400</v>
      </c>
      <c r="I839" s="3">
        <f>Vendas[[#This Row],[Valor Unitário]]*Vendas[[#This Row],[Qnt Vendida]]</f>
        <v>2800</v>
      </c>
      <c r="J839" s="3">
        <f>Vendas[[#This Row],[Valor da Venda]]-(_xlfn.XLOOKUP(Vendas[[#This Row],[ID Item Vendido]],Agregado[ID],Agregado[Custo])*Vendas[[#This Row],[Qnt Vendida]])</f>
        <v>560</v>
      </c>
      <c r="K839" s="70">
        <f>Vendas[[#This Row],[Lucro da Venda]]/Vendas[[#This Row],[Valor da Venda]]</f>
        <v>0.2</v>
      </c>
      <c r="L839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839"/>
    </row>
    <row r="840" spans="1:13" x14ac:dyDescent="0.3">
      <c r="A840" s="7">
        <v>400255</v>
      </c>
      <c r="B840" t="str">
        <f>_xlfn.XLOOKUP(Vendas[[#This Row],[ID Vendedor]],Vendedores[ID],Vendedores[Nome])</f>
        <v>Carlos</v>
      </c>
      <c r="C840" s="7" t="str">
        <f>_xlfn.XLOOKUP(Vendas[[#This Row],[ID Vendedor]],Vendedores[ID],Vendedores[Setor])</f>
        <v>SC</v>
      </c>
      <c r="D840" s="7" t="s">
        <v>25</v>
      </c>
      <c r="E840" t="str">
        <f>_xlfn.XLOOKUP(Vendas[[#This Row],[ID Item Vendido]],Agregado[ID],Agregado[Produto])</f>
        <v>Palete de plástico</v>
      </c>
      <c r="F840" s="39">
        <v>44197</v>
      </c>
      <c r="G840" s="7">
        <v>12</v>
      </c>
      <c r="H840" s="3">
        <f>_xlfn.XLOOKUP(Vendas[[#This Row],[ID Item Vendido]],Agregado[ID],Agregado[Revenda])</f>
        <v>70.8</v>
      </c>
      <c r="I840" s="3">
        <f>Vendas[[#This Row],[Valor Unitário]]*Vendas[[#This Row],[Qnt Vendida]]</f>
        <v>849.59999999999991</v>
      </c>
      <c r="J840" s="3">
        <f>Vendas[[#This Row],[Valor da Venda]]-(_xlfn.XLOOKUP(Vendas[[#This Row],[ID Item Vendido]],Agregado[ID],Agregado[Custo])*Vendas[[#This Row],[Qnt Vendida]])</f>
        <v>129.59999999999991</v>
      </c>
      <c r="K840" s="70">
        <f>Vendas[[#This Row],[Lucro da Venda]]/Vendas[[#This Row],[Valor da Venda]]</f>
        <v>0.15254237288135583</v>
      </c>
      <c r="L840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840"/>
    </row>
    <row r="841" spans="1:13" x14ac:dyDescent="0.3">
      <c r="A841" s="7">
        <v>400245</v>
      </c>
      <c r="B841" t="str">
        <f>_xlfn.XLOOKUP(Vendas[[#This Row],[ID Vendedor]],Vendedores[ID],Vendedores[Nome])</f>
        <v>Thiago</v>
      </c>
      <c r="C841" s="7" t="str">
        <f>_xlfn.XLOOKUP(Vendas[[#This Row],[ID Vendedor]],Vendedores[ID],Vendedores[Setor])</f>
        <v>AHD</v>
      </c>
      <c r="D841" s="7" t="s">
        <v>44</v>
      </c>
      <c r="E841" t="str">
        <f>_xlfn.XLOOKUP(Vendas[[#This Row],[ID Item Vendido]],Agregado[ID],Agregado[Produto])</f>
        <v>Liga metálica especial</v>
      </c>
      <c r="F841" s="39">
        <v>44198</v>
      </c>
      <c r="G841" s="7">
        <v>47</v>
      </c>
      <c r="H841" s="3">
        <f>_xlfn.XLOOKUP(Vendas[[#This Row],[ID Item Vendido]],Agregado[ID],Agregado[Revenda])</f>
        <v>32.5</v>
      </c>
      <c r="I841" s="3">
        <f>Vendas[[#This Row],[Valor Unitário]]*Vendas[[#This Row],[Qnt Vendida]]</f>
        <v>1527.5</v>
      </c>
      <c r="J841" s="3">
        <f>Vendas[[#This Row],[Valor da Venda]]-(_xlfn.XLOOKUP(Vendas[[#This Row],[ID Item Vendido]],Agregado[ID],Agregado[Custo])*Vendas[[#This Row],[Qnt Vendida]])</f>
        <v>352.5</v>
      </c>
      <c r="K841" s="70">
        <f>Vendas[[#This Row],[Lucro da Venda]]/Vendas[[#This Row],[Valor da Venda]]</f>
        <v>0.23076923076923078</v>
      </c>
      <c r="L841" s="3">
        <f>_xlfn.IFS(Vendas[[#This Row],[Margem de Lucro (%)]]&lt;15%,Vendas[[#This Row],[Valor da Venda]]*3%,Vendas[[#This Row],[Margem de Lucro (%)]]&lt;=20%,Vendas[[#This Row],[Valor da Venda]]*4.5%,TRUE,Vendas[[#This Row],[Valor da Venda]]*6%)</f>
        <v>91.649999999999991</v>
      </c>
      <c r="M841"/>
    </row>
    <row r="842" spans="1:13" x14ac:dyDescent="0.3">
      <c r="A842" s="7">
        <v>400243</v>
      </c>
      <c r="B842" t="str">
        <f>_xlfn.XLOOKUP(Vendas[[#This Row],[ID Vendedor]],Vendedores[ID],Vendedores[Nome])</f>
        <v>Marcelo</v>
      </c>
      <c r="C842" s="7" t="str">
        <f>_xlfn.XLOOKUP(Vendas[[#This Row],[ID Vendedor]],Vendedores[ID],Vendedores[Setor])</f>
        <v>FM</v>
      </c>
      <c r="D842" s="7" t="s">
        <v>20</v>
      </c>
      <c r="E842" t="str">
        <f>_xlfn.XLOOKUP(Vendas[[#This Row],[ID Item Vendido]],Agregado[ID],Agregado[Produto])</f>
        <v>Barra de aço simples</v>
      </c>
      <c r="F842" s="39">
        <v>44198</v>
      </c>
      <c r="G842" s="7">
        <v>104</v>
      </c>
      <c r="H842" s="3">
        <f>_xlfn.XLOOKUP(Vendas[[#This Row],[ID Item Vendido]],Agregado[ID],Agregado[Revenda])</f>
        <v>4.8</v>
      </c>
      <c r="I842" s="3">
        <f>Vendas[[#This Row],[Valor Unitário]]*Vendas[[#This Row],[Qnt Vendida]]</f>
        <v>499.2</v>
      </c>
      <c r="J842" s="3">
        <f>Vendas[[#This Row],[Valor da Venda]]-(_xlfn.XLOOKUP(Vendas[[#This Row],[ID Item Vendido]],Agregado[ID],Agregado[Custo])*Vendas[[#This Row],[Qnt Vendida]])</f>
        <v>62.399999999999977</v>
      </c>
      <c r="K842" s="70">
        <f>Vendas[[#This Row],[Lucro da Venda]]/Vendas[[#This Row],[Valor da Venda]]</f>
        <v>0.12499999999999996</v>
      </c>
      <c r="L842" s="3">
        <f>_xlfn.IFS(Vendas[[#This Row],[Margem de Lucro (%)]]&lt;15%,Vendas[[#This Row],[Valor da Venda]]*3%,Vendas[[#This Row],[Margem de Lucro (%)]]&lt;=20%,Vendas[[#This Row],[Valor da Venda]]*4.5%,TRUE,Vendas[[#This Row],[Valor da Venda]]*6%)</f>
        <v>14.975999999999999</v>
      </c>
      <c r="M842"/>
    </row>
    <row r="843" spans="1:13" x14ac:dyDescent="0.3">
      <c r="A843" s="7">
        <v>400253</v>
      </c>
      <c r="B843" t="str">
        <f>_xlfn.XLOOKUP(Vendas[[#This Row],[ID Vendedor]],Vendedores[ID],Vendedores[Nome])</f>
        <v>Gustavo</v>
      </c>
      <c r="C843" s="7" t="str">
        <f>_xlfn.XLOOKUP(Vendas[[#This Row],[ID Vendedor]],Vendedores[ID],Vendedores[Setor])</f>
        <v>SC</v>
      </c>
      <c r="D843" s="7" t="s">
        <v>48</v>
      </c>
      <c r="E843" t="str">
        <f>_xlfn.XLOOKUP(Vendas[[#This Row],[ID Item Vendido]],Agregado[ID],Agregado[Produto])</f>
        <v>Tambor metálico 200L</v>
      </c>
      <c r="F843" s="39">
        <v>44199</v>
      </c>
      <c r="G843" s="7">
        <v>11</v>
      </c>
      <c r="H843" s="3">
        <f>_xlfn.XLOOKUP(Vendas[[#This Row],[ID Item Vendido]],Agregado[ID],Agregado[Revenda])</f>
        <v>144</v>
      </c>
      <c r="I843" s="3">
        <f>Vendas[[#This Row],[Valor Unitário]]*Vendas[[#This Row],[Qnt Vendida]]</f>
        <v>1584</v>
      </c>
      <c r="J843" s="3">
        <f>Vendas[[#This Row],[Valor da Venda]]-(_xlfn.XLOOKUP(Vendas[[#This Row],[ID Item Vendido]],Agregado[ID],Agregado[Custo])*Vendas[[#This Row],[Qnt Vendida]])</f>
        <v>264</v>
      </c>
      <c r="K843" s="70">
        <f>Vendas[[#This Row],[Lucro da Venda]]/Vendas[[#This Row],[Valor da Venda]]</f>
        <v>0.16666666666666666</v>
      </c>
      <c r="L843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843"/>
    </row>
    <row r="844" spans="1:13" x14ac:dyDescent="0.3">
      <c r="A844" s="7">
        <v>400251</v>
      </c>
      <c r="B844" t="str">
        <f>_xlfn.XLOOKUP(Vendas[[#This Row],[ID Vendedor]],Vendedores[ID],Vendedores[Nome])</f>
        <v>Diego</v>
      </c>
      <c r="C844" s="7" t="str">
        <f>_xlfn.XLOOKUP(Vendas[[#This Row],[ID Vendedor]],Vendedores[ID],Vendedores[Setor])</f>
        <v>AB</v>
      </c>
      <c r="D844" s="7" t="s">
        <v>39</v>
      </c>
      <c r="E844" t="str">
        <f>_xlfn.XLOOKUP(Vendas[[#This Row],[ID Item Vendido]],Agregado[ID],Agregado[Produto])</f>
        <v>Filme plástico industrial rolo 50m</v>
      </c>
      <c r="F844" s="39">
        <v>44199</v>
      </c>
      <c r="G844" s="7">
        <v>4</v>
      </c>
      <c r="H844" s="3">
        <f>_xlfn.XLOOKUP(Vendas[[#This Row],[ID Item Vendido]],Agregado[ID],Agregado[Revenda])</f>
        <v>37</v>
      </c>
      <c r="I844" s="3">
        <f>Vendas[[#This Row],[Valor Unitário]]*Vendas[[#This Row],[Qnt Vendida]]</f>
        <v>148</v>
      </c>
      <c r="J844" s="3">
        <f>Vendas[[#This Row],[Valor da Venda]]-(_xlfn.XLOOKUP(Vendas[[#This Row],[ID Item Vendido]],Agregado[ID],Agregado[Custo])*Vendas[[#This Row],[Qnt Vendida]])</f>
        <v>36</v>
      </c>
      <c r="K844" s="70">
        <f>Vendas[[#This Row],[Lucro da Venda]]/Vendas[[#This Row],[Valor da Venda]]</f>
        <v>0.24324324324324326</v>
      </c>
      <c r="L844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844"/>
    </row>
    <row r="845" spans="1:13" x14ac:dyDescent="0.3">
      <c r="A845" s="7">
        <v>400241</v>
      </c>
      <c r="B845" t="str">
        <f>_xlfn.XLOOKUP(Vendas[[#This Row],[ID Vendedor]],Vendedores[ID],Vendedores[Nome])</f>
        <v>Rodrigo</v>
      </c>
      <c r="C845" s="7" t="str">
        <f>_xlfn.XLOOKUP(Vendas[[#This Row],[ID Vendedor]],Vendedores[ID],Vendedores[Setor])</f>
        <v>FM</v>
      </c>
      <c r="D845" s="7" t="s">
        <v>20</v>
      </c>
      <c r="E845" t="str">
        <f>_xlfn.XLOOKUP(Vendas[[#This Row],[ID Item Vendido]],Agregado[ID],Agregado[Produto])</f>
        <v>Barra de aço simples</v>
      </c>
      <c r="F845" s="39">
        <v>44201</v>
      </c>
      <c r="G845" s="7">
        <v>200</v>
      </c>
      <c r="H845" s="3">
        <f>_xlfn.XLOOKUP(Vendas[[#This Row],[ID Item Vendido]],Agregado[ID],Agregado[Revenda])</f>
        <v>4.8</v>
      </c>
      <c r="I845" s="3">
        <f>Vendas[[#This Row],[Valor Unitário]]*Vendas[[#This Row],[Qnt Vendida]]</f>
        <v>960</v>
      </c>
      <c r="J845" s="3">
        <f>Vendas[[#This Row],[Valor da Venda]]-(_xlfn.XLOOKUP(Vendas[[#This Row],[ID Item Vendido]],Agregado[ID],Agregado[Custo])*Vendas[[#This Row],[Qnt Vendida]])</f>
        <v>120</v>
      </c>
      <c r="K845" s="70">
        <f>Vendas[[#This Row],[Lucro da Venda]]/Vendas[[#This Row],[Valor da Venda]]</f>
        <v>0.125</v>
      </c>
      <c r="L845" s="3">
        <f>_xlfn.IFS(Vendas[[#This Row],[Margem de Lucro (%)]]&lt;15%,Vendas[[#This Row],[Valor da Venda]]*3%,Vendas[[#This Row],[Margem de Lucro (%)]]&lt;=20%,Vendas[[#This Row],[Valor da Venda]]*4.5%,TRUE,Vendas[[#This Row],[Valor da Venda]]*6%)</f>
        <v>28.799999999999997</v>
      </c>
      <c r="M845"/>
    </row>
    <row r="846" spans="1:13" x14ac:dyDescent="0.3">
      <c r="A846" s="7">
        <v>400241</v>
      </c>
      <c r="B846" t="str">
        <f>_xlfn.XLOOKUP(Vendas[[#This Row],[ID Vendedor]],Vendedores[ID],Vendedores[Nome])</f>
        <v>Rodrigo</v>
      </c>
      <c r="C846" s="7" t="str">
        <f>_xlfn.XLOOKUP(Vendas[[#This Row],[ID Vendedor]],Vendedores[ID],Vendedores[Setor])</f>
        <v>FM</v>
      </c>
      <c r="D846" s="7" t="s">
        <v>31</v>
      </c>
      <c r="E846" t="str">
        <f>_xlfn.XLOOKUP(Vendas[[#This Row],[ID Item Vendido]],Agregado[ID],Agregado[Produto])</f>
        <v>Tela de metal soldada rolo 2x25m</v>
      </c>
      <c r="F846" s="39">
        <v>44201</v>
      </c>
      <c r="G846" s="7">
        <v>9</v>
      </c>
      <c r="H846" s="3">
        <f>_xlfn.XLOOKUP(Vendas[[#This Row],[ID Item Vendido]],Agregado[ID],Agregado[Revenda])</f>
        <v>43.7</v>
      </c>
      <c r="I846" s="3">
        <f>Vendas[[#This Row],[Valor Unitário]]*Vendas[[#This Row],[Qnt Vendida]]</f>
        <v>393.3</v>
      </c>
      <c r="J846" s="3">
        <f>Vendas[[#This Row],[Valor da Venda]]-(_xlfn.XLOOKUP(Vendas[[#This Row],[ID Item Vendido]],Agregado[ID],Agregado[Custo])*Vendas[[#This Row],[Qnt Vendida]])</f>
        <v>51.300000000000011</v>
      </c>
      <c r="K846" s="70">
        <f>Vendas[[#This Row],[Lucro da Venda]]/Vendas[[#This Row],[Valor da Venda]]</f>
        <v>0.13043478260869568</v>
      </c>
      <c r="L846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846"/>
    </row>
    <row r="847" spans="1:13" x14ac:dyDescent="0.3">
      <c r="A847" s="7">
        <v>400255</v>
      </c>
      <c r="B847" t="str">
        <f>_xlfn.XLOOKUP(Vendas[[#This Row],[ID Vendedor]],Vendedores[ID],Vendedores[Nome])</f>
        <v>Carlos</v>
      </c>
      <c r="C847" s="7" t="str">
        <f>_xlfn.XLOOKUP(Vendas[[#This Row],[ID Vendedor]],Vendedores[ID],Vendedores[Setor])</f>
        <v>SC</v>
      </c>
      <c r="D847" s="7" t="s">
        <v>41</v>
      </c>
      <c r="E847" t="str">
        <f>_xlfn.XLOOKUP(Vendas[[#This Row],[ID Item Vendido]],Agregado[ID],Agregado[Produto])</f>
        <v>Palete de madeira reforçado</v>
      </c>
      <c r="F847" s="39">
        <v>44201</v>
      </c>
      <c r="G847" s="7">
        <v>3</v>
      </c>
      <c r="H847" s="3">
        <f>_xlfn.XLOOKUP(Vendas[[#This Row],[ID Item Vendido]],Agregado[ID],Agregado[Revenda])</f>
        <v>131</v>
      </c>
      <c r="I847" s="3">
        <f>Vendas[[#This Row],[Valor Unitário]]*Vendas[[#This Row],[Qnt Vendida]]</f>
        <v>393</v>
      </c>
      <c r="J847" s="3">
        <f>Vendas[[#This Row],[Valor da Venda]]-(_xlfn.XLOOKUP(Vendas[[#This Row],[ID Item Vendido]],Agregado[ID],Agregado[Custo])*Vendas[[#This Row],[Qnt Vendida]])</f>
        <v>63</v>
      </c>
      <c r="K847" s="70">
        <f>Vendas[[#This Row],[Lucro da Venda]]/Vendas[[#This Row],[Valor da Venda]]</f>
        <v>0.16030534351145037</v>
      </c>
      <c r="L847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847"/>
    </row>
    <row r="848" spans="1:13" x14ac:dyDescent="0.3">
      <c r="A848" s="7">
        <v>400247</v>
      </c>
      <c r="B848" t="str">
        <f>_xlfn.XLOOKUP(Vendas[[#This Row],[ID Vendedor]],Vendedores[ID],Vendedores[Nome])</f>
        <v>André</v>
      </c>
      <c r="C848" s="7" t="str">
        <f>_xlfn.XLOOKUP(Vendas[[#This Row],[ID Vendedor]],Vendedores[ID],Vendedores[Setor])</f>
        <v>CM</v>
      </c>
      <c r="D848" s="7" t="s">
        <v>32</v>
      </c>
      <c r="E848" t="str">
        <f>_xlfn.XLOOKUP(Vendas[[#This Row],[ID Item Vendido]],Agregado[ID],Agregado[Produto])</f>
        <v>Tábua tratada e cortada 3m</v>
      </c>
      <c r="F848" s="39">
        <v>44202</v>
      </c>
      <c r="G848" s="7">
        <v>30</v>
      </c>
      <c r="H848" s="3">
        <f>_xlfn.XLOOKUP(Vendas[[#This Row],[ID Item Vendido]],Agregado[ID],Agregado[Revenda])</f>
        <v>39</v>
      </c>
      <c r="I848" s="3">
        <f>Vendas[[#This Row],[Valor Unitário]]*Vendas[[#This Row],[Qnt Vendida]]</f>
        <v>1170</v>
      </c>
      <c r="J848" s="3">
        <f>Vendas[[#This Row],[Valor da Venda]]-(_xlfn.XLOOKUP(Vendas[[#This Row],[ID Item Vendido]],Agregado[ID],Agregado[Custo])*Vendas[[#This Row],[Qnt Vendida]])</f>
        <v>210</v>
      </c>
      <c r="K848" s="70">
        <f>Vendas[[#This Row],[Lucro da Venda]]/Vendas[[#This Row],[Valor da Venda]]</f>
        <v>0.17948717948717949</v>
      </c>
      <c r="L848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848"/>
    </row>
    <row r="849" spans="1:13" x14ac:dyDescent="0.3">
      <c r="A849" s="7">
        <v>400255</v>
      </c>
      <c r="B849" t="str">
        <f>_xlfn.XLOOKUP(Vendas[[#This Row],[ID Vendedor]],Vendedores[ID],Vendedores[Nome])</f>
        <v>Carlos</v>
      </c>
      <c r="C849" s="7" t="str">
        <f>_xlfn.XLOOKUP(Vendas[[#This Row],[ID Vendedor]],Vendedores[ID],Vendedores[Setor])</f>
        <v>SC</v>
      </c>
      <c r="D849" s="7" t="s">
        <v>42</v>
      </c>
      <c r="E849" t="str">
        <f>_xlfn.XLOOKUP(Vendas[[#This Row],[ID Item Vendido]],Agregado[ID],Agregado[Produto])</f>
        <v>Container de ferro industrial</v>
      </c>
      <c r="F849" s="39">
        <v>44203</v>
      </c>
      <c r="G849" s="7">
        <v>3</v>
      </c>
      <c r="H849" s="3">
        <f>_xlfn.XLOOKUP(Vendas[[#This Row],[ID Item Vendido]],Agregado[ID],Agregado[Revenda])</f>
        <v>830</v>
      </c>
      <c r="I849" s="3">
        <f>Vendas[[#This Row],[Valor Unitário]]*Vendas[[#This Row],[Qnt Vendida]]</f>
        <v>2490</v>
      </c>
      <c r="J849" s="3">
        <f>Vendas[[#This Row],[Valor da Venda]]-(_xlfn.XLOOKUP(Vendas[[#This Row],[ID Item Vendido]],Agregado[ID],Agregado[Custo])*Vendas[[#This Row],[Qnt Vendida]])</f>
        <v>450</v>
      </c>
      <c r="K849" s="70">
        <f>Vendas[[#This Row],[Lucro da Venda]]/Vendas[[#This Row],[Valor da Venda]]</f>
        <v>0.18072289156626506</v>
      </c>
      <c r="L84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849"/>
    </row>
    <row r="850" spans="1:13" x14ac:dyDescent="0.3">
      <c r="A850" s="7">
        <v>400251</v>
      </c>
      <c r="B850" t="str">
        <f>_xlfn.XLOOKUP(Vendas[[#This Row],[ID Vendedor]],Vendedores[ID],Vendedores[Nome])</f>
        <v>Diego</v>
      </c>
      <c r="C850" s="7" t="str">
        <f>_xlfn.XLOOKUP(Vendas[[#This Row],[ID Vendedor]],Vendedores[ID],Vendedores[Setor])</f>
        <v>AB</v>
      </c>
      <c r="D850" s="7" t="s">
        <v>37</v>
      </c>
      <c r="E850" t="str">
        <f>_xlfn.XLOOKUP(Vendas[[#This Row],[ID Item Vendido]],Agregado[ID],Agregado[Produto])</f>
        <v>Composto de borracha para vedação rolo 10m</v>
      </c>
      <c r="F850" s="39">
        <v>44203</v>
      </c>
      <c r="G850" s="7">
        <v>23</v>
      </c>
      <c r="H850" s="3">
        <f>_xlfn.XLOOKUP(Vendas[[#This Row],[ID Item Vendido]],Agregado[ID],Agregado[Revenda])</f>
        <v>51.2</v>
      </c>
      <c r="I850" s="3">
        <f>Vendas[[#This Row],[Valor Unitário]]*Vendas[[#This Row],[Qnt Vendida]]</f>
        <v>1177.6000000000001</v>
      </c>
      <c r="J850" s="3">
        <f>Vendas[[#This Row],[Valor da Venda]]-(_xlfn.XLOOKUP(Vendas[[#This Row],[ID Item Vendido]],Agregado[ID],Agregado[Custo])*Vendas[[#This Row],[Qnt Vendida]])</f>
        <v>257.60000000000014</v>
      </c>
      <c r="K850" s="70">
        <f>Vendas[[#This Row],[Lucro da Venda]]/Vendas[[#This Row],[Valor da Venda]]</f>
        <v>0.21875000000000008</v>
      </c>
      <c r="L850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850"/>
    </row>
    <row r="851" spans="1:13" x14ac:dyDescent="0.3">
      <c r="A851" s="7">
        <v>400244</v>
      </c>
      <c r="B851" t="str">
        <f>_xlfn.XLOOKUP(Vendas[[#This Row],[ID Vendedor]],Vendedores[ID],Vendedores[Nome])</f>
        <v>Camila</v>
      </c>
      <c r="C851" s="7" t="str">
        <f>_xlfn.XLOOKUP(Vendas[[#This Row],[ID Vendedor]],Vendedores[ID],Vendedores[Setor])</f>
        <v>AHD</v>
      </c>
      <c r="D851" s="7" t="s">
        <v>30</v>
      </c>
      <c r="E851" t="str">
        <f>_xlfn.XLOOKUP(Vendas[[#This Row],[ID Item Vendido]],Agregado[ID],Agregado[Produto])</f>
        <v>Estrutura metálica soldada</v>
      </c>
      <c r="F851" s="39">
        <v>44204</v>
      </c>
      <c r="G851" s="7">
        <v>5</v>
      </c>
      <c r="H851" s="3">
        <f>_xlfn.XLOOKUP(Vendas[[#This Row],[ID Item Vendido]],Agregado[ID],Agregado[Revenda])</f>
        <v>400</v>
      </c>
      <c r="I851" s="3">
        <f>Vendas[[#This Row],[Valor Unitário]]*Vendas[[#This Row],[Qnt Vendida]]</f>
        <v>2000</v>
      </c>
      <c r="J851" s="3">
        <f>Vendas[[#This Row],[Valor da Venda]]-(_xlfn.XLOOKUP(Vendas[[#This Row],[ID Item Vendido]],Agregado[ID],Agregado[Custo])*Vendas[[#This Row],[Qnt Vendida]])</f>
        <v>400</v>
      </c>
      <c r="K851" s="70">
        <f>Vendas[[#This Row],[Lucro da Venda]]/Vendas[[#This Row],[Valor da Venda]]</f>
        <v>0.2</v>
      </c>
      <c r="L85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851"/>
    </row>
    <row r="852" spans="1:13" x14ac:dyDescent="0.3">
      <c r="A852" s="7">
        <v>400251</v>
      </c>
      <c r="B852" t="str">
        <f>_xlfn.XLOOKUP(Vendas[[#This Row],[ID Vendedor]],Vendedores[ID],Vendedores[Nome])</f>
        <v>Diego</v>
      </c>
      <c r="C852" s="7" t="str">
        <f>_xlfn.XLOOKUP(Vendas[[#This Row],[ID Vendedor]],Vendedores[ID],Vendedores[Setor])</f>
        <v>AB</v>
      </c>
      <c r="D852" s="7" t="s">
        <v>12</v>
      </c>
      <c r="E852" t="str">
        <f>_xlfn.XLOOKUP(Vendas[[#This Row],[ID Item Vendido]],Agregado[ID],Agregado[Produto])</f>
        <v>Grânulo de plástico reciclado refinado</v>
      </c>
      <c r="F852" s="39">
        <v>44204</v>
      </c>
      <c r="G852" s="7">
        <v>70</v>
      </c>
      <c r="H852" s="3">
        <f>_xlfn.XLOOKUP(Vendas[[#This Row],[ID Item Vendido]],Agregado[ID],Agregado[Revenda])</f>
        <v>4.7</v>
      </c>
      <c r="I852" s="3">
        <f>Vendas[[#This Row],[Valor Unitário]]*Vendas[[#This Row],[Qnt Vendida]]</f>
        <v>329</v>
      </c>
      <c r="J852" s="3">
        <f>Vendas[[#This Row],[Valor da Venda]]-(_xlfn.XLOOKUP(Vendas[[#This Row],[ID Item Vendido]],Agregado[ID],Agregado[Custo])*Vendas[[#This Row],[Qnt Vendida]])</f>
        <v>84</v>
      </c>
      <c r="K852" s="70">
        <f>Vendas[[#This Row],[Lucro da Venda]]/Vendas[[#This Row],[Valor da Venda]]</f>
        <v>0.25531914893617019</v>
      </c>
      <c r="L852" s="3">
        <f>_xlfn.IFS(Vendas[[#This Row],[Margem de Lucro (%)]]&lt;15%,Vendas[[#This Row],[Valor da Venda]]*3%,Vendas[[#This Row],[Margem de Lucro (%)]]&lt;=20%,Vendas[[#This Row],[Valor da Venda]]*4.5%,TRUE,Vendas[[#This Row],[Valor da Venda]]*6%)</f>
        <v>19.739999999999998</v>
      </c>
      <c r="M852"/>
    </row>
    <row r="853" spans="1:13" x14ac:dyDescent="0.3">
      <c r="A853" s="7">
        <v>400249</v>
      </c>
      <c r="B853" t="str">
        <f>_xlfn.XLOOKUP(Vendas[[#This Row],[ID Vendedor]],Vendedores[ID],Vendedores[Nome])</f>
        <v>Bruno</v>
      </c>
      <c r="C853" s="7" t="str">
        <f>_xlfn.XLOOKUP(Vendas[[#This Row],[ID Vendedor]],Vendedores[ID],Vendedores[Setor])</f>
        <v>CM</v>
      </c>
      <c r="D853" s="7" t="s">
        <v>34</v>
      </c>
      <c r="E853" t="str">
        <f>_xlfn.XLOOKUP(Vendas[[#This Row],[ID Item Vendido]],Agregado[ID],Agregado[Produto])</f>
        <v>Restos de madeira p/ MDP/OSB saco de 20kg</v>
      </c>
      <c r="F853" s="39">
        <v>44204</v>
      </c>
      <c r="G853" s="7">
        <v>8</v>
      </c>
      <c r="H853" s="3">
        <f>_xlfn.XLOOKUP(Vendas[[#This Row],[ID Item Vendido]],Agregado[ID],Agregado[Revenda])</f>
        <v>13.8</v>
      </c>
      <c r="I853" s="3">
        <f>Vendas[[#This Row],[Valor Unitário]]*Vendas[[#This Row],[Qnt Vendida]]</f>
        <v>110.4</v>
      </c>
      <c r="J853" s="3">
        <f>Vendas[[#This Row],[Valor da Venda]]-(_xlfn.XLOOKUP(Vendas[[#This Row],[ID Item Vendido]],Agregado[ID],Agregado[Custo])*Vendas[[#This Row],[Qnt Vendida]])</f>
        <v>14.400000000000006</v>
      </c>
      <c r="K853" s="70">
        <f>Vendas[[#This Row],[Lucro da Venda]]/Vendas[[#This Row],[Valor da Venda]]</f>
        <v>0.1304347826086957</v>
      </c>
      <c r="L853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853"/>
    </row>
    <row r="854" spans="1:13" x14ac:dyDescent="0.3">
      <c r="A854" s="7">
        <v>400241</v>
      </c>
      <c r="B854" t="str">
        <f>_xlfn.XLOOKUP(Vendas[[#This Row],[ID Vendedor]],Vendedores[ID],Vendedores[Nome])</f>
        <v>Rodrigo</v>
      </c>
      <c r="C854" s="7" t="str">
        <f>_xlfn.XLOOKUP(Vendas[[#This Row],[ID Vendedor]],Vendedores[ID],Vendedores[Setor])</f>
        <v>FM</v>
      </c>
      <c r="D854" s="7" t="s">
        <v>20</v>
      </c>
      <c r="E854" t="str">
        <f>_xlfn.XLOOKUP(Vendas[[#This Row],[ID Item Vendido]],Agregado[ID],Agregado[Produto])</f>
        <v>Barra de aço simples</v>
      </c>
      <c r="F854" s="39">
        <v>44205</v>
      </c>
      <c r="G854" s="7">
        <v>95</v>
      </c>
      <c r="H854" s="3">
        <f>_xlfn.XLOOKUP(Vendas[[#This Row],[ID Item Vendido]],Agregado[ID],Agregado[Revenda])</f>
        <v>4.8</v>
      </c>
      <c r="I854" s="3">
        <f>Vendas[[#This Row],[Valor Unitário]]*Vendas[[#This Row],[Qnt Vendida]]</f>
        <v>456</v>
      </c>
      <c r="J854" s="3">
        <f>Vendas[[#This Row],[Valor da Venda]]-(_xlfn.XLOOKUP(Vendas[[#This Row],[ID Item Vendido]],Agregado[ID],Agregado[Custo])*Vendas[[#This Row],[Qnt Vendida]])</f>
        <v>57</v>
      </c>
      <c r="K854" s="70">
        <f>Vendas[[#This Row],[Lucro da Venda]]/Vendas[[#This Row],[Valor da Venda]]</f>
        <v>0.125</v>
      </c>
      <c r="L854" s="3">
        <f>_xlfn.IFS(Vendas[[#This Row],[Margem de Lucro (%)]]&lt;15%,Vendas[[#This Row],[Valor da Venda]]*3%,Vendas[[#This Row],[Margem de Lucro (%)]]&lt;=20%,Vendas[[#This Row],[Valor da Venda]]*4.5%,TRUE,Vendas[[#This Row],[Valor da Venda]]*6%)</f>
        <v>13.68</v>
      </c>
      <c r="M854"/>
    </row>
    <row r="855" spans="1:13" x14ac:dyDescent="0.3">
      <c r="A855" s="7">
        <v>400241</v>
      </c>
      <c r="B855" t="str">
        <f>_xlfn.XLOOKUP(Vendas[[#This Row],[ID Vendedor]],Vendedores[ID],Vendedores[Nome])</f>
        <v>Rodrigo</v>
      </c>
      <c r="C855" s="7" t="str">
        <f>_xlfn.XLOOKUP(Vendas[[#This Row],[ID Vendedor]],Vendedores[ID],Vendedores[Setor])</f>
        <v>FM</v>
      </c>
      <c r="D855" s="7" t="s">
        <v>6</v>
      </c>
      <c r="E855" t="str">
        <f>_xlfn.XLOOKUP(Vendas[[#This Row],[ID Item Vendido]],Agregado[ID],Agregado[Produto])</f>
        <v>Parafuso comum 500un</v>
      </c>
      <c r="F855" s="39">
        <v>44205</v>
      </c>
      <c r="G855" s="7">
        <v>13</v>
      </c>
      <c r="H855" s="3">
        <f>_xlfn.XLOOKUP(Vendas[[#This Row],[ID Item Vendido]],Agregado[ID],Agregado[Revenda])</f>
        <v>24.6</v>
      </c>
      <c r="I855" s="3">
        <f>Vendas[[#This Row],[Valor Unitário]]*Vendas[[#This Row],[Qnt Vendida]]</f>
        <v>319.8</v>
      </c>
      <c r="J855" s="3">
        <f>Vendas[[#This Row],[Valor da Venda]]-(_xlfn.XLOOKUP(Vendas[[#This Row],[ID Item Vendido]],Agregado[ID],Agregado[Custo])*Vendas[[#This Row],[Qnt Vendida]])</f>
        <v>33.800000000000011</v>
      </c>
      <c r="K855" s="70">
        <f>Vendas[[#This Row],[Lucro da Venda]]/Vendas[[#This Row],[Valor da Venda]]</f>
        <v>0.10569105691056914</v>
      </c>
      <c r="L855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855"/>
    </row>
    <row r="856" spans="1:13" x14ac:dyDescent="0.3">
      <c r="A856" s="7">
        <v>400241</v>
      </c>
      <c r="B856" t="str">
        <f>_xlfn.XLOOKUP(Vendas[[#This Row],[ID Vendedor]],Vendedores[ID],Vendedores[Nome])</f>
        <v>Rodrigo</v>
      </c>
      <c r="C856" s="7" t="str">
        <f>_xlfn.XLOOKUP(Vendas[[#This Row],[ID Vendedor]],Vendedores[ID],Vendedores[Setor])</f>
        <v>FM</v>
      </c>
      <c r="D856" s="7" t="s">
        <v>31</v>
      </c>
      <c r="E856" t="str">
        <f>_xlfn.XLOOKUP(Vendas[[#This Row],[ID Item Vendido]],Agregado[ID],Agregado[Produto])</f>
        <v>Tela de metal soldada rolo 2x25m</v>
      </c>
      <c r="F856" s="39">
        <v>44206</v>
      </c>
      <c r="G856" s="7">
        <v>2</v>
      </c>
      <c r="H856" s="3">
        <f>_xlfn.XLOOKUP(Vendas[[#This Row],[ID Item Vendido]],Agregado[ID],Agregado[Revenda])</f>
        <v>43.7</v>
      </c>
      <c r="I856" s="3">
        <f>Vendas[[#This Row],[Valor Unitário]]*Vendas[[#This Row],[Qnt Vendida]]</f>
        <v>87.4</v>
      </c>
      <c r="J856" s="3">
        <f>Vendas[[#This Row],[Valor da Venda]]-(_xlfn.XLOOKUP(Vendas[[#This Row],[ID Item Vendido]],Agregado[ID],Agregado[Custo])*Vendas[[#This Row],[Qnt Vendida]])</f>
        <v>11.400000000000006</v>
      </c>
      <c r="K856" s="70">
        <f>Vendas[[#This Row],[Lucro da Venda]]/Vendas[[#This Row],[Valor da Venda]]</f>
        <v>0.1304347826086957</v>
      </c>
      <c r="L856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856"/>
    </row>
    <row r="857" spans="1:13" x14ac:dyDescent="0.3">
      <c r="A857" s="7">
        <v>400251</v>
      </c>
      <c r="B857" t="str">
        <f>_xlfn.XLOOKUP(Vendas[[#This Row],[ID Vendedor]],Vendedores[ID],Vendedores[Nome])</f>
        <v>Diego</v>
      </c>
      <c r="C857" s="7" t="str">
        <f>_xlfn.XLOOKUP(Vendas[[#This Row],[ID Vendedor]],Vendedores[ID],Vendedores[Setor])</f>
        <v>AB</v>
      </c>
      <c r="D857" s="7" t="s">
        <v>24</v>
      </c>
      <c r="E857" t="str">
        <f>_xlfn.XLOOKUP(Vendas[[#This Row],[ID Item Vendido]],Agregado[ID],Agregado[Produto])</f>
        <v>Resina plástica PET purificada saco de 25kg</v>
      </c>
      <c r="F857" s="39">
        <v>44207</v>
      </c>
      <c r="G857" s="7">
        <v>27</v>
      </c>
      <c r="H857" s="3">
        <f>_xlfn.XLOOKUP(Vendas[[#This Row],[ID Item Vendido]],Agregado[ID],Agregado[Revenda])</f>
        <v>119</v>
      </c>
      <c r="I857" s="3">
        <f>Vendas[[#This Row],[Valor Unitário]]*Vendas[[#This Row],[Qnt Vendida]]</f>
        <v>3213</v>
      </c>
      <c r="J857" s="3">
        <f>Vendas[[#This Row],[Valor da Venda]]-(_xlfn.XLOOKUP(Vendas[[#This Row],[ID Item Vendido]],Agregado[ID],Agregado[Custo])*Vendas[[#This Row],[Qnt Vendida]])</f>
        <v>918</v>
      </c>
      <c r="K857" s="70">
        <f>Vendas[[#This Row],[Lucro da Venda]]/Vendas[[#This Row],[Valor da Venda]]</f>
        <v>0.2857142857142857</v>
      </c>
      <c r="L857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857"/>
    </row>
    <row r="858" spans="1:13" x14ac:dyDescent="0.3">
      <c r="A858" s="7">
        <v>400244</v>
      </c>
      <c r="B858" t="str">
        <f>_xlfn.XLOOKUP(Vendas[[#This Row],[ID Vendedor]],Vendedores[ID],Vendedores[Nome])</f>
        <v>Camila</v>
      </c>
      <c r="C858" s="7" t="str">
        <f>_xlfn.XLOOKUP(Vendas[[#This Row],[ID Vendedor]],Vendedores[ID],Vendedores[Setor])</f>
        <v>AHD</v>
      </c>
      <c r="D858" s="7" t="s">
        <v>18</v>
      </c>
      <c r="E858" t="str">
        <f>_xlfn.XLOOKUP(Vendas[[#This Row],[ID Item Vendido]],Agregado[ID],Agregado[Produto])</f>
        <v>Peça forjada sob encomenda</v>
      </c>
      <c r="F858" s="39">
        <v>44208</v>
      </c>
      <c r="G858" s="7">
        <v>4</v>
      </c>
      <c r="H858" s="3">
        <f>_xlfn.XLOOKUP(Vendas[[#This Row],[ID Item Vendido]],Agregado[ID],Agregado[Revenda])</f>
        <v>264.60000000000002</v>
      </c>
      <c r="I858" s="3">
        <f>Vendas[[#This Row],[Valor Unitário]]*Vendas[[#This Row],[Qnt Vendida]]</f>
        <v>1058.4000000000001</v>
      </c>
      <c r="J858" s="3">
        <f>Vendas[[#This Row],[Valor da Venda]]-(_xlfn.XLOOKUP(Vendas[[#This Row],[ID Item Vendido]],Agregado[ID],Agregado[Custo])*Vendas[[#This Row],[Qnt Vendida]])</f>
        <v>58.400000000000091</v>
      </c>
      <c r="K858" s="70">
        <f>Vendas[[#This Row],[Lucro da Venda]]/Vendas[[#This Row],[Valor da Venda]]</f>
        <v>5.5177626606198113E-2</v>
      </c>
      <c r="L858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858"/>
    </row>
    <row r="859" spans="1:13" x14ac:dyDescent="0.3">
      <c r="A859" s="7">
        <v>400247</v>
      </c>
      <c r="B859" t="str">
        <f>_xlfn.XLOOKUP(Vendas[[#This Row],[ID Vendedor]],Vendedores[ID],Vendedores[Nome])</f>
        <v>André</v>
      </c>
      <c r="C859" s="7" t="str">
        <f>_xlfn.XLOOKUP(Vendas[[#This Row],[ID Vendedor]],Vendedores[ID],Vendedores[Setor])</f>
        <v>CM</v>
      </c>
      <c r="D859" s="7" t="s">
        <v>45</v>
      </c>
      <c r="E859" t="str">
        <f>_xlfn.XLOOKUP(Vendas[[#This Row],[ID Item Vendido]],Agregado[ID],Agregado[Produto])</f>
        <v>Viga de madeira tratada 4m</v>
      </c>
      <c r="F859" s="39">
        <v>44209</v>
      </c>
      <c r="G859" s="7">
        <v>15</v>
      </c>
      <c r="H859" s="3">
        <f>_xlfn.XLOOKUP(Vendas[[#This Row],[ID Item Vendido]],Agregado[ID],Agregado[Revenda])</f>
        <v>66</v>
      </c>
      <c r="I859" s="3">
        <f>Vendas[[#This Row],[Valor Unitário]]*Vendas[[#This Row],[Qnt Vendida]]</f>
        <v>990</v>
      </c>
      <c r="J859" s="3">
        <f>Vendas[[#This Row],[Valor da Venda]]-(_xlfn.XLOOKUP(Vendas[[#This Row],[ID Item Vendido]],Agregado[ID],Agregado[Custo])*Vendas[[#This Row],[Qnt Vendida]])</f>
        <v>165</v>
      </c>
      <c r="K859" s="70">
        <f>Vendas[[#This Row],[Lucro da Venda]]/Vendas[[#This Row],[Valor da Venda]]</f>
        <v>0.16666666666666666</v>
      </c>
      <c r="L859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859"/>
    </row>
    <row r="860" spans="1:13" x14ac:dyDescent="0.3">
      <c r="A860" s="7">
        <v>400241</v>
      </c>
      <c r="B860" t="str">
        <f>_xlfn.XLOOKUP(Vendas[[#This Row],[ID Vendedor]],Vendedores[ID],Vendedores[Nome])</f>
        <v>Rodrigo</v>
      </c>
      <c r="C860" s="7" t="str">
        <f>_xlfn.XLOOKUP(Vendas[[#This Row],[ID Vendedor]],Vendedores[ID],Vendedores[Setor])</f>
        <v>FM</v>
      </c>
      <c r="D860" s="7" t="s">
        <v>31</v>
      </c>
      <c r="E860" t="str">
        <f>_xlfn.XLOOKUP(Vendas[[#This Row],[ID Item Vendido]],Agregado[ID],Agregado[Produto])</f>
        <v>Tela de metal soldada rolo 2x25m</v>
      </c>
      <c r="F860" s="39">
        <v>44210</v>
      </c>
      <c r="G860" s="7">
        <v>10</v>
      </c>
      <c r="H860" s="3">
        <f>_xlfn.XLOOKUP(Vendas[[#This Row],[ID Item Vendido]],Agregado[ID],Agregado[Revenda])</f>
        <v>43.7</v>
      </c>
      <c r="I860" s="3">
        <f>Vendas[[#This Row],[Valor Unitário]]*Vendas[[#This Row],[Qnt Vendida]]</f>
        <v>437</v>
      </c>
      <c r="J860" s="3">
        <f>Vendas[[#This Row],[Valor da Venda]]-(_xlfn.XLOOKUP(Vendas[[#This Row],[ID Item Vendido]],Agregado[ID],Agregado[Custo])*Vendas[[#This Row],[Qnt Vendida]])</f>
        <v>57</v>
      </c>
      <c r="K860" s="70">
        <f>Vendas[[#This Row],[Lucro da Venda]]/Vendas[[#This Row],[Valor da Venda]]</f>
        <v>0.13043478260869565</v>
      </c>
      <c r="L860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860"/>
    </row>
    <row r="861" spans="1:13" x14ac:dyDescent="0.3">
      <c r="A861" s="7">
        <v>400249</v>
      </c>
      <c r="B861" t="str">
        <f>_xlfn.XLOOKUP(Vendas[[#This Row],[ID Vendedor]],Vendedores[ID],Vendedores[Nome])</f>
        <v>Bruno</v>
      </c>
      <c r="C861" s="7" t="str">
        <f>_xlfn.XLOOKUP(Vendas[[#This Row],[ID Vendedor]],Vendedores[ID],Vendedores[Setor])</f>
        <v>CM</v>
      </c>
      <c r="D861" s="7" t="s">
        <v>45</v>
      </c>
      <c r="E861" t="str">
        <f>_xlfn.XLOOKUP(Vendas[[#This Row],[ID Item Vendido]],Agregado[ID],Agregado[Produto])</f>
        <v>Viga de madeira tratada 4m</v>
      </c>
      <c r="F861" s="39">
        <v>44213</v>
      </c>
      <c r="G861" s="7">
        <v>20</v>
      </c>
      <c r="H861" s="3">
        <f>_xlfn.XLOOKUP(Vendas[[#This Row],[ID Item Vendido]],Agregado[ID],Agregado[Revenda])</f>
        <v>66</v>
      </c>
      <c r="I861" s="3">
        <f>Vendas[[#This Row],[Valor Unitário]]*Vendas[[#This Row],[Qnt Vendida]]</f>
        <v>1320</v>
      </c>
      <c r="J861" s="3">
        <f>Vendas[[#This Row],[Valor da Venda]]-(_xlfn.XLOOKUP(Vendas[[#This Row],[ID Item Vendido]],Agregado[ID],Agregado[Custo])*Vendas[[#This Row],[Qnt Vendida]])</f>
        <v>220</v>
      </c>
      <c r="K861" s="70">
        <f>Vendas[[#This Row],[Lucro da Venda]]/Vendas[[#This Row],[Valor da Venda]]</f>
        <v>0.16666666666666666</v>
      </c>
      <c r="L861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861"/>
    </row>
    <row r="862" spans="1:13" x14ac:dyDescent="0.3">
      <c r="A862" s="7">
        <v>400241</v>
      </c>
      <c r="B862" t="str">
        <f>_xlfn.XLOOKUP(Vendas[[#This Row],[ID Vendedor]],Vendedores[ID],Vendedores[Nome])</f>
        <v>Rodrigo</v>
      </c>
      <c r="C862" s="7" t="str">
        <f>_xlfn.XLOOKUP(Vendas[[#This Row],[ID Vendedor]],Vendedores[ID],Vendedores[Setor])</f>
        <v>FM</v>
      </c>
      <c r="D862" s="7" t="s">
        <v>47</v>
      </c>
      <c r="E862" t="str">
        <f>_xlfn.XLOOKUP(Vendas[[#This Row],[ID Item Vendido]],Agregado[ID],Agregado[Produto])</f>
        <v>Fio de arame galvanizado rolo 50m</v>
      </c>
      <c r="F862" s="39">
        <v>44213</v>
      </c>
      <c r="G862" s="7">
        <v>38</v>
      </c>
      <c r="H862" s="3">
        <f>_xlfn.XLOOKUP(Vendas[[#This Row],[ID Item Vendido]],Agregado[ID],Agregado[Revenda])</f>
        <v>21.2</v>
      </c>
      <c r="I862" s="3">
        <f>Vendas[[#This Row],[Valor Unitário]]*Vendas[[#This Row],[Qnt Vendida]]</f>
        <v>805.6</v>
      </c>
      <c r="J862" s="3">
        <f>Vendas[[#This Row],[Valor da Venda]]-(_xlfn.XLOOKUP(Vendas[[#This Row],[ID Item Vendido]],Agregado[ID],Agregado[Custo])*Vendas[[#This Row],[Qnt Vendida]])</f>
        <v>121.60000000000002</v>
      </c>
      <c r="K862" s="70">
        <f>Vendas[[#This Row],[Lucro da Venda]]/Vendas[[#This Row],[Valor da Venda]]</f>
        <v>0.15094339622641512</v>
      </c>
      <c r="L862" s="3">
        <f>_xlfn.IFS(Vendas[[#This Row],[Margem de Lucro (%)]]&lt;15%,Vendas[[#This Row],[Valor da Venda]]*3%,Vendas[[#This Row],[Margem de Lucro (%)]]&lt;=20%,Vendas[[#This Row],[Valor da Venda]]*4.5%,TRUE,Vendas[[#This Row],[Valor da Venda]]*6%)</f>
        <v>36.252000000000002</v>
      </c>
      <c r="M862"/>
    </row>
    <row r="863" spans="1:13" x14ac:dyDescent="0.3">
      <c r="A863" s="7">
        <v>400243</v>
      </c>
      <c r="B863" t="str">
        <f>_xlfn.XLOOKUP(Vendas[[#This Row],[ID Vendedor]],Vendedores[ID],Vendedores[Nome])</f>
        <v>Marcelo</v>
      </c>
      <c r="C863" s="7" t="str">
        <f>_xlfn.XLOOKUP(Vendas[[#This Row],[ID Vendedor]],Vendedores[ID],Vendedores[Setor])</f>
        <v>FM</v>
      </c>
      <c r="D863" s="7" t="s">
        <v>20</v>
      </c>
      <c r="E863" t="str">
        <f>_xlfn.XLOOKUP(Vendas[[#This Row],[ID Item Vendido]],Agregado[ID],Agregado[Produto])</f>
        <v>Barra de aço simples</v>
      </c>
      <c r="F863" s="39">
        <v>44213</v>
      </c>
      <c r="G863" s="7">
        <v>123</v>
      </c>
      <c r="H863" s="3">
        <f>_xlfn.XLOOKUP(Vendas[[#This Row],[ID Item Vendido]],Agregado[ID],Agregado[Revenda])</f>
        <v>4.8</v>
      </c>
      <c r="I863" s="3">
        <f>Vendas[[#This Row],[Valor Unitário]]*Vendas[[#This Row],[Qnt Vendida]]</f>
        <v>590.4</v>
      </c>
      <c r="J863" s="3">
        <f>Vendas[[#This Row],[Valor da Venda]]-(_xlfn.XLOOKUP(Vendas[[#This Row],[ID Item Vendido]],Agregado[ID],Agregado[Custo])*Vendas[[#This Row],[Qnt Vendida]])</f>
        <v>73.799999999999955</v>
      </c>
      <c r="K863" s="70">
        <f>Vendas[[#This Row],[Lucro da Venda]]/Vendas[[#This Row],[Valor da Venda]]</f>
        <v>0.12499999999999993</v>
      </c>
      <c r="L863" s="3">
        <f>_xlfn.IFS(Vendas[[#This Row],[Margem de Lucro (%)]]&lt;15%,Vendas[[#This Row],[Valor da Venda]]*3%,Vendas[[#This Row],[Margem de Lucro (%)]]&lt;=20%,Vendas[[#This Row],[Valor da Venda]]*4.5%,TRUE,Vendas[[#This Row],[Valor da Venda]]*6%)</f>
        <v>17.712</v>
      </c>
      <c r="M863"/>
    </row>
    <row r="864" spans="1:13" x14ac:dyDescent="0.3">
      <c r="A864" s="7">
        <v>400241</v>
      </c>
      <c r="B864" t="str">
        <f>_xlfn.XLOOKUP(Vendas[[#This Row],[ID Vendedor]],Vendedores[ID],Vendedores[Nome])</f>
        <v>Rodrigo</v>
      </c>
      <c r="C864" s="7" t="str">
        <f>_xlfn.XLOOKUP(Vendas[[#This Row],[ID Vendedor]],Vendedores[ID],Vendedores[Setor])</f>
        <v>FM</v>
      </c>
      <c r="D864" s="7" t="s">
        <v>47</v>
      </c>
      <c r="E864" t="str">
        <f>_xlfn.XLOOKUP(Vendas[[#This Row],[ID Item Vendido]],Agregado[ID],Agregado[Produto])</f>
        <v>Fio de arame galvanizado rolo 50m</v>
      </c>
      <c r="F864" s="39">
        <v>44213</v>
      </c>
      <c r="G864" s="7">
        <v>20</v>
      </c>
      <c r="H864" s="3">
        <f>_xlfn.XLOOKUP(Vendas[[#This Row],[ID Item Vendido]],Agregado[ID],Agregado[Revenda])</f>
        <v>21.2</v>
      </c>
      <c r="I864" s="3">
        <f>Vendas[[#This Row],[Valor Unitário]]*Vendas[[#This Row],[Qnt Vendida]]</f>
        <v>424</v>
      </c>
      <c r="J864" s="3">
        <f>Vendas[[#This Row],[Valor da Venda]]-(_xlfn.XLOOKUP(Vendas[[#This Row],[ID Item Vendido]],Agregado[ID],Agregado[Custo])*Vendas[[#This Row],[Qnt Vendida]])</f>
        <v>64</v>
      </c>
      <c r="K864" s="70">
        <f>Vendas[[#This Row],[Lucro da Venda]]/Vendas[[#This Row],[Valor da Venda]]</f>
        <v>0.15094339622641509</v>
      </c>
      <c r="L864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864"/>
    </row>
    <row r="865" spans="1:13" x14ac:dyDescent="0.3">
      <c r="A865" s="7">
        <v>400253</v>
      </c>
      <c r="B865" t="str">
        <f>_xlfn.XLOOKUP(Vendas[[#This Row],[ID Vendedor]],Vendedores[ID],Vendedores[Nome])</f>
        <v>Gustavo</v>
      </c>
      <c r="C865" s="7" t="str">
        <f>_xlfn.XLOOKUP(Vendas[[#This Row],[ID Vendedor]],Vendedores[ID],Vendedores[Setor])</f>
        <v>SC</v>
      </c>
      <c r="D865" s="7" t="s">
        <v>42</v>
      </c>
      <c r="E865" t="str">
        <f>_xlfn.XLOOKUP(Vendas[[#This Row],[ID Item Vendido]],Agregado[ID],Agregado[Produto])</f>
        <v>Container de ferro industrial</v>
      </c>
      <c r="F865" s="39">
        <v>44214</v>
      </c>
      <c r="G865" s="7">
        <v>6</v>
      </c>
      <c r="H865" s="3">
        <f>_xlfn.XLOOKUP(Vendas[[#This Row],[ID Item Vendido]],Agregado[ID],Agregado[Revenda])</f>
        <v>830</v>
      </c>
      <c r="I865" s="3">
        <f>Vendas[[#This Row],[Valor Unitário]]*Vendas[[#This Row],[Qnt Vendida]]</f>
        <v>4980</v>
      </c>
      <c r="J865" s="3">
        <f>Vendas[[#This Row],[Valor da Venda]]-(_xlfn.XLOOKUP(Vendas[[#This Row],[ID Item Vendido]],Agregado[ID],Agregado[Custo])*Vendas[[#This Row],[Qnt Vendida]])</f>
        <v>900</v>
      </c>
      <c r="K865" s="70">
        <f>Vendas[[#This Row],[Lucro da Venda]]/Vendas[[#This Row],[Valor da Venda]]</f>
        <v>0.18072289156626506</v>
      </c>
      <c r="L865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865"/>
    </row>
    <row r="866" spans="1:13" x14ac:dyDescent="0.3">
      <c r="A866" s="7">
        <v>400247</v>
      </c>
      <c r="B866" t="str">
        <f>_xlfn.XLOOKUP(Vendas[[#This Row],[ID Vendedor]],Vendedores[ID],Vendedores[Nome])</f>
        <v>André</v>
      </c>
      <c r="C866" s="7" t="str">
        <f>_xlfn.XLOOKUP(Vendas[[#This Row],[ID Vendedor]],Vendedores[ID],Vendedores[Setor])</f>
        <v>CM</v>
      </c>
      <c r="D866" s="7" t="s">
        <v>43</v>
      </c>
      <c r="E866" t="str">
        <f>_xlfn.XLOOKUP(Vendas[[#This Row],[ID Item Vendido]],Agregado[ID],Agregado[Produto])</f>
        <v>Madeira Bruta (Tora)</v>
      </c>
      <c r="F866" s="39">
        <v>44214</v>
      </c>
      <c r="G866" s="7">
        <v>9</v>
      </c>
      <c r="H866" s="3">
        <f>_xlfn.XLOOKUP(Vendas[[#This Row],[ID Item Vendido]],Agregado[ID],Agregado[Revenda])</f>
        <v>212</v>
      </c>
      <c r="I866" s="3">
        <f>Vendas[[#This Row],[Valor Unitário]]*Vendas[[#This Row],[Qnt Vendida]]</f>
        <v>1908</v>
      </c>
      <c r="J866" s="3">
        <f>Vendas[[#This Row],[Valor da Venda]]-(_xlfn.XLOOKUP(Vendas[[#This Row],[ID Item Vendido]],Agregado[ID],Agregado[Custo])*Vendas[[#This Row],[Qnt Vendida]])</f>
        <v>288</v>
      </c>
      <c r="K866" s="70">
        <f>Vendas[[#This Row],[Lucro da Venda]]/Vendas[[#This Row],[Valor da Venda]]</f>
        <v>0.15094339622641509</v>
      </c>
      <c r="L866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866"/>
    </row>
    <row r="867" spans="1:13" x14ac:dyDescent="0.3">
      <c r="A867" s="7">
        <v>400251</v>
      </c>
      <c r="B867" t="str">
        <f>_xlfn.XLOOKUP(Vendas[[#This Row],[ID Vendedor]],Vendedores[ID],Vendedores[Nome])</f>
        <v>Diego</v>
      </c>
      <c r="C867" s="7" t="str">
        <f>_xlfn.XLOOKUP(Vendas[[#This Row],[ID Vendedor]],Vendedores[ID],Vendedores[Setor])</f>
        <v>AB</v>
      </c>
      <c r="D867" s="7" t="s">
        <v>39</v>
      </c>
      <c r="E867" t="str">
        <f>_xlfn.XLOOKUP(Vendas[[#This Row],[ID Item Vendido]],Agregado[ID],Agregado[Produto])</f>
        <v>Filme plástico industrial rolo 50m</v>
      </c>
      <c r="F867" s="39">
        <v>44214</v>
      </c>
      <c r="G867" s="7">
        <v>23</v>
      </c>
      <c r="H867" s="3">
        <f>_xlfn.XLOOKUP(Vendas[[#This Row],[ID Item Vendido]],Agregado[ID],Agregado[Revenda])</f>
        <v>37</v>
      </c>
      <c r="I867" s="3">
        <f>Vendas[[#This Row],[Valor Unitário]]*Vendas[[#This Row],[Qnt Vendida]]</f>
        <v>851</v>
      </c>
      <c r="J867" s="3">
        <f>Vendas[[#This Row],[Valor da Venda]]-(_xlfn.XLOOKUP(Vendas[[#This Row],[ID Item Vendido]],Agregado[ID],Agregado[Custo])*Vendas[[#This Row],[Qnt Vendida]])</f>
        <v>207</v>
      </c>
      <c r="K867" s="70">
        <f>Vendas[[#This Row],[Lucro da Venda]]/Vendas[[#This Row],[Valor da Venda]]</f>
        <v>0.24324324324324326</v>
      </c>
      <c r="L867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867"/>
    </row>
    <row r="868" spans="1:13" x14ac:dyDescent="0.3">
      <c r="A868" s="7">
        <v>400241</v>
      </c>
      <c r="B868" t="str">
        <f>_xlfn.XLOOKUP(Vendas[[#This Row],[ID Vendedor]],Vendedores[ID],Vendedores[Nome])</f>
        <v>Rodrigo</v>
      </c>
      <c r="C868" s="7" t="str">
        <f>_xlfn.XLOOKUP(Vendas[[#This Row],[ID Vendedor]],Vendedores[ID],Vendedores[Setor])</f>
        <v>FM</v>
      </c>
      <c r="D868" s="7" t="s">
        <v>6</v>
      </c>
      <c r="E868" t="str">
        <f>_xlfn.XLOOKUP(Vendas[[#This Row],[ID Item Vendido]],Agregado[ID],Agregado[Produto])</f>
        <v>Parafuso comum 500un</v>
      </c>
      <c r="F868" s="39">
        <v>44215</v>
      </c>
      <c r="G868" s="7">
        <v>13</v>
      </c>
      <c r="H868" s="3">
        <f>_xlfn.XLOOKUP(Vendas[[#This Row],[ID Item Vendido]],Agregado[ID],Agregado[Revenda])</f>
        <v>24.6</v>
      </c>
      <c r="I868" s="3">
        <f>Vendas[[#This Row],[Valor Unitário]]*Vendas[[#This Row],[Qnt Vendida]]</f>
        <v>319.8</v>
      </c>
      <c r="J868" s="3">
        <f>Vendas[[#This Row],[Valor da Venda]]-(_xlfn.XLOOKUP(Vendas[[#This Row],[ID Item Vendido]],Agregado[ID],Agregado[Custo])*Vendas[[#This Row],[Qnt Vendida]])</f>
        <v>33.800000000000011</v>
      </c>
      <c r="K868" s="70">
        <f>Vendas[[#This Row],[Lucro da Venda]]/Vendas[[#This Row],[Valor da Venda]]</f>
        <v>0.10569105691056914</v>
      </c>
      <c r="L868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868"/>
    </row>
    <row r="869" spans="1:13" x14ac:dyDescent="0.3">
      <c r="A869" s="7">
        <v>400244</v>
      </c>
      <c r="B869" t="str">
        <f>_xlfn.XLOOKUP(Vendas[[#This Row],[ID Vendedor]],Vendedores[ID],Vendedores[Nome])</f>
        <v>Camila</v>
      </c>
      <c r="C869" s="7" t="str">
        <f>_xlfn.XLOOKUP(Vendas[[#This Row],[ID Vendedor]],Vendedores[ID],Vendedores[Setor])</f>
        <v>AHD</v>
      </c>
      <c r="D869" s="7" t="s">
        <v>30</v>
      </c>
      <c r="E869" t="str">
        <f>_xlfn.XLOOKUP(Vendas[[#This Row],[ID Item Vendido]],Agregado[ID],Agregado[Produto])</f>
        <v>Estrutura metálica soldada</v>
      </c>
      <c r="F869" s="39">
        <v>44216</v>
      </c>
      <c r="G869" s="7">
        <v>7</v>
      </c>
      <c r="H869" s="3">
        <f>_xlfn.XLOOKUP(Vendas[[#This Row],[ID Item Vendido]],Agregado[ID],Agregado[Revenda])</f>
        <v>400</v>
      </c>
      <c r="I869" s="3">
        <f>Vendas[[#This Row],[Valor Unitário]]*Vendas[[#This Row],[Qnt Vendida]]</f>
        <v>2800</v>
      </c>
      <c r="J869" s="3">
        <f>Vendas[[#This Row],[Valor da Venda]]-(_xlfn.XLOOKUP(Vendas[[#This Row],[ID Item Vendido]],Agregado[ID],Agregado[Custo])*Vendas[[#This Row],[Qnt Vendida]])</f>
        <v>560</v>
      </c>
      <c r="K869" s="70">
        <f>Vendas[[#This Row],[Lucro da Venda]]/Vendas[[#This Row],[Valor da Venda]]</f>
        <v>0.2</v>
      </c>
      <c r="L869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869"/>
    </row>
    <row r="870" spans="1:13" x14ac:dyDescent="0.3">
      <c r="A870" s="7">
        <v>400247</v>
      </c>
      <c r="B870" t="str">
        <f>_xlfn.XLOOKUP(Vendas[[#This Row],[ID Vendedor]],Vendedores[ID],Vendedores[Nome])</f>
        <v>André</v>
      </c>
      <c r="C870" s="7" t="str">
        <f>_xlfn.XLOOKUP(Vendas[[#This Row],[ID Vendedor]],Vendedores[ID],Vendedores[Setor])</f>
        <v>CM</v>
      </c>
      <c r="D870" s="7" t="s">
        <v>22</v>
      </c>
      <c r="E870" t="str">
        <f>_xlfn.XLOOKUP(Vendas[[#This Row],[ID Item Vendido]],Agregado[ID],Agregado[Produto])</f>
        <v>Painel MDP 2,75x1,83m</v>
      </c>
      <c r="F870" s="39">
        <v>44217</v>
      </c>
      <c r="G870" s="7">
        <v>17</v>
      </c>
      <c r="H870" s="3">
        <f>_xlfn.XLOOKUP(Vendas[[#This Row],[ID Item Vendido]],Agregado[ID],Agregado[Revenda])</f>
        <v>119</v>
      </c>
      <c r="I870" s="3">
        <f>Vendas[[#This Row],[Valor Unitário]]*Vendas[[#This Row],[Qnt Vendida]]</f>
        <v>2023</v>
      </c>
      <c r="J870" s="3">
        <f>Vendas[[#This Row],[Valor da Venda]]-(_xlfn.XLOOKUP(Vendas[[#This Row],[ID Item Vendido]],Agregado[ID],Agregado[Custo])*Vendas[[#This Row],[Qnt Vendida]])</f>
        <v>408</v>
      </c>
      <c r="K870" s="70">
        <f>Vendas[[#This Row],[Lucro da Venda]]/Vendas[[#This Row],[Valor da Venda]]</f>
        <v>0.20168067226890757</v>
      </c>
      <c r="L870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870"/>
    </row>
    <row r="871" spans="1:13" x14ac:dyDescent="0.3">
      <c r="A871" s="7">
        <v>400253</v>
      </c>
      <c r="B871" t="str">
        <f>_xlfn.XLOOKUP(Vendas[[#This Row],[ID Vendedor]],Vendedores[ID],Vendedores[Nome])</f>
        <v>Gustavo</v>
      </c>
      <c r="C871" s="7" t="str">
        <f>_xlfn.XLOOKUP(Vendas[[#This Row],[ID Vendedor]],Vendedores[ID],Vendedores[Setor])</f>
        <v>SC</v>
      </c>
      <c r="D871" s="7" t="s">
        <v>14</v>
      </c>
      <c r="E871" t="str">
        <f>_xlfn.XLOOKUP(Vendas[[#This Row],[ID Item Vendido]],Agregado[ID],Agregado[Produto])</f>
        <v>Barril de plástico 200L</v>
      </c>
      <c r="F871" s="39">
        <v>44217</v>
      </c>
      <c r="G871" s="7">
        <v>10</v>
      </c>
      <c r="H871" s="3">
        <f>_xlfn.XLOOKUP(Vendas[[#This Row],[ID Item Vendido]],Agregado[ID],Agregado[Revenda])</f>
        <v>114</v>
      </c>
      <c r="I871" s="3">
        <f>Vendas[[#This Row],[Valor Unitário]]*Vendas[[#This Row],[Qnt Vendida]]</f>
        <v>1140</v>
      </c>
      <c r="J871" s="3">
        <f>Vendas[[#This Row],[Valor da Venda]]-(_xlfn.XLOOKUP(Vendas[[#This Row],[ID Item Vendido]],Agregado[ID],Agregado[Custo])*Vendas[[#This Row],[Qnt Vendida]])</f>
        <v>190</v>
      </c>
      <c r="K871" s="70">
        <f>Vendas[[#This Row],[Lucro da Venda]]/Vendas[[#This Row],[Valor da Venda]]</f>
        <v>0.16666666666666666</v>
      </c>
      <c r="L871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871"/>
    </row>
    <row r="872" spans="1:13" x14ac:dyDescent="0.3">
      <c r="A872" s="7">
        <v>400253</v>
      </c>
      <c r="B872" t="str">
        <f>_xlfn.XLOOKUP(Vendas[[#This Row],[ID Vendedor]],Vendedores[ID],Vendedores[Nome])</f>
        <v>Gustavo</v>
      </c>
      <c r="C872" s="7" t="str">
        <f>_xlfn.XLOOKUP(Vendas[[#This Row],[ID Vendedor]],Vendedores[ID],Vendedores[Setor])</f>
        <v>SC</v>
      </c>
      <c r="D872" s="7" t="s">
        <v>48</v>
      </c>
      <c r="E872" t="str">
        <f>_xlfn.XLOOKUP(Vendas[[#This Row],[ID Item Vendido]],Agregado[ID],Agregado[Produto])</f>
        <v>Tambor metálico 200L</v>
      </c>
      <c r="F872" s="39">
        <v>44218</v>
      </c>
      <c r="G872" s="7">
        <v>5</v>
      </c>
      <c r="H872" s="3">
        <f>_xlfn.XLOOKUP(Vendas[[#This Row],[ID Item Vendido]],Agregado[ID],Agregado[Revenda])</f>
        <v>144</v>
      </c>
      <c r="I872" s="3">
        <f>Vendas[[#This Row],[Valor Unitário]]*Vendas[[#This Row],[Qnt Vendida]]</f>
        <v>720</v>
      </c>
      <c r="J872" s="3">
        <f>Vendas[[#This Row],[Valor da Venda]]-(_xlfn.XLOOKUP(Vendas[[#This Row],[ID Item Vendido]],Agregado[ID],Agregado[Custo])*Vendas[[#This Row],[Qnt Vendida]])</f>
        <v>120</v>
      </c>
      <c r="K872" s="70">
        <f>Vendas[[#This Row],[Lucro da Venda]]/Vendas[[#This Row],[Valor da Venda]]</f>
        <v>0.16666666666666666</v>
      </c>
      <c r="L872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872"/>
    </row>
    <row r="873" spans="1:13" x14ac:dyDescent="0.3">
      <c r="A873" s="7">
        <v>400253</v>
      </c>
      <c r="B873" t="str">
        <f>_xlfn.XLOOKUP(Vendas[[#This Row],[ID Vendedor]],Vendedores[ID],Vendedores[Nome])</f>
        <v>Gustavo</v>
      </c>
      <c r="C873" s="7" t="str">
        <f>_xlfn.XLOOKUP(Vendas[[#This Row],[ID Vendedor]],Vendedores[ID],Vendedores[Setor])</f>
        <v>SC</v>
      </c>
      <c r="D873" s="7" t="s">
        <v>25</v>
      </c>
      <c r="E873" t="str">
        <f>_xlfn.XLOOKUP(Vendas[[#This Row],[ID Item Vendido]],Agregado[ID],Agregado[Produto])</f>
        <v>Palete de plástico</v>
      </c>
      <c r="F873" s="39">
        <v>44218</v>
      </c>
      <c r="G873" s="7">
        <v>10</v>
      </c>
      <c r="H873" s="3">
        <f>_xlfn.XLOOKUP(Vendas[[#This Row],[ID Item Vendido]],Agregado[ID],Agregado[Revenda])</f>
        <v>70.8</v>
      </c>
      <c r="I873" s="3">
        <f>Vendas[[#This Row],[Valor Unitário]]*Vendas[[#This Row],[Qnt Vendida]]</f>
        <v>708</v>
      </c>
      <c r="J873" s="3">
        <f>Vendas[[#This Row],[Valor da Venda]]-(_xlfn.XLOOKUP(Vendas[[#This Row],[ID Item Vendido]],Agregado[ID],Agregado[Custo])*Vendas[[#This Row],[Qnt Vendida]])</f>
        <v>108</v>
      </c>
      <c r="K873" s="70">
        <f>Vendas[[#This Row],[Lucro da Venda]]/Vendas[[#This Row],[Valor da Venda]]</f>
        <v>0.15254237288135594</v>
      </c>
      <c r="L873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873"/>
    </row>
    <row r="874" spans="1:13" x14ac:dyDescent="0.3">
      <c r="A874" s="7">
        <v>400251</v>
      </c>
      <c r="B874" t="str">
        <f>_xlfn.XLOOKUP(Vendas[[#This Row],[ID Vendedor]],Vendedores[ID],Vendedores[Nome])</f>
        <v>Diego</v>
      </c>
      <c r="C874" s="7" t="str">
        <f>_xlfn.XLOOKUP(Vendas[[#This Row],[ID Vendedor]],Vendedores[ID],Vendedores[Setor])</f>
        <v>AB</v>
      </c>
      <c r="D874" s="7" t="s">
        <v>24</v>
      </c>
      <c r="E874" t="str">
        <f>_xlfn.XLOOKUP(Vendas[[#This Row],[ID Item Vendido]],Agregado[ID],Agregado[Produto])</f>
        <v>Resina plástica PET purificada saco de 25kg</v>
      </c>
      <c r="F874" s="39">
        <v>44220</v>
      </c>
      <c r="G874" s="7">
        <v>29</v>
      </c>
      <c r="H874" s="3">
        <f>_xlfn.XLOOKUP(Vendas[[#This Row],[ID Item Vendido]],Agregado[ID],Agregado[Revenda])</f>
        <v>119</v>
      </c>
      <c r="I874" s="3">
        <f>Vendas[[#This Row],[Valor Unitário]]*Vendas[[#This Row],[Qnt Vendida]]</f>
        <v>3451</v>
      </c>
      <c r="J874" s="3">
        <f>Vendas[[#This Row],[Valor da Venda]]-(_xlfn.XLOOKUP(Vendas[[#This Row],[ID Item Vendido]],Agregado[ID],Agregado[Custo])*Vendas[[#This Row],[Qnt Vendida]])</f>
        <v>986</v>
      </c>
      <c r="K874" s="70">
        <f>Vendas[[#This Row],[Lucro da Venda]]/Vendas[[#This Row],[Valor da Venda]]</f>
        <v>0.2857142857142857</v>
      </c>
      <c r="L874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874"/>
    </row>
    <row r="875" spans="1:13" x14ac:dyDescent="0.3">
      <c r="A875" s="7">
        <v>400251</v>
      </c>
      <c r="B875" t="str">
        <f>_xlfn.XLOOKUP(Vendas[[#This Row],[ID Vendedor]],Vendedores[ID],Vendedores[Nome])</f>
        <v>Diego</v>
      </c>
      <c r="C875" s="7" t="str">
        <f>_xlfn.XLOOKUP(Vendas[[#This Row],[ID Vendedor]],Vendedores[ID],Vendedores[Setor])</f>
        <v>AB</v>
      </c>
      <c r="D875" s="7" t="s">
        <v>37</v>
      </c>
      <c r="E875" t="str">
        <f>_xlfn.XLOOKUP(Vendas[[#This Row],[ID Item Vendido]],Agregado[ID],Agregado[Produto])</f>
        <v>Composto de borracha para vedação rolo 10m</v>
      </c>
      <c r="F875" s="39">
        <v>44221</v>
      </c>
      <c r="G875" s="7">
        <v>20</v>
      </c>
      <c r="H875" s="3">
        <f>_xlfn.XLOOKUP(Vendas[[#This Row],[ID Item Vendido]],Agregado[ID],Agregado[Revenda])</f>
        <v>51.2</v>
      </c>
      <c r="I875" s="3">
        <f>Vendas[[#This Row],[Valor Unitário]]*Vendas[[#This Row],[Qnt Vendida]]</f>
        <v>1024</v>
      </c>
      <c r="J875" s="3">
        <f>Vendas[[#This Row],[Valor da Venda]]-(_xlfn.XLOOKUP(Vendas[[#This Row],[ID Item Vendido]],Agregado[ID],Agregado[Custo])*Vendas[[#This Row],[Qnt Vendida]])</f>
        <v>224</v>
      </c>
      <c r="K875" s="70">
        <f>Vendas[[#This Row],[Lucro da Venda]]/Vendas[[#This Row],[Valor da Venda]]</f>
        <v>0.21875</v>
      </c>
      <c r="L875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875"/>
    </row>
    <row r="876" spans="1:13" x14ac:dyDescent="0.3">
      <c r="A876" s="7">
        <v>400241</v>
      </c>
      <c r="B876" t="str">
        <f>_xlfn.XLOOKUP(Vendas[[#This Row],[ID Vendedor]],Vendedores[ID],Vendedores[Nome])</f>
        <v>Rodrigo</v>
      </c>
      <c r="C876" s="7" t="str">
        <f>_xlfn.XLOOKUP(Vendas[[#This Row],[ID Vendedor]],Vendedores[ID],Vendedores[Setor])</f>
        <v>FM</v>
      </c>
      <c r="D876" s="7" t="s">
        <v>31</v>
      </c>
      <c r="E876" t="str">
        <f>_xlfn.XLOOKUP(Vendas[[#This Row],[ID Item Vendido]],Agregado[ID],Agregado[Produto])</f>
        <v>Tela de metal soldada rolo 2x25m</v>
      </c>
      <c r="F876" s="39">
        <v>44221</v>
      </c>
      <c r="G876" s="7">
        <v>6</v>
      </c>
      <c r="H876" s="3">
        <f>_xlfn.XLOOKUP(Vendas[[#This Row],[ID Item Vendido]],Agregado[ID],Agregado[Revenda])</f>
        <v>43.7</v>
      </c>
      <c r="I876" s="3">
        <f>Vendas[[#This Row],[Valor Unitário]]*Vendas[[#This Row],[Qnt Vendida]]</f>
        <v>262.20000000000005</v>
      </c>
      <c r="J876" s="3">
        <f>Vendas[[#This Row],[Valor da Venda]]-(_xlfn.XLOOKUP(Vendas[[#This Row],[ID Item Vendido]],Agregado[ID],Agregado[Custo])*Vendas[[#This Row],[Qnt Vendida]])</f>
        <v>34.200000000000045</v>
      </c>
      <c r="K876" s="70">
        <f>Vendas[[#This Row],[Lucro da Venda]]/Vendas[[#This Row],[Valor da Venda]]</f>
        <v>0.13043478260869582</v>
      </c>
      <c r="L876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876"/>
    </row>
    <row r="877" spans="1:13" x14ac:dyDescent="0.3">
      <c r="A877" s="7">
        <v>400255</v>
      </c>
      <c r="B877" t="str">
        <f>_xlfn.XLOOKUP(Vendas[[#This Row],[ID Vendedor]],Vendedores[ID],Vendedores[Nome])</f>
        <v>Carlos</v>
      </c>
      <c r="C877" s="7" t="str">
        <f>_xlfn.XLOOKUP(Vendas[[#This Row],[ID Vendedor]],Vendedores[ID],Vendedores[Setor])</f>
        <v>SC</v>
      </c>
      <c r="D877" s="7" t="s">
        <v>14</v>
      </c>
      <c r="E877" t="str">
        <f>_xlfn.XLOOKUP(Vendas[[#This Row],[ID Item Vendido]],Agregado[ID],Agregado[Produto])</f>
        <v>Barril de plástico 200L</v>
      </c>
      <c r="F877" s="39">
        <v>44223</v>
      </c>
      <c r="G877" s="7">
        <v>21</v>
      </c>
      <c r="H877" s="3">
        <f>_xlfn.XLOOKUP(Vendas[[#This Row],[ID Item Vendido]],Agregado[ID],Agregado[Revenda])</f>
        <v>114</v>
      </c>
      <c r="I877" s="3">
        <f>Vendas[[#This Row],[Valor Unitário]]*Vendas[[#This Row],[Qnt Vendida]]</f>
        <v>2394</v>
      </c>
      <c r="J877" s="3">
        <f>Vendas[[#This Row],[Valor da Venda]]-(_xlfn.XLOOKUP(Vendas[[#This Row],[ID Item Vendido]],Agregado[ID],Agregado[Custo])*Vendas[[#This Row],[Qnt Vendida]])</f>
        <v>399</v>
      </c>
      <c r="K877" s="70">
        <f>Vendas[[#This Row],[Lucro da Venda]]/Vendas[[#This Row],[Valor da Venda]]</f>
        <v>0.16666666666666666</v>
      </c>
      <c r="L877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877"/>
    </row>
    <row r="878" spans="1:13" x14ac:dyDescent="0.3">
      <c r="A878" s="7">
        <v>400255</v>
      </c>
      <c r="B878" t="str">
        <f>_xlfn.XLOOKUP(Vendas[[#This Row],[ID Vendedor]],Vendedores[ID],Vendedores[Nome])</f>
        <v>Carlos</v>
      </c>
      <c r="C878" s="7" t="str">
        <f>_xlfn.XLOOKUP(Vendas[[#This Row],[ID Vendedor]],Vendedores[ID],Vendedores[Setor])</f>
        <v>SC</v>
      </c>
      <c r="D878" s="7" t="s">
        <v>48</v>
      </c>
      <c r="E878" t="str">
        <f>_xlfn.XLOOKUP(Vendas[[#This Row],[ID Item Vendido]],Agregado[ID],Agregado[Produto])</f>
        <v>Tambor metálico 200L</v>
      </c>
      <c r="F878" s="39">
        <v>44223</v>
      </c>
      <c r="G878" s="7">
        <v>5</v>
      </c>
      <c r="H878" s="3">
        <f>_xlfn.XLOOKUP(Vendas[[#This Row],[ID Item Vendido]],Agregado[ID],Agregado[Revenda])</f>
        <v>144</v>
      </c>
      <c r="I878" s="3">
        <f>Vendas[[#This Row],[Valor Unitário]]*Vendas[[#This Row],[Qnt Vendida]]</f>
        <v>720</v>
      </c>
      <c r="J878" s="3">
        <f>Vendas[[#This Row],[Valor da Venda]]-(_xlfn.XLOOKUP(Vendas[[#This Row],[ID Item Vendido]],Agregado[ID],Agregado[Custo])*Vendas[[#This Row],[Qnt Vendida]])</f>
        <v>120</v>
      </c>
      <c r="K878" s="70">
        <f>Vendas[[#This Row],[Lucro da Venda]]/Vendas[[#This Row],[Valor da Venda]]</f>
        <v>0.16666666666666666</v>
      </c>
      <c r="L878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878"/>
    </row>
    <row r="879" spans="1:13" x14ac:dyDescent="0.3">
      <c r="A879" s="7">
        <v>400244</v>
      </c>
      <c r="B879" t="str">
        <f>_xlfn.XLOOKUP(Vendas[[#This Row],[ID Vendedor]],Vendedores[ID],Vendedores[Nome])</f>
        <v>Camila</v>
      </c>
      <c r="C879" s="7" t="str">
        <f>_xlfn.XLOOKUP(Vendas[[#This Row],[ID Vendedor]],Vendedores[ID],Vendedores[Setor])</f>
        <v>AHD</v>
      </c>
      <c r="D879" s="7" t="s">
        <v>9</v>
      </c>
      <c r="E879" t="str">
        <f>_xlfn.XLOOKUP(Vendas[[#This Row],[ID Item Vendido]],Agregado[ID],Agregado[Produto])</f>
        <v>Barra de aço simples</v>
      </c>
      <c r="F879" s="39">
        <v>44225</v>
      </c>
      <c r="G879" s="7">
        <v>28</v>
      </c>
      <c r="H879" s="3">
        <f>_xlfn.XLOOKUP(Vendas[[#This Row],[ID Item Vendido]],Agregado[ID],Agregado[Revenda])</f>
        <v>6.7</v>
      </c>
      <c r="I879" s="3">
        <f>Vendas[[#This Row],[Valor Unitário]]*Vendas[[#This Row],[Qnt Vendida]]</f>
        <v>187.6</v>
      </c>
      <c r="J879" s="3">
        <f>Vendas[[#This Row],[Valor da Venda]]-(_xlfn.XLOOKUP(Vendas[[#This Row],[ID Item Vendido]],Agregado[ID],Agregado[Custo])*Vendas[[#This Row],[Qnt Vendida]])</f>
        <v>25.199999999999989</v>
      </c>
      <c r="K879" s="70">
        <f>Vendas[[#This Row],[Lucro da Venda]]/Vendas[[#This Row],[Valor da Venda]]</f>
        <v>0.13432835820895517</v>
      </c>
      <c r="L879" s="3">
        <f>_xlfn.IFS(Vendas[[#This Row],[Margem de Lucro (%)]]&lt;15%,Vendas[[#This Row],[Valor da Venda]]*3%,Vendas[[#This Row],[Margem de Lucro (%)]]&lt;=20%,Vendas[[#This Row],[Valor da Venda]]*4.5%,TRUE,Vendas[[#This Row],[Valor da Venda]]*6%)</f>
        <v>5.6279999999999992</v>
      </c>
      <c r="M879"/>
    </row>
    <row r="880" spans="1:13" x14ac:dyDescent="0.3">
      <c r="A880" s="7">
        <v>400251</v>
      </c>
      <c r="B880" t="str">
        <f>_xlfn.XLOOKUP(Vendas[[#This Row],[ID Vendedor]],Vendedores[ID],Vendedores[Nome])</f>
        <v>Diego</v>
      </c>
      <c r="C880" s="7" t="str">
        <f>_xlfn.XLOOKUP(Vendas[[#This Row],[ID Vendedor]],Vendedores[ID],Vendedores[Setor])</f>
        <v>AB</v>
      </c>
      <c r="D880" s="7" t="s">
        <v>36</v>
      </c>
      <c r="E880" t="str">
        <f>_xlfn.XLOOKUP(Vendas[[#This Row],[ID Item Vendido]],Agregado[ID],Agregado[Produto])</f>
        <v>Borracha vulcanizada em manta</v>
      </c>
      <c r="F880" s="39">
        <v>44225</v>
      </c>
      <c r="G880" s="7">
        <v>24</v>
      </c>
      <c r="H880" s="3">
        <f>_xlfn.XLOOKUP(Vendas[[#This Row],[ID Item Vendido]],Agregado[ID],Agregado[Revenda])</f>
        <v>7.8</v>
      </c>
      <c r="I880" s="3">
        <f>Vendas[[#This Row],[Valor Unitário]]*Vendas[[#This Row],[Qnt Vendida]]</f>
        <v>187.2</v>
      </c>
      <c r="J880" s="3">
        <f>Vendas[[#This Row],[Valor da Venda]]-(_xlfn.XLOOKUP(Vendas[[#This Row],[ID Item Vendido]],Agregado[ID],Agregado[Custo])*Vendas[[#This Row],[Qnt Vendida]])</f>
        <v>43.199999999999989</v>
      </c>
      <c r="K880" s="70">
        <f>Vendas[[#This Row],[Lucro da Venda]]/Vendas[[#This Row],[Valor da Venda]]</f>
        <v>0.23076923076923073</v>
      </c>
      <c r="L880" s="3">
        <f>_xlfn.IFS(Vendas[[#This Row],[Margem de Lucro (%)]]&lt;15%,Vendas[[#This Row],[Valor da Venda]]*3%,Vendas[[#This Row],[Margem de Lucro (%)]]&lt;=20%,Vendas[[#This Row],[Valor da Venda]]*4.5%,TRUE,Vendas[[#This Row],[Valor da Venda]]*6%)</f>
        <v>11.231999999999999</v>
      </c>
      <c r="M880"/>
    </row>
    <row r="881" spans="1:13" x14ac:dyDescent="0.3">
      <c r="A881" s="7">
        <v>400251</v>
      </c>
      <c r="B881" t="str">
        <f>_xlfn.XLOOKUP(Vendas[[#This Row],[ID Vendedor]],Vendedores[ID],Vendedores[Nome])</f>
        <v>Diego</v>
      </c>
      <c r="C881" s="7" t="str">
        <f>_xlfn.XLOOKUP(Vendas[[#This Row],[ID Vendedor]],Vendedores[ID],Vendedores[Setor])</f>
        <v>AB</v>
      </c>
      <c r="D881" s="7" t="s">
        <v>36</v>
      </c>
      <c r="E881" t="str">
        <f>_xlfn.XLOOKUP(Vendas[[#This Row],[ID Item Vendido]],Agregado[ID],Agregado[Produto])</f>
        <v>Borracha vulcanizada em manta</v>
      </c>
      <c r="F881" s="39">
        <v>44226</v>
      </c>
      <c r="G881" s="7">
        <v>82</v>
      </c>
      <c r="H881" s="3">
        <f>_xlfn.XLOOKUP(Vendas[[#This Row],[ID Item Vendido]],Agregado[ID],Agregado[Revenda])</f>
        <v>7.8</v>
      </c>
      <c r="I881" s="3">
        <f>Vendas[[#This Row],[Valor Unitário]]*Vendas[[#This Row],[Qnt Vendida]]</f>
        <v>639.6</v>
      </c>
      <c r="J881" s="3">
        <f>Vendas[[#This Row],[Valor da Venda]]-(_xlfn.XLOOKUP(Vendas[[#This Row],[ID Item Vendido]],Agregado[ID],Agregado[Custo])*Vendas[[#This Row],[Qnt Vendida]])</f>
        <v>147.60000000000002</v>
      </c>
      <c r="K881" s="70">
        <f>Vendas[[#This Row],[Lucro da Venda]]/Vendas[[#This Row],[Valor da Venda]]</f>
        <v>0.23076923076923081</v>
      </c>
      <c r="L881" s="3">
        <f>_xlfn.IFS(Vendas[[#This Row],[Margem de Lucro (%)]]&lt;15%,Vendas[[#This Row],[Valor da Venda]]*3%,Vendas[[#This Row],[Margem de Lucro (%)]]&lt;=20%,Vendas[[#This Row],[Valor da Venda]]*4.5%,TRUE,Vendas[[#This Row],[Valor da Venda]]*6%)</f>
        <v>38.375999999999998</v>
      </c>
      <c r="M881"/>
    </row>
    <row r="882" spans="1:13" x14ac:dyDescent="0.3">
      <c r="A882" s="7">
        <v>400255</v>
      </c>
      <c r="B882" t="str">
        <f>_xlfn.XLOOKUP(Vendas[[#This Row],[ID Vendedor]],Vendedores[ID],Vendedores[Nome])</f>
        <v>Carlos</v>
      </c>
      <c r="C882" s="7" t="str">
        <f>_xlfn.XLOOKUP(Vendas[[#This Row],[ID Vendedor]],Vendedores[ID],Vendedores[Setor])</f>
        <v>SC</v>
      </c>
      <c r="D882" s="7" t="s">
        <v>25</v>
      </c>
      <c r="E882" t="str">
        <f>_xlfn.XLOOKUP(Vendas[[#This Row],[ID Item Vendido]],Agregado[ID],Agregado[Produto])</f>
        <v>Palete de plástico</v>
      </c>
      <c r="F882" s="39">
        <v>44226</v>
      </c>
      <c r="G882" s="7">
        <v>4</v>
      </c>
      <c r="H882" s="3">
        <f>_xlfn.XLOOKUP(Vendas[[#This Row],[ID Item Vendido]],Agregado[ID],Agregado[Revenda])</f>
        <v>70.8</v>
      </c>
      <c r="I882" s="3">
        <f>Vendas[[#This Row],[Valor Unitário]]*Vendas[[#This Row],[Qnt Vendida]]</f>
        <v>283.2</v>
      </c>
      <c r="J882" s="3">
        <f>Vendas[[#This Row],[Valor da Venda]]-(_xlfn.XLOOKUP(Vendas[[#This Row],[ID Item Vendido]],Agregado[ID],Agregado[Custo])*Vendas[[#This Row],[Qnt Vendida]])</f>
        <v>43.199999999999989</v>
      </c>
      <c r="K882" s="70">
        <f>Vendas[[#This Row],[Lucro da Venda]]/Vendas[[#This Row],[Valor da Venda]]</f>
        <v>0.15254237288135589</v>
      </c>
      <c r="L882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882"/>
    </row>
    <row r="883" spans="1:13" x14ac:dyDescent="0.3">
      <c r="A883" s="7">
        <v>400244</v>
      </c>
      <c r="B883" t="str">
        <f>_xlfn.XLOOKUP(Vendas[[#This Row],[ID Vendedor]],Vendedores[ID],Vendedores[Nome])</f>
        <v>Camila</v>
      </c>
      <c r="C883" s="7" t="str">
        <f>_xlfn.XLOOKUP(Vendas[[#This Row],[ID Vendedor]],Vendedores[ID],Vendedores[Setor])</f>
        <v>AHD</v>
      </c>
      <c r="D883" s="7" t="s">
        <v>30</v>
      </c>
      <c r="E883" t="str">
        <f>_xlfn.XLOOKUP(Vendas[[#This Row],[ID Item Vendido]],Agregado[ID],Agregado[Produto])</f>
        <v>Estrutura metálica soldada</v>
      </c>
      <c r="F883" s="39">
        <v>44227</v>
      </c>
      <c r="G883" s="7">
        <v>7</v>
      </c>
      <c r="H883" s="3">
        <f>_xlfn.XLOOKUP(Vendas[[#This Row],[ID Item Vendido]],Agregado[ID],Agregado[Revenda])</f>
        <v>400</v>
      </c>
      <c r="I883" s="3">
        <f>Vendas[[#This Row],[Valor Unitário]]*Vendas[[#This Row],[Qnt Vendida]]</f>
        <v>2800</v>
      </c>
      <c r="J883" s="3">
        <f>Vendas[[#This Row],[Valor da Venda]]-(_xlfn.XLOOKUP(Vendas[[#This Row],[ID Item Vendido]],Agregado[ID],Agregado[Custo])*Vendas[[#This Row],[Qnt Vendida]])</f>
        <v>560</v>
      </c>
      <c r="K883" s="70">
        <f>Vendas[[#This Row],[Lucro da Venda]]/Vendas[[#This Row],[Valor da Venda]]</f>
        <v>0.2</v>
      </c>
      <c r="L883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883"/>
    </row>
    <row r="884" spans="1:13" x14ac:dyDescent="0.3">
      <c r="A884" s="7">
        <v>400241</v>
      </c>
      <c r="B884" t="str">
        <f>_xlfn.XLOOKUP(Vendas[[#This Row],[ID Vendedor]],Vendedores[ID],Vendedores[Nome])</f>
        <v>Rodrigo</v>
      </c>
      <c r="C884" s="7" t="str">
        <f>_xlfn.XLOOKUP(Vendas[[#This Row],[ID Vendedor]],Vendedores[ID],Vendedores[Setor])</f>
        <v>FM</v>
      </c>
      <c r="D884" s="7" t="s">
        <v>27</v>
      </c>
      <c r="E884" t="str">
        <f>_xlfn.XLOOKUP(Vendas[[#This Row],[ID Item Vendido]],Agregado[ID],Agregado[Produto])</f>
        <v>Chapa de metal lisa 1x2m</v>
      </c>
      <c r="F884" s="39">
        <v>44227</v>
      </c>
      <c r="G884" s="7">
        <v>24</v>
      </c>
      <c r="H884" s="3">
        <f>_xlfn.XLOOKUP(Vendas[[#This Row],[ID Item Vendido]],Agregado[ID],Agregado[Revenda])</f>
        <v>52</v>
      </c>
      <c r="I884" s="3">
        <f>Vendas[[#This Row],[Valor Unitário]]*Vendas[[#This Row],[Qnt Vendida]]</f>
        <v>1248</v>
      </c>
      <c r="J884" s="3">
        <f>Vendas[[#This Row],[Valor da Venda]]-(_xlfn.XLOOKUP(Vendas[[#This Row],[ID Item Vendido]],Agregado[ID],Agregado[Custo])*Vendas[[#This Row],[Qnt Vendida]])</f>
        <v>168</v>
      </c>
      <c r="K884" s="70">
        <f>Vendas[[#This Row],[Lucro da Venda]]/Vendas[[#This Row],[Valor da Venda]]</f>
        <v>0.13461538461538461</v>
      </c>
      <c r="L884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884"/>
    </row>
    <row r="885" spans="1:13" x14ac:dyDescent="0.3">
      <c r="A885" s="7">
        <v>400241</v>
      </c>
      <c r="B885" t="str">
        <f>_xlfn.XLOOKUP(Vendas[[#This Row],[ID Vendedor]],Vendedores[ID],Vendedores[Nome])</f>
        <v>Rodrigo</v>
      </c>
      <c r="C885" s="7" t="str">
        <f>_xlfn.XLOOKUP(Vendas[[#This Row],[ID Vendedor]],Vendedores[ID],Vendedores[Setor])</f>
        <v>FM</v>
      </c>
      <c r="D885" s="7" t="s">
        <v>31</v>
      </c>
      <c r="E885" t="str">
        <f>_xlfn.XLOOKUP(Vendas[[#This Row],[ID Item Vendido]],Agregado[ID],Agregado[Produto])</f>
        <v>Tela de metal soldada rolo 2x25m</v>
      </c>
      <c r="F885" s="39">
        <v>44228</v>
      </c>
      <c r="G885" s="7">
        <v>12</v>
      </c>
      <c r="H885" s="3">
        <f>_xlfn.XLOOKUP(Vendas[[#This Row],[ID Item Vendido]],Agregado[ID],Agregado[Revenda])</f>
        <v>43.7</v>
      </c>
      <c r="I885" s="3">
        <f>Vendas[[#This Row],[Valor Unitário]]*Vendas[[#This Row],[Qnt Vendida]]</f>
        <v>524.40000000000009</v>
      </c>
      <c r="J885" s="3">
        <f>Vendas[[#This Row],[Valor da Venda]]-(_xlfn.XLOOKUP(Vendas[[#This Row],[ID Item Vendido]],Agregado[ID],Agregado[Custo])*Vendas[[#This Row],[Qnt Vendida]])</f>
        <v>68.400000000000091</v>
      </c>
      <c r="K885" s="70">
        <f>Vendas[[#This Row],[Lucro da Venda]]/Vendas[[#This Row],[Valor da Venda]]</f>
        <v>0.13043478260869582</v>
      </c>
      <c r="L885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885"/>
    </row>
    <row r="886" spans="1:13" x14ac:dyDescent="0.3">
      <c r="A886" s="7">
        <v>400247</v>
      </c>
      <c r="B886" t="str">
        <f>_xlfn.XLOOKUP(Vendas[[#This Row],[ID Vendedor]],Vendedores[ID],Vendedores[Nome])</f>
        <v>André</v>
      </c>
      <c r="C886" s="7" t="str">
        <f>_xlfn.XLOOKUP(Vendas[[#This Row],[ID Vendedor]],Vendedores[ID],Vendedores[Setor])</f>
        <v>CM</v>
      </c>
      <c r="D886" s="7" t="s">
        <v>32</v>
      </c>
      <c r="E886" t="str">
        <f>_xlfn.XLOOKUP(Vendas[[#This Row],[ID Item Vendido]],Agregado[ID],Agregado[Produto])</f>
        <v>Tábua tratada e cortada 3m</v>
      </c>
      <c r="F886" s="39">
        <v>44230</v>
      </c>
      <c r="G886" s="7">
        <v>29</v>
      </c>
      <c r="H886" s="3">
        <f>_xlfn.XLOOKUP(Vendas[[#This Row],[ID Item Vendido]],Agregado[ID],Agregado[Revenda])</f>
        <v>39</v>
      </c>
      <c r="I886" s="3">
        <f>Vendas[[#This Row],[Valor Unitário]]*Vendas[[#This Row],[Qnt Vendida]]</f>
        <v>1131</v>
      </c>
      <c r="J886" s="3">
        <f>Vendas[[#This Row],[Valor da Venda]]-(_xlfn.XLOOKUP(Vendas[[#This Row],[ID Item Vendido]],Agregado[ID],Agregado[Custo])*Vendas[[#This Row],[Qnt Vendida]])</f>
        <v>203</v>
      </c>
      <c r="K886" s="70">
        <f>Vendas[[#This Row],[Lucro da Venda]]/Vendas[[#This Row],[Valor da Venda]]</f>
        <v>0.17948717948717949</v>
      </c>
      <c r="L886" s="3">
        <f>_xlfn.IFS(Vendas[[#This Row],[Margem de Lucro (%)]]&lt;15%,Vendas[[#This Row],[Valor da Venda]]*3%,Vendas[[#This Row],[Margem de Lucro (%)]]&lt;=20%,Vendas[[#This Row],[Valor da Venda]]*4.5%,TRUE,Vendas[[#This Row],[Valor da Venda]]*6%)</f>
        <v>50.894999999999996</v>
      </c>
      <c r="M886"/>
    </row>
    <row r="887" spans="1:13" x14ac:dyDescent="0.3">
      <c r="A887" s="7">
        <v>400251</v>
      </c>
      <c r="B887" t="str">
        <f>_xlfn.XLOOKUP(Vendas[[#This Row],[ID Vendedor]],Vendedores[ID],Vendedores[Nome])</f>
        <v>Diego</v>
      </c>
      <c r="C887" s="7" t="str">
        <f>_xlfn.XLOOKUP(Vendas[[#This Row],[ID Vendedor]],Vendedores[ID],Vendedores[Setor])</f>
        <v>AB</v>
      </c>
      <c r="D887" s="7" t="s">
        <v>12</v>
      </c>
      <c r="E887" t="str">
        <f>_xlfn.XLOOKUP(Vendas[[#This Row],[ID Item Vendido]],Agregado[ID],Agregado[Produto])</f>
        <v>Grânulo de plástico reciclado refinado</v>
      </c>
      <c r="F887" s="39">
        <v>44230</v>
      </c>
      <c r="G887" s="7">
        <v>148</v>
      </c>
      <c r="H887" s="3">
        <f>_xlfn.XLOOKUP(Vendas[[#This Row],[ID Item Vendido]],Agregado[ID],Agregado[Revenda])</f>
        <v>4.7</v>
      </c>
      <c r="I887" s="3">
        <f>Vendas[[#This Row],[Valor Unitário]]*Vendas[[#This Row],[Qnt Vendida]]</f>
        <v>695.6</v>
      </c>
      <c r="J887" s="3">
        <f>Vendas[[#This Row],[Valor da Venda]]-(_xlfn.XLOOKUP(Vendas[[#This Row],[ID Item Vendido]],Agregado[ID],Agregado[Custo])*Vendas[[#This Row],[Qnt Vendida]])</f>
        <v>177.60000000000002</v>
      </c>
      <c r="K887" s="70">
        <f>Vendas[[#This Row],[Lucro da Venda]]/Vendas[[#This Row],[Valor da Venda]]</f>
        <v>0.25531914893617025</v>
      </c>
      <c r="L887" s="3">
        <f>_xlfn.IFS(Vendas[[#This Row],[Margem de Lucro (%)]]&lt;15%,Vendas[[#This Row],[Valor da Venda]]*3%,Vendas[[#This Row],[Margem de Lucro (%)]]&lt;=20%,Vendas[[#This Row],[Valor da Venda]]*4.5%,TRUE,Vendas[[#This Row],[Valor da Venda]]*6%)</f>
        <v>41.735999999999997</v>
      </c>
      <c r="M887"/>
    </row>
    <row r="888" spans="1:13" x14ac:dyDescent="0.3">
      <c r="A888" s="7">
        <v>400241</v>
      </c>
      <c r="B888" t="str">
        <f>_xlfn.XLOOKUP(Vendas[[#This Row],[ID Vendedor]],Vendedores[ID],Vendedores[Nome])</f>
        <v>Rodrigo</v>
      </c>
      <c r="C888" s="7" t="str">
        <f>_xlfn.XLOOKUP(Vendas[[#This Row],[ID Vendedor]],Vendedores[ID],Vendedores[Setor])</f>
        <v>FM</v>
      </c>
      <c r="D888" s="7" t="s">
        <v>20</v>
      </c>
      <c r="E888" t="str">
        <f>_xlfn.XLOOKUP(Vendas[[#This Row],[ID Item Vendido]],Agregado[ID],Agregado[Produto])</f>
        <v>Barra de aço simples</v>
      </c>
      <c r="F888" s="39">
        <v>44231</v>
      </c>
      <c r="G888" s="7">
        <v>196</v>
      </c>
      <c r="H888" s="3">
        <f>_xlfn.XLOOKUP(Vendas[[#This Row],[ID Item Vendido]],Agregado[ID],Agregado[Revenda])</f>
        <v>4.8</v>
      </c>
      <c r="I888" s="3">
        <f>Vendas[[#This Row],[Valor Unitário]]*Vendas[[#This Row],[Qnt Vendida]]</f>
        <v>940.8</v>
      </c>
      <c r="J888" s="3">
        <f>Vendas[[#This Row],[Valor da Venda]]-(_xlfn.XLOOKUP(Vendas[[#This Row],[ID Item Vendido]],Agregado[ID],Agregado[Custo])*Vendas[[#This Row],[Qnt Vendida]])</f>
        <v>117.59999999999991</v>
      </c>
      <c r="K888" s="70">
        <f>Vendas[[#This Row],[Lucro da Venda]]/Vendas[[#This Row],[Valor da Venda]]</f>
        <v>0.1249999999999999</v>
      </c>
      <c r="L888" s="3">
        <f>_xlfn.IFS(Vendas[[#This Row],[Margem de Lucro (%)]]&lt;15%,Vendas[[#This Row],[Valor da Venda]]*3%,Vendas[[#This Row],[Margem de Lucro (%)]]&lt;=20%,Vendas[[#This Row],[Valor da Venda]]*4.5%,TRUE,Vendas[[#This Row],[Valor da Venda]]*6%)</f>
        <v>28.223999999999997</v>
      </c>
      <c r="M888"/>
    </row>
    <row r="889" spans="1:13" x14ac:dyDescent="0.3">
      <c r="A889" s="7">
        <v>400243</v>
      </c>
      <c r="B889" t="str">
        <f>_xlfn.XLOOKUP(Vendas[[#This Row],[ID Vendedor]],Vendedores[ID],Vendedores[Nome])</f>
        <v>Marcelo</v>
      </c>
      <c r="C889" s="7" t="str">
        <f>_xlfn.XLOOKUP(Vendas[[#This Row],[ID Vendedor]],Vendedores[ID],Vendedores[Setor])</f>
        <v>FM</v>
      </c>
      <c r="D889" s="7" t="s">
        <v>47</v>
      </c>
      <c r="E889" t="str">
        <f>_xlfn.XLOOKUP(Vendas[[#This Row],[ID Item Vendido]],Agregado[ID],Agregado[Produto])</f>
        <v>Fio de arame galvanizado rolo 50m</v>
      </c>
      <c r="F889" s="39">
        <v>44231</v>
      </c>
      <c r="G889" s="7">
        <v>26</v>
      </c>
      <c r="H889" s="3">
        <f>_xlfn.XLOOKUP(Vendas[[#This Row],[ID Item Vendido]],Agregado[ID],Agregado[Revenda])</f>
        <v>21.2</v>
      </c>
      <c r="I889" s="3">
        <f>Vendas[[#This Row],[Valor Unitário]]*Vendas[[#This Row],[Qnt Vendida]]</f>
        <v>551.19999999999993</v>
      </c>
      <c r="J889" s="3">
        <f>Vendas[[#This Row],[Valor da Venda]]-(_xlfn.XLOOKUP(Vendas[[#This Row],[ID Item Vendido]],Agregado[ID],Agregado[Custo])*Vendas[[#This Row],[Qnt Vendida]])</f>
        <v>83.199999999999932</v>
      </c>
      <c r="K889" s="70">
        <f>Vendas[[#This Row],[Lucro da Venda]]/Vendas[[#This Row],[Valor da Venda]]</f>
        <v>0.15094339622641498</v>
      </c>
      <c r="L889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24.803999999999995</v>
      </c>
      <c r="M889"/>
    </row>
    <row r="890" spans="1:13" x14ac:dyDescent="0.3">
      <c r="A890" s="7">
        <v>400243</v>
      </c>
      <c r="B890" t="str">
        <f>_xlfn.XLOOKUP(Vendas[[#This Row],[ID Vendedor]],Vendedores[ID],Vendedores[Nome])</f>
        <v>Marcelo</v>
      </c>
      <c r="C890" s="7" t="str">
        <f>_xlfn.XLOOKUP(Vendas[[#This Row],[ID Vendedor]],Vendedores[ID],Vendedores[Setor])</f>
        <v>FM</v>
      </c>
      <c r="D890" s="7" t="s">
        <v>6</v>
      </c>
      <c r="E890" t="str">
        <f>_xlfn.XLOOKUP(Vendas[[#This Row],[ID Item Vendido]],Agregado[ID],Agregado[Produto])</f>
        <v>Parafuso comum 500un</v>
      </c>
      <c r="F890" s="39">
        <v>44231</v>
      </c>
      <c r="G890" s="7">
        <v>19</v>
      </c>
      <c r="H890" s="3">
        <f>_xlfn.XLOOKUP(Vendas[[#This Row],[ID Item Vendido]],Agregado[ID],Agregado[Revenda])</f>
        <v>24.6</v>
      </c>
      <c r="I890" s="3">
        <f>Vendas[[#This Row],[Valor Unitário]]*Vendas[[#This Row],[Qnt Vendida]]</f>
        <v>467.40000000000003</v>
      </c>
      <c r="J890" s="3">
        <f>Vendas[[#This Row],[Valor da Venda]]-(_xlfn.XLOOKUP(Vendas[[#This Row],[ID Item Vendido]],Agregado[ID],Agregado[Custo])*Vendas[[#This Row],[Qnt Vendida]])</f>
        <v>49.400000000000034</v>
      </c>
      <c r="K890" s="70">
        <f>Vendas[[#This Row],[Lucro da Venda]]/Vendas[[#This Row],[Valor da Venda]]</f>
        <v>0.10569105691056917</v>
      </c>
      <c r="L89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890"/>
    </row>
    <row r="891" spans="1:13" x14ac:dyDescent="0.3">
      <c r="A891" s="7">
        <v>400244</v>
      </c>
      <c r="B891" t="str">
        <f>_xlfn.XLOOKUP(Vendas[[#This Row],[ID Vendedor]],Vendedores[ID],Vendedores[Nome])</f>
        <v>Camila</v>
      </c>
      <c r="C891" s="7" t="str">
        <f>_xlfn.XLOOKUP(Vendas[[#This Row],[ID Vendedor]],Vendedores[ID],Vendedores[Setor])</f>
        <v>AHD</v>
      </c>
      <c r="D891" s="7" t="s">
        <v>28</v>
      </c>
      <c r="E891" t="str">
        <f>_xlfn.XLOOKUP(Vendas[[#This Row],[ID Item Vendido]],Agregado[ID],Agregado[Produto])</f>
        <v>Peça usinada CNC</v>
      </c>
      <c r="F891" s="39">
        <v>44232</v>
      </c>
      <c r="G891" s="7">
        <v>9</v>
      </c>
      <c r="H891" s="3">
        <f>_xlfn.XLOOKUP(Vendas[[#This Row],[ID Item Vendido]],Agregado[ID],Agregado[Revenda])</f>
        <v>192</v>
      </c>
      <c r="I891" s="3">
        <f>Vendas[[#This Row],[Valor Unitário]]*Vendas[[#This Row],[Qnt Vendida]]</f>
        <v>1728</v>
      </c>
      <c r="J891" s="3">
        <f>Vendas[[#This Row],[Valor da Venda]]-(_xlfn.XLOOKUP(Vendas[[#This Row],[ID Item Vendido]],Agregado[ID],Agregado[Custo])*Vendas[[#This Row],[Qnt Vendida]])</f>
        <v>378</v>
      </c>
      <c r="K891" s="70">
        <f>Vendas[[#This Row],[Lucro da Venda]]/Vendas[[#This Row],[Valor da Venda]]</f>
        <v>0.21875</v>
      </c>
      <c r="L891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891"/>
    </row>
    <row r="892" spans="1:13" x14ac:dyDescent="0.3">
      <c r="A892" s="7">
        <v>400251</v>
      </c>
      <c r="B892" t="str">
        <f>_xlfn.XLOOKUP(Vendas[[#This Row],[ID Vendedor]],Vendedores[ID],Vendedores[Nome])</f>
        <v>Diego</v>
      </c>
      <c r="C892" s="7" t="str">
        <f>_xlfn.XLOOKUP(Vendas[[#This Row],[ID Vendedor]],Vendedores[ID],Vendedores[Setor])</f>
        <v>AB</v>
      </c>
      <c r="D892" s="7" t="s">
        <v>37</v>
      </c>
      <c r="E892" t="str">
        <f>_xlfn.XLOOKUP(Vendas[[#This Row],[ID Item Vendido]],Agregado[ID],Agregado[Produto])</f>
        <v>Composto de borracha para vedação rolo 10m</v>
      </c>
      <c r="F892" s="39">
        <v>44234</v>
      </c>
      <c r="G892" s="7">
        <v>13</v>
      </c>
      <c r="H892" s="3">
        <f>_xlfn.XLOOKUP(Vendas[[#This Row],[ID Item Vendido]],Agregado[ID],Agregado[Revenda])</f>
        <v>51.2</v>
      </c>
      <c r="I892" s="3">
        <f>Vendas[[#This Row],[Valor Unitário]]*Vendas[[#This Row],[Qnt Vendida]]</f>
        <v>665.6</v>
      </c>
      <c r="J892" s="3">
        <f>Vendas[[#This Row],[Valor da Venda]]-(_xlfn.XLOOKUP(Vendas[[#This Row],[ID Item Vendido]],Agregado[ID],Agregado[Custo])*Vendas[[#This Row],[Qnt Vendida]])</f>
        <v>145.60000000000002</v>
      </c>
      <c r="K892" s="70">
        <f>Vendas[[#This Row],[Lucro da Venda]]/Vendas[[#This Row],[Valor da Venda]]</f>
        <v>0.21875000000000003</v>
      </c>
      <c r="L892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892"/>
    </row>
    <row r="893" spans="1:13" x14ac:dyDescent="0.3">
      <c r="A893" s="7">
        <v>400241</v>
      </c>
      <c r="B893" t="str">
        <f>_xlfn.XLOOKUP(Vendas[[#This Row],[ID Vendedor]],Vendedores[ID],Vendedores[Nome])</f>
        <v>Rodrigo</v>
      </c>
      <c r="C893" s="7" t="str">
        <f>_xlfn.XLOOKUP(Vendas[[#This Row],[ID Vendedor]],Vendedores[ID],Vendedores[Setor])</f>
        <v>FM</v>
      </c>
      <c r="D893" s="7" t="s">
        <v>6</v>
      </c>
      <c r="E893" t="str">
        <f>_xlfn.XLOOKUP(Vendas[[#This Row],[ID Item Vendido]],Agregado[ID],Agregado[Produto])</f>
        <v>Parafuso comum 500un</v>
      </c>
      <c r="F893" s="39">
        <v>44234</v>
      </c>
      <c r="G893" s="7">
        <v>4</v>
      </c>
      <c r="H893" s="3">
        <f>_xlfn.XLOOKUP(Vendas[[#This Row],[ID Item Vendido]],Agregado[ID],Agregado[Revenda])</f>
        <v>24.6</v>
      </c>
      <c r="I893" s="3">
        <f>Vendas[[#This Row],[Valor Unitário]]*Vendas[[#This Row],[Qnt Vendida]]</f>
        <v>98.4</v>
      </c>
      <c r="J893" s="3">
        <f>Vendas[[#This Row],[Valor da Venda]]-(_xlfn.XLOOKUP(Vendas[[#This Row],[ID Item Vendido]],Agregado[ID],Agregado[Custo])*Vendas[[#This Row],[Qnt Vendida]])</f>
        <v>10.400000000000006</v>
      </c>
      <c r="K893" s="70">
        <f>Vendas[[#This Row],[Lucro da Venda]]/Vendas[[#This Row],[Valor da Venda]]</f>
        <v>0.10569105691056915</v>
      </c>
      <c r="L893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893"/>
    </row>
    <row r="894" spans="1:13" x14ac:dyDescent="0.3">
      <c r="A894" s="7">
        <v>400245</v>
      </c>
      <c r="B894" t="str">
        <f>_xlfn.XLOOKUP(Vendas[[#This Row],[ID Vendedor]],Vendedores[ID],Vendedores[Nome])</f>
        <v>Thiago</v>
      </c>
      <c r="C894" s="7" t="str">
        <f>_xlfn.XLOOKUP(Vendas[[#This Row],[ID Vendedor]],Vendedores[ID],Vendedores[Setor])</f>
        <v>AHD</v>
      </c>
      <c r="D894" s="7" t="s">
        <v>18</v>
      </c>
      <c r="E894" t="str">
        <f>_xlfn.XLOOKUP(Vendas[[#This Row],[ID Item Vendido]],Agregado[ID],Agregado[Produto])</f>
        <v>Peça forjada sob encomenda</v>
      </c>
      <c r="F894" s="39">
        <v>44235</v>
      </c>
      <c r="G894" s="7">
        <v>2</v>
      </c>
      <c r="H894" s="3">
        <f>_xlfn.XLOOKUP(Vendas[[#This Row],[ID Item Vendido]],Agregado[ID],Agregado[Revenda])</f>
        <v>264.60000000000002</v>
      </c>
      <c r="I894" s="3">
        <f>Vendas[[#This Row],[Valor Unitário]]*Vendas[[#This Row],[Qnt Vendida]]</f>
        <v>529.20000000000005</v>
      </c>
      <c r="J894" s="3">
        <f>Vendas[[#This Row],[Valor da Venda]]-(_xlfn.XLOOKUP(Vendas[[#This Row],[ID Item Vendido]],Agregado[ID],Agregado[Custo])*Vendas[[#This Row],[Qnt Vendida]])</f>
        <v>29.200000000000045</v>
      </c>
      <c r="K894" s="70">
        <f>Vendas[[#This Row],[Lucro da Venda]]/Vendas[[#This Row],[Valor da Venda]]</f>
        <v>5.5177626606198113E-2</v>
      </c>
      <c r="L89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894"/>
    </row>
    <row r="895" spans="1:13" x14ac:dyDescent="0.3">
      <c r="A895" s="7">
        <v>400241</v>
      </c>
      <c r="B895" t="str">
        <f>_xlfn.XLOOKUP(Vendas[[#This Row],[ID Vendedor]],Vendedores[ID],Vendedores[Nome])</f>
        <v>Rodrigo</v>
      </c>
      <c r="C895" s="7" t="str">
        <f>_xlfn.XLOOKUP(Vendas[[#This Row],[ID Vendedor]],Vendedores[ID],Vendedores[Setor])</f>
        <v>FM</v>
      </c>
      <c r="D895" s="7" t="s">
        <v>27</v>
      </c>
      <c r="E895" t="str">
        <f>_xlfn.XLOOKUP(Vendas[[#This Row],[ID Item Vendido]],Agregado[ID],Agregado[Produto])</f>
        <v>Chapa de metal lisa 1x2m</v>
      </c>
      <c r="F895" s="39">
        <v>44235</v>
      </c>
      <c r="G895" s="7">
        <v>11</v>
      </c>
      <c r="H895" s="3">
        <f>_xlfn.XLOOKUP(Vendas[[#This Row],[ID Item Vendido]],Agregado[ID],Agregado[Revenda])</f>
        <v>52</v>
      </c>
      <c r="I895" s="3">
        <f>Vendas[[#This Row],[Valor Unitário]]*Vendas[[#This Row],[Qnt Vendida]]</f>
        <v>572</v>
      </c>
      <c r="J895" s="3">
        <f>Vendas[[#This Row],[Valor da Venda]]-(_xlfn.XLOOKUP(Vendas[[#This Row],[ID Item Vendido]],Agregado[ID],Agregado[Custo])*Vendas[[#This Row],[Qnt Vendida]])</f>
        <v>77</v>
      </c>
      <c r="K895" s="70">
        <f>Vendas[[#This Row],[Lucro da Venda]]/Vendas[[#This Row],[Valor da Venda]]</f>
        <v>0.13461538461538461</v>
      </c>
      <c r="L895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895"/>
    </row>
    <row r="896" spans="1:13" x14ac:dyDescent="0.3">
      <c r="A896" s="7">
        <v>400241</v>
      </c>
      <c r="B896" t="str">
        <f>_xlfn.XLOOKUP(Vendas[[#This Row],[ID Vendedor]],Vendedores[ID],Vendedores[Nome])</f>
        <v>Rodrigo</v>
      </c>
      <c r="C896" s="7" t="str">
        <f>_xlfn.XLOOKUP(Vendas[[#This Row],[ID Vendedor]],Vendedores[ID],Vendedores[Setor])</f>
        <v>FM</v>
      </c>
      <c r="D896" s="7" t="s">
        <v>20</v>
      </c>
      <c r="E896" t="str">
        <f>_xlfn.XLOOKUP(Vendas[[#This Row],[ID Item Vendido]],Agregado[ID],Agregado[Produto])</f>
        <v>Barra de aço simples</v>
      </c>
      <c r="F896" s="39">
        <v>44235</v>
      </c>
      <c r="G896" s="7">
        <v>22</v>
      </c>
      <c r="H896" s="3">
        <f>_xlfn.XLOOKUP(Vendas[[#This Row],[ID Item Vendido]],Agregado[ID],Agregado[Revenda])</f>
        <v>4.8</v>
      </c>
      <c r="I896" s="3">
        <f>Vendas[[#This Row],[Valor Unitário]]*Vendas[[#This Row],[Qnt Vendida]]</f>
        <v>105.6</v>
      </c>
      <c r="J896" s="3">
        <f>Vendas[[#This Row],[Valor da Venda]]-(_xlfn.XLOOKUP(Vendas[[#This Row],[ID Item Vendido]],Agregado[ID],Agregado[Custo])*Vendas[[#This Row],[Qnt Vendida]])</f>
        <v>13.199999999999989</v>
      </c>
      <c r="K896" s="70">
        <f>Vendas[[#This Row],[Lucro da Venda]]/Vendas[[#This Row],[Valor da Venda]]</f>
        <v>0.1249999999999999</v>
      </c>
      <c r="L896" s="3">
        <f>_xlfn.IFS(Vendas[[#This Row],[Margem de Lucro (%)]]&lt;15%,Vendas[[#This Row],[Valor da Venda]]*3%,Vendas[[#This Row],[Margem de Lucro (%)]]&lt;=20%,Vendas[[#This Row],[Valor da Venda]]*4.5%,TRUE,Vendas[[#This Row],[Valor da Venda]]*6%)</f>
        <v>3.1679999999999997</v>
      </c>
      <c r="M896"/>
    </row>
    <row r="897" spans="1:13" x14ac:dyDescent="0.3">
      <c r="A897" s="7">
        <v>400255</v>
      </c>
      <c r="B897" t="str">
        <f>_xlfn.XLOOKUP(Vendas[[#This Row],[ID Vendedor]],Vendedores[ID],Vendedores[Nome])</f>
        <v>Carlos</v>
      </c>
      <c r="C897" s="7" t="str">
        <f>_xlfn.XLOOKUP(Vendas[[#This Row],[ID Vendedor]],Vendedores[ID],Vendedores[Setor])</f>
        <v>SC</v>
      </c>
      <c r="D897" s="7" t="s">
        <v>25</v>
      </c>
      <c r="E897" t="str">
        <f>_xlfn.XLOOKUP(Vendas[[#This Row],[ID Item Vendido]],Agregado[ID],Agregado[Produto])</f>
        <v>Palete de plástico</v>
      </c>
      <c r="F897" s="39">
        <v>44236</v>
      </c>
      <c r="G897" s="7">
        <v>10</v>
      </c>
      <c r="H897" s="3">
        <f>_xlfn.XLOOKUP(Vendas[[#This Row],[ID Item Vendido]],Agregado[ID],Agregado[Revenda])</f>
        <v>70.8</v>
      </c>
      <c r="I897" s="3">
        <f>Vendas[[#This Row],[Valor Unitário]]*Vendas[[#This Row],[Qnt Vendida]]</f>
        <v>708</v>
      </c>
      <c r="J897" s="3">
        <f>Vendas[[#This Row],[Valor da Venda]]-(_xlfn.XLOOKUP(Vendas[[#This Row],[ID Item Vendido]],Agregado[ID],Agregado[Custo])*Vendas[[#This Row],[Qnt Vendida]])</f>
        <v>108</v>
      </c>
      <c r="K897" s="70">
        <f>Vendas[[#This Row],[Lucro da Venda]]/Vendas[[#This Row],[Valor da Venda]]</f>
        <v>0.15254237288135594</v>
      </c>
      <c r="L897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897"/>
    </row>
    <row r="898" spans="1:13" x14ac:dyDescent="0.3">
      <c r="A898" s="7">
        <v>400251</v>
      </c>
      <c r="B898" t="str">
        <f>_xlfn.XLOOKUP(Vendas[[#This Row],[ID Vendedor]],Vendedores[ID],Vendedores[Nome])</f>
        <v>Diego</v>
      </c>
      <c r="C898" s="7" t="str">
        <f>_xlfn.XLOOKUP(Vendas[[#This Row],[ID Vendedor]],Vendedores[ID],Vendedores[Setor])</f>
        <v>AB</v>
      </c>
      <c r="D898" s="7" t="s">
        <v>37</v>
      </c>
      <c r="E898" t="str">
        <f>_xlfn.XLOOKUP(Vendas[[#This Row],[ID Item Vendido]],Agregado[ID],Agregado[Produto])</f>
        <v>Composto de borracha para vedação rolo 10m</v>
      </c>
      <c r="F898" s="39">
        <v>44237</v>
      </c>
      <c r="G898" s="7">
        <v>18</v>
      </c>
      <c r="H898" s="3">
        <f>_xlfn.XLOOKUP(Vendas[[#This Row],[ID Item Vendido]],Agregado[ID],Agregado[Revenda])</f>
        <v>51.2</v>
      </c>
      <c r="I898" s="3">
        <f>Vendas[[#This Row],[Valor Unitário]]*Vendas[[#This Row],[Qnt Vendida]]</f>
        <v>921.6</v>
      </c>
      <c r="J898" s="3">
        <f>Vendas[[#This Row],[Valor da Venda]]-(_xlfn.XLOOKUP(Vendas[[#This Row],[ID Item Vendido]],Agregado[ID],Agregado[Custo])*Vendas[[#This Row],[Qnt Vendida]])</f>
        <v>201.60000000000002</v>
      </c>
      <c r="K898" s="70">
        <f>Vendas[[#This Row],[Lucro da Venda]]/Vendas[[#This Row],[Valor da Venda]]</f>
        <v>0.21875000000000003</v>
      </c>
      <c r="L898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898"/>
    </row>
    <row r="899" spans="1:13" x14ac:dyDescent="0.3">
      <c r="A899" s="7">
        <v>400245</v>
      </c>
      <c r="B899" t="str">
        <f>_xlfn.XLOOKUP(Vendas[[#This Row],[ID Vendedor]],Vendedores[ID],Vendedores[Nome])</f>
        <v>Thiago</v>
      </c>
      <c r="C899" s="7" t="str">
        <f>_xlfn.XLOOKUP(Vendas[[#This Row],[ID Vendedor]],Vendedores[ID],Vendedores[Setor])</f>
        <v>AHD</v>
      </c>
      <c r="D899" s="7" t="s">
        <v>18</v>
      </c>
      <c r="E899" t="str">
        <f>_xlfn.XLOOKUP(Vendas[[#This Row],[ID Item Vendido]],Agregado[ID],Agregado[Produto])</f>
        <v>Peça forjada sob encomenda</v>
      </c>
      <c r="F899" s="39">
        <v>44238</v>
      </c>
      <c r="G899" s="7">
        <v>6</v>
      </c>
      <c r="H899" s="3">
        <f>_xlfn.XLOOKUP(Vendas[[#This Row],[ID Item Vendido]],Agregado[ID],Agregado[Revenda])</f>
        <v>264.60000000000002</v>
      </c>
      <c r="I899" s="3">
        <f>Vendas[[#This Row],[Valor Unitário]]*Vendas[[#This Row],[Qnt Vendida]]</f>
        <v>1587.6000000000001</v>
      </c>
      <c r="J899" s="3">
        <f>Vendas[[#This Row],[Valor da Venda]]-(_xlfn.XLOOKUP(Vendas[[#This Row],[ID Item Vendido]],Agregado[ID],Agregado[Custo])*Vendas[[#This Row],[Qnt Vendida]])</f>
        <v>87.600000000000136</v>
      </c>
      <c r="K899" s="70">
        <f>Vendas[[#This Row],[Lucro da Venda]]/Vendas[[#This Row],[Valor da Venda]]</f>
        <v>5.5177626606198113E-2</v>
      </c>
      <c r="L899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899"/>
    </row>
    <row r="900" spans="1:13" x14ac:dyDescent="0.3">
      <c r="A900" s="7">
        <v>400244</v>
      </c>
      <c r="B900" t="str">
        <f>_xlfn.XLOOKUP(Vendas[[#This Row],[ID Vendedor]],Vendedores[ID],Vendedores[Nome])</f>
        <v>Camila</v>
      </c>
      <c r="C900" s="7" t="str">
        <f>_xlfn.XLOOKUP(Vendas[[#This Row],[ID Vendedor]],Vendedores[ID],Vendedores[Setor])</f>
        <v>AHD</v>
      </c>
      <c r="D900" s="7" t="s">
        <v>28</v>
      </c>
      <c r="E900" t="str">
        <f>_xlfn.XLOOKUP(Vendas[[#This Row],[ID Item Vendido]],Agregado[ID],Agregado[Produto])</f>
        <v>Peça usinada CNC</v>
      </c>
      <c r="F900" s="39">
        <v>44238</v>
      </c>
      <c r="G900" s="7">
        <v>7</v>
      </c>
      <c r="H900" s="3">
        <f>_xlfn.XLOOKUP(Vendas[[#This Row],[ID Item Vendido]],Agregado[ID],Agregado[Revenda])</f>
        <v>192</v>
      </c>
      <c r="I900" s="3">
        <f>Vendas[[#This Row],[Valor Unitário]]*Vendas[[#This Row],[Qnt Vendida]]</f>
        <v>1344</v>
      </c>
      <c r="J900" s="3">
        <f>Vendas[[#This Row],[Valor da Venda]]-(_xlfn.XLOOKUP(Vendas[[#This Row],[ID Item Vendido]],Agregado[ID],Agregado[Custo])*Vendas[[#This Row],[Qnt Vendida]])</f>
        <v>294</v>
      </c>
      <c r="K900" s="70">
        <f>Vendas[[#This Row],[Lucro da Venda]]/Vendas[[#This Row],[Valor da Venda]]</f>
        <v>0.21875</v>
      </c>
      <c r="L900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900"/>
    </row>
    <row r="901" spans="1:13" x14ac:dyDescent="0.3">
      <c r="A901" s="7">
        <v>400253</v>
      </c>
      <c r="B901" t="str">
        <f>_xlfn.XLOOKUP(Vendas[[#This Row],[ID Vendedor]],Vendedores[ID],Vendedores[Nome])</f>
        <v>Gustavo</v>
      </c>
      <c r="C901" s="7" t="str">
        <f>_xlfn.XLOOKUP(Vendas[[#This Row],[ID Vendedor]],Vendedores[ID],Vendedores[Setor])</f>
        <v>SC</v>
      </c>
      <c r="D901" s="7" t="s">
        <v>25</v>
      </c>
      <c r="E901" t="str">
        <f>_xlfn.XLOOKUP(Vendas[[#This Row],[ID Item Vendido]],Agregado[ID],Agregado[Produto])</f>
        <v>Palete de plástico</v>
      </c>
      <c r="F901" s="39">
        <v>44238</v>
      </c>
      <c r="G901" s="7">
        <v>5</v>
      </c>
      <c r="H901" s="3">
        <f>_xlfn.XLOOKUP(Vendas[[#This Row],[ID Item Vendido]],Agregado[ID],Agregado[Revenda])</f>
        <v>70.8</v>
      </c>
      <c r="I901" s="3">
        <f>Vendas[[#This Row],[Valor Unitário]]*Vendas[[#This Row],[Qnt Vendida]]</f>
        <v>354</v>
      </c>
      <c r="J901" s="3">
        <f>Vendas[[#This Row],[Valor da Venda]]-(_xlfn.XLOOKUP(Vendas[[#This Row],[ID Item Vendido]],Agregado[ID],Agregado[Custo])*Vendas[[#This Row],[Qnt Vendida]])</f>
        <v>54</v>
      </c>
      <c r="K901" s="70">
        <f>Vendas[[#This Row],[Lucro da Venda]]/Vendas[[#This Row],[Valor da Venda]]</f>
        <v>0.15254237288135594</v>
      </c>
      <c r="L901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901"/>
    </row>
    <row r="902" spans="1:13" x14ac:dyDescent="0.3">
      <c r="A902" s="7">
        <v>400247</v>
      </c>
      <c r="B902" t="str">
        <f>_xlfn.XLOOKUP(Vendas[[#This Row],[ID Vendedor]],Vendedores[ID],Vendedores[Nome])</f>
        <v>André</v>
      </c>
      <c r="C902" s="7" t="str">
        <f>_xlfn.XLOOKUP(Vendas[[#This Row],[ID Vendedor]],Vendedores[ID],Vendedores[Setor])</f>
        <v>CM</v>
      </c>
      <c r="D902" s="7" t="s">
        <v>32</v>
      </c>
      <c r="E902" t="str">
        <f>_xlfn.XLOOKUP(Vendas[[#This Row],[ID Item Vendido]],Agregado[ID],Agregado[Produto])</f>
        <v>Tábua tratada e cortada 3m</v>
      </c>
      <c r="F902" s="39">
        <v>44238</v>
      </c>
      <c r="G902" s="7">
        <v>6</v>
      </c>
      <c r="H902" s="3">
        <f>_xlfn.XLOOKUP(Vendas[[#This Row],[ID Item Vendido]],Agregado[ID],Agregado[Revenda])</f>
        <v>39</v>
      </c>
      <c r="I902" s="3">
        <f>Vendas[[#This Row],[Valor Unitário]]*Vendas[[#This Row],[Qnt Vendida]]</f>
        <v>234</v>
      </c>
      <c r="J902" s="3">
        <f>Vendas[[#This Row],[Valor da Venda]]-(_xlfn.XLOOKUP(Vendas[[#This Row],[ID Item Vendido]],Agregado[ID],Agregado[Custo])*Vendas[[#This Row],[Qnt Vendida]])</f>
        <v>42</v>
      </c>
      <c r="K902" s="70">
        <f>Vendas[[#This Row],[Lucro da Venda]]/Vendas[[#This Row],[Valor da Venda]]</f>
        <v>0.17948717948717949</v>
      </c>
      <c r="L902" s="3">
        <f>_xlfn.IFS(Vendas[[#This Row],[Margem de Lucro (%)]]&lt;15%,Vendas[[#This Row],[Valor da Venda]]*3%,Vendas[[#This Row],[Margem de Lucro (%)]]&lt;=20%,Vendas[[#This Row],[Valor da Venda]]*4.5%,TRUE,Vendas[[#This Row],[Valor da Venda]]*6%)</f>
        <v>10.53</v>
      </c>
      <c r="M902"/>
    </row>
    <row r="903" spans="1:13" x14ac:dyDescent="0.3">
      <c r="A903" s="7">
        <v>400253</v>
      </c>
      <c r="B903" t="str">
        <f>_xlfn.XLOOKUP(Vendas[[#This Row],[ID Vendedor]],Vendedores[ID],Vendedores[Nome])</f>
        <v>Gustavo</v>
      </c>
      <c r="C903" s="7" t="str">
        <f>_xlfn.XLOOKUP(Vendas[[#This Row],[ID Vendedor]],Vendedores[ID],Vendedores[Setor])</f>
        <v>SC</v>
      </c>
      <c r="D903" s="7" t="s">
        <v>48</v>
      </c>
      <c r="E903" t="str">
        <f>_xlfn.XLOOKUP(Vendas[[#This Row],[ID Item Vendido]],Agregado[ID],Agregado[Produto])</f>
        <v>Tambor metálico 200L</v>
      </c>
      <c r="F903" s="39">
        <v>44239</v>
      </c>
      <c r="G903" s="7">
        <v>6</v>
      </c>
      <c r="H903" s="3">
        <f>_xlfn.XLOOKUP(Vendas[[#This Row],[ID Item Vendido]],Agregado[ID],Agregado[Revenda])</f>
        <v>144</v>
      </c>
      <c r="I903" s="3">
        <f>Vendas[[#This Row],[Valor Unitário]]*Vendas[[#This Row],[Qnt Vendida]]</f>
        <v>864</v>
      </c>
      <c r="J903" s="3">
        <f>Vendas[[#This Row],[Valor da Venda]]-(_xlfn.XLOOKUP(Vendas[[#This Row],[ID Item Vendido]],Agregado[ID],Agregado[Custo])*Vendas[[#This Row],[Qnt Vendida]])</f>
        <v>144</v>
      </c>
      <c r="K903" s="70">
        <f>Vendas[[#This Row],[Lucro da Venda]]/Vendas[[#This Row],[Valor da Venda]]</f>
        <v>0.16666666666666666</v>
      </c>
      <c r="L903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903"/>
    </row>
    <row r="904" spans="1:13" x14ac:dyDescent="0.3">
      <c r="A904" s="7">
        <v>400251</v>
      </c>
      <c r="B904" t="str">
        <f>_xlfn.XLOOKUP(Vendas[[#This Row],[ID Vendedor]],Vendedores[ID],Vendedores[Nome])</f>
        <v>Diego</v>
      </c>
      <c r="C904" s="7" t="str">
        <f>_xlfn.XLOOKUP(Vendas[[#This Row],[ID Vendedor]],Vendedores[ID],Vendedores[Setor])</f>
        <v>AB</v>
      </c>
      <c r="D904" s="7" t="s">
        <v>36</v>
      </c>
      <c r="E904" t="str">
        <f>_xlfn.XLOOKUP(Vendas[[#This Row],[ID Item Vendido]],Agregado[ID],Agregado[Produto])</f>
        <v>Borracha vulcanizada em manta</v>
      </c>
      <c r="F904" s="39">
        <v>44240</v>
      </c>
      <c r="G904" s="7">
        <v>50</v>
      </c>
      <c r="H904" s="3">
        <f>_xlfn.XLOOKUP(Vendas[[#This Row],[ID Item Vendido]],Agregado[ID],Agregado[Revenda])</f>
        <v>7.8</v>
      </c>
      <c r="I904" s="3">
        <f>Vendas[[#This Row],[Valor Unitário]]*Vendas[[#This Row],[Qnt Vendida]]</f>
        <v>390</v>
      </c>
      <c r="J904" s="3">
        <f>Vendas[[#This Row],[Valor da Venda]]-(_xlfn.XLOOKUP(Vendas[[#This Row],[ID Item Vendido]],Agregado[ID],Agregado[Custo])*Vendas[[#This Row],[Qnt Vendida]])</f>
        <v>90</v>
      </c>
      <c r="K904" s="70">
        <f>Vendas[[#This Row],[Lucro da Venda]]/Vendas[[#This Row],[Valor da Venda]]</f>
        <v>0.23076923076923078</v>
      </c>
      <c r="L904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904"/>
    </row>
    <row r="905" spans="1:13" x14ac:dyDescent="0.3">
      <c r="A905" s="7">
        <v>400247</v>
      </c>
      <c r="B905" t="str">
        <f>_xlfn.XLOOKUP(Vendas[[#This Row],[ID Vendedor]],Vendedores[ID],Vendedores[Nome])</f>
        <v>André</v>
      </c>
      <c r="C905" s="7" t="str">
        <f>_xlfn.XLOOKUP(Vendas[[#This Row],[ID Vendedor]],Vendedores[ID],Vendedores[Setor])</f>
        <v>CM</v>
      </c>
      <c r="D905" s="7" t="s">
        <v>32</v>
      </c>
      <c r="E905" t="str">
        <f>_xlfn.XLOOKUP(Vendas[[#This Row],[ID Item Vendido]],Agregado[ID],Agregado[Produto])</f>
        <v>Tábua tratada e cortada 3m</v>
      </c>
      <c r="F905" s="39">
        <v>44240</v>
      </c>
      <c r="G905" s="7">
        <v>10</v>
      </c>
      <c r="H905" s="3">
        <f>_xlfn.XLOOKUP(Vendas[[#This Row],[ID Item Vendido]],Agregado[ID],Agregado[Revenda])</f>
        <v>39</v>
      </c>
      <c r="I905" s="3">
        <f>Vendas[[#This Row],[Valor Unitário]]*Vendas[[#This Row],[Qnt Vendida]]</f>
        <v>390</v>
      </c>
      <c r="J905" s="3">
        <f>Vendas[[#This Row],[Valor da Venda]]-(_xlfn.XLOOKUP(Vendas[[#This Row],[ID Item Vendido]],Agregado[ID],Agregado[Custo])*Vendas[[#This Row],[Qnt Vendida]])</f>
        <v>70</v>
      </c>
      <c r="K905" s="70">
        <f>Vendas[[#This Row],[Lucro da Venda]]/Vendas[[#This Row],[Valor da Venda]]</f>
        <v>0.17948717948717949</v>
      </c>
      <c r="L905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905"/>
    </row>
    <row r="906" spans="1:13" x14ac:dyDescent="0.3">
      <c r="A906" s="7">
        <v>400243</v>
      </c>
      <c r="B906" t="str">
        <f>_xlfn.XLOOKUP(Vendas[[#This Row],[ID Vendedor]],Vendedores[ID],Vendedores[Nome])</f>
        <v>Marcelo</v>
      </c>
      <c r="C906" s="7" t="str">
        <f>_xlfn.XLOOKUP(Vendas[[#This Row],[ID Vendedor]],Vendedores[ID],Vendedores[Setor])</f>
        <v>FM</v>
      </c>
      <c r="D906" s="7" t="s">
        <v>27</v>
      </c>
      <c r="E906" t="str">
        <f>_xlfn.XLOOKUP(Vendas[[#This Row],[ID Item Vendido]],Agregado[ID],Agregado[Produto])</f>
        <v>Chapa de metal lisa 1x2m</v>
      </c>
      <c r="F906" s="39">
        <v>44242</v>
      </c>
      <c r="G906" s="7">
        <v>19</v>
      </c>
      <c r="H906" s="3">
        <f>_xlfn.XLOOKUP(Vendas[[#This Row],[ID Item Vendido]],Agregado[ID],Agregado[Revenda])</f>
        <v>52</v>
      </c>
      <c r="I906" s="3">
        <f>Vendas[[#This Row],[Valor Unitário]]*Vendas[[#This Row],[Qnt Vendida]]</f>
        <v>988</v>
      </c>
      <c r="J906" s="3">
        <f>Vendas[[#This Row],[Valor da Venda]]-(_xlfn.XLOOKUP(Vendas[[#This Row],[ID Item Vendido]],Agregado[ID],Agregado[Custo])*Vendas[[#This Row],[Qnt Vendida]])</f>
        <v>133</v>
      </c>
      <c r="K906" s="70">
        <f>Vendas[[#This Row],[Lucro da Venda]]/Vendas[[#This Row],[Valor da Venda]]</f>
        <v>0.13461538461538461</v>
      </c>
      <c r="L906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906"/>
    </row>
    <row r="907" spans="1:13" x14ac:dyDescent="0.3">
      <c r="A907" s="7">
        <v>400244</v>
      </c>
      <c r="B907" t="str">
        <f>_xlfn.XLOOKUP(Vendas[[#This Row],[ID Vendedor]],Vendedores[ID],Vendedores[Nome])</f>
        <v>Camila</v>
      </c>
      <c r="C907" s="7" t="str">
        <f>_xlfn.XLOOKUP(Vendas[[#This Row],[ID Vendedor]],Vendedores[ID],Vendedores[Setor])</f>
        <v>AHD</v>
      </c>
      <c r="D907" s="7" t="s">
        <v>9</v>
      </c>
      <c r="E907" t="str">
        <f>_xlfn.XLOOKUP(Vendas[[#This Row],[ID Item Vendido]],Agregado[ID],Agregado[Produto])</f>
        <v>Barra de aço simples</v>
      </c>
      <c r="F907" s="39">
        <v>44242</v>
      </c>
      <c r="G907" s="7">
        <v>122</v>
      </c>
      <c r="H907" s="3">
        <f>_xlfn.XLOOKUP(Vendas[[#This Row],[ID Item Vendido]],Agregado[ID],Agregado[Revenda])</f>
        <v>6.7</v>
      </c>
      <c r="I907" s="3">
        <f>Vendas[[#This Row],[Valor Unitário]]*Vendas[[#This Row],[Qnt Vendida]]</f>
        <v>817.4</v>
      </c>
      <c r="J907" s="3">
        <f>Vendas[[#This Row],[Valor da Venda]]-(_xlfn.XLOOKUP(Vendas[[#This Row],[ID Item Vendido]],Agregado[ID],Agregado[Custo])*Vendas[[#This Row],[Qnt Vendida]])</f>
        <v>109.79999999999995</v>
      </c>
      <c r="K907" s="70">
        <f>Vendas[[#This Row],[Lucro da Venda]]/Vendas[[#This Row],[Valor da Venda]]</f>
        <v>0.13432835820895517</v>
      </c>
      <c r="L907" s="3">
        <f>_xlfn.IFS(Vendas[[#This Row],[Margem de Lucro (%)]]&lt;15%,Vendas[[#This Row],[Valor da Venda]]*3%,Vendas[[#This Row],[Margem de Lucro (%)]]&lt;=20%,Vendas[[#This Row],[Valor da Venda]]*4.5%,TRUE,Vendas[[#This Row],[Valor da Venda]]*6%)</f>
        <v>24.521999999999998</v>
      </c>
      <c r="M907"/>
    </row>
    <row r="908" spans="1:13" x14ac:dyDescent="0.3">
      <c r="A908" s="7">
        <v>400251</v>
      </c>
      <c r="B908" t="str">
        <f>_xlfn.XLOOKUP(Vendas[[#This Row],[ID Vendedor]],Vendedores[ID],Vendedores[Nome])</f>
        <v>Diego</v>
      </c>
      <c r="C908" s="7" t="str">
        <f>_xlfn.XLOOKUP(Vendas[[#This Row],[ID Vendedor]],Vendedores[ID],Vendedores[Setor])</f>
        <v>AB</v>
      </c>
      <c r="D908" s="7" t="s">
        <v>24</v>
      </c>
      <c r="E908" t="str">
        <f>_xlfn.XLOOKUP(Vendas[[#This Row],[ID Item Vendido]],Agregado[ID],Agregado[Produto])</f>
        <v>Resina plástica PET purificada saco de 25kg</v>
      </c>
      <c r="F908" s="39">
        <v>44243</v>
      </c>
      <c r="G908" s="7">
        <v>27</v>
      </c>
      <c r="H908" s="3">
        <f>_xlfn.XLOOKUP(Vendas[[#This Row],[ID Item Vendido]],Agregado[ID],Agregado[Revenda])</f>
        <v>119</v>
      </c>
      <c r="I908" s="3">
        <f>Vendas[[#This Row],[Valor Unitário]]*Vendas[[#This Row],[Qnt Vendida]]</f>
        <v>3213</v>
      </c>
      <c r="J908" s="3">
        <f>Vendas[[#This Row],[Valor da Venda]]-(_xlfn.XLOOKUP(Vendas[[#This Row],[ID Item Vendido]],Agregado[ID],Agregado[Custo])*Vendas[[#This Row],[Qnt Vendida]])</f>
        <v>918</v>
      </c>
      <c r="K908" s="70">
        <f>Vendas[[#This Row],[Lucro da Venda]]/Vendas[[#This Row],[Valor da Venda]]</f>
        <v>0.2857142857142857</v>
      </c>
      <c r="L908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908"/>
    </row>
    <row r="909" spans="1:13" x14ac:dyDescent="0.3">
      <c r="A909" s="7">
        <v>400249</v>
      </c>
      <c r="B909" t="str">
        <f>_xlfn.XLOOKUP(Vendas[[#This Row],[ID Vendedor]],Vendedores[ID],Vendedores[Nome])</f>
        <v>Bruno</v>
      </c>
      <c r="C909" s="7" t="str">
        <f>_xlfn.XLOOKUP(Vendas[[#This Row],[ID Vendedor]],Vendedores[ID],Vendedores[Setor])</f>
        <v>CM</v>
      </c>
      <c r="D909" s="7" t="s">
        <v>45</v>
      </c>
      <c r="E909" t="str">
        <f>_xlfn.XLOOKUP(Vendas[[#This Row],[ID Item Vendido]],Agregado[ID],Agregado[Produto])</f>
        <v>Viga de madeira tratada 4m</v>
      </c>
      <c r="F909" s="39">
        <v>44243</v>
      </c>
      <c r="G909" s="7">
        <v>15</v>
      </c>
      <c r="H909" s="3">
        <f>_xlfn.XLOOKUP(Vendas[[#This Row],[ID Item Vendido]],Agregado[ID],Agregado[Revenda])</f>
        <v>66</v>
      </c>
      <c r="I909" s="3">
        <f>Vendas[[#This Row],[Valor Unitário]]*Vendas[[#This Row],[Qnt Vendida]]</f>
        <v>990</v>
      </c>
      <c r="J909" s="3">
        <f>Vendas[[#This Row],[Valor da Venda]]-(_xlfn.XLOOKUP(Vendas[[#This Row],[ID Item Vendido]],Agregado[ID],Agregado[Custo])*Vendas[[#This Row],[Qnt Vendida]])</f>
        <v>165</v>
      </c>
      <c r="K909" s="70">
        <f>Vendas[[#This Row],[Lucro da Venda]]/Vendas[[#This Row],[Valor da Venda]]</f>
        <v>0.16666666666666666</v>
      </c>
      <c r="L909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909"/>
    </row>
    <row r="910" spans="1:13" x14ac:dyDescent="0.3">
      <c r="A910" s="7">
        <v>400251</v>
      </c>
      <c r="B910" t="str">
        <f>_xlfn.XLOOKUP(Vendas[[#This Row],[ID Vendedor]],Vendedores[ID],Vendedores[Nome])</f>
        <v>Diego</v>
      </c>
      <c r="C910" s="7" t="str">
        <f>_xlfn.XLOOKUP(Vendas[[#This Row],[ID Vendedor]],Vendedores[ID],Vendedores[Setor])</f>
        <v>AB</v>
      </c>
      <c r="D910" s="7" t="s">
        <v>36</v>
      </c>
      <c r="E910" t="str">
        <f>_xlfn.XLOOKUP(Vendas[[#This Row],[ID Item Vendido]],Agregado[ID],Agregado[Produto])</f>
        <v>Borracha vulcanizada em manta</v>
      </c>
      <c r="F910" s="39">
        <v>44243</v>
      </c>
      <c r="G910" s="7">
        <v>33</v>
      </c>
      <c r="H910" s="3">
        <f>_xlfn.XLOOKUP(Vendas[[#This Row],[ID Item Vendido]],Agregado[ID],Agregado[Revenda])</f>
        <v>7.8</v>
      </c>
      <c r="I910" s="3">
        <f>Vendas[[#This Row],[Valor Unitário]]*Vendas[[#This Row],[Qnt Vendida]]</f>
        <v>257.39999999999998</v>
      </c>
      <c r="J910" s="3">
        <f>Vendas[[#This Row],[Valor da Venda]]-(_xlfn.XLOOKUP(Vendas[[#This Row],[ID Item Vendido]],Agregado[ID],Agregado[Custo])*Vendas[[#This Row],[Qnt Vendida]])</f>
        <v>59.399999999999977</v>
      </c>
      <c r="K910" s="70">
        <f>Vendas[[#This Row],[Lucro da Venda]]/Vendas[[#This Row],[Valor da Venda]]</f>
        <v>0.2307692307692307</v>
      </c>
      <c r="L910" s="3">
        <f>_xlfn.IFS(Vendas[[#This Row],[Margem de Lucro (%)]]&lt;15%,Vendas[[#This Row],[Valor da Venda]]*3%,Vendas[[#This Row],[Margem de Lucro (%)]]&lt;=20%,Vendas[[#This Row],[Valor da Venda]]*4.5%,TRUE,Vendas[[#This Row],[Valor da Venda]]*6%)</f>
        <v>15.443999999999997</v>
      </c>
      <c r="M910"/>
    </row>
    <row r="911" spans="1:13" x14ac:dyDescent="0.3">
      <c r="A911" s="7">
        <v>400243</v>
      </c>
      <c r="B911" t="str">
        <f>_xlfn.XLOOKUP(Vendas[[#This Row],[ID Vendedor]],Vendedores[ID],Vendedores[Nome])</f>
        <v>Marcelo</v>
      </c>
      <c r="C911" s="7" t="str">
        <f>_xlfn.XLOOKUP(Vendas[[#This Row],[ID Vendedor]],Vendedores[ID],Vendedores[Setor])</f>
        <v>FM</v>
      </c>
      <c r="D911" s="7" t="s">
        <v>6</v>
      </c>
      <c r="E911" t="str">
        <f>_xlfn.XLOOKUP(Vendas[[#This Row],[ID Item Vendido]],Agregado[ID],Agregado[Produto])</f>
        <v>Parafuso comum 500un</v>
      </c>
      <c r="F911" s="39">
        <v>44243</v>
      </c>
      <c r="G911" s="7">
        <v>3</v>
      </c>
      <c r="H911" s="3">
        <f>_xlfn.XLOOKUP(Vendas[[#This Row],[ID Item Vendido]],Agregado[ID],Agregado[Revenda])</f>
        <v>24.6</v>
      </c>
      <c r="I911" s="3">
        <f>Vendas[[#This Row],[Valor Unitário]]*Vendas[[#This Row],[Qnt Vendida]]</f>
        <v>73.800000000000011</v>
      </c>
      <c r="J911" s="3">
        <f>Vendas[[#This Row],[Valor da Venda]]-(_xlfn.XLOOKUP(Vendas[[#This Row],[ID Item Vendido]],Agregado[ID],Agregado[Custo])*Vendas[[#This Row],[Qnt Vendida]])</f>
        <v>7.8000000000000114</v>
      </c>
      <c r="K911" s="70">
        <f>Vendas[[#This Row],[Lucro da Venda]]/Vendas[[#This Row],[Valor da Venda]]</f>
        <v>0.10569105691056924</v>
      </c>
      <c r="L911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911"/>
    </row>
    <row r="912" spans="1:13" x14ac:dyDescent="0.3">
      <c r="A912" s="7">
        <v>400244</v>
      </c>
      <c r="B912" t="str">
        <f>_xlfn.XLOOKUP(Vendas[[#This Row],[ID Vendedor]],Vendedores[ID],Vendedores[Nome])</f>
        <v>Camila</v>
      </c>
      <c r="C912" s="7" t="str">
        <f>_xlfn.XLOOKUP(Vendas[[#This Row],[ID Vendedor]],Vendedores[ID],Vendedores[Setor])</f>
        <v>AHD</v>
      </c>
      <c r="D912" s="7" t="s">
        <v>9</v>
      </c>
      <c r="E912" t="str">
        <f>_xlfn.XLOOKUP(Vendas[[#This Row],[ID Item Vendido]],Agregado[ID],Agregado[Produto])</f>
        <v>Barra de aço simples</v>
      </c>
      <c r="F912" s="39">
        <v>44244</v>
      </c>
      <c r="G912" s="7">
        <v>136</v>
      </c>
      <c r="H912" s="3">
        <f>_xlfn.XLOOKUP(Vendas[[#This Row],[ID Item Vendido]],Agregado[ID],Agregado[Revenda])</f>
        <v>6.7</v>
      </c>
      <c r="I912" s="3">
        <f>Vendas[[#This Row],[Valor Unitário]]*Vendas[[#This Row],[Qnt Vendida]]</f>
        <v>911.2</v>
      </c>
      <c r="J912" s="3">
        <f>Vendas[[#This Row],[Valor da Venda]]-(_xlfn.XLOOKUP(Vendas[[#This Row],[ID Item Vendido]],Agregado[ID],Agregado[Custo])*Vendas[[#This Row],[Qnt Vendida]])</f>
        <v>122.40000000000009</v>
      </c>
      <c r="K912" s="70">
        <f>Vendas[[#This Row],[Lucro da Venda]]/Vendas[[#This Row],[Valor da Venda]]</f>
        <v>0.13432835820895531</v>
      </c>
      <c r="L912" s="3">
        <f>_xlfn.IFS(Vendas[[#This Row],[Margem de Lucro (%)]]&lt;15%,Vendas[[#This Row],[Valor da Venda]]*3%,Vendas[[#This Row],[Margem de Lucro (%)]]&lt;=20%,Vendas[[#This Row],[Valor da Venda]]*4.5%,TRUE,Vendas[[#This Row],[Valor da Venda]]*6%)</f>
        <v>27.336000000000002</v>
      </c>
      <c r="M912"/>
    </row>
    <row r="913" spans="1:13" x14ac:dyDescent="0.3">
      <c r="A913" s="7">
        <v>400255</v>
      </c>
      <c r="B913" t="str">
        <f>_xlfn.XLOOKUP(Vendas[[#This Row],[ID Vendedor]],Vendedores[ID],Vendedores[Nome])</f>
        <v>Carlos</v>
      </c>
      <c r="C913" s="7" t="str">
        <f>_xlfn.XLOOKUP(Vendas[[#This Row],[ID Vendedor]],Vendedores[ID],Vendedores[Setor])</f>
        <v>SC</v>
      </c>
      <c r="D913" s="7" t="s">
        <v>42</v>
      </c>
      <c r="E913" t="str">
        <f>_xlfn.XLOOKUP(Vendas[[#This Row],[ID Item Vendido]],Agregado[ID],Agregado[Produto])</f>
        <v>Container de ferro industrial</v>
      </c>
      <c r="F913" s="39">
        <v>44244</v>
      </c>
      <c r="G913" s="7">
        <v>1</v>
      </c>
      <c r="H913" s="3">
        <f>_xlfn.XLOOKUP(Vendas[[#This Row],[ID Item Vendido]],Agregado[ID],Agregado[Revenda])</f>
        <v>830</v>
      </c>
      <c r="I913" s="3">
        <f>Vendas[[#This Row],[Valor Unitário]]*Vendas[[#This Row],[Qnt Vendida]]</f>
        <v>830</v>
      </c>
      <c r="J913" s="3">
        <f>Vendas[[#This Row],[Valor da Venda]]-(_xlfn.XLOOKUP(Vendas[[#This Row],[ID Item Vendido]],Agregado[ID],Agregado[Custo])*Vendas[[#This Row],[Qnt Vendida]])</f>
        <v>150</v>
      </c>
      <c r="K913" s="70">
        <f>Vendas[[#This Row],[Lucro da Venda]]/Vendas[[#This Row],[Valor da Venda]]</f>
        <v>0.18072289156626506</v>
      </c>
      <c r="L913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913"/>
    </row>
    <row r="914" spans="1:13" x14ac:dyDescent="0.3">
      <c r="A914" s="7">
        <v>400255</v>
      </c>
      <c r="B914" t="str">
        <f>_xlfn.XLOOKUP(Vendas[[#This Row],[ID Vendedor]],Vendedores[ID],Vendedores[Nome])</f>
        <v>Carlos</v>
      </c>
      <c r="C914" s="7" t="str">
        <f>_xlfn.XLOOKUP(Vendas[[#This Row],[ID Vendedor]],Vendedores[ID],Vendedores[Setor])</f>
        <v>SC</v>
      </c>
      <c r="D914" s="7" t="s">
        <v>25</v>
      </c>
      <c r="E914" t="str">
        <f>_xlfn.XLOOKUP(Vendas[[#This Row],[ID Item Vendido]],Agregado[ID],Agregado[Produto])</f>
        <v>Palete de plástico</v>
      </c>
      <c r="F914" s="39">
        <v>44244</v>
      </c>
      <c r="G914" s="7">
        <v>9</v>
      </c>
      <c r="H914" s="3">
        <f>_xlfn.XLOOKUP(Vendas[[#This Row],[ID Item Vendido]],Agregado[ID],Agregado[Revenda])</f>
        <v>70.8</v>
      </c>
      <c r="I914" s="3">
        <f>Vendas[[#This Row],[Valor Unitário]]*Vendas[[#This Row],[Qnt Vendida]]</f>
        <v>637.19999999999993</v>
      </c>
      <c r="J914" s="3">
        <f>Vendas[[#This Row],[Valor da Venda]]-(_xlfn.XLOOKUP(Vendas[[#This Row],[ID Item Vendido]],Agregado[ID],Agregado[Custo])*Vendas[[#This Row],[Qnt Vendida]])</f>
        <v>97.199999999999932</v>
      </c>
      <c r="K914" s="70">
        <f>Vendas[[#This Row],[Lucro da Venda]]/Vendas[[#This Row],[Valor da Venda]]</f>
        <v>0.15254237288135583</v>
      </c>
      <c r="L914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914"/>
    </row>
    <row r="915" spans="1:13" x14ac:dyDescent="0.3">
      <c r="A915" s="7">
        <v>400244</v>
      </c>
      <c r="B915" t="str">
        <f>_xlfn.XLOOKUP(Vendas[[#This Row],[ID Vendedor]],Vendedores[ID],Vendedores[Nome])</f>
        <v>Camila</v>
      </c>
      <c r="C915" s="7" t="str">
        <f>_xlfn.XLOOKUP(Vendas[[#This Row],[ID Vendedor]],Vendedores[ID],Vendedores[Setor])</f>
        <v>AHD</v>
      </c>
      <c r="D915" s="7" t="s">
        <v>9</v>
      </c>
      <c r="E915" t="str">
        <f>_xlfn.XLOOKUP(Vendas[[#This Row],[ID Item Vendido]],Agregado[ID],Agregado[Produto])</f>
        <v>Barra de aço simples</v>
      </c>
      <c r="F915" s="39">
        <v>44244</v>
      </c>
      <c r="G915" s="7">
        <v>19</v>
      </c>
      <c r="H915" s="3">
        <f>_xlfn.XLOOKUP(Vendas[[#This Row],[ID Item Vendido]],Agregado[ID],Agregado[Revenda])</f>
        <v>6.7</v>
      </c>
      <c r="I915" s="3">
        <f>Vendas[[#This Row],[Valor Unitário]]*Vendas[[#This Row],[Qnt Vendida]]</f>
        <v>127.3</v>
      </c>
      <c r="J915" s="3">
        <f>Vendas[[#This Row],[Valor da Venda]]-(_xlfn.XLOOKUP(Vendas[[#This Row],[ID Item Vendido]],Agregado[ID],Agregado[Custo])*Vendas[[#This Row],[Qnt Vendida]])</f>
        <v>17.099999999999994</v>
      </c>
      <c r="K915" s="70">
        <f>Vendas[[#This Row],[Lucro da Venda]]/Vendas[[#This Row],[Valor da Venda]]</f>
        <v>0.1343283582089552</v>
      </c>
      <c r="L915" s="3">
        <f>_xlfn.IFS(Vendas[[#This Row],[Margem de Lucro (%)]]&lt;15%,Vendas[[#This Row],[Valor da Venda]]*3%,Vendas[[#This Row],[Margem de Lucro (%)]]&lt;=20%,Vendas[[#This Row],[Valor da Venda]]*4.5%,TRUE,Vendas[[#This Row],[Valor da Venda]]*6%)</f>
        <v>3.819</v>
      </c>
      <c r="M915"/>
    </row>
    <row r="916" spans="1:13" x14ac:dyDescent="0.3">
      <c r="A916" s="7">
        <v>400253</v>
      </c>
      <c r="B916" t="str">
        <f>_xlfn.XLOOKUP(Vendas[[#This Row],[ID Vendedor]],Vendedores[ID],Vendedores[Nome])</f>
        <v>Gustavo</v>
      </c>
      <c r="C916" s="7" t="str">
        <f>_xlfn.XLOOKUP(Vendas[[#This Row],[ID Vendedor]],Vendedores[ID],Vendedores[Setor])</f>
        <v>SC</v>
      </c>
      <c r="D916" s="7" t="s">
        <v>14</v>
      </c>
      <c r="E916" t="str">
        <f>_xlfn.XLOOKUP(Vendas[[#This Row],[ID Item Vendido]],Agregado[ID],Agregado[Produto])</f>
        <v>Barril de plástico 200L</v>
      </c>
      <c r="F916" s="39">
        <v>44245</v>
      </c>
      <c r="G916" s="7">
        <v>18</v>
      </c>
      <c r="H916" s="3">
        <f>_xlfn.XLOOKUP(Vendas[[#This Row],[ID Item Vendido]],Agregado[ID],Agregado[Revenda])</f>
        <v>114</v>
      </c>
      <c r="I916" s="3">
        <f>Vendas[[#This Row],[Valor Unitário]]*Vendas[[#This Row],[Qnt Vendida]]</f>
        <v>2052</v>
      </c>
      <c r="J916" s="3">
        <f>Vendas[[#This Row],[Valor da Venda]]-(_xlfn.XLOOKUP(Vendas[[#This Row],[ID Item Vendido]],Agregado[ID],Agregado[Custo])*Vendas[[#This Row],[Qnt Vendida]])</f>
        <v>342</v>
      </c>
      <c r="K916" s="70">
        <f>Vendas[[#This Row],[Lucro da Venda]]/Vendas[[#This Row],[Valor da Venda]]</f>
        <v>0.16666666666666666</v>
      </c>
      <c r="L916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916"/>
    </row>
    <row r="917" spans="1:13" x14ac:dyDescent="0.3">
      <c r="A917" s="7">
        <v>400253</v>
      </c>
      <c r="B917" t="str">
        <f>_xlfn.XLOOKUP(Vendas[[#This Row],[ID Vendedor]],Vendedores[ID],Vendedores[Nome])</f>
        <v>Gustavo</v>
      </c>
      <c r="C917" s="7" t="str">
        <f>_xlfn.XLOOKUP(Vendas[[#This Row],[ID Vendedor]],Vendedores[ID],Vendedores[Setor])</f>
        <v>SC</v>
      </c>
      <c r="D917" s="7" t="s">
        <v>41</v>
      </c>
      <c r="E917" t="str">
        <f>_xlfn.XLOOKUP(Vendas[[#This Row],[ID Item Vendido]],Agregado[ID],Agregado[Produto])</f>
        <v>Palete de madeira reforçado</v>
      </c>
      <c r="F917" s="39">
        <v>44246</v>
      </c>
      <c r="G917" s="7">
        <v>6</v>
      </c>
      <c r="H917" s="3">
        <f>_xlfn.XLOOKUP(Vendas[[#This Row],[ID Item Vendido]],Agregado[ID],Agregado[Revenda])</f>
        <v>131</v>
      </c>
      <c r="I917" s="3">
        <f>Vendas[[#This Row],[Valor Unitário]]*Vendas[[#This Row],[Qnt Vendida]]</f>
        <v>786</v>
      </c>
      <c r="J917" s="3">
        <f>Vendas[[#This Row],[Valor da Venda]]-(_xlfn.XLOOKUP(Vendas[[#This Row],[ID Item Vendido]],Agregado[ID],Agregado[Custo])*Vendas[[#This Row],[Qnt Vendida]])</f>
        <v>126</v>
      </c>
      <c r="K917" s="70">
        <f>Vendas[[#This Row],[Lucro da Venda]]/Vendas[[#This Row],[Valor da Venda]]</f>
        <v>0.16030534351145037</v>
      </c>
      <c r="L917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917"/>
    </row>
    <row r="918" spans="1:13" x14ac:dyDescent="0.3">
      <c r="A918" s="7">
        <v>400243</v>
      </c>
      <c r="B918" t="str">
        <f>_xlfn.XLOOKUP(Vendas[[#This Row],[ID Vendedor]],Vendedores[ID],Vendedores[Nome])</f>
        <v>Marcelo</v>
      </c>
      <c r="C918" s="7" t="str">
        <f>_xlfn.XLOOKUP(Vendas[[#This Row],[ID Vendedor]],Vendedores[ID],Vendedores[Setor])</f>
        <v>FM</v>
      </c>
      <c r="D918" s="7" t="s">
        <v>47</v>
      </c>
      <c r="E918" t="str">
        <f>_xlfn.XLOOKUP(Vendas[[#This Row],[ID Item Vendido]],Agregado[ID],Agregado[Produto])</f>
        <v>Fio de arame galvanizado rolo 50m</v>
      </c>
      <c r="F918" s="39">
        <v>44246</v>
      </c>
      <c r="G918" s="7">
        <v>36</v>
      </c>
      <c r="H918" s="3">
        <f>_xlfn.XLOOKUP(Vendas[[#This Row],[ID Item Vendido]],Agregado[ID],Agregado[Revenda])</f>
        <v>21.2</v>
      </c>
      <c r="I918" s="3">
        <f>Vendas[[#This Row],[Valor Unitário]]*Vendas[[#This Row],[Qnt Vendida]]</f>
        <v>763.19999999999993</v>
      </c>
      <c r="J918" s="3">
        <f>Vendas[[#This Row],[Valor da Venda]]-(_xlfn.XLOOKUP(Vendas[[#This Row],[ID Item Vendido]],Agregado[ID],Agregado[Custo])*Vendas[[#This Row],[Qnt Vendida]])</f>
        <v>115.19999999999993</v>
      </c>
      <c r="K918" s="70">
        <f>Vendas[[#This Row],[Lucro da Venda]]/Vendas[[#This Row],[Valor da Venda]]</f>
        <v>0.15094339622641501</v>
      </c>
      <c r="L918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918"/>
    </row>
    <row r="919" spans="1:13" x14ac:dyDescent="0.3">
      <c r="A919" s="7">
        <v>400241</v>
      </c>
      <c r="B919" t="str">
        <f>_xlfn.XLOOKUP(Vendas[[#This Row],[ID Vendedor]],Vendedores[ID],Vendedores[Nome])</f>
        <v>Rodrigo</v>
      </c>
      <c r="C919" s="7" t="str">
        <f>_xlfn.XLOOKUP(Vendas[[#This Row],[ID Vendedor]],Vendedores[ID],Vendedores[Setor])</f>
        <v>FM</v>
      </c>
      <c r="D919" s="7" t="s">
        <v>20</v>
      </c>
      <c r="E919" t="str">
        <f>_xlfn.XLOOKUP(Vendas[[#This Row],[ID Item Vendido]],Agregado[ID],Agregado[Produto])</f>
        <v>Barra de aço simples</v>
      </c>
      <c r="F919" s="39">
        <v>44246</v>
      </c>
      <c r="G919" s="7">
        <v>118</v>
      </c>
      <c r="H919" s="3">
        <f>_xlfn.XLOOKUP(Vendas[[#This Row],[ID Item Vendido]],Agregado[ID],Agregado[Revenda])</f>
        <v>4.8</v>
      </c>
      <c r="I919" s="3">
        <f>Vendas[[#This Row],[Valor Unitário]]*Vendas[[#This Row],[Qnt Vendida]]</f>
        <v>566.4</v>
      </c>
      <c r="J919" s="3">
        <f>Vendas[[#This Row],[Valor da Venda]]-(_xlfn.XLOOKUP(Vendas[[#This Row],[ID Item Vendido]],Agregado[ID],Agregado[Custo])*Vendas[[#This Row],[Qnt Vendida]])</f>
        <v>70.799999999999955</v>
      </c>
      <c r="K919" s="70">
        <f>Vendas[[#This Row],[Lucro da Venda]]/Vendas[[#This Row],[Valor da Venda]]</f>
        <v>0.12499999999999993</v>
      </c>
      <c r="L919" s="3">
        <f>_xlfn.IFS(Vendas[[#This Row],[Margem de Lucro (%)]]&lt;15%,Vendas[[#This Row],[Valor da Venda]]*3%,Vendas[[#This Row],[Margem de Lucro (%)]]&lt;=20%,Vendas[[#This Row],[Valor da Venda]]*4.5%,TRUE,Vendas[[#This Row],[Valor da Venda]]*6%)</f>
        <v>16.991999999999997</v>
      </c>
      <c r="M919"/>
    </row>
    <row r="920" spans="1:13" x14ac:dyDescent="0.3">
      <c r="A920" s="7">
        <v>400247</v>
      </c>
      <c r="B920" t="str">
        <f>_xlfn.XLOOKUP(Vendas[[#This Row],[ID Vendedor]],Vendedores[ID],Vendedores[Nome])</f>
        <v>André</v>
      </c>
      <c r="C920" s="7" t="str">
        <f>_xlfn.XLOOKUP(Vendas[[#This Row],[ID Vendedor]],Vendedores[ID],Vendedores[Setor])</f>
        <v>CM</v>
      </c>
      <c r="D920" s="7" t="s">
        <v>34</v>
      </c>
      <c r="E920" t="str">
        <f>_xlfn.XLOOKUP(Vendas[[#This Row],[ID Item Vendido]],Agregado[ID],Agregado[Produto])</f>
        <v>Restos de madeira p/ MDP/OSB saco de 20kg</v>
      </c>
      <c r="F920" s="39">
        <v>44247</v>
      </c>
      <c r="G920" s="7">
        <v>19</v>
      </c>
      <c r="H920" s="3">
        <f>_xlfn.XLOOKUP(Vendas[[#This Row],[ID Item Vendido]],Agregado[ID],Agregado[Revenda])</f>
        <v>13.8</v>
      </c>
      <c r="I920" s="3">
        <f>Vendas[[#This Row],[Valor Unitário]]*Vendas[[#This Row],[Qnt Vendida]]</f>
        <v>262.2</v>
      </c>
      <c r="J920" s="3">
        <f>Vendas[[#This Row],[Valor da Venda]]-(_xlfn.XLOOKUP(Vendas[[#This Row],[ID Item Vendido]],Agregado[ID],Agregado[Custo])*Vendas[[#This Row],[Qnt Vendida]])</f>
        <v>34.199999999999989</v>
      </c>
      <c r="K920" s="70">
        <f>Vendas[[#This Row],[Lucro da Venda]]/Vendas[[#This Row],[Valor da Venda]]</f>
        <v>0.13043478260869562</v>
      </c>
      <c r="L920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920"/>
    </row>
    <row r="921" spans="1:13" x14ac:dyDescent="0.3">
      <c r="A921" s="7">
        <v>400251</v>
      </c>
      <c r="B921" t="str">
        <f>_xlfn.XLOOKUP(Vendas[[#This Row],[ID Vendedor]],Vendedores[ID],Vendedores[Nome])</f>
        <v>Diego</v>
      </c>
      <c r="C921" s="7" t="str">
        <f>_xlfn.XLOOKUP(Vendas[[#This Row],[ID Vendedor]],Vendedores[ID],Vendedores[Setor])</f>
        <v>AB</v>
      </c>
      <c r="D921" s="7" t="s">
        <v>12</v>
      </c>
      <c r="E921" t="str">
        <f>_xlfn.XLOOKUP(Vendas[[#This Row],[ID Item Vendido]],Agregado[ID],Agregado[Produto])</f>
        <v>Grânulo de plástico reciclado refinado</v>
      </c>
      <c r="F921" s="39">
        <v>44248</v>
      </c>
      <c r="G921" s="7">
        <v>149</v>
      </c>
      <c r="H921" s="3">
        <f>_xlfn.XLOOKUP(Vendas[[#This Row],[ID Item Vendido]],Agregado[ID],Agregado[Revenda])</f>
        <v>4.7</v>
      </c>
      <c r="I921" s="3">
        <f>Vendas[[#This Row],[Valor Unitário]]*Vendas[[#This Row],[Qnt Vendida]]</f>
        <v>700.30000000000007</v>
      </c>
      <c r="J921" s="3">
        <f>Vendas[[#This Row],[Valor da Venda]]-(_xlfn.XLOOKUP(Vendas[[#This Row],[ID Item Vendido]],Agregado[ID],Agregado[Custo])*Vendas[[#This Row],[Qnt Vendida]])</f>
        <v>178.80000000000007</v>
      </c>
      <c r="K921" s="70">
        <f>Vendas[[#This Row],[Lucro da Venda]]/Vendas[[#This Row],[Valor da Venda]]</f>
        <v>0.2553191489361703</v>
      </c>
      <c r="L921" s="3">
        <f>_xlfn.IFS(Vendas[[#This Row],[Margem de Lucro (%)]]&lt;15%,Vendas[[#This Row],[Valor da Venda]]*3%,Vendas[[#This Row],[Margem de Lucro (%)]]&lt;=20%,Vendas[[#This Row],[Valor da Venda]]*4.5%,TRUE,Vendas[[#This Row],[Valor da Venda]]*6%)</f>
        <v>42.018000000000001</v>
      </c>
      <c r="M921"/>
    </row>
    <row r="922" spans="1:13" x14ac:dyDescent="0.3">
      <c r="A922" s="7">
        <v>400245</v>
      </c>
      <c r="B922" t="str">
        <f>_xlfn.XLOOKUP(Vendas[[#This Row],[ID Vendedor]],Vendedores[ID],Vendedores[Nome])</f>
        <v>Thiago</v>
      </c>
      <c r="C922" s="7" t="str">
        <f>_xlfn.XLOOKUP(Vendas[[#This Row],[ID Vendedor]],Vendedores[ID],Vendedores[Setor])</f>
        <v>AHD</v>
      </c>
      <c r="D922" s="7" t="s">
        <v>44</v>
      </c>
      <c r="E922" t="str">
        <f>_xlfn.XLOOKUP(Vendas[[#This Row],[ID Item Vendido]],Agregado[ID],Agregado[Produto])</f>
        <v>Liga metálica especial</v>
      </c>
      <c r="F922" s="39">
        <v>44248</v>
      </c>
      <c r="G922" s="7">
        <v>16</v>
      </c>
      <c r="H922" s="3">
        <f>_xlfn.XLOOKUP(Vendas[[#This Row],[ID Item Vendido]],Agregado[ID],Agregado[Revenda])</f>
        <v>32.5</v>
      </c>
      <c r="I922" s="3">
        <f>Vendas[[#This Row],[Valor Unitário]]*Vendas[[#This Row],[Qnt Vendida]]</f>
        <v>520</v>
      </c>
      <c r="J922" s="3">
        <f>Vendas[[#This Row],[Valor da Venda]]-(_xlfn.XLOOKUP(Vendas[[#This Row],[ID Item Vendido]],Agregado[ID],Agregado[Custo])*Vendas[[#This Row],[Qnt Vendida]])</f>
        <v>120</v>
      </c>
      <c r="K922" s="70">
        <f>Vendas[[#This Row],[Lucro da Venda]]/Vendas[[#This Row],[Valor da Venda]]</f>
        <v>0.23076923076923078</v>
      </c>
      <c r="L922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922"/>
    </row>
    <row r="923" spans="1:13" x14ac:dyDescent="0.3">
      <c r="A923" s="7">
        <v>400253</v>
      </c>
      <c r="B923" t="str">
        <f>_xlfn.XLOOKUP(Vendas[[#This Row],[ID Vendedor]],Vendedores[ID],Vendedores[Nome])</f>
        <v>Gustavo</v>
      </c>
      <c r="C923" s="7" t="str">
        <f>_xlfn.XLOOKUP(Vendas[[#This Row],[ID Vendedor]],Vendedores[ID],Vendedores[Setor])</f>
        <v>SC</v>
      </c>
      <c r="D923" s="7" t="s">
        <v>42</v>
      </c>
      <c r="E923" t="str">
        <f>_xlfn.XLOOKUP(Vendas[[#This Row],[ID Item Vendido]],Agregado[ID],Agregado[Produto])</f>
        <v>Container de ferro industrial</v>
      </c>
      <c r="F923" s="39">
        <v>44249</v>
      </c>
      <c r="G923" s="7">
        <v>1</v>
      </c>
      <c r="H923" s="3">
        <f>_xlfn.XLOOKUP(Vendas[[#This Row],[ID Item Vendido]],Agregado[ID],Agregado[Revenda])</f>
        <v>830</v>
      </c>
      <c r="I923" s="3">
        <f>Vendas[[#This Row],[Valor Unitário]]*Vendas[[#This Row],[Qnt Vendida]]</f>
        <v>830</v>
      </c>
      <c r="J923" s="3">
        <f>Vendas[[#This Row],[Valor da Venda]]-(_xlfn.XLOOKUP(Vendas[[#This Row],[ID Item Vendido]],Agregado[ID],Agregado[Custo])*Vendas[[#This Row],[Qnt Vendida]])</f>
        <v>150</v>
      </c>
      <c r="K923" s="70">
        <f>Vendas[[#This Row],[Lucro da Venda]]/Vendas[[#This Row],[Valor da Venda]]</f>
        <v>0.18072289156626506</v>
      </c>
      <c r="L923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923"/>
    </row>
    <row r="924" spans="1:13" x14ac:dyDescent="0.3">
      <c r="A924" s="7">
        <v>400241</v>
      </c>
      <c r="B924" t="str">
        <f>_xlfn.XLOOKUP(Vendas[[#This Row],[ID Vendedor]],Vendedores[ID],Vendedores[Nome])</f>
        <v>Rodrigo</v>
      </c>
      <c r="C924" s="7" t="str">
        <f>_xlfn.XLOOKUP(Vendas[[#This Row],[ID Vendedor]],Vendedores[ID],Vendedores[Setor])</f>
        <v>FM</v>
      </c>
      <c r="D924" s="7" t="s">
        <v>47</v>
      </c>
      <c r="E924" t="str">
        <f>_xlfn.XLOOKUP(Vendas[[#This Row],[ID Item Vendido]],Agregado[ID],Agregado[Produto])</f>
        <v>Fio de arame galvanizado rolo 50m</v>
      </c>
      <c r="F924" s="39">
        <v>44249</v>
      </c>
      <c r="G924" s="7">
        <v>31</v>
      </c>
      <c r="H924" s="3">
        <f>_xlfn.XLOOKUP(Vendas[[#This Row],[ID Item Vendido]],Agregado[ID],Agregado[Revenda])</f>
        <v>21.2</v>
      </c>
      <c r="I924" s="3">
        <f>Vendas[[#This Row],[Valor Unitário]]*Vendas[[#This Row],[Qnt Vendida]]</f>
        <v>657.19999999999993</v>
      </c>
      <c r="J924" s="3">
        <f>Vendas[[#This Row],[Valor da Venda]]-(_xlfn.XLOOKUP(Vendas[[#This Row],[ID Item Vendido]],Agregado[ID],Agregado[Custo])*Vendas[[#This Row],[Qnt Vendida]])</f>
        <v>99.199999999999932</v>
      </c>
      <c r="K924" s="70">
        <f>Vendas[[#This Row],[Lucro da Venda]]/Vendas[[#This Row],[Valor da Venda]]</f>
        <v>0.15094339622641501</v>
      </c>
      <c r="L924" s="3">
        <f>_xlfn.IFS(Vendas[[#This Row],[Margem de Lucro (%)]]&lt;15%,Vendas[[#This Row],[Valor da Venda]]*3%,Vendas[[#This Row],[Margem de Lucro (%)]]&lt;=20%,Vendas[[#This Row],[Valor da Venda]]*4.5%,TRUE,Vendas[[#This Row],[Valor da Venda]]*6%)</f>
        <v>29.573999999999995</v>
      </c>
      <c r="M924"/>
    </row>
    <row r="925" spans="1:13" x14ac:dyDescent="0.3">
      <c r="A925" s="7">
        <v>400251</v>
      </c>
      <c r="B925" t="str">
        <f>_xlfn.XLOOKUP(Vendas[[#This Row],[ID Vendedor]],Vendedores[ID],Vendedores[Nome])</f>
        <v>Diego</v>
      </c>
      <c r="C925" s="7" t="str">
        <f>_xlfn.XLOOKUP(Vendas[[#This Row],[ID Vendedor]],Vendedores[ID],Vendedores[Setor])</f>
        <v>AB</v>
      </c>
      <c r="D925" s="7" t="s">
        <v>37</v>
      </c>
      <c r="E925" t="str">
        <f>_xlfn.XLOOKUP(Vendas[[#This Row],[ID Item Vendido]],Agregado[ID],Agregado[Produto])</f>
        <v>Composto de borracha para vedação rolo 10m</v>
      </c>
      <c r="F925" s="39">
        <v>44249</v>
      </c>
      <c r="G925" s="7">
        <v>7</v>
      </c>
      <c r="H925" s="3">
        <f>_xlfn.XLOOKUP(Vendas[[#This Row],[ID Item Vendido]],Agregado[ID],Agregado[Revenda])</f>
        <v>51.2</v>
      </c>
      <c r="I925" s="3">
        <f>Vendas[[#This Row],[Valor Unitário]]*Vendas[[#This Row],[Qnt Vendida]]</f>
        <v>358.40000000000003</v>
      </c>
      <c r="J925" s="3">
        <f>Vendas[[#This Row],[Valor da Venda]]-(_xlfn.XLOOKUP(Vendas[[#This Row],[ID Item Vendido]],Agregado[ID],Agregado[Custo])*Vendas[[#This Row],[Qnt Vendida]])</f>
        <v>78.400000000000034</v>
      </c>
      <c r="K925" s="70">
        <f>Vendas[[#This Row],[Lucro da Venda]]/Vendas[[#This Row],[Valor da Venda]]</f>
        <v>0.21875000000000008</v>
      </c>
      <c r="L925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925"/>
    </row>
    <row r="926" spans="1:13" x14ac:dyDescent="0.3">
      <c r="A926" s="7">
        <v>400253</v>
      </c>
      <c r="B926" t="str">
        <f>_xlfn.XLOOKUP(Vendas[[#This Row],[ID Vendedor]],Vendedores[ID],Vendedores[Nome])</f>
        <v>Gustavo</v>
      </c>
      <c r="C926" s="7" t="str">
        <f>_xlfn.XLOOKUP(Vendas[[#This Row],[ID Vendedor]],Vendedores[ID],Vendedores[Setor])</f>
        <v>SC</v>
      </c>
      <c r="D926" s="7" t="s">
        <v>42</v>
      </c>
      <c r="E926" t="str">
        <f>_xlfn.XLOOKUP(Vendas[[#This Row],[ID Item Vendido]],Agregado[ID],Agregado[Produto])</f>
        <v>Container de ferro industrial</v>
      </c>
      <c r="F926" s="39">
        <v>44250</v>
      </c>
      <c r="G926" s="7">
        <v>4</v>
      </c>
      <c r="H926" s="3">
        <f>_xlfn.XLOOKUP(Vendas[[#This Row],[ID Item Vendido]],Agregado[ID],Agregado[Revenda])</f>
        <v>830</v>
      </c>
      <c r="I926" s="3">
        <f>Vendas[[#This Row],[Valor Unitário]]*Vendas[[#This Row],[Qnt Vendida]]</f>
        <v>3320</v>
      </c>
      <c r="J926" s="3">
        <f>Vendas[[#This Row],[Valor da Venda]]-(_xlfn.XLOOKUP(Vendas[[#This Row],[ID Item Vendido]],Agregado[ID],Agregado[Custo])*Vendas[[#This Row],[Qnt Vendida]])</f>
        <v>600</v>
      </c>
      <c r="K926" s="70">
        <f>Vendas[[#This Row],[Lucro da Venda]]/Vendas[[#This Row],[Valor da Venda]]</f>
        <v>0.18072289156626506</v>
      </c>
      <c r="L926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926"/>
    </row>
    <row r="927" spans="1:13" x14ac:dyDescent="0.3">
      <c r="A927" s="7">
        <v>400255</v>
      </c>
      <c r="B927" t="str">
        <f>_xlfn.XLOOKUP(Vendas[[#This Row],[ID Vendedor]],Vendedores[ID],Vendedores[Nome])</f>
        <v>Carlos</v>
      </c>
      <c r="C927" s="7" t="str">
        <f>_xlfn.XLOOKUP(Vendas[[#This Row],[ID Vendedor]],Vendedores[ID],Vendedores[Setor])</f>
        <v>SC</v>
      </c>
      <c r="D927" s="7" t="s">
        <v>42</v>
      </c>
      <c r="E927" t="str">
        <f>_xlfn.XLOOKUP(Vendas[[#This Row],[ID Item Vendido]],Agregado[ID],Agregado[Produto])</f>
        <v>Container de ferro industrial</v>
      </c>
      <c r="F927" s="39">
        <v>44250</v>
      </c>
      <c r="G927" s="7">
        <v>1</v>
      </c>
      <c r="H927" s="3">
        <f>_xlfn.XLOOKUP(Vendas[[#This Row],[ID Item Vendido]],Agregado[ID],Agregado[Revenda])</f>
        <v>830</v>
      </c>
      <c r="I927" s="3">
        <f>Vendas[[#This Row],[Valor Unitário]]*Vendas[[#This Row],[Qnt Vendida]]</f>
        <v>830</v>
      </c>
      <c r="J927" s="3">
        <f>Vendas[[#This Row],[Valor da Venda]]-(_xlfn.XLOOKUP(Vendas[[#This Row],[ID Item Vendido]],Agregado[ID],Agregado[Custo])*Vendas[[#This Row],[Qnt Vendida]])</f>
        <v>150</v>
      </c>
      <c r="K927" s="70">
        <f>Vendas[[#This Row],[Lucro da Venda]]/Vendas[[#This Row],[Valor da Venda]]</f>
        <v>0.18072289156626506</v>
      </c>
      <c r="L927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927"/>
    </row>
    <row r="928" spans="1:13" x14ac:dyDescent="0.3">
      <c r="A928" s="7">
        <v>400244</v>
      </c>
      <c r="B928" t="str">
        <f>_xlfn.XLOOKUP(Vendas[[#This Row],[ID Vendedor]],Vendedores[ID],Vendedores[Nome])</f>
        <v>Camila</v>
      </c>
      <c r="C928" s="7" t="str">
        <f>_xlfn.XLOOKUP(Vendas[[#This Row],[ID Vendedor]],Vendedores[ID],Vendedores[Setor])</f>
        <v>AHD</v>
      </c>
      <c r="D928" s="7" t="s">
        <v>18</v>
      </c>
      <c r="E928" t="str">
        <f>_xlfn.XLOOKUP(Vendas[[#This Row],[ID Item Vendido]],Agregado[ID],Agregado[Produto])</f>
        <v>Peça forjada sob encomenda</v>
      </c>
      <c r="F928" s="39">
        <v>44252</v>
      </c>
      <c r="G928" s="7">
        <v>3</v>
      </c>
      <c r="H928" s="3">
        <f>_xlfn.XLOOKUP(Vendas[[#This Row],[ID Item Vendido]],Agregado[ID],Agregado[Revenda])</f>
        <v>264.60000000000002</v>
      </c>
      <c r="I928" s="3">
        <f>Vendas[[#This Row],[Valor Unitário]]*Vendas[[#This Row],[Qnt Vendida]]</f>
        <v>793.80000000000007</v>
      </c>
      <c r="J928" s="3">
        <f>Vendas[[#This Row],[Valor da Venda]]-(_xlfn.XLOOKUP(Vendas[[#This Row],[ID Item Vendido]],Agregado[ID],Agregado[Custo])*Vendas[[#This Row],[Qnt Vendida]])</f>
        <v>43.800000000000068</v>
      </c>
      <c r="K928" s="70">
        <f>Vendas[[#This Row],[Lucro da Venda]]/Vendas[[#This Row],[Valor da Venda]]</f>
        <v>5.5177626606198113E-2</v>
      </c>
      <c r="L928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928"/>
    </row>
    <row r="929" spans="1:13" x14ac:dyDescent="0.3">
      <c r="A929" s="7">
        <v>400249</v>
      </c>
      <c r="B929" t="str">
        <f>_xlfn.XLOOKUP(Vendas[[#This Row],[ID Vendedor]],Vendedores[ID],Vendedores[Nome])</f>
        <v>Bruno</v>
      </c>
      <c r="C929" s="7" t="str">
        <f>_xlfn.XLOOKUP(Vendas[[#This Row],[ID Vendedor]],Vendedores[ID],Vendedores[Setor])</f>
        <v>CM</v>
      </c>
      <c r="D929" s="7" t="s">
        <v>22</v>
      </c>
      <c r="E929" t="str">
        <f>_xlfn.XLOOKUP(Vendas[[#This Row],[ID Item Vendido]],Agregado[ID],Agregado[Produto])</f>
        <v>Painel MDP 2,75x1,83m</v>
      </c>
      <c r="F929" s="39">
        <v>44252</v>
      </c>
      <c r="G929" s="7">
        <v>2</v>
      </c>
      <c r="H929" s="3">
        <f>_xlfn.XLOOKUP(Vendas[[#This Row],[ID Item Vendido]],Agregado[ID],Agregado[Revenda])</f>
        <v>119</v>
      </c>
      <c r="I929" s="3">
        <f>Vendas[[#This Row],[Valor Unitário]]*Vendas[[#This Row],[Qnt Vendida]]</f>
        <v>238</v>
      </c>
      <c r="J929" s="3">
        <f>Vendas[[#This Row],[Valor da Venda]]-(_xlfn.XLOOKUP(Vendas[[#This Row],[ID Item Vendido]],Agregado[ID],Agregado[Custo])*Vendas[[#This Row],[Qnt Vendida]])</f>
        <v>48</v>
      </c>
      <c r="K929" s="70">
        <f>Vendas[[#This Row],[Lucro da Venda]]/Vendas[[#This Row],[Valor da Venda]]</f>
        <v>0.20168067226890757</v>
      </c>
      <c r="L929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929"/>
    </row>
    <row r="930" spans="1:13" x14ac:dyDescent="0.3">
      <c r="A930" s="7">
        <v>400251</v>
      </c>
      <c r="B930" t="str">
        <f>_xlfn.XLOOKUP(Vendas[[#This Row],[ID Vendedor]],Vendedores[ID],Vendedores[Nome])</f>
        <v>Diego</v>
      </c>
      <c r="C930" s="7" t="str">
        <f>_xlfn.XLOOKUP(Vendas[[#This Row],[ID Vendedor]],Vendedores[ID],Vendedores[Setor])</f>
        <v>AB</v>
      </c>
      <c r="D930" s="7" t="s">
        <v>36</v>
      </c>
      <c r="E930" t="str">
        <f>_xlfn.XLOOKUP(Vendas[[#This Row],[ID Item Vendido]],Agregado[ID],Agregado[Produto])</f>
        <v>Borracha vulcanizada em manta</v>
      </c>
      <c r="F930" s="39">
        <v>44252</v>
      </c>
      <c r="G930" s="7">
        <v>29</v>
      </c>
      <c r="H930" s="3">
        <f>_xlfn.XLOOKUP(Vendas[[#This Row],[ID Item Vendido]],Agregado[ID],Agregado[Revenda])</f>
        <v>7.8</v>
      </c>
      <c r="I930" s="3">
        <f>Vendas[[#This Row],[Valor Unitário]]*Vendas[[#This Row],[Qnt Vendida]]</f>
        <v>226.2</v>
      </c>
      <c r="J930" s="3">
        <f>Vendas[[#This Row],[Valor da Venda]]-(_xlfn.XLOOKUP(Vendas[[#This Row],[ID Item Vendido]],Agregado[ID],Agregado[Custo])*Vendas[[#This Row],[Qnt Vendida]])</f>
        <v>52.199999999999989</v>
      </c>
      <c r="K930" s="70">
        <f>Vendas[[#This Row],[Lucro da Venda]]/Vendas[[#This Row],[Valor da Venda]]</f>
        <v>0.23076923076923073</v>
      </c>
      <c r="L930" s="3">
        <f>_xlfn.IFS(Vendas[[#This Row],[Margem de Lucro (%)]]&lt;15%,Vendas[[#This Row],[Valor da Venda]]*3%,Vendas[[#This Row],[Margem de Lucro (%)]]&lt;=20%,Vendas[[#This Row],[Valor da Venda]]*4.5%,TRUE,Vendas[[#This Row],[Valor da Venda]]*6%)</f>
        <v>13.571999999999999</v>
      </c>
      <c r="M930"/>
    </row>
    <row r="931" spans="1:13" x14ac:dyDescent="0.3">
      <c r="A931" s="7">
        <v>400243</v>
      </c>
      <c r="B931" t="str">
        <f>_xlfn.XLOOKUP(Vendas[[#This Row],[ID Vendedor]],Vendedores[ID],Vendedores[Nome])</f>
        <v>Marcelo</v>
      </c>
      <c r="C931" s="7" t="str">
        <f>_xlfn.XLOOKUP(Vendas[[#This Row],[ID Vendedor]],Vendedores[ID],Vendedores[Setor])</f>
        <v>FM</v>
      </c>
      <c r="D931" s="7" t="s">
        <v>6</v>
      </c>
      <c r="E931" t="str">
        <f>_xlfn.XLOOKUP(Vendas[[#This Row],[ID Item Vendido]],Agregado[ID],Agregado[Produto])</f>
        <v>Parafuso comum 500un</v>
      </c>
      <c r="F931" s="39">
        <v>44252</v>
      </c>
      <c r="G931" s="7">
        <v>9</v>
      </c>
      <c r="H931" s="3">
        <f>_xlfn.XLOOKUP(Vendas[[#This Row],[ID Item Vendido]],Agregado[ID],Agregado[Revenda])</f>
        <v>24.6</v>
      </c>
      <c r="I931" s="3">
        <f>Vendas[[#This Row],[Valor Unitário]]*Vendas[[#This Row],[Qnt Vendida]]</f>
        <v>221.4</v>
      </c>
      <c r="J931" s="3">
        <f>Vendas[[#This Row],[Valor da Venda]]-(_xlfn.XLOOKUP(Vendas[[#This Row],[ID Item Vendido]],Agregado[ID],Agregado[Custo])*Vendas[[#This Row],[Qnt Vendida]])</f>
        <v>23.400000000000006</v>
      </c>
      <c r="K931" s="70">
        <f>Vendas[[#This Row],[Lucro da Venda]]/Vendas[[#This Row],[Valor da Venda]]</f>
        <v>0.10569105691056913</v>
      </c>
      <c r="L931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931"/>
    </row>
    <row r="932" spans="1:13" x14ac:dyDescent="0.3">
      <c r="A932" s="7">
        <v>400243</v>
      </c>
      <c r="B932" t="str">
        <f>_xlfn.XLOOKUP(Vendas[[#This Row],[ID Vendedor]],Vendedores[ID],Vendedores[Nome])</f>
        <v>Marcelo</v>
      </c>
      <c r="C932" s="7" t="str">
        <f>_xlfn.XLOOKUP(Vendas[[#This Row],[ID Vendedor]],Vendedores[ID],Vendedores[Setor])</f>
        <v>FM</v>
      </c>
      <c r="D932" s="7" t="s">
        <v>20</v>
      </c>
      <c r="E932" t="str">
        <f>_xlfn.XLOOKUP(Vendas[[#This Row],[ID Item Vendido]],Agregado[ID],Agregado[Produto])</f>
        <v>Barra de aço simples</v>
      </c>
      <c r="F932" s="39">
        <v>44253</v>
      </c>
      <c r="G932" s="7">
        <v>76</v>
      </c>
      <c r="H932" s="3">
        <f>_xlfn.XLOOKUP(Vendas[[#This Row],[ID Item Vendido]],Agregado[ID],Agregado[Revenda])</f>
        <v>4.8</v>
      </c>
      <c r="I932" s="3">
        <f>Vendas[[#This Row],[Valor Unitário]]*Vendas[[#This Row],[Qnt Vendida]]</f>
        <v>364.8</v>
      </c>
      <c r="J932" s="3">
        <f>Vendas[[#This Row],[Valor da Venda]]-(_xlfn.XLOOKUP(Vendas[[#This Row],[ID Item Vendido]],Agregado[ID],Agregado[Custo])*Vendas[[#This Row],[Qnt Vendida]])</f>
        <v>45.600000000000023</v>
      </c>
      <c r="K932" s="70">
        <f>Vendas[[#This Row],[Lucro da Venda]]/Vendas[[#This Row],[Valor da Venda]]</f>
        <v>0.12500000000000006</v>
      </c>
      <c r="L932" s="3">
        <f>_xlfn.IFS(Vendas[[#This Row],[Margem de Lucro (%)]]&lt;15%,Vendas[[#This Row],[Valor da Venda]]*3%,Vendas[[#This Row],[Margem de Lucro (%)]]&lt;=20%,Vendas[[#This Row],[Valor da Venda]]*4.5%,TRUE,Vendas[[#This Row],[Valor da Venda]]*6%)</f>
        <v>10.943999999999999</v>
      </c>
      <c r="M932"/>
    </row>
    <row r="933" spans="1:13" x14ac:dyDescent="0.3">
      <c r="A933" s="7">
        <v>400244</v>
      </c>
      <c r="B933" t="str">
        <f>_xlfn.XLOOKUP(Vendas[[#This Row],[ID Vendedor]],Vendedores[ID],Vendedores[Nome])</f>
        <v>Camila</v>
      </c>
      <c r="C933" s="7" t="str">
        <f>_xlfn.XLOOKUP(Vendas[[#This Row],[ID Vendedor]],Vendedores[ID],Vendedores[Setor])</f>
        <v>AHD</v>
      </c>
      <c r="D933" s="7" t="s">
        <v>44</v>
      </c>
      <c r="E933" t="str">
        <f>_xlfn.XLOOKUP(Vendas[[#This Row],[ID Item Vendido]],Agregado[ID],Agregado[Produto])</f>
        <v>Liga metálica especial</v>
      </c>
      <c r="F933" s="39">
        <v>44254</v>
      </c>
      <c r="G933" s="7">
        <v>55</v>
      </c>
      <c r="H933" s="3">
        <f>_xlfn.XLOOKUP(Vendas[[#This Row],[ID Item Vendido]],Agregado[ID],Agregado[Revenda])</f>
        <v>32.5</v>
      </c>
      <c r="I933" s="3">
        <f>Vendas[[#This Row],[Valor Unitário]]*Vendas[[#This Row],[Qnt Vendida]]</f>
        <v>1787.5</v>
      </c>
      <c r="J933" s="3">
        <f>Vendas[[#This Row],[Valor da Venda]]-(_xlfn.XLOOKUP(Vendas[[#This Row],[ID Item Vendido]],Agregado[ID],Agregado[Custo])*Vendas[[#This Row],[Qnt Vendida]])</f>
        <v>412.5</v>
      </c>
      <c r="K933" s="70">
        <f>Vendas[[#This Row],[Lucro da Venda]]/Vendas[[#This Row],[Valor da Venda]]</f>
        <v>0.23076923076923078</v>
      </c>
      <c r="L933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933"/>
    </row>
    <row r="934" spans="1:13" x14ac:dyDescent="0.3">
      <c r="A934" s="7">
        <v>400245</v>
      </c>
      <c r="B934" t="str">
        <f>_xlfn.XLOOKUP(Vendas[[#This Row],[ID Vendedor]],Vendedores[ID],Vendedores[Nome])</f>
        <v>Thiago</v>
      </c>
      <c r="C934" s="7" t="str">
        <f>_xlfn.XLOOKUP(Vendas[[#This Row],[ID Vendedor]],Vendedores[ID],Vendedores[Setor])</f>
        <v>AHD</v>
      </c>
      <c r="D934" s="7" t="s">
        <v>18</v>
      </c>
      <c r="E934" t="str">
        <f>_xlfn.XLOOKUP(Vendas[[#This Row],[ID Item Vendido]],Agregado[ID],Agregado[Produto])</f>
        <v>Peça forjada sob encomenda</v>
      </c>
      <c r="F934" s="39">
        <v>44255</v>
      </c>
      <c r="G934" s="7">
        <v>6</v>
      </c>
      <c r="H934" s="3">
        <f>_xlfn.XLOOKUP(Vendas[[#This Row],[ID Item Vendido]],Agregado[ID],Agregado[Revenda])</f>
        <v>264.60000000000002</v>
      </c>
      <c r="I934" s="3">
        <f>Vendas[[#This Row],[Valor Unitário]]*Vendas[[#This Row],[Qnt Vendida]]</f>
        <v>1587.6000000000001</v>
      </c>
      <c r="J934" s="3">
        <f>Vendas[[#This Row],[Valor da Venda]]-(_xlfn.XLOOKUP(Vendas[[#This Row],[ID Item Vendido]],Agregado[ID],Agregado[Custo])*Vendas[[#This Row],[Qnt Vendida]])</f>
        <v>87.600000000000136</v>
      </c>
      <c r="K934" s="70">
        <f>Vendas[[#This Row],[Lucro da Venda]]/Vendas[[#This Row],[Valor da Venda]]</f>
        <v>5.5177626606198113E-2</v>
      </c>
      <c r="L934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934"/>
    </row>
    <row r="935" spans="1:13" x14ac:dyDescent="0.3">
      <c r="A935" s="7">
        <v>400255</v>
      </c>
      <c r="B935" t="str">
        <f>_xlfn.XLOOKUP(Vendas[[#This Row],[ID Vendedor]],Vendedores[ID],Vendedores[Nome])</f>
        <v>Carlos</v>
      </c>
      <c r="C935" s="7" t="str">
        <f>_xlfn.XLOOKUP(Vendas[[#This Row],[ID Vendedor]],Vendedores[ID],Vendedores[Setor])</f>
        <v>SC</v>
      </c>
      <c r="D935" s="7" t="s">
        <v>14</v>
      </c>
      <c r="E935" t="str">
        <f>_xlfn.XLOOKUP(Vendas[[#This Row],[ID Item Vendido]],Agregado[ID],Agregado[Produto])</f>
        <v>Barril de plástico 200L</v>
      </c>
      <c r="F935" s="39">
        <v>44255</v>
      </c>
      <c r="G935" s="7">
        <v>11</v>
      </c>
      <c r="H935" s="3">
        <f>_xlfn.XLOOKUP(Vendas[[#This Row],[ID Item Vendido]],Agregado[ID],Agregado[Revenda])</f>
        <v>114</v>
      </c>
      <c r="I935" s="3">
        <f>Vendas[[#This Row],[Valor Unitário]]*Vendas[[#This Row],[Qnt Vendida]]</f>
        <v>1254</v>
      </c>
      <c r="J935" s="3">
        <f>Vendas[[#This Row],[Valor da Venda]]-(_xlfn.XLOOKUP(Vendas[[#This Row],[ID Item Vendido]],Agregado[ID],Agregado[Custo])*Vendas[[#This Row],[Qnt Vendida]])</f>
        <v>209</v>
      </c>
      <c r="K935" s="70">
        <f>Vendas[[#This Row],[Lucro da Venda]]/Vendas[[#This Row],[Valor da Venda]]</f>
        <v>0.16666666666666666</v>
      </c>
      <c r="L93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935"/>
    </row>
    <row r="936" spans="1:13" x14ac:dyDescent="0.3">
      <c r="A936" s="7">
        <v>400253</v>
      </c>
      <c r="B936" t="str">
        <f>_xlfn.XLOOKUP(Vendas[[#This Row],[ID Vendedor]],Vendedores[ID],Vendedores[Nome])</f>
        <v>Gustavo</v>
      </c>
      <c r="C936" s="7" t="str">
        <f>_xlfn.XLOOKUP(Vendas[[#This Row],[ID Vendedor]],Vendedores[ID],Vendedores[Setor])</f>
        <v>SC</v>
      </c>
      <c r="D936" s="7" t="s">
        <v>48</v>
      </c>
      <c r="E936" t="str">
        <f>_xlfn.XLOOKUP(Vendas[[#This Row],[ID Item Vendido]],Agregado[ID],Agregado[Produto])</f>
        <v>Tambor metálico 200L</v>
      </c>
      <c r="F936" s="39">
        <v>44256</v>
      </c>
      <c r="G936" s="7">
        <v>17</v>
      </c>
      <c r="H936" s="3">
        <f>_xlfn.XLOOKUP(Vendas[[#This Row],[ID Item Vendido]],Agregado[ID],Agregado[Revenda])</f>
        <v>144</v>
      </c>
      <c r="I936" s="3">
        <f>Vendas[[#This Row],[Valor Unitário]]*Vendas[[#This Row],[Qnt Vendida]]</f>
        <v>2448</v>
      </c>
      <c r="J936" s="3">
        <f>Vendas[[#This Row],[Valor da Venda]]-(_xlfn.XLOOKUP(Vendas[[#This Row],[ID Item Vendido]],Agregado[ID],Agregado[Custo])*Vendas[[#This Row],[Qnt Vendida]])</f>
        <v>408</v>
      </c>
      <c r="K936" s="70">
        <f>Vendas[[#This Row],[Lucro da Venda]]/Vendas[[#This Row],[Valor da Venda]]</f>
        <v>0.16666666666666666</v>
      </c>
      <c r="L936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936"/>
    </row>
    <row r="937" spans="1:13" x14ac:dyDescent="0.3">
      <c r="A937" s="7">
        <v>400251</v>
      </c>
      <c r="B937" t="str">
        <f>_xlfn.XLOOKUP(Vendas[[#This Row],[ID Vendedor]],Vendedores[ID],Vendedores[Nome])</f>
        <v>Diego</v>
      </c>
      <c r="C937" s="7" t="str">
        <f>_xlfn.XLOOKUP(Vendas[[#This Row],[ID Vendedor]],Vendedores[ID],Vendedores[Setor])</f>
        <v>AB</v>
      </c>
      <c r="D937" s="7" t="s">
        <v>39</v>
      </c>
      <c r="E937" t="str">
        <f>_xlfn.XLOOKUP(Vendas[[#This Row],[ID Item Vendido]],Agregado[ID],Agregado[Produto])</f>
        <v>Filme plástico industrial rolo 50m</v>
      </c>
      <c r="F937" s="39">
        <v>44256</v>
      </c>
      <c r="G937" s="7">
        <v>20</v>
      </c>
      <c r="H937" s="3">
        <f>_xlfn.XLOOKUP(Vendas[[#This Row],[ID Item Vendido]],Agregado[ID],Agregado[Revenda])</f>
        <v>37</v>
      </c>
      <c r="I937" s="3">
        <f>Vendas[[#This Row],[Valor Unitário]]*Vendas[[#This Row],[Qnt Vendida]]</f>
        <v>740</v>
      </c>
      <c r="J937" s="3">
        <f>Vendas[[#This Row],[Valor da Venda]]-(_xlfn.XLOOKUP(Vendas[[#This Row],[ID Item Vendido]],Agregado[ID],Agregado[Custo])*Vendas[[#This Row],[Qnt Vendida]])</f>
        <v>180</v>
      </c>
      <c r="K937" s="70">
        <f>Vendas[[#This Row],[Lucro da Venda]]/Vendas[[#This Row],[Valor da Venda]]</f>
        <v>0.24324324324324326</v>
      </c>
      <c r="L937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937"/>
    </row>
    <row r="938" spans="1:13" x14ac:dyDescent="0.3">
      <c r="A938" s="7">
        <v>400249</v>
      </c>
      <c r="B938" t="str">
        <f>_xlfn.XLOOKUP(Vendas[[#This Row],[ID Vendedor]],Vendedores[ID],Vendedores[Nome])</f>
        <v>Bruno</v>
      </c>
      <c r="C938" s="7" t="str">
        <f>_xlfn.XLOOKUP(Vendas[[#This Row],[ID Vendedor]],Vendedores[ID],Vendedores[Setor])</f>
        <v>CM</v>
      </c>
      <c r="D938" s="7" t="s">
        <v>34</v>
      </c>
      <c r="E938" t="str">
        <f>_xlfn.XLOOKUP(Vendas[[#This Row],[ID Item Vendido]],Agregado[ID],Agregado[Produto])</f>
        <v>Restos de madeira p/ MDP/OSB saco de 20kg</v>
      </c>
      <c r="F938" s="39">
        <v>44256</v>
      </c>
      <c r="G938" s="7">
        <v>23</v>
      </c>
      <c r="H938" s="3">
        <f>_xlfn.XLOOKUP(Vendas[[#This Row],[ID Item Vendido]],Agregado[ID],Agregado[Revenda])</f>
        <v>13.8</v>
      </c>
      <c r="I938" s="3">
        <f>Vendas[[#This Row],[Valor Unitário]]*Vendas[[#This Row],[Qnt Vendida]]</f>
        <v>317.40000000000003</v>
      </c>
      <c r="J938" s="3">
        <f>Vendas[[#This Row],[Valor da Venda]]-(_xlfn.XLOOKUP(Vendas[[#This Row],[ID Item Vendido]],Agregado[ID],Agregado[Custo])*Vendas[[#This Row],[Qnt Vendida]])</f>
        <v>41.400000000000034</v>
      </c>
      <c r="K938" s="70">
        <f>Vendas[[#This Row],[Lucro da Venda]]/Vendas[[#This Row],[Valor da Venda]]</f>
        <v>0.13043478260869573</v>
      </c>
      <c r="L938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938"/>
    </row>
    <row r="939" spans="1:13" x14ac:dyDescent="0.3">
      <c r="A939" s="7">
        <v>400243</v>
      </c>
      <c r="B939" t="str">
        <f>_xlfn.XLOOKUP(Vendas[[#This Row],[ID Vendedor]],Vendedores[ID],Vendedores[Nome])</f>
        <v>Marcelo</v>
      </c>
      <c r="C939" s="7" t="str">
        <f>_xlfn.XLOOKUP(Vendas[[#This Row],[ID Vendedor]],Vendedores[ID],Vendedores[Setor])</f>
        <v>FM</v>
      </c>
      <c r="D939" s="7" t="s">
        <v>6</v>
      </c>
      <c r="E939" t="str">
        <f>_xlfn.XLOOKUP(Vendas[[#This Row],[ID Item Vendido]],Agregado[ID],Agregado[Produto])</f>
        <v>Parafuso comum 500un</v>
      </c>
      <c r="F939" s="39">
        <v>44257</v>
      </c>
      <c r="G939" s="7">
        <v>4</v>
      </c>
      <c r="H939" s="3">
        <f>_xlfn.XLOOKUP(Vendas[[#This Row],[ID Item Vendido]],Agregado[ID],Agregado[Revenda])</f>
        <v>24.6</v>
      </c>
      <c r="I939" s="3">
        <f>Vendas[[#This Row],[Valor Unitário]]*Vendas[[#This Row],[Qnt Vendida]]</f>
        <v>98.4</v>
      </c>
      <c r="J939" s="3">
        <f>Vendas[[#This Row],[Valor da Venda]]-(_xlfn.XLOOKUP(Vendas[[#This Row],[ID Item Vendido]],Agregado[ID],Agregado[Custo])*Vendas[[#This Row],[Qnt Vendida]])</f>
        <v>10.400000000000006</v>
      </c>
      <c r="K939" s="70">
        <f>Vendas[[#This Row],[Lucro da Venda]]/Vendas[[#This Row],[Valor da Venda]]</f>
        <v>0.10569105691056915</v>
      </c>
      <c r="L939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939"/>
    </row>
    <row r="940" spans="1:13" x14ac:dyDescent="0.3">
      <c r="A940" s="7">
        <v>400244</v>
      </c>
      <c r="B940" t="str">
        <f>_xlfn.XLOOKUP(Vendas[[#This Row],[ID Vendedor]],Vendedores[ID],Vendedores[Nome])</f>
        <v>Camila</v>
      </c>
      <c r="C940" s="7" t="str">
        <f>_xlfn.XLOOKUP(Vendas[[#This Row],[ID Vendedor]],Vendedores[ID],Vendedores[Setor])</f>
        <v>AHD</v>
      </c>
      <c r="D940" s="7" t="s">
        <v>18</v>
      </c>
      <c r="E940" t="str">
        <f>_xlfn.XLOOKUP(Vendas[[#This Row],[ID Item Vendido]],Agregado[ID],Agregado[Produto])</f>
        <v>Peça forjada sob encomenda</v>
      </c>
      <c r="F940" s="39">
        <v>44258</v>
      </c>
      <c r="G940" s="7">
        <v>2</v>
      </c>
      <c r="H940" s="3">
        <f>_xlfn.XLOOKUP(Vendas[[#This Row],[ID Item Vendido]],Agregado[ID],Agregado[Revenda])</f>
        <v>264.60000000000002</v>
      </c>
      <c r="I940" s="3">
        <f>Vendas[[#This Row],[Valor Unitário]]*Vendas[[#This Row],[Qnt Vendida]]</f>
        <v>529.20000000000005</v>
      </c>
      <c r="J940" s="3">
        <f>Vendas[[#This Row],[Valor da Venda]]-(_xlfn.XLOOKUP(Vendas[[#This Row],[ID Item Vendido]],Agregado[ID],Agregado[Custo])*Vendas[[#This Row],[Qnt Vendida]])</f>
        <v>29.200000000000045</v>
      </c>
      <c r="K940" s="70">
        <f>Vendas[[#This Row],[Lucro da Venda]]/Vendas[[#This Row],[Valor da Venda]]</f>
        <v>5.5177626606198113E-2</v>
      </c>
      <c r="L94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940"/>
    </row>
    <row r="941" spans="1:13" x14ac:dyDescent="0.3">
      <c r="A941" s="7">
        <v>400249</v>
      </c>
      <c r="B941" t="str">
        <f>_xlfn.XLOOKUP(Vendas[[#This Row],[ID Vendedor]],Vendedores[ID],Vendedores[Nome])</f>
        <v>Bruno</v>
      </c>
      <c r="C941" s="7" t="str">
        <f>_xlfn.XLOOKUP(Vendas[[#This Row],[ID Vendedor]],Vendedores[ID],Vendedores[Setor])</f>
        <v>CM</v>
      </c>
      <c r="D941" s="7" t="s">
        <v>32</v>
      </c>
      <c r="E941" t="str">
        <f>_xlfn.XLOOKUP(Vendas[[#This Row],[ID Item Vendido]],Agregado[ID],Agregado[Produto])</f>
        <v>Tábua tratada e cortada 3m</v>
      </c>
      <c r="F941" s="39">
        <v>44258</v>
      </c>
      <c r="G941" s="7">
        <v>20</v>
      </c>
      <c r="H941" s="3">
        <f>_xlfn.XLOOKUP(Vendas[[#This Row],[ID Item Vendido]],Agregado[ID],Agregado[Revenda])</f>
        <v>39</v>
      </c>
      <c r="I941" s="3">
        <f>Vendas[[#This Row],[Valor Unitário]]*Vendas[[#This Row],[Qnt Vendida]]</f>
        <v>780</v>
      </c>
      <c r="J941" s="3">
        <f>Vendas[[#This Row],[Valor da Venda]]-(_xlfn.XLOOKUP(Vendas[[#This Row],[ID Item Vendido]],Agregado[ID],Agregado[Custo])*Vendas[[#This Row],[Qnt Vendida]])</f>
        <v>140</v>
      </c>
      <c r="K941" s="70">
        <f>Vendas[[#This Row],[Lucro da Venda]]/Vendas[[#This Row],[Valor da Venda]]</f>
        <v>0.17948717948717949</v>
      </c>
      <c r="L941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941"/>
    </row>
    <row r="942" spans="1:13" x14ac:dyDescent="0.3">
      <c r="A942" s="7">
        <v>400241</v>
      </c>
      <c r="B942" t="str">
        <f>_xlfn.XLOOKUP(Vendas[[#This Row],[ID Vendedor]],Vendedores[ID],Vendedores[Nome])</f>
        <v>Rodrigo</v>
      </c>
      <c r="C942" s="7" t="str">
        <f>_xlfn.XLOOKUP(Vendas[[#This Row],[ID Vendedor]],Vendedores[ID],Vendedores[Setor])</f>
        <v>FM</v>
      </c>
      <c r="D942" s="7" t="s">
        <v>6</v>
      </c>
      <c r="E942" t="str">
        <f>_xlfn.XLOOKUP(Vendas[[#This Row],[ID Item Vendido]],Agregado[ID],Agregado[Produto])</f>
        <v>Parafuso comum 500un</v>
      </c>
      <c r="F942" s="39">
        <v>44258</v>
      </c>
      <c r="G942" s="7">
        <v>16</v>
      </c>
      <c r="H942" s="3">
        <f>_xlfn.XLOOKUP(Vendas[[#This Row],[ID Item Vendido]],Agregado[ID],Agregado[Revenda])</f>
        <v>24.6</v>
      </c>
      <c r="I942" s="3">
        <f>Vendas[[#This Row],[Valor Unitário]]*Vendas[[#This Row],[Qnt Vendida]]</f>
        <v>393.6</v>
      </c>
      <c r="J942" s="3">
        <f>Vendas[[#This Row],[Valor da Venda]]-(_xlfn.XLOOKUP(Vendas[[#This Row],[ID Item Vendido]],Agregado[ID],Agregado[Custo])*Vendas[[#This Row],[Qnt Vendida]])</f>
        <v>41.600000000000023</v>
      </c>
      <c r="K942" s="70">
        <f>Vendas[[#This Row],[Lucro da Venda]]/Vendas[[#This Row],[Valor da Venda]]</f>
        <v>0.10569105691056915</v>
      </c>
      <c r="L942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942"/>
    </row>
    <row r="943" spans="1:13" x14ac:dyDescent="0.3">
      <c r="A943" s="7">
        <v>400255</v>
      </c>
      <c r="B943" t="str">
        <f>_xlfn.XLOOKUP(Vendas[[#This Row],[ID Vendedor]],Vendedores[ID],Vendedores[Nome])</f>
        <v>Carlos</v>
      </c>
      <c r="C943" s="7" t="str">
        <f>_xlfn.XLOOKUP(Vendas[[#This Row],[ID Vendedor]],Vendedores[ID],Vendedores[Setor])</f>
        <v>SC</v>
      </c>
      <c r="D943" s="7" t="s">
        <v>41</v>
      </c>
      <c r="E943" t="str">
        <f>_xlfn.XLOOKUP(Vendas[[#This Row],[ID Item Vendido]],Agregado[ID],Agregado[Produto])</f>
        <v>Palete de madeira reforçado</v>
      </c>
      <c r="F943" s="39">
        <v>44258</v>
      </c>
      <c r="G943" s="7">
        <v>2</v>
      </c>
      <c r="H943" s="3">
        <f>_xlfn.XLOOKUP(Vendas[[#This Row],[ID Item Vendido]],Agregado[ID],Agregado[Revenda])</f>
        <v>131</v>
      </c>
      <c r="I943" s="3">
        <f>Vendas[[#This Row],[Valor Unitário]]*Vendas[[#This Row],[Qnt Vendida]]</f>
        <v>262</v>
      </c>
      <c r="J943" s="3">
        <f>Vendas[[#This Row],[Valor da Venda]]-(_xlfn.XLOOKUP(Vendas[[#This Row],[ID Item Vendido]],Agregado[ID],Agregado[Custo])*Vendas[[#This Row],[Qnt Vendida]])</f>
        <v>42</v>
      </c>
      <c r="K943" s="70">
        <f>Vendas[[#This Row],[Lucro da Venda]]/Vendas[[#This Row],[Valor da Venda]]</f>
        <v>0.16030534351145037</v>
      </c>
      <c r="L943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943"/>
    </row>
    <row r="944" spans="1:13" x14ac:dyDescent="0.3">
      <c r="A944" s="7">
        <v>400255</v>
      </c>
      <c r="B944" t="str">
        <f>_xlfn.XLOOKUP(Vendas[[#This Row],[ID Vendedor]],Vendedores[ID],Vendedores[Nome])</f>
        <v>Carlos</v>
      </c>
      <c r="C944" s="7" t="str">
        <f>_xlfn.XLOOKUP(Vendas[[#This Row],[ID Vendedor]],Vendedores[ID],Vendedores[Setor])</f>
        <v>SC</v>
      </c>
      <c r="D944" s="7" t="s">
        <v>42</v>
      </c>
      <c r="E944" t="str">
        <f>_xlfn.XLOOKUP(Vendas[[#This Row],[ID Item Vendido]],Agregado[ID],Agregado[Produto])</f>
        <v>Container de ferro industrial</v>
      </c>
      <c r="F944" s="39">
        <v>44259</v>
      </c>
      <c r="G944" s="7">
        <v>3</v>
      </c>
      <c r="H944" s="3">
        <f>_xlfn.XLOOKUP(Vendas[[#This Row],[ID Item Vendido]],Agregado[ID],Agregado[Revenda])</f>
        <v>830</v>
      </c>
      <c r="I944" s="3">
        <f>Vendas[[#This Row],[Valor Unitário]]*Vendas[[#This Row],[Qnt Vendida]]</f>
        <v>2490</v>
      </c>
      <c r="J944" s="3">
        <f>Vendas[[#This Row],[Valor da Venda]]-(_xlfn.XLOOKUP(Vendas[[#This Row],[ID Item Vendido]],Agregado[ID],Agregado[Custo])*Vendas[[#This Row],[Qnt Vendida]])</f>
        <v>450</v>
      </c>
      <c r="K944" s="70">
        <f>Vendas[[#This Row],[Lucro da Venda]]/Vendas[[#This Row],[Valor da Venda]]</f>
        <v>0.18072289156626506</v>
      </c>
      <c r="L94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944"/>
    </row>
    <row r="945" spans="1:13" x14ac:dyDescent="0.3">
      <c r="A945" s="7">
        <v>400241</v>
      </c>
      <c r="B945" t="str">
        <f>_xlfn.XLOOKUP(Vendas[[#This Row],[ID Vendedor]],Vendedores[ID],Vendedores[Nome])</f>
        <v>Rodrigo</v>
      </c>
      <c r="C945" s="7" t="str">
        <f>_xlfn.XLOOKUP(Vendas[[#This Row],[ID Vendedor]],Vendedores[ID],Vendedores[Setor])</f>
        <v>FM</v>
      </c>
      <c r="D945" s="7" t="s">
        <v>20</v>
      </c>
      <c r="E945" t="str">
        <f>_xlfn.XLOOKUP(Vendas[[#This Row],[ID Item Vendido]],Agregado[ID],Agregado[Produto])</f>
        <v>Barra de aço simples</v>
      </c>
      <c r="F945" s="39">
        <v>44259</v>
      </c>
      <c r="G945" s="7">
        <v>51</v>
      </c>
      <c r="H945" s="3">
        <f>_xlfn.XLOOKUP(Vendas[[#This Row],[ID Item Vendido]],Agregado[ID],Agregado[Revenda])</f>
        <v>4.8</v>
      </c>
      <c r="I945" s="3">
        <f>Vendas[[#This Row],[Valor Unitário]]*Vendas[[#This Row],[Qnt Vendida]]</f>
        <v>244.79999999999998</v>
      </c>
      <c r="J945" s="3">
        <f>Vendas[[#This Row],[Valor da Venda]]-(_xlfn.XLOOKUP(Vendas[[#This Row],[ID Item Vendido]],Agregado[ID],Agregado[Custo])*Vendas[[#This Row],[Qnt Vendida]])</f>
        <v>30.599999999999966</v>
      </c>
      <c r="K945" s="70">
        <f>Vendas[[#This Row],[Lucro da Venda]]/Vendas[[#This Row],[Valor da Venda]]</f>
        <v>0.12499999999999988</v>
      </c>
      <c r="L945" s="3">
        <f>_xlfn.IFS(Vendas[[#This Row],[Margem de Lucro (%)]]&lt;15%,Vendas[[#This Row],[Valor da Venda]]*3%,Vendas[[#This Row],[Margem de Lucro (%)]]&lt;=20%,Vendas[[#This Row],[Valor da Venda]]*4.5%,TRUE,Vendas[[#This Row],[Valor da Venda]]*6%)</f>
        <v>7.3439999999999994</v>
      </c>
      <c r="M945"/>
    </row>
    <row r="946" spans="1:13" x14ac:dyDescent="0.3">
      <c r="A946" s="7">
        <v>400249</v>
      </c>
      <c r="B946" t="str">
        <f>_xlfn.XLOOKUP(Vendas[[#This Row],[ID Vendedor]],Vendedores[ID],Vendedores[Nome])</f>
        <v>Bruno</v>
      </c>
      <c r="C946" s="7" t="str">
        <f>_xlfn.XLOOKUP(Vendas[[#This Row],[ID Vendedor]],Vendedores[ID],Vendedores[Setor])</f>
        <v>CM</v>
      </c>
      <c r="D946" s="7" t="s">
        <v>32</v>
      </c>
      <c r="E946" t="str">
        <f>_xlfn.XLOOKUP(Vendas[[#This Row],[ID Item Vendido]],Agregado[ID],Agregado[Produto])</f>
        <v>Tábua tratada e cortada 3m</v>
      </c>
      <c r="F946" s="39">
        <v>44260</v>
      </c>
      <c r="G946" s="7">
        <v>39</v>
      </c>
      <c r="H946" s="3">
        <f>_xlfn.XLOOKUP(Vendas[[#This Row],[ID Item Vendido]],Agregado[ID],Agregado[Revenda])</f>
        <v>39</v>
      </c>
      <c r="I946" s="3">
        <f>Vendas[[#This Row],[Valor Unitário]]*Vendas[[#This Row],[Qnt Vendida]]</f>
        <v>1521</v>
      </c>
      <c r="J946" s="3">
        <f>Vendas[[#This Row],[Valor da Venda]]-(_xlfn.XLOOKUP(Vendas[[#This Row],[ID Item Vendido]],Agregado[ID],Agregado[Custo])*Vendas[[#This Row],[Qnt Vendida]])</f>
        <v>273</v>
      </c>
      <c r="K946" s="70">
        <f>Vendas[[#This Row],[Lucro da Venda]]/Vendas[[#This Row],[Valor da Venda]]</f>
        <v>0.17948717948717949</v>
      </c>
      <c r="L946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946"/>
    </row>
    <row r="947" spans="1:13" x14ac:dyDescent="0.3">
      <c r="A947" s="7">
        <v>400249</v>
      </c>
      <c r="B947" t="str">
        <f>_xlfn.XLOOKUP(Vendas[[#This Row],[ID Vendedor]],Vendedores[ID],Vendedores[Nome])</f>
        <v>Bruno</v>
      </c>
      <c r="C947" s="7" t="str">
        <f>_xlfn.XLOOKUP(Vendas[[#This Row],[ID Vendedor]],Vendedores[ID],Vendedores[Setor])</f>
        <v>CM</v>
      </c>
      <c r="D947" s="7" t="s">
        <v>22</v>
      </c>
      <c r="E947" t="str">
        <f>_xlfn.XLOOKUP(Vendas[[#This Row],[ID Item Vendido]],Agregado[ID],Agregado[Produto])</f>
        <v>Painel MDP 2,75x1,83m</v>
      </c>
      <c r="F947" s="39">
        <v>44260</v>
      </c>
      <c r="G947" s="7">
        <v>2</v>
      </c>
      <c r="H947" s="3">
        <f>_xlfn.XLOOKUP(Vendas[[#This Row],[ID Item Vendido]],Agregado[ID],Agregado[Revenda])</f>
        <v>119</v>
      </c>
      <c r="I947" s="3">
        <f>Vendas[[#This Row],[Valor Unitário]]*Vendas[[#This Row],[Qnt Vendida]]</f>
        <v>238</v>
      </c>
      <c r="J947" s="3">
        <f>Vendas[[#This Row],[Valor da Venda]]-(_xlfn.XLOOKUP(Vendas[[#This Row],[ID Item Vendido]],Agregado[ID],Agregado[Custo])*Vendas[[#This Row],[Qnt Vendida]])</f>
        <v>48</v>
      </c>
      <c r="K947" s="70">
        <f>Vendas[[#This Row],[Lucro da Venda]]/Vendas[[#This Row],[Valor da Venda]]</f>
        <v>0.20168067226890757</v>
      </c>
      <c r="L947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947"/>
    </row>
    <row r="948" spans="1:13" x14ac:dyDescent="0.3">
      <c r="A948" s="7">
        <v>400247</v>
      </c>
      <c r="B948" t="str">
        <f>_xlfn.XLOOKUP(Vendas[[#This Row],[ID Vendedor]],Vendedores[ID],Vendedores[Nome])</f>
        <v>André</v>
      </c>
      <c r="C948" s="7" t="str">
        <f>_xlfn.XLOOKUP(Vendas[[#This Row],[ID Vendedor]],Vendedores[ID],Vendedores[Setor])</f>
        <v>CM</v>
      </c>
      <c r="D948" s="7" t="s">
        <v>22</v>
      </c>
      <c r="E948" t="str">
        <f>_xlfn.XLOOKUP(Vendas[[#This Row],[ID Item Vendido]],Agregado[ID],Agregado[Produto])</f>
        <v>Painel MDP 2,75x1,83m</v>
      </c>
      <c r="F948" s="39">
        <v>44261</v>
      </c>
      <c r="G948" s="7">
        <v>21</v>
      </c>
      <c r="H948" s="3">
        <f>_xlfn.XLOOKUP(Vendas[[#This Row],[ID Item Vendido]],Agregado[ID],Agregado[Revenda])</f>
        <v>119</v>
      </c>
      <c r="I948" s="3">
        <f>Vendas[[#This Row],[Valor Unitário]]*Vendas[[#This Row],[Qnt Vendida]]</f>
        <v>2499</v>
      </c>
      <c r="J948" s="3">
        <f>Vendas[[#This Row],[Valor da Venda]]-(_xlfn.XLOOKUP(Vendas[[#This Row],[ID Item Vendido]],Agregado[ID],Agregado[Custo])*Vendas[[#This Row],[Qnt Vendida]])</f>
        <v>504</v>
      </c>
      <c r="K948" s="70">
        <f>Vendas[[#This Row],[Lucro da Venda]]/Vendas[[#This Row],[Valor da Venda]]</f>
        <v>0.20168067226890757</v>
      </c>
      <c r="L948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948"/>
    </row>
    <row r="949" spans="1:13" x14ac:dyDescent="0.3">
      <c r="A949" s="7">
        <v>400251</v>
      </c>
      <c r="B949" t="str">
        <f>_xlfn.XLOOKUP(Vendas[[#This Row],[ID Vendedor]],Vendedores[ID],Vendedores[Nome])</f>
        <v>Diego</v>
      </c>
      <c r="C949" s="7" t="str">
        <f>_xlfn.XLOOKUP(Vendas[[#This Row],[ID Vendedor]],Vendedores[ID],Vendedores[Setor])</f>
        <v>AB</v>
      </c>
      <c r="D949" s="7" t="s">
        <v>37</v>
      </c>
      <c r="E949" t="str">
        <f>_xlfn.XLOOKUP(Vendas[[#This Row],[ID Item Vendido]],Agregado[ID],Agregado[Produto])</f>
        <v>Composto de borracha para vedação rolo 10m</v>
      </c>
      <c r="F949" s="39">
        <v>44261</v>
      </c>
      <c r="G949" s="7">
        <v>16</v>
      </c>
      <c r="H949" s="3">
        <f>_xlfn.XLOOKUP(Vendas[[#This Row],[ID Item Vendido]],Agregado[ID],Agregado[Revenda])</f>
        <v>51.2</v>
      </c>
      <c r="I949" s="3">
        <f>Vendas[[#This Row],[Valor Unitário]]*Vendas[[#This Row],[Qnt Vendida]]</f>
        <v>819.2</v>
      </c>
      <c r="J949" s="3">
        <f>Vendas[[#This Row],[Valor da Venda]]-(_xlfn.XLOOKUP(Vendas[[#This Row],[ID Item Vendido]],Agregado[ID],Agregado[Custo])*Vendas[[#This Row],[Qnt Vendida]])</f>
        <v>179.20000000000005</v>
      </c>
      <c r="K949" s="70">
        <f>Vendas[[#This Row],[Lucro da Venda]]/Vendas[[#This Row],[Valor da Venda]]</f>
        <v>0.21875000000000006</v>
      </c>
      <c r="L949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949"/>
    </row>
    <row r="950" spans="1:13" x14ac:dyDescent="0.3">
      <c r="A950" s="7">
        <v>400244</v>
      </c>
      <c r="B950" t="str">
        <f>_xlfn.XLOOKUP(Vendas[[#This Row],[ID Vendedor]],Vendedores[ID],Vendedores[Nome])</f>
        <v>Camila</v>
      </c>
      <c r="C950" s="7" t="str">
        <f>_xlfn.XLOOKUP(Vendas[[#This Row],[ID Vendedor]],Vendedores[ID],Vendedores[Setor])</f>
        <v>AHD</v>
      </c>
      <c r="D950" s="7" t="s">
        <v>18</v>
      </c>
      <c r="E950" t="str">
        <f>_xlfn.XLOOKUP(Vendas[[#This Row],[ID Item Vendido]],Agregado[ID],Agregado[Produto])</f>
        <v>Peça forjada sob encomenda</v>
      </c>
      <c r="F950" s="39">
        <v>44261</v>
      </c>
      <c r="G950" s="7">
        <v>2</v>
      </c>
      <c r="H950" s="3">
        <f>_xlfn.XLOOKUP(Vendas[[#This Row],[ID Item Vendido]],Agregado[ID],Agregado[Revenda])</f>
        <v>264.60000000000002</v>
      </c>
      <c r="I950" s="3">
        <f>Vendas[[#This Row],[Valor Unitário]]*Vendas[[#This Row],[Qnt Vendida]]</f>
        <v>529.20000000000005</v>
      </c>
      <c r="J950" s="3">
        <f>Vendas[[#This Row],[Valor da Venda]]-(_xlfn.XLOOKUP(Vendas[[#This Row],[ID Item Vendido]],Agregado[ID],Agregado[Custo])*Vendas[[#This Row],[Qnt Vendida]])</f>
        <v>29.200000000000045</v>
      </c>
      <c r="K950" s="70">
        <f>Vendas[[#This Row],[Lucro da Venda]]/Vendas[[#This Row],[Valor da Venda]]</f>
        <v>5.5177626606198113E-2</v>
      </c>
      <c r="L95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950"/>
    </row>
    <row r="951" spans="1:13" x14ac:dyDescent="0.3">
      <c r="A951" s="7">
        <v>400249</v>
      </c>
      <c r="B951" t="str">
        <f>_xlfn.XLOOKUP(Vendas[[#This Row],[ID Vendedor]],Vendedores[ID],Vendedores[Nome])</f>
        <v>Bruno</v>
      </c>
      <c r="C951" s="7" t="str">
        <f>_xlfn.XLOOKUP(Vendas[[#This Row],[ID Vendedor]],Vendedores[ID],Vendedores[Setor])</f>
        <v>CM</v>
      </c>
      <c r="D951" s="7" t="s">
        <v>45</v>
      </c>
      <c r="E951" t="str">
        <f>_xlfn.XLOOKUP(Vendas[[#This Row],[ID Item Vendido]],Agregado[ID],Agregado[Produto])</f>
        <v>Viga de madeira tratada 4m</v>
      </c>
      <c r="F951" s="39">
        <v>44261</v>
      </c>
      <c r="G951" s="7">
        <v>10</v>
      </c>
      <c r="H951" s="3">
        <f>_xlfn.XLOOKUP(Vendas[[#This Row],[ID Item Vendido]],Agregado[ID],Agregado[Revenda])</f>
        <v>66</v>
      </c>
      <c r="I951" s="3">
        <f>Vendas[[#This Row],[Valor Unitário]]*Vendas[[#This Row],[Qnt Vendida]]</f>
        <v>660</v>
      </c>
      <c r="J951" s="3">
        <f>Vendas[[#This Row],[Valor da Venda]]-(_xlfn.XLOOKUP(Vendas[[#This Row],[ID Item Vendido]],Agregado[ID],Agregado[Custo])*Vendas[[#This Row],[Qnt Vendida]])</f>
        <v>110</v>
      </c>
      <c r="K951" s="70">
        <f>Vendas[[#This Row],[Lucro da Venda]]/Vendas[[#This Row],[Valor da Venda]]</f>
        <v>0.16666666666666666</v>
      </c>
      <c r="L951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951"/>
    </row>
    <row r="952" spans="1:13" x14ac:dyDescent="0.3">
      <c r="A952" s="7">
        <v>400253</v>
      </c>
      <c r="B952" t="str">
        <f>_xlfn.XLOOKUP(Vendas[[#This Row],[ID Vendedor]],Vendedores[ID],Vendedores[Nome])</f>
        <v>Gustavo</v>
      </c>
      <c r="C952" s="7" t="str">
        <f>_xlfn.XLOOKUP(Vendas[[#This Row],[ID Vendedor]],Vendedores[ID],Vendedores[Setor])</f>
        <v>SC</v>
      </c>
      <c r="D952" s="7" t="s">
        <v>42</v>
      </c>
      <c r="E952" t="str">
        <f>_xlfn.XLOOKUP(Vendas[[#This Row],[ID Item Vendido]],Agregado[ID],Agregado[Produto])</f>
        <v>Container de ferro industrial</v>
      </c>
      <c r="F952" s="39">
        <v>44262</v>
      </c>
      <c r="G952" s="7">
        <v>3</v>
      </c>
      <c r="H952" s="3">
        <f>_xlfn.XLOOKUP(Vendas[[#This Row],[ID Item Vendido]],Agregado[ID],Agregado[Revenda])</f>
        <v>830</v>
      </c>
      <c r="I952" s="3">
        <f>Vendas[[#This Row],[Valor Unitário]]*Vendas[[#This Row],[Qnt Vendida]]</f>
        <v>2490</v>
      </c>
      <c r="J952" s="3">
        <f>Vendas[[#This Row],[Valor da Venda]]-(_xlfn.XLOOKUP(Vendas[[#This Row],[ID Item Vendido]],Agregado[ID],Agregado[Custo])*Vendas[[#This Row],[Qnt Vendida]])</f>
        <v>450</v>
      </c>
      <c r="K952" s="70">
        <f>Vendas[[#This Row],[Lucro da Venda]]/Vendas[[#This Row],[Valor da Venda]]</f>
        <v>0.18072289156626506</v>
      </c>
      <c r="L952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952"/>
    </row>
    <row r="953" spans="1:13" x14ac:dyDescent="0.3">
      <c r="A953" s="7">
        <v>400247</v>
      </c>
      <c r="B953" t="str">
        <f>_xlfn.XLOOKUP(Vendas[[#This Row],[ID Vendedor]],Vendedores[ID],Vendedores[Nome])</f>
        <v>André</v>
      </c>
      <c r="C953" s="7" t="str">
        <f>_xlfn.XLOOKUP(Vendas[[#This Row],[ID Vendedor]],Vendedores[ID],Vendedores[Setor])</f>
        <v>CM</v>
      </c>
      <c r="D953" s="7" t="s">
        <v>43</v>
      </c>
      <c r="E953" t="str">
        <f>_xlfn.XLOOKUP(Vendas[[#This Row],[ID Item Vendido]],Agregado[ID],Agregado[Produto])</f>
        <v>Madeira Bruta (Tora)</v>
      </c>
      <c r="F953" s="39">
        <v>44262</v>
      </c>
      <c r="G953" s="7">
        <v>4</v>
      </c>
      <c r="H953" s="3">
        <f>_xlfn.XLOOKUP(Vendas[[#This Row],[ID Item Vendido]],Agregado[ID],Agregado[Revenda])</f>
        <v>212</v>
      </c>
      <c r="I953" s="3">
        <f>Vendas[[#This Row],[Valor Unitário]]*Vendas[[#This Row],[Qnt Vendida]]</f>
        <v>848</v>
      </c>
      <c r="J953" s="3">
        <f>Vendas[[#This Row],[Valor da Venda]]-(_xlfn.XLOOKUP(Vendas[[#This Row],[ID Item Vendido]],Agregado[ID],Agregado[Custo])*Vendas[[#This Row],[Qnt Vendida]])</f>
        <v>128</v>
      </c>
      <c r="K953" s="70">
        <f>Vendas[[#This Row],[Lucro da Venda]]/Vendas[[#This Row],[Valor da Venda]]</f>
        <v>0.15094339622641509</v>
      </c>
      <c r="L953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953"/>
    </row>
    <row r="954" spans="1:13" x14ac:dyDescent="0.3">
      <c r="A954" s="7">
        <v>400241</v>
      </c>
      <c r="B954" t="str">
        <f>_xlfn.XLOOKUP(Vendas[[#This Row],[ID Vendedor]],Vendedores[ID],Vendedores[Nome])</f>
        <v>Rodrigo</v>
      </c>
      <c r="C954" s="7" t="str">
        <f>_xlfn.XLOOKUP(Vendas[[#This Row],[ID Vendedor]],Vendedores[ID],Vendedores[Setor])</f>
        <v>FM</v>
      </c>
      <c r="D954" s="7" t="s">
        <v>20</v>
      </c>
      <c r="E954" t="str">
        <f>_xlfn.XLOOKUP(Vendas[[#This Row],[ID Item Vendido]],Agregado[ID],Agregado[Produto])</f>
        <v>Barra de aço simples</v>
      </c>
      <c r="F954" s="39">
        <v>44263</v>
      </c>
      <c r="G954" s="7">
        <v>149</v>
      </c>
      <c r="H954" s="3">
        <f>_xlfn.XLOOKUP(Vendas[[#This Row],[ID Item Vendido]],Agregado[ID],Agregado[Revenda])</f>
        <v>4.8</v>
      </c>
      <c r="I954" s="3">
        <f>Vendas[[#This Row],[Valor Unitário]]*Vendas[[#This Row],[Qnt Vendida]]</f>
        <v>715.19999999999993</v>
      </c>
      <c r="J954" s="3">
        <f>Vendas[[#This Row],[Valor da Venda]]-(_xlfn.XLOOKUP(Vendas[[#This Row],[ID Item Vendido]],Agregado[ID],Agregado[Custo])*Vendas[[#This Row],[Qnt Vendida]])</f>
        <v>89.399999999999864</v>
      </c>
      <c r="K954" s="70">
        <f>Vendas[[#This Row],[Lucro da Venda]]/Vendas[[#This Row],[Valor da Venda]]</f>
        <v>0.12499999999999982</v>
      </c>
      <c r="L954" s="3">
        <f>_xlfn.IFS(Vendas[[#This Row],[Margem de Lucro (%)]]&lt;15%,Vendas[[#This Row],[Valor da Venda]]*3%,Vendas[[#This Row],[Margem de Lucro (%)]]&lt;=20%,Vendas[[#This Row],[Valor da Venda]]*4.5%,TRUE,Vendas[[#This Row],[Valor da Venda]]*6%)</f>
        <v>21.455999999999996</v>
      </c>
      <c r="M954"/>
    </row>
    <row r="955" spans="1:13" x14ac:dyDescent="0.3">
      <c r="A955" s="7">
        <v>400255</v>
      </c>
      <c r="B955" t="str">
        <f>_xlfn.XLOOKUP(Vendas[[#This Row],[ID Vendedor]],Vendedores[ID],Vendedores[Nome])</f>
        <v>Carlos</v>
      </c>
      <c r="C955" s="7" t="str">
        <f>_xlfn.XLOOKUP(Vendas[[#This Row],[ID Vendedor]],Vendedores[ID],Vendedores[Setor])</f>
        <v>SC</v>
      </c>
      <c r="D955" s="7" t="s">
        <v>41</v>
      </c>
      <c r="E955" t="str">
        <f>_xlfn.XLOOKUP(Vendas[[#This Row],[ID Item Vendido]],Agregado[ID],Agregado[Produto])</f>
        <v>Palete de madeira reforçado</v>
      </c>
      <c r="F955" s="39">
        <v>44263</v>
      </c>
      <c r="G955" s="7">
        <v>5</v>
      </c>
      <c r="H955" s="3">
        <f>_xlfn.XLOOKUP(Vendas[[#This Row],[ID Item Vendido]],Agregado[ID],Agregado[Revenda])</f>
        <v>131</v>
      </c>
      <c r="I955" s="3">
        <f>Vendas[[#This Row],[Valor Unitário]]*Vendas[[#This Row],[Qnt Vendida]]</f>
        <v>655</v>
      </c>
      <c r="J955" s="3">
        <f>Vendas[[#This Row],[Valor da Venda]]-(_xlfn.XLOOKUP(Vendas[[#This Row],[ID Item Vendido]],Agregado[ID],Agregado[Custo])*Vendas[[#This Row],[Qnt Vendida]])</f>
        <v>105</v>
      </c>
      <c r="K955" s="70">
        <f>Vendas[[#This Row],[Lucro da Venda]]/Vendas[[#This Row],[Valor da Venda]]</f>
        <v>0.16030534351145037</v>
      </c>
      <c r="L955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955"/>
    </row>
    <row r="956" spans="1:13" x14ac:dyDescent="0.3">
      <c r="A956" s="7">
        <v>400255</v>
      </c>
      <c r="B956" t="str">
        <f>_xlfn.XLOOKUP(Vendas[[#This Row],[ID Vendedor]],Vendedores[ID],Vendedores[Nome])</f>
        <v>Carlos</v>
      </c>
      <c r="C956" s="7" t="str">
        <f>_xlfn.XLOOKUP(Vendas[[#This Row],[ID Vendedor]],Vendedores[ID],Vendedores[Setor])</f>
        <v>SC</v>
      </c>
      <c r="D956" s="7" t="s">
        <v>48</v>
      </c>
      <c r="E956" t="str">
        <f>_xlfn.XLOOKUP(Vendas[[#This Row],[ID Item Vendido]],Agregado[ID],Agregado[Produto])</f>
        <v>Tambor metálico 200L</v>
      </c>
      <c r="F956" s="39">
        <v>44264</v>
      </c>
      <c r="G956" s="7">
        <v>20</v>
      </c>
      <c r="H956" s="3">
        <f>_xlfn.XLOOKUP(Vendas[[#This Row],[ID Item Vendido]],Agregado[ID],Agregado[Revenda])</f>
        <v>144</v>
      </c>
      <c r="I956" s="3">
        <f>Vendas[[#This Row],[Valor Unitário]]*Vendas[[#This Row],[Qnt Vendida]]</f>
        <v>2880</v>
      </c>
      <c r="J956" s="3">
        <f>Vendas[[#This Row],[Valor da Venda]]-(_xlfn.XLOOKUP(Vendas[[#This Row],[ID Item Vendido]],Agregado[ID],Agregado[Custo])*Vendas[[#This Row],[Qnt Vendida]])</f>
        <v>480</v>
      </c>
      <c r="K956" s="70">
        <f>Vendas[[#This Row],[Lucro da Venda]]/Vendas[[#This Row],[Valor da Venda]]</f>
        <v>0.16666666666666666</v>
      </c>
      <c r="L956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956"/>
    </row>
    <row r="957" spans="1:13" x14ac:dyDescent="0.3">
      <c r="A957" s="7">
        <v>400253</v>
      </c>
      <c r="B957" t="str">
        <f>_xlfn.XLOOKUP(Vendas[[#This Row],[ID Vendedor]],Vendedores[ID],Vendedores[Nome])</f>
        <v>Gustavo</v>
      </c>
      <c r="C957" s="7" t="str">
        <f>_xlfn.XLOOKUP(Vendas[[#This Row],[ID Vendedor]],Vendedores[ID],Vendedores[Setor])</f>
        <v>SC</v>
      </c>
      <c r="D957" s="7" t="s">
        <v>48</v>
      </c>
      <c r="E957" t="str">
        <f>_xlfn.XLOOKUP(Vendas[[#This Row],[ID Item Vendido]],Agregado[ID],Agregado[Produto])</f>
        <v>Tambor metálico 200L</v>
      </c>
      <c r="F957" s="39">
        <v>44264</v>
      </c>
      <c r="G957" s="7">
        <v>12</v>
      </c>
      <c r="H957" s="3">
        <f>_xlfn.XLOOKUP(Vendas[[#This Row],[ID Item Vendido]],Agregado[ID],Agregado[Revenda])</f>
        <v>144</v>
      </c>
      <c r="I957" s="3">
        <f>Vendas[[#This Row],[Valor Unitário]]*Vendas[[#This Row],[Qnt Vendida]]</f>
        <v>1728</v>
      </c>
      <c r="J957" s="3">
        <f>Vendas[[#This Row],[Valor da Venda]]-(_xlfn.XLOOKUP(Vendas[[#This Row],[ID Item Vendido]],Agregado[ID],Agregado[Custo])*Vendas[[#This Row],[Qnt Vendida]])</f>
        <v>288</v>
      </c>
      <c r="K957" s="70">
        <f>Vendas[[#This Row],[Lucro da Venda]]/Vendas[[#This Row],[Valor da Venda]]</f>
        <v>0.16666666666666666</v>
      </c>
      <c r="L957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957"/>
    </row>
    <row r="958" spans="1:13" x14ac:dyDescent="0.3">
      <c r="A958" s="7">
        <v>400243</v>
      </c>
      <c r="B958" t="str">
        <f>_xlfn.XLOOKUP(Vendas[[#This Row],[ID Vendedor]],Vendedores[ID],Vendedores[Nome])</f>
        <v>Marcelo</v>
      </c>
      <c r="C958" s="7" t="str">
        <f>_xlfn.XLOOKUP(Vendas[[#This Row],[ID Vendedor]],Vendedores[ID],Vendedores[Setor])</f>
        <v>FM</v>
      </c>
      <c r="D958" s="7" t="s">
        <v>6</v>
      </c>
      <c r="E958" t="str">
        <f>_xlfn.XLOOKUP(Vendas[[#This Row],[ID Item Vendido]],Agregado[ID],Agregado[Produto])</f>
        <v>Parafuso comum 500un</v>
      </c>
      <c r="F958" s="39">
        <v>44266</v>
      </c>
      <c r="G958" s="7">
        <v>3</v>
      </c>
      <c r="H958" s="3">
        <f>_xlfn.XLOOKUP(Vendas[[#This Row],[ID Item Vendido]],Agregado[ID],Agregado[Revenda])</f>
        <v>24.6</v>
      </c>
      <c r="I958" s="3">
        <f>Vendas[[#This Row],[Valor Unitário]]*Vendas[[#This Row],[Qnt Vendida]]</f>
        <v>73.800000000000011</v>
      </c>
      <c r="J958" s="3">
        <f>Vendas[[#This Row],[Valor da Venda]]-(_xlfn.XLOOKUP(Vendas[[#This Row],[ID Item Vendido]],Agregado[ID],Agregado[Custo])*Vendas[[#This Row],[Qnt Vendida]])</f>
        <v>7.8000000000000114</v>
      </c>
      <c r="K958" s="70">
        <f>Vendas[[#This Row],[Lucro da Venda]]/Vendas[[#This Row],[Valor da Venda]]</f>
        <v>0.10569105691056924</v>
      </c>
      <c r="L958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958"/>
    </row>
    <row r="959" spans="1:13" x14ac:dyDescent="0.3">
      <c r="A959" s="7">
        <v>400247</v>
      </c>
      <c r="B959" t="str">
        <f>_xlfn.XLOOKUP(Vendas[[#This Row],[ID Vendedor]],Vendedores[ID],Vendedores[Nome])</f>
        <v>André</v>
      </c>
      <c r="C959" s="7" t="str">
        <f>_xlfn.XLOOKUP(Vendas[[#This Row],[ID Vendedor]],Vendedores[ID],Vendedores[Setor])</f>
        <v>CM</v>
      </c>
      <c r="D959" s="7" t="s">
        <v>34</v>
      </c>
      <c r="E959" t="str">
        <f>_xlfn.XLOOKUP(Vendas[[#This Row],[ID Item Vendido]],Agregado[ID],Agregado[Produto])</f>
        <v>Restos de madeira p/ MDP/OSB saco de 20kg</v>
      </c>
      <c r="F959" s="39">
        <v>44268</v>
      </c>
      <c r="G959" s="7">
        <v>7</v>
      </c>
      <c r="H959" s="3">
        <f>_xlfn.XLOOKUP(Vendas[[#This Row],[ID Item Vendido]],Agregado[ID],Agregado[Revenda])</f>
        <v>13.8</v>
      </c>
      <c r="I959" s="3">
        <f>Vendas[[#This Row],[Valor Unitário]]*Vendas[[#This Row],[Qnt Vendida]]</f>
        <v>96.600000000000009</v>
      </c>
      <c r="J959" s="3">
        <f>Vendas[[#This Row],[Valor da Venda]]-(_xlfn.XLOOKUP(Vendas[[#This Row],[ID Item Vendido]],Agregado[ID],Agregado[Custo])*Vendas[[#This Row],[Qnt Vendida]])</f>
        <v>12.600000000000009</v>
      </c>
      <c r="K959" s="70">
        <f>Vendas[[#This Row],[Lucro da Venda]]/Vendas[[#This Row],[Valor da Venda]]</f>
        <v>0.13043478260869573</v>
      </c>
      <c r="L959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959"/>
    </row>
    <row r="960" spans="1:13" x14ac:dyDescent="0.3">
      <c r="A960" s="7">
        <v>400251</v>
      </c>
      <c r="B960" t="str">
        <f>_xlfn.XLOOKUP(Vendas[[#This Row],[ID Vendedor]],Vendedores[ID],Vendedores[Nome])</f>
        <v>Diego</v>
      </c>
      <c r="C960" s="7" t="str">
        <f>_xlfn.XLOOKUP(Vendas[[#This Row],[ID Vendedor]],Vendedores[ID],Vendedores[Setor])</f>
        <v>AB</v>
      </c>
      <c r="D960" s="7" t="s">
        <v>37</v>
      </c>
      <c r="E960" t="str">
        <f>_xlfn.XLOOKUP(Vendas[[#This Row],[ID Item Vendido]],Agregado[ID],Agregado[Produto])</f>
        <v>Composto de borracha para vedação rolo 10m</v>
      </c>
      <c r="F960" s="39">
        <v>44270</v>
      </c>
      <c r="G960" s="7">
        <v>22</v>
      </c>
      <c r="H960" s="3">
        <f>_xlfn.XLOOKUP(Vendas[[#This Row],[ID Item Vendido]],Agregado[ID],Agregado[Revenda])</f>
        <v>51.2</v>
      </c>
      <c r="I960" s="3">
        <f>Vendas[[#This Row],[Valor Unitário]]*Vendas[[#This Row],[Qnt Vendida]]</f>
        <v>1126.4000000000001</v>
      </c>
      <c r="J960" s="3">
        <f>Vendas[[#This Row],[Valor da Venda]]-(_xlfn.XLOOKUP(Vendas[[#This Row],[ID Item Vendido]],Agregado[ID],Agregado[Custo])*Vendas[[#This Row],[Qnt Vendida]])</f>
        <v>246.40000000000009</v>
      </c>
      <c r="K960" s="70">
        <f>Vendas[[#This Row],[Lucro da Venda]]/Vendas[[#This Row],[Valor da Venda]]</f>
        <v>0.21875000000000006</v>
      </c>
      <c r="L960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960"/>
    </row>
    <row r="961" spans="1:13" x14ac:dyDescent="0.3">
      <c r="A961" s="7">
        <v>400247</v>
      </c>
      <c r="B961" t="str">
        <f>_xlfn.XLOOKUP(Vendas[[#This Row],[ID Vendedor]],Vendedores[ID],Vendedores[Nome])</f>
        <v>André</v>
      </c>
      <c r="C961" s="7" t="str">
        <f>_xlfn.XLOOKUP(Vendas[[#This Row],[ID Vendedor]],Vendedores[ID],Vendedores[Setor])</f>
        <v>CM</v>
      </c>
      <c r="D961" s="7" t="s">
        <v>45</v>
      </c>
      <c r="E961" t="str">
        <f>_xlfn.XLOOKUP(Vendas[[#This Row],[ID Item Vendido]],Agregado[ID],Agregado[Produto])</f>
        <v>Viga de madeira tratada 4m</v>
      </c>
      <c r="F961" s="39">
        <v>44270</v>
      </c>
      <c r="G961" s="7">
        <v>17</v>
      </c>
      <c r="H961" s="3">
        <f>_xlfn.XLOOKUP(Vendas[[#This Row],[ID Item Vendido]],Agregado[ID],Agregado[Revenda])</f>
        <v>66</v>
      </c>
      <c r="I961" s="3">
        <f>Vendas[[#This Row],[Valor Unitário]]*Vendas[[#This Row],[Qnt Vendida]]</f>
        <v>1122</v>
      </c>
      <c r="J961" s="3">
        <f>Vendas[[#This Row],[Valor da Venda]]-(_xlfn.XLOOKUP(Vendas[[#This Row],[ID Item Vendido]],Agregado[ID],Agregado[Custo])*Vendas[[#This Row],[Qnt Vendida]])</f>
        <v>187</v>
      </c>
      <c r="K961" s="70">
        <f>Vendas[[#This Row],[Lucro da Venda]]/Vendas[[#This Row],[Valor da Venda]]</f>
        <v>0.16666666666666666</v>
      </c>
      <c r="L961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961"/>
    </row>
    <row r="962" spans="1:13" x14ac:dyDescent="0.3">
      <c r="A962" s="7">
        <v>400247</v>
      </c>
      <c r="B962" t="str">
        <f>_xlfn.XLOOKUP(Vendas[[#This Row],[ID Vendedor]],Vendedores[ID],Vendedores[Nome])</f>
        <v>André</v>
      </c>
      <c r="C962" s="7" t="str">
        <f>_xlfn.XLOOKUP(Vendas[[#This Row],[ID Vendedor]],Vendedores[ID],Vendedores[Setor])</f>
        <v>CM</v>
      </c>
      <c r="D962" s="7" t="s">
        <v>22</v>
      </c>
      <c r="E962" t="str">
        <f>_xlfn.XLOOKUP(Vendas[[#This Row],[ID Item Vendido]],Agregado[ID],Agregado[Produto])</f>
        <v>Painel MDP 2,75x1,83m</v>
      </c>
      <c r="F962" s="39">
        <v>44270</v>
      </c>
      <c r="G962" s="7">
        <v>5</v>
      </c>
      <c r="H962" s="3">
        <f>_xlfn.XLOOKUP(Vendas[[#This Row],[ID Item Vendido]],Agregado[ID],Agregado[Revenda])</f>
        <v>119</v>
      </c>
      <c r="I962" s="3">
        <f>Vendas[[#This Row],[Valor Unitário]]*Vendas[[#This Row],[Qnt Vendida]]</f>
        <v>595</v>
      </c>
      <c r="J962" s="3">
        <f>Vendas[[#This Row],[Valor da Venda]]-(_xlfn.XLOOKUP(Vendas[[#This Row],[ID Item Vendido]],Agregado[ID],Agregado[Custo])*Vendas[[#This Row],[Qnt Vendida]])</f>
        <v>120</v>
      </c>
      <c r="K962" s="70">
        <f>Vendas[[#This Row],[Lucro da Venda]]/Vendas[[#This Row],[Valor da Venda]]</f>
        <v>0.20168067226890757</v>
      </c>
      <c r="L962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962"/>
    </row>
    <row r="963" spans="1:13" x14ac:dyDescent="0.3">
      <c r="A963" s="7">
        <v>400251</v>
      </c>
      <c r="B963" t="str">
        <f>_xlfn.XLOOKUP(Vendas[[#This Row],[ID Vendedor]],Vendedores[ID],Vendedores[Nome])</f>
        <v>Diego</v>
      </c>
      <c r="C963" s="7" t="str">
        <f>_xlfn.XLOOKUP(Vendas[[#This Row],[ID Vendedor]],Vendedores[ID],Vendedores[Setor])</f>
        <v>AB</v>
      </c>
      <c r="D963" s="7" t="s">
        <v>37</v>
      </c>
      <c r="E963" t="str">
        <f>_xlfn.XLOOKUP(Vendas[[#This Row],[ID Item Vendido]],Agregado[ID],Agregado[Produto])</f>
        <v>Composto de borracha para vedação rolo 10m</v>
      </c>
      <c r="F963" s="39">
        <v>44272</v>
      </c>
      <c r="G963" s="7">
        <v>24</v>
      </c>
      <c r="H963" s="3">
        <f>_xlfn.XLOOKUP(Vendas[[#This Row],[ID Item Vendido]],Agregado[ID],Agregado[Revenda])</f>
        <v>51.2</v>
      </c>
      <c r="I963" s="3">
        <f>Vendas[[#This Row],[Valor Unitário]]*Vendas[[#This Row],[Qnt Vendida]]</f>
        <v>1228.8000000000002</v>
      </c>
      <c r="J963" s="3">
        <f>Vendas[[#This Row],[Valor da Venda]]-(_xlfn.XLOOKUP(Vendas[[#This Row],[ID Item Vendido]],Agregado[ID],Agregado[Custo])*Vendas[[#This Row],[Qnt Vendida]])</f>
        <v>268.80000000000018</v>
      </c>
      <c r="K963" s="70">
        <f>Vendas[[#This Row],[Lucro da Venda]]/Vendas[[#This Row],[Valor da Venda]]</f>
        <v>0.21875000000000011</v>
      </c>
      <c r="L963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963"/>
    </row>
    <row r="964" spans="1:13" x14ac:dyDescent="0.3">
      <c r="A964" s="7">
        <v>400251</v>
      </c>
      <c r="B964" t="str">
        <f>_xlfn.XLOOKUP(Vendas[[#This Row],[ID Vendedor]],Vendedores[ID],Vendedores[Nome])</f>
        <v>Diego</v>
      </c>
      <c r="C964" s="7" t="str">
        <f>_xlfn.XLOOKUP(Vendas[[#This Row],[ID Vendedor]],Vendedores[ID],Vendedores[Setor])</f>
        <v>AB</v>
      </c>
      <c r="D964" s="7" t="s">
        <v>37</v>
      </c>
      <c r="E964" t="str">
        <f>_xlfn.XLOOKUP(Vendas[[#This Row],[ID Item Vendido]],Agregado[ID],Agregado[Produto])</f>
        <v>Composto de borracha para vedação rolo 10m</v>
      </c>
      <c r="F964" s="39">
        <v>44272</v>
      </c>
      <c r="G964" s="7">
        <v>10</v>
      </c>
      <c r="H964" s="3">
        <f>_xlfn.XLOOKUP(Vendas[[#This Row],[ID Item Vendido]],Agregado[ID],Agregado[Revenda])</f>
        <v>51.2</v>
      </c>
      <c r="I964" s="3">
        <f>Vendas[[#This Row],[Valor Unitário]]*Vendas[[#This Row],[Qnt Vendida]]</f>
        <v>512</v>
      </c>
      <c r="J964" s="3">
        <f>Vendas[[#This Row],[Valor da Venda]]-(_xlfn.XLOOKUP(Vendas[[#This Row],[ID Item Vendido]],Agregado[ID],Agregado[Custo])*Vendas[[#This Row],[Qnt Vendida]])</f>
        <v>112</v>
      </c>
      <c r="K964" s="70">
        <f>Vendas[[#This Row],[Lucro da Venda]]/Vendas[[#This Row],[Valor da Venda]]</f>
        <v>0.21875</v>
      </c>
      <c r="L964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964"/>
    </row>
    <row r="965" spans="1:13" x14ac:dyDescent="0.3">
      <c r="A965" s="7">
        <v>400251</v>
      </c>
      <c r="B965" t="str">
        <f>_xlfn.XLOOKUP(Vendas[[#This Row],[ID Vendedor]],Vendedores[ID],Vendedores[Nome])</f>
        <v>Diego</v>
      </c>
      <c r="C965" s="7" t="str">
        <f>_xlfn.XLOOKUP(Vendas[[#This Row],[ID Vendedor]],Vendedores[ID],Vendedores[Setor])</f>
        <v>AB</v>
      </c>
      <c r="D965" s="7" t="s">
        <v>36</v>
      </c>
      <c r="E965" t="str">
        <f>_xlfn.XLOOKUP(Vendas[[#This Row],[ID Item Vendido]],Agregado[ID],Agregado[Produto])</f>
        <v>Borracha vulcanizada em manta</v>
      </c>
      <c r="F965" s="39">
        <v>44274</v>
      </c>
      <c r="G965" s="7">
        <v>36</v>
      </c>
      <c r="H965" s="3">
        <f>_xlfn.XLOOKUP(Vendas[[#This Row],[ID Item Vendido]],Agregado[ID],Agregado[Revenda])</f>
        <v>7.8</v>
      </c>
      <c r="I965" s="3">
        <f>Vendas[[#This Row],[Valor Unitário]]*Vendas[[#This Row],[Qnt Vendida]]</f>
        <v>280.8</v>
      </c>
      <c r="J965" s="3">
        <f>Vendas[[#This Row],[Valor da Venda]]-(_xlfn.XLOOKUP(Vendas[[#This Row],[ID Item Vendido]],Agregado[ID],Agregado[Custo])*Vendas[[#This Row],[Qnt Vendida]])</f>
        <v>64.800000000000011</v>
      </c>
      <c r="K965" s="70">
        <f>Vendas[[#This Row],[Lucro da Venda]]/Vendas[[#This Row],[Valor da Venda]]</f>
        <v>0.23076923076923081</v>
      </c>
      <c r="L965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965"/>
    </row>
    <row r="966" spans="1:13" x14ac:dyDescent="0.3">
      <c r="A966" s="7">
        <v>400241</v>
      </c>
      <c r="B966" t="str">
        <f>_xlfn.XLOOKUP(Vendas[[#This Row],[ID Vendedor]],Vendedores[ID],Vendedores[Nome])</f>
        <v>Rodrigo</v>
      </c>
      <c r="C966" s="7" t="str">
        <f>_xlfn.XLOOKUP(Vendas[[#This Row],[ID Vendedor]],Vendedores[ID],Vendedores[Setor])</f>
        <v>FM</v>
      </c>
      <c r="D966" s="7" t="s">
        <v>27</v>
      </c>
      <c r="E966" t="str">
        <f>_xlfn.XLOOKUP(Vendas[[#This Row],[ID Item Vendido]],Agregado[ID],Agregado[Produto])</f>
        <v>Chapa de metal lisa 1x2m</v>
      </c>
      <c r="F966" s="39">
        <v>44277</v>
      </c>
      <c r="G966" s="7">
        <v>29</v>
      </c>
      <c r="H966" s="3">
        <f>_xlfn.XLOOKUP(Vendas[[#This Row],[ID Item Vendido]],Agregado[ID],Agregado[Revenda])</f>
        <v>52</v>
      </c>
      <c r="I966" s="3">
        <f>Vendas[[#This Row],[Valor Unitário]]*Vendas[[#This Row],[Qnt Vendida]]</f>
        <v>1508</v>
      </c>
      <c r="J966" s="3">
        <f>Vendas[[#This Row],[Valor da Venda]]-(_xlfn.XLOOKUP(Vendas[[#This Row],[ID Item Vendido]],Agregado[ID],Agregado[Custo])*Vendas[[#This Row],[Qnt Vendida]])</f>
        <v>203</v>
      </c>
      <c r="K966" s="70">
        <f>Vendas[[#This Row],[Lucro da Venda]]/Vendas[[#This Row],[Valor da Venda]]</f>
        <v>0.13461538461538461</v>
      </c>
      <c r="L966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966"/>
    </row>
    <row r="967" spans="1:13" x14ac:dyDescent="0.3">
      <c r="A967" s="7">
        <v>400253</v>
      </c>
      <c r="B967" t="str">
        <f>_xlfn.XLOOKUP(Vendas[[#This Row],[ID Vendedor]],Vendedores[ID],Vendedores[Nome])</f>
        <v>Gustavo</v>
      </c>
      <c r="C967" s="7" t="str">
        <f>_xlfn.XLOOKUP(Vendas[[#This Row],[ID Vendedor]],Vendedores[ID],Vendedores[Setor])</f>
        <v>SC</v>
      </c>
      <c r="D967" s="7" t="s">
        <v>48</v>
      </c>
      <c r="E967" t="str">
        <f>_xlfn.XLOOKUP(Vendas[[#This Row],[ID Item Vendido]],Agregado[ID],Agregado[Produto])</f>
        <v>Tambor metálico 200L</v>
      </c>
      <c r="F967" s="39">
        <v>44277</v>
      </c>
      <c r="G967" s="7">
        <v>9</v>
      </c>
      <c r="H967" s="3">
        <f>_xlfn.XLOOKUP(Vendas[[#This Row],[ID Item Vendido]],Agregado[ID],Agregado[Revenda])</f>
        <v>144</v>
      </c>
      <c r="I967" s="3">
        <f>Vendas[[#This Row],[Valor Unitário]]*Vendas[[#This Row],[Qnt Vendida]]</f>
        <v>1296</v>
      </c>
      <c r="J967" s="3">
        <f>Vendas[[#This Row],[Valor da Venda]]-(_xlfn.XLOOKUP(Vendas[[#This Row],[ID Item Vendido]],Agregado[ID],Agregado[Custo])*Vendas[[#This Row],[Qnt Vendida]])</f>
        <v>216</v>
      </c>
      <c r="K967" s="70">
        <f>Vendas[[#This Row],[Lucro da Venda]]/Vendas[[#This Row],[Valor da Venda]]</f>
        <v>0.16666666666666666</v>
      </c>
      <c r="L967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967"/>
    </row>
    <row r="968" spans="1:13" x14ac:dyDescent="0.3">
      <c r="A968" s="7">
        <v>400249</v>
      </c>
      <c r="B968" t="str">
        <f>_xlfn.XLOOKUP(Vendas[[#This Row],[ID Vendedor]],Vendedores[ID],Vendedores[Nome])</f>
        <v>Bruno</v>
      </c>
      <c r="C968" s="7" t="str">
        <f>_xlfn.XLOOKUP(Vendas[[#This Row],[ID Vendedor]],Vendedores[ID],Vendedores[Setor])</f>
        <v>CM</v>
      </c>
      <c r="D968" s="7" t="s">
        <v>34</v>
      </c>
      <c r="E968" t="str">
        <f>_xlfn.XLOOKUP(Vendas[[#This Row],[ID Item Vendido]],Agregado[ID],Agregado[Produto])</f>
        <v>Restos de madeira p/ MDP/OSB saco de 20kg</v>
      </c>
      <c r="F968" s="39">
        <v>44277</v>
      </c>
      <c r="G968" s="7">
        <v>8</v>
      </c>
      <c r="H968" s="3">
        <f>_xlfn.XLOOKUP(Vendas[[#This Row],[ID Item Vendido]],Agregado[ID],Agregado[Revenda])</f>
        <v>13.8</v>
      </c>
      <c r="I968" s="3">
        <f>Vendas[[#This Row],[Valor Unitário]]*Vendas[[#This Row],[Qnt Vendida]]</f>
        <v>110.4</v>
      </c>
      <c r="J968" s="3">
        <f>Vendas[[#This Row],[Valor da Venda]]-(_xlfn.XLOOKUP(Vendas[[#This Row],[ID Item Vendido]],Agregado[ID],Agregado[Custo])*Vendas[[#This Row],[Qnt Vendida]])</f>
        <v>14.400000000000006</v>
      </c>
      <c r="K968" s="70">
        <f>Vendas[[#This Row],[Lucro da Venda]]/Vendas[[#This Row],[Valor da Venda]]</f>
        <v>0.1304347826086957</v>
      </c>
      <c r="L968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968"/>
    </row>
    <row r="969" spans="1:13" x14ac:dyDescent="0.3">
      <c r="A969" s="7">
        <v>400247</v>
      </c>
      <c r="B969" t="str">
        <f>_xlfn.XLOOKUP(Vendas[[#This Row],[ID Vendedor]],Vendedores[ID],Vendedores[Nome])</f>
        <v>André</v>
      </c>
      <c r="C969" s="7" t="str">
        <f>_xlfn.XLOOKUP(Vendas[[#This Row],[ID Vendedor]],Vendedores[ID],Vendedores[Setor])</f>
        <v>CM</v>
      </c>
      <c r="D969" s="7" t="s">
        <v>43</v>
      </c>
      <c r="E969" t="str">
        <f>_xlfn.XLOOKUP(Vendas[[#This Row],[ID Item Vendido]],Agregado[ID],Agregado[Produto])</f>
        <v>Madeira Bruta (Tora)</v>
      </c>
      <c r="F969" s="39">
        <v>44279</v>
      </c>
      <c r="G969" s="7">
        <v>13</v>
      </c>
      <c r="H969" s="3">
        <f>_xlfn.XLOOKUP(Vendas[[#This Row],[ID Item Vendido]],Agregado[ID],Agregado[Revenda])</f>
        <v>212</v>
      </c>
      <c r="I969" s="3">
        <f>Vendas[[#This Row],[Valor Unitário]]*Vendas[[#This Row],[Qnt Vendida]]</f>
        <v>2756</v>
      </c>
      <c r="J969" s="3">
        <f>Vendas[[#This Row],[Valor da Venda]]-(_xlfn.XLOOKUP(Vendas[[#This Row],[ID Item Vendido]],Agregado[ID],Agregado[Custo])*Vendas[[#This Row],[Qnt Vendida]])</f>
        <v>416</v>
      </c>
      <c r="K969" s="70">
        <f>Vendas[[#This Row],[Lucro da Venda]]/Vendas[[#This Row],[Valor da Venda]]</f>
        <v>0.15094339622641509</v>
      </c>
      <c r="L969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969"/>
    </row>
    <row r="970" spans="1:13" x14ac:dyDescent="0.3">
      <c r="A970" s="7">
        <v>400244</v>
      </c>
      <c r="B970" t="str">
        <f>_xlfn.XLOOKUP(Vendas[[#This Row],[ID Vendedor]],Vendedores[ID],Vendedores[Nome])</f>
        <v>Camila</v>
      </c>
      <c r="C970" s="7" t="str">
        <f>_xlfn.XLOOKUP(Vendas[[#This Row],[ID Vendedor]],Vendedores[ID],Vendedores[Setor])</f>
        <v>AHD</v>
      </c>
      <c r="D970" s="7" t="s">
        <v>28</v>
      </c>
      <c r="E970" t="str">
        <f>_xlfn.XLOOKUP(Vendas[[#This Row],[ID Item Vendido]],Agregado[ID],Agregado[Produto])</f>
        <v>Peça usinada CNC</v>
      </c>
      <c r="F970" s="39">
        <v>44280</v>
      </c>
      <c r="G970" s="7">
        <v>11</v>
      </c>
      <c r="H970" s="3">
        <f>_xlfn.XLOOKUP(Vendas[[#This Row],[ID Item Vendido]],Agregado[ID],Agregado[Revenda])</f>
        <v>192</v>
      </c>
      <c r="I970" s="3">
        <f>Vendas[[#This Row],[Valor Unitário]]*Vendas[[#This Row],[Qnt Vendida]]</f>
        <v>2112</v>
      </c>
      <c r="J970" s="3">
        <f>Vendas[[#This Row],[Valor da Venda]]-(_xlfn.XLOOKUP(Vendas[[#This Row],[ID Item Vendido]],Agregado[ID],Agregado[Custo])*Vendas[[#This Row],[Qnt Vendida]])</f>
        <v>462</v>
      </c>
      <c r="K970" s="70">
        <f>Vendas[[#This Row],[Lucro da Venda]]/Vendas[[#This Row],[Valor da Venda]]</f>
        <v>0.21875</v>
      </c>
      <c r="L970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970"/>
    </row>
    <row r="971" spans="1:13" x14ac:dyDescent="0.3">
      <c r="A971" s="7">
        <v>400244</v>
      </c>
      <c r="B971" t="str">
        <f>_xlfn.XLOOKUP(Vendas[[#This Row],[ID Vendedor]],Vendedores[ID],Vendedores[Nome])</f>
        <v>Camila</v>
      </c>
      <c r="C971" s="7" t="str">
        <f>_xlfn.XLOOKUP(Vendas[[#This Row],[ID Vendedor]],Vendedores[ID],Vendedores[Setor])</f>
        <v>AHD</v>
      </c>
      <c r="D971" s="7" t="s">
        <v>44</v>
      </c>
      <c r="E971" t="str">
        <f>_xlfn.XLOOKUP(Vendas[[#This Row],[ID Item Vendido]],Agregado[ID],Agregado[Produto])</f>
        <v>Liga metálica especial</v>
      </c>
      <c r="F971" s="39">
        <v>44280</v>
      </c>
      <c r="G971" s="7">
        <v>8</v>
      </c>
      <c r="H971" s="3">
        <f>_xlfn.XLOOKUP(Vendas[[#This Row],[ID Item Vendido]],Agregado[ID],Agregado[Revenda])</f>
        <v>32.5</v>
      </c>
      <c r="I971" s="3">
        <f>Vendas[[#This Row],[Valor Unitário]]*Vendas[[#This Row],[Qnt Vendida]]</f>
        <v>260</v>
      </c>
      <c r="J971" s="3">
        <f>Vendas[[#This Row],[Valor da Venda]]-(_xlfn.XLOOKUP(Vendas[[#This Row],[ID Item Vendido]],Agregado[ID],Agregado[Custo])*Vendas[[#This Row],[Qnt Vendida]])</f>
        <v>60</v>
      </c>
      <c r="K971" s="70">
        <f>Vendas[[#This Row],[Lucro da Venda]]/Vendas[[#This Row],[Valor da Venda]]</f>
        <v>0.23076923076923078</v>
      </c>
      <c r="L971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971"/>
    </row>
    <row r="972" spans="1:13" x14ac:dyDescent="0.3">
      <c r="A972" s="7">
        <v>400249</v>
      </c>
      <c r="B972" t="str">
        <f>_xlfn.XLOOKUP(Vendas[[#This Row],[ID Vendedor]],Vendedores[ID],Vendedores[Nome])</f>
        <v>Bruno</v>
      </c>
      <c r="C972" s="7" t="str">
        <f>_xlfn.XLOOKUP(Vendas[[#This Row],[ID Vendedor]],Vendedores[ID],Vendedores[Setor])</f>
        <v>CM</v>
      </c>
      <c r="D972" s="7" t="s">
        <v>34</v>
      </c>
      <c r="E972" t="str">
        <f>_xlfn.XLOOKUP(Vendas[[#This Row],[ID Item Vendido]],Agregado[ID],Agregado[Produto])</f>
        <v>Restos de madeira p/ MDP/OSB saco de 20kg</v>
      </c>
      <c r="F972" s="39">
        <v>44280</v>
      </c>
      <c r="G972" s="7">
        <v>12</v>
      </c>
      <c r="H972" s="3">
        <f>_xlfn.XLOOKUP(Vendas[[#This Row],[ID Item Vendido]],Agregado[ID],Agregado[Revenda])</f>
        <v>13.8</v>
      </c>
      <c r="I972" s="3">
        <f>Vendas[[#This Row],[Valor Unitário]]*Vendas[[#This Row],[Qnt Vendida]]</f>
        <v>165.60000000000002</v>
      </c>
      <c r="J972" s="3">
        <f>Vendas[[#This Row],[Valor da Venda]]-(_xlfn.XLOOKUP(Vendas[[#This Row],[ID Item Vendido]],Agregado[ID],Agregado[Custo])*Vendas[[#This Row],[Qnt Vendida]])</f>
        <v>21.600000000000023</v>
      </c>
      <c r="K972" s="70">
        <f>Vendas[[#This Row],[Lucro da Venda]]/Vendas[[#This Row],[Valor da Venda]]</f>
        <v>0.13043478260869576</v>
      </c>
      <c r="L972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972"/>
    </row>
    <row r="973" spans="1:13" x14ac:dyDescent="0.3">
      <c r="A973" s="7">
        <v>400249</v>
      </c>
      <c r="B973" t="str">
        <f>_xlfn.XLOOKUP(Vendas[[#This Row],[ID Vendedor]],Vendedores[ID],Vendedores[Nome])</f>
        <v>Bruno</v>
      </c>
      <c r="C973" s="7" t="str">
        <f>_xlfn.XLOOKUP(Vendas[[#This Row],[ID Vendedor]],Vendedores[ID],Vendedores[Setor])</f>
        <v>CM</v>
      </c>
      <c r="D973" s="7" t="s">
        <v>43</v>
      </c>
      <c r="E973" t="str">
        <f>_xlfn.XLOOKUP(Vendas[[#This Row],[ID Item Vendido]],Agregado[ID],Agregado[Produto])</f>
        <v>Madeira Bruta (Tora)</v>
      </c>
      <c r="F973" s="39">
        <v>44281</v>
      </c>
      <c r="G973" s="7">
        <v>5</v>
      </c>
      <c r="H973" s="3">
        <f>_xlfn.XLOOKUP(Vendas[[#This Row],[ID Item Vendido]],Agregado[ID],Agregado[Revenda])</f>
        <v>212</v>
      </c>
      <c r="I973" s="3">
        <f>Vendas[[#This Row],[Valor Unitário]]*Vendas[[#This Row],[Qnt Vendida]]</f>
        <v>1060</v>
      </c>
      <c r="J973" s="3">
        <f>Vendas[[#This Row],[Valor da Venda]]-(_xlfn.XLOOKUP(Vendas[[#This Row],[ID Item Vendido]],Agregado[ID],Agregado[Custo])*Vendas[[#This Row],[Qnt Vendida]])</f>
        <v>160</v>
      </c>
      <c r="K973" s="70">
        <f>Vendas[[#This Row],[Lucro da Venda]]/Vendas[[#This Row],[Valor da Venda]]</f>
        <v>0.15094339622641509</v>
      </c>
      <c r="L973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973"/>
    </row>
    <row r="974" spans="1:13" x14ac:dyDescent="0.3">
      <c r="A974" s="7">
        <v>400249</v>
      </c>
      <c r="B974" t="str">
        <f>_xlfn.XLOOKUP(Vendas[[#This Row],[ID Vendedor]],Vendedores[ID],Vendedores[Nome])</f>
        <v>Bruno</v>
      </c>
      <c r="C974" s="7" t="str">
        <f>_xlfn.XLOOKUP(Vendas[[#This Row],[ID Vendedor]],Vendedores[ID],Vendedores[Setor])</f>
        <v>CM</v>
      </c>
      <c r="D974" s="7" t="s">
        <v>32</v>
      </c>
      <c r="E974" t="str">
        <f>_xlfn.XLOOKUP(Vendas[[#This Row],[ID Item Vendido]],Agregado[ID],Agregado[Produto])</f>
        <v>Tábua tratada e cortada 3m</v>
      </c>
      <c r="F974" s="39">
        <v>44281</v>
      </c>
      <c r="G974" s="7">
        <v>22</v>
      </c>
      <c r="H974" s="3">
        <f>_xlfn.XLOOKUP(Vendas[[#This Row],[ID Item Vendido]],Agregado[ID],Agregado[Revenda])</f>
        <v>39</v>
      </c>
      <c r="I974" s="3">
        <f>Vendas[[#This Row],[Valor Unitário]]*Vendas[[#This Row],[Qnt Vendida]]</f>
        <v>858</v>
      </c>
      <c r="J974" s="3">
        <f>Vendas[[#This Row],[Valor da Venda]]-(_xlfn.XLOOKUP(Vendas[[#This Row],[ID Item Vendido]],Agregado[ID],Agregado[Custo])*Vendas[[#This Row],[Qnt Vendida]])</f>
        <v>154</v>
      </c>
      <c r="K974" s="70">
        <f>Vendas[[#This Row],[Lucro da Venda]]/Vendas[[#This Row],[Valor da Venda]]</f>
        <v>0.17948717948717949</v>
      </c>
      <c r="L974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974"/>
    </row>
    <row r="975" spans="1:13" x14ac:dyDescent="0.3">
      <c r="A975" s="7">
        <v>400241</v>
      </c>
      <c r="B975" t="str">
        <f>_xlfn.XLOOKUP(Vendas[[#This Row],[ID Vendedor]],Vendedores[ID],Vendedores[Nome])</f>
        <v>Rodrigo</v>
      </c>
      <c r="C975" s="7" t="str">
        <f>_xlfn.XLOOKUP(Vendas[[#This Row],[ID Vendedor]],Vendedores[ID],Vendedores[Setor])</f>
        <v>FM</v>
      </c>
      <c r="D975" s="7" t="s">
        <v>20</v>
      </c>
      <c r="E975" t="str">
        <f>_xlfn.XLOOKUP(Vendas[[#This Row],[ID Item Vendido]],Agregado[ID],Agregado[Produto])</f>
        <v>Barra de aço simples</v>
      </c>
      <c r="F975" s="39">
        <v>44281</v>
      </c>
      <c r="G975" s="7">
        <v>70</v>
      </c>
      <c r="H975" s="3">
        <f>_xlfn.XLOOKUP(Vendas[[#This Row],[ID Item Vendido]],Agregado[ID],Agregado[Revenda])</f>
        <v>4.8</v>
      </c>
      <c r="I975" s="3">
        <f>Vendas[[#This Row],[Valor Unitário]]*Vendas[[#This Row],[Qnt Vendida]]</f>
        <v>336</v>
      </c>
      <c r="J975" s="3">
        <f>Vendas[[#This Row],[Valor da Venda]]-(_xlfn.XLOOKUP(Vendas[[#This Row],[ID Item Vendido]],Agregado[ID],Agregado[Custo])*Vendas[[#This Row],[Qnt Vendida]])</f>
        <v>42</v>
      </c>
      <c r="K975" s="70">
        <f>Vendas[[#This Row],[Lucro da Venda]]/Vendas[[#This Row],[Valor da Venda]]</f>
        <v>0.125</v>
      </c>
      <c r="L975" s="3">
        <f>_xlfn.IFS(Vendas[[#This Row],[Margem de Lucro (%)]]&lt;15%,Vendas[[#This Row],[Valor da Venda]]*3%,Vendas[[#This Row],[Margem de Lucro (%)]]&lt;=20%,Vendas[[#This Row],[Valor da Venda]]*4.5%,TRUE,Vendas[[#This Row],[Valor da Venda]]*6%)</f>
        <v>10.08</v>
      </c>
      <c r="M975"/>
    </row>
    <row r="976" spans="1:13" x14ac:dyDescent="0.3">
      <c r="A976" s="7">
        <v>400241</v>
      </c>
      <c r="B976" t="str">
        <f>_xlfn.XLOOKUP(Vendas[[#This Row],[ID Vendedor]],Vendedores[ID],Vendedores[Nome])</f>
        <v>Rodrigo</v>
      </c>
      <c r="C976" s="7" t="str">
        <f>_xlfn.XLOOKUP(Vendas[[#This Row],[ID Vendedor]],Vendedores[ID],Vendedores[Setor])</f>
        <v>FM</v>
      </c>
      <c r="D976" s="7" t="s">
        <v>27</v>
      </c>
      <c r="E976" t="str">
        <f>_xlfn.XLOOKUP(Vendas[[#This Row],[ID Item Vendido]],Agregado[ID],Agregado[Produto])</f>
        <v>Chapa de metal lisa 1x2m</v>
      </c>
      <c r="F976" s="39">
        <v>44282</v>
      </c>
      <c r="G976" s="7">
        <v>5</v>
      </c>
      <c r="H976" s="3">
        <f>_xlfn.XLOOKUP(Vendas[[#This Row],[ID Item Vendido]],Agregado[ID],Agregado[Revenda])</f>
        <v>52</v>
      </c>
      <c r="I976" s="3">
        <f>Vendas[[#This Row],[Valor Unitário]]*Vendas[[#This Row],[Qnt Vendida]]</f>
        <v>260</v>
      </c>
      <c r="J976" s="3">
        <f>Vendas[[#This Row],[Valor da Venda]]-(_xlfn.XLOOKUP(Vendas[[#This Row],[ID Item Vendido]],Agregado[ID],Agregado[Custo])*Vendas[[#This Row],[Qnt Vendida]])</f>
        <v>35</v>
      </c>
      <c r="K976" s="70">
        <f>Vendas[[#This Row],[Lucro da Venda]]/Vendas[[#This Row],[Valor da Venda]]</f>
        <v>0.13461538461538461</v>
      </c>
      <c r="L976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976"/>
    </row>
    <row r="977" spans="1:13" x14ac:dyDescent="0.3">
      <c r="A977" s="7">
        <v>400253</v>
      </c>
      <c r="B977" t="str">
        <f>_xlfn.XLOOKUP(Vendas[[#This Row],[ID Vendedor]],Vendedores[ID],Vendedores[Nome])</f>
        <v>Gustavo</v>
      </c>
      <c r="C977" s="7" t="str">
        <f>_xlfn.XLOOKUP(Vendas[[#This Row],[ID Vendedor]],Vendedores[ID],Vendedores[Setor])</f>
        <v>SC</v>
      </c>
      <c r="D977" s="7" t="s">
        <v>48</v>
      </c>
      <c r="E977" t="str">
        <f>_xlfn.XLOOKUP(Vendas[[#This Row],[ID Item Vendido]],Agregado[ID],Agregado[Produto])</f>
        <v>Tambor metálico 200L</v>
      </c>
      <c r="F977" s="39">
        <v>44283</v>
      </c>
      <c r="G977" s="7">
        <v>4</v>
      </c>
      <c r="H977" s="3">
        <f>_xlfn.XLOOKUP(Vendas[[#This Row],[ID Item Vendido]],Agregado[ID],Agregado[Revenda])</f>
        <v>144</v>
      </c>
      <c r="I977" s="3">
        <f>Vendas[[#This Row],[Valor Unitário]]*Vendas[[#This Row],[Qnt Vendida]]</f>
        <v>576</v>
      </c>
      <c r="J977" s="3">
        <f>Vendas[[#This Row],[Valor da Venda]]-(_xlfn.XLOOKUP(Vendas[[#This Row],[ID Item Vendido]],Agregado[ID],Agregado[Custo])*Vendas[[#This Row],[Qnt Vendida]])</f>
        <v>96</v>
      </c>
      <c r="K977" s="70">
        <f>Vendas[[#This Row],[Lucro da Venda]]/Vendas[[#This Row],[Valor da Venda]]</f>
        <v>0.16666666666666666</v>
      </c>
      <c r="L977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977"/>
    </row>
    <row r="978" spans="1:13" x14ac:dyDescent="0.3">
      <c r="A978" s="7">
        <v>400241</v>
      </c>
      <c r="B978" t="str">
        <f>_xlfn.XLOOKUP(Vendas[[#This Row],[ID Vendedor]],Vendedores[ID],Vendedores[Nome])</f>
        <v>Rodrigo</v>
      </c>
      <c r="C978" s="7" t="str">
        <f>_xlfn.XLOOKUP(Vendas[[#This Row],[ID Vendedor]],Vendedores[ID],Vendedores[Setor])</f>
        <v>FM</v>
      </c>
      <c r="D978" s="7" t="s">
        <v>47</v>
      </c>
      <c r="E978" t="str">
        <f>_xlfn.XLOOKUP(Vendas[[#This Row],[ID Item Vendido]],Agregado[ID],Agregado[Produto])</f>
        <v>Fio de arame galvanizado rolo 50m</v>
      </c>
      <c r="F978" s="39">
        <v>44283</v>
      </c>
      <c r="G978" s="7">
        <v>22</v>
      </c>
      <c r="H978" s="3">
        <f>_xlfn.XLOOKUP(Vendas[[#This Row],[ID Item Vendido]],Agregado[ID],Agregado[Revenda])</f>
        <v>21.2</v>
      </c>
      <c r="I978" s="3">
        <f>Vendas[[#This Row],[Valor Unitário]]*Vendas[[#This Row],[Qnt Vendida]]</f>
        <v>466.4</v>
      </c>
      <c r="J978" s="3">
        <f>Vendas[[#This Row],[Valor da Venda]]-(_xlfn.XLOOKUP(Vendas[[#This Row],[ID Item Vendido]],Agregado[ID],Agregado[Custo])*Vendas[[#This Row],[Qnt Vendida]])</f>
        <v>70.399999999999977</v>
      </c>
      <c r="K978" s="70">
        <f>Vendas[[#This Row],[Lucro da Venda]]/Vendas[[#This Row],[Valor da Venda]]</f>
        <v>0.15094339622641506</v>
      </c>
      <c r="L978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978"/>
    </row>
    <row r="979" spans="1:13" x14ac:dyDescent="0.3">
      <c r="A979" s="7">
        <v>400251</v>
      </c>
      <c r="B979" t="str">
        <f>_xlfn.XLOOKUP(Vendas[[#This Row],[ID Vendedor]],Vendedores[ID],Vendedores[Nome])</f>
        <v>Diego</v>
      </c>
      <c r="C979" s="7" t="str">
        <f>_xlfn.XLOOKUP(Vendas[[#This Row],[ID Vendedor]],Vendedores[ID],Vendedores[Setor])</f>
        <v>AB</v>
      </c>
      <c r="D979" s="7" t="s">
        <v>37</v>
      </c>
      <c r="E979" t="str">
        <f>_xlfn.XLOOKUP(Vendas[[#This Row],[ID Item Vendido]],Agregado[ID],Agregado[Produto])</f>
        <v>Composto de borracha para vedação rolo 10m</v>
      </c>
      <c r="F979" s="39">
        <v>44283</v>
      </c>
      <c r="G979" s="7">
        <v>5</v>
      </c>
      <c r="H979" s="3">
        <f>_xlfn.XLOOKUP(Vendas[[#This Row],[ID Item Vendido]],Agregado[ID],Agregado[Revenda])</f>
        <v>51.2</v>
      </c>
      <c r="I979" s="3">
        <f>Vendas[[#This Row],[Valor Unitário]]*Vendas[[#This Row],[Qnt Vendida]]</f>
        <v>256</v>
      </c>
      <c r="J979" s="3">
        <f>Vendas[[#This Row],[Valor da Venda]]-(_xlfn.XLOOKUP(Vendas[[#This Row],[ID Item Vendido]],Agregado[ID],Agregado[Custo])*Vendas[[#This Row],[Qnt Vendida]])</f>
        <v>56</v>
      </c>
      <c r="K979" s="70">
        <f>Vendas[[#This Row],[Lucro da Venda]]/Vendas[[#This Row],[Valor da Venda]]</f>
        <v>0.21875</v>
      </c>
      <c r="L979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979"/>
    </row>
    <row r="980" spans="1:13" x14ac:dyDescent="0.3">
      <c r="A980" s="7">
        <v>400255</v>
      </c>
      <c r="B980" t="str">
        <f>_xlfn.XLOOKUP(Vendas[[#This Row],[ID Vendedor]],Vendedores[ID],Vendedores[Nome])</f>
        <v>Carlos</v>
      </c>
      <c r="C980" s="7" t="str">
        <f>_xlfn.XLOOKUP(Vendas[[#This Row],[ID Vendedor]],Vendedores[ID],Vendedores[Setor])</f>
        <v>SC</v>
      </c>
      <c r="D980" s="7" t="s">
        <v>48</v>
      </c>
      <c r="E980" t="str">
        <f>_xlfn.XLOOKUP(Vendas[[#This Row],[ID Item Vendido]],Agregado[ID],Agregado[Produto])</f>
        <v>Tambor metálico 200L</v>
      </c>
      <c r="F980" s="39">
        <v>44284</v>
      </c>
      <c r="G980" s="7">
        <v>6</v>
      </c>
      <c r="H980" s="3">
        <f>_xlfn.XLOOKUP(Vendas[[#This Row],[ID Item Vendido]],Agregado[ID],Agregado[Revenda])</f>
        <v>144</v>
      </c>
      <c r="I980" s="3">
        <f>Vendas[[#This Row],[Valor Unitário]]*Vendas[[#This Row],[Qnt Vendida]]</f>
        <v>864</v>
      </c>
      <c r="J980" s="3">
        <f>Vendas[[#This Row],[Valor da Venda]]-(_xlfn.XLOOKUP(Vendas[[#This Row],[ID Item Vendido]],Agregado[ID],Agregado[Custo])*Vendas[[#This Row],[Qnt Vendida]])</f>
        <v>144</v>
      </c>
      <c r="K980" s="70">
        <f>Vendas[[#This Row],[Lucro da Venda]]/Vendas[[#This Row],[Valor da Venda]]</f>
        <v>0.16666666666666666</v>
      </c>
      <c r="L980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980"/>
    </row>
    <row r="981" spans="1:13" x14ac:dyDescent="0.3">
      <c r="A981" s="7">
        <v>400251</v>
      </c>
      <c r="B981" t="str">
        <f>_xlfn.XLOOKUP(Vendas[[#This Row],[ID Vendedor]],Vendedores[ID],Vendedores[Nome])</f>
        <v>Diego</v>
      </c>
      <c r="C981" s="7" t="str">
        <f>_xlfn.XLOOKUP(Vendas[[#This Row],[ID Vendedor]],Vendedores[ID],Vendedores[Setor])</f>
        <v>AB</v>
      </c>
      <c r="D981" s="7" t="s">
        <v>12</v>
      </c>
      <c r="E981" t="str">
        <f>_xlfn.XLOOKUP(Vendas[[#This Row],[ID Item Vendido]],Agregado[ID],Agregado[Produto])</f>
        <v>Grânulo de plástico reciclado refinado</v>
      </c>
      <c r="F981" s="39">
        <v>44284</v>
      </c>
      <c r="G981" s="7">
        <v>53</v>
      </c>
      <c r="H981" s="3">
        <f>_xlfn.XLOOKUP(Vendas[[#This Row],[ID Item Vendido]],Agregado[ID],Agregado[Revenda])</f>
        <v>4.7</v>
      </c>
      <c r="I981" s="3">
        <f>Vendas[[#This Row],[Valor Unitário]]*Vendas[[#This Row],[Qnt Vendida]]</f>
        <v>249.10000000000002</v>
      </c>
      <c r="J981" s="3">
        <f>Vendas[[#This Row],[Valor da Venda]]-(_xlfn.XLOOKUP(Vendas[[#This Row],[ID Item Vendido]],Agregado[ID],Agregado[Custo])*Vendas[[#This Row],[Qnt Vendida]])</f>
        <v>63.600000000000023</v>
      </c>
      <c r="K981" s="70">
        <f>Vendas[[#This Row],[Lucro da Venda]]/Vendas[[#This Row],[Valor da Venda]]</f>
        <v>0.2553191489361703</v>
      </c>
      <c r="L981" s="3">
        <f>_xlfn.IFS(Vendas[[#This Row],[Margem de Lucro (%)]]&lt;15%,Vendas[[#This Row],[Valor da Venda]]*3%,Vendas[[#This Row],[Margem de Lucro (%)]]&lt;=20%,Vendas[[#This Row],[Valor da Venda]]*4.5%,TRUE,Vendas[[#This Row],[Valor da Venda]]*6%)</f>
        <v>14.946000000000002</v>
      </c>
      <c r="M981"/>
    </row>
    <row r="982" spans="1:13" x14ac:dyDescent="0.3">
      <c r="A982" s="7">
        <v>400253</v>
      </c>
      <c r="B982" t="str">
        <f>_xlfn.XLOOKUP(Vendas[[#This Row],[ID Vendedor]],Vendedores[ID],Vendedores[Nome])</f>
        <v>Gustavo</v>
      </c>
      <c r="C982" s="7" t="str">
        <f>_xlfn.XLOOKUP(Vendas[[#This Row],[ID Vendedor]],Vendedores[ID],Vendedores[Setor])</f>
        <v>SC</v>
      </c>
      <c r="D982" s="7" t="s">
        <v>48</v>
      </c>
      <c r="E982" t="str">
        <f>_xlfn.XLOOKUP(Vendas[[#This Row],[ID Item Vendido]],Agregado[ID],Agregado[Produto])</f>
        <v>Tambor metálico 200L</v>
      </c>
      <c r="F982" s="39">
        <v>44285</v>
      </c>
      <c r="G982" s="7">
        <v>13</v>
      </c>
      <c r="H982" s="3">
        <f>_xlfn.XLOOKUP(Vendas[[#This Row],[ID Item Vendido]],Agregado[ID],Agregado[Revenda])</f>
        <v>144</v>
      </c>
      <c r="I982" s="3">
        <f>Vendas[[#This Row],[Valor Unitário]]*Vendas[[#This Row],[Qnt Vendida]]</f>
        <v>1872</v>
      </c>
      <c r="J982" s="3">
        <f>Vendas[[#This Row],[Valor da Venda]]-(_xlfn.XLOOKUP(Vendas[[#This Row],[ID Item Vendido]],Agregado[ID],Agregado[Custo])*Vendas[[#This Row],[Qnt Vendida]])</f>
        <v>312</v>
      </c>
      <c r="K982" s="70">
        <f>Vendas[[#This Row],[Lucro da Venda]]/Vendas[[#This Row],[Valor da Venda]]</f>
        <v>0.16666666666666666</v>
      </c>
      <c r="L982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982"/>
    </row>
    <row r="983" spans="1:13" x14ac:dyDescent="0.3">
      <c r="A983" s="7">
        <v>400243</v>
      </c>
      <c r="B983" t="str">
        <f>_xlfn.XLOOKUP(Vendas[[#This Row],[ID Vendedor]],Vendedores[ID],Vendedores[Nome])</f>
        <v>Marcelo</v>
      </c>
      <c r="C983" s="7" t="str">
        <f>_xlfn.XLOOKUP(Vendas[[#This Row],[ID Vendedor]],Vendedores[ID],Vendedores[Setor])</f>
        <v>FM</v>
      </c>
      <c r="D983" s="7" t="s">
        <v>47</v>
      </c>
      <c r="E983" t="str">
        <f>_xlfn.XLOOKUP(Vendas[[#This Row],[ID Item Vendido]],Agregado[ID],Agregado[Produto])</f>
        <v>Fio de arame galvanizado rolo 50m</v>
      </c>
      <c r="F983" s="39">
        <v>44285</v>
      </c>
      <c r="G983" s="7">
        <v>34</v>
      </c>
      <c r="H983" s="3">
        <f>_xlfn.XLOOKUP(Vendas[[#This Row],[ID Item Vendido]],Agregado[ID],Agregado[Revenda])</f>
        <v>21.2</v>
      </c>
      <c r="I983" s="3">
        <f>Vendas[[#This Row],[Valor Unitário]]*Vendas[[#This Row],[Qnt Vendida]]</f>
        <v>720.8</v>
      </c>
      <c r="J983" s="3">
        <f>Vendas[[#This Row],[Valor da Venda]]-(_xlfn.XLOOKUP(Vendas[[#This Row],[ID Item Vendido]],Agregado[ID],Agregado[Custo])*Vendas[[#This Row],[Qnt Vendida]])</f>
        <v>108.79999999999995</v>
      </c>
      <c r="K983" s="70">
        <f>Vendas[[#This Row],[Lucro da Venda]]/Vendas[[#This Row],[Valor da Venda]]</f>
        <v>0.15094339622641503</v>
      </c>
      <c r="L983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983"/>
    </row>
    <row r="984" spans="1:13" x14ac:dyDescent="0.3">
      <c r="A984" s="7">
        <v>400241</v>
      </c>
      <c r="B984" t="str">
        <f>_xlfn.XLOOKUP(Vendas[[#This Row],[ID Vendedor]],Vendedores[ID],Vendedores[Nome])</f>
        <v>Rodrigo</v>
      </c>
      <c r="C984" s="7" t="str">
        <f>_xlfn.XLOOKUP(Vendas[[#This Row],[ID Vendedor]],Vendedores[ID],Vendedores[Setor])</f>
        <v>FM</v>
      </c>
      <c r="D984" s="7" t="s">
        <v>31</v>
      </c>
      <c r="E984" t="str">
        <f>_xlfn.XLOOKUP(Vendas[[#This Row],[ID Item Vendido]],Agregado[ID],Agregado[Produto])</f>
        <v>Tela de metal soldada rolo 2x25m</v>
      </c>
      <c r="F984" s="39">
        <v>44286</v>
      </c>
      <c r="G984" s="7">
        <v>7</v>
      </c>
      <c r="H984" s="3">
        <f>_xlfn.XLOOKUP(Vendas[[#This Row],[ID Item Vendido]],Agregado[ID],Agregado[Revenda])</f>
        <v>43.7</v>
      </c>
      <c r="I984" s="3">
        <f>Vendas[[#This Row],[Valor Unitário]]*Vendas[[#This Row],[Qnt Vendida]]</f>
        <v>305.90000000000003</v>
      </c>
      <c r="J984" s="3">
        <f>Vendas[[#This Row],[Valor da Venda]]-(_xlfn.XLOOKUP(Vendas[[#This Row],[ID Item Vendido]],Agregado[ID],Agregado[Custo])*Vendas[[#This Row],[Qnt Vendida]])</f>
        <v>39.900000000000034</v>
      </c>
      <c r="K984" s="70">
        <f>Vendas[[#This Row],[Lucro da Venda]]/Vendas[[#This Row],[Valor da Venda]]</f>
        <v>0.13043478260869576</v>
      </c>
      <c r="L984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984"/>
    </row>
    <row r="985" spans="1:13" x14ac:dyDescent="0.3">
      <c r="A985" s="7">
        <v>400243</v>
      </c>
      <c r="B985" t="str">
        <f>_xlfn.XLOOKUP(Vendas[[#This Row],[ID Vendedor]],Vendedores[ID],Vendedores[Nome])</f>
        <v>Marcelo</v>
      </c>
      <c r="C985" s="7" t="str">
        <f>_xlfn.XLOOKUP(Vendas[[#This Row],[ID Vendedor]],Vendedores[ID],Vendedores[Setor])</f>
        <v>FM</v>
      </c>
      <c r="D985" s="7" t="s">
        <v>6</v>
      </c>
      <c r="E985" t="str">
        <f>_xlfn.XLOOKUP(Vendas[[#This Row],[ID Item Vendido]],Agregado[ID],Agregado[Produto])</f>
        <v>Parafuso comum 500un</v>
      </c>
      <c r="F985" s="39">
        <v>44286</v>
      </c>
      <c r="G985" s="7">
        <v>12</v>
      </c>
      <c r="H985" s="3">
        <f>_xlfn.XLOOKUP(Vendas[[#This Row],[ID Item Vendido]],Agregado[ID],Agregado[Revenda])</f>
        <v>24.6</v>
      </c>
      <c r="I985" s="3">
        <f>Vendas[[#This Row],[Valor Unitário]]*Vendas[[#This Row],[Qnt Vendida]]</f>
        <v>295.20000000000005</v>
      </c>
      <c r="J985" s="3">
        <f>Vendas[[#This Row],[Valor da Venda]]-(_xlfn.XLOOKUP(Vendas[[#This Row],[ID Item Vendido]],Agregado[ID],Agregado[Custo])*Vendas[[#This Row],[Qnt Vendida]])</f>
        <v>31.200000000000045</v>
      </c>
      <c r="K985" s="70">
        <f>Vendas[[#This Row],[Lucro da Venda]]/Vendas[[#This Row],[Valor da Venda]]</f>
        <v>0.10569105691056924</v>
      </c>
      <c r="L985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985"/>
    </row>
    <row r="986" spans="1:13" x14ac:dyDescent="0.3">
      <c r="A986" s="7">
        <v>400244</v>
      </c>
      <c r="B986" t="str">
        <f>_xlfn.XLOOKUP(Vendas[[#This Row],[ID Vendedor]],Vendedores[ID],Vendedores[Nome])</f>
        <v>Camila</v>
      </c>
      <c r="C986" s="7" t="str">
        <f>_xlfn.XLOOKUP(Vendas[[#This Row],[ID Vendedor]],Vendedores[ID],Vendedores[Setor])</f>
        <v>AHD</v>
      </c>
      <c r="D986" s="7" t="s">
        <v>18</v>
      </c>
      <c r="E986" t="str">
        <f>_xlfn.XLOOKUP(Vendas[[#This Row],[ID Item Vendido]],Agregado[ID],Agregado[Produto])</f>
        <v>Peça forjada sob encomenda</v>
      </c>
      <c r="F986" s="39">
        <v>44287</v>
      </c>
      <c r="G986" s="7">
        <v>4</v>
      </c>
      <c r="H986" s="3">
        <f>_xlfn.XLOOKUP(Vendas[[#This Row],[ID Item Vendido]],Agregado[ID],Agregado[Revenda])</f>
        <v>264.60000000000002</v>
      </c>
      <c r="I986" s="3">
        <f>Vendas[[#This Row],[Valor Unitário]]*Vendas[[#This Row],[Qnt Vendida]]</f>
        <v>1058.4000000000001</v>
      </c>
      <c r="J986" s="3">
        <f>Vendas[[#This Row],[Valor da Venda]]-(_xlfn.XLOOKUP(Vendas[[#This Row],[ID Item Vendido]],Agregado[ID],Agregado[Custo])*Vendas[[#This Row],[Qnt Vendida]])</f>
        <v>58.400000000000091</v>
      </c>
      <c r="K986" s="70">
        <f>Vendas[[#This Row],[Lucro da Venda]]/Vendas[[#This Row],[Valor da Venda]]</f>
        <v>5.5177626606198113E-2</v>
      </c>
      <c r="L986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986"/>
    </row>
    <row r="987" spans="1:13" x14ac:dyDescent="0.3">
      <c r="A987" s="7">
        <v>400241</v>
      </c>
      <c r="B987" t="str">
        <f>_xlfn.XLOOKUP(Vendas[[#This Row],[ID Vendedor]],Vendedores[ID],Vendedores[Nome])</f>
        <v>Rodrigo</v>
      </c>
      <c r="C987" s="7" t="str">
        <f>_xlfn.XLOOKUP(Vendas[[#This Row],[ID Vendedor]],Vendedores[ID],Vendedores[Setor])</f>
        <v>FM</v>
      </c>
      <c r="D987" s="7" t="s">
        <v>31</v>
      </c>
      <c r="E987" t="str">
        <f>_xlfn.XLOOKUP(Vendas[[#This Row],[ID Item Vendido]],Agregado[ID],Agregado[Produto])</f>
        <v>Tela de metal soldada rolo 2x25m</v>
      </c>
      <c r="F987" s="39">
        <v>44287</v>
      </c>
      <c r="G987" s="7">
        <v>11</v>
      </c>
      <c r="H987" s="3">
        <f>_xlfn.XLOOKUP(Vendas[[#This Row],[ID Item Vendido]],Agregado[ID],Agregado[Revenda])</f>
        <v>43.7</v>
      </c>
      <c r="I987" s="3">
        <f>Vendas[[#This Row],[Valor Unitário]]*Vendas[[#This Row],[Qnt Vendida]]</f>
        <v>480.70000000000005</v>
      </c>
      <c r="J987" s="3">
        <f>Vendas[[#This Row],[Valor da Venda]]-(_xlfn.XLOOKUP(Vendas[[#This Row],[ID Item Vendido]],Agregado[ID],Agregado[Custo])*Vendas[[#This Row],[Qnt Vendida]])</f>
        <v>62.700000000000045</v>
      </c>
      <c r="K987" s="70">
        <f>Vendas[[#This Row],[Lucro da Venda]]/Vendas[[#This Row],[Valor da Venda]]</f>
        <v>0.13043478260869573</v>
      </c>
      <c r="L987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987"/>
    </row>
    <row r="988" spans="1:13" x14ac:dyDescent="0.3">
      <c r="A988" s="7">
        <v>400244</v>
      </c>
      <c r="B988" t="str">
        <f>_xlfn.XLOOKUP(Vendas[[#This Row],[ID Vendedor]],Vendedores[ID],Vendedores[Nome])</f>
        <v>Camila</v>
      </c>
      <c r="C988" s="7" t="str">
        <f>_xlfn.XLOOKUP(Vendas[[#This Row],[ID Vendedor]],Vendedores[ID],Vendedores[Setor])</f>
        <v>AHD</v>
      </c>
      <c r="D988" s="7" t="s">
        <v>18</v>
      </c>
      <c r="E988" t="str">
        <f>_xlfn.XLOOKUP(Vendas[[#This Row],[ID Item Vendido]],Agregado[ID],Agregado[Produto])</f>
        <v>Peça forjada sob encomenda</v>
      </c>
      <c r="F988" s="39">
        <v>44287</v>
      </c>
      <c r="G988" s="7">
        <v>1</v>
      </c>
      <c r="H988" s="3">
        <f>_xlfn.XLOOKUP(Vendas[[#This Row],[ID Item Vendido]],Agregado[ID],Agregado[Revenda])</f>
        <v>264.60000000000002</v>
      </c>
      <c r="I988" s="3">
        <f>Vendas[[#This Row],[Valor Unitário]]*Vendas[[#This Row],[Qnt Vendida]]</f>
        <v>264.60000000000002</v>
      </c>
      <c r="J988" s="3">
        <f>Vendas[[#This Row],[Valor da Venda]]-(_xlfn.XLOOKUP(Vendas[[#This Row],[ID Item Vendido]],Agregado[ID],Agregado[Custo])*Vendas[[#This Row],[Qnt Vendida]])</f>
        <v>14.600000000000023</v>
      </c>
      <c r="K988" s="70">
        <f>Vendas[[#This Row],[Lucro da Venda]]/Vendas[[#This Row],[Valor da Venda]]</f>
        <v>5.5177626606198113E-2</v>
      </c>
      <c r="L988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988"/>
    </row>
    <row r="989" spans="1:13" x14ac:dyDescent="0.3">
      <c r="A989" s="7">
        <v>400244</v>
      </c>
      <c r="B989" t="str">
        <f>_xlfn.XLOOKUP(Vendas[[#This Row],[ID Vendedor]],Vendedores[ID],Vendedores[Nome])</f>
        <v>Camila</v>
      </c>
      <c r="C989" s="7" t="str">
        <f>_xlfn.XLOOKUP(Vendas[[#This Row],[ID Vendedor]],Vendedores[ID],Vendedores[Setor])</f>
        <v>AHD</v>
      </c>
      <c r="D989" s="7" t="s">
        <v>18</v>
      </c>
      <c r="E989" t="str">
        <f>_xlfn.XLOOKUP(Vendas[[#This Row],[ID Item Vendido]],Agregado[ID],Agregado[Produto])</f>
        <v>Peça forjada sob encomenda</v>
      </c>
      <c r="F989" s="39">
        <v>44288</v>
      </c>
      <c r="G989" s="7">
        <v>2</v>
      </c>
      <c r="H989" s="3">
        <f>_xlfn.XLOOKUP(Vendas[[#This Row],[ID Item Vendido]],Agregado[ID],Agregado[Revenda])</f>
        <v>264.60000000000002</v>
      </c>
      <c r="I989" s="3">
        <f>Vendas[[#This Row],[Valor Unitário]]*Vendas[[#This Row],[Qnt Vendida]]</f>
        <v>529.20000000000005</v>
      </c>
      <c r="J989" s="3">
        <f>Vendas[[#This Row],[Valor da Venda]]-(_xlfn.XLOOKUP(Vendas[[#This Row],[ID Item Vendido]],Agregado[ID],Agregado[Custo])*Vendas[[#This Row],[Qnt Vendida]])</f>
        <v>29.200000000000045</v>
      </c>
      <c r="K989" s="70">
        <f>Vendas[[#This Row],[Lucro da Venda]]/Vendas[[#This Row],[Valor da Venda]]</f>
        <v>5.5177626606198113E-2</v>
      </c>
      <c r="L98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989"/>
    </row>
    <row r="990" spans="1:13" x14ac:dyDescent="0.3">
      <c r="A990" s="7">
        <v>400244</v>
      </c>
      <c r="B990" t="str">
        <f>_xlfn.XLOOKUP(Vendas[[#This Row],[ID Vendedor]],Vendedores[ID],Vendedores[Nome])</f>
        <v>Camila</v>
      </c>
      <c r="C990" s="7" t="str">
        <f>_xlfn.XLOOKUP(Vendas[[#This Row],[ID Vendedor]],Vendedores[ID],Vendedores[Setor])</f>
        <v>AHD</v>
      </c>
      <c r="D990" s="7" t="s">
        <v>28</v>
      </c>
      <c r="E990" t="str">
        <f>_xlfn.XLOOKUP(Vendas[[#This Row],[ID Item Vendido]],Agregado[ID],Agregado[Produto])</f>
        <v>Peça usinada CNC</v>
      </c>
      <c r="F990" s="39">
        <v>44291</v>
      </c>
      <c r="G990" s="7">
        <v>10</v>
      </c>
      <c r="H990" s="3">
        <f>_xlfn.XLOOKUP(Vendas[[#This Row],[ID Item Vendido]],Agregado[ID],Agregado[Revenda])</f>
        <v>192</v>
      </c>
      <c r="I990" s="3">
        <f>Vendas[[#This Row],[Valor Unitário]]*Vendas[[#This Row],[Qnt Vendida]]</f>
        <v>1920</v>
      </c>
      <c r="J990" s="3">
        <f>Vendas[[#This Row],[Valor da Venda]]-(_xlfn.XLOOKUP(Vendas[[#This Row],[ID Item Vendido]],Agregado[ID],Agregado[Custo])*Vendas[[#This Row],[Qnt Vendida]])</f>
        <v>420</v>
      </c>
      <c r="K990" s="70">
        <f>Vendas[[#This Row],[Lucro da Venda]]/Vendas[[#This Row],[Valor da Venda]]</f>
        <v>0.21875</v>
      </c>
      <c r="L990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990"/>
    </row>
    <row r="991" spans="1:13" x14ac:dyDescent="0.3">
      <c r="A991" s="7">
        <v>400253</v>
      </c>
      <c r="B991" t="str">
        <f>_xlfn.XLOOKUP(Vendas[[#This Row],[ID Vendedor]],Vendedores[ID],Vendedores[Nome])</f>
        <v>Gustavo</v>
      </c>
      <c r="C991" s="7" t="str">
        <f>_xlfn.XLOOKUP(Vendas[[#This Row],[ID Vendedor]],Vendedores[ID],Vendedores[Setor])</f>
        <v>SC</v>
      </c>
      <c r="D991" s="7" t="s">
        <v>48</v>
      </c>
      <c r="E991" t="str">
        <f>_xlfn.XLOOKUP(Vendas[[#This Row],[ID Item Vendido]],Agregado[ID],Agregado[Produto])</f>
        <v>Tambor metálico 200L</v>
      </c>
      <c r="F991" s="39">
        <v>44292</v>
      </c>
      <c r="G991" s="7">
        <v>5</v>
      </c>
      <c r="H991" s="3">
        <f>_xlfn.XLOOKUP(Vendas[[#This Row],[ID Item Vendido]],Agregado[ID],Agregado[Revenda])</f>
        <v>144</v>
      </c>
      <c r="I991" s="3">
        <f>Vendas[[#This Row],[Valor Unitário]]*Vendas[[#This Row],[Qnt Vendida]]</f>
        <v>720</v>
      </c>
      <c r="J991" s="3">
        <f>Vendas[[#This Row],[Valor da Venda]]-(_xlfn.XLOOKUP(Vendas[[#This Row],[ID Item Vendido]],Agregado[ID],Agregado[Custo])*Vendas[[#This Row],[Qnt Vendida]])</f>
        <v>120</v>
      </c>
      <c r="K991" s="70">
        <f>Vendas[[#This Row],[Lucro da Venda]]/Vendas[[#This Row],[Valor da Venda]]</f>
        <v>0.16666666666666666</v>
      </c>
      <c r="L991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991"/>
    </row>
    <row r="992" spans="1:13" x14ac:dyDescent="0.3">
      <c r="A992" s="7">
        <v>400244</v>
      </c>
      <c r="B992" t="str">
        <f>_xlfn.XLOOKUP(Vendas[[#This Row],[ID Vendedor]],Vendedores[ID],Vendedores[Nome])</f>
        <v>Camila</v>
      </c>
      <c r="C992" s="7" t="str">
        <f>_xlfn.XLOOKUP(Vendas[[#This Row],[ID Vendedor]],Vendedores[ID],Vendedores[Setor])</f>
        <v>AHD</v>
      </c>
      <c r="D992" s="7" t="s">
        <v>30</v>
      </c>
      <c r="E992" t="str">
        <f>_xlfn.XLOOKUP(Vendas[[#This Row],[ID Item Vendido]],Agregado[ID],Agregado[Produto])</f>
        <v>Estrutura metálica soldada</v>
      </c>
      <c r="F992" s="39">
        <v>44292</v>
      </c>
      <c r="G992" s="7">
        <v>1</v>
      </c>
      <c r="H992" s="3">
        <f>_xlfn.XLOOKUP(Vendas[[#This Row],[ID Item Vendido]],Agregado[ID],Agregado[Revenda])</f>
        <v>400</v>
      </c>
      <c r="I992" s="3">
        <f>Vendas[[#This Row],[Valor Unitário]]*Vendas[[#This Row],[Qnt Vendida]]</f>
        <v>400</v>
      </c>
      <c r="J992" s="3">
        <f>Vendas[[#This Row],[Valor da Venda]]-(_xlfn.XLOOKUP(Vendas[[#This Row],[ID Item Vendido]],Agregado[ID],Agregado[Custo])*Vendas[[#This Row],[Qnt Vendida]])</f>
        <v>80</v>
      </c>
      <c r="K992" s="70">
        <f>Vendas[[#This Row],[Lucro da Venda]]/Vendas[[#This Row],[Valor da Venda]]</f>
        <v>0.2</v>
      </c>
      <c r="L992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992"/>
    </row>
    <row r="993" spans="1:13" x14ac:dyDescent="0.3">
      <c r="A993" s="7">
        <v>400244</v>
      </c>
      <c r="B993" t="str">
        <f>_xlfn.XLOOKUP(Vendas[[#This Row],[ID Vendedor]],Vendedores[ID],Vendedores[Nome])</f>
        <v>Camila</v>
      </c>
      <c r="C993" s="7" t="str">
        <f>_xlfn.XLOOKUP(Vendas[[#This Row],[ID Vendedor]],Vendedores[ID],Vendedores[Setor])</f>
        <v>AHD</v>
      </c>
      <c r="D993" s="7" t="s">
        <v>28</v>
      </c>
      <c r="E993" t="str">
        <f>_xlfn.XLOOKUP(Vendas[[#This Row],[ID Item Vendido]],Agregado[ID],Agregado[Produto])</f>
        <v>Peça usinada CNC</v>
      </c>
      <c r="F993" s="39">
        <v>44293</v>
      </c>
      <c r="G993" s="7">
        <v>5</v>
      </c>
      <c r="H993" s="3">
        <f>_xlfn.XLOOKUP(Vendas[[#This Row],[ID Item Vendido]],Agregado[ID],Agregado[Revenda])</f>
        <v>192</v>
      </c>
      <c r="I993" s="3">
        <f>Vendas[[#This Row],[Valor Unitário]]*Vendas[[#This Row],[Qnt Vendida]]</f>
        <v>960</v>
      </c>
      <c r="J993" s="3">
        <f>Vendas[[#This Row],[Valor da Venda]]-(_xlfn.XLOOKUP(Vendas[[#This Row],[ID Item Vendido]],Agregado[ID],Agregado[Custo])*Vendas[[#This Row],[Qnt Vendida]])</f>
        <v>210</v>
      </c>
      <c r="K993" s="70">
        <f>Vendas[[#This Row],[Lucro da Venda]]/Vendas[[#This Row],[Valor da Venda]]</f>
        <v>0.21875</v>
      </c>
      <c r="L993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993"/>
    </row>
    <row r="994" spans="1:13" x14ac:dyDescent="0.3">
      <c r="A994" s="7">
        <v>400249</v>
      </c>
      <c r="B994" t="str">
        <f>_xlfn.XLOOKUP(Vendas[[#This Row],[ID Vendedor]],Vendedores[ID],Vendedores[Nome])</f>
        <v>Bruno</v>
      </c>
      <c r="C994" s="7" t="str">
        <f>_xlfn.XLOOKUP(Vendas[[#This Row],[ID Vendedor]],Vendedores[ID],Vendedores[Setor])</f>
        <v>CM</v>
      </c>
      <c r="D994" s="7" t="s">
        <v>34</v>
      </c>
      <c r="E994" t="str">
        <f>_xlfn.XLOOKUP(Vendas[[#This Row],[ID Item Vendido]],Agregado[ID],Agregado[Produto])</f>
        <v>Restos de madeira p/ MDP/OSB saco de 20kg</v>
      </c>
      <c r="F994" s="39">
        <v>44293</v>
      </c>
      <c r="G994" s="7">
        <v>26</v>
      </c>
      <c r="H994" s="3">
        <f>_xlfn.XLOOKUP(Vendas[[#This Row],[ID Item Vendido]],Agregado[ID],Agregado[Revenda])</f>
        <v>13.8</v>
      </c>
      <c r="I994" s="3">
        <f>Vendas[[#This Row],[Valor Unitário]]*Vendas[[#This Row],[Qnt Vendida]]</f>
        <v>358.8</v>
      </c>
      <c r="J994" s="3">
        <f>Vendas[[#This Row],[Valor da Venda]]-(_xlfn.XLOOKUP(Vendas[[#This Row],[ID Item Vendido]],Agregado[ID],Agregado[Custo])*Vendas[[#This Row],[Qnt Vendida]])</f>
        <v>46.800000000000011</v>
      </c>
      <c r="K994" s="70">
        <f>Vendas[[#This Row],[Lucro da Venda]]/Vendas[[#This Row],[Valor da Venda]]</f>
        <v>0.13043478260869568</v>
      </c>
      <c r="L994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994"/>
    </row>
    <row r="995" spans="1:13" x14ac:dyDescent="0.3">
      <c r="A995" s="7">
        <v>400249</v>
      </c>
      <c r="B995" t="str">
        <f>_xlfn.XLOOKUP(Vendas[[#This Row],[ID Vendedor]],Vendedores[ID],Vendedores[Nome])</f>
        <v>Bruno</v>
      </c>
      <c r="C995" s="7" t="str">
        <f>_xlfn.XLOOKUP(Vendas[[#This Row],[ID Vendedor]],Vendedores[ID],Vendedores[Setor])</f>
        <v>CM</v>
      </c>
      <c r="D995" s="7" t="s">
        <v>22</v>
      </c>
      <c r="E995" t="str">
        <f>_xlfn.XLOOKUP(Vendas[[#This Row],[ID Item Vendido]],Agregado[ID],Agregado[Produto])</f>
        <v>Painel MDP 2,75x1,83m</v>
      </c>
      <c r="F995" s="39">
        <v>44294</v>
      </c>
      <c r="G995" s="7">
        <v>14</v>
      </c>
      <c r="H995" s="3">
        <f>_xlfn.XLOOKUP(Vendas[[#This Row],[ID Item Vendido]],Agregado[ID],Agregado[Revenda])</f>
        <v>119</v>
      </c>
      <c r="I995" s="3">
        <f>Vendas[[#This Row],[Valor Unitário]]*Vendas[[#This Row],[Qnt Vendida]]</f>
        <v>1666</v>
      </c>
      <c r="J995" s="3">
        <f>Vendas[[#This Row],[Valor da Venda]]-(_xlfn.XLOOKUP(Vendas[[#This Row],[ID Item Vendido]],Agregado[ID],Agregado[Custo])*Vendas[[#This Row],[Qnt Vendida]])</f>
        <v>336</v>
      </c>
      <c r="K995" s="70">
        <f>Vendas[[#This Row],[Lucro da Venda]]/Vendas[[#This Row],[Valor da Venda]]</f>
        <v>0.20168067226890757</v>
      </c>
      <c r="L99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995"/>
    </row>
    <row r="996" spans="1:13" x14ac:dyDescent="0.3">
      <c r="A996" s="7">
        <v>400244</v>
      </c>
      <c r="B996" t="str">
        <f>_xlfn.XLOOKUP(Vendas[[#This Row],[ID Vendedor]],Vendedores[ID],Vendedores[Nome])</f>
        <v>Camila</v>
      </c>
      <c r="C996" s="7" t="str">
        <f>_xlfn.XLOOKUP(Vendas[[#This Row],[ID Vendedor]],Vendedores[ID],Vendedores[Setor])</f>
        <v>AHD</v>
      </c>
      <c r="D996" s="7" t="s">
        <v>18</v>
      </c>
      <c r="E996" t="str">
        <f>_xlfn.XLOOKUP(Vendas[[#This Row],[ID Item Vendido]],Agregado[ID],Agregado[Produto])</f>
        <v>Peça forjada sob encomenda</v>
      </c>
      <c r="F996" s="39">
        <v>44294</v>
      </c>
      <c r="G996" s="7">
        <v>3</v>
      </c>
      <c r="H996" s="3">
        <f>_xlfn.XLOOKUP(Vendas[[#This Row],[ID Item Vendido]],Agregado[ID],Agregado[Revenda])</f>
        <v>264.60000000000002</v>
      </c>
      <c r="I996" s="3">
        <f>Vendas[[#This Row],[Valor Unitário]]*Vendas[[#This Row],[Qnt Vendida]]</f>
        <v>793.80000000000007</v>
      </c>
      <c r="J996" s="3">
        <f>Vendas[[#This Row],[Valor da Venda]]-(_xlfn.XLOOKUP(Vendas[[#This Row],[ID Item Vendido]],Agregado[ID],Agregado[Custo])*Vendas[[#This Row],[Qnt Vendida]])</f>
        <v>43.800000000000068</v>
      </c>
      <c r="K996" s="70">
        <f>Vendas[[#This Row],[Lucro da Venda]]/Vendas[[#This Row],[Valor da Venda]]</f>
        <v>5.5177626606198113E-2</v>
      </c>
      <c r="L99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996"/>
    </row>
    <row r="997" spans="1:13" x14ac:dyDescent="0.3">
      <c r="A997" s="7">
        <v>400247</v>
      </c>
      <c r="B997" t="str">
        <f>_xlfn.XLOOKUP(Vendas[[#This Row],[ID Vendedor]],Vendedores[ID],Vendedores[Nome])</f>
        <v>André</v>
      </c>
      <c r="C997" s="7" t="str">
        <f>_xlfn.XLOOKUP(Vendas[[#This Row],[ID Vendedor]],Vendedores[ID],Vendedores[Setor])</f>
        <v>CM</v>
      </c>
      <c r="D997" s="7" t="s">
        <v>43</v>
      </c>
      <c r="E997" t="str">
        <f>_xlfn.XLOOKUP(Vendas[[#This Row],[ID Item Vendido]],Agregado[ID],Agregado[Produto])</f>
        <v>Madeira Bruta (Tora)</v>
      </c>
      <c r="F997" s="39">
        <v>44294</v>
      </c>
      <c r="G997" s="7">
        <v>1</v>
      </c>
      <c r="H997" s="3">
        <f>_xlfn.XLOOKUP(Vendas[[#This Row],[ID Item Vendido]],Agregado[ID],Agregado[Revenda])</f>
        <v>212</v>
      </c>
      <c r="I997" s="3">
        <f>Vendas[[#This Row],[Valor Unitário]]*Vendas[[#This Row],[Qnt Vendida]]</f>
        <v>212</v>
      </c>
      <c r="J997" s="3">
        <f>Vendas[[#This Row],[Valor da Venda]]-(_xlfn.XLOOKUP(Vendas[[#This Row],[ID Item Vendido]],Agregado[ID],Agregado[Custo])*Vendas[[#This Row],[Qnt Vendida]])</f>
        <v>32</v>
      </c>
      <c r="K997" s="70">
        <f>Vendas[[#This Row],[Lucro da Venda]]/Vendas[[#This Row],[Valor da Venda]]</f>
        <v>0.15094339622641509</v>
      </c>
      <c r="L997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997"/>
    </row>
    <row r="998" spans="1:13" x14ac:dyDescent="0.3">
      <c r="A998" s="7">
        <v>400245</v>
      </c>
      <c r="B998" t="str">
        <f>_xlfn.XLOOKUP(Vendas[[#This Row],[ID Vendedor]],Vendedores[ID],Vendedores[Nome])</f>
        <v>Thiago</v>
      </c>
      <c r="C998" s="7" t="str">
        <f>_xlfn.XLOOKUP(Vendas[[#This Row],[ID Vendedor]],Vendedores[ID],Vendedores[Setor])</f>
        <v>AHD</v>
      </c>
      <c r="D998" s="7" t="s">
        <v>30</v>
      </c>
      <c r="E998" t="str">
        <f>_xlfn.XLOOKUP(Vendas[[#This Row],[ID Item Vendido]],Agregado[ID],Agregado[Produto])</f>
        <v>Estrutura metálica soldada</v>
      </c>
      <c r="F998" s="39">
        <v>44295</v>
      </c>
      <c r="G998" s="7">
        <v>8</v>
      </c>
      <c r="H998" s="3">
        <f>_xlfn.XLOOKUP(Vendas[[#This Row],[ID Item Vendido]],Agregado[ID],Agregado[Revenda])</f>
        <v>400</v>
      </c>
      <c r="I998" s="3">
        <f>Vendas[[#This Row],[Valor Unitário]]*Vendas[[#This Row],[Qnt Vendida]]</f>
        <v>3200</v>
      </c>
      <c r="J998" s="3">
        <f>Vendas[[#This Row],[Valor da Venda]]-(_xlfn.XLOOKUP(Vendas[[#This Row],[ID Item Vendido]],Agregado[ID],Agregado[Custo])*Vendas[[#This Row],[Qnt Vendida]])</f>
        <v>640</v>
      </c>
      <c r="K998" s="70">
        <f>Vendas[[#This Row],[Lucro da Venda]]/Vendas[[#This Row],[Valor da Venda]]</f>
        <v>0.2</v>
      </c>
      <c r="L998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998"/>
    </row>
    <row r="999" spans="1:13" x14ac:dyDescent="0.3">
      <c r="A999" s="7">
        <v>400244</v>
      </c>
      <c r="B999" t="str">
        <f>_xlfn.XLOOKUP(Vendas[[#This Row],[ID Vendedor]],Vendedores[ID],Vendedores[Nome])</f>
        <v>Camila</v>
      </c>
      <c r="C999" s="7" t="str">
        <f>_xlfn.XLOOKUP(Vendas[[#This Row],[ID Vendedor]],Vendedores[ID],Vendedores[Setor])</f>
        <v>AHD</v>
      </c>
      <c r="D999" s="7" t="s">
        <v>44</v>
      </c>
      <c r="E999" t="str">
        <f>_xlfn.XLOOKUP(Vendas[[#This Row],[ID Item Vendido]],Agregado[ID],Agregado[Produto])</f>
        <v>Liga metálica especial</v>
      </c>
      <c r="F999" s="39">
        <v>44297</v>
      </c>
      <c r="G999" s="7">
        <v>14</v>
      </c>
      <c r="H999" s="3">
        <f>_xlfn.XLOOKUP(Vendas[[#This Row],[ID Item Vendido]],Agregado[ID],Agregado[Revenda])</f>
        <v>32.5</v>
      </c>
      <c r="I999" s="3">
        <f>Vendas[[#This Row],[Valor Unitário]]*Vendas[[#This Row],[Qnt Vendida]]</f>
        <v>455</v>
      </c>
      <c r="J999" s="3">
        <f>Vendas[[#This Row],[Valor da Venda]]-(_xlfn.XLOOKUP(Vendas[[#This Row],[ID Item Vendido]],Agregado[ID],Agregado[Custo])*Vendas[[#This Row],[Qnt Vendida]])</f>
        <v>105</v>
      </c>
      <c r="K999" s="70">
        <f>Vendas[[#This Row],[Lucro da Venda]]/Vendas[[#This Row],[Valor da Venda]]</f>
        <v>0.23076923076923078</v>
      </c>
      <c r="L999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999"/>
    </row>
    <row r="1000" spans="1:13" x14ac:dyDescent="0.3">
      <c r="A1000" s="7">
        <v>400249</v>
      </c>
      <c r="B1000" t="str">
        <f>_xlfn.XLOOKUP(Vendas[[#This Row],[ID Vendedor]],Vendedores[ID],Vendedores[Nome])</f>
        <v>Bruno</v>
      </c>
      <c r="C1000" s="7" t="str">
        <f>_xlfn.XLOOKUP(Vendas[[#This Row],[ID Vendedor]],Vendedores[ID],Vendedores[Setor])</f>
        <v>CM</v>
      </c>
      <c r="D1000" s="7" t="s">
        <v>34</v>
      </c>
      <c r="E1000" t="str">
        <f>_xlfn.XLOOKUP(Vendas[[#This Row],[ID Item Vendido]],Agregado[ID],Agregado[Produto])</f>
        <v>Restos de madeira p/ MDP/OSB saco de 20kg</v>
      </c>
      <c r="F1000" s="39">
        <v>44298</v>
      </c>
      <c r="G1000" s="7">
        <v>29</v>
      </c>
      <c r="H1000" s="3">
        <f>_xlfn.XLOOKUP(Vendas[[#This Row],[ID Item Vendido]],Agregado[ID],Agregado[Revenda])</f>
        <v>13.8</v>
      </c>
      <c r="I1000" s="3">
        <f>Vendas[[#This Row],[Valor Unitário]]*Vendas[[#This Row],[Qnt Vendida]]</f>
        <v>400.20000000000005</v>
      </c>
      <c r="J1000" s="3">
        <f>Vendas[[#This Row],[Valor da Venda]]-(_xlfn.XLOOKUP(Vendas[[#This Row],[ID Item Vendido]],Agregado[ID],Agregado[Custo])*Vendas[[#This Row],[Qnt Vendida]])</f>
        <v>52.200000000000045</v>
      </c>
      <c r="K1000" s="70">
        <f>Vendas[[#This Row],[Lucro da Venda]]/Vendas[[#This Row],[Valor da Venda]]</f>
        <v>0.13043478260869576</v>
      </c>
      <c r="L1000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1000"/>
    </row>
    <row r="1001" spans="1:13" x14ac:dyDescent="0.3">
      <c r="A1001" s="7">
        <v>400247</v>
      </c>
      <c r="B1001" t="str">
        <f>_xlfn.XLOOKUP(Vendas[[#This Row],[ID Vendedor]],Vendedores[ID],Vendedores[Nome])</f>
        <v>André</v>
      </c>
      <c r="C1001" s="7" t="str">
        <f>_xlfn.XLOOKUP(Vendas[[#This Row],[ID Vendedor]],Vendedores[ID],Vendedores[Setor])</f>
        <v>CM</v>
      </c>
      <c r="D1001" s="7" t="s">
        <v>32</v>
      </c>
      <c r="E1001" t="str">
        <f>_xlfn.XLOOKUP(Vendas[[#This Row],[ID Item Vendido]],Agregado[ID],Agregado[Produto])</f>
        <v>Tábua tratada e cortada 3m</v>
      </c>
      <c r="F1001" s="39">
        <v>44299</v>
      </c>
      <c r="G1001" s="7">
        <v>43</v>
      </c>
      <c r="H1001" s="3">
        <f>_xlfn.XLOOKUP(Vendas[[#This Row],[ID Item Vendido]],Agregado[ID],Agregado[Revenda])</f>
        <v>39</v>
      </c>
      <c r="I1001" s="3">
        <f>Vendas[[#This Row],[Valor Unitário]]*Vendas[[#This Row],[Qnt Vendida]]</f>
        <v>1677</v>
      </c>
      <c r="J1001" s="3">
        <f>Vendas[[#This Row],[Valor da Venda]]-(_xlfn.XLOOKUP(Vendas[[#This Row],[ID Item Vendido]],Agregado[ID],Agregado[Custo])*Vendas[[#This Row],[Qnt Vendida]])</f>
        <v>301</v>
      </c>
      <c r="K1001" s="70">
        <f>Vendas[[#This Row],[Lucro da Venda]]/Vendas[[#This Row],[Valor da Venda]]</f>
        <v>0.17948717948717949</v>
      </c>
      <c r="L1001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1001"/>
    </row>
    <row r="1002" spans="1:13" x14ac:dyDescent="0.3">
      <c r="A1002" s="7">
        <v>400251</v>
      </c>
      <c r="B1002" t="str">
        <f>_xlfn.XLOOKUP(Vendas[[#This Row],[ID Vendedor]],Vendedores[ID],Vendedores[Nome])</f>
        <v>Diego</v>
      </c>
      <c r="C1002" s="7" t="str">
        <f>_xlfn.XLOOKUP(Vendas[[#This Row],[ID Vendedor]],Vendedores[ID],Vendedores[Setor])</f>
        <v>AB</v>
      </c>
      <c r="D1002" s="7" t="s">
        <v>37</v>
      </c>
      <c r="E1002" t="str">
        <f>_xlfn.XLOOKUP(Vendas[[#This Row],[ID Item Vendido]],Agregado[ID],Agregado[Produto])</f>
        <v>Composto de borracha para vedação rolo 10m</v>
      </c>
      <c r="F1002" s="39">
        <v>44299</v>
      </c>
      <c r="G1002" s="7">
        <v>12</v>
      </c>
      <c r="H1002" s="3">
        <f>_xlfn.XLOOKUP(Vendas[[#This Row],[ID Item Vendido]],Agregado[ID],Agregado[Revenda])</f>
        <v>51.2</v>
      </c>
      <c r="I1002" s="3">
        <f>Vendas[[#This Row],[Valor Unitário]]*Vendas[[#This Row],[Qnt Vendida]]</f>
        <v>614.40000000000009</v>
      </c>
      <c r="J1002" s="3">
        <f>Vendas[[#This Row],[Valor da Venda]]-(_xlfn.XLOOKUP(Vendas[[#This Row],[ID Item Vendido]],Agregado[ID],Agregado[Custo])*Vendas[[#This Row],[Qnt Vendida]])</f>
        <v>134.40000000000009</v>
      </c>
      <c r="K1002" s="70">
        <f>Vendas[[#This Row],[Lucro da Venda]]/Vendas[[#This Row],[Valor da Venda]]</f>
        <v>0.21875000000000011</v>
      </c>
      <c r="L1002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1002"/>
    </row>
    <row r="1003" spans="1:13" x14ac:dyDescent="0.3">
      <c r="A1003" s="7">
        <v>400247</v>
      </c>
      <c r="B1003" t="str">
        <f>_xlfn.XLOOKUP(Vendas[[#This Row],[ID Vendedor]],Vendedores[ID],Vendedores[Nome])</f>
        <v>André</v>
      </c>
      <c r="C1003" s="7" t="str">
        <f>_xlfn.XLOOKUP(Vendas[[#This Row],[ID Vendedor]],Vendedores[ID],Vendedores[Setor])</f>
        <v>CM</v>
      </c>
      <c r="D1003" s="7" t="s">
        <v>22</v>
      </c>
      <c r="E1003" t="str">
        <f>_xlfn.XLOOKUP(Vendas[[#This Row],[ID Item Vendido]],Agregado[ID],Agregado[Produto])</f>
        <v>Painel MDP 2,75x1,83m</v>
      </c>
      <c r="F1003" s="39">
        <v>44301</v>
      </c>
      <c r="G1003" s="7">
        <v>8</v>
      </c>
      <c r="H1003" s="3">
        <f>_xlfn.XLOOKUP(Vendas[[#This Row],[ID Item Vendido]],Agregado[ID],Agregado[Revenda])</f>
        <v>119</v>
      </c>
      <c r="I1003" s="3">
        <f>Vendas[[#This Row],[Valor Unitário]]*Vendas[[#This Row],[Qnt Vendida]]</f>
        <v>952</v>
      </c>
      <c r="J1003" s="3">
        <f>Vendas[[#This Row],[Valor da Venda]]-(_xlfn.XLOOKUP(Vendas[[#This Row],[ID Item Vendido]],Agregado[ID],Agregado[Custo])*Vendas[[#This Row],[Qnt Vendida]])</f>
        <v>192</v>
      </c>
      <c r="K1003" s="70">
        <f>Vendas[[#This Row],[Lucro da Venda]]/Vendas[[#This Row],[Valor da Venda]]</f>
        <v>0.20168067226890757</v>
      </c>
      <c r="L1003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003"/>
    </row>
    <row r="1004" spans="1:13" x14ac:dyDescent="0.3">
      <c r="A1004" s="7">
        <v>400253</v>
      </c>
      <c r="B1004" t="str">
        <f>_xlfn.XLOOKUP(Vendas[[#This Row],[ID Vendedor]],Vendedores[ID],Vendedores[Nome])</f>
        <v>Gustavo</v>
      </c>
      <c r="C1004" s="7" t="str">
        <f>_xlfn.XLOOKUP(Vendas[[#This Row],[ID Vendedor]],Vendedores[ID],Vendedores[Setor])</f>
        <v>SC</v>
      </c>
      <c r="D1004" s="7" t="s">
        <v>41</v>
      </c>
      <c r="E1004" t="str">
        <f>_xlfn.XLOOKUP(Vendas[[#This Row],[ID Item Vendido]],Agregado[ID],Agregado[Produto])</f>
        <v>Palete de madeira reforçado</v>
      </c>
      <c r="F1004" s="39">
        <v>44302</v>
      </c>
      <c r="G1004" s="7">
        <v>7</v>
      </c>
      <c r="H1004" s="3">
        <f>_xlfn.XLOOKUP(Vendas[[#This Row],[ID Item Vendido]],Agregado[ID],Agregado[Revenda])</f>
        <v>131</v>
      </c>
      <c r="I1004" s="3">
        <f>Vendas[[#This Row],[Valor Unitário]]*Vendas[[#This Row],[Qnt Vendida]]</f>
        <v>917</v>
      </c>
      <c r="J1004" s="3">
        <f>Vendas[[#This Row],[Valor da Venda]]-(_xlfn.XLOOKUP(Vendas[[#This Row],[ID Item Vendido]],Agregado[ID],Agregado[Custo])*Vendas[[#This Row],[Qnt Vendida]])</f>
        <v>147</v>
      </c>
      <c r="K1004" s="70">
        <f>Vendas[[#This Row],[Lucro da Venda]]/Vendas[[#This Row],[Valor da Venda]]</f>
        <v>0.16030534351145037</v>
      </c>
      <c r="L1004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1004"/>
    </row>
    <row r="1005" spans="1:13" x14ac:dyDescent="0.3">
      <c r="A1005" s="7">
        <v>400249</v>
      </c>
      <c r="B1005" t="str">
        <f>_xlfn.XLOOKUP(Vendas[[#This Row],[ID Vendedor]],Vendedores[ID],Vendedores[Nome])</f>
        <v>Bruno</v>
      </c>
      <c r="C1005" s="7" t="str">
        <f>_xlfn.XLOOKUP(Vendas[[#This Row],[ID Vendedor]],Vendedores[ID],Vendedores[Setor])</f>
        <v>CM</v>
      </c>
      <c r="D1005" s="7" t="s">
        <v>32</v>
      </c>
      <c r="E1005" t="str">
        <f>_xlfn.XLOOKUP(Vendas[[#This Row],[ID Item Vendido]],Agregado[ID],Agregado[Produto])</f>
        <v>Tábua tratada e cortada 3m</v>
      </c>
      <c r="F1005" s="39">
        <v>44302</v>
      </c>
      <c r="G1005" s="7">
        <v>9</v>
      </c>
      <c r="H1005" s="3">
        <f>_xlfn.XLOOKUP(Vendas[[#This Row],[ID Item Vendido]],Agregado[ID],Agregado[Revenda])</f>
        <v>39</v>
      </c>
      <c r="I1005" s="3">
        <f>Vendas[[#This Row],[Valor Unitário]]*Vendas[[#This Row],[Qnt Vendida]]</f>
        <v>351</v>
      </c>
      <c r="J1005" s="3">
        <f>Vendas[[#This Row],[Valor da Venda]]-(_xlfn.XLOOKUP(Vendas[[#This Row],[ID Item Vendido]],Agregado[ID],Agregado[Custo])*Vendas[[#This Row],[Qnt Vendida]])</f>
        <v>63</v>
      </c>
      <c r="K1005" s="70">
        <f>Vendas[[#This Row],[Lucro da Venda]]/Vendas[[#This Row],[Valor da Venda]]</f>
        <v>0.17948717948717949</v>
      </c>
      <c r="L1005" s="3">
        <f>_xlfn.IFS(Vendas[[#This Row],[Margem de Lucro (%)]]&lt;15%,Vendas[[#This Row],[Valor da Venda]]*3%,Vendas[[#This Row],[Margem de Lucro (%)]]&lt;=20%,Vendas[[#This Row],[Valor da Venda]]*4.5%,TRUE,Vendas[[#This Row],[Valor da Venda]]*6%)</f>
        <v>15.795</v>
      </c>
      <c r="M1005"/>
    </row>
    <row r="1006" spans="1:13" x14ac:dyDescent="0.3">
      <c r="A1006" s="7">
        <v>400241</v>
      </c>
      <c r="B1006" t="str">
        <f>_xlfn.XLOOKUP(Vendas[[#This Row],[ID Vendedor]],Vendedores[ID],Vendedores[Nome])</f>
        <v>Rodrigo</v>
      </c>
      <c r="C1006" s="7" t="str">
        <f>_xlfn.XLOOKUP(Vendas[[#This Row],[ID Vendedor]],Vendedores[ID],Vendedores[Setor])</f>
        <v>FM</v>
      </c>
      <c r="D1006" s="7" t="s">
        <v>6</v>
      </c>
      <c r="E1006" t="str">
        <f>_xlfn.XLOOKUP(Vendas[[#This Row],[ID Item Vendido]],Agregado[ID],Agregado[Produto])</f>
        <v>Parafuso comum 500un</v>
      </c>
      <c r="F1006" s="39">
        <v>44302</v>
      </c>
      <c r="G1006" s="7">
        <v>13</v>
      </c>
      <c r="H1006" s="3">
        <f>_xlfn.XLOOKUP(Vendas[[#This Row],[ID Item Vendido]],Agregado[ID],Agregado[Revenda])</f>
        <v>24.6</v>
      </c>
      <c r="I1006" s="3">
        <f>Vendas[[#This Row],[Valor Unitário]]*Vendas[[#This Row],[Qnt Vendida]]</f>
        <v>319.8</v>
      </c>
      <c r="J1006" s="3">
        <f>Vendas[[#This Row],[Valor da Venda]]-(_xlfn.XLOOKUP(Vendas[[#This Row],[ID Item Vendido]],Agregado[ID],Agregado[Custo])*Vendas[[#This Row],[Qnt Vendida]])</f>
        <v>33.800000000000011</v>
      </c>
      <c r="K1006" s="70">
        <f>Vendas[[#This Row],[Lucro da Venda]]/Vendas[[#This Row],[Valor da Venda]]</f>
        <v>0.10569105691056914</v>
      </c>
      <c r="L1006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1006"/>
    </row>
    <row r="1007" spans="1:13" x14ac:dyDescent="0.3">
      <c r="A1007" s="7">
        <v>400244</v>
      </c>
      <c r="B1007" t="str">
        <f>_xlfn.XLOOKUP(Vendas[[#This Row],[ID Vendedor]],Vendedores[ID],Vendedores[Nome])</f>
        <v>Camila</v>
      </c>
      <c r="C1007" s="7" t="str">
        <f>_xlfn.XLOOKUP(Vendas[[#This Row],[ID Vendedor]],Vendedores[ID],Vendedores[Setor])</f>
        <v>AHD</v>
      </c>
      <c r="D1007" s="7" t="s">
        <v>30</v>
      </c>
      <c r="E1007" t="str">
        <f>_xlfn.XLOOKUP(Vendas[[#This Row],[ID Item Vendido]],Agregado[ID],Agregado[Produto])</f>
        <v>Estrutura metálica soldada</v>
      </c>
      <c r="F1007" s="39">
        <v>44306</v>
      </c>
      <c r="G1007" s="7">
        <v>8</v>
      </c>
      <c r="H1007" s="3">
        <f>_xlfn.XLOOKUP(Vendas[[#This Row],[ID Item Vendido]],Agregado[ID],Agregado[Revenda])</f>
        <v>400</v>
      </c>
      <c r="I1007" s="3">
        <f>Vendas[[#This Row],[Valor Unitário]]*Vendas[[#This Row],[Qnt Vendida]]</f>
        <v>3200</v>
      </c>
      <c r="J1007" s="3">
        <f>Vendas[[#This Row],[Valor da Venda]]-(_xlfn.XLOOKUP(Vendas[[#This Row],[ID Item Vendido]],Agregado[ID],Agregado[Custo])*Vendas[[#This Row],[Qnt Vendida]])</f>
        <v>640</v>
      </c>
      <c r="K1007" s="70">
        <f>Vendas[[#This Row],[Lucro da Venda]]/Vendas[[#This Row],[Valor da Venda]]</f>
        <v>0.2</v>
      </c>
      <c r="L1007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1007"/>
    </row>
    <row r="1008" spans="1:13" x14ac:dyDescent="0.3">
      <c r="A1008" s="7">
        <v>400251</v>
      </c>
      <c r="B1008" t="str">
        <f>_xlfn.XLOOKUP(Vendas[[#This Row],[ID Vendedor]],Vendedores[ID],Vendedores[Nome])</f>
        <v>Diego</v>
      </c>
      <c r="C1008" s="7" t="str">
        <f>_xlfn.XLOOKUP(Vendas[[#This Row],[ID Vendedor]],Vendedores[ID],Vendedores[Setor])</f>
        <v>AB</v>
      </c>
      <c r="D1008" s="7" t="s">
        <v>37</v>
      </c>
      <c r="E1008" t="str">
        <f>_xlfn.XLOOKUP(Vendas[[#This Row],[ID Item Vendido]],Agregado[ID],Agregado[Produto])</f>
        <v>Composto de borracha para vedação rolo 10m</v>
      </c>
      <c r="F1008" s="39">
        <v>44306</v>
      </c>
      <c r="G1008" s="7">
        <v>22</v>
      </c>
      <c r="H1008" s="3">
        <f>_xlfn.XLOOKUP(Vendas[[#This Row],[ID Item Vendido]],Agregado[ID],Agregado[Revenda])</f>
        <v>51.2</v>
      </c>
      <c r="I1008" s="3">
        <f>Vendas[[#This Row],[Valor Unitário]]*Vendas[[#This Row],[Qnt Vendida]]</f>
        <v>1126.4000000000001</v>
      </c>
      <c r="J1008" s="3">
        <f>Vendas[[#This Row],[Valor da Venda]]-(_xlfn.XLOOKUP(Vendas[[#This Row],[ID Item Vendido]],Agregado[ID],Agregado[Custo])*Vendas[[#This Row],[Qnt Vendida]])</f>
        <v>246.40000000000009</v>
      </c>
      <c r="K1008" s="70">
        <f>Vendas[[#This Row],[Lucro da Venda]]/Vendas[[#This Row],[Valor da Venda]]</f>
        <v>0.21875000000000006</v>
      </c>
      <c r="L1008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1008"/>
    </row>
    <row r="1009" spans="1:13" x14ac:dyDescent="0.3">
      <c r="A1009" s="7">
        <v>400253</v>
      </c>
      <c r="B1009" t="str">
        <f>_xlfn.XLOOKUP(Vendas[[#This Row],[ID Vendedor]],Vendedores[ID],Vendedores[Nome])</f>
        <v>Gustavo</v>
      </c>
      <c r="C1009" s="7" t="str">
        <f>_xlfn.XLOOKUP(Vendas[[#This Row],[ID Vendedor]],Vendedores[ID],Vendedores[Setor])</f>
        <v>SC</v>
      </c>
      <c r="D1009" s="7" t="s">
        <v>48</v>
      </c>
      <c r="E1009" t="str">
        <f>_xlfn.XLOOKUP(Vendas[[#This Row],[ID Item Vendido]],Agregado[ID],Agregado[Produto])</f>
        <v>Tambor metálico 200L</v>
      </c>
      <c r="F1009" s="39">
        <v>44307</v>
      </c>
      <c r="G1009" s="7">
        <v>12</v>
      </c>
      <c r="H1009" s="3">
        <f>_xlfn.XLOOKUP(Vendas[[#This Row],[ID Item Vendido]],Agregado[ID],Agregado[Revenda])</f>
        <v>144</v>
      </c>
      <c r="I1009" s="3">
        <f>Vendas[[#This Row],[Valor Unitário]]*Vendas[[#This Row],[Qnt Vendida]]</f>
        <v>1728</v>
      </c>
      <c r="J1009" s="3">
        <f>Vendas[[#This Row],[Valor da Venda]]-(_xlfn.XLOOKUP(Vendas[[#This Row],[ID Item Vendido]],Agregado[ID],Agregado[Custo])*Vendas[[#This Row],[Qnt Vendida]])</f>
        <v>288</v>
      </c>
      <c r="K1009" s="70">
        <f>Vendas[[#This Row],[Lucro da Venda]]/Vendas[[#This Row],[Valor da Venda]]</f>
        <v>0.16666666666666666</v>
      </c>
      <c r="L1009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1009"/>
    </row>
    <row r="1010" spans="1:13" x14ac:dyDescent="0.3">
      <c r="A1010" s="7">
        <v>400245</v>
      </c>
      <c r="B1010" t="str">
        <f>_xlfn.XLOOKUP(Vendas[[#This Row],[ID Vendedor]],Vendedores[ID],Vendedores[Nome])</f>
        <v>Thiago</v>
      </c>
      <c r="C1010" s="7" t="str">
        <f>_xlfn.XLOOKUP(Vendas[[#This Row],[ID Vendedor]],Vendedores[ID],Vendedores[Setor])</f>
        <v>AHD</v>
      </c>
      <c r="D1010" s="7" t="s">
        <v>28</v>
      </c>
      <c r="E1010" t="str">
        <f>_xlfn.XLOOKUP(Vendas[[#This Row],[ID Item Vendido]],Agregado[ID],Agregado[Produto])</f>
        <v>Peça usinada CNC</v>
      </c>
      <c r="F1010" s="39">
        <v>44308</v>
      </c>
      <c r="G1010" s="7">
        <v>9</v>
      </c>
      <c r="H1010" s="3">
        <f>_xlfn.XLOOKUP(Vendas[[#This Row],[ID Item Vendido]],Agregado[ID],Agregado[Revenda])</f>
        <v>192</v>
      </c>
      <c r="I1010" s="3">
        <f>Vendas[[#This Row],[Valor Unitário]]*Vendas[[#This Row],[Qnt Vendida]]</f>
        <v>1728</v>
      </c>
      <c r="J1010" s="3">
        <f>Vendas[[#This Row],[Valor da Venda]]-(_xlfn.XLOOKUP(Vendas[[#This Row],[ID Item Vendido]],Agregado[ID],Agregado[Custo])*Vendas[[#This Row],[Qnt Vendida]])</f>
        <v>378</v>
      </c>
      <c r="K1010" s="70">
        <f>Vendas[[#This Row],[Lucro da Venda]]/Vendas[[#This Row],[Valor da Venda]]</f>
        <v>0.21875</v>
      </c>
      <c r="L1010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010"/>
    </row>
    <row r="1011" spans="1:13" x14ac:dyDescent="0.3">
      <c r="A1011" s="7">
        <v>400241</v>
      </c>
      <c r="B1011" t="str">
        <f>_xlfn.XLOOKUP(Vendas[[#This Row],[ID Vendedor]],Vendedores[ID],Vendedores[Nome])</f>
        <v>Rodrigo</v>
      </c>
      <c r="C1011" s="7" t="str">
        <f>_xlfn.XLOOKUP(Vendas[[#This Row],[ID Vendedor]],Vendedores[ID],Vendedores[Setor])</f>
        <v>FM</v>
      </c>
      <c r="D1011" s="7" t="s">
        <v>27</v>
      </c>
      <c r="E1011" t="str">
        <f>_xlfn.XLOOKUP(Vendas[[#This Row],[ID Item Vendido]],Agregado[ID],Agregado[Produto])</f>
        <v>Chapa de metal lisa 1x2m</v>
      </c>
      <c r="F1011" s="39">
        <v>44308</v>
      </c>
      <c r="G1011" s="7">
        <v>12</v>
      </c>
      <c r="H1011" s="3">
        <f>_xlfn.XLOOKUP(Vendas[[#This Row],[ID Item Vendido]],Agregado[ID],Agregado[Revenda])</f>
        <v>52</v>
      </c>
      <c r="I1011" s="3">
        <f>Vendas[[#This Row],[Valor Unitário]]*Vendas[[#This Row],[Qnt Vendida]]</f>
        <v>624</v>
      </c>
      <c r="J1011" s="3">
        <f>Vendas[[#This Row],[Valor da Venda]]-(_xlfn.XLOOKUP(Vendas[[#This Row],[ID Item Vendido]],Agregado[ID],Agregado[Custo])*Vendas[[#This Row],[Qnt Vendida]])</f>
        <v>84</v>
      </c>
      <c r="K1011" s="70">
        <f>Vendas[[#This Row],[Lucro da Venda]]/Vendas[[#This Row],[Valor da Venda]]</f>
        <v>0.13461538461538461</v>
      </c>
      <c r="L1011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1011"/>
    </row>
    <row r="1012" spans="1:13" x14ac:dyDescent="0.3">
      <c r="A1012" s="7">
        <v>400244</v>
      </c>
      <c r="B1012" t="str">
        <f>_xlfn.XLOOKUP(Vendas[[#This Row],[ID Vendedor]],Vendedores[ID],Vendedores[Nome])</f>
        <v>Camila</v>
      </c>
      <c r="C1012" s="7" t="str">
        <f>_xlfn.XLOOKUP(Vendas[[#This Row],[ID Vendedor]],Vendedores[ID],Vendedores[Setor])</f>
        <v>AHD</v>
      </c>
      <c r="D1012" s="7" t="s">
        <v>9</v>
      </c>
      <c r="E1012" t="str">
        <f>_xlfn.XLOOKUP(Vendas[[#This Row],[ID Item Vendido]],Agregado[ID],Agregado[Produto])</f>
        <v>Barra de aço simples</v>
      </c>
      <c r="F1012" s="39">
        <v>44308</v>
      </c>
      <c r="G1012" s="7">
        <v>44</v>
      </c>
      <c r="H1012" s="3">
        <f>_xlfn.XLOOKUP(Vendas[[#This Row],[ID Item Vendido]],Agregado[ID],Agregado[Revenda])</f>
        <v>6.7</v>
      </c>
      <c r="I1012" s="3">
        <f>Vendas[[#This Row],[Valor Unitário]]*Vendas[[#This Row],[Qnt Vendida]]</f>
        <v>294.8</v>
      </c>
      <c r="J1012" s="3">
        <f>Vendas[[#This Row],[Valor da Venda]]-(_xlfn.XLOOKUP(Vendas[[#This Row],[ID Item Vendido]],Agregado[ID],Agregado[Custo])*Vendas[[#This Row],[Qnt Vendida]])</f>
        <v>39.600000000000023</v>
      </c>
      <c r="K1012" s="70">
        <f>Vendas[[#This Row],[Lucro da Venda]]/Vendas[[#This Row],[Valor da Venda]]</f>
        <v>0.13432835820895531</v>
      </c>
      <c r="L1012" s="3">
        <f>_xlfn.IFS(Vendas[[#This Row],[Margem de Lucro (%)]]&lt;15%,Vendas[[#This Row],[Valor da Venda]]*3%,Vendas[[#This Row],[Margem de Lucro (%)]]&lt;=20%,Vendas[[#This Row],[Valor da Venda]]*4.5%,TRUE,Vendas[[#This Row],[Valor da Venda]]*6%)</f>
        <v>8.8439999999999994</v>
      </c>
      <c r="M1012"/>
    </row>
    <row r="1013" spans="1:13" x14ac:dyDescent="0.3">
      <c r="A1013" s="7">
        <v>400251</v>
      </c>
      <c r="B1013" t="str">
        <f>_xlfn.XLOOKUP(Vendas[[#This Row],[ID Vendedor]],Vendedores[ID],Vendedores[Nome])</f>
        <v>Diego</v>
      </c>
      <c r="C1013" s="7" t="str">
        <f>_xlfn.XLOOKUP(Vendas[[#This Row],[ID Vendedor]],Vendedores[ID],Vendedores[Setor])</f>
        <v>AB</v>
      </c>
      <c r="D1013" s="7" t="s">
        <v>24</v>
      </c>
      <c r="E1013" t="str">
        <f>_xlfn.XLOOKUP(Vendas[[#This Row],[ID Item Vendido]],Agregado[ID],Agregado[Produto])</f>
        <v>Resina plástica PET purificada saco de 25kg</v>
      </c>
      <c r="F1013" s="39">
        <v>44309</v>
      </c>
      <c r="G1013" s="7">
        <v>30</v>
      </c>
      <c r="H1013" s="3">
        <f>_xlfn.XLOOKUP(Vendas[[#This Row],[ID Item Vendido]],Agregado[ID],Agregado[Revenda])</f>
        <v>119</v>
      </c>
      <c r="I1013" s="3">
        <f>Vendas[[#This Row],[Valor Unitário]]*Vendas[[#This Row],[Qnt Vendida]]</f>
        <v>3570</v>
      </c>
      <c r="J1013" s="3">
        <f>Vendas[[#This Row],[Valor da Venda]]-(_xlfn.XLOOKUP(Vendas[[#This Row],[ID Item Vendido]],Agregado[ID],Agregado[Custo])*Vendas[[#This Row],[Qnt Vendida]])</f>
        <v>1020</v>
      </c>
      <c r="K1013" s="70">
        <f>Vendas[[#This Row],[Lucro da Venda]]/Vendas[[#This Row],[Valor da Venda]]</f>
        <v>0.2857142857142857</v>
      </c>
      <c r="L1013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1013"/>
    </row>
    <row r="1014" spans="1:13" x14ac:dyDescent="0.3">
      <c r="A1014" s="7">
        <v>400251</v>
      </c>
      <c r="B1014" t="str">
        <f>_xlfn.XLOOKUP(Vendas[[#This Row],[ID Vendedor]],Vendedores[ID],Vendedores[Nome])</f>
        <v>Diego</v>
      </c>
      <c r="C1014" s="7" t="str">
        <f>_xlfn.XLOOKUP(Vendas[[#This Row],[ID Vendedor]],Vendedores[ID],Vendedores[Setor])</f>
        <v>AB</v>
      </c>
      <c r="D1014" s="7" t="s">
        <v>39</v>
      </c>
      <c r="E1014" t="str">
        <f>_xlfn.XLOOKUP(Vendas[[#This Row],[ID Item Vendido]],Agregado[ID],Agregado[Produto])</f>
        <v>Filme plástico industrial rolo 50m</v>
      </c>
      <c r="F1014" s="39">
        <v>44309</v>
      </c>
      <c r="G1014" s="7">
        <v>27</v>
      </c>
      <c r="H1014" s="3">
        <f>_xlfn.XLOOKUP(Vendas[[#This Row],[ID Item Vendido]],Agregado[ID],Agregado[Revenda])</f>
        <v>37</v>
      </c>
      <c r="I1014" s="3">
        <f>Vendas[[#This Row],[Valor Unitário]]*Vendas[[#This Row],[Qnt Vendida]]</f>
        <v>999</v>
      </c>
      <c r="J1014" s="3">
        <f>Vendas[[#This Row],[Valor da Venda]]-(_xlfn.XLOOKUP(Vendas[[#This Row],[ID Item Vendido]],Agregado[ID],Agregado[Custo])*Vendas[[#This Row],[Qnt Vendida]])</f>
        <v>243</v>
      </c>
      <c r="K1014" s="70">
        <f>Vendas[[#This Row],[Lucro da Venda]]/Vendas[[#This Row],[Valor da Venda]]</f>
        <v>0.24324324324324326</v>
      </c>
      <c r="L1014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1014"/>
    </row>
    <row r="1015" spans="1:13" x14ac:dyDescent="0.3">
      <c r="A1015" s="7">
        <v>400244</v>
      </c>
      <c r="B1015" t="str">
        <f>_xlfn.XLOOKUP(Vendas[[#This Row],[ID Vendedor]],Vendedores[ID],Vendedores[Nome])</f>
        <v>Camila</v>
      </c>
      <c r="C1015" s="7" t="str">
        <f>_xlfn.XLOOKUP(Vendas[[#This Row],[ID Vendedor]],Vendedores[ID],Vendedores[Setor])</f>
        <v>AHD</v>
      </c>
      <c r="D1015" s="7" t="s">
        <v>28</v>
      </c>
      <c r="E1015" t="str">
        <f>_xlfn.XLOOKUP(Vendas[[#This Row],[ID Item Vendido]],Agregado[ID],Agregado[Produto])</f>
        <v>Peça usinada CNC</v>
      </c>
      <c r="F1015" s="39">
        <v>44311</v>
      </c>
      <c r="G1015" s="7">
        <v>4</v>
      </c>
      <c r="H1015" s="3">
        <f>_xlfn.XLOOKUP(Vendas[[#This Row],[ID Item Vendido]],Agregado[ID],Agregado[Revenda])</f>
        <v>192</v>
      </c>
      <c r="I1015" s="3">
        <f>Vendas[[#This Row],[Valor Unitário]]*Vendas[[#This Row],[Qnt Vendida]]</f>
        <v>768</v>
      </c>
      <c r="J1015" s="3">
        <f>Vendas[[#This Row],[Valor da Venda]]-(_xlfn.XLOOKUP(Vendas[[#This Row],[ID Item Vendido]],Agregado[ID],Agregado[Custo])*Vendas[[#This Row],[Qnt Vendida]])</f>
        <v>168</v>
      </c>
      <c r="K1015" s="70">
        <f>Vendas[[#This Row],[Lucro da Venda]]/Vendas[[#This Row],[Valor da Venda]]</f>
        <v>0.21875</v>
      </c>
      <c r="L1015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1015"/>
    </row>
    <row r="1016" spans="1:13" x14ac:dyDescent="0.3">
      <c r="A1016" s="7">
        <v>400241</v>
      </c>
      <c r="B1016" t="str">
        <f>_xlfn.XLOOKUP(Vendas[[#This Row],[ID Vendedor]],Vendedores[ID],Vendedores[Nome])</f>
        <v>Rodrigo</v>
      </c>
      <c r="C1016" s="7" t="str">
        <f>_xlfn.XLOOKUP(Vendas[[#This Row],[ID Vendedor]],Vendedores[ID],Vendedores[Setor])</f>
        <v>FM</v>
      </c>
      <c r="D1016" s="7" t="s">
        <v>47</v>
      </c>
      <c r="E1016" t="str">
        <f>_xlfn.XLOOKUP(Vendas[[#This Row],[ID Item Vendido]],Agregado[ID],Agregado[Produto])</f>
        <v>Fio de arame galvanizado rolo 50m</v>
      </c>
      <c r="F1016" s="39">
        <v>44311</v>
      </c>
      <c r="G1016" s="7">
        <v>16</v>
      </c>
      <c r="H1016" s="3">
        <f>_xlfn.XLOOKUP(Vendas[[#This Row],[ID Item Vendido]],Agregado[ID],Agregado[Revenda])</f>
        <v>21.2</v>
      </c>
      <c r="I1016" s="3">
        <f>Vendas[[#This Row],[Valor Unitário]]*Vendas[[#This Row],[Qnt Vendida]]</f>
        <v>339.2</v>
      </c>
      <c r="J1016" s="3">
        <f>Vendas[[#This Row],[Valor da Venda]]-(_xlfn.XLOOKUP(Vendas[[#This Row],[ID Item Vendido]],Agregado[ID],Agregado[Custo])*Vendas[[#This Row],[Qnt Vendida]])</f>
        <v>51.199999999999989</v>
      </c>
      <c r="K1016" s="70">
        <f>Vendas[[#This Row],[Lucro da Venda]]/Vendas[[#This Row],[Valor da Venda]]</f>
        <v>0.15094339622641506</v>
      </c>
      <c r="L1016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1016"/>
    </row>
    <row r="1017" spans="1:13" x14ac:dyDescent="0.3">
      <c r="A1017" s="7">
        <v>400247</v>
      </c>
      <c r="B1017" t="str">
        <f>_xlfn.XLOOKUP(Vendas[[#This Row],[ID Vendedor]],Vendedores[ID],Vendedores[Nome])</f>
        <v>André</v>
      </c>
      <c r="C1017" s="7" t="str">
        <f>_xlfn.XLOOKUP(Vendas[[#This Row],[ID Vendedor]],Vendedores[ID],Vendedores[Setor])</f>
        <v>CM</v>
      </c>
      <c r="D1017" s="7" t="s">
        <v>43</v>
      </c>
      <c r="E1017" t="str">
        <f>_xlfn.XLOOKUP(Vendas[[#This Row],[ID Item Vendido]],Agregado[ID],Agregado[Produto])</f>
        <v>Madeira Bruta (Tora)</v>
      </c>
      <c r="F1017" s="39">
        <v>44313</v>
      </c>
      <c r="G1017" s="7">
        <v>7</v>
      </c>
      <c r="H1017" s="3">
        <f>_xlfn.XLOOKUP(Vendas[[#This Row],[ID Item Vendido]],Agregado[ID],Agregado[Revenda])</f>
        <v>212</v>
      </c>
      <c r="I1017" s="3">
        <f>Vendas[[#This Row],[Valor Unitário]]*Vendas[[#This Row],[Qnt Vendida]]</f>
        <v>1484</v>
      </c>
      <c r="J1017" s="3">
        <f>Vendas[[#This Row],[Valor da Venda]]-(_xlfn.XLOOKUP(Vendas[[#This Row],[ID Item Vendido]],Agregado[ID],Agregado[Custo])*Vendas[[#This Row],[Qnt Vendida]])</f>
        <v>224</v>
      </c>
      <c r="K1017" s="70">
        <f>Vendas[[#This Row],[Lucro da Venda]]/Vendas[[#This Row],[Valor da Venda]]</f>
        <v>0.15094339622641509</v>
      </c>
      <c r="L1017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1017"/>
    </row>
    <row r="1018" spans="1:13" x14ac:dyDescent="0.3">
      <c r="A1018" s="7">
        <v>400255</v>
      </c>
      <c r="B1018" t="str">
        <f>_xlfn.XLOOKUP(Vendas[[#This Row],[ID Vendedor]],Vendedores[ID],Vendedores[Nome])</f>
        <v>Carlos</v>
      </c>
      <c r="C1018" s="7" t="str">
        <f>_xlfn.XLOOKUP(Vendas[[#This Row],[ID Vendedor]],Vendedores[ID],Vendedores[Setor])</f>
        <v>SC</v>
      </c>
      <c r="D1018" s="7" t="s">
        <v>42</v>
      </c>
      <c r="E1018" t="str">
        <f>_xlfn.XLOOKUP(Vendas[[#This Row],[ID Item Vendido]],Agregado[ID],Agregado[Produto])</f>
        <v>Container de ferro industrial</v>
      </c>
      <c r="F1018" s="39">
        <v>44317</v>
      </c>
      <c r="G1018" s="7">
        <v>5</v>
      </c>
      <c r="H1018" s="3">
        <f>_xlfn.XLOOKUP(Vendas[[#This Row],[ID Item Vendido]],Agregado[ID],Agregado[Revenda])</f>
        <v>830</v>
      </c>
      <c r="I1018" s="3">
        <f>Vendas[[#This Row],[Valor Unitário]]*Vendas[[#This Row],[Qnt Vendida]]</f>
        <v>4150</v>
      </c>
      <c r="J1018" s="3">
        <f>Vendas[[#This Row],[Valor da Venda]]-(_xlfn.XLOOKUP(Vendas[[#This Row],[ID Item Vendido]],Agregado[ID],Agregado[Custo])*Vendas[[#This Row],[Qnt Vendida]])</f>
        <v>750</v>
      </c>
      <c r="K1018" s="70">
        <f>Vendas[[#This Row],[Lucro da Venda]]/Vendas[[#This Row],[Valor da Venda]]</f>
        <v>0.18072289156626506</v>
      </c>
      <c r="L1018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018"/>
    </row>
    <row r="1019" spans="1:13" x14ac:dyDescent="0.3">
      <c r="A1019" s="7">
        <v>400251</v>
      </c>
      <c r="B1019" t="str">
        <f>_xlfn.XLOOKUP(Vendas[[#This Row],[ID Vendedor]],Vendedores[ID],Vendedores[Nome])</f>
        <v>Diego</v>
      </c>
      <c r="C1019" s="7" t="str">
        <f>_xlfn.XLOOKUP(Vendas[[#This Row],[ID Vendedor]],Vendedores[ID],Vendedores[Setor])</f>
        <v>AB</v>
      </c>
      <c r="D1019" s="7" t="s">
        <v>36</v>
      </c>
      <c r="E1019" t="str">
        <f>_xlfn.XLOOKUP(Vendas[[#This Row],[ID Item Vendido]],Agregado[ID],Agregado[Produto])</f>
        <v>Borracha vulcanizada em manta</v>
      </c>
      <c r="F1019" s="39">
        <v>44317</v>
      </c>
      <c r="G1019" s="7">
        <v>91</v>
      </c>
      <c r="H1019" s="3">
        <f>_xlfn.XLOOKUP(Vendas[[#This Row],[ID Item Vendido]],Agregado[ID],Agregado[Revenda])</f>
        <v>7.8</v>
      </c>
      <c r="I1019" s="3">
        <f>Vendas[[#This Row],[Valor Unitário]]*Vendas[[#This Row],[Qnt Vendida]]</f>
        <v>709.8</v>
      </c>
      <c r="J1019" s="3">
        <f>Vendas[[#This Row],[Valor da Venda]]-(_xlfn.XLOOKUP(Vendas[[#This Row],[ID Item Vendido]],Agregado[ID],Agregado[Custo])*Vendas[[#This Row],[Qnt Vendida]])</f>
        <v>163.79999999999995</v>
      </c>
      <c r="K1019" s="70">
        <f>Vendas[[#This Row],[Lucro da Venda]]/Vendas[[#This Row],[Valor da Venda]]</f>
        <v>0.23076923076923073</v>
      </c>
      <c r="L1019" s="3">
        <f>_xlfn.IFS(Vendas[[#This Row],[Margem de Lucro (%)]]&lt;15%,Vendas[[#This Row],[Valor da Venda]]*3%,Vendas[[#This Row],[Margem de Lucro (%)]]&lt;=20%,Vendas[[#This Row],[Valor da Venda]]*4.5%,TRUE,Vendas[[#This Row],[Valor da Venda]]*6%)</f>
        <v>42.587999999999994</v>
      </c>
      <c r="M1019"/>
    </row>
    <row r="1020" spans="1:13" x14ac:dyDescent="0.3">
      <c r="A1020" s="7">
        <v>400255</v>
      </c>
      <c r="B1020" t="str">
        <f>_xlfn.XLOOKUP(Vendas[[#This Row],[ID Vendedor]],Vendedores[ID],Vendedores[Nome])</f>
        <v>Carlos</v>
      </c>
      <c r="C1020" s="7" t="str">
        <f>_xlfn.XLOOKUP(Vendas[[#This Row],[ID Vendedor]],Vendedores[ID],Vendedores[Setor])</f>
        <v>SC</v>
      </c>
      <c r="D1020" s="7" t="s">
        <v>48</v>
      </c>
      <c r="E1020" t="str">
        <f>_xlfn.XLOOKUP(Vendas[[#This Row],[ID Item Vendido]],Agregado[ID],Agregado[Produto])</f>
        <v>Tambor metálico 200L</v>
      </c>
      <c r="F1020" s="39">
        <v>44318</v>
      </c>
      <c r="G1020" s="7">
        <v>8</v>
      </c>
      <c r="H1020" s="3">
        <f>_xlfn.XLOOKUP(Vendas[[#This Row],[ID Item Vendido]],Agregado[ID],Agregado[Revenda])</f>
        <v>144</v>
      </c>
      <c r="I1020" s="3">
        <f>Vendas[[#This Row],[Valor Unitário]]*Vendas[[#This Row],[Qnt Vendida]]</f>
        <v>1152</v>
      </c>
      <c r="J1020" s="3">
        <f>Vendas[[#This Row],[Valor da Venda]]-(_xlfn.XLOOKUP(Vendas[[#This Row],[ID Item Vendido]],Agregado[ID],Agregado[Custo])*Vendas[[#This Row],[Qnt Vendida]])</f>
        <v>192</v>
      </c>
      <c r="K1020" s="70">
        <f>Vendas[[#This Row],[Lucro da Venda]]/Vendas[[#This Row],[Valor da Venda]]</f>
        <v>0.16666666666666666</v>
      </c>
      <c r="L1020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020"/>
    </row>
    <row r="1021" spans="1:13" x14ac:dyDescent="0.3">
      <c r="A1021" s="7">
        <v>400255</v>
      </c>
      <c r="B1021" t="str">
        <f>_xlfn.XLOOKUP(Vendas[[#This Row],[ID Vendedor]],Vendedores[ID],Vendedores[Nome])</f>
        <v>Carlos</v>
      </c>
      <c r="C1021" s="7" t="str">
        <f>_xlfn.XLOOKUP(Vendas[[#This Row],[ID Vendedor]],Vendedores[ID],Vendedores[Setor])</f>
        <v>SC</v>
      </c>
      <c r="D1021" s="7" t="s">
        <v>25</v>
      </c>
      <c r="E1021" t="str">
        <f>_xlfn.XLOOKUP(Vendas[[#This Row],[ID Item Vendido]],Agregado[ID],Agregado[Produto])</f>
        <v>Palete de plástico</v>
      </c>
      <c r="F1021" s="39">
        <v>44319</v>
      </c>
      <c r="G1021" s="7">
        <v>3</v>
      </c>
      <c r="H1021" s="3">
        <f>_xlfn.XLOOKUP(Vendas[[#This Row],[ID Item Vendido]],Agregado[ID],Agregado[Revenda])</f>
        <v>70.8</v>
      </c>
      <c r="I1021" s="3">
        <f>Vendas[[#This Row],[Valor Unitário]]*Vendas[[#This Row],[Qnt Vendida]]</f>
        <v>212.39999999999998</v>
      </c>
      <c r="J1021" s="3">
        <f>Vendas[[#This Row],[Valor da Venda]]-(_xlfn.XLOOKUP(Vendas[[#This Row],[ID Item Vendido]],Agregado[ID],Agregado[Custo])*Vendas[[#This Row],[Qnt Vendida]])</f>
        <v>32.399999999999977</v>
      </c>
      <c r="K1021" s="70">
        <f>Vendas[[#This Row],[Lucro da Venda]]/Vendas[[#This Row],[Valor da Venda]]</f>
        <v>0.15254237288135583</v>
      </c>
      <c r="L1021" s="3">
        <f>_xlfn.IFS(Vendas[[#This Row],[Margem de Lucro (%)]]&lt;15%,Vendas[[#This Row],[Valor da Venda]]*3%,Vendas[[#This Row],[Margem de Lucro (%)]]&lt;=20%,Vendas[[#This Row],[Valor da Venda]]*4.5%,TRUE,Vendas[[#This Row],[Valor da Venda]]*6%)</f>
        <v>9.5579999999999981</v>
      </c>
      <c r="M1021"/>
    </row>
    <row r="1022" spans="1:13" x14ac:dyDescent="0.3">
      <c r="A1022" s="7">
        <v>400255</v>
      </c>
      <c r="B1022" t="str">
        <f>_xlfn.XLOOKUP(Vendas[[#This Row],[ID Vendedor]],Vendedores[ID],Vendedores[Nome])</f>
        <v>Carlos</v>
      </c>
      <c r="C1022" s="7" t="str">
        <f>_xlfn.XLOOKUP(Vendas[[#This Row],[ID Vendedor]],Vendedores[ID],Vendedores[Setor])</f>
        <v>SC</v>
      </c>
      <c r="D1022" s="7" t="s">
        <v>42</v>
      </c>
      <c r="E1022" t="str">
        <f>_xlfn.XLOOKUP(Vendas[[#This Row],[ID Item Vendido]],Agregado[ID],Agregado[Produto])</f>
        <v>Container de ferro industrial</v>
      </c>
      <c r="F1022" s="39">
        <v>44320</v>
      </c>
      <c r="G1022" s="7">
        <v>1</v>
      </c>
      <c r="H1022" s="3">
        <f>_xlfn.XLOOKUP(Vendas[[#This Row],[ID Item Vendido]],Agregado[ID],Agregado[Revenda])</f>
        <v>830</v>
      </c>
      <c r="I1022" s="3">
        <f>Vendas[[#This Row],[Valor Unitário]]*Vendas[[#This Row],[Qnt Vendida]]</f>
        <v>830</v>
      </c>
      <c r="J1022" s="3">
        <f>Vendas[[#This Row],[Valor da Venda]]-(_xlfn.XLOOKUP(Vendas[[#This Row],[ID Item Vendido]],Agregado[ID],Agregado[Custo])*Vendas[[#This Row],[Qnt Vendida]])</f>
        <v>150</v>
      </c>
      <c r="K1022" s="70">
        <f>Vendas[[#This Row],[Lucro da Venda]]/Vendas[[#This Row],[Valor da Venda]]</f>
        <v>0.18072289156626506</v>
      </c>
      <c r="L102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022"/>
    </row>
    <row r="1023" spans="1:13" x14ac:dyDescent="0.3">
      <c r="A1023" s="7">
        <v>400247</v>
      </c>
      <c r="B1023" t="str">
        <f>_xlfn.XLOOKUP(Vendas[[#This Row],[ID Vendedor]],Vendedores[ID],Vendedores[Nome])</f>
        <v>André</v>
      </c>
      <c r="C1023" s="7" t="str">
        <f>_xlfn.XLOOKUP(Vendas[[#This Row],[ID Vendedor]],Vendedores[ID],Vendedores[Setor])</f>
        <v>CM</v>
      </c>
      <c r="D1023" s="7" t="s">
        <v>32</v>
      </c>
      <c r="E1023" t="str">
        <f>_xlfn.XLOOKUP(Vendas[[#This Row],[ID Item Vendido]],Agregado[ID],Agregado[Produto])</f>
        <v>Tábua tratada e cortada 3m</v>
      </c>
      <c r="F1023" s="39">
        <v>44321</v>
      </c>
      <c r="G1023" s="7">
        <v>28</v>
      </c>
      <c r="H1023" s="3">
        <f>_xlfn.XLOOKUP(Vendas[[#This Row],[ID Item Vendido]],Agregado[ID],Agregado[Revenda])</f>
        <v>39</v>
      </c>
      <c r="I1023" s="3">
        <f>Vendas[[#This Row],[Valor Unitário]]*Vendas[[#This Row],[Qnt Vendida]]</f>
        <v>1092</v>
      </c>
      <c r="J1023" s="3">
        <f>Vendas[[#This Row],[Valor da Venda]]-(_xlfn.XLOOKUP(Vendas[[#This Row],[ID Item Vendido]],Agregado[ID],Agregado[Custo])*Vendas[[#This Row],[Qnt Vendida]])</f>
        <v>196</v>
      </c>
      <c r="K1023" s="70">
        <f>Vendas[[#This Row],[Lucro da Venda]]/Vendas[[#This Row],[Valor da Venda]]</f>
        <v>0.17948717948717949</v>
      </c>
      <c r="L1023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1023"/>
    </row>
    <row r="1024" spans="1:13" x14ac:dyDescent="0.3">
      <c r="A1024" s="7">
        <v>400245</v>
      </c>
      <c r="B1024" t="str">
        <f>_xlfn.XLOOKUP(Vendas[[#This Row],[ID Vendedor]],Vendedores[ID],Vendedores[Nome])</f>
        <v>Thiago</v>
      </c>
      <c r="C1024" s="7" t="str">
        <f>_xlfn.XLOOKUP(Vendas[[#This Row],[ID Vendedor]],Vendedores[ID],Vendedores[Setor])</f>
        <v>AHD</v>
      </c>
      <c r="D1024" s="7" t="s">
        <v>30</v>
      </c>
      <c r="E1024" t="str">
        <f>_xlfn.XLOOKUP(Vendas[[#This Row],[ID Item Vendido]],Agregado[ID],Agregado[Produto])</f>
        <v>Estrutura metálica soldada</v>
      </c>
      <c r="F1024" s="39">
        <v>44321</v>
      </c>
      <c r="G1024" s="7">
        <v>2</v>
      </c>
      <c r="H1024" s="3">
        <f>_xlfn.XLOOKUP(Vendas[[#This Row],[ID Item Vendido]],Agregado[ID],Agregado[Revenda])</f>
        <v>400</v>
      </c>
      <c r="I1024" s="3">
        <f>Vendas[[#This Row],[Valor Unitário]]*Vendas[[#This Row],[Qnt Vendida]]</f>
        <v>800</v>
      </c>
      <c r="J1024" s="3">
        <f>Vendas[[#This Row],[Valor da Venda]]-(_xlfn.XLOOKUP(Vendas[[#This Row],[ID Item Vendido]],Agregado[ID],Agregado[Custo])*Vendas[[#This Row],[Qnt Vendida]])</f>
        <v>160</v>
      </c>
      <c r="K1024" s="70">
        <f>Vendas[[#This Row],[Lucro da Venda]]/Vendas[[#This Row],[Valor da Venda]]</f>
        <v>0.2</v>
      </c>
      <c r="L1024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024"/>
    </row>
    <row r="1025" spans="1:13" x14ac:dyDescent="0.3">
      <c r="A1025" s="7">
        <v>400243</v>
      </c>
      <c r="B1025" t="str">
        <f>_xlfn.XLOOKUP(Vendas[[#This Row],[ID Vendedor]],Vendedores[ID],Vendedores[Nome])</f>
        <v>Marcelo</v>
      </c>
      <c r="C1025" s="7" t="str">
        <f>_xlfn.XLOOKUP(Vendas[[#This Row],[ID Vendedor]],Vendedores[ID],Vendedores[Setor])</f>
        <v>FM</v>
      </c>
      <c r="D1025" s="7" t="s">
        <v>6</v>
      </c>
      <c r="E1025" t="str">
        <f>_xlfn.XLOOKUP(Vendas[[#This Row],[ID Item Vendido]],Agregado[ID],Agregado[Produto])</f>
        <v>Parafuso comum 500un</v>
      </c>
      <c r="F1025" s="39">
        <v>44322</v>
      </c>
      <c r="G1025" s="7">
        <v>5</v>
      </c>
      <c r="H1025" s="3">
        <f>_xlfn.XLOOKUP(Vendas[[#This Row],[ID Item Vendido]],Agregado[ID],Agregado[Revenda])</f>
        <v>24.6</v>
      </c>
      <c r="I1025" s="3">
        <f>Vendas[[#This Row],[Valor Unitário]]*Vendas[[#This Row],[Qnt Vendida]]</f>
        <v>123</v>
      </c>
      <c r="J1025" s="3">
        <f>Vendas[[#This Row],[Valor da Venda]]-(_xlfn.XLOOKUP(Vendas[[#This Row],[ID Item Vendido]],Agregado[ID],Agregado[Custo])*Vendas[[#This Row],[Qnt Vendida]])</f>
        <v>13</v>
      </c>
      <c r="K1025" s="70">
        <f>Vendas[[#This Row],[Lucro da Venda]]/Vendas[[#This Row],[Valor da Venda]]</f>
        <v>0.10569105691056911</v>
      </c>
      <c r="L1025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1025"/>
    </row>
    <row r="1026" spans="1:13" x14ac:dyDescent="0.3">
      <c r="A1026" s="7">
        <v>400244</v>
      </c>
      <c r="B1026" t="str">
        <f>_xlfn.XLOOKUP(Vendas[[#This Row],[ID Vendedor]],Vendedores[ID],Vendedores[Nome])</f>
        <v>Camila</v>
      </c>
      <c r="C1026" s="7" t="str">
        <f>_xlfn.XLOOKUP(Vendas[[#This Row],[ID Vendedor]],Vendedores[ID],Vendedores[Setor])</f>
        <v>AHD</v>
      </c>
      <c r="D1026" s="7" t="s">
        <v>9</v>
      </c>
      <c r="E1026" t="str">
        <f>_xlfn.XLOOKUP(Vendas[[#This Row],[ID Item Vendido]],Agregado[ID],Agregado[Produto])</f>
        <v>Barra de aço simples</v>
      </c>
      <c r="F1026" s="39">
        <v>44323</v>
      </c>
      <c r="G1026" s="7">
        <v>56</v>
      </c>
      <c r="H1026" s="3">
        <f>_xlfn.XLOOKUP(Vendas[[#This Row],[ID Item Vendido]],Agregado[ID],Agregado[Revenda])</f>
        <v>6.7</v>
      </c>
      <c r="I1026" s="3">
        <f>Vendas[[#This Row],[Valor Unitário]]*Vendas[[#This Row],[Qnt Vendida]]</f>
        <v>375.2</v>
      </c>
      <c r="J1026" s="3">
        <f>Vendas[[#This Row],[Valor da Venda]]-(_xlfn.XLOOKUP(Vendas[[#This Row],[ID Item Vendido]],Agregado[ID],Agregado[Custo])*Vendas[[#This Row],[Qnt Vendida]])</f>
        <v>50.399999999999977</v>
      </c>
      <c r="K1026" s="70">
        <f>Vendas[[#This Row],[Lucro da Venda]]/Vendas[[#This Row],[Valor da Venda]]</f>
        <v>0.13432835820895517</v>
      </c>
      <c r="L1026" s="3">
        <f>_xlfn.IFS(Vendas[[#This Row],[Margem de Lucro (%)]]&lt;15%,Vendas[[#This Row],[Valor da Venda]]*3%,Vendas[[#This Row],[Margem de Lucro (%)]]&lt;=20%,Vendas[[#This Row],[Valor da Venda]]*4.5%,TRUE,Vendas[[#This Row],[Valor da Venda]]*6%)</f>
        <v>11.255999999999998</v>
      </c>
      <c r="M1026"/>
    </row>
    <row r="1027" spans="1:13" x14ac:dyDescent="0.3">
      <c r="A1027" s="7">
        <v>400253</v>
      </c>
      <c r="B1027" t="str">
        <f>_xlfn.XLOOKUP(Vendas[[#This Row],[ID Vendedor]],Vendedores[ID],Vendedores[Nome])</f>
        <v>Gustavo</v>
      </c>
      <c r="C1027" s="7" t="str">
        <f>_xlfn.XLOOKUP(Vendas[[#This Row],[ID Vendedor]],Vendedores[ID],Vendedores[Setor])</f>
        <v>SC</v>
      </c>
      <c r="D1027" s="7" t="s">
        <v>14</v>
      </c>
      <c r="E1027" t="str">
        <f>_xlfn.XLOOKUP(Vendas[[#This Row],[ID Item Vendido]],Agregado[ID],Agregado[Produto])</f>
        <v>Barril de plástico 200L</v>
      </c>
      <c r="F1027" s="39">
        <v>44324</v>
      </c>
      <c r="G1027" s="7">
        <v>10</v>
      </c>
      <c r="H1027" s="3">
        <f>_xlfn.XLOOKUP(Vendas[[#This Row],[ID Item Vendido]],Agregado[ID],Agregado[Revenda])</f>
        <v>114</v>
      </c>
      <c r="I1027" s="3">
        <f>Vendas[[#This Row],[Valor Unitário]]*Vendas[[#This Row],[Qnt Vendida]]</f>
        <v>1140</v>
      </c>
      <c r="J1027" s="3">
        <f>Vendas[[#This Row],[Valor da Venda]]-(_xlfn.XLOOKUP(Vendas[[#This Row],[ID Item Vendido]],Agregado[ID],Agregado[Custo])*Vendas[[#This Row],[Qnt Vendida]])</f>
        <v>190</v>
      </c>
      <c r="K1027" s="70">
        <f>Vendas[[#This Row],[Lucro da Venda]]/Vendas[[#This Row],[Valor da Venda]]</f>
        <v>0.16666666666666666</v>
      </c>
      <c r="L1027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1027"/>
    </row>
    <row r="1028" spans="1:13" x14ac:dyDescent="0.3">
      <c r="A1028" s="7">
        <v>400244</v>
      </c>
      <c r="B1028" t="str">
        <f>_xlfn.XLOOKUP(Vendas[[#This Row],[ID Vendedor]],Vendedores[ID],Vendedores[Nome])</f>
        <v>Camila</v>
      </c>
      <c r="C1028" s="7" t="str">
        <f>_xlfn.XLOOKUP(Vendas[[#This Row],[ID Vendedor]],Vendedores[ID],Vendedores[Setor])</f>
        <v>AHD</v>
      </c>
      <c r="D1028" s="7" t="s">
        <v>9</v>
      </c>
      <c r="E1028" t="str">
        <f>_xlfn.XLOOKUP(Vendas[[#This Row],[ID Item Vendido]],Agregado[ID],Agregado[Produto])</f>
        <v>Barra de aço simples</v>
      </c>
      <c r="F1028" s="39">
        <v>44324</v>
      </c>
      <c r="G1028" s="7">
        <v>129</v>
      </c>
      <c r="H1028" s="3">
        <f>_xlfn.XLOOKUP(Vendas[[#This Row],[ID Item Vendido]],Agregado[ID],Agregado[Revenda])</f>
        <v>6.7</v>
      </c>
      <c r="I1028" s="3">
        <f>Vendas[[#This Row],[Valor Unitário]]*Vendas[[#This Row],[Qnt Vendida]]</f>
        <v>864.30000000000007</v>
      </c>
      <c r="J1028" s="3">
        <f>Vendas[[#This Row],[Valor da Venda]]-(_xlfn.XLOOKUP(Vendas[[#This Row],[ID Item Vendido]],Agregado[ID],Agregado[Custo])*Vendas[[#This Row],[Qnt Vendida]])</f>
        <v>116.10000000000014</v>
      </c>
      <c r="K1028" s="70">
        <f>Vendas[[#This Row],[Lucro da Venda]]/Vendas[[#This Row],[Valor da Venda]]</f>
        <v>0.13432835820895536</v>
      </c>
      <c r="L1028" s="3">
        <f>_xlfn.IFS(Vendas[[#This Row],[Margem de Lucro (%)]]&lt;15%,Vendas[[#This Row],[Valor da Venda]]*3%,Vendas[[#This Row],[Margem de Lucro (%)]]&lt;=20%,Vendas[[#This Row],[Valor da Venda]]*4.5%,TRUE,Vendas[[#This Row],[Valor da Venda]]*6%)</f>
        <v>25.929000000000002</v>
      </c>
      <c r="M1028"/>
    </row>
    <row r="1029" spans="1:13" x14ac:dyDescent="0.3">
      <c r="A1029" s="7">
        <v>400244</v>
      </c>
      <c r="B1029" t="str">
        <f>_xlfn.XLOOKUP(Vendas[[#This Row],[ID Vendedor]],Vendedores[ID],Vendedores[Nome])</f>
        <v>Camila</v>
      </c>
      <c r="C1029" s="7" t="str">
        <f>_xlfn.XLOOKUP(Vendas[[#This Row],[ID Vendedor]],Vendedores[ID],Vendedores[Setor])</f>
        <v>AHD</v>
      </c>
      <c r="D1029" s="7" t="s">
        <v>44</v>
      </c>
      <c r="E1029" t="str">
        <f>_xlfn.XLOOKUP(Vendas[[#This Row],[ID Item Vendido]],Agregado[ID],Agregado[Produto])</f>
        <v>Liga metálica especial</v>
      </c>
      <c r="F1029" s="39">
        <v>44324</v>
      </c>
      <c r="G1029" s="7">
        <v>15</v>
      </c>
      <c r="H1029" s="3">
        <f>_xlfn.XLOOKUP(Vendas[[#This Row],[ID Item Vendido]],Agregado[ID],Agregado[Revenda])</f>
        <v>32.5</v>
      </c>
      <c r="I1029" s="3">
        <f>Vendas[[#This Row],[Valor Unitário]]*Vendas[[#This Row],[Qnt Vendida]]</f>
        <v>487.5</v>
      </c>
      <c r="J1029" s="3">
        <f>Vendas[[#This Row],[Valor da Venda]]-(_xlfn.XLOOKUP(Vendas[[#This Row],[ID Item Vendido]],Agregado[ID],Agregado[Custo])*Vendas[[#This Row],[Qnt Vendida]])</f>
        <v>112.5</v>
      </c>
      <c r="K1029" s="70">
        <f>Vendas[[#This Row],[Lucro da Venda]]/Vendas[[#This Row],[Valor da Venda]]</f>
        <v>0.23076923076923078</v>
      </c>
      <c r="L1029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1029"/>
    </row>
    <row r="1030" spans="1:13" x14ac:dyDescent="0.3">
      <c r="A1030" s="7">
        <v>400243</v>
      </c>
      <c r="B1030" t="str">
        <f>_xlfn.XLOOKUP(Vendas[[#This Row],[ID Vendedor]],Vendedores[ID],Vendedores[Nome])</f>
        <v>Marcelo</v>
      </c>
      <c r="C1030" s="7" t="str">
        <f>_xlfn.XLOOKUP(Vendas[[#This Row],[ID Vendedor]],Vendedores[ID],Vendedores[Setor])</f>
        <v>FM</v>
      </c>
      <c r="D1030" s="7" t="s">
        <v>47</v>
      </c>
      <c r="E1030" t="str">
        <f>_xlfn.XLOOKUP(Vendas[[#This Row],[ID Item Vendido]],Agregado[ID],Agregado[Produto])</f>
        <v>Fio de arame galvanizado rolo 50m</v>
      </c>
      <c r="F1030" s="39">
        <v>44324</v>
      </c>
      <c r="G1030" s="7">
        <v>16</v>
      </c>
      <c r="H1030" s="3">
        <f>_xlfn.XLOOKUP(Vendas[[#This Row],[ID Item Vendido]],Agregado[ID],Agregado[Revenda])</f>
        <v>21.2</v>
      </c>
      <c r="I1030" s="3">
        <f>Vendas[[#This Row],[Valor Unitário]]*Vendas[[#This Row],[Qnt Vendida]]</f>
        <v>339.2</v>
      </c>
      <c r="J1030" s="3">
        <f>Vendas[[#This Row],[Valor da Venda]]-(_xlfn.XLOOKUP(Vendas[[#This Row],[ID Item Vendido]],Agregado[ID],Agregado[Custo])*Vendas[[#This Row],[Qnt Vendida]])</f>
        <v>51.199999999999989</v>
      </c>
      <c r="K1030" s="70">
        <f>Vendas[[#This Row],[Lucro da Venda]]/Vendas[[#This Row],[Valor da Venda]]</f>
        <v>0.15094339622641506</v>
      </c>
      <c r="L1030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1030"/>
    </row>
    <row r="1031" spans="1:13" x14ac:dyDescent="0.3">
      <c r="A1031" s="7">
        <v>400245</v>
      </c>
      <c r="B1031" t="str">
        <f>_xlfn.XLOOKUP(Vendas[[#This Row],[ID Vendedor]],Vendedores[ID],Vendedores[Nome])</f>
        <v>Thiago</v>
      </c>
      <c r="C1031" s="7" t="str">
        <f>_xlfn.XLOOKUP(Vendas[[#This Row],[ID Vendedor]],Vendedores[ID],Vendedores[Setor])</f>
        <v>AHD</v>
      </c>
      <c r="D1031" s="7" t="s">
        <v>28</v>
      </c>
      <c r="E1031" t="str">
        <f>_xlfn.XLOOKUP(Vendas[[#This Row],[ID Item Vendido]],Agregado[ID],Agregado[Produto])</f>
        <v>Peça usinada CNC</v>
      </c>
      <c r="F1031" s="39">
        <v>44326</v>
      </c>
      <c r="G1031" s="7">
        <v>14</v>
      </c>
      <c r="H1031" s="3">
        <f>_xlfn.XLOOKUP(Vendas[[#This Row],[ID Item Vendido]],Agregado[ID],Agregado[Revenda])</f>
        <v>192</v>
      </c>
      <c r="I1031" s="3">
        <f>Vendas[[#This Row],[Valor Unitário]]*Vendas[[#This Row],[Qnt Vendida]]</f>
        <v>2688</v>
      </c>
      <c r="J1031" s="3">
        <f>Vendas[[#This Row],[Valor da Venda]]-(_xlfn.XLOOKUP(Vendas[[#This Row],[ID Item Vendido]],Agregado[ID],Agregado[Custo])*Vendas[[#This Row],[Qnt Vendida]])</f>
        <v>588</v>
      </c>
      <c r="K1031" s="70">
        <f>Vendas[[#This Row],[Lucro da Venda]]/Vendas[[#This Row],[Valor da Venda]]</f>
        <v>0.21875</v>
      </c>
      <c r="L1031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1031"/>
    </row>
    <row r="1032" spans="1:13" x14ac:dyDescent="0.3">
      <c r="A1032" s="7">
        <v>400249</v>
      </c>
      <c r="B1032" t="str">
        <f>_xlfn.XLOOKUP(Vendas[[#This Row],[ID Vendedor]],Vendedores[ID],Vendedores[Nome])</f>
        <v>Bruno</v>
      </c>
      <c r="C1032" s="7" t="str">
        <f>_xlfn.XLOOKUP(Vendas[[#This Row],[ID Vendedor]],Vendedores[ID],Vendedores[Setor])</f>
        <v>CM</v>
      </c>
      <c r="D1032" s="7" t="s">
        <v>22</v>
      </c>
      <c r="E1032" t="str">
        <f>_xlfn.XLOOKUP(Vendas[[#This Row],[ID Item Vendido]],Agregado[ID],Agregado[Produto])</f>
        <v>Painel MDP 2,75x1,83m</v>
      </c>
      <c r="F1032" s="39">
        <v>44328</v>
      </c>
      <c r="G1032" s="7">
        <v>19</v>
      </c>
      <c r="H1032" s="3">
        <f>_xlfn.XLOOKUP(Vendas[[#This Row],[ID Item Vendido]],Agregado[ID],Agregado[Revenda])</f>
        <v>119</v>
      </c>
      <c r="I1032" s="3">
        <f>Vendas[[#This Row],[Valor Unitário]]*Vendas[[#This Row],[Qnt Vendida]]</f>
        <v>2261</v>
      </c>
      <c r="J1032" s="3">
        <f>Vendas[[#This Row],[Valor da Venda]]-(_xlfn.XLOOKUP(Vendas[[#This Row],[ID Item Vendido]],Agregado[ID],Agregado[Custo])*Vendas[[#This Row],[Qnt Vendida]])</f>
        <v>456</v>
      </c>
      <c r="K1032" s="70">
        <f>Vendas[[#This Row],[Lucro da Venda]]/Vendas[[#This Row],[Valor da Venda]]</f>
        <v>0.20168067226890757</v>
      </c>
      <c r="L1032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1032"/>
    </row>
    <row r="1033" spans="1:13" x14ac:dyDescent="0.3">
      <c r="A1033" s="7">
        <v>400253</v>
      </c>
      <c r="B1033" t="str">
        <f>_xlfn.XLOOKUP(Vendas[[#This Row],[ID Vendedor]],Vendedores[ID],Vendedores[Nome])</f>
        <v>Gustavo</v>
      </c>
      <c r="C1033" s="7" t="str">
        <f>_xlfn.XLOOKUP(Vendas[[#This Row],[ID Vendedor]],Vendedores[ID],Vendedores[Setor])</f>
        <v>SC</v>
      </c>
      <c r="D1033" s="7" t="s">
        <v>48</v>
      </c>
      <c r="E1033" t="str">
        <f>_xlfn.XLOOKUP(Vendas[[#This Row],[ID Item Vendido]],Agregado[ID],Agregado[Produto])</f>
        <v>Tambor metálico 200L</v>
      </c>
      <c r="F1033" s="39">
        <v>44328</v>
      </c>
      <c r="G1033" s="7">
        <v>8</v>
      </c>
      <c r="H1033" s="3">
        <f>_xlfn.XLOOKUP(Vendas[[#This Row],[ID Item Vendido]],Agregado[ID],Agregado[Revenda])</f>
        <v>144</v>
      </c>
      <c r="I1033" s="3">
        <f>Vendas[[#This Row],[Valor Unitário]]*Vendas[[#This Row],[Qnt Vendida]]</f>
        <v>1152</v>
      </c>
      <c r="J1033" s="3">
        <f>Vendas[[#This Row],[Valor da Venda]]-(_xlfn.XLOOKUP(Vendas[[#This Row],[ID Item Vendido]],Agregado[ID],Agregado[Custo])*Vendas[[#This Row],[Qnt Vendida]])</f>
        <v>192</v>
      </c>
      <c r="K1033" s="70">
        <f>Vendas[[#This Row],[Lucro da Venda]]/Vendas[[#This Row],[Valor da Venda]]</f>
        <v>0.16666666666666666</v>
      </c>
      <c r="L1033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033"/>
    </row>
    <row r="1034" spans="1:13" x14ac:dyDescent="0.3">
      <c r="A1034" s="7">
        <v>400245</v>
      </c>
      <c r="B1034" t="str">
        <f>_xlfn.XLOOKUP(Vendas[[#This Row],[ID Vendedor]],Vendedores[ID],Vendedores[Nome])</f>
        <v>Thiago</v>
      </c>
      <c r="C1034" s="7" t="str">
        <f>_xlfn.XLOOKUP(Vendas[[#This Row],[ID Vendedor]],Vendedores[ID],Vendedores[Setor])</f>
        <v>AHD</v>
      </c>
      <c r="D1034" s="7" t="s">
        <v>44</v>
      </c>
      <c r="E1034" t="str">
        <f>_xlfn.XLOOKUP(Vendas[[#This Row],[ID Item Vendido]],Agregado[ID],Agregado[Produto])</f>
        <v>Liga metálica especial</v>
      </c>
      <c r="F1034" s="39">
        <v>44328</v>
      </c>
      <c r="G1034" s="7">
        <v>15</v>
      </c>
      <c r="H1034" s="3">
        <f>_xlfn.XLOOKUP(Vendas[[#This Row],[ID Item Vendido]],Agregado[ID],Agregado[Revenda])</f>
        <v>32.5</v>
      </c>
      <c r="I1034" s="3">
        <f>Vendas[[#This Row],[Valor Unitário]]*Vendas[[#This Row],[Qnt Vendida]]</f>
        <v>487.5</v>
      </c>
      <c r="J1034" s="3">
        <f>Vendas[[#This Row],[Valor da Venda]]-(_xlfn.XLOOKUP(Vendas[[#This Row],[ID Item Vendido]],Agregado[ID],Agregado[Custo])*Vendas[[#This Row],[Qnt Vendida]])</f>
        <v>112.5</v>
      </c>
      <c r="K1034" s="70">
        <f>Vendas[[#This Row],[Lucro da Venda]]/Vendas[[#This Row],[Valor da Venda]]</f>
        <v>0.23076923076923078</v>
      </c>
      <c r="L1034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1034"/>
    </row>
    <row r="1035" spans="1:13" x14ac:dyDescent="0.3">
      <c r="A1035" s="7">
        <v>400244</v>
      </c>
      <c r="B1035" t="str">
        <f>_xlfn.XLOOKUP(Vendas[[#This Row],[ID Vendedor]],Vendedores[ID],Vendedores[Nome])</f>
        <v>Camila</v>
      </c>
      <c r="C1035" s="7" t="str">
        <f>_xlfn.XLOOKUP(Vendas[[#This Row],[ID Vendedor]],Vendedores[ID],Vendedores[Setor])</f>
        <v>AHD</v>
      </c>
      <c r="D1035" s="7" t="s">
        <v>44</v>
      </c>
      <c r="E1035" t="str">
        <f>_xlfn.XLOOKUP(Vendas[[#This Row],[ID Item Vendido]],Agregado[ID],Agregado[Produto])</f>
        <v>Liga metálica especial</v>
      </c>
      <c r="F1035" s="39">
        <v>44328</v>
      </c>
      <c r="G1035" s="7">
        <v>10</v>
      </c>
      <c r="H1035" s="3">
        <f>_xlfn.XLOOKUP(Vendas[[#This Row],[ID Item Vendido]],Agregado[ID],Agregado[Revenda])</f>
        <v>32.5</v>
      </c>
      <c r="I1035" s="3">
        <f>Vendas[[#This Row],[Valor Unitário]]*Vendas[[#This Row],[Qnt Vendida]]</f>
        <v>325</v>
      </c>
      <c r="J1035" s="3">
        <f>Vendas[[#This Row],[Valor da Venda]]-(_xlfn.XLOOKUP(Vendas[[#This Row],[ID Item Vendido]],Agregado[ID],Agregado[Custo])*Vendas[[#This Row],[Qnt Vendida]])</f>
        <v>75</v>
      </c>
      <c r="K1035" s="70">
        <f>Vendas[[#This Row],[Lucro da Venda]]/Vendas[[#This Row],[Valor da Venda]]</f>
        <v>0.23076923076923078</v>
      </c>
      <c r="L1035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1035"/>
    </row>
    <row r="1036" spans="1:13" x14ac:dyDescent="0.3">
      <c r="A1036" s="7">
        <v>400247</v>
      </c>
      <c r="B1036" t="str">
        <f>_xlfn.XLOOKUP(Vendas[[#This Row],[ID Vendedor]],Vendedores[ID],Vendedores[Nome])</f>
        <v>André</v>
      </c>
      <c r="C1036" s="7" t="str">
        <f>_xlfn.XLOOKUP(Vendas[[#This Row],[ID Vendedor]],Vendedores[ID],Vendedores[Setor])</f>
        <v>CM</v>
      </c>
      <c r="D1036" s="7" t="s">
        <v>22</v>
      </c>
      <c r="E1036" t="str">
        <f>_xlfn.XLOOKUP(Vendas[[#This Row],[ID Item Vendido]],Agregado[ID],Agregado[Produto])</f>
        <v>Painel MDP 2,75x1,83m</v>
      </c>
      <c r="F1036" s="39">
        <v>44329</v>
      </c>
      <c r="G1036" s="7">
        <v>23</v>
      </c>
      <c r="H1036" s="3">
        <f>_xlfn.XLOOKUP(Vendas[[#This Row],[ID Item Vendido]],Agregado[ID],Agregado[Revenda])</f>
        <v>119</v>
      </c>
      <c r="I1036" s="3">
        <f>Vendas[[#This Row],[Valor Unitário]]*Vendas[[#This Row],[Qnt Vendida]]</f>
        <v>2737</v>
      </c>
      <c r="J1036" s="3">
        <f>Vendas[[#This Row],[Valor da Venda]]-(_xlfn.XLOOKUP(Vendas[[#This Row],[ID Item Vendido]],Agregado[ID],Agregado[Custo])*Vendas[[#This Row],[Qnt Vendida]])</f>
        <v>552</v>
      </c>
      <c r="K1036" s="70">
        <f>Vendas[[#This Row],[Lucro da Venda]]/Vendas[[#This Row],[Valor da Venda]]</f>
        <v>0.20168067226890757</v>
      </c>
      <c r="L103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036"/>
    </row>
    <row r="1037" spans="1:13" x14ac:dyDescent="0.3">
      <c r="A1037" s="7">
        <v>400245</v>
      </c>
      <c r="B1037" t="str">
        <f>_xlfn.XLOOKUP(Vendas[[#This Row],[ID Vendedor]],Vendedores[ID],Vendedores[Nome])</f>
        <v>Thiago</v>
      </c>
      <c r="C1037" s="7" t="str">
        <f>_xlfn.XLOOKUP(Vendas[[#This Row],[ID Vendedor]],Vendedores[ID],Vendedores[Setor])</f>
        <v>AHD</v>
      </c>
      <c r="D1037" s="7" t="s">
        <v>28</v>
      </c>
      <c r="E1037" t="str">
        <f>_xlfn.XLOOKUP(Vendas[[#This Row],[ID Item Vendido]],Agregado[ID],Agregado[Produto])</f>
        <v>Peça usinada CNC</v>
      </c>
      <c r="F1037" s="39">
        <v>44329</v>
      </c>
      <c r="G1037" s="7">
        <v>13</v>
      </c>
      <c r="H1037" s="3">
        <f>_xlfn.XLOOKUP(Vendas[[#This Row],[ID Item Vendido]],Agregado[ID],Agregado[Revenda])</f>
        <v>192</v>
      </c>
      <c r="I1037" s="3">
        <f>Vendas[[#This Row],[Valor Unitário]]*Vendas[[#This Row],[Qnt Vendida]]</f>
        <v>2496</v>
      </c>
      <c r="J1037" s="3">
        <f>Vendas[[#This Row],[Valor da Venda]]-(_xlfn.XLOOKUP(Vendas[[#This Row],[ID Item Vendido]],Agregado[ID],Agregado[Custo])*Vendas[[#This Row],[Qnt Vendida]])</f>
        <v>546</v>
      </c>
      <c r="K1037" s="70">
        <f>Vendas[[#This Row],[Lucro da Venda]]/Vendas[[#This Row],[Valor da Venda]]</f>
        <v>0.21875</v>
      </c>
      <c r="L1037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1037"/>
    </row>
    <row r="1038" spans="1:13" x14ac:dyDescent="0.3">
      <c r="A1038" s="7">
        <v>400241</v>
      </c>
      <c r="B1038" t="str">
        <f>_xlfn.XLOOKUP(Vendas[[#This Row],[ID Vendedor]],Vendedores[ID],Vendedores[Nome])</f>
        <v>Rodrigo</v>
      </c>
      <c r="C1038" s="7" t="str">
        <f>_xlfn.XLOOKUP(Vendas[[#This Row],[ID Vendedor]],Vendedores[ID],Vendedores[Setor])</f>
        <v>FM</v>
      </c>
      <c r="D1038" s="7" t="s">
        <v>20</v>
      </c>
      <c r="E1038" t="str">
        <f>_xlfn.XLOOKUP(Vendas[[#This Row],[ID Item Vendido]],Agregado[ID],Agregado[Produto])</f>
        <v>Barra de aço simples</v>
      </c>
      <c r="F1038" s="39">
        <v>44329</v>
      </c>
      <c r="G1038" s="7">
        <v>174</v>
      </c>
      <c r="H1038" s="3">
        <f>_xlfn.XLOOKUP(Vendas[[#This Row],[ID Item Vendido]],Agregado[ID],Agregado[Revenda])</f>
        <v>4.8</v>
      </c>
      <c r="I1038" s="3">
        <f>Vendas[[#This Row],[Valor Unitário]]*Vendas[[#This Row],[Qnt Vendida]]</f>
        <v>835.19999999999993</v>
      </c>
      <c r="J1038" s="3">
        <f>Vendas[[#This Row],[Valor da Venda]]-(_xlfn.XLOOKUP(Vendas[[#This Row],[ID Item Vendido]],Agregado[ID],Agregado[Custo])*Vendas[[#This Row],[Qnt Vendida]])</f>
        <v>104.39999999999986</v>
      </c>
      <c r="K1038" s="70">
        <f>Vendas[[#This Row],[Lucro da Venda]]/Vendas[[#This Row],[Valor da Venda]]</f>
        <v>0.12499999999999985</v>
      </c>
      <c r="L1038" s="3">
        <f>_xlfn.IFS(Vendas[[#This Row],[Margem de Lucro (%)]]&lt;15%,Vendas[[#This Row],[Valor da Venda]]*3%,Vendas[[#This Row],[Margem de Lucro (%)]]&lt;=20%,Vendas[[#This Row],[Valor da Venda]]*4.5%,TRUE,Vendas[[#This Row],[Valor da Venda]]*6%)</f>
        <v>25.055999999999997</v>
      </c>
      <c r="M1038"/>
    </row>
    <row r="1039" spans="1:13" x14ac:dyDescent="0.3">
      <c r="A1039" s="7">
        <v>400249</v>
      </c>
      <c r="B1039" t="str">
        <f>_xlfn.XLOOKUP(Vendas[[#This Row],[ID Vendedor]],Vendedores[ID],Vendedores[Nome])</f>
        <v>Bruno</v>
      </c>
      <c r="C1039" s="7" t="str">
        <f>_xlfn.XLOOKUP(Vendas[[#This Row],[ID Vendedor]],Vendedores[ID],Vendedores[Setor])</f>
        <v>CM</v>
      </c>
      <c r="D1039" s="7" t="s">
        <v>34</v>
      </c>
      <c r="E1039" t="str">
        <f>_xlfn.XLOOKUP(Vendas[[#This Row],[ID Item Vendido]],Agregado[ID],Agregado[Produto])</f>
        <v>Restos de madeira p/ MDP/OSB saco de 20kg</v>
      </c>
      <c r="F1039" s="39">
        <v>44330</v>
      </c>
      <c r="G1039" s="7">
        <v>7</v>
      </c>
      <c r="H1039" s="3">
        <f>_xlfn.XLOOKUP(Vendas[[#This Row],[ID Item Vendido]],Agregado[ID],Agregado[Revenda])</f>
        <v>13.8</v>
      </c>
      <c r="I1039" s="3">
        <f>Vendas[[#This Row],[Valor Unitário]]*Vendas[[#This Row],[Qnt Vendida]]</f>
        <v>96.600000000000009</v>
      </c>
      <c r="J1039" s="3">
        <f>Vendas[[#This Row],[Valor da Venda]]-(_xlfn.XLOOKUP(Vendas[[#This Row],[ID Item Vendido]],Agregado[ID],Agregado[Custo])*Vendas[[#This Row],[Qnt Vendida]])</f>
        <v>12.600000000000009</v>
      </c>
      <c r="K1039" s="70">
        <f>Vendas[[#This Row],[Lucro da Venda]]/Vendas[[#This Row],[Valor da Venda]]</f>
        <v>0.13043478260869573</v>
      </c>
      <c r="L1039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1039"/>
    </row>
    <row r="1040" spans="1:13" x14ac:dyDescent="0.3">
      <c r="A1040" s="7">
        <v>400245</v>
      </c>
      <c r="B1040" t="str">
        <f>_xlfn.XLOOKUP(Vendas[[#This Row],[ID Vendedor]],Vendedores[ID],Vendedores[Nome])</f>
        <v>Thiago</v>
      </c>
      <c r="C1040" s="7" t="str">
        <f>_xlfn.XLOOKUP(Vendas[[#This Row],[ID Vendedor]],Vendedores[ID],Vendedores[Setor])</f>
        <v>AHD</v>
      </c>
      <c r="D1040" s="7" t="s">
        <v>30</v>
      </c>
      <c r="E1040" t="str">
        <f>_xlfn.XLOOKUP(Vendas[[#This Row],[ID Item Vendido]],Agregado[ID],Agregado[Produto])</f>
        <v>Estrutura metálica soldada</v>
      </c>
      <c r="F1040" s="39">
        <v>44331</v>
      </c>
      <c r="G1040" s="7">
        <v>6</v>
      </c>
      <c r="H1040" s="3">
        <f>_xlfn.XLOOKUP(Vendas[[#This Row],[ID Item Vendido]],Agregado[ID],Agregado[Revenda])</f>
        <v>400</v>
      </c>
      <c r="I1040" s="3">
        <f>Vendas[[#This Row],[Valor Unitário]]*Vendas[[#This Row],[Qnt Vendida]]</f>
        <v>2400</v>
      </c>
      <c r="J1040" s="3">
        <f>Vendas[[#This Row],[Valor da Venda]]-(_xlfn.XLOOKUP(Vendas[[#This Row],[ID Item Vendido]],Agregado[ID],Agregado[Custo])*Vendas[[#This Row],[Qnt Vendida]])</f>
        <v>480</v>
      </c>
      <c r="K1040" s="70">
        <f>Vendas[[#This Row],[Lucro da Venda]]/Vendas[[#This Row],[Valor da Venda]]</f>
        <v>0.2</v>
      </c>
      <c r="L104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040"/>
    </row>
    <row r="1041" spans="1:13" x14ac:dyDescent="0.3">
      <c r="A1041" s="7">
        <v>400245</v>
      </c>
      <c r="B1041" t="str">
        <f>_xlfn.XLOOKUP(Vendas[[#This Row],[ID Vendedor]],Vendedores[ID],Vendedores[Nome])</f>
        <v>Thiago</v>
      </c>
      <c r="C1041" s="7" t="str">
        <f>_xlfn.XLOOKUP(Vendas[[#This Row],[ID Vendedor]],Vendedores[ID],Vendedores[Setor])</f>
        <v>AHD</v>
      </c>
      <c r="D1041" s="7" t="s">
        <v>44</v>
      </c>
      <c r="E1041" t="str">
        <f>_xlfn.XLOOKUP(Vendas[[#This Row],[ID Item Vendido]],Agregado[ID],Agregado[Produto])</f>
        <v>Liga metálica especial</v>
      </c>
      <c r="F1041" s="39">
        <v>44331</v>
      </c>
      <c r="G1041" s="7">
        <v>18</v>
      </c>
      <c r="H1041" s="3">
        <f>_xlfn.XLOOKUP(Vendas[[#This Row],[ID Item Vendido]],Agregado[ID],Agregado[Revenda])</f>
        <v>32.5</v>
      </c>
      <c r="I1041" s="3">
        <f>Vendas[[#This Row],[Valor Unitário]]*Vendas[[#This Row],[Qnt Vendida]]</f>
        <v>585</v>
      </c>
      <c r="J1041" s="3">
        <f>Vendas[[#This Row],[Valor da Venda]]-(_xlfn.XLOOKUP(Vendas[[#This Row],[ID Item Vendido]],Agregado[ID],Agregado[Custo])*Vendas[[#This Row],[Qnt Vendida]])</f>
        <v>135</v>
      </c>
      <c r="K1041" s="70">
        <f>Vendas[[#This Row],[Lucro da Venda]]/Vendas[[#This Row],[Valor da Venda]]</f>
        <v>0.23076923076923078</v>
      </c>
      <c r="L1041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1041"/>
    </row>
    <row r="1042" spans="1:13" x14ac:dyDescent="0.3">
      <c r="A1042" s="7">
        <v>400247</v>
      </c>
      <c r="B1042" t="str">
        <f>_xlfn.XLOOKUP(Vendas[[#This Row],[ID Vendedor]],Vendedores[ID],Vendedores[Nome])</f>
        <v>André</v>
      </c>
      <c r="C1042" s="7" t="str">
        <f>_xlfn.XLOOKUP(Vendas[[#This Row],[ID Vendedor]],Vendedores[ID],Vendedores[Setor])</f>
        <v>CM</v>
      </c>
      <c r="D1042" s="7" t="s">
        <v>22</v>
      </c>
      <c r="E1042" t="str">
        <f>_xlfn.XLOOKUP(Vendas[[#This Row],[ID Item Vendido]],Agregado[ID],Agregado[Produto])</f>
        <v>Painel MDP 2,75x1,83m</v>
      </c>
      <c r="F1042" s="39">
        <v>44332</v>
      </c>
      <c r="G1042" s="7">
        <v>14</v>
      </c>
      <c r="H1042" s="3">
        <f>_xlfn.XLOOKUP(Vendas[[#This Row],[ID Item Vendido]],Agregado[ID],Agregado[Revenda])</f>
        <v>119</v>
      </c>
      <c r="I1042" s="3">
        <f>Vendas[[#This Row],[Valor Unitário]]*Vendas[[#This Row],[Qnt Vendida]]</f>
        <v>1666</v>
      </c>
      <c r="J1042" s="3">
        <f>Vendas[[#This Row],[Valor da Venda]]-(_xlfn.XLOOKUP(Vendas[[#This Row],[ID Item Vendido]],Agregado[ID],Agregado[Custo])*Vendas[[#This Row],[Qnt Vendida]])</f>
        <v>336</v>
      </c>
      <c r="K1042" s="70">
        <f>Vendas[[#This Row],[Lucro da Venda]]/Vendas[[#This Row],[Valor da Venda]]</f>
        <v>0.20168067226890757</v>
      </c>
      <c r="L1042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042"/>
    </row>
    <row r="1043" spans="1:13" x14ac:dyDescent="0.3">
      <c r="A1043" s="7">
        <v>400243</v>
      </c>
      <c r="B1043" t="str">
        <f>_xlfn.XLOOKUP(Vendas[[#This Row],[ID Vendedor]],Vendedores[ID],Vendedores[Nome])</f>
        <v>Marcelo</v>
      </c>
      <c r="C1043" s="7" t="str">
        <f>_xlfn.XLOOKUP(Vendas[[#This Row],[ID Vendedor]],Vendedores[ID],Vendedores[Setor])</f>
        <v>FM</v>
      </c>
      <c r="D1043" s="7" t="s">
        <v>27</v>
      </c>
      <c r="E1043" t="str">
        <f>_xlfn.XLOOKUP(Vendas[[#This Row],[ID Item Vendido]],Agregado[ID],Agregado[Produto])</f>
        <v>Chapa de metal lisa 1x2m</v>
      </c>
      <c r="F1043" s="39">
        <v>44333</v>
      </c>
      <c r="G1043" s="7">
        <v>30</v>
      </c>
      <c r="H1043" s="3">
        <f>_xlfn.XLOOKUP(Vendas[[#This Row],[ID Item Vendido]],Agregado[ID],Agregado[Revenda])</f>
        <v>52</v>
      </c>
      <c r="I1043" s="3">
        <f>Vendas[[#This Row],[Valor Unitário]]*Vendas[[#This Row],[Qnt Vendida]]</f>
        <v>1560</v>
      </c>
      <c r="J1043" s="3">
        <f>Vendas[[#This Row],[Valor da Venda]]-(_xlfn.XLOOKUP(Vendas[[#This Row],[ID Item Vendido]],Agregado[ID],Agregado[Custo])*Vendas[[#This Row],[Qnt Vendida]])</f>
        <v>210</v>
      </c>
      <c r="K1043" s="70">
        <f>Vendas[[#This Row],[Lucro da Venda]]/Vendas[[#This Row],[Valor da Venda]]</f>
        <v>0.13461538461538461</v>
      </c>
      <c r="L1043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1043"/>
    </row>
    <row r="1044" spans="1:13" x14ac:dyDescent="0.3">
      <c r="A1044" s="7">
        <v>400247</v>
      </c>
      <c r="B1044" t="str">
        <f>_xlfn.XLOOKUP(Vendas[[#This Row],[ID Vendedor]],Vendedores[ID],Vendedores[Nome])</f>
        <v>André</v>
      </c>
      <c r="C1044" s="7" t="str">
        <f>_xlfn.XLOOKUP(Vendas[[#This Row],[ID Vendedor]],Vendedores[ID],Vendedores[Setor])</f>
        <v>CM</v>
      </c>
      <c r="D1044" s="7" t="s">
        <v>32</v>
      </c>
      <c r="E1044" t="str">
        <f>_xlfn.XLOOKUP(Vendas[[#This Row],[ID Item Vendido]],Agregado[ID],Agregado[Produto])</f>
        <v>Tábua tratada e cortada 3m</v>
      </c>
      <c r="F1044" s="39">
        <v>44333</v>
      </c>
      <c r="G1044" s="7">
        <v>37</v>
      </c>
      <c r="H1044" s="3">
        <f>_xlfn.XLOOKUP(Vendas[[#This Row],[ID Item Vendido]],Agregado[ID],Agregado[Revenda])</f>
        <v>39</v>
      </c>
      <c r="I1044" s="3">
        <f>Vendas[[#This Row],[Valor Unitário]]*Vendas[[#This Row],[Qnt Vendida]]</f>
        <v>1443</v>
      </c>
      <c r="J1044" s="3">
        <f>Vendas[[#This Row],[Valor da Venda]]-(_xlfn.XLOOKUP(Vendas[[#This Row],[ID Item Vendido]],Agregado[ID],Agregado[Custo])*Vendas[[#This Row],[Qnt Vendida]])</f>
        <v>259</v>
      </c>
      <c r="K1044" s="70">
        <f>Vendas[[#This Row],[Lucro da Venda]]/Vendas[[#This Row],[Valor da Venda]]</f>
        <v>0.17948717948717949</v>
      </c>
      <c r="L1044" s="3">
        <f>_xlfn.IFS(Vendas[[#This Row],[Margem de Lucro (%)]]&lt;15%,Vendas[[#This Row],[Valor da Venda]]*3%,Vendas[[#This Row],[Margem de Lucro (%)]]&lt;=20%,Vendas[[#This Row],[Valor da Venda]]*4.5%,TRUE,Vendas[[#This Row],[Valor da Venda]]*6%)</f>
        <v>64.935000000000002</v>
      </c>
      <c r="M1044"/>
    </row>
    <row r="1045" spans="1:13" x14ac:dyDescent="0.3">
      <c r="A1045" s="7">
        <v>400251</v>
      </c>
      <c r="B1045" t="str">
        <f>_xlfn.XLOOKUP(Vendas[[#This Row],[ID Vendedor]],Vendedores[ID],Vendedores[Nome])</f>
        <v>Diego</v>
      </c>
      <c r="C1045" s="7" t="str">
        <f>_xlfn.XLOOKUP(Vendas[[#This Row],[ID Vendedor]],Vendedores[ID],Vendedores[Setor])</f>
        <v>AB</v>
      </c>
      <c r="D1045" s="7" t="s">
        <v>12</v>
      </c>
      <c r="E1045" t="str">
        <f>_xlfn.XLOOKUP(Vendas[[#This Row],[ID Item Vendido]],Agregado[ID],Agregado[Produto])</f>
        <v>Grânulo de plástico reciclado refinado</v>
      </c>
      <c r="F1045" s="39">
        <v>44334</v>
      </c>
      <c r="G1045" s="7">
        <v>17</v>
      </c>
      <c r="H1045" s="3">
        <f>_xlfn.XLOOKUP(Vendas[[#This Row],[ID Item Vendido]],Agregado[ID],Agregado[Revenda])</f>
        <v>4.7</v>
      </c>
      <c r="I1045" s="3">
        <f>Vendas[[#This Row],[Valor Unitário]]*Vendas[[#This Row],[Qnt Vendida]]</f>
        <v>79.900000000000006</v>
      </c>
      <c r="J1045" s="3">
        <f>Vendas[[#This Row],[Valor da Venda]]-(_xlfn.XLOOKUP(Vendas[[#This Row],[ID Item Vendido]],Agregado[ID],Agregado[Custo])*Vendas[[#This Row],[Qnt Vendida]])</f>
        <v>20.400000000000006</v>
      </c>
      <c r="K1045" s="70">
        <f>Vendas[[#This Row],[Lucro da Venda]]/Vendas[[#This Row],[Valor da Venda]]</f>
        <v>0.25531914893617025</v>
      </c>
      <c r="L1045" s="3">
        <f>_xlfn.IFS(Vendas[[#This Row],[Margem de Lucro (%)]]&lt;15%,Vendas[[#This Row],[Valor da Venda]]*3%,Vendas[[#This Row],[Margem de Lucro (%)]]&lt;=20%,Vendas[[#This Row],[Valor da Venda]]*4.5%,TRUE,Vendas[[#This Row],[Valor da Venda]]*6%)</f>
        <v>4.7940000000000005</v>
      </c>
      <c r="M1045"/>
    </row>
    <row r="1046" spans="1:13" x14ac:dyDescent="0.3">
      <c r="A1046" s="7">
        <v>400245</v>
      </c>
      <c r="B1046" t="str">
        <f>_xlfn.XLOOKUP(Vendas[[#This Row],[ID Vendedor]],Vendedores[ID],Vendedores[Nome])</f>
        <v>Thiago</v>
      </c>
      <c r="C1046" s="7" t="str">
        <f>_xlfn.XLOOKUP(Vendas[[#This Row],[ID Vendedor]],Vendedores[ID],Vendedores[Setor])</f>
        <v>AHD</v>
      </c>
      <c r="D1046" s="7" t="s">
        <v>44</v>
      </c>
      <c r="E1046" t="str">
        <f>_xlfn.XLOOKUP(Vendas[[#This Row],[ID Item Vendido]],Agregado[ID],Agregado[Produto])</f>
        <v>Liga metálica especial</v>
      </c>
      <c r="F1046" s="39">
        <v>44338</v>
      </c>
      <c r="G1046" s="7">
        <v>29</v>
      </c>
      <c r="H1046" s="3">
        <f>_xlfn.XLOOKUP(Vendas[[#This Row],[ID Item Vendido]],Agregado[ID],Agregado[Revenda])</f>
        <v>32.5</v>
      </c>
      <c r="I1046" s="3">
        <f>Vendas[[#This Row],[Valor Unitário]]*Vendas[[#This Row],[Qnt Vendida]]</f>
        <v>942.5</v>
      </c>
      <c r="J1046" s="3">
        <f>Vendas[[#This Row],[Valor da Venda]]-(_xlfn.XLOOKUP(Vendas[[#This Row],[ID Item Vendido]],Agregado[ID],Agregado[Custo])*Vendas[[#This Row],[Qnt Vendida]])</f>
        <v>217.5</v>
      </c>
      <c r="K1046" s="70">
        <f>Vendas[[#This Row],[Lucro da Venda]]/Vendas[[#This Row],[Valor da Venda]]</f>
        <v>0.23076923076923078</v>
      </c>
      <c r="L1046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1046"/>
    </row>
    <row r="1047" spans="1:13" x14ac:dyDescent="0.3">
      <c r="A1047" s="7">
        <v>400243</v>
      </c>
      <c r="B1047" t="str">
        <f>_xlfn.XLOOKUP(Vendas[[#This Row],[ID Vendedor]],Vendedores[ID],Vendedores[Nome])</f>
        <v>Marcelo</v>
      </c>
      <c r="C1047" s="7" t="str">
        <f>_xlfn.XLOOKUP(Vendas[[#This Row],[ID Vendedor]],Vendedores[ID],Vendedores[Setor])</f>
        <v>FM</v>
      </c>
      <c r="D1047" s="7" t="s">
        <v>20</v>
      </c>
      <c r="E1047" t="str">
        <f>_xlfn.XLOOKUP(Vendas[[#This Row],[ID Item Vendido]],Agregado[ID],Agregado[Produto])</f>
        <v>Barra de aço simples</v>
      </c>
      <c r="F1047" s="39">
        <v>44338</v>
      </c>
      <c r="G1047" s="7">
        <v>110</v>
      </c>
      <c r="H1047" s="3">
        <f>_xlfn.XLOOKUP(Vendas[[#This Row],[ID Item Vendido]],Agregado[ID],Agregado[Revenda])</f>
        <v>4.8</v>
      </c>
      <c r="I1047" s="3">
        <f>Vendas[[#This Row],[Valor Unitário]]*Vendas[[#This Row],[Qnt Vendida]]</f>
        <v>528</v>
      </c>
      <c r="J1047" s="3">
        <f>Vendas[[#This Row],[Valor da Venda]]-(_xlfn.XLOOKUP(Vendas[[#This Row],[ID Item Vendido]],Agregado[ID],Agregado[Custo])*Vendas[[#This Row],[Qnt Vendida]])</f>
        <v>66</v>
      </c>
      <c r="K1047" s="70">
        <f>Vendas[[#This Row],[Lucro da Venda]]/Vendas[[#This Row],[Valor da Venda]]</f>
        <v>0.125</v>
      </c>
      <c r="L1047" s="3">
        <f>_xlfn.IFS(Vendas[[#This Row],[Margem de Lucro (%)]]&lt;15%,Vendas[[#This Row],[Valor da Venda]]*3%,Vendas[[#This Row],[Margem de Lucro (%)]]&lt;=20%,Vendas[[#This Row],[Valor da Venda]]*4.5%,TRUE,Vendas[[#This Row],[Valor da Venda]]*6%)</f>
        <v>15.84</v>
      </c>
      <c r="M1047"/>
    </row>
    <row r="1048" spans="1:13" x14ac:dyDescent="0.3">
      <c r="A1048" s="7">
        <v>400250</v>
      </c>
      <c r="B1048" t="str">
        <f>_xlfn.XLOOKUP(Vendas[[#This Row],[ID Vendedor]],Vendedores[ID],Vendedores[Nome])</f>
        <v>Larissa</v>
      </c>
      <c r="C1048" s="7" t="str">
        <f>_xlfn.XLOOKUP(Vendas[[#This Row],[ID Vendedor]],Vendedores[ID],Vendedores[Setor])</f>
        <v>AB</v>
      </c>
      <c r="D1048" s="7" t="s">
        <v>39</v>
      </c>
      <c r="E1048" t="str">
        <f>_xlfn.XLOOKUP(Vendas[[#This Row],[ID Item Vendido]],Agregado[ID],Agregado[Produto])</f>
        <v>Filme plástico industrial rolo 50m</v>
      </c>
      <c r="F1048" s="39">
        <v>44339</v>
      </c>
      <c r="G1048" s="7">
        <v>16</v>
      </c>
      <c r="H1048" s="3">
        <f>_xlfn.XLOOKUP(Vendas[[#This Row],[ID Item Vendido]],Agregado[ID],Agregado[Revenda])</f>
        <v>37</v>
      </c>
      <c r="I1048" s="3">
        <f>Vendas[[#This Row],[Valor Unitário]]*Vendas[[#This Row],[Qnt Vendida]]</f>
        <v>592</v>
      </c>
      <c r="J1048" s="3">
        <f>Vendas[[#This Row],[Valor da Venda]]-(_xlfn.XLOOKUP(Vendas[[#This Row],[ID Item Vendido]],Agregado[ID],Agregado[Custo])*Vendas[[#This Row],[Qnt Vendida]])</f>
        <v>144</v>
      </c>
      <c r="K1048" s="70">
        <f>Vendas[[#This Row],[Lucro da Venda]]/Vendas[[#This Row],[Valor da Venda]]</f>
        <v>0.24324324324324326</v>
      </c>
      <c r="L1048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1048"/>
    </row>
    <row r="1049" spans="1:13" x14ac:dyDescent="0.3">
      <c r="A1049" s="7">
        <v>400253</v>
      </c>
      <c r="B1049" t="str">
        <f>_xlfn.XLOOKUP(Vendas[[#This Row],[ID Vendedor]],Vendedores[ID],Vendedores[Nome])</f>
        <v>Gustavo</v>
      </c>
      <c r="C1049" s="7" t="str">
        <f>_xlfn.XLOOKUP(Vendas[[#This Row],[ID Vendedor]],Vendedores[ID],Vendedores[Setor])</f>
        <v>SC</v>
      </c>
      <c r="D1049" s="7" t="s">
        <v>48</v>
      </c>
      <c r="E1049" t="str">
        <f>_xlfn.XLOOKUP(Vendas[[#This Row],[ID Item Vendido]],Agregado[ID],Agregado[Produto])</f>
        <v>Tambor metálico 200L</v>
      </c>
      <c r="F1049" s="39">
        <v>44340</v>
      </c>
      <c r="G1049" s="7">
        <v>14</v>
      </c>
      <c r="H1049" s="3">
        <f>_xlfn.XLOOKUP(Vendas[[#This Row],[ID Item Vendido]],Agregado[ID],Agregado[Revenda])</f>
        <v>144</v>
      </c>
      <c r="I1049" s="3">
        <f>Vendas[[#This Row],[Valor Unitário]]*Vendas[[#This Row],[Qnt Vendida]]</f>
        <v>2016</v>
      </c>
      <c r="J1049" s="3">
        <f>Vendas[[#This Row],[Valor da Venda]]-(_xlfn.XLOOKUP(Vendas[[#This Row],[ID Item Vendido]],Agregado[ID],Agregado[Custo])*Vendas[[#This Row],[Qnt Vendida]])</f>
        <v>336</v>
      </c>
      <c r="K1049" s="70">
        <f>Vendas[[#This Row],[Lucro da Venda]]/Vendas[[#This Row],[Valor da Venda]]</f>
        <v>0.16666666666666666</v>
      </c>
      <c r="L1049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1049"/>
    </row>
    <row r="1050" spans="1:13" x14ac:dyDescent="0.3">
      <c r="A1050" s="7">
        <v>400251</v>
      </c>
      <c r="B1050" t="str">
        <f>_xlfn.XLOOKUP(Vendas[[#This Row],[ID Vendedor]],Vendedores[ID],Vendedores[Nome])</f>
        <v>Diego</v>
      </c>
      <c r="C1050" s="7" t="str">
        <f>_xlfn.XLOOKUP(Vendas[[#This Row],[ID Vendedor]],Vendedores[ID],Vendedores[Setor])</f>
        <v>AB</v>
      </c>
      <c r="D1050" s="7" t="s">
        <v>24</v>
      </c>
      <c r="E1050" t="str">
        <f>_xlfn.XLOOKUP(Vendas[[#This Row],[ID Item Vendido]],Agregado[ID],Agregado[Produto])</f>
        <v>Resina plástica PET purificada saco de 25kg</v>
      </c>
      <c r="F1050" s="39">
        <v>44341</v>
      </c>
      <c r="G1050" s="7">
        <v>25</v>
      </c>
      <c r="H1050" s="3">
        <f>_xlfn.XLOOKUP(Vendas[[#This Row],[ID Item Vendido]],Agregado[ID],Agregado[Revenda])</f>
        <v>119</v>
      </c>
      <c r="I1050" s="3">
        <f>Vendas[[#This Row],[Valor Unitário]]*Vendas[[#This Row],[Qnt Vendida]]</f>
        <v>2975</v>
      </c>
      <c r="J1050" s="3">
        <f>Vendas[[#This Row],[Valor da Venda]]-(_xlfn.XLOOKUP(Vendas[[#This Row],[ID Item Vendido]],Agregado[ID],Agregado[Custo])*Vendas[[#This Row],[Qnt Vendida]])</f>
        <v>850</v>
      </c>
      <c r="K1050" s="70">
        <f>Vendas[[#This Row],[Lucro da Venda]]/Vendas[[#This Row],[Valor da Venda]]</f>
        <v>0.2857142857142857</v>
      </c>
      <c r="L1050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1050"/>
    </row>
    <row r="1051" spans="1:13" x14ac:dyDescent="0.3">
      <c r="A1051" s="7">
        <v>400245</v>
      </c>
      <c r="B1051" t="str">
        <f>_xlfn.XLOOKUP(Vendas[[#This Row],[ID Vendedor]],Vendedores[ID],Vendedores[Nome])</f>
        <v>Thiago</v>
      </c>
      <c r="C1051" s="7" t="str">
        <f>_xlfn.XLOOKUP(Vendas[[#This Row],[ID Vendedor]],Vendedores[ID],Vendedores[Setor])</f>
        <v>AHD</v>
      </c>
      <c r="D1051" s="7" t="s">
        <v>30</v>
      </c>
      <c r="E1051" t="str">
        <f>_xlfn.XLOOKUP(Vendas[[#This Row],[ID Item Vendido]],Agregado[ID],Agregado[Produto])</f>
        <v>Estrutura metálica soldada</v>
      </c>
      <c r="F1051" s="39">
        <v>44341</v>
      </c>
      <c r="G1051" s="7">
        <v>7</v>
      </c>
      <c r="H1051" s="3">
        <f>_xlfn.XLOOKUP(Vendas[[#This Row],[ID Item Vendido]],Agregado[ID],Agregado[Revenda])</f>
        <v>400</v>
      </c>
      <c r="I1051" s="3">
        <f>Vendas[[#This Row],[Valor Unitário]]*Vendas[[#This Row],[Qnt Vendida]]</f>
        <v>2800</v>
      </c>
      <c r="J1051" s="3">
        <f>Vendas[[#This Row],[Valor da Venda]]-(_xlfn.XLOOKUP(Vendas[[#This Row],[ID Item Vendido]],Agregado[ID],Agregado[Custo])*Vendas[[#This Row],[Qnt Vendida]])</f>
        <v>560</v>
      </c>
      <c r="K1051" s="70">
        <f>Vendas[[#This Row],[Lucro da Venda]]/Vendas[[#This Row],[Valor da Venda]]</f>
        <v>0.2</v>
      </c>
      <c r="L1051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1051"/>
    </row>
    <row r="1052" spans="1:13" x14ac:dyDescent="0.3">
      <c r="A1052" s="7">
        <v>400250</v>
      </c>
      <c r="B1052" t="str">
        <f>_xlfn.XLOOKUP(Vendas[[#This Row],[ID Vendedor]],Vendedores[ID],Vendedores[Nome])</f>
        <v>Larissa</v>
      </c>
      <c r="C1052" s="7" t="str">
        <f>_xlfn.XLOOKUP(Vendas[[#This Row],[ID Vendedor]],Vendedores[ID],Vendedores[Setor])</f>
        <v>AB</v>
      </c>
      <c r="D1052" s="7" t="s">
        <v>24</v>
      </c>
      <c r="E1052" t="str">
        <f>_xlfn.XLOOKUP(Vendas[[#This Row],[ID Item Vendido]],Agregado[ID],Agregado[Produto])</f>
        <v>Resina plástica PET purificada saco de 25kg</v>
      </c>
      <c r="F1052" s="39">
        <v>44341</v>
      </c>
      <c r="G1052" s="7">
        <v>21</v>
      </c>
      <c r="H1052" s="3">
        <f>_xlfn.XLOOKUP(Vendas[[#This Row],[ID Item Vendido]],Agregado[ID],Agregado[Revenda])</f>
        <v>119</v>
      </c>
      <c r="I1052" s="3">
        <f>Vendas[[#This Row],[Valor Unitário]]*Vendas[[#This Row],[Qnt Vendida]]</f>
        <v>2499</v>
      </c>
      <c r="J1052" s="3">
        <f>Vendas[[#This Row],[Valor da Venda]]-(_xlfn.XLOOKUP(Vendas[[#This Row],[ID Item Vendido]],Agregado[ID],Agregado[Custo])*Vendas[[#This Row],[Qnt Vendida]])</f>
        <v>714</v>
      </c>
      <c r="K1052" s="70">
        <f>Vendas[[#This Row],[Lucro da Venda]]/Vendas[[#This Row],[Valor da Venda]]</f>
        <v>0.2857142857142857</v>
      </c>
      <c r="L1052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1052"/>
    </row>
    <row r="1053" spans="1:13" x14ac:dyDescent="0.3">
      <c r="A1053" s="7">
        <v>400249</v>
      </c>
      <c r="B1053" t="str">
        <f>_xlfn.XLOOKUP(Vendas[[#This Row],[ID Vendedor]],Vendedores[ID],Vendedores[Nome])</f>
        <v>Bruno</v>
      </c>
      <c r="C1053" s="7" t="str">
        <f>_xlfn.XLOOKUP(Vendas[[#This Row],[ID Vendedor]],Vendedores[ID],Vendedores[Setor])</f>
        <v>CM</v>
      </c>
      <c r="D1053" s="7" t="s">
        <v>32</v>
      </c>
      <c r="E1053" t="str">
        <f>_xlfn.XLOOKUP(Vendas[[#This Row],[ID Item Vendido]],Agregado[ID],Agregado[Produto])</f>
        <v>Tábua tratada e cortada 3m</v>
      </c>
      <c r="F1053" s="39">
        <v>44341</v>
      </c>
      <c r="G1053" s="7">
        <v>35</v>
      </c>
      <c r="H1053" s="3">
        <f>_xlfn.XLOOKUP(Vendas[[#This Row],[ID Item Vendido]],Agregado[ID],Agregado[Revenda])</f>
        <v>39</v>
      </c>
      <c r="I1053" s="3">
        <f>Vendas[[#This Row],[Valor Unitário]]*Vendas[[#This Row],[Qnt Vendida]]</f>
        <v>1365</v>
      </c>
      <c r="J1053" s="3">
        <f>Vendas[[#This Row],[Valor da Venda]]-(_xlfn.XLOOKUP(Vendas[[#This Row],[ID Item Vendido]],Agregado[ID],Agregado[Custo])*Vendas[[#This Row],[Qnt Vendida]])</f>
        <v>245</v>
      </c>
      <c r="K1053" s="70">
        <f>Vendas[[#This Row],[Lucro da Venda]]/Vendas[[#This Row],[Valor da Venda]]</f>
        <v>0.17948717948717949</v>
      </c>
      <c r="L1053" s="3">
        <f>_xlfn.IFS(Vendas[[#This Row],[Margem de Lucro (%)]]&lt;15%,Vendas[[#This Row],[Valor da Venda]]*3%,Vendas[[#This Row],[Margem de Lucro (%)]]&lt;=20%,Vendas[[#This Row],[Valor da Venda]]*4.5%,TRUE,Vendas[[#This Row],[Valor da Venda]]*6%)</f>
        <v>61.424999999999997</v>
      </c>
      <c r="M1053"/>
    </row>
    <row r="1054" spans="1:13" x14ac:dyDescent="0.3">
      <c r="A1054" s="7">
        <v>400251</v>
      </c>
      <c r="B1054" t="str">
        <f>_xlfn.XLOOKUP(Vendas[[#This Row],[ID Vendedor]],Vendedores[ID],Vendedores[Nome])</f>
        <v>Diego</v>
      </c>
      <c r="C1054" s="7" t="str">
        <f>_xlfn.XLOOKUP(Vendas[[#This Row],[ID Vendedor]],Vendedores[ID],Vendedores[Setor])</f>
        <v>AB</v>
      </c>
      <c r="D1054" s="7" t="s">
        <v>37</v>
      </c>
      <c r="E1054" t="str">
        <f>_xlfn.XLOOKUP(Vendas[[#This Row],[ID Item Vendido]],Agregado[ID],Agregado[Produto])</f>
        <v>Composto de borracha para vedação rolo 10m</v>
      </c>
      <c r="F1054" s="39">
        <v>44341</v>
      </c>
      <c r="G1054" s="7">
        <v>8</v>
      </c>
      <c r="H1054" s="3">
        <f>_xlfn.XLOOKUP(Vendas[[#This Row],[ID Item Vendido]],Agregado[ID],Agregado[Revenda])</f>
        <v>51.2</v>
      </c>
      <c r="I1054" s="3">
        <f>Vendas[[#This Row],[Valor Unitário]]*Vendas[[#This Row],[Qnt Vendida]]</f>
        <v>409.6</v>
      </c>
      <c r="J1054" s="3">
        <f>Vendas[[#This Row],[Valor da Venda]]-(_xlfn.XLOOKUP(Vendas[[#This Row],[ID Item Vendido]],Agregado[ID],Agregado[Custo])*Vendas[[#This Row],[Qnt Vendida]])</f>
        <v>89.600000000000023</v>
      </c>
      <c r="K1054" s="70">
        <f>Vendas[[#This Row],[Lucro da Venda]]/Vendas[[#This Row],[Valor da Venda]]</f>
        <v>0.21875000000000006</v>
      </c>
      <c r="L1054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1054"/>
    </row>
    <row r="1055" spans="1:13" x14ac:dyDescent="0.3">
      <c r="A1055" s="7">
        <v>400251</v>
      </c>
      <c r="B1055" t="str">
        <f>_xlfn.XLOOKUP(Vendas[[#This Row],[ID Vendedor]],Vendedores[ID],Vendedores[Nome])</f>
        <v>Diego</v>
      </c>
      <c r="C1055" s="7" t="str">
        <f>_xlfn.XLOOKUP(Vendas[[#This Row],[ID Vendedor]],Vendedores[ID],Vendedores[Setor])</f>
        <v>AB</v>
      </c>
      <c r="D1055" s="7" t="s">
        <v>37</v>
      </c>
      <c r="E1055" t="str">
        <f>_xlfn.XLOOKUP(Vendas[[#This Row],[ID Item Vendido]],Agregado[ID],Agregado[Produto])</f>
        <v>Composto de borracha para vedação rolo 10m</v>
      </c>
      <c r="F1055" s="39">
        <v>44342</v>
      </c>
      <c r="G1055" s="7">
        <v>5</v>
      </c>
      <c r="H1055" s="3">
        <f>_xlfn.XLOOKUP(Vendas[[#This Row],[ID Item Vendido]],Agregado[ID],Agregado[Revenda])</f>
        <v>51.2</v>
      </c>
      <c r="I1055" s="3">
        <f>Vendas[[#This Row],[Valor Unitário]]*Vendas[[#This Row],[Qnt Vendida]]</f>
        <v>256</v>
      </c>
      <c r="J1055" s="3">
        <f>Vendas[[#This Row],[Valor da Venda]]-(_xlfn.XLOOKUP(Vendas[[#This Row],[ID Item Vendido]],Agregado[ID],Agregado[Custo])*Vendas[[#This Row],[Qnt Vendida]])</f>
        <v>56</v>
      </c>
      <c r="K1055" s="70">
        <f>Vendas[[#This Row],[Lucro da Venda]]/Vendas[[#This Row],[Valor da Venda]]</f>
        <v>0.21875</v>
      </c>
      <c r="L1055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1055"/>
    </row>
    <row r="1056" spans="1:13" x14ac:dyDescent="0.3">
      <c r="A1056" s="7">
        <v>400251</v>
      </c>
      <c r="B1056" t="str">
        <f>_xlfn.XLOOKUP(Vendas[[#This Row],[ID Vendedor]],Vendedores[ID],Vendedores[Nome])</f>
        <v>Diego</v>
      </c>
      <c r="C1056" s="7" t="str">
        <f>_xlfn.XLOOKUP(Vendas[[#This Row],[ID Vendedor]],Vendedores[ID],Vendedores[Setor])</f>
        <v>AB</v>
      </c>
      <c r="D1056" s="7" t="s">
        <v>37</v>
      </c>
      <c r="E1056" t="str">
        <f>_xlfn.XLOOKUP(Vendas[[#This Row],[ID Item Vendido]],Agregado[ID],Agregado[Produto])</f>
        <v>Composto de borracha para vedação rolo 10m</v>
      </c>
      <c r="F1056" s="39">
        <v>44342</v>
      </c>
      <c r="G1056" s="7">
        <v>3</v>
      </c>
      <c r="H1056" s="3">
        <f>_xlfn.XLOOKUP(Vendas[[#This Row],[ID Item Vendido]],Agregado[ID],Agregado[Revenda])</f>
        <v>51.2</v>
      </c>
      <c r="I1056" s="3">
        <f>Vendas[[#This Row],[Valor Unitário]]*Vendas[[#This Row],[Qnt Vendida]]</f>
        <v>153.60000000000002</v>
      </c>
      <c r="J1056" s="3">
        <f>Vendas[[#This Row],[Valor da Venda]]-(_xlfn.XLOOKUP(Vendas[[#This Row],[ID Item Vendido]],Agregado[ID],Agregado[Custo])*Vendas[[#This Row],[Qnt Vendida]])</f>
        <v>33.600000000000023</v>
      </c>
      <c r="K1056" s="70">
        <f>Vendas[[#This Row],[Lucro da Venda]]/Vendas[[#This Row],[Valor da Venda]]</f>
        <v>0.21875000000000011</v>
      </c>
      <c r="L1056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1056"/>
    </row>
    <row r="1057" spans="1:13" x14ac:dyDescent="0.3">
      <c r="A1057" s="7">
        <v>400255</v>
      </c>
      <c r="B1057" t="str">
        <f>_xlfn.XLOOKUP(Vendas[[#This Row],[ID Vendedor]],Vendedores[ID],Vendedores[Nome])</f>
        <v>Carlos</v>
      </c>
      <c r="C1057" s="7" t="str">
        <f>_xlfn.XLOOKUP(Vendas[[#This Row],[ID Vendedor]],Vendedores[ID],Vendedores[Setor])</f>
        <v>SC</v>
      </c>
      <c r="D1057" s="7" t="s">
        <v>41</v>
      </c>
      <c r="E1057" t="str">
        <f>_xlfn.XLOOKUP(Vendas[[#This Row],[ID Item Vendido]],Agregado[ID],Agregado[Produto])</f>
        <v>Palete de madeira reforçado</v>
      </c>
      <c r="F1057" s="39">
        <v>44343</v>
      </c>
      <c r="G1057" s="7">
        <v>4</v>
      </c>
      <c r="H1057" s="3">
        <f>_xlfn.XLOOKUP(Vendas[[#This Row],[ID Item Vendido]],Agregado[ID],Agregado[Revenda])</f>
        <v>131</v>
      </c>
      <c r="I1057" s="3">
        <f>Vendas[[#This Row],[Valor Unitário]]*Vendas[[#This Row],[Qnt Vendida]]</f>
        <v>524</v>
      </c>
      <c r="J1057" s="3">
        <f>Vendas[[#This Row],[Valor da Venda]]-(_xlfn.XLOOKUP(Vendas[[#This Row],[ID Item Vendido]],Agregado[ID],Agregado[Custo])*Vendas[[#This Row],[Qnt Vendida]])</f>
        <v>84</v>
      </c>
      <c r="K1057" s="70">
        <f>Vendas[[#This Row],[Lucro da Venda]]/Vendas[[#This Row],[Valor da Venda]]</f>
        <v>0.16030534351145037</v>
      </c>
      <c r="L1057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057"/>
    </row>
    <row r="1058" spans="1:13" x14ac:dyDescent="0.3">
      <c r="A1058" s="7">
        <v>400249</v>
      </c>
      <c r="B1058" t="str">
        <f>_xlfn.XLOOKUP(Vendas[[#This Row],[ID Vendedor]],Vendedores[ID],Vendedores[Nome])</f>
        <v>Bruno</v>
      </c>
      <c r="C1058" s="7" t="str">
        <f>_xlfn.XLOOKUP(Vendas[[#This Row],[ID Vendedor]],Vendedores[ID],Vendedores[Setor])</f>
        <v>CM</v>
      </c>
      <c r="D1058" s="7" t="s">
        <v>43</v>
      </c>
      <c r="E1058" t="str">
        <f>_xlfn.XLOOKUP(Vendas[[#This Row],[ID Item Vendido]],Agregado[ID],Agregado[Produto])</f>
        <v>Madeira Bruta (Tora)</v>
      </c>
      <c r="F1058" s="39">
        <v>44344</v>
      </c>
      <c r="G1058" s="7">
        <v>13</v>
      </c>
      <c r="H1058" s="3">
        <f>_xlfn.XLOOKUP(Vendas[[#This Row],[ID Item Vendido]],Agregado[ID],Agregado[Revenda])</f>
        <v>212</v>
      </c>
      <c r="I1058" s="3">
        <f>Vendas[[#This Row],[Valor Unitário]]*Vendas[[#This Row],[Qnt Vendida]]</f>
        <v>2756</v>
      </c>
      <c r="J1058" s="3">
        <f>Vendas[[#This Row],[Valor da Venda]]-(_xlfn.XLOOKUP(Vendas[[#This Row],[ID Item Vendido]],Agregado[ID],Agregado[Custo])*Vendas[[#This Row],[Qnt Vendida]])</f>
        <v>416</v>
      </c>
      <c r="K1058" s="70">
        <f>Vendas[[#This Row],[Lucro da Venda]]/Vendas[[#This Row],[Valor da Venda]]</f>
        <v>0.15094339622641509</v>
      </c>
      <c r="L1058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1058"/>
    </row>
    <row r="1059" spans="1:13" x14ac:dyDescent="0.3">
      <c r="A1059" s="7">
        <v>400250</v>
      </c>
      <c r="B1059" t="str">
        <f>_xlfn.XLOOKUP(Vendas[[#This Row],[ID Vendedor]],Vendedores[ID],Vendedores[Nome])</f>
        <v>Larissa</v>
      </c>
      <c r="C1059" s="7" t="str">
        <f>_xlfn.XLOOKUP(Vendas[[#This Row],[ID Vendedor]],Vendedores[ID],Vendedores[Setor])</f>
        <v>AB</v>
      </c>
      <c r="D1059" s="7" t="s">
        <v>24</v>
      </c>
      <c r="E1059" t="str">
        <f>_xlfn.XLOOKUP(Vendas[[#This Row],[ID Item Vendido]],Agregado[ID],Agregado[Produto])</f>
        <v>Resina plástica PET purificada saco de 25kg</v>
      </c>
      <c r="F1059" s="39">
        <v>44345</v>
      </c>
      <c r="G1059" s="7">
        <v>11</v>
      </c>
      <c r="H1059" s="3">
        <f>_xlfn.XLOOKUP(Vendas[[#This Row],[ID Item Vendido]],Agregado[ID],Agregado[Revenda])</f>
        <v>119</v>
      </c>
      <c r="I1059" s="3">
        <f>Vendas[[#This Row],[Valor Unitário]]*Vendas[[#This Row],[Qnt Vendida]]</f>
        <v>1309</v>
      </c>
      <c r="J1059" s="3">
        <f>Vendas[[#This Row],[Valor da Venda]]-(_xlfn.XLOOKUP(Vendas[[#This Row],[ID Item Vendido]],Agregado[ID],Agregado[Custo])*Vendas[[#This Row],[Qnt Vendida]])</f>
        <v>374</v>
      </c>
      <c r="K1059" s="70">
        <f>Vendas[[#This Row],[Lucro da Venda]]/Vendas[[#This Row],[Valor da Venda]]</f>
        <v>0.2857142857142857</v>
      </c>
      <c r="L1059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1059"/>
    </row>
    <row r="1060" spans="1:13" x14ac:dyDescent="0.3">
      <c r="A1060" s="7">
        <v>400249</v>
      </c>
      <c r="B1060" t="str">
        <f>_xlfn.XLOOKUP(Vendas[[#This Row],[ID Vendedor]],Vendedores[ID],Vendedores[Nome])</f>
        <v>Bruno</v>
      </c>
      <c r="C1060" s="7" t="str">
        <f>_xlfn.XLOOKUP(Vendas[[#This Row],[ID Vendedor]],Vendedores[ID],Vendedores[Setor])</f>
        <v>CM</v>
      </c>
      <c r="D1060" s="7" t="s">
        <v>22</v>
      </c>
      <c r="E1060" t="str">
        <f>_xlfn.XLOOKUP(Vendas[[#This Row],[ID Item Vendido]],Agregado[ID],Agregado[Produto])</f>
        <v>Painel MDP 2,75x1,83m</v>
      </c>
      <c r="F1060" s="39">
        <v>44346</v>
      </c>
      <c r="G1060" s="7">
        <v>21</v>
      </c>
      <c r="H1060" s="3">
        <f>_xlfn.XLOOKUP(Vendas[[#This Row],[ID Item Vendido]],Agregado[ID],Agregado[Revenda])</f>
        <v>119</v>
      </c>
      <c r="I1060" s="3">
        <f>Vendas[[#This Row],[Valor Unitário]]*Vendas[[#This Row],[Qnt Vendida]]</f>
        <v>2499</v>
      </c>
      <c r="J1060" s="3">
        <f>Vendas[[#This Row],[Valor da Venda]]-(_xlfn.XLOOKUP(Vendas[[#This Row],[ID Item Vendido]],Agregado[ID],Agregado[Custo])*Vendas[[#This Row],[Qnt Vendida]])</f>
        <v>504</v>
      </c>
      <c r="K1060" s="70">
        <f>Vendas[[#This Row],[Lucro da Venda]]/Vendas[[#This Row],[Valor da Venda]]</f>
        <v>0.20168067226890757</v>
      </c>
      <c r="L1060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1060"/>
    </row>
    <row r="1061" spans="1:13" x14ac:dyDescent="0.3">
      <c r="A1061" s="7">
        <v>400249</v>
      </c>
      <c r="B1061" t="str">
        <f>_xlfn.XLOOKUP(Vendas[[#This Row],[ID Vendedor]],Vendedores[ID],Vendedores[Nome])</f>
        <v>Bruno</v>
      </c>
      <c r="C1061" s="7" t="str">
        <f>_xlfn.XLOOKUP(Vendas[[#This Row],[ID Vendedor]],Vendedores[ID],Vendedores[Setor])</f>
        <v>CM</v>
      </c>
      <c r="D1061" s="7" t="s">
        <v>32</v>
      </c>
      <c r="E1061" t="str">
        <f>_xlfn.XLOOKUP(Vendas[[#This Row],[ID Item Vendido]],Agregado[ID],Agregado[Produto])</f>
        <v>Tábua tratada e cortada 3m</v>
      </c>
      <c r="F1061" s="39">
        <v>44347</v>
      </c>
      <c r="G1061" s="7">
        <v>3</v>
      </c>
      <c r="H1061" s="3">
        <f>_xlfn.XLOOKUP(Vendas[[#This Row],[ID Item Vendido]],Agregado[ID],Agregado[Revenda])</f>
        <v>39</v>
      </c>
      <c r="I1061" s="3">
        <f>Vendas[[#This Row],[Valor Unitário]]*Vendas[[#This Row],[Qnt Vendida]]</f>
        <v>117</v>
      </c>
      <c r="J1061" s="3">
        <f>Vendas[[#This Row],[Valor da Venda]]-(_xlfn.XLOOKUP(Vendas[[#This Row],[ID Item Vendido]],Agregado[ID],Agregado[Custo])*Vendas[[#This Row],[Qnt Vendida]])</f>
        <v>21</v>
      </c>
      <c r="K1061" s="70">
        <f>Vendas[[#This Row],[Lucro da Venda]]/Vendas[[#This Row],[Valor da Venda]]</f>
        <v>0.17948717948717949</v>
      </c>
      <c r="L1061" s="3">
        <f>_xlfn.IFS(Vendas[[#This Row],[Margem de Lucro (%)]]&lt;15%,Vendas[[#This Row],[Valor da Venda]]*3%,Vendas[[#This Row],[Margem de Lucro (%)]]&lt;=20%,Vendas[[#This Row],[Valor da Venda]]*4.5%,TRUE,Vendas[[#This Row],[Valor da Venda]]*6%)</f>
        <v>5.2649999999999997</v>
      </c>
      <c r="M1061"/>
    </row>
    <row r="1062" spans="1:13" x14ac:dyDescent="0.3">
      <c r="A1062" s="7">
        <v>400247</v>
      </c>
      <c r="B1062" t="str">
        <f>_xlfn.XLOOKUP(Vendas[[#This Row],[ID Vendedor]],Vendedores[ID],Vendedores[Nome])</f>
        <v>André</v>
      </c>
      <c r="C1062" s="7" t="str">
        <f>_xlfn.XLOOKUP(Vendas[[#This Row],[ID Vendedor]],Vendedores[ID],Vendedores[Setor])</f>
        <v>CM</v>
      </c>
      <c r="D1062" s="7" t="s">
        <v>32</v>
      </c>
      <c r="E1062" t="str">
        <f>_xlfn.XLOOKUP(Vendas[[#This Row],[ID Item Vendido]],Agregado[ID],Agregado[Produto])</f>
        <v>Tábua tratada e cortada 3m</v>
      </c>
      <c r="F1062" s="39">
        <v>44348</v>
      </c>
      <c r="G1062" s="7">
        <v>15</v>
      </c>
      <c r="H1062" s="3">
        <f>_xlfn.XLOOKUP(Vendas[[#This Row],[ID Item Vendido]],Agregado[ID],Agregado[Revenda])</f>
        <v>39</v>
      </c>
      <c r="I1062" s="3">
        <f>Vendas[[#This Row],[Valor Unitário]]*Vendas[[#This Row],[Qnt Vendida]]</f>
        <v>585</v>
      </c>
      <c r="J1062" s="3">
        <f>Vendas[[#This Row],[Valor da Venda]]-(_xlfn.XLOOKUP(Vendas[[#This Row],[ID Item Vendido]],Agregado[ID],Agregado[Custo])*Vendas[[#This Row],[Qnt Vendida]])</f>
        <v>105</v>
      </c>
      <c r="K1062" s="70">
        <f>Vendas[[#This Row],[Lucro da Venda]]/Vendas[[#This Row],[Valor da Venda]]</f>
        <v>0.17948717948717949</v>
      </c>
      <c r="L1062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1062"/>
    </row>
    <row r="1063" spans="1:13" x14ac:dyDescent="0.3">
      <c r="A1063" s="7">
        <v>400249</v>
      </c>
      <c r="B1063" t="str">
        <f>_xlfn.XLOOKUP(Vendas[[#This Row],[ID Vendedor]],Vendedores[ID],Vendedores[Nome])</f>
        <v>Bruno</v>
      </c>
      <c r="C1063" s="7" t="str">
        <f>_xlfn.XLOOKUP(Vendas[[#This Row],[ID Vendedor]],Vendedores[ID],Vendedores[Setor])</f>
        <v>CM</v>
      </c>
      <c r="D1063" s="7" t="s">
        <v>32</v>
      </c>
      <c r="E1063" t="str">
        <f>_xlfn.XLOOKUP(Vendas[[#This Row],[ID Item Vendido]],Agregado[ID],Agregado[Produto])</f>
        <v>Tábua tratada e cortada 3m</v>
      </c>
      <c r="F1063" s="39">
        <v>44349</v>
      </c>
      <c r="G1063" s="7">
        <v>16</v>
      </c>
      <c r="H1063" s="3">
        <f>_xlfn.XLOOKUP(Vendas[[#This Row],[ID Item Vendido]],Agregado[ID],Agregado[Revenda])</f>
        <v>39</v>
      </c>
      <c r="I1063" s="3">
        <f>Vendas[[#This Row],[Valor Unitário]]*Vendas[[#This Row],[Qnt Vendida]]</f>
        <v>624</v>
      </c>
      <c r="J1063" s="3">
        <f>Vendas[[#This Row],[Valor da Venda]]-(_xlfn.XLOOKUP(Vendas[[#This Row],[ID Item Vendido]],Agregado[ID],Agregado[Custo])*Vendas[[#This Row],[Qnt Vendida]])</f>
        <v>112</v>
      </c>
      <c r="K1063" s="70">
        <f>Vendas[[#This Row],[Lucro da Venda]]/Vendas[[#This Row],[Valor da Venda]]</f>
        <v>0.17948717948717949</v>
      </c>
      <c r="L1063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1063"/>
    </row>
    <row r="1064" spans="1:13" x14ac:dyDescent="0.3">
      <c r="A1064" s="7">
        <v>400245</v>
      </c>
      <c r="B1064" t="str">
        <f>_xlfn.XLOOKUP(Vendas[[#This Row],[ID Vendedor]],Vendedores[ID],Vendedores[Nome])</f>
        <v>Thiago</v>
      </c>
      <c r="C1064" s="7" t="str">
        <f>_xlfn.XLOOKUP(Vendas[[#This Row],[ID Vendedor]],Vendedores[ID],Vendedores[Setor])</f>
        <v>AHD</v>
      </c>
      <c r="D1064" s="7" t="s">
        <v>28</v>
      </c>
      <c r="E1064" t="str">
        <f>_xlfn.XLOOKUP(Vendas[[#This Row],[ID Item Vendido]],Agregado[ID],Agregado[Produto])</f>
        <v>Peça usinada CNC</v>
      </c>
      <c r="F1064" s="39">
        <v>44350</v>
      </c>
      <c r="G1064" s="7">
        <v>4</v>
      </c>
      <c r="H1064" s="3">
        <f>_xlfn.XLOOKUP(Vendas[[#This Row],[ID Item Vendido]],Agregado[ID],Agregado[Revenda])</f>
        <v>192</v>
      </c>
      <c r="I1064" s="3">
        <f>Vendas[[#This Row],[Valor Unitário]]*Vendas[[#This Row],[Qnt Vendida]]</f>
        <v>768</v>
      </c>
      <c r="J1064" s="3">
        <f>Vendas[[#This Row],[Valor da Venda]]-(_xlfn.XLOOKUP(Vendas[[#This Row],[ID Item Vendido]],Agregado[ID],Agregado[Custo])*Vendas[[#This Row],[Qnt Vendida]])</f>
        <v>168</v>
      </c>
      <c r="K1064" s="70">
        <f>Vendas[[#This Row],[Lucro da Venda]]/Vendas[[#This Row],[Valor da Venda]]</f>
        <v>0.21875</v>
      </c>
      <c r="L1064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1064"/>
    </row>
    <row r="1065" spans="1:13" x14ac:dyDescent="0.3">
      <c r="A1065" s="7">
        <v>400245</v>
      </c>
      <c r="B1065" t="str">
        <f>_xlfn.XLOOKUP(Vendas[[#This Row],[ID Vendedor]],Vendedores[ID],Vendedores[Nome])</f>
        <v>Thiago</v>
      </c>
      <c r="C1065" s="7" t="str">
        <f>_xlfn.XLOOKUP(Vendas[[#This Row],[ID Vendedor]],Vendedores[ID],Vendedores[Setor])</f>
        <v>AHD</v>
      </c>
      <c r="D1065" s="7" t="s">
        <v>18</v>
      </c>
      <c r="E1065" t="str">
        <f>_xlfn.XLOOKUP(Vendas[[#This Row],[ID Item Vendido]],Agregado[ID],Agregado[Produto])</f>
        <v>Peça forjada sob encomenda</v>
      </c>
      <c r="F1065" s="39">
        <v>44350</v>
      </c>
      <c r="G1065" s="7">
        <v>1</v>
      </c>
      <c r="H1065" s="3">
        <f>_xlfn.XLOOKUP(Vendas[[#This Row],[ID Item Vendido]],Agregado[ID],Agregado[Revenda])</f>
        <v>264.60000000000002</v>
      </c>
      <c r="I1065" s="3">
        <f>Vendas[[#This Row],[Valor Unitário]]*Vendas[[#This Row],[Qnt Vendida]]</f>
        <v>264.60000000000002</v>
      </c>
      <c r="J1065" s="3">
        <f>Vendas[[#This Row],[Valor da Venda]]-(_xlfn.XLOOKUP(Vendas[[#This Row],[ID Item Vendido]],Agregado[ID],Agregado[Custo])*Vendas[[#This Row],[Qnt Vendida]])</f>
        <v>14.600000000000023</v>
      </c>
      <c r="K1065" s="70">
        <f>Vendas[[#This Row],[Lucro da Venda]]/Vendas[[#This Row],[Valor da Venda]]</f>
        <v>5.5177626606198113E-2</v>
      </c>
      <c r="L1065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065"/>
    </row>
    <row r="1066" spans="1:13" x14ac:dyDescent="0.3">
      <c r="A1066" s="7">
        <v>400244</v>
      </c>
      <c r="B1066" t="str">
        <f>_xlfn.XLOOKUP(Vendas[[#This Row],[ID Vendedor]],Vendedores[ID],Vendedores[Nome])</f>
        <v>Camila</v>
      </c>
      <c r="C1066" s="7" t="str">
        <f>_xlfn.XLOOKUP(Vendas[[#This Row],[ID Vendedor]],Vendedores[ID],Vendedores[Setor])</f>
        <v>AHD</v>
      </c>
      <c r="D1066" s="7" t="s">
        <v>44</v>
      </c>
      <c r="E1066" t="str">
        <f>_xlfn.XLOOKUP(Vendas[[#This Row],[ID Item Vendido]],Agregado[ID],Agregado[Produto])</f>
        <v>Liga metálica especial</v>
      </c>
      <c r="F1066" s="39">
        <v>44351</v>
      </c>
      <c r="G1066" s="7">
        <v>36</v>
      </c>
      <c r="H1066" s="3">
        <f>_xlfn.XLOOKUP(Vendas[[#This Row],[ID Item Vendido]],Agregado[ID],Agregado[Revenda])</f>
        <v>32.5</v>
      </c>
      <c r="I1066" s="3">
        <f>Vendas[[#This Row],[Valor Unitário]]*Vendas[[#This Row],[Qnt Vendida]]</f>
        <v>1170</v>
      </c>
      <c r="J1066" s="3">
        <f>Vendas[[#This Row],[Valor da Venda]]-(_xlfn.XLOOKUP(Vendas[[#This Row],[ID Item Vendido]],Agregado[ID],Agregado[Custo])*Vendas[[#This Row],[Qnt Vendida]])</f>
        <v>270</v>
      </c>
      <c r="K1066" s="70">
        <f>Vendas[[#This Row],[Lucro da Venda]]/Vendas[[#This Row],[Valor da Venda]]</f>
        <v>0.23076923076923078</v>
      </c>
      <c r="L1066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1066"/>
    </row>
    <row r="1067" spans="1:13" x14ac:dyDescent="0.3">
      <c r="A1067" s="7">
        <v>400245</v>
      </c>
      <c r="B1067" t="str">
        <f>_xlfn.XLOOKUP(Vendas[[#This Row],[ID Vendedor]],Vendedores[ID],Vendedores[Nome])</f>
        <v>Thiago</v>
      </c>
      <c r="C1067" s="7" t="str">
        <f>_xlfn.XLOOKUP(Vendas[[#This Row],[ID Vendedor]],Vendedores[ID],Vendedores[Setor])</f>
        <v>AHD</v>
      </c>
      <c r="D1067" s="7" t="s">
        <v>28</v>
      </c>
      <c r="E1067" t="str">
        <f>_xlfn.XLOOKUP(Vendas[[#This Row],[ID Item Vendido]],Agregado[ID],Agregado[Produto])</f>
        <v>Peça usinada CNC</v>
      </c>
      <c r="F1067" s="39">
        <v>44352</v>
      </c>
      <c r="G1067" s="7">
        <v>10</v>
      </c>
      <c r="H1067" s="3">
        <f>_xlfn.XLOOKUP(Vendas[[#This Row],[ID Item Vendido]],Agregado[ID],Agregado[Revenda])</f>
        <v>192</v>
      </c>
      <c r="I1067" s="3">
        <f>Vendas[[#This Row],[Valor Unitário]]*Vendas[[#This Row],[Qnt Vendida]]</f>
        <v>1920</v>
      </c>
      <c r="J1067" s="3">
        <f>Vendas[[#This Row],[Valor da Venda]]-(_xlfn.XLOOKUP(Vendas[[#This Row],[ID Item Vendido]],Agregado[ID],Agregado[Custo])*Vendas[[#This Row],[Qnt Vendida]])</f>
        <v>420</v>
      </c>
      <c r="K1067" s="70">
        <f>Vendas[[#This Row],[Lucro da Venda]]/Vendas[[#This Row],[Valor da Venda]]</f>
        <v>0.21875</v>
      </c>
      <c r="L1067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1067"/>
    </row>
    <row r="1068" spans="1:13" x14ac:dyDescent="0.3">
      <c r="A1068" s="7">
        <v>400243</v>
      </c>
      <c r="B1068" t="str">
        <f>_xlfn.XLOOKUP(Vendas[[#This Row],[ID Vendedor]],Vendedores[ID],Vendedores[Nome])</f>
        <v>Marcelo</v>
      </c>
      <c r="C1068" s="7" t="str">
        <f>_xlfn.XLOOKUP(Vendas[[#This Row],[ID Vendedor]],Vendedores[ID],Vendedores[Setor])</f>
        <v>FM</v>
      </c>
      <c r="D1068" s="7" t="s">
        <v>31</v>
      </c>
      <c r="E1068" t="str">
        <f>_xlfn.XLOOKUP(Vendas[[#This Row],[ID Item Vendido]],Agregado[ID],Agregado[Produto])</f>
        <v>Tela de metal soldada rolo 2x25m</v>
      </c>
      <c r="F1068" s="39">
        <v>44352</v>
      </c>
      <c r="G1068" s="7">
        <v>15</v>
      </c>
      <c r="H1068" s="3">
        <f>_xlfn.XLOOKUP(Vendas[[#This Row],[ID Item Vendido]],Agregado[ID],Agregado[Revenda])</f>
        <v>43.7</v>
      </c>
      <c r="I1068" s="3">
        <f>Vendas[[#This Row],[Valor Unitário]]*Vendas[[#This Row],[Qnt Vendida]]</f>
        <v>655.5</v>
      </c>
      <c r="J1068" s="3">
        <f>Vendas[[#This Row],[Valor da Venda]]-(_xlfn.XLOOKUP(Vendas[[#This Row],[ID Item Vendido]],Agregado[ID],Agregado[Custo])*Vendas[[#This Row],[Qnt Vendida]])</f>
        <v>85.5</v>
      </c>
      <c r="K1068" s="70">
        <f>Vendas[[#This Row],[Lucro da Venda]]/Vendas[[#This Row],[Valor da Venda]]</f>
        <v>0.13043478260869565</v>
      </c>
      <c r="L1068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1068"/>
    </row>
    <row r="1069" spans="1:13" x14ac:dyDescent="0.3">
      <c r="A1069" s="7">
        <v>400244</v>
      </c>
      <c r="B1069" t="str">
        <f>_xlfn.XLOOKUP(Vendas[[#This Row],[ID Vendedor]],Vendedores[ID],Vendedores[Nome])</f>
        <v>Camila</v>
      </c>
      <c r="C1069" s="7" t="str">
        <f>_xlfn.XLOOKUP(Vendas[[#This Row],[ID Vendedor]],Vendedores[ID],Vendedores[Setor])</f>
        <v>AHD</v>
      </c>
      <c r="D1069" s="7" t="s">
        <v>44</v>
      </c>
      <c r="E1069" t="str">
        <f>_xlfn.XLOOKUP(Vendas[[#This Row],[ID Item Vendido]],Agregado[ID],Agregado[Produto])</f>
        <v>Liga metálica especial</v>
      </c>
      <c r="F1069" s="39">
        <v>44352</v>
      </c>
      <c r="G1069" s="7">
        <v>14</v>
      </c>
      <c r="H1069" s="3">
        <f>_xlfn.XLOOKUP(Vendas[[#This Row],[ID Item Vendido]],Agregado[ID],Agregado[Revenda])</f>
        <v>32.5</v>
      </c>
      <c r="I1069" s="3">
        <f>Vendas[[#This Row],[Valor Unitário]]*Vendas[[#This Row],[Qnt Vendida]]</f>
        <v>455</v>
      </c>
      <c r="J1069" s="3">
        <f>Vendas[[#This Row],[Valor da Venda]]-(_xlfn.XLOOKUP(Vendas[[#This Row],[ID Item Vendido]],Agregado[ID],Agregado[Custo])*Vendas[[#This Row],[Qnt Vendida]])</f>
        <v>105</v>
      </c>
      <c r="K1069" s="70">
        <f>Vendas[[#This Row],[Lucro da Venda]]/Vendas[[#This Row],[Valor da Venda]]</f>
        <v>0.23076923076923078</v>
      </c>
      <c r="L1069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1069"/>
    </row>
    <row r="1070" spans="1:13" x14ac:dyDescent="0.3">
      <c r="A1070" s="7">
        <v>400253</v>
      </c>
      <c r="B1070" t="str">
        <f>_xlfn.XLOOKUP(Vendas[[#This Row],[ID Vendedor]],Vendedores[ID],Vendedores[Nome])</f>
        <v>Gustavo</v>
      </c>
      <c r="C1070" s="7" t="str">
        <f>_xlfn.XLOOKUP(Vendas[[#This Row],[ID Vendedor]],Vendedores[ID],Vendedores[Setor])</f>
        <v>SC</v>
      </c>
      <c r="D1070" s="7" t="s">
        <v>14</v>
      </c>
      <c r="E1070" t="str">
        <f>_xlfn.XLOOKUP(Vendas[[#This Row],[ID Item Vendido]],Agregado[ID],Agregado[Produto])</f>
        <v>Barril de plástico 200L</v>
      </c>
      <c r="F1070" s="39">
        <v>44352</v>
      </c>
      <c r="G1070" s="7">
        <v>2</v>
      </c>
      <c r="H1070" s="3">
        <f>_xlfn.XLOOKUP(Vendas[[#This Row],[ID Item Vendido]],Agregado[ID],Agregado[Revenda])</f>
        <v>114</v>
      </c>
      <c r="I1070" s="3">
        <f>Vendas[[#This Row],[Valor Unitário]]*Vendas[[#This Row],[Qnt Vendida]]</f>
        <v>228</v>
      </c>
      <c r="J1070" s="3">
        <f>Vendas[[#This Row],[Valor da Venda]]-(_xlfn.XLOOKUP(Vendas[[#This Row],[ID Item Vendido]],Agregado[ID],Agregado[Custo])*Vendas[[#This Row],[Qnt Vendida]])</f>
        <v>38</v>
      </c>
      <c r="K1070" s="70">
        <f>Vendas[[#This Row],[Lucro da Venda]]/Vendas[[#This Row],[Valor da Venda]]</f>
        <v>0.16666666666666666</v>
      </c>
      <c r="L1070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1070"/>
    </row>
    <row r="1071" spans="1:13" x14ac:dyDescent="0.3">
      <c r="A1071" s="7">
        <v>400255</v>
      </c>
      <c r="B1071" t="str">
        <f>_xlfn.XLOOKUP(Vendas[[#This Row],[ID Vendedor]],Vendedores[ID],Vendedores[Nome])</f>
        <v>Carlos</v>
      </c>
      <c r="C1071" s="7" t="str">
        <f>_xlfn.XLOOKUP(Vendas[[#This Row],[ID Vendedor]],Vendedores[ID],Vendedores[Setor])</f>
        <v>SC</v>
      </c>
      <c r="D1071" s="7" t="s">
        <v>42</v>
      </c>
      <c r="E1071" t="str">
        <f>_xlfn.XLOOKUP(Vendas[[#This Row],[ID Item Vendido]],Agregado[ID],Agregado[Produto])</f>
        <v>Container de ferro industrial</v>
      </c>
      <c r="F1071" s="39">
        <v>44353</v>
      </c>
      <c r="G1071" s="7">
        <v>3</v>
      </c>
      <c r="H1071" s="3">
        <f>_xlfn.XLOOKUP(Vendas[[#This Row],[ID Item Vendido]],Agregado[ID],Agregado[Revenda])</f>
        <v>830</v>
      </c>
      <c r="I1071" s="3">
        <f>Vendas[[#This Row],[Valor Unitário]]*Vendas[[#This Row],[Qnt Vendida]]</f>
        <v>2490</v>
      </c>
      <c r="J1071" s="3">
        <f>Vendas[[#This Row],[Valor da Venda]]-(_xlfn.XLOOKUP(Vendas[[#This Row],[ID Item Vendido]],Agregado[ID],Agregado[Custo])*Vendas[[#This Row],[Qnt Vendida]])</f>
        <v>450</v>
      </c>
      <c r="K1071" s="70">
        <f>Vendas[[#This Row],[Lucro da Venda]]/Vendas[[#This Row],[Valor da Venda]]</f>
        <v>0.18072289156626506</v>
      </c>
      <c r="L1071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071"/>
    </row>
    <row r="1072" spans="1:13" x14ac:dyDescent="0.3">
      <c r="A1072" s="7">
        <v>400249</v>
      </c>
      <c r="B1072" t="str">
        <f>_xlfn.XLOOKUP(Vendas[[#This Row],[ID Vendedor]],Vendedores[ID],Vendedores[Nome])</f>
        <v>Bruno</v>
      </c>
      <c r="C1072" s="7" t="str">
        <f>_xlfn.XLOOKUP(Vendas[[#This Row],[ID Vendedor]],Vendedores[ID],Vendedores[Setor])</f>
        <v>CM</v>
      </c>
      <c r="D1072" s="7" t="s">
        <v>22</v>
      </c>
      <c r="E1072" t="str">
        <f>_xlfn.XLOOKUP(Vendas[[#This Row],[ID Item Vendido]],Agregado[ID],Agregado[Produto])</f>
        <v>Painel MDP 2,75x1,83m</v>
      </c>
      <c r="F1072" s="39">
        <v>44353</v>
      </c>
      <c r="G1072" s="7">
        <v>20</v>
      </c>
      <c r="H1072" s="3">
        <f>_xlfn.XLOOKUP(Vendas[[#This Row],[ID Item Vendido]],Agregado[ID],Agregado[Revenda])</f>
        <v>119</v>
      </c>
      <c r="I1072" s="3">
        <f>Vendas[[#This Row],[Valor Unitário]]*Vendas[[#This Row],[Qnt Vendida]]</f>
        <v>2380</v>
      </c>
      <c r="J1072" s="3">
        <f>Vendas[[#This Row],[Valor da Venda]]-(_xlfn.XLOOKUP(Vendas[[#This Row],[ID Item Vendido]],Agregado[ID],Agregado[Custo])*Vendas[[#This Row],[Qnt Vendida]])</f>
        <v>480</v>
      </c>
      <c r="K1072" s="70">
        <f>Vendas[[#This Row],[Lucro da Venda]]/Vendas[[#This Row],[Valor da Venda]]</f>
        <v>0.20168067226890757</v>
      </c>
      <c r="L107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1072"/>
    </row>
    <row r="1073" spans="1:13" x14ac:dyDescent="0.3">
      <c r="A1073" s="7">
        <v>400241</v>
      </c>
      <c r="B1073" t="str">
        <f>_xlfn.XLOOKUP(Vendas[[#This Row],[ID Vendedor]],Vendedores[ID],Vendedores[Nome])</f>
        <v>Rodrigo</v>
      </c>
      <c r="C1073" s="7" t="str">
        <f>_xlfn.XLOOKUP(Vendas[[#This Row],[ID Vendedor]],Vendedores[ID],Vendedores[Setor])</f>
        <v>FM</v>
      </c>
      <c r="D1073" s="7" t="s">
        <v>27</v>
      </c>
      <c r="E1073" t="str">
        <f>_xlfn.XLOOKUP(Vendas[[#This Row],[ID Item Vendido]],Agregado[ID],Agregado[Produto])</f>
        <v>Chapa de metal lisa 1x2m</v>
      </c>
      <c r="F1073" s="39">
        <v>44353</v>
      </c>
      <c r="G1073" s="7">
        <v>27</v>
      </c>
      <c r="H1073" s="3">
        <f>_xlfn.XLOOKUP(Vendas[[#This Row],[ID Item Vendido]],Agregado[ID],Agregado[Revenda])</f>
        <v>52</v>
      </c>
      <c r="I1073" s="3">
        <f>Vendas[[#This Row],[Valor Unitário]]*Vendas[[#This Row],[Qnt Vendida]]</f>
        <v>1404</v>
      </c>
      <c r="J1073" s="3">
        <f>Vendas[[#This Row],[Valor da Venda]]-(_xlfn.XLOOKUP(Vendas[[#This Row],[ID Item Vendido]],Agregado[ID],Agregado[Custo])*Vendas[[#This Row],[Qnt Vendida]])</f>
        <v>189</v>
      </c>
      <c r="K1073" s="70">
        <f>Vendas[[#This Row],[Lucro da Venda]]/Vendas[[#This Row],[Valor da Venda]]</f>
        <v>0.13461538461538461</v>
      </c>
      <c r="L1073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1073"/>
    </row>
    <row r="1074" spans="1:13" x14ac:dyDescent="0.3">
      <c r="A1074" s="7">
        <v>400250</v>
      </c>
      <c r="B1074" t="str">
        <f>_xlfn.XLOOKUP(Vendas[[#This Row],[ID Vendedor]],Vendedores[ID],Vendedores[Nome])</f>
        <v>Larissa</v>
      </c>
      <c r="C1074" s="7" t="str">
        <f>_xlfn.XLOOKUP(Vendas[[#This Row],[ID Vendedor]],Vendedores[ID],Vendedores[Setor])</f>
        <v>AB</v>
      </c>
      <c r="D1074" s="7" t="s">
        <v>37</v>
      </c>
      <c r="E1074" t="str">
        <f>_xlfn.XLOOKUP(Vendas[[#This Row],[ID Item Vendido]],Agregado[ID],Agregado[Produto])</f>
        <v>Composto de borracha para vedação rolo 10m</v>
      </c>
      <c r="F1074" s="39">
        <v>44353</v>
      </c>
      <c r="G1074" s="7">
        <v>5</v>
      </c>
      <c r="H1074" s="3">
        <f>_xlfn.XLOOKUP(Vendas[[#This Row],[ID Item Vendido]],Agregado[ID],Agregado[Revenda])</f>
        <v>51.2</v>
      </c>
      <c r="I1074" s="3">
        <f>Vendas[[#This Row],[Valor Unitário]]*Vendas[[#This Row],[Qnt Vendida]]</f>
        <v>256</v>
      </c>
      <c r="J1074" s="3">
        <f>Vendas[[#This Row],[Valor da Venda]]-(_xlfn.XLOOKUP(Vendas[[#This Row],[ID Item Vendido]],Agregado[ID],Agregado[Custo])*Vendas[[#This Row],[Qnt Vendida]])</f>
        <v>56</v>
      </c>
      <c r="K1074" s="70">
        <f>Vendas[[#This Row],[Lucro da Venda]]/Vendas[[#This Row],[Valor da Venda]]</f>
        <v>0.21875</v>
      </c>
      <c r="L1074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1074"/>
    </row>
    <row r="1075" spans="1:13" x14ac:dyDescent="0.3">
      <c r="A1075" s="7">
        <v>400241</v>
      </c>
      <c r="B1075" t="str">
        <f>_xlfn.XLOOKUP(Vendas[[#This Row],[ID Vendedor]],Vendedores[ID],Vendedores[Nome])</f>
        <v>Rodrigo</v>
      </c>
      <c r="C1075" s="7" t="str">
        <f>_xlfn.XLOOKUP(Vendas[[#This Row],[ID Vendedor]],Vendedores[ID],Vendedores[Setor])</f>
        <v>FM</v>
      </c>
      <c r="D1075" s="7" t="s">
        <v>20</v>
      </c>
      <c r="E1075" t="str">
        <f>_xlfn.XLOOKUP(Vendas[[#This Row],[ID Item Vendido]],Agregado[ID],Agregado[Produto])</f>
        <v>Barra de aço simples</v>
      </c>
      <c r="F1075" s="39">
        <v>44354</v>
      </c>
      <c r="G1075" s="7">
        <v>89</v>
      </c>
      <c r="H1075" s="3">
        <f>_xlfn.XLOOKUP(Vendas[[#This Row],[ID Item Vendido]],Agregado[ID],Agregado[Revenda])</f>
        <v>4.8</v>
      </c>
      <c r="I1075" s="3">
        <f>Vendas[[#This Row],[Valor Unitário]]*Vendas[[#This Row],[Qnt Vendida]]</f>
        <v>427.2</v>
      </c>
      <c r="J1075" s="3">
        <f>Vendas[[#This Row],[Valor da Venda]]-(_xlfn.XLOOKUP(Vendas[[#This Row],[ID Item Vendido]],Agregado[ID],Agregado[Custo])*Vendas[[#This Row],[Qnt Vendida]])</f>
        <v>53.399999999999977</v>
      </c>
      <c r="K1075" s="70">
        <f>Vendas[[#This Row],[Lucro da Venda]]/Vendas[[#This Row],[Valor da Venda]]</f>
        <v>0.12499999999999994</v>
      </c>
      <c r="L1075" s="3">
        <f>_xlfn.IFS(Vendas[[#This Row],[Margem de Lucro (%)]]&lt;15%,Vendas[[#This Row],[Valor da Venda]]*3%,Vendas[[#This Row],[Margem de Lucro (%)]]&lt;=20%,Vendas[[#This Row],[Valor da Venda]]*4.5%,TRUE,Vendas[[#This Row],[Valor da Venda]]*6%)</f>
        <v>12.815999999999999</v>
      </c>
      <c r="M1075"/>
    </row>
    <row r="1076" spans="1:13" x14ac:dyDescent="0.3">
      <c r="A1076" s="7">
        <v>400253</v>
      </c>
      <c r="B1076" t="str">
        <f>_xlfn.XLOOKUP(Vendas[[#This Row],[ID Vendedor]],Vendedores[ID],Vendedores[Nome])</f>
        <v>Gustavo</v>
      </c>
      <c r="C1076" s="7" t="str">
        <f>_xlfn.XLOOKUP(Vendas[[#This Row],[ID Vendedor]],Vendedores[ID],Vendedores[Setor])</f>
        <v>SC</v>
      </c>
      <c r="D1076" s="7" t="s">
        <v>25</v>
      </c>
      <c r="E1076" t="str">
        <f>_xlfn.XLOOKUP(Vendas[[#This Row],[ID Item Vendido]],Agregado[ID],Agregado[Produto])</f>
        <v>Palete de plástico</v>
      </c>
      <c r="F1076" s="39">
        <v>44354</v>
      </c>
      <c r="G1076" s="7">
        <v>2</v>
      </c>
      <c r="H1076" s="3">
        <f>_xlfn.XLOOKUP(Vendas[[#This Row],[ID Item Vendido]],Agregado[ID],Agregado[Revenda])</f>
        <v>70.8</v>
      </c>
      <c r="I1076" s="3">
        <f>Vendas[[#This Row],[Valor Unitário]]*Vendas[[#This Row],[Qnt Vendida]]</f>
        <v>141.6</v>
      </c>
      <c r="J1076" s="3">
        <f>Vendas[[#This Row],[Valor da Venda]]-(_xlfn.XLOOKUP(Vendas[[#This Row],[ID Item Vendido]],Agregado[ID],Agregado[Custo])*Vendas[[#This Row],[Qnt Vendida]])</f>
        <v>21.599999999999994</v>
      </c>
      <c r="K1076" s="70">
        <f>Vendas[[#This Row],[Lucro da Venda]]/Vendas[[#This Row],[Valor da Venda]]</f>
        <v>0.15254237288135589</v>
      </c>
      <c r="L1076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1076"/>
    </row>
    <row r="1077" spans="1:13" x14ac:dyDescent="0.3">
      <c r="A1077" s="7">
        <v>400255</v>
      </c>
      <c r="B1077" t="str">
        <f>_xlfn.XLOOKUP(Vendas[[#This Row],[ID Vendedor]],Vendedores[ID],Vendedores[Nome])</f>
        <v>Carlos</v>
      </c>
      <c r="C1077" s="7" t="str">
        <f>_xlfn.XLOOKUP(Vendas[[#This Row],[ID Vendedor]],Vendedores[ID],Vendedores[Setor])</f>
        <v>SC</v>
      </c>
      <c r="D1077" s="7" t="s">
        <v>48</v>
      </c>
      <c r="E1077" t="str">
        <f>_xlfn.XLOOKUP(Vendas[[#This Row],[ID Item Vendido]],Agregado[ID],Agregado[Produto])</f>
        <v>Tambor metálico 200L</v>
      </c>
      <c r="F1077" s="39">
        <v>44356</v>
      </c>
      <c r="G1077" s="7">
        <v>19</v>
      </c>
      <c r="H1077" s="3">
        <f>_xlfn.XLOOKUP(Vendas[[#This Row],[ID Item Vendido]],Agregado[ID],Agregado[Revenda])</f>
        <v>144</v>
      </c>
      <c r="I1077" s="3">
        <f>Vendas[[#This Row],[Valor Unitário]]*Vendas[[#This Row],[Qnt Vendida]]</f>
        <v>2736</v>
      </c>
      <c r="J1077" s="3">
        <f>Vendas[[#This Row],[Valor da Venda]]-(_xlfn.XLOOKUP(Vendas[[#This Row],[ID Item Vendido]],Agregado[ID],Agregado[Custo])*Vendas[[#This Row],[Qnt Vendida]])</f>
        <v>456</v>
      </c>
      <c r="K1077" s="70">
        <f>Vendas[[#This Row],[Lucro da Venda]]/Vendas[[#This Row],[Valor da Venda]]</f>
        <v>0.16666666666666666</v>
      </c>
      <c r="L107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1077"/>
    </row>
    <row r="1078" spans="1:13" x14ac:dyDescent="0.3">
      <c r="A1078" s="7">
        <v>400253</v>
      </c>
      <c r="B1078" t="str">
        <f>_xlfn.XLOOKUP(Vendas[[#This Row],[ID Vendedor]],Vendedores[ID],Vendedores[Nome])</f>
        <v>Gustavo</v>
      </c>
      <c r="C1078" s="7" t="str">
        <f>_xlfn.XLOOKUP(Vendas[[#This Row],[ID Vendedor]],Vendedores[ID],Vendedores[Setor])</f>
        <v>SC</v>
      </c>
      <c r="D1078" s="7" t="s">
        <v>25</v>
      </c>
      <c r="E1078" t="str">
        <f>_xlfn.XLOOKUP(Vendas[[#This Row],[ID Item Vendido]],Agregado[ID],Agregado[Produto])</f>
        <v>Palete de plástico</v>
      </c>
      <c r="F1078" s="39">
        <v>44356</v>
      </c>
      <c r="G1078" s="7">
        <v>7</v>
      </c>
      <c r="H1078" s="3">
        <f>_xlfn.XLOOKUP(Vendas[[#This Row],[ID Item Vendido]],Agregado[ID],Agregado[Revenda])</f>
        <v>70.8</v>
      </c>
      <c r="I1078" s="3">
        <f>Vendas[[#This Row],[Valor Unitário]]*Vendas[[#This Row],[Qnt Vendida]]</f>
        <v>495.59999999999997</v>
      </c>
      <c r="J1078" s="3">
        <f>Vendas[[#This Row],[Valor da Venda]]-(_xlfn.XLOOKUP(Vendas[[#This Row],[ID Item Vendido]],Agregado[ID],Agregado[Custo])*Vendas[[#This Row],[Qnt Vendida]])</f>
        <v>75.599999999999966</v>
      </c>
      <c r="K1078" s="70">
        <f>Vendas[[#This Row],[Lucro da Venda]]/Vendas[[#This Row],[Valor da Venda]]</f>
        <v>0.15254237288135589</v>
      </c>
      <c r="L1078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078"/>
    </row>
    <row r="1079" spans="1:13" x14ac:dyDescent="0.3">
      <c r="A1079" s="7">
        <v>400249</v>
      </c>
      <c r="B1079" t="str">
        <f>_xlfn.XLOOKUP(Vendas[[#This Row],[ID Vendedor]],Vendedores[ID],Vendedores[Nome])</f>
        <v>Bruno</v>
      </c>
      <c r="C1079" s="7" t="str">
        <f>_xlfn.XLOOKUP(Vendas[[#This Row],[ID Vendedor]],Vendedores[ID],Vendedores[Setor])</f>
        <v>CM</v>
      </c>
      <c r="D1079" s="7" t="s">
        <v>45</v>
      </c>
      <c r="E1079" t="str">
        <f>_xlfn.XLOOKUP(Vendas[[#This Row],[ID Item Vendido]],Agregado[ID],Agregado[Produto])</f>
        <v>Viga de madeira tratada 4m</v>
      </c>
      <c r="F1079" s="39">
        <v>44356</v>
      </c>
      <c r="G1079" s="7">
        <v>4</v>
      </c>
      <c r="H1079" s="3">
        <f>_xlfn.XLOOKUP(Vendas[[#This Row],[ID Item Vendido]],Agregado[ID],Agregado[Revenda])</f>
        <v>66</v>
      </c>
      <c r="I1079" s="3">
        <f>Vendas[[#This Row],[Valor Unitário]]*Vendas[[#This Row],[Qnt Vendida]]</f>
        <v>264</v>
      </c>
      <c r="J1079" s="3">
        <f>Vendas[[#This Row],[Valor da Venda]]-(_xlfn.XLOOKUP(Vendas[[#This Row],[ID Item Vendido]],Agregado[ID],Agregado[Custo])*Vendas[[#This Row],[Qnt Vendida]])</f>
        <v>44</v>
      </c>
      <c r="K1079" s="70">
        <f>Vendas[[#This Row],[Lucro da Venda]]/Vendas[[#This Row],[Valor da Venda]]</f>
        <v>0.16666666666666666</v>
      </c>
      <c r="L1079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1079"/>
    </row>
    <row r="1080" spans="1:13" x14ac:dyDescent="0.3">
      <c r="A1080" s="7">
        <v>400241</v>
      </c>
      <c r="B1080" t="str">
        <f>_xlfn.XLOOKUP(Vendas[[#This Row],[ID Vendedor]],Vendedores[ID],Vendedores[Nome])</f>
        <v>Rodrigo</v>
      </c>
      <c r="C1080" s="7" t="str">
        <f>_xlfn.XLOOKUP(Vendas[[#This Row],[ID Vendedor]],Vendedores[ID],Vendedores[Setor])</f>
        <v>FM</v>
      </c>
      <c r="D1080" s="7" t="s">
        <v>6</v>
      </c>
      <c r="E1080" t="str">
        <f>_xlfn.XLOOKUP(Vendas[[#This Row],[ID Item Vendido]],Agregado[ID],Agregado[Produto])</f>
        <v>Parafuso comum 500un</v>
      </c>
      <c r="F1080" s="39">
        <v>44357</v>
      </c>
      <c r="G1080" s="7">
        <v>19</v>
      </c>
      <c r="H1080" s="3">
        <f>_xlfn.XLOOKUP(Vendas[[#This Row],[ID Item Vendido]],Agregado[ID],Agregado[Revenda])</f>
        <v>24.6</v>
      </c>
      <c r="I1080" s="3">
        <f>Vendas[[#This Row],[Valor Unitário]]*Vendas[[#This Row],[Qnt Vendida]]</f>
        <v>467.40000000000003</v>
      </c>
      <c r="J1080" s="3">
        <f>Vendas[[#This Row],[Valor da Venda]]-(_xlfn.XLOOKUP(Vendas[[#This Row],[ID Item Vendido]],Agregado[ID],Agregado[Custo])*Vendas[[#This Row],[Qnt Vendida]])</f>
        <v>49.400000000000034</v>
      </c>
      <c r="K1080" s="70">
        <f>Vendas[[#This Row],[Lucro da Venda]]/Vendas[[#This Row],[Valor da Venda]]</f>
        <v>0.10569105691056917</v>
      </c>
      <c r="L108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1080"/>
    </row>
    <row r="1081" spans="1:13" x14ac:dyDescent="0.3">
      <c r="A1081" s="7">
        <v>400250</v>
      </c>
      <c r="B1081" t="str">
        <f>_xlfn.XLOOKUP(Vendas[[#This Row],[ID Vendedor]],Vendedores[ID],Vendedores[Nome])</f>
        <v>Larissa</v>
      </c>
      <c r="C1081" s="7" t="str">
        <f>_xlfn.XLOOKUP(Vendas[[#This Row],[ID Vendedor]],Vendedores[ID],Vendedores[Setor])</f>
        <v>AB</v>
      </c>
      <c r="D1081" s="7" t="s">
        <v>12</v>
      </c>
      <c r="E1081" t="str">
        <f>_xlfn.XLOOKUP(Vendas[[#This Row],[ID Item Vendido]],Agregado[ID],Agregado[Produto])</f>
        <v>Grânulo de plástico reciclado refinado</v>
      </c>
      <c r="F1081" s="39">
        <v>44357</v>
      </c>
      <c r="G1081" s="7">
        <v>90</v>
      </c>
      <c r="H1081" s="3">
        <f>_xlfn.XLOOKUP(Vendas[[#This Row],[ID Item Vendido]],Agregado[ID],Agregado[Revenda])</f>
        <v>4.7</v>
      </c>
      <c r="I1081" s="3">
        <f>Vendas[[#This Row],[Valor Unitário]]*Vendas[[#This Row],[Qnt Vendida]]</f>
        <v>423</v>
      </c>
      <c r="J1081" s="3">
        <f>Vendas[[#This Row],[Valor da Venda]]-(_xlfn.XLOOKUP(Vendas[[#This Row],[ID Item Vendido]],Agregado[ID],Agregado[Custo])*Vendas[[#This Row],[Qnt Vendida]])</f>
        <v>108</v>
      </c>
      <c r="K1081" s="70">
        <f>Vendas[[#This Row],[Lucro da Venda]]/Vendas[[#This Row],[Valor da Venda]]</f>
        <v>0.25531914893617019</v>
      </c>
      <c r="L1081" s="3">
        <f>_xlfn.IFS(Vendas[[#This Row],[Margem de Lucro (%)]]&lt;15%,Vendas[[#This Row],[Valor da Venda]]*3%,Vendas[[#This Row],[Margem de Lucro (%)]]&lt;=20%,Vendas[[#This Row],[Valor da Venda]]*4.5%,TRUE,Vendas[[#This Row],[Valor da Venda]]*6%)</f>
        <v>25.38</v>
      </c>
      <c r="M1081"/>
    </row>
    <row r="1082" spans="1:13" x14ac:dyDescent="0.3">
      <c r="A1082" s="7">
        <v>400253</v>
      </c>
      <c r="B1082" t="str">
        <f>_xlfn.XLOOKUP(Vendas[[#This Row],[ID Vendedor]],Vendedores[ID],Vendedores[Nome])</f>
        <v>Gustavo</v>
      </c>
      <c r="C1082" s="7" t="str">
        <f>_xlfn.XLOOKUP(Vendas[[#This Row],[ID Vendedor]],Vendedores[ID],Vendedores[Setor])</f>
        <v>SC</v>
      </c>
      <c r="D1082" s="7" t="s">
        <v>42</v>
      </c>
      <c r="E1082" t="str">
        <f>_xlfn.XLOOKUP(Vendas[[#This Row],[ID Item Vendido]],Agregado[ID],Agregado[Produto])</f>
        <v>Container de ferro industrial</v>
      </c>
      <c r="F1082" s="39">
        <v>44359</v>
      </c>
      <c r="G1082" s="7">
        <v>2</v>
      </c>
      <c r="H1082" s="3">
        <f>_xlfn.XLOOKUP(Vendas[[#This Row],[ID Item Vendido]],Agregado[ID],Agregado[Revenda])</f>
        <v>830</v>
      </c>
      <c r="I1082" s="3">
        <f>Vendas[[#This Row],[Valor Unitário]]*Vendas[[#This Row],[Qnt Vendida]]</f>
        <v>1660</v>
      </c>
      <c r="J1082" s="3">
        <f>Vendas[[#This Row],[Valor da Venda]]-(_xlfn.XLOOKUP(Vendas[[#This Row],[ID Item Vendido]],Agregado[ID],Agregado[Custo])*Vendas[[#This Row],[Qnt Vendida]])</f>
        <v>300</v>
      </c>
      <c r="K1082" s="70">
        <f>Vendas[[#This Row],[Lucro da Venda]]/Vendas[[#This Row],[Valor da Venda]]</f>
        <v>0.18072289156626506</v>
      </c>
      <c r="L108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082"/>
    </row>
    <row r="1083" spans="1:13" x14ac:dyDescent="0.3">
      <c r="A1083" s="7">
        <v>400244</v>
      </c>
      <c r="B1083" t="str">
        <f>_xlfn.XLOOKUP(Vendas[[#This Row],[ID Vendedor]],Vendedores[ID],Vendedores[Nome])</f>
        <v>Camila</v>
      </c>
      <c r="C1083" s="7" t="str">
        <f>_xlfn.XLOOKUP(Vendas[[#This Row],[ID Vendedor]],Vendedores[ID],Vendedores[Setor])</f>
        <v>AHD</v>
      </c>
      <c r="D1083" s="7" t="s">
        <v>28</v>
      </c>
      <c r="E1083" t="str">
        <f>_xlfn.XLOOKUP(Vendas[[#This Row],[ID Item Vendido]],Agregado[ID],Agregado[Produto])</f>
        <v>Peça usinada CNC</v>
      </c>
      <c r="F1083" s="39">
        <v>44359</v>
      </c>
      <c r="G1083" s="7">
        <v>3</v>
      </c>
      <c r="H1083" s="3">
        <f>_xlfn.XLOOKUP(Vendas[[#This Row],[ID Item Vendido]],Agregado[ID],Agregado[Revenda])</f>
        <v>192</v>
      </c>
      <c r="I1083" s="3">
        <f>Vendas[[#This Row],[Valor Unitário]]*Vendas[[#This Row],[Qnt Vendida]]</f>
        <v>576</v>
      </c>
      <c r="J1083" s="3">
        <f>Vendas[[#This Row],[Valor da Venda]]-(_xlfn.XLOOKUP(Vendas[[#This Row],[ID Item Vendido]],Agregado[ID],Agregado[Custo])*Vendas[[#This Row],[Qnt Vendida]])</f>
        <v>126</v>
      </c>
      <c r="K1083" s="70">
        <f>Vendas[[#This Row],[Lucro da Venda]]/Vendas[[#This Row],[Valor da Venda]]</f>
        <v>0.21875</v>
      </c>
      <c r="L1083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1083"/>
    </row>
    <row r="1084" spans="1:13" x14ac:dyDescent="0.3">
      <c r="A1084" s="7">
        <v>400255</v>
      </c>
      <c r="B1084" t="str">
        <f>_xlfn.XLOOKUP(Vendas[[#This Row],[ID Vendedor]],Vendedores[ID],Vendedores[Nome])</f>
        <v>Carlos</v>
      </c>
      <c r="C1084" s="7" t="str">
        <f>_xlfn.XLOOKUP(Vendas[[#This Row],[ID Vendedor]],Vendedores[ID],Vendedores[Setor])</f>
        <v>SC</v>
      </c>
      <c r="D1084" s="7" t="s">
        <v>48</v>
      </c>
      <c r="E1084" t="str">
        <f>_xlfn.XLOOKUP(Vendas[[#This Row],[ID Item Vendido]],Agregado[ID],Agregado[Produto])</f>
        <v>Tambor metálico 200L</v>
      </c>
      <c r="F1084" s="39">
        <v>44361</v>
      </c>
      <c r="G1084" s="7">
        <v>19</v>
      </c>
      <c r="H1084" s="3">
        <f>_xlfn.XLOOKUP(Vendas[[#This Row],[ID Item Vendido]],Agregado[ID],Agregado[Revenda])</f>
        <v>144</v>
      </c>
      <c r="I1084" s="3">
        <f>Vendas[[#This Row],[Valor Unitário]]*Vendas[[#This Row],[Qnt Vendida]]</f>
        <v>2736</v>
      </c>
      <c r="J1084" s="3">
        <f>Vendas[[#This Row],[Valor da Venda]]-(_xlfn.XLOOKUP(Vendas[[#This Row],[ID Item Vendido]],Agregado[ID],Agregado[Custo])*Vendas[[#This Row],[Qnt Vendida]])</f>
        <v>456</v>
      </c>
      <c r="K1084" s="70">
        <f>Vendas[[#This Row],[Lucro da Venda]]/Vendas[[#This Row],[Valor da Venda]]</f>
        <v>0.16666666666666666</v>
      </c>
      <c r="L1084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1084"/>
    </row>
    <row r="1085" spans="1:13" x14ac:dyDescent="0.3">
      <c r="A1085" s="7">
        <v>400247</v>
      </c>
      <c r="B1085" t="str">
        <f>_xlfn.XLOOKUP(Vendas[[#This Row],[ID Vendedor]],Vendedores[ID],Vendedores[Nome])</f>
        <v>André</v>
      </c>
      <c r="C1085" s="7" t="str">
        <f>_xlfn.XLOOKUP(Vendas[[#This Row],[ID Vendedor]],Vendedores[ID],Vendedores[Setor])</f>
        <v>CM</v>
      </c>
      <c r="D1085" s="7" t="s">
        <v>43</v>
      </c>
      <c r="E1085" t="str">
        <f>_xlfn.XLOOKUP(Vendas[[#This Row],[ID Item Vendido]],Agregado[ID],Agregado[Produto])</f>
        <v>Madeira Bruta (Tora)</v>
      </c>
      <c r="F1085" s="39">
        <v>44361</v>
      </c>
      <c r="G1085" s="7">
        <v>7</v>
      </c>
      <c r="H1085" s="3">
        <f>_xlfn.XLOOKUP(Vendas[[#This Row],[ID Item Vendido]],Agregado[ID],Agregado[Revenda])</f>
        <v>212</v>
      </c>
      <c r="I1085" s="3">
        <f>Vendas[[#This Row],[Valor Unitário]]*Vendas[[#This Row],[Qnt Vendida]]</f>
        <v>1484</v>
      </c>
      <c r="J1085" s="3">
        <f>Vendas[[#This Row],[Valor da Venda]]-(_xlfn.XLOOKUP(Vendas[[#This Row],[ID Item Vendido]],Agregado[ID],Agregado[Custo])*Vendas[[#This Row],[Qnt Vendida]])</f>
        <v>224</v>
      </c>
      <c r="K1085" s="70">
        <f>Vendas[[#This Row],[Lucro da Venda]]/Vendas[[#This Row],[Valor da Venda]]</f>
        <v>0.15094339622641509</v>
      </c>
      <c r="L1085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1085"/>
    </row>
    <row r="1086" spans="1:13" x14ac:dyDescent="0.3">
      <c r="A1086" s="7">
        <v>400241</v>
      </c>
      <c r="B1086" t="str">
        <f>_xlfn.XLOOKUP(Vendas[[#This Row],[ID Vendedor]],Vendedores[ID],Vendedores[Nome])</f>
        <v>Rodrigo</v>
      </c>
      <c r="C1086" s="7" t="str">
        <f>_xlfn.XLOOKUP(Vendas[[#This Row],[ID Vendedor]],Vendedores[ID],Vendedores[Setor])</f>
        <v>FM</v>
      </c>
      <c r="D1086" s="7" t="s">
        <v>31</v>
      </c>
      <c r="E1086" t="str">
        <f>_xlfn.XLOOKUP(Vendas[[#This Row],[ID Item Vendido]],Agregado[ID],Agregado[Produto])</f>
        <v>Tela de metal soldada rolo 2x25m</v>
      </c>
      <c r="F1086" s="39">
        <v>44361</v>
      </c>
      <c r="G1086" s="7">
        <v>5</v>
      </c>
      <c r="H1086" s="3">
        <f>_xlfn.XLOOKUP(Vendas[[#This Row],[ID Item Vendido]],Agregado[ID],Agregado[Revenda])</f>
        <v>43.7</v>
      </c>
      <c r="I1086" s="3">
        <f>Vendas[[#This Row],[Valor Unitário]]*Vendas[[#This Row],[Qnt Vendida]]</f>
        <v>218.5</v>
      </c>
      <c r="J1086" s="3">
        <f>Vendas[[#This Row],[Valor da Venda]]-(_xlfn.XLOOKUP(Vendas[[#This Row],[ID Item Vendido]],Agregado[ID],Agregado[Custo])*Vendas[[#This Row],[Qnt Vendida]])</f>
        <v>28.5</v>
      </c>
      <c r="K1086" s="70">
        <f>Vendas[[#This Row],[Lucro da Venda]]/Vendas[[#This Row],[Valor da Venda]]</f>
        <v>0.13043478260869565</v>
      </c>
      <c r="L1086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1086"/>
    </row>
    <row r="1087" spans="1:13" x14ac:dyDescent="0.3">
      <c r="A1087" s="7">
        <v>400244</v>
      </c>
      <c r="B1087" t="str">
        <f>_xlfn.XLOOKUP(Vendas[[#This Row],[ID Vendedor]],Vendedores[ID],Vendedores[Nome])</f>
        <v>Camila</v>
      </c>
      <c r="C1087" s="7" t="str">
        <f>_xlfn.XLOOKUP(Vendas[[#This Row],[ID Vendedor]],Vendedores[ID],Vendedores[Setor])</f>
        <v>AHD</v>
      </c>
      <c r="D1087" s="7" t="s">
        <v>30</v>
      </c>
      <c r="E1087" t="str">
        <f>_xlfn.XLOOKUP(Vendas[[#This Row],[ID Item Vendido]],Agregado[ID],Agregado[Produto])</f>
        <v>Estrutura metálica soldada</v>
      </c>
      <c r="F1087" s="39">
        <v>44363</v>
      </c>
      <c r="G1087" s="7">
        <v>4</v>
      </c>
      <c r="H1087" s="3">
        <f>_xlfn.XLOOKUP(Vendas[[#This Row],[ID Item Vendido]],Agregado[ID],Agregado[Revenda])</f>
        <v>400</v>
      </c>
      <c r="I1087" s="3">
        <f>Vendas[[#This Row],[Valor Unitário]]*Vendas[[#This Row],[Qnt Vendida]]</f>
        <v>1600</v>
      </c>
      <c r="J1087" s="3">
        <f>Vendas[[#This Row],[Valor da Venda]]-(_xlfn.XLOOKUP(Vendas[[#This Row],[ID Item Vendido]],Agregado[ID],Agregado[Custo])*Vendas[[#This Row],[Qnt Vendida]])</f>
        <v>320</v>
      </c>
      <c r="K1087" s="70">
        <f>Vendas[[#This Row],[Lucro da Venda]]/Vendas[[#This Row],[Valor da Venda]]</f>
        <v>0.2</v>
      </c>
      <c r="L1087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1087"/>
    </row>
    <row r="1088" spans="1:13" x14ac:dyDescent="0.3">
      <c r="A1088" s="7">
        <v>400253</v>
      </c>
      <c r="B1088" t="str">
        <f>_xlfn.XLOOKUP(Vendas[[#This Row],[ID Vendedor]],Vendedores[ID],Vendedores[Nome])</f>
        <v>Gustavo</v>
      </c>
      <c r="C1088" s="7" t="str">
        <f>_xlfn.XLOOKUP(Vendas[[#This Row],[ID Vendedor]],Vendedores[ID],Vendedores[Setor])</f>
        <v>SC</v>
      </c>
      <c r="D1088" s="7" t="s">
        <v>25</v>
      </c>
      <c r="E1088" t="str">
        <f>_xlfn.XLOOKUP(Vendas[[#This Row],[ID Item Vendido]],Agregado[ID],Agregado[Produto])</f>
        <v>Palete de plástico</v>
      </c>
      <c r="F1088" s="39">
        <v>44363</v>
      </c>
      <c r="G1088" s="7">
        <v>9</v>
      </c>
      <c r="H1088" s="3">
        <f>_xlfn.XLOOKUP(Vendas[[#This Row],[ID Item Vendido]],Agregado[ID],Agregado[Revenda])</f>
        <v>70.8</v>
      </c>
      <c r="I1088" s="3">
        <f>Vendas[[#This Row],[Valor Unitário]]*Vendas[[#This Row],[Qnt Vendida]]</f>
        <v>637.19999999999993</v>
      </c>
      <c r="J1088" s="3">
        <f>Vendas[[#This Row],[Valor da Venda]]-(_xlfn.XLOOKUP(Vendas[[#This Row],[ID Item Vendido]],Agregado[ID],Agregado[Custo])*Vendas[[#This Row],[Qnt Vendida]])</f>
        <v>97.199999999999932</v>
      </c>
      <c r="K1088" s="70">
        <f>Vendas[[#This Row],[Lucro da Venda]]/Vendas[[#This Row],[Valor da Venda]]</f>
        <v>0.15254237288135583</v>
      </c>
      <c r="L1088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1088"/>
    </row>
    <row r="1089" spans="1:13" x14ac:dyDescent="0.3">
      <c r="A1089" s="7">
        <v>400255</v>
      </c>
      <c r="B1089" t="str">
        <f>_xlfn.XLOOKUP(Vendas[[#This Row],[ID Vendedor]],Vendedores[ID],Vendedores[Nome])</f>
        <v>Carlos</v>
      </c>
      <c r="C1089" s="7" t="str">
        <f>_xlfn.XLOOKUP(Vendas[[#This Row],[ID Vendedor]],Vendedores[ID],Vendedores[Setor])</f>
        <v>SC</v>
      </c>
      <c r="D1089" s="7" t="s">
        <v>48</v>
      </c>
      <c r="E1089" t="str">
        <f>_xlfn.XLOOKUP(Vendas[[#This Row],[ID Item Vendido]],Agregado[ID],Agregado[Produto])</f>
        <v>Tambor metálico 200L</v>
      </c>
      <c r="F1089" s="39">
        <v>44364</v>
      </c>
      <c r="G1089" s="7">
        <v>15</v>
      </c>
      <c r="H1089" s="3">
        <f>_xlfn.XLOOKUP(Vendas[[#This Row],[ID Item Vendido]],Agregado[ID],Agregado[Revenda])</f>
        <v>144</v>
      </c>
      <c r="I1089" s="3">
        <f>Vendas[[#This Row],[Valor Unitário]]*Vendas[[#This Row],[Qnt Vendida]]</f>
        <v>2160</v>
      </c>
      <c r="J1089" s="3">
        <f>Vendas[[#This Row],[Valor da Venda]]-(_xlfn.XLOOKUP(Vendas[[#This Row],[ID Item Vendido]],Agregado[ID],Agregado[Custo])*Vendas[[#This Row],[Qnt Vendida]])</f>
        <v>360</v>
      </c>
      <c r="K1089" s="70">
        <f>Vendas[[#This Row],[Lucro da Venda]]/Vendas[[#This Row],[Valor da Venda]]</f>
        <v>0.16666666666666666</v>
      </c>
      <c r="L1089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089"/>
    </row>
    <row r="1090" spans="1:13" x14ac:dyDescent="0.3">
      <c r="A1090" s="7">
        <v>400244</v>
      </c>
      <c r="B1090" t="str">
        <f>_xlfn.XLOOKUP(Vendas[[#This Row],[ID Vendedor]],Vendedores[ID],Vendedores[Nome])</f>
        <v>Camila</v>
      </c>
      <c r="C1090" s="7" t="str">
        <f>_xlfn.XLOOKUP(Vendas[[#This Row],[ID Vendedor]],Vendedores[ID],Vendedores[Setor])</f>
        <v>AHD</v>
      </c>
      <c r="D1090" s="7" t="s">
        <v>18</v>
      </c>
      <c r="E1090" t="str">
        <f>_xlfn.XLOOKUP(Vendas[[#This Row],[ID Item Vendido]],Agregado[ID],Agregado[Produto])</f>
        <v>Peça forjada sob encomenda</v>
      </c>
      <c r="F1090" s="39">
        <v>44364</v>
      </c>
      <c r="G1090" s="7">
        <v>3</v>
      </c>
      <c r="H1090" s="3">
        <f>_xlfn.XLOOKUP(Vendas[[#This Row],[ID Item Vendido]],Agregado[ID],Agregado[Revenda])</f>
        <v>264.60000000000002</v>
      </c>
      <c r="I1090" s="3">
        <f>Vendas[[#This Row],[Valor Unitário]]*Vendas[[#This Row],[Qnt Vendida]]</f>
        <v>793.80000000000007</v>
      </c>
      <c r="J1090" s="3">
        <f>Vendas[[#This Row],[Valor da Venda]]-(_xlfn.XLOOKUP(Vendas[[#This Row],[ID Item Vendido]],Agregado[ID],Agregado[Custo])*Vendas[[#This Row],[Qnt Vendida]])</f>
        <v>43.800000000000068</v>
      </c>
      <c r="K1090" s="70">
        <f>Vendas[[#This Row],[Lucro da Venda]]/Vendas[[#This Row],[Valor da Venda]]</f>
        <v>5.5177626606198113E-2</v>
      </c>
      <c r="L109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1090"/>
    </row>
    <row r="1091" spans="1:13" x14ac:dyDescent="0.3">
      <c r="A1091" s="7">
        <v>400250</v>
      </c>
      <c r="B1091" t="str">
        <f>_xlfn.XLOOKUP(Vendas[[#This Row],[ID Vendedor]],Vendedores[ID],Vendedores[Nome])</f>
        <v>Larissa</v>
      </c>
      <c r="C1091" s="7" t="str">
        <f>_xlfn.XLOOKUP(Vendas[[#This Row],[ID Vendedor]],Vendedores[ID],Vendedores[Setor])</f>
        <v>AB</v>
      </c>
      <c r="D1091" s="7" t="s">
        <v>24</v>
      </c>
      <c r="E1091" t="str">
        <f>_xlfn.XLOOKUP(Vendas[[#This Row],[ID Item Vendido]],Agregado[ID],Agregado[Produto])</f>
        <v>Resina plástica PET purificada saco de 25kg</v>
      </c>
      <c r="F1091" s="39">
        <v>44365</v>
      </c>
      <c r="G1091" s="7">
        <v>19</v>
      </c>
      <c r="H1091" s="3">
        <f>_xlfn.XLOOKUP(Vendas[[#This Row],[ID Item Vendido]],Agregado[ID],Agregado[Revenda])</f>
        <v>119</v>
      </c>
      <c r="I1091" s="3">
        <f>Vendas[[#This Row],[Valor Unitário]]*Vendas[[#This Row],[Qnt Vendida]]</f>
        <v>2261</v>
      </c>
      <c r="J1091" s="3">
        <f>Vendas[[#This Row],[Valor da Venda]]-(_xlfn.XLOOKUP(Vendas[[#This Row],[ID Item Vendido]],Agregado[ID],Agregado[Custo])*Vendas[[#This Row],[Qnt Vendida]])</f>
        <v>646</v>
      </c>
      <c r="K1091" s="70">
        <f>Vendas[[#This Row],[Lucro da Venda]]/Vendas[[#This Row],[Valor da Venda]]</f>
        <v>0.2857142857142857</v>
      </c>
      <c r="L1091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1091"/>
    </row>
    <row r="1092" spans="1:13" x14ac:dyDescent="0.3">
      <c r="A1092" s="7">
        <v>400250</v>
      </c>
      <c r="B1092" t="str">
        <f>_xlfn.XLOOKUP(Vendas[[#This Row],[ID Vendedor]],Vendedores[ID],Vendedores[Nome])</f>
        <v>Larissa</v>
      </c>
      <c r="C1092" s="7" t="str">
        <f>_xlfn.XLOOKUP(Vendas[[#This Row],[ID Vendedor]],Vendedores[ID],Vendedores[Setor])</f>
        <v>AB</v>
      </c>
      <c r="D1092" s="7" t="s">
        <v>37</v>
      </c>
      <c r="E1092" t="str">
        <f>_xlfn.XLOOKUP(Vendas[[#This Row],[ID Item Vendido]],Agregado[ID],Agregado[Produto])</f>
        <v>Composto de borracha para vedação rolo 10m</v>
      </c>
      <c r="F1092" s="39">
        <v>44365</v>
      </c>
      <c r="G1092" s="7">
        <v>11</v>
      </c>
      <c r="H1092" s="3">
        <f>_xlfn.XLOOKUP(Vendas[[#This Row],[ID Item Vendido]],Agregado[ID],Agregado[Revenda])</f>
        <v>51.2</v>
      </c>
      <c r="I1092" s="3">
        <f>Vendas[[#This Row],[Valor Unitário]]*Vendas[[#This Row],[Qnt Vendida]]</f>
        <v>563.20000000000005</v>
      </c>
      <c r="J1092" s="3">
        <f>Vendas[[#This Row],[Valor da Venda]]-(_xlfn.XLOOKUP(Vendas[[#This Row],[ID Item Vendido]],Agregado[ID],Agregado[Custo])*Vendas[[#This Row],[Qnt Vendida]])</f>
        <v>123.20000000000005</v>
      </c>
      <c r="K1092" s="70">
        <f>Vendas[[#This Row],[Lucro da Venda]]/Vendas[[#This Row],[Valor da Venda]]</f>
        <v>0.21875000000000006</v>
      </c>
      <c r="L1092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1092"/>
    </row>
    <row r="1093" spans="1:13" x14ac:dyDescent="0.3">
      <c r="A1093" s="7">
        <v>400251</v>
      </c>
      <c r="B1093" t="str">
        <f>_xlfn.XLOOKUP(Vendas[[#This Row],[ID Vendedor]],Vendedores[ID],Vendedores[Nome])</f>
        <v>Diego</v>
      </c>
      <c r="C1093" s="7" t="str">
        <f>_xlfn.XLOOKUP(Vendas[[#This Row],[ID Vendedor]],Vendedores[ID],Vendedores[Setor])</f>
        <v>AB</v>
      </c>
      <c r="D1093" s="7" t="s">
        <v>12</v>
      </c>
      <c r="E1093" t="str">
        <f>_xlfn.XLOOKUP(Vendas[[#This Row],[ID Item Vendido]],Agregado[ID],Agregado[Produto])</f>
        <v>Grânulo de plástico reciclado refinado</v>
      </c>
      <c r="F1093" s="39">
        <v>44365</v>
      </c>
      <c r="G1093" s="7">
        <v>24</v>
      </c>
      <c r="H1093" s="3">
        <f>_xlfn.XLOOKUP(Vendas[[#This Row],[ID Item Vendido]],Agregado[ID],Agregado[Revenda])</f>
        <v>4.7</v>
      </c>
      <c r="I1093" s="3">
        <f>Vendas[[#This Row],[Valor Unitário]]*Vendas[[#This Row],[Qnt Vendida]]</f>
        <v>112.80000000000001</v>
      </c>
      <c r="J1093" s="3">
        <f>Vendas[[#This Row],[Valor da Venda]]-(_xlfn.XLOOKUP(Vendas[[#This Row],[ID Item Vendido]],Agregado[ID],Agregado[Custo])*Vendas[[#This Row],[Qnt Vendida]])</f>
        <v>28.800000000000011</v>
      </c>
      <c r="K1093" s="70">
        <f>Vendas[[#This Row],[Lucro da Venda]]/Vendas[[#This Row],[Valor da Venda]]</f>
        <v>0.2553191489361703</v>
      </c>
      <c r="L1093" s="3">
        <f>_xlfn.IFS(Vendas[[#This Row],[Margem de Lucro (%)]]&lt;15%,Vendas[[#This Row],[Valor da Venda]]*3%,Vendas[[#This Row],[Margem de Lucro (%)]]&lt;=20%,Vendas[[#This Row],[Valor da Venda]]*4.5%,TRUE,Vendas[[#This Row],[Valor da Venda]]*6%)</f>
        <v>6.7680000000000007</v>
      </c>
      <c r="M1093"/>
    </row>
    <row r="1094" spans="1:13" x14ac:dyDescent="0.3">
      <c r="A1094" s="7">
        <v>400253</v>
      </c>
      <c r="B1094" t="str">
        <f>_xlfn.XLOOKUP(Vendas[[#This Row],[ID Vendedor]],Vendedores[ID],Vendedores[Nome])</f>
        <v>Gustavo</v>
      </c>
      <c r="C1094" s="7" t="str">
        <f>_xlfn.XLOOKUP(Vendas[[#This Row],[ID Vendedor]],Vendedores[ID],Vendedores[Setor])</f>
        <v>SC</v>
      </c>
      <c r="D1094" s="7" t="s">
        <v>25</v>
      </c>
      <c r="E1094" t="str">
        <f>_xlfn.XLOOKUP(Vendas[[#This Row],[ID Item Vendido]],Agregado[ID],Agregado[Produto])</f>
        <v>Palete de plástico</v>
      </c>
      <c r="F1094" s="39">
        <v>44366</v>
      </c>
      <c r="G1094" s="7">
        <v>12</v>
      </c>
      <c r="H1094" s="3">
        <f>_xlfn.XLOOKUP(Vendas[[#This Row],[ID Item Vendido]],Agregado[ID],Agregado[Revenda])</f>
        <v>70.8</v>
      </c>
      <c r="I1094" s="3">
        <f>Vendas[[#This Row],[Valor Unitário]]*Vendas[[#This Row],[Qnt Vendida]]</f>
        <v>849.59999999999991</v>
      </c>
      <c r="J1094" s="3">
        <f>Vendas[[#This Row],[Valor da Venda]]-(_xlfn.XLOOKUP(Vendas[[#This Row],[ID Item Vendido]],Agregado[ID],Agregado[Custo])*Vendas[[#This Row],[Qnt Vendida]])</f>
        <v>129.59999999999991</v>
      </c>
      <c r="K1094" s="70">
        <f>Vendas[[#This Row],[Lucro da Venda]]/Vendas[[#This Row],[Valor da Venda]]</f>
        <v>0.15254237288135583</v>
      </c>
      <c r="L1094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1094"/>
    </row>
    <row r="1095" spans="1:13" x14ac:dyDescent="0.3">
      <c r="A1095" s="7">
        <v>400250</v>
      </c>
      <c r="B1095" t="str">
        <f>_xlfn.XLOOKUP(Vendas[[#This Row],[ID Vendedor]],Vendedores[ID],Vendedores[Nome])</f>
        <v>Larissa</v>
      </c>
      <c r="C1095" s="7" t="str">
        <f>_xlfn.XLOOKUP(Vendas[[#This Row],[ID Vendedor]],Vendedores[ID],Vendedores[Setor])</f>
        <v>AB</v>
      </c>
      <c r="D1095" s="7" t="s">
        <v>24</v>
      </c>
      <c r="E1095" t="str">
        <f>_xlfn.XLOOKUP(Vendas[[#This Row],[ID Item Vendido]],Agregado[ID],Agregado[Produto])</f>
        <v>Resina plástica PET purificada saco de 25kg</v>
      </c>
      <c r="F1095" s="39">
        <v>44367</v>
      </c>
      <c r="G1095" s="7">
        <v>6</v>
      </c>
      <c r="H1095" s="3">
        <f>_xlfn.XLOOKUP(Vendas[[#This Row],[ID Item Vendido]],Agregado[ID],Agregado[Revenda])</f>
        <v>119</v>
      </c>
      <c r="I1095" s="3">
        <f>Vendas[[#This Row],[Valor Unitário]]*Vendas[[#This Row],[Qnt Vendida]]</f>
        <v>714</v>
      </c>
      <c r="J1095" s="3">
        <f>Vendas[[#This Row],[Valor da Venda]]-(_xlfn.XLOOKUP(Vendas[[#This Row],[ID Item Vendido]],Agregado[ID],Agregado[Custo])*Vendas[[#This Row],[Qnt Vendida]])</f>
        <v>204</v>
      </c>
      <c r="K1095" s="70">
        <f>Vendas[[#This Row],[Lucro da Venda]]/Vendas[[#This Row],[Valor da Venda]]</f>
        <v>0.2857142857142857</v>
      </c>
      <c r="L1095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1095"/>
    </row>
    <row r="1096" spans="1:13" x14ac:dyDescent="0.3">
      <c r="A1096" s="7">
        <v>400249</v>
      </c>
      <c r="B1096" t="str">
        <f>_xlfn.XLOOKUP(Vendas[[#This Row],[ID Vendedor]],Vendedores[ID],Vendedores[Nome])</f>
        <v>Bruno</v>
      </c>
      <c r="C1096" s="7" t="str">
        <f>_xlfn.XLOOKUP(Vendas[[#This Row],[ID Vendedor]],Vendedores[ID],Vendedores[Setor])</f>
        <v>CM</v>
      </c>
      <c r="D1096" s="7" t="s">
        <v>45</v>
      </c>
      <c r="E1096" t="str">
        <f>_xlfn.XLOOKUP(Vendas[[#This Row],[ID Item Vendido]],Agregado[ID],Agregado[Produto])</f>
        <v>Viga de madeira tratada 4m</v>
      </c>
      <c r="F1096" s="39">
        <v>44367</v>
      </c>
      <c r="G1096" s="7">
        <v>10</v>
      </c>
      <c r="H1096" s="3">
        <f>_xlfn.XLOOKUP(Vendas[[#This Row],[ID Item Vendido]],Agregado[ID],Agregado[Revenda])</f>
        <v>66</v>
      </c>
      <c r="I1096" s="3">
        <f>Vendas[[#This Row],[Valor Unitário]]*Vendas[[#This Row],[Qnt Vendida]]</f>
        <v>660</v>
      </c>
      <c r="J1096" s="3">
        <f>Vendas[[#This Row],[Valor da Venda]]-(_xlfn.XLOOKUP(Vendas[[#This Row],[ID Item Vendido]],Agregado[ID],Agregado[Custo])*Vendas[[#This Row],[Qnt Vendida]])</f>
        <v>110</v>
      </c>
      <c r="K1096" s="70">
        <f>Vendas[[#This Row],[Lucro da Venda]]/Vendas[[#This Row],[Valor da Venda]]</f>
        <v>0.16666666666666666</v>
      </c>
      <c r="L1096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1096"/>
    </row>
    <row r="1097" spans="1:13" x14ac:dyDescent="0.3">
      <c r="A1097" s="7">
        <v>400250</v>
      </c>
      <c r="B1097" t="str">
        <f>_xlfn.XLOOKUP(Vendas[[#This Row],[ID Vendedor]],Vendedores[ID],Vendedores[Nome])</f>
        <v>Larissa</v>
      </c>
      <c r="C1097" s="7" t="str">
        <f>_xlfn.XLOOKUP(Vendas[[#This Row],[ID Vendedor]],Vendedores[ID],Vendedores[Setor])</f>
        <v>AB</v>
      </c>
      <c r="D1097" s="7" t="s">
        <v>24</v>
      </c>
      <c r="E1097" t="str">
        <f>_xlfn.XLOOKUP(Vendas[[#This Row],[ID Item Vendido]],Agregado[ID],Agregado[Produto])</f>
        <v>Resina plástica PET purificada saco de 25kg</v>
      </c>
      <c r="F1097" s="39">
        <v>44368</v>
      </c>
      <c r="G1097" s="7">
        <v>11</v>
      </c>
      <c r="H1097" s="3">
        <f>_xlfn.XLOOKUP(Vendas[[#This Row],[ID Item Vendido]],Agregado[ID],Agregado[Revenda])</f>
        <v>119</v>
      </c>
      <c r="I1097" s="3">
        <f>Vendas[[#This Row],[Valor Unitário]]*Vendas[[#This Row],[Qnt Vendida]]</f>
        <v>1309</v>
      </c>
      <c r="J1097" s="3">
        <f>Vendas[[#This Row],[Valor da Venda]]-(_xlfn.XLOOKUP(Vendas[[#This Row],[ID Item Vendido]],Agregado[ID],Agregado[Custo])*Vendas[[#This Row],[Qnt Vendida]])</f>
        <v>374</v>
      </c>
      <c r="K1097" s="70">
        <f>Vendas[[#This Row],[Lucro da Venda]]/Vendas[[#This Row],[Valor da Venda]]</f>
        <v>0.2857142857142857</v>
      </c>
      <c r="L1097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1097"/>
    </row>
    <row r="1098" spans="1:13" x14ac:dyDescent="0.3">
      <c r="A1098" s="7">
        <v>400250</v>
      </c>
      <c r="B1098" t="str">
        <f>_xlfn.XLOOKUP(Vendas[[#This Row],[ID Vendedor]],Vendedores[ID],Vendedores[Nome])</f>
        <v>Larissa</v>
      </c>
      <c r="C1098" s="7" t="str">
        <f>_xlfn.XLOOKUP(Vendas[[#This Row],[ID Vendedor]],Vendedores[ID],Vendedores[Setor])</f>
        <v>AB</v>
      </c>
      <c r="D1098" s="7" t="s">
        <v>37</v>
      </c>
      <c r="E1098" t="str">
        <f>_xlfn.XLOOKUP(Vendas[[#This Row],[ID Item Vendido]],Agregado[ID],Agregado[Produto])</f>
        <v>Composto de borracha para vedação rolo 10m</v>
      </c>
      <c r="F1098" s="39">
        <v>44370</v>
      </c>
      <c r="G1098" s="7">
        <v>18</v>
      </c>
      <c r="H1098" s="3">
        <f>_xlfn.XLOOKUP(Vendas[[#This Row],[ID Item Vendido]],Agregado[ID],Agregado[Revenda])</f>
        <v>51.2</v>
      </c>
      <c r="I1098" s="3">
        <f>Vendas[[#This Row],[Valor Unitário]]*Vendas[[#This Row],[Qnt Vendida]]</f>
        <v>921.6</v>
      </c>
      <c r="J1098" s="3">
        <f>Vendas[[#This Row],[Valor da Venda]]-(_xlfn.XLOOKUP(Vendas[[#This Row],[ID Item Vendido]],Agregado[ID],Agregado[Custo])*Vendas[[#This Row],[Qnt Vendida]])</f>
        <v>201.60000000000002</v>
      </c>
      <c r="K1098" s="70">
        <f>Vendas[[#This Row],[Lucro da Venda]]/Vendas[[#This Row],[Valor da Venda]]</f>
        <v>0.21875000000000003</v>
      </c>
      <c r="L1098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1098"/>
    </row>
    <row r="1099" spans="1:13" x14ac:dyDescent="0.3">
      <c r="A1099" s="7">
        <v>400243</v>
      </c>
      <c r="B1099" t="str">
        <f>_xlfn.XLOOKUP(Vendas[[#This Row],[ID Vendedor]],Vendedores[ID],Vendedores[Nome])</f>
        <v>Marcelo</v>
      </c>
      <c r="C1099" s="7" t="str">
        <f>_xlfn.XLOOKUP(Vendas[[#This Row],[ID Vendedor]],Vendedores[ID],Vendedores[Setor])</f>
        <v>FM</v>
      </c>
      <c r="D1099" s="7" t="s">
        <v>31</v>
      </c>
      <c r="E1099" t="str">
        <f>_xlfn.XLOOKUP(Vendas[[#This Row],[ID Item Vendido]],Agregado[ID],Agregado[Produto])</f>
        <v>Tela de metal soldada rolo 2x25m</v>
      </c>
      <c r="F1099" s="39">
        <v>44370</v>
      </c>
      <c r="G1099" s="7">
        <v>20</v>
      </c>
      <c r="H1099" s="3">
        <f>_xlfn.XLOOKUP(Vendas[[#This Row],[ID Item Vendido]],Agregado[ID],Agregado[Revenda])</f>
        <v>43.7</v>
      </c>
      <c r="I1099" s="3">
        <f>Vendas[[#This Row],[Valor Unitário]]*Vendas[[#This Row],[Qnt Vendida]]</f>
        <v>874</v>
      </c>
      <c r="J1099" s="3">
        <f>Vendas[[#This Row],[Valor da Venda]]-(_xlfn.XLOOKUP(Vendas[[#This Row],[ID Item Vendido]],Agregado[ID],Agregado[Custo])*Vendas[[#This Row],[Qnt Vendida]])</f>
        <v>114</v>
      </c>
      <c r="K1099" s="70">
        <f>Vendas[[#This Row],[Lucro da Venda]]/Vendas[[#This Row],[Valor da Venda]]</f>
        <v>0.13043478260869565</v>
      </c>
      <c r="L1099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1099"/>
    </row>
    <row r="1100" spans="1:13" x14ac:dyDescent="0.3">
      <c r="A1100" s="7">
        <v>400243</v>
      </c>
      <c r="B1100" t="str">
        <f>_xlfn.XLOOKUP(Vendas[[#This Row],[ID Vendedor]],Vendedores[ID],Vendedores[Nome])</f>
        <v>Marcelo</v>
      </c>
      <c r="C1100" s="7" t="str">
        <f>_xlfn.XLOOKUP(Vendas[[#This Row],[ID Vendedor]],Vendedores[ID],Vendedores[Setor])</f>
        <v>FM</v>
      </c>
      <c r="D1100" s="7" t="s">
        <v>20</v>
      </c>
      <c r="E1100" t="str">
        <f>_xlfn.XLOOKUP(Vendas[[#This Row],[ID Item Vendido]],Agregado[ID],Agregado[Produto])</f>
        <v>Barra de aço simples</v>
      </c>
      <c r="F1100" s="39">
        <v>44370</v>
      </c>
      <c r="G1100" s="7">
        <v>182</v>
      </c>
      <c r="H1100" s="3">
        <f>_xlfn.XLOOKUP(Vendas[[#This Row],[ID Item Vendido]],Agregado[ID],Agregado[Revenda])</f>
        <v>4.8</v>
      </c>
      <c r="I1100" s="3">
        <f>Vendas[[#This Row],[Valor Unitário]]*Vendas[[#This Row],[Qnt Vendida]]</f>
        <v>873.6</v>
      </c>
      <c r="J1100" s="3">
        <f>Vendas[[#This Row],[Valor da Venda]]-(_xlfn.XLOOKUP(Vendas[[#This Row],[ID Item Vendido]],Agregado[ID],Agregado[Custo])*Vendas[[#This Row],[Qnt Vendida]])</f>
        <v>109.20000000000005</v>
      </c>
      <c r="K1100" s="70">
        <f>Vendas[[#This Row],[Lucro da Venda]]/Vendas[[#This Row],[Valor da Venda]]</f>
        <v>0.12500000000000006</v>
      </c>
      <c r="L1100" s="3">
        <f>_xlfn.IFS(Vendas[[#This Row],[Margem de Lucro (%)]]&lt;15%,Vendas[[#This Row],[Valor da Venda]]*3%,Vendas[[#This Row],[Margem de Lucro (%)]]&lt;=20%,Vendas[[#This Row],[Valor da Venda]]*4.5%,TRUE,Vendas[[#This Row],[Valor da Venda]]*6%)</f>
        <v>26.207999999999998</v>
      </c>
      <c r="M1100"/>
    </row>
    <row r="1101" spans="1:13" x14ac:dyDescent="0.3">
      <c r="A1101" s="7">
        <v>400245</v>
      </c>
      <c r="B1101" t="str">
        <f>_xlfn.XLOOKUP(Vendas[[#This Row],[ID Vendedor]],Vendedores[ID],Vendedores[Nome])</f>
        <v>Thiago</v>
      </c>
      <c r="C1101" s="7" t="str">
        <f>_xlfn.XLOOKUP(Vendas[[#This Row],[ID Vendedor]],Vendedores[ID],Vendedores[Setor])</f>
        <v>AHD</v>
      </c>
      <c r="D1101" s="7" t="s">
        <v>18</v>
      </c>
      <c r="E1101" t="str">
        <f>_xlfn.XLOOKUP(Vendas[[#This Row],[ID Item Vendido]],Agregado[ID],Agregado[Produto])</f>
        <v>Peça forjada sob encomenda</v>
      </c>
      <c r="F1101" s="39">
        <v>44371</v>
      </c>
      <c r="G1101" s="7">
        <v>5</v>
      </c>
      <c r="H1101" s="3">
        <f>_xlfn.XLOOKUP(Vendas[[#This Row],[ID Item Vendido]],Agregado[ID],Agregado[Revenda])</f>
        <v>264.60000000000002</v>
      </c>
      <c r="I1101" s="3">
        <f>Vendas[[#This Row],[Valor Unitário]]*Vendas[[#This Row],[Qnt Vendida]]</f>
        <v>1323</v>
      </c>
      <c r="J1101" s="3">
        <f>Vendas[[#This Row],[Valor da Venda]]-(_xlfn.XLOOKUP(Vendas[[#This Row],[ID Item Vendido]],Agregado[ID],Agregado[Custo])*Vendas[[#This Row],[Qnt Vendida]])</f>
        <v>73</v>
      </c>
      <c r="K1101" s="70">
        <f>Vendas[[#This Row],[Lucro da Venda]]/Vendas[[#This Row],[Valor da Venda]]</f>
        <v>5.5177626606198037E-2</v>
      </c>
      <c r="L110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101"/>
    </row>
    <row r="1102" spans="1:13" x14ac:dyDescent="0.3">
      <c r="A1102" s="7">
        <v>400250</v>
      </c>
      <c r="B1102" t="str">
        <f>_xlfn.XLOOKUP(Vendas[[#This Row],[ID Vendedor]],Vendedores[ID],Vendedores[Nome])</f>
        <v>Larissa</v>
      </c>
      <c r="C1102" s="7" t="str">
        <f>_xlfn.XLOOKUP(Vendas[[#This Row],[ID Vendedor]],Vendedores[ID],Vendedores[Setor])</f>
        <v>AB</v>
      </c>
      <c r="D1102" s="7" t="s">
        <v>37</v>
      </c>
      <c r="E1102" t="str">
        <f>_xlfn.XLOOKUP(Vendas[[#This Row],[ID Item Vendido]],Agregado[ID],Agregado[Produto])</f>
        <v>Composto de borracha para vedação rolo 10m</v>
      </c>
      <c r="F1102" s="39">
        <v>44371</v>
      </c>
      <c r="G1102" s="7">
        <v>23</v>
      </c>
      <c r="H1102" s="3">
        <f>_xlfn.XLOOKUP(Vendas[[#This Row],[ID Item Vendido]],Agregado[ID],Agregado[Revenda])</f>
        <v>51.2</v>
      </c>
      <c r="I1102" s="3">
        <f>Vendas[[#This Row],[Valor Unitário]]*Vendas[[#This Row],[Qnt Vendida]]</f>
        <v>1177.6000000000001</v>
      </c>
      <c r="J1102" s="3">
        <f>Vendas[[#This Row],[Valor da Venda]]-(_xlfn.XLOOKUP(Vendas[[#This Row],[ID Item Vendido]],Agregado[ID],Agregado[Custo])*Vendas[[#This Row],[Qnt Vendida]])</f>
        <v>257.60000000000014</v>
      </c>
      <c r="K1102" s="70">
        <f>Vendas[[#This Row],[Lucro da Venda]]/Vendas[[#This Row],[Valor da Venda]]</f>
        <v>0.21875000000000008</v>
      </c>
      <c r="L1102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1102"/>
    </row>
    <row r="1103" spans="1:13" x14ac:dyDescent="0.3">
      <c r="A1103" s="7">
        <v>400245</v>
      </c>
      <c r="B1103" t="str">
        <f>_xlfn.XLOOKUP(Vendas[[#This Row],[ID Vendedor]],Vendedores[ID],Vendedores[Nome])</f>
        <v>Thiago</v>
      </c>
      <c r="C1103" s="7" t="str">
        <f>_xlfn.XLOOKUP(Vendas[[#This Row],[ID Vendedor]],Vendedores[ID],Vendedores[Setor])</f>
        <v>AHD</v>
      </c>
      <c r="D1103" s="7" t="s">
        <v>9</v>
      </c>
      <c r="E1103" t="str">
        <f>_xlfn.XLOOKUP(Vendas[[#This Row],[ID Item Vendido]],Agregado[ID],Agregado[Produto])</f>
        <v>Barra de aço simples</v>
      </c>
      <c r="F1103" s="39">
        <v>44371</v>
      </c>
      <c r="G1103" s="7">
        <v>107</v>
      </c>
      <c r="H1103" s="3">
        <f>_xlfn.XLOOKUP(Vendas[[#This Row],[ID Item Vendido]],Agregado[ID],Agregado[Revenda])</f>
        <v>6.7</v>
      </c>
      <c r="I1103" s="3">
        <f>Vendas[[#This Row],[Valor Unitário]]*Vendas[[#This Row],[Qnt Vendida]]</f>
        <v>716.9</v>
      </c>
      <c r="J1103" s="3">
        <f>Vendas[[#This Row],[Valor da Venda]]-(_xlfn.XLOOKUP(Vendas[[#This Row],[ID Item Vendido]],Agregado[ID],Agregado[Custo])*Vendas[[#This Row],[Qnt Vendida]])</f>
        <v>96.299999999999955</v>
      </c>
      <c r="K1103" s="70">
        <f>Vendas[[#This Row],[Lucro da Venda]]/Vendas[[#This Row],[Valor da Venda]]</f>
        <v>0.13432835820895517</v>
      </c>
      <c r="L1103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1103"/>
    </row>
    <row r="1104" spans="1:13" x14ac:dyDescent="0.3">
      <c r="A1104" s="7">
        <v>400251</v>
      </c>
      <c r="B1104" t="str">
        <f>_xlfn.XLOOKUP(Vendas[[#This Row],[ID Vendedor]],Vendedores[ID],Vendedores[Nome])</f>
        <v>Diego</v>
      </c>
      <c r="C1104" s="7" t="str">
        <f>_xlfn.XLOOKUP(Vendas[[#This Row],[ID Vendedor]],Vendedores[ID],Vendedores[Setor])</f>
        <v>AB</v>
      </c>
      <c r="D1104" s="7" t="s">
        <v>36</v>
      </c>
      <c r="E1104" t="str">
        <f>_xlfn.XLOOKUP(Vendas[[#This Row],[ID Item Vendido]],Agregado[ID],Agregado[Produto])</f>
        <v>Borracha vulcanizada em manta</v>
      </c>
      <c r="F1104" s="39">
        <v>44371</v>
      </c>
      <c r="G1104" s="7">
        <v>64</v>
      </c>
      <c r="H1104" s="3">
        <f>_xlfn.XLOOKUP(Vendas[[#This Row],[ID Item Vendido]],Agregado[ID],Agregado[Revenda])</f>
        <v>7.8</v>
      </c>
      <c r="I1104" s="3">
        <f>Vendas[[#This Row],[Valor Unitário]]*Vendas[[#This Row],[Qnt Vendida]]</f>
        <v>499.2</v>
      </c>
      <c r="J1104" s="3">
        <f>Vendas[[#This Row],[Valor da Venda]]-(_xlfn.XLOOKUP(Vendas[[#This Row],[ID Item Vendido]],Agregado[ID],Agregado[Custo])*Vendas[[#This Row],[Qnt Vendida]])</f>
        <v>115.19999999999999</v>
      </c>
      <c r="K1104" s="70">
        <f>Vendas[[#This Row],[Lucro da Venda]]/Vendas[[#This Row],[Valor da Venda]]</f>
        <v>0.23076923076923075</v>
      </c>
      <c r="L1104" s="3">
        <f>_xlfn.IFS(Vendas[[#This Row],[Margem de Lucro (%)]]&lt;15%,Vendas[[#This Row],[Valor da Venda]]*3%,Vendas[[#This Row],[Margem de Lucro (%)]]&lt;=20%,Vendas[[#This Row],[Valor da Venda]]*4.5%,TRUE,Vendas[[#This Row],[Valor da Venda]]*6%)</f>
        <v>29.951999999999998</v>
      </c>
      <c r="M1104"/>
    </row>
    <row r="1105" spans="1:13" x14ac:dyDescent="0.3">
      <c r="A1105" s="7">
        <v>400247</v>
      </c>
      <c r="B1105" t="str">
        <f>_xlfn.XLOOKUP(Vendas[[#This Row],[ID Vendedor]],Vendedores[ID],Vendedores[Nome])</f>
        <v>André</v>
      </c>
      <c r="C1105" s="7" t="str">
        <f>_xlfn.XLOOKUP(Vendas[[#This Row],[ID Vendedor]],Vendedores[ID],Vendedores[Setor])</f>
        <v>CM</v>
      </c>
      <c r="D1105" s="7" t="s">
        <v>32</v>
      </c>
      <c r="E1105" t="str">
        <f>_xlfn.XLOOKUP(Vendas[[#This Row],[ID Item Vendido]],Agregado[ID],Agregado[Produto])</f>
        <v>Tábua tratada e cortada 3m</v>
      </c>
      <c r="F1105" s="39">
        <v>44372</v>
      </c>
      <c r="G1105" s="7">
        <v>39</v>
      </c>
      <c r="H1105" s="3">
        <f>_xlfn.XLOOKUP(Vendas[[#This Row],[ID Item Vendido]],Agregado[ID],Agregado[Revenda])</f>
        <v>39</v>
      </c>
      <c r="I1105" s="3">
        <f>Vendas[[#This Row],[Valor Unitário]]*Vendas[[#This Row],[Qnt Vendida]]</f>
        <v>1521</v>
      </c>
      <c r="J1105" s="3">
        <f>Vendas[[#This Row],[Valor da Venda]]-(_xlfn.XLOOKUP(Vendas[[#This Row],[ID Item Vendido]],Agregado[ID],Agregado[Custo])*Vendas[[#This Row],[Qnt Vendida]])</f>
        <v>273</v>
      </c>
      <c r="K1105" s="70">
        <f>Vendas[[#This Row],[Lucro da Venda]]/Vendas[[#This Row],[Valor da Venda]]</f>
        <v>0.17948717948717949</v>
      </c>
      <c r="L1105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1105"/>
    </row>
    <row r="1106" spans="1:13" x14ac:dyDescent="0.3">
      <c r="A1106" s="7">
        <v>400244</v>
      </c>
      <c r="B1106" t="str">
        <f>_xlfn.XLOOKUP(Vendas[[#This Row],[ID Vendedor]],Vendedores[ID],Vendedores[Nome])</f>
        <v>Camila</v>
      </c>
      <c r="C1106" s="7" t="str">
        <f>_xlfn.XLOOKUP(Vendas[[#This Row],[ID Vendedor]],Vendedores[ID],Vendedores[Setor])</f>
        <v>AHD</v>
      </c>
      <c r="D1106" s="7" t="s">
        <v>9</v>
      </c>
      <c r="E1106" t="str">
        <f>_xlfn.XLOOKUP(Vendas[[#This Row],[ID Item Vendido]],Agregado[ID],Agregado[Produto])</f>
        <v>Barra de aço simples</v>
      </c>
      <c r="F1106" s="39">
        <v>44373</v>
      </c>
      <c r="G1106" s="7">
        <v>34</v>
      </c>
      <c r="H1106" s="3">
        <f>_xlfn.XLOOKUP(Vendas[[#This Row],[ID Item Vendido]],Agregado[ID],Agregado[Revenda])</f>
        <v>6.7</v>
      </c>
      <c r="I1106" s="3">
        <f>Vendas[[#This Row],[Valor Unitário]]*Vendas[[#This Row],[Qnt Vendida]]</f>
        <v>227.8</v>
      </c>
      <c r="J1106" s="3">
        <f>Vendas[[#This Row],[Valor da Venda]]-(_xlfn.XLOOKUP(Vendas[[#This Row],[ID Item Vendido]],Agregado[ID],Agregado[Custo])*Vendas[[#This Row],[Qnt Vendida]])</f>
        <v>30.600000000000023</v>
      </c>
      <c r="K1106" s="70">
        <f>Vendas[[#This Row],[Lucro da Venda]]/Vendas[[#This Row],[Valor da Venda]]</f>
        <v>0.13432835820895531</v>
      </c>
      <c r="L1106" s="3">
        <f>_xlfn.IFS(Vendas[[#This Row],[Margem de Lucro (%)]]&lt;15%,Vendas[[#This Row],[Valor da Venda]]*3%,Vendas[[#This Row],[Margem de Lucro (%)]]&lt;=20%,Vendas[[#This Row],[Valor da Venda]]*4.5%,TRUE,Vendas[[#This Row],[Valor da Venda]]*6%)</f>
        <v>6.8340000000000005</v>
      </c>
      <c r="M1106"/>
    </row>
    <row r="1107" spans="1:13" x14ac:dyDescent="0.3">
      <c r="A1107" s="7">
        <v>400247</v>
      </c>
      <c r="B1107" t="str">
        <f>_xlfn.XLOOKUP(Vendas[[#This Row],[ID Vendedor]],Vendedores[ID],Vendedores[Nome])</f>
        <v>André</v>
      </c>
      <c r="C1107" s="7" t="str">
        <f>_xlfn.XLOOKUP(Vendas[[#This Row],[ID Vendedor]],Vendedores[ID],Vendedores[Setor])</f>
        <v>CM</v>
      </c>
      <c r="D1107" s="7" t="s">
        <v>32</v>
      </c>
      <c r="E1107" t="str">
        <f>_xlfn.XLOOKUP(Vendas[[#This Row],[ID Item Vendido]],Agregado[ID],Agregado[Produto])</f>
        <v>Tábua tratada e cortada 3m</v>
      </c>
      <c r="F1107" s="39">
        <v>44375</v>
      </c>
      <c r="G1107" s="7">
        <v>36</v>
      </c>
      <c r="H1107" s="3">
        <f>_xlfn.XLOOKUP(Vendas[[#This Row],[ID Item Vendido]],Agregado[ID],Agregado[Revenda])</f>
        <v>39</v>
      </c>
      <c r="I1107" s="3">
        <f>Vendas[[#This Row],[Valor Unitário]]*Vendas[[#This Row],[Qnt Vendida]]</f>
        <v>1404</v>
      </c>
      <c r="J1107" s="3">
        <f>Vendas[[#This Row],[Valor da Venda]]-(_xlfn.XLOOKUP(Vendas[[#This Row],[ID Item Vendido]],Agregado[ID],Agregado[Custo])*Vendas[[#This Row],[Qnt Vendida]])</f>
        <v>252</v>
      </c>
      <c r="K1107" s="70">
        <f>Vendas[[#This Row],[Lucro da Venda]]/Vendas[[#This Row],[Valor da Venda]]</f>
        <v>0.17948717948717949</v>
      </c>
      <c r="L1107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1107"/>
    </row>
    <row r="1108" spans="1:13" x14ac:dyDescent="0.3">
      <c r="A1108" s="7">
        <v>400244</v>
      </c>
      <c r="B1108" t="str">
        <f>_xlfn.XLOOKUP(Vendas[[#This Row],[ID Vendedor]],Vendedores[ID],Vendedores[Nome])</f>
        <v>Camila</v>
      </c>
      <c r="C1108" s="7" t="str">
        <f>_xlfn.XLOOKUP(Vendas[[#This Row],[ID Vendedor]],Vendedores[ID],Vendedores[Setor])</f>
        <v>AHD</v>
      </c>
      <c r="D1108" s="7" t="s">
        <v>18</v>
      </c>
      <c r="E1108" t="str">
        <f>_xlfn.XLOOKUP(Vendas[[#This Row],[ID Item Vendido]],Agregado[ID],Agregado[Produto])</f>
        <v>Peça forjada sob encomenda</v>
      </c>
      <c r="F1108" s="39">
        <v>44376</v>
      </c>
      <c r="G1108" s="7">
        <v>2</v>
      </c>
      <c r="H1108" s="3">
        <f>_xlfn.XLOOKUP(Vendas[[#This Row],[ID Item Vendido]],Agregado[ID],Agregado[Revenda])</f>
        <v>264.60000000000002</v>
      </c>
      <c r="I1108" s="3">
        <f>Vendas[[#This Row],[Valor Unitário]]*Vendas[[#This Row],[Qnt Vendida]]</f>
        <v>529.20000000000005</v>
      </c>
      <c r="J1108" s="3">
        <f>Vendas[[#This Row],[Valor da Venda]]-(_xlfn.XLOOKUP(Vendas[[#This Row],[ID Item Vendido]],Agregado[ID],Agregado[Custo])*Vendas[[#This Row],[Qnt Vendida]])</f>
        <v>29.200000000000045</v>
      </c>
      <c r="K1108" s="70">
        <f>Vendas[[#This Row],[Lucro da Venda]]/Vendas[[#This Row],[Valor da Venda]]</f>
        <v>5.5177626606198113E-2</v>
      </c>
      <c r="L1108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108"/>
    </row>
    <row r="1109" spans="1:13" x14ac:dyDescent="0.3">
      <c r="A1109" s="7">
        <v>400243</v>
      </c>
      <c r="B1109" t="str">
        <f>_xlfn.XLOOKUP(Vendas[[#This Row],[ID Vendedor]],Vendedores[ID],Vendedores[Nome])</f>
        <v>Marcelo</v>
      </c>
      <c r="C1109" s="7" t="str">
        <f>_xlfn.XLOOKUP(Vendas[[#This Row],[ID Vendedor]],Vendedores[ID],Vendedores[Setor])</f>
        <v>FM</v>
      </c>
      <c r="D1109" s="7" t="s">
        <v>27</v>
      </c>
      <c r="E1109" t="str">
        <f>_xlfn.XLOOKUP(Vendas[[#This Row],[ID Item Vendido]],Agregado[ID],Agregado[Produto])</f>
        <v>Chapa de metal lisa 1x2m</v>
      </c>
      <c r="F1109" s="39">
        <v>44377</v>
      </c>
      <c r="G1109" s="7">
        <v>30</v>
      </c>
      <c r="H1109" s="3">
        <f>_xlfn.XLOOKUP(Vendas[[#This Row],[ID Item Vendido]],Agregado[ID],Agregado[Revenda])</f>
        <v>52</v>
      </c>
      <c r="I1109" s="3">
        <f>Vendas[[#This Row],[Valor Unitário]]*Vendas[[#This Row],[Qnt Vendida]]</f>
        <v>1560</v>
      </c>
      <c r="J1109" s="3">
        <f>Vendas[[#This Row],[Valor da Venda]]-(_xlfn.XLOOKUP(Vendas[[#This Row],[ID Item Vendido]],Agregado[ID],Agregado[Custo])*Vendas[[#This Row],[Qnt Vendida]])</f>
        <v>210</v>
      </c>
      <c r="K1109" s="70">
        <f>Vendas[[#This Row],[Lucro da Venda]]/Vendas[[#This Row],[Valor da Venda]]</f>
        <v>0.13461538461538461</v>
      </c>
      <c r="L1109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1109"/>
    </row>
    <row r="1110" spans="1:13" x14ac:dyDescent="0.3">
      <c r="A1110" s="7">
        <v>400247</v>
      </c>
      <c r="B1110" t="str">
        <f>_xlfn.XLOOKUP(Vendas[[#This Row],[ID Vendedor]],Vendedores[ID],Vendedores[Nome])</f>
        <v>André</v>
      </c>
      <c r="C1110" s="7" t="str">
        <f>_xlfn.XLOOKUP(Vendas[[#This Row],[ID Vendedor]],Vendedores[ID],Vendedores[Setor])</f>
        <v>CM</v>
      </c>
      <c r="D1110" s="7" t="s">
        <v>22</v>
      </c>
      <c r="E1110" t="str">
        <f>_xlfn.XLOOKUP(Vendas[[#This Row],[ID Item Vendido]],Agregado[ID],Agregado[Produto])</f>
        <v>Painel MDP 2,75x1,83m</v>
      </c>
      <c r="F1110" s="39">
        <v>44378</v>
      </c>
      <c r="G1110" s="7">
        <v>20</v>
      </c>
      <c r="H1110" s="3">
        <f>_xlfn.XLOOKUP(Vendas[[#This Row],[ID Item Vendido]],Agregado[ID],Agregado[Revenda])</f>
        <v>119</v>
      </c>
      <c r="I1110" s="3">
        <f>Vendas[[#This Row],[Valor Unitário]]*Vendas[[#This Row],[Qnt Vendida]]</f>
        <v>2380</v>
      </c>
      <c r="J1110" s="3">
        <f>Vendas[[#This Row],[Valor da Venda]]-(_xlfn.XLOOKUP(Vendas[[#This Row],[ID Item Vendido]],Agregado[ID],Agregado[Custo])*Vendas[[#This Row],[Qnt Vendida]])</f>
        <v>480</v>
      </c>
      <c r="K1110" s="70">
        <f>Vendas[[#This Row],[Lucro da Venda]]/Vendas[[#This Row],[Valor da Venda]]</f>
        <v>0.20168067226890757</v>
      </c>
      <c r="L1110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1110"/>
    </row>
    <row r="1111" spans="1:13" x14ac:dyDescent="0.3">
      <c r="A1111" s="7">
        <v>400249</v>
      </c>
      <c r="B1111" t="str">
        <f>_xlfn.XLOOKUP(Vendas[[#This Row],[ID Vendedor]],Vendedores[ID],Vendedores[Nome])</f>
        <v>Bruno</v>
      </c>
      <c r="C1111" s="7" t="str">
        <f>_xlfn.XLOOKUP(Vendas[[#This Row],[ID Vendedor]],Vendedores[ID],Vendedores[Setor])</f>
        <v>CM</v>
      </c>
      <c r="D1111" s="7" t="s">
        <v>43</v>
      </c>
      <c r="E1111" t="str">
        <f>_xlfn.XLOOKUP(Vendas[[#This Row],[ID Item Vendido]],Agregado[ID],Agregado[Produto])</f>
        <v>Madeira Bruta (Tora)</v>
      </c>
      <c r="F1111" s="39">
        <v>44378</v>
      </c>
      <c r="G1111" s="7">
        <v>9</v>
      </c>
      <c r="H1111" s="3">
        <f>_xlfn.XLOOKUP(Vendas[[#This Row],[ID Item Vendido]],Agregado[ID],Agregado[Revenda])</f>
        <v>212</v>
      </c>
      <c r="I1111" s="3">
        <f>Vendas[[#This Row],[Valor Unitário]]*Vendas[[#This Row],[Qnt Vendida]]</f>
        <v>1908</v>
      </c>
      <c r="J1111" s="3">
        <f>Vendas[[#This Row],[Valor da Venda]]-(_xlfn.XLOOKUP(Vendas[[#This Row],[ID Item Vendido]],Agregado[ID],Agregado[Custo])*Vendas[[#This Row],[Qnt Vendida]])</f>
        <v>288</v>
      </c>
      <c r="K1111" s="70">
        <f>Vendas[[#This Row],[Lucro da Venda]]/Vendas[[#This Row],[Valor da Venda]]</f>
        <v>0.15094339622641509</v>
      </c>
      <c r="L1111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1111"/>
    </row>
    <row r="1112" spans="1:13" x14ac:dyDescent="0.3">
      <c r="A1112" s="7">
        <v>400244</v>
      </c>
      <c r="B1112" t="str">
        <f>_xlfn.XLOOKUP(Vendas[[#This Row],[ID Vendedor]],Vendedores[ID],Vendedores[Nome])</f>
        <v>Camila</v>
      </c>
      <c r="C1112" s="7" t="str">
        <f>_xlfn.XLOOKUP(Vendas[[#This Row],[ID Vendedor]],Vendedores[ID],Vendedores[Setor])</f>
        <v>AHD</v>
      </c>
      <c r="D1112" s="7" t="s">
        <v>44</v>
      </c>
      <c r="E1112" t="str">
        <f>_xlfn.XLOOKUP(Vendas[[#This Row],[ID Item Vendido]],Agregado[ID],Agregado[Produto])</f>
        <v>Liga metálica especial</v>
      </c>
      <c r="F1112" s="39">
        <v>44379</v>
      </c>
      <c r="G1112" s="7">
        <v>56</v>
      </c>
      <c r="H1112" s="3">
        <f>_xlfn.XLOOKUP(Vendas[[#This Row],[ID Item Vendido]],Agregado[ID],Agregado[Revenda])</f>
        <v>32.5</v>
      </c>
      <c r="I1112" s="3">
        <f>Vendas[[#This Row],[Valor Unitário]]*Vendas[[#This Row],[Qnt Vendida]]</f>
        <v>1820</v>
      </c>
      <c r="J1112" s="3">
        <f>Vendas[[#This Row],[Valor da Venda]]-(_xlfn.XLOOKUP(Vendas[[#This Row],[ID Item Vendido]],Agregado[ID],Agregado[Custo])*Vendas[[#This Row],[Qnt Vendida]])</f>
        <v>420</v>
      </c>
      <c r="K1112" s="70">
        <f>Vendas[[#This Row],[Lucro da Venda]]/Vendas[[#This Row],[Valor da Venda]]</f>
        <v>0.23076923076923078</v>
      </c>
      <c r="L1112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1112"/>
    </row>
    <row r="1113" spans="1:13" x14ac:dyDescent="0.3">
      <c r="A1113" s="7">
        <v>400247</v>
      </c>
      <c r="B1113" t="str">
        <f>_xlfn.XLOOKUP(Vendas[[#This Row],[ID Vendedor]],Vendedores[ID],Vendedores[Nome])</f>
        <v>André</v>
      </c>
      <c r="C1113" s="7" t="str">
        <f>_xlfn.XLOOKUP(Vendas[[#This Row],[ID Vendedor]],Vendedores[ID],Vendedores[Setor])</f>
        <v>CM</v>
      </c>
      <c r="D1113" s="7" t="s">
        <v>22</v>
      </c>
      <c r="E1113" t="str">
        <f>_xlfn.XLOOKUP(Vendas[[#This Row],[ID Item Vendido]],Agregado[ID],Agregado[Produto])</f>
        <v>Painel MDP 2,75x1,83m</v>
      </c>
      <c r="F1113" s="39">
        <v>44381</v>
      </c>
      <c r="G1113" s="7">
        <v>24</v>
      </c>
      <c r="H1113" s="3">
        <f>_xlfn.XLOOKUP(Vendas[[#This Row],[ID Item Vendido]],Agregado[ID],Agregado[Revenda])</f>
        <v>119</v>
      </c>
      <c r="I1113" s="3">
        <f>Vendas[[#This Row],[Valor Unitário]]*Vendas[[#This Row],[Qnt Vendida]]</f>
        <v>2856</v>
      </c>
      <c r="J1113" s="3">
        <f>Vendas[[#This Row],[Valor da Venda]]-(_xlfn.XLOOKUP(Vendas[[#This Row],[ID Item Vendido]],Agregado[ID],Agregado[Custo])*Vendas[[#This Row],[Qnt Vendida]])</f>
        <v>576</v>
      </c>
      <c r="K1113" s="70">
        <f>Vendas[[#This Row],[Lucro da Venda]]/Vendas[[#This Row],[Valor da Venda]]</f>
        <v>0.20168067226890757</v>
      </c>
      <c r="L1113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1113"/>
    </row>
    <row r="1114" spans="1:13" x14ac:dyDescent="0.3">
      <c r="A1114" s="7">
        <v>400243</v>
      </c>
      <c r="B1114" t="str">
        <f>_xlfn.XLOOKUP(Vendas[[#This Row],[ID Vendedor]],Vendedores[ID],Vendedores[Nome])</f>
        <v>Marcelo</v>
      </c>
      <c r="C1114" s="7" t="str">
        <f>_xlfn.XLOOKUP(Vendas[[#This Row],[ID Vendedor]],Vendedores[ID],Vendedores[Setor])</f>
        <v>FM</v>
      </c>
      <c r="D1114" s="7" t="s">
        <v>31</v>
      </c>
      <c r="E1114" t="str">
        <f>_xlfn.XLOOKUP(Vendas[[#This Row],[ID Item Vendido]],Agregado[ID],Agregado[Produto])</f>
        <v>Tela de metal soldada rolo 2x25m</v>
      </c>
      <c r="F1114" s="39">
        <v>44381</v>
      </c>
      <c r="G1114" s="7">
        <v>16</v>
      </c>
      <c r="H1114" s="3">
        <f>_xlfn.XLOOKUP(Vendas[[#This Row],[ID Item Vendido]],Agregado[ID],Agregado[Revenda])</f>
        <v>43.7</v>
      </c>
      <c r="I1114" s="3">
        <f>Vendas[[#This Row],[Valor Unitário]]*Vendas[[#This Row],[Qnt Vendida]]</f>
        <v>699.2</v>
      </c>
      <c r="J1114" s="3">
        <f>Vendas[[#This Row],[Valor da Venda]]-(_xlfn.XLOOKUP(Vendas[[#This Row],[ID Item Vendido]],Agregado[ID],Agregado[Custo])*Vendas[[#This Row],[Qnt Vendida]])</f>
        <v>91.200000000000045</v>
      </c>
      <c r="K1114" s="70">
        <f>Vendas[[#This Row],[Lucro da Venda]]/Vendas[[#This Row],[Valor da Venda]]</f>
        <v>0.1304347826086957</v>
      </c>
      <c r="L1114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1114"/>
    </row>
    <row r="1115" spans="1:13" x14ac:dyDescent="0.3">
      <c r="A1115" s="7">
        <v>400249</v>
      </c>
      <c r="B1115" t="str">
        <f>_xlfn.XLOOKUP(Vendas[[#This Row],[ID Vendedor]],Vendedores[ID],Vendedores[Nome])</f>
        <v>Bruno</v>
      </c>
      <c r="C1115" s="7" t="str">
        <f>_xlfn.XLOOKUP(Vendas[[#This Row],[ID Vendedor]],Vendedores[ID],Vendedores[Setor])</f>
        <v>CM</v>
      </c>
      <c r="D1115" s="7" t="s">
        <v>43</v>
      </c>
      <c r="E1115" t="str">
        <f>_xlfn.XLOOKUP(Vendas[[#This Row],[ID Item Vendido]],Agregado[ID],Agregado[Produto])</f>
        <v>Madeira Bruta (Tora)</v>
      </c>
      <c r="F1115" s="39">
        <v>44381</v>
      </c>
      <c r="G1115" s="7">
        <v>1</v>
      </c>
      <c r="H1115" s="3">
        <f>_xlfn.XLOOKUP(Vendas[[#This Row],[ID Item Vendido]],Agregado[ID],Agregado[Revenda])</f>
        <v>212</v>
      </c>
      <c r="I1115" s="3">
        <f>Vendas[[#This Row],[Valor Unitário]]*Vendas[[#This Row],[Qnt Vendida]]</f>
        <v>212</v>
      </c>
      <c r="J1115" s="3">
        <f>Vendas[[#This Row],[Valor da Venda]]-(_xlfn.XLOOKUP(Vendas[[#This Row],[ID Item Vendido]],Agregado[ID],Agregado[Custo])*Vendas[[#This Row],[Qnt Vendida]])</f>
        <v>32</v>
      </c>
      <c r="K1115" s="70">
        <f>Vendas[[#This Row],[Lucro da Venda]]/Vendas[[#This Row],[Valor da Venda]]</f>
        <v>0.15094339622641509</v>
      </c>
      <c r="L1115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115"/>
    </row>
    <row r="1116" spans="1:13" x14ac:dyDescent="0.3">
      <c r="A1116" s="7">
        <v>400244</v>
      </c>
      <c r="B1116" t="str">
        <f>_xlfn.XLOOKUP(Vendas[[#This Row],[ID Vendedor]],Vendedores[ID],Vendedores[Nome])</f>
        <v>Camila</v>
      </c>
      <c r="C1116" s="7" t="str">
        <f>_xlfn.XLOOKUP(Vendas[[#This Row],[ID Vendedor]],Vendedores[ID],Vendedores[Setor])</f>
        <v>AHD</v>
      </c>
      <c r="D1116" s="7" t="s">
        <v>18</v>
      </c>
      <c r="E1116" t="str">
        <f>_xlfn.XLOOKUP(Vendas[[#This Row],[ID Item Vendido]],Agregado[ID],Agregado[Produto])</f>
        <v>Peça forjada sob encomenda</v>
      </c>
      <c r="F1116" s="39">
        <v>44383</v>
      </c>
      <c r="G1116" s="7">
        <v>1</v>
      </c>
      <c r="H1116" s="3">
        <f>_xlfn.XLOOKUP(Vendas[[#This Row],[ID Item Vendido]],Agregado[ID],Agregado[Revenda])</f>
        <v>264.60000000000002</v>
      </c>
      <c r="I1116" s="3">
        <f>Vendas[[#This Row],[Valor Unitário]]*Vendas[[#This Row],[Qnt Vendida]]</f>
        <v>264.60000000000002</v>
      </c>
      <c r="J1116" s="3">
        <f>Vendas[[#This Row],[Valor da Venda]]-(_xlfn.XLOOKUP(Vendas[[#This Row],[ID Item Vendido]],Agregado[ID],Agregado[Custo])*Vendas[[#This Row],[Qnt Vendida]])</f>
        <v>14.600000000000023</v>
      </c>
      <c r="K1116" s="70">
        <f>Vendas[[#This Row],[Lucro da Venda]]/Vendas[[#This Row],[Valor da Venda]]</f>
        <v>5.5177626606198113E-2</v>
      </c>
      <c r="L1116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116"/>
    </row>
    <row r="1117" spans="1:13" x14ac:dyDescent="0.3">
      <c r="A1117" s="7">
        <v>400241</v>
      </c>
      <c r="B1117" t="str">
        <f>_xlfn.XLOOKUP(Vendas[[#This Row],[ID Vendedor]],Vendedores[ID],Vendedores[Nome])</f>
        <v>Rodrigo</v>
      </c>
      <c r="C1117" s="7" t="str">
        <f>_xlfn.XLOOKUP(Vendas[[#This Row],[ID Vendedor]],Vendedores[ID],Vendedores[Setor])</f>
        <v>FM</v>
      </c>
      <c r="D1117" s="7" t="s">
        <v>20</v>
      </c>
      <c r="E1117" t="str">
        <f>_xlfn.XLOOKUP(Vendas[[#This Row],[ID Item Vendido]],Agregado[ID],Agregado[Produto])</f>
        <v>Barra de aço simples</v>
      </c>
      <c r="F1117" s="39">
        <v>44386</v>
      </c>
      <c r="G1117" s="7">
        <v>166</v>
      </c>
      <c r="H1117" s="3">
        <f>_xlfn.XLOOKUP(Vendas[[#This Row],[ID Item Vendido]],Agregado[ID],Agregado[Revenda])</f>
        <v>4.8</v>
      </c>
      <c r="I1117" s="3">
        <f>Vendas[[#This Row],[Valor Unitário]]*Vendas[[#This Row],[Qnt Vendida]]</f>
        <v>796.8</v>
      </c>
      <c r="J1117" s="3">
        <f>Vendas[[#This Row],[Valor da Venda]]-(_xlfn.XLOOKUP(Vendas[[#This Row],[ID Item Vendido]],Agregado[ID],Agregado[Custo])*Vendas[[#This Row],[Qnt Vendida]])</f>
        <v>99.599999999999909</v>
      </c>
      <c r="K1117" s="70">
        <f>Vendas[[#This Row],[Lucro da Venda]]/Vendas[[#This Row],[Valor da Venda]]</f>
        <v>0.12499999999999989</v>
      </c>
      <c r="L1117" s="3">
        <f>_xlfn.IFS(Vendas[[#This Row],[Margem de Lucro (%)]]&lt;15%,Vendas[[#This Row],[Valor da Venda]]*3%,Vendas[[#This Row],[Margem de Lucro (%)]]&lt;=20%,Vendas[[#This Row],[Valor da Venda]]*4.5%,TRUE,Vendas[[#This Row],[Valor da Venda]]*6%)</f>
        <v>23.903999999999996</v>
      </c>
      <c r="M1117"/>
    </row>
    <row r="1118" spans="1:13" x14ac:dyDescent="0.3">
      <c r="A1118" s="7">
        <v>400251</v>
      </c>
      <c r="B1118" t="str">
        <f>_xlfn.XLOOKUP(Vendas[[#This Row],[ID Vendedor]],Vendedores[ID],Vendedores[Nome])</f>
        <v>Diego</v>
      </c>
      <c r="C1118" s="7" t="str">
        <f>_xlfn.XLOOKUP(Vendas[[#This Row],[ID Vendedor]],Vendedores[ID],Vendedores[Setor])</f>
        <v>AB</v>
      </c>
      <c r="D1118" s="7" t="s">
        <v>39</v>
      </c>
      <c r="E1118" t="str">
        <f>_xlfn.XLOOKUP(Vendas[[#This Row],[ID Item Vendido]],Agregado[ID],Agregado[Produto])</f>
        <v>Filme plástico industrial rolo 50m</v>
      </c>
      <c r="F1118" s="39">
        <v>44389</v>
      </c>
      <c r="G1118" s="7">
        <v>16</v>
      </c>
      <c r="H1118" s="3">
        <f>_xlfn.XLOOKUP(Vendas[[#This Row],[ID Item Vendido]],Agregado[ID],Agregado[Revenda])</f>
        <v>37</v>
      </c>
      <c r="I1118" s="3">
        <f>Vendas[[#This Row],[Valor Unitário]]*Vendas[[#This Row],[Qnt Vendida]]</f>
        <v>592</v>
      </c>
      <c r="J1118" s="3">
        <f>Vendas[[#This Row],[Valor da Venda]]-(_xlfn.XLOOKUP(Vendas[[#This Row],[ID Item Vendido]],Agregado[ID],Agregado[Custo])*Vendas[[#This Row],[Qnt Vendida]])</f>
        <v>144</v>
      </c>
      <c r="K1118" s="70">
        <f>Vendas[[#This Row],[Lucro da Venda]]/Vendas[[#This Row],[Valor da Venda]]</f>
        <v>0.24324324324324326</v>
      </c>
      <c r="L1118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1118"/>
    </row>
    <row r="1119" spans="1:13" x14ac:dyDescent="0.3">
      <c r="A1119" s="7">
        <v>400241</v>
      </c>
      <c r="B1119" t="str">
        <f>_xlfn.XLOOKUP(Vendas[[#This Row],[ID Vendedor]],Vendedores[ID],Vendedores[Nome])</f>
        <v>Rodrigo</v>
      </c>
      <c r="C1119" s="7" t="str">
        <f>_xlfn.XLOOKUP(Vendas[[#This Row],[ID Vendedor]],Vendedores[ID],Vendedores[Setor])</f>
        <v>FM</v>
      </c>
      <c r="D1119" s="7" t="s">
        <v>47</v>
      </c>
      <c r="E1119" t="str">
        <f>_xlfn.XLOOKUP(Vendas[[#This Row],[ID Item Vendido]],Agregado[ID],Agregado[Produto])</f>
        <v>Fio de arame galvanizado rolo 50m</v>
      </c>
      <c r="F1119" s="39">
        <v>44389</v>
      </c>
      <c r="G1119" s="7">
        <v>22</v>
      </c>
      <c r="H1119" s="3">
        <f>_xlfn.XLOOKUP(Vendas[[#This Row],[ID Item Vendido]],Agregado[ID],Agregado[Revenda])</f>
        <v>21.2</v>
      </c>
      <c r="I1119" s="3">
        <f>Vendas[[#This Row],[Valor Unitário]]*Vendas[[#This Row],[Qnt Vendida]]</f>
        <v>466.4</v>
      </c>
      <c r="J1119" s="3">
        <f>Vendas[[#This Row],[Valor da Venda]]-(_xlfn.XLOOKUP(Vendas[[#This Row],[ID Item Vendido]],Agregado[ID],Agregado[Custo])*Vendas[[#This Row],[Qnt Vendida]])</f>
        <v>70.399999999999977</v>
      </c>
      <c r="K1119" s="70">
        <f>Vendas[[#This Row],[Lucro da Venda]]/Vendas[[#This Row],[Valor da Venda]]</f>
        <v>0.15094339622641506</v>
      </c>
      <c r="L1119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1119"/>
    </row>
    <row r="1120" spans="1:13" x14ac:dyDescent="0.3">
      <c r="A1120" s="7">
        <v>400253</v>
      </c>
      <c r="B1120" t="str">
        <f>_xlfn.XLOOKUP(Vendas[[#This Row],[ID Vendedor]],Vendedores[ID],Vendedores[Nome])</f>
        <v>Gustavo</v>
      </c>
      <c r="C1120" s="7" t="str">
        <f>_xlfn.XLOOKUP(Vendas[[#This Row],[ID Vendedor]],Vendedores[ID],Vendedores[Setor])</f>
        <v>SC</v>
      </c>
      <c r="D1120" s="7" t="s">
        <v>48</v>
      </c>
      <c r="E1120" t="str">
        <f>_xlfn.XLOOKUP(Vendas[[#This Row],[ID Item Vendido]],Agregado[ID],Agregado[Produto])</f>
        <v>Tambor metálico 200L</v>
      </c>
      <c r="F1120" s="39">
        <v>44390</v>
      </c>
      <c r="G1120" s="7">
        <v>18</v>
      </c>
      <c r="H1120" s="3">
        <f>_xlfn.XLOOKUP(Vendas[[#This Row],[ID Item Vendido]],Agregado[ID],Agregado[Revenda])</f>
        <v>144</v>
      </c>
      <c r="I1120" s="3">
        <f>Vendas[[#This Row],[Valor Unitário]]*Vendas[[#This Row],[Qnt Vendida]]</f>
        <v>2592</v>
      </c>
      <c r="J1120" s="3">
        <f>Vendas[[#This Row],[Valor da Venda]]-(_xlfn.XLOOKUP(Vendas[[#This Row],[ID Item Vendido]],Agregado[ID],Agregado[Custo])*Vendas[[#This Row],[Qnt Vendida]])</f>
        <v>432</v>
      </c>
      <c r="K1120" s="70">
        <f>Vendas[[#This Row],[Lucro da Venda]]/Vendas[[#This Row],[Valor da Venda]]</f>
        <v>0.16666666666666666</v>
      </c>
      <c r="L1120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1120"/>
    </row>
    <row r="1121" spans="1:13" x14ac:dyDescent="0.3">
      <c r="A1121" s="7">
        <v>400247</v>
      </c>
      <c r="B1121" t="str">
        <f>_xlfn.XLOOKUP(Vendas[[#This Row],[ID Vendedor]],Vendedores[ID],Vendedores[Nome])</f>
        <v>André</v>
      </c>
      <c r="C1121" s="7" t="str">
        <f>_xlfn.XLOOKUP(Vendas[[#This Row],[ID Vendedor]],Vendedores[ID],Vendedores[Setor])</f>
        <v>CM</v>
      </c>
      <c r="D1121" s="7" t="s">
        <v>22</v>
      </c>
      <c r="E1121" t="str">
        <f>_xlfn.XLOOKUP(Vendas[[#This Row],[ID Item Vendido]],Agregado[ID],Agregado[Produto])</f>
        <v>Painel MDP 2,75x1,83m</v>
      </c>
      <c r="F1121" s="39">
        <v>44391</v>
      </c>
      <c r="G1121" s="7">
        <v>10</v>
      </c>
      <c r="H1121" s="3">
        <f>_xlfn.XLOOKUP(Vendas[[#This Row],[ID Item Vendido]],Agregado[ID],Agregado[Revenda])</f>
        <v>119</v>
      </c>
      <c r="I1121" s="3">
        <f>Vendas[[#This Row],[Valor Unitário]]*Vendas[[#This Row],[Qnt Vendida]]</f>
        <v>1190</v>
      </c>
      <c r="J1121" s="3">
        <f>Vendas[[#This Row],[Valor da Venda]]-(_xlfn.XLOOKUP(Vendas[[#This Row],[ID Item Vendido]],Agregado[ID],Agregado[Custo])*Vendas[[#This Row],[Qnt Vendida]])</f>
        <v>240</v>
      </c>
      <c r="K1121" s="70">
        <f>Vendas[[#This Row],[Lucro da Venda]]/Vendas[[#This Row],[Valor da Venda]]</f>
        <v>0.20168067226890757</v>
      </c>
      <c r="L1121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121"/>
    </row>
    <row r="1122" spans="1:13" x14ac:dyDescent="0.3">
      <c r="A1122" s="7">
        <v>400250</v>
      </c>
      <c r="B1122" t="str">
        <f>_xlfn.XLOOKUP(Vendas[[#This Row],[ID Vendedor]],Vendedores[ID],Vendedores[Nome])</f>
        <v>Larissa</v>
      </c>
      <c r="C1122" s="7" t="str">
        <f>_xlfn.XLOOKUP(Vendas[[#This Row],[ID Vendedor]],Vendedores[ID],Vendedores[Setor])</f>
        <v>AB</v>
      </c>
      <c r="D1122" s="7" t="s">
        <v>37</v>
      </c>
      <c r="E1122" t="str">
        <f>_xlfn.XLOOKUP(Vendas[[#This Row],[ID Item Vendido]],Agregado[ID],Agregado[Produto])</f>
        <v>Composto de borracha para vedação rolo 10m</v>
      </c>
      <c r="F1122" s="39">
        <v>44391</v>
      </c>
      <c r="G1122" s="7">
        <v>16</v>
      </c>
      <c r="H1122" s="3">
        <f>_xlfn.XLOOKUP(Vendas[[#This Row],[ID Item Vendido]],Agregado[ID],Agregado[Revenda])</f>
        <v>51.2</v>
      </c>
      <c r="I1122" s="3">
        <f>Vendas[[#This Row],[Valor Unitário]]*Vendas[[#This Row],[Qnt Vendida]]</f>
        <v>819.2</v>
      </c>
      <c r="J1122" s="3">
        <f>Vendas[[#This Row],[Valor da Venda]]-(_xlfn.XLOOKUP(Vendas[[#This Row],[ID Item Vendido]],Agregado[ID],Agregado[Custo])*Vendas[[#This Row],[Qnt Vendida]])</f>
        <v>179.20000000000005</v>
      </c>
      <c r="K1122" s="70">
        <f>Vendas[[#This Row],[Lucro da Venda]]/Vendas[[#This Row],[Valor da Venda]]</f>
        <v>0.21875000000000006</v>
      </c>
      <c r="L1122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1122"/>
    </row>
    <row r="1123" spans="1:13" x14ac:dyDescent="0.3">
      <c r="A1123" s="7">
        <v>400245</v>
      </c>
      <c r="B1123" t="str">
        <f>_xlfn.XLOOKUP(Vendas[[#This Row],[ID Vendedor]],Vendedores[ID],Vendedores[Nome])</f>
        <v>Thiago</v>
      </c>
      <c r="C1123" s="7" t="str">
        <f>_xlfn.XLOOKUP(Vendas[[#This Row],[ID Vendedor]],Vendedores[ID],Vendedores[Setor])</f>
        <v>AHD</v>
      </c>
      <c r="D1123" s="7" t="s">
        <v>18</v>
      </c>
      <c r="E1123" t="str">
        <f>_xlfn.XLOOKUP(Vendas[[#This Row],[ID Item Vendido]],Agregado[ID],Agregado[Produto])</f>
        <v>Peça forjada sob encomenda</v>
      </c>
      <c r="F1123" s="39">
        <v>44392</v>
      </c>
      <c r="G1123" s="7">
        <v>2</v>
      </c>
      <c r="H1123" s="3">
        <f>_xlfn.XLOOKUP(Vendas[[#This Row],[ID Item Vendido]],Agregado[ID],Agregado[Revenda])</f>
        <v>264.60000000000002</v>
      </c>
      <c r="I1123" s="3">
        <f>Vendas[[#This Row],[Valor Unitário]]*Vendas[[#This Row],[Qnt Vendida]]</f>
        <v>529.20000000000005</v>
      </c>
      <c r="J1123" s="3">
        <f>Vendas[[#This Row],[Valor da Venda]]-(_xlfn.XLOOKUP(Vendas[[#This Row],[ID Item Vendido]],Agregado[ID],Agregado[Custo])*Vendas[[#This Row],[Qnt Vendida]])</f>
        <v>29.200000000000045</v>
      </c>
      <c r="K1123" s="70">
        <f>Vendas[[#This Row],[Lucro da Venda]]/Vendas[[#This Row],[Valor da Venda]]</f>
        <v>5.5177626606198113E-2</v>
      </c>
      <c r="L1123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123"/>
    </row>
    <row r="1124" spans="1:13" x14ac:dyDescent="0.3">
      <c r="A1124" s="7">
        <v>400241</v>
      </c>
      <c r="B1124" t="str">
        <f>_xlfn.XLOOKUP(Vendas[[#This Row],[ID Vendedor]],Vendedores[ID],Vendedores[Nome])</f>
        <v>Rodrigo</v>
      </c>
      <c r="C1124" s="7" t="str">
        <f>_xlfn.XLOOKUP(Vendas[[#This Row],[ID Vendedor]],Vendedores[ID],Vendedores[Setor])</f>
        <v>FM</v>
      </c>
      <c r="D1124" s="7" t="s">
        <v>31</v>
      </c>
      <c r="E1124" t="str">
        <f>_xlfn.XLOOKUP(Vendas[[#This Row],[ID Item Vendido]],Agregado[ID],Agregado[Produto])</f>
        <v>Tela de metal soldada rolo 2x25m</v>
      </c>
      <c r="F1124" s="39">
        <v>44392</v>
      </c>
      <c r="G1124" s="7">
        <v>14</v>
      </c>
      <c r="H1124" s="3">
        <f>_xlfn.XLOOKUP(Vendas[[#This Row],[ID Item Vendido]],Agregado[ID],Agregado[Revenda])</f>
        <v>43.7</v>
      </c>
      <c r="I1124" s="3">
        <f>Vendas[[#This Row],[Valor Unitário]]*Vendas[[#This Row],[Qnt Vendida]]</f>
        <v>611.80000000000007</v>
      </c>
      <c r="J1124" s="3">
        <f>Vendas[[#This Row],[Valor da Venda]]-(_xlfn.XLOOKUP(Vendas[[#This Row],[ID Item Vendido]],Agregado[ID],Agregado[Custo])*Vendas[[#This Row],[Qnt Vendida]])</f>
        <v>79.800000000000068</v>
      </c>
      <c r="K1124" s="70">
        <f>Vendas[[#This Row],[Lucro da Venda]]/Vendas[[#This Row],[Valor da Venda]]</f>
        <v>0.13043478260869576</v>
      </c>
      <c r="L1124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1124"/>
    </row>
    <row r="1125" spans="1:13" x14ac:dyDescent="0.3">
      <c r="A1125" s="7">
        <v>400247</v>
      </c>
      <c r="B1125" t="str">
        <f>_xlfn.XLOOKUP(Vendas[[#This Row],[ID Vendedor]],Vendedores[ID],Vendedores[Nome])</f>
        <v>André</v>
      </c>
      <c r="C1125" s="7" t="str">
        <f>_xlfn.XLOOKUP(Vendas[[#This Row],[ID Vendedor]],Vendedores[ID],Vendedores[Setor])</f>
        <v>CM</v>
      </c>
      <c r="D1125" s="7" t="s">
        <v>34</v>
      </c>
      <c r="E1125" t="str">
        <f>_xlfn.XLOOKUP(Vendas[[#This Row],[ID Item Vendido]],Agregado[ID],Agregado[Produto])</f>
        <v>Restos de madeira p/ MDP/OSB saco de 20kg</v>
      </c>
      <c r="F1125" s="39">
        <v>44392</v>
      </c>
      <c r="G1125" s="7">
        <v>19</v>
      </c>
      <c r="H1125" s="3">
        <f>_xlfn.XLOOKUP(Vendas[[#This Row],[ID Item Vendido]],Agregado[ID],Agregado[Revenda])</f>
        <v>13.8</v>
      </c>
      <c r="I1125" s="3">
        <f>Vendas[[#This Row],[Valor Unitário]]*Vendas[[#This Row],[Qnt Vendida]]</f>
        <v>262.2</v>
      </c>
      <c r="J1125" s="3">
        <f>Vendas[[#This Row],[Valor da Venda]]-(_xlfn.XLOOKUP(Vendas[[#This Row],[ID Item Vendido]],Agregado[ID],Agregado[Custo])*Vendas[[#This Row],[Qnt Vendida]])</f>
        <v>34.199999999999989</v>
      </c>
      <c r="K1125" s="70">
        <f>Vendas[[#This Row],[Lucro da Venda]]/Vendas[[#This Row],[Valor da Venda]]</f>
        <v>0.13043478260869562</v>
      </c>
      <c r="L1125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1125"/>
    </row>
    <row r="1126" spans="1:13" x14ac:dyDescent="0.3">
      <c r="A1126" s="7">
        <v>400247</v>
      </c>
      <c r="B1126" t="str">
        <f>_xlfn.XLOOKUP(Vendas[[#This Row],[ID Vendedor]],Vendedores[ID],Vendedores[Nome])</f>
        <v>André</v>
      </c>
      <c r="C1126" s="7" t="str">
        <f>_xlfn.XLOOKUP(Vendas[[#This Row],[ID Vendedor]],Vendedores[ID],Vendedores[Setor])</f>
        <v>CM</v>
      </c>
      <c r="D1126" s="7" t="s">
        <v>45</v>
      </c>
      <c r="E1126" t="str">
        <f>_xlfn.XLOOKUP(Vendas[[#This Row],[ID Item Vendido]],Agregado[ID],Agregado[Produto])</f>
        <v>Viga de madeira tratada 4m</v>
      </c>
      <c r="F1126" s="39">
        <v>44393</v>
      </c>
      <c r="G1126" s="7">
        <v>4</v>
      </c>
      <c r="H1126" s="3">
        <f>_xlfn.XLOOKUP(Vendas[[#This Row],[ID Item Vendido]],Agregado[ID],Agregado[Revenda])</f>
        <v>66</v>
      </c>
      <c r="I1126" s="3">
        <f>Vendas[[#This Row],[Valor Unitário]]*Vendas[[#This Row],[Qnt Vendida]]</f>
        <v>264</v>
      </c>
      <c r="J1126" s="3">
        <f>Vendas[[#This Row],[Valor da Venda]]-(_xlfn.XLOOKUP(Vendas[[#This Row],[ID Item Vendido]],Agregado[ID],Agregado[Custo])*Vendas[[#This Row],[Qnt Vendida]])</f>
        <v>44</v>
      </c>
      <c r="K1126" s="70">
        <f>Vendas[[#This Row],[Lucro da Venda]]/Vendas[[#This Row],[Valor da Venda]]</f>
        <v>0.16666666666666666</v>
      </c>
      <c r="L1126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1126"/>
    </row>
    <row r="1127" spans="1:13" x14ac:dyDescent="0.3">
      <c r="A1127" s="7">
        <v>400255</v>
      </c>
      <c r="B1127" t="str">
        <f>_xlfn.XLOOKUP(Vendas[[#This Row],[ID Vendedor]],Vendedores[ID],Vendedores[Nome])</f>
        <v>Carlos</v>
      </c>
      <c r="C1127" s="7" t="str">
        <f>_xlfn.XLOOKUP(Vendas[[#This Row],[ID Vendedor]],Vendedores[ID],Vendedores[Setor])</f>
        <v>SC</v>
      </c>
      <c r="D1127" s="7" t="s">
        <v>48</v>
      </c>
      <c r="E1127" t="str">
        <f>_xlfn.XLOOKUP(Vendas[[#This Row],[ID Item Vendido]],Agregado[ID],Agregado[Produto])</f>
        <v>Tambor metálico 200L</v>
      </c>
      <c r="F1127" s="39">
        <v>44394</v>
      </c>
      <c r="G1127" s="7">
        <v>13</v>
      </c>
      <c r="H1127" s="3">
        <f>_xlfn.XLOOKUP(Vendas[[#This Row],[ID Item Vendido]],Agregado[ID],Agregado[Revenda])</f>
        <v>144</v>
      </c>
      <c r="I1127" s="3">
        <f>Vendas[[#This Row],[Valor Unitário]]*Vendas[[#This Row],[Qnt Vendida]]</f>
        <v>1872</v>
      </c>
      <c r="J1127" s="3">
        <f>Vendas[[#This Row],[Valor da Venda]]-(_xlfn.XLOOKUP(Vendas[[#This Row],[ID Item Vendido]],Agregado[ID],Agregado[Custo])*Vendas[[#This Row],[Qnt Vendida]])</f>
        <v>312</v>
      </c>
      <c r="K1127" s="70">
        <f>Vendas[[#This Row],[Lucro da Venda]]/Vendas[[#This Row],[Valor da Venda]]</f>
        <v>0.16666666666666666</v>
      </c>
      <c r="L1127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1127"/>
    </row>
    <row r="1128" spans="1:13" x14ac:dyDescent="0.3">
      <c r="A1128" s="7">
        <v>400247</v>
      </c>
      <c r="B1128" t="str">
        <f>_xlfn.XLOOKUP(Vendas[[#This Row],[ID Vendedor]],Vendedores[ID],Vendedores[Nome])</f>
        <v>André</v>
      </c>
      <c r="C1128" s="7" t="str">
        <f>_xlfn.XLOOKUP(Vendas[[#This Row],[ID Vendedor]],Vendedores[ID],Vendedores[Setor])</f>
        <v>CM</v>
      </c>
      <c r="D1128" s="7" t="s">
        <v>43</v>
      </c>
      <c r="E1128" t="str">
        <f>_xlfn.XLOOKUP(Vendas[[#This Row],[ID Item Vendido]],Agregado[ID],Agregado[Produto])</f>
        <v>Madeira Bruta (Tora)</v>
      </c>
      <c r="F1128" s="39">
        <v>44394</v>
      </c>
      <c r="G1128" s="7">
        <v>6</v>
      </c>
      <c r="H1128" s="3">
        <f>_xlfn.XLOOKUP(Vendas[[#This Row],[ID Item Vendido]],Agregado[ID],Agregado[Revenda])</f>
        <v>212</v>
      </c>
      <c r="I1128" s="3">
        <f>Vendas[[#This Row],[Valor Unitário]]*Vendas[[#This Row],[Qnt Vendida]]</f>
        <v>1272</v>
      </c>
      <c r="J1128" s="3">
        <f>Vendas[[#This Row],[Valor da Venda]]-(_xlfn.XLOOKUP(Vendas[[#This Row],[ID Item Vendido]],Agregado[ID],Agregado[Custo])*Vendas[[#This Row],[Qnt Vendida]])</f>
        <v>192</v>
      </c>
      <c r="K1128" s="70">
        <f>Vendas[[#This Row],[Lucro da Venda]]/Vendas[[#This Row],[Valor da Venda]]</f>
        <v>0.15094339622641509</v>
      </c>
      <c r="L112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1128"/>
    </row>
    <row r="1129" spans="1:13" x14ac:dyDescent="0.3">
      <c r="A1129" s="7">
        <v>400253</v>
      </c>
      <c r="B1129" t="str">
        <f>_xlfn.XLOOKUP(Vendas[[#This Row],[ID Vendedor]],Vendedores[ID],Vendedores[Nome])</f>
        <v>Gustavo</v>
      </c>
      <c r="C1129" s="7" t="str">
        <f>_xlfn.XLOOKUP(Vendas[[#This Row],[ID Vendedor]],Vendedores[ID],Vendedores[Setor])</f>
        <v>SC</v>
      </c>
      <c r="D1129" s="7" t="s">
        <v>41</v>
      </c>
      <c r="E1129" t="str">
        <f>_xlfn.XLOOKUP(Vendas[[#This Row],[ID Item Vendido]],Agregado[ID],Agregado[Produto])</f>
        <v>Palete de madeira reforçado</v>
      </c>
      <c r="F1129" s="39">
        <v>44394</v>
      </c>
      <c r="G1129" s="7">
        <v>8</v>
      </c>
      <c r="H1129" s="3">
        <f>_xlfn.XLOOKUP(Vendas[[#This Row],[ID Item Vendido]],Agregado[ID],Agregado[Revenda])</f>
        <v>131</v>
      </c>
      <c r="I1129" s="3">
        <f>Vendas[[#This Row],[Valor Unitário]]*Vendas[[#This Row],[Qnt Vendida]]</f>
        <v>1048</v>
      </c>
      <c r="J1129" s="3">
        <f>Vendas[[#This Row],[Valor da Venda]]-(_xlfn.XLOOKUP(Vendas[[#This Row],[ID Item Vendido]],Agregado[ID],Agregado[Custo])*Vendas[[#This Row],[Qnt Vendida]])</f>
        <v>168</v>
      </c>
      <c r="K1129" s="70">
        <f>Vendas[[#This Row],[Lucro da Venda]]/Vendas[[#This Row],[Valor da Venda]]</f>
        <v>0.16030534351145037</v>
      </c>
      <c r="L1129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1129"/>
    </row>
    <row r="1130" spans="1:13" x14ac:dyDescent="0.3">
      <c r="A1130" s="7">
        <v>400250</v>
      </c>
      <c r="B1130" t="str">
        <f>_xlfn.XLOOKUP(Vendas[[#This Row],[ID Vendedor]],Vendedores[ID],Vendedores[Nome])</f>
        <v>Larissa</v>
      </c>
      <c r="C1130" s="7" t="str">
        <f>_xlfn.XLOOKUP(Vendas[[#This Row],[ID Vendedor]],Vendedores[ID],Vendedores[Setor])</f>
        <v>AB</v>
      </c>
      <c r="D1130" s="7" t="s">
        <v>36</v>
      </c>
      <c r="E1130" t="str">
        <f>_xlfn.XLOOKUP(Vendas[[#This Row],[ID Item Vendido]],Agregado[ID],Agregado[Produto])</f>
        <v>Borracha vulcanizada em manta</v>
      </c>
      <c r="F1130" s="39">
        <v>44394</v>
      </c>
      <c r="G1130" s="7">
        <v>62</v>
      </c>
      <c r="H1130" s="3">
        <f>_xlfn.XLOOKUP(Vendas[[#This Row],[ID Item Vendido]],Agregado[ID],Agregado[Revenda])</f>
        <v>7.8</v>
      </c>
      <c r="I1130" s="3">
        <f>Vendas[[#This Row],[Valor Unitário]]*Vendas[[#This Row],[Qnt Vendida]]</f>
        <v>483.59999999999997</v>
      </c>
      <c r="J1130" s="3">
        <f>Vendas[[#This Row],[Valor da Venda]]-(_xlfn.XLOOKUP(Vendas[[#This Row],[ID Item Vendido]],Agregado[ID],Agregado[Custo])*Vendas[[#This Row],[Qnt Vendida]])</f>
        <v>111.59999999999997</v>
      </c>
      <c r="K1130" s="70">
        <f>Vendas[[#This Row],[Lucro da Venda]]/Vendas[[#This Row],[Valor da Venda]]</f>
        <v>0.23076923076923073</v>
      </c>
      <c r="L1130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1130"/>
    </row>
    <row r="1131" spans="1:13" x14ac:dyDescent="0.3">
      <c r="A1131" s="7">
        <v>400253</v>
      </c>
      <c r="B1131" t="str">
        <f>_xlfn.XLOOKUP(Vendas[[#This Row],[ID Vendedor]],Vendedores[ID],Vendedores[Nome])</f>
        <v>Gustavo</v>
      </c>
      <c r="C1131" s="7" t="str">
        <f>_xlfn.XLOOKUP(Vendas[[#This Row],[ID Vendedor]],Vendedores[ID],Vendedores[Setor])</f>
        <v>SC</v>
      </c>
      <c r="D1131" s="7" t="s">
        <v>14</v>
      </c>
      <c r="E1131" t="str">
        <f>_xlfn.XLOOKUP(Vendas[[#This Row],[ID Item Vendido]],Agregado[ID],Agregado[Produto])</f>
        <v>Barril de plástico 200L</v>
      </c>
      <c r="F1131" s="39">
        <v>44396</v>
      </c>
      <c r="G1131" s="7">
        <v>16</v>
      </c>
      <c r="H1131" s="3">
        <f>_xlfn.XLOOKUP(Vendas[[#This Row],[ID Item Vendido]],Agregado[ID],Agregado[Revenda])</f>
        <v>114</v>
      </c>
      <c r="I1131" s="3">
        <f>Vendas[[#This Row],[Valor Unitário]]*Vendas[[#This Row],[Qnt Vendida]]</f>
        <v>1824</v>
      </c>
      <c r="J1131" s="3">
        <f>Vendas[[#This Row],[Valor da Venda]]-(_xlfn.XLOOKUP(Vendas[[#This Row],[ID Item Vendido]],Agregado[ID],Agregado[Custo])*Vendas[[#This Row],[Qnt Vendida]])</f>
        <v>304</v>
      </c>
      <c r="K1131" s="70">
        <f>Vendas[[#This Row],[Lucro da Venda]]/Vendas[[#This Row],[Valor da Venda]]</f>
        <v>0.16666666666666666</v>
      </c>
      <c r="L1131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1131"/>
    </row>
    <row r="1132" spans="1:13" x14ac:dyDescent="0.3">
      <c r="A1132" s="7">
        <v>400251</v>
      </c>
      <c r="B1132" t="str">
        <f>_xlfn.XLOOKUP(Vendas[[#This Row],[ID Vendedor]],Vendedores[ID],Vendedores[Nome])</f>
        <v>Diego</v>
      </c>
      <c r="C1132" s="7" t="str">
        <f>_xlfn.XLOOKUP(Vendas[[#This Row],[ID Vendedor]],Vendedores[ID],Vendedores[Setor])</f>
        <v>AB</v>
      </c>
      <c r="D1132" s="7" t="s">
        <v>39</v>
      </c>
      <c r="E1132" t="str">
        <f>_xlfn.XLOOKUP(Vendas[[#This Row],[ID Item Vendido]],Agregado[ID],Agregado[Produto])</f>
        <v>Filme plástico industrial rolo 50m</v>
      </c>
      <c r="F1132" s="39">
        <v>44397</v>
      </c>
      <c r="G1132" s="7">
        <v>29</v>
      </c>
      <c r="H1132" s="3">
        <f>_xlfn.XLOOKUP(Vendas[[#This Row],[ID Item Vendido]],Agregado[ID],Agregado[Revenda])</f>
        <v>37</v>
      </c>
      <c r="I1132" s="3">
        <f>Vendas[[#This Row],[Valor Unitário]]*Vendas[[#This Row],[Qnt Vendida]]</f>
        <v>1073</v>
      </c>
      <c r="J1132" s="3">
        <f>Vendas[[#This Row],[Valor da Venda]]-(_xlfn.XLOOKUP(Vendas[[#This Row],[ID Item Vendido]],Agregado[ID],Agregado[Custo])*Vendas[[#This Row],[Qnt Vendida]])</f>
        <v>261</v>
      </c>
      <c r="K1132" s="70">
        <f>Vendas[[#This Row],[Lucro da Venda]]/Vendas[[#This Row],[Valor da Venda]]</f>
        <v>0.24324324324324326</v>
      </c>
      <c r="L1132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1132"/>
    </row>
    <row r="1133" spans="1:13" x14ac:dyDescent="0.3">
      <c r="A1133" s="7">
        <v>400247</v>
      </c>
      <c r="B1133" t="str">
        <f>_xlfn.XLOOKUP(Vendas[[#This Row],[ID Vendedor]],Vendedores[ID],Vendedores[Nome])</f>
        <v>André</v>
      </c>
      <c r="C1133" s="7" t="str">
        <f>_xlfn.XLOOKUP(Vendas[[#This Row],[ID Vendedor]],Vendedores[ID],Vendedores[Setor])</f>
        <v>CM</v>
      </c>
      <c r="D1133" s="7" t="s">
        <v>45</v>
      </c>
      <c r="E1133" t="str">
        <f>_xlfn.XLOOKUP(Vendas[[#This Row],[ID Item Vendido]],Agregado[ID],Agregado[Produto])</f>
        <v>Viga de madeira tratada 4m</v>
      </c>
      <c r="F1133" s="39">
        <v>44397</v>
      </c>
      <c r="G1133" s="7">
        <v>6</v>
      </c>
      <c r="H1133" s="3">
        <f>_xlfn.XLOOKUP(Vendas[[#This Row],[ID Item Vendido]],Agregado[ID],Agregado[Revenda])</f>
        <v>66</v>
      </c>
      <c r="I1133" s="3">
        <f>Vendas[[#This Row],[Valor Unitário]]*Vendas[[#This Row],[Qnt Vendida]]</f>
        <v>396</v>
      </c>
      <c r="J1133" s="3">
        <f>Vendas[[#This Row],[Valor da Venda]]-(_xlfn.XLOOKUP(Vendas[[#This Row],[ID Item Vendido]],Agregado[ID],Agregado[Custo])*Vendas[[#This Row],[Qnt Vendida]])</f>
        <v>66</v>
      </c>
      <c r="K1133" s="70">
        <f>Vendas[[#This Row],[Lucro da Venda]]/Vendas[[#This Row],[Valor da Venda]]</f>
        <v>0.16666666666666666</v>
      </c>
      <c r="L1133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1133"/>
    </row>
    <row r="1134" spans="1:13" x14ac:dyDescent="0.3">
      <c r="A1134" s="7">
        <v>400241</v>
      </c>
      <c r="B1134" t="str">
        <f>_xlfn.XLOOKUP(Vendas[[#This Row],[ID Vendedor]],Vendedores[ID],Vendedores[Nome])</f>
        <v>Rodrigo</v>
      </c>
      <c r="C1134" s="7" t="str">
        <f>_xlfn.XLOOKUP(Vendas[[#This Row],[ID Vendedor]],Vendedores[ID],Vendedores[Setor])</f>
        <v>FM</v>
      </c>
      <c r="D1134" s="7" t="s">
        <v>20</v>
      </c>
      <c r="E1134" t="str">
        <f>_xlfn.XLOOKUP(Vendas[[#This Row],[ID Item Vendido]],Agregado[ID],Agregado[Produto])</f>
        <v>Barra de aço simples</v>
      </c>
      <c r="F1134" s="39">
        <v>44397</v>
      </c>
      <c r="G1134" s="7">
        <v>53</v>
      </c>
      <c r="H1134" s="3">
        <f>_xlfn.XLOOKUP(Vendas[[#This Row],[ID Item Vendido]],Agregado[ID],Agregado[Revenda])</f>
        <v>4.8</v>
      </c>
      <c r="I1134" s="3">
        <f>Vendas[[#This Row],[Valor Unitário]]*Vendas[[#This Row],[Qnt Vendida]]</f>
        <v>254.39999999999998</v>
      </c>
      <c r="J1134" s="3">
        <f>Vendas[[#This Row],[Valor da Venda]]-(_xlfn.XLOOKUP(Vendas[[#This Row],[ID Item Vendido]],Agregado[ID],Agregado[Custo])*Vendas[[#This Row],[Qnt Vendida]])</f>
        <v>31.799999999999955</v>
      </c>
      <c r="K1134" s="70">
        <f>Vendas[[#This Row],[Lucro da Venda]]/Vendas[[#This Row],[Valor da Venda]]</f>
        <v>0.12499999999999983</v>
      </c>
      <c r="L1134" s="3">
        <f>_xlfn.IFS(Vendas[[#This Row],[Margem de Lucro (%)]]&lt;15%,Vendas[[#This Row],[Valor da Venda]]*3%,Vendas[[#This Row],[Margem de Lucro (%)]]&lt;=20%,Vendas[[#This Row],[Valor da Venda]]*4.5%,TRUE,Vendas[[#This Row],[Valor da Venda]]*6%)</f>
        <v>7.6319999999999988</v>
      </c>
      <c r="M1134"/>
    </row>
    <row r="1135" spans="1:13" x14ac:dyDescent="0.3">
      <c r="A1135" s="7">
        <v>400247</v>
      </c>
      <c r="B1135" t="str">
        <f>_xlfn.XLOOKUP(Vendas[[#This Row],[ID Vendedor]],Vendedores[ID],Vendedores[Nome])</f>
        <v>André</v>
      </c>
      <c r="C1135" s="7" t="str">
        <f>_xlfn.XLOOKUP(Vendas[[#This Row],[ID Vendedor]],Vendedores[ID],Vendedores[Setor])</f>
        <v>CM</v>
      </c>
      <c r="D1135" s="7" t="s">
        <v>43</v>
      </c>
      <c r="E1135" t="str">
        <f>_xlfn.XLOOKUP(Vendas[[#This Row],[ID Item Vendido]],Agregado[ID],Agregado[Produto])</f>
        <v>Madeira Bruta (Tora)</v>
      </c>
      <c r="F1135" s="39">
        <v>44397</v>
      </c>
      <c r="G1135" s="7">
        <v>1</v>
      </c>
      <c r="H1135" s="3">
        <f>_xlfn.XLOOKUP(Vendas[[#This Row],[ID Item Vendido]],Agregado[ID],Agregado[Revenda])</f>
        <v>212</v>
      </c>
      <c r="I1135" s="3">
        <f>Vendas[[#This Row],[Valor Unitário]]*Vendas[[#This Row],[Qnt Vendida]]</f>
        <v>212</v>
      </c>
      <c r="J1135" s="3">
        <f>Vendas[[#This Row],[Valor da Venda]]-(_xlfn.XLOOKUP(Vendas[[#This Row],[ID Item Vendido]],Agregado[ID],Agregado[Custo])*Vendas[[#This Row],[Qnt Vendida]])</f>
        <v>32</v>
      </c>
      <c r="K1135" s="70">
        <f>Vendas[[#This Row],[Lucro da Venda]]/Vendas[[#This Row],[Valor da Venda]]</f>
        <v>0.15094339622641509</v>
      </c>
      <c r="L1135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135"/>
    </row>
    <row r="1136" spans="1:13" x14ac:dyDescent="0.3">
      <c r="A1136" s="7">
        <v>400255</v>
      </c>
      <c r="B1136" t="str">
        <f>_xlfn.XLOOKUP(Vendas[[#This Row],[ID Vendedor]],Vendedores[ID],Vendedores[Nome])</f>
        <v>Carlos</v>
      </c>
      <c r="C1136" s="7" t="str">
        <f>_xlfn.XLOOKUP(Vendas[[#This Row],[ID Vendedor]],Vendedores[ID],Vendedores[Setor])</f>
        <v>SC</v>
      </c>
      <c r="D1136" s="7" t="s">
        <v>14</v>
      </c>
      <c r="E1136" t="str">
        <f>_xlfn.XLOOKUP(Vendas[[#This Row],[ID Item Vendido]],Agregado[ID],Agregado[Produto])</f>
        <v>Barril de plástico 200L</v>
      </c>
      <c r="F1136" s="39">
        <v>44398</v>
      </c>
      <c r="G1136" s="7">
        <v>19</v>
      </c>
      <c r="H1136" s="3">
        <f>_xlfn.XLOOKUP(Vendas[[#This Row],[ID Item Vendido]],Agregado[ID],Agregado[Revenda])</f>
        <v>114</v>
      </c>
      <c r="I1136" s="3">
        <f>Vendas[[#This Row],[Valor Unitário]]*Vendas[[#This Row],[Qnt Vendida]]</f>
        <v>2166</v>
      </c>
      <c r="J1136" s="3">
        <f>Vendas[[#This Row],[Valor da Venda]]-(_xlfn.XLOOKUP(Vendas[[#This Row],[ID Item Vendido]],Agregado[ID],Agregado[Custo])*Vendas[[#This Row],[Qnt Vendida]])</f>
        <v>361</v>
      </c>
      <c r="K1136" s="70">
        <f>Vendas[[#This Row],[Lucro da Venda]]/Vendas[[#This Row],[Valor da Venda]]</f>
        <v>0.16666666666666666</v>
      </c>
      <c r="L1136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1136"/>
    </row>
    <row r="1137" spans="1:13" x14ac:dyDescent="0.3">
      <c r="A1137" s="7">
        <v>400249</v>
      </c>
      <c r="B1137" t="str">
        <f>_xlfn.XLOOKUP(Vendas[[#This Row],[ID Vendedor]],Vendedores[ID],Vendedores[Nome])</f>
        <v>Bruno</v>
      </c>
      <c r="C1137" s="7" t="str">
        <f>_xlfn.XLOOKUP(Vendas[[#This Row],[ID Vendedor]],Vendedores[ID],Vendedores[Setor])</f>
        <v>CM</v>
      </c>
      <c r="D1137" s="7" t="s">
        <v>32</v>
      </c>
      <c r="E1137" t="str">
        <f>_xlfn.XLOOKUP(Vendas[[#This Row],[ID Item Vendido]],Agregado[ID],Agregado[Produto])</f>
        <v>Tábua tratada e cortada 3m</v>
      </c>
      <c r="F1137" s="39">
        <v>44398</v>
      </c>
      <c r="G1137" s="7">
        <v>47</v>
      </c>
      <c r="H1137" s="3">
        <f>_xlfn.XLOOKUP(Vendas[[#This Row],[ID Item Vendido]],Agregado[ID],Agregado[Revenda])</f>
        <v>39</v>
      </c>
      <c r="I1137" s="3">
        <f>Vendas[[#This Row],[Valor Unitário]]*Vendas[[#This Row],[Qnt Vendida]]</f>
        <v>1833</v>
      </c>
      <c r="J1137" s="3">
        <f>Vendas[[#This Row],[Valor da Venda]]-(_xlfn.XLOOKUP(Vendas[[#This Row],[ID Item Vendido]],Agregado[ID],Agregado[Custo])*Vendas[[#This Row],[Qnt Vendida]])</f>
        <v>329</v>
      </c>
      <c r="K1137" s="70">
        <f>Vendas[[#This Row],[Lucro da Venda]]/Vendas[[#This Row],[Valor da Venda]]</f>
        <v>0.17948717948717949</v>
      </c>
      <c r="L1137" s="3">
        <f>_xlfn.IFS(Vendas[[#This Row],[Margem de Lucro (%)]]&lt;15%,Vendas[[#This Row],[Valor da Venda]]*3%,Vendas[[#This Row],[Margem de Lucro (%)]]&lt;=20%,Vendas[[#This Row],[Valor da Venda]]*4.5%,TRUE,Vendas[[#This Row],[Valor da Venda]]*6%)</f>
        <v>82.484999999999999</v>
      </c>
      <c r="M1137"/>
    </row>
    <row r="1138" spans="1:13" x14ac:dyDescent="0.3">
      <c r="A1138" s="7">
        <v>400244</v>
      </c>
      <c r="B1138" t="str">
        <f>_xlfn.XLOOKUP(Vendas[[#This Row],[ID Vendedor]],Vendedores[ID],Vendedores[Nome])</f>
        <v>Camila</v>
      </c>
      <c r="C1138" s="7" t="str">
        <f>_xlfn.XLOOKUP(Vendas[[#This Row],[ID Vendedor]],Vendedores[ID],Vendedores[Setor])</f>
        <v>AHD</v>
      </c>
      <c r="D1138" s="7" t="s">
        <v>9</v>
      </c>
      <c r="E1138" t="str">
        <f>_xlfn.XLOOKUP(Vendas[[#This Row],[ID Item Vendido]],Agregado[ID],Agregado[Produto])</f>
        <v>Barra de aço simples</v>
      </c>
      <c r="F1138" s="39">
        <v>44398</v>
      </c>
      <c r="G1138" s="7">
        <v>89</v>
      </c>
      <c r="H1138" s="3">
        <f>_xlfn.XLOOKUP(Vendas[[#This Row],[ID Item Vendido]],Agregado[ID],Agregado[Revenda])</f>
        <v>6.7</v>
      </c>
      <c r="I1138" s="3">
        <f>Vendas[[#This Row],[Valor Unitário]]*Vendas[[#This Row],[Qnt Vendida]]</f>
        <v>596.30000000000007</v>
      </c>
      <c r="J1138" s="3">
        <f>Vendas[[#This Row],[Valor da Venda]]-(_xlfn.XLOOKUP(Vendas[[#This Row],[ID Item Vendido]],Agregado[ID],Agregado[Custo])*Vendas[[#This Row],[Qnt Vendida]])</f>
        <v>80.100000000000136</v>
      </c>
      <c r="K1138" s="70">
        <f>Vendas[[#This Row],[Lucro da Venda]]/Vendas[[#This Row],[Valor da Venda]]</f>
        <v>0.13432835820895545</v>
      </c>
      <c r="L1138" s="3">
        <f>_xlfn.IFS(Vendas[[#This Row],[Margem de Lucro (%)]]&lt;15%,Vendas[[#This Row],[Valor da Venda]]*3%,Vendas[[#This Row],[Margem de Lucro (%)]]&lt;=20%,Vendas[[#This Row],[Valor da Venda]]*4.5%,TRUE,Vendas[[#This Row],[Valor da Venda]]*6%)</f>
        <v>17.889000000000003</v>
      </c>
      <c r="M1138"/>
    </row>
    <row r="1139" spans="1:13" x14ac:dyDescent="0.3">
      <c r="A1139" s="7">
        <v>400244</v>
      </c>
      <c r="B1139" t="str">
        <f>_xlfn.XLOOKUP(Vendas[[#This Row],[ID Vendedor]],Vendedores[ID],Vendedores[Nome])</f>
        <v>Camila</v>
      </c>
      <c r="C1139" s="7" t="str">
        <f>_xlfn.XLOOKUP(Vendas[[#This Row],[ID Vendedor]],Vendedores[ID],Vendedores[Setor])</f>
        <v>AHD</v>
      </c>
      <c r="D1139" s="7" t="s">
        <v>9</v>
      </c>
      <c r="E1139" t="str">
        <f>_xlfn.XLOOKUP(Vendas[[#This Row],[ID Item Vendido]],Agregado[ID],Agregado[Produto])</f>
        <v>Barra de aço simples</v>
      </c>
      <c r="F1139" s="39">
        <v>44398</v>
      </c>
      <c r="G1139" s="7">
        <v>37</v>
      </c>
      <c r="H1139" s="3">
        <f>_xlfn.XLOOKUP(Vendas[[#This Row],[ID Item Vendido]],Agregado[ID],Agregado[Revenda])</f>
        <v>6.7</v>
      </c>
      <c r="I1139" s="3">
        <f>Vendas[[#This Row],[Valor Unitário]]*Vendas[[#This Row],[Qnt Vendida]]</f>
        <v>247.9</v>
      </c>
      <c r="J1139" s="3">
        <f>Vendas[[#This Row],[Valor da Venda]]-(_xlfn.XLOOKUP(Vendas[[#This Row],[ID Item Vendido]],Agregado[ID],Agregado[Custo])*Vendas[[#This Row],[Qnt Vendida]])</f>
        <v>33.300000000000011</v>
      </c>
      <c r="K1139" s="70">
        <f>Vendas[[#This Row],[Lucro da Venda]]/Vendas[[#This Row],[Valor da Venda]]</f>
        <v>0.13432835820895528</v>
      </c>
      <c r="L1139" s="3">
        <f>_xlfn.IFS(Vendas[[#This Row],[Margem de Lucro (%)]]&lt;15%,Vendas[[#This Row],[Valor da Venda]]*3%,Vendas[[#This Row],[Margem de Lucro (%)]]&lt;=20%,Vendas[[#This Row],[Valor da Venda]]*4.5%,TRUE,Vendas[[#This Row],[Valor da Venda]]*6%)</f>
        <v>7.4370000000000003</v>
      </c>
      <c r="M1139"/>
    </row>
    <row r="1140" spans="1:13" x14ac:dyDescent="0.3">
      <c r="A1140" s="7">
        <v>400253</v>
      </c>
      <c r="B1140" t="str">
        <f>_xlfn.XLOOKUP(Vendas[[#This Row],[ID Vendedor]],Vendedores[ID],Vendedores[Nome])</f>
        <v>Gustavo</v>
      </c>
      <c r="C1140" s="7" t="str">
        <f>_xlfn.XLOOKUP(Vendas[[#This Row],[ID Vendedor]],Vendedores[ID],Vendedores[Setor])</f>
        <v>SC</v>
      </c>
      <c r="D1140" s="7" t="s">
        <v>42</v>
      </c>
      <c r="E1140" t="str">
        <f>_xlfn.XLOOKUP(Vendas[[#This Row],[ID Item Vendido]],Agregado[ID],Agregado[Produto])</f>
        <v>Container de ferro industrial</v>
      </c>
      <c r="F1140" s="39">
        <v>44400</v>
      </c>
      <c r="G1140" s="7">
        <v>5</v>
      </c>
      <c r="H1140" s="3">
        <f>_xlfn.XLOOKUP(Vendas[[#This Row],[ID Item Vendido]],Agregado[ID],Agregado[Revenda])</f>
        <v>830</v>
      </c>
      <c r="I1140" s="3">
        <f>Vendas[[#This Row],[Valor Unitário]]*Vendas[[#This Row],[Qnt Vendida]]</f>
        <v>4150</v>
      </c>
      <c r="J1140" s="3">
        <f>Vendas[[#This Row],[Valor da Venda]]-(_xlfn.XLOOKUP(Vendas[[#This Row],[ID Item Vendido]],Agregado[ID],Agregado[Custo])*Vendas[[#This Row],[Qnt Vendida]])</f>
        <v>750</v>
      </c>
      <c r="K1140" s="70">
        <f>Vendas[[#This Row],[Lucro da Venda]]/Vendas[[#This Row],[Valor da Venda]]</f>
        <v>0.18072289156626506</v>
      </c>
      <c r="L1140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140"/>
    </row>
    <row r="1141" spans="1:13" x14ac:dyDescent="0.3">
      <c r="A1141" s="7">
        <v>400244</v>
      </c>
      <c r="B1141" t="str">
        <f>_xlfn.XLOOKUP(Vendas[[#This Row],[ID Vendedor]],Vendedores[ID],Vendedores[Nome])</f>
        <v>Camila</v>
      </c>
      <c r="C1141" s="7" t="str">
        <f>_xlfn.XLOOKUP(Vendas[[#This Row],[ID Vendedor]],Vendedores[ID],Vendedores[Setor])</f>
        <v>AHD</v>
      </c>
      <c r="D1141" s="7" t="s">
        <v>28</v>
      </c>
      <c r="E1141" t="str">
        <f>_xlfn.XLOOKUP(Vendas[[#This Row],[ID Item Vendido]],Agregado[ID],Agregado[Produto])</f>
        <v>Peça usinada CNC</v>
      </c>
      <c r="F1141" s="39">
        <v>44401</v>
      </c>
      <c r="G1141" s="7">
        <v>8</v>
      </c>
      <c r="H1141" s="3">
        <f>_xlfn.XLOOKUP(Vendas[[#This Row],[ID Item Vendido]],Agregado[ID],Agregado[Revenda])</f>
        <v>192</v>
      </c>
      <c r="I1141" s="3">
        <f>Vendas[[#This Row],[Valor Unitário]]*Vendas[[#This Row],[Qnt Vendida]]</f>
        <v>1536</v>
      </c>
      <c r="J1141" s="3">
        <f>Vendas[[#This Row],[Valor da Venda]]-(_xlfn.XLOOKUP(Vendas[[#This Row],[ID Item Vendido]],Agregado[ID],Agregado[Custo])*Vendas[[#This Row],[Qnt Vendida]])</f>
        <v>336</v>
      </c>
      <c r="K1141" s="70">
        <f>Vendas[[#This Row],[Lucro da Venda]]/Vendas[[#This Row],[Valor da Venda]]</f>
        <v>0.21875</v>
      </c>
      <c r="L1141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1141"/>
    </row>
    <row r="1142" spans="1:13" x14ac:dyDescent="0.3">
      <c r="A1142" s="7">
        <v>400241</v>
      </c>
      <c r="B1142" t="str">
        <f>_xlfn.XLOOKUP(Vendas[[#This Row],[ID Vendedor]],Vendedores[ID],Vendedores[Nome])</f>
        <v>Rodrigo</v>
      </c>
      <c r="C1142" s="7" t="str">
        <f>_xlfn.XLOOKUP(Vendas[[#This Row],[ID Vendedor]],Vendedores[ID],Vendedores[Setor])</f>
        <v>FM</v>
      </c>
      <c r="D1142" s="7" t="s">
        <v>27</v>
      </c>
      <c r="E1142" t="str">
        <f>_xlfn.XLOOKUP(Vendas[[#This Row],[ID Item Vendido]],Agregado[ID],Agregado[Produto])</f>
        <v>Chapa de metal lisa 1x2m</v>
      </c>
      <c r="F1142" s="39">
        <v>44402</v>
      </c>
      <c r="G1142" s="7">
        <v>22</v>
      </c>
      <c r="H1142" s="3">
        <f>_xlfn.XLOOKUP(Vendas[[#This Row],[ID Item Vendido]],Agregado[ID],Agregado[Revenda])</f>
        <v>52</v>
      </c>
      <c r="I1142" s="3">
        <f>Vendas[[#This Row],[Valor Unitário]]*Vendas[[#This Row],[Qnt Vendida]]</f>
        <v>1144</v>
      </c>
      <c r="J1142" s="3">
        <f>Vendas[[#This Row],[Valor da Venda]]-(_xlfn.XLOOKUP(Vendas[[#This Row],[ID Item Vendido]],Agregado[ID],Agregado[Custo])*Vendas[[#This Row],[Qnt Vendida]])</f>
        <v>154</v>
      </c>
      <c r="K1142" s="70">
        <f>Vendas[[#This Row],[Lucro da Venda]]/Vendas[[#This Row],[Valor da Venda]]</f>
        <v>0.13461538461538461</v>
      </c>
      <c r="L1142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1142"/>
    </row>
    <row r="1143" spans="1:13" x14ac:dyDescent="0.3">
      <c r="A1143" s="7">
        <v>400241</v>
      </c>
      <c r="B1143" t="str">
        <f>_xlfn.XLOOKUP(Vendas[[#This Row],[ID Vendedor]],Vendedores[ID],Vendedores[Nome])</f>
        <v>Rodrigo</v>
      </c>
      <c r="C1143" s="7" t="str">
        <f>_xlfn.XLOOKUP(Vendas[[#This Row],[ID Vendedor]],Vendedores[ID],Vendedores[Setor])</f>
        <v>FM</v>
      </c>
      <c r="D1143" s="7" t="s">
        <v>27</v>
      </c>
      <c r="E1143" t="str">
        <f>_xlfn.XLOOKUP(Vendas[[#This Row],[ID Item Vendido]],Agregado[ID],Agregado[Produto])</f>
        <v>Chapa de metal lisa 1x2m</v>
      </c>
      <c r="F1143" s="39">
        <v>44402</v>
      </c>
      <c r="G1143" s="7">
        <v>14</v>
      </c>
      <c r="H1143" s="3">
        <f>_xlfn.XLOOKUP(Vendas[[#This Row],[ID Item Vendido]],Agregado[ID],Agregado[Revenda])</f>
        <v>52</v>
      </c>
      <c r="I1143" s="3">
        <f>Vendas[[#This Row],[Valor Unitário]]*Vendas[[#This Row],[Qnt Vendida]]</f>
        <v>728</v>
      </c>
      <c r="J1143" s="3">
        <f>Vendas[[#This Row],[Valor da Venda]]-(_xlfn.XLOOKUP(Vendas[[#This Row],[ID Item Vendido]],Agregado[ID],Agregado[Custo])*Vendas[[#This Row],[Qnt Vendida]])</f>
        <v>98</v>
      </c>
      <c r="K1143" s="70">
        <f>Vendas[[#This Row],[Lucro da Venda]]/Vendas[[#This Row],[Valor da Venda]]</f>
        <v>0.13461538461538461</v>
      </c>
      <c r="L1143" s="3">
        <f>_xlfn.IFS(Vendas[[#This Row],[Margem de Lucro (%)]]&lt;15%,Vendas[[#This Row],[Valor da Venda]]*3%,Vendas[[#This Row],[Margem de Lucro (%)]]&lt;=20%,Vendas[[#This Row],[Valor da Venda]]*4.5%,TRUE,Vendas[[#This Row],[Valor da Venda]]*6%)</f>
        <v>21.84</v>
      </c>
      <c r="M1143"/>
    </row>
    <row r="1144" spans="1:13" x14ac:dyDescent="0.3">
      <c r="A1144" s="7">
        <v>400251</v>
      </c>
      <c r="B1144" t="str">
        <f>_xlfn.XLOOKUP(Vendas[[#This Row],[ID Vendedor]],Vendedores[ID],Vendedores[Nome])</f>
        <v>Diego</v>
      </c>
      <c r="C1144" s="7" t="str">
        <f>_xlfn.XLOOKUP(Vendas[[#This Row],[ID Vendedor]],Vendedores[ID],Vendedores[Setor])</f>
        <v>AB</v>
      </c>
      <c r="D1144" s="7" t="s">
        <v>39</v>
      </c>
      <c r="E1144" t="str">
        <f>_xlfn.XLOOKUP(Vendas[[#This Row],[ID Item Vendido]],Agregado[ID],Agregado[Produto])</f>
        <v>Filme plástico industrial rolo 50m</v>
      </c>
      <c r="F1144" s="39">
        <v>44402</v>
      </c>
      <c r="G1144" s="7">
        <v>15</v>
      </c>
      <c r="H1144" s="3">
        <f>_xlfn.XLOOKUP(Vendas[[#This Row],[ID Item Vendido]],Agregado[ID],Agregado[Revenda])</f>
        <v>37</v>
      </c>
      <c r="I1144" s="3">
        <f>Vendas[[#This Row],[Valor Unitário]]*Vendas[[#This Row],[Qnt Vendida]]</f>
        <v>555</v>
      </c>
      <c r="J1144" s="3">
        <f>Vendas[[#This Row],[Valor da Venda]]-(_xlfn.XLOOKUP(Vendas[[#This Row],[ID Item Vendido]],Agregado[ID],Agregado[Custo])*Vendas[[#This Row],[Qnt Vendida]])</f>
        <v>135</v>
      </c>
      <c r="K1144" s="70">
        <f>Vendas[[#This Row],[Lucro da Venda]]/Vendas[[#This Row],[Valor da Venda]]</f>
        <v>0.24324324324324326</v>
      </c>
      <c r="L1144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1144"/>
    </row>
    <row r="1145" spans="1:13" x14ac:dyDescent="0.3">
      <c r="A1145" s="7">
        <v>400245</v>
      </c>
      <c r="B1145" t="str">
        <f>_xlfn.XLOOKUP(Vendas[[#This Row],[ID Vendedor]],Vendedores[ID],Vendedores[Nome])</f>
        <v>Thiago</v>
      </c>
      <c r="C1145" s="7" t="str">
        <f>_xlfn.XLOOKUP(Vendas[[#This Row],[ID Vendedor]],Vendedores[ID],Vendedores[Setor])</f>
        <v>AHD</v>
      </c>
      <c r="D1145" s="7" t="s">
        <v>9</v>
      </c>
      <c r="E1145" t="str">
        <f>_xlfn.XLOOKUP(Vendas[[#This Row],[ID Item Vendido]],Agregado[ID],Agregado[Produto])</f>
        <v>Barra de aço simples</v>
      </c>
      <c r="F1145" s="39">
        <v>44403</v>
      </c>
      <c r="G1145" s="7">
        <v>48</v>
      </c>
      <c r="H1145" s="3">
        <f>_xlfn.XLOOKUP(Vendas[[#This Row],[ID Item Vendido]],Agregado[ID],Agregado[Revenda])</f>
        <v>6.7</v>
      </c>
      <c r="I1145" s="3">
        <f>Vendas[[#This Row],[Valor Unitário]]*Vendas[[#This Row],[Qnt Vendida]]</f>
        <v>321.60000000000002</v>
      </c>
      <c r="J1145" s="3">
        <f>Vendas[[#This Row],[Valor da Venda]]-(_xlfn.XLOOKUP(Vendas[[#This Row],[ID Item Vendido]],Agregado[ID],Agregado[Custo])*Vendas[[#This Row],[Qnt Vendida]])</f>
        <v>43.200000000000045</v>
      </c>
      <c r="K1145" s="70">
        <f>Vendas[[#This Row],[Lucro da Venda]]/Vendas[[#This Row],[Valor da Venda]]</f>
        <v>0.13432835820895536</v>
      </c>
      <c r="L1145" s="3">
        <f>_xlfn.IFS(Vendas[[#This Row],[Margem de Lucro (%)]]&lt;15%,Vendas[[#This Row],[Valor da Venda]]*3%,Vendas[[#This Row],[Margem de Lucro (%)]]&lt;=20%,Vendas[[#This Row],[Valor da Venda]]*4.5%,TRUE,Vendas[[#This Row],[Valor da Venda]]*6%)</f>
        <v>9.6479999999999997</v>
      </c>
      <c r="M1145"/>
    </row>
    <row r="1146" spans="1:13" x14ac:dyDescent="0.3">
      <c r="A1146" s="7">
        <v>400255</v>
      </c>
      <c r="B1146" t="str">
        <f>_xlfn.XLOOKUP(Vendas[[#This Row],[ID Vendedor]],Vendedores[ID],Vendedores[Nome])</f>
        <v>Carlos</v>
      </c>
      <c r="C1146" s="7" t="str">
        <f>_xlfn.XLOOKUP(Vendas[[#This Row],[ID Vendedor]],Vendedores[ID],Vendedores[Setor])</f>
        <v>SC</v>
      </c>
      <c r="D1146" s="7" t="s">
        <v>41</v>
      </c>
      <c r="E1146" t="str">
        <f>_xlfn.XLOOKUP(Vendas[[#This Row],[ID Item Vendido]],Agregado[ID],Agregado[Produto])</f>
        <v>Palete de madeira reforçado</v>
      </c>
      <c r="F1146" s="39">
        <v>44404</v>
      </c>
      <c r="G1146" s="7">
        <v>4</v>
      </c>
      <c r="H1146" s="3">
        <f>_xlfn.XLOOKUP(Vendas[[#This Row],[ID Item Vendido]],Agregado[ID],Agregado[Revenda])</f>
        <v>131</v>
      </c>
      <c r="I1146" s="3">
        <f>Vendas[[#This Row],[Valor Unitário]]*Vendas[[#This Row],[Qnt Vendida]]</f>
        <v>524</v>
      </c>
      <c r="J1146" s="3">
        <f>Vendas[[#This Row],[Valor da Venda]]-(_xlfn.XLOOKUP(Vendas[[#This Row],[ID Item Vendido]],Agregado[ID],Agregado[Custo])*Vendas[[#This Row],[Qnt Vendida]])</f>
        <v>84</v>
      </c>
      <c r="K1146" s="70">
        <f>Vendas[[#This Row],[Lucro da Venda]]/Vendas[[#This Row],[Valor da Venda]]</f>
        <v>0.16030534351145037</v>
      </c>
      <c r="L1146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146"/>
    </row>
    <row r="1147" spans="1:13" x14ac:dyDescent="0.3">
      <c r="A1147" s="7">
        <v>400244</v>
      </c>
      <c r="B1147" t="str">
        <f>_xlfn.XLOOKUP(Vendas[[#This Row],[ID Vendedor]],Vendedores[ID],Vendedores[Nome])</f>
        <v>Camila</v>
      </c>
      <c r="C1147" s="7" t="str">
        <f>_xlfn.XLOOKUP(Vendas[[#This Row],[ID Vendedor]],Vendedores[ID],Vendedores[Setor])</f>
        <v>AHD</v>
      </c>
      <c r="D1147" s="7" t="s">
        <v>30</v>
      </c>
      <c r="E1147" t="str">
        <f>_xlfn.XLOOKUP(Vendas[[#This Row],[ID Item Vendido]],Agregado[ID],Agregado[Produto])</f>
        <v>Estrutura metálica soldada</v>
      </c>
      <c r="F1147" s="39">
        <v>44406</v>
      </c>
      <c r="G1147" s="7">
        <v>2</v>
      </c>
      <c r="H1147" s="3">
        <f>_xlfn.XLOOKUP(Vendas[[#This Row],[ID Item Vendido]],Agregado[ID],Agregado[Revenda])</f>
        <v>400</v>
      </c>
      <c r="I1147" s="3">
        <f>Vendas[[#This Row],[Valor Unitário]]*Vendas[[#This Row],[Qnt Vendida]]</f>
        <v>800</v>
      </c>
      <c r="J1147" s="3">
        <f>Vendas[[#This Row],[Valor da Venda]]-(_xlfn.XLOOKUP(Vendas[[#This Row],[ID Item Vendido]],Agregado[ID],Agregado[Custo])*Vendas[[#This Row],[Qnt Vendida]])</f>
        <v>160</v>
      </c>
      <c r="K1147" s="70">
        <f>Vendas[[#This Row],[Lucro da Venda]]/Vendas[[#This Row],[Valor da Venda]]</f>
        <v>0.2</v>
      </c>
      <c r="L1147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147"/>
    </row>
    <row r="1148" spans="1:13" x14ac:dyDescent="0.3">
      <c r="A1148" s="7">
        <v>400255</v>
      </c>
      <c r="B1148" t="str">
        <f>_xlfn.XLOOKUP(Vendas[[#This Row],[ID Vendedor]],Vendedores[ID],Vendedores[Nome])</f>
        <v>Carlos</v>
      </c>
      <c r="C1148" s="7" t="str">
        <f>_xlfn.XLOOKUP(Vendas[[#This Row],[ID Vendedor]],Vendedores[ID],Vendedores[Setor])</f>
        <v>SC</v>
      </c>
      <c r="D1148" s="7" t="s">
        <v>48</v>
      </c>
      <c r="E1148" t="str">
        <f>_xlfn.XLOOKUP(Vendas[[#This Row],[ID Item Vendido]],Agregado[ID],Agregado[Produto])</f>
        <v>Tambor metálico 200L</v>
      </c>
      <c r="F1148" s="39">
        <v>44407</v>
      </c>
      <c r="G1148" s="7">
        <v>8</v>
      </c>
      <c r="H1148" s="3">
        <f>_xlfn.XLOOKUP(Vendas[[#This Row],[ID Item Vendido]],Agregado[ID],Agregado[Revenda])</f>
        <v>144</v>
      </c>
      <c r="I1148" s="3">
        <f>Vendas[[#This Row],[Valor Unitário]]*Vendas[[#This Row],[Qnt Vendida]]</f>
        <v>1152</v>
      </c>
      <c r="J1148" s="3">
        <f>Vendas[[#This Row],[Valor da Venda]]-(_xlfn.XLOOKUP(Vendas[[#This Row],[ID Item Vendido]],Agregado[ID],Agregado[Custo])*Vendas[[#This Row],[Qnt Vendida]])</f>
        <v>192</v>
      </c>
      <c r="K1148" s="70">
        <f>Vendas[[#This Row],[Lucro da Venda]]/Vendas[[#This Row],[Valor da Venda]]</f>
        <v>0.16666666666666666</v>
      </c>
      <c r="L1148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148"/>
    </row>
    <row r="1149" spans="1:13" x14ac:dyDescent="0.3">
      <c r="A1149" s="7">
        <v>400247</v>
      </c>
      <c r="B1149" t="str">
        <f>_xlfn.XLOOKUP(Vendas[[#This Row],[ID Vendedor]],Vendedores[ID],Vendedores[Nome])</f>
        <v>André</v>
      </c>
      <c r="C1149" s="7" t="str">
        <f>_xlfn.XLOOKUP(Vendas[[#This Row],[ID Vendedor]],Vendedores[ID],Vendedores[Setor])</f>
        <v>CM</v>
      </c>
      <c r="D1149" s="7" t="s">
        <v>32</v>
      </c>
      <c r="E1149" t="str">
        <f>_xlfn.XLOOKUP(Vendas[[#This Row],[ID Item Vendido]],Agregado[ID],Agregado[Produto])</f>
        <v>Tábua tratada e cortada 3m</v>
      </c>
      <c r="F1149" s="39">
        <v>44407</v>
      </c>
      <c r="G1149" s="7">
        <v>21</v>
      </c>
      <c r="H1149" s="3">
        <f>_xlfn.XLOOKUP(Vendas[[#This Row],[ID Item Vendido]],Agregado[ID],Agregado[Revenda])</f>
        <v>39</v>
      </c>
      <c r="I1149" s="3">
        <f>Vendas[[#This Row],[Valor Unitário]]*Vendas[[#This Row],[Qnt Vendida]]</f>
        <v>819</v>
      </c>
      <c r="J1149" s="3">
        <f>Vendas[[#This Row],[Valor da Venda]]-(_xlfn.XLOOKUP(Vendas[[#This Row],[ID Item Vendido]],Agregado[ID],Agregado[Custo])*Vendas[[#This Row],[Qnt Vendida]])</f>
        <v>147</v>
      </c>
      <c r="K1149" s="70">
        <f>Vendas[[#This Row],[Lucro da Venda]]/Vendas[[#This Row],[Valor da Venda]]</f>
        <v>0.17948717948717949</v>
      </c>
      <c r="L1149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1149"/>
    </row>
    <row r="1150" spans="1:13" x14ac:dyDescent="0.3">
      <c r="A1150" s="7">
        <v>400241</v>
      </c>
      <c r="B1150" t="str">
        <f>_xlfn.XLOOKUP(Vendas[[#This Row],[ID Vendedor]],Vendedores[ID],Vendedores[Nome])</f>
        <v>Rodrigo</v>
      </c>
      <c r="C1150" s="7" t="str">
        <f>_xlfn.XLOOKUP(Vendas[[#This Row],[ID Vendedor]],Vendedores[ID],Vendedores[Setor])</f>
        <v>FM</v>
      </c>
      <c r="D1150" s="7" t="s">
        <v>47</v>
      </c>
      <c r="E1150" t="str">
        <f>_xlfn.XLOOKUP(Vendas[[#This Row],[ID Item Vendido]],Agregado[ID],Agregado[Produto])</f>
        <v>Fio de arame galvanizado rolo 50m</v>
      </c>
      <c r="F1150" s="39">
        <v>44407</v>
      </c>
      <c r="G1150" s="7">
        <v>18</v>
      </c>
      <c r="H1150" s="3">
        <f>_xlfn.XLOOKUP(Vendas[[#This Row],[ID Item Vendido]],Agregado[ID],Agregado[Revenda])</f>
        <v>21.2</v>
      </c>
      <c r="I1150" s="3">
        <f>Vendas[[#This Row],[Valor Unitário]]*Vendas[[#This Row],[Qnt Vendida]]</f>
        <v>381.59999999999997</v>
      </c>
      <c r="J1150" s="3">
        <f>Vendas[[#This Row],[Valor da Venda]]-(_xlfn.XLOOKUP(Vendas[[#This Row],[ID Item Vendido]],Agregado[ID],Agregado[Custo])*Vendas[[#This Row],[Qnt Vendida]])</f>
        <v>57.599999999999966</v>
      </c>
      <c r="K1150" s="70">
        <f>Vendas[[#This Row],[Lucro da Venda]]/Vendas[[#This Row],[Valor da Venda]]</f>
        <v>0.15094339622641501</v>
      </c>
      <c r="L1150" s="3">
        <f>_xlfn.IFS(Vendas[[#This Row],[Margem de Lucro (%)]]&lt;15%,Vendas[[#This Row],[Valor da Venda]]*3%,Vendas[[#This Row],[Margem de Lucro (%)]]&lt;=20%,Vendas[[#This Row],[Valor da Venda]]*4.5%,TRUE,Vendas[[#This Row],[Valor da Venda]]*6%)</f>
        <v>17.171999999999997</v>
      </c>
      <c r="M1150"/>
    </row>
    <row r="1151" spans="1:13" x14ac:dyDescent="0.3">
      <c r="A1151" s="7">
        <v>400250</v>
      </c>
      <c r="B1151" t="str">
        <f>_xlfn.XLOOKUP(Vendas[[#This Row],[ID Vendedor]],Vendedores[ID],Vendedores[Nome])</f>
        <v>Larissa</v>
      </c>
      <c r="C1151" s="7" t="str">
        <f>_xlfn.XLOOKUP(Vendas[[#This Row],[ID Vendedor]],Vendedores[ID],Vendedores[Setor])</f>
        <v>AB</v>
      </c>
      <c r="D1151" s="7" t="s">
        <v>12</v>
      </c>
      <c r="E1151" t="str">
        <f>_xlfn.XLOOKUP(Vendas[[#This Row],[ID Item Vendido]],Agregado[ID],Agregado[Produto])</f>
        <v>Grânulo de plástico reciclado refinado</v>
      </c>
      <c r="F1151" s="39">
        <v>44407</v>
      </c>
      <c r="G1151" s="7">
        <v>64</v>
      </c>
      <c r="H1151" s="3">
        <f>_xlfn.XLOOKUP(Vendas[[#This Row],[ID Item Vendido]],Agregado[ID],Agregado[Revenda])</f>
        <v>4.7</v>
      </c>
      <c r="I1151" s="3">
        <f>Vendas[[#This Row],[Valor Unitário]]*Vendas[[#This Row],[Qnt Vendida]]</f>
        <v>300.8</v>
      </c>
      <c r="J1151" s="3">
        <f>Vendas[[#This Row],[Valor da Venda]]-(_xlfn.XLOOKUP(Vendas[[#This Row],[ID Item Vendido]],Agregado[ID],Agregado[Custo])*Vendas[[#This Row],[Qnt Vendida]])</f>
        <v>76.800000000000011</v>
      </c>
      <c r="K1151" s="70">
        <f>Vendas[[#This Row],[Lucro da Venda]]/Vendas[[#This Row],[Valor da Venda]]</f>
        <v>0.25531914893617025</v>
      </c>
      <c r="L1151" s="3">
        <f>_xlfn.IFS(Vendas[[#This Row],[Margem de Lucro (%)]]&lt;15%,Vendas[[#This Row],[Valor da Venda]]*3%,Vendas[[#This Row],[Margem de Lucro (%)]]&lt;=20%,Vendas[[#This Row],[Valor da Venda]]*4.5%,TRUE,Vendas[[#This Row],[Valor da Venda]]*6%)</f>
        <v>18.047999999999998</v>
      </c>
      <c r="M1151"/>
    </row>
    <row r="1152" spans="1:13" x14ac:dyDescent="0.3">
      <c r="A1152" s="7">
        <v>400250</v>
      </c>
      <c r="B1152" t="str">
        <f>_xlfn.XLOOKUP(Vendas[[#This Row],[ID Vendedor]],Vendedores[ID],Vendedores[Nome])</f>
        <v>Larissa</v>
      </c>
      <c r="C1152" s="7" t="str">
        <f>_xlfn.XLOOKUP(Vendas[[#This Row],[ID Vendedor]],Vendedores[ID],Vendedores[Setor])</f>
        <v>AB</v>
      </c>
      <c r="D1152" s="7" t="s">
        <v>39</v>
      </c>
      <c r="E1152" t="str">
        <f>_xlfn.XLOOKUP(Vendas[[#This Row],[ID Item Vendido]],Agregado[ID],Agregado[Produto])</f>
        <v>Filme plástico industrial rolo 50m</v>
      </c>
      <c r="F1152" s="39">
        <v>44407</v>
      </c>
      <c r="G1152" s="7">
        <v>4</v>
      </c>
      <c r="H1152" s="3">
        <f>_xlfn.XLOOKUP(Vendas[[#This Row],[ID Item Vendido]],Agregado[ID],Agregado[Revenda])</f>
        <v>37</v>
      </c>
      <c r="I1152" s="3">
        <f>Vendas[[#This Row],[Valor Unitário]]*Vendas[[#This Row],[Qnt Vendida]]</f>
        <v>148</v>
      </c>
      <c r="J1152" s="3">
        <f>Vendas[[#This Row],[Valor da Venda]]-(_xlfn.XLOOKUP(Vendas[[#This Row],[ID Item Vendido]],Agregado[ID],Agregado[Custo])*Vendas[[#This Row],[Qnt Vendida]])</f>
        <v>36</v>
      </c>
      <c r="K1152" s="70">
        <f>Vendas[[#This Row],[Lucro da Venda]]/Vendas[[#This Row],[Valor da Venda]]</f>
        <v>0.24324324324324326</v>
      </c>
      <c r="L1152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1152"/>
    </row>
    <row r="1153" spans="1:13" x14ac:dyDescent="0.3">
      <c r="A1153" s="7">
        <v>400243</v>
      </c>
      <c r="B1153" t="str">
        <f>_xlfn.XLOOKUP(Vendas[[#This Row],[ID Vendedor]],Vendedores[ID],Vendedores[Nome])</f>
        <v>Marcelo</v>
      </c>
      <c r="C1153" s="7" t="str">
        <f>_xlfn.XLOOKUP(Vendas[[#This Row],[ID Vendedor]],Vendedores[ID],Vendedores[Setor])</f>
        <v>FM</v>
      </c>
      <c r="D1153" s="7" t="s">
        <v>6</v>
      </c>
      <c r="E1153" t="str">
        <f>_xlfn.XLOOKUP(Vendas[[#This Row],[ID Item Vendido]],Agregado[ID],Agregado[Produto])</f>
        <v>Parafuso comum 500un</v>
      </c>
      <c r="F1153" s="39">
        <v>44407</v>
      </c>
      <c r="G1153" s="7">
        <v>4</v>
      </c>
      <c r="H1153" s="3">
        <f>_xlfn.XLOOKUP(Vendas[[#This Row],[ID Item Vendido]],Agregado[ID],Agregado[Revenda])</f>
        <v>24.6</v>
      </c>
      <c r="I1153" s="3">
        <f>Vendas[[#This Row],[Valor Unitário]]*Vendas[[#This Row],[Qnt Vendida]]</f>
        <v>98.4</v>
      </c>
      <c r="J1153" s="3">
        <f>Vendas[[#This Row],[Valor da Venda]]-(_xlfn.XLOOKUP(Vendas[[#This Row],[ID Item Vendido]],Agregado[ID],Agregado[Custo])*Vendas[[#This Row],[Qnt Vendida]])</f>
        <v>10.400000000000006</v>
      </c>
      <c r="K1153" s="70">
        <f>Vendas[[#This Row],[Lucro da Venda]]/Vendas[[#This Row],[Valor da Venda]]</f>
        <v>0.10569105691056915</v>
      </c>
      <c r="L1153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1153"/>
    </row>
    <row r="1154" spans="1:13" x14ac:dyDescent="0.3">
      <c r="A1154" s="7">
        <v>400245</v>
      </c>
      <c r="B1154" t="str">
        <f>_xlfn.XLOOKUP(Vendas[[#This Row],[ID Vendedor]],Vendedores[ID],Vendedores[Nome])</f>
        <v>Thiago</v>
      </c>
      <c r="C1154" s="7" t="str">
        <f>_xlfn.XLOOKUP(Vendas[[#This Row],[ID Vendedor]],Vendedores[ID],Vendedores[Setor])</f>
        <v>AHD</v>
      </c>
      <c r="D1154" s="7" t="s">
        <v>44</v>
      </c>
      <c r="E1154" t="str">
        <f>_xlfn.XLOOKUP(Vendas[[#This Row],[ID Item Vendido]],Agregado[ID],Agregado[Produto])</f>
        <v>Liga metálica especial</v>
      </c>
      <c r="F1154" s="39">
        <v>44409</v>
      </c>
      <c r="G1154" s="7">
        <v>22</v>
      </c>
      <c r="H1154" s="3">
        <f>_xlfn.XLOOKUP(Vendas[[#This Row],[ID Item Vendido]],Agregado[ID],Agregado[Revenda])</f>
        <v>32.5</v>
      </c>
      <c r="I1154" s="3">
        <f>Vendas[[#This Row],[Valor Unitário]]*Vendas[[#This Row],[Qnt Vendida]]</f>
        <v>715</v>
      </c>
      <c r="J1154" s="3">
        <f>Vendas[[#This Row],[Valor da Venda]]-(_xlfn.XLOOKUP(Vendas[[#This Row],[ID Item Vendido]],Agregado[ID],Agregado[Custo])*Vendas[[#This Row],[Qnt Vendida]])</f>
        <v>165</v>
      </c>
      <c r="K1154" s="70">
        <f>Vendas[[#This Row],[Lucro da Venda]]/Vendas[[#This Row],[Valor da Venda]]</f>
        <v>0.23076923076923078</v>
      </c>
      <c r="L1154" s="3">
        <f>_xlfn.IFS(Vendas[[#This Row],[Margem de Lucro (%)]]&lt;15%,Vendas[[#This Row],[Valor da Venda]]*3%,Vendas[[#This Row],[Margem de Lucro (%)]]&lt;=20%,Vendas[[#This Row],[Valor da Venda]]*4.5%,TRUE,Vendas[[#This Row],[Valor da Venda]]*6%)</f>
        <v>42.9</v>
      </c>
      <c r="M1154"/>
    </row>
    <row r="1155" spans="1:13" x14ac:dyDescent="0.3">
      <c r="A1155" s="7">
        <v>400241</v>
      </c>
      <c r="B1155" t="str">
        <f>_xlfn.XLOOKUP(Vendas[[#This Row],[ID Vendedor]],Vendedores[ID],Vendedores[Nome])</f>
        <v>Rodrigo</v>
      </c>
      <c r="C1155" s="7" t="str">
        <f>_xlfn.XLOOKUP(Vendas[[#This Row],[ID Vendedor]],Vendedores[ID],Vendedores[Setor])</f>
        <v>FM</v>
      </c>
      <c r="D1155" s="7" t="s">
        <v>31</v>
      </c>
      <c r="E1155" t="str">
        <f>_xlfn.XLOOKUP(Vendas[[#This Row],[ID Item Vendido]],Agregado[ID],Agregado[Produto])</f>
        <v>Tela de metal soldada rolo 2x25m</v>
      </c>
      <c r="F1155" s="39">
        <v>44409</v>
      </c>
      <c r="G1155" s="7">
        <v>4</v>
      </c>
      <c r="H1155" s="3">
        <f>_xlfn.XLOOKUP(Vendas[[#This Row],[ID Item Vendido]],Agregado[ID],Agregado[Revenda])</f>
        <v>43.7</v>
      </c>
      <c r="I1155" s="3">
        <f>Vendas[[#This Row],[Valor Unitário]]*Vendas[[#This Row],[Qnt Vendida]]</f>
        <v>174.8</v>
      </c>
      <c r="J1155" s="3">
        <f>Vendas[[#This Row],[Valor da Venda]]-(_xlfn.XLOOKUP(Vendas[[#This Row],[ID Item Vendido]],Agregado[ID],Agregado[Custo])*Vendas[[#This Row],[Qnt Vendida]])</f>
        <v>22.800000000000011</v>
      </c>
      <c r="K1155" s="70">
        <f>Vendas[[#This Row],[Lucro da Venda]]/Vendas[[#This Row],[Valor da Venda]]</f>
        <v>0.1304347826086957</v>
      </c>
      <c r="L1155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1155"/>
    </row>
    <row r="1156" spans="1:13" x14ac:dyDescent="0.3">
      <c r="A1156" s="7">
        <v>400253</v>
      </c>
      <c r="B1156" t="str">
        <f>_xlfn.XLOOKUP(Vendas[[#This Row],[ID Vendedor]],Vendedores[ID],Vendedores[Nome])</f>
        <v>Gustavo</v>
      </c>
      <c r="C1156" s="7" t="str">
        <f>_xlfn.XLOOKUP(Vendas[[#This Row],[ID Vendedor]],Vendedores[ID],Vendedores[Setor])</f>
        <v>SC</v>
      </c>
      <c r="D1156" s="7" t="s">
        <v>42</v>
      </c>
      <c r="E1156" t="str">
        <f>_xlfn.XLOOKUP(Vendas[[#This Row],[ID Item Vendido]],Agregado[ID],Agregado[Produto])</f>
        <v>Container de ferro industrial</v>
      </c>
      <c r="F1156" s="39">
        <v>44410</v>
      </c>
      <c r="G1156" s="7">
        <v>5</v>
      </c>
      <c r="H1156" s="3">
        <f>_xlfn.XLOOKUP(Vendas[[#This Row],[ID Item Vendido]],Agregado[ID],Agregado[Revenda])</f>
        <v>830</v>
      </c>
      <c r="I1156" s="3">
        <f>Vendas[[#This Row],[Valor Unitário]]*Vendas[[#This Row],[Qnt Vendida]]</f>
        <v>4150</v>
      </c>
      <c r="J1156" s="3">
        <f>Vendas[[#This Row],[Valor da Venda]]-(_xlfn.XLOOKUP(Vendas[[#This Row],[ID Item Vendido]],Agregado[ID],Agregado[Custo])*Vendas[[#This Row],[Qnt Vendida]])</f>
        <v>750</v>
      </c>
      <c r="K1156" s="70">
        <f>Vendas[[#This Row],[Lucro da Venda]]/Vendas[[#This Row],[Valor da Venda]]</f>
        <v>0.18072289156626506</v>
      </c>
      <c r="L115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156"/>
    </row>
    <row r="1157" spans="1:13" x14ac:dyDescent="0.3">
      <c r="A1157" s="7">
        <v>400253</v>
      </c>
      <c r="B1157" t="str">
        <f>_xlfn.XLOOKUP(Vendas[[#This Row],[ID Vendedor]],Vendedores[ID],Vendedores[Nome])</f>
        <v>Gustavo</v>
      </c>
      <c r="C1157" s="7" t="str">
        <f>_xlfn.XLOOKUP(Vendas[[#This Row],[ID Vendedor]],Vendedores[ID],Vendedores[Setor])</f>
        <v>SC</v>
      </c>
      <c r="D1157" s="7" t="s">
        <v>48</v>
      </c>
      <c r="E1157" t="str">
        <f>_xlfn.XLOOKUP(Vendas[[#This Row],[ID Item Vendido]],Agregado[ID],Agregado[Produto])</f>
        <v>Tambor metálico 200L</v>
      </c>
      <c r="F1157" s="39">
        <v>44411</v>
      </c>
      <c r="G1157" s="7">
        <v>7</v>
      </c>
      <c r="H1157" s="3">
        <f>_xlfn.XLOOKUP(Vendas[[#This Row],[ID Item Vendido]],Agregado[ID],Agregado[Revenda])</f>
        <v>144</v>
      </c>
      <c r="I1157" s="3">
        <f>Vendas[[#This Row],[Valor Unitário]]*Vendas[[#This Row],[Qnt Vendida]]</f>
        <v>1008</v>
      </c>
      <c r="J1157" s="3">
        <f>Vendas[[#This Row],[Valor da Venda]]-(_xlfn.XLOOKUP(Vendas[[#This Row],[ID Item Vendido]],Agregado[ID],Agregado[Custo])*Vendas[[#This Row],[Qnt Vendida]])</f>
        <v>168</v>
      </c>
      <c r="K1157" s="70">
        <f>Vendas[[#This Row],[Lucro da Venda]]/Vendas[[#This Row],[Valor da Venda]]</f>
        <v>0.16666666666666666</v>
      </c>
      <c r="L1157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1157"/>
    </row>
    <row r="1158" spans="1:13" x14ac:dyDescent="0.3">
      <c r="A1158" s="7">
        <v>400250</v>
      </c>
      <c r="B1158" t="str">
        <f>_xlfn.XLOOKUP(Vendas[[#This Row],[ID Vendedor]],Vendedores[ID],Vendedores[Nome])</f>
        <v>Larissa</v>
      </c>
      <c r="C1158" s="7" t="str">
        <f>_xlfn.XLOOKUP(Vendas[[#This Row],[ID Vendedor]],Vendedores[ID],Vendedores[Setor])</f>
        <v>AB</v>
      </c>
      <c r="D1158" s="7" t="s">
        <v>24</v>
      </c>
      <c r="E1158" t="str">
        <f>_xlfn.XLOOKUP(Vendas[[#This Row],[ID Item Vendido]],Agregado[ID],Agregado[Produto])</f>
        <v>Resina plástica PET purificada saco de 25kg</v>
      </c>
      <c r="F1158" s="39">
        <v>44412</v>
      </c>
      <c r="G1158" s="7">
        <v>26</v>
      </c>
      <c r="H1158" s="3">
        <f>_xlfn.XLOOKUP(Vendas[[#This Row],[ID Item Vendido]],Agregado[ID],Agregado[Revenda])</f>
        <v>119</v>
      </c>
      <c r="I1158" s="3">
        <f>Vendas[[#This Row],[Valor Unitário]]*Vendas[[#This Row],[Qnt Vendida]]</f>
        <v>3094</v>
      </c>
      <c r="J1158" s="3">
        <f>Vendas[[#This Row],[Valor da Venda]]-(_xlfn.XLOOKUP(Vendas[[#This Row],[ID Item Vendido]],Agregado[ID],Agregado[Custo])*Vendas[[#This Row],[Qnt Vendida]])</f>
        <v>884</v>
      </c>
      <c r="K1158" s="70">
        <f>Vendas[[#This Row],[Lucro da Venda]]/Vendas[[#This Row],[Valor da Venda]]</f>
        <v>0.2857142857142857</v>
      </c>
      <c r="L1158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1158"/>
    </row>
    <row r="1159" spans="1:13" x14ac:dyDescent="0.3">
      <c r="A1159" s="7">
        <v>400245</v>
      </c>
      <c r="B1159" t="str">
        <f>_xlfn.XLOOKUP(Vendas[[#This Row],[ID Vendedor]],Vendedores[ID],Vendedores[Nome])</f>
        <v>Thiago</v>
      </c>
      <c r="C1159" s="7" t="str">
        <f>_xlfn.XLOOKUP(Vendas[[#This Row],[ID Vendedor]],Vendedores[ID],Vendedores[Setor])</f>
        <v>AHD</v>
      </c>
      <c r="D1159" s="7" t="s">
        <v>30</v>
      </c>
      <c r="E1159" t="str">
        <f>_xlfn.XLOOKUP(Vendas[[#This Row],[ID Item Vendido]],Agregado[ID],Agregado[Produto])</f>
        <v>Estrutura metálica soldada</v>
      </c>
      <c r="F1159" s="39">
        <v>44412</v>
      </c>
      <c r="G1159" s="7">
        <v>6</v>
      </c>
      <c r="H1159" s="3">
        <f>_xlfn.XLOOKUP(Vendas[[#This Row],[ID Item Vendido]],Agregado[ID],Agregado[Revenda])</f>
        <v>400</v>
      </c>
      <c r="I1159" s="3">
        <f>Vendas[[#This Row],[Valor Unitário]]*Vendas[[#This Row],[Qnt Vendida]]</f>
        <v>2400</v>
      </c>
      <c r="J1159" s="3">
        <f>Vendas[[#This Row],[Valor da Venda]]-(_xlfn.XLOOKUP(Vendas[[#This Row],[ID Item Vendido]],Agregado[ID],Agregado[Custo])*Vendas[[#This Row],[Qnt Vendida]])</f>
        <v>480</v>
      </c>
      <c r="K1159" s="70">
        <f>Vendas[[#This Row],[Lucro da Venda]]/Vendas[[#This Row],[Valor da Venda]]</f>
        <v>0.2</v>
      </c>
      <c r="L1159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159"/>
    </row>
    <row r="1160" spans="1:13" x14ac:dyDescent="0.3">
      <c r="A1160" s="7">
        <v>400247</v>
      </c>
      <c r="B1160" t="str">
        <f>_xlfn.XLOOKUP(Vendas[[#This Row],[ID Vendedor]],Vendedores[ID],Vendedores[Nome])</f>
        <v>André</v>
      </c>
      <c r="C1160" s="7" t="str">
        <f>_xlfn.XLOOKUP(Vendas[[#This Row],[ID Vendedor]],Vendedores[ID],Vendedores[Setor])</f>
        <v>CM</v>
      </c>
      <c r="D1160" s="7" t="s">
        <v>32</v>
      </c>
      <c r="E1160" t="str">
        <f>_xlfn.XLOOKUP(Vendas[[#This Row],[ID Item Vendido]],Agregado[ID],Agregado[Produto])</f>
        <v>Tábua tratada e cortada 3m</v>
      </c>
      <c r="F1160" s="39">
        <v>44412</v>
      </c>
      <c r="G1160" s="7">
        <v>32</v>
      </c>
      <c r="H1160" s="3">
        <f>_xlfn.XLOOKUP(Vendas[[#This Row],[ID Item Vendido]],Agregado[ID],Agregado[Revenda])</f>
        <v>39</v>
      </c>
      <c r="I1160" s="3">
        <f>Vendas[[#This Row],[Valor Unitário]]*Vendas[[#This Row],[Qnt Vendida]]</f>
        <v>1248</v>
      </c>
      <c r="J1160" s="3">
        <f>Vendas[[#This Row],[Valor da Venda]]-(_xlfn.XLOOKUP(Vendas[[#This Row],[ID Item Vendido]],Agregado[ID],Agregado[Custo])*Vendas[[#This Row],[Qnt Vendida]])</f>
        <v>224</v>
      </c>
      <c r="K1160" s="70">
        <f>Vendas[[#This Row],[Lucro da Venda]]/Vendas[[#This Row],[Valor da Venda]]</f>
        <v>0.17948717948717949</v>
      </c>
      <c r="L1160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1160"/>
    </row>
    <row r="1161" spans="1:13" x14ac:dyDescent="0.3">
      <c r="A1161" s="7">
        <v>400250</v>
      </c>
      <c r="B1161" t="str">
        <f>_xlfn.XLOOKUP(Vendas[[#This Row],[ID Vendedor]],Vendedores[ID],Vendedores[Nome])</f>
        <v>Larissa</v>
      </c>
      <c r="C1161" s="7" t="str">
        <f>_xlfn.XLOOKUP(Vendas[[#This Row],[ID Vendedor]],Vendedores[ID],Vendedores[Setor])</f>
        <v>AB</v>
      </c>
      <c r="D1161" s="7" t="s">
        <v>39</v>
      </c>
      <c r="E1161" t="str">
        <f>_xlfn.XLOOKUP(Vendas[[#This Row],[ID Item Vendido]],Agregado[ID],Agregado[Produto])</f>
        <v>Filme plástico industrial rolo 50m</v>
      </c>
      <c r="F1161" s="39">
        <v>44412</v>
      </c>
      <c r="G1161" s="7">
        <v>18</v>
      </c>
      <c r="H1161" s="3">
        <f>_xlfn.XLOOKUP(Vendas[[#This Row],[ID Item Vendido]],Agregado[ID],Agregado[Revenda])</f>
        <v>37</v>
      </c>
      <c r="I1161" s="3">
        <f>Vendas[[#This Row],[Valor Unitário]]*Vendas[[#This Row],[Qnt Vendida]]</f>
        <v>666</v>
      </c>
      <c r="J1161" s="3">
        <f>Vendas[[#This Row],[Valor da Venda]]-(_xlfn.XLOOKUP(Vendas[[#This Row],[ID Item Vendido]],Agregado[ID],Agregado[Custo])*Vendas[[#This Row],[Qnt Vendida]])</f>
        <v>162</v>
      </c>
      <c r="K1161" s="70">
        <f>Vendas[[#This Row],[Lucro da Venda]]/Vendas[[#This Row],[Valor da Venda]]</f>
        <v>0.24324324324324326</v>
      </c>
      <c r="L1161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1161"/>
    </row>
    <row r="1162" spans="1:13" x14ac:dyDescent="0.3">
      <c r="A1162" s="7">
        <v>400243</v>
      </c>
      <c r="B1162" t="str">
        <f>_xlfn.XLOOKUP(Vendas[[#This Row],[ID Vendedor]],Vendedores[ID],Vendedores[Nome])</f>
        <v>Marcelo</v>
      </c>
      <c r="C1162" s="7" t="str">
        <f>_xlfn.XLOOKUP(Vendas[[#This Row],[ID Vendedor]],Vendedores[ID],Vendedores[Setor])</f>
        <v>FM</v>
      </c>
      <c r="D1162" s="7" t="s">
        <v>47</v>
      </c>
      <c r="E1162" t="str">
        <f>_xlfn.XLOOKUP(Vendas[[#This Row],[ID Item Vendido]],Agregado[ID],Agregado[Produto])</f>
        <v>Fio de arame galvanizado rolo 50m</v>
      </c>
      <c r="F1162" s="39">
        <v>44413</v>
      </c>
      <c r="G1162" s="7">
        <v>35</v>
      </c>
      <c r="H1162" s="3">
        <f>_xlfn.XLOOKUP(Vendas[[#This Row],[ID Item Vendido]],Agregado[ID],Agregado[Revenda])</f>
        <v>21.2</v>
      </c>
      <c r="I1162" s="3">
        <f>Vendas[[#This Row],[Valor Unitário]]*Vendas[[#This Row],[Qnt Vendida]]</f>
        <v>742</v>
      </c>
      <c r="J1162" s="3">
        <f>Vendas[[#This Row],[Valor da Venda]]-(_xlfn.XLOOKUP(Vendas[[#This Row],[ID Item Vendido]],Agregado[ID],Agregado[Custo])*Vendas[[#This Row],[Qnt Vendida]])</f>
        <v>112</v>
      </c>
      <c r="K1162" s="70">
        <f>Vendas[[#This Row],[Lucro da Venda]]/Vendas[[#This Row],[Valor da Venda]]</f>
        <v>0.15094339622641509</v>
      </c>
      <c r="L1162" s="3">
        <f>_xlfn.IFS(Vendas[[#This Row],[Margem de Lucro (%)]]&lt;15%,Vendas[[#This Row],[Valor da Venda]]*3%,Vendas[[#This Row],[Margem de Lucro (%)]]&lt;=20%,Vendas[[#This Row],[Valor da Venda]]*4.5%,TRUE,Vendas[[#This Row],[Valor da Venda]]*6%)</f>
        <v>33.39</v>
      </c>
      <c r="M1162"/>
    </row>
    <row r="1163" spans="1:13" x14ac:dyDescent="0.3">
      <c r="A1163" s="7">
        <v>400250</v>
      </c>
      <c r="B1163" t="str">
        <f>_xlfn.XLOOKUP(Vendas[[#This Row],[ID Vendedor]],Vendedores[ID],Vendedores[Nome])</f>
        <v>Larissa</v>
      </c>
      <c r="C1163" s="7" t="str">
        <f>_xlfn.XLOOKUP(Vendas[[#This Row],[ID Vendedor]],Vendedores[ID],Vendedores[Setor])</f>
        <v>AB</v>
      </c>
      <c r="D1163" s="7" t="s">
        <v>39</v>
      </c>
      <c r="E1163" t="str">
        <f>_xlfn.XLOOKUP(Vendas[[#This Row],[ID Item Vendido]],Agregado[ID],Agregado[Produto])</f>
        <v>Filme plástico industrial rolo 50m</v>
      </c>
      <c r="F1163" s="39">
        <v>44413</v>
      </c>
      <c r="G1163" s="7">
        <v>16</v>
      </c>
      <c r="H1163" s="3">
        <f>_xlfn.XLOOKUP(Vendas[[#This Row],[ID Item Vendido]],Agregado[ID],Agregado[Revenda])</f>
        <v>37</v>
      </c>
      <c r="I1163" s="3">
        <f>Vendas[[#This Row],[Valor Unitário]]*Vendas[[#This Row],[Qnt Vendida]]</f>
        <v>592</v>
      </c>
      <c r="J1163" s="3">
        <f>Vendas[[#This Row],[Valor da Venda]]-(_xlfn.XLOOKUP(Vendas[[#This Row],[ID Item Vendido]],Agregado[ID],Agregado[Custo])*Vendas[[#This Row],[Qnt Vendida]])</f>
        <v>144</v>
      </c>
      <c r="K1163" s="70">
        <f>Vendas[[#This Row],[Lucro da Venda]]/Vendas[[#This Row],[Valor da Venda]]</f>
        <v>0.24324324324324326</v>
      </c>
      <c r="L1163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1163"/>
    </row>
    <row r="1164" spans="1:13" x14ac:dyDescent="0.3">
      <c r="A1164" s="7">
        <v>400250</v>
      </c>
      <c r="B1164" t="str">
        <f>_xlfn.XLOOKUP(Vendas[[#This Row],[ID Vendedor]],Vendedores[ID],Vendedores[Nome])</f>
        <v>Larissa</v>
      </c>
      <c r="C1164" s="7" t="str">
        <f>_xlfn.XLOOKUP(Vendas[[#This Row],[ID Vendedor]],Vendedores[ID],Vendedores[Setor])</f>
        <v>AB</v>
      </c>
      <c r="D1164" s="7" t="s">
        <v>39</v>
      </c>
      <c r="E1164" t="str">
        <f>_xlfn.XLOOKUP(Vendas[[#This Row],[ID Item Vendido]],Agregado[ID],Agregado[Produto])</f>
        <v>Filme plástico industrial rolo 50m</v>
      </c>
      <c r="F1164" s="39">
        <v>44415</v>
      </c>
      <c r="G1164" s="7">
        <v>17</v>
      </c>
      <c r="H1164" s="3">
        <f>_xlfn.XLOOKUP(Vendas[[#This Row],[ID Item Vendido]],Agregado[ID],Agregado[Revenda])</f>
        <v>37</v>
      </c>
      <c r="I1164" s="3">
        <f>Vendas[[#This Row],[Valor Unitário]]*Vendas[[#This Row],[Qnt Vendida]]</f>
        <v>629</v>
      </c>
      <c r="J1164" s="3">
        <f>Vendas[[#This Row],[Valor da Venda]]-(_xlfn.XLOOKUP(Vendas[[#This Row],[ID Item Vendido]],Agregado[ID],Agregado[Custo])*Vendas[[#This Row],[Qnt Vendida]])</f>
        <v>153</v>
      </c>
      <c r="K1164" s="70">
        <f>Vendas[[#This Row],[Lucro da Venda]]/Vendas[[#This Row],[Valor da Venda]]</f>
        <v>0.24324324324324326</v>
      </c>
      <c r="L1164" s="3">
        <f>_xlfn.IFS(Vendas[[#This Row],[Margem de Lucro (%)]]&lt;15%,Vendas[[#This Row],[Valor da Venda]]*3%,Vendas[[#This Row],[Margem de Lucro (%)]]&lt;=20%,Vendas[[#This Row],[Valor da Venda]]*4.5%,TRUE,Vendas[[#This Row],[Valor da Venda]]*6%)</f>
        <v>37.74</v>
      </c>
      <c r="M1164"/>
    </row>
    <row r="1165" spans="1:13" x14ac:dyDescent="0.3">
      <c r="A1165" s="7">
        <v>400247</v>
      </c>
      <c r="B1165" t="str">
        <f>_xlfn.XLOOKUP(Vendas[[#This Row],[ID Vendedor]],Vendedores[ID],Vendedores[Nome])</f>
        <v>André</v>
      </c>
      <c r="C1165" s="7" t="str">
        <f>_xlfn.XLOOKUP(Vendas[[#This Row],[ID Vendedor]],Vendedores[ID],Vendedores[Setor])</f>
        <v>CM</v>
      </c>
      <c r="D1165" s="7" t="s">
        <v>43</v>
      </c>
      <c r="E1165" t="str">
        <f>_xlfn.XLOOKUP(Vendas[[#This Row],[ID Item Vendido]],Agregado[ID],Agregado[Produto])</f>
        <v>Madeira Bruta (Tora)</v>
      </c>
      <c r="F1165" s="39">
        <v>44415</v>
      </c>
      <c r="G1165" s="7">
        <v>2</v>
      </c>
      <c r="H1165" s="3">
        <f>_xlfn.XLOOKUP(Vendas[[#This Row],[ID Item Vendido]],Agregado[ID],Agregado[Revenda])</f>
        <v>212</v>
      </c>
      <c r="I1165" s="3">
        <f>Vendas[[#This Row],[Valor Unitário]]*Vendas[[#This Row],[Qnt Vendida]]</f>
        <v>424</v>
      </c>
      <c r="J1165" s="3">
        <f>Vendas[[#This Row],[Valor da Venda]]-(_xlfn.XLOOKUP(Vendas[[#This Row],[ID Item Vendido]],Agregado[ID],Agregado[Custo])*Vendas[[#This Row],[Qnt Vendida]])</f>
        <v>64</v>
      </c>
      <c r="K1165" s="70">
        <f>Vendas[[#This Row],[Lucro da Venda]]/Vendas[[#This Row],[Valor da Venda]]</f>
        <v>0.15094339622641509</v>
      </c>
      <c r="L116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165"/>
    </row>
    <row r="1166" spans="1:13" x14ac:dyDescent="0.3">
      <c r="A1166" s="7">
        <v>400250</v>
      </c>
      <c r="B1166" t="str">
        <f>_xlfn.XLOOKUP(Vendas[[#This Row],[ID Vendedor]],Vendedores[ID],Vendedores[Nome])</f>
        <v>Larissa</v>
      </c>
      <c r="C1166" s="7" t="str">
        <f>_xlfn.XLOOKUP(Vendas[[#This Row],[ID Vendedor]],Vendedores[ID],Vendedores[Setor])</f>
        <v>AB</v>
      </c>
      <c r="D1166" s="7" t="s">
        <v>39</v>
      </c>
      <c r="E1166" t="str">
        <f>_xlfn.XLOOKUP(Vendas[[#This Row],[ID Item Vendido]],Agregado[ID],Agregado[Produto])</f>
        <v>Filme plástico industrial rolo 50m</v>
      </c>
      <c r="F1166" s="39">
        <v>44415</v>
      </c>
      <c r="G1166" s="7">
        <v>6</v>
      </c>
      <c r="H1166" s="3">
        <f>_xlfn.XLOOKUP(Vendas[[#This Row],[ID Item Vendido]],Agregado[ID],Agregado[Revenda])</f>
        <v>37</v>
      </c>
      <c r="I1166" s="3">
        <f>Vendas[[#This Row],[Valor Unitário]]*Vendas[[#This Row],[Qnt Vendida]]</f>
        <v>222</v>
      </c>
      <c r="J1166" s="3">
        <f>Vendas[[#This Row],[Valor da Venda]]-(_xlfn.XLOOKUP(Vendas[[#This Row],[ID Item Vendido]],Agregado[ID],Agregado[Custo])*Vendas[[#This Row],[Qnt Vendida]])</f>
        <v>54</v>
      </c>
      <c r="K1166" s="70">
        <f>Vendas[[#This Row],[Lucro da Venda]]/Vendas[[#This Row],[Valor da Venda]]</f>
        <v>0.24324324324324326</v>
      </c>
      <c r="L1166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1166"/>
    </row>
    <row r="1167" spans="1:13" x14ac:dyDescent="0.3">
      <c r="A1167" s="7">
        <v>400249</v>
      </c>
      <c r="B1167" t="str">
        <f>_xlfn.XLOOKUP(Vendas[[#This Row],[ID Vendedor]],Vendedores[ID],Vendedores[Nome])</f>
        <v>Bruno</v>
      </c>
      <c r="C1167" s="7" t="str">
        <f>_xlfn.XLOOKUP(Vendas[[#This Row],[ID Vendedor]],Vendedores[ID],Vendedores[Setor])</f>
        <v>CM</v>
      </c>
      <c r="D1167" s="7" t="s">
        <v>43</v>
      </c>
      <c r="E1167" t="str">
        <f>_xlfn.XLOOKUP(Vendas[[#This Row],[ID Item Vendido]],Agregado[ID],Agregado[Produto])</f>
        <v>Madeira Bruta (Tora)</v>
      </c>
      <c r="F1167" s="39">
        <v>44416</v>
      </c>
      <c r="G1167" s="7">
        <v>7</v>
      </c>
      <c r="H1167" s="3">
        <f>_xlfn.XLOOKUP(Vendas[[#This Row],[ID Item Vendido]],Agregado[ID],Agregado[Revenda])</f>
        <v>212</v>
      </c>
      <c r="I1167" s="3">
        <f>Vendas[[#This Row],[Valor Unitário]]*Vendas[[#This Row],[Qnt Vendida]]</f>
        <v>1484</v>
      </c>
      <c r="J1167" s="3">
        <f>Vendas[[#This Row],[Valor da Venda]]-(_xlfn.XLOOKUP(Vendas[[#This Row],[ID Item Vendido]],Agregado[ID],Agregado[Custo])*Vendas[[#This Row],[Qnt Vendida]])</f>
        <v>224</v>
      </c>
      <c r="K1167" s="70">
        <f>Vendas[[#This Row],[Lucro da Venda]]/Vendas[[#This Row],[Valor da Venda]]</f>
        <v>0.15094339622641509</v>
      </c>
      <c r="L1167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1167"/>
    </row>
    <row r="1168" spans="1:13" x14ac:dyDescent="0.3">
      <c r="A1168" s="7">
        <v>400243</v>
      </c>
      <c r="B1168" t="str">
        <f>_xlfn.XLOOKUP(Vendas[[#This Row],[ID Vendedor]],Vendedores[ID],Vendedores[Nome])</f>
        <v>Marcelo</v>
      </c>
      <c r="C1168" s="7" t="str">
        <f>_xlfn.XLOOKUP(Vendas[[#This Row],[ID Vendedor]],Vendedores[ID],Vendedores[Setor])</f>
        <v>FM</v>
      </c>
      <c r="D1168" s="7" t="s">
        <v>31</v>
      </c>
      <c r="E1168" t="str">
        <f>_xlfn.XLOOKUP(Vendas[[#This Row],[ID Item Vendido]],Agregado[ID],Agregado[Produto])</f>
        <v>Tela de metal soldada rolo 2x25m</v>
      </c>
      <c r="F1168" s="39">
        <v>44416</v>
      </c>
      <c r="G1168" s="7">
        <v>5</v>
      </c>
      <c r="H1168" s="3">
        <f>_xlfn.XLOOKUP(Vendas[[#This Row],[ID Item Vendido]],Agregado[ID],Agregado[Revenda])</f>
        <v>43.7</v>
      </c>
      <c r="I1168" s="3">
        <f>Vendas[[#This Row],[Valor Unitário]]*Vendas[[#This Row],[Qnt Vendida]]</f>
        <v>218.5</v>
      </c>
      <c r="J1168" s="3">
        <f>Vendas[[#This Row],[Valor da Venda]]-(_xlfn.XLOOKUP(Vendas[[#This Row],[ID Item Vendido]],Agregado[ID],Agregado[Custo])*Vendas[[#This Row],[Qnt Vendida]])</f>
        <v>28.5</v>
      </c>
      <c r="K1168" s="70">
        <f>Vendas[[#This Row],[Lucro da Venda]]/Vendas[[#This Row],[Valor da Venda]]</f>
        <v>0.13043478260869565</v>
      </c>
      <c r="L1168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1168"/>
    </row>
    <row r="1169" spans="1:13" x14ac:dyDescent="0.3">
      <c r="A1169" s="7">
        <v>400247</v>
      </c>
      <c r="B1169" t="str">
        <f>_xlfn.XLOOKUP(Vendas[[#This Row],[ID Vendedor]],Vendedores[ID],Vendedores[Nome])</f>
        <v>André</v>
      </c>
      <c r="C1169" s="7" t="str">
        <f>_xlfn.XLOOKUP(Vendas[[#This Row],[ID Vendedor]],Vendedores[ID],Vendedores[Setor])</f>
        <v>CM</v>
      </c>
      <c r="D1169" s="7" t="s">
        <v>45</v>
      </c>
      <c r="E1169" t="str">
        <f>_xlfn.XLOOKUP(Vendas[[#This Row],[ID Item Vendido]],Agregado[ID],Agregado[Produto])</f>
        <v>Viga de madeira tratada 4m</v>
      </c>
      <c r="F1169" s="39">
        <v>44417</v>
      </c>
      <c r="G1169" s="7">
        <v>17</v>
      </c>
      <c r="H1169" s="3">
        <f>_xlfn.XLOOKUP(Vendas[[#This Row],[ID Item Vendido]],Agregado[ID],Agregado[Revenda])</f>
        <v>66</v>
      </c>
      <c r="I1169" s="3">
        <f>Vendas[[#This Row],[Valor Unitário]]*Vendas[[#This Row],[Qnt Vendida]]</f>
        <v>1122</v>
      </c>
      <c r="J1169" s="3">
        <f>Vendas[[#This Row],[Valor da Venda]]-(_xlfn.XLOOKUP(Vendas[[#This Row],[ID Item Vendido]],Agregado[ID],Agregado[Custo])*Vendas[[#This Row],[Qnt Vendida]])</f>
        <v>187</v>
      </c>
      <c r="K1169" s="70">
        <f>Vendas[[#This Row],[Lucro da Venda]]/Vendas[[#This Row],[Valor da Venda]]</f>
        <v>0.16666666666666666</v>
      </c>
      <c r="L1169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1169"/>
    </row>
    <row r="1170" spans="1:13" x14ac:dyDescent="0.3">
      <c r="A1170" s="7">
        <v>400247</v>
      </c>
      <c r="B1170" t="str">
        <f>_xlfn.XLOOKUP(Vendas[[#This Row],[ID Vendedor]],Vendedores[ID],Vendedores[Nome])</f>
        <v>André</v>
      </c>
      <c r="C1170" s="7" t="str">
        <f>_xlfn.XLOOKUP(Vendas[[#This Row],[ID Vendedor]],Vendedores[ID],Vendedores[Setor])</f>
        <v>CM</v>
      </c>
      <c r="D1170" s="7" t="s">
        <v>32</v>
      </c>
      <c r="E1170" t="str">
        <f>_xlfn.XLOOKUP(Vendas[[#This Row],[ID Item Vendido]],Agregado[ID],Agregado[Produto])</f>
        <v>Tábua tratada e cortada 3m</v>
      </c>
      <c r="F1170" s="39">
        <v>44417</v>
      </c>
      <c r="G1170" s="7">
        <v>10</v>
      </c>
      <c r="H1170" s="3">
        <f>_xlfn.XLOOKUP(Vendas[[#This Row],[ID Item Vendido]],Agregado[ID],Agregado[Revenda])</f>
        <v>39</v>
      </c>
      <c r="I1170" s="3">
        <f>Vendas[[#This Row],[Valor Unitário]]*Vendas[[#This Row],[Qnt Vendida]]</f>
        <v>390</v>
      </c>
      <c r="J1170" s="3">
        <f>Vendas[[#This Row],[Valor da Venda]]-(_xlfn.XLOOKUP(Vendas[[#This Row],[ID Item Vendido]],Agregado[ID],Agregado[Custo])*Vendas[[#This Row],[Qnt Vendida]])</f>
        <v>70</v>
      </c>
      <c r="K1170" s="70">
        <f>Vendas[[#This Row],[Lucro da Venda]]/Vendas[[#This Row],[Valor da Venda]]</f>
        <v>0.17948717948717949</v>
      </c>
      <c r="L1170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1170"/>
    </row>
    <row r="1171" spans="1:13" x14ac:dyDescent="0.3">
      <c r="A1171" s="7">
        <v>400241</v>
      </c>
      <c r="B1171" t="str">
        <f>_xlfn.XLOOKUP(Vendas[[#This Row],[ID Vendedor]],Vendedores[ID],Vendedores[Nome])</f>
        <v>Rodrigo</v>
      </c>
      <c r="C1171" s="7" t="str">
        <f>_xlfn.XLOOKUP(Vendas[[#This Row],[ID Vendedor]],Vendedores[ID],Vendedores[Setor])</f>
        <v>FM</v>
      </c>
      <c r="D1171" s="7" t="s">
        <v>27</v>
      </c>
      <c r="E1171" t="str">
        <f>_xlfn.XLOOKUP(Vendas[[#This Row],[ID Item Vendido]],Agregado[ID],Agregado[Produto])</f>
        <v>Chapa de metal lisa 1x2m</v>
      </c>
      <c r="F1171" s="39">
        <v>44417</v>
      </c>
      <c r="G1171" s="7">
        <v>6</v>
      </c>
      <c r="H1171" s="3">
        <f>_xlfn.XLOOKUP(Vendas[[#This Row],[ID Item Vendido]],Agregado[ID],Agregado[Revenda])</f>
        <v>52</v>
      </c>
      <c r="I1171" s="3">
        <f>Vendas[[#This Row],[Valor Unitário]]*Vendas[[#This Row],[Qnt Vendida]]</f>
        <v>312</v>
      </c>
      <c r="J1171" s="3">
        <f>Vendas[[#This Row],[Valor da Venda]]-(_xlfn.XLOOKUP(Vendas[[#This Row],[ID Item Vendido]],Agregado[ID],Agregado[Custo])*Vendas[[#This Row],[Qnt Vendida]])</f>
        <v>42</v>
      </c>
      <c r="K1171" s="70">
        <f>Vendas[[#This Row],[Lucro da Venda]]/Vendas[[#This Row],[Valor da Venda]]</f>
        <v>0.13461538461538461</v>
      </c>
      <c r="L1171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171"/>
    </row>
    <row r="1172" spans="1:13" x14ac:dyDescent="0.3">
      <c r="A1172" s="7">
        <v>400253</v>
      </c>
      <c r="B1172" t="str">
        <f>_xlfn.XLOOKUP(Vendas[[#This Row],[ID Vendedor]],Vendedores[ID],Vendedores[Nome])</f>
        <v>Gustavo</v>
      </c>
      <c r="C1172" s="7" t="str">
        <f>_xlfn.XLOOKUP(Vendas[[#This Row],[ID Vendedor]],Vendedores[ID],Vendedores[Setor])</f>
        <v>SC</v>
      </c>
      <c r="D1172" s="7" t="s">
        <v>48</v>
      </c>
      <c r="E1172" t="str">
        <f>_xlfn.XLOOKUP(Vendas[[#This Row],[ID Item Vendido]],Agregado[ID],Agregado[Produto])</f>
        <v>Tambor metálico 200L</v>
      </c>
      <c r="F1172" s="39">
        <v>44417</v>
      </c>
      <c r="G1172" s="7">
        <v>2</v>
      </c>
      <c r="H1172" s="3">
        <f>_xlfn.XLOOKUP(Vendas[[#This Row],[ID Item Vendido]],Agregado[ID],Agregado[Revenda])</f>
        <v>144</v>
      </c>
      <c r="I1172" s="3">
        <f>Vendas[[#This Row],[Valor Unitário]]*Vendas[[#This Row],[Qnt Vendida]]</f>
        <v>288</v>
      </c>
      <c r="J1172" s="3">
        <f>Vendas[[#This Row],[Valor da Venda]]-(_xlfn.XLOOKUP(Vendas[[#This Row],[ID Item Vendido]],Agregado[ID],Agregado[Custo])*Vendas[[#This Row],[Qnt Vendida]])</f>
        <v>48</v>
      </c>
      <c r="K1172" s="70">
        <f>Vendas[[#This Row],[Lucro da Venda]]/Vendas[[#This Row],[Valor da Venda]]</f>
        <v>0.16666666666666666</v>
      </c>
      <c r="L1172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1172"/>
    </row>
    <row r="1173" spans="1:13" x14ac:dyDescent="0.3">
      <c r="A1173" s="7">
        <v>400253</v>
      </c>
      <c r="B1173" t="str">
        <f>_xlfn.XLOOKUP(Vendas[[#This Row],[ID Vendedor]],Vendedores[ID],Vendedores[Nome])</f>
        <v>Gustavo</v>
      </c>
      <c r="C1173" s="7" t="str">
        <f>_xlfn.XLOOKUP(Vendas[[#This Row],[ID Vendedor]],Vendedores[ID],Vendedores[Setor])</f>
        <v>SC</v>
      </c>
      <c r="D1173" s="7" t="s">
        <v>14</v>
      </c>
      <c r="E1173" t="str">
        <f>_xlfn.XLOOKUP(Vendas[[#This Row],[ID Item Vendido]],Agregado[ID],Agregado[Produto])</f>
        <v>Barril de plástico 200L</v>
      </c>
      <c r="F1173" s="39">
        <v>44420</v>
      </c>
      <c r="G1173" s="7">
        <v>21</v>
      </c>
      <c r="H1173" s="3">
        <f>_xlfn.XLOOKUP(Vendas[[#This Row],[ID Item Vendido]],Agregado[ID],Agregado[Revenda])</f>
        <v>114</v>
      </c>
      <c r="I1173" s="3">
        <f>Vendas[[#This Row],[Valor Unitário]]*Vendas[[#This Row],[Qnt Vendida]]</f>
        <v>2394</v>
      </c>
      <c r="J1173" s="3">
        <f>Vendas[[#This Row],[Valor da Venda]]-(_xlfn.XLOOKUP(Vendas[[#This Row],[ID Item Vendido]],Agregado[ID],Agregado[Custo])*Vendas[[#This Row],[Qnt Vendida]])</f>
        <v>399</v>
      </c>
      <c r="K1173" s="70">
        <f>Vendas[[#This Row],[Lucro da Venda]]/Vendas[[#This Row],[Valor da Venda]]</f>
        <v>0.16666666666666666</v>
      </c>
      <c r="L1173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1173"/>
    </row>
    <row r="1174" spans="1:13" x14ac:dyDescent="0.3">
      <c r="A1174" s="7">
        <v>400244</v>
      </c>
      <c r="B1174" t="str">
        <f>_xlfn.XLOOKUP(Vendas[[#This Row],[ID Vendedor]],Vendedores[ID],Vendedores[Nome])</f>
        <v>Camila</v>
      </c>
      <c r="C1174" s="7" t="str">
        <f>_xlfn.XLOOKUP(Vendas[[#This Row],[ID Vendedor]],Vendedores[ID],Vendedores[Setor])</f>
        <v>AHD</v>
      </c>
      <c r="D1174" s="7" t="s">
        <v>44</v>
      </c>
      <c r="E1174" t="str">
        <f>_xlfn.XLOOKUP(Vendas[[#This Row],[ID Item Vendido]],Agregado[ID],Agregado[Produto])</f>
        <v>Liga metálica especial</v>
      </c>
      <c r="F1174" s="39">
        <v>44420</v>
      </c>
      <c r="G1174" s="7">
        <v>57</v>
      </c>
      <c r="H1174" s="3">
        <f>_xlfn.XLOOKUP(Vendas[[#This Row],[ID Item Vendido]],Agregado[ID],Agregado[Revenda])</f>
        <v>32.5</v>
      </c>
      <c r="I1174" s="3">
        <f>Vendas[[#This Row],[Valor Unitário]]*Vendas[[#This Row],[Qnt Vendida]]</f>
        <v>1852.5</v>
      </c>
      <c r="J1174" s="3">
        <f>Vendas[[#This Row],[Valor da Venda]]-(_xlfn.XLOOKUP(Vendas[[#This Row],[ID Item Vendido]],Agregado[ID],Agregado[Custo])*Vendas[[#This Row],[Qnt Vendida]])</f>
        <v>427.5</v>
      </c>
      <c r="K1174" s="70">
        <f>Vendas[[#This Row],[Lucro da Venda]]/Vendas[[#This Row],[Valor da Venda]]</f>
        <v>0.23076923076923078</v>
      </c>
      <c r="L1174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1174"/>
    </row>
    <row r="1175" spans="1:13" x14ac:dyDescent="0.3">
      <c r="A1175" s="7">
        <v>400250</v>
      </c>
      <c r="B1175" t="str">
        <f>_xlfn.XLOOKUP(Vendas[[#This Row],[ID Vendedor]],Vendedores[ID],Vendedores[Nome])</f>
        <v>Larissa</v>
      </c>
      <c r="C1175" s="7" t="str">
        <f>_xlfn.XLOOKUP(Vendas[[#This Row],[ID Vendedor]],Vendedores[ID],Vendedores[Setor])</f>
        <v>AB</v>
      </c>
      <c r="D1175" s="7" t="s">
        <v>36</v>
      </c>
      <c r="E1175" t="str">
        <f>_xlfn.XLOOKUP(Vendas[[#This Row],[ID Item Vendido]],Agregado[ID],Agregado[Produto])</f>
        <v>Borracha vulcanizada em manta</v>
      </c>
      <c r="F1175" s="39">
        <v>44421</v>
      </c>
      <c r="G1175" s="7">
        <v>39</v>
      </c>
      <c r="H1175" s="3">
        <f>_xlfn.XLOOKUP(Vendas[[#This Row],[ID Item Vendido]],Agregado[ID],Agregado[Revenda])</f>
        <v>7.8</v>
      </c>
      <c r="I1175" s="3">
        <f>Vendas[[#This Row],[Valor Unitário]]*Vendas[[#This Row],[Qnt Vendida]]</f>
        <v>304.2</v>
      </c>
      <c r="J1175" s="3">
        <f>Vendas[[#This Row],[Valor da Venda]]-(_xlfn.XLOOKUP(Vendas[[#This Row],[ID Item Vendido]],Agregado[ID],Agregado[Custo])*Vendas[[#This Row],[Qnt Vendida]])</f>
        <v>70.199999999999989</v>
      </c>
      <c r="K1175" s="70">
        <f>Vendas[[#This Row],[Lucro da Venda]]/Vendas[[#This Row],[Valor da Venda]]</f>
        <v>0.23076923076923075</v>
      </c>
      <c r="L1175" s="3">
        <f>_xlfn.IFS(Vendas[[#This Row],[Margem de Lucro (%)]]&lt;15%,Vendas[[#This Row],[Valor da Venda]]*3%,Vendas[[#This Row],[Margem de Lucro (%)]]&lt;=20%,Vendas[[#This Row],[Valor da Venda]]*4.5%,TRUE,Vendas[[#This Row],[Valor da Venda]]*6%)</f>
        <v>18.251999999999999</v>
      </c>
      <c r="M1175"/>
    </row>
    <row r="1176" spans="1:13" x14ac:dyDescent="0.3">
      <c r="A1176" s="7">
        <v>400245</v>
      </c>
      <c r="B1176" t="str">
        <f>_xlfn.XLOOKUP(Vendas[[#This Row],[ID Vendedor]],Vendedores[ID],Vendedores[Nome])</f>
        <v>Thiago</v>
      </c>
      <c r="C1176" s="7" t="str">
        <f>_xlfn.XLOOKUP(Vendas[[#This Row],[ID Vendedor]],Vendedores[ID],Vendedores[Setor])</f>
        <v>AHD</v>
      </c>
      <c r="D1176" s="7" t="s">
        <v>44</v>
      </c>
      <c r="E1176" t="str">
        <f>_xlfn.XLOOKUP(Vendas[[#This Row],[ID Item Vendido]],Agregado[ID],Agregado[Produto])</f>
        <v>Liga metálica especial</v>
      </c>
      <c r="F1176" s="39">
        <v>44422</v>
      </c>
      <c r="G1176" s="7">
        <v>29</v>
      </c>
      <c r="H1176" s="3">
        <f>_xlfn.XLOOKUP(Vendas[[#This Row],[ID Item Vendido]],Agregado[ID],Agregado[Revenda])</f>
        <v>32.5</v>
      </c>
      <c r="I1176" s="3">
        <f>Vendas[[#This Row],[Valor Unitário]]*Vendas[[#This Row],[Qnt Vendida]]</f>
        <v>942.5</v>
      </c>
      <c r="J1176" s="3">
        <f>Vendas[[#This Row],[Valor da Venda]]-(_xlfn.XLOOKUP(Vendas[[#This Row],[ID Item Vendido]],Agregado[ID],Agregado[Custo])*Vendas[[#This Row],[Qnt Vendida]])</f>
        <v>217.5</v>
      </c>
      <c r="K1176" s="70">
        <f>Vendas[[#This Row],[Lucro da Venda]]/Vendas[[#This Row],[Valor da Venda]]</f>
        <v>0.23076923076923078</v>
      </c>
      <c r="L1176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1176"/>
    </row>
    <row r="1177" spans="1:13" x14ac:dyDescent="0.3">
      <c r="A1177" s="7">
        <v>400251</v>
      </c>
      <c r="B1177" t="str">
        <f>_xlfn.XLOOKUP(Vendas[[#This Row],[ID Vendedor]],Vendedores[ID],Vendedores[Nome])</f>
        <v>Diego</v>
      </c>
      <c r="C1177" s="7" t="str">
        <f>_xlfn.XLOOKUP(Vendas[[#This Row],[ID Vendedor]],Vendedores[ID],Vendedores[Setor])</f>
        <v>AB</v>
      </c>
      <c r="D1177" s="7" t="s">
        <v>12</v>
      </c>
      <c r="E1177" t="str">
        <f>_xlfn.XLOOKUP(Vendas[[#This Row],[ID Item Vendido]],Agregado[ID],Agregado[Produto])</f>
        <v>Grânulo de plástico reciclado refinado</v>
      </c>
      <c r="F1177" s="39">
        <v>44422</v>
      </c>
      <c r="G1177" s="7">
        <v>114</v>
      </c>
      <c r="H1177" s="3">
        <f>_xlfn.XLOOKUP(Vendas[[#This Row],[ID Item Vendido]],Agregado[ID],Agregado[Revenda])</f>
        <v>4.7</v>
      </c>
      <c r="I1177" s="3">
        <f>Vendas[[#This Row],[Valor Unitário]]*Vendas[[#This Row],[Qnt Vendida]]</f>
        <v>535.80000000000007</v>
      </c>
      <c r="J1177" s="3">
        <f>Vendas[[#This Row],[Valor da Venda]]-(_xlfn.XLOOKUP(Vendas[[#This Row],[ID Item Vendido]],Agregado[ID],Agregado[Custo])*Vendas[[#This Row],[Qnt Vendida]])</f>
        <v>136.80000000000007</v>
      </c>
      <c r="K1177" s="70">
        <f>Vendas[[#This Row],[Lucro da Venda]]/Vendas[[#This Row],[Valor da Venda]]</f>
        <v>0.2553191489361703</v>
      </c>
      <c r="L1177" s="3">
        <f>_xlfn.IFS(Vendas[[#This Row],[Margem de Lucro (%)]]&lt;15%,Vendas[[#This Row],[Valor da Venda]]*3%,Vendas[[#This Row],[Margem de Lucro (%)]]&lt;=20%,Vendas[[#This Row],[Valor da Venda]]*4.5%,TRUE,Vendas[[#This Row],[Valor da Venda]]*6%)</f>
        <v>32.148000000000003</v>
      </c>
      <c r="M1177"/>
    </row>
    <row r="1178" spans="1:13" x14ac:dyDescent="0.3">
      <c r="A1178" s="7">
        <v>400243</v>
      </c>
      <c r="B1178" t="str">
        <f>_xlfn.XLOOKUP(Vendas[[#This Row],[ID Vendedor]],Vendedores[ID],Vendedores[Nome])</f>
        <v>Marcelo</v>
      </c>
      <c r="C1178" s="7" t="str">
        <f>_xlfn.XLOOKUP(Vendas[[#This Row],[ID Vendedor]],Vendedores[ID],Vendedores[Setor])</f>
        <v>FM</v>
      </c>
      <c r="D1178" s="7" t="s">
        <v>47</v>
      </c>
      <c r="E1178" t="str">
        <f>_xlfn.XLOOKUP(Vendas[[#This Row],[ID Item Vendido]],Agregado[ID],Agregado[Produto])</f>
        <v>Fio de arame galvanizado rolo 50m</v>
      </c>
      <c r="F1178" s="39">
        <v>44422</v>
      </c>
      <c r="G1178" s="7">
        <v>25</v>
      </c>
      <c r="H1178" s="3">
        <f>_xlfn.XLOOKUP(Vendas[[#This Row],[ID Item Vendido]],Agregado[ID],Agregado[Revenda])</f>
        <v>21.2</v>
      </c>
      <c r="I1178" s="3">
        <f>Vendas[[#This Row],[Valor Unitário]]*Vendas[[#This Row],[Qnt Vendida]]</f>
        <v>530</v>
      </c>
      <c r="J1178" s="3">
        <f>Vendas[[#This Row],[Valor da Venda]]-(_xlfn.XLOOKUP(Vendas[[#This Row],[ID Item Vendido]],Agregado[ID],Agregado[Custo])*Vendas[[#This Row],[Qnt Vendida]])</f>
        <v>80</v>
      </c>
      <c r="K1178" s="70">
        <f>Vendas[[#This Row],[Lucro da Venda]]/Vendas[[#This Row],[Valor da Venda]]</f>
        <v>0.15094339622641509</v>
      </c>
      <c r="L1178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1178"/>
    </row>
    <row r="1179" spans="1:13" x14ac:dyDescent="0.3">
      <c r="A1179" s="7">
        <v>400250</v>
      </c>
      <c r="B1179" t="str">
        <f>_xlfn.XLOOKUP(Vendas[[#This Row],[ID Vendedor]],Vendedores[ID],Vendedores[Nome])</f>
        <v>Larissa</v>
      </c>
      <c r="C1179" s="7" t="str">
        <f>_xlfn.XLOOKUP(Vendas[[#This Row],[ID Vendedor]],Vendedores[ID],Vendedores[Setor])</f>
        <v>AB</v>
      </c>
      <c r="D1179" s="7" t="s">
        <v>36</v>
      </c>
      <c r="E1179" t="str">
        <f>_xlfn.XLOOKUP(Vendas[[#This Row],[ID Item Vendido]],Agregado[ID],Agregado[Produto])</f>
        <v>Borracha vulcanizada em manta</v>
      </c>
      <c r="F1179" s="39">
        <v>44423</v>
      </c>
      <c r="G1179" s="7">
        <v>72</v>
      </c>
      <c r="H1179" s="3">
        <f>_xlfn.XLOOKUP(Vendas[[#This Row],[ID Item Vendido]],Agregado[ID],Agregado[Revenda])</f>
        <v>7.8</v>
      </c>
      <c r="I1179" s="3">
        <f>Vendas[[#This Row],[Valor Unitário]]*Vendas[[#This Row],[Qnt Vendida]]</f>
        <v>561.6</v>
      </c>
      <c r="J1179" s="3">
        <f>Vendas[[#This Row],[Valor da Venda]]-(_xlfn.XLOOKUP(Vendas[[#This Row],[ID Item Vendido]],Agregado[ID],Agregado[Custo])*Vendas[[#This Row],[Qnt Vendida]])</f>
        <v>129.60000000000002</v>
      </c>
      <c r="K1179" s="70">
        <f>Vendas[[#This Row],[Lucro da Venda]]/Vendas[[#This Row],[Valor da Venda]]</f>
        <v>0.23076923076923081</v>
      </c>
      <c r="L1179" s="3">
        <f>_xlfn.IFS(Vendas[[#This Row],[Margem de Lucro (%)]]&lt;15%,Vendas[[#This Row],[Valor da Venda]]*3%,Vendas[[#This Row],[Margem de Lucro (%)]]&lt;=20%,Vendas[[#This Row],[Valor da Venda]]*4.5%,TRUE,Vendas[[#This Row],[Valor da Venda]]*6%)</f>
        <v>33.695999999999998</v>
      </c>
      <c r="M1179"/>
    </row>
    <row r="1180" spans="1:13" x14ac:dyDescent="0.3">
      <c r="A1180" s="7">
        <v>400250</v>
      </c>
      <c r="B1180" t="str">
        <f>_xlfn.XLOOKUP(Vendas[[#This Row],[ID Vendedor]],Vendedores[ID],Vendedores[Nome])</f>
        <v>Larissa</v>
      </c>
      <c r="C1180" s="7" t="str">
        <f>_xlfn.XLOOKUP(Vendas[[#This Row],[ID Vendedor]],Vendedores[ID],Vendedores[Setor])</f>
        <v>AB</v>
      </c>
      <c r="D1180" s="7" t="s">
        <v>36</v>
      </c>
      <c r="E1180" t="str">
        <f>_xlfn.XLOOKUP(Vendas[[#This Row],[ID Item Vendido]],Agregado[ID],Agregado[Produto])</f>
        <v>Borracha vulcanizada em manta</v>
      </c>
      <c r="F1180" s="39">
        <v>44423</v>
      </c>
      <c r="G1180" s="7">
        <v>59</v>
      </c>
      <c r="H1180" s="3">
        <f>_xlfn.XLOOKUP(Vendas[[#This Row],[ID Item Vendido]],Agregado[ID],Agregado[Revenda])</f>
        <v>7.8</v>
      </c>
      <c r="I1180" s="3">
        <f>Vendas[[#This Row],[Valor Unitário]]*Vendas[[#This Row],[Qnt Vendida]]</f>
        <v>460.2</v>
      </c>
      <c r="J1180" s="3">
        <f>Vendas[[#This Row],[Valor da Venda]]-(_xlfn.XLOOKUP(Vendas[[#This Row],[ID Item Vendido]],Agregado[ID],Agregado[Custo])*Vendas[[#This Row],[Qnt Vendida]])</f>
        <v>106.19999999999999</v>
      </c>
      <c r="K1180" s="70">
        <f>Vendas[[#This Row],[Lucro da Venda]]/Vendas[[#This Row],[Valor da Venda]]</f>
        <v>0.23076923076923075</v>
      </c>
      <c r="L1180" s="3">
        <f>_xlfn.IFS(Vendas[[#This Row],[Margem de Lucro (%)]]&lt;15%,Vendas[[#This Row],[Valor da Venda]]*3%,Vendas[[#This Row],[Margem de Lucro (%)]]&lt;=20%,Vendas[[#This Row],[Valor da Venda]]*4.5%,TRUE,Vendas[[#This Row],[Valor da Venda]]*6%)</f>
        <v>27.611999999999998</v>
      </c>
      <c r="M1180"/>
    </row>
    <row r="1181" spans="1:13" x14ac:dyDescent="0.3">
      <c r="A1181" s="7">
        <v>400255</v>
      </c>
      <c r="B1181" t="str">
        <f>_xlfn.XLOOKUP(Vendas[[#This Row],[ID Vendedor]],Vendedores[ID],Vendedores[Nome])</f>
        <v>Carlos</v>
      </c>
      <c r="C1181" s="7" t="str">
        <f>_xlfn.XLOOKUP(Vendas[[#This Row],[ID Vendedor]],Vendedores[ID],Vendedores[Setor])</f>
        <v>SC</v>
      </c>
      <c r="D1181" s="7" t="s">
        <v>48</v>
      </c>
      <c r="E1181" t="str">
        <f>_xlfn.XLOOKUP(Vendas[[#This Row],[ID Item Vendido]],Agregado[ID],Agregado[Produto])</f>
        <v>Tambor metálico 200L</v>
      </c>
      <c r="F1181" s="39">
        <v>44424</v>
      </c>
      <c r="G1181" s="7">
        <v>15</v>
      </c>
      <c r="H1181" s="3">
        <f>_xlfn.XLOOKUP(Vendas[[#This Row],[ID Item Vendido]],Agregado[ID],Agregado[Revenda])</f>
        <v>144</v>
      </c>
      <c r="I1181" s="3">
        <f>Vendas[[#This Row],[Valor Unitário]]*Vendas[[#This Row],[Qnt Vendida]]</f>
        <v>2160</v>
      </c>
      <c r="J1181" s="3">
        <f>Vendas[[#This Row],[Valor da Venda]]-(_xlfn.XLOOKUP(Vendas[[#This Row],[ID Item Vendido]],Agregado[ID],Agregado[Custo])*Vendas[[#This Row],[Qnt Vendida]])</f>
        <v>360</v>
      </c>
      <c r="K1181" s="70">
        <f>Vendas[[#This Row],[Lucro da Venda]]/Vendas[[#This Row],[Valor da Venda]]</f>
        <v>0.16666666666666666</v>
      </c>
      <c r="L1181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181"/>
    </row>
    <row r="1182" spans="1:13" x14ac:dyDescent="0.3">
      <c r="A1182" s="7">
        <v>400247</v>
      </c>
      <c r="B1182" t="str">
        <f>_xlfn.XLOOKUP(Vendas[[#This Row],[ID Vendedor]],Vendedores[ID],Vendedores[Nome])</f>
        <v>André</v>
      </c>
      <c r="C1182" s="7" t="str">
        <f>_xlfn.XLOOKUP(Vendas[[#This Row],[ID Vendedor]],Vendedores[ID],Vendedores[Setor])</f>
        <v>CM</v>
      </c>
      <c r="D1182" s="7" t="s">
        <v>34</v>
      </c>
      <c r="E1182" t="str">
        <f>_xlfn.XLOOKUP(Vendas[[#This Row],[ID Item Vendido]],Agregado[ID],Agregado[Produto])</f>
        <v>Restos de madeira p/ MDP/OSB saco de 20kg</v>
      </c>
      <c r="F1182" s="39">
        <v>44424</v>
      </c>
      <c r="G1182" s="7">
        <v>5</v>
      </c>
      <c r="H1182" s="3">
        <f>_xlfn.XLOOKUP(Vendas[[#This Row],[ID Item Vendido]],Agregado[ID],Agregado[Revenda])</f>
        <v>13.8</v>
      </c>
      <c r="I1182" s="3">
        <f>Vendas[[#This Row],[Valor Unitário]]*Vendas[[#This Row],[Qnt Vendida]]</f>
        <v>69</v>
      </c>
      <c r="J1182" s="3">
        <f>Vendas[[#This Row],[Valor da Venda]]-(_xlfn.XLOOKUP(Vendas[[#This Row],[ID Item Vendido]],Agregado[ID],Agregado[Custo])*Vendas[[#This Row],[Qnt Vendida]])</f>
        <v>9</v>
      </c>
      <c r="K1182" s="70">
        <f>Vendas[[#This Row],[Lucro da Venda]]/Vendas[[#This Row],[Valor da Venda]]</f>
        <v>0.13043478260869565</v>
      </c>
      <c r="L1182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1182"/>
    </row>
    <row r="1183" spans="1:13" x14ac:dyDescent="0.3">
      <c r="A1183" s="7">
        <v>400247</v>
      </c>
      <c r="B1183" t="str">
        <f>_xlfn.XLOOKUP(Vendas[[#This Row],[ID Vendedor]],Vendedores[ID],Vendedores[Nome])</f>
        <v>André</v>
      </c>
      <c r="C1183" s="7" t="str">
        <f>_xlfn.XLOOKUP(Vendas[[#This Row],[ID Vendedor]],Vendedores[ID],Vendedores[Setor])</f>
        <v>CM</v>
      </c>
      <c r="D1183" s="7" t="s">
        <v>22</v>
      </c>
      <c r="E1183" t="str">
        <f>_xlfn.XLOOKUP(Vendas[[#This Row],[ID Item Vendido]],Agregado[ID],Agregado[Produto])</f>
        <v>Painel MDP 2,75x1,83m</v>
      </c>
      <c r="F1183" s="39">
        <v>44425</v>
      </c>
      <c r="G1183" s="7">
        <v>14</v>
      </c>
      <c r="H1183" s="3">
        <f>_xlfn.XLOOKUP(Vendas[[#This Row],[ID Item Vendido]],Agregado[ID],Agregado[Revenda])</f>
        <v>119</v>
      </c>
      <c r="I1183" s="3">
        <f>Vendas[[#This Row],[Valor Unitário]]*Vendas[[#This Row],[Qnt Vendida]]</f>
        <v>1666</v>
      </c>
      <c r="J1183" s="3">
        <f>Vendas[[#This Row],[Valor da Venda]]-(_xlfn.XLOOKUP(Vendas[[#This Row],[ID Item Vendido]],Agregado[ID],Agregado[Custo])*Vendas[[#This Row],[Qnt Vendida]])</f>
        <v>336</v>
      </c>
      <c r="K1183" s="70">
        <f>Vendas[[#This Row],[Lucro da Venda]]/Vendas[[#This Row],[Valor da Venda]]</f>
        <v>0.20168067226890757</v>
      </c>
      <c r="L1183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183"/>
    </row>
    <row r="1184" spans="1:13" x14ac:dyDescent="0.3">
      <c r="A1184" s="7">
        <v>400245</v>
      </c>
      <c r="B1184" t="str">
        <f>_xlfn.XLOOKUP(Vendas[[#This Row],[ID Vendedor]],Vendedores[ID],Vendedores[Nome])</f>
        <v>Thiago</v>
      </c>
      <c r="C1184" s="7" t="str">
        <f>_xlfn.XLOOKUP(Vendas[[#This Row],[ID Vendedor]],Vendedores[ID],Vendedores[Setor])</f>
        <v>AHD</v>
      </c>
      <c r="D1184" s="7" t="s">
        <v>18</v>
      </c>
      <c r="E1184" t="str">
        <f>_xlfn.XLOOKUP(Vendas[[#This Row],[ID Item Vendido]],Agregado[ID],Agregado[Produto])</f>
        <v>Peça forjada sob encomenda</v>
      </c>
      <c r="F1184" s="39">
        <v>44427</v>
      </c>
      <c r="G1184" s="7">
        <v>3</v>
      </c>
      <c r="H1184" s="3">
        <f>_xlfn.XLOOKUP(Vendas[[#This Row],[ID Item Vendido]],Agregado[ID],Agregado[Revenda])</f>
        <v>264.60000000000002</v>
      </c>
      <c r="I1184" s="3">
        <f>Vendas[[#This Row],[Valor Unitário]]*Vendas[[#This Row],[Qnt Vendida]]</f>
        <v>793.80000000000007</v>
      </c>
      <c r="J1184" s="3">
        <f>Vendas[[#This Row],[Valor da Venda]]-(_xlfn.XLOOKUP(Vendas[[#This Row],[ID Item Vendido]],Agregado[ID],Agregado[Custo])*Vendas[[#This Row],[Qnt Vendida]])</f>
        <v>43.800000000000068</v>
      </c>
      <c r="K1184" s="70">
        <f>Vendas[[#This Row],[Lucro da Venda]]/Vendas[[#This Row],[Valor da Venda]]</f>
        <v>5.5177626606198113E-2</v>
      </c>
      <c r="L118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1184"/>
    </row>
    <row r="1185" spans="1:13" x14ac:dyDescent="0.3">
      <c r="A1185" s="7">
        <v>400247</v>
      </c>
      <c r="B1185" t="str">
        <f>_xlfn.XLOOKUP(Vendas[[#This Row],[ID Vendedor]],Vendedores[ID],Vendedores[Nome])</f>
        <v>André</v>
      </c>
      <c r="C1185" s="7" t="str">
        <f>_xlfn.XLOOKUP(Vendas[[#This Row],[ID Vendedor]],Vendedores[ID],Vendedores[Setor])</f>
        <v>CM</v>
      </c>
      <c r="D1185" s="7" t="s">
        <v>43</v>
      </c>
      <c r="E1185" t="str">
        <f>_xlfn.XLOOKUP(Vendas[[#This Row],[ID Item Vendido]],Agregado[ID],Agregado[Produto])</f>
        <v>Madeira Bruta (Tora)</v>
      </c>
      <c r="F1185" s="39">
        <v>44430</v>
      </c>
      <c r="G1185" s="7">
        <v>15</v>
      </c>
      <c r="H1185" s="3">
        <f>_xlfn.XLOOKUP(Vendas[[#This Row],[ID Item Vendido]],Agregado[ID],Agregado[Revenda])</f>
        <v>212</v>
      </c>
      <c r="I1185" s="3">
        <f>Vendas[[#This Row],[Valor Unitário]]*Vendas[[#This Row],[Qnt Vendida]]</f>
        <v>3180</v>
      </c>
      <c r="J1185" s="3">
        <f>Vendas[[#This Row],[Valor da Venda]]-(_xlfn.XLOOKUP(Vendas[[#This Row],[ID Item Vendido]],Agregado[ID],Agregado[Custo])*Vendas[[#This Row],[Qnt Vendida]])</f>
        <v>480</v>
      </c>
      <c r="K1185" s="70">
        <f>Vendas[[#This Row],[Lucro da Venda]]/Vendas[[#This Row],[Valor da Venda]]</f>
        <v>0.15094339622641509</v>
      </c>
      <c r="L1185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1185"/>
    </row>
    <row r="1186" spans="1:13" x14ac:dyDescent="0.3">
      <c r="A1186" s="7">
        <v>400251</v>
      </c>
      <c r="B1186" t="str">
        <f>_xlfn.XLOOKUP(Vendas[[#This Row],[ID Vendedor]],Vendedores[ID],Vendedores[Nome])</f>
        <v>Diego</v>
      </c>
      <c r="C1186" s="7" t="str">
        <f>_xlfn.XLOOKUP(Vendas[[#This Row],[ID Vendedor]],Vendedores[ID],Vendedores[Setor])</f>
        <v>AB</v>
      </c>
      <c r="D1186" s="7" t="s">
        <v>36</v>
      </c>
      <c r="E1186" t="str">
        <f>_xlfn.XLOOKUP(Vendas[[#This Row],[ID Item Vendido]],Agregado[ID],Agregado[Produto])</f>
        <v>Borracha vulcanizada em manta</v>
      </c>
      <c r="F1186" s="39">
        <v>44430</v>
      </c>
      <c r="G1186" s="7">
        <v>97</v>
      </c>
      <c r="H1186" s="3">
        <f>_xlfn.XLOOKUP(Vendas[[#This Row],[ID Item Vendido]],Agregado[ID],Agregado[Revenda])</f>
        <v>7.8</v>
      </c>
      <c r="I1186" s="3">
        <f>Vendas[[#This Row],[Valor Unitário]]*Vendas[[#This Row],[Qnt Vendida]]</f>
        <v>756.6</v>
      </c>
      <c r="J1186" s="3">
        <f>Vendas[[#This Row],[Valor da Venda]]-(_xlfn.XLOOKUP(Vendas[[#This Row],[ID Item Vendido]],Agregado[ID],Agregado[Custo])*Vendas[[#This Row],[Qnt Vendida]])</f>
        <v>174.60000000000002</v>
      </c>
      <c r="K1186" s="70">
        <f>Vendas[[#This Row],[Lucro da Venda]]/Vendas[[#This Row],[Valor da Venda]]</f>
        <v>0.23076923076923078</v>
      </c>
      <c r="L1186" s="3">
        <f>_xlfn.IFS(Vendas[[#This Row],[Margem de Lucro (%)]]&lt;15%,Vendas[[#This Row],[Valor da Venda]]*3%,Vendas[[#This Row],[Margem de Lucro (%)]]&lt;=20%,Vendas[[#This Row],[Valor da Venda]]*4.5%,TRUE,Vendas[[#This Row],[Valor da Venda]]*6%)</f>
        <v>45.396000000000001</v>
      </c>
      <c r="M1186"/>
    </row>
    <row r="1187" spans="1:13" x14ac:dyDescent="0.3">
      <c r="A1187" s="7">
        <v>400251</v>
      </c>
      <c r="B1187" t="str">
        <f>_xlfn.XLOOKUP(Vendas[[#This Row],[ID Vendedor]],Vendedores[ID],Vendedores[Nome])</f>
        <v>Diego</v>
      </c>
      <c r="C1187" s="7" t="str">
        <f>_xlfn.XLOOKUP(Vendas[[#This Row],[ID Vendedor]],Vendedores[ID],Vendedores[Setor])</f>
        <v>AB</v>
      </c>
      <c r="D1187" s="7" t="s">
        <v>36</v>
      </c>
      <c r="E1187" t="str">
        <f>_xlfn.XLOOKUP(Vendas[[#This Row],[ID Item Vendido]],Agregado[ID],Agregado[Produto])</f>
        <v>Borracha vulcanizada em manta</v>
      </c>
      <c r="F1187" s="39">
        <v>44430</v>
      </c>
      <c r="G1187" s="7">
        <v>65</v>
      </c>
      <c r="H1187" s="3">
        <f>_xlfn.XLOOKUP(Vendas[[#This Row],[ID Item Vendido]],Agregado[ID],Agregado[Revenda])</f>
        <v>7.8</v>
      </c>
      <c r="I1187" s="3">
        <f>Vendas[[#This Row],[Valor Unitário]]*Vendas[[#This Row],[Qnt Vendida]]</f>
        <v>507</v>
      </c>
      <c r="J1187" s="3">
        <f>Vendas[[#This Row],[Valor da Venda]]-(_xlfn.XLOOKUP(Vendas[[#This Row],[ID Item Vendido]],Agregado[ID],Agregado[Custo])*Vendas[[#This Row],[Qnt Vendida]])</f>
        <v>117</v>
      </c>
      <c r="K1187" s="70">
        <f>Vendas[[#This Row],[Lucro da Venda]]/Vendas[[#This Row],[Valor da Venda]]</f>
        <v>0.23076923076923078</v>
      </c>
      <c r="L1187" s="3">
        <f>_xlfn.IFS(Vendas[[#This Row],[Margem de Lucro (%)]]&lt;15%,Vendas[[#This Row],[Valor da Venda]]*3%,Vendas[[#This Row],[Margem de Lucro (%)]]&lt;=20%,Vendas[[#This Row],[Valor da Venda]]*4.5%,TRUE,Vendas[[#This Row],[Valor da Venda]]*6%)</f>
        <v>30.419999999999998</v>
      </c>
      <c r="M1187"/>
    </row>
    <row r="1188" spans="1:13" x14ac:dyDescent="0.3">
      <c r="A1188" s="7">
        <v>400251</v>
      </c>
      <c r="B1188" t="str">
        <f>_xlfn.XLOOKUP(Vendas[[#This Row],[ID Vendedor]],Vendedores[ID],Vendedores[Nome])</f>
        <v>Diego</v>
      </c>
      <c r="C1188" s="7" t="str">
        <f>_xlfn.XLOOKUP(Vendas[[#This Row],[ID Vendedor]],Vendedores[ID],Vendedores[Setor])</f>
        <v>AB</v>
      </c>
      <c r="D1188" s="7" t="s">
        <v>12</v>
      </c>
      <c r="E1188" t="str">
        <f>_xlfn.XLOOKUP(Vendas[[#This Row],[ID Item Vendido]],Agregado[ID],Agregado[Produto])</f>
        <v>Grânulo de plástico reciclado refinado</v>
      </c>
      <c r="F1188" s="39">
        <v>44430</v>
      </c>
      <c r="G1188" s="7">
        <v>93</v>
      </c>
      <c r="H1188" s="3">
        <f>_xlfn.XLOOKUP(Vendas[[#This Row],[ID Item Vendido]],Agregado[ID],Agregado[Revenda])</f>
        <v>4.7</v>
      </c>
      <c r="I1188" s="3">
        <f>Vendas[[#This Row],[Valor Unitário]]*Vendas[[#This Row],[Qnt Vendida]]</f>
        <v>437.1</v>
      </c>
      <c r="J1188" s="3">
        <f>Vendas[[#This Row],[Valor da Venda]]-(_xlfn.XLOOKUP(Vendas[[#This Row],[ID Item Vendido]],Agregado[ID],Agregado[Custo])*Vendas[[#This Row],[Qnt Vendida]])</f>
        <v>111.60000000000002</v>
      </c>
      <c r="K1188" s="70">
        <f>Vendas[[#This Row],[Lucro da Venda]]/Vendas[[#This Row],[Valor da Venda]]</f>
        <v>0.25531914893617025</v>
      </c>
      <c r="L1188" s="3">
        <f>_xlfn.IFS(Vendas[[#This Row],[Margem de Lucro (%)]]&lt;15%,Vendas[[#This Row],[Valor da Venda]]*3%,Vendas[[#This Row],[Margem de Lucro (%)]]&lt;=20%,Vendas[[#This Row],[Valor da Venda]]*4.5%,TRUE,Vendas[[#This Row],[Valor da Venda]]*6%)</f>
        <v>26.225999999999999</v>
      </c>
      <c r="M1188"/>
    </row>
    <row r="1189" spans="1:13" x14ac:dyDescent="0.3">
      <c r="A1189" s="7">
        <v>400241</v>
      </c>
      <c r="B1189" t="str">
        <f>_xlfn.XLOOKUP(Vendas[[#This Row],[ID Vendedor]],Vendedores[ID],Vendedores[Nome])</f>
        <v>Rodrigo</v>
      </c>
      <c r="C1189" s="7" t="str">
        <f>_xlfn.XLOOKUP(Vendas[[#This Row],[ID Vendedor]],Vendedores[ID],Vendedores[Setor])</f>
        <v>FM</v>
      </c>
      <c r="D1189" s="7" t="s">
        <v>31</v>
      </c>
      <c r="E1189" t="str">
        <f>_xlfn.XLOOKUP(Vendas[[#This Row],[ID Item Vendido]],Agregado[ID],Agregado[Produto])</f>
        <v>Tela de metal soldada rolo 2x25m</v>
      </c>
      <c r="F1189" s="39">
        <v>44431</v>
      </c>
      <c r="G1189" s="7">
        <v>20</v>
      </c>
      <c r="H1189" s="3">
        <f>_xlfn.XLOOKUP(Vendas[[#This Row],[ID Item Vendido]],Agregado[ID],Agregado[Revenda])</f>
        <v>43.7</v>
      </c>
      <c r="I1189" s="3">
        <f>Vendas[[#This Row],[Valor Unitário]]*Vendas[[#This Row],[Qnt Vendida]]</f>
        <v>874</v>
      </c>
      <c r="J1189" s="3">
        <f>Vendas[[#This Row],[Valor da Venda]]-(_xlfn.XLOOKUP(Vendas[[#This Row],[ID Item Vendido]],Agregado[ID],Agregado[Custo])*Vendas[[#This Row],[Qnt Vendida]])</f>
        <v>114</v>
      </c>
      <c r="K1189" s="70">
        <f>Vendas[[#This Row],[Lucro da Venda]]/Vendas[[#This Row],[Valor da Venda]]</f>
        <v>0.13043478260869565</v>
      </c>
      <c r="L1189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1189"/>
    </row>
    <row r="1190" spans="1:13" x14ac:dyDescent="0.3">
      <c r="A1190" s="7">
        <v>400250</v>
      </c>
      <c r="B1190" t="str">
        <f>_xlfn.XLOOKUP(Vendas[[#This Row],[ID Vendedor]],Vendedores[ID],Vendedores[Nome])</f>
        <v>Larissa</v>
      </c>
      <c r="C1190" s="7" t="str">
        <f>_xlfn.XLOOKUP(Vendas[[#This Row],[ID Vendedor]],Vendedores[ID],Vendedores[Setor])</f>
        <v>AB</v>
      </c>
      <c r="D1190" s="7" t="s">
        <v>36</v>
      </c>
      <c r="E1190" t="str">
        <f>_xlfn.XLOOKUP(Vendas[[#This Row],[ID Item Vendido]],Agregado[ID],Agregado[Produto])</f>
        <v>Borracha vulcanizada em manta</v>
      </c>
      <c r="F1190" s="39">
        <v>44431</v>
      </c>
      <c r="G1190" s="7">
        <v>53</v>
      </c>
      <c r="H1190" s="3">
        <f>_xlfn.XLOOKUP(Vendas[[#This Row],[ID Item Vendido]],Agregado[ID],Agregado[Revenda])</f>
        <v>7.8</v>
      </c>
      <c r="I1190" s="3">
        <f>Vendas[[#This Row],[Valor Unitário]]*Vendas[[#This Row],[Qnt Vendida]]</f>
        <v>413.4</v>
      </c>
      <c r="J1190" s="3">
        <f>Vendas[[#This Row],[Valor da Venda]]-(_xlfn.XLOOKUP(Vendas[[#This Row],[ID Item Vendido]],Agregado[ID],Agregado[Custo])*Vendas[[#This Row],[Qnt Vendida]])</f>
        <v>95.399999999999977</v>
      </c>
      <c r="K1190" s="70">
        <f>Vendas[[#This Row],[Lucro da Venda]]/Vendas[[#This Row],[Valor da Venda]]</f>
        <v>0.23076923076923073</v>
      </c>
      <c r="L1190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24.803999999999998</v>
      </c>
      <c r="M1190"/>
    </row>
    <row r="1191" spans="1:13" x14ac:dyDescent="0.3">
      <c r="A1191" s="7">
        <v>400245</v>
      </c>
      <c r="B1191" t="str">
        <f>_xlfn.XLOOKUP(Vendas[[#This Row],[ID Vendedor]],Vendedores[ID],Vendedores[Nome])</f>
        <v>Thiago</v>
      </c>
      <c r="C1191" s="7" t="str">
        <f>_xlfn.XLOOKUP(Vendas[[#This Row],[ID Vendedor]],Vendedores[ID],Vendedores[Setor])</f>
        <v>AHD</v>
      </c>
      <c r="D1191" s="7" t="s">
        <v>30</v>
      </c>
      <c r="E1191" t="str">
        <f>_xlfn.XLOOKUP(Vendas[[#This Row],[ID Item Vendido]],Agregado[ID],Agregado[Produto])</f>
        <v>Estrutura metálica soldada</v>
      </c>
      <c r="F1191" s="39">
        <v>44432</v>
      </c>
      <c r="G1191" s="7">
        <v>6</v>
      </c>
      <c r="H1191" s="3">
        <f>_xlfn.XLOOKUP(Vendas[[#This Row],[ID Item Vendido]],Agregado[ID],Agregado[Revenda])</f>
        <v>400</v>
      </c>
      <c r="I1191" s="3">
        <f>Vendas[[#This Row],[Valor Unitário]]*Vendas[[#This Row],[Qnt Vendida]]</f>
        <v>2400</v>
      </c>
      <c r="J1191" s="3">
        <f>Vendas[[#This Row],[Valor da Venda]]-(_xlfn.XLOOKUP(Vendas[[#This Row],[ID Item Vendido]],Agregado[ID],Agregado[Custo])*Vendas[[#This Row],[Qnt Vendida]])</f>
        <v>480</v>
      </c>
      <c r="K1191" s="70">
        <f>Vendas[[#This Row],[Lucro da Venda]]/Vendas[[#This Row],[Valor da Venda]]</f>
        <v>0.2</v>
      </c>
      <c r="L1191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191"/>
    </row>
    <row r="1192" spans="1:13" x14ac:dyDescent="0.3">
      <c r="A1192" s="7">
        <v>400243</v>
      </c>
      <c r="B1192" t="str">
        <f>_xlfn.XLOOKUP(Vendas[[#This Row],[ID Vendedor]],Vendedores[ID],Vendedores[Nome])</f>
        <v>Marcelo</v>
      </c>
      <c r="C1192" s="7" t="str">
        <f>_xlfn.XLOOKUP(Vendas[[#This Row],[ID Vendedor]],Vendedores[ID],Vendedores[Setor])</f>
        <v>FM</v>
      </c>
      <c r="D1192" s="7" t="s">
        <v>6</v>
      </c>
      <c r="E1192" t="str">
        <f>_xlfn.XLOOKUP(Vendas[[#This Row],[ID Item Vendido]],Agregado[ID],Agregado[Produto])</f>
        <v>Parafuso comum 500un</v>
      </c>
      <c r="F1192" s="39">
        <v>44432</v>
      </c>
      <c r="G1192" s="7">
        <v>25</v>
      </c>
      <c r="H1192" s="3">
        <f>_xlfn.XLOOKUP(Vendas[[#This Row],[ID Item Vendido]],Agregado[ID],Agregado[Revenda])</f>
        <v>24.6</v>
      </c>
      <c r="I1192" s="3">
        <f>Vendas[[#This Row],[Valor Unitário]]*Vendas[[#This Row],[Qnt Vendida]]</f>
        <v>615</v>
      </c>
      <c r="J1192" s="3">
        <f>Vendas[[#This Row],[Valor da Venda]]-(_xlfn.XLOOKUP(Vendas[[#This Row],[ID Item Vendido]],Agregado[ID],Agregado[Custo])*Vendas[[#This Row],[Qnt Vendida]])</f>
        <v>65</v>
      </c>
      <c r="K1192" s="70">
        <f>Vendas[[#This Row],[Lucro da Venda]]/Vendas[[#This Row],[Valor da Venda]]</f>
        <v>0.10569105691056911</v>
      </c>
      <c r="L1192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1192"/>
    </row>
    <row r="1193" spans="1:13" x14ac:dyDescent="0.3">
      <c r="A1193" s="7">
        <v>400253</v>
      </c>
      <c r="B1193" t="str">
        <f>_xlfn.XLOOKUP(Vendas[[#This Row],[ID Vendedor]],Vendedores[ID],Vendedores[Nome])</f>
        <v>Gustavo</v>
      </c>
      <c r="C1193" s="7" t="str">
        <f>_xlfn.XLOOKUP(Vendas[[#This Row],[ID Vendedor]],Vendedores[ID],Vendedores[Setor])</f>
        <v>SC</v>
      </c>
      <c r="D1193" s="7" t="s">
        <v>48</v>
      </c>
      <c r="E1193" t="str">
        <f>_xlfn.XLOOKUP(Vendas[[#This Row],[ID Item Vendido]],Agregado[ID],Agregado[Produto])</f>
        <v>Tambor metálico 200L</v>
      </c>
      <c r="F1193" s="39">
        <v>44433</v>
      </c>
      <c r="G1193" s="7">
        <v>13</v>
      </c>
      <c r="H1193" s="3">
        <f>_xlfn.XLOOKUP(Vendas[[#This Row],[ID Item Vendido]],Agregado[ID],Agregado[Revenda])</f>
        <v>144</v>
      </c>
      <c r="I1193" s="3">
        <f>Vendas[[#This Row],[Valor Unitário]]*Vendas[[#This Row],[Qnt Vendida]]</f>
        <v>1872</v>
      </c>
      <c r="J1193" s="3">
        <f>Vendas[[#This Row],[Valor da Venda]]-(_xlfn.XLOOKUP(Vendas[[#This Row],[ID Item Vendido]],Agregado[ID],Agregado[Custo])*Vendas[[#This Row],[Qnt Vendida]])</f>
        <v>312</v>
      </c>
      <c r="K1193" s="70">
        <f>Vendas[[#This Row],[Lucro da Venda]]/Vendas[[#This Row],[Valor da Venda]]</f>
        <v>0.16666666666666666</v>
      </c>
      <c r="L1193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1193"/>
    </row>
    <row r="1194" spans="1:13" x14ac:dyDescent="0.3">
      <c r="A1194" s="7">
        <v>400250</v>
      </c>
      <c r="B1194" t="str">
        <f>_xlfn.XLOOKUP(Vendas[[#This Row],[ID Vendedor]],Vendedores[ID],Vendedores[Nome])</f>
        <v>Larissa</v>
      </c>
      <c r="C1194" s="7" t="str">
        <f>_xlfn.XLOOKUP(Vendas[[#This Row],[ID Vendedor]],Vendedores[ID],Vendedores[Setor])</f>
        <v>AB</v>
      </c>
      <c r="D1194" s="7" t="s">
        <v>36</v>
      </c>
      <c r="E1194" t="str">
        <f>_xlfn.XLOOKUP(Vendas[[#This Row],[ID Item Vendido]],Agregado[ID],Agregado[Produto])</f>
        <v>Borracha vulcanizada em manta</v>
      </c>
      <c r="F1194" s="39">
        <v>44433</v>
      </c>
      <c r="G1194" s="7">
        <v>29</v>
      </c>
      <c r="H1194" s="3">
        <f>_xlfn.XLOOKUP(Vendas[[#This Row],[ID Item Vendido]],Agregado[ID],Agregado[Revenda])</f>
        <v>7.8</v>
      </c>
      <c r="I1194" s="3">
        <f>Vendas[[#This Row],[Valor Unitário]]*Vendas[[#This Row],[Qnt Vendida]]</f>
        <v>226.2</v>
      </c>
      <c r="J1194" s="3">
        <f>Vendas[[#This Row],[Valor da Venda]]-(_xlfn.XLOOKUP(Vendas[[#This Row],[ID Item Vendido]],Agregado[ID],Agregado[Custo])*Vendas[[#This Row],[Qnt Vendida]])</f>
        <v>52.199999999999989</v>
      </c>
      <c r="K1194" s="70">
        <f>Vendas[[#This Row],[Lucro da Venda]]/Vendas[[#This Row],[Valor da Venda]]</f>
        <v>0.23076923076923073</v>
      </c>
      <c r="L1194" s="3">
        <f>_xlfn.IFS(Vendas[[#This Row],[Margem de Lucro (%)]]&lt;15%,Vendas[[#This Row],[Valor da Venda]]*3%,Vendas[[#This Row],[Margem de Lucro (%)]]&lt;=20%,Vendas[[#This Row],[Valor da Venda]]*4.5%,TRUE,Vendas[[#This Row],[Valor da Venda]]*6%)</f>
        <v>13.571999999999999</v>
      </c>
      <c r="M1194"/>
    </row>
    <row r="1195" spans="1:13" x14ac:dyDescent="0.3">
      <c r="A1195" s="7">
        <v>400250</v>
      </c>
      <c r="B1195" t="str">
        <f>_xlfn.XLOOKUP(Vendas[[#This Row],[ID Vendedor]],Vendedores[ID],Vendedores[Nome])</f>
        <v>Larissa</v>
      </c>
      <c r="C1195" s="7" t="str">
        <f>_xlfn.XLOOKUP(Vendas[[#This Row],[ID Vendedor]],Vendedores[ID],Vendedores[Setor])</f>
        <v>AB</v>
      </c>
      <c r="D1195" s="7" t="s">
        <v>36</v>
      </c>
      <c r="E1195" t="str">
        <f>_xlfn.XLOOKUP(Vendas[[#This Row],[ID Item Vendido]],Agregado[ID],Agregado[Produto])</f>
        <v>Borracha vulcanizada em manta</v>
      </c>
      <c r="F1195" s="39">
        <v>44433</v>
      </c>
      <c r="G1195" s="7">
        <v>27</v>
      </c>
      <c r="H1195" s="3">
        <f>_xlfn.XLOOKUP(Vendas[[#This Row],[ID Item Vendido]],Agregado[ID],Agregado[Revenda])</f>
        <v>7.8</v>
      </c>
      <c r="I1195" s="3">
        <f>Vendas[[#This Row],[Valor Unitário]]*Vendas[[#This Row],[Qnt Vendida]]</f>
        <v>210.6</v>
      </c>
      <c r="J1195" s="3">
        <f>Vendas[[#This Row],[Valor da Venda]]-(_xlfn.XLOOKUP(Vendas[[#This Row],[ID Item Vendido]],Agregado[ID],Agregado[Custo])*Vendas[[#This Row],[Qnt Vendida]])</f>
        <v>48.599999999999994</v>
      </c>
      <c r="K1195" s="70">
        <f>Vendas[[#This Row],[Lucro da Venda]]/Vendas[[#This Row],[Valor da Venda]]</f>
        <v>0.23076923076923075</v>
      </c>
      <c r="L1195" s="3">
        <f>_xlfn.IFS(Vendas[[#This Row],[Margem de Lucro (%)]]&lt;15%,Vendas[[#This Row],[Valor da Venda]]*3%,Vendas[[#This Row],[Margem de Lucro (%)]]&lt;=20%,Vendas[[#This Row],[Valor da Venda]]*4.5%,TRUE,Vendas[[#This Row],[Valor da Venda]]*6%)</f>
        <v>12.635999999999999</v>
      </c>
      <c r="M1195"/>
    </row>
    <row r="1196" spans="1:13" x14ac:dyDescent="0.3">
      <c r="A1196" s="7">
        <v>400241</v>
      </c>
      <c r="B1196" t="str">
        <f>_xlfn.XLOOKUP(Vendas[[#This Row],[ID Vendedor]],Vendedores[ID],Vendedores[Nome])</f>
        <v>Rodrigo</v>
      </c>
      <c r="C1196" s="7" t="str">
        <f>_xlfn.XLOOKUP(Vendas[[#This Row],[ID Vendedor]],Vendedores[ID],Vendedores[Setor])</f>
        <v>FM</v>
      </c>
      <c r="D1196" s="7" t="s">
        <v>6</v>
      </c>
      <c r="E1196" t="str">
        <f>_xlfn.XLOOKUP(Vendas[[#This Row],[ID Item Vendido]],Agregado[ID],Agregado[Produto])</f>
        <v>Parafuso comum 500un</v>
      </c>
      <c r="F1196" s="39">
        <v>44436</v>
      </c>
      <c r="G1196" s="7">
        <v>9</v>
      </c>
      <c r="H1196" s="3">
        <f>_xlfn.XLOOKUP(Vendas[[#This Row],[ID Item Vendido]],Agregado[ID],Agregado[Revenda])</f>
        <v>24.6</v>
      </c>
      <c r="I1196" s="3">
        <f>Vendas[[#This Row],[Valor Unitário]]*Vendas[[#This Row],[Qnt Vendida]]</f>
        <v>221.4</v>
      </c>
      <c r="J1196" s="3">
        <f>Vendas[[#This Row],[Valor da Venda]]-(_xlfn.XLOOKUP(Vendas[[#This Row],[ID Item Vendido]],Agregado[ID],Agregado[Custo])*Vendas[[#This Row],[Qnt Vendida]])</f>
        <v>23.400000000000006</v>
      </c>
      <c r="K1196" s="70">
        <f>Vendas[[#This Row],[Lucro da Venda]]/Vendas[[#This Row],[Valor da Venda]]</f>
        <v>0.10569105691056913</v>
      </c>
      <c r="L1196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1196"/>
    </row>
    <row r="1197" spans="1:13" x14ac:dyDescent="0.3">
      <c r="A1197" s="7">
        <v>400241</v>
      </c>
      <c r="B1197" t="str">
        <f>_xlfn.XLOOKUP(Vendas[[#This Row],[ID Vendedor]],Vendedores[ID],Vendedores[Nome])</f>
        <v>Rodrigo</v>
      </c>
      <c r="C1197" s="7" t="str">
        <f>_xlfn.XLOOKUP(Vendas[[#This Row],[ID Vendedor]],Vendedores[ID],Vendedores[Setor])</f>
        <v>FM</v>
      </c>
      <c r="D1197" s="7" t="s">
        <v>20</v>
      </c>
      <c r="E1197" t="str">
        <f>_xlfn.XLOOKUP(Vendas[[#This Row],[ID Item Vendido]],Agregado[ID],Agregado[Produto])</f>
        <v>Barra de aço simples</v>
      </c>
      <c r="F1197" s="39">
        <v>44437</v>
      </c>
      <c r="G1197" s="7">
        <v>62</v>
      </c>
      <c r="H1197" s="3">
        <f>_xlfn.XLOOKUP(Vendas[[#This Row],[ID Item Vendido]],Agregado[ID],Agregado[Revenda])</f>
        <v>4.8</v>
      </c>
      <c r="I1197" s="3">
        <f>Vendas[[#This Row],[Valor Unitário]]*Vendas[[#This Row],[Qnt Vendida]]</f>
        <v>297.59999999999997</v>
      </c>
      <c r="J1197" s="3">
        <f>Vendas[[#This Row],[Valor da Venda]]-(_xlfn.XLOOKUP(Vendas[[#This Row],[ID Item Vendido]],Agregado[ID],Agregado[Custo])*Vendas[[#This Row],[Qnt Vendida]])</f>
        <v>37.199999999999932</v>
      </c>
      <c r="K1197" s="70">
        <f>Vendas[[#This Row],[Lucro da Venda]]/Vendas[[#This Row],[Valor da Venda]]</f>
        <v>0.12499999999999979</v>
      </c>
      <c r="L1197" s="3">
        <f>_xlfn.IFS(Vendas[[#This Row],[Margem de Lucro (%)]]&lt;15%,Vendas[[#This Row],[Valor da Venda]]*3%,Vendas[[#This Row],[Margem de Lucro (%)]]&lt;=20%,Vendas[[#This Row],[Valor da Venda]]*4.5%,TRUE,Vendas[[#This Row],[Valor da Venda]]*6%)</f>
        <v>8.927999999999999</v>
      </c>
      <c r="M1197"/>
    </row>
    <row r="1198" spans="1:13" x14ac:dyDescent="0.3">
      <c r="A1198" s="7">
        <v>400245</v>
      </c>
      <c r="B1198" t="str">
        <f>_xlfn.XLOOKUP(Vendas[[#This Row],[ID Vendedor]],Vendedores[ID],Vendedores[Nome])</f>
        <v>Thiago</v>
      </c>
      <c r="C1198" s="7" t="str">
        <f>_xlfn.XLOOKUP(Vendas[[#This Row],[ID Vendedor]],Vendedores[ID],Vendedores[Setor])</f>
        <v>AHD</v>
      </c>
      <c r="D1198" s="7" t="s">
        <v>28</v>
      </c>
      <c r="E1198" t="str">
        <f>_xlfn.XLOOKUP(Vendas[[#This Row],[ID Item Vendido]],Agregado[ID],Agregado[Produto])</f>
        <v>Peça usinada CNC</v>
      </c>
      <c r="F1198" s="39">
        <v>44439</v>
      </c>
      <c r="G1198" s="7">
        <v>11</v>
      </c>
      <c r="H1198" s="3">
        <f>_xlfn.XLOOKUP(Vendas[[#This Row],[ID Item Vendido]],Agregado[ID],Agregado[Revenda])</f>
        <v>192</v>
      </c>
      <c r="I1198" s="3">
        <f>Vendas[[#This Row],[Valor Unitário]]*Vendas[[#This Row],[Qnt Vendida]]</f>
        <v>2112</v>
      </c>
      <c r="J1198" s="3">
        <f>Vendas[[#This Row],[Valor da Venda]]-(_xlfn.XLOOKUP(Vendas[[#This Row],[ID Item Vendido]],Agregado[ID],Agregado[Custo])*Vendas[[#This Row],[Qnt Vendida]])</f>
        <v>462</v>
      </c>
      <c r="K1198" s="70">
        <f>Vendas[[#This Row],[Lucro da Venda]]/Vendas[[#This Row],[Valor da Venda]]</f>
        <v>0.21875</v>
      </c>
      <c r="L1198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1198"/>
    </row>
    <row r="1199" spans="1:13" x14ac:dyDescent="0.3">
      <c r="A1199" s="7">
        <v>400251</v>
      </c>
      <c r="B1199" t="str">
        <f>_xlfn.XLOOKUP(Vendas[[#This Row],[ID Vendedor]],Vendedores[ID],Vendedores[Nome])</f>
        <v>Diego</v>
      </c>
      <c r="C1199" s="7" t="str">
        <f>_xlfn.XLOOKUP(Vendas[[#This Row],[ID Vendedor]],Vendedores[ID],Vendedores[Setor])</f>
        <v>AB</v>
      </c>
      <c r="D1199" s="7" t="s">
        <v>37</v>
      </c>
      <c r="E1199" t="str">
        <f>_xlfn.XLOOKUP(Vendas[[#This Row],[ID Item Vendido]],Agregado[ID],Agregado[Produto])</f>
        <v>Composto de borracha para vedação rolo 10m</v>
      </c>
      <c r="F1199" s="39">
        <v>44439</v>
      </c>
      <c r="G1199" s="7">
        <v>8</v>
      </c>
      <c r="H1199" s="3">
        <f>_xlfn.XLOOKUP(Vendas[[#This Row],[ID Item Vendido]],Agregado[ID],Agregado[Revenda])</f>
        <v>51.2</v>
      </c>
      <c r="I1199" s="3">
        <f>Vendas[[#This Row],[Valor Unitário]]*Vendas[[#This Row],[Qnt Vendida]]</f>
        <v>409.6</v>
      </c>
      <c r="J1199" s="3">
        <f>Vendas[[#This Row],[Valor da Venda]]-(_xlfn.XLOOKUP(Vendas[[#This Row],[ID Item Vendido]],Agregado[ID],Agregado[Custo])*Vendas[[#This Row],[Qnt Vendida]])</f>
        <v>89.600000000000023</v>
      </c>
      <c r="K1199" s="70">
        <f>Vendas[[#This Row],[Lucro da Venda]]/Vendas[[#This Row],[Valor da Venda]]</f>
        <v>0.21875000000000006</v>
      </c>
      <c r="L1199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1199"/>
    </row>
    <row r="1200" spans="1:13" x14ac:dyDescent="0.3">
      <c r="A1200" s="7">
        <v>400251</v>
      </c>
      <c r="B1200" t="str">
        <f>_xlfn.XLOOKUP(Vendas[[#This Row],[ID Vendedor]],Vendedores[ID],Vendedores[Nome])</f>
        <v>Diego</v>
      </c>
      <c r="C1200" s="7" t="str">
        <f>_xlfn.XLOOKUP(Vendas[[#This Row],[ID Vendedor]],Vendedores[ID],Vendedores[Setor])</f>
        <v>AB</v>
      </c>
      <c r="D1200" s="7" t="s">
        <v>37</v>
      </c>
      <c r="E1200" t="str">
        <f>_xlfn.XLOOKUP(Vendas[[#This Row],[ID Item Vendido]],Agregado[ID],Agregado[Produto])</f>
        <v>Composto de borracha para vedação rolo 10m</v>
      </c>
      <c r="F1200" s="39">
        <v>44440</v>
      </c>
      <c r="G1200" s="7">
        <v>22</v>
      </c>
      <c r="H1200" s="3">
        <f>_xlfn.XLOOKUP(Vendas[[#This Row],[ID Item Vendido]],Agregado[ID],Agregado[Revenda])</f>
        <v>51.2</v>
      </c>
      <c r="I1200" s="3">
        <f>Vendas[[#This Row],[Valor Unitário]]*Vendas[[#This Row],[Qnt Vendida]]</f>
        <v>1126.4000000000001</v>
      </c>
      <c r="J1200" s="3">
        <f>Vendas[[#This Row],[Valor da Venda]]-(_xlfn.XLOOKUP(Vendas[[#This Row],[ID Item Vendido]],Agregado[ID],Agregado[Custo])*Vendas[[#This Row],[Qnt Vendida]])</f>
        <v>246.40000000000009</v>
      </c>
      <c r="K1200" s="70">
        <f>Vendas[[#This Row],[Lucro da Venda]]/Vendas[[#This Row],[Valor da Venda]]</f>
        <v>0.21875000000000006</v>
      </c>
      <c r="L1200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1200"/>
    </row>
    <row r="1201" spans="1:13" x14ac:dyDescent="0.3">
      <c r="A1201" s="7">
        <v>400244</v>
      </c>
      <c r="B1201" t="str">
        <f>_xlfn.XLOOKUP(Vendas[[#This Row],[ID Vendedor]],Vendedores[ID],Vendedores[Nome])</f>
        <v>Camila</v>
      </c>
      <c r="C1201" s="7" t="str">
        <f>_xlfn.XLOOKUP(Vendas[[#This Row],[ID Vendedor]],Vendedores[ID],Vendedores[Setor])</f>
        <v>AHD</v>
      </c>
      <c r="D1201" s="7" t="s">
        <v>9</v>
      </c>
      <c r="E1201" t="str">
        <f>_xlfn.XLOOKUP(Vendas[[#This Row],[ID Item Vendido]],Agregado[ID],Agregado[Produto])</f>
        <v>Barra de aço simples</v>
      </c>
      <c r="F1201" s="39">
        <v>44440</v>
      </c>
      <c r="G1201" s="7">
        <v>143</v>
      </c>
      <c r="H1201" s="3">
        <f>_xlfn.XLOOKUP(Vendas[[#This Row],[ID Item Vendido]],Agregado[ID],Agregado[Revenda])</f>
        <v>6.7</v>
      </c>
      <c r="I1201" s="3">
        <f>Vendas[[#This Row],[Valor Unitário]]*Vendas[[#This Row],[Qnt Vendida]]</f>
        <v>958.1</v>
      </c>
      <c r="J1201" s="3">
        <f>Vendas[[#This Row],[Valor da Venda]]-(_xlfn.XLOOKUP(Vendas[[#This Row],[ID Item Vendido]],Agregado[ID],Agregado[Custo])*Vendas[[#This Row],[Qnt Vendida]])</f>
        <v>128.70000000000005</v>
      </c>
      <c r="K1201" s="70">
        <f>Vendas[[#This Row],[Lucro da Venda]]/Vendas[[#This Row],[Valor da Venda]]</f>
        <v>0.13432835820895528</v>
      </c>
      <c r="L1201" s="3">
        <f>_xlfn.IFS(Vendas[[#This Row],[Margem de Lucro (%)]]&lt;15%,Vendas[[#This Row],[Valor da Venda]]*3%,Vendas[[#This Row],[Margem de Lucro (%)]]&lt;=20%,Vendas[[#This Row],[Valor da Venda]]*4.5%,TRUE,Vendas[[#This Row],[Valor da Venda]]*6%)</f>
        <v>28.742999999999999</v>
      </c>
      <c r="M1201"/>
    </row>
    <row r="1202" spans="1:13" x14ac:dyDescent="0.3">
      <c r="A1202" s="7">
        <v>400253</v>
      </c>
      <c r="B1202" t="str">
        <f>_xlfn.XLOOKUP(Vendas[[#This Row],[ID Vendedor]],Vendedores[ID],Vendedores[Nome])</f>
        <v>Gustavo</v>
      </c>
      <c r="C1202" s="7" t="str">
        <f>_xlfn.XLOOKUP(Vendas[[#This Row],[ID Vendedor]],Vendedores[ID],Vendedores[Setor])</f>
        <v>SC</v>
      </c>
      <c r="D1202" s="7" t="s">
        <v>48</v>
      </c>
      <c r="E1202" t="str">
        <f>_xlfn.XLOOKUP(Vendas[[#This Row],[ID Item Vendido]],Agregado[ID],Agregado[Produto])</f>
        <v>Tambor metálico 200L</v>
      </c>
      <c r="F1202" s="39">
        <v>44440</v>
      </c>
      <c r="G1202" s="7">
        <v>6</v>
      </c>
      <c r="H1202" s="3">
        <f>_xlfn.XLOOKUP(Vendas[[#This Row],[ID Item Vendido]],Agregado[ID],Agregado[Revenda])</f>
        <v>144</v>
      </c>
      <c r="I1202" s="3">
        <f>Vendas[[#This Row],[Valor Unitário]]*Vendas[[#This Row],[Qnt Vendida]]</f>
        <v>864</v>
      </c>
      <c r="J1202" s="3">
        <f>Vendas[[#This Row],[Valor da Venda]]-(_xlfn.XLOOKUP(Vendas[[#This Row],[ID Item Vendido]],Agregado[ID],Agregado[Custo])*Vendas[[#This Row],[Qnt Vendida]])</f>
        <v>144</v>
      </c>
      <c r="K1202" s="70">
        <f>Vendas[[#This Row],[Lucro da Venda]]/Vendas[[#This Row],[Valor da Venda]]</f>
        <v>0.16666666666666666</v>
      </c>
      <c r="L1202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1202"/>
    </row>
    <row r="1203" spans="1:13" x14ac:dyDescent="0.3">
      <c r="A1203" s="7">
        <v>400247</v>
      </c>
      <c r="B1203" t="str">
        <f>_xlfn.XLOOKUP(Vendas[[#This Row],[ID Vendedor]],Vendedores[ID],Vendedores[Nome])</f>
        <v>André</v>
      </c>
      <c r="C1203" s="7" t="str">
        <f>_xlfn.XLOOKUP(Vendas[[#This Row],[ID Vendedor]],Vendedores[ID],Vendedores[Setor])</f>
        <v>CM</v>
      </c>
      <c r="D1203" s="7" t="s">
        <v>34</v>
      </c>
      <c r="E1203" t="str">
        <f>_xlfn.XLOOKUP(Vendas[[#This Row],[ID Item Vendido]],Agregado[ID],Agregado[Produto])</f>
        <v>Restos de madeira p/ MDP/OSB saco de 20kg</v>
      </c>
      <c r="F1203" s="39">
        <v>44440</v>
      </c>
      <c r="G1203" s="7">
        <v>18</v>
      </c>
      <c r="H1203" s="3">
        <f>_xlfn.XLOOKUP(Vendas[[#This Row],[ID Item Vendido]],Agregado[ID],Agregado[Revenda])</f>
        <v>13.8</v>
      </c>
      <c r="I1203" s="3">
        <f>Vendas[[#This Row],[Valor Unitário]]*Vendas[[#This Row],[Qnt Vendida]]</f>
        <v>248.4</v>
      </c>
      <c r="J1203" s="3">
        <f>Vendas[[#This Row],[Valor da Venda]]-(_xlfn.XLOOKUP(Vendas[[#This Row],[ID Item Vendido]],Agregado[ID],Agregado[Custo])*Vendas[[#This Row],[Qnt Vendida]])</f>
        <v>32.400000000000006</v>
      </c>
      <c r="K1203" s="70">
        <f>Vendas[[#This Row],[Lucro da Venda]]/Vendas[[#This Row],[Valor da Venda]]</f>
        <v>0.13043478260869568</v>
      </c>
      <c r="L1203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1203"/>
    </row>
    <row r="1204" spans="1:13" x14ac:dyDescent="0.3">
      <c r="A1204" s="7">
        <v>400250</v>
      </c>
      <c r="B1204" t="str">
        <f>_xlfn.XLOOKUP(Vendas[[#This Row],[ID Vendedor]],Vendedores[ID],Vendedores[Nome])</f>
        <v>Larissa</v>
      </c>
      <c r="C1204" s="7" t="str">
        <f>_xlfn.XLOOKUP(Vendas[[#This Row],[ID Vendedor]],Vendedores[ID],Vendedores[Setor])</f>
        <v>AB</v>
      </c>
      <c r="D1204" s="7" t="s">
        <v>24</v>
      </c>
      <c r="E1204" t="str">
        <f>_xlfn.XLOOKUP(Vendas[[#This Row],[ID Item Vendido]],Agregado[ID],Agregado[Produto])</f>
        <v>Resina plástica PET purificada saco de 25kg</v>
      </c>
      <c r="F1204" s="39">
        <v>44441</v>
      </c>
      <c r="G1204" s="7">
        <v>23</v>
      </c>
      <c r="H1204" s="3">
        <f>_xlfn.XLOOKUP(Vendas[[#This Row],[ID Item Vendido]],Agregado[ID],Agregado[Revenda])</f>
        <v>119</v>
      </c>
      <c r="I1204" s="3">
        <f>Vendas[[#This Row],[Valor Unitário]]*Vendas[[#This Row],[Qnt Vendida]]</f>
        <v>2737</v>
      </c>
      <c r="J1204" s="3">
        <f>Vendas[[#This Row],[Valor da Venda]]-(_xlfn.XLOOKUP(Vendas[[#This Row],[ID Item Vendido]],Agregado[ID],Agregado[Custo])*Vendas[[#This Row],[Qnt Vendida]])</f>
        <v>782</v>
      </c>
      <c r="K1204" s="70">
        <f>Vendas[[#This Row],[Lucro da Venda]]/Vendas[[#This Row],[Valor da Venda]]</f>
        <v>0.2857142857142857</v>
      </c>
      <c r="L1204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204"/>
    </row>
    <row r="1205" spans="1:13" x14ac:dyDescent="0.3">
      <c r="A1205" s="7">
        <v>400253</v>
      </c>
      <c r="B1205" t="str">
        <f>_xlfn.XLOOKUP(Vendas[[#This Row],[ID Vendedor]],Vendedores[ID],Vendedores[Nome])</f>
        <v>Gustavo</v>
      </c>
      <c r="C1205" s="7" t="str">
        <f>_xlfn.XLOOKUP(Vendas[[#This Row],[ID Vendedor]],Vendedores[ID],Vendedores[Setor])</f>
        <v>SC</v>
      </c>
      <c r="D1205" s="7" t="s">
        <v>42</v>
      </c>
      <c r="E1205" t="str">
        <f>_xlfn.XLOOKUP(Vendas[[#This Row],[ID Item Vendido]],Agregado[ID],Agregado[Produto])</f>
        <v>Container de ferro industrial</v>
      </c>
      <c r="F1205" s="39">
        <v>44441</v>
      </c>
      <c r="G1205" s="7">
        <v>3</v>
      </c>
      <c r="H1205" s="3">
        <f>_xlfn.XLOOKUP(Vendas[[#This Row],[ID Item Vendido]],Agregado[ID],Agregado[Revenda])</f>
        <v>830</v>
      </c>
      <c r="I1205" s="3">
        <f>Vendas[[#This Row],[Valor Unitário]]*Vendas[[#This Row],[Qnt Vendida]]</f>
        <v>2490</v>
      </c>
      <c r="J1205" s="3">
        <f>Vendas[[#This Row],[Valor da Venda]]-(_xlfn.XLOOKUP(Vendas[[#This Row],[ID Item Vendido]],Agregado[ID],Agregado[Custo])*Vendas[[#This Row],[Qnt Vendida]])</f>
        <v>450</v>
      </c>
      <c r="K1205" s="70">
        <f>Vendas[[#This Row],[Lucro da Venda]]/Vendas[[#This Row],[Valor da Venda]]</f>
        <v>0.18072289156626506</v>
      </c>
      <c r="L1205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205"/>
    </row>
    <row r="1206" spans="1:13" x14ac:dyDescent="0.3">
      <c r="A1206" s="7">
        <v>400249</v>
      </c>
      <c r="B1206" t="str">
        <f>_xlfn.XLOOKUP(Vendas[[#This Row],[ID Vendedor]],Vendedores[ID],Vendedores[Nome])</f>
        <v>Bruno</v>
      </c>
      <c r="C1206" s="7" t="str">
        <f>_xlfn.XLOOKUP(Vendas[[#This Row],[ID Vendedor]],Vendedores[ID],Vendedores[Setor])</f>
        <v>CM</v>
      </c>
      <c r="D1206" s="7" t="s">
        <v>43</v>
      </c>
      <c r="E1206" t="str">
        <f>_xlfn.XLOOKUP(Vendas[[#This Row],[ID Item Vendido]],Agregado[ID],Agregado[Produto])</f>
        <v>Madeira Bruta (Tora)</v>
      </c>
      <c r="F1206" s="39">
        <v>44441</v>
      </c>
      <c r="G1206" s="7">
        <v>8</v>
      </c>
      <c r="H1206" s="3">
        <f>_xlfn.XLOOKUP(Vendas[[#This Row],[ID Item Vendido]],Agregado[ID],Agregado[Revenda])</f>
        <v>212</v>
      </c>
      <c r="I1206" s="3">
        <f>Vendas[[#This Row],[Valor Unitário]]*Vendas[[#This Row],[Qnt Vendida]]</f>
        <v>1696</v>
      </c>
      <c r="J1206" s="3">
        <f>Vendas[[#This Row],[Valor da Venda]]-(_xlfn.XLOOKUP(Vendas[[#This Row],[ID Item Vendido]],Agregado[ID],Agregado[Custo])*Vendas[[#This Row],[Qnt Vendida]])</f>
        <v>256</v>
      </c>
      <c r="K1206" s="70">
        <f>Vendas[[#This Row],[Lucro da Venda]]/Vendas[[#This Row],[Valor da Venda]]</f>
        <v>0.15094339622641509</v>
      </c>
      <c r="L1206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1206"/>
    </row>
    <row r="1207" spans="1:13" x14ac:dyDescent="0.3">
      <c r="A1207" s="7">
        <v>400255</v>
      </c>
      <c r="B1207" t="str">
        <f>_xlfn.XLOOKUP(Vendas[[#This Row],[ID Vendedor]],Vendedores[ID],Vendedores[Nome])</f>
        <v>Carlos</v>
      </c>
      <c r="C1207" s="7" t="str">
        <f>_xlfn.XLOOKUP(Vendas[[#This Row],[ID Vendedor]],Vendedores[ID],Vendedores[Setor])</f>
        <v>SC</v>
      </c>
      <c r="D1207" s="7" t="s">
        <v>42</v>
      </c>
      <c r="E1207" t="str">
        <f>_xlfn.XLOOKUP(Vendas[[#This Row],[ID Item Vendido]],Agregado[ID],Agregado[Produto])</f>
        <v>Container de ferro industrial</v>
      </c>
      <c r="F1207" s="39">
        <v>44444</v>
      </c>
      <c r="G1207" s="7">
        <v>6</v>
      </c>
      <c r="H1207" s="3">
        <f>_xlfn.XLOOKUP(Vendas[[#This Row],[ID Item Vendido]],Agregado[ID],Agregado[Revenda])</f>
        <v>830</v>
      </c>
      <c r="I1207" s="3">
        <f>Vendas[[#This Row],[Valor Unitário]]*Vendas[[#This Row],[Qnt Vendida]]</f>
        <v>4980</v>
      </c>
      <c r="J1207" s="3">
        <f>Vendas[[#This Row],[Valor da Venda]]-(_xlfn.XLOOKUP(Vendas[[#This Row],[ID Item Vendido]],Agregado[ID],Agregado[Custo])*Vendas[[#This Row],[Qnt Vendida]])</f>
        <v>900</v>
      </c>
      <c r="K1207" s="70">
        <f>Vendas[[#This Row],[Lucro da Venda]]/Vendas[[#This Row],[Valor da Venda]]</f>
        <v>0.18072289156626506</v>
      </c>
      <c r="L1207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207"/>
    </row>
    <row r="1208" spans="1:13" x14ac:dyDescent="0.3">
      <c r="A1208" s="7">
        <v>400247</v>
      </c>
      <c r="B1208" t="str">
        <f>_xlfn.XLOOKUP(Vendas[[#This Row],[ID Vendedor]],Vendedores[ID],Vendedores[Nome])</f>
        <v>André</v>
      </c>
      <c r="C1208" s="7" t="str">
        <f>_xlfn.XLOOKUP(Vendas[[#This Row],[ID Vendedor]],Vendedores[ID],Vendedores[Setor])</f>
        <v>CM</v>
      </c>
      <c r="D1208" s="7" t="s">
        <v>22</v>
      </c>
      <c r="E1208" t="str">
        <f>_xlfn.XLOOKUP(Vendas[[#This Row],[ID Item Vendido]],Agregado[ID],Agregado[Produto])</f>
        <v>Painel MDP 2,75x1,83m</v>
      </c>
      <c r="F1208" s="39">
        <v>44444</v>
      </c>
      <c r="G1208" s="7">
        <v>12</v>
      </c>
      <c r="H1208" s="3">
        <f>_xlfn.XLOOKUP(Vendas[[#This Row],[ID Item Vendido]],Agregado[ID],Agregado[Revenda])</f>
        <v>119</v>
      </c>
      <c r="I1208" s="3">
        <f>Vendas[[#This Row],[Valor Unitário]]*Vendas[[#This Row],[Qnt Vendida]]</f>
        <v>1428</v>
      </c>
      <c r="J1208" s="3">
        <f>Vendas[[#This Row],[Valor da Venda]]-(_xlfn.XLOOKUP(Vendas[[#This Row],[ID Item Vendido]],Agregado[ID],Agregado[Custo])*Vendas[[#This Row],[Qnt Vendida]])</f>
        <v>288</v>
      </c>
      <c r="K1208" s="70">
        <f>Vendas[[#This Row],[Lucro da Venda]]/Vendas[[#This Row],[Valor da Venda]]</f>
        <v>0.20168067226890757</v>
      </c>
      <c r="L1208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208"/>
    </row>
    <row r="1209" spans="1:13" x14ac:dyDescent="0.3">
      <c r="A1209" s="7">
        <v>400249</v>
      </c>
      <c r="B1209" t="str">
        <f>_xlfn.XLOOKUP(Vendas[[#This Row],[ID Vendedor]],Vendedores[ID],Vendedores[Nome])</f>
        <v>Bruno</v>
      </c>
      <c r="C1209" s="7" t="str">
        <f>_xlfn.XLOOKUP(Vendas[[#This Row],[ID Vendedor]],Vendedores[ID],Vendedores[Setor])</f>
        <v>CM</v>
      </c>
      <c r="D1209" s="7" t="s">
        <v>34</v>
      </c>
      <c r="E1209" t="str">
        <f>_xlfn.XLOOKUP(Vendas[[#This Row],[ID Item Vendido]],Agregado[ID],Agregado[Produto])</f>
        <v>Restos de madeira p/ MDP/OSB saco de 20kg</v>
      </c>
      <c r="F1209" s="39">
        <v>44445</v>
      </c>
      <c r="G1209" s="7">
        <v>10</v>
      </c>
      <c r="H1209" s="3">
        <f>_xlfn.XLOOKUP(Vendas[[#This Row],[ID Item Vendido]],Agregado[ID],Agregado[Revenda])</f>
        <v>13.8</v>
      </c>
      <c r="I1209" s="3">
        <f>Vendas[[#This Row],[Valor Unitário]]*Vendas[[#This Row],[Qnt Vendida]]</f>
        <v>138</v>
      </c>
      <c r="J1209" s="3">
        <f>Vendas[[#This Row],[Valor da Venda]]-(_xlfn.XLOOKUP(Vendas[[#This Row],[ID Item Vendido]],Agregado[ID],Agregado[Custo])*Vendas[[#This Row],[Qnt Vendida]])</f>
        <v>18</v>
      </c>
      <c r="K1209" s="70">
        <f>Vendas[[#This Row],[Lucro da Venda]]/Vendas[[#This Row],[Valor da Venda]]</f>
        <v>0.13043478260869565</v>
      </c>
      <c r="L1209" s="3">
        <f>_xlfn.IFS(Vendas[[#This Row],[Margem de Lucro (%)]]&lt;15%,Vendas[[#This Row],[Valor da Venda]]*3%,Vendas[[#This Row],[Margem de Lucro (%)]]&lt;=20%,Vendas[[#This Row],[Valor da Venda]]*4.5%,TRUE,Vendas[[#This Row],[Valor da Venda]]*6%)</f>
        <v>4.1399999999999997</v>
      </c>
      <c r="M1209"/>
    </row>
    <row r="1210" spans="1:13" x14ac:dyDescent="0.3">
      <c r="A1210" s="7">
        <v>400253</v>
      </c>
      <c r="B1210" t="str">
        <f>_xlfn.XLOOKUP(Vendas[[#This Row],[ID Vendedor]],Vendedores[ID],Vendedores[Nome])</f>
        <v>Gustavo</v>
      </c>
      <c r="C1210" s="7" t="str">
        <f>_xlfn.XLOOKUP(Vendas[[#This Row],[ID Vendedor]],Vendedores[ID],Vendedores[Setor])</f>
        <v>SC</v>
      </c>
      <c r="D1210" s="7" t="s">
        <v>25</v>
      </c>
      <c r="E1210" t="str">
        <f>_xlfn.XLOOKUP(Vendas[[#This Row],[ID Item Vendido]],Agregado[ID],Agregado[Produto])</f>
        <v>Palete de plástico</v>
      </c>
      <c r="F1210" s="39">
        <v>44446</v>
      </c>
      <c r="G1210" s="7">
        <v>6</v>
      </c>
      <c r="H1210" s="3">
        <f>_xlfn.XLOOKUP(Vendas[[#This Row],[ID Item Vendido]],Agregado[ID],Agregado[Revenda])</f>
        <v>70.8</v>
      </c>
      <c r="I1210" s="3">
        <f>Vendas[[#This Row],[Valor Unitário]]*Vendas[[#This Row],[Qnt Vendida]]</f>
        <v>424.79999999999995</v>
      </c>
      <c r="J1210" s="3">
        <f>Vendas[[#This Row],[Valor da Venda]]-(_xlfn.XLOOKUP(Vendas[[#This Row],[ID Item Vendido]],Agregado[ID],Agregado[Custo])*Vendas[[#This Row],[Qnt Vendida]])</f>
        <v>64.799999999999955</v>
      </c>
      <c r="K1210" s="70">
        <f>Vendas[[#This Row],[Lucro da Venda]]/Vendas[[#This Row],[Valor da Venda]]</f>
        <v>0.15254237288135583</v>
      </c>
      <c r="L1210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1210"/>
    </row>
    <row r="1211" spans="1:13" x14ac:dyDescent="0.3">
      <c r="A1211" s="7">
        <v>400250</v>
      </c>
      <c r="B1211" t="str">
        <f>_xlfn.XLOOKUP(Vendas[[#This Row],[ID Vendedor]],Vendedores[ID],Vendedores[Nome])</f>
        <v>Larissa</v>
      </c>
      <c r="C1211" s="7" t="str">
        <f>_xlfn.XLOOKUP(Vendas[[#This Row],[ID Vendedor]],Vendedores[ID],Vendedores[Setor])</f>
        <v>AB</v>
      </c>
      <c r="D1211" s="7" t="s">
        <v>36</v>
      </c>
      <c r="E1211" t="str">
        <f>_xlfn.XLOOKUP(Vendas[[#This Row],[ID Item Vendido]],Agregado[ID],Agregado[Produto])</f>
        <v>Borracha vulcanizada em manta</v>
      </c>
      <c r="F1211" s="39">
        <v>44446</v>
      </c>
      <c r="G1211" s="7">
        <v>36</v>
      </c>
      <c r="H1211" s="3">
        <f>_xlfn.XLOOKUP(Vendas[[#This Row],[ID Item Vendido]],Agregado[ID],Agregado[Revenda])</f>
        <v>7.8</v>
      </c>
      <c r="I1211" s="3">
        <f>Vendas[[#This Row],[Valor Unitário]]*Vendas[[#This Row],[Qnt Vendida]]</f>
        <v>280.8</v>
      </c>
      <c r="J1211" s="3">
        <f>Vendas[[#This Row],[Valor da Venda]]-(_xlfn.XLOOKUP(Vendas[[#This Row],[ID Item Vendido]],Agregado[ID],Agregado[Custo])*Vendas[[#This Row],[Qnt Vendida]])</f>
        <v>64.800000000000011</v>
      </c>
      <c r="K1211" s="70">
        <f>Vendas[[#This Row],[Lucro da Venda]]/Vendas[[#This Row],[Valor da Venda]]</f>
        <v>0.23076923076923081</v>
      </c>
      <c r="L1211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1211"/>
    </row>
    <row r="1212" spans="1:13" x14ac:dyDescent="0.3">
      <c r="A1212" s="7">
        <v>400247</v>
      </c>
      <c r="B1212" t="str">
        <f>_xlfn.XLOOKUP(Vendas[[#This Row],[ID Vendedor]],Vendedores[ID],Vendedores[Nome])</f>
        <v>André</v>
      </c>
      <c r="C1212" s="7" t="str">
        <f>_xlfn.XLOOKUP(Vendas[[#This Row],[ID Vendedor]],Vendedores[ID],Vendedores[Setor])</f>
        <v>CM</v>
      </c>
      <c r="D1212" s="7" t="s">
        <v>45</v>
      </c>
      <c r="E1212" t="str">
        <f>_xlfn.XLOOKUP(Vendas[[#This Row],[ID Item Vendido]],Agregado[ID],Agregado[Produto])</f>
        <v>Viga de madeira tratada 4m</v>
      </c>
      <c r="F1212" s="39">
        <v>44447</v>
      </c>
      <c r="G1212" s="7">
        <v>3</v>
      </c>
      <c r="H1212" s="3">
        <f>_xlfn.XLOOKUP(Vendas[[#This Row],[ID Item Vendido]],Agregado[ID],Agregado[Revenda])</f>
        <v>66</v>
      </c>
      <c r="I1212" s="3">
        <f>Vendas[[#This Row],[Valor Unitário]]*Vendas[[#This Row],[Qnt Vendida]]</f>
        <v>198</v>
      </c>
      <c r="J1212" s="3">
        <f>Vendas[[#This Row],[Valor da Venda]]-(_xlfn.XLOOKUP(Vendas[[#This Row],[ID Item Vendido]],Agregado[ID],Agregado[Custo])*Vendas[[#This Row],[Qnt Vendida]])</f>
        <v>33</v>
      </c>
      <c r="K1212" s="70">
        <f>Vendas[[#This Row],[Lucro da Venda]]/Vendas[[#This Row],[Valor da Venda]]</f>
        <v>0.16666666666666666</v>
      </c>
      <c r="L1212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1212"/>
    </row>
    <row r="1213" spans="1:13" x14ac:dyDescent="0.3">
      <c r="A1213" s="7">
        <v>400244</v>
      </c>
      <c r="B1213" t="str">
        <f>_xlfn.XLOOKUP(Vendas[[#This Row],[ID Vendedor]],Vendedores[ID],Vendedores[Nome])</f>
        <v>Camila</v>
      </c>
      <c r="C1213" s="7" t="str">
        <f>_xlfn.XLOOKUP(Vendas[[#This Row],[ID Vendedor]],Vendedores[ID],Vendedores[Setor])</f>
        <v>AHD</v>
      </c>
      <c r="D1213" s="7" t="s">
        <v>9</v>
      </c>
      <c r="E1213" t="str">
        <f>_xlfn.XLOOKUP(Vendas[[#This Row],[ID Item Vendido]],Agregado[ID],Agregado[Produto])</f>
        <v>Barra de aço simples</v>
      </c>
      <c r="F1213" s="39">
        <v>44447</v>
      </c>
      <c r="G1213" s="7">
        <v>27</v>
      </c>
      <c r="H1213" s="3">
        <f>_xlfn.XLOOKUP(Vendas[[#This Row],[ID Item Vendido]],Agregado[ID],Agregado[Revenda])</f>
        <v>6.7</v>
      </c>
      <c r="I1213" s="3">
        <f>Vendas[[#This Row],[Valor Unitário]]*Vendas[[#This Row],[Qnt Vendida]]</f>
        <v>180.9</v>
      </c>
      <c r="J1213" s="3">
        <f>Vendas[[#This Row],[Valor da Venda]]-(_xlfn.XLOOKUP(Vendas[[#This Row],[ID Item Vendido]],Agregado[ID],Agregado[Custo])*Vendas[[#This Row],[Qnt Vendida]])</f>
        <v>24.300000000000011</v>
      </c>
      <c r="K1213" s="70">
        <f>Vendas[[#This Row],[Lucro da Venda]]/Vendas[[#This Row],[Valor da Venda]]</f>
        <v>0.13432835820895528</v>
      </c>
      <c r="L1213" s="3">
        <f>_xlfn.IFS(Vendas[[#This Row],[Margem de Lucro (%)]]&lt;15%,Vendas[[#This Row],[Valor da Venda]]*3%,Vendas[[#This Row],[Margem de Lucro (%)]]&lt;=20%,Vendas[[#This Row],[Valor da Venda]]*4.5%,TRUE,Vendas[[#This Row],[Valor da Venda]]*6%)</f>
        <v>5.4269999999999996</v>
      </c>
      <c r="M1213"/>
    </row>
    <row r="1214" spans="1:13" x14ac:dyDescent="0.3">
      <c r="A1214" s="7">
        <v>400241</v>
      </c>
      <c r="B1214" t="str">
        <f>_xlfn.XLOOKUP(Vendas[[#This Row],[ID Vendedor]],Vendedores[ID],Vendedores[Nome])</f>
        <v>Rodrigo</v>
      </c>
      <c r="C1214" s="7" t="str">
        <f>_xlfn.XLOOKUP(Vendas[[#This Row],[ID Vendedor]],Vendedores[ID],Vendedores[Setor])</f>
        <v>FM</v>
      </c>
      <c r="D1214" s="7" t="s">
        <v>27</v>
      </c>
      <c r="E1214" t="str">
        <f>_xlfn.XLOOKUP(Vendas[[#This Row],[ID Item Vendido]],Agregado[ID],Agregado[Produto])</f>
        <v>Chapa de metal lisa 1x2m</v>
      </c>
      <c r="F1214" s="39">
        <v>44448</v>
      </c>
      <c r="G1214" s="7">
        <v>30</v>
      </c>
      <c r="H1214" s="3">
        <f>_xlfn.XLOOKUP(Vendas[[#This Row],[ID Item Vendido]],Agregado[ID],Agregado[Revenda])</f>
        <v>52</v>
      </c>
      <c r="I1214" s="3">
        <f>Vendas[[#This Row],[Valor Unitário]]*Vendas[[#This Row],[Qnt Vendida]]</f>
        <v>1560</v>
      </c>
      <c r="J1214" s="3">
        <f>Vendas[[#This Row],[Valor da Venda]]-(_xlfn.XLOOKUP(Vendas[[#This Row],[ID Item Vendido]],Agregado[ID],Agregado[Custo])*Vendas[[#This Row],[Qnt Vendida]])</f>
        <v>210</v>
      </c>
      <c r="K1214" s="70">
        <f>Vendas[[#This Row],[Lucro da Venda]]/Vendas[[#This Row],[Valor da Venda]]</f>
        <v>0.13461538461538461</v>
      </c>
      <c r="L1214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1214"/>
    </row>
    <row r="1215" spans="1:13" x14ac:dyDescent="0.3">
      <c r="A1215" s="7">
        <v>400247</v>
      </c>
      <c r="B1215" t="str">
        <f>_xlfn.XLOOKUP(Vendas[[#This Row],[ID Vendedor]],Vendedores[ID],Vendedores[Nome])</f>
        <v>André</v>
      </c>
      <c r="C1215" s="7" t="str">
        <f>_xlfn.XLOOKUP(Vendas[[#This Row],[ID Vendedor]],Vendedores[ID],Vendedores[Setor])</f>
        <v>CM</v>
      </c>
      <c r="D1215" s="7" t="s">
        <v>45</v>
      </c>
      <c r="E1215" t="str">
        <f>_xlfn.XLOOKUP(Vendas[[#This Row],[ID Item Vendido]],Agregado[ID],Agregado[Produto])</f>
        <v>Viga de madeira tratada 4m</v>
      </c>
      <c r="F1215" s="39">
        <v>44448</v>
      </c>
      <c r="G1215" s="7">
        <v>18</v>
      </c>
      <c r="H1215" s="3">
        <f>_xlfn.XLOOKUP(Vendas[[#This Row],[ID Item Vendido]],Agregado[ID],Agregado[Revenda])</f>
        <v>66</v>
      </c>
      <c r="I1215" s="3">
        <f>Vendas[[#This Row],[Valor Unitário]]*Vendas[[#This Row],[Qnt Vendida]]</f>
        <v>1188</v>
      </c>
      <c r="J1215" s="3">
        <f>Vendas[[#This Row],[Valor da Venda]]-(_xlfn.XLOOKUP(Vendas[[#This Row],[ID Item Vendido]],Agregado[ID],Agregado[Custo])*Vendas[[#This Row],[Qnt Vendida]])</f>
        <v>198</v>
      </c>
      <c r="K1215" s="70">
        <f>Vendas[[#This Row],[Lucro da Venda]]/Vendas[[#This Row],[Valor da Venda]]</f>
        <v>0.16666666666666666</v>
      </c>
      <c r="L1215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1215"/>
    </row>
    <row r="1216" spans="1:13" x14ac:dyDescent="0.3">
      <c r="A1216" s="7">
        <v>400251</v>
      </c>
      <c r="B1216" t="str">
        <f>_xlfn.XLOOKUP(Vendas[[#This Row],[ID Vendedor]],Vendedores[ID],Vendedores[Nome])</f>
        <v>Diego</v>
      </c>
      <c r="C1216" s="7" t="str">
        <f>_xlfn.XLOOKUP(Vendas[[#This Row],[ID Vendedor]],Vendedores[ID],Vendedores[Setor])</f>
        <v>AB</v>
      </c>
      <c r="D1216" s="7" t="s">
        <v>37</v>
      </c>
      <c r="E1216" t="str">
        <f>_xlfn.XLOOKUP(Vendas[[#This Row],[ID Item Vendido]],Agregado[ID],Agregado[Produto])</f>
        <v>Composto de borracha para vedação rolo 10m</v>
      </c>
      <c r="F1216" s="39">
        <v>44448</v>
      </c>
      <c r="G1216" s="7">
        <v>22</v>
      </c>
      <c r="H1216" s="3">
        <f>_xlfn.XLOOKUP(Vendas[[#This Row],[ID Item Vendido]],Agregado[ID],Agregado[Revenda])</f>
        <v>51.2</v>
      </c>
      <c r="I1216" s="3">
        <f>Vendas[[#This Row],[Valor Unitário]]*Vendas[[#This Row],[Qnt Vendida]]</f>
        <v>1126.4000000000001</v>
      </c>
      <c r="J1216" s="3">
        <f>Vendas[[#This Row],[Valor da Venda]]-(_xlfn.XLOOKUP(Vendas[[#This Row],[ID Item Vendido]],Agregado[ID],Agregado[Custo])*Vendas[[#This Row],[Qnt Vendida]])</f>
        <v>246.40000000000009</v>
      </c>
      <c r="K1216" s="70">
        <f>Vendas[[#This Row],[Lucro da Venda]]/Vendas[[#This Row],[Valor da Venda]]</f>
        <v>0.21875000000000006</v>
      </c>
      <c r="L1216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1216"/>
    </row>
    <row r="1217" spans="1:13" x14ac:dyDescent="0.3">
      <c r="A1217" s="7">
        <v>400247</v>
      </c>
      <c r="B1217" t="str">
        <f>_xlfn.XLOOKUP(Vendas[[#This Row],[ID Vendedor]],Vendedores[ID],Vendedores[Nome])</f>
        <v>André</v>
      </c>
      <c r="C1217" s="7" t="str">
        <f>_xlfn.XLOOKUP(Vendas[[#This Row],[ID Vendedor]],Vendedores[ID],Vendedores[Setor])</f>
        <v>CM</v>
      </c>
      <c r="D1217" s="7" t="s">
        <v>34</v>
      </c>
      <c r="E1217" t="str">
        <f>_xlfn.XLOOKUP(Vendas[[#This Row],[ID Item Vendido]],Agregado[ID],Agregado[Produto])</f>
        <v>Restos de madeira p/ MDP/OSB saco de 20kg</v>
      </c>
      <c r="F1217" s="39">
        <v>44448</v>
      </c>
      <c r="G1217" s="7">
        <v>28</v>
      </c>
      <c r="H1217" s="3">
        <f>_xlfn.XLOOKUP(Vendas[[#This Row],[ID Item Vendido]],Agregado[ID],Agregado[Revenda])</f>
        <v>13.8</v>
      </c>
      <c r="I1217" s="3">
        <f>Vendas[[#This Row],[Valor Unitário]]*Vendas[[#This Row],[Qnt Vendida]]</f>
        <v>386.40000000000003</v>
      </c>
      <c r="J1217" s="3">
        <f>Vendas[[#This Row],[Valor da Venda]]-(_xlfn.XLOOKUP(Vendas[[#This Row],[ID Item Vendido]],Agregado[ID],Agregado[Custo])*Vendas[[#This Row],[Qnt Vendida]])</f>
        <v>50.400000000000034</v>
      </c>
      <c r="K1217" s="70">
        <f>Vendas[[#This Row],[Lucro da Venda]]/Vendas[[#This Row],[Valor da Venda]]</f>
        <v>0.13043478260869573</v>
      </c>
      <c r="L1217" s="3">
        <f>_xlfn.IFS(Vendas[[#This Row],[Margem de Lucro (%)]]&lt;15%,Vendas[[#This Row],[Valor da Venda]]*3%,Vendas[[#This Row],[Margem de Lucro (%)]]&lt;=20%,Vendas[[#This Row],[Valor da Venda]]*4.5%,TRUE,Vendas[[#This Row],[Valor da Venda]]*6%)</f>
        <v>11.592000000000001</v>
      </c>
      <c r="M1217"/>
    </row>
    <row r="1218" spans="1:13" x14ac:dyDescent="0.3">
      <c r="A1218" s="7">
        <v>400241</v>
      </c>
      <c r="B1218" t="str">
        <f>_xlfn.XLOOKUP(Vendas[[#This Row],[ID Vendedor]],Vendedores[ID],Vendedores[Nome])</f>
        <v>Rodrigo</v>
      </c>
      <c r="C1218" s="7" t="str">
        <f>_xlfn.XLOOKUP(Vendas[[#This Row],[ID Vendedor]],Vendedores[ID],Vendedores[Setor])</f>
        <v>FM</v>
      </c>
      <c r="D1218" s="7" t="s">
        <v>20</v>
      </c>
      <c r="E1218" t="str">
        <f>_xlfn.XLOOKUP(Vendas[[#This Row],[ID Item Vendido]],Agregado[ID],Agregado[Produto])</f>
        <v>Barra de aço simples</v>
      </c>
      <c r="F1218" s="39">
        <v>44448</v>
      </c>
      <c r="G1218" s="7">
        <v>28</v>
      </c>
      <c r="H1218" s="3">
        <f>_xlfn.XLOOKUP(Vendas[[#This Row],[ID Item Vendido]],Agregado[ID],Agregado[Revenda])</f>
        <v>4.8</v>
      </c>
      <c r="I1218" s="3">
        <f>Vendas[[#This Row],[Valor Unitário]]*Vendas[[#This Row],[Qnt Vendida]]</f>
        <v>134.4</v>
      </c>
      <c r="J1218" s="3">
        <f>Vendas[[#This Row],[Valor da Venda]]-(_xlfn.XLOOKUP(Vendas[[#This Row],[ID Item Vendido]],Agregado[ID],Agregado[Custo])*Vendas[[#This Row],[Qnt Vendida]])</f>
        <v>16.799999999999997</v>
      </c>
      <c r="K1218" s="70">
        <f>Vendas[[#This Row],[Lucro da Venda]]/Vendas[[#This Row],[Valor da Venda]]</f>
        <v>0.12499999999999997</v>
      </c>
      <c r="L1218" s="3">
        <f>_xlfn.IFS(Vendas[[#This Row],[Margem de Lucro (%)]]&lt;15%,Vendas[[#This Row],[Valor da Venda]]*3%,Vendas[[#This Row],[Margem de Lucro (%)]]&lt;=20%,Vendas[[#This Row],[Valor da Venda]]*4.5%,TRUE,Vendas[[#This Row],[Valor da Venda]]*6%)</f>
        <v>4.032</v>
      </c>
      <c r="M1218"/>
    </row>
    <row r="1219" spans="1:13" x14ac:dyDescent="0.3">
      <c r="A1219" s="7">
        <v>400244</v>
      </c>
      <c r="B1219" t="str">
        <f>_xlfn.XLOOKUP(Vendas[[#This Row],[ID Vendedor]],Vendedores[ID],Vendedores[Nome])</f>
        <v>Camila</v>
      </c>
      <c r="C1219" s="7" t="str">
        <f>_xlfn.XLOOKUP(Vendas[[#This Row],[ID Vendedor]],Vendedores[ID],Vendedores[Setor])</f>
        <v>AHD</v>
      </c>
      <c r="D1219" s="7" t="s">
        <v>30</v>
      </c>
      <c r="E1219" t="str">
        <f>_xlfn.XLOOKUP(Vendas[[#This Row],[ID Item Vendido]],Agregado[ID],Agregado[Produto])</f>
        <v>Estrutura metálica soldada</v>
      </c>
      <c r="F1219" s="39">
        <v>44449</v>
      </c>
      <c r="G1219" s="7">
        <v>6</v>
      </c>
      <c r="H1219" s="3">
        <f>_xlfn.XLOOKUP(Vendas[[#This Row],[ID Item Vendido]],Agregado[ID],Agregado[Revenda])</f>
        <v>400</v>
      </c>
      <c r="I1219" s="3">
        <f>Vendas[[#This Row],[Valor Unitário]]*Vendas[[#This Row],[Qnt Vendida]]</f>
        <v>2400</v>
      </c>
      <c r="J1219" s="3">
        <f>Vendas[[#This Row],[Valor da Venda]]-(_xlfn.XLOOKUP(Vendas[[#This Row],[ID Item Vendido]],Agregado[ID],Agregado[Custo])*Vendas[[#This Row],[Qnt Vendida]])</f>
        <v>480</v>
      </c>
      <c r="K1219" s="70">
        <f>Vendas[[#This Row],[Lucro da Venda]]/Vendas[[#This Row],[Valor da Venda]]</f>
        <v>0.2</v>
      </c>
      <c r="L1219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219"/>
    </row>
    <row r="1220" spans="1:13" x14ac:dyDescent="0.3">
      <c r="A1220" s="7">
        <v>400253</v>
      </c>
      <c r="B1220" t="str">
        <f>_xlfn.XLOOKUP(Vendas[[#This Row],[ID Vendedor]],Vendedores[ID],Vendedores[Nome])</f>
        <v>Gustavo</v>
      </c>
      <c r="C1220" s="7" t="str">
        <f>_xlfn.XLOOKUP(Vendas[[#This Row],[ID Vendedor]],Vendedores[ID],Vendedores[Setor])</f>
        <v>SC</v>
      </c>
      <c r="D1220" s="7" t="s">
        <v>48</v>
      </c>
      <c r="E1220" t="str">
        <f>_xlfn.XLOOKUP(Vendas[[#This Row],[ID Item Vendido]],Agregado[ID],Agregado[Produto])</f>
        <v>Tambor metálico 200L</v>
      </c>
      <c r="F1220" s="39">
        <v>44450</v>
      </c>
      <c r="G1220" s="7">
        <v>12</v>
      </c>
      <c r="H1220" s="3">
        <f>_xlfn.XLOOKUP(Vendas[[#This Row],[ID Item Vendido]],Agregado[ID],Agregado[Revenda])</f>
        <v>144</v>
      </c>
      <c r="I1220" s="3">
        <f>Vendas[[#This Row],[Valor Unitário]]*Vendas[[#This Row],[Qnt Vendida]]</f>
        <v>1728</v>
      </c>
      <c r="J1220" s="3">
        <f>Vendas[[#This Row],[Valor da Venda]]-(_xlfn.XLOOKUP(Vendas[[#This Row],[ID Item Vendido]],Agregado[ID],Agregado[Custo])*Vendas[[#This Row],[Qnt Vendida]])</f>
        <v>288</v>
      </c>
      <c r="K1220" s="70">
        <f>Vendas[[#This Row],[Lucro da Venda]]/Vendas[[#This Row],[Valor da Venda]]</f>
        <v>0.16666666666666666</v>
      </c>
      <c r="L1220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1220"/>
    </row>
    <row r="1221" spans="1:13" x14ac:dyDescent="0.3">
      <c r="A1221" s="7">
        <v>400255</v>
      </c>
      <c r="B1221" t="str">
        <f>_xlfn.XLOOKUP(Vendas[[#This Row],[ID Vendedor]],Vendedores[ID],Vendedores[Nome])</f>
        <v>Carlos</v>
      </c>
      <c r="C1221" s="7" t="str">
        <f>_xlfn.XLOOKUP(Vendas[[#This Row],[ID Vendedor]],Vendedores[ID],Vendedores[Setor])</f>
        <v>SC</v>
      </c>
      <c r="D1221" s="7" t="s">
        <v>42</v>
      </c>
      <c r="E1221" t="str">
        <f>_xlfn.XLOOKUP(Vendas[[#This Row],[ID Item Vendido]],Agregado[ID],Agregado[Produto])</f>
        <v>Container de ferro industrial</v>
      </c>
      <c r="F1221" s="39">
        <v>44450</v>
      </c>
      <c r="G1221" s="7">
        <v>2</v>
      </c>
      <c r="H1221" s="3">
        <f>_xlfn.XLOOKUP(Vendas[[#This Row],[ID Item Vendido]],Agregado[ID],Agregado[Revenda])</f>
        <v>830</v>
      </c>
      <c r="I1221" s="3">
        <f>Vendas[[#This Row],[Valor Unitário]]*Vendas[[#This Row],[Qnt Vendida]]</f>
        <v>1660</v>
      </c>
      <c r="J1221" s="3">
        <f>Vendas[[#This Row],[Valor da Venda]]-(_xlfn.XLOOKUP(Vendas[[#This Row],[ID Item Vendido]],Agregado[ID],Agregado[Custo])*Vendas[[#This Row],[Qnt Vendida]])</f>
        <v>300</v>
      </c>
      <c r="K1221" s="70">
        <f>Vendas[[#This Row],[Lucro da Venda]]/Vendas[[#This Row],[Valor da Venda]]</f>
        <v>0.18072289156626506</v>
      </c>
      <c r="L1221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221"/>
    </row>
    <row r="1222" spans="1:13" x14ac:dyDescent="0.3">
      <c r="A1222" s="7">
        <v>400253</v>
      </c>
      <c r="B1222" t="str">
        <f>_xlfn.XLOOKUP(Vendas[[#This Row],[ID Vendedor]],Vendedores[ID],Vendedores[Nome])</f>
        <v>Gustavo</v>
      </c>
      <c r="C1222" s="7" t="str">
        <f>_xlfn.XLOOKUP(Vendas[[#This Row],[ID Vendedor]],Vendedores[ID],Vendedores[Setor])</f>
        <v>SC</v>
      </c>
      <c r="D1222" s="7" t="s">
        <v>14</v>
      </c>
      <c r="E1222" t="str">
        <f>_xlfn.XLOOKUP(Vendas[[#This Row],[ID Item Vendido]],Agregado[ID],Agregado[Produto])</f>
        <v>Barril de plástico 200L</v>
      </c>
      <c r="F1222" s="39">
        <v>44451</v>
      </c>
      <c r="G1222" s="7">
        <v>13</v>
      </c>
      <c r="H1222" s="3">
        <f>_xlfn.XLOOKUP(Vendas[[#This Row],[ID Item Vendido]],Agregado[ID],Agregado[Revenda])</f>
        <v>114</v>
      </c>
      <c r="I1222" s="3">
        <f>Vendas[[#This Row],[Valor Unitário]]*Vendas[[#This Row],[Qnt Vendida]]</f>
        <v>1482</v>
      </c>
      <c r="J1222" s="3">
        <f>Vendas[[#This Row],[Valor da Venda]]-(_xlfn.XLOOKUP(Vendas[[#This Row],[ID Item Vendido]],Agregado[ID],Agregado[Custo])*Vendas[[#This Row],[Qnt Vendida]])</f>
        <v>247</v>
      </c>
      <c r="K1222" s="70">
        <f>Vendas[[#This Row],[Lucro da Venda]]/Vendas[[#This Row],[Valor da Venda]]</f>
        <v>0.16666666666666666</v>
      </c>
      <c r="L1222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1222"/>
    </row>
    <row r="1223" spans="1:13" x14ac:dyDescent="0.3">
      <c r="A1223" s="7">
        <v>400250</v>
      </c>
      <c r="B1223" t="str">
        <f>_xlfn.XLOOKUP(Vendas[[#This Row],[ID Vendedor]],Vendedores[ID],Vendedores[Nome])</f>
        <v>Larissa</v>
      </c>
      <c r="C1223" s="7" t="str">
        <f>_xlfn.XLOOKUP(Vendas[[#This Row],[ID Vendedor]],Vendedores[ID],Vendedores[Setor])</f>
        <v>AB</v>
      </c>
      <c r="D1223" s="7" t="s">
        <v>12</v>
      </c>
      <c r="E1223" t="str">
        <f>_xlfn.XLOOKUP(Vendas[[#This Row],[ID Item Vendido]],Agregado[ID],Agregado[Produto])</f>
        <v>Grânulo de plástico reciclado refinado</v>
      </c>
      <c r="F1223" s="39">
        <v>44451</v>
      </c>
      <c r="G1223" s="7">
        <v>65</v>
      </c>
      <c r="H1223" s="3">
        <f>_xlfn.XLOOKUP(Vendas[[#This Row],[ID Item Vendido]],Agregado[ID],Agregado[Revenda])</f>
        <v>4.7</v>
      </c>
      <c r="I1223" s="3">
        <f>Vendas[[#This Row],[Valor Unitário]]*Vendas[[#This Row],[Qnt Vendida]]</f>
        <v>305.5</v>
      </c>
      <c r="J1223" s="3">
        <f>Vendas[[#This Row],[Valor da Venda]]-(_xlfn.XLOOKUP(Vendas[[#This Row],[ID Item Vendido]],Agregado[ID],Agregado[Custo])*Vendas[[#This Row],[Qnt Vendida]])</f>
        <v>78</v>
      </c>
      <c r="K1223" s="70">
        <f>Vendas[[#This Row],[Lucro da Venda]]/Vendas[[#This Row],[Valor da Venda]]</f>
        <v>0.25531914893617019</v>
      </c>
      <c r="L1223" s="3">
        <f>_xlfn.IFS(Vendas[[#This Row],[Margem de Lucro (%)]]&lt;15%,Vendas[[#This Row],[Valor da Venda]]*3%,Vendas[[#This Row],[Margem de Lucro (%)]]&lt;=20%,Vendas[[#This Row],[Valor da Venda]]*4.5%,TRUE,Vendas[[#This Row],[Valor da Venda]]*6%)</f>
        <v>18.329999999999998</v>
      </c>
      <c r="M1223"/>
    </row>
    <row r="1224" spans="1:13" x14ac:dyDescent="0.3">
      <c r="A1224" s="7">
        <v>400250</v>
      </c>
      <c r="B1224" t="str">
        <f>_xlfn.XLOOKUP(Vendas[[#This Row],[ID Vendedor]],Vendedores[ID],Vendedores[Nome])</f>
        <v>Larissa</v>
      </c>
      <c r="C1224" s="7" t="str">
        <f>_xlfn.XLOOKUP(Vendas[[#This Row],[ID Vendedor]],Vendedores[ID],Vendedores[Setor])</f>
        <v>AB</v>
      </c>
      <c r="D1224" s="7" t="s">
        <v>37</v>
      </c>
      <c r="E1224" t="str">
        <f>_xlfn.XLOOKUP(Vendas[[#This Row],[ID Item Vendido]],Agregado[ID],Agregado[Produto])</f>
        <v>Composto de borracha para vedação rolo 10m</v>
      </c>
      <c r="F1224" s="39">
        <v>44451</v>
      </c>
      <c r="G1224" s="7">
        <v>5</v>
      </c>
      <c r="H1224" s="3">
        <f>_xlfn.XLOOKUP(Vendas[[#This Row],[ID Item Vendido]],Agregado[ID],Agregado[Revenda])</f>
        <v>51.2</v>
      </c>
      <c r="I1224" s="3">
        <f>Vendas[[#This Row],[Valor Unitário]]*Vendas[[#This Row],[Qnt Vendida]]</f>
        <v>256</v>
      </c>
      <c r="J1224" s="3">
        <f>Vendas[[#This Row],[Valor da Venda]]-(_xlfn.XLOOKUP(Vendas[[#This Row],[ID Item Vendido]],Agregado[ID],Agregado[Custo])*Vendas[[#This Row],[Qnt Vendida]])</f>
        <v>56</v>
      </c>
      <c r="K1224" s="70">
        <f>Vendas[[#This Row],[Lucro da Venda]]/Vendas[[#This Row],[Valor da Venda]]</f>
        <v>0.21875</v>
      </c>
      <c r="L1224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1224"/>
    </row>
    <row r="1225" spans="1:13" x14ac:dyDescent="0.3">
      <c r="A1225" s="7">
        <v>400253</v>
      </c>
      <c r="B1225" t="str">
        <f>_xlfn.XLOOKUP(Vendas[[#This Row],[ID Vendedor]],Vendedores[ID],Vendedores[Nome])</f>
        <v>Gustavo</v>
      </c>
      <c r="C1225" s="7" t="str">
        <f>_xlfn.XLOOKUP(Vendas[[#This Row],[ID Vendedor]],Vendedores[ID],Vendedores[Setor])</f>
        <v>SC</v>
      </c>
      <c r="D1225" s="7" t="s">
        <v>41</v>
      </c>
      <c r="E1225" t="str">
        <f>_xlfn.XLOOKUP(Vendas[[#This Row],[ID Item Vendido]],Agregado[ID],Agregado[Produto])</f>
        <v>Palete de madeira reforçado</v>
      </c>
      <c r="F1225" s="39">
        <v>44452</v>
      </c>
      <c r="G1225" s="7">
        <v>7</v>
      </c>
      <c r="H1225" s="3">
        <f>_xlfn.XLOOKUP(Vendas[[#This Row],[ID Item Vendido]],Agregado[ID],Agregado[Revenda])</f>
        <v>131</v>
      </c>
      <c r="I1225" s="3">
        <f>Vendas[[#This Row],[Valor Unitário]]*Vendas[[#This Row],[Qnt Vendida]]</f>
        <v>917</v>
      </c>
      <c r="J1225" s="3">
        <f>Vendas[[#This Row],[Valor da Venda]]-(_xlfn.XLOOKUP(Vendas[[#This Row],[ID Item Vendido]],Agregado[ID],Agregado[Custo])*Vendas[[#This Row],[Qnt Vendida]])</f>
        <v>147</v>
      </c>
      <c r="K1225" s="70">
        <f>Vendas[[#This Row],[Lucro da Venda]]/Vendas[[#This Row],[Valor da Venda]]</f>
        <v>0.16030534351145037</v>
      </c>
      <c r="L1225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1225"/>
    </row>
    <row r="1226" spans="1:13" x14ac:dyDescent="0.3">
      <c r="A1226" s="7">
        <v>400250</v>
      </c>
      <c r="B1226" t="str">
        <f>_xlfn.XLOOKUP(Vendas[[#This Row],[ID Vendedor]],Vendedores[ID],Vendedores[Nome])</f>
        <v>Larissa</v>
      </c>
      <c r="C1226" s="7" t="str">
        <f>_xlfn.XLOOKUP(Vendas[[#This Row],[ID Vendedor]],Vendedores[ID],Vendedores[Setor])</f>
        <v>AB</v>
      </c>
      <c r="D1226" s="7" t="s">
        <v>36</v>
      </c>
      <c r="E1226" t="str">
        <f>_xlfn.XLOOKUP(Vendas[[#This Row],[ID Item Vendido]],Agregado[ID],Agregado[Produto])</f>
        <v>Borracha vulcanizada em manta</v>
      </c>
      <c r="F1226" s="39">
        <v>44452</v>
      </c>
      <c r="G1226" s="7">
        <v>56</v>
      </c>
      <c r="H1226" s="3">
        <f>_xlfn.XLOOKUP(Vendas[[#This Row],[ID Item Vendido]],Agregado[ID],Agregado[Revenda])</f>
        <v>7.8</v>
      </c>
      <c r="I1226" s="3">
        <f>Vendas[[#This Row],[Valor Unitário]]*Vendas[[#This Row],[Qnt Vendida]]</f>
        <v>436.8</v>
      </c>
      <c r="J1226" s="3">
        <f>Vendas[[#This Row],[Valor da Venda]]-(_xlfn.XLOOKUP(Vendas[[#This Row],[ID Item Vendido]],Agregado[ID],Agregado[Custo])*Vendas[[#This Row],[Qnt Vendida]])</f>
        <v>100.80000000000001</v>
      </c>
      <c r="K1226" s="70">
        <f>Vendas[[#This Row],[Lucro da Venda]]/Vendas[[#This Row],[Valor da Venda]]</f>
        <v>0.23076923076923078</v>
      </c>
      <c r="L1226" s="3">
        <f>_xlfn.IFS(Vendas[[#This Row],[Margem de Lucro (%)]]&lt;15%,Vendas[[#This Row],[Valor da Venda]]*3%,Vendas[[#This Row],[Margem de Lucro (%)]]&lt;=20%,Vendas[[#This Row],[Valor da Venda]]*4.5%,TRUE,Vendas[[#This Row],[Valor da Venda]]*6%)</f>
        <v>26.207999999999998</v>
      </c>
      <c r="M1226"/>
    </row>
    <row r="1227" spans="1:13" x14ac:dyDescent="0.3">
      <c r="A1227" s="7">
        <v>400250</v>
      </c>
      <c r="B1227" t="str">
        <f>_xlfn.XLOOKUP(Vendas[[#This Row],[ID Vendedor]],Vendedores[ID],Vendedores[Nome])</f>
        <v>Larissa</v>
      </c>
      <c r="C1227" s="7" t="str">
        <f>_xlfn.XLOOKUP(Vendas[[#This Row],[ID Vendedor]],Vendedores[ID],Vendedores[Setor])</f>
        <v>AB</v>
      </c>
      <c r="D1227" s="7" t="s">
        <v>24</v>
      </c>
      <c r="E1227" t="str">
        <f>_xlfn.XLOOKUP(Vendas[[#This Row],[ID Item Vendido]],Agregado[ID],Agregado[Produto])</f>
        <v>Resina plástica PET purificada saco de 25kg</v>
      </c>
      <c r="F1227" s="39">
        <v>44454</v>
      </c>
      <c r="G1227" s="7">
        <v>23</v>
      </c>
      <c r="H1227" s="3">
        <f>_xlfn.XLOOKUP(Vendas[[#This Row],[ID Item Vendido]],Agregado[ID],Agregado[Revenda])</f>
        <v>119</v>
      </c>
      <c r="I1227" s="3">
        <f>Vendas[[#This Row],[Valor Unitário]]*Vendas[[#This Row],[Qnt Vendida]]</f>
        <v>2737</v>
      </c>
      <c r="J1227" s="3">
        <f>Vendas[[#This Row],[Valor da Venda]]-(_xlfn.XLOOKUP(Vendas[[#This Row],[ID Item Vendido]],Agregado[ID],Agregado[Custo])*Vendas[[#This Row],[Qnt Vendida]])</f>
        <v>782</v>
      </c>
      <c r="K1227" s="70">
        <f>Vendas[[#This Row],[Lucro da Venda]]/Vendas[[#This Row],[Valor da Venda]]</f>
        <v>0.2857142857142857</v>
      </c>
      <c r="L1227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227"/>
    </row>
    <row r="1228" spans="1:13" x14ac:dyDescent="0.3">
      <c r="A1228" s="7">
        <v>400244</v>
      </c>
      <c r="B1228" t="str">
        <f>_xlfn.XLOOKUP(Vendas[[#This Row],[ID Vendedor]],Vendedores[ID],Vendedores[Nome])</f>
        <v>Camila</v>
      </c>
      <c r="C1228" s="7" t="str">
        <f>_xlfn.XLOOKUP(Vendas[[#This Row],[ID Vendedor]],Vendedores[ID],Vendedores[Setor])</f>
        <v>AHD</v>
      </c>
      <c r="D1228" s="7" t="s">
        <v>30</v>
      </c>
      <c r="E1228" t="str">
        <f>_xlfn.XLOOKUP(Vendas[[#This Row],[ID Item Vendido]],Agregado[ID],Agregado[Produto])</f>
        <v>Estrutura metálica soldada</v>
      </c>
      <c r="F1228" s="39">
        <v>44454</v>
      </c>
      <c r="G1228" s="7">
        <v>1</v>
      </c>
      <c r="H1228" s="3">
        <f>_xlfn.XLOOKUP(Vendas[[#This Row],[ID Item Vendido]],Agregado[ID],Agregado[Revenda])</f>
        <v>400</v>
      </c>
      <c r="I1228" s="3">
        <f>Vendas[[#This Row],[Valor Unitário]]*Vendas[[#This Row],[Qnt Vendida]]</f>
        <v>400</v>
      </c>
      <c r="J1228" s="3">
        <f>Vendas[[#This Row],[Valor da Venda]]-(_xlfn.XLOOKUP(Vendas[[#This Row],[ID Item Vendido]],Agregado[ID],Agregado[Custo])*Vendas[[#This Row],[Qnt Vendida]])</f>
        <v>80</v>
      </c>
      <c r="K1228" s="70">
        <f>Vendas[[#This Row],[Lucro da Venda]]/Vendas[[#This Row],[Valor da Venda]]</f>
        <v>0.2</v>
      </c>
      <c r="L1228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228"/>
    </row>
    <row r="1229" spans="1:13" x14ac:dyDescent="0.3">
      <c r="A1229" s="7">
        <v>400243</v>
      </c>
      <c r="B1229" t="str">
        <f>_xlfn.XLOOKUP(Vendas[[#This Row],[ID Vendedor]],Vendedores[ID],Vendedores[Nome])</f>
        <v>Marcelo</v>
      </c>
      <c r="C1229" s="7" t="str">
        <f>_xlfn.XLOOKUP(Vendas[[#This Row],[ID Vendedor]],Vendedores[ID],Vendedores[Setor])</f>
        <v>FM</v>
      </c>
      <c r="D1229" s="7" t="s">
        <v>20</v>
      </c>
      <c r="E1229" t="str">
        <f>_xlfn.XLOOKUP(Vendas[[#This Row],[ID Item Vendido]],Agregado[ID],Agregado[Produto])</f>
        <v>Barra de aço simples</v>
      </c>
      <c r="F1229" s="39">
        <v>44455</v>
      </c>
      <c r="G1229" s="7">
        <v>47</v>
      </c>
      <c r="H1229" s="3">
        <f>_xlfn.XLOOKUP(Vendas[[#This Row],[ID Item Vendido]],Agregado[ID],Agregado[Revenda])</f>
        <v>4.8</v>
      </c>
      <c r="I1229" s="3">
        <f>Vendas[[#This Row],[Valor Unitário]]*Vendas[[#This Row],[Qnt Vendida]]</f>
        <v>225.6</v>
      </c>
      <c r="J1229" s="3">
        <f>Vendas[[#This Row],[Valor da Venda]]-(_xlfn.XLOOKUP(Vendas[[#This Row],[ID Item Vendido]],Agregado[ID],Agregado[Custo])*Vendas[[#This Row],[Qnt Vendida]])</f>
        <v>28.199999999999989</v>
      </c>
      <c r="K1229" s="70">
        <f>Vendas[[#This Row],[Lucro da Venda]]/Vendas[[#This Row],[Valor da Venda]]</f>
        <v>0.12499999999999996</v>
      </c>
      <c r="L1229" s="3">
        <f>_xlfn.IFS(Vendas[[#This Row],[Margem de Lucro (%)]]&lt;15%,Vendas[[#This Row],[Valor da Venda]]*3%,Vendas[[#This Row],[Margem de Lucro (%)]]&lt;=20%,Vendas[[#This Row],[Valor da Venda]]*4.5%,TRUE,Vendas[[#This Row],[Valor da Venda]]*6%)</f>
        <v>6.7679999999999998</v>
      </c>
      <c r="M1229"/>
    </row>
    <row r="1230" spans="1:13" x14ac:dyDescent="0.3">
      <c r="A1230" s="7">
        <v>400244</v>
      </c>
      <c r="B1230" t="str">
        <f>_xlfn.XLOOKUP(Vendas[[#This Row],[ID Vendedor]],Vendedores[ID],Vendedores[Nome])</f>
        <v>Camila</v>
      </c>
      <c r="C1230" s="7" t="str">
        <f>_xlfn.XLOOKUP(Vendas[[#This Row],[ID Vendedor]],Vendedores[ID],Vendedores[Setor])</f>
        <v>AHD</v>
      </c>
      <c r="D1230" s="7" t="s">
        <v>18</v>
      </c>
      <c r="E1230" t="str">
        <f>_xlfn.XLOOKUP(Vendas[[#This Row],[ID Item Vendido]],Agregado[ID],Agregado[Produto])</f>
        <v>Peça forjada sob encomenda</v>
      </c>
      <c r="F1230" s="39">
        <v>44457</v>
      </c>
      <c r="G1230" s="7">
        <v>2</v>
      </c>
      <c r="H1230" s="3">
        <f>_xlfn.XLOOKUP(Vendas[[#This Row],[ID Item Vendido]],Agregado[ID],Agregado[Revenda])</f>
        <v>264.60000000000002</v>
      </c>
      <c r="I1230" s="3">
        <f>Vendas[[#This Row],[Valor Unitário]]*Vendas[[#This Row],[Qnt Vendida]]</f>
        <v>529.20000000000005</v>
      </c>
      <c r="J1230" s="3">
        <f>Vendas[[#This Row],[Valor da Venda]]-(_xlfn.XLOOKUP(Vendas[[#This Row],[ID Item Vendido]],Agregado[ID],Agregado[Custo])*Vendas[[#This Row],[Qnt Vendida]])</f>
        <v>29.200000000000045</v>
      </c>
      <c r="K1230" s="70">
        <f>Vendas[[#This Row],[Lucro da Venda]]/Vendas[[#This Row],[Valor da Venda]]</f>
        <v>5.5177626606198113E-2</v>
      </c>
      <c r="L123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230"/>
    </row>
    <row r="1231" spans="1:13" x14ac:dyDescent="0.3">
      <c r="A1231" s="7">
        <v>400251</v>
      </c>
      <c r="B1231" t="str">
        <f>_xlfn.XLOOKUP(Vendas[[#This Row],[ID Vendedor]],Vendedores[ID],Vendedores[Nome])</f>
        <v>Diego</v>
      </c>
      <c r="C1231" s="7" t="str">
        <f>_xlfn.XLOOKUP(Vendas[[#This Row],[ID Vendedor]],Vendedores[ID],Vendedores[Setor])</f>
        <v>AB</v>
      </c>
      <c r="D1231" s="7" t="s">
        <v>36</v>
      </c>
      <c r="E1231" t="str">
        <f>_xlfn.XLOOKUP(Vendas[[#This Row],[ID Item Vendido]],Agregado[ID],Agregado[Produto])</f>
        <v>Borracha vulcanizada em manta</v>
      </c>
      <c r="F1231" s="39">
        <v>44457</v>
      </c>
      <c r="G1231" s="7">
        <v>62</v>
      </c>
      <c r="H1231" s="3">
        <f>_xlfn.XLOOKUP(Vendas[[#This Row],[ID Item Vendido]],Agregado[ID],Agregado[Revenda])</f>
        <v>7.8</v>
      </c>
      <c r="I1231" s="3">
        <f>Vendas[[#This Row],[Valor Unitário]]*Vendas[[#This Row],[Qnt Vendida]]</f>
        <v>483.59999999999997</v>
      </c>
      <c r="J1231" s="3">
        <f>Vendas[[#This Row],[Valor da Venda]]-(_xlfn.XLOOKUP(Vendas[[#This Row],[ID Item Vendido]],Agregado[ID],Agregado[Custo])*Vendas[[#This Row],[Qnt Vendida]])</f>
        <v>111.59999999999997</v>
      </c>
      <c r="K1231" s="70">
        <f>Vendas[[#This Row],[Lucro da Venda]]/Vendas[[#This Row],[Valor da Venda]]</f>
        <v>0.23076923076923073</v>
      </c>
      <c r="L1231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1231"/>
    </row>
    <row r="1232" spans="1:13" x14ac:dyDescent="0.3">
      <c r="A1232" s="7">
        <v>400251</v>
      </c>
      <c r="B1232" t="str">
        <f>_xlfn.XLOOKUP(Vendas[[#This Row],[ID Vendedor]],Vendedores[ID],Vendedores[Nome])</f>
        <v>Diego</v>
      </c>
      <c r="C1232" s="7" t="str">
        <f>_xlfn.XLOOKUP(Vendas[[#This Row],[ID Vendedor]],Vendedores[ID],Vendedores[Setor])</f>
        <v>AB</v>
      </c>
      <c r="D1232" s="7" t="s">
        <v>12</v>
      </c>
      <c r="E1232" t="str">
        <f>_xlfn.XLOOKUP(Vendas[[#This Row],[ID Item Vendido]],Agregado[ID],Agregado[Produto])</f>
        <v>Grânulo de plástico reciclado refinado</v>
      </c>
      <c r="F1232" s="39">
        <v>44457</v>
      </c>
      <c r="G1232" s="7">
        <v>77</v>
      </c>
      <c r="H1232" s="3">
        <f>_xlfn.XLOOKUP(Vendas[[#This Row],[ID Item Vendido]],Agregado[ID],Agregado[Revenda])</f>
        <v>4.7</v>
      </c>
      <c r="I1232" s="3">
        <f>Vendas[[#This Row],[Valor Unitário]]*Vendas[[#This Row],[Qnt Vendida]]</f>
        <v>361.90000000000003</v>
      </c>
      <c r="J1232" s="3">
        <f>Vendas[[#This Row],[Valor da Venda]]-(_xlfn.XLOOKUP(Vendas[[#This Row],[ID Item Vendido]],Agregado[ID],Agregado[Custo])*Vendas[[#This Row],[Qnt Vendida]])</f>
        <v>92.400000000000034</v>
      </c>
      <c r="K1232" s="70">
        <f>Vendas[[#This Row],[Lucro da Venda]]/Vendas[[#This Row],[Valor da Venda]]</f>
        <v>0.2553191489361703</v>
      </c>
      <c r="L1232" s="3">
        <f>_xlfn.IFS(Vendas[[#This Row],[Margem de Lucro (%)]]&lt;15%,Vendas[[#This Row],[Valor da Venda]]*3%,Vendas[[#This Row],[Margem de Lucro (%)]]&lt;=20%,Vendas[[#This Row],[Valor da Venda]]*4.5%,TRUE,Vendas[[#This Row],[Valor da Venda]]*6%)</f>
        <v>21.714000000000002</v>
      </c>
      <c r="M1232"/>
    </row>
    <row r="1233" spans="1:13" x14ac:dyDescent="0.3">
      <c r="A1233" s="7">
        <v>400243</v>
      </c>
      <c r="B1233" t="str">
        <f>_xlfn.XLOOKUP(Vendas[[#This Row],[ID Vendedor]],Vendedores[ID],Vendedores[Nome])</f>
        <v>Marcelo</v>
      </c>
      <c r="C1233" s="7" t="str">
        <f>_xlfn.XLOOKUP(Vendas[[#This Row],[ID Vendedor]],Vendedores[ID],Vendedores[Setor])</f>
        <v>FM</v>
      </c>
      <c r="D1233" s="7" t="s">
        <v>6</v>
      </c>
      <c r="E1233" t="str">
        <f>_xlfn.XLOOKUP(Vendas[[#This Row],[ID Item Vendido]],Agregado[ID],Agregado[Produto])</f>
        <v>Parafuso comum 500un</v>
      </c>
      <c r="F1233" s="39">
        <v>44458</v>
      </c>
      <c r="G1233" s="7">
        <v>23</v>
      </c>
      <c r="H1233" s="3">
        <f>_xlfn.XLOOKUP(Vendas[[#This Row],[ID Item Vendido]],Agregado[ID],Agregado[Revenda])</f>
        <v>24.6</v>
      </c>
      <c r="I1233" s="3">
        <f>Vendas[[#This Row],[Valor Unitário]]*Vendas[[#This Row],[Qnt Vendida]]</f>
        <v>565.80000000000007</v>
      </c>
      <c r="J1233" s="3">
        <f>Vendas[[#This Row],[Valor da Venda]]-(_xlfn.XLOOKUP(Vendas[[#This Row],[ID Item Vendido]],Agregado[ID],Agregado[Custo])*Vendas[[#This Row],[Qnt Vendida]])</f>
        <v>59.800000000000068</v>
      </c>
      <c r="K1233" s="70">
        <f>Vendas[[#This Row],[Lucro da Venda]]/Vendas[[#This Row],[Valor da Venda]]</f>
        <v>0.10569105691056921</v>
      </c>
      <c r="L1233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1233"/>
    </row>
    <row r="1234" spans="1:13" x14ac:dyDescent="0.3">
      <c r="A1234" s="7">
        <v>400243</v>
      </c>
      <c r="B1234" t="str">
        <f>_xlfn.XLOOKUP(Vendas[[#This Row],[ID Vendedor]],Vendedores[ID],Vendedores[Nome])</f>
        <v>Marcelo</v>
      </c>
      <c r="C1234" s="7" t="str">
        <f>_xlfn.XLOOKUP(Vendas[[#This Row],[ID Vendedor]],Vendedores[ID],Vendedores[Setor])</f>
        <v>FM</v>
      </c>
      <c r="D1234" s="7" t="s">
        <v>31</v>
      </c>
      <c r="E1234" t="str">
        <f>_xlfn.XLOOKUP(Vendas[[#This Row],[ID Item Vendido]],Agregado[ID],Agregado[Produto])</f>
        <v>Tela de metal soldada rolo 2x25m</v>
      </c>
      <c r="F1234" s="39">
        <v>44460</v>
      </c>
      <c r="G1234" s="7">
        <v>8</v>
      </c>
      <c r="H1234" s="3">
        <f>_xlfn.XLOOKUP(Vendas[[#This Row],[ID Item Vendido]],Agregado[ID],Agregado[Revenda])</f>
        <v>43.7</v>
      </c>
      <c r="I1234" s="3">
        <f>Vendas[[#This Row],[Valor Unitário]]*Vendas[[#This Row],[Qnt Vendida]]</f>
        <v>349.6</v>
      </c>
      <c r="J1234" s="3">
        <f>Vendas[[#This Row],[Valor da Venda]]-(_xlfn.XLOOKUP(Vendas[[#This Row],[ID Item Vendido]],Agregado[ID],Agregado[Custo])*Vendas[[#This Row],[Qnt Vendida]])</f>
        <v>45.600000000000023</v>
      </c>
      <c r="K1234" s="70">
        <f>Vendas[[#This Row],[Lucro da Venda]]/Vendas[[#This Row],[Valor da Venda]]</f>
        <v>0.1304347826086957</v>
      </c>
      <c r="L1234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1234"/>
    </row>
    <row r="1235" spans="1:13" x14ac:dyDescent="0.3">
      <c r="A1235" s="7">
        <v>400255</v>
      </c>
      <c r="B1235" t="str">
        <f>_xlfn.XLOOKUP(Vendas[[#This Row],[ID Vendedor]],Vendedores[ID],Vendedores[Nome])</f>
        <v>Carlos</v>
      </c>
      <c r="C1235" s="7" t="str">
        <f>_xlfn.XLOOKUP(Vendas[[#This Row],[ID Vendedor]],Vendedores[ID],Vendedores[Setor])</f>
        <v>SC</v>
      </c>
      <c r="D1235" s="7" t="s">
        <v>42</v>
      </c>
      <c r="E1235" t="str">
        <f>_xlfn.XLOOKUP(Vendas[[#This Row],[ID Item Vendido]],Agregado[ID],Agregado[Produto])</f>
        <v>Container de ferro industrial</v>
      </c>
      <c r="F1235" s="39">
        <v>44462</v>
      </c>
      <c r="G1235" s="7">
        <v>6</v>
      </c>
      <c r="H1235" s="3">
        <f>_xlfn.XLOOKUP(Vendas[[#This Row],[ID Item Vendido]],Agregado[ID],Agregado[Revenda])</f>
        <v>830</v>
      </c>
      <c r="I1235" s="3">
        <f>Vendas[[#This Row],[Valor Unitário]]*Vendas[[#This Row],[Qnt Vendida]]</f>
        <v>4980</v>
      </c>
      <c r="J1235" s="3">
        <f>Vendas[[#This Row],[Valor da Venda]]-(_xlfn.XLOOKUP(Vendas[[#This Row],[ID Item Vendido]],Agregado[ID],Agregado[Custo])*Vendas[[#This Row],[Qnt Vendida]])</f>
        <v>900</v>
      </c>
      <c r="K1235" s="70">
        <f>Vendas[[#This Row],[Lucro da Venda]]/Vendas[[#This Row],[Valor da Venda]]</f>
        <v>0.18072289156626506</v>
      </c>
      <c r="L1235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235"/>
    </row>
    <row r="1236" spans="1:13" x14ac:dyDescent="0.3">
      <c r="A1236" s="7">
        <v>400253</v>
      </c>
      <c r="B1236" t="str">
        <f>_xlfn.XLOOKUP(Vendas[[#This Row],[ID Vendedor]],Vendedores[ID],Vendedores[Nome])</f>
        <v>Gustavo</v>
      </c>
      <c r="C1236" s="7" t="str">
        <f>_xlfn.XLOOKUP(Vendas[[#This Row],[ID Vendedor]],Vendedores[ID],Vendedores[Setor])</f>
        <v>SC</v>
      </c>
      <c r="D1236" s="7" t="s">
        <v>42</v>
      </c>
      <c r="E1236" t="str">
        <f>_xlfn.XLOOKUP(Vendas[[#This Row],[ID Item Vendido]],Agregado[ID],Agregado[Produto])</f>
        <v>Container de ferro industrial</v>
      </c>
      <c r="F1236" s="39">
        <v>44462</v>
      </c>
      <c r="G1236" s="7">
        <v>5</v>
      </c>
      <c r="H1236" s="3">
        <f>_xlfn.XLOOKUP(Vendas[[#This Row],[ID Item Vendido]],Agregado[ID],Agregado[Revenda])</f>
        <v>830</v>
      </c>
      <c r="I1236" s="3">
        <f>Vendas[[#This Row],[Valor Unitário]]*Vendas[[#This Row],[Qnt Vendida]]</f>
        <v>4150</v>
      </c>
      <c r="J1236" s="3">
        <f>Vendas[[#This Row],[Valor da Venda]]-(_xlfn.XLOOKUP(Vendas[[#This Row],[ID Item Vendido]],Agregado[ID],Agregado[Custo])*Vendas[[#This Row],[Qnt Vendida]])</f>
        <v>750</v>
      </c>
      <c r="K1236" s="70">
        <f>Vendas[[#This Row],[Lucro da Venda]]/Vendas[[#This Row],[Valor da Venda]]</f>
        <v>0.18072289156626506</v>
      </c>
      <c r="L123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236"/>
    </row>
    <row r="1237" spans="1:13" x14ac:dyDescent="0.3">
      <c r="A1237" s="7">
        <v>400250</v>
      </c>
      <c r="B1237" t="str">
        <f>_xlfn.XLOOKUP(Vendas[[#This Row],[ID Vendedor]],Vendedores[ID],Vendedores[Nome])</f>
        <v>Larissa</v>
      </c>
      <c r="C1237" s="7" t="str">
        <f>_xlfn.XLOOKUP(Vendas[[#This Row],[ID Vendedor]],Vendedores[ID],Vendedores[Setor])</f>
        <v>AB</v>
      </c>
      <c r="D1237" s="7" t="s">
        <v>39</v>
      </c>
      <c r="E1237" t="str">
        <f>_xlfn.XLOOKUP(Vendas[[#This Row],[ID Item Vendido]],Agregado[ID],Agregado[Produto])</f>
        <v>Filme plástico industrial rolo 50m</v>
      </c>
      <c r="F1237" s="39">
        <v>44462</v>
      </c>
      <c r="G1237" s="7">
        <v>18</v>
      </c>
      <c r="H1237" s="3">
        <f>_xlfn.XLOOKUP(Vendas[[#This Row],[ID Item Vendido]],Agregado[ID],Agregado[Revenda])</f>
        <v>37</v>
      </c>
      <c r="I1237" s="3">
        <f>Vendas[[#This Row],[Valor Unitário]]*Vendas[[#This Row],[Qnt Vendida]]</f>
        <v>666</v>
      </c>
      <c r="J1237" s="3">
        <f>Vendas[[#This Row],[Valor da Venda]]-(_xlfn.XLOOKUP(Vendas[[#This Row],[ID Item Vendido]],Agregado[ID],Agregado[Custo])*Vendas[[#This Row],[Qnt Vendida]])</f>
        <v>162</v>
      </c>
      <c r="K1237" s="70">
        <f>Vendas[[#This Row],[Lucro da Venda]]/Vendas[[#This Row],[Valor da Venda]]</f>
        <v>0.24324324324324326</v>
      </c>
      <c r="L1237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1237"/>
    </row>
    <row r="1238" spans="1:13" x14ac:dyDescent="0.3">
      <c r="A1238" s="7">
        <v>400244</v>
      </c>
      <c r="B1238" t="str">
        <f>_xlfn.XLOOKUP(Vendas[[#This Row],[ID Vendedor]],Vendedores[ID],Vendedores[Nome])</f>
        <v>Camila</v>
      </c>
      <c r="C1238" s="7" t="str">
        <f>_xlfn.XLOOKUP(Vendas[[#This Row],[ID Vendedor]],Vendedores[ID],Vendedores[Setor])</f>
        <v>AHD</v>
      </c>
      <c r="D1238" s="7" t="s">
        <v>30</v>
      </c>
      <c r="E1238" t="str">
        <f>_xlfn.XLOOKUP(Vendas[[#This Row],[ID Item Vendido]],Agregado[ID],Agregado[Produto])</f>
        <v>Estrutura metálica soldada</v>
      </c>
      <c r="F1238" s="39">
        <v>44463</v>
      </c>
      <c r="G1238" s="7">
        <v>4</v>
      </c>
      <c r="H1238" s="3">
        <f>_xlfn.XLOOKUP(Vendas[[#This Row],[ID Item Vendido]],Agregado[ID],Agregado[Revenda])</f>
        <v>400</v>
      </c>
      <c r="I1238" s="3">
        <f>Vendas[[#This Row],[Valor Unitário]]*Vendas[[#This Row],[Qnt Vendida]]</f>
        <v>1600</v>
      </c>
      <c r="J1238" s="3">
        <f>Vendas[[#This Row],[Valor da Venda]]-(_xlfn.XLOOKUP(Vendas[[#This Row],[ID Item Vendido]],Agregado[ID],Agregado[Custo])*Vendas[[#This Row],[Qnt Vendida]])</f>
        <v>320</v>
      </c>
      <c r="K1238" s="70">
        <f>Vendas[[#This Row],[Lucro da Venda]]/Vendas[[#This Row],[Valor da Venda]]</f>
        <v>0.2</v>
      </c>
      <c r="L1238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1238"/>
    </row>
    <row r="1239" spans="1:13" x14ac:dyDescent="0.3">
      <c r="A1239" s="7">
        <v>400244</v>
      </c>
      <c r="B1239" t="str">
        <f>_xlfn.XLOOKUP(Vendas[[#This Row],[ID Vendedor]],Vendedores[ID],Vendedores[Nome])</f>
        <v>Camila</v>
      </c>
      <c r="C1239" s="7" t="str">
        <f>_xlfn.XLOOKUP(Vendas[[#This Row],[ID Vendedor]],Vendedores[ID],Vendedores[Setor])</f>
        <v>AHD</v>
      </c>
      <c r="D1239" s="7" t="s">
        <v>30</v>
      </c>
      <c r="E1239" t="str">
        <f>_xlfn.XLOOKUP(Vendas[[#This Row],[ID Item Vendido]],Agregado[ID],Agregado[Produto])</f>
        <v>Estrutura metálica soldada</v>
      </c>
      <c r="F1239" s="39">
        <v>44463</v>
      </c>
      <c r="G1239" s="7">
        <v>2</v>
      </c>
      <c r="H1239" s="3">
        <f>_xlfn.XLOOKUP(Vendas[[#This Row],[ID Item Vendido]],Agregado[ID],Agregado[Revenda])</f>
        <v>400</v>
      </c>
      <c r="I1239" s="3">
        <f>Vendas[[#This Row],[Valor Unitário]]*Vendas[[#This Row],[Qnt Vendida]]</f>
        <v>800</v>
      </c>
      <c r="J1239" s="3">
        <f>Vendas[[#This Row],[Valor da Venda]]-(_xlfn.XLOOKUP(Vendas[[#This Row],[ID Item Vendido]],Agregado[ID],Agregado[Custo])*Vendas[[#This Row],[Qnt Vendida]])</f>
        <v>160</v>
      </c>
      <c r="K1239" s="70">
        <f>Vendas[[#This Row],[Lucro da Venda]]/Vendas[[#This Row],[Valor da Venda]]</f>
        <v>0.2</v>
      </c>
      <c r="L1239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239"/>
    </row>
    <row r="1240" spans="1:13" x14ac:dyDescent="0.3">
      <c r="A1240" s="7">
        <v>400244</v>
      </c>
      <c r="B1240" t="str">
        <f>_xlfn.XLOOKUP(Vendas[[#This Row],[ID Vendedor]],Vendedores[ID],Vendedores[Nome])</f>
        <v>Camila</v>
      </c>
      <c r="C1240" s="7" t="str">
        <f>_xlfn.XLOOKUP(Vendas[[#This Row],[ID Vendedor]],Vendedores[ID],Vendedores[Setor])</f>
        <v>AHD</v>
      </c>
      <c r="D1240" s="7" t="s">
        <v>44</v>
      </c>
      <c r="E1240" t="str">
        <f>_xlfn.XLOOKUP(Vendas[[#This Row],[ID Item Vendido]],Agregado[ID],Agregado[Produto])</f>
        <v>Liga metálica especial</v>
      </c>
      <c r="F1240" s="39">
        <v>44463</v>
      </c>
      <c r="G1240" s="7">
        <v>20</v>
      </c>
      <c r="H1240" s="3">
        <f>_xlfn.XLOOKUP(Vendas[[#This Row],[ID Item Vendido]],Agregado[ID],Agregado[Revenda])</f>
        <v>32.5</v>
      </c>
      <c r="I1240" s="3">
        <f>Vendas[[#This Row],[Valor Unitário]]*Vendas[[#This Row],[Qnt Vendida]]</f>
        <v>650</v>
      </c>
      <c r="J1240" s="3">
        <f>Vendas[[#This Row],[Valor da Venda]]-(_xlfn.XLOOKUP(Vendas[[#This Row],[ID Item Vendido]],Agregado[ID],Agregado[Custo])*Vendas[[#This Row],[Qnt Vendida]])</f>
        <v>150</v>
      </c>
      <c r="K1240" s="70">
        <f>Vendas[[#This Row],[Lucro da Venda]]/Vendas[[#This Row],[Valor da Venda]]</f>
        <v>0.23076923076923078</v>
      </c>
      <c r="L1240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1240"/>
    </row>
    <row r="1241" spans="1:13" x14ac:dyDescent="0.3">
      <c r="A1241" s="7">
        <v>400245</v>
      </c>
      <c r="B1241" t="str">
        <f>_xlfn.XLOOKUP(Vendas[[#This Row],[ID Vendedor]],Vendedores[ID],Vendedores[Nome])</f>
        <v>Thiago</v>
      </c>
      <c r="C1241" s="7" t="str">
        <f>_xlfn.XLOOKUP(Vendas[[#This Row],[ID Vendedor]],Vendedores[ID],Vendedores[Setor])</f>
        <v>AHD</v>
      </c>
      <c r="D1241" s="7" t="s">
        <v>30</v>
      </c>
      <c r="E1241" t="str">
        <f>_xlfn.XLOOKUP(Vendas[[#This Row],[ID Item Vendido]],Agregado[ID],Agregado[Produto])</f>
        <v>Estrutura metálica soldada</v>
      </c>
      <c r="F1241" s="39">
        <v>44464</v>
      </c>
      <c r="G1241" s="7">
        <v>7</v>
      </c>
      <c r="H1241" s="3">
        <f>_xlfn.XLOOKUP(Vendas[[#This Row],[ID Item Vendido]],Agregado[ID],Agregado[Revenda])</f>
        <v>400</v>
      </c>
      <c r="I1241" s="3">
        <f>Vendas[[#This Row],[Valor Unitário]]*Vendas[[#This Row],[Qnt Vendida]]</f>
        <v>2800</v>
      </c>
      <c r="J1241" s="3">
        <f>Vendas[[#This Row],[Valor da Venda]]-(_xlfn.XLOOKUP(Vendas[[#This Row],[ID Item Vendido]],Agregado[ID],Agregado[Custo])*Vendas[[#This Row],[Qnt Vendida]])</f>
        <v>560</v>
      </c>
      <c r="K1241" s="70">
        <f>Vendas[[#This Row],[Lucro da Venda]]/Vendas[[#This Row],[Valor da Venda]]</f>
        <v>0.2</v>
      </c>
      <c r="L1241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1241"/>
    </row>
    <row r="1242" spans="1:13" x14ac:dyDescent="0.3">
      <c r="A1242" s="7">
        <v>400255</v>
      </c>
      <c r="B1242" t="str">
        <f>_xlfn.XLOOKUP(Vendas[[#This Row],[ID Vendedor]],Vendedores[ID],Vendedores[Nome])</f>
        <v>Carlos</v>
      </c>
      <c r="C1242" s="7" t="str">
        <f>_xlfn.XLOOKUP(Vendas[[#This Row],[ID Vendedor]],Vendedores[ID],Vendedores[Setor])</f>
        <v>SC</v>
      </c>
      <c r="D1242" s="7" t="s">
        <v>42</v>
      </c>
      <c r="E1242" t="str">
        <f>_xlfn.XLOOKUP(Vendas[[#This Row],[ID Item Vendido]],Agregado[ID],Agregado[Produto])</f>
        <v>Container de ferro industrial</v>
      </c>
      <c r="F1242" s="39">
        <v>44464</v>
      </c>
      <c r="G1242" s="7">
        <v>2</v>
      </c>
      <c r="H1242" s="3">
        <f>_xlfn.XLOOKUP(Vendas[[#This Row],[ID Item Vendido]],Agregado[ID],Agregado[Revenda])</f>
        <v>830</v>
      </c>
      <c r="I1242" s="3">
        <f>Vendas[[#This Row],[Valor Unitário]]*Vendas[[#This Row],[Qnt Vendida]]</f>
        <v>1660</v>
      </c>
      <c r="J1242" s="3">
        <f>Vendas[[#This Row],[Valor da Venda]]-(_xlfn.XLOOKUP(Vendas[[#This Row],[ID Item Vendido]],Agregado[ID],Agregado[Custo])*Vendas[[#This Row],[Qnt Vendida]])</f>
        <v>300</v>
      </c>
      <c r="K1242" s="70">
        <f>Vendas[[#This Row],[Lucro da Venda]]/Vendas[[#This Row],[Valor da Venda]]</f>
        <v>0.18072289156626506</v>
      </c>
      <c r="L124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242"/>
    </row>
    <row r="1243" spans="1:13" x14ac:dyDescent="0.3">
      <c r="A1243" s="7">
        <v>400249</v>
      </c>
      <c r="B1243" t="str">
        <f>_xlfn.XLOOKUP(Vendas[[#This Row],[ID Vendedor]],Vendedores[ID],Vendedores[Nome])</f>
        <v>Bruno</v>
      </c>
      <c r="C1243" s="7" t="str">
        <f>_xlfn.XLOOKUP(Vendas[[#This Row],[ID Vendedor]],Vendedores[ID],Vendedores[Setor])</f>
        <v>CM</v>
      </c>
      <c r="D1243" s="7" t="s">
        <v>32</v>
      </c>
      <c r="E1243" t="str">
        <f>_xlfn.XLOOKUP(Vendas[[#This Row],[ID Item Vendido]],Agregado[ID],Agregado[Produto])</f>
        <v>Tábua tratada e cortada 3m</v>
      </c>
      <c r="F1243" s="39">
        <v>44464</v>
      </c>
      <c r="G1243" s="7">
        <v>7</v>
      </c>
      <c r="H1243" s="3">
        <f>_xlfn.XLOOKUP(Vendas[[#This Row],[ID Item Vendido]],Agregado[ID],Agregado[Revenda])</f>
        <v>39</v>
      </c>
      <c r="I1243" s="3">
        <f>Vendas[[#This Row],[Valor Unitário]]*Vendas[[#This Row],[Qnt Vendida]]</f>
        <v>273</v>
      </c>
      <c r="J1243" s="3">
        <f>Vendas[[#This Row],[Valor da Venda]]-(_xlfn.XLOOKUP(Vendas[[#This Row],[ID Item Vendido]],Agregado[ID],Agregado[Custo])*Vendas[[#This Row],[Qnt Vendida]])</f>
        <v>49</v>
      </c>
      <c r="K1243" s="70">
        <f>Vendas[[#This Row],[Lucro da Venda]]/Vendas[[#This Row],[Valor da Venda]]</f>
        <v>0.17948717948717949</v>
      </c>
      <c r="L1243" s="3">
        <f>_xlfn.IFS(Vendas[[#This Row],[Margem de Lucro (%)]]&lt;15%,Vendas[[#This Row],[Valor da Venda]]*3%,Vendas[[#This Row],[Margem de Lucro (%)]]&lt;=20%,Vendas[[#This Row],[Valor da Venda]]*4.5%,TRUE,Vendas[[#This Row],[Valor da Venda]]*6%)</f>
        <v>12.285</v>
      </c>
      <c r="M1243"/>
    </row>
    <row r="1244" spans="1:13" x14ac:dyDescent="0.3">
      <c r="A1244" s="7">
        <v>400245</v>
      </c>
      <c r="B1244" t="str">
        <f>_xlfn.XLOOKUP(Vendas[[#This Row],[ID Vendedor]],Vendedores[ID],Vendedores[Nome])</f>
        <v>Thiago</v>
      </c>
      <c r="C1244" s="7" t="str">
        <f>_xlfn.XLOOKUP(Vendas[[#This Row],[ID Vendedor]],Vendedores[ID],Vendedores[Setor])</f>
        <v>AHD</v>
      </c>
      <c r="D1244" s="7" t="s">
        <v>9</v>
      </c>
      <c r="E1244" t="str">
        <f>_xlfn.XLOOKUP(Vendas[[#This Row],[ID Item Vendido]],Agregado[ID],Agregado[Produto])</f>
        <v>Barra de aço simples</v>
      </c>
      <c r="F1244" s="39">
        <v>44465</v>
      </c>
      <c r="G1244" s="7">
        <v>148</v>
      </c>
      <c r="H1244" s="3">
        <f>_xlfn.XLOOKUP(Vendas[[#This Row],[ID Item Vendido]],Agregado[ID],Agregado[Revenda])</f>
        <v>6.7</v>
      </c>
      <c r="I1244" s="3">
        <f>Vendas[[#This Row],[Valor Unitário]]*Vendas[[#This Row],[Qnt Vendida]]</f>
        <v>991.6</v>
      </c>
      <c r="J1244" s="3">
        <f>Vendas[[#This Row],[Valor da Venda]]-(_xlfn.XLOOKUP(Vendas[[#This Row],[ID Item Vendido]],Agregado[ID],Agregado[Custo])*Vendas[[#This Row],[Qnt Vendida]])</f>
        <v>133.20000000000005</v>
      </c>
      <c r="K1244" s="70">
        <f>Vendas[[#This Row],[Lucro da Venda]]/Vendas[[#This Row],[Valor da Venda]]</f>
        <v>0.13432835820895528</v>
      </c>
      <c r="L1244" s="3">
        <f>_xlfn.IFS(Vendas[[#This Row],[Margem de Lucro (%)]]&lt;15%,Vendas[[#This Row],[Valor da Venda]]*3%,Vendas[[#This Row],[Margem de Lucro (%)]]&lt;=20%,Vendas[[#This Row],[Valor da Venda]]*4.5%,TRUE,Vendas[[#This Row],[Valor da Venda]]*6%)</f>
        <v>29.748000000000001</v>
      </c>
      <c r="M1244"/>
    </row>
    <row r="1245" spans="1:13" x14ac:dyDescent="0.3">
      <c r="A1245" s="7">
        <v>400255</v>
      </c>
      <c r="B1245" t="str">
        <f>_xlfn.XLOOKUP(Vendas[[#This Row],[ID Vendedor]],Vendedores[ID],Vendedores[Nome])</f>
        <v>Carlos</v>
      </c>
      <c r="C1245" s="7" t="str">
        <f>_xlfn.XLOOKUP(Vendas[[#This Row],[ID Vendedor]],Vendedores[ID],Vendedores[Setor])</f>
        <v>SC</v>
      </c>
      <c r="D1245" s="7" t="s">
        <v>42</v>
      </c>
      <c r="E1245" t="str">
        <f>_xlfn.XLOOKUP(Vendas[[#This Row],[ID Item Vendido]],Agregado[ID],Agregado[Produto])</f>
        <v>Container de ferro industrial</v>
      </c>
      <c r="F1245" s="39">
        <v>44468</v>
      </c>
      <c r="G1245" s="7">
        <v>5</v>
      </c>
      <c r="H1245" s="3">
        <f>_xlfn.XLOOKUP(Vendas[[#This Row],[ID Item Vendido]],Agregado[ID],Agregado[Revenda])</f>
        <v>830</v>
      </c>
      <c r="I1245" s="3">
        <f>Vendas[[#This Row],[Valor Unitário]]*Vendas[[#This Row],[Qnt Vendida]]</f>
        <v>4150</v>
      </c>
      <c r="J1245" s="3">
        <f>Vendas[[#This Row],[Valor da Venda]]-(_xlfn.XLOOKUP(Vendas[[#This Row],[ID Item Vendido]],Agregado[ID],Agregado[Custo])*Vendas[[#This Row],[Qnt Vendida]])</f>
        <v>750</v>
      </c>
      <c r="K1245" s="70">
        <f>Vendas[[#This Row],[Lucro da Venda]]/Vendas[[#This Row],[Valor da Venda]]</f>
        <v>0.18072289156626506</v>
      </c>
      <c r="L124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245"/>
    </row>
    <row r="1246" spans="1:13" x14ac:dyDescent="0.3">
      <c r="A1246" s="7">
        <v>400255</v>
      </c>
      <c r="B1246" t="str">
        <f>_xlfn.XLOOKUP(Vendas[[#This Row],[ID Vendedor]],Vendedores[ID],Vendedores[Nome])</f>
        <v>Carlos</v>
      </c>
      <c r="C1246" s="7" t="str">
        <f>_xlfn.XLOOKUP(Vendas[[#This Row],[ID Vendedor]],Vendedores[ID],Vendedores[Setor])</f>
        <v>SC</v>
      </c>
      <c r="D1246" s="7" t="s">
        <v>25</v>
      </c>
      <c r="E1246" t="str">
        <f>_xlfn.XLOOKUP(Vendas[[#This Row],[ID Item Vendido]],Agregado[ID],Agregado[Produto])</f>
        <v>Palete de plástico</v>
      </c>
      <c r="F1246" s="39">
        <v>44469</v>
      </c>
      <c r="G1246" s="7">
        <v>7</v>
      </c>
      <c r="H1246" s="3">
        <f>_xlfn.XLOOKUP(Vendas[[#This Row],[ID Item Vendido]],Agregado[ID],Agregado[Revenda])</f>
        <v>70.8</v>
      </c>
      <c r="I1246" s="3">
        <f>Vendas[[#This Row],[Valor Unitário]]*Vendas[[#This Row],[Qnt Vendida]]</f>
        <v>495.59999999999997</v>
      </c>
      <c r="J1246" s="3">
        <f>Vendas[[#This Row],[Valor da Venda]]-(_xlfn.XLOOKUP(Vendas[[#This Row],[ID Item Vendido]],Agregado[ID],Agregado[Custo])*Vendas[[#This Row],[Qnt Vendida]])</f>
        <v>75.599999999999966</v>
      </c>
      <c r="K1246" s="70">
        <f>Vendas[[#This Row],[Lucro da Venda]]/Vendas[[#This Row],[Valor da Venda]]</f>
        <v>0.15254237288135589</v>
      </c>
      <c r="L1246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246"/>
    </row>
    <row r="1247" spans="1:13" x14ac:dyDescent="0.3">
      <c r="A1247" s="7">
        <v>400247</v>
      </c>
      <c r="B1247" t="str">
        <f>_xlfn.XLOOKUP(Vendas[[#This Row],[ID Vendedor]],Vendedores[ID],Vendedores[Nome])</f>
        <v>André</v>
      </c>
      <c r="C1247" s="7" t="str">
        <f>_xlfn.XLOOKUP(Vendas[[#This Row],[ID Vendedor]],Vendedores[ID],Vendedores[Setor])</f>
        <v>CM</v>
      </c>
      <c r="D1247" s="7" t="s">
        <v>45</v>
      </c>
      <c r="E1247" t="str">
        <f>_xlfn.XLOOKUP(Vendas[[#This Row],[ID Item Vendido]],Agregado[ID],Agregado[Produto])</f>
        <v>Viga de madeira tratada 4m</v>
      </c>
      <c r="F1247" s="39">
        <v>44470</v>
      </c>
      <c r="G1247" s="7">
        <v>2</v>
      </c>
      <c r="H1247" s="3">
        <f>_xlfn.XLOOKUP(Vendas[[#This Row],[ID Item Vendido]],Agregado[ID],Agregado[Revenda])</f>
        <v>66</v>
      </c>
      <c r="I1247" s="3">
        <f>Vendas[[#This Row],[Valor Unitário]]*Vendas[[#This Row],[Qnt Vendida]]</f>
        <v>132</v>
      </c>
      <c r="J1247" s="3">
        <f>Vendas[[#This Row],[Valor da Venda]]-(_xlfn.XLOOKUP(Vendas[[#This Row],[ID Item Vendido]],Agregado[ID],Agregado[Custo])*Vendas[[#This Row],[Qnt Vendida]])</f>
        <v>22</v>
      </c>
      <c r="K1247" s="70">
        <f>Vendas[[#This Row],[Lucro da Venda]]/Vendas[[#This Row],[Valor da Venda]]</f>
        <v>0.16666666666666666</v>
      </c>
      <c r="L1247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1247"/>
    </row>
    <row r="1248" spans="1:13" x14ac:dyDescent="0.3">
      <c r="A1248" s="7">
        <v>400244</v>
      </c>
      <c r="B1248" t="str">
        <f>_xlfn.XLOOKUP(Vendas[[#This Row],[ID Vendedor]],Vendedores[ID],Vendedores[Nome])</f>
        <v>Camila</v>
      </c>
      <c r="C1248" s="7" t="str">
        <f>_xlfn.XLOOKUP(Vendas[[#This Row],[ID Vendedor]],Vendedores[ID],Vendedores[Setor])</f>
        <v>AHD</v>
      </c>
      <c r="D1248" s="7" t="s">
        <v>30</v>
      </c>
      <c r="E1248" t="str">
        <f>_xlfn.XLOOKUP(Vendas[[#This Row],[ID Item Vendido]],Agregado[ID],Agregado[Produto])</f>
        <v>Estrutura metálica soldada</v>
      </c>
      <c r="F1248" s="39">
        <v>44471</v>
      </c>
      <c r="G1248" s="7">
        <v>7</v>
      </c>
      <c r="H1248" s="3">
        <f>_xlfn.XLOOKUP(Vendas[[#This Row],[ID Item Vendido]],Agregado[ID],Agregado[Revenda])</f>
        <v>400</v>
      </c>
      <c r="I1248" s="3">
        <f>Vendas[[#This Row],[Valor Unitário]]*Vendas[[#This Row],[Qnt Vendida]]</f>
        <v>2800</v>
      </c>
      <c r="J1248" s="3">
        <f>Vendas[[#This Row],[Valor da Venda]]-(_xlfn.XLOOKUP(Vendas[[#This Row],[ID Item Vendido]],Agregado[ID],Agregado[Custo])*Vendas[[#This Row],[Qnt Vendida]])</f>
        <v>560</v>
      </c>
      <c r="K1248" s="70">
        <f>Vendas[[#This Row],[Lucro da Venda]]/Vendas[[#This Row],[Valor da Venda]]</f>
        <v>0.2</v>
      </c>
      <c r="L1248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1248"/>
    </row>
    <row r="1249" spans="1:13" x14ac:dyDescent="0.3">
      <c r="A1249" s="7">
        <v>400255</v>
      </c>
      <c r="B1249" t="str">
        <f>_xlfn.XLOOKUP(Vendas[[#This Row],[ID Vendedor]],Vendedores[ID],Vendedores[Nome])</f>
        <v>Carlos</v>
      </c>
      <c r="C1249" s="7" t="str">
        <f>_xlfn.XLOOKUP(Vendas[[#This Row],[ID Vendedor]],Vendedores[ID],Vendedores[Setor])</f>
        <v>SC</v>
      </c>
      <c r="D1249" s="7" t="s">
        <v>14</v>
      </c>
      <c r="E1249" t="str">
        <f>_xlfn.XLOOKUP(Vendas[[#This Row],[ID Item Vendido]],Agregado[ID],Agregado[Produto])</f>
        <v>Barril de plástico 200L</v>
      </c>
      <c r="F1249" s="39">
        <v>44471</v>
      </c>
      <c r="G1249" s="7">
        <v>20</v>
      </c>
      <c r="H1249" s="3">
        <f>_xlfn.XLOOKUP(Vendas[[#This Row],[ID Item Vendido]],Agregado[ID],Agregado[Revenda])</f>
        <v>114</v>
      </c>
      <c r="I1249" s="3">
        <f>Vendas[[#This Row],[Valor Unitário]]*Vendas[[#This Row],[Qnt Vendida]]</f>
        <v>2280</v>
      </c>
      <c r="J1249" s="3">
        <f>Vendas[[#This Row],[Valor da Venda]]-(_xlfn.XLOOKUP(Vendas[[#This Row],[ID Item Vendido]],Agregado[ID],Agregado[Custo])*Vendas[[#This Row],[Qnt Vendida]])</f>
        <v>380</v>
      </c>
      <c r="K1249" s="70">
        <f>Vendas[[#This Row],[Lucro da Venda]]/Vendas[[#This Row],[Valor da Venda]]</f>
        <v>0.16666666666666666</v>
      </c>
      <c r="L1249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1249"/>
    </row>
    <row r="1250" spans="1:13" x14ac:dyDescent="0.3">
      <c r="A1250" s="7">
        <v>400247</v>
      </c>
      <c r="B1250" t="str">
        <f>_xlfn.XLOOKUP(Vendas[[#This Row],[ID Vendedor]],Vendedores[ID],Vendedores[Nome])</f>
        <v>André</v>
      </c>
      <c r="C1250" s="7" t="str">
        <f>_xlfn.XLOOKUP(Vendas[[#This Row],[ID Vendedor]],Vendedores[ID],Vendedores[Setor])</f>
        <v>CM</v>
      </c>
      <c r="D1250" s="7" t="s">
        <v>43</v>
      </c>
      <c r="E1250" t="str">
        <f>_xlfn.XLOOKUP(Vendas[[#This Row],[ID Item Vendido]],Agregado[ID],Agregado[Produto])</f>
        <v>Madeira Bruta (Tora)</v>
      </c>
      <c r="F1250" s="39">
        <v>44472</v>
      </c>
      <c r="G1250" s="7">
        <v>15</v>
      </c>
      <c r="H1250" s="3">
        <f>_xlfn.XLOOKUP(Vendas[[#This Row],[ID Item Vendido]],Agregado[ID],Agregado[Revenda])</f>
        <v>212</v>
      </c>
      <c r="I1250" s="3">
        <f>Vendas[[#This Row],[Valor Unitário]]*Vendas[[#This Row],[Qnt Vendida]]</f>
        <v>3180</v>
      </c>
      <c r="J1250" s="3">
        <f>Vendas[[#This Row],[Valor da Venda]]-(_xlfn.XLOOKUP(Vendas[[#This Row],[ID Item Vendido]],Agregado[ID],Agregado[Custo])*Vendas[[#This Row],[Qnt Vendida]])</f>
        <v>480</v>
      </c>
      <c r="K1250" s="70">
        <f>Vendas[[#This Row],[Lucro da Venda]]/Vendas[[#This Row],[Valor da Venda]]</f>
        <v>0.15094339622641509</v>
      </c>
      <c r="L1250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1250"/>
    </row>
    <row r="1251" spans="1:13" x14ac:dyDescent="0.3">
      <c r="A1251" s="7">
        <v>400251</v>
      </c>
      <c r="B1251" t="str">
        <f>_xlfn.XLOOKUP(Vendas[[#This Row],[ID Vendedor]],Vendedores[ID],Vendedores[Nome])</f>
        <v>Diego</v>
      </c>
      <c r="C1251" s="7" t="str">
        <f>_xlfn.XLOOKUP(Vendas[[#This Row],[ID Vendedor]],Vendedores[ID],Vendedores[Setor])</f>
        <v>AB</v>
      </c>
      <c r="D1251" s="7" t="s">
        <v>39</v>
      </c>
      <c r="E1251" t="str">
        <f>_xlfn.XLOOKUP(Vendas[[#This Row],[ID Item Vendido]],Agregado[ID],Agregado[Produto])</f>
        <v>Filme plástico industrial rolo 50m</v>
      </c>
      <c r="F1251" s="39">
        <v>44474</v>
      </c>
      <c r="G1251" s="7">
        <v>18</v>
      </c>
      <c r="H1251" s="3">
        <f>_xlfn.XLOOKUP(Vendas[[#This Row],[ID Item Vendido]],Agregado[ID],Agregado[Revenda])</f>
        <v>37</v>
      </c>
      <c r="I1251" s="3">
        <f>Vendas[[#This Row],[Valor Unitário]]*Vendas[[#This Row],[Qnt Vendida]]</f>
        <v>666</v>
      </c>
      <c r="J1251" s="3">
        <f>Vendas[[#This Row],[Valor da Venda]]-(_xlfn.XLOOKUP(Vendas[[#This Row],[ID Item Vendido]],Agregado[ID],Agregado[Custo])*Vendas[[#This Row],[Qnt Vendida]])</f>
        <v>162</v>
      </c>
      <c r="K1251" s="70">
        <f>Vendas[[#This Row],[Lucro da Venda]]/Vendas[[#This Row],[Valor da Venda]]</f>
        <v>0.24324324324324326</v>
      </c>
      <c r="L1251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1251"/>
    </row>
    <row r="1252" spans="1:13" x14ac:dyDescent="0.3">
      <c r="A1252" s="7">
        <v>400255</v>
      </c>
      <c r="B1252" t="str">
        <f>_xlfn.XLOOKUP(Vendas[[#This Row],[ID Vendedor]],Vendedores[ID],Vendedores[Nome])</f>
        <v>Carlos</v>
      </c>
      <c r="C1252" s="7" t="str">
        <f>_xlfn.XLOOKUP(Vendas[[#This Row],[ID Vendedor]],Vendedores[ID],Vendedores[Setor])</f>
        <v>SC</v>
      </c>
      <c r="D1252" s="7" t="s">
        <v>25</v>
      </c>
      <c r="E1252" t="str">
        <f>_xlfn.XLOOKUP(Vendas[[#This Row],[ID Item Vendido]],Agregado[ID],Agregado[Produto])</f>
        <v>Palete de plástico</v>
      </c>
      <c r="F1252" s="39">
        <v>44474</v>
      </c>
      <c r="G1252" s="7">
        <v>7</v>
      </c>
      <c r="H1252" s="3">
        <f>_xlfn.XLOOKUP(Vendas[[#This Row],[ID Item Vendido]],Agregado[ID],Agregado[Revenda])</f>
        <v>70.8</v>
      </c>
      <c r="I1252" s="3">
        <f>Vendas[[#This Row],[Valor Unitário]]*Vendas[[#This Row],[Qnt Vendida]]</f>
        <v>495.59999999999997</v>
      </c>
      <c r="J1252" s="3">
        <f>Vendas[[#This Row],[Valor da Venda]]-(_xlfn.XLOOKUP(Vendas[[#This Row],[ID Item Vendido]],Agregado[ID],Agregado[Custo])*Vendas[[#This Row],[Qnt Vendida]])</f>
        <v>75.599999999999966</v>
      </c>
      <c r="K1252" s="70">
        <f>Vendas[[#This Row],[Lucro da Venda]]/Vendas[[#This Row],[Valor da Venda]]</f>
        <v>0.15254237288135589</v>
      </c>
      <c r="L1252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252"/>
    </row>
    <row r="1253" spans="1:13" x14ac:dyDescent="0.3">
      <c r="A1253" s="7">
        <v>400243</v>
      </c>
      <c r="B1253" t="str">
        <f>_xlfn.XLOOKUP(Vendas[[#This Row],[ID Vendedor]],Vendedores[ID],Vendedores[Nome])</f>
        <v>Marcelo</v>
      </c>
      <c r="C1253" s="7" t="str">
        <f>_xlfn.XLOOKUP(Vendas[[#This Row],[ID Vendedor]],Vendedores[ID],Vendedores[Setor])</f>
        <v>FM</v>
      </c>
      <c r="D1253" s="7" t="s">
        <v>27</v>
      </c>
      <c r="E1253" t="str">
        <f>_xlfn.XLOOKUP(Vendas[[#This Row],[ID Item Vendido]],Agregado[ID],Agregado[Produto])</f>
        <v>Chapa de metal lisa 1x2m</v>
      </c>
      <c r="F1253" s="39">
        <v>44474</v>
      </c>
      <c r="G1253" s="7">
        <v>6</v>
      </c>
      <c r="H1253" s="3">
        <f>_xlfn.XLOOKUP(Vendas[[#This Row],[ID Item Vendido]],Agregado[ID],Agregado[Revenda])</f>
        <v>52</v>
      </c>
      <c r="I1253" s="3">
        <f>Vendas[[#This Row],[Valor Unitário]]*Vendas[[#This Row],[Qnt Vendida]]</f>
        <v>312</v>
      </c>
      <c r="J1253" s="3">
        <f>Vendas[[#This Row],[Valor da Venda]]-(_xlfn.XLOOKUP(Vendas[[#This Row],[ID Item Vendido]],Agregado[ID],Agregado[Custo])*Vendas[[#This Row],[Qnt Vendida]])</f>
        <v>42</v>
      </c>
      <c r="K1253" s="70">
        <f>Vendas[[#This Row],[Lucro da Venda]]/Vendas[[#This Row],[Valor da Venda]]</f>
        <v>0.13461538461538461</v>
      </c>
      <c r="L1253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253"/>
    </row>
    <row r="1254" spans="1:13" x14ac:dyDescent="0.3">
      <c r="A1254" s="7">
        <v>400255</v>
      </c>
      <c r="B1254" t="str">
        <f>_xlfn.XLOOKUP(Vendas[[#This Row],[ID Vendedor]],Vendedores[ID],Vendedores[Nome])</f>
        <v>Carlos</v>
      </c>
      <c r="C1254" s="7" t="str">
        <f>_xlfn.XLOOKUP(Vendas[[#This Row],[ID Vendedor]],Vendedores[ID],Vendedores[Setor])</f>
        <v>SC</v>
      </c>
      <c r="D1254" s="7" t="s">
        <v>25</v>
      </c>
      <c r="E1254" t="str">
        <f>_xlfn.XLOOKUP(Vendas[[#This Row],[ID Item Vendido]],Agregado[ID],Agregado[Produto])</f>
        <v>Palete de plástico</v>
      </c>
      <c r="F1254" s="39">
        <v>44475</v>
      </c>
      <c r="G1254" s="7">
        <v>1</v>
      </c>
      <c r="H1254" s="3">
        <f>_xlfn.XLOOKUP(Vendas[[#This Row],[ID Item Vendido]],Agregado[ID],Agregado[Revenda])</f>
        <v>70.8</v>
      </c>
      <c r="I1254" s="3">
        <f>Vendas[[#This Row],[Valor Unitário]]*Vendas[[#This Row],[Qnt Vendida]]</f>
        <v>70.8</v>
      </c>
      <c r="J1254" s="3">
        <f>Vendas[[#This Row],[Valor da Venda]]-(_xlfn.XLOOKUP(Vendas[[#This Row],[ID Item Vendido]],Agregado[ID],Agregado[Custo])*Vendas[[#This Row],[Qnt Vendida]])</f>
        <v>10.799999999999997</v>
      </c>
      <c r="K1254" s="70">
        <f>Vendas[[#This Row],[Lucro da Venda]]/Vendas[[#This Row],[Valor da Venda]]</f>
        <v>0.15254237288135589</v>
      </c>
      <c r="L1254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1254"/>
    </row>
    <row r="1255" spans="1:13" x14ac:dyDescent="0.3">
      <c r="A1255" s="7">
        <v>400251</v>
      </c>
      <c r="B1255" t="str">
        <f>_xlfn.XLOOKUP(Vendas[[#This Row],[ID Vendedor]],Vendedores[ID],Vendedores[Nome])</f>
        <v>Diego</v>
      </c>
      <c r="C1255" s="7" t="str">
        <f>_xlfn.XLOOKUP(Vendas[[#This Row],[ID Vendedor]],Vendedores[ID],Vendedores[Setor])</f>
        <v>AB</v>
      </c>
      <c r="D1255" s="7" t="s">
        <v>24</v>
      </c>
      <c r="E1255" t="str">
        <f>_xlfn.XLOOKUP(Vendas[[#This Row],[ID Item Vendido]],Agregado[ID],Agregado[Produto])</f>
        <v>Resina plástica PET purificada saco de 25kg</v>
      </c>
      <c r="F1255" s="39">
        <v>44476</v>
      </c>
      <c r="G1255" s="7">
        <v>14</v>
      </c>
      <c r="H1255" s="3">
        <f>_xlfn.XLOOKUP(Vendas[[#This Row],[ID Item Vendido]],Agregado[ID],Agregado[Revenda])</f>
        <v>119</v>
      </c>
      <c r="I1255" s="3">
        <f>Vendas[[#This Row],[Valor Unitário]]*Vendas[[#This Row],[Qnt Vendida]]</f>
        <v>1666</v>
      </c>
      <c r="J1255" s="3">
        <f>Vendas[[#This Row],[Valor da Venda]]-(_xlfn.XLOOKUP(Vendas[[#This Row],[ID Item Vendido]],Agregado[ID],Agregado[Custo])*Vendas[[#This Row],[Qnt Vendida]])</f>
        <v>476</v>
      </c>
      <c r="K1255" s="70">
        <f>Vendas[[#This Row],[Lucro da Venda]]/Vendas[[#This Row],[Valor da Venda]]</f>
        <v>0.2857142857142857</v>
      </c>
      <c r="L125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255"/>
    </row>
    <row r="1256" spans="1:13" x14ac:dyDescent="0.3">
      <c r="A1256" s="7">
        <v>400241</v>
      </c>
      <c r="B1256" t="str">
        <f>_xlfn.XLOOKUP(Vendas[[#This Row],[ID Vendedor]],Vendedores[ID],Vendedores[Nome])</f>
        <v>Rodrigo</v>
      </c>
      <c r="C1256" s="7" t="str">
        <f>_xlfn.XLOOKUP(Vendas[[#This Row],[ID Vendedor]],Vendedores[ID],Vendedores[Setor])</f>
        <v>FM</v>
      </c>
      <c r="D1256" s="7" t="s">
        <v>27</v>
      </c>
      <c r="E1256" t="str">
        <f>_xlfn.XLOOKUP(Vendas[[#This Row],[ID Item Vendido]],Agregado[ID],Agregado[Produto])</f>
        <v>Chapa de metal lisa 1x2m</v>
      </c>
      <c r="F1256" s="39">
        <v>44477</v>
      </c>
      <c r="G1256" s="7">
        <v>11</v>
      </c>
      <c r="H1256" s="3">
        <f>_xlfn.XLOOKUP(Vendas[[#This Row],[ID Item Vendido]],Agregado[ID],Agregado[Revenda])</f>
        <v>52</v>
      </c>
      <c r="I1256" s="3">
        <f>Vendas[[#This Row],[Valor Unitário]]*Vendas[[#This Row],[Qnt Vendida]]</f>
        <v>572</v>
      </c>
      <c r="J1256" s="3">
        <f>Vendas[[#This Row],[Valor da Venda]]-(_xlfn.XLOOKUP(Vendas[[#This Row],[ID Item Vendido]],Agregado[ID],Agregado[Custo])*Vendas[[#This Row],[Qnt Vendida]])</f>
        <v>77</v>
      </c>
      <c r="K1256" s="70">
        <f>Vendas[[#This Row],[Lucro da Venda]]/Vendas[[#This Row],[Valor da Venda]]</f>
        <v>0.13461538461538461</v>
      </c>
      <c r="L1256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1256"/>
    </row>
    <row r="1257" spans="1:13" x14ac:dyDescent="0.3">
      <c r="A1257" s="7">
        <v>400248</v>
      </c>
      <c r="B1257" t="str">
        <f>_xlfn.XLOOKUP(Vendas[[#This Row],[ID Vendedor]],Vendedores[ID],Vendedores[Nome])</f>
        <v>Patrícia</v>
      </c>
      <c r="C1257" s="7" t="str">
        <f>_xlfn.XLOOKUP(Vendas[[#This Row],[ID Vendedor]],Vendedores[ID],Vendedores[Setor])</f>
        <v>CM</v>
      </c>
      <c r="D1257" s="7" t="s">
        <v>34</v>
      </c>
      <c r="E1257" t="str">
        <f>_xlfn.XLOOKUP(Vendas[[#This Row],[ID Item Vendido]],Agregado[ID],Agregado[Produto])</f>
        <v>Restos de madeira p/ MDP/OSB saco de 20kg</v>
      </c>
      <c r="F1257" s="39">
        <v>44477</v>
      </c>
      <c r="G1257" s="7">
        <v>14</v>
      </c>
      <c r="H1257" s="3">
        <f>_xlfn.XLOOKUP(Vendas[[#This Row],[ID Item Vendido]],Agregado[ID],Agregado[Revenda])</f>
        <v>13.8</v>
      </c>
      <c r="I1257" s="3">
        <f>Vendas[[#This Row],[Valor Unitário]]*Vendas[[#This Row],[Qnt Vendida]]</f>
        <v>193.20000000000002</v>
      </c>
      <c r="J1257" s="3">
        <f>Vendas[[#This Row],[Valor da Venda]]-(_xlfn.XLOOKUP(Vendas[[#This Row],[ID Item Vendido]],Agregado[ID],Agregado[Custo])*Vendas[[#This Row],[Qnt Vendida]])</f>
        <v>25.200000000000017</v>
      </c>
      <c r="K1257" s="70">
        <f>Vendas[[#This Row],[Lucro da Venda]]/Vendas[[#This Row],[Valor da Venda]]</f>
        <v>0.13043478260869573</v>
      </c>
      <c r="L1257" s="3">
        <f>_xlfn.IFS(Vendas[[#This Row],[Margem de Lucro (%)]]&lt;15%,Vendas[[#This Row],[Valor da Venda]]*3%,Vendas[[#This Row],[Margem de Lucro (%)]]&lt;=20%,Vendas[[#This Row],[Valor da Venda]]*4.5%,TRUE,Vendas[[#This Row],[Valor da Venda]]*6%)</f>
        <v>5.7960000000000003</v>
      </c>
      <c r="M1257"/>
    </row>
    <row r="1258" spans="1:13" x14ac:dyDescent="0.3">
      <c r="A1258" s="7">
        <v>400253</v>
      </c>
      <c r="B1258" t="str">
        <f>_xlfn.XLOOKUP(Vendas[[#This Row],[ID Vendedor]],Vendedores[ID],Vendedores[Nome])</f>
        <v>Gustavo</v>
      </c>
      <c r="C1258" s="7" t="str">
        <f>_xlfn.XLOOKUP(Vendas[[#This Row],[ID Vendedor]],Vendedores[ID],Vendedores[Setor])</f>
        <v>SC</v>
      </c>
      <c r="D1258" s="7" t="s">
        <v>42</v>
      </c>
      <c r="E1258" t="str">
        <f>_xlfn.XLOOKUP(Vendas[[#This Row],[ID Item Vendido]],Agregado[ID],Agregado[Produto])</f>
        <v>Container de ferro industrial</v>
      </c>
      <c r="F1258" s="39">
        <v>44478</v>
      </c>
      <c r="G1258" s="7">
        <v>4</v>
      </c>
      <c r="H1258" s="3">
        <f>_xlfn.XLOOKUP(Vendas[[#This Row],[ID Item Vendido]],Agregado[ID],Agregado[Revenda])</f>
        <v>830</v>
      </c>
      <c r="I1258" s="3">
        <f>Vendas[[#This Row],[Valor Unitário]]*Vendas[[#This Row],[Qnt Vendida]]</f>
        <v>3320</v>
      </c>
      <c r="J1258" s="3">
        <f>Vendas[[#This Row],[Valor da Venda]]-(_xlfn.XLOOKUP(Vendas[[#This Row],[ID Item Vendido]],Agregado[ID],Agregado[Custo])*Vendas[[#This Row],[Qnt Vendida]])</f>
        <v>600</v>
      </c>
      <c r="K1258" s="70">
        <f>Vendas[[#This Row],[Lucro da Venda]]/Vendas[[#This Row],[Valor da Venda]]</f>
        <v>0.18072289156626506</v>
      </c>
      <c r="L125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1258"/>
    </row>
    <row r="1259" spans="1:13" x14ac:dyDescent="0.3">
      <c r="A1259" s="7">
        <v>400248</v>
      </c>
      <c r="B1259" t="str">
        <f>_xlfn.XLOOKUP(Vendas[[#This Row],[ID Vendedor]],Vendedores[ID],Vendedores[Nome])</f>
        <v>Patrícia</v>
      </c>
      <c r="C1259" s="7" t="str">
        <f>_xlfn.XLOOKUP(Vendas[[#This Row],[ID Vendedor]],Vendedores[ID],Vendedores[Setor])</f>
        <v>CM</v>
      </c>
      <c r="D1259" s="7" t="s">
        <v>22</v>
      </c>
      <c r="E1259" t="str">
        <f>_xlfn.XLOOKUP(Vendas[[#This Row],[ID Item Vendido]],Agregado[ID],Agregado[Produto])</f>
        <v>Painel MDP 2,75x1,83m</v>
      </c>
      <c r="F1259" s="39">
        <v>44478</v>
      </c>
      <c r="G1259" s="7">
        <v>23</v>
      </c>
      <c r="H1259" s="3">
        <f>_xlfn.XLOOKUP(Vendas[[#This Row],[ID Item Vendido]],Agregado[ID],Agregado[Revenda])</f>
        <v>119</v>
      </c>
      <c r="I1259" s="3">
        <f>Vendas[[#This Row],[Valor Unitário]]*Vendas[[#This Row],[Qnt Vendida]]</f>
        <v>2737</v>
      </c>
      <c r="J1259" s="3">
        <f>Vendas[[#This Row],[Valor da Venda]]-(_xlfn.XLOOKUP(Vendas[[#This Row],[ID Item Vendido]],Agregado[ID],Agregado[Custo])*Vendas[[#This Row],[Qnt Vendida]])</f>
        <v>552</v>
      </c>
      <c r="K1259" s="70">
        <f>Vendas[[#This Row],[Lucro da Venda]]/Vendas[[#This Row],[Valor da Venda]]</f>
        <v>0.20168067226890757</v>
      </c>
      <c r="L1259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259"/>
    </row>
    <row r="1260" spans="1:13" x14ac:dyDescent="0.3">
      <c r="A1260" s="7">
        <v>400248</v>
      </c>
      <c r="B1260" t="str">
        <f>_xlfn.XLOOKUP(Vendas[[#This Row],[ID Vendedor]],Vendedores[ID],Vendedores[Nome])</f>
        <v>Patrícia</v>
      </c>
      <c r="C1260" s="7" t="str">
        <f>_xlfn.XLOOKUP(Vendas[[#This Row],[ID Vendedor]],Vendedores[ID],Vendedores[Setor])</f>
        <v>CM</v>
      </c>
      <c r="D1260" s="7" t="s">
        <v>32</v>
      </c>
      <c r="E1260" t="str">
        <f>_xlfn.XLOOKUP(Vendas[[#This Row],[ID Item Vendido]],Agregado[ID],Agregado[Produto])</f>
        <v>Tábua tratada e cortada 3m</v>
      </c>
      <c r="F1260" s="39">
        <v>44478</v>
      </c>
      <c r="G1260" s="7">
        <v>32</v>
      </c>
      <c r="H1260" s="3">
        <f>_xlfn.XLOOKUP(Vendas[[#This Row],[ID Item Vendido]],Agregado[ID],Agregado[Revenda])</f>
        <v>39</v>
      </c>
      <c r="I1260" s="3">
        <f>Vendas[[#This Row],[Valor Unitário]]*Vendas[[#This Row],[Qnt Vendida]]</f>
        <v>1248</v>
      </c>
      <c r="J1260" s="3">
        <f>Vendas[[#This Row],[Valor da Venda]]-(_xlfn.XLOOKUP(Vendas[[#This Row],[ID Item Vendido]],Agregado[ID],Agregado[Custo])*Vendas[[#This Row],[Qnt Vendida]])</f>
        <v>224</v>
      </c>
      <c r="K1260" s="70">
        <f>Vendas[[#This Row],[Lucro da Venda]]/Vendas[[#This Row],[Valor da Venda]]</f>
        <v>0.17948717948717949</v>
      </c>
      <c r="L1260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1260"/>
    </row>
    <row r="1261" spans="1:13" x14ac:dyDescent="0.3">
      <c r="A1261" s="7">
        <v>400251</v>
      </c>
      <c r="B1261" t="str">
        <f>_xlfn.XLOOKUP(Vendas[[#This Row],[ID Vendedor]],Vendedores[ID],Vendedores[Nome])</f>
        <v>Diego</v>
      </c>
      <c r="C1261" s="7" t="str">
        <f>_xlfn.XLOOKUP(Vendas[[#This Row],[ID Vendedor]],Vendedores[ID],Vendedores[Setor])</f>
        <v>AB</v>
      </c>
      <c r="D1261" s="7" t="s">
        <v>12</v>
      </c>
      <c r="E1261" t="str">
        <f>_xlfn.XLOOKUP(Vendas[[#This Row],[ID Item Vendido]],Agregado[ID],Agregado[Produto])</f>
        <v>Grânulo de plástico reciclado refinado</v>
      </c>
      <c r="F1261" s="39">
        <v>44478</v>
      </c>
      <c r="G1261" s="7">
        <v>140</v>
      </c>
      <c r="H1261" s="3">
        <f>_xlfn.XLOOKUP(Vendas[[#This Row],[ID Item Vendido]],Agregado[ID],Agregado[Revenda])</f>
        <v>4.7</v>
      </c>
      <c r="I1261" s="3">
        <f>Vendas[[#This Row],[Valor Unitário]]*Vendas[[#This Row],[Qnt Vendida]]</f>
        <v>658</v>
      </c>
      <c r="J1261" s="3">
        <f>Vendas[[#This Row],[Valor da Venda]]-(_xlfn.XLOOKUP(Vendas[[#This Row],[ID Item Vendido]],Agregado[ID],Agregado[Custo])*Vendas[[#This Row],[Qnt Vendida]])</f>
        <v>168</v>
      </c>
      <c r="K1261" s="70">
        <f>Vendas[[#This Row],[Lucro da Venda]]/Vendas[[#This Row],[Valor da Venda]]</f>
        <v>0.25531914893617019</v>
      </c>
      <c r="L1261" s="3">
        <f>_xlfn.IFS(Vendas[[#This Row],[Margem de Lucro (%)]]&lt;15%,Vendas[[#This Row],[Valor da Venda]]*3%,Vendas[[#This Row],[Margem de Lucro (%)]]&lt;=20%,Vendas[[#This Row],[Valor da Venda]]*4.5%,TRUE,Vendas[[#This Row],[Valor da Venda]]*6%)</f>
        <v>39.479999999999997</v>
      </c>
      <c r="M1261"/>
    </row>
    <row r="1262" spans="1:13" x14ac:dyDescent="0.3">
      <c r="A1262" s="7">
        <v>400243</v>
      </c>
      <c r="B1262" t="str">
        <f>_xlfn.XLOOKUP(Vendas[[#This Row],[ID Vendedor]],Vendedores[ID],Vendedores[Nome])</f>
        <v>Marcelo</v>
      </c>
      <c r="C1262" s="7" t="str">
        <f>_xlfn.XLOOKUP(Vendas[[#This Row],[ID Vendedor]],Vendedores[ID],Vendedores[Setor])</f>
        <v>FM</v>
      </c>
      <c r="D1262" s="7" t="s">
        <v>20</v>
      </c>
      <c r="E1262" t="str">
        <f>_xlfn.XLOOKUP(Vendas[[#This Row],[ID Item Vendido]],Agregado[ID],Agregado[Produto])</f>
        <v>Barra de aço simples</v>
      </c>
      <c r="F1262" s="39">
        <v>44478</v>
      </c>
      <c r="G1262" s="7">
        <v>83</v>
      </c>
      <c r="H1262" s="3">
        <f>_xlfn.XLOOKUP(Vendas[[#This Row],[ID Item Vendido]],Agregado[ID],Agregado[Revenda])</f>
        <v>4.8</v>
      </c>
      <c r="I1262" s="3">
        <f>Vendas[[#This Row],[Valor Unitário]]*Vendas[[#This Row],[Qnt Vendida]]</f>
        <v>398.4</v>
      </c>
      <c r="J1262" s="3">
        <f>Vendas[[#This Row],[Valor da Venda]]-(_xlfn.XLOOKUP(Vendas[[#This Row],[ID Item Vendido]],Agregado[ID],Agregado[Custo])*Vendas[[#This Row],[Qnt Vendida]])</f>
        <v>49.799999999999955</v>
      </c>
      <c r="K1262" s="70">
        <f>Vendas[[#This Row],[Lucro da Venda]]/Vendas[[#This Row],[Valor da Venda]]</f>
        <v>0.12499999999999989</v>
      </c>
      <c r="L1262" s="3">
        <f>_xlfn.IFS(Vendas[[#This Row],[Margem de Lucro (%)]]&lt;15%,Vendas[[#This Row],[Valor da Venda]]*3%,Vendas[[#This Row],[Margem de Lucro (%)]]&lt;=20%,Vendas[[#This Row],[Valor da Venda]]*4.5%,TRUE,Vendas[[#This Row],[Valor da Venda]]*6%)</f>
        <v>11.951999999999998</v>
      </c>
      <c r="M1262"/>
    </row>
    <row r="1263" spans="1:13" x14ac:dyDescent="0.3">
      <c r="A1263" s="7">
        <v>400248</v>
      </c>
      <c r="B1263" t="str">
        <f>_xlfn.XLOOKUP(Vendas[[#This Row],[ID Vendedor]],Vendedores[ID],Vendedores[Nome])</f>
        <v>Patrícia</v>
      </c>
      <c r="C1263" s="7" t="str">
        <f>_xlfn.XLOOKUP(Vendas[[#This Row],[ID Vendedor]],Vendedores[ID],Vendedores[Setor])</f>
        <v>CM</v>
      </c>
      <c r="D1263" s="7" t="s">
        <v>34</v>
      </c>
      <c r="E1263" t="str">
        <f>_xlfn.XLOOKUP(Vendas[[#This Row],[ID Item Vendido]],Agregado[ID],Agregado[Produto])</f>
        <v>Restos de madeira p/ MDP/OSB saco de 20kg</v>
      </c>
      <c r="F1263" s="39">
        <v>44478</v>
      </c>
      <c r="G1263" s="7">
        <v>16</v>
      </c>
      <c r="H1263" s="3">
        <f>_xlfn.XLOOKUP(Vendas[[#This Row],[ID Item Vendido]],Agregado[ID],Agregado[Revenda])</f>
        <v>13.8</v>
      </c>
      <c r="I1263" s="3">
        <f>Vendas[[#This Row],[Valor Unitário]]*Vendas[[#This Row],[Qnt Vendida]]</f>
        <v>220.8</v>
      </c>
      <c r="J1263" s="3">
        <f>Vendas[[#This Row],[Valor da Venda]]-(_xlfn.XLOOKUP(Vendas[[#This Row],[ID Item Vendido]],Agregado[ID],Agregado[Custo])*Vendas[[#This Row],[Qnt Vendida]])</f>
        <v>28.800000000000011</v>
      </c>
      <c r="K1263" s="70">
        <f>Vendas[[#This Row],[Lucro da Venda]]/Vendas[[#This Row],[Valor da Venda]]</f>
        <v>0.1304347826086957</v>
      </c>
      <c r="L1263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1263"/>
    </row>
    <row r="1264" spans="1:13" x14ac:dyDescent="0.3">
      <c r="A1264" s="7">
        <v>400251</v>
      </c>
      <c r="B1264" t="str">
        <f>_xlfn.XLOOKUP(Vendas[[#This Row],[ID Vendedor]],Vendedores[ID],Vendedores[Nome])</f>
        <v>Diego</v>
      </c>
      <c r="C1264" s="7" t="str">
        <f>_xlfn.XLOOKUP(Vendas[[#This Row],[ID Vendedor]],Vendedores[ID],Vendedores[Setor])</f>
        <v>AB</v>
      </c>
      <c r="D1264" s="7" t="s">
        <v>36</v>
      </c>
      <c r="E1264" t="str">
        <f>_xlfn.XLOOKUP(Vendas[[#This Row],[ID Item Vendido]],Agregado[ID],Agregado[Produto])</f>
        <v>Borracha vulcanizada em manta</v>
      </c>
      <c r="F1264" s="39">
        <v>44479</v>
      </c>
      <c r="G1264" s="7">
        <v>19</v>
      </c>
      <c r="H1264" s="3">
        <f>_xlfn.XLOOKUP(Vendas[[#This Row],[ID Item Vendido]],Agregado[ID],Agregado[Revenda])</f>
        <v>7.8</v>
      </c>
      <c r="I1264" s="3">
        <f>Vendas[[#This Row],[Valor Unitário]]*Vendas[[#This Row],[Qnt Vendida]]</f>
        <v>148.19999999999999</v>
      </c>
      <c r="J1264" s="3">
        <f>Vendas[[#This Row],[Valor da Venda]]-(_xlfn.XLOOKUP(Vendas[[#This Row],[ID Item Vendido]],Agregado[ID],Agregado[Custo])*Vendas[[#This Row],[Qnt Vendida]])</f>
        <v>34.199999999999989</v>
      </c>
      <c r="K1264" s="70">
        <f>Vendas[[#This Row],[Lucro da Venda]]/Vendas[[#This Row],[Valor da Venda]]</f>
        <v>0.2307692307692307</v>
      </c>
      <c r="L1264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1264"/>
    </row>
    <row r="1265" spans="1:13" x14ac:dyDescent="0.3">
      <c r="A1265" s="7">
        <v>400243</v>
      </c>
      <c r="B1265" t="str">
        <f>_xlfn.XLOOKUP(Vendas[[#This Row],[ID Vendedor]],Vendedores[ID],Vendedores[Nome])</f>
        <v>Marcelo</v>
      </c>
      <c r="C1265" s="7" t="str">
        <f>_xlfn.XLOOKUP(Vendas[[#This Row],[ID Vendedor]],Vendedores[ID],Vendedores[Setor])</f>
        <v>FM</v>
      </c>
      <c r="D1265" s="7" t="s">
        <v>6</v>
      </c>
      <c r="E1265" t="str">
        <f>_xlfn.XLOOKUP(Vendas[[#This Row],[ID Item Vendido]],Agregado[ID],Agregado[Produto])</f>
        <v>Parafuso comum 500un</v>
      </c>
      <c r="F1265" s="39">
        <v>44480</v>
      </c>
      <c r="G1265" s="7">
        <v>6</v>
      </c>
      <c r="H1265" s="3">
        <f>_xlfn.XLOOKUP(Vendas[[#This Row],[ID Item Vendido]],Agregado[ID],Agregado[Revenda])</f>
        <v>24.6</v>
      </c>
      <c r="I1265" s="3">
        <f>Vendas[[#This Row],[Valor Unitário]]*Vendas[[#This Row],[Qnt Vendida]]</f>
        <v>147.60000000000002</v>
      </c>
      <c r="J1265" s="3">
        <f>Vendas[[#This Row],[Valor da Venda]]-(_xlfn.XLOOKUP(Vendas[[#This Row],[ID Item Vendido]],Agregado[ID],Agregado[Custo])*Vendas[[#This Row],[Qnt Vendida]])</f>
        <v>15.600000000000023</v>
      </c>
      <c r="K1265" s="70">
        <f>Vendas[[#This Row],[Lucro da Venda]]/Vendas[[#This Row],[Valor da Venda]]</f>
        <v>0.10569105691056924</v>
      </c>
      <c r="L1265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1265"/>
    </row>
    <row r="1266" spans="1:13" x14ac:dyDescent="0.3">
      <c r="A1266" s="7">
        <v>400247</v>
      </c>
      <c r="B1266" t="str">
        <f>_xlfn.XLOOKUP(Vendas[[#This Row],[ID Vendedor]],Vendedores[ID],Vendedores[Nome])</f>
        <v>André</v>
      </c>
      <c r="C1266" s="7" t="str">
        <f>_xlfn.XLOOKUP(Vendas[[#This Row],[ID Vendedor]],Vendedores[ID],Vendedores[Setor])</f>
        <v>CM</v>
      </c>
      <c r="D1266" s="7" t="s">
        <v>22</v>
      </c>
      <c r="E1266" t="str">
        <f>_xlfn.XLOOKUP(Vendas[[#This Row],[ID Item Vendido]],Agregado[ID],Agregado[Produto])</f>
        <v>Painel MDP 2,75x1,83m</v>
      </c>
      <c r="F1266" s="39">
        <v>44481</v>
      </c>
      <c r="G1266" s="7">
        <v>17</v>
      </c>
      <c r="H1266" s="3">
        <f>_xlfn.XLOOKUP(Vendas[[#This Row],[ID Item Vendido]],Agregado[ID],Agregado[Revenda])</f>
        <v>119</v>
      </c>
      <c r="I1266" s="3">
        <f>Vendas[[#This Row],[Valor Unitário]]*Vendas[[#This Row],[Qnt Vendida]]</f>
        <v>2023</v>
      </c>
      <c r="J1266" s="3">
        <f>Vendas[[#This Row],[Valor da Venda]]-(_xlfn.XLOOKUP(Vendas[[#This Row],[ID Item Vendido]],Agregado[ID],Agregado[Custo])*Vendas[[#This Row],[Qnt Vendida]])</f>
        <v>408</v>
      </c>
      <c r="K1266" s="70">
        <f>Vendas[[#This Row],[Lucro da Venda]]/Vendas[[#This Row],[Valor da Venda]]</f>
        <v>0.20168067226890757</v>
      </c>
      <c r="L126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1266"/>
    </row>
    <row r="1267" spans="1:13" x14ac:dyDescent="0.3">
      <c r="A1267" s="7">
        <v>400248</v>
      </c>
      <c r="B1267" t="str">
        <f>_xlfn.XLOOKUP(Vendas[[#This Row],[ID Vendedor]],Vendedores[ID],Vendedores[Nome])</f>
        <v>Patrícia</v>
      </c>
      <c r="C1267" s="7" t="str">
        <f>_xlfn.XLOOKUP(Vendas[[#This Row],[ID Vendedor]],Vendedores[ID],Vendedores[Setor])</f>
        <v>CM</v>
      </c>
      <c r="D1267" s="7" t="s">
        <v>32</v>
      </c>
      <c r="E1267" t="str">
        <f>_xlfn.XLOOKUP(Vendas[[#This Row],[ID Item Vendido]],Agregado[ID],Agregado[Produto])</f>
        <v>Tábua tratada e cortada 3m</v>
      </c>
      <c r="F1267" s="39">
        <v>44481</v>
      </c>
      <c r="G1267" s="7">
        <v>16</v>
      </c>
      <c r="H1267" s="3">
        <f>_xlfn.XLOOKUP(Vendas[[#This Row],[ID Item Vendido]],Agregado[ID],Agregado[Revenda])</f>
        <v>39</v>
      </c>
      <c r="I1267" s="3">
        <f>Vendas[[#This Row],[Valor Unitário]]*Vendas[[#This Row],[Qnt Vendida]]</f>
        <v>624</v>
      </c>
      <c r="J1267" s="3">
        <f>Vendas[[#This Row],[Valor da Venda]]-(_xlfn.XLOOKUP(Vendas[[#This Row],[ID Item Vendido]],Agregado[ID],Agregado[Custo])*Vendas[[#This Row],[Qnt Vendida]])</f>
        <v>112</v>
      </c>
      <c r="K1267" s="70">
        <f>Vendas[[#This Row],[Lucro da Venda]]/Vendas[[#This Row],[Valor da Venda]]</f>
        <v>0.17948717948717949</v>
      </c>
      <c r="L1267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1267"/>
    </row>
    <row r="1268" spans="1:13" x14ac:dyDescent="0.3">
      <c r="A1268" s="7">
        <v>400249</v>
      </c>
      <c r="B1268" t="str">
        <f>_xlfn.XLOOKUP(Vendas[[#This Row],[ID Vendedor]],Vendedores[ID],Vendedores[Nome])</f>
        <v>Bruno</v>
      </c>
      <c r="C1268" s="7" t="str">
        <f>_xlfn.XLOOKUP(Vendas[[#This Row],[ID Vendedor]],Vendedores[ID],Vendedores[Setor])</f>
        <v>CM</v>
      </c>
      <c r="D1268" s="7" t="s">
        <v>32</v>
      </c>
      <c r="E1268" t="str">
        <f>_xlfn.XLOOKUP(Vendas[[#This Row],[ID Item Vendido]],Agregado[ID],Agregado[Produto])</f>
        <v>Tábua tratada e cortada 3m</v>
      </c>
      <c r="F1268" s="39">
        <v>44481</v>
      </c>
      <c r="G1268" s="7">
        <v>13</v>
      </c>
      <c r="H1268" s="3">
        <f>_xlfn.XLOOKUP(Vendas[[#This Row],[ID Item Vendido]],Agregado[ID],Agregado[Revenda])</f>
        <v>39</v>
      </c>
      <c r="I1268" s="3">
        <f>Vendas[[#This Row],[Valor Unitário]]*Vendas[[#This Row],[Qnt Vendida]]</f>
        <v>507</v>
      </c>
      <c r="J1268" s="3">
        <f>Vendas[[#This Row],[Valor da Venda]]-(_xlfn.XLOOKUP(Vendas[[#This Row],[ID Item Vendido]],Agregado[ID],Agregado[Custo])*Vendas[[#This Row],[Qnt Vendida]])</f>
        <v>91</v>
      </c>
      <c r="K1268" s="70">
        <f>Vendas[[#This Row],[Lucro da Venda]]/Vendas[[#This Row],[Valor da Venda]]</f>
        <v>0.17948717948717949</v>
      </c>
      <c r="L1268" s="3">
        <f>_xlfn.IFS(Vendas[[#This Row],[Margem de Lucro (%)]]&lt;15%,Vendas[[#This Row],[Valor da Venda]]*3%,Vendas[[#This Row],[Margem de Lucro (%)]]&lt;=20%,Vendas[[#This Row],[Valor da Venda]]*4.5%,TRUE,Vendas[[#This Row],[Valor da Venda]]*6%)</f>
        <v>22.814999999999998</v>
      </c>
      <c r="M1268"/>
    </row>
    <row r="1269" spans="1:13" x14ac:dyDescent="0.3">
      <c r="A1269" s="7">
        <v>400243</v>
      </c>
      <c r="B1269" t="str">
        <f>_xlfn.XLOOKUP(Vendas[[#This Row],[ID Vendedor]],Vendedores[ID],Vendedores[Nome])</f>
        <v>Marcelo</v>
      </c>
      <c r="C1269" s="7" t="str">
        <f>_xlfn.XLOOKUP(Vendas[[#This Row],[ID Vendedor]],Vendedores[ID],Vendedores[Setor])</f>
        <v>FM</v>
      </c>
      <c r="D1269" s="7" t="s">
        <v>31</v>
      </c>
      <c r="E1269" t="str">
        <f>_xlfn.XLOOKUP(Vendas[[#This Row],[ID Item Vendido]],Agregado[ID],Agregado[Produto])</f>
        <v>Tela de metal soldada rolo 2x25m</v>
      </c>
      <c r="F1269" s="39">
        <v>44481</v>
      </c>
      <c r="G1269" s="7">
        <v>11</v>
      </c>
      <c r="H1269" s="3">
        <f>_xlfn.XLOOKUP(Vendas[[#This Row],[ID Item Vendido]],Agregado[ID],Agregado[Revenda])</f>
        <v>43.7</v>
      </c>
      <c r="I1269" s="3">
        <f>Vendas[[#This Row],[Valor Unitário]]*Vendas[[#This Row],[Qnt Vendida]]</f>
        <v>480.70000000000005</v>
      </c>
      <c r="J1269" s="3">
        <f>Vendas[[#This Row],[Valor da Venda]]-(_xlfn.XLOOKUP(Vendas[[#This Row],[ID Item Vendido]],Agregado[ID],Agregado[Custo])*Vendas[[#This Row],[Qnt Vendida]])</f>
        <v>62.700000000000045</v>
      </c>
      <c r="K1269" s="70">
        <f>Vendas[[#This Row],[Lucro da Venda]]/Vendas[[#This Row],[Valor da Venda]]</f>
        <v>0.13043478260869573</v>
      </c>
      <c r="L1269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1269"/>
    </row>
    <row r="1270" spans="1:13" x14ac:dyDescent="0.3">
      <c r="A1270" s="7">
        <v>400253</v>
      </c>
      <c r="B1270" t="str">
        <f>_xlfn.XLOOKUP(Vendas[[#This Row],[ID Vendedor]],Vendedores[ID],Vendedores[Nome])</f>
        <v>Gustavo</v>
      </c>
      <c r="C1270" s="7" t="str">
        <f>_xlfn.XLOOKUP(Vendas[[#This Row],[ID Vendedor]],Vendedores[ID],Vendedores[Setor])</f>
        <v>SC</v>
      </c>
      <c r="D1270" s="7" t="s">
        <v>42</v>
      </c>
      <c r="E1270" t="str">
        <f>_xlfn.XLOOKUP(Vendas[[#This Row],[ID Item Vendido]],Agregado[ID],Agregado[Produto])</f>
        <v>Container de ferro industrial</v>
      </c>
      <c r="F1270" s="39">
        <v>44482</v>
      </c>
      <c r="G1270" s="7">
        <v>1</v>
      </c>
      <c r="H1270" s="3">
        <f>_xlfn.XLOOKUP(Vendas[[#This Row],[ID Item Vendido]],Agregado[ID],Agregado[Revenda])</f>
        <v>830</v>
      </c>
      <c r="I1270" s="3">
        <f>Vendas[[#This Row],[Valor Unitário]]*Vendas[[#This Row],[Qnt Vendida]]</f>
        <v>830</v>
      </c>
      <c r="J1270" s="3">
        <f>Vendas[[#This Row],[Valor da Venda]]-(_xlfn.XLOOKUP(Vendas[[#This Row],[ID Item Vendido]],Agregado[ID],Agregado[Custo])*Vendas[[#This Row],[Qnt Vendida]])</f>
        <v>150</v>
      </c>
      <c r="K1270" s="70">
        <f>Vendas[[#This Row],[Lucro da Venda]]/Vendas[[#This Row],[Valor da Venda]]</f>
        <v>0.18072289156626506</v>
      </c>
      <c r="L127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270"/>
    </row>
    <row r="1271" spans="1:13" x14ac:dyDescent="0.3">
      <c r="A1271" s="7">
        <v>400251</v>
      </c>
      <c r="B1271" t="str">
        <f>_xlfn.XLOOKUP(Vendas[[#This Row],[ID Vendedor]],Vendedores[ID],Vendedores[Nome])</f>
        <v>Diego</v>
      </c>
      <c r="C1271" s="7" t="str">
        <f>_xlfn.XLOOKUP(Vendas[[#This Row],[ID Vendedor]],Vendedores[ID],Vendedores[Setor])</f>
        <v>AB</v>
      </c>
      <c r="D1271" s="7" t="s">
        <v>39</v>
      </c>
      <c r="E1271" t="str">
        <f>_xlfn.XLOOKUP(Vendas[[#This Row],[ID Item Vendido]],Agregado[ID],Agregado[Produto])</f>
        <v>Filme plástico industrial rolo 50m</v>
      </c>
      <c r="F1271" s="39">
        <v>44482</v>
      </c>
      <c r="G1271" s="7">
        <v>20</v>
      </c>
      <c r="H1271" s="3">
        <f>_xlfn.XLOOKUP(Vendas[[#This Row],[ID Item Vendido]],Agregado[ID],Agregado[Revenda])</f>
        <v>37</v>
      </c>
      <c r="I1271" s="3">
        <f>Vendas[[#This Row],[Valor Unitário]]*Vendas[[#This Row],[Qnt Vendida]]</f>
        <v>740</v>
      </c>
      <c r="J1271" s="3">
        <f>Vendas[[#This Row],[Valor da Venda]]-(_xlfn.XLOOKUP(Vendas[[#This Row],[ID Item Vendido]],Agregado[ID],Agregado[Custo])*Vendas[[#This Row],[Qnt Vendida]])</f>
        <v>180</v>
      </c>
      <c r="K1271" s="70">
        <f>Vendas[[#This Row],[Lucro da Venda]]/Vendas[[#This Row],[Valor da Venda]]</f>
        <v>0.24324324324324326</v>
      </c>
      <c r="L1271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1271"/>
    </row>
    <row r="1272" spans="1:13" x14ac:dyDescent="0.3">
      <c r="A1272" s="7">
        <v>400250</v>
      </c>
      <c r="B1272" t="str">
        <f>_xlfn.XLOOKUP(Vendas[[#This Row],[ID Vendedor]],Vendedores[ID],Vendedores[Nome])</f>
        <v>Larissa</v>
      </c>
      <c r="C1272" s="7" t="str">
        <f>_xlfn.XLOOKUP(Vendas[[#This Row],[ID Vendedor]],Vendedores[ID],Vendedores[Setor])</f>
        <v>AB</v>
      </c>
      <c r="D1272" s="7" t="s">
        <v>39</v>
      </c>
      <c r="E1272" t="str">
        <f>_xlfn.XLOOKUP(Vendas[[#This Row],[ID Item Vendido]],Agregado[ID],Agregado[Produto])</f>
        <v>Filme plástico industrial rolo 50m</v>
      </c>
      <c r="F1272" s="39">
        <v>44482</v>
      </c>
      <c r="G1272" s="7">
        <v>8</v>
      </c>
      <c r="H1272" s="3">
        <f>_xlfn.XLOOKUP(Vendas[[#This Row],[ID Item Vendido]],Agregado[ID],Agregado[Revenda])</f>
        <v>37</v>
      </c>
      <c r="I1272" s="3">
        <f>Vendas[[#This Row],[Valor Unitário]]*Vendas[[#This Row],[Qnt Vendida]]</f>
        <v>296</v>
      </c>
      <c r="J1272" s="3">
        <f>Vendas[[#This Row],[Valor da Venda]]-(_xlfn.XLOOKUP(Vendas[[#This Row],[ID Item Vendido]],Agregado[ID],Agregado[Custo])*Vendas[[#This Row],[Qnt Vendida]])</f>
        <v>72</v>
      </c>
      <c r="K1272" s="70">
        <f>Vendas[[#This Row],[Lucro da Venda]]/Vendas[[#This Row],[Valor da Venda]]</f>
        <v>0.24324324324324326</v>
      </c>
      <c r="L1272" s="3">
        <f>_xlfn.IFS(Vendas[[#This Row],[Margem de Lucro (%)]]&lt;15%,Vendas[[#This Row],[Valor da Venda]]*3%,Vendas[[#This Row],[Margem de Lucro (%)]]&lt;=20%,Vendas[[#This Row],[Valor da Venda]]*4.5%,TRUE,Vendas[[#This Row],[Valor da Venda]]*6%)</f>
        <v>17.759999999999998</v>
      </c>
      <c r="M1272"/>
    </row>
    <row r="1273" spans="1:13" x14ac:dyDescent="0.3">
      <c r="A1273" s="7">
        <v>400241</v>
      </c>
      <c r="B1273" t="str">
        <f>_xlfn.XLOOKUP(Vendas[[#This Row],[ID Vendedor]],Vendedores[ID],Vendedores[Nome])</f>
        <v>Rodrigo</v>
      </c>
      <c r="C1273" s="7" t="str">
        <f>_xlfn.XLOOKUP(Vendas[[#This Row],[ID Vendedor]],Vendedores[ID],Vendedores[Setor])</f>
        <v>FM</v>
      </c>
      <c r="D1273" s="7" t="s">
        <v>27</v>
      </c>
      <c r="E1273" t="str">
        <f>_xlfn.XLOOKUP(Vendas[[#This Row],[ID Item Vendido]],Agregado[ID],Agregado[Produto])</f>
        <v>Chapa de metal lisa 1x2m</v>
      </c>
      <c r="F1273" s="39">
        <v>44483</v>
      </c>
      <c r="G1273" s="7">
        <v>13</v>
      </c>
      <c r="H1273" s="3">
        <f>_xlfn.XLOOKUP(Vendas[[#This Row],[ID Item Vendido]],Agregado[ID],Agregado[Revenda])</f>
        <v>52</v>
      </c>
      <c r="I1273" s="3">
        <f>Vendas[[#This Row],[Valor Unitário]]*Vendas[[#This Row],[Qnt Vendida]]</f>
        <v>676</v>
      </c>
      <c r="J1273" s="3">
        <f>Vendas[[#This Row],[Valor da Venda]]-(_xlfn.XLOOKUP(Vendas[[#This Row],[ID Item Vendido]],Agregado[ID],Agregado[Custo])*Vendas[[#This Row],[Qnt Vendida]])</f>
        <v>91</v>
      </c>
      <c r="K1273" s="70">
        <f>Vendas[[#This Row],[Lucro da Venda]]/Vendas[[#This Row],[Valor da Venda]]</f>
        <v>0.13461538461538461</v>
      </c>
      <c r="L1273" s="3">
        <f>_xlfn.IFS(Vendas[[#This Row],[Margem de Lucro (%)]]&lt;15%,Vendas[[#This Row],[Valor da Venda]]*3%,Vendas[[#This Row],[Margem de Lucro (%)]]&lt;=20%,Vendas[[#This Row],[Valor da Venda]]*4.5%,TRUE,Vendas[[#This Row],[Valor da Venda]]*6%)</f>
        <v>20.279999999999998</v>
      </c>
      <c r="M1273"/>
    </row>
    <row r="1274" spans="1:13" x14ac:dyDescent="0.3">
      <c r="A1274" s="7">
        <v>400245</v>
      </c>
      <c r="B1274" t="str">
        <f>_xlfn.XLOOKUP(Vendas[[#This Row],[ID Vendedor]],Vendedores[ID],Vendedores[Nome])</f>
        <v>Thiago</v>
      </c>
      <c r="C1274" s="7" t="str">
        <f>_xlfn.XLOOKUP(Vendas[[#This Row],[ID Vendedor]],Vendedores[ID],Vendedores[Setor])</f>
        <v>AHD</v>
      </c>
      <c r="D1274" s="7" t="s">
        <v>44</v>
      </c>
      <c r="E1274" t="str">
        <f>_xlfn.XLOOKUP(Vendas[[#This Row],[ID Item Vendido]],Agregado[ID],Agregado[Produto])</f>
        <v>Liga metálica especial</v>
      </c>
      <c r="F1274" s="39">
        <v>44484</v>
      </c>
      <c r="G1274" s="7">
        <v>20</v>
      </c>
      <c r="H1274" s="3">
        <f>_xlfn.XLOOKUP(Vendas[[#This Row],[ID Item Vendido]],Agregado[ID],Agregado[Revenda])</f>
        <v>32.5</v>
      </c>
      <c r="I1274" s="3">
        <f>Vendas[[#This Row],[Valor Unitário]]*Vendas[[#This Row],[Qnt Vendida]]</f>
        <v>650</v>
      </c>
      <c r="J1274" s="3">
        <f>Vendas[[#This Row],[Valor da Venda]]-(_xlfn.XLOOKUP(Vendas[[#This Row],[ID Item Vendido]],Agregado[ID],Agregado[Custo])*Vendas[[#This Row],[Qnt Vendida]])</f>
        <v>150</v>
      </c>
      <c r="K1274" s="70">
        <f>Vendas[[#This Row],[Lucro da Venda]]/Vendas[[#This Row],[Valor da Venda]]</f>
        <v>0.23076923076923078</v>
      </c>
      <c r="L1274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1274"/>
    </row>
    <row r="1275" spans="1:13" x14ac:dyDescent="0.3">
      <c r="A1275" s="7">
        <v>400250</v>
      </c>
      <c r="B1275" t="str">
        <f>_xlfn.XLOOKUP(Vendas[[#This Row],[ID Vendedor]],Vendedores[ID],Vendedores[Nome])</f>
        <v>Larissa</v>
      </c>
      <c r="C1275" s="7" t="str">
        <f>_xlfn.XLOOKUP(Vendas[[#This Row],[ID Vendedor]],Vendedores[ID],Vendedores[Setor])</f>
        <v>AB</v>
      </c>
      <c r="D1275" s="7" t="s">
        <v>36</v>
      </c>
      <c r="E1275" t="str">
        <f>_xlfn.XLOOKUP(Vendas[[#This Row],[ID Item Vendido]],Agregado[ID],Agregado[Produto])</f>
        <v>Borracha vulcanizada em manta</v>
      </c>
      <c r="F1275" s="39">
        <v>44484</v>
      </c>
      <c r="G1275" s="7">
        <v>60</v>
      </c>
      <c r="H1275" s="3">
        <f>_xlfn.XLOOKUP(Vendas[[#This Row],[ID Item Vendido]],Agregado[ID],Agregado[Revenda])</f>
        <v>7.8</v>
      </c>
      <c r="I1275" s="3">
        <f>Vendas[[#This Row],[Valor Unitário]]*Vendas[[#This Row],[Qnt Vendida]]</f>
        <v>468</v>
      </c>
      <c r="J1275" s="3">
        <f>Vendas[[#This Row],[Valor da Venda]]-(_xlfn.XLOOKUP(Vendas[[#This Row],[ID Item Vendido]],Agregado[ID],Agregado[Custo])*Vendas[[#This Row],[Qnt Vendida]])</f>
        <v>108</v>
      </c>
      <c r="K1275" s="70">
        <f>Vendas[[#This Row],[Lucro da Venda]]/Vendas[[#This Row],[Valor da Venda]]</f>
        <v>0.23076923076923078</v>
      </c>
      <c r="L1275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1275"/>
    </row>
    <row r="1276" spans="1:13" x14ac:dyDescent="0.3">
      <c r="A1276" s="7">
        <v>400244</v>
      </c>
      <c r="B1276" t="str">
        <f>_xlfn.XLOOKUP(Vendas[[#This Row],[ID Vendedor]],Vendedores[ID],Vendedores[Nome])</f>
        <v>Camila</v>
      </c>
      <c r="C1276" s="7" t="str">
        <f>_xlfn.XLOOKUP(Vendas[[#This Row],[ID Vendedor]],Vendedores[ID],Vendedores[Setor])</f>
        <v>AHD</v>
      </c>
      <c r="D1276" s="7" t="s">
        <v>28</v>
      </c>
      <c r="E1276" t="str">
        <f>_xlfn.XLOOKUP(Vendas[[#This Row],[ID Item Vendido]],Agregado[ID],Agregado[Produto])</f>
        <v>Peça usinada CNC</v>
      </c>
      <c r="F1276" s="39">
        <v>44485</v>
      </c>
      <c r="G1276" s="7">
        <v>12</v>
      </c>
      <c r="H1276" s="3">
        <f>_xlfn.XLOOKUP(Vendas[[#This Row],[ID Item Vendido]],Agregado[ID],Agregado[Revenda])</f>
        <v>192</v>
      </c>
      <c r="I1276" s="3">
        <f>Vendas[[#This Row],[Valor Unitário]]*Vendas[[#This Row],[Qnt Vendida]]</f>
        <v>2304</v>
      </c>
      <c r="J1276" s="3">
        <f>Vendas[[#This Row],[Valor da Venda]]-(_xlfn.XLOOKUP(Vendas[[#This Row],[ID Item Vendido]],Agregado[ID],Agregado[Custo])*Vendas[[#This Row],[Qnt Vendida]])</f>
        <v>504</v>
      </c>
      <c r="K1276" s="70">
        <f>Vendas[[#This Row],[Lucro da Venda]]/Vendas[[#This Row],[Valor da Venda]]</f>
        <v>0.21875</v>
      </c>
      <c r="L1276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1276"/>
    </row>
    <row r="1277" spans="1:13" x14ac:dyDescent="0.3">
      <c r="A1277" s="7">
        <v>400253</v>
      </c>
      <c r="B1277" t="str">
        <f>_xlfn.XLOOKUP(Vendas[[#This Row],[ID Vendedor]],Vendedores[ID],Vendedores[Nome])</f>
        <v>Gustavo</v>
      </c>
      <c r="C1277" s="7" t="str">
        <f>_xlfn.XLOOKUP(Vendas[[#This Row],[ID Vendedor]],Vendedores[ID],Vendedores[Setor])</f>
        <v>SC</v>
      </c>
      <c r="D1277" s="7" t="s">
        <v>48</v>
      </c>
      <c r="E1277" t="str">
        <f>_xlfn.XLOOKUP(Vendas[[#This Row],[ID Item Vendido]],Agregado[ID],Agregado[Produto])</f>
        <v>Tambor metálico 200L</v>
      </c>
      <c r="F1277" s="39">
        <v>44485</v>
      </c>
      <c r="G1277" s="7">
        <v>12</v>
      </c>
      <c r="H1277" s="3">
        <f>_xlfn.XLOOKUP(Vendas[[#This Row],[ID Item Vendido]],Agregado[ID],Agregado[Revenda])</f>
        <v>144</v>
      </c>
      <c r="I1277" s="3">
        <f>Vendas[[#This Row],[Valor Unitário]]*Vendas[[#This Row],[Qnt Vendida]]</f>
        <v>1728</v>
      </c>
      <c r="J1277" s="3">
        <f>Vendas[[#This Row],[Valor da Venda]]-(_xlfn.XLOOKUP(Vendas[[#This Row],[ID Item Vendido]],Agregado[ID],Agregado[Custo])*Vendas[[#This Row],[Qnt Vendida]])</f>
        <v>288</v>
      </c>
      <c r="K1277" s="70">
        <f>Vendas[[#This Row],[Lucro da Venda]]/Vendas[[#This Row],[Valor da Venda]]</f>
        <v>0.16666666666666666</v>
      </c>
      <c r="L1277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1277"/>
    </row>
    <row r="1278" spans="1:13" x14ac:dyDescent="0.3">
      <c r="A1278" s="7">
        <v>400248</v>
      </c>
      <c r="B1278" t="str">
        <f>_xlfn.XLOOKUP(Vendas[[#This Row],[ID Vendedor]],Vendedores[ID],Vendedores[Nome])</f>
        <v>Patrícia</v>
      </c>
      <c r="C1278" s="7" t="str">
        <f>_xlfn.XLOOKUP(Vendas[[#This Row],[ID Vendedor]],Vendedores[ID],Vendedores[Setor])</f>
        <v>CM</v>
      </c>
      <c r="D1278" s="7" t="s">
        <v>45</v>
      </c>
      <c r="E1278" t="str">
        <f>_xlfn.XLOOKUP(Vendas[[#This Row],[ID Item Vendido]],Agregado[ID],Agregado[Produto])</f>
        <v>Viga de madeira tratada 4m</v>
      </c>
      <c r="F1278" s="39">
        <v>44485</v>
      </c>
      <c r="G1278" s="7">
        <v>13</v>
      </c>
      <c r="H1278" s="3">
        <f>_xlfn.XLOOKUP(Vendas[[#This Row],[ID Item Vendido]],Agregado[ID],Agregado[Revenda])</f>
        <v>66</v>
      </c>
      <c r="I1278" s="3">
        <f>Vendas[[#This Row],[Valor Unitário]]*Vendas[[#This Row],[Qnt Vendida]]</f>
        <v>858</v>
      </c>
      <c r="J1278" s="3">
        <f>Vendas[[#This Row],[Valor da Venda]]-(_xlfn.XLOOKUP(Vendas[[#This Row],[ID Item Vendido]],Agregado[ID],Agregado[Custo])*Vendas[[#This Row],[Qnt Vendida]])</f>
        <v>143</v>
      </c>
      <c r="K1278" s="70">
        <f>Vendas[[#This Row],[Lucro da Venda]]/Vendas[[#This Row],[Valor da Venda]]</f>
        <v>0.16666666666666666</v>
      </c>
      <c r="L1278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1278"/>
    </row>
    <row r="1279" spans="1:13" x14ac:dyDescent="0.3">
      <c r="A1279" s="7">
        <v>400248</v>
      </c>
      <c r="B1279" t="str">
        <f>_xlfn.XLOOKUP(Vendas[[#This Row],[ID Vendedor]],Vendedores[ID],Vendedores[Nome])</f>
        <v>Patrícia</v>
      </c>
      <c r="C1279" s="7" t="str">
        <f>_xlfn.XLOOKUP(Vendas[[#This Row],[ID Vendedor]],Vendedores[ID],Vendedores[Setor])</f>
        <v>CM</v>
      </c>
      <c r="D1279" s="7" t="s">
        <v>34</v>
      </c>
      <c r="E1279" t="str">
        <f>_xlfn.XLOOKUP(Vendas[[#This Row],[ID Item Vendido]],Agregado[ID],Agregado[Produto])</f>
        <v>Restos de madeira p/ MDP/OSB saco de 20kg</v>
      </c>
      <c r="F1279" s="39">
        <v>44485</v>
      </c>
      <c r="G1279" s="7">
        <v>30</v>
      </c>
      <c r="H1279" s="3">
        <f>_xlfn.XLOOKUP(Vendas[[#This Row],[ID Item Vendido]],Agregado[ID],Agregado[Revenda])</f>
        <v>13.8</v>
      </c>
      <c r="I1279" s="3">
        <f>Vendas[[#This Row],[Valor Unitário]]*Vendas[[#This Row],[Qnt Vendida]]</f>
        <v>414</v>
      </c>
      <c r="J1279" s="3">
        <f>Vendas[[#This Row],[Valor da Venda]]-(_xlfn.XLOOKUP(Vendas[[#This Row],[ID Item Vendido]],Agregado[ID],Agregado[Custo])*Vendas[[#This Row],[Qnt Vendida]])</f>
        <v>54</v>
      </c>
      <c r="K1279" s="70">
        <f>Vendas[[#This Row],[Lucro da Venda]]/Vendas[[#This Row],[Valor da Venda]]</f>
        <v>0.13043478260869565</v>
      </c>
      <c r="L1279" s="3">
        <f>_xlfn.IFS(Vendas[[#This Row],[Margem de Lucro (%)]]&lt;15%,Vendas[[#This Row],[Valor da Venda]]*3%,Vendas[[#This Row],[Margem de Lucro (%)]]&lt;=20%,Vendas[[#This Row],[Valor da Venda]]*4.5%,TRUE,Vendas[[#This Row],[Valor da Venda]]*6%)</f>
        <v>12.42</v>
      </c>
      <c r="M1279"/>
    </row>
    <row r="1280" spans="1:13" x14ac:dyDescent="0.3">
      <c r="A1280" s="7">
        <v>400244</v>
      </c>
      <c r="B1280" t="str">
        <f>_xlfn.XLOOKUP(Vendas[[#This Row],[ID Vendedor]],Vendedores[ID],Vendedores[Nome])</f>
        <v>Camila</v>
      </c>
      <c r="C1280" s="7" t="str">
        <f>_xlfn.XLOOKUP(Vendas[[#This Row],[ID Vendedor]],Vendedores[ID],Vendedores[Setor])</f>
        <v>AHD</v>
      </c>
      <c r="D1280" s="7" t="s">
        <v>44</v>
      </c>
      <c r="E1280" t="str">
        <f>_xlfn.XLOOKUP(Vendas[[#This Row],[ID Item Vendido]],Agregado[ID],Agregado[Produto])</f>
        <v>Liga metálica especial</v>
      </c>
      <c r="F1280" s="39">
        <v>44485</v>
      </c>
      <c r="G1280" s="7">
        <v>6</v>
      </c>
      <c r="H1280" s="3">
        <f>_xlfn.XLOOKUP(Vendas[[#This Row],[ID Item Vendido]],Agregado[ID],Agregado[Revenda])</f>
        <v>32.5</v>
      </c>
      <c r="I1280" s="3">
        <f>Vendas[[#This Row],[Valor Unitário]]*Vendas[[#This Row],[Qnt Vendida]]</f>
        <v>195</v>
      </c>
      <c r="J1280" s="3">
        <f>Vendas[[#This Row],[Valor da Venda]]-(_xlfn.XLOOKUP(Vendas[[#This Row],[ID Item Vendido]],Agregado[ID],Agregado[Custo])*Vendas[[#This Row],[Qnt Vendida]])</f>
        <v>45</v>
      </c>
      <c r="K1280" s="70">
        <f>Vendas[[#This Row],[Lucro da Venda]]/Vendas[[#This Row],[Valor da Venda]]</f>
        <v>0.23076923076923078</v>
      </c>
      <c r="L1280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1280"/>
    </row>
    <row r="1281" spans="1:13" x14ac:dyDescent="0.3">
      <c r="A1281" s="7">
        <v>400241</v>
      </c>
      <c r="B1281" t="str">
        <f>_xlfn.XLOOKUP(Vendas[[#This Row],[ID Vendedor]],Vendedores[ID],Vendedores[Nome])</f>
        <v>Rodrigo</v>
      </c>
      <c r="C1281" s="7" t="str">
        <f>_xlfn.XLOOKUP(Vendas[[#This Row],[ID Vendedor]],Vendedores[ID],Vendedores[Setor])</f>
        <v>FM</v>
      </c>
      <c r="D1281" s="7" t="s">
        <v>27</v>
      </c>
      <c r="E1281" t="str">
        <f>_xlfn.XLOOKUP(Vendas[[#This Row],[ID Item Vendido]],Agregado[ID],Agregado[Produto])</f>
        <v>Chapa de metal lisa 1x2m</v>
      </c>
      <c r="F1281" s="39">
        <v>44486</v>
      </c>
      <c r="G1281" s="7">
        <v>6</v>
      </c>
      <c r="H1281" s="3">
        <f>_xlfn.XLOOKUP(Vendas[[#This Row],[ID Item Vendido]],Agregado[ID],Agregado[Revenda])</f>
        <v>52</v>
      </c>
      <c r="I1281" s="3">
        <f>Vendas[[#This Row],[Valor Unitário]]*Vendas[[#This Row],[Qnt Vendida]]</f>
        <v>312</v>
      </c>
      <c r="J1281" s="3">
        <f>Vendas[[#This Row],[Valor da Venda]]-(_xlfn.XLOOKUP(Vendas[[#This Row],[ID Item Vendido]],Agregado[ID],Agregado[Custo])*Vendas[[#This Row],[Qnt Vendida]])</f>
        <v>42</v>
      </c>
      <c r="K1281" s="70">
        <f>Vendas[[#This Row],[Lucro da Venda]]/Vendas[[#This Row],[Valor da Venda]]</f>
        <v>0.13461538461538461</v>
      </c>
      <c r="L1281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281"/>
    </row>
    <row r="1282" spans="1:13" x14ac:dyDescent="0.3">
      <c r="A1282" s="7">
        <v>400244</v>
      </c>
      <c r="B1282" t="str">
        <f>_xlfn.XLOOKUP(Vendas[[#This Row],[ID Vendedor]],Vendedores[ID],Vendedores[Nome])</f>
        <v>Camila</v>
      </c>
      <c r="C1282" s="7" t="str">
        <f>_xlfn.XLOOKUP(Vendas[[#This Row],[ID Vendedor]],Vendedores[ID],Vendedores[Setor])</f>
        <v>AHD</v>
      </c>
      <c r="D1282" s="7" t="s">
        <v>9</v>
      </c>
      <c r="E1282" t="str">
        <f>_xlfn.XLOOKUP(Vendas[[#This Row],[ID Item Vendido]],Agregado[ID],Agregado[Produto])</f>
        <v>Barra de aço simples</v>
      </c>
      <c r="F1282" s="39">
        <v>44487</v>
      </c>
      <c r="G1282" s="7">
        <v>54</v>
      </c>
      <c r="H1282" s="3">
        <f>_xlfn.XLOOKUP(Vendas[[#This Row],[ID Item Vendido]],Agregado[ID],Agregado[Revenda])</f>
        <v>6.7</v>
      </c>
      <c r="I1282" s="3">
        <f>Vendas[[#This Row],[Valor Unitário]]*Vendas[[#This Row],[Qnt Vendida]]</f>
        <v>361.8</v>
      </c>
      <c r="J1282" s="3">
        <f>Vendas[[#This Row],[Valor da Venda]]-(_xlfn.XLOOKUP(Vendas[[#This Row],[ID Item Vendido]],Agregado[ID],Agregado[Custo])*Vendas[[#This Row],[Qnt Vendida]])</f>
        <v>48.600000000000023</v>
      </c>
      <c r="K1282" s="70">
        <f>Vendas[[#This Row],[Lucro da Venda]]/Vendas[[#This Row],[Valor da Venda]]</f>
        <v>0.13432835820895528</v>
      </c>
      <c r="L1282" s="3">
        <f>_xlfn.IFS(Vendas[[#This Row],[Margem de Lucro (%)]]&lt;15%,Vendas[[#This Row],[Valor da Venda]]*3%,Vendas[[#This Row],[Margem de Lucro (%)]]&lt;=20%,Vendas[[#This Row],[Valor da Venda]]*4.5%,TRUE,Vendas[[#This Row],[Valor da Venda]]*6%)</f>
        <v>10.853999999999999</v>
      </c>
      <c r="M1282"/>
    </row>
    <row r="1283" spans="1:13" x14ac:dyDescent="0.3">
      <c r="A1283" s="7">
        <v>400248</v>
      </c>
      <c r="B1283" t="str">
        <f>_xlfn.XLOOKUP(Vendas[[#This Row],[ID Vendedor]],Vendedores[ID],Vendedores[Nome])</f>
        <v>Patrícia</v>
      </c>
      <c r="C1283" s="7" t="str">
        <f>_xlfn.XLOOKUP(Vendas[[#This Row],[ID Vendedor]],Vendedores[ID],Vendedores[Setor])</f>
        <v>CM</v>
      </c>
      <c r="D1283" s="7" t="s">
        <v>34</v>
      </c>
      <c r="E1283" t="str">
        <f>_xlfn.XLOOKUP(Vendas[[#This Row],[ID Item Vendido]],Agregado[ID],Agregado[Produto])</f>
        <v>Restos de madeira p/ MDP/OSB saco de 20kg</v>
      </c>
      <c r="F1283" s="39">
        <v>44487</v>
      </c>
      <c r="G1283" s="7">
        <v>12</v>
      </c>
      <c r="H1283" s="3">
        <f>_xlfn.XLOOKUP(Vendas[[#This Row],[ID Item Vendido]],Agregado[ID],Agregado[Revenda])</f>
        <v>13.8</v>
      </c>
      <c r="I1283" s="3">
        <f>Vendas[[#This Row],[Valor Unitário]]*Vendas[[#This Row],[Qnt Vendida]]</f>
        <v>165.60000000000002</v>
      </c>
      <c r="J1283" s="3">
        <f>Vendas[[#This Row],[Valor da Venda]]-(_xlfn.XLOOKUP(Vendas[[#This Row],[ID Item Vendido]],Agregado[ID],Agregado[Custo])*Vendas[[#This Row],[Qnt Vendida]])</f>
        <v>21.600000000000023</v>
      </c>
      <c r="K1283" s="70">
        <f>Vendas[[#This Row],[Lucro da Venda]]/Vendas[[#This Row],[Valor da Venda]]</f>
        <v>0.13043478260869576</v>
      </c>
      <c r="L1283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1283"/>
    </row>
    <row r="1284" spans="1:13" x14ac:dyDescent="0.3">
      <c r="A1284" s="7">
        <v>400248</v>
      </c>
      <c r="B1284" t="str">
        <f>_xlfn.XLOOKUP(Vendas[[#This Row],[ID Vendedor]],Vendedores[ID],Vendedores[Nome])</f>
        <v>Patrícia</v>
      </c>
      <c r="C1284" s="7" t="str">
        <f>_xlfn.XLOOKUP(Vendas[[#This Row],[ID Vendedor]],Vendedores[ID],Vendedores[Setor])</f>
        <v>CM</v>
      </c>
      <c r="D1284" s="7" t="s">
        <v>22</v>
      </c>
      <c r="E1284" t="str">
        <f>_xlfn.XLOOKUP(Vendas[[#This Row],[ID Item Vendido]],Agregado[ID],Agregado[Produto])</f>
        <v>Painel MDP 2,75x1,83m</v>
      </c>
      <c r="F1284" s="39">
        <v>44488</v>
      </c>
      <c r="G1284" s="7">
        <v>12</v>
      </c>
      <c r="H1284" s="3">
        <f>_xlfn.XLOOKUP(Vendas[[#This Row],[ID Item Vendido]],Agregado[ID],Agregado[Revenda])</f>
        <v>119</v>
      </c>
      <c r="I1284" s="3">
        <f>Vendas[[#This Row],[Valor Unitário]]*Vendas[[#This Row],[Qnt Vendida]]</f>
        <v>1428</v>
      </c>
      <c r="J1284" s="3">
        <f>Vendas[[#This Row],[Valor da Venda]]-(_xlfn.XLOOKUP(Vendas[[#This Row],[ID Item Vendido]],Agregado[ID],Agregado[Custo])*Vendas[[#This Row],[Qnt Vendida]])</f>
        <v>288</v>
      </c>
      <c r="K1284" s="70">
        <f>Vendas[[#This Row],[Lucro da Venda]]/Vendas[[#This Row],[Valor da Venda]]</f>
        <v>0.20168067226890757</v>
      </c>
      <c r="L1284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284"/>
    </row>
    <row r="1285" spans="1:13" x14ac:dyDescent="0.3">
      <c r="A1285" s="7">
        <v>400253</v>
      </c>
      <c r="B1285" t="str">
        <f>_xlfn.XLOOKUP(Vendas[[#This Row],[ID Vendedor]],Vendedores[ID],Vendedores[Nome])</f>
        <v>Gustavo</v>
      </c>
      <c r="C1285" s="7" t="str">
        <f>_xlfn.XLOOKUP(Vendas[[#This Row],[ID Vendedor]],Vendedores[ID],Vendedores[Setor])</f>
        <v>SC</v>
      </c>
      <c r="D1285" s="7" t="s">
        <v>25</v>
      </c>
      <c r="E1285" t="str">
        <f>_xlfn.XLOOKUP(Vendas[[#This Row],[ID Item Vendido]],Agregado[ID],Agregado[Produto])</f>
        <v>Palete de plástico</v>
      </c>
      <c r="F1285" s="39">
        <v>44488</v>
      </c>
      <c r="G1285" s="7">
        <v>11</v>
      </c>
      <c r="H1285" s="3">
        <f>_xlfn.XLOOKUP(Vendas[[#This Row],[ID Item Vendido]],Agregado[ID],Agregado[Revenda])</f>
        <v>70.8</v>
      </c>
      <c r="I1285" s="3">
        <f>Vendas[[#This Row],[Valor Unitário]]*Vendas[[#This Row],[Qnt Vendida]]</f>
        <v>778.8</v>
      </c>
      <c r="J1285" s="3">
        <f>Vendas[[#This Row],[Valor da Venda]]-(_xlfn.XLOOKUP(Vendas[[#This Row],[ID Item Vendido]],Agregado[ID],Agregado[Custo])*Vendas[[#This Row],[Qnt Vendida]])</f>
        <v>118.79999999999995</v>
      </c>
      <c r="K1285" s="70">
        <f>Vendas[[#This Row],[Lucro da Venda]]/Vendas[[#This Row],[Valor da Venda]]</f>
        <v>0.15254237288135589</v>
      </c>
      <c r="L1285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1285"/>
    </row>
    <row r="1286" spans="1:13" x14ac:dyDescent="0.3">
      <c r="A1286" s="7">
        <v>400253</v>
      </c>
      <c r="B1286" t="str">
        <f>_xlfn.XLOOKUP(Vendas[[#This Row],[ID Vendedor]],Vendedores[ID],Vendedores[Nome])</f>
        <v>Gustavo</v>
      </c>
      <c r="C1286" s="7" t="str">
        <f>_xlfn.XLOOKUP(Vendas[[#This Row],[ID Vendedor]],Vendedores[ID],Vendedores[Setor])</f>
        <v>SC</v>
      </c>
      <c r="D1286" s="7" t="s">
        <v>41</v>
      </c>
      <c r="E1286" t="str">
        <f>_xlfn.XLOOKUP(Vendas[[#This Row],[ID Item Vendido]],Agregado[ID],Agregado[Produto])</f>
        <v>Palete de madeira reforçado</v>
      </c>
      <c r="F1286" s="39">
        <v>44488</v>
      </c>
      <c r="G1286" s="7">
        <v>5</v>
      </c>
      <c r="H1286" s="3">
        <f>_xlfn.XLOOKUP(Vendas[[#This Row],[ID Item Vendido]],Agregado[ID],Agregado[Revenda])</f>
        <v>131</v>
      </c>
      <c r="I1286" s="3">
        <f>Vendas[[#This Row],[Valor Unitário]]*Vendas[[#This Row],[Qnt Vendida]]</f>
        <v>655</v>
      </c>
      <c r="J1286" s="3">
        <f>Vendas[[#This Row],[Valor da Venda]]-(_xlfn.XLOOKUP(Vendas[[#This Row],[ID Item Vendido]],Agregado[ID],Agregado[Custo])*Vendas[[#This Row],[Qnt Vendida]])</f>
        <v>105</v>
      </c>
      <c r="K1286" s="70">
        <f>Vendas[[#This Row],[Lucro da Venda]]/Vendas[[#This Row],[Valor da Venda]]</f>
        <v>0.16030534351145037</v>
      </c>
      <c r="L1286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1286"/>
    </row>
    <row r="1287" spans="1:13" x14ac:dyDescent="0.3">
      <c r="A1287" s="7">
        <v>400250</v>
      </c>
      <c r="B1287" t="str">
        <f>_xlfn.XLOOKUP(Vendas[[#This Row],[ID Vendedor]],Vendedores[ID],Vendedores[Nome])</f>
        <v>Larissa</v>
      </c>
      <c r="C1287" s="7" t="str">
        <f>_xlfn.XLOOKUP(Vendas[[#This Row],[ID Vendedor]],Vendedores[ID],Vendedores[Setor])</f>
        <v>AB</v>
      </c>
      <c r="D1287" s="7" t="s">
        <v>39</v>
      </c>
      <c r="E1287" t="str">
        <f>_xlfn.XLOOKUP(Vendas[[#This Row],[ID Item Vendido]],Agregado[ID],Agregado[Produto])</f>
        <v>Filme plástico industrial rolo 50m</v>
      </c>
      <c r="F1287" s="39">
        <v>44488</v>
      </c>
      <c r="G1287" s="7">
        <v>10</v>
      </c>
      <c r="H1287" s="3">
        <f>_xlfn.XLOOKUP(Vendas[[#This Row],[ID Item Vendido]],Agregado[ID],Agregado[Revenda])</f>
        <v>37</v>
      </c>
      <c r="I1287" s="3">
        <f>Vendas[[#This Row],[Valor Unitário]]*Vendas[[#This Row],[Qnt Vendida]]</f>
        <v>370</v>
      </c>
      <c r="J1287" s="3">
        <f>Vendas[[#This Row],[Valor da Venda]]-(_xlfn.XLOOKUP(Vendas[[#This Row],[ID Item Vendido]],Agregado[ID],Agregado[Custo])*Vendas[[#This Row],[Qnt Vendida]])</f>
        <v>90</v>
      </c>
      <c r="K1287" s="70">
        <f>Vendas[[#This Row],[Lucro da Venda]]/Vendas[[#This Row],[Valor da Venda]]</f>
        <v>0.24324324324324326</v>
      </c>
      <c r="L1287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1287"/>
    </row>
    <row r="1288" spans="1:13" x14ac:dyDescent="0.3">
      <c r="A1288" s="7">
        <v>400255</v>
      </c>
      <c r="B1288" t="str">
        <f>_xlfn.XLOOKUP(Vendas[[#This Row],[ID Vendedor]],Vendedores[ID],Vendedores[Nome])</f>
        <v>Carlos</v>
      </c>
      <c r="C1288" s="7" t="str">
        <f>_xlfn.XLOOKUP(Vendas[[#This Row],[ID Vendedor]],Vendedores[ID],Vendedores[Setor])</f>
        <v>SC</v>
      </c>
      <c r="D1288" s="7" t="s">
        <v>14</v>
      </c>
      <c r="E1288" t="str">
        <f>_xlfn.XLOOKUP(Vendas[[#This Row],[ID Item Vendido]],Agregado[ID],Agregado[Produto])</f>
        <v>Barril de plástico 200L</v>
      </c>
      <c r="F1288" s="39">
        <v>44489</v>
      </c>
      <c r="G1288" s="7">
        <v>21</v>
      </c>
      <c r="H1288" s="3">
        <f>_xlfn.XLOOKUP(Vendas[[#This Row],[ID Item Vendido]],Agregado[ID],Agregado[Revenda])</f>
        <v>114</v>
      </c>
      <c r="I1288" s="3">
        <f>Vendas[[#This Row],[Valor Unitário]]*Vendas[[#This Row],[Qnt Vendida]]</f>
        <v>2394</v>
      </c>
      <c r="J1288" s="3">
        <f>Vendas[[#This Row],[Valor da Venda]]-(_xlfn.XLOOKUP(Vendas[[#This Row],[ID Item Vendido]],Agregado[ID],Agregado[Custo])*Vendas[[#This Row],[Qnt Vendida]])</f>
        <v>399</v>
      </c>
      <c r="K1288" s="70">
        <f>Vendas[[#This Row],[Lucro da Venda]]/Vendas[[#This Row],[Valor da Venda]]</f>
        <v>0.16666666666666666</v>
      </c>
      <c r="L1288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1288"/>
    </row>
    <row r="1289" spans="1:13" x14ac:dyDescent="0.3">
      <c r="A1289" s="7">
        <v>400248</v>
      </c>
      <c r="B1289" t="str">
        <f>_xlfn.XLOOKUP(Vendas[[#This Row],[ID Vendedor]],Vendedores[ID],Vendedores[Nome])</f>
        <v>Patrícia</v>
      </c>
      <c r="C1289" s="7" t="str">
        <f>_xlfn.XLOOKUP(Vendas[[#This Row],[ID Vendedor]],Vendedores[ID],Vendedores[Setor])</f>
        <v>CM</v>
      </c>
      <c r="D1289" s="7" t="s">
        <v>22</v>
      </c>
      <c r="E1289" t="str">
        <f>_xlfn.XLOOKUP(Vendas[[#This Row],[ID Item Vendido]],Agregado[ID],Agregado[Produto])</f>
        <v>Painel MDP 2,75x1,83m</v>
      </c>
      <c r="F1289" s="39">
        <v>44489</v>
      </c>
      <c r="G1289" s="7">
        <v>10</v>
      </c>
      <c r="H1289" s="3">
        <f>_xlfn.XLOOKUP(Vendas[[#This Row],[ID Item Vendido]],Agregado[ID],Agregado[Revenda])</f>
        <v>119</v>
      </c>
      <c r="I1289" s="3">
        <f>Vendas[[#This Row],[Valor Unitário]]*Vendas[[#This Row],[Qnt Vendida]]</f>
        <v>1190</v>
      </c>
      <c r="J1289" s="3">
        <f>Vendas[[#This Row],[Valor da Venda]]-(_xlfn.XLOOKUP(Vendas[[#This Row],[ID Item Vendido]],Agregado[ID],Agregado[Custo])*Vendas[[#This Row],[Qnt Vendida]])</f>
        <v>240</v>
      </c>
      <c r="K1289" s="70">
        <f>Vendas[[#This Row],[Lucro da Venda]]/Vendas[[#This Row],[Valor da Venda]]</f>
        <v>0.20168067226890757</v>
      </c>
      <c r="L1289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289"/>
    </row>
    <row r="1290" spans="1:13" x14ac:dyDescent="0.3">
      <c r="A1290" s="7">
        <v>400247</v>
      </c>
      <c r="B1290" t="str">
        <f>_xlfn.XLOOKUP(Vendas[[#This Row],[ID Vendedor]],Vendedores[ID],Vendedores[Nome])</f>
        <v>André</v>
      </c>
      <c r="C1290" s="7" t="str">
        <f>_xlfn.XLOOKUP(Vendas[[#This Row],[ID Vendedor]],Vendedores[ID],Vendedores[Setor])</f>
        <v>CM</v>
      </c>
      <c r="D1290" s="7" t="s">
        <v>34</v>
      </c>
      <c r="E1290" t="str">
        <f>_xlfn.XLOOKUP(Vendas[[#This Row],[ID Item Vendido]],Agregado[ID],Agregado[Produto])</f>
        <v>Restos de madeira p/ MDP/OSB saco de 20kg</v>
      </c>
      <c r="F1290" s="39">
        <v>44489</v>
      </c>
      <c r="G1290" s="7">
        <v>17</v>
      </c>
      <c r="H1290" s="3">
        <f>_xlfn.XLOOKUP(Vendas[[#This Row],[ID Item Vendido]],Agregado[ID],Agregado[Revenda])</f>
        <v>13.8</v>
      </c>
      <c r="I1290" s="3">
        <f>Vendas[[#This Row],[Valor Unitário]]*Vendas[[#This Row],[Qnt Vendida]]</f>
        <v>234.60000000000002</v>
      </c>
      <c r="J1290" s="3">
        <f>Vendas[[#This Row],[Valor da Venda]]-(_xlfn.XLOOKUP(Vendas[[#This Row],[ID Item Vendido]],Agregado[ID],Agregado[Custo])*Vendas[[#This Row],[Qnt Vendida]])</f>
        <v>30.600000000000023</v>
      </c>
      <c r="K1290" s="70">
        <f>Vendas[[#This Row],[Lucro da Venda]]/Vendas[[#This Row],[Valor da Venda]]</f>
        <v>0.13043478260869573</v>
      </c>
      <c r="L1290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1290"/>
    </row>
    <row r="1291" spans="1:13" x14ac:dyDescent="0.3">
      <c r="A1291" s="7">
        <v>400253</v>
      </c>
      <c r="B1291" t="str">
        <f>_xlfn.XLOOKUP(Vendas[[#This Row],[ID Vendedor]],Vendedores[ID],Vendedores[Nome])</f>
        <v>Gustavo</v>
      </c>
      <c r="C1291" s="7" t="str">
        <f>_xlfn.XLOOKUP(Vendas[[#This Row],[ID Vendedor]],Vendedores[ID],Vendedores[Setor])</f>
        <v>SC</v>
      </c>
      <c r="D1291" s="7" t="s">
        <v>42</v>
      </c>
      <c r="E1291" t="str">
        <f>_xlfn.XLOOKUP(Vendas[[#This Row],[ID Item Vendido]],Agregado[ID],Agregado[Produto])</f>
        <v>Container de ferro industrial</v>
      </c>
      <c r="F1291" s="39">
        <v>44490</v>
      </c>
      <c r="G1291" s="7">
        <v>1</v>
      </c>
      <c r="H1291" s="3">
        <f>_xlfn.XLOOKUP(Vendas[[#This Row],[ID Item Vendido]],Agregado[ID],Agregado[Revenda])</f>
        <v>830</v>
      </c>
      <c r="I1291" s="3">
        <f>Vendas[[#This Row],[Valor Unitário]]*Vendas[[#This Row],[Qnt Vendida]]</f>
        <v>830</v>
      </c>
      <c r="J1291" s="3">
        <f>Vendas[[#This Row],[Valor da Venda]]-(_xlfn.XLOOKUP(Vendas[[#This Row],[ID Item Vendido]],Agregado[ID],Agregado[Custo])*Vendas[[#This Row],[Qnt Vendida]])</f>
        <v>150</v>
      </c>
      <c r="K1291" s="70">
        <f>Vendas[[#This Row],[Lucro da Venda]]/Vendas[[#This Row],[Valor da Venda]]</f>
        <v>0.18072289156626506</v>
      </c>
      <c r="L1291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291"/>
    </row>
    <row r="1292" spans="1:13" x14ac:dyDescent="0.3">
      <c r="A1292" s="7">
        <v>400248</v>
      </c>
      <c r="B1292" t="str">
        <f>_xlfn.XLOOKUP(Vendas[[#This Row],[ID Vendedor]],Vendedores[ID],Vendedores[Nome])</f>
        <v>Patrícia</v>
      </c>
      <c r="C1292" s="7" t="str">
        <f>_xlfn.XLOOKUP(Vendas[[#This Row],[ID Vendedor]],Vendedores[ID],Vendedores[Setor])</f>
        <v>CM</v>
      </c>
      <c r="D1292" s="7" t="s">
        <v>45</v>
      </c>
      <c r="E1292" t="str">
        <f>_xlfn.XLOOKUP(Vendas[[#This Row],[ID Item Vendido]],Agregado[ID],Agregado[Produto])</f>
        <v>Viga de madeira tratada 4m</v>
      </c>
      <c r="F1292" s="39">
        <v>44491</v>
      </c>
      <c r="G1292" s="7">
        <v>8</v>
      </c>
      <c r="H1292" s="3">
        <f>_xlfn.XLOOKUP(Vendas[[#This Row],[ID Item Vendido]],Agregado[ID],Agregado[Revenda])</f>
        <v>66</v>
      </c>
      <c r="I1292" s="3">
        <f>Vendas[[#This Row],[Valor Unitário]]*Vendas[[#This Row],[Qnt Vendida]]</f>
        <v>528</v>
      </c>
      <c r="J1292" s="3">
        <f>Vendas[[#This Row],[Valor da Venda]]-(_xlfn.XLOOKUP(Vendas[[#This Row],[ID Item Vendido]],Agregado[ID],Agregado[Custo])*Vendas[[#This Row],[Qnt Vendida]])</f>
        <v>88</v>
      </c>
      <c r="K1292" s="70">
        <f>Vendas[[#This Row],[Lucro da Venda]]/Vendas[[#This Row],[Valor da Venda]]</f>
        <v>0.16666666666666666</v>
      </c>
      <c r="L1292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1292"/>
    </row>
    <row r="1293" spans="1:13" x14ac:dyDescent="0.3">
      <c r="A1293" s="7">
        <v>400244</v>
      </c>
      <c r="B1293" t="str">
        <f>_xlfn.XLOOKUP(Vendas[[#This Row],[ID Vendedor]],Vendedores[ID],Vendedores[Nome])</f>
        <v>Camila</v>
      </c>
      <c r="C1293" s="7" t="str">
        <f>_xlfn.XLOOKUP(Vendas[[#This Row],[ID Vendedor]],Vendedores[ID],Vendedores[Setor])</f>
        <v>AHD</v>
      </c>
      <c r="D1293" s="7" t="s">
        <v>28</v>
      </c>
      <c r="E1293" t="str">
        <f>_xlfn.XLOOKUP(Vendas[[#This Row],[ID Item Vendido]],Agregado[ID],Agregado[Produto])</f>
        <v>Peça usinada CNC</v>
      </c>
      <c r="F1293" s="39">
        <v>44492</v>
      </c>
      <c r="G1293" s="7">
        <v>6</v>
      </c>
      <c r="H1293" s="3">
        <f>_xlfn.XLOOKUP(Vendas[[#This Row],[ID Item Vendido]],Agregado[ID],Agregado[Revenda])</f>
        <v>192</v>
      </c>
      <c r="I1293" s="3">
        <f>Vendas[[#This Row],[Valor Unitário]]*Vendas[[#This Row],[Qnt Vendida]]</f>
        <v>1152</v>
      </c>
      <c r="J1293" s="3">
        <f>Vendas[[#This Row],[Valor da Venda]]-(_xlfn.XLOOKUP(Vendas[[#This Row],[ID Item Vendido]],Agregado[ID],Agregado[Custo])*Vendas[[#This Row],[Qnt Vendida]])</f>
        <v>252</v>
      </c>
      <c r="K1293" s="70">
        <f>Vendas[[#This Row],[Lucro da Venda]]/Vendas[[#This Row],[Valor da Venda]]</f>
        <v>0.21875</v>
      </c>
      <c r="L1293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1293"/>
    </row>
    <row r="1294" spans="1:13" x14ac:dyDescent="0.3">
      <c r="A1294" s="7">
        <v>400245</v>
      </c>
      <c r="B1294" t="str">
        <f>_xlfn.XLOOKUP(Vendas[[#This Row],[ID Vendedor]],Vendedores[ID],Vendedores[Nome])</f>
        <v>Thiago</v>
      </c>
      <c r="C1294" s="7" t="str">
        <f>_xlfn.XLOOKUP(Vendas[[#This Row],[ID Vendedor]],Vendedores[ID],Vendedores[Setor])</f>
        <v>AHD</v>
      </c>
      <c r="D1294" s="7" t="s">
        <v>28</v>
      </c>
      <c r="E1294" t="str">
        <f>_xlfn.XLOOKUP(Vendas[[#This Row],[ID Item Vendido]],Agregado[ID],Agregado[Produto])</f>
        <v>Peça usinada CNC</v>
      </c>
      <c r="F1294" s="39">
        <v>44493</v>
      </c>
      <c r="G1294" s="7">
        <v>11</v>
      </c>
      <c r="H1294" s="3">
        <f>_xlfn.XLOOKUP(Vendas[[#This Row],[ID Item Vendido]],Agregado[ID],Agregado[Revenda])</f>
        <v>192</v>
      </c>
      <c r="I1294" s="3">
        <f>Vendas[[#This Row],[Valor Unitário]]*Vendas[[#This Row],[Qnt Vendida]]</f>
        <v>2112</v>
      </c>
      <c r="J1294" s="3">
        <f>Vendas[[#This Row],[Valor da Venda]]-(_xlfn.XLOOKUP(Vendas[[#This Row],[ID Item Vendido]],Agregado[ID],Agregado[Custo])*Vendas[[#This Row],[Qnt Vendida]])</f>
        <v>462</v>
      </c>
      <c r="K1294" s="70">
        <f>Vendas[[#This Row],[Lucro da Venda]]/Vendas[[#This Row],[Valor da Venda]]</f>
        <v>0.21875</v>
      </c>
      <c r="L1294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1294"/>
    </row>
    <row r="1295" spans="1:13" x14ac:dyDescent="0.3">
      <c r="A1295" s="7">
        <v>400248</v>
      </c>
      <c r="B1295" t="str">
        <f>_xlfn.XLOOKUP(Vendas[[#This Row],[ID Vendedor]],Vendedores[ID],Vendedores[Nome])</f>
        <v>Patrícia</v>
      </c>
      <c r="C1295" s="7" t="str">
        <f>_xlfn.XLOOKUP(Vendas[[#This Row],[ID Vendedor]],Vendedores[ID],Vendedores[Setor])</f>
        <v>CM</v>
      </c>
      <c r="D1295" s="7" t="s">
        <v>43</v>
      </c>
      <c r="E1295" t="str">
        <f>_xlfn.XLOOKUP(Vendas[[#This Row],[ID Item Vendido]],Agregado[ID],Agregado[Produto])</f>
        <v>Madeira Bruta (Tora)</v>
      </c>
      <c r="F1295" s="39">
        <v>44493</v>
      </c>
      <c r="G1295" s="7">
        <v>8</v>
      </c>
      <c r="H1295" s="3">
        <f>_xlfn.XLOOKUP(Vendas[[#This Row],[ID Item Vendido]],Agregado[ID],Agregado[Revenda])</f>
        <v>212</v>
      </c>
      <c r="I1295" s="3">
        <f>Vendas[[#This Row],[Valor Unitário]]*Vendas[[#This Row],[Qnt Vendida]]</f>
        <v>1696</v>
      </c>
      <c r="J1295" s="3">
        <f>Vendas[[#This Row],[Valor da Venda]]-(_xlfn.XLOOKUP(Vendas[[#This Row],[ID Item Vendido]],Agregado[ID],Agregado[Custo])*Vendas[[#This Row],[Qnt Vendida]])</f>
        <v>256</v>
      </c>
      <c r="K1295" s="70">
        <f>Vendas[[#This Row],[Lucro da Venda]]/Vendas[[#This Row],[Valor da Venda]]</f>
        <v>0.15094339622641509</v>
      </c>
      <c r="L1295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1295"/>
    </row>
    <row r="1296" spans="1:13" x14ac:dyDescent="0.3">
      <c r="A1296" s="7">
        <v>400244</v>
      </c>
      <c r="B1296" t="str">
        <f>_xlfn.XLOOKUP(Vendas[[#This Row],[ID Vendedor]],Vendedores[ID],Vendedores[Nome])</f>
        <v>Camila</v>
      </c>
      <c r="C1296" s="7" t="str">
        <f>_xlfn.XLOOKUP(Vendas[[#This Row],[ID Vendedor]],Vendedores[ID],Vendedores[Setor])</f>
        <v>AHD</v>
      </c>
      <c r="D1296" s="7" t="s">
        <v>28</v>
      </c>
      <c r="E1296" t="str">
        <f>_xlfn.XLOOKUP(Vendas[[#This Row],[ID Item Vendido]],Agregado[ID],Agregado[Produto])</f>
        <v>Peça usinada CNC</v>
      </c>
      <c r="F1296" s="39">
        <v>44493</v>
      </c>
      <c r="G1296" s="7">
        <v>8</v>
      </c>
      <c r="H1296" s="3">
        <f>_xlfn.XLOOKUP(Vendas[[#This Row],[ID Item Vendido]],Agregado[ID],Agregado[Revenda])</f>
        <v>192</v>
      </c>
      <c r="I1296" s="3">
        <f>Vendas[[#This Row],[Valor Unitário]]*Vendas[[#This Row],[Qnt Vendida]]</f>
        <v>1536</v>
      </c>
      <c r="J1296" s="3">
        <f>Vendas[[#This Row],[Valor da Venda]]-(_xlfn.XLOOKUP(Vendas[[#This Row],[ID Item Vendido]],Agregado[ID],Agregado[Custo])*Vendas[[#This Row],[Qnt Vendida]])</f>
        <v>336</v>
      </c>
      <c r="K1296" s="70">
        <f>Vendas[[#This Row],[Lucro da Venda]]/Vendas[[#This Row],[Valor da Venda]]</f>
        <v>0.21875</v>
      </c>
      <c r="L1296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1296"/>
    </row>
    <row r="1297" spans="1:13" x14ac:dyDescent="0.3">
      <c r="A1297" s="7">
        <v>400244</v>
      </c>
      <c r="B1297" t="str">
        <f>_xlfn.XLOOKUP(Vendas[[#This Row],[ID Vendedor]],Vendedores[ID],Vendedores[Nome])</f>
        <v>Camila</v>
      </c>
      <c r="C1297" s="7" t="str">
        <f>_xlfn.XLOOKUP(Vendas[[#This Row],[ID Vendedor]],Vendedores[ID],Vendedores[Setor])</f>
        <v>AHD</v>
      </c>
      <c r="D1297" s="7" t="s">
        <v>9</v>
      </c>
      <c r="E1297" t="str">
        <f>_xlfn.XLOOKUP(Vendas[[#This Row],[ID Item Vendido]],Agregado[ID],Agregado[Produto])</f>
        <v>Barra de aço simples</v>
      </c>
      <c r="F1297" s="39">
        <v>44493</v>
      </c>
      <c r="G1297" s="7">
        <v>47</v>
      </c>
      <c r="H1297" s="3">
        <f>_xlfn.XLOOKUP(Vendas[[#This Row],[ID Item Vendido]],Agregado[ID],Agregado[Revenda])</f>
        <v>6.7</v>
      </c>
      <c r="I1297" s="3">
        <f>Vendas[[#This Row],[Valor Unitário]]*Vendas[[#This Row],[Qnt Vendida]]</f>
        <v>314.90000000000003</v>
      </c>
      <c r="J1297" s="3">
        <f>Vendas[[#This Row],[Valor da Venda]]-(_xlfn.XLOOKUP(Vendas[[#This Row],[ID Item Vendido]],Agregado[ID],Agregado[Custo])*Vendas[[#This Row],[Qnt Vendida]])</f>
        <v>42.300000000000068</v>
      </c>
      <c r="K1297" s="70">
        <f>Vendas[[#This Row],[Lucro da Venda]]/Vendas[[#This Row],[Valor da Venda]]</f>
        <v>0.13432835820895542</v>
      </c>
      <c r="L1297" s="3">
        <f>_xlfn.IFS(Vendas[[#This Row],[Margem de Lucro (%)]]&lt;15%,Vendas[[#This Row],[Valor da Venda]]*3%,Vendas[[#This Row],[Margem de Lucro (%)]]&lt;=20%,Vendas[[#This Row],[Valor da Venda]]*4.5%,TRUE,Vendas[[#This Row],[Valor da Venda]]*6%)</f>
        <v>9.447000000000001</v>
      </c>
      <c r="M1297"/>
    </row>
    <row r="1298" spans="1:13" x14ac:dyDescent="0.3">
      <c r="A1298" s="7">
        <v>400251</v>
      </c>
      <c r="B1298" t="str">
        <f>_xlfn.XLOOKUP(Vendas[[#This Row],[ID Vendedor]],Vendedores[ID],Vendedores[Nome])</f>
        <v>Diego</v>
      </c>
      <c r="C1298" s="7" t="str">
        <f>_xlfn.XLOOKUP(Vendas[[#This Row],[ID Vendedor]],Vendedores[ID],Vendedores[Setor])</f>
        <v>AB</v>
      </c>
      <c r="D1298" s="7" t="s">
        <v>39</v>
      </c>
      <c r="E1298" t="str">
        <f>_xlfn.XLOOKUP(Vendas[[#This Row],[ID Item Vendido]],Agregado[ID],Agregado[Produto])</f>
        <v>Filme plástico industrial rolo 50m</v>
      </c>
      <c r="F1298" s="39">
        <v>44493</v>
      </c>
      <c r="G1298" s="7">
        <v>8</v>
      </c>
      <c r="H1298" s="3">
        <f>_xlfn.XLOOKUP(Vendas[[#This Row],[ID Item Vendido]],Agregado[ID],Agregado[Revenda])</f>
        <v>37</v>
      </c>
      <c r="I1298" s="3">
        <f>Vendas[[#This Row],[Valor Unitário]]*Vendas[[#This Row],[Qnt Vendida]]</f>
        <v>296</v>
      </c>
      <c r="J1298" s="3">
        <f>Vendas[[#This Row],[Valor da Venda]]-(_xlfn.XLOOKUP(Vendas[[#This Row],[ID Item Vendido]],Agregado[ID],Agregado[Custo])*Vendas[[#This Row],[Qnt Vendida]])</f>
        <v>72</v>
      </c>
      <c r="K1298" s="70">
        <f>Vendas[[#This Row],[Lucro da Venda]]/Vendas[[#This Row],[Valor da Venda]]</f>
        <v>0.24324324324324326</v>
      </c>
      <c r="L1298" s="3">
        <f>_xlfn.IFS(Vendas[[#This Row],[Margem de Lucro (%)]]&lt;15%,Vendas[[#This Row],[Valor da Venda]]*3%,Vendas[[#This Row],[Margem de Lucro (%)]]&lt;=20%,Vendas[[#This Row],[Valor da Venda]]*4.5%,TRUE,Vendas[[#This Row],[Valor da Venda]]*6%)</f>
        <v>17.759999999999998</v>
      </c>
      <c r="M1298"/>
    </row>
    <row r="1299" spans="1:13" x14ac:dyDescent="0.3">
      <c r="A1299" s="7">
        <v>400244</v>
      </c>
      <c r="B1299" t="str">
        <f>_xlfn.XLOOKUP(Vendas[[#This Row],[ID Vendedor]],Vendedores[ID],Vendedores[Nome])</f>
        <v>Camila</v>
      </c>
      <c r="C1299" s="7" t="str">
        <f>_xlfn.XLOOKUP(Vendas[[#This Row],[ID Vendedor]],Vendedores[ID],Vendedores[Setor])</f>
        <v>AHD</v>
      </c>
      <c r="D1299" s="7" t="s">
        <v>9</v>
      </c>
      <c r="E1299" t="str">
        <f>_xlfn.XLOOKUP(Vendas[[#This Row],[ID Item Vendido]],Agregado[ID],Agregado[Produto])</f>
        <v>Barra de aço simples</v>
      </c>
      <c r="F1299" s="39">
        <v>44493</v>
      </c>
      <c r="G1299" s="7">
        <v>25</v>
      </c>
      <c r="H1299" s="3">
        <f>_xlfn.XLOOKUP(Vendas[[#This Row],[ID Item Vendido]],Agregado[ID],Agregado[Revenda])</f>
        <v>6.7</v>
      </c>
      <c r="I1299" s="3">
        <f>Vendas[[#This Row],[Valor Unitário]]*Vendas[[#This Row],[Qnt Vendida]]</f>
        <v>167.5</v>
      </c>
      <c r="J1299" s="3">
        <f>Vendas[[#This Row],[Valor da Venda]]-(_xlfn.XLOOKUP(Vendas[[#This Row],[ID Item Vendido]],Agregado[ID],Agregado[Custo])*Vendas[[#This Row],[Qnt Vendida]])</f>
        <v>22.5</v>
      </c>
      <c r="K1299" s="70">
        <f>Vendas[[#This Row],[Lucro da Venda]]/Vendas[[#This Row],[Valor da Venda]]</f>
        <v>0.13432835820895522</v>
      </c>
      <c r="L1299" s="3">
        <f>_xlfn.IFS(Vendas[[#This Row],[Margem de Lucro (%)]]&lt;15%,Vendas[[#This Row],[Valor da Venda]]*3%,Vendas[[#This Row],[Margem de Lucro (%)]]&lt;=20%,Vendas[[#This Row],[Valor da Venda]]*4.5%,TRUE,Vendas[[#This Row],[Valor da Venda]]*6%)</f>
        <v>5.0249999999999995</v>
      </c>
      <c r="M1299"/>
    </row>
    <row r="1300" spans="1:13" x14ac:dyDescent="0.3">
      <c r="A1300" s="7">
        <v>400250</v>
      </c>
      <c r="B1300" t="str">
        <f>_xlfn.XLOOKUP(Vendas[[#This Row],[ID Vendedor]],Vendedores[ID],Vendedores[Nome])</f>
        <v>Larissa</v>
      </c>
      <c r="C1300" s="7" t="str">
        <f>_xlfn.XLOOKUP(Vendas[[#This Row],[ID Vendedor]],Vendedores[ID],Vendedores[Setor])</f>
        <v>AB</v>
      </c>
      <c r="D1300" s="7" t="s">
        <v>37</v>
      </c>
      <c r="E1300" t="str">
        <f>_xlfn.XLOOKUP(Vendas[[#This Row],[ID Item Vendido]],Agregado[ID],Agregado[Produto])</f>
        <v>Composto de borracha para vedação rolo 10m</v>
      </c>
      <c r="F1300" s="39">
        <v>44494</v>
      </c>
      <c r="G1300" s="7">
        <v>3</v>
      </c>
      <c r="H1300" s="3">
        <f>_xlfn.XLOOKUP(Vendas[[#This Row],[ID Item Vendido]],Agregado[ID],Agregado[Revenda])</f>
        <v>51.2</v>
      </c>
      <c r="I1300" s="3">
        <f>Vendas[[#This Row],[Valor Unitário]]*Vendas[[#This Row],[Qnt Vendida]]</f>
        <v>153.60000000000002</v>
      </c>
      <c r="J1300" s="3">
        <f>Vendas[[#This Row],[Valor da Venda]]-(_xlfn.XLOOKUP(Vendas[[#This Row],[ID Item Vendido]],Agregado[ID],Agregado[Custo])*Vendas[[#This Row],[Qnt Vendida]])</f>
        <v>33.600000000000023</v>
      </c>
      <c r="K1300" s="70">
        <f>Vendas[[#This Row],[Lucro da Venda]]/Vendas[[#This Row],[Valor da Venda]]</f>
        <v>0.21875000000000011</v>
      </c>
      <c r="L1300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1300"/>
    </row>
    <row r="1301" spans="1:13" x14ac:dyDescent="0.3">
      <c r="A1301" s="7">
        <v>400249</v>
      </c>
      <c r="B1301" t="str">
        <f>_xlfn.XLOOKUP(Vendas[[#This Row],[ID Vendedor]],Vendedores[ID],Vendedores[Nome])</f>
        <v>Bruno</v>
      </c>
      <c r="C1301" s="7" t="str">
        <f>_xlfn.XLOOKUP(Vendas[[#This Row],[ID Vendedor]],Vendedores[ID],Vendedores[Setor])</f>
        <v>CM</v>
      </c>
      <c r="D1301" s="7" t="s">
        <v>32</v>
      </c>
      <c r="E1301" t="str">
        <f>_xlfn.XLOOKUP(Vendas[[#This Row],[ID Item Vendido]],Agregado[ID],Agregado[Produto])</f>
        <v>Tábua tratada e cortada 3m</v>
      </c>
      <c r="F1301" s="39">
        <v>44495</v>
      </c>
      <c r="G1301" s="7">
        <v>20</v>
      </c>
      <c r="H1301" s="3">
        <f>_xlfn.XLOOKUP(Vendas[[#This Row],[ID Item Vendido]],Agregado[ID],Agregado[Revenda])</f>
        <v>39</v>
      </c>
      <c r="I1301" s="3">
        <f>Vendas[[#This Row],[Valor Unitário]]*Vendas[[#This Row],[Qnt Vendida]]</f>
        <v>780</v>
      </c>
      <c r="J1301" s="3">
        <f>Vendas[[#This Row],[Valor da Venda]]-(_xlfn.XLOOKUP(Vendas[[#This Row],[ID Item Vendido]],Agregado[ID],Agregado[Custo])*Vendas[[#This Row],[Qnt Vendida]])</f>
        <v>140</v>
      </c>
      <c r="K1301" s="70">
        <f>Vendas[[#This Row],[Lucro da Venda]]/Vendas[[#This Row],[Valor da Venda]]</f>
        <v>0.17948717948717949</v>
      </c>
      <c r="L1301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1301"/>
    </row>
    <row r="1302" spans="1:13" x14ac:dyDescent="0.3">
      <c r="A1302" s="7">
        <v>400243</v>
      </c>
      <c r="B1302" t="str">
        <f>_xlfn.XLOOKUP(Vendas[[#This Row],[ID Vendedor]],Vendedores[ID],Vendedores[Nome])</f>
        <v>Marcelo</v>
      </c>
      <c r="C1302" s="7" t="str">
        <f>_xlfn.XLOOKUP(Vendas[[#This Row],[ID Vendedor]],Vendedores[ID],Vendedores[Setor])</f>
        <v>FM</v>
      </c>
      <c r="D1302" s="7" t="s">
        <v>47</v>
      </c>
      <c r="E1302" t="str">
        <f>_xlfn.XLOOKUP(Vendas[[#This Row],[ID Item Vendido]],Agregado[ID],Agregado[Produto])</f>
        <v>Fio de arame galvanizado rolo 50m</v>
      </c>
      <c r="F1302" s="39">
        <v>44495</v>
      </c>
      <c r="G1302" s="7">
        <v>25</v>
      </c>
      <c r="H1302" s="3">
        <f>_xlfn.XLOOKUP(Vendas[[#This Row],[ID Item Vendido]],Agregado[ID],Agregado[Revenda])</f>
        <v>21.2</v>
      </c>
      <c r="I1302" s="3">
        <f>Vendas[[#This Row],[Valor Unitário]]*Vendas[[#This Row],[Qnt Vendida]]</f>
        <v>530</v>
      </c>
      <c r="J1302" s="3">
        <f>Vendas[[#This Row],[Valor da Venda]]-(_xlfn.XLOOKUP(Vendas[[#This Row],[ID Item Vendido]],Agregado[ID],Agregado[Custo])*Vendas[[#This Row],[Qnt Vendida]])</f>
        <v>80</v>
      </c>
      <c r="K1302" s="70">
        <f>Vendas[[#This Row],[Lucro da Venda]]/Vendas[[#This Row],[Valor da Venda]]</f>
        <v>0.15094339622641509</v>
      </c>
      <c r="L1302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1302"/>
    </row>
    <row r="1303" spans="1:13" x14ac:dyDescent="0.3">
      <c r="A1303" s="7">
        <v>400248</v>
      </c>
      <c r="B1303" t="str">
        <f>_xlfn.XLOOKUP(Vendas[[#This Row],[ID Vendedor]],Vendedores[ID],Vendedores[Nome])</f>
        <v>Patrícia</v>
      </c>
      <c r="C1303" s="7" t="str">
        <f>_xlfn.XLOOKUP(Vendas[[#This Row],[ID Vendedor]],Vendedores[ID],Vendedores[Setor])</f>
        <v>CM</v>
      </c>
      <c r="D1303" s="7" t="s">
        <v>22</v>
      </c>
      <c r="E1303" t="str">
        <f>_xlfn.XLOOKUP(Vendas[[#This Row],[ID Item Vendido]],Agregado[ID],Agregado[Produto])</f>
        <v>Painel MDP 2,75x1,83m</v>
      </c>
      <c r="F1303" s="39">
        <v>44496</v>
      </c>
      <c r="G1303" s="7">
        <v>13</v>
      </c>
      <c r="H1303" s="3">
        <f>_xlfn.XLOOKUP(Vendas[[#This Row],[ID Item Vendido]],Agregado[ID],Agregado[Revenda])</f>
        <v>119</v>
      </c>
      <c r="I1303" s="3">
        <f>Vendas[[#This Row],[Valor Unitário]]*Vendas[[#This Row],[Qnt Vendida]]</f>
        <v>1547</v>
      </c>
      <c r="J1303" s="3">
        <f>Vendas[[#This Row],[Valor da Venda]]-(_xlfn.XLOOKUP(Vendas[[#This Row],[ID Item Vendido]],Agregado[ID],Agregado[Custo])*Vendas[[#This Row],[Qnt Vendida]])</f>
        <v>312</v>
      </c>
      <c r="K1303" s="70">
        <f>Vendas[[#This Row],[Lucro da Venda]]/Vendas[[#This Row],[Valor da Venda]]</f>
        <v>0.20168067226890757</v>
      </c>
      <c r="L1303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1303"/>
    </row>
    <row r="1304" spans="1:13" x14ac:dyDescent="0.3">
      <c r="A1304" s="7">
        <v>400250</v>
      </c>
      <c r="B1304" t="str">
        <f>_xlfn.XLOOKUP(Vendas[[#This Row],[ID Vendedor]],Vendedores[ID],Vendedores[Nome])</f>
        <v>Larissa</v>
      </c>
      <c r="C1304" s="7" t="str">
        <f>_xlfn.XLOOKUP(Vendas[[#This Row],[ID Vendedor]],Vendedores[ID],Vendedores[Setor])</f>
        <v>AB</v>
      </c>
      <c r="D1304" s="7" t="s">
        <v>39</v>
      </c>
      <c r="E1304" t="str">
        <f>_xlfn.XLOOKUP(Vendas[[#This Row],[ID Item Vendido]],Agregado[ID],Agregado[Produto])</f>
        <v>Filme plástico industrial rolo 50m</v>
      </c>
      <c r="F1304" s="39">
        <v>44496</v>
      </c>
      <c r="G1304" s="7">
        <v>27</v>
      </c>
      <c r="H1304" s="3">
        <f>_xlfn.XLOOKUP(Vendas[[#This Row],[ID Item Vendido]],Agregado[ID],Agregado[Revenda])</f>
        <v>37</v>
      </c>
      <c r="I1304" s="3">
        <f>Vendas[[#This Row],[Valor Unitário]]*Vendas[[#This Row],[Qnt Vendida]]</f>
        <v>999</v>
      </c>
      <c r="J1304" s="3">
        <f>Vendas[[#This Row],[Valor da Venda]]-(_xlfn.XLOOKUP(Vendas[[#This Row],[ID Item Vendido]],Agregado[ID],Agregado[Custo])*Vendas[[#This Row],[Qnt Vendida]])</f>
        <v>243</v>
      </c>
      <c r="K1304" s="70">
        <f>Vendas[[#This Row],[Lucro da Venda]]/Vendas[[#This Row],[Valor da Venda]]</f>
        <v>0.24324324324324326</v>
      </c>
      <c r="L1304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1304"/>
    </row>
    <row r="1305" spans="1:13" x14ac:dyDescent="0.3">
      <c r="A1305" s="7">
        <v>400251</v>
      </c>
      <c r="B1305" t="str">
        <f>_xlfn.XLOOKUP(Vendas[[#This Row],[ID Vendedor]],Vendedores[ID],Vendedores[Nome])</f>
        <v>Diego</v>
      </c>
      <c r="C1305" s="7" t="str">
        <f>_xlfn.XLOOKUP(Vendas[[#This Row],[ID Vendedor]],Vendedores[ID],Vendedores[Setor])</f>
        <v>AB</v>
      </c>
      <c r="D1305" s="7" t="s">
        <v>37</v>
      </c>
      <c r="E1305" t="str">
        <f>_xlfn.XLOOKUP(Vendas[[#This Row],[ID Item Vendido]],Agregado[ID],Agregado[Produto])</f>
        <v>Composto de borracha para vedação rolo 10m</v>
      </c>
      <c r="F1305" s="39">
        <v>44496</v>
      </c>
      <c r="G1305" s="7">
        <v>19</v>
      </c>
      <c r="H1305" s="3">
        <f>_xlfn.XLOOKUP(Vendas[[#This Row],[ID Item Vendido]],Agregado[ID],Agregado[Revenda])</f>
        <v>51.2</v>
      </c>
      <c r="I1305" s="3">
        <f>Vendas[[#This Row],[Valor Unitário]]*Vendas[[#This Row],[Qnt Vendida]]</f>
        <v>972.80000000000007</v>
      </c>
      <c r="J1305" s="3">
        <f>Vendas[[#This Row],[Valor da Venda]]-(_xlfn.XLOOKUP(Vendas[[#This Row],[ID Item Vendido]],Agregado[ID],Agregado[Custo])*Vendas[[#This Row],[Qnt Vendida]])</f>
        <v>212.80000000000007</v>
      </c>
      <c r="K1305" s="70">
        <f>Vendas[[#This Row],[Lucro da Venda]]/Vendas[[#This Row],[Valor da Venda]]</f>
        <v>0.21875000000000006</v>
      </c>
      <c r="L1305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1305"/>
    </row>
    <row r="1306" spans="1:13" x14ac:dyDescent="0.3">
      <c r="A1306" s="7">
        <v>400243</v>
      </c>
      <c r="B1306" t="str">
        <f>_xlfn.XLOOKUP(Vendas[[#This Row],[ID Vendedor]],Vendedores[ID],Vendedores[Nome])</f>
        <v>Marcelo</v>
      </c>
      <c r="C1306" s="7" t="str">
        <f>_xlfn.XLOOKUP(Vendas[[#This Row],[ID Vendedor]],Vendedores[ID],Vendedores[Setor])</f>
        <v>FM</v>
      </c>
      <c r="D1306" s="7" t="s">
        <v>6</v>
      </c>
      <c r="E1306" t="str">
        <f>_xlfn.XLOOKUP(Vendas[[#This Row],[ID Item Vendido]],Agregado[ID],Agregado[Produto])</f>
        <v>Parafuso comum 500un</v>
      </c>
      <c r="F1306" s="39">
        <v>44496</v>
      </c>
      <c r="G1306" s="7">
        <v>22</v>
      </c>
      <c r="H1306" s="3">
        <f>_xlfn.XLOOKUP(Vendas[[#This Row],[ID Item Vendido]],Agregado[ID],Agregado[Revenda])</f>
        <v>24.6</v>
      </c>
      <c r="I1306" s="3">
        <f>Vendas[[#This Row],[Valor Unitário]]*Vendas[[#This Row],[Qnt Vendida]]</f>
        <v>541.20000000000005</v>
      </c>
      <c r="J1306" s="3">
        <f>Vendas[[#This Row],[Valor da Venda]]-(_xlfn.XLOOKUP(Vendas[[#This Row],[ID Item Vendido]],Agregado[ID],Agregado[Custo])*Vendas[[#This Row],[Qnt Vendida]])</f>
        <v>57.200000000000045</v>
      </c>
      <c r="K1306" s="70">
        <f>Vendas[[#This Row],[Lucro da Venda]]/Vendas[[#This Row],[Valor da Venda]]</f>
        <v>0.10569105691056918</v>
      </c>
      <c r="L1306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1306"/>
    </row>
    <row r="1307" spans="1:13" x14ac:dyDescent="0.3">
      <c r="A1307" s="7">
        <v>400248</v>
      </c>
      <c r="B1307" t="str">
        <f>_xlfn.XLOOKUP(Vendas[[#This Row],[ID Vendedor]],Vendedores[ID],Vendedores[Nome])</f>
        <v>Patrícia</v>
      </c>
      <c r="C1307" s="7" t="str">
        <f>_xlfn.XLOOKUP(Vendas[[#This Row],[ID Vendedor]],Vendedores[ID],Vendedores[Setor])</f>
        <v>CM</v>
      </c>
      <c r="D1307" s="7" t="s">
        <v>32</v>
      </c>
      <c r="E1307" t="str">
        <f>_xlfn.XLOOKUP(Vendas[[#This Row],[ID Item Vendido]],Agregado[ID],Agregado[Produto])</f>
        <v>Tábua tratada e cortada 3m</v>
      </c>
      <c r="F1307" s="39">
        <v>44496</v>
      </c>
      <c r="G1307" s="7">
        <v>7</v>
      </c>
      <c r="H1307" s="3">
        <f>_xlfn.XLOOKUP(Vendas[[#This Row],[ID Item Vendido]],Agregado[ID],Agregado[Revenda])</f>
        <v>39</v>
      </c>
      <c r="I1307" s="3">
        <f>Vendas[[#This Row],[Valor Unitário]]*Vendas[[#This Row],[Qnt Vendida]]</f>
        <v>273</v>
      </c>
      <c r="J1307" s="3">
        <f>Vendas[[#This Row],[Valor da Venda]]-(_xlfn.XLOOKUP(Vendas[[#This Row],[ID Item Vendido]],Agregado[ID],Agregado[Custo])*Vendas[[#This Row],[Qnt Vendida]])</f>
        <v>49</v>
      </c>
      <c r="K1307" s="70">
        <f>Vendas[[#This Row],[Lucro da Venda]]/Vendas[[#This Row],[Valor da Venda]]</f>
        <v>0.17948717948717949</v>
      </c>
      <c r="L1307" s="3">
        <f>_xlfn.IFS(Vendas[[#This Row],[Margem de Lucro (%)]]&lt;15%,Vendas[[#This Row],[Valor da Venda]]*3%,Vendas[[#This Row],[Margem de Lucro (%)]]&lt;=20%,Vendas[[#This Row],[Valor da Venda]]*4.5%,TRUE,Vendas[[#This Row],[Valor da Venda]]*6%)</f>
        <v>12.285</v>
      </c>
      <c r="M1307"/>
    </row>
    <row r="1308" spans="1:13" x14ac:dyDescent="0.3">
      <c r="A1308" s="7">
        <v>400250</v>
      </c>
      <c r="B1308" t="str">
        <f>_xlfn.XLOOKUP(Vendas[[#This Row],[ID Vendedor]],Vendedores[ID],Vendedores[Nome])</f>
        <v>Larissa</v>
      </c>
      <c r="C1308" s="7" t="str">
        <f>_xlfn.XLOOKUP(Vendas[[#This Row],[ID Vendedor]],Vendedores[ID],Vendedores[Setor])</f>
        <v>AB</v>
      </c>
      <c r="D1308" s="7" t="s">
        <v>12</v>
      </c>
      <c r="E1308" t="str">
        <f>_xlfn.XLOOKUP(Vendas[[#This Row],[ID Item Vendido]],Agregado[ID],Agregado[Produto])</f>
        <v>Grânulo de plástico reciclado refinado</v>
      </c>
      <c r="F1308" s="39">
        <v>44497</v>
      </c>
      <c r="G1308" s="7">
        <v>134</v>
      </c>
      <c r="H1308" s="3">
        <f>_xlfn.XLOOKUP(Vendas[[#This Row],[ID Item Vendido]],Agregado[ID],Agregado[Revenda])</f>
        <v>4.7</v>
      </c>
      <c r="I1308" s="3">
        <f>Vendas[[#This Row],[Valor Unitário]]*Vendas[[#This Row],[Qnt Vendida]]</f>
        <v>629.80000000000007</v>
      </c>
      <c r="J1308" s="3">
        <f>Vendas[[#This Row],[Valor da Venda]]-(_xlfn.XLOOKUP(Vendas[[#This Row],[ID Item Vendido]],Agregado[ID],Agregado[Custo])*Vendas[[#This Row],[Qnt Vendida]])</f>
        <v>160.80000000000007</v>
      </c>
      <c r="K1308" s="70">
        <f>Vendas[[#This Row],[Lucro da Venda]]/Vendas[[#This Row],[Valor da Venda]]</f>
        <v>0.2553191489361703</v>
      </c>
      <c r="L1308" s="3">
        <f>_xlfn.IFS(Vendas[[#This Row],[Margem de Lucro (%)]]&lt;15%,Vendas[[#This Row],[Valor da Venda]]*3%,Vendas[[#This Row],[Margem de Lucro (%)]]&lt;=20%,Vendas[[#This Row],[Valor da Venda]]*4.5%,TRUE,Vendas[[#This Row],[Valor da Venda]]*6%)</f>
        <v>37.788000000000004</v>
      </c>
      <c r="M1308"/>
    </row>
    <row r="1309" spans="1:13" x14ac:dyDescent="0.3">
      <c r="A1309" s="7">
        <v>400244</v>
      </c>
      <c r="B1309" t="str">
        <f>_xlfn.XLOOKUP(Vendas[[#This Row],[ID Vendedor]],Vendedores[ID],Vendedores[Nome])</f>
        <v>Camila</v>
      </c>
      <c r="C1309" s="7" t="str">
        <f>_xlfn.XLOOKUP(Vendas[[#This Row],[ID Vendedor]],Vendedores[ID],Vendedores[Setor])</f>
        <v>AHD</v>
      </c>
      <c r="D1309" s="7" t="s">
        <v>9</v>
      </c>
      <c r="E1309" t="str">
        <f>_xlfn.XLOOKUP(Vendas[[#This Row],[ID Item Vendido]],Agregado[ID],Agregado[Produto])</f>
        <v>Barra de aço simples</v>
      </c>
      <c r="F1309" s="39">
        <v>44497</v>
      </c>
      <c r="G1309" s="7">
        <v>40</v>
      </c>
      <c r="H1309" s="3">
        <f>_xlfn.XLOOKUP(Vendas[[#This Row],[ID Item Vendido]],Agregado[ID],Agregado[Revenda])</f>
        <v>6.7</v>
      </c>
      <c r="I1309" s="3">
        <f>Vendas[[#This Row],[Valor Unitário]]*Vendas[[#This Row],[Qnt Vendida]]</f>
        <v>268</v>
      </c>
      <c r="J1309" s="3">
        <f>Vendas[[#This Row],[Valor da Venda]]-(_xlfn.XLOOKUP(Vendas[[#This Row],[ID Item Vendido]],Agregado[ID],Agregado[Custo])*Vendas[[#This Row],[Qnt Vendida]])</f>
        <v>36</v>
      </c>
      <c r="K1309" s="70">
        <f>Vendas[[#This Row],[Lucro da Venda]]/Vendas[[#This Row],[Valor da Venda]]</f>
        <v>0.13432835820895522</v>
      </c>
      <c r="L1309" s="3">
        <f>_xlfn.IFS(Vendas[[#This Row],[Margem de Lucro (%)]]&lt;15%,Vendas[[#This Row],[Valor da Venda]]*3%,Vendas[[#This Row],[Margem de Lucro (%)]]&lt;=20%,Vendas[[#This Row],[Valor da Venda]]*4.5%,TRUE,Vendas[[#This Row],[Valor da Venda]]*6%)</f>
        <v>8.0399999999999991</v>
      </c>
      <c r="M1309"/>
    </row>
    <row r="1310" spans="1:13" x14ac:dyDescent="0.3">
      <c r="A1310" s="7">
        <v>400253</v>
      </c>
      <c r="B1310" t="str">
        <f>_xlfn.XLOOKUP(Vendas[[#This Row],[ID Vendedor]],Vendedores[ID],Vendedores[Nome])</f>
        <v>Gustavo</v>
      </c>
      <c r="C1310" s="7" t="str">
        <f>_xlfn.XLOOKUP(Vendas[[#This Row],[ID Vendedor]],Vendedores[ID],Vendedores[Setor])</f>
        <v>SC</v>
      </c>
      <c r="D1310" s="7" t="s">
        <v>41</v>
      </c>
      <c r="E1310" t="str">
        <f>_xlfn.XLOOKUP(Vendas[[#This Row],[ID Item Vendido]],Agregado[ID],Agregado[Produto])</f>
        <v>Palete de madeira reforçado</v>
      </c>
      <c r="F1310" s="39">
        <v>44498</v>
      </c>
      <c r="G1310" s="7">
        <v>6</v>
      </c>
      <c r="H1310" s="3">
        <f>_xlfn.XLOOKUP(Vendas[[#This Row],[ID Item Vendido]],Agregado[ID],Agregado[Revenda])</f>
        <v>131</v>
      </c>
      <c r="I1310" s="3">
        <f>Vendas[[#This Row],[Valor Unitário]]*Vendas[[#This Row],[Qnt Vendida]]</f>
        <v>786</v>
      </c>
      <c r="J1310" s="3">
        <f>Vendas[[#This Row],[Valor da Venda]]-(_xlfn.XLOOKUP(Vendas[[#This Row],[ID Item Vendido]],Agregado[ID],Agregado[Custo])*Vendas[[#This Row],[Qnt Vendida]])</f>
        <v>126</v>
      </c>
      <c r="K1310" s="70">
        <f>Vendas[[#This Row],[Lucro da Venda]]/Vendas[[#This Row],[Valor da Venda]]</f>
        <v>0.16030534351145037</v>
      </c>
      <c r="L1310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1310"/>
    </row>
    <row r="1311" spans="1:13" x14ac:dyDescent="0.3">
      <c r="A1311" s="7">
        <v>400248</v>
      </c>
      <c r="B1311" t="str">
        <f>_xlfn.XLOOKUP(Vendas[[#This Row],[ID Vendedor]],Vendedores[ID],Vendedores[Nome])</f>
        <v>Patrícia</v>
      </c>
      <c r="C1311" s="7" t="str">
        <f>_xlfn.XLOOKUP(Vendas[[#This Row],[ID Vendedor]],Vendedores[ID],Vendedores[Setor])</f>
        <v>CM</v>
      </c>
      <c r="D1311" s="7" t="s">
        <v>43</v>
      </c>
      <c r="E1311" t="str">
        <f>_xlfn.XLOOKUP(Vendas[[#This Row],[ID Item Vendido]],Agregado[ID],Agregado[Produto])</f>
        <v>Madeira Bruta (Tora)</v>
      </c>
      <c r="F1311" s="39">
        <v>44498</v>
      </c>
      <c r="G1311" s="7">
        <v>3</v>
      </c>
      <c r="H1311" s="3">
        <f>_xlfn.XLOOKUP(Vendas[[#This Row],[ID Item Vendido]],Agregado[ID],Agregado[Revenda])</f>
        <v>212</v>
      </c>
      <c r="I1311" s="3">
        <f>Vendas[[#This Row],[Valor Unitário]]*Vendas[[#This Row],[Qnt Vendida]]</f>
        <v>636</v>
      </c>
      <c r="J1311" s="3">
        <f>Vendas[[#This Row],[Valor da Venda]]-(_xlfn.XLOOKUP(Vendas[[#This Row],[ID Item Vendido]],Agregado[ID],Agregado[Custo])*Vendas[[#This Row],[Qnt Vendida]])</f>
        <v>96</v>
      </c>
      <c r="K1311" s="70">
        <f>Vendas[[#This Row],[Lucro da Venda]]/Vendas[[#This Row],[Valor da Venda]]</f>
        <v>0.15094339622641509</v>
      </c>
      <c r="L1311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1311"/>
    </row>
    <row r="1312" spans="1:13" x14ac:dyDescent="0.3">
      <c r="A1312" s="7">
        <v>400244</v>
      </c>
      <c r="B1312" t="str">
        <f>_xlfn.XLOOKUP(Vendas[[#This Row],[ID Vendedor]],Vendedores[ID],Vendedores[Nome])</f>
        <v>Camila</v>
      </c>
      <c r="C1312" s="7" t="str">
        <f>_xlfn.XLOOKUP(Vendas[[#This Row],[ID Vendedor]],Vendedores[ID],Vendedores[Setor])</f>
        <v>AHD</v>
      </c>
      <c r="D1312" s="7" t="s">
        <v>18</v>
      </c>
      <c r="E1312" t="str">
        <f>_xlfn.XLOOKUP(Vendas[[#This Row],[ID Item Vendido]],Agregado[ID],Agregado[Produto])</f>
        <v>Peça forjada sob encomenda</v>
      </c>
      <c r="F1312" s="39">
        <v>44499</v>
      </c>
      <c r="G1312" s="7">
        <v>6</v>
      </c>
      <c r="H1312" s="3">
        <f>_xlfn.XLOOKUP(Vendas[[#This Row],[ID Item Vendido]],Agregado[ID],Agregado[Revenda])</f>
        <v>264.60000000000002</v>
      </c>
      <c r="I1312" s="3">
        <f>Vendas[[#This Row],[Valor Unitário]]*Vendas[[#This Row],[Qnt Vendida]]</f>
        <v>1587.6000000000001</v>
      </c>
      <c r="J1312" s="3">
        <f>Vendas[[#This Row],[Valor da Venda]]-(_xlfn.XLOOKUP(Vendas[[#This Row],[ID Item Vendido]],Agregado[ID],Agregado[Custo])*Vendas[[#This Row],[Qnt Vendida]])</f>
        <v>87.600000000000136</v>
      </c>
      <c r="K1312" s="70">
        <f>Vendas[[#This Row],[Lucro da Venda]]/Vendas[[#This Row],[Valor da Venda]]</f>
        <v>5.5177626606198113E-2</v>
      </c>
      <c r="L131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312"/>
    </row>
    <row r="1313" spans="1:13" x14ac:dyDescent="0.3">
      <c r="A1313" s="7">
        <v>400250</v>
      </c>
      <c r="B1313" t="str">
        <f>_xlfn.XLOOKUP(Vendas[[#This Row],[ID Vendedor]],Vendedores[ID],Vendedores[Nome])</f>
        <v>Larissa</v>
      </c>
      <c r="C1313" s="7" t="str">
        <f>_xlfn.XLOOKUP(Vendas[[#This Row],[ID Vendedor]],Vendedores[ID],Vendedores[Setor])</f>
        <v>AB</v>
      </c>
      <c r="D1313" s="7" t="s">
        <v>12</v>
      </c>
      <c r="E1313" t="str">
        <f>_xlfn.XLOOKUP(Vendas[[#This Row],[ID Item Vendido]],Agregado[ID],Agregado[Produto])</f>
        <v>Grânulo de plástico reciclado refinado</v>
      </c>
      <c r="F1313" s="39">
        <v>44500</v>
      </c>
      <c r="G1313" s="7">
        <v>74</v>
      </c>
      <c r="H1313" s="3">
        <f>_xlfn.XLOOKUP(Vendas[[#This Row],[ID Item Vendido]],Agregado[ID],Agregado[Revenda])</f>
        <v>4.7</v>
      </c>
      <c r="I1313" s="3">
        <f>Vendas[[#This Row],[Valor Unitário]]*Vendas[[#This Row],[Qnt Vendida]]</f>
        <v>347.8</v>
      </c>
      <c r="J1313" s="3">
        <f>Vendas[[#This Row],[Valor da Venda]]-(_xlfn.XLOOKUP(Vendas[[#This Row],[ID Item Vendido]],Agregado[ID],Agregado[Custo])*Vendas[[#This Row],[Qnt Vendida]])</f>
        <v>88.800000000000011</v>
      </c>
      <c r="K1313" s="70">
        <f>Vendas[[#This Row],[Lucro da Venda]]/Vendas[[#This Row],[Valor da Venda]]</f>
        <v>0.25531914893617025</v>
      </c>
      <c r="L1313" s="3">
        <f>_xlfn.IFS(Vendas[[#This Row],[Margem de Lucro (%)]]&lt;15%,Vendas[[#This Row],[Valor da Venda]]*3%,Vendas[[#This Row],[Margem de Lucro (%)]]&lt;=20%,Vendas[[#This Row],[Valor da Venda]]*4.5%,TRUE,Vendas[[#This Row],[Valor da Venda]]*6%)</f>
        <v>20.867999999999999</v>
      </c>
      <c r="M1313"/>
    </row>
    <row r="1314" spans="1:13" x14ac:dyDescent="0.3">
      <c r="A1314" s="7">
        <v>400251</v>
      </c>
      <c r="B1314" t="str">
        <f>_xlfn.XLOOKUP(Vendas[[#This Row],[ID Vendedor]],Vendedores[ID],Vendedores[Nome])</f>
        <v>Diego</v>
      </c>
      <c r="C1314" s="7" t="str">
        <f>_xlfn.XLOOKUP(Vendas[[#This Row],[ID Vendedor]],Vendedores[ID],Vendedores[Setor])</f>
        <v>AB</v>
      </c>
      <c r="D1314" s="7" t="s">
        <v>36</v>
      </c>
      <c r="E1314" t="str">
        <f>_xlfn.XLOOKUP(Vendas[[#This Row],[ID Item Vendido]],Agregado[ID],Agregado[Produto])</f>
        <v>Borracha vulcanizada em manta</v>
      </c>
      <c r="F1314" s="39">
        <v>44501</v>
      </c>
      <c r="G1314" s="7">
        <v>55</v>
      </c>
      <c r="H1314" s="3">
        <f>_xlfn.XLOOKUP(Vendas[[#This Row],[ID Item Vendido]],Agregado[ID],Agregado[Revenda])</f>
        <v>7.8</v>
      </c>
      <c r="I1314" s="3">
        <f>Vendas[[#This Row],[Valor Unitário]]*Vendas[[#This Row],[Qnt Vendida]]</f>
        <v>429</v>
      </c>
      <c r="J1314" s="3">
        <f>Vendas[[#This Row],[Valor da Venda]]-(_xlfn.XLOOKUP(Vendas[[#This Row],[ID Item Vendido]],Agregado[ID],Agregado[Custo])*Vendas[[#This Row],[Qnt Vendida]])</f>
        <v>99</v>
      </c>
      <c r="K1314" s="70">
        <f>Vendas[[#This Row],[Lucro da Venda]]/Vendas[[#This Row],[Valor da Venda]]</f>
        <v>0.23076923076923078</v>
      </c>
      <c r="L1314" s="3">
        <f>_xlfn.IFS(Vendas[[#This Row],[Margem de Lucro (%)]]&lt;15%,Vendas[[#This Row],[Valor da Venda]]*3%,Vendas[[#This Row],[Margem de Lucro (%)]]&lt;=20%,Vendas[[#This Row],[Valor da Venda]]*4.5%,TRUE,Vendas[[#This Row],[Valor da Venda]]*6%)</f>
        <v>25.74</v>
      </c>
      <c r="M1314"/>
    </row>
    <row r="1315" spans="1:13" x14ac:dyDescent="0.3">
      <c r="A1315" s="7">
        <v>400247</v>
      </c>
      <c r="B1315" t="str">
        <f>_xlfn.XLOOKUP(Vendas[[#This Row],[ID Vendedor]],Vendedores[ID],Vendedores[Nome])</f>
        <v>André</v>
      </c>
      <c r="C1315" s="7" t="str">
        <f>_xlfn.XLOOKUP(Vendas[[#This Row],[ID Vendedor]],Vendedores[ID],Vendedores[Setor])</f>
        <v>CM</v>
      </c>
      <c r="D1315" s="7" t="s">
        <v>34</v>
      </c>
      <c r="E1315" t="str">
        <f>_xlfn.XLOOKUP(Vendas[[#This Row],[ID Item Vendido]],Agregado[ID],Agregado[Produto])</f>
        <v>Restos de madeira p/ MDP/OSB saco de 20kg</v>
      </c>
      <c r="F1315" s="39">
        <v>44501</v>
      </c>
      <c r="G1315" s="7">
        <v>3</v>
      </c>
      <c r="H1315" s="3">
        <f>_xlfn.XLOOKUP(Vendas[[#This Row],[ID Item Vendido]],Agregado[ID],Agregado[Revenda])</f>
        <v>13.8</v>
      </c>
      <c r="I1315" s="3">
        <f>Vendas[[#This Row],[Valor Unitário]]*Vendas[[#This Row],[Qnt Vendida]]</f>
        <v>41.400000000000006</v>
      </c>
      <c r="J1315" s="3">
        <f>Vendas[[#This Row],[Valor da Venda]]-(_xlfn.XLOOKUP(Vendas[[#This Row],[ID Item Vendido]],Agregado[ID],Agregado[Custo])*Vendas[[#This Row],[Qnt Vendida]])</f>
        <v>5.4000000000000057</v>
      </c>
      <c r="K1315" s="70">
        <f>Vendas[[#This Row],[Lucro da Venda]]/Vendas[[#This Row],[Valor da Venda]]</f>
        <v>0.13043478260869576</v>
      </c>
      <c r="L1315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1315"/>
    </row>
    <row r="1316" spans="1:13" x14ac:dyDescent="0.3">
      <c r="A1316" s="7">
        <v>400251</v>
      </c>
      <c r="B1316" t="str">
        <f>_xlfn.XLOOKUP(Vendas[[#This Row],[ID Vendedor]],Vendedores[ID],Vendedores[Nome])</f>
        <v>Diego</v>
      </c>
      <c r="C1316" s="7" t="str">
        <f>_xlfn.XLOOKUP(Vendas[[#This Row],[ID Vendedor]],Vendedores[ID],Vendedores[Setor])</f>
        <v>AB</v>
      </c>
      <c r="D1316" s="7" t="s">
        <v>12</v>
      </c>
      <c r="E1316" t="str">
        <f>_xlfn.XLOOKUP(Vendas[[#This Row],[ID Item Vendido]],Agregado[ID],Agregado[Produto])</f>
        <v>Grânulo de plástico reciclado refinado</v>
      </c>
      <c r="F1316" s="39">
        <v>44502</v>
      </c>
      <c r="G1316" s="7">
        <v>146</v>
      </c>
      <c r="H1316" s="3">
        <f>_xlfn.XLOOKUP(Vendas[[#This Row],[ID Item Vendido]],Agregado[ID],Agregado[Revenda])</f>
        <v>4.7</v>
      </c>
      <c r="I1316" s="3">
        <f>Vendas[[#This Row],[Valor Unitário]]*Vendas[[#This Row],[Qnt Vendida]]</f>
        <v>686.2</v>
      </c>
      <c r="J1316" s="3">
        <f>Vendas[[#This Row],[Valor da Venda]]-(_xlfn.XLOOKUP(Vendas[[#This Row],[ID Item Vendido]],Agregado[ID],Agregado[Custo])*Vendas[[#This Row],[Qnt Vendida]])</f>
        <v>175.20000000000005</v>
      </c>
      <c r="K1316" s="70">
        <f>Vendas[[#This Row],[Lucro da Venda]]/Vendas[[#This Row],[Valor da Venda]]</f>
        <v>0.25531914893617025</v>
      </c>
      <c r="L1316" s="3">
        <f>_xlfn.IFS(Vendas[[#This Row],[Margem de Lucro (%)]]&lt;15%,Vendas[[#This Row],[Valor da Venda]]*3%,Vendas[[#This Row],[Margem de Lucro (%)]]&lt;=20%,Vendas[[#This Row],[Valor da Venda]]*4.5%,TRUE,Vendas[[#This Row],[Valor da Venda]]*6%)</f>
        <v>41.172000000000004</v>
      </c>
      <c r="M1316"/>
    </row>
    <row r="1317" spans="1:13" x14ac:dyDescent="0.3">
      <c r="A1317" s="7">
        <v>400243</v>
      </c>
      <c r="B1317" t="str">
        <f>_xlfn.XLOOKUP(Vendas[[#This Row],[ID Vendedor]],Vendedores[ID],Vendedores[Nome])</f>
        <v>Marcelo</v>
      </c>
      <c r="C1317" s="7" t="str">
        <f>_xlfn.XLOOKUP(Vendas[[#This Row],[ID Vendedor]],Vendedores[ID],Vendedores[Setor])</f>
        <v>FM</v>
      </c>
      <c r="D1317" s="7" t="s">
        <v>47</v>
      </c>
      <c r="E1317" t="str">
        <f>_xlfn.XLOOKUP(Vendas[[#This Row],[ID Item Vendido]],Agregado[ID],Agregado[Produto])</f>
        <v>Fio de arame galvanizado rolo 50m</v>
      </c>
      <c r="F1317" s="39">
        <v>44502</v>
      </c>
      <c r="G1317" s="7">
        <v>10</v>
      </c>
      <c r="H1317" s="3">
        <f>_xlfn.XLOOKUP(Vendas[[#This Row],[ID Item Vendido]],Agregado[ID],Agregado[Revenda])</f>
        <v>21.2</v>
      </c>
      <c r="I1317" s="3">
        <f>Vendas[[#This Row],[Valor Unitário]]*Vendas[[#This Row],[Qnt Vendida]]</f>
        <v>212</v>
      </c>
      <c r="J1317" s="3">
        <f>Vendas[[#This Row],[Valor da Venda]]-(_xlfn.XLOOKUP(Vendas[[#This Row],[ID Item Vendido]],Agregado[ID],Agregado[Custo])*Vendas[[#This Row],[Qnt Vendida]])</f>
        <v>32</v>
      </c>
      <c r="K1317" s="70">
        <f>Vendas[[#This Row],[Lucro da Venda]]/Vendas[[#This Row],[Valor da Venda]]</f>
        <v>0.15094339622641509</v>
      </c>
      <c r="L1317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317"/>
    </row>
    <row r="1318" spans="1:13" x14ac:dyDescent="0.3">
      <c r="A1318" s="7">
        <v>400250</v>
      </c>
      <c r="B1318" t="str">
        <f>_xlfn.XLOOKUP(Vendas[[#This Row],[ID Vendedor]],Vendedores[ID],Vendedores[Nome])</f>
        <v>Larissa</v>
      </c>
      <c r="C1318" s="7" t="str">
        <f>_xlfn.XLOOKUP(Vendas[[#This Row],[ID Vendedor]],Vendedores[ID],Vendedores[Setor])</f>
        <v>AB</v>
      </c>
      <c r="D1318" s="7" t="s">
        <v>24</v>
      </c>
      <c r="E1318" t="str">
        <f>_xlfn.XLOOKUP(Vendas[[#This Row],[ID Item Vendido]],Agregado[ID],Agregado[Produto])</f>
        <v>Resina plástica PET purificada saco de 25kg</v>
      </c>
      <c r="F1318" s="39">
        <v>44503</v>
      </c>
      <c r="G1318" s="7">
        <v>25</v>
      </c>
      <c r="H1318" s="3">
        <f>_xlfn.XLOOKUP(Vendas[[#This Row],[ID Item Vendido]],Agregado[ID],Agregado[Revenda])</f>
        <v>119</v>
      </c>
      <c r="I1318" s="3">
        <f>Vendas[[#This Row],[Valor Unitário]]*Vendas[[#This Row],[Qnt Vendida]]</f>
        <v>2975</v>
      </c>
      <c r="J1318" s="3">
        <f>Vendas[[#This Row],[Valor da Venda]]-(_xlfn.XLOOKUP(Vendas[[#This Row],[ID Item Vendido]],Agregado[ID],Agregado[Custo])*Vendas[[#This Row],[Qnt Vendida]])</f>
        <v>850</v>
      </c>
      <c r="K1318" s="70">
        <f>Vendas[[#This Row],[Lucro da Venda]]/Vendas[[#This Row],[Valor da Venda]]</f>
        <v>0.2857142857142857</v>
      </c>
      <c r="L1318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1318"/>
    </row>
    <row r="1319" spans="1:13" x14ac:dyDescent="0.3">
      <c r="A1319" s="7">
        <v>400248</v>
      </c>
      <c r="B1319" t="str">
        <f>_xlfn.XLOOKUP(Vendas[[#This Row],[ID Vendedor]],Vendedores[ID],Vendedores[Nome])</f>
        <v>Patrícia</v>
      </c>
      <c r="C1319" s="7" t="str">
        <f>_xlfn.XLOOKUP(Vendas[[#This Row],[ID Vendedor]],Vendedores[ID],Vendedores[Setor])</f>
        <v>CM</v>
      </c>
      <c r="D1319" s="7" t="s">
        <v>43</v>
      </c>
      <c r="E1319" t="str">
        <f>_xlfn.XLOOKUP(Vendas[[#This Row],[ID Item Vendido]],Agregado[ID],Agregado[Produto])</f>
        <v>Madeira Bruta (Tora)</v>
      </c>
      <c r="F1319" s="39">
        <v>44504</v>
      </c>
      <c r="G1319" s="7">
        <v>11</v>
      </c>
      <c r="H1319" s="3">
        <f>_xlfn.XLOOKUP(Vendas[[#This Row],[ID Item Vendido]],Agregado[ID],Agregado[Revenda])</f>
        <v>212</v>
      </c>
      <c r="I1319" s="3">
        <f>Vendas[[#This Row],[Valor Unitário]]*Vendas[[#This Row],[Qnt Vendida]]</f>
        <v>2332</v>
      </c>
      <c r="J1319" s="3">
        <f>Vendas[[#This Row],[Valor da Venda]]-(_xlfn.XLOOKUP(Vendas[[#This Row],[ID Item Vendido]],Agregado[ID],Agregado[Custo])*Vendas[[#This Row],[Qnt Vendida]])</f>
        <v>352</v>
      </c>
      <c r="K1319" s="70">
        <f>Vendas[[#This Row],[Lucro da Venda]]/Vendas[[#This Row],[Valor da Venda]]</f>
        <v>0.15094339622641509</v>
      </c>
      <c r="L1319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319"/>
    </row>
    <row r="1320" spans="1:13" x14ac:dyDescent="0.3">
      <c r="A1320" s="7">
        <v>400250</v>
      </c>
      <c r="B1320" t="str">
        <f>_xlfn.XLOOKUP(Vendas[[#This Row],[ID Vendedor]],Vendedores[ID],Vendedores[Nome])</f>
        <v>Larissa</v>
      </c>
      <c r="C1320" s="7" t="str">
        <f>_xlfn.XLOOKUP(Vendas[[#This Row],[ID Vendedor]],Vendedores[ID],Vendedores[Setor])</f>
        <v>AB</v>
      </c>
      <c r="D1320" s="7" t="s">
        <v>37</v>
      </c>
      <c r="E1320" t="str">
        <f>_xlfn.XLOOKUP(Vendas[[#This Row],[ID Item Vendido]],Agregado[ID],Agregado[Produto])</f>
        <v>Composto de borracha para vedação rolo 10m</v>
      </c>
      <c r="F1320" s="39">
        <v>44504</v>
      </c>
      <c r="G1320" s="7">
        <v>6</v>
      </c>
      <c r="H1320" s="3">
        <f>_xlfn.XLOOKUP(Vendas[[#This Row],[ID Item Vendido]],Agregado[ID],Agregado[Revenda])</f>
        <v>51.2</v>
      </c>
      <c r="I1320" s="3">
        <f>Vendas[[#This Row],[Valor Unitário]]*Vendas[[#This Row],[Qnt Vendida]]</f>
        <v>307.20000000000005</v>
      </c>
      <c r="J1320" s="3">
        <f>Vendas[[#This Row],[Valor da Venda]]-(_xlfn.XLOOKUP(Vendas[[#This Row],[ID Item Vendido]],Agregado[ID],Agregado[Custo])*Vendas[[#This Row],[Qnt Vendida]])</f>
        <v>67.200000000000045</v>
      </c>
      <c r="K1320" s="70">
        <f>Vendas[[#This Row],[Lucro da Venda]]/Vendas[[#This Row],[Valor da Venda]]</f>
        <v>0.21875000000000011</v>
      </c>
      <c r="L1320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1320"/>
    </row>
    <row r="1321" spans="1:13" x14ac:dyDescent="0.3">
      <c r="A1321" s="7">
        <v>400248</v>
      </c>
      <c r="B1321" t="str">
        <f>_xlfn.XLOOKUP(Vendas[[#This Row],[ID Vendedor]],Vendedores[ID],Vendedores[Nome])</f>
        <v>Patrícia</v>
      </c>
      <c r="C1321" s="7" t="str">
        <f>_xlfn.XLOOKUP(Vendas[[#This Row],[ID Vendedor]],Vendedores[ID],Vendedores[Setor])</f>
        <v>CM</v>
      </c>
      <c r="D1321" s="7" t="s">
        <v>43</v>
      </c>
      <c r="E1321" t="str">
        <f>_xlfn.XLOOKUP(Vendas[[#This Row],[ID Item Vendido]],Agregado[ID],Agregado[Produto])</f>
        <v>Madeira Bruta (Tora)</v>
      </c>
      <c r="F1321" s="39">
        <v>44505</v>
      </c>
      <c r="G1321" s="7">
        <v>13</v>
      </c>
      <c r="H1321" s="3">
        <f>_xlfn.XLOOKUP(Vendas[[#This Row],[ID Item Vendido]],Agregado[ID],Agregado[Revenda])</f>
        <v>212</v>
      </c>
      <c r="I1321" s="3">
        <f>Vendas[[#This Row],[Valor Unitário]]*Vendas[[#This Row],[Qnt Vendida]]</f>
        <v>2756</v>
      </c>
      <c r="J1321" s="3">
        <f>Vendas[[#This Row],[Valor da Venda]]-(_xlfn.XLOOKUP(Vendas[[#This Row],[ID Item Vendido]],Agregado[ID],Agregado[Custo])*Vendas[[#This Row],[Qnt Vendida]])</f>
        <v>416</v>
      </c>
      <c r="K1321" s="70">
        <f>Vendas[[#This Row],[Lucro da Venda]]/Vendas[[#This Row],[Valor da Venda]]</f>
        <v>0.15094339622641509</v>
      </c>
      <c r="L1321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1321"/>
    </row>
    <row r="1322" spans="1:13" x14ac:dyDescent="0.3">
      <c r="A1322" s="7">
        <v>400243</v>
      </c>
      <c r="B1322" t="str">
        <f>_xlfn.XLOOKUP(Vendas[[#This Row],[ID Vendedor]],Vendedores[ID],Vendedores[Nome])</f>
        <v>Marcelo</v>
      </c>
      <c r="C1322" s="7" t="str">
        <f>_xlfn.XLOOKUP(Vendas[[#This Row],[ID Vendedor]],Vendedores[ID],Vendedores[Setor])</f>
        <v>FM</v>
      </c>
      <c r="D1322" s="7" t="s">
        <v>20</v>
      </c>
      <c r="E1322" t="str">
        <f>_xlfn.XLOOKUP(Vendas[[#This Row],[ID Item Vendido]],Agregado[ID],Agregado[Produto])</f>
        <v>Barra de aço simples</v>
      </c>
      <c r="F1322" s="39">
        <v>44505</v>
      </c>
      <c r="G1322" s="7">
        <v>114</v>
      </c>
      <c r="H1322" s="3">
        <f>_xlfn.XLOOKUP(Vendas[[#This Row],[ID Item Vendido]],Agregado[ID],Agregado[Revenda])</f>
        <v>4.8</v>
      </c>
      <c r="I1322" s="3">
        <f>Vendas[[#This Row],[Valor Unitário]]*Vendas[[#This Row],[Qnt Vendida]]</f>
        <v>547.19999999999993</v>
      </c>
      <c r="J1322" s="3">
        <f>Vendas[[#This Row],[Valor da Venda]]-(_xlfn.XLOOKUP(Vendas[[#This Row],[ID Item Vendido]],Agregado[ID],Agregado[Custo])*Vendas[[#This Row],[Qnt Vendida]])</f>
        <v>68.39999999999992</v>
      </c>
      <c r="K1322" s="70">
        <f>Vendas[[#This Row],[Lucro da Venda]]/Vendas[[#This Row],[Valor da Venda]]</f>
        <v>0.12499999999999988</v>
      </c>
      <c r="L1322" s="3">
        <f>_xlfn.IFS(Vendas[[#This Row],[Margem de Lucro (%)]]&lt;15%,Vendas[[#This Row],[Valor da Venda]]*3%,Vendas[[#This Row],[Margem de Lucro (%)]]&lt;=20%,Vendas[[#This Row],[Valor da Venda]]*4.5%,TRUE,Vendas[[#This Row],[Valor da Venda]]*6%)</f>
        <v>16.415999999999997</v>
      </c>
      <c r="M1322"/>
    </row>
    <row r="1323" spans="1:13" x14ac:dyDescent="0.3">
      <c r="A1323" s="7">
        <v>400253</v>
      </c>
      <c r="B1323" t="str">
        <f>_xlfn.XLOOKUP(Vendas[[#This Row],[ID Vendedor]],Vendedores[ID],Vendedores[Nome])</f>
        <v>Gustavo</v>
      </c>
      <c r="C1323" s="7" t="str">
        <f>_xlfn.XLOOKUP(Vendas[[#This Row],[ID Vendedor]],Vendedores[ID],Vendedores[Setor])</f>
        <v>SC</v>
      </c>
      <c r="D1323" s="7" t="s">
        <v>42</v>
      </c>
      <c r="E1323" t="str">
        <f>_xlfn.XLOOKUP(Vendas[[#This Row],[ID Item Vendido]],Agregado[ID],Agregado[Produto])</f>
        <v>Container de ferro industrial</v>
      </c>
      <c r="F1323" s="39">
        <v>44506</v>
      </c>
      <c r="G1323" s="7">
        <v>3</v>
      </c>
      <c r="H1323" s="3">
        <f>_xlfn.XLOOKUP(Vendas[[#This Row],[ID Item Vendido]],Agregado[ID],Agregado[Revenda])</f>
        <v>830</v>
      </c>
      <c r="I1323" s="3">
        <f>Vendas[[#This Row],[Valor Unitário]]*Vendas[[#This Row],[Qnt Vendida]]</f>
        <v>2490</v>
      </c>
      <c r="J1323" s="3">
        <f>Vendas[[#This Row],[Valor da Venda]]-(_xlfn.XLOOKUP(Vendas[[#This Row],[ID Item Vendido]],Agregado[ID],Agregado[Custo])*Vendas[[#This Row],[Qnt Vendida]])</f>
        <v>450</v>
      </c>
      <c r="K1323" s="70">
        <f>Vendas[[#This Row],[Lucro da Venda]]/Vendas[[#This Row],[Valor da Venda]]</f>
        <v>0.18072289156626506</v>
      </c>
      <c r="L132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323"/>
    </row>
    <row r="1324" spans="1:13" x14ac:dyDescent="0.3">
      <c r="A1324" s="7">
        <v>400255</v>
      </c>
      <c r="B1324" t="str">
        <f>_xlfn.XLOOKUP(Vendas[[#This Row],[ID Vendedor]],Vendedores[ID],Vendedores[Nome])</f>
        <v>Carlos</v>
      </c>
      <c r="C1324" s="7" t="str">
        <f>_xlfn.XLOOKUP(Vendas[[#This Row],[ID Vendedor]],Vendedores[ID],Vendedores[Setor])</f>
        <v>SC</v>
      </c>
      <c r="D1324" s="7" t="s">
        <v>42</v>
      </c>
      <c r="E1324" t="str">
        <f>_xlfn.XLOOKUP(Vendas[[#This Row],[ID Item Vendido]],Agregado[ID],Agregado[Produto])</f>
        <v>Container de ferro industrial</v>
      </c>
      <c r="F1324" s="39">
        <v>44507</v>
      </c>
      <c r="G1324" s="7">
        <v>3</v>
      </c>
      <c r="H1324" s="3">
        <f>_xlfn.XLOOKUP(Vendas[[#This Row],[ID Item Vendido]],Agregado[ID],Agregado[Revenda])</f>
        <v>830</v>
      </c>
      <c r="I1324" s="3">
        <f>Vendas[[#This Row],[Valor Unitário]]*Vendas[[#This Row],[Qnt Vendida]]</f>
        <v>2490</v>
      </c>
      <c r="J1324" s="3">
        <f>Vendas[[#This Row],[Valor da Venda]]-(_xlfn.XLOOKUP(Vendas[[#This Row],[ID Item Vendido]],Agregado[ID],Agregado[Custo])*Vendas[[#This Row],[Qnt Vendida]])</f>
        <v>450</v>
      </c>
      <c r="K1324" s="70">
        <f>Vendas[[#This Row],[Lucro da Venda]]/Vendas[[#This Row],[Valor da Venda]]</f>
        <v>0.18072289156626506</v>
      </c>
      <c r="L132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324"/>
    </row>
    <row r="1325" spans="1:13" x14ac:dyDescent="0.3">
      <c r="A1325" s="7">
        <v>400244</v>
      </c>
      <c r="B1325" t="str">
        <f>_xlfn.XLOOKUP(Vendas[[#This Row],[ID Vendedor]],Vendedores[ID],Vendedores[Nome])</f>
        <v>Camila</v>
      </c>
      <c r="C1325" s="7" t="str">
        <f>_xlfn.XLOOKUP(Vendas[[#This Row],[ID Vendedor]],Vendedores[ID],Vendedores[Setor])</f>
        <v>AHD</v>
      </c>
      <c r="D1325" s="7" t="s">
        <v>30</v>
      </c>
      <c r="E1325" t="str">
        <f>_xlfn.XLOOKUP(Vendas[[#This Row],[ID Item Vendido]],Agregado[ID],Agregado[Produto])</f>
        <v>Estrutura metálica soldada</v>
      </c>
      <c r="F1325" s="39">
        <v>44507</v>
      </c>
      <c r="G1325" s="7">
        <v>1</v>
      </c>
      <c r="H1325" s="3">
        <f>_xlfn.XLOOKUP(Vendas[[#This Row],[ID Item Vendido]],Agregado[ID],Agregado[Revenda])</f>
        <v>400</v>
      </c>
      <c r="I1325" s="3">
        <f>Vendas[[#This Row],[Valor Unitário]]*Vendas[[#This Row],[Qnt Vendida]]</f>
        <v>400</v>
      </c>
      <c r="J1325" s="3">
        <f>Vendas[[#This Row],[Valor da Venda]]-(_xlfn.XLOOKUP(Vendas[[#This Row],[ID Item Vendido]],Agregado[ID],Agregado[Custo])*Vendas[[#This Row],[Qnt Vendida]])</f>
        <v>80</v>
      </c>
      <c r="K1325" s="70">
        <f>Vendas[[#This Row],[Lucro da Venda]]/Vendas[[#This Row],[Valor da Venda]]</f>
        <v>0.2</v>
      </c>
      <c r="L1325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325"/>
    </row>
    <row r="1326" spans="1:13" x14ac:dyDescent="0.3">
      <c r="A1326" s="7">
        <v>400253</v>
      </c>
      <c r="B1326" t="str">
        <f>_xlfn.XLOOKUP(Vendas[[#This Row],[ID Vendedor]],Vendedores[ID],Vendedores[Nome])</f>
        <v>Gustavo</v>
      </c>
      <c r="C1326" s="7" t="str">
        <f>_xlfn.XLOOKUP(Vendas[[#This Row],[ID Vendedor]],Vendedores[ID],Vendedores[Setor])</f>
        <v>SC</v>
      </c>
      <c r="D1326" s="7" t="s">
        <v>48</v>
      </c>
      <c r="E1326" t="str">
        <f>_xlfn.XLOOKUP(Vendas[[#This Row],[ID Item Vendido]],Agregado[ID],Agregado[Produto])</f>
        <v>Tambor metálico 200L</v>
      </c>
      <c r="F1326" s="39">
        <v>44508</v>
      </c>
      <c r="G1326" s="7">
        <v>16</v>
      </c>
      <c r="H1326" s="3">
        <f>_xlfn.XLOOKUP(Vendas[[#This Row],[ID Item Vendido]],Agregado[ID],Agregado[Revenda])</f>
        <v>144</v>
      </c>
      <c r="I1326" s="3">
        <f>Vendas[[#This Row],[Valor Unitário]]*Vendas[[#This Row],[Qnt Vendida]]</f>
        <v>2304</v>
      </c>
      <c r="J1326" s="3">
        <f>Vendas[[#This Row],[Valor da Venda]]-(_xlfn.XLOOKUP(Vendas[[#This Row],[ID Item Vendido]],Agregado[ID],Agregado[Custo])*Vendas[[#This Row],[Qnt Vendida]])</f>
        <v>384</v>
      </c>
      <c r="K1326" s="70">
        <f>Vendas[[#This Row],[Lucro da Venda]]/Vendas[[#This Row],[Valor da Venda]]</f>
        <v>0.16666666666666666</v>
      </c>
      <c r="L1326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326"/>
    </row>
    <row r="1327" spans="1:13" x14ac:dyDescent="0.3">
      <c r="A1327" s="7">
        <v>400250</v>
      </c>
      <c r="B1327" t="str">
        <f>_xlfn.XLOOKUP(Vendas[[#This Row],[ID Vendedor]],Vendedores[ID],Vendedores[Nome])</f>
        <v>Larissa</v>
      </c>
      <c r="C1327" s="7" t="str">
        <f>_xlfn.XLOOKUP(Vendas[[#This Row],[ID Vendedor]],Vendedores[ID],Vendedores[Setor])</f>
        <v>AB</v>
      </c>
      <c r="D1327" s="7" t="s">
        <v>39</v>
      </c>
      <c r="E1327" t="str">
        <f>_xlfn.XLOOKUP(Vendas[[#This Row],[ID Item Vendido]],Agregado[ID],Agregado[Produto])</f>
        <v>Filme plástico industrial rolo 50m</v>
      </c>
      <c r="F1327" s="39">
        <v>44508</v>
      </c>
      <c r="G1327" s="7">
        <v>30</v>
      </c>
      <c r="H1327" s="3">
        <f>_xlfn.XLOOKUP(Vendas[[#This Row],[ID Item Vendido]],Agregado[ID],Agregado[Revenda])</f>
        <v>37</v>
      </c>
      <c r="I1327" s="3">
        <f>Vendas[[#This Row],[Valor Unitário]]*Vendas[[#This Row],[Qnt Vendida]]</f>
        <v>1110</v>
      </c>
      <c r="J1327" s="3">
        <f>Vendas[[#This Row],[Valor da Venda]]-(_xlfn.XLOOKUP(Vendas[[#This Row],[ID Item Vendido]],Agregado[ID],Agregado[Custo])*Vendas[[#This Row],[Qnt Vendida]])</f>
        <v>270</v>
      </c>
      <c r="K1327" s="70">
        <f>Vendas[[#This Row],[Lucro da Venda]]/Vendas[[#This Row],[Valor da Venda]]</f>
        <v>0.24324324324324326</v>
      </c>
      <c r="L1327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1327"/>
    </row>
    <row r="1328" spans="1:13" x14ac:dyDescent="0.3">
      <c r="A1328" s="7">
        <v>400245</v>
      </c>
      <c r="B1328" t="str">
        <f>_xlfn.XLOOKUP(Vendas[[#This Row],[ID Vendedor]],Vendedores[ID],Vendedores[Nome])</f>
        <v>Thiago</v>
      </c>
      <c r="C1328" s="7" t="str">
        <f>_xlfn.XLOOKUP(Vendas[[#This Row],[ID Vendedor]],Vendedores[ID],Vendedores[Setor])</f>
        <v>AHD</v>
      </c>
      <c r="D1328" s="7" t="s">
        <v>18</v>
      </c>
      <c r="E1328" t="str">
        <f>_xlfn.XLOOKUP(Vendas[[#This Row],[ID Item Vendido]],Agregado[ID],Agregado[Produto])</f>
        <v>Peça forjada sob encomenda</v>
      </c>
      <c r="F1328" s="39">
        <v>44509</v>
      </c>
      <c r="G1328" s="7">
        <v>5</v>
      </c>
      <c r="H1328" s="3">
        <f>_xlfn.XLOOKUP(Vendas[[#This Row],[ID Item Vendido]],Agregado[ID],Agregado[Revenda])</f>
        <v>264.60000000000002</v>
      </c>
      <c r="I1328" s="3">
        <f>Vendas[[#This Row],[Valor Unitário]]*Vendas[[#This Row],[Qnt Vendida]]</f>
        <v>1323</v>
      </c>
      <c r="J1328" s="3">
        <f>Vendas[[#This Row],[Valor da Venda]]-(_xlfn.XLOOKUP(Vendas[[#This Row],[ID Item Vendido]],Agregado[ID],Agregado[Custo])*Vendas[[#This Row],[Qnt Vendida]])</f>
        <v>73</v>
      </c>
      <c r="K1328" s="70">
        <f>Vendas[[#This Row],[Lucro da Venda]]/Vendas[[#This Row],[Valor da Venda]]</f>
        <v>5.5177626606198037E-2</v>
      </c>
      <c r="L132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328"/>
    </row>
    <row r="1329" spans="1:13" x14ac:dyDescent="0.3">
      <c r="A1329" s="7">
        <v>400251</v>
      </c>
      <c r="B1329" t="str">
        <f>_xlfn.XLOOKUP(Vendas[[#This Row],[ID Vendedor]],Vendedores[ID],Vendedores[Nome])</f>
        <v>Diego</v>
      </c>
      <c r="C1329" s="7" t="str">
        <f>_xlfn.XLOOKUP(Vendas[[#This Row],[ID Vendedor]],Vendedores[ID],Vendedores[Setor])</f>
        <v>AB</v>
      </c>
      <c r="D1329" s="7" t="s">
        <v>12</v>
      </c>
      <c r="E1329" t="str">
        <f>_xlfn.XLOOKUP(Vendas[[#This Row],[ID Item Vendido]],Agregado[ID],Agregado[Produto])</f>
        <v>Grânulo de plástico reciclado refinado</v>
      </c>
      <c r="F1329" s="39">
        <v>44510</v>
      </c>
      <c r="G1329" s="7">
        <v>61</v>
      </c>
      <c r="H1329" s="3">
        <f>_xlfn.XLOOKUP(Vendas[[#This Row],[ID Item Vendido]],Agregado[ID],Agregado[Revenda])</f>
        <v>4.7</v>
      </c>
      <c r="I1329" s="3">
        <f>Vendas[[#This Row],[Valor Unitário]]*Vendas[[#This Row],[Qnt Vendida]]</f>
        <v>286.7</v>
      </c>
      <c r="J1329" s="3">
        <f>Vendas[[#This Row],[Valor da Venda]]-(_xlfn.XLOOKUP(Vendas[[#This Row],[ID Item Vendido]],Agregado[ID],Agregado[Custo])*Vendas[[#This Row],[Qnt Vendida]])</f>
        <v>73.199999999999989</v>
      </c>
      <c r="K1329" s="70">
        <f>Vendas[[#This Row],[Lucro da Venda]]/Vendas[[#This Row],[Valor da Venda]]</f>
        <v>0.25531914893617019</v>
      </c>
      <c r="L1329" s="3">
        <f>_xlfn.IFS(Vendas[[#This Row],[Margem de Lucro (%)]]&lt;15%,Vendas[[#This Row],[Valor da Venda]]*3%,Vendas[[#This Row],[Margem de Lucro (%)]]&lt;=20%,Vendas[[#This Row],[Valor da Venda]]*4.5%,TRUE,Vendas[[#This Row],[Valor da Venda]]*6%)</f>
        <v>17.201999999999998</v>
      </c>
      <c r="M1329"/>
    </row>
    <row r="1330" spans="1:13" x14ac:dyDescent="0.3">
      <c r="A1330" s="7">
        <v>400247</v>
      </c>
      <c r="B1330" t="str">
        <f>_xlfn.XLOOKUP(Vendas[[#This Row],[ID Vendedor]],Vendedores[ID],Vendedores[Nome])</f>
        <v>André</v>
      </c>
      <c r="C1330" s="7" t="str">
        <f>_xlfn.XLOOKUP(Vendas[[#This Row],[ID Vendedor]],Vendedores[ID],Vendedores[Setor])</f>
        <v>CM</v>
      </c>
      <c r="D1330" s="7" t="s">
        <v>43</v>
      </c>
      <c r="E1330" t="str">
        <f>_xlfn.XLOOKUP(Vendas[[#This Row],[ID Item Vendido]],Agregado[ID],Agregado[Produto])</f>
        <v>Madeira Bruta (Tora)</v>
      </c>
      <c r="F1330" s="39">
        <v>44512</v>
      </c>
      <c r="G1330" s="7">
        <v>10</v>
      </c>
      <c r="H1330" s="3">
        <f>_xlfn.XLOOKUP(Vendas[[#This Row],[ID Item Vendido]],Agregado[ID],Agregado[Revenda])</f>
        <v>212</v>
      </c>
      <c r="I1330" s="3">
        <f>Vendas[[#This Row],[Valor Unitário]]*Vendas[[#This Row],[Qnt Vendida]]</f>
        <v>2120</v>
      </c>
      <c r="J1330" s="3">
        <f>Vendas[[#This Row],[Valor da Venda]]-(_xlfn.XLOOKUP(Vendas[[#This Row],[ID Item Vendido]],Agregado[ID],Agregado[Custo])*Vendas[[#This Row],[Qnt Vendida]])</f>
        <v>320</v>
      </c>
      <c r="K1330" s="70">
        <f>Vendas[[#This Row],[Lucro da Venda]]/Vendas[[#This Row],[Valor da Venda]]</f>
        <v>0.15094339622641509</v>
      </c>
      <c r="L1330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1330"/>
    </row>
    <row r="1331" spans="1:13" x14ac:dyDescent="0.3">
      <c r="A1331" s="7">
        <v>400250</v>
      </c>
      <c r="B1331" t="str">
        <f>_xlfn.XLOOKUP(Vendas[[#This Row],[ID Vendedor]],Vendedores[ID],Vendedores[Nome])</f>
        <v>Larissa</v>
      </c>
      <c r="C1331" s="7" t="str">
        <f>_xlfn.XLOOKUP(Vendas[[#This Row],[ID Vendedor]],Vendedores[ID],Vendedores[Setor])</f>
        <v>AB</v>
      </c>
      <c r="D1331" s="7" t="s">
        <v>39</v>
      </c>
      <c r="E1331" t="str">
        <f>_xlfn.XLOOKUP(Vendas[[#This Row],[ID Item Vendido]],Agregado[ID],Agregado[Produto])</f>
        <v>Filme plástico industrial rolo 50m</v>
      </c>
      <c r="F1331" s="39">
        <v>44512</v>
      </c>
      <c r="G1331" s="7">
        <v>23</v>
      </c>
      <c r="H1331" s="3">
        <f>_xlfn.XLOOKUP(Vendas[[#This Row],[ID Item Vendido]],Agregado[ID],Agregado[Revenda])</f>
        <v>37</v>
      </c>
      <c r="I1331" s="3">
        <f>Vendas[[#This Row],[Valor Unitário]]*Vendas[[#This Row],[Qnt Vendida]]</f>
        <v>851</v>
      </c>
      <c r="J1331" s="3">
        <f>Vendas[[#This Row],[Valor da Venda]]-(_xlfn.XLOOKUP(Vendas[[#This Row],[ID Item Vendido]],Agregado[ID],Agregado[Custo])*Vendas[[#This Row],[Qnt Vendida]])</f>
        <v>207</v>
      </c>
      <c r="K1331" s="70">
        <f>Vendas[[#This Row],[Lucro da Venda]]/Vendas[[#This Row],[Valor da Venda]]</f>
        <v>0.24324324324324326</v>
      </c>
      <c r="L1331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1331"/>
    </row>
    <row r="1332" spans="1:13" x14ac:dyDescent="0.3">
      <c r="A1332" s="7">
        <v>400255</v>
      </c>
      <c r="B1332" t="str">
        <f>_xlfn.XLOOKUP(Vendas[[#This Row],[ID Vendedor]],Vendedores[ID],Vendedores[Nome])</f>
        <v>Carlos</v>
      </c>
      <c r="C1332" s="7" t="str">
        <f>_xlfn.XLOOKUP(Vendas[[#This Row],[ID Vendedor]],Vendedores[ID],Vendedores[Setor])</f>
        <v>SC</v>
      </c>
      <c r="D1332" s="7" t="s">
        <v>41</v>
      </c>
      <c r="E1332" t="str">
        <f>_xlfn.XLOOKUP(Vendas[[#This Row],[ID Item Vendido]],Agregado[ID],Agregado[Produto])</f>
        <v>Palete de madeira reforçado</v>
      </c>
      <c r="F1332" s="39">
        <v>44512</v>
      </c>
      <c r="G1332" s="7">
        <v>2</v>
      </c>
      <c r="H1332" s="3">
        <f>_xlfn.XLOOKUP(Vendas[[#This Row],[ID Item Vendido]],Agregado[ID],Agregado[Revenda])</f>
        <v>131</v>
      </c>
      <c r="I1332" s="3">
        <f>Vendas[[#This Row],[Valor Unitário]]*Vendas[[#This Row],[Qnt Vendida]]</f>
        <v>262</v>
      </c>
      <c r="J1332" s="3">
        <f>Vendas[[#This Row],[Valor da Venda]]-(_xlfn.XLOOKUP(Vendas[[#This Row],[ID Item Vendido]],Agregado[ID],Agregado[Custo])*Vendas[[#This Row],[Qnt Vendida]])</f>
        <v>42</v>
      </c>
      <c r="K1332" s="70">
        <f>Vendas[[#This Row],[Lucro da Venda]]/Vendas[[#This Row],[Valor da Venda]]</f>
        <v>0.16030534351145037</v>
      </c>
      <c r="L1332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1332"/>
    </row>
    <row r="1333" spans="1:13" x14ac:dyDescent="0.3">
      <c r="A1333" s="7">
        <v>400247</v>
      </c>
      <c r="B1333" t="str">
        <f>_xlfn.XLOOKUP(Vendas[[#This Row],[ID Vendedor]],Vendedores[ID],Vendedores[Nome])</f>
        <v>André</v>
      </c>
      <c r="C1333" s="7" t="str">
        <f>_xlfn.XLOOKUP(Vendas[[#This Row],[ID Vendedor]],Vendedores[ID],Vendedores[Setor])</f>
        <v>CM</v>
      </c>
      <c r="D1333" s="7" t="s">
        <v>22</v>
      </c>
      <c r="E1333" t="str">
        <f>_xlfn.XLOOKUP(Vendas[[#This Row],[ID Item Vendido]],Agregado[ID],Agregado[Produto])</f>
        <v>Painel MDP 2,75x1,83m</v>
      </c>
      <c r="F1333" s="39">
        <v>44514</v>
      </c>
      <c r="G1333" s="7">
        <v>17</v>
      </c>
      <c r="H1333" s="3">
        <f>_xlfn.XLOOKUP(Vendas[[#This Row],[ID Item Vendido]],Agregado[ID],Agregado[Revenda])</f>
        <v>119</v>
      </c>
      <c r="I1333" s="3">
        <f>Vendas[[#This Row],[Valor Unitário]]*Vendas[[#This Row],[Qnt Vendida]]</f>
        <v>2023</v>
      </c>
      <c r="J1333" s="3">
        <f>Vendas[[#This Row],[Valor da Venda]]-(_xlfn.XLOOKUP(Vendas[[#This Row],[ID Item Vendido]],Agregado[ID],Agregado[Custo])*Vendas[[#This Row],[Qnt Vendida]])</f>
        <v>408</v>
      </c>
      <c r="K1333" s="70">
        <f>Vendas[[#This Row],[Lucro da Venda]]/Vendas[[#This Row],[Valor da Venda]]</f>
        <v>0.20168067226890757</v>
      </c>
      <c r="L1333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1333"/>
    </row>
    <row r="1334" spans="1:13" x14ac:dyDescent="0.3">
      <c r="A1334" s="7">
        <v>400244</v>
      </c>
      <c r="B1334" t="str">
        <f>_xlfn.XLOOKUP(Vendas[[#This Row],[ID Vendedor]],Vendedores[ID],Vendedores[Nome])</f>
        <v>Camila</v>
      </c>
      <c r="C1334" s="7" t="str">
        <f>_xlfn.XLOOKUP(Vendas[[#This Row],[ID Vendedor]],Vendedores[ID],Vendedores[Setor])</f>
        <v>AHD</v>
      </c>
      <c r="D1334" s="7" t="s">
        <v>9</v>
      </c>
      <c r="E1334" t="str">
        <f>_xlfn.XLOOKUP(Vendas[[#This Row],[ID Item Vendido]],Agregado[ID],Agregado[Produto])</f>
        <v>Barra de aço simples</v>
      </c>
      <c r="F1334" s="39">
        <v>44514</v>
      </c>
      <c r="G1334" s="7">
        <v>135</v>
      </c>
      <c r="H1334" s="3">
        <f>_xlfn.XLOOKUP(Vendas[[#This Row],[ID Item Vendido]],Agregado[ID],Agregado[Revenda])</f>
        <v>6.7</v>
      </c>
      <c r="I1334" s="3">
        <f>Vendas[[#This Row],[Valor Unitário]]*Vendas[[#This Row],[Qnt Vendida]]</f>
        <v>904.5</v>
      </c>
      <c r="J1334" s="3">
        <f>Vendas[[#This Row],[Valor da Venda]]-(_xlfn.XLOOKUP(Vendas[[#This Row],[ID Item Vendido]],Agregado[ID],Agregado[Custo])*Vendas[[#This Row],[Qnt Vendida]])</f>
        <v>121.5</v>
      </c>
      <c r="K1334" s="70">
        <f>Vendas[[#This Row],[Lucro da Venda]]/Vendas[[#This Row],[Valor da Venda]]</f>
        <v>0.13432835820895522</v>
      </c>
      <c r="L1334" s="3">
        <f>_xlfn.IFS(Vendas[[#This Row],[Margem de Lucro (%)]]&lt;15%,Vendas[[#This Row],[Valor da Venda]]*3%,Vendas[[#This Row],[Margem de Lucro (%)]]&lt;=20%,Vendas[[#This Row],[Valor da Venda]]*4.5%,TRUE,Vendas[[#This Row],[Valor da Venda]]*6%)</f>
        <v>27.134999999999998</v>
      </c>
      <c r="M1334"/>
    </row>
    <row r="1335" spans="1:13" x14ac:dyDescent="0.3">
      <c r="A1335" s="7">
        <v>400241</v>
      </c>
      <c r="B1335" t="str">
        <f>_xlfn.XLOOKUP(Vendas[[#This Row],[ID Vendedor]],Vendedores[ID],Vendedores[Nome])</f>
        <v>Rodrigo</v>
      </c>
      <c r="C1335" s="7" t="str">
        <f>_xlfn.XLOOKUP(Vendas[[#This Row],[ID Vendedor]],Vendedores[ID],Vendedores[Setor])</f>
        <v>FM</v>
      </c>
      <c r="D1335" s="7" t="s">
        <v>47</v>
      </c>
      <c r="E1335" t="str">
        <f>_xlfn.XLOOKUP(Vendas[[#This Row],[ID Item Vendido]],Agregado[ID],Agregado[Produto])</f>
        <v>Fio de arame galvanizado rolo 50m</v>
      </c>
      <c r="F1335" s="39">
        <v>44514</v>
      </c>
      <c r="G1335" s="7">
        <v>36</v>
      </c>
      <c r="H1335" s="3">
        <f>_xlfn.XLOOKUP(Vendas[[#This Row],[ID Item Vendido]],Agregado[ID],Agregado[Revenda])</f>
        <v>21.2</v>
      </c>
      <c r="I1335" s="3">
        <f>Vendas[[#This Row],[Valor Unitário]]*Vendas[[#This Row],[Qnt Vendida]]</f>
        <v>763.19999999999993</v>
      </c>
      <c r="J1335" s="3">
        <f>Vendas[[#This Row],[Valor da Venda]]-(_xlfn.XLOOKUP(Vendas[[#This Row],[ID Item Vendido]],Agregado[ID],Agregado[Custo])*Vendas[[#This Row],[Qnt Vendida]])</f>
        <v>115.19999999999993</v>
      </c>
      <c r="K1335" s="70">
        <f>Vendas[[#This Row],[Lucro da Venda]]/Vendas[[#This Row],[Valor da Venda]]</f>
        <v>0.15094339622641501</v>
      </c>
      <c r="L1335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1335"/>
    </row>
    <row r="1336" spans="1:13" x14ac:dyDescent="0.3">
      <c r="A1336" s="7">
        <v>400249</v>
      </c>
      <c r="B1336" t="str">
        <f>_xlfn.XLOOKUP(Vendas[[#This Row],[ID Vendedor]],Vendedores[ID],Vendedores[Nome])</f>
        <v>Bruno</v>
      </c>
      <c r="C1336" s="7" t="str">
        <f>_xlfn.XLOOKUP(Vendas[[#This Row],[ID Vendedor]],Vendedores[ID],Vendedores[Setor])</f>
        <v>CM</v>
      </c>
      <c r="D1336" s="7" t="s">
        <v>45</v>
      </c>
      <c r="E1336" t="str">
        <f>_xlfn.XLOOKUP(Vendas[[#This Row],[ID Item Vendido]],Agregado[ID],Agregado[Produto])</f>
        <v>Viga de madeira tratada 4m</v>
      </c>
      <c r="F1336" s="39">
        <v>44514</v>
      </c>
      <c r="G1336" s="7">
        <v>5</v>
      </c>
      <c r="H1336" s="3">
        <f>_xlfn.XLOOKUP(Vendas[[#This Row],[ID Item Vendido]],Agregado[ID],Agregado[Revenda])</f>
        <v>66</v>
      </c>
      <c r="I1336" s="3">
        <f>Vendas[[#This Row],[Valor Unitário]]*Vendas[[#This Row],[Qnt Vendida]]</f>
        <v>330</v>
      </c>
      <c r="J1336" s="3">
        <f>Vendas[[#This Row],[Valor da Venda]]-(_xlfn.XLOOKUP(Vendas[[#This Row],[ID Item Vendido]],Agregado[ID],Agregado[Custo])*Vendas[[#This Row],[Qnt Vendida]])</f>
        <v>55</v>
      </c>
      <c r="K1336" s="70">
        <f>Vendas[[#This Row],[Lucro da Venda]]/Vendas[[#This Row],[Valor da Venda]]</f>
        <v>0.16666666666666666</v>
      </c>
      <c r="L1336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1336"/>
    </row>
    <row r="1337" spans="1:13" x14ac:dyDescent="0.3">
      <c r="A1337" s="7">
        <v>400251</v>
      </c>
      <c r="B1337" t="str">
        <f>_xlfn.XLOOKUP(Vendas[[#This Row],[ID Vendedor]],Vendedores[ID],Vendedores[Nome])</f>
        <v>Diego</v>
      </c>
      <c r="C1337" s="7" t="str">
        <f>_xlfn.XLOOKUP(Vendas[[#This Row],[ID Vendedor]],Vendedores[ID],Vendedores[Setor])</f>
        <v>AB</v>
      </c>
      <c r="D1337" s="7" t="s">
        <v>24</v>
      </c>
      <c r="E1337" t="str">
        <f>_xlfn.XLOOKUP(Vendas[[#This Row],[ID Item Vendido]],Agregado[ID],Agregado[Produto])</f>
        <v>Resina plástica PET purificada saco de 25kg</v>
      </c>
      <c r="F1337" s="39">
        <v>44515</v>
      </c>
      <c r="G1337" s="7">
        <v>12</v>
      </c>
      <c r="H1337" s="3">
        <f>_xlfn.XLOOKUP(Vendas[[#This Row],[ID Item Vendido]],Agregado[ID],Agregado[Revenda])</f>
        <v>119</v>
      </c>
      <c r="I1337" s="3">
        <f>Vendas[[#This Row],[Valor Unitário]]*Vendas[[#This Row],[Qnt Vendida]]</f>
        <v>1428</v>
      </c>
      <c r="J1337" s="3">
        <f>Vendas[[#This Row],[Valor da Venda]]-(_xlfn.XLOOKUP(Vendas[[#This Row],[ID Item Vendido]],Agregado[ID],Agregado[Custo])*Vendas[[#This Row],[Qnt Vendida]])</f>
        <v>408</v>
      </c>
      <c r="K1337" s="70">
        <f>Vendas[[#This Row],[Lucro da Venda]]/Vendas[[#This Row],[Valor da Venda]]</f>
        <v>0.2857142857142857</v>
      </c>
      <c r="L1337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337"/>
    </row>
    <row r="1338" spans="1:13" x14ac:dyDescent="0.3">
      <c r="A1338" s="7">
        <v>400248</v>
      </c>
      <c r="B1338" t="str">
        <f>_xlfn.XLOOKUP(Vendas[[#This Row],[ID Vendedor]],Vendedores[ID],Vendedores[Nome])</f>
        <v>Patrícia</v>
      </c>
      <c r="C1338" s="7" t="str">
        <f>_xlfn.XLOOKUP(Vendas[[#This Row],[ID Vendedor]],Vendedores[ID],Vendedores[Setor])</f>
        <v>CM</v>
      </c>
      <c r="D1338" s="7" t="s">
        <v>43</v>
      </c>
      <c r="E1338" t="str">
        <f>_xlfn.XLOOKUP(Vendas[[#This Row],[ID Item Vendido]],Agregado[ID],Agregado[Produto])</f>
        <v>Madeira Bruta (Tora)</v>
      </c>
      <c r="F1338" s="39">
        <v>44515</v>
      </c>
      <c r="G1338" s="7">
        <v>4</v>
      </c>
      <c r="H1338" s="3">
        <f>_xlfn.XLOOKUP(Vendas[[#This Row],[ID Item Vendido]],Agregado[ID],Agregado[Revenda])</f>
        <v>212</v>
      </c>
      <c r="I1338" s="3">
        <f>Vendas[[#This Row],[Valor Unitário]]*Vendas[[#This Row],[Qnt Vendida]]</f>
        <v>848</v>
      </c>
      <c r="J1338" s="3">
        <f>Vendas[[#This Row],[Valor da Venda]]-(_xlfn.XLOOKUP(Vendas[[#This Row],[ID Item Vendido]],Agregado[ID],Agregado[Custo])*Vendas[[#This Row],[Qnt Vendida]])</f>
        <v>128</v>
      </c>
      <c r="K1338" s="70">
        <f>Vendas[[#This Row],[Lucro da Venda]]/Vendas[[#This Row],[Valor da Venda]]</f>
        <v>0.15094339622641509</v>
      </c>
      <c r="L133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338"/>
    </row>
    <row r="1339" spans="1:13" x14ac:dyDescent="0.3">
      <c r="A1339" s="7">
        <v>400249</v>
      </c>
      <c r="B1339" t="str">
        <f>_xlfn.XLOOKUP(Vendas[[#This Row],[ID Vendedor]],Vendedores[ID],Vendedores[Nome])</f>
        <v>Bruno</v>
      </c>
      <c r="C1339" s="7" t="str">
        <f>_xlfn.XLOOKUP(Vendas[[#This Row],[ID Vendedor]],Vendedores[ID],Vendedores[Setor])</f>
        <v>CM</v>
      </c>
      <c r="D1339" s="7" t="s">
        <v>34</v>
      </c>
      <c r="E1339" t="str">
        <f>_xlfn.XLOOKUP(Vendas[[#This Row],[ID Item Vendido]],Agregado[ID],Agregado[Produto])</f>
        <v>Restos de madeira p/ MDP/OSB saco de 20kg</v>
      </c>
      <c r="F1339" s="39">
        <v>44515</v>
      </c>
      <c r="G1339" s="7">
        <v>4</v>
      </c>
      <c r="H1339" s="3">
        <f>_xlfn.XLOOKUP(Vendas[[#This Row],[ID Item Vendido]],Agregado[ID],Agregado[Revenda])</f>
        <v>13.8</v>
      </c>
      <c r="I1339" s="3">
        <f>Vendas[[#This Row],[Valor Unitário]]*Vendas[[#This Row],[Qnt Vendida]]</f>
        <v>55.2</v>
      </c>
      <c r="J1339" s="3">
        <f>Vendas[[#This Row],[Valor da Venda]]-(_xlfn.XLOOKUP(Vendas[[#This Row],[ID Item Vendido]],Agregado[ID],Agregado[Custo])*Vendas[[#This Row],[Qnt Vendida]])</f>
        <v>7.2000000000000028</v>
      </c>
      <c r="K1339" s="70">
        <f>Vendas[[#This Row],[Lucro da Venda]]/Vendas[[#This Row],[Valor da Venda]]</f>
        <v>0.1304347826086957</v>
      </c>
      <c r="L1339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1339"/>
    </row>
    <row r="1340" spans="1:13" x14ac:dyDescent="0.3">
      <c r="A1340" s="7">
        <v>400243</v>
      </c>
      <c r="B1340" t="str">
        <f>_xlfn.XLOOKUP(Vendas[[#This Row],[ID Vendedor]],Vendedores[ID],Vendedores[Nome])</f>
        <v>Marcelo</v>
      </c>
      <c r="C1340" s="7" t="str">
        <f>_xlfn.XLOOKUP(Vendas[[#This Row],[ID Vendedor]],Vendedores[ID],Vendedores[Setor])</f>
        <v>FM</v>
      </c>
      <c r="D1340" s="7" t="s">
        <v>47</v>
      </c>
      <c r="E1340" t="str">
        <f>_xlfn.XLOOKUP(Vendas[[#This Row],[ID Item Vendido]],Agregado[ID],Agregado[Produto])</f>
        <v>Fio de arame galvanizado rolo 50m</v>
      </c>
      <c r="F1340" s="39">
        <v>44516</v>
      </c>
      <c r="G1340" s="7">
        <v>9</v>
      </c>
      <c r="H1340" s="3">
        <f>_xlfn.XLOOKUP(Vendas[[#This Row],[ID Item Vendido]],Agregado[ID],Agregado[Revenda])</f>
        <v>21.2</v>
      </c>
      <c r="I1340" s="3">
        <f>Vendas[[#This Row],[Valor Unitário]]*Vendas[[#This Row],[Qnt Vendida]]</f>
        <v>190.79999999999998</v>
      </c>
      <c r="J1340" s="3">
        <f>Vendas[[#This Row],[Valor da Venda]]-(_xlfn.XLOOKUP(Vendas[[#This Row],[ID Item Vendido]],Agregado[ID],Agregado[Custo])*Vendas[[#This Row],[Qnt Vendida]])</f>
        <v>28.799999999999983</v>
      </c>
      <c r="K1340" s="70">
        <f>Vendas[[#This Row],[Lucro da Venda]]/Vendas[[#This Row],[Valor da Venda]]</f>
        <v>0.15094339622641501</v>
      </c>
      <c r="L1340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1340"/>
    </row>
    <row r="1341" spans="1:13" x14ac:dyDescent="0.3">
      <c r="A1341" s="7">
        <v>400249</v>
      </c>
      <c r="B1341" t="str">
        <f>_xlfn.XLOOKUP(Vendas[[#This Row],[ID Vendedor]],Vendedores[ID],Vendedores[Nome])</f>
        <v>Bruno</v>
      </c>
      <c r="C1341" s="7" t="str">
        <f>_xlfn.XLOOKUP(Vendas[[#This Row],[ID Vendedor]],Vendedores[ID],Vendedores[Setor])</f>
        <v>CM</v>
      </c>
      <c r="D1341" s="7" t="s">
        <v>43</v>
      </c>
      <c r="E1341" t="str">
        <f>_xlfn.XLOOKUP(Vendas[[#This Row],[ID Item Vendido]],Agregado[ID],Agregado[Produto])</f>
        <v>Madeira Bruta (Tora)</v>
      </c>
      <c r="F1341" s="39">
        <v>44517</v>
      </c>
      <c r="G1341" s="7">
        <v>10</v>
      </c>
      <c r="H1341" s="3">
        <f>_xlfn.XLOOKUP(Vendas[[#This Row],[ID Item Vendido]],Agregado[ID],Agregado[Revenda])</f>
        <v>212</v>
      </c>
      <c r="I1341" s="3">
        <f>Vendas[[#This Row],[Valor Unitário]]*Vendas[[#This Row],[Qnt Vendida]]</f>
        <v>2120</v>
      </c>
      <c r="J1341" s="3">
        <f>Vendas[[#This Row],[Valor da Venda]]-(_xlfn.XLOOKUP(Vendas[[#This Row],[ID Item Vendido]],Agregado[ID],Agregado[Custo])*Vendas[[#This Row],[Qnt Vendida]])</f>
        <v>320</v>
      </c>
      <c r="K1341" s="70">
        <f>Vendas[[#This Row],[Lucro da Venda]]/Vendas[[#This Row],[Valor da Venda]]</f>
        <v>0.15094339622641509</v>
      </c>
      <c r="L1341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1341"/>
    </row>
    <row r="1342" spans="1:13" x14ac:dyDescent="0.3">
      <c r="A1342" s="7">
        <v>400244</v>
      </c>
      <c r="B1342" t="str">
        <f>_xlfn.XLOOKUP(Vendas[[#This Row],[ID Vendedor]],Vendedores[ID],Vendedores[Nome])</f>
        <v>Camila</v>
      </c>
      <c r="C1342" s="7" t="str">
        <f>_xlfn.XLOOKUP(Vendas[[#This Row],[ID Vendedor]],Vendedores[ID],Vendedores[Setor])</f>
        <v>AHD</v>
      </c>
      <c r="D1342" s="7" t="s">
        <v>30</v>
      </c>
      <c r="E1342" t="str">
        <f>_xlfn.XLOOKUP(Vendas[[#This Row],[ID Item Vendido]],Agregado[ID],Agregado[Produto])</f>
        <v>Estrutura metálica soldada</v>
      </c>
      <c r="F1342" s="39">
        <v>44518</v>
      </c>
      <c r="G1342" s="7">
        <v>4</v>
      </c>
      <c r="H1342" s="3">
        <f>_xlfn.XLOOKUP(Vendas[[#This Row],[ID Item Vendido]],Agregado[ID],Agregado[Revenda])</f>
        <v>400</v>
      </c>
      <c r="I1342" s="3">
        <f>Vendas[[#This Row],[Valor Unitário]]*Vendas[[#This Row],[Qnt Vendida]]</f>
        <v>1600</v>
      </c>
      <c r="J1342" s="3">
        <f>Vendas[[#This Row],[Valor da Venda]]-(_xlfn.XLOOKUP(Vendas[[#This Row],[ID Item Vendido]],Agregado[ID],Agregado[Custo])*Vendas[[#This Row],[Qnt Vendida]])</f>
        <v>320</v>
      </c>
      <c r="K1342" s="70">
        <f>Vendas[[#This Row],[Lucro da Venda]]/Vendas[[#This Row],[Valor da Venda]]</f>
        <v>0.2</v>
      </c>
      <c r="L1342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1342"/>
    </row>
    <row r="1343" spans="1:13" x14ac:dyDescent="0.3">
      <c r="A1343" s="7">
        <v>400243</v>
      </c>
      <c r="B1343" t="str">
        <f>_xlfn.XLOOKUP(Vendas[[#This Row],[ID Vendedor]],Vendedores[ID],Vendedores[Nome])</f>
        <v>Marcelo</v>
      </c>
      <c r="C1343" s="7" t="str">
        <f>_xlfn.XLOOKUP(Vendas[[#This Row],[ID Vendedor]],Vendedores[ID],Vendedores[Setor])</f>
        <v>FM</v>
      </c>
      <c r="D1343" s="7" t="s">
        <v>27</v>
      </c>
      <c r="E1343" t="str">
        <f>_xlfn.XLOOKUP(Vendas[[#This Row],[ID Item Vendido]],Agregado[ID],Agregado[Produto])</f>
        <v>Chapa de metal lisa 1x2m</v>
      </c>
      <c r="F1343" s="39">
        <v>44518</v>
      </c>
      <c r="G1343" s="7">
        <v>11</v>
      </c>
      <c r="H1343" s="3">
        <f>_xlfn.XLOOKUP(Vendas[[#This Row],[ID Item Vendido]],Agregado[ID],Agregado[Revenda])</f>
        <v>52</v>
      </c>
      <c r="I1343" s="3">
        <f>Vendas[[#This Row],[Valor Unitário]]*Vendas[[#This Row],[Qnt Vendida]]</f>
        <v>572</v>
      </c>
      <c r="J1343" s="3">
        <f>Vendas[[#This Row],[Valor da Venda]]-(_xlfn.XLOOKUP(Vendas[[#This Row],[ID Item Vendido]],Agregado[ID],Agregado[Custo])*Vendas[[#This Row],[Qnt Vendida]])</f>
        <v>77</v>
      </c>
      <c r="K1343" s="70">
        <f>Vendas[[#This Row],[Lucro da Venda]]/Vendas[[#This Row],[Valor da Venda]]</f>
        <v>0.13461538461538461</v>
      </c>
      <c r="L1343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1343"/>
    </row>
    <row r="1344" spans="1:13" x14ac:dyDescent="0.3">
      <c r="A1344" s="7">
        <v>400249</v>
      </c>
      <c r="B1344" t="str">
        <f>_xlfn.XLOOKUP(Vendas[[#This Row],[ID Vendedor]],Vendedores[ID],Vendedores[Nome])</f>
        <v>Bruno</v>
      </c>
      <c r="C1344" s="7" t="str">
        <f>_xlfn.XLOOKUP(Vendas[[#This Row],[ID Vendedor]],Vendedores[ID],Vendedores[Setor])</f>
        <v>CM</v>
      </c>
      <c r="D1344" s="7" t="s">
        <v>22</v>
      </c>
      <c r="E1344" t="str">
        <f>_xlfn.XLOOKUP(Vendas[[#This Row],[ID Item Vendido]],Agregado[ID],Agregado[Produto])</f>
        <v>Painel MDP 2,75x1,83m</v>
      </c>
      <c r="F1344" s="39">
        <v>44519</v>
      </c>
      <c r="G1344" s="7">
        <v>19</v>
      </c>
      <c r="H1344" s="3">
        <f>_xlfn.XLOOKUP(Vendas[[#This Row],[ID Item Vendido]],Agregado[ID],Agregado[Revenda])</f>
        <v>119</v>
      </c>
      <c r="I1344" s="3">
        <f>Vendas[[#This Row],[Valor Unitário]]*Vendas[[#This Row],[Qnt Vendida]]</f>
        <v>2261</v>
      </c>
      <c r="J1344" s="3">
        <f>Vendas[[#This Row],[Valor da Venda]]-(_xlfn.XLOOKUP(Vendas[[#This Row],[ID Item Vendido]],Agregado[ID],Agregado[Custo])*Vendas[[#This Row],[Qnt Vendida]])</f>
        <v>456</v>
      </c>
      <c r="K1344" s="70">
        <f>Vendas[[#This Row],[Lucro da Venda]]/Vendas[[#This Row],[Valor da Venda]]</f>
        <v>0.20168067226890757</v>
      </c>
      <c r="L1344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1344"/>
    </row>
    <row r="1345" spans="1:13" x14ac:dyDescent="0.3">
      <c r="A1345" s="7">
        <v>400241</v>
      </c>
      <c r="B1345" t="str">
        <f>_xlfn.XLOOKUP(Vendas[[#This Row],[ID Vendedor]],Vendedores[ID],Vendedores[Nome])</f>
        <v>Rodrigo</v>
      </c>
      <c r="C1345" s="7" t="str">
        <f>_xlfn.XLOOKUP(Vendas[[#This Row],[ID Vendedor]],Vendedores[ID],Vendedores[Setor])</f>
        <v>FM</v>
      </c>
      <c r="D1345" s="7" t="s">
        <v>47</v>
      </c>
      <c r="E1345" t="str">
        <f>_xlfn.XLOOKUP(Vendas[[#This Row],[ID Item Vendido]],Agregado[ID],Agregado[Produto])</f>
        <v>Fio de arame galvanizado rolo 50m</v>
      </c>
      <c r="F1345" s="39">
        <v>44519</v>
      </c>
      <c r="G1345" s="7">
        <v>11</v>
      </c>
      <c r="H1345" s="3">
        <f>_xlfn.XLOOKUP(Vendas[[#This Row],[ID Item Vendido]],Agregado[ID],Agregado[Revenda])</f>
        <v>21.2</v>
      </c>
      <c r="I1345" s="3">
        <f>Vendas[[#This Row],[Valor Unitário]]*Vendas[[#This Row],[Qnt Vendida]]</f>
        <v>233.2</v>
      </c>
      <c r="J1345" s="3">
        <f>Vendas[[#This Row],[Valor da Venda]]-(_xlfn.XLOOKUP(Vendas[[#This Row],[ID Item Vendido]],Agregado[ID],Agregado[Custo])*Vendas[[#This Row],[Qnt Vendida]])</f>
        <v>35.199999999999989</v>
      </c>
      <c r="K1345" s="70">
        <f>Vendas[[#This Row],[Lucro da Venda]]/Vendas[[#This Row],[Valor da Venda]]</f>
        <v>0.15094339622641506</v>
      </c>
      <c r="L1345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1345"/>
    </row>
    <row r="1346" spans="1:13" x14ac:dyDescent="0.3">
      <c r="A1346" s="7">
        <v>400241</v>
      </c>
      <c r="B1346" t="str">
        <f>_xlfn.XLOOKUP(Vendas[[#This Row],[ID Vendedor]],Vendedores[ID],Vendedores[Nome])</f>
        <v>Rodrigo</v>
      </c>
      <c r="C1346" s="7" t="str">
        <f>_xlfn.XLOOKUP(Vendas[[#This Row],[ID Vendedor]],Vendedores[ID],Vendedores[Setor])</f>
        <v>FM</v>
      </c>
      <c r="D1346" s="7" t="s">
        <v>20</v>
      </c>
      <c r="E1346" t="str">
        <f>_xlfn.XLOOKUP(Vendas[[#This Row],[ID Item Vendido]],Agregado[ID],Agregado[Produto])</f>
        <v>Barra de aço simples</v>
      </c>
      <c r="F1346" s="39">
        <v>44521</v>
      </c>
      <c r="G1346" s="7">
        <v>55</v>
      </c>
      <c r="H1346" s="3">
        <f>_xlfn.XLOOKUP(Vendas[[#This Row],[ID Item Vendido]],Agregado[ID],Agregado[Revenda])</f>
        <v>4.8</v>
      </c>
      <c r="I1346" s="3">
        <f>Vendas[[#This Row],[Valor Unitário]]*Vendas[[#This Row],[Qnt Vendida]]</f>
        <v>264</v>
      </c>
      <c r="J1346" s="3">
        <f>Vendas[[#This Row],[Valor da Venda]]-(_xlfn.XLOOKUP(Vendas[[#This Row],[ID Item Vendido]],Agregado[ID],Agregado[Custo])*Vendas[[#This Row],[Qnt Vendida]])</f>
        <v>33</v>
      </c>
      <c r="K1346" s="70">
        <f>Vendas[[#This Row],[Lucro da Venda]]/Vendas[[#This Row],[Valor da Venda]]</f>
        <v>0.125</v>
      </c>
      <c r="L1346" s="3">
        <f>_xlfn.IFS(Vendas[[#This Row],[Margem de Lucro (%)]]&lt;15%,Vendas[[#This Row],[Valor da Venda]]*3%,Vendas[[#This Row],[Margem de Lucro (%)]]&lt;=20%,Vendas[[#This Row],[Valor da Venda]]*4.5%,TRUE,Vendas[[#This Row],[Valor da Venda]]*6%)</f>
        <v>7.92</v>
      </c>
      <c r="M1346"/>
    </row>
    <row r="1347" spans="1:13" x14ac:dyDescent="0.3">
      <c r="A1347" s="7">
        <v>400244</v>
      </c>
      <c r="B1347" t="str">
        <f>_xlfn.XLOOKUP(Vendas[[#This Row],[ID Vendedor]],Vendedores[ID],Vendedores[Nome])</f>
        <v>Camila</v>
      </c>
      <c r="C1347" s="7" t="str">
        <f>_xlfn.XLOOKUP(Vendas[[#This Row],[ID Vendedor]],Vendedores[ID],Vendedores[Setor])</f>
        <v>AHD</v>
      </c>
      <c r="D1347" s="7" t="s">
        <v>18</v>
      </c>
      <c r="E1347" t="str">
        <f>_xlfn.XLOOKUP(Vendas[[#This Row],[ID Item Vendido]],Agregado[ID],Agregado[Produto])</f>
        <v>Peça forjada sob encomenda</v>
      </c>
      <c r="F1347" s="39">
        <v>44522</v>
      </c>
      <c r="G1347" s="7">
        <v>6</v>
      </c>
      <c r="H1347" s="3">
        <f>_xlfn.XLOOKUP(Vendas[[#This Row],[ID Item Vendido]],Agregado[ID],Agregado[Revenda])</f>
        <v>264.60000000000002</v>
      </c>
      <c r="I1347" s="3">
        <f>Vendas[[#This Row],[Valor Unitário]]*Vendas[[#This Row],[Qnt Vendida]]</f>
        <v>1587.6000000000001</v>
      </c>
      <c r="J1347" s="3">
        <f>Vendas[[#This Row],[Valor da Venda]]-(_xlfn.XLOOKUP(Vendas[[#This Row],[ID Item Vendido]],Agregado[ID],Agregado[Custo])*Vendas[[#This Row],[Qnt Vendida]])</f>
        <v>87.600000000000136</v>
      </c>
      <c r="K1347" s="70">
        <f>Vendas[[#This Row],[Lucro da Venda]]/Vendas[[#This Row],[Valor da Venda]]</f>
        <v>5.5177626606198113E-2</v>
      </c>
      <c r="L134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347"/>
    </row>
    <row r="1348" spans="1:13" x14ac:dyDescent="0.3">
      <c r="A1348" s="7">
        <v>400255</v>
      </c>
      <c r="B1348" t="str">
        <f>_xlfn.XLOOKUP(Vendas[[#This Row],[ID Vendedor]],Vendedores[ID],Vendedores[Nome])</f>
        <v>Carlos</v>
      </c>
      <c r="C1348" s="7" t="str">
        <f>_xlfn.XLOOKUP(Vendas[[#This Row],[ID Vendedor]],Vendedores[ID],Vendedores[Setor])</f>
        <v>SC</v>
      </c>
      <c r="D1348" s="7" t="s">
        <v>41</v>
      </c>
      <c r="E1348" t="str">
        <f>_xlfn.XLOOKUP(Vendas[[#This Row],[ID Item Vendido]],Agregado[ID],Agregado[Produto])</f>
        <v>Palete de madeira reforçado</v>
      </c>
      <c r="F1348" s="39">
        <v>44522</v>
      </c>
      <c r="G1348" s="7">
        <v>7</v>
      </c>
      <c r="H1348" s="3">
        <f>_xlfn.XLOOKUP(Vendas[[#This Row],[ID Item Vendido]],Agregado[ID],Agregado[Revenda])</f>
        <v>131</v>
      </c>
      <c r="I1348" s="3">
        <f>Vendas[[#This Row],[Valor Unitário]]*Vendas[[#This Row],[Qnt Vendida]]</f>
        <v>917</v>
      </c>
      <c r="J1348" s="3">
        <f>Vendas[[#This Row],[Valor da Venda]]-(_xlfn.XLOOKUP(Vendas[[#This Row],[ID Item Vendido]],Agregado[ID],Agregado[Custo])*Vendas[[#This Row],[Qnt Vendida]])</f>
        <v>147</v>
      </c>
      <c r="K1348" s="70">
        <f>Vendas[[#This Row],[Lucro da Venda]]/Vendas[[#This Row],[Valor da Venda]]</f>
        <v>0.16030534351145037</v>
      </c>
      <c r="L1348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1348"/>
    </row>
    <row r="1349" spans="1:13" x14ac:dyDescent="0.3">
      <c r="A1349" s="7">
        <v>400241</v>
      </c>
      <c r="B1349" t="str">
        <f>_xlfn.XLOOKUP(Vendas[[#This Row],[ID Vendedor]],Vendedores[ID],Vendedores[Nome])</f>
        <v>Rodrigo</v>
      </c>
      <c r="C1349" s="7" t="str">
        <f>_xlfn.XLOOKUP(Vendas[[#This Row],[ID Vendedor]],Vendedores[ID],Vendedores[Setor])</f>
        <v>FM</v>
      </c>
      <c r="D1349" s="7" t="s">
        <v>20</v>
      </c>
      <c r="E1349" t="str">
        <f>_xlfn.XLOOKUP(Vendas[[#This Row],[ID Item Vendido]],Agregado[ID],Agregado[Produto])</f>
        <v>Barra de aço simples</v>
      </c>
      <c r="F1349" s="39">
        <v>44522</v>
      </c>
      <c r="G1349" s="7">
        <v>116</v>
      </c>
      <c r="H1349" s="3">
        <f>_xlfn.XLOOKUP(Vendas[[#This Row],[ID Item Vendido]],Agregado[ID],Agregado[Revenda])</f>
        <v>4.8</v>
      </c>
      <c r="I1349" s="3">
        <f>Vendas[[#This Row],[Valor Unitário]]*Vendas[[#This Row],[Qnt Vendida]]</f>
        <v>556.79999999999995</v>
      </c>
      <c r="J1349" s="3">
        <f>Vendas[[#This Row],[Valor da Venda]]-(_xlfn.XLOOKUP(Vendas[[#This Row],[ID Item Vendido]],Agregado[ID],Agregado[Custo])*Vendas[[#This Row],[Qnt Vendida]])</f>
        <v>69.599999999999909</v>
      </c>
      <c r="K1349" s="70">
        <f>Vendas[[#This Row],[Lucro da Venda]]/Vendas[[#This Row],[Valor da Venda]]</f>
        <v>0.12499999999999985</v>
      </c>
      <c r="L1349" s="3">
        <f>_xlfn.IFS(Vendas[[#This Row],[Margem de Lucro (%)]]&lt;15%,Vendas[[#This Row],[Valor da Venda]]*3%,Vendas[[#This Row],[Margem de Lucro (%)]]&lt;=20%,Vendas[[#This Row],[Valor da Venda]]*4.5%,TRUE,Vendas[[#This Row],[Valor da Venda]]*6%)</f>
        <v>16.703999999999997</v>
      </c>
      <c r="M1349"/>
    </row>
    <row r="1350" spans="1:13" x14ac:dyDescent="0.3">
      <c r="A1350" s="7">
        <v>400255</v>
      </c>
      <c r="B1350" t="str">
        <f>_xlfn.XLOOKUP(Vendas[[#This Row],[ID Vendedor]],Vendedores[ID],Vendedores[Nome])</f>
        <v>Carlos</v>
      </c>
      <c r="C1350" s="7" t="str">
        <f>_xlfn.XLOOKUP(Vendas[[#This Row],[ID Vendedor]],Vendedores[ID],Vendedores[Setor])</f>
        <v>SC</v>
      </c>
      <c r="D1350" s="7" t="s">
        <v>41</v>
      </c>
      <c r="E1350" t="str">
        <f>_xlfn.XLOOKUP(Vendas[[#This Row],[ID Item Vendido]],Agregado[ID],Agregado[Produto])</f>
        <v>Palete de madeira reforçado</v>
      </c>
      <c r="F1350" s="39">
        <v>44522</v>
      </c>
      <c r="G1350" s="7">
        <v>4</v>
      </c>
      <c r="H1350" s="3">
        <f>_xlfn.XLOOKUP(Vendas[[#This Row],[ID Item Vendido]],Agregado[ID],Agregado[Revenda])</f>
        <v>131</v>
      </c>
      <c r="I1350" s="3">
        <f>Vendas[[#This Row],[Valor Unitário]]*Vendas[[#This Row],[Qnt Vendida]]</f>
        <v>524</v>
      </c>
      <c r="J1350" s="3">
        <f>Vendas[[#This Row],[Valor da Venda]]-(_xlfn.XLOOKUP(Vendas[[#This Row],[ID Item Vendido]],Agregado[ID],Agregado[Custo])*Vendas[[#This Row],[Qnt Vendida]])</f>
        <v>84</v>
      </c>
      <c r="K1350" s="70">
        <f>Vendas[[#This Row],[Lucro da Venda]]/Vendas[[#This Row],[Valor da Venda]]</f>
        <v>0.16030534351145037</v>
      </c>
      <c r="L1350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350"/>
    </row>
    <row r="1351" spans="1:13" x14ac:dyDescent="0.3">
      <c r="A1351" s="7">
        <v>400243</v>
      </c>
      <c r="B1351" t="str">
        <f>_xlfn.XLOOKUP(Vendas[[#This Row],[ID Vendedor]],Vendedores[ID],Vendedores[Nome])</f>
        <v>Marcelo</v>
      </c>
      <c r="C1351" s="7" t="str">
        <f>_xlfn.XLOOKUP(Vendas[[#This Row],[ID Vendedor]],Vendedores[ID],Vendedores[Setor])</f>
        <v>FM</v>
      </c>
      <c r="D1351" s="7" t="s">
        <v>31</v>
      </c>
      <c r="E1351" t="str">
        <f>_xlfn.XLOOKUP(Vendas[[#This Row],[ID Item Vendido]],Agregado[ID],Agregado[Produto])</f>
        <v>Tela de metal soldada rolo 2x25m</v>
      </c>
      <c r="F1351" s="39">
        <v>44522</v>
      </c>
      <c r="G1351" s="7">
        <v>9</v>
      </c>
      <c r="H1351" s="3">
        <f>_xlfn.XLOOKUP(Vendas[[#This Row],[ID Item Vendido]],Agregado[ID],Agregado[Revenda])</f>
        <v>43.7</v>
      </c>
      <c r="I1351" s="3">
        <f>Vendas[[#This Row],[Valor Unitário]]*Vendas[[#This Row],[Qnt Vendida]]</f>
        <v>393.3</v>
      </c>
      <c r="J1351" s="3">
        <f>Vendas[[#This Row],[Valor da Venda]]-(_xlfn.XLOOKUP(Vendas[[#This Row],[ID Item Vendido]],Agregado[ID],Agregado[Custo])*Vendas[[#This Row],[Qnt Vendida]])</f>
        <v>51.300000000000011</v>
      </c>
      <c r="K1351" s="70">
        <f>Vendas[[#This Row],[Lucro da Venda]]/Vendas[[#This Row],[Valor da Venda]]</f>
        <v>0.13043478260869568</v>
      </c>
      <c r="L1351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1351"/>
    </row>
    <row r="1352" spans="1:13" x14ac:dyDescent="0.3">
      <c r="A1352" s="7">
        <v>400253</v>
      </c>
      <c r="B1352" t="str">
        <f>_xlfn.XLOOKUP(Vendas[[#This Row],[ID Vendedor]],Vendedores[ID],Vendedores[Nome])</f>
        <v>Gustavo</v>
      </c>
      <c r="C1352" s="7" t="str">
        <f>_xlfn.XLOOKUP(Vendas[[#This Row],[ID Vendedor]],Vendedores[ID],Vendedores[Setor])</f>
        <v>SC</v>
      </c>
      <c r="D1352" s="7" t="s">
        <v>42</v>
      </c>
      <c r="E1352" t="str">
        <f>_xlfn.XLOOKUP(Vendas[[#This Row],[ID Item Vendido]],Agregado[ID],Agregado[Produto])</f>
        <v>Container de ferro industrial</v>
      </c>
      <c r="F1352" s="39">
        <v>44523</v>
      </c>
      <c r="G1352" s="7">
        <v>5</v>
      </c>
      <c r="H1352" s="3">
        <f>_xlfn.XLOOKUP(Vendas[[#This Row],[ID Item Vendido]],Agregado[ID],Agregado[Revenda])</f>
        <v>830</v>
      </c>
      <c r="I1352" s="3">
        <f>Vendas[[#This Row],[Valor Unitário]]*Vendas[[#This Row],[Qnt Vendida]]</f>
        <v>4150</v>
      </c>
      <c r="J1352" s="3">
        <f>Vendas[[#This Row],[Valor da Venda]]-(_xlfn.XLOOKUP(Vendas[[#This Row],[ID Item Vendido]],Agregado[ID],Agregado[Custo])*Vendas[[#This Row],[Qnt Vendida]])</f>
        <v>750</v>
      </c>
      <c r="K1352" s="70">
        <f>Vendas[[#This Row],[Lucro da Venda]]/Vendas[[#This Row],[Valor da Venda]]</f>
        <v>0.18072289156626506</v>
      </c>
      <c r="L1352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352"/>
    </row>
    <row r="1353" spans="1:13" x14ac:dyDescent="0.3">
      <c r="A1353" s="7">
        <v>400243</v>
      </c>
      <c r="B1353" t="str">
        <f>_xlfn.XLOOKUP(Vendas[[#This Row],[ID Vendedor]],Vendedores[ID],Vendedores[Nome])</f>
        <v>Marcelo</v>
      </c>
      <c r="C1353" s="7" t="str">
        <f>_xlfn.XLOOKUP(Vendas[[#This Row],[ID Vendedor]],Vendedores[ID],Vendedores[Setor])</f>
        <v>FM</v>
      </c>
      <c r="D1353" s="7" t="s">
        <v>27</v>
      </c>
      <c r="E1353" t="str">
        <f>_xlfn.XLOOKUP(Vendas[[#This Row],[ID Item Vendido]],Agregado[ID],Agregado[Produto])</f>
        <v>Chapa de metal lisa 1x2m</v>
      </c>
      <c r="F1353" s="39">
        <v>44523</v>
      </c>
      <c r="G1353" s="7">
        <v>16</v>
      </c>
      <c r="H1353" s="3">
        <f>_xlfn.XLOOKUP(Vendas[[#This Row],[ID Item Vendido]],Agregado[ID],Agregado[Revenda])</f>
        <v>52</v>
      </c>
      <c r="I1353" s="3">
        <f>Vendas[[#This Row],[Valor Unitário]]*Vendas[[#This Row],[Qnt Vendida]]</f>
        <v>832</v>
      </c>
      <c r="J1353" s="3">
        <f>Vendas[[#This Row],[Valor da Venda]]-(_xlfn.XLOOKUP(Vendas[[#This Row],[ID Item Vendido]],Agregado[ID],Agregado[Custo])*Vendas[[#This Row],[Qnt Vendida]])</f>
        <v>112</v>
      </c>
      <c r="K1353" s="70">
        <f>Vendas[[#This Row],[Lucro da Venda]]/Vendas[[#This Row],[Valor da Venda]]</f>
        <v>0.13461538461538461</v>
      </c>
      <c r="L1353" s="3">
        <f>_xlfn.IFS(Vendas[[#This Row],[Margem de Lucro (%)]]&lt;15%,Vendas[[#This Row],[Valor da Venda]]*3%,Vendas[[#This Row],[Margem de Lucro (%)]]&lt;=20%,Vendas[[#This Row],[Valor da Venda]]*4.5%,TRUE,Vendas[[#This Row],[Valor da Venda]]*6%)</f>
        <v>24.96</v>
      </c>
      <c r="M1353"/>
    </row>
    <row r="1354" spans="1:13" x14ac:dyDescent="0.3">
      <c r="A1354" s="7">
        <v>400249</v>
      </c>
      <c r="B1354" t="str">
        <f>_xlfn.XLOOKUP(Vendas[[#This Row],[ID Vendedor]],Vendedores[ID],Vendedores[Nome])</f>
        <v>Bruno</v>
      </c>
      <c r="C1354" s="7" t="str">
        <f>_xlfn.XLOOKUP(Vendas[[#This Row],[ID Vendedor]],Vendedores[ID],Vendedores[Setor])</f>
        <v>CM</v>
      </c>
      <c r="D1354" s="7" t="s">
        <v>32</v>
      </c>
      <c r="E1354" t="str">
        <f>_xlfn.XLOOKUP(Vendas[[#This Row],[ID Item Vendido]],Agregado[ID],Agregado[Produto])</f>
        <v>Tábua tratada e cortada 3m</v>
      </c>
      <c r="F1354" s="39">
        <v>44525</v>
      </c>
      <c r="G1354" s="7">
        <v>30</v>
      </c>
      <c r="H1354" s="3">
        <f>_xlfn.XLOOKUP(Vendas[[#This Row],[ID Item Vendido]],Agregado[ID],Agregado[Revenda])</f>
        <v>39</v>
      </c>
      <c r="I1354" s="3">
        <f>Vendas[[#This Row],[Valor Unitário]]*Vendas[[#This Row],[Qnt Vendida]]</f>
        <v>1170</v>
      </c>
      <c r="J1354" s="3">
        <f>Vendas[[#This Row],[Valor da Venda]]-(_xlfn.XLOOKUP(Vendas[[#This Row],[ID Item Vendido]],Agregado[ID],Agregado[Custo])*Vendas[[#This Row],[Qnt Vendida]])</f>
        <v>210</v>
      </c>
      <c r="K1354" s="70">
        <f>Vendas[[#This Row],[Lucro da Venda]]/Vendas[[#This Row],[Valor da Venda]]</f>
        <v>0.17948717948717949</v>
      </c>
      <c r="L1354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1354"/>
    </row>
    <row r="1355" spans="1:13" x14ac:dyDescent="0.3">
      <c r="A1355" s="7">
        <v>400250</v>
      </c>
      <c r="B1355" t="str">
        <f>_xlfn.XLOOKUP(Vendas[[#This Row],[ID Vendedor]],Vendedores[ID],Vendedores[Nome])</f>
        <v>Larissa</v>
      </c>
      <c r="C1355" s="7" t="str">
        <f>_xlfn.XLOOKUP(Vendas[[#This Row],[ID Vendedor]],Vendedores[ID],Vendedores[Setor])</f>
        <v>AB</v>
      </c>
      <c r="D1355" s="7" t="s">
        <v>12</v>
      </c>
      <c r="E1355" t="str">
        <f>_xlfn.XLOOKUP(Vendas[[#This Row],[ID Item Vendido]],Agregado[ID],Agregado[Produto])</f>
        <v>Grânulo de plástico reciclado refinado</v>
      </c>
      <c r="F1355" s="39">
        <v>44525</v>
      </c>
      <c r="G1355" s="7">
        <v>146</v>
      </c>
      <c r="H1355" s="3">
        <f>_xlfn.XLOOKUP(Vendas[[#This Row],[ID Item Vendido]],Agregado[ID],Agregado[Revenda])</f>
        <v>4.7</v>
      </c>
      <c r="I1355" s="3">
        <f>Vendas[[#This Row],[Valor Unitário]]*Vendas[[#This Row],[Qnt Vendida]]</f>
        <v>686.2</v>
      </c>
      <c r="J1355" s="3">
        <f>Vendas[[#This Row],[Valor da Venda]]-(_xlfn.XLOOKUP(Vendas[[#This Row],[ID Item Vendido]],Agregado[ID],Agregado[Custo])*Vendas[[#This Row],[Qnt Vendida]])</f>
        <v>175.20000000000005</v>
      </c>
      <c r="K1355" s="70">
        <f>Vendas[[#This Row],[Lucro da Venda]]/Vendas[[#This Row],[Valor da Venda]]</f>
        <v>0.25531914893617025</v>
      </c>
      <c r="L1355" s="3">
        <f>_xlfn.IFS(Vendas[[#This Row],[Margem de Lucro (%)]]&lt;15%,Vendas[[#This Row],[Valor da Venda]]*3%,Vendas[[#This Row],[Margem de Lucro (%)]]&lt;=20%,Vendas[[#This Row],[Valor da Venda]]*4.5%,TRUE,Vendas[[#This Row],[Valor da Venda]]*6%)</f>
        <v>41.172000000000004</v>
      </c>
      <c r="M1355"/>
    </row>
    <row r="1356" spans="1:13" x14ac:dyDescent="0.3">
      <c r="A1356" s="7">
        <v>400245</v>
      </c>
      <c r="B1356" t="str">
        <f>_xlfn.XLOOKUP(Vendas[[#This Row],[ID Vendedor]],Vendedores[ID],Vendedores[Nome])</f>
        <v>Thiago</v>
      </c>
      <c r="C1356" s="7" t="str">
        <f>_xlfn.XLOOKUP(Vendas[[#This Row],[ID Vendedor]],Vendedores[ID],Vendedores[Setor])</f>
        <v>AHD</v>
      </c>
      <c r="D1356" s="7" t="s">
        <v>30</v>
      </c>
      <c r="E1356" t="str">
        <f>_xlfn.XLOOKUP(Vendas[[#This Row],[ID Item Vendido]],Agregado[ID],Agregado[Produto])</f>
        <v>Estrutura metálica soldada</v>
      </c>
      <c r="F1356" s="39">
        <v>44526</v>
      </c>
      <c r="G1356" s="7">
        <v>8</v>
      </c>
      <c r="H1356" s="3">
        <f>_xlfn.XLOOKUP(Vendas[[#This Row],[ID Item Vendido]],Agregado[ID],Agregado[Revenda])</f>
        <v>400</v>
      </c>
      <c r="I1356" s="3">
        <f>Vendas[[#This Row],[Valor Unitário]]*Vendas[[#This Row],[Qnt Vendida]]</f>
        <v>3200</v>
      </c>
      <c r="J1356" s="3">
        <f>Vendas[[#This Row],[Valor da Venda]]-(_xlfn.XLOOKUP(Vendas[[#This Row],[ID Item Vendido]],Agregado[ID],Agregado[Custo])*Vendas[[#This Row],[Qnt Vendida]])</f>
        <v>640</v>
      </c>
      <c r="K1356" s="70">
        <f>Vendas[[#This Row],[Lucro da Venda]]/Vendas[[#This Row],[Valor da Venda]]</f>
        <v>0.2</v>
      </c>
      <c r="L1356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1356"/>
    </row>
    <row r="1357" spans="1:13" x14ac:dyDescent="0.3">
      <c r="A1357" s="7">
        <v>400241</v>
      </c>
      <c r="B1357" t="str">
        <f>_xlfn.XLOOKUP(Vendas[[#This Row],[ID Vendedor]],Vendedores[ID],Vendedores[Nome])</f>
        <v>Rodrigo</v>
      </c>
      <c r="C1357" s="7" t="str">
        <f>_xlfn.XLOOKUP(Vendas[[#This Row],[ID Vendedor]],Vendedores[ID],Vendedores[Setor])</f>
        <v>FM</v>
      </c>
      <c r="D1357" s="7" t="s">
        <v>27</v>
      </c>
      <c r="E1357" t="str">
        <f>_xlfn.XLOOKUP(Vendas[[#This Row],[ID Item Vendido]],Agregado[ID],Agregado[Produto])</f>
        <v>Chapa de metal lisa 1x2m</v>
      </c>
      <c r="F1357" s="39">
        <v>44526</v>
      </c>
      <c r="G1357" s="7">
        <v>15</v>
      </c>
      <c r="H1357" s="3">
        <f>_xlfn.XLOOKUP(Vendas[[#This Row],[ID Item Vendido]],Agregado[ID],Agregado[Revenda])</f>
        <v>52</v>
      </c>
      <c r="I1357" s="3">
        <f>Vendas[[#This Row],[Valor Unitário]]*Vendas[[#This Row],[Qnt Vendida]]</f>
        <v>780</v>
      </c>
      <c r="J1357" s="3">
        <f>Vendas[[#This Row],[Valor da Venda]]-(_xlfn.XLOOKUP(Vendas[[#This Row],[ID Item Vendido]],Agregado[ID],Agregado[Custo])*Vendas[[#This Row],[Qnt Vendida]])</f>
        <v>105</v>
      </c>
      <c r="K1357" s="70">
        <f>Vendas[[#This Row],[Lucro da Venda]]/Vendas[[#This Row],[Valor da Venda]]</f>
        <v>0.13461538461538461</v>
      </c>
      <c r="L1357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1357"/>
    </row>
    <row r="1358" spans="1:13" x14ac:dyDescent="0.3">
      <c r="A1358" s="7">
        <v>400247</v>
      </c>
      <c r="B1358" t="str">
        <f>_xlfn.XLOOKUP(Vendas[[#This Row],[ID Vendedor]],Vendedores[ID],Vendedores[Nome])</f>
        <v>André</v>
      </c>
      <c r="C1358" s="7" t="str">
        <f>_xlfn.XLOOKUP(Vendas[[#This Row],[ID Vendedor]],Vendedores[ID],Vendedores[Setor])</f>
        <v>CM</v>
      </c>
      <c r="D1358" s="7" t="s">
        <v>32</v>
      </c>
      <c r="E1358" t="str">
        <f>_xlfn.XLOOKUP(Vendas[[#This Row],[ID Item Vendido]],Agregado[ID],Agregado[Produto])</f>
        <v>Tábua tratada e cortada 3m</v>
      </c>
      <c r="F1358" s="39">
        <v>44527</v>
      </c>
      <c r="G1358" s="7">
        <v>20</v>
      </c>
      <c r="H1358" s="3">
        <f>_xlfn.XLOOKUP(Vendas[[#This Row],[ID Item Vendido]],Agregado[ID],Agregado[Revenda])</f>
        <v>39</v>
      </c>
      <c r="I1358" s="3">
        <f>Vendas[[#This Row],[Valor Unitário]]*Vendas[[#This Row],[Qnt Vendida]]</f>
        <v>780</v>
      </c>
      <c r="J1358" s="3">
        <f>Vendas[[#This Row],[Valor da Venda]]-(_xlfn.XLOOKUP(Vendas[[#This Row],[ID Item Vendido]],Agregado[ID],Agregado[Custo])*Vendas[[#This Row],[Qnt Vendida]])</f>
        <v>140</v>
      </c>
      <c r="K1358" s="70">
        <f>Vendas[[#This Row],[Lucro da Venda]]/Vendas[[#This Row],[Valor da Venda]]</f>
        <v>0.17948717948717949</v>
      </c>
      <c r="L1358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1358"/>
    </row>
    <row r="1359" spans="1:13" x14ac:dyDescent="0.3">
      <c r="A1359" s="7">
        <v>400245</v>
      </c>
      <c r="B1359" t="str">
        <f>_xlfn.XLOOKUP(Vendas[[#This Row],[ID Vendedor]],Vendedores[ID],Vendedores[Nome])</f>
        <v>Thiago</v>
      </c>
      <c r="C1359" s="7" t="str">
        <f>_xlfn.XLOOKUP(Vendas[[#This Row],[ID Vendedor]],Vendedores[ID],Vendedores[Setor])</f>
        <v>AHD</v>
      </c>
      <c r="D1359" s="7" t="s">
        <v>44</v>
      </c>
      <c r="E1359" t="str">
        <f>_xlfn.XLOOKUP(Vendas[[#This Row],[ID Item Vendido]],Agregado[ID],Agregado[Produto])</f>
        <v>Liga metálica especial</v>
      </c>
      <c r="F1359" s="39">
        <v>44528</v>
      </c>
      <c r="G1359" s="7">
        <v>39</v>
      </c>
      <c r="H1359" s="3">
        <f>_xlfn.XLOOKUP(Vendas[[#This Row],[ID Item Vendido]],Agregado[ID],Agregado[Revenda])</f>
        <v>32.5</v>
      </c>
      <c r="I1359" s="3">
        <f>Vendas[[#This Row],[Valor Unitário]]*Vendas[[#This Row],[Qnt Vendida]]</f>
        <v>1267.5</v>
      </c>
      <c r="J1359" s="3">
        <f>Vendas[[#This Row],[Valor da Venda]]-(_xlfn.XLOOKUP(Vendas[[#This Row],[ID Item Vendido]],Agregado[ID],Agregado[Custo])*Vendas[[#This Row],[Qnt Vendida]])</f>
        <v>292.5</v>
      </c>
      <c r="K1359" s="70">
        <f>Vendas[[#This Row],[Lucro da Venda]]/Vendas[[#This Row],[Valor da Venda]]</f>
        <v>0.23076923076923078</v>
      </c>
      <c r="L1359" s="3">
        <f>_xlfn.IFS(Vendas[[#This Row],[Margem de Lucro (%)]]&lt;15%,Vendas[[#This Row],[Valor da Venda]]*3%,Vendas[[#This Row],[Margem de Lucro (%)]]&lt;=20%,Vendas[[#This Row],[Valor da Venda]]*4.5%,TRUE,Vendas[[#This Row],[Valor da Venda]]*6%)</f>
        <v>76.05</v>
      </c>
      <c r="M1359"/>
    </row>
    <row r="1360" spans="1:13" x14ac:dyDescent="0.3">
      <c r="A1360" s="7">
        <v>400245</v>
      </c>
      <c r="B1360" t="str">
        <f>_xlfn.XLOOKUP(Vendas[[#This Row],[ID Vendedor]],Vendedores[ID],Vendedores[Nome])</f>
        <v>Thiago</v>
      </c>
      <c r="C1360" s="7" t="str">
        <f>_xlfn.XLOOKUP(Vendas[[#This Row],[ID Vendedor]],Vendedores[ID],Vendedores[Setor])</f>
        <v>AHD</v>
      </c>
      <c r="D1360" s="7" t="s">
        <v>44</v>
      </c>
      <c r="E1360" t="str">
        <f>_xlfn.XLOOKUP(Vendas[[#This Row],[ID Item Vendido]],Agregado[ID],Agregado[Produto])</f>
        <v>Liga metálica especial</v>
      </c>
      <c r="F1360" s="39">
        <v>44530</v>
      </c>
      <c r="G1360" s="7">
        <v>11</v>
      </c>
      <c r="H1360" s="3">
        <f>_xlfn.XLOOKUP(Vendas[[#This Row],[ID Item Vendido]],Agregado[ID],Agregado[Revenda])</f>
        <v>32.5</v>
      </c>
      <c r="I1360" s="3">
        <f>Vendas[[#This Row],[Valor Unitário]]*Vendas[[#This Row],[Qnt Vendida]]</f>
        <v>357.5</v>
      </c>
      <c r="J1360" s="3">
        <f>Vendas[[#This Row],[Valor da Venda]]-(_xlfn.XLOOKUP(Vendas[[#This Row],[ID Item Vendido]],Agregado[ID],Agregado[Custo])*Vendas[[#This Row],[Qnt Vendida]])</f>
        <v>82.5</v>
      </c>
      <c r="K1360" s="70">
        <f>Vendas[[#This Row],[Lucro da Venda]]/Vendas[[#This Row],[Valor da Venda]]</f>
        <v>0.23076923076923078</v>
      </c>
      <c r="L1360" s="3">
        <f>_xlfn.IFS(Vendas[[#This Row],[Margem de Lucro (%)]]&lt;15%,Vendas[[#This Row],[Valor da Venda]]*3%,Vendas[[#This Row],[Margem de Lucro (%)]]&lt;=20%,Vendas[[#This Row],[Valor da Venda]]*4.5%,TRUE,Vendas[[#This Row],[Valor da Venda]]*6%)</f>
        <v>21.45</v>
      </c>
      <c r="M1360"/>
    </row>
    <row r="1361" spans="1:13" x14ac:dyDescent="0.3">
      <c r="A1361" s="7">
        <v>400245</v>
      </c>
      <c r="B1361" t="str">
        <f>_xlfn.XLOOKUP(Vendas[[#This Row],[ID Vendedor]],Vendedores[ID],Vendedores[Nome])</f>
        <v>Thiago</v>
      </c>
      <c r="C1361" s="7" t="str">
        <f>_xlfn.XLOOKUP(Vendas[[#This Row],[ID Vendedor]],Vendedores[ID],Vendedores[Setor])</f>
        <v>AHD</v>
      </c>
      <c r="D1361" s="7" t="s">
        <v>18</v>
      </c>
      <c r="E1361" t="str">
        <f>_xlfn.XLOOKUP(Vendas[[#This Row],[ID Item Vendido]],Agregado[ID],Agregado[Produto])</f>
        <v>Peça forjada sob encomenda</v>
      </c>
      <c r="F1361" s="39">
        <v>44531</v>
      </c>
      <c r="G1361" s="7">
        <v>3</v>
      </c>
      <c r="H1361" s="3">
        <f>_xlfn.XLOOKUP(Vendas[[#This Row],[ID Item Vendido]],Agregado[ID],Agregado[Revenda])</f>
        <v>264.60000000000002</v>
      </c>
      <c r="I1361" s="3">
        <f>Vendas[[#This Row],[Valor Unitário]]*Vendas[[#This Row],[Qnt Vendida]]</f>
        <v>793.80000000000007</v>
      </c>
      <c r="J1361" s="3">
        <f>Vendas[[#This Row],[Valor da Venda]]-(_xlfn.XLOOKUP(Vendas[[#This Row],[ID Item Vendido]],Agregado[ID],Agregado[Custo])*Vendas[[#This Row],[Qnt Vendida]])</f>
        <v>43.800000000000068</v>
      </c>
      <c r="K1361" s="70">
        <f>Vendas[[#This Row],[Lucro da Venda]]/Vendas[[#This Row],[Valor da Venda]]</f>
        <v>5.5177626606198113E-2</v>
      </c>
      <c r="L1361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1361"/>
    </row>
    <row r="1362" spans="1:13" x14ac:dyDescent="0.3">
      <c r="A1362" s="7">
        <v>400244</v>
      </c>
      <c r="B1362" t="str">
        <f>_xlfn.XLOOKUP(Vendas[[#This Row],[ID Vendedor]],Vendedores[ID],Vendedores[Nome])</f>
        <v>Camila</v>
      </c>
      <c r="C1362" s="7" t="str">
        <f>_xlfn.XLOOKUP(Vendas[[#This Row],[ID Vendedor]],Vendedores[ID],Vendedores[Setor])</f>
        <v>AHD</v>
      </c>
      <c r="D1362" s="7" t="s">
        <v>18</v>
      </c>
      <c r="E1362" t="str">
        <f>_xlfn.XLOOKUP(Vendas[[#This Row],[ID Item Vendido]],Agregado[ID],Agregado[Produto])</f>
        <v>Peça forjada sob encomenda</v>
      </c>
      <c r="F1362" s="39">
        <v>44532</v>
      </c>
      <c r="G1362" s="7">
        <v>6</v>
      </c>
      <c r="H1362" s="3">
        <f>_xlfn.XLOOKUP(Vendas[[#This Row],[ID Item Vendido]],Agregado[ID],Agregado[Revenda])</f>
        <v>264.60000000000002</v>
      </c>
      <c r="I1362" s="3">
        <f>Vendas[[#This Row],[Valor Unitário]]*Vendas[[#This Row],[Qnt Vendida]]</f>
        <v>1587.6000000000001</v>
      </c>
      <c r="J1362" s="3">
        <f>Vendas[[#This Row],[Valor da Venda]]-(_xlfn.XLOOKUP(Vendas[[#This Row],[ID Item Vendido]],Agregado[ID],Agregado[Custo])*Vendas[[#This Row],[Qnt Vendida]])</f>
        <v>87.600000000000136</v>
      </c>
      <c r="K1362" s="70">
        <f>Vendas[[#This Row],[Lucro da Venda]]/Vendas[[#This Row],[Valor da Venda]]</f>
        <v>5.5177626606198113E-2</v>
      </c>
      <c r="L136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362"/>
    </row>
    <row r="1363" spans="1:13" x14ac:dyDescent="0.3">
      <c r="A1363" s="7">
        <v>400248</v>
      </c>
      <c r="B1363" t="str">
        <f>_xlfn.XLOOKUP(Vendas[[#This Row],[ID Vendedor]],Vendedores[ID],Vendedores[Nome])</f>
        <v>Patrícia</v>
      </c>
      <c r="C1363" s="7" t="str">
        <f>_xlfn.XLOOKUP(Vendas[[#This Row],[ID Vendedor]],Vendedores[ID],Vendedores[Setor])</f>
        <v>CM</v>
      </c>
      <c r="D1363" s="7" t="s">
        <v>34</v>
      </c>
      <c r="E1363" t="str">
        <f>_xlfn.XLOOKUP(Vendas[[#This Row],[ID Item Vendido]],Agregado[ID],Agregado[Produto])</f>
        <v>Restos de madeira p/ MDP/OSB saco de 20kg</v>
      </c>
      <c r="F1363" s="39">
        <v>44532</v>
      </c>
      <c r="G1363" s="7">
        <v>7</v>
      </c>
      <c r="H1363" s="3">
        <f>_xlfn.XLOOKUP(Vendas[[#This Row],[ID Item Vendido]],Agregado[ID],Agregado[Revenda])</f>
        <v>13.8</v>
      </c>
      <c r="I1363" s="3">
        <f>Vendas[[#This Row],[Valor Unitário]]*Vendas[[#This Row],[Qnt Vendida]]</f>
        <v>96.600000000000009</v>
      </c>
      <c r="J1363" s="3">
        <f>Vendas[[#This Row],[Valor da Venda]]-(_xlfn.XLOOKUP(Vendas[[#This Row],[ID Item Vendido]],Agregado[ID],Agregado[Custo])*Vendas[[#This Row],[Qnt Vendida]])</f>
        <v>12.600000000000009</v>
      </c>
      <c r="K1363" s="70">
        <f>Vendas[[#This Row],[Lucro da Venda]]/Vendas[[#This Row],[Valor da Venda]]</f>
        <v>0.13043478260869573</v>
      </c>
      <c r="L1363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1363"/>
    </row>
    <row r="1364" spans="1:13" x14ac:dyDescent="0.3">
      <c r="A1364" s="7">
        <v>400241</v>
      </c>
      <c r="B1364" t="str">
        <f>_xlfn.XLOOKUP(Vendas[[#This Row],[ID Vendedor]],Vendedores[ID],Vendedores[Nome])</f>
        <v>Rodrigo</v>
      </c>
      <c r="C1364" s="7" t="str">
        <f>_xlfn.XLOOKUP(Vendas[[#This Row],[ID Vendedor]],Vendedores[ID],Vendedores[Setor])</f>
        <v>FM</v>
      </c>
      <c r="D1364" s="7" t="s">
        <v>6</v>
      </c>
      <c r="E1364" t="str">
        <f>_xlfn.XLOOKUP(Vendas[[#This Row],[ID Item Vendido]],Agregado[ID],Agregado[Produto])</f>
        <v>Parafuso comum 500un</v>
      </c>
      <c r="F1364" s="39">
        <v>44535</v>
      </c>
      <c r="G1364" s="7">
        <v>9</v>
      </c>
      <c r="H1364" s="3">
        <f>_xlfn.XLOOKUP(Vendas[[#This Row],[ID Item Vendido]],Agregado[ID],Agregado[Revenda])</f>
        <v>24.6</v>
      </c>
      <c r="I1364" s="3">
        <f>Vendas[[#This Row],[Valor Unitário]]*Vendas[[#This Row],[Qnt Vendida]]</f>
        <v>221.4</v>
      </c>
      <c r="J1364" s="3">
        <f>Vendas[[#This Row],[Valor da Venda]]-(_xlfn.XLOOKUP(Vendas[[#This Row],[ID Item Vendido]],Agregado[ID],Agregado[Custo])*Vendas[[#This Row],[Qnt Vendida]])</f>
        <v>23.400000000000006</v>
      </c>
      <c r="K1364" s="70">
        <f>Vendas[[#This Row],[Lucro da Venda]]/Vendas[[#This Row],[Valor da Venda]]</f>
        <v>0.10569105691056913</v>
      </c>
      <c r="L1364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1364"/>
    </row>
    <row r="1365" spans="1:13" x14ac:dyDescent="0.3">
      <c r="A1365" s="7">
        <v>400244</v>
      </c>
      <c r="B1365" t="str">
        <f>_xlfn.XLOOKUP(Vendas[[#This Row],[ID Vendedor]],Vendedores[ID],Vendedores[Nome])</f>
        <v>Camila</v>
      </c>
      <c r="C1365" s="7" t="str">
        <f>_xlfn.XLOOKUP(Vendas[[#This Row],[ID Vendedor]],Vendedores[ID],Vendedores[Setor])</f>
        <v>AHD</v>
      </c>
      <c r="D1365" s="7" t="s">
        <v>9</v>
      </c>
      <c r="E1365" t="str">
        <f>_xlfn.XLOOKUP(Vendas[[#This Row],[ID Item Vendido]],Agregado[ID],Agregado[Produto])</f>
        <v>Barra de aço simples</v>
      </c>
      <c r="F1365" s="39">
        <v>44535</v>
      </c>
      <c r="G1365" s="7">
        <v>19</v>
      </c>
      <c r="H1365" s="3">
        <f>_xlfn.XLOOKUP(Vendas[[#This Row],[ID Item Vendido]],Agregado[ID],Agregado[Revenda])</f>
        <v>6.7</v>
      </c>
      <c r="I1365" s="3">
        <f>Vendas[[#This Row],[Valor Unitário]]*Vendas[[#This Row],[Qnt Vendida]]</f>
        <v>127.3</v>
      </c>
      <c r="J1365" s="3">
        <f>Vendas[[#This Row],[Valor da Venda]]-(_xlfn.XLOOKUP(Vendas[[#This Row],[ID Item Vendido]],Agregado[ID],Agregado[Custo])*Vendas[[#This Row],[Qnt Vendida]])</f>
        <v>17.099999999999994</v>
      </c>
      <c r="K1365" s="70">
        <f>Vendas[[#This Row],[Lucro da Venda]]/Vendas[[#This Row],[Valor da Venda]]</f>
        <v>0.1343283582089552</v>
      </c>
      <c r="L1365" s="3">
        <f>_xlfn.IFS(Vendas[[#This Row],[Margem de Lucro (%)]]&lt;15%,Vendas[[#This Row],[Valor da Venda]]*3%,Vendas[[#This Row],[Margem de Lucro (%)]]&lt;=20%,Vendas[[#This Row],[Valor da Venda]]*4.5%,TRUE,Vendas[[#This Row],[Valor da Venda]]*6%)</f>
        <v>3.819</v>
      </c>
      <c r="M1365"/>
    </row>
    <row r="1366" spans="1:13" x14ac:dyDescent="0.3">
      <c r="A1366" s="7">
        <v>400255</v>
      </c>
      <c r="B1366" t="str">
        <f>_xlfn.XLOOKUP(Vendas[[#This Row],[ID Vendedor]],Vendedores[ID],Vendedores[Nome])</f>
        <v>Carlos</v>
      </c>
      <c r="C1366" s="7" t="str">
        <f>_xlfn.XLOOKUP(Vendas[[#This Row],[ID Vendedor]],Vendedores[ID],Vendedores[Setor])</f>
        <v>SC</v>
      </c>
      <c r="D1366" s="7" t="s">
        <v>14</v>
      </c>
      <c r="E1366" t="str">
        <f>_xlfn.XLOOKUP(Vendas[[#This Row],[ID Item Vendido]],Agregado[ID],Agregado[Produto])</f>
        <v>Barril de plástico 200L</v>
      </c>
      <c r="F1366" s="39">
        <v>44536</v>
      </c>
      <c r="G1366" s="7">
        <v>11</v>
      </c>
      <c r="H1366" s="3">
        <f>_xlfn.XLOOKUP(Vendas[[#This Row],[ID Item Vendido]],Agregado[ID],Agregado[Revenda])</f>
        <v>114</v>
      </c>
      <c r="I1366" s="3">
        <f>Vendas[[#This Row],[Valor Unitário]]*Vendas[[#This Row],[Qnt Vendida]]</f>
        <v>1254</v>
      </c>
      <c r="J1366" s="3">
        <f>Vendas[[#This Row],[Valor da Venda]]-(_xlfn.XLOOKUP(Vendas[[#This Row],[ID Item Vendido]],Agregado[ID],Agregado[Custo])*Vendas[[#This Row],[Qnt Vendida]])</f>
        <v>209</v>
      </c>
      <c r="K1366" s="70">
        <f>Vendas[[#This Row],[Lucro da Venda]]/Vendas[[#This Row],[Valor da Venda]]</f>
        <v>0.16666666666666666</v>
      </c>
      <c r="L1366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1366"/>
    </row>
    <row r="1367" spans="1:13" x14ac:dyDescent="0.3">
      <c r="A1367" s="7">
        <v>400243</v>
      </c>
      <c r="B1367" t="str">
        <f>_xlfn.XLOOKUP(Vendas[[#This Row],[ID Vendedor]],Vendedores[ID],Vendedores[Nome])</f>
        <v>Marcelo</v>
      </c>
      <c r="C1367" s="7" t="str">
        <f>_xlfn.XLOOKUP(Vendas[[#This Row],[ID Vendedor]],Vendedores[ID],Vendedores[Setor])</f>
        <v>FM</v>
      </c>
      <c r="D1367" s="7" t="s">
        <v>6</v>
      </c>
      <c r="E1367" t="str">
        <f>_xlfn.XLOOKUP(Vendas[[#This Row],[ID Item Vendido]],Agregado[ID],Agregado[Produto])</f>
        <v>Parafuso comum 500un</v>
      </c>
      <c r="F1367" s="39">
        <v>44536</v>
      </c>
      <c r="G1367" s="7">
        <v>12</v>
      </c>
      <c r="H1367" s="3">
        <f>_xlfn.XLOOKUP(Vendas[[#This Row],[ID Item Vendido]],Agregado[ID],Agregado[Revenda])</f>
        <v>24.6</v>
      </c>
      <c r="I1367" s="3">
        <f>Vendas[[#This Row],[Valor Unitário]]*Vendas[[#This Row],[Qnt Vendida]]</f>
        <v>295.20000000000005</v>
      </c>
      <c r="J1367" s="3">
        <f>Vendas[[#This Row],[Valor da Venda]]-(_xlfn.XLOOKUP(Vendas[[#This Row],[ID Item Vendido]],Agregado[ID],Agregado[Custo])*Vendas[[#This Row],[Qnt Vendida]])</f>
        <v>31.200000000000045</v>
      </c>
      <c r="K1367" s="70">
        <f>Vendas[[#This Row],[Lucro da Venda]]/Vendas[[#This Row],[Valor da Venda]]</f>
        <v>0.10569105691056924</v>
      </c>
      <c r="L1367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1367"/>
    </row>
    <row r="1368" spans="1:13" x14ac:dyDescent="0.3">
      <c r="A1368" s="7">
        <v>400243</v>
      </c>
      <c r="B1368" t="str">
        <f>_xlfn.XLOOKUP(Vendas[[#This Row],[ID Vendedor]],Vendedores[ID],Vendedores[Nome])</f>
        <v>Marcelo</v>
      </c>
      <c r="C1368" s="7" t="str">
        <f>_xlfn.XLOOKUP(Vendas[[#This Row],[ID Vendedor]],Vendedores[ID],Vendedores[Setor])</f>
        <v>FM</v>
      </c>
      <c r="D1368" s="7" t="s">
        <v>31</v>
      </c>
      <c r="E1368" t="str">
        <f>_xlfn.XLOOKUP(Vendas[[#This Row],[ID Item Vendido]],Agregado[ID],Agregado[Produto])</f>
        <v>Tela de metal soldada rolo 2x25m</v>
      </c>
      <c r="F1368" s="39">
        <v>44536</v>
      </c>
      <c r="G1368" s="7">
        <v>2</v>
      </c>
      <c r="H1368" s="3">
        <f>_xlfn.XLOOKUP(Vendas[[#This Row],[ID Item Vendido]],Agregado[ID],Agregado[Revenda])</f>
        <v>43.7</v>
      </c>
      <c r="I1368" s="3">
        <f>Vendas[[#This Row],[Valor Unitário]]*Vendas[[#This Row],[Qnt Vendida]]</f>
        <v>87.4</v>
      </c>
      <c r="J1368" s="3">
        <f>Vendas[[#This Row],[Valor da Venda]]-(_xlfn.XLOOKUP(Vendas[[#This Row],[ID Item Vendido]],Agregado[ID],Agregado[Custo])*Vendas[[#This Row],[Qnt Vendida]])</f>
        <v>11.400000000000006</v>
      </c>
      <c r="K1368" s="70">
        <f>Vendas[[#This Row],[Lucro da Venda]]/Vendas[[#This Row],[Valor da Venda]]</f>
        <v>0.1304347826086957</v>
      </c>
      <c r="L1368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1368"/>
    </row>
    <row r="1369" spans="1:13" x14ac:dyDescent="0.3">
      <c r="A1369" s="7">
        <v>400243</v>
      </c>
      <c r="B1369" t="str">
        <f>_xlfn.XLOOKUP(Vendas[[#This Row],[ID Vendedor]],Vendedores[ID],Vendedores[Nome])</f>
        <v>Marcelo</v>
      </c>
      <c r="C1369" s="7" t="str">
        <f>_xlfn.XLOOKUP(Vendas[[#This Row],[ID Vendedor]],Vendedores[ID],Vendedores[Setor])</f>
        <v>FM</v>
      </c>
      <c r="D1369" s="7" t="s">
        <v>47</v>
      </c>
      <c r="E1369" t="str">
        <f>_xlfn.XLOOKUP(Vendas[[#This Row],[ID Item Vendido]],Agregado[ID],Agregado[Produto])</f>
        <v>Fio de arame galvanizado rolo 50m</v>
      </c>
      <c r="F1369" s="39">
        <v>44537</v>
      </c>
      <c r="G1369" s="7">
        <v>34</v>
      </c>
      <c r="H1369" s="3">
        <f>_xlfn.XLOOKUP(Vendas[[#This Row],[ID Item Vendido]],Agregado[ID],Agregado[Revenda])</f>
        <v>21.2</v>
      </c>
      <c r="I1369" s="3">
        <f>Vendas[[#This Row],[Valor Unitário]]*Vendas[[#This Row],[Qnt Vendida]]</f>
        <v>720.8</v>
      </c>
      <c r="J1369" s="3">
        <f>Vendas[[#This Row],[Valor da Venda]]-(_xlfn.XLOOKUP(Vendas[[#This Row],[ID Item Vendido]],Agregado[ID],Agregado[Custo])*Vendas[[#This Row],[Qnt Vendida]])</f>
        <v>108.79999999999995</v>
      </c>
      <c r="K1369" s="70">
        <f>Vendas[[#This Row],[Lucro da Venda]]/Vendas[[#This Row],[Valor da Venda]]</f>
        <v>0.15094339622641503</v>
      </c>
      <c r="L1369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1369"/>
    </row>
    <row r="1370" spans="1:13" x14ac:dyDescent="0.3">
      <c r="A1370" s="7">
        <v>400251</v>
      </c>
      <c r="B1370" t="str">
        <f>_xlfn.XLOOKUP(Vendas[[#This Row],[ID Vendedor]],Vendedores[ID],Vendedores[Nome])</f>
        <v>Diego</v>
      </c>
      <c r="C1370" s="7" t="str">
        <f>_xlfn.XLOOKUP(Vendas[[#This Row],[ID Vendedor]],Vendedores[ID],Vendedores[Setor])</f>
        <v>AB</v>
      </c>
      <c r="D1370" s="7" t="s">
        <v>12</v>
      </c>
      <c r="E1370" t="str">
        <f>_xlfn.XLOOKUP(Vendas[[#This Row],[ID Item Vendido]],Agregado[ID],Agregado[Produto])</f>
        <v>Grânulo de plástico reciclado refinado</v>
      </c>
      <c r="F1370" s="39">
        <v>44537</v>
      </c>
      <c r="G1370" s="7">
        <v>114</v>
      </c>
      <c r="H1370" s="3">
        <f>_xlfn.XLOOKUP(Vendas[[#This Row],[ID Item Vendido]],Agregado[ID],Agregado[Revenda])</f>
        <v>4.7</v>
      </c>
      <c r="I1370" s="3">
        <f>Vendas[[#This Row],[Valor Unitário]]*Vendas[[#This Row],[Qnt Vendida]]</f>
        <v>535.80000000000007</v>
      </c>
      <c r="J1370" s="3">
        <f>Vendas[[#This Row],[Valor da Venda]]-(_xlfn.XLOOKUP(Vendas[[#This Row],[ID Item Vendido]],Agregado[ID],Agregado[Custo])*Vendas[[#This Row],[Qnt Vendida]])</f>
        <v>136.80000000000007</v>
      </c>
      <c r="K1370" s="70">
        <f>Vendas[[#This Row],[Lucro da Venda]]/Vendas[[#This Row],[Valor da Venda]]</f>
        <v>0.2553191489361703</v>
      </c>
      <c r="L1370" s="3">
        <f>_xlfn.IFS(Vendas[[#This Row],[Margem de Lucro (%)]]&lt;15%,Vendas[[#This Row],[Valor da Venda]]*3%,Vendas[[#This Row],[Margem de Lucro (%)]]&lt;=20%,Vendas[[#This Row],[Valor da Venda]]*4.5%,TRUE,Vendas[[#This Row],[Valor da Venda]]*6%)</f>
        <v>32.148000000000003</v>
      </c>
      <c r="M1370"/>
    </row>
    <row r="1371" spans="1:13" x14ac:dyDescent="0.3">
      <c r="A1371" s="7">
        <v>400248</v>
      </c>
      <c r="B1371" t="str">
        <f>_xlfn.XLOOKUP(Vendas[[#This Row],[ID Vendedor]],Vendedores[ID],Vendedores[Nome])</f>
        <v>Patrícia</v>
      </c>
      <c r="C1371" s="7" t="str">
        <f>_xlfn.XLOOKUP(Vendas[[#This Row],[ID Vendedor]],Vendedores[ID],Vendedores[Setor])</f>
        <v>CM</v>
      </c>
      <c r="D1371" s="7" t="s">
        <v>34</v>
      </c>
      <c r="E1371" t="str">
        <f>_xlfn.XLOOKUP(Vendas[[#This Row],[ID Item Vendido]],Agregado[ID],Agregado[Produto])</f>
        <v>Restos de madeira p/ MDP/OSB saco de 20kg</v>
      </c>
      <c r="F1371" s="39">
        <v>44537</v>
      </c>
      <c r="G1371" s="7">
        <v>16</v>
      </c>
      <c r="H1371" s="3">
        <f>_xlfn.XLOOKUP(Vendas[[#This Row],[ID Item Vendido]],Agregado[ID],Agregado[Revenda])</f>
        <v>13.8</v>
      </c>
      <c r="I1371" s="3">
        <f>Vendas[[#This Row],[Valor Unitário]]*Vendas[[#This Row],[Qnt Vendida]]</f>
        <v>220.8</v>
      </c>
      <c r="J1371" s="3">
        <f>Vendas[[#This Row],[Valor da Venda]]-(_xlfn.XLOOKUP(Vendas[[#This Row],[ID Item Vendido]],Agregado[ID],Agregado[Custo])*Vendas[[#This Row],[Qnt Vendida]])</f>
        <v>28.800000000000011</v>
      </c>
      <c r="K1371" s="70">
        <f>Vendas[[#This Row],[Lucro da Venda]]/Vendas[[#This Row],[Valor da Venda]]</f>
        <v>0.1304347826086957</v>
      </c>
      <c r="L1371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1371"/>
    </row>
    <row r="1372" spans="1:13" x14ac:dyDescent="0.3">
      <c r="A1372" s="7">
        <v>400248</v>
      </c>
      <c r="B1372" t="str">
        <f>_xlfn.XLOOKUP(Vendas[[#This Row],[ID Vendedor]],Vendedores[ID],Vendedores[Nome])</f>
        <v>Patrícia</v>
      </c>
      <c r="C1372" s="7" t="str">
        <f>_xlfn.XLOOKUP(Vendas[[#This Row],[ID Vendedor]],Vendedores[ID],Vendedores[Setor])</f>
        <v>CM</v>
      </c>
      <c r="D1372" s="7" t="s">
        <v>43</v>
      </c>
      <c r="E1372" t="str">
        <f>_xlfn.XLOOKUP(Vendas[[#This Row],[ID Item Vendido]],Agregado[ID],Agregado[Produto])</f>
        <v>Madeira Bruta (Tora)</v>
      </c>
      <c r="F1372" s="39">
        <v>44539</v>
      </c>
      <c r="G1372" s="7">
        <v>10</v>
      </c>
      <c r="H1372" s="3">
        <f>_xlfn.XLOOKUP(Vendas[[#This Row],[ID Item Vendido]],Agregado[ID],Agregado[Revenda])</f>
        <v>212</v>
      </c>
      <c r="I1372" s="3">
        <f>Vendas[[#This Row],[Valor Unitário]]*Vendas[[#This Row],[Qnt Vendida]]</f>
        <v>2120</v>
      </c>
      <c r="J1372" s="3">
        <f>Vendas[[#This Row],[Valor da Venda]]-(_xlfn.XLOOKUP(Vendas[[#This Row],[ID Item Vendido]],Agregado[ID],Agregado[Custo])*Vendas[[#This Row],[Qnt Vendida]])</f>
        <v>320</v>
      </c>
      <c r="K1372" s="70">
        <f>Vendas[[#This Row],[Lucro da Venda]]/Vendas[[#This Row],[Valor da Venda]]</f>
        <v>0.15094339622641509</v>
      </c>
      <c r="L1372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1372"/>
    </row>
    <row r="1373" spans="1:13" x14ac:dyDescent="0.3">
      <c r="A1373" s="7">
        <v>400250</v>
      </c>
      <c r="B1373" t="str">
        <f>_xlfn.XLOOKUP(Vendas[[#This Row],[ID Vendedor]],Vendedores[ID],Vendedores[Nome])</f>
        <v>Larissa</v>
      </c>
      <c r="C1373" s="7" t="str">
        <f>_xlfn.XLOOKUP(Vendas[[#This Row],[ID Vendedor]],Vendedores[ID],Vendedores[Setor])</f>
        <v>AB</v>
      </c>
      <c r="D1373" s="7" t="s">
        <v>39</v>
      </c>
      <c r="E1373" t="str">
        <f>_xlfn.XLOOKUP(Vendas[[#This Row],[ID Item Vendido]],Agregado[ID],Agregado[Produto])</f>
        <v>Filme plástico industrial rolo 50m</v>
      </c>
      <c r="F1373" s="39">
        <v>44540</v>
      </c>
      <c r="G1373" s="7">
        <v>9</v>
      </c>
      <c r="H1373" s="3">
        <f>_xlfn.XLOOKUP(Vendas[[#This Row],[ID Item Vendido]],Agregado[ID],Agregado[Revenda])</f>
        <v>37</v>
      </c>
      <c r="I1373" s="3">
        <f>Vendas[[#This Row],[Valor Unitário]]*Vendas[[#This Row],[Qnt Vendida]]</f>
        <v>333</v>
      </c>
      <c r="J1373" s="3">
        <f>Vendas[[#This Row],[Valor da Venda]]-(_xlfn.XLOOKUP(Vendas[[#This Row],[ID Item Vendido]],Agregado[ID],Agregado[Custo])*Vendas[[#This Row],[Qnt Vendida]])</f>
        <v>81</v>
      </c>
      <c r="K1373" s="70">
        <f>Vendas[[#This Row],[Lucro da Venda]]/Vendas[[#This Row],[Valor da Venda]]</f>
        <v>0.24324324324324326</v>
      </c>
      <c r="L1373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1373"/>
    </row>
    <row r="1374" spans="1:13" x14ac:dyDescent="0.3">
      <c r="A1374" s="7">
        <v>400245</v>
      </c>
      <c r="B1374" t="str">
        <f>_xlfn.XLOOKUP(Vendas[[#This Row],[ID Vendedor]],Vendedores[ID],Vendedores[Nome])</f>
        <v>Thiago</v>
      </c>
      <c r="C1374" s="7" t="str">
        <f>_xlfn.XLOOKUP(Vendas[[#This Row],[ID Vendedor]],Vendedores[ID],Vendedores[Setor])</f>
        <v>AHD</v>
      </c>
      <c r="D1374" s="7" t="s">
        <v>18</v>
      </c>
      <c r="E1374" t="str">
        <f>_xlfn.XLOOKUP(Vendas[[#This Row],[ID Item Vendido]],Agregado[ID],Agregado[Produto])</f>
        <v>Peça forjada sob encomenda</v>
      </c>
      <c r="F1374" s="39">
        <v>44541</v>
      </c>
      <c r="G1374" s="7">
        <v>5</v>
      </c>
      <c r="H1374" s="3">
        <f>_xlfn.XLOOKUP(Vendas[[#This Row],[ID Item Vendido]],Agregado[ID],Agregado[Revenda])</f>
        <v>264.60000000000002</v>
      </c>
      <c r="I1374" s="3">
        <f>Vendas[[#This Row],[Valor Unitário]]*Vendas[[#This Row],[Qnt Vendida]]</f>
        <v>1323</v>
      </c>
      <c r="J1374" s="3">
        <f>Vendas[[#This Row],[Valor da Venda]]-(_xlfn.XLOOKUP(Vendas[[#This Row],[ID Item Vendido]],Agregado[ID],Agregado[Custo])*Vendas[[#This Row],[Qnt Vendida]])</f>
        <v>73</v>
      </c>
      <c r="K1374" s="70">
        <f>Vendas[[#This Row],[Lucro da Venda]]/Vendas[[#This Row],[Valor da Venda]]</f>
        <v>5.5177626606198037E-2</v>
      </c>
      <c r="L137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374"/>
    </row>
    <row r="1375" spans="1:13" x14ac:dyDescent="0.3">
      <c r="A1375" s="7">
        <v>400255</v>
      </c>
      <c r="B1375" t="str">
        <f>_xlfn.XLOOKUP(Vendas[[#This Row],[ID Vendedor]],Vendedores[ID],Vendedores[Nome])</f>
        <v>Carlos</v>
      </c>
      <c r="C1375" s="7" t="str">
        <f>_xlfn.XLOOKUP(Vendas[[#This Row],[ID Vendedor]],Vendedores[ID],Vendedores[Setor])</f>
        <v>SC</v>
      </c>
      <c r="D1375" s="7" t="s">
        <v>48</v>
      </c>
      <c r="E1375" t="str">
        <f>_xlfn.XLOOKUP(Vendas[[#This Row],[ID Item Vendido]],Agregado[ID],Agregado[Produto])</f>
        <v>Tambor metálico 200L</v>
      </c>
      <c r="F1375" s="39">
        <v>44541</v>
      </c>
      <c r="G1375" s="7">
        <v>13</v>
      </c>
      <c r="H1375" s="3">
        <f>_xlfn.XLOOKUP(Vendas[[#This Row],[ID Item Vendido]],Agregado[ID],Agregado[Revenda])</f>
        <v>144</v>
      </c>
      <c r="I1375" s="3">
        <f>Vendas[[#This Row],[Valor Unitário]]*Vendas[[#This Row],[Qnt Vendida]]</f>
        <v>1872</v>
      </c>
      <c r="J1375" s="3">
        <f>Vendas[[#This Row],[Valor da Venda]]-(_xlfn.XLOOKUP(Vendas[[#This Row],[ID Item Vendido]],Agregado[ID],Agregado[Custo])*Vendas[[#This Row],[Qnt Vendida]])</f>
        <v>312</v>
      </c>
      <c r="K1375" s="70">
        <f>Vendas[[#This Row],[Lucro da Venda]]/Vendas[[#This Row],[Valor da Venda]]</f>
        <v>0.16666666666666666</v>
      </c>
      <c r="L1375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1375"/>
    </row>
    <row r="1376" spans="1:13" x14ac:dyDescent="0.3">
      <c r="A1376" s="7">
        <v>400253</v>
      </c>
      <c r="B1376" t="str">
        <f>_xlfn.XLOOKUP(Vendas[[#This Row],[ID Vendedor]],Vendedores[ID],Vendedores[Nome])</f>
        <v>Gustavo</v>
      </c>
      <c r="C1376" s="7" t="str">
        <f>_xlfn.XLOOKUP(Vendas[[#This Row],[ID Vendedor]],Vendedores[ID],Vendedores[Setor])</f>
        <v>SC</v>
      </c>
      <c r="D1376" s="7" t="s">
        <v>42</v>
      </c>
      <c r="E1376" t="str">
        <f>_xlfn.XLOOKUP(Vendas[[#This Row],[ID Item Vendido]],Agregado[ID],Agregado[Produto])</f>
        <v>Container de ferro industrial</v>
      </c>
      <c r="F1376" s="39">
        <v>44541</v>
      </c>
      <c r="G1376" s="7">
        <v>1</v>
      </c>
      <c r="H1376" s="3">
        <f>_xlfn.XLOOKUP(Vendas[[#This Row],[ID Item Vendido]],Agregado[ID],Agregado[Revenda])</f>
        <v>830</v>
      </c>
      <c r="I1376" s="3">
        <f>Vendas[[#This Row],[Valor Unitário]]*Vendas[[#This Row],[Qnt Vendida]]</f>
        <v>830</v>
      </c>
      <c r="J1376" s="3">
        <f>Vendas[[#This Row],[Valor da Venda]]-(_xlfn.XLOOKUP(Vendas[[#This Row],[ID Item Vendido]],Agregado[ID],Agregado[Custo])*Vendas[[#This Row],[Qnt Vendida]])</f>
        <v>150</v>
      </c>
      <c r="K1376" s="70">
        <f>Vendas[[#This Row],[Lucro da Venda]]/Vendas[[#This Row],[Valor da Venda]]</f>
        <v>0.18072289156626506</v>
      </c>
      <c r="L137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376"/>
    </row>
    <row r="1377" spans="1:13" x14ac:dyDescent="0.3">
      <c r="A1377" s="7">
        <v>400248</v>
      </c>
      <c r="B1377" t="str">
        <f>_xlfn.XLOOKUP(Vendas[[#This Row],[ID Vendedor]],Vendedores[ID],Vendedores[Nome])</f>
        <v>Patrícia</v>
      </c>
      <c r="C1377" s="7" t="str">
        <f>_xlfn.XLOOKUP(Vendas[[#This Row],[ID Vendedor]],Vendedores[ID],Vendedores[Setor])</f>
        <v>CM</v>
      </c>
      <c r="D1377" s="7" t="s">
        <v>32</v>
      </c>
      <c r="E1377" t="str">
        <f>_xlfn.XLOOKUP(Vendas[[#This Row],[ID Item Vendido]],Agregado[ID],Agregado[Produto])</f>
        <v>Tábua tratada e cortada 3m</v>
      </c>
      <c r="F1377" s="39">
        <v>44542</v>
      </c>
      <c r="G1377" s="7">
        <v>11</v>
      </c>
      <c r="H1377" s="3">
        <f>_xlfn.XLOOKUP(Vendas[[#This Row],[ID Item Vendido]],Agregado[ID],Agregado[Revenda])</f>
        <v>39</v>
      </c>
      <c r="I1377" s="3">
        <f>Vendas[[#This Row],[Valor Unitário]]*Vendas[[#This Row],[Qnt Vendida]]</f>
        <v>429</v>
      </c>
      <c r="J1377" s="3">
        <f>Vendas[[#This Row],[Valor da Venda]]-(_xlfn.XLOOKUP(Vendas[[#This Row],[ID Item Vendido]],Agregado[ID],Agregado[Custo])*Vendas[[#This Row],[Qnt Vendida]])</f>
        <v>77</v>
      </c>
      <c r="K1377" s="70">
        <f>Vendas[[#This Row],[Lucro da Venda]]/Vendas[[#This Row],[Valor da Venda]]</f>
        <v>0.17948717948717949</v>
      </c>
      <c r="L1377" s="3">
        <f>_xlfn.IFS(Vendas[[#This Row],[Margem de Lucro (%)]]&lt;15%,Vendas[[#This Row],[Valor da Venda]]*3%,Vendas[[#This Row],[Margem de Lucro (%)]]&lt;=20%,Vendas[[#This Row],[Valor da Venda]]*4.5%,TRUE,Vendas[[#This Row],[Valor da Venda]]*6%)</f>
        <v>19.305</v>
      </c>
      <c r="M1377"/>
    </row>
    <row r="1378" spans="1:13" x14ac:dyDescent="0.3">
      <c r="A1378" s="7">
        <v>400255</v>
      </c>
      <c r="B1378" t="str">
        <f>_xlfn.XLOOKUP(Vendas[[#This Row],[ID Vendedor]],Vendedores[ID],Vendedores[Nome])</f>
        <v>Carlos</v>
      </c>
      <c r="C1378" s="7" t="str">
        <f>_xlfn.XLOOKUP(Vendas[[#This Row],[ID Vendedor]],Vendedores[ID],Vendedores[Setor])</f>
        <v>SC</v>
      </c>
      <c r="D1378" s="7" t="s">
        <v>14</v>
      </c>
      <c r="E1378" t="str">
        <f>_xlfn.XLOOKUP(Vendas[[#This Row],[ID Item Vendido]],Agregado[ID],Agregado[Produto])</f>
        <v>Barril de plástico 200L</v>
      </c>
      <c r="F1378" s="39">
        <v>44543</v>
      </c>
      <c r="G1378" s="7">
        <v>16</v>
      </c>
      <c r="H1378" s="3">
        <f>_xlfn.XLOOKUP(Vendas[[#This Row],[ID Item Vendido]],Agregado[ID],Agregado[Revenda])</f>
        <v>114</v>
      </c>
      <c r="I1378" s="3">
        <f>Vendas[[#This Row],[Valor Unitário]]*Vendas[[#This Row],[Qnt Vendida]]</f>
        <v>1824</v>
      </c>
      <c r="J1378" s="3">
        <f>Vendas[[#This Row],[Valor da Venda]]-(_xlfn.XLOOKUP(Vendas[[#This Row],[ID Item Vendido]],Agregado[ID],Agregado[Custo])*Vendas[[#This Row],[Qnt Vendida]])</f>
        <v>304</v>
      </c>
      <c r="K1378" s="70">
        <f>Vendas[[#This Row],[Lucro da Venda]]/Vendas[[#This Row],[Valor da Venda]]</f>
        <v>0.16666666666666666</v>
      </c>
      <c r="L1378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1378"/>
    </row>
    <row r="1379" spans="1:13" x14ac:dyDescent="0.3">
      <c r="A1379" s="7">
        <v>400244</v>
      </c>
      <c r="B1379" t="str">
        <f>_xlfn.XLOOKUP(Vendas[[#This Row],[ID Vendedor]],Vendedores[ID],Vendedores[Nome])</f>
        <v>Camila</v>
      </c>
      <c r="C1379" s="7" t="str">
        <f>_xlfn.XLOOKUP(Vendas[[#This Row],[ID Vendedor]],Vendedores[ID],Vendedores[Setor])</f>
        <v>AHD</v>
      </c>
      <c r="D1379" s="7" t="s">
        <v>9</v>
      </c>
      <c r="E1379" t="str">
        <f>_xlfn.XLOOKUP(Vendas[[#This Row],[ID Item Vendido]],Agregado[ID],Agregado[Produto])</f>
        <v>Barra de aço simples</v>
      </c>
      <c r="F1379" s="39">
        <v>44544</v>
      </c>
      <c r="G1379" s="7">
        <v>33</v>
      </c>
      <c r="H1379" s="3">
        <f>_xlfn.XLOOKUP(Vendas[[#This Row],[ID Item Vendido]],Agregado[ID],Agregado[Revenda])</f>
        <v>6.7</v>
      </c>
      <c r="I1379" s="3">
        <f>Vendas[[#This Row],[Valor Unitário]]*Vendas[[#This Row],[Qnt Vendida]]</f>
        <v>221.1</v>
      </c>
      <c r="J1379" s="3">
        <f>Vendas[[#This Row],[Valor da Venda]]-(_xlfn.XLOOKUP(Vendas[[#This Row],[ID Item Vendido]],Agregado[ID],Agregado[Custo])*Vendas[[#This Row],[Qnt Vendida]])</f>
        <v>29.699999999999989</v>
      </c>
      <c r="K1379" s="70">
        <f>Vendas[[#This Row],[Lucro da Venda]]/Vendas[[#This Row],[Valor da Venda]]</f>
        <v>0.13432835820895517</v>
      </c>
      <c r="L1379" s="3">
        <f>_xlfn.IFS(Vendas[[#This Row],[Margem de Lucro (%)]]&lt;15%,Vendas[[#This Row],[Valor da Venda]]*3%,Vendas[[#This Row],[Margem de Lucro (%)]]&lt;=20%,Vendas[[#This Row],[Valor da Venda]]*4.5%,TRUE,Vendas[[#This Row],[Valor da Venda]]*6%)</f>
        <v>6.633</v>
      </c>
      <c r="M1379"/>
    </row>
    <row r="1380" spans="1:13" x14ac:dyDescent="0.3">
      <c r="A1380" s="7">
        <v>400247</v>
      </c>
      <c r="B1380" t="str">
        <f>_xlfn.XLOOKUP(Vendas[[#This Row],[ID Vendedor]],Vendedores[ID],Vendedores[Nome])</f>
        <v>André</v>
      </c>
      <c r="C1380" s="7" t="str">
        <f>_xlfn.XLOOKUP(Vendas[[#This Row],[ID Vendedor]],Vendedores[ID],Vendedores[Setor])</f>
        <v>CM</v>
      </c>
      <c r="D1380" s="7" t="s">
        <v>32</v>
      </c>
      <c r="E1380" t="str">
        <f>_xlfn.XLOOKUP(Vendas[[#This Row],[ID Item Vendido]],Agregado[ID],Agregado[Produto])</f>
        <v>Tábua tratada e cortada 3m</v>
      </c>
      <c r="F1380" s="39">
        <v>44545</v>
      </c>
      <c r="G1380" s="7">
        <v>14</v>
      </c>
      <c r="H1380" s="3">
        <f>_xlfn.XLOOKUP(Vendas[[#This Row],[ID Item Vendido]],Agregado[ID],Agregado[Revenda])</f>
        <v>39</v>
      </c>
      <c r="I1380" s="3">
        <f>Vendas[[#This Row],[Valor Unitário]]*Vendas[[#This Row],[Qnt Vendida]]</f>
        <v>546</v>
      </c>
      <c r="J1380" s="3">
        <f>Vendas[[#This Row],[Valor da Venda]]-(_xlfn.XLOOKUP(Vendas[[#This Row],[ID Item Vendido]],Agregado[ID],Agregado[Custo])*Vendas[[#This Row],[Qnt Vendida]])</f>
        <v>98</v>
      </c>
      <c r="K1380" s="70">
        <f>Vendas[[#This Row],[Lucro da Venda]]/Vendas[[#This Row],[Valor da Venda]]</f>
        <v>0.17948717948717949</v>
      </c>
      <c r="L1380" s="3">
        <f>_xlfn.IFS(Vendas[[#This Row],[Margem de Lucro (%)]]&lt;15%,Vendas[[#This Row],[Valor da Venda]]*3%,Vendas[[#This Row],[Margem de Lucro (%)]]&lt;=20%,Vendas[[#This Row],[Valor da Venda]]*4.5%,TRUE,Vendas[[#This Row],[Valor da Venda]]*6%)</f>
        <v>24.57</v>
      </c>
      <c r="M1380"/>
    </row>
    <row r="1381" spans="1:13" x14ac:dyDescent="0.3">
      <c r="A1381" s="7">
        <v>400241</v>
      </c>
      <c r="B1381" t="str">
        <f>_xlfn.XLOOKUP(Vendas[[#This Row],[ID Vendedor]],Vendedores[ID],Vendedores[Nome])</f>
        <v>Rodrigo</v>
      </c>
      <c r="C1381" s="7" t="str">
        <f>_xlfn.XLOOKUP(Vendas[[#This Row],[ID Vendedor]],Vendedores[ID],Vendedores[Setor])</f>
        <v>FM</v>
      </c>
      <c r="D1381" s="7" t="s">
        <v>31</v>
      </c>
      <c r="E1381" t="str">
        <f>_xlfn.XLOOKUP(Vendas[[#This Row],[ID Item Vendido]],Agregado[ID],Agregado[Produto])</f>
        <v>Tela de metal soldada rolo 2x25m</v>
      </c>
      <c r="F1381" s="39">
        <v>44545</v>
      </c>
      <c r="G1381" s="7">
        <v>7</v>
      </c>
      <c r="H1381" s="3">
        <f>_xlfn.XLOOKUP(Vendas[[#This Row],[ID Item Vendido]],Agregado[ID],Agregado[Revenda])</f>
        <v>43.7</v>
      </c>
      <c r="I1381" s="3">
        <f>Vendas[[#This Row],[Valor Unitário]]*Vendas[[#This Row],[Qnt Vendida]]</f>
        <v>305.90000000000003</v>
      </c>
      <c r="J1381" s="3">
        <f>Vendas[[#This Row],[Valor da Venda]]-(_xlfn.XLOOKUP(Vendas[[#This Row],[ID Item Vendido]],Agregado[ID],Agregado[Custo])*Vendas[[#This Row],[Qnt Vendida]])</f>
        <v>39.900000000000034</v>
      </c>
      <c r="K1381" s="70">
        <f>Vendas[[#This Row],[Lucro da Venda]]/Vendas[[#This Row],[Valor da Venda]]</f>
        <v>0.13043478260869576</v>
      </c>
      <c r="L1381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1381"/>
    </row>
    <row r="1382" spans="1:13" x14ac:dyDescent="0.3">
      <c r="A1382" s="7">
        <v>400250</v>
      </c>
      <c r="B1382" t="str">
        <f>_xlfn.XLOOKUP(Vendas[[#This Row],[ID Vendedor]],Vendedores[ID],Vendedores[Nome])</f>
        <v>Larissa</v>
      </c>
      <c r="C1382" s="7" t="str">
        <f>_xlfn.XLOOKUP(Vendas[[#This Row],[ID Vendedor]],Vendedores[ID],Vendedores[Setor])</f>
        <v>AB</v>
      </c>
      <c r="D1382" s="7" t="s">
        <v>36</v>
      </c>
      <c r="E1382" t="str">
        <f>_xlfn.XLOOKUP(Vendas[[#This Row],[ID Item Vendido]],Agregado[ID],Agregado[Produto])</f>
        <v>Borracha vulcanizada em manta</v>
      </c>
      <c r="F1382" s="39">
        <v>44545</v>
      </c>
      <c r="G1382" s="7">
        <v>13</v>
      </c>
      <c r="H1382" s="3">
        <f>_xlfn.XLOOKUP(Vendas[[#This Row],[ID Item Vendido]],Agregado[ID],Agregado[Revenda])</f>
        <v>7.8</v>
      </c>
      <c r="I1382" s="3">
        <f>Vendas[[#This Row],[Valor Unitário]]*Vendas[[#This Row],[Qnt Vendida]]</f>
        <v>101.39999999999999</v>
      </c>
      <c r="J1382" s="3">
        <f>Vendas[[#This Row],[Valor da Venda]]-(_xlfn.XLOOKUP(Vendas[[#This Row],[ID Item Vendido]],Agregado[ID],Agregado[Custo])*Vendas[[#This Row],[Qnt Vendida]])</f>
        <v>23.399999999999991</v>
      </c>
      <c r="K1382" s="70">
        <f>Vendas[[#This Row],[Lucro da Venda]]/Vendas[[#This Row],[Valor da Venda]]</f>
        <v>0.2307692307692307</v>
      </c>
      <c r="L1382" s="3">
        <f>_xlfn.IFS(Vendas[[#This Row],[Margem de Lucro (%)]]&lt;15%,Vendas[[#This Row],[Valor da Venda]]*3%,Vendas[[#This Row],[Margem de Lucro (%)]]&lt;=20%,Vendas[[#This Row],[Valor da Venda]]*4.5%,TRUE,Vendas[[#This Row],[Valor da Venda]]*6%)</f>
        <v>6.0839999999999996</v>
      </c>
      <c r="M1382"/>
    </row>
    <row r="1383" spans="1:13" x14ac:dyDescent="0.3">
      <c r="A1383" s="7">
        <v>400247</v>
      </c>
      <c r="B1383" t="str">
        <f>_xlfn.XLOOKUP(Vendas[[#This Row],[ID Vendedor]],Vendedores[ID],Vendedores[Nome])</f>
        <v>André</v>
      </c>
      <c r="C1383" s="7" t="str">
        <f>_xlfn.XLOOKUP(Vendas[[#This Row],[ID Vendedor]],Vendedores[ID],Vendedores[Setor])</f>
        <v>CM</v>
      </c>
      <c r="D1383" s="7" t="s">
        <v>32</v>
      </c>
      <c r="E1383" t="str">
        <f>_xlfn.XLOOKUP(Vendas[[#This Row],[ID Item Vendido]],Agregado[ID],Agregado[Produto])</f>
        <v>Tábua tratada e cortada 3m</v>
      </c>
      <c r="F1383" s="39">
        <v>44547</v>
      </c>
      <c r="G1383" s="7">
        <v>17</v>
      </c>
      <c r="H1383" s="3">
        <f>_xlfn.XLOOKUP(Vendas[[#This Row],[ID Item Vendido]],Agregado[ID],Agregado[Revenda])</f>
        <v>39</v>
      </c>
      <c r="I1383" s="3">
        <f>Vendas[[#This Row],[Valor Unitário]]*Vendas[[#This Row],[Qnt Vendida]]</f>
        <v>663</v>
      </c>
      <c r="J1383" s="3">
        <f>Vendas[[#This Row],[Valor da Venda]]-(_xlfn.XLOOKUP(Vendas[[#This Row],[ID Item Vendido]],Agregado[ID],Agregado[Custo])*Vendas[[#This Row],[Qnt Vendida]])</f>
        <v>119</v>
      </c>
      <c r="K1383" s="70">
        <f>Vendas[[#This Row],[Lucro da Venda]]/Vendas[[#This Row],[Valor da Venda]]</f>
        <v>0.17948717948717949</v>
      </c>
      <c r="L1383" s="3">
        <f>_xlfn.IFS(Vendas[[#This Row],[Margem de Lucro (%)]]&lt;15%,Vendas[[#This Row],[Valor da Venda]]*3%,Vendas[[#This Row],[Margem de Lucro (%)]]&lt;=20%,Vendas[[#This Row],[Valor da Venda]]*4.5%,TRUE,Vendas[[#This Row],[Valor da Venda]]*6%)</f>
        <v>29.834999999999997</v>
      </c>
      <c r="M1383"/>
    </row>
    <row r="1384" spans="1:13" x14ac:dyDescent="0.3">
      <c r="A1384" s="7">
        <v>400255</v>
      </c>
      <c r="B1384" t="str">
        <f>_xlfn.XLOOKUP(Vendas[[#This Row],[ID Vendedor]],Vendedores[ID],Vendedores[Nome])</f>
        <v>Carlos</v>
      </c>
      <c r="C1384" s="7" t="str">
        <f>_xlfn.XLOOKUP(Vendas[[#This Row],[ID Vendedor]],Vendedores[ID],Vendedores[Setor])</f>
        <v>SC</v>
      </c>
      <c r="D1384" s="7" t="s">
        <v>41</v>
      </c>
      <c r="E1384" t="str">
        <f>_xlfn.XLOOKUP(Vendas[[#This Row],[ID Item Vendido]],Agregado[ID],Agregado[Produto])</f>
        <v>Palete de madeira reforçado</v>
      </c>
      <c r="F1384" s="39">
        <v>44547</v>
      </c>
      <c r="G1384" s="7">
        <v>5</v>
      </c>
      <c r="H1384" s="3">
        <f>_xlfn.XLOOKUP(Vendas[[#This Row],[ID Item Vendido]],Agregado[ID],Agregado[Revenda])</f>
        <v>131</v>
      </c>
      <c r="I1384" s="3">
        <f>Vendas[[#This Row],[Valor Unitário]]*Vendas[[#This Row],[Qnt Vendida]]</f>
        <v>655</v>
      </c>
      <c r="J1384" s="3">
        <f>Vendas[[#This Row],[Valor da Venda]]-(_xlfn.XLOOKUP(Vendas[[#This Row],[ID Item Vendido]],Agregado[ID],Agregado[Custo])*Vendas[[#This Row],[Qnt Vendida]])</f>
        <v>105</v>
      </c>
      <c r="K1384" s="70">
        <f>Vendas[[#This Row],[Lucro da Venda]]/Vendas[[#This Row],[Valor da Venda]]</f>
        <v>0.16030534351145037</v>
      </c>
      <c r="L1384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1384"/>
    </row>
    <row r="1385" spans="1:13" x14ac:dyDescent="0.3">
      <c r="A1385" s="7">
        <v>400247</v>
      </c>
      <c r="B1385" t="str">
        <f>_xlfn.XLOOKUP(Vendas[[#This Row],[ID Vendedor]],Vendedores[ID],Vendedores[Nome])</f>
        <v>André</v>
      </c>
      <c r="C1385" s="7" t="str">
        <f>_xlfn.XLOOKUP(Vendas[[#This Row],[ID Vendedor]],Vendedores[ID],Vendedores[Setor])</f>
        <v>CM</v>
      </c>
      <c r="D1385" s="7" t="s">
        <v>34</v>
      </c>
      <c r="E1385" t="str">
        <f>_xlfn.XLOOKUP(Vendas[[#This Row],[ID Item Vendido]],Agregado[ID],Agregado[Produto])</f>
        <v>Restos de madeira p/ MDP/OSB saco de 20kg</v>
      </c>
      <c r="F1385" s="39">
        <v>44547</v>
      </c>
      <c r="G1385" s="7">
        <v>5</v>
      </c>
      <c r="H1385" s="3">
        <f>_xlfn.XLOOKUP(Vendas[[#This Row],[ID Item Vendido]],Agregado[ID],Agregado[Revenda])</f>
        <v>13.8</v>
      </c>
      <c r="I1385" s="3">
        <f>Vendas[[#This Row],[Valor Unitário]]*Vendas[[#This Row],[Qnt Vendida]]</f>
        <v>69</v>
      </c>
      <c r="J1385" s="3">
        <f>Vendas[[#This Row],[Valor da Venda]]-(_xlfn.XLOOKUP(Vendas[[#This Row],[ID Item Vendido]],Agregado[ID],Agregado[Custo])*Vendas[[#This Row],[Qnt Vendida]])</f>
        <v>9</v>
      </c>
      <c r="K1385" s="70">
        <f>Vendas[[#This Row],[Lucro da Venda]]/Vendas[[#This Row],[Valor da Venda]]</f>
        <v>0.13043478260869565</v>
      </c>
      <c r="L1385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1385"/>
    </row>
    <row r="1386" spans="1:13" x14ac:dyDescent="0.3">
      <c r="A1386" s="7">
        <v>400247</v>
      </c>
      <c r="B1386" t="str">
        <f>_xlfn.XLOOKUP(Vendas[[#This Row],[ID Vendedor]],Vendedores[ID],Vendedores[Nome])</f>
        <v>André</v>
      </c>
      <c r="C1386" s="7" t="str">
        <f>_xlfn.XLOOKUP(Vendas[[#This Row],[ID Vendedor]],Vendedores[ID],Vendedores[Setor])</f>
        <v>CM</v>
      </c>
      <c r="D1386" s="7" t="s">
        <v>22</v>
      </c>
      <c r="E1386" t="str">
        <f>_xlfn.XLOOKUP(Vendas[[#This Row],[ID Item Vendido]],Agregado[ID],Agregado[Produto])</f>
        <v>Painel MDP 2,75x1,83m</v>
      </c>
      <c r="F1386" s="39">
        <v>44548</v>
      </c>
      <c r="G1386" s="7">
        <v>13</v>
      </c>
      <c r="H1386" s="3">
        <f>_xlfn.XLOOKUP(Vendas[[#This Row],[ID Item Vendido]],Agregado[ID],Agregado[Revenda])</f>
        <v>119</v>
      </c>
      <c r="I1386" s="3">
        <f>Vendas[[#This Row],[Valor Unitário]]*Vendas[[#This Row],[Qnt Vendida]]</f>
        <v>1547</v>
      </c>
      <c r="J1386" s="3">
        <f>Vendas[[#This Row],[Valor da Venda]]-(_xlfn.XLOOKUP(Vendas[[#This Row],[ID Item Vendido]],Agregado[ID],Agregado[Custo])*Vendas[[#This Row],[Qnt Vendida]])</f>
        <v>312</v>
      </c>
      <c r="K1386" s="70">
        <f>Vendas[[#This Row],[Lucro da Venda]]/Vendas[[#This Row],[Valor da Venda]]</f>
        <v>0.20168067226890757</v>
      </c>
      <c r="L1386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1386"/>
    </row>
    <row r="1387" spans="1:13" x14ac:dyDescent="0.3">
      <c r="A1387" s="7">
        <v>400245</v>
      </c>
      <c r="B1387" t="str">
        <f>_xlfn.XLOOKUP(Vendas[[#This Row],[ID Vendedor]],Vendedores[ID],Vendedores[Nome])</f>
        <v>Thiago</v>
      </c>
      <c r="C1387" s="7" t="str">
        <f>_xlfn.XLOOKUP(Vendas[[#This Row],[ID Vendedor]],Vendedores[ID],Vendedores[Setor])</f>
        <v>AHD</v>
      </c>
      <c r="D1387" s="7" t="s">
        <v>28</v>
      </c>
      <c r="E1387" t="str">
        <f>_xlfn.XLOOKUP(Vendas[[#This Row],[ID Item Vendido]],Agregado[ID],Agregado[Produto])</f>
        <v>Peça usinada CNC</v>
      </c>
      <c r="F1387" s="39">
        <v>44548</v>
      </c>
      <c r="G1387" s="7">
        <v>6</v>
      </c>
      <c r="H1387" s="3">
        <f>_xlfn.XLOOKUP(Vendas[[#This Row],[ID Item Vendido]],Agregado[ID],Agregado[Revenda])</f>
        <v>192</v>
      </c>
      <c r="I1387" s="3">
        <f>Vendas[[#This Row],[Valor Unitário]]*Vendas[[#This Row],[Qnt Vendida]]</f>
        <v>1152</v>
      </c>
      <c r="J1387" s="3">
        <f>Vendas[[#This Row],[Valor da Venda]]-(_xlfn.XLOOKUP(Vendas[[#This Row],[ID Item Vendido]],Agregado[ID],Agregado[Custo])*Vendas[[#This Row],[Qnt Vendida]])</f>
        <v>252</v>
      </c>
      <c r="K1387" s="70">
        <f>Vendas[[#This Row],[Lucro da Venda]]/Vendas[[#This Row],[Valor da Venda]]</f>
        <v>0.21875</v>
      </c>
      <c r="L1387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1387"/>
    </row>
    <row r="1388" spans="1:13" x14ac:dyDescent="0.3">
      <c r="A1388" s="7">
        <v>400248</v>
      </c>
      <c r="B1388" t="str">
        <f>_xlfn.XLOOKUP(Vendas[[#This Row],[ID Vendedor]],Vendedores[ID],Vendedores[Nome])</f>
        <v>Patrícia</v>
      </c>
      <c r="C1388" s="7" t="str">
        <f>_xlfn.XLOOKUP(Vendas[[#This Row],[ID Vendedor]],Vendedores[ID],Vendedores[Setor])</f>
        <v>CM</v>
      </c>
      <c r="D1388" s="7" t="s">
        <v>34</v>
      </c>
      <c r="E1388" t="str">
        <f>_xlfn.XLOOKUP(Vendas[[#This Row],[ID Item Vendido]],Agregado[ID],Agregado[Produto])</f>
        <v>Restos de madeira p/ MDP/OSB saco de 20kg</v>
      </c>
      <c r="F1388" s="39">
        <v>44549</v>
      </c>
      <c r="G1388" s="7">
        <v>25</v>
      </c>
      <c r="H1388" s="3">
        <f>_xlfn.XLOOKUP(Vendas[[#This Row],[ID Item Vendido]],Agregado[ID],Agregado[Revenda])</f>
        <v>13.8</v>
      </c>
      <c r="I1388" s="3">
        <f>Vendas[[#This Row],[Valor Unitário]]*Vendas[[#This Row],[Qnt Vendida]]</f>
        <v>345</v>
      </c>
      <c r="J1388" s="3">
        <f>Vendas[[#This Row],[Valor da Venda]]-(_xlfn.XLOOKUP(Vendas[[#This Row],[ID Item Vendido]],Agregado[ID],Agregado[Custo])*Vendas[[#This Row],[Qnt Vendida]])</f>
        <v>45</v>
      </c>
      <c r="K1388" s="70">
        <f>Vendas[[#This Row],[Lucro da Venda]]/Vendas[[#This Row],[Valor da Venda]]</f>
        <v>0.13043478260869565</v>
      </c>
      <c r="L1388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1388"/>
    </row>
    <row r="1389" spans="1:13" x14ac:dyDescent="0.3">
      <c r="A1389" s="7">
        <v>400251</v>
      </c>
      <c r="B1389" t="str">
        <f>_xlfn.XLOOKUP(Vendas[[#This Row],[ID Vendedor]],Vendedores[ID],Vendedores[Nome])</f>
        <v>Diego</v>
      </c>
      <c r="C1389" s="7" t="str">
        <f>_xlfn.XLOOKUP(Vendas[[#This Row],[ID Vendedor]],Vendedores[ID],Vendedores[Setor])</f>
        <v>AB</v>
      </c>
      <c r="D1389" s="7" t="s">
        <v>37</v>
      </c>
      <c r="E1389" t="str">
        <f>_xlfn.XLOOKUP(Vendas[[#This Row],[ID Item Vendido]],Agregado[ID],Agregado[Produto])</f>
        <v>Composto de borracha para vedação rolo 10m</v>
      </c>
      <c r="F1389" s="39">
        <v>44549</v>
      </c>
      <c r="G1389" s="7">
        <v>2</v>
      </c>
      <c r="H1389" s="3">
        <f>_xlfn.XLOOKUP(Vendas[[#This Row],[ID Item Vendido]],Agregado[ID],Agregado[Revenda])</f>
        <v>51.2</v>
      </c>
      <c r="I1389" s="3">
        <f>Vendas[[#This Row],[Valor Unitário]]*Vendas[[#This Row],[Qnt Vendida]]</f>
        <v>102.4</v>
      </c>
      <c r="J1389" s="3">
        <f>Vendas[[#This Row],[Valor da Venda]]-(_xlfn.XLOOKUP(Vendas[[#This Row],[ID Item Vendido]],Agregado[ID],Agregado[Custo])*Vendas[[#This Row],[Qnt Vendida]])</f>
        <v>22.400000000000006</v>
      </c>
      <c r="K1389" s="70">
        <f>Vendas[[#This Row],[Lucro da Venda]]/Vendas[[#This Row],[Valor da Venda]]</f>
        <v>0.21875000000000006</v>
      </c>
      <c r="L1389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1389"/>
    </row>
    <row r="1390" spans="1:13" x14ac:dyDescent="0.3">
      <c r="A1390" s="7">
        <v>400255</v>
      </c>
      <c r="B1390" t="str">
        <f>_xlfn.XLOOKUP(Vendas[[#This Row],[ID Vendedor]],Vendedores[ID],Vendedores[Nome])</f>
        <v>Carlos</v>
      </c>
      <c r="C1390" s="7" t="str">
        <f>_xlfn.XLOOKUP(Vendas[[#This Row],[ID Vendedor]],Vendedores[ID],Vendedores[Setor])</f>
        <v>SC</v>
      </c>
      <c r="D1390" s="7" t="s">
        <v>42</v>
      </c>
      <c r="E1390" t="str">
        <f>_xlfn.XLOOKUP(Vendas[[#This Row],[ID Item Vendido]],Agregado[ID],Agregado[Produto])</f>
        <v>Container de ferro industrial</v>
      </c>
      <c r="F1390" s="39">
        <v>44550</v>
      </c>
      <c r="G1390" s="7">
        <v>6</v>
      </c>
      <c r="H1390" s="3">
        <f>_xlfn.XLOOKUP(Vendas[[#This Row],[ID Item Vendido]],Agregado[ID],Agregado[Revenda])</f>
        <v>830</v>
      </c>
      <c r="I1390" s="3">
        <f>Vendas[[#This Row],[Valor Unitário]]*Vendas[[#This Row],[Qnt Vendida]]</f>
        <v>4980</v>
      </c>
      <c r="J1390" s="3">
        <f>Vendas[[#This Row],[Valor da Venda]]-(_xlfn.XLOOKUP(Vendas[[#This Row],[ID Item Vendido]],Agregado[ID],Agregado[Custo])*Vendas[[#This Row],[Qnt Vendida]])</f>
        <v>900</v>
      </c>
      <c r="K1390" s="70">
        <f>Vendas[[#This Row],[Lucro da Venda]]/Vendas[[#This Row],[Valor da Venda]]</f>
        <v>0.18072289156626506</v>
      </c>
      <c r="L139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390"/>
    </row>
    <row r="1391" spans="1:13" x14ac:dyDescent="0.3">
      <c r="A1391" s="7">
        <v>400245</v>
      </c>
      <c r="B1391" t="str">
        <f>_xlfn.XLOOKUP(Vendas[[#This Row],[ID Vendedor]],Vendedores[ID],Vendedores[Nome])</f>
        <v>Thiago</v>
      </c>
      <c r="C1391" s="7" t="str">
        <f>_xlfn.XLOOKUP(Vendas[[#This Row],[ID Vendedor]],Vendedores[ID],Vendedores[Setor])</f>
        <v>AHD</v>
      </c>
      <c r="D1391" s="7" t="s">
        <v>18</v>
      </c>
      <c r="E1391" t="str">
        <f>_xlfn.XLOOKUP(Vendas[[#This Row],[ID Item Vendido]],Agregado[ID],Agregado[Produto])</f>
        <v>Peça forjada sob encomenda</v>
      </c>
      <c r="F1391" s="39">
        <v>44551</v>
      </c>
      <c r="G1391" s="7">
        <v>6</v>
      </c>
      <c r="H1391" s="3">
        <f>_xlfn.XLOOKUP(Vendas[[#This Row],[ID Item Vendido]],Agregado[ID],Agregado[Revenda])</f>
        <v>264.60000000000002</v>
      </c>
      <c r="I1391" s="3">
        <f>Vendas[[#This Row],[Valor Unitário]]*Vendas[[#This Row],[Qnt Vendida]]</f>
        <v>1587.6000000000001</v>
      </c>
      <c r="J1391" s="3">
        <f>Vendas[[#This Row],[Valor da Venda]]-(_xlfn.XLOOKUP(Vendas[[#This Row],[ID Item Vendido]],Agregado[ID],Agregado[Custo])*Vendas[[#This Row],[Qnt Vendida]])</f>
        <v>87.600000000000136</v>
      </c>
      <c r="K1391" s="70">
        <f>Vendas[[#This Row],[Lucro da Venda]]/Vendas[[#This Row],[Valor da Venda]]</f>
        <v>5.5177626606198113E-2</v>
      </c>
      <c r="L139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391"/>
    </row>
    <row r="1392" spans="1:13" x14ac:dyDescent="0.3">
      <c r="A1392" s="7">
        <v>400255</v>
      </c>
      <c r="B1392" t="str">
        <f>_xlfn.XLOOKUP(Vendas[[#This Row],[ID Vendedor]],Vendedores[ID],Vendedores[Nome])</f>
        <v>Carlos</v>
      </c>
      <c r="C1392" s="7" t="str">
        <f>_xlfn.XLOOKUP(Vendas[[#This Row],[ID Vendedor]],Vendedores[ID],Vendedores[Setor])</f>
        <v>SC</v>
      </c>
      <c r="D1392" s="7" t="s">
        <v>42</v>
      </c>
      <c r="E1392" t="str">
        <f>_xlfn.XLOOKUP(Vendas[[#This Row],[ID Item Vendido]],Agregado[ID],Agregado[Produto])</f>
        <v>Container de ferro industrial</v>
      </c>
      <c r="F1392" s="39">
        <v>44552</v>
      </c>
      <c r="G1392" s="7">
        <v>6</v>
      </c>
      <c r="H1392" s="3">
        <f>_xlfn.XLOOKUP(Vendas[[#This Row],[ID Item Vendido]],Agregado[ID],Agregado[Revenda])</f>
        <v>830</v>
      </c>
      <c r="I1392" s="3">
        <f>Vendas[[#This Row],[Valor Unitário]]*Vendas[[#This Row],[Qnt Vendida]]</f>
        <v>4980</v>
      </c>
      <c r="J1392" s="3">
        <f>Vendas[[#This Row],[Valor da Venda]]-(_xlfn.XLOOKUP(Vendas[[#This Row],[ID Item Vendido]],Agregado[ID],Agregado[Custo])*Vendas[[#This Row],[Qnt Vendida]])</f>
        <v>900</v>
      </c>
      <c r="K1392" s="70">
        <f>Vendas[[#This Row],[Lucro da Venda]]/Vendas[[#This Row],[Valor da Venda]]</f>
        <v>0.18072289156626506</v>
      </c>
      <c r="L139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392"/>
    </row>
    <row r="1393" spans="1:13" x14ac:dyDescent="0.3">
      <c r="A1393" s="7">
        <v>400243</v>
      </c>
      <c r="B1393" t="str">
        <f>_xlfn.XLOOKUP(Vendas[[#This Row],[ID Vendedor]],Vendedores[ID],Vendedores[Nome])</f>
        <v>Marcelo</v>
      </c>
      <c r="C1393" s="7" t="str">
        <f>_xlfn.XLOOKUP(Vendas[[#This Row],[ID Vendedor]],Vendedores[ID],Vendedores[Setor])</f>
        <v>FM</v>
      </c>
      <c r="D1393" s="7" t="s">
        <v>31</v>
      </c>
      <c r="E1393" t="str">
        <f>_xlfn.XLOOKUP(Vendas[[#This Row],[ID Item Vendido]],Agregado[ID],Agregado[Produto])</f>
        <v>Tela de metal soldada rolo 2x25m</v>
      </c>
      <c r="F1393" s="39">
        <v>44552</v>
      </c>
      <c r="G1393" s="7">
        <v>16</v>
      </c>
      <c r="H1393" s="3">
        <f>_xlfn.XLOOKUP(Vendas[[#This Row],[ID Item Vendido]],Agregado[ID],Agregado[Revenda])</f>
        <v>43.7</v>
      </c>
      <c r="I1393" s="3">
        <f>Vendas[[#This Row],[Valor Unitário]]*Vendas[[#This Row],[Qnt Vendida]]</f>
        <v>699.2</v>
      </c>
      <c r="J1393" s="3">
        <f>Vendas[[#This Row],[Valor da Venda]]-(_xlfn.XLOOKUP(Vendas[[#This Row],[ID Item Vendido]],Agregado[ID],Agregado[Custo])*Vendas[[#This Row],[Qnt Vendida]])</f>
        <v>91.200000000000045</v>
      </c>
      <c r="K1393" s="70">
        <f>Vendas[[#This Row],[Lucro da Venda]]/Vendas[[#This Row],[Valor da Venda]]</f>
        <v>0.1304347826086957</v>
      </c>
      <c r="L1393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1393"/>
    </row>
    <row r="1394" spans="1:13" x14ac:dyDescent="0.3">
      <c r="A1394" s="7">
        <v>400241</v>
      </c>
      <c r="B1394" t="str">
        <f>_xlfn.XLOOKUP(Vendas[[#This Row],[ID Vendedor]],Vendedores[ID],Vendedores[Nome])</f>
        <v>Rodrigo</v>
      </c>
      <c r="C1394" s="7" t="str">
        <f>_xlfn.XLOOKUP(Vendas[[#This Row],[ID Vendedor]],Vendedores[ID],Vendedores[Setor])</f>
        <v>FM</v>
      </c>
      <c r="D1394" s="7" t="s">
        <v>20</v>
      </c>
      <c r="E1394" t="str">
        <f>_xlfn.XLOOKUP(Vendas[[#This Row],[ID Item Vendido]],Agregado[ID],Agregado[Produto])</f>
        <v>Barra de aço simples</v>
      </c>
      <c r="F1394" s="39">
        <v>44553</v>
      </c>
      <c r="G1394" s="7">
        <v>102</v>
      </c>
      <c r="H1394" s="3">
        <f>_xlfn.XLOOKUP(Vendas[[#This Row],[ID Item Vendido]],Agregado[ID],Agregado[Revenda])</f>
        <v>4.8</v>
      </c>
      <c r="I1394" s="3">
        <f>Vendas[[#This Row],[Valor Unitário]]*Vendas[[#This Row],[Qnt Vendida]]</f>
        <v>489.59999999999997</v>
      </c>
      <c r="J1394" s="3">
        <f>Vendas[[#This Row],[Valor da Venda]]-(_xlfn.XLOOKUP(Vendas[[#This Row],[ID Item Vendido]],Agregado[ID],Agregado[Custo])*Vendas[[#This Row],[Qnt Vendida]])</f>
        <v>61.199999999999932</v>
      </c>
      <c r="K1394" s="70">
        <f>Vendas[[#This Row],[Lucro da Venda]]/Vendas[[#This Row],[Valor da Venda]]</f>
        <v>0.12499999999999988</v>
      </c>
      <c r="L1394" s="3">
        <f>_xlfn.IFS(Vendas[[#This Row],[Margem de Lucro (%)]]&lt;15%,Vendas[[#This Row],[Valor da Venda]]*3%,Vendas[[#This Row],[Margem de Lucro (%)]]&lt;=20%,Vendas[[#This Row],[Valor da Venda]]*4.5%,TRUE,Vendas[[#This Row],[Valor da Venda]]*6%)</f>
        <v>14.687999999999999</v>
      </c>
      <c r="M1394"/>
    </row>
    <row r="1395" spans="1:13" x14ac:dyDescent="0.3">
      <c r="A1395" s="7">
        <v>400244</v>
      </c>
      <c r="B1395" t="str">
        <f>_xlfn.XLOOKUP(Vendas[[#This Row],[ID Vendedor]],Vendedores[ID],Vendedores[Nome])</f>
        <v>Camila</v>
      </c>
      <c r="C1395" s="7" t="str">
        <f>_xlfn.XLOOKUP(Vendas[[#This Row],[ID Vendedor]],Vendedores[ID],Vendedores[Setor])</f>
        <v>AHD</v>
      </c>
      <c r="D1395" s="7" t="s">
        <v>28</v>
      </c>
      <c r="E1395" t="str">
        <f>_xlfn.XLOOKUP(Vendas[[#This Row],[ID Item Vendido]],Agregado[ID],Agregado[Produto])</f>
        <v>Peça usinada CNC</v>
      </c>
      <c r="F1395" s="39">
        <v>44554</v>
      </c>
      <c r="G1395" s="7">
        <v>8</v>
      </c>
      <c r="H1395" s="3">
        <f>_xlfn.XLOOKUP(Vendas[[#This Row],[ID Item Vendido]],Agregado[ID],Agregado[Revenda])</f>
        <v>192</v>
      </c>
      <c r="I1395" s="3">
        <f>Vendas[[#This Row],[Valor Unitário]]*Vendas[[#This Row],[Qnt Vendida]]</f>
        <v>1536</v>
      </c>
      <c r="J1395" s="3">
        <f>Vendas[[#This Row],[Valor da Venda]]-(_xlfn.XLOOKUP(Vendas[[#This Row],[ID Item Vendido]],Agregado[ID],Agregado[Custo])*Vendas[[#This Row],[Qnt Vendida]])</f>
        <v>336</v>
      </c>
      <c r="K1395" s="70">
        <f>Vendas[[#This Row],[Lucro da Venda]]/Vendas[[#This Row],[Valor da Venda]]</f>
        <v>0.21875</v>
      </c>
      <c r="L139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1395"/>
    </row>
    <row r="1396" spans="1:13" x14ac:dyDescent="0.3">
      <c r="A1396" s="7">
        <v>400250</v>
      </c>
      <c r="B1396" t="str">
        <f>_xlfn.XLOOKUP(Vendas[[#This Row],[ID Vendedor]],Vendedores[ID],Vendedores[Nome])</f>
        <v>Larissa</v>
      </c>
      <c r="C1396" s="7" t="str">
        <f>_xlfn.XLOOKUP(Vendas[[#This Row],[ID Vendedor]],Vendedores[ID],Vendedores[Setor])</f>
        <v>AB</v>
      </c>
      <c r="D1396" s="7" t="s">
        <v>24</v>
      </c>
      <c r="E1396" t="str">
        <f>_xlfn.XLOOKUP(Vendas[[#This Row],[ID Item Vendido]],Agregado[ID],Agregado[Produto])</f>
        <v>Resina plástica PET purificada saco de 25kg</v>
      </c>
      <c r="F1396" s="39">
        <v>44554</v>
      </c>
      <c r="G1396" s="7">
        <v>10</v>
      </c>
      <c r="H1396" s="3">
        <f>_xlfn.XLOOKUP(Vendas[[#This Row],[ID Item Vendido]],Agregado[ID],Agregado[Revenda])</f>
        <v>119</v>
      </c>
      <c r="I1396" s="3">
        <f>Vendas[[#This Row],[Valor Unitário]]*Vendas[[#This Row],[Qnt Vendida]]</f>
        <v>1190</v>
      </c>
      <c r="J1396" s="3">
        <f>Vendas[[#This Row],[Valor da Venda]]-(_xlfn.XLOOKUP(Vendas[[#This Row],[ID Item Vendido]],Agregado[ID],Agregado[Custo])*Vendas[[#This Row],[Qnt Vendida]])</f>
        <v>340</v>
      </c>
      <c r="K1396" s="70">
        <f>Vendas[[#This Row],[Lucro da Venda]]/Vendas[[#This Row],[Valor da Venda]]</f>
        <v>0.2857142857142857</v>
      </c>
      <c r="L1396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396"/>
    </row>
    <row r="1397" spans="1:13" x14ac:dyDescent="0.3">
      <c r="A1397" s="7">
        <v>400249</v>
      </c>
      <c r="B1397" t="str">
        <f>_xlfn.XLOOKUP(Vendas[[#This Row],[ID Vendedor]],Vendedores[ID],Vendedores[Nome])</f>
        <v>Bruno</v>
      </c>
      <c r="C1397" s="7" t="str">
        <f>_xlfn.XLOOKUP(Vendas[[#This Row],[ID Vendedor]],Vendedores[ID],Vendedores[Setor])</f>
        <v>CM</v>
      </c>
      <c r="D1397" s="7" t="s">
        <v>34</v>
      </c>
      <c r="E1397" t="str">
        <f>_xlfn.XLOOKUP(Vendas[[#This Row],[ID Item Vendido]],Agregado[ID],Agregado[Produto])</f>
        <v>Restos de madeira p/ MDP/OSB saco de 20kg</v>
      </c>
      <c r="F1397" s="39">
        <v>44556</v>
      </c>
      <c r="G1397" s="7">
        <v>20</v>
      </c>
      <c r="H1397" s="3">
        <f>_xlfn.XLOOKUP(Vendas[[#This Row],[ID Item Vendido]],Agregado[ID],Agregado[Revenda])</f>
        <v>13.8</v>
      </c>
      <c r="I1397" s="3">
        <f>Vendas[[#This Row],[Valor Unitário]]*Vendas[[#This Row],[Qnt Vendida]]</f>
        <v>276</v>
      </c>
      <c r="J1397" s="3">
        <f>Vendas[[#This Row],[Valor da Venda]]-(_xlfn.XLOOKUP(Vendas[[#This Row],[ID Item Vendido]],Agregado[ID],Agregado[Custo])*Vendas[[#This Row],[Qnt Vendida]])</f>
        <v>36</v>
      </c>
      <c r="K1397" s="70">
        <f>Vendas[[#This Row],[Lucro da Venda]]/Vendas[[#This Row],[Valor da Venda]]</f>
        <v>0.13043478260869565</v>
      </c>
      <c r="L1397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1397"/>
    </row>
    <row r="1398" spans="1:13" x14ac:dyDescent="0.3">
      <c r="A1398" s="7">
        <v>400250</v>
      </c>
      <c r="B1398" t="str">
        <f>_xlfn.XLOOKUP(Vendas[[#This Row],[ID Vendedor]],Vendedores[ID],Vendedores[Nome])</f>
        <v>Larissa</v>
      </c>
      <c r="C1398" s="7" t="str">
        <f>_xlfn.XLOOKUP(Vendas[[#This Row],[ID Vendedor]],Vendedores[ID],Vendedores[Setor])</f>
        <v>AB</v>
      </c>
      <c r="D1398" s="7" t="s">
        <v>24</v>
      </c>
      <c r="E1398" t="str">
        <f>_xlfn.XLOOKUP(Vendas[[#This Row],[ID Item Vendido]],Agregado[ID],Agregado[Produto])</f>
        <v>Resina plástica PET purificada saco de 25kg</v>
      </c>
      <c r="F1398" s="39">
        <v>44557</v>
      </c>
      <c r="G1398" s="7">
        <v>24</v>
      </c>
      <c r="H1398" s="3">
        <f>_xlfn.XLOOKUP(Vendas[[#This Row],[ID Item Vendido]],Agregado[ID],Agregado[Revenda])</f>
        <v>119</v>
      </c>
      <c r="I1398" s="3">
        <f>Vendas[[#This Row],[Valor Unitário]]*Vendas[[#This Row],[Qnt Vendida]]</f>
        <v>2856</v>
      </c>
      <c r="J1398" s="3">
        <f>Vendas[[#This Row],[Valor da Venda]]-(_xlfn.XLOOKUP(Vendas[[#This Row],[ID Item Vendido]],Agregado[ID],Agregado[Custo])*Vendas[[#This Row],[Qnt Vendida]])</f>
        <v>816</v>
      </c>
      <c r="K1398" s="70">
        <f>Vendas[[#This Row],[Lucro da Venda]]/Vendas[[#This Row],[Valor da Venda]]</f>
        <v>0.2857142857142857</v>
      </c>
      <c r="L1398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1398"/>
    </row>
    <row r="1399" spans="1:13" x14ac:dyDescent="0.3">
      <c r="A1399" s="7">
        <v>400244</v>
      </c>
      <c r="B1399" t="str">
        <f>_xlfn.XLOOKUP(Vendas[[#This Row],[ID Vendedor]],Vendedores[ID],Vendedores[Nome])</f>
        <v>Camila</v>
      </c>
      <c r="C1399" s="7" t="str">
        <f>_xlfn.XLOOKUP(Vendas[[#This Row],[ID Vendedor]],Vendedores[ID],Vendedores[Setor])</f>
        <v>AHD</v>
      </c>
      <c r="D1399" s="7" t="s">
        <v>18</v>
      </c>
      <c r="E1399" t="str">
        <f>_xlfn.XLOOKUP(Vendas[[#This Row],[ID Item Vendido]],Agregado[ID],Agregado[Produto])</f>
        <v>Peça forjada sob encomenda</v>
      </c>
      <c r="F1399" s="39">
        <v>44558</v>
      </c>
      <c r="G1399" s="7">
        <v>6</v>
      </c>
      <c r="H1399" s="3">
        <f>_xlfn.XLOOKUP(Vendas[[#This Row],[ID Item Vendido]],Agregado[ID],Agregado[Revenda])</f>
        <v>264.60000000000002</v>
      </c>
      <c r="I1399" s="3">
        <f>Vendas[[#This Row],[Valor Unitário]]*Vendas[[#This Row],[Qnt Vendida]]</f>
        <v>1587.6000000000001</v>
      </c>
      <c r="J1399" s="3">
        <f>Vendas[[#This Row],[Valor da Venda]]-(_xlfn.XLOOKUP(Vendas[[#This Row],[ID Item Vendido]],Agregado[ID],Agregado[Custo])*Vendas[[#This Row],[Qnt Vendida]])</f>
        <v>87.600000000000136</v>
      </c>
      <c r="K1399" s="70">
        <f>Vendas[[#This Row],[Lucro da Venda]]/Vendas[[#This Row],[Valor da Venda]]</f>
        <v>5.5177626606198113E-2</v>
      </c>
      <c r="L1399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399"/>
    </row>
    <row r="1400" spans="1:13" x14ac:dyDescent="0.3">
      <c r="A1400" s="7">
        <v>400244</v>
      </c>
      <c r="B1400" t="str">
        <f>_xlfn.XLOOKUP(Vendas[[#This Row],[ID Vendedor]],Vendedores[ID],Vendedores[Nome])</f>
        <v>Camila</v>
      </c>
      <c r="C1400" s="7" t="str">
        <f>_xlfn.XLOOKUP(Vendas[[#This Row],[ID Vendedor]],Vendedores[ID],Vendedores[Setor])</f>
        <v>AHD</v>
      </c>
      <c r="D1400" s="7" t="s">
        <v>28</v>
      </c>
      <c r="E1400" t="str">
        <f>_xlfn.XLOOKUP(Vendas[[#This Row],[ID Item Vendido]],Agregado[ID],Agregado[Produto])</f>
        <v>Peça usinada CNC</v>
      </c>
      <c r="F1400" s="39">
        <v>44558</v>
      </c>
      <c r="G1400" s="7">
        <v>5</v>
      </c>
      <c r="H1400" s="3">
        <f>_xlfn.XLOOKUP(Vendas[[#This Row],[ID Item Vendido]],Agregado[ID],Agregado[Revenda])</f>
        <v>192</v>
      </c>
      <c r="I1400" s="3">
        <f>Vendas[[#This Row],[Valor Unitário]]*Vendas[[#This Row],[Qnt Vendida]]</f>
        <v>960</v>
      </c>
      <c r="J1400" s="3">
        <f>Vendas[[#This Row],[Valor da Venda]]-(_xlfn.XLOOKUP(Vendas[[#This Row],[ID Item Vendido]],Agregado[ID],Agregado[Custo])*Vendas[[#This Row],[Qnt Vendida]])</f>
        <v>210</v>
      </c>
      <c r="K1400" s="70">
        <f>Vendas[[#This Row],[Lucro da Venda]]/Vendas[[#This Row],[Valor da Venda]]</f>
        <v>0.21875</v>
      </c>
      <c r="L1400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1400"/>
    </row>
    <row r="1401" spans="1:13" x14ac:dyDescent="0.3">
      <c r="A1401" s="7">
        <v>400255</v>
      </c>
      <c r="B1401" t="str">
        <f>_xlfn.XLOOKUP(Vendas[[#This Row],[ID Vendedor]],Vendedores[ID],Vendedores[Nome])</f>
        <v>Carlos</v>
      </c>
      <c r="C1401" s="7" t="str">
        <f>_xlfn.XLOOKUP(Vendas[[#This Row],[ID Vendedor]],Vendedores[ID],Vendedores[Setor])</f>
        <v>SC</v>
      </c>
      <c r="D1401" s="7" t="s">
        <v>14</v>
      </c>
      <c r="E1401" t="str">
        <f>_xlfn.XLOOKUP(Vendas[[#This Row],[ID Item Vendido]],Agregado[ID],Agregado[Produto])</f>
        <v>Barril de plástico 200L</v>
      </c>
      <c r="F1401" s="39">
        <v>44558</v>
      </c>
      <c r="G1401" s="7">
        <v>5</v>
      </c>
      <c r="H1401" s="3">
        <f>_xlfn.XLOOKUP(Vendas[[#This Row],[ID Item Vendido]],Agregado[ID],Agregado[Revenda])</f>
        <v>114</v>
      </c>
      <c r="I1401" s="3">
        <f>Vendas[[#This Row],[Valor Unitário]]*Vendas[[#This Row],[Qnt Vendida]]</f>
        <v>570</v>
      </c>
      <c r="J1401" s="3">
        <f>Vendas[[#This Row],[Valor da Venda]]-(_xlfn.XLOOKUP(Vendas[[#This Row],[ID Item Vendido]],Agregado[ID],Agregado[Custo])*Vendas[[#This Row],[Qnt Vendida]])</f>
        <v>95</v>
      </c>
      <c r="K1401" s="70">
        <f>Vendas[[#This Row],[Lucro da Venda]]/Vendas[[#This Row],[Valor da Venda]]</f>
        <v>0.16666666666666666</v>
      </c>
      <c r="L1401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1401"/>
    </row>
    <row r="1402" spans="1:13" x14ac:dyDescent="0.3">
      <c r="A1402" s="7">
        <v>400243</v>
      </c>
      <c r="B1402" t="str">
        <f>_xlfn.XLOOKUP(Vendas[[#This Row],[ID Vendedor]],Vendedores[ID],Vendedores[Nome])</f>
        <v>Marcelo</v>
      </c>
      <c r="C1402" s="7" t="str">
        <f>_xlfn.XLOOKUP(Vendas[[#This Row],[ID Vendedor]],Vendedores[ID],Vendedores[Setor])</f>
        <v>FM</v>
      </c>
      <c r="D1402" s="7" t="s">
        <v>31</v>
      </c>
      <c r="E1402" t="str">
        <f>_xlfn.XLOOKUP(Vendas[[#This Row],[ID Item Vendido]],Agregado[ID],Agregado[Produto])</f>
        <v>Tela de metal soldada rolo 2x25m</v>
      </c>
      <c r="F1402" s="39">
        <v>44558</v>
      </c>
      <c r="G1402" s="7">
        <v>8</v>
      </c>
      <c r="H1402" s="3">
        <f>_xlfn.XLOOKUP(Vendas[[#This Row],[ID Item Vendido]],Agregado[ID],Agregado[Revenda])</f>
        <v>43.7</v>
      </c>
      <c r="I1402" s="3">
        <f>Vendas[[#This Row],[Valor Unitário]]*Vendas[[#This Row],[Qnt Vendida]]</f>
        <v>349.6</v>
      </c>
      <c r="J1402" s="3">
        <f>Vendas[[#This Row],[Valor da Venda]]-(_xlfn.XLOOKUP(Vendas[[#This Row],[ID Item Vendido]],Agregado[ID],Agregado[Custo])*Vendas[[#This Row],[Qnt Vendida]])</f>
        <v>45.600000000000023</v>
      </c>
      <c r="K1402" s="70">
        <f>Vendas[[#This Row],[Lucro da Venda]]/Vendas[[#This Row],[Valor da Venda]]</f>
        <v>0.1304347826086957</v>
      </c>
      <c r="L1402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1402"/>
    </row>
    <row r="1403" spans="1:13" x14ac:dyDescent="0.3">
      <c r="A1403" s="7">
        <v>400243</v>
      </c>
      <c r="B1403" t="str">
        <f>_xlfn.XLOOKUP(Vendas[[#This Row],[ID Vendedor]],Vendedores[ID],Vendedores[Nome])</f>
        <v>Marcelo</v>
      </c>
      <c r="C1403" s="7" t="str">
        <f>_xlfn.XLOOKUP(Vendas[[#This Row],[ID Vendedor]],Vendedores[ID],Vendedores[Setor])</f>
        <v>FM</v>
      </c>
      <c r="D1403" s="7" t="s">
        <v>47</v>
      </c>
      <c r="E1403" t="str">
        <f>_xlfn.XLOOKUP(Vendas[[#This Row],[ID Item Vendido]],Agregado[ID],Agregado[Produto])</f>
        <v>Fio de arame galvanizado rolo 50m</v>
      </c>
      <c r="F1403" s="39">
        <v>44558</v>
      </c>
      <c r="G1403" s="7">
        <v>10</v>
      </c>
      <c r="H1403" s="3">
        <f>_xlfn.XLOOKUP(Vendas[[#This Row],[ID Item Vendido]],Agregado[ID],Agregado[Revenda])</f>
        <v>21.2</v>
      </c>
      <c r="I1403" s="3">
        <f>Vendas[[#This Row],[Valor Unitário]]*Vendas[[#This Row],[Qnt Vendida]]</f>
        <v>212</v>
      </c>
      <c r="J1403" s="3">
        <f>Vendas[[#This Row],[Valor da Venda]]-(_xlfn.XLOOKUP(Vendas[[#This Row],[ID Item Vendido]],Agregado[ID],Agregado[Custo])*Vendas[[#This Row],[Qnt Vendida]])</f>
        <v>32</v>
      </c>
      <c r="K1403" s="70">
        <f>Vendas[[#This Row],[Lucro da Venda]]/Vendas[[#This Row],[Valor da Venda]]</f>
        <v>0.15094339622641509</v>
      </c>
      <c r="L1403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403"/>
    </row>
    <row r="1404" spans="1:13" x14ac:dyDescent="0.3">
      <c r="A1404" s="7">
        <v>400245</v>
      </c>
      <c r="B1404" t="str">
        <f>_xlfn.XLOOKUP(Vendas[[#This Row],[ID Vendedor]],Vendedores[ID],Vendedores[Nome])</f>
        <v>Thiago</v>
      </c>
      <c r="C1404" s="7" t="str">
        <f>_xlfn.XLOOKUP(Vendas[[#This Row],[ID Vendedor]],Vendedores[ID],Vendedores[Setor])</f>
        <v>AHD</v>
      </c>
      <c r="D1404" s="7" t="s">
        <v>28</v>
      </c>
      <c r="E1404" t="str">
        <f>_xlfn.XLOOKUP(Vendas[[#This Row],[ID Item Vendido]],Agregado[ID],Agregado[Produto])</f>
        <v>Peça usinada CNC</v>
      </c>
      <c r="F1404" s="39">
        <v>44559</v>
      </c>
      <c r="G1404" s="7">
        <v>9</v>
      </c>
      <c r="H1404" s="3">
        <f>_xlfn.XLOOKUP(Vendas[[#This Row],[ID Item Vendido]],Agregado[ID],Agregado[Revenda])</f>
        <v>192</v>
      </c>
      <c r="I1404" s="3">
        <f>Vendas[[#This Row],[Valor Unitário]]*Vendas[[#This Row],[Qnt Vendida]]</f>
        <v>1728</v>
      </c>
      <c r="J1404" s="3">
        <f>Vendas[[#This Row],[Valor da Venda]]-(_xlfn.XLOOKUP(Vendas[[#This Row],[ID Item Vendido]],Agregado[ID],Agregado[Custo])*Vendas[[#This Row],[Qnt Vendida]])</f>
        <v>378</v>
      </c>
      <c r="K1404" s="70">
        <f>Vendas[[#This Row],[Lucro da Venda]]/Vendas[[#This Row],[Valor da Venda]]</f>
        <v>0.21875</v>
      </c>
      <c r="L1404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404"/>
    </row>
    <row r="1405" spans="1:13" x14ac:dyDescent="0.3">
      <c r="A1405" s="7">
        <v>400248</v>
      </c>
      <c r="B1405" t="str">
        <f>_xlfn.XLOOKUP(Vendas[[#This Row],[ID Vendedor]],Vendedores[ID],Vendedores[Nome])</f>
        <v>Patrícia</v>
      </c>
      <c r="C1405" s="7" t="str">
        <f>_xlfn.XLOOKUP(Vendas[[#This Row],[ID Vendedor]],Vendedores[ID],Vendedores[Setor])</f>
        <v>CM</v>
      </c>
      <c r="D1405" s="7" t="s">
        <v>45</v>
      </c>
      <c r="E1405" t="str">
        <f>_xlfn.XLOOKUP(Vendas[[#This Row],[ID Item Vendido]],Agregado[ID],Agregado[Produto])</f>
        <v>Viga de madeira tratada 4m</v>
      </c>
      <c r="F1405" s="39">
        <v>44559</v>
      </c>
      <c r="G1405" s="7">
        <v>12</v>
      </c>
      <c r="H1405" s="3">
        <f>_xlfn.XLOOKUP(Vendas[[#This Row],[ID Item Vendido]],Agregado[ID],Agregado[Revenda])</f>
        <v>66</v>
      </c>
      <c r="I1405" s="3">
        <f>Vendas[[#This Row],[Valor Unitário]]*Vendas[[#This Row],[Qnt Vendida]]</f>
        <v>792</v>
      </c>
      <c r="J1405" s="3">
        <f>Vendas[[#This Row],[Valor da Venda]]-(_xlfn.XLOOKUP(Vendas[[#This Row],[ID Item Vendido]],Agregado[ID],Agregado[Custo])*Vendas[[#This Row],[Qnt Vendida]])</f>
        <v>132</v>
      </c>
      <c r="K1405" s="70">
        <f>Vendas[[#This Row],[Lucro da Venda]]/Vendas[[#This Row],[Valor da Venda]]</f>
        <v>0.16666666666666666</v>
      </c>
      <c r="L1405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1405"/>
    </row>
    <row r="1406" spans="1:13" x14ac:dyDescent="0.3">
      <c r="A1406" s="7">
        <v>400247</v>
      </c>
      <c r="B1406" t="str">
        <f>_xlfn.XLOOKUP(Vendas[[#This Row],[ID Vendedor]],Vendedores[ID],Vendedores[Nome])</f>
        <v>André</v>
      </c>
      <c r="C1406" s="7" t="str">
        <f>_xlfn.XLOOKUP(Vendas[[#This Row],[ID Vendedor]],Vendedores[ID],Vendedores[Setor])</f>
        <v>CM</v>
      </c>
      <c r="D1406" s="7" t="s">
        <v>22</v>
      </c>
      <c r="E1406" t="str">
        <f>_xlfn.XLOOKUP(Vendas[[#This Row],[ID Item Vendido]],Agregado[ID],Agregado[Produto])</f>
        <v>Painel MDP 2,75x1,83m</v>
      </c>
      <c r="F1406" s="39">
        <v>44560</v>
      </c>
      <c r="G1406" s="7">
        <v>14</v>
      </c>
      <c r="H1406" s="3">
        <f>_xlfn.XLOOKUP(Vendas[[#This Row],[ID Item Vendido]],Agregado[ID],Agregado[Revenda])</f>
        <v>119</v>
      </c>
      <c r="I1406" s="3">
        <f>Vendas[[#This Row],[Valor Unitário]]*Vendas[[#This Row],[Qnt Vendida]]</f>
        <v>1666</v>
      </c>
      <c r="J1406" s="3">
        <f>Vendas[[#This Row],[Valor da Venda]]-(_xlfn.XLOOKUP(Vendas[[#This Row],[ID Item Vendido]],Agregado[ID],Agregado[Custo])*Vendas[[#This Row],[Qnt Vendida]])</f>
        <v>336</v>
      </c>
      <c r="K1406" s="70">
        <f>Vendas[[#This Row],[Lucro da Venda]]/Vendas[[#This Row],[Valor da Venda]]</f>
        <v>0.20168067226890757</v>
      </c>
      <c r="L1406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406"/>
    </row>
    <row r="1407" spans="1:13" x14ac:dyDescent="0.3">
      <c r="A1407" s="7">
        <v>400245</v>
      </c>
      <c r="B1407" t="str">
        <f>_xlfn.XLOOKUP(Vendas[[#This Row],[ID Vendedor]],Vendedores[ID],Vendedores[Nome])</f>
        <v>Thiago</v>
      </c>
      <c r="C1407" s="7" t="str">
        <f>_xlfn.XLOOKUP(Vendas[[#This Row],[ID Vendedor]],Vendedores[ID],Vendedores[Setor])</f>
        <v>AHD</v>
      </c>
      <c r="D1407" s="7" t="s">
        <v>9</v>
      </c>
      <c r="E1407" t="str">
        <f>_xlfn.XLOOKUP(Vendas[[#This Row],[ID Item Vendido]],Agregado[ID],Agregado[Produto])</f>
        <v>Barra de aço simples</v>
      </c>
      <c r="F1407" s="39">
        <v>44560</v>
      </c>
      <c r="G1407" s="7">
        <v>117</v>
      </c>
      <c r="H1407" s="3">
        <f>_xlfn.XLOOKUP(Vendas[[#This Row],[ID Item Vendido]],Agregado[ID],Agregado[Revenda])</f>
        <v>6.7</v>
      </c>
      <c r="I1407" s="3">
        <f>Vendas[[#This Row],[Valor Unitário]]*Vendas[[#This Row],[Qnt Vendida]]</f>
        <v>783.9</v>
      </c>
      <c r="J1407" s="3">
        <f>Vendas[[#This Row],[Valor da Venda]]-(_xlfn.XLOOKUP(Vendas[[#This Row],[ID Item Vendido]],Agregado[ID],Agregado[Custo])*Vendas[[#This Row],[Qnt Vendida]])</f>
        <v>105.29999999999995</v>
      </c>
      <c r="K1407" s="70">
        <f>Vendas[[#This Row],[Lucro da Venda]]/Vendas[[#This Row],[Valor da Venda]]</f>
        <v>0.13432835820895517</v>
      </c>
      <c r="L1407" s="3">
        <f>_xlfn.IFS(Vendas[[#This Row],[Margem de Lucro (%)]]&lt;15%,Vendas[[#This Row],[Valor da Venda]]*3%,Vendas[[#This Row],[Margem de Lucro (%)]]&lt;=20%,Vendas[[#This Row],[Valor da Venda]]*4.5%,TRUE,Vendas[[#This Row],[Valor da Venda]]*6%)</f>
        <v>23.516999999999999</v>
      </c>
      <c r="M1407"/>
    </row>
    <row r="1408" spans="1:13" x14ac:dyDescent="0.3">
      <c r="A1408" s="7">
        <v>400255</v>
      </c>
      <c r="B1408" t="str">
        <f>_xlfn.XLOOKUP(Vendas[[#This Row],[ID Vendedor]],Vendedores[ID],Vendedores[Nome])</f>
        <v>Carlos</v>
      </c>
      <c r="C1408" s="7" t="str">
        <f>_xlfn.XLOOKUP(Vendas[[#This Row],[ID Vendedor]],Vendedores[ID],Vendedores[Setor])</f>
        <v>SC</v>
      </c>
      <c r="D1408" s="7" t="s">
        <v>25</v>
      </c>
      <c r="E1408" t="str">
        <f>_xlfn.XLOOKUP(Vendas[[#This Row],[ID Item Vendido]],Agregado[ID],Agregado[Produto])</f>
        <v>Palete de plástico</v>
      </c>
      <c r="F1408" s="39">
        <v>44560</v>
      </c>
      <c r="G1408" s="7">
        <v>6</v>
      </c>
      <c r="H1408" s="3">
        <f>_xlfn.XLOOKUP(Vendas[[#This Row],[ID Item Vendido]],Agregado[ID],Agregado[Revenda])</f>
        <v>70.8</v>
      </c>
      <c r="I1408" s="3">
        <f>Vendas[[#This Row],[Valor Unitário]]*Vendas[[#This Row],[Qnt Vendida]]</f>
        <v>424.79999999999995</v>
      </c>
      <c r="J1408" s="3">
        <f>Vendas[[#This Row],[Valor da Venda]]-(_xlfn.XLOOKUP(Vendas[[#This Row],[ID Item Vendido]],Agregado[ID],Agregado[Custo])*Vendas[[#This Row],[Qnt Vendida]])</f>
        <v>64.799999999999955</v>
      </c>
      <c r="K1408" s="70">
        <f>Vendas[[#This Row],[Lucro da Venda]]/Vendas[[#This Row],[Valor da Venda]]</f>
        <v>0.15254237288135583</v>
      </c>
      <c r="L1408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1408"/>
    </row>
    <row r="1409" spans="1:13" x14ac:dyDescent="0.3">
      <c r="A1409" s="7">
        <v>400249</v>
      </c>
      <c r="B1409" t="str">
        <f>_xlfn.XLOOKUP(Vendas[[#This Row],[ID Vendedor]],Vendedores[ID],Vendedores[Nome])</f>
        <v>Bruno</v>
      </c>
      <c r="C1409" s="7" t="str">
        <f>_xlfn.XLOOKUP(Vendas[[#This Row],[ID Vendedor]],Vendedores[ID],Vendedores[Setor])</f>
        <v>CM</v>
      </c>
      <c r="D1409" s="7" t="s">
        <v>22</v>
      </c>
      <c r="E1409" t="str">
        <f>_xlfn.XLOOKUP(Vendas[[#This Row],[ID Item Vendido]],Agregado[ID],Agregado[Produto])</f>
        <v>Painel MDP 2,75x1,83m</v>
      </c>
      <c r="F1409" s="39">
        <v>44561</v>
      </c>
      <c r="G1409" s="7">
        <v>21</v>
      </c>
      <c r="H1409" s="3">
        <f>_xlfn.XLOOKUP(Vendas[[#This Row],[ID Item Vendido]],Agregado[ID],Agregado[Revenda])</f>
        <v>119</v>
      </c>
      <c r="I1409" s="3">
        <f>Vendas[[#This Row],[Valor Unitário]]*Vendas[[#This Row],[Qnt Vendida]]</f>
        <v>2499</v>
      </c>
      <c r="J1409" s="3">
        <f>Vendas[[#This Row],[Valor da Venda]]-(_xlfn.XLOOKUP(Vendas[[#This Row],[ID Item Vendido]],Agregado[ID],Agregado[Custo])*Vendas[[#This Row],[Qnt Vendida]])</f>
        <v>504</v>
      </c>
      <c r="K1409" s="70">
        <f>Vendas[[#This Row],[Lucro da Venda]]/Vendas[[#This Row],[Valor da Venda]]</f>
        <v>0.20168067226890757</v>
      </c>
      <c r="L1409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1409"/>
    </row>
    <row r="1410" spans="1:13" x14ac:dyDescent="0.3">
      <c r="A1410" s="7">
        <v>400245</v>
      </c>
      <c r="B1410" t="str">
        <f>_xlfn.XLOOKUP(Vendas[[#This Row],[ID Vendedor]],Vendedores[ID],Vendedores[Nome])</f>
        <v>Thiago</v>
      </c>
      <c r="C1410" s="7" t="str">
        <f>_xlfn.XLOOKUP(Vendas[[#This Row],[ID Vendedor]],Vendedores[ID],Vendedores[Setor])</f>
        <v>AHD</v>
      </c>
      <c r="D1410" s="7" t="s">
        <v>44</v>
      </c>
      <c r="E1410" t="str">
        <f>_xlfn.XLOOKUP(Vendas[[#This Row],[ID Item Vendido]],Agregado[ID],Agregado[Produto])</f>
        <v>Liga metálica especial</v>
      </c>
      <c r="F1410" s="39">
        <v>44561</v>
      </c>
      <c r="G1410" s="7">
        <v>42</v>
      </c>
      <c r="H1410" s="3">
        <f>_xlfn.XLOOKUP(Vendas[[#This Row],[ID Item Vendido]],Agregado[ID],Agregado[Revenda])</f>
        <v>32.5</v>
      </c>
      <c r="I1410" s="3">
        <f>Vendas[[#This Row],[Valor Unitário]]*Vendas[[#This Row],[Qnt Vendida]]</f>
        <v>1365</v>
      </c>
      <c r="J1410" s="3">
        <f>Vendas[[#This Row],[Valor da Venda]]-(_xlfn.XLOOKUP(Vendas[[#This Row],[ID Item Vendido]],Agregado[ID],Agregado[Custo])*Vendas[[#This Row],[Qnt Vendida]])</f>
        <v>315</v>
      </c>
      <c r="K1410" s="70">
        <f>Vendas[[#This Row],[Lucro da Venda]]/Vendas[[#This Row],[Valor da Venda]]</f>
        <v>0.23076923076923078</v>
      </c>
      <c r="L1410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1410"/>
    </row>
    <row r="1411" spans="1:13" x14ac:dyDescent="0.3">
      <c r="A1411" s="7">
        <v>400243</v>
      </c>
      <c r="B1411" t="str">
        <f>_xlfn.XLOOKUP(Vendas[[#This Row],[ID Vendedor]],Vendedores[ID],Vendedores[Nome])</f>
        <v>Marcelo</v>
      </c>
      <c r="C1411" s="7" t="str">
        <f>_xlfn.XLOOKUP(Vendas[[#This Row],[ID Vendedor]],Vendedores[ID],Vendedores[Setor])</f>
        <v>FM</v>
      </c>
      <c r="D1411" s="7" t="s">
        <v>31</v>
      </c>
      <c r="E1411" t="str">
        <f>_xlfn.XLOOKUP(Vendas[[#This Row],[ID Item Vendido]],Agregado[ID],Agregado[Produto])</f>
        <v>Tela de metal soldada rolo 2x25m</v>
      </c>
      <c r="F1411" s="39">
        <v>44562</v>
      </c>
      <c r="G1411" s="7">
        <v>11</v>
      </c>
      <c r="H1411" s="3">
        <f>_xlfn.XLOOKUP(Vendas[[#This Row],[ID Item Vendido]],Agregado[ID],Agregado[Revenda])</f>
        <v>43.7</v>
      </c>
      <c r="I1411" s="3">
        <f>Vendas[[#This Row],[Valor Unitário]]*Vendas[[#This Row],[Qnt Vendida]]</f>
        <v>480.70000000000005</v>
      </c>
      <c r="J1411" s="3">
        <f>Vendas[[#This Row],[Valor da Venda]]-(_xlfn.XLOOKUP(Vendas[[#This Row],[ID Item Vendido]],Agregado[ID],Agregado[Custo])*Vendas[[#This Row],[Qnt Vendida]])</f>
        <v>62.700000000000045</v>
      </c>
      <c r="K1411" s="70">
        <f>Vendas[[#This Row],[Lucro da Venda]]/Vendas[[#This Row],[Valor da Venda]]</f>
        <v>0.13043478260869573</v>
      </c>
      <c r="L1411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1411"/>
    </row>
    <row r="1412" spans="1:13" x14ac:dyDescent="0.3">
      <c r="A1412" s="7">
        <v>400247</v>
      </c>
      <c r="B1412" t="str">
        <f>_xlfn.XLOOKUP(Vendas[[#This Row],[ID Vendedor]],Vendedores[ID],Vendedores[Nome])</f>
        <v>André</v>
      </c>
      <c r="C1412" s="7" t="str">
        <f>_xlfn.XLOOKUP(Vendas[[#This Row],[ID Vendedor]],Vendedores[ID],Vendedores[Setor])</f>
        <v>CM</v>
      </c>
      <c r="D1412" s="7" t="s">
        <v>22</v>
      </c>
      <c r="E1412" t="str">
        <f>_xlfn.XLOOKUP(Vendas[[#This Row],[ID Item Vendido]],Agregado[ID],Agregado[Produto])</f>
        <v>Painel MDP 2,75x1,83m</v>
      </c>
      <c r="F1412" s="39">
        <v>44565</v>
      </c>
      <c r="G1412" s="7">
        <v>7</v>
      </c>
      <c r="H1412" s="3">
        <f>_xlfn.XLOOKUP(Vendas[[#This Row],[ID Item Vendido]],Agregado[ID],Agregado[Revenda])</f>
        <v>119</v>
      </c>
      <c r="I1412" s="3">
        <f>Vendas[[#This Row],[Valor Unitário]]*Vendas[[#This Row],[Qnt Vendida]]</f>
        <v>833</v>
      </c>
      <c r="J1412" s="3">
        <f>Vendas[[#This Row],[Valor da Venda]]-(_xlfn.XLOOKUP(Vendas[[#This Row],[ID Item Vendido]],Agregado[ID],Agregado[Custo])*Vendas[[#This Row],[Qnt Vendida]])</f>
        <v>168</v>
      </c>
      <c r="K1412" s="70">
        <f>Vendas[[#This Row],[Lucro da Venda]]/Vendas[[#This Row],[Valor da Venda]]</f>
        <v>0.20168067226890757</v>
      </c>
      <c r="L1412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1412"/>
    </row>
    <row r="1413" spans="1:13" x14ac:dyDescent="0.3">
      <c r="A1413" s="7">
        <v>400253</v>
      </c>
      <c r="B1413" t="str">
        <f>_xlfn.XLOOKUP(Vendas[[#This Row],[ID Vendedor]],Vendedores[ID],Vendedores[Nome])</f>
        <v>Gustavo</v>
      </c>
      <c r="C1413" s="7" t="str">
        <f>_xlfn.XLOOKUP(Vendas[[#This Row],[ID Vendedor]],Vendedores[ID],Vendedores[Setor])</f>
        <v>SC</v>
      </c>
      <c r="D1413" s="7" t="s">
        <v>14</v>
      </c>
      <c r="E1413" t="str">
        <f>_xlfn.XLOOKUP(Vendas[[#This Row],[ID Item Vendido]],Agregado[ID],Agregado[Produto])</f>
        <v>Barril de plástico 200L</v>
      </c>
      <c r="F1413" s="39">
        <v>44566</v>
      </c>
      <c r="G1413" s="7">
        <v>23</v>
      </c>
      <c r="H1413" s="3">
        <f>_xlfn.XLOOKUP(Vendas[[#This Row],[ID Item Vendido]],Agregado[ID],Agregado[Revenda])</f>
        <v>114</v>
      </c>
      <c r="I1413" s="3">
        <f>Vendas[[#This Row],[Valor Unitário]]*Vendas[[#This Row],[Qnt Vendida]]</f>
        <v>2622</v>
      </c>
      <c r="J1413" s="3">
        <f>Vendas[[#This Row],[Valor da Venda]]-(_xlfn.XLOOKUP(Vendas[[#This Row],[ID Item Vendido]],Agregado[ID],Agregado[Custo])*Vendas[[#This Row],[Qnt Vendida]])</f>
        <v>437</v>
      </c>
      <c r="K1413" s="70">
        <f>Vendas[[#This Row],[Lucro da Venda]]/Vendas[[#This Row],[Valor da Venda]]</f>
        <v>0.16666666666666666</v>
      </c>
      <c r="L1413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1413"/>
    </row>
    <row r="1414" spans="1:13" x14ac:dyDescent="0.3">
      <c r="A1414" s="7">
        <v>400249</v>
      </c>
      <c r="B1414" t="str">
        <f>_xlfn.XLOOKUP(Vendas[[#This Row],[ID Vendedor]],Vendedores[ID],Vendedores[Nome])</f>
        <v>Bruno</v>
      </c>
      <c r="C1414" s="7" t="str">
        <f>_xlfn.XLOOKUP(Vendas[[#This Row],[ID Vendedor]],Vendedores[ID],Vendedores[Setor])</f>
        <v>CM</v>
      </c>
      <c r="D1414" s="7" t="s">
        <v>43</v>
      </c>
      <c r="E1414" t="str">
        <f>_xlfn.XLOOKUP(Vendas[[#This Row],[ID Item Vendido]],Agregado[ID],Agregado[Produto])</f>
        <v>Madeira Bruta (Tora)</v>
      </c>
      <c r="F1414" s="39">
        <v>44566</v>
      </c>
      <c r="G1414" s="7">
        <v>2</v>
      </c>
      <c r="H1414" s="3">
        <f>_xlfn.XLOOKUP(Vendas[[#This Row],[ID Item Vendido]],Agregado[ID],Agregado[Revenda])</f>
        <v>212</v>
      </c>
      <c r="I1414" s="3">
        <f>Vendas[[#This Row],[Valor Unitário]]*Vendas[[#This Row],[Qnt Vendida]]</f>
        <v>424</v>
      </c>
      <c r="J1414" s="3">
        <f>Vendas[[#This Row],[Valor da Venda]]-(_xlfn.XLOOKUP(Vendas[[#This Row],[ID Item Vendido]],Agregado[ID],Agregado[Custo])*Vendas[[#This Row],[Qnt Vendida]])</f>
        <v>64</v>
      </c>
      <c r="K1414" s="70">
        <f>Vendas[[#This Row],[Lucro da Venda]]/Vendas[[#This Row],[Valor da Venda]]</f>
        <v>0.15094339622641509</v>
      </c>
      <c r="L1414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414"/>
    </row>
    <row r="1415" spans="1:13" x14ac:dyDescent="0.3">
      <c r="A1415" s="7">
        <v>400241</v>
      </c>
      <c r="B1415" t="str">
        <f>_xlfn.XLOOKUP(Vendas[[#This Row],[ID Vendedor]],Vendedores[ID],Vendedores[Nome])</f>
        <v>Rodrigo</v>
      </c>
      <c r="C1415" s="7" t="str">
        <f>_xlfn.XLOOKUP(Vendas[[#This Row],[ID Vendedor]],Vendedores[ID],Vendedores[Setor])</f>
        <v>FM</v>
      </c>
      <c r="D1415" s="7" t="s">
        <v>31</v>
      </c>
      <c r="E1415" t="str">
        <f>_xlfn.XLOOKUP(Vendas[[#This Row],[ID Item Vendido]],Agregado[ID],Agregado[Produto])</f>
        <v>Tela de metal soldada rolo 2x25m</v>
      </c>
      <c r="F1415" s="39">
        <v>44566</v>
      </c>
      <c r="G1415" s="7">
        <v>7</v>
      </c>
      <c r="H1415" s="3">
        <f>_xlfn.XLOOKUP(Vendas[[#This Row],[ID Item Vendido]],Agregado[ID],Agregado[Revenda])</f>
        <v>43.7</v>
      </c>
      <c r="I1415" s="3">
        <f>Vendas[[#This Row],[Valor Unitário]]*Vendas[[#This Row],[Qnt Vendida]]</f>
        <v>305.90000000000003</v>
      </c>
      <c r="J1415" s="3">
        <f>Vendas[[#This Row],[Valor da Venda]]-(_xlfn.XLOOKUP(Vendas[[#This Row],[ID Item Vendido]],Agregado[ID],Agregado[Custo])*Vendas[[#This Row],[Qnt Vendida]])</f>
        <v>39.900000000000034</v>
      </c>
      <c r="K1415" s="70">
        <f>Vendas[[#This Row],[Lucro da Venda]]/Vendas[[#This Row],[Valor da Venda]]</f>
        <v>0.13043478260869576</v>
      </c>
      <c r="L1415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1415"/>
    </row>
    <row r="1416" spans="1:13" x14ac:dyDescent="0.3">
      <c r="A1416" s="7">
        <v>400245</v>
      </c>
      <c r="B1416" t="str">
        <f>_xlfn.XLOOKUP(Vendas[[#This Row],[ID Vendedor]],Vendedores[ID],Vendedores[Nome])</f>
        <v>Thiago</v>
      </c>
      <c r="C1416" s="7" t="str">
        <f>_xlfn.XLOOKUP(Vendas[[#This Row],[ID Vendedor]],Vendedores[ID],Vendedores[Setor])</f>
        <v>AHD</v>
      </c>
      <c r="D1416" s="7" t="s">
        <v>44</v>
      </c>
      <c r="E1416" t="str">
        <f>_xlfn.XLOOKUP(Vendas[[#This Row],[ID Item Vendido]],Agregado[ID],Agregado[Produto])</f>
        <v>Liga metálica especial</v>
      </c>
      <c r="F1416" s="39">
        <v>44567</v>
      </c>
      <c r="G1416" s="7">
        <v>32</v>
      </c>
      <c r="H1416" s="3">
        <f>_xlfn.XLOOKUP(Vendas[[#This Row],[ID Item Vendido]],Agregado[ID],Agregado[Revenda])</f>
        <v>32.5</v>
      </c>
      <c r="I1416" s="3">
        <f>Vendas[[#This Row],[Valor Unitário]]*Vendas[[#This Row],[Qnt Vendida]]</f>
        <v>1040</v>
      </c>
      <c r="J1416" s="3">
        <f>Vendas[[#This Row],[Valor da Venda]]-(_xlfn.XLOOKUP(Vendas[[#This Row],[ID Item Vendido]],Agregado[ID],Agregado[Custo])*Vendas[[#This Row],[Qnt Vendida]])</f>
        <v>240</v>
      </c>
      <c r="K1416" s="70">
        <f>Vendas[[#This Row],[Lucro da Venda]]/Vendas[[#This Row],[Valor da Venda]]</f>
        <v>0.23076923076923078</v>
      </c>
      <c r="L1416" s="3">
        <f>_xlfn.IFS(Vendas[[#This Row],[Margem de Lucro (%)]]&lt;15%,Vendas[[#This Row],[Valor da Venda]]*3%,Vendas[[#This Row],[Margem de Lucro (%)]]&lt;=20%,Vendas[[#This Row],[Valor da Venda]]*4.5%,TRUE,Vendas[[#This Row],[Valor da Venda]]*6%)</f>
        <v>62.4</v>
      </c>
      <c r="M1416"/>
    </row>
    <row r="1417" spans="1:13" x14ac:dyDescent="0.3">
      <c r="A1417" s="7">
        <v>400248</v>
      </c>
      <c r="B1417" t="str">
        <f>_xlfn.XLOOKUP(Vendas[[#This Row],[ID Vendedor]],Vendedores[ID],Vendedores[Nome])</f>
        <v>Patrícia</v>
      </c>
      <c r="C1417" s="7" t="str">
        <f>_xlfn.XLOOKUP(Vendas[[#This Row],[ID Vendedor]],Vendedores[ID],Vendedores[Setor])</f>
        <v>CM</v>
      </c>
      <c r="D1417" s="7" t="s">
        <v>32</v>
      </c>
      <c r="E1417" t="str">
        <f>_xlfn.XLOOKUP(Vendas[[#This Row],[ID Item Vendido]],Agregado[ID],Agregado[Produto])</f>
        <v>Tábua tratada e cortada 3m</v>
      </c>
      <c r="F1417" s="39">
        <v>44568</v>
      </c>
      <c r="G1417" s="7">
        <v>31</v>
      </c>
      <c r="H1417" s="3">
        <f>_xlfn.XLOOKUP(Vendas[[#This Row],[ID Item Vendido]],Agregado[ID],Agregado[Revenda])</f>
        <v>39</v>
      </c>
      <c r="I1417" s="3">
        <f>Vendas[[#This Row],[Valor Unitário]]*Vendas[[#This Row],[Qnt Vendida]]</f>
        <v>1209</v>
      </c>
      <c r="J1417" s="3">
        <f>Vendas[[#This Row],[Valor da Venda]]-(_xlfn.XLOOKUP(Vendas[[#This Row],[ID Item Vendido]],Agregado[ID],Agregado[Custo])*Vendas[[#This Row],[Qnt Vendida]])</f>
        <v>217</v>
      </c>
      <c r="K1417" s="70">
        <f>Vendas[[#This Row],[Lucro da Venda]]/Vendas[[#This Row],[Valor da Venda]]</f>
        <v>0.17948717948717949</v>
      </c>
      <c r="L1417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1417"/>
    </row>
    <row r="1418" spans="1:13" x14ac:dyDescent="0.3">
      <c r="A1418" s="7">
        <v>400241</v>
      </c>
      <c r="B1418" t="str">
        <f>_xlfn.XLOOKUP(Vendas[[#This Row],[ID Vendedor]],Vendedores[ID],Vendedores[Nome])</f>
        <v>Rodrigo</v>
      </c>
      <c r="C1418" s="7" t="str">
        <f>_xlfn.XLOOKUP(Vendas[[#This Row],[ID Vendedor]],Vendedores[ID],Vendedores[Setor])</f>
        <v>FM</v>
      </c>
      <c r="D1418" s="7" t="s">
        <v>47</v>
      </c>
      <c r="E1418" t="str">
        <f>_xlfn.XLOOKUP(Vendas[[#This Row],[ID Item Vendido]],Agregado[ID],Agregado[Produto])</f>
        <v>Fio de arame galvanizado rolo 50m</v>
      </c>
      <c r="F1418" s="39">
        <v>44568</v>
      </c>
      <c r="G1418" s="7">
        <v>11</v>
      </c>
      <c r="H1418" s="3">
        <f>_xlfn.XLOOKUP(Vendas[[#This Row],[ID Item Vendido]],Agregado[ID],Agregado[Revenda])</f>
        <v>21.2</v>
      </c>
      <c r="I1418" s="3">
        <f>Vendas[[#This Row],[Valor Unitário]]*Vendas[[#This Row],[Qnt Vendida]]</f>
        <v>233.2</v>
      </c>
      <c r="J1418" s="3">
        <f>Vendas[[#This Row],[Valor da Venda]]-(_xlfn.XLOOKUP(Vendas[[#This Row],[ID Item Vendido]],Agregado[ID],Agregado[Custo])*Vendas[[#This Row],[Qnt Vendida]])</f>
        <v>35.199999999999989</v>
      </c>
      <c r="K1418" s="70">
        <f>Vendas[[#This Row],[Lucro da Venda]]/Vendas[[#This Row],[Valor da Venda]]</f>
        <v>0.15094339622641506</v>
      </c>
      <c r="L1418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1418"/>
    </row>
    <row r="1419" spans="1:13" x14ac:dyDescent="0.3">
      <c r="A1419" s="7">
        <v>400249</v>
      </c>
      <c r="B1419" t="str">
        <f>_xlfn.XLOOKUP(Vendas[[#This Row],[ID Vendedor]],Vendedores[ID],Vendedores[Nome])</f>
        <v>Bruno</v>
      </c>
      <c r="C1419" s="7" t="str">
        <f>_xlfn.XLOOKUP(Vendas[[#This Row],[ID Vendedor]],Vendedores[ID],Vendedores[Setor])</f>
        <v>CM</v>
      </c>
      <c r="D1419" s="7" t="s">
        <v>43</v>
      </c>
      <c r="E1419" t="str">
        <f>_xlfn.XLOOKUP(Vendas[[#This Row],[ID Item Vendido]],Agregado[ID],Agregado[Produto])</f>
        <v>Madeira Bruta (Tora)</v>
      </c>
      <c r="F1419" s="39">
        <v>44569</v>
      </c>
      <c r="G1419" s="7">
        <v>12</v>
      </c>
      <c r="H1419" s="3">
        <f>_xlfn.XLOOKUP(Vendas[[#This Row],[ID Item Vendido]],Agregado[ID],Agregado[Revenda])</f>
        <v>212</v>
      </c>
      <c r="I1419" s="3">
        <f>Vendas[[#This Row],[Valor Unitário]]*Vendas[[#This Row],[Qnt Vendida]]</f>
        <v>2544</v>
      </c>
      <c r="J1419" s="3">
        <f>Vendas[[#This Row],[Valor da Venda]]-(_xlfn.XLOOKUP(Vendas[[#This Row],[ID Item Vendido]],Agregado[ID],Agregado[Custo])*Vendas[[#This Row],[Qnt Vendida]])</f>
        <v>384</v>
      </c>
      <c r="K1419" s="70">
        <f>Vendas[[#This Row],[Lucro da Venda]]/Vendas[[#This Row],[Valor da Venda]]</f>
        <v>0.15094339622641509</v>
      </c>
      <c r="L1419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1419"/>
    </row>
    <row r="1420" spans="1:13" x14ac:dyDescent="0.3">
      <c r="A1420" s="7">
        <v>400247</v>
      </c>
      <c r="B1420" t="str">
        <f>_xlfn.XLOOKUP(Vendas[[#This Row],[ID Vendedor]],Vendedores[ID],Vendedores[Nome])</f>
        <v>André</v>
      </c>
      <c r="C1420" s="7" t="str">
        <f>_xlfn.XLOOKUP(Vendas[[#This Row],[ID Vendedor]],Vendedores[ID],Vendedores[Setor])</f>
        <v>CM</v>
      </c>
      <c r="D1420" s="7" t="s">
        <v>32</v>
      </c>
      <c r="E1420" t="str">
        <f>_xlfn.XLOOKUP(Vendas[[#This Row],[ID Item Vendido]],Agregado[ID],Agregado[Produto])</f>
        <v>Tábua tratada e cortada 3m</v>
      </c>
      <c r="F1420" s="39">
        <v>44569</v>
      </c>
      <c r="G1420" s="7">
        <v>32</v>
      </c>
      <c r="H1420" s="3">
        <f>_xlfn.XLOOKUP(Vendas[[#This Row],[ID Item Vendido]],Agregado[ID],Agregado[Revenda])</f>
        <v>39</v>
      </c>
      <c r="I1420" s="3">
        <f>Vendas[[#This Row],[Valor Unitário]]*Vendas[[#This Row],[Qnt Vendida]]</f>
        <v>1248</v>
      </c>
      <c r="J1420" s="3">
        <f>Vendas[[#This Row],[Valor da Venda]]-(_xlfn.XLOOKUP(Vendas[[#This Row],[ID Item Vendido]],Agregado[ID],Agregado[Custo])*Vendas[[#This Row],[Qnt Vendida]])</f>
        <v>224</v>
      </c>
      <c r="K1420" s="70">
        <f>Vendas[[#This Row],[Lucro da Venda]]/Vendas[[#This Row],[Valor da Venda]]</f>
        <v>0.17948717948717949</v>
      </c>
      <c r="L1420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1420"/>
    </row>
    <row r="1421" spans="1:13" x14ac:dyDescent="0.3">
      <c r="A1421" s="7">
        <v>400250</v>
      </c>
      <c r="B1421" t="str">
        <f>_xlfn.XLOOKUP(Vendas[[#This Row],[ID Vendedor]],Vendedores[ID],Vendedores[Nome])</f>
        <v>Larissa</v>
      </c>
      <c r="C1421" s="7" t="str">
        <f>_xlfn.XLOOKUP(Vendas[[#This Row],[ID Vendedor]],Vendedores[ID],Vendedores[Setor])</f>
        <v>AB</v>
      </c>
      <c r="D1421" s="7" t="s">
        <v>36</v>
      </c>
      <c r="E1421" t="str">
        <f>_xlfn.XLOOKUP(Vendas[[#This Row],[ID Item Vendido]],Agregado[ID],Agregado[Produto])</f>
        <v>Borracha vulcanizada em manta</v>
      </c>
      <c r="F1421" s="39">
        <v>44569</v>
      </c>
      <c r="G1421" s="7">
        <v>18</v>
      </c>
      <c r="H1421" s="3">
        <f>_xlfn.XLOOKUP(Vendas[[#This Row],[ID Item Vendido]],Agregado[ID],Agregado[Revenda])</f>
        <v>7.8</v>
      </c>
      <c r="I1421" s="3">
        <f>Vendas[[#This Row],[Valor Unitário]]*Vendas[[#This Row],[Qnt Vendida]]</f>
        <v>140.4</v>
      </c>
      <c r="J1421" s="3">
        <f>Vendas[[#This Row],[Valor da Venda]]-(_xlfn.XLOOKUP(Vendas[[#This Row],[ID Item Vendido]],Agregado[ID],Agregado[Custo])*Vendas[[#This Row],[Qnt Vendida]])</f>
        <v>32.400000000000006</v>
      </c>
      <c r="K1421" s="70">
        <f>Vendas[[#This Row],[Lucro da Venda]]/Vendas[[#This Row],[Valor da Venda]]</f>
        <v>0.23076923076923081</v>
      </c>
      <c r="L1421" s="3">
        <f>_xlfn.IFS(Vendas[[#This Row],[Margem de Lucro (%)]]&lt;15%,Vendas[[#This Row],[Valor da Venda]]*3%,Vendas[[#This Row],[Margem de Lucro (%)]]&lt;=20%,Vendas[[#This Row],[Valor da Venda]]*4.5%,TRUE,Vendas[[#This Row],[Valor da Venda]]*6%)</f>
        <v>8.4239999999999995</v>
      </c>
      <c r="M1421"/>
    </row>
    <row r="1422" spans="1:13" x14ac:dyDescent="0.3">
      <c r="A1422" s="7">
        <v>400249</v>
      </c>
      <c r="B1422" t="str">
        <f>_xlfn.XLOOKUP(Vendas[[#This Row],[ID Vendedor]],Vendedores[ID],Vendedores[Nome])</f>
        <v>Bruno</v>
      </c>
      <c r="C1422" s="7" t="str">
        <f>_xlfn.XLOOKUP(Vendas[[#This Row],[ID Vendedor]],Vendedores[ID],Vendedores[Setor])</f>
        <v>CM</v>
      </c>
      <c r="D1422" s="7" t="s">
        <v>43</v>
      </c>
      <c r="E1422" t="str">
        <f>_xlfn.XLOOKUP(Vendas[[#This Row],[ID Item Vendido]],Agregado[ID],Agregado[Produto])</f>
        <v>Madeira Bruta (Tora)</v>
      </c>
      <c r="F1422" s="39">
        <v>44570</v>
      </c>
      <c r="G1422" s="7">
        <v>7</v>
      </c>
      <c r="H1422" s="3">
        <f>_xlfn.XLOOKUP(Vendas[[#This Row],[ID Item Vendido]],Agregado[ID],Agregado[Revenda])</f>
        <v>212</v>
      </c>
      <c r="I1422" s="3">
        <f>Vendas[[#This Row],[Valor Unitário]]*Vendas[[#This Row],[Qnt Vendida]]</f>
        <v>1484</v>
      </c>
      <c r="J1422" s="3">
        <f>Vendas[[#This Row],[Valor da Venda]]-(_xlfn.XLOOKUP(Vendas[[#This Row],[ID Item Vendido]],Agregado[ID],Agregado[Custo])*Vendas[[#This Row],[Qnt Vendida]])</f>
        <v>224</v>
      </c>
      <c r="K1422" s="70">
        <f>Vendas[[#This Row],[Lucro da Venda]]/Vendas[[#This Row],[Valor da Venda]]</f>
        <v>0.15094339622641509</v>
      </c>
      <c r="L1422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1422"/>
    </row>
    <row r="1423" spans="1:13" x14ac:dyDescent="0.3">
      <c r="A1423" s="7">
        <v>400245</v>
      </c>
      <c r="B1423" t="str">
        <f>_xlfn.XLOOKUP(Vendas[[#This Row],[ID Vendedor]],Vendedores[ID],Vendedores[Nome])</f>
        <v>Thiago</v>
      </c>
      <c r="C1423" s="7" t="str">
        <f>_xlfn.XLOOKUP(Vendas[[#This Row],[ID Vendedor]],Vendedores[ID],Vendedores[Setor])</f>
        <v>AHD</v>
      </c>
      <c r="D1423" s="7" t="s">
        <v>44</v>
      </c>
      <c r="E1423" t="str">
        <f>_xlfn.XLOOKUP(Vendas[[#This Row],[ID Item Vendido]],Agregado[ID],Agregado[Produto])</f>
        <v>Liga metálica especial</v>
      </c>
      <c r="F1423" s="39">
        <v>44570</v>
      </c>
      <c r="G1423" s="7">
        <v>9</v>
      </c>
      <c r="H1423" s="3">
        <f>_xlfn.XLOOKUP(Vendas[[#This Row],[ID Item Vendido]],Agregado[ID],Agregado[Revenda])</f>
        <v>32.5</v>
      </c>
      <c r="I1423" s="3">
        <f>Vendas[[#This Row],[Valor Unitário]]*Vendas[[#This Row],[Qnt Vendida]]</f>
        <v>292.5</v>
      </c>
      <c r="J1423" s="3">
        <f>Vendas[[#This Row],[Valor da Venda]]-(_xlfn.XLOOKUP(Vendas[[#This Row],[ID Item Vendido]],Agregado[ID],Agregado[Custo])*Vendas[[#This Row],[Qnt Vendida]])</f>
        <v>67.5</v>
      </c>
      <c r="K1423" s="70">
        <f>Vendas[[#This Row],[Lucro da Venda]]/Vendas[[#This Row],[Valor da Venda]]</f>
        <v>0.23076923076923078</v>
      </c>
      <c r="L1423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1423"/>
    </row>
    <row r="1424" spans="1:13" x14ac:dyDescent="0.3">
      <c r="A1424" s="7">
        <v>400244</v>
      </c>
      <c r="B1424" t="str">
        <f>_xlfn.XLOOKUP(Vendas[[#This Row],[ID Vendedor]],Vendedores[ID],Vendedores[Nome])</f>
        <v>Camila</v>
      </c>
      <c r="C1424" s="7" t="str">
        <f>_xlfn.XLOOKUP(Vendas[[#This Row],[ID Vendedor]],Vendedores[ID],Vendedores[Setor])</f>
        <v>AHD</v>
      </c>
      <c r="D1424" s="7" t="s">
        <v>18</v>
      </c>
      <c r="E1424" t="str">
        <f>_xlfn.XLOOKUP(Vendas[[#This Row],[ID Item Vendido]],Agregado[ID],Agregado[Produto])</f>
        <v>Peça forjada sob encomenda</v>
      </c>
      <c r="F1424" s="39">
        <v>44571</v>
      </c>
      <c r="G1424" s="7">
        <v>2</v>
      </c>
      <c r="H1424" s="3">
        <f>_xlfn.XLOOKUP(Vendas[[#This Row],[ID Item Vendido]],Agregado[ID],Agregado[Revenda])</f>
        <v>264.60000000000002</v>
      </c>
      <c r="I1424" s="3">
        <f>Vendas[[#This Row],[Valor Unitário]]*Vendas[[#This Row],[Qnt Vendida]]</f>
        <v>529.20000000000005</v>
      </c>
      <c r="J1424" s="3">
        <f>Vendas[[#This Row],[Valor da Venda]]-(_xlfn.XLOOKUP(Vendas[[#This Row],[ID Item Vendido]],Agregado[ID],Agregado[Custo])*Vendas[[#This Row],[Qnt Vendida]])</f>
        <v>29.200000000000045</v>
      </c>
      <c r="K1424" s="70">
        <f>Vendas[[#This Row],[Lucro da Venda]]/Vendas[[#This Row],[Valor da Venda]]</f>
        <v>5.5177626606198113E-2</v>
      </c>
      <c r="L142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424"/>
    </row>
    <row r="1425" spans="1:13" x14ac:dyDescent="0.3">
      <c r="A1425" s="7">
        <v>400250</v>
      </c>
      <c r="B1425" t="str">
        <f>_xlfn.XLOOKUP(Vendas[[#This Row],[ID Vendedor]],Vendedores[ID],Vendedores[Nome])</f>
        <v>Larissa</v>
      </c>
      <c r="C1425" s="7" t="str">
        <f>_xlfn.XLOOKUP(Vendas[[#This Row],[ID Vendedor]],Vendedores[ID],Vendedores[Setor])</f>
        <v>AB</v>
      </c>
      <c r="D1425" s="7" t="s">
        <v>24</v>
      </c>
      <c r="E1425" t="str">
        <f>_xlfn.XLOOKUP(Vendas[[#This Row],[ID Item Vendido]],Agregado[ID],Agregado[Produto])</f>
        <v>Resina plástica PET purificada saco de 25kg</v>
      </c>
      <c r="F1425" s="39">
        <v>44572</v>
      </c>
      <c r="G1425" s="7">
        <v>8</v>
      </c>
      <c r="H1425" s="3">
        <f>_xlfn.XLOOKUP(Vendas[[#This Row],[ID Item Vendido]],Agregado[ID],Agregado[Revenda])</f>
        <v>119</v>
      </c>
      <c r="I1425" s="3">
        <f>Vendas[[#This Row],[Valor Unitário]]*Vendas[[#This Row],[Qnt Vendida]]</f>
        <v>952</v>
      </c>
      <c r="J1425" s="3">
        <f>Vendas[[#This Row],[Valor da Venda]]-(_xlfn.XLOOKUP(Vendas[[#This Row],[ID Item Vendido]],Agregado[ID],Agregado[Custo])*Vendas[[#This Row],[Qnt Vendida]])</f>
        <v>272</v>
      </c>
      <c r="K1425" s="70">
        <f>Vendas[[#This Row],[Lucro da Venda]]/Vendas[[#This Row],[Valor da Venda]]</f>
        <v>0.2857142857142857</v>
      </c>
      <c r="L1425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425"/>
    </row>
    <row r="1426" spans="1:13" x14ac:dyDescent="0.3">
      <c r="A1426" s="7">
        <v>400255</v>
      </c>
      <c r="B1426" t="str">
        <f>_xlfn.XLOOKUP(Vendas[[#This Row],[ID Vendedor]],Vendedores[ID],Vendedores[Nome])</f>
        <v>Carlos</v>
      </c>
      <c r="C1426" s="7" t="str">
        <f>_xlfn.XLOOKUP(Vendas[[#This Row],[ID Vendedor]],Vendedores[ID],Vendedores[Setor])</f>
        <v>SC</v>
      </c>
      <c r="D1426" s="7" t="s">
        <v>25</v>
      </c>
      <c r="E1426" t="str">
        <f>_xlfn.XLOOKUP(Vendas[[#This Row],[ID Item Vendido]],Agregado[ID],Agregado[Produto])</f>
        <v>Palete de plástico</v>
      </c>
      <c r="F1426" s="39">
        <v>44572</v>
      </c>
      <c r="G1426" s="7">
        <v>10</v>
      </c>
      <c r="H1426" s="3">
        <f>_xlfn.XLOOKUP(Vendas[[#This Row],[ID Item Vendido]],Agregado[ID],Agregado[Revenda])</f>
        <v>70.8</v>
      </c>
      <c r="I1426" s="3">
        <f>Vendas[[#This Row],[Valor Unitário]]*Vendas[[#This Row],[Qnt Vendida]]</f>
        <v>708</v>
      </c>
      <c r="J1426" s="3">
        <f>Vendas[[#This Row],[Valor da Venda]]-(_xlfn.XLOOKUP(Vendas[[#This Row],[ID Item Vendido]],Agregado[ID],Agregado[Custo])*Vendas[[#This Row],[Qnt Vendida]])</f>
        <v>108</v>
      </c>
      <c r="K1426" s="70">
        <f>Vendas[[#This Row],[Lucro da Venda]]/Vendas[[#This Row],[Valor da Venda]]</f>
        <v>0.15254237288135594</v>
      </c>
      <c r="L1426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1426"/>
    </row>
    <row r="1427" spans="1:13" x14ac:dyDescent="0.3">
      <c r="A1427" s="7">
        <v>400250</v>
      </c>
      <c r="B1427" t="str">
        <f>_xlfn.XLOOKUP(Vendas[[#This Row],[ID Vendedor]],Vendedores[ID],Vendedores[Nome])</f>
        <v>Larissa</v>
      </c>
      <c r="C1427" s="7" t="str">
        <f>_xlfn.XLOOKUP(Vendas[[#This Row],[ID Vendedor]],Vendedores[ID],Vendedores[Setor])</f>
        <v>AB</v>
      </c>
      <c r="D1427" s="7" t="s">
        <v>24</v>
      </c>
      <c r="E1427" t="str">
        <f>_xlfn.XLOOKUP(Vendas[[#This Row],[ID Item Vendido]],Agregado[ID],Agregado[Produto])</f>
        <v>Resina plástica PET purificada saco de 25kg</v>
      </c>
      <c r="F1427" s="39">
        <v>44573</v>
      </c>
      <c r="G1427" s="7">
        <v>21</v>
      </c>
      <c r="H1427" s="3">
        <f>_xlfn.XLOOKUP(Vendas[[#This Row],[ID Item Vendido]],Agregado[ID],Agregado[Revenda])</f>
        <v>119</v>
      </c>
      <c r="I1427" s="3">
        <f>Vendas[[#This Row],[Valor Unitário]]*Vendas[[#This Row],[Qnt Vendida]]</f>
        <v>2499</v>
      </c>
      <c r="J1427" s="3">
        <f>Vendas[[#This Row],[Valor da Venda]]-(_xlfn.XLOOKUP(Vendas[[#This Row],[ID Item Vendido]],Agregado[ID],Agregado[Custo])*Vendas[[#This Row],[Qnt Vendida]])</f>
        <v>714</v>
      </c>
      <c r="K1427" s="70">
        <f>Vendas[[#This Row],[Lucro da Venda]]/Vendas[[#This Row],[Valor da Venda]]</f>
        <v>0.2857142857142857</v>
      </c>
      <c r="L1427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1427"/>
    </row>
    <row r="1428" spans="1:13" x14ac:dyDescent="0.3">
      <c r="A1428" s="7">
        <v>400244</v>
      </c>
      <c r="B1428" t="str">
        <f>_xlfn.XLOOKUP(Vendas[[#This Row],[ID Vendedor]],Vendedores[ID],Vendedores[Nome])</f>
        <v>Camila</v>
      </c>
      <c r="C1428" s="7" t="str">
        <f>_xlfn.XLOOKUP(Vendas[[#This Row],[ID Vendedor]],Vendedores[ID],Vendedores[Setor])</f>
        <v>AHD</v>
      </c>
      <c r="D1428" s="7" t="s">
        <v>28</v>
      </c>
      <c r="E1428" t="str">
        <f>_xlfn.XLOOKUP(Vendas[[#This Row],[ID Item Vendido]],Agregado[ID],Agregado[Produto])</f>
        <v>Peça usinada CNC</v>
      </c>
      <c r="F1428" s="39">
        <v>44573</v>
      </c>
      <c r="G1428" s="7">
        <v>9</v>
      </c>
      <c r="H1428" s="3">
        <f>_xlfn.XLOOKUP(Vendas[[#This Row],[ID Item Vendido]],Agregado[ID],Agregado[Revenda])</f>
        <v>192</v>
      </c>
      <c r="I1428" s="3">
        <f>Vendas[[#This Row],[Valor Unitário]]*Vendas[[#This Row],[Qnt Vendida]]</f>
        <v>1728</v>
      </c>
      <c r="J1428" s="3">
        <f>Vendas[[#This Row],[Valor da Venda]]-(_xlfn.XLOOKUP(Vendas[[#This Row],[ID Item Vendido]],Agregado[ID],Agregado[Custo])*Vendas[[#This Row],[Qnt Vendida]])</f>
        <v>378</v>
      </c>
      <c r="K1428" s="70">
        <f>Vendas[[#This Row],[Lucro da Venda]]/Vendas[[#This Row],[Valor da Venda]]</f>
        <v>0.21875</v>
      </c>
      <c r="L1428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428"/>
    </row>
    <row r="1429" spans="1:13" x14ac:dyDescent="0.3">
      <c r="A1429" s="7">
        <v>400242</v>
      </c>
      <c r="B1429" t="str">
        <f>_xlfn.XLOOKUP(Vendas[[#This Row],[ID Vendedor]],Vendedores[ID],Vendedores[Nome])</f>
        <v>Fernanda</v>
      </c>
      <c r="C1429" s="7" t="str">
        <f>_xlfn.XLOOKUP(Vendas[[#This Row],[ID Vendedor]],Vendedores[ID],Vendedores[Setor])</f>
        <v>FM</v>
      </c>
      <c r="D1429" s="7" t="s">
        <v>27</v>
      </c>
      <c r="E1429" t="str">
        <f>_xlfn.XLOOKUP(Vendas[[#This Row],[ID Item Vendido]],Agregado[ID],Agregado[Produto])</f>
        <v>Chapa de metal lisa 1x2m</v>
      </c>
      <c r="F1429" s="39">
        <v>44574</v>
      </c>
      <c r="G1429" s="7">
        <v>28</v>
      </c>
      <c r="H1429" s="3">
        <f>_xlfn.XLOOKUP(Vendas[[#This Row],[ID Item Vendido]],Agregado[ID],Agregado[Revenda])</f>
        <v>52</v>
      </c>
      <c r="I1429" s="3">
        <f>Vendas[[#This Row],[Valor Unitário]]*Vendas[[#This Row],[Qnt Vendida]]</f>
        <v>1456</v>
      </c>
      <c r="J1429" s="3">
        <f>Vendas[[#This Row],[Valor da Venda]]-(_xlfn.XLOOKUP(Vendas[[#This Row],[ID Item Vendido]],Agregado[ID],Agregado[Custo])*Vendas[[#This Row],[Qnt Vendida]])</f>
        <v>196</v>
      </c>
      <c r="K1429" s="70">
        <f>Vendas[[#This Row],[Lucro da Venda]]/Vendas[[#This Row],[Valor da Venda]]</f>
        <v>0.13461538461538461</v>
      </c>
      <c r="L1429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1429"/>
    </row>
    <row r="1430" spans="1:13" x14ac:dyDescent="0.3">
      <c r="A1430" s="7">
        <v>400242</v>
      </c>
      <c r="B1430" t="str">
        <f>_xlfn.XLOOKUP(Vendas[[#This Row],[ID Vendedor]],Vendedores[ID],Vendedores[Nome])</f>
        <v>Fernanda</v>
      </c>
      <c r="C1430" s="7" t="str">
        <f>_xlfn.XLOOKUP(Vendas[[#This Row],[ID Vendedor]],Vendedores[ID],Vendedores[Setor])</f>
        <v>FM</v>
      </c>
      <c r="D1430" s="7" t="s">
        <v>20</v>
      </c>
      <c r="E1430" t="str">
        <f>_xlfn.XLOOKUP(Vendas[[#This Row],[ID Item Vendido]],Agregado[ID],Agregado[Produto])</f>
        <v>Barra de aço simples</v>
      </c>
      <c r="F1430" s="39">
        <v>44574</v>
      </c>
      <c r="G1430" s="7">
        <v>183</v>
      </c>
      <c r="H1430" s="3">
        <f>_xlfn.XLOOKUP(Vendas[[#This Row],[ID Item Vendido]],Agregado[ID],Agregado[Revenda])</f>
        <v>4.8</v>
      </c>
      <c r="I1430" s="3">
        <f>Vendas[[#This Row],[Valor Unitário]]*Vendas[[#This Row],[Qnt Vendida]]</f>
        <v>878.4</v>
      </c>
      <c r="J1430" s="3">
        <f>Vendas[[#This Row],[Valor da Venda]]-(_xlfn.XLOOKUP(Vendas[[#This Row],[ID Item Vendido]],Agregado[ID],Agregado[Custo])*Vendas[[#This Row],[Qnt Vendida]])</f>
        <v>109.79999999999995</v>
      </c>
      <c r="K1430" s="70">
        <f>Vendas[[#This Row],[Lucro da Venda]]/Vendas[[#This Row],[Valor da Venda]]</f>
        <v>0.12499999999999996</v>
      </c>
      <c r="L1430" s="3">
        <f>_xlfn.IFS(Vendas[[#This Row],[Margem de Lucro (%)]]&lt;15%,Vendas[[#This Row],[Valor da Venda]]*3%,Vendas[[#This Row],[Margem de Lucro (%)]]&lt;=20%,Vendas[[#This Row],[Valor da Venda]]*4.5%,TRUE,Vendas[[#This Row],[Valor da Venda]]*6%)</f>
        <v>26.351999999999997</v>
      </c>
      <c r="M1430"/>
    </row>
    <row r="1431" spans="1:13" x14ac:dyDescent="0.3">
      <c r="A1431" s="7">
        <v>400244</v>
      </c>
      <c r="B1431" t="str">
        <f>_xlfn.XLOOKUP(Vendas[[#This Row],[ID Vendedor]],Vendedores[ID],Vendedores[Nome])</f>
        <v>Camila</v>
      </c>
      <c r="C1431" s="7" t="str">
        <f>_xlfn.XLOOKUP(Vendas[[#This Row],[ID Vendedor]],Vendedores[ID],Vendedores[Setor])</f>
        <v>AHD</v>
      </c>
      <c r="D1431" s="7" t="s">
        <v>18</v>
      </c>
      <c r="E1431" t="str">
        <f>_xlfn.XLOOKUP(Vendas[[#This Row],[ID Item Vendido]],Agregado[ID],Agregado[Produto])</f>
        <v>Peça forjada sob encomenda</v>
      </c>
      <c r="F1431" s="39">
        <v>44575</v>
      </c>
      <c r="G1431" s="7">
        <v>5</v>
      </c>
      <c r="H1431" s="3">
        <f>_xlfn.XLOOKUP(Vendas[[#This Row],[ID Item Vendido]],Agregado[ID],Agregado[Revenda])</f>
        <v>264.60000000000002</v>
      </c>
      <c r="I1431" s="3">
        <f>Vendas[[#This Row],[Valor Unitário]]*Vendas[[#This Row],[Qnt Vendida]]</f>
        <v>1323</v>
      </c>
      <c r="J1431" s="3">
        <f>Vendas[[#This Row],[Valor da Venda]]-(_xlfn.XLOOKUP(Vendas[[#This Row],[ID Item Vendido]],Agregado[ID],Agregado[Custo])*Vendas[[#This Row],[Qnt Vendida]])</f>
        <v>73</v>
      </c>
      <c r="K1431" s="70">
        <f>Vendas[[#This Row],[Lucro da Venda]]/Vendas[[#This Row],[Valor da Venda]]</f>
        <v>5.5177626606198037E-2</v>
      </c>
      <c r="L143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431"/>
    </row>
    <row r="1432" spans="1:13" x14ac:dyDescent="0.3">
      <c r="A1432" s="7">
        <v>400251</v>
      </c>
      <c r="B1432" t="str">
        <f>_xlfn.XLOOKUP(Vendas[[#This Row],[ID Vendedor]],Vendedores[ID],Vendedores[Nome])</f>
        <v>Diego</v>
      </c>
      <c r="C1432" s="7" t="str">
        <f>_xlfn.XLOOKUP(Vendas[[#This Row],[ID Vendedor]],Vendedores[ID],Vendedores[Setor])</f>
        <v>AB</v>
      </c>
      <c r="D1432" s="7" t="s">
        <v>12</v>
      </c>
      <c r="E1432" t="str">
        <f>_xlfn.XLOOKUP(Vendas[[#This Row],[ID Item Vendido]],Agregado[ID],Agregado[Produto])</f>
        <v>Grânulo de plástico reciclado refinado</v>
      </c>
      <c r="F1432" s="39">
        <v>44575</v>
      </c>
      <c r="G1432" s="7">
        <v>104</v>
      </c>
      <c r="H1432" s="3">
        <f>_xlfn.XLOOKUP(Vendas[[#This Row],[ID Item Vendido]],Agregado[ID],Agregado[Revenda])</f>
        <v>4.7</v>
      </c>
      <c r="I1432" s="3">
        <f>Vendas[[#This Row],[Valor Unitário]]*Vendas[[#This Row],[Qnt Vendida]]</f>
        <v>488.8</v>
      </c>
      <c r="J1432" s="3">
        <f>Vendas[[#This Row],[Valor da Venda]]-(_xlfn.XLOOKUP(Vendas[[#This Row],[ID Item Vendido]],Agregado[ID],Agregado[Custo])*Vendas[[#This Row],[Qnt Vendida]])</f>
        <v>124.80000000000001</v>
      </c>
      <c r="K1432" s="70">
        <f>Vendas[[#This Row],[Lucro da Venda]]/Vendas[[#This Row],[Valor da Venda]]</f>
        <v>0.25531914893617025</v>
      </c>
      <c r="L1432" s="3">
        <f>_xlfn.IFS(Vendas[[#This Row],[Margem de Lucro (%)]]&lt;15%,Vendas[[#This Row],[Valor da Venda]]*3%,Vendas[[#This Row],[Margem de Lucro (%)]]&lt;=20%,Vendas[[#This Row],[Valor da Venda]]*4.5%,TRUE,Vendas[[#This Row],[Valor da Venda]]*6%)</f>
        <v>29.327999999999999</v>
      </c>
      <c r="M1432"/>
    </row>
    <row r="1433" spans="1:13" x14ac:dyDescent="0.3">
      <c r="A1433" s="7">
        <v>400244</v>
      </c>
      <c r="B1433" t="str">
        <f>_xlfn.XLOOKUP(Vendas[[#This Row],[ID Vendedor]],Vendedores[ID],Vendedores[Nome])</f>
        <v>Camila</v>
      </c>
      <c r="C1433" s="7" t="str">
        <f>_xlfn.XLOOKUP(Vendas[[#This Row],[ID Vendedor]],Vendedores[ID],Vendedores[Setor])</f>
        <v>AHD</v>
      </c>
      <c r="D1433" s="7" t="s">
        <v>30</v>
      </c>
      <c r="E1433" t="str">
        <f>_xlfn.XLOOKUP(Vendas[[#This Row],[ID Item Vendido]],Agregado[ID],Agregado[Produto])</f>
        <v>Estrutura metálica soldada</v>
      </c>
      <c r="F1433" s="39">
        <v>44576</v>
      </c>
      <c r="G1433" s="7">
        <v>2</v>
      </c>
      <c r="H1433" s="3">
        <f>_xlfn.XLOOKUP(Vendas[[#This Row],[ID Item Vendido]],Agregado[ID],Agregado[Revenda])</f>
        <v>400</v>
      </c>
      <c r="I1433" s="3">
        <f>Vendas[[#This Row],[Valor Unitário]]*Vendas[[#This Row],[Qnt Vendida]]</f>
        <v>800</v>
      </c>
      <c r="J1433" s="3">
        <f>Vendas[[#This Row],[Valor da Venda]]-(_xlfn.XLOOKUP(Vendas[[#This Row],[ID Item Vendido]],Agregado[ID],Agregado[Custo])*Vendas[[#This Row],[Qnt Vendida]])</f>
        <v>160</v>
      </c>
      <c r="K1433" s="70">
        <f>Vendas[[#This Row],[Lucro da Venda]]/Vendas[[#This Row],[Valor da Venda]]</f>
        <v>0.2</v>
      </c>
      <c r="L1433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433"/>
    </row>
    <row r="1434" spans="1:13" x14ac:dyDescent="0.3">
      <c r="A1434" s="7">
        <v>400248</v>
      </c>
      <c r="B1434" t="str">
        <f>_xlfn.XLOOKUP(Vendas[[#This Row],[ID Vendedor]],Vendedores[ID],Vendedores[Nome])</f>
        <v>Patrícia</v>
      </c>
      <c r="C1434" s="7" t="str">
        <f>_xlfn.XLOOKUP(Vendas[[#This Row],[ID Vendedor]],Vendedores[ID],Vendedores[Setor])</f>
        <v>CM</v>
      </c>
      <c r="D1434" s="7" t="s">
        <v>43</v>
      </c>
      <c r="E1434" t="str">
        <f>_xlfn.XLOOKUP(Vendas[[#This Row],[ID Item Vendido]],Agregado[ID],Agregado[Produto])</f>
        <v>Madeira Bruta (Tora)</v>
      </c>
      <c r="F1434" s="39">
        <v>44576</v>
      </c>
      <c r="G1434" s="7">
        <v>1</v>
      </c>
      <c r="H1434" s="3">
        <f>_xlfn.XLOOKUP(Vendas[[#This Row],[ID Item Vendido]],Agregado[ID],Agregado[Revenda])</f>
        <v>212</v>
      </c>
      <c r="I1434" s="3">
        <f>Vendas[[#This Row],[Valor Unitário]]*Vendas[[#This Row],[Qnt Vendida]]</f>
        <v>212</v>
      </c>
      <c r="J1434" s="3">
        <f>Vendas[[#This Row],[Valor da Venda]]-(_xlfn.XLOOKUP(Vendas[[#This Row],[ID Item Vendido]],Agregado[ID],Agregado[Custo])*Vendas[[#This Row],[Qnt Vendida]])</f>
        <v>32</v>
      </c>
      <c r="K1434" s="70">
        <f>Vendas[[#This Row],[Lucro da Venda]]/Vendas[[#This Row],[Valor da Venda]]</f>
        <v>0.15094339622641509</v>
      </c>
      <c r="L1434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434"/>
    </row>
    <row r="1435" spans="1:13" x14ac:dyDescent="0.3">
      <c r="A1435" s="7">
        <v>400250</v>
      </c>
      <c r="B1435" t="str">
        <f>_xlfn.XLOOKUP(Vendas[[#This Row],[ID Vendedor]],Vendedores[ID],Vendedores[Nome])</f>
        <v>Larissa</v>
      </c>
      <c r="C1435" s="7" t="str">
        <f>_xlfn.XLOOKUP(Vendas[[#This Row],[ID Vendedor]],Vendedores[ID],Vendedores[Setor])</f>
        <v>AB</v>
      </c>
      <c r="D1435" s="7" t="s">
        <v>12</v>
      </c>
      <c r="E1435" t="str">
        <f>_xlfn.XLOOKUP(Vendas[[#This Row],[ID Item Vendido]],Agregado[ID],Agregado[Produto])</f>
        <v>Grânulo de plástico reciclado refinado</v>
      </c>
      <c r="F1435" s="39">
        <v>44578</v>
      </c>
      <c r="G1435" s="7">
        <v>127</v>
      </c>
      <c r="H1435" s="3">
        <f>_xlfn.XLOOKUP(Vendas[[#This Row],[ID Item Vendido]],Agregado[ID],Agregado[Revenda])</f>
        <v>4.7</v>
      </c>
      <c r="I1435" s="3">
        <f>Vendas[[#This Row],[Valor Unitário]]*Vendas[[#This Row],[Qnt Vendida]]</f>
        <v>596.9</v>
      </c>
      <c r="J1435" s="3">
        <f>Vendas[[#This Row],[Valor da Venda]]-(_xlfn.XLOOKUP(Vendas[[#This Row],[ID Item Vendido]],Agregado[ID],Agregado[Custo])*Vendas[[#This Row],[Qnt Vendida]])</f>
        <v>152.39999999999998</v>
      </c>
      <c r="K1435" s="70">
        <f>Vendas[[#This Row],[Lucro da Venda]]/Vendas[[#This Row],[Valor da Venda]]</f>
        <v>0.25531914893617019</v>
      </c>
      <c r="L1435" s="3">
        <f>_xlfn.IFS(Vendas[[#This Row],[Margem de Lucro (%)]]&lt;15%,Vendas[[#This Row],[Valor da Venda]]*3%,Vendas[[#This Row],[Margem de Lucro (%)]]&lt;=20%,Vendas[[#This Row],[Valor da Venda]]*4.5%,TRUE,Vendas[[#This Row],[Valor da Venda]]*6%)</f>
        <v>35.814</v>
      </c>
      <c r="M1435"/>
    </row>
    <row r="1436" spans="1:13" x14ac:dyDescent="0.3">
      <c r="A1436" s="7">
        <v>400244</v>
      </c>
      <c r="B1436" t="str">
        <f>_xlfn.XLOOKUP(Vendas[[#This Row],[ID Vendedor]],Vendedores[ID],Vendedores[Nome])</f>
        <v>Camila</v>
      </c>
      <c r="C1436" s="7" t="str">
        <f>_xlfn.XLOOKUP(Vendas[[#This Row],[ID Vendedor]],Vendedores[ID],Vendedores[Setor])</f>
        <v>AHD</v>
      </c>
      <c r="D1436" s="7" t="s">
        <v>30</v>
      </c>
      <c r="E1436" t="str">
        <f>_xlfn.XLOOKUP(Vendas[[#This Row],[ID Item Vendido]],Agregado[ID],Agregado[Produto])</f>
        <v>Estrutura metálica soldada</v>
      </c>
      <c r="F1436" s="39">
        <v>44579</v>
      </c>
      <c r="G1436" s="7">
        <v>7</v>
      </c>
      <c r="H1436" s="3">
        <f>_xlfn.XLOOKUP(Vendas[[#This Row],[ID Item Vendido]],Agregado[ID],Agregado[Revenda])</f>
        <v>400</v>
      </c>
      <c r="I1436" s="3">
        <f>Vendas[[#This Row],[Valor Unitário]]*Vendas[[#This Row],[Qnt Vendida]]</f>
        <v>2800</v>
      </c>
      <c r="J1436" s="3">
        <f>Vendas[[#This Row],[Valor da Venda]]-(_xlfn.XLOOKUP(Vendas[[#This Row],[ID Item Vendido]],Agregado[ID],Agregado[Custo])*Vendas[[#This Row],[Qnt Vendida]])</f>
        <v>560</v>
      </c>
      <c r="K1436" s="70">
        <f>Vendas[[#This Row],[Lucro da Venda]]/Vendas[[#This Row],[Valor da Venda]]</f>
        <v>0.2</v>
      </c>
      <c r="L1436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1436"/>
    </row>
    <row r="1437" spans="1:13" x14ac:dyDescent="0.3">
      <c r="A1437" s="7">
        <v>400242</v>
      </c>
      <c r="B1437" t="str">
        <f>_xlfn.XLOOKUP(Vendas[[#This Row],[ID Vendedor]],Vendedores[ID],Vendedores[Nome])</f>
        <v>Fernanda</v>
      </c>
      <c r="C1437" s="7" t="str">
        <f>_xlfn.XLOOKUP(Vendas[[#This Row],[ID Vendedor]],Vendedores[ID],Vendedores[Setor])</f>
        <v>FM</v>
      </c>
      <c r="D1437" s="7" t="s">
        <v>31</v>
      </c>
      <c r="E1437" t="str">
        <f>_xlfn.XLOOKUP(Vendas[[#This Row],[ID Item Vendido]],Agregado[ID],Agregado[Produto])</f>
        <v>Tela de metal soldada rolo 2x25m</v>
      </c>
      <c r="F1437" s="39">
        <v>44579</v>
      </c>
      <c r="G1437" s="7">
        <v>5</v>
      </c>
      <c r="H1437" s="3">
        <f>_xlfn.XLOOKUP(Vendas[[#This Row],[ID Item Vendido]],Agregado[ID],Agregado[Revenda])</f>
        <v>43.7</v>
      </c>
      <c r="I1437" s="3">
        <f>Vendas[[#This Row],[Valor Unitário]]*Vendas[[#This Row],[Qnt Vendida]]</f>
        <v>218.5</v>
      </c>
      <c r="J1437" s="3">
        <f>Vendas[[#This Row],[Valor da Venda]]-(_xlfn.XLOOKUP(Vendas[[#This Row],[ID Item Vendido]],Agregado[ID],Agregado[Custo])*Vendas[[#This Row],[Qnt Vendida]])</f>
        <v>28.5</v>
      </c>
      <c r="K1437" s="70">
        <f>Vendas[[#This Row],[Lucro da Venda]]/Vendas[[#This Row],[Valor da Venda]]</f>
        <v>0.13043478260869565</v>
      </c>
      <c r="L1437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1437"/>
    </row>
    <row r="1438" spans="1:13" x14ac:dyDescent="0.3">
      <c r="A1438" s="7">
        <v>400241</v>
      </c>
      <c r="B1438" t="str">
        <f>_xlfn.XLOOKUP(Vendas[[#This Row],[ID Vendedor]],Vendedores[ID],Vendedores[Nome])</f>
        <v>Rodrigo</v>
      </c>
      <c r="C1438" s="7" t="str">
        <f>_xlfn.XLOOKUP(Vendas[[#This Row],[ID Vendedor]],Vendedores[ID],Vendedores[Setor])</f>
        <v>FM</v>
      </c>
      <c r="D1438" s="7" t="s">
        <v>47</v>
      </c>
      <c r="E1438" t="str">
        <f>_xlfn.XLOOKUP(Vendas[[#This Row],[ID Item Vendido]],Agregado[ID],Agregado[Produto])</f>
        <v>Fio de arame galvanizado rolo 50m</v>
      </c>
      <c r="F1438" s="39">
        <v>44580</v>
      </c>
      <c r="G1438" s="7">
        <v>21</v>
      </c>
      <c r="H1438" s="3">
        <f>_xlfn.XLOOKUP(Vendas[[#This Row],[ID Item Vendido]],Agregado[ID],Agregado[Revenda])</f>
        <v>21.2</v>
      </c>
      <c r="I1438" s="3">
        <f>Vendas[[#This Row],[Valor Unitário]]*Vendas[[#This Row],[Qnt Vendida]]</f>
        <v>445.2</v>
      </c>
      <c r="J1438" s="3">
        <f>Vendas[[#This Row],[Valor da Venda]]-(_xlfn.XLOOKUP(Vendas[[#This Row],[ID Item Vendido]],Agregado[ID],Agregado[Custo])*Vendas[[#This Row],[Qnt Vendida]])</f>
        <v>67.199999999999989</v>
      </c>
      <c r="K1438" s="70">
        <f>Vendas[[#This Row],[Lucro da Venda]]/Vendas[[#This Row],[Valor da Venda]]</f>
        <v>0.15094339622641506</v>
      </c>
      <c r="L1438" s="3">
        <f>_xlfn.IFS(Vendas[[#This Row],[Margem de Lucro (%)]]&lt;15%,Vendas[[#This Row],[Valor da Venda]]*3%,Vendas[[#This Row],[Margem de Lucro (%)]]&lt;=20%,Vendas[[#This Row],[Valor da Venda]]*4.5%,TRUE,Vendas[[#This Row],[Valor da Venda]]*6%)</f>
        <v>20.033999999999999</v>
      </c>
      <c r="M1438"/>
    </row>
    <row r="1439" spans="1:13" x14ac:dyDescent="0.3">
      <c r="A1439" s="7">
        <v>400250</v>
      </c>
      <c r="B1439" t="str">
        <f>_xlfn.XLOOKUP(Vendas[[#This Row],[ID Vendedor]],Vendedores[ID],Vendedores[Nome])</f>
        <v>Larissa</v>
      </c>
      <c r="C1439" s="7" t="str">
        <f>_xlfn.XLOOKUP(Vendas[[#This Row],[ID Vendedor]],Vendedores[ID],Vendedores[Setor])</f>
        <v>AB</v>
      </c>
      <c r="D1439" s="7" t="s">
        <v>24</v>
      </c>
      <c r="E1439" t="str">
        <f>_xlfn.XLOOKUP(Vendas[[#This Row],[ID Item Vendido]],Agregado[ID],Agregado[Produto])</f>
        <v>Resina plástica PET purificada saco de 25kg</v>
      </c>
      <c r="F1439" s="39">
        <v>44580</v>
      </c>
      <c r="G1439" s="7">
        <v>3</v>
      </c>
      <c r="H1439" s="3">
        <f>_xlfn.XLOOKUP(Vendas[[#This Row],[ID Item Vendido]],Agregado[ID],Agregado[Revenda])</f>
        <v>119</v>
      </c>
      <c r="I1439" s="3">
        <f>Vendas[[#This Row],[Valor Unitário]]*Vendas[[#This Row],[Qnt Vendida]]</f>
        <v>357</v>
      </c>
      <c r="J1439" s="3">
        <f>Vendas[[#This Row],[Valor da Venda]]-(_xlfn.XLOOKUP(Vendas[[#This Row],[ID Item Vendido]],Agregado[ID],Agregado[Custo])*Vendas[[#This Row],[Qnt Vendida]])</f>
        <v>102</v>
      </c>
      <c r="K1439" s="70">
        <f>Vendas[[#This Row],[Lucro da Venda]]/Vendas[[#This Row],[Valor da Venda]]</f>
        <v>0.2857142857142857</v>
      </c>
      <c r="L1439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1439"/>
    </row>
    <row r="1440" spans="1:13" x14ac:dyDescent="0.3">
      <c r="A1440" s="7">
        <v>400248</v>
      </c>
      <c r="B1440" t="str">
        <f>_xlfn.XLOOKUP(Vendas[[#This Row],[ID Vendedor]],Vendedores[ID],Vendedores[Nome])</f>
        <v>Patrícia</v>
      </c>
      <c r="C1440" s="7" t="str">
        <f>_xlfn.XLOOKUP(Vendas[[#This Row],[ID Vendedor]],Vendedores[ID],Vendedores[Setor])</f>
        <v>CM</v>
      </c>
      <c r="D1440" s="7" t="s">
        <v>32</v>
      </c>
      <c r="E1440" t="str">
        <f>_xlfn.XLOOKUP(Vendas[[#This Row],[ID Item Vendido]],Agregado[ID],Agregado[Produto])</f>
        <v>Tábua tratada e cortada 3m</v>
      </c>
      <c r="F1440" s="39">
        <v>44580</v>
      </c>
      <c r="G1440" s="7">
        <v>9</v>
      </c>
      <c r="H1440" s="3">
        <f>_xlfn.XLOOKUP(Vendas[[#This Row],[ID Item Vendido]],Agregado[ID],Agregado[Revenda])</f>
        <v>39</v>
      </c>
      <c r="I1440" s="3">
        <f>Vendas[[#This Row],[Valor Unitário]]*Vendas[[#This Row],[Qnt Vendida]]</f>
        <v>351</v>
      </c>
      <c r="J1440" s="3">
        <f>Vendas[[#This Row],[Valor da Venda]]-(_xlfn.XLOOKUP(Vendas[[#This Row],[ID Item Vendido]],Agregado[ID],Agregado[Custo])*Vendas[[#This Row],[Qnt Vendida]])</f>
        <v>63</v>
      </c>
      <c r="K1440" s="70">
        <f>Vendas[[#This Row],[Lucro da Venda]]/Vendas[[#This Row],[Valor da Venda]]</f>
        <v>0.17948717948717949</v>
      </c>
      <c r="L1440" s="3">
        <f>_xlfn.IFS(Vendas[[#This Row],[Margem de Lucro (%)]]&lt;15%,Vendas[[#This Row],[Valor da Venda]]*3%,Vendas[[#This Row],[Margem de Lucro (%)]]&lt;=20%,Vendas[[#This Row],[Valor da Venda]]*4.5%,TRUE,Vendas[[#This Row],[Valor da Venda]]*6%)</f>
        <v>15.795</v>
      </c>
      <c r="M1440"/>
    </row>
    <row r="1441" spans="1:13" x14ac:dyDescent="0.3">
      <c r="A1441" s="7">
        <v>400250</v>
      </c>
      <c r="B1441" t="str">
        <f>_xlfn.XLOOKUP(Vendas[[#This Row],[ID Vendedor]],Vendedores[ID],Vendedores[Nome])</f>
        <v>Larissa</v>
      </c>
      <c r="C1441" s="7" t="str">
        <f>_xlfn.XLOOKUP(Vendas[[#This Row],[ID Vendedor]],Vendedores[ID],Vendedores[Setor])</f>
        <v>AB</v>
      </c>
      <c r="D1441" s="7" t="s">
        <v>39</v>
      </c>
      <c r="E1441" t="str">
        <f>_xlfn.XLOOKUP(Vendas[[#This Row],[ID Item Vendido]],Agregado[ID],Agregado[Produto])</f>
        <v>Filme plástico industrial rolo 50m</v>
      </c>
      <c r="F1441" s="39">
        <v>44581</v>
      </c>
      <c r="G1441" s="7">
        <v>8</v>
      </c>
      <c r="H1441" s="3">
        <f>_xlfn.XLOOKUP(Vendas[[#This Row],[ID Item Vendido]],Agregado[ID],Agregado[Revenda])</f>
        <v>37</v>
      </c>
      <c r="I1441" s="3">
        <f>Vendas[[#This Row],[Valor Unitário]]*Vendas[[#This Row],[Qnt Vendida]]</f>
        <v>296</v>
      </c>
      <c r="J1441" s="3">
        <f>Vendas[[#This Row],[Valor da Venda]]-(_xlfn.XLOOKUP(Vendas[[#This Row],[ID Item Vendido]],Agregado[ID],Agregado[Custo])*Vendas[[#This Row],[Qnt Vendida]])</f>
        <v>72</v>
      </c>
      <c r="K1441" s="70">
        <f>Vendas[[#This Row],[Lucro da Venda]]/Vendas[[#This Row],[Valor da Venda]]</f>
        <v>0.24324324324324326</v>
      </c>
      <c r="L1441" s="3">
        <f>_xlfn.IFS(Vendas[[#This Row],[Margem de Lucro (%)]]&lt;15%,Vendas[[#This Row],[Valor da Venda]]*3%,Vendas[[#This Row],[Margem de Lucro (%)]]&lt;=20%,Vendas[[#This Row],[Valor da Venda]]*4.5%,TRUE,Vendas[[#This Row],[Valor da Venda]]*6%)</f>
        <v>17.759999999999998</v>
      </c>
      <c r="M1441"/>
    </row>
    <row r="1442" spans="1:13" x14ac:dyDescent="0.3">
      <c r="A1442" s="7">
        <v>400248</v>
      </c>
      <c r="B1442" t="str">
        <f>_xlfn.XLOOKUP(Vendas[[#This Row],[ID Vendedor]],Vendedores[ID],Vendedores[Nome])</f>
        <v>Patrícia</v>
      </c>
      <c r="C1442" s="7" t="str">
        <f>_xlfn.XLOOKUP(Vendas[[#This Row],[ID Vendedor]],Vendedores[ID],Vendedores[Setor])</f>
        <v>CM</v>
      </c>
      <c r="D1442" s="7" t="s">
        <v>45</v>
      </c>
      <c r="E1442" t="str">
        <f>_xlfn.XLOOKUP(Vendas[[#This Row],[ID Item Vendido]],Agregado[ID],Agregado[Produto])</f>
        <v>Viga de madeira tratada 4m</v>
      </c>
      <c r="F1442" s="39">
        <v>44582</v>
      </c>
      <c r="G1442" s="7">
        <v>14</v>
      </c>
      <c r="H1442" s="3">
        <f>_xlfn.XLOOKUP(Vendas[[#This Row],[ID Item Vendido]],Agregado[ID],Agregado[Revenda])</f>
        <v>66</v>
      </c>
      <c r="I1442" s="3">
        <f>Vendas[[#This Row],[Valor Unitário]]*Vendas[[#This Row],[Qnt Vendida]]</f>
        <v>924</v>
      </c>
      <c r="J1442" s="3">
        <f>Vendas[[#This Row],[Valor da Venda]]-(_xlfn.XLOOKUP(Vendas[[#This Row],[ID Item Vendido]],Agregado[ID],Agregado[Custo])*Vendas[[#This Row],[Qnt Vendida]])</f>
        <v>154</v>
      </c>
      <c r="K1442" s="70">
        <f>Vendas[[#This Row],[Lucro da Venda]]/Vendas[[#This Row],[Valor da Venda]]</f>
        <v>0.16666666666666666</v>
      </c>
      <c r="L1442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1442"/>
    </row>
    <row r="1443" spans="1:13" x14ac:dyDescent="0.3">
      <c r="A1443" s="7">
        <v>400245</v>
      </c>
      <c r="B1443" t="str">
        <f>_xlfn.XLOOKUP(Vendas[[#This Row],[ID Vendedor]],Vendedores[ID],Vendedores[Nome])</f>
        <v>Thiago</v>
      </c>
      <c r="C1443" s="7" t="str">
        <f>_xlfn.XLOOKUP(Vendas[[#This Row],[ID Vendedor]],Vendedores[ID],Vendedores[Setor])</f>
        <v>AHD</v>
      </c>
      <c r="D1443" s="7" t="s">
        <v>28</v>
      </c>
      <c r="E1443" t="str">
        <f>_xlfn.XLOOKUP(Vendas[[#This Row],[ID Item Vendido]],Agregado[ID],Agregado[Produto])</f>
        <v>Peça usinada CNC</v>
      </c>
      <c r="F1443" s="39">
        <v>44584</v>
      </c>
      <c r="G1443" s="7">
        <v>3</v>
      </c>
      <c r="H1443" s="3">
        <f>_xlfn.XLOOKUP(Vendas[[#This Row],[ID Item Vendido]],Agregado[ID],Agregado[Revenda])</f>
        <v>192</v>
      </c>
      <c r="I1443" s="3">
        <f>Vendas[[#This Row],[Valor Unitário]]*Vendas[[#This Row],[Qnt Vendida]]</f>
        <v>576</v>
      </c>
      <c r="J1443" s="3">
        <f>Vendas[[#This Row],[Valor da Venda]]-(_xlfn.XLOOKUP(Vendas[[#This Row],[ID Item Vendido]],Agregado[ID],Agregado[Custo])*Vendas[[#This Row],[Qnt Vendida]])</f>
        <v>126</v>
      </c>
      <c r="K1443" s="70">
        <f>Vendas[[#This Row],[Lucro da Venda]]/Vendas[[#This Row],[Valor da Venda]]</f>
        <v>0.21875</v>
      </c>
      <c r="L1443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1443"/>
    </row>
    <row r="1444" spans="1:13" x14ac:dyDescent="0.3">
      <c r="A1444" s="7">
        <v>400243</v>
      </c>
      <c r="B1444" t="str">
        <f>_xlfn.XLOOKUP(Vendas[[#This Row],[ID Vendedor]],Vendedores[ID],Vendedores[Nome])</f>
        <v>Marcelo</v>
      </c>
      <c r="C1444" s="7" t="str">
        <f>_xlfn.XLOOKUP(Vendas[[#This Row],[ID Vendedor]],Vendedores[ID],Vendedores[Setor])</f>
        <v>FM</v>
      </c>
      <c r="D1444" s="7" t="s">
        <v>27</v>
      </c>
      <c r="E1444" t="str">
        <f>_xlfn.XLOOKUP(Vendas[[#This Row],[ID Item Vendido]],Agregado[ID],Agregado[Produto])</f>
        <v>Chapa de metal lisa 1x2m</v>
      </c>
      <c r="F1444" s="39">
        <v>44584</v>
      </c>
      <c r="G1444" s="7">
        <v>11</v>
      </c>
      <c r="H1444" s="3">
        <f>_xlfn.XLOOKUP(Vendas[[#This Row],[ID Item Vendido]],Agregado[ID],Agregado[Revenda])</f>
        <v>52</v>
      </c>
      <c r="I1444" s="3">
        <f>Vendas[[#This Row],[Valor Unitário]]*Vendas[[#This Row],[Qnt Vendida]]</f>
        <v>572</v>
      </c>
      <c r="J1444" s="3">
        <f>Vendas[[#This Row],[Valor da Venda]]-(_xlfn.XLOOKUP(Vendas[[#This Row],[ID Item Vendido]],Agregado[ID],Agregado[Custo])*Vendas[[#This Row],[Qnt Vendida]])</f>
        <v>77</v>
      </c>
      <c r="K1444" s="70">
        <f>Vendas[[#This Row],[Lucro da Venda]]/Vendas[[#This Row],[Valor da Venda]]</f>
        <v>0.13461538461538461</v>
      </c>
      <c r="L1444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1444"/>
    </row>
    <row r="1445" spans="1:13" x14ac:dyDescent="0.3">
      <c r="A1445" s="7">
        <v>400250</v>
      </c>
      <c r="B1445" t="str">
        <f>_xlfn.XLOOKUP(Vendas[[#This Row],[ID Vendedor]],Vendedores[ID],Vendedores[Nome])</f>
        <v>Larissa</v>
      </c>
      <c r="C1445" s="7" t="str">
        <f>_xlfn.XLOOKUP(Vendas[[#This Row],[ID Vendedor]],Vendedores[ID],Vendedores[Setor])</f>
        <v>AB</v>
      </c>
      <c r="D1445" s="7" t="s">
        <v>37</v>
      </c>
      <c r="E1445" t="str">
        <f>_xlfn.XLOOKUP(Vendas[[#This Row],[ID Item Vendido]],Agregado[ID],Agregado[Produto])</f>
        <v>Composto de borracha para vedação rolo 10m</v>
      </c>
      <c r="F1445" s="39">
        <v>44585</v>
      </c>
      <c r="G1445" s="7">
        <v>12</v>
      </c>
      <c r="H1445" s="3">
        <f>_xlfn.XLOOKUP(Vendas[[#This Row],[ID Item Vendido]],Agregado[ID],Agregado[Revenda])</f>
        <v>51.2</v>
      </c>
      <c r="I1445" s="3">
        <f>Vendas[[#This Row],[Valor Unitário]]*Vendas[[#This Row],[Qnt Vendida]]</f>
        <v>614.40000000000009</v>
      </c>
      <c r="J1445" s="3">
        <f>Vendas[[#This Row],[Valor da Venda]]-(_xlfn.XLOOKUP(Vendas[[#This Row],[ID Item Vendido]],Agregado[ID],Agregado[Custo])*Vendas[[#This Row],[Qnt Vendida]])</f>
        <v>134.40000000000009</v>
      </c>
      <c r="K1445" s="70">
        <f>Vendas[[#This Row],[Lucro da Venda]]/Vendas[[#This Row],[Valor da Venda]]</f>
        <v>0.21875000000000011</v>
      </c>
      <c r="L1445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1445"/>
    </row>
    <row r="1446" spans="1:13" x14ac:dyDescent="0.3">
      <c r="A1446" s="7">
        <v>400253</v>
      </c>
      <c r="B1446" t="str">
        <f>_xlfn.XLOOKUP(Vendas[[#This Row],[ID Vendedor]],Vendedores[ID],Vendedores[Nome])</f>
        <v>Gustavo</v>
      </c>
      <c r="C1446" s="7" t="str">
        <f>_xlfn.XLOOKUP(Vendas[[#This Row],[ID Vendedor]],Vendedores[ID],Vendedores[Setor])</f>
        <v>SC</v>
      </c>
      <c r="D1446" s="7" t="s">
        <v>42</v>
      </c>
      <c r="E1446" t="str">
        <f>_xlfn.XLOOKUP(Vendas[[#This Row],[ID Item Vendido]],Agregado[ID],Agregado[Produto])</f>
        <v>Container de ferro industrial</v>
      </c>
      <c r="F1446" s="39">
        <v>44586</v>
      </c>
      <c r="G1446" s="7">
        <v>4</v>
      </c>
      <c r="H1446" s="3">
        <f>_xlfn.XLOOKUP(Vendas[[#This Row],[ID Item Vendido]],Agregado[ID],Agregado[Revenda])</f>
        <v>830</v>
      </c>
      <c r="I1446" s="3">
        <f>Vendas[[#This Row],[Valor Unitário]]*Vendas[[#This Row],[Qnt Vendida]]</f>
        <v>3320</v>
      </c>
      <c r="J1446" s="3">
        <f>Vendas[[#This Row],[Valor da Venda]]-(_xlfn.XLOOKUP(Vendas[[#This Row],[ID Item Vendido]],Agregado[ID],Agregado[Custo])*Vendas[[#This Row],[Qnt Vendida]])</f>
        <v>600</v>
      </c>
      <c r="K1446" s="70">
        <f>Vendas[[#This Row],[Lucro da Venda]]/Vendas[[#This Row],[Valor da Venda]]</f>
        <v>0.18072289156626506</v>
      </c>
      <c r="L1446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1446"/>
    </row>
    <row r="1447" spans="1:13" x14ac:dyDescent="0.3">
      <c r="A1447" s="7">
        <v>400245</v>
      </c>
      <c r="B1447" t="str">
        <f>_xlfn.XLOOKUP(Vendas[[#This Row],[ID Vendedor]],Vendedores[ID],Vendedores[Nome])</f>
        <v>Thiago</v>
      </c>
      <c r="C1447" s="7" t="str">
        <f>_xlfn.XLOOKUP(Vendas[[#This Row],[ID Vendedor]],Vendedores[ID],Vendedores[Setor])</f>
        <v>AHD</v>
      </c>
      <c r="D1447" s="7" t="s">
        <v>44</v>
      </c>
      <c r="E1447" t="str">
        <f>_xlfn.XLOOKUP(Vendas[[#This Row],[ID Item Vendido]],Agregado[ID],Agregado[Produto])</f>
        <v>Liga metálica especial</v>
      </c>
      <c r="F1447" s="39">
        <v>44586</v>
      </c>
      <c r="G1447" s="7">
        <v>47</v>
      </c>
      <c r="H1447" s="3">
        <f>_xlfn.XLOOKUP(Vendas[[#This Row],[ID Item Vendido]],Agregado[ID],Agregado[Revenda])</f>
        <v>32.5</v>
      </c>
      <c r="I1447" s="3">
        <f>Vendas[[#This Row],[Valor Unitário]]*Vendas[[#This Row],[Qnt Vendida]]</f>
        <v>1527.5</v>
      </c>
      <c r="J1447" s="3">
        <f>Vendas[[#This Row],[Valor da Venda]]-(_xlfn.XLOOKUP(Vendas[[#This Row],[ID Item Vendido]],Agregado[ID],Agregado[Custo])*Vendas[[#This Row],[Qnt Vendida]])</f>
        <v>352.5</v>
      </c>
      <c r="K1447" s="70">
        <f>Vendas[[#This Row],[Lucro da Venda]]/Vendas[[#This Row],[Valor da Venda]]</f>
        <v>0.23076923076923078</v>
      </c>
      <c r="L1447" s="3">
        <f>_xlfn.IFS(Vendas[[#This Row],[Margem de Lucro (%)]]&lt;15%,Vendas[[#This Row],[Valor da Venda]]*3%,Vendas[[#This Row],[Margem de Lucro (%)]]&lt;=20%,Vendas[[#This Row],[Valor da Venda]]*4.5%,TRUE,Vendas[[#This Row],[Valor da Venda]]*6%)</f>
        <v>91.649999999999991</v>
      </c>
      <c r="M1447"/>
    </row>
    <row r="1448" spans="1:13" x14ac:dyDescent="0.3">
      <c r="A1448" s="7">
        <v>400243</v>
      </c>
      <c r="B1448" t="str">
        <f>_xlfn.XLOOKUP(Vendas[[#This Row],[ID Vendedor]],Vendedores[ID],Vendedores[Nome])</f>
        <v>Marcelo</v>
      </c>
      <c r="C1448" s="7" t="str">
        <f>_xlfn.XLOOKUP(Vendas[[#This Row],[ID Vendedor]],Vendedores[ID],Vendedores[Setor])</f>
        <v>FM</v>
      </c>
      <c r="D1448" s="7" t="s">
        <v>20</v>
      </c>
      <c r="E1448" t="str">
        <f>_xlfn.XLOOKUP(Vendas[[#This Row],[ID Item Vendido]],Agregado[ID],Agregado[Produto])</f>
        <v>Barra de aço simples</v>
      </c>
      <c r="F1448" s="39">
        <v>44586</v>
      </c>
      <c r="G1448" s="7">
        <v>151</v>
      </c>
      <c r="H1448" s="3">
        <f>_xlfn.XLOOKUP(Vendas[[#This Row],[ID Item Vendido]],Agregado[ID],Agregado[Revenda])</f>
        <v>4.8</v>
      </c>
      <c r="I1448" s="3">
        <f>Vendas[[#This Row],[Valor Unitário]]*Vendas[[#This Row],[Qnt Vendida]]</f>
        <v>724.8</v>
      </c>
      <c r="J1448" s="3">
        <f>Vendas[[#This Row],[Valor da Venda]]-(_xlfn.XLOOKUP(Vendas[[#This Row],[ID Item Vendido]],Agregado[ID],Agregado[Custo])*Vendas[[#This Row],[Qnt Vendida]])</f>
        <v>90.599999999999909</v>
      </c>
      <c r="K1448" s="70">
        <f>Vendas[[#This Row],[Lucro da Venda]]/Vendas[[#This Row],[Valor da Venda]]</f>
        <v>0.12499999999999989</v>
      </c>
      <c r="L1448" s="3">
        <f>_xlfn.IFS(Vendas[[#This Row],[Margem de Lucro (%)]]&lt;15%,Vendas[[#This Row],[Valor da Venda]]*3%,Vendas[[#This Row],[Margem de Lucro (%)]]&lt;=20%,Vendas[[#This Row],[Valor da Venda]]*4.5%,TRUE,Vendas[[#This Row],[Valor da Venda]]*6%)</f>
        <v>21.743999999999996</v>
      </c>
      <c r="M1448"/>
    </row>
    <row r="1449" spans="1:13" x14ac:dyDescent="0.3">
      <c r="A1449" s="7">
        <v>400250</v>
      </c>
      <c r="B1449" t="str">
        <f>_xlfn.XLOOKUP(Vendas[[#This Row],[ID Vendedor]],Vendedores[ID],Vendedores[Nome])</f>
        <v>Larissa</v>
      </c>
      <c r="C1449" s="7" t="str">
        <f>_xlfn.XLOOKUP(Vendas[[#This Row],[ID Vendedor]],Vendedores[ID],Vendedores[Setor])</f>
        <v>AB</v>
      </c>
      <c r="D1449" s="7" t="s">
        <v>12</v>
      </c>
      <c r="E1449" t="str">
        <f>_xlfn.XLOOKUP(Vendas[[#This Row],[ID Item Vendido]],Agregado[ID],Agregado[Produto])</f>
        <v>Grânulo de plástico reciclado refinado</v>
      </c>
      <c r="F1449" s="39">
        <v>44586</v>
      </c>
      <c r="G1449" s="7">
        <v>130</v>
      </c>
      <c r="H1449" s="3">
        <f>_xlfn.XLOOKUP(Vendas[[#This Row],[ID Item Vendido]],Agregado[ID],Agregado[Revenda])</f>
        <v>4.7</v>
      </c>
      <c r="I1449" s="3">
        <f>Vendas[[#This Row],[Valor Unitário]]*Vendas[[#This Row],[Qnt Vendida]]</f>
        <v>611</v>
      </c>
      <c r="J1449" s="3">
        <f>Vendas[[#This Row],[Valor da Venda]]-(_xlfn.XLOOKUP(Vendas[[#This Row],[ID Item Vendido]],Agregado[ID],Agregado[Custo])*Vendas[[#This Row],[Qnt Vendida]])</f>
        <v>156</v>
      </c>
      <c r="K1449" s="70">
        <f>Vendas[[#This Row],[Lucro da Venda]]/Vendas[[#This Row],[Valor da Venda]]</f>
        <v>0.25531914893617019</v>
      </c>
      <c r="L1449" s="3">
        <f>_xlfn.IFS(Vendas[[#This Row],[Margem de Lucro (%)]]&lt;15%,Vendas[[#This Row],[Valor da Venda]]*3%,Vendas[[#This Row],[Margem de Lucro (%)]]&lt;=20%,Vendas[[#This Row],[Valor da Venda]]*4.5%,TRUE,Vendas[[#This Row],[Valor da Venda]]*6%)</f>
        <v>36.659999999999997</v>
      </c>
      <c r="M1449"/>
    </row>
    <row r="1450" spans="1:13" x14ac:dyDescent="0.3">
      <c r="A1450" s="7">
        <v>400251</v>
      </c>
      <c r="B1450" t="str">
        <f>_xlfn.XLOOKUP(Vendas[[#This Row],[ID Vendedor]],Vendedores[ID],Vendedores[Nome])</f>
        <v>Diego</v>
      </c>
      <c r="C1450" s="7" t="str">
        <f>_xlfn.XLOOKUP(Vendas[[#This Row],[ID Vendedor]],Vendedores[ID],Vendedores[Setor])</f>
        <v>AB</v>
      </c>
      <c r="D1450" s="7" t="s">
        <v>12</v>
      </c>
      <c r="E1450" t="str">
        <f>_xlfn.XLOOKUP(Vendas[[#This Row],[ID Item Vendido]],Agregado[ID],Agregado[Produto])</f>
        <v>Grânulo de plástico reciclado refinado</v>
      </c>
      <c r="F1450" s="39">
        <v>44586</v>
      </c>
      <c r="G1450" s="7">
        <v>97</v>
      </c>
      <c r="H1450" s="3">
        <f>_xlfn.XLOOKUP(Vendas[[#This Row],[ID Item Vendido]],Agregado[ID],Agregado[Revenda])</f>
        <v>4.7</v>
      </c>
      <c r="I1450" s="3">
        <f>Vendas[[#This Row],[Valor Unitário]]*Vendas[[#This Row],[Qnt Vendida]]</f>
        <v>455.90000000000003</v>
      </c>
      <c r="J1450" s="3">
        <f>Vendas[[#This Row],[Valor da Venda]]-(_xlfn.XLOOKUP(Vendas[[#This Row],[ID Item Vendido]],Agregado[ID],Agregado[Custo])*Vendas[[#This Row],[Qnt Vendida]])</f>
        <v>116.40000000000003</v>
      </c>
      <c r="K1450" s="70">
        <f>Vendas[[#This Row],[Lucro da Venda]]/Vendas[[#This Row],[Valor da Venda]]</f>
        <v>0.25531914893617025</v>
      </c>
      <c r="L1450" s="3">
        <f>_xlfn.IFS(Vendas[[#This Row],[Margem de Lucro (%)]]&lt;15%,Vendas[[#This Row],[Valor da Venda]]*3%,Vendas[[#This Row],[Margem de Lucro (%)]]&lt;=20%,Vendas[[#This Row],[Valor da Venda]]*4.5%,TRUE,Vendas[[#This Row],[Valor da Venda]]*6%)</f>
        <v>27.354000000000003</v>
      </c>
      <c r="M1450"/>
    </row>
    <row r="1451" spans="1:13" x14ac:dyDescent="0.3">
      <c r="A1451" s="7">
        <v>400248</v>
      </c>
      <c r="B1451" t="str">
        <f>_xlfn.XLOOKUP(Vendas[[#This Row],[ID Vendedor]],Vendedores[ID],Vendedores[Nome])</f>
        <v>Patrícia</v>
      </c>
      <c r="C1451" s="7" t="str">
        <f>_xlfn.XLOOKUP(Vendas[[#This Row],[ID Vendedor]],Vendedores[ID],Vendedores[Setor])</f>
        <v>CM</v>
      </c>
      <c r="D1451" s="7" t="s">
        <v>45</v>
      </c>
      <c r="E1451" t="str">
        <f>_xlfn.XLOOKUP(Vendas[[#This Row],[ID Item Vendido]],Agregado[ID],Agregado[Produto])</f>
        <v>Viga de madeira tratada 4m</v>
      </c>
      <c r="F1451" s="39">
        <v>44587</v>
      </c>
      <c r="G1451" s="7">
        <v>8</v>
      </c>
      <c r="H1451" s="3">
        <f>_xlfn.XLOOKUP(Vendas[[#This Row],[ID Item Vendido]],Agregado[ID],Agregado[Revenda])</f>
        <v>66</v>
      </c>
      <c r="I1451" s="3">
        <f>Vendas[[#This Row],[Valor Unitário]]*Vendas[[#This Row],[Qnt Vendida]]</f>
        <v>528</v>
      </c>
      <c r="J1451" s="3">
        <f>Vendas[[#This Row],[Valor da Venda]]-(_xlfn.XLOOKUP(Vendas[[#This Row],[ID Item Vendido]],Agregado[ID],Agregado[Custo])*Vendas[[#This Row],[Qnt Vendida]])</f>
        <v>88</v>
      </c>
      <c r="K1451" s="70">
        <f>Vendas[[#This Row],[Lucro da Venda]]/Vendas[[#This Row],[Valor da Venda]]</f>
        <v>0.16666666666666666</v>
      </c>
      <c r="L1451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1451"/>
    </row>
    <row r="1452" spans="1:13" x14ac:dyDescent="0.3">
      <c r="A1452" s="7">
        <v>400243</v>
      </c>
      <c r="B1452" t="str">
        <f>_xlfn.XLOOKUP(Vendas[[#This Row],[ID Vendedor]],Vendedores[ID],Vendedores[Nome])</f>
        <v>Marcelo</v>
      </c>
      <c r="C1452" s="7" t="str">
        <f>_xlfn.XLOOKUP(Vendas[[#This Row],[ID Vendedor]],Vendedores[ID],Vendedores[Setor])</f>
        <v>FM</v>
      </c>
      <c r="D1452" s="7" t="s">
        <v>31</v>
      </c>
      <c r="E1452" t="str">
        <f>_xlfn.XLOOKUP(Vendas[[#This Row],[ID Item Vendido]],Agregado[ID],Agregado[Produto])</f>
        <v>Tela de metal soldada rolo 2x25m</v>
      </c>
      <c r="F1452" s="39">
        <v>44587</v>
      </c>
      <c r="G1452" s="7">
        <v>4</v>
      </c>
      <c r="H1452" s="3">
        <f>_xlfn.XLOOKUP(Vendas[[#This Row],[ID Item Vendido]],Agregado[ID],Agregado[Revenda])</f>
        <v>43.7</v>
      </c>
      <c r="I1452" s="3">
        <f>Vendas[[#This Row],[Valor Unitário]]*Vendas[[#This Row],[Qnt Vendida]]</f>
        <v>174.8</v>
      </c>
      <c r="J1452" s="3">
        <f>Vendas[[#This Row],[Valor da Venda]]-(_xlfn.XLOOKUP(Vendas[[#This Row],[ID Item Vendido]],Agregado[ID],Agregado[Custo])*Vendas[[#This Row],[Qnt Vendida]])</f>
        <v>22.800000000000011</v>
      </c>
      <c r="K1452" s="70">
        <f>Vendas[[#This Row],[Lucro da Venda]]/Vendas[[#This Row],[Valor da Venda]]</f>
        <v>0.1304347826086957</v>
      </c>
      <c r="L1452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1452"/>
    </row>
    <row r="1453" spans="1:13" x14ac:dyDescent="0.3">
      <c r="A1453" s="7">
        <v>400251</v>
      </c>
      <c r="B1453" t="str">
        <f>_xlfn.XLOOKUP(Vendas[[#This Row],[ID Vendedor]],Vendedores[ID],Vendedores[Nome])</f>
        <v>Diego</v>
      </c>
      <c r="C1453" s="7" t="str">
        <f>_xlfn.XLOOKUP(Vendas[[#This Row],[ID Vendedor]],Vendedores[ID],Vendedores[Setor])</f>
        <v>AB</v>
      </c>
      <c r="D1453" s="7" t="s">
        <v>39</v>
      </c>
      <c r="E1453" t="str">
        <f>_xlfn.XLOOKUP(Vendas[[#This Row],[ID Item Vendido]],Agregado[ID],Agregado[Produto])</f>
        <v>Filme plástico industrial rolo 50m</v>
      </c>
      <c r="F1453" s="39">
        <v>44588</v>
      </c>
      <c r="G1453" s="7">
        <v>30</v>
      </c>
      <c r="H1453" s="3">
        <f>_xlfn.XLOOKUP(Vendas[[#This Row],[ID Item Vendido]],Agregado[ID],Agregado[Revenda])</f>
        <v>37</v>
      </c>
      <c r="I1453" s="3">
        <f>Vendas[[#This Row],[Valor Unitário]]*Vendas[[#This Row],[Qnt Vendida]]</f>
        <v>1110</v>
      </c>
      <c r="J1453" s="3">
        <f>Vendas[[#This Row],[Valor da Venda]]-(_xlfn.XLOOKUP(Vendas[[#This Row],[ID Item Vendido]],Agregado[ID],Agregado[Custo])*Vendas[[#This Row],[Qnt Vendida]])</f>
        <v>270</v>
      </c>
      <c r="K1453" s="70">
        <f>Vendas[[#This Row],[Lucro da Venda]]/Vendas[[#This Row],[Valor da Venda]]</f>
        <v>0.24324324324324326</v>
      </c>
      <c r="L1453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1453"/>
    </row>
    <row r="1454" spans="1:13" x14ac:dyDescent="0.3">
      <c r="A1454" s="7">
        <v>400241</v>
      </c>
      <c r="B1454" t="str">
        <f>_xlfn.XLOOKUP(Vendas[[#This Row],[ID Vendedor]],Vendedores[ID],Vendedores[Nome])</f>
        <v>Rodrigo</v>
      </c>
      <c r="C1454" s="7" t="str">
        <f>_xlfn.XLOOKUP(Vendas[[#This Row],[ID Vendedor]],Vendedores[ID],Vendedores[Setor])</f>
        <v>FM</v>
      </c>
      <c r="D1454" s="7" t="s">
        <v>47</v>
      </c>
      <c r="E1454" t="str">
        <f>_xlfn.XLOOKUP(Vendas[[#This Row],[ID Item Vendido]],Agregado[ID],Agregado[Produto])</f>
        <v>Fio de arame galvanizado rolo 50m</v>
      </c>
      <c r="F1454" s="39">
        <v>44588</v>
      </c>
      <c r="G1454" s="7">
        <v>16</v>
      </c>
      <c r="H1454" s="3">
        <f>_xlfn.XLOOKUP(Vendas[[#This Row],[ID Item Vendido]],Agregado[ID],Agregado[Revenda])</f>
        <v>21.2</v>
      </c>
      <c r="I1454" s="3">
        <f>Vendas[[#This Row],[Valor Unitário]]*Vendas[[#This Row],[Qnt Vendida]]</f>
        <v>339.2</v>
      </c>
      <c r="J1454" s="3">
        <f>Vendas[[#This Row],[Valor da Venda]]-(_xlfn.XLOOKUP(Vendas[[#This Row],[ID Item Vendido]],Agregado[ID],Agregado[Custo])*Vendas[[#This Row],[Qnt Vendida]])</f>
        <v>51.199999999999989</v>
      </c>
      <c r="K1454" s="70">
        <f>Vendas[[#This Row],[Lucro da Venda]]/Vendas[[#This Row],[Valor da Venda]]</f>
        <v>0.15094339622641506</v>
      </c>
      <c r="L1454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1454"/>
    </row>
    <row r="1455" spans="1:13" x14ac:dyDescent="0.3">
      <c r="A1455" s="7">
        <v>400242</v>
      </c>
      <c r="B1455" t="str">
        <f>_xlfn.XLOOKUP(Vendas[[#This Row],[ID Vendedor]],Vendedores[ID],Vendedores[Nome])</f>
        <v>Fernanda</v>
      </c>
      <c r="C1455" s="7" t="str">
        <f>_xlfn.XLOOKUP(Vendas[[#This Row],[ID Vendedor]],Vendedores[ID],Vendedores[Setor])</f>
        <v>FM</v>
      </c>
      <c r="D1455" s="7" t="s">
        <v>20</v>
      </c>
      <c r="E1455" t="str">
        <f>_xlfn.XLOOKUP(Vendas[[#This Row],[ID Item Vendido]],Agregado[ID],Agregado[Produto])</f>
        <v>Barra de aço simples</v>
      </c>
      <c r="F1455" s="39">
        <v>44588</v>
      </c>
      <c r="G1455" s="7">
        <v>56</v>
      </c>
      <c r="H1455" s="3">
        <f>_xlfn.XLOOKUP(Vendas[[#This Row],[ID Item Vendido]],Agregado[ID],Agregado[Revenda])</f>
        <v>4.8</v>
      </c>
      <c r="I1455" s="3">
        <f>Vendas[[#This Row],[Valor Unitário]]*Vendas[[#This Row],[Qnt Vendida]]</f>
        <v>268.8</v>
      </c>
      <c r="J1455" s="3">
        <f>Vendas[[#This Row],[Valor da Venda]]-(_xlfn.XLOOKUP(Vendas[[#This Row],[ID Item Vendido]],Agregado[ID],Agregado[Custo])*Vendas[[#This Row],[Qnt Vendida]])</f>
        <v>33.599999999999994</v>
      </c>
      <c r="K1455" s="70">
        <f>Vendas[[#This Row],[Lucro da Venda]]/Vendas[[#This Row],[Valor da Venda]]</f>
        <v>0.12499999999999997</v>
      </c>
      <c r="L1455" s="3">
        <f>_xlfn.IFS(Vendas[[#This Row],[Margem de Lucro (%)]]&lt;15%,Vendas[[#This Row],[Valor da Venda]]*3%,Vendas[[#This Row],[Margem de Lucro (%)]]&lt;=20%,Vendas[[#This Row],[Valor da Venda]]*4.5%,TRUE,Vendas[[#This Row],[Valor da Venda]]*6%)</f>
        <v>8.0640000000000001</v>
      </c>
      <c r="M1455"/>
    </row>
    <row r="1456" spans="1:13" x14ac:dyDescent="0.3">
      <c r="A1456" s="7">
        <v>400250</v>
      </c>
      <c r="B1456" t="str">
        <f>_xlfn.XLOOKUP(Vendas[[#This Row],[ID Vendedor]],Vendedores[ID],Vendedores[Nome])</f>
        <v>Larissa</v>
      </c>
      <c r="C1456" s="7" t="str">
        <f>_xlfn.XLOOKUP(Vendas[[#This Row],[ID Vendedor]],Vendedores[ID],Vendedores[Setor])</f>
        <v>AB</v>
      </c>
      <c r="D1456" s="7" t="s">
        <v>36</v>
      </c>
      <c r="E1456" t="str">
        <f>_xlfn.XLOOKUP(Vendas[[#This Row],[ID Item Vendido]],Agregado[ID],Agregado[Produto])</f>
        <v>Borracha vulcanizada em manta</v>
      </c>
      <c r="F1456" s="39">
        <v>44589</v>
      </c>
      <c r="G1456" s="7">
        <v>93</v>
      </c>
      <c r="H1456" s="3">
        <f>_xlfn.XLOOKUP(Vendas[[#This Row],[ID Item Vendido]],Agregado[ID],Agregado[Revenda])</f>
        <v>7.8</v>
      </c>
      <c r="I1456" s="3">
        <f>Vendas[[#This Row],[Valor Unitário]]*Vendas[[#This Row],[Qnt Vendida]]</f>
        <v>725.4</v>
      </c>
      <c r="J1456" s="3">
        <f>Vendas[[#This Row],[Valor da Venda]]-(_xlfn.XLOOKUP(Vendas[[#This Row],[ID Item Vendido]],Agregado[ID],Agregado[Custo])*Vendas[[#This Row],[Qnt Vendida]])</f>
        <v>167.39999999999998</v>
      </c>
      <c r="K1456" s="70">
        <f>Vendas[[#This Row],[Lucro da Venda]]/Vendas[[#This Row],[Valor da Venda]]</f>
        <v>0.23076923076923075</v>
      </c>
      <c r="L1456" s="3">
        <f>_xlfn.IFS(Vendas[[#This Row],[Margem de Lucro (%)]]&lt;15%,Vendas[[#This Row],[Valor da Venda]]*3%,Vendas[[#This Row],[Margem de Lucro (%)]]&lt;=20%,Vendas[[#This Row],[Valor da Venda]]*4.5%,TRUE,Vendas[[#This Row],[Valor da Venda]]*6%)</f>
        <v>43.523999999999994</v>
      </c>
      <c r="M1456"/>
    </row>
    <row r="1457" spans="1:13" x14ac:dyDescent="0.3">
      <c r="A1457" s="7">
        <v>400247</v>
      </c>
      <c r="B1457" t="str">
        <f>_xlfn.XLOOKUP(Vendas[[#This Row],[ID Vendedor]],Vendedores[ID],Vendedores[Nome])</f>
        <v>André</v>
      </c>
      <c r="C1457" s="7" t="str">
        <f>_xlfn.XLOOKUP(Vendas[[#This Row],[ID Vendedor]],Vendedores[ID],Vendedores[Setor])</f>
        <v>CM</v>
      </c>
      <c r="D1457" s="7" t="s">
        <v>45</v>
      </c>
      <c r="E1457" t="str">
        <f>_xlfn.XLOOKUP(Vendas[[#This Row],[ID Item Vendido]],Agregado[ID],Agregado[Produto])</f>
        <v>Viga de madeira tratada 4m</v>
      </c>
      <c r="F1457" s="39">
        <v>44589</v>
      </c>
      <c r="G1457" s="7">
        <v>8</v>
      </c>
      <c r="H1457" s="3">
        <f>_xlfn.XLOOKUP(Vendas[[#This Row],[ID Item Vendido]],Agregado[ID],Agregado[Revenda])</f>
        <v>66</v>
      </c>
      <c r="I1457" s="3">
        <f>Vendas[[#This Row],[Valor Unitário]]*Vendas[[#This Row],[Qnt Vendida]]</f>
        <v>528</v>
      </c>
      <c r="J1457" s="3">
        <f>Vendas[[#This Row],[Valor da Venda]]-(_xlfn.XLOOKUP(Vendas[[#This Row],[ID Item Vendido]],Agregado[ID],Agregado[Custo])*Vendas[[#This Row],[Qnt Vendida]])</f>
        <v>88</v>
      </c>
      <c r="K1457" s="70">
        <f>Vendas[[#This Row],[Lucro da Venda]]/Vendas[[#This Row],[Valor da Venda]]</f>
        <v>0.16666666666666666</v>
      </c>
      <c r="L1457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1457"/>
    </row>
    <row r="1458" spans="1:13" x14ac:dyDescent="0.3">
      <c r="A1458" s="7">
        <v>400250</v>
      </c>
      <c r="B1458" t="str">
        <f>_xlfn.XLOOKUP(Vendas[[#This Row],[ID Vendedor]],Vendedores[ID],Vendedores[Nome])</f>
        <v>Larissa</v>
      </c>
      <c r="C1458" s="7" t="str">
        <f>_xlfn.XLOOKUP(Vendas[[#This Row],[ID Vendedor]],Vendedores[ID],Vendedores[Setor])</f>
        <v>AB</v>
      </c>
      <c r="D1458" s="7" t="s">
        <v>36</v>
      </c>
      <c r="E1458" t="str">
        <f>_xlfn.XLOOKUP(Vendas[[#This Row],[ID Item Vendido]],Agregado[ID],Agregado[Produto])</f>
        <v>Borracha vulcanizada em manta</v>
      </c>
      <c r="F1458" s="39">
        <v>44590</v>
      </c>
      <c r="G1458" s="7">
        <v>72</v>
      </c>
      <c r="H1458" s="3">
        <f>_xlfn.XLOOKUP(Vendas[[#This Row],[ID Item Vendido]],Agregado[ID],Agregado[Revenda])</f>
        <v>7.8</v>
      </c>
      <c r="I1458" s="3">
        <f>Vendas[[#This Row],[Valor Unitário]]*Vendas[[#This Row],[Qnt Vendida]]</f>
        <v>561.6</v>
      </c>
      <c r="J1458" s="3">
        <f>Vendas[[#This Row],[Valor da Venda]]-(_xlfn.XLOOKUP(Vendas[[#This Row],[ID Item Vendido]],Agregado[ID],Agregado[Custo])*Vendas[[#This Row],[Qnt Vendida]])</f>
        <v>129.60000000000002</v>
      </c>
      <c r="K1458" s="70">
        <f>Vendas[[#This Row],[Lucro da Venda]]/Vendas[[#This Row],[Valor da Venda]]</f>
        <v>0.23076923076923081</v>
      </c>
      <c r="L1458" s="3">
        <f>_xlfn.IFS(Vendas[[#This Row],[Margem de Lucro (%)]]&lt;15%,Vendas[[#This Row],[Valor da Venda]]*3%,Vendas[[#This Row],[Margem de Lucro (%)]]&lt;=20%,Vendas[[#This Row],[Valor da Venda]]*4.5%,TRUE,Vendas[[#This Row],[Valor da Venda]]*6%)</f>
        <v>33.695999999999998</v>
      </c>
      <c r="M1458"/>
    </row>
    <row r="1459" spans="1:13" x14ac:dyDescent="0.3">
      <c r="A1459" s="7">
        <v>400247</v>
      </c>
      <c r="B1459" t="str">
        <f>_xlfn.XLOOKUP(Vendas[[#This Row],[ID Vendedor]],Vendedores[ID],Vendedores[Nome])</f>
        <v>André</v>
      </c>
      <c r="C1459" s="7" t="str">
        <f>_xlfn.XLOOKUP(Vendas[[#This Row],[ID Vendedor]],Vendedores[ID],Vendedores[Setor])</f>
        <v>CM</v>
      </c>
      <c r="D1459" s="7" t="s">
        <v>22</v>
      </c>
      <c r="E1459" t="str">
        <f>_xlfn.XLOOKUP(Vendas[[#This Row],[ID Item Vendido]],Agregado[ID],Agregado[Produto])</f>
        <v>Painel MDP 2,75x1,83m</v>
      </c>
      <c r="F1459" s="39">
        <v>44591</v>
      </c>
      <c r="G1459" s="7">
        <v>12</v>
      </c>
      <c r="H1459" s="3">
        <f>_xlfn.XLOOKUP(Vendas[[#This Row],[ID Item Vendido]],Agregado[ID],Agregado[Revenda])</f>
        <v>119</v>
      </c>
      <c r="I1459" s="3">
        <f>Vendas[[#This Row],[Valor Unitário]]*Vendas[[#This Row],[Qnt Vendida]]</f>
        <v>1428</v>
      </c>
      <c r="J1459" s="3">
        <f>Vendas[[#This Row],[Valor da Venda]]-(_xlfn.XLOOKUP(Vendas[[#This Row],[ID Item Vendido]],Agregado[ID],Agregado[Custo])*Vendas[[#This Row],[Qnt Vendida]])</f>
        <v>288</v>
      </c>
      <c r="K1459" s="70">
        <f>Vendas[[#This Row],[Lucro da Venda]]/Vendas[[#This Row],[Valor da Venda]]</f>
        <v>0.20168067226890757</v>
      </c>
      <c r="L1459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459"/>
    </row>
    <row r="1460" spans="1:13" x14ac:dyDescent="0.3">
      <c r="A1460" s="7">
        <v>400248</v>
      </c>
      <c r="B1460" t="str">
        <f>_xlfn.XLOOKUP(Vendas[[#This Row],[ID Vendedor]],Vendedores[ID],Vendedores[Nome])</f>
        <v>Patrícia</v>
      </c>
      <c r="C1460" s="7" t="str">
        <f>_xlfn.XLOOKUP(Vendas[[#This Row],[ID Vendedor]],Vendedores[ID],Vendedores[Setor])</f>
        <v>CM</v>
      </c>
      <c r="D1460" s="7" t="s">
        <v>34</v>
      </c>
      <c r="E1460" t="str">
        <f>_xlfn.XLOOKUP(Vendas[[#This Row],[ID Item Vendido]],Agregado[ID],Agregado[Produto])</f>
        <v>Restos de madeira p/ MDP/OSB saco de 20kg</v>
      </c>
      <c r="F1460" s="39">
        <v>44591</v>
      </c>
      <c r="G1460" s="7">
        <v>9</v>
      </c>
      <c r="H1460" s="3">
        <f>_xlfn.XLOOKUP(Vendas[[#This Row],[ID Item Vendido]],Agregado[ID],Agregado[Revenda])</f>
        <v>13.8</v>
      </c>
      <c r="I1460" s="3">
        <f>Vendas[[#This Row],[Valor Unitário]]*Vendas[[#This Row],[Qnt Vendida]]</f>
        <v>124.2</v>
      </c>
      <c r="J1460" s="3">
        <f>Vendas[[#This Row],[Valor da Venda]]-(_xlfn.XLOOKUP(Vendas[[#This Row],[ID Item Vendido]],Agregado[ID],Agregado[Custo])*Vendas[[#This Row],[Qnt Vendida]])</f>
        <v>16.200000000000003</v>
      </c>
      <c r="K1460" s="70">
        <f>Vendas[[#This Row],[Lucro da Venda]]/Vendas[[#This Row],[Valor da Venda]]</f>
        <v>0.13043478260869568</v>
      </c>
      <c r="L1460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1460"/>
    </row>
    <row r="1461" spans="1:13" x14ac:dyDescent="0.3">
      <c r="A1461" s="7">
        <v>400249</v>
      </c>
      <c r="B1461" t="str">
        <f>_xlfn.XLOOKUP(Vendas[[#This Row],[ID Vendedor]],Vendedores[ID],Vendedores[Nome])</f>
        <v>Bruno</v>
      </c>
      <c r="C1461" s="7" t="str">
        <f>_xlfn.XLOOKUP(Vendas[[#This Row],[ID Vendedor]],Vendedores[ID],Vendedores[Setor])</f>
        <v>CM</v>
      </c>
      <c r="D1461" s="7" t="s">
        <v>43</v>
      </c>
      <c r="E1461" t="str">
        <f>_xlfn.XLOOKUP(Vendas[[#This Row],[ID Item Vendido]],Agregado[ID],Agregado[Produto])</f>
        <v>Madeira Bruta (Tora)</v>
      </c>
      <c r="F1461" s="39">
        <v>44592</v>
      </c>
      <c r="G1461" s="7">
        <v>12</v>
      </c>
      <c r="H1461" s="3">
        <f>_xlfn.XLOOKUP(Vendas[[#This Row],[ID Item Vendido]],Agregado[ID],Agregado[Revenda])</f>
        <v>212</v>
      </c>
      <c r="I1461" s="3">
        <f>Vendas[[#This Row],[Valor Unitário]]*Vendas[[#This Row],[Qnt Vendida]]</f>
        <v>2544</v>
      </c>
      <c r="J1461" s="3">
        <f>Vendas[[#This Row],[Valor da Venda]]-(_xlfn.XLOOKUP(Vendas[[#This Row],[ID Item Vendido]],Agregado[ID],Agregado[Custo])*Vendas[[#This Row],[Qnt Vendida]])</f>
        <v>384</v>
      </c>
      <c r="K1461" s="70">
        <f>Vendas[[#This Row],[Lucro da Venda]]/Vendas[[#This Row],[Valor da Venda]]</f>
        <v>0.15094339622641509</v>
      </c>
      <c r="L1461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1461"/>
    </row>
    <row r="1462" spans="1:13" x14ac:dyDescent="0.3">
      <c r="A1462" s="7">
        <v>400253</v>
      </c>
      <c r="B1462" t="str">
        <f>_xlfn.XLOOKUP(Vendas[[#This Row],[ID Vendedor]],Vendedores[ID],Vendedores[Nome])</f>
        <v>Gustavo</v>
      </c>
      <c r="C1462" s="7" t="str">
        <f>_xlfn.XLOOKUP(Vendas[[#This Row],[ID Vendedor]],Vendedores[ID],Vendedores[Setor])</f>
        <v>SC</v>
      </c>
      <c r="D1462" s="7" t="s">
        <v>42</v>
      </c>
      <c r="E1462" t="str">
        <f>_xlfn.XLOOKUP(Vendas[[#This Row],[ID Item Vendido]],Agregado[ID],Agregado[Produto])</f>
        <v>Container de ferro industrial</v>
      </c>
      <c r="F1462" s="39">
        <v>44592</v>
      </c>
      <c r="G1462" s="7">
        <v>1</v>
      </c>
      <c r="H1462" s="3">
        <f>_xlfn.XLOOKUP(Vendas[[#This Row],[ID Item Vendido]],Agregado[ID],Agregado[Revenda])</f>
        <v>830</v>
      </c>
      <c r="I1462" s="3">
        <f>Vendas[[#This Row],[Valor Unitário]]*Vendas[[#This Row],[Qnt Vendida]]</f>
        <v>830</v>
      </c>
      <c r="J1462" s="3">
        <f>Vendas[[#This Row],[Valor da Venda]]-(_xlfn.XLOOKUP(Vendas[[#This Row],[ID Item Vendido]],Agregado[ID],Agregado[Custo])*Vendas[[#This Row],[Qnt Vendida]])</f>
        <v>150</v>
      </c>
      <c r="K1462" s="70">
        <f>Vendas[[#This Row],[Lucro da Venda]]/Vendas[[#This Row],[Valor da Venda]]</f>
        <v>0.18072289156626506</v>
      </c>
      <c r="L146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462"/>
    </row>
    <row r="1463" spans="1:13" x14ac:dyDescent="0.3">
      <c r="A1463" s="7">
        <v>400244</v>
      </c>
      <c r="B1463" t="str">
        <f>_xlfn.XLOOKUP(Vendas[[#This Row],[ID Vendedor]],Vendedores[ID],Vendedores[Nome])</f>
        <v>Camila</v>
      </c>
      <c r="C1463" s="7" t="str">
        <f>_xlfn.XLOOKUP(Vendas[[#This Row],[ID Vendedor]],Vendedores[ID],Vendedores[Setor])</f>
        <v>AHD</v>
      </c>
      <c r="D1463" s="7" t="s">
        <v>30</v>
      </c>
      <c r="E1463" t="str">
        <f>_xlfn.XLOOKUP(Vendas[[#This Row],[ID Item Vendido]],Agregado[ID],Agregado[Produto])</f>
        <v>Estrutura metálica soldada</v>
      </c>
      <c r="F1463" s="39">
        <v>44593</v>
      </c>
      <c r="G1463" s="7">
        <v>6</v>
      </c>
      <c r="H1463" s="3">
        <f>_xlfn.XLOOKUP(Vendas[[#This Row],[ID Item Vendido]],Agregado[ID],Agregado[Revenda])</f>
        <v>400</v>
      </c>
      <c r="I1463" s="3">
        <f>Vendas[[#This Row],[Valor Unitário]]*Vendas[[#This Row],[Qnt Vendida]]</f>
        <v>2400</v>
      </c>
      <c r="J1463" s="3">
        <f>Vendas[[#This Row],[Valor da Venda]]-(_xlfn.XLOOKUP(Vendas[[#This Row],[ID Item Vendido]],Agregado[ID],Agregado[Custo])*Vendas[[#This Row],[Qnt Vendida]])</f>
        <v>480</v>
      </c>
      <c r="K1463" s="70">
        <f>Vendas[[#This Row],[Lucro da Venda]]/Vendas[[#This Row],[Valor da Venda]]</f>
        <v>0.2</v>
      </c>
      <c r="L1463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463"/>
    </row>
    <row r="1464" spans="1:13" x14ac:dyDescent="0.3">
      <c r="A1464" s="7">
        <v>400249</v>
      </c>
      <c r="B1464" t="str">
        <f>_xlfn.XLOOKUP(Vendas[[#This Row],[ID Vendedor]],Vendedores[ID],Vendedores[Nome])</f>
        <v>Bruno</v>
      </c>
      <c r="C1464" s="7" t="str">
        <f>_xlfn.XLOOKUP(Vendas[[#This Row],[ID Vendedor]],Vendedores[ID],Vendedores[Setor])</f>
        <v>CM</v>
      </c>
      <c r="D1464" s="7" t="s">
        <v>32</v>
      </c>
      <c r="E1464" t="str">
        <f>_xlfn.XLOOKUP(Vendas[[#This Row],[ID Item Vendido]],Agregado[ID],Agregado[Produto])</f>
        <v>Tábua tratada e cortada 3m</v>
      </c>
      <c r="F1464" s="39">
        <v>44593</v>
      </c>
      <c r="G1464" s="7">
        <v>6</v>
      </c>
      <c r="H1464" s="3">
        <f>_xlfn.XLOOKUP(Vendas[[#This Row],[ID Item Vendido]],Agregado[ID],Agregado[Revenda])</f>
        <v>39</v>
      </c>
      <c r="I1464" s="3">
        <f>Vendas[[#This Row],[Valor Unitário]]*Vendas[[#This Row],[Qnt Vendida]]</f>
        <v>234</v>
      </c>
      <c r="J1464" s="3">
        <f>Vendas[[#This Row],[Valor da Venda]]-(_xlfn.XLOOKUP(Vendas[[#This Row],[ID Item Vendido]],Agregado[ID],Agregado[Custo])*Vendas[[#This Row],[Qnt Vendida]])</f>
        <v>42</v>
      </c>
      <c r="K1464" s="70">
        <f>Vendas[[#This Row],[Lucro da Venda]]/Vendas[[#This Row],[Valor da Venda]]</f>
        <v>0.17948717948717949</v>
      </c>
      <c r="L1464" s="3">
        <f>_xlfn.IFS(Vendas[[#This Row],[Margem de Lucro (%)]]&lt;15%,Vendas[[#This Row],[Valor da Venda]]*3%,Vendas[[#This Row],[Margem de Lucro (%)]]&lt;=20%,Vendas[[#This Row],[Valor da Venda]]*4.5%,TRUE,Vendas[[#This Row],[Valor da Venda]]*6%)</f>
        <v>10.53</v>
      </c>
      <c r="M1464"/>
    </row>
    <row r="1465" spans="1:13" x14ac:dyDescent="0.3">
      <c r="A1465" s="7">
        <v>400255</v>
      </c>
      <c r="B1465" t="str">
        <f>_xlfn.XLOOKUP(Vendas[[#This Row],[ID Vendedor]],Vendedores[ID],Vendedores[Nome])</f>
        <v>Carlos</v>
      </c>
      <c r="C1465" s="7" t="str">
        <f>_xlfn.XLOOKUP(Vendas[[#This Row],[ID Vendedor]],Vendedores[ID],Vendedores[Setor])</f>
        <v>SC</v>
      </c>
      <c r="D1465" s="7" t="s">
        <v>42</v>
      </c>
      <c r="E1465" t="str">
        <f>_xlfn.XLOOKUP(Vendas[[#This Row],[ID Item Vendido]],Agregado[ID],Agregado[Produto])</f>
        <v>Container de ferro industrial</v>
      </c>
      <c r="F1465" s="39">
        <v>44595</v>
      </c>
      <c r="G1465" s="7">
        <v>2</v>
      </c>
      <c r="H1465" s="3">
        <f>_xlfn.XLOOKUP(Vendas[[#This Row],[ID Item Vendido]],Agregado[ID],Agregado[Revenda])</f>
        <v>830</v>
      </c>
      <c r="I1465" s="3">
        <f>Vendas[[#This Row],[Valor Unitário]]*Vendas[[#This Row],[Qnt Vendida]]</f>
        <v>1660</v>
      </c>
      <c r="J1465" s="3">
        <f>Vendas[[#This Row],[Valor da Venda]]-(_xlfn.XLOOKUP(Vendas[[#This Row],[ID Item Vendido]],Agregado[ID],Agregado[Custo])*Vendas[[#This Row],[Qnt Vendida]])</f>
        <v>300</v>
      </c>
      <c r="K1465" s="70">
        <f>Vendas[[#This Row],[Lucro da Venda]]/Vendas[[#This Row],[Valor da Venda]]</f>
        <v>0.18072289156626506</v>
      </c>
      <c r="L1465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465"/>
    </row>
    <row r="1466" spans="1:13" x14ac:dyDescent="0.3">
      <c r="A1466" s="7">
        <v>400255</v>
      </c>
      <c r="B1466" t="str">
        <f>_xlfn.XLOOKUP(Vendas[[#This Row],[ID Vendedor]],Vendedores[ID],Vendedores[Nome])</f>
        <v>Carlos</v>
      </c>
      <c r="C1466" s="7" t="str">
        <f>_xlfn.XLOOKUP(Vendas[[#This Row],[ID Vendedor]],Vendedores[ID],Vendedores[Setor])</f>
        <v>SC</v>
      </c>
      <c r="D1466" s="7" t="s">
        <v>14</v>
      </c>
      <c r="E1466" t="str">
        <f>_xlfn.XLOOKUP(Vendas[[#This Row],[ID Item Vendido]],Agregado[ID],Agregado[Produto])</f>
        <v>Barril de plástico 200L</v>
      </c>
      <c r="F1466" s="39">
        <v>44595</v>
      </c>
      <c r="G1466" s="7">
        <v>13</v>
      </c>
      <c r="H1466" s="3">
        <f>_xlfn.XLOOKUP(Vendas[[#This Row],[ID Item Vendido]],Agregado[ID],Agregado[Revenda])</f>
        <v>114</v>
      </c>
      <c r="I1466" s="3">
        <f>Vendas[[#This Row],[Valor Unitário]]*Vendas[[#This Row],[Qnt Vendida]]</f>
        <v>1482</v>
      </c>
      <c r="J1466" s="3">
        <f>Vendas[[#This Row],[Valor da Venda]]-(_xlfn.XLOOKUP(Vendas[[#This Row],[ID Item Vendido]],Agregado[ID],Agregado[Custo])*Vendas[[#This Row],[Qnt Vendida]])</f>
        <v>247</v>
      </c>
      <c r="K1466" s="70">
        <f>Vendas[[#This Row],[Lucro da Venda]]/Vendas[[#This Row],[Valor da Venda]]</f>
        <v>0.16666666666666666</v>
      </c>
      <c r="L1466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1466"/>
    </row>
    <row r="1467" spans="1:13" x14ac:dyDescent="0.3">
      <c r="A1467" s="7">
        <v>400255</v>
      </c>
      <c r="B1467" t="str">
        <f>_xlfn.XLOOKUP(Vendas[[#This Row],[ID Vendedor]],Vendedores[ID],Vendedores[Nome])</f>
        <v>Carlos</v>
      </c>
      <c r="C1467" s="7" t="str">
        <f>_xlfn.XLOOKUP(Vendas[[#This Row],[ID Vendedor]],Vendedores[ID],Vendedores[Setor])</f>
        <v>SC</v>
      </c>
      <c r="D1467" s="7" t="s">
        <v>48</v>
      </c>
      <c r="E1467" t="str">
        <f>_xlfn.XLOOKUP(Vendas[[#This Row],[ID Item Vendido]],Agregado[ID],Agregado[Produto])</f>
        <v>Tambor metálico 200L</v>
      </c>
      <c r="F1467" s="39">
        <v>44595</v>
      </c>
      <c r="G1467" s="7">
        <v>5</v>
      </c>
      <c r="H1467" s="3">
        <f>_xlfn.XLOOKUP(Vendas[[#This Row],[ID Item Vendido]],Agregado[ID],Agregado[Revenda])</f>
        <v>144</v>
      </c>
      <c r="I1467" s="3">
        <f>Vendas[[#This Row],[Valor Unitário]]*Vendas[[#This Row],[Qnt Vendida]]</f>
        <v>720</v>
      </c>
      <c r="J1467" s="3">
        <f>Vendas[[#This Row],[Valor da Venda]]-(_xlfn.XLOOKUP(Vendas[[#This Row],[ID Item Vendido]],Agregado[ID],Agregado[Custo])*Vendas[[#This Row],[Qnt Vendida]])</f>
        <v>120</v>
      </c>
      <c r="K1467" s="70">
        <f>Vendas[[#This Row],[Lucro da Venda]]/Vendas[[#This Row],[Valor da Venda]]</f>
        <v>0.16666666666666666</v>
      </c>
      <c r="L1467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1467"/>
    </row>
    <row r="1468" spans="1:13" x14ac:dyDescent="0.3">
      <c r="A1468" s="7">
        <v>400243</v>
      </c>
      <c r="B1468" t="str">
        <f>_xlfn.XLOOKUP(Vendas[[#This Row],[ID Vendedor]],Vendedores[ID],Vendedores[Nome])</f>
        <v>Marcelo</v>
      </c>
      <c r="C1468" s="7" t="str">
        <f>_xlfn.XLOOKUP(Vendas[[#This Row],[ID Vendedor]],Vendedores[ID],Vendedores[Setor])</f>
        <v>FM</v>
      </c>
      <c r="D1468" s="7" t="s">
        <v>47</v>
      </c>
      <c r="E1468" t="str">
        <f>_xlfn.XLOOKUP(Vendas[[#This Row],[ID Item Vendido]],Agregado[ID],Agregado[Produto])</f>
        <v>Fio de arame galvanizado rolo 50m</v>
      </c>
      <c r="F1468" s="39">
        <v>44596</v>
      </c>
      <c r="G1468" s="7">
        <v>39</v>
      </c>
      <c r="H1468" s="3">
        <f>_xlfn.XLOOKUP(Vendas[[#This Row],[ID Item Vendido]],Agregado[ID],Agregado[Revenda])</f>
        <v>21.2</v>
      </c>
      <c r="I1468" s="3">
        <f>Vendas[[#This Row],[Valor Unitário]]*Vendas[[#This Row],[Qnt Vendida]]</f>
        <v>826.8</v>
      </c>
      <c r="J1468" s="3">
        <f>Vendas[[#This Row],[Valor da Venda]]-(_xlfn.XLOOKUP(Vendas[[#This Row],[ID Item Vendido]],Agregado[ID],Agregado[Custo])*Vendas[[#This Row],[Qnt Vendida]])</f>
        <v>124.79999999999995</v>
      </c>
      <c r="K1468" s="70">
        <f>Vendas[[#This Row],[Lucro da Venda]]/Vendas[[#This Row],[Valor da Venda]]</f>
        <v>0.15094339622641506</v>
      </c>
      <c r="L1468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1468"/>
    </row>
    <row r="1469" spans="1:13" x14ac:dyDescent="0.3">
      <c r="A1469" s="7">
        <v>400255</v>
      </c>
      <c r="B1469" t="str">
        <f>_xlfn.XLOOKUP(Vendas[[#This Row],[ID Vendedor]],Vendedores[ID],Vendedores[Nome])</f>
        <v>Carlos</v>
      </c>
      <c r="C1469" s="7" t="str">
        <f>_xlfn.XLOOKUP(Vendas[[#This Row],[ID Vendedor]],Vendedores[ID],Vendedores[Setor])</f>
        <v>SC</v>
      </c>
      <c r="D1469" s="7" t="s">
        <v>48</v>
      </c>
      <c r="E1469" t="str">
        <f>_xlfn.XLOOKUP(Vendas[[#This Row],[ID Item Vendido]],Agregado[ID],Agregado[Produto])</f>
        <v>Tambor metálico 200L</v>
      </c>
      <c r="F1469" s="39">
        <v>44596</v>
      </c>
      <c r="G1469" s="7">
        <v>5</v>
      </c>
      <c r="H1469" s="3">
        <f>_xlfn.XLOOKUP(Vendas[[#This Row],[ID Item Vendido]],Agregado[ID],Agregado[Revenda])</f>
        <v>144</v>
      </c>
      <c r="I1469" s="3">
        <f>Vendas[[#This Row],[Valor Unitário]]*Vendas[[#This Row],[Qnt Vendida]]</f>
        <v>720</v>
      </c>
      <c r="J1469" s="3">
        <f>Vendas[[#This Row],[Valor da Venda]]-(_xlfn.XLOOKUP(Vendas[[#This Row],[ID Item Vendido]],Agregado[ID],Agregado[Custo])*Vendas[[#This Row],[Qnt Vendida]])</f>
        <v>120</v>
      </c>
      <c r="K1469" s="70">
        <f>Vendas[[#This Row],[Lucro da Venda]]/Vendas[[#This Row],[Valor da Venda]]</f>
        <v>0.16666666666666666</v>
      </c>
      <c r="L1469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1469"/>
    </row>
    <row r="1470" spans="1:13" x14ac:dyDescent="0.3">
      <c r="A1470" s="7">
        <v>400244</v>
      </c>
      <c r="B1470" t="str">
        <f>_xlfn.XLOOKUP(Vendas[[#This Row],[ID Vendedor]],Vendedores[ID],Vendedores[Nome])</f>
        <v>Camila</v>
      </c>
      <c r="C1470" s="7" t="str">
        <f>_xlfn.XLOOKUP(Vendas[[#This Row],[ID Vendedor]],Vendedores[ID],Vendedores[Setor])</f>
        <v>AHD</v>
      </c>
      <c r="D1470" s="7" t="s">
        <v>44</v>
      </c>
      <c r="E1470" t="str">
        <f>_xlfn.XLOOKUP(Vendas[[#This Row],[ID Item Vendido]],Agregado[ID],Agregado[Produto])</f>
        <v>Liga metálica especial</v>
      </c>
      <c r="F1470" s="39">
        <v>44596</v>
      </c>
      <c r="G1470" s="7">
        <v>12</v>
      </c>
      <c r="H1470" s="3">
        <f>_xlfn.XLOOKUP(Vendas[[#This Row],[ID Item Vendido]],Agregado[ID],Agregado[Revenda])</f>
        <v>32.5</v>
      </c>
      <c r="I1470" s="3">
        <f>Vendas[[#This Row],[Valor Unitário]]*Vendas[[#This Row],[Qnt Vendida]]</f>
        <v>390</v>
      </c>
      <c r="J1470" s="3">
        <f>Vendas[[#This Row],[Valor da Venda]]-(_xlfn.XLOOKUP(Vendas[[#This Row],[ID Item Vendido]],Agregado[ID],Agregado[Custo])*Vendas[[#This Row],[Qnt Vendida]])</f>
        <v>90</v>
      </c>
      <c r="K1470" s="70">
        <f>Vendas[[#This Row],[Lucro da Venda]]/Vendas[[#This Row],[Valor da Venda]]</f>
        <v>0.23076923076923078</v>
      </c>
      <c r="L1470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1470"/>
    </row>
    <row r="1471" spans="1:13" x14ac:dyDescent="0.3">
      <c r="A1471" s="7">
        <v>400241</v>
      </c>
      <c r="B1471" t="str">
        <f>_xlfn.XLOOKUP(Vendas[[#This Row],[ID Vendedor]],Vendedores[ID],Vendedores[Nome])</f>
        <v>Rodrigo</v>
      </c>
      <c r="C1471" s="7" t="str">
        <f>_xlfn.XLOOKUP(Vendas[[#This Row],[ID Vendedor]],Vendedores[ID],Vendedores[Setor])</f>
        <v>FM</v>
      </c>
      <c r="D1471" s="7" t="s">
        <v>20</v>
      </c>
      <c r="E1471" t="str">
        <f>_xlfn.XLOOKUP(Vendas[[#This Row],[ID Item Vendido]],Agregado[ID],Agregado[Produto])</f>
        <v>Barra de aço simples</v>
      </c>
      <c r="F1471" s="39">
        <v>44597</v>
      </c>
      <c r="G1471" s="7">
        <v>171</v>
      </c>
      <c r="H1471" s="3">
        <f>_xlfn.XLOOKUP(Vendas[[#This Row],[ID Item Vendido]],Agregado[ID],Agregado[Revenda])</f>
        <v>4.8</v>
      </c>
      <c r="I1471" s="3">
        <f>Vendas[[#This Row],[Valor Unitário]]*Vendas[[#This Row],[Qnt Vendida]]</f>
        <v>820.8</v>
      </c>
      <c r="J1471" s="3">
        <f>Vendas[[#This Row],[Valor da Venda]]-(_xlfn.XLOOKUP(Vendas[[#This Row],[ID Item Vendido]],Agregado[ID],Agregado[Custo])*Vendas[[#This Row],[Qnt Vendida]])</f>
        <v>102.59999999999991</v>
      </c>
      <c r="K1471" s="70">
        <f>Vendas[[#This Row],[Lucro da Venda]]/Vendas[[#This Row],[Valor da Venda]]</f>
        <v>0.1249999999999999</v>
      </c>
      <c r="L1471" s="3">
        <f>_xlfn.IFS(Vendas[[#This Row],[Margem de Lucro (%)]]&lt;15%,Vendas[[#This Row],[Valor da Venda]]*3%,Vendas[[#This Row],[Margem de Lucro (%)]]&lt;=20%,Vendas[[#This Row],[Valor da Venda]]*4.5%,TRUE,Vendas[[#This Row],[Valor da Venda]]*6%)</f>
        <v>24.623999999999999</v>
      </c>
      <c r="M1471"/>
    </row>
    <row r="1472" spans="1:13" x14ac:dyDescent="0.3">
      <c r="A1472" s="7">
        <v>400245</v>
      </c>
      <c r="B1472" t="str">
        <f>_xlfn.XLOOKUP(Vendas[[#This Row],[ID Vendedor]],Vendedores[ID],Vendedores[Nome])</f>
        <v>Thiago</v>
      </c>
      <c r="C1472" s="7" t="str">
        <f>_xlfn.XLOOKUP(Vendas[[#This Row],[ID Vendedor]],Vendedores[ID],Vendedores[Setor])</f>
        <v>AHD</v>
      </c>
      <c r="D1472" s="7" t="s">
        <v>44</v>
      </c>
      <c r="E1472" t="str">
        <f>_xlfn.XLOOKUP(Vendas[[#This Row],[ID Item Vendido]],Agregado[ID],Agregado[Produto])</f>
        <v>Liga metálica especial</v>
      </c>
      <c r="F1472" s="39">
        <v>44597</v>
      </c>
      <c r="G1472" s="7">
        <v>10</v>
      </c>
      <c r="H1472" s="3">
        <f>_xlfn.XLOOKUP(Vendas[[#This Row],[ID Item Vendido]],Agregado[ID],Agregado[Revenda])</f>
        <v>32.5</v>
      </c>
      <c r="I1472" s="3">
        <f>Vendas[[#This Row],[Valor Unitário]]*Vendas[[#This Row],[Qnt Vendida]]</f>
        <v>325</v>
      </c>
      <c r="J1472" s="3">
        <f>Vendas[[#This Row],[Valor da Venda]]-(_xlfn.XLOOKUP(Vendas[[#This Row],[ID Item Vendido]],Agregado[ID],Agregado[Custo])*Vendas[[#This Row],[Qnt Vendida]])</f>
        <v>75</v>
      </c>
      <c r="K1472" s="70">
        <f>Vendas[[#This Row],[Lucro da Venda]]/Vendas[[#This Row],[Valor da Venda]]</f>
        <v>0.23076923076923078</v>
      </c>
      <c r="L1472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1472"/>
    </row>
    <row r="1473" spans="1:13" x14ac:dyDescent="0.3">
      <c r="A1473" s="7">
        <v>400251</v>
      </c>
      <c r="B1473" t="str">
        <f>_xlfn.XLOOKUP(Vendas[[#This Row],[ID Vendedor]],Vendedores[ID],Vendedores[Nome])</f>
        <v>Diego</v>
      </c>
      <c r="C1473" s="7" t="str">
        <f>_xlfn.XLOOKUP(Vendas[[#This Row],[ID Vendedor]],Vendedores[ID],Vendedores[Setor])</f>
        <v>AB</v>
      </c>
      <c r="D1473" s="7" t="s">
        <v>36</v>
      </c>
      <c r="E1473" t="str">
        <f>_xlfn.XLOOKUP(Vendas[[#This Row],[ID Item Vendido]],Agregado[ID],Agregado[Produto])</f>
        <v>Borracha vulcanizada em manta</v>
      </c>
      <c r="F1473" s="39">
        <v>44599</v>
      </c>
      <c r="G1473" s="7">
        <v>14</v>
      </c>
      <c r="H1473" s="3">
        <f>_xlfn.XLOOKUP(Vendas[[#This Row],[ID Item Vendido]],Agregado[ID],Agregado[Revenda])</f>
        <v>7.8</v>
      </c>
      <c r="I1473" s="3">
        <f>Vendas[[#This Row],[Valor Unitário]]*Vendas[[#This Row],[Qnt Vendida]]</f>
        <v>109.2</v>
      </c>
      <c r="J1473" s="3">
        <f>Vendas[[#This Row],[Valor da Venda]]-(_xlfn.XLOOKUP(Vendas[[#This Row],[ID Item Vendido]],Agregado[ID],Agregado[Custo])*Vendas[[#This Row],[Qnt Vendida]])</f>
        <v>25.200000000000003</v>
      </c>
      <c r="K1473" s="70">
        <f>Vendas[[#This Row],[Lucro da Venda]]/Vendas[[#This Row],[Valor da Venda]]</f>
        <v>0.23076923076923078</v>
      </c>
      <c r="L1473" s="3">
        <f>_xlfn.IFS(Vendas[[#This Row],[Margem de Lucro (%)]]&lt;15%,Vendas[[#This Row],[Valor da Venda]]*3%,Vendas[[#This Row],[Margem de Lucro (%)]]&lt;=20%,Vendas[[#This Row],[Valor da Venda]]*4.5%,TRUE,Vendas[[#This Row],[Valor da Venda]]*6%)</f>
        <v>6.5519999999999996</v>
      </c>
      <c r="M1473"/>
    </row>
    <row r="1474" spans="1:13" x14ac:dyDescent="0.3">
      <c r="A1474" s="7">
        <v>400244</v>
      </c>
      <c r="B1474" t="str">
        <f>_xlfn.XLOOKUP(Vendas[[#This Row],[ID Vendedor]],Vendedores[ID],Vendedores[Nome])</f>
        <v>Camila</v>
      </c>
      <c r="C1474" s="7" t="str">
        <f>_xlfn.XLOOKUP(Vendas[[#This Row],[ID Vendedor]],Vendedores[ID],Vendedores[Setor])</f>
        <v>AHD</v>
      </c>
      <c r="D1474" s="7" t="s">
        <v>18</v>
      </c>
      <c r="E1474" t="str">
        <f>_xlfn.XLOOKUP(Vendas[[#This Row],[ID Item Vendido]],Agregado[ID],Agregado[Produto])</f>
        <v>Peça forjada sob encomenda</v>
      </c>
      <c r="F1474" s="39">
        <v>44600</v>
      </c>
      <c r="G1474" s="7">
        <v>4</v>
      </c>
      <c r="H1474" s="3">
        <f>_xlfn.XLOOKUP(Vendas[[#This Row],[ID Item Vendido]],Agregado[ID],Agregado[Revenda])</f>
        <v>264.60000000000002</v>
      </c>
      <c r="I1474" s="3">
        <f>Vendas[[#This Row],[Valor Unitário]]*Vendas[[#This Row],[Qnt Vendida]]</f>
        <v>1058.4000000000001</v>
      </c>
      <c r="J1474" s="3">
        <f>Vendas[[#This Row],[Valor da Venda]]-(_xlfn.XLOOKUP(Vendas[[#This Row],[ID Item Vendido]],Agregado[ID],Agregado[Custo])*Vendas[[#This Row],[Qnt Vendida]])</f>
        <v>58.400000000000091</v>
      </c>
      <c r="K1474" s="70">
        <f>Vendas[[#This Row],[Lucro da Venda]]/Vendas[[#This Row],[Valor da Venda]]</f>
        <v>5.5177626606198113E-2</v>
      </c>
      <c r="L1474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1474"/>
    </row>
    <row r="1475" spans="1:13" x14ac:dyDescent="0.3">
      <c r="A1475" s="7">
        <v>400247</v>
      </c>
      <c r="B1475" t="str">
        <f>_xlfn.XLOOKUP(Vendas[[#This Row],[ID Vendedor]],Vendedores[ID],Vendedores[Nome])</f>
        <v>André</v>
      </c>
      <c r="C1475" s="7" t="str">
        <f>_xlfn.XLOOKUP(Vendas[[#This Row],[ID Vendedor]],Vendedores[ID],Vendedores[Setor])</f>
        <v>CM</v>
      </c>
      <c r="D1475" s="7" t="s">
        <v>22</v>
      </c>
      <c r="E1475" t="str">
        <f>_xlfn.XLOOKUP(Vendas[[#This Row],[ID Item Vendido]],Agregado[ID],Agregado[Produto])</f>
        <v>Painel MDP 2,75x1,83m</v>
      </c>
      <c r="F1475" s="39">
        <v>44600</v>
      </c>
      <c r="G1475" s="7">
        <v>12</v>
      </c>
      <c r="H1475" s="3">
        <f>_xlfn.XLOOKUP(Vendas[[#This Row],[ID Item Vendido]],Agregado[ID],Agregado[Revenda])</f>
        <v>119</v>
      </c>
      <c r="I1475" s="3">
        <f>Vendas[[#This Row],[Valor Unitário]]*Vendas[[#This Row],[Qnt Vendida]]</f>
        <v>1428</v>
      </c>
      <c r="J1475" s="3">
        <f>Vendas[[#This Row],[Valor da Venda]]-(_xlfn.XLOOKUP(Vendas[[#This Row],[ID Item Vendido]],Agregado[ID],Agregado[Custo])*Vendas[[#This Row],[Qnt Vendida]])</f>
        <v>288</v>
      </c>
      <c r="K1475" s="70">
        <f>Vendas[[#This Row],[Lucro da Venda]]/Vendas[[#This Row],[Valor da Venda]]</f>
        <v>0.20168067226890757</v>
      </c>
      <c r="L1475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475"/>
    </row>
    <row r="1476" spans="1:13" x14ac:dyDescent="0.3">
      <c r="A1476" s="7">
        <v>400250</v>
      </c>
      <c r="B1476" t="str">
        <f>_xlfn.XLOOKUP(Vendas[[#This Row],[ID Vendedor]],Vendedores[ID],Vendedores[Nome])</f>
        <v>Larissa</v>
      </c>
      <c r="C1476" s="7" t="str">
        <f>_xlfn.XLOOKUP(Vendas[[#This Row],[ID Vendedor]],Vendedores[ID],Vendedores[Setor])</f>
        <v>AB</v>
      </c>
      <c r="D1476" s="7" t="s">
        <v>36</v>
      </c>
      <c r="E1476" t="str">
        <f>_xlfn.XLOOKUP(Vendas[[#This Row],[ID Item Vendido]],Agregado[ID],Agregado[Produto])</f>
        <v>Borracha vulcanizada em manta</v>
      </c>
      <c r="F1476" s="39">
        <v>44600</v>
      </c>
      <c r="G1476" s="7">
        <v>78</v>
      </c>
      <c r="H1476" s="3">
        <f>_xlfn.XLOOKUP(Vendas[[#This Row],[ID Item Vendido]],Agregado[ID],Agregado[Revenda])</f>
        <v>7.8</v>
      </c>
      <c r="I1476" s="3">
        <f>Vendas[[#This Row],[Valor Unitário]]*Vendas[[#This Row],[Qnt Vendida]]</f>
        <v>608.4</v>
      </c>
      <c r="J1476" s="3">
        <f>Vendas[[#This Row],[Valor da Venda]]-(_xlfn.XLOOKUP(Vendas[[#This Row],[ID Item Vendido]],Agregado[ID],Agregado[Custo])*Vendas[[#This Row],[Qnt Vendida]])</f>
        <v>140.39999999999998</v>
      </c>
      <c r="K1476" s="70">
        <f>Vendas[[#This Row],[Lucro da Venda]]/Vendas[[#This Row],[Valor da Venda]]</f>
        <v>0.23076923076923075</v>
      </c>
      <c r="L1476" s="3">
        <f>_xlfn.IFS(Vendas[[#This Row],[Margem de Lucro (%)]]&lt;15%,Vendas[[#This Row],[Valor da Venda]]*3%,Vendas[[#This Row],[Margem de Lucro (%)]]&lt;=20%,Vendas[[#This Row],[Valor da Venda]]*4.5%,TRUE,Vendas[[#This Row],[Valor da Venda]]*6%)</f>
        <v>36.503999999999998</v>
      </c>
      <c r="M1476"/>
    </row>
    <row r="1477" spans="1:13" x14ac:dyDescent="0.3">
      <c r="A1477" s="7">
        <v>400242</v>
      </c>
      <c r="B1477" t="str">
        <f>_xlfn.XLOOKUP(Vendas[[#This Row],[ID Vendedor]],Vendedores[ID],Vendedores[Nome])</f>
        <v>Fernanda</v>
      </c>
      <c r="C1477" s="7" t="str">
        <f>_xlfn.XLOOKUP(Vendas[[#This Row],[ID Vendedor]],Vendedores[ID],Vendedores[Setor])</f>
        <v>FM</v>
      </c>
      <c r="D1477" s="7" t="s">
        <v>27</v>
      </c>
      <c r="E1477" t="str">
        <f>_xlfn.XLOOKUP(Vendas[[#This Row],[ID Item Vendido]],Agregado[ID],Agregado[Produto])</f>
        <v>Chapa de metal lisa 1x2m</v>
      </c>
      <c r="F1477" s="39">
        <v>44600</v>
      </c>
      <c r="G1477" s="7">
        <v>5</v>
      </c>
      <c r="H1477" s="3">
        <f>_xlfn.XLOOKUP(Vendas[[#This Row],[ID Item Vendido]],Agregado[ID],Agregado[Revenda])</f>
        <v>52</v>
      </c>
      <c r="I1477" s="3">
        <f>Vendas[[#This Row],[Valor Unitário]]*Vendas[[#This Row],[Qnt Vendida]]</f>
        <v>260</v>
      </c>
      <c r="J1477" s="3">
        <f>Vendas[[#This Row],[Valor da Venda]]-(_xlfn.XLOOKUP(Vendas[[#This Row],[ID Item Vendido]],Agregado[ID],Agregado[Custo])*Vendas[[#This Row],[Qnt Vendida]])</f>
        <v>35</v>
      </c>
      <c r="K1477" s="70">
        <f>Vendas[[#This Row],[Lucro da Venda]]/Vendas[[#This Row],[Valor da Venda]]</f>
        <v>0.13461538461538461</v>
      </c>
      <c r="L1477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1477"/>
    </row>
    <row r="1478" spans="1:13" x14ac:dyDescent="0.3">
      <c r="A1478" s="7">
        <v>400253</v>
      </c>
      <c r="B1478" t="str">
        <f>_xlfn.XLOOKUP(Vendas[[#This Row],[ID Vendedor]],Vendedores[ID],Vendedores[Nome])</f>
        <v>Gustavo</v>
      </c>
      <c r="C1478" s="7" t="str">
        <f>_xlfn.XLOOKUP(Vendas[[#This Row],[ID Vendedor]],Vendedores[ID],Vendedores[Setor])</f>
        <v>SC</v>
      </c>
      <c r="D1478" s="7" t="s">
        <v>14</v>
      </c>
      <c r="E1478" t="str">
        <f>_xlfn.XLOOKUP(Vendas[[#This Row],[ID Item Vendido]],Agregado[ID],Agregado[Produto])</f>
        <v>Barril de plástico 200L</v>
      </c>
      <c r="F1478" s="39">
        <v>44601</v>
      </c>
      <c r="G1478" s="7">
        <v>13</v>
      </c>
      <c r="H1478" s="3">
        <f>_xlfn.XLOOKUP(Vendas[[#This Row],[ID Item Vendido]],Agregado[ID],Agregado[Revenda])</f>
        <v>114</v>
      </c>
      <c r="I1478" s="3">
        <f>Vendas[[#This Row],[Valor Unitário]]*Vendas[[#This Row],[Qnt Vendida]]</f>
        <v>1482</v>
      </c>
      <c r="J1478" s="3">
        <f>Vendas[[#This Row],[Valor da Venda]]-(_xlfn.XLOOKUP(Vendas[[#This Row],[ID Item Vendido]],Agregado[ID],Agregado[Custo])*Vendas[[#This Row],[Qnt Vendida]])</f>
        <v>247</v>
      </c>
      <c r="K1478" s="70">
        <f>Vendas[[#This Row],[Lucro da Venda]]/Vendas[[#This Row],[Valor da Venda]]</f>
        <v>0.16666666666666666</v>
      </c>
      <c r="L1478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1478"/>
    </row>
    <row r="1479" spans="1:13" x14ac:dyDescent="0.3">
      <c r="A1479" s="7">
        <v>400248</v>
      </c>
      <c r="B1479" t="str">
        <f>_xlfn.XLOOKUP(Vendas[[#This Row],[ID Vendedor]],Vendedores[ID],Vendedores[Nome])</f>
        <v>Patrícia</v>
      </c>
      <c r="C1479" s="7" t="str">
        <f>_xlfn.XLOOKUP(Vendas[[#This Row],[ID Vendedor]],Vendedores[ID],Vendedores[Setor])</f>
        <v>CM</v>
      </c>
      <c r="D1479" s="7" t="s">
        <v>22</v>
      </c>
      <c r="E1479" t="str">
        <f>_xlfn.XLOOKUP(Vendas[[#This Row],[ID Item Vendido]],Agregado[ID],Agregado[Produto])</f>
        <v>Painel MDP 2,75x1,83m</v>
      </c>
      <c r="F1479" s="39">
        <v>44601</v>
      </c>
      <c r="G1479" s="7">
        <v>2</v>
      </c>
      <c r="H1479" s="3">
        <f>_xlfn.XLOOKUP(Vendas[[#This Row],[ID Item Vendido]],Agregado[ID],Agregado[Revenda])</f>
        <v>119</v>
      </c>
      <c r="I1479" s="3">
        <f>Vendas[[#This Row],[Valor Unitário]]*Vendas[[#This Row],[Qnt Vendida]]</f>
        <v>238</v>
      </c>
      <c r="J1479" s="3">
        <f>Vendas[[#This Row],[Valor da Venda]]-(_xlfn.XLOOKUP(Vendas[[#This Row],[ID Item Vendido]],Agregado[ID],Agregado[Custo])*Vendas[[#This Row],[Qnt Vendida]])</f>
        <v>48</v>
      </c>
      <c r="K1479" s="70">
        <f>Vendas[[#This Row],[Lucro da Venda]]/Vendas[[#This Row],[Valor da Venda]]</f>
        <v>0.20168067226890757</v>
      </c>
      <c r="L1479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1479"/>
    </row>
    <row r="1480" spans="1:13" x14ac:dyDescent="0.3">
      <c r="A1480" s="7">
        <v>400244</v>
      </c>
      <c r="B1480" t="str">
        <f>_xlfn.XLOOKUP(Vendas[[#This Row],[ID Vendedor]],Vendedores[ID],Vendedores[Nome])</f>
        <v>Camila</v>
      </c>
      <c r="C1480" s="7" t="str">
        <f>_xlfn.XLOOKUP(Vendas[[#This Row],[ID Vendedor]],Vendedores[ID],Vendedores[Setor])</f>
        <v>AHD</v>
      </c>
      <c r="D1480" s="7" t="s">
        <v>9</v>
      </c>
      <c r="E1480" t="str">
        <f>_xlfn.XLOOKUP(Vendas[[#This Row],[ID Item Vendido]],Agregado[ID],Agregado[Produto])</f>
        <v>Barra de aço simples</v>
      </c>
      <c r="F1480" s="39">
        <v>44602</v>
      </c>
      <c r="G1480" s="7">
        <v>123</v>
      </c>
      <c r="H1480" s="3">
        <f>_xlfn.XLOOKUP(Vendas[[#This Row],[ID Item Vendido]],Agregado[ID],Agregado[Revenda])</f>
        <v>6.7</v>
      </c>
      <c r="I1480" s="3">
        <f>Vendas[[#This Row],[Valor Unitário]]*Vendas[[#This Row],[Qnt Vendida]]</f>
        <v>824.1</v>
      </c>
      <c r="J1480" s="3">
        <f>Vendas[[#This Row],[Valor da Venda]]-(_xlfn.XLOOKUP(Vendas[[#This Row],[ID Item Vendido]],Agregado[ID],Agregado[Custo])*Vendas[[#This Row],[Qnt Vendida]])</f>
        <v>110.70000000000005</v>
      </c>
      <c r="K1480" s="70">
        <f>Vendas[[#This Row],[Lucro da Venda]]/Vendas[[#This Row],[Valor da Venda]]</f>
        <v>0.13432835820895528</v>
      </c>
      <c r="L1480" s="3">
        <f>_xlfn.IFS(Vendas[[#This Row],[Margem de Lucro (%)]]&lt;15%,Vendas[[#This Row],[Valor da Venda]]*3%,Vendas[[#This Row],[Margem de Lucro (%)]]&lt;=20%,Vendas[[#This Row],[Valor da Venda]]*4.5%,TRUE,Vendas[[#This Row],[Valor da Venda]]*6%)</f>
        <v>24.722999999999999</v>
      </c>
      <c r="M1480"/>
    </row>
    <row r="1481" spans="1:13" x14ac:dyDescent="0.3">
      <c r="A1481" s="7">
        <v>400244</v>
      </c>
      <c r="B1481" t="str">
        <f>_xlfn.XLOOKUP(Vendas[[#This Row],[ID Vendedor]],Vendedores[ID],Vendedores[Nome])</f>
        <v>Camila</v>
      </c>
      <c r="C1481" s="7" t="str">
        <f>_xlfn.XLOOKUP(Vendas[[#This Row],[ID Vendedor]],Vendedores[ID],Vendedores[Setor])</f>
        <v>AHD</v>
      </c>
      <c r="D1481" s="7" t="s">
        <v>44</v>
      </c>
      <c r="E1481" t="str">
        <f>_xlfn.XLOOKUP(Vendas[[#This Row],[ID Item Vendido]],Agregado[ID],Agregado[Produto])</f>
        <v>Liga metálica especial</v>
      </c>
      <c r="F1481" s="39">
        <v>44602</v>
      </c>
      <c r="G1481" s="7">
        <v>15</v>
      </c>
      <c r="H1481" s="3">
        <f>_xlfn.XLOOKUP(Vendas[[#This Row],[ID Item Vendido]],Agregado[ID],Agregado[Revenda])</f>
        <v>32.5</v>
      </c>
      <c r="I1481" s="3">
        <f>Vendas[[#This Row],[Valor Unitário]]*Vendas[[#This Row],[Qnt Vendida]]</f>
        <v>487.5</v>
      </c>
      <c r="J1481" s="3">
        <f>Vendas[[#This Row],[Valor da Venda]]-(_xlfn.XLOOKUP(Vendas[[#This Row],[ID Item Vendido]],Agregado[ID],Agregado[Custo])*Vendas[[#This Row],[Qnt Vendida]])</f>
        <v>112.5</v>
      </c>
      <c r="K1481" s="70">
        <f>Vendas[[#This Row],[Lucro da Venda]]/Vendas[[#This Row],[Valor da Venda]]</f>
        <v>0.23076923076923078</v>
      </c>
      <c r="L1481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1481"/>
    </row>
    <row r="1482" spans="1:13" x14ac:dyDescent="0.3">
      <c r="A1482" s="7">
        <v>400245</v>
      </c>
      <c r="B1482" t="str">
        <f>_xlfn.XLOOKUP(Vendas[[#This Row],[ID Vendedor]],Vendedores[ID],Vendedores[Nome])</f>
        <v>Thiago</v>
      </c>
      <c r="C1482" s="7" t="str">
        <f>_xlfn.XLOOKUP(Vendas[[#This Row],[ID Vendedor]],Vendedores[ID],Vendedores[Setor])</f>
        <v>AHD</v>
      </c>
      <c r="D1482" s="7" t="s">
        <v>28</v>
      </c>
      <c r="E1482" t="str">
        <f>_xlfn.XLOOKUP(Vendas[[#This Row],[ID Item Vendido]],Agregado[ID],Agregado[Produto])</f>
        <v>Peça usinada CNC</v>
      </c>
      <c r="F1482" s="39">
        <v>44603</v>
      </c>
      <c r="G1482" s="7">
        <v>14</v>
      </c>
      <c r="H1482" s="3">
        <f>_xlfn.XLOOKUP(Vendas[[#This Row],[ID Item Vendido]],Agregado[ID],Agregado[Revenda])</f>
        <v>192</v>
      </c>
      <c r="I1482" s="3">
        <f>Vendas[[#This Row],[Valor Unitário]]*Vendas[[#This Row],[Qnt Vendida]]</f>
        <v>2688</v>
      </c>
      <c r="J1482" s="3">
        <f>Vendas[[#This Row],[Valor da Venda]]-(_xlfn.XLOOKUP(Vendas[[#This Row],[ID Item Vendido]],Agregado[ID],Agregado[Custo])*Vendas[[#This Row],[Qnt Vendida]])</f>
        <v>588</v>
      </c>
      <c r="K1482" s="70">
        <f>Vendas[[#This Row],[Lucro da Venda]]/Vendas[[#This Row],[Valor da Venda]]</f>
        <v>0.21875</v>
      </c>
      <c r="L1482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1482"/>
    </row>
    <row r="1483" spans="1:13" x14ac:dyDescent="0.3">
      <c r="A1483" s="7">
        <v>400250</v>
      </c>
      <c r="B1483" t="str">
        <f>_xlfn.XLOOKUP(Vendas[[#This Row],[ID Vendedor]],Vendedores[ID],Vendedores[Nome])</f>
        <v>Larissa</v>
      </c>
      <c r="C1483" s="7" t="str">
        <f>_xlfn.XLOOKUP(Vendas[[#This Row],[ID Vendedor]],Vendedores[ID],Vendedores[Setor])</f>
        <v>AB</v>
      </c>
      <c r="D1483" s="7" t="s">
        <v>37</v>
      </c>
      <c r="E1483" t="str">
        <f>_xlfn.XLOOKUP(Vendas[[#This Row],[ID Item Vendido]],Agregado[ID],Agregado[Produto])</f>
        <v>Composto de borracha para vedação rolo 10m</v>
      </c>
      <c r="F1483" s="39">
        <v>44603</v>
      </c>
      <c r="G1483" s="7">
        <v>4</v>
      </c>
      <c r="H1483" s="3">
        <f>_xlfn.XLOOKUP(Vendas[[#This Row],[ID Item Vendido]],Agregado[ID],Agregado[Revenda])</f>
        <v>51.2</v>
      </c>
      <c r="I1483" s="3">
        <f>Vendas[[#This Row],[Valor Unitário]]*Vendas[[#This Row],[Qnt Vendida]]</f>
        <v>204.8</v>
      </c>
      <c r="J1483" s="3">
        <f>Vendas[[#This Row],[Valor da Venda]]-(_xlfn.XLOOKUP(Vendas[[#This Row],[ID Item Vendido]],Agregado[ID],Agregado[Custo])*Vendas[[#This Row],[Qnt Vendida]])</f>
        <v>44.800000000000011</v>
      </c>
      <c r="K1483" s="70">
        <f>Vendas[[#This Row],[Lucro da Venda]]/Vendas[[#This Row],[Valor da Venda]]</f>
        <v>0.21875000000000006</v>
      </c>
      <c r="L1483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1483"/>
    </row>
    <row r="1484" spans="1:13" x14ac:dyDescent="0.3">
      <c r="A1484" s="7">
        <v>400242</v>
      </c>
      <c r="B1484" t="str">
        <f>_xlfn.XLOOKUP(Vendas[[#This Row],[ID Vendedor]],Vendedores[ID],Vendedores[Nome])</f>
        <v>Fernanda</v>
      </c>
      <c r="C1484" s="7" t="str">
        <f>_xlfn.XLOOKUP(Vendas[[#This Row],[ID Vendedor]],Vendedores[ID],Vendedores[Setor])</f>
        <v>FM</v>
      </c>
      <c r="D1484" s="7" t="s">
        <v>20</v>
      </c>
      <c r="E1484" t="str">
        <f>_xlfn.XLOOKUP(Vendas[[#This Row],[ID Item Vendido]],Agregado[ID],Agregado[Produto])</f>
        <v>Barra de aço simples</v>
      </c>
      <c r="F1484" s="39">
        <v>44604</v>
      </c>
      <c r="G1484" s="7">
        <v>136</v>
      </c>
      <c r="H1484" s="3">
        <f>_xlfn.XLOOKUP(Vendas[[#This Row],[ID Item Vendido]],Agregado[ID],Agregado[Revenda])</f>
        <v>4.8</v>
      </c>
      <c r="I1484" s="3">
        <f>Vendas[[#This Row],[Valor Unitário]]*Vendas[[#This Row],[Qnt Vendida]]</f>
        <v>652.79999999999995</v>
      </c>
      <c r="J1484" s="3">
        <f>Vendas[[#This Row],[Valor da Venda]]-(_xlfn.XLOOKUP(Vendas[[#This Row],[ID Item Vendido]],Agregado[ID],Agregado[Custo])*Vendas[[#This Row],[Qnt Vendida]])</f>
        <v>81.599999999999909</v>
      </c>
      <c r="K1484" s="70">
        <f>Vendas[[#This Row],[Lucro da Venda]]/Vendas[[#This Row],[Valor da Venda]]</f>
        <v>0.12499999999999988</v>
      </c>
      <c r="L1484" s="3">
        <f>_xlfn.IFS(Vendas[[#This Row],[Margem de Lucro (%)]]&lt;15%,Vendas[[#This Row],[Valor da Venda]]*3%,Vendas[[#This Row],[Margem de Lucro (%)]]&lt;=20%,Vendas[[#This Row],[Valor da Venda]]*4.5%,TRUE,Vendas[[#This Row],[Valor da Venda]]*6%)</f>
        <v>19.584</v>
      </c>
      <c r="M1484"/>
    </row>
    <row r="1485" spans="1:13" x14ac:dyDescent="0.3">
      <c r="A1485" s="7">
        <v>400247</v>
      </c>
      <c r="B1485" t="str">
        <f>_xlfn.XLOOKUP(Vendas[[#This Row],[ID Vendedor]],Vendedores[ID],Vendedores[Nome])</f>
        <v>André</v>
      </c>
      <c r="C1485" s="7" t="str">
        <f>_xlfn.XLOOKUP(Vendas[[#This Row],[ID Vendedor]],Vendedores[ID],Vendedores[Setor])</f>
        <v>CM</v>
      </c>
      <c r="D1485" s="7" t="s">
        <v>45</v>
      </c>
      <c r="E1485" t="str">
        <f>_xlfn.XLOOKUP(Vendas[[#This Row],[ID Item Vendido]],Agregado[ID],Agregado[Produto])</f>
        <v>Viga de madeira tratada 4m</v>
      </c>
      <c r="F1485" s="39">
        <v>44605</v>
      </c>
      <c r="G1485" s="7">
        <v>10</v>
      </c>
      <c r="H1485" s="3">
        <f>_xlfn.XLOOKUP(Vendas[[#This Row],[ID Item Vendido]],Agregado[ID],Agregado[Revenda])</f>
        <v>66</v>
      </c>
      <c r="I1485" s="3">
        <f>Vendas[[#This Row],[Valor Unitário]]*Vendas[[#This Row],[Qnt Vendida]]</f>
        <v>660</v>
      </c>
      <c r="J1485" s="3">
        <f>Vendas[[#This Row],[Valor da Venda]]-(_xlfn.XLOOKUP(Vendas[[#This Row],[ID Item Vendido]],Agregado[ID],Agregado[Custo])*Vendas[[#This Row],[Qnt Vendida]])</f>
        <v>110</v>
      </c>
      <c r="K1485" s="70">
        <f>Vendas[[#This Row],[Lucro da Venda]]/Vendas[[#This Row],[Valor da Venda]]</f>
        <v>0.16666666666666666</v>
      </c>
      <c r="L1485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1485"/>
    </row>
    <row r="1486" spans="1:13" x14ac:dyDescent="0.3">
      <c r="A1486" s="7">
        <v>400242</v>
      </c>
      <c r="B1486" t="str">
        <f>_xlfn.XLOOKUP(Vendas[[#This Row],[ID Vendedor]],Vendedores[ID],Vendedores[Nome])</f>
        <v>Fernanda</v>
      </c>
      <c r="C1486" s="7" t="str">
        <f>_xlfn.XLOOKUP(Vendas[[#This Row],[ID Vendedor]],Vendedores[ID],Vendedores[Setor])</f>
        <v>FM</v>
      </c>
      <c r="D1486" s="7" t="s">
        <v>27</v>
      </c>
      <c r="E1486" t="str">
        <f>_xlfn.XLOOKUP(Vendas[[#This Row],[ID Item Vendido]],Agregado[ID],Agregado[Produto])</f>
        <v>Chapa de metal lisa 1x2m</v>
      </c>
      <c r="F1486" s="39">
        <v>44605</v>
      </c>
      <c r="G1486" s="7">
        <v>7</v>
      </c>
      <c r="H1486" s="3">
        <f>_xlfn.XLOOKUP(Vendas[[#This Row],[ID Item Vendido]],Agregado[ID],Agregado[Revenda])</f>
        <v>52</v>
      </c>
      <c r="I1486" s="3">
        <f>Vendas[[#This Row],[Valor Unitário]]*Vendas[[#This Row],[Qnt Vendida]]</f>
        <v>364</v>
      </c>
      <c r="J1486" s="3">
        <f>Vendas[[#This Row],[Valor da Venda]]-(_xlfn.XLOOKUP(Vendas[[#This Row],[ID Item Vendido]],Agregado[ID],Agregado[Custo])*Vendas[[#This Row],[Qnt Vendida]])</f>
        <v>49</v>
      </c>
      <c r="K1486" s="70">
        <f>Vendas[[#This Row],[Lucro da Venda]]/Vendas[[#This Row],[Valor da Venda]]</f>
        <v>0.13461538461538461</v>
      </c>
      <c r="L1486" s="3">
        <f>_xlfn.IFS(Vendas[[#This Row],[Margem de Lucro (%)]]&lt;15%,Vendas[[#This Row],[Valor da Venda]]*3%,Vendas[[#This Row],[Margem de Lucro (%)]]&lt;=20%,Vendas[[#This Row],[Valor da Venda]]*4.5%,TRUE,Vendas[[#This Row],[Valor da Venda]]*6%)</f>
        <v>10.92</v>
      </c>
      <c r="M1486"/>
    </row>
    <row r="1487" spans="1:13" x14ac:dyDescent="0.3">
      <c r="A1487" s="7">
        <v>400247</v>
      </c>
      <c r="B1487" t="str">
        <f>_xlfn.XLOOKUP(Vendas[[#This Row],[ID Vendedor]],Vendedores[ID],Vendedores[Nome])</f>
        <v>André</v>
      </c>
      <c r="C1487" s="7" t="str">
        <f>_xlfn.XLOOKUP(Vendas[[#This Row],[ID Vendedor]],Vendedores[ID],Vendedores[Setor])</f>
        <v>CM</v>
      </c>
      <c r="D1487" s="7" t="s">
        <v>43</v>
      </c>
      <c r="E1487" t="str">
        <f>_xlfn.XLOOKUP(Vendas[[#This Row],[ID Item Vendido]],Agregado[ID],Agregado[Produto])</f>
        <v>Madeira Bruta (Tora)</v>
      </c>
      <c r="F1487" s="39">
        <v>44606</v>
      </c>
      <c r="G1487" s="7">
        <v>13</v>
      </c>
      <c r="H1487" s="3">
        <f>_xlfn.XLOOKUP(Vendas[[#This Row],[ID Item Vendido]],Agregado[ID],Agregado[Revenda])</f>
        <v>212</v>
      </c>
      <c r="I1487" s="3">
        <f>Vendas[[#This Row],[Valor Unitário]]*Vendas[[#This Row],[Qnt Vendida]]</f>
        <v>2756</v>
      </c>
      <c r="J1487" s="3">
        <f>Vendas[[#This Row],[Valor da Venda]]-(_xlfn.XLOOKUP(Vendas[[#This Row],[ID Item Vendido]],Agregado[ID],Agregado[Custo])*Vendas[[#This Row],[Qnt Vendida]])</f>
        <v>416</v>
      </c>
      <c r="K1487" s="70">
        <f>Vendas[[#This Row],[Lucro da Venda]]/Vendas[[#This Row],[Valor da Venda]]</f>
        <v>0.15094339622641509</v>
      </c>
      <c r="L1487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1487"/>
    </row>
    <row r="1488" spans="1:13" x14ac:dyDescent="0.3">
      <c r="A1488" s="7">
        <v>400255</v>
      </c>
      <c r="B1488" t="str">
        <f>_xlfn.XLOOKUP(Vendas[[#This Row],[ID Vendedor]],Vendedores[ID],Vendedores[Nome])</f>
        <v>Carlos</v>
      </c>
      <c r="C1488" s="7" t="str">
        <f>_xlfn.XLOOKUP(Vendas[[#This Row],[ID Vendedor]],Vendedores[ID],Vendedores[Setor])</f>
        <v>SC</v>
      </c>
      <c r="D1488" s="7" t="s">
        <v>25</v>
      </c>
      <c r="E1488" t="str">
        <f>_xlfn.XLOOKUP(Vendas[[#This Row],[ID Item Vendido]],Agregado[ID],Agregado[Produto])</f>
        <v>Palete de plástico</v>
      </c>
      <c r="F1488" s="39">
        <v>44606</v>
      </c>
      <c r="G1488" s="7">
        <v>7</v>
      </c>
      <c r="H1488" s="3">
        <f>_xlfn.XLOOKUP(Vendas[[#This Row],[ID Item Vendido]],Agregado[ID],Agregado[Revenda])</f>
        <v>70.8</v>
      </c>
      <c r="I1488" s="3">
        <f>Vendas[[#This Row],[Valor Unitário]]*Vendas[[#This Row],[Qnt Vendida]]</f>
        <v>495.59999999999997</v>
      </c>
      <c r="J1488" s="3">
        <f>Vendas[[#This Row],[Valor da Venda]]-(_xlfn.XLOOKUP(Vendas[[#This Row],[ID Item Vendido]],Agregado[ID],Agregado[Custo])*Vendas[[#This Row],[Qnt Vendida]])</f>
        <v>75.599999999999966</v>
      </c>
      <c r="K1488" s="70">
        <f>Vendas[[#This Row],[Lucro da Venda]]/Vendas[[#This Row],[Valor da Venda]]</f>
        <v>0.15254237288135589</v>
      </c>
      <c r="L1488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488"/>
    </row>
    <row r="1489" spans="1:13" x14ac:dyDescent="0.3">
      <c r="A1489" s="7">
        <v>400248</v>
      </c>
      <c r="B1489" t="str">
        <f>_xlfn.XLOOKUP(Vendas[[#This Row],[ID Vendedor]],Vendedores[ID],Vendedores[Nome])</f>
        <v>Patrícia</v>
      </c>
      <c r="C1489" s="7" t="str">
        <f>_xlfn.XLOOKUP(Vendas[[#This Row],[ID Vendedor]],Vendedores[ID],Vendedores[Setor])</f>
        <v>CM</v>
      </c>
      <c r="D1489" s="7" t="s">
        <v>32</v>
      </c>
      <c r="E1489" t="str">
        <f>_xlfn.XLOOKUP(Vendas[[#This Row],[ID Item Vendido]],Agregado[ID],Agregado[Produto])</f>
        <v>Tábua tratada e cortada 3m</v>
      </c>
      <c r="F1489" s="39">
        <v>44606</v>
      </c>
      <c r="G1489" s="7">
        <v>12</v>
      </c>
      <c r="H1489" s="3">
        <f>_xlfn.XLOOKUP(Vendas[[#This Row],[ID Item Vendido]],Agregado[ID],Agregado[Revenda])</f>
        <v>39</v>
      </c>
      <c r="I1489" s="3">
        <f>Vendas[[#This Row],[Valor Unitário]]*Vendas[[#This Row],[Qnt Vendida]]</f>
        <v>468</v>
      </c>
      <c r="J1489" s="3">
        <f>Vendas[[#This Row],[Valor da Venda]]-(_xlfn.XLOOKUP(Vendas[[#This Row],[ID Item Vendido]],Agregado[ID],Agregado[Custo])*Vendas[[#This Row],[Qnt Vendida]])</f>
        <v>84</v>
      </c>
      <c r="K1489" s="70">
        <f>Vendas[[#This Row],[Lucro da Venda]]/Vendas[[#This Row],[Valor da Venda]]</f>
        <v>0.17948717948717949</v>
      </c>
      <c r="L1489" s="3">
        <f>_xlfn.IFS(Vendas[[#This Row],[Margem de Lucro (%)]]&lt;15%,Vendas[[#This Row],[Valor da Venda]]*3%,Vendas[[#This Row],[Margem de Lucro (%)]]&lt;=20%,Vendas[[#This Row],[Valor da Venda]]*4.5%,TRUE,Vendas[[#This Row],[Valor da Venda]]*6%)</f>
        <v>21.06</v>
      </c>
      <c r="M1489"/>
    </row>
    <row r="1490" spans="1:13" x14ac:dyDescent="0.3">
      <c r="A1490" s="7">
        <v>400248</v>
      </c>
      <c r="B1490" t="str">
        <f>_xlfn.XLOOKUP(Vendas[[#This Row],[ID Vendedor]],Vendedores[ID],Vendedores[Nome])</f>
        <v>Patrícia</v>
      </c>
      <c r="C1490" s="7" t="str">
        <f>_xlfn.XLOOKUP(Vendas[[#This Row],[ID Vendedor]],Vendedores[ID],Vendedores[Setor])</f>
        <v>CM</v>
      </c>
      <c r="D1490" s="7" t="s">
        <v>22</v>
      </c>
      <c r="E1490" t="str">
        <f>_xlfn.XLOOKUP(Vendas[[#This Row],[ID Item Vendido]],Agregado[ID],Agregado[Produto])</f>
        <v>Painel MDP 2,75x1,83m</v>
      </c>
      <c r="F1490" s="39">
        <v>44607</v>
      </c>
      <c r="G1490" s="7">
        <v>21</v>
      </c>
      <c r="H1490" s="3">
        <f>_xlfn.XLOOKUP(Vendas[[#This Row],[ID Item Vendido]],Agregado[ID],Agregado[Revenda])</f>
        <v>119</v>
      </c>
      <c r="I1490" s="3">
        <f>Vendas[[#This Row],[Valor Unitário]]*Vendas[[#This Row],[Qnt Vendida]]</f>
        <v>2499</v>
      </c>
      <c r="J1490" s="3">
        <f>Vendas[[#This Row],[Valor da Venda]]-(_xlfn.XLOOKUP(Vendas[[#This Row],[ID Item Vendido]],Agregado[ID],Agregado[Custo])*Vendas[[#This Row],[Qnt Vendida]])</f>
        <v>504</v>
      </c>
      <c r="K1490" s="70">
        <f>Vendas[[#This Row],[Lucro da Venda]]/Vendas[[#This Row],[Valor da Venda]]</f>
        <v>0.20168067226890757</v>
      </c>
      <c r="L1490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1490"/>
    </row>
    <row r="1491" spans="1:13" x14ac:dyDescent="0.3">
      <c r="A1491" s="7">
        <v>400250</v>
      </c>
      <c r="B1491" t="str">
        <f>_xlfn.XLOOKUP(Vendas[[#This Row],[ID Vendedor]],Vendedores[ID],Vendedores[Nome])</f>
        <v>Larissa</v>
      </c>
      <c r="C1491" s="7" t="str">
        <f>_xlfn.XLOOKUP(Vendas[[#This Row],[ID Vendedor]],Vendedores[ID],Vendedores[Setor])</f>
        <v>AB</v>
      </c>
      <c r="D1491" s="7" t="s">
        <v>12</v>
      </c>
      <c r="E1491" t="str">
        <f>_xlfn.XLOOKUP(Vendas[[#This Row],[ID Item Vendido]],Agregado[ID],Agregado[Produto])</f>
        <v>Grânulo de plástico reciclado refinado</v>
      </c>
      <c r="F1491" s="39">
        <v>44607</v>
      </c>
      <c r="G1491" s="7">
        <v>137</v>
      </c>
      <c r="H1491" s="3">
        <f>_xlfn.XLOOKUP(Vendas[[#This Row],[ID Item Vendido]],Agregado[ID],Agregado[Revenda])</f>
        <v>4.7</v>
      </c>
      <c r="I1491" s="3">
        <f>Vendas[[#This Row],[Valor Unitário]]*Vendas[[#This Row],[Qnt Vendida]]</f>
        <v>643.9</v>
      </c>
      <c r="J1491" s="3">
        <f>Vendas[[#This Row],[Valor da Venda]]-(_xlfn.XLOOKUP(Vendas[[#This Row],[ID Item Vendido]],Agregado[ID],Agregado[Custo])*Vendas[[#This Row],[Qnt Vendida]])</f>
        <v>164.39999999999998</v>
      </c>
      <c r="K1491" s="70">
        <f>Vendas[[#This Row],[Lucro da Venda]]/Vendas[[#This Row],[Valor da Venda]]</f>
        <v>0.25531914893617019</v>
      </c>
      <c r="L1491" s="3">
        <f>_xlfn.IFS(Vendas[[#This Row],[Margem de Lucro (%)]]&lt;15%,Vendas[[#This Row],[Valor da Venda]]*3%,Vendas[[#This Row],[Margem de Lucro (%)]]&lt;=20%,Vendas[[#This Row],[Valor da Venda]]*4.5%,TRUE,Vendas[[#This Row],[Valor da Venda]]*6%)</f>
        <v>38.634</v>
      </c>
      <c r="M1491"/>
    </row>
    <row r="1492" spans="1:13" x14ac:dyDescent="0.3">
      <c r="A1492" s="7">
        <v>400245</v>
      </c>
      <c r="B1492" t="str">
        <f>_xlfn.XLOOKUP(Vendas[[#This Row],[ID Vendedor]],Vendedores[ID],Vendedores[Nome])</f>
        <v>Thiago</v>
      </c>
      <c r="C1492" s="7" t="str">
        <f>_xlfn.XLOOKUP(Vendas[[#This Row],[ID Vendedor]],Vendedores[ID],Vendedores[Setor])</f>
        <v>AHD</v>
      </c>
      <c r="D1492" s="7" t="s">
        <v>30</v>
      </c>
      <c r="E1492" t="str">
        <f>_xlfn.XLOOKUP(Vendas[[#This Row],[ID Item Vendido]],Agregado[ID],Agregado[Produto])</f>
        <v>Estrutura metálica soldada</v>
      </c>
      <c r="F1492" s="39">
        <v>44608</v>
      </c>
      <c r="G1492" s="7">
        <v>6</v>
      </c>
      <c r="H1492" s="3">
        <f>_xlfn.XLOOKUP(Vendas[[#This Row],[ID Item Vendido]],Agregado[ID],Agregado[Revenda])</f>
        <v>400</v>
      </c>
      <c r="I1492" s="3">
        <f>Vendas[[#This Row],[Valor Unitário]]*Vendas[[#This Row],[Qnt Vendida]]</f>
        <v>2400</v>
      </c>
      <c r="J1492" s="3">
        <f>Vendas[[#This Row],[Valor da Venda]]-(_xlfn.XLOOKUP(Vendas[[#This Row],[ID Item Vendido]],Agregado[ID],Agregado[Custo])*Vendas[[#This Row],[Qnt Vendida]])</f>
        <v>480</v>
      </c>
      <c r="K1492" s="70">
        <f>Vendas[[#This Row],[Lucro da Venda]]/Vendas[[#This Row],[Valor da Venda]]</f>
        <v>0.2</v>
      </c>
      <c r="L1492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492"/>
    </row>
    <row r="1493" spans="1:13" x14ac:dyDescent="0.3">
      <c r="A1493" s="7">
        <v>400241</v>
      </c>
      <c r="B1493" t="str">
        <f>_xlfn.XLOOKUP(Vendas[[#This Row],[ID Vendedor]],Vendedores[ID],Vendedores[Nome])</f>
        <v>Rodrigo</v>
      </c>
      <c r="C1493" s="7" t="str">
        <f>_xlfn.XLOOKUP(Vendas[[#This Row],[ID Vendedor]],Vendedores[ID],Vendedores[Setor])</f>
        <v>FM</v>
      </c>
      <c r="D1493" s="7" t="s">
        <v>6</v>
      </c>
      <c r="E1493" t="str">
        <f>_xlfn.XLOOKUP(Vendas[[#This Row],[ID Item Vendido]],Agregado[ID],Agregado[Produto])</f>
        <v>Parafuso comum 500un</v>
      </c>
      <c r="F1493" s="39">
        <v>44609</v>
      </c>
      <c r="G1493" s="7">
        <v>13</v>
      </c>
      <c r="H1493" s="3">
        <f>_xlfn.XLOOKUP(Vendas[[#This Row],[ID Item Vendido]],Agregado[ID],Agregado[Revenda])</f>
        <v>24.6</v>
      </c>
      <c r="I1493" s="3">
        <f>Vendas[[#This Row],[Valor Unitário]]*Vendas[[#This Row],[Qnt Vendida]]</f>
        <v>319.8</v>
      </c>
      <c r="J1493" s="3">
        <f>Vendas[[#This Row],[Valor da Venda]]-(_xlfn.XLOOKUP(Vendas[[#This Row],[ID Item Vendido]],Agregado[ID],Agregado[Custo])*Vendas[[#This Row],[Qnt Vendida]])</f>
        <v>33.800000000000011</v>
      </c>
      <c r="K1493" s="70">
        <f>Vendas[[#This Row],[Lucro da Venda]]/Vendas[[#This Row],[Valor da Venda]]</f>
        <v>0.10569105691056914</v>
      </c>
      <c r="L1493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1493"/>
    </row>
    <row r="1494" spans="1:13" x14ac:dyDescent="0.3">
      <c r="A1494" s="7">
        <v>400245</v>
      </c>
      <c r="B1494" t="str">
        <f>_xlfn.XLOOKUP(Vendas[[#This Row],[ID Vendedor]],Vendedores[ID],Vendedores[Nome])</f>
        <v>Thiago</v>
      </c>
      <c r="C1494" s="7" t="str">
        <f>_xlfn.XLOOKUP(Vendas[[#This Row],[ID Vendedor]],Vendedores[ID],Vendedores[Setor])</f>
        <v>AHD</v>
      </c>
      <c r="D1494" s="7" t="s">
        <v>44</v>
      </c>
      <c r="E1494" t="str">
        <f>_xlfn.XLOOKUP(Vendas[[#This Row],[ID Item Vendido]],Agregado[ID],Agregado[Produto])</f>
        <v>Liga metálica especial</v>
      </c>
      <c r="F1494" s="39">
        <v>44609</v>
      </c>
      <c r="G1494" s="7">
        <v>7</v>
      </c>
      <c r="H1494" s="3">
        <f>_xlfn.XLOOKUP(Vendas[[#This Row],[ID Item Vendido]],Agregado[ID],Agregado[Revenda])</f>
        <v>32.5</v>
      </c>
      <c r="I1494" s="3">
        <f>Vendas[[#This Row],[Valor Unitário]]*Vendas[[#This Row],[Qnt Vendida]]</f>
        <v>227.5</v>
      </c>
      <c r="J1494" s="3">
        <f>Vendas[[#This Row],[Valor da Venda]]-(_xlfn.XLOOKUP(Vendas[[#This Row],[ID Item Vendido]],Agregado[ID],Agregado[Custo])*Vendas[[#This Row],[Qnt Vendida]])</f>
        <v>52.5</v>
      </c>
      <c r="K1494" s="70">
        <f>Vendas[[#This Row],[Lucro da Venda]]/Vendas[[#This Row],[Valor da Venda]]</f>
        <v>0.23076923076923078</v>
      </c>
      <c r="L1494" s="3">
        <f>_xlfn.IFS(Vendas[[#This Row],[Margem de Lucro (%)]]&lt;15%,Vendas[[#This Row],[Valor da Venda]]*3%,Vendas[[#This Row],[Margem de Lucro (%)]]&lt;=20%,Vendas[[#This Row],[Valor da Venda]]*4.5%,TRUE,Vendas[[#This Row],[Valor da Venda]]*6%)</f>
        <v>13.65</v>
      </c>
      <c r="M1494"/>
    </row>
    <row r="1495" spans="1:13" x14ac:dyDescent="0.3">
      <c r="A1495" s="7">
        <v>400248</v>
      </c>
      <c r="B1495" t="str">
        <f>_xlfn.XLOOKUP(Vendas[[#This Row],[ID Vendedor]],Vendedores[ID],Vendedores[Nome])</f>
        <v>Patrícia</v>
      </c>
      <c r="C1495" s="7" t="str">
        <f>_xlfn.XLOOKUP(Vendas[[#This Row],[ID Vendedor]],Vendedores[ID],Vendedores[Setor])</f>
        <v>CM</v>
      </c>
      <c r="D1495" s="7" t="s">
        <v>34</v>
      </c>
      <c r="E1495" t="str">
        <f>_xlfn.XLOOKUP(Vendas[[#This Row],[ID Item Vendido]],Agregado[ID],Agregado[Produto])</f>
        <v>Restos de madeira p/ MDP/OSB saco de 20kg</v>
      </c>
      <c r="F1495" s="39">
        <v>44610</v>
      </c>
      <c r="G1495" s="7">
        <v>2</v>
      </c>
      <c r="H1495" s="3">
        <f>_xlfn.XLOOKUP(Vendas[[#This Row],[ID Item Vendido]],Agregado[ID],Agregado[Revenda])</f>
        <v>13.8</v>
      </c>
      <c r="I1495" s="3">
        <f>Vendas[[#This Row],[Valor Unitário]]*Vendas[[#This Row],[Qnt Vendida]]</f>
        <v>27.6</v>
      </c>
      <c r="J1495" s="3">
        <f>Vendas[[#This Row],[Valor da Venda]]-(_xlfn.XLOOKUP(Vendas[[#This Row],[ID Item Vendido]],Agregado[ID],Agregado[Custo])*Vendas[[#This Row],[Qnt Vendida]])</f>
        <v>3.6000000000000014</v>
      </c>
      <c r="K1495" s="70">
        <f>Vendas[[#This Row],[Lucro da Venda]]/Vendas[[#This Row],[Valor da Venda]]</f>
        <v>0.1304347826086957</v>
      </c>
      <c r="L1495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1495"/>
    </row>
    <row r="1496" spans="1:13" x14ac:dyDescent="0.3">
      <c r="A1496" s="7">
        <v>400251</v>
      </c>
      <c r="B1496" t="str">
        <f>_xlfn.XLOOKUP(Vendas[[#This Row],[ID Vendedor]],Vendedores[ID],Vendedores[Nome])</f>
        <v>Diego</v>
      </c>
      <c r="C1496" s="7" t="str">
        <f>_xlfn.XLOOKUP(Vendas[[#This Row],[ID Vendedor]],Vendedores[ID],Vendedores[Setor])</f>
        <v>AB</v>
      </c>
      <c r="D1496" s="7" t="s">
        <v>36</v>
      </c>
      <c r="E1496" t="str">
        <f>_xlfn.XLOOKUP(Vendas[[#This Row],[ID Item Vendido]],Agregado[ID],Agregado[Produto])</f>
        <v>Borracha vulcanizada em manta</v>
      </c>
      <c r="F1496" s="39">
        <v>44611</v>
      </c>
      <c r="G1496" s="7">
        <v>69</v>
      </c>
      <c r="H1496" s="3">
        <f>_xlfn.XLOOKUP(Vendas[[#This Row],[ID Item Vendido]],Agregado[ID],Agregado[Revenda])</f>
        <v>7.8</v>
      </c>
      <c r="I1496" s="3">
        <f>Vendas[[#This Row],[Valor Unitário]]*Vendas[[#This Row],[Qnt Vendida]]</f>
        <v>538.19999999999993</v>
      </c>
      <c r="J1496" s="3">
        <f>Vendas[[#This Row],[Valor da Venda]]-(_xlfn.XLOOKUP(Vendas[[#This Row],[ID Item Vendido]],Agregado[ID],Agregado[Custo])*Vendas[[#This Row],[Qnt Vendida]])</f>
        <v>124.19999999999993</v>
      </c>
      <c r="K1496" s="70">
        <f>Vendas[[#This Row],[Lucro da Venda]]/Vendas[[#This Row],[Valor da Venda]]</f>
        <v>0.23076923076923067</v>
      </c>
      <c r="L1496" s="3">
        <f>_xlfn.IFS(Vendas[[#This Row],[Margem de Lucro (%)]]&lt;15%,Vendas[[#This Row],[Valor da Venda]]*3%,Vendas[[#This Row],[Margem de Lucro (%)]]&lt;=20%,Vendas[[#This Row],[Valor da Venda]]*4.5%,TRUE,Vendas[[#This Row],[Valor da Venda]]*6%)</f>
        <v>32.291999999999994</v>
      </c>
      <c r="M1496"/>
    </row>
    <row r="1497" spans="1:13" x14ac:dyDescent="0.3">
      <c r="A1497" s="7">
        <v>400241</v>
      </c>
      <c r="B1497" t="str">
        <f>_xlfn.XLOOKUP(Vendas[[#This Row],[ID Vendedor]],Vendedores[ID],Vendedores[Nome])</f>
        <v>Rodrigo</v>
      </c>
      <c r="C1497" s="7" t="str">
        <f>_xlfn.XLOOKUP(Vendas[[#This Row],[ID Vendedor]],Vendedores[ID],Vendedores[Setor])</f>
        <v>FM</v>
      </c>
      <c r="D1497" s="7" t="s">
        <v>47</v>
      </c>
      <c r="E1497" t="str">
        <f>_xlfn.XLOOKUP(Vendas[[#This Row],[ID Item Vendido]],Agregado[ID],Agregado[Produto])</f>
        <v>Fio de arame galvanizado rolo 50m</v>
      </c>
      <c r="F1497" s="39">
        <v>44611</v>
      </c>
      <c r="G1497" s="7">
        <v>12</v>
      </c>
      <c r="H1497" s="3">
        <f>_xlfn.XLOOKUP(Vendas[[#This Row],[ID Item Vendido]],Agregado[ID],Agregado[Revenda])</f>
        <v>21.2</v>
      </c>
      <c r="I1497" s="3">
        <f>Vendas[[#This Row],[Valor Unitário]]*Vendas[[#This Row],[Qnt Vendida]]</f>
        <v>254.39999999999998</v>
      </c>
      <c r="J1497" s="3">
        <f>Vendas[[#This Row],[Valor da Venda]]-(_xlfn.XLOOKUP(Vendas[[#This Row],[ID Item Vendido]],Agregado[ID],Agregado[Custo])*Vendas[[#This Row],[Qnt Vendida]])</f>
        <v>38.399999999999977</v>
      </c>
      <c r="K1497" s="70">
        <f>Vendas[[#This Row],[Lucro da Venda]]/Vendas[[#This Row],[Valor da Venda]]</f>
        <v>0.15094339622641501</v>
      </c>
      <c r="L1497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1497"/>
    </row>
    <row r="1498" spans="1:13" x14ac:dyDescent="0.3">
      <c r="A1498" s="7">
        <v>400242</v>
      </c>
      <c r="B1498" t="str">
        <f>_xlfn.XLOOKUP(Vendas[[#This Row],[ID Vendedor]],Vendedores[ID],Vendedores[Nome])</f>
        <v>Fernanda</v>
      </c>
      <c r="C1498" s="7" t="str">
        <f>_xlfn.XLOOKUP(Vendas[[#This Row],[ID Vendedor]],Vendedores[ID],Vendedores[Setor])</f>
        <v>FM</v>
      </c>
      <c r="D1498" s="7" t="s">
        <v>31</v>
      </c>
      <c r="E1498" t="str">
        <f>_xlfn.XLOOKUP(Vendas[[#This Row],[ID Item Vendido]],Agregado[ID],Agregado[Produto])</f>
        <v>Tela de metal soldada rolo 2x25m</v>
      </c>
      <c r="F1498" s="39">
        <v>44611</v>
      </c>
      <c r="G1498" s="7">
        <v>3</v>
      </c>
      <c r="H1498" s="3">
        <f>_xlfn.XLOOKUP(Vendas[[#This Row],[ID Item Vendido]],Agregado[ID],Agregado[Revenda])</f>
        <v>43.7</v>
      </c>
      <c r="I1498" s="3">
        <f>Vendas[[#This Row],[Valor Unitário]]*Vendas[[#This Row],[Qnt Vendida]]</f>
        <v>131.10000000000002</v>
      </c>
      <c r="J1498" s="3">
        <f>Vendas[[#This Row],[Valor da Venda]]-(_xlfn.XLOOKUP(Vendas[[#This Row],[ID Item Vendido]],Agregado[ID],Agregado[Custo])*Vendas[[#This Row],[Qnt Vendida]])</f>
        <v>17.100000000000023</v>
      </c>
      <c r="K1498" s="70">
        <f>Vendas[[#This Row],[Lucro da Venda]]/Vendas[[#This Row],[Valor da Venda]]</f>
        <v>0.13043478260869582</v>
      </c>
      <c r="L1498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1498"/>
    </row>
    <row r="1499" spans="1:13" x14ac:dyDescent="0.3">
      <c r="A1499" s="7">
        <v>400253</v>
      </c>
      <c r="B1499" t="str">
        <f>_xlfn.XLOOKUP(Vendas[[#This Row],[ID Vendedor]],Vendedores[ID],Vendedores[Nome])</f>
        <v>Gustavo</v>
      </c>
      <c r="C1499" s="7" t="str">
        <f>_xlfn.XLOOKUP(Vendas[[#This Row],[ID Vendedor]],Vendedores[ID],Vendedores[Setor])</f>
        <v>SC</v>
      </c>
      <c r="D1499" s="7" t="s">
        <v>14</v>
      </c>
      <c r="E1499" t="str">
        <f>_xlfn.XLOOKUP(Vendas[[#This Row],[ID Item Vendido]],Agregado[ID],Agregado[Produto])</f>
        <v>Barril de plástico 200L</v>
      </c>
      <c r="F1499" s="39">
        <v>44613</v>
      </c>
      <c r="G1499" s="7">
        <v>10</v>
      </c>
      <c r="H1499" s="3">
        <f>_xlfn.XLOOKUP(Vendas[[#This Row],[ID Item Vendido]],Agregado[ID],Agregado[Revenda])</f>
        <v>114</v>
      </c>
      <c r="I1499" s="3">
        <f>Vendas[[#This Row],[Valor Unitário]]*Vendas[[#This Row],[Qnt Vendida]]</f>
        <v>1140</v>
      </c>
      <c r="J1499" s="3">
        <f>Vendas[[#This Row],[Valor da Venda]]-(_xlfn.XLOOKUP(Vendas[[#This Row],[ID Item Vendido]],Agregado[ID],Agregado[Custo])*Vendas[[#This Row],[Qnt Vendida]])</f>
        <v>190</v>
      </c>
      <c r="K1499" s="70">
        <f>Vendas[[#This Row],[Lucro da Venda]]/Vendas[[#This Row],[Valor da Venda]]</f>
        <v>0.16666666666666666</v>
      </c>
      <c r="L1499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1499"/>
    </row>
    <row r="1500" spans="1:13" x14ac:dyDescent="0.3">
      <c r="A1500" s="7">
        <v>400242</v>
      </c>
      <c r="B1500" t="str">
        <f>_xlfn.XLOOKUP(Vendas[[#This Row],[ID Vendedor]],Vendedores[ID],Vendedores[Nome])</f>
        <v>Fernanda</v>
      </c>
      <c r="C1500" s="7" t="str">
        <f>_xlfn.XLOOKUP(Vendas[[#This Row],[ID Vendedor]],Vendedores[ID],Vendedores[Setor])</f>
        <v>FM</v>
      </c>
      <c r="D1500" s="7" t="s">
        <v>20</v>
      </c>
      <c r="E1500" t="str">
        <f>_xlfn.XLOOKUP(Vendas[[#This Row],[ID Item Vendido]],Agregado[ID],Agregado[Produto])</f>
        <v>Barra de aço simples</v>
      </c>
      <c r="F1500" s="39">
        <v>44613</v>
      </c>
      <c r="G1500" s="7">
        <v>63</v>
      </c>
      <c r="H1500" s="3">
        <f>_xlfn.XLOOKUP(Vendas[[#This Row],[ID Item Vendido]],Agregado[ID],Agregado[Revenda])</f>
        <v>4.8</v>
      </c>
      <c r="I1500" s="3">
        <f>Vendas[[#This Row],[Valor Unitário]]*Vendas[[#This Row],[Qnt Vendida]]</f>
        <v>302.39999999999998</v>
      </c>
      <c r="J1500" s="3">
        <f>Vendas[[#This Row],[Valor da Venda]]-(_xlfn.XLOOKUP(Vendas[[#This Row],[ID Item Vendido]],Agregado[ID],Agregado[Custo])*Vendas[[#This Row],[Qnt Vendida]])</f>
        <v>37.799999999999955</v>
      </c>
      <c r="K1500" s="70">
        <f>Vendas[[#This Row],[Lucro da Venda]]/Vendas[[#This Row],[Valor da Venda]]</f>
        <v>0.12499999999999986</v>
      </c>
      <c r="L1500" s="3">
        <f>_xlfn.IFS(Vendas[[#This Row],[Margem de Lucro (%)]]&lt;15%,Vendas[[#This Row],[Valor da Venda]]*3%,Vendas[[#This Row],[Margem de Lucro (%)]]&lt;=20%,Vendas[[#This Row],[Valor da Venda]]*4.5%,TRUE,Vendas[[#This Row],[Valor da Venda]]*6%)</f>
        <v>9.0719999999999992</v>
      </c>
      <c r="M1500"/>
    </row>
    <row r="1501" spans="1:13" x14ac:dyDescent="0.3">
      <c r="A1501" s="7">
        <v>400248</v>
      </c>
      <c r="B1501" t="str">
        <f>_xlfn.XLOOKUP(Vendas[[#This Row],[ID Vendedor]],Vendedores[ID],Vendedores[Nome])</f>
        <v>Patrícia</v>
      </c>
      <c r="C1501" s="7" t="str">
        <f>_xlfn.XLOOKUP(Vendas[[#This Row],[ID Vendedor]],Vendedores[ID],Vendedores[Setor])</f>
        <v>CM</v>
      </c>
      <c r="D1501" s="7" t="s">
        <v>43</v>
      </c>
      <c r="E1501" t="str">
        <f>_xlfn.XLOOKUP(Vendas[[#This Row],[ID Item Vendido]],Agregado[ID],Agregado[Produto])</f>
        <v>Madeira Bruta (Tora)</v>
      </c>
      <c r="F1501" s="39">
        <v>44614</v>
      </c>
      <c r="G1501" s="7">
        <v>8</v>
      </c>
      <c r="H1501" s="3">
        <f>_xlfn.XLOOKUP(Vendas[[#This Row],[ID Item Vendido]],Agregado[ID],Agregado[Revenda])</f>
        <v>212</v>
      </c>
      <c r="I1501" s="3">
        <f>Vendas[[#This Row],[Valor Unitário]]*Vendas[[#This Row],[Qnt Vendida]]</f>
        <v>1696</v>
      </c>
      <c r="J1501" s="3">
        <f>Vendas[[#This Row],[Valor da Venda]]-(_xlfn.XLOOKUP(Vendas[[#This Row],[ID Item Vendido]],Agregado[ID],Agregado[Custo])*Vendas[[#This Row],[Qnt Vendida]])</f>
        <v>256</v>
      </c>
      <c r="K1501" s="70">
        <f>Vendas[[#This Row],[Lucro da Venda]]/Vendas[[#This Row],[Valor da Venda]]</f>
        <v>0.15094339622641509</v>
      </c>
      <c r="L1501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1501"/>
    </row>
    <row r="1502" spans="1:13" x14ac:dyDescent="0.3">
      <c r="A1502" s="7">
        <v>400248</v>
      </c>
      <c r="B1502" t="str">
        <f>_xlfn.XLOOKUP(Vendas[[#This Row],[ID Vendedor]],Vendedores[ID],Vendedores[Nome])</f>
        <v>Patrícia</v>
      </c>
      <c r="C1502" s="7" t="str">
        <f>_xlfn.XLOOKUP(Vendas[[#This Row],[ID Vendedor]],Vendedores[ID],Vendedores[Setor])</f>
        <v>CM</v>
      </c>
      <c r="D1502" s="7" t="s">
        <v>45</v>
      </c>
      <c r="E1502" t="str">
        <f>_xlfn.XLOOKUP(Vendas[[#This Row],[ID Item Vendido]],Agregado[ID],Agregado[Produto])</f>
        <v>Viga de madeira tratada 4m</v>
      </c>
      <c r="F1502" s="39">
        <v>44614</v>
      </c>
      <c r="G1502" s="7">
        <v>17</v>
      </c>
      <c r="H1502" s="3">
        <f>_xlfn.XLOOKUP(Vendas[[#This Row],[ID Item Vendido]],Agregado[ID],Agregado[Revenda])</f>
        <v>66</v>
      </c>
      <c r="I1502" s="3">
        <f>Vendas[[#This Row],[Valor Unitário]]*Vendas[[#This Row],[Qnt Vendida]]</f>
        <v>1122</v>
      </c>
      <c r="J1502" s="3">
        <f>Vendas[[#This Row],[Valor da Venda]]-(_xlfn.XLOOKUP(Vendas[[#This Row],[ID Item Vendido]],Agregado[ID],Agregado[Custo])*Vendas[[#This Row],[Qnt Vendida]])</f>
        <v>187</v>
      </c>
      <c r="K1502" s="70">
        <f>Vendas[[#This Row],[Lucro da Venda]]/Vendas[[#This Row],[Valor da Venda]]</f>
        <v>0.16666666666666666</v>
      </c>
      <c r="L1502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1502"/>
    </row>
    <row r="1503" spans="1:13" x14ac:dyDescent="0.3">
      <c r="A1503" s="7">
        <v>400241</v>
      </c>
      <c r="B1503" t="str">
        <f>_xlfn.XLOOKUP(Vendas[[#This Row],[ID Vendedor]],Vendedores[ID],Vendedores[Nome])</f>
        <v>Rodrigo</v>
      </c>
      <c r="C1503" s="7" t="str">
        <f>_xlfn.XLOOKUP(Vendas[[#This Row],[ID Vendedor]],Vendedores[ID],Vendedores[Setor])</f>
        <v>FM</v>
      </c>
      <c r="D1503" s="7" t="s">
        <v>6</v>
      </c>
      <c r="E1503" t="str">
        <f>_xlfn.XLOOKUP(Vendas[[#This Row],[ID Item Vendido]],Agregado[ID],Agregado[Produto])</f>
        <v>Parafuso comum 500un</v>
      </c>
      <c r="F1503" s="39">
        <v>44614</v>
      </c>
      <c r="G1503" s="7">
        <v>11</v>
      </c>
      <c r="H1503" s="3">
        <f>_xlfn.XLOOKUP(Vendas[[#This Row],[ID Item Vendido]],Agregado[ID],Agregado[Revenda])</f>
        <v>24.6</v>
      </c>
      <c r="I1503" s="3">
        <f>Vendas[[#This Row],[Valor Unitário]]*Vendas[[#This Row],[Qnt Vendida]]</f>
        <v>270.60000000000002</v>
      </c>
      <c r="J1503" s="3">
        <f>Vendas[[#This Row],[Valor da Venda]]-(_xlfn.XLOOKUP(Vendas[[#This Row],[ID Item Vendido]],Agregado[ID],Agregado[Custo])*Vendas[[#This Row],[Qnt Vendida]])</f>
        <v>28.600000000000023</v>
      </c>
      <c r="K1503" s="70">
        <f>Vendas[[#This Row],[Lucro da Venda]]/Vendas[[#This Row],[Valor da Venda]]</f>
        <v>0.10569105691056918</v>
      </c>
      <c r="L1503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1503"/>
    </row>
    <row r="1504" spans="1:13" x14ac:dyDescent="0.3">
      <c r="A1504" s="7">
        <v>400253</v>
      </c>
      <c r="B1504" t="str">
        <f>_xlfn.XLOOKUP(Vendas[[#This Row],[ID Vendedor]],Vendedores[ID],Vendedores[Nome])</f>
        <v>Gustavo</v>
      </c>
      <c r="C1504" s="7" t="str">
        <f>_xlfn.XLOOKUP(Vendas[[#This Row],[ID Vendedor]],Vendedores[ID],Vendedores[Setor])</f>
        <v>SC</v>
      </c>
      <c r="D1504" s="7" t="s">
        <v>42</v>
      </c>
      <c r="E1504" t="str">
        <f>_xlfn.XLOOKUP(Vendas[[#This Row],[ID Item Vendido]],Agregado[ID],Agregado[Produto])</f>
        <v>Container de ferro industrial</v>
      </c>
      <c r="F1504" s="39">
        <v>44615</v>
      </c>
      <c r="G1504" s="7">
        <v>1</v>
      </c>
      <c r="H1504" s="3">
        <f>_xlfn.XLOOKUP(Vendas[[#This Row],[ID Item Vendido]],Agregado[ID],Agregado[Revenda])</f>
        <v>830</v>
      </c>
      <c r="I1504" s="3">
        <f>Vendas[[#This Row],[Valor Unitário]]*Vendas[[#This Row],[Qnt Vendida]]</f>
        <v>830</v>
      </c>
      <c r="J1504" s="3">
        <f>Vendas[[#This Row],[Valor da Venda]]-(_xlfn.XLOOKUP(Vendas[[#This Row],[ID Item Vendido]],Agregado[ID],Agregado[Custo])*Vendas[[#This Row],[Qnt Vendida]])</f>
        <v>150</v>
      </c>
      <c r="K1504" s="70">
        <f>Vendas[[#This Row],[Lucro da Venda]]/Vendas[[#This Row],[Valor da Venda]]</f>
        <v>0.18072289156626506</v>
      </c>
      <c r="L150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504"/>
    </row>
    <row r="1505" spans="1:13" x14ac:dyDescent="0.3">
      <c r="A1505" s="7">
        <v>400241</v>
      </c>
      <c r="B1505" t="str">
        <f>_xlfn.XLOOKUP(Vendas[[#This Row],[ID Vendedor]],Vendedores[ID],Vendedores[Nome])</f>
        <v>Rodrigo</v>
      </c>
      <c r="C1505" s="7" t="str">
        <f>_xlfn.XLOOKUP(Vendas[[#This Row],[ID Vendedor]],Vendedores[ID],Vendedores[Setor])</f>
        <v>FM</v>
      </c>
      <c r="D1505" s="7" t="s">
        <v>20</v>
      </c>
      <c r="E1505" t="str">
        <f>_xlfn.XLOOKUP(Vendas[[#This Row],[ID Item Vendido]],Agregado[ID],Agregado[Produto])</f>
        <v>Barra de aço simples</v>
      </c>
      <c r="F1505" s="39">
        <v>44615</v>
      </c>
      <c r="G1505" s="7">
        <v>144</v>
      </c>
      <c r="H1505" s="3">
        <f>_xlfn.XLOOKUP(Vendas[[#This Row],[ID Item Vendido]],Agregado[ID],Agregado[Revenda])</f>
        <v>4.8</v>
      </c>
      <c r="I1505" s="3">
        <f>Vendas[[#This Row],[Valor Unitário]]*Vendas[[#This Row],[Qnt Vendida]]</f>
        <v>691.19999999999993</v>
      </c>
      <c r="J1505" s="3">
        <f>Vendas[[#This Row],[Valor da Venda]]-(_xlfn.XLOOKUP(Vendas[[#This Row],[ID Item Vendido]],Agregado[ID],Agregado[Custo])*Vendas[[#This Row],[Qnt Vendida]])</f>
        <v>86.399999999999864</v>
      </c>
      <c r="K1505" s="70">
        <f>Vendas[[#This Row],[Lucro da Venda]]/Vendas[[#This Row],[Valor da Venda]]</f>
        <v>0.12499999999999982</v>
      </c>
      <c r="L1505" s="3">
        <f>_xlfn.IFS(Vendas[[#This Row],[Margem de Lucro (%)]]&lt;15%,Vendas[[#This Row],[Valor da Venda]]*3%,Vendas[[#This Row],[Margem de Lucro (%)]]&lt;=20%,Vendas[[#This Row],[Valor da Venda]]*4.5%,TRUE,Vendas[[#This Row],[Valor da Venda]]*6%)</f>
        <v>20.735999999999997</v>
      </c>
      <c r="M1505"/>
    </row>
    <row r="1506" spans="1:13" x14ac:dyDescent="0.3">
      <c r="A1506" s="7">
        <v>400242</v>
      </c>
      <c r="B1506" t="str">
        <f>_xlfn.XLOOKUP(Vendas[[#This Row],[ID Vendedor]],Vendedores[ID],Vendedores[Nome])</f>
        <v>Fernanda</v>
      </c>
      <c r="C1506" s="7" t="str">
        <f>_xlfn.XLOOKUP(Vendas[[#This Row],[ID Vendedor]],Vendedores[ID],Vendedores[Setor])</f>
        <v>FM</v>
      </c>
      <c r="D1506" s="7" t="s">
        <v>47</v>
      </c>
      <c r="E1506" t="str">
        <f>_xlfn.XLOOKUP(Vendas[[#This Row],[ID Item Vendido]],Agregado[ID],Agregado[Produto])</f>
        <v>Fio de arame galvanizado rolo 50m</v>
      </c>
      <c r="F1506" s="39">
        <v>44615</v>
      </c>
      <c r="G1506" s="7">
        <v>30</v>
      </c>
      <c r="H1506" s="3">
        <f>_xlfn.XLOOKUP(Vendas[[#This Row],[ID Item Vendido]],Agregado[ID],Agregado[Revenda])</f>
        <v>21.2</v>
      </c>
      <c r="I1506" s="3">
        <f>Vendas[[#This Row],[Valor Unitário]]*Vendas[[#This Row],[Qnt Vendida]]</f>
        <v>636</v>
      </c>
      <c r="J1506" s="3">
        <f>Vendas[[#This Row],[Valor da Venda]]-(_xlfn.XLOOKUP(Vendas[[#This Row],[ID Item Vendido]],Agregado[ID],Agregado[Custo])*Vendas[[#This Row],[Qnt Vendida]])</f>
        <v>96</v>
      </c>
      <c r="K1506" s="70">
        <f>Vendas[[#This Row],[Lucro da Venda]]/Vendas[[#This Row],[Valor da Venda]]</f>
        <v>0.15094339622641509</v>
      </c>
      <c r="L1506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1506"/>
    </row>
    <row r="1507" spans="1:13" x14ac:dyDescent="0.3">
      <c r="A1507" s="7">
        <v>400244</v>
      </c>
      <c r="B1507" t="str">
        <f>_xlfn.XLOOKUP(Vendas[[#This Row],[ID Vendedor]],Vendedores[ID],Vendedores[Nome])</f>
        <v>Camila</v>
      </c>
      <c r="C1507" s="7" t="str">
        <f>_xlfn.XLOOKUP(Vendas[[#This Row],[ID Vendedor]],Vendedores[ID],Vendedores[Setor])</f>
        <v>AHD</v>
      </c>
      <c r="D1507" s="7" t="s">
        <v>44</v>
      </c>
      <c r="E1507" t="str">
        <f>_xlfn.XLOOKUP(Vendas[[#This Row],[ID Item Vendido]],Agregado[ID],Agregado[Produto])</f>
        <v>Liga metálica especial</v>
      </c>
      <c r="F1507" s="39">
        <v>44615</v>
      </c>
      <c r="G1507" s="7">
        <v>10</v>
      </c>
      <c r="H1507" s="3">
        <f>_xlfn.XLOOKUP(Vendas[[#This Row],[ID Item Vendido]],Agregado[ID],Agregado[Revenda])</f>
        <v>32.5</v>
      </c>
      <c r="I1507" s="3">
        <f>Vendas[[#This Row],[Valor Unitário]]*Vendas[[#This Row],[Qnt Vendida]]</f>
        <v>325</v>
      </c>
      <c r="J1507" s="3">
        <f>Vendas[[#This Row],[Valor da Venda]]-(_xlfn.XLOOKUP(Vendas[[#This Row],[ID Item Vendido]],Agregado[ID],Agregado[Custo])*Vendas[[#This Row],[Qnt Vendida]])</f>
        <v>75</v>
      </c>
      <c r="K1507" s="70">
        <f>Vendas[[#This Row],[Lucro da Venda]]/Vendas[[#This Row],[Valor da Venda]]</f>
        <v>0.23076923076923078</v>
      </c>
      <c r="L1507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1507"/>
    </row>
    <row r="1508" spans="1:13" x14ac:dyDescent="0.3">
      <c r="A1508" s="7">
        <v>400248</v>
      </c>
      <c r="B1508" t="str">
        <f>_xlfn.XLOOKUP(Vendas[[#This Row],[ID Vendedor]],Vendedores[ID],Vendedores[Nome])</f>
        <v>Patrícia</v>
      </c>
      <c r="C1508" s="7" t="str">
        <f>_xlfn.XLOOKUP(Vendas[[#This Row],[ID Vendedor]],Vendedores[ID],Vendedores[Setor])</f>
        <v>CM</v>
      </c>
      <c r="D1508" s="7" t="s">
        <v>32</v>
      </c>
      <c r="E1508" t="str">
        <f>_xlfn.XLOOKUP(Vendas[[#This Row],[ID Item Vendido]],Agregado[ID],Agregado[Produto])</f>
        <v>Tábua tratada e cortada 3m</v>
      </c>
      <c r="F1508" s="39">
        <v>44616</v>
      </c>
      <c r="G1508" s="7">
        <v>25</v>
      </c>
      <c r="H1508" s="3">
        <f>_xlfn.XLOOKUP(Vendas[[#This Row],[ID Item Vendido]],Agregado[ID],Agregado[Revenda])</f>
        <v>39</v>
      </c>
      <c r="I1508" s="3">
        <f>Vendas[[#This Row],[Valor Unitário]]*Vendas[[#This Row],[Qnt Vendida]]</f>
        <v>975</v>
      </c>
      <c r="J1508" s="3">
        <f>Vendas[[#This Row],[Valor da Venda]]-(_xlfn.XLOOKUP(Vendas[[#This Row],[ID Item Vendido]],Agregado[ID],Agregado[Custo])*Vendas[[#This Row],[Qnt Vendida]])</f>
        <v>175</v>
      </c>
      <c r="K1508" s="70">
        <f>Vendas[[#This Row],[Lucro da Venda]]/Vendas[[#This Row],[Valor da Venda]]</f>
        <v>0.17948717948717949</v>
      </c>
      <c r="L1508" s="3">
        <f>_xlfn.IFS(Vendas[[#This Row],[Margem de Lucro (%)]]&lt;15%,Vendas[[#This Row],[Valor da Venda]]*3%,Vendas[[#This Row],[Margem de Lucro (%)]]&lt;=20%,Vendas[[#This Row],[Valor da Venda]]*4.5%,TRUE,Vendas[[#This Row],[Valor da Venda]]*6%)</f>
        <v>43.875</v>
      </c>
      <c r="M1508"/>
    </row>
    <row r="1509" spans="1:13" x14ac:dyDescent="0.3">
      <c r="A1509" s="7">
        <v>400243</v>
      </c>
      <c r="B1509" t="str">
        <f>_xlfn.XLOOKUP(Vendas[[#This Row],[ID Vendedor]],Vendedores[ID],Vendedores[Nome])</f>
        <v>Marcelo</v>
      </c>
      <c r="C1509" s="7" t="str">
        <f>_xlfn.XLOOKUP(Vendas[[#This Row],[ID Vendedor]],Vendedores[ID],Vendedores[Setor])</f>
        <v>FM</v>
      </c>
      <c r="D1509" s="7" t="s">
        <v>47</v>
      </c>
      <c r="E1509" t="str">
        <f>_xlfn.XLOOKUP(Vendas[[#This Row],[ID Item Vendido]],Agregado[ID],Agregado[Produto])</f>
        <v>Fio de arame galvanizado rolo 50m</v>
      </c>
      <c r="F1509" s="39">
        <v>44616</v>
      </c>
      <c r="G1509" s="7">
        <v>22</v>
      </c>
      <c r="H1509" s="3">
        <f>_xlfn.XLOOKUP(Vendas[[#This Row],[ID Item Vendido]],Agregado[ID],Agregado[Revenda])</f>
        <v>21.2</v>
      </c>
      <c r="I1509" s="3">
        <f>Vendas[[#This Row],[Valor Unitário]]*Vendas[[#This Row],[Qnt Vendida]]</f>
        <v>466.4</v>
      </c>
      <c r="J1509" s="3">
        <f>Vendas[[#This Row],[Valor da Venda]]-(_xlfn.XLOOKUP(Vendas[[#This Row],[ID Item Vendido]],Agregado[ID],Agregado[Custo])*Vendas[[#This Row],[Qnt Vendida]])</f>
        <v>70.399999999999977</v>
      </c>
      <c r="K1509" s="70">
        <f>Vendas[[#This Row],[Lucro da Venda]]/Vendas[[#This Row],[Valor da Venda]]</f>
        <v>0.15094339622641506</v>
      </c>
      <c r="L1509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1509"/>
    </row>
    <row r="1510" spans="1:13" x14ac:dyDescent="0.3">
      <c r="A1510" s="7">
        <v>400247</v>
      </c>
      <c r="B1510" t="str">
        <f>_xlfn.XLOOKUP(Vendas[[#This Row],[ID Vendedor]],Vendedores[ID],Vendedores[Nome])</f>
        <v>André</v>
      </c>
      <c r="C1510" s="7" t="str">
        <f>_xlfn.XLOOKUP(Vendas[[#This Row],[ID Vendedor]],Vendedores[ID],Vendedores[Setor])</f>
        <v>CM</v>
      </c>
      <c r="D1510" s="7" t="s">
        <v>32</v>
      </c>
      <c r="E1510" t="str">
        <f>_xlfn.XLOOKUP(Vendas[[#This Row],[ID Item Vendido]],Agregado[ID],Agregado[Produto])</f>
        <v>Tábua tratada e cortada 3m</v>
      </c>
      <c r="F1510" s="39">
        <v>44617</v>
      </c>
      <c r="G1510" s="7">
        <v>34</v>
      </c>
      <c r="H1510" s="3">
        <f>_xlfn.XLOOKUP(Vendas[[#This Row],[ID Item Vendido]],Agregado[ID],Agregado[Revenda])</f>
        <v>39</v>
      </c>
      <c r="I1510" s="3">
        <f>Vendas[[#This Row],[Valor Unitário]]*Vendas[[#This Row],[Qnt Vendida]]</f>
        <v>1326</v>
      </c>
      <c r="J1510" s="3">
        <f>Vendas[[#This Row],[Valor da Venda]]-(_xlfn.XLOOKUP(Vendas[[#This Row],[ID Item Vendido]],Agregado[ID],Agregado[Custo])*Vendas[[#This Row],[Qnt Vendida]])</f>
        <v>238</v>
      </c>
      <c r="K1510" s="70">
        <f>Vendas[[#This Row],[Lucro da Venda]]/Vendas[[#This Row],[Valor da Venda]]</f>
        <v>0.17948717948717949</v>
      </c>
      <c r="L1510" s="3">
        <f>_xlfn.IFS(Vendas[[#This Row],[Margem de Lucro (%)]]&lt;15%,Vendas[[#This Row],[Valor da Venda]]*3%,Vendas[[#This Row],[Margem de Lucro (%)]]&lt;=20%,Vendas[[#This Row],[Valor da Venda]]*4.5%,TRUE,Vendas[[#This Row],[Valor da Venda]]*6%)</f>
        <v>59.669999999999995</v>
      </c>
      <c r="M1510"/>
    </row>
    <row r="1511" spans="1:13" x14ac:dyDescent="0.3">
      <c r="A1511" s="7">
        <v>400248</v>
      </c>
      <c r="B1511" t="str">
        <f>_xlfn.XLOOKUP(Vendas[[#This Row],[ID Vendedor]],Vendedores[ID],Vendedores[Nome])</f>
        <v>Patrícia</v>
      </c>
      <c r="C1511" s="7" t="str">
        <f>_xlfn.XLOOKUP(Vendas[[#This Row],[ID Vendedor]],Vendedores[ID],Vendedores[Setor])</f>
        <v>CM</v>
      </c>
      <c r="D1511" s="7" t="s">
        <v>22</v>
      </c>
      <c r="E1511" t="str">
        <f>_xlfn.XLOOKUP(Vendas[[#This Row],[ID Item Vendido]],Agregado[ID],Agregado[Produto])</f>
        <v>Painel MDP 2,75x1,83m</v>
      </c>
      <c r="F1511" s="39">
        <v>44617</v>
      </c>
      <c r="G1511" s="7">
        <v>6</v>
      </c>
      <c r="H1511" s="3">
        <f>_xlfn.XLOOKUP(Vendas[[#This Row],[ID Item Vendido]],Agregado[ID],Agregado[Revenda])</f>
        <v>119</v>
      </c>
      <c r="I1511" s="3">
        <f>Vendas[[#This Row],[Valor Unitário]]*Vendas[[#This Row],[Qnt Vendida]]</f>
        <v>714</v>
      </c>
      <c r="J1511" s="3">
        <f>Vendas[[#This Row],[Valor da Venda]]-(_xlfn.XLOOKUP(Vendas[[#This Row],[ID Item Vendido]],Agregado[ID],Agregado[Custo])*Vendas[[#This Row],[Qnt Vendida]])</f>
        <v>144</v>
      </c>
      <c r="K1511" s="70">
        <f>Vendas[[#This Row],[Lucro da Venda]]/Vendas[[#This Row],[Valor da Venda]]</f>
        <v>0.20168067226890757</v>
      </c>
      <c r="L1511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1511"/>
    </row>
    <row r="1512" spans="1:13" x14ac:dyDescent="0.3">
      <c r="A1512" s="7">
        <v>400253</v>
      </c>
      <c r="B1512" t="str">
        <f>_xlfn.XLOOKUP(Vendas[[#This Row],[ID Vendedor]],Vendedores[ID],Vendedores[Nome])</f>
        <v>Gustavo</v>
      </c>
      <c r="C1512" s="7" t="str">
        <f>_xlfn.XLOOKUP(Vendas[[#This Row],[ID Vendedor]],Vendedores[ID],Vendedores[Setor])</f>
        <v>SC</v>
      </c>
      <c r="D1512" s="7" t="s">
        <v>14</v>
      </c>
      <c r="E1512" t="str">
        <f>_xlfn.XLOOKUP(Vendas[[#This Row],[ID Item Vendido]],Agregado[ID],Agregado[Produto])</f>
        <v>Barril de plástico 200L</v>
      </c>
      <c r="F1512" s="39">
        <v>44618</v>
      </c>
      <c r="G1512" s="7">
        <v>23</v>
      </c>
      <c r="H1512" s="3">
        <f>_xlfn.XLOOKUP(Vendas[[#This Row],[ID Item Vendido]],Agregado[ID],Agregado[Revenda])</f>
        <v>114</v>
      </c>
      <c r="I1512" s="3">
        <f>Vendas[[#This Row],[Valor Unitário]]*Vendas[[#This Row],[Qnt Vendida]]</f>
        <v>2622</v>
      </c>
      <c r="J1512" s="3">
        <f>Vendas[[#This Row],[Valor da Venda]]-(_xlfn.XLOOKUP(Vendas[[#This Row],[ID Item Vendido]],Agregado[ID],Agregado[Custo])*Vendas[[#This Row],[Qnt Vendida]])</f>
        <v>437</v>
      </c>
      <c r="K1512" s="70">
        <f>Vendas[[#This Row],[Lucro da Venda]]/Vendas[[#This Row],[Valor da Venda]]</f>
        <v>0.16666666666666666</v>
      </c>
      <c r="L1512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1512"/>
    </row>
    <row r="1513" spans="1:13" x14ac:dyDescent="0.3">
      <c r="A1513" s="7">
        <v>400242</v>
      </c>
      <c r="B1513" t="str">
        <f>_xlfn.XLOOKUP(Vendas[[#This Row],[ID Vendedor]],Vendedores[ID],Vendedores[Nome])</f>
        <v>Fernanda</v>
      </c>
      <c r="C1513" s="7" t="str">
        <f>_xlfn.XLOOKUP(Vendas[[#This Row],[ID Vendedor]],Vendedores[ID],Vendedores[Setor])</f>
        <v>FM</v>
      </c>
      <c r="D1513" s="7" t="s">
        <v>47</v>
      </c>
      <c r="E1513" t="str">
        <f>_xlfn.XLOOKUP(Vendas[[#This Row],[ID Item Vendido]],Agregado[ID],Agregado[Produto])</f>
        <v>Fio de arame galvanizado rolo 50m</v>
      </c>
      <c r="F1513" s="39">
        <v>44618</v>
      </c>
      <c r="G1513" s="7">
        <v>40</v>
      </c>
      <c r="H1513" s="3">
        <f>_xlfn.XLOOKUP(Vendas[[#This Row],[ID Item Vendido]],Agregado[ID],Agregado[Revenda])</f>
        <v>21.2</v>
      </c>
      <c r="I1513" s="3">
        <f>Vendas[[#This Row],[Valor Unitário]]*Vendas[[#This Row],[Qnt Vendida]]</f>
        <v>848</v>
      </c>
      <c r="J1513" s="3">
        <f>Vendas[[#This Row],[Valor da Venda]]-(_xlfn.XLOOKUP(Vendas[[#This Row],[ID Item Vendido]],Agregado[ID],Agregado[Custo])*Vendas[[#This Row],[Qnt Vendida]])</f>
        <v>128</v>
      </c>
      <c r="K1513" s="70">
        <f>Vendas[[#This Row],[Lucro da Venda]]/Vendas[[#This Row],[Valor da Venda]]</f>
        <v>0.15094339622641509</v>
      </c>
      <c r="L1513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513"/>
    </row>
    <row r="1514" spans="1:13" x14ac:dyDescent="0.3">
      <c r="A1514" s="7">
        <v>400244</v>
      </c>
      <c r="B1514" t="str">
        <f>_xlfn.XLOOKUP(Vendas[[#This Row],[ID Vendedor]],Vendedores[ID],Vendedores[Nome])</f>
        <v>Camila</v>
      </c>
      <c r="C1514" s="7" t="str">
        <f>_xlfn.XLOOKUP(Vendas[[#This Row],[ID Vendedor]],Vendedores[ID],Vendedores[Setor])</f>
        <v>AHD</v>
      </c>
      <c r="D1514" s="7" t="s">
        <v>30</v>
      </c>
      <c r="E1514" t="str">
        <f>_xlfn.XLOOKUP(Vendas[[#This Row],[ID Item Vendido]],Agregado[ID],Agregado[Produto])</f>
        <v>Estrutura metálica soldada</v>
      </c>
      <c r="F1514" s="39">
        <v>44618</v>
      </c>
      <c r="G1514" s="7">
        <v>1</v>
      </c>
      <c r="H1514" s="3">
        <f>_xlfn.XLOOKUP(Vendas[[#This Row],[ID Item Vendido]],Agregado[ID],Agregado[Revenda])</f>
        <v>400</v>
      </c>
      <c r="I1514" s="3">
        <f>Vendas[[#This Row],[Valor Unitário]]*Vendas[[#This Row],[Qnt Vendida]]</f>
        <v>400</v>
      </c>
      <c r="J1514" s="3">
        <f>Vendas[[#This Row],[Valor da Venda]]-(_xlfn.XLOOKUP(Vendas[[#This Row],[ID Item Vendido]],Agregado[ID],Agregado[Custo])*Vendas[[#This Row],[Qnt Vendida]])</f>
        <v>80</v>
      </c>
      <c r="K1514" s="70">
        <f>Vendas[[#This Row],[Lucro da Venda]]/Vendas[[#This Row],[Valor da Venda]]</f>
        <v>0.2</v>
      </c>
      <c r="L151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514"/>
    </row>
    <row r="1515" spans="1:13" x14ac:dyDescent="0.3">
      <c r="A1515" s="7">
        <v>400243</v>
      </c>
      <c r="B1515" t="str">
        <f>_xlfn.XLOOKUP(Vendas[[#This Row],[ID Vendedor]],Vendedores[ID],Vendedores[Nome])</f>
        <v>Marcelo</v>
      </c>
      <c r="C1515" s="7" t="str">
        <f>_xlfn.XLOOKUP(Vendas[[#This Row],[ID Vendedor]],Vendedores[ID],Vendedores[Setor])</f>
        <v>FM</v>
      </c>
      <c r="D1515" s="7" t="s">
        <v>31</v>
      </c>
      <c r="E1515" t="str">
        <f>_xlfn.XLOOKUP(Vendas[[#This Row],[ID Item Vendido]],Agregado[ID],Agregado[Produto])</f>
        <v>Tela de metal soldada rolo 2x25m</v>
      </c>
      <c r="F1515" s="39">
        <v>44618</v>
      </c>
      <c r="G1515" s="7">
        <v>8</v>
      </c>
      <c r="H1515" s="3">
        <f>_xlfn.XLOOKUP(Vendas[[#This Row],[ID Item Vendido]],Agregado[ID],Agregado[Revenda])</f>
        <v>43.7</v>
      </c>
      <c r="I1515" s="3">
        <f>Vendas[[#This Row],[Valor Unitário]]*Vendas[[#This Row],[Qnt Vendida]]</f>
        <v>349.6</v>
      </c>
      <c r="J1515" s="3">
        <f>Vendas[[#This Row],[Valor da Venda]]-(_xlfn.XLOOKUP(Vendas[[#This Row],[ID Item Vendido]],Agregado[ID],Agregado[Custo])*Vendas[[#This Row],[Qnt Vendida]])</f>
        <v>45.600000000000023</v>
      </c>
      <c r="K1515" s="70">
        <f>Vendas[[#This Row],[Lucro da Venda]]/Vendas[[#This Row],[Valor da Venda]]</f>
        <v>0.1304347826086957</v>
      </c>
      <c r="L1515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1515"/>
    </row>
    <row r="1516" spans="1:13" x14ac:dyDescent="0.3">
      <c r="A1516" s="7">
        <v>400247</v>
      </c>
      <c r="B1516" t="str">
        <f>_xlfn.XLOOKUP(Vendas[[#This Row],[ID Vendedor]],Vendedores[ID],Vendedores[Nome])</f>
        <v>André</v>
      </c>
      <c r="C1516" s="7" t="str">
        <f>_xlfn.XLOOKUP(Vendas[[#This Row],[ID Vendedor]],Vendedores[ID],Vendedores[Setor])</f>
        <v>CM</v>
      </c>
      <c r="D1516" s="7" t="s">
        <v>43</v>
      </c>
      <c r="E1516" t="str">
        <f>_xlfn.XLOOKUP(Vendas[[#This Row],[ID Item Vendido]],Agregado[ID],Agregado[Produto])</f>
        <v>Madeira Bruta (Tora)</v>
      </c>
      <c r="F1516" s="39">
        <v>44619</v>
      </c>
      <c r="G1516" s="7">
        <v>14</v>
      </c>
      <c r="H1516" s="3">
        <f>_xlfn.XLOOKUP(Vendas[[#This Row],[ID Item Vendido]],Agregado[ID],Agregado[Revenda])</f>
        <v>212</v>
      </c>
      <c r="I1516" s="3">
        <f>Vendas[[#This Row],[Valor Unitário]]*Vendas[[#This Row],[Qnt Vendida]]</f>
        <v>2968</v>
      </c>
      <c r="J1516" s="3">
        <f>Vendas[[#This Row],[Valor da Venda]]-(_xlfn.XLOOKUP(Vendas[[#This Row],[ID Item Vendido]],Agregado[ID],Agregado[Custo])*Vendas[[#This Row],[Qnt Vendida]])</f>
        <v>448</v>
      </c>
      <c r="K1516" s="70">
        <f>Vendas[[#This Row],[Lucro da Venda]]/Vendas[[#This Row],[Valor da Venda]]</f>
        <v>0.15094339622641509</v>
      </c>
      <c r="L1516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1516"/>
    </row>
    <row r="1517" spans="1:13" x14ac:dyDescent="0.3">
      <c r="A1517" s="7">
        <v>400245</v>
      </c>
      <c r="B1517" t="str">
        <f>_xlfn.XLOOKUP(Vendas[[#This Row],[ID Vendedor]],Vendedores[ID],Vendedores[Nome])</f>
        <v>Thiago</v>
      </c>
      <c r="C1517" s="7" t="str">
        <f>_xlfn.XLOOKUP(Vendas[[#This Row],[ID Vendedor]],Vendedores[ID],Vendedores[Setor])</f>
        <v>AHD</v>
      </c>
      <c r="D1517" s="7" t="s">
        <v>30</v>
      </c>
      <c r="E1517" t="str">
        <f>_xlfn.XLOOKUP(Vendas[[#This Row],[ID Item Vendido]],Agregado[ID],Agregado[Produto])</f>
        <v>Estrutura metálica soldada</v>
      </c>
      <c r="F1517" s="39">
        <v>44620</v>
      </c>
      <c r="G1517" s="7">
        <v>6</v>
      </c>
      <c r="H1517" s="3">
        <f>_xlfn.XLOOKUP(Vendas[[#This Row],[ID Item Vendido]],Agregado[ID],Agregado[Revenda])</f>
        <v>400</v>
      </c>
      <c r="I1517" s="3">
        <f>Vendas[[#This Row],[Valor Unitário]]*Vendas[[#This Row],[Qnt Vendida]]</f>
        <v>2400</v>
      </c>
      <c r="J1517" s="3">
        <f>Vendas[[#This Row],[Valor da Venda]]-(_xlfn.XLOOKUP(Vendas[[#This Row],[ID Item Vendido]],Agregado[ID],Agregado[Custo])*Vendas[[#This Row],[Qnt Vendida]])</f>
        <v>480</v>
      </c>
      <c r="K1517" s="70">
        <f>Vendas[[#This Row],[Lucro da Venda]]/Vendas[[#This Row],[Valor da Venda]]</f>
        <v>0.2</v>
      </c>
      <c r="L1517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517"/>
    </row>
    <row r="1518" spans="1:13" x14ac:dyDescent="0.3">
      <c r="A1518" s="7">
        <v>400247</v>
      </c>
      <c r="B1518" t="str">
        <f>_xlfn.XLOOKUP(Vendas[[#This Row],[ID Vendedor]],Vendedores[ID],Vendedores[Nome])</f>
        <v>André</v>
      </c>
      <c r="C1518" s="7" t="str">
        <f>_xlfn.XLOOKUP(Vendas[[#This Row],[ID Vendedor]],Vendedores[ID],Vendedores[Setor])</f>
        <v>CM</v>
      </c>
      <c r="D1518" s="7" t="s">
        <v>43</v>
      </c>
      <c r="E1518" t="str">
        <f>_xlfn.XLOOKUP(Vendas[[#This Row],[ID Item Vendido]],Agregado[ID],Agregado[Produto])</f>
        <v>Madeira Bruta (Tora)</v>
      </c>
      <c r="F1518" s="39">
        <v>44620</v>
      </c>
      <c r="G1518" s="7">
        <v>9</v>
      </c>
      <c r="H1518" s="3">
        <f>_xlfn.XLOOKUP(Vendas[[#This Row],[ID Item Vendido]],Agregado[ID],Agregado[Revenda])</f>
        <v>212</v>
      </c>
      <c r="I1518" s="3">
        <f>Vendas[[#This Row],[Valor Unitário]]*Vendas[[#This Row],[Qnt Vendida]]</f>
        <v>1908</v>
      </c>
      <c r="J1518" s="3">
        <f>Vendas[[#This Row],[Valor da Venda]]-(_xlfn.XLOOKUP(Vendas[[#This Row],[ID Item Vendido]],Agregado[ID],Agregado[Custo])*Vendas[[#This Row],[Qnt Vendida]])</f>
        <v>288</v>
      </c>
      <c r="K1518" s="70">
        <f>Vendas[[#This Row],[Lucro da Venda]]/Vendas[[#This Row],[Valor da Venda]]</f>
        <v>0.15094339622641509</v>
      </c>
      <c r="L1518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1518"/>
    </row>
    <row r="1519" spans="1:13" x14ac:dyDescent="0.3">
      <c r="A1519" s="7">
        <v>400255</v>
      </c>
      <c r="B1519" t="str">
        <f>_xlfn.XLOOKUP(Vendas[[#This Row],[ID Vendedor]],Vendedores[ID],Vendedores[Nome])</f>
        <v>Carlos</v>
      </c>
      <c r="C1519" s="7" t="str">
        <f>_xlfn.XLOOKUP(Vendas[[#This Row],[ID Vendedor]],Vendedores[ID],Vendedores[Setor])</f>
        <v>SC</v>
      </c>
      <c r="D1519" s="7" t="s">
        <v>14</v>
      </c>
      <c r="E1519" t="str">
        <f>_xlfn.XLOOKUP(Vendas[[#This Row],[ID Item Vendido]],Agregado[ID],Agregado[Produto])</f>
        <v>Barril de plástico 200L</v>
      </c>
      <c r="F1519" s="39">
        <v>44620</v>
      </c>
      <c r="G1519" s="7">
        <v>14</v>
      </c>
      <c r="H1519" s="3">
        <f>_xlfn.XLOOKUP(Vendas[[#This Row],[ID Item Vendido]],Agregado[ID],Agregado[Revenda])</f>
        <v>114</v>
      </c>
      <c r="I1519" s="3">
        <f>Vendas[[#This Row],[Valor Unitário]]*Vendas[[#This Row],[Qnt Vendida]]</f>
        <v>1596</v>
      </c>
      <c r="J1519" s="3">
        <f>Vendas[[#This Row],[Valor da Venda]]-(_xlfn.XLOOKUP(Vendas[[#This Row],[ID Item Vendido]],Agregado[ID],Agregado[Custo])*Vendas[[#This Row],[Qnt Vendida]])</f>
        <v>266</v>
      </c>
      <c r="K1519" s="70">
        <f>Vendas[[#This Row],[Lucro da Venda]]/Vendas[[#This Row],[Valor da Venda]]</f>
        <v>0.16666666666666666</v>
      </c>
      <c r="L1519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1519"/>
    </row>
    <row r="1520" spans="1:13" x14ac:dyDescent="0.3">
      <c r="A1520" s="7">
        <v>400250</v>
      </c>
      <c r="B1520" t="str">
        <f>_xlfn.XLOOKUP(Vendas[[#This Row],[ID Vendedor]],Vendedores[ID],Vendedores[Nome])</f>
        <v>Larissa</v>
      </c>
      <c r="C1520" s="7" t="str">
        <f>_xlfn.XLOOKUP(Vendas[[#This Row],[ID Vendedor]],Vendedores[ID],Vendedores[Setor])</f>
        <v>AB</v>
      </c>
      <c r="D1520" s="7" t="s">
        <v>36</v>
      </c>
      <c r="E1520" t="str">
        <f>_xlfn.XLOOKUP(Vendas[[#This Row],[ID Item Vendido]],Agregado[ID],Agregado[Produto])</f>
        <v>Borracha vulcanizada em manta</v>
      </c>
      <c r="F1520" s="39">
        <v>44620</v>
      </c>
      <c r="G1520" s="7">
        <v>74</v>
      </c>
      <c r="H1520" s="3">
        <f>_xlfn.XLOOKUP(Vendas[[#This Row],[ID Item Vendido]],Agregado[ID],Agregado[Revenda])</f>
        <v>7.8</v>
      </c>
      <c r="I1520" s="3">
        <f>Vendas[[#This Row],[Valor Unitário]]*Vendas[[#This Row],[Qnt Vendida]]</f>
        <v>577.19999999999993</v>
      </c>
      <c r="J1520" s="3">
        <f>Vendas[[#This Row],[Valor da Venda]]-(_xlfn.XLOOKUP(Vendas[[#This Row],[ID Item Vendido]],Agregado[ID],Agregado[Custo])*Vendas[[#This Row],[Qnt Vendida]])</f>
        <v>133.19999999999993</v>
      </c>
      <c r="K1520" s="70">
        <f>Vendas[[#This Row],[Lucro da Venda]]/Vendas[[#This Row],[Valor da Venda]]</f>
        <v>0.23076923076923067</v>
      </c>
      <c r="L1520" s="3">
        <f>_xlfn.IFS(Vendas[[#This Row],[Margem de Lucro (%)]]&lt;15%,Vendas[[#This Row],[Valor da Venda]]*3%,Vendas[[#This Row],[Margem de Lucro (%)]]&lt;=20%,Vendas[[#This Row],[Valor da Venda]]*4.5%,TRUE,Vendas[[#This Row],[Valor da Venda]]*6%)</f>
        <v>34.631999999999998</v>
      </c>
      <c r="M1520"/>
    </row>
    <row r="1521" spans="1:13" x14ac:dyDescent="0.3">
      <c r="A1521" s="7">
        <v>400242</v>
      </c>
      <c r="B1521" t="str">
        <f>_xlfn.XLOOKUP(Vendas[[#This Row],[ID Vendedor]],Vendedores[ID],Vendedores[Nome])</f>
        <v>Fernanda</v>
      </c>
      <c r="C1521" s="7" t="str">
        <f>_xlfn.XLOOKUP(Vendas[[#This Row],[ID Vendedor]],Vendedores[ID],Vendedores[Setor])</f>
        <v>FM</v>
      </c>
      <c r="D1521" s="7" t="s">
        <v>31</v>
      </c>
      <c r="E1521" t="str">
        <f>_xlfn.XLOOKUP(Vendas[[#This Row],[ID Item Vendido]],Agregado[ID],Agregado[Produto])</f>
        <v>Tela de metal soldada rolo 2x25m</v>
      </c>
      <c r="F1521" s="39">
        <v>44620</v>
      </c>
      <c r="G1521" s="7">
        <v>3</v>
      </c>
      <c r="H1521" s="3">
        <f>_xlfn.XLOOKUP(Vendas[[#This Row],[ID Item Vendido]],Agregado[ID],Agregado[Revenda])</f>
        <v>43.7</v>
      </c>
      <c r="I1521" s="3">
        <f>Vendas[[#This Row],[Valor Unitário]]*Vendas[[#This Row],[Qnt Vendida]]</f>
        <v>131.10000000000002</v>
      </c>
      <c r="J1521" s="3">
        <f>Vendas[[#This Row],[Valor da Venda]]-(_xlfn.XLOOKUP(Vendas[[#This Row],[ID Item Vendido]],Agregado[ID],Agregado[Custo])*Vendas[[#This Row],[Qnt Vendida]])</f>
        <v>17.100000000000023</v>
      </c>
      <c r="K1521" s="70">
        <f>Vendas[[#This Row],[Lucro da Venda]]/Vendas[[#This Row],[Valor da Venda]]</f>
        <v>0.13043478260869582</v>
      </c>
      <c r="L1521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1521"/>
    </row>
    <row r="1522" spans="1:13" x14ac:dyDescent="0.3">
      <c r="A1522" s="7">
        <v>400242</v>
      </c>
      <c r="B1522" t="str">
        <f>_xlfn.XLOOKUP(Vendas[[#This Row],[ID Vendedor]],Vendedores[ID],Vendedores[Nome])</f>
        <v>Fernanda</v>
      </c>
      <c r="C1522" s="7" t="str">
        <f>_xlfn.XLOOKUP(Vendas[[#This Row],[ID Vendedor]],Vendedores[ID],Vendedores[Setor])</f>
        <v>FM</v>
      </c>
      <c r="D1522" s="7" t="s">
        <v>20</v>
      </c>
      <c r="E1522" t="str">
        <f>_xlfn.XLOOKUP(Vendas[[#This Row],[ID Item Vendido]],Agregado[ID],Agregado[Produto])</f>
        <v>Barra de aço simples</v>
      </c>
      <c r="F1522" s="39">
        <v>44620</v>
      </c>
      <c r="G1522" s="7">
        <v>20</v>
      </c>
      <c r="H1522" s="3">
        <f>_xlfn.XLOOKUP(Vendas[[#This Row],[ID Item Vendido]],Agregado[ID],Agregado[Revenda])</f>
        <v>4.8</v>
      </c>
      <c r="I1522" s="3">
        <f>Vendas[[#This Row],[Valor Unitário]]*Vendas[[#This Row],[Qnt Vendida]]</f>
        <v>96</v>
      </c>
      <c r="J1522" s="3">
        <f>Vendas[[#This Row],[Valor da Venda]]-(_xlfn.XLOOKUP(Vendas[[#This Row],[ID Item Vendido]],Agregado[ID],Agregado[Custo])*Vendas[[#This Row],[Qnt Vendida]])</f>
        <v>12</v>
      </c>
      <c r="K1522" s="70">
        <f>Vendas[[#This Row],[Lucro da Venda]]/Vendas[[#This Row],[Valor da Venda]]</f>
        <v>0.125</v>
      </c>
      <c r="L1522" s="3">
        <f>_xlfn.IFS(Vendas[[#This Row],[Margem de Lucro (%)]]&lt;15%,Vendas[[#This Row],[Valor da Venda]]*3%,Vendas[[#This Row],[Margem de Lucro (%)]]&lt;=20%,Vendas[[#This Row],[Valor da Venda]]*4.5%,TRUE,Vendas[[#This Row],[Valor da Venda]]*6%)</f>
        <v>2.88</v>
      </c>
      <c r="M1522"/>
    </row>
    <row r="1523" spans="1:13" x14ac:dyDescent="0.3">
      <c r="A1523" s="7">
        <v>400253</v>
      </c>
      <c r="B1523" t="str">
        <f>_xlfn.XLOOKUP(Vendas[[#This Row],[ID Vendedor]],Vendedores[ID],Vendedores[Nome])</f>
        <v>Gustavo</v>
      </c>
      <c r="C1523" s="7" t="str">
        <f>_xlfn.XLOOKUP(Vendas[[#This Row],[ID Vendedor]],Vendedores[ID],Vendedores[Setor])</f>
        <v>SC</v>
      </c>
      <c r="D1523" s="7" t="s">
        <v>48</v>
      </c>
      <c r="E1523" t="str">
        <f>_xlfn.XLOOKUP(Vendas[[#This Row],[ID Item Vendido]],Agregado[ID],Agregado[Produto])</f>
        <v>Tambor metálico 200L</v>
      </c>
      <c r="F1523" s="39">
        <v>44621</v>
      </c>
      <c r="G1523" s="7">
        <v>11</v>
      </c>
      <c r="H1523" s="3">
        <f>_xlfn.XLOOKUP(Vendas[[#This Row],[ID Item Vendido]],Agregado[ID],Agregado[Revenda])</f>
        <v>144</v>
      </c>
      <c r="I1523" s="3">
        <f>Vendas[[#This Row],[Valor Unitário]]*Vendas[[#This Row],[Qnt Vendida]]</f>
        <v>1584</v>
      </c>
      <c r="J1523" s="3">
        <f>Vendas[[#This Row],[Valor da Venda]]-(_xlfn.XLOOKUP(Vendas[[#This Row],[ID Item Vendido]],Agregado[ID],Agregado[Custo])*Vendas[[#This Row],[Qnt Vendida]])</f>
        <v>264</v>
      </c>
      <c r="K1523" s="70">
        <f>Vendas[[#This Row],[Lucro da Venda]]/Vendas[[#This Row],[Valor da Venda]]</f>
        <v>0.16666666666666666</v>
      </c>
      <c r="L1523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1523"/>
    </row>
    <row r="1524" spans="1:13" x14ac:dyDescent="0.3">
      <c r="A1524" s="7">
        <v>400244</v>
      </c>
      <c r="B1524" t="str">
        <f>_xlfn.XLOOKUP(Vendas[[#This Row],[ID Vendedor]],Vendedores[ID],Vendedores[Nome])</f>
        <v>Camila</v>
      </c>
      <c r="C1524" s="7" t="str">
        <f>_xlfn.XLOOKUP(Vendas[[#This Row],[ID Vendedor]],Vendedores[ID],Vendedores[Setor])</f>
        <v>AHD</v>
      </c>
      <c r="D1524" s="7" t="s">
        <v>44</v>
      </c>
      <c r="E1524" t="str">
        <f>_xlfn.XLOOKUP(Vendas[[#This Row],[ID Item Vendido]],Agregado[ID],Agregado[Produto])</f>
        <v>Liga metálica especial</v>
      </c>
      <c r="F1524" s="39">
        <v>44622</v>
      </c>
      <c r="G1524" s="7">
        <v>40</v>
      </c>
      <c r="H1524" s="3">
        <f>_xlfn.XLOOKUP(Vendas[[#This Row],[ID Item Vendido]],Agregado[ID],Agregado[Revenda])</f>
        <v>32.5</v>
      </c>
      <c r="I1524" s="3">
        <f>Vendas[[#This Row],[Valor Unitário]]*Vendas[[#This Row],[Qnt Vendida]]</f>
        <v>1300</v>
      </c>
      <c r="J1524" s="3">
        <f>Vendas[[#This Row],[Valor da Venda]]-(_xlfn.XLOOKUP(Vendas[[#This Row],[ID Item Vendido]],Agregado[ID],Agregado[Custo])*Vendas[[#This Row],[Qnt Vendida]])</f>
        <v>300</v>
      </c>
      <c r="K1524" s="70">
        <f>Vendas[[#This Row],[Lucro da Venda]]/Vendas[[#This Row],[Valor da Venda]]</f>
        <v>0.23076923076923078</v>
      </c>
      <c r="L1524" s="3">
        <f>_xlfn.IFS(Vendas[[#This Row],[Margem de Lucro (%)]]&lt;15%,Vendas[[#This Row],[Valor da Venda]]*3%,Vendas[[#This Row],[Margem de Lucro (%)]]&lt;=20%,Vendas[[#This Row],[Valor da Venda]]*4.5%,TRUE,Vendas[[#This Row],[Valor da Venda]]*6%)</f>
        <v>78</v>
      </c>
      <c r="M1524"/>
    </row>
    <row r="1525" spans="1:13" x14ac:dyDescent="0.3">
      <c r="A1525" s="7">
        <v>400255</v>
      </c>
      <c r="B1525" t="str">
        <f>_xlfn.XLOOKUP(Vendas[[#This Row],[ID Vendedor]],Vendedores[ID],Vendedores[Nome])</f>
        <v>Carlos</v>
      </c>
      <c r="C1525" s="7" t="str">
        <f>_xlfn.XLOOKUP(Vendas[[#This Row],[ID Vendedor]],Vendedores[ID],Vendedores[Setor])</f>
        <v>SC</v>
      </c>
      <c r="D1525" s="7" t="s">
        <v>48</v>
      </c>
      <c r="E1525" t="str">
        <f>_xlfn.XLOOKUP(Vendas[[#This Row],[ID Item Vendido]],Agregado[ID],Agregado[Produto])</f>
        <v>Tambor metálico 200L</v>
      </c>
      <c r="F1525" s="39">
        <v>44622</v>
      </c>
      <c r="G1525" s="7">
        <v>5</v>
      </c>
      <c r="H1525" s="3">
        <f>_xlfn.XLOOKUP(Vendas[[#This Row],[ID Item Vendido]],Agregado[ID],Agregado[Revenda])</f>
        <v>144</v>
      </c>
      <c r="I1525" s="3">
        <f>Vendas[[#This Row],[Valor Unitário]]*Vendas[[#This Row],[Qnt Vendida]]</f>
        <v>720</v>
      </c>
      <c r="J1525" s="3">
        <f>Vendas[[#This Row],[Valor da Venda]]-(_xlfn.XLOOKUP(Vendas[[#This Row],[ID Item Vendido]],Agregado[ID],Agregado[Custo])*Vendas[[#This Row],[Qnt Vendida]])</f>
        <v>120</v>
      </c>
      <c r="K1525" s="70">
        <f>Vendas[[#This Row],[Lucro da Venda]]/Vendas[[#This Row],[Valor da Venda]]</f>
        <v>0.16666666666666666</v>
      </c>
      <c r="L1525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1525"/>
    </row>
    <row r="1526" spans="1:13" x14ac:dyDescent="0.3">
      <c r="A1526" s="7">
        <v>400242</v>
      </c>
      <c r="B1526" t="str">
        <f>_xlfn.XLOOKUP(Vendas[[#This Row],[ID Vendedor]],Vendedores[ID],Vendedores[Nome])</f>
        <v>Fernanda</v>
      </c>
      <c r="C1526" s="7" t="str">
        <f>_xlfn.XLOOKUP(Vendas[[#This Row],[ID Vendedor]],Vendedores[ID],Vendedores[Setor])</f>
        <v>FM</v>
      </c>
      <c r="D1526" s="7" t="s">
        <v>47</v>
      </c>
      <c r="E1526" t="str">
        <f>_xlfn.XLOOKUP(Vendas[[#This Row],[ID Item Vendido]],Agregado[ID],Agregado[Produto])</f>
        <v>Fio de arame galvanizado rolo 50m</v>
      </c>
      <c r="F1526" s="39">
        <v>44622</v>
      </c>
      <c r="G1526" s="7">
        <v>29</v>
      </c>
      <c r="H1526" s="3">
        <f>_xlfn.XLOOKUP(Vendas[[#This Row],[ID Item Vendido]],Agregado[ID],Agregado[Revenda])</f>
        <v>21.2</v>
      </c>
      <c r="I1526" s="3">
        <f>Vendas[[#This Row],[Valor Unitário]]*Vendas[[#This Row],[Qnt Vendida]]</f>
        <v>614.79999999999995</v>
      </c>
      <c r="J1526" s="3">
        <f>Vendas[[#This Row],[Valor da Venda]]-(_xlfn.XLOOKUP(Vendas[[#This Row],[ID Item Vendido]],Agregado[ID],Agregado[Custo])*Vendas[[#This Row],[Qnt Vendida]])</f>
        <v>92.799999999999955</v>
      </c>
      <c r="K1526" s="70">
        <f>Vendas[[#This Row],[Lucro da Venda]]/Vendas[[#This Row],[Valor da Venda]]</f>
        <v>0.15094339622641503</v>
      </c>
      <c r="L1526" s="3">
        <f>_xlfn.IFS(Vendas[[#This Row],[Margem de Lucro (%)]]&lt;15%,Vendas[[#This Row],[Valor da Venda]]*3%,Vendas[[#This Row],[Margem de Lucro (%)]]&lt;=20%,Vendas[[#This Row],[Valor da Venda]]*4.5%,TRUE,Vendas[[#This Row],[Valor da Venda]]*6%)</f>
        <v>27.665999999999997</v>
      </c>
      <c r="M1526"/>
    </row>
    <row r="1527" spans="1:13" x14ac:dyDescent="0.3">
      <c r="A1527" s="7">
        <v>400244</v>
      </c>
      <c r="B1527" t="str">
        <f>_xlfn.XLOOKUP(Vendas[[#This Row],[ID Vendedor]],Vendedores[ID],Vendedores[Nome])</f>
        <v>Camila</v>
      </c>
      <c r="C1527" s="7" t="str">
        <f>_xlfn.XLOOKUP(Vendas[[#This Row],[ID Vendedor]],Vendedores[ID],Vendedores[Setor])</f>
        <v>AHD</v>
      </c>
      <c r="D1527" s="7" t="s">
        <v>18</v>
      </c>
      <c r="E1527" t="str">
        <f>_xlfn.XLOOKUP(Vendas[[#This Row],[ID Item Vendido]],Agregado[ID],Agregado[Produto])</f>
        <v>Peça forjada sob encomenda</v>
      </c>
      <c r="F1527" s="39">
        <v>44624</v>
      </c>
      <c r="G1527" s="7">
        <v>5</v>
      </c>
      <c r="H1527" s="3">
        <f>_xlfn.XLOOKUP(Vendas[[#This Row],[ID Item Vendido]],Agregado[ID],Agregado[Revenda])</f>
        <v>264.60000000000002</v>
      </c>
      <c r="I1527" s="3">
        <f>Vendas[[#This Row],[Valor Unitário]]*Vendas[[#This Row],[Qnt Vendida]]</f>
        <v>1323</v>
      </c>
      <c r="J1527" s="3">
        <f>Vendas[[#This Row],[Valor da Venda]]-(_xlfn.XLOOKUP(Vendas[[#This Row],[ID Item Vendido]],Agregado[ID],Agregado[Custo])*Vendas[[#This Row],[Qnt Vendida]])</f>
        <v>73</v>
      </c>
      <c r="K1527" s="70">
        <f>Vendas[[#This Row],[Lucro da Venda]]/Vendas[[#This Row],[Valor da Venda]]</f>
        <v>5.5177626606198037E-2</v>
      </c>
      <c r="L152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527"/>
    </row>
    <row r="1528" spans="1:13" x14ac:dyDescent="0.3">
      <c r="A1528" s="7">
        <v>400251</v>
      </c>
      <c r="B1528" t="str">
        <f>_xlfn.XLOOKUP(Vendas[[#This Row],[ID Vendedor]],Vendedores[ID],Vendedores[Nome])</f>
        <v>Diego</v>
      </c>
      <c r="C1528" s="7" t="str">
        <f>_xlfn.XLOOKUP(Vendas[[#This Row],[ID Vendedor]],Vendedores[ID],Vendedores[Setor])</f>
        <v>AB</v>
      </c>
      <c r="D1528" s="7" t="s">
        <v>39</v>
      </c>
      <c r="E1528" t="str">
        <f>_xlfn.XLOOKUP(Vendas[[#This Row],[ID Item Vendido]],Agregado[ID],Agregado[Produto])</f>
        <v>Filme plástico industrial rolo 50m</v>
      </c>
      <c r="F1528" s="39">
        <v>44624</v>
      </c>
      <c r="G1528" s="7">
        <v>7</v>
      </c>
      <c r="H1528" s="3">
        <f>_xlfn.XLOOKUP(Vendas[[#This Row],[ID Item Vendido]],Agregado[ID],Agregado[Revenda])</f>
        <v>37</v>
      </c>
      <c r="I1528" s="3">
        <f>Vendas[[#This Row],[Valor Unitário]]*Vendas[[#This Row],[Qnt Vendida]]</f>
        <v>259</v>
      </c>
      <c r="J1528" s="3">
        <f>Vendas[[#This Row],[Valor da Venda]]-(_xlfn.XLOOKUP(Vendas[[#This Row],[ID Item Vendido]],Agregado[ID],Agregado[Custo])*Vendas[[#This Row],[Qnt Vendida]])</f>
        <v>63</v>
      </c>
      <c r="K1528" s="70">
        <f>Vendas[[#This Row],[Lucro da Venda]]/Vendas[[#This Row],[Valor da Venda]]</f>
        <v>0.24324324324324326</v>
      </c>
      <c r="L1528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1528"/>
    </row>
    <row r="1529" spans="1:13" x14ac:dyDescent="0.3">
      <c r="A1529" s="7">
        <v>400248</v>
      </c>
      <c r="B1529" t="str">
        <f>_xlfn.XLOOKUP(Vendas[[#This Row],[ID Vendedor]],Vendedores[ID],Vendedores[Nome])</f>
        <v>Patrícia</v>
      </c>
      <c r="C1529" s="7" t="str">
        <f>_xlfn.XLOOKUP(Vendas[[#This Row],[ID Vendedor]],Vendedores[ID],Vendedores[Setor])</f>
        <v>CM</v>
      </c>
      <c r="D1529" s="7" t="s">
        <v>34</v>
      </c>
      <c r="E1529" t="str">
        <f>_xlfn.XLOOKUP(Vendas[[#This Row],[ID Item Vendido]],Agregado[ID],Agregado[Produto])</f>
        <v>Restos de madeira p/ MDP/OSB saco de 20kg</v>
      </c>
      <c r="F1529" s="39">
        <v>44624</v>
      </c>
      <c r="G1529" s="7">
        <v>17</v>
      </c>
      <c r="H1529" s="3">
        <f>_xlfn.XLOOKUP(Vendas[[#This Row],[ID Item Vendido]],Agregado[ID],Agregado[Revenda])</f>
        <v>13.8</v>
      </c>
      <c r="I1529" s="3">
        <f>Vendas[[#This Row],[Valor Unitário]]*Vendas[[#This Row],[Qnt Vendida]]</f>
        <v>234.60000000000002</v>
      </c>
      <c r="J1529" s="3">
        <f>Vendas[[#This Row],[Valor da Venda]]-(_xlfn.XLOOKUP(Vendas[[#This Row],[ID Item Vendido]],Agregado[ID],Agregado[Custo])*Vendas[[#This Row],[Qnt Vendida]])</f>
        <v>30.600000000000023</v>
      </c>
      <c r="K1529" s="70">
        <f>Vendas[[#This Row],[Lucro da Venda]]/Vendas[[#This Row],[Valor da Venda]]</f>
        <v>0.13043478260869573</v>
      </c>
      <c r="L1529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1529"/>
    </row>
    <row r="1530" spans="1:13" x14ac:dyDescent="0.3">
      <c r="A1530" s="7">
        <v>400249</v>
      </c>
      <c r="B1530" t="str">
        <f>_xlfn.XLOOKUP(Vendas[[#This Row],[ID Vendedor]],Vendedores[ID],Vendedores[Nome])</f>
        <v>Bruno</v>
      </c>
      <c r="C1530" s="7" t="str">
        <f>_xlfn.XLOOKUP(Vendas[[#This Row],[ID Vendedor]],Vendedores[ID],Vendedores[Setor])</f>
        <v>CM</v>
      </c>
      <c r="D1530" s="7" t="s">
        <v>32</v>
      </c>
      <c r="E1530" t="str">
        <f>_xlfn.XLOOKUP(Vendas[[#This Row],[ID Item Vendido]],Agregado[ID],Agregado[Produto])</f>
        <v>Tábua tratada e cortada 3m</v>
      </c>
      <c r="F1530" s="39">
        <v>44625</v>
      </c>
      <c r="G1530" s="7">
        <v>37</v>
      </c>
      <c r="H1530" s="3">
        <f>_xlfn.XLOOKUP(Vendas[[#This Row],[ID Item Vendido]],Agregado[ID],Agregado[Revenda])</f>
        <v>39</v>
      </c>
      <c r="I1530" s="3">
        <f>Vendas[[#This Row],[Valor Unitário]]*Vendas[[#This Row],[Qnt Vendida]]</f>
        <v>1443</v>
      </c>
      <c r="J1530" s="3">
        <f>Vendas[[#This Row],[Valor da Venda]]-(_xlfn.XLOOKUP(Vendas[[#This Row],[ID Item Vendido]],Agregado[ID],Agregado[Custo])*Vendas[[#This Row],[Qnt Vendida]])</f>
        <v>259</v>
      </c>
      <c r="K1530" s="70">
        <f>Vendas[[#This Row],[Lucro da Venda]]/Vendas[[#This Row],[Valor da Venda]]</f>
        <v>0.17948717948717949</v>
      </c>
      <c r="L1530" s="3">
        <f>_xlfn.IFS(Vendas[[#This Row],[Margem de Lucro (%)]]&lt;15%,Vendas[[#This Row],[Valor da Venda]]*3%,Vendas[[#This Row],[Margem de Lucro (%)]]&lt;=20%,Vendas[[#This Row],[Valor da Venda]]*4.5%,TRUE,Vendas[[#This Row],[Valor da Venda]]*6%)</f>
        <v>64.935000000000002</v>
      </c>
      <c r="M1530"/>
    </row>
    <row r="1531" spans="1:13" x14ac:dyDescent="0.3">
      <c r="A1531" s="7">
        <v>400255</v>
      </c>
      <c r="B1531" t="str">
        <f>_xlfn.XLOOKUP(Vendas[[#This Row],[ID Vendedor]],Vendedores[ID],Vendedores[Nome])</f>
        <v>Carlos</v>
      </c>
      <c r="C1531" s="7" t="str">
        <f>_xlfn.XLOOKUP(Vendas[[#This Row],[ID Vendedor]],Vendedores[ID],Vendedores[Setor])</f>
        <v>SC</v>
      </c>
      <c r="D1531" s="7" t="s">
        <v>25</v>
      </c>
      <c r="E1531" t="str">
        <f>_xlfn.XLOOKUP(Vendas[[#This Row],[ID Item Vendido]],Agregado[ID],Agregado[Produto])</f>
        <v>Palete de plástico</v>
      </c>
      <c r="F1531" s="39">
        <v>44625</v>
      </c>
      <c r="G1531" s="7">
        <v>12</v>
      </c>
      <c r="H1531" s="3">
        <f>_xlfn.XLOOKUP(Vendas[[#This Row],[ID Item Vendido]],Agregado[ID],Agregado[Revenda])</f>
        <v>70.8</v>
      </c>
      <c r="I1531" s="3">
        <f>Vendas[[#This Row],[Valor Unitário]]*Vendas[[#This Row],[Qnt Vendida]]</f>
        <v>849.59999999999991</v>
      </c>
      <c r="J1531" s="3">
        <f>Vendas[[#This Row],[Valor da Venda]]-(_xlfn.XLOOKUP(Vendas[[#This Row],[ID Item Vendido]],Agregado[ID],Agregado[Custo])*Vendas[[#This Row],[Qnt Vendida]])</f>
        <v>129.59999999999991</v>
      </c>
      <c r="K1531" s="70">
        <f>Vendas[[#This Row],[Lucro da Venda]]/Vendas[[#This Row],[Valor da Venda]]</f>
        <v>0.15254237288135583</v>
      </c>
      <c r="L1531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1531"/>
    </row>
    <row r="1532" spans="1:13" x14ac:dyDescent="0.3">
      <c r="A1532" s="7">
        <v>400250</v>
      </c>
      <c r="B1532" t="str">
        <f>_xlfn.XLOOKUP(Vendas[[#This Row],[ID Vendedor]],Vendedores[ID],Vendedores[Nome])</f>
        <v>Larissa</v>
      </c>
      <c r="C1532" s="7" t="str">
        <f>_xlfn.XLOOKUP(Vendas[[#This Row],[ID Vendedor]],Vendedores[ID],Vendedores[Setor])</f>
        <v>AB</v>
      </c>
      <c r="D1532" s="7" t="s">
        <v>37</v>
      </c>
      <c r="E1532" t="str">
        <f>_xlfn.XLOOKUP(Vendas[[#This Row],[ID Item Vendido]],Agregado[ID],Agregado[Produto])</f>
        <v>Composto de borracha para vedação rolo 10m</v>
      </c>
      <c r="F1532" s="39">
        <v>44625</v>
      </c>
      <c r="G1532" s="7">
        <v>11</v>
      </c>
      <c r="H1532" s="3">
        <f>_xlfn.XLOOKUP(Vendas[[#This Row],[ID Item Vendido]],Agregado[ID],Agregado[Revenda])</f>
        <v>51.2</v>
      </c>
      <c r="I1532" s="3">
        <f>Vendas[[#This Row],[Valor Unitário]]*Vendas[[#This Row],[Qnt Vendida]]</f>
        <v>563.20000000000005</v>
      </c>
      <c r="J1532" s="3">
        <f>Vendas[[#This Row],[Valor da Venda]]-(_xlfn.XLOOKUP(Vendas[[#This Row],[ID Item Vendido]],Agregado[ID],Agregado[Custo])*Vendas[[#This Row],[Qnt Vendida]])</f>
        <v>123.20000000000005</v>
      </c>
      <c r="K1532" s="70">
        <f>Vendas[[#This Row],[Lucro da Venda]]/Vendas[[#This Row],[Valor da Venda]]</f>
        <v>0.21875000000000006</v>
      </c>
      <c r="L1532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1532"/>
    </row>
    <row r="1533" spans="1:13" x14ac:dyDescent="0.3">
      <c r="A1533" s="7">
        <v>400248</v>
      </c>
      <c r="B1533" t="str">
        <f>_xlfn.XLOOKUP(Vendas[[#This Row],[ID Vendedor]],Vendedores[ID],Vendedores[Nome])</f>
        <v>Patrícia</v>
      </c>
      <c r="C1533" s="7" t="str">
        <f>_xlfn.XLOOKUP(Vendas[[#This Row],[ID Vendedor]],Vendedores[ID],Vendedores[Setor])</f>
        <v>CM</v>
      </c>
      <c r="D1533" s="7" t="s">
        <v>32</v>
      </c>
      <c r="E1533" t="str">
        <f>_xlfn.XLOOKUP(Vendas[[#This Row],[ID Item Vendido]],Agregado[ID],Agregado[Produto])</f>
        <v>Tábua tratada e cortada 3m</v>
      </c>
      <c r="F1533" s="39">
        <v>44625</v>
      </c>
      <c r="G1533" s="7">
        <v>8</v>
      </c>
      <c r="H1533" s="3">
        <f>_xlfn.XLOOKUP(Vendas[[#This Row],[ID Item Vendido]],Agregado[ID],Agregado[Revenda])</f>
        <v>39</v>
      </c>
      <c r="I1533" s="3">
        <f>Vendas[[#This Row],[Valor Unitário]]*Vendas[[#This Row],[Qnt Vendida]]</f>
        <v>312</v>
      </c>
      <c r="J1533" s="3">
        <f>Vendas[[#This Row],[Valor da Venda]]-(_xlfn.XLOOKUP(Vendas[[#This Row],[ID Item Vendido]],Agregado[ID],Agregado[Custo])*Vendas[[#This Row],[Qnt Vendida]])</f>
        <v>56</v>
      </c>
      <c r="K1533" s="70">
        <f>Vendas[[#This Row],[Lucro da Venda]]/Vendas[[#This Row],[Valor da Venda]]</f>
        <v>0.17948717948717949</v>
      </c>
      <c r="L153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533"/>
    </row>
    <row r="1534" spans="1:13" x14ac:dyDescent="0.3">
      <c r="A1534" s="7">
        <v>400245</v>
      </c>
      <c r="B1534" t="str">
        <f>_xlfn.XLOOKUP(Vendas[[#This Row],[ID Vendedor]],Vendedores[ID],Vendedores[Nome])</f>
        <v>Thiago</v>
      </c>
      <c r="C1534" s="7" t="str">
        <f>_xlfn.XLOOKUP(Vendas[[#This Row],[ID Vendedor]],Vendedores[ID],Vendedores[Setor])</f>
        <v>AHD</v>
      </c>
      <c r="D1534" s="7" t="s">
        <v>18</v>
      </c>
      <c r="E1534" t="str">
        <f>_xlfn.XLOOKUP(Vendas[[#This Row],[ID Item Vendido]],Agregado[ID],Agregado[Produto])</f>
        <v>Peça forjada sob encomenda</v>
      </c>
      <c r="F1534" s="39">
        <v>44626</v>
      </c>
      <c r="G1534" s="7">
        <v>6</v>
      </c>
      <c r="H1534" s="3">
        <f>_xlfn.XLOOKUP(Vendas[[#This Row],[ID Item Vendido]],Agregado[ID],Agregado[Revenda])</f>
        <v>264.60000000000002</v>
      </c>
      <c r="I1534" s="3">
        <f>Vendas[[#This Row],[Valor Unitário]]*Vendas[[#This Row],[Qnt Vendida]]</f>
        <v>1587.6000000000001</v>
      </c>
      <c r="J1534" s="3">
        <f>Vendas[[#This Row],[Valor da Venda]]-(_xlfn.XLOOKUP(Vendas[[#This Row],[ID Item Vendido]],Agregado[ID],Agregado[Custo])*Vendas[[#This Row],[Qnt Vendida]])</f>
        <v>87.600000000000136</v>
      </c>
      <c r="K1534" s="70">
        <f>Vendas[[#This Row],[Lucro da Venda]]/Vendas[[#This Row],[Valor da Venda]]</f>
        <v>5.5177626606198113E-2</v>
      </c>
      <c r="L1534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534"/>
    </row>
    <row r="1535" spans="1:13" x14ac:dyDescent="0.3">
      <c r="A1535" s="7">
        <v>400248</v>
      </c>
      <c r="B1535" t="str">
        <f>_xlfn.XLOOKUP(Vendas[[#This Row],[ID Vendedor]],Vendedores[ID],Vendedores[Nome])</f>
        <v>Patrícia</v>
      </c>
      <c r="C1535" s="7" t="str">
        <f>_xlfn.XLOOKUP(Vendas[[#This Row],[ID Vendedor]],Vendedores[ID],Vendedores[Setor])</f>
        <v>CM</v>
      </c>
      <c r="D1535" s="7" t="s">
        <v>34</v>
      </c>
      <c r="E1535" t="str">
        <f>_xlfn.XLOOKUP(Vendas[[#This Row],[ID Item Vendido]],Agregado[ID],Agregado[Produto])</f>
        <v>Restos de madeira p/ MDP/OSB saco de 20kg</v>
      </c>
      <c r="F1535" s="39">
        <v>44626</v>
      </c>
      <c r="G1535" s="7">
        <v>25</v>
      </c>
      <c r="H1535" s="3">
        <f>_xlfn.XLOOKUP(Vendas[[#This Row],[ID Item Vendido]],Agregado[ID],Agregado[Revenda])</f>
        <v>13.8</v>
      </c>
      <c r="I1535" s="3">
        <f>Vendas[[#This Row],[Valor Unitário]]*Vendas[[#This Row],[Qnt Vendida]]</f>
        <v>345</v>
      </c>
      <c r="J1535" s="3">
        <f>Vendas[[#This Row],[Valor da Venda]]-(_xlfn.XLOOKUP(Vendas[[#This Row],[ID Item Vendido]],Agregado[ID],Agregado[Custo])*Vendas[[#This Row],[Qnt Vendida]])</f>
        <v>45</v>
      </c>
      <c r="K1535" s="70">
        <f>Vendas[[#This Row],[Lucro da Venda]]/Vendas[[#This Row],[Valor da Venda]]</f>
        <v>0.13043478260869565</v>
      </c>
      <c r="L1535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1535"/>
    </row>
    <row r="1536" spans="1:13" x14ac:dyDescent="0.3">
      <c r="A1536" s="7">
        <v>400244</v>
      </c>
      <c r="B1536" t="str">
        <f>_xlfn.XLOOKUP(Vendas[[#This Row],[ID Vendedor]],Vendedores[ID],Vendedores[Nome])</f>
        <v>Camila</v>
      </c>
      <c r="C1536" s="7" t="str">
        <f>_xlfn.XLOOKUP(Vendas[[#This Row],[ID Vendedor]],Vendedores[ID],Vendedores[Setor])</f>
        <v>AHD</v>
      </c>
      <c r="D1536" s="7" t="s">
        <v>9</v>
      </c>
      <c r="E1536" t="str">
        <f>_xlfn.XLOOKUP(Vendas[[#This Row],[ID Item Vendido]],Agregado[ID],Agregado[Produto])</f>
        <v>Barra de aço simples</v>
      </c>
      <c r="F1536" s="39">
        <v>44626</v>
      </c>
      <c r="G1536" s="7">
        <v>46</v>
      </c>
      <c r="H1536" s="3">
        <f>_xlfn.XLOOKUP(Vendas[[#This Row],[ID Item Vendido]],Agregado[ID],Agregado[Revenda])</f>
        <v>6.7</v>
      </c>
      <c r="I1536" s="3">
        <f>Vendas[[#This Row],[Valor Unitário]]*Vendas[[#This Row],[Qnt Vendida]]</f>
        <v>308.2</v>
      </c>
      <c r="J1536" s="3">
        <f>Vendas[[#This Row],[Valor da Venda]]-(_xlfn.XLOOKUP(Vendas[[#This Row],[ID Item Vendido]],Agregado[ID],Agregado[Custo])*Vendas[[#This Row],[Qnt Vendida]])</f>
        <v>41.399999999999977</v>
      </c>
      <c r="K1536" s="70">
        <f>Vendas[[#This Row],[Lucro da Venda]]/Vendas[[#This Row],[Valor da Venda]]</f>
        <v>0.13432835820895517</v>
      </c>
      <c r="L1536" s="3">
        <f>_xlfn.IFS(Vendas[[#This Row],[Margem de Lucro (%)]]&lt;15%,Vendas[[#This Row],[Valor da Venda]]*3%,Vendas[[#This Row],[Margem de Lucro (%)]]&lt;=20%,Vendas[[#This Row],[Valor da Venda]]*4.5%,TRUE,Vendas[[#This Row],[Valor da Venda]]*6%)</f>
        <v>9.2459999999999987</v>
      </c>
      <c r="M1536"/>
    </row>
    <row r="1537" spans="1:13" x14ac:dyDescent="0.3">
      <c r="A1537" s="7">
        <v>400244</v>
      </c>
      <c r="B1537" t="str">
        <f>_xlfn.XLOOKUP(Vendas[[#This Row],[ID Vendedor]],Vendedores[ID],Vendedores[Nome])</f>
        <v>Camila</v>
      </c>
      <c r="C1537" s="7" t="str">
        <f>_xlfn.XLOOKUP(Vendas[[#This Row],[ID Vendedor]],Vendedores[ID],Vendedores[Setor])</f>
        <v>AHD</v>
      </c>
      <c r="D1537" s="7" t="s">
        <v>44</v>
      </c>
      <c r="E1537" t="str">
        <f>_xlfn.XLOOKUP(Vendas[[#This Row],[ID Item Vendido]],Agregado[ID],Agregado[Produto])</f>
        <v>Liga metálica especial</v>
      </c>
      <c r="F1537" s="39">
        <v>44627</v>
      </c>
      <c r="G1537" s="7">
        <v>46</v>
      </c>
      <c r="H1537" s="3">
        <f>_xlfn.XLOOKUP(Vendas[[#This Row],[ID Item Vendido]],Agregado[ID],Agregado[Revenda])</f>
        <v>32.5</v>
      </c>
      <c r="I1537" s="3">
        <f>Vendas[[#This Row],[Valor Unitário]]*Vendas[[#This Row],[Qnt Vendida]]</f>
        <v>1495</v>
      </c>
      <c r="J1537" s="3">
        <f>Vendas[[#This Row],[Valor da Venda]]-(_xlfn.XLOOKUP(Vendas[[#This Row],[ID Item Vendido]],Agregado[ID],Agregado[Custo])*Vendas[[#This Row],[Qnt Vendida]])</f>
        <v>345</v>
      </c>
      <c r="K1537" s="70">
        <f>Vendas[[#This Row],[Lucro da Venda]]/Vendas[[#This Row],[Valor da Venda]]</f>
        <v>0.23076923076923078</v>
      </c>
      <c r="L1537" s="3">
        <f>_xlfn.IFS(Vendas[[#This Row],[Margem de Lucro (%)]]&lt;15%,Vendas[[#This Row],[Valor da Venda]]*3%,Vendas[[#This Row],[Margem de Lucro (%)]]&lt;=20%,Vendas[[#This Row],[Valor da Venda]]*4.5%,TRUE,Vendas[[#This Row],[Valor da Venda]]*6%)</f>
        <v>89.7</v>
      </c>
      <c r="M1537"/>
    </row>
    <row r="1538" spans="1:13" x14ac:dyDescent="0.3">
      <c r="A1538" s="7">
        <v>400244</v>
      </c>
      <c r="B1538" t="str">
        <f>_xlfn.XLOOKUP(Vendas[[#This Row],[ID Vendedor]],Vendedores[ID],Vendedores[Nome])</f>
        <v>Camila</v>
      </c>
      <c r="C1538" s="7" t="str">
        <f>_xlfn.XLOOKUP(Vendas[[#This Row],[ID Vendedor]],Vendedores[ID],Vendedores[Setor])</f>
        <v>AHD</v>
      </c>
      <c r="D1538" s="7" t="s">
        <v>28</v>
      </c>
      <c r="E1538" t="str">
        <f>_xlfn.XLOOKUP(Vendas[[#This Row],[ID Item Vendido]],Agregado[ID],Agregado[Produto])</f>
        <v>Peça usinada CNC</v>
      </c>
      <c r="F1538" s="39">
        <v>44628</v>
      </c>
      <c r="G1538" s="7">
        <v>2</v>
      </c>
      <c r="H1538" s="3">
        <f>_xlfn.XLOOKUP(Vendas[[#This Row],[ID Item Vendido]],Agregado[ID],Agregado[Revenda])</f>
        <v>192</v>
      </c>
      <c r="I1538" s="3">
        <f>Vendas[[#This Row],[Valor Unitário]]*Vendas[[#This Row],[Qnt Vendida]]</f>
        <v>384</v>
      </c>
      <c r="J1538" s="3">
        <f>Vendas[[#This Row],[Valor da Venda]]-(_xlfn.XLOOKUP(Vendas[[#This Row],[ID Item Vendido]],Agregado[ID],Agregado[Custo])*Vendas[[#This Row],[Qnt Vendida]])</f>
        <v>84</v>
      </c>
      <c r="K1538" s="70">
        <f>Vendas[[#This Row],[Lucro da Venda]]/Vendas[[#This Row],[Valor da Venda]]</f>
        <v>0.21875</v>
      </c>
      <c r="L1538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1538"/>
    </row>
    <row r="1539" spans="1:13" x14ac:dyDescent="0.3">
      <c r="A1539" s="7">
        <v>400242</v>
      </c>
      <c r="B1539" t="str">
        <f>_xlfn.XLOOKUP(Vendas[[#This Row],[ID Vendedor]],Vendedores[ID],Vendedores[Nome])</f>
        <v>Fernanda</v>
      </c>
      <c r="C1539" s="7" t="str">
        <f>_xlfn.XLOOKUP(Vendas[[#This Row],[ID Vendedor]],Vendedores[ID],Vendedores[Setor])</f>
        <v>FM</v>
      </c>
      <c r="D1539" s="7" t="s">
        <v>20</v>
      </c>
      <c r="E1539" t="str">
        <f>_xlfn.XLOOKUP(Vendas[[#This Row],[ID Item Vendido]],Agregado[ID],Agregado[Produto])</f>
        <v>Barra de aço simples</v>
      </c>
      <c r="F1539" s="39">
        <v>44628</v>
      </c>
      <c r="G1539" s="7">
        <v>46</v>
      </c>
      <c r="H1539" s="3">
        <f>_xlfn.XLOOKUP(Vendas[[#This Row],[ID Item Vendido]],Agregado[ID],Agregado[Revenda])</f>
        <v>4.8</v>
      </c>
      <c r="I1539" s="3">
        <f>Vendas[[#This Row],[Valor Unitário]]*Vendas[[#This Row],[Qnt Vendida]]</f>
        <v>220.79999999999998</v>
      </c>
      <c r="J1539" s="3">
        <f>Vendas[[#This Row],[Valor da Venda]]-(_xlfn.XLOOKUP(Vendas[[#This Row],[ID Item Vendido]],Agregado[ID],Agregado[Custo])*Vendas[[#This Row],[Qnt Vendida]])</f>
        <v>27.599999999999966</v>
      </c>
      <c r="K1539" s="70">
        <f>Vendas[[#This Row],[Lucro da Venda]]/Vendas[[#This Row],[Valor da Venda]]</f>
        <v>0.12499999999999986</v>
      </c>
      <c r="L1539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1539"/>
    </row>
    <row r="1540" spans="1:13" x14ac:dyDescent="0.3">
      <c r="A1540" s="7">
        <v>400248</v>
      </c>
      <c r="B1540" t="str">
        <f>_xlfn.XLOOKUP(Vendas[[#This Row],[ID Vendedor]],Vendedores[ID],Vendedores[Nome])</f>
        <v>Patrícia</v>
      </c>
      <c r="C1540" s="7" t="str">
        <f>_xlfn.XLOOKUP(Vendas[[#This Row],[ID Vendedor]],Vendedores[ID],Vendedores[Setor])</f>
        <v>CM</v>
      </c>
      <c r="D1540" s="7" t="s">
        <v>43</v>
      </c>
      <c r="E1540" t="str">
        <f>_xlfn.XLOOKUP(Vendas[[#This Row],[ID Item Vendido]],Agregado[ID],Agregado[Produto])</f>
        <v>Madeira Bruta (Tora)</v>
      </c>
      <c r="F1540" s="39">
        <v>44629</v>
      </c>
      <c r="G1540" s="7">
        <v>11</v>
      </c>
      <c r="H1540" s="3">
        <f>_xlfn.XLOOKUP(Vendas[[#This Row],[ID Item Vendido]],Agregado[ID],Agregado[Revenda])</f>
        <v>212</v>
      </c>
      <c r="I1540" s="3">
        <f>Vendas[[#This Row],[Valor Unitário]]*Vendas[[#This Row],[Qnt Vendida]]</f>
        <v>2332</v>
      </c>
      <c r="J1540" s="3">
        <f>Vendas[[#This Row],[Valor da Venda]]-(_xlfn.XLOOKUP(Vendas[[#This Row],[ID Item Vendido]],Agregado[ID],Agregado[Custo])*Vendas[[#This Row],[Qnt Vendida]])</f>
        <v>352</v>
      </c>
      <c r="K1540" s="70">
        <f>Vendas[[#This Row],[Lucro da Venda]]/Vendas[[#This Row],[Valor da Venda]]</f>
        <v>0.15094339622641509</v>
      </c>
      <c r="L154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540"/>
    </row>
    <row r="1541" spans="1:13" x14ac:dyDescent="0.3">
      <c r="A1541" s="7">
        <v>400247</v>
      </c>
      <c r="B1541" t="str">
        <f>_xlfn.XLOOKUP(Vendas[[#This Row],[ID Vendedor]],Vendedores[ID],Vendedores[Nome])</f>
        <v>André</v>
      </c>
      <c r="C1541" s="7" t="str">
        <f>_xlfn.XLOOKUP(Vendas[[#This Row],[ID Vendedor]],Vendedores[ID],Vendedores[Setor])</f>
        <v>CM</v>
      </c>
      <c r="D1541" s="7" t="s">
        <v>22</v>
      </c>
      <c r="E1541" t="str">
        <f>_xlfn.XLOOKUP(Vendas[[#This Row],[ID Item Vendido]],Agregado[ID],Agregado[Produto])</f>
        <v>Painel MDP 2,75x1,83m</v>
      </c>
      <c r="F1541" s="39">
        <v>44629</v>
      </c>
      <c r="G1541" s="7">
        <v>8</v>
      </c>
      <c r="H1541" s="3">
        <f>_xlfn.XLOOKUP(Vendas[[#This Row],[ID Item Vendido]],Agregado[ID],Agregado[Revenda])</f>
        <v>119</v>
      </c>
      <c r="I1541" s="3">
        <f>Vendas[[#This Row],[Valor Unitário]]*Vendas[[#This Row],[Qnt Vendida]]</f>
        <v>952</v>
      </c>
      <c r="J1541" s="3">
        <f>Vendas[[#This Row],[Valor da Venda]]-(_xlfn.XLOOKUP(Vendas[[#This Row],[ID Item Vendido]],Agregado[ID],Agregado[Custo])*Vendas[[#This Row],[Qnt Vendida]])</f>
        <v>192</v>
      </c>
      <c r="K1541" s="70">
        <f>Vendas[[#This Row],[Lucro da Venda]]/Vendas[[#This Row],[Valor da Venda]]</f>
        <v>0.20168067226890757</v>
      </c>
      <c r="L1541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541"/>
    </row>
    <row r="1542" spans="1:13" x14ac:dyDescent="0.3">
      <c r="A1542" s="7">
        <v>400244</v>
      </c>
      <c r="B1542" t="str">
        <f>_xlfn.XLOOKUP(Vendas[[#This Row],[ID Vendedor]],Vendedores[ID],Vendedores[Nome])</f>
        <v>Camila</v>
      </c>
      <c r="C1542" s="7" t="str">
        <f>_xlfn.XLOOKUP(Vendas[[#This Row],[ID Vendedor]],Vendedores[ID],Vendedores[Setor])</f>
        <v>AHD</v>
      </c>
      <c r="D1542" s="7" t="s">
        <v>18</v>
      </c>
      <c r="E1542" t="str">
        <f>_xlfn.XLOOKUP(Vendas[[#This Row],[ID Item Vendido]],Agregado[ID],Agregado[Produto])</f>
        <v>Peça forjada sob encomenda</v>
      </c>
      <c r="F1542" s="39">
        <v>44629</v>
      </c>
      <c r="G1542" s="7">
        <v>1</v>
      </c>
      <c r="H1542" s="3">
        <f>_xlfn.XLOOKUP(Vendas[[#This Row],[ID Item Vendido]],Agregado[ID],Agregado[Revenda])</f>
        <v>264.60000000000002</v>
      </c>
      <c r="I1542" s="3">
        <f>Vendas[[#This Row],[Valor Unitário]]*Vendas[[#This Row],[Qnt Vendida]]</f>
        <v>264.60000000000002</v>
      </c>
      <c r="J1542" s="3">
        <f>Vendas[[#This Row],[Valor da Venda]]-(_xlfn.XLOOKUP(Vendas[[#This Row],[ID Item Vendido]],Agregado[ID],Agregado[Custo])*Vendas[[#This Row],[Qnt Vendida]])</f>
        <v>14.600000000000023</v>
      </c>
      <c r="K1542" s="70">
        <f>Vendas[[#This Row],[Lucro da Venda]]/Vendas[[#This Row],[Valor da Venda]]</f>
        <v>5.5177626606198113E-2</v>
      </c>
      <c r="L1542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542"/>
    </row>
    <row r="1543" spans="1:13" x14ac:dyDescent="0.3">
      <c r="A1543" s="7">
        <v>400253</v>
      </c>
      <c r="B1543" t="str">
        <f>_xlfn.XLOOKUP(Vendas[[#This Row],[ID Vendedor]],Vendedores[ID],Vendedores[Nome])</f>
        <v>Gustavo</v>
      </c>
      <c r="C1543" s="7" t="str">
        <f>_xlfn.XLOOKUP(Vendas[[#This Row],[ID Vendedor]],Vendedores[ID],Vendedores[Setor])</f>
        <v>SC</v>
      </c>
      <c r="D1543" s="7" t="s">
        <v>14</v>
      </c>
      <c r="E1543" t="str">
        <f>_xlfn.XLOOKUP(Vendas[[#This Row],[ID Item Vendido]],Agregado[ID],Agregado[Produto])</f>
        <v>Barril de plástico 200L</v>
      </c>
      <c r="F1543" s="39">
        <v>44631</v>
      </c>
      <c r="G1543" s="7">
        <v>13</v>
      </c>
      <c r="H1543" s="3">
        <f>_xlfn.XLOOKUP(Vendas[[#This Row],[ID Item Vendido]],Agregado[ID],Agregado[Revenda])</f>
        <v>114</v>
      </c>
      <c r="I1543" s="3">
        <f>Vendas[[#This Row],[Valor Unitário]]*Vendas[[#This Row],[Qnt Vendida]]</f>
        <v>1482</v>
      </c>
      <c r="J1543" s="3">
        <f>Vendas[[#This Row],[Valor da Venda]]-(_xlfn.XLOOKUP(Vendas[[#This Row],[ID Item Vendido]],Agregado[ID],Agregado[Custo])*Vendas[[#This Row],[Qnt Vendida]])</f>
        <v>247</v>
      </c>
      <c r="K1543" s="70">
        <f>Vendas[[#This Row],[Lucro da Venda]]/Vendas[[#This Row],[Valor da Venda]]</f>
        <v>0.16666666666666666</v>
      </c>
      <c r="L1543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1543"/>
    </row>
    <row r="1544" spans="1:13" x14ac:dyDescent="0.3">
      <c r="A1544" s="7">
        <v>400249</v>
      </c>
      <c r="B1544" t="str">
        <f>_xlfn.XLOOKUP(Vendas[[#This Row],[ID Vendedor]],Vendedores[ID],Vendedores[Nome])</f>
        <v>Bruno</v>
      </c>
      <c r="C1544" s="7" t="str">
        <f>_xlfn.XLOOKUP(Vendas[[#This Row],[ID Vendedor]],Vendedores[ID],Vendedores[Setor])</f>
        <v>CM</v>
      </c>
      <c r="D1544" s="7" t="s">
        <v>34</v>
      </c>
      <c r="E1544" t="str">
        <f>_xlfn.XLOOKUP(Vendas[[#This Row],[ID Item Vendido]],Agregado[ID],Agregado[Produto])</f>
        <v>Restos de madeira p/ MDP/OSB saco de 20kg</v>
      </c>
      <c r="F1544" s="39">
        <v>44631</v>
      </c>
      <c r="G1544" s="7">
        <v>5</v>
      </c>
      <c r="H1544" s="3">
        <f>_xlfn.XLOOKUP(Vendas[[#This Row],[ID Item Vendido]],Agregado[ID],Agregado[Revenda])</f>
        <v>13.8</v>
      </c>
      <c r="I1544" s="3">
        <f>Vendas[[#This Row],[Valor Unitário]]*Vendas[[#This Row],[Qnt Vendida]]</f>
        <v>69</v>
      </c>
      <c r="J1544" s="3">
        <f>Vendas[[#This Row],[Valor da Venda]]-(_xlfn.XLOOKUP(Vendas[[#This Row],[ID Item Vendido]],Agregado[ID],Agregado[Custo])*Vendas[[#This Row],[Qnt Vendida]])</f>
        <v>9</v>
      </c>
      <c r="K1544" s="70">
        <f>Vendas[[#This Row],[Lucro da Venda]]/Vendas[[#This Row],[Valor da Venda]]</f>
        <v>0.13043478260869565</v>
      </c>
      <c r="L1544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1544"/>
    </row>
    <row r="1545" spans="1:13" x14ac:dyDescent="0.3">
      <c r="A1545" s="7">
        <v>400251</v>
      </c>
      <c r="B1545" t="str">
        <f>_xlfn.XLOOKUP(Vendas[[#This Row],[ID Vendedor]],Vendedores[ID],Vendedores[Nome])</f>
        <v>Diego</v>
      </c>
      <c r="C1545" s="7" t="str">
        <f>_xlfn.XLOOKUP(Vendas[[#This Row],[ID Vendedor]],Vendedores[ID],Vendedores[Setor])</f>
        <v>AB</v>
      </c>
      <c r="D1545" s="7" t="s">
        <v>24</v>
      </c>
      <c r="E1545" t="str">
        <f>_xlfn.XLOOKUP(Vendas[[#This Row],[ID Item Vendido]],Agregado[ID],Agregado[Produto])</f>
        <v>Resina plástica PET purificada saco de 25kg</v>
      </c>
      <c r="F1545" s="39">
        <v>44632</v>
      </c>
      <c r="G1545" s="7">
        <v>15</v>
      </c>
      <c r="H1545" s="3">
        <f>_xlfn.XLOOKUP(Vendas[[#This Row],[ID Item Vendido]],Agregado[ID],Agregado[Revenda])</f>
        <v>119</v>
      </c>
      <c r="I1545" s="3">
        <f>Vendas[[#This Row],[Valor Unitário]]*Vendas[[#This Row],[Qnt Vendida]]</f>
        <v>1785</v>
      </c>
      <c r="J1545" s="3">
        <f>Vendas[[#This Row],[Valor da Venda]]-(_xlfn.XLOOKUP(Vendas[[#This Row],[ID Item Vendido]],Agregado[ID],Agregado[Custo])*Vendas[[#This Row],[Qnt Vendida]])</f>
        <v>510</v>
      </c>
      <c r="K1545" s="70">
        <f>Vendas[[#This Row],[Lucro da Venda]]/Vendas[[#This Row],[Valor da Venda]]</f>
        <v>0.2857142857142857</v>
      </c>
      <c r="L1545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1545"/>
    </row>
    <row r="1546" spans="1:13" x14ac:dyDescent="0.3">
      <c r="A1546" s="7">
        <v>400242</v>
      </c>
      <c r="B1546" t="str">
        <f>_xlfn.XLOOKUP(Vendas[[#This Row],[ID Vendedor]],Vendedores[ID],Vendedores[Nome])</f>
        <v>Fernanda</v>
      </c>
      <c r="C1546" s="7" t="str">
        <f>_xlfn.XLOOKUP(Vendas[[#This Row],[ID Vendedor]],Vendedores[ID],Vendedores[Setor])</f>
        <v>FM</v>
      </c>
      <c r="D1546" s="7" t="s">
        <v>20</v>
      </c>
      <c r="E1546" t="str">
        <f>_xlfn.XLOOKUP(Vendas[[#This Row],[ID Item Vendido]],Agregado[ID],Agregado[Produto])</f>
        <v>Barra de aço simples</v>
      </c>
      <c r="F1546" s="39">
        <v>44632</v>
      </c>
      <c r="G1546" s="7">
        <v>96</v>
      </c>
      <c r="H1546" s="3">
        <f>_xlfn.XLOOKUP(Vendas[[#This Row],[ID Item Vendido]],Agregado[ID],Agregado[Revenda])</f>
        <v>4.8</v>
      </c>
      <c r="I1546" s="3">
        <f>Vendas[[#This Row],[Valor Unitário]]*Vendas[[#This Row],[Qnt Vendida]]</f>
        <v>460.79999999999995</v>
      </c>
      <c r="J1546" s="3">
        <f>Vendas[[#This Row],[Valor da Venda]]-(_xlfn.XLOOKUP(Vendas[[#This Row],[ID Item Vendido]],Agregado[ID],Agregado[Custo])*Vendas[[#This Row],[Qnt Vendida]])</f>
        <v>57.599999999999909</v>
      </c>
      <c r="K1546" s="70">
        <f>Vendas[[#This Row],[Lucro da Venda]]/Vendas[[#This Row],[Valor da Venda]]</f>
        <v>0.12499999999999982</v>
      </c>
      <c r="L1546" s="3">
        <f>_xlfn.IFS(Vendas[[#This Row],[Margem de Lucro (%)]]&lt;15%,Vendas[[#This Row],[Valor da Venda]]*3%,Vendas[[#This Row],[Margem de Lucro (%)]]&lt;=20%,Vendas[[#This Row],[Valor da Venda]]*4.5%,TRUE,Vendas[[#This Row],[Valor da Venda]]*6%)</f>
        <v>13.823999999999998</v>
      </c>
      <c r="M1546"/>
    </row>
    <row r="1547" spans="1:13" x14ac:dyDescent="0.3">
      <c r="A1547" s="7">
        <v>400250</v>
      </c>
      <c r="B1547" t="str">
        <f>_xlfn.XLOOKUP(Vendas[[#This Row],[ID Vendedor]],Vendedores[ID],Vendedores[Nome])</f>
        <v>Larissa</v>
      </c>
      <c r="C1547" s="7" t="str">
        <f>_xlfn.XLOOKUP(Vendas[[#This Row],[ID Vendedor]],Vendedores[ID],Vendedores[Setor])</f>
        <v>AB</v>
      </c>
      <c r="D1547" s="7" t="s">
        <v>36</v>
      </c>
      <c r="E1547" t="str">
        <f>_xlfn.XLOOKUP(Vendas[[#This Row],[ID Item Vendido]],Agregado[ID],Agregado[Produto])</f>
        <v>Borracha vulcanizada em manta</v>
      </c>
      <c r="F1547" s="39">
        <v>44632</v>
      </c>
      <c r="G1547" s="7">
        <v>30</v>
      </c>
      <c r="H1547" s="3">
        <f>_xlfn.XLOOKUP(Vendas[[#This Row],[ID Item Vendido]],Agregado[ID],Agregado[Revenda])</f>
        <v>7.8</v>
      </c>
      <c r="I1547" s="3">
        <f>Vendas[[#This Row],[Valor Unitário]]*Vendas[[#This Row],[Qnt Vendida]]</f>
        <v>234</v>
      </c>
      <c r="J1547" s="3">
        <f>Vendas[[#This Row],[Valor da Venda]]-(_xlfn.XLOOKUP(Vendas[[#This Row],[ID Item Vendido]],Agregado[ID],Agregado[Custo])*Vendas[[#This Row],[Qnt Vendida]])</f>
        <v>54</v>
      </c>
      <c r="K1547" s="70">
        <f>Vendas[[#This Row],[Lucro da Venda]]/Vendas[[#This Row],[Valor da Venda]]</f>
        <v>0.23076923076923078</v>
      </c>
      <c r="L1547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547"/>
    </row>
    <row r="1548" spans="1:13" x14ac:dyDescent="0.3">
      <c r="A1548" s="7">
        <v>400253</v>
      </c>
      <c r="B1548" t="str">
        <f>_xlfn.XLOOKUP(Vendas[[#This Row],[ID Vendedor]],Vendedores[ID],Vendedores[Nome])</f>
        <v>Gustavo</v>
      </c>
      <c r="C1548" s="7" t="str">
        <f>_xlfn.XLOOKUP(Vendas[[#This Row],[ID Vendedor]],Vendedores[ID],Vendedores[Setor])</f>
        <v>SC</v>
      </c>
      <c r="D1548" s="7" t="s">
        <v>14</v>
      </c>
      <c r="E1548" t="str">
        <f>_xlfn.XLOOKUP(Vendas[[#This Row],[ID Item Vendido]],Agregado[ID],Agregado[Produto])</f>
        <v>Barril de plástico 200L</v>
      </c>
      <c r="F1548" s="39">
        <v>44633</v>
      </c>
      <c r="G1548" s="7">
        <v>21</v>
      </c>
      <c r="H1548" s="3">
        <f>_xlfn.XLOOKUP(Vendas[[#This Row],[ID Item Vendido]],Agregado[ID],Agregado[Revenda])</f>
        <v>114</v>
      </c>
      <c r="I1548" s="3">
        <f>Vendas[[#This Row],[Valor Unitário]]*Vendas[[#This Row],[Qnt Vendida]]</f>
        <v>2394</v>
      </c>
      <c r="J1548" s="3">
        <f>Vendas[[#This Row],[Valor da Venda]]-(_xlfn.XLOOKUP(Vendas[[#This Row],[ID Item Vendido]],Agregado[ID],Agregado[Custo])*Vendas[[#This Row],[Qnt Vendida]])</f>
        <v>399</v>
      </c>
      <c r="K1548" s="70">
        <f>Vendas[[#This Row],[Lucro da Venda]]/Vendas[[#This Row],[Valor da Venda]]</f>
        <v>0.16666666666666666</v>
      </c>
      <c r="L1548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1548"/>
    </row>
    <row r="1549" spans="1:13" x14ac:dyDescent="0.3">
      <c r="A1549" s="7">
        <v>400253</v>
      </c>
      <c r="B1549" t="str">
        <f>_xlfn.XLOOKUP(Vendas[[#This Row],[ID Vendedor]],Vendedores[ID],Vendedores[Nome])</f>
        <v>Gustavo</v>
      </c>
      <c r="C1549" s="7" t="str">
        <f>_xlfn.XLOOKUP(Vendas[[#This Row],[ID Vendedor]],Vendedores[ID],Vendedores[Setor])</f>
        <v>SC</v>
      </c>
      <c r="D1549" s="7" t="s">
        <v>48</v>
      </c>
      <c r="E1549" t="str">
        <f>_xlfn.XLOOKUP(Vendas[[#This Row],[ID Item Vendido]],Agregado[ID],Agregado[Produto])</f>
        <v>Tambor metálico 200L</v>
      </c>
      <c r="F1549" s="39">
        <v>44633</v>
      </c>
      <c r="G1549" s="7">
        <v>15</v>
      </c>
      <c r="H1549" s="3">
        <f>_xlfn.XLOOKUP(Vendas[[#This Row],[ID Item Vendido]],Agregado[ID],Agregado[Revenda])</f>
        <v>144</v>
      </c>
      <c r="I1549" s="3">
        <f>Vendas[[#This Row],[Valor Unitário]]*Vendas[[#This Row],[Qnt Vendida]]</f>
        <v>2160</v>
      </c>
      <c r="J1549" s="3">
        <f>Vendas[[#This Row],[Valor da Venda]]-(_xlfn.XLOOKUP(Vendas[[#This Row],[ID Item Vendido]],Agregado[ID],Agregado[Custo])*Vendas[[#This Row],[Qnt Vendida]])</f>
        <v>360</v>
      </c>
      <c r="K1549" s="70">
        <f>Vendas[[#This Row],[Lucro da Venda]]/Vendas[[#This Row],[Valor da Venda]]</f>
        <v>0.16666666666666666</v>
      </c>
      <c r="L1549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549"/>
    </row>
    <row r="1550" spans="1:13" x14ac:dyDescent="0.3">
      <c r="A1550" s="7">
        <v>400248</v>
      </c>
      <c r="B1550" t="str">
        <f>_xlfn.XLOOKUP(Vendas[[#This Row],[ID Vendedor]],Vendedores[ID],Vendedores[Nome])</f>
        <v>Patrícia</v>
      </c>
      <c r="C1550" s="7" t="str">
        <f>_xlfn.XLOOKUP(Vendas[[#This Row],[ID Vendedor]],Vendedores[ID],Vendedores[Setor])</f>
        <v>CM</v>
      </c>
      <c r="D1550" s="7" t="s">
        <v>34</v>
      </c>
      <c r="E1550" t="str">
        <f>_xlfn.XLOOKUP(Vendas[[#This Row],[ID Item Vendido]],Agregado[ID],Agregado[Produto])</f>
        <v>Restos de madeira p/ MDP/OSB saco de 20kg</v>
      </c>
      <c r="F1550" s="39">
        <v>44633</v>
      </c>
      <c r="G1550" s="7">
        <v>26</v>
      </c>
      <c r="H1550" s="3">
        <f>_xlfn.XLOOKUP(Vendas[[#This Row],[ID Item Vendido]],Agregado[ID],Agregado[Revenda])</f>
        <v>13.8</v>
      </c>
      <c r="I1550" s="3">
        <f>Vendas[[#This Row],[Valor Unitário]]*Vendas[[#This Row],[Qnt Vendida]]</f>
        <v>358.8</v>
      </c>
      <c r="J1550" s="3">
        <f>Vendas[[#This Row],[Valor da Venda]]-(_xlfn.XLOOKUP(Vendas[[#This Row],[ID Item Vendido]],Agregado[ID],Agregado[Custo])*Vendas[[#This Row],[Qnt Vendida]])</f>
        <v>46.800000000000011</v>
      </c>
      <c r="K1550" s="70">
        <f>Vendas[[#This Row],[Lucro da Venda]]/Vendas[[#This Row],[Valor da Venda]]</f>
        <v>0.13043478260869568</v>
      </c>
      <c r="L1550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1550"/>
    </row>
    <row r="1551" spans="1:13" x14ac:dyDescent="0.3">
      <c r="A1551" s="7">
        <v>400244</v>
      </c>
      <c r="B1551" t="str">
        <f>_xlfn.XLOOKUP(Vendas[[#This Row],[ID Vendedor]],Vendedores[ID],Vendedores[Nome])</f>
        <v>Camila</v>
      </c>
      <c r="C1551" s="7" t="str">
        <f>_xlfn.XLOOKUP(Vendas[[#This Row],[ID Vendedor]],Vendedores[ID],Vendedores[Setor])</f>
        <v>AHD</v>
      </c>
      <c r="D1551" s="7" t="s">
        <v>28</v>
      </c>
      <c r="E1551" t="str">
        <f>_xlfn.XLOOKUP(Vendas[[#This Row],[ID Item Vendido]],Agregado[ID],Agregado[Produto])</f>
        <v>Peça usinada CNC</v>
      </c>
      <c r="F1551" s="39">
        <v>44633</v>
      </c>
      <c r="G1551" s="7">
        <v>1</v>
      </c>
      <c r="H1551" s="3">
        <f>_xlfn.XLOOKUP(Vendas[[#This Row],[ID Item Vendido]],Agregado[ID],Agregado[Revenda])</f>
        <v>192</v>
      </c>
      <c r="I1551" s="3">
        <f>Vendas[[#This Row],[Valor Unitário]]*Vendas[[#This Row],[Qnt Vendida]]</f>
        <v>192</v>
      </c>
      <c r="J1551" s="3">
        <f>Vendas[[#This Row],[Valor da Venda]]-(_xlfn.XLOOKUP(Vendas[[#This Row],[ID Item Vendido]],Agregado[ID],Agregado[Custo])*Vendas[[#This Row],[Qnt Vendida]])</f>
        <v>42</v>
      </c>
      <c r="K1551" s="70">
        <f>Vendas[[#This Row],[Lucro da Venda]]/Vendas[[#This Row],[Valor da Venda]]</f>
        <v>0.21875</v>
      </c>
      <c r="L1551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1551"/>
    </row>
    <row r="1552" spans="1:13" x14ac:dyDescent="0.3">
      <c r="A1552" s="7">
        <v>400243</v>
      </c>
      <c r="B1552" t="str">
        <f>_xlfn.XLOOKUP(Vendas[[#This Row],[ID Vendedor]],Vendedores[ID],Vendedores[Nome])</f>
        <v>Marcelo</v>
      </c>
      <c r="C1552" s="7" t="str">
        <f>_xlfn.XLOOKUP(Vendas[[#This Row],[ID Vendedor]],Vendedores[ID],Vendedores[Setor])</f>
        <v>FM</v>
      </c>
      <c r="D1552" s="7" t="s">
        <v>47</v>
      </c>
      <c r="E1552" t="str">
        <f>_xlfn.XLOOKUP(Vendas[[#This Row],[ID Item Vendido]],Agregado[ID],Agregado[Produto])</f>
        <v>Fio de arame galvanizado rolo 50m</v>
      </c>
      <c r="F1552" s="39">
        <v>44634</v>
      </c>
      <c r="G1552" s="7">
        <v>38</v>
      </c>
      <c r="H1552" s="3">
        <f>_xlfn.XLOOKUP(Vendas[[#This Row],[ID Item Vendido]],Agregado[ID],Agregado[Revenda])</f>
        <v>21.2</v>
      </c>
      <c r="I1552" s="3">
        <f>Vendas[[#This Row],[Valor Unitário]]*Vendas[[#This Row],[Qnt Vendida]]</f>
        <v>805.6</v>
      </c>
      <c r="J1552" s="3">
        <f>Vendas[[#This Row],[Valor da Venda]]-(_xlfn.XLOOKUP(Vendas[[#This Row],[ID Item Vendido]],Agregado[ID],Agregado[Custo])*Vendas[[#This Row],[Qnt Vendida]])</f>
        <v>121.60000000000002</v>
      </c>
      <c r="K1552" s="70">
        <f>Vendas[[#This Row],[Lucro da Venda]]/Vendas[[#This Row],[Valor da Venda]]</f>
        <v>0.15094339622641512</v>
      </c>
      <c r="L1552" s="3">
        <f>_xlfn.IFS(Vendas[[#This Row],[Margem de Lucro (%)]]&lt;15%,Vendas[[#This Row],[Valor da Venda]]*3%,Vendas[[#This Row],[Margem de Lucro (%)]]&lt;=20%,Vendas[[#This Row],[Valor da Venda]]*4.5%,TRUE,Vendas[[#This Row],[Valor da Venda]]*6%)</f>
        <v>36.252000000000002</v>
      </c>
      <c r="M1552"/>
    </row>
    <row r="1553" spans="1:13" x14ac:dyDescent="0.3">
      <c r="A1553" s="7">
        <v>400242</v>
      </c>
      <c r="B1553" t="str">
        <f>_xlfn.XLOOKUP(Vendas[[#This Row],[ID Vendedor]],Vendedores[ID],Vendedores[Nome])</f>
        <v>Fernanda</v>
      </c>
      <c r="C1553" s="7" t="str">
        <f>_xlfn.XLOOKUP(Vendas[[#This Row],[ID Vendedor]],Vendedores[ID],Vendedores[Setor])</f>
        <v>FM</v>
      </c>
      <c r="D1553" s="7" t="s">
        <v>20</v>
      </c>
      <c r="E1553" t="str">
        <f>_xlfn.XLOOKUP(Vendas[[#This Row],[ID Item Vendido]],Agregado[ID],Agregado[Produto])</f>
        <v>Barra de aço simples</v>
      </c>
      <c r="F1553" s="39">
        <v>44634</v>
      </c>
      <c r="G1553" s="7">
        <v>111</v>
      </c>
      <c r="H1553" s="3">
        <f>_xlfn.XLOOKUP(Vendas[[#This Row],[ID Item Vendido]],Agregado[ID],Agregado[Revenda])</f>
        <v>4.8</v>
      </c>
      <c r="I1553" s="3">
        <f>Vendas[[#This Row],[Valor Unitário]]*Vendas[[#This Row],[Qnt Vendida]]</f>
        <v>532.79999999999995</v>
      </c>
      <c r="J1553" s="3">
        <f>Vendas[[#This Row],[Valor da Venda]]-(_xlfn.XLOOKUP(Vendas[[#This Row],[ID Item Vendido]],Agregado[ID],Agregado[Custo])*Vendas[[#This Row],[Qnt Vendida]])</f>
        <v>66.599999999999909</v>
      </c>
      <c r="K1553" s="70">
        <f>Vendas[[#This Row],[Lucro da Venda]]/Vendas[[#This Row],[Valor da Venda]]</f>
        <v>0.12499999999999983</v>
      </c>
      <c r="L1553" s="3">
        <f>_xlfn.IFS(Vendas[[#This Row],[Margem de Lucro (%)]]&lt;15%,Vendas[[#This Row],[Valor da Venda]]*3%,Vendas[[#This Row],[Margem de Lucro (%)]]&lt;=20%,Vendas[[#This Row],[Valor da Venda]]*4.5%,TRUE,Vendas[[#This Row],[Valor da Venda]]*6%)</f>
        <v>15.983999999999998</v>
      </c>
      <c r="M1553"/>
    </row>
    <row r="1554" spans="1:13" x14ac:dyDescent="0.3">
      <c r="A1554" s="7">
        <v>400250</v>
      </c>
      <c r="B1554" t="str">
        <f>_xlfn.XLOOKUP(Vendas[[#This Row],[ID Vendedor]],Vendedores[ID],Vendedores[Nome])</f>
        <v>Larissa</v>
      </c>
      <c r="C1554" s="7" t="str">
        <f>_xlfn.XLOOKUP(Vendas[[#This Row],[ID Vendedor]],Vendedores[ID],Vendedores[Setor])</f>
        <v>AB</v>
      </c>
      <c r="D1554" s="7" t="s">
        <v>24</v>
      </c>
      <c r="E1554" t="str">
        <f>_xlfn.XLOOKUP(Vendas[[#This Row],[ID Item Vendido]],Agregado[ID],Agregado[Produto])</f>
        <v>Resina plástica PET purificada saco de 25kg</v>
      </c>
      <c r="F1554" s="39">
        <v>44635</v>
      </c>
      <c r="G1554" s="7">
        <v>12</v>
      </c>
      <c r="H1554" s="3">
        <f>_xlfn.XLOOKUP(Vendas[[#This Row],[ID Item Vendido]],Agregado[ID],Agregado[Revenda])</f>
        <v>119</v>
      </c>
      <c r="I1554" s="3">
        <f>Vendas[[#This Row],[Valor Unitário]]*Vendas[[#This Row],[Qnt Vendida]]</f>
        <v>1428</v>
      </c>
      <c r="J1554" s="3">
        <f>Vendas[[#This Row],[Valor da Venda]]-(_xlfn.XLOOKUP(Vendas[[#This Row],[ID Item Vendido]],Agregado[ID],Agregado[Custo])*Vendas[[#This Row],[Qnt Vendida]])</f>
        <v>408</v>
      </c>
      <c r="K1554" s="70">
        <f>Vendas[[#This Row],[Lucro da Venda]]/Vendas[[#This Row],[Valor da Venda]]</f>
        <v>0.2857142857142857</v>
      </c>
      <c r="L1554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554"/>
    </row>
    <row r="1555" spans="1:13" x14ac:dyDescent="0.3">
      <c r="A1555" s="7">
        <v>400249</v>
      </c>
      <c r="B1555" t="str">
        <f>_xlfn.XLOOKUP(Vendas[[#This Row],[ID Vendedor]],Vendedores[ID],Vendedores[Nome])</f>
        <v>Bruno</v>
      </c>
      <c r="C1555" s="7" t="str">
        <f>_xlfn.XLOOKUP(Vendas[[#This Row],[ID Vendedor]],Vendedores[ID],Vendedores[Setor])</f>
        <v>CM</v>
      </c>
      <c r="D1555" s="7" t="s">
        <v>45</v>
      </c>
      <c r="E1555" t="str">
        <f>_xlfn.XLOOKUP(Vendas[[#This Row],[ID Item Vendido]],Agregado[ID],Agregado[Produto])</f>
        <v>Viga de madeira tratada 4m</v>
      </c>
      <c r="F1555" s="39">
        <v>44635</v>
      </c>
      <c r="G1555" s="7">
        <v>14</v>
      </c>
      <c r="H1555" s="3">
        <f>_xlfn.XLOOKUP(Vendas[[#This Row],[ID Item Vendido]],Agregado[ID],Agregado[Revenda])</f>
        <v>66</v>
      </c>
      <c r="I1555" s="3">
        <f>Vendas[[#This Row],[Valor Unitário]]*Vendas[[#This Row],[Qnt Vendida]]</f>
        <v>924</v>
      </c>
      <c r="J1555" s="3">
        <f>Vendas[[#This Row],[Valor da Venda]]-(_xlfn.XLOOKUP(Vendas[[#This Row],[ID Item Vendido]],Agregado[ID],Agregado[Custo])*Vendas[[#This Row],[Qnt Vendida]])</f>
        <v>154</v>
      </c>
      <c r="K1555" s="70">
        <f>Vendas[[#This Row],[Lucro da Venda]]/Vendas[[#This Row],[Valor da Venda]]</f>
        <v>0.16666666666666666</v>
      </c>
      <c r="L1555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1555"/>
    </row>
    <row r="1556" spans="1:13" x14ac:dyDescent="0.3">
      <c r="A1556" s="7">
        <v>400253</v>
      </c>
      <c r="B1556" t="str">
        <f>_xlfn.XLOOKUP(Vendas[[#This Row],[ID Vendedor]],Vendedores[ID],Vendedores[Nome])</f>
        <v>Gustavo</v>
      </c>
      <c r="C1556" s="7" t="str">
        <f>_xlfn.XLOOKUP(Vendas[[#This Row],[ID Vendedor]],Vendedores[ID],Vendedores[Setor])</f>
        <v>SC</v>
      </c>
      <c r="D1556" s="7" t="s">
        <v>14</v>
      </c>
      <c r="E1556" t="str">
        <f>_xlfn.XLOOKUP(Vendas[[#This Row],[ID Item Vendido]],Agregado[ID],Agregado[Produto])</f>
        <v>Barril de plástico 200L</v>
      </c>
      <c r="F1556" s="39">
        <v>44635</v>
      </c>
      <c r="G1556" s="7">
        <v>2</v>
      </c>
      <c r="H1556" s="3">
        <f>_xlfn.XLOOKUP(Vendas[[#This Row],[ID Item Vendido]],Agregado[ID],Agregado[Revenda])</f>
        <v>114</v>
      </c>
      <c r="I1556" s="3">
        <f>Vendas[[#This Row],[Valor Unitário]]*Vendas[[#This Row],[Qnt Vendida]]</f>
        <v>228</v>
      </c>
      <c r="J1556" s="3">
        <f>Vendas[[#This Row],[Valor da Venda]]-(_xlfn.XLOOKUP(Vendas[[#This Row],[ID Item Vendido]],Agregado[ID],Agregado[Custo])*Vendas[[#This Row],[Qnt Vendida]])</f>
        <v>38</v>
      </c>
      <c r="K1556" s="70">
        <f>Vendas[[#This Row],[Lucro da Venda]]/Vendas[[#This Row],[Valor da Venda]]</f>
        <v>0.16666666666666666</v>
      </c>
      <c r="L1556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1556"/>
    </row>
    <row r="1557" spans="1:13" x14ac:dyDescent="0.3">
      <c r="A1557" s="7">
        <v>400251</v>
      </c>
      <c r="B1557" t="str">
        <f>_xlfn.XLOOKUP(Vendas[[#This Row],[ID Vendedor]],Vendedores[ID],Vendedores[Nome])</f>
        <v>Diego</v>
      </c>
      <c r="C1557" s="7" t="str">
        <f>_xlfn.XLOOKUP(Vendas[[#This Row],[ID Vendedor]],Vendedores[ID],Vendedores[Setor])</f>
        <v>AB</v>
      </c>
      <c r="D1557" s="7" t="s">
        <v>12</v>
      </c>
      <c r="E1557" t="str">
        <f>_xlfn.XLOOKUP(Vendas[[#This Row],[ID Item Vendido]],Agregado[ID],Agregado[Produto])</f>
        <v>Grânulo de plástico reciclado refinado</v>
      </c>
      <c r="F1557" s="39">
        <v>44635</v>
      </c>
      <c r="G1557" s="7">
        <v>27</v>
      </c>
      <c r="H1557" s="3">
        <f>_xlfn.XLOOKUP(Vendas[[#This Row],[ID Item Vendido]],Agregado[ID],Agregado[Revenda])</f>
        <v>4.7</v>
      </c>
      <c r="I1557" s="3">
        <f>Vendas[[#This Row],[Valor Unitário]]*Vendas[[#This Row],[Qnt Vendida]]</f>
        <v>126.9</v>
      </c>
      <c r="J1557" s="3">
        <f>Vendas[[#This Row],[Valor da Venda]]-(_xlfn.XLOOKUP(Vendas[[#This Row],[ID Item Vendido]],Agregado[ID],Agregado[Custo])*Vendas[[#This Row],[Qnt Vendida]])</f>
        <v>32.400000000000006</v>
      </c>
      <c r="K1557" s="70">
        <f>Vendas[[#This Row],[Lucro da Venda]]/Vendas[[#This Row],[Valor da Venda]]</f>
        <v>0.25531914893617025</v>
      </c>
      <c r="L1557" s="3">
        <f>_xlfn.IFS(Vendas[[#This Row],[Margem de Lucro (%)]]&lt;15%,Vendas[[#This Row],[Valor da Venda]]*3%,Vendas[[#This Row],[Margem de Lucro (%)]]&lt;=20%,Vendas[[#This Row],[Valor da Venda]]*4.5%,TRUE,Vendas[[#This Row],[Valor da Venda]]*6%)</f>
        <v>7.6139999999999999</v>
      </c>
      <c r="M1557"/>
    </row>
    <row r="1558" spans="1:13" x14ac:dyDescent="0.3">
      <c r="A1558" s="7">
        <v>400255</v>
      </c>
      <c r="B1558" t="str">
        <f>_xlfn.XLOOKUP(Vendas[[#This Row],[ID Vendedor]],Vendedores[ID],Vendedores[Nome])</f>
        <v>Carlos</v>
      </c>
      <c r="C1558" s="7" t="str">
        <f>_xlfn.XLOOKUP(Vendas[[#This Row],[ID Vendedor]],Vendedores[ID],Vendedores[Setor])</f>
        <v>SC</v>
      </c>
      <c r="D1558" s="7" t="s">
        <v>25</v>
      </c>
      <c r="E1558" t="str">
        <f>_xlfn.XLOOKUP(Vendas[[#This Row],[ID Item Vendido]],Agregado[ID],Agregado[Produto])</f>
        <v>Palete de plástico</v>
      </c>
      <c r="F1558" s="39">
        <v>44636</v>
      </c>
      <c r="G1558" s="7">
        <v>11</v>
      </c>
      <c r="H1558" s="3">
        <f>_xlfn.XLOOKUP(Vendas[[#This Row],[ID Item Vendido]],Agregado[ID],Agregado[Revenda])</f>
        <v>70.8</v>
      </c>
      <c r="I1558" s="3">
        <f>Vendas[[#This Row],[Valor Unitário]]*Vendas[[#This Row],[Qnt Vendida]]</f>
        <v>778.8</v>
      </c>
      <c r="J1558" s="3">
        <f>Vendas[[#This Row],[Valor da Venda]]-(_xlfn.XLOOKUP(Vendas[[#This Row],[ID Item Vendido]],Agregado[ID],Agregado[Custo])*Vendas[[#This Row],[Qnt Vendida]])</f>
        <v>118.79999999999995</v>
      </c>
      <c r="K1558" s="70">
        <f>Vendas[[#This Row],[Lucro da Venda]]/Vendas[[#This Row],[Valor da Venda]]</f>
        <v>0.15254237288135589</v>
      </c>
      <c r="L1558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1558"/>
    </row>
    <row r="1559" spans="1:13" x14ac:dyDescent="0.3">
      <c r="A1559" s="7">
        <v>400247</v>
      </c>
      <c r="B1559" t="str">
        <f>_xlfn.XLOOKUP(Vendas[[#This Row],[ID Vendedor]],Vendedores[ID],Vendedores[Nome])</f>
        <v>André</v>
      </c>
      <c r="C1559" s="7" t="str">
        <f>_xlfn.XLOOKUP(Vendas[[#This Row],[ID Vendedor]],Vendedores[ID],Vendedores[Setor])</f>
        <v>CM</v>
      </c>
      <c r="D1559" s="7" t="s">
        <v>45</v>
      </c>
      <c r="E1559" t="str">
        <f>_xlfn.XLOOKUP(Vendas[[#This Row],[ID Item Vendido]],Agregado[ID],Agregado[Produto])</f>
        <v>Viga de madeira tratada 4m</v>
      </c>
      <c r="F1559" s="39">
        <v>44637</v>
      </c>
      <c r="G1559" s="7">
        <v>18</v>
      </c>
      <c r="H1559" s="3">
        <f>_xlfn.XLOOKUP(Vendas[[#This Row],[ID Item Vendido]],Agregado[ID],Agregado[Revenda])</f>
        <v>66</v>
      </c>
      <c r="I1559" s="3">
        <f>Vendas[[#This Row],[Valor Unitário]]*Vendas[[#This Row],[Qnt Vendida]]</f>
        <v>1188</v>
      </c>
      <c r="J1559" s="3">
        <f>Vendas[[#This Row],[Valor da Venda]]-(_xlfn.XLOOKUP(Vendas[[#This Row],[ID Item Vendido]],Agregado[ID],Agregado[Custo])*Vendas[[#This Row],[Qnt Vendida]])</f>
        <v>198</v>
      </c>
      <c r="K1559" s="70">
        <f>Vendas[[#This Row],[Lucro da Venda]]/Vendas[[#This Row],[Valor da Venda]]</f>
        <v>0.16666666666666666</v>
      </c>
      <c r="L1559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1559"/>
    </row>
    <row r="1560" spans="1:13" x14ac:dyDescent="0.3">
      <c r="A1560" s="7">
        <v>400245</v>
      </c>
      <c r="B1560" t="str">
        <f>_xlfn.XLOOKUP(Vendas[[#This Row],[ID Vendedor]],Vendedores[ID],Vendedores[Nome])</f>
        <v>Thiago</v>
      </c>
      <c r="C1560" s="7" t="str">
        <f>_xlfn.XLOOKUP(Vendas[[#This Row],[ID Vendedor]],Vendedores[ID],Vendedores[Setor])</f>
        <v>AHD</v>
      </c>
      <c r="D1560" s="7" t="s">
        <v>28</v>
      </c>
      <c r="E1560" t="str">
        <f>_xlfn.XLOOKUP(Vendas[[#This Row],[ID Item Vendido]],Agregado[ID],Agregado[Produto])</f>
        <v>Peça usinada CNC</v>
      </c>
      <c r="F1560" s="39">
        <v>44637</v>
      </c>
      <c r="G1560" s="7">
        <v>6</v>
      </c>
      <c r="H1560" s="3">
        <f>_xlfn.XLOOKUP(Vendas[[#This Row],[ID Item Vendido]],Agregado[ID],Agregado[Revenda])</f>
        <v>192</v>
      </c>
      <c r="I1560" s="3">
        <f>Vendas[[#This Row],[Valor Unitário]]*Vendas[[#This Row],[Qnt Vendida]]</f>
        <v>1152</v>
      </c>
      <c r="J1560" s="3">
        <f>Vendas[[#This Row],[Valor da Venda]]-(_xlfn.XLOOKUP(Vendas[[#This Row],[ID Item Vendido]],Agregado[ID],Agregado[Custo])*Vendas[[#This Row],[Qnt Vendida]])</f>
        <v>252</v>
      </c>
      <c r="K1560" s="70">
        <f>Vendas[[#This Row],[Lucro da Venda]]/Vendas[[#This Row],[Valor da Venda]]</f>
        <v>0.21875</v>
      </c>
      <c r="L1560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1560"/>
    </row>
    <row r="1561" spans="1:13" x14ac:dyDescent="0.3">
      <c r="A1561" s="7">
        <v>400245</v>
      </c>
      <c r="B1561" t="str">
        <f>_xlfn.XLOOKUP(Vendas[[#This Row],[ID Vendedor]],Vendedores[ID],Vendedores[Nome])</f>
        <v>Thiago</v>
      </c>
      <c r="C1561" s="7" t="str">
        <f>_xlfn.XLOOKUP(Vendas[[#This Row],[ID Vendedor]],Vendedores[ID],Vendedores[Setor])</f>
        <v>AHD</v>
      </c>
      <c r="D1561" s="7" t="s">
        <v>30</v>
      </c>
      <c r="E1561" t="str">
        <f>_xlfn.XLOOKUP(Vendas[[#This Row],[ID Item Vendido]],Agregado[ID],Agregado[Produto])</f>
        <v>Estrutura metálica soldada</v>
      </c>
      <c r="F1561" s="39">
        <v>44638</v>
      </c>
      <c r="G1561" s="7">
        <v>2</v>
      </c>
      <c r="H1561" s="3">
        <f>_xlfn.XLOOKUP(Vendas[[#This Row],[ID Item Vendido]],Agregado[ID],Agregado[Revenda])</f>
        <v>400</v>
      </c>
      <c r="I1561" s="3">
        <f>Vendas[[#This Row],[Valor Unitário]]*Vendas[[#This Row],[Qnt Vendida]]</f>
        <v>800</v>
      </c>
      <c r="J1561" s="3">
        <f>Vendas[[#This Row],[Valor da Venda]]-(_xlfn.XLOOKUP(Vendas[[#This Row],[ID Item Vendido]],Agregado[ID],Agregado[Custo])*Vendas[[#This Row],[Qnt Vendida]])</f>
        <v>160</v>
      </c>
      <c r="K1561" s="70">
        <f>Vendas[[#This Row],[Lucro da Venda]]/Vendas[[#This Row],[Valor da Venda]]</f>
        <v>0.2</v>
      </c>
      <c r="L1561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561"/>
    </row>
    <row r="1562" spans="1:13" x14ac:dyDescent="0.3">
      <c r="A1562" s="7">
        <v>400245</v>
      </c>
      <c r="B1562" t="str">
        <f>_xlfn.XLOOKUP(Vendas[[#This Row],[ID Vendedor]],Vendedores[ID],Vendedores[Nome])</f>
        <v>Thiago</v>
      </c>
      <c r="C1562" s="7" t="str">
        <f>_xlfn.XLOOKUP(Vendas[[#This Row],[ID Vendedor]],Vendedores[ID],Vendedores[Setor])</f>
        <v>AHD</v>
      </c>
      <c r="D1562" s="7" t="s">
        <v>44</v>
      </c>
      <c r="E1562" t="str">
        <f>_xlfn.XLOOKUP(Vendas[[#This Row],[ID Item Vendido]],Agregado[ID],Agregado[Produto])</f>
        <v>Liga metálica especial</v>
      </c>
      <c r="F1562" s="39">
        <v>44639</v>
      </c>
      <c r="G1562" s="7">
        <v>27</v>
      </c>
      <c r="H1562" s="3">
        <f>_xlfn.XLOOKUP(Vendas[[#This Row],[ID Item Vendido]],Agregado[ID],Agregado[Revenda])</f>
        <v>32.5</v>
      </c>
      <c r="I1562" s="3">
        <f>Vendas[[#This Row],[Valor Unitário]]*Vendas[[#This Row],[Qnt Vendida]]</f>
        <v>877.5</v>
      </c>
      <c r="J1562" s="3">
        <f>Vendas[[#This Row],[Valor da Venda]]-(_xlfn.XLOOKUP(Vendas[[#This Row],[ID Item Vendido]],Agregado[ID],Agregado[Custo])*Vendas[[#This Row],[Qnt Vendida]])</f>
        <v>202.5</v>
      </c>
      <c r="K1562" s="70">
        <f>Vendas[[#This Row],[Lucro da Venda]]/Vendas[[#This Row],[Valor da Venda]]</f>
        <v>0.23076923076923078</v>
      </c>
      <c r="L1562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1562"/>
    </row>
    <row r="1563" spans="1:13" x14ac:dyDescent="0.3">
      <c r="A1563" s="7">
        <v>400255</v>
      </c>
      <c r="B1563" t="str">
        <f>_xlfn.XLOOKUP(Vendas[[#This Row],[ID Vendedor]],Vendedores[ID],Vendedores[Nome])</f>
        <v>Carlos</v>
      </c>
      <c r="C1563" s="7" t="str">
        <f>_xlfn.XLOOKUP(Vendas[[#This Row],[ID Vendedor]],Vendedores[ID],Vendedores[Setor])</f>
        <v>SC</v>
      </c>
      <c r="D1563" s="7" t="s">
        <v>14</v>
      </c>
      <c r="E1563" t="str">
        <f>_xlfn.XLOOKUP(Vendas[[#This Row],[ID Item Vendido]],Agregado[ID],Agregado[Produto])</f>
        <v>Barril de plástico 200L</v>
      </c>
      <c r="F1563" s="39">
        <v>44640</v>
      </c>
      <c r="G1563" s="7">
        <v>22</v>
      </c>
      <c r="H1563" s="3">
        <f>_xlfn.XLOOKUP(Vendas[[#This Row],[ID Item Vendido]],Agregado[ID],Agregado[Revenda])</f>
        <v>114</v>
      </c>
      <c r="I1563" s="3">
        <f>Vendas[[#This Row],[Valor Unitário]]*Vendas[[#This Row],[Qnt Vendida]]</f>
        <v>2508</v>
      </c>
      <c r="J1563" s="3">
        <f>Vendas[[#This Row],[Valor da Venda]]-(_xlfn.XLOOKUP(Vendas[[#This Row],[ID Item Vendido]],Agregado[ID],Agregado[Custo])*Vendas[[#This Row],[Qnt Vendida]])</f>
        <v>418</v>
      </c>
      <c r="K1563" s="70">
        <f>Vendas[[#This Row],[Lucro da Venda]]/Vendas[[#This Row],[Valor da Venda]]</f>
        <v>0.16666666666666666</v>
      </c>
      <c r="L1563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1563"/>
    </row>
    <row r="1564" spans="1:13" x14ac:dyDescent="0.3">
      <c r="A1564" s="7">
        <v>400251</v>
      </c>
      <c r="B1564" t="str">
        <f>_xlfn.XLOOKUP(Vendas[[#This Row],[ID Vendedor]],Vendedores[ID],Vendedores[Nome])</f>
        <v>Diego</v>
      </c>
      <c r="C1564" s="7" t="str">
        <f>_xlfn.XLOOKUP(Vendas[[#This Row],[ID Vendedor]],Vendedores[ID],Vendedores[Setor])</f>
        <v>AB</v>
      </c>
      <c r="D1564" s="7" t="s">
        <v>37</v>
      </c>
      <c r="E1564" t="str">
        <f>_xlfn.XLOOKUP(Vendas[[#This Row],[ID Item Vendido]],Agregado[ID],Agregado[Produto])</f>
        <v>Composto de borracha para vedação rolo 10m</v>
      </c>
      <c r="F1564" s="39">
        <v>44641</v>
      </c>
      <c r="G1564" s="7">
        <v>23</v>
      </c>
      <c r="H1564" s="3">
        <f>_xlfn.XLOOKUP(Vendas[[#This Row],[ID Item Vendido]],Agregado[ID],Agregado[Revenda])</f>
        <v>51.2</v>
      </c>
      <c r="I1564" s="3">
        <f>Vendas[[#This Row],[Valor Unitário]]*Vendas[[#This Row],[Qnt Vendida]]</f>
        <v>1177.6000000000001</v>
      </c>
      <c r="J1564" s="3">
        <f>Vendas[[#This Row],[Valor da Venda]]-(_xlfn.XLOOKUP(Vendas[[#This Row],[ID Item Vendido]],Agregado[ID],Agregado[Custo])*Vendas[[#This Row],[Qnt Vendida]])</f>
        <v>257.60000000000014</v>
      </c>
      <c r="K1564" s="70">
        <f>Vendas[[#This Row],[Lucro da Venda]]/Vendas[[#This Row],[Valor da Venda]]</f>
        <v>0.21875000000000008</v>
      </c>
      <c r="L1564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1564"/>
    </row>
    <row r="1565" spans="1:13" x14ac:dyDescent="0.3">
      <c r="A1565" s="7">
        <v>400249</v>
      </c>
      <c r="B1565" t="str">
        <f>_xlfn.XLOOKUP(Vendas[[#This Row],[ID Vendedor]],Vendedores[ID],Vendedores[Nome])</f>
        <v>Bruno</v>
      </c>
      <c r="C1565" s="7" t="str">
        <f>_xlfn.XLOOKUP(Vendas[[#This Row],[ID Vendedor]],Vendedores[ID],Vendedores[Setor])</f>
        <v>CM</v>
      </c>
      <c r="D1565" s="7" t="s">
        <v>22</v>
      </c>
      <c r="E1565" t="str">
        <f>_xlfn.XLOOKUP(Vendas[[#This Row],[ID Item Vendido]],Agregado[ID],Agregado[Produto])</f>
        <v>Painel MDP 2,75x1,83m</v>
      </c>
      <c r="F1565" s="39">
        <v>44641</v>
      </c>
      <c r="G1565" s="7">
        <v>4</v>
      </c>
      <c r="H1565" s="3">
        <f>_xlfn.XLOOKUP(Vendas[[#This Row],[ID Item Vendido]],Agregado[ID],Agregado[Revenda])</f>
        <v>119</v>
      </c>
      <c r="I1565" s="3">
        <f>Vendas[[#This Row],[Valor Unitário]]*Vendas[[#This Row],[Qnt Vendida]]</f>
        <v>476</v>
      </c>
      <c r="J1565" s="3">
        <f>Vendas[[#This Row],[Valor da Venda]]-(_xlfn.XLOOKUP(Vendas[[#This Row],[ID Item Vendido]],Agregado[ID],Agregado[Custo])*Vendas[[#This Row],[Qnt Vendida]])</f>
        <v>96</v>
      </c>
      <c r="K1565" s="70">
        <f>Vendas[[#This Row],[Lucro da Venda]]/Vendas[[#This Row],[Valor da Venda]]</f>
        <v>0.20168067226890757</v>
      </c>
      <c r="L1565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1565"/>
    </row>
    <row r="1566" spans="1:13" x14ac:dyDescent="0.3">
      <c r="A1566" s="7">
        <v>400250</v>
      </c>
      <c r="B1566" t="str">
        <f>_xlfn.XLOOKUP(Vendas[[#This Row],[ID Vendedor]],Vendedores[ID],Vendedores[Nome])</f>
        <v>Larissa</v>
      </c>
      <c r="C1566" s="7" t="str">
        <f>_xlfn.XLOOKUP(Vendas[[#This Row],[ID Vendedor]],Vendedores[ID],Vendedores[Setor])</f>
        <v>AB</v>
      </c>
      <c r="D1566" s="7" t="s">
        <v>36</v>
      </c>
      <c r="E1566" t="str">
        <f>_xlfn.XLOOKUP(Vendas[[#This Row],[ID Item Vendido]],Agregado[ID],Agregado[Produto])</f>
        <v>Borracha vulcanizada em manta</v>
      </c>
      <c r="F1566" s="39">
        <v>44641</v>
      </c>
      <c r="G1566" s="7">
        <v>25</v>
      </c>
      <c r="H1566" s="3">
        <f>_xlfn.XLOOKUP(Vendas[[#This Row],[ID Item Vendido]],Agregado[ID],Agregado[Revenda])</f>
        <v>7.8</v>
      </c>
      <c r="I1566" s="3">
        <f>Vendas[[#This Row],[Valor Unitário]]*Vendas[[#This Row],[Qnt Vendida]]</f>
        <v>195</v>
      </c>
      <c r="J1566" s="3">
        <f>Vendas[[#This Row],[Valor da Venda]]-(_xlfn.XLOOKUP(Vendas[[#This Row],[ID Item Vendido]],Agregado[ID],Agregado[Custo])*Vendas[[#This Row],[Qnt Vendida]])</f>
        <v>45</v>
      </c>
      <c r="K1566" s="70">
        <f>Vendas[[#This Row],[Lucro da Venda]]/Vendas[[#This Row],[Valor da Venda]]</f>
        <v>0.23076923076923078</v>
      </c>
      <c r="L1566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1566"/>
    </row>
    <row r="1567" spans="1:13" x14ac:dyDescent="0.3">
      <c r="A1567" s="7">
        <v>400245</v>
      </c>
      <c r="B1567" t="str">
        <f>_xlfn.XLOOKUP(Vendas[[#This Row],[ID Vendedor]],Vendedores[ID],Vendedores[Nome])</f>
        <v>Thiago</v>
      </c>
      <c r="C1567" s="7" t="str">
        <f>_xlfn.XLOOKUP(Vendas[[#This Row],[ID Vendedor]],Vendedores[ID],Vendedores[Setor])</f>
        <v>AHD</v>
      </c>
      <c r="D1567" s="7" t="s">
        <v>18</v>
      </c>
      <c r="E1567" t="str">
        <f>_xlfn.XLOOKUP(Vendas[[#This Row],[ID Item Vendido]],Agregado[ID],Agregado[Produto])</f>
        <v>Peça forjada sob encomenda</v>
      </c>
      <c r="F1567" s="39">
        <v>44642</v>
      </c>
      <c r="G1567" s="7">
        <v>4</v>
      </c>
      <c r="H1567" s="3">
        <f>_xlfn.XLOOKUP(Vendas[[#This Row],[ID Item Vendido]],Agregado[ID],Agregado[Revenda])</f>
        <v>264.60000000000002</v>
      </c>
      <c r="I1567" s="3">
        <f>Vendas[[#This Row],[Valor Unitário]]*Vendas[[#This Row],[Qnt Vendida]]</f>
        <v>1058.4000000000001</v>
      </c>
      <c r="J1567" s="3">
        <f>Vendas[[#This Row],[Valor da Venda]]-(_xlfn.XLOOKUP(Vendas[[#This Row],[ID Item Vendido]],Agregado[ID],Agregado[Custo])*Vendas[[#This Row],[Qnt Vendida]])</f>
        <v>58.400000000000091</v>
      </c>
      <c r="K1567" s="70">
        <f>Vendas[[#This Row],[Lucro da Venda]]/Vendas[[#This Row],[Valor da Venda]]</f>
        <v>5.5177626606198113E-2</v>
      </c>
      <c r="L1567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1567"/>
    </row>
    <row r="1568" spans="1:13" x14ac:dyDescent="0.3">
      <c r="A1568" s="7">
        <v>400250</v>
      </c>
      <c r="B1568" t="str">
        <f>_xlfn.XLOOKUP(Vendas[[#This Row],[ID Vendedor]],Vendedores[ID],Vendedores[Nome])</f>
        <v>Larissa</v>
      </c>
      <c r="C1568" s="7" t="str">
        <f>_xlfn.XLOOKUP(Vendas[[#This Row],[ID Vendedor]],Vendedores[ID],Vendedores[Setor])</f>
        <v>AB</v>
      </c>
      <c r="D1568" s="7" t="s">
        <v>37</v>
      </c>
      <c r="E1568" t="str">
        <f>_xlfn.XLOOKUP(Vendas[[#This Row],[ID Item Vendido]],Agregado[ID],Agregado[Produto])</f>
        <v>Composto de borracha para vedação rolo 10m</v>
      </c>
      <c r="F1568" s="39">
        <v>44642</v>
      </c>
      <c r="G1568" s="7">
        <v>25</v>
      </c>
      <c r="H1568" s="3">
        <f>_xlfn.XLOOKUP(Vendas[[#This Row],[ID Item Vendido]],Agregado[ID],Agregado[Revenda])</f>
        <v>51.2</v>
      </c>
      <c r="I1568" s="3">
        <f>Vendas[[#This Row],[Valor Unitário]]*Vendas[[#This Row],[Qnt Vendida]]</f>
        <v>1280</v>
      </c>
      <c r="J1568" s="3">
        <f>Vendas[[#This Row],[Valor da Venda]]-(_xlfn.XLOOKUP(Vendas[[#This Row],[ID Item Vendido]],Agregado[ID],Agregado[Custo])*Vendas[[#This Row],[Qnt Vendida]])</f>
        <v>280</v>
      </c>
      <c r="K1568" s="70">
        <f>Vendas[[#This Row],[Lucro da Venda]]/Vendas[[#This Row],[Valor da Venda]]</f>
        <v>0.21875</v>
      </c>
      <c r="L1568" s="3">
        <f>_xlfn.IFS(Vendas[[#This Row],[Margem de Lucro (%)]]&lt;15%,Vendas[[#This Row],[Valor da Venda]]*3%,Vendas[[#This Row],[Margem de Lucro (%)]]&lt;=20%,Vendas[[#This Row],[Valor da Venda]]*4.5%,TRUE,Vendas[[#This Row],[Valor da Venda]]*6%)</f>
        <v>76.8</v>
      </c>
      <c r="M1568"/>
    </row>
    <row r="1569" spans="1:13" x14ac:dyDescent="0.3">
      <c r="A1569" s="7">
        <v>400243</v>
      </c>
      <c r="B1569" t="str">
        <f>_xlfn.XLOOKUP(Vendas[[#This Row],[ID Vendedor]],Vendedores[ID],Vendedores[Nome])</f>
        <v>Marcelo</v>
      </c>
      <c r="C1569" s="7" t="str">
        <f>_xlfn.XLOOKUP(Vendas[[#This Row],[ID Vendedor]],Vendedores[ID],Vendedores[Setor])</f>
        <v>FM</v>
      </c>
      <c r="D1569" s="7" t="s">
        <v>20</v>
      </c>
      <c r="E1569" t="str">
        <f>_xlfn.XLOOKUP(Vendas[[#This Row],[ID Item Vendido]],Agregado[ID],Agregado[Produto])</f>
        <v>Barra de aço simples</v>
      </c>
      <c r="F1569" s="39">
        <v>44642</v>
      </c>
      <c r="G1569" s="7">
        <v>152</v>
      </c>
      <c r="H1569" s="3">
        <f>_xlfn.XLOOKUP(Vendas[[#This Row],[ID Item Vendido]],Agregado[ID],Agregado[Revenda])</f>
        <v>4.8</v>
      </c>
      <c r="I1569" s="3">
        <f>Vendas[[#This Row],[Valor Unitário]]*Vendas[[#This Row],[Qnt Vendida]]</f>
        <v>729.6</v>
      </c>
      <c r="J1569" s="3">
        <f>Vendas[[#This Row],[Valor da Venda]]-(_xlfn.XLOOKUP(Vendas[[#This Row],[ID Item Vendido]],Agregado[ID],Agregado[Custo])*Vendas[[#This Row],[Qnt Vendida]])</f>
        <v>91.200000000000045</v>
      </c>
      <c r="K1569" s="70">
        <f>Vendas[[#This Row],[Lucro da Venda]]/Vendas[[#This Row],[Valor da Venda]]</f>
        <v>0.12500000000000006</v>
      </c>
      <c r="L1569" s="3">
        <f>_xlfn.IFS(Vendas[[#This Row],[Margem de Lucro (%)]]&lt;15%,Vendas[[#This Row],[Valor da Venda]]*3%,Vendas[[#This Row],[Margem de Lucro (%)]]&lt;=20%,Vendas[[#This Row],[Valor da Venda]]*4.5%,TRUE,Vendas[[#This Row],[Valor da Venda]]*6%)</f>
        <v>21.887999999999998</v>
      </c>
      <c r="M1569"/>
    </row>
    <row r="1570" spans="1:13" x14ac:dyDescent="0.3">
      <c r="A1570" s="7">
        <v>400244</v>
      </c>
      <c r="B1570" t="str">
        <f>_xlfn.XLOOKUP(Vendas[[#This Row],[ID Vendedor]],Vendedores[ID],Vendedores[Nome])</f>
        <v>Camila</v>
      </c>
      <c r="C1570" s="7" t="str">
        <f>_xlfn.XLOOKUP(Vendas[[#This Row],[ID Vendedor]],Vendedores[ID],Vendedores[Setor])</f>
        <v>AHD</v>
      </c>
      <c r="D1570" s="7" t="s">
        <v>30</v>
      </c>
      <c r="E1570" t="str">
        <f>_xlfn.XLOOKUP(Vendas[[#This Row],[ID Item Vendido]],Agregado[ID],Agregado[Produto])</f>
        <v>Estrutura metálica soldada</v>
      </c>
      <c r="F1570" s="39">
        <v>44643</v>
      </c>
      <c r="G1570" s="7">
        <v>5</v>
      </c>
      <c r="H1570" s="3">
        <f>_xlfn.XLOOKUP(Vendas[[#This Row],[ID Item Vendido]],Agregado[ID],Agregado[Revenda])</f>
        <v>400</v>
      </c>
      <c r="I1570" s="3">
        <f>Vendas[[#This Row],[Valor Unitário]]*Vendas[[#This Row],[Qnt Vendida]]</f>
        <v>2000</v>
      </c>
      <c r="J1570" s="3">
        <f>Vendas[[#This Row],[Valor da Venda]]-(_xlfn.XLOOKUP(Vendas[[#This Row],[ID Item Vendido]],Agregado[ID],Agregado[Custo])*Vendas[[#This Row],[Qnt Vendida]])</f>
        <v>400</v>
      </c>
      <c r="K1570" s="70">
        <f>Vendas[[#This Row],[Lucro da Venda]]/Vendas[[#This Row],[Valor da Venda]]</f>
        <v>0.2</v>
      </c>
      <c r="L1570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1570"/>
    </row>
    <row r="1571" spans="1:13" x14ac:dyDescent="0.3">
      <c r="A1571" s="7">
        <v>400245</v>
      </c>
      <c r="B1571" t="str">
        <f>_xlfn.XLOOKUP(Vendas[[#This Row],[ID Vendedor]],Vendedores[ID],Vendedores[Nome])</f>
        <v>Thiago</v>
      </c>
      <c r="C1571" s="7" t="str">
        <f>_xlfn.XLOOKUP(Vendas[[#This Row],[ID Vendedor]],Vendedores[ID],Vendedores[Setor])</f>
        <v>AHD</v>
      </c>
      <c r="D1571" s="7" t="s">
        <v>18</v>
      </c>
      <c r="E1571" t="str">
        <f>_xlfn.XLOOKUP(Vendas[[#This Row],[ID Item Vendido]],Agregado[ID],Agregado[Produto])</f>
        <v>Peça forjada sob encomenda</v>
      </c>
      <c r="F1571" s="39">
        <v>44643</v>
      </c>
      <c r="G1571" s="7">
        <v>3</v>
      </c>
      <c r="H1571" s="3">
        <f>_xlfn.XLOOKUP(Vendas[[#This Row],[ID Item Vendido]],Agregado[ID],Agregado[Revenda])</f>
        <v>264.60000000000002</v>
      </c>
      <c r="I1571" s="3">
        <f>Vendas[[#This Row],[Valor Unitário]]*Vendas[[#This Row],[Qnt Vendida]]</f>
        <v>793.80000000000007</v>
      </c>
      <c r="J1571" s="3">
        <f>Vendas[[#This Row],[Valor da Venda]]-(_xlfn.XLOOKUP(Vendas[[#This Row],[ID Item Vendido]],Agregado[ID],Agregado[Custo])*Vendas[[#This Row],[Qnt Vendida]])</f>
        <v>43.800000000000068</v>
      </c>
      <c r="K1571" s="70">
        <f>Vendas[[#This Row],[Lucro da Venda]]/Vendas[[#This Row],[Valor da Venda]]</f>
        <v>5.5177626606198113E-2</v>
      </c>
      <c r="L1571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1571"/>
    </row>
    <row r="1572" spans="1:13" x14ac:dyDescent="0.3">
      <c r="A1572" s="7">
        <v>400242</v>
      </c>
      <c r="B1572" t="str">
        <f>_xlfn.XLOOKUP(Vendas[[#This Row],[ID Vendedor]],Vendedores[ID],Vendedores[Nome])</f>
        <v>Fernanda</v>
      </c>
      <c r="C1572" s="7" t="str">
        <f>_xlfn.XLOOKUP(Vendas[[#This Row],[ID Vendedor]],Vendedores[ID],Vendedores[Setor])</f>
        <v>FM</v>
      </c>
      <c r="D1572" s="7" t="s">
        <v>27</v>
      </c>
      <c r="E1572" t="str">
        <f>_xlfn.XLOOKUP(Vendas[[#This Row],[ID Item Vendido]],Agregado[ID],Agregado[Produto])</f>
        <v>Chapa de metal lisa 1x2m</v>
      </c>
      <c r="F1572" s="39">
        <v>44643</v>
      </c>
      <c r="G1572" s="7">
        <v>20</v>
      </c>
      <c r="H1572" s="3">
        <f>_xlfn.XLOOKUP(Vendas[[#This Row],[ID Item Vendido]],Agregado[ID],Agregado[Revenda])</f>
        <v>52</v>
      </c>
      <c r="I1572" s="3">
        <f>Vendas[[#This Row],[Valor Unitário]]*Vendas[[#This Row],[Qnt Vendida]]</f>
        <v>1040</v>
      </c>
      <c r="J1572" s="3">
        <f>Vendas[[#This Row],[Valor da Venda]]-(_xlfn.XLOOKUP(Vendas[[#This Row],[ID Item Vendido]],Agregado[ID],Agregado[Custo])*Vendas[[#This Row],[Qnt Vendida]])</f>
        <v>140</v>
      </c>
      <c r="K1572" s="70">
        <f>Vendas[[#This Row],[Lucro da Venda]]/Vendas[[#This Row],[Valor da Venda]]</f>
        <v>0.13461538461538461</v>
      </c>
      <c r="L1572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1572"/>
    </row>
    <row r="1573" spans="1:13" x14ac:dyDescent="0.3">
      <c r="A1573" s="7">
        <v>400244</v>
      </c>
      <c r="B1573" t="str">
        <f>_xlfn.XLOOKUP(Vendas[[#This Row],[ID Vendedor]],Vendedores[ID],Vendedores[Nome])</f>
        <v>Camila</v>
      </c>
      <c r="C1573" s="7" t="str">
        <f>_xlfn.XLOOKUP(Vendas[[#This Row],[ID Vendedor]],Vendedores[ID],Vendedores[Setor])</f>
        <v>AHD</v>
      </c>
      <c r="D1573" s="7" t="s">
        <v>18</v>
      </c>
      <c r="E1573" t="str">
        <f>_xlfn.XLOOKUP(Vendas[[#This Row],[ID Item Vendido]],Agregado[ID],Agregado[Produto])</f>
        <v>Peça forjada sob encomenda</v>
      </c>
      <c r="F1573" s="39">
        <v>44643</v>
      </c>
      <c r="G1573" s="7">
        <v>1</v>
      </c>
      <c r="H1573" s="3">
        <f>_xlfn.XLOOKUP(Vendas[[#This Row],[ID Item Vendido]],Agregado[ID],Agregado[Revenda])</f>
        <v>264.60000000000002</v>
      </c>
      <c r="I1573" s="3">
        <f>Vendas[[#This Row],[Valor Unitário]]*Vendas[[#This Row],[Qnt Vendida]]</f>
        <v>264.60000000000002</v>
      </c>
      <c r="J1573" s="3">
        <f>Vendas[[#This Row],[Valor da Venda]]-(_xlfn.XLOOKUP(Vendas[[#This Row],[ID Item Vendido]],Agregado[ID],Agregado[Custo])*Vendas[[#This Row],[Qnt Vendida]])</f>
        <v>14.600000000000023</v>
      </c>
      <c r="K1573" s="70">
        <f>Vendas[[#This Row],[Lucro da Venda]]/Vendas[[#This Row],[Valor da Venda]]</f>
        <v>5.5177626606198113E-2</v>
      </c>
      <c r="L1573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573"/>
    </row>
    <row r="1574" spans="1:13" x14ac:dyDescent="0.3">
      <c r="A1574" s="7">
        <v>400247</v>
      </c>
      <c r="B1574" t="str">
        <f>_xlfn.XLOOKUP(Vendas[[#This Row],[ID Vendedor]],Vendedores[ID],Vendedores[Nome])</f>
        <v>André</v>
      </c>
      <c r="C1574" s="7" t="str">
        <f>_xlfn.XLOOKUP(Vendas[[#This Row],[ID Vendedor]],Vendedores[ID],Vendedores[Setor])</f>
        <v>CM</v>
      </c>
      <c r="D1574" s="7" t="s">
        <v>32</v>
      </c>
      <c r="E1574" t="str">
        <f>_xlfn.XLOOKUP(Vendas[[#This Row],[ID Item Vendido]],Agregado[ID],Agregado[Produto])</f>
        <v>Tábua tratada e cortada 3m</v>
      </c>
      <c r="F1574" s="39">
        <v>44643</v>
      </c>
      <c r="G1574" s="7">
        <v>6</v>
      </c>
      <c r="H1574" s="3">
        <f>_xlfn.XLOOKUP(Vendas[[#This Row],[ID Item Vendido]],Agregado[ID],Agregado[Revenda])</f>
        <v>39</v>
      </c>
      <c r="I1574" s="3">
        <f>Vendas[[#This Row],[Valor Unitário]]*Vendas[[#This Row],[Qnt Vendida]]</f>
        <v>234</v>
      </c>
      <c r="J1574" s="3">
        <f>Vendas[[#This Row],[Valor da Venda]]-(_xlfn.XLOOKUP(Vendas[[#This Row],[ID Item Vendido]],Agregado[ID],Agregado[Custo])*Vendas[[#This Row],[Qnt Vendida]])</f>
        <v>42</v>
      </c>
      <c r="K1574" s="70">
        <f>Vendas[[#This Row],[Lucro da Venda]]/Vendas[[#This Row],[Valor da Venda]]</f>
        <v>0.17948717948717949</v>
      </c>
      <c r="L1574" s="3">
        <f>_xlfn.IFS(Vendas[[#This Row],[Margem de Lucro (%)]]&lt;15%,Vendas[[#This Row],[Valor da Venda]]*3%,Vendas[[#This Row],[Margem de Lucro (%)]]&lt;=20%,Vendas[[#This Row],[Valor da Venda]]*4.5%,TRUE,Vendas[[#This Row],[Valor da Venda]]*6%)</f>
        <v>10.53</v>
      </c>
      <c r="M1574"/>
    </row>
    <row r="1575" spans="1:13" x14ac:dyDescent="0.3">
      <c r="A1575" s="7">
        <v>400250</v>
      </c>
      <c r="B1575" t="str">
        <f>_xlfn.XLOOKUP(Vendas[[#This Row],[ID Vendedor]],Vendedores[ID],Vendedores[Nome])</f>
        <v>Larissa</v>
      </c>
      <c r="C1575" s="7" t="str">
        <f>_xlfn.XLOOKUP(Vendas[[#This Row],[ID Vendedor]],Vendedores[ID],Vendedores[Setor])</f>
        <v>AB</v>
      </c>
      <c r="D1575" s="7" t="s">
        <v>12</v>
      </c>
      <c r="E1575" t="str">
        <f>_xlfn.XLOOKUP(Vendas[[#This Row],[ID Item Vendido]],Agregado[ID],Agregado[Produto])</f>
        <v>Grânulo de plástico reciclado refinado</v>
      </c>
      <c r="F1575" s="39">
        <v>44644</v>
      </c>
      <c r="G1575" s="7">
        <v>69</v>
      </c>
      <c r="H1575" s="3">
        <f>_xlfn.XLOOKUP(Vendas[[#This Row],[ID Item Vendido]],Agregado[ID],Agregado[Revenda])</f>
        <v>4.7</v>
      </c>
      <c r="I1575" s="3">
        <f>Vendas[[#This Row],[Valor Unitário]]*Vendas[[#This Row],[Qnt Vendida]]</f>
        <v>324.3</v>
      </c>
      <c r="J1575" s="3">
        <f>Vendas[[#This Row],[Valor da Venda]]-(_xlfn.XLOOKUP(Vendas[[#This Row],[ID Item Vendido]],Agregado[ID],Agregado[Custo])*Vendas[[#This Row],[Qnt Vendida]])</f>
        <v>82.800000000000011</v>
      </c>
      <c r="K1575" s="70">
        <f>Vendas[[#This Row],[Lucro da Venda]]/Vendas[[#This Row],[Valor da Venda]]</f>
        <v>0.25531914893617025</v>
      </c>
      <c r="L1575" s="3">
        <f>_xlfn.IFS(Vendas[[#This Row],[Margem de Lucro (%)]]&lt;15%,Vendas[[#This Row],[Valor da Venda]]*3%,Vendas[[#This Row],[Margem de Lucro (%)]]&lt;=20%,Vendas[[#This Row],[Valor da Venda]]*4.5%,TRUE,Vendas[[#This Row],[Valor da Venda]]*6%)</f>
        <v>19.457999999999998</v>
      </c>
      <c r="M1575"/>
    </row>
    <row r="1576" spans="1:13" x14ac:dyDescent="0.3">
      <c r="A1576" s="7">
        <v>400242</v>
      </c>
      <c r="B1576" t="str">
        <f>_xlfn.XLOOKUP(Vendas[[#This Row],[ID Vendedor]],Vendedores[ID],Vendedores[Nome])</f>
        <v>Fernanda</v>
      </c>
      <c r="C1576" s="7" t="str">
        <f>_xlfn.XLOOKUP(Vendas[[#This Row],[ID Vendedor]],Vendedores[ID],Vendedores[Setor])</f>
        <v>FM</v>
      </c>
      <c r="D1576" s="7" t="s">
        <v>6</v>
      </c>
      <c r="E1576" t="str">
        <f>_xlfn.XLOOKUP(Vendas[[#This Row],[ID Item Vendido]],Agregado[ID],Agregado[Produto])</f>
        <v>Parafuso comum 500un</v>
      </c>
      <c r="F1576" s="39">
        <v>44644</v>
      </c>
      <c r="G1576" s="7">
        <v>5</v>
      </c>
      <c r="H1576" s="3">
        <f>_xlfn.XLOOKUP(Vendas[[#This Row],[ID Item Vendido]],Agregado[ID],Agregado[Revenda])</f>
        <v>24.6</v>
      </c>
      <c r="I1576" s="3">
        <f>Vendas[[#This Row],[Valor Unitário]]*Vendas[[#This Row],[Qnt Vendida]]</f>
        <v>123</v>
      </c>
      <c r="J1576" s="3">
        <f>Vendas[[#This Row],[Valor da Venda]]-(_xlfn.XLOOKUP(Vendas[[#This Row],[ID Item Vendido]],Agregado[ID],Agregado[Custo])*Vendas[[#This Row],[Qnt Vendida]])</f>
        <v>13</v>
      </c>
      <c r="K1576" s="70">
        <f>Vendas[[#This Row],[Lucro da Venda]]/Vendas[[#This Row],[Valor da Venda]]</f>
        <v>0.10569105691056911</v>
      </c>
      <c r="L1576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1576"/>
    </row>
    <row r="1577" spans="1:13" x14ac:dyDescent="0.3">
      <c r="A1577" s="7">
        <v>400250</v>
      </c>
      <c r="B1577" t="str">
        <f>_xlfn.XLOOKUP(Vendas[[#This Row],[ID Vendedor]],Vendedores[ID],Vendedores[Nome])</f>
        <v>Larissa</v>
      </c>
      <c r="C1577" s="7" t="str">
        <f>_xlfn.XLOOKUP(Vendas[[#This Row],[ID Vendedor]],Vendedores[ID],Vendedores[Setor])</f>
        <v>AB</v>
      </c>
      <c r="D1577" s="7" t="s">
        <v>37</v>
      </c>
      <c r="E1577" t="str">
        <f>_xlfn.XLOOKUP(Vendas[[#This Row],[ID Item Vendido]],Agregado[ID],Agregado[Produto])</f>
        <v>Composto de borracha para vedação rolo 10m</v>
      </c>
      <c r="F1577" s="39">
        <v>44645</v>
      </c>
      <c r="G1577" s="7">
        <v>20</v>
      </c>
      <c r="H1577" s="3">
        <f>_xlfn.XLOOKUP(Vendas[[#This Row],[ID Item Vendido]],Agregado[ID],Agregado[Revenda])</f>
        <v>51.2</v>
      </c>
      <c r="I1577" s="3">
        <f>Vendas[[#This Row],[Valor Unitário]]*Vendas[[#This Row],[Qnt Vendida]]</f>
        <v>1024</v>
      </c>
      <c r="J1577" s="3">
        <f>Vendas[[#This Row],[Valor da Venda]]-(_xlfn.XLOOKUP(Vendas[[#This Row],[ID Item Vendido]],Agregado[ID],Agregado[Custo])*Vendas[[#This Row],[Qnt Vendida]])</f>
        <v>224</v>
      </c>
      <c r="K1577" s="70">
        <f>Vendas[[#This Row],[Lucro da Venda]]/Vendas[[#This Row],[Valor da Venda]]</f>
        <v>0.21875</v>
      </c>
      <c r="L1577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1577"/>
    </row>
    <row r="1578" spans="1:13" x14ac:dyDescent="0.3">
      <c r="A1578" s="7">
        <v>400250</v>
      </c>
      <c r="B1578" t="str">
        <f>_xlfn.XLOOKUP(Vendas[[#This Row],[ID Vendedor]],Vendedores[ID],Vendedores[Nome])</f>
        <v>Larissa</v>
      </c>
      <c r="C1578" s="7" t="str">
        <f>_xlfn.XLOOKUP(Vendas[[#This Row],[ID Vendedor]],Vendedores[ID],Vendedores[Setor])</f>
        <v>AB</v>
      </c>
      <c r="D1578" s="7" t="s">
        <v>37</v>
      </c>
      <c r="E1578" t="str">
        <f>_xlfn.XLOOKUP(Vendas[[#This Row],[ID Item Vendido]],Agregado[ID],Agregado[Produto])</f>
        <v>Composto de borracha para vedação rolo 10m</v>
      </c>
      <c r="F1578" s="39">
        <v>44645</v>
      </c>
      <c r="G1578" s="7">
        <v>5</v>
      </c>
      <c r="H1578" s="3">
        <f>_xlfn.XLOOKUP(Vendas[[#This Row],[ID Item Vendido]],Agregado[ID],Agregado[Revenda])</f>
        <v>51.2</v>
      </c>
      <c r="I1578" s="3">
        <f>Vendas[[#This Row],[Valor Unitário]]*Vendas[[#This Row],[Qnt Vendida]]</f>
        <v>256</v>
      </c>
      <c r="J1578" s="3">
        <f>Vendas[[#This Row],[Valor da Venda]]-(_xlfn.XLOOKUP(Vendas[[#This Row],[ID Item Vendido]],Agregado[ID],Agregado[Custo])*Vendas[[#This Row],[Qnt Vendida]])</f>
        <v>56</v>
      </c>
      <c r="K1578" s="70">
        <f>Vendas[[#This Row],[Lucro da Venda]]/Vendas[[#This Row],[Valor da Venda]]</f>
        <v>0.21875</v>
      </c>
      <c r="L1578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1578"/>
    </row>
    <row r="1579" spans="1:13" x14ac:dyDescent="0.3">
      <c r="A1579" s="7">
        <v>400251</v>
      </c>
      <c r="B1579" t="str">
        <f>_xlfn.XLOOKUP(Vendas[[#This Row],[ID Vendedor]],Vendedores[ID],Vendedores[Nome])</f>
        <v>Diego</v>
      </c>
      <c r="C1579" s="7" t="str">
        <f>_xlfn.XLOOKUP(Vendas[[#This Row],[ID Vendedor]],Vendedores[ID],Vendedores[Setor])</f>
        <v>AB</v>
      </c>
      <c r="D1579" s="7" t="s">
        <v>39</v>
      </c>
      <c r="E1579" t="str">
        <f>_xlfn.XLOOKUP(Vendas[[#This Row],[ID Item Vendido]],Agregado[ID],Agregado[Produto])</f>
        <v>Filme plástico industrial rolo 50m</v>
      </c>
      <c r="F1579" s="39">
        <v>44645</v>
      </c>
      <c r="G1579" s="7">
        <v>6</v>
      </c>
      <c r="H1579" s="3">
        <f>_xlfn.XLOOKUP(Vendas[[#This Row],[ID Item Vendido]],Agregado[ID],Agregado[Revenda])</f>
        <v>37</v>
      </c>
      <c r="I1579" s="3">
        <f>Vendas[[#This Row],[Valor Unitário]]*Vendas[[#This Row],[Qnt Vendida]]</f>
        <v>222</v>
      </c>
      <c r="J1579" s="3">
        <f>Vendas[[#This Row],[Valor da Venda]]-(_xlfn.XLOOKUP(Vendas[[#This Row],[ID Item Vendido]],Agregado[ID],Agregado[Custo])*Vendas[[#This Row],[Qnt Vendida]])</f>
        <v>54</v>
      </c>
      <c r="K1579" s="70">
        <f>Vendas[[#This Row],[Lucro da Venda]]/Vendas[[#This Row],[Valor da Venda]]</f>
        <v>0.24324324324324326</v>
      </c>
      <c r="L1579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1579"/>
    </row>
    <row r="1580" spans="1:13" x14ac:dyDescent="0.3">
      <c r="A1580" s="7">
        <v>400248</v>
      </c>
      <c r="B1580" t="str">
        <f>_xlfn.XLOOKUP(Vendas[[#This Row],[ID Vendedor]],Vendedores[ID],Vendedores[Nome])</f>
        <v>Patrícia</v>
      </c>
      <c r="C1580" s="7" t="str">
        <f>_xlfn.XLOOKUP(Vendas[[#This Row],[ID Vendedor]],Vendedores[ID],Vendedores[Setor])</f>
        <v>CM</v>
      </c>
      <c r="D1580" s="7" t="s">
        <v>43</v>
      </c>
      <c r="E1580" t="str">
        <f>_xlfn.XLOOKUP(Vendas[[#This Row],[ID Item Vendido]],Agregado[ID],Agregado[Produto])</f>
        <v>Madeira Bruta (Tora)</v>
      </c>
      <c r="F1580" s="39">
        <v>44646</v>
      </c>
      <c r="G1580" s="7">
        <v>6</v>
      </c>
      <c r="H1580" s="3">
        <f>_xlfn.XLOOKUP(Vendas[[#This Row],[ID Item Vendido]],Agregado[ID],Agregado[Revenda])</f>
        <v>212</v>
      </c>
      <c r="I1580" s="3">
        <f>Vendas[[#This Row],[Valor Unitário]]*Vendas[[#This Row],[Qnt Vendida]]</f>
        <v>1272</v>
      </c>
      <c r="J1580" s="3">
        <f>Vendas[[#This Row],[Valor da Venda]]-(_xlfn.XLOOKUP(Vendas[[#This Row],[ID Item Vendido]],Agregado[ID],Agregado[Custo])*Vendas[[#This Row],[Qnt Vendida]])</f>
        <v>192</v>
      </c>
      <c r="K1580" s="70">
        <f>Vendas[[#This Row],[Lucro da Venda]]/Vendas[[#This Row],[Valor da Venda]]</f>
        <v>0.15094339622641509</v>
      </c>
      <c r="L1580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1580"/>
    </row>
    <row r="1581" spans="1:13" x14ac:dyDescent="0.3">
      <c r="A1581" s="7">
        <v>400242</v>
      </c>
      <c r="B1581" t="str">
        <f>_xlfn.XLOOKUP(Vendas[[#This Row],[ID Vendedor]],Vendedores[ID],Vendedores[Nome])</f>
        <v>Fernanda</v>
      </c>
      <c r="C1581" s="7" t="str">
        <f>_xlfn.XLOOKUP(Vendas[[#This Row],[ID Vendedor]],Vendedores[ID],Vendedores[Setor])</f>
        <v>FM</v>
      </c>
      <c r="D1581" s="7" t="s">
        <v>6</v>
      </c>
      <c r="E1581" t="str">
        <f>_xlfn.XLOOKUP(Vendas[[#This Row],[ID Item Vendido]],Agregado[ID],Agregado[Produto])</f>
        <v>Parafuso comum 500un</v>
      </c>
      <c r="F1581" s="39">
        <v>44646</v>
      </c>
      <c r="G1581" s="7">
        <v>6</v>
      </c>
      <c r="H1581" s="3">
        <f>_xlfn.XLOOKUP(Vendas[[#This Row],[ID Item Vendido]],Agregado[ID],Agregado[Revenda])</f>
        <v>24.6</v>
      </c>
      <c r="I1581" s="3">
        <f>Vendas[[#This Row],[Valor Unitário]]*Vendas[[#This Row],[Qnt Vendida]]</f>
        <v>147.60000000000002</v>
      </c>
      <c r="J1581" s="3">
        <f>Vendas[[#This Row],[Valor da Venda]]-(_xlfn.XLOOKUP(Vendas[[#This Row],[ID Item Vendido]],Agregado[ID],Agregado[Custo])*Vendas[[#This Row],[Qnt Vendida]])</f>
        <v>15.600000000000023</v>
      </c>
      <c r="K1581" s="70">
        <f>Vendas[[#This Row],[Lucro da Venda]]/Vendas[[#This Row],[Valor da Venda]]</f>
        <v>0.10569105691056924</v>
      </c>
      <c r="L1581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1581"/>
    </row>
    <row r="1582" spans="1:13" x14ac:dyDescent="0.3">
      <c r="A1582" s="7">
        <v>400248</v>
      </c>
      <c r="B1582" t="str">
        <f>_xlfn.XLOOKUP(Vendas[[#This Row],[ID Vendedor]],Vendedores[ID],Vendedores[Nome])</f>
        <v>Patrícia</v>
      </c>
      <c r="C1582" s="7" t="str">
        <f>_xlfn.XLOOKUP(Vendas[[#This Row],[ID Vendedor]],Vendedores[ID],Vendedores[Setor])</f>
        <v>CM</v>
      </c>
      <c r="D1582" s="7" t="s">
        <v>34</v>
      </c>
      <c r="E1582" t="str">
        <f>_xlfn.XLOOKUP(Vendas[[#This Row],[ID Item Vendido]],Agregado[ID],Agregado[Produto])</f>
        <v>Restos de madeira p/ MDP/OSB saco de 20kg</v>
      </c>
      <c r="F1582" s="39">
        <v>44646</v>
      </c>
      <c r="G1582" s="7">
        <v>3</v>
      </c>
      <c r="H1582" s="3">
        <f>_xlfn.XLOOKUP(Vendas[[#This Row],[ID Item Vendido]],Agregado[ID],Agregado[Revenda])</f>
        <v>13.8</v>
      </c>
      <c r="I1582" s="3">
        <f>Vendas[[#This Row],[Valor Unitário]]*Vendas[[#This Row],[Qnt Vendida]]</f>
        <v>41.400000000000006</v>
      </c>
      <c r="J1582" s="3">
        <f>Vendas[[#This Row],[Valor da Venda]]-(_xlfn.XLOOKUP(Vendas[[#This Row],[ID Item Vendido]],Agregado[ID],Agregado[Custo])*Vendas[[#This Row],[Qnt Vendida]])</f>
        <v>5.4000000000000057</v>
      </c>
      <c r="K1582" s="70">
        <f>Vendas[[#This Row],[Lucro da Venda]]/Vendas[[#This Row],[Valor da Venda]]</f>
        <v>0.13043478260869576</v>
      </c>
      <c r="L1582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1582"/>
    </row>
    <row r="1583" spans="1:13" x14ac:dyDescent="0.3">
      <c r="A1583" s="7">
        <v>400250</v>
      </c>
      <c r="B1583" t="str">
        <f>_xlfn.XLOOKUP(Vendas[[#This Row],[ID Vendedor]],Vendedores[ID],Vendedores[Nome])</f>
        <v>Larissa</v>
      </c>
      <c r="C1583" s="7" t="str">
        <f>_xlfn.XLOOKUP(Vendas[[#This Row],[ID Vendedor]],Vendedores[ID],Vendedores[Setor])</f>
        <v>AB</v>
      </c>
      <c r="D1583" s="7" t="s">
        <v>36</v>
      </c>
      <c r="E1583" t="str">
        <f>_xlfn.XLOOKUP(Vendas[[#This Row],[ID Item Vendido]],Agregado[ID],Agregado[Produto])</f>
        <v>Borracha vulcanizada em manta</v>
      </c>
      <c r="F1583" s="39">
        <v>44647</v>
      </c>
      <c r="G1583" s="7">
        <v>89</v>
      </c>
      <c r="H1583" s="3">
        <f>_xlfn.XLOOKUP(Vendas[[#This Row],[ID Item Vendido]],Agregado[ID],Agregado[Revenda])</f>
        <v>7.8</v>
      </c>
      <c r="I1583" s="3">
        <f>Vendas[[#This Row],[Valor Unitário]]*Vendas[[#This Row],[Qnt Vendida]]</f>
        <v>694.19999999999993</v>
      </c>
      <c r="J1583" s="3">
        <f>Vendas[[#This Row],[Valor da Venda]]-(_xlfn.XLOOKUP(Vendas[[#This Row],[ID Item Vendido]],Agregado[ID],Agregado[Custo])*Vendas[[#This Row],[Qnt Vendida]])</f>
        <v>160.19999999999993</v>
      </c>
      <c r="K1583" s="70">
        <f>Vendas[[#This Row],[Lucro da Venda]]/Vendas[[#This Row],[Valor da Venda]]</f>
        <v>0.2307692307692307</v>
      </c>
      <c r="L1583" s="3">
        <f>_xlfn.IFS(Vendas[[#This Row],[Margem de Lucro (%)]]&lt;15%,Vendas[[#This Row],[Valor da Venda]]*3%,Vendas[[#This Row],[Margem de Lucro (%)]]&lt;=20%,Vendas[[#This Row],[Valor da Venda]]*4.5%,TRUE,Vendas[[#This Row],[Valor da Venda]]*6%)</f>
        <v>41.651999999999994</v>
      </c>
      <c r="M1583"/>
    </row>
    <row r="1584" spans="1:13" x14ac:dyDescent="0.3">
      <c r="A1584" s="7">
        <v>400250</v>
      </c>
      <c r="B1584" t="str">
        <f>_xlfn.XLOOKUP(Vendas[[#This Row],[ID Vendedor]],Vendedores[ID],Vendedores[Nome])</f>
        <v>Larissa</v>
      </c>
      <c r="C1584" s="7" t="str">
        <f>_xlfn.XLOOKUP(Vendas[[#This Row],[ID Vendedor]],Vendedores[ID],Vendedores[Setor])</f>
        <v>AB</v>
      </c>
      <c r="D1584" s="7" t="s">
        <v>12</v>
      </c>
      <c r="E1584" t="str">
        <f>_xlfn.XLOOKUP(Vendas[[#This Row],[ID Item Vendido]],Agregado[ID],Agregado[Produto])</f>
        <v>Grânulo de plástico reciclado refinado</v>
      </c>
      <c r="F1584" s="39">
        <v>44647</v>
      </c>
      <c r="G1584" s="7">
        <v>10</v>
      </c>
      <c r="H1584" s="3">
        <f>_xlfn.XLOOKUP(Vendas[[#This Row],[ID Item Vendido]],Agregado[ID],Agregado[Revenda])</f>
        <v>4.7</v>
      </c>
      <c r="I1584" s="3">
        <f>Vendas[[#This Row],[Valor Unitário]]*Vendas[[#This Row],[Qnt Vendida]]</f>
        <v>47</v>
      </c>
      <c r="J1584" s="3">
        <f>Vendas[[#This Row],[Valor da Venda]]-(_xlfn.XLOOKUP(Vendas[[#This Row],[ID Item Vendido]],Agregado[ID],Agregado[Custo])*Vendas[[#This Row],[Qnt Vendida]])</f>
        <v>12</v>
      </c>
      <c r="K1584" s="70">
        <f>Vendas[[#This Row],[Lucro da Venda]]/Vendas[[#This Row],[Valor da Venda]]</f>
        <v>0.25531914893617019</v>
      </c>
      <c r="L1584" s="3">
        <f>_xlfn.IFS(Vendas[[#This Row],[Margem de Lucro (%)]]&lt;15%,Vendas[[#This Row],[Valor da Venda]]*3%,Vendas[[#This Row],[Margem de Lucro (%)]]&lt;=20%,Vendas[[#This Row],[Valor da Venda]]*4.5%,TRUE,Vendas[[#This Row],[Valor da Venda]]*6%)</f>
        <v>2.82</v>
      </c>
      <c r="M1584"/>
    </row>
    <row r="1585" spans="1:13" x14ac:dyDescent="0.3">
      <c r="A1585" s="7">
        <v>400251</v>
      </c>
      <c r="B1585" t="str">
        <f>_xlfn.XLOOKUP(Vendas[[#This Row],[ID Vendedor]],Vendedores[ID],Vendedores[Nome])</f>
        <v>Diego</v>
      </c>
      <c r="C1585" s="7" t="str">
        <f>_xlfn.XLOOKUP(Vendas[[#This Row],[ID Vendedor]],Vendedores[ID],Vendedores[Setor])</f>
        <v>AB</v>
      </c>
      <c r="D1585" s="7" t="s">
        <v>39</v>
      </c>
      <c r="E1585" t="str">
        <f>_xlfn.XLOOKUP(Vendas[[#This Row],[ID Item Vendido]],Agregado[ID],Agregado[Produto])</f>
        <v>Filme plástico industrial rolo 50m</v>
      </c>
      <c r="F1585" s="39">
        <v>44648</v>
      </c>
      <c r="G1585" s="7">
        <v>28</v>
      </c>
      <c r="H1585" s="3">
        <f>_xlfn.XLOOKUP(Vendas[[#This Row],[ID Item Vendido]],Agregado[ID],Agregado[Revenda])</f>
        <v>37</v>
      </c>
      <c r="I1585" s="3">
        <f>Vendas[[#This Row],[Valor Unitário]]*Vendas[[#This Row],[Qnt Vendida]]</f>
        <v>1036</v>
      </c>
      <c r="J1585" s="3">
        <f>Vendas[[#This Row],[Valor da Venda]]-(_xlfn.XLOOKUP(Vendas[[#This Row],[ID Item Vendido]],Agregado[ID],Agregado[Custo])*Vendas[[#This Row],[Qnt Vendida]])</f>
        <v>252</v>
      </c>
      <c r="K1585" s="70">
        <f>Vendas[[#This Row],[Lucro da Venda]]/Vendas[[#This Row],[Valor da Venda]]</f>
        <v>0.24324324324324326</v>
      </c>
      <c r="L1585" s="3">
        <f>_xlfn.IFS(Vendas[[#This Row],[Margem de Lucro (%)]]&lt;15%,Vendas[[#This Row],[Valor da Venda]]*3%,Vendas[[#This Row],[Margem de Lucro (%)]]&lt;=20%,Vendas[[#This Row],[Valor da Venda]]*4.5%,TRUE,Vendas[[#This Row],[Valor da Venda]]*6%)</f>
        <v>62.16</v>
      </c>
      <c r="M1585"/>
    </row>
    <row r="1586" spans="1:13" x14ac:dyDescent="0.3">
      <c r="A1586" s="7">
        <v>400243</v>
      </c>
      <c r="B1586" t="str">
        <f>_xlfn.XLOOKUP(Vendas[[#This Row],[ID Vendedor]],Vendedores[ID],Vendedores[Nome])</f>
        <v>Marcelo</v>
      </c>
      <c r="C1586" s="7" t="str">
        <f>_xlfn.XLOOKUP(Vendas[[#This Row],[ID Vendedor]],Vendedores[ID],Vendedores[Setor])</f>
        <v>FM</v>
      </c>
      <c r="D1586" s="7" t="s">
        <v>31</v>
      </c>
      <c r="E1586" t="str">
        <f>_xlfn.XLOOKUP(Vendas[[#This Row],[ID Item Vendido]],Agregado[ID],Agregado[Produto])</f>
        <v>Tela de metal soldada rolo 2x25m</v>
      </c>
      <c r="F1586" s="39">
        <v>44648</v>
      </c>
      <c r="G1586" s="7">
        <v>16</v>
      </c>
      <c r="H1586" s="3">
        <f>_xlfn.XLOOKUP(Vendas[[#This Row],[ID Item Vendido]],Agregado[ID],Agregado[Revenda])</f>
        <v>43.7</v>
      </c>
      <c r="I1586" s="3">
        <f>Vendas[[#This Row],[Valor Unitário]]*Vendas[[#This Row],[Qnt Vendida]]</f>
        <v>699.2</v>
      </c>
      <c r="J1586" s="3">
        <f>Vendas[[#This Row],[Valor da Venda]]-(_xlfn.XLOOKUP(Vendas[[#This Row],[ID Item Vendido]],Agregado[ID],Agregado[Custo])*Vendas[[#This Row],[Qnt Vendida]])</f>
        <v>91.200000000000045</v>
      </c>
      <c r="K1586" s="70">
        <f>Vendas[[#This Row],[Lucro da Venda]]/Vendas[[#This Row],[Valor da Venda]]</f>
        <v>0.1304347826086957</v>
      </c>
      <c r="L1586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1586"/>
    </row>
    <row r="1587" spans="1:13" x14ac:dyDescent="0.3">
      <c r="A1587" s="7">
        <v>400242</v>
      </c>
      <c r="B1587" t="str">
        <f>_xlfn.XLOOKUP(Vendas[[#This Row],[ID Vendedor]],Vendedores[ID],Vendedores[Nome])</f>
        <v>Fernanda</v>
      </c>
      <c r="C1587" s="7" t="str">
        <f>_xlfn.XLOOKUP(Vendas[[#This Row],[ID Vendedor]],Vendedores[ID],Vendedores[Setor])</f>
        <v>FM</v>
      </c>
      <c r="D1587" s="7" t="s">
        <v>6</v>
      </c>
      <c r="E1587" t="str">
        <f>_xlfn.XLOOKUP(Vendas[[#This Row],[ID Item Vendido]],Agregado[ID],Agregado[Produto])</f>
        <v>Parafuso comum 500un</v>
      </c>
      <c r="F1587" s="39">
        <v>44649</v>
      </c>
      <c r="G1587" s="7">
        <v>2</v>
      </c>
      <c r="H1587" s="3">
        <f>_xlfn.XLOOKUP(Vendas[[#This Row],[ID Item Vendido]],Agregado[ID],Agregado[Revenda])</f>
        <v>24.6</v>
      </c>
      <c r="I1587" s="3">
        <f>Vendas[[#This Row],[Valor Unitário]]*Vendas[[#This Row],[Qnt Vendida]]</f>
        <v>49.2</v>
      </c>
      <c r="J1587" s="3">
        <f>Vendas[[#This Row],[Valor da Venda]]-(_xlfn.XLOOKUP(Vendas[[#This Row],[ID Item Vendido]],Agregado[ID],Agregado[Custo])*Vendas[[#This Row],[Qnt Vendida]])</f>
        <v>5.2000000000000028</v>
      </c>
      <c r="K1587" s="70">
        <f>Vendas[[#This Row],[Lucro da Venda]]/Vendas[[#This Row],[Valor da Venda]]</f>
        <v>0.10569105691056915</v>
      </c>
      <c r="L1587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1587"/>
    </row>
    <row r="1588" spans="1:13" x14ac:dyDescent="0.3">
      <c r="A1588" s="7">
        <v>400250</v>
      </c>
      <c r="B1588" t="str">
        <f>_xlfn.XLOOKUP(Vendas[[#This Row],[ID Vendedor]],Vendedores[ID],Vendedores[Nome])</f>
        <v>Larissa</v>
      </c>
      <c r="C1588" s="7" t="str">
        <f>_xlfn.XLOOKUP(Vendas[[#This Row],[ID Vendedor]],Vendedores[ID],Vendedores[Setor])</f>
        <v>AB</v>
      </c>
      <c r="D1588" s="7" t="s">
        <v>37</v>
      </c>
      <c r="E1588" t="str">
        <f>_xlfn.XLOOKUP(Vendas[[#This Row],[ID Item Vendido]],Agregado[ID],Agregado[Produto])</f>
        <v>Composto de borracha para vedação rolo 10m</v>
      </c>
      <c r="F1588" s="39">
        <v>44650</v>
      </c>
      <c r="G1588" s="7">
        <v>17</v>
      </c>
      <c r="H1588" s="3">
        <f>_xlfn.XLOOKUP(Vendas[[#This Row],[ID Item Vendido]],Agregado[ID],Agregado[Revenda])</f>
        <v>51.2</v>
      </c>
      <c r="I1588" s="3">
        <f>Vendas[[#This Row],[Valor Unitário]]*Vendas[[#This Row],[Qnt Vendida]]</f>
        <v>870.40000000000009</v>
      </c>
      <c r="J1588" s="3">
        <f>Vendas[[#This Row],[Valor da Venda]]-(_xlfn.XLOOKUP(Vendas[[#This Row],[ID Item Vendido]],Agregado[ID],Agregado[Custo])*Vendas[[#This Row],[Qnt Vendida]])</f>
        <v>190.40000000000009</v>
      </c>
      <c r="K1588" s="70">
        <f>Vendas[[#This Row],[Lucro da Venda]]/Vendas[[#This Row],[Valor da Venda]]</f>
        <v>0.21875000000000008</v>
      </c>
      <c r="L1588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1588"/>
    </row>
    <row r="1589" spans="1:13" x14ac:dyDescent="0.3">
      <c r="A1589" s="7">
        <v>400250</v>
      </c>
      <c r="B1589" t="str">
        <f>_xlfn.XLOOKUP(Vendas[[#This Row],[ID Vendedor]],Vendedores[ID],Vendedores[Nome])</f>
        <v>Larissa</v>
      </c>
      <c r="C1589" s="7" t="str">
        <f>_xlfn.XLOOKUP(Vendas[[#This Row],[ID Vendedor]],Vendedores[ID],Vendedores[Setor])</f>
        <v>AB</v>
      </c>
      <c r="D1589" s="7" t="s">
        <v>39</v>
      </c>
      <c r="E1589" t="str">
        <f>_xlfn.XLOOKUP(Vendas[[#This Row],[ID Item Vendido]],Agregado[ID],Agregado[Produto])</f>
        <v>Filme plástico industrial rolo 50m</v>
      </c>
      <c r="F1589" s="39">
        <v>44651</v>
      </c>
      <c r="G1589" s="7">
        <v>12</v>
      </c>
      <c r="H1589" s="3">
        <f>_xlfn.XLOOKUP(Vendas[[#This Row],[ID Item Vendido]],Agregado[ID],Agregado[Revenda])</f>
        <v>37</v>
      </c>
      <c r="I1589" s="3">
        <f>Vendas[[#This Row],[Valor Unitário]]*Vendas[[#This Row],[Qnt Vendida]]</f>
        <v>444</v>
      </c>
      <c r="J1589" s="3">
        <f>Vendas[[#This Row],[Valor da Venda]]-(_xlfn.XLOOKUP(Vendas[[#This Row],[ID Item Vendido]],Agregado[ID],Agregado[Custo])*Vendas[[#This Row],[Qnt Vendida]])</f>
        <v>108</v>
      </c>
      <c r="K1589" s="70">
        <f>Vendas[[#This Row],[Lucro da Venda]]/Vendas[[#This Row],[Valor da Venda]]</f>
        <v>0.24324324324324326</v>
      </c>
      <c r="L1589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1589"/>
    </row>
    <row r="1590" spans="1:13" x14ac:dyDescent="0.3">
      <c r="A1590" s="7">
        <v>400247</v>
      </c>
      <c r="B1590" t="str">
        <f>_xlfn.XLOOKUP(Vendas[[#This Row],[ID Vendedor]],Vendedores[ID],Vendedores[Nome])</f>
        <v>André</v>
      </c>
      <c r="C1590" s="7" t="str">
        <f>_xlfn.XLOOKUP(Vendas[[#This Row],[ID Vendedor]],Vendedores[ID],Vendedores[Setor])</f>
        <v>CM</v>
      </c>
      <c r="D1590" s="7" t="s">
        <v>43</v>
      </c>
      <c r="E1590" t="str">
        <f>_xlfn.XLOOKUP(Vendas[[#This Row],[ID Item Vendido]],Agregado[ID],Agregado[Produto])</f>
        <v>Madeira Bruta (Tora)</v>
      </c>
      <c r="F1590" s="39">
        <v>44652</v>
      </c>
      <c r="G1590" s="7">
        <v>13</v>
      </c>
      <c r="H1590" s="3">
        <f>_xlfn.XLOOKUP(Vendas[[#This Row],[ID Item Vendido]],Agregado[ID],Agregado[Revenda])</f>
        <v>212</v>
      </c>
      <c r="I1590" s="3">
        <f>Vendas[[#This Row],[Valor Unitário]]*Vendas[[#This Row],[Qnt Vendida]]</f>
        <v>2756</v>
      </c>
      <c r="J1590" s="3">
        <f>Vendas[[#This Row],[Valor da Venda]]-(_xlfn.XLOOKUP(Vendas[[#This Row],[ID Item Vendido]],Agregado[ID],Agregado[Custo])*Vendas[[#This Row],[Qnt Vendida]])</f>
        <v>416</v>
      </c>
      <c r="K1590" s="70">
        <f>Vendas[[#This Row],[Lucro da Venda]]/Vendas[[#This Row],[Valor da Venda]]</f>
        <v>0.15094339622641509</v>
      </c>
      <c r="L1590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1590"/>
    </row>
    <row r="1591" spans="1:13" x14ac:dyDescent="0.3">
      <c r="A1591" s="7">
        <v>400245</v>
      </c>
      <c r="B1591" t="str">
        <f>_xlfn.XLOOKUP(Vendas[[#This Row],[ID Vendedor]],Vendedores[ID],Vendedores[Nome])</f>
        <v>Thiago</v>
      </c>
      <c r="C1591" s="7" t="str">
        <f>_xlfn.XLOOKUP(Vendas[[#This Row],[ID Vendedor]],Vendedores[ID],Vendedores[Setor])</f>
        <v>AHD</v>
      </c>
      <c r="D1591" s="7" t="s">
        <v>18</v>
      </c>
      <c r="E1591" t="str">
        <f>_xlfn.XLOOKUP(Vendas[[#This Row],[ID Item Vendido]],Agregado[ID],Agregado[Produto])</f>
        <v>Peça forjada sob encomenda</v>
      </c>
      <c r="F1591" s="39">
        <v>44652</v>
      </c>
      <c r="G1591" s="7">
        <v>4</v>
      </c>
      <c r="H1591" s="3">
        <f>_xlfn.XLOOKUP(Vendas[[#This Row],[ID Item Vendido]],Agregado[ID],Agregado[Revenda])</f>
        <v>264.60000000000002</v>
      </c>
      <c r="I1591" s="3">
        <f>Vendas[[#This Row],[Valor Unitário]]*Vendas[[#This Row],[Qnt Vendida]]</f>
        <v>1058.4000000000001</v>
      </c>
      <c r="J1591" s="3">
        <f>Vendas[[#This Row],[Valor da Venda]]-(_xlfn.XLOOKUP(Vendas[[#This Row],[ID Item Vendido]],Agregado[ID],Agregado[Custo])*Vendas[[#This Row],[Qnt Vendida]])</f>
        <v>58.400000000000091</v>
      </c>
      <c r="K1591" s="70">
        <f>Vendas[[#This Row],[Lucro da Venda]]/Vendas[[#This Row],[Valor da Venda]]</f>
        <v>5.5177626606198113E-2</v>
      </c>
      <c r="L159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1591"/>
    </row>
    <row r="1592" spans="1:13" x14ac:dyDescent="0.3">
      <c r="A1592" s="7">
        <v>400253</v>
      </c>
      <c r="B1592" t="str">
        <f>_xlfn.XLOOKUP(Vendas[[#This Row],[ID Vendedor]],Vendedores[ID],Vendedores[Nome])</f>
        <v>Gustavo</v>
      </c>
      <c r="C1592" s="7" t="str">
        <f>_xlfn.XLOOKUP(Vendas[[#This Row],[ID Vendedor]],Vendedores[ID],Vendedores[Setor])</f>
        <v>SC</v>
      </c>
      <c r="D1592" s="7" t="s">
        <v>48</v>
      </c>
      <c r="E1592" t="str">
        <f>_xlfn.XLOOKUP(Vendas[[#This Row],[ID Item Vendido]],Agregado[ID],Agregado[Produto])</f>
        <v>Tambor metálico 200L</v>
      </c>
      <c r="F1592" s="39">
        <v>44652</v>
      </c>
      <c r="G1592" s="7">
        <v>11</v>
      </c>
      <c r="H1592" s="3">
        <f>_xlfn.XLOOKUP(Vendas[[#This Row],[ID Item Vendido]],Agregado[ID],Agregado[Revenda])</f>
        <v>144</v>
      </c>
      <c r="I1592" s="3">
        <f>Vendas[[#This Row],[Valor Unitário]]*Vendas[[#This Row],[Qnt Vendida]]</f>
        <v>1584</v>
      </c>
      <c r="J1592" s="3">
        <f>Vendas[[#This Row],[Valor da Venda]]-(_xlfn.XLOOKUP(Vendas[[#This Row],[ID Item Vendido]],Agregado[ID],Agregado[Custo])*Vendas[[#This Row],[Qnt Vendida]])</f>
        <v>264</v>
      </c>
      <c r="K1592" s="70">
        <f>Vendas[[#This Row],[Lucro da Venda]]/Vendas[[#This Row],[Valor da Venda]]</f>
        <v>0.16666666666666666</v>
      </c>
      <c r="L1592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1592"/>
    </row>
    <row r="1593" spans="1:13" x14ac:dyDescent="0.3">
      <c r="A1593" s="7">
        <v>400247</v>
      </c>
      <c r="B1593" t="str">
        <f>_xlfn.XLOOKUP(Vendas[[#This Row],[ID Vendedor]],Vendedores[ID],Vendedores[Nome])</f>
        <v>André</v>
      </c>
      <c r="C1593" s="7" t="str">
        <f>_xlfn.XLOOKUP(Vendas[[#This Row],[ID Vendedor]],Vendedores[ID],Vendedores[Setor])</f>
        <v>CM</v>
      </c>
      <c r="D1593" s="7" t="s">
        <v>32</v>
      </c>
      <c r="E1593" t="str">
        <f>_xlfn.XLOOKUP(Vendas[[#This Row],[ID Item Vendido]],Agregado[ID],Agregado[Produto])</f>
        <v>Tábua tratada e cortada 3m</v>
      </c>
      <c r="F1593" s="39">
        <v>44652</v>
      </c>
      <c r="G1593" s="7">
        <v>17</v>
      </c>
      <c r="H1593" s="3">
        <f>_xlfn.XLOOKUP(Vendas[[#This Row],[ID Item Vendido]],Agregado[ID],Agregado[Revenda])</f>
        <v>39</v>
      </c>
      <c r="I1593" s="3">
        <f>Vendas[[#This Row],[Valor Unitário]]*Vendas[[#This Row],[Qnt Vendida]]</f>
        <v>663</v>
      </c>
      <c r="J1593" s="3">
        <f>Vendas[[#This Row],[Valor da Venda]]-(_xlfn.XLOOKUP(Vendas[[#This Row],[ID Item Vendido]],Agregado[ID],Agregado[Custo])*Vendas[[#This Row],[Qnt Vendida]])</f>
        <v>119</v>
      </c>
      <c r="K1593" s="70">
        <f>Vendas[[#This Row],[Lucro da Venda]]/Vendas[[#This Row],[Valor da Venda]]</f>
        <v>0.17948717948717949</v>
      </c>
      <c r="L1593" s="3">
        <f>_xlfn.IFS(Vendas[[#This Row],[Margem de Lucro (%)]]&lt;15%,Vendas[[#This Row],[Valor da Venda]]*3%,Vendas[[#This Row],[Margem de Lucro (%)]]&lt;=20%,Vendas[[#This Row],[Valor da Venda]]*4.5%,TRUE,Vendas[[#This Row],[Valor da Venda]]*6%)</f>
        <v>29.834999999999997</v>
      </c>
      <c r="M1593"/>
    </row>
    <row r="1594" spans="1:13" x14ac:dyDescent="0.3">
      <c r="A1594" s="7">
        <v>400245</v>
      </c>
      <c r="B1594" t="str">
        <f>_xlfn.XLOOKUP(Vendas[[#This Row],[ID Vendedor]],Vendedores[ID],Vendedores[Nome])</f>
        <v>Thiago</v>
      </c>
      <c r="C1594" s="7" t="str">
        <f>_xlfn.XLOOKUP(Vendas[[#This Row],[ID Vendedor]],Vendedores[ID],Vendedores[Setor])</f>
        <v>AHD</v>
      </c>
      <c r="D1594" s="7" t="s">
        <v>44</v>
      </c>
      <c r="E1594" t="str">
        <f>_xlfn.XLOOKUP(Vendas[[#This Row],[ID Item Vendido]],Agregado[ID],Agregado[Produto])</f>
        <v>Liga metálica especial</v>
      </c>
      <c r="F1594" s="39">
        <v>44653</v>
      </c>
      <c r="G1594" s="7">
        <v>25</v>
      </c>
      <c r="H1594" s="3">
        <f>_xlfn.XLOOKUP(Vendas[[#This Row],[ID Item Vendido]],Agregado[ID],Agregado[Revenda])</f>
        <v>32.5</v>
      </c>
      <c r="I1594" s="3">
        <f>Vendas[[#This Row],[Valor Unitário]]*Vendas[[#This Row],[Qnt Vendida]]</f>
        <v>812.5</v>
      </c>
      <c r="J1594" s="3">
        <f>Vendas[[#This Row],[Valor da Venda]]-(_xlfn.XLOOKUP(Vendas[[#This Row],[ID Item Vendido]],Agregado[ID],Agregado[Custo])*Vendas[[#This Row],[Qnt Vendida]])</f>
        <v>187.5</v>
      </c>
      <c r="K1594" s="70">
        <f>Vendas[[#This Row],[Lucro da Venda]]/Vendas[[#This Row],[Valor da Venda]]</f>
        <v>0.23076923076923078</v>
      </c>
      <c r="L1594" s="3">
        <f>_xlfn.IFS(Vendas[[#This Row],[Margem de Lucro (%)]]&lt;15%,Vendas[[#This Row],[Valor da Venda]]*3%,Vendas[[#This Row],[Margem de Lucro (%)]]&lt;=20%,Vendas[[#This Row],[Valor da Venda]]*4.5%,TRUE,Vendas[[#This Row],[Valor da Venda]]*6%)</f>
        <v>48.75</v>
      </c>
      <c r="M1594"/>
    </row>
    <row r="1595" spans="1:13" x14ac:dyDescent="0.3">
      <c r="A1595" s="7">
        <v>400241</v>
      </c>
      <c r="B1595" t="str">
        <f>_xlfn.XLOOKUP(Vendas[[#This Row],[ID Vendedor]],Vendedores[ID],Vendedores[Nome])</f>
        <v>Rodrigo</v>
      </c>
      <c r="C1595" s="7" t="str">
        <f>_xlfn.XLOOKUP(Vendas[[#This Row],[ID Vendedor]],Vendedores[ID],Vendedores[Setor])</f>
        <v>FM</v>
      </c>
      <c r="D1595" s="7" t="s">
        <v>47</v>
      </c>
      <c r="E1595" t="str">
        <f>_xlfn.XLOOKUP(Vendas[[#This Row],[ID Item Vendido]],Agregado[ID],Agregado[Produto])</f>
        <v>Fio de arame galvanizado rolo 50m</v>
      </c>
      <c r="F1595" s="39">
        <v>44653</v>
      </c>
      <c r="G1595" s="7">
        <v>20</v>
      </c>
      <c r="H1595" s="3">
        <f>_xlfn.XLOOKUP(Vendas[[#This Row],[ID Item Vendido]],Agregado[ID],Agregado[Revenda])</f>
        <v>21.2</v>
      </c>
      <c r="I1595" s="3">
        <f>Vendas[[#This Row],[Valor Unitário]]*Vendas[[#This Row],[Qnt Vendida]]</f>
        <v>424</v>
      </c>
      <c r="J1595" s="3">
        <f>Vendas[[#This Row],[Valor da Venda]]-(_xlfn.XLOOKUP(Vendas[[#This Row],[ID Item Vendido]],Agregado[ID],Agregado[Custo])*Vendas[[#This Row],[Qnt Vendida]])</f>
        <v>64</v>
      </c>
      <c r="K1595" s="70">
        <f>Vendas[[#This Row],[Lucro da Venda]]/Vendas[[#This Row],[Valor da Venda]]</f>
        <v>0.15094339622641509</v>
      </c>
      <c r="L159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595"/>
    </row>
    <row r="1596" spans="1:13" x14ac:dyDescent="0.3">
      <c r="A1596" s="7">
        <v>400253</v>
      </c>
      <c r="B1596" t="str">
        <f>_xlfn.XLOOKUP(Vendas[[#This Row],[ID Vendedor]],Vendedores[ID],Vendedores[Nome])</f>
        <v>Gustavo</v>
      </c>
      <c r="C1596" s="7" t="str">
        <f>_xlfn.XLOOKUP(Vendas[[#This Row],[ID Vendedor]],Vendedores[ID],Vendedores[Setor])</f>
        <v>SC</v>
      </c>
      <c r="D1596" s="7" t="s">
        <v>41</v>
      </c>
      <c r="E1596" t="str">
        <f>_xlfn.XLOOKUP(Vendas[[#This Row],[ID Item Vendido]],Agregado[ID],Agregado[Produto])</f>
        <v>Palete de madeira reforçado</v>
      </c>
      <c r="F1596" s="39">
        <v>44653</v>
      </c>
      <c r="G1596" s="7">
        <v>3</v>
      </c>
      <c r="H1596" s="3">
        <f>_xlfn.XLOOKUP(Vendas[[#This Row],[ID Item Vendido]],Agregado[ID],Agregado[Revenda])</f>
        <v>131</v>
      </c>
      <c r="I1596" s="3">
        <f>Vendas[[#This Row],[Valor Unitário]]*Vendas[[#This Row],[Qnt Vendida]]</f>
        <v>393</v>
      </c>
      <c r="J1596" s="3">
        <f>Vendas[[#This Row],[Valor da Venda]]-(_xlfn.XLOOKUP(Vendas[[#This Row],[ID Item Vendido]],Agregado[ID],Agregado[Custo])*Vendas[[#This Row],[Qnt Vendida]])</f>
        <v>63</v>
      </c>
      <c r="K1596" s="70">
        <f>Vendas[[#This Row],[Lucro da Venda]]/Vendas[[#This Row],[Valor da Venda]]</f>
        <v>0.16030534351145037</v>
      </c>
      <c r="L1596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1596"/>
    </row>
    <row r="1597" spans="1:13" x14ac:dyDescent="0.3">
      <c r="A1597" s="7">
        <v>400255</v>
      </c>
      <c r="B1597" t="str">
        <f>_xlfn.XLOOKUP(Vendas[[#This Row],[ID Vendedor]],Vendedores[ID],Vendedores[Nome])</f>
        <v>Carlos</v>
      </c>
      <c r="C1597" s="7" t="str">
        <f>_xlfn.XLOOKUP(Vendas[[#This Row],[ID Vendedor]],Vendedores[ID],Vendedores[Setor])</f>
        <v>SC</v>
      </c>
      <c r="D1597" s="7" t="s">
        <v>48</v>
      </c>
      <c r="E1597" t="str">
        <f>_xlfn.XLOOKUP(Vendas[[#This Row],[ID Item Vendido]],Agregado[ID],Agregado[Produto])</f>
        <v>Tambor metálico 200L</v>
      </c>
      <c r="F1597" s="39">
        <v>44654</v>
      </c>
      <c r="G1597" s="7">
        <v>8</v>
      </c>
      <c r="H1597" s="3">
        <f>_xlfn.XLOOKUP(Vendas[[#This Row],[ID Item Vendido]],Agregado[ID],Agregado[Revenda])</f>
        <v>144</v>
      </c>
      <c r="I1597" s="3">
        <f>Vendas[[#This Row],[Valor Unitário]]*Vendas[[#This Row],[Qnt Vendida]]</f>
        <v>1152</v>
      </c>
      <c r="J1597" s="3">
        <f>Vendas[[#This Row],[Valor da Venda]]-(_xlfn.XLOOKUP(Vendas[[#This Row],[ID Item Vendido]],Agregado[ID],Agregado[Custo])*Vendas[[#This Row],[Qnt Vendida]])</f>
        <v>192</v>
      </c>
      <c r="K1597" s="70">
        <f>Vendas[[#This Row],[Lucro da Venda]]/Vendas[[#This Row],[Valor da Venda]]</f>
        <v>0.16666666666666666</v>
      </c>
      <c r="L1597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597"/>
    </row>
    <row r="1598" spans="1:13" x14ac:dyDescent="0.3">
      <c r="A1598" s="7">
        <v>400253</v>
      </c>
      <c r="B1598" t="str">
        <f>_xlfn.XLOOKUP(Vendas[[#This Row],[ID Vendedor]],Vendedores[ID],Vendedores[Nome])</f>
        <v>Gustavo</v>
      </c>
      <c r="C1598" s="7" t="str">
        <f>_xlfn.XLOOKUP(Vendas[[#This Row],[ID Vendedor]],Vendedores[ID],Vendedores[Setor])</f>
        <v>SC</v>
      </c>
      <c r="D1598" s="7" t="s">
        <v>41</v>
      </c>
      <c r="E1598" t="str">
        <f>_xlfn.XLOOKUP(Vendas[[#This Row],[ID Item Vendido]],Agregado[ID],Agregado[Produto])</f>
        <v>Palete de madeira reforçado</v>
      </c>
      <c r="F1598" s="39">
        <v>44654</v>
      </c>
      <c r="G1598" s="7">
        <v>8</v>
      </c>
      <c r="H1598" s="3">
        <f>_xlfn.XLOOKUP(Vendas[[#This Row],[ID Item Vendido]],Agregado[ID],Agregado[Revenda])</f>
        <v>131</v>
      </c>
      <c r="I1598" s="3">
        <f>Vendas[[#This Row],[Valor Unitário]]*Vendas[[#This Row],[Qnt Vendida]]</f>
        <v>1048</v>
      </c>
      <c r="J1598" s="3">
        <f>Vendas[[#This Row],[Valor da Venda]]-(_xlfn.XLOOKUP(Vendas[[#This Row],[ID Item Vendido]],Agregado[ID],Agregado[Custo])*Vendas[[#This Row],[Qnt Vendida]])</f>
        <v>168</v>
      </c>
      <c r="K1598" s="70">
        <f>Vendas[[#This Row],[Lucro da Venda]]/Vendas[[#This Row],[Valor da Venda]]</f>
        <v>0.16030534351145037</v>
      </c>
      <c r="L1598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1598"/>
    </row>
    <row r="1599" spans="1:13" x14ac:dyDescent="0.3">
      <c r="A1599" s="7">
        <v>400247</v>
      </c>
      <c r="B1599" t="str">
        <f>_xlfn.XLOOKUP(Vendas[[#This Row],[ID Vendedor]],Vendedores[ID],Vendedores[Nome])</f>
        <v>André</v>
      </c>
      <c r="C1599" s="7" t="str">
        <f>_xlfn.XLOOKUP(Vendas[[#This Row],[ID Vendedor]],Vendedores[ID],Vendedores[Setor])</f>
        <v>CM</v>
      </c>
      <c r="D1599" s="7" t="s">
        <v>45</v>
      </c>
      <c r="E1599" t="str">
        <f>_xlfn.XLOOKUP(Vendas[[#This Row],[ID Item Vendido]],Agregado[ID],Agregado[Produto])</f>
        <v>Viga de madeira tratada 4m</v>
      </c>
      <c r="F1599" s="39">
        <v>44654</v>
      </c>
      <c r="G1599" s="7">
        <v>3</v>
      </c>
      <c r="H1599" s="3">
        <f>_xlfn.XLOOKUP(Vendas[[#This Row],[ID Item Vendido]],Agregado[ID],Agregado[Revenda])</f>
        <v>66</v>
      </c>
      <c r="I1599" s="3">
        <f>Vendas[[#This Row],[Valor Unitário]]*Vendas[[#This Row],[Qnt Vendida]]</f>
        <v>198</v>
      </c>
      <c r="J1599" s="3">
        <f>Vendas[[#This Row],[Valor da Venda]]-(_xlfn.XLOOKUP(Vendas[[#This Row],[ID Item Vendido]],Agregado[ID],Agregado[Custo])*Vendas[[#This Row],[Qnt Vendida]])</f>
        <v>33</v>
      </c>
      <c r="K1599" s="70">
        <f>Vendas[[#This Row],[Lucro da Venda]]/Vendas[[#This Row],[Valor da Venda]]</f>
        <v>0.16666666666666666</v>
      </c>
      <c r="L1599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1599"/>
    </row>
    <row r="1600" spans="1:13" x14ac:dyDescent="0.3">
      <c r="A1600" s="7">
        <v>400241</v>
      </c>
      <c r="B1600" t="str">
        <f>_xlfn.XLOOKUP(Vendas[[#This Row],[ID Vendedor]],Vendedores[ID],Vendedores[Nome])</f>
        <v>Rodrigo</v>
      </c>
      <c r="C1600" s="7" t="str">
        <f>_xlfn.XLOOKUP(Vendas[[#This Row],[ID Vendedor]],Vendedores[ID],Vendedores[Setor])</f>
        <v>FM</v>
      </c>
      <c r="D1600" s="7" t="s">
        <v>27</v>
      </c>
      <c r="E1600" t="str">
        <f>_xlfn.XLOOKUP(Vendas[[#This Row],[ID Item Vendido]],Agregado[ID],Agregado[Produto])</f>
        <v>Chapa de metal lisa 1x2m</v>
      </c>
      <c r="F1600" s="39">
        <v>44655</v>
      </c>
      <c r="G1600" s="7">
        <v>29</v>
      </c>
      <c r="H1600" s="3">
        <f>_xlfn.XLOOKUP(Vendas[[#This Row],[ID Item Vendido]],Agregado[ID],Agregado[Revenda])</f>
        <v>52</v>
      </c>
      <c r="I1600" s="3">
        <f>Vendas[[#This Row],[Valor Unitário]]*Vendas[[#This Row],[Qnt Vendida]]</f>
        <v>1508</v>
      </c>
      <c r="J1600" s="3">
        <f>Vendas[[#This Row],[Valor da Venda]]-(_xlfn.XLOOKUP(Vendas[[#This Row],[ID Item Vendido]],Agregado[ID],Agregado[Custo])*Vendas[[#This Row],[Qnt Vendida]])</f>
        <v>203</v>
      </c>
      <c r="K1600" s="70">
        <f>Vendas[[#This Row],[Lucro da Venda]]/Vendas[[#This Row],[Valor da Venda]]</f>
        <v>0.13461538461538461</v>
      </c>
      <c r="L1600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1600"/>
    </row>
    <row r="1601" spans="1:13" x14ac:dyDescent="0.3">
      <c r="A1601" s="7">
        <v>400253</v>
      </c>
      <c r="B1601" t="str">
        <f>_xlfn.XLOOKUP(Vendas[[#This Row],[ID Vendedor]],Vendedores[ID],Vendedores[Nome])</f>
        <v>Gustavo</v>
      </c>
      <c r="C1601" s="7" t="str">
        <f>_xlfn.XLOOKUP(Vendas[[#This Row],[ID Vendedor]],Vendedores[ID],Vendedores[Setor])</f>
        <v>SC</v>
      </c>
      <c r="D1601" s="7" t="s">
        <v>48</v>
      </c>
      <c r="E1601" t="str">
        <f>_xlfn.XLOOKUP(Vendas[[#This Row],[ID Item Vendido]],Agregado[ID],Agregado[Produto])</f>
        <v>Tambor metálico 200L</v>
      </c>
      <c r="F1601" s="39">
        <v>44656</v>
      </c>
      <c r="G1601" s="7">
        <v>19</v>
      </c>
      <c r="H1601" s="3">
        <f>_xlfn.XLOOKUP(Vendas[[#This Row],[ID Item Vendido]],Agregado[ID],Agregado[Revenda])</f>
        <v>144</v>
      </c>
      <c r="I1601" s="3">
        <f>Vendas[[#This Row],[Valor Unitário]]*Vendas[[#This Row],[Qnt Vendida]]</f>
        <v>2736</v>
      </c>
      <c r="J1601" s="3">
        <f>Vendas[[#This Row],[Valor da Venda]]-(_xlfn.XLOOKUP(Vendas[[#This Row],[ID Item Vendido]],Agregado[ID],Agregado[Custo])*Vendas[[#This Row],[Qnt Vendida]])</f>
        <v>456</v>
      </c>
      <c r="K1601" s="70">
        <f>Vendas[[#This Row],[Lucro da Venda]]/Vendas[[#This Row],[Valor da Venda]]</f>
        <v>0.16666666666666666</v>
      </c>
      <c r="L1601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1601"/>
    </row>
    <row r="1602" spans="1:13" x14ac:dyDescent="0.3">
      <c r="A1602" s="7">
        <v>400253</v>
      </c>
      <c r="B1602" t="str">
        <f>_xlfn.XLOOKUP(Vendas[[#This Row],[ID Vendedor]],Vendedores[ID],Vendedores[Nome])</f>
        <v>Gustavo</v>
      </c>
      <c r="C1602" s="7" t="str">
        <f>_xlfn.XLOOKUP(Vendas[[#This Row],[ID Vendedor]],Vendedores[ID],Vendedores[Setor])</f>
        <v>SC</v>
      </c>
      <c r="D1602" s="7" t="s">
        <v>14</v>
      </c>
      <c r="E1602" t="str">
        <f>_xlfn.XLOOKUP(Vendas[[#This Row],[ID Item Vendido]],Agregado[ID],Agregado[Produto])</f>
        <v>Barril de plástico 200L</v>
      </c>
      <c r="F1602" s="39">
        <v>44657</v>
      </c>
      <c r="G1602" s="7">
        <v>5</v>
      </c>
      <c r="H1602" s="3">
        <f>_xlfn.XLOOKUP(Vendas[[#This Row],[ID Item Vendido]],Agregado[ID],Agregado[Revenda])</f>
        <v>114</v>
      </c>
      <c r="I1602" s="3">
        <f>Vendas[[#This Row],[Valor Unitário]]*Vendas[[#This Row],[Qnt Vendida]]</f>
        <v>570</v>
      </c>
      <c r="J1602" s="3">
        <f>Vendas[[#This Row],[Valor da Venda]]-(_xlfn.XLOOKUP(Vendas[[#This Row],[ID Item Vendido]],Agregado[ID],Agregado[Custo])*Vendas[[#This Row],[Qnt Vendida]])</f>
        <v>95</v>
      </c>
      <c r="K1602" s="70">
        <f>Vendas[[#This Row],[Lucro da Venda]]/Vendas[[#This Row],[Valor da Venda]]</f>
        <v>0.16666666666666666</v>
      </c>
      <c r="L1602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1602"/>
    </row>
    <row r="1603" spans="1:13" x14ac:dyDescent="0.3">
      <c r="A1603" s="7">
        <v>400245</v>
      </c>
      <c r="B1603" t="str">
        <f>_xlfn.XLOOKUP(Vendas[[#This Row],[ID Vendedor]],Vendedores[ID],Vendedores[Nome])</f>
        <v>Thiago</v>
      </c>
      <c r="C1603" s="7" t="str">
        <f>_xlfn.XLOOKUP(Vendas[[#This Row],[ID Vendedor]],Vendedores[ID],Vendedores[Setor])</f>
        <v>AHD</v>
      </c>
      <c r="D1603" s="7" t="s">
        <v>9</v>
      </c>
      <c r="E1603" t="str">
        <f>_xlfn.XLOOKUP(Vendas[[#This Row],[ID Item Vendido]],Agregado[ID],Agregado[Produto])</f>
        <v>Barra de aço simples</v>
      </c>
      <c r="F1603" s="39">
        <v>44657</v>
      </c>
      <c r="G1603" s="7">
        <v>69</v>
      </c>
      <c r="H1603" s="3">
        <f>_xlfn.XLOOKUP(Vendas[[#This Row],[ID Item Vendido]],Agregado[ID],Agregado[Revenda])</f>
        <v>6.7</v>
      </c>
      <c r="I1603" s="3">
        <f>Vendas[[#This Row],[Valor Unitário]]*Vendas[[#This Row],[Qnt Vendida]]</f>
        <v>462.3</v>
      </c>
      <c r="J1603" s="3">
        <f>Vendas[[#This Row],[Valor da Venda]]-(_xlfn.XLOOKUP(Vendas[[#This Row],[ID Item Vendido]],Agregado[ID],Agregado[Custo])*Vendas[[#This Row],[Qnt Vendida]])</f>
        <v>62.100000000000023</v>
      </c>
      <c r="K1603" s="70">
        <f>Vendas[[#This Row],[Lucro da Venda]]/Vendas[[#This Row],[Valor da Venda]]</f>
        <v>0.13432835820895528</v>
      </c>
      <c r="L1603" s="3">
        <f>_xlfn.IFS(Vendas[[#This Row],[Margem de Lucro (%)]]&lt;15%,Vendas[[#This Row],[Valor da Venda]]*3%,Vendas[[#This Row],[Margem de Lucro (%)]]&lt;=20%,Vendas[[#This Row],[Valor da Venda]]*4.5%,TRUE,Vendas[[#This Row],[Valor da Venda]]*6%)</f>
        <v>13.869</v>
      </c>
      <c r="M1603"/>
    </row>
    <row r="1604" spans="1:13" x14ac:dyDescent="0.3">
      <c r="A1604" s="7">
        <v>400245</v>
      </c>
      <c r="B1604" t="str">
        <f>_xlfn.XLOOKUP(Vendas[[#This Row],[ID Vendedor]],Vendedores[ID],Vendedores[Nome])</f>
        <v>Thiago</v>
      </c>
      <c r="C1604" s="7" t="str">
        <f>_xlfn.XLOOKUP(Vendas[[#This Row],[ID Vendedor]],Vendedores[ID],Vendedores[Setor])</f>
        <v>AHD</v>
      </c>
      <c r="D1604" s="7" t="s">
        <v>30</v>
      </c>
      <c r="E1604" t="str">
        <f>_xlfn.XLOOKUP(Vendas[[#This Row],[ID Item Vendido]],Agregado[ID],Agregado[Produto])</f>
        <v>Estrutura metálica soldada</v>
      </c>
      <c r="F1604" s="39">
        <v>44658</v>
      </c>
      <c r="G1604" s="7">
        <v>1</v>
      </c>
      <c r="H1604" s="3">
        <f>_xlfn.XLOOKUP(Vendas[[#This Row],[ID Item Vendido]],Agregado[ID],Agregado[Revenda])</f>
        <v>400</v>
      </c>
      <c r="I1604" s="3">
        <f>Vendas[[#This Row],[Valor Unitário]]*Vendas[[#This Row],[Qnt Vendida]]</f>
        <v>400</v>
      </c>
      <c r="J1604" s="3">
        <f>Vendas[[#This Row],[Valor da Venda]]-(_xlfn.XLOOKUP(Vendas[[#This Row],[ID Item Vendido]],Agregado[ID],Agregado[Custo])*Vendas[[#This Row],[Qnt Vendida]])</f>
        <v>80</v>
      </c>
      <c r="K1604" s="70">
        <f>Vendas[[#This Row],[Lucro da Venda]]/Vendas[[#This Row],[Valor da Venda]]</f>
        <v>0.2</v>
      </c>
      <c r="L160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604"/>
    </row>
    <row r="1605" spans="1:13" x14ac:dyDescent="0.3">
      <c r="A1605" s="7">
        <v>400250</v>
      </c>
      <c r="B1605" t="str">
        <f>_xlfn.XLOOKUP(Vendas[[#This Row],[ID Vendedor]],Vendedores[ID],Vendedores[Nome])</f>
        <v>Larissa</v>
      </c>
      <c r="C1605" s="7" t="str">
        <f>_xlfn.XLOOKUP(Vendas[[#This Row],[ID Vendedor]],Vendedores[ID],Vendedores[Setor])</f>
        <v>AB</v>
      </c>
      <c r="D1605" s="7" t="s">
        <v>12</v>
      </c>
      <c r="E1605" t="str">
        <f>_xlfn.XLOOKUP(Vendas[[#This Row],[ID Item Vendido]],Agregado[ID],Agregado[Produto])</f>
        <v>Grânulo de plástico reciclado refinado</v>
      </c>
      <c r="F1605" s="39">
        <v>44658</v>
      </c>
      <c r="G1605" s="7">
        <v>32</v>
      </c>
      <c r="H1605" s="3">
        <f>_xlfn.XLOOKUP(Vendas[[#This Row],[ID Item Vendido]],Agregado[ID],Agregado[Revenda])</f>
        <v>4.7</v>
      </c>
      <c r="I1605" s="3">
        <f>Vendas[[#This Row],[Valor Unitário]]*Vendas[[#This Row],[Qnt Vendida]]</f>
        <v>150.4</v>
      </c>
      <c r="J1605" s="3">
        <f>Vendas[[#This Row],[Valor da Venda]]-(_xlfn.XLOOKUP(Vendas[[#This Row],[ID Item Vendido]],Agregado[ID],Agregado[Custo])*Vendas[[#This Row],[Qnt Vendida]])</f>
        <v>38.400000000000006</v>
      </c>
      <c r="K1605" s="70">
        <f>Vendas[[#This Row],[Lucro da Venda]]/Vendas[[#This Row],[Valor da Venda]]</f>
        <v>0.25531914893617025</v>
      </c>
      <c r="L1605" s="3">
        <f>_xlfn.IFS(Vendas[[#This Row],[Margem de Lucro (%)]]&lt;15%,Vendas[[#This Row],[Valor da Venda]]*3%,Vendas[[#This Row],[Margem de Lucro (%)]]&lt;=20%,Vendas[[#This Row],[Valor da Venda]]*4.5%,TRUE,Vendas[[#This Row],[Valor da Venda]]*6%)</f>
        <v>9.0239999999999991</v>
      </c>
      <c r="M1605"/>
    </row>
    <row r="1606" spans="1:13" x14ac:dyDescent="0.3">
      <c r="A1606" s="7">
        <v>400243</v>
      </c>
      <c r="B1606" t="str">
        <f>_xlfn.XLOOKUP(Vendas[[#This Row],[ID Vendedor]],Vendedores[ID],Vendedores[Nome])</f>
        <v>Marcelo</v>
      </c>
      <c r="C1606" s="7" t="str">
        <f>_xlfn.XLOOKUP(Vendas[[#This Row],[ID Vendedor]],Vendedores[ID],Vendedores[Setor])</f>
        <v>FM</v>
      </c>
      <c r="D1606" s="7" t="s">
        <v>47</v>
      </c>
      <c r="E1606" t="str">
        <f>_xlfn.XLOOKUP(Vendas[[#This Row],[ID Item Vendido]],Agregado[ID],Agregado[Produto])</f>
        <v>Fio de arame galvanizado rolo 50m</v>
      </c>
      <c r="F1606" s="39">
        <v>44659</v>
      </c>
      <c r="G1606" s="7">
        <v>20</v>
      </c>
      <c r="H1606" s="3">
        <f>_xlfn.XLOOKUP(Vendas[[#This Row],[ID Item Vendido]],Agregado[ID],Agregado[Revenda])</f>
        <v>21.2</v>
      </c>
      <c r="I1606" s="3">
        <f>Vendas[[#This Row],[Valor Unitário]]*Vendas[[#This Row],[Qnt Vendida]]</f>
        <v>424</v>
      </c>
      <c r="J1606" s="3">
        <f>Vendas[[#This Row],[Valor da Venda]]-(_xlfn.XLOOKUP(Vendas[[#This Row],[ID Item Vendido]],Agregado[ID],Agregado[Custo])*Vendas[[#This Row],[Qnt Vendida]])</f>
        <v>64</v>
      </c>
      <c r="K1606" s="70">
        <f>Vendas[[#This Row],[Lucro da Venda]]/Vendas[[#This Row],[Valor da Venda]]</f>
        <v>0.15094339622641509</v>
      </c>
      <c r="L1606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1606"/>
    </row>
    <row r="1607" spans="1:13" x14ac:dyDescent="0.3">
      <c r="A1607" s="7">
        <v>400244</v>
      </c>
      <c r="B1607" t="str">
        <f>_xlfn.XLOOKUP(Vendas[[#This Row],[ID Vendedor]],Vendedores[ID],Vendedores[Nome])</f>
        <v>Camila</v>
      </c>
      <c r="C1607" s="7" t="str">
        <f>_xlfn.XLOOKUP(Vendas[[#This Row],[ID Vendedor]],Vendedores[ID],Vendedores[Setor])</f>
        <v>AHD</v>
      </c>
      <c r="D1607" s="7" t="s">
        <v>28</v>
      </c>
      <c r="E1607" t="str">
        <f>_xlfn.XLOOKUP(Vendas[[#This Row],[ID Item Vendido]],Agregado[ID],Agregado[Produto])</f>
        <v>Peça usinada CNC</v>
      </c>
      <c r="F1607" s="39">
        <v>44660</v>
      </c>
      <c r="G1607" s="7">
        <v>12</v>
      </c>
      <c r="H1607" s="3">
        <f>_xlfn.XLOOKUP(Vendas[[#This Row],[ID Item Vendido]],Agregado[ID],Agregado[Revenda])</f>
        <v>192</v>
      </c>
      <c r="I1607" s="3">
        <f>Vendas[[#This Row],[Valor Unitário]]*Vendas[[#This Row],[Qnt Vendida]]</f>
        <v>2304</v>
      </c>
      <c r="J1607" s="3">
        <f>Vendas[[#This Row],[Valor da Venda]]-(_xlfn.XLOOKUP(Vendas[[#This Row],[ID Item Vendido]],Agregado[ID],Agregado[Custo])*Vendas[[#This Row],[Qnt Vendida]])</f>
        <v>504</v>
      </c>
      <c r="K1607" s="70">
        <f>Vendas[[#This Row],[Lucro da Venda]]/Vendas[[#This Row],[Valor da Venda]]</f>
        <v>0.21875</v>
      </c>
      <c r="L1607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1607"/>
    </row>
    <row r="1608" spans="1:13" x14ac:dyDescent="0.3">
      <c r="A1608" s="7">
        <v>400241</v>
      </c>
      <c r="B1608" t="str">
        <f>_xlfn.XLOOKUP(Vendas[[#This Row],[ID Vendedor]],Vendedores[ID],Vendedores[Nome])</f>
        <v>Rodrigo</v>
      </c>
      <c r="C1608" s="7" t="str">
        <f>_xlfn.XLOOKUP(Vendas[[#This Row],[ID Vendedor]],Vendedores[ID],Vendedores[Setor])</f>
        <v>FM</v>
      </c>
      <c r="D1608" s="7" t="s">
        <v>6</v>
      </c>
      <c r="E1608" t="str">
        <f>_xlfn.XLOOKUP(Vendas[[#This Row],[ID Item Vendido]],Agregado[ID],Agregado[Produto])</f>
        <v>Parafuso comum 500un</v>
      </c>
      <c r="F1608" s="39">
        <v>44661</v>
      </c>
      <c r="G1608" s="7">
        <v>20</v>
      </c>
      <c r="H1608" s="3">
        <f>_xlfn.XLOOKUP(Vendas[[#This Row],[ID Item Vendido]],Agregado[ID],Agregado[Revenda])</f>
        <v>24.6</v>
      </c>
      <c r="I1608" s="3">
        <f>Vendas[[#This Row],[Valor Unitário]]*Vendas[[#This Row],[Qnt Vendida]]</f>
        <v>492</v>
      </c>
      <c r="J1608" s="3">
        <f>Vendas[[#This Row],[Valor da Venda]]-(_xlfn.XLOOKUP(Vendas[[#This Row],[ID Item Vendido]],Agregado[ID],Agregado[Custo])*Vendas[[#This Row],[Qnt Vendida]])</f>
        <v>52</v>
      </c>
      <c r="K1608" s="70">
        <f>Vendas[[#This Row],[Lucro da Venda]]/Vendas[[#This Row],[Valor da Venda]]</f>
        <v>0.10569105691056911</v>
      </c>
      <c r="L1608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1608"/>
    </row>
    <row r="1609" spans="1:13" x14ac:dyDescent="0.3">
      <c r="A1609" s="7">
        <v>400248</v>
      </c>
      <c r="B1609" t="str">
        <f>_xlfn.XLOOKUP(Vendas[[#This Row],[ID Vendedor]],Vendedores[ID],Vendedores[Nome])</f>
        <v>Patrícia</v>
      </c>
      <c r="C1609" s="7" t="str">
        <f>_xlfn.XLOOKUP(Vendas[[#This Row],[ID Vendedor]],Vendedores[ID],Vendedores[Setor])</f>
        <v>CM</v>
      </c>
      <c r="D1609" s="7" t="s">
        <v>43</v>
      </c>
      <c r="E1609" t="str">
        <f>_xlfn.XLOOKUP(Vendas[[#This Row],[ID Item Vendido]],Agregado[ID],Agregado[Produto])</f>
        <v>Madeira Bruta (Tora)</v>
      </c>
      <c r="F1609" s="39">
        <v>44662</v>
      </c>
      <c r="G1609" s="7">
        <v>12</v>
      </c>
      <c r="H1609" s="3">
        <f>_xlfn.XLOOKUP(Vendas[[#This Row],[ID Item Vendido]],Agregado[ID],Agregado[Revenda])</f>
        <v>212</v>
      </c>
      <c r="I1609" s="3">
        <f>Vendas[[#This Row],[Valor Unitário]]*Vendas[[#This Row],[Qnt Vendida]]</f>
        <v>2544</v>
      </c>
      <c r="J1609" s="3">
        <f>Vendas[[#This Row],[Valor da Venda]]-(_xlfn.XLOOKUP(Vendas[[#This Row],[ID Item Vendido]],Agregado[ID],Agregado[Custo])*Vendas[[#This Row],[Qnt Vendida]])</f>
        <v>384</v>
      </c>
      <c r="K1609" s="70">
        <f>Vendas[[#This Row],[Lucro da Venda]]/Vendas[[#This Row],[Valor da Venda]]</f>
        <v>0.15094339622641509</v>
      </c>
      <c r="L1609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1609"/>
    </row>
    <row r="1610" spans="1:13" x14ac:dyDescent="0.3">
      <c r="A1610" s="7">
        <v>400248</v>
      </c>
      <c r="B1610" t="str">
        <f>_xlfn.XLOOKUP(Vendas[[#This Row],[ID Vendedor]],Vendedores[ID],Vendedores[Nome])</f>
        <v>Patrícia</v>
      </c>
      <c r="C1610" s="7" t="str">
        <f>_xlfn.XLOOKUP(Vendas[[#This Row],[ID Vendedor]],Vendedores[ID],Vendedores[Setor])</f>
        <v>CM</v>
      </c>
      <c r="D1610" s="7" t="s">
        <v>43</v>
      </c>
      <c r="E1610" t="str">
        <f>_xlfn.XLOOKUP(Vendas[[#This Row],[ID Item Vendido]],Agregado[ID],Agregado[Produto])</f>
        <v>Madeira Bruta (Tora)</v>
      </c>
      <c r="F1610" s="39">
        <v>44662</v>
      </c>
      <c r="G1610" s="7">
        <v>11</v>
      </c>
      <c r="H1610" s="3">
        <f>_xlfn.XLOOKUP(Vendas[[#This Row],[ID Item Vendido]],Agregado[ID],Agregado[Revenda])</f>
        <v>212</v>
      </c>
      <c r="I1610" s="3">
        <f>Vendas[[#This Row],[Valor Unitário]]*Vendas[[#This Row],[Qnt Vendida]]</f>
        <v>2332</v>
      </c>
      <c r="J1610" s="3">
        <f>Vendas[[#This Row],[Valor da Venda]]-(_xlfn.XLOOKUP(Vendas[[#This Row],[ID Item Vendido]],Agregado[ID],Agregado[Custo])*Vendas[[#This Row],[Qnt Vendida]])</f>
        <v>352</v>
      </c>
      <c r="K1610" s="70">
        <f>Vendas[[#This Row],[Lucro da Venda]]/Vendas[[#This Row],[Valor da Venda]]</f>
        <v>0.15094339622641509</v>
      </c>
      <c r="L161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610"/>
    </row>
    <row r="1611" spans="1:13" x14ac:dyDescent="0.3">
      <c r="A1611" s="7">
        <v>400244</v>
      </c>
      <c r="B1611" t="str">
        <f>_xlfn.XLOOKUP(Vendas[[#This Row],[ID Vendedor]],Vendedores[ID],Vendedores[Nome])</f>
        <v>Camila</v>
      </c>
      <c r="C1611" s="7" t="str">
        <f>_xlfn.XLOOKUP(Vendas[[#This Row],[ID Vendedor]],Vendedores[ID],Vendedores[Setor])</f>
        <v>AHD</v>
      </c>
      <c r="D1611" s="7" t="s">
        <v>30</v>
      </c>
      <c r="E1611" t="str">
        <f>_xlfn.XLOOKUP(Vendas[[#This Row],[ID Item Vendido]],Agregado[ID],Agregado[Produto])</f>
        <v>Estrutura metálica soldada</v>
      </c>
      <c r="F1611" s="39">
        <v>44662</v>
      </c>
      <c r="G1611" s="7">
        <v>3</v>
      </c>
      <c r="H1611" s="3">
        <f>_xlfn.XLOOKUP(Vendas[[#This Row],[ID Item Vendido]],Agregado[ID],Agregado[Revenda])</f>
        <v>400</v>
      </c>
      <c r="I1611" s="3">
        <f>Vendas[[#This Row],[Valor Unitário]]*Vendas[[#This Row],[Qnt Vendida]]</f>
        <v>1200</v>
      </c>
      <c r="J1611" s="3">
        <f>Vendas[[#This Row],[Valor da Venda]]-(_xlfn.XLOOKUP(Vendas[[#This Row],[ID Item Vendido]],Agregado[ID],Agregado[Custo])*Vendas[[#This Row],[Qnt Vendida]])</f>
        <v>240</v>
      </c>
      <c r="K1611" s="70">
        <f>Vendas[[#This Row],[Lucro da Venda]]/Vendas[[#This Row],[Valor da Venda]]</f>
        <v>0.2</v>
      </c>
      <c r="L1611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1611"/>
    </row>
    <row r="1612" spans="1:13" x14ac:dyDescent="0.3">
      <c r="A1612" s="7">
        <v>400242</v>
      </c>
      <c r="B1612" t="str">
        <f>_xlfn.XLOOKUP(Vendas[[#This Row],[ID Vendedor]],Vendedores[ID],Vendedores[Nome])</f>
        <v>Fernanda</v>
      </c>
      <c r="C1612" s="7" t="str">
        <f>_xlfn.XLOOKUP(Vendas[[#This Row],[ID Vendedor]],Vendedores[ID],Vendedores[Setor])</f>
        <v>FM</v>
      </c>
      <c r="D1612" s="7" t="s">
        <v>47</v>
      </c>
      <c r="E1612" t="str">
        <f>_xlfn.XLOOKUP(Vendas[[#This Row],[ID Item Vendido]],Agregado[ID],Agregado[Produto])</f>
        <v>Fio de arame galvanizado rolo 50m</v>
      </c>
      <c r="F1612" s="39">
        <v>44662</v>
      </c>
      <c r="G1612" s="7">
        <v>36</v>
      </c>
      <c r="H1612" s="3">
        <f>_xlfn.XLOOKUP(Vendas[[#This Row],[ID Item Vendido]],Agregado[ID],Agregado[Revenda])</f>
        <v>21.2</v>
      </c>
      <c r="I1612" s="3">
        <f>Vendas[[#This Row],[Valor Unitário]]*Vendas[[#This Row],[Qnt Vendida]]</f>
        <v>763.19999999999993</v>
      </c>
      <c r="J1612" s="3">
        <f>Vendas[[#This Row],[Valor da Venda]]-(_xlfn.XLOOKUP(Vendas[[#This Row],[ID Item Vendido]],Agregado[ID],Agregado[Custo])*Vendas[[#This Row],[Qnt Vendida]])</f>
        <v>115.19999999999993</v>
      </c>
      <c r="K1612" s="70">
        <f>Vendas[[#This Row],[Lucro da Venda]]/Vendas[[#This Row],[Valor da Venda]]</f>
        <v>0.15094339622641501</v>
      </c>
      <c r="L1612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1612"/>
    </row>
    <row r="1613" spans="1:13" x14ac:dyDescent="0.3">
      <c r="A1613" s="7">
        <v>400242</v>
      </c>
      <c r="B1613" t="str">
        <f>_xlfn.XLOOKUP(Vendas[[#This Row],[ID Vendedor]],Vendedores[ID],Vendedores[Nome])</f>
        <v>Fernanda</v>
      </c>
      <c r="C1613" s="7" t="str">
        <f>_xlfn.XLOOKUP(Vendas[[#This Row],[ID Vendedor]],Vendedores[ID],Vendedores[Setor])</f>
        <v>FM</v>
      </c>
      <c r="D1613" s="7" t="s">
        <v>31</v>
      </c>
      <c r="E1613" t="str">
        <f>_xlfn.XLOOKUP(Vendas[[#This Row],[ID Item Vendido]],Agregado[ID],Agregado[Produto])</f>
        <v>Tela de metal soldada rolo 2x25m</v>
      </c>
      <c r="F1613" s="39">
        <v>44662</v>
      </c>
      <c r="G1613" s="7">
        <v>5</v>
      </c>
      <c r="H1613" s="3">
        <f>_xlfn.XLOOKUP(Vendas[[#This Row],[ID Item Vendido]],Agregado[ID],Agregado[Revenda])</f>
        <v>43.7</v>
      </c>
      <c r="I1613" s="3">
        <f>Vendas[[#This Row],[Valor Unitário]]*Vendas[[#This Row],[Qnt Vendida]]</f>
        <v>218.5</v>
      </c>
      <c r="J1613" s="3">
        <f>Vendas[[#This Row],[Valor da Venda]]-(_xlfn.XLOOKUP(Vendas[[#This Row],[ID Item Vendido]],Agregado[ID],Agregado[Custo])*Vendas[[#This Row],[Qnt Vendida]])</f>
        <v>28.5</v>
      </c>
      <c r="K1613" s="70">
        <f>Vendas[[#This Row],[Lucro da Venda]]/Vendas[[#This Row],[Valor da Venda]]</f>
        <v>0.13043478260869565</v>
      </c>
      <c r="L1613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1613"/>
    </row>
    <row r="1614" spans="1:13" x14ac:dyDescent="0.3">
      <c r="A1614" s="7">
        <v>400241</v>
      </c>
      <c r="B1614" t="str">
        <f>_xlfn.XLOOKUP(Vendas[[#This Row],[ID Vendedor]],Vendedores[ID],Vendedores[Nome])</f>
        <v>Rodrigo</v>
      </c>
      <c r="C1614" s="7" t="str">
        <f>_xlfn.XLOOKUP(Vendas[[#This Row],[ID Vendedor]],Vendedores[ID],Vendedores[Setor])</f>
        <v>FM</v>
      </c>
      <c r="D1614" s="7" t="s">
        <v>6</v>
      </c>
      <c r="E1614" t="str">
        <f>_xlfn.XLOOKUP(Vendas[[#This Row],[ID Item Vendido]],Agregado[ID],Agregado[Produto])</f>
        <v>Parafuso comum 500un</v>
      </c>
      <c r="F1614" s="39">
        <v>44663</v>
      </c>
      <c r="G1614" s="7">
        <v>15</v>
      </c>
      <c r="H1614" s="3">
        <f>_xlfn.XLOOKUP(Vendas[[#This Row],[ID Item Vendido]],Agregado[ID],Agregado[Revenda])</f>
        <v>24.6</v>
      </c>
      <c r="I1614" s="3">
        <f>Vendas[[#This Row],[Valor Unitário]]*Vendas[[#This Row],[Qnt Vendida]]</f>
        <v>369</v>
      </c>
      <c r="J1614" s="3">
        <f>Vendas[[#This Row],[Valor da Venda]]-(_xlfn.XLOOKUP(Vendas[[#This Row],[ID Item Vendido]],Agregado[ID],Agregado[Custo])*Vendas[[#This Row],[Qnt Vendida]])</f>
        <v>39</v>
      </c>
      <c r="K1614" s="70">
        <f>Vendas[[#This Row],[Lucro da Venda]]/Vendas[[#This Row],[Valor da Venda]]</f>
        <v>0.10569105691056911</v>
      </c>
      <c r="L1614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1614"/>
    </row>
    <row r="1615" spans="1:13" x14ac:dyDescent="0.3">
      <c r="A1615" s="7">
        <v>400253</v>
      </c>
      <c r="B1615" t="str">
        <f>_xlfn.XLOOKUP(Vendas[[#This Row],[ID Vendedor]],Vendedores[ID],Vendedores[Nome])</f>
        <v>Gustavo</v>
      </c>
      <c r="C1615" s="7" t="str">
        <f>_xlfn.XLOOKUP(Vendas[[#This Row],[ID Vendedor]],Vendedores[ID],Vendedores[Setor])</f>
        <v>SC</v>
      </c>
      <c r="D1615" s="7" t="s">
        <v>42</v>
      </c>
      <c r="E1615" t="str">
        <f>_xlfn.XLOOKUP(Vendas[[#This Row],[ID Item Vendido]],Agregado[ID],Agregado[Produto])</f>
        <v>Container de ferro industrial</v>
      </c>
      <c r="F1615" s="39">
        <v>44664</v>
      </c>
      <c r="G1615" s="7">
        <v>5</v>
      </c>
      <c r="H1615" s="3">
        <f>_xlfn.XLOOKUP(Vendas[[#This Row],[ID Item Vendido]],Agregado[ID],Agregado[Revenda])</f>
        <v>830</v>
      </c>
      <c r="I1615" s="3">
        <f>Vendas[[#This Row],[Valor Unitário]]*Vendas[[#This Row],[Qnt Vendida]]</f>
        <v>4150</v>
      </c>
      <c r="J1615" s="3">
        <f>Vendas[[#This Row],[Valor da Venda]]-(_xlfn.XLOOKUP(Vendas[[#This Row],[ID Item Vendido]],Agregado[ID],Agregado[Custo])*Vendas[[#This Row],[Qnt Vendida]])</f>
        <v>750</v>
      </c>
      <c r="K1615" s="70">
        <f>Vendas[[#This Row],[Lucro da Venda]]/Vendas[[#This Row],[Valor da Venda]]</f>
        <v>0.18072289156626506</v>
      </c>
      <c r="L161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615"/>
    </row>
    <row r="1616" spans="1:13" x14ac:dyDescent="0.3">
      <c r="A1616" s="7">
        <v>400247</v>
      </c>
      <c r="B1616" t="str">
        <f>_xlfn.XLOOKUP(Vendas[[#This Row],[ID Vendedor]],Vendedores[ID],Vendedores[Nome])</f>
        <v>André</v>
      </c>
      <c r="C1616" s="7" t="str">
        <f>_xlfn.XLOOKUP(Vendas[[#This Row],[ID Vendedor]],Vendedores[ID],Vendedores[Setor])</f>
        <v>CM</v>
      </c>
      <c r="D1616" s="7" t="s">
        <v>43</v>
      </c>
      <c r="E1616" t="str">
        <f>_xlfn.XLOOKUP(Vendas[[#This Row],[ID Item Vendido]],Agregado[ID],Agregado[Produto])</f>
        <v>Madeira Bruta (Tora)</v>
      </c>
      <c r="F1616" s="39">
        <v>44664</v>
      </c>
      <c r="G1616" s="7">
        <v>8</v>
      </c>
      <c r="H1616" s="3">
        <f>_xlfn.XLOOKUP(Vendas[[#This Row],[ID Item Vendido]],Agregado[ID],Agregado[Revenda])</f>
        <v>212</v>
      </c>
      <c r="I1616" s="3">
        <f>Vendas[[#This Row],[Valor Unitário]]*Vendas[[#This Row],[Qnt Vendida]]</f>
        <v>1696</v>
      </c>
      <c r="J1616" s="3">
        <f>Vendas[[#This Row],[Valor da Venda]]-(_xlfn.XLOOKUP(Vendas[[#This Row],[ID Item Vendido]],Agregado[ID],Agregado[Custo])*Vendas[[#This Row],[Qnt Vendida]])</f>
        <v>256</v>
      </c>
      <c r="K1616" s="70">
        <f>Vendas[[#This Row],[Lucro da Venda]]/Vendas[[#This Row],[Valor da Venda]]</f>
        <v>0.15094339622641509</v>
      </c>
      <c r="L1616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1616"/>
    </row>
    <row r="1617" spans="1:13" x14ac:dyDescent="0.3">
      <c r="A1617" s="7">
        <v>400249</v>
      </c>
      <c r="B1617" t="str">
        <f>_xlfn.XLOOKUP(Vendas[[#This Row],[ID Vendedor]],Vendedores[ID],Vendedores[Nome])</f>
        <v>Bruno</v>
      </c>
      <c r="C1617" s="7" t="str">
        <f>_xlfn.XLOOKUP(Vendas[[#This Row],[ID Vendedor]],Vendedores[ID],Vendedores[Setor])</f>
        <v>CM</v>
      </c>
      <c r="D1617" s="7" t="s">
        <v>43</v>
      </c>
      <c r="E1617" t="str">
        <f>_xlfn.XLOOKUP(Vendas[[#This Row],[ID Item Vendido]],Agregado[ID],Agregado[Produto])</f>
        <v>Madeira Bruta (Tora)</v>
      </c>
      <c r="F1617" s="39">
        <v>44664</v>
      </c>
      <c r="G1617" s="7">
        <v>3</v>
      </c>
      <c r="H1617" s="3">
        <f>_xlfn.XLOOKUP(Vendas[[#This Row],[ID Item Vendido]],Agregado[ID],Agregado[Revenda])</f>
        <v>212</v>
      </c>
      <c r="I1617" s="3">
        <f>Vendas[[#This Row],[Valor Unitário]]*Vendas[[#This Row],[Qnt Vendida]]</f>
        <v>636</v>
      </c>
      <c r="J1617" s="3">
        <f>Vendas[[#This Row],[Valor da Venda]]-(_xlfn.XLOOKUP(Vendas[[#This Row],[ID Item Vendido]],Agregado[ID],Agregado[Custo])*Vendas[[#This Row],[Qnt Vendida]])</f>
        <v>96</v>
      </c>
      <c r="K1617" s="70">
        <f>Vendas[[#This Row],[Lucro da Venda]]/Vendas[[#This Row],[Valor da Venda]]</f>
        <v>0.15094339622641509</v>
      </c>
      <c r="L1617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1617"/>
    </row>
    <row r="1618" spans="1:13" x14ac:dyDescent="0.3">
      <c r="A1618" s="7">
        <v>400253</v>
      </c>
      <c r="B1618" t="str">
        <f>_xlfn.XLOOKUP(Vendas[[#This Row],[ID Vendedor]],Vendedores[ID],Vendedores[Nome])</f>
        <v>Gustavo</v>
      </c>
      <c r="C1618" s="7" t="str">
        <f>_xlfn.XLOOKUP(Vendas[[#This Row],[ID Vendedor]],Vendedores[ID],Vendedores[Setor])</f>
        <v>SC</v>
      </c>
      <c r="D1618" s="7" t="s">
        <v>48</v>
      </c>
      <c r="E1618" t="str">
        <f>_xlfn.XLOOKUP(Vendas[[#This Row],[ID Item Vendido]],Agregado[ID],Agregado[Produto])</f>
        <v>Tambor metálico 200L</v>
      </c>
      <c r="F1618" s="39">
        <v>44664</v>
      </c>
      <c r="G1618" s="7">
        <v>3</v>
      </c>
      <c r="H1618" s="3">
        <f>_xlfn.XLOOKUP(Vendas[[#This Row],[ID Item Vendido]],Agregado[ID],Agregado[Revenda])</f>
        <v>144</v>
      </c>
      <c r="I1618" s="3">
        <f>Vendas[[#This Row],[Valor Unitário]]*Vendas[[#This Row],[Qnt Vendida]]</f>
        <v>432</v>
      </c>
      <c r="J1618" s="3">
        <f>Vendas[[#This Row],[Valor da Venda]]-(_xlfn.XLOOKUP(Vendas[[#This Row],[ID Item Vendido]],Agregado[ID],Agregado[Custo])*Vendas[[#This Row],[Qnt Vendida]])</f>
        <v>72</v>
      </c>
      <c r="K1618" s="70">
        <f>Vendas[[#This Row],[Lucro da Venda]]/Vendas[[#This Row],[Valor da Venda]]</f>
        <v>0.16666666666666666</v>
      </c>
      <c r="L1618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1618"/>
    </row>
    <row r="1619" spans="1:13" x14ac:dyDescent="0.3">
      <c r="A1619" s="7">
        <v>400244</v>
      </c>
      <c r="B1619" t="str">
        <f>_xlfn.XLOOKUP(Vendas[[#This Row],[ID Vendedor]],Vendedores[ID],Vendedores[Nome])</f>
        <v>Camila</v>
      </c>
      <c r="C1619" s="7" t="str">
        <f>_xlfn.XLOOKUP(Vendas[[#This Row],[ID Vendedor]],Vendedores[ID],Vendedores[Setor])</f>
        <v>AHD</v>
      </c>
      <c r="D1619" s="7" t="s">
        <v>9</v>
      </c>
      <c r="E1619" t="str">
        <f>_xlfn.XLOOKUP(Vendas[[#This Row],[ID Item Vendido]],Agregado[ID],Agregado[Produto])</f>
        <v>Barra de aço simples</v>
      </c>
      <c r="F1619" s="39">
        <v>44664</v>
      </c>
      <c r="G1619" s="7">
        <v>60</v>
      </c>
      <c r="H1619" s="3">
        <f>_xlfn.XLOOKUP(Vendas[[#This Row],[ID Item Vendido]],Agregado[ID],Agregado[Revenda])</f>
        <v>6.7</v>
      </c>
      <c r="I1619" s="3">
        <f>Vendas[[#This Row],[Valor Unitário]]*Vendas[[#This Row],[Qnt Vendida]]</f>
        <v>402</v>
      </c>
      <c r="J1619" s="3">
        <f>Vendas[[#This Row],[Valor da Venda]]-(_xlfn.XLOOKUP(Vendas[[#This Row],[ID Item Vendido]],Agregado[ID],Agregado[Custo])*Vendas[[#This Row],[Qnt Vendida]])</f>
        <v>54</v>
      </c>
      <c r="K1619" s="70">
        <f>Vendas[[#This Row],[Lucro da Venda]]/Vendas[[#This Row],[Valor da Venda]]</f>
        <v>0.13432835820895522</v>
      </c>
      <c r="L1619" s="3">
        <f>_xlfn.IFS(Vendas[[#This Row],[Margem de Lucro (%)]]&lt;15%,Vendas[[#This Row],[Valor da Venda]]*3%,Vendas[[#This Row],[Margem de Lucro (%)]]&lt;=20%,Vendas[[#This Row],[Valor da Venda]]*4.5%,TRUE,Vendas[[#This Row],[Valor da Venda]]*6%)</f>
        <v>12.059999999999999</v>
      </c>
      <c r="M1619"/>
    </row>
    <row r="1620" spans="1:13" x14ac:dyDescent="0.3">
      <c r="A1620" s="7">
        <v>400243</v>
      </c>
      <c r="B1620" t="str">
        <f>_xlfn.XLOOKUP(Vendas[[#This Row],[ID Vendedor]],Vendedores[ID],Vendedores[Nome])</f>
        <v>Marcelo</v>
      </c>
      <c r="C1620" s="7" t="str">
        <f>_xlfn.XLOOKUP(Vendas[[#This Row],[ID Vendedor]],Vendedores[ID],Vendedores[Setor])</f>
        <v>FM</v>
      </c>
      <c r="D1620" s="7" t="s">
        <v>6</v>
      </c>
      <c r="E1620" t="str">
        <f>_xlfn.XLOOKUP(Vendas[[#This Row],[ID Item Vendido]],Agregado[ID],Agregado[Produto])</f>
        <v>Parafuso comum 500un</v>
      </c>
      <c r="F1620" s="39">
        <v>44664</v>
      </c>
      <c r="G1620" s="7">
        <v>7</v>
      </c>
      <c r="H1620" s="3">
        <f>_xlfn.XLOOKUP(Vendas[[#This Row],[ID Item Vendido]],Agregado[ID],Agregado[Revenda])</f>
        <v>24.6</v>
      </c>
      <c r="I1620" s="3">
        <f>Vendas[[#This Row],[Valor Unitário]]*Vendas[[#This Row],[Qnt Vendida]]</f>
        <v>172.20000000000002</v>
      </c>
      <c r="J1620" s="3">
        <f>Vendas[[#This Row],[Valor da Venda]]-(_xlfn.XLOOKUP(Vendas[[#This Row],[ID Item Vendido]],Agregado[ID],Agregado[Custo])*Vendas[[#This Row],[Qnt Vendida]])</f>
        <v>18.200000000000017</v>
      </c>
      <c r="K1620" s="70">
        <f>Vendas[[#This Row],[Lucro da Venda]]/Vendas[[#This Row],[Valor da Venda]]</f>
        <v>0.10569105691056919</v>
      </c>
      <c r="L1620" s="3">
        <f>_xlfn.IFS(Vendas[[#This Row],[Margem de Lucro (%)]]&lt;15%,Vendas[[#This Row],[Valor da Venda]]*3%,Vendas[[#This Row],[Margem de Lucro (%)]]&lt;=20%,Vendas[[#This Row],[Valor da Venda]]*4.5%,TRUE,Vendas[[#This Row],[Valor da Venda]]*6%)</f>
        <v>5.1660000000000004</v>
      </c>
      <c r="M1620"/>
    </row>
    <row r="1621" spans="1:13" x14ac:dyDescent="0.3">
      <c r="A1621" s="7">
        <v>400247</v>
      </c>
      <c r="B1621" t="str">
        <f>_xlfn.XLOOKUP(Vendas[[#This Row],[ID Vendedor]],Vendedores[ID],Vendedores[Nome])</f>
        <v>André</v>
      </c>
      <c r="C1621" s="7" t="str">
        <f>_xlfn.XLOOKUP(Vendas[[#This Row],[ID Vendedor]],Vendedores[ID],Vendedores[Setor])</f>
        <v>CM</v>
      </c>
      <c r="D1621" s="7" t="s">
        <v>45</v>
      </c>
      <c r="E1621" t="str">
        <f>_xlfn.XLOOKUP(Vendas[[#This Row],[ID Item Vendido]],Agregado[ID],Agregado[Produto])</f>
        <v>Viga de madeira tratada 4m</v>
      </c>
      <c r="F1621" s="39">
        <v>44665</v>
      </c>
      <c r="G1621" s="7">
        <v>20</v>
      </c>
      <c r="H1621" s="3">
        <f>_xlfn.XLOOKUP(Vendas[[#This Row],[ID Item Vendido]],Agregado[ID],Agregado[Revenda])</f>
        <v>66</v>
      </c>
      <c r="I1621" s="3">
        <f>Vendas[[#This Row],[Valor Unitário]]*Vendas[[#This Row],[Qnt Vendida]]</f>
        <v>1320</v>
      </c>
      <c r="J1621" s="3">
        <f>Vendas[[#This Row],[Valor da Venda]]-(_xlfn.XLOOKUP(Vendas[[#This Row],[ID Item Vendido]],Agregado[ID],Agregado[Custo])*Vendas[[#This Row],[Qnt Vendida]])</f>
        <v>220</v>
      </c>
      <c r="K1621" s="70">
        <f>Vendas[[#This Row],[Lucro da Venda]]/Vendas[[#This Row],[Valor da Venda]]</f>
        <v>0.16666666666666666</v>
      </c>
      <c r="L1621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1621"/>
    </row>
    <row r="1622" spans="1:13" x14ac:dyDescent="0.3">
      <c r="A1622" s="7">
        <v>400250</v>
      </c>
      <c r="B1622" t="str">
        <f>_xlfn.XLOOKUP(Vendas[[#This Row],[ID Vendedor]],Vendedores[ID],Vendedores[Nome])</f>
        <v>Larissa</v>
      </c>
      <c r="C1622" s="7" t="str">
        <f>_xlfn.XLOOKUP(Vendas[[#This Row],[ID Vendedor]],Vendedores[ID],Vendedores[Setor])</f>
        <v>AB</v>
      </c>
      <c r="D1622" s="7" t="s">
        <v>12</v>
      </c>
      <c r="E1622" t="str">
        <f>_xlfn.XLOOKUP(Vendas[[#This Row],[ID Item Vendido]],Agregado[ID],Agregado[Produto])</f>
        <v>Grânulo de plástico reciclado refinado</v>
      </c>
      <c r="F1622" s="39">
        <v>44665</v>
      </c>
      <c r="G1622" s="7">
        <v>63</v>
      </c>
      <c r="H1622" s="3">
        <f>_xlfn.XLOOKUP(Vendas[[#This Row],[ID Item Vendido]],Agregado[ID],Agregado[Revenda])</f>
        <v>4.7</v>
      </c>
      <c r="I1622" s="3">
        <f>Vendas[[#This Row],[Valor Unitário]]*Vendas[[#This Row],[Qnt Vendida]]</f>
        <v>296.10000000000002</v>
      </c>
      <c r="J1622" s="3">
        <f>Vendas[[#This Row],[Valor da Venda]]-(_xlfn.XLOOKUP(Vendas[[#This Row],[ID Item Vendido]],Agregado[ID],Agregado[Custo])*Vendas[[#This Row],[Qnt Vendida]])</f>
        <v>75.600000000000023</v>
      </c>
      <c r="K1622" s="70">
        <f>Vendas[[#This Row],[Lucro da Venda]]/Vendas[[#This Row],[Valor da Venda]]</f>
        <v>0.25531914893617025</v>
      </c>
      <c r="L1622" s="3">
        <f>_xlfn.IFS(Vendas[[#This Row],[Margem de Lucro (%)]]&lt;15%,Vendas[[#This Row],[Valor da Venda]]*3%,Vendas[[#This Row],[Margem de Lucro (%)]]&lt;=20%,Vendas[[#This Row],[Valor da Venda]]*4.5%,TRUE,Vendas[[#This Row],[Valor da Venda]]*6%)</f>
        <v>17.766000000000002</v>
      </c>
      <c r="M1622"/>
    </row>
    <row r="1623" spans="1:13" x14ac:dyDescent="0.3">
      <c r="A1623" s="7">
        <v>400247</v>
      </c>
      <c r="B1623" t="str">
        <f>_xlfn.XLOOKUP(Vendas[[#This Row],[ID Vendedor]],Vendedores[ID],Vendedores[Nome])</f>
        <v>André</v>
      </c>
      <c r="C1623" s="7" t="str">
        <f>_xlfn.XLOOKUP(Vendas[[#This Row],[ID Vendedor]],Vendedores[ID],Vendedores[Setor])</f>
        <v>CM</v>
      </c>
      <c r="D1623" s="7" t="s">
        <v>34</v>
      </c>
      <c r="E1623" t="str">
        <f>_xlfn.XLOOKUP(Vendas[[#This Row],[ID Item Vendido]],Agregado[ID],Agregado[Produto])</f>
        <v>Restos de madeira p/ MDP/OSB saco de 20kg</v>
      </c>
      <c r="F1623" s="39">
        <v>44666</v>
      </c>
      <c r="G1623" s="7">
        <v>11</v>
      </c>
      <c r="H1623" s="3">
        <f>_xlfn.XLOOKUP(Vendas[[#This Row],[ID Item Vendido]],Agregado[ID],Agregado[Revenda])</f>
        <v>13.8</v>
      </c>
      <c r="I1623" s="3">
        <f>Vendas[[#This Row],[Valor Unitário]]*Vendas[[#This Row],[Qnt Vendida]]</f>
        <v>151.80000000000001</v>
      </c>
      <c r="J1623" s="3">
        <f>Vendas[[#This Row],[Valor da Venda]]-(_xlfn.XLOOKUP(Vendas[[#This Row],[ID Item Vendido]],Agregado[ID],Agregado[Custo])*Vendas[[#This Row],[Qnt Vendida]])</f>
        <v>19.800000000000011</v>
      </c>
      <c r="K1623" s="70">
        <f>Vendas[[#This Row],[Lucro da Venda]]/Vendas[[#This Row],[Valor da Venda]]</f>
        <v>0.1304347826086957</v>
      </c>
      <c r="L1623" s="3">
        <f>_xlfn.IFS(Vendas[[#This Row],[Margem de Lucro (%)]]&lt;15%,Vendas[[#This Row],[Valor da Venda]]*3%,Vendas[[#This Row],[Margem de Lucro (%)]]&lt;=20%,Vendas[[#This Row],[Valor da Venda]]*4.5%,TRUE,Vendas[[#This Row],[Valor da Venda]]*6%)</f>
        <v>4.5540000000000003</v>
      </c>
      <c r="M1623"/>
    </row>
    <row r="1624" spans="1:13" x14ac:dyDescent="0.3">
      <c r="A1624" s="7">
        <v>400245</v>
      </c>
      <c r="B1624" t="str">
        <f>_xlfn.XLOOKUP(Vendas[[#This Row],[ID Vendedor]],Vendedores[ID],Vendedores[Nome])</f>
        <v>Thiago</v>
      </c>
      <c r="C1624" s="7" t="str">
        <f>_xlfn.XLOOKUP(Vendas[[#This Row],[ID Vendedor]],Vendedores[ID],Vendedores[Setor])</f>
        <v>AHD</v>
      </c>
      <c r="D1624" s="7" t="s">
        <v>18</v>
      </c>
      <c r="E1624" t="str">
        <f>_xlfn.XLOOKUP(Vendas[[#This Row],[ID Item Vendido]],Agregado[ID],Agregado[Produto])</f>
        <v>Peça forjada sob encomenda</v>
      </c>
      <c r="F1624" s="39">
        <v>44667</v>
      </c>
      <c r="G1624" s="7">
        <v>2</v>
      </c>
      <c r="H1624" s="3">
        <f>_xlfn.XLOOKUP(Vendas[[#This Row],[ID Item Vendido]],Agregado[ID],Agregado[Revenda])</f>
        <v>264.60000000000002</v>
      </c>
      <c r="I1624" s="3">
        <f>Vendas[[#This Row],[Valor Unitário]]*Vendas[[#This Row],[Qnt Vendida]]</f>
        <v>529.20000000000005</v>
      </c>
      <c r="J1624" s="3">
        <f>Vendas[[#This Row],[Valor da Venda]]-(_xlfn.XLOOKUP(Vendas[[#This Row],[ID Item Vendido]],Agregado[ID],Agregado[Custo])*Vendas[[#This Row],[Qnt Vendida]])</f>
        <v>29.200000000000045</v>
      </c>
      <c r="K1624" s="70">
        <f>Vendas[[#This Row],[Lucro da Venda]]/Vendas[[#This Row],[Valor da Venda]]</f>
        <v>5.5177626606198113E-2</v>
      </c>
      <c r="L162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624"/>
    </row>
    <row r="1625" spans="1:13" x14ac:dyDescent="0.3">
      <c r="A1625" s="7">
        <v>400255</v>
      </c>
      <c r="B1625" t="str">
        <f>_xlfn.XLOOKUP(Vendas[[#This Row],[ID Vendedor]],Vendedores[ID],Vendedores[Nome])</f>
        <v>Carlos</v>
      </c>
      <c r="C1625" s="7" t="str">
        <f>_xlfn.XLOOKUP(Vendas[[#This Row],[ID Vendedor]],Vendedores[ID],Vendedores[Setor])</f>
        <v>SC</v>
      </c>
      <c r="D1625" s="7" t="s">
        <v>14</v>
      </c>
      <c r="E1625" t="str">
        <f>_xlfn.XLOOKUP(Vendas[[#This Row],[ID Item Vendido]],Agregado[ID],Agregado[Produto])</f>
        <v>Barril de plástico 200L</v>
      </c>
      <c r="F1625" s="39">
        <v>44668</v>
      </c>
      <c r="G1625" s="7">
        <v>22</v>
      </c>
      <c r="H1625" s="3">
        <f>_xlfn.XLOOKUP(Vendas[[#This Row],[ID Item Vendido]],Agregado[ID],Agregado[Revenda])</f>
        <v>114</v>
      </c>
      <c r="I1625" s="3">
        <f>Vendas[[#This Row],[Valor Unitário]]*Vendas[[#This Row],[Qnt Vendida]]</f>
        <v>2508</v>
      </c>
      <c r="J1625" s="3">
        <f>Vendas[[#This Row],[Valor da Venda]]-(_xlfn.XLOOKUP(Vendas[[#This Row],[ID Item Vendido]],Agregado[ID],Agregado[Custo])*Vendas[[#This Row],[Qnt Vendida]])</f>
        <v>418</v>
      </c>
      <c r="K1625" s="70">
        <f>Vendas[[#This Row],[Lucro da Venda]]/Vendas[[#This Row],[Valor da Venda]]</f>
        <v>0.16666666666666666</v>
      </c>
      <c r="L1625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1625"/>
    </row>
    <row r="1626" spans="1:13" x14ac:dyDescent="0.3">
      <c r="A1626" s="7">
        <v>400245</v>
      </c>
      <c r="B1626" t="str">
        <f>_xlfn.XLOOKUP(Vendas[[#This Row],[ID Vendedor]],Vendedores[ID],Vendedores[Nome])</f>
        <v>Thiago</v>
      </c>
      <c r="C1626" s="7" t="str">
        <f>_xlfn.XLOOKUP(Vendas[[#This Row],[ID Vendedor]],Vendedores[ID],Vendedores[Setor])</f>
        <v>AHD</v>
      </c>
      <c r="D1626" s="7" t="s">
        <v>28</v>
      </c>
      <c r="E1626" t="str">
        <f>_xlfn.XLOOKUP(Vendas[[#This Row],[ID Item Vendido]],Agregado[ID],Agregado[Produto])</f>
        <v>Peça usinada CNC</v>
      </c>
      <c r="F1626" s="39">
        <v>44669</v>
      </c>
      <c r="G1626" s="7">
        <v>5</v>
      </c>
      <c r="H1626" s="3">
        <f>_xlfn.XLOOKUP(Vendas[[#This Row],[ID Item Vendido]],Agregado[ID],Agregado[Revenda])</f>
        <v>192</v>
      </c>
      <c r="I1626" s="3">
        <f>Vendas[[#This Row],[Valor Unitário]]*Vendas[[#This Row],[Qnt Vendida]]</f>
        <v>960</v>
      </c>
      <c r="J1626" s="3">
        <f>Vendas[[#This Row],[Valor da Venda]]-(_xlfn.XLOOKUP(Vendas[[#This Row],[ID Item Vendido]],Agregado[ID],Agregado[Custo])*Vendas[[#This Row],[Qnt Vendida]])</f>
        <v>210</v>
      </c>
      <c r="K1626" s="70">
        <f>Vendas[[#This Row],[Lucro da Venda]]/Vendas[[#This Row],[Valor da Venda]]</f>
        <v>0.21875</v>
      </c>
      <c r="L1626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1626"/>
    </row>
    <row r="1627" spans="1:13" x14ac:dyDescent="0.3">
      <c r="A1627" s="7">
        <v>400242</v>
      </c>
      <c r="B1627" t="str">
        <f>_xlfn.XLOOKUP(Vendas[[#This Row],[ID Vendedor]],Vendedores[ID],Vendedores[Nome])</f>
        <v>Fernanda</v>
      </c>
      <c r="C1627" s="7" t="str">
        <f>_xlfn.XLOOKUP(Vendas[[#This Row],[ID Vendedor]],Vendedores[ID],Vendedores[Setor])</f>
        <v>FM</v>
      </c>
      <c r="D1627" s="7" t="s">
        <v>47</v>
      </c>
      <c r="E1627" t="str">
        <f>_xlfn.XLOOKUP(Vendas[[#This Row],[ID Item Vendido]],Agregado[ID],Agregado[Produto])</f>
        <v>Fio de arame galvanizado rolo 50m</v>
      </c>
      <c r="F1627" s="39">
        <v>44669</v>
      </c>
      <c r="G1627" s="7">
        <v>13</v>
      </c>
      <c r="H1627" s="3">
        <f>_xlfn.XLOOKUP(Vendas[[#This Row],[ID Item Vendido]],Agregado[ID],Agregado[Revenda])</f>
        <v>21.2</v>
      </c>
      <c r="I1627" s="3">
        <f>Vendas[[#This Row],[Valor Unitário]]*Vendas[[#This Row],[Qnt Vendida]]</f>
        <v>275.59999999999997</v>
      </c>
      <c r="J1627" s="3">
        <f>Vendas[[#This Row],[Valor da Venda]]-(_xlfn.XLOOKUP(Vendas[[#This Row],[ID Item Vendido]],Agregado[ID],Agregado[Custo])*Vendas[[#This Row],[Qnt Vendida]])</f>
        <v>41.599999999999966</v>
      </c>
      <c r="K1627" s="70">
        <f>Vendas[[#This Row],[Lucro da Venda]]/Vendas[[#This Row],[Valor da Venda]]</f>
        <v>0.15094339622641498</v>
      </c>
      <c r="L1627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1627"/>
    </row>
    <row r="1628" spans="1:13" x14ac:dyDescent="0.3">
      <c r="A1628" s="7">
        <v>400242</v>
      </c>
      <c r="B1628" t="str">
        <f>_xlfn.XLOOKUP(Vendas[[#This Row],[ID Vendedor]],Vendedores[ID],Vendedores[Nome])</f>
        <v>Fernanda</v>
      </c>
      <c r="C1628" s="7" t="str">
        <f>_xlfn.XLOOKUP(Vendas[[#This Row],[ID Vendedor]],Vendedores[ID],Vendedores[Setor])</f>
        <v>FM</v>
      </c>
      <c r="D1628" s="7" t="s">
        <v>27</v>
      </c>
      <c r="E1628" t="str">
        <f>_xlfn.XLOOKUP(Vendas[[#This Row],[ID Item Vendido]],Agregado[ID],Agregado[Produto])</f>
        <v>Chapa de metal lisa 1x2m</v>
      </c>
      <c r="F1628" s="39">
        <v>44670</v>
      </c>
      <c r="G1628" s="7">
        <v>22</v>
      </c>
      <c r="H1628" s="3">
        <f>_xlfn.XLOOKUP(Vendas[[#This Row],[ID Item Vendido]],Agregado[ID],Agregado[Revenda])</f>
        <v>52</v>
      </c>
      <c r="I1628" s="3">
        <f>Vendas[[#This Row],[Valor Unitário]]*Vendas[[#This Row],[Qnt Vendida]]</f>
        <v>1144</v>
      </c>
      <c r="J1628" s="3">
        <f>Vendas[[#This Row],[Valor da Venda]]-(_xlfn.XLOOKUP(Vendas[[#This Row],[ID Item Vendido]],Agregado[ID],Agregado[Custo])*Vendas[[#This Row],[Qnt Vendida]])</f>
        <v>154</v>
      </c>
      <c r="K1628" s="70">
        <f>Vendas[[#This Row],[Lucro da Venda]]/Vendas[[#This Row],[Valor da Venda]]</f>
        <v>0.13461538461538461</v>
      </c>
      <c r="L1628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1628"/>
    </row>
    <row r="1629" spans="1:13" x14ac:dyDescent="0.3">
      <c r="A1629" s="7">
        <v>400244</v>
      </c>
      <c r="B1629" t="str">
        <f>_xlfn.XLOOKUP(Vendas[[#This Row],[ID Vendedor]],Vendedores[ID],Vendedores[Nome])</f>
        <v>Camila</v>
      </c>
      <c r="C1629" s="7" t="str">
        <f>_xlfn.XLOOKUP(Vendas[[#This Row],[ID Vendedor]],Vendedores[ID],Vendedores[Setor])</f>
        <v>AHD</v>
      </c>
      <c r="D1629" s="7" t="s">
        <v>18</v>
      </c>
      <c r="E1629" t="str">
        <f>_xlfn.XLOOKUP(Vendas[[#This Row],[ID Item Vendido]],Agregado[ID],Agregado[Produto])</f>
        <v>Peça forjada sob encomenda</v>
      </c>
      <c r="F1629" s="39">
        <v>44670</v>
      </c>
      <c r="G1629" s="7">
        <v>1</v>
      </c>
      <c r="H1629" s="3">
        <f>_xlfn.XLOOKUP(Vendas[[#This Row],[ID Item Vendido]],Agregado[ID],Agregado[Revenda])</f>
        <v>264.60000000000002</v>
      </c>
      <c r="I1629" s="3">
        <f>Vendas[[#This Row],[Valor Unitário]]*Vendas[[#This Row],[Qnt Vendida]]</f>
        <v>264.60000000000002</v>
      </c>
      <c r="J1629" s="3">
        <f>Vendas[[#This Row],[Valor da Venda]]-(_xlfn.XLOOKUP(Vendas[[#This Row],[ID Item Vendido]],Agregado[ID],Agregado[Custo])*Vendas[[#This Row],[Qnt Vendida]])</f>
        <v>14.600000000000023</v>
      </c>
      <c r="K1629" s="70">
        <f>Vendas[[#This Row],[Lucro da Venda]]/Vendas[[#This Row],[Valor da Venda]]</f>
        <v>5.5177626606198113E-2</v>
      </c>
      <c r="L1629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629"/>
    </row>
    <row r="1630" spans="1:13" x14ac:dyDescent="0.3">
      <c r="A1630" s="7">
        <v>400250</v>
      </c>
      <c r="B1630" t="str">
        <f>_xlfn.XLOOKUP(Vendas[[#This Row],[ID Vendedor]],Vendedores[ID],Vendedores[Nome])</f>
        <v>Larissa</v>
      </c>
      <c r="C1630" s="7" t="str">
        <f>_xlfn.XLOOKUP(Vendas[[#This Row],[ID Vendedor]],Vendedores[ID],Vendedores[Setor])</f>
        <v>AB</v>
      </c>
      <c r="D1630" s="7" t="s">
        <v>12</v>
      </c>
      <c r="E1630" t="str">
        <f>_xlfn.XLOOKUP(Vendas[[#This Row],[ID Item Vendido]],Agregado[ID],Agregado[Produto])</f>
        <v>Grânulo de plástico reciclado refinado</v>
      </c>
      <c r="F1630" s="39">
        <v>44670</v>
      </c>
      <c r="G1630" s="7">
        <v>77</v>
      </c>
      <c r="H1630" s="3">
        <f>_xlfn.XLOOKUP(Vendas[[#This Row],[ID Item Vendido]],Agregado[ID],Agregado[Revenda])</f>
        <v>4.7</v>
      </c>
      <c r="I1630" s="3">
        <f>Vendas[[#This Row],[Valor Unitário]]*Vendas[[#This Row],[Qnt Vendida]]</f>
        <v>361.90000000000003</v>
      </c>
      <c r="J1630" s="3">
        <f>Vendas[[#This Row],[Valor da Venda]]-(_xlfn.XLOOKUP(Vendas[[#This Row],[ID Item Vendido]],Agregado[ID],Agregado[Custo])*Vendas[[#This Row],[Qnt Vendida]])</f>
        <v>92.400000000000034</v>
      </c>
      <c r="K1630" s="70">
        <f>Vendas[[#This Row],[Lucro da Venda]]/Vendas[[#This Row],[Valor da Venda]]</f>
        <v>0.2553191489361703</v>
      </c>
      <c r="L1630" s="3">
        <f>_xlfn.IFS(Vendas[[#This Row],[Margem de Lucro (%)]]&lt;15%,Vendas[[#This Row],[Valor da Venda]]*3%,Vendas[[#This Row],[Margem de Lucro (%)]]&lt;=20%,Vendas[[#This Row],[Valor da Venda]]*4.5%,TRUE,Vendas[[#This Row],[Valor da Venda]]*6%)</f>
        <v>21.714000000000002</v>
      </c>
      <c r="M1630"/>
    </row>
    <row r="1631" spans="1:13" x14ac:dyDescent="0.3">
      <c r="A1631" s="7">
        <v>400247</v>
      </c>
      <c r="B1631" t="str">
        <f>_xlfn.XLOOKUP(Vendas[[#This Row],[ID Vendedor]],Vendedores[ID],Vendedores[Nome])</f>
        <v>André</v>
      </c>
      <c r="C1631" s="7" t="str">
        <f>_xlfn.XLOOKUP(Vendas[[#This Row],[ID Vendedor]],Vendedores[ID],Vendedores[Setor])</f>
        <v>CM</v>
      </c>
      <c r="D1631" s="7" t="s">
        <v>43</v>
      </c>
      <c r="E1631" t="str">
        <f>_xlfn.XLOOKUP(Vendas[[#This Row],[ID Item Vendido]],Agregado[ID],Agregado[Produto])</f>
        <v>Madeira Bruta (Tora)</v>
      </c>
      <c r="F1631" s="39">
        <v>44670</v>
      </c>
      <c r="G1631" s="7">
        <v>1</v>
      </c>
      <c r="H1631" s="3">
        <f>_xlfn.XLOOKUP(Vendas[[#This Row],[ID Item Vendido]],Agregado[ID],Agregado[Revenda])</f>
        <v>212</v>
      </c>
      <c r="I1631" s="3">
        <f>Vendas[[#This Row],[Valor Unitário]]*Vendas[[#This Row],[Qnt Vendida]]</f>
        <v>212</v>
      </c>
      <c r="J1631" s="3">
        <f>Vendas[[#This Row],[Valor da Venda]]-(_xlfn.XLOOKUP(Vendas[[#This Row],[ID Item Vendido]],Agregado[ID],Agregado[Custo])*Vendas[[#This Row],[Qnt Vendida]])</f>
        <v>32</v>
      </c>
      <c r="K1631" s="70">
        <f>Vendas[[#This Row],[Lucro da Venda]]/Vendas[[#This Row],[Valor da Venda]]</f>
        <v>0.15094339622641509</v>
      </c>
      <c r="L1631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631"/>
    </row>
    <row r="1632" spans="1:13" x14ac:dyDescent="0.3">
      <c r="A1632" s="7">
        <v>400243</v>
      </c>
      <c r="B1632" t="str">
        <f>_xlfn.XLOOKUP(Vendas[[#This Row],[ID Vendedor]],Vendedores[ID],Vendedores[Nome])</f>
        <v>Marcelo</v>
      </c>
      <c r="C1632" s="7" t="str">
        <f>_xlfn.XLOOKUP(Vendas[[#This Row],[ID Vendedor]],Vendedores[ID],Vendedores[Setor])</f>
        <v>FM</v>
      </c>
      <c r="D1632" s="7" t="s">
        <v>47</v>
      </c>
      <c r="E1632" t="str">
        <f>_xlfn.XLOOKUP(Vendas[[#This Row],[ID Item Vendido]],Agregado[ID],Agregado[Produto])</f>
        <v>Fio de arame galvanizado rolo 50m</v>
      </c>
      <c r="F1632" s="39">
        <v>44670</v>
      </c>
      <c r="G1632" s="7">
        <v>6</v>
      </c>
      <c r="H1632" s="3">
        <f>_xlfn.XLOOKUP(Vendas[[#This Row],[ID Item Vendido]],Agregado[ID],Agregado[Revenda])</f>
        <v>21.2</v>
      </c>
      <c r="I1632" s="3">
        <f>Vendas[[#This Row],[Valor Unitário]]*Vendas[[#This Row],[Qnt Vendida]]</f>
        <v>127.19999999999999</v>
      </c>
      <c r="J1632" s="3">
        <f>Vendas[[#This Row],[Valor da Venda]]-(_xlfn.XLOOKUP(Vendas[[#This Row],[ID Item Vendido]],Agregado[ID],Agregado[Custo])*Vendas[[#This Row],[Qnt Vendida]])</f>
        <v>19.199999999999989</v>
      </c>
      <c r="K1632" s="70">
        <f>Vendas[[#This Row],[Lucro da Venda]]/Vendas[[#This Row],[Valor da Venda]]</f>
        <v>0.15094339622641501</v>
      </c>
      <c r="L1632" s="3">
        <f>_xlfn.IFS(Vendas[[#This Row],[Margem de Lucro (%)]]&lt;15%,Vendas[[#This Row],[Valor da Venda]]*3%,Vendas[[#This Row],[Margem de Lucro (%)]]&lt;=20%,Vendas[[#This Row],[Valor da Venda]]*4.5%,TRUE,Vendas[[#This Row],[Valor da Venda]]*6%)</f>
        <v>5.7239999999999993</v>
      </c>
      <c r="M1632"/>
    </row>
    <row r="1633" spans="1:13" x14ac:dyDescent="0.3">
      <c r="A1633" s="7">
        <v>400245</v>
      </c>
      <c r="B1633" t="str">
        <f>_xlfn.XLOOKUP(Vendas[[#This Row],[ID Vendedor]],Vendedores[ID],Vendedores[Nome])</f>
        <v>Thiago</v>
      </c>
      <c r="C1633" s="7" t="str">
        <f>_xlfn.XLOOKUP(Vendas[[#This Row],[ID Vendedor]],Vendedores[ID],Vendedores[Setor])</f>
        <v>AHD</v>
      </c>
      <c r="D1633" s="7" t="s">
        <v>44</v>
      </c>
      <c r="E1633" t="str">
        <f>_xlfn.XLOOKUP(Vendas[[#This Row],[ID Item Vendido]],Agregado[ID],Agregado[Produto])</f>
        <v>Liga metálica especial</v>
      </c>
      <c r="F1633" s="39">
        <v>44671</v>
      </c>
      <c r="G1633" s="7">
        <v>56</v>
      </c>
      <c r="H1633" s="3">
        <f>_xlfn.XLOOKUP(Vendas[[#This Row],[ID Item Vendido]],Agregado[ID],Agregado[Revenda])</f>
        <v>32.5</v>
      </c>
      <c r="I1633" s="3">
        <f>Vendas[[#This Row],[Valor Unitário]]*Vendas[[#This Row],[Qnt Vendida]]</f>
        <v>1820</v>
      </c>
      <c r="J1633" s="3">
        <f>Vendas[[#This Row],[Valor da Venda]]-(_xlfn.XLOOKUP(Vendas[[#This Row],[ID Item Vendido]],Agregado[ID],Agregado[Custo])*Vendas[[#This Row],[Qnt Vendida]])</f>
        <v>420</v>
      </c>
      <c r="K1633" s="70">
        <f>Vendas[[#This Row],[Lucro da Venda]]/Vendas[[#This Row],[Valor da Venda]]</f>
        <v>0.23076923076923078</v>
      </c>
      <c r="L1633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1633"/>
    </row>
    <row r="1634" spans="1:13" x14ac:dyDescent="0.3">
      <c r="A1634" s="7">
        <v>400244</v>
      </c>
      <c r="B1634" t="str">
        <f>_xlfn.XLOOKUP(Vendas[[#This Row],[ID Vendedor]],Vendedores[ID],Vendedores[Nome])</f>
        <v>Camila</v>
      </c>
      <c r="C1634" s="7" t="str">
        <f>_xlfn.XLOOKUP(Vendas[[#This Row],[ID Vendedor]],Vendedores[ID],Vendedores[Setor])</f>
        <v>AHD</v>
      </c>
      <c r="D1634" s="7" t="s">
        <v>44</v>
      </c>
      <c r="E1634" t="str">
        <f>_xlfn.XLOOKUP(Vendas[[#This Row],[ID Item Vendido]],Agregado[ID],Agregado[Produto])</f>
        <v>Liga metálica especial</v>
      </c>
      <c r="F1634" s="39">
        <v>44672</v>
      </c>
      <c r="G1634" s="7">
        <v>34</v>
      </c>
      <c r="H1634" s="3">
        <f>_xlfn.XLOOKUP(Vendas[[#This Row],[ID Item Vendido]],Agregado[ID],Agregado[Revenda])</f>
        <v>32.5</v>
      </c>
      <c r="I1634" s="3">
        <f>Vendas[[#This Row],[Valor Unitário]]*Vendas[[#This Row],[Qnt Vendida]]</f>
        <v>1105</v>
      </c>
      <c r="J1634" s="3">
        <f>Vendas[[#This Row],[Valor da Venda]]-(_xlfn.XLOOKUP(Vendas[[#This Row],[ID Item Vendido]],Agregado[ID],Agregado[Custo])*Vendas[[#This Row],[Qnt Vendida]])</f>
        <v>255</v>
      </c>
      <c r="K1634" s="70">
        <f>Vendas[[#This Row],[Lucro da Venda]]/Vendas[[#This Row],[Valor da Venda]]</f>
        <v>0.23076923076923078</v>
      </c>
      <c r="L1634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1634"/>
    </row>
    <row r="1635" spans="1:13" x14ac:dyDescent="0.3">
      <c r="A1635" s="7">
        <v>400247</v>
      </c>
      <c r="B1635" t="str">
        <f>_xlfn.XLOOKUP(Vendas[[#This Row],[ID Vendedor]],Vendedores[ID],Vendedores[Nome])</f>
        <v>André</v>
      </c>
      <c r="C1635" s="7" t="str">
        <f>_xlfn.XLOOKUP(Vendas[[#This Row],[ID Vendedor]],Vendedores[ID],Vendedores[Setor])</f>
        <v>CM</v>
      </c>
      <c r="D1635" s="7" t="s">
        <v>22</v>
      </c>
      <c r="E1635" t="str">
        <f>_xlfn.XLOOKUP(Vendas[[#This Row],[ID Item Vendido]],Agregado[ID],Agregado[Produto])</f>
        <v>Painel MDP 2,75x1,83m</v>
      </c>
      <c r="F1635" s="39">
        <v>44672</v>
      </c>
      <c r="G1635" s="7">
        <v>8</v>
      </c>
      <c r="H1635" s="3">
        <f>_xlfn.XLOOKUP(Vendas[[#This Row],[ID Item Vendido]],Agregado[ID],Agregado[Revenda])</f>
        <v>119</v>
      </c>
      <c r="I1635" s="3">
        <f>Vendas[[#This Row],[Valor Unitário]]*Vendas[[#This Row],[Qnt Vendida]]</f>
        <v>952</v>
      </c>
      <c r="J1635" s="3">
        <f>Vendas[[#This Row],[Valor da Venda]]-(_xlfn.XLOOKUP(Vendas[[#This Row],[ID Item Vendido]],Agregado[ID],Agregado[Custo])*Vendas[[#This Row],[Qnt Vendida]])</f>
        <v>192</v>
      </c>
      <c r="K1635" s="70">
        <f>Vendas[[#This Row],[Lucro da Venda]]/Vendas[[#This Row],[Valor da Venda]]</f>
        <v>0.20168067226890757</v>
      </c>
      <c r="L1635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635"/>
    </row>
    <row r="1636" spans="1:13" x14ac:dyDescent="0.3">
      <c r="A1636" s="7">
        <v>400251</v>
      </c>
      <c r="B1636" t="str">
        <f>_xlfn.XLOOKUP(Vendas[[#This Row],[ID Vendedor]],Vendedores[ID],Vendedores[Nome])</f>
        <v>Diego</v>
      </c>
      <c r="C1636" s="7" t="str">
        <f>_xlfn.XLOOKUP(Vendas[[#This Row],[ID Vendedor]],Vendedores[ID],Vendedores[Setor])</f>
        <v>AB</v>
      </c>
      <c r="D1636" s="7" t="s">
        <v>39</v>
      </c>
      <c r="E1636" t="str">
        <f>_xlfn.XLOOKUP(Vendas[[#This Row],[ID Item Vendido]],Agregado[ID],Agregado[Produto])</f>
        <v>Filme plástico industrial rolo 50m</v>
      </c>
      <c r="F1636" s="39">
        <v>44672</v>
      </c>
      <c r="G1636" s="7">
        <v>25</v>
      </c>
      <c r="H1636" s="3">
        <f>_xlfn.XLOOKUP(Vendas[[#This Row],[ID Item Vendido]],Agregado[ID],Agregado[Revenda])</f>
        <v>37</v>
      </c>
      <c r="I1636" s="3">
        <f>Vendas[[#This Row],[Valor Unitário]]*Vendas[[#This Row],[Qnt Vendida]]</f>
        <v>925</v>
      </c>
      <c r="J1636" s="3">
        <f>Vendas[[#This Row],[Valor da Venda]]-(_xlfn.XLOOKUP(Vendas[[#This Row],[ID Item Vendido]],Agregado[ID],Agregado[Custo])*Vendas[[#This Row],[Qnt Vendida]])</f>
        <v>225</v>
      </c>
      <c r="K1636" s="70">
        <f>Vendas[[#This Row],[Lucro da Venda]]/Vendas[[#This Row],[Valor da Venda]]</f>
        <v>0.24324324324324326</v>
      </c>
      <c r="L1636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1636"/>
    </row>
    <row r="1637" spans="1:13" x14ac:dyDescent="0.3">
      <c r="A1637" s="7">
        <v>400243</v>
      </c>
      <c r="B1637" t="str">
        <f>_xlfn.XLOOKUP(Vendas[[#This Row],[ID Vendedor]],Vendedores[ID],Vendedores[Nome])</f>
        <v>Marcelo</v>
      </c>
      <c r="C1637" s="7" t="str">
        <f>_xlfn.XLOOKUP(Vendas[[#This Row],[ID Vendedor]],Vendedores[ID],Vendedores[Setor])</f>
        <v>FM</v>
      </c>
      <c r="D1637" s="7" t="s">
        <v>6</v>
      </c>
      <c r="E1637" t="str">
        <f>_xlfn.XLOOKUP(Vendas[[#This Row],[ID Item Vendido]],Agregado[ID],Agregado[Produto])</f>
        <v>Parafuso comum 500un</v>
      </c>
      <c r="F1637" s="39">
        <v>44673</v>
      </c>
      <c r="G1637" s="7">
        <v>14</v>
      </c>
      <c r="H1637" s="3">
        <f>_xlfn.XLOOKUP(Vendas[[#This Row],[ID Item Vendido]],Agregado[ID],Agregado[Revenda])</f>
        <v>24.6</v>
      </c>
      <c r="I1637" s="3">
        <f>Vendas[[#This Row],[Valor Unitário]]*Vendas[[#This Row],[Qnt Vendida]]</f>
        <v>344.40000000000003</v>
      </c>
      <c r="J1637" s="3">
        <f>Vendas[[#This Row],[Valor da Venda]]-(_xlfn.XLOOKUP(Vendas[[#This Row],[ID Item Vendido]],Agregado[ID],Agregado[Custo])*Vendas[[#This Row],[Qnt Vendida]])</f>
        <v>36.400000000000034</v>
      </c>
      <c r="K1637" s="70">
        <f>Vendas[[#This Row],[Lucro da Venda]]/Vendas[[#This Row],[Valor da Venda]]</f>
        <v>0.10569105691056919</v>
      </c>
      <c r="L1637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1637"/>
    </row>
    <row r="1638" spans="1:13" x14ac:dyDescent="0.3">
      <c r="A1638" s="7">
        <v>400250</v>
      </c>
      <c r="B1638" t="str">
        <f>_xlfn.XLOOKUP(Vendas[[#This Row],[ID Vendedor]],Vendedores[ID],Vendedores[Nome])</f>
        <v>Larissa</v>
      </c>
      <c r="C1638" s="7" t="str">
        <f>_xlfn.XLOOKUP(Vendas[[#This Row],[ID Vendedor]],Vendedores[ID],Vendedores[Setor])</f>
        <v>AB</v>
      </c>
      <c r="D1638" s="7" t="s">
        <v>12</v>
      </c>
      <c r="E1638" t="str">
        <f>_xlfn.XLOOKUP(Vendas[[#This Row],[ID Item Vendido]],Agregado[ID],Agregado[Produto])</f>
        <v>Grânulo de plástico reciclado refinado</v>
      </c>
      <c r="F1638" s="39">
        <v>44674</v>
      </c>
      <c r="G1638" s="7">
        <v>93</v>
      </c>
      <c r="H1638" s="3">
        <f>_xlfn.XLOOKUP(Vendas[[#This Row],[ID Item Vendido]],Agregado[ID],Agregado[Revenda])</f>
        <v>4.7</v>
      </c>
      <c r="I1638" s="3">
        <f>Vendas[[#This Row],[Valor Unitário]]*Vendas[[#This Row],[Qnt Vendida]]</f>
        <v>437.1</v>
      </c>
      <c r="J1638" s="3">
        <f>Vendas[[#This Row],[Valor da Venda]]-(_xlfn.XLOOKUP(Vendas[[#This Row],[ID Item Vendido]],Agregado[ID],Agregado[Custo])*Vendas[[#This Row],[Qnt Vendida]])</f>
        <v>111.60000000000002</v>
      </c>
      <c r="K1638" s="70">
        <f>Vendas[[#This Row],[Lucro da Venda]]/Vendas[[#This Row],[Valor da Venda]]</f>
        <v>0.25531914893617025</v>
      </c>
      <c r="L1638" s="3">
        <f>_xlfn.IFS(Vendas[[#This Row],[Margem de Lucro (%)]]&lt;15%,Vendas[[#This Row],[Valor da Venda]]*3%,Vendas[[#This Row],[Margem de Lucro (%)]]&lt;=20%,Vendas[[#This Row],[Valor da Venda]]*4.5%,TRUE,Vendas[[#This Row],[Valor da Venda]]*6%)</f>
        <v>26.225999999999999</v>
      </c>
      <c r="M1638"/>
    </row>
    <row r="1639" spans="1:13" x14ac:dyDescent="0.3">
      <c r="A1639" s="7">
        <v>400253</v>
      </c>
      <c r="B1639" t="str">
        <f>_xlfn.XLOOKUP(Vendas[[#This Row],[ID Vendedor]],Vendedores[ID],Vendedores[Nome])</f>
        <v>Gustavo</v>
      </c>
      <c r="C1639" s="7" t="str">
        <f>_xlfn.XLOOKUP(Vendas[[#This Row],[ID Vendedor]],Vendedores[ID],Vendedores[Setor])</f>
        <v>SC</v>
      </c>
      <c r="D1639" s="7" t="s">
        <v>25</v>
      </c>
      <c r="E1639" t="str">
        <f>_xlfn.XLOOKUP(Vendas[[#This Row],[ID Item Vendido]],Agregado[ID],Agregado[Produto])</f>
        <v>Palete de plástico</v>
      </c>
      <c r="F1639" s="39">
        <v>44674</v>
      </c>
      <c r="G1639" s="7">
        <v>4</v>
      </c>
      <c r="H1639" s="3">
        <f>_xlfn.XLOOKUP(Vendas[[#This Row],[ID Item Vendido]],Agregado[ID],Agregado[Revenda])</f>
        <v>70.8</v>
      </c>
      <c r="I1639" s="3">
        <f>Vendas[[#This Row],[Valor Unitário]]*Vendas[[#This Row],[Qnt Vendida]]</f>
        <v>283.2</v>
      </c>
      <c r="J1639" s="3">
        <f>Vendas[[#This Row],[Valor da Venda]]-(_xlfn.XLOOKUP(Vendas[[#This Row],[ID Item Vendido]],Agregado[ID],Agregado[Custo])*Vendas[[#This Row],[Qnt Vendida]])</f>
        <v>43.199999999999989</v>
      </c>
      <c r="K1639" s="70">
        <f>Vendas[[#This Row],[Lucro da Venda]]/Vendas[[#This Row],[Valor da Venda]]</f>
        <v>0.15254237288135589</v>
      </c>
      <c r="L1639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1639"/>
    </row>
    <row r="1640" spans="1:13" x14ac:dyDescent="0.3">
      <c r="A1640" s="7">
        <v>400250</v>
      </c>
      <c r="B1640" t="str">
        <f>_xlfn.XLOOKUP(Vendas[[#This Row],[ID Vendedor]],Vendedores[ID],Vendedores[Nome])</f>
        <v>Larissa</v>
      </c>
      <c r="C1640" s="7" t="str">
        <f>_xlfn.XLOOKUP(Vendas[[#This Row],[ID Vendedor]],Vendedores[ID],Vendedores[Setor])</f>
        <v>AB</v>
      </c>
      <c r="D1640" s="7" t="s">
        <v>37</v>
      </c>
      <c r="E1640" t="str">
        <f>_xlfn.XLOOKUP(Vendas[[#This Row],[ID Item Vendido]],Agregado[ID],Agregado[Produto])</f>
        <v>Composto de borracha para vedação rolo 10m</v>
      </c>
      <c r="F1640" s="39">
        <v>44676</v>
      </c>
      <c r="G1640" s="7">
        <v>25</v>
      </c>
      <c r="H1640" s="3">
        <f>_xlfn.XLOOKUP(Vendas[[#This Row],[ID Item Vendido]],Agregado[ID],Agregado[Revenda])</f>
        <v>51.2</v>
      </c>
      <c r="I1640" s="3">
        <f>Vendas[[#This Row],[Valor Unitário]]*Vendas[[#This Row],[Qnt Vendida]]</f>
        <v>1280</v>
      </c>
      <c r="J1640" s="3">
        <f>Vendas[[#This Row],[Valor da Venda]]-(_xlfn.XLOOKUP(Vendas[[#This Row],[ID Item Vendido]],Agregado[ID],Agregado[Custo])*Vendas[[#This Row],[Qnt Vendida]])</f>
        <v>280</v>
      </c>
      <c r="K1640" s="70">
        <f>Vendas[[#This Row],[Lucro da Venda]]/Vendas[[#This Row],[Valor da Venda]]</f>
        <v>0.21875</v>
      </c>
      <c r="L1640" s="3">
        <f>_xlfn.IFS(Vendas[[#This Row],[Margem de Lucro (%)]]&lt;15%,Vendas[[#This Row],[Valor da Venda]]*3%,Vendas[[#This Row],[Margem de Lucro (%)]]&lt;=20%,Vendas[[#This Row],[Valor da Venda]]*4.5%,TRUE,Vendas[[#This Row],[Valor da Venda]]*6%)</f>
        <v>76.8</v>
      </c>
      <c r="M1640"/>
    </row>
    <row r="1641" spans="1:13" x14ac:dyDescent="0.3">
      <c r="A1641" s="7">
        <v>400242</v>
      </c>
      <c r="B1641" t="str">
        <f>_xlfn.XLOOKUP(Vendas[[#This Row],[ID Vendedor]],Vendedores[ID],Vendedores[Nome])</f>
        <v>Fernanda</v>
      </c>
      <c r="C1641" s="7" t="str">
        <f>_xlfn.XLOOKUP(Vendas[[#This Row],[ID Vendedor]],Vendedores[ID],Vendedores[Setor])</f>
        <v>FM</v>
      </c>
      <c r="D1641" s="7" t="s">
        <v>20</v>
      </c>
      <c r="E1641" t="str">
        <f>_xlfn.XLOOKUP(Vendas[[#This Row],[ID Item Vendido]],Agregado[ID],Agregado[Produto])</f>
        <v>Barra de aço simples</v>
      </c>
      <c r="F1641" s="39">
        <v>44676</v>
      </c>
      <c r="G1641" s="7">
        <v>138</v>
      </c>
      <c r="H1641" s="3">
        <f>_xlfn.XLOOKUP(Vendas[[#This Row],[ID Item Vendido]],Agregado[ID],Agregado[Revenda])</f>
        <v>4.8</v>
      </c>
      <c r="I1641" s="3">
        <f>Vendas[[#This Row],[Valor Unitário]]*Vendas[[#This Row],[Qnt Vendida]]</f>
        <v>662.4</v>
      </c>
      <c r="J1641" s="3">
        <f>Vendas[[#This Row],[Valor da Venda]]-(_xlfn.XLOOKUP(Vendas[[#This Row],[ID Item Vendido]],Agregado[ID],Agregado[Custo])*Vendas[[#This Row],[Qnt Vendida]])</f>
        <v>82.799999999999955</v>
      </c>
      <c r="K1641" s="70">
        <f>Vendas[[#This Row],[Lucro da Venda]]/Vendas[[#This Row],[Valor da Venda]]</f>
        <v>0.12499999999999993</v>
      </c>
      <c r="L1641" s="3">
        <f>_xlfn.IFS(Vendas[[#This Row],[Margem de Lucro (%)]]&lt;15%,Vendas[[#This Row],[Valor da Venda]]*3%,Vendas[[#This Row],[Margem de Lucro (%)]]&lt;=20%,Vendas[[#This Row],[Valor da Venda]]*4.5%,TRUE,Vendas[[#This Row],[Valor da Venda]]*6%)</f>
        <v>19.872</v>
      </c>
      <c r="M1641"/>
    </row>
    <row r="1642" spans="1:13" x14ac:dyDescent="0.3">
      <c r="A1642" s="7">
        <v>400250</v>
      </c>
      <c r="B1642" t="str">
        <f>_xlfn.XLOOKUP(Vendas[[#This Row],[ID Vendedor]],Vendedores[ID],Vendedores[Nome])</f>
        <v>Larissa</v>
      </c>
      <c r="C1642" s="7" t="str">
        <f>_xlfn.XLOOKUP(Vendas[[#This Row],[ID Vendedor]],Vendedores[ID],Vendedores[Setor])</f>
        <v>AB</v>
      </c>
      <c r="D1642" s="7" t="s">
        <v>37</v>
      </c>
      <c r="E1642" t="str">
        <f>_xlfn.XLOOKUP(Vendas[[#This Row],[ID Item Vendido]],Agregado[ID],Agregado[Produto])</f>
        <v>Composto de borracha para vedação rolo 10m</v>
      </c>
      <c r="F1642" s="39">
        <v>44676</v>
      </c>
      <c r="G1642" s="7">
        <v>7</v>
      </c>
      <c r="H1642" s="3">
        <f>_xlfn.XLOOKUP(Vendas[[#This Row],[ID Item Vendido]],Agregado[ID],Agregado[Revenda])</f>
        <v>51.2</v>
      </c>
      <c r="I1642" s="3">
        <f>Vendas[[#This Row],[Valor Unitário]]*Vendas[[#This Row],[Qnt Vendida]]</f>
        <v>358.40000000000003</v>
      </c>
      <c r="J1642" s="3">
        <f>Vendas[[#This Row],[Valor da Venda]]-(_xlfn.XLOOKUP(Vendas[[#This Row],[ID Item Vendido]],Agregado[ID],Agregado[Custo])*Vendas[[#This Row],[Qnt Vendida]])</f>
        <v>78.400000000000034</v>
      </c>
      <c r="K1642" s="70">
        <f>Vendas[[#This Row],[Lucro da Venda]]/Vendas[[#This Row],[Valor da Venda]]</f>
        <v>0.21875000000000008</v>
      </c>
      <c r="L1642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1642"/>
    </row>
    <row r="1643" spans="1:13" x14ac:dyDescent="0.3">
      <c r="A1643" s="7">
        <v>400244</v>
      </c>
      <c r="B1643" t="str">
        <f>_xlfn.XLOOKUP(Vendas[[#This Row],[ID Vendedor]],Vendedores[ID],Vendedores[Nome])</f>
        <v>Camila</v>
      </c>
      <c r="C1643" s="7" t="str">
        <f>_xlfn.XLOOKUP(Vendas[[#This Row],[ID Vendedor]],Vendedores[ID],Vendedores[Setor])</f>
        <v>AHD</v>
      </c>
      <c r="D1643" s="7" t="s">
        <v>28</v>
      </c>
      <c r="E1643" t="str">
        <f>_xlfn.XLOOKUP(Vendas[[#This Row],[ID Item Vendido]],Agregado[ID],Agregado[Produto])</f>
        <v>Peça usinada CNC</v>
      </c>
      <c r="F1643" s="39">
        <v>44677</v>
      </c>
      <c r="G1643" s="7">
        <v>15</v>
      </c>
      <c r="H1643" s="3">
        <f>_xlfn.XLOOKUP(Vendas[[#This Row],[ID Item Vendido]],Agregado[ID],Agregado[Revenda])</f>
        <v>192</v>
      </c>
      <c r="I1643" s="3">
        <f>Vendas[[#This Row],[Valor Unitário]]*Vendas[[#This Row],[Qnt Vendida]]</f>
        <v>2880</v>
      </c>
      <c r="J1643" s="3">
        <f>Vendas[[#This Row],[Valor da Venda]]-(_xlfn.XLOOKUP(Vendas[[#This Row],[ID Item Vendido]],Agregado[ID],Agregado[Custo])*Vendas[[#This Row],[Qnt Vendida]])</f>
        <v>630</v>
      </c>
      <c r="K1643" s="70">
        <f>Vendas[[#This Row],[Lucro da Venda]]/Vendas[[#This Row],[Valor da Venda]]</f>
        <v>0.21875</v>
      </c>
      <c r="L1643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1643"/>
    </row>
    <row r="1644" spans="1:13" x14ac:dyDescent="0.3">
      <c r="A1644" s="7">
        <v>400241</v>
      </c>
      <c r="B1644" t="str">
        <f>_xlfn.XLOOKUP(Vendas[[#This Row],[ID Vendedor]],Vendedores[ID],Vendedores[Nome])</f>
        <v>Rodrigo</v>
      </c>
      <c r="C1644" s="7" t="str">
        <f>_xlfn.XLOOKUP(Vendas[[#This Row],[ID Vendedor]],Vendedores[ID],Vendedores[Setor])</f>
        <v>FM</v>
      </c>
      <c r="D1644" s="7" t="s">
        <v>6</v>
      </c>
      <c r="E1644" t="str">
        <f>_xlfn.XLOOKUP(Vendas[[#This Row],[ID Item Vendido]],Agregado[ID],Agregado[Produto])</f>
        <v>Parafuso comum 500un</v>
      </c>
      <c r="F1644" s="39">
        <v>44677</v>
      </c>
      <c r="G1644" s="7">
        <v>16</v>
      </c>
      <c r="H1644" s="3">
        <f>_xlfn.XLOOKUP(Vendas[[#This Row],[ID Item Vendido]],Agregado[ID],Agregado[Revenda])</f>
        <v>24.6</v>
      </c>
      <c r="I1644" s="3">
        <f>Vendas[[#This Row],[Valor Unitário]]*Vendas[[#This Row],[Qnt Vendida]]</f>
        <v>393.6</v>
      </c>
      <c r="J1644" s="3">
        <f>Vendas[[#This Row],[Valor da Venda]]-(_xlfn.XLOOKUP(Vendas[[#This Row],[ID Item Vendido]],Agregado[ID],Agregado[Custo])*Vendas[[#This Row],[Qnt Vendida]])</f>
        <v>41.600000000000023</v>
      </c>
      <c r="K1644" s="70">
        <f>Vendas[[#This Row],[Lucro da Venda]]/Vendas[[#This Row],[Valor da Venda]]</f>
        <v>0.10569105691056915</v>
      </c>
      <c r="L1644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1644"/>
    </row>
    <row r="1645" spans="1:13" x14ac:dyDescent="0.3">
      <c r="A1645" s="7">
        <v>400248</v>
      </c>
      <c r="B1645" t="str">
        <f>_xlfn.XLOOKUP(Vendas[[#This Row],[ID Vendedor]],Vendedores[ID],Vendedores[Nome])</f>
        <v>Patrícia</v>
      </c>
      <c r="C1645" s="7" t="str">
        <f>_xlfn.XLOOKUP(Vendas[[#This Row],[ID Vendedor]],Vendedores[ID],Vendedores[Setor])</f>
        <v>CM</v>
      </c>
      <c r="D1645" s="7" t="s">
        <v>43</v>
      </c>
      <c r="E1645" t="str">
        <f>_xlfn.XLOOKUP(Vendas[[#This Row],[ID Item Vendido]],Agregado[ID],Agregado[Produto])</f>
        <v>Madeira Bruta (Tora)</v>
      </c>
      <c r="F1645" s="39">
        <v>44678</v>
      </c>
      <c r="G1645" s="7">
        <v>14</v>
      </c>
      <c r="H1645" s="3">
        <f>_xlfn.XLOOKUP(Vendas[[#This Row],[ID Item Vendido]],Agregado[ID],Agregado[Revenda])</f>
        <v>212</v>
      </c>
      <c r="I1645" s="3">
        <f>Vendas[[#This Row],[Valor Unitário]]*Vendas[[#This Row],[Qnt Vendida]]</f>
        <v>2968</v>
      </c>
      <c r="J1645" s="3">
        <f>Vendas[[#This Row],[Valor da Venda]]-(_xlfn.XLOOKUP(Vendas[[#This Row],[ID Item Vendido]],Agregado[ID],Agregado[Custo])*Vendas[[#This Row],[Qnt Vendida]])</f>
        <v>448</v>
      </c>
      <c r="K1645" s="70">
        <f>Vendas[[#This Row],[Lucro da Venda]]/Vendas[[#This Row],[Valor da Venda]]</f>
        <v>0.15094339622641509</v>
      </c>
      <c r="L1645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1645"/>
    </row>
    <row r="1646" spans="1:13" x14ac:dyDescent="0.3">
      <c r="A1646" s="7">
        <v>400248</v>
      </c>
      <c r="B1646" t="str">
        <f>_xlfn.XLOOKUP(Vendas[[#This Row],[ID Vendedor]],Vendedores[ID],Vendedores[Nome])</f>
        <v>Patrícia</v>
      </c>
      <c r="C1646" s="7" t="str">
        <f>_xlfn.XLOOKUP(Vendas[[#This Row],[ID Vendedor]],Vendedores[ID],Vendedores[Setor])</f>
        <v>CM</v>
      </c>
      <c r="D1646" s="7" t="s">
        <v>22</v>
      </c>
      <c r="E1646" t="str">
        <f>_xlfn.XLOOKUP(Vendas[[#This Row],[ID Item Vendido]],Agregado[ID],Agregado[Produto])</f>
        <v>Painel MDP 2,75x1,83m</v>
      </c>
      <c r="F1646" s="39">
        <v>44678</v>
      </c>
      <c r="G1646" s="7">
        <v>23</v>
      </c>
      <c r="H1646" s="3">
        <f>_xlfn.XLOOKUP(Vendas[[#This Row],[ID Item Vendido]],Agregado[ID],Agregado[Revenda])</f>
        <v>119</v>
      </c>
      <c r="I1646" s="3">
        <f>Vendas[[#This Row],[Valor Unitário]]*Vendas[[#This Row],[Qnt Vendida]]</f>
        <v>2737</v>
      </c>
      <c r="J1646" s="3">
        <f>Vendas[[#This Row],[Valor da Venda]]-(_xlfn.XLOOKUP(Vendas[[#This Row],[ID Item Vendido]],Agregado[ID],Agregado[Custo])*Vendas[[#This Row],[Qnt Vendida]])</f>
        <v>552</v>
      </c>
      <c r="K1646" s="70">
        <f>Vendas[[#This Row],[Lucro da Venda]]/Vendas[[#This Row],[Valor da Venda]]</f>
        <v>0.20168067226890757</v>
      </c>
      <c r="L164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646"/>
    </row>
    <row r="1647" spans="1:13" x14ac:dyDescent="0.3">
      <c r="A1647" s="7">
        <v>400244</v>
      </c>
      <c r="B1647" t="str">
        <f>_xlfn.XLOOKUP(Vendas[[#This Row],[ID Vendedor]],Vendedores[ID],Vendedores[Nome])</f>
        <v>Camila</v>
      </c>
      <c r="C1647" s="7" t="str">
        <f>_xlfn.XLOOKUP(Vendas[[#This Row],[ID Vendedor]],Vendedores[ID],Vendedores[Setor])</f>
        <v>AHD</v>
      </c>
      <c r="D1647" s="7" t="s">
        <v>30</v>
      </c>
      <c r="E1647" t="str">
        <f>_xlfn.XLOOKUP(Vendas[[#This Row],[ID Item Vendido]],Agregado[ID],Agregado[Produto])</f>
        <v>Estrutura metálica soldada</v>
      </c>
      <c r="F1647" s="39">
        <v>44678</v>
      </c>
      <c r="G1647" s="7">
        <v>4</v>
      </c>
      <c r="H1647" s="3">
        <f>_xlfn.XLOOKUP(Vendas[[#This Row],[ID Item Vendido]],Agregado[ID],Agregado[Revenda])</f>
        <v>400</v>
      </c>
      <c r="I1647" s="3">
        <f>Vendas[[#This Row],[Valor Unitário]]*Vendas[[#This Row],[Qnt Vendida]]</f>
        <v>1600</v>
      </c>
      <c r="J1647" s="3">
        <f>Vendas[[#This Row],[Valor da Venda]]-(_xlfn.XLOOKUP(Vendas[[#This Row],[ID Item Vendido]],Agregado[ID],Agregado[Custo])*Vendas[[#This Row],[Qnt Vendida]])</f>
        <v>320</v>
      </c>
      <c r="K1647" s="70">
        <f>Vendas[[#This Row],[Lucro da Venda]]/Vendas[[#This Row],[Valor da Venda]]</f>
        <v>0.2</v>
      </c>
      <c r="L1647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1647"/>
    </row>
    <row r="1648" spans="1:13" x14ac:dyDescent="0.3">
      <c r="A1648" s="7">
        <v>400241</v>
      </c>
      <c r="B1648" t="str">
        <f>_xlfn.XLOOKUP(Vendas[[#This Row],[ID Vendedor]],Vendedores[ID],Vendedores[Nome])</f>
        <v>Rodrigo</v>
      </c>
      <c r="C1648" s="7" t="str">
        <f>_xlfn.XLOOKUP(Vendas[[#This Row],[ID Vendedor]],Vendedores[ID],Vendedores[Setor])</f>
        <v>FM</v>
      </c>
      <c r="D1648" s="7" t="s">
        <v>31</v>
      </c>
      <c r="E1648" t="str">
        <f>_xlfn.XLOOKUP(Vendas[[#This Row],[ID Item Vendido]],Agregado[ID],Agregado[Produto])</f>
        <v>Tela de metal soldada rolo 2x25m</v>
      </c>
      <c r="F1648" s="39">
        <v>44678</v>
      </c>
      <c r="G1648" s="7">
        <v>6</v>
      </c>
      <c r="H1648" s="3">
        <f>_xlfn.XLOOKUP(Vendas[[#This Row],[ID Item Vendido]],Agregado[ID],Agregado[Revenda])</f>
        <v>43.7</v>
      </c>
      <c r="I1648" s="3">
        <f>Vendas[[#This Row],[Valor Unitário]]*Vendas[[#This Row],[Qnt Vendida]]</f>
        <v>262.20000000000005</v>
      </c>
      <c r="J1648" s="3">
        <f>Vendas[[#This Row],[Valor da Venda]]-(_xlfn.XLOOKUP(Vendas[[#This Row],[ID Item Vendido]],Agregado[ID],Agregado[Custo])*Vendas[[#This Row],[Qnt Vendida]])</f>
        <v>34.200000000000045</v>
      </c>
      <c r="K1648" s="70">
        <f>Vendas[[#This Row],[Lucro da Venda]]/Vendas[[#This Row],[Valor da Venda]]</f>
        <v>0.13043478260869582</v>
      </c>
      <c r="L1648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1648"/>
    </row>
    <row r="1649" spans="1:13" x14ac:dyDescent="0.3">
      <c r="A1649" s="7">
        <v>400243</v>
      </c>
      <c r="B1649" t="str">
        <f>_xlfn.XLOOKUP(Vendas[[#This Row],[ID Vendedor]],Vendedores[ID],Vendedores[Nome])</f>
        <v>Marcelo</v>
      </c>
      <c r="C1649" s="7" t="str">
        <f>_xlfn.XLOOKUP(Vendas[[#This Row],[ID Vendedor]],Vendedores[ID],Vendedores[Setor])</f>
        <v>FM</v>
      </c>
      <c r="D1649" s="7" t="s">
        <v>27</v>
      </c>
      <c r="E1649" t="str">
        <f>_xlfn.XLOOKUP(Vendas[[#This Row],[ID Item Vendido]],Agregado[ID],Agregado[Produto])</f>
        <v>Chapa de metal lisa 1x2m</v>
      </c>
      <c r="F1649" s="39">
        <v>44680</v>
      </c>
      <c r="G1649" s="7">
        <v>13</v>
      </c>
      <c r="H1649" s="3">
        <f>_xlfn.XLOOKUP(Vendas[[#This Row],[ID Item Vendido]],Agregado[ID],Agregado[Revenda])</f>
        <v>52</v>
      </c>
      <c r="I1649" s="3">
        <f>Vendas[[#This Row],[Valor Unitário]]*Vendas[[#This Row],[Qnt Vendida]]</f>
        <v>676</v>
      </c>
      <c r="J1649" s="3">
        <f>Vendas[[#This Row],[Valor da Venda]]-(_xlfn.XLOOKUP(Vendas[[#This Row],[ID Item Vendido]],Agregado[ID],Agregado[Custo])*Vendas[[#This Row],[Qnt Vendida]])</f>
        <v>91</v>
      </c>
      <c r="K1649" s="70">
        <f>Vendas[[#This Row],[Lucro da Venda]]/Vendas[[#This Row],[Valor da Venda]]</f>
        <v>0.13461538461538461</v>
      </c>
      <c r="L1649" s="3">
        <f>_xlfn.IFS(Vendas[[#This Row],[Margem de Lucro (%)]]&lt;15%,Vendas[[#This Row],[Valor da Venda]]*3%,Vendas[[#This Row],[Margem de Lucro (%)]]&lt;=20%,Vendas[[#This Row],[Valor da Venda]]*4.5%,TRUE,Vendas[[#This Row],[Valor da Venda]]*6%)</f>
        <v>20.279999999999998</v>
      </c>
      <c r="M1649"/>
    </row>
    <row r="1650" spans="1:13" x14ac:dyDescent="0.3">
      <c r="A1650" s="7">
        <v>400244</v>
      </c>
      <c r="B1650" t="str">
        <f>_xlfn.XLOOKUP(Vendas[[#This Row],[ID Vendedor]],Vendedores[ID],Vendedores[Nome])</f>
        <v>Camila</v>
      </c>
      <c r="C1650" s="7" t="str">
        <f>_xlfn.XLOOKUP(Vendas[[#This Row],[ID Vendedor]],Vendedores[ID],Vendedores[Setor])</f>
        <v>AHD</v>
      </c>
      <c r="D1650" s="7" t="s">
        <v>28</v>
      </c>
      <c r="E1650" t="str">
        <f>_xlfn.XLOOKUP(Vendas[[#This Row],[ID Item Vendido]],Agregado[ID],Agregado[Produto])</f>
        <v>Peça usinada CNC</v>
      </c>
      <c r="F1650" s="39">
        <v>44680</v>
      </c>
      <c r="G1650" s="7">
        <v>1</v>
      </c>
      <c r="H1650" s="3">
        <f>_xlfn.XLOOKUP(Vendas[[#This Row],[ID Item Vendido]],Agregado[ID],Agregado[Revenda])</f>
        <v>192</v>
      </c>
      <c r="I1650" s="3">
        <f>Vendas[[#This Row],[Valor Unitário]]*Vendas[[#This Row],[Qnt Vendida]]</f>
        <v>192</v>
      </c>
      <c r="J1650" s="3">
        <f>Vendas[[#This Row],[Valor da Venda]]-(_xlfn.XLOOKUP(Vendas[[#This Row],[ID Item Vendido]],Agregado[ID],Agregado[Custo])*Vendas[[#This Row],[Qnt Vendida]])</f>
        <v>42</v>
      </c>
      <c r="K1650" s="70">
        <f>Vendas[[#This Row],[Lucro da Venda]]/Vendas[[#This Row],[Valor da Venda]]</f>
        <v>0.21875</v>
      </c>
      <c r="L1650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1650"/>
    </row>
    <row r="1651" spans="1:13" x14ac:dyDescent="0.3">
      <c r="A1651" s="7">
        <v>400253</v>
      </c>
      <c r="B1651" t="str">
        <f>_xlfn.XLOOKUP(Vendas[[#This Row],[ID Vendedor]],Vendedores[ID],Vendedores[Nome])</f>
        <v>Gustavo</v>
      </c>
      <c r="C1651" s="7" t="str">
        <f>_xlfn.XLOOKUP(Vendas[[#This Row],[ID Vendedor]],Vendedores[ID],Vendedores[Setor])</f>
        <v>SC</v>
      </c>
      <c r="D1651" s="7" t="s">
        <v>42</v>
      </c>
      <c r="E1651" t="str">
        <f>_xlfn.XLOOKUP(Vendas[[#This Row],[ID Item Vendido]],Agregado[ID],Agregado[Produto])</f>
        <v>Container de ferro industrial</v>
      </c>
      <c r="F1651" s="39">
        <v>44681</v>
      </c>
      <c r="G1651" s="7">
        <v>3</v>
      </c>
      <c r="H1651" s="3">
        <f>_xlfn.XLOOKUP(Vendas[[#This Row],[ID Item Vendido]],Agregado[ID],Agregado[Revenda])</f>
        <v>830</v>
      </c>
      <c r="I1651" s="3">
        <f>Vendas[[#This Row],[Valor Unitário]]*Vendas[[#This Row],[Qnt Vendida]]</f>
        <v>2490</v>
      </c>
      <c r="J1651" s="3">
        <f>Vendas[[#This Row],[Valor da Venda]]-(_xlfn.XLOOKUP(Vendas[[#This Row],[ID Item Vendido]],Agregado[ID],Agregado[Custo])*Vendas[[#This Row],[Qnt Vendida]])</f>
        <v>450</v>
      </c>
      <c r="K1651" s="70">
        <f>Vendas[[#This Row],[Lucro da Venda]]/Vendas[[#This Row],[Valor da Venda]]</f>
        <v>0.18072289156626506</v>
      </c>
      <c r="L1651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651"/>
    </row>
    <row r="1652" spans="1:13" x14ac:dyDescent="0.3">
      <c r="A1652" s="7">
        <v>400244</v>
      </c>
      <c r="B1652" t="str">
        <f>_xlfn.XLOOKUP(Vendas[[#This Row],[ID Vendedor]],Vendedores[ID],Vendedores[Nome])</f>
        <v>Camila</v>
      </c>
      <c r="C1652" s="7" t="str">
        <f>_xlfn.XLOOKUP(Vendas[[#This Row],[ID Vendedor]],Vendedores[ID],Vendedores[Setor])</f>
        <v>AHD</v>
      </c>
      <c r="D1652" s="7" t="s">
        <v>9</v>
      </c>
      <c r="E1652" t="str">
        <f>_xlfn.XLOOKUP(Vendas[[#This Row],[ID Item Vendido]],Agregado[ID],Agregado[Produto])</f>
        <v>Barra de aço simples</v>
      </c>
      <c r="F1652" s="39">
        <v>44681</v>
      </c>
      <c r="G1652" s="7">
        <v>136</v>
      </c>
      <c r="H1652" s="3">
        <f>_xlfn.XLOOKUP(Vendas[[#This Row],[ID Item Vendido]],Agregado[ID],Agregado[Revenda])</f>
        <v>6.7</v>
      </c>
      <c r="I1652" s="3">
        <f>Vendas[[#This Row],[Valor Unitário]]*Vendas[[#This Row],[Qnt Vendida]]</f>
        <v>911.2</v>
      </c>
      <c r="J1652" s="3">
        <f>Vendas[[#This Row],[Valor da Venda]]-(_xlfn.XLOOKUP(Vendas[[#This Row],[ID Item Vendido]],Agregado[ID],Agregado[Custo])*Vendas[[#This Row],[Qnt Vendida]])</f>
        <v>122.40000000000009</v>
      </c>
      <c r="K1652" s="70">
        <f>Vendas[[#This Row],[Lucro da Venda]]/Vendas[[#This Row],[Valor da Venda]]</f>
        <v>0.13432835820895531</v>
      </c>
      <c r="L1652" s="3">
        <f>_xlfn.IFS(Vendas[[#This Row],[Margem de Lucro (%)]]&lt;15%,Vendas[[#This Row],[Valor da Venda]]*3%,Vendas[[#This Row],[Margem de Lucro (%)]]&lt;=20%,Vendas[[#This Row],[Valor da Venda]]*4.5%,TRUE,Vendas[[#This Row],[Valor da Venda]]*6%)</f>
        <v>27.336000000000002</v>
      </c>
      <c r="M1652"/>
    </row>
    <row r="1653" spans="1:13" x14ac:dyDescent="0.3">
      <c r="A1653" s="7">
        <v>400241</v>
      </c>
      <c r="B1653" t="str">
        <f>_xlfn.XLOOKUP(Vendas[[#This Row],[ID Vendedor]],Vendedores[ID],Vendedores[Nome])</f>
        <v>Rodrigo</v>
      </c>
      <c r="C1653" s="7" t="str">
        <f>_xlfn.XLOOKUP(Vendas[[#This Row],[ID Vendedor]],Vendedores[ID],Vendedores[Setor])</f>
        <v>FM</v>
      </c>
      <c r="D1653" s="7" t="s">
        <v>6</v>
      </c>
      <c r="E1653" t="str">
        <f>_xlfn.XLOOKUP(Vendas[[#This Row],[ID Item Vendido]],Agregado[ID],Agregado[Produto])</f>
        <v>Parafuso comum 500un</v>
      </c>
      <c r="F1653" s="39">
        <v>44681</v>
      </c>
      <c r="G1653" s="7">
        <v>21</v>
      </c>
      <c r="H1653" s="3">
        <f>_xlfn.XLOOKUP(Vendas[[#This Row],[ID Item Vendido]],Agregado[ID],Agregado[Revenda])</f>
        <v>24.6</v>
      </c>
      <c r="I1653" s="3">
        <f>Vendas[[#This Row],[Valor Unitário]]*Vendas[[#This Row],[Qnt Vendida]]</f>
        <v>516.6</v>
      </c>
      <c r="J1653" s="3">
        <f>Vendas[[#This Row],[Valor da Venda]]-(_xlfn.XLOOKUP(Vendas[[#This Row],[ID Item Vendido]],Agregado[ID],Agregado[Custo])*Vendas[[#This Row],[Qnt Vendida]])</f>
        <v>54.600000000000023</v>
      </c>
      <c r="K1653" s="70">
        <f>Vendas[[#This Row],[Lucro da Venda]]/Vendas[[#This Row],[Valor da Venda]]</f>
        <v>0.10569105691056914</v>
      </c>
      <c r="L1653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1653"/>
    </row>
    <row r="1654" spans="1:13" x14ac:dyDescent="0.3">
      <c r="A1654" s="7">
        <v>400255</v>
      </c>
      <c r="B1654" t="str">
        <f>_xlfn.XLOOKUP(Vendas[[#This Row],[ID Vendedor]],Vendedores[ID],Vendedores[Nome])</f>
        <v>Carlos</v>
      </c>
      <c r="C1654" s="7" t="str">
        <f>_xlfn.XLOOKUP(Vendas[[#This Row],[ID Vendedor]],Vendedores[ID],Vendedores[Setor])</f>
        <v>SC</v>
      </c>
      <c r="D1654" s="7" t="s">
        <v>42</v>
      </c>
      <c r="E1654" t="str">
        <f>_xlfn.XLOOKUP(Vendas[[#This Row],[ID Item Vendido]],Agregado[ID],Agregado[Produto])</f>
        <v>Container de ferro industrial</v>
      </c>
      <c r="F1654" s="39">
        <v>44682</v>
      </c>
      <c r="G1654" s="7">
        <v>4</v>
      </c>
      <c r="H1654" s="3">
        <f>_xlfn.XLOOKUP(Vendas[[#This Row],[ID Item Vendido]],Agregado[ID],Agregado[Revenda])</f>
        <v>830</v>
      </c>
      <c r="I1654" s="3">
        <f>Vendas[[#This Row],[Valor Unitário]]*Vendas[[#This Row],[Qnt Vendida]]</f>
        <v>3320</v>
      </c>
      <c r="J1654" s="3">
        <f>Vendas[[#This Row],[Valor da Venda]]-(_xlfn.XLOOKUP(Vendas[[#This Row],[ID Item Vendido]],Agregado[ID],Agregado[Custo])*Vendas[[#This Row],[Qnt Vendida]])</f>
        <v>600</v>
      </c>
      <c r="K1654" s="70">
        <f>Vendas[[#This Row],[Lucro da Venda]]/Vendas[[#This Row],[Valor da Venda]]</f>
        <v>0.18072289156626506</v>
      </c>
      <c r="L1654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1654"/>
    </row>
    <row r="1655" spans="1:13" x14ac:dyDescent="0.3">
      <c r="A1655" s="7">
        <v>400251</v>
      </c>
      <c r="B1655" t="str">
        <f>_xlfn.XLOOKUP(Vendas[[#This Row],[ID Vendedor]],Vendedores[ID],Vendedores[Nome])</f>
        <v>Diego</v>
      </c>
      <c r="C1655" s="7" t="str">
        <f>_xlfn.XLOOKUP(Vendas[[#This Row],[ID Vendedor]],Vendedores[ID],Vendedores[Setor])</f>
        <v>AB</v>
      </c>
      <c r="D1655" s="7" t="s">
        <v>24</v>
      </c>
      <c r="E1655" t="str">
        <f>_xlfn.XLOOKUP(Vendas[[#This Row],[ID Item Vendido]],Agregado[ID],Agregado[Produto])</f>
        <v>Resina plástica PET purificada saco de 25kg</v>
      </c>
      <c r="F1655" s="39">
        <v>44682</v>
      </c>
      <c r="G1655" s="7">
        <v>26</v>
      </c>
      <c r="H1655" s="3">
        <f>_xlfn.XLOOKUP(Vendas[[#This Row],[ID Item Vendido]],Agregado[ID],Agregado[Revenda])</f>
        <v>119</v>
      </c>
      <c r="I1655" s="3">
        <f>Vendas[[#This Row],[Valor Unitário]]*Vendas[[#This Row],[Qnt Vendida]]</f>
        <v>3094</v>
      </c>
      <c r="J1655" s="3">
        <f>Vendas[[#This Row],[Valor da Venda]]-(_xlfn.XLOOKUP(Vendas[[#This Row],[ID Item Vendido]],Agregado[ID],Agregado[Custo])*Vendas[[#This Row],[Qnt Vendida]])</f>
        <v>884</v>
      </c>
      <c r="K1655" s="70">
        <f>Vendas[[#This Row],[Lucro da Venda]]/Vendas[[#This Row],[Valor da Venda]]</f>
        <v>0.2857142857142857</v>
      </c>
      <c r="L1655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1655"/>
    </row>
    <row r="1656" spans="1:13" x14ac:dyDescent="0.3">
      <c r="A1656" s="7">
        <v>400255</v>
      </c>
      <c r="B1656" t="str">
        <f>_xlfn.XLOOKUP(Vendas[[#This Row],[ID Vendedor]],Vendedores[ID],Vendedores[Nome])</f>
        <v>Carlos</v>
      </c>
      <c r="C1656" s="7" t="str">
        <f>_xlfn.XLOOKUP(Vendas[[#This Row],[ID Vendedor]],Vendedores[ID],Vendedores[Setor])</f>
        <v>SC</v>
      </c>
      <c r="D1656" s="7" t="s">
        <v>42</v>
      </c>
      <c r="E1656" t="str">
        <f>_xlfn.XLOOKUP(Vendas[[#This Row],[ID Item Vendido]],Agregado[ID],Agregado[Produto])</f>
        <v>Container de ferro industrial</v>
      </c>
      <c r="F1656" s="39">
        <v>44682</v>
      </c>
      <c r="G1656" s="7">
        <v>2</v>
      </c>
      <c r="H1656" s="3">
        <f>_xlfn.XLOOKUP(Vendas[[#This Row],[ID Item Vendido]],Agregado[ID],Agregado[Revenda])</f>
        <v>830</v>
      </c>
      <c r="I1656" s="3">
        <f>Vendas[[#This Row],[Valor Unitário]]*Vendas[[#This Row],[Qnt Vendida]]</f>
        <v>1660</v>
      </c>
      <c r="J1656" s="3">
        <f>Vendas[[#This Row],[Valor da Venda]]-(_xlfn.XLOOKUP(Vendas[[#This Row],[ID Item Vendido]],Agregado[ID],Agregado[Custo])*Vendas[[#This Row],[Qnt Vendida]])</f>
        <v>300</v>
      </c>
      <c r="K1656" s="70">
        <f>Vendas[[#This Row],[Lucro da Venda]]/Vendas[[#This Row],[Valor da Venda]]</f>
        <v>0.18072289156626506</v>
      </c>
      <c r="L1656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656"/>
    </row>
    <row r="1657" spans="1:13" x14ac:dyDescent="0.3">
      <c r="A1657" s="7">
        <v>400250</v>
      </c>
      <c r="B1657" t="str">
        <f>_xlfn.XLOOKUP(Vendas[[#This Row],[ID Vendedor]],Vendedores[ID],Vendedores[Nome])</f>
        <v>Larissa</v>
      </c>
      <c r="C1657" s="7" t="str">
        <f>_xlfn.XLOOKUP(Vendas[[#This Row],[ID Vendedor]],Vendedores[ID],Vendedores[Setor])</f>
        <v>AB</v>
      </c>
      <c r="D1657" s="7" t="s">
        <v>36</v>
      </c>
      <c r="E1657" t="str">
        <f>_xlfn.XLOOKUP(Vendas[[#This Row],[ID Item Vendido]],Agregado[ID],Agregado[Produto])</f>
        <v>Borracha vulcanizada em manta</v>
      </c>
      <c r="F1657" s="39">
        <v>44683</v>
      </c>
      <c r="G1657" s="7">
        <v>9</v>
      </c>
      <c r="H1657" s="3">
        <f>_xlfn.XLOOKUP(Vendas[[#This Row],[ID Item Vendido]],Agregado[ID],Agregado[Revenda])</f>
        <v>7.8</v>
      </c>
      <c r="I1657" s="3">
        <f>Vendas[[#This Row],[Valor Unitário]]*Vendas[[#This Row],[Qnt Vendida]]</f>
        <v>70.2</v>
      </c>
      <c r="J1657" s="3">
        <f>Vendas[[#This Row],[Valor da Venda]]-(_xlfn.XLOOKUP(Vendas[[#This Row],[ID Item Vendido]],Agregado[ID],Agregado[Custo])*Vendas[[#This Row],[Qnt Vendida]])</f>
        <v>16.200000000000003</v>
      </c>
      <c r="K1657" s="70">
        <f>Vendas[[#This Row],[Lucro da Venda]]/Vendas[[#This Row],[Valor da Venda]]</f>
        <v>0.23076923076923081</v>
      </c>
      <c r="L1657" s="3">
        <f>_xlfn.IFS(Vendas[[#This Row],[Margem de Lucro (%)]]&lt;15%,Vendas[[#This Row],[Valor da Venda]]*3%,Vendas[[#This Row],[Margem de Lucro (%)]]&lt;=20%,Vendas[[#This Row],[Valor da Venda]]*4.5%,TRUE,Vendas[[#This Row],[Valor da Venda]]*6%)</f>
        <v>4.2119999999999997</v>
      </c>
      <c r="M1657"/>
    </row>
    <row r="1658" spans="1:13" x14ac:dyDescent="0.3">
      <c r="A1658" s="7">
        <v>400245</v>
      </c>
      <c r="B1658" t="str">
        <f>_xlfn.XLOOKUP(Vendas[[#This Row],[ID Vendedor]],Vendedores[ID],Vendedores[Nome])</f>
        <v>Thiago</v>
      </c>
      <c r="C1658" s="7" t="str">
        <f>_xlfn.XLOOKUP(Vendas[[#This Row],[ID Vendedor]],Vendedores[ID],Vendedores[Setor])</f>
        <v>AHD</v>
      </c>
      <c r="D1658" s="7" t="s">
        <v>44</v>
      </c>
      <c r="E1658" t="str">
        <f>_xlfn.XLOOKUP(Vendas[[#This Row],[ID Item Vendido]],Agregado[ID],Agregado[Produto])</f>
        <v>Liga metálica especial</v>
      </c>
      <c r="F1658" s="39">
        <v>44684</v>
      </c>
      <c r="G1658" s="7">
        <v>57</v>
      </c>
      <c r="H1658" s="3">
        <f>_xlfn.XLOOKUP(Vendas[[#This Row],[ID Item Vendido]],Agregado[ID],Agregado[Revenda])</f>
        <v>32.5</v>
      </c>
      <c r="I1658" s="3">
        <f>Vendas[[#This Row],[Valor Unitário]]*Vendas[[#This Row],[Qnt Vendida]]</f>
        <v>1852.5</v>
      </c>
      <c r="J1658" s="3">
        <f>Vendas[[#This Row],[Valor da Venda]]-(_xlfn.XLOOKUP(Vendas[[#This Row],[ID Item Vendido]],Agregado[ID],Agregado[Custo])*Vendas[[#This Row],[Qnt Vendida]])</f>
        <v>427.5</v>
      </c>
      <c r="K1658" s="70">
        <f>Vendas[[#This Row],[Lucro da Venda]]/Vendas[[#This Row],[Valor da Venda]]</f>
        <v>0.23076923076923078</v>
      </c>
      <c r="L1658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1658"/>
    </row>
    <row r="1659" spans="1:13" x14ac:dyDescent="0.3">
      <c r="A1659" s="7">
        <v>400248</v>
      </c>
      <c r="B1659" t="str">
        <f>_xlfn.XLOOKUP(Vendas[[#This Row],[ID Vendedor]],Vendedores[ID],Vendedores[Nome])</f>
        <v>Patrícia</v>
      </c>
      <c r="C1659" s="7" t="str">
        <f>_xlfn.XLOOKUP(Vendas[[#This Row],[ID Vendedor]],Vendedores[ID],Vendedores[Setor])</f>
        <v>CM</v>
      </c>
      <c r="D1659" s="7" t="s">
        <v>22</v>
      </c>
      <c r="E1659" t="str">
        <f>_xlfn.XLOOKUP(Vendas[[#This Row],[ID Item Vendido]],Agregado[ID],Agregado[Produto])</f>
        <v>Painel MDP 2,75x1,83m</v>
      </c>
      <c r="F1659" s="39">
        <v>44684</v>
      </c>
      <c r="G1659" s="7">
        <v>5</v>
      </c>
      <c r="H1659" s="3">
        <f>_xlfn.XLOOKUP(Vendas[[#This Row],[ID Item Vendido]],Agregado[ID],Agregado[Revenda])</f>
        <v>119</v>
      </c>
      <c r="I1659" s="3">
        <f>Vendas[[#This Row],[Valor Unitário]]*Vendas[[#This Row],[Qnt Vendida]]</f>
        <v>595</v>
      </c>
      <c r="J1659" s="3">
        <f>Vendas[[#This Row],[Valor da Venda]]-(_xlfn.XLOOKUP(Vendas[[#This Row],[ID Item Vendido]],Agregado[ID],Agregado[Custo])*Vendas[[#This Row],[Qnt Vendida]])</f>
        <v>120</v>
      </c>
      <c r="K1659" s="70">
        <f>Vendas[[#This Row],[Lucro da Venda]]/Vendas[[#This Row],[Valor da Venda]]</f>
        <v>0.20168067226890757</v>
      </c>
      <c r="L1659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1659"/>
    </row>
    <row r="1660" spans="1:13" x14ac:dyDescent="0.3">
      <c r="A1660" s="7">
        <v>400248</v>
      </c>
      <c r="B1660" t="str">
        <f>_xlfn.XLOOKUP(Vendas[[#This Row],[ID Vendedor]],Vendedores[ID],Vendedores[Nome])</f>
        <v>Patrícia</v>
      </c>
      <c r="C1660" s="7" t="str">
        <f>_xlfn.XLOOKUP(Vendas[[#This Row],[ID Vendedor]],Vendedores[ID],Vendedores[Setor])</f>
        <v>CM</v>
      </c>
      <c r="D1660" s="7" t="s">
        <v>22</v>
      </c>
      <c r="E1660" t="str">
        <f>_xlfn.XLOOKUP(Vendas[[#This Row],[ID Item Vendido]],Agregado[ID],Agregado[Produto])</f>
        <v>Painel MDP 2,75x1,83m</v>
      </c>
      <c r="F1660" s="39">
        <v>44685</v>
      </c>
      <c r="G1660" s="7">
        <v>8</v>
      </c>
      <c r="H1660" s="3">
        <f>_xlfn.XLOOKUP(Vendas[[#This Row],[ID Item Vendido]],Agregado[ID],Agregado[Revenda])</f>
        <v>119</v>
      </c>
      <c r="I1660" s="3">
        <f>Vendas[[#This Row],[Valor Unitário]]*Vendas[[#This Row],[Qnt Vendida]]</f>
        <v>952</v>
      </c>
      <c r="J1660" s="3">
        <f>Vendas[[#This Row],[Valor da Venda]]-(_xlfn.XLOOKUP(Vendas[[#This Row],[ID Item Vendido]],Agregado[ID],Agregado[Custo])*Vendas[[#This Row],[Qnt Vendida]])</f>
        <v>192</v>
      </c>
      <c r="K1660" s="70">
        <f>Vendas[[#This Row],[Lucro da Venda]]/Vendas[[#This Row],[Valor da Venda]]</f>
        <v>0.20168067226890757</v>
      </c>
      <c r="L1660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660"/>
    </row>
    <row r="1661" spans="1:13" x14ac:dyDescent="0.3">
      <c r="A1661" s="7">
        <v>400244</v>
      </c>
      <c r="B1661" t="str">
        <f>_xlfn.XLOOKUP(Vendas[[#This Row],[ID Vendedor]],Vendedores[ID],Vendedores[Nome])</f>
        <v>Camila</v>
      </c>
      <c r="C1661" s="7" t="str">
        <f>_xlfn.XLOOKUP(Vendas[[#This Row],[ID Vendedor]],Vendedores[ID],Vendedores[Setor])</f>
        <v>AHD</v>
      </c>
      <c r="D1661" s="7" t="s">
        <v>44</v>
      </c>
      <c r="E1661" t="str">
        <f>_xlfn.XLOOKUP(Vendas[[#This Row],[ID Item Vendido]],Agregado[ID],Agregado[Produto])</f>
        <v>Liga metálica especial</v>
      </c>
      <c r="F1661" s="39">
        <v>44685</v>
      </c>
      <c r="G1661" s="7">
        <v>15</v>
      </c>
      <c r="H1661" s="3">
        <f>_xlfn.XLOOKUP(Vendas[[#This Row],[ID Item Vendido]],Agregado[ID],Agregado[Revenda])</f>
        <v>32.5</v>
      </c>
      <c r="I1661" s="3">
        <f>Vendas[[#This Row],[Valor Unitário]]*Vendas[[#This Row],[Qnt Vendida]]</f>
        <v>487.5</v>
      </c>
      <c r="J1661" s="3">
        <f>Vendas[[#This Row],[Valor da Venda]]-(_xlfn.XLOOKUP(Vendas[[#This Row],[ID Item Vendido]],Agregado[ID],Agregado[Custo])*Vendas[[#This Row],[Qnt Vendida]])</f>
        <v>112.5</v>
      </c>
      <c r="K1661" s="70">
        <f>Vendas[[#This Row],[Lucro da Venda]]/Vendas[[#This Row],[Valor da Venda]]</f>
        <v>0.23076923076923078</v>
      </c>
      <c r="L1661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1661"/>
    </row>
    <row r="1662" spans="1:13" x14ac:dyDescent="0.3">
      <c r="A1662" s="7">
        <v>400248</v>
      </c>
      <c r="B1662" t="str">
        <f>_xlfn.XLOOKUP(Vendas[[#This Row],[ID Vendedor]],Vendedores[ID],Vendedores[Nome])</f>
        <v>Patrícia</v>
      </c>
      <c r="C1662" s="7" t="str">
        <f>_xlfn.XLOOKUP(Vendas[[#This Row],[ID Vendedor]],Vendedores[ID],Vendedores[Setor])</f>
        <v>CM</v>
      </c>
      <c r="D1662" s="7" t="s">
        <v>32</v>
      </c>
      <c r="E1662" t="str">
        <f>_xlfn.XLOOKUP(Vendas[[#This Row],[ID Item Vendido]],Agregado[ID],Agregado[Produto])</f>
        <v>Tábua tratada e cortada 3m</v>
      </c>
      <c r="F1662" s="39">
        <v>44686</v>
      </c>
      <c r="G1662" s="7">
        <v>20</v>
      </c>
      <c r="H1662" s="3">
        <f>_xlfn.XLOOKUP(Vendas[[#This Row],[ID Item Vendido]],Agregado[ID],Agregado[Revenda])</f>
        <v>39</v>
      </c>
      <c r="I1662" s="3">
        <f>Vendas[[#This Row],[Valor Unitário]]*Vendas[[#This Row],[Qnt Vendida]]</f>
        <v>780</v>
      </c>
      <c r="J1662" s="3">
        <f>Vendas[[#This Row],[Valor da Venda]]-(_xlfn.XLOOKUP(Vendas[[#This Row],[ID Item Vendido]],Agregado[ID],Agregado[Custo])*Vendas[[#This Row],[Qnt Vendida]])</f>
        <v>140</v>
      </c>
      <c r="K1662" s="70">
        <f>Vendas[[#This Row],[Lucro da Venda]]/Vendas[[#This Row],[Valor da Venda]]</f>
        <v>0.17948717948717949</v>
      </c>
      <c r="L1662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1662"/>
    </row>
    <row r="1663" spans="1:13" x14ac:dyDescent="0.3">
      <c r="A1663" s="7">
        <v>400249</v>
      </c>
      <c r="B1663" t="str">
        <f>_xlfn.XLOOKUP(Vendas[[#This Row],[ID Vendedor]],Vendedores[ID],Vendedores[Nome])</f>
        <v>Bruno</v>
      </c>
      <c r="C1663" s="7" t="str">
        <f>_xlfn.XLOOKUP(Vendas[[#This Row],[ID Vendedor]],Vendedores[ID],Vendedores[Setor])</f>
        <v>CM</v>
      </c>
      <c r="D1663" s="7" t="s">
        <v>32</v>
      </c>
      <c r="E1663" t="str">
        <f>_xlfn.XLOOKUP(Vendas[[#This Row],[ID Item Vendido]],Agregado[ID],Agregado[Produto])</f>
        <v>Tábua tratada e cortada 3m</v>
      </c>
      <c r="F1663" s="39">
        <v>44687</v>
      </c>
      <c r="G1663" s="7">
        <v>28</v>
      </c>
      <c r="H1663" s="3">
        <f>_xlfn.XLOOKUP(Vendas[[#This Row],[ID Item Vendido]],Agregado[ID],Agregado[Revenda])</f>
        <v>39</v>
      </c>
      <c r="I1663" s="3">
        <f>Vendas[[#This Row],[Valor Unitário]]*Vendas[[#This Row],[Qnt Vendida]]</f>
        <v>1092</v>
      </c>
      <c r="J1663" s="3">
        <f>Vendas[[#This Row],[Valor da Venda]]-(_xlfn.XLOOKUP(Vendas[[#This Row],[ID Item Vendido]],Agregado[ID],Agregado[Custo])*Vendas[[#This Row],[Qnt Vendida]])</f>
        <v>196</v>
      </c>
      <c r="K1663" s="70">
        <f>Vendas[[#This Row],[Lucro da Venda]]/Vendas[[#This Row],[Valor da Venda]]</f>
        <v>0.17948717948717949</v>
      </c>
      <c r="L1663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1663"/>
    </row>
    <row r="1664" spans="1:13" x14ac:dyDescent="0.3">
      <c r="A1664" s="7">
        <v>400250</v>
      </c>
      <c r="B1664" t="str">
        <f>_xlfn.XLOOKUP(Vendas[[#This Row],[ID Vendedor]],Vendedores[ID],Vendedores[Nome])</f>
        <v>Larissa</v>
      </c>
      <c r="C1664" s="7" t="str">
        <f>_xlfn.XLOOKUP(Vendas[[#This Row],[ID Vendedor]],Vendedores[ID],Vendedores[Setor])</f>
        <v>AB</v>
      </c>
      <c r="D1664" s="7" t="s">
        <v>39</v>
      </c>
      <c r="E1664" t="str">
        <f>_xlfn.XLOOKUP(Vendas[[#This Row],[ID Item Vendido]],Agregado[ID],Agregado[Produto])</f>
        <v>Filme plástico industrial rolo 50m</v>
      </c>
      <c r="F1664" s="39">
        <v>44687</v>
      </c>
      <c r="G1664" s="7">
        <v>23</v>
      </c>
      <c r="H1664" s="3">
        <f>_xlfn.XLOOKUP(Vendas[[#This Row],[ID Item Vendido]],Agregado[ID],Agregado[Revenda])</f>
        <v>37</v>
      </c>
      <c r="I1664" s="3">
        <f>Vendas[[#This Row],[Valor Unitário]]*Vendas[[#This Row],[Qnt Vendida]]</f>
        <v>851</v>
      </c>
      <c r="J1664" s="3">
        <f>Vendas[[#This Row],[Valor da Venda]]-(_xlfn.XLOOKUP(Vendas[[#This Row],[ID Item Vendido]],Agregado[ID],Agregado[Custo])*Vendas[[#This Row],[Qnt Vendida]])</f>
        <v>207</v>
      </c>
      <c r="K1664" s="70">
        <f>Vendas[[#This Row],[Lucro da Venda]]/Vendas[[#This Row],[Valor da Venda]]</f>
        <v>0.24324324324324326</v>
      </c>
      <c r="L1664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1664"/>
    </row>
    <row r="1665" spans="1:13" x14ac:dyDescent="0.3">
      <c r="A1665" s="7">
        <v>400244</v>
      </c>
      <c r="B1665" t="str">
        <f>_xlfn.XLOOKUP(Vendas[[#This Row],[ID Vendedor]],Vendedores[ID],Vendedores[Nome])</f>
        <v>Camila</v>
      </c>
      <c r="C1665" s="7" t="str">
        <f>_xlfn.XLOOKUP(Vendas[[#This Row],[ID Vendedor]],Vendedores[ID],Vendedores[Setor])</f>
        <v>AHD</v>
      </c>
      <c r="D1665" s="7" t="s">
        <v>9</v>
      </c>
      <c r="E1665" t="str">
        <f>_xlfn.XLOOKUP(Vendas[[#This Row],[ID Item Vendido]],Agregado[ID],Agregado[Produto])</f>
        <v>Barra de aço simples</v>
      </c>
      <c r="F1665" s="39">
        <v>44687</v>
      </c>
      <c r="G1665" s="7">
        <v>90</v>
      </c>
      <c r="H1665" s="3">
        <f>_xlfn.XLOOKUP(Vendas[[#This Row],[ID Item Vendido]],Agregado[ID],Agregado[Revenda])</f>
        <v>6.7</v>
      </c>
      <c r="I1665" s="3">
        <f>Vendas[[#This Row],[Valor Unitário]]*Vendas[[#This Row],[Qnt Vendida]]</f>
        <v>603</v>
      </c>
      <c r="J1665" s="3">
        <f>Vendas[[#This Row],[Valor da Venda]]-(_xlfn.XLOOKUP(Vendas[[#This Row],[ID Item Vendido]],Agregado[ID],Agregado[Custo])*Vendas[[#This Row],[Qnt Vendida]])</f>
        <v>81</v>
      </c>
      <c r="K1665" s="70">
        <f>Vendas[[#This Row],[Lucro da Venda]]/Vendas[[#This Row],[Valor da Venda]]</f>
        <v>0.13432835820895522</v>
      </c>
      <c r="L1665" s="3">
        <f>_xlfn.IFS(Vendas[[#This Row],[Margem de Lucro (%)]]&lt;15%,Vendas[[#This Row],[Valor da Venda]]*3%,Vendas[[#This Row],[Margem de Lucro (%)]]&lt;=20%,Vendas[[#This Row],[Valor da Venda]]*4.5%,TRUE,Vendas[[#This Row],[Valor da Venda]]*6%)</f>
        <v>18.09</v>
      </c>
      <c r="M1665"/>
    </row>
    <row r="1666" spans="1:13" x14ac:dyDescent="0.3">
      <c r="A1666" s="7">
        <v>400247</v>
      </c>
      <c r="B1666" t="str">
        <f>_xlfn.XLOOKUP(Vendas[[#This Row],[ID Vendedor]],Vendedores[ID],Vendedores[Nome])</f>
        <v>André</v>
      </c>
      <c r="C1666" s="7" t="str">
        <f>_xlfn.XLOOKUP(Vendas[[#This Row],[ID Vendedor]],Vendedores[ID],Vendedores[Setor])</f>
        <v>CM</v>
      </c>
      <c r="D1666" s="7" t="s">
        <v>32</v>
      </c>
      <c r="E1666" t="str">
        <f>_xlfn.XLOOKUP(Vendas[[#This Row],[ID Item Vendido]],Agregado[ID],Agregado[Produto])</f>
        <v>Tábua tratada e cortada 3m</v>
      </c>
      <c r="F1666" s="39">
        <v>44687</v>
      </c>
      <c r="G1666" s="7">
        <v>6</v>
      </c>
      <c r="H1666" s="3">
        <f>_xlfn.XLOOKUP(Vendas[[#This Row],[ID Item Vendido]],Agregado[ID],Agregado[Revenda])</f>
        <v>39</v>
      </c>
      <c r="I1666" s="3">
        <f>Vendas[[#This Row],[Valor Unitário]]*Vendas[[#This Row],[Qnt Vendida]]</f>
        <v>234</v>
      </c>
      <c r="J1666" s="3">
        <f>Vendas[[#This Row],[Valor da Venda]]-(_xlfn.XLOOKUP(Vendas[[#This Row],[ID Item Vendido]],Agregado[ID],Agregado[Custo])*Vendas[[#This Row],[Qnt Vendida]])</f>
        <v>42</v>
      </c>
      <c r="K1666" s="70">
        <f>Vendas[[#This Row],[Lucro da Venda]]/Vendas[[#This Row],[Valor da Venda]]</f>
        <v>0.17948717948717949</v>
      </c>
      <c r="L1666" s="3">
        <f>_xlfn.IFS(Vendas[[#This Row],[Margem de Lucro (%)]]&lt;15%,Vendas[[#This Row],[Valor da Venda]]*3%,Vendas[[#This Row],[Margem de Lucro (%)]]&lt;=20%,Vendas[[#This Row],[Valor da Venda]]*4.5%,TRUE,Vendas[[#This Row],[Valor da Venda]]*6%)</f>
        <v>10.53</v>
      </c>
      <c r="M1666"/>
    </row>
    <row r="1667" spans="1:13" x14ac:dyDescent="0.3">
      <c r="A1667" s="7">
        <v>400243</v>
      </c>
      <c r="B1667" t="str">
        <f>_xlfn.XLOOKUP(Vendas[[#This Row],[ID Vendedor]],Vendedores[ID],Vendedores[Nome])</f>
        <v>Marcelo</v>
      </c>
      <c r="C1667" s="7" t="str">
        <f>_xlfn.XLOOKUP(Vendas[[#This Row],[ID Vendedor]],Vendedores[ID],Vendedores[Setor])</f>
        <v>FM</v>
      </c>
      <c r="D1667" s="7" t="s">
        <v>27</v>
      </c>
      <c r="E1667" t="str">
        <f>_xlfn.XLOOKUP(Vendas[[#This Row],[ID Item Vendido]],Agregado[ID],Agregado[Produto])</f>
        <v>Chapa de metal lisa 1x2m</v>
      </c>
      <c r="F1667" s="39">
        <v>44688</v>
      </c>
      <c r="G1667" s="7">
        <v>9</v>
      </c>
      <c r="H1667" s="3">
        <f>_xlfn.XLOOKUP(Vendas[[#This Row],[ID Item Vendido]],Agregado[ID],Agregado[Revenda])</f>
        <v>52</v>
      </c>
      <c r="I1667" s="3">
        <f>Vendas[[#This Row],[Valor Unitário]]*Vendas[[#This Row],[Qnt Vendida]]</f>
        <v>468</v>
      </c>
      <c r="J1667" s="3">
        <f>Vendas[[#This Row],[Valor da Venda]]-(_xlfn.XLOOKUP(Vendas[[#This Row],[ID Item Vendido]],Agregado[ID],Agregado[Custo])*Vendas[[#This Row],[Qnt Vendida]])</f>
        <v>63</v>
      </c>
      <c r="K1667" s="70">
        <f>Vendas[[#This Row],[Lucro da Venda]]/Vendas[[#This Row],[Valor da Venda]]</f>
        <v>0.13461538461538461</v>
      </c>
      <c r="L1667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667"/>
    </row>
    <row r="1668" spans="1:13" x14ac:dyDescent="0.3">
      <c r="A1668" s="7">
        <v>400248</v>
      </c>
      <c r="B1668" t="str">
        <f>_xlfn.XLOOKUP(Vendas[[#This Row],[ID Vendedor]],Vendedores[ID],Vendedores[Nome])</f>
        <v>Patrícia</v>
      </c>
      <c r="C1668" s="7" t="str">
        <f>_xlfn.XLOOKUP(Vendas[[#This Row],[ID Vendedor]],Vendedores[ID],Vendedores[Setor])</f>
        <v>CM</v>
      </c>
      <c r="D1668" s="7" t="s">
        <v>43</v>
      </c>
      <c r="E1668" t="str">
        <f>_xlfn.XLOOKUP(Vendas[[#This Row],[ID Item Vendido]],Agregado[ID],Agregado[Produto])</f>
        <v>Madeira Bruta (Tora)</v>
      </c>
      <c r="F1668" s="39">
        <v>44689</v>
      </c>
      <c r="G1668" s="7">
        <v>15</v>
      </c>
      <c r="H1668" s="3">
        <f>_xlfn.XLOOKUP(Vendas[[#This Row],[ID Item Vendido]],Agregado[ID],Agregado[Revenda])</f>
        <v>212</v>
      </c>
      <c r="I1668" s="3">
        <f>Vendas[[#This Row],[Valor Unitário]]*Vendas[[#This Row],[Qnt Vendida]]</f>
        <v>3180</v>
      </c>
      <c r="J1668" s="3">
        <f>Vendas[[#This Row],[Valor da Venda]]-(_xlfn.XLOOKUP(Vendas[[#This Row],[ID Item Vendido]],Agregado[ID],Agregado[Custo])*Vendas[[#This Row],[Qnt Vendida]])</f>
        <v>480</v>
      </c>
      <c r="K1668" s="70">
        <f>Vendas[[#This Row],[Lucro da Venda]]/Vendas[[#This Row],[Valor da Venda]]</f>
        <v>0.15094339622641509</v>
      </c>
      <c r="L1668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1668"/>
    </row>
    <row r="1669" spans="1:13" x14ac:dyDescent="0.3">
      <c r="A1669" s="7">
        <v>400253</v>
      </c>
      <c r="B1669" t="str">
        <f>_xlfn.XLOOKUP(Vendas[[#This Row],[ID Vendedor]],Vendedores[ID],Vendedores[Nome])</f>
        <v>Gustavo</v>
      </c>
      <c r="C1669" s="7" t="str">
        <f>_xlfn.XLOOKUP(Vendas[[#This Row],[ID Vendedor]],Vendedores[ID],Vendedores[Setor])</f>
        <v>SC</v>
      </c>
      <c r="D1669" s="7" t="s">
        <v>41</v>
      </c>
      <c r="E1669" t="str">
        <f>_xlfn.XLOOKUP(Vendas[[#This Row],[ID Item Vendido]],Agregado[ID],Agregado[Produto])</f>
        <v>Palete de madeira reforçado</v>
      </c>
      <c r="F1669" s="39">
        <v>44689</v>
      </c>
      <c r="G1669" s="7">
        <v>7</v>
      </c>
      <c r="H1669" s="3">
        <f>_xlfn.XLOOKUP(Vendas[[#This Row],[ID Item Vendido]],Agregado[ID],Agregado[Revenda])</f>
        <v>131</v>
      </c>
      <c r="I1669" s="3">
        <f>Vendas[[#This Row],[Valor Unitário]]*Vendas[[#This Row],[Qnt Vendida]]</f>
        <v>917</v>
      </c>
      <c r="J1669" s="3">
        <f>Vendas[[#This Row],[Valor da Venda]]-(_xlfn.XLOOKUP(Vendas[[#This Row],[ID Item Vendido]],Agregado[ID],Agregado[Custo])*Vendas[[#This Row],[Qnt Vendida]])</f>
        <v>147</v>
      </c>
      <c r="K1669" s="70">
        <f>Vendas[[#This Row],[Lucro da Venda]]/Vendas[[#This Row],[Valor da Venda]]</f>
        <v>0.16030534351145037</v>
      </c>
      <c r="L1669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1669"/>
    </row>
    <row r="1670" spans="1:13" x14ac:dyDescent="0.3">
      <c r="A1670" s="7">
        <v>400244</v>
      </c>
      <c r="B1670" t="str">
        <f>_xlfn.XLOOKUP(Vendas[[#This Row],[ID Vendedor]],Vendedores[ID],Vendedores[Nome])</f>
        <v>Camila</v>
      </c>
      <c r="C1670" s="7" t="str">
        <f>_xlfn.XLOOKUP(Vendas[[#This Row],[ID Vendedor]],Vendedores[ID],Vendedores[Setor])</f>
        <v>AHD</v>
      </c>
      <c r="D1670" s="7" t="s">
        <v>18</v>
      </c>
      <c r="E1670" t="str">
        <f>_xlfn.XLOOKUP(Vendas[[#This Row],[ID Item Vendido]],Agregado[ID],Agregado[Produto])</f>
        <v>Peça forjada sob encomenda</v>
      </c>
      <c r="F1670" s="39">
        <v>44689</v>
      </c>
      <c r="G1670" s="7">
        <v>2</v>
      </c>
      <c r="H1670" s="3">
        <f>_xlfn.XLOOKUP(Vendas[[#This Row],[ID Item Vendido]],Agregado[ID],Agregado[Revenda])</f>
        <v>264.60000000000002</v>
      </c>
      <c r="I1670" s="3">
        <f>Vendas[[#This Row],[Valor Unitário]]*Vendas[[#This Row],[Qnt Vendida]]</f>
        <v>529.20000000000005</v>
      </c>
      <c r="J1670" s="3">
        <f>Vendas[[#This Row],[Valor da Venda]]-(_xlfn.XLOOKUP(Vendas[[#This Row],[ID Item Vendido]],Agregado[ID],Agregado[Custo])*Vendas[[#This Row],[Qnt Vendida]])</f>
        <v>29.200000000000045</v>
      </c>
      <c r="K1670" s="70">
        <f>Vendas[[#This Row],[Lucro da Venda]]/Vendas[[#This Row],[Valor da Venda]]</f>
        <v>5.5177626606198113E-2</v>
      </c>
      <c r="L167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670"/>
    </row>
    <row r="1671" spans="1:13" x14ac:dyDescent="0.3">
      <c r="A1671" s="7">
        <v>400242</v>
      </c>
      <c r="B1671" t="str">
        <f>_xlfn.XLOOKUP(Vendas[[#This Row],[ID Vendedor]],Vendedores[ID],Vendedores[Nome])</f>
        <v>Fernanda</v>
      </c>
      <c r="C1671" s="7" t="str">
        <f>_xlfn.XLOOKUP(Vendas[[#This Row],[ID Vendedor]],Vendedores[ID],Vendedores[Setor])</f>
        <v>FM</v>
      </c>
      <c r="D1671" s="7" t="s">
        <v>47</v>
      </c>
      <c r="E1671" t="str">
        <f>_xlfn.XLOOKUP(Vendas[[#This Row],[ID Item Vendido]],Agregado[ID],Agregado[Produto])</f>
        <v>Fio de arame galvanizado rolo 50m</v>
      </c>
      <c r="F1671" s="39">
        <v>44689</v>
      </c>
      <c r="G1671" s="7">
        <v>5</v>
      </c>
      <c r="H1671" s="3">
        <f>_xlfn.XLOOKUP(Vendas[[#This Row],[ID Item Vendido]],Agregado[ID],Agregado[Revenda])</f>
        <v>21.2</v>
      </c>
      <c r="I1671" s="3">
        <f>Vendas[[#This Row],[Valor Unitário]]*Vendas[[#This Row],[Qnt Vendida]]</f>
        <v>106</v>
      </c>
      <c r="J1671" s="3">
        <f>Vendas[[#This Row],[Valor da Venda]]-(_xlfn.XLOOKUP(Vendas[[#This Row],[ID Item Vendido]],Agregado[ID],Agregado[Custo])*Vendas[[#This Row],[Qnt Vendida]])</f>
        <v>16</v>
      </c>
      <c r="K1671" s="70">
        <f>Vendas[[#This Row],[Lucro da Venda]]/Vendas[[#This Row],[Valor da Venda]]</f>
        <v>0.15094339622641509</v>
      </c>
      <c r="L1671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1671"/>
    </row>
    <row r="1672" spans="1:13" x14ac:dyDescent="0.3">
      <c r="A1672" s="7">
        <v>400242</v>
      </c>
      <c r="B1672" t="str">
        <f>_xlfn.XLOOKUP(Vendas[[#This Row],[ID Vendedor]],Vendedores[ID],Vendedores[Nome])</f>
        <v>Fernanda</v>
      </c>
      <c r="C1672" s="7" t="str">
        <f>_xlfn.XLOOKUP(Vendas[[#This Row],[ID Vendedor]],Vendedores[ID],Vendedores[Setor])</f>
        <v>FM</v>
      </c>
      <c r="D1672" s="7" t="s">
        <v>31</v>
      </c>
      <c r="E1672" t="str">
        <f>_xlfn.XLOOKUP(Vendas[[#This Row],[ID Item Vendido]],Agregado[ID],Agregado[Produto])</f>
        <v>Tela de metal soldada rolo 2x25m</v>
      </c>
      <c r="F1672" s="39">
        <v>44690</v>
      </c>
      <c r="G1672" s="7">
        <v>17</v>
      </c>
      <c r="H1672" s="3">
        <f>_xlfn.XLOOKUP(Vendas[[#This Row],[ID Item Vendido]],Agregado[ID],Agregado[Revenda])</f>
        <v>43.7</v>
      </c>
      <c r="I1672" s="3">
        <f>Vendas[[#This Row],[Valor Unitário]]*Vendas[[#This Row],[Qnt Vendida]]</f>
        <v>742.90000000000009</v>
      </c>
      <c r="J1672" s="3">
        <f>Vendas[[#This Row],[Valor da Venda]]-(_xlfn.XLOOKUP(Vendas[[#This Row],[ID Item Vendido]],Agregado[ID],Agregado[Custo])*Vendas[[#This Row],[Qnt Vendida]])</f>
        <v>96.900000000000091</v>
      </c>
      <c r="K1672" s="70">
        <f>Vendas[[#This Row],[Lucro da Venda]]/Vendas[[#This Row],[Valor da Venda]]</f>
        <v>0.13043478260869576</v>
      </c>
      <c r="L1672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1672"/>
    </row>
    <row r="1673" spans="1:13" x14ac:dyDescent="0.3">
      <c r="A1673" s="7">
        <v>400242</v>
      </c>
      <c r="B1673" t="str">
        <f>_xlfn.XLOOKUP(Vendas[[#This Row],[ID Vendedor]],Vendedores[ID],Vendedores[Nome])</f>
        <v>Fernanda</v>
      </c>
      <c r="C1673" s="7" t="str">
        <f>_xlfn.XLOOKUP(Vendas[[#This Row],[ID Vendedor]],Vendedores[ID],Vendedores[Setor])</f>
        <v>FM</v>
      </c>
      <c r="D1673" s="7" t="s">
        <v>20</v>
      </c>
      <c r="E1673" t="str">
        <f>_xlfn.XLOOKUP(Vendas[[#This Row],[ID Item Vendido]],Agregado[ID],Agregado[Produto])</f>
        <v>Barra de aço simples</v>
      </c>
      <c r="F1673" s="39">
        <v>44690</v>
      </c>
      <c r="G1673" s="7">
        <v>62</v>
      </c>
      <c r="H1673" s="3">
        <f>_xlfn.XLOOKUP(Vendas[[#This Row],[ID Item Vendido]],Agregado[ID],Agregado[Revenda])</f>
        <v>4.8</v>
      </c>
      <c r="I1673" s="3">
        <f>Vendas[[#This Row],[Valor Unitário]]*Vendas[[#This Row],[Qnt Vendida]]</f>
        <v>297.59999999999997</v>
      </c>
      <c r="J1673" s="3">
        <f>Vendas[[#This Row],[Valor da Venda]]-(_xlfn.XLOOKUP(Vendas[[#This Row],[ID Item Vendido]],Agregado[ID],Agregado[Custo])*Vendas[[#This Row],[Qnt Vendida]])</f>
        <v>37.199999999999932</v>
      </c>
      <c r="K1673" s="70">
        <f>Vendas[[#This Row],[Lucro da Venda]]/Vendas[[#This Row],[Valor da Venda]]</f>
        <v>0.12499999999999979</v>
      </c>
      <c r="L1673" s="3">
        <f>_xlfn.IFS(Vendas[[#This Row],[Margem de Lucro (%)]]&lt;15%,Vendas[[#This Row],[Valor da Venda]]*3%,Vendas[[#This Row],[Margem de Lucro (%)]]&lt;=20%,Vendas[[#This Row],[Valor da Venda]]*4.5%,TRUE,Vendas[[#This Row],[Valor da Venda]]*6%)</f>
        <v>8.927999999999999</v>
      </c>
      <c r="M1673"/>
    </row>
    <row r="1674" spans="1:13" x14ac:dyDescent="0.3">
      <c r="A1674" s="7">
        <v>400253</v>
      </c>
      <c r="B1674" t="str">
        <f>_xlfn.XLOOKUP(Vendas[[#This Row],[ID Vendedor]],Vendedores[ID],Vendedores[Nome])</f>
        <v>Gustavo</v>
      </c>
      <c r="C1674" s="7" t="str">
        <f>_xlfn.XLOOKUP(Vendas[[#This Row],[ID Vendedor]],Vendedores[ID],Vendedores[Setor])</f>
        <v>SC</v>
      </c>
      <c r="D1674" s="7" t="s">
        <v>42</v>
      </c>
      <c r="E1674" t="str">
        <f>_xlfn.XLOOKUP(Vendas[[#This Row],[ID Item Vendido]],Agregado[ID],Agregado[Produto])</f>
        <v>Container de ferro industrial</v>
      </c>
      <c r="F1674" s="39">
        <v>44691</v>
      </c>
      <c r="G1674" s="7">
        <v>6</v>
      </c>
      <c r="H1674" s="3">
        <f>_xlfn.XLOOKUP(Vendas[[#This Row],[ID Item Vendido]],Agregado[ID],Agregado[Revenda])</f>
        <v>830</v>
      </c>
      <c r="I1674" s="3">
        <f>Vendas[[#This Row],[Valor Unitário]]*Vendas[[#This Row],[Qnt Vendida]]</f>
        <v>4980</v>
      </c>
      <c r="J1674" s="3">
        <f>Vendas[[#This Row],[Valor da Venda]]-(_xlfn.XLOOKUP(Vendas[[#This Row],[ID Item Vendido]],Agregado[ID],Agregado[Custo])*Vendas[[#This Row],[Qnt Vendida]])</f>
        <v>900</v>
      </c>
      <c r="K1674" s="70">
        <f>Vendas[[#This Row],[Lucro da Venda]]/Vendas[[#This Row],[Valor da Venda]]</f>
        <v>0.18072289156626506</v>
      </c>
      <c r="L1674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674"/>
    </row>
    <row r="1675" spans="1:13" x14ac:dyDescent="0.3">
      <c r="A1675" s="7">
        <v>400253</v>
      </c>
      <c r="B1675" t="str">
        <f>_xlfn.XLOOKUP(Vendas[[#This Row],[ID Vendedor]],Vendedores[ID],Vendedores[Nome])</f>
        <v>Gustavo</v>
      </c>
      <c r="C1675" s="7" t="str">
        <f>_xlfn.XLOOKUP(Vendas[[#This Row],[ID Vendedor]],Vendedores[ID],Vendedores[Setor])</f>
        <v>SC</v>
      </c>
      <c r="D1675" s="7" t="s">
        <v>48</v>
      </c>
      <c r="E1675" t="str">
        <f>_xlfn.XLOOKUP(Vendas[[#This Row],[ID Item Vendido]],Agregado[ID],Agregado[Produto])</f>
        <v>Tambor metálico 200L</v>
      </c>
      <c r="F1675" s="39">
        <v>44691</v>
      </c>
      <c r="G1675" s="7">
        <v>20</v>
      </c>
      <c r="H1675" s="3">
        <f>_xlfn.XLOOKUP(Vendas[[#This Row],[ID Item Vendido]],Agregado[ID],Agregado[Revenda])</f>
        <v>144</v>
      </c>
      <c r="I1675" s="3">
        <f>Vendas[[#This Row],[Valor Unitário]]*Vendas[[#This Row],[Qnt Vendida]]</f>
        <v>2880</v>
      </c>
      <c r="J1675" s="3">
        <f>Vendas[[#This Row],[Valor da Venda]]-(_xlfn.XLOOKUP(Vendas[[#This Row],[ID Item Vendido]],Agregado[ID],Agregado[Custo])*Vendas[[#This Row],[Qnt Vendida]])</f>
        <v>480</v>
      </c>
      <c r="K1675" s="70">
        <f>Vendas[[#This Row],[Lucro da Venda]]/Vendas[[#This Row],[Valor da Venda]]</f>
        <v>0.16666666666666666</v>
      </c>
      <c r="L1675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1675"/>
    </row>
    <row r="1676" spans="1:13" x14ac:dyDescent="0.3">
      <c r="A1676" s="7">
        <v>400244</v>
      </c>
      <c r="B1676" t="str">
        <f>_xlfn.XLOOKUP(Vendas[[#This Row],[ID Vendedor]],Vendedores[ID],Vendedores[Nome])</f>
        <v>Camila</v>
      </c>
      <c r="C1676" s="7" t="str">
        <f>_xlfn.XLOOKUP(Vendas[[#This Row],[ID Vendedor]],Vendedores[ID],Vendedores[Setor])</f>
        <v>AHD</v>
      </c>
      <c r="D1676" s="7" t="s">
        <v>18</v>
      </c>
      <c r="E1676" t="str">
        <f>_xlfn.XLOOKUP(Vendas[[#This Row],[ID Item Vendido]],Agregado[ID],Agregado[Produto])</f>
        <v>Peça forjada sob encomenda</v>
      </c>
      <c r="F1676" s="39">
        <v>44692</v>
      </c>
      <c r="G1676" s="7">
        <v>5</v>
      </c>
      <c r="H1676" s="3">
        <f>_xlfn.XLOOKUP(Vendas[[#This Row],[ID Item Vendido]],Agregado[ID],Agregado[Revenda])</f>
        <v>264.60000000000002</v>
      </c>
      <c r="I1676" s="3">
        <f>Vendas[[#This Row],[Valor Unitário]]*Vendas[[#This Row],[Qnt Vendida]]</f>
        <v>1323</v>
      </c>
      <c r="J1676" s="3">
        <f>Vendas[[#This Row],[Valor da Venda]]-(_xlfn.XLOOKUP(Vendas[[#This Row],[ID Item Vendido]],Agregado[ID],Agregado[Custo])*Vendas[[#This Row],[Qnt Vendida]])</f>
        <v>73</v>
      </c>
      <c r="K1676" s="70">
        <f>Vendas[[#This Row],[Lucro da Venda]]/Vendas[[#This Row],[Valor da Venda]]</f>
        <v>5.5177626606198037E-2</v>
      </c>
      <c r="L1676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676"/>
    </row>
    <row r="1677" spans="1:13" x14ac:dyDescent="0.3">
      <c r="A1677" s="7">
        <v>400242</v>
      </c>
      <c r="B1677" t="str">
        <f>_xlfn.XLOOKUP(Vendas[[#This Row],[ID Vendedor]],Vendedores[ID],Vendedores[Nome])</f>
        <v>Fernanda</v>
      </c>
      <c r="C1677" s="7" t="str">
        <f>_xlfn.XLOOKUP(Vendas[[#This Row],[ID Vendedor]],Vendedores[ID],Vendedores[Setor])</f>
        <v>FM</v>
      </c>
      <c r="D1677" s="7" t="s">
        <v>27</v>
      </c>
      <c r="E1677" t="str">
        <f>_xlfn.XLOOKUP(Vendas[[#This Row],[ID Item Vendido]],Agregado[ID],Agregado[Produto])</f>
        <v>Chapa de metal lisa 1x2m</v>
      </c>
      <c r="F1677" s="39">
        <v>44692</v>
      </c>
      <c r="G1677" s="7">
        <v>12</v>
      </c>
      <c r="H1677" s="3">
        <f>_xlfn.XLOOKUP(Vendas[[#This Row],[ID Item Vendido]],Agregado[ID],Agregado[Revenda])</f>
        <v>52</v>
      </c>
      <c r="I1677" s="3">
        <f>Vendas[[#This Row],[Valor Unitário]]*Vendas[[#This Row],[Qnt Vendida]]</f>
        <v>624</v>
      </c>
      <c r="J1677" s="3">
        <f>Vendas[[#This Row],[Valor da Venda]]-(_xlfn.XLOOKUP(Vendas[[#This Row],[ID Item Vendido]],Agregado[ID],Agregado[Custo])*Vendas[[#This Row],[Qnt Vendida]])</f>
        <v>84</v>
      </c>
      <c r="K1677" s="70">
        <f>Vendas[[#This Row],[Lucro da Venda]]/Vendas[[#This Row],[Valor da Venda]]</f>
        <v>0.13461538461538461</v>
      </c>
      <c r="L1677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1677"/>
    </row>
    <row r="1678" spans="1:13" x14ac:dyDescent="0.3">
      <c r="A1678" s="7">
        <v>400248</v>
      </c>
      <c r="B1678" t="str">
        <f>_xlfn.XLOOKUP(Vendas[[#This Row],[ID Vendedor]],Vendedores[ID],Vendedores[Nome])</f>
        <v>Patrícia</v>
      </c>
      <c r="C1678" s="7" t="str">
        <f>_xlfn.XLOOKUP(Vendas[[#This Row],[ID Vendedor]],Vendedores[ID],Vendedores[Setor])</f>
        <v>CM</v>
      </c>
      <c r="D1678" s="7" t="s">
        <v>22</v>
      </c>
      <c r="E1678" t="str">
        <f>_xlfn.XLOOKUP(Vendas[[#This Row],[ID Item Vendido]],Agregado[ID],Agregado[Produto])</f>
        <v>Painel MDP 2,75x1,83m</v>
      </c>
      <c r="F1678" s="39">
        <v>44693</v>
      </c>
      <c r="G1678" s="7">
        <v>22</v>
      </c>
      <c r="H1678" s="3">
        <f>_xlfn.XLOOKUP(Vendas[[#This Row],[ID Item Vendido]],Agregado[ID],Agregado[Revenda])</f>
        <v>119</v>
      </c>
      <c r="I1678" s="3">
        <f>Vendas[[#This Row],[Valor Unitário]]*Vendas[[#This Row],[Qnt Vendida]]</f>
        <v>2618</v>
      </c>
      <c r="J1678" s="3">
        <f>Vendas[[#This Row],[Valor da Venda]]-(_xlfn.XLOOKUP(Vendas[[#This Row],[ID Item Vendido]],Agregado[ID],Agregado[Custo])*Vendas[[#This Row],[Qnt Vendida]])</f>
        <v>528</v>
      </c>
      <c r="K1678" s="70">
        <f>Vendas[[#This Row],[Lucro da Venda]]/Vendas[[#This Row],[Valor da Venda]]</f>
        <v>0.20168067226890757</v>
      </c>
      <c r="L1678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1678"/>
    </row>
    <row r="1679" spans="1:13" x14ac:dyDescent="0.3">
      <c r="A1679" s="7">
        <v>400247</v>
      </c>
      <c r="B1679" t="str">
        <f>_xlfn.XLOOKUP(Vendas[[#This Row],[ID Vendedor]],Vendedores[ID],Vendedores[Nome])</f>
        <v>André</v>
      </c>
      <c r="C1679" s="7" t="str">
        <f>_xlfn.XLOOKUP(Vendas[[#This Row],[ID Vendedor]],Vendedores[ID],Vendedores[Setor])</f>
        <v>CM</v>
      </c>
      <c r="D1679" s="7" t="s">
        <v>45</v>
      </c>
      <c r="E1679" t="str">
        <f>_xlfn.XLOOKUP(Vendas[[#This Row],[ID Item Vendido]],Agregado[ID],Agregado[Produto])</f>
        <v>Viga de madeira tratada 4m</v>
      </c>
      <c r="F1679" s="39">
        <v>44694</v>
      </c>
      <c r="G1679" s="7">
        <v>19</v>
      </c>
      <c r="H1679" s="3">
        <f>_xlfn.XLOOKUP(Vendas[[#This Row],[ID Item Vendido]],Agregado[ID],Agregado[Revenda])</f>
        <v>66</v>
      </c>
      <c r="I1679" s="3">
        <f>Vendas[[#This Row],[Valor Unitário]]*Vendas[[#This Row],[Qnt Vendida]]</f>
        <v>1254</v>
      </c>
      <c r="J1679" s="3">
        <f>Vendas[[#This Row],[Valor da Venda]]-(_xlfn.XLOOKUP(Vendas[[#This Row],[ID Item Vendido]],Agregado[ID],Agregado[Custo])*Vendas[[#This Row],[Qnt Vendida]])</f>
        <v>209</v>
      </c>
      <c r="K1679" s="70">
        <f>Vendas[[#This Row],[Lucro da Venda]]/Vendas[[#This Row],[Valor da Venda]]</f>
        <v>0.16666666666666666</v>
      </c>
      <c r="L167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1679"/>
    </row>
    <row r="1680" spans="1:13" x14ac:dyDescent="0.3">
      <c r="A1680" s="7">
        <v>400244</v>
      </c>
      <c r="B1680" t="str">
        <f>_xlfn.XLOOKUP(Vendas[[#This Row],[ID Vendedor]],Vendedores[ID],Vendedores[Nome])</f>
        <v>Camila</v>
      </c>
      <c r="C1680" s="7" t="str">
        <f>_xlfn.XLOOKUP(Vendas[[#This Row],[ID Vendedor]],Vendedores[ID],Vendedores[Setor])</f>
        <v>AHD</v>
      </c>
      <c r="D1680" s="7" t="s">
        <v>44</v>
      </c>
      <c r="E1680" t="str">
        <f>_xlfn.XLOOKUP(Vendas[[#This Row],[ID Item Vendido]],Agregado[ID],Agregado[Produto])</f>
        <v>Liga metálica especial</v>
      </c>
      <c r="F1680" s="39">
        <v>44695</v>
      </c>
      <c r="G1680" s="7">
        <v>32</v>
      </c>
      <c r="H1680" s="3">
        <f>_xlfn.XLOOKUP(Vendas[[#This Row],[ID Item Vendido]],Agregado[ID],Agregado[Revenda])</f>
        <v>32.5</v>
      </c>
      <c r="I1680" s="3">
        <f>Vendas[[#This Row],[Valor Unitário]]*Vendas[[#This Row],[Qnt Vendida]]</f>
        <v>1040</v>
      </c>
      <c r="J1680" s="3">
        <f>Vendas[[#This Row],[Valor da Venda]]-(_xlfn.XLOOKUP(Vendas[[#This Row],[ID Item Vendido]],Agregado[ID],Agregado[Custo])*Vendas[[#This Row],[Qnt Vendida]])</f>
        <v>240</v>
      </c>
      <c r="K1680" s="70">
        <f>Vendas[[#This Row],[Lucro da Venda]]/Vendas[[#This Row],[Valor da Venda]]</f>
        <v>0.23076923076923078</v>
      </c>
      <c r="L1680" s="3">
        <f>_xlfn.IFS(Vendas[[#This Row],[Margem de Lucro (%)]]&lt;15%,Vendas[[#This Row],[Valor da Venda]]*3%,Vendas[[#This Row],[Margem de Lucro (%)]]&lt;=20%,Vendas[[#This Row],[Valor da Venda]]*4.5%,TRUE,Vendas[[#This Row],[Valor da Venda]]*6%)</f>
        <v>62.4</v>
      </c>
      <c r="M1680"/>
    </row>
    <row r="1681" spans="1:13" x14ac:dyDescent="0.3">
      <c r="A1681" s="7">
        <v>400249</v>
      </c>
      <c r="B1681" t="str">
        <f>_xlfn.XLOOKUP(Vendas[[#This Row],[ID Vendedor]],Vendedores[ID],Vendedores[Nome])</f>
        <v>Bruno</v>
      </c>
      <c r="C1681" s="7" t="str">
        <f>_xlfn.XLOOKUP(Vendas[[#This Row],[ID Vendedor]],Vendedores[ID],Vendedores[Setor])</f>
        <v>CM</v>
      </c>
      <c r="D1681" s="7" t="s">
        <v>43</v>
      </c>
      <c r="E1681" t="str">
        <f>_xlfn.XLOOKUP(Vendas[[#This Row],[ID Item Vendido]],Agregado[ID],Agregado[Produto])</f>
        <v>Madeira Bruta (Tora)</v>
      </c>
      <c r="F1681" s="39">
        <v>44696</v>
      </c>
      <c r="G1681" s="7">
        <v>15</v>
      </c>
      <c r="H1681" s="3">
        <f>_xlfn.XLOOKUP(Vendas[[#This Row],[ID Item Vendido]],Agregado[ID],Agregado[Revenda])</f>
        <v>212</v>
      </c>
      <c r="I1681" s="3">
        <f>Vendas[[#This Row],[Valor Unitário]]*Vendas[[#This Row],[Qnt Vendida]]</f>
        <v>3180</v>
      </c>
      <c r="J1681" s="3">
        <f>Vendas[[#This Row],[Valor da Venda]]-(_xlfn.XLOOKUP(Vendas[[#This Row],[ID Item Vendido]],Agregado[ID],Agregado[Custo])*Vendas[[#This Row],[Qnt Vendida]])</f>
        <v>480</v>
      </c>
      <c r="K1681" s="70">
        <f>Vendas[[#This Row],[Lucro da Venda]]/Vendas[[#This Row],[Valor da Venda]]</f>
        <v>0.15094339622641509</v>
      </c>
      <c r="L1681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1681"/>
    </row>
    <row r="1682" spans="1:13" x14ac:dyDescent="0.3">
      <c r="A1682" s="7">
        <v>400248</v>
      </c>
      <c r="B1682" t="str">
        <f>_xlfn.XLOOKUP(Vendas[[#This Row],[ID Vendedor]],Vendedores[ID],Vendedores[Nome])</f>
        <v>Patrícia</v>
      </c>
      <c r="C1682" s="7" t="str">
        <f>_xlfn.XLOOKUP(Vendas[[#This Row],[ID Vendedor]],Vendedores[ID],Vendedores[Setor])</f>
        <v>CM</v>
      </c>
      <c r="D1682" s="7" t="s">
        <v>45</v>
      </c>
      <c r="E1682" t="str">
        <f>_xlfn.XLOOKUP(Vendas[[#This Row],[ID Item Vendido]],Agregado[ID],Agregado[Produto])</f>
        <v>Viga de madeira tratada 4m</v>
      </c>
      <c r="F1682" s="39">
        <v>44696</v>
      </c>
      <c r="G1682" s="7">
        <v>2</v>
      </c>
      <c r="H1682" s="3">
        <f>_xlfn.XLOOKUP(Vendas[[#This Row],[ID Item Vendido]],Agregado[ID],Agregado[Revenda])</f>
        <v>66</v>
      </c>
      <c r="I1682" s="3">
        <f>Vendas[[#This Row],[Valor Unitário]]*Vendas[[#This Row],[Qnt Vendida]]</f>
        <v>132</v>
      </c>
      <c r="J1682" s="3">
        <f>Vendas[[#This Row],[Valor da Venda]]-(_xlfn.XLOOKUP(Vendas[[#This Row],[ID Item Vendido]],Agregado[ID],Agregado[Custo])*Vendas[[#This Row],[Qnt Vendida]])</f>
        <v>22</v>
      </c>
      <c r="K1682" s="70">
        <f>Vendas[[#This Row],[Lucro da Venda]]/Vendas[[#This Row],[Valor da Venda]]</f>
        <v>0.16666666666666666</v>
      </c>
      <c r="L1682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1682"/>
    </row>
    <row r="1683" spans="1:13" x14ac:dyDescent="0.3">
      <c r="A1683" s="7">
        <v>400245</v>
      </c>
      <c r="B1683" t="str">
        <f>_xlfn.XLOOKUP(Vendas[[#This Row],[ID Vendedor]],Vendedores[ID],Vendedores[Nome])</f>
        <v>Thiago</v>
      </c>
      <c r="C1683" s="7" t="str">
        <f>_xlfn.XLOOKUP(Vendas[[#This Row],[ID Vendedor]],Vendedores[ID],Vendedores[Setor])</f>
        <v>AHD</v>
      </c>
      <c r="D1683" s="7" t="s">
        <v>28</v>
      </c>
      <c r="E1683" t="str">
        <f>_xlfn.XLOOKUP(Vendas[[#This Row],[ID Item Vendido]],Agregado[ID],Agregado[Produto])</f>
        <v>Peça usinada CNC</v>
      </c>
      <c r="F1683" s="39">
        <v>44697</v>
      </c>
      <c r="G1683" s="7">
        <v>2</v>
      </c>
      <c r="H1683" s="3">
        <f>_xlfn.XLOOKUP(Vendas[[#This Row],[ID Item Vendido]],Agregado[ID],Agregado[Revenda])</f>
        <v>192</v>
      </c>
      <c r="I1683" s="3">
        <f>Vendas[[#This Row],[Valor Unitário]]*Vendas[[#This Row],[Qnt Vendida]]</f>
        <v>384</v>
      </c>
      <c r="J1683" s="3">
        <f>Vendas[[#This Row],[Valor da Venda]]-(_xlfn.XLOOKUP(Vendas[[#This Row],[ID Item Vendido]],Agregado[ID],Agregado[Custo])*Vendas[[#This Row],[Qnt Vendida]])</f>
        <v>84</v>
      </c>
      <c r="K1683" s="70">
        <f>Vendas[[#This Row],[Lucro da Venda]]/Vendas[[#This Row],[Valor da Venda]]</f>
        <v>0.21875</v>
      </c>
      <c r="L1683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1683"/>
    </row>
    <row r="1684" spans="1:13" x14ac:dyDescent="0.3">
      <c r="A1684" s="7">
        <v>400249</v>
      </c>
      <c r="B1684" t="str">
        <f>_xlfn.XLOOKUP(Vendas[[#This Row],[ID Vendedor]],Vendedores[ID],Vendedores[Nome])</f>
        <v>Bruno</v>
      </c>
      <c r="C1684" s="7" t="str">
        <f>_xlfn.XLOOKUP(Vendas[[#This Row],[ID Vendedor]],Vendedores[ID],Vendedores[Setor])</f>
        <v>CM</v>
      </c>
      <c r="D1684" s="7" t="s">
        <v>22</v>
      </c>
      <c r="E1684" t="str">
        <f>_xlfn.XLOOKUP(Vendas[[#This Row],[ID Item Vendido]],Agregado[ID],Agregado[Produto])</f>
        <v>Painel MDP 2,75x1,83m</v>
      </c>
      <c r="F1684" s="39">
        <v>44698</v>
      </c>
      <c r="G1684" s="7">
        <v>9</v>
      </c>
      <c r="H1684" s="3">
        <f>_xlfn.XLOOKUP(Vendas[[#This Row],[ID Item Vendido]],Agregado[ID],Agregado[Revenda])</f>
        <v>119</v>
      </c>
      <c r="I1684" s="3">
        <f>Vendas[[#This Row],[Valor Unitário]]*Vendas[[#This Row],[Qnt Vendida]]</f>
        <v>1071</v>
      </c>
      <c r="J1684" s="3">
        <f>Vendas[[#This Row],[Valor da Venda]]-(_xlfn.XLOOKUP(Vendas[[#This Row],[ID Item Vendido]],Agregado[ID],Agregado[Custo])*Vendas[[#This Row],[Qnt Vendida]])</f>
        <v>216</v>
      </c>
      <c r="K1684" s="70">
        <f>Vendas[[#This Row],[Lucro da Venda]]/Vendas[[#This Row],[Valor da Venda]]</f>
        <v>0.20168067226890757</v>
      </c>
      <c r="L1684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1684"/>
    </row>
    <row r="1685" spans="1:13" x14ac:dyDescent="0.3">
      <c r="A1685" s="7">
        <v>400250</v>
      </c>
      <c r="B1685" t="str">
        <f>_xlfn.XLOOKUP(Vendas[[#This Row],[ID Vendedor]],Vendedores[ID],Vendedores[Nome])</f>
        <v>Larissa</v>
      </c>
      <c r="C1685" s="7" t="str">
        <f>_xlfn.XLOOKUP(Vendas[[#This Row],[ID Vendedor]],Vendedores[ID],Vendedores[Setor])</f>
        <v>AB</v>
      </c>
      <c r="D1685" s="7" t="s">
        <v>12</v>
      </c>
      <c r="E1685" t="str">
        <f>_xlfn.XLOOKUP(Vendas[[#This Row],[ID Item Vendido]],Agregado[ID],Agregado[Produto])</f>
        <v>Grânulo de plástico reciclado refinado</v>
      </c>
      <c r="F1685" s="39">
        <v>44698</v>
      </c>
      <c r="G1685" s="7">
        <v>110</v>
      </c>
      <c r="H1685" s="3">
        <f>_xlfn.XLOOKUP(Vendas[[#This Row],[ID Item Vendido]],Agregado[ID],Agregado[Revenda])</f>
        <v>4.7</v>
      </c>
      <c r="I1685" s="3">
        <f>Vendas[[#This Row],[Valor Unitário]]*Vendas[[#This Row],[Qnt Vendida]]</f>
        <v>517</v>
      </c>
      <c r="J1685" s="3">
        <f>Vendas[[#This Row],[Valor da Venda]]-(_xlfn.XLOOKUP(Vendas[[#This Row],[ID Item Vendido]],Agregado[ID],Agregado[Custo])*Vendas[[#This Row],[Qnt Vendida]])</f>
        <v>132</v>
      </c>
      <c r="K1685" s="70">
        <f>Vendas[[#This Row],[Lucro da Venda]]/Vendas[[#This Row],[Valor da Venda]]</f>
        <v>0.25531914893617019</v>
      </c>
      <c r="L1685" s="3">
        <f>_xlfn.IFS(Vendas[[#This Row],[Margem de Lucro (%)]]&lt;15%,Vendas[[#This Row],[Valor da Venda]]*3%,Vendas[[#This Row],[Margem de Lucro (%)]]&lt;=20%,Vendas[[#This Row],[Valor da Venda]]*4.5%,TRUE,Vendas[[#This Row],[Valor da Venda]]*6%)</f>
        <v>31.02</v>
      </c>
      <c r="M1685"/>
    </row>
    <row r="1686" spans="1:13" x14ac:dyDescent="0.3">
      <c r="A1686" s="7">
        <v>400253</v>
      </c>
      <c r="B1686" t="str">
        <f>_xlfn.XLOOKUP(Vendas[[#This Row],[ID Vendedor]],Vendedores[ID],Vendedores[Nome])</f>
        <v>Gustavo</v>
      </c>
      <c r="C1686" s="7" t="str">
        <f>_xlfn.XLOOKUP(Vendas[[#This Row],[ID Vendedor]],Vendedores[ID],Vendedores[Setor])</f>
        <v>SC</v>
      </c>
      <c r="D1686" s="7" t="s">
        <v>48</v>
      </c>
      <c r="E1686" t="str">
        <f>_xlfn.XLOOKUP(Vendas[[#This Row],[ID Item Vendido]],Agregado[ID],Agregado[Produto])</f>
        <v>Tambor metálico 200L</v>
      </c>
      <c r="F1686" s="39">
        <v>44699</v>
      </c>
      <c r="G1686" s="7">
        <v>11</v>
      </c>
      <c r="H1686" s="3">
        <f>_xlfn.XLOOKUP(Vendas[[#This Row],[ID Item Vendido]],Agregado[ID],Agregado[Revenda])</f>
        <v>144</v>
      </c>
      <c r="I1686" s="3">
        <f>Vendas[[#This Row],[Valor Unitário]]*Vendas[[#This Row],[Qnt Vendida]]</f>
        <v>1584</v>
      </c>
      <c r="J1686" s="3">
        <f>Vendas[[#This Row],[Valor da Venda]]-(_xlfn.XLOOKUP(Vendas[[#This Row],[ID Item Vendido]],Agregado[ID],Agregado[Custo])*Vendas[[#This Row],[Qnt Vendida]])</f>
        <v>264</v>
      </c>
      <c r="K1686" s="70">
        <f>Vendas[[#This Row],[Lucro da Venda]]/Vendas[[#This Row],[Valor da Venda]]</f>
        <v>0.16666666666666666</v>
      </c>
      <c r="L1686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1686"/>
    </row>
    <row r="1687" spans="1:13" x14ac:dyDescent="0.3">
      <c r="A1687" s="7">
        <v>400250</v>
      </c>
      <c r="B1687" t="str">
        <f>_xlfn.XLOOKUP(Vendas[[#This Row],[ID Vendedor]],Vendedores[ID],Vendedores[Nome])</f>
        <v>Larissa</v>
      </c>
      <c r="C1687" s="7" t="str">
        <f>_xlfn.XLOOKUP(Vendas[[#This Row],[ID Vendedor]],Vendedores[ID],Vendedores[Setor])</f>
        <v>AB</v>
      </c>
      <c r="D1687" s="7" t="s">
        <v>36</v>
      </c>
      <c r="E1687" t="str">
        <f>_xlfn.XLOOKUP(Vendas[[#This Row],[ID Item Vendido]],Agregado[ID],Agregado[Produto])</f>
        <v>Borracha vulcanizada em manta</v>
      </c>
      <c r="F1687" s="39">
        <v>44699</v>
      </c>
      <c r="G1687" s="7">
        <v>61</v>
      </c>
      <c r="H1687" s="3">
        <f>_xlfn.XLOOKUP(Vendas[[#This Row],[ID Item Vendido]],Agregado[ID],Agregado[Revenda])</f>
        <v>7.8</v>
      </c>
      <c r="I1687" s="3">
        <f>Vendas[[#This Row],[Valor Unitário]]*Vendas[[#This Row],[Qnt Vendida]]</f>
        <v>475.8</v>
      </c>
      <c r="J1687" s="3">
        <f>Vendas[[#This Row],[Valor da Venda]]-(_xlfn.XLOOKUP(Vendas[[#This Row],[ID Item Vendido]],Agregado[ID],Agregado[Custo])*Vendas[[#This Row],[Qnt Vendida]])</f>
        <v>109.80000000000001</v>
      </c>
      <c r="K1687" s="70">
        <f>Vendas[[#This Row],[Lucro da Venda]]/Vendas[[#This Row],[Valor da Venda]]</f>
        <v>0.23076923076923078</v>
      </c>
      <c r="L1687" s="3">
        <f>_xlfn.IFS(Vendas[[#This Row],[Margem de Lucro (%)]]&lt;15%,Vendas[[#This Row],[Valor da Venda]]*3%,Vendas[[#This Row],[Margem de Lucro (%)]]&lt;=20%,Vendas[[#This Row],[Valor da Venda]]*4.5%,TRUE,Vendas[[#This Row],[Valor da Venda]]*6%)</f>
        <v>28.547999999999998</v>
      </c>
      <c r="M1687"/>
    </row>
    <row r="1688" spans="1:13" x14ac:dyDescent="0.3">
      <c r="A1688" s="7">
        <v>400245</v>
      </c>
      <c r="B1688" t="str">
        <f>_xlfn.XLOOKUP(Vendas[[#This Row],[ID Vendedor]],Vendedores[ID],Vendedores[Nome])</f>
        <v>Thiago</v>
      </c>
      <c r="C1688" s="7" t="str">
        <f>_xlfn.XLOOKUP(Vendas[[#This Row],[ID Vendedor]],Vendedores[ID],Vendedores[Setor])</f>
        <v>AHD</v>
      </c>
      <c r="D1688" s="7" t="s">
        <v>30</v>
      </c>
      <c r="E1688" t="str">
        <f>_xlfn.XLOOKUP(Vendas[[#This Row],[ID Item Vendido]],Agregado[ID],Agregado[Produto])</f>
        <v>Estrutura metálica soldada</v>
      </c>
      <c r="F1688" s="39">
        <v>44700</v>
      </c>
      <c r="G1688" s="7">
        <v>1</v>
      </c>
      <c r="H1688" s="3">
        <f>_xlfn.XLOOKUP(Vendas[[#This Row],[ID Item Vendido]],Agregado[ID],Agregado[Revenda])</f>
        <v>400</v>
      </c>
      <c r="I1688" s="3">
        <f>Vendas[[#This Row],[Valor Unitário]]*Vendas[[#This Row],[Qnt Vendida]]</f>
        <v>400</v>
      </c>
      <c r="J1688" s="3">
        <f>Vendas[[#This Row],[Valor da Venda]]-(_xlfn.XLOOKUP(Vendas[[#This Row],[ID Item Vendido]],Agregado[ID],Agregado[Custo])*Vendas[[#This Row],[Qnt Vendida]])</f>
        <v>80</v>
      </c>
      <c r="K1688" s="70">
        <f>Vendas[[#This Row],[Lucro da Venda]]/Vendas[[#This Row],[Valor da Venda]]</f>
        <v>0.2</v>
      </c>
      <c r="L1688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688"/>
    </row>
    <row r="1689" spans="1:13" x14ac:dyDescent="0.3">
      <c r="A1689" s="7">
        <v>400250</v>
      </c>
      <c r="B1689" t="str">
        <f>_xlfn.XLOOKUP(Vendas[[#This Row],[ID Vendedor]],Vendedores[ID],Vendedores[Nome])</f>
        <v>Larissa</v>
      </c>
      <c r="C1689" s="7" t="str">
        <f>_xlfn.XLOOKUP(Vendas[[#This Row],[ID Vendedor]],Vendedores[ID],Vendedores[Setor])</f>
        <v>AB</v>
      </c>
      <c r="D1689" s="7" t="s">
        <v>37</v>
      </c>
      <c r="E1689" t="str">
        <f>_xlfn.XLOOKUP(Vendas[[#This Row],[ID Item Vendido]],Agregado[ID],Agregado[Produto])</f>
        <v>Composto de borracha para vedação rolo 10m</v>
      </c>
      <c r="F1689" s="39">
        <v>44700</v>
      </c>
      <c r="G1689" s="7">
        <v>5</v>
      </c>
      <c r="H1689" s="3">
        <f>_xlfn.XLOOKUP(Vendas[[#This Row],[ID Item Vendido]],Agregado[ID],Agregado[Revenda])</f>
        <v>51.2</v>
      </c>
      <c r="I1689" s="3">
        <f>Vendas[[#This Row],[Valor Unitário]]*Vendas[[#This Row],[Qnt Vendida]]</f>
        <v>256</v>
      </c>
      <c r="J1689" s="3">
        <f>Vendas[[#This Row],[Valor da Venda]]-(_xlfn.XLOOKUP(Vendas[[#This Row],[ID Item Vendido]],Agregado[ID],Agregado[Custo])*Vendas[[#This Row],[Qnt Vendida]])</f>
        <v>56</v>
      </c>
      <c r="K1689" s="70">
        <f>Vendas[[#This Row],[Lucro da Venda]]/Vendas[[#This Row],[Valor da Venda]]</f>
        <v>0.21875</v>
      </c>
      <c r="L1689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1689"/>
    </row>
    <row r="1690" spans="1:13" x14ac:dyDescent="0.3">
      <c r="A1690" s="7">
        <v>400248</v>
      </c>
      <c r="B1690" t="str">
        <f>_xlfn.XLOOKUP(Vendas[[#This Row],[ID Vendedor]],Vendedores[ID],Vendedores[Nome])</f>
        <v>Patrícia</v>
      </c>
      <c r="C1690" s="7" t="str">
        <f>_xlfn.XLOOKUP(Vendas[[#This Row],[ID Vendedor]],Vendedores[ID],Vendedores[Setor])</f>
        <v>CM</v>
      </c>
      <c r="D1690" s="7" t="s">
        <v>45</v>
      </c>
      <c r="E1690" t="str">
        <f>_xlfn.XLOOKUP(Vendas[[#This Row],[ID Item Vendido]],Agregado[ID],Agregado[Produto])</f>
        <v>Viga de madeira tratada 4m</v>
      </c>
      <c r="F1690" s="39">
        <v>44700</v>
      </c>
      <c r="G1690" s="7">
        <v>3</v>
      </c>
      <c r="H1690" s="3">
        <f>_xlfn.XLOOKUP(Vendas[[#This Row],[ID Item Vendido]],Agregado[ID],Agregado[Revenda])</f>
        <v>66</v>
      </c>
      <c r="I1690" s="3">
        <f>Vendas[[#This Row],[Valor Unitário]]*Vendas[[#This Row],[Qnt Vendida]]</f>
        <v>198</v>
      </c>
      <c r="J1690" s="3">
        <f>Vendas[[#This Row],[Valor da Venda]]-(_xlfn.XLOOKUP(Vendas[[#This Row],[ID Item Vendido]],Agregado[ID],Agregado[Custo])*Vendas[[#This Row],[Qnt Vendida]])</f>
        <v>33</v>
      </c>
      <c r="K1690" s="70">
        <f>Vendas[[#This Row],[Lucro da Venda]]/Vendas[[#This Row],[Valor da Venda]]</f>
        <v>0.16666666666666666</v>
      </c>
      <c r="L1690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1690"/>
    </row>
    <row r="1691" spans="1:13" x14ac:dyDescent="0.3">
      <c r="A1691" s="7">
        <v>400241</v>
      </c>
      <c r="B1691" t="str">
        <f>_xlfn.XLOOKUP(Vendas[[#This Row],[ID Vendedor]],Vendedores[ID],Vendedores[Nome])</f>
        <v>Rodrigo</v>
      </c>
      <c r="C1691" s="7" t="str">
        <f>_xlfn.XLOOKUP(Vendas[[#This Row],[ID Vendedor]],Vendedores[ID],Vendedores[Setor])</f>
        <v>FM</v>
      </c>
      <c r="D1691" s="7" t="s">
        <v>31</v>
      </c>
      <c r="E1691" t="str">
        <f>_xlfn.XLOOKUP(Vendas[[#This Row],[ID Item Vendido]],Agregado[ID],Agregado[Produto])</f>
        <v>Tela de metal soldada rolo 2x25m</v>
      </c>
      <c r="F1691" s="39">
        <v>44701</v>
      </c>
      <c r="G1691" s="7">
        <v>4</v>
      </c>
      <c r="H1691" s="3">
        <f>_xlfn.XLOOKUP(Vendas[[#This Row],[ID Item Vendido]],Agregado[ID],Agregado[Revenda])</f>
        <v>43.7</v>
      </c>
      <c r="I1691" s="3">
        <f>Vendas[[#This Row],[Valor Unitário]]*Vendas[[#This Row],[Qnt Vendida]]</f>
        <v>174.8</v>
      </c>
      <c r="J1691" s="3">
        <f>Vendas[[#This Row],[Valor da Venda]]-(_xlfn.XLOOKUP(Vendas[[#This Row],[ID Item Vendido]],Agregado[ID],Agregado[Custo])*Vendas[[#This Row],[Qnt Vendida]])</f>
        <v>22.800000000000011</v>
      </c>
      <c r="K1691" s="70">
        <f>Vendas[[#This Row],[Lucro da Venda]]/Vendas[[#This Row],[Valor da Venda]]</f>
        <v>0.1304347826086957</v>
      </c>
      <c r="L1691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1691"/>
    </row>
    <row r="1692" spans="1:13" x14ac:dyDescent="0.3">
      <c r="A1692" s="7">
        <v>400251</v>
      </c>
      <c r="B1692" t="str">
        <f>_xlfn.XLOOKUP(Vendas[[#This Row],[ID Vendedor]],Vendedores[ID],Vendedores[Nome])</f>
        <v>Diego</v>
      </c>
      <c r="C1692" s="7" t="str">
        <f>_xlfn.XLOOKUP(Vendas[[#This Row],[ID Vendedor]],Vendedores[ID],Vendedores[Setor])</f>
        <v>AB</v>
      </c>
      <c r="D1692" s="7" t="s">
        <v>39</v>
      </c>
      <c r="E1692" t="str">
        <f>_xlfn.XLOOKUP(Vendas[[#This Row],[ID Item Vendido]],Agregado[ID],Agregado[Produto])</f>
        <v>Filme plástico industrial rolo 50m</v>
      </c>
      <c r="F1692" s="39">
        <v>44702</v>
      </c>
      <c r="G1692" s="7">
        <v>24</v>
      </c>
      <c r="H1692" s="3">
        <f>_xlfn.XLOOKUP(Vendas[[#This Row],[ID Item Vendido]],Agregado[ID],Agregado[Revenda])</f>
        <v>37</v>
      </c>
      <c r="I1692" s="3">
        <f>Vendas[[#This Row],[Valor Unitário]]*Vendas[[#This Row],[Qnt Vendida]]</f>
        <v>888</v>
      </c>
      <c r="J1692" s="3">
        <f>Vendas[[#This Row],[Valor da Venda]]-(_xlfn.XLOOKUP(Vendas[[#This Row],[ID Item Vendido]],Agregado[ID],Agregado[Custo])*Vendas[[#This Row],[Qnt Vendida]])</f>
        <v>216</v>
      </c>
      <c r="K1692" s="70">
        <f>Vendas[[#This Row],[Lucro da Venda]]/Vendas[[#This Row],[Valor da Venda]]</f>
        <v>0.24324324324324326</v>
      </c>
      <c r="L1692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1692"/>
    </row>
    <row r="1693" spans="1:13" x14ac:dyDescent="0.3">
      <c r="A1693" s="7">
        <v>400243</v>
      </c>
      <c r="B1693" t="str">
        <f>_xlfn.XLOOKUP(Vendas[[#This Row],[ID Vendedor]],Vendedores[ID],Vendedores[Nome])</f>
        <v>Marcelo</v>
      </c>
      <c r="C1693" s="7" t="str">
        <f>_xlfn.XLOOKUP(Vendas[[#This Row],[ID Vendedor]],Vendedores[ID],Vendedores[Setor])</f>
        <v>FM</v>
      </c>
      <c r="D1693" s="7" t="s">
        <v>20</v>
      </c>
      <c r="E1693" t="str">
        <f>_xlfn.XLOOKUP(Vendas[[#This Row],[ID Item Vendido]],Agregado[ID],Agregado[Produto])</f>
        <v>Barra de aço simples</v>
      </c>
      <c r="F1693" s="39">
        <v>44702</v>
      </c>
      <c r="G1693" s="7">
        <v>117</v>
      </c>
      <c r="H1693" s="3">
        <f>_xlfn.XLOOKUP(Vendas[[#This Row],[ID Item Vendido]],Agregado[ID],Agregado[Revenda])</f>
        <v>4.8</v>
      </c>
      <c r="I1693" s="3">
        <f>Vendas[[#This Row],[Valor Unitário]]*Vendas[[#This Row],[Qnt Vendida]]</f>
        <v>561.6</v>
      </c>
      <c r="J1693" s="3">
        <f>Vendas[[#This Row],[Valor da Venda]]-(_xlfn.XLOOKUP(Vendas[[#This Row],[ID Item Vendido]],Agregado[ID],Agregado[Custo])*Vendas[[#This Row],[Qnt Vendida]])</f>
        <v>70.199999999999989</v>
      </c>
      <c r="K1693" s="70">
        <f>Vendas[[#This Row],[Lucro da Venda]]/Vendas[[#This Row],[Valor da Venda]]</f>
        <v>0.12499999999999997</v>
      </c>
      <c r="L1693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1693"/>
    </row>
    <row r="1694" spans="1:13" x14ac:dyDescent="0.3">
      <c r="A1694" s="7">
        <v>400253</v>
      </c>
      <c r="B1694" t="str">
        <f>_xlfn.XLOOKUP(Vendas[[#This Row],[ID Vendedor]],Vendedores[ID],Vendedores[Nome])</f>
        <v>Gustavo</v>
      </c>
      <c r="C1694" s="7" t="str">
        <f>_xlfn.XLOOKUP(Vendas[[#This Row],[ID Vendedor]],Vendedores[ID],Vendedores[Setor])</f>
        <v>SC</v>
      </c>
      <c r="D1694" s="7" t="s">
        <v>41</v>
      </c>
      <c r="E1694" t="str">
        <f>_xlfn.XLOOKUP(Vendas[[#This Row],[ID Item Vendido]],Agregado[ID],Agregado[Produto])</f>
        <v>Palete de madeira reforçado</v>
      </c>
      <c r="F1694" s="39">
        <v>44702</v>
      </c>
      <c r="G1694" s="7">
        <v>4</v>
      </c>
      <c r="H1694" s="3">
        <f>_xlfn.XLOOKUP(Vendas[[#This Row],[ID Item Vendido]],Agregado[ID],Agregado[Revenda])</f>
        <v>131</v>
      </c>
      <c r="I1694" s="3">
        <f>Vendas[[#This Row],[Valor Unitário]]*Vendas[[#This Row],[Qnt Vendida]]</f>
        <v>524</v>
      </c>
      <c r="J1694" s="3">
        <f>Vendas[[#This Row],[Valor da Venda]]-(_xlfn.XLOOKUP(Vendas[[#This Row],[ID Item Vendido]],Agregado[ID],Agregado[Custo])*Vendas[[#This Row],[Qnt Vendida]])</f>
        <v>84</v>
      </c>
      <c r="K1694" s="70">
        <f>Vendas[[#This Row],[Lucro da Venda]]/Vendas[[#This Row],[Valor da Venda]]</f>
        <v>0.16030534351145037</v>
      </c>
      <c r="L1694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1694"/>
    </row>
    <row r="1695" spans="1:13" x14ac:dyDescent="0.3">
      <c r="A1695" s="7">
        <v>400244</v>
      </c>
      <c r="B1695" t="str">
        <f>_xlfn.XLOOKUP(Vendas[[#This Row],[ID Vendedor]],Vendedores[ID],Vendedores[Nome])</f>
        <v>Camila</v>
      </c>
      <c r="C1695" s="7" t="str">
        <f>_xlfn.XLOOKUP(Vendas[[#This Row],[ID Vendedor]],Vendedores[ID],Vendedores[Setor])</f>
        <v>AHD</v>
      </c>
      <c r="D1695" s="7" t="s">
        <v>30</v>
      </c>
      <c r="E1695" t="str">
        <f>_xlfn.XLOOKUP(Vendas[[#This Row],[ID Item Vendido]],Agregado[ID],Agregado[Produto])</f>
        <v>Estrutura metálica soldada</v>
      </c>
      <c r="F1695" s="39">
        <v>44702</v>
      </c>
      <c r="G1695" s="7">
        <v>1</v>
      </c>
      <c r="H1695" s="3">
        <f>_xlfn.XLOOKUP(Vendas[[#This Row],[ID Item Vendido]],Agregado[ID],Agregado[Revenda])</f>
        <v>400</v>
      </c>
      <c r="I1695" s="3">
        <f>Vendas[[#This Row],[Valor Unitário]]*Vendas[[#This Row],[Qnt Vendida]]</f>
        <v>400</v>
      </c>
      <c r="J1695" s="3">
        <f>Vendas[[#This Row],[Valor da Venda]]-(_xlfn.XLOOKUP(Vendas[[#This Row],[ID Item Vendido]],Agregado[ID],Agregado[Custo])*Vendas[[#This Row],[Qnt Vendida]])</f>
        <v>80</v>
      </c>
      <c r="K1695" s="70">
        <f>Vendas[[#This Row],[Lucro da Venda]]/Vendas[[#This Row],[Valor da Venda]]</f>
        <v>0.2</v>
      </c>
      <c r="L1695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695"/>
    </row>
    <row r="1696" spans="1:13" x14ac:dyDescent="0.3">
      <c r="A1696" s="7">
        <v>400242</v>
      </c>
      <c r="B1696" t="str">
        <f>_xlfn.XLOOKUP(Vendas[[#This Row],[ID Vendedor]],Vendedores[ID],Vendedores[Nome])</f>
        <v>Fernanda</v>
      </c>
      <c r="C1696" s="7" t="str">
        <f>_xlfn.XLOOKUP(Vendas[[#This Row],[ID Vendedor]],Vendedores[ID],Vendedores[Setor])</f>
        <v>FM</v>
      </c>
      <c r="D1696" s="7" t="s">
        <v>6</v>
      </c>
      <c r="E1696" t="str">
        <f>_xlfn.XLOOKUP(Vendas[[#This Row],[ID Item Vendido]],Agregado[ID],Agregado[Produto])</f>
        <v>Parafuso comum 500un</v>
      </c>
      <c r="F1696" s="39">
        <v>44703</v>
      </c>
      <c r="G1696" s="7">
        <v>20</v>
      </c>
      <c r="H1696" s="3">
        <f>_xlfn.XLOOKUP(Vendas[[#This Row],[ID Item Vendido]],Agregado[ID],Agregado[Revenda])</f>
        <v>24.6</v>
      </c>
      <c r="I1696" s="3">
        <f>Vendas[[#This Row],[Valor Unitário]]*Vendas[[#This Row],[Qnt Vendida]]</f>
        <v>492</v>
      </c>
      <c r="J1696" s="3">
        <f>Vendas[[#This Row],[Valor da Venda]]-(_xlfn.XLOOKUP(Vendas[[#This Row],[ID Item Vendido]],Agregado[ID],Agregado[Custo])*Vendas[[#This Row],[Qnt Vendida]])</f>
        <v>52</v>
      </c>
      <c r="K1696" s="70">
        <f>Vendas[[#This Row],[Lucro da Venda]]/Vendas[[#This Row],[Valor da Venda]]</f>
        <v>0.10569105691056911</v>
      </c>
      <c r="L1696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1696"/>
    </row>
    <row r="1697" spans="1:13" x14ac:dyDescent="0.3">
      <c r="A1697" s="7">
        <v>400249</v>
      </c>
      <c r="B1697" t="str">
        <f>_xlfn.XLOOKUP(Vendas[[#This Row],[ID Vendedor]],Vendedores[ID],Vendedores[Nome])</f>
        <v>Bruno</v>
      </c>
      <c r="C1697" s="7" t="str">
        <f>_xlfn.XLOOKUP(Vendas[[#This Row],[ID Vendedor]],Vendedores[ID],Vendedores[Setor])</f>
        <v>CM</v>
      </c>
      <c r="D1697" s="7" t="s">
        <v>22</v>
      </c>
      <c r="E1697" t="str">
        <f>_xlfn.XLOOKUP(Vendas[[#This Row],[ID Item Vendido]],Agregado[ID],Agregado[Produto])</f>
        <v>Painel MDP 2,75x1,83m</v>
      </c>
      <c r="F1697" s="39">
        <v>44704</v>
      </c>
      <c r="G1697" s="7">
        <v>23</v>
      </c>
      <c r="H1697" s="3">
        <f>_xlfn.XLOOKUP(Vendas[[#This Row],[ID Item Vendido]],Agregado[ID],Agregado[Revenda])</f>
        <v>119</v>
      </c>
      <c r="I1697" s="3">
        <f>Vendas[[#This Row],[Valor Unitário]]*Vendas[[#This Row],[Qnt Vendida]]</f>
        <v>2737</v>
      </c>
      <c r="J1697" s="3">
        <f>Vendas[[#This Row],[Valor da Venda]]-(_xlfn.XLOOKUP(Vendas[[#This Row],[ID Item Vendido]],Agregado[ID],Agregado[Custo])*Vendas[[#This Row],[Qnt Vendida]])</f>
        <v>552</v>
      </c>
      <c r="K1697" s="70">
        <f>Vendas[[#This Row],[Lucro da Venda]]/Vendas[[#This Row],[Valor da Venda]]</f>
        <v>0.20168067226890757</v>
      </c>
      <c r="L1697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697"/>
    </row>
    <row r="1698" spans="1:13" x14ac:dyDescent="0.3">
      <c r="A1698" s="7">
        <v>400244</v>
      </c>
      <c r="B1698" t="str">
        <f>_xlfn.XLOOKUP(Vendas[[#This Row],[ID Vendedor]],Vendedores[ID],Vendedores[Nome])</f>
        <v>Camila</v>
      </c>
      <c r="C1698" s="7" t="str">
        <f>_xlfn.XLOOKUP(Vendas[[#This Row],[ID Vendedor]],Vendedores[ID],Vendedores[Setor])</f>
        <v>AHD</v>
      </c>
      <c r="D1698" s="7" t="s">
        <v>44</v>
      </c>
      <c r="E1698" t="str">
        <f>_xlfn.XLOOKUP(Vendas[[#This Row],[ID Item Vendido]],Agregado[ID],Agregado[Produto])</f>
        <v>Liga metálica especial</v>
      </c>
      <c r="F1698" s="39">
        <v>44705</v>
      </c>
      <c r="G1698" s="7">
        <v>54</v>
      </c>
      <c r="H1698" s="3">
        <f>_xlfn.XLOOKUP(Vendas[[#This Row],[ID Item Vendido]],Agregado[ID],Agregado[Revenda])</f>
        <v>32.5</v>
      </c>
      <c r="I1698" s="3">
        <f>Vendas[[#This Row],[Valor Unitário]]*Vendas[[#This Row],[Qnt Vendida]]</f>
        <v>1755</v>
      </c>
      <c r="J1698" s="3">
        <f>Vendas[[#This Row],[Valor da Venda]]-(_xlfn.XLOOKUP(Vendas[[#This Row],[ID Item Vendido]],Agregado[ID],Agregado[Custo])*Vendas[[#This Row],[Qnt Vendida]])</f>
        <v>405</v>
      </c>
      <c r="K1698" s="70">
        <f>Vendas[[#This Row],[Lucro da Venda]]/Vendas[[#This Row],[Valor da Venda]]</f>
        <v>0.23076923076923078</v>
      </c>
      <c r="L1698" s="3">
        <f>_xlfn.IFS(Vendas[[#This Row],[Margem de Lucro (%)]]&lt;15%,Vendas[[#This Row],[Valor da Venda]]*3%,Vendas[[#This Row],[Margem de Lucro (%)]]&lt;=20%,Vendas[[#This Row],[Valor da Venda]]*4.5%,TRUE,Vendas[[#This Row],[Valor da Venda]]*6%)</f>
        <v>105.3</v>
      </c>
      <c r="M1698"/>
    </row>
    <row r="1699" spans="1:13" x14ac:dyDescent="0.3">
      <c r="A1699" s="7">
        <v>400242</v>
      </c>
      <c r="B1699" t="str">
        <f>_xlfn.XLOOKUP(Vendas[[#This Row],[ID Vendedor]],Vendedores[ID],Vendedores[Nome])</f>
        <v>Fernanda</v>
      </c>
      <c r="C1699" s="7" t="str">
        <f>_xlfn.XLOOKUP(Vendas[[#This Row],[ID Vendedor]],Vendedores[ID],Vendedores[Setor])</f>
        <v>FM</v>
      </c>
      <c r="D1699" s="7" t="s">
        <v>6</v>
      </c>
      <c r="E1699" t="str">
        <f>_xlfn.XLOOKUP(Vendas[[#This Row],[ID Item Vendido]],Agregado[ID],Agregado[Produto])</f>
        <v>Parafuso comum 500un</v>
      </c>
      <c r="F1699" s="39">
        <v>44705</v>
      </c>
      <c r="G1699" s="7">
        <v>21</v>
      </c>
      <c r="H1699" s="3">
        <f>_xlfn.XLOOKUP(Vendas[[#This Row],[ID Item Vendido]],Agregado[ID],Agregado[Revenda])</f>
        <v>24.6</v>
      </c>
      <c r="I1699" s="3">
        <f>Vendas[[#This Row],[Valor Unitário]]*Vendas[[#This Row],[Qnt Vendida]]</f>
        <v>516.6</v>
      </c>
      <c r="J1699" s="3">
        <f>Vendas[[#This Row],[Valor da Venda]]-(_xlfn.XLOOKUP(Vendas[[#This Row],[ID Item Vendido]],Agregado[ID],Agregado[Custo])*Vendas[[#This Row],[Qnt Vendida]])</f>
        <v>54.600000000000023</v>
      </c>
      <c r="K1699" s="70">
        <f>Vendas[[#This Row],[Lucro da Venda]]/Vendas[[#This Row],[Valor da Venda]]</f>
        <v>0.10569105691056914</v>
      </c>
      <c r="L1699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1699"/>
    </row>
    <row r="1700" spans="1:13" x14ac:dyDescent="0.3">
      <c r="A1700" s="7">
        <v>400250</v>
      </c>
      <c r="B1700" t="str">
        <f>_xlfn.XLOOKUP(Vendas[[#This Row],[ID Vendedor]],Vendedores[ID],Vendedores[Nome])</f>
        <v>Larissa</v>
      </c>
      <c r="C1700" s="7" t="str">
        <f>_xlfn.XLOOKUP(Vendas[[#This Row],[ID Vendedor]],Vendedores[ID],Vendedores[Setor])</f>
        <v>AB</v>
      </c>
      <c r="D1700" s="7" t="s">
        <v>12</v>
      </c>
      <c r="E1700" t="str">
        <f>_xlfn.XLOOKUP(Vendas[[#This Row],[ID Item Vendido]],Agregado[ID],Agregado[Produto])</f>
        <v>Grânulo de plástico reciclado refinado</v>
      </c>
      <c r="F1700" s="39">
        <v>44705</v>
      </c>
      <c r="G1700" s="7">
        <v>33</v>
      </c>
      <c r="H1700" s="3">
        <f>_xlfn.XLOOKUP(Vendas[[#This Row],[ID Item Vendido]],Agregado[ID],Agregado[Revenda])</f>
        <v>4.7</v>
      </c>
      <c r="I1700" s="3">
        <f>Vendas[[#This Row],[Valor Unitário]]*Vendas[[#This Row],[Qnt Vendida]]</f>
        <v>155.1</v>
      </c>
      <c r="J1700" s="3">
        <f>Vendas[[#This Row],[Valor da Venda]]-(_xlfn.XLOOKUP(Vendas[[#This Row],[ID Item Vendido]],Agregado[ID],Agregado[Custo])*Vendas[[#This Row],[Qnt Vendida]])</f>
        <v>39.599999999999994</v>
      </c>
      <c r="K1700" s="70">
        <f>Vendas[[#This Row],[Lucro da Venda]]/Vendas[[#This Row],[Valor da Venda]]</f>
        <v>0.25531914893617019</v>
      </c>
      <c r="L1700" s="3">
        <f>_xlfn.IFS(Vendas[[#This Row],[Margem de Lucro (%)]]&lt;15%,Vendas[[#This Row],[Valor da Venda]]*3%,Vendas[[#This Row],[Margem de Lucro (%)]]&lt;=20%,Vendas[[#This Row],[Valor da Venda]]*4.5%,TRUE,Vendas[[#This Row],[Valor da Venda]]*6%)</f>
        <v>9.3059999999999992</v>
      </c>
      <c r="M1700"/>
    </row>
    <row r="1701" spans="1:13" x14ac:dyDescent="0.3">
      <c r="A1701" s="7">
        <v>400245</v>
      </c>
      <c r="B1701" t="str">
        <f>_xlfn.XLOOKUP(Vendas[[#This Row],[ID Vendedor]],Vendedores[ID],Vendedores[Nome])</f>
        <v>Thiago</v>
      </c>
      <c r="C1701" s="7" t="str">
        <f>_xlfn.XLOOKUP(Vendas[[#This Row],[ID Vendedor]],Vendedores[ID],Vendedores[Setor])</f>
        <v>AHD</v>
      </c>
      <c r="D1701" s="7" t="s">
        <v>9</v>
      </c>
      <c r="E1701" t="str">
        <f>_xlfn.XLOOKUP(Vendas[[#This Row],[ID Item Vendido]],Agregado[ID],Agregado[Produto])</f>
        <v>Barra de aço simples</v>
      </c>
      <c r="F1701" s="39">
        <v>44706</v>
      </c>
      <c r="G1701" s="7">
        <v>116</v>
      </c>
      <c r="H1701" s="3">
        <f>_xlfn.XLOOKUP(Vendas[[#This Row],[ID Item Vendido]],Agregado[ID],Agregado[Revenda])</f>
        <v>6.7</v>
      </c>
      <c r="I1701" s="3">
        <f>Vendas[[#This Row],[Valor Unitário]]*Vendas[[#This Row],[Qnt Vendida]]</f>
        <v>777.2</v>
      </c>
      <c r="J1701" s="3">
        <f>Vendas[[#This Row],[Valor da Venda]]-(_xlfn.XLOOKUP(Vendas[[#This Row],[ID Item Vendido]],Agregado[ID],Agregado[Custo])*Vendas[[#This Row],[Qnt Vendida]])</f>
        <v>104.40000000000009</v>
      </c>
      <c r="K1701" s="70">
        <f>Vendas[[#This Row],[Lucro da Venda]]/Vendas[[#This Row],[Valor da Venda]]</f>
        <v>0.13432835820895533</v>
      </c>
      <c r="L1701" s="3">
        <f>_xlfn.IFS(Vendas[[#This Row],[Margem de Lucro (%)]]&lt;15%,Vendas[[#This Row],[Valor da Venda]]*3%,Vendas[[#This Row],[Margem de Lucro (%)]]&lt;=20%,Vendas[[#This Row],[Valor da Venda]]*4.5%,TRUE,Vendas[[#This Row],[Valor da Venda]]*6%)</f>
        <v>23.315999999999999</v>
      </c>
      <c r="M1701"/>
    </row>
    <row r="1702" spans="1:13" x14ac:dyDescent="0.3">
      <c r="A1702" s="7">
        <v>400242</v>
      </c>
      <c r="B1702" t="str">
        <f>_xlfn.XLOOKUP(Vendas[[#This Row],[ID Vendedor]],Vendedores[ID],Vendedores[Nome])</f>
        <v>Fernanda</v>
      </c>
      <c r="C1702" s="7" t="str">
        <f>_xlfn.XLOOKUP(Vendas[[#This Row],[ID Vendedor]],Vendedores[ID],Vendedores[Setor])</f>
        <v>FM</v>
      </c>
      <c r="D1702" s="7" t="s">
        <v>27</v>
      </c>
      <c r="E1702" t="str">
        <f>_xlfn.XLOOKUP(Vendas[[#This Row],[ID Item Vendido]],Agregado[ID],Agregado[Produto])</f>
        <v>Chapa de metal lisa 1x2m</v>
      </c>
      <c r="F1702" s="39">
        <v>44706</v>
      </c>
      <c r="G1702" s="7">
        <v>11</v>
      </c>
      <c r="H1702" s="3">
        <f>_xlfn.XLOOKUP(Vendas[[#This Row],[ID Item Vendido]],Agregado[ID],Agregado[Revenda])</f>
        <v>52</v>
      </c>
      <c r="I1702" s="3">
        <f>Vendas[[#This Row],[Valor Unitário]]*Vendas[[#This Row],[Qnt Vendida]]</f>
        <v>572</v>
      </c>
      <c r="J1702" s="3">
        <f>Vendas[[#This Row],[Valor da Venda]]-(_xlfn.XLOOKUP(Vendas[[#This Row],[ID Item Vendido]],Agregado[ID],Agregado[Custo])*Vendas[[#This Row],[Qnt Vendida]])</f>
        <v>77</v>
      </c>
      <c r="K1702" s="70">
        <f>Vendas[[#This Row],[Lucro da Venda]]/Vendas[[#This Row],[Valor da Venda]]</f>
        <v>0.13461538461538461</v>
      </c>
      <c r="L1702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1702"/>
    </row>
    <row r="1703" spans="1:13" x14ac:dyDescent="0.3">
      <c r="A1703" s="7">
        <v>400244</v>
      </c>
      <c r="B1703" t="str">
        <f>_xlfn.XLOOKUP(Vendas[[#This Row],[ID Vendedor]],Vendedores[ID],Vendedores[Nome])</f>
        <v>Camila</v>
      </c>
      <c r="C1703" s="7" t="str">
        <f>_xlfn.XLOOKUP(Vendas[[#This Row],[ID Vendedor]],Vendedores[ID],Vendedores[Setor])</f>
        <v>AHD</v>
      </c>
      <c r="D1703" s="7" t="s">
        <v>18</v>
      </c>
      <c r="E1703" t="str">
        <f>_xlfn.XLOOKUP(Vendas[[#This Row],[ID Item Vendido]],Agregado[ID],Agregado[Produto])</f>
        <v>Peça forjada sob encomenda</v>
      </c>
      <c r="F1703" s="39">
        <v>44706</v>
      </c>
      <c r="G1703" s="7">
        <v>1</v>
      </c>
      <c r="H1703" s="3">
        <f>_xlfn.XLOOKUP(Vendas[[#This Row],[ID Item Vendido]],Agregado[ID],Agregado[Revenda])</f>
        <v>264.60000000000002</v>
      </c>
      <c r="I1703" s="3">
        <f>Vendas[[#This Row],[Valor Unitário]]*Vendas[[#This Row],[Qnt Vendida]]</f>
        <v>264.60000000000002</v>
      </c>
      <c r="J1703" s="3">
        <f>Vendas[[#This Row],[Valor da Venda]]-(_xlfn.XLOOKUP(Vendas[[#This Row],[ID Item Vendido]],Agregado[ID],Agregado[Custo])*Vendas[[#This Row],[Qnt Vendida]])</f>
        <v>14.600000000000023</v>
      </c>
      <c r="K1703" s="70">
        <f>Vendas[[#This Row],[Lucro da Venda]]/Vendas[[#This Row],[Valor da Venda]]</f>
        <v>5.5177626606198113E-2</v>
      </c>
      <c r="L1703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703"/>
    </row>
    <row r="1704" spans="1:13" x14ac:dyDescent="0.3">
      <c r="A1704" s="7">
        <v>400250</v>
      </c>
      <c r="B1704" t="str">
        <f>_xlfn.XLOOKUP(Vendas[[#This Row],[ID Vendedor]],Vendedores[ID],Vendedores[Nome])</f>
        <v>Larissa</v>
      </c>
      <c r="C1704" s="7" t="str">
        <f>_xlfn.XLOOKUP(Vendas[[#This Row],[ID Vendedor]],Vendedores[ID],Vendedores[Setor])</f>
        <v>AB</v>
      </c>
      <c r="D1704" s="7" t="s">
        <v>12</v>
      </c>
      <c r="E1704" t="str">
        <f>_xlfn.XLOOKUP(Vendas[[#This Row],[ID Item Vendido]],Agregado[ID],Agregado[Produto])</f>
        <v>Grânulo de plástico reciclado refinado</v>
      </c>
      <c r="F1704" s="39">
        <v>44706</v>
      </c>
      <c r="G1704" s="7">
        <v>59</v>
      </c>
      <c r="H1704" s="3">
        <f>_xlfn.XLOOKUP(Vendas[[#This Row],[ID Item Vendido]],Agregado[ID],Agregado[Revenda])</f>
        <v>4.7</v>
      </c>
      <c r="I1704" s="3">
        <f>Vendas[[#This Row],[Valor Unitário]]*Vendas[[#This Row],[Qnt Vendida]]</f>
        <v>277.3</v>
      </c>
      <c r="J1704" s="3">
        <f>Vendas[[#This Row],[Valor da Venda]]-(_xlfn.XLOOKUP(Vendas[[#This Row],[ID Item Vendido]],Agregado[ID],Agregado[Custo])*Vendas[[#This Row],[Qnt Vendida]])</f>
        <v>70.800000000000011</v>
      </c>
      <c r="K1704" s="70">
        <f>Vendas[[#This Row],[Lucro da Venda]]/Vendas[[#This Row],[Valor da Venda]]</f>
        <v>0.25531914893617025</v>
      </c>
      <c r="L1704" s="3">
        <f>_xlfn.IFS(Vendas[[#This Row],[Margem de Lucro (%)]]&lt;15%,Vendas[[#This Row],[Valor da Venda]]*3%,Vendas[[#This Row],[Margem de Lucro (%)]]&lt;=20%,Vendas[[#This Row],[Valor da Venda]]*4.5%,TRUE,Vendas[[#This Row],[Valor da Venda]]*6%)</f>
        <v>16.638000000000002</v>
      </c>
      <c r="M1704"/>
    </row>
    <row r="1705" spans="1:13" x14ac:dyDescent="0.3">
      <c r="A1705" s="7">
        <v>400255</v>
      </c>
      <c r="B1705" t="str">
        <f>_xlfn.XLOOKUP(Vendas[[#This Row],[ID Vendedor]],Vendedores[ID],Vendedores[Nome])</f>
        <v>Carlos</v>
      </c>
      <c r="C1705" s="7" t="str">
        <f>_xlfn.XLOOKUP(Vendas[[#This Row],[ID Vendedor]],Vendedores[ID],Vendedores[Setor])</f>
        <v>SC</v>
      </c>
      <c r="D1705" s="7" t="s">
        <v>41</v>
      </c>
      <c r="E1705" t="str">
        <f>_xlfn.XLOOKUP(Vendas[[#This Row],[ID Item Vendido]],Agregado[ID],Agregado[Produto])</f>
        <v>Palete de madeira reforçado</v>
      </c>
      <c r="F1705" s="39">
        <v>44706</v>
      </c>
      <c r="G1705" s="7">
        <v>1</v>
      </c>
      <c r="H1705" s="3">
        <f>_xlfn.XLOOKUP(Vendas[[#This Row],[ID Item Vendido]],Agregado[ID],Agregado[Revenda])</f>
        <v>131</v>
      </c>
      <c r="I1705" s="3">
        <f>Vendas[[#This Row],[Valor Unitário]]*Vendas[[#This Row],[Qnt Vendida]]</f>
        <v>131</v>
      </c>
      <c r="J1705" s="3">
        <f>Vendas[[#This Row],[Valor da Venda]]-(_xlfn.XLOOKUP(Vendas[[#This Row],[ID Item Vendido]],Agregado[ID],Agregado[Custo])*Vendas[[#This Row],[Qnt Vendida]])</f>
        <v>21</v>
      </c>
      <c r="K1705" s="70">
        <f>Vendas[[#This Row],[Lucro da Venda]]/Vendas[[#This Row],[Valor da Venda]]</f>
        <v>0.16030534351145037</v>
      </c>
      <c r="L1705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1705"/>
    </row>
    <row r="1706" spans="1:13" x14ac:dyDescent="0.3">
      <c r="A1706" s="7">
        <v>400245</v>
      </c>
      <c r="B1706" t="str">
        <f>_xlfn.XLOOKUP(Vendas[[#This Row],[ID Vendedor]],Vendedores[ID],Vendedores[Nome])</f>
        <v>Thiago</v>
      </c>
      <c r="C1706" s="7" t="str">
        <f>_xlfn.XLOOKUP(Vendas[[#This Row],[ID Vendedor]],Vendedores[ID],Vendedores[Setor])</f>
        <v>AHD</v>
      </c>
      <c r="D1706" s="7" t="s">
        <v>30</v>
      </c>
      <c r="E1706" t="str">
        <f>_xlfn.XLOOKUP(Vendas[[#This Row],[ID Item Vendido]],Agregado[ID],Agregado[Produto])</f>
        <v>Estrutura metálica soldada</v>
      </c>
      <c r="F1706" s="39">
        <v>44707</v>
      </c>
      <c r="G1706" s="7">
        <v>6</v>
      </c>
      <c r="H1706" s="3">
        <f>_xlfn.XLOOKUP(Vendas[[#This Row],[ID Item Vendido]],Agregado[ID],Agregado[Revenda])</f>
        <v>400</v>
      </c>
      <c r="I1706" s="3">
        <f>Vendas[[#This Row],[Valor Unitário]]*Vendas[[#This Row],[Qnt Vendida]]</f>
        <v>2400</v>
      </c>
      <c r="J1706" s="3">
        <f>Vendas[[#This Row],[Valor da Venda]]-(_xlfn.XLOOKUP(Vendas[[#This Row],[ID Item Vendido]],Agregado[ID],Agregado[Custo])*Vendas[[#This Row],[Qnt Vendida]])</f>
        <v>480</v>
      </c>
      <c r="K1706" s="70">
        <f>Vendas[[#This Row],[Lucro da Venda]]/Vendas[[#This Row],[Valor da Venda]]</f>
        <v>0.2</v>
      </c>
      <c r="L1706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1706"/>
    </row>
    <row r="1707" spans="1:13" x14ac:dyDescent="0.3">
      <c r="A1707" s="7">
        <v>400242</v>
      </c>
      <c r="B1707" t="str">
        <f>_xlfn.XLOOKUP(Vendas[[#This Row],[ID Vendedor]],Vendedores[ID],Vendedores[Nome])</f>
        <v>Fernanda</v>
      </c>
      <c r="C1707" s="7" t="str">
        <f>_xlfn.XLOOKUP(Vendas[[#This Row],[ID Vendedor]],Vendedores[ID],Vendedores[Setor])</f>
        <v>FM</v>
      </c>
      <c r="D1707" s="7" t="s">
        <v>27</v>
      </c>
      <c r="E1707" t="str">
        <f>_xlfn.XLOOKUP(Vendas[[#This Row],[ID Item Vendido]],Agregado[ID],Agregado[Produto])</f>
        <v>Chapa de metal lisa 1x2m</v>
      </c>
      <c r="F1707" s="39">
        <v>44707</v>
      </c>
      <c r="G1707" s="7">
        <v>24</v>
      </c>
      <c r="H1707" s="3">
        <f>_xlfn.XLOOKUP(Vendas[[#This Row],[ID Item Vendido]],Agregado[ID],Agregado[Revenda])</f>
        <v>52</v>
      </c>
      <c r="I1707" s="3">
        <f>Vendas[[#This Row],[Valor Unitário]]*Vendas[[#This Row],[Qnt Vendida]]</f>
        <v>1248</v>
      </c>
      <c r="J1707" s="3">
        <f>Vendas[[#This Row],[Valor da Venda]]-(_xlfn.XLOOKUP(Vendas[[#This Row],[ID Item Vendido]],Agregado[ID],Agregado[Custo])*Vendas[[#This Row],[Qnt Vendida]])</f>
        <v>168</v>
      </c>
      <c r="K1707" s="70">
        <f>Vendas[[#This Row],[Lucro da Venda]]/Vendas[[#This Row],[Valor da Venda]]</f>
        <v>0.13461538461538461</v>
      </c>
      <c r="L1707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1707"/>
    </row>
    <row r="1708" spans="1:13" x14ac:dyDescent="0.3">
      <c r="A1708" s="7">
        <v>400244</v>
      </c>
      <c r="B1708" t="str">
        <f>_xlfn.XLOOKUP(Vendas[[#This Row],[ID Vendedor]],Vendedores[ID],Vendedores[Nome])</f>
        <v>Camila</v>
      </c>
      <c r="C1708" s="7" t="str">
        <f>_xlfn.XLOOKUP(Vendas[[#This Row],[ID Vendedor]],Vendedores[ID],Vendedores[Setor])</f>
        <v>AHD</v>
      </c>
      <c r="D1708" s="7" t="s">
        <v>44</v>
      </c>
      <c r="E1708" t="str">
        <f>_xlfn.XLOOKUP(Vendas[[#This Row],[ID Item Vendido]],Agregado[ID],Agregado[Produto])</f>
        <v>Liga metálica especial</v>
      </c>
      <c r="F1708" s="39">
        <v>44707</v>
      </c>
      <c r="G1708" s="7">
        <v>21</v>
      </c>
      <c r="H1708" s="3">
        <f>_xlfn.XLOOKUP(Vendas[[#This Row],[ID Item Vendido]],Agregado[ID],Agregado[Revenda])</f>
        <v>32.5</v>
      </c>
      <c r="I1708" s="3">
        <f>Vendas[[#This Row],[Valor Unitário]]*Vendas[[#This Row],[Qnt Vendida]]</f>
        <v>682.5</v>
      </c>
      <c r="J1708" s="3">
        <f>Vendas[[#This Row],[Valor da Venda]]-(_xlfn.XLOOKUP(Vendas[[#This Row],[ID Item Vendido]],Agregado[ID],Agregado[Custo])*Vendas[[#This Row],[Qnt Vendida]])</f>
        <v>157.5</v>
      </c>
      <c r="K1708" s="70">
        <f>Vendas[[#This Row],[Lucro da Venda]]/Vendas[[#This Row],[Valor da Venda]]</f>
        <v>0.23076923076923078</v>
      </c>
      <c r="L1708" s="3">
        <f>_xlfn.IFS(Vendas[[#This Row],[Margem de Lucro (%)]]&lt;15%,Vendas[[#This Row],[Valor da Venda]]*3%,Vendas[[#This Row],[Margem de Lucro (%)]]&lt;=20%,Vendas[[#This Row],[Valor da Venda]]*4.5%,TRUE,Vendas[[#This Row],[Valor da Venda]]*6%)</f>
        <v>40.949999999999996</v>
      </c>
      <c r="M1708"/>
    </row>
    <row r="1709" spans="1:13" x14ac:dyDescent="0.3">
      <c r="A1709" s="7">
        <v>400244</v>
      </c>
      <c r="B1709" t="str">
        <f>_xlfn.XLOOKUP(Vendas[[#This Row],[ID Vendedor]],Vendedores[ID],Vendedores[Nome])</f>
        <v>Camila</v>
      </c>
      <c r="C1709" s="7" t="str">
        <f>_xlfn.XLOOKUP(Vendas[[#This Row],[ID Vendedor]],Vendedores[ID],Vendedores[Setor])</f>
        <v>AHD</v>
      </c>
      <c r="D1709" s="7" t="s">
        <v>18</v>
      </c>
      <c r="E1709" t="str">
        <f>_xlfn.XLOOKUP(Vendas[[#This Row],[ID Item Vendido]],Agregado[ID],Agregado[Produto])</f>
        <v>Peça forjada sob encomenda</v>
      </c>
      <c r="F1709" s="39">
        <v>44707</v>
      </c>
      <c r="G1709" s="7">
        <v>1</v>
      </c>
      <c r="H1709" s="3">
        <f>_xlfn.XLOOKUP(Vendas[[#This Row],[ID Item Vendido]],Agregado[ID],Agregado[Revenda])</f>
        <v>264.60000000000002</v>
      </c>
      <c r="I1709" s="3">
        <f>Vendas[[#This Row],[Valor Unitário]]*Vendas[[#This Row],[Qnt Vendida]]</f>
        <v>264.60000000000002</v>
      </c>
      <c r="J1709" s="3">
        <f>Vendas[[#This Row],[Valor da Venda]]-(_xlfn.XLOOKUP(Vendas[[#This Row],[ID Item Vendido]],Agregado[ID],Agregado[Custo])*Vendas[[#This Row],[Qnt Vendida]])</f>
        <v>14.600000000000023</v>
      </c>
      <c r="K1709" s="70">
        <f>Vendas[[#This Row],[Lucro da Venda]]/Vendas[[#This Row],[Valor da Venda]]</f>
        <v>5.5177626606198113E-2</v>
      </c>
      <c r="L1709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1709"/>
    </row>
    <row r="1710" spans="1:13" x14ac:dyDescent="0.3">
      <c r="A1710" s="7">
        <v>400245</v>
      </c>
      <c r="B1710" t="str">
        <f>_xlfn.XLOOKUP(Vendas[[#This Row],[ID Vendedor]],Vendedores[ID],Vendedores[Nome])</f>
        <v>Thiago</v>
      </c>
      <c r="C1710" s="7" t="str">
        <f>_xlfn.XLOOKUP(Vendas[[#This Row],[ID Vendedor]],Vendedores[ID],Vendedores[Setor])</f>
        <v>AHD</v>
      </c>
      <c r="D1710" s="7" t="s">
        <v>9</v>
      </c>
      <c r="E1710" t="str">
        <f>_xlfn.XLOOKUP(Vendas[[#This Row],[ID Item Vendido]],Agregado[ID],Agregado[Produto])</f>
        <v>Barra de aço simples</v>
      </c>
      <c r="F1710" s="39">
        <v>44707</v>
      </c>
      <c r="G1710" s="7">
        <v>59</v>
      </c>
      <c r="H1710" s="3">
        <f>_xlfn.XLOOKUP(Vendas[[#This Row],[ID Item Vendido]],Agregado[ID],Agregado[Revenda])</f>
        <v>6.7</v>
      </c>
      <c r="I1710" s="3">
        <f>Vendas[[#This Row],[Valor Unitário]]*Vendas[[#This Row],[Qnt Vendida]]</f>
        <v>395.3</v>
      </c>
      <c r="J1710" s="3">
        <f>Vendas[[#This Row],[Valor da Venda]]-(_xlfn.XLOOKUP(Vendas[[#This Row],[ID Item Vendido]],Agregado[ID],Agregado[Custo])*Vendas[[#This Row],[Qnt Vendida]])</f>
        <v>53.100000000000023</v>
      </c>
      <c r="K1710" s="70">
        <f>Vendas[[#This Row],[Lucro da Venda]]/Vendas[[#This Row],[Valor da Venda]]</f>
        <v>0.13432835820895528</v>
      </c>
      <c r="L1710" s="3">
        <f>_xlfn.IFS(Vendas[[#This Row],[Margem de Lucro (%)]]&lt;15%,Vendas[[#This Row],[Valor da Venda]]*3%,Vendas[[#This Row],[Margem de Lucro (%)]]&lt;=20%,Vendas[[#This Row],[Valor da Venda]]*4.5%,TRUE,Vendas[[#This Row],[Valor da Venda]]*6%)</f>
        <v>11.859</v>
      </c>
      <c r="M1710"/>
    </row>
    <row r="1711" spans="1:13" x14ac:dyDescent="0.3">
      <c r="A1711" s="7">
        <v>400253</v>
      </c>
      <c r="B1711" t="str">
        <f>_xlfn.XLOOKUP(Vendas[[#This Row],[ID Vendedor]],Vendedores[ID],Vendedores[Nome])</f>
        <v>Gustavo</v>
      </c>
      <c r="C1711" s="7" t="str">
        <f>_xlfn.XLOOKUP(Vendas[[#This Row],[ID Vendedor]],Vendedores[ID],Vendedores[Setor])</f>
        <v>SC</v>
      </c>
      <c r="D1711" s="7" t="s">
        <v>42</v>
      </c>
      <c r="E1711" t="str">
        <f>_xlfn.XLOOKUP(Vendas[[#This Row],[ID Item Vendido]],Agregado[ID],Agregado[Produto])</f>
        <v>Container de ferro industrial</v>
      </c>
      <c r="F1711" s="39">
        <v>44708</v>
      </c>
      <c r="G1711" s="7">
        <v>6</v>
      </c>
      <c r="H1711" s="3">
        <f>_xlfn.XLOOKUP(Vendas[[#This Row],[ID Item Vendido]],Agregado[ID],Agregado[Revenda])</f>
        <v>830</v>
      </c>
      <c r="I1711" s="3">
        <f>Vendas[[#This Row],[Valor Unitário]]*Vendas[[#This Row],[Qnt Vendida]]</f>
        <v>4980</v>
      </c>
      <c r="J1711" s="3">
        <f>Vendas[[#This Row],[Valor da Venda]]-(_xlfn.XLOOKUP(Vendas[[#This Row],[ID Item Vendido]],Agregado[ID],Agregado[Custo])*Vendas[[#This Row],[Qnt Vendida]])</f>
        <v>900</v>
      </c>
      <c r="K1711" s="70">
        <f>Vendas[[#This Row],[Lucro da Venda]]/Vendas[[#This Row],[Valor da Venda]]</f>
        <v>0.18072289156626506</v>
      </c>
      <c r="L171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711"/>
    </row>
    <row r="1712" spans="1:13" x14ac:dyDescent="0.3">
      <c r="A1712" s="7">
        <v>400244</v>
      </c>
      <c r="B1712" t="str">
        <f>_xlfn.XLOOKUP(Vendas[[#This Row],[ID Vendedor]],Vendedores[ID],Vendedores[Nome])</f>
        <v>Camila</v>
      </c>
      <c r="C1712" s="7" t="str">
        <f>_xlfn.XLOOKUP(Vendas[[#This Row],[ID Vendedor]],Vendedores[ID],Vendedores[Setor])</f>
        <v>AHD</v>
      </c>
      <c r="D1712" s="7" t="s">
        <v>28</v>
      </c>
      <c r="E1712" t="str">
        <f>_xlfn.XLOOKUP(Vendas[[#This Row],[ID Item Vendido]],Agregado[ID],Agregado[Produto])</f>
        <v>Peça usinada CNC</v>
      </c>
      <c r="F1712" s="39">
        <v>44708</v>
      </c>
      <c r="G1712" s="7">
        <v>7</v>
      </c>
      <c r="H1712" s="3">
        <f>_xlfn.XLOOKUP(Vendas[[#This Row],[ID Item Vendido]],Agregado[ID],Agregado[Revenda])</f>
        <v>192</v>
      </c>
      <c r="I1712" s="3">
        <f>Vendas[[#This Row],[Valor Unitário]]*Vendas[[#This Row],[Qnt Vendida]]</f>
        <v>1344</v>
      </c>
      <c r="J1712" s="3">
        <f>Vendas[[#This Row],[Valor da Venda]]-(_xlfn.XLOOKUP(Vendas[[#This Row],[ID Item Vendido]],Agregado[ID],Agregado[Custo])*Vendas[[#This Row],[Qnt Vendida]])</f>
        <v>294</v>
      </c>
      <c r="K1712" s="70">
        <f>Vendas[[#This Row],[Lucro da Venda]]/Vendas[[#This Row],[Valor da Venda]]</f>
        <v>0.21875</v>
      </c>
      <c r="L1712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1712"/>
    </row>
    <row r="1713" spans="1:13" x14ac:dyDescent="0.3">
      <c r="A1713" s="7">
        <v>400245</v>
      </c>
      <c r="B1713" t="str">
        <f>_xlfn.XLOOKUP(Vendas[[#This Row],[ID Vendedor]],Vendedores[ID],Vendedores[Nome])</f>
        <v>Thiago</v>
      </c>
      <c r="C1713" s="7" t="str">
        <f>_xlfn.XLOOKUP(Vendas[[#This Row],[ID Vendedor]],Vendedores[ID],Vendedores[Setor])</f>
        <v>AHD</v>
      </c>
      <c r="D1713" s="7" t="s">
        <v>28</v>
      </c>
      <c r="E1713" t="str">
        <f>_xlfn.XLOOKUP(Vendas[[#This Row],[ID Item Vendido]],Agregado[ID],Agregado[Produto])</f>
        <v>Peça usinada CNC</v>
      </c>
      <c r="F1713" s="39">
        <v>44709</v>
      </c>
      <c r="G1713" s="7">
        <v>15</v>
      </c>
      <c r="H1713" s="3">
        <f>_xlfn.XLOOKUP(Vendas[[#This Row],[ID Item Vendido]],Agregado[ID],Agregado[Revenda])</f>
        <v>192</v>
      </c>
      <c r="I1713" s="3">
        <f>Vendas[[#This Row],[Valor Unitário]]*Vendas[[#This Row],[Qnt Vendida]]</f>
        <v>2880</v>
      </c>
      <c r="J1713" s="3">
        <f>Vendas[[#This Row],[Valor da Venda]]-(_xlfn.XLOOKUP(Vendas[[#This Row],[ID Item Vendido]],Agregado[ID],Agregado[Custo])*Vendas[[#This Row],[Qnt Vendida]])</f>
        <v>630</v>
      </c>
      <c r="K1713" s="70">
        <f>Vendas[[#This Row],[Lucro da Venda]]/Vendas[[#This Row],[Valor da Venda]]</f>
        <v>0.21875</v>
      </c>
      <c r="L1713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1713"/>
    </row>
    <row r="1714" spans="1:13" x14ac:dyDescent="0.3">
      <c r="A1714" s="7">
        <v>400247</v>
      </c>
      <c r="B1714" t="str">
        <f>_xlfn.XLOOKUP(Vendas[[#This Row],[ID Vendedor]],Vendedores[ID],Vendedores[Nome])</f>
        <v>André</v>
      </c>
      <c r="C1714" s="7" t="str">
        <f>_xlfn.XLOOKUP(Vendas[[#This Row],[ID Vendedor]],Vendedores[ID],Vendedores[Setor])</f>
        <v>CM</v>
      </c>
      <c r="D1714" s="7" t="s">
        <v>34</v>
      </c>
      <c r="E1714" t="str">
        <f>_xlfn.XLOOKUP(Vendas[[#This Row],[ID Item Vendido]],Agregado[ID],Agregado[Produto])</f>
        <v>Restos de madeira p/ MDP/OSB saco de 20kg</v>
      </c>
      <c r="F1714" s="39">
        <v>44709</v>
      </c>
      <c r="G1714" s="7">
        <v>22</v>
      </c>
      <c r="H1714" s="3">
        <f>_xlfn.XLOOKUP(Vendas[[#This Row],[ID Item Vendido]],Agregado[ID],Agregado[Revenda])</f>
        <v>13.8</v>
      </c>
      <c r="I1714" s="3">
        <f>Vendas[[#This Row],[Valor Unitário]]*Vendas[[#This Row],[Qnt Vendida]]</f>
        <v>303.60000000000002</v>
      </c>
      <c r="J1714" s="3">
        <f>Vendas[[#This Row],[Valor da Venda]]-(_xlfn.XLOOKUP(Vendas[[#This Row],[ID Item Vendido]],Agregado[ID],Agregado[Custo])*Vendas[[#This Row],[Qnt Vendida]])</f>
        <v>39.600000000000023</v>
      </c>
      <c r="K1714" s="70">
        <f>Vendas[[#This Row],[Lucro da Venda]]/Vendas[[#This Row],[Valor da Venda]]</f>
        <v>0.1304347826086957</v>
      </c>
      <c r="L1714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1714"/>
    </row>
    <row r="1715" spans="1:13" x14ac:dyDescent="0.3">
      <c r="A1715" s="7">
        <v>400248</v>
      </c>
      <c r="B1715" t="str">
        <f>_xlfn.XLOOKUP(Vendas[[#This Row],[ID Vendedor]],Vendedores[ID],Vendedores[Nome])</f>
        <v>Patrícia</v>
      </c>
      <c r="C1715" s="7" t="str">
        <f>_xlfn.XLOOKUP(Vendas[[#This Row],[ID Vendedor]],Vendedores[ID],Vendedores[Setor])</f>
        <v>CM</v>
      </c>
      <c r="D1715" s="7" t="s">
        <v>45</v>
      </c>
      <c r="E1715" t="str">
        <f>_xlfn.XLOOKUP(Vendas[[#This Row],[ID Item Vendido]],Agregado[ID],Agregado[Produto])</f>
        <v>Viga de madeira tratada 4m</v>
      </c>
      <c r="F1715" s="39">
        <v>44709</v>
      </c>
      <c r="G1715" s="7">
        <v>3</v>
      </c>
      <c r="H1715" s="3">
        <f>_xlfn.XLOOKUP(Vendas[[#This Row],[ID Item Vendido]],Agregado[ID],Agregado[Revenda])</f>
        <v>66</v>
      </c>
      <c r="I1715" s="3">
        <f>Vendas[[#This Row],[Valor Unitário]]*Vendas[[#This Row],[Qnt Vendida]]</f>
        <v>198</v>
      </c>
      <c r="J1715" s="3">
        <f>Vendas[[#This Row],[Valor da Venda]]-(_xlfn.XLOOKUP(Vendas[[#This Row],[ID Item Vendido]],Agregado[ID],Agregado[Custo])*Vendas[[#This Row],[Qnt Vendida]])</f>
        <v>33</v>
      </c>
      <c r="K1715" s="70">
        <f>Vendas[[#This Row],[Lucro da Venda]]/Vendas[[#This Row],[Valor da Venda]]</f>
        <v>0.16666666666666666</v>
      </c>
      <c r="L1715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1715"/>
    </row>
    <row r="1716" spans="1:13" x14ac:dyDescent="0.3">
      <c r="A1716" s="7">
        <v>400249</v>
      </c>
      <c r="B1716" t="str">
        <f>_xlfn.XLOOKUP(Vendas[[#This Row],[ID Vendedor]],Vendedores[ID],Vendedores[Nome])</f>
        <v>Bruno</v>
      </c>
      <c r="C1716" s="7" t="str">
        <f>_xlfn.XLOOKUP(Vendas[[#This Row],[ID Vendedor]],Vendedores[ID],Vendedores[Setor])</f>
        <v>CM</v>
      </c>
      <c r="D1716" s="7" t="s">
        <v>32</v>
      </c>
      <c r="E1716" t="str">
        <f>_xlfn.XLOOKUP(Vendas[[#This Row],[ID Item Vendido]],Agregado[ID],Agregado[Produto])</f>
        <v>Tábua tratada e cortada 3m</v>
      </c>
      <c r="F1716" s="39">
        <v>44710</v>
      </c>
      <c r="G1716" s="7">
        <v>43</v>
      </c>
      <c r="H1716" s="3">
        <f>_xlfn.XLOOKUP(Vendas[[#This Row],[ID Item Vendido]],Agregado[ID],Agregado[Revenda])</f>
        <v>39</v>
      </c>
      <c r="I1716" s="3">
        <f>Vendas[[#This Row],[Valor Unitário]]*Vendas[[#This Row],[Qnt Vendida]]</f>
        <v>1677</v>
      </c>
      <c r="J1716" s="3">
        <f>Vendas[[#This Row],[Valor da Venda]]-(_xlfn.XLOOKUP(Vendas[[#This Row],[ID Item Vendido]],Agregado[ID],Agregado[Custo])*Vendas[[#This Row],[Qnt Vendida]])</f>
        <v>301</v>
      </c>
      <c r="K1716" s="70">
        <f>Vendas[[#This Row],[Lucro da Venda]]/Vendas[[#This Row],[Valor da Venda]]</f>
        <v>0.17948717948717949</v>
      </c>
      <c r="L1716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1716"/>
    </row>
    <row r="1717" spans="1:13" x14ac:dyDescent="0.3">
      <c r="A1717" s="7">
        <v>400250</v>
      </c>
      <c r="B1717" t="str">
        <f>_xlfn.XLOOKUP(Vendas[[#This Row],[ID Vendedor]],Vendedores[ID],Vendedores[Nome])</f>
        <v>Larissa</v>
      </c>
      <c r="C1717" s="7" t="str">
        <f>_xlfn.XLOOKUP(Vendas[[#This Row],[ID Vendedor]],Vendedores[ID],Vendedores[Setor])</f>
        <v>AB</v>
      </c>
      <c r="D1717" s="7" t="s">
        <v>39</v>
      </c>
      <c r="E1717" t="str">
        <f>_xlfn.XLOOKUP(Vendas[[#This Row],[ID Item Vendido]],Agregado[ID],Agregado[Produto])</f>
        <v>Filme plástico industrial rolo 50m</v>
      </c>
      <c r="F1717" s="39">
        <v>44710</v>
      </c>
      <c r="G1717" s="7">
        <v>14</v>
      </c>
      <c r="H1717" s="3">
        <f>_xlfn.XLOOKUP(Vendas[[#This Row],[ID Item Vendido]],Agregado[ID],Agregado[Revenda])</f>
        <v>37</v>
      </c>
      <c r="I1717" s="3">
        <f>Vendas[[#This Row],[Valor Unitário]]*Vendas[[#This Row],[Qnt Vendida]]</f>
        <v>518</v>
      </c>
      <c r="J1717" s="3">
        <f>Vendas[[#This Row],[Valor da Venda]]-(_xlfn.XLOOKUP(Vendas[[#This Row],[ID Item Vendido]],Agregado[ID],Agregado[Custo])*Vendas[[#This Row],[Qnt Vendida]])</f>
        <v>126</v>
      </c>
      <c r="K1717" s="70">
        <f>Vendas[[#This Row],[Lucro da Venda]]/Vendas[[#This Row],[Valor da Venda]]</f>
        <v>0.24324324324324326</v>
      </c>
      <c r="L1717" s="3">
        <f>_xlfn.IFS(Vendas[[#This Row],[Margem de Lucro (%)]]&lt;15%,Vendas[[#This Row],[Valor da Venda]]*3%,Vendas[[#This Row],[Margem de Lucro (%)]]&lt;=20%,Vendas[[#This Row],[Valor da Venda]]*4.5%,TRUE,Vendas[[#This Row],[Valor da Venda]]*6%)</f>
        <v>31.08</v>
      </c>
      <c r="M1717"/>
    </row>
    <row r="1718" spans="1:13" x14ac:dyDescent="0.3">
      <c r="A1718" s="7">
        <v>400243</v>
      </c>
      <c r="B1718" t="str">
        <f>_xlfn.XLOOKUP(Vendas[[#This Row],[ID Vendedor]],Vendedores[ID],Vendedores[Nome])</f>
        <v>Marcelo</v>
      </c>
      <c r="C1718" s="7" t="str">
        <f>_xlfn.XLOOKUP(Vendas[[#This Row],[ID Vendedor]],Vendedores[ID],Vendedores[Setor])</f>
        <v>FM</v>
      </c>
      <c r="D1718" s="7" t="s">
        <v>20</v>
      </c>
      <c r="E1718" t="str">
        <f>_xlfn.XLOOKUP(Vendas[[#This Row],[ID Item Vendido]],Agregado[ID],Agregado[Produto])</f>
        <v>Barra de aço simples</v>
      </c>
      <c r="F1718" s="39">
        <v>44710</v>
      </c>
      <c r="G1718" s="7">
        <v>80</v>
      </c>
      <c r="H1718" s="3">
        <f>_xlfn.XLOOKUP(Vendas[[#This Row],[ID Item Vendido]],Agregado[ID],Agregado[Revenda])</f>
        <v>4.8</v>
      </c>
      <c r="I1718" s="3">
        <f>Vendas[[#This Row],[Valor Unitário]]*Vendas[[#This Row],[Qnt Vendida]]</f>
        <v>384</v>
      </c>
      <c r="J1718" s="3">
        <f>Vendas[[#This Row],[Valor da Venda]]-(_xlfn.XLOOKUP(Vendas[[#This Row],[ID Item Vendido]],Agregado[ID],Agregado[Custo])*Vendas[[#This Row],[Qnt Vendida]])</f>
        <v>48</v>
      </c>
      <c r="K1718" s="70">
        <f>Vendas[[#This Row],[Lucro da Venda]]/Vendas[[#This Row],[Valor da Venda]]</f>
        <v>0.125</v>
      </c>
      <c r="L1718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1718"/>
    </row>
    <row r="1719" spans="1:13" x14ac:dyDescent="0.3">
      <c r="A1719" s="7">
        <v>400243</v>
      </c>
      <c r="B1719" t="str">
        <f>_xlfn.XLOOKUP(Vendas[[#This Row],[ID Vendedor]],Vendedores[ID],Vendedores[Nome])</f>
        <v>Marcelo</v>
      </c>
      <c r="C1719" s="7" t="str">
        <f>_xlfn.XLOOKUP(Vendas[[#This Row],[ID Vendedor]],Vendedores[ID],Vendedores[Setor])</f>
        <v>FM</v>
      </c>
      <c r="D1719" s="7" t="s">
        <v>20</v>
      </c>
      <c r="E1719" t="str">
        <f>_xlfn.XLOOKUP(Vendas[[#This Row],[ID Item Vendido]],Agregado[ID],Agregado[Produto])</f>
        <v>Barra de aço simples</v>
      </c>
      <c r="F1719" s="39">
        <v>44711</v>
      </c>
      <c r="G1719" s="7">
        <v>140</v>
      </c>
      <c r="H1719" s="3">
        <f>_xlfn.XLOOKUP(Vendas[[#This Row],[ID Item Vendido]],Agregado[ID],Agregado[Revenda])</f>
        <v>4.8</v>
      </c>
      <c r="I1719" s="3">
        <f>Vendas[[#This Row],[Valor Unitário]]*Vendas[[#This Row],[Qnt Vendida]]</f>
        <v>672</v>
      </c>
      <c r="J1719" s="3">
        <f>Vendas[[#This Row],[Valor da Venda]]-(_xlfn.XLOOKUP(Vendas[[#This Row],[ID Item Vendido]],Agregado[ID],Agregado[Custo])*Vendas[[#This Row],[Qnt Vendida]])</f>
        <v>84</v>
      </c>
      <c r="K1719" s="70">
        <f>Vendas[[#This Row],[Lucro da Venda]]/Vendas[[#This Row],[Valor da Venda]]</f>
        <v>0.125</v>
      </c>
      <c r="L1719" s="3">
        <f>_xlfn.IFS(Vendas[[#This Row],[Margem de Lucro (%)]]&lt;15%,Vendas[[#This Row],[Valor da Venda]]*3%,Vendas[[#This Row],[Margem de Lucro (%)]]&lt;=20%,Vendas[[#This Row],[Valor da Venda]]*4.5%,TRUE,Vendas[[#This Row],[Valor da Venda]]*6%)</f>
        <v>20.16</v>
      </c>
      <c r="M1719"/>
    </row>
    <row r="1720" spans="1:13" x14ac:dyDescent="0.3">
      <c r="A1720" s="7">
        <v>400247</v>
      </c>
      <c r="B1720" t="str">
        <f>_xlfn.XLOOKUP(Vendas[[#This Row],[ID Vendedor]],Vendedores[ID],Vendedores[Nome])</f>
        <v>André</v>
      </c>
      <c r="C1720" s="7" t="str">
        <f>_xlfn.XLOOKUP(Vendas[[#This Row],[ID Vendedor]],Vendedores[ID],Vendedores[Setor])</f>
        <v>CM</v>
      </c>
      <c r="D1720" s="7" t="s">
        <v>45</v>
      </c>
      <c r="E1720" t="str">
        <f>_xlfn.XLOOKUP(Vendas[[#This Row],[ID Item Vendido]],Agregado[ID],Agregado[Produto])</f>
        <v>Viga de madeira tratada 4m</v>
      </c>
      <c r="F1720" s="39">
        <v>44711</v>
      </c>
      <c r="G1720" s="7">
        <v>7</v>
      </c>
      <c r="H1720" s="3">
        <f>_xlfn.XLOOKUP(Vendas[[#This Row],[ID Item Vendido]],Agregado[ID],Agregado[Revenda])</f>
        <v>66</v>
      </c>
      <c r="I1720" s="3">
        <f>Vendas[[#This Row],[Valor Unitário]]*Vendas[[#This Row],[Qnt Vendida]]</f>
        <v>462</v>
      </c>
      <c r="J1720" s="3">
        <f>Vendas[[#This Row],[Valor da Venda]]-(_xlfn.XLOOKUP(Vendas[[#This Row],[ID Item Vendido]],Agregado[ID],Agregado[Custo])*Vendas[[#This Row],[Qnt Vendida]])</f>
        <v>77</v>
      </c>
      <c r="K1720" s="70">
        <f>Vendas[[#This Row],[Lucro da Venda]]/Vendas[[#This Row],[Valor da Venda]]</f>
        <v>0.16666666666666666</v>
      </c>
      <c r="L1720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1720"/>
    </row>
    <row r="1721" spans="1:13" x14ac:dyDescent="0.3">
      <c r="A1721" s="7">
        <v>400242</v>
      </c>
      <c r="B1721" t="str">
        <f>_xlfn.XLOOKUP(Vendas[[#This Row],[ID Vendedor]],Vendedores[ID],Vendedores[Nome])</f>
        <v>Fernanda</v>
      </c>
      <c r="C1721" s="7" t="str">
        <f>_xlfn.XLOOKUP(Vendas[[#This Row],[ID Vendedor]],Vendedores[ID],Vendedores[Setor])</f>
        <v>FM</v>
      </c>
      <c r="D1721" s="7" t="s">
        <v>6</v>
      </c>
      <c r="E1721" t="str">
        <f>_xlfn.XLOOKUP(Vendas[[#This Row],[ID Item Vendido]],Agregado[ID],Agregado[Produto])</f>
        <v>Parafuso comum 500un</v>
      </c>
      <c r="F1721" s="39">
        <v>44711</v>
      </c>
      <c r="G1721" s="7">
        <v>11</v>
      </c>
      <c r="H1721" s="3">
        <f>_xlfn.XLOOKUP(Vendas[[#This Row],[ID Item Vendido]],Agregado[ID],Agregado[Revenda])</f>
        <v>24.6</v>
      </c>
      <c r="I1721" s="3">
        <f>Vendas[[#This Row],[Valor Unitário]]*Vendas[[#This Row],[Qnt Vendida]]</f>
        <v>270.60000000000002</v>
      </c>
      <c r="J1721" s="3">
        <f>Vendas[[#This Row],[Valor da Venda]]-(_xlfn.XLOOKUP(Vendas[[#This Row],[ID Item Vendido]],Agregado[ID],Agregado[Custo])*Vendas[[#This Row],[Qnt Vendida]])</f>
        <v>28.600000000000023</v>
      </c>
      <c r="K1721" s="70">
        <f>Vendas[[#This Row],[Lucro da Venda]]/Vendas[[#This Row],[Valor da Venda]]</f>
        <v>0.10569105691056918</v>
      </c>
      <c r="L1721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1721"/>
    </row>
    <row r="1722" spans="1:13" x14ac:dyDescent="0.3">
      <c r="A1722" s="7">
        <v>400250</v>
      </c>
      <c r="B1722" t="str">
        <f>_xlfn.XLOOKUP(Vendas[[#This Row],[ID Vendedor]],Vendedores[ID],Vendedores[Nome])</f>
        <v>Larissa</v>
      </c>
      <c r="C1722" s="7" t="str">
        <f>_xlfn.XLOOKUP(Vendas[[#This Row],[ID Vendedor]],Vendedores[ID],Vendedores[Setor])</f>
        <v>AB</v>
      </c>
      <c r="D1722" s="7" t="s">
        <v>24</v>
      </c>
      <c r="E1722" t="str">
        <f>_xlfn.XLOOKUP(Vendas[[#This Row],[ID Item Vendido]],Agregado[ID],Agregado[Produto])</f>
        <v>Resina plástica PET purificada saco de 25kg</v>
      </c>
      <c r="F1722" s="39">
        <v>44712</v>
      </c>
      <c r="G1722" s="7">
        <v>20</v>
      </c>
      <c r="H1722" s="3">
        <f>_xlfn.XLOOKUP(Vendas[[#This Row],[ID Item Vendido]],Agregado[ID],Agregado[Revenda])</f>
        <v>119</v>
      </c>
      <c r="I1722" s="3">
        <f>Vendas[[#This Row],[Valor Unitário]]*Vendas[[#This Row],[Qnt Vendida]]</f>
        <v>2380</v>
      </c>
      <c r="J1722" s="3">
        <f>Vendas[[#This Row],[Valor da Venda]]-(_xlfn.XLOOKUP(Vendas[[#This Row],[ID Item Vendido]],Agregado[ID],Agregado[Custo])*Vendas[[#This Row],[Qnt Vendida]])</f>
        <v>680</v>
      </c>
      <c r="K1722" s="70">
        <f>Vendas[[#This Row],[Lucro da Venda]]/Vendas[[#This Row],[Valor da Venda]]</f>
        <v>0.2857142857142857</v>
      </c>
      <c r="L172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1722"/>
    </row>
    <row r="1723" spans="1:13" x14ac:dyDescent="0.3">
      <c r="A1723" s="7">
        <v>400255</v>
      </c>
      <c r="B1723" t="str">
        <f>_xlfn.XLOOKUP(Vendas[[#This Row],[ID Vendedor]],Vendedores[ID],Vendedores[Nome])</f>
        <v>Carlos</v>
      </c>
      <c r="C1723" s="7" t="str">
        <f>_xlfn.XLOOKUP(Vendas[[#This Row],[ID Vendedor]],Vendedores[ID],Vendedores[Setor])</f>
        <v>SC</v>
      </c>
      <c r="D1723" s="7" t="s">
        <v>42</v>
      </c>
      <c r="E1723" t="str">
        <f>_xlfn.XLOOKUP(Vendas[[#This Row],[ID Item Vendido]],Agregado[ID],Agregado[Produto])</f>
        <v>Container de ferro industrial</v>
      </c>
      <c r="F1723" s="39">
        <v>44714</v>
      </c>
      <c r="G1723" s="7">
        <v>6</v>
      </c>
      <c r="H1723" s="3">
        <f>_xlfn.XLOOKUP(Vendas[[#This Row],[ID Item Vendido]],Agregado[ID],Agregado[Revenda])</f>
        <v>830</v>
      </c>
      <c r="I1723" s="3">
        <f>Vendas[[#This Row],[Valor Unitário]]*Vendas[[#This Row],[Qnt Vendida]]</f>
        <v>4980</v>
      </c>
      <c r="J1723" s="3">
        <f>Vendas[[#This Row],[Valor da Venda]]-(_xlfn.XLOOKUP(Vendas[[#This Row],[ID Item Vendido]],Agregado[ID],Agregado[Custo])*Vendas[[#This Row],[Qnt Vendida]])</f>
        <v>900</v>
      </c>
      <c r="K1723" s="70">
        <f>Vendas[[#This Row],[Lucro da Venda]]/Vendas[[#This Row],[Valor da Venda]]</f>
        <v>0.18072289156626506</v>
      </c>
      <c r="L1723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723"/>
    </row>
    <row r="1724" spans="1:13" x14ac:dyDescent="0.3">
      <c r="A1724" s="7">
        <v>400242</v>
      </c>
      <c r="B1724" t="str">
        <f>_xlfn.XLOOKUP(Vendas[[#This Row],[ID Vendedor]],Vendedores[ID],Vendedores[Nome])</f>
        <v>Fernanda</v>
      </c>
      <c r="C1724" s="7" t="str">
        <f>_xlfn.XLOOKUP(Vendas[[#This Row],[ID Vendedor]],Vendedores[ID],Vendedores[Setor])</f>
        <v>FM</v>
      </c>
      <c r="D1724" s="7" t="s">
        <v>47</v>
      </c>
      <c r="E1724" t="str">
        <f>_xlfn.XLOOKUP(Vendas[[#This Row],[ID Item Vendido]],Agregado[ID],Agregado[Produto])</f>
        <v>Fio de arame galvanizado rolo 50m</v>
      </c>
      <c r="F1724" s="39">
        <v>44714</v>
      </c>
      <c r="G1724" s="7">
        <v>26</v>
      </c>
      <c r="H1724" s="3">
        <f>_xlfn.XLOOKUP(Vendas[[#This Row],[ID Item Vendido]],Agregado[ID],Agregado[Revenda])</f>
        <v>21.2</v>
      </c>
      <c r="I1724" s="3">
        <f>Vendas[[#This Row],[Valor Unitário]]*Vendas[[#This Row],[Qnt Vendida]]</f>
        <v>551.19999999999993</v>
      </c>
      <c r="J1724" s="3">
        <f>Vendas[[#This Row],[Valor da Venda]]-(_xlfn.XLOOKUP(Vendas[[#This Row],[ID Item Vendido]],Agregado[ID],Agregado[Custo])*Vendas[[#This Row],[Qnt Vendida]])</f>
        <v>83.199999999999932</v>
      </c>
      <c r="K1724" s="70">
        <f>Vendas[[#This Row],[Lucro da Venda]]/Vendas[[#This Row],[Valor da Venda]]</f>
        <v>0.15094339622641498</v>
      </c>
      <c r="L1724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24.803999999999995</v>
      </c>
      <c r="M1724"/>
    </row>
    <row r="1725" spans="1:13" x14ac:dyDescent="0.3">
      <c r="A1725" s="7">
        <v>400249</v>
      </c>
      <c r="B1725" t="str">
        <f>_xlfn.XLOOKUP(Vendas[[#This Row],[ID Vendedor]],Vendedores[ID],Vendedores[Nome])</f>
        <v>Bruno</v>
      </c>
      <c r="C1725" s="7" t="str">
        <f>_xlfn.XLOOKUP(Vendas[[#This Row],[ID Vendedor]],Vendedores[ID],Vendedores[Setor])</f>
        <v>CM</v>
      </c>
      <c r="D1725" s="7" t="s">
        <v>45</v>
      </c>
      <c r="E1725" t="str">
        <f>_xlfn.XLOOKUP(Vendas[[#This Row],[ID Item Vendido]],Agregado[ID],Agregado[Produto])</f>
        <v>Viga de madeira tratada 4m</v>
      </c>
      <c r="F1725" s="39">
        <v>44714</v>
      </c>
      <c r="G1725" s="7">
        <v>4</v>
      </c>
      <c r="H1725" s="3">
        <f>_xlfn.XLOOKUP(Vendas[[#This Row],[ID Item Vendido]],Agregado[ID],Agregado[Revenda])</f>
        <v>66</v>
      </c>
      <c r="I1725" s="3">
        <f>Vendas[[#This Row],[Valor Unitário]]*Vendas[[#This Row],[Qnt Vendida]]</f>
        <v>264</v>
      </c>
      <c r="J1725" s="3">
        <f>Vendas[[#This Row],[Valor da Venda]]-(_xlfn.XLOOKUP(Vendas[[#This Row],[ID Item Vendido]],Agregado[ID],Agregado[Custo])*Vendas[[#This Row],[Qnt Vendida]])</f>
        <v>44</v>
      </c>
      <c r="K1725" s="70">
        <f>Vendas[[#This Row],[Lucro da Venda]]/Vendas[[#This Row],[Valor da Venda]]</f>
        <v>0.16666666666666666</v>
      </c>
      <c r="L1725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1725"/>
    </row>
    <row r="1726" spans="1:13" x14ac:dyDescent="0.3">
      <c r="A1726" s="7">
        <v>400253</v>
      </c>
      <c r="B1726" t="str">
        <f>_xlfn.XLOOKUP(Vendas[[#This Row],[ID Vendedor]],Vendedores[ID],Vendedores[Nome])</f>
        <v>Gustavo</v>
      </c>
      <c r="C1726" s="7" t="str">
        <f>_xlfn.XLOOKUP(Vendas[[#This Row],[ID Vendedor]],Vendedores[ID],Vendedores[Setor])</f>
        <v>SC</v>
      </c>
      <c r="D1726" s="7" t="s">
        <v>42</v>
      </c>
      <c r="E1726" t="str">
        <f>_xlfn.XLOOKUP(Vendas[[#This Row],[ID Item Vendido]],Agregado[ID],Agregado[Produto])</f>
        <v>Container de ferro industrial</v>
      </c>
      <c r="F1726" s="39">
        <v>44715</v>
      </c>
      <c r="G1726" s="7">
        <v>5</v>
      </c>
      <c r="H1726" s="3">
        <f>_xlfn.XLOOKUP(Vendas[[#This Row],[ID Item Vendido]],Agregado[ID],Agregado[Revenda])</f>
        <v>830</v>
      </c>
      <c r="I1726" s="3">
        <f>Vendas[[#This Row],[Valor Unitário]]*Vendas[[#This Row],[Qnt Vendida]]</f>
        <v>4150</v>
      </c>
      <c r="J1726" s="3">
        <f>Vendas[[#This Row],[Valor da Venda]]-(_xlfn.XLOOKUP(Vendas[[#This Row],[ID Item Vendido]],Agregado[ID],Agregado[Custo])*Vendas[[#This Row],[Qnt Vendida]])</f>
        <v>750</v>
      </c>
      <c r="K1726" s="70">
        <f>Vendas[[#This Row],[Lucro da Venda]]/Vendas[[#This Row],[Valor da Venda]]</f>
        <v>0.18072289156626506</v>
      </c>
      <c r="L172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726"/>
    </row>
    <row r="1727" spans="1:13" x14ac:dyDescent="0.3">
      <c r="A1727" s="7">
        <v>400242</v>
      </c>
      <c r="B1727" t="str">
        <f>_xlfn.XLOOKUP(Vendas[[#This Row],[ID Vendedor]],Vendedores[ID],Vendedores[Nome])</f>
        <v>Fernanda</v>
      </c>
      <c r="C1727" s="7" t="str">
        <f>_xlfn.XLOOKUP(Vendas[[#This Row],[ID Vendedor]],Vendedores[ID],Vendedores[Setor])</f>
        <v>FM</v>
      </c>
      <c r="D1727" s="7" t="s">
        <v>20</v>
      </c>
      <c r="E1727" t="str">
        <f>_xlfn.XLOOKUP(Vendas[[#This Row],[ID Item Vendido]],Agregado[ID],Agregado[Produto])</f>
        <v>Barra de aço simples</v>
      </c>
      <c r="F1727" s="39">
        <v>44715</v>
      </c>
      <c r="G1727" s="7">
        <v>123</v>
      </c>
      <c r="H1727" s="3">
        <f>_xlfn.XLOOKUP(Vendas[[#This Row],[ID Item Vendido]],Agregado[ID],Agregado[Revenda])</f>
        <v>4.8</v>
      </c>
      <c r="I1727" s="3">
        <f>Vendas[[#This Row],[Valor Unitário]]*Vendas[[#This Row],[Qnt Vendida]]</f>
        <v>590.4</v>
      </c>
      <c r="J1727" s="3">
        <f>Vendas[[#This Row],[Valor da Venda]]-(_xlfn.XLOOKUP(Vendas[[#This Row],[ID Item Vendido]],Agregado[ID],Agregado[Custo])*Vendas[[#This Row],[Qnt Vendida]])</f>
        <v>73.799999999999955</v>
      </c>
      <c r="K1727" s="70">
        <f>Vendas[[#This Row],[Lucro da Venda]]/Vendas[[#This Row],[Valor da Venda]]</f>
        <v>0.12499999999999993</v>
      </c>
      <c r="L1727" s="3">
        <f>_xlfn.IFS(Vendas[[#This Row],[Margem de Lucro (%)]]&lt;15%,Vendas[[#This Row],[Valor da Venda]]*3%,Vendas[[#This Row],[Margem de Lucro (%)]]&lt;=20%,Vendas[[#This Row],[Valor da Venda]]*4.5%,TRUE,Vendas[[#This Row],[Valor da Venda]]*6%)</f>
        <v>17.712</v>
      </c>
      <c r="M1727"/>
    </row>
    <row r="1728" spans="1:13" x14ac:dyDescent="0.3">
      <c r="A1728" s="7">
        <v>400255</v>
      </c>
      <c r="B1728" t="str">
        <f>_xlfn.XLOOKUP(Vendas[[#This Row],[ID Vendedor]],Vendedores[ID],Vendedores[Nome])</f>
        <v>Carlos</v>
      </c>
      <c r="C1728" s="7" t="str">
        <f>_xlfn.XLOOKUP(Vendas[[#This Row],[ID Vendedor]],Vendedores[ID],Vendedores[Setor])</f>
        <v>SC</v>
      </c>
      <c r="D1728" s="7" t="s">
        <v>48</v>
      </c>
      <c r="E1728" t="str">
        <f>_xlfn.XLOOKUP(Vendas[[#This Row],[ID Item Vendido]],Agregado[ID],Agregado[Produto])</f>
        <v>Tambor metálico 200L</v>
      </c>
      <c r="F1728" s="39">
        <v>44716</v>
      </c>
      <c r="G1728" s="7">
        <v>20</v>
      </c>
      <c r="H1728" s="3">
        <f>_xlfn.XLOOKUP(Vendas[[#This Row],[ID Item Vendido]],Agregado[ID],Agregado[Revenda])</f>
        <v>144</v>
      </c>
      <c r="I1728" s="3">
        <f>Vendas[[#This Row],[Valor Unitário]]*Vendas[[#This Row],[Qnt Vendida]]</f>
        <v>2880</v>
      </c>
      <c r="J1728" s="3">
        <f>Vendas[[#This Row],[Valor da Venda]]-(_xlfn.XLOOKUP(Vendas[[#This Row],[ID Item Vendido]],Agregado[ID],Agregado[Custo])*Vendas[[#This Row],[Qnt Vendida]])</f>
        <v>480</v>
      </c>
      <c r="K1728" s="70">
        <f>Vendas[[#This Row],[Lucro da Venda]]/Vendas[[#This Row],[Valor da Venda]]</f>
        <v>0.16666666666666666</v>
      </c>
      <c r="L1728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1728"/>
    </row>
    <row r="1729" spans="1:13" x14ac:dyDescent="0.3">
      <c r="A1729" s="7">
        <v>400244</v>
      </c>
      <c r="B1729" t="str">
        <f>_xlfn.XLOOKUP(Vendas[[#This Row],[ID Vendedor]],Vendedores[ID],Vendedores[Nome])</f>
        <v>Camila</v>
      </c>
      <c r="C1729" s="7" t="str">
        <f>_xlfn.XLOOKUP(Vendas[[#This Row],[ID Vendedor]],Vendedores[ID],Vendedores[Setor])</f>
        <v>AHD</v>
      </c>
      <c r="D1729" s="7" t="s">
        <v>18</v>
      </c>
      <c r="E1729" t="str">
        <f>_xlfn.XLOOKUP(Vendas[[#This Row],[ID Item Vendido]],Agregado[ID],Agregado[Produto])</f>
        <v>Peça forjada sob encomenda</v>
      </c>
      <c r="F1729" s="39">
        <v>44716</v>
      </c>
      <c r="G1729" s="7">
        <v>6</v>
      </c>
      <c r="H1729" s="3">
        <f>_xlfn.XLOOKUP(Vendas[[#This Row],[ID Item Vendido]],Agregado[ID],Agregado[Revenda])</f>
        <v>264.60000000000002</v>
      </c>
      <c r="I1729" s="3">
        <f>Vendas[[#This Row],[Valor Unitário]]*Vendas[[#This Row],[Qnt Vendida]]</f>
        <v>1587.6000000000001</v>
      </c>
      <c r="J1729" s="3">
        <f>Vendas[[#This Row],[Valor da Venda]]-(_xlfn.XLOOKUP(Vendas[[#This Row],[ID Item Vendido]],Agregado[ID],Agregado[Custo])*Vendas[[#This Row],[Qnt Vendida]])</f>
        <v>87.600000000000136</v>
      </c>
      <c r="K1729" s="70">
        <f>Vendas[[#This Row],[Lucro da Venda]]/Vendas[[#This Row],[Valor da Venda]]</f>
        <v>5.5177626606198113E-2</v>
      </c>
      <c r="L1729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729"/>
    </row>
    <row r="1730" spans="1:13" x14ac:dyDescent="0.3">
      <c r="A1730" s="7">
        <v>400250</v>
      </c>
      <c r="B1730" t="str">
        <f>_xlfn.XLOOKUP(Vendas[[#This Row],[ID Vendedor]],Vendedores[ID],Vendedores[Nome])</f>
        <v>Larissa</v>
      </c>
      <c r="C1730" s="7" t="str">
        <f>_xlfn.XLOOKUP(Vendas[[#This Row],[ID Vendedor]],Vendedores[ID],Vendedores[Setor])</f>
        <v>AB</v>
      </c>
      <c r="D1730" s="7" t="s">
        <v>36</v>
      </c>
      <c r="E1730" t="str">
        <f>_xlfn.XLOOKUP(Vendas[[#This Row],[ID Item Vendido]],Agregado[ID],Agregado[Produto])</f>
        <v>Borracha vulcanizada em manta</v>
      </c>
      <c r="F1730" s="39">
        <v>44716</v>
      </c>
      <c r="G1730" s="7">
        <v>33</v>
      </c>
      <c r="H1730" s="3">
        <f>_xlfn.XLOOKUP(Vendas[[#This Row],[ID Item Vendido]],Agregado[ID],Agregado[Revenda])</f>
        <v>7.8</v>
      </c>
      <c r="I1730" s="3">
        <f>Vendas[[#This Row],[Valor Unitário]]*Vendas[[#This Row],[Qnt Vendida]]</f>
        <v>257.39999999999998</v>
      </c>
      <c r="J1730" s="3">
        <f>Vendas[[#This Row],[Valor da Venda]]-(_xlfn.XLOOKUP(Vendas[[#This Row],[ID Item Vendido]],Agregado[ID],Agregado[Custo])*Vendas[[#This Row],[Qnt Vendida]])</f>
        <v>59.399999999999977</v>
      </c>
      <c r="K1730" s="70">
        <f>Vendas[[#This Row],[Lucro da Venda]]/Vendas[[#This Row],[Valor da Venda]]</f>
        <v>0.2307692307692307</v>
      </c>
      <c r="L1730" s="3">
        <f>_xlfn.IFS(Vendas[[#This Row],[Margem de Lucro (%)]]&lt;15%,Vendas[[#This Row],[Valor da Venda]]*3%,Vendas[[#This Row],[Margem de Lucro (%)]]&lt;=20%,Vendas[[#This Row],[Valor da Venda]]*4.5%,TRUE,Vendas[[#This Row],[Valor da Venda]]*6%)</f>
        <v>15.443999999999997</v>
      </c>
      <c r="M1730"/>
    </row>
    <row r="1731" spans="1:13" x14ac:dyDescent="0.3">
      <c r="A1731" s="7">
        <v>400242</v>
      </c>
      <c r="B1731" t="str">
        <f>_xlfn.XLOOKUP(Vendas[[#This Row],[ID Vendedor]],Vendedores[ID],Vendedores[Nome])</f>
        <v>Fernanda</v>
      </c>
      <c r="C1731" s="7" t="str">
        <f>_xlfn.XLOOKUP(Vendas[[#This Row],[ID Vendedor]],Vendedores[ID],Vendedores[Setor])</f>
        <v>FM</v>
      </c>
      <c r="D1731" s="7" t="s">
        <v>6</v>
      </c>
      <c r="E1731" t="str">
        <f>_xlfn.XLOOKUP(Vendas[[#This Row],[ID Item Vendido]],Agregado[ID],Agregado[Produto])</f>
        <v>Parafuso comum 500un</v>
      </c>
      <c r="F1731" s="39">
        <v>44717</v>
      </c>
      <c r="G1731" s="7">
        <v>20</v>
      </c>
      <c r="H1731" s="3">
        <f>_xlfn.XLOOKUP(Vendas[[#This Row],[ID Item Vendido]],Agregado[ID],Agregado[Revenda])</f>
        <v>24.6</v>
      </c>
      <c r="I1731" s="3">
        <f>Vendas[[#This Row],[Valor Unitário]]*Vendas[[#This Row],[Qnt Vendida]]</f>
        <v>492</v>
      </c>
      <c r="J1731" s="3">
        <f>Vendas[[#This Row],[Valor da Venda]]-(_xlfn.XLOOKUP(Vendas[[#This Row],[ID Item Vendido]],Agregado[ID],Agregado[Custo])*Vendas[[#This Row],[Qnt Vendida]])</f>
        <v>52</v>
      </c>
      <c r="K1731" s="70">
        <f>Vendas[[#This Row],[Lucro da Venda]]/Vendas[[#This Row],[Valor da Venda]]</f>
        <v>0.10569105691056911</v>
      </c>
      <c r="L1731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1731"/>
    </row>
    <row r="1732" spans="1:13" x14ac:dyDescent="0.3">
      <c r="A1732" s="7">
        <v>400251</v>
      </c>
      <c r="B1732" t="str">
        <f>_xlfn.XLOOKUP(Vendas[[#This Row],[ID Vendedor]],Vendedores[ID],Vendedores[Nome])</f>
        <v>Diego</v>
      </c>
      <c r="C1732" s="7" t="str">
        <f>_xlfn.XLOOKUP(Vendas[[#This Row],[ID Vendedor]],Vendedores[ID],Vendedores[Setor])</f>
        <v>AB</v>
      </c>
      <c r="D1732" s="7" t="s">
        <v>36</v>
      </c>
      <c r="E1732" t="str">
        <f>_xlfn.XLOOKUP(Vendas[[#This Row],[ID Item Vendido]],Agregado[ID],Agregado[Produto])</f>
        <v>Borracha vulcanizada em manta</v>
      </c>
      <c r="F1732" s="39">
        <v>44717</v>
      </c>
      <c r="G1732" s="7">
        <v>44</v>
      </c>
      <c r="H1732" s="3">
        <f>_xlfn.XLOOKUP(Vendas[[#This Row],[ID Item Vendido]],Agregado[ID],Agregado[Revenda])</f>
        <v>7.8</v>
      </c>
      <c r="I1732" s="3">
        <f>Vendas[[#This Row],[Valor Unitário]]*Vendas[[#This Row],[Qnt Vendida]]</f>
        <v>343.2</v>
      </c>
      <c r="J1732" s="3">
        <f>Vendas[[#This Row],[Valor da Venda]]-(_xlfn.XLOOKUP(Vendas[[#This Row],[ID Item Vendido]],Agregado[ID],Agregado[Custo])*Vendas[[#This Row],[Qnt Vendida]])</f>
        <v>79.199999999999989</v>
      </c>
      <c r="K1732" s="70">
        <f>Vendas[[#This Row],[Lucro da Venda]]/Vendas[[#This Row],[Valor da Venda]]</f>
        <v>0.23076923076923075</v>
      </c>
      <c r="L1732" s="3">
        <f>_xlfn.IFS(Vendas[[#This Row],[Margem de Lucro (%)]]&lt;15%,Vendas[[#This Row],[Valor da Venda]]*3%,Vendas[[#This Row],[Margem de Lucro (%)]]&lt;=20%,Vendas[[#This Row],[Valor da Venda]]*4.5%,TRUE,Vendas[[#This Row],[Valor da Venda]]*6%)</f>
        <v>20.591999999999999</v>
      </c>
      <c r="M1732"/>
    </row>
    <row r="1733" spans="1:13" x14ac:dyDescent="0.3">
      <c r="A1733" s="7">
        <v>400241</v>
      </c>
      <c r="B1733" t="str">
        <f>_xlfn.XLOOKUP(Vendas[[#This Row],[ID Vendedor]],Vendedores[ID],Vendedores[Nome])</f>
        <v>Rodrigo</v>
      </c>
      <c r="C1733" s="7" t="str">
        <f>_xlfn.XLOOKUP(Vendas[[#This Row],[ID Vendedor]],Vendedores[ID],Vendedores[Setor])</f>
        <v>FM</v>
      </c>
      <c r="D1733" s="7" t="s">
        <v>27</v>
      </c>
      <c r="E1733" t="str">
        <f>_xlfn.XLOOKUP(Vendas[[#This Row],[ID Item Vendido]],Agregado[ID],Agregado[Produto])</f>
        <v>Chapa de metal lisa 1x2m</v>
      </c>
      <c r="F1733" s="39">
        <v>44717</v>
      </c>
      <c r="G1733" s="7">
        <v>4</v>
      </c>
      <c r="H1733" s="3">
        <f>_xlfn.XLOOKUP(Vendas[[#This Row],[ID Item Vendido]],Agregado[ID],Agregado[Revenda])</f>
        <v>52</v>
      </c>
      <c r="I1733" s="3">
        <f>Vendas[[#This Row],[Valor Unitário]]*Vendas[[#This Row],[Qnt Vendida]]</f>
        <v>208</v>
      </c>
      <c r="J1733" s="3">
        <f>Vendas[[#This Row],[Valor da Venda]]-(_xlfn.XLOOKUP(Vendas[[#This Row],[ID Item Vendido]],Agregado[ID],Agregado[Custo])*Vendas[[#This Row],[Qnt Vendida]])</f>
        <v>28</v>
      </c>
      <c r="K1733" s="70">
        <f>Vendas[[#This Row],[Lucro da Venda]]/Vendas[[#This Row],[Valor da Venda]]</f>
        <v>0.13461538461538461</v>
      </c>
      <c r="L1733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1733"/>
    </row>
    <row r="1734" spans="1:13" x14ac:dyDescent="0.3">
      <c r="A1734" s="7">
        <v>400242</v>
      </c>
      <c r="B1734" t="str">
        <f>_xlfn.XLOOKUP(Vendas[[#This Row],[ID Vendedor]],Vendedores[ID],Vendedores[Nome])</f>
        <v>Fernanda</v>
      </c>
      <c r="C1734" s="7" t="str">
        <f>_xlfn.XLOOKUP(Vendas[[#This Row],[ID Vendedor]],Vendedores[ID],Vendedores[Setor])</f>
        <v>FM</v>
      </c>
      <c r="D1734" s="7" t="s">
        <v>47</v>
      </c>
      <c r="E1734" t="str">
        <f>_xlfn.XLOOKUP(Vendas[[#This Row],[ID Item Vendido]],Agregado[ID],Agregado[Produto])</f>
        <v>Fio de arame galvanizado rolo 50m</v>
      </c>
      <c r="F1734" s="39">
        <v>44718</v>
      </c>
      <c r="G1734" s="7">
        <v>4</v>
      </c>
      <c r="H1734" s="3">
        <f>_xlfn.XLOOKUP(Vendas[[#This Row],[ID Item Vendido]],Agregado[ID],Agregado[Revenda])</f>
        <v>21.2</v>
      </c>
      <c r="I1734" s="3">
        <f>Vendas[[#This Row],[Valor Unitário]]*Vendas[[#This Row],[Qnt Vendida]]</f>
        <v>84.8</v>
      </c>
      <c r="J1734" s="3">
        <f>Vendas[[#This Row],[Valor da Venda]]-(_xlfn.XLOOKUP(Vendas[[#This Row],[ID Item Vendido]],Agregado[ID],Agregado[Custo])*Vendas[[#This Row],[Qnt Vendida]])</f>
        <v>12.799999999999997</v>
      </c>
      <c r="K1734" s="70">
        <f>Vendas[[#This Row],[Lucro da Venda]]/Vendas[[#This Row],[Valor da Venda]]</f>
        <v>0.15094339622641506</v>
      </c>
      <c r="L1734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1734"/>
    </row>
    <row r="1735" spans="1:13" x14ac:dyDescent="0.3">
      <c r="A1735" s="7">
        <v>400249</v>
      </c>
      <c r="B1735" t="str">
        <f>_xlfn.XLOOKUP(Vendas[[#This Row],[ID Vendedor]],Vendedores[ID],Vendedores[Nome])</f>
        <v>Bruno</v>
      </c>
      <c r="C1735" s="7" t="str">
        <f>_xlfn.XLOOKUP(Vendas[[#This Row],[ID Vendedor]],Vendedores[ID],Vendedores[Setor])</f>
        <v>CM</v>
      </c>
      <c r="D1735" s="7" t="s">
        <v>22</v>
      </c>
      <c r="E1735" t="str">
        <f>_xlfn.XLOOKUP(Vendas[[#This Row],[ID Item Vendido]],Agregado[ID],Agregado[Produto])</f>
        <v>Painel MDP 2,75x1,83m</v>
      </c>
      <c r="F1735" s="39">
        <v>44719</v>
      </c>
      <c r="G1735" s="7">
        <v>20</v>
      </c>
      <c r="H1735" s="3">
        <f>_xlfn.XLOOKUP(Vendas[[#This Row],[ID Item Vendido]],Agregado[ID],Agregado[Revenda])</f>
        <v>119</v>
      </c>
      <c r="I1735" s="3">
        <f>Vendas[[#This Row],[Valor Unitário]]*Vendas[[#This Row],[Qnt Vendida]]</f>
        <v>2380</v>
      </c>
      <c r="J1735" s="3">
        <f>Vendas[[#This Row],[Valor da Venda]]-(_xlfn.XLOOKUP(Vendas[[#This Row],[ID Item Vendido]],Agregado[ID],Agregado[Custo])*Vendas[[#This Row],[Qnt Vendida]])</f>
        <v>480</v>
      </c>
      <c r="K1735" s="70">
        <f>Vendas[[#This Row],[Lucro da Venda]]/Vendas[[#This Row],[Valor da Venda]]</f>
        <v>0.20168067226890757</v>
      </c>
      <c r="L1735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1735"/>
    </row>
    <row r="1736" spans="1:13" x14ac:dyDescent="0.3">
      <c r="A1736" s="7">
        <v>400248</v>
      </c>
      <c r="B1736" t="str">
        <f>_xlfn.XLOOKUP(Vendas[[#This Row],[ID Vendedor]],Vendedores[ID],Vendedores[Nome])</f>
        <v>Patrícia</v>
      </c>
      <c r="C1736" s="7" t="str">
        <f>_xlfn.XLOOKUP(Vendas[[#This Row],[ID Vendedor]],Vendedores[ID],Vendedores[Setor])</f>
        <v>CM</v>
      </c>
      <c r="D1736" s="7" t="s">
        <v>43</v>
      </c>
      <c r="E1736" t="str">
        <f>_xlfn.XLOOKUP(Vendas[[#This Row],[ID Item Vendido]],Agregado[ID],Agregado[Produto])</f>
        <v>Madeira Bruta (Tora)</v>
      </c>
      <c r="F1736" s="39">
        <v>44719</v>
      </c>
      <c r="G1736" s="7">
        <v>6</v>
      </c>
      <c r="H1736" s="3">
        <f>_xlfn.XLOOKUP(Vendas[[#This Row],[ID Item Vendido]],Agregado[ID],Agregado[Revenda])</f>
        <v>212</v>
      </c>
      <c r="I1736" s="3">
        <f>Vendas[[#This Row],[Valor Unitário]]*Vendas[[#This Row],[Qnt Vendida]]</f>
        <v>1272</v>
      </c>
      <c r="J1736" s="3">
        <f>Vendas[[#This Row],[Valor da Venda]]-(_xlfn.XLOOKUP(Vendas[[#This Row],[ID Item Vendido]],Agregado[ID],Agregado[Custo])*Vendas[[#This Row],[Qnt Vendida]])</f>
        <v>192</v>
      </c>
      <c r="K1736" s="70">
        <f>Vendas[[#This Row],[Lucro da Venda]]/Vendas[[#This Row],[Valor da Venda]]</f>
        <v>0.15094339622641509</v>
      </c>
      <c r="L1736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1736"/>
    </row>
    <row r="1737" spans="1:13" x14ac:dyDescent="0.3">
      <c r="A1737" s="7">
        <v>400241</v>
      </c>
      <c r="B1737" t="str">
        <f>_xlfn.XLOOKUP(Vendas[[#This Row],[ID Vendedor]],Vendedores[ID],Vendedores[Nome])</f>
        <v>Rodrigo</v>
      </c>
      <c r="C1737" s="7" t="str">
        <f>_xlfn.XLOOKUP(Vendas[[#This Row],[ID Vendedor]],Vendedores[ID],Vendedores[Setor])</f>
        <v>FM</v>
      </c>
      <c r="D1737" s="7" t="s">
        <v>6</v>
      </c>
      <c r="E1737" t="str">
        <f>_xlfn.XLOOKUP(Vendas[[#This Row],[ID Item Vendido]],Agregado[ID],Agregado[Produto])</f>
        <v>Parafuso comum 500un</v>
      </c>
      <c r="F1737" s="39">
        <v>44719</v>
      </c>
      <c r="G1737" s="7">
        <v>24</v>
      </c>
      <c r="H1737" s="3">
        <f>_xlfn.XLOOKUP(Vendas[[#This Row],[ID Item Vendido]],Agregado[ID],Agregado[Revenda])</f>
        <v>24.6</v>
      </c>
      <c r="I1737" s="3">
        <f>Vendas[[#This Row],[Valor Unitário]]*Vendas[[#This Row],[Qnt Vendida]]</f>
        <v>590.40000000000009</v>
      </c>
      <c r="J1737" s="3">
        <f>Vendas[[#This Row],[Valor da Venda]]-(_xlfn.XLOOKUP(Vendas[[#This Row],[ID Item Vendido]],Agregado[ID],Agregado[Custo])*Vendas[[#This Row],[Qnt Vendida]])</f>
        <v>62.400000000000091</v>
      </c>
      <c r="K1737" s="70">
        <f>Vendas[[#This Row],[Lucro da Venda]]/Vendas[[#This Row],[Valor da Venda]]</f>
        <v>0.10569105691056924</v>
      </c>
      <c r="L1737" s="3">
        <f>_xlfn.IFS(Vendas[[#This Row],[Margem de Lucro (%)]]&lt;15%,Vendas[[#This Row],[Valor da Venda]]*3%,Vendas[[#This Row],[Margem de Lucro (%)]]&lt;=20%,Vendas[[#This Row],[Valor da Venda]]*4.5%,TRUE,Vendas[[#This Row],[Valor da Venda]]*6%)</f>
        <v>17.712000000000003</v>
      </c>
      <c r="M1737"/>
    </row>
    <row r="1738" spans="1:13" x14ac:dyDescent="0.3">
      <c r="A1738" s="7">
        <v>400242</v>
      </c>
      <c r="B1738" t="str">
        <f>_xlfn.XLOOKUP(Vendas[[#This Row],[ID Vendedor]],Vendedores[ID],Vendedores[Nome])</f>
        <v>Fernanda</v>
      </c>
      <c r="C1738" s="7" t="str">
        <f>_xlfn.XLOOKUP(Vendas[[#This Row],[ID Vendedor]],Vendedores[ID],Vendedores[Setor])</f>
        <v>FM</v>
      </c>
      <c r="D1738" s="7" t="s">
        <v>31</v>
      </c>
      <c r="E1738" t="str">
        <f>_xlfn.XLOOKUP(Vendas[[#This Row],[ID Item Vendido]],Agregado[ID],Agregado[Produto])</f>
        <v>Tela de metal soldada rolo 2x25m</v>
      </c>
      <c r="F1738" s="39">
        <v>44720</v>
      </c>
      <c r="G1738" s="7">
        <v>10</v>
      </c>
      <c r="H1738" s="3">
        <f>_xlfn.XLOOKUP(Vendas[[#This Row],[ID Item Vendido]],Agregado[ID],Agregado[Revenda])</f>
        <v>43.7</v>
      </c>
      <c r="I1738" s="3">
        <f>Vendas[[#This Row],[Valor Unitário]]*Vendas[[#This Row],[Qnt Vendida]]</f>
        <v>437</v>
      </c>
      <c r="J1738" s="3">
        <f>Vendas[[#This Row],[Valor da Venda]]-(_xlfn.XLOOKUP(Vendas[[#This Row],[ID Item Vendido]],Agregado[ID],Agregado[Custo])*Vendas[[#This Row],[Qnt Vendida]])</f>
        <v>57</v>
      </c>
      <c r="K1738" s="70">
        <f>Vendas[[#This Row],[Lucro da Venda]]/Vendas[[#This Row],[Valor da Venda]]</f>
        <v>0.13043478260869565</v>
      </c>
      <c r="L1738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1738"/>
    </row>
    <row r="1739" spans="1:13" x14ac:dyDescent="0.3">
      <c r="A1739" s="7">
        <v>400250</v>
      </c>
      <c r="B1739" t="str">
        <f>_xlfn.XLOOKUP(Vendas[[#This Row],[ID Vendedor]],Vendedores[ID],Vendedores[Nome])</f>
        <v>Larissa</v>
      </c>
      <c r="C1739" s="7" t="str">
        <f>_xlfn.XLOOKUP(Vendas[[#This Row],[ID Vendedor]],Vendedores[ID],Vendedores[Setor])</f>
        <v>AB</v>
      </c>
      <c r="D1739" s="7" t="s">
        <v>36</v>
      </c>
      <c r="E1739" t="str">
        <f>_xlfn.XLOOKUP(Vendas[[#This Row],[ID Item Vendido]],Agregado[ID],Agregado[Produto])</f>
        <v>Borracha vulcanizada em manta</v>
      </c>
      <c r="F1739" s="39">
        <v>44722</v>
      </c>
      <c r="G1739" s="7">
        <v>34</v>
      </c>
      <c r="H1739" s="3">
        <f>_xlfn.XLOOKUP(Vendas[[#This Row],[ID Item Vendido]],Agregado[ID],Agregado[Revenda])</f>
        <v>7.8</v>
      </c>
      <c r="I1739" s="3">
        <f>Vendas[[#This Row],[Valor Unitário]]*Vendas[[#This Row],[Qnt Vendida]]</f>
        <v>265.2</v>
      </c>
      <c r="J1739" s="3">
        <f>Vendas[[#This Row],[Valor da Venda]]-(_xlfn.XLOOKUP(Vendas[[#This Row],[ID Item Vendido]],Agregado[ID],Agregado[Custo])*Vendas[[#This Row],[Qnt Vendida]])</f>
        <v>61.199999999999989</v>
      </c>
      <c r="K1739" s="70">
        <f>Vendas[[#This Row],[Lucro da Venda]]/Vendas[[#This Row],[Valor da Venda]]</f>
        <v>0.23076923076923073</v>
      </c>
      <c r="L1739" s="3">
        <f>_xlfn.IFS(Vendas[[#This Row],[Margem de Lucro (%)]]&lt;15%,Vendas[[#This Row],[Valor da Venda]]*3%,Vendas[[#This Row],[Margem de Lucro (%)]]&lt;=20%,Vendas[[#This Row],[Valor da Venda]]*4.5%,TRUE,Vendas[[#This Row],[Valor da Venda]]*6%)</f>
        <v>15.911999999999999</v>
      </c>
      <c r="M1739"/>
    </row>
    <row r="1740" spans="1:13" x14ac:dyDescent="0.3">
      <c r="A1740" s="7">
        <v>400248</v>
      </c>
      <c r="B1740" t="str">
        <f>_xlfn.XLOOKUP(Vendas[[#This Row],[ID Vendedor]],Vendedores[ID],Vendedores[Nome])</f>
        <v>Patrícia</v>
      </c>
      <c r="C1740" s="7" t="str">
        <f>_xlfn.XLOOKUP(Vendas[[#This Row],[ID Vendedor]],Vendedores[ID],Vendedores[Setor])</f>
        <v>CM</v>
      </c>
      <c r="D1740" s="7" t="s">
        <v>34</v>
      </c>
      <c r="E1740" t="str">
        <f>_xlfn.XLOOKUP(Vendas[[#This Row],[ID Item Vendido]],Agregado[ID],Agregado[Produto])</f>
        <v>Restos de madeira p/ MDP/OSB saco de 20kg</v>
      </c>
      <c r="F1740" s="39">
        <v>44723</v>
      </c>
      <c r="G1740" s="7">
        <v>29</v>
      </c>
      <c r="H1740" s="3">
        <f>_xlfn.XLOOKUP(Vendas[[#This Row],[ID Item Vendido]],Agregado[ID],Agregado[Revenda])</f>
        <v>13.8</v>
      </c>
      <c r="I1740" s="3">
        <f>Vendas[[#This Row],[Valor Unitário]]*Vendas[[#This Row],[Qnt Vendida]]</f>
        <v>400.20000000000005</v>
      </c>
      <c r="J1740" s="3">
        <f>Vendas[[#This Row],[Valor da Venda]]-(_xlfn.XLOOKUP(Vendas[[#This Row],[ID Item Vendido]],Agregado[ID],Agregado[Custo])*Vendas[[#This Row],[Qnt Vendida]])</f>
        <v>52.200000000000045</v>
      </c>
      <c r="K1740" s="70">
        <f>Vendas[[#This Row],[Lucro da Venda]]/Vendas[[#This Row],[Valor da Venda]]</f>
        <v>0.13043478260869576</v>
      </c>
      <c r="L1740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1740"/>
    </row>
    <row r="1741" spans="1:13" x14ac:dyDescent="0.3">
      <c r="A1741" s="7">
        <v>400244</v>
      </c>
      <c r="B1741" t="str">
        <f>_xlfn.XLOOKUP(Vendas[[#This Row],[ID Vendedor]],Vendedores[ID],Vendedores[Nome])</f>
        <v>Camila</v>
      </c>
      <c r="C1741" s="7" t="str">
        <f>_xlfn.XLOOKUP(Vendas[[#This Row],[ID Vendedor]],Vendedores[ID],Vendedores[Setor])</f>
        <v>AHD</v>
      </c>
      <c r="D1741" s="7" t="s">
        <v>28</v>
      </c>
      <c r="E1741" t="str">
        <f>_xlfn.XLOOKUP(Vendas[[#This Row],[ID Item Vendido]],Agregado[ID],Agregado[Produto])</f>
        <v>Peça usinada CNC</v>
      </c>
      <c r="F1741" s="39">
        <v>44723</v>
      </c>
      <c r="G1741" s="7">
        <v>2</v>
      </c>
      <c r="H1741" s="3">
        <f>_xlfn.XLOOKUP(Vendas[[#This Row],[ID Item Vendido]],Agregado[ID],Agregado[Revenda])</f>
        <v>192</v>
      </c>
      <c r="I1741" s="3">
        <f>Vendas[[#This Row],[Valor Unitário]]*Vendas[[#This Row],[Qnt Vendida]]</f>
        <v>384</v>
      </c>
      <c r="J1741" s="3">
        <f>Vendas[[#This Row],[Valor da Venda]]-(_xlfn.XLOOKUP(Vendas[[#This Row],[ID Item Vendido]],Agregado[ID],Agregado[Custo])*Vendas[[#This Row],[Qnt Vendida]])</f>
        <v>84</v>
      </c>
      <c r="K1741" s="70">
        <f>Vendas[[#This Row],[Lucro da Venda]]/Vendas[[#This Row],[Valor da Venda]]</f>
        <v>0.21875</v>
      </c>
      <c r="L1741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1741"/>
    </row>
    <row r="1742" spans="1:13" x14ac:dyDescent="0.3">
      <c r="A1742" s="7">
        <v>400248</v>
      </c>
      <c r="B1742" t="str">
        <f>_xlfn.XLOOKUP(Vendas[[#This Row],[ID Vendedor]],Vendedores[ID],Vendedores[Nome])</f>
        <v>Patrícia</v>
      </c>
      <c r="C1742" s="7" t="str">
        <f>_xlfn.XLOOKUP(Vendas[[#This Row],[ID Vendedor]],Vendedores[ID],Vendedores[Setor])</f>
        <v>CM</v>
      </c>
      <c r="D1742" s="7" t="s">
        <v>45</v>
      </c>
      <c r="E1742" t="str">
        <f>_xlfn.XLOOKUP(Vendas[[#This Row],[ID Item Vendido]],Agregado[ID],Agregado[Produto])</f>
        <v>Viga de madeira tratada 4m</v>
      </c>
      <c r="F1742" s="39">
        <v>44724</v>
      </c>
      <c r="G1742" s="7">
        <v>16</v>
      </c>
      <c r="H1742" s="3">
        <f>_xlfn.XLOOKUP(Vendas[[#This Row],[ID Item Vendido]],Agregado[ID],Agregado[Revenda])</f>
        <v>66</v>
      </c>
      <c r="I1742" s="3">
        <f>Vendas[[#This Row],[Valor Unitário]]*Vendas[[#This Row],[Qnt Vendida]]</f>
        <v>1056</v>
      </c>
      <c r="J1742" s="3">
        <f>Vendas[[#This Row],[Valor da Venda]]-(_xlfn.XLOOKUP(Vendas[[#This Row],[ID Item Vendido]],Agregado[ID],Agregado[Custo])*Vendas[[#This Row],[Qnt Vendida]])</f>
        <v>176</v>
      </c>
      <c r="K1742" s="70">
        <f>Vendas[[#This Row],[Lucro da Venda]]/Vendas[[#This Row],[Valor da Venda]]</f>
        <v>0.16666666666666666</v>
      </c>
      <c r="L1742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1742"/>
    </row>
    <row r="1743" spans="1:13" x14ac:dyDescent="0.3">
      <c r="A1743" s="7">
        <v>400242</v>
      </c>
      <c r="B1743" t="str">
        <f>_xlfn.XLOOKUP(Vendas[[#This Row],[ID Vendedor]],Vendedores[ID],Vendedores[Nome])</f>
        <v>Fernanda</v>
      </c>
      <c r="C1743" s="7" t="str">
        <f>_xlfn.XLOOKUP(Vendas[[#This Row],[ID Vendedor]],Vendedores[ID],Vendedores[Setor])</f>
        <v>FM</v>
      </c>
      <c r="D1743" s="7" t="s">
        <v>27</v>
      </c>
      <c r="E1743" t="str">
        <f>_xlfn.XLOOKUP(Vendas[[#This Row],[ID Item Vendido]],Agregado[ID],Agregado[Produto])</f>
        <v>Chapa de metal lisa 1x2m</v>
      </c>
      <c r="F1743" s="39">
        <v>44724</v>
      </c>
      <c r="G1743" s="7">
        <v>5</v>
      </c>
      <c r="H1743" s="3">
        <f>_xlfn.XLOOKUP(Vendas[[#This Row],[ID Item Vendido]],Agregado[ID],Agregado[Revenda])</f>
        <v>52</v>
      </c>
      <c r="I1743" s="3">
        <f>Vendas[[#This Row],[Valor Unitário]]*Vendas[[#This Row],[Qnt Vendida]]</f>
        <v>260</v>
      </c>
      <c r="J1743" s="3">
        <f>Vendas[[#This Row],[Valor da Venda]]-(_xlfn.XLOOKUP(Vendas[[#This Row],[ID Item Vendido]],Agregado[ID],Agregado[Custo])*Vendas[[#This Row],[Qnt Vendida]])</f>
        <v>35</v>
      </c>
      <c r="K1743" s="70">
        <f>Vendas[[#This Row],[Lucro da Venda]]/Vendas[[#This Row],[Valor da Venda]]</f>
        <v>0.13461538461538461</v>
      </c>
      <c r="L1743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1743"/>
    </row>
    <row r="1744" spans="1:13" x14ac:dyDescent="0.3">
      <c r="A1744" s="7">
        <v>400248</v>
      </c>
      <c r="B1744" t="str">
        <f>_xlfn.XLOOKUP(Vendas[[#This Row],[ID Vendedor]],Vendedores[ID],Vendedores[Nome])</f>
        <v>Patrícia</v>
      </c>
      <c r="C1744" s="7" t="str">
        <f>_xlfn.XLOOKUP(Vendas[[#This Row],[ID Vendedor]],Vendedores[ID],Vendedores[Setor])</f>
        <v>CM</v>
      </c>
      <c r="D1744" s="7" t="s">
        <v>45</v>
      </c>
      <c r="E1744" t="str">
        <f>_xlfn.XLOOKUP(Vendas[[#This Row],[ID Item Vendido]],Agregado[ID],Agregado[Produto])</f>
        <v>Viga de madeira tratada 4m</v>
      </c>
      <c r="F1744" s="39">
        <v>44725</v>
      </c>
      <c r="G1744" s="7">
        <v>17</v>
      </c>
      <c r="H1744" s="3">
        <f>_xlfn.XLOOKUP(Vendas[[#This Row],[ID Item Vendido]],Agregado[ID],Agregado[Revenda])</f>
        <v>66</v>
      </c>
      <c r="I1744" s="3">
        <f>Vendas[[#This Row],[Valor Unitário]]*Vendas[[#This Row],[Qnt Vendida]]</f>
        <v>1122</v>
      </c>
      <c r="J1744" s="3">
        <f>Vendas[[#This Row],[Valor da Venda]]-(_xlfn.XLOOKUP(Vendas[[#This Row],[ID Item Vendido]],Agregado[ID],Agregado[Custo])*Vendas[[#This Row],[Qnt Vendida]])</f>
        <v>187</v>
      </c>
      <c r="K1744" s="70">
        <f>Vendas[[#This Row],[Lucro da Venda]]/Vendas[[#This Row],[Valor da Venda]]</f>
        <v>0.16666666666666666</v>
      </c>
      <c r="L1744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1744"/>
    </row>
    <row r="1745" spans="1:13" x14ac:dyDescent="0.3">
      <c r="A1745" s="7">
        <v>400247</v>
      </c>
      <c r="B1745" t="str">
        <f>_xlfn.XLOOKUP(Vendas[[#This Row],[ID Vendedor]],Vendedores[ID],Vendedores[Nome])</f>
        <v>André</v>
      </c>
      <c r="C1745" s="7" t="str">
        <f>_xlfn.XLOOKUP(Vendas[[#This Row],[ID Vendedor]],Vendedores[ID],Vendedores[Setor])</f>
        <v>CM</v>
      </c>
      <c r="D1745" s="7" t="s">
        <v>34</v>
      </c>
      <c r="E1745" t="str">
        <f>_xlfn.XLOOKUP(Vendas[[#This Row],[ID Item Vendido]],Agregado[ID],Agregado[Produto])</f>
        <v>Restos de madeira p/ MDP/OSB saco de 20kg</v>
      </c>
      <c r="F1745" s="39">
        <v>44725</v>
      </c>
      <c r="G1745" s="7">
        <v>8</v>
      </c>
      <c r="H1745" s="3">
        <f>_xlfn.XLOOKUP(Vendas[[#This Row],[ID Item Vendido]],Agregado[ID],Agregado[Revenda])</f>
        <v>13.8</v>
      </c>
      <c r="I1745" s="3">
        <f>Vendas[[#This Row],[Valor Unitário]]*Vendas[[#This Row],[Qnt Vendida]]</f>
        <v>110.4</v>
      </c>
      <c r="J1745" s="3">
        <f>Vendas[[#This Row],[Valor da Venda]]-(_xlfn.XLOOKUP(Vendas[[#This Row],[ID Item Vendido]],Agregado[ID],Agregado[Custo])*Vendas[[#This Row],[Qnt Vendida]])</f>
        <v>14.400000000000006</v>
      </c>
      <c r="K1745" s="70">
        <f>Vendas[[#This Row],[Lucro da Venda]]/Vendas[[#This Row],[Valor da Venda]]</f>
        <v>0.1304347826086957</v>
      </c>
      <c r="L1745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1745"/>
    </row>
    <row r="1746" spans="1:13" x14ac:dyDescent="0.3">
      <c r="A1746" s="7">
        <v>400251</v>
      </c>
      <c r="B1746" t="str">
        <f>_xlfn.XLOOKUP(Vendas[[#This Row],[ID Vendedor]],Vendedores[ID],Vendedores[Nome])</f>
        <v>Diego</v>
      </c>
      <c r="C1746" s="7" t="str">
        <f>_xlfn.XLOOKUP(Vendas[[#This Row],[ID Vendedor]],Vendedores[ID],Vendedores[Setor])</f>
        <v>AB</v>
      </c>
      <c r="D1746" s="7" t="s">
        <v>39</v>
      </c>
      <c r="E1746" t="str">
        <f>_xlfn.XLOOKUP(Vendas[[#This Row],[ID Item Vendido]],Agregado[ID],Agregado[Produto])</f>
        <v>Filme plástico industrial rolo 50m</v>
      </c>
      <c r="F1746" s="39">
        <v>44726</v>
      </c>
      <c r="G1746" s="7">
        <v>10</v>
      </c>
      <c r="H1746" s="3">
        <f>_xlfn.XLOOKUP(Vendas[[#This Row],[ID Item Vendido]],Agregado[ID],Agregado[Revenda])</f>
        <v>37</v>
      </c>
      <c r="I1746" s="3">
        <f>Vendas[[#This Row],[Valor Unitário]]*Vendas[[#This Row],[Qnt Vendida]]</f>
        <v>370</v>
      </c>
      <c r="J1746" s="3">
        <f>Vendas[[#This Row],[Valor da Venda]]-(_xlfn.XLOOKUP(Vendas[[#This Row],[ID Item Vendido]],Agregado[ID],Agregado[Custo])*Vendas[[#This Row],[Qnt Vendida]])</f>
        <v>90</v>
      </c>
      <c r="K1746" s="70">
        <f>Vendas[[#This Row],[Lucro da Venda]]/Vendas[[#This Row],[Valor da Venda]]</f>
        <v>0.24324324324324326</v>
      </c>
      <c r="L1746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1746"/>
    </row>
    <row r="1747" spans="1:13" x14ac:dyDescent="0.3">
      <c r="A1747" s="7">
        <v>400244</v>
      </c>
      <c r="B1747" t="str">
        <f>_xlfn.XLOOKUP(Vendas[[#This Row],[ID Vendedor]],Vendedores[ID],Vendedores[Nome])</f>
        <v>Camila</v>
      </c>
      <c r="C1747" s="7" t="str">
        <f>_xlfn.XLOOKUP(Vendas[[#This Row],[ID Vendedor]],Vendedores[ID],Vendedores[Setor])</f>
        <v>AHD</v>
      </c>
      <c r="D1747" s="7" t="s">
        <v>30</v>
      </c>
      <c r="E1747" t="str">
        <f>_xlfn.XLOOKUP(Vendas[[#This Row],[ID Item Vendido]],Agregado[ID],Agregado[Produto])</f>
        <v>Estrutura metálica soldada</v>
      </c>
      <c r="F1747" s="39">
        <v>44727</v>
      </c>
      <c r="G1747" s="7">
        <v>2</v>
      </c>
      <c r="H1747" s="3">
        <f>_xlfn.XLOOKUP(Vendas[[#This Row],[ID Item Vendido]],Agregado[ID],Agregado[Revenda])</f>
        <v>400</v>
      </c>
      <c r="I1747" s="3">
        <f>Vendas[[#This Row],[Valor Unitário]]*Vendas[[#This Row],[Qnt Vendida]]</f>
        <v>800</v>
      </c>
      <c r="J1747" s="3">
        <f>Vendas[[#This Row],[Valor da Venda]]-(_xlfn.XLOOKUP(Vendas[[#This Row],[ID Item Vendido]],Agregado[ID],Agregado[Custo])*Vendas[[#This Row],[Qnt Vendida]])</f>
        <v>160</v>
      </c>
      <c r="K1747" s="70">
        <f>Vendas[[#This Row],[Lucro da Venda]]/Vendas[[#This Row],[Valor da Venda]]</f>
        <v>0.2</v>
      </c>
      <c r="L1747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747"/>
    </row>
    <row r="1748" spans="1:13" x14ac:dyDescent="0.3">
      <c r="A1748" s="7">
        <v>400247</v>
      </c>
      <c r="B1748" t="str">
        <f>_xlfn.XLOOKUP(Vendas[[#This Row],[ID Vendedor]],Vendedores[ID],Vendedores[Nome])</f>
        <v>André</v>
      </c>
      <c r="C1748" s="7" t="str">
        <f>_xlfn.XLOOKUP(Vendas[[#This Row],[ID Vendedor]],Vendedores[ID],Vendedores[Setor])</f>
        <v>CM</v>
      </c>
      <c r="D1748" s="7" t="s">
        <v>34</v>
      </c>
      <c r="E1748" t="str">
        <f>_xlfn.XLOOKUP(Vendas[[#This Row],[ID Item Vendido]],Agregado[ID],Agregado[Produto])</f>
        <v>Restos de madeira p/ MDP/OSB saco de 20kg</v>
      </c>
      <c r="F1748" s="39">
        <v>44727</v>
      </c>
      <c r="G1748" s="7">
        <v>25</v>
      </c>
      <c r="H1748" s="3">
        <f>_xlfn.XLOOKUP(Vendas[[#This Row],[ID Item Vendido]],Agregado[ID],Agregado[Revenda])</f>
        <v>13.8</v>
      </c>
      <c r="I1748" s="3">
        <f>Vendas[[#This Row],[Valor Unitário]]*Vendas[[#This Row],[Qnt Vendida]]</f>
        <v>345</v>
      </c>
      <c r="J1748" s="3">
        <f>Vendas[[#This Row],[Valor da Venda]]-(_xlfn.XLOOKUP(Vendas[[#This Row],[ID Item Vendido]],Agregado[ID],Agregado[Custo])*Vendas[[#This Row],[Qnt Vendida]])</f>
        <v>45</v>
      </c>
      <c r="K1748" s="70">
        <f>Vendas[[#This Row],[Lucro da Venda]]/Vendas[[#This Row],[Valor da Venda]]</f>
        <v>0.13043478260869565</v>
      </c>
      <c r="L1748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1748"/>
    </row>
    <row r="1749" spans="1:13" x14ac:dyDescent="0.3">
      <c r="A1749" s="7">
        <v>400241</v>
      </c>
      <c r="B1749" t="str">
        <f>_xlfn.XLOOKUP(Vendas[[#This Row],[ID Vendedor]],Vendedores[ID],Vendedores[Nome])</f>
        <v>Rodrigo</v>
      </c>
      <c r="C1749" s="7" t="str">
        <f>_xlfn.XLOOKUP(Vendas[[#This Row],[ID Vendedor]],Vendedores[ID],Vendedores[Setor])</f>
        <v>FM</v>
      </c>
      <c r="D1749" s="7" t="s">
        <v>31</v>
      </c>
      <c r="E1749" t="str">
        <f>_xlfn.XLOOKUP(Vendas[[#This Row],[ID Item Vendido]],Agregado[ID],Agregado[Produto])</f>
        <v>Tela de metal soldada rolo 2x25m</v>
      </c>
      <c r="F1749" s="39">
        <v>44729</v>
      </c>
      <c r="G1749" s="7">
        <v>7</v>
      </c>
      <c r="H1749" s="3">
        <f>_xlfn.XLOOKUP(Vendas[[#This Row],[ID Item Vendido]],Agregado[ID],Agregado[Revenda])</f>
        <v>43.7</v>
      </c>
      <c r="I1749" s="3">
        <f>Vendas[[#This Row],[Valor Unitário]]*Vendas[[#This Row],[Qnt Vendida]]</f>
        <v>305.90000000000003</v>
      </c>
      <c r="J1749" s="3">
        <f>Vendas[[#This Row],[Valor da Venda]]-(_xlfn.XLOOKUP(Vendas[[#This Row],[ID Item Vendido]],Agregado[ID],Agregado[Custo])*Vendas[[#This Row],[Qnt Vendida]])</f>
        <v>39.900000000000034</v>
      </c>
      <c r="K1749" s="70">
        <f>Vendas[[#This Row],[Lucro da Venda]]/Vendas[[#This Row],[Valor da Venda]]</f>
        <v>0.13043478260869576</v>
      </c>
      <c r="L1749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1749"/>
    </row>
    <row r="1750" spans="1:13" x14ac:dyDescent="0.3">
      <c r="A1750" s="7">
        <v>400247</v>
      </c>
      <c r="B1750" t="str">
        <f>_xlfn.XLOOKUP(Vendas[[#This Row],[ID Vendedor]],Vendedores[ID],Vendedores[Nome])</f>
        <v>André</v>
      </c>
      <c r="C1750" s="7" t="str">
        <f>_xlfn.XLOOKUP(Vendas[[#This Row],[ID Vendedor]],Vendedores[ID],Vendedores[Setor])</f>
        <v>CM</v>
      </c>
      <c r="D1750" s="7" t="s">
        <v>43</v>
      </c>
      <c r="E1750" t="str">
        <f>_xlfn.XLOOKUP(Vendas[[#This Row],[ID Item Vendido]],Agregado[ID],Agregado[Produto])</f>
        <v>Madeira Bruta (Tora)</v>
      </c>
      <c r="F1750" s="39">
        <v>44730</v>
      </c>
      <c r="G1750" s="7">
        <v>5</v>
      </c>
      <c r="H1750" s="3">
        <f>_xlfn.XLOOKUP(Vendas[[#This Row],[ID Item Vendido]],Agregado[ID],Agregado[Revenda])</f>
        <v>212</v>
      </c>
      <c r="I1750" s="3">
        <f>Vendas[[#This Row],[Valor Unitário]]*Vendas[[#This Row],[Qnt Vendida]]</f>
        <v>1060</v>
      </c>
      <c r="J1750" s="3">
        <f>Vendas[[#This Row],[Valor da Venda]]-(_xlfn.XLOOKUP(Vendas[[#This Row],[ID Item Vendido]],Agregado[ID],Agregado[Custo])*Vendas[[#This Row],[Qnt Vendida]])</f>
        <v>160</v>
      </c>
      <c r="K1750" s="70">
        <f>Vendas[[#This Row],[Lucro da Venda]]/Vendas[[#This Row],[Valor da Venda]]</f>
        <v>0.15094339622641509</v>
      </c>
      <c r="L1750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1750"/>
    </row>
    <row r="1751" spans="1:13" x14ac:dyDescent="0.3">
      <c r="A1751" s="7">
        <v>400242</v>
      </c>
      <c r="B1751" t="str">
        <f>_xlfn.XLOOKUP(Vendas[[#This Row],[ID Vendedor]],Vendedores[ID],Vendedores[Nome])</f>
        <v>Fernanda</v>
      </c>
      <c r="C1751" s="7" t="str">
        <f>_xlfn.XLOOKUP(Vendas[[#This Row],[ID Vendedor]],Vendedores[ID],Vendedores[Setor])</f>
        <v>FM</v>
      </c>
      <c r="D1751" s="7" t="s">
        <v>31</v>
      </c>
      <c r="E1751" t="str">
        <f>_xlfn.XLOOKUP(Vendas[[#This Row],[ID Item Vendido]],Agregado[ID],Agregado[Produto])</f>
        <v>Tela de metal soldada rolo 2x25m</v>
      </c>
      <c r="F1751" s="39">
        <v>44730</v>
      </c>
      <c r="G1751" s="7">
        <v>11</v>
      </c>
      <c r="H1751" s="3">
        <f>_xlfn.XLOOKUP(Vendas[[#This Row],[ID Item Vendido]],Agregado[ID],Agregado[Revenda])</f>
        <v>43.7</v>
      </c>
      <c r="I1751" s="3">
        <f>Vendas[[#This Row],[Valor Unitário]]*Vendas[[#This Row],[Qnt Vendida]]</f>
        <v>480.70000000000005</v>
      </c>
      <c r="J1751" s="3">
        <f>Vendas[[#This Row],[Valor da Venda]]-(_xlfn.XLOOKUP(Vendas[[#This Row],[ID Item Vendido]],Agregado[ID],Agregado[Custo])*Vendas[[#This Row],[Qnt Vendida]])</f>
        <v>62.700000000000045</v>
      </c>
      <c r="K1751" s="70">
        <f>Vendas[[#This Row],[Lucro da Venda]]/Vendas[[#This Row],[Valor da Venda]]</f>
        <v>0.13043478260869573</v>
      </c>
      <c r="L1751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1751"/>
    </row>
    <row r="1752" spans="1:13" x14ac:dyDescent="0.3">
      <c r="A1752" s="7">
        <v>400255</v>
      </c>
      <c r="B1752" t="str">
        <f>_xlfn.XLOOKUP(Vendas[[#This Row],[ID Vendedor]],Vendedores[ID],Vendedores[Nome])</f>
        <v>Carlos</v>
      </c>
      <c r="C1752" s="7" t="str">
        <f>_xlfn.XLOOKUP(Vendas[[#This Row],[ID Vendedor]],Vendedores[ID],Vendedores[Setor])</f>
        <v>SC</v>
      </c>
      <c r="D1752" s="7" t="s">
        <v>48</v>
      </c>
      <c r="E1752" t="str">
        <f>_xlfn.XLOOKUP(Vendas[[#This Row],[ID Item Vendido]],Agregado[ID],Agregado[Produto])</f>
        <v>Tambor metálico 200L</v>
      </c>
      <c r="F1752" s="39">
        <v>44731</v>
      </c>
      <c r="G1752" s="7">
        <v>13</v>
      </c>
      <c r="H1752" s="3">
        <f>_xlfn.XLOOKUP(Vendas[[#This Row],[ID Item Vendido]],Agregado[ID],Agregado[Revenda])</f>
        <v>144</v>
      </c>
      <c r="I1752" s="3">
        <f>Vendas[[#This Row],[Valor Unitário]]*Vendas[[#This Row],[Qnt Vendida]]</f>
        <v>1872</v>
      </c>
      <c r="J1752" s="3">
        <f>Vendas[[#This Row],[Valor da Venda]]-(_xlfn.XLOOKUP(Vendas[[#This Row],[ID Item Vendido]],Agregado[ID],Agregado[Custo])*Vendas[[#This Row],[Qnt Vendida]])</f>
        <v>312</v>
      </c>
      <c r="K1752" s="70">
        <f>Vendas[[#This Row],[Lucro da Venda]]/Vendas[[#This Row],[Valor da Venda]]</f>
        <v>0.16666666666666666</v>
      </c>
      <c r="L1752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1752"/>
    </row>
    <row r="1753" spans="1:13" x14ac:dyDescent="0.3">
      <c r="A1753" s="7">
        <v>400248</v>
      </c>
      <c r="B1753" t="str">
        <f>_xlfn.XLOOKUP(Vendas[[#This Row],[ID Vendedor]],Vendedores[ID],Vendedores[Nome])</f>
        <v>Patrícia</v>
      </c>
      <c r="C1753" s="7" t="str">
        <f>_xlfn.XLOOKUP(Vendas[[#This Row],[ID Vendedor]],Vendedores[ID],Vendedores[Setor])</f>
        <v>CM</v>
      </c>
      <c r="D1753" s="7" t="s">
        <v>45</v>
      </c>
      <c r="E1753" t="str">
        <f>_xlfn.XLOOKUP(Vendas[[#This Row],[ID Item Vendido]],Agregado[ID],Agregado[Produto])</f>
        <v>Viga de madeira tratada 4m</v>
      </c>
      <c r="F1753" s="39">
        <v>44731</v>
      </c>
      <c r="G1753" s="7">
        <v>17</v>
      </c>
      <c r="H1753" s="3">
        <f>_xlfn.XLOOKUP(Vendas[[#This Row],[ID Item Vendido]],Agregado[ID],Agregado[Revenda])</f>
        <v>66</v>
      </c>
      <c r="I1753" s="3">
        <f>Vendas[[#This Row],[Valor Unitário]]*Vendas[[#This Row],[Qnt Vendida]]</f>
        <v>1122</v>
      </c>
      <c r="J1753" s="3">
        <f>Vendas[[#This Row],[Valor da Venda]]-(_xlfn.XLOOKUP(Vendas[[#This Row],[ID Item Vendido]],Agregado[ID],Agregado[Custo])*Vendas[[#This Row],[Qnt Vendida]])</f>
        <v>187</v>
      </c>
      <c r="K1753" s="70">
        <f>Vendas[[#This Row],[Lucro da Venda]]/Vendas[[#This Row],[Valor da Venda]]</f>
        <v>0.16666666666666666</v>
      </c>
      <c r="L1753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1753"/>
    </row>
    <row r="1754" spans="1:13" x14ac:dyDescent="0.3">
      <c r="A1754" s="7">
        <v>400243</v>
      </c>
      <c r="B1754" t="str">
        <f>_xlfn.XLOOKUP(Vendas[[#This Row],[ID Vendedor]],Vendedores[ID],Vendedores[Nome])</f>
        <v>Marcelo</v>
      </c>
      <c r="C1754" s="7" t="str">
        <f>_xlfn.XLOOKUP(Vendas[[#This Row],[ID Vendedor]],Vendedores[ID],Vendedores[Setor])</f>
        <v>FM</v>
      </c>
      <c r="D1754" s="7" t="s">
        <v>31</v>
      </c>
      <c r="E1754" t="str">
        <f>_xlfn.XLOOKUP(Vendas[[#This Row],[ID Item Vendido]],Agregado[ID],Agregado[Produto])</f>
        <v>Tela de metal soldada rolo 2x25m</v>
      </c>
      <c r="F1754" s="39">
        <v>44731</v>
      </c>
      <c r="G1754" s="7">
        <v>16</v>
      </c>
      <c r="H1754" s="3">
        <f>_xlfn.XLOOKUP(Vendas[[#This Row],[ID Item Vendido]],Agregado[ID],Agregado[Revenda])</f>
        <v>43.7</v>
      </c>
      <c r="I1754" s="3">
        <f>Vendas[[#This Row],[Valor Unitário]]*Vendas[[#This Row],[Qnt Vendida]]</f>
        <v>699.2</v>
      </c>
      <c r="J1754" s="3">
        <f>Vendas[[#This Row],[Valor da Venda]]-(_xlfn.XLOOKUP(Vendas[[#This Row],[ID Item Vendido]],Agregado[ID],Agregado[Custo])*Vendas[[#This Row],[Qnt Vendida]])</f>
        <v>91.200000000000045</v>
      </c>
      <c r="K1754" s="70">
        <f>Vendas[[#This Row],[Lucro da Venda]]/Vendas[[#This Row],[Valor da Venda]]</f>
        <v>0.1304347826086957</v>
      </c>
      <c r="L1754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1754"/>
    </row>
    <row r="1755" spans="1:13" x14ac:dyDescent="0.3">
      <c r="A1755" s="7">
        <v>400248</v>
      </c>
      <c r="B1755" t="str">
        <f>_xlfn.XLOOKUP(Vendas[[#This Row],[ID Vendedor]],Vendedores[ID],Vendedores[Nome])</f>
        <v>Patrícia</v>
      </c>
      <c r="C1755" s="7" t="str">
        <f>_xlfn.XLOOKUP(Vendas[[#This Row],[ID Vendedor]],Vendedores[ID],Vendedores[Setor])</f>
        <v>CM</v>
      </c>
      <c r="D1755" s="7" t="s">
        <v>32</v>
      </c>
      <c r="E1755" t="str">
        <f>_xlfn.XLOOKUP(Vendas[[#This Row],[ID Item Vendido]],Agregado[ID],Agregado[Produto])</f>
        <v>Tábua tratada e cortada 3m</v>
      </c>
      <c r="F1755" s="39">
        <v>44731</v>
      </c>
      <c r="G1755" s="7">
        <v>8</v>
      </c>
      <c r="H1755" s="3">
        <f>_xlfn.XLOOKUP(Vendas[[#This Row],[ID Item Vendido]],Agregado[ID],Agregado[Revenda])</f>
        <v>39</v>
      </c>
      <c r="I1755" s="3">
        <f>Vendas[[#This Row],[Valor Unitário]]*Vendas[[#This Row],[Qnt Vendida]]</f>
        <v>312</v>
      </c>
      <c r="J1755" s="3">
        <f>Vendas[[#This Row],[Valor da Venda]]-(_xlfn.XLOOKUP(Vendas[[#This Row],[ID Item Vendido]],Agregado[ID],Agregado[Custo])*Vendas[[#This Row],[Qnt Vendida]])</f>
        <v>56</v>
      </c>
      <c r="K1755" s="70">
        <f>Vendas[[#This Row],[Lucro da Venda]]/Vendas[[#This Row],[Valor da Venda]]</f>
        <v>0.17948717948717949</v>
      </c>
      <c r="L1755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755"/>
    </row>
    <row r="1756" spans="1:13" x14ac:dyDescent="0.3">
      <c r="A1756" s="7">
        <v>400249</v>
      </c>
      <c r="B1756" t="str">
        <f>_xlfn.XLOOKUP(Vendas[[#This Row],[ID Vendedor]],Vendedores[ID],Vendedores[Nome])</f>
        <v>Bruno</v>
      </c>
      <c r="C1756" s="7" t="str">
        <f>_xlfn.XLOOKUP(Vendas[[#This Row],[ID Vendedor]],Vendedores[ID],Vendedores[Setor])</f>
        <v>CM</v>
      </c>
      <c r="D1756" s="7" t="s">
        <v>34</v>
      </c>
      <c r="E1756" t="str">
        <f>_xlfn.XLOOKUP(Vendas[[#This Row],[ID Item Vendido]],Agregado[ID],Agregado[Produto])</f>
        <v>Restos de madeira p/ MDP/OSB saco de 20kg</v>
      </c>
      <c r="F1756" s="39">
        <v>44731</v>
      </c>
      <c r="G1756" s="7">
        <v>7</v>
      </c>
      <c r="H1756" s="3">
        <f>_xlfn.XLOOKUP(Vendas[[#This Row],[ID Item Vendido]],Agregado[ID],Agregado[Revenda])</f>
        <v>13.8</v>
      </c>
      <c r="I1756" s="3">
        <f>Vendas[[#This Row],[Valor Unitário]]*Vendas[[#This Row],[Qnt Vendida]]</f>
        <v>96.600000000000009</v>
      </c>
      <c r="J1756" s="3">
        <f>Vendas[[#This Row],[Valor da Venda]]-(_xlfn.XLOOKUP(Vendas[[#This Row],[ID Item Vendido]],Agregado[ID],Agregado[Custo])*Vendas[[#This Row],[Qnt Vendida]])</f>
        <v>12.600000000000009</v>
      </c>
      <c r="K1756" s="70">
        <f>Vendas[[#This Row],[Lucro da Venda]]/Vendas[[#This Row],[Valor da Venda]]</f>
        <v>0.13043478260869573</v>
      </c>
      <c r="L1756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1756"/>
    </row>
    <row r="1757" spans="1:13" x14ac:dyDescent="0.3">
      <c r="A1757" s="7">
        <v>400245</v>
      </c>
      <c r="B1757" t="str">
        <f>_xlfn.XLOOKUP(Vendas[[#This Row],[ID Vendedor]],Vendedores[ID],Vendedores[Nome])</f>
        <v>Thiago</v>
      </c>
      <c r="C1757" s="7" t="str">
        <f>_xlfn.XLOOKUP(Vendas[[#This Row],[ID Vendedor]],Vendedores[ID],Vendedores[Setor])</f>
        <v>AHD</v>
      </c>
      <c r="D1757" s="7" t="s">
        <v>44</v>
      </c>
      <c r="E1757" t="str">
        <f>_xlfn.XLOOKUP(Vendas[[#This Row],[ID Item Vendido]],Agregado[ID],Agregado[Produto])</f>
        <v>Liga metálica especial</v>
      </c>
      <c r="F1757" s="39">
        <v>44732</v>
      </c>
      <c r="G1757" s="7">
        <v>12</v>
      </c>
      <c r="H1757" s="3">
        <f>_xlfn.XLOOKUP(Vendas[[#This Row],[ID Item Vendido]],Agregado[ID],Agregado[Revenda])</f>
        <v>32.5</v>
      </c>
      <c r="I1757" s="3">
        <f>Vendas[[#This Row],[Valor Unitário]]*Vendas[[#This Row],[Qnt Vendida]]</f>
        <v>390</v>
      </c>
      <c r="J1757" s="3">
        <f>Vendas[[#This Row],[Valor da Venda]]-(_xlfn.XLOOKUP(Vendas[[#This Row],[ID Item Vendido]],Agregado[ID],Agregado[Custo])*Vendas[[#This Row],[Qnt Vendida]])</f>
        <v>90</v>
      </c>
      <c r="K1757" s="70">
        <f>Vendas[[#This Row],[Lucro da Venda]]/Vendas[[#This Row],[Valor da Venda]]</f>
        <v>0.23076923076923078</v>
      </c>
      <c r="L1757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1757"/>
    </row>
    <row r="1758" spans="1:13" x14ac:dyDescent="0.3">
      <c r="A1758" s="7">
        <v>400248</v>
      </c>
      <c r="B1758" t="str">
        <f>_xlfn.XLOOKUP(Vendas[[#This Row],[ID Vendedor]],Vendedores[ID],Vendedores[Nome])</f>
        <v>Patrícia</v>
      </c>
      <c r="C1758" s="7" t="str">
        <f>_xlfn.XLOOKUP(Vendas[[#This Row],[ID Vendedor]],Vendedores[ID],Vendedores[Setor])</f>
        <v>CM</v>
      </c>
      <c r="D1758" s="7" t="s">
        <v>34</v>
      </c>
      <c r="E1758" t="str">
        <f>_xlfn.XLOOKUP(Vendas[[#This Row],[ID Item Vendido]],Agregado[ID],Agregado[Produto])</f>
        <v>Restos de madeira p/ MDP/OSB saco de 20kg</v>
      </c>
      <c r="F1758" s="39">
        <v>44732</v>
      </c>
      <c r="G1758" s="7">
        <v>10</v>
      </c>
      <c r="H1758" s="3">
        <f>_xlfn.XLOOKUP(Vendas[[#This Row],[ID Item Vendido]],Agregado[ID],Agregado[Revenda])</f>
        <v>13.8</v>
      </c>
      <c r="I1758" s="3">
        <f>Vendas[[#This Row],[Valor Unitário]]*Vendas[[#This Row],[Qnt Vendida]]</f>
        <v>138</v>
      </c>
      <c r="J1758" s="3">
        <f>Vendas[[#This Row],[Valor da Venda]]-(_xlfn.XLOOKUP(Vendas[[#This Row],[ID Item Vendido]],Agregado[ID],Agregado[Custo])*Vendas[[#This Row],[Qnt Vendida]])</f>
        <v>18</v>
      </c>
      <c r="K1758" s="70">
        <f>Vendas[[#This Row],[Lucro da Venda]]/Vendas[[#This Row],[Valor da Venda]]</f>
        <v>0.13043478260869565</v>
      </c>
      <c r="L1758" s="3">
        <f>_xlfn.IFS(Vendas[[#This Row],[Margem de Lucro (%)]]&lt;15%,Vendas[[#This Row],[Valor da Venda]]*3%,Vendas[[#This Row],[Margem de Lucro (%)]]&lt;=20%,Vendas[[#This Row],[Valor da Venda]]*4.5%,TRUE,Vendas[[#This Row],[Valor da Venda]]*6%)</f>
        <v>4.1399999999999997</v>
      </c>
      <c r="M1758"/>
    </row>
    <row r="1759" spans="1:13" x14ac:dyDescent="0.3">
      <c r="A1759" s="7">
        <v>400250</v>
      </c>
      <c r="B1759" t="str">
        <f>_xlfn.XLOOKUP(Vendas[[#This Row],[ID Vendedor]],Vendedores[ID],Vendedores[Nome])</f>
        <v>Larissa</v>
      </c>
      <c r="C1759" s="7" t="str">
        <f>_xlfn.XLOOKUP(Vendas[[#This Row],[ID Vendedor]],Vendedores[ID],Vendedores[Setor])</f>
        <v>AB</v>
      </c>
      <c r="D1759" s="7" t="s">
        <v>24</v>
      </c>
      <c r="E1759" t="str">
        <f>_xlfn.XLOOKUP(Vendas[[#This Row],[ID Item Vendido]],Agregado[ID],Agregado[Produto])</f>
        <v>Resina plástica PET purificada saco de 25kg</v>
      </c>
      <c r="F1759" s="39">
        <v>44734</v>
      </c>
      <c r="G1759" s="7">
        <v>30</v>
      </c>
      <c r="H1759" s="3">
        <f>_xlfn.XLOOKUP(Vendas[[#This Row],[ID Item Vendido]],Agregado[ID],Agregado[Revenda])</f>
        <v>119</v>
      </c>
      <c r="I1759" s="3">
        <f>Vendas[[#This Row],[Valor Unitário]]*Vendas[[#This Row],[Qnt Vendida]]</f>
        <v>3570</v>
      </c>
      <c r="J1759" s="3">
        <f>Vendas[[#This Row],[Valor da Venda]]-(_xlfn.XLOOKUP(Vendas[[#This Row],[ID Item Vendido]],Agregado[ID],Agregado[Custo])*Vendas[[#This Row],[Qnt Vendida]])</f>
        <v>1020</v>
      </c>
      <c r="K1759" s="70">
        <f>Vendas[[#This Row],[Lucro da Venda]]/Vendas[[#This Row],[Valor da Venda]]</f>
        <v>0.2857142857142857</v>
      </c>
      <c r="L1759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1759"/>
    </row>
    <row r="1760" spans="1:13" x14ac:dyDescent="0.3">
      <c r="A1760" s="7">
        <v>400244</v>
      </c>
      <c r="B1760" t="str">
        <f>_xlfn.XLOOKUP(Vendas[[#This Row],[ID Vendedor]],Vendedores[ID],Vendedores[Nome])</f>
        <v>Camila</v>
      </c>
      <c r="C1760" s="7" t="str">
        <f>_xlfn.XLOOKUP(Vendas[[#This Row],[ID Vendedor]],Vendedores[ID],Vendedores[Setor])</f>
        <v>AHD</v>
      </c>
      <c r="D1760" s="7" t="s">
        <v>28</v>
      </c>
      <c r="E1760" t="str">
        <f>_xlfn.XLOOKUP(Vendas[[#This Row],[ID Item Vendido]],Agregado[ID],Agregado[Produto])</f>
        <v>Peça usinada CNC</v>
      </c>
      <c r="F1760" s="39">
        <v>44734</v>
      </c>
      <c r="G1760" s="7">
        <v>10</v>
      </c>
      <c r="H1760" s="3">
        <f>_xlfn.XLOOKUP(Vendas[[#This Row],[ID Item Vendido]],Agregado[ID],Agregado[Revenda])</f>
        <v>192</v>
      </c>
      <c r="I1760" s="3">
        <f>Vendas[[#This Row],[Valor Unitário]]*Vendas[[#This Row],[Qnt Vendida]]</f>
        <v>1920</v>
      </c>
      <c r="J1760" s="3">
        <f>Vendas[[#This Row],[Valor da Venda]]-(_xlfn.XLOOKUP(Vendas[[#This Row],[ID Item Vendido]],Agregado[ID],Agregado[Custo])*Vendas[[#This Row],[Qnt Vendida]])</f>
        <v>420</v>
      </c>
      <c r="K1760" s="70">
        <f>Vendas[[#This Row],[Lucro da Venda]]/Vendas[[#This Row],[Valor da Venda]]</f>
        <v>0.21875</v>
      </c>
      <c r="L1760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1760"/>
    </row>
    <row r="1761" spans="1:13" x14ac:dyDescent="0.3">
      <c r="A1761" s="7">
        <v>400244</v>
      </c>
      <c r="B1761" t="str">
        <f>_xlfn.XLOOKUP(Vendas[[#This Row],[ID Vendedor]],Vendedores[ID],Vendedores[Nome])</f>
        <v>Camila</v>
      </c>
      <c r="C1761" s="7" t="str">
        <f>_xlfn.XLOOKUP(Vendas[[#This Row],[ID Vendedor]],Vendedores[ID],Vendedores[Setor])</f>
        <v>AHD</v>
      </c>
      <c r="D1761" s="7" t="s">
        <v>18</v>
      </c>
      <c r="E1761" t="str">
        <f>_xlfn.XLOOKUP(Vendas[[#This Row],[ID Item Vendido]],Agregado[ID],Agregado[Produto])</f>
        <v>Peça forjada sob encomenda</v>
      </c>
      <c r="F1761" s="39">
        <v>44734</v>
      </c>
      <c r="G1761" s="7">
        <v>4</v>
      </c>
      <c r="H1761" s="3">
        <f>_xlfn.XLOOKUP(Vendas[[#This Row],[ID Item Vendido]],Agregado[ID],Agregado[Revenda])</f>
        <v>264.60000000000002</v>
      </c>
      <c r="I1761" s="3">
        <f>Vendas[[#This Row],[Valor Unitário]]*Vendas[[#This Row],[Qnt Vendida]]</f>
        <v>1058.4000000000001</v>
      </c>
      <c r="J1761" s="3">
        <f>Vendas[[#This Row],[Valor da Venda]]-(_xlfn.XLOOKUP(Vendas[[#This Row],[ID Item Vendido]],Agregado[ID],Agregado[Custo])*Vendas[[#This Row],[Qnt Vendida]])</f>
        <v>58.400000000000091</v>
      </c>
      <c r="K1761" s="70">
        <f>Vendas[[#This Row],[Lucro da Venda]]/Vendas[[#This Row],[Valor da Venda]]</f>
        <v>5.5177626606198113E-2</v>
      </c>
      <c r="L176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1761"/>
    </row>
    <row r="1762" spans="1:13" x14ac:dyDescent="0.3">
      <c r="A1762" s="7">
        <v>400245</v>
      </c>
      <c r="B1762" t="str">
        <f>_xlfn.XLOOKUP(Vendas[[#This Row],[ID Vendedor]],Vendedores[ID],Vendedores[Nome])</f>
        <v>Thiago</v>
      </c>
      <c r="C1762" s="7" t="str">
        <f>_xlfn.XLOOKUP(Vendas[[#This Row],[ID Vendedor]],Vendedores[ID],Vendedores[Setor])</f>
        <v>AHD</v>
      </c>
      <c r="D1762" s="7" t="s">
        <v>9</v>
      </c>
      <c r="E1762" t="str">
        <f>_xlfn.XLOOKUP(Vendas[[#This Row],[ID Item Vendido]],Agregado[ID],Agregado[Produto])</f>
        <v>Barra de aço simples</v>
      </c>
      <c r="F1762" s="39">
        <v>44734</v>
      </c>
      <c r="G1762" s="7">
        <v>82</v>
      </c>
      <c r="H1762" s="3">
        <f>_xlfn.XLOOKUP(Vendas[[#This Row],[ID Item Vendido]],Agregado[ID],Agregado[Revenda])</f>
        <v>6.7</v>
      </c>
      <c r="I1762" s="3">
        <f>Vendas[[#This Row],[Valor Unitário]]*Vendas[[#This Row],[Qnt Vendida]]</f>
        <v>549.4</v>
      </c>
      <c r="J1762" s="3">
        <f>Vendas[[#This Row],[Valor da Venda]]-(_xlfn.XLOOKUP(Vendas[[#This Row],[ID Item Vendido]],Agregado[ID],Agregado[Custo])*Vendas[[#This Row],[Qnt Vendida]])</f>
        <v>73.800000000000011</v>
      </c>
      <c r="K1762" s="70">
        <f>Vendas[[#This Row],[Lucro da Venda]]/Vendas[[#This Row],[Valor da Venda]]</f>
        <v>0.13432835820895525</v>
      </c>
      <c r="L1762" s="3">
        <f>_xlfn.IFS(Vendas[[#This Row],[Margem de Lucro (%)]]&lt;15%,Vendas[[#This Row],[Valor da Venda]]*3%,Vendas[[#This Row],[Margem de Lucro (%)]]&lt;=20%,Vendas[[#This Row],[Valor da Venda]]*4.5%,TRUE,Vendas[[#This Row],[Valor da Venda]]*6%)</f>
        <v>16.481999999999999</v>
      </c>
      <c r="M1762"/>
    </row>
    <row r="1763" spans="1:13" x14ac:dyDescent="0.3">
      <c r="A1763" s="7">
        <v>400241</v>
      </c>
      <c r="B1763" t="str">
        <f>_xlfn.XLOOKUP(Vendas[[#This Row],[ID Vendedor]],Vendedores[ID],Vendedores[Nome])</f>
        <v>Rodrigo</v>
      </c>
      <c r="C1763" s="7" t="str">
        <f>_xlfn.XLOOKUP(Vendas[[#This Row],[ID Vendedor]],Vendedores[ID],Vendedores[Setor])</f>
        <v>FM</v>
      </c>
      <c r="D1763" s="7" t="s">
        <v>27</v>
      </c>
      <c r="E1763" t="str">
        <f>_xlfn.XLOOKUP(Vendas[[#This Row],[ID Item Vendido]],Agregado[ID],Agregado[Produto])</f>
        <v>Chapa de metal lisa 1x2m</v>
      </c>
      <c r="F1763" s="39">
        <v>44734</v>
      </c>
      <c r="G1763" s="7">
        <v>10</v>
      </c>
      <c r="H1763" s="3">
        <f>_xlfn.XLOOKUP(Vendas[[#This Row],[ID Item Vendido]],Agregado[ID],Agregado[Revenda])</f>
        <v>52</v>
      </c>
      <c r="I1763" s="3">
        <f>Vendas[[#This Row],[Valor Unitário]]*Vendas[[#This Row],[Qnt Vendida]]</f>
        <v>520</v>
      </c>
      <c r="J1763" s="3">
        <f>Vendas[[#This Row],[Valor da Venda]]-(_xlfn.XLOOKUP(Vendas[[#This Row],[ID Item Vendido]],Agregado[ID],Agregado[Custo])*Vendas[[#This Row],[Qnt Vendida]])</f>
        <v>70</v>
      </c>
      <c r="K1763" s="70">
        <f>Vendas[[#This Row],[Lucro da Venda]]/Vendas[[#This Row],[Valor da Venda]]</f>
        <v>0.13461538461538461</v>
      </c>
      <c r="L1763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1763"/>
    </row>
    <row r="1764" spans="1:13" x14ac:dyDescent="0.3">
      <c r="A1764" s="7">
        <v>400241</v>
      </c>
      <c r="B1764" t="str">
        <f>_xlfn.XLOOKUP(Vendas[[#This Row],[ID Vendedor]],Vendedores[ID],Vendedores[Nome])</f>
        <v>Rodrigo</v>
      </c>
      <c r="C1764" s="7" t="str">
        <f>_xlfn.XLOOKUP(Vendas[[#This Row],[ID Vendedor]],Vendedores[ID],Vendedores[Setor])</f>
        <v>FM</v>
      </c>
      <c r="D1764" s="7" t="s">
        <v>27</v>
      </c>
      <c r="E1764" t="str">
        <f>_xlfn.XLOOKUP(Vendas[[#This Row],[ID Item Vendido]],Agregado[ID],Agregado[Produto])</f>
        <v>Chapa de metal lisa 1x2m</v>
      </c>
      <c r="F1764" s="39">
        <v>44735</v>
      </c>
      <c r="G1764" s="7">
        <v>15</v>
      </c>
      <c r="H1764" s="3">
        <f>_xlfn.XLOOKUP(Vendas[[#This Row],[ID Item Vendido]],Agregado[ID],Agregado[Revenda])</f>
        <v>52</v>
      </c>
      <c r="I1764" s="3">
        <f>Vendas[[#This Row],[Valor Unitário]]*Vendas[[#This Row],[Qnt Vendida]]</f>
        <v>780</v>
      </c>
      <c r="J1764" s="3">
        <f>Vendas[[#This Row],[Valor da Venda]]-(_xlfn.XLOOKUP(Vendas[[#This Row],[ID Item Vendido]],Agregado[ID],Agregado[Custo])*Vendas[[#This Row],[Qnt Vendida]])</f>
        <v>105</v>
      </c>
      <c r="K1764" s="70">
        <f>Vendas[[#This Row],[Lucro da Venda]]/Vendas[[#This Row],[Valor da Venda]]</f>
        <v>0.13461538461538461</v>
      </c>
      <c r="L1764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1764"/>
    </row>
    <row r="1765" spans="1:13" x14ac:dyDescent="0.3">
      <c r="A1765" s="7">
        <v>400253</v>
      </c>
      <c r="B1765" t="str">
        <f>_xlfn.XLOOKUP(Vendas[[#This Row],[ID Vendedor]],Vendedores[ID],Vendedores[Nome])</f>
        <v>Gustavo</v>
      </c>
      <c r="C1765" s="7" t="str">
        <f>_xlfn.XLOOKUP(Vendas[[#This Row],[ID Vendedor]],Vendedores[ID],Vendedores[Setor])</f>
        <v>SC</v>
      </c>
      <c r="D1765" s="7" t="s">
        <v>48</v>
      </c>
      <c r="E1765" t="str">
        <f>_xlfn.XLOOKUP(Vendas[[#This Row],[ID Item Vendido]],Agregado[ID],Agregado[Produto])</f>
        <v>Tambor metálico 200L</v>
      </c>
      <c r="F1765" s="39">
        <v>44736</v>
      </c>
      <c r="G1765" s="7">
        <v>16</v>
      </c>
      <c r="H1765" s="3">
        <f>_xlfn.XLOOKUP(Vendas[[#This Row],[ID Item Vendido]],Agregado[ID],Agregado[Revenda])</f>
        <v>144</v>
      </c>
      <c r="I1765" s="3">
        <f>Vendas[[#This Row],[Valor Unitário]]*Vendas[[#This Row],[Qnt Vendida]]</f>
        <v>2304</v>
      </c>
      <c r="J1765" s="3">
        <f>Vendas[[#This Row],[Valor da Venda]]-(_xlfn.XLOOKUP(Vendas[[#This Row],[ID Item Vendido]],Agregado[ID],Agregado[Custo])*Vendas[[#This Row],[Qnt Vendida]])</f>
        <v>384</v>
      </c>
      <c r="K1765" s="70">
        <f>Vendas[[#This Row],[Lucro da Venda]]/Vendas[[#This Row],[Valor da Venda]]</f>
        <v>0.16666666666666666</v>
      </c>
      <c r="L1765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1765"/>
    </row>
    <row r="1766" spans="1:13" x14ac:dyDescent="0.3">
      <c r="A1766" s="7">
        <v>400250</v>
      </c>
      <c r="B1766" t="str">
        <f>_xlfn.XLOOKUP(Vendas[[#This Row],[ID Vendedor]],Vendedores[ID],Vendedores[Nome])</f>
        <v>Larissa</v>
      </c>
      <c r="C1766" s="7" t="str">
        <f>_xlfn.XLOOKUP(Vendas[[#This Row],[ID Vendedor]],Vendedores[ID],Vendedores[Setor])</f>
        <v>AB</v>
      </c>
      <c r="D1766" s="7" t="s">
        <v>24</v>
      </c>
      <c r="E1766" t="str">
        <f>_xlfn.XLOOKUP(Vendas[[#This Row],[ID Item Vendido]],Agregado[ID],Agregado[Produto])</f>
        <v>Resina plástica PET purificada saco de 25kg</v>
      </c>
      <c r="F1766" s="39">
        <v>44736</v>
      </c>
      <c r="G1766" s="7">
        <v>17</v>
      </c>
      <c r="H1766" s="3">
        <f>_xlfn.XLOOKUP(Vendas[[#This Row],[ID Item Vendido]],Agregado[ID],Agregado[Revenda])</f>
        <v>119</v>
      </c>
      <c r="I1766" s="3">
        <f>Vendas[[#This Row],[Valor Unitário]]*Vendas[[#This Row],[Qnt Vendida]]</f>
        <v>2023</v>
      </c>
      <c r="J1766" s="3">
        <f>Vendas[[#This Row],[Valor da Venda]]-(_xlfn.XLOOKUP(Vendas[[#This Row],[ID Item Vendido]],Agregado[ID],Agregado[Custo])*Vendas[[#This Row],[Qnt Vendida]])</f>
        <v>578</v>
      </c>
      <c r="K1766" s="70">
        <f>Vendas[[#This Row],[Lucro da Venda]]/Vendas[[#This Row],[Valor da Venda]]</f>
        <v>0.2857142857142857</v>
      </c>
      <c r="L176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1766"/>
    </row>
    <row r="1767" spans="1:13" x14ac:dyDescent="0.3">
      <c r="A1767" s="7">
        <v>400243</v>
      </c>
      <c r="B1767" t="str">
        <f>_xlfn.XLOOKUP(Vendas[[#This Row],[ID Vendedor]],Vendedores[ID],Vendedores[Nome])</f>
        <v>Marcelo</v>
      </c>
      <c r="C1767" s="7" t="str">
        <f>_xlfn.XLOOKUP(Vendas[[#This Row],[ID Vendedor]],Vendedores[ID],Vendedores[Setor])</f>
        <v>FM</v>
      </c>
      <c r="D1767" s="7" t="s">
        <v>6</v>
      </c>
      <c r="E1767" t="str">
        <f>_xlfn.XLOOKUP(Vendas[[#This Row],[ID Item Vendido]],Agregado[ID],Agregado[Produto])</f>
        <v>Parafuso comum 500un</v>
      </c>
      <c r="F1767" s="39">
        <v>44736</v>
      </c>
      <c r="G1767" s="7">
        <v>12</v>
      </c>
      <c r="H1767" s="3">
        <f>_xlfn.XLOOKUP(Vendas[[#This Row],[ID Item Vendido]],Agregado[ID],Agregado[Revenda])</f>
        <v>24.6</v>
      </c>
      <c r="I1767" s="3">
        <f>Vendas[[#This Row],[Valor Unitário]]*Vendas[[#This Row],[Qnt Vendida]]</f>
        <v>295.20000000000005</v>
      </c>
      <c r="J1767" s="3">
        <f>Vendas[[#This Row],[Valor da Venda]]-(_xlfn.XLOOKUP(Vendas[[#This Row],[ID Item Vendido]],Agregado[ID],Agregado[Custo])*Vendas[[#This Row],[Qnt Vendida]])</f>
        <v>31.200000000000045</v>
      </c>
      <c r="K1767" s="70">
        <f>Vendas[[#This Row],[Lucro da Venda]]/Vendas[[#This Row],[Valor da Venda]]</f>
        <v>0.10569105691056924</v>
      </c>
      <c r="L1767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1767"/>
    </row>
    <row r="1768" spans="1:13" x14ac:dyDescent="0.3">
      <c r="A1768" s="7">
        <v>400253</v>
      </c>
      <c r="B1768" t="str">
        <f>_xlfn.XLOOKUP(Vendas[[#This Row],[ID Vendedor]],Vendedores[ID],Vendedores[Nome])</f>
        <v>Gustavo</v>
      </c>
      <c r="C1768" s="7" t="str">
        <f>_xlfn.XLOOKUP(Vendas[[#This Row],[ID Vendedor]],Vendedores[ID],Vendedores[Setor])</f>
        <v>SC</v>
      </c>
      <c r="D1768" s="7" t="s">
        <v>48</v>
      </c>
      <c r="E1768" t="str">
        <f>_xlfn.XLOOKUP(Vendas[[#This Row],[ID Item Vendido]],Agregado[ID],Agregado[Produto])</f>
        <v>Tambor metálico 200L</v>
      </c>
      <c r="F1768" s="39">
        <v>44739</v>
      </c>
      <c r="G1768" s="7">
        <v>15</v>
      </c>
      <c r="H1768" s="3">
        <f>_xlfn.XLOOKUP(Vendas[[#This Row],[ID Item Vendido]],Agregado[ID],Agregado[Revenda])</f>
        <v>144</v>
      </c>
      <c r="I1768" s="3">
        <f>Vendas[[#This Row],[Valor Unitário]]*Vendas[[#This Row],[Qnt Vendida]]</f>
        <v>2160</v>
      </c>
      <c r="J1768" s="3">
        <f>Vendas[[#This Row],[Valor da Venda]]-(_xlfn.XLOOKUP(Vendas[[#This Row],[ID Item Vendido]],Agregado[ID],Agregado[Custo])*Vendas[[#This Row],[Qnt Vendida]])</f>
        <v>360</v>
      </c>
      <c r="K1768" s="70">
        <f>Vendas[[#This Row],[Lucro da Venda]]/Vendas[[#This Row],[Valor da Venda]]</f>
        <v>0.16666666666666666</v>
      </c>
      <c r="L1768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768"/>
    </row>
    <row r="1769" spans="1:13" x14ac:dyDescent="0.3">
      <c r="A1769" s="7">
        <v>400248</v>
      </c>
      <c r="B1769" t="str">
        <f>_xlfn.XLOOKUP(Vendas[[#This Row],[ID Vendedor]],Vendedores[ID],Vendedores[Nome])</f>
        <v>Patrícia</v>
      </c>
      <c r="C1769" s="7" t="str">
        <f>_xlfn.XLOOKUP(Vendas[[#This Row],[ID Vendedor]],Vendedores[ID],Vendedores[Setor])</f>
        <v>CM</v>
      </c>
      <c r="D1769" s="7" t="s">
        <v>32</v>
      </c>
      <c r="E1769" t="str">
        <f>_xlfn.XLOOKUP(Vendas[[#This Row],[ID Item Vendido]],Agregado[ID],Agregado[Produto])</f>
        <v>Tábua tratada e cortada 3m</v>
      </c>
      <c r="F1769" s="39">
        <v>44739</v>
      </c>
      <c r="G1769" s="7">
        <v>39</v>
      </c>
      <c r="H1769" s="3">
        <f>_xlfn.XLOOKUP(Vendas[[#This Row],[ID Item Vendido]],Agregado[ID],Agregado[Revenda])</f>
        <v>39</v>
      </c>
      <c r="I1769" s="3">
        <f>Vendas[[#This Row],[Valor Unitário]]*Vendas[[#This Row],[Qnt Vendida]]</f>
        <v>1521</v>
      </c>
      <c r="J1769" s="3">
        <f>Vendas[[#This Row],[Valor da Venda]]-(_xlfn.XLOOKUP(Vendas[[#This Row],[ID Item Vendido]],Agregado[ID],Agregado[Custo])*Vendas[[#This Row],[Qnt Vendida]])</f>
        <v>273</v>
      </c>
      <c r="K1769" s="70">
        <f>Vendas[[#This Row],[Lucro da Venda]]/Vendas[[#This Row],[Valor da Venda]]</f>
        <v>0.17948717948717949</v>
      </c>
      <c r="L1769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1769"/>
    </row>
    <row r="1770" spans="1:13" x14ac:dyDescent="0.3">
      <c r="A1770" s="7">
        <v>400250</v>
      </c>
      <c r="B1770" t="str">
        <f>_xlfn.XLOOKUP(Vendas[[#This Row],[ID Vendedor]],Vendedores[ID],Vendedores[Nome])</f>
        <v>Larissa</v>
      </c>
      <c r="C1770" s="7" t="str">
        <f>_xlfn.XLOOKUP(Vendas[[#This Row],[ID Vendedor]],Vendedores[ID],Vendedores[Setor])</f>
        <v>AB</v>
      </c>
      <c r="D1770" s="7" t="s">
        <v>24</v>
      </c>
      <c r="E1770" t="str">
        <f>_xlfn.XLOOKUP(Vendas[[#This Row],[ID Item Vendido]],Agregado[ID],Agregado[Produto])</f>
        <v>Resina plástica PET purificada saco de 25kg</v>
      </c>
      <c r="F1770" s="39">
        <v>44739</v>
      </c>
      <c r="G1770" s="7">
        <v>12</v>
      </c>
      <c r="H1770" s="3">
        <f>_xlfn.XLOOKUP(Vendas[[#This Row],[ID Item Vendido]],Agregado[ID],Agregado[Revenda])</f>
        <v>119</v>
      </c>
      <c r="I1770" s="3">
        <f>Vendas[[#This Row],[Valor Unitário]]*Vendas[[#This Row],[Qnt Vendida]]</f>
        <v>1428</v>
      </c>
      <c r="J1770" s="3">
        <f>Vendas[[#This Row],[Valor da Venda]]-(_xlfn.XLOOKUP(Vendas[[#This Row],[ID Item Vendido]],Agregado[ID],Agregado[Custo])*Vendas[[#This Row],[Qnt Vendida]])</f>
        <v>408</v>
      </c>
      <c r="K1770" s="70">
        <f>Vendas[[#This Row],[Lucro da Venda]]/Vendas[[#This Row],[Valor da Venda]]</f>
        <v>0.2857142857142857</v>
      </c>
      <c r="L1770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1770"/>
    </row>
    <row r="1771" spans="1:13" x14ac:dyDescent="0.3">
      <c r="A1771" s="7">
        <v>400250</v>
      </c>
      <c r="B1771" t="str">
        <f>_xlfn.XLOOKUP(Vendas[[#This Row],[ID Vendedor]],Vendedores[ID],Vendedores[Nome])</f>
        <v>Larissa</v>
      </c>
      <c r="C1771" s="7" t="str">
        <f>_xlfn.XLOOKUP(Vendas[[#This Row],[ID Vendedor]],Vendedores[ID],Vendedores[Setor])</f>
        <v>AB</v>
      </c>
      <c r="D1771" s="7" t="s">
        <v>37</v>
      </c>
      <c r="E1771" t="str">
        <f>_xlfn.XLOOKUP(Vendas[[#This Row],[ID Item Vendido]],Agregado[ID],Agregado[Produto])</f>
        <v>Composto de borracha para vedação rolo 10m</v>
      </c>
      <c r="F1771" s="39">
        <v>44739</v>
      </c>
      <c r="G1771" s="7">
        <v>3</v>
      </c>
      <c r="H1771" s="3">
        <f>_xlfn.XLOOKUP(Vendas[[#This Row],[ID Item Vendido]],Agregado[ID],Agregado[Revenda])</f>
        <v>51.2</v>
      </c>
      <c r="I1771" s="3">
        <f>Vendas[[#This Row],[Valor Unitário]]*Vendas[[#This Row],[Qnt Vendida]]</f>
        <v>153.60000000000002</v>
      </c>
      <c r="J1771" s="3">
        <f>Vendas[[#This Row],[Valor da Venda]]-(_xlfn.XLOOKUP(Vendas[[#This Row],[ID Item Vendido]],Agregado[ID],Agregado[Custo])*Vendas[[#This Row],[Qnt Vendida]])</f>
        <v>33.600000000000023</v>
      </c>
      <c r="K1771" s="70">
        <f>Vendas[[#This Row],[Lucro da Venda]]/Vendas[[#This Row],[Valor da Venda]]</f>
        <v>0.21875000000000011</v>
      </c>
      <c r="L1771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1771"/>
    </row>
    <row r="1772" spans="1:13" x14ac:dyDescent="0.3">
      <c r="A1772" s="7">
        <v>400251</v>
      </c>
      <c r="B1772" t="str">
        <f>_xlfn.XLOOKUP(Vendas[[#This Row],[ID Vendedor]],Vendedores[ID],Vendedores[Nome])</f>
        <v>Diego</v>
      </c>
      <c r="C1772" s="7" t="str">
        <f>_xlfn.XLOOKUP(Vendas[[#This Row],[ID Vendedor]],Vendedores[ID],Vendedores[Setor])</f>
        <v>AB</v>
      </c>
      <c r="D1772" s="7" t="s">
        <v>37</v>
      </c>
      <c r="E1772" t="str">
        <f>_xlfn.XLOOKUP(Vendas[[#This Row],[ID Item Vendido]],Agregado[ID],Agregado[Produto])</f>
        <v>Composto de borracha para vedação rolo 10m</v>
      </c>
      <c r="F1772" s="39">
        <v>44740</v>
      </c>
      <c r="G1772" s="7">
        <v>19</v>
      </c>
      <c r="H1772" s="3">
        <f>_xlfn.XLOOKUP(Vendas[[#This Row],[ID Item Vendido]],Agregado[ID],Agregado[Revenda])</f>
        <v>51.2</v>
      </c>
      <c r="I1772" s="3">
        <f>Vendas[[#This Row],[Valor Unitário]]*Vendas[[#This Row],[Qnt Vendida]]</f>
        <v>972.80000000000007</v>
      </c>
      <c r="J1772" s="3">
        <f>Vendas[[#This Row],[Valor da Venda]]-(_xlfn.XLOOKUP(Vendas[[#This Row],[ID Item Vendido]],Agregado[ID],Agregado[Custo])*Vendas[[#This Row],[Qnt Vendida]])</f>
        <v>212.80000000000007</v>
      </c>
      <c r="K1772" s="70">
        <f>Vendas[[#This Row],[Lucro da Venda]]/Vendas[[#This Row],[Valor da Venda]]</f>
        <v>0.21875000000000006</v>
      </c>
      <c r="L1772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1772"/>
    </row>
    <row r="1773" spans="1:13" x14ac:dyDescent="0.3">
      <c r="A1773" s="7">
        <v>400247</v>
      </c>
      <c r="B1773" t="str">
        <f>_xlfn.XLOOKUP(Vendas[[#This Row],[ID Vendedor]],Vendedores[ID],Vendedores[Nome])</f>
        <v>André</v>
      </c>
      <c r="C1773" s="7" t="str">
        <f>_xlfn.XLOOKUP(Vendas[[#This Row],[ID Vendedor]],Vendedores[ID],Vendedores[Setor])</f>
        <v>CM</v>
      </c>
      <c r="D1773" s="7" t="s">
        <v>34</v>
      </c>
      <c r="E1773" t="str">
        <f>_xlfn.XLOOKUP(Vendas[[#This Row],[ID Item Vendido]],Agregado[ID],Agregado[Produto])</f>
        <v>Restos de madeira p/ MDP/OSB saco de 20kg</v>
      </c>
      <c r="F1773" s="39">
        <v>44740</v>
      </c>
      <c r="G1773" s="7">
        <v>18</v>
      </c>
      <c r="H1773" s="3">
        <f>_xlfn.XLOOKUP(Vendas[[#This Row],[ID Item Vendido]],Agregado[ID],Agregado[Revenda])</f>
        <v>13.8</v>
      </c>
      <c r="I1773" s="3">
        <f>Vendas[[#This Row],[Valor Unitário]]*Vendas[[#This Row],[Qnt Vendida]]</f>
        <v>248.4</v>
      </c>
      <c r="J1773" s="3">
        <f>Vendas[[#This Row],[Valor da Venda]]-(_xlfn.XLOOKUP(Vendas[[#This Row],[ID Item Vendido]],Agregado[ID],Agregado[Custo])*Vendas[[#This Row],[Qnt Vendida]])</f>
        <v>32.400000000000006</v>
      </c>
      <c r="K1773" s="70">
        <f>Vendas[[#This Row],[Lucro da Venda]]/Vendas[[#This Row],[Valor da Venda]]</f>
        <v>0.13043478260869568</v>
      </c>
      <c r="L1773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1773"/>
    </row>
    <row r="1774" spans="1:13" x14ac:dyDescent="0.3">
      <c r="A1774" s="7">
        <v>400248</v>
      </c>
      <c r="B1774" t="str">
        <f>_xlfn.XLOOKUP(Vendas[[#This Row],[ID Vendedor]],Vendedores[ID],Vendedores[Nome])</f>
        <v>Patrícia</v>
      </c>
      <c r="C1774" s="7" t="str">
        <f>_xlfn.XLOOKUP(Vendas[[#This Row],[ID Vendedor]],Vendedores[ID],Vendedores[Setor])</f>
        <v>CM</v>
      </c>
      <c r="D1774" s="7" t="s">
        <v>45</v>
      </c>
      <c r="E1774" t="str">
        <f>_xlfn.XLOOKUP(Vendas[[#This Row],[ID Item Vendido]],Agregado[ID],Agregado[Produto])</f>
        <v>Viga de madeira tratada 4m</v>
      </c>
      <c r="F1774" s="39">
        <v>44741</v>
      </c>
      <c r="G1774" s="7">
        <v>14</v>
      </c>
      <c r="H1774" s="3">
        <f>_xlfn.XLOOKUP(Vendas[[#This Row],[ID Item Vendido]],Agregado[ID],Agregado[Revenda])</f>
        <v>66</v>
      </c>
      <c r="I1774" s="3">
        <f>Vendas[[#This Row],[Valor Unitário]]*Vendas[[#This Row],[Qnt Vendida]]</f>
        <v>924</v>
      </c>
      <c r="J1774" s="3">
        <f>Vendas[[#This Row],[Valor da Venda]]-(_xlfn.XLOOKUP(Vendas[[#This Row],[ID Item Vendido]],Agregado[ID],Agregado[Custo])*Vendas[[#This Row],[Qnt Vendida]])</f>
        <v>154</v>
      </c>
      <c r="K1774" s="70">
        <f>Vendas[[#This Row],[Lucro da Venda]]/Vendas[[#This Row],[Valor da Venda]]</f>
        <v>0.16666666666666666</v>
      </c>
      <c r="L1774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1774"/>
    </row>
    <row r="1775" spans="1:13" x14ac:dyDescent="0.3">
      <c r="A1775" s="7">
        <v>400244</v>
      </c>
      <c r="B1775" t="str">
        <f>_xlfn.XLOOKUP(Vendas[[#This Row],[ID Vendedor]],Vendedores[ID],Vendedores[Nome])</f>
        <v>Camila</v>
      </c>
      <c r="C1775" s="7" t="str">
        <f>_xlfn.XLOOKUP(Vendas[[#This Row],[ID Vendedor]],Vendedores[ID],Vendedores[Setor])</f>
        <v>AHD</v>
      </c>
      <c r="D1775" s="7" t="s">
        <v>9</v>
      </c>
      <c r="E1775" t="str">
        <f>_xlfn.XLOOKUP(Vendas[[#This Row],[ID Item Vendido]],Agregado[ID],Agregado[Produto])</f>
        <v>Barra de aço simples</v>
      </c>
      <c r="F1775" s="39">
        <v>44741</v>
      </c>
      <c r="G1775" s="7">
        <v>79</v>
      </c>
      <c r="H1775" s="3">
        <f>_xlfn.XLOOKUP(Vendas[[#This Row],[ID Item Vendido]],Agregado[ID],Agregado[Revenda])</f>
        <v>6.7</v>
      </c>
      <c r="I1775" s="3">
        <f>Vendas[[#This Row],[Valor Unitário]]*Vendas[[#This Row],[Qnt Vendida]]</f>
        <v>529.30000000000007</v>
      </c>
      <c r="J1775" s="3">
        <f>Vendas[[#This Row],[Valor da Venda]]-(_xlfn.XLOOKUP(Vendas[[#This Row],[ID Item Vendido]],Agregado[ID],Agregado[Custo])*Vendas[[#This Row],[Qnt Vendida]])</f>
        <v>71.10000000000008</v>
      </c>
      <c r="K1775" s="70">
        <f>Vendas[[#This Row],[Lucro da Venda]]/Vendas[[#This Row],[Valor da Venda]]</f>
        <v>0.13432835820895536</v>
      </c>
      <c r="L1775" s="3">
        <f>_xlfn.IFS(Vendas[[#This Row],[Margem de Lucro (%)]]&lt;15%,Vendas[[#This Row],[Valor da Venda]]*3%,Vendas[[#This Row],[Margem de Lucro (%)]]&lt;=20%,Vendas[[#This Row],[Valor da Venda]]*4.5%,TRUE,Vendas[[#This Row],[Valor da Venda]]*6%)</f>
        <v>15.879000000000001</v>
      </c>
      <c r="M1775"/>
    </row>
    <row r="1776" spans="1:13" x14ac:dyDescent="0.3">
      <c r="A1776" s="7">
        <v>400248</v>
      </c>
      <c r="B1776" t="str">
        <f>_xlfn.XLOOKUP(Vendas[[#This Row],[ID Vendedor]],Vendedores[ID],Vendedores[Nome])</f>
        <v>Patrícia</v>
      </c>
      <c r="C1776" s="7" t="str">
        <f>_xlfn.XLOOKUP(Vendas[[#This Row],[ID Vendedor]],Vendedores[ID],Vendedores[Setor])</f>
        <v>CM</v>
      </c>
      <c r="D1776" s="7" t="s">
        <v>32</v>
      </c>
      <c r="E1776" t="str">
        <f>_xlfn.XLOOKUP(Vendas[[#This Row],[ID Item Vendido]],Agregado[ID],Agregado[Produto])</f>
        <v>Tábua tratada e cortada 3m</v>
      </c>
      <c r="F1776" s="39">
        <v>44741</v>
      </c>
      <c r="G1776" s="7">
        <v>10</v>
      </c>
      <c r="H1776" s="3">
        <f>_xlfn.XLOOKUP(Vendas[[#This Row],[ID Item Vendido]],Agregado[ID],Agregado[Revenda])</f>
        <v>39</v>
      </c>
      <c r="I1776" s="3">
        <f>Vendas[[#This Row],[Valor Unitário]]*Vendas[[#This Row],[Qnt Vendida]]</f>
        <v>390</v>
      </c>
      <c r="J1776" s="3">
        <f>Vendas[[#This Row],[Valor da Venda]]-(_xlfn.XLOOKUP(Vendas[[#This Row],[ID Item Vendido]],Agregado[ID],Agregado[Custo])*Vendas[[#This Row],[Qnt Vendida]])</f>
        <v>70</v>
      </c>
      <c r="K1776" s="70">
        <f>Vendas[[#This Row],[Lucro da Venda]]/Vendas[[#This Row],[Valor da Venda]]</f>
        <v>0.17948717948717949</v>
      </c>
      <c r="L1776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1776"/>
    </row>
    <row r="1777" spans="1:13" x14ac:dyDescent="0.3">
      <c r="A1777" s="7">
        <v>400244</v>
      </c>
      <c r="B1777" t="str">
        <f>_xlfn.XLOOKUP(Vendas[[#This Row],[ID Vendedor]],Vendedores[ID],Vendedores[Nome])</f>
        <v>Camila</v>
      </c>
      <c r="C1777" s="7" t="str">
        <f>_xlfn.XLOOKUP(Vendas[[#This Row],[ID Vendedor]],Vendedores[ID],Vendedores[Setor])</f>
        <v>AHD</v>
      </c>
      <c r="D1777" s="7" t="s">
        <v>28</v>
      </c>
      <c r="E1777" t="str">
        <f>_xlfn.XLOOKUP(Vendas[[#This Row],[ID Item Vendido]],Agregado[ID],Agregado[Produto])</f>
        <v>Peça usinada CNC</v>
      </c>
      <c r="F1777" s="39">
        <v>44742</v>
      </c>
      <c r="G1777" s="7">
        <v>12</v>
      </c>
      <c r="H1777" s="3">
        <f>_xlfn.XLOOKUP(Vendas[[#This Row],[ID Item Vendido]],Agregado[ID],Agregado[Revenda])</f>
        <v>192</v>
      </c>
      <c r="I1777" s="3">
        <f>Vendas[[#This Row],[Valor Unitário]]*Vendas[[#This Row],[Qnt Vendida]]</f>
        <v>2304</v>
      </c>
      <c r="J1777" s="3">
        <f>Vendas[[#This Row],[Valor da Venda]]-(_xlfn.XLOOKUP(Vendas[[#This Row],[ID Item Vendido]],Agregado[ID],Agregado[Custo])*Vendas[[#This Row],[Qnt Vendida]])</f>
        <v>504</v>
      </c>
      <c r="K1777" s="70">
        <f>Vendas[[#This Row],[Lucro da Venda]]/Vendas[[#This Row],[Valor da Venda]]</f>
        <v>0.21875</v>
      </c>
      <c r="L1777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1777"/>
    </row>
    <row r="1778" spans="1:13" x14ac:dyDescent="0.3">
      <c r="A1778" s="7">
        <v>400242</v>
      </c>
      <c r="B1778" t="str">
        <f>_xlfn.XLOOKUP(Vendas[[#This Row],[ID Vendedor]],Vendedores[ID],Vendedores[Nome])</f>
        <v>Fernanda</v>
      </c>
      <c r="C1778" s="7" t="str">
        <f>_xlfn.XLOOKUP(Vendas[[#This Row],[ID Vendedor]],Vendedores[ID],Vendedores[Setor])</f>
        <v>FM</v>
      </c>
      <c r="D1778" s="7" t="s">
        <v>6</v>
      </c>
      <c r="E1778" t="str">
        <f>_xlfn.XLOOKUP(Vendas[[#This Row],[ID Item Vendido]],Agregado[ID],Agregado[Produto])</f>
        <v>Parafuso comum 500un</v>
      </c>
      <c r="F1778" s="39">
        <v>44742</v>
      </c>
      <c r="G1778" s="7">
        <v>24</v>
      </c>
      <c r="H1778" s="3">
        <f>_xlfn.XLOOKUP(Vendas[[#This Row],[ID Item Vendido]],Agregado[ID],Agregado[Revenda])</f>
        <v>24.6</v>
      </c>
      <c r="I1778" s="3">
        <f>Vendas[[#This Row],[Valor Unitário]]*Vendas[[#This Row],[Qnt Vendida]]</f>
        <v>590.40000000000009</v>
      </c>
      <c r="J1778" s="3">
        <f>Vendas[[#This Row],[Valor da Venda]]-(_xlfn.XLOOKUP(Vendas[[#This Row],[ID Item Vendido]],Agregado[ID],Agregado[Custo])*Vendas[[#This Row],[Qnt Vendida]])</f>
        <v>62.400000000000091</v>
      </c>
      <c r="K1778" s="70">
        <f>Vendas[[#This Row],[Lucro da Venda]]/Vendas[[#This Row],[Valor da Venda]]</f>
        <v>0.10569105691056924</v>
      </c>
      <c r="L1778" s="3">
        <f>_xlfn.IFS(Vendas[[#This Row],[Margem de Lucro (%)]]&lt;15%,Vendas[[#This Row],[Valor da Venda]]*3%,Vendas[[#This Row],[Margem de Lucro (%)]]&lt;=20%,Vendas[[#This Row],[Valor da Venda]]*4.5%,TRUE,Vendas[[#This Row],[Valor da Venda]]*6%)</f>
        <v>17.712000000000003</v>
      </c>
      <c r="M1778"/>
    </row>
    <row r="1779" spans="1:13" x14ac:dyDescent="0.3">
      <c r="A1779" s="7">
        <v>400242</v>
      </c>
      <c r="B1779" t="str">
        <f>_xlfn.XLOOKUP(Vendas[[#This Row],[ID Vendedor]],Vendedores[ID],Vendedores[Nome])</f>
        <v>Fernanda</v>
      </c>
      <c r="C1779" s="7" t="str">
        <f>_xlfn.XLOOKUP(Vendas[[#This Row],[ID Vendedor]],Vendedores[ID],Vendedores[Setor])</f>
        <v>FM</v>
      </c>
      <c r="D1779" s="7" t="s">
        <v>27</v>
      </c>
      <c r="E1779" t="str">
        <f>_xlfn.XLOOKUP(Vendas[[#This Row],[ID Item Vendido]],Agregado[ID],Agregado[Produto])</f>
        <v>Chapa de metal lisa 1x2m</v>
      </c>
      <c r="F1779" s="39">
        <v>44742</v>
      </c>
      <c r="G1779" s="7">
        <v>4</v>
      </c>
      <c r="H1779" s="3">
        <f>_xlfn.XLOOKUP(Vendas[[#This Row],[ID Item Vendido]],Agregado[ID],Agregado[Revenda])</f>
        <v>52</v>
      </c>
      <c r="I1779" s="3">
        <f>Vendas[[#This Row],[Valor Unitário]]*Vendas[[#This Row],[Qnt Vendida]]</f>
        <v>208</v>
      </c>
      <c r="J1779" s="3">
        <f>Vendas[[#This Row],[Valor da Venda]]-(_xlfn.XLOOKUP(Vendas[[#This Row],[ID Item Vendido]],Agregado[ID],Agregado[Custo])*Vendas[[#This Row],[Qnt Vendida]])</f>
        <v>28</v>
      </c>
      <c r="K1779" s="70">
        <f>Vendas[[#This Row],[Lucro da Venda]]/Vendas[[#This Row],[Valor da Venda]]</f>
        <v>0.13461538461538461</v>
      </c>
      <c r="L1779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1779"/>
    </row>
    <row r="1780" spans="1:13" x14ac:dyDescent="0.3">
      <c r="A1780" s="7">
        <v>400247</v>
      </c>
      <c r="B1780" t="str">
        <f>_xlfn.XLOOKUP(Vendas[[#This Row],[ID Vendedor]],Vendedores[ID],Vendedores[Nome])</f>
        <v>André</v>
      </c>
      <c r="C1780" s="7" t="str">
        <f>_xlfn.XLOOKUP(Vendas[[#This Row],[ID Vendedor]],Vendedores[ID],Vendedores[Setor])</f>
        <v>CM</v>
      </c>
      <c r="D1780" s="7" t="s">
        <v>43</v>
      </c>
      <c r="E1780" t="str">
        <f>_xlfn.XLOOKUP(Vendas[[#This Row],[ID Item Vendido]],Agregado[ID],Agregado[Produto])</f>
        <v>Madeira Bruta (Tora)</v>
      </c>
      <c r="F1780" s="39">
        <v>44743</v>
      </c>
      <c r="G1780" s="7">
        <v>11</v>
      </c>
      <c r="H1780" s="3">
        <f>_xlfn.XLOOKUP(Vendas[[#This Row],[ID Item Vendido]],Agregado[ID],Agregado[Revenda])</f>
        <v>212</v>
      </c>
      <c r="I1780" s="3">
        <f>Vendas[[#This Row],[Valor Unitário]]*Vendas[[#This Row],[Qnt Vendida]]</f>
        <v>2332</v>
      </c>
      <c r="J1780" s="3">
        <f>Vendas[[#This Row],[Valor da Venda]]-(_xlfn.XLOOKUP(Vendas[[#This Row],[ID Item Vendido]],Agregado[ID],Agregado[Custo])*Vendas[[#This Row],[Qnt Vendida]])</f>
        <v>352</v>
      </c>
      <c r="K1780" s="70">
        <f>Vendas[[#This Row],[Lucro da Venda]]/Vendas[[#This Row],[Valor da Venda]]</f>
        <v>0.15094339622641509</v>
      </c>
      <c r="L178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780"/>
    </row>
    <row r="1781" spans="1:13" x14ac:dyDescent="0.3">
      <c r="A1781" s="7">
        <v>400248</v>
      </c>
      <c r="B1781" t="str">
        <f>_xlfn.XLOOKUP(Vendas[[#This Row],[ID Vendedor]],Vendedores[ID],Vendedores[Nome])</f>
        <v>Patrícia</v>
      </c>
      <c r="C1781" s="7" t="str">
        <f>_xlfn.XLOOKUP(Vendas[[#This Row],[ID Vendedor]],Vendedores[ID],Vendedores[Setor])</f>
        <v>CM</v>
      </c>
      <c r="D1781" s="7" t="s">
        <v>22</v>
      </c>
      <c r="E1781" t="str">
        <f>_xlfn.XLOOKUP(Vendas[[#This Row],[ID Item Vendido]],Agregado[ID],Agregado[Produto])</f>
        <v>Painel MDP 2,75x1,83m</v>
      </c>
      <c r="F1781" s="39">
        <v>44743</v>
      </c>
      <c r="G1781" s="7">
        <v>14</v>
      </c>
      <c r="H1781" s="3">
        <f>_xlfn.XLOOKUP(Vendas[[#This Row],[ID Item Vendido]],Agregado[ID],Agregado[Revenda])</f>
        <v>119</v>
      </c>
      <c r="I1781" s="3">
        <f>Vendas[[#This Row],[Valor Unitário]]*Vendas[[#This Row],[Qnt Vendida]]</f>
        <v>1666</v>
      </c>
      <c r="J1781" s="3">
        <f>Vendas[[#This Row],[Valor da Venda]]-(_xlfn.XLOOKUP(Vendas[[#This Row],[ID Item Vendido]],Agregado[ID],Agregado[Custo])*Vendas[[#This Row],[Qnt Vendida]])</f>
        <v>336</v>
      </c>
      <c r="K1781" s="70">
        <f>Vendas[[#This Row],[Lucro da Venda]]/Vendas[[#This Row],[Valor da Venda]]</f>
        <v>0.20168067226890757</v>
      </c>
      <c r="L1781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781"/>
    </row>
    <row r="1782" spans="1:13" x14ac:dyDescent="0.3">
      <c r="A1782" s="7">
        <v>400255</v>
      </c>
      <c r="B1782" t="str">
        <f>_xlfn.XLOOKUP(Vendas[[#This Row],[ID Vendedor]],Vendedores[ID],Vendedores[Nome])</f>
        <v>Carlos</v>
      </c>
      <c r="C1782" s="7" t="str">
        <f>_xlfn.XLOOKUP(Vendas[[#This Row],[ID Vendedor]],Vendedores[ID],Vendedores[Setor])</f>
        <v>SC</v>
      </c>
      <c r="D1782" s="7" t="s">
        <v>14</v>
      </c>
      <c r="E1782" t="str">
        <f>_xlfn.XLOOKUP(Vendas[[#This Row],[ID Item Vendido]],Agregado[ID],Agregado[Produto])</f>
        <v>Barril de plástico 200L</v>
      </c>
      <c r="F1782" s="39">
        <v>44744</v>
      </c>
      <c r="G1782" s="7">
        <v>19</v>
      </c>
      <c r="H1782" s="3">
        <f>_xlfn.XLOOKUP(Vendas[[#This Row],[ID Item Vendido]],Agregado[ID],Agregado[Revenda])</f>
        <v>114</v>
      </c>
      <c r="I1782" s="3">
        <f>Vendas[[#This Row],[Valor Unitário]]*Vendas[[#This Row],[Qnt Vendida]]</f>
        <v>2166</v>
      </c>
      <c r="J1782" s="3">
        <f>Vendas[[#This Row],[Valor da Venda]]-(_xlfn.XLOOKUP(Vendas[[#This Row],[ID Item Vendido]],Agregado[ID],Agregado[Custo])*Vendas[[#This Row],[Qnt Vendida]])</f>
        <v>361</v>
      </c>
      <c r="K1782" s="70">
        <f>Vendas[[#This Row],[Lucro da Venda]]/Vendas[[#This Row],[Valor da Venda]]</f>
        <v>0.16666666666666666</v>
      </c>
      <c r="L1782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1782"/>
    </row>
    <row r="1783" spans="1:13" x14ac:dyDescent="0.3">
      <c r="A1783" s="7">
        <v>400250</v>
      </c>
      <c r="B1783" t="str">
        <f>_xlfn.XLOOKUP(Vendas[[#This Row],[ID Vendedor]],Vendedores[ID],Vendedores[Nome])</f>
        <v>Larissa</v>
      </c>
      <c r="C1783" s="7" t="str">
        <f>_xlfn.XLOOKUP(Vendas[[#This Row],[ID Vendedor]],Vendedores[ID],Vendedores[Setor])</f>
        <v>AB</v>
      </c>
      <c r="D1783" s="7" t="s">
        <v>39</v>
      </c>
      <c r="E1783" t="str">
        <f>_xlfn.XLOOKUP(Vendas[[#This Row],[ID Item Vendido]],Agregado[ID],Agregado[Produto])</f>
        <v>Filme plástico industrial rolo 50m</v>
      </c>
      <c r="F1783" s="39">
        <v>44745</v>
      </c>
      <c r="G1783" s="7">
        <v>15</v>
      </c>
      <c r="H1783" s="3">
        <f>_xlfn.XLOOKUP(Vendas[[#This Row],[ID Item Vendido]],Agregado[ID],Agregado[Revenda])</f>
        <v>37</v>
      </c>
      <c r="I1783" s="3">
        <f>Vendas[[#This Row],[Valor Unitário]]*Vendas[[#This Row],[Qnt Vendida]]</f>
        <v>555</v>
      </c>
      <c r="J1783" s="3">
        <f>Vendas[[#This Row],[Valor da Venda]]-(_xlfn.XLOOKUP(Vendas[[#This Row],[ID Item Vendido]],Agregado[ID],Agregado[Custo])*Vendas[[#This Row],[Qnt Vendida]])</f>
        <v>135</v>
      </c>
      <c r="K1783" s="70">
        <f>Vendas[[#This Row],[Lucro da Venda]]/Vendas[[#This Row],[Valor da Venda]]</f>
        <v>0.24324324324324326</v>
      </c>
      <c r="L1783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1783"/>
    </row>
    <row r="1784" spans="1:13" x14ac:dyDescent="0.3">
      <c r="A1784" s="7">
        <v>400251</v>
      </c>
      <c r="B1784" t="str">
        <f>_xlfn.XLOOKUP(Vendas[[#This Row],[ID Vendedor]],Vendedores[ID],Vendedores[Nome])</f>
        <v>Diego</v>
      </c>
      <c r="C1784" s="7" t="str">
        <f>_xlfn.XLOOKUP(Vendas[[#This Row],[ID Vendedor]],Vendedores[ID],Vendedores[Setor])</f>
        <v>AB</v>
      </c>
      <c r="D1784" s="7" t="s">
        <v>37</v>
      </c>
      <c r="E1784" t="str">
        <f>_xlfn.XLOOKUP(Vendas[[#This Row],[ID Item Vendido]],Agregado[ID],Agregado[Produto])</f>
        <v>Composto de borracha para vedação rolo 10m</v>
      </c>
      <c r="F1784" s="39">
        <v>44745</v>
      </c>
      <c r="G1784" s="7">
        <v>9</v>
      </c>
      <c r="H1784" s="3">
        <f>_xlfn.XLOOKUP(Vendas[[#This Row],[ID Item Vendido]],Agregado[ID],Agregado[Revenda])</f>
        <v>51.2</v>
      </c>
      <c r="I1784" s="3">
        <f>Vendas[[#This Row],[Valor Unitário]]*Vendas[[#This Row],[Qnt Vendida]]</f>
        <v>460.8</v>
      </c>
      <c r="J1784" s="3">
        <f>Vendas[[#This Row],[Valor da Venda]]-(_xlfn.XLOOKUP(Vendas[[#This Row],[ID Item Vendido]],Agregado[ID],Agregado[Custo])*Vendas[[#This Row],[Qnt Vendida]])</f>
        <v>100.80000000000001</v>
      </c>
      <c r="K1784" s="70">
        <f>Vendas[[#This Row],[Lucro da Venda]]/Vendas[[#This Row],[Valor da Venda]]</f>
        <v>0.21875000000000003</v>
      </c>
      <c r="L1784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1784"/>
    </row>
    <row r="1785" spans="1:13" x14ac:dyDescent="0.3">
      <c r="A1785" s="7">
        <v>400242</v>
      </c>
      <c r="B1785" t="str">
        <f>_xlfn.XLOOKUP(Vendas[[#This Row],[ID Vendedor]],Vendedores[ID],Vendedores[Nome])</f>
        <v>Fernanda</v>
      </c>
      <c r="C1785" s="7" t="str">
        <f>_xlfn.XLOOKUP(Vendas[[#This Row],[ID Vendedor]],Vendedores[ID],Vendedores[Setor])</f>
        <v>FM</v>
      </c>
      <c r="D1785" s="7" t="s">
        <v>6</v>
      </c>
      <c r="E1785" t="str">
        <f>_xlfn.XLOOKUP(Vendas[[#This Row],[ID Item Vendido]],Agregado[ID],Agregado[Produto])</f>
        <v>Parafuso comum 500un</v>
      </c>
      <c r="F1785" s="39">
        <v>44745</v>
      </c>
      <c r="G1785" s="7">
        <v>16</v>
      </c>
      <c r="H1785" s="3">
        <f>_xlfn.XLOOKUP(Vendas[[#This Row],[ID Item Vendido]],Agregado[ID],Agregado[Revenda])</f>
        <v>24.6</v>
      </c>
      <c r="I1785" s="3">
        <f>Vendas[[#This Row],[Valor Unitário]]*Vendas[[#This Row],[Qnt Vendida]]</f>
        <v>393.6</v>
      </c>
      <c r="J1785" s="3">
        <f>Vendas[[#This Row],[Valor da Venda]]-(_xlfn.XLOOKUP(Vendas[[#This Row],[ID Item Vendido]],Agregado[ID],Agregado[Custo])*Vendas[[#This Row],[Qnt Vendida]])</f>
        <v>41.600000000000023</v>
      </c>
      <c r="K1785" s="70">
        <f>Vendas[[#This Row],[Lucro da Venda]]/Vendas[[#This Row],[Valor da Venda]]</f>
        <v>0.10569105691056915</v>
      </c>
      <c r="L1785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1785"/>
    </row>
    <row r="1786" spans="1:13" x14ac:dyDescent="0.3">
      <c r="A1786" s="7">
        <v>400250</v>
      </c>
      <c r="B1786" t="str">
        <f>_xlfn.XLOOKUP(Vendas[[#This Row],[ID Vendedor]],Vendedores[ID],Vendedores[Nome])</f>
        <v>Larissa</v>
      </c>
      <c r="C1786" s="7" t="str">
        <f>_xlfn.XLOOKUP(Vendas[[#This Row],[ID Vendedor]],Vendedores[ID],Vendedores[Setor])</f>
        <v>AB</v>
      </c>
      <c r="D1786" s="7" t="s">
        <v>37</v>
      </c>
      <c r="E1786" t="str">
        <f>_xlfn.XLOOKUP(Vendas[[#This Row],[ID Item Vendido]],Agregado[ID],Agregado[Produto])</f>
        <v>Composto de borracha para vedação rolo 10m</v>
      </c>
      <c r="F1786" s="39">
        <v>44745</v>
      </c>
      <c r="G1786" s="7">
        <v>3</v>
      </c>
      <c r="H1786" s="3">
        <f>_xlfn.XLOOKUP(Vendas[[#This Row],[ID Item Vendido]],Agregado[ID],Agregado[Revenda])</f>
        <v>51.2</v>
      </c>
      <c r="I1786" s="3">
        <f>Vendas[[#This Row],[Valor Unitário]]*Vendas[[#This Row],[Qnt Vendida]]</f>
        <v>153.60000000000002</v>
      </c>
      <c r="J1786" s="3">
        <f>Vendas[[#This Row],[Valor da Venda]]-(_xlfn.XLOOKUP(Vendas[[#This Row],[ID Item Vendido]],Agregado[ID],Agregado[Custo])*Vendas[[#This Row],[Qnt Vendida]])</f>
        <v>33.600000000000023</v>
      </c>
      <c r="K1786" s="70">
        <f>Vendas[[#This Row],[Lucro da Venda]]/Vendas[[#This Row],[Valor da Venda]]</f>
        <v>0.21875000000000011</v>
      </c>
      <c r="L1786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1786"/>
    </row>
    <row r="1787" spans="1:13" x14ac:dyDescent="0.3">
      <c r="A1787" s="7">
        <v>400247</v>
      </c>
      <c r="B1787" t="str">
        <f>_xlfn.XLOOKUP(Vendas[[#This Row],[ID Vendedor]],Vendedores[ID],Vendedores[Nome])</f>
        <v>André</v>
      </c>
      <c r="C1787" s="7" t="str">
        <f>_xlfn.XLOOKUP(Vendas[[#This Row],[ID Vendedor]],Vendedores[ID],Vendedores[Setor])</f>
        <v>CM</v>
      </c>
      <c r="D1787" s="7" t="s">
        <v>45</v>
      </c>
      <c r="E1787" t="str">
        <f>_xlfn.XLOOKUP(Vendas[[#This Row],[ID Item Vendido]],Agregado[ID],Agregado[Produto])</f>
        <v>Viga de madeira tratada 4m</v>
      </c>
      <c r="F1787" s="39">
        <v>44746</v>
      </c>
      <c r="G1787" s="7">
        <v>8</v>
      </c>
      <c r="H1787" s="3">
        <f>_xlfn.XLOOKUP(Vendas[[#This Row],[ID Item Vendido]],Agregado[ID],Agregado[Revenda])</f>
        <v>66</v>
      </c>
      <c r="I1787" s="3">
        <f>Vendas[[#This Row],[Valor Unitário]]*Vendas[[#This Row],[Qnt Vendida]]</f>
        <v>528</v>
      </c>
      <c r="J1787" s="3">
        <f>Vendas[[#This Row],[Valor da Venda]]-(_xlfn.XLOOKUP(Vendas[[#This Row],[ID Item Vendido]],Agregado[ID],Agregado[Custo])*Vendas[[#This Row],[Qnt Vendida]])</f>
        <v>88</v>
      </c>
      <c r="K1787" s="70">
        <f>Vendas[[#This Row],[Lucro da Venda]]/Vendas[[#This Row],[Valor da Venda]]</f>
        <v>0.16666666666666666</v>
      </c>
      <c r="L1787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1787"/>
    </row>
    <row r="1788" spans="1:13" x14ac:dyDescent="0.3">
      <c r="A1788" s="7">
        <v>400250</v>
      </c>
      <c r="B1788" t="str">
        <f>_xlfn.XLOOKUP(Vendas[[#This Row],[ID Vendedor]],Vendedores[ID],Vendedores[Nome])</f>
        <v>Larissa</v>
      </c>
      <c r="C1788" s="7" t="str">
        <f>_xlfn.XLOOKUP(Vendas[[#This Row],[ID Vendedor]],Vendedores[ID],Vendedores[Setor])</f>
        <v>AB</v>
      </c>
      <c r="D1788" s="7" t="s">
        <v>36</v>
      </c>
      <c r="E1788" t="str">
        <f>_xlfn.XLOOKUP(Vendas[[#This Row],[ID Item Vendido]],Agregado[ID],Agregado[Produto])</f>
        <v>Borracha vulcanizada em manta</v>
      </c>
      <c r="F1788" s="39">
        <v>44746</v>
      </c>
      <c r="G1788" s="7">
        <v>49</v>
      </c>
      <c r="H1788" s="3">
        <f>_xlfn.XLOOKUP(Vendas[[#This Row],[ID Item Vendido]],Agregado[ID],Agregado[Revenda])</f>
        <v>7.8</v>
      </c>
      <c r="I1788" s="3">
        <f>Vendas[[#This Row],[Valor Unitário]]*Vendas[[#This Row],[Qnt Vendida]]</f>
        <v>382.2</v>
      </c>
      <c r="J1788" s="3">
        <f>Vendas[[#This Row],[Valor da Venda]]-(_xlfn.XLOOKUP(Vendas[[#This Row],[ID Item Vendido]],Agregado[ID],Agregado[Custo])*Vendas[[#This Row],[Qnt Vendida]])</f>
        <v>88.199999999999989</v>
      </c>
      <c r="K1788" s="70">
        <f>Vendas[[#This Row],[Lucro da Venda]]/Vendas[[#This Row],[Valor da Venda]]</f>
        <v>0.23076923076923075</v>
      </c>
      <c r="L1788" s="3">
        <f>_xlfn.IFS(Vendas[[#This Row],[Margem de Lucro (%)]]&lt;15%,Vendas[[#This Row],[Valor da Venda]]*3%,Vendas[[#This Row],[Margem de Lucro (%)]]&lt;=20%,Vendas[[#This Row],[Valor da Venda]]*4.5%,TRUE,Vendas[[#This Row],[Valor da Venda]]*6%)</f>
        <v>22.931999999999999</v>
      </c>
      <c r="M1788"/>
    </row>
    <row r="1789" spans="1:13" x14ac:dyDescent="0.3">
      <c r="A1789" s="7">
        <v>400244</v>
      </c>
      <c r="B1789" t="str">
        <f>_xlfn.XLOOKUP(Vendas[[#This Row],[ID Vendedor]],Vendedores[ID],Vendedores[Nome])</f>
        <v>Camila</v>
      </c>
      <c r="C1789" s="7" t="str">
        <f>_xlfn.XLOOKUP(Vendas[[#This Row],[ID Vendedor]],Vendedores[ID],Vendedores[Setor])</f>
        <v>AHD</v>
      </c>
      <c r="D1789" s="7" t="s">
        <v>28</v>
      </c>
      <c r="E1789" t="str">
        <f>_xlfn.XLOOKUP(Vendas[[#This Row],[ID Item Vendido]],Agregado[ID],Agregado[Produto])</f>
        <v>Peça usinada CNC</v>
      </c>
      <c r="F1789" s="39">
        <v>44747</v>
      </c>
      <c r="G1789" s="7">
        <v>12</v>
      </c>
      <c r="H1789" s="3">
        <f>_xlfn.XLOOKUP(Vendas[[#This Row],[ID Item Vendido]],Agregado[ID],Agregado[Revenda])</f>
        <v>192</v>
      </c>
      <c r="I1789" s="3">
        <f>Vendas[[#This Row],[Valor Unitário]]*Vendas[[#This Row],[Qnt Vendida]]</f>
        <v>2304</v>
      </c>
      <c r="J1789" s="3">
        <f>Vendas[[#This Row],[Valor da Venda]]-(_xlfn.XLOOKUP(Vendas[[#This Row],[ID Item Vendido]],Agregado[ID],Agregado[Custo])*Vendas[[#This Row],[Qnt Vendida]])</f>
        <v>504</v>
      </c>
      <c r="K1789" s="70">
        <f>Vendas[[#This Row],[Lucro da Venda]]/Vendas[[#This Row],[Valor da Venda]]</f>
        <v>0.21875</v>
      </c>
      <c r="L1789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1789"/>
    </row>
    <row r="1790" spans="1:13" x14ac:dyDescent="0.3">
      <c r="A1790" s="7">
        <v>400251</v>
      </c>
      <c r="B1790" t="str">
        <f>_xlfn.XLOOKUP(Vendas[[#This Row],[ID Vendedor]],Vendedores[ID],Vendedores[Nome])</f>
        <v>Diego</v>
      </c>
      <c r="C1790" s="7" t="str">
        <f>_xlfn.XLOOKUP(Vendas[[#This Row],[ID Vendedor]],Vendedores[ID],Vendedores[Setor])</f>
        <v>AB</v>
      </c>
      <c r="D1790" s="7" t="s">
        <v>24</v>
      </c>
      <c r="E1790" t="str">
        <f>_xlfn.XLOOKUP(Vendas[[#This Row],[ID Item Vendido]],Agregado[ID],Agregado[Produto])</f>
        <v>Resina plástica PET purificada saco de 25kg</v>
      </c>
      <c r="F1790" s="39">
        <v>44748</v>
      </c>
      <c r="G1790" s="7">
        <v>23</v>
      </c>
      <c r="H1790" s="3">
        <f>_xlfn.XLOOKUP(Vendas[[#This Row],[ID Item Vendido]],Agregado[ID],Agregado[Revenda])</f>
        <v>119</v>
      </c>
      <c r="I1790" s="3">
        <f>Vendas[[#This Row],[Valor Unitário]]*Vendas[[#This Row],[Qnt Vendida]]</f>
        <v>2737</v>
      </c>
      <c r="J1790" s="3">
        <f>Vendas[[#This Row],[Valor da Venda]]-(_xlfn.XLOOKUP(Vendas[[#This Row],[ID Item Vendido]],Agregado[ID],Agregado[Custo])*Vendas[[#This Row],[Qnt Vendida]])</f>
        <v>782</v>
      </c>
      <c r="K1790" s="70">
        <f>Vendas[[#This Row],[Lucro da Venda]]/Vendas[[#This Row],[Valor da Venda]]</f>
        <v>0.2857142857142857</v>
      </c>
      <c r="L1790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1790"/>
    </row>
    <row r="1791" spans="1:13" x14ac:dyDescent="0.3">
      <c r="A1791" s="7">
        <v>400245</v>
      </c>
      <c r="B1791" t="str">
        <f>_xlfn.XLOOKUP(Vendas[[#This Row],[ID Vendedor]],Vendedores[ID],Vendedores[Nome])</f>
        <v>Thiago</v>
      </c>
      <c r="C1791" s="7" t="str">
        <f>_xlfn.XLOOKUP(Vendas[[#This Row],[ID Vendedor]],Vendedores[ID],Vendedores[Setor])</f>
        <v>AHD</v>
      </c>
      <c r="D1791" s="7" t="s">
        <v>28</v>
      </c>
      <c r="E1791" t="str">
        <f>_xlfn.XLOOKUP(Vendas[[#This Row],[ID Item Vendido]],Agregado[ID],Agregado[Produto])</f>
        <v>Peça usinada CNC</v>
      </c>
      <c r="F1791" s="39">
        <v>44749</v>
      </c>
      <c r="G1791" s="7">
        <v>5</v>
      </c>
      <c r="H1791" s="3">
        <f>_xlfn.XLOOKUP(Vendas[[#This Row],[ID Item Vendido]],Agregado[ID],Agregado[Revenda])</f>
        <v>192</v>
      </c>
      <c r="I1791" s="3">
        <f>Vendas[[#This Row],[Valor Unitário]]*Vendas[[#This Row],[Qnt Vendida]]</f>
        <v>960</v>
      </c>
      <c r="J1791" s="3">
        <f>Vendas[[#This Row],[Valor da Venda]]-(_xlfn.XLOOKUP(Vendas[[#This Row],[ID Item Vendido]],Agregado[ID],Agregado[Custo])*Vendas[[#This Row],[Qnt Vendida]])</f>
        <v>210</v>
      </c>
      <c r="K1791" s="70">
        <f>Vendas[[#This Row],[Lucro da Venda]]/Vendas[[#This Row],[Valor da Venda]]</f>
        <v>0.21875</v>
      </c>
      <c r="L1791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1791"/>
    </row>
    <row r="1792" spans="1:13" x14ac:dyDescent="0.3">
      <c r="A1792" s="7">
        <v>400250</v>
      </c>
      <c r="B1792" t="str">
        <f>_xlfn.XLOOKUP(Vendas[[#This Row],[ID Vendedor]],Vendedores[ID],Vendedores[Nome])</f>
        <v>Larissa</v>
      </c>
      <c r="C1792" s="7" t="str">
        <f>_xlfn.XLOOKUP(Vendas[[#This Row],[ID Vendedor]],Vendedores[ID],Vendedores[Setor])</f>
        <v>AB</v>
      </c>
      <c r="D1792" s="7" t="s">
        <v>37</v>
      </c>
      <c r="E1792" t="str">
        <f>_xlfn.XLOOKUP(Vendas[[#This Row],[ID Item Vendido]],Agregado[ID],Agregado[Produto])</f>
        <v>Composto de borracha para vedação rolo 10m</v>
      </c>
      <c r="F1792" s="39">
        <v>44750</v>
      </c>
      <c r="G1792" s="7">
        <v>24</v>
      </c>
      <c r="H1792" s="3">
        <f>_xlfn.XLOOKUP(Vendas[[#This Row],[ID Item Vendido]],Agregado[ID],Agregado[Revenda])</f>
        <v>51.2</v>
      </c>
      <c r="I1792" s="3">
        <f>Vendas[[#This Row],[Valor Unitário]]*Vendas[[#This Row],[Qnt Vendida]]</f>
        <v>1228.8000000000002</v>
      </c>
      <c r="J1792" s="3">
        <f>Vendas[[#This Row],[Valor da Venda]]-(_xlfn.XLOOKUP(Vendas[[#This Row],[ID Item Vendido]],Agregado[ID],Agregado[Custo])*Vendas[[#This Row],[Qnt Vendida]])</f>
        <v>268.80000000000018</v>
      </c>
      <c r="K1792" s="70">
        <f>Vendas[[#This Row],[Lucro da Venda]]/Vendas[[#This Row],[Valor da Venda]]</f>
        <v>0.21875000000000011</v>
      </c>
      <c r="L1792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1792"/>
    </row>
    <row r="1793" spans="1:13" x14ac:dyDescent="0.3">
      <c r="A1793" s="7">
        <v>400255</v>
      </c>
      <c r="B1793" t="str">
        <f>_xlfn.XLOOKUP(Vendas[[#This Row],[ID Vendedor]],Vendedores[ID],Vendedores[Nome])</f>
        <v>Carlos</v>
      </c>
      <c r="C1793" s="7" t="str">
        <f>_xlfn.XLOOKUP(Vendas[[#This Row],[ID Vendedor]],Vendedores[ID],Vendedores[Setor])</f>
        <v>SC</v>
      </c>
      <c r="D1793" s="7" t="s">
        <v>25</v>
      </c>
      <c r="E1793" t="str">
        <f>_xlfn.XLOOKUP(Vendas[[#This Row],[ID Item Vendido]],Agregado[ID],Agregado[Produto])</f>
        <v>Palete de plástico</v>
      </c>
      <c r="F1793" s="39">
        <v>44750</v>
      </c>
      <c r="G1793" s="7">
        <v>10</v>
      </c>
      <c r="H1793" s="3">
        <f>_xlfn.XLOOKUP(Vendas[[#This Row],[ID Item Vendido]],Agregado[ID],Agregado[Revenda])</f>
        <v>70.8</v>
      </c>
      <c r="I1793" s="3">
        <f>Vendas[[#This Row],[Valor Unitário]]*Vendas[[#This Row],[Qnt Vendida]]</f>
        <v>708</v>
      </c>
      <c r="J1793" s="3">
        <f>Vendas[[#This Row],[Valor da Venda]]-(_xlfn.XLOOKUP(Vendas[[#This Row],[ID Item Vendido]],Agregado[ID],Agregado[Custo])*Vendas[[#This Row],[Qnt Vendida]])</f>
        <v>108</v>
      </c>
      <c r="K1793" s="70">
        <f>Vendas[[#This Row],[Lucro da Venda]]/Vendas[[#This Row],[Valor da Venda]]</f>
        <v>0.15254237288135594</v>
      </c>
      <c r="L1793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1793"/>
    </row>
    <row r="1794" spans="1:13" x14ac:dyDescent="0.3">
      <c r="A1794" s="7">
        <v>400247</v>
      </c>
      <c r="B1794" t="str">
        <f>_xlfn.XLOOKUP(Vendas[[#This Row],[ID Vendedor]],Vendedores[ID],Vendedores[Nome])</f>
        <v>André</v>
      </c>
      <c r="C1794" s="7" t="str">
        <f>_xlfn.XLOOKUP(Vendas[[#This Row],[ID Vendedor]],Vendedores[ID],Vendedores[Setor])</f>
        <v>CM</v>
      </c>
      <c r="D1794" s="7" t="s">
        <v>43</v>
      </c>
      <c r="E1794" t="str">
        <f>_xlfn.XLOOKUP(Vendas[[#This Row],[ID Item Vendido]],Agregado[ID],Agregado[Produto])</f>
        <v>Madeira Bruta (Tora)</v>
      </c>
      <c r="F1794" s="39">
        <v>44751</v>
      </c>
      <c r="G1794" s="7">
        <v>11</v>
      </c>
      <c r="H1794" s="3">
        <f>_xlfn.XLOOKUP(Vendas[[#This Row],[ID Item Vendido]],Agregado[ID],Agregado[Revenda])</f>
        <v>212</v>
      </c>
      <c r="I1794" s="3">
        <f>Vendas[[#This Row],[Valor Unitário]]*Vendas[[#This Row],[Qnt Vendida]]</f>
        <v>2332</v>
      </c>
      <c r="J1794" s="3">
        <f>Vendas[[#This Row],[Valor da Venda]]-(_xlfn.XLOOKUP(Vendas[[#This Row],[ID Item Vendido]],Agregado[ID],Agregado[Custo])*Vendas[[#This Row],[Qnt Vendida]])</f>
        <v>352</v>
      </c>
      <c r="K1794" s="70">
        <f>Vendas[[#This Row],[Lucro da Venda]]/Vendas[[#This Row],[Valor da Venda]]</f>
        <v>0.15094339622641509</v>
      </c>
      <c r="L1794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794"/>
    </row>
    <row r="1795" spans="1:13" x14ac:dyDescent="0.3">
      <c r="A1795" s="7">
        <v>400241</v>
      </c>
      <c r="B1795" t="str">
        <f>_xlfn.XLOOKUP(Vendas[[#This Row],[ID Vendedor]],Vendedores[ID],Vendedores[Nome])</f>
        <v>Rodrigo</v>
      </c>
      <c r="C1795" s="7" t="str">
        <f>_xlfn.XLOOKUP(Vendas[[#This Row],[ID Vendedor]],Vendedores[ID],Vendedores[Setor])</f>
        <v>FM</v>
      </c>
      <c r="D1795" s="7" t="s">
        <v>20</v>
      </c>
      <c r="E1795" t="str">
        <f>_xlfn.XLOOKUP(Vendas[[#This Row],[ID Item Vendido]],Agregado[ID],Agregado[Produto])</f>
        <v>Barra de aço simples</v>
      </c>
      <c r="F1795" s="39">
        <v>44751</v>
      </c>
      <c r="G1795" s="7">
        <v>107</v>
      </c>
      <c r="H1795" s="3">
        <f>_xlfn.XLOOKUP(Vendas[[#This Row],[ID Item Vendido]],Agregado[ID],Agregado[Revenda])</f>
        <v>4.8</v>
      </c>
      <c r="I1795" s="3">
        <f>Vendas[[#This Row],[Valor Unitário]]*Vendas[[#This Row],[Qnt Vendida]]</f>
        <v>513.6</v>
      </c>
      <c r="J1795" s="3">
        <f>Vendas[[#This Row],[Valor da Venda]]-(_xlfn.XLOOKUP(Vendas[[#This Row],[ID Item Vendido]],Agregado[ID],Agregado[Custo])*Vendas[[#This Row],[Qnt Vendida]])</f>
        <v>64.199999999999989</v>
      </c>
      <c r="K1795" s="70">
        <f>Vendas[[#This Row],[Lucro da Venda]]/Vendas[[#This Row],[Valor da Venda]]</f>
        <v>0.12499999999999997</v>
      </c>
      <c r="L1795" s="3">
        <f>_xlfn.IFS(Vendas[[#This Row],[Margem de Lucro (%)]]&lt;15%,Vendas[[#This Row],[Valor da Venda]]*3%,Vendas[[#This Row],[Margem de Lucro (%)]]&lt;=20%,Vendas[[#This Row],[Valor da Venda]]*4.5%,TRUE,Vendas[[#This Row],[Valor da Venda]]*6%)</f>
        <v>15.407999999999999</v>
      </c>
      <c r="M1795"/>
    </row>
    <row r="1796" spans="1:13" x14ac:dyDescent="0.3">
      <c r="A1796" s="7">
        <v>400249</v>
      </c>
      <c r="B1796" t="str">
        <f>_xlfn.XLOOKUP(Vendas[[#This Row],[ID Vendedor]],Vendedores[ID],Vendedores[Nome])</f>
        <v>Bruno</v>
      </c>
      <c r="C1796" s="7" t="str">
        <f>_xlfn.XLOOKUP(Vendas[[#This Row],[ID Vendedor]],Vendedores[ID],Vendedores[Setor])</f>
        <v>CM</v>
      </c>
      <c r="D1796" s="7" t="s">
        <v>34</v>
      </c>
      <c r="E1796" t="str">
        <f>_xlfn.XLOOKUP(Vendas[[#This Row],[ID Item Vendido]],Agregado[ID],Agregado[Produto])</f>
        <v>Restos de madeira p/ MDP/OSB saco de 20kg</v>
      </c>
      <c r="F1796" s="39">
        <v>44751</v>
      </c>
      <c r="G1796" s="7">
        <v>11</v>
      </c>
      <c r="H1796" s="3">
        <f>_xlfn.XLOOKUP(Vendas[[#This Row],[ID Item Vendido]],Agregado[ID],Agregado[Revenda])</f>
        <v>13.8</v>
      </c>
      <c r="I1796" s="3">
        <f>Vendas[[#This Row],[Valor Unitário]]*Vendas[[#This Row],[Qnt Vendida]]</f>
        <v>151.80000000000001</v>
      </c>
      <c r="J1796" s="3">
        <f>Vendas[[#This Row],[Valor da Venda]]-(_xlfn.XLOOKUP(Vendas[[#This Row],[ID Item Vendido]],Agregado[ID],Agregado[Custo])*Vendas[[#This Row],[Qnt Vendida]])</f>
        <v>19.800000000000011</v>
      </c>
      <c r="K1796" s="70">
        <f>Vendas[[#This Row],[Lucro da Venda]]/Vendas[[#This Row],[Valor da Venda]]</f>
        <v>0.1304347826086957</v>
      </c>
      <c r="L1796" s="3">
        <f>_xlfn.IFS(Vendas[[#This Row],[Margem de Lucro (%)]]&lt;15%,Vendas[[#This Row],[Valor da Venda]]*3%,Vendas[[#This Row],[Margem de Lucro (%)]]&lt;=20%,Vendas[[#This Row],[Valor da Venda]]*4.5%,TRUE,Vendas[[#This Row],[Valor da Venda]]*6%)</f>
        <v>4.5540000000000003</v>
      </c>
      <c r="M1796"/>
    </row>
    <row r="1797" spans="1:13" x14ac:dyDescent="0.3">
      <c r="A1797" s="7">
        <v>400250</v>
      </c>
      <c r="B1797" t="str">
        <f>_xlfn.XLOOKUP(Vendas[[#This Row],[ID Vendedor]],Vendedores[ID],Vendedores[Nome])</f>
        <v>Larissa</v>
      </c>
      <c r="C1797" s="7" t="str">
        <f>_xlfn.XLOOKUP(Vendas[[#This Row],[ID Vendedor]],Vendedores[ID],Vendedores[Setor])</f>
        <v>AB</v>
      </c>
      <c r="D1797" s="7" t="s">
        <v>24</v>
      </c>
      <c r="E1797" t="str">
        <f>_xlfn.XLOOKUP(Vendas[[#This Row],[ID Item Vendido]],Agregado[ID],Agregado[Produto])</f>
        <v>Resina plástica PET purificada saco de 25kg</v>
      </c>
      <c r="F1797" s="39">
        <v>44752</v>
      </c>
      <c r="G1797" s="7">
        <v>10</v>
      </c>
      <c r="H1797" s="3">
        <f>_xlfn.XLOOKUP(Vendas[[#This Row],[ID Item Vendido]],Agregado[ID],Agregado[Revenda])</f>
        <v>119</v>
      </c>
      <c r="I1797" s="3">
        <f>Vendas[[#This Row],[Valor Unitário]]*Vendas[[#This Row],[Qnt Vendida]]</f>
        <v>1190</v>
      </c>
      <c r="J1797" s="3">
        <f>Vendas[[#This Row],[Valor da Venda]]-(_xlfn.XLOOKUP(Vendas[[#This Row],[ID Item Vendido]],Agregado[ID],Agregado[Custo])*Vendas[[#This Row],[Qnt Vendida]])</f>
        <v>340</v>
      </c>
      <c r="K1797" s="70">
        <f>Vendas[[#This Row],[Lucro da Venda]]/Vendas[[#This Row],[Valor da Venda]]</f>
        <v>0.2857142857142857</v>
      </c>
      <c r="L1797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1797"/>
    </row>
    <row r="1798" spans="1:13" x14ac:dyDescent="0.3">
      <c r="A1798" s="7">
        <v>400243</v>
      </c>
      <c r="B1798" t="str">
        <f>_xlfn.XLOOKUP(Vendas[[#This Row],[ID Vendedor]],Vendedores[ID],Vendedores[Nome])</f>
        <v>Marcelo</v>
      </c>
      <c r="C1798" s="7" t="str">
        <f>_xlfn.XLOOKUP(Vendas[[#This Row],[ID Vendedor]],Vendedores[ID],Vendedores[Setor])</f>
        <v>FM</v>
      </c>
      <c r="D1798" s="7" t="s">
        <v>47</v>
      </c>
      <c r="E1798" t="str">
        <f>_xlfn.XLOOKUP(Vendas[[#This Row],[ID Item Vendido]],Agregado[ID],Agregado[Produto])</f>
        <v>Fio de arame galvanizado rolo 50m</v>
      </c>
      <c r="F1798" s="39">
        <v>44752</v>
      </c>
      <c r="G1798" s="7">
        <v>32</v>
      </c>
      <c r="H1798" s="3">
        <f>_xlfn.XLOOKUP(Vendas[[#This Row],[ID Item Vendido]],Agregado[ID],Agregado[Revenda])</f>
        <v>21.2</v>
      </c>
      <c r="I1798" s="3">
        <f>Vendas[[#This Row],[Valor Unitário]]*Vendas[[#This Row],[Qnt Vendida]]</f>
        <v>678.4</v>
      </c>
      <c r="J1798" s="3">
        <f>Vendas[[#This Row],[Valor da Venda]]-(_xlfn.XLOOKUP(Vendas[[#This Row],[ID Item Vendido]],Agregado[ID],Agregado[Custo])*Vendas[[#This Row],[Qnt Vendida]])</f>
        <v>102.39999999999998</v>
      </c>
      <c r="K1798" s="70">
        <f>Vendas[[#This Row],[Lucro da Venda]]/Vendas[[#This Row],[Valor da Venda]]</f>
        <v>0.15094339622641506</v>
      </c>
      <c r="L1798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1798"/>
    </row>
    <row r="1799" spans="1:13" x14ac:dyDescent="0.3">
      <c r="A1799" s="7">
        <v>400243</v>
      </c>
      <c r="B1799" t="str">
        <f>_xlfn.XLOOKUP(Vendas[[#This Row],[ID Vendedor]],Vendedores[ID],Vendedores[Nome])</f>
        <v>Marcelo</v>
      </c>
      <c r="C1799" s="7" t="str">
        <f>_xlfn.XLOOKUP(Vendas[[#This Row],[ID Vendedor]],Vendedores[ID],Vendedores[Setor])</f>
        <v>FM</v>
      </c>
      <c r="D1799" s="7" t="s">
        <v>31</v>
      </c>
      <c r="E1799" t="str">
        <f>_xlfn.XLOOKUP(Vendas[[#This Row],[ID Item Vendido]],Agregado[ID],Agregado[Produto])</f>
        <v>Tela de metal soldada rolo 2x25m</v>
      </c>
      <c r="F1799" s="39">
        <v>44752</v>
      </c>
      <c r="G1799" s="7">
        <v>15</v>
      </c>
      <c r="H1799" s="3">
        <f>_xlfn.XLOOKUP(Vendas[[#This Row],[ID Item Vendido]],Agregado[ID],Agregado[Revenda])</f>
        <v>43.7</v>
      </c>
      <c r="I1799" s="3">
        <f>Vendas[[#This Row],[Valor Unitário]]*Vendas[[#This Row],[Qnt Vendida]]</f>
        <v>655.5</v>
      </c>
      <c r="J1799" s="3">
        <f>Vendas[[#This Row],[Valor da Venda]]-(_xlfn.XLOOKUP(Vendas[[#This Row],[ID Item Vendido]],Agregado[ID],Agregado[Custo])*Vendas[[#This Row],[Qnt Vendida]])</f>
        <v>85.5</v>
      </c>
      <c r="K1799" s="70">
        <f>Vendas[[#This Row],[Lucro da Venda]]/Vendas[[#This Row],[Valor da Venda]]</f>
        <v>0.13043478260869565</v>
      </c>
      <c r="L1799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1799"/>
    </row>
    <row r="1800" spans="1:13" x14ac:dyDescent="0.3">
      <c r="A1800" s="7">
        <v>400250</v>
      </c>
      <c r="B1800" t="str">
        <f>_xlfn.XLOOKUP(Vendas[[#This Row],[ID Vendedor]],Vendedores[ID],Vendedores[Nome])</f>
        <v>Larissa</v>
      </c>
      <c r="C1800" s="7" t="str">
        <f>_xlfn.XLOOKUP(Vendas[[#This Row],[ID Vendedor]],Vendedores[ID],Vendedores[Setor])</f>
        <v>AB</v>
      </c>
      <c r="D1800" s="7" t="s">
        <v>12</v>
      </c>
      <c r="E1800" t="str">
        <f>_xlfn.XLOOKUP(Vendas[[#This Row],[ID Item Vendido]],Agregado[ID],Agregado[Produto])</f>
        <v>Grânulo de plástico reciclado refinado</v>
      </c>
      <c r="F1800" s="39">
        <v>44752</v>
      </c>
      <c r="G1800" s="7">
        <v>94</v>
      </c>
      <c r="H1800" s="3">
        <f>_xlfn.XLOOKUP(Vendas[[#This Row],[ID Item Vendido]],Agregado[ID],Agregado[Revenda])</f>
        <v>4.7</v>
      </c>
      <c r="I1800" s="3">
        <f>Vendas[[#This Row],[Valor Unitário]]*Vendas[[#This Row],[Qnt Vendida]]</f>
        <v>441.8</v>
      </c>
      <c r="J1800" s="3">
        <f>Vendas[[#This Row],[Valor da Venda]]-(_xlfn.XLOOKUP(Vendas[[#This Row],[ID Item Vendido]],Agregado[ID],Agregado[Custo])*Vendas[[#This Row],[Qnt Vendida]])</f>
        <v>112.80000000000001</v>
      </c>
      <c r="K1800" s="70">
        <f>Vendas[[#This Row],[Lucro da Venda]]/Vendas[[#This Row],[Valor da Venda]]</f>
        <v>0.25531914893617025</v>
      </c>
      <c r="L1800" s="3">
        <f>_xlfn.IFS(Vendas[[#This Row],[Margem de Lucro (%)]]&lt;15%,Vendas[[#This Row],[Valor da Venda]]*3%,Vendas[[#This Row],[Margem de Lucro (%)]]&lt;=20%,Vendas[[#This Row],[Valor da Venda]]*4.5%,TRUE,Vendas[[#This Row],[Valor da Venda]]*6%)</f>
        <v>26.507999999999999</v>
      </c>
      <c r="M1800"/>
    </row>
    <row r="1801" spans="1:13" x14ac:dyDescent="0.3">
      <c r="A1801" s="7">
        <v>400253</v>
      </c>
      <c r="B1801" t="str">
        <f>_xlfn.XLOOKUP(Vendas[[#This Row],[ID Vendedor]],Vendedores[ID],Vendedores[Nome])</f>
        <v>Gustavo</v>
      </c>
      <c r="C1801" s="7" t="str">
        <f>_xlfn.XLOOKUP(Vendas[[#This Row],[ID Vendedor]],Vendedores[ID],Vendedores[Setor])</f>
        <v>SC</v>
      </c>
      <c r="D1801" s="7" t="s">
        <v>48</v>
      </c>
      <c r="E1801" t="str">
        <f>_xlfn.XLOOKUP(Vendas[[#This Row],[ID Item Vendido]],Agregado[ID],Agregado[Produto])</f>
        <v>Tambor metálico 200L</v>
      </c>
      <c r="F1801" s="39">
        <v>44753</v>
      </c>
      <c r="G1801" s="7">
        <v>6</v>
      </c>
      <c r="H1801" s="3">
        <f>_xlfn.XLOOKUP(Vendas[[#This Row],[ID Item Vendido]],Agregado[ID],Agregado[Revenda])</f>
        <v>144</v>
      </c>
      <c r="I1801" s="3">
        <f>Vendas[[#This Row],[Valor Unitário]]*Vendas[[#This Row],[Qnt Vendida]]</f>
        <v>864</v>
      </c>
      <c r="J1801" s="3">
        <f>Vendas[[#This Row],[Valor da Venda]]-(_xlfn.XLOOKUP(Vendas[[#This Row],[ID Item Vendido]],Agregado[ID],Agregado[Custo])*Vendas[[#This Row],[Qnt Vendida]])</f>
        <v>144</v>
      </c>
      <c r="K1801" s="70">
        <f>Vendas[[#This Row],[Lucro da Venda]]/Vendas[[#This Row],[Valor da Venda]]</f>
        <v>0.16666666666666666</v>
      </c>
      <c r="L1801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1801"/>
    </row>
    <row r="1802" spans="1:13" x14ac:dyDescent="0.3">
      <c r="A1802" s="7">
        <v>400251</v>
      </c>
      <c r="B1802" t="str">
        <f>_xlfn.XLOOKUP(Vendas[[#This Row],[ID Vendedor]],Vendedores[ID],Vendedores[Nome])</f>
        <v>Diego</v>
      </c>
      <c r="C1802" s="7" t="str">
        <f>_xlfn.XLOOKUP(Vendas[[#This Row],[ID Vendedor]],Vendedores[ID],Vendedores[Setor])</f>
        <v>AB</v>
      </c>
      <c r="D1802" s="7" t="s">
        <v>39</v>
      </c>
      <c r="E1802" t="str">
        <f>_xlfn.XLOOKUP(Vendas[[#This Row],[ID Item Vendido]],Agregado[ID],Agregado[Produto])</f>
        <v>Filme plástico industrial rolo 50m</v>
      </c>
      <c r="F1802" s="39">
        <v>44753</v>
      </c>
      <c r="G1802" s="7">
        <v>6</v>
      </c>
      <c r="H1802" s="3">
        <f>_xlfn.XLOOKUP(Vendas[[#This Row],[ID Item Vendido]],Agregado[ID],Agregado[Revenda])</f>
        <v>37</v>
      </c>
      <c r="I1802" s="3">
        <f>Vendas[[#This Row],[Valor Unitário]]*Vendas[[#This Row],[Qnt Vendida]]</f>
        <v>222</v>
      </c>
      <c r="J1802" s="3">
        <f>Vendas[[#This Row],[Valor da Venda]]-(_xlfn.XLOOKUP(Vendas[[#This Row],[ID Item Vendido]],Agregado[ID],Agregado[Custo])*Vendas[[#This Row],[Qnt Vendida]])</f>
        <v>54</v>
      </c>
      <c r="K1802" s="70">
        <f>Vendas[[#This Row],[Lucro da Venda]]/Vendas[[#This Row],[Valor da Venda]]</f>
        <v>0.24324324324324326</v>
      </c>
      <c r="L1802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1802"/>
    </row>
    <row r="1803" spans="1:13" x14ac:dyDescent="0.3">
      <c r="A1803" s="7">
        <v>400247</v>
      </c>
      <c r="B1803" t="str">
        <f>_xlfn.XLOOKUP(Vendas[[#This Row],[ID Vendedor]],Vendedores[ID],Vendedores[Nome])</f>
        <v>André</v>
      </c>
      <c r="C1803" s="7" t="str">
        <f>_xlfn.XLOOKUP(Vendas[[#This Row],[ID Vendedor]],Vendedores[ID],Vendedores[Setor])</f>
        <v>CM</v>
      </c>
      <c r="D1803" s="7" t="s">
        <v>43</v>
      </c>
      <c r="E1803" t="str">
        <f>_xlfn.XLOOKUP(Vendas[[#This Row],[ID Item Vendido]],Agregado[ID],Agregado[Produto])</f>
        <v>Madeira Bruta (Tora)</v>
      </c>
      <c r="F1803" s="39">
        <v>44753</v>
      </c>
      <c r="G1803" s="7">
        <v>1</v>
      </c>
      <c r="H1803" s="3">
        <f>_xlfn.XLOOKUP(Vendas[[#This Row],[ID Item Vendido]],Agregado[ID],Agregado[Revenda])</f>
        <v>212</v>
      </c>
      <c r="I1803" s="3">
        <f>Vendas[[#This Row],[Valor Unitário]]*Vendas[[#This Row],[Qnt Vendida]]</f>
        <v>212</v>
      </c>
      <c r="J1803" s="3">
        <f>Vendas[[#This Row],[Valor da Venda]]-(_xlfn.XLOOKUP(Vendas[[#This Row],[ID Item Vendido]],Agregado[ID],Agregado[Custo])*Vendas[[#This Row],[Qnt Vendida]])</f>
        <v>32</v>
      </c>
      <c r="K1803" s="70">
        <f>Vendas[[#This Row],[Lucro da Venda]]/Vendas[[#This Row],[Valor da Venda]]</f>
        <v>0.15094339622641509</v>
      </c>
      <c r="L1803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1803"/>
    </row>
    <row r="1804" spans="1:13" x14ac:dyDescent="0.3">
      <c r="A1804" s="7">
        <v>400247</v>
      </c>
      <c r="B1804" t="str">
        <f>_xlfn.XLOOKUP(Vendas[[#This Row],[ID Vendedor]],Vendedores[ID],Vendedores[Nome])</f>
        <v>André</v>
      </c>
      <c r="C1804" s="7" t="str">
        <f>_xlfn.XLOOKUP(Vendas[[#This Row],[ID Vendedor]],Vendedores[ID],Vendedores[Setor])</f>
        <v>CM</v>
      </c>
      <c r="D1804" s="7" t="s">
        <v>45</v>
      </c>
      <c r="E1804" t="str">
        <f>_xlfn.XLOOKUP(Vendas[[#This Row],[ID Item Vendido]],Agregado[ID],Agregado[Produto])</f>
        <v>Viga de madeira tratada 4m</v>
      </c>
      <c r="F1804" s="39">
        <v>44754</v>
      </c>
      <c r="G1804" s="7">
        <v>19</v>
      </c>
      <c r="H1804" s="3">
        <f>_xlfn.XLOOKUP(Vendas[[#This Row],[ID Item Vendido]],Agregado[ID],Agregado[Revenda])</f>
        <v>66</v>
      </c>
      <c r="I1804" s="3">
        <f>Vendas[[#This Row],[Valor Unitário]]*Vendas[[#This Row],[Qnt Vendida]]</f>
        <v>1254</v>
      </c>
      <c r="J1804" s="3">
        <f>Vendas[[#This Row],[Valor da Venda]]-(_xlfn.XLOOKUP(Vendas[[#This Row],[ID Item Vendido]],Agregado[ID],Agregado[Custo])*Vendas[[#This Row],[Qnt Vendida]])</f>
        <v>209</v>
      </c>
      <c r="K1804" s="70">
        <f>Vendas[[#This Row],[Lucro da Venda]]/Vendas[[#This Row],[Valor da Venda]]</f>
        <v>0.16666666666666666</v>
      </c>
      <c r="L1804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1804"/>
    </row>
    <row r="1805" spans="1:13" x14ac:dyDescent="0.3">
      <c r="A1805" s="7">
        <v>400244</v>
      </c>
      <c r="B1805" t="str">
        <f>_xlfn.XLOOKUP(Vendas[[#This Row],[ID Vendedor]],Vendedores[ID],Vendedores[Nome])</f>
        <v>Camila</v>
      </c>
      <c r="C1805" s="7" t="str">
        <f>_xlfn.XLOOKUP(Vendas[[#This Row],[ID Vendedor]],Vendedores[ID],Vendedores[Setor])</f>
        <v>AHD</v>
      </c>
      <c r="D1805" s="7" t="s">
        <v>28</v>
      </c>
      <c r="E1805" t="str">
        <f>_xlfn.XLOOKUP(Vendas[[#This Row],[ID Item Vendido]],Agregado[ID],Agregado[Produto])</f>
        <v>Peça usinada CNC</v>
      </c>
      <c r="F1805" s="39">
        <v>44754</v>
      </c>
      <c r="G1805" s="7">
        <v>4</v>
      </c>
      <c r="H1805" s="3">
        <f>_xlfn.XLOOKUP(Vendas[[#This Row],[ID Item Vendido]],Agregado[ID],Agregado[Revenda])</f>
        <v>192</v>
      </c>
      <c r="I1805" s="3">
        <f>Vendas[[#This Row],[Valor Unitário]]*Vendas[[#This Row],[Qnt Vendida]]</f>
        <v>768</v>
      </c>
      <c r="J1805" s="3">
        <f>Vendas[[#This Row],[Valor da Venda]]-(_xlfn.XLOOKUP(Vendas[[#This Row],[ID Item Vendido]],Agregado[ID],Agregado[Custo])*Vendas[[#This Row],[Qnt Vendida]])</f>
        <v>168</v>
      </c>
      <c r="K1805" s="70">
        <f>Vendas[[#This Row],[Lucro da Venda]]/Vendas[[#This Row],[Valor da Venda]]</f>
        <v>0.21875</v>
      </c>
      <c r="L1805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1805"/>
    </row>
    <row r="1806" spans="1:13" x14ac:dyDescent="0.3">
      <c r="A1806" s="7">
        <v>400244</v>
      </c>
      <c r="B1806" t="str">
        <f>_xlfn.XLOOKUP(Vendas[[#This Row],[ID Vendedor]],Vendedores[ID],Vendedores[Nome])</f>
        <v>Camila</v>
      </c>
      <c r="C1806" s="7" t="str">
        <f>_xlfn.XLOOKUP(Vendas[[#This Row],[ID Vendedor]],Vendedores[ID],Vendedores[Setor])</f>
        <v>AHD</v>
      </c>
      <c r="D1806" s="7" t="s">
        <v>9</v>
      </c>
      <c r="E1806" t="str">
        <f>_xlfn.XLOOKUP(Vendas[[#This Row],[ID Item Vendido]],Agregado[ID],Agregado[Produto])</f>
        <v>Barra de aço simples</v>
      </c>
      <c r="F1806" s="39">
        <v>44754</v>
      </c>
      <c r="G1806" s="7">
        <v>80</v>
      </c>
      <c r="H1806" s="3">
        <f>_xlfn.XLOOKUP(Vendas[[#This Row],[ID Item Vendido]],Agregado[ID],Agregado[Revenda])</f>
        <v>6.7</v>
      </c>
      <c r="I1806" s="3">
        <f>Vendas[[#This Row],[Valor Unitário]]*Vendas[[#This Row],[Qnt Vendida]]</f>
        <v>536</v>
      </c>
      <c r="J1806" s="3">
        <f>Vendas[[#This Row],[Valor da Venda]]-(_xlfn.XLOOKUP(Vendas[[#This Row],[ID Item Vendido]],Agregado[ID],Agregado[Custo])*Vendas[[#This Row],[Qnt Vendida]])</f>
        <v>72</v>
      </c>
      <c r="K1806" s="70">
        <f>Vendas[[#This Row],[Lucro da Venda]]/Vendas[[#This Row],[Valor da Venda]]</f>
        <v>0.13432835820895522</v>
      </c>
      <c r="L1806" s="3">
        <f>_xlfn.IFS(Vendas[[#This Row],[Margem de Lucro (%)]]&lt;15%,Vendas[[#This Row],[Valor da Venda]]*3%,Vendas[[#This Row],[Margem de Lucro (%)]]&lt;=20%,Vendas[[#This Row],[Valor da Venda]]*4.5%,TRUE,Vendas[[#This Row],[Valor da Venda]]*6%)</f>
        <v>16.079999999999998</v>
      </c>
      <c r="M1806"/>
    </row>
    <row r="1807" spans="1:13" x14ac:dyDescent="0.3">
      <c r="A1807" s="7">
        <v>400242</v>
      </c>
      <c r="B1807" t="str">
        <f>_xlfn.XLOOKUP(Vendas[[#This Row],[ID Vendedor]],Vendedores[ID],Vendedores[Nome])</f>
        <v>Fernanda</v>
      </c>
      <c r="C1807" s="7" t="str">
        <f>_xlfn.XLOOKUP(Vendas[[#This Row],[ID Vendedor]],Vendedores[ID],Vendedores[Setor])</f>
        <v>FM</v>
      </c>
      <c r="D1807" s="7" t="s">
        <v>47</v>
      </c>
      <c r="E1807" t="str">
        <f>_xlfn.XLOOKUP(Vendas[[#This Row],[ID Item Vendido]],Agregado[ID],Agregado[Produto])</f>
        <v>Fio de arame galvanizado rolo 50m</v>
      </c>
      <c r="F1807" s="39">
        <v>44755</v>
      </c>
      <c r="G1807" s="7">
        <v>25</v>
      </c>
      <c r="H1807" s="3">
        <f>_xlfn.XLOOKUP(Vendas[[#This Row],[ID Item Vendido]],Agregado[ID],Agregado[Revenda])</f>
        <v>21.2</v>
      </c>
      <c r="I1807" s="3">
        <f>Vendas[[#This Row],[Valor Unitário]]*Vendas[[#This Row],[Qnt Vendida]]</f>
        <v>530</v>
      </c>
      <c r="J1807" s="3">
        <f>Vendas[[#This Row],[Valor da Venda]]-(_xlfn.XLOOKUP(Vendas[[#This Row],[ID Item Vendido]],Agregado[ID],Agregado[Custo])*Vendas[[#This Row],[Qnt Vendida]])</f>
        <v>80</v>
      </c>
      <c r="K1807" s="70">
        <f>Vendas[[#This Row],[Lucro da Venda]]/Vendas[[#This Row],[Valor da Venda]]</f>
        <v>0.15094339622641509</v>
      </c>
      <c r="L1807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1807"/>
    </row>
    <row r="1808" spans="1:13" x14ac:dyDescent="0.3">
      <c r="A1808" s="7">
        <v>400255</v>
      </c>
      <c r="B1808" t="str">
        <f>_xlfn.XLOOKUP(Vendas[[#This Row],[ID Vendedor]],Vendedores[ID],Vendedores[Nome])</f>
        <v>Carlos</v>
      </c>
      <c r="C1808" s="7" t="str">
        <f>_xlfn.XLOOKUP(Vendas[[#This Row],[ID Vendedor]],Vendedores[ID],Vendedores[Setor])</f>
        <v>SC</v>
      </c>
      <c r="D1808" s="7" t="s">
        <v>48</v>
      </c>
      <c r="E1808" t="str">
        <f>_xlfn.XLOOKUP(Vendas[[#This Row],[ID Item Vendido]],Agregado[ID],Agregado[Produto])</f>
        <v>Tambor metálico 200L</v>
      </c>
      <c r="F1808" s="39">
        <v>44755</v>
      </c>
      <c r="G1808" s="7">
        <v>3</v>
      </c>
      <c r="H1808" s="3">
        <f>_xlfn.XLOOKUP(Vendas[[#This Row],[ID Item Vendido]],Agregado[ID],Agregado[Revenda])</f>
        <v>144</v>
      </c>
      <c r="I1808" s="3">
        <f>Vendas[[#This Row],[Valor Unitário]]*Vendas[[#This Row],[Qnt Vendida]]</f>
        <v>432</v>
      </c>
      <c r="J1808" s="3">
        <f>Vendas[[#This Row],[Valor da Venda]]-(_xlfn.XLOOKUP(Vendas[[#This Row],[ID Item Vendido]],Agregado[ID],Agregado[Custo])*Vendas[[#This Row],[Qnt Vendida]])</f>
        <v>72</v>
      </c>
      <c r="K1808" s="70">
        <f>Vendas[[#This Row],[Lucro da Venda]]/Vendas[[#This Row],[Valor da Venda]]</f>
        <v>0.16666666666666666</v>
      </c>
      <c r="L1808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1808"/>
    </row>
    <row r="1809" spans="1:13" x14ac:dyDescent="0.3">
      <c r="A1809" s="7">
        <v>400241</v>
      </c>
      <c r="B1809" t="str">
        <f>_xlfn.XLOOKUP(Vendas[[#This Row],[ID Vendedor]],Vendedores[ID],Vendedores[Nome])</f>
        <v>Rodrigo</v>
      </c>
      <c r="C1809" s="7" t="str">
        <f>_xlfn.XLOOKUP(Vendas[[#This Row],[ID Vendedor]],Vendedores[ID],Vendedores[Setor])</f>
        <v>FM</v>
      </c>
      <c r="D1809" s="7" t="s">
        <v>27</v>
      </c>
      <c r="E1809" t="str">
        <f>_xlfn.XLOOKUP(Vendas[[#This Row],[ID Item Vendido]],Agregado[ID],Agregado[Produto])</f>
        <v>Chapa de metal lisa 1x2m</v>
      </c>
      <c r="F1809" s="39">
        <v>44756</v>
      </c>
      <c r="G1809" s="7">
        <v>21</v>
      </c>
      <c r="H1809" s="3">
        <f>_xlfn.XLOOKUP(Vendas[[#This Row],[ID Item Vendido]],Agregado[ID],Agregado[Revenda])</f>
        <v>52</v>
      </c>
      <c r="I1809" s="3">
        <f>Vendas[[#This Row],[Valor Unitário]]*Vendas[[#This Row],[Qnt Vendida]]</f>
        <v>1092</v>
      </c>
      <c r="J1809" s="3">
        <f>Vendas[[#This Row],[Valor da Venda]]-(_xlfn.XLOOKUP(Vendas[[#This Row],[ID Item Vendido]],Agregado[ID],Agregado[Custo])*Vendas[[#This Row],[Qnt Vendida]])</f>
        <v>147</v>
      </c>
      <c r="K1809" s="70">
        <f>Vendas[[#This Row],[Lucro da Venda]]/Vendas[[#This Row],[Valor da Venda]]</f>
        <v>0.13461538461538461</v>
      </c>
      <c r="L1809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1809"/>
    </row>
    <row r="1810" spans="1:13" x14ac:dyDescent="0.3">
      <c r="A1810" s="7">
        <v>400242</v>
      </c>
      <c r="B1810" t="str">
        <f>_xlfn.XLOOKUP(Vendas[[#This Row],[ID Vendedor]],Vendedores[ID],Vendedores[Nome])</f>
        <v>Fernanda</v>
      </c>
      <c r="C1810" s="7" t="str">
        <f>_xlfn.XLOOKUP(Vendas[[#This Row],[ID Vendedor]],Vendedores[ID],Vendedores[Setor])</f>
        <v>FM</v>
      </c>
      <c r="D1810" s="7" t="s">
        <v>27</v>
      </c>
      <c r="E1810" t="str">
        <f>_xlfn.XLOOKUP(Vendas[[#This Row],[ID Item Vendido]],Agregado[ID],Agregado[Produto])</f>
        <v>Chapa de metal lisa 1x2m</v>
      </c>
      <c r="F1810" s="39">
        <v>44756</v>
      </c>
      <c r="G1810" s="7">
        <v>16</v>
      </c>
      <c r="H1810" s="3">
        <f>_xlfn.XLOOKUP(Vendas[[#This Row],[ID Item Vendido]],Agregado[ID],Agregado[Revenda])</f>
        <v>52</v>
      </c>
      <c r="I1810" s="3">
        <f>Vendas[[#This Row],[Valor Unitário]]*Vendas[[#This Row],[Qnt Vendida]]</f>
        <v>832</v>
      </c>
      <c r="J1810" s="3">
        <f>Vendas[[#This Row],[Valor da Venda]]-(_xlfn.XLOOKUP(Vendas[[#This Row],[ID Item Vendido]],Agregado[ID],Agregado[Custo])*Vendas[[#This Row],[Qnt Vendida]])</f>
        <v>112</v>
      </c>
      <c r="K1810" s="70">
        <f>Vendas[[#This Row],[Lucro da Venda]]/Vendas[[#This Row],[Valor da Venda]]</f>
        <v>0.13461538461538461</v>
      </c>
      <c r="L1810" s="3">
        <f>_xlfn.IFS(Vendas[[#This Row],[Margem de Lucro (%)]]&lt;15%,Vendas[[#This Row],[Valor da Venda]]*3%,Vendas[[#This Row],[Margem de Lucro (%)]]&lt;=20%,Vendas[[#This Row],[Valor da Venda]]*4.5%,TRUE,Vendas[[#This Row],[Valor da Venda]]*6%)</f>
        <v>24.96</v>
      </c>
      <c r="M1810"/>
    </row>
    <row r="1811" spans="1:13" x14ac:dyDescent="0.3">
      <c r="A1811" s="7">
        <v>400245</v>
      </c>
      <c r="B1811" t="str">
        <f>_xlfn.XLOOKUP(Vendas[[#This Row],[ID Vendedor]],Vendedores[ID],Vendedores[Nome])</f>
        <v>Thiago</v>
      </c>
      <c r="C1811" s="7" t="str">
        <f>_xlfn.XLOOKUP(Vendas[[#This Row],[ID Vendedor]],Vendedores[ID],Vendedores[Setor])</f>
        <v>AHD</v>
      </c>
      <c r="D1811" s="7" t="s">
        <v>9</v>
      </c>
      <c r="E1811" t="str">
        <f>_xlfn.XLOOKUP(Vendas[[#This Row],[ID Item Vendido]],Agregado[ID],Agregado[Produto])</f>
        <v>Barra de aço simples</v>
      </c>
      <c r="F1811" s="39">
        <v>44756</v>
      </c>
      <c r="G1811" s="7">
        <v>79</v>
      </c>
      <c r="H1811" s="3">
        <f>_xlfn.XLOOKUP(Vendas[[#This Row],[ID Item Vendido]],Agregado[ID],Agregado[Revenda])</f>
        <v>6.7</v>
      </c>
      <c r="I1811" s="3">
        <f>Vendas[[#This Row],[Valor Unitário]]*Vendas[[#This Row],[Qnt Vendida]]</f>
        <v>529.30000000000007</v>
      </c>
      <c r="J1811" s="3">
        <f>Vendas[[#This Row],[Valor da Venda]]-(_xlfn.XLOOKUP(Vendas[[#This Row],[ID Item Vendido]],Agregado[ID],Agregado[Custo])*Vendas[[#This Row],[Qnt Vendida]])</f>
        <v>71.10000000000008</v>
      </c>
      <c r="K1811" s="70">
        <f>Vendas[[#This Row],[Lucro da Venda]]/Vendas[[#This Row],[Valor da Venda]]</f>
        <v>0.13432835820895536</v>
      </c>
      <c r="L1811" s="3">
        <f>_xlfn.IFS(Vendas[[#This Row],[Margem de Lucro (%)]]&lt;15%,Vendas[[#This Row],[Valor da Venda]]*3%,Vendas[[#This Row],[Margem de Lucro (%)]]&lt;=20%,Vendas[[#This Row],[Valor da Venda]]*4.5%,TRUE,Vendas[[#This Row],[Valor da Venda]]*6%)</f>
        <v>15.879000000000001</v>
      </c>
      <c r="M1811"/>
    </row>
    <row r="1812" spans="1:13" x14ac:dyDescent="0.3">
      <c r="A1812" s="7">
        <v>400251</v>
      </c>
      <c r="B1812" t="str">
        <f>_xlfn.XLOOKUP(Vendas[[#This Row],[ID Vendedor]],Vendedores[ID],Vendedores[Nome])</f>
        <v>Diego</v>
      </c>
      <c r="C1812" s="7" t="str">
        <f>_xlfn.XLOOKUP(Vendas[[#This Row],[ID Vendedor]],Vendedores[ID],Vendedores[Setor])</f>
        <v>AB</v>
      </c>
      <c r="D1812" s="7" t="s">
        <v>36</v>
      </c>
      <c r="E1812" t="str">
        <f>_xlfn.XLOOKUP(Vendas[[#This Row],[ID Item Vendido]],Agregado[ID],Agregado[Produto])</f>
        <v>Borracha vulcanizada em manta</v>
      </c>
      <c r="F1812" s="39">
        <v>44756</v>
      </c>
      <c r="G1812" s="7">
        <v>20</v>
      </c>
      <c r="H1812" s="3">
        <f>_xlfn.XLOOKUP(Vendas[[#This Row],[ID Item Vendido]],Agregado[ID],Agregado[Revenda])</f>
        <v>7.8</v>
      </c>
      <c r="I1812" s="3">
        <f>Vendas[[#This Row],[Valor Unitário]]*Vendas[[#This Row],[Qnt Vendida]]</f>
        <v>156</v>
      </c>
      <c r="J1812" s="3">
        <f>Vendas[[#This Row],[Valor da Venda]]-(_xlfn.XLOOKUP(Vendas[[#This Row],[ID Item Vendido]],Agregado[ID],Agregado[Custo])*Vendas[[#This Row],[Qnt Vendida]])</f>
        <v>36</v>
      </c>
      <c r="K1812" s="70">
        <f>Vendas[[#This Row],[Lucro da Venda]]/Vendas[[#This Row],[Valor da Venda]]</f>
        <v>0.23076923076923078</v>
      </c>
      <c r="L1812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1812"/>
    </row>
    <row r="1813" spans="1:13" x14ac:dyDescent="0.3">
      <c r="A1813" s="7">
        <v>400249</v>
      </c>
      <c r="B1813" t="str">
        <f>_xlfn.XLOOKUP(Vendas[[#This Row],[ID Vendedor]],Vendedores[ID],Vendedores[Nome])</f>
        <v>Bruno</v>
      </c>
      <c r="C1813" s="7" t="str">
        <f>_xlfn.XLOOKUP(Vendas[[#This Row],[ID Vendedor]],Vendedores[ID],Vendedores[Setor])</f>
        <v>CM</v>
      </c>
      <c r="D1813" s="7" t="s">
        <v>32</v>
      </c>
      <c r="E1813" t="str">
        <f>_xlfn.XLOOKUP(Vendas[[#This Row],[ID Item Vendido]],Agregado[ID],Agregado[Produto])</f>
        <v>Tábua tratada e cortada 3m</v>
      </c>
      <c r="F1813" s="39">
        <v>44756</v>
      </c>
      <c r="G1813" s="7">
        <v>4</v>
      </c>
      <c r="H1813" s="3">
        <f>_xlfn.XLOOKUP(Vendas[[#This Row],[ID Item Vendido]],Agregado[ID],Agregado[Revenda])</f>
        <v>39</v>
      </c>
      <c r="I1813" s="3">
        <f>Vendas[[#This Row],[Valor Unitário]]*Vendas[[#This Row],[Qnt Vendida]]</f>
        <v>156</v>
      </c>
      <c r="J1813" s="3">
        <f>Vendas[[#This Row],[Valor da Venda]]-(_xlfn.XLOOKUP(Vendas[[#This Row],[ID Item Vendido]],Agregado[ID],Agregado[Custo])*Vendas[[#This Row],[Qnt Vendida]])</f>
        <v>28</v>
      </c>
      <c r="K1813" s="70">
        <f>Vendas[[#This Row],[Lucro da Venda]]/Vendas[[#This Row],[Valor da Venda]]</f>
        <v>0.17948717948717949</v>
      </c>
      <c r="L1813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1813"/>
    </row>
    <row r="1814" spans="1:13" x14ac:dyDescent="0.3">
      <c r="A1814" s="7">
        <v>400244</v>
      </c>
      <c r="B1814" t="str">
        <f>_xlfn.XLOOKUP(Vendas[[#This Row],[ID Vendedor]],Vendedores[ID],Vendedores[Nome])</f>
        <v>Camila</v>
      </c>
      <c r="C1814" s="7" t="str">
        <f>_xlfn.XLOOKUP(Vendas[[#This Row],[ID Vendedor]],Vendedores[ID],Vendedores[Setor])</f>
        <v>AHD</v>
      </c>
      <c r="D1814" s="7" t="s">
        <v>30</v>
      </c>
      <c r="E1814" t="str">
        <f>_xlfn.XLOOKUP(Vendas[[#This Row],[ID Item Vendido]],Agregado[ID],Agregado[Produto])</f>
        <v>Estrutura metálica soldada</v>
      </c>
      <c r="F1814" s="39">
        <v>44758</v>
      </c>
      <c r="G1814" s="7">
        <v>4</v>
      </c>
      <c r="H1814" s="3">
        <f>_xlfn.XLOOKUP(Vendas[[#This Row],[ID Item Vendido]],Agregado[ID],Agregado[Revenda])</f>
        <v>400</v>
      </c>
      <c r="I1814" s="3">
        <f>Vendas[[#This Row],[Valor Unitário]]*Vendas[[#This Row],[Qnt Vendida]]</f>
        <v>1600</v>
      </c>
      <c r="J1814" s="3">
        <f>Vendas[[#This Row],[Valor da Venda]]-(_xlfn.XLOOKUP(Vendas[[#This Row],[ID Item Vendido]],Agregado[ID],Agregado[Custo])*Vendas[[#This Row],[Qnt Vendida]])</f>
        <v>320</v>
      </c>
      <c r="K1814" s="70">
        <f>Vendas[[#This Row],[Lucro da Venda]]/Vendas[[#This Row],[Valor da Venda]]</f>
        <v>0.2</v>
      </c>
      <c r="L1814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1814"/>
    </row>
    <row r="1815" spans="1:13" x14ac:dyDescent="0.3">
      <c r="A1815" s="7">
        <v>400248</v>
      </c>
      <c r="B1815" t="str">
        <f>_xlfn.XLOOKUP(Vendas[[#This Row],[ID Vendedor]],Vendedores[ID],Vendedores[Nome])</f>
        <v>Patrícia</v>
      </c>
      <c r="C1815" s="7" t="str">
        <f>_xlfn.XLOOKUP(Vendas[[#This Row],[ID Vendedor]],Vendedores[ID],Vendedores[Setor])</f>
        <v>CM</v>
      </c>
      <c r="D1815" s="7" t="s">
        <v>34</v>
      </c>
      <c r="E1815" t="str">
        <f>_xlfn.XLOOKUP(Vendas[[#This Row],[ID Item Vendido]],Agregado[ID],Agregado[Produto])</f>
        <v>Restos de madeira p/ MDP/OSB saco de 20kg</v>
      </c>
      <c r="F1815" s="39">
        <v>44758</v>
      </c>
      <c r="G1815" s="7">
        <v>9</v>
      </c>
      <c r="H1815" s="3">
        <f>_xlfn.XLOOKUP(Vendas[[#This Row],[ID Item Vendido]],Agregado[ID],Agregado[Revenda])</f>
        <v>13.8</v>
      </c>
      <c r="I1815" s="3">
        <f>Vendas[[#This Row],[Valor Unitário]]*Vendas[[#This Row],[Qnt Vendida]]</f>
        <v>124.2</v>
      </c>
      <c r="J1815" s="3">
        <f>Vendas[[#This Row],[Valor da Venda]]-(_xlfn.XLOOKUP(Vendas[[#This Row],[ID Item Vendido]],Agregado[ID],Agregado[Custo])*Vendas[[#This Row],[Qnt Vendida]])</f>
        <v>16.200000000000003</v>
      </c>
      <c r="K1815" s="70">
        <f>Vendas[[#This Row],[Lucro da Venda]]/Vendas[[#This Row],[Valor da Venda]]</f>
        <v>0.13043478260869568</v>
      </c>
      <c r="L1815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1815"/>
    </row>
    <row r="1816" spans="1:13" x14ac:dyDescent="0.3">
      <c r="A1816" s="7">
        <v>400251</v>
      </c>
      <c r="B1816" t="str">
        <f>_xlfn.XLOOKUP(Vendas[[#This Row],[ID Vendedor]],Vendedores[ID],Vendedores[Nome])</f>
        <v>Diego</v>
      </c>
      <c r="C1816" s="7" t="str">
        <f>_xlfn.XLOOKUP(Vendas[[#This Row],[ID Vendedor]],Vendedores[ID],Vendedores[Setor])</f>
        <v>AB</v>
      </c>
      <c r="D1816" s="7" t="s">
        <v>12</v>
      </c>
      <c r="E1816" t="str">
        <f>_xlfn.XLOOKUP(Vendas[[#This Row],[ID Item Vendido]],Agregado[ID],Agregado[Produto])</f>
        <v>Grânulo de plástico reciclado refinado</v>
      </c>
      <c r="F1816" s="39">
        <v>44759</v>
      </c>
      <c r="G1816" s="7">
        <v>121</v>
      </c>
      <c r="H1816" s="3">
        <f>_xlfn.XLOOKUP(Vendas[[#This Row],[ID Item Vendido]],Agregado[ID],Agregado[Revenda])</f>
        <v>4.7</v>
      </c>
      <c r="I1816" s="3">
        <f>Vendas[[#This Row],[Valor Unitário]]*Vendas[[#This Row],[Qnt Vendida]]</f>
        <v>568.70000000000005</v>
      </c>
      <c r="J1816" s="3">
        <f>Vendas[[#This Row],[Valor da Venda]]-(_xlfn.XLOOKUP(Vendas[[#This Row],[ID Item Vendido]],Agregado[ID],Agregado[Custo])*Vendas[[#This Row],[Qnt Vendida]])</f>
        <v>145.20000000000005</v>
      </c>
      <c r="K1816" s="70">
        <f>Vendas[[#This Row],[Lucro da Venda]]/Vendas[[#This Row],[Valor da Venda]]</f>
        <v>0.25531914893617025</v>
      </c>
      <c r="L1816" s="3">
        <f>_xlfn.IFS(Vendas[[#This Row],[Margem de Lucro (%)]]&lt;15%,Vendas[[#This Row],[Valor da Venda]]*3%,Vendas[[#This Row],[Margem de Lucro (%)]]&lt;=20%,Vendas[[#This Row],[Valor da Venda]]*4.5%,TRUE,Vendas[[#This Row],[Valor da Venda]]*6%)</f>
        <v>34.122</v>
      </c>
      <c r="M1816"/>
    </row>
    <row r="1817" spans="1:13" x14ac:dyDescent="0.3">
      <c r="A1817" s="7">
        <v>400241</v>
      </c>
      <c r="B1817" t="str">
        <f>_xlfn.XLOOKUP(Vendas[[#This Row],[ID Vendedor]],Vendedores[ID],Vendedores[Nome])</f>
        <v>Rodrigo</v>
      </c>
      <c r="C1817" s="7" t="str">
        <f>_xlfn.XLOOKUP(Vendas[[#This Row],[ID Vendedor]],Vendedores[ID],Vendedores[Setor])</f>
        <v>FM</v>
      </c>
      <c r="D1817" s="7" t="s">
        <v>6</v>
      </c>
      <c r="E1817" t="str">
        <f>_xlfn.XLOOKUP(Vendas[[#This Row],[ID Item Vendido]],Agregado[ID],Agregado[Produto])</f>
        <v>Parafuso comum 500un</v>
      </c>
      <c r="F1817" s="39">
        <v>44759</v>
      </c>
      <c r="G1817" s="7">
        <v>12</v>
      </c>
      <c r="H1817" s="3">
        <f>_xlfn.XLOOKUP(Vendas[[#This Row],[ID Item Vendido]],Agregado[ID],Agregado[Revenda])</f>
        <v>24.6</v>
      </c>
      <c r="I1817" s="3">
        <f>Vendas[[#This Row],[Valor Unitário]]*Vendas[[#This Row],[Qnt Vendida]]</f>
        <v>295.20000000000005</v>
      </c>
      <c r="J1817" s="3">
        <f>Vendas[[#This Row],[Valor da Venda]]-(_xlfn.XLOOKUP(Vendas[[#This Row],[ID Item Vendido]],Agregado[ID],Agregado[Custo])*Vendas[[#This Row],[Qnt Vendida]])</f>
        <v>31.200000000000045</v>
      </c>
      <c r="K1817" s="70">
        <f>Vendas[[#This Row],[Lucro da Venda]]/Vendas[[#This Row],[Valor da Venda]]</f>
        <v>0.10569105691056924</v>
      </c>
      <c r="L1817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1817"/>
    </row>
    <row r="1818" spans="1:13" x14ac:dyDescent="0.3">
      <c r="A1818" s="7">
        <v>400241</v>
      </c>
      <c r="B1818" t="str">
        <f>_xlfn.XLOOKUP(Vendas[[#This Row],[ID Vendedor]],Vendedores[ID],Vendedores[Nome])</f>
        <v>Rodrigo</v>
      </c>
      <c r="C1818" s="7" t="str">
        <f>_xlfn.XLOOKUP(Vendas[[#This Row],[ID Vendedor]],Vendedores[ID],Vendedores[Setor])</f>
        <v>FM</v>
      </c>
      <c r="D1818" s="7" t="s">
        <v>47</v>
      </c>
      <c r="E1818" t="str">
        <f>_xlfn.XLOOKUP(Vendas[[#This Row],[ID Item Vendido]],Agregado[ID],Agregado[Produto])</f>
        <v>Fio de arame galvanizado rolo 50m</v>
      </c>
      <c r="F1818" s="39">
        <v>44760</v>
      </c>
      <c r="G1818" s="7">
        <v>31</v>
      </c>
      <c r="H1818" s="3">
        <f>_xlfn.XLOOKUP(Vendas[[#This Row],[ID Item Vendido]],Agregado[ID],Agregado[Revenda])</f>
        <v>21.2</v>
      </c>
      <c r="I1818" s="3">
        <f>Vendas[[#This Row],[Valor Unitário]]*Vendas[[#This Row],[Qnt Vendida]]</f>
        <v>657.19999999999993</v>
      </c>
      <c r="J1818" s="3">
        <f>Vendas[[#This Row],[Valor da Venda]]-(_xlfn.XLOOKUP(Vendas[[#This Row],[ID Item Vendido]],Agregado[ID],Agregado[Custo])*Vendas[[#This Row],[Qnt Vendida]])</f>
        <v>99.199999999999932</v>
      </c>
      <c r="K1818" s="70">
        <f>Vendas[[#This Row],[Lucro da Venda]]/Vendas[[#This Row],[Valor da Venda]]</f>
        <v>0.15094339622641501</v>
      </c>
      <c r="L1818" s="3">
        <f>_xlfn.IFS(Vendas[[#This Row],[Margem de Lucro (%)]]&lt;15%,Vendas[[#This Row],[Valor da Venda]]*3%,Vendas[[#This Row],[Margem de Lucro (%)]]&lt;=20%,Vendas[[#This Row],[Valor da Venda]]*4.5%,TRUE,Vendas[[#This Row],[Valor da Venda]]*6%)</f>
        <v>29.573999999999995</v>
      </c>
      <c r="M1818"/>
    </row>
    <row r="1819" spans="1:13" x14ac:dyDescent="0.3">
      <c r="A1819" s="7">
        <v>400241</v>
      </c>
      <c r="B1819" t="str">
        <f>_xlfn.XLOOKUP(Vendas[[#This Row],[ID Vendedor]],Vendedores[ID],Vendedores[Nome])</f>
        <v>Rodrigo</v>
      </c>
      <c r="C1819" s="7" t="str">
        <f>_xlfn.XLOOKUP(Vendas[[#This Row],[ID Vendedor]],Vendedores[ID],Vendedores[Setor])</f>
        <v>FM</v>
      </c>
      <c r="D1819" s="7" t="s">
        <v>31</v>
      </c>
      <c r="E1819" t="str">
        <f>_xlfn.XLOOKUP(Vendas[[#This Row],[ID Item Vendido]],Agregado[ID],Agregado[Produto])</f>
        <v>Tela de metal soldada rolo 2x25m</v>
      </c>
      <c r="F1819" s="39">
        <v>44761</v>
      </c>
      <c r="G1819" s="7">
        <v>17</v>
      </c>
      <c r="H1819" s="3">
        <f>_xlfn.XLOOKUP(Vendas[[#This Row],[ID Item Vendido]],Agregado[ID],Agregado[Revenda])</f>
        <v>43.7</v>
      </c>
      <c r="I1819" s="3">
        <f>Vendas[[#This Row],[Valor Unitário]]*Vendas[[#This Row],[Qnt Vendida]]</f>
        <v>742.90000000000009</v>
      </c>
      <c r="J1819" s="3">
        <f>Vendas[[#This Row],[Valor da Venda]]-(_xlfn.XLOOKUP(Vendas[[#This Row],[ID Item Vendido]],Agregado[ID],Agregado[Custo])*Vendas[[#This Row],[Qnt Vendida]])</f>
        <v>96.900000000000091</v>
      </c>
      <c r="K1819" s="70">
        <f>Vendas[[#This Row],[Lucro da Venda]]/Vendas[[#This Row],[Valor da Venda]]</f>
        <v>0.13043478260869576</v>
      </c>
      <c r="L1819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1819"/>
    </row>
    <row r="1820" spans="1:13" x14ac:dyDescent="0.3">
      <c r="A1820" s="7">
        <v>400250</v>
      </c>
      <c r="B1820" t="str">
        <f>_xlfn.XLOOKUP(Vendas[[#This Row],[ID Vendedor]],Vendedores[ID],Vendedores[Nome])</f>
        <v>Larissa</v>
      </c>
      <c r="C1820" s="7" t="str">
        <f>_xlfn.XLOOKUP(Vendas[[#This Row],[ID Vendedor]],Vendedores[ID],Vendedores[Setor])</f>
        <v>AB</v>
      </c>
      <c r="D1820" s="7" t="s">
        <v>24</v>
      </c>
      <c r="E1820" t="str">
        <f>_xlfn.XLOOKUP(Vendas[[#This Row],[ID Item Vendido]],Agregado[ID],Agregado[Produto])</f>
        <v>Resina plástica PET purificada saco de 25kg</v>
      </c>
      <c r="F1820" s="39">
        <v>44762</v>
      </c>
      <c r="G1820" s="7">
        <v>19</v>
      </c>
      <c r="H1820" s="3">
        <f>_xlfn.XLOOKUP(Vendas[[#This Row],[ID Item Vendido]],Agregado[ID],Agregado[Revenda])</f>
        <v>119</v>
      </c>
      <c r="I1820" s="3">
        <f>Vendas[[#This Row],[Valor Unitário]]*Vendas[[#This Row],[Qnt Vendida]]</f>
        <v>2261</v>
      </c>
      <c r="J1820" s="3">
        <f>Vendas[[#This Row],[Valor da Venda]]-(_xlfn.XLOOKUP(Vendas[[#This Row],[ID Item Vendido]],Agregado[ID],Agregado[Custo])*Vendas[[#This Row],[Qnt Vendida]])</f>
        <v>646</v>
      </c>
      <c r="K1820" s="70">
        <f>Vendas[[#This Row],[Lucro da Venda]]/Vendas[[#This Row],[Valor da Venda]]</f>
        <v>0.2857142857142857</v>
      </c>
      <c r="L1820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1820"/>
    </row>
    <row r="1821" spans="1:13" x14ac:dyDescent="0.3">
      <c r="A1821" s="7">
        <v>400255</v>
      </c>
      <c r="B1821" t="str">
        <f>_xlfn.XLOOKUP(Vendas[[#This Row],[ID Vendedor]],Vendedores[ID],Vendedores[Nome])</f>
        <v>Carlos</v>
      </c>
      <c r="C1821" s="7" t="str">
        <f>_xlfn.XLOOKUP(Vendas[[#This Row],[ID Vendedor]],Vendedores[ID],Vendedores[Setor])</f>
        <v>SC</v>
      </c>
      <c r="D1821" s="7" t="s">
        <v>48</v>
      </c>
      <c r="E1821" t="str">
        <f>_xlfn.XLOOKUP(Vendas[[#This Row],[ID Item Vendido]],Agregado[ID],Agregado[Produto])</f>
        <v>Tambor metálico 200L</v>
      </c>
      <c r="F1821" s="39">
        <v>44762</v>
      </c>
      <c r="G1821" s="7">
        <v>15</v>
      </c>
      <c r="H1821" s="3">
        <f>_xlfn.XLOOKUP(Vendas[[#This Row],[ID Item Vendido]],Agregado[ID],Agregado[Revenda])</f>
        <v>144</v>
      </c>
      <c r="I1821" s="3">
        <f>Vendas[[#This Row],[Valor Unitário]]*Vendas[[#This Row],[Qnt Vendida]]</f>
        <v>2160</v>
      </c>
      <c r="J1821" s="3">
        <f>Vendas[[#This Row],[Valor da Venda]]-(_xlfn.XLOOKUP(Vendas[[#This Row],[ID Item Vendido]],Agregado[ID],Agregado[Custo])*Vendas[[#This Row],[Qnt Vendida]])</f>
        <v>360</v>
      </c>
      <c r="K1821" s="70">
        <f>Vendas[[#This Row],[Lucro da Venda]]/Vendas[[#This Row],[Valor da Venda]]</f>
        <v>0.16666666666666666</v>
      </c>
      <c r="L1821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821"/>
    </row>
    <row r="1822" spans="1:13" x14ac:dyDescent="0.3">
      <c r="A1822" s="7">
        <v>400250</v>
      </c>
      <c r="B1822" t="str">
        <f>_xlfn.XLOOKUP(Vendas[[#This Row],[ID Vendedor]],Vendedores[ID],Vendedores[Nome])</f>
        <v>Larissa</v>
      </c>
      <c r="C1822" s="7" t="str">
        <f>_xlfn.XLOOKUP(Vendas[[#This Row],[ID Vendedor]],Vendedores[ID],Vendedores[Setor])</f>
        <v>AB</v>
      </c>
      <c r="D1822" s="7" t="s">
        <v>37</v>
      </c>
      <c r="E1822" t="str">
        <f>_xlfn.XLOOKUP(Vendas[[#This Row],[ID Item Vendido]],Agregado[ID],Agregado[Produto])</f>
        <v>Composto de borracha para vedação rolo 10m</v>
      </c>
      <c r="F1822" s="39">
        <v>44762</v>
      </c>
      <c r="G1822" s="7">
        <v>21</v>
      </c>
      <c r="H1822" s="3">
        <f>_xlfn.XLOOKUP(Vendas[[#This Row],[ID Item Vendido]],Agregado[ID],Agregado[Revenda])</f>
        <v>51.2</v>
      </c>
      <c r="I1822" s="3">
        <f>Vendas[[#This Row],[Valor Unitário]]*Vendas[[#This Row],[Qnt Vendida]]</f>
        <v>1075.2</v>
      </c>
      <c r="J1822" s="3">
        <f>Vendas[[#This Row],[Valor da Venda]]-(_xlfn.XLOOKUP(Vendas[[#This Row],[ID Item Vendido]],Agregado[ID],Agregado[Custo])*Vendas[[#This Row],[Qnt Vendida]])</f>
        <v>235.20000000000005</v>
      </c>
      <c r="K1822" s="70">
        <f>Vendas[[#This Row],[Lucro da Venda]]/Vendas[[#This Row],[Valor da Venda]]</f>
        <v>0.21875000000000003</v>
      </c>
      <c r="L1822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1822"/>
    </row>
    <row r="1823" spans="1:13" x14ac:dyDescent="0.3">
      <c r="A1823" s="7">
        <v>400245</v>
      </c>
      <c r="B1823" t="str">
        <f>_xlfn.XLOOKUP(Vendas[[#This Row],[ID Vendedor]],Vendedores[ID],Vendedores[Nome])</f>
        <v>Thiago</v>
      </c>
      <c r="C1823" s="7" t="str">
        <f>_xlfn.XLOOKUP(Vendas[[#This Row],[ID Vendedor]],Vendedores[ID],Vendedores[Setor])</f>
        <v>AHD</v>
      </c>
      <c r="D1823" s="7" t="s">
        <v>9</v>
      </c>
      <c r="E1823" t="str">
        <f>_xlfn.XLOOKUP(Vendas[[#This Row],[ID Item Vendido]],Agregado[ID],Agregado[Produto])</f>
        <v>Barra de aço simples</v>
      </c>
      <c r="F1823" s="39">
        <v>44762</v>
      </c>
      <c r="G1823" s="7">
        <v>24</v>
      </c>
      <c r="H1823" s="3">
        <f>_xlfn.XLOOKUP(Vendas[[#This Row],[ID Item Vendido]],Agregado[ID],Agregado[Revenda])</f>
        <v>6.7</v>
      </c>
      <c r="I1823" s="3">
        <f>Vendas[[#This Row],[Valor Unitário]]*Vendas[[#This Row],[Qnt Vendida]]</f>
        <v>160.80000000000001</v>
      </c>
      <c r="J1823" s="3">
        <f>Vendas[[#This Row],[Valor da Venda]]-(_xlfn.XLOOKUP(Vendas[[#This Row],[ID Item Vendido]],Agregado[ID],Agregado[Custo])*Vendas[[#This Row],[Qnt Vendida]])</f>
        <v>21.600000000000023</v>
      </c>
      <c r="K1823" s="70">
        <f>Vendas[[#This Row],[Lucro da Venda]]/Vendas[[#This Row],[Valor da Venda]]</f>
        <v>0.13432835820895536</v>
      </c>
      <c r="L1823" s="3">
        <f>_xlfn.IFS(Vendas[[#This Row],[Margem de Lucro (%)]]&lt;15%,Vendas[[#This Row],[Valor da Venda]]*3%,Vendas[[#This Row],[Margem de Lucro (%)]]&lt;=20%,Vendas[[#This Row],[Valor da Venda]]*4.5%,TRUE,Vendas[[#This Row],[Valor da Venda]]*6%)</f>
        <v>4.8239999999999998</v>
      </c>
      <c r="M1823"/>
    </row>
    <row r="1824" spans="1:13" x14ac:dyDescent="0.3">
      <c r="A1824" s="7">
        <v>400242</v>
      </c>
      <c r="B1824" t="str">
        <f>_xlfn.XLOOKUP(Vendas[[#This Row],[ID Vendedor]],Vendedores[ID],Vendedores[Nome])</f>
        <v>Fernanda</v>
      </c>
      <c r="C1824" s="7" t="str">
        <f>_xlfn.XLOOKUP(Vendas[[#This Row],[ID Vendedor]],Vendedores[ID],Vendedores[Setor])</f>
        <v>FM</v>
      </c>
      <c r="D1824" s="7" t="s">
        <v>31</v>
      </c>
      <c r="E1824" t="str">
        <f>_xlfn.XLOOKUP(Vendas[[#This Row],[ID Item Vendido]],Agregado[ID],Agregado[Produto])</f>
        <v>Tela de metal soldada rolo 2x25m</v>
      </c>
      <c r="F1824" s="39">
        <v>44763</v>
      </c>
      <c r="G1824" s="7">
        <v>15</v>
      </c>
      <c r="H1824" s="3">
        <f>_xlfn.XLOOKUP(Vendas[[#This Row],[ID Item Vendido]],Agregado[ID],Agregado[Revenda])</f>
        <v>43.7</v>
      </c>
      <c r="I1824" s="3">
        <f>Vendas[[#This Row],[Valor Unitário]]*Vendas[[#This Row],[Qnt Vendida]]</f>
        <v>655.5</v>
      </c>
      <c r="J1824" s="3">
        <f>Vendas[[#This Row],[Valor da Venda]]-(_xlfn.XLOOKUP(Vendas[[#This Row],[ID Item Vendido]],Agregado[ID],Agregado[Custo])*Vendas[[#This Row],[Qnt Vendida]])</f>
        <v>85.5</v>
      </c>
      <c r="K1824" s="70">
        <f>Vendas[[#This Row],[Lucro da Venda]]/Vendas[[#This Row],[Valor da Venda]]</f>
        <v>0.13043478260869565</v>
      </c>
      <c r="L1824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1824"/>
    </row>
    <row r="1825" spans="1:13" x14ac:dyDescent="0.3">
      <c r="A1825" s="7">
        <v>400255</v>
      </c>
      <c r="B1825" t="str">
        <f>_xlfn.XLOOKUP(Vendas[[#This Row],[ID Vendedor]],Vendedores[ID],Vendedores[Nome])</f>
        <v>Carlos</v>
      </c>
      <c r="C1825" s="7" t="str">
        <f>_xlfn.XLOOKUP(Vendas[[#This Row],[ID Vendedor]],Vendedores[ID],Vendedores[Setor])</f>
        <v>SC</v>
      </c>
      <c r="D1825" s="7" t="s">
        <v>14</v>
      </c>
      <c r="E1825" t="str">
        <f>_xlfn.XLOOKUP(Vendas[[#This Row],[ID Item Vendido]],Agregado[ID],Agregado[Produto])</f>
        <v>Barril de plástico 200L</v>
      </c>
      <c r="F1825" s="39">
        <v>44764</v>
      </c>
      <c r="G1825" s="7">
        <v>21</v>
      </c>
      <c r="H1825" s="3">
        <f>_xlfn.XLOOKUP(Vendas[[#This Row],[ID Item Vendido]],Agregado[ID],Agregado[Revenda])</f>
        <v>114</v>
      </c>
      <c r="I1825" s="3">
        <f>Vendas[[#This Row],[Valor Unitário]]*Vendas[[#This Row],[Qnt Vendida]]</f>
        <v>2394</v>
      </c>
      <c r="J1825" s="3">
        <f>Vendas[[#This Row],[Valor da Venda]]-(_xlfn.XLOOKUP(Vendas[[#This Row],[ID Item Vendido]],Agregado[ID],Agregado[Custo])*Vendas[[#This Row],[Qnt Vendida]])</f>
        <v>399</v>
      </c>
      <c r="K1825" s="70">
        <f>Vendas[[#This Row],[Lucro da Venda]]/Vendas[[#This Row],[Valor da Venda]]</f>
        <v>0.16666666666666666</v>
      </c>
      <c r="L1825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1825"/>
    </row>
    <row r="1826" spans="1:13" x14ac:dyDescent="0.3">
      <c r="A1826" s="7">
        <v>400251</v>
      </c>
      <c r="B1826" t="str">
        <f>_xlfn.XLOOKUP(Vendas[[#This Row],[ID Vendedor]],Vendedores[ID],Vendedores[Nome])</f>
        <v>Diego</v>
      </c>
      <c r="C1826" s="7" t="str">
        <f>_xlfn.XLOOKUP(Vendas[[#This Row],[ID Vendedor]],Vendedores[ID],Vendedores[Setor])</f>
        <v>AB</v>
      </c>
      <c r="D1826" s="7" t="s">
        <v>24</v>
      </c>
      <c r="E1826" t="str">
        <f>_xlfn.XLOOKUP(Vendas[[#This Row],[ID Item Vendido]],Agregado[ID],Agregado[Produto])</f>
        <v>Resina plástica PET purificada saco de 25kg</v>
      </c>
      <c r="F1826" s="39">
        <v>44764</v>
      </c>
      <c r="G1826" s="7">
        <v>2</v>
      </c>
      <c r="H1826" s="3">
        <f>_xlfn.XLOOKUP(Vendas[[#This Row],[ID Item Vendido]],Agregado[ID],Agregado[Revenda])</f>
        <v>119</v>
      </c>
      <c r="I1826" s="3">
        <f>Vendas[[#This Row],[Valor Unitário]]*Vendas[[#This Row],[Qnt Vendida]]</f>
        <v>238</v>
      </c>
      <c r="J1826" s="3">
        <f>Vendas[[#This Row],[Valor da Venda]]-(_xlfn.XLOOKUP(Vendas[[#This Row],[ID Item Vendido]],Agregado[ID],Agregado[Custo])*Vendas[[#This Row],[Qnt Vendida]])</f>
        <v>68</v>
      </c>
      <c r="K1826" s="70">
        <f>Vendas[[#This Row],[Lucro da Venda]]/Vendas[[#This Row],[Valor da Venda]]</f>
        <v>0.2857142857142857</v>
      </c>
      <c r="L1826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1826"/>
    </row>
    <row r="1827" spans="1:13" x14ac:dyDescent="0.3">
      <c r="A1827" s="7">
        <v>400248</v>
      </c>
      <c r="B1827" t="str">
        <f>_xlfn.XLOOKUP(Vendas[[#This Row],[ID Vendedor]],Vendedores[ID],Vendedores[Nome])</f>
        <v>Patrícia</v>
      </c>
      <c r="C1827" s="7" t="str">
        <f>_xlfn.XLOOKUP(Vendas[[#This Row],[ID Vendedor]],Vendedores[ID],Vendedores[Setor])</f>
        <v>CM</v>
      </c>
      <c r="D1827" s="7" t="s">
        <v>22</v>
      </c>
      <c r="E1827" t="str">
        <f>_xlfn.XLOOKUP(Vendas[[#This Row],[ID Item Vendido]],Agregado[ID],Agregado[Produto])</f>
        <v>Painel MDP 2,75x1,83m</v>
      </c>
      <c r="F1827" s="39">
        <v>44764</v>
      </c>
      <c r="G1827" s="7">
        <v>2</v>
      </c>
      <c r="H1827" s="3">
        <f>_xlfn.XLOOKUP(Vendas[[#This Row],[ID Item Vendido]],Agregado[ID],Agregado[Revenda])</f>
        <v>119</v>
      </c>
      <c r="I1827" s="3">
        <f>Vendas[[#This Row],[Valor Unitário]]*Vendas[[#This Row],[Qnt Vendida]]</f>
        <v>238</v>
      </c>
      <c r="J1827" s="3">
        <f>Vendas[[#This Row],[Valor da Venda]]-(_xlfn.XLOOKUP(Vendas[[#This Row],[ID Item Vendido]],Agregado[ID],Agregado[Custo])*Vendas[[#This Row],[Qnt Vendida]])</f>
        <v>48</v>
      </c>
      <c r="K1827" s="70">
        <f>Vendas[[#This Row],[Lucro da Venda]]/Vendas[[#This Row],[Valor da Venda]]</f>
        <v>0.20168067226890757</v>
      </c>
      <c r="L1827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1827"/>
    </row>
    <row r="1828" spans="1:13" x14ac:dyDescent="0.3">
      <c r="A1828" s="7">
        <v>400242</v>
      </c>
      <c r="B1828" t="str">
        <f>_xlfn.XLOOKUP(Vendas[[#This Row],[ID Vendedor]],Vendedores[ID],Vendedores[Nome])</f>
        <v>Fernanda</v>
      </c>
      <c r="C1828" s="7" t="str">
        <f>_xlfn.XLOOKUP(Vendas[[#This Row],[ID Vendedor]],Vendedores[ID],Vendedores[Setor])</f>
        <v>FM</v>
      </c>
      <c r="D1828" s="7" t="s">
        <v>31</v>
      </c>
      <c r="E1828" t="str">
        <f>_xlfn.XLOOKUP(Vendas[[#This Row],[ID Item Vendido]],Agregado[ID],Agregado[Produto])</f>
        <v>Tela de metal soldada rolo 2x25m</v>
      </c>
      <c r="F1828" s="39">
        <v>44764</v>
      </c>
      <c r="G1828" s="7">
        <v>5</v>
      </c>
      <c r="H1828" s="3">
        <f>_xlfn.XLOOKUP(Vendas[[#This Row],[ID Item Vendido]],Agregado[ID],Agregado[Revenda])</f>
        <v>43.7</v>
      </c>
      <c r="I1828" s="3">
        <f>Vendas[[#This Row],[Valor Unitário]]*Vendas[[#This Row],[Qnt Vendida]]</f>
        <v>218.5</v>
      </c>
      <c r="J1828" s="3">
        <f>Vendas[[#This Row],[Valor da Venda]]-(_xlfn.XLOOKUP(Vendas[[#This Row],[ID Item Vendido]],Agregado[ID],Agregado[Custo])*Vendas[[#This Row],[Qnt Vendida]])</f>
        <v>28.5</v>
      </c>
      <c r="K1828" s="70">
        <f>Vendas[[#This Row],[Lucro da Venda]]/Vendas[[#This Row],[Valor da Venda]]</f>
        <v>0.13043478260869565</v>
      </c>
      <c r="L1828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1828"/>
    </row>
    <row r="1829" spans="1:13" x14ac:dyDescent="0.3">
      <c r="A1829" s="7">
        <v>400244</v>
      </c>
      <c r="B1829" t="str">
        <f>_xlfn.XLOOKUP(Vendas[[#This Row],[ID Vendedor]],Vendedores[ID],Vendedores[Nome])</f>
        <v>Camila</v>
      </c>
      <c r="C1829" s="7" t="str">
        <f>_xlfn.XLOOKUP(Vendas[[#This Row],[ID Vendedor]],Vendedores[ID],Vendedores[Setor])</f>
        <v>AHD</v>
      </c>
      <c r="D1829" s="7" t="s">
        <v>18</v>
      </c>
      <c r="E1829" t="str">
        <f>_xlfn.XLOOKUP(Vendas[[#This Row],[ID Item Vendido]],Agregado[ID],Agregado[Produto])</f>
        <v>Peça forjada sob encomenda</v>
      </c>
      <c r="F1829" s="39">
        <v>44765</v>
      </c>
      <c r="G1829" s="7">
        <v>2</v>
      </c>
      <c r="H1829" s="3">
        <f>_xlfn.XLOOKUP(Vendas[[#This Row],[ID Item Vendido]],Agregado[ID],Agregado[Revenda])</f>
        <v>264.60000000000002</v>
      </c>
      <c r="I1829" s="3">
        <f>Vendas[[#This Row],[Valor Unitário]]*Vendas[[#This Row],[Qnt Vendida]]</f>
        <v>529.20000000000005</v>
      </c>
      <c r="J1829" s="3">
        <f>Vendas[[#This Row],[Valor da Venda]]-(_xlfn.XLOOKUP(Vendas[[#This Row],[ID Item Vendido]],Agregado[ID],Agregado[Custo])*Vendas[[#This Row],[Qnt Vendida]])</f>
        <v>29.200000000000045</v>
      </c>
      <c r="K1829" s="70">
        <f>Vendas[[#This Row],[Lucro da Venda]]/Vendas[[#This Row],[Valor da Venda]]</f>
        <v>5.5177626606198113E-2</v>
      </c>
      <c r="L182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1829"/>
    </row>
    <row r="1830" spans="1:13" x14ac:dyDescent="0.3">
      <c r="A1830" s="7">
        <v>400241</v>
      </c>
      <c r="B1830" t="str">
        <f>_xlfn.XLOOKUP(Vendas[[#This Row],[ID Vendedor]],Vendedores[ID],Vendedores[Nome])</f>
        <v>Rodrigo</v>
      </c>
      <c r="C1830" s="7" t="str">
        <f>_xlfn.XLOOKUP(Vendas[[#This Row],[ID Vendedor]],Vendedores[ID],Vendedores[Setor])</f>
        <v>FM</v>
      </c>
      <c r="D1830" s="7" t="s">
        <v>6</v>
      </c>
      <c r="E1830" t="str">
        <f>_xlfn.XLOOKUP(Vendas[[#This Row],[ID Item Vendido]],Agregado[ID],Agregado[Produto])</f>
        <v>Parafuso comum 500un</v>
      </c>
      <c r="F1830" s="39">
        <v>44765</v>
      </c>
      <c r="G1830" s="7">
        <v>18</v>
      </c>
      <c r="H1830" s="3">
        <f>_xlfn.XLOOKUP(Vendas[[#This Row],[ID Item Vendido]],Agregado[ID],Agregado[Revenda])</f>
        <v>24.6</v>
      </c>
      <c r="I1830" s="3">
        <f>Vendas[[#This Row],[Valor Unitário]]*Vendas[[#This Row],[Qnt Vendida]]</f>
        <v>442.8</v>
      </c>
      <c r="J1830" s="3">
        <f>Vendas[[#This Row],[Valor da Venda]]-(_xlfn.XLOOKUP(Vendas[[#This Row],[ID Item Vendido]],Agregado[ID],Agregado[Custo])*Vendas[[#This Row],[Qnt Vendida]])</f>
        <v>46.800000000000011</v>
      </c>
      <c r="K1830" s="70">
        <f>Vendas[[#This Row],[Lucro da Venda]]/Vendas[[#This Row],[Valor da Venda]]</f>
        <v>0.10569105691056913</v>
      </c>
      <c r="L1830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1830"/>
    </row>
    <row r="1831" spans="1:13" x14ac:dyDescent="0.3">
      <c r="A1831" s="7">
        <v>400248</v>
      </c>
      <c r="B1831" t="str">
        <f>_xlfn.XLOOKUP(Vendas[[#This Row],[ID Vendedor]],Vendedores[ID],Vendedores[Nome])</f>
        <v>Patrícia</v>
      </c>
      <c r="C1831" s="7" t="str">
        <f>_xlfn.XLOOKUP(Vendas[[#This Row],[ID Vendedor]],Vendedores[ID],Vendedores[Setor])</f>
        <v>CM</v>
      </c>
      <c r="D1831" s="7" t="s">
        <v>22</v>
      </c>
      <c r="E1831" t="str">
        <f>_xlfn.XLOOKUP(Vendas[[#This Row],[ID Item Vendido]],Agregado[ID],Agregado[Produto])</f>
        <v>Painel MDP 2,75x1,83m</v>
      </c>
      <c r="F1831" s="39">
        <v>44766</v>
      </c>
      <c r="G1831" s="7">
        <v>16</v>
      </c>
      <c r="H1831" s="3">
        <f>_xlfn.XLOOKUP(Vendas[[#This Row],[ID Item Vendido]],Agregado[ID],Agregado[Revenda])</f>
        <v>119</v>
      </c>
      <c r="I1831" s="3">
        <f>Vendas[[#This Row],[Valor Unitário]]*Vendas[[#This Row],[Qnt Vendida]]</f>
        <v>1904</v>
      </c>
      <c r="J1831" s="3">
        <f>Vendas[[#This Row],[Valor da Venda]]-(_xlfn.XLOOKUP(Vendas[[#This Row],[ID Item Vendido]],Agregado[ID],Agregado[Custo])*Vendas[[#This Row],[Qnt Vendida]])</f>
        <v>384</v>
      </c>
      <c r="K1831" s="70">
        <f>Vendas[[#This Row],[Lucro da Venda]]/Vendas[[#This Row],[Valor da Venda]]</f>
        <v>0.20168067226890757</v>
      </c>
      <c r="L1831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1831"/>
    </row>
    <row r="1832" spans="1:13" x14ac:dyDescent="0.3">
      <c r="A1832" s="7">
        <v>400251</v>
      </c>
      <c r="B1832" t="str">
        <f>_xlfn.XLOOKUP(Vendas[[#This Row],[ID Vendedor]],Vendedores[ID],Vendedores[Nome])</f>
        <v>Diego</v>
      </c>
      <c r="C1832" s="7" t="str">
        <f>_xlfn.XLOOKUP(Vendas[[#This Row],[ID Vendedor]],Vendedores[ID],Vendedores[Setor])</f>
        <v>AB</v>
      </c>
      <c r="D1832" s="7" t="s">
        <v>36</v>
      </c>
      <c r="E1832" t="str">
        <f>_xlfn.XLOOKUP(Vendas[[#This Row],[ID Item Vendido]],Agregado[ID],Agregado[Produto])</f>
        <v>Borracha vulcanizada em manta</v>
      </c>
      <c r="F1832" s="39">
        <v>44766</v>
      </c>
      <c r="G1832" s="7">
        <v>30</v>
      </c>
      <c r="H1832" s="3">
        <f>_xlfn.XLOOKUP(Vendas[[#This Row],[ID Item Vendido]],Agregado[ID],Agregado[Revenda])</f>
        <v>7.8</v>
      </c>
      <c r="I1832" s="3">
        <f>Vendas[[#This Row],[Valor Unitário]]*Vendas[[#This Row],[Qnt Vendida]]</f>
        <v>234</v>
      </c>
      <c r="J1832" s="3">
        <f>Vendas[[#This Row],[Valor da Venda]]-(_xlfn.XLOOKUP(Vendas[[#This Row],[ID Item Vendido]],Agregado[ID],Agregado[Custo])*Vendas[[#This Row],[Qnt Vendida]])</f>
        <v>54</v>
      </c>
      <c r="K1832" s="70">
        <f>Vendas[[#This Row],[Lucro da Venda]]/Vendas[[#This Row],[Valor da Venda]]</f>
        <v>0.23076923076923078</v>
      </c>
      <c r="L1832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832"/>
    </row>
    <row r="1833" spans="1:13" x14ac:dyDescent="0.3">
      <c r="A1833" s="7">
        <v>400248</v>
      </c>
      <c r="B1833" t="str">
        <f>_xlfn.XLOOKUP(Vendas[[#This Row],[ID Vendedor]],Vendedores[ID],Vendedores[Nome])</f>
        <v>Patrícia</v>
      </c>
      <c r="C1833" s="7" t="str">
        <f>_xlfn.XLOOKUP(Vendas[[#This Row],[ID Vendedor]],Vendedores[ID],Vendedores[Setor])</f>
        <v>CM</v>
      </c>
      <c r="D1833" s="7" t="s">
        <v>22</v>
      </c>
      <c r="E1833" t="str">
        <f>_xlfn.XLOOKUP(Vendas[[#This Row],[ID Item Vendido]],Agregado[ID],Agregado[Produto])</f>
        <v>Painel MDP 2,75x1,83m</v>
      </c>
      <c r="F1833" s="39">
        <v>44767</v>
      </c>
      <c r="G1833" s="7">
        <v>4</v>
      </c>
      <c r="H1833" s="3">
        <f>_xlfn.XLOOKUP(Vendas[[#This Row],[ID Item Vendido]],Agregado[ID],Agregado[Revenda])</f>
        <v>119</v>
      </c>
      <c r="I1833" s="3">
        <f>Vendas[[#This Row],[Valor Unitário]]*Vendas[[#This Row],[Qnt Vendida]]</f>
        <v>476</v>
      </c>
      <c r="J1833" s="3">
        <f>Vendas[[#This Row],[Valor da Venda]]-(_xlfn.XLOOKUP(Vendas[[#This Row],[ID Item Vendido]],Agregado[ID],Agregado[Custo])*Vendas[[#This Row],[Qnt Vendida]])</f>
        <v>96</v>
      </c>
      <c r="K1833" s="70">
        <f>Vendas[[#This Row],[Lucro da Venda]]/Vendas[[#This Row],[Valor da Venda]]</f>
        <v>0.20168067226890757</v>
      </c>
      <c r="L1833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1833"/>
    </row>
    <row r="1834" spans="1:13" x14ac:dyDescent="0.3">
      <c r="A1834" s="7">
        <v>400247</v>
      </c>
      <c r="B1834" t="str">
        <f>_xlfn.XLOOKUP(Vendas[[#This Row],[ID Vendedor]],Vendedores[ID],Vendedores[Nome])</f>
        <v>André</v>
      </c>
      <c r="C1834" s="7" t="str">
        <f>_xlfn.XLOOKUP(Vendas[[#This Row],[ID Vendedor]],Vendedores[ID],Vendedores[Setor])</f>
        <v>CM</v>
      </c>
      <c r="D1834" s="7" t="s">
        <v>32</v>
      </c>
      <c r="E1834" t="str">
        <f>_xlfn.XLOOKUP(Vendas[[#This Row],[ID Item Vendido]],Agregado[ID],Agregado[Produto])</f>
        <v>Tábua tratada e cortada 3m</v>
      </c>
      <c r="F1834" s="39">
        <v>44768</v>
      </c>
      <c r="G1834" s="7">
        <v>50</v>
      </c>
      <c r="H1834" s="3">
        <f>_xlfn.XLOOKUP(Vendas[[#This Row],[ID Item Vendido]],Agregado[ID],Agregado[Revenda])</f>
        <v>39</v>
      </c>
      <c r="I1834" s="3">
        <f>Vendas[[#This Row],[Valor Unitário]]*Vendas[[#This Row],[Qnt Vendida]]</f>
        <v>1950</v>
      </c>
      <c r="J1834" s="3">
        <f>Vendas[[#This Row],[Valor da Venda]]-(_xlfn.XLOOKUP(Vendas[[#This Row],[ID Item Vendido]],Agregado[ID],Agregado[Custo])*Vendas[[#This Row],[Qnt Vendida]])</f>
        <v>350</v>
      </c>
      <c r="K1834" s="70">
        <f>Vendas[[#This Row],[Lucro da Venda]]/Vendas[[#This Row],[Valor da Venda]]</f>
        <v>0.17948717948717949</v>
      </c>
      <c r="L1834" s="3">
        <f>_xlfn.IFS(Vendas[[#This Row],[Margem de Lucro (%)]]&lt;15%,Vendas[[#This Row],[Valor da Venda]]*3%,Vendas[[#This Row],[Margem de Lucro (%)]]&lt;=20%,Vendas[[#This Row],[Valor da Venda]]*4.5%,TRUE,Vendas[[#This Row],[Valor da Venda]]*6%)</f>
        <v>87.75</v>
      </c>
      <c r="M1834"/>
    </row>
    <row r="1835" spans="1:13" x14ac:dyDescent="0.3">
      <c r="A1835" s="7">
        <v>400248</v>
      </c>
      <c r="B1835" t="str">
        <f>_xlfn.XLOOKUP(Vendas[[#This Row],[ID Vendedor]],Vendedores[ID],Vendedores[Nome])</f>
        <v>Patrícia</v>
      </c>
      <c r="C1835" s="7" t="str">
        <f>_xlfn.XLOOKUP(Vendas[[#This Row],[ID Vendedor]],Vendedores[ID],Vendedores[Setor])</f>
        <v>CM</v>
      </c>
      <c r="D1835" s="7" t="s">
        <v>43</v>
      </c>
      <c r="E1835" t="str">
        <f>_xlfn.XLOOKUP(Vendas[[#This Row],[ID Item Vendido]],Agregado[ID],Agregado[Produto])</f>
        <v>Madeira Bruta (Tora)</v>
      </c>
      <c r="F1835" s="39">
        <v>44768</v>
      </c>
      <c r="G1835" s="7">
        <v>3</v>
      </c>
      <c r="H1835" s="3">
        <f>_xlfn.XLOOKUP(Vendas[[#This Row],[ID Item Vendido]],Agregado[ID],Agregado[Revenda])</f>
        <v>212</v>
      </c>
      <c r="I1835" s="3">
        <f>Vendas[[#This Row],[Valor Unitário]]*Vendas[[#This Row],[Qnt Vendida]]</f>
        <v>636</v>
      </c>
      <c r="J1835" s="3">
        <f>Vendas[[#This Row],[Valor da Venda]]-(_xlfn.XLOOKUP(Vendas[[#This Row],[ID Item Vendido]],Agregado[ID],Agregado[Custo])*Vendas[[#This Row],[Qnt Vendida]])</f>
        <v>96</v>
      </c>
      <c r="K1835" s="70">
        <f>Vendas[[#This Row],[Lucro da Venda]]/Vendas[[#This Row],[Valor da Venda]]</f>
        <v>0.15094339622641509</v>
      </c>
      <c r="L1835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1835"/>
    </row>
    <row r="1836" spans="1:13" x14ac:dyDescent="0.3">
      <c r="A1836" s="7">
        <v>400251</v>
      </c>
      <c r="B1836" t="str">
        <f>_xlfn.XLOOKUP(Vendas[[#This Row],[ID Vendedor]],Vendedores[ID],Vendedores[Nome])</f>
        <v>Diego</v>
      </c>
      <c r="C1836" s="7" t="str">
        <f>_xlfn.XLOOKUP(Vendas[[#This Row],[ID Vendedor]],Vendedores[ID],Vendedores[Setor])</f>
        <v>AB</v>
      </c>
      <c r="D1836" s="7" t="s">
        <v>24</v>
      </c>
      <c r="E1836" t="str">
        <f>_xlfn.XLOOKUP(Vendas[[#This Row],[ID Item Vendido]],Agregado[ID],Agregado[Produto])</f>
        <v>Resina plástica PET purificada saco de 25kg</v>
      </c>
      <c r="F1836" s="39">
        <v>44768</v>
      </c>
      <c r="G1836" s="7">
        <v>5</v>
      </c>
      <c r="H1836" s="3">
        <f>_xlfn.XLOOKUP(Vendas[[#This Row],[ID Item Vendido]],Agregado[ID],Agregado[Revenda])</f>
        <v>119</v>
      </c>
      <c r="I1836" s="3">
        <f>Vendas[[#This Row],[Valor Unitário]]*Vendas[[#This Row],[Qnt Vendida]]</f>
        <v>595</v>
      </c>
      <c r="J1836" s="3">
        <f>Vendas[[#This Row],[Valor da Venda]]-(_xlfn.XLOOKUP(Vendas[[#This Row],[ID Item Vendido]],Agregado[ID],Agregado[Custo])*Vendas[[#This Row],[Qnt Vendida]])</f>
        <v>170</v>
      </c>
      <c r="K1836" s="70">
        <f>Vendas[[#This Row],[Lucro da Venda]]/Vendas[[#This Row],[Valor da Venda]]</f>
        <v>0.2857142857142857</v>
      </c>
      <c r="L1836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1836"/>
    </row>
    <row r="1837" spans="1:13" x14ac:dyDescent="0.3">
      <c r="A1837" s="7">
        <v>400247</v>
      </c>
      <c r="B1837" t="str">
        <f>_xlfn.XLOOKUP(Vendas[[#This Row],[ID Vendedor]],Vendedores[ID],Vendedores[Nome])</f>
        <v>André</v>
      </c>
      <c r="C1837" s="7" t="str">
        <f>_xlfn.XLOOKUP(Vendas[[#This Row],[ID Vendedor]],Vendedores[ID],Vendedores[Setor])</f>
        <v>CM</v>
      </c>
      <c r="D1837" s="7" t="s">
        <v>32</v>
      </c>
      <c r="E1837" t="str">
        <f>_xlfn.XLOOKUP(Vendas[[#This Row],[ID Item Vendido]],Agregado[ID],Agregado[Produto])</f>
        <v>Tábua tratada e cortada 3m</v>
      </c>
      <c r="F1837" s="39">
        <v>44769</v>
      </c>
      <c r="G1837" s="7">
        <v>40</v>
      </c>
      <c r="H1837" s="3">
        <f>_xlfn.XLOOKUP(Vendas[[#This Row],[ID Item Vendido]],Agregado[ID],Agregado[Revenda])</f>
        <v>39</v>
      </c>
      <c r="I1837" s="3">
        <f>Vendas[[#This Row],[Valor Unitário]]*Vendas[[#This Row],[Qnt Vendida]]</f>
        <v>1560</v>
      </c>
      <c r="J1837" s="3">
        <f>Vendas[[#This Row],[Valor da Venda]]-(_xlfn.XLOOKUP(Vendas[[#This Row],[ID Item Vendido]],Agregado[ID],Agregado[Custo])*Vendas[[#This Row],[Qnt Vendida]])</f>
        <v>280</v>
      </c>
      <c r="K1837" s="70">
        <f>Vendas[[#This Row],[Lucro da Venda]]/Vendas[[#This Row],[Valor da Venda]]</f>
        <v>0.17948717948717949</v>
      </c>
      <c r="L1837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1837"/>
    </row>
    <row r="1838" spans="1:13" x14ac:dyDescent="0.3">
      <c r="A1838" s="7">
        <v>400250</v>
      </c>
      <c r="B1838" t="str">
        <f>_xlfn.XLOOKUP(Vendas[[#This Row],[ID Vendedor]],Vendedores[ID],Vendedores[Nome])</f>
        <v>Larissa</v>
      </c>
      <c r="C1838" s="7" t="str">
        <f>_xlfn.XLOOKUP(Vendas[[#This Row],[ID Vendedor]],Vendedores[ID],Vendedores[Setor])</f>
        <v>AB</v>
      </c>
      <c r="D1838" s="7" t="s">
        <v>39</v>
      </c>
      <c r="E1838" t="str">
        <f>_xlfn.XLOOKUP(Vendas[[#This Row],[ID Item Vendido]],Agregado[ID],Agregado[Produto])</f>
        <v>Filme plástico industrial rolo 50m</v>
      </c>
      <c r="F1838" s="39">
        <v>44769</v>
      </c>
      <c r="G1838" s="7">
        <v>23</v>
      </c>
      <c r="H1838" s="3">
        <f>_xlfn.XLOOKUP(Vendas[[#This Row],[ID Item Vendido]],Agregado[ID],Agregado[Revenda])</f>
        <v>37</v>
      </c>
      <c r="I1838" s="3">
        <f>Vendas[[#This Row],[Valor Unitário]]*Vendas[[#This Row],[Qnt Vendida]]</f>
        <v>851</v>
      </c>
      <c r="J1838" s="3">
        <f>Vendas[[#This Row],[Valor da Venda]]-(_xlfn.XLOOKUP(Vendas[[#This Row],[ID Item Vendido]],Agregado[ID],Agregado[Custo])*Vendas[[#This Row],[Qnt Vendida]])</f>
        <v>207</v>
      </c>
      <c r="K1838" s="70">
        <f>Vendas[[#This Row],[Lucro da Venda]]/Vendas[[#This Row],[Valor da Venda]]</f>
        <v>0.24324324324324326</v>
      </c>
      <c r="L1838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1838"/>
    </row>
    <row r="1839" spans="1:13" x14ac:dyDescent="0.3">
      <c r="A1839" s="7">
        <v>400251</v>
      </c>
      <c r="B1839" t="str">
        <f>_xlfn.XLOOKUP(Vendas[[#This Row],[ID Vendedor]],Vendedores[ID],Vendedores[Nome])</f>
        <v>Diego</v>
      </c>
      <c r="C1839" s="7" t="str">
        <f>_xlfn.XLOOKUP(Vendas[[#This Row],[ID Vendedor]],Vendedores[ID],Vendedores[Setor])</f>
        <v>AB</v>
      </c>
      <c r="D1839" s="7" t="s">
        <v>24</v>
      </c>
      <c r="E1839" t="str">
        <f>_xlfn.XLOOKUP(Vendas[[#This Row],[ID Item Vendido]],Agregado[ID],Agregado[Produto])</f>
        <v>Resina plástica PET purificada saco de 25kg</v>
      </c>
      <c r="F1839" s="39">
        <v>44770</v>
      </c>
      <c r="G1839" s="7">
        <v>25</v>
      </c>
      <c r="H1839" s="3">
        <f>_xlfn.XLOOKUP(Vendas[[#This Row],[ID Item Vendido]],Agregado[ID],Agregado[Revenda])</f>
        <v>119</v>
      </c>
      <c r="I1839" s="3">
        <f>Vendas[[#This Row],[Valor Unitário]]*Vendas[[#This Row],[Qnt Vendida]]</f>
        <v>2975</v>
      </c>
      <c r="J1839" s="3">
        <f>Vendas[[#This Row],[Valor da Venda]]-(_xlfn.XLOOKUP(Vendas[[#This Row],[ID Item Vendido]],Agregado[ID],Agregado[Custo])*Vendas[[#This Row],[Qnt Vendida]])</f>
        <v>850</v>
      </c>
      <c r="K1839" s="70">
        <f>Vendas[[#This Row],[Lucro da Venda]]/Vendas[[#This Row],[Valor da Venda]]</f>
        <v>0.2857142857142857</v>
      </c>
      <c r="L1839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1839"/>
    </row>
    <row r="1840" spans="1:13" x14ac:dyDescent="0.3">
      <c r="A1840" s="7">
        <v>400248</v>
      </c>
      <c r="B1840" t="str">
        <f>_xlfn.XLOOKUP(Vendas[[#This Row],[ID Vendedor]],Vendedores[ID],Vendedores[Nome])</f>
        <v>Patrícia</v>
      </c>
      <c r="C1840" s="7" t="str">
        <f>_xlfn.XLOOKUP(Vendas[[#This Row],[ID Vendedor]],Vendedores[ID],Vendedores[Setor])</f>
        <v>CM</v>
      </c>
      <c r="D1840" s="7" t="s">
        <v>43</v>
      </c>
      <c r="E1840" t="str">
        <f>_xlfn.XLOOKUP(Vendas[[#This Row],[ID Item Vendido]],Agregado[ID],Agregado[Produto])</f>
        <v>Madeira Bruta (Tora)</v>
      </c>
      <c r="F1840" s="39">
        <v>44770</v>
      </c>
      <c r="G1840" s="7">
        <v>14</v>
      </c>
      <c r="H1840" s="3">
        <f>_xlfn.XLOOKUP(Vendas[[#This Row],[ID Item Vendido]],Agregado[ID],Agregado[Revenda])</f>
        <v>212</v>
      </c>
      <c r="I1840" s="3">
        <f>Vendas[[#This Row],[Valor Unitário]]*Vendas[[#This Row],[Qnt Vendida]]</f>
        <v>2968</v>
      </c>
      <c r="J1840" s="3">
        <f>Vendas[[#This Row],[Valor da Venda]]-(_xlfn.XLOOKUP(Vendas[[#This Row],[ID Item Vendido]],Agregado[ID],Agregado[Custo])*Vendas[[#This Row],[Qnt Vendida]])</f>
        <v>448</v>
      </c>
      <c r="K1840" s="70">
        <f>Vendas[[#This Row],[Lucro da Venda]]/Vendas[[#This Row],[Valor da Venda]]</f>
        <v>0.15094339622641509</v>
      </c>
      <c r="L1840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1840"/>
    </row>
    <row r="1841" spans="1:13" x14ac:dyDescent="0.3">
      <c r="A1841" s="7">
        <v>400253</v>
      </c>
      <c r="B1841" t="str">
        <f>_xlfn.XLOOKUP(Vendas[[#This Row],[ID Vendedor]],Vendedores[ID],Vendedores[Nome])</f>
        <v>Gustavo</v>
      </c>
      <c r="C1841" s="7" t="str">
        <f>_xlfn.XLOOKUP(Vendas[[#This Row],[ID Vendedor]],Vendedores[ID],Vendedores[Setor])</f>
        <v>SC</v>
      </c>
      <c r="D1841" s="7" t="s">
        <v>14</v>
      </c>
      <c r="E1841" t="str">
        <f>_xlfn.XLOOKUP(Vendas[[#This Row],[ID Item Vendido]],Agregado[ID],Agregado[Produto])</f>
        <v>Barril de plástico 200L</v>
      </c>
      <c r="F1841" s="39">
        <v>44770</v>
      </c>
      <c r="G1841" s="7">
        <v>6</v>
      </c>
      <c r="H1841" s="3">
        <f>_xlfn.XLOOKUP(Vendas[[#This Row],[ID Item Vendido]],Agregado[ID],Agregado[Revenda])</f>
        <v>114</v>
      </c>
      <c r="I1841" s="3">
        <f>Vendas[[#This Row],[Valor Unitário]]*Vendas[[#This Row],[Qnt Vendida]]</f>
        <v>684</v>
      </c>
      <c r="J1841" s="3">
        <f>Vendas[[#This Row],[Valor da Venda]]-(_xlfn.XLOOKUP(Vendas[[#This Row],[ID Item Vendido]],Agregado[ID],Agregado[Custo])*Vendas[[#This Row],[Qnt Vendida]])</f>
        <v>114</v>
      </c>
      <c r="K1841" s="70">
        <f>Vendas[[#This Row],[Lucro da Venda]]/Vendas[[#This Row],[Valor da Venda]]</f>
        <v>0.16666666666666666</v>
      </c>
      <c r="L1841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1841"/>
    </row>
    <row r="1842" spans="1:13" x14ac:dyDescent="0.3">
      <c r="A1842" s="7">
        <v>400247</v>
      </c>
      <c r="B1842" t="str">
        <f>_xlfn.XLOOKUP(Vendas[[#This Row],[ID Vendedor]],Vendedores[ID],Vendedores[Nome])</f>
        <v>André</v>
      </c>
      <c r="C1842" s="7" t="str">
        <f>_xlfn.XLOOKUP(Vendas[[#This Row],[ID Vendedor]],Vendedores[ID],Vendedores[Setor])</f>
        <v>CM</v>
      </c>
      <c r="D1842" s="7" t="s">
        <v>34</v>
      </c>
      <c r="E1842" t="str">
        <f>_xlfn.XLOOKUP(Vendas[[#This Row],[ID Item Vendido]],Agregado[ID],Agregado[Produto])</f>
        <v>Restos de madeira p/ MDP/OSB saco de 20kg</v>
      </c>
      <c r="F1842" s="39">
        <v>44771</v>
      </c>
      <c r="G1842" s="7">
        <v>9</v>
      </c>
      <c r="H1842" s="3">
        <f>_xlfn.XLOOKUP(Vendas[[#This Row],[ID Item Vendido]],Agregado[ID],Agregado[Revenda])</f>
        <v>13.8</v>
      </c>
      <c r="I1842" s="3">
        <f>Vendas[[#This Row],[Valor Unitário]]*Vendas[[#This Row],[Qnt Vendida]]</f>
        <v>124.2</v>
      </c>
      <c r="J1842" s="3">
        <f>Vendas[[#This Row],[Valor da Venda]]-(_xlfn.XLOOKUP(Vendas[[#This Row],[ID Item Vendido]],Agregado[ID],Agregado[Custo])*Vendas[[#This Row],[Qnt Vendida]])</f>
        <v>16.200000000000003</v>
      </c>
      <c r="K1842" s="70">
        <f>Vendas[[#This Row],[Lucro da Venda]]/Vendas[[#This Row],[Valor da Venda]]</f>
        <v>0.13043478260869568</v>
      </c>
      <c r="L1842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1842"/>
    </row>
    <row r="1843" spans="1:13" x14ac:dyDescent="0.3">
      <c r="A1843" s="7">
        <v>400250</v>
      </c>
      <c r="B1843" t="str">
        <f>_xlfn.XLOOKUP(Vendas[[#This Row],[ID Vendedor]],Vendedores[ID],Vendedores[Nome])</f>
        <v>Larissa</v>
      </c>
      <c r="C1843" s="7" t="str">
        <f>_xlfn.XLOOKUP(Vendas[[#This Row],[ID Vendedor]],Vendedores[ID],Vendedores[Setor])</f>
        <v>AB</v>
      </c>
      <c r="D1843" s="7" t="s">
        <v>37</v>
      </c>
      <c r="E1843" t="str">
        <f>_xlfn.XLOOKUP(Vendas[[#This Row],[ID Item Vendido]],Agregado[ID],Agregado[Produto])</f>
        <v>Composto de borracha para vedação rolo 10m</v>
      </c>
      <c r="F1843" s="39">
        <v>44773</v>
      </c>
      <c r="G1843" s="7">
        <v>6</v>
      </c>
      <c r="H1843" s="3">
        <f>_xlfn.XLOOKUP(Vendas[[#This Row],[ID Item Vendido]],Agregado[ID],Agregado[Revenda])</f>
        <v>51.2</v>
      </c>
      <c r="I1843" s="3">
        <f>Vendas[[#This Row],[Valor Unitário]]*Vendas[[#This Row],[Qnt Vendida]]</f>
        <v>307.20000000000005</v>
      </c>
      <c r="J1843" s="3">
        <f>Vendas[[#This Row],[Valor da Venda]]-(_xlfn.XLOOKUP(Vendas[[#This Row],[ID Item Vendido]],Agregado[ID],Agregado[Custo])*Vendas[[#This Row],[Qnt Vendida]])</f>
        <v>67.200000000000045</v>
      </c>
      <c r="K1843" s="70">
        <f>Vendas[[#This Row],[Lucro da Venda]]/Vendas[[#This Row],[Valor da Venda]]</f>
        <v>0.21875000000000011</v>
      </c>
      <c r="L1843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1843"/>
    </row>
    <row r="1844" spans="1:13" x14ac:dyDescent="0.3">
      <c r="A1844" s="7">
        <v>400253</v>
      </c>
      <c r="B1844" t="str">
        <f>_xlfn.XLOOKUP(Vendas[[#This Row],[ID Vendedor]],Vendedores[ID],Vendedores[Nome])</f>
        <v>Gustavo</v>
      </c>
      <c r="C1844" s="7" t="str">
        <f>_xlfn.XLOOKUP(Vendas[[#This Row],[ID Vendedor]],Vendedores[ID],Vendedores[Setor])</f>
        <v>SC</v>
      </c>
      <c r="D1844" s="7" t="s">
        <v>14</v>
      </c>
      <c r="E1844" t="str">
        <f>_xlfn.XLOOKUP(Vendas[[#This Row],[ID Item Vendido]],Agregado[ID],Agregado[Produto])</f>
        <v>Barril de plástico 200L</v>
      </c>
      <c r="F1844" s="39">
        <v>44774</v>
      </c>
      <c r="G1844" s="7">
        <v>15</v>
      </c>
      <c r="H1844" s="3">
        <f>_xlfn.XLOOKUP(Vendas[[#This Row],[ID Item Vendido]],Agregado[ID],Agregado[Revenda])</f>
        <v>114</v>
      </c>
      <c r="I1844" s="3">
        <f>Vendas[[#This Row],[Valor Unitário]]*Vendas[[#This Row],[Qnt Vendida]]</f>
        <v>1710</v>
      </c>
      <c r="J1844" s="3">
        <f>Vendas[[#This Row],[Valor da Venda]]-(_xlfn.XLOOKUP(Vendas[[#This Row],[ID Item Vendido]],Agregado[ID],Agregado[Custo])*Vendas[[#This Row],[Qnt Vendida]])</f>
        <v>285</v>
      </c>
      <c r="K1844" s="70">
        <f>Vendas[[#This Row],[Lucro da Venda]]/Vendas[[#This Row],[Valor da Venda]]</f>
        <v>0.16666666666666666</v>
      </c>
      <c r="L1844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1844"/>
    </row>
    <row r="1845" spans="1:13" x14ac:dyDescent="0.3">
      <c r="A1845" s="7">
        <v>400248</v>
      </c>
      <c r="B1845" t="str">
        <f>_xlfn.XLOOKUP(Vendas[[#This Row],[ID Vendedor]],Vendedores[ID],Vendedores[Nome])</f>
        <v>Patrícia</v>
      </c>
      <c r="C1845" s="7" t="str">
        <f>_xlfn.XLOOKUP(Vendas[[#This Row],[ID Vendedor]],Vendedores[ID],Vendedores[Setor])</f>
        <v>CM</v>
      </c>
      <c r="D1845" s="7" t="s">
        <v>22</v>
      </c>
      <c r="E1845" t="str">
        <f>_xlfn.XLOOKUP(Vendas[[#This Row],[ID Item Vendido]],Agregado[ID],Agregado[Produto])</f>
        <v>Painel MDP 2,75x1,83m</v>
      </c>
      <c r="F1845" s="39">
        <v>44775</v>
      </c>
      <c r="G1845" s="7">
        <v>22</v>
      </c>
      <c r="H1845" s="3">
        <f>_xlfn.XLOOKUP(Vendas[[#This Row],[ID Item Vendido]],Agregado[ID],Agregado[Revenda])</f>
        <v>119</v>
      </c>
      <c r="I1845" s="3">
        <f>Vendas[[#This Row],[Valor Unitário]]*Vendas[[#This Row],[Qnt Vendida]]</f>
        <v>2618</v>
      </c>
      <c r="J1845" s="3">
        <f>Vendas[[#This Row],[Valor da Venda]]-(_xlfn.XLOOKUP(Vendas[[#This Row],[ID Item Vendido]],Agregado[ID],Agregado[Custo])*Vendas[[#This Row],[Qnt Vendida]])</f>
        <v>528</v>
      </c>
      <c r="K1845" s="70">
        <f>Vendas[[#This Row],[Lucro da Venda]]/Vendas[[#This Row],[Valor da Venda]]</f>
        <v>0.20168067226890757</v>
      </c>
      <c r="L1845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1845"/>
    </row>
    <row r="1846" spans="1:13" x14ac:dyDescent="0.3">
      <c r="A1846" s="7">
        <v>400242</v>
      </c>
      <c r="B1846" t="str">
        <f>_xlfn.XLOOKUP(Vendas[[#This Row],[ID Vendedor]],Vendedores[ID],Vendedores[Nome])</f>
        <v>Fernanda</v>
      </c>
      <c r="C1846" s="7" t="str">
        <f>_xlfn.XLOOKUP(Vendas[[#This Row],[ID Vendedor]],Vendedores[ID],Vendedores[Setor])</f>
        <v>FM</v>
      </c>
      <c r="D1846" s="7" t="s">
        <v>31</v>
      </c>
      <c r="E1846" t="str">
        <f>_xlfn.XLOOKUP(Vendas[[#This Row],[ID Item Vendido]],Agregado[ID],Agregado[Produto])</f>
        <v>Tela de metal soldada rolo 2x25m</v>
      </c>
      <c r="F1846" s="39">
        <v>44775</v>
      </c>
      <c r="G1846" s="7">
        <v>20</v>
      </c>
      <c r="H1846" s="3">
        <f>_xlfn.XLOOKUP(Vendas[[#This Row],[ID Item Vendido]],Agregado[ID],Agregado[Revenda])</f>
        <v>43.7</v>
      </c>
      <c r="I1846" s="3">
        <f>Vendas[[#This Row],[Valor Unitário]]*Vendas[[#This Row],[Qnt Vendida]]</f>
        <v>874</v>
      </c>
      <c r="J1846" s="3">
        <f>Vendas[[#This Row],[Valor da Venda]]-(_xlfn.XLOOKUP(Vendas[[#This Row],[ID Item Vendido]],Agregado[ID],Agregado[Custo])*Vendas[[#This Row],[Qnt Vendida]])</f>
        <v>114</v>
      </c>
      <c r="K1846" s="70">
        <f>Vendas[[#This Row],[Lucro da Venda]]/Vendas[[#This Row],[Valor da Venda]]</f>
        <v>0.13043478260869565</v>
      </c>
      <c r="L1846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1846"/>
    </row>
    <row r="1847" spans="1:13" x14ac:dyDescent="0.3">
      <c r="A1847" s="7">
        <v>400250</v>
      </c>
      <c r="B1847" t="str">
        <f>_xlfn.XLOOKUP(Vendas[[#This Row],[ID Vendedor]],Vendedores[ID],Vendedores[Nome])</f>
        <v>Larissa</v>
      </c>
      <c r="C1847" s="7" t="str">
        <f>_xlfn.XLOOKUP(Vendas[[#This Row],[ID Vendedor]],Vendedores[ID],Vendedores[Setor])</f>
        <v>AB</v>
      </c>
      <c r="D1847" s="7" t="s">
        <v>12</v>
      </c>
      <c r="E1847" t="str">
        <f>_xlfn.XLOOKUP(Vendas[[#This Row],[ID Item Vendido]],Agregado[ID],Agregado[Produto])</f>
        <v>Grânulo de plástico reciclado refinado</v>
      </c>
      <c r="F1847" s="39">
        <v>44775</v>
      </c>
      <c r="G1847" s="7">
        <v>69</v>
      </c>
      <c r="H1847" s="3">
        <f>_xlfn.XLOOKUP(Vendas[[#This Row],[ID Item Vendido]],Agregado[ID],Agregado[Revenda])</f>
        <v>4.7</v>
      </c>
      <c r="I1847" s="3">
        <f>Vendas[[#This Row],[Valor Unitário]]*Vendas[[#This Row],[Qnt Vendida]]</f>
        <v>324.3</v>
      </c>
      <c r="J1847" s="3">
        <f>Vendas[[#This Row],[Valor da Venda]]-(_xlfn.XLOOKUP(Vendas[[#This Row],[ID Item Vendido]],Agregado[ID],Agregado[Custo])*Vendas[[#This Row],[Qnt Vendida]])</f>
        <v>82.800000000000011</v>
      </c>
      <c r="K1847" s="70">
        <f>Vendas[[#This Row],[Lucro da Venda]]/Vendas[[#This Row],[Valor da Venda]]</f>
        <v>0.25531914893617025</v>
      </c>
      <c r="L1847" s="3">
        <f>_xlfn.IFS(Vendas[[#This Row],[Margem de Lucro (%)]]&lt;15%,Vendas[[#This Row],[Valor da Venda]]*3%,Vendas[[#This Row],[Margem de Lucro (%)]]&lt;=20%,Vendas[[#This Row],[Valor da Venda]]*4.5%,TRUE,Vendas[[#This Row],[Valor da Venda]]*6%)</f>
        <v>19.457999999999998</v>
      </c>
      <c r="M1847"/>
    </row>
    <row r="1848" spans="1:13" x14ac:dyDescent="0.3">
      <c r="A1848" s="7">
        <v>400243</v>
      </c>
      <c r="B1848" t="str">
        <f>_xlfn.XLOOKUP(Vendas[[#This Row],[ID Vendedor]],Vendedores[ID],Vendedores[Nome])</f>
        <v>Marcelo</v>
      </c>
      <c r="C1848" s="7" t="str">
        <f>_xlfn.XLOOKUP(Vendas[[#This Row],[ID Vendedor]],Vendedores[ID],Vendedores[Setor])</f>
        <v>FM</v>
      </c>
      <c r="D1848" s="7" t="s">
        <v>47</v>
      </c>
      <c r="E1848" t="str">
        <f>_xlfn.XLOOKUP(Vendas[[#This Row],[ID Item Vendido]],Agregado[ID],Agregado[Produto])</f>
        <v>Fio de arame galvanizado rolo 50m</v>
      </c>
      <c r="F1848" s="39">
        <v>44776</v>
      </c>
      <c r="G1848" s="7">
        <v>40</v>
      </c>
      <c r="H1848" s="3">
        <f>_xlfn.XLOOKUP(Vendas[[#This Row],[ID Item Vendido]],Agregado[ID],Agregado[Revenda])</f>
        <v>21.2</v>
      </c>
      <c r="I1848" s="3">
        <f>Vendas[[#This Row],[Valor Unitário]]*Vendas[[#This Row],[Qnt Vendida]]</f>
        <v>848</v>
      </c>
      <c r="J1848" s="3">
        <f>Vendas[[#This Row],[Valor da Venda]]-(_xlfn.XLOOKUP(Vendas[[#This Row],[ID Item Vendido]],Agregado[ID],Agregado[Custo])*Vendas[[#This Row],[Qnt Vendida]])</f>
        <v>128</v>
      </c>
      <c r="K1848" s="70">
        <f>Vendas[[#This Row],[Lucro da Venda]]/Vendas[[#This Row],[Valor da Venda]]</f>
        <v>0.15094339622641509</v>
      </c>
      <c r="L184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848"/>
    </row>
    <row r="1849" spans="1:13" x14ac:dyDescent="0.3">
      <c r="A1849" s="7">
        <v>400249</v>
      </c>
      <c r="B1849" t="str">
        <f>_xlfn.XLOOKUP(Vendas[[#This Row],[ID Vendedor]],Vendedores[ID],Vendedores[Nome])</f>
        <v>Bruno</v>
      </c>
      <c r="C1849" s="7" t="str">
        <f>_xlfn.XLOOKUP(Vendas[[#This Row],[ID Vendedor]],Vendedores[ID],Vendedores[Setor])</f>
        <v>CM</v>
      </c>
      <c r="D1849" s="7" t="s">
        <v>32</v>
      </c>
      <c r="E1849" t="str">
        <f>_xlfn.XLOOKUP(Vendas[[#This Row],[ID Item Vendido]],Agregado[ID],Agregado[Produto])</f>
        <v>Tábua tratada e cortada 3m</v>
      </c>
      <c r="F1849" s="39">
        <v>44777</v>
      </c>
      <c r="G1849" s="7">
        <v>50</v>
      </c>
      <c r="H1849" s="3">
        <f>_xlfn.XLOOKUP(Vendas[[#This Row],[ID Item Vendido]],Agregado[ID],Agregado[Revenda])</f>
        <v>39</v>
      </c>
      <c r="I1849" s="3">
        <f>Vendas[[#This Row],[Valor Unitário]]*Vendas[[#This Row],[Qnt Vendida]]</f>
        <v>1950</v>
      </c>
      <c r="J1849" s="3">
        <f>Vendas[[#This Row],[Valor da Venda]]-(_xlfn.XLOOKUP(Vendas[[#This Row],[ID Item Vendido]],Agregado[ID],Agregado[Custo])*Vendas[[#This Row],[Qnt Vendida]])</f>
        <v>350</v>
      </c>
      <c r="K1849" s="70">
        <f>Vendas[[#This Row],[Lucro da Venda]]/Vendas[[#This Row],[Valor da Venda]]</f>
        <v>0.17948717948717949</v>
      </c>
      <c r="L1849" s="3">
        <f>_xlfn.IFS(Vendas[[#This Row],[Margem de Lucro (%)]]&lt;15%,Vendas[[#This Row],[Valor da Venda]]*3%,Vendas[[#This Row],[Margem de Lucro (%)]]&lt;=20%,Vendas[[#This Row],[Valor da Venda]]*4.5%,TRUE,Vendas[[#This Row],[Valor da Venda]]*6%)</f>
        <v>87.75</v>
      </c>
      <c r="M1849"/>
    </row>
    <row r="1850" spans="1:13" x14ac:dyDescent="0.3">
      <c r="A1850" s="7">
        <v>400247</v>
      </c>
      <c r="B1850" t="str">
        <f>_xlfn.XLOOKUP(Vendas[[#This Row],[ID Vendedor]],Vendedores[ID],Vendedores[Nome])</f>
        <v>André</v>
      </c>
      <c r="C1850" s="7" t="str">
        <f>_xlfn.XLOOKUP(Vendas[[#This Row],[ID Vendedor]],Vendedores[ID],Vendedores[Setor])</f>
        <v>CM</v>
      </c>
      <c r="D1850" s="7" t="s">
        <v>32</v>
      </c>
      <c r="E1850" t="str">
        <f>_xlfn.XLOOKUP(Vendas[[#This Row],[ID Item Vendido]],Agregado[ID],Agregado[Produto])</f>
        <v>Tábua tratada e cortada 3m</v>
      </c>
      <c r="F1850" s="39">
        <v>44777</v>
      </c>
      <c r="G1850" s="7">
        <v>31</v>
      </c>
      <c r="H1850" s="3">
        <f>_xlfn.XLOOKUP(Vendas[[#This Row],[ID Item Vendido]],Agregado[ID],Agregado[Revenda])</f>
        <v>39</v>
      </c>
      <c r="I1850" s="3">
        <f>Vendas[[#This Row],[Valor Unitário]]*Vendas[[#This Row],[Qnt Vendida]]</f>
        <v>1209</v>
      </c>
      <c r="J1850" s="3">
        <f>Vendas[[#This Row],[Valor da Venda]]-(_xlfn.XLOOKUP(Vendas[[#This Row],[ID Item Vendido]],Agregado[ID],Agregado[Custo])*Vendas[[#This Row],[Qnt Vendida]])</f>
        <v>217</v>
      </c>
      <c r="K1850" s="70">
        <f>Vendas[[#This Row],[Lucro da Venda]]/Vendas[[#This Row],[Valor da Venda]]</f>
        <v>0.17948717948717949</v>
      </c>
      <c r="L1850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1850"/>
    </row>
    <row r="1851" spans="1:13" x14ac:dyDescent="0.3">
      <c r="A1851" s="7">
        <v>400242</v>
      </c>
      <c r="B1851" t="str">
        <f>_xlfn.XLOOKUP(Vendas[[#This Row],[ID Vendedor]],Vendedores[ID],Vendedores[Nome])</f>
        <v>Fernanda</v>
      </c>
      <c r="C1851" s="7" t="str">
        <f>_xlfn.XLOOKUP(Vendas[[#This Row],[ID Vendedor]],Vendedores[ID],Vendedores[Setor])</f>
        <v>FM</v>
      </c>
      <c r="D1851" s="7" t="s">
        <v>31</v>
      </c>
      <c r="E1851" t="str">
        <f>_xlfn.XLOOKUP(Vendas[[#This Row],[ID Item Vendido]],Agregado[ID],Agregado[Produto])</f>
        <v>Tela de metal soldada rolo 2x25m</v>
      </c>
      <c r="F1851" s="39">
        <v>44777</v>
      </c>
      <c r="G1851" s="7">
        <v>20</v>
      </c>
      <c r="H1851" s="3">
        <f>_xlfn.XLOOKUP(Vendas[[#This Row],[ID Item Vendido]],Agregado[ID],Agregado[Revenda])</f>
        <v>43.7</v>
      </c>
      <c r="I1851" s="3">
        <f>Vendas[[#This Row],[Valor Unitário]]*Vendas[[#This Row],[Qnt Vendida]]</f>
        <v>874</v>
      </c>
      <c r="J1851" s="3">
        <f>Vendas[[#This Row],[Valor da Venda]]-(_xlfn.XLOOKUP(Vendas[[#This Row],[ID Item Vendido]],Agregado[ID],Agregado[Custo])*Vendas[[#This Row],[Qnt Vendida]])</f>
        <v>114</v>
      </c>
      <c r="K1851" s="70">
        <f>Vendas[[#This Row],[Lucro da Venda]]/Vendas[[#This Row],[Valor da Venda]]</f>
        <v>0.13043478260869565</v>
      </c>
      <c r="L1851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1851"/>
    </row>
    <row r="1852" spans="1:13" x14ac:dyDescent="0.3">
      <c r="A1852" s="7">
        <v>400255</v>
      </c>
      <c r="B1852" t="str">
        <f>_xlfn.XLOOKUP(Vendas[[#This Row],[ID Vendedor]],Vendedores[ID],Vendedores[Nome])</f>
        <v>Carlos</v>
      </c>
      <c r="C1852" s="7" t="str">
        <f>_xlfn.XLOOKUP(Vendas[[#This Row],[ID Vendedor]],Vendedores[ID],Vendedores[Setor])</f>
        <v>SC</v>
      </c>
      <c r="D1852" s="7" t="s">
        <v>48</v>
      </c>
      <c r="E1852" t="str">
        <f>_xlfn.XLOOKUP(Vendas[[#This Row],[ID Item Vendido]],Agregado[ID],Agregado[Produto])</f>
        <v>Tambor metálico 200L</v>
      </c>
      <c r="F1852" s="39">
        <v>44778</v>
      </c>
      <c r="G1852" s="7">
        <v>7</v>
      </c>
      <c r="H1852" s="3">
        <f>_xlfn.XLOOKUP(Vendas[[#This Row],[ID Item Vendido]],Agregado[ID],Agregado[Revenda])</f>
        <v>144</v>
      </c>
      <c r="I1852" s="3">
        <f>Vendas[[#This Row],[Valor Unitário]]*Vendas[[#This Row],[Qnt Vendida]]</f>
        <v>1008</v>
      </c>
      <c r="J1852" s="3">
        <f>Vendas[[#This Row],[Valor da Venda]]-(_xlfn.XLOOKUP(Vendas[[#This Row],[ID Item Vendido]],Agregado[ID],Agregado[Custo])*Vendas[[#This Row],[Qnt Vendida]])</f>
        <v>168</v>
      </c>
      <c r="K1852" s="70">
        <f>Vendas[[#This Row],[Lucro da Venda]]/Vendas[[#This Row],[Valor da Venda]]</f>
        <v>0.16666666666666666</v>
      </c>
      <c r="L1852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1852"/>
    </row>
    <row r="1853" spans="1:13" x14ac:dyDescent="0.3">
      <c r="A1853" s="7">
        <v>400247</v>
      </c>
      <c r="B1853" t="str">
        <f>_xlfn.XLOOKUP(Vendas[[#This Row],[ID Vendedor]],Vendedores[ID],Vendedores[Nome])</f>
        <v>André</v>
      </c>
      <c r="C1853" s="7" t="str">
        <f>_xlfn.XLOOKUP(Vendas[[#This Row],[ID Vendedor]],Vendedores[ID],Vendedores[Setor])</f>
        <v>CM</v>
      </c>
      <c r="D1853" s="7" t="s">
        <v>22</v>
      </c>
      <c r="E1853" t="str">
        <f>_xlfn.XLOOKUP(Vendas[[#This Row],[ID Item Vendido]],Agregado[ID],Agregado[Produto])</f>
        <v>Painel MDP 2,75x1,83m</v>
      </c>
      <c r="F1853" s="39">
        <v>44778</v>
      </c>
      <c r="G1853" s="7">
        <v>8</v>
      </c>
      <c r="H1853" s="3">
        <f>_xlfn.XLOOKUP(Vendas[[#This Row],[ID Item Vendido]],Agregado[ID],Agregado[Revenda])</f>
        <v>119</v>
      </c>
      <c r="I1853" s="3">
        <f>Vendas[[#This Row],[Valor Unitário]]*Vendas[[#This Row],[Qnt Vendida]]</f>
        <v>952</v>
      </c>
      <c r="J1853" s="3">
        <f>Vendas[[#This Row],[Valor da Venda]]-(_xlfn.XLOOKUP(Vendas[[#This Row],[ID Item Vendido]],Agregado[ID],Agregado[Custo])*Vendas[[#This Row],[Qnt Vendida]])</f>
        <v>192</v>
      </c>
      <c r="K1853" s="70">
        <f>Vendas[[#This Row],[Lucro da Venda]]/Vendas[[#This Row],[Valor da Venda]]</f>
        <v>0.20168067226890757</v>
      </c>
      <c r="L1853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1853"/>
    </row>
    <row r="1854" spans="1:13" x14ac:dyDescent="0.3">
      <c r="A1854" s="7">
        <v>400255</v>
      </c>
      <c r="B1854" t="str">
        <f>_xlfn.XLOOKUP(Vendas[[#This Row],[ID Vendedor]],Vendedores[ID],Vendedores[Nome])</f>
        <v>Carlos</v>
      </c>
      <c r="C1854" s="7" t="str">
        <f>_xlfn.XLOOKUP(Vendas[[#This Row],[ID Vendedor]],Vendedores[ID],Vendedores[Setor])</f>
        <v>SC</v>
      </c>
      <c r="D1854" s="7" t="s">
        <v>14</v>
      </c>
      <c r="E1854" t="str">
        <f>_xlfn.XLOOKUP(Vendas[[#This Row],[ID Item Vendido]],Agregado[ID],Agregado[Produto])</f>
        <v>Barril de plástico 200L</v>
      </c>
      <c r="F1854" s="39">
        <v>44778</v>
      </c>
      <c r="G1854" s="7">
        <v>8</v>
      </c>
      <c r="H1854" s="3">
        <f>_xlfn.XLOOKUP(Vendas[[#This Row],[ID Item Vendido]],Agregado[ID],Agregado[Revenda])</f>
        <v>114</v>
      </c>
      <c r="I1854" s="3">
        <f>Vendas[[#This Row],[Valor Unitário]]*Vendas[[#This Row],[Qnt Vendida]]</f>
        <v>912</v>
      </c>
      <c r="J1854" s="3">
        <f>Vendas[[#This Row],[Valor da Venda]]-(_xlfn.XLOOKUP(Vendas[[#This Row],[ID Item Vendido]],Agregado[ID],Agregado[Custo])*Vendas[[#This Row],[Qnt Vendida]])</f>
        <v>152</v>
      </c>
      <c r="K1854" s="70">
        <f>Vendas[[#This Row],[Lucro da Venda]]/Vendas[[#This Row],[Valor da Venda]]</f>
        <v>0.16666666666666666</v>
      </c>
      <c r="L1854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1854"/>
    </row>
    <row r="1855" spans="1:13" x14ac:dyDescent="0.3">
      <c r="A1855" s="7">
        <v>400251</v>
      </c>
      <c r="B1855" t="str">
        <f>_xlfn.XLOOKUP(Vendas[[#This Row],[ID Vendedor]],Vendedores[ID],Vendedores[Nome])</f>
        <v>Diego</v>
      </c>
      <c r="C1855" s="7" t="str">
        <f>_xlfn.XLOOKUP(Vendas[[#This Row],[ID Vendedor]],Vendedores[ID],Vendedores[Setor])</f>
        <v>AB</v>
      </c>
      <c r="D1855" s="7" t="s">
        <v>39</v>
      </c>
      <c r="E1855" t="str">
        <f>_xlfn.XLOOKUP(Vendas[[#This Row],[ID Item Vendido]],Agregado[ID],Agregado[Produto])</f>
        <v>Filme plástico industrial rolo 50m</v>
      </c>
      <c r="F1855" s="39">
        <v>44778</v>
      </c>
      <c r="G1855" s="7">
        <v>18</v>
      </c>
      <c r="H1855" s="3">
        <f>_xlfn.XLOOKUP(Vendas[[#This Row],[ID Item Vendido]],Agregado[ID],Agregado[Revenda])</f>
        <v>37</v>
      </c>
      <c r="I1855" s="3">
        <f>Vendas[[#This Row],[Valor Unitário]]*Vendas[[#This Row],[Qnt Vendida]]</f>
        <v>666</v>
      </c>
      <c r="J1855" s="3">
        <f>Vendas[[#This Row],[Valor da Venda]]-(_xlfn.XLOOKUP(Vendas[[#This Row],[ID Item Vendido]],Agregado[ID],Agregado[Custo])*Vendas[[#This Row],[Qnt Vendida]])</f>
        <v>162</v>
      </c>
      <c r="K1855" s="70">
        <f>Vendas[[#This Row],[Lucro da Venda]]/Vendas[[#This Row],[Valor da Venda]]</f>
        <v>0.24324324324324326</v>
      </c>
      <c r="L1855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1855"/>
    </row>
    <row r="1856" spans="1:13" x14ac:dyDescent="0.3">
      <c r="A1856" s="7">
        <v>400242</v>
      </c>
      <c r="B1856" t="str">
        <f>_xlfn.XLOOKUP(Vendas[[#This Row],[ID Vendedor]],Vendedores[ID],Vendedores[Nome])</f>
        <v>Fernanda</v>
      </c>
      <c r="C1856" s="7" t="str">
        <f>_xlfn.XLOOKUP(Vendas[[#This Row],[ID Vendedor]],Vendedores[ID],Vendedores[Setor])</f>
        <v>FM</v>
      </c>
      <c r="D1856" s="7" t="s">
        <v>6</v>
      </c>
      <c r="E1856" t="str">
        <f>_xlfn.XLOOKUP(Vendas[[#This Row],[ID Item Vendido]],Agregado[ID],Agregado[Produto])</f>
        <v>Parafuso comum 500un</v>
      </c>
      <c r="F1856" s="39">
        <v>44778</v>
      </c>
      <c r="G1856" s="7">
        <v>15</v>
      </c>
      <c r="H1856" s="3">
        <f>_xlfn.XLOOKUP(Vendas[[#This Row],[ID Item Vendido]],Agregado[ID],Agregado[Revenda])</f>
        <v>24.6</v>
      </c>
      <c r="I1856" s="3">
        <f>Vendas[[#This Row],[Valor Unitário]]*Vendas[[#This Row],[Qnt Vendida]]</f>
        <v>369</v>
      </c>
      <c r="J1856" s="3">
        <f>Vendas[[#This Row],[Valor da Venda]]-(_xlfn.XLOOKUP(Vendas[[#This Row],[ID Item Vendido]],Agregado[ID],Agregado[Custo])*Vendas[[#This Row],[Qnt Vendida]])</f>
        <v>39</v>
      </c>
      <c r="K1856" s="70">
        <f>Vendas[[#This Row],[Lucro da Venda]]/Vendas[[#This Row],[Valor da Venda]]</f>
        <v>0.10569105691056911</v>
      </c>
      <c r="L1856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1856"/>
    </row>
    <row r="1857" spans="1:13" x14ac:dyDescent="0.3">
      <c r="A1857" s="7">
        <v>400248</v>
      </c>
      <c r="B1857" t="str">
        <f>_xlfn.XLOOKUP(Vendas[[#This Row],[ID Vendedor]],Vendedores[ID],Vendedores[Nome])</f>
        <v>Patrícia</v>
      </c>
      <c r="C1857" s="7" t="str">
        <f>_xlfn.XLOOKUP(Vendas[[#This Row],[ID Vendedor]],Vendedores[ID],Vendedores[Setor])</f>
        <v>CM</v>
      </c>
      <c r="D1857" s="7" t="s">
        <v>22</v>
      </c>
      <c r="E1857" t="str">
        <f>_xlfn.XLOOKUP(Vendas[[#This Row],[ID Item Vendido]],Agregado[ID],Agregado[Produto])</f>
        <v>Painel MDP 2,75x1,83m</v>
      </c>
      <c r="F1857" s="39">
        <v>44779</v>
      </c>
      <c r="G1857" s="7">
        <v>14</v>
      </c>
      <c r="H1857" s="3">
        <f>_xlfn.XLOOKUP(Vendas[[#This Row],[ID Item Vendido]],Agregado[ID],Agregado[Revenda])</f>
        <v>119</v>
      </c>
      <c r="I1857" s="3">
        <f>Vendas[[#This Row],[Valor Unitário]]*Vendas[[#This Row],[Qnt Vendida]]</f>
        <v>1666</v>
      </c>
      <c r="J1857" s="3">
        <f>Vendas[[#This Row],[Valor da Venda]]-(_xlfn.XLOOKUP(Vendas[[#This Row],[ID Item Vendido]],Agregado[ID],Agregado[Custo])*Vendas[[#This Row],[Qnt Vendida]])</f>
        <v>336</v>
      </c>
      <c r="K1857" s="70">
        <f>Vendas[[#This Row],[Lucro da Venda]]/Vendas[[#This Row],[Valor da Venda]]</f>
        <v>0.20168067226890757</v>
      </c>
      <c r="L1857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857"/>
    </row>
    <row r="1858" spans="1:13" x14ac:dyDescent="0.3">
      <c r="A1858" s="7">
        <v>400244</v>
      </c>
      <c r="B1858" t="str">
        <f>_xlfn.XLOOKUP(Vendas[[#This Row],[ID Vendedor]],Vendedores[ID],Vendedores[Nome])</f>
        <v>Camila</v>
      </c>
      <c r="C1858" s="7" t="str">
        <f>_xlfn.XLOOKUP(Vendas[[#This Row],[ID Vendedor]],Vendedores[ID],Vendedores[Setor])</f>
        <v>AHD</v>
      </c>
      <c r="D1858" s="7" t="s">
        <v>30</v>
      </c>
      <c r="E1858" t="str">
        <f>_xlfn.XLOOKUP(Vendas[[#This Row],[ID Item Vendido]],Agregado[ID],Agregado[Produto])</f>
        <v>Estrutura metálica soldada</v>
      </c>
      <c r="F1858" s="39">
        <v>44779</v>
      </c>
      <c r="G1858" s="7">
        <v>2</v>
      </c>
      <c r="H1858" s="3">
        <f>_xlfn.XLOOKUP(Vendas[[#This Row],[ID Item Vendido]],Agregado[ID],Agregado[Revenda])</f>
        <v>400</v>
      </c>
      <c r="I1858" s="3">
        <f>Vendas[[#This Row],[Valor Unitário]]*Vendas[[#This Row],[Qnt Vendida]]</f>
        <v>800</v>
      </c>
      <c r="J1858" s="3">
        <f>Vendas[[#This Row],[Valor da Venda]]-(_xlfn.XLOOKUP(Vendas[[#This Row],[ID Item Vendido]],Agregado[ID],Agregado[Custo])*Vendas[[#This Row],[Qnt Vendida]])</f>
        <v>160</v>
      </c>
      <c r="K1858" s="70">
        <f>Vendas[[#This Row],[Lucro da Venda]]/Vendas[[#This Row],[Valor da Venda]]</f>
        <v>0.2</v>
      </c>
      <c r="L1858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858"/>
    </row>
    <row r="1859" spans="1:13" x14ac:dyDescent="0.3">
      <c r="A1859" s="7">
        <v>400248</v>
      </c>
      <c r="B1859" t="str">
        <f>_xlfn.XLOOKUP(Vendas[[#This Row],[ID Vendedor]],Vendedores[ID],Vendedores[Nome])</f>
        <v>Patrícia</v>
      </c>
      <c r="C1859" s="7" t="str">
        <f>_xlfn.XLOOKUP(Vendas[[#This Row],[ID Vendedor]],Vendedores[ID],Vendedores[Setor])</f>
        <v>CM</v>
      </c>
      <c r="D1859" s="7" t="s">
        <v>22</v>
      </c>
      <c r="E1859" t="str">
        <f>_xlfn.XLOOKUP(Vendas[[#This Row],[ID Item Vendido]],Agregado[ID],Agregado[Produto])</f>
        <v>Painel MDP 2,75x1,83m</v>
      </c>
      <c r="F1859" s="39">
        <v>44780</v>
      </c>
      <c r="G1859" s="7">
        <v>3</v>
      </c>
      <c r="H1859" s="3">
        <f>_xlfn.XLOOKUP(Vendas[[#This Row],[ID Item Vendido]],Agregado[ID],Agregado[Revenda])</f>
        <v>119</v>
      </c>
      <c r="I1859" s="3">
        <f>Vendas[[#This Row],[Valor Unitário]]*Vendas[[#This Row],[Qnt Vendida]]</f>
        <v>357</v>
      </c>
      <c r="J1859" s="3">
        <f>Vendas[[#This Row],[Valor da Venda]]-(_xlfn.XLOOKUP(Vendas[[#This Row],[ID Item Vendido]],Agregado[ID],Agregado[Custo])*Vendas[[#This Row],[Qnt Vendida]])</f>
        <v>72</v>
      </c>
      <c r="K1859" s="70">
        <f>Vendas[[#This Row],[Lucro da Venda]]/Vendas[[#This Row],[Valor da Venda]]</f>
        <v>0.20168067226890757</v>
      </c>
      <c r="L1859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1859"/>
    </row>
    <row r="1860" spans="1:13" x14ac:dyDescent="0.3">
      <c r="A1860" s="7">
        <v>400243</v>
      </c>
      <c r="B1860" t="str">
        <f>_xlfn.XLOOKUP(Vendas[[#This Row],[ID Vendedor]],Vendedores[ID],Vendedores[Nome])</f>
        <v>Marcelo</v>
      </c>
      <c r="C1860" s="7" t="str">
        <f>_xlfn.XLOOKUP(Vendas[[#This Row],[ID Vendedor]],Vendedores[ID],Vendedores[Setor])</f>
        <v>FM</v>
      </c>
      <c r="D1860" s="7" t="s">
        <v>20</v>
      </c>
      <c r="E1860" t="str">
        <f>_xlfn.XLOOKUP(Vendas[[#This Row],[ID Item Vendido]],Agregado[ID],Agregado[Produto])</f>
        <v>Barra de aço simples</v>
      </c>
      <c r="F1860" s="39">
        <v>44780</v>
      </c>
      <c r="G1860" s="7">
        <v>55</v>
      </c>
      <c r="H1860" s="3">
        <f>_xlfn.XLOOKUP(Vendas[[#This Row],[ID Item Vendido]],Agregado[ID],Agregado[Revenda])</f>
        <v>4.8</v>
      </c>
      <c r="I1860" s="3">
        <f>Vendas[[#This Row],[Valor Unitário]]*Vendas[[#This Row],[Qnt Vendida]]</f>
        <v>264</v>
      </c>
      <c r="J1860" s="3">
        <f>Vendas[[#This Row],[Valor da Venda]]-(_xlfn.XLOOKUP(Vendas[[#This Row],[ID Item Vendido]],Agregado[ID],Agregado[Custo])*Vendas[[#This Row],[Qnt Vendida]])</f>
        <v>33</v>
      </c>
      <c r="K1860" s="70">
        <f>Vendas[[#This Row],[Lucro da Venda]]/Vendas[[#This Row],[Valor da Venda]]</f>
        <v>0.125</v>
      </c>
      <c r="L1860" s="3">
        <f>_xlfn.IFS(Vendas[[#This Row],[Margem de Lucro (%)]]&lt;15%,Vendas[[#This Row],[Valor da Venda]]*3%,Vendas[[#This Row],[Margem de Lucro (%)]]&lt;=20%,Vendas[[#This Row],[Valor da Venda]]*4.5%,TRUE,Vendas[[#This Row],[Valor da Venda]]*6%)</f>
        <v>7.92</v>
      </c>
      <c r="M1860"/>
    </row>
    <row r="1861" spans="1:13" x14ac:dyDescent="0.3">
      <c r="A1861" s="7">
        <v>400253</v>
      </c>
      <c r="B1861" t="str">
        <f>_xlfn.XLOOKUP(Vendas[[#This Row],[ID Vendedor]],Vendedores[ID],Vendedores[Nome])</f>
        <v>Gustavo</v>
      </c>
      <c r="C1861" s="7" t="str">
        <f>_xlfn.XLOOKUP(Vendas[[#This Row],[ID Vendedor]],Vendedores[ID],Vendedores[Setor])</f>
        <v>SC</v>
      </c>
      <c r="D1861" s="7" t="s">
        <v>48</v>
      </c>
      <c r="E1861" t="str">
        <f>_xlfn.XLOOKUP(Vendas[[#This Row],[ID Item Vendido]],Agregado[ID],Agregado[Produto])</f>
        <v>Tambor metálico 200L</v>
      </c>
      <c r="F1861" s="39">
        <v>44781</v>
      </c>
      <c r="G1861" s="7">
        <v>8</v>
      </c>
      <c r="H1861" s="3">
        <f>_xlfn.XLOOKUP(Vendas[[#This Row],[ID Item Vendido]],Agregado[ID],Agregado[Revenda])</f>
        <v>144</v>
      </c>
      <c r="I1861" s="3">
        <f>Vendas[[#This Row],[Valor Unitário]]*Vendas[[#This Row],[Qnt Vendida]]</f>
        <v>1152</v>
      </c>
      <c r="J1861" s="3">
        <f>Vendas[[#This Row],[Valor da Venda]]-(_xlfn.XLOOKUP(Vendas[[#This Row],[ID Item Vendido]],Agregado[ID],Agregado[Custo])*Vendas[[#This Row],[Qnt Vendida]])</f>
        <v>192</v>
      </c>
      <c r="K1861" s="70">
        <f>Vendas[[#This Row],[Lucro da Venda]]/Vendas[[#This Row],[Valor da Venda]]</f>
        <v>0.16666666666666666</v>
      </c>
      <c r="L1861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1861"/>
    </row>
    <row r="1862" spans="1:13" x14ac:dyDescent="0.3">
      <c r="A1862" s="7">
        <v>400242</v>
      </c>
      <c r="B1862" t="str">
        <f>_xlfn.XLOOKUP(Vendas[[#This Row],[ID Vendedor]],Vendedores[ID],Vendedores[Nome])</f>
        <v>Fernanda</v>
      </c>
      <c r="C1862" s="7" t="str">
        <f>_xlfn.XLOOKUP(Vendas[[#This Row],[ID Vendedor]],Vendedores[ID],Vendedores[Setor])</f>
        <v>FM</v>
      </c>
      <c r="D1862" s="7" t="s">
        <v>6</v>
      </c>
      <c r="E1862" t="str">
        <f>_xlfn.XLOOKUP(Vendas[[#This Row],[ID Item Vendido]],Agregado[ID],Agregado[Produto])</f>
        <v>Parafuso comum 500un</v>
      </c>
      <c r="F1862" s="39">
        <v>44781</v>
      </c>
      <c r="G1862" s="7">
        <v>20</v>
      </c>
      <c r="H1862" s="3">
        <f>_xlfn.XLOOKUP(Vendas[[#This Row],[ID Item Vendido]],Agregado[ID],Agregado[Revenda])</f>
        <v>24.6</v>
      </c>
      <c r="I1862" s="3">
        <f>Vendas[[#This Row],[Valor Unitário]]*Vendas[[#This Row],[Qnt Vendida]]</f>
        <v>492</v>
      </c>
      <c r="J1862" s="3">
        <f>Vendas[[#This Row],[Valor da Venda]]-(_xlfn.XLOOKUP(Vendas[[#This Row],[ID Item Vendido]],Agregado[ID],Agregado[Custo])*Vendas[[#This Row],[Qnt Vendida]])</f>
        <v>52</v>
      </c>
      <c r="K1862" s="70">
        <f>Vendas[[#This Row],[Lucro da Venda]]/Vendas[[#This Row],[Valor da Venda]]</f>
        <v>0.10569105691056911</v>
      </c>
      <c r="L1862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1862"/>
    </row>
    <row r="1863" spans="1:13" x14ac:dyDescent="0.3">
      <c r="A1863" s="7">
        <v>400244</v>
      </c>
      <c r="B1863" t="str">
        <f>_xlfn.XLOOKUP(Vendas[[#This Row],[ID Vendedor]],Vendedores[ID],Vendedores[Nome])</f>
        <v>Camila</v>
      </c>
      <c r="C1863" s="7" t="str">
        <f>_xlfn.XLOOKUP(Vendas[[#This Row],[ID Vendedor]],Vendedores[ID],Vendedores[Setor])</f>
        <v>AHD</v>
      </c>
      <c r="D1863" s="7" t="s">
        <v>28</v>
      </c>
      <c r="E1863" t="str">
        <f>_xlfn.XLOOKUP(Vendas[[#This Row],[ID Item Vendido]],Agregado[ID],Agregado[Produto])</f>
        <v>Peça usinada CNC</v>
      </c>
      <c r="F1863" s="39">
        <v>44783</v>
      </c>
      <c r="G1863" s="7">
        <v>11</v>
      </c>
      <c r="H1863" s="3">
        <f>_xlfn.XLOOKUP(Vendas[[#This Row],[ID Item Vendido]],Agregado[ID],Agregado[Revenda])</f>
        <v>192</v>
      </c>
      <c r="I1863" s="3">
        <f>Vendas[[#This Row],[Valor Unitário]]*Vendas[[#This Row],[Qnt Vendida]]</f>
        <v>2112</v>
      </c>
      <c r="J1863" s="3">
        <f>Vendas[[#This Row],[Valor da Venda]]-(_xlfn.XLOOKUP(Vendas[[#This Row],[ID Item Vendido]],Agregado[ID],Agregado[Custo])*Vendas[[#This Row],[Qnt Vendida]])</f>
        <v>462</v>
      </c>
      <c r="K1863" s="70">
        <f>Vendas[[#This Row],[Lucro da Venda]]/Vendas[[#This Row],[Valor da Venda]]</f>
        <v>0.21875</v>
      </c>
      <c r="L1863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1863"/>
    </row>
    <row r="1864" spans="1:13" x14ac:dyDescent="0.3">
      <c r="A1864" s="7">
        <v>400253</v>
      </c>
      <c r="B1864" t="str">
        <f>_xlfn.XLOOKUP(Vendas[[#This Row],[ID Vendedor]],Vendedores[ID],Vendedores[Nome])</f>
        <v>Gustavo</v>
      </c>
      <c r="C1864" s="7" t="str">
        <f>_xlfn.XLOOKUP(Vendas[[#This Row],[ID Vendedor]],Vendedores[ID],Vendedores[Setor])</f>
        <v>SC</v>
      </c>
      <c r="D1864" s="7" t="s">
        <v>41</v>
      </c>
      <c r="E1864" t="str">
        <f>_xlfn.XLOOKUP(Vendas[[#This Row],[ID Item Vendido]],Agregado[ID],Agregado[Produto])</f>
        <v>Palete de madeira reforçado</v>
      </c>
      <c r="F1864" s="39">
        <v>44783</v>
      </c>
      <c r="G1864" s="7">
        <v>8</v>
      </c>
      <c r="H1864" s="3">
        <f>_xlfn.XLOOKUP(Vendas[[#This Row],[ID Item Vendido]],Agregado[ID],Agregado[Revenda])</f>
        <v>131</v>
      </c>
      <c r="I1864" s="3">
        <f>Vendas[[#This Row],[Valor Unitário]]*Vendas[[#This Row],[Qnt Vendida]]</f>
        <v>1048</v>
      </c>
      <c r="J1864" s="3">
        <f>Vendas[[#This Row],[Valor da Venda]]-(_xlfn.XLOOKUP(Vendas[[#This Row],[ID Item Vendido]],Agregado[ID],Agregado[Custo])*Vendas[[#This Row],[Qnt Vendida]])</f>
        <v>168</v>
      </c>
      <c r="K1864" s="70">
        <f>Vendas[[#This Row],[Lucro da Venda]]/Vendas[[#This Row],[Valor da Venda]]</f>
        <v>0.16030534351145037</v>
      </c>
      <c r="L1864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1864"/>
    </row>
    <row r="1865" spans="1:13" x14ac:dyDescent="0.3">
      <c r="A1865" s="7">
        <v>400250</v>
      </c>
      <c r="B1865" t="str">
        <f>_xlfn.XLOOKUP(Vendas[[#This Row],[ID Vendedor]],Vendedores[ID],Vendedores[Nome])</f>
        <v>Larissa</v>
      </c>
      <c r="C1865" s="7" t="str">
        <f>_xlfn.XLOOKUP(Vendas[[#This Row],[ID Vendedor]],Vendedores[ID],Vendedores[Setor])</f>
        <v>AB</v>
      </c>
      <c r="D1865" s="7" t="s">
        <v>36</v>
      </c>
      <c r="E1865" t="str">
        <f>_xlfn.XLOOKUP(Vendas[[#This Row],[ID Item Vendido]],Agregado[ID],Agregado[Produto])</f>
        <v>Borracha vulcanizada em manta</v>
      </c>
      <c r="F1865" s="39">
        <v>44783</v>
      </c>
      <c r="G1865" s="7">
        <v>97</v>
      </c>
      <c r="H1865" s="3">
        <f>_xlfn.XLOOKUP(Vendas[[#This Row],[ID Item Vendido]],Agregado[ID],Agregado[Revenda])</f>
        <v>7.8</v>
      </c>
      <c r="I1865" s="3">
        <f>Vendas[[#This Row],[Valor Unitário]]*Vendas[[#This Row],[Qnt Vendida]]</f>
        <v>756.6</v>
      </c>
      <c r="J1865" s="3">
        <f>Vendas[[#This Row],[Valor da Venda]]-(_xlfn.XLOOKUP(Vendas[[#This Row],[ID Item Vendido]],Agregado[ID],Agregado[Custo])*Vendas[[#This Row],[Qnt Vendida]])</f>
        <v>174.60000000000002</v>
      </c>
      <c r="K1865" s="70">
        <f>Vendas[[#This Row],[Lucro da Venda]]/Vendas[[#This Row],[Valor da Venda]]</f>
        <v>0.23076923076923078</v>
      </c>
      <c r="L1865" s="3">
        <f>_xlfn.IFS(Vendas[[#This Row],[Margem de Lucro (%)]]&lt;15%,Vendas[[#This Row],[Valor da Venda]]*3%,Vendas[[#This Row],[Margem de Lucro (%)]]&lt;=20%,Vendas[[#This Row],[Valor da Venda]]*4.5%,TRUE,Vendas[[#This Row],[Valor da Venda]]*6%)</f>
        <v>45.396000000000001</v>
      </c>
      <c r="M1865"/>
    </row>
    <row r="1866" spans="1:13" x14ac:dyDescent="0.3">
      <c r="A1866" s="7">
        <v>400241</v>
      </c>
      <c r="B1866" t="str">
        <f>_xlfn.XLOOKUP(Vendas[[#This Row],[ID Vendedor]],Vendedores[ID],Vendedores[Nome])</f>
        <v>Rodrigo</v>
      </c>
      <c r="C1866" s="7" t="str">
        <f>_xlfn.XLOOKUP(Vendas[[#This Row],[ID Vendedor]],Vendedores[ID],Vendedores[Setor])</f>
        <v>FM</v>
      </c>
      <c r="D1866" s="7" t="s">
        <v>20</v>
      </c>
      <c r="E1866" t="str">
        <f>_xlfn.XLOOKUP(Vendas[[#This Row],[ID Item Vendido]],Agregado[ID],Agregado[Produto])</f>
        <v>Barra de aço simples</v>
      </c>
      <c r="F1866" s="39">
        <v>44783</v>
      </c>
      <c r="G1866" s="7">
        <v>118</v>
      </c>
      <c r="H1866" s="3">
        <f>_xlfn.XLOOKUP(Vendas[[#This Row],[ID Item Vendido]],Agregado[ID],Agregado[Revenda])</f>
        <v>4.8</v>
      </c>
      <c r="I1866" s="3">
        <f>Vendas[[#This Row],[Valor Unitário]]*Vendas[[#This Row],[Qnt Vendida]]</f>
        <v>566.4</v>
      </c>
      <c r="J1866" s="3">
        <f>Vendas[[#This Row],[Valor da Venda]]-(_xlfn.XLOOKUP(Vendas[[#This Row],[ID Item Vendido]],Agregado[ID],Agregado[Custo])*Vendas[[#This Row],[Qnt Vendida]])</f>
        <v>70.799999999999955</v>
      </c>
      <c r="K1866" s="70">
        <f>Vendas[[#This Row],[Lucro da Venda]]/Vendas[[#This Row],[Valor da Venda]]</f>
        <v>0.12499999999999993</v>
      </c>
      <c r="L1866" s="3">
        <f>_xlfn.IFS(Vendas[[#This Row],[Margem de Lucro (%)]]&lt;15%,Vendas[[#This Row],[Valor da Venda]]*3%,Vendas[[#This Row],[Margem de Lucro (%)]]&lt;=20%,Vendas[[#This Row],[Valor da Venda]]*4.5%,TRUE,Vendas[[#This Row],[Valor da Venda]]*6%)</f>
        <v>16.991999999999997</v>
      </c>
      <c r="M1866"/>
    </row>
    <row r="1867" spans="1:13" x14ac:dyDescent="0.3">
      <c r="A1867" s="7">
        <v>400245</v>
      </c>
      <c r="B1867" t="str">
        <f>_xlfn.XLOOKUP(Vendas[[#This Row],[ID Vendedor]],Vendedores[ID],Vendedores[Nome])</f>
        <v>Thiago</v>
      </c>
      <c r="C1867" s="7" t="str">
        <f>_xlfn.XLOOKUP(Vendas[[#This Row],[ID Vendedor]],Vendedores[ID],Vendedores[Setor])</f>
        <v>AHD</v>
      </c>
      <c r="D1867" s="7" t="s">
        <v>30</v>
      </c>
      <c r="E1867" t="str">
        <f>_xlfn.XLOOKUP(Vendas[[#This Row],[ID Item Vendido]],Agregado[ID],Agregado[Produto])</f>
        <v>Estrutura metálica soldada</v>
      </c>
      <c r="F1867" s="39">
        <v>44784</v>
      </c>
      <c r="G1867" s="7">
        <v>7</v>
      </c>
      <c r="H1867" s="3">
        <f>_xlfn.XLOOKUP(Vendas[[#This Row],[ID Item Vendido]],Agregado[ID],Agregado[Revenda])</f>
        <v>400</v>
      </c>
      <c r="I1867" s="3">
        <f>Vendas[[#This Row],[Valor Unitário]]*Vendas[[#This Row],[Qnt Vendida]]</f>
        <v>2800</v>
      </c>
      <c r="J1867" s="3">
        <f>Vendas[[#This Row],[Valor da Venda]]-(_xlfn.XLOOKUP(Vendas[[#This Row],[ID Item Vendido]],Agregado[ID],Agregado[Custo])*Vendas[[#This Row],[Qnt Vendida]])</f>
        <v>560</v>
      </c>
      <c r="K1867" s="70">
        <f>Vendas[[#This Row],[Lucro da Venda]]/Vendas[[#This Row],[Valor da Venda]]</f>
        <v>0.2</v>
      </c>
      <c r="L1867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1867"/>
    </row>
    <row r="1868" spans="1:13" x14ac:dyDescent="0.3">
      <c r="A1868" s="7">
        <v>400242</v>
      </c>
      <c r="B1868" t="str">
        <f>_xlfn.XLOOKUP(Vendas[[#This Row],[ID Vendedor]],Vendedores[ID],Vendedores[Nome])</f>
        <v>Fernanda</v>
      </c>
      <c r="C1868" s="7" t="str">
        <f>_xlfn.XLOOKUP(Vendas[[#This Row],[ID Vendedor]],Vendedores[ID],Vendedores[Setor])</f>
        <v>FM</v>
      </c>
      <c r="D1868" s="7" t="s">
        <v>47</v>
      </c>
      <c r="E1868" t="str">
        <f>_xlfn.XLOOKUP(Vendas[[#This Row],[ID Item Vendido]],Agregado[ID],Agregado[Produto])</f>
        <v>Fio de arame galvanizado rolo 50m</v>
      </c>
      <c r="F1868" s="39">
        <v>44784</v>
      </c>
      <c r="G1868" s="7">
        <v>5</v>
      </c>
      <c r="H1868" s="3">
        <f>_xlfn.XLOOKUP(Vendas[[#This Row],[ID Item Vendido]],Agregado[ID],Agregado[Revenda])</f>
        <v>21.2</v>
      </c>
      <c r="I1868" s="3">
        <f>Vendas[[#This Row],[Valor Unitário]]*Vendas[[#This Row],[Qnt Vendida]]</f>
        <v>106</v>
      </c>
      <c r="J1868" s="3">
        <f>Vendas[[#This Row],[Valor da Venda]]-(_xlfn.XLOOKUP(Vendas[[#This Row],[ID Item Vendido]],Agregado[ID],Agregado[Custo])*Vendas[[#This Row],[Qnt Vendida]])</f>
        <v>16</v>
      </c>
      <c r="K1868" s="70">
        <f>Vendas[[#This Row],[Lucro da Venda]]/Vendas[[#This Row],[Valor da Venda]]</f>
        <v>0.15094339622641509</v>
      </c>
      <c r="L1868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1868"/>
    </row>
    <row r="1869" spans="1:13" x14ac:dyDescent="0.3">
      <c r="A1869" s="7">
        <v>400248</v>
      </c>
      <c r="B1869" t="str">
        <f>_xlfn.XLOOKUP(Vendas[[#This Row],[ID Vendedor]],Vendedores[ID],Vendedores[Nome])</f>
        <v>Patrícia</v>
      </c>
      <c r="C1869" s="7" t="str">
        <f>_xlfn.XLOOKUP(Vendas[[#This Row],[ID Vendedor]],Vendedores[ID],Vendedores[Setor])</f>
        <v>CM</v>
      </c>
      <c r="D1869" s="7" t="s">
        <v>43</v>
      </c>
      <c r="E1869" t="str">
        <f>_xlfn.XLOOKUP(Vendas[[#This Row],[ID Item Vendido]],Agregado[ID],Agregado[Produto])</f>
        <v>Madeira Bruta (Tora)</v>
      </c>
      <c r="F1869" s="39">
        <v>44785</v>
      </c>
      <c r="G1869" s="7">
        <v>14</v>
      </c>
      <c r="H1869" s="3">
        <f>_xlfn.XLOOKUP(Vendas[[#This Row],[ID Item Vendido]],Agregado[ID],Agregado[Revenda])</f>
        <v>212</v>
      </c>
      <c r="I1869" s="3">
        <f>Vendas[[#This Row],[Valor Unitário]]*Vendas[[#This Row],[Qnt Vendida]]</f>
        <v>2968</v>
      </c>
      <c r="J1869" s="3">
        <f>Vendas[[#This Row],[Valor da Venda]]-(_xlfn.XLOOKUP(Vendas[[#This Row],[ID Item Vendido]],Agregado[ID],Agregado[Custo])*Vendas[[#This Row],[Qnt Vendida]])</f>
        <v>448</v>
      </c>
      <c r="K1869" s="70">
        <f>Vendas[[#This Row],[Lucro da Venda]]/Vendas[[#This Row],[Valor da Venda]]</f>
        <v>0.15094339622641509</v>
      </c>
      <c r="L1869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1869"/>
    </row>
    <row r="1870" spans="1:13" x14ac:dyDescent="0.3">
      <c r="A1870" s="7">
        <v>400245</v>
      </c>
      <c r="B1870" t="str">
        <f>_xlfn.XLOOKUP(Vendas[[#This Row],[ID Vendedor]],Vendedores[ID],Vendedores[Nome])</f>
        <v>Thiago</v>
      </c>
      <c r="C1870" s="7" t="str">
        <f>_xlfn.XLOOKUP(Vendas[[#This Row],[ID Vendedor]],Vendedores[ID],Vendedores[Setor])</f>
        <v>AHD</v>
      </c>
      <c r="D1870" s="7" t="s">
        <v>18</v>
      </c>
      <c r="E1870" t="str">
        <f>_xlfn.XLOOKUP(Vendas[[#This Row],[ID Item Vendido]],Agregado[ID],Agregado[Produto])</f>
        <v>Peça forjada sob encomenda</v>
      </c>
      <c r="F1870" s="39">
        <v>44785</v>
      </c>
      <c r="G1870" s="7">
        <v>6</v>
      </c>
      <c r="H1870" s="3">
        <f>_xlfn.XLOOKUP(Vendas[[#This Row],[ID Item Vendido]],Agregado[ID],Agregado[Revenda])</f>
        <v>264.60000000000002</v>
      </c>
      <c r="I1870" s="3">
        <f>Vendas[[#This Row],[Valor Unitário]]*Vendas[[#This Row],[Qnt Vendida]]</f>
        <v>1587.6000000000001</v>
      </c>
      <c r="J1870" s="3">
        <f>Vendas[[#This Row],[Valor da Venda]]-(_xlfn.XLOOKUP(Vendas[[#This Row],[ID Item Vendido]],Agregado[ID],Agregado[Custo])*Vendas[[#This Row],[Qnt Vendida]])</f>
        <v>87.600000000000136</v>
      </c>
      <c r="K1870" s="70">
        <f>Vendas[[#This Row],[Lucro da Venda]]/Vendas[[#This Row],[Valor da Venda]]</f>
        <v>5.5177626606198113E-2</v>
      </c>
      <c r="L1870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1870"/>
    </row>
    <row r="1871" spans="1:13" x14ac:dyDescent="0.3">
      <c r="A1871" s="7">
        <v>400249</v>
      </c>
      <c r="B1871" t="str">
        <f>_xlfn.XLOOKUP(Vendas[[#This Row],[ID Vendedor]],Vendedores[ID],Vendedores[Nome])</f>
        <v>Bruno</v>
      </c>
      <c r="C1871" s="7" t="str">
        <f>_xlfn.XLOOKUP(Vendas[[#This Row],[ID Vendedor]],Vendedores[ID],Vendedores[Setor])</f>
        <v>CM</v>
      </c>
      <c r="D1871" s="7" t="s">
        <v>43</v>
      </c>
      <c r="E1871" t="str">
        <f>_xlfn.XLOOKUP(Vendas[[#This Row],[ID Item Vendido]],Agregado[ID],Agregado[Produto])</f>
        <v>Madeira Bruta (Tora)</v>
      </c>
      <c r="F1871" s="39">
        <v>44785</v>
      </c>
      <c r="G1871" s="7">
        <v>11</v>
      </c>
      <c r="H1871" s="3">
        <f>_xlfn.XLOOKUP(Vendas[[#This Row],[ID Item Vendido]],Agregado[ID],Agregado[Revenda])</f>
        <v>212</v>
      </c>
      <c r="I1871" s="3">
        <f>Vendas[[#This Row],[Valor Unitário]]*Vendas[[#This Row],[Qnt Vendida]]</f>
        <v>2332</v>
      </c>
      <c r="J1871" s="3">
        <f>Vendas[[#This Row],[Valor da Venda]]-(_xlfn.XLOOKUP(Vendas[[#This Row],[ID Item Vendido]],Agregado[ID],Agregado[Custo])*Vendas[[#This Row],[Qnt Vendida]])</f>
        <v>352</v>
      </c>
      <c r="K1871" s="70">
        <f>Vendas[[#This Row],[Lucro da Venda]]/Vendas[[#This Row],[Valor da Venda]]</f>
        <v>0.15094339622641509</v>
      </c>
      <c r="L1871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871"/>
    </row>
    <row r="1872" spans="1:13" x14ac:dyDescent="0.3">
      <c r="A1872" s="7">
        <v>400251</v>
      </c>
      <c r="B1872" t="str">
        <f>_xlfn.XLOOKUP(Vendas[[#This Row],[ID Vendedor]],Vendedores[ID],Vendedores[Nome])</f>
        <v>Diego</v>
      </c>
      <c r="C1872" s="7" t="str">
        <f>_xlfn.XLOOKUP(Vendas[[#This Row],[ID Vendedor]],Vendedores[ID],Vendedores[Setor])</f>
        <v>AB</v>
      </c>
      <c r="D1872" s="7" t="s">
        <v>39</v>
      </c>
      <c r="E1872" t="str">
        <f>_xlfn.XLOOKUP(Vendas[[#This Row],[ID Item Vendido]],Agregado[ID],Agregado[Produto])</f>
        <v>Filme plástico industrial rolo 50m</v>
      </c>
      <c r="F1872" s="39">
        <v>44785</v>
      </c>
      <c r="G1872" s="7">
        <v>20</v>
      </c>
      <c r="H1872" s="3">
        <f>_xlfn.XLOOKUP(Vendas[[#This Row],[ID Item Vendido]],Agregado[ID],Agregado[Revenda])</f>
        <v>37</v>
      </c>
      <c r="I1872" s="3">
        <f>Vendas[[#This Row],[Valor Unitário]]*Vendas[[#This Row],[Qnt Vendida]]</f>
        <v>740</v>
      </c>
      <c r="J1872" s="3">
        <f>Vendas[[#This Row],[Valor da Venda]]-(_xlfn.XLOOKUP(Vendas[[#This Row],[ID Item Vendido]],Agregado[ID],Agregado[Custo])*Vendas[[#This Row],[Qnt Vendida]])</f>
        <v>180</v>
      </c>
      <c r="K1872" s="70">
        <f>Vendas[[#This Row],[Lucro da Venda]]/Vendas[[#This Row],[Valor da Venda]]</f>
        <v>0.24324324324324326</v>
      </c>
      <c r="L1872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1872"/>
    </row>
    <row r="1873" spans="1:13" x14ac:dyDescent="0.3">
      <c r="A1873" s="7">
        <v>400242</v>
      </c>
      <c r="B1873" t="str">
        <f>_xlfn.XLOOKUP(Vendas[[#This Row],[ID Vendedor]],Vendedores[ID],Vendedores[Nome])</f>
        <v>Fernanda</v>
      </c>
      <c r="C1873" s="7" t="str">
        <f>_xlfn.XLOOKUP(Vendas[[#This Row],[ID Vendedor]],Vendedores[ID],Vendedores[Setor])</f>
        <v>FM</v>
      </c>
      <c r="D1873" s="7" t="s">
        <v>31</v>
      </c>
      <c r="E1873" t="str">
        <f>_xlfn.XLOOKUP(Vendas[[#This Row],[ID Item Vendido]],Agregado[ID],Agregado[Produto])</f>
        <v>Tela de metal soldada rolo 2x25m</v>
      </c>
      <c r="F1873" s="39">
        <v>44785</v>
      </c>
      <c r="G1873" s="7">
        <v>15</v>
      </c>
      <c r="H1873" s="3">
        <f>_xlfn.XLOOKUP(Vendas[[#This Row],[ID Item Vendido]],Agregado[ID],Agregado[Revenda])</f>
        <v>43.7</v>
      </c>
      <c r="I1873" s="3">
        <f>Vendas[[#This Row],[Valor Unitário]]*Vendas[[#This Row],[Qnt Vendida]]</f>
        <v>655.5</v>
      </c>
      <c r="J1873" s="3">
        <f>Vendas[[#This Row],[Valor da Venda]]-(_xlfn.XLOOKUP(Vendas[[#This Row],[ID Item Vendido]],Agregado[ID],Agregado[Custo])*Vendas[[#This Row],[Qnt Vendida]])</f>
        <v>85.5</v>
      </c>
      <c r="K1873" s="70">
        <f>Vendas[[#This Row],[Lucro da Venda]]/Vendas[[#This Row],[Valor da Venda]]</f>
        <v>0.13043478260869565</v>
      </c>
      <c r="L1873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1873"/>
    </row>
    <row r="1874" spans="1:13" x14ac:dyDescent="0.3">
      <c r="A1874" s="7">
        <v>400241</v>
      </c>
      <c r="B1874" t="str">
        <f>_xlfn.XLOOKUP(Vendas[[#This Row],[ID Vendedor]],Vendedores[ID],Vendedores[Nome])</f>
        <v>Rodrigo</v>
      </c>
      <c r="C1874" s="7" t="str">
        <f>_xlfn.XLOOKUP(Vendas[[#This Row],[ID Vendedor]],Vendedores[ID],Vendedores[Setor])</f>
        <v>FM</v>
      </c>
      <c r="D1874" s="7" t="s">
        <v>20</v>
      </c>
      <c r="E1874" t="str">
        <f>_xlfn.XLOOKUP(Vendas[[#This Row],[ID Item Vendido]],Agregado[ID],Agregado[Produto])</f>
        <v>Barra de aço simples</v>
      </c>
      <c r="F1874" s="39">
        <v>44785</v>
      </c>
      <c r="G1874" s="7">
        <v>120</v>
      </c>
      <c r="H1874" s="3">
        <f>_xlfn.XLOOKUP(Vendas[[#This Row],[ID Item Vendido]],Agregado[ID],Agregado[Revenda])</f>
        <v>4.8</v>
      </c>
      <c r="I1874" s="3">
        <f>Vendas[[#This Row],[Valor Unitário]]*Vendas[[#This Row],[Qnt Vendida]]</f>
        <v>576</v>
      </c>
      <c r="J1874" s="3">
        <f>Vendas[[#This Row],[Valor da Venda]]-(_xlfn.XLOOKUP(Vendas[[#This Row],[ID Item Vendido]],Agregado[ID],Agregado[Custo])*Vendas[[#This Row],[Qnt Vendida]])</f>
        <v>72</v>
      </c>
      <c r="K1874" s="70">
        <f>Vendas[[#This Row],[Lucro da Venda]]/Vendas[[#This Row],[Valor da Venda]]</f>
        <v>0.125</v>
      </c>
      <c r="L1874" s="3">
        <f>_xlfn.IFS(Vendas[[#This Row],[Margem de Lucro (%)]]&lt;15%,Vendas[[#This Row],[Valor da Venda]]*3%,Vendas[[#This Row],[Margem de Lucro (%)]]&lt;=20%,Vendas[[#This Row],[Valor da Venda]]*4.5%,TRUE,Vendas[[#This Row],[Valor da Venda]]*6%)</f>
        <v>17.28</v>
      </c>
      <c r="M1874"/>
    </row>
    <row r="1875" spans="1:13" x14ac:dyDescent="0.3">
      <c r="A1875" s="7">
        <v>400242</v>
      </c>
      <c r="B1875" t="str">
        <f>_xlfn.XLOOKUP(Vendas[[#This Row],[ID Vendedor]],Vendedores[ID],Vendedores[Nome])</f>
        <v>Fernanda</v>
      </c>
      <c r="C1875" s="7" t="str">
        <f>_xlfn.XLOOKUP(Vendas[[#This Row],[ID Vendedor]],Vendedores[ID],Vendedores[Setor])</f>
        <v>FM</v>
      </c>
      <c r="D1875" s="7" t="s">
        <v>6</v>
      </c>
      <c r="E1875" t="str">
        <f>_xlfn.XLOOKUP(Vendas[[#This Row],[ID Item Vendido]],Agregado[ID],Agregado[Produto])</f>
        <v>Parafuso comum 500un</v>
      </c>
      <c r="F1875" s="39">
        <v>44785</v>
      </c>
      <c r="G1875" s="7">
        <v>13</v>
      </c>
      <c r="H1875" s="3">
        <f>_xlfn.XLOOKUP(Vendas[[#This Row],[ID Item Vendido]],Agregado[ID],Agregado[Revenda])</f>
        <v>24.6</v>
      </c>
      <c r="I1875" s="3">
        <f>Vendas[[#This Row],[Valor Unitário]]*Vendas[[#This Row],[Qnt Vendida]]</f>
        <v>319.8</v>
      </c>
      <c r="J1875" s="3">
        <f>Vendas[[#This Row],[Valor da Venda]]-(_xlfn.XLOOKUP(Vendas[[#This Row],[ID Item Vendido]],Agregado[ID],Agregado[Custo])*Vendas[[#This Row],[Qnt Vendida]])</f>
        <v>33.800000000000011</v>
      </c>
      <c r="K1875" s="70">
        <f>Vendas[[#This Row],[Lucro da Venda]]/Vendas[[#This Row],[Valor da Venda]]</f>
        <v>0.10569105691056914</v>
      </c>
      <c r="L1875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1875"/>
    </row>
    <row r="1876" spans="1:13" x14ac:dyDescent="0.3">
      <c r="A1876" s="7">
        <v>400250</v>
      </c>
      <c r="B1876" t="str">
        <f>_xlfn.XLOOKUP(Vendas[[#This Row],[ID Vendedor]],Vendedores[ID],Vendedores[Nome])</f>
        <v>Larissa</v>
      </c>
      <c r="C1876" s="7" t="str">
        <f>_xlfn.XLOOKUP(Vendas[[#This Row],[ID Vendedor]],Vendedores[ID],Vendedores[Setor])</f>
        <v>AB</v>
      </c>
      <c r="D1876" s="7" t="s">
        <v>36</v>
      </c>
      <c r="E1876" t="str">
        <f>_xlfn.XLOOKUP(Vendas[[#This Row],[ID Item Vendido]],Agregado[ID],Agregado[Produto])</f>
        <v>Borracha vulcanizada em manta</v>
      </c>
      <c r="F1876" s="39">
        <v>44785</v>
      </c>
      <c r="G1876" s="7">
        <v>35</v>
      </c>
      <c r="H1876" s="3">
        <f>_xlfn.XLOOKUP(Vendas[[#This Row],[ID Item Vendido]],Agregado[ID],Agregado[Revenda])</f>
        <v>7.8</v>
      </c>
      <c r="I1876" s="3">
        <f>Vendas[[#This Row],[Valor Unitário]]*Vendas[[#This Row],[Qnt Vendida]]</f>
        <v>273</v>
      </c>
      <c r="J1876" s="3">
        <f>Vendas[[#This Row],[Valor da Venda]]-(_xlfn.XLOOKUP(Vendas[[#This Row],[ID Item Vendido]],Agregado[ID],Agregado[Custo])*Vendas[[#This Row],[Qnt Vendida]])</f>
        <v>63</v>
      </c>
      <c r="K1876" s="70">
        <f>Vendas[[#This Row],[Lucro da Venda]]/Vendas[[#This Row],[Valor da Venda]]</f>
        <v>0.23076923076923078</v>
      </c>
      <c r="L1876" s="3">
        <f>_xlfn.IFS(Vendas[[#This Row],[Margem de Lucro (%)]]&lt;15%,Vendas[[#This Row],[Valor da Venda]]*3%,Vendas[[#This Row],[Margem de Lucro (%)]]&lt;=20%,Vendas[[#This Row],[Valor da Venda]]*4.5%,TRUE,Vendas[[#This Row],[Valor da Venda]]*6%)</f>
        <v>16.38</v>
      </c>
      <c r="M1876"/>
    </row>
    <row r="1877" spans="1:13" x14ac:dyDescent="0.3">
      <c r="A1877" s="7">
        <v>400247</v>
      </c>
      <c r="B1877" t="str">
        <f>_xlfn.XLOOKUP(Vendas[[#This Row],[ID Vendedor]],Vendedores[ID],Vendedores[Nome])</f>
        <v>André</v>
      </c>
      <c r="C1877" s="7" t="str">
        <f>_xlfn.XLOOKUP(Vendas[[#This Row],[ID Vendedor]],Vendedores[ID],Vendedores[Setor])</f>
        <v>CM</v>
      </c>
      <c r="D1877" s="7" t="s">
        <v>45</v>
      </c>
      <c r="E1877" t="str">
        <f>_xlfn.XLOOKUP(Vendas[[#This Row],[ID Item Vendido]],Agregado[ID],Agregado[Produto])</f>
        <v>Viga de madeira tratada 4m</v>
      </c>
      <c r="F1877" s="39">
        <v>44787</v>
      </c>
      <c r="G1877" s="7">
        <v>12</v>
      </c>
      <c r="H1877" s="3">
        <f>_xlfn.XLOOKUP(Vendas[[#This Row],[ID Item Vendido]],Agregado[ID],Agregado[Revenda])</f>
        <v>66</v>
      </c>
      <c r="I1877" s="3">
        <f>Vendas[[#This Row],[Valor Unitário]]*Vendas[[#This Row],[Qnt Vendida]]</f>
        <v>792</v>
      </c>
      <c r="J1877" s="3">
        <f>Vendas[[#This Row],[Valor da Venda]]-(_xlfn.XLOOKUP(Vendas[[#This Row],[ID Item Vendido]],Agregado[ID],Agregado[Custo])*Vendas[[#This Row],[Qnt Vendida]])</f>
        <v>132</v>
      </c>
      <c r="K1877" s="70">
        <f>Vendas[[#This Row],[Lucro da Venda]]/Vendas[[#This Row],[Valor da Venda]]</f>
        <v>0.16666666666666666</v>
      </c>
      <c r="L1877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1877"/>
    </row>
    <row r="1878" spans="1:13" x14ac:dyDescent="0.3">
      <c r="A1878" s="7">
        <v>400242</v>
      </c>
      <c r="B1878" t="str">
        <f>_xlfn.XLOOKUP(Vendas[[#This Row],[ID Vendedor]],Vendedores[ID],Vendedores[Nome])</f>
        <v>Fernanda</v>
      </c>
      <c r="C1878" s="7" t="str">
        <f>_xlfn.XLOOKUP(Vendas[[#This Row],[ID Vendedor]],Vendedores[ID],Vendedores[Setor])</f>
        <v>FM</v>
      </c>
      <c r="D1878" s="7" t="s">
        <v>47</v>
      </c>
      <c r="E1878" t="str">
        <f>_xlfn.XLOOKUP(Vendas[[#This Row],[ID Item Vendido]],Agregado[ID],Agregado[Produto])</f>
        <v>Fio de arame galvanizado rolo 50m</v>
      </c>
      <c r="F1878" s="39">
        <v>44787</v>
      </c>
      <c r="G1878" s="7">
        <v>31</v>
      </c>
      <c r="H1878" s="3">
        <f>_xlfn.XLOOKUP(Vendas[[#This Row],[ID Item Vendido]],Agregado[ID],Agregado[Revenda])</f>
        <v>21.2</v>
      </c>
      <c r="I1878" s="3">
        <f>Vendas[[#This Row],[Valor Unitário]]*Vendas[[#This Row],[Qnt Vendida]]</f>
        <v>657.19999999999993</v>
      </c>
      <c r="J1878" s="3">
        <f>Vendas[[#This Row],[Valor da Venda]]-(_xlfn.XLOOKUP(Vendas[[#This Row],[ID Item Vendido]],Agregado[ID],Agregado[Custo])*Vendas[[#This Row],[Qnt Vendida]])</f>
        <v>99.199999999999932</v>
      </c>
      <c r="K1878" s="70">
        <f>Vendas[[#This Row],[Lucro da Venda]]/Vendas[[#This Row],[Valor da Venda]]</f>
        <v>0.15094339622641501</v>
      </c>
      <c r="L1878" s="3">
        <f>_xlfn.IFS(Vendas[[#This Row],[Margem de Lucro (%)]]&lt;15%,Vendas[[#This Row],[Valor da Venda]]*3%,Vendas[[#This Row],[Margem de Lucro (%)]]&lt;=20%,Vendas[[#This Row],[Valor da Venda]]*4.5%,TRUE,Vendas[[#This Row],[Valor da Venda]]*6%)</f>
        <v>29.573999999999995</v>
      </c>
      <c r="M1878"/>
    </row>
    <row r="1879" spans="1:13" x14ac:dyDescent="0.3">
      <c r="A1879" s="7">
        <v>400250</v>
      </c>
      <c r="B1879" t="str">
        <f>_xlfn.XLOOKUP(Vendas[[#This Row],[ID Vendedor]],Vendedores[ID],Vendedores[Nome])</f>
        <v>Larissa</v>
      </c>
      <c r="C1879" s="7" t="str">
        <f>_xlfn.XLOOKUP(Vendas[[#This Row],[ID Vendedor]],Vendedores[ID],Vendedores[Setor])</f>
        <v>AB</v>
      </c>
      <c r="D1879" s="7" t="s">
        <v>36</v>
      </c>
      <c r="E1879" t="str">
        <f>_xlfn.XLOOKUP(Vendas[[#This Row],[ID Item Vendido]],Agregado[ID],Agregado[Produto])</f>
        <v>Borracha vulcanizada em manta</v>
      </c>
      <c r="F1879" s="39">
        <v>44787</v>
      </c>
      <c r="G1879" s="7">
        <v>78</v>
      </c>
      <c r="H1879" s="3">
        <f>_xlfn.XLOOKUP(Vendas[[#This Row],[ID Item Vendido]],Agregado[ID],Agregado[Revenda])</f>
        <v>7.8</v>
      </c>
      <c r="I1879" s="3">
        <f>Vendas[[#This Row],[Valor Unitário]]*Vendas[[#This Row],[Qnt Vendida]]</f>
        <v>608.4</v>
      </c>
      <c r="J1879" s="3">
        <f>Vendas[[#This Row],[Valor da Venda]]-(_xlfn.XLOOKUP(Vendas[[#This Row],[ID Item Vendido]],Agregado[ID],Agregado[Custo])*Vendas[[#This Row],[Qnt Vendida]])</f>
        <v>140.39999999999998</v>
      </c>
      <c r="K1879" s="70">
        <f>Vendas[[#This Row],[Lucro da Venda]]/Vendas[[#This Row],[Valor da Venda]]</f>
        <v>0.23076923076923075</v>
      </c>
      <c r="L1879" s="3">
        <f>_xlfn.IFS(Vendas[[#This Row],[Margem de Lucro (%)]]&lt;15%,Vendas[[#This Row],[Valor da Venda]]*3%,Vendas[[#This Row],[Margem de Lucro (%)]]&lt;=20%,Vendas[[#This Row],[Valor da Venda]]*4.5%,TRUE,Vendas[[#This Row],[Valor da Venda]]*6%)</f>
        <v>36.503999999999998</v>
      </c>
      <c r="M1879"/>
    </row>
    <row r="1880" spans="1:13" x14ac:dyDescent="0.3">
      <c r="A1880" s="7">
        <v>400242</v>
      </c>
      <c r="B1880" t="str">
        <f>_xlfn.XLOOKUP(Vendas[[#This Row],[ID Vendedor]],Vendedores[ID],Vendedores[Nome])</f>
        <v>Fernanda</v>
      </c>
      <c r="C1880" s="7" t="str">
        <f>_xlfn.XLOOKUP(Vendas[[#This Row],[ID Vendedor]],Vendedores[ID],Vendedores[Setor])</f>
        <v>FM</v>
      </c>
      <c r="D1880" s="7" t="s">
        <v>31</v>
      </c>
      <c r="E1880" t="str">
        <f>_xlfn.XLOOKUP(Vendas[[#This Row],[ID Item Vendido]],Agregado[ID],Agregado[Produto])</f>
        <v>Tela de metal soldada rolo 2x25m</v>
      </c>
      <c r="F1880" s="39">
        <v>44789</v>
      </c>
      <c r="G1880" s="7">
        <v>3</v>
      </c>
      <c r="H1880" s="3">
        <f>_xlfn.XLOOKUP(Vendas[[#This Row],[ID Item Vendido]],Agregado[ID],Agregado[Revenda])</f>
        <v>43.7</v>
      </c>
      <c r="I1880" s="3">
        <f>Vendas[[#This Row],[Valor Unitário]]*Vendas[[#This Row],[Qnt Vendida]]</f>
        <v>131.10000000000002</v>
      </c>
      <c r="J1880" s="3">
        <f>Vendas[[#This Row],[Valor da Venda]]-(_xlfn.XLOOKUP(Vendas[[#This Row],[ID Item Vendido]],Agregado[ID],Agregado[Custo])*Vendas[[#This Row],[Qnt Vendida]])</f>
        <v>17.100000000000023</v>
      </c>
      <c r="K1880" s="70">
        <f>Vendas[[#This Row],[Lucro da Venda]]/Vendas[[#This Row],[Valor da Venda]]</f>
        <v>0.13043478260869582</v>
      </c>
      <c r="L1880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1880"/>
    </row>
    <row r="1881" spans="1:13" x14ac:dyDescent="0.3">
      <c r="A1881" s="7">
        <v>400253</v>
      </c>
      <c r="B1881" t="str">
        <f>_xlfn.XLOOKUP(Vendas[[#This Row],[ID Vendedor]],Vendedores[ID],Vendedores[Nome])</f>
        <v>Gustavo</v>
      </c>
      <c r="C1881" s="7" t="str">
        <f>_xlfn.XLOOKUP(Vendas[[#This Row],[ID Vendedor]],Vendedores[ID],Vendedores[Setor])</f>
        <v>SC</v>
      </c>
      <c r="D1881" s="7" t="s">
        <v>48</v>
      </c>
      <c r="E1881" t="str">
        <f>_xlfn.XLOOKUP(Vendas[[#This Row],[ID Item Vendido]],Agregado[ID],Agregado[Produto])</f>
        <v>Tambor metálico 200L</v>
      </c>
      <c r="F1881" s="39">
        <v>44790</v>
      </c>
      <c r="G1881" s="7">
        <v>15</v>
      </c>
      <c r="H1881" s="3">
        <f>_xlfn.XLOOKUP(Vendas[[#This Row],[ID Item Vendido]],Agregado[ID],Agregado[Revenda])</f>
        <v>144</v>
      </c>
      <c r="I1881" s="3">
        <f>Vendas[[#This Row],[Valor Unitário]]*Vendas[[#This Row],[Qnt Vendida]]</f>
        <v>2160</v>
      </c>
      <c r="J1881" s="3">
        <f>Vendas[[#This Row],[Valor da Venda]]-(_xlfn.XLOOKUP(Vendas[[#This Row],[ID Item Vendido]],Agregado[ID],Agregado[Custo])*Vendas[[#This Row],[Qnt Vendida]])</f>
        <v>360</v>
      </c>
      <c r="K1881" s="70">
        <f>Vendas[[#This Row],[Lucro da Venda]]/Vendas[[#This Row],[Valor da Venda]]</f>
        <v>0.16666666666666666</v>
      </c>
      <c r="L1881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1881"/>
    </row>
    <row r="1882" spans="1:13" x14ac:dyDescent="0.3">
      <c r="A1882" s="7">
        <v>400250</v>
      </c>
      <c r="B1882" t="str">
        <f>_xlfn.XLOOKUP(Vendas[[#This Row],[ID Vendedor]],Vendedores[ID],Vendedores[Nome])</f>
        <v>Larissa</v>
      </c>
      <c r="C1882" s="7" t="str">
        <f>_xlfn.XLOOKUP(Vendas[[#This Row],[ID Vendedor]],Vendedores[ID],Vendedores[Setor])</f>
        <v>AB</v>
      </c>
      <c r="D1882" s="7" t="s">
        <v>39</v>
      </c>
      <c r="E1882" t="str">
        <f>_xlfn.XLOOKUP(Vendas[[#This Row],[ID Item Vendido]],Agregado[ID],Agregado[Produto])</f>
        <v>Filme plástico industrial rolo 50m</v>
      </c>
      <c r="F1882" s="39">
        <v>44790</v>
      </c>
      <c r="G1882" s="7">
        <v>27</v>
      </c>
      <c r="H1882" s="3">
        <f>_xlfn.XLOOKUP(Vendas[[#This Row],[ID Item Vendido]],Agregado[ID],Agregado[Revenda])</f>
        <v>37</v>
      </c>
      <c r="I1882" s="3">
        <f>Vendas[[#This Row],[Valor Unitário]]*Vendas[[#This Row],[Qnt Vendida]]</f>
        <v>999</v>
      </c>
      <c r="J1882" s="3">
        <f>Vendas[[#This Row],[Valor da Venda]]-(_xlfn.XLOOKUP(Vendas[[#This Row],[ID Item Vendido]],Agregado[ID],Agregado[Custo])*Vendas[[#This Row],[Qnt Vendida]])</f>
        <v>243</v>
      </c>
      <c r="K1882" s="70">
        <f>Vendas[[#This Row],[Lucro da Venda]]/Vendas[[#This Row],[Valor da Venda]]</f>
        <v>0.24324324324324326</v>
      </c>
      <c r="L1882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1882"/>
    </row>
    <row r="1883" spans="1:13" x14ac:dyDescent="0.3">
      <c r="A1883" s="7">
        <v>400249</v>
      </c>
      <c r="B1883" t="str">
        <f>_xlfn.XLOOKUP(Vendas[[#This Row],[ID Vendedor]],Vendedores[ID],Vendedores[Nome])</f>
        <v>Bruno</v>
      </c>
      <c r="C1883" s="7" t="str">
        <f>_xlfn.XLOOKUP(Vendas[[#This Row],[ID Vendedor]],Vendedores[ID],Vendedores[Setor])</f>
        <v>CM</v>
      </c>
      <c r="D1883" s="7" t="s">
        <v>32</v>
      </c>
      <c r="E1883" t="str">
        <f>_xlfn.XLOOKUP(Vendas[[#This Row],[ID Item Vendido]],Agregado[ID],Agregado[Produto])</f>
        <v>Tábua tratada e cortada 3m</v>
      </c>
      <c r="F1883" s="39">
        <v>44790</v>
      </c>
      <c r="G1883" s="7">
        <v>24</v>
      </c>
      <c r="H1883" s="3">
        <f>_xlfn.XLOOKUP(Vendas[[#This Row],[ID Item Vendido]],Agregado[ID],Agregado[Revenda])</f>
        <v>39</v>
      </c>
      <c r="I1883" s="3">
        <f>Vendas[[#This Row],[Valor Unitário]]*Vendas[[#This Row],[Qnt Vendida]]</f>
        <v>936</v>
      </c>
      <c r="J1883" s="3">
        <f>Vendas[[#This Row],[Valor da Venda]]-(_xlfn.XLOOKUP(Vendas[[#This Row],[ID Item Vendido]],Agregado[ID],Agregado[Custo])*Vendas[[#This Row],[Qnt Vendida]])</f>
        <v>168</v>
      </c>
      <c r="K1883" s="70">
        <f>Vendas[[#This Row],[Lucro da Venda]]/Vendas[[#This Row],[Valor da Venda]]</f>
        <v>0.17948717948717949</v>
      </c>
      <c r="L1883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1883"/>
    </row>
    <row r="1884" spans="1:13" x14ac:dyDescent="0.3">
      <c r="A1884" s="7">
        <v>400242</v>
      </c>
      <c r="B1884" t="str">
        <f>_xlfn.XLOOKUP(Vendas[[#This Row],[ID Vendedor]],Vendedores[ID],Vendedores[Nome])</f>
        <v>Fernanda</v>
      </c>
      <c r="C1884" s="7" t="str">
        <f>_xlfn.XLOOKUP(Vendas[[#This Row],[ID Vendedor]],Vendedores[ID],Vendedores[Setor])</f>
        <v>FM</v>
      </c>
      <c r="D1884" s="7" t="s">
        <v>20</v>
      </c>
      <c r="E1884" t="str">
        <f>_xlfn.XLOOKUP(Vendas[[#This Row],[ID Item Vendido]],Agregado[ID],Agregado[Produto])</f>
        <v>Barra de aço simples</v>
      </c>
      <c r="F1884" s="39">
        <v>44790</v>
      </c>
      <c r="G1884" s="7">
        <v>47</v>
      </c>
      <c r="H1884" s="3">
        <f>_xlfn.XLOOKUP(Vendas[[#This Row],[ID Item Vendido]],Agregado[ID],Agregado[Revenda])</f>
        <v>4.8</v>
      </c>
      <c r="I1884" s="3">
        <f>Vendas[[#This Row],[Valor Unitário]]*Vendas[[#This Row],[Qnt Vendida]]</f>
        <v>225.6</v>
      </c>
      <c r="J1884" s="3">
        <f>Vendas[[#This Row],[Valor da Venda]]-(_xlfn.XLOOKUP(Vendas[[#This Row],[ID Item Vendido]],Agregado[ID],Agregado[Custo])*Vendas[[#This Row],[Qnt Vendida]])</f>
        <v>28.199999999999989</v>
      </c>
      <c r="K1884" s="70">
        <f>Vendas[[#This Row],[Lucro da Venda]]/Vendas[[#This Row],[Valor da Venda]]</f>
        <v>0.12499999999999996</v>
      </c>
      <c r="L1884" s="3">
        <f>_xlfn.IFS(Vendas[[#This Row],[Margem de Lucro (%)]]&lt;15%,Vendas[[#This Row],[Valor da Venda]]*3%,Vendas[[#This Row],[Margem de Lucro (%)]]&lt;=20%,Vendas[[#This Row],[Valor da Venda]]*4.5%,TRUE,Vendas[[#This Row],[Valor da Venda]]*6%)</f>
        <v>6.7679999999999998</v>
      </c>
      <c r="M1884"/>
    </row>
    <row r="1885" spans="1:13" x14ac:dyDescent="0.3">
      <c r="A1885" s="7">
        <v>400244</v>
      </c>
      <c r="B1885" t="str">
        <f>_xlfn.XLOOKUP(Vendas[[#This Row],[ID Vendedor]],Vendedores[ID],Vendedores[Nome])</f>
        <v>Camila</v>
      </c>
      <c r="C1885" s="7" t="str">
        <f>_xlfn.XLOOKUP(Vendas[[#This Row],[ID Vendedor]],Vendedores[ID],Vendedores[Setor])</f>
        <v>AHD</v>
      </c>
      <c r="D1885" s="7" t="s">
        <v>30</v>
      </c>
      <c r="E1885" t="str">
        <f>_xlfn.XLOOKUP(Vendas[[#This Row],[ID Item Vendido]],Agregado[ID],Agregado[Produto])</f>
        <v>Estrutura metálica soldada</v>
      </c>
      <c r="F1885" s="39">
        <v>44791</v>
      </c>
      <c r="G1885" s="7">
        <v>2</v>
      </c>
      <c r="H1885" s="3">
        <f>_xlfn.XLOOKUP(Vendas[[#This Row],[ID Item Vendido]],Agregado[ID],Agregado[Revenda])</f>
        <v>400</v>
      </c>
      <c r="I1885" s="3">
        <f>Vendas[[#This Row],[Valor Unitário]]*Vendas[[#This Row],[Qnt Vendida]]</f>
        <v>800</v>
      </c>
      <c r="J1885" s="3">
        <f>Vendas[[#This Row],[Valor da Venda]]-(_xlfn.XLOOKUP(Vendas[[#This Row],[ID Item Vendido]],Agregado[ID],Agregado[Custo])*Vendas[[#This Row],[Qnt Vendida]])</f>
        <v>160</v>
      </c>
      <c r="K1885" s="70">
        <f>Vendas[[#This Row],[Lucro da Venda]]/Vendas[[#This Row],[Valor da Venda]]</f>
        <v>0.2</v>
      </c>
      <c r="L1885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1885"/>
    </row>
    <row r="1886" spans="1:13" x14ac:dyDescent="0.3">
      <c r="A1886" s="7">
        <v>400244</v>
      </c>
      <c r="B1886" t="str">
        <f>_xlfn.XLOOKUP(Vendas[[#This Row],[ID Vendedor]],Vendedores[ID],Vendedores[Nome])</f>
        <v>Camila</v>
      </c>
      <c r="C1886" s="7" t="str">
        <f>_xlfn.XLOOKUP(Vendas[[#This Row],[ID Vendedor]],Vendedores[ID],Vendedores[Setor])</f>
        <v>AHD</v>
      </c>
      <c r="D1886" s="7" t="s">
        <v>44</v>
      </c>
      <c r="E1886" t="str">
        <f>_xlfn.XLOOKUP(Vendas[[#This Row],[ID Item Vendido]],Agregado[ID],Agregado[Produto])</f>
        <v>Liga metálica especial</v>
      </c>
      <c r="F1886" s="39">
        <v>44792</v>
      </c>
      <c r="G1886" s="7">
        <v>48</v>
      </c>
      <c r="H1886" s="3">
        <f>_xlfn.XLOOKUP(Vendas[[#This Row],[ID Item Vendido]],Agregado[ID],Agregado[Revenda])</f>
        <v>32.5</v>
      </c>
      <c r="I1886" s="3">
        <f>Vendas[[#This Row],[Valor Unitário]]*Vendas[[#This Row],[Qnt Vendida]]</f>
        <v>1560</v>
      </c>
      <c r="J1886" s="3">
        <f>Vendas[[#This Row],[Valor da Venda]]-(_xlfn.XLOOKUP(Vendas[[#This Row],[ID Item Vendido]],Agregado[ID],Agregado[Custo])*Vendas[[#This Row],[Qnt Vendida]])</f>
        <v>360</v>
      </c>
      <c r="K1886" s="70">
        <f>Vendas[[#This Row],[Lucro da Venda]]/Vendas[[#This Row],[Valor da Venda]]</f>
        <v>0.23076923076923078</v>
      </c>
      <c r="L1886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1886"/>
    </row>
    <row r="1887" spans="1:13" x14ac:dyDescent="0.3">
      <c r="A1887" s="7">
        <v>400243</v>
      </c>
      <c r="B1887" t="str">
        <f>_xlfn.XLOOKUP(Vendas[[#This Row],[ID Vendedor]],Vendedores[ID],Vendedores[Nome])</f>
        <v>Marcelo</v>
      </c>
      <c r="C1887" s="7" t="str">
        <f>_xlfn.XLOOKUP(Vendas[[#This Row],[ID Vendedor]],Vendedores[ID],Vendedores[Setor])</f>
        <v>FM</v>
      </c>
      <c r="D1887" s="7" t="s">
        <v>27</v>
      </c>
      <c r="E1887" t="str">
        <f>_xlfn.XLOOKUP(Vendas[[#This Row],[ID Item Vendido]],Agregado[ID],Agregado[Produto])</f>
        <v>Chapa de metal lisa 1x2m</v>
      </c>
      <c r="F1887" s="39">
        <v>44792</v>
      </c>
      <c r="G1887" s="7">
        <v>24</v>
      </c>
      <c r="H1887" s="3">
        <f>_xlfn.XLOOKUP(Vendas[[#This Row],[ID Item Vendido]],Agregado[ID],Agregado[Revenda])</f>
        <v>52</v>
      </c>
      <c r="I1887" s="3">
        <f>Vendas[[#This Row],[Valor Unitário]]*Vendas[[#This Row],[Qnt Vendida]]</f>
        <v>1248</v>
      </c>
      <c r="J1887" s="3">
        <f>Vendas[[#This Row],[Valor da Venda]]-(_xlfn.XLOOKUP(Vendas[[#This Row],[ID Item Vendido]],Agregado[ID],Agregado[Custo])*Vendas[[#This Row],[Qnt Vendida]])</f>
        <v>168</v>
      </c>
      <c r="K1887" s="70">
        <f>Vendas[[#This Row],[Lucro da Venda]]/Vendas[[#This Row],[Valor da Venda]]</f>
        <v>0.13461538461538461</v>
      </c>
      <c r="L1887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1887"/>
    </row>
    <row r="1888" spans="1:13" x14ac:dyDescent="0.3">
      <c r="A1888" s="7">
        <v>400255</v>
      </c>
      <c r="B1888" t="str">
        <f>_xlfn.XLOOKUP(Vendas[[#This Row],[ID Vendedor]],Vendedores[ID],Vendedores[Nome])</f>
        <v>Carlos</v>
      </c>
      <c r="C1888" s="7" t="str">
        <f>_xlfn.XLOOKUP(Vendas[[#This Row],[ID Vendedor]],Vendedores[ID],Vendedores[Setor])</f>
        <v>SC</v>
      </c>
      <c r="D1888" s="7" t="s">
        <v>14</v>
      </c>
      <c r="E1888" t="str">
        <f>_xlfn.XLOOKUP(Vendas[[#This Row],[ID Item Vendido]],Agregado[ID],Agregado[Produto])</f>
        <v>Barril de plástico 200L</v>
      </c>
      <c r="F1888" s="39">
        <v>44792</v>
      </c>
      <c r="G1888" s="7">
        <v>10</v>
      </c>
      <c r="H1888" s="3">
        <f>_xlfn.XLOOKUP(Vendas[[#This Row],[ID Item Vendido]],Agregado[ID],Agregado[Revenda])</f>
        <v>114</v>
      </c>
      <c r="I1888" s="3">
        <f>Vendas[[#This Row],[Valor Unitário]]*Vendas[[#This Row],[Qnt Vendida]]</f>
        <v>1140</v>
      </c>
      <c r="J1888" s="3">
        <f>Vendas[[#This Row],[Valor da Venda]]-(_xlfn.XLOOKUP(Vendas[[#This Row],[ID Item Vendido]],Agregado[ID],Agregado[Custo])*Vendas[[#This Row],[Qnt Vendida]])</f>
        <v>190</v>
      </c>
      <c r="K1888" s="70">
        <f>Vendas[[#This Row],[Lucro da Venda]]/Vendas[[#This Row],[Valor da Venda]]</f>
        <v>0.16666666666666666</v>
      </c>
      <c r="L1888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1888"/>
    </row>
    <row r="1889" spans="1:13" x14ac:dyDescent="0.3">
      <c r="A1889" s="7">
        <v>400253</v>
      </c>
      <c r="B1889" t="str">
        <f>_xlfn.XLOOKUP(Vendas[[#This Row],[ID Vendedor]],Vendedores[ID],Vendedores[Nome])</f>
        <v>Gustavo</v>
      </c>
      <c r="C1889" s="7" t="str">
        <f>_xlfn.XLOOKUP(Vendas[[#This Row],[ID Vendedor]],Vendedores[ID],Vendedores[Setor])</f>
        <v>SC</v>
      </c>
      <c r="D1889" s="7" t="s">
        <v>14</v>
      </c>
      <c r="E1889" t="str">
        <f>_xlfn.XLOOKUP(Vendas[[#This Row],[ID Item Vendido]],Agregado[ID],Agregado[Produto])</f>
        <v>Barril de plástico 200L</v>
      </c>
      <c r="F1889" s="39">
        <v>44793</v>
      </c>
      <c r="G1889" s="7">
        <v>16</v>
      </c>
      <c r="H1889" s="3">
        <f>_xlfn.XLOOKUP(Vendas[[#This Row],[ID Item Vendido]],Agregado[ID],Agregado[Revenda])</f>
        <v>114</v>
      </c>
      <c r="I1889" s="3">
        <f>Vendas[[#This Row],[Valor Unitário]]*Vendas[[#This Row],[Qnt Vendida]]</f>
        <v>1824</v>
      </c>
      <c r="J1889" s="3">
        <f>Vendas[[#This Row],[Valor da Venda]]-(_xlfn.XLOOKUP(Vendas[[#This Row],[ID Item Vendido]],Agregado[ID],Agregado[Custo])*Vendas[[#This Row],[Qnt Vendida]])</f>
        <v>304</v>
      </c>
      <c r="K1889" s="70">
        <f>Vendas[[#This Row],[Lucro da Venda]]/Vendas[[#This Row],[Valor da Venda]]</f>
        <v>0.16666666666666666</v>
      </c>
      <c r="L1889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1889"/>
    </row>
    <row r="1890" spans="1:13" x14ac:dyDescent="0.3">
      <c r="A1890" s="7">
        <v>400249</v>
      </c>
      <c r="B1890" t="str">
        <f>_xlfn.XLOOKUP(Vendas[[#This Row],[ID Vendedor]],Vendedores[ID],Vendedores[Nome])</f>
        <v>Bruno</v>
      </c>
      <c r="C1890" s="7" t="str">
        <f>_xlfn.XLOOKUP(Vendas[[#This Row],[ID Vendedor]],Vendedores[ID],Vendedores[Setor])</f>
        <v>CM</v>
      </c>
      <c r="D1890" s="7" t="s">
        <v>32</v>
      </c>
      <c r="E1890" t="str">
        <f>_xlfn.XLOOKUP(Vendas[[#This Row],[ID Item Vendido]],Agregado[ID],Agregado[Produto])</f>
        <v>Tábua tratada e cortada 3m</v>
      </c>
      <c r="F1890" s="39">
        <v>44793</v>
      </c>
      <c r="G1890" s="7">
        <v>40</v>
      </c>
      <c r="H1890" s="3">
        <f>_xlfn.XLOOKUP(Vendas[[#This Row],[ID Item Vendido]],Agregado[ID],Agregado[Revenda])</f>
        <v>39</v>
      </c>
      <c r="I1890" s="3">
        <f>Vendas[[#This Row],[Valor Unitário]]*Vendas[[#This Row],[Qnt Vendida]]</f>
        <v>1560</v>
      </c>
      <c r="J1890" s="3">
        <f>Vendas[[#This Row],[Valor da Venda]]-(_xlfn.XLOOKUP(Vendas[[#This Row],[ID Item Vendido]],Agregado[ID],Agregado[Custo])*Vendas[[#This Row],[Qnt Vendida]])</f>
        <v>280</v>
      </c>
      <c r="K1890" s="70">
        <f>Vendas[[#This Row],[Lucro da Venda]]/Vendas[[#This Row],[Valor da Venda]]</f>
        <v>0.17948717948717949</v>
      </c>
      <c r="L1890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1890"/>
    </row>
    <row r="1891" spans="1:13" x14ac:dyDescent="0.3">
      <c r="A1891" s="7">
        <v>400248</v>
      </c>
      <c r="B1891" t="str">
        <f>_xlfn.XLOOKUP(Vendas[[#This Row],[ID Vendedor]],Vendedores[ID],Vendedores[Nome])</f>
        <v>Patrícia</v>
      </c>
      <c r="C1891" s="7" t="str">
        <f>_xlfn.XLOOKUP(Vendas[[#This Row],[ID Vendedor]],Vendedores[ID],Vendedores[Setor])</f>
        <v>CM</v>
      </c>
      <c r="D1891" s="7" t="s">
        <v>43</v>
      </c>
      <c r="E1891" t="str">
        <f>_xlfn.XLOOKUP(Vendas[[#This Row],[ID Item Vendido]],Agregado[ID],Agregado[Produto])</f>
        <v>Madeira Bruta (Tora)</v>
      </c>
      <c r="F1891" s="39">
        <v>44794</v>
      </c>
      <c r="G1891" s="7">
        <v>3</v>
      </c>
      <c r="H1891" s="3">
        <f>_xlfn.XLOOKUP(Vendas[[#This Row],[ID Item Vendido]],Agregado[ID],Agregado[Revenda])</f>
        <v>212</v>
      </c>
      <c r="I1891" s="3">
        <f>Vendas[[#This Row],[Valor Unitário]]*Vendas[[#This Row],[Qnt Vendida]]</f>
        <v>636</v>
      </c>
      <c r="J1891" s="3">
        <f>Vendas[[#This Row],[Valor da Venda]]-(_xlfn.XLOOKUP(Vendas[[#This Row],[ID Item Vendido]],Agregado[ID],Agregado[Custo])*Vendas[[#This Row],[Qnt Vendida]])</f>
        <v>96</v>
      </c>
      <c r="K1891" s="70">
        <f>Vendas[[#This Row],[Lucro da Venda]]/Vendas[[#This Row],[Valor da Venda]]</f>
        <v>0.15094339622641509</v>
      </c>
      <c r="L1891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1891"/>
    </row>
    <row r="1892" spans="1:13" x14ac:dyDescent="0.3">
      <c r="A1892" s="7">
        <v>400253</v>
      </c>
      <c r="B1892" t="str">
        <f>_xlfn.XLOOKUP(Vendas[[#This Row],[ID Vendedor]],Vendedores[ID],Vendedores[Nome])</f>
        <v>Gustavo</v>
      </c>
      <c r="C1892" s="7" t="str">
        <f>_xlfn.XLOOKUP(Vendas[[#This Row],[ID Vendedor]],Vendedores[ID],Vendedores[Setor])</f>
        <v>SC</v>
      </c>
      <c r="D1892" s="7" t="s">
        <v>41</v>
      </c>
      <c r="E1892" t="str">
        <f>_xlfn.XLOOKUP(Vendas[[#This Row],[ID Item Vendido]],Agregado[ID],Agregado[Produto])</f>
        <v>Palete de madeira reforçado</v>
      </c>
      <c r="F1892" s="39">
        <v>44797</v>
      </c>
      <c r="G1892" s="7">
        <v>5</v>
      </c>
      <c r="H1892" s="3">
        <f>_xlfn.XLOOKUP(Vendas[[#This Row],[ID Item Vendido]],Agregado[ID],Agregado[Revenda])</f>
        <v>131</v>
      </c>
      <c r="I1892" s="3">
        <f>Vendas[[#This Row],[Valor Unitário]]*Vendas[[#This Row],[Qnt Vendida]]</f>
        <v>655</v>
      </c>
      <c r="J1892" s="3">
        <f>Vendas[[#This Row],[Valor da Venda]]-(_xlfn.XLOOKUP(Vendas[[#This Row],[ID Item Vendido]],Agregado[ID],Agregado[Custo])*Vendas[[#This Row],[Qnt Vendida]])</f>
        <v>105</v>
      </c>
      <c r="K1892" s="70">
        <f>Vendas[[#This Row],[Lucro da Venda]]/Vendas[[#This Row],[Valor da Venda]]</f>
        <v>0.16030534351145037</v>
      </c>
      <c r="L1892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1892"/>
    </row>
    <row r="1893" spans="1:13" x14ac:dyDescent="0.3">
      <c r="A1893" s="7">
        <v>400251</v>
      </c>
      <c r="B1893" t="str">
        <f>_xlfn.XLOOKUP(Vendas[[#This Row],[ID Vendedor]],Vendedores[ID],Vendedores[Nome])</f>
        <v>Diego</v>
      </c>
      <c r="C1893" s="7" t="str">
        <f>_xlfn.XLOOKUP(Vendas[[#This Row],[ID Vendedor]],Vendedores[ID],Vendedores[Setor])</f>
        <v>AB</v>
      </c>
      <c r="D1893" s="7" t="s">
        <v>24</v>
      </c>
      <c r="E1893" t="str">
        <f>_xlfn.XLOOKUP(Vendas[[#This Row],[ID Item Vendido]],Agregado[ID],Agregado[Produto])</f>
        <v>Resina plástica PET purificada saco de 25kg</v>
      </c>
      <c r="F1893" s="39">
        <v>44798</v>
      </c>
      <c r="G1893" s="7">
        <v>25</v>
      </c>
      <c r="H1893" s="3">
        <f>_xlfn.XLOOKUP(Vendas[[#This Row],[ID Item Vendido]],Agregado[ID],Agregado[Revenda])</f>
        <v>119</v>
      </c>
      <c r="I1893" s="3">
        <f>Vendas[[#This Row],[Valor Unitário]]*Vendas[[#This Row],[Qnt Vendida]]</f>
        <v>2975</v>
      </c>
      <c r="J1893" s="3">
        <f>Vendas[[#This Row],[Valor da Venda]]-(_xlfn.XLOOKUP(Vendas[[#This Row],[ID Item Vendido]],Agregado[ID],Agregado[Custo])*Vendas[[#This Row],[Qnt Vendida]])</f>
        <v>850</v>
      </c>
      <c r="K1893" s="70">
        <f>Vendas[[#This Row],[Lucro da Venda]]/Vendas[[#This Row],[Valor da Venda]]</f>
        <v>0.2857142857142857</v>
      </c>
      <c r="L1893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1893"/>
    </row>
    <row r="1894" spans="1:13" x14ac:dyDescent="0.3">
      <c r="A1894" s="7">
        <v>400247</v>
      </c>
      <c r="B1894" t="str">
        <f>_xlfn.XLOOKUP(Vendas[[#This Row],[ID Vendedor]],Vendedores[ID],Vendedores[Nome])</f>
        <v>André</v>
      </c>
      <c r="C1894" s="7" t="str">
        <f>_xlfn.XLOOKUP(Vendas[[#This Row],[ID Vendedor]],Vendedores[ID],Vendedores[Setor])</f>
        <v>CM</v>
      </c>
      <c r="D1894" s="7" t="s">
        <v>22</v>
      </c>
      <c r="E1894" t="str">
        <f>_xlfn.XLOOKUP(Vendas[[#This Row],[ID Item Vendido]],Agregado[ID],Agregado[Produto])</f>
        <v>Painel MDP 2,75x1,83m</v>
      </c>
      <c r="F1894" s="39">
        <v>44798</v>
      </c>
      <c r="G1894" s="7">
        <v>24</v>
      </c>
      <c r="H1894" s="3">
        <f>_xlfn.XLOOKUP(Vendas[[#This Row],[ID Item Vendido]],Agregado[ID],Agregado[Revenda])</f>
        <v>119</v>
      </c>
      <c r="I1894" s="3">
        <f>Vendas[[#This Row],[Valor Unitário]]*Vendas[[#This Row],[Qnt Vendida]]</f>
        <v>2856</v>
      </c>
      <c r="J1894" s="3">
        <f>Vendas[[#This Row],[Valor da Venda]]-(_xlfn.XLOOKUP(Vendas[[#This Row],[ID Item Vendido]],Agregado[ID],Agregado[Custo])*Vendas[[#This Row],[Qnt Vendida]])</f>
        <v>576</v>
      </c>
      <c r="K1894" s="70">
        <f>Vendas[[#This Row],[Lucro da Venda]]/Vendas[[#This Row],[Valor da Venda]]</f>
        <v>0.20168067226890757</v>
      </c>
      <c r="L1894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1894"/>
    </row>
    <row r="1895" spans="1:13" x14ac:dyDescent="0.3">
      <c r="A1895" s="7">
        <v>400253</v>
      </c>
      <c r="B1895" t="str">
        <f>_xlfn.XLOOKUP(Vendas[[#This Row],[ID Vendedor]],Vendedores[ID],Vendedores[Nome])</f>
        <v>Gustavo</v>
      </c>
      <c r="C1895" s="7" t="str">
        <f>_xlfn.XLOOKUP(Vendas[[#This Row],[ID Vendedor]],Vendedores[ID],Vendedores[Setor])</f>
        <v>SC</v>
      </c>
      <c r="D1895" s="7" t="s">
        <v>48</v>
      </c>
      <c r="E1895" t="str">
        <f>_xlfn.XLOOKUP(Vendas[[#This Row],[ID Item Vendido]],Agregado[ID],Agregado[Produto])</f>
        <v>Tambor metálico 200L</v>
      </c>
      <c r="F1895" s="39">
        <v>44798</v>
      </c>
      <c r="G1895" s="7">
        <v>12</v>
      </c>
      <c r="H1895" s="3">
        <f>_xlfn.XLOOKUP(Vendas[[#This Row],[ID Item Vendido]],Agregado[ID],Agregado[Revenda])</f>
        <v>144</v>
      </c>
      <c r="I1895" s="3">
        <f>Vendas[[#This Row],[Valor Unitário]]*Vendas[[#This Row],[Qnt Vendida]]</f>
        <v>1728</v>
      </c>
      <c r="J1895" s="3">
        <f>Vendas[[#This Row],[Valor da Venda]]-(_xlfn.XLOOKUP(Vendas[[#This Row],[ID Item Vendido]],Agregado[ID],Agregado[Custo])*Vendas[[#This Row],[Qnt Vendida]])</f>
        <v>288</v>
      </c>
      <c r="K1895" s="70">
        <f>Vendas[[#This Row],[Lucro da Venda]]/Vendas[[#This Row],[Valor da Venda]]</f>
        <v>0.16666666666666666</v>
      </c>
      <c r="L1895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1895"/>
    </row>
    <row r="1896" spans="1:13" x14ac:dyDescent="0.3">
      <c r="A1896" s="7">
        <v>400248</v>
      </c>
      <c r="B1896" t="str">
        <f>_xlfn.XLOOKUP(Vendas[[#This Row],[ID Vendedor]],Vendedores[ID],Vendedores[Nome])</f>
        <v>Patrícia</v>
      </c>
      <c r="C1896" s="7" t="str">
        <f>_xlfn.XLOOKUP(Vendas[[#This Row],[ID Vendedor]],Vendedores[ID],Vendedores[Setor])</f>
        <v>CM</v>
      </c>
      <c r="D1896" s="7" t="s">
        <v>32</v>
      </c>
      <c r="E1896" t="str">
        <f>_xlfn.XLOOKUP(Vendas[[#This Row],[ID Item Vendido]],Agregado[ID],Agregado[Produto])</f>
        <v>Tábua tratada e cortada 3m</v>
      </c>
      <c r="F1896" s="39">
        <v>44798</v>
      </c>
      <c r="G1896" s="7">
        <v>28</v>
      </c>
      <c r="H1896" s="3">
        <f>_xlfn.XLOOKUP(Vendas[[#This Row],[ID Item Vendido]],Agregado[ID],Agregado[Revenda])</f>
        <v>39</v>
      </c>
      <c r="I1896" s="3">
        <f>Vendas[[#This Row],[Valor Unitário]]*Vendas[[#This Row],[Qnt Vendida]]</f>
        <v>1092</v>
      </c>
      <c r="J1896" s="3">
        <f>Vendas[[#This Row],[Valor da Venda]]-(_xlfn.XLOOKUP(Vendas[[#This Row],[ID Item Vendido]],Agregado[ID],Agregado[Custo])*Vendas[[#This Row],[Qnt Vendida]])</f>
        <v>196</v>
      </c>
      <c r="K1896" s="70">
        <f>Vendas[[#This Row],[Lucro da Venda]]/Vendas[[#This Row],[Valor da Venda]]</f>
        <v>0.17948717948717949</v>
      </c>
      <c r="L1896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1896"/>
    </row>
    <row r="1897" spans="1:13" x14ac:dyDescent="0.3">
      <c r="A1897" s="7">
        <v>400247</v>
      </c>
      <c r="B1897" t="str">
        <f>_xlfn.XLOOKUP(Vendas[[#This Row],[ID Vendedor]],Vendedores[ID],Vendedores[Nome])</f>
        <v>André</v>
      </c>
      <c r="C1897" s="7" t="str">
        <f>_xlfn.XLOOKUP(Vendas[[#This Row],[ID Vendedor]],Vendedores[ID],Vendedores[Setor])</f>
        <v>CM</v>
      </c>
      <c r="D1897" s="7" t="s">
        <v>45</v>
      </c>
      <c r="E1897" t="str">
        <f>_xlfn.XLOOKUP(Vendas[[#This Row],[ID Item Vendido]],Agregado[ID],Agregado[Produto])</f>
        <v>Viga de madeira tratada 4m</v>
      </c>
      <c r="F1897" s="39">
        <v>44798</v>
      </c>
      <c r="G1897" s="7">
        <v>16</v>
      </c>
      <c r="H1897" s="3">
        <f>_xlfn.XLOOKUP(Vendas[[#This Row],[ID Item Vendido]],Agregado[ID],Agregado[Revenda])</f>
        <v>66</v>
      </c>
      <c r="I1897" s="3">
        <f>Vendas[[#This Row],[Valor Unitário]]*Vendas[[#This Row],[Qnt Vendida]]</f>
        <v>1056</v>
      </c>
      <c r="J1897" s="3">
        <f>Vendas[[#This Row],[Valor da Venda]]-(_xlfn.XLOOKUP(Vendas[[#This Row],[ID Item Vendido]],Agregado[ID],Agregado[Custo])*Vendas[[#This Row],[Qnt Vendida]])</f>
        <v>176</v>
      </c>
      <c r="K1897" s="70">
        <f>Vendas[[#This Row],[Lucro da Venda]]/Vendas[[#This Row],[Valor da Venda]]</f>
        <v>0.16666666666666666</v>
      </c>
      <c r="L1897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1897"/>
    </row>
    <row r="1898" spans="1:13" x14ac:dyDescent="0.3">
      <c r="A1898" s="7">
        <v>400250</v>
      </c>
      <c r="B1898" t="str">
        <f>_xlfn.XLOOKUP(Vendas[[#This Row],[ID Vendedor]],Vendedores[ID],Vendedores[Nome])</f>
        <v>Larissa</v>
      </c>
      <c r="C1898" s="7" t="str">
        <f>_xlfn.XLOOKUP(Vendas[[#This Row],[ID Vendedor]],Vendedores[ID],Vendedores[Setor])</f>
        <v>AB</v>
      </c>
      <c r="D1898" s="7" t="s">
        <v>36</v>
      </c>
      <c r="E1898" t="str">
        <f>_xlfn.XLOOKUP(Vendas[[#This Row],[ID Item Vendido]],Agregado[ID],Agregado[Produto])</f>
        <v>Borracha vulcanizada em manta</v>
      </c>
      <c r="F1898" s="39">
        <v>44798</v>
      </c>
      <c r="G1898" s="7">
        <v>12</v>
      </c>
      <c r="H1898" s="3">
        <f>_xlfn.XLOOKUP(Vendas[[#This Row],[ID Item Vendido]],Agregado[ID],Agregado[Revenda])</f>
        <v>7.8</v>
      </c>
      <c r="I1898" s="3">
        <f>Vendas[[#This Row],[Valor Unitário]]*Vendas[[#This Row],[Qnt Vendida]]</f>
        <v>93.6</v>
      </c>
      <c r="J1898" s="3">
        <f>Vendas[[#This Row],[Valor da Venda]]-(_xlfn.XLOOKUP(Vendas[[#This Row],[ID Item Vendido]],Agregado[ID],Agregado[Custo])*Vendas[[#This Row],[Qnt Vendida]])</f>
        <v>21.599999999999994</v>
      </c>
      <c r="K1898" s="70">
        <f>Vendas[[#This Row],[Lucro da Venda]]/Vendas[[#This Row],[Valor da Venda]]</f>
        <v>0.23076923076923073</v>
      </c>
      <c r="L1898" s="3">
        <f>_xlfn.IFS(Vendas[[#This Row],[Margem de Lucro (%)]]&lt;15%,Vendas[[#This Row],[Valor da Venda]]*3%,Vendas[[#This Row],[Margem de Lucro (%)]]&lt;=20%,Vendas[[#This Row],[Valor da Venda]]*4.5%,TRUE,Vendas[[#This Row],[Valor da Venda]]*6%)</f>
        <v>5.6159999999999997</v>
      </c>
      <c r="M1898"/>
    </row>
    <row r="1899" spans="1:13" x14ac:dyDescent="0.3">
      <c r="A1899" s="7">
        <v>400248</v>
      </c>
      <c r="B1899" t="str">
        <f>_xlfn.XLOOKUP(Vendas[[#This Row],[ID Vendedor]],Vendedores[ID],Vendedores[Nome])</f>
        <v>Patrícia</v>
      </c>
      <c r="C1899" s="7" t="str">
        <f>_xlfn.XLOOKUP(Vendas[[#This Row],[ID Vendedor]],Vendedores[ID],Vendedores[Setor])</f>
        <v>CM</v>
      </c>
      <c r="D1899" s="7" t="s">
        <v>22</v>
      </c>
      <c r="E1899" t="str">
        <f>_xlfn.XLOOKUP(Vendas[[#This Row],[ID Item Vendido]],Agregado[ID],Agregado[Produto])</f>
        <v>Painel MDP 2,75x1,83m</v>
      </c>
      <c r="F1899" s="39">
        <v>44799</v>
      </c>
      <c r="G1899" s="7">
        <v>14</v>
      </c>
      <c r="H1899" s="3">
        <f>_xlfn.XLOOKUP(Vendas[[#This Row],[ID Item Vendido]],Agregado[ID],Agregado[Revenda])</f>
        <v>119</v>
      </c>
      <c r="I1899" s="3">
        <f>Vendas[[#This Row],[Valor Unitário]]*Vendas[[#This Row],[Qnt Vendida]]</f>
        <v>1666</v>
      </c>
      <c r="J1899" s="3">
        <f>Vendas[[#This Row],[Valor da Venda]]-(_xlfn.XLOOKUP(Vendas[[#This Row],[ID Item Vendido]],Agregado[ID],Agregado[Custo])*Vendas[[#This Row],[Qnt Vendida]])</f>
        <v>336</v>
      </c>
      <c r="K1899" s="70">
        <f>Vendas[[#This Row],[Lucro da Venda]]/Vendas[[#This Row],[Valor da Venda]]</f>
        <v>0.20168067226890757</v>
      </c>
      <c r="L1899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899"/>
    </row>
    <row r="1900" spans="1:13" x14ac:dyDescent="0.3">
      <c r="A1900" s="7">
        <v>400249</v>
      </c>
      <c r="B1900" t="str">
        <f>_xlfn.XLOOKUP(Vendas[[#This Row],[ID Vendedor]],Vendedores[ID],Vendedores[Nome])</f>
        <v>Bruno</v>
      </c>
      <c r="C1900" s="7" t="str">
        <f>_xlfn.XLOOKUP(Vendas[[#This Row],[ID Vendedor]],Vendedores[ID],Vendedores[Setor])</f>
        <v>CM</v>
      </c>
      <c r="D1900" s="7" t="s">
        <v>45</v>
      </c>
      <c r="E1900" t="str">
        <f>_xlfn.XLOOKUP(Vendas[[#This Row],[ID Item Vendido]],Agregado[ID],Agregado[Produto])</f>
        <v>Viga de madeira tratada 4m</v>
      </c>
      <c r="F1900" s="39">
        <v>44800</v>
      </c>
      <c r="G1900" s="7">
        <v>18</v>
      </c>
      <c r="H1900" s="3">
        <f>_xlfn.XLOOKUP(Vendas[[#This Row],[ID Item Vendido]],Agregado[ID],Agregado[Revenda])</f>
        <v>66</v>
      </c>
      <c r="I1900" s="3">
        <f>Vendas[[#This Row],[Valor Unitário]]*Vendas[[#This Row],[Qnt Vendida]]</f>
        <v>1188</v>
      </c>
      <c r="J1900" s="3">
        <f>Vendas[[#This Row],[Valor da Venda]]-(_xlfn.XLOOKUP(Vendas[[#This Row],[ID Item Vendido]],Agregado[ID],Agregado[Custo])*Vendas[[#This Row],[Qnt Vendida]])</f>
        <v>198</v>
      </c>
      <c r="K1900" s="70">
        <f>Vendas[[#This Row],[Lucro da Venda]]/Vendas[[#This Row],[Valor da Venda]]</f>
        <v>0.16666666666666666</v>
      </c>
      <c r="L1900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1900"/>
    </row>
    <row r="1901" spans="1:13" x14ac:dyDescent="0.3">
      <c r="A1901" s="7">
        <v>400250</v>
      </c>
      <c r="B1901" t="str">
        <f>_xlfn.XLOOKUP(Vendas[[#This Row],[ID Vendedor]],Vendedores[ID],Vendedores[Nome])</f>
        <v>Larissa</v>
      </c>
      <c r="C1901" s="7" t="str">
        <f>_xlfn.XLOOKUP(Vendas[[#This Row],[ID Vendedor]],Vendedores[ID],Vendedores[Setor])</f>
        <v>AB</v>
      </c>
      <c r="D1901" s="7" t="s">
        <v>12</v>
      </c>
      <c r="E1901" t="str">
        <f>_xlfn.XLOOKUP(Vendas[[#This Row],[ID Item Vendido]],Agregado[ID],Agregado[Produto])</f>
        <v>Grânulo de plástico reciclado refinado</v>
      </c>
      <c r="F1901" s="39">
        <v>44800</v>
      </c>
      <c r="G1901" s="7">
        <v>147</v>
      </c>
      <c r="H1901" s="3">
        <f>_xlfn.XLOOKUP(Vendas[[#This Row],[ID Item Vendido]],Agregado[ID],Agregado[Revenda])</f>
        <v>4.7</v>
      </c>
      <c r="I1901" s="3">
        <f>Vendas[[#This Row],[Valor Unitário]]*Vendas[[#This Row],[Qnt Vendida]]</f>
        <v>690.9</v>
      </c>
      <c r="J1901" s="3">
        <f>Vendas[[#This Row],[Valor da Venda]]-(_xlfn.XLOOKUP(Vendas[[#This Row],[ID Item Vendido]],Agregado[ID],Agregado[Custo])*Vendas[[#This Row],[Qnt Vendida]])</f>
        <v>176.39999999999998</v>
      </c>
      <c r="K1901" s="70">
        <f>Vendas[[#This Row],[Lucro da Venda]]/Vendas[[#This Row],[Valor da Venda]]</f>
        <v>0.25531914893617019</v>
      </c>
      <c r="L1901" s="3">
        <f>_xlfn.IFS(Vendas[[#This Row],[Margem de Lucro (%)]]&lt;15%,Vendas[[#This Row],[Valor da Venda]]*3%,Vendas[[#This Row],[Margem de Lucro (%)]]&lt;=20%,Vendas[[#This Row],[Valor da Venda]]*4.5%,TRUE,Vendas[[#This Row],[Valor da Venda]]*6%)</f>
        <v>41.454000000000001</v>
      </c>
      <c r="M1901"/>
    </row>
    <row r="1902" spans="1:13" x14ac:dyDescent="0.3">
      <c r="A1902" s="7">
        <v>400241</v>
      </c>
      <c r="B1902" t="str">
        <f>_xlfn.XLOOKUP(Vendas[[#This Row],[ID Vendedor]],Vendedores[ID],Vendedores[Nome])</f>
        <v>Rodrigo</v>
      </c>
      <c r="C1902" s="7" t="str">
        <f>_xlfn.XLOOKUP(Vendas[[#This Row],[ID Vendedor]],Vendedores[ID],Vendedores[Setor])</f>
        <v>FM</v>
      </c>
      <c r="D1902" s="7" t="s">
        <v>20</v>
      </c>
      <c r="E1902" t="str">
        <f>_xlfn.XLOOKUP(Vendas[[#This Row],[ID Item Vendido]],Agregado[ID],Agregado[Produto])</f>
        <v>Barra de aço simples</v>
      </c>
      <c r="F1902" s="39">
        <v>44800</v>
      </c>
      <c r="G1902" s="7">
        <v>120</v>
      </c>
      <c r="H1902" s="3">
        <f>_xlfn.XLOOKUP(Vendas[[#This Row],[ID Item Vendido]],Agregado[ID],Agregado[Revenda])</f>
        <v>4.8</v>
      </c>
      <c r="I1902" s="3">
        <f>Vendas[[#This Row],[Valor Unitário]]*Vendas[[#This Row],[Qnt Vendida]]</f>
        <v>576</v>
      </c>
      <c r="J1902" s="3">
        <f>Vendas[[#This Row],[Valor da Venda]]-(_xlfn.XLOOKUP(Vendas[[#This Row],[ID Item Vendido]],Agregado[ID],Agregado[Custo])*Vendas[[#This Row],[Qnt Vendida]])</f>
        <v>72</v>
      </c>
      <c r="K1902" s="70">
        <f>Vendas[[#This Row],[Lucro da Venda]]/Vendas[[#This Row],[Valor da Venda]]</f>
        <v>0.125</v>
      </c>
      <c r="L1902" s="3">
        <f>_xlfn.IFS(Vendas[[#This Row],[Margem de Lucro (%)]]&lt;15%,Vendas[[#This Row],[Valor da Venda]]*3%,Vendas[[#This Row],[Margem de Lucro (%)]]&lt;=20%,Vendas[[#This Row],[Valor da Venda]]*4.5%,TRUE,Vendas[[#This Row],[Valor da Venda]]*6%)</f>
        <v>17.28</v>
      </c>
      <c r="M1902"/>
    </row>
    <row r="1903" spans="1:13" x14ac:dyDescent="0.3">
      <c r="A1903" s="7">
        <v>400250</v>
      </c>
      <c r="B1903" t="str">
        <f>_xlfn.XLOOKUP(Vendas[[#This Row],[ID Vendedor]],Vendedores[ID],Vendedores[Nome])</f>
        <v>Larissa</v>
      </c>
      <c r="C1903" s="7" t="str">
        <f>_xlfn.XLOOKUP(Vendas[[#This Row],[ID Vendedor]],Vendedores[ID],Vendedores[Setor])</f>
        <v>AB</v>
      </c>
      <c r="D1903" s="7" t="s">
        <v>24</v>
      </c>
      <c r="E1903" t="str">
        <f>_xlfn.XLOOKUP(Vendas[[#This Row],[ID Item Vendido]],Agregado[ID],Agregado[Produto])</f>
        <v>Resina plástica PET purificada saco de 25kg</v>
      </c>
      <c r="F1903" s="39">
        <v>44802</v>
      </c>
      <c r="G1903" s="7">
        <v>20</v>
      </c>
      <c r="H1903" s="3">
        <f>_xlfn.XLOOKUP(Vendas[[#This Row],[ID Item Vendido]],Agregado[ID],Agregado[Revenda])</f>
        <v>119</v>
      </c>
      <c r="I1903" s="3">
        <f>Vendas[[#This Row],[Valor Unitário]]*Vendas[[#This Row],[Qnt Vendida]]</f>
        <v>2380</v>
      </c>
      <c r="J1903" s="3">
        <f>Vendas[[#This Row],[Valor da Venda]]-(_xlfn.XLOOKUP(Vendas[[#This Row],[ID Item Vendido]],Agregado[ID],Agregado[Custo])*Vendas[[#This Row],[Qnt Vendida]])</f>
        <v>680</v>
      </c>
      <c r="K1903" s="70">
        <f>Vendas[[#This Row],[Lucro da Venda]]/Vendas[[#This Row],[Valor da Venda]]</f>
        <v>0.2857142857142857</v>
      </c>
      <c r="L1903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1903"/>
    </row>
    <row r="1904" spans="1:13" x14ac:dyDescent="0.3">
      <c r="A1904" s="7">
        <v>400247</v>
      </c>
      <c r="B1904" t="str">
        <f>_xlfn.XLOOKUP(Vendas[[#This Row],[ID Vendedor]],Vendedores[ID],Vendedores[Nome])</f>
        <v>André</v>
      </c>
      <c r="C1904" s="7" t="str">
        <f>_xlfn.XLOOKUP(Vendas[[#This Row],[ID Vendedor]],Vendedores[ID],Vendedores[Setor])</f>
        <v>CM</v>
      </c>
      <c r="D1904" s="7" t="s">
        <v>22</v>
      </c>
      <c r="E1904" t="str">
        <f>_xlfn.XLOOKUP(Vendas[[#This Row],[ID Item Vendido]],Agregado[ID],Agregado[Produto])</f>
        <v>Painel MDP 2,75x1,83m</v>
      </c>
      <c r="F1904" s="39">
        <v>44802</v>
      </c>
      <c r="G1904" s="7">
        <v>14</v>
      </c>
      <c r="H1904" s="3">
        <f>_xlfn.XLOOKUP(Vendas[[#This Row],[ID Item Vendido]],Agregado[ID],Agregado[Revenda])</f>
        <v>119</v>
      </c>
      <c r="I1904" s="3">
        <f>Vendas[[#This Row],[Valor Unitário]]*Vendas[[#This Row],[Qnt Vendida]]</f>
        <v>1666</v>
      </c>
      <c r="J1904" s="3">
        <f>Vendas[[#This Row],[Valor da Venda]]-(_xlfn.XLOOKUP(Vendas[[#This Row],[ID Item Vendido]],Agregado[ID],Agregado[Custo])*Vendas[[#This Row],[Qnt Vendida]])</f>
        <v>336</v>
      </c>
      <c r="K1904" s="70">
        <f>Vendas[[#This Row],[Lucro da Venda]]/Vendas[[#This Row],[Valor da Venda]]</f>
        <v>0.20168067226890757</v>
      </c>
      <c r="L1904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1904"/>
    </row>
    <row r="1905" spans="1:13" x14ac:dyDescent="0.3">
      <c r="A1905" s="7">
        <v>400244</v>
      </c>
      <c r="B1905" t="str">
        <f>_xlfn.XLOOKUP(Vendas[[#This Row],[ID Vendedor]],Vendedores[ID],Vendedores[Nome])</f>
        <v>Camila</v>
      </c>
      <c r="C1905" s="7" t="str">
        <f>_xlfn.XLOOKUP(Vendas[[#This Row],[ID Vendedor]],Vendedores[ID],Vendedores[Setor])</f>
        <v>AHD</v>
      </c>
      <c r="D1905" s="7" t="s">
        <v>9</v>
      </c>
      <c r="E1905" t="str">
        <f>_xlfn.XLOOKUP(Vendas[[#This Row],[ID Item Vendido]],Agregado[ID],Agregado[Produto])</f>
        <v>Barra de aço simples</v>
      </c>
      <c r="F1905" s="39">
        <v>44802</v>
      </c>
      <c r="G1905" s="7">
        <v>21</v>
      </c>
      <c r="H1905" s="3">
        <f>_xlfn.XLOOKUP(Vendas[[#This Row],[ID Item Vendido]],Agregado[ID],Agregado[Revenda])</f>
        <v>6.7</v>
      </c>
      <c r="I1905" s="3">
        <f>Vendas[[#This Row],[Valor Unitário]]*Vendas[[#This Row],[Qnt Vendida]]</f>
        <v>140.70000000000002</v>
      </c>
      <c r="J1905" s="3">
        <f>Vendas[[#This Row],[Valor da Venda]]-(_xlfn.XLOOKUP(Vendas[[#This Row],[ID Item Vendido]],Agregado[ID],Agregado[Custo])*Vendas[[#This Row],[Qnt Vendida]])</f>
        <v>18.90000000000002</v>
      </c>
      <c r="K1905" s="70">
        <f>Vendas[[#This Row],[Lucro da Venda]]/Vendas[[#This Row],[Valor da Venda]]</f>
        <v>0.13432835820895536</v>
      </c>
      <c r="L1905" s="3">
        <f>_xlfn.IFS(Vendas[[#This Row],[Margem de Lucro (%)]]&lt;15%,Vendas[[#This Row],[Valor da Venda]]*3%,Vendas[[#This Row],[Margem de Lucro (%)]]&lt;=20%,Vendas[[#This Row],[Valor da Venda]]*4.5%,TRUE,Vendas[[#This Row],[Valor da Venda]]*6%)</f>
        <v>4.2210000000000001</v>
      </c>
      <c r="M1905"/>
    </row>
    <row r="1906" spans="1:13" x14ac:dyDescent="0.3">
      <c r="A1906" s="7">
        <v>400250</v>
      </c>
      <c r="B1906" t="str">
        <f>_xlfn.XLOOKUP(Vendas[[#This Row],[ID Vendedor]],Vendedores[ID],Vendedores[Nome])</f>
        <v>Larissa</v>
      </c>
      <c r="C1906" s="7" t="str">
        <f>_xlfn.XLOOKUP(Vendas[[#This Row],[ID Vendedor]],Vendedores[ID],Vendedores[Setor])</f>
        <v>AB</v>
      </c>
      <c r="D1906" s="7" t="s">
        <v>12</v>
      </c>
      <c r="E1906" t="str">
        <f>_xlfn.XLOOKUP(Vendas[[#This Row],[ID Item Vendido]],Agregado[ID],Agregado[Produto])</f>
        <v>Grânulo de plástico reciclado refinado</v>
      </c>
      <c r="F1906" s="39">
        <v>44802</v>
      </c>
      <c r="G1906" s="7">
        <v>23</v>
      </c>
      <c r="H1906" s="3">
        <f>_xlfn.XLOOKUP(Vendas[[#This Row],[ID Item Vendido]],Agregado[ID],Agregado[Revenda])</f>
        <v>4.7</v>
      </c>
      <c r="I1906" s="3">
        <f>Vendas[[#This Row],[Valor Unitário]]*Vendas[[#This Row],[Qnt Vendida]]</f>
        <v>108.10000000000001</v>
      </c>
      <c r="J1906" s="3">
        <f>Vendas[[#This Row],[Valor da Venda]]-(_xlfn.XLOOKUP(Vendas[[#This Row],[ID Item Vendido]],Agregado[ID],Agregado[Custo])*Vendas[[#This Row],[Qnt Vendida]])</f>
        <v>27.600000000000009</v>
      </c>
      <c r="K1906" s="70">
        <f>Vendas[[#This Row],[Lucro da Venda]]/Vendas[[#This Row],[Valor da Venda]]</f>
        <v>0.25531914893617025</v>
      </c>
      <c r="L1906" s="3">
        <f>_xlfn.IFS(Vendas[[#This Row],[Margem de Lucro (%)]]&lt;15%,Vendas[[#This Row],[Valor da Venda]]*3%,Vendas[[#This Row],[Margem de Lucro (%)]]&lt;=20%,Vendas[[#This Row],[Valor da Venda]]*4.5%,TRUE,Vendas[[#This Row],[Valor da Venda]]*6%)</f>
        <v>6.4860000000000007</v>
      </c>
      <c r="M1906"/>
    </row>
    <row r="1907" spans="1:13" x14ac:dyDescent="0.3">
      <c r="A1907" s="7">
        <v>400248</v>
      </c>
      <c r="B1907" t="str">
        <f>_xlfn.XLOOKUP(Vendas[[#This Row],[ID Vendedor]],Vendedores[ID],Vendedores[Nome])</f>
        <v>Patrícia</v>
      </c>
      <c r="C1907" s="7" t="str">
        <f>_xlfn.XLOOKUP(Vendas[[#This Row],[ID Vendedor]],Vendedores[ID],Vendedores[Setor])</f>
        <v>CM</v>
      </c>
      <c r="D1907" s="7" t="s">
        <v>32</v>
      </c>
      <c r="E1907" t="str">
        <f>_xlfn.XLOOKUP(Vendas[[#This Row],[ID Item Vendido]],Agregado[ID],Agregado[Produto])</f>
        <v>Tábua tratada e cortada 3m</v>
      </c>
      <c r="F1907" s="39">
        <v>44803</v>
      </c>
      <c r="G1907" s="7">
        <v>39</v>
      </c>
      <c r="H1907" s="3">
        <f>_xlfn.XLOOKUP(Vendas[[#This Row],[ID Item Vendido]],Agregado[ID],Agregado[Revenda])</f>
        <v>39</v>
      </c>
      <c r="I1907" s="3">
        <f>Vendas[[#This Row],[Valor Unitário]]*Vendas[[#This Row],[Qnt Vendida]]</f>
        <v>1521</v>
      </c>
      <c r="J1907" s="3">
        <f>Vendas[[#This Row],[Valor da Venda]]-(_xlfn.XLOOKUP(Vendas[[#This Row],[ID Item Vendido]],Agregado[ID],Agregado[Custo])*Vendas[[#This Row],[Qnt Vendida]])</f>
        <v>273</v>
      </c>
      <c r="K1907" s="70">
        <f>Vendas[[#This Row],[Lucro da Venda]]/Vendas[[#This Row],[Valor da Venda]]</f>
        <v>0.17948717948717949</v>
      </c>
      <c r="L1907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1907"/>
    </row>
    <row r="1908" spans="1:13" x14ac:dyDescent="0.3">
      <c r="A1908" s="7">
        <v>400249</v>
      </c>
      <c r="B1908" t="str">
        <f>_xlfn.XLOOKUP(Vendas[[#This Row],[ID Vendedor]],Vendedores[ID],Vendedores[Nome])</f>
        <v>Bruno</v>
      </c>
      <c r="C1908" s="7" t="str">
        <f>_xlfn.XLOOKUP(Vendas[[#This Row],[ID Vendedor]],Vendedores[ID],Vendedores[Setor])</f>
        <v>CM</v>
      </c>
      <c r="D1908" s="7" t="s">
        <v>45</v>
      </c>
      <c r="E1908" t="str">
        <f>_xlfn.XLOOKUP(Vendas[[#This Row],[ID Item Vendido]],Agregado[ID],Agregado[Produto])</f>
        <v>Viga de madeira tratada 4m</v>
      </c>
      <c r="F1908" s="39">
        <v>44803</v>
      </c>
      <c r="G1908" s="7">
        <v>5</v>
      </c>
      <c r="H1908" s="3">
        <f>_xlfn.XLOOKUP(Vendas[[#This Row],[ID Item Vendido]],Agregado[ID],Agregado[Revenda])</f>
        <v>66</v>
      </c>
      <c r="I1908" s="3">
        <f>Vendas[[#This Row],[Valor Unitário]]*Vendas[[#This Row],[Qnt Vendida]]</f>
        <v>330</v>
      </c>
      <c r="J1908" s="3">
        <f>Vendas[[#This Row],[Valor da Venda]]-(_xlfn.XLOOKUP(Vendas[[#This Row],[ID Item Vendido]],Agregado[ID],Agregado[Custo])*Vendas[[#This Row],[Qnt Vendida]])</f>
        <v>55</v>
      </c>
      <c r="K1908" s="70">
        <f>Vendas[[#This Row],[Lucro da Venda]]/Vendas[[#This Row],[Valor da Venda]]</f>
        <v>0.16666666666666666</v>
      </c>
      <c r="L1908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1908"/>
    </row>
    <row r="1909" spans="1:13" x14ac:dyDescent="0.3">
      <c r="A1909" s="7">
        <v>400242</v>
      </c>
      <c r="B1909" t="str">
        <f>_xlfn.XLOOKUP(Vendas[[#This Row],[ID Vendedor]],Vendedores[ID],Vendedores[Nome])</f>
        <v>Fernanda</v>
      </c>
      <c r="C1909" s="7" t="str">
        <f>_xlfn.XLOOKUP(Vendas[[#This Row],[ID Vendedor]],Vendedores[ID],Vendedores[Setor])</f>
        <v>FM</v>
      </c>
      <c r="D1909" s="7" t="s">
        <v>20</v>
      </c>
      <c r="E1909" t="str">
        <f>_xlfn.XLOOKUP(Vendas[[#This Row],[ID Item Vendido]],Agregado[ID],Agregado[Produto])</f>
        <v>Barra de aço simples</v>
      </c>
      <c r="F1909" s="39">
        <v>44803</v>
      </c>
      <c r="G1909" s="7">
        <v>23</v>
      </c>
      <c r="H1909" s="3">
        <f>_xlfn.XLOOKUP(Vendas[[#This Row],[ID Item Vendido]],Agregado[ID],Agregado[Revenda])</f>
        <v>4.8</v>
      </c>
      <c r="I1909" s="3">
        <f>Vendas[[#This Row],[Valor Unitário]]*Vendas[[#This Row],[Qnt Vendida]]</f>
        <v>110.39999999999999</v>
      </c>
      <c r="J1909" s="3">
        <f>Vendas[[#This Row],[Valor da Venda]]-(_xlfn.XLOOKUP(Vendas[[#This Row],[ID Item Vendido]],Agregado[ID],Agregado[Custo])*Vendas[[#This Row],[Qnt Vendida]])</f>
        <v>13.799999999999983</v>
      </c>
      <c r="K1909" s="70">
        <f>Vendas[[#This Row],[Lucro da Venda]]/Vendas[[#This Row],[Valor da Venda]]</f>
        <v>0.12499999999999986</v>
      </c>
      <c r="L1909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1909"/>
    </row>
    <row r="1910" spans="1:13" x14ac:dyDescent="0.3">
      <c r="A1910" s="7">
        <v>400255</v>
      </c>
      <c r="B1910" t="str">
        <f>_xlfn.XLOOKUP(Vendas[[#This Row],[ID Vendedor]],Vendedores[ID],Vendedores[Nome])</f>
        <v>Carlos</v>
      </c>
      <c r="C1910" s="7" t="str">
        <f>_xlfn.XLOOKUP(Vendas[[#This Row],[ID Vendedor]],Vendedores[ID],Vendedores[Setor])</f>
        <v>SC</v>
      </c>
      <c r="D1910" s="7" t="s">
        <v>14</v>
      </c>
      <c r="E1910" t="str">
        <f>_xlfn.XLOOKUP(Vendas[[#This Row],[ID Item Vendido]],Agregado[ID],Agregado[Produto])</f>
        <v>Barril de plástico 200L</v>
      </c>
      <c r="F1910" s="39">
        <v>44804</v>
      </c>
      <c r="G1910" s="7">
        <v>14</v>
      </c>
      <c r="H1910" s="3">
        <f>_xlfn.XLOOKUP(Vendas[[#This Row],[ID Item Vendido]],Agregado[ID],Agregado[Revenda])</f>
        <v>114</v>
      </c>
      <c r="I1910" s="3">
        <f>Vendas[[#This Row],[Valor Unitário]]*Vendas[[#This Row],[Qnt Vendida]]</f>
        <v>1596</v>
      </c>
      <c r="J1910" s="3">
        <f>Vendas[[#This Row],[Valor da Venda]]-(_xlfn.XLOOKUP(Vendas[[#This Row],[ID Item Vendido]],Agregado[ID],Agregado[Custo])*Vendas[[#This Row],[Qnt Vendida]])</f>
        <v>266</v>
      </c>
      <c r="K1910" s="70">
        <f>Vendas[[#This Row],[Lucro da Venda]]/Vendas[[#This Row],[Valor da Venda]]</f>
        <v>0.16666666666666666</v>
      </c>
      <c r="L1910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1910"/>
    </row>
    <row r="1911" spans="1:13" x14ac:dyDescent="0.3">
      <c r="A1911" s="7">
        <v>400249</v>
      </c>
      <c r="B1911" t="str">
        <f>_xlfn.XLOOKUP(Vendas[[#This Row],[ID Vendedor]],Vendedores[ID],Vendedores[Nome])</f>
        <v>Bruno</v>
      </c>
      <c r="C1911" s="7" t="str">
        <f>_xlfn.XLOOKUP(Vendas[[#This Row],[ID Vendedor]],Vendedores[ID],Vendedores[Setor])</f>
        <v>CM</v>
      </c>
      <c r="D1911" s="7" t="s">
        <v>22</v>
      </c>
      <c r="E1911" t="str">
        <f>_xlfn.XLOOKUP(Vendas[[#This Row],[ID Item Vendido]],Agregado[ID],Agregado[Produto])</f>
        <v>Painel MDP 2,75x1,83m</v>
      </c>
      <c r="F1911" s="39">
        <v>44805</v>
      </c>
      <c r="G1911" s="7">
        <v>11</v>
      </c>
      <c r="H1911" s="3">
        <f>_xlfn.XLOOKUP(Vendas[[#This Row],[ID Item Vendido]],Agregado[ID],Agregado[Revenda])</f>
        <v>119</v>
      </c>
      <c r="I1911" s="3">
        <f>Vendas[[#This Row],[Valor Unitário]]*Vendas[[#This Row],[Qnt Vendida]]</f>
        <v>1309</v>
      </c>
      <c r="J1911" s="3">
        <f>Vendas[[#This Row],[Valor da Venda]]-(_xlfn.XLOOKUP(Vendas[[#This Row],[ID Item Vendido]],Agregado[ID],Agregado[Custo])*Vendas[[#This Row],[Qnt Vendida]])</f>
        <v>264</v>
      </c>
      <c r="K1911" s="70">
        <f>Vendas[[#This Row],[Lucro da Venda]]/Vendas[[#This Row],[Valor da Venda]]</f>
        <v>0.20168067226890757</v>
      </c>
      <c r="L1911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1911"/>
    </row>
    <row r="1912" spans="1:13" x14ac:dyDescent="0.3">
      <c r="A1912" s="7">
        <v>400248</v>
      </c>
      <c r="B1912" t="str">
        <f>_xlfn.XLOOKUP(Vendas[[#This Row],[ID Vendedor]],Vendedores[ID],Vendedores[Nome])</f>
        <v>Patrícia</v>
      </c>
      <c r="C1912" s="7" t="str">
        <f>_xlfn.XLOOKUP(Vendas[[#This Row],[ID Vendedor]],Vendedores[ID],Vendedores[Setor])</f>
        <v>CM</v>
      </c>
      <c r="D1912" s="7" t="s">
        <v>45</v>
      </c>
      <c r="E1912" t="str">
        <f>_xlfn.XLOOKUP(Vendas[[#This Row],[ID Item Vendido]],Agregado[ID],Agregado[Produto])</f>
        <v>Viga de madeira tratada 4m</v>
      </c>
      <c r="F1912" s="39">
        <v>44805</v>
      </c>
      <c r="G1912" s="7">
        <v>10</v>
      </c>
      <c r="H1912" s="3">
        <f>_xlfn.XLOOKUP(Vendas[[#This Row],[ID Item Vendido]],Agregado[ID],Agregado[Revenda])</f>
        <v>66</v>
      </c>
      <c r="I1912" s="3">
        <f>Vendas[[#This Row],[Valor Unitário]]*Vendas[[#This Row],[Qnt Vendida]]</f>
        <v>660</v>
      </c>
      <c r="J1912" s="3">
        <f>Vendas[[#This Row],[Valor da Venda]]-(_xlfn.XLOOKUP(Vendas[[#This Row],[ID Item Vendido]],Agregado[ID],Agregado[Custo])*Vendas[[#This Row],[Qnt Vendida]])</f>
        <v>110</v>
      </c>
      <c r="K1912" s="70">
        <f>Vendas[[#This Row],[Lucro da Venda]]/Vendas[[#This Row],[Valor da Venda]]</f>
        <v>0.16666666666666666</v>
      </c>
      <c r="L1912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1912"/>
    </row>
    <row r="1913" spans="1:13" x14ac:dyDescent="0.3">
      <c r="A1913" s="7">
        <v>400251</v>
      </c>
      <c r="B1913" t="str">
        <f>_xlfn.XLOOKUP(Vendas[[#This Row],[ID Vendedor]],Vendedores[ID],Vendedores[Nome])</f>
        <v>Diego</v>
      </c>
      <c r="C1913" s="7" t="str">
        <f>_xlfn.XLOOKUP(Vendas[[#This Row],[ID Vendedor]],Vendedores[ID],Vendedores[Setor])</f>
        <v>AB</v>
      </c>
      <c r="D1913" s="7" t="s">
        <v>37</v>
      </c>
      <c r="E1913" t="str">
        <f>_xlfn.XLOOKUP(Vendas[[#This Row],[ID Item Vendido]],Agregado[ID],Agregado[Produto])</f>
        <v>Composto de borracha para vedação rolo 10m</v>
      </c>
      <c r="F1913" s="39">
        <v>44805</v>
      </c>
      <c r="G1913" s="7">
        <v>10</v>
      </c>
      <c r="H1913" s="3">
        <f>_xlfn.XLOOKUP(Vendas[[#This Row],[ID Item Vendido]],Agregado[ID],Agregado[Revenda])</f>
        <v>51.2</v>
      </c>
      <c r="I1913" s="3">
        <f>Vendas[[#This Row],[Valor Unitário]]*Vendas[[#This Row],[Qnt Vendida]]</f>
        <v>512</v>
      </c>
      <c r="J1913" s="3">
        <f>Vendas[[#This Row],[Valor da Venda]]-(_xlfn.XLOOKUP(Vendas[[#This Row],[ID Item Vendido]],Agregado[ID],Agregado[Custo])*Vendas[[#This Row],[Qnt Vendida]])</f>
        <v>112</v>
      </c>
      <c r="K1913" s="70">
        <f>Vendas[[#This Row],[Lucro da Venda]]/Vendas[[#This Row],[Valor da Venda]]</f>
        <v>0.21875</v>
      </c>
      <c r="L1913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1913"/>
    </row>
    <row r="1914" spans="1:13" x14ac:dyDescent="0.3">
      <c r="A1914" s="7">
        <v>400241</v>
      </c>
      <c r="B1914" t="str">
        <f>_xlfn.XLOOKUP(Vendas[[#This Row],[ID Vendedor]],Vendedores[ID],Vendedores[Nome])</f>
        <v>Rodrigo</v>
      </c>
      <c r="C1914" s="7" t="str">
        <f>_xlfn.XLOOKUP(Vendas[[#This Row],[ID Vendedor]],Vendedores[ID],Vendedores[Setor])</f>
        <v>FM</v>
      </c>
      <c r="D1914" s="7" t="s">
        <v>6</v>
      </c>
      <c r="E1914" t="str">
        <f>_xlfn.XLOOKUP(Vendas[[#This Row],[ID Item Vendido]],Agregado[ID],Agregado[Produto])</f>
        <v>Parafuso comum 500un</v>
      </c>
      <c r="F1914" s="39">
        <v>44805</v>
      </c>
      <c r="G1914" s="7">
        <v>18</v>
      </c>
      <c r="H1914" s="3">
        <f>_xlfn.XLOOKUP(Vendas[[#This Row],[ID Item Vendido]],Agregado[ID],Agregado[Revenda])</f>
        <v>24.6</v>
      </c>
      <c r="I1914" s="3">
        <f>Vendas[[#This Row],[Valor Unitário]]*Vendas[[#This Row],[Qnt Vendida]]</f>
        <v>442.8</v>
      </c>
      <c r="J1914" s="3">
        <f>Vendas[[#This Row],[Valor da Venda]]-(_xlfn.XLOOKUP(Vendas[[#This Row],[ID Item Vendido]],Agregado[ID],Agregado[Custo])*Vendas[[#This Row],[Qnt Vendida]])</f>
        <v>46.800000000000011</v>
      </c>
      <c r="K1914" s="70">
        <f>Vendas[[#This Row],[Lucro da Venda]]/Vendas[[#This Row],[Valor da Venda]]</f>
        <v>0.10569105691056913</v>
      </c>
      <c r="L1914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1914"/>
    </row>
    <row r="1915" spans="1:13" x14ac:dyDescent="0.3">
      <c r="A1915" s="7">
        <v>400251</v>
      </c>
      <c r="B1915" t="str">
        <f>_xlfn.XLOOKUP(Vendas[[#This Row],[ID Vendedor]],Vendedores[ID],Vendedores[Nome])</f>
        <v>Diego</v>
      </c>
      <c r="C1915" s="7" t="str">
        <f>_xlfn.XLOOKUP(Vendas[[#This Row],[ID Vendedor]],Vendedores[ID],Vendedores[Setor])</f>
        <v>AB</v>
      </c>
      <c r="D1915" s="7" t="s">
        <v>24</v>
      </c>
      <c r="E1915" t="str">
        <f>_xlfn.XLOOKUP(Vendas[[#This Row],[ID Item Vendido]],Agregado[ID],Agregado[Produto])</f>
        <v>Resina plástica PET purificada saco de 25kg</v>
      </c>
      <c r="F1915" s="39">
        <v>44807</v>
      </c>
      <c r="G1915" s="7">
        <v>28</v>
      </c>
      <c r="H1915" s="3">
        <f>_xlfn.XLOOKUP(Vendas[[#This Row],[ID Item Vendido]],Agregado[ID],Agregado[Revenda])</f>
        <v>119</v>
      </c>
      <c r="I1915" s="3">
        <f>Vendas[[#This Row],[Valor Unitário]]*Vendas[[#This Row],[Qnt Vendida]]</f>
        <v>3332</v>
      </c>
      <c r="J1915" s="3">
        <f>Vendas[[#This Row],[Valor da Venda]]-(_xlfn.XLOOKUP(Vendas[[#This Row],[ID Item Vendido]],Agregado[ID],Agregado[Custo])*Vendas[[#This Row],[Qnt Vendida]])</f>
        <v>952</v>
      </c>
      <c r="K1915" s="70">
        <f>Vendas[[#This Row],[Lucro da Venda]]/Vendas[[#This Row],[Valor da Venda]]</f>
        <v>0.2857142857142857</v>
      </c>
      <c r="L1915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1915"/>
    </row>
    <row r="1916" spans="1:13" x14ac:dyDescent="0.3">
      <c r="A1916" s="7">
        <v>400242</v>
      </c>
      <c r="B1916" t="str">
        <f>_xlfn.XLOOKUP(Vendas[[#This Row],[ID Vendedor]],Vendedores[ID],Vendedores[Nome])</f>
        <v>Fernanda</v>
      </c>
      <c r="C1916" s="7" t="str">
        <f>_xlfn.XLOOKUP(Vendas[[#This Row],[ID Vendedor]],Vendedores[ID],Vendedores[Setor])</f>
        <v>FM</v>
      </c>
      <c r="D1916" s="7" t="s">
        <v>20</v>
      </c>
      <c r="E1916" t="str">
        <f>_xlfn.XLOOKUP(Vendas[[#This Row],[ID Item Vendido]],Agregado[ID],Agregado[Produto])</f>
        <v>Barra de aço simples</v>
      </c>
      <c r="F1916" s="39">
        <v>44807</v>
      </c>
      <c r="G1916" s="7">
        <v>90</v>
      </c>
      <c r="H1916" s="3">
        <f>_xlfn.XLOOKUP(Vendas[[#This Row],[ID Item Vendido]],Agregado[ID],Agregado[Revenda])</f>
        <v>4.8</v>
      </c>
      <c r="I1916" s="3">
        <f>Vendas[[#This Row],[Valor Unitário]]*Vendas[[#This Row],[Qnt Vendida]]</f>
        <v>432</v>
      </c>
      <c r="J1916" s="3">
        <f>Vendas[[#This Row],[Valor da Venda]]-(_xlfn.XLOOKUP(Vendas[[#This Row],[ID Item Vendido]],Agregado[ID],Agregado[Custo])*Vendas[[#This Row],[Qnt Vendida]])</f>
        <v>54</v>
      </c>
      <c r="K1916" s="70">
        <f>Vendas[[#This Row],[Lucro da Venda]]/Vendas[[#This Row],[Valor da Venda]]</f>
        <v>0.125</v>
      </c>
      <c r="L1916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1916"/>
    </row>
    <row r="1917" spans="1:13" x14ac:dyDescent="0.3">
      <c r="A1917" s="7">
        <v>400248</v>
      </c>
      <c r="B1917" t="str">
        <f>_xlfn.XLOOKUP(Vendas[[#This Row],[ID Vendedor]],Vendedores[ID],Vendedores[Nome])</f>
        <v>Patrícia</v>
      </c>
      <c r="C1917" s="7" t="str">
        <f>_xlfn.XLOOKUP(Vendas[[#This Row],[ID Vendedor]],Vendedores[ID],Vendedores[Setor])</f>
        <v>CM</v>
      </c>
      <c r="D1917" s="7" t="s">
        <v>22</v>
      </c>
      <c r="E1917" t="str">
        <f>_xlfn.XLOOKUP(Vendas[[#This Row],[ID Item Vendido]],Agregado[ID],Agregado[Produto])</f>
        <v>Painel MDP 2,75x1,83m</v>
      </c>
      <c r="F1917" s="39">
        <v>44807</v>
      </c>
      <c r="G1917" s="7">
        <v>2</v>
      </c>
      <c r="H1917" s="3">
        <f>_xlfn.XLOOKUP(Vendas[[#This Row],[ID Item Vendido]],Agregado[ID],Agregado[Revenda])</f>
        <v>119</v>
      </c>
      <c r="I1917" s="3">
        <f>Vendas[[#This Row],[Valor Unitário]]*Vendas[[#This Row],[Qnt Vendida]]</f>
        <v>238</v>
      </c>
      <c r="J1917" s="3">
        <f>Vendas[[#This Row],[Valor da Venda]]-(_xlfn.XLOOKUP(Vendas[[#This Row],[ID Item Vendido]],Agregado[ID],Agregado[Custo])*Vendas[[#This Row],[Qnt Vendida]])</f>
        <v>48</v>
      </c>
      <c r="K1917" s="70">
        <f>Vendas[[#This Row],[Lucro da Venda]]/Vendas[[#This Row],[Valor da Venda]]</f>
        <v>0.20168067226890757</v>
      </c>
      <c r="L1917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1917"/>
    </row>
    <row r="1918" spans="1:13" x14ac:dyDescent="0.3">
      <c r="A1918" s="7">
        <v>400241</v>
      </c>
      <c r="B1918" t="str">
        <f>_xlfn.XLOOKUP(Vendas[[#This Row],[ID Vendedor]],Vendedores[ID],Vendedores[Nome])</f>
        <v>Rodrigo</v>
      </c>
      <c r="C1918" s="7" t="str">
        <f>_xlfn.XLOOKUP(Vendas[[#This Row],[ID Vendedor]],Vendedores[ID],Vendedores[Setor])</f>
        <v>FM</v>
      </c>
      <c r="D1918" s="7" t="s">
        <v>20</v>
      </c>
      <c r="E1918" t="str">
        <f>_xlfn.XLOOKUP(Vendas[[#This Row],[ID Item Vendido]],Agregado[ID],Agregado[Produto])</f>
        <v>Barra de aço simples</v>
      </c>
      <c r="F1918" s="39">
        <v>44807</v>
      </c>
      <c r="G1918" s="7">
        <v>37</v>
      </c>
      <c r="H1918" s="3">
        <f>_xlfn.XLOOKUP(Vendas[[#This Row],[ID Item Vendido]],Agregado[ID],Agregado[Revenda])</f>
        <v>4.8</v>
      </c>
      <c r="I1918" s="3">
        <f>Vendas[[#This Row],[Valor Unitário]]*Vendas[[#This Row],[Qnt Vendida]]</f>
        <v>177.6</v>
      </c>
      <c r="J1918" s="3">
        <f>Vendas[[#This Row],[Valor da Venda]]-(_xlfn.XLOOKUP(Vendas[[#This Row],[ID Item Vendido]],Agregado[ID],Agregado[Custo])*Vendas[[#This Row],[Qnt Vendida]])</f>
        <v>22.199999999999989</v>
      </c>
      <c r="K1918" s="70">
        <f>Vendas[[#This Row],[Lucro da Venda]]/Vendas[[#This Row],[Valor da Venda]]</f>
        <v>0.12499999999999994</v>
      </c>
      <c r="L1918" s="3">
        <f>_xlfn.IFS(Vendas[[#This Row],[Margem de Lucro (%)]]&lt;15%,Vendas[[#This Row],[Valor da Venda]]*3%,Vendas[[#This Row],[Margem de Lucro (%)]]&lt;=20%,Vendas[[#This Row],[Valor da Venda]]*4.5%,TRUE,Vendas[[#This Row],[Valor da Venda]]*6%)</f>
        <v>5.3279999999999994</v>
      </c>
      <c r="M1918"/>
    </row>
    <row r="1919" spans="1:13" x14ac:dyDescent="0.3">
      <c r="A1919" s="7">
        <v>400249</v>
      </c>
      <c r="B1919" t="str">
        <f>_xlfn.XLOOKUP(Vendas[[#This Row],[ID Vendedor]],Vendedores[ID],Vendedores[Nome])</f>
        <v>Bruno</v>
      </c>
      <c r="C1919" s="7" t="str">
        <f>_xlfn.XLOOKUP(Vendas[[#This Row],[ID Vendedor]],Vendedores[ID],Vendedores[Setor])</f>
        <v>CM</v>
      </c>
      <c r="D1919" s="7" t="s">
        <v>43</v>
      </c>
      <c r="E1919" t="str">
        <f>_xlfn.XLOOKUP(Vendas[[#This Row],[ID Item Vendido]],Agregado[ID],Agregado[Produto])</f>
        <v>Madeira Bruta (Tora)</v>
      </c>
      <c r="F1919" s="39">
        <v>44808</v>
      </c>
      <c r="G1919" s="7">
        <v>12</v>
      </c>
      <c r="H1919" s="3">
        <f>_xlfn.XLOOKUP(Vendas[[#This Row],[ID Item Vendido]],Agregado[ID],Agregado[Revenda])</f>
        <v>212</v>
      </c>
      <c r="I1919" s="3">
        <f>Vendas[[#This Row],[Valor Unitário]]*Vendas[[#This Row],[Qnt Vendida]]</f>
        <v>2544</v>
      </c>
      <c r="J1919" s="3">
        <f>Vendas[[#This Row],[Valor da Venda]]-(_xlfn.XLOOKUP(Vendas[[#This Row],[ID Item Vendido]],Agregado[ID],Agregado[Custo])*Vendas[[#This Row],[Qnt Vendida]])</f>
        <v>384</v>
      </c>
      <c r="K1919" s="70">
        <f>Vendas[[#This Row],[Lucro da Venda]]/Vendas[[#This Row],[Valor da Venda]]</f>
        <v>0.15094339622641509</v>
      </c>
      <c r="L1919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1919"/>
    </row>
    <row r="1920" spans="1:13" x14ac:dyDescent="0.3">
      <c r="A1920" s="7">
        <v>400247</v>
      </c>
      <c r="B1920" t="str">
        <f>_xlfn.XLOOKUP(Vendas[[#This Row],[ID Vendedor]],Vendedores[ID],Vendedores[Nome])</f>
        <v>André</v>
      </c>
      <c r="C1920" s="7" t="str">
        <f>_xlfn.XLOOKUP(Vendas[[#This Row],[ID Vendedor]],Vendedores[ID],Vendedores[Setor])</f>
        <v>CM</v>
      </c>
      <c r="D1920" s="7" t="s">
        <v>43</v>
      </c>
      <c r="E1920" t="str">
        <f>_xlfn.XLOOKUP(Vendas[[#This Row],[ID Item Vendido]],Agregado[ID],Agregado[Produto])</f>
        <v>Madeira Bruta (Tora)</v>
      </c>
      <c r="F1920" s="39">
        <v>44808</v>
      </c>
      <c r="G1920" s="7">
        <v>12</v>
      </c>
      <c r="H1920" s="3">
        <f>_xlfn.XLOOKUP(Vendas[[#This Row],[ID Item Vendido]],Agregado[ID],Agregado[Revenda])</f>
        <v>212</v>
      </c>
      <c r="I1920" s="3">
        <f>Vendas[[#This Row],[Valor Unitário]]*Vendas[[#This Row],[Qnt Vendida]]</f>
        <v>2544</v>
      </c>
      <c r="J1920" s="3">
        <f>Vendas[[#This Row],[Valor da Venda]]-(_xlfn.XLOOKUP(Vendas[[#This Row],[ID Item Vendido]],Agregado[ID],Agregado[Custo])*Vendas[[#This Row],[Qnt Vendida]])</f>
        <v>384</v>
      </c>
      <c r="K1920" s="70">
        <f>Vendas[[#This Row],[Lucro da Venda]]/Vendas[[#This Row],[Valor da Venda]]</f>
        <v>0.15094339622641509</v>
      </c>
      <c r="L1920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1920"/>
    </row>
    <row r="1921" spans="1:13" x14ac:dyDescent="0.3">
      <c r="A1921" s="7">
        <v>400245</v>
      </c>
      <c r="B1921" t="str">
        <f>_xlfn.XLOOKUP(Vendas[[#This Row],[ID Vendedor]],Vendedores[ID],Vendedores[Nome])</f>
        <v>Thiago</v>
      </c>
      <c r="C1921" s="7" t="str">
        <f>_xlfn.XLOOKUP(Vendas[[#This Row],[ID Vendedor]],Vendedores[ID],Vendedores[Setor])</f>
        <v>AHD</v>
      </c>
      <c r="D1921" s="7" t="s">
        <v>44</v>
      </c>
      <c r="E1921" t="str">
        <f>_xlfn.XLOOKUP(Vendas[[#This Row],[ID Item Vendido]],Agregado[ID],Agregado[Produto])</f>
        <v>Liga metálica especial</v>
      </c>
      <c r="F1921" s="39">
        <v>44808</v>
      </c>
      <c r="G1921" s="7">
        <v>57</v>
      </c>
      <c r="H1921" s="3">
        <f>_xlfn.XLOOKUP(Vendas[[#This Row],[ID Item Vendido]],Agregado[ID],Agregado[Revenda])</f>
        <v>32.5</v>
      </c>
      <c r="I1921" s="3">
        <f>Vendas[[#This Row],[Valor Unitário]]*Vendas[[#This Row],[Qnt Vendida]]</f>
        <v>1852.5</v>
      </c>
      <c r="J1921" s="3">
        <f>Vendas[[#This Row],[Valor da Venda]]-(_xlfn.XLOOKUP(Vendas[[#This Row],[ID Item Vendido]],Agregado[ID],Agregado[Custo])*Vendas[[#This Row],[Qnt Vendida]])</f>
        <v>427.5</v>
      </c>
      <c r="K1921" s="70">
        <f>Vendas[[#This Row],[Lucro da Venda]]/Vendas[[#This Row],[Valor da Venda]]</f>
        <v>0.23076923076923078</v>
      </c>
      <c r="L1921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1921"/>
    </row>
    <row r="1922" spans="1:13" x14ac:dyDescent="0.3">
      <c r="A1922" s="7">
        <v>400249</v>
      </c>
      <c r="B1922" t="str">
        <f>_xlfn.XLOOKUP(Vendas[[#This Row],[ID Vendedor]],Vendedores[ID],Vendedores[Nome])</f>
        <v>Bruno</v>
      </c>
      <c r="C1922" s="7" t="str">
        <f>_xlfn.XLOOKUP(Vendas[[#This Row],[ID Vendedor]],Vendedores[ID],Vendedores[Setor])</f>
        <v>CM</v>
      </c>
      <c r="D1922" s="7" t="s">
        <v>32</v>
      </c>
      <c r="E1922" t="str">
        <f>_xlfn.XLOOKUP(Vendas[[#This Row],[ID Item Vendido]],Agregado[ID],Agregado[Produto])</f>
        <v>Tábua tratada e cortada 3m</v>
      </c>
      <c r="F1922" s="39">
        <v>44808</v>
      </c>
      <c r="G1922" s="7">
        <v>44</v>
      </c>
      <c r="H1922" s="3">
        <f>_xlfn.XLOOKUP(Vendas[[#This Row],[ID Item Vendido]],Agregado[ID],Agregado[Revenda])</f>
        <v>39</v>
      </c>
      <c r="I1922" s="3">
        <f>Vendas[[#This Row],[Valor Unitário]]*Vendas[[#This Row],[Qnt Vendida]]</f>
        <v>1716</v>
      </c>
      <c r="J1922" s="3">
        <f>Vendas[[#This Row],[Valor da Venda]]-(_xlfn.XLOOKUP(Vendas[[#This Row],[ID Item Vendido]],Agregado[ID],Agregado[Custo])*Vendas[[#This Row],[Qnt Vendida]])</f>
        <v>308</v>
      </c>
      <c r="K1922" s="70">
        <f>Vendas[[#This Row],[Lucro da Venda]]/Vendas[[#This Row],[Valor da Venda]]</f>
        <v>0.17948717948717949</v>
      </c>
      <c r="L1922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1922"/>
    </row>
    <row r="1923" spans="1:13" x14ac:dyDescent="0.3">
      <c r="A1923" s="7">
        <v>400250</v>
      </c>
      <c r="B1923" t="str">
        <f>_xlfn.XLOOKUP(Vendas[[#This Row],[ID Vendedor]],Vendedores[ID],Vendedores[Nome])</f>
        <v>Larissa</v>
      </c>
      <c r="C1923" s="7" t="str">
        <f>_xlfn.XLOOKUP(Vendas[[#This Row],[ID Vendedor]],Vendedores[ID],Vendedores[Setor])</f>
        <v>AB</v>
      </c>
      <c r="D1923" s="7" t="s">
        <v>12</v>
      </c>
      <c r="E1923" t="str">
        <f>_xlfn.XLOOKUP(Vendas[[#This Row],[ID Item Vendido]],Agregado[ID],Agregado[Produto])</f>
        <v>Grânulo de plástico reciclado refinado</v>
      </c>
      <c r="F1923" s="39">
        <v>44808</v>
      </c>
      <c r="G1923" s="7">
        <v>65</v>
      </c>
      <c r="H1923" s="3">
        <f>_xlfn.XLOOKUP(Vendas[[#This Row],[ID Item Vendido]],Agregado[ID],Agregado[Revenda])</f>
        <v>4.7</v>
      </c>
      <c r="I1923" s="3">
        <f>Vendas[[#This Row],[Valor Unitário]]*Vendas[[#This Row],[Qnt Vendida]]</f>
        <v>305.5</v>
      </c>
      <c r="J1923" s="3">
        <f>Vendas[[#This Row],[Valor da Venda]]-(_xlfn.XLOOKUP(Vendas[[#This Row],[ID Item Vendido]],Agregado[ID],Agregado[Custo])*Vendas[[#This Row],[Qnt Vendida]])</f>
        <v>78</v>
      </c>
      <c r="K1923" s="70">
        <f>Vendas[[#This Row],[Lucro da Venda]]/Vendas[[#This Row],[Valor da Venda]]</f>
        <v>0.25531914893617019</v>
      </c>
      <c r="L1923" s="3">
        <f>_xlfn.IFS(Vendas[[#This Row],[Margem de Lucro (%)]]&lt;15%,Vendas[[#This Row],[Valor da Venda]]*3%,Vendas[[#This Row],[Margem de Lucro (%)]]&lt;=20%,Vendas[[#This Row],[Valor da Venda]]*4.5%,TRUE,Vendas[[#This Row],[Valor da Venda]]*6%)</f>
        <v>18.329999999999998</v>
      </c>
      <c r="M1923"/>
    </row>
    <row r="1924" spans="1:13" x14ac:dyDescent="0.3">
      <c r="A1924" s="7">
        <v>400245</v>
      </c>
      <c r="B1924" t="str">
        <f>_xlfn.XLOOKUP(Vendas[[#This Row],[ID Vendedor]],Vendedores[ID],Vendedores[Nome])</f>
        <v>Thiago</v>
      </c>
      <c r="C1924" s="7" t="str">
        <f>_xlfn.XLOOKUP(Vendas[[#This Row],[ID Vendedor]],Vendedores[ID],Vendedores[Setor])</f>
        <v>AHD</v>
      </c>
      <c r="D1924" s="7" t="s">
        <v>18</v>
      </c>
      <c r="E1924" t="str">
        <f>_xlfn.XLOOKUP(Vendas[[#This Row],[ID Item Vendido]],Agregado[ID],Agregado[Produto])</f>
        <v>Peça forjada sob encomenda</v>
      </c>
      <c r="F1924" s="39">
        <v>44809</v>
      </c>
      <c r="G1924" s="7">
        <v>5</v>
      </c>
      <c r="H1924" s="3">
        <f>_xlfn.XLOOKUP(Vendas[[#This Row],[ID Item Vendido]],Agregado[ID],Agregado[Revenda])</f>
        <v>264.60000000000002</v>
      </c>
      <c r="I1924" s="3">
        <f>Vendas[[#This Row],[Valor Unitário]]*Vendas[[#This Row],[Qnt Vendida]]</f>
        <v>1323</v>
      </c>
      <c r="J1924" s="3">
        <f>Vendas[[#This Row],[Valor da Venda]]-(_xlfn.XLOOKUP(Vendas[[#This Row],[ID Item Vendido]],Agregado[ID],Agregado[Custo])*Vendas[[#This Row],[Qnt Vendida]])</f>
        <v>73</v>
      </c>
      <c r="K1924" s="70">
        <f>Vendas[[#This Row],[Lucro da Venda]]/Vendas[[#This Row],[Valor da Venda]]</f>
        <v>5.5177626606198037E-2</v>
      </c>
      <c r="L192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1924"/>
    </row>
    <row r="1925" spans="1:13" x14ac:dyDescent="0.3">
      <c r="A1925" s="7">
        <v>400251</v>
      </c>
      <c r="B1925" t="str">
        <f>_xlfn.XLOOKUP(Vendas[[#This Row],[ID Vendedor]],Vendedores[ID],Vendedores[Nome])</f>
        <v>Diego</v>
      </c>
      <c r="C1925" s="7" t="str">
        <f>_xlfn.XLOOKUP(Vendas[[#This Row],[ID Vendedor]],Vendedores[ID],Vendedores[Setor])</f>
        <v>AB</v>
      </c>
      <c r="D1925" s="7" t="s">
        <v>12</v>
      </c>
      <c r="E1925" t="str">
        <f>_xlfn.XLOOKUP(Vendas[[#This Row],[ID Item Vendido]],Agregado[ID],Agregado[Produto])</f>
        <v>Grânulo de plástico reciclado refinado</v>
      </c>
      <c r="F1925" s="39">
        <v>44809</v>
      </c>
      <c r="G1925" s="7">
        <v>74</v>
      </c>
      <c r="H1925" s="3">
        <f>_xlfn.XLOOKUP(Vendas[[#This Row],[ID Item Vendido]],Agregado[ID],Agregado[Revenda])</f>
        <v>4.7</v>
      </c>
      <c r="I1925" s="3">
        <f>Vendas[[#This Row],[Valor Unitário]]*Vendas[[#This Row],[Qnt Vendida]]</f>
        <v>347.8</v>
      </c>
      <c r="J1925" s="3">
        <f>Vendas[[#This Row],[Valor da Venda]]-(_xlfn.XLOOKUP(Vendas[[#This Row],[ID Item Vendido]],Agregado[ID],Agregado[Custo])*Vendas[[#This Row],[Qnt Vendida]])</f>
        <v>88.800000000000011</v>
      </c>
      <c r="K1925" s="70">
        <f>Vendas[[#This Row],[Lucro da Venda]]/Vendas[[#This Row],[Valor da Venda]]</f>
        <v>0.25531914893617025</v>
      </c>
      <c r="L1925" s="3">
        <f>_xlfn.IFS(Vendas[[#This Row],[Margem de Lucro (%)]]&lt;15%,Vendas[[#This Row],[Valor da Venda]]*3%,Vendas[[#This Row],[Margem de Lucro (%)]]&lt;=20%,Vendas[[#This Row],[Valor da Venda]]*4.5%,TRUE,Vendas[[#This Row],[Valor da Venda]]*6%)</f>
        <v>20.867999999999999</v>
      </c>
      <c r="M1925"/>
    </row>
    <row r="1926" spans="1:13" x14ac:dyDescent="0.3">
      <c r="A1926" s="7">
        <v>400253</v>
      </c>
      <c r="B1926" t="str">
        <f>_xlfn.XLOOKUP(Vendas[[#This Row],[ID Vendedor]],Vendedores[ID],Vendedores[Nome])</f>
        <v>Gustavo</v>
      </c>
      <c r="C1926" s="7" t="str">
        <f>_xlfn.XLOOKUP(Vendas[[#This Row],[ID Vendedor]],Vendedores[ID],Vendedores[Setor])</f>
        <v>SC</v>
      </c>
      <c r="D1926" s="7" t="s">
        <v>48</v>
      </c>
      <c r="E1926" t="str">
        <f>_xlfn.XLOOKUP(Vendas[[#This Row],[ID Item Vendido]],Agregado[ID],Agregado[Produto])</f>
        <v>Tambor metálico 200L</v>
      </c>
      <c r="F1926" s="39">
        <v>44810</v>
      </c>
      <c r="G1926" s="7">
        <v>18</v>
      </c>
      <c r="H1926" s="3">
        <f>_xlfn.XLOOKUP(Vendas[[#This Row],[ID Item Vendido]],Agregado[ID],Agregado[Revenda])</f>
        <v>144</v>
      </c>
      <c r="I1926" s="3">
        <f>Vendas[[#This Row],[Valor Unitário]]*Vendas[[#This Row],[Qnt Vendida]]</f>
        <v>2592</v>
      </c>
      <c r="J1926" s="3">
        <f>Vendas[[#This Row],[Valor da Venda]]-(_xlfn.XLOOKUP(Vendas[[#This Row],[ID Item Vendido]],Agregado[ID],Agregado[Custo])*Vendas[[#This Row],[Qnt Vendida]])</f>
        <v>432</v>
      </c>
      <c r="K1926" s="70">
        <f>Vendas[[#This Row],[Lucro da Venda]]/Vendas[[#This Row],[Valor da Venda]]</f>
        <v>0.16666666666666666</v>
      </c>
      <c r="L1926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1926"/>
    </row>
    <row r="1927" spans="1:13" x14ac:dyDescent="0.3">
      <c r="A1927" s="7">
        <v>400247</v>
      </c>
      <c r="B1927" t="str">
        <f>_xlfn.XLOOKUP(Vendas[[#This Row],[ID Vendedor]],Vendedores[ID],Vendedores[Nome])</f>
        <v>André</v>
      </c>
      <c r="C1927" s="7" t="str">
        <f>_xlfn.XLOOKUP(Vendas[[#This Row],[ID Vendedor]],Vendedores[ID],Vendedores[Setor])</f>
        <v>CM</v>
      </c>
      <c r="D1927" s="7" t="s">
        <v>45</v>
      </c>
      <c r="E1927" t="str">
        <f>_xlfn.XLOOKUP(Vendas[[#This Row],[ID Item Vendido]],Agregado[ID],Agregado[Produto])</f>
        <v>Viga de madeira tratada 4m</v>
      </c>
      <c r="F1927" s="39">
        <v>44810</v>
      </c>
      <c r="G1927" s="7">
        <v>4</v>
      </c>
      <c r="H1927" s="3">
        <f>_xlfn.XLOOKUP(Vendas[[#This Row],[ID Item Vendido]],Agregado[ID],Agregado[Revenda])</f>
        <v>66</v>
      </c>
      <c r="I1927" s="3">
        <f>Vendas[[#This Row],[Valor Unitário]]*Vendas[[#This Row],[Qnt Vendida]]</f>
        <v>264</v>
      </c>
      <c r="J1927" s="3">
        <f>Vendas[[#This Row],[Valor da Venda]]-(_xlfn.XLOOKUP(Vendas[[#This Row],[ID Item Vendido]],Agregado[ID],Agregado[Custo])*Vendas[[#This Row],[Qnt Vendida]])</f>
        <v>44</v>
      </c>
      <c r="K1927" s="70">
        <f>Vendas[[#This Row],[Lucro da Venda]]/Vendas[[#This Row],[Valor da Venda]]</f>
        <v>0.16666666666666666</v>
      </c>
      <c r="L1927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1927"/>
    </row>
    <row r="1928" spans="1:13" x14ac:dyDescent="0.3">
      <c r="A1928" s="7">
        <v>400243</v>
      </c>
      <c r="B1928" t="str">
        <f>_xlfn.XLOOKUP(Vendas[[#This Row],[ID Vendedor]],Vendedores[ID],Vendedores[Nome])</f>
        <v>Marcelo</v>
      </c>
      <c r="C1928" s="7" t="str">
        <f>_xlfn.XLOOKUP(Vendas[[#This Row],[ID Vendedor]],Vendedores[ID],Vendedores[Setor])</f>
        <v>FM</v>
      </c>
      <c r="D1928" s="7" t="s">
        <v>27</v>
      </c>
      <c r="E1928" t="str">
        <f>_xlfn.XLOOKUP(Vendas[[#This Row],[ID Item Vendido]],Agregado[ID],Agregado[Produto])</f>
        <v>Chapa de metal lisa 1x2m</v>
      </c>
      <c r="F1928" s="39">
        <v>44810</v>
      </c>
      <c r="G1928" s="7">
        <v>5</v>
      </c>
      <c r="H1928" s="3">
        <f>_xlfn.XLOOKUP(Vendas[[#This Row],[ID Item Vendido]],Agregado[ID],Agregado[Revenda])</f>
        <v>52</v>
      </c>
      <c r="I1928" s="3">
        <f>Vendas[[#This Row],[Valor Unitário]]*Vendas[[#This Row],[Qnt Vendida]]</f>
        <v>260</v>
      </c>
      <c r="J1928" s="3">
        <f>Vendas[[#This Row],[Valor da Venda]]-(_xlfn.XLOOKUP(Vendas[[#This Row],[ID Item Vendido]],Agregado[ID],Agregado[Custo])*Vendas[[#This Row],[Qnt Vendida]])</f>
        <v>35</v>
      </c>
      <c r="K1928" s="70">
        <f>Vendas[[#This Row],[Lucro da Venda]]/Vendas[[#This Row],[Valor da Venda]]</f>
        <v>0.13461538461538461</v>
      </c>
      <c r="L1928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1928"/>
    </row>
    <row r="1929" spans="1:13" x14ac:dyDescent="0.3">
      <c r="A1929" s="7">
        <v>400244</v>
      </c>
      <c r="B1929" t="str">
        <f>_xlfn.XLOOKUP(Vendas[[#This Row],[ID Vendedor]],Vendedores[ID],Vendedores[Nome])</f>
        <v>Camila</v>
      </c>
      <c r="C1929" s="7" t="str">
        <f>_xlfn.XLOOKUP(Vendas[[#This Row],[ID Vendedor]],Vendedores[ID],Vendedores[Setor])</f>
        <v>AHD</v>
      </c>
      <c r="D1929" s="7" t="s">
        <v>30</v>
      </c>
      <c r="E1929" t="str">
        <f>_xlfn.XLOOKUP(Vendas[[#This Row],[ID Item Vendido]],Agregado[ID],Agregado[Produto])</f>
        <v>Estrutura metálica soldada</v>
      </c>
      <c r="F1929" s="39">
        <v>44811</v>
      </c>
      <c r="G1929" s="7">
        <v>1</v>
      </c>
      <c r="H1929" s="3">
        <f>_xlfn.XLOOKUP(Vendas[[#This Row],[ID Item Vendido]],Agregado[ID],Agregado[Revenda])</f>
        <v>400</v>
      </c>
      <c r="I1929" s="3">
        <f>Vendas[[#This Row],[Valor Unitário]]*Vendas[[#This Row],[Qnt Vendida]]</f>
        <v>400</v>
      </c>
      <c r="J1929" s="3">
        <f>Vendas[[#This Row],[Valor da Venda]]-(_xlfn.XLOOKUP(Vendas[[#This Row],[ID Item Vendido]],Agregado[ID],Agregado[Custo])*Vendas[[#This Row],[Qnt Vendida]])</f>
        <v>80</v>
      </c>
      <c r="K1929" s="70">
        <f>Vendas[[#This Row],[Lucro da Venda]]/Vendas[[#This Row],[Valor da Venda]]</f>
        <v>0.2</v>
      </c>
      <c r="L1929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1929"/>
    </row>
    <row r="1930" spans="1:13" x14ac:dyDescent="0.3">
      <c r="A1930" s="7">
        <v>400244</v>
      </c>
      <c r="B1930" t="str">
        <f>_xlfn.XLOOKUP(Vendas[[#This Row],[ID Vendedor]],Vendedores[ID],Vendedores[Nome])</f>
        <v>Camila</v>
      </c>
      <c r="C1930" s="7" t="str">
        <f>_xlfn.XLOOKUP(Vendas[[#This Row],[ID Vendedor]],Vendedores[ID],Vendedores[Setor])</f>
        <v>AHD</v>
      </c>
      <c r="D1930" s="7" t="s">
        <v>9</v>
      </c>
      <c r="E1930" t="str">
        <f>_xlfn.XLOOKUP(Vendas[[#This Row],[ID Item Vendido]],Agregado[ID],Agregado[Produto])</f>
        <v>Barra de aço simples</v>
      </c>
      <c r="F1930" s="39">
        <v>44812</v>
      </c>
      <c r="G1930" s="7">
        <v>86</v>
      </c>
      <c r="H1930" s="3">
        <f>_xlfn.XLOOKUP(Vendas[[#This Row],[ID Item Vendido]],Agregado[ID],Agregado[Revenda])</f>
        <v>6.7</v>
      </c>
      <c r="I1930" s="3">
        <f>Vendas[[#This Row],[Valor Unitário]]*Vendas[[#This Row],[Qnt Vendida]]</f>
        <v>576.20000000000005</v>
      </c>
      <c r="J1930" s="3">
        <f>Vendas[[#This Row],[Valor da Venda]]-(_xlfn.XLOOKUP(Vendas[[#This Row],[ID Item Vendido]],Agregado[ID],Agregado[Custo])*Vendas[[#This Row],[Qnt Vendida]])</f>
        <v>77.400000000000034</v>
      </c>
      <c r="K1930" s="70">
        <f>Vendas[[#This Row],[Lucro da Venda]]/Vendas[[#This Row],[Valor da Venda]]</f>
        <v>0.13432835820895528</v>
      </c>
      <c r="L1930" s="3">
        <f>_xlfn.IFS(Vendas[[#This Row],[Margem de Lucro (%)]]&lt;15%,Vendas[[#This Row],[Valor da Venda]]*3%,Vendas[[#This Row],[Margem de Lucro (%)]]&lt;=20%,Vendas[[#This Row],[Valor da Venda]]*4.5%,TRUE,Vendas[[#This Row],[Valor da Venda]]*6%)</f>
        <v>17.286000000000001</v>
      </c>
      <c r="M1930"/>
    </row>
    <row r="1931" spans="1:13" x14ac:dyDescent="0.3">
      <c r="A1931" s="7">
        <v>400242</v>
      </c>
      <c r="B1931" t="str">
        <f>_xlfn.XLOOKUP(Vendas[[#This Row],[ID Vendedor]],Vendedores[ID],Vendedores[Nome])</f>
        <v>Fernanda</v>
      </c>
      <c r="C1931" s="7" t="str">
        <f>_xlfn.XLOOKUP(Vendas[[#This Row],[ID Vendedor]],Vendedores[ID],Vendedores[Setor])</f>
        <v>FM</v>
      </c>
      <c r="D1931" s="7" t="s">
        <v>20</v>
      </c>
      <c r="E1931" t="str">
        <f>_xlfn.XLOOKUP(Vendas[[#This Row],[ID Item Vendido]],Agregado[ID],Agregado[Produto])</f>
        <v>Barra de aço simples</v>
      </c>
      <c r="F1931" s="39">
        <v>44813</v>
      </c>
      <c r="G1931" s="7">
        <v>165</v>
      </c>
      <c r="H1931" s="3">
        <f>_xlfn.XLOOKUP(Vendas[[#This Row],[ID Item Vendido]],Agregado[ID],Agregado[Revenda])</f>
        <v>4.8</v>
      </c>
      <c r="I1931" s="3">
        <f>Vendas[[#This Row],[Valor Unitário]]*Vendas[[#This Row],[Qnt Vendida]]</f>
        <v>792</v>
      </c>
      <c r="J1931" s="3">
        <f>Vendas[[#This Row],[Valor da Venda]]-(_xlfn.XLOOKUP(Vendas[[#This Row],[ID Item Vendido]],Agregado[ID],Agregado[Custo])*Vendas[[#This Row],[Qnt Vendida]])</f>
        <v>99</v>
      </c>
      <c r="K1931" s="70">
        <f>Vendas[[#This Row],[Lucro da Venda]]/Vendas[[#This Row],[Valor da Venda]]</f>
        <v>0.125</v>
      </c>
      <c r="L1931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1931"/>
    </row>
    <row r="1932" spans="1:13" x14ac:dyDescent="0.3">
      <c r="A1932" s="7">
        <v>400249</v>
      </c>
      <c r="B1932" t="str">
        <f>_xlfn.XLOOKUP(Vendas[[#This Row],[ID Vendedor]],Vendedores[ID],Vendedores[Nome])</f>
        <v>Bruno</v>
      </c>
      <c r="C1932" s="7" t="str">
        <f>_xlfn.XLOOKUP(Vendas[[#This Row],[ID Vendedor]],Vendedores[ID],Vendedores[Setor])</f>
        <v>CM</v>
      </c>
      <c r="D1932" s="7" t="s">
        <v>32</v>
      </c>
      <c r="E1932" t="str">
        <f>_xlfn.XLOOKUP(Vendas[[#This Row],[ID Item Vendido]],Agregado[ID],Agregado[Produto])</f>
        <v>Tábua tratada e cortada 3m</v>
      </c>
      <c r="F1932" s="39">
        <v>44813</v>
      </c>
      <c r="G1932" s="7">
        <v>15</v>
      </c>
      <c r="H1932" s="3">
        <f>_xlfn.XLOOKUP(Vendas[[#This Row],[ID Item Vendido]],Agregado[ID],Agregado[Revenda])</f>
        <v>39</v>
      </c>
      <c r="I1932" s="3">
        <f>Vendas[[#This Row],[Valor Unitário]]*Vendas[[#This Row],[Qnt Vendida]]</f>
        <v>585</v>
      </c>
      <c r="J1932" s="3">
        <f>Vendas[[#This Row],[Valor da Venda]]-(_xlfn.XLOOKUP(Vendas[[#This Row],[ID Item Vendido]],Agregado[ID],Agregado[Custo])*Vendas[[#This Row],[Qnt Vendida]])</f>
        <v>105</v>
      </c>
      <c r="K1932" s="70">
        <f>Vendas[[#This Row],[Lucro da Venda]]/Vendas[[#This Row],[Valor da Venda]]</f>
        <v>0.17948717948717949</v>
      </c>
      <c r="L1932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1932"/>
    </row>
    <row r="1933" spans="1:13" x14ac:dyDescent="0.3">
      <c r="A1933" s="7">
        <v>400250</v>
      </c>
      <c r="B1933" t="str">
        <f>_xlfn.XLOOKUP(Vendas[[#This Row],[ID Vendedor]],Vendedores[ID],Vendedores[Nome])</f>
        <v>Larissa</v>
      </c>
      <c r="C1933" s="7" t="str">
        <f>_xlfn.XLOOKUP(Vendas[[#This Row],[ID Vendedor]],Vendedores[ID],Vendedores[Setor])</f>
        <v>AB</v>
      </c>
      <c r="D1933" s="7" t="s">
        <v>36</v>
      </c>
      <c r="E1933" t="str">
        <f>_xlfn.XLOOKUP(Vendas[[#This Row],[ID Item Vendido]],Agregado[ID],Agregado[Produto])</f>
        <v>Borracha vulcanizada em manta</v>
      </c>
      <c r="F1933" s="39">
        <v>44813</v>
      </c>
      <c r="G1933" s="7">
        <v>30</v>
      </c>
      <c r="H1933" s="3">
        <f>_xlfn.XLOOKUP(Vendas[[#This Row],[ID Item Vendido]],Agregado[ID],Agregado[Revenda])</f>
        <v>7.8</v>
      </c>
      <c r="I1933" s="3">
        <f>Vendas[[#This Row],[Valor Unitário]]*Vendas[[#This Row],[Qnt Vendida]]</f>
        <v>234</v>
      </c>
      <c r="J1933" s="3">
        <f>Vendas[[#This Row],[Valor da Venda]]-(_xlfn.XLOOKUP(Vendas[[#This Row],[ID Item Vendido]],Agregado[ID],Agregado[Custo])*Vendas[[#This Row],[Qnt Vendida]])</f>
        <v>54</v>
      </c>
      <c r="K1933" s="70">
        <f>Vendas[[#This Row],[Lucro da Venda]]/Vendas[[#This Row],[Valor da Venda]]</f>
        <v>0.23076923076923078</v>
      </c>
      <c r="L193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933"/>
    </row>
    <row r="1934" spans="1:13" x14ac:dyDescent="0.3">
      <c r="A1934" s="7">
        <v>400250</v>
      </c>
      <c r="B1934" t="str">
        <f>_xlfn.XLOOKUP(Vendas[[#This Row],[ID Vendedor]],Vendedores[ID],Vendedores[Nome])</f>
        <v>Larissa</v>
      </c>
      <c r="C1934" s="7" t="str">
        <f>_xlfn.XLOOKUP(Vendas[[#This Row],[ID Vendedor]],Vendedores[ID],Vendedores[Setor])</f>
        <v>AB</v>
      </c>
      <c r="D1934" s="7" t="s">
        <v>36</v>
      </c>
      <c r="E1934" t="str">
        <f>_xlfn.XLOOKUP(Vendas[[#This Row],[ID Item Vendido]],Agregado[ID],Agregado[Produto])</f>
        <v>Borracha vulcanizada em manta</v>
      </c>
      <c r="F1934" s="39">
        <v>44813</v>
      </c>
      <c r="G1934" s="7">
        <v>24</v>
      </c>
      <c r="H1934" s="3">
        <f>_xlfn.XLOOKUP(Vendas[[#This Row],[ID Item Vendido]],Agregado[ID],Agregado[Revenda])</f>
        <v>7.8</v>
      </c>
      <c r="I1934" s="3">
        <f>Vendas[[#This Row],[Valor Unitário]]*Vendas[[#This Row],[Qnt Vendida]]</f>
        <v>187.2</v>
      </c>
      <c r="J1934" s="3">
        <f>Vendas[[#This Row],[Valor da Venda]]-(_xlfn.XLOOKUP(Vendas[[#This Row],[ID Item Vendido]],Agregado[ID],Agregado[Custo])*Vendas[[#This Row],[Qnt Vendida]])</f>
        <v>43.199999999999989</v>
      </c>
      <c r="K1934" s="70">
        <f>Vendas[[#This Row],[Lucro da Venda]]/Vendas[[#This Row],[Valor da Venda]]</f>
        <v>0.23076923076923073</v>
      </c>
      <c r="L1934" s="3">
        <f>_xlfn.IFS(Vendas[[#This Row],[Margem de Lucro (%)]]&lt;15%,Vendas[[#This Row],[Valor da Venda]]*3%,Vendas[[#This Row],[Margem de Lucro (%)]]&lt;=20%,Vendas[[#This Row],[Valor da Venda]]*4.5%,TRUE,Vendas[[#This Row],[Valor da Venda]]*6%)</f>
        <v>11.231999999999999</v>
      </c>
      <c r="M1934"/>
    </row>
    <row r="1935" spans="1:13" x14ac:dyDescent="0.3">
      <c r="A1935" s="7">
        <v>400253</v>
      </c>
      <c r="B1935" t="str">
        <f>_xlfn.XLOOKUP(Vendas[[#This Row],[ID Vendedor]],Vendedores[ID],Vendedores[Nome])</f>
        <v>Gustavo</v>
      </c>
      <c r="C1935" s="7" t="str">
        <f>_xlfn.XLOOKUP(Vendas[[#This Row],[ID Vendedor]],Vendedores[ID],Vendedores[Setor])</f>
        <v>SC</v>
      </c>
      <c r="D1935" s="7" t="s">
        <v>14</v>
      </c>
      <c r="E1935" t="str">
        <f>_xlfn.XLOOKUP(Vendas[[#This Row],[ID Item Vendido]],Agregado[ID],Agregado[Produto])</f>
        <v>Barril de plástico 200L</v>
      </c>
      <c r="F1935" s="39">
        <v>44814</v>
      </c>
      <c r="G1935" s="7">
        <v>21</v>
      </c>
      <c r="H1935" s="3">
        <f>_xlfn.XLOOKUP(Vendas[[#This Row],[ID Item Vendido]],Agregado[ID],Agregado[Revenda])</f>
        <v>114</v>
      </c>
      <c r="I1935" s="3">
        <f>Vendas[[#This Row],[Valor Unitário]]*Vendas[[#This Row],[Qnt Vendida]]</f>
        <v>2394</v>
      </c>
      <c r="J1935" s="3">
        <f>Vendas[[#This Row],[Valor da Venda]]-(_xlfn.XLOOKUP(Vendas[[#This Row],[ID Item Vendido]],Agregado[ID],Agregado[Custo])*Vendas[[#This Row],[Qnt Vendida]])</f>
        <v>399</v>
      </c>
      <c r="K1935" s="70">
        <f>Vendas[[#This Row],[Lucro da Venda]]/Vendas[[#This Row],[Valor da Venda]]</f>
        <v>0.16666666666666666</v>
      </c>
      <c r="L1935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1935"/>
    </row>
    <row r="1936" spans="1:13" x14ac:dyDescent="0.3">
      <c r="A1936" s="7">
        <v>400249</v>
      </c>
      <c r="B1936" t="str">
        <f>_xlfn.XLOOKUP(Vendas[[#This Row],[ID Vendedor]],Vendedores[ID],Vendedores[Nome])</f>
        <v>Bruno</v>
      </c>
      <c r="C1936" s="7" t="str">
        <f>_xlfn.XLOOKUP(Vendas[[#This Row],[ID Vendedor]],Vendedores[ID],Vendedores[Setor])</f>
        <v>CM</v>
      </c>
      <c r="D1936" s="7" t="s">
        <v>22</v>
      </c>
      <c r="E1936" t="str">
        <f>_xlfn.XLOOKUP(Vendas[[#This Row],[ID Item Vendido]],Agregado[ID],Agregado[Produto])</f>
        <v>Painel MDP 2,75x1,83m</v>
      </c>
      <c r="F1936" s="39">
        <v>44814</v>
      </c>
      <c r="G1936" s="7">
        <v>4</v>
      </c>
      <c r="H1936" s="3">
        <f>_xlfn.XLOOKUP(Vendas[[#This Row],[ID Item Vendido]],Agregado[ID],Agregado[Revenda])</f>
        <v>119</v>
      </c>
      <c r="I1936" s="3">
        <f>Vendas[[#This Row],[Valor Unitário]]*Vendas[[#This Row],[Qnt Vendida]]</f>
        <v>476</v>
      </c>
      <c r="J1936" s="3">
        <f>Vendas[[#This Row],[Valor da Venda]]-(_xlfn.XLOOKUP(Vendas[[#This Row],[ID Item Vendido]],Agregado[ID],Agregado[Custo])*Vendas[[#This Row],[Qnt Vendida]])</f>
        <v>96</v>
      </c>
      <c r="K1936" s="70">
        <f>Vendas[[#This Row],[Lucro da Venda]]/Vendas[[#This Row],[Valor da Venda]]</f>
        <v>0.20168067226890757</v>
      </c>
      <c r="L1936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1936"/>
    </row>
    <row r="1937" spans="1:13" x14ac:dyDescent="0.3">
      <c r="A1937" s="7">
        <v>400249</v>
      </c>
      <c r="B1937" t="str">
        <f>_xlfn.XLOOKUP(Vendas[[#This Row],[ID Vendedor]],Vendedores[ID],Vendedores[Nome])</f>
        <v>Bruno</v>
      </c>
      <c r="C1937" s="7" t="str">
        <f>_xlfn.XLOOKUP(Vendas[[#This Row],[ID Vendedor]],Vendedores[ID],Vendedores[Setor])</f>
        <v>CM</v>
      </c>
      <c r="D1937" s="7" t="s">
        <v>43</v>
      </c>
      <c r="E1937" t="str">
        <f>_xlfn.XLOOKUP(Vendas[[#This Row],[ID Item Vendido]],Agregado[ID],Agregado[Produto])</f>
        <v>Madeira Bruta (Tora)</v>
      </c>
      <c r="F1937" s="39">
        <v>44817</v>
      </c>
      <c r="G1937" s="7">
        <v>11</v>
      </c>
      <c r="H1937" s="3">
        <f>_xlfn.XLOOKUP(Vendas[[#This Row],[ID Item Vendido]],Agregado[ID],Agregado[Revenda])</f>
        <v>212</v>
      </c>
      <c r="I1937" s="3">
        <f>Vendas[[#This Row],[Valor Unitário]]*Vendas[[#This Row],[Qnt Vendida]]</f>
        <v>2332</v>
      </c>
      <c r="J1937" s="3">
        <f>Vendas[[#This Row],[Valor da Venda]]-(_xlfn.XLOOKUP(Vendas[[#This Row],[ID Item Vendido]],Agregado[ID],Agregado[Custo])*Vendas[[#This Row],[Qnt Vendida]])</f>
        <v>352</v>
      </c>
      <c r="K1937" s="70">
        <f>Vendas[[#This Row],[Lucro da Venda]]/Vendas[[#This Row],[Valor da Venda]]</f>
        <v>0.15094339622641509</v>
      </c>
      <c r="L1937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1937"/>
    </row>
    <row r="1938" spans="1:13" x14ac:dyDescent="0.3">
      <c r="A1938" s="7">
        <v>400242</v>
      </c>
      <c r="B1938" t="str">
        <f>_xlfn.XLOOKUP(Vendas[[#This Row],[ID Vendedor]],Vendedores[ID],Vendedores[Nome])</f>
        <v>Fernanda</v>
      </c>
      <c r="C1938" s="7" t="str">
        <f>_xlfn.XLOOKUP(Vendas[[#This Row],[ID Vendedor]],Vendedores[ID],Vendedores[Setor])</f>
        <v>FM</v>
      </c>
      <c r="D1938" s="7" t="s">
        <v>47</v>
      </c>
      <c r="E1938" t="str">
        <f>_xlfn.XLOOKUP(Vendas[[#This Row],[ID Item Vendido]],Agregado[ID],Agregado[Produto])</f>
        <v>Fio de arame galvanizado rolo 50m</v>
      </c>
      <c r="F1938" s="39">
        <v>44817</v>
      </c>
      <c r="G1938" s="7">
        <v>23</v>
      </c>
      <c r="H1938" s="3">
        <f>_xlfn.XLOOKUP(Vendas[[#This Row],[ID Item Vendido]],Agregado[ID],Agregado[Revenda])</f>
        <v>21.2</v>
      </c>
      <c r="I1938" s="3">
        <f>Vendas[[#This Row],[Valor Unitário]]*Vendas[[#This Row],[Qnt Vendida]]</f>
        <v>487.59999999999997</v>
      </c>
      <c r="J1938" s="3">
        <f>Vendas[[#This Row],[Valor da Venda]]-(_xlfn.XLOOKUP(Vendas[[#This Row],[ID Item Vendido]],Agregado[ID],Agregado[Custo])*Vendas[[#This Row],[Qnt Vendida]])</f>
        <v>73.599999999999966</v>
      </c>
      <c r="K1938" s="70">
        <f>Vendas[[#This Row],[Lucro da Venda]]/Vendas[[#This Row],[Valor da Venda]]</f>
        <v>0.15094339622641503</v>
      </c>
      <c r="L1938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1938"/>
    </row>
    <row r="1939" spans="1:13" x14ac:dyDescent="0.3">
      <c r="A1939" s="7">
        <v>400248</v>
      </c>
      <c r="B1939" t="str">
        <f>_xlfn.XLOOKUP(Vendas[[#This Row],[ID Vendedor]],Vendedores[ID],Vendedores[Nome])</f>
        <v>Patrícia</v>
      </c>
      <c r="C1939" s="7" t="str">
        <f>_xlfn.XLOOKUP(Vendas[[#This Row],[ID Vendedor]],Vendedores[ID],Vendedores[Setor])</f>
        <v>CM</v>
      </c>
      <c r="D1939" s="7" t="s">
        <v>32</v>
      </c>
      <c r="E1939" t="str">
        <f>_xlfn.XLOOKUP(Vendas[[#This Row],[ID Item Vendido]],Agregado[ID],Agregado[Produto])</f>
        <v>Tábua tratada e cortada 3m</v>
      </c>
      <c r="F1939" s="39">
        <v>44818</v>
      </c>
      <c r="G1939" s="7">
        <v>41</v>
      </c>
      <c r="H1939" s="3">
        <f>_xlfn.XLOOKUP(Vendas[[#This Row],[ID Item Vendido]],Agregado[ID],Agregado[Revenda])</f>
        <v>39</v>
      </c>
      <c r="I1939" s="3">
        <f>Vendas[[#This Row],[Valor Unitário]]*Vendas[[#This Row],[Qnt Vendida]]</f>
        <v>1599</v>
      </c>
      <c r="J1939" s="3">
        <f>Vendas[[#This Row],[Valor da Venda]]-(_xlfn.XLOOKUP(Vendas[[#This Row],[ID Item Vendido]],Agregado[ID],Agregado[Custo])*Vendas[[#This Row],[Qnt Vendida]])</f>
        <v>287</v>
      </c>
      <c r="K1939" s="70">
        <f>Vendas[[#This Row],[Lucro da Venda]]/Vendas[[#This Row],[Valor da Venda]]</f>
        <v>0.17948717948717949</v>
      </c>
      <c r="L1939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1939"/>
    </row>
    <row r="1940" spans="1:13" x14ac:dyDescent="0.3">
      <c r="A1940" s="7">
        <v>400247</v>
      </c>
      <c r="B1940" t="str">
        <f>_xlfn.XLOOKUP(Vendas[[#This Row],[ID Vendedor]],Vendedores[ID],Vendedores[Nome])</f>
        <v>André</v>
      </c>
      <c r="C1940" s="7" t="str">
        <f>_xlfn.XLOOKUP(Vendas[[#This Row],[ID Vendedor]],Vendedores[ID],Vendedores[Setor])</f>
        <v>CM</v>
      </c>
      <c r="D1940" s="7" t="s">
        <v>43</v>
      </c>
      <c r="E1940" t="str">
        <f>_xlfn.XLOOKUP(Vendas[[#This Row],[ID Item Vendido]],Agregado[ID],Agregado[Produto])</f>
        <v>Madeira Bruta (Tora)</v>
      </c>
      <c r="F1940" s="39">
        <v>44819</v>
      </c>
      <c r="G1940" s="7">
        <v>14</v>
      </c>
      <c r="H1940" s="3">
        <f>_xlfn.XLOOKUP(Vendas[[#This Row],[ID Item Vendido]],Agregado[ID],Agregado[Revenda])</f>
        <v>212</v>
      </c>
      <c r="I1940" s="3">
        <f>Vendas[[#This Row],[Valor Unitário]]*Vendas[[#This Row],[Qnt Vendida]]</f>
        <v>2968</v>
      </c>
      <c r="J1940" s="3">
        <f>Vendas[[#This Row],[Valor da Venda]]-(_xlfn.XLOOKUP(Vendas[[#This Row],[ID Item Vendido]],Agregado[ID],Agregado[Custo])*Vendas[[#This Row],[Qnt Vendida]])</f>
        <v>448</v>
      </c>
      <c r="K1940" s="70">
        <f>Vendas[[#This Row],[Lucro da Venda]]/Vendas[[#This Row],[Valor da Venda]]</f>
        <v>0.15094339622641509</v>
      </c>
      <c r="L1940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1940"/>
    </row>
    <row r="1941" spans="1:13" x14ac:dyDescent="0.3">
      <c r="A1941" s="7">
        <v>400244</v>
      </c>
      <c r="B1941" t="str">
        <f>_xlfn.XLOOKUP(Vendas[[#This Row],[ID Vendedor]],Vendedores[ID],Vendedores[Nome])</f>
        <v>Camila</v>
      </c>
      <c r="C1941" s="7" t="str">
        <f>_xlfn.XLOOKUP(Vendas[[#This Row],[ID Vendedor]],Vendedores[ID],Vendedores[Setor])</f>
        <v>AHD</v>
      </c>
      <c r="D1941" s="7" t="s">
        <v>30</v>
      </c>
      <c r="E1941" t="str">
        <f>_xlfn.XLOOKUP(Vendas[[#This Row],[ID Item Vendido]],Agregado[ID],Agregado[Produto])</f>
        <v>Estrutura metálica soldada</v>
      </c>
      <c r="F1941" s="39">
        <v>44819</v>
      </c>
      <c r="G1941" s="7">
        <v>5</v>
      </c>
      <c r="H1941" s="3">
        <f>_xlfn.XLOOKUP(Vendas[[#This Row],[ID Item Vendido]],Agregado[ID],Agregado[Revenda])</f>
        <v>400</v>
      </c>
      <c r="I1941" s="3">
        <f>Vendas[[#This Row],[Valor Unitário]]*Vendas[[#This Row],[Qnt Vendida]]</f>
        <v>2000</v>
      </c>
      <c r="J1941" s="3">
        <f>Vendas[[#This Row],[Valor da Venda]]-(_xlfn.XLOOKUP(Vendas[[#This Row],[ID Item Vendido]],Agregado[ID],Agregado[Custo])*Vendas[[#This Row],[Qnt Vendida]])</f>
        <v>400</v>
      </c>
      <c r="K1941" s="70">
        <f>Vendas[[#This Row],[Lucro da Venda]]/Vendas[[#This Row],[Valor da Venda]]</f>
        <v>0.2</v>
      </c>
      <c r="L194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1941"/>
    </row>
    <row r="1942" spans="1:13" x14ac:dyDescent="0.3">
      <c r="A1942" s="7">
        <v>400249</v>
      </c>
      <c r="B1942" t="str">
        <f>_xlfn.XLOOKUP(Vendas[[#This Row],[ID Vendedor]],Vendedores[ID],Vendedores[Nome])</f>
        <v>Bruno</v>
      </c>
      <c r="C1942" s="7" t="str">
        <f>_xlfn.XLOOKUP(Vendas[[#This Row],[ID Vendedor]],Vendedores[ID],Vendedores[Setor])</f>
        <v>CM</v>
      </c>
      <c r="D1942" s="7" t="s">
        <v>32</v>
      </c>
      <c r="E1942" t="str">
        <f>_xlfn.XLOOKUP(Vendas[[#This Row],[ID Item Vendido]],Agregado[ID],Agregado[Produto])</f>
        <v>Tábua tratada e cortada 3m</v>
      </c>
      <c r="F1942" s="39">
        <v>44819</v>
      </c>
      <c r="G1942" s="7">
        <v>50</v>
      </c>
      <c r="H1942" s="3">
        <f>_xlfn.XLOOKUP(Vendas[[#This Row],[ID Item Vendido]],Agregado[ID],Agregado[Revenda])</f>
        <v>39</v>
      </c>
      <c r="I1942" s="3">
        <f>Vendas[[#This Row],[Valor Unitário]]*Vendas[[#This Row],[Qnt Vendida]]</f>
        <v>1950</v>
      </c>
      <c r="J1942" s="3">
        <f>Vendas[[#This Row],[Valor da Venda]]-(_xlfn.XLOOKUP(Vendas[[#This Row],[ID Item Vendido]],Agregado[ID],Agregado[Custo])*Vendas[[#This Row],[Qnt Vendida]])</f>
        <v>350</v>
      </c>
      <c r="K1942" s="70">
        <f>Vendas[[#This Row],[Lucro da Venda]]/Vendas[[#This Row],[Valor da Venda]]</f>
        <v>0.17948717948717949</v>
      </c>
      <c r="L1942" s="3">
        <f>_xlfn.IFS(Vendas[[#This Row],[Margem de Lucro (%)]]&lt;15%,Vendas[[#This Row],[Valor da Venda]]*3%,Vendas[[#This Row],[Margem de Lucro (%)]]&lt;=20%,Vendas[[#This Row],[Valor da Venda]]*4.5%,TRUE,Vendas[[#This Row],[Valor da Venda]]*6%)</f>
        <v>87.75</v>
      </c>
      <c r="M1942"/>
    </row>
    <row r="1943" spans="1:13" x14ac:dyDescent="0.3">
      <c r="A1943" s="7">
        <v>400251</v>
      </c>
      <c r="B1943" t="str">
        <f>_xlfn.XLOOKUP(Vendas[[#This Row],[ID Vendedor]],Vendedores[ID],Vendedores[Nome])</f>
        <v>Diego</v>
      </c>
      <c r="C1943" s="7" t="str">
        <f>_xlfn.XLOOKUP(Vendas[[#This Row],[ID Vendedor]],Vendedores[ID],Vendedores[Setor])</f>
        <v>AB</v>
      </c>
      <c r="D1943" s="7" t="s">
        <v>37</v>
      </c>
      <c r="E1943" t="str">
        <f>_xlfn.XLOOKUP(Vendas[[#This Row],[ID Item Vendido]],Agregado[ID],Agregado[Produto])</f>
        <v>Composto de borracha para vedação rolo 10m</v>
      </c>
      <c r="F1943" s="39">
        <v>44819</v>
      </c>
      <c r="G1943" s="7">
        <v>7</v>
      </c>
      <c r="H1943" s="3">
        <f>_xlfn.XLOOKUP(Vendas[[#This Row],[ID Item Vendido]],Agregado[ID],Agregado[Revenda])</f>
        <v>51.2</v>
      </c>
      <c r="I1943" s="3">
        <f>Vendas[[#This Row],[Valor Unitário]]*Vendas[[#This Row],[Qnt Vendida]]</f>
        <v>358.40000000000003</v>
      </c>
      <c r="J1943" s="3">
        <f>Vendas[[#This Row],[Valor da Venda]]-(_xlfn.XLOOKUP(Vendas[[#This Row],[ID Item Vendido]],Agregado[ID],Agregado[Custo])*Vendas[[#This Row],[Qnt Vendida]])</f>
        <v>78.400000000000034</v>
      </c>
      <c r="K1943" s="70">
        <f>Vendas[[#This Row],[Lucro da Venda]]/Vendas[[#This Row],[Valor da Venda]]</f>
        <v>0.21875000000000008</v>
      </c>
      <c r="L1943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1943"/>
    </row>
    <row r="1944" spans="1:13" x14ac:dyDescent="0.3">
      <c r="A1944" s="7">
        <v>400249</v>
      </c>
      <c r="B1944" t="str">
        <f>_xlfn.XLOOKUP(Vendas[[#This Row],[ID Vendedor]],Vendedores[ID],Vendedores[Nome])</f>
        <v>Bruno</v>
      </c>
      <c r="C1944" s="7" t="str">
        <f>_xlfn.XLOOKUP(Vendas[[#This Row],[ID Vendedor]],Vendedores[ID],Vendedores[Setor])</f>
        <v>CM</v>
      </c>
      <c r="D1944" s="7" t="s">
        <v>22</v>
      </c>
      <c r="E1944" t="str">
        <f>_xlfn.XLOOKUP(Vendas[[#This Row],[ID Item Vendido]],Agregado[ID],Agregado[Produto])</f>
        <v>Painel MDP 2,75x1,83m</v>
      </c>
      <c r="F1944" s="39">
        <v>44820</v>
      </c>
      <c r="G1944" s="7">
        <v>24</v>
      </c>
      <c r="H1944" s="3">
        <f>_xlfn.XLOOKUP(Vendas[[#This Row],[ID Item Vendido]],Agregado[ID],Agregado[Revenda])</f>
        <v>119</v>
      </c>
      <c r="I1944" s="3">
        <f>Vendas[[#This Row],[Valor Unitário]]*Vendas[[#This Row],[Qnt Vendida]]</f>
        <v>2856</v>
      </c>
      <c r="J1944" s="3">
        <f>Vendas[[#This Row],[Valor da Venda]]-(_xlfn.XLOOKUP(Vendas[[#This Row],[ID Item Vendido]],Agregado[ID],Agregado[Custo])*Vendas[[#This Row],[Qnt Vendida]])</f>
        <v>576</v>
      </c>
      <c r="K1944" s="70">
        <f>Vendas[[#This Row],[Lucro da Venda]]/Vendas[[#This Row],[Valor da Venda]]</f>
        <v>0.20168067226890757</v>
      </c>
      <c r="L1944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1944"/>
    </row>
    <row r="1945" spans="1:13" x14ac:dyDescent="0.3">
      <c r="A1945" s="7">
        <v>400249</v>
      </c>
      <c r="B1945" t="str">
        <f>_xlfn.XLOOKUP(Vendas[[#This Row],[ID Vendedor]],Vendedores[ID],Vendedores[Nome])</f>
        <v>Bruno</v>
      </c>
      <c r="C1945" s="7" t="str">
        <f>_xlfn.XLOOKUP(Vendas[[#This Row],[ID Vendedor]],Vendedores[ID],Vendedores[Setor])</f>
        <v>CM</v>
      </c>
      <c r="D1945" s="7" t="s">
        <v>45</v>
      </c>
      <c r="E1945" t="str">
        <f>_xlfn.XLOOKUP(Vendas[[#This Row],[ID Item Vendido]],Agregado[ID],Agregado[Produto])</f>
        <v>Viga de madeira tratada 4m</v>
      </c>
      <c r="F1945" s="39">
        <v>44820</v>
      </c>
      <c r="G1945" s="7">
        <v>3</v>
      </c>
      <c r="H1945" s="3">
        <f>_xlfn.XLOOKUP(Vendas[[#This Row],[ID Item Vendido]],Agregado[ID],Agregado[Revenda])</f>
        <v>66</v>
      </c>
      <c r="I1945" s="3">
        <f>Vendas[[#This Row],[Valor Unitário]]*Vendas[[#This Row],[Qnt Vendida]]</f>
        <v>198</v>
      </c>
      <c r="J1945" s="3">
        <f>Vendas[[#This Row],[Valor da Venda]]-(_xlfn.XLOOKUP(Vendas[[#This Row],[ID Item Vendido]],Agregado[ID],Agregado[Custo])*Vendas[[#This Row],[Qnt Vendida]])</f>
        <v>33</v>
      </c>
      <c r="K1945" s="70">
        <f>Vendas[[#This Row],[Lucro da Venda]]/Vendas[[#This Row],[Valor da Venda]]</f>
        <v>0.16666666666666666</v>
      </c>
      <c r="L1945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1945"/>
    </row>
    <row r="1946" spans="1:13" x14ac:dyDescent="0.3">
      <c r="A1946" s="7">
        <v>400253</v>
      </c>
      <c r="B1946" t="str">
        <f>_xlfn.XLOOKUP(Vendas[[#This Row],[ID Vendedor]],Vendedores[ID],Vendedores[Nome])</f>
        <v>Gustavo</v>
      </c>
      <c r="C1946" s="7" t="str">
        <f>_xlfn.XLOOKUP(Vendas[[#This Row],[ID Vendedor]],Vendedores[ID],Vendedores[Setor])</f>
        <v>SC</v>
      </c>
      <c r="D1946" s="7" t="s">
        <v>25</v>
      </c>
      <c r="E1946" t="str">
        <f>_xlfn.XLOOKUP(Vendas[[#This Row],[ID Item Vendido]],Agregado[ID],Agregado[Produto])</f>
        <v>Palete de plástico</v>
      </c>
      <c r="F1946" s="39">
        <v>44821</v>
      </c>
      <c r="G1946" s="7">
        <v>11</v>
      </c>
      <c r="H1946" s="3">
        <f>_xlfn.XLOOKUP(Vendas[[#This Row],[ID Item Vendido]],Agregado[ID],Agregado[Revenda])</f>
        <v>70.8</v>
      </c>
      <c r="I1946" s="3">
        <f>Vendas[[#This Row],[Valor Unitário]]*Vendas[[#This Row],[Qnt Vendida]]</f>
        <v>778.8</v>
      </c>
      <c r="J1946" s="3">
        <f>Vendas[[#This Row],[Valor da Venda]]-(_xlfn.XLOOKUP(Vendas[[#This Row],[ID Item Vendido]],Agregado[ID],Agregado[Custo])*Vendas[[#This Row],[Qnt Vendida]])</f>
        <v>118.79999999999995</v>
      </c>
      <c r="K1946" s="70">
        <f>Vendas[[#This Row],[Lucro da Venda]]/Vendas[[#This Row],[Valor da Venda]]</f>
        <v>0.15254237288135589</v>
      </c>
      <c r="L1946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1946"/>
    </row>
    <row r="1947" spans="1:13" x14ac:dyDescent="0.3">
      <c r="A1947" s="7">
        <v>400241</v>
      </c>
      <c r="B1947" t="str">
        <f>_xlfn.XLOOKUP(Vendas[[#This Row],[ID Vendedor]],Vendedores[ID],Vendedores[Nome])</f>
        <v>Rodrigo</v>
      </c>
      <c r="C1947" s="7" t="str">
        <f>_xlfn.XLOOKUP(Vendas[[#This Row],[ID Vendedor]],Vendedores[ID],Vendedores[Setor])</f>
        <v>FM</v>
      </c>
      <c r="D1947" s="7" t="s">
        <v>31</v>
      </c>
      <c r="E1947" t="str">
        <f>_xlfn.XLOOKUP(Vendas[[#This Row],[ID Item Vendido]],Agregado[ID],Agregado[Produto])</f>
        <v>Tela de metal soldada rolo 2x25m</v>
      </c>
      <c r="F1947" s="39">
        <v>44821</v>
      </c>
      <c r="G1947" s="7">
        <v>11</v>
      </c>
      <c r="H1947" s="3">
        <f>_xlfn.XLOOKUP(Vendas[[#This Row],[ID Item Vendido]],Agregado[ID],Agregado[Revenda])</f>
        <v>43.7</v>
      </c>
      <c r="I1947" s="3">
        <f>Vendas[[#This Row],[Valor Unitário]]*Vendas[[#This Row],[Qnt Vendida]]</f>
        <v>480.70000000000005</v>
      </c>
      <c r="J1947" s="3">
        <f>Vendas[[#This Row],[Valor da Venda]]-(_xlfn.XLOOKUP(Vendas[[#This Row],[ID Item Vendido]],Agregado[ID],Agregado[Custo])*Vendas[[#This Row],[Qnt Vendida]])</f>
        <v>62.700000000000045</v>
      </c>
      <c r="K1947" s="70">
        <f>Vendas[[#This Row],[Lucro da Venda]]/Vendas[[#This Row],[Valor da Venda]]</f>
        <v>0.13043478260869573</v>
      </c>
      <c r="L1947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1947"/>
    </row>
    <row r="1948" spans="1:13" x14ac:dyDescent="0.3">
      <c r="A1948" s="7">
        <v>400241</v>
      </c>
      <c r="B1948" t="str">
        <f>_xlfn.XLOOKUP(Vendas[[#This Row],[ID Vendedor]],Vendedores[ID],Vendedores[Nome])</f>
        <v>Rodrigo</v>
      </c>
      <c r="C1948" s="7" t="str">
        <f>_xlfn.XLOOKUP(Vendas[[#This Row],[ID Vendedor]],Vendedores[ID],Vendedores[Setor])</f>
        <v>FM</v>
      </c>
      <c r="D1948" s="7" t="s">
        <v>20</v>
      </c>
      <c r="E1948" t="str">
        <f>_xlfn.XLOOKUP(Vendas[[#This Row],[ID Item Vendido]],Agregado[ID],Agregado[Produto])</f>
        <v>Barra de aço simples</v>
      </c>
      <c r="F1948" s="39">
        <v>44821</v>
      </c>
      <c r="G1948" s="7">
        <v>85</v>
      </c>
      <c r="H1948" s="3">
        <f>_xlfn.XLOOKUP(Vendas[[#This Row],[ID Item Vendido]],Agregado[ID],Agregado[Revenda])</f>
        <v>4.8</v>
      </c>
      <c r="I1948" s="3">
        <f>Vendas[[#This Row],[Valor Unitário]]*Vendas[[#This Row],[Qnt Vendida]]</f>
        <v>408</v>
      </c>
      <c r="J1948" s="3">
        <f>Vendas[[#This Row],[Valor da Venda]]-(_xlfn.XLOOKUP(Vendas[[#This Row],[ID Item Vendido]],Agregado[ID],Agregado[Custo])*Vendas[[#This Row],[Qnt Vendida]])</f>
        <v>51</v>
      </c>
      <c r="K1948" s="70">
        <f>Vendas[[#This Row],[Lucro da Venda]]/Vendas[[#This Row],[Valor da Venda]]</f>
        <v>0.125</v>
      </c>
      <c r="L1948" s="3">
        <f>_xlfn.IFS(Vendas[[#This Row],[Margem de Lucro (%)]]&lt;15%,Vendas[[#This Row],[Valor da Venda]]*3%,Vendas[[#This Row],[Margem de Lucro (%)]]&lt;=20%,Vendas[[#This Row],[Valor da Venda]]*4.5%,TRUE,Vendas[[#This Row],[Valor da Venda]]*6%)</f>
        <v>12.24</v>
      </c>
      <c r="M1948"/>
    </row>
    <row r="1949" spans="1:13" x14ac:dyDescent="0.3">
      <c r="A1949" s="7">
        <v>400250</v>
      </c>
      <c r="B1949" t="str">
        <f>_xlfn.XLOOKUP(Vendas[[#This Row],[ID Vendedor]],Vendedores[ID],Vendedores[Nome])</f>
        <v>Larissa</v>
      </c>
      <c r="C1949" s="7" t="str">
        <f>_xlfn.XLOOKUP(Vendas[[#This Row],[ID Vendedor]],Vendedores[ID],Vendedores[Setor])</f>
        <v>AB</v>
      </c>
      <c r="D1949" s="7" t="s">
        <v>12</v>
      </c>
      <c r="E1949" t="str">
        <f>_xlfn.XLOOKUP(Vendas[[#This Row],[ID Item Vendido]],Agregado[ID],Agregado[Produto])</f>
        <v>Grânulo de plástico reciclado refinado</v>
      </c>
      <c r="F1949" s="39">
        <v>44821</v>
      </c>
      <c r="G1949" s="7">
        <v>85</v>
      </c>
      <c r="H1949" s="3">
        <f>_xlfn.XLOOKUP(Vendas[[#This Row],[ID Item Vendido]],Agregado[ID],Agregado[Revenda])</f>
        <v>4.7</v>
      </c>
      <c r="I1949" s="3">
        <f>Vendas[[#This Row],[Valor Unitário]]*Vendas[[#This Row],[Qnt Vendida]]</f>
        <v>399.5</v>
      </c>
      <c r="J1949" s="3">
        <f>Vendas[[#This Row],[Valor da Venda]]-(_xlfn.XLOOKUP(Vendas[[#This Row],[ID Item Vendido]],Agregado[ID],Agregado[Custo])*Vendas[[#This Row],[Qnt Vendida]])</f>
        <v>102</v>
      </c>
      <c r="K1949" s="70">
        <f>Vendas[[#This Row],[Lucro da Venda]]/Vendas[[#This Row],[Valor da Venda]]</f>
        <v>0.25531914893617019</v>
      </c>
      <c r="L1949" s="3">
        <f>_xlfn.IFS(Vendas[[#This Row],[Margem de Lucro (%)]]&lt;15%,Vendas[[#This Row],[Valor da Venda]]*3%,Vendas[[#This Row],[Margem de Lucro (%)]]&lt;=20%,Vendas[[#This Row],[Valor da Venda]]*4.5%,TRUE,Vendas[[#This Row],[Valor da Venda]]*6%)</f>
        <v>23.97</v>
      </c>
      <c r="M1949"/>
    </row>
    <row r="1950" spans="1:13" x14ac:dyDescent="0.3">
      <c r="A1950" s="7">
        <v>400241</v>
      </c>
      <c r="B1950" t="str">
        <f>_xlfn.XLOOKUP(Vendas[[#This Row],[ID Vendedor]],Vendedores[ID],Vendedores[Nome])</f>
        <v>Rodrigo</v>
      </c>
      <c r="C1950" s="7" t="str">
        <f>_xlfn.XLOOKUP(Vendas[[#This Row],[ID Vendedor]],Vendedores[ID],Vendedores[Setor])</f>
        <v>FM</v>
      </c>
      <c r="D1950" s="7" t="s">
        <v>47</v>
      </c>
      <c r="E1950" t="str">
        <f>_xlfn.XLOOKUP(Vendas[[#This Row],[ID Item Vendido]],Agregado[ID],Agregado[Produto])</f>
        <v>Fio de arame galvanizado rolo 50m</v>
      </c>
      <c r="F1950" s="39">
        <v>44821</v>
      </c>
      <c r="G1950" s="7">
        <v>16</v>
      </c>
      <c r="H1950" s="3">
        <f>_xlfn.XLOOKUP(Vendas[[#This Row],[ID Item Vendido]],Agregado[ID],Agregado[Revenda])</f>
        <v>21.2</v>
      </c>
      <c r="I1950" s="3">
        <f>Vendas[[#This Row],[Valor Unitário]]*Vendas[[#This Row],[Qnt Vendida]]</f>
        <v>339.2</v>
      </c>
      <c r="J1950" s="3">
        <f>Vendas[[#This Row],[Valor da Venda]]-(_xlfn.XLOOKUP(Vendas[[#This Row],[ID Item Vendido]],Agregado[ID],Agregado[Custo])*Vendas[[#This Row],[Qnt Vendida]])</f>
        <v>51.199999999999989</v>
      </c>
      <c r="K1950" s="70">
        <f>Vendas[[#This Row],[Lucro da Venda]]/Vendas[[#This Row],[Valor da Venda]]</f>
        <v>0.15094339622641506</v>
      </c>
      <c r="L1950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1950"/>
    </row>
    <row r="1951" spans="1:13" x14ac:dyDescent="0.3">
      <c r="A1951" s="7">
        <v>400253</v>
      </c>
      <c r="B1951" t="str">
        <f>_xlfn.XLOOKUP(Vendas[[#This Row],[ID Vendedor]],Vendedores[ID],Vendedores[Nome])</f>
        <v>Gustavo</v>
      </c>
      <c r="C1951" s="7" t="str">
        <f>_xlfn.XLOOKUP(Vendas[[#This Row],[ID Vendedor]],Vendedores[ID],Vendedores[Setor])</f>
        <v>SC</v>
      </c>
      <c r="D1951" s="7" t="s">
        <v>14</v>
      </c>
      <c r="E1951" t="str">
        <f>_xlfn.XLOOKUP(Vendas[[#This Row],[ID Item Vendido]],Agregado[ID],Agregado[Produto])</f>
        <v>Barril de plástico 200L</v>
      </c>
      <c r="F1951" s="39">
        <v>44822</v>
      </c>
      <c r="G1951" s="7">
        <v>10</v>
      </c>
      <c r="H1951" s="3">
        <f>_xlfn.XLOOKUP(Vendas[[#This Row],[ID Item Vendido]],Agregado[ID],Agregado[Revenda])</f>
        <v>114</v>
      </c>
      <c r="I1951" s="3">
        <f>Vendas[[#This Row],[Valor Unitário]]*Vendas[[#This Row],[Qnt Vendida]]</f>
        <v>1140</v>
      </c>
      <c r="J1951" s="3">
        <f>Vendas[[#This Row],[Valor da Venda]]-(_xlfn.XLOOKUP(Vendas[[#This Row],[ID Item Vendido]],Agregado[ID],Agregado[Custo])*Vendas[[#This Row],[Qnt Vendida]])</f>
        <v>190</v>
      </c>
      <c r="K1951" s="70">
        <f>Vendas[[#This Row],[Lucro da Venda]]/Vendas[[#This Row],[Valor da Venda]]</f>
        <v>0.16666666666666666</v>
      </c>
      <c r="L1951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1951"/>
    </row>
    <row r="1952" spans="1:13" x14ac:dyDescent="0.3">
      <c r="A1952" s="7">
        <v>400248</v>
      </c>
      <c r="B1952" t="str">
        <f>_xlfn.XLOOKUP(Vendas[[#This Row],[ID Vendedor]],Vendedores[ID],Vendedores[Nome])</f>
        <v>Patrícia</v>
      </c>
      <c r="C1952" s="7" t="str">
        <f>_xlfn.XLOOKUP(Vendas[[#This Row],[ID Vendedor]],Vendedores[ID],Vendedores[Setor])</f>
        <v>CM</v>
      </c>
      <c r="D1952" s="7" t="s">
        <v>34</v>
      </c>
      <c r="E1952" t="str">
        <f>_xlfn.XLOOKUP(Vendas[[#This Row],[ID Item Vendido]],Agregado[ID],Agregado[Produto])</f>
        <v>Restos de madeira p/ MDP/OSB saco de 20kg</v>
      </c>
      <c r="F1952" s="39">
        <v>44823</v>
      </c>
      <c r="G1952" s="7">
        <v>30</v>
      </c>
      <c r="H1952" s="3">
        <f>_xlfn.XLOOKUP(Vendas[[#This Row],[ID Item Vendido]],Agregado[ID],Agregado[Revenda])</f>
        <v>13.8</v>
      </c>
      <c r="I1952" s="3">
        <f>Vendas[[#This Row],[Valor Unitário]]*Vendas[[#This Row],[Qnt Vendida]]</f>
        <v>414</v>
      </c>
      <c r="J1952" s="3">
        <f>Vendas[[#This Row],[Valor da Venda]]-(_xlfn.XLOOKUP(Vendas[[#This Row],[ID Item Vendido]],Agregado[ID],Agregado[Custo])*Vendas[[#This Row],[Qnt Vendida]])</f>
        <v>54</v>
      </c>
      <c r="K1952" s="70">
        <f>Vendas[[#This Row],[Lucro da Venda]]/Vendas[[#This Row],[Valor da Venda]]</f>
        <v>0.13043478260869565</v>
      </c>
      <c r="L1952" s="3">
        <f>_xlfn.IFS(Vendas[[#This Row],[Margem de Lucro (%)]]&lt;15%,Vendas[[#This Row],[Valor da Venda]]*3%,Vendas[[#This Row],[Margem de Lucro (%)]]&lt;=20%,Vendas[[#This Row],[Valor da Venda]]*4.5%,TRUE,Vendas[[#This Row],[Valor da Venda]]*6%)</f>
        <v>12.42</v>
      </c>
      <c r="M1952"/>
    </row>
    <row r="1953" spans="1:13" x14ac:dyDescent="0.3">
      <c r="A1953" s="7">
        <v>400250</v>
      </c>
      <c r="B1953" t="str">
        <f>_xlfn.XLOOKUP(Vendas[[#This Row],[ID Vendedor]],Vendedores[ID],Vendedores[Nome])</f>
        <v>Larissa</v>
      </c>
      <c r="C1953" s="7" t="str">
        <f>_xlfn.XLOOKUP(Vendas[[#This Row],[ID Vendedor]],Vendedores[ID],Vendedores[Setor])</f>
        <v>AB</v>
      </c>
      <c r="D1953" s="7" t="s">
        <v>36</v>
      </c>
      <c r="E1953" t="str">
        <f>_xlfn.XLOOKUP(Vendas[[#This Row],[ID Item Vendido]],Agregado[ID],Agregado[Produto])</f>
        <v>Borracha vulcanizada em manta</v>
      </c>
      <c r="F1953" s="39">
        <v>44823</v>
      </c>
      <c r="G1953" s="7">
        <v>30</v>
      </c>
      <c r="H1953" s="3">
        <f>_xlfn.XLOOKUP(Vendas[[#This Row],[ID Item Vendido]],Agregado[ID],Agregado[Revenda])</f>
        <v>7.8</v>
      </c>
      <c r="I1953" s="3">
        <f>Vendas[[#This Row],[Valor Unitário]]*Vendas[[#This Row],[Qnt Vendida]]</f>
        <v>234</v>
      </c>
      <c r="J1953" s="3">
        <f>Vendas[[#This Row],[Valor da Venda]]-(_xlfn.XLOOKUP(Vendas[[#This Row],[ID Item Vendido]],Agregado[ID],Agregado[Custo])*Vendas[[#This Row],[Qnt Vendida]])</f>
        <v>54</v>
      </c>
      <c r="K1953" s="70">
        <f>Vendas[[#This Row],[Lucro da Venda]]/Vendas[[#This Row],[Valor da Venda]]</f>
        <v>0.23076923076923078</v>
      </c>
      <c r="L195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1953"/>
    </row>
    <row r="1954" spans="1:13" x14ac:dyDescent="0.3">
      <c r="A1954" s="7">
        <v>400255</v>
      </c>
      <c r="B1954" t="str">
        <f>_xlfn.XLOOKUP(Vendas[[#This Row],[ID Vendedor]],Vendedores[ID],Vendedores[Nome])</f>
        <v>Carlos</v>
      </c>
      <c r="C1954" s="7" t="str">
        <f>_xlfn.XLOOKUP(Vendas[[#This Row],[ID Vendedor]],Vendedores[ID],Vendedores[Setor])</f>
        <v>SC</v>
      </c>
      <c r="D1954" s="7" t="s">
        <v>42</v>
      </c>
      <c r="E1954" t="str">
        <f>_xlfn.XLOOKUP(Vendas[[#This Row],[ID Item Vendido]],Agregado[ID],Agregado[Produto])</f>
        <v>Container de ferro industrial</v>
      </c>
      <c r="F1954" s="39">
        <v>44824</v>
      </c>
      <c r="G1954" s="7">
        <v>6</v>
      </c>
      <c r="H1954" s="3">
        <f>_xlfn.XLOOKUP(Vendas[[#This Row],[ID Item Vendido]],Agregado[ID],Agregado[Revenda])</f>
        <v>830</v>
      </c>
      <c r="I1954" s="3">
        <f>Vendas[[#This Row],[Valor Unitário]]*Vendas[[#This Row],[Qnt Vendida]]</f>
        <v>4980</v>
      </c>
      <c r="J1954" s="3">
        <f>Vendas[[#This Row],[Valor da Venda]]-(_xlfn.XLOOKUP(Vendas[[#This Row],[ID Item Vendido]],Agregado[ID],Agregado[Custo])*Vendas[[#This Row],[Qnt Vendida]])</f>
        <v>900</v>
      </c>
      <c r="K1954" s="70">
        <f>Vendas[[#This Row],[Lucro da Venda]]/Vendas[[#This Row],[Valor da Venda]]</f>
        <v>0.18072289156626506</v>
      </c>
      <c r="L1954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1954"/>
    </row>
    <row r="1955" spans="1:13" x14ac:dyDescent="0.3">
      <c r="A1955" s="7">
        <v>400255</v>
      </c>
      <c r="B1955" t="str">
        <f>_xlfn.XLOOKUP(Vendas[[#This Row],[ID Vendedor]],Vendedores[ID],Vendedores[Nome])</f>
        <v>Carlos</v>
      </c>
      <c r="C1955" s="7" t="str">
        <f>_xlfn.XLOOKUP(Vendas[[#This Row],[ID Vendedor]],Vendedores[ID],Vendedores[Setor])</f>
        <v>SC</v>
      </c>
      <c r="D1955" s="7" t="s">
        <v>42</v>
      </c>
      <c r="E1955" t="str">
        <f>_xlfn.XLOOKUP(Vendas[[#This Row],[ID Item Vendido]],Agregado[ID],Agregado[Produto])</f>
        <v>Container de ferro industrial</v>
      </c>
      <c r="F1955" s="39">
        <v>44824</v>
      </c>
      <c r="G1955" s="7">
        <v>5</v>
      </c>
      <c r="H1955" s="3">
        <f>_xlfn.XLOOKUP(Vendas[[#This Row],[ID Item Vendido]],Agregado[ID],Agregado[Revenda])</f>
        <v>830</v>
      </c>
      <c r="I1955" s="3">
        <f>Vendas[[#This Row],[Valor Unitário]]*Vendas[[#This Row],[Qnt Vendida]]</f>
        <v>4150</v>
      </c>
      <c r="J1955" s="3">
        <f>Vendas[[#This Row],[Valor da Venda]]-(_xlfn.XLOOKUP(Vendas[[#This Row],[ID Item Vendido]],Agregado[ID],Agregado[Custo])*Vendas[[#This Row],[Qnt Vendida]])</f>
        <v>750</v>
      </c>
      <c r="K1955" s="70">
        <f>Vendas[[#This Row],[Lucro da Venda]]/Vendas[[#This Row],[Valor da Venda]]</f>
        <v>0.18072289156626506</v>
      </c>
      <c r="L195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1955"/>
    </row>
    <row r="1956" spans="1:13" x14ac:dyDescent="0.3">
      <c r="A1956" s="7">
        <v>400249</v>
      </c>
      <c r="B1956" t="str">
        <f>_xlfn.XLOOKUP(Vendas[[#This Row],[ID Vendedor]],Vendedores[ID],Vendedores[Nome])</f>
        <v>Bruno</v>
      </c>
      <c r="C1956" s="7" t="str">
        <f>_xlfn.XLOOKUP(Vendas[[#This Row],[ID Vendedor]],Vendedores[ID],Vendedores[Setor])</f>
        <v>CM</v>
      </c>
      <c r="D1956" s="7" t="s">
        <v>32</v>
      </c>
      <c r="E1956" t="str">
        <f>_xlfn.XLOOKUP(Vendas[[#This Row],[ID Item Vendido]],Agregado[ID],Agregado[Produto])</f>
        <v>Tábua tratada e cortada 3m</v>
      </c>
      <c r="F1956" s="39">
        <v>44824</v>
      </c>
      <c r="G1956" s="7">
        <v>38</v>
      </c>
      <c r="H1956" s="3">
        <f>_xlfn.XLOOKUP(Vendas[[#This Row],[ID Item Vendido]],Agregado[ID],Agregado[Revenda])</f>
        <v>39</v>
      </c>
      <c r="I1956" s="3">
        <f>Vendas[[#This Row],[Valor Unitário]]*Vendas[[#This Row],[Qnt Vendida]]</f>
        <v>1482</v>
      </c>
      <c r="J1956" s="3">
        <f>Vendas[[#This Row],[Valor da Venda]]-(_xlfn.XLOOKUP(Vendas[[#This Row],[ID Item Vendido]],Agregado[ID],Agregado[Custo])*Vendas[[#This Row],[Qnt Vendida]])</f>
        <v>266</v>
      </c>
      <c r="K1956" s="70">
        <f>Vendas[[#This Row],[Lucro da Venda]]/Vendas[[#This Row],[Valor da Venda]]</f>
        <v>0.17948717948717949</v>
      </c>
      <c r="L1956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1956"/>
    </row>
    <row r="1957" spans="1:13" x14ac:dyDescent="0.3">
      <c r="A1957" s="7">
        <v>400248</v>
      </c>
      <c r="B1957" t="str">
        <f>_xlfn.XLOOKUP(Vendas[[#This Row],[ID Vendedor]],Vendedores[ID],Vendedores[Nome])</f>
        <v>Patrícia</v>
      </c>
      <c r="C1957" s="7" t="str">
        <f>_xlfn.XLOOKUP(Vendas[[#This Row],[ID Vendedor]],Vendedores[ID],Vendedores[Setor])</f>
        <v>CM</v>
      </c>
      <c r="D1957" s="7" t="s">
        <v>45</v>
      </c>
      <c r="E1957" t="str">
        <f>_xlfn.XLOOKUP(Vendas[[#This Row],[ID Item Vendido]],Agregado[ID],Agregado[Produto])</f>
        <v>Viga de madeira tratada 4m</v>
      </c>
      <c r="F1957" s="39">
        <v>44824</v>
      </c>
      <c r="G1957" s="7">
        <v>2</v>
      </c>
      <c r="H1957" s="3">
        <f>_xlfn.XLOOKUP(Vendas[[#This Row],[ID Item Vendido]],Agregado[ID],Agregado[Revenda])</f>
        <v>66</v>
      </c>
      <c r="I1957" s="3">
        <f>Vendas[[#This Row],[Valor Unitário]]*Vendas[[#This Row],[Qnt Vendida]]</f>
        <v>132</v>
      </c>
      <c r="J1957" s="3">
        <f>Vendas[[#This Row],[Valor da Venda]]-(_xlfn.XLOOKUP(Vendas[[#This Row],[ID Item Vendido]],Agregado[ID],Agregado[Custo])*Vendas[[#This Row],[Qnt Vendida]])</f>
        <v>22</v>
      </c>
      <c r="K1957" s="70">
        <f>Vendas[[#This Row],[Lucro da Venda]]/Vendas[[#This Row],[Valor da Venda]]</f>
        <v>0.16666666666666666</v>
      </c>
      <c r="L1957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1957"/>
    </row>
    <row r="1958" spans="1:13" x14ac:dyDescent="0.3">
      <c r="A1958" s="7">
        <v>400247</v>
      </c>
      <c r="B1958" t="str">
        <f>_xlfn.XLOOKUP(Vendas[[#This Row],[ID Vendedor]],Vendedores[ID],Vendedores[Nome])</f>
        <v>André</v>
      </c>
      <c r="C1958" s="7" t="str">
        <f>_xlfn.XLOOKUP(Vendas[[#This Row],[ID Vendedor]],Vendedores[ID],Vendedores[Setor])</f>
        <v>CM</v>
      </c>
      <c r="D1958" s="7" t="s">
        <v>45</v>
      </c>
      <c r="E1958" t="str">
        <f>_xlfn.XLOOKUP(Vendas[[#This Row],[ID Item Vendido]],Agregado[ID],Agregado[Produto])</f>
        <v>Viga de madeira tratada 4m</v>
      </c>
      <c r="F1958" s="39">
        <v>44825</v>
      </c>
      <c r="G1958" s="7">
        <v>14</v>
      </c>
      <c r="H1958" s="3">
        <f>_xlfn.XLOOKUP(Vendas[[#This Row],[ID Item Vendido]],Agregado[ID],Agregado[Revenda])</f>
        <v>66</v>
      </c>
      <c r="I1958" s="3">
        <f>Vendas[[#This Row],[Valor Unitário]]*Vendas[[#This Row],[Qnt Vendida]]</f>
        <v>924</v>
      </c>
      <c r="J1958" s="3">
        <f>Vendas[[#This Row],[Valor da Venda]]-(_xlfn.XLOOKUP(Vendas[[#This Row],[ID Item Vendido]],Agregado[ID],Agregado[Custo])*Vendas[[#This Row],[Qnt Vendida]])</f>
        <v>154</v>
      </c>
      <c r="K1958" s="70">
        <f>Vendas[[#This Row],[Lucro da Venda]]/Vendas[[#This Row],[Valor da Venda]]</f>
        <v>0.16666666666666666</v>
      </c>
      <c r="L1958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1958"/>
    </row>
    <row r="1959" spans="1:13" x14ac:dyDescent="0.3">
      <c r="A1959" s="7">
        <v>400253</v>
      </c>
      <c r="B1959" t="str">
        <f>_xlfn.XLOOKUP(Vendas[[#This Row],[ID Vendedor]],Vendedores[ID],Vendedores[Nome])</f>
        <v>Gustavo</v>
      </c>
      <c r="C1959" s="7" t="str">
        <f>_xlfn.XLOOKUP(Vendas[[#This Row],[ID Vendedor]],Vendedores[ID],Vendedores[Setor])</f>
        <v>SC</v>
      </c>
      <c r="D1959" s="7" t="s">
        <v>42</v>
      </c>
      <c r="E1959" t="str">
        <f>_xlfn.XLOOKUP(Vendas[[#This Row],[ID Item Vendido]],Agregado[ID],Agregado[Produto])</f>
        <v>Container de ferro industrial</v>
      </c>
      <c r="F1959" s="39">
        <v>44825</v>
      </c>
      <c r="G1959" s="7">
        <v>1</v>
      </c>
      <c r="H1959" s="3">
        <f>_xlfn.XLOOKUP(Vendas[[#This Row],[ID Item Vendido]],Agregado[ID],Agregado[Revenda])</f>
        <v>830</v>
      </c>
      <c r="I1959" s="3">
        <f>Vendas[[#This Row],[Valor Unitário]]*Vendas[[#This Row],[Qnt Vendida]]</f>
        <v>830</v>
      </c>
      <c r="J1959" s="3">
        <f>Vendas[[#This Row],[Valor da Venda]]-(_xlfn.XLOOKUP(Vendas[[#This Row],[ID Item Vendido]],Agregado[ID],Agregado[Custo])*Vendas[[#This Row],[Qnt Vendida]])</f>
        <v>150</v>
      </c>
      <c r="K1959" s="70">
        <f>Vendas[[#This Row],[Lucro da Venda]]/Vendas[[#This Row],[Valor da Venda]]</f>
        <v>0.18072289156626506</v>
      </c>
      <c r="L195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1959"/>
    </row>
    <row r="1960" spans="1:13" x14ac:dyDescent="0.3">
      <c r="A1960" s="7">
        <v>400245</v>
      </c>
      <c r="B1960" t="str">
        <f>_xlfn.XLOOKUP(Vendas[[#This Row],[ID Vendedor]],Vendedores[ID],Vendedores[Nome])</f>
        <v>Thiago</v>
      </c>
      <c r="C1960" s="7" t="str">
        <f>_xlfn.XLOOKUP(Vendas[[#This Row],[ID Vendedor]],Vendedores[ID],Vendedores[Setor])</f>
        <v>AHD</v>
      </c>
      <c r="D1960" s="7" t="s">
        <v>9</v>
      </c>
      <c r="E1960" t="str">
        <f>_xlfn.XLOOKUP(Vendas[[#This Row],[ID Item Vendido]],Agregado[ID],Agregado[Produto])</f>
        <v>Barra de aço simples</v>
      </c>
      <c r="F1960" s="39">
        <v>44825</v>
      </c>
      <c r="G1960" s="7">
        <v>84</v>
      </c>
      <c r="H1960" s="3">
        <f>_xlfn.XLOOKUP(Vendas[[#This Row],[ID Item Vendido]],Agregado[ID],Agregado[Revenda])</f>
        <v>6.7</v>
      </c>
      <c r="I1960" s="3">
        <f>Vendas[[#This Row],[Valor Unitário]]*Vendas[[#This Row],[Qnt Vendida]]</f>
        <v>562.80000000000007</v>
      </c>
      <c r="J1960" s="3">
        <f>Vendas[[#This Row],[Valor da Venda]]-(_xlfn.XLOOKUP(Vendas[[#This Row],[ID Item Vendido]],Agregado[ID],Agregado[Custo])*Vendas[[#This Row],[Qnt Vendida]])</f>
        <v>75.60000000000008</v>
      </c>
      <c r="K1960" s="70">
        <f>Vendas[[#This Row],[Lucro da Venda]]/Vendas[[#This Row],[Valor da Venda]]</f>
        <v>0.13432835820895536</v>
      </c>
      <c r="L1960" s="3">
        <f>_xlfn.IFS(Vendas[[#This Row],[Margem de Lucro (%)]]&lt;15%,Vendas[[#This Row],[Valor da Venda]]*3%,Vendas[[#This Row],[Margem de Lucro (%)]]&lt;=20%,Vendas[[#This Row],[Valor da Venda]]*4.5%,TRUE,Vendas[[#This Row],[Valor da Venda]]*6%)</f>
        <v>16.884</v>
      </c>
      <c r="M1960"/>
    </row>
    <row r="1961" spans="1:13" x14ac:dyDescent="0.3">
      <c r="A1961" s="7">
        <v>400241</v>
      </c>
      <c r="B1961" t="str">
        <f>_xlfn.XLOOKUP(Vendas[[#This Row],[ID Vendedor]],Vendedores[ID],Vendedores[Nome])</f>
        <v>Rodrigo</v>
      </c>
      <c r="C1961" s="7" t="str">
        <f>_xlfn.XLOOKUP(Vendas[[#This Row],[ID Vendedor]],Vendedores[ID],Vendedores[Setor])</f>
        <v>FM</v>
      </c>
      <c r="D1961" s="7" t="s">
        <v>27</v>
      </c>
      <c r="E1961" t="str">
        <f>_xlfn.XLOOKUP(Vendas[[#This Row],[ID Item Vendido]],Agregado[ID],Agregado[Produto])</f>
        <v>Chapa de metal lisa 1x2m</v>
      </c>
      <c r="F1961" s="39">
        <v>44825</v>
      </c>
      <c r="G1961" s="7">
        <v>3</v>
      </c>
      <c r="H1961" s="3">
        <f>_xlfn.XLOOKUP(Vendas[[#This Row],[ID Item Vendido]],Agregado[ID],Agregado[Revenda])</f>
        <v>52</v>
      </c>
      <c r="I1961" s="3">
        <f>Vendas[[#This Row],[Valor Unitário]]*Vendas[[#This Row],[Qnt Vendida]]</f>
        <v>156</v>
      </c>
      <c r="J1961" s="3">
        <f>Vendas[[#This Row],[Valor da Venda]]-(_xlfn.XLOOKUP(Vendas[[#This Row],[ID Item Vendido]],Agregado[ID],Agregado[Custo])*Vendas[[#This Row],[Qnt Vendida]])</f>
        <v>21</v>
      </c>
      <c r="K1961" s="70">
        <f>Vendas[[#This Row],[Lucro da Venda]]/Vendas[[#This Row],[Valor da Venda]]</f>
        <v>0.13461538461538461</v>
      </c>
      <c r="L1961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1961"/>
    </row>
    <row r="1962" spans="1:13" x14ac:dyDescent="0.3">
      <c r="A1962" s="7">
        <v>400253</v>
      </c>
      <c r="B1962" t="str">
        <f>_xlfn.XLOOKUP(Vendas[[#This Row],[ID Vendedor]],Vendedores[ID],Vendedores[Nome])</f>
        <v>Gustavo</v>
      </c>
      <c r="C1962" s="7" t="str">
        <f>_xlfn.XLOOKUP(Vendas[[#This Row],[ID Vendedor]],Vendedores[ID],Vendedores[Setor])</f>
        <v>SC</v>
      </c>
      <c r="D1962" s="7" t="s">
        <v>42</v>
      </c>
      <c r="E1962" t="str">
        <f>_xlfn.XLOOKUP(Vendas[[#This Row],[ID Item Vendido]],Agregado[ID],Agregado[Produto])</f>
        <v>Container de ferro industrial</v>
      </c>
      <c r="F1962" s="39">
        <v>44826</v>
      </c>
      <c r="G1962" s="7">
        <v>2</v>
      </c>
      <c r="H1962" s="3">
        <f>_xlfn.XLOOKUP(Vendas[[#This Row],[ID Item Vendido]],Agregado[ID],Agregado[Revenda])</f>
        <v>830</v>
      </c>
      <c r="I1962" s="3">
        <f>Vendas[[#This Row],[Valor Unitário]]*Vendas[[#This Row],[Qnt Vendida]]</f>
        <v>1660</v>
      </c>
      <c r="J1962" s="3">
        <f>Vendas[[#This Row],[Valor da Venda]]-(_xlfn.XLOOKUP(Vendas[[#This Row],[ID Item Vendido]],Agregado[ID],Agregado[Custo])*Vendas[[#This Row],[Qnt Vendida]])</f>
        <v>300</v>
      </c>
      <c r="K1962" s="70">
        <f>Vendas[[#This Row],[Lucro da Venda]]/Vendas[[#This Row],[Valor da Venda]]</f>
        <v>0.18072289156626506</v>
      </c>
      <c r="L196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1962"/>
    </row>
    <row r="1963" spans="1:13" x14ac:dyDescent="0.3">
      <c r="A1963" s="7">
        <v>400250</v>
      </c>
      <c r="B1963" t="str">
        <f>_xlfn.XLOOKUP(Vendas[[#This Row],[ID Vendedor]],Vendedores[ID],Vendedores[Nome])</f>
        <v>Larissa</v>
      </c>
      <c r="C1963" s="7" t="str">
        <f>_xlfn.XLOOKUP(Vendas[[#This Row],[ID Vendedor]],Vendedores[ID],Vendedores[Setor])</f>
        <v>AB</v>
      </c>
      <c r="D1963" s="7" t="s">
        <v>39</v>
      </c>
      <c r="E1963" t="str">
        <f>_xlfn.XLOOKUP(Vendas[[#This Row],[ID Item Vendido]],Agregado[ID],Agregado[Produto])</f>
        <v>Filme plástico industrial rolo 50m</v>
      </c>
      <c r="F1963" s="39">
        <v>44826</v>
      </c>
      <c r="G1963" s="7">
        <v>19</v>
      </c>
      <c r="H1963" s="3">
        <f>_xlfn.XLOOKUP(Vendas[[#This Row],[ID Item Vendido]],Agregado[ID],Agregado[Revenda])</f>
        <v>37</v>
      </c>
      <c r="I1963" s="3">
        <f>Vendas[[#This Row],[Valor Unitário]]*Vendas[[#This Row],[Qnt Vendida]]</f>
        <v>703</v>
      </c>
      <c r="J1963" s="3">
        <f>Vendas[[#This Row],[Valor da Venda]]-(_xlfn.XLOOKUP(Vendas[[#This Row],[ID Item Vendido]],Agregado[ID],Agregado[Custo])*Vendas[[#This Row],[Qnt Vendida]])</f>
        <v>171</v>
      </c>
      <c r="K1963" s="70">
        <f>Vendas[[#This Row],[Lucro da Venda]]/Vendas[[#This Row],[Valor da Venda]]</f>
        <v>0.24324324324324326</v>
      </c>
      <c r="L1963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1963"/>
    </row>
    <row r="1964" spans="1:13" x14ac:dyDescent="0.3">
      <c r="A1964" s="7">
        <v>400245</v>
      </c>
      <c r="B1964" t="str">
        <f>_xlfn.XLOOKUP(Vendas[[#This Row],[ID Vendedor]],Vendedores[ID],Vendedores[Nome])</f>
        <v>Thiago</v>
      </c>
      <c r="C1964" s="7" t="str">
        <f>_xlfn.XLOOKUP(Vendas[[#This Row],[ID Vendedor]],Vendedores[ID],Vendedores[Setor])</f>
        <v>AHD</v>
      </c>
      <c r="D1964" s="7" t="s">
        <v>28</v>
      </c>
      <c r="E1964" t="str">
        <f>_xlfn.XLOOKUP(Vendas[[#This Row],[ID Item Vendido]],Agregado[ID],Agregado[Produto])</f>
        <v>Peça usinada CNC</v>
      </c>
      <c r="F1964" s="39">
        <v>44826</v>
      </c>
      <c r="G1964" s="7">
        <v>3</v>
      </c>
      <c r="H1964" s="3">
        <f>_xlfn.XLOOKUP(Vendas[[#This Row],[ID Item Vendido]],Agregado[ID],Agregado[Revenda])</f>
        <v>192</v>
      </c>
      <c r="I1964" s="3">
        <f>Vendas[[#This Row],[Valor Unitário]]*Vendas[[#This Row],[Qnt Vendida]]</f>
        <v>576</v>
      </c>
      <c r="J1964" s="3">
        <f>Vendas[[#This Row],[Valor da Venda]]-(_xlfn.XLOOKUP(Vendas[[#This Row],[ID Item Vendido]],Agregado[ID],Agregado[Custo])*Vendas[[#This Row],[Qnt Vendida]])</f>
        <v>126</v>
      </c>
      <c r="K1964" s="70">
        <f>Vendas[[#This Row],[Lucro da Venda]]/Vendas[[#This Row],[Valor da Venda]]</f>
        <v>0.21875</v>
      </c>
      <c r="L1964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1964"/>
    </row>
    <row r="1965" spans="1:13" x14ac:dyDescent="0.3">
      <c r="A1965" s="7">
        <v>400242</v>
      </c>
      <c r="B1965" t="str">
        <f>_xlfn.XLOOKUP(Vendas[[#This Row],[ID Vendedor]],Vendedores[ID],Vendedores[Nome])</f>
        <v>Fernanda</v>
      </c>
      <c r="C1965" s="7" t="str">
        <f>_xlfn.XLOOKUP(Vendas[[#This Row],[ID Vendedor]],Vendedores[ID],Vendedores[Setor])</f>
        <v>FM</v>
      </c>
      <c r="D1965" s="7" t="s">
        <v>6</v>
      </c>
      <c r="E1965" t="str">
        <f>_xlfn.XLOOKUP(Vendas[[#This Row],[ID Item Vendido]],Agregado[ID],Agregado[Produto])</f>
        <v>Parafuso comum 500un</v>
      </c>
      <c r="F1965" s="39">
        <v>44826</v>
      </c>
      <c r="G1965" s="7">
        <v>12</v>
      </c>
      <c r="H1965" s="3">
        <f>_xlfn.XLOOKUP(Vendas[[#This Row],[ID Item Vendido]],Agregado[ID],Agregado[Revenda])</f>
        <v>24.6</v>
      </c>
      <c r="I1965" s="3">
        <f>Vendas[[#This Row],[Valor Unitário]]*Vendas[[#This Row],[Qnt Vendida]]</f>
        <v>295.20000000000005</v>
      </c>
      <c r="J1965" s="3">
        <f>Vendas[[#This Row],[Valor da Venda]]-(_xlfn.XLOOKUP(Vendas[[#This Row],[ID Item Vendido]],Agregado[ID],Agregado[Custo])*Vendas[[#This Row],[Qnt Vendida]])</f>
        <v>31.200000000000045</v>
      </c>
      <c r="K1965" s="70">
        <f>Vendas[[#This Row],[Lucro da Venda]]/Vendas[[#This Row],[Valor da Venda]]</f>
        <v>0.10569105691056924</v>
      </c>
      <c r="L1965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1965"/>
    </row>
    <row r="1966" spans="1:13" x14ac:dyDescent="0.3">
      <c r="A1966" s="7">
        <v>400251</v>
      </c>
      <c r="B1966" t="str">
        <f>_xlfn.XLOOKUP(Vendas[[#This Row],[ID Vendedor]],Vendedores[ID],Vendedores[Nome])</f>
        <v>Diego</v>
      </c>
      <c r="C1966" s="7" t="str">
        <f>_xlfn.XLOOKUP(Vendas[[#This Row],[ID Vendedor]],Vendedores[ID],Vendedores[Setor])</f>
        <v>AB</v>
      </c>
      <c r="D1966" s="7" t="s">
        <v>36</v>
      </c>
      <c r="E1966" t="str">
        <f>_xlfn.XLOOKUP(Vendas[[#This Row],[ID Item Vendido]],Agregado[ID],Agregado[Produto])</f>
        <v>Borracha vulcanizada em manta</v>
      </c>
      <c r="F1966" s="39">
        <v>44826</v>
      </c>
      <c r="G1966" s="7">
        <v>25</v>
      </c>
      <c r="H1966" s="3">
        <f>_xlfn.XLOOKUP(Vendas[[#This Row],[ID Item Vendido]],Agregado[ID],Agregado[Revenda])</f>
        <v>7.8</v>
      </c>
      <c r="I1966" s="3">
        <f>Vendas[[#This Row],[Valor Unitário]]*Vendas[[#This Row],[Qnt Vendida]]</f>
        <v>195</v>
      </c>
      <c r="J1966" s="3">
        <f>Vendas[[#This Row],[Valor da Venda]]-(_xlfn.XLOOKUP(Vendas[[#This Row],[ID Item Vendido]],Agregado[ID],Agregado[Custo])*Vendas[[#This Row],[Qnt Vendida]])</f>
        <v>45</v>
      </c>
      <c r="K1966" s="70">
        <f>Vendas[[#This Row],[Lucro da Venda]]/Vendas[[#This Row],[Valor da Venda]]</f>
        <v>0.23076923076923078</v>
      </c>
      <c r="L1966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1966"/>
    </row>
    <row r="1967" spans="1:13" x14ac:dyDescent="0.3">
      <c r="A1967" s="7">
        <v>400255</v>
      </c>
      <c r="B1967" t="str">
        <f>_xlfn.XLOOKUP(Vendas[[#This Row],[ID Vendedor]],Vendedores[ID],Vendedores[Nome])</f>
        <v>Carlos</v>
      </c>
      <c r="C1967" s="7" t="str">
        <f>_xlfn.XLOOKUP(Vendas[[#This Row],[ID Vendedor]],Vendedores[ID],Vendedores[Setor])</f>
        <v>SC</v>
      </c>
      <c r="D1967" s="7" t="s">
        <v>42</v>
      </c>
      <c r="E1967" t="str">
        <f>_xlfn.XLOOKUP(Vendas[[#This Row],[ID Item Vendido]],Agregado[ID],Agregado[Produto])</f>
        <v>Container de ferro industrial</v>
      </c>
      <c r="F1967" s="39">
        <v>44827</v>
      </c>
      <c r="G1967" s="7">
        <v>4</v>
      </c>
      <c r="H1967" s="3">
        <f>_xlfn.XLOOKUP(Vendas[[#This Row],[ID Item Vendido]],Agregado[ID],Agregado[Revenda])</f>
        <v>830</v>
      </c>
      <c r="I1967" s="3">
        <f>Vendas[[#This Row],[Valor Unitário]]*Vendas[[#This Row],[Qnt Vendida]]</f>
        <v>3320</v>
      </c>
      <c r="J1967" s="3">
        <f>Vendas[[#This Row],[Valor da Venda]]-(_xlfn.XLOOKUP(Vendas[[#This Row],[ID Item Vendido]],Agregado[ID],Agregado[Custo])*Vendas[[#This Row],[Qnt Vendida]])</f>
        <v>600</v>
      </c>
      <c r="K1967" s="70">
        <f>Vendas[[#This Row],[Lucro da Venda]]/Vendas[[#This Row],[Valor da Venda]]</f>
        <v>0.18072289156626506</v>
      </c>
      <c r="L1967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1967"/>
    </row>
    <row r="1968" spans="1:13" x14ac:dyDescent="0.3">
      <c r="A1968" s="7">
        <v>400249</v>
      </c>
      <c r="B1968" t="str">
        <f>_xlfn.XLOOKUP(Vendas[[#This Row],[ID Vendedor]],Vendedores[ID],Vendedores[Nome])</f>
        <v>Bruno</v>
      </c>
      <c r="C1968" s="7" t="str">
        <f>_xlfn.XLOOKUP(Vendas[[#This Row],[ID Vendedor]],Vendedores[ID],Vendedores[Setor])</f>
        <v>CM</v>
      </c>
      <c r="D1968" s="7" t="s">
        <v>43</v>
      </c>
      <c r="E1968" t="str">
        <f>_xlfn.XLOOKUP(Vendas[[#This Row],[ID Item Vendido]],Agregado[ID],Agregado[Produto])</f>
        <v>Madeira Bruta (Tora)</v>
      </c>
      <c r="F1968" s="39">
        <v>44827</v>
      </c>
      <c r="G1968" s="7">
        <v>4</v>
      </c>
      <c r="H1968" s="3">
        <f>_xlfn.XLOOKUP(Vendas[[#This Row],[ID Item Vendido]],Agregado[ID],Agregado[Revenda])</f>
        <v>212</v>
      </c>
      <c r="I1968" s="3">
        <f>Vendas[[#This Row],[Valor Unitário]]*Vendas[[#This Row],[Qnt Vendida]]</f>
        <v>848</v>
      </c>
      <c r="J1968" s="3">
        <f>Vendas[[#This Row],[Valor da Venda]]-(_xlfn.XLOOKUP(Vendas[[#This Row],[ID Item Vendido]],Agregado[ID],Agregado[Custo])*Vendas[[#This Row],[Qnt Vendida]])</f>
        <v>128</v>
      </c>
      <c r="K1968" s="70">
        <f>Vendas[[#This Row],[Lucro da Venda]]/Vendas[[#This Row],[Valor da Venda]]</f>
        <v>0.15094339622641509</v>
      </c>
      <c r="L196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1968"/>
    </row>
    <row r="1969" spans="1:13" x14ac:dyDescent="0.3">
      <c r="A1969" s="7">
        <v>400255</v>
      </c>
      <c r="B1969" t="str">
        <f>_xlfn.XLOOKUP(Vendas[[#This Row],[ID Vendedor]],Vendedores[ID],Vendedores[Nome])</f>
        <v>Carlos</v>
      </c>
      <c r="C1969" s="7" t="str">
        <f>_xlfn.XLOOKUP(Vendas[[#This Row],[ID Vendedor]],Vendedores[ID],Vendedores[Setor])</f>
        <v>SC</v>
      </c>
      <c r="D1969" s="7" t="s">
        <v>14</v>
      </c>
      <c r="E1969" t="str">
        <f>_xlfn.XLOOKUP(Vendas[[#This Row],[ID Item Vendido]],Agregado[ID],Agregado[Produto])</f>
        <v>Barril de plástico 200L</v>
      </c>
      <c r="F1969" s="39">
        <v>44828</v>
      </c>
      <c r="G1969" s="7">
        <v>24</v>
      </c>
      <c r="H1969" s="3">
        <f>_xlfn.XLOOKUP(Vendas[[#This Row],[ID Item Vendido]],Agregado[ID],Agregado[Revenda])</f>
        <v>114</v>
      </c>
      <c r="I1969" s="3">
        <f>Vendas[[#This Row],[Valor Unitário]]*Vendas[[#This Row],[Qnt Vendida]]</f>
        <v>2736</v>
      </c>
      <c r="J1969" s="3">
        <f>Vendas[[#This Row],[Valor da Venda]]-(_xlfn.XLOOKUP(Vendas[[#This Row],[ID Item Vendido]],Agregado[ID],Agregado[Custo])*Vendas[[#This Row],[Qnt Vendida]])</f>
        <v>456</v>
      </c>
      <c r="K1969" s="70">
        <f>Vendas[[#This Row],[Lucro da Venda]]/Vendas[[#This Row],[Valor da Venda]]</f>
        <v>0.16666666666666666</v>
      </c>
      <c r="L1969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1969"/>
    </row>
    <row r="1970" spans="1:13" x14ac:dyDescent="0.3">
      <c r="A1970" s="7">
        <v>400245</v>
      </c>
      <c r="B1970" t="str">
        <f>_xlfn.XLOOKUP(Vendas[[#This Row],[ID Vendedor]],Vendedores[ID],Vendedores[Nome])</f>
        <v>Thiago</v>
      </c>
      <c r="C1970" s="7" t="str">
        <f>_xlfn.XLOOKUP(Vendas[[#This Row],[ID Vendedor]],Vendedores[ID],Vendedores[Setor])</f>
        <v>AHD</v>
      </c>
      <c r="D1970" s="7" t="s">
        <v>28</v>
      </c>
      <c r="E1970" t="str">
        <f>_xlfn.XLOOKUP(Vendas[[#This Row],[ID Item Vendido]],Agregado[ID],Agregado[Produto])</f>
        <v>Peça usinada CNC</v>
      </c>
      <c r="F1970" s="39">
        <v>44828</v>
      </c>
      <c r="G1970" s="7">
        <v>13</v>
      </c>
      <c r="H1970" s="3">
        <f>_xlfn.XLOOKUP(Vendas[[#This Row],[ID Item Vendido]],Agregado[ID],Agregado[Revenda])</f>
        <v>192</v>
      </c>
      <c r="I1970" s="3">
        <f>Vendas[[#This Row],[Valor Unitário]]*Vendas[[#This Row],[Qnt Vendida]]</f>
        <v>2496</v>
      </c>
      <c r="J1970" s="3">
        <f>Vendas[[#This Row],[Valor da Venda]]-(_xlfn.XLOOKUP(Vendas[[#This Row],[ID Item Vendido]],Agregado[ID],Agregado[Custo])*Vendas[[#This Row],[Qnt Vendida]])</f>
        <v>546</v>
      </c>
      <c r="K1970" s="70">
        <f>Vendas[[#This Row],[Lucro da Venda]]/Vendas[[#This Row],[Valor da Venda]]</f>
        <v>0.21875</v>
      </c>
      <c r="L1970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1970"/>
    </row>
    <row r="1971" spans="1:13" x14ac:dyDescent="0.3">
      <c r="A1971" s="7">
        <v>400245</v>
      </c>
      <c r="B1971" t="str">
        <f>_xlfn.XLOOKUP(Vendas[[#This Row],[ID Vendedor]],Vendedores[ID],Vendedores[Nome])</f>
        <v>Thiago</v>
      </c>
      <c r="C1971" s="7" t="str">
        <f>_xlfn.XLOOKUP(Vendas[[#This Row],[ID Vendedor]],Vendedores[ID],Vendedores[Setor])</f>
        <v>AHD</v>
      </c>
      <c r="D1971" s="7" t="s">
        <v>44</v>
      </c>
      <c r="E1971" t="str">
        <f>_xlfn.XLOOKUP(Vendas[[#This Row],[ID Item Vendido]],Agregado[ID],Agregado[Produto])</f>
        <v>Liga metálica especial</v>
      </c>
      <c r="F1971" s="39">
        <v>44828</v>
      </c>
      <c r="G1971" s="7">
        <v>31</v>
      </c>
      <c r="H1971" s="3">
        <f>_xlfn.XLOOKUP(Vendas[[#This Row],[ID Item Vendido]],Agregado[ID],Agregado[Revenda])</f>
        <v>32.5</v>
      </c>
      <c r="I1971" s="3">
        <f>Vendas[[#This Row],[Valor Unitário]]*Vendas[[#This Row],[Qnt Vendida]]</f>
        <v>1007.5</v>
      </c>
      <c r="J1971" s="3">
        <f>Vendas[[#This Row],[Valor da Venda]]-(_xlfn.XLOOKUP(Vendas[[#This Row],[ID Item Vendido]],Agregado[ID],Agregado[Custo])*Vendas[[#This Row],[Qnt Vendida]])</f>
        <v>232.5</v>
      </c>
      <c r="K1971" s="70">
        <f>Vendas[[#This Row],[Lucro da Venda]]/Vendas[[#This Row],[Valor da Venda]]</f>
        <v>0.23076923076923078</v>
      </c>
      <c r="L1971" s="3">
        <f>_xlfn.IFS(Vendas[[#This Row],[Margem de Lucro (%)]]&lt;15%,Vendas[[#This Row],[Valor da Venda]]*3%,Vendas[[#This Row],[Margem de Lucro (%)]]&lt;=20%,Vendas[[#This Row],[Valor da Venda]]*4.5%,TRUE,Vendas[[#This Row],[Valor da Venda]]*6%)</f>
        <v>60.449999999999996</v>
      </c>
      <c r="M1971"/>
    </row>
    <row r="1972" spans="1:13" x14ac:dyDescent="0.3">
      <c r="A1972" s="7">
        <v>400250</v>
      </c>
      <c r="B1972" t="str">
        <f>_xlfn.XLOOKUP(Vendas[[#This Row],[ID Vendedor]],Vendedores[ID],Vendedores[Nome])</f>
        <v>Larissa</v>
      </c>
      <c r="C1972" s="7" t="str">
        <f>_xlfn.XLOOKUP(Vendas[[#This Row],[ID Vendedor]],Vendedores[ID],Vendedores[Setor])</f>
        <v>AB</v>
      </c>
      <c r="D1972" s="7" t="s">
        <v>12</v>
      </c>
      <c r="E1972" t="str">
        <f>_xlfn.XLOOKUP(Vendas[[#This Row],[ID Item Vendido]],Agregado[ID],Agregado[Produto])</f>
        <v>Grânulo de plástico reciclado refinado</v>
      </c>
      <c r="F1972" s="39">
        <v>44828</v>
      </c>
      <c r="G1972" s="7">
        <v>85</v>
      </c>
      <c r="H1972" s="3">
        <f>_xlfn.XLOOKUP(Vendas[[#This Row],[ID Item Vendido]],Agregado[ID],Agregado[Revenda])</f>
        <v>4.7</v>
      </c>
      <c r="I1972" s="3">
        <f>Vendas[[#This Row],[Valor Unitário]]*Vendas[[#This Row],[Qnt Vendida]]</f>
        <v>399.5</v>
      </c>
      <c r="J1972" s="3">
        <f>Vendas[[#This Row],[Valor da Venda]]-(_xlfn.XLOOKUP(Vendas[[#This Row],[ID Item Vendido]],Agregado[ID],Agregado[Custo])*Vendas[[#This Row],[Qnt Vendida]])</f>
        <v>102</v>
      </c>
      <c r="K1972" s="70">
        <f>Vendas[[#This Row],[Lucro da Venda]]/Vendas[[#This Row],[Valor da Venda]]</f>
        <v>0.25531914893617019</v>
      </c>
      <c r="L1972" s="3">
        <f>_xlfn.IFS(Vendas[[#This Row],[Margem de Lucro (%)]]&lt;15%,Vendas[[#This Row],[Valor da Venda]]*3%,Vendas[[#This Row],[Margem de Lucro (%)]]&lt;=20%,Vendas[[#This Row],[Valor da Venda]]*4.5%,TRUE,Vendas[[#This Row],[Valor da Venda]]*6%)</f>
        <v>23.97</v>
      </c>
      <c r="M1972"/>
    </row>
    <row r="1973" spans="1:13" x14ac:dyDescent="0.3">
      <c r="A1973" s="7">
        <v>400241</v>
      </c>
      <c r="B1973" t="str">
        <f>_xlfn.XLOOKUP(Vendas[[#This Row],[ID Vendedor]],Vendedores[ID],Vendedores[Nome])</f>
        <v>Rodrigo</v>
      </c>
      <c r="C1973" s="7" t="str">
        <f>_xlfn.XLOOKUP(Vendas[[#This Row],[ID Vendedor]],Vendedores[ID],Vendedores[Setor])</f>
        <v>FM</v>
      </c>
      <c r="D1973" s="7" t="s">
        <v>6</v>
      </c>
      <c r="E1973" t="str">
        <f>_xlfn.XLOOKUP(Vendas[[#This Row],[ID Item Vendido]],Agregado[ID],Agregado[Produto])</f>
        <v>Parafuso comum 500un</v>
      </c>
      <c r="F1973" s="39">
        <v>44829</v>
      </c>
      <c r="G1973" s="7">
        <v>21</v>
      </c>
      <c r="H1973" s="3">
        <f>_xlfn.XLOOKUP(Vendas[[#This Row],[ID Item Vendido]],Agregado[ID],Agregado[Revenda])</f>
        <v>24.6</v>
      </c>
      <c r="I1973" s="3">
        <f>Vendas[[#This Row],[Valor Unitário]]*Vendas[[#This Row],[Qnt Vendida]]</f>
        <v>516.6</v>
      </c>
      <c r="J1973" s="3">
        <f>Vendas[[#This Row],[Valor da Venda]]-(_xlfn.XLOOKUP(Vendas[[#This Row],[ID Item Vendido]],Agregado[ID],Agregado[Custo])*Vendas[[#This Row],[Qnt Vendida]])</f>
        <v>54.600000000000023</v>
      </c>
      <c r="K1973" s="70">
        <f>Vendas[[#This Row],[Lucro da Venda]]/Vendas[[#This Row],[Valor da Venda]]</f>
        <v>0.10569105691056914</v>
      </c>
      <c r="L1973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1973"/>
    </row>
    <row r="1974" spans="1:13" x14ac:dyDescent="0.3">
      <c r="A1974" s="7">
        <v>400251</v>
      </c>
      <c r="B1974" t="str">
        <f>_xlfn.XLOOKUP(Vendas[[#This Row],[ID Vendedor]],Vendedores[ID],Vendedores[Nome])</f>
        <v>Diego</v>
      </c>
      <c r="C1974" s="7" t="str">
        <f>_xlfn.XLOOKUP(Vendas[[#This Row],[ID Vendedor]],Vendedores[ID],Vendedores[Setor])</f>
        <v>AB</v>
      </c>
      <c r="D1974" s="7" t="s">
        <v>12</v>
      </c>
      <c r="E1974" t="str">
        <f>_xlfn.XLOOKUP(Vendas[[#This Row],[ID Item Vendido]],Agregado[ID],Agregado[Produto])</f>
        <v>Grânulo de plástico reciclado refinado</v>
      </c>
      <c r="F1974" s="39">
        <v>44830</v>
      </c>
      <c r="G1974" s="7">
        <v>78</v>
      </c>
      <c r="H1974" s="3">
        <f>_xlfn.XLOOKUP(Vendas[[#This Row],[ID Item Vendido]],Agregado[ID],Agregado[Revenda])</f>
        <v>4.7</v>
      </c>
      <c r="I1974" s="3">
        <f>Vendas[[#This Row],[Valor Unitário]]*Vendas[[#This Row],[Qnt Vendida]]</f>
        <v>366.6</v>
      </c>
      <c r="J1974" s="3">
        <f>Vendas[[#This Row],[Valor da Venda]]-(_xlfn.XLOOKUP(Vendas[[#This Row],[ID Item Vendido]],Agregado[ID],Agregado[Custo])*Vendas[[#This Row],[Qnt Vendida]])</f>
        <v>93.600000000000023</v>
      </c>
      <c r="K1974" s="70">
        <f>Vendas[[#This Row],[Lucro da Venda]]/Vendas[[#This Row],[Valor da Venda]]</f>
        <v>0.25531914893617025</v>
      </c>
      <c r="L1974" s="3">
        <f>_xlfn.IFS(Vendas[[#This Row],[Margem de Lucro (%)]]&lt;15%,Vendas[[#This Row],[Valor da Venda]]*3%,Vendas[[#This Row],[Margem de Lucro (%)]]&lt;=20%,Vendas[[#This Row],[Valor da Venda]]*4.5%,TRUE,Vendas[[#This Row],[Valor da Venda]]*6%)</f>
        <v>21.996000000000002</v>
      </c>
      <c r="M1974"/>
    </row>
    <row r="1975" spans="1:13" x14ac:dyDescent="0.3">
      <c r="A1975" s="7">
        <v>400243</v>
      </c>
      <c r="B1975" t="str">
        <f>_xlfn.XLOOKUP(Vendas[[#This Row],[ID Vendedor]],Vendedores[ID],Vendedores[Nome])</f>
        <v>Marcelo</v>
      </c>
      <c r="C1975" s="7" t="str">
        <f>_xlfn.XLOOKUP(Vendas[[#This Row],[ID Vendedor]],Vendedores[ID],Vendedores[Setor])</f>
        <v>FM</v>
      </c>
      <c r="D1975" s="7" t="s">
        <v>31</v>
      </c>
      <c r="E1975" t="str">
        <f>_xlfn.XLOOKUP(Vendas[[#This Row],[ID Item Vendido]],Agregado[ID],Agregado[Produto])</f>
        <v>Tela de metal soldada rolo 2x25m</v>
      </c>
      <c r="F1975" s="39">
        <v>44830</v>
      </c>
      <c r="G1975" s="7">
        <v>2</v>
      </c>
      <c r="H1975" s="3">
        <f>_xlfn.XLOOKUP(Vendas[[#This Row],[ID Item Vendido]],Agregado[ID],Agregado[Revenda])</f>
        <v>43.7</v>
      </c>
      <c r="I1975" s="3">
        <f>Vendas[[#This Row],[Valor Unitário]]*Vendas[[#This Row],[Qnt Vendida]]</f>
        <v>87.4</v>
      </c>
      <c r="J1975" s="3">
        <f>Vendas[[#This Row],[Valor da Venda]]-(_xlfn.XLOOKUP(Vendas[[#This Row],[ID Item Vendido]],Agregado[ID],Agregado[Custo])*Vendas[[#This Row],[Qnt Vendida]])</f>
        <v>11.400000000000006</v>
      </c>
      <c r="K1975" s="70">
        <f>Vendas[[#This Row],[Lucro da Venda]]/Vendas[[#This Row],[Valor da Venda]]</f>
        <v>0.1304347826086957</v>
      </c>
      <c r="L1975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1975"/>
    </row>
    <row r="1976" spans="1:13" x14ac:dyDescent="0.3">
      <c r="A1976" s="7">
        <v>400241</v>
      </c>
      <c r="B1976" t="str">
        <f>_xlfn.XLOOKUP(Vendas[[#This Row],[ID Vendedor]],Vendedores[ID],Vendedores[Nome])</f>
        <v>Rodrigo</v>
      </c>
      <c r="C1976" s="7" t="str">
        <f>_xlfn.XLOOKUP(Vendas[[#This Row],[ID Vendedor]],Vendedores[ID],Vendedores[Setor])</f>
        <v>FM</v>
      </c>
      <c r="D1976" s="7" t="s">
        <v>20</v>
      </c>
      <c r="E1976" t="str">
        <f>_xlfn.XLOOKUP(Vendas[[#This Row],[ID Item Vendido]],Agregado[ID],Agregado[Produto])</f>
        <v>Barra de aço simples</v>
      </c>
      <c r="F1976" s="39">
        <v>44832</v>
      </c>
      <c r="G1976" s="7">
        <v>27</v>
      </c>
      <c r="H1976" s="3">
        <f>_xlfn.XLOOKUP(Vendas[[#This Row],[ID Item Vendido]],Agregado[ID],Agregado[Revenda])</f>
        <v>4.8</v>
      </c>
      <c r="I1976" s="3">
        <f>Vendas[[#This Row],[Valor Unitário]]*Vendas[[#This Row],[Qnt Vendida]]</f>
        <v>129.6</v>
      </c>
      <c r="J1976" s="3">
        <f>Vendas[[#This Row],[Valor da Venda]]-(_xlfn.XLOOKUP(Vendas[[#This Row],[ID Item Vendido]],Agregado[ID],Agregado[Custo])*Vendas[[#This Row],[Qnt Vendida]])</f>
        <v>16.199999999999989</v>
      </c>
      <c r="K1976" s="70">
        <f>Vendas[[#This Row],[Lucro da Venda]]/Vendas[[#This Row],[Valor da Venda]]</f>
        <v>0.12499999999999992</v>
      </c>
      <c r="L1976" s="3">
        <f>_xlfn.IFS(Vendas[[#This Row],[Margem de Lucro (%)]]&lt;15%,Vendas[[#This Row],[Valor da Venda]]*3%,Vendas[[#This Row],[Margem de Lucro (%)]]&lt;=20%,Vendas[[#This Row],[Valor da Venda]]*4.5%,TRUE,Vendas[[#This Row],[Valor da Venda]]*6%)</f>
        <v>3.8879999999999999</v>
      </c>
      <c r="M1976"/>
    </row>
    <row r="1977" spans="1:13" x14ac:dyDescent="0.3">
      <c r="A1977" s="7">
        <v>400243</v>
      </c>
      <c r="B1977" t="str">
        <f>_xlfn.XLOOKUP(Vendas[[#This Row],[ID Vendedor]],Vendedores[ID],Vendedores[Nome])</f>
        <v>Marcelo</v>
      </c>
      <c r="C1977" s="7" t="str">
        <f>_xlfn.XLOOKUP(Vendas[[#This Row],[ID Vendedor]],Vendedores[ID],Vendedores[Setor])</f>
        <v>FM</v>
      </c>
      <c r="D1977" s="7" t="s">
        <v>6</v>
      </c>
      <c r="E1977" t="str">
        <f>_xlfn.XLOOKUP(Vendas[[#This Row],[ID Item Vendido]],Agregado[ID],Agregado[Produto])</f>
        <v>Parafuso comum 500un</v>
      </c>
      <c r="F1977" s="39">
        <v>44832</v>
      </c>
      <c r="G1977" s="7">
        <v>3</v>
      </c>
      <c r="H1977" s="3">
        <f>_xlfn.XLOOKUP(Vendas[[#This Row],[ID Item Vendido]],Agregado[ID],Agregado[Revenda])</f>
        <v>24.6</v>
      </c>
      <c r="I1977" s="3">
        <f>Vendas[[#This Row],[Valor Unitário]]*Vendas[[#This Row],[Qnt Vendida]]</f>
        <v>73.800000000000011</v>
      </c>
      <c r="J1977" s="3">
        <f>Vendas[[#This Row],[Valor da Venda]]-(_xlfn.XLOOKUP(Vendas[[#This Row],[ID Item Vendido]],Agregado[ID],Agregado[Custo])*Vendas[[#This Row],[Qnt Vendida]])</f>
        <v>7.8000000000000114</v>
      </c>
      <c r="K1977" s="70">
        <f>Vendas[[#This Row],[Lucro da Venda]]/Vendas[[#This Row],[Valor da Venda]]</f>
        <v>0.10569105691056924</v>
      </c>
      <c r="L1977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1977"/>
    </row>
    <row r="1978" spans="1:13" x14ac:dyDescent="0.3">
      <c r="A1978" s="7">
        <v>400250</v>
      </c>
      <c r="B1978" t="str">
        <f>_xlfn.XLOOKUP(Vendas[[#This Row],[ID Vendedor]],Vendedores[ID],Vendedores[Nome])</f>
        <v>Larissa</v>
      </c>
      <c r="C1978" s="7" t="str">
        <f>_xlfn.XLOOKUP(Vendas[[#This Row],[ID Vendedor]],Vendedores[ID],Vendedores[Setor])</f>
        <v>AB</v>
      </c>
      <c r="D1978" s="7" t="s">
        <v>37</v>
      </c>
      <c r="E1978" t="str">
        <f>_xlfn.XLOOKUP(Vendas[[#This Row],[ID Item Vendido]],Agregado[ID],Agregado[Produto])</f>
        <v>Composto de borracha para vedação rolo 10m</v>
      </c>
      <c r="F1978" s="39">
        <v>44833</v>
      </c>
      <c r="G1978" s="7">
        <v>14</v>
      </c>
      <c r="H1978" s="3">
        <f>_xlfn.XLOOKUP(Vendas[[#This Row],[ID Item Vendido]],Agregado[ID],Agregado[Revenda])</f>
        <v>51.2</v>
      </c>
      <c r="I1978" s="3">
        <f>Vendas[[#This Row],[Valor Unitário]]*Vendas[[#This Row],[Qnt Vendida]]</f>
        <v>716.80000000000007</v>
      </c>
      <c r="J1978" s="3">
        <f>Vendas[[#This Row],[Valor da Venda]]-(_xlfn.XLOOKUP(Vendas[[#This Row],[ID Item Vendido]],Agregado[ID],Agregado[Custo])*Vendas[[#This Row],[Qnt Vendida]])</f>
        <v>156.80000000000007</v>
      </c>
      <c r="K1978" s="70">
        <f>Vendas[[#This Row],[Lucro da Venda]]/Vendas[[#This Row],[Valor da Venda]]</f>
        <v>0.21875000000000008</v>
      </c>
      <c r="L1978" s="3">
        <f>_xlfn.IFS(Vendas[[#This Row],[Margem de Lucro (%)]]&lt;15%,Vendas[[#This Row],[Valor da Venda]]*3%,Vendas[[#This Row],[Margem de Lucro (%)]]&lt;=20%,Vendas[[#This Row],[Valor da Venda]]*4.5%,TRUE,Vendas[[#This Row],[Valor da Venda]]*6%)</f>
        <v>43.008000000000003</v>
      </c>
      <c r="M1978"/>
    </row>
    <row r="1979" spans="1:13" x14ac:dyDescent="0.3">
      <c r="A1979" s="7">
        <v>400253</v>
      </c>
      <c r="B1979" t="str">
        <f>_xlfn.XLOOKUP(Vendas[[#This Row],[ID Vendedor]],Vendedores[ID],Vendedores[Nome])</f>
        <v>Gustavo</v>
      </c>
      <c r="C1979" s="7" t="str">
        <f>_xlfn.XLOOKUP(Vendas[[#This Row],[ID Vendedor]],Vendedores[ID],Vendedores[Setor])</f>
        <v>SC</v>
      </c>
      <c r="D1979" s="7" t="s">
        <v>14</v>
      </c>
      <c r="E1979" t="str">
        <f>_xlfn.XLOOKUP(Vendas[[#This Row],[ID Item Vendido]],Agregado[ID],Agregado[Produto])</f>
        <v>Barril de plástico 200L</v>
      </c>
      <c r="F1979" s="39">
        <v>44833</v>
      </c>
      <c r="G1979" s="7">
        <v>3</v>
      </c>
      <c r="H1979" s="3">
        <f>_xlfn.XLOOKUP(Vendas[[#This Row],[ID Item Vendido]],Agregado[ID],Agregado[Revenda])</f>
        <v>114</v>
      </c>
      <c r="I1979" s="3">
        <f>Vendas[[#This Row],[Valor Unitário]]*Vendas[[#This Row],[Qnt Vendida]]</f>
        <v>342</v>
      </c>
      <c r="J1979" s="3">
        <f>Vendas[[#This Row],[Valor da Venda]]-(_xlfn.XLOOKUP(Vendas[[#This Row],[ID Item Vendido]],Agregado[ID],Agregado[Custo])*Vendas[[#This Row],[Qnt Vendida]])</f>
        <v>57</v>
      </c>
      <c r="K1979" s="70">
        <f>Vendas[[#This Row],[Lucro da Venda]]/Vendas[[#This Row],[Valor da Venda]]</f>
        <v>0.16666666666666666</v>
      </c>
      <c r="L1979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1979"/>
    </row>
    <row r="1980" spans="1:13" x14ac:dyDescent="0.3">
      <c r="A1980" s="7">
        <v>400243</v>
      </c>
      <c r="B1980" t="str">
        <f>_xlfn.XLOOKUP(Vendas[[#This Row],[ID Vendedor]],Vendedores[ID],Vendedores[Nome])</f>
        <v>Marcelo</v>
      </c>
      <c r="C1980" s="7" t="str">
        <f>_xlfn.XLOOKUP(Vendas[[#This Row],[ID Vendedor]],Vendedores[ID],Vendedores[Setor])</f>
        <v>FM</v>
      </c>
      <c r="D1980" s="7" t="s">
        <v>27</v>
      </c>
      <c r="E1980" t="str">
        <f>_xlfn.XLOOKUP(Vendas[[#This Row],[ID Item Vendido]],Agregado[ID],Agregado[Produto])</f>
        <v>Chapa de metal lisa 1x2m</v>
      </c>
      <c r="F1980" s="39">
        <v>44833</v>
      </c>
      <c r="G1980" s="7">
        <v>5</v>
      </c>
      <c r="H1980" s="3">
        <f>_xlfn.XLOOKUP(Vendas[[#This Row],[ID Item Vendido]],Agregado[ID],Agregado[Revenda])</f>
        <v>52</v>
      </c>
      <c r="I1980" s="3">
        <f>Vendas[[#This Row],[Valor Unitário]]*Vendas[[#This Row],[Qnt Vendida]]</f>
        <v>260</v>
      </c>
      <c r="J1980" s="3">
        <f>Vendas[[#This Row],[Valor da Venda]]-(_xlfn.XLOOKUP(Vendas[[#This Row],[ID Item Vendido]],Agregado[ID],Agregado[Custo])*Vendas[[#This Row],[Qnt Vendida]])</f>
        <v>35</v>
      </c>
      <c r="K1980" s="70">
        <f>Vendas[[#This Row],[Lucro da Venda]]/Vendas[[#This Row],[Valor da Venda]]</f>
        <v>0.13461538461538461</v>
      </c>
      <c r="L1980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1980"/>
    </row>
    <row r="1981" spans="1:13" x14ac:dyDescent="0.3">
      <c r="A1981" s="7">
        <v>400250</v>
      </c>
      <c r="B1981" t="str">
        <f>_xlfn.XLOOKUP(Vendas[[#This Row],[ID Vendedor]],Vendedores[ID],Vendedores[Nome])</f>
        <v>Larissa</v>
      </c>
      <c r="C1981" s="7" t="str">
        <f>_xlfn.XLOOKUP(Vendas[[#This Row],[ID Vendedor]],Vendedores[ID],Vendedores[Setor])</f>
        <v>AB</v>
      </c>
      <c r="D1981" s="7" t="s">
        <v>37</v>
      </c>
      <c r="E1981" t="str">
        <f>_xlfn.XLOOKUP(Vendas[[#This Row],[ID Item Vendido]],Agregado[ID],Agregado[Produto])</f>
        <v>Composto de borracha para vedação rolo 10m</v>
      </c>
      <c r="F1981" s="39">
        <v>44833</v>
      </c>
      <c r="G1981" s="7">
        <v>2</v>
      </c>
      <c r="H1981" s="3">
        <f>_xlfn.XLOOKUP(Vendas[[#This Row],[ID Item Vendido]],Agregado[ID],Agregado[Revenda])</f>
        <v>51.2</v>
      </c>
      <c r="I1981" s="3">
        <f>Vendas[[#This Row],[Valor Unitário]]*Vendas[[#This Row],[Qnt Vendida]]</f>
        <v>102.4</v>
      </c>
      <c r="J1981" s="3">
        <f>Vendas[[#This Row],[Valor da Venda]]-(_xlfn.XLOOKUP(Vendas[[#This Row],[ID Item Vendido]],Agregado[ID],Agregado[Custo])*Vendas[[#This Row],[Qnt Vendida]])</f>
        <v>22.400000000000006</v>
      </c>
      <c r="K1981" s="70">
        <f>Vendas[[#This Row],[Lucro da Venda]]/Vendas[[#This Row],[Valor da Venda]]</f>
        <v>0.21875000000000006</v>
      </c>
      <c r="L1981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1981"/>
    </row>
    <row r="1982" spans="1:13" x14ac:dyDescent="0.3">
      <c r="A1982" s="7">
        <v>400243</v>
      </c>
      <c r="B1982" t="str">
        <f>_xlfn.XLOOKUP(Vendas[[#This Row],[ID Vendedor]],Vendedores[ID],Vendedores[Nome])</f>
        <v>Marcelo</v>
      </c>
      <c r="C1982" s="7" t="str">
        <f>_xlfn.XLOOKUP(Vendas[[#This Row],[ID Vendedor]],Vendedores[ID],Vendedores[Setor])</f>
        <v>FM</v>
      </c>
      <c r="D1982" s="7" t="s">
        <v>20</v>
      </c>
      <c r="E1982" t="str">
        <f>_xlfn.XLOOKUP(Vendas[[#This Row],[ID Item Vendido]],Agregado[ID],Agregado[Produto])</f>
        <v>Barra de aço simples</v>
      </c>
      <c r="F1982" s="39">
        <v>44834</v>
      </c>
      <c r="G1982" s="7">
        <v>147</v>
      </c>
      <c r="H1982" s="3">
        <f>_xlfn.XLOOKUP(Vendas[[#This Row],[ID Item Vendido]],Agregado[ID],Agregado[Revenda])</f>
        <v>4.8</v>
      </c>
      <c r="I1982" s="3">
        <f>Vendas[[#This Row],[Valor Unitário]]*Vendas[[#This Row],[Qnt Vendida]]</f>
        <v>705.6</v>
      </c>
      <c r="J1982" s="3">
        <f>Vendas[[#This Row],[Valor da Venda]]-(_xlfn.XLOOKUP(Vendas[[#This Row],[ID Item Vendido]],Agregado[ID],Agregado[Custo])*Vendas[[#This Row],[Qnt Vendida]])</f>
        <v>88.200000000000045</v>
      </c>
      <c r="K1982" s="70">
        <f>Vendas[[#This Row],[Lucro da Venda]]/Vendas[[#This Row],[Valor da Venda]]</f>
        <v>0.12500000000000006</v>
      </c>
      <c r="L1982" s="3">
        <f>_xlfn.IFS(Vendas[[#This Row],[Margem de Lucro (%)]]&lt;15%,Vendas[[#This Row],[Valor da Venda]]*3%,Vendas[[#This Row],[Margem de Lucro (%)]]&lt;=20%,Vendas[[#This Row],[Valor da Venda]]*4.5%,TRUE,Vendas[[#This Row],[Valor da Venda]]*6%)</f>
        <v>21.167999999999999</v>
      </c>
      <c r="M1982"/>
    </row>
    <row r="1983" spans="1:13" x14ac:dyDescent="0.3">
      <c r="A1983" s="7">
        <v>400243</v>
      </c>
      <c r="B1983" t="str">
        <f>_xlfn.XLOOKUP(Vendas[[#This Row],[ID Vendedor]],Vendedores[ID],Vendedores[Nome])</f>
        <v>Marcelo</v>
      </c>
      <c r="C1983" s="7" t="str">
        <f>_xlfn.XLOOKUP(Vendas[[#This Row],[ID Vendedor]],Vendedores[ID],Vendedores[Setor])</f>
        <v>FM</v>
      </c>
      <c r="D1983" s="7" t="s">
        <v>47</v>
      </c>
      <c r="E1983" t="str">
        <f>_xlfn.XLOOKUP(Vendas[[#This Row],[ID Item Vendido]],Agregado[ID],Agregado[Produto])</f>
        <v>Fio de arame galvanizado rolo 50m</v>
      </c>
      <c r="F1983" s="39">
        <v>44834</v>
      </c>
      <c r="G1983" s="7">
        <v>32</v>
      </c>
      <c r="H1983" s="3">
        <f>_xlfn.XLOOKUP(Vendas[[#This Row],[ID Item Vendido]],Agregado[ID],Agregado[Revenda])</f>
        <v>21.2</v>
      </c>
      <c r="I1983" s="3">
        <f>Vendas[[#This Row],[Valor Unitário]]*Vendas[[#This Row],[Qnt Vendida]]</f>
        <v>678.4</v>
      </c>
      <c r="J1983" s="3">
        <f>Vendas[[#This Row],[Valor da Venda]]-(_xlfn.XLOOKUP(Vendas[[#This Row],[ID Item Vendido]],Agregado[ID],Agregado[Custo])*Vendas[[#This Row],[Qnt Vendida]])</f>
        <v>102.39999999999998</v>
      </c>
      <c r="K1983" s="70">
        <f>Vendas[[#This Row],[Lucro da Venda]]/Vendas[[#This Row],[Valor da Venda]]</f>
        <v>0.15094339622641506</v>
      </c>
      <c r="L1983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1983"/>
    </row>
    <row r="1984" spans="1:13" x14ac:dyDescent="0.3">
      <c r="A1984" s="7">
        <v>400251</v>
      </c>
      <c r="B1984" t="str">
        <f>_xlfn.XLOOKUP(Vendas[[#This Row],[ID Vendedor]],Vendedores[ID],Vendedores[Nome])</f>
        <v>Diego</v>
      </c>
      <c r="C1984" s="7" t="str">
        <f>_xlfn.XLOOKUP(Vendas[[#This Row],[ID Vendedor]],Vendedores[ID],Vendedores[Setor])</f>
        <v>AB</v>
      </c>
      <c r="D1984" s="7" t="s">
        <v>12</v>
      </c>
      <c r="E1984" t="str">
        <f>_xlfn.XLOOKUP(Vendas[[#This Row],[ID Item Vendido]],Agregado[ID],Agregado[Produto])</f>
        <v>Grânulo de plástico reciclado refinado</v>
      </c>
      <c r="F1984" s="39">
        <v>44834</v>
      </c>
      <c r="G1984" s="7">
        <v>29</v>
      </c>
      <c r="H1984" s="3">
        <f>_xlfn.XLOOKUP(Vendas[[#This Row],[ID Item Vendido]],Agregado[ID],Agregado[Revenda])</f>
        <v>4.7</v>
      </c>
      <c r="I1984" s="3">
        <f>Vendas[[#This Row],[Valor Unitário]]*Vendas[[#This Row],[Qnt Vendida]]</f>
        <v>136.30000000000001</v>
      </c>
      <c r="J1984" s="3">
        <f>Vendas[[#This Row],[Valor da Venda]]-(_xlfn.XLOOKUP(Vendas[[#This Row],[ID Item Vendido]],Agregado[ID],Agregado[Custo])*Vendas[[#This Row],[Qnt Vendida]])</f>
        <v>34.800000000000011</v>
      </c>
      <c r="K1984" s="70">
        <f>Vendas[[#This Row],[Lucro da Venda]]/Vendas[[#This Row],[Valor da Venda]]</f>
        <v>0.25531914893617025</v>
      </c>
      <c r="L1984" s="3">
        <f>_xlfn.IFS(Vendas[[#This Row],[Margem de Lucro (%)]]&lt;15%,Vendas[[#This Row],[Valor da Venda]]*3%,Vendas[[#This Row],[Margem de Lucro (%)]]&lt;=20%,Vendas[[#This Row],[Valor da Venda]]*4.5%,TRUE,Vendas[[#This Row],[Valor da Venda]]*6%)</f>
        <v>8.1780000000000008</v>
      </c>
      <c r="M1984"/>
    </row>
    <row r="1985" spans="1:13" x14ac:dyDescent="0.3">
      <c r="A1985" s="7">
        <v>400244</v>
      </c>
      <c r="B1985" t="str">
        <f>_xlfn.XLOOKUP(Vendas[[#This Row],[ID Vendedor]],Vendedores[ID],Vendedores[Nome])</f>
        <v>Camila</v>
      </c>
      <c r="C1985" s="7" t="str">
        <f>_xlfn.XLOOKUP(Vendas[[#This Row],[ID Vendedor]],Vendedores[ID],Vendedores[Setor])</f>
        <v>AHD</v>
      </c>
      <c r="D1985" s="7" t="s">
        <v>9</v>
      </c>
      <c r="E1985" t="str">
        <f>_xlfn.XLOOKUP(Vendas[[#This Row],[ID Item Vendido]],Agregado[ID],Agregado[Produto])</f>
        <v>Barra de aço simples</v>
      </c>
      <c r="F1985" s="39">
        <v>44835</v>
      </c>
      <c r="G1985" s="7">
        <v>141</v>
      </c>
      <c r="H1985" s="3">
        <f>_xlfn.XLOOKUP(Vendas[[#This Row],[ID Item Vendido]],Agregado[ID],Agregado[Revenda])</f>
        <v>6.7</v>
      </c>
      <c r="I1985" s="3">
        <f>Vendas[[#This Row],[Valor Unitário]]*Vendas[[#This Row],[Qnt Vendida]]</f>
        <v>944.7</v>
      </c>
      <c r="J1985" s="3">
        <f>Vendas[[#This Row],[Valor da Venda]]-(_xlfn.XLOOKUP(Vendas[[#This Row],[ID Item Vendido]],Agregado[ID],Agregado[Custo])*Vendas[[#This Row],[Qnt Vendida]])</f>
        <v>126.90000000000009</v>
      </c>
      <c r="K1985" s="70">
        <f>Vendas[[#This Row],[Lucro da Venda]]/Vendas[[#This Row],[Valor da Venda]]</f>
        <v>0.13432835820895531</v>
      </c>
      <c r="L1985" s="3">
        <f>_xlfn.IFS(Vendas[[#This Row],[Margem de Lucro (%)]]&lt;15%,Vendas[[#This Row],[Valor da Venda]]*3%,Vendas[[#This Row],[Margem de Lucro (%)]]&lt;=20%,Vendas[[#This Row],[Valor da Venda]]*4.5%,TRUE,Vendas[[#This Row],[Valor da Venda]]*6%)</f>
        <v>28.341000000000001</v>
      </c>
      <c r="M1985"/>
    </row>
    <row r="1986" spans="1:13" x14ac:dyDescent="0.3">
      <c r="A1986" s="7">
        <v>400255</v>
      </c>
      <c r="B1986" t="str">
        <f>_xlfn.XLOOKUP(Vendas[[#This Row],[ID Vendedor]],Vendedores[ID],Vendedores[Nome])</f>
        <v>Carlos</v>
      </c>
      <c r="C1986" s="7" t="str">
        <f>_xlfn.XLOOKUP(Vendas[[#This Row],[ID Vendedor]],Vendedores[ID],Vendedores[Setor])</f>
        <v>SC</v>
      </c>
      <c r="D1986" s="7" t="s">
        <v>48</v>
      </c>
      <c r="E1986" t="str">
        <f>_xlfn.XLOOKUP(Vendas[[#This Row],[ID Item Vendido]],Agregado[ID],Agregado[Produto])</f>
        <v>Tambor metálico 200L</v>
      </c>
      <c r="F1986" s="39">
        <v>44835</v>
      </c>
      <c r="G1986" s="7">
        <v>6</v>
      </c>
      <c r="H1986" s="3">
        <f>_xlfn.XLOOKUP(Vendas[[#This Row],[ID Item Vendido]],Agregado[ID],Agregado[Revenda])</f>
        <v>144</v>
      </c>
      <c r="I1986" s="3">
        <f>Vendas[[#This Row],[Valor Unitário]]*Vendas[[#This Row],[Qnt Vendida]]</f>
        <v>864</v>
      </c>
      <c r="J1986" s="3">
        <f>Vendas[[#This Row],[Valor da Venda]]-(_xlfn.XLOOKUP(Vendas[[#This Row],[ID Item Vendido]],Agregado[ID],Agregado[Custo])*Vendas[[#This Row],[Qnt Vendida]])</f>
        <v>144</v>
      </c>
      <c r="K1986" s="70">
        <f>Vendas[[#This Row],[Lucro da Venda]]/Vendas[[#This Row],[Valor da Venda]]</f>
        <v>0.16666666666666666</v>
      </c>
      <c r="L1986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1986"/>
    </row>
    <row r="1987" spans="1:13" x14ac:dyDescent="0.3">
      <c r="A1987" s="7">
        <v>400241</v>
      </c>
      <c r="B1987" t="str">
        <f>_xlfn.XLOOKUP(Vendas[[#This Row],[ID Vendedor]],Vendedores[ID],Vendedores[Nome])</f>
        <v>Rodrigo</v>
      </c>
      <c r="C1987" s="7" t="str">
        <f>_xlfn.XLOOKUP(Vendas[[#This Row],[ID Vendedor]],Vendedores[ID],Vendedores[Setor])</f>
        <v>FM</v>
      </c>
      <c r="D1987" s="7" t="s">
        <v>20</v>
      </c>
      <c r="E1987" t="str">
        <f>_xlfn.XLOOKUP(Vendas[[#This Row],[ID Item Vendido]],Agregado[ID],Agregado[Produto])</f>
        <v>Barra de aço simples</v>
      </c>
      <c r="F1987" s="39">
        <v>44835</v>
      </c>
      <c r="G1987" s="7">
        <v>147</v>
      </c>
      <c r="H1987" s="3">
        <f>_xlfn.XLOOKUP(Vendas[[#This Row],[ID Item Vendido]],Agregado[ID],Agregado[Revenda])</f>
        <v>4.8</v>
      </c>
      <c r="I1987" s="3">
        <f>Vendas[[#This Row],[Valor Unitário]]*Vendas[[#This Row],[Qnt Vendida]]</f>
        <v>705.6</v>
      </c>
      <c r="J1987" s="3">
        <f>Vendas[[#This Row],[Valor da Venda]]-(_xlfn.XLOOKUP(Vendas[[#This Row],[ID Item Vendido]],Agregado[ID],Agregado[Custo])*Vendas[[#This Row],[Qnt Vendida]])</f>
        <v>88.200000000000045</v>
      </c>
      <c r="K1987" s="70">
        <f>Vendas[[#This Row],[Lucro da Venda]]/Vendas[[#This Row],[Valor da Venda]]</f>
        <v>0.12500000000000006</v>
      </c>
      <c r="L1987" s="3">
        <f>_xlfn.IFS(Vendas[[#This Row],[Margem de Lucro (%)]]&lt;15%,Vendas[[#This Row],[Valor da Venda]]*3%,Vendas[[#This Row],[Margem de Lucro (%)]]&lt;=20%,Vendas[[#This Row],[Valor da Venda]]*4.5%,TRUE,Vendas[[#This Row],[Valor da Venda]]*6%)</f>
        <v>21.167999999999999</v>
      </c>
      <c r="M1987"/>
    </row>
    <row r="1988" spans="1:13" x14ac:dyDescent="0.3">
      <c r="A1988" s="7">
        <v>400242</v>
      </c>
      <c r="B1988" t="str">
        <f>_xlfn.XLOOKUP(Vendas[[#This Row],[ID Vendedor]],Vendedores[ID],Vendedores[Nome])</f>
        <v>Fernanda</v>
      </c>
      <c r="C1988" s="7" t="str">
        <f>_xlfn.XLOOKUP(Vendas[[#This Row],[ID Vendedor]],Vendedores[ID],Vendedores[Setor])</f>
        <v>FM</v>
      </c>
      <c r="D1988" s="7" t="s">
        <v>47</v>
      </c>
      <c r="E1988" t="str">
        <f>_xlfn.XLOOKUP(Vendas[[#This Row],[ID Item Vendido]],Agregado[ID],Agregado[Produto])</f>
        <v>Fio de arame galvanizado rolo 50m</v>
      </c>
      <c r="F1988" s="39">
        <v>44835</v>
      </c>
      <c r="G1988" s="7">
        <v>19</v>
      </c>
      <c r="H1988" s="3">
        <f>_xlfn.XLOOKUP(Vendas[[#This Row],[ID Item Vendido]],Agregado[ID],Agregado[Revenda])</f>
        <v>21.2</v>
      </c>
      <c r="I1988" s="3">
        <f>Vendas[[#This Row],[Valor Unitário]]*Vendas[[#This Row],[Qnt Vendida]]</f>
        <v>402.8</v>
      </c>
      <c r="J1988" s="3">
        <f>Vendas[[#This Row],[Valor da Venda]]-(_xlfn.XLOOKUP(Vendas[[#This Row],[ID Item Vendido]],Agregado[ID],Agregado[Custo])*Vendas[[#This Row],[Qnt Vendida]])</f>
        <v>60.800000000000011</v>
      </c>
      <c r="K1988" s="70">
        <f>Vendas[[#This Row],[Lucro da Venda]]/Vendas[[#This Row],[Valor da Venda]]</f>
        <v>0.15094339622641512</v>
      </c>
      <c r="L1988" s="3">
        <f>_xlfn.IFS(Vendas[[#This Row],[Margem de Lucro (%)]]&lt;15%,Vendas[[#This Row],[Valor da Venda]]*3%,Vendas[[#This Row],[Margem de Lucro (%)]]&lt;=20%,Vendas[[#This Row],[Valor da Venda]]*4.5%,TRUE,Vendas[[#This Row],[Valor da Venda]]*6%)</f>
        <v>18.126000000000001</v>
      </c>
      <c r="M1988"/>
    </row>
    <row r="1989" spans="1:13" x14ac:dyDescent="0.3">
      <c r="A1989" s="7">
        <v>400243</v>
      </c>
      <c r="B1989" t="str">
        <f>_xlfn.XLOOKUP(Vendas[[#This Row],[ID Vendedor]],Vendedores[ID],Vendedores[Nome])</f>
        <v>Marcelo</v>
      </c>
      <c r="C1989" s="7" t="str">
        <f>_xlfn.XLOOKUP(Vendas[[#This Row],[ID Vendedor]],Vendedores[ID],Vendedores[Setor])</f>
        <v>FM</v>
      </c>
      <c r="D1989" s="7" t="s">
        <v>20</v>
      </c>
      <c r="E1989" t="str">
        <f>_xlfn.XLOOKUP(Vendas[[#This Row],[ID Item Vendido]],Agregado[ID],Agregado[Produto])</f>
        <v>Barra de aço simples</v>
      </c>
      <c r="F1989" s="39">
        <v>44835</v>
      </c>
      <c r="G1989" s="7">
        <v>38</v>
      </c>
      <c r="H1989" s="3">
        <f>_xlfn.XLOOKUP(Vendas[[#This Row],[ID Item Vendido]],Agregado[ID],Agregado[Revenda])</f>
        <v>4.8</v>
      </c>
      <c r="I1989" s="3">
        <f>Vendas[[#This Row],[Valor Unitário]]*Vendas[[#This Row],[Qnt Vendida]]</f>
        <v>182.4</v>
      </c>
      <c r="J1989" s="3">
        <f>Vendas[[#This Row],[Valor da Venda]]-(_xlfn.XLOOKUP(Vendas[[#This Row],[ID Item Vendido]],Agregado[ID],Agregado[Custo])*Vendas[[#This Row],[Qnt Vendida]])</f>
        <v>22.800000000000011</v>
      </c>
      <c r="K1989" s="70">
        <f>Vendas[[#This Row],[Lucro da Venda]]/Vendas[[#This Row],[Valor da Venda]]</f>
        <v>0.12500000000000006</v>
      </c>
      <c r="L1989" s="3">
        <f>_xlfn.IFS(Vendas[[#This Row],[Margem de Lucro (%)]]&lt;15%,Vendas[[#This Row],[Valor da Venda]]*3%,Vendas[[#This Row],[Margem de Lucro (%)]]&lt;=20%,Vendas[[#This Row],[Valor da Venda]]*4.5%,TRUE,Vendas[[#This Row],[Valor da Venda]]*6%)</f>
        <v>5.4719999999999995</v>
      </c>
      <c r="M1989"/>
    </row>
    <row r="1990" spans="1:13" x14ac:dyDescent="0.3">
      <c r="A1990" s="7">
        <v>400255</v>
      </c>
      <c r="B1990" t="str">
        <f>_xlfn.XLOOKUP(Vendas[[#This Row],[ID Vendedor]],Vendedores[ID],Vendedores[Nome])</f>
        <v>Carlos</v>
      </c>
      <c r="C1990" s="7" t="str">
        <f>_xlfn.XLOOKUP(Vendas[[#This Row],[ID Vendedor]],Vendedores[ID],Vendedores[Setor])</f>
        <v>SC</v>
      </c>
      <c r="D1990" s="7" t="s">
        <v>48</v>
      </c>
      <c r="E1990" t="str">
        <f>_xlfn.XLOOKUP(Vendas[[#This Row],[ID Item Vendido]],Agregado[ID],Agregado[Produto])</f>
        <v>Tambor metálico 200L</v>
      </c>
      <c r="F1990" s="39">
        <v>44836</v>
      </c>
      <c r="G1990" s="7">
        <v>6</v>
      </c>
      <c r="H1990" s="3">
        <f>_xlfn.XLOOKUP(Vendas[[#This Row],[ID Item Vendido]],Agregado[ID],Agregado[Revenda])</f>
        <v>144</v>
      </c>
      <c r="I1990" s="3">
        <f>Vendas[[#This Row],[Valor Unitário]]*Vendas[[#This Row],[Qnt Vendida]]</f>
        <v>864</v>
      </c>
      <c r="J1990" s="3">
        <f>Vendas[[#This Row],[Valor da Venda]]-(_xlfn.XLOOKUP(Vendas[[#This Row],[ID Item Vendido]],Agregado[ID],Agregado[Custo])*Vendas[[#This Row],[Qnt Vendida]])</f>
        <v>144</v>
      </c>
      <c r="K1990" s="70">
        <f>Vendas[[#This Row],[Lucro da Venda]]/Vendas[[#This Row],[Valor da Venda]]</f>
        <v>0.16666666666666666</v>
      </c>
      <c r="L1990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1990"/>
    </row>
    <row r="1991" spans="1:13" x14ac:dyDescent="0.3">
      <c r="A1991" s="7">
        <v>400250</v>
      </c>
      <c r="B1991" t="str">
        <f>_xlfn.XLOOKUP(Vendas[[#This Row],[ID Vendedor]],Vendedores[ID],Vendedores[Nome])</f>
        <v>Larissa</v>
      </c>
      <c r="C1991" s="7" t="str">
        <f>_xlfn.XLOOKUP(Vendas[[#This Row],[ID Vendedor]],Vendedores[ID],Vendedores[Setor])</f>
        <v>AB</v>
      </c>
      <c r="D1991" s="7" t="s">
        <v>12</v>
      </c>
      <c r="E1991" t="str">
        <f>_xlfn.XLOOKUP(Vendas[[#This Row],[ID Item Vendido]],Agregado[ID],Agregado[Produto])</f>
        <v>Grânulo de plástico reciclado refinado</v>
      </c>
      <c r="F1991" s="39">
        <v>44836</v>
      </c>
      <c r="G1991" s="7">
        <v>108</v>
      </c>
      <c r="H1991" s="3">
        <f>_xlfn.XLOOKUP(Vendas[[#This Row],[ID Item Vendido]],Agregado[ID],Agregado[Revenda])</f>
        <v>4.7</v>
      </c>
      <c r="I1991" s="3">
        <f>Vendas[[#This Row],[Valor Unitário]]*Vendas[[#This Row],[Qnt Vendida]]</f>
        <v>507.6</v>
      </c>
      <c r="J1991" s="3">
        <f>Vendas[[#This Row],[Valor da Venda]]-(_xlfn.XLOOKUP(Vendas[[#This Row],[ID Item Vendido]],Agregado[ID],Agregado[Custo])*Vendas[[#This Row],[Qnt Vendida]])</f>
        <v>129.60000000000002</v>
      </c>
      <c r="K1991" s="70">
        <f>Vendas[[#This Row],[Lucro da Venda]]/Vendas[[#This Row],[Valor da Venda]]</f>
        <v>0.25531914893617025</v>
      </c>
      <c r="L1991" s="3">
        <f>_xlfn.IFS(Vendas[[#This Row],[Margem de Lucro (%)]]&lt;15%,Vendas[[#This Row],[Valor da Venda]]*3%,Vendas[[#This Row],[Margem de Lucro (%)]]&lt;=20%,Vendas[[#This Row],[Valor da Venda]]*4.5%,TRUE,Vendas[[#This Row],[Valor da Venda]]*6%)</f>
        <v>30.456</v>
      </c>
      <c r="M1991"/>
    </row>
    <row r="1992" spans="1:13" x14ac:dyDescent="0.3">
      <c r="A1992" s="7">
        <v>400245</v>
      </c>
      <c r="B1992" t="str">
        <f>_xlfn.XLOOKUP(Vendas[[#This Row],[ID Vendedor]],Vendedores[ID],Vendedores[Nome])</f>
        <v>Thiago</v>
      </c>
      <c r="C1992" s="7" t="str">
        <f>_xlfn.XLOOKUP(Vendas[[#This Row],[ID Vendedor]],Vendedores[ID],Vendedores[Setor])</f>
        <v>AHD</v>
      </c>
      <c r="D1992" s="7" t="s">
        <v>44</v>
      </c>
      <c r="E1992" t="str">
        <f>_xlfn.XLOOKUP(Vendas[[#This Row],[ID Item Vendido]],Agregado[ID],Agregado[Produto])</f>
        <v>Liga metálica especial</v>
      </c>
      <c r="F1992" s="39">
        <v>44837</v>
      </c>
      <c r="G1992" s="7">
        <v>10</v>
      </c>
      <c r="H1992" s="3">
        <f>_xlfn.XLOOKUP(Vendas[[#This Row],[ID Item Vendido]],Agregado[ID],Agregado[Revenda])</f>
        <v>32.5</v>
      </c>
      <c r="I1992" s="3">
        <f>Vendas[[#This Row],[Valor Unitário]]*Vendas[[#This Row],[Qnt Vendida]]</f>
        <v>325</v>
      </c>
      <c r="J1992" s="3">
        <f>Vendas[[#This Row],[Valor da Venda]]-(_xlfn.XLOOKUP(Vendas[[#This Row],[ID Item Vendido]],Agregado[ID],Agregado[Custo])*Vendas[[#This Row],[Qnt Vendida]])</f>
        <v>75</v>
      </c>
      <c r="K1992" s="70">
        <f>Vendas[[#This Row],[Lucro da Venda]]/Vendas[[#This Row],[Valor da Venda]]</f>
        <v>0.23076923076923078</v>
      </c>
      <c r="L1992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1992"/>
    </row>
    <row r="1993" spans="1:13" x14ac:dyDescent="0.3">
      <c r="A1993" s="7">
        <v>400245</v>
      </c>
      <c r="B1993" t="str">
        <f>_xlfn.XLOOKUP(Vendas[[#This Row],[ID Vendedor]],Vendedores[ID],Vendedores[Nome])</f>
        <v>Thiago</v>
      </c>
      <c r="C1993" s="7" t="str">
        <f>_xlfn.XLOOKUP(Vendas[[#This Row],[ID Vendedor]],Vendedores[ID],Vendedores[Setor])</f>
        <v>AHD</v>
      </c>
      <c r="D1993" s="7" t="s">
        <v>28</v>
      </c>
      <c r="E1993" t="str">
        <f>_xlfn.XLOOKUP(Vendas[[#This Row],[ID Item Vendido]],Agregado[ID],Agregado[Produto])</f>
        <v>Peça usinada CNC</v>
      </c>
      <c r="F1993" s="39">
        <v>44838</v>
      </c>
      <c r="G1993" s="7">
        <v>5</v>
      </c>
      <c r="H1993" s="3">
        <f>_xlfn.XLOOKUP(Vendas[[#This Row],[ID Item Vendido]],Agregado[ID],Agregado[Revenda])</f>
        <v>192</v>
      </c>
      <c r="I1993" s="3">
        <f>Vendas[[#This Row],[Valor Unitário]]*Vendas[[#This Row],[Qnt Vendida]]</f>
        <v>960</v>
      </c>
      <c r="J1993" s="3">
        <f>Vendas[[#This Row],[Valor da Venda]]-(_xlfn.XLOOKUP(Vendas[[#This Row],[ID Item Vendido]],Agregado[ID],Agregado[Custo])*Vendas[[#This Row],[Qnt Vendida]])</f>
        <v>210</v>
      </c>
      <c r="K1993" s="70">
        <f>Vendas[[#This Row],[Lucro da Venda]]/Vendas[[#This Row],[Valor da Venda]]</f>
        <v>0.21875</v>
      </c>
      <c r="L1993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1993"/>
    </row>
    <row r="1994" spans="1:13" x14ac:dyDescent="0.3">
      <c r="A1994" s="7">
        <v>400255</v>
      </c>
      <c r="B1994" t="str">
        <f>_xlfn.XLOOKUP(Vendas[[#This Row],[ID Vendedor]],Vendedores[ID],Vendedores[Nome])</f>
        <v>Carlos</v>
      </c>
      <c r="C1994" s="7" t="str">
        <f>_xlfn.XLOOKUP(Vendas[[#This Row],[ID Vendedor]],Vendedores[ID],Vendedores[Setor])</f>
        <v>SC</v>
      </c>
      <c r="D1994" s="7" t="s">
        <v>25</v>
      </c>
      <c r="E1994" t="str">
        <f>_xlfn.XLOOKUP(Vendas[[#This Row],[ID Item Vendido]],Agregado[ID],Agregado[Produto])</f>
        <v>Palete de plástico</v>
      </c>
      <c r="F1994" s="39">
        <v>44838</v>
      </c>
      <c r="G1994" s="7">
        <v>7</v>
      </c>
      <c r="H1994" s="3">
        <f>_xlfn.XLOOKUP(Vendas[[#This Row],[ID Item Vendido]],Agregado[ID],Agregado[Revenda])</f>
        <v>70.8</v>
      </c>
      <c r="I1994" s="3">
        <f>Vendas[[#This Row],[Valor Unitário]]*Vendas[[#This Row],[Qnt Vendida]]</f>
        <v>495.59999999999997</v>
      </c>
      <c r="J1994" s="3">
        <f>Vendas[[#This Row],[Valor da Venda]]-(_xlfn.XLOOKUP(Vendas[[#This Row],[ID Item Vendido]],Agregado[ID],Agregado[Custo])*Vendas[[#This Row],[Qnt Vendida]])</f>
        <v>75.599999999999966</v>
      </c>
      <c r="K1994" s="70">
        <f>Vendas[[#This Row],[Lucro da Venda]]/Vendas[[#This Row],[Valor da Venda]]</f>
        <v>0.15254237288135589</v>
      </c>
      <c r="L1994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1994"/>
    </row>
    <row r="1995" spans="1:13" x14ac:dyDescent="0.3">
      <c r="A1995" s="7">
        <v>400247</v>
      </c>
      <c r="B1995" t="str">
        <f>_xlfn.XLOOKUP(Vendas[[#This Row],[ID Vendedor]],Vendedores[ID],Vendedores[Nome])</f>
        <v>André</v>
      </c>
      <c r="C1995" s="7" t="str">
        <f>_xlfn.XLOOKUP(Vendas[[#This Row],[ID Vendedor]],Vendedores[ID],Vendedores[Setor])</f>
        <v>CM</v>
      </c>
      <c r="D1995" s="7" t="s">
        <v>45</v>
      </c>
      <c r="E1995" t="str">
        <f>_xlfn.XLOOKUP(Vendas[[#This Row],[ID Item Vendido]],Agregado[ID],Agregado[Produto])</f>
        <v>Viga de madeira tratada 4m</v>
      </c>
      <c r="F1995" s="39">
        <v>44838</v>
      </c>
      <c r="G1995" s="7">
        <v>7</v>
      </c>
      <c r="H1995" s="3">
        <f>_xlfn.XLOOKUP(Vendas[[#This Row],[ID Item Vendido]],Agregado[ID],Agregado[Revenda])</f>
        <v>66</v>
      </c>
      <c r="I1995" s="3">
        <f>Vendas[[#This Row],[Valor Unitário]]*Vendas[[#This Row],[Qnt Vendida]]</f>
        <v>462</v>
      </c>
      <c r="J1995" s="3">
        <f>Vendas[[#This Row],[Valor da Venda]]-(_xlfn.XLOOKUP(Vendas[[#This Row],[ID Item Vendido]],Agregado[ID],Agregado[Custo])*Vendas[[#This Row],[Qnt Vendida]])</f>
        <v>77</v>
      </c>
      <c r="K1995" s="70">
        <f>Vendas[[#This Row],[Lucro da Venda]]/Vendas[[#This Row],[Valor da Venda]]</f>
        <v>0.16666666666666666</v>
      </c>
      <c r="L1995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1995"/>
    </row>
    <row r="1996" spans="1:13" x14ac:dyDescent="0.3">
      <c r="A1996" s="7">
        <v>400242</v>
      </c>
      <c r="B1996" t="str">
        <f>_xlfn.XLOOKUP(Vendas[[#This Row],[ID Vendedor]],Vendedores[ID],Vendedores[Nome])</f>
        <v>Fernanda</v>
      </c>
      <c r="C1996" s="7" t="str">
        <f>_xlfn.XLOOKUP(Vendas[[#This Row],[ID Vendedor]],Vendedores[ID],Vendedores[Setor])</f>
        <v>FM</v>
      </c>
      <c r="D1996" s="7" t="s">
        <v>27</v>
      </c>
      <c r="E1996" t="str">
        <f>_xlfn.XLOOKUP(Vendas[[#This Row],[ID Item Vendido]],Agregado[ID],Agregado[Produto])</f>
        <v>Chapa de metal lisa 1x2m</v>
      </c>
      <c r="F1996" s="39">
        <v>44839</v>
      </c>
      <c r="G1996" s="7">
        <v>10</v>
      </c>
      <c r="H1996" s="3">
        <f>_xlfn.XLOOKUP(Vendas[[#This Row],[ID Item Vendido]],Agregado[ID],Agregado[Revenda])</f>
        <v>52</v>
      </c>
      <c r="I1996" s="3">
        <f>Vendas[[#This Row],[Valor Unitário]]*Vendas[[#This Row],[Qnt Vendida]]</f>
        <v>520</v>
      </c>
      <c r="J1996" s="3">
        <f>Vendas[[#This Row],[Valor da Venda]]-(_xlfn.XLOOKUP(Vendas[[#This Row],[ID Item Vendido]],Agregado[ID],Agregado[Custo])*Vendas[[#This Row],[Qnt Vendida]])</f>
        <v>70</v>
      </c>
      <c r="K1996" s="70">
        <f>Vendas[[#This Row],[Lucro da Venda]]/Vendas[[#This Row],[Valor da Venda]]</f>
        <v>0.13461538461538461</v>
      </c>
      <c r="L1996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1996"/>
    </row>
    <row r="1997" spans="1:13" x14ac:dyDescent="0.3">
      <c r="A1997" s="7">
        <v>400250</v>
      </c>
      <c r="B1997" t="str">
        <f>_xlfn.XLOOKUP(Vendas[[#This Row],[ID Vendedor]],Vendedores[ID],Vendedores[Nome])</f>
        <v>Larissa</v>
      </c>
      <c r="C1997" s="7" t="str">
        <f>_xlfn.XLOOKUP(Vendas[[#This Row],[ID Vendedor]],Vendedores[ID],Vendedores[Setor])</f>
        <v>AB</v>
      </c>
      <c r="D1997" s="7" t="s">
        <v>36</v>
      </c>
      <c r="E1997" t="str">
        <f>_xlfn.XLOOKUP(Vendas[[#This Row],[ID Item Vendido]],Agregado[ID],Agregado[Produto])</f>
        <v>Borracha vulcanizada em manta</v>
      </c>
      <c r="F1997" s="39">
        <v>44839</v>
      </c>
      <c r="G1997" s="7">
        <v>21</v>
      </c>
      <c r="H1997" s="3">
        <f>_xlfn.XLOOKUP(Vendas[[#This Row],[ID Item Vendido]],Agregado[ID],Agregado[Revenda])</f>
        <v>7.8</v>
      </c>
      <c r="I1997" s="3">
        <f>Vendas[[#This Row],[Valor Unitário]]*Vendas[[#This Row],[Qnt Vendida]]</f>
        <v>163.79999999999998</v>
      </c>
      <c r="J1997" s="3">
        <f>Vendas[[#This Row],[Valor da Venda]]-(_xlfn.XLOOKUP(Vendas[[#This Row],[ID Item Vendido]],Agregado[ID],Agregado[Custo])*Vendas[[#This Row],[Qnt Vendida]])</f>
        <v>37.799999999999983</v>
      </c>
      <c r="K1997" s="70">
        <f>Vendas[[#This Row],[Lucro da Venda]]/Vendas[[#This Row],[Valor da Venda]]</f>
        <v>0.2307692307692307</v>
      </c>
      <c r="L1997" s="3">
        <f>_xlfn.IFS(Vendas[[#This Row],[Margem de Lucro (%)]]&lt;15%,Vendas[[#This Row],[Valor da Venda]]*3%,Vendas[[#This Row],[Margem de Lucro (%)]]&lt;=20%,Vendas[[#This Row],[Valor da Venda]]*4.5%,TRUE,Vendas[[#This Row],[Valor da Venda]]*6%)</f>
        <v>9.8279999999999994</v>
      </c>
      <c r="M1997"/>
    </row>
    <row r="1998" spans="1:13" x14ac:dyDescent="0.3">
      <c r="A1998" s="7">
        <v>400253</v>
      </c>
      <c r="B1998" t="str">
        <f>_xlfn.XLOOKUP(Vendas[[#This Row],[ID Vendedor]],Vendedores[ID],Vendedores[Nome])</f>
        <v>Gustavo</v>
      </c>
      <c r="C1998" s="7" t="str">
        <f>_xlfn.XLOOKUP(Vendas[[#This Row],[ID Vendedor]],Vendedores[ID],Vendedores[Setor])</f>
        <v>SC</v>
      </c>
      <c r="D1998" s="7" t="s">
        <v>42</v>
      </c>
      <c r="E1998" t="str">
        <f>_xlfn.XLOOKUP(Vendas[[#This Row],[ID Item Vendido]],Agregado[ID],Agregado[Produto])</f>
        <v>Container de ferro industrial</v>
      </c>
      <c r="F1998" s="39">
        <v>44840</v>
      </c>
      <c r="G1998" s="7">
        <v>3</v>
      </c>
      <c r="H1998" s="3">
        <f>_xlfn.XLOOKUP(Vendas[[#This Row],[ID Item Vendido]],Agregado[ID],Agregado[Revenda])</f>
        <v>830</v>
      </c>
      <c r="I1998" s="3">
        <f>Vendas[[#This Row],[Valor Unitário]]*Vendas[[#This Row],[Qnt Vendida]]</f>
        <v>2490</v>
      </c>
      <c r="J1998" s="3">
        <f>Vendas[[#This Row],[Valor da Venda]]-(_xlfn.XLOOKUP(Vendas[[#This Row],[ID Item Vendido]],Agregado[ID],Agregado[Custo])*Vendas[[#This Row],[Qnt Vendida]])</f>
        <v>450</v>
      </c>
      <c r="K1998" s="70">
        <f>Vendas[[#This Row],[Lucro da Venda]]/Vendas[[#This Row],[Valor da Venda]]</f>
        <v>0.18072289156626506</v>
      </c>
      <c r="L1998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1998"/>
    </row>
    <row r="1999" spans="1:13" x14ac:dyDescent="0.3">
      <c r="A1999" s="7">
        <v>400242</v>
      </c>
      <c r="B1999" t="str">
        <f>_xlfn.XLOOKUP(Vendas[[#This Row],[ID Vendedor]],Vendedores[ID],Vendedores[Nome])</f>
        <v>Fernanda</v>
      </c>
      <c r="C1999" s="7" t="str">
        <f>_xlfn.XLOOKUP(Vendas[[#This Row],[ID Vendedor]],Vendedores[ID],Vendedores[Setor])</f>
        <v>FM</v>
      </c>
      <c r="D1999" s="7" t="s">
        <v>27</v>
      </c>
      <c r="E1999" t="str">
        <f>_xlfn.XLOOKUP(Vendas[[#This Row],[ID Item Vendido]],Agregado[ID],Agregado[Produto])</f>
        <v>Chapa de metal lisa 1x2m</v>
      </c>
      <c r="F1999" s="39">
        <v>44840</v>
      </c>
      <c r="G1999" s="7">
        <v>20</v>
      </c>
      <c r="H1999" s="3">
        <f>_xlfn.XLOOKUP(Vendas[[#This Row],[ID Item Vendido]],Agregado[ID],Agregado[Revenda])</f>
        <v>52</v>
      </c>
      <c r="I1999" s="3">
        <f>Vendas[[#This Row],[Valor Unitário]]*Vendas[[#This Row],[Qnt Vendida]]</f>
        <v>1040</v>
      </c>
      <c r="J1999" s="3">
        <f>Vendas[[#This Row],[Valor da Venda]]-(_xlfn.XLOOKUP(Vendas[[#This Row],[ID Item Vendido]],Agregado[ID],Agregado[Custo])*Vendas[[#This Row],[Qnt Vendida]])</f>
        <v>140</v>
      </c>
      <c r="K1999" s="70">
        <f>Vendas[[#This Row],[Lucro da Venda]]/Vendas[[#This Row],[Valor da Venda]]</f>
        <v>0.13461538461538461</v>
      </c>
      <c r="L1999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1999"/>
    </row>
    <row r="2000" spans="1:13" x14ac:dyDescent="0.3">
      <c r="A2000" s="7">
        <v>400253</v>
      </c>
      <c r="B2000" t="str">
        <f>_xlfn.XLOOKUP(Vendas[[#This Row],[ID Vendedor]],Vendedores[ID],Vendedores[Nome])</f>
        <v>Gustavo</v>
      </c>
      <c r="C2000" s="7" t="str">
        <f>_xlfn.XLOOKUP(Vendas[[#This Row],[ID Vendedor]],Vendedores[ID],Vendedores[Setor])</f>
        <v>SC</v>
      </c>
      <c r="D2000" s="7" t="s">
        <v>14</v>
      </c>
      <c r="E2000" t="str">
        <f>_xlfn.XLOOKUP(Vendas[[#This Row],[ID Item Vendido]],Agregado[ID],Agregado[Produto])</f>
        <v>Barril de plástico 200L</v>
      </c>
      <c r="F2000" s="39">
        <v>44841</v>
      </c>
      <c r="G2000" s="7">
        <v>10</v>
      </c>
      <c r="H2000" s="3">
        <f>_xlfn.XLOOKUP(Vendas[[#This Row],[ID Item Vendido]],Agregado[ID],Agregado[Revenda])</f>
        <v>114</v>
      </c>
      <c r="I2000" s="3">
        <f>Vendas[[#This Row],[Valor Unitário]]*Vendas[[#This Row],[Qnt Vendida]]</f>
        <v>1140</v>
      </c>
      <c r="J2000" s="3">
        <f>Vendas[[#This Row],[Valor da Venda]]-(_xlfn.XLOOKUP(Vendas[[#This Row],[ID Item Vendido]],Agregado[ID],Agregado[Custo])*Vendas[[#This Row],[Qnt Vendida]])</f>
        <v>190</v>
      </c>
      <c r="K2000" s="70">
        <f>Vendas[[#This Row],[Lucro da Venda]]/Vendas[[#This Row],[Valor da Venda]]</f>
        <v>0.16666666666666666</v>
      </c>
      <c r="L2000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2000"/>
    </row>
    <row r="2001" spans="1:13" x14ac:dyDescent="0.3">
      <c r="A2001" s="7">
        <v>400255</v>
      </c>
      <c r="B2001" t="str">
        <f>_xlfn.XLOOKUP(Vendas[[#This Row],[ID Vendedor]],Vendedores[ID],Vendedores[Nome])</f>
        <v>Carlos</v>
      </c>
      <c r="C2001" s="7" t="str">
        <f>_xlfn.XLOOKUP(Vendas[[#This Row],[ID Vendedor]],Vendedores[ID],Vendedores[Setor])</f>
        <v>SC</v>
      </c>
      <c r="D2001" s="7" t="s">
        <v>48</v>
      </c>
      <c r="E2001" t="str">
        <f>_xlfn.XLOOKUP(Vendas[[#This Row],[ID Item Vendido]],Agregado[ID],Agregado[Produto])</f>
        <v>Tambor metálico 200L</v>
      </c>
      <c r="F2001" s="39">
        <v>44842</v>
      </c>
      <c r="G2001" s="7">
        <v>20</v>
      </c>
      <c r="H2001" s="3">
        <f>_xlfn.XLOOKUP(Vendas[[#This Row],[ID Item Vendido]],Agregado[ID],Agregado[Revenda])</f>
        <v>144</v>
      </c>
      <c r="I2001" s="3">
        <f>Vendas[[#This Row],[Valor Unitário]]*Vendas[[#This Row],[Qnt Vendida]]</f>
        <v>2880</v>
      </c>
      <c r="J2001" s="3">
        <f>Vendas[[#This Row],[Valor da Venda]]-(_xlfn.XLOOKUP(Vendas[[#This Row],[ID Item Vendido]],Agregado[ID],Agregado[Custo])*Vendas[[#This Row],[Qnt Vendida]])</f>
        <v>480</v>
      </c>
      <c r="K2001" s="70">
        <f>Vendas[[#This Row],[Lucro da Venda]]/Vendas[[#This Row],[Valor da Venda]]</f>
        <v>0.16666666666666666</v>
      </c>
      <c r="L2001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2001"/>
    </row>
    <row r="2002" spans="1:13" x14ac:dyDescent="0.3">
      <c r="A2002" s="7">
        <v>400244</v>
      </c>
      <c r="B2002" t="str">
        <f>_xlfn.XLOOKUP(Vendas[[#This Row],[ID Vendedor]],Vendedores[ID],Vendedores[Nome])</f>
        <v>Camila</v>
      </c>
      <c r="C2002" s="7" t="str">
        <f>_xlfn.XLOOKUP(Vendas[[#This Row],[ID Vendedor]],Vendedores[ID],Vendedores[Setor])</f>
        <v>AHD</v>
      </c>
      <c r="D2002" s="7" t="s">
        <v>18</v>
      </c>
      <c r="E2002" t="str">
        <f>_xlfn.XLOOKUP(Vendas[[#This Row],[ID Item Vendido]],Agregado[ID],Agregado[Produto])</f>
        <v>Peça forjada sob encomenda</v>
      </c>
      <c r="F2002" s="39">
        <v>44842</v>
      </c>
      <c r="G2002" s="7">
        <v>4</v>
      </c>
      <c r="H2002" s="3">
        <f>_xlfn.XLOOKUP(Vendas[[#This Row],[ID Item Vendido]],Agregado[ID],Agregado[Revenda])</f>
        <v>264.60000000000002</v>
      </c>
      <c r="I2002" s="3">
        <f>Vendas[[#This Row],[Valor Unitário]]*Vendas[[#This Row],[Qnt Vendida]]</f>
        <v>1058.4000000000001</v>
      </c>
      <c r="J2002" s="3">
        <f>Vendas[[#This Row],[Valor da Venda]]-(_xlfn.XLOOKUP(Vendas[[#This Row],[ID Item Vendido]],Agregado[ID],Agregado[Custo])*Vendas[[#This Row],[Qnt Vendida]])</f>
        <v>58.400000000000091</v>
      </c>
      <c r="K2002" s="70">
        <f>Vendas[[#This Row],[Lucro da Venda]]/Vendas[[#This Row],[Valor da Venda]]</f>
        <v>5.5177626606198113E-2</v>
      </c>
      <c r="L2002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002"/>
    </row>
    <row r="2003" spans="1:13" x14ac:dyDescent="0.3">
      <c r="A2003" s="7">
        <v>400242</v>
      </c>
      <c r="B2003" t="str">
        <f>_xlfn.XLOOKUP(Vendas[[#This Row],[ID Vendedor]],Vendedores[ID],Vendedores[Nome])</f>
        <v>Fernanda</v>
      </c>
      <c r="C2003" s="7" t="str">
        <f>_xlfn.XLOOKUP(Vendas[[#This Row],[ID Vendedor]],Vendedores[ID],Vendedores[Setor])</f>
        <v>FM</v>
      </c>
      <c r="D2003" s="7" t="s">
        <v>47</v>
      </c>
      <c r="E2003" t="str">
        <f>_xlfn.XLOOKUP(Vendas[[#This Row],[ID Item Vendido]],Agregado[ID],Agregado[Produto])</f>
        <v>Fio de arame galvanizado rolo 50m</v>
      </c>
      <c r="F2003" s="39">
        <v>44843</v>
      </c>
      <c r="G2003" s="7">
        <v>37</v>
      </c>
      <c r="H2003" s="3">
        <f>_xlfn.XLOOKUP(Vendas[[#This Row],[ID Item Vendido]],Agregado[ID],Agregado[Revenda])</f>
        <v>21.2</v>
      </c>
      <c r="I2003" s="3">
        <f>Vendas[[#This Row],[Valor Unitário]]*Vendas[[#This Row],[Qnt Vendida]]</f>
        <v>784.4</v>
      </c>
      <c r="J2003" s="3">
        <f>Vendas[[#This Row],[Valor da Venda]]-(_xlfn.XLOOKUP(Vendas[[#This Row],[ID Item Vendido]],Agregado[ID],Agregado[Custo])*Vendas[[#This Row],[Qnt Vendida]])</f>
        <v>118.39999999999998</v>
      </c>
      <c r="K2003" s="70">
        <f>Vendas[[#This Row],[Lucro da Venda]]/Vendas[[#This Row],[Valor da Venda]]</f>
        <v>0.15094339622641506</v>
      </c>
      <c r="L2003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2003"/>
    </row>
    <row r="2004" spans="1:13" x14ac:dyDescent="0.3">
      <c r="A2004" s="7">
        <v>400243</v>
      </c>
      <c r="B2004" t="str">
        <f>_xlfn.XLOOKUP(Vendas[[#This Row],[ID Vendedor]],Vendedores[ID],Vendedores[Nome])</f>
        <v>Marcelo</v>
      </c>
      <c r="C2004" s="7" t="str">
        <f>_xlfn.XLOOKUP(Vendas[[#This Row],[ID Vendedor]],Vendedores[ID],Vendedores[Setor])</f>
        <v>FM</v>
      </c>
      <c r="D2004" s="7" t="s">
        <v>47</v>
      </c>
      <c r="E2004" t="str">
        <f>_xlfn.XLOOKUP(Vendas[[#This Row],[ID Item Vendido]],Agregado[ID],Agregado[Produto])</f>
        <v>Fio de arame galvanizado rolo 50m</v>
      </c>
      <c r="F2004" s="39">
        <v>44844</v>
      </c>
      <c r="G2004" s="7">
        <v>23</v>
      </c>
      <c r="H2004" s="3">
        <f>_xlfn.XLOOKUP(Vendas[[#This Row],[ID Item Vendido]],Agregado[ID],Agregado[Revenda])</f>
        <v>21.2</v>
      </c>
      <c r="I2004" s="3">
        <f>Vendas[[#This Row],[Valor Unitário]]*Vendas[[#This Row],[Qnt Vendida]]</f>
        <v>487.59999999999997</v>
      </c>
      <c r="J2004" s="3">
        <f>Vendas[[#This Row],[Valor da Venda]]-(_xlfn.XLOOKUP(Vendas[[#This Row],[ID Item Vendido]],Agregado[ID],Agregado[Custo])*Vendas[[#This Row],[Qnt Vendida]])</f>
        <v>73.599999999999966</v>
      </c>
      <c r="K2004" s="70">
        <f>Vendas[[#This Row],[Lucro da Venda]]/Vendas[[#This Row],[Valor da Venda]]</f>
        <v>0.15094339622641503</v>
      </c>
      <c r="L2004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2004"/>
    </row>
    <row r="2005" spans="1:13" x14ac:dyDescent="0.3">
      <c r="A2005" s="7">
        <v>400253</v>
      </c>
      <c r="B2005" t="str">
        <f>_xlfn.XLOOKUP(Vendas[[#This Row],[ID Vendedor]],Vendedores[ID],Vendedores[Nome])</f>
        <v>Gustavo</v>
      </c>
      <c r="C2005" s="7" t="str">
        <f>_xlfn.XLOOKUP(Vendas[[#This Row],[ID Vendedor]],Vendedores[ID],Vendedores[Setor])</f>
        <v>SC</v>
      </c>
      <c r="D2005" s="7" t="s">
        <v>25</v>
      </c>
      <c r="E2005" t="str">
        <f>_xlfn.XLOOKUP(Vendas[[#This Row],[ID Item Vendido]],Agregado[ID],Agregado[Produto])</f>
        <v>Palete de plástico</v>
      </c>
      <c r="F2005" s="39">
        <v>44845</v>
      </c>
      <c r="G2005" s="7">
        <v>7</v>
      </c>
      <c r="H2005" s="3">
        <f>_xlfn.XLOOKUP(Vendas[[#This Row],[ID Item Vendido]],Agregado[ID],Agregado[Revenda])</f>
        <v>70.8</v>
      </c>
      <c r="I2005" s="3">
        <f>Vendas[[#This Row],[Valor Unitário]]*Vendas[[#This Row],[Qnt Vendida]]</f>
        <v>495.59999999999997</v>
      </c>
      <c r="J2005" s="3">
        <f>Vendas[[#This Row],[Valor da Venda]]-(_xlfn.XLOOKUP(Vendas[[#This Row],[ID Item Vendido]],Agregado[ID],Agregado[Custo])*Vendas[[#This Row],[Qnt Vendida]])</f>
        <v>75.599999999999966</v>
      </c>
      <c r="K2005" s="70">
        <f>Vendas[[#This Row],[Lucro da Venda]]/Vendas[[#This Row],[Valor da Venda]]</f>
        <v>0.15254237288135589</v>
      </c>
      <c r="L2005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2005"/>
    </row>
    <row r="2006" spans="1:13" x14ac:dyDescent="0.3">
      <c r="A2006" s="7">
        <v>400241</v>
      </c>
      <c r="B2006" t="str">
        <f>_xlfn.XLOOKUP(Vendas[[#This Row],[ID Vendedor]],Vendedores[ID],Vendedores[Nome])</f>
        <v>Rodrigo</v>
      </c>
      <c r="C2006" s="7" t="str">
        <f>_xlfn.XLOOKUP(Vendas[[#This Row],[ID Vendedor]],Vendedores[ID],Vendedores[Setor])</f>
        <v>FM</v>
      </c>
      <c r="D2006" s="7" t="s">
        <v>27</v>
      </c>
      <c r="E2006" t="str">
        <f>_xlfn.XLOOKUP(Vendas[[#This Row],[ID Item Vendido]],Agregado[ID],Agregado[Produto])</f>
        <v>Chapa de metal lisa 1x2m</v>
      </c>
      <c r="F2006" s="39">
        <v>44846</v>
      </c>
      <c r="G2006" s="7">
        <v>30</v>
      </c>
      <c r="H2006" s="3">
        <f>_xlfn.XLOOKUP(Vendas[[#This Row],[ID Item Vendido]],Agregado[ID],Agregado[Revenda])</f>
        <v>52</v>
      </c>
      <c r="I2006" s="3">
        <f>Vendas[[#This Row],[Valor Unitário]]*Vendas[[#This Row],[Qnt Vendida]]</f>
        <v>1560</v>
      </c>
      <c r="J2006" s="3">
        <f>Vendas[[#This Row],[Valor da Venda]]-(_xlfn.XLOOKUP(Vendas[[#This Row],[ID Item Vendido]],Agregado[ID],Agregado[Custo])*Vendas[[#This Row],[Qnt Vendida]])</f>
        <v>210</v>
      </c>
      <c r="K2006" s="70">
        <f>Vendas[[#This Row],[Lucro da Venda]]/Vendas[[#This Row],[Valor da Venda]]</f>
        <v>0.13461538461538461</v>
      </c>
      <c r="L2006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006"/>
    </row>
    <row r="2007" spans="1:13" x14ac:dyDescent="0.3">
      <c r="A2007" s="7">
        <v>400244</v>
      </c>
      <c r="B2007" t="str">
        <f>_xlfn.XLOOKUP(Vendas[[#This Row],[ID Vendedor]],Vendedores[ID],Vendedores[Nome])</f>
        <v>Camila</v>
      </c>
      <c r="C2007" s="7" t="str">
        <f>_xlfn.XLOOKUP(Vendas[[#This Row],[ID Vendedor]],Vendedores[ID],Vendedores[Setor])</f>
        <v>AHD</v>
      </c>
      <c r="D2007" s="7" t="s">
        <v>9</v>
      </c>
      <c r="E2007" t="str">
        <f>_xlfn.XLOOKUP(Vendas[[#This Row],[ID Item Vendido]],Agregado[ID],Agregado[Produto])</f>
        <v>Barra de aço simples</v>
      </c>
      <c r="F2007" s="39">
        <v>44846</v>
      </c>
      <c r="G2007" s="7">
        <v>96</v>
      </c>
      <c r="H2007" s="3">
        <f>_xlfn.XLOOKUP(Vendas[[#This Row],[ID Item Vendido]],Agregado[ID],Agregado[Revenda])</f>
        <v>6.7</v>
      </c>
      <c r="I2007" s="3">
        <f>Vendas[[#This Row],[Valor Unitário]]*Vendas[[#This Row],[Qnt Vendida]]</f>
        <v>643.20000000000005</v>
      </c>
      <c r="J2007" s="3">
        <f>Vendas[[#This Row],[Valor da Venda]]-(_xlfn.XLOOKUP(Vendas[[#This Row],[ID Item Vendido]],Agregado[ID],Agregado[Custo])*Vendas[[#This Row],[Qnt Vendida]])</f>
        <v>86.400000000000091</v>
      </c>
      <c r="K2007" s="70">
        <f>Vendas[[#This Row],[Lucro da Venda]]/Vendas[[#This Row],[Valor da Venda]]</f>
        <v>0.13432835820895536</v>
      </c>
      <c r="L2007" s="3">
        <f>_xlfn.IFS(Vendas[[#This Row],[Margem de Lucro (%)]]&lt;15%,Vendas[[#This Row],[Valor da Venda]]*3%,Vendas[[#This Row],[Margem de Lucro (%)]]&lt;=20%,Vendas[[#This Row],[Valor da Venda]]*4.5%,TRUE,Vendas[[#This Row],[Valor da Venda]]*6%)</f>
        <v>19.295999999999999</v>
      </c>
      <c r="M2007"/>
    </row>
    <row r="2008" spans="1:13" x14ac:dyDescent="0.3">
      <c r="A2008" s="7">
        <v>400241</v>
      </c>
      <c r="B2008" t="str">
        <f>_xlfn.XLOOKUP(Vendas[[#This Row],[ID Vendedor]],Vendedores[ID],Vendedores[Nome])</f>
        <v>Rodrigo</v>
      </c>
      <c r="C2008" s="7" t="str">
        <f>_xlfn.XLOOKUP(Vendas[[#This Row],[ID Vendedor]],Vendedores[ID],Vendedores[Setor])</f>
        <v>FM</v>
      </c>
      <c r="D2008" s="7" t="s">
        <v>31</v>
      </c>
      <c r="E2008" t="str">
        <f>_xlfn.XLOOKUP(Vendas[[#This Row],[ID Item Vendido]],Agregado[ID],Agregado[Produto])</f>
        <v>Tela de metal soldada rolo 2x25m</v>
      </c>
      <c r="F2008" s="39">
        <v>44846</v>
      </c>
      <c r="G2008" s="7">
        <v>14</v>
      </c>
      <c r="H2008" s="3">
        <f>_xlfn.XLOOKUP(Vendas[[#This Row],[ID Item Vendido]],Agregado[ID],Agregado[Revenda])</f>
        <v>43.7</v>
      </c>
      <c r="I2008" s="3">
        <f>Vendas[[#This Row],[Valor Unitário]]*Vendas[[#This Row],[Qnt Vendida]]</f>
        <v>611.80000000000007</v>
      </c>
      <c r="J2008" s="3">
        <f>Vendas[[#This Row],[Valor da Venda]]-(_xlfn.XLOOKUP(Vendas[[#This Row],[ID Item Vendido]],Agregado[ID],Agregado[Custo])*Vendas[[#This Row],[Qnt Vendida]])</f>
        <v>79.800000000000068</v>
      </c>
      <c r="K2008" s="70">
        <f>Vendas[[#This Row],[Lucro da Venda]]/Vendas[[#This Row],[Valor da Venda]]</f>
        <v>0.13043478260869576</v>
      </c>
      <c r="L2008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2008"/>
    </row>
    <row r="2009" spans="1:13" x14ac:dyDescent="0.3">
      <c r="A2009" s="7">
        <v>400242</v>
      </c>
      <c r="B2009" t="str">
        <f>_xlfn.XLOOKUP(Vendas[[#This Row],[ID Vendedor]],Vendedores[ID],Vendedores[Nome])</f>
        <v>Fernanda</v>
      </c>
      <c r="C2009" s="7" t="str">
        <f>_xlfn.XLOOKUP(Vendas[[#This Row],[ID Vendedor]],Vendedores[ID],Vendedores[Setor])</f>
        <v>FM</v>
      </c>
      <c r="D2009" s="7" t="s">
        <v>31</v>
      </c>
      <c r="E2009" t="str">
        <f>_xlfn.XLOOKUP(Vendas[[#This Row],[ID Item Vendido]],Agregado[ID],Agregado[Produto])</f>
        <v>Tela de metal soldada rolo 2x25m</v>
      </c>
      <c r="F2009" s="39">
        <v>44846</v>
      </c>
      <c r="G2009" s="7">
        <v>9</v>
      </c>
      <c r="H2009" s="3">
        <f>_xlfn.XLOOKUP(Vendas[[#This Row],[ID Item Vendido]],Agregado[ID],Agregado[Revenda])</f>
        <v>43.7</v>
      </c>
      <c r="I2009" s="3">
        <f>Vendas[[#This Row],[Valor Unitário]]*Vendas[[#This Row],[Qnt Vendida]]</f>
        <v>393.3</v>
      </c>
      <c r="J2009" s="3">
        <f>Vendas[[#This Row],[Valor da Venda]]-(_xlfn.XLOOKUP(Vendas[[#This Row],[ID Item Vendido]],Agregado[ID],Agregado[Custo])*Vendas[[#This Row],[Qnt Vendida]])</f>
        <v>51.300000000000011</v>
      </c>
      <c r="K2009" s="70">
        <f>Vendas[[#This Row],[Lucro da Venda]]/Vendas[[#This Row],[Valor da Venda]]</f>
        <v>0.13043478260869568</v>
      </c>
      <c r="L2009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2009"/>
    </row>
    <row r="2010" spans="1:13" x14ac:dyDescent="0.3">
      <c r="A2010" s="7">
        <v>400255</v>
      </c>
      <c r="B2010" t="str">
        <f>_xlfn.XLOOKUP(Vendas[[#This Row],[ID Vendedor]],Vendedores[ID],Vendedores[Nome])</f>
        <v>Carlos</v>
      </c>
      <c r="C2010" s="7" t="str">
        <f>_xlfn.XLOOKUP(Vendas[[#This Row],[ID Vendedor]],Vendedores[ID],Vendedores[Setor])</f>
        <v>SC</v>
      </c>
      <c r="D2010" s="7" t="s">
        <v>48</v>
      </c>
      <c r="E2010" t="str">
        <f>_xlfn.XLOOKUP(Vendas[[#This Row],[ID Item Vendido]],Agregado[ID],Agregado[Produto])</f>
        <v>Tambor metálico 200L</v>
      </c>
      <c r="F2010" s="39">
        <v>44847</v>
      </c>
      <c r="G2010" s="7">
        <v>4</v>
      </c>
      <c r="H2010" s="3">
        <f>_xlfn.XLOOKUP(Vendas[[#This Row],[ID Item Vendido]],Agregado[ID],Agregado[Revenda])</f>
        <v>144</v>
      </c>
      <c r="I2010" s="3">
        <f>Vendas[[#This Row],[Valor Unitário]]*Vendas[[#This Row],[Qnt Vendida]]</f>
        <v>576</v>
      </c>
      <c r="J2010" s="3">
        <f>Vendas[[#This Row],[Valor da Venda]]-(_xlfn.XLOOKUP(Vendas[[#This Row],[ID Item Vendido]],Agregado[ID],Agregado[Custo])*Vendas[[#This Row],[Qnt Vendida]])</f>
        <v>96</v>
      </c>
      <c r="K2010" s="70">
        <f>Vendas[[#This Row],[Lucro da Venda]]/Vendas[[#This Row],[Valor da Venda]]</f>
        <v>0.16666666666666666</v>
      </c>
      <c r="L2010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2010"/>
    </row>
    <row r="2011" spans="1:13" x14ac:dyDescent="0.3">
      <c r="A2011" s="7">
        <v>400241</v>
      </c>
      <c r="B2011" t="str">
        <f>_xlfn.XLOOKUP(Vendas[[#This Row],[ID Vendedor]],Vendedores[ID],Vendedores[Nome])</f>
        <v>Rodrigo</v>
      </c>
      <c r="C2011" s="7" t="str">
        <f>_xlfn.XLOOKUP(Vendas[[#This Row],[ID Vendedor]],Vendedores[ID],Vendedores[Setor])</f>
        <v>FM</v>
      </c>
      <c r="D2011" s="7" t="s">
        <v>20</v>
      </c>
      <c r="E2011" t="str">
        <f>_xlfn.XLOOKUP(Vendas[[#This Row],[ID Item Vendido]],Agregado[ID],Agregado[Produto])</f>
        <v>Barra de aço simples</v>
      </c>
      <c r="F2011" s="39">
        <v>44848</v>
      </c>
      <c r="G2011" s="7">
        <v>56</v>
      </c>
      <c r="H2011" s="3">
        <f>_xlfn.XLOOKUP(Vendas[[#This Row],[ID Item Vendido]],Agregado[ID],Agregado[Revenda])</f>
        <v>4.8</v>
      </c>
      <c r="I2011" s="3">
        <f>Vendas[[#This Row],[Valor Unitário]]*Vendas[[#This Row],[Qnt Vendida]]</f>
        <v>268.8</v>
      </c>
      <c r="J2011" s="3">
        <f>Vendas[[#This Row],[Valor da Venda]]-(_xlfn.XLOOKUP(Vendas[[#This Row],[ID Item Vendido]],Agregado[ID],Agregado[Custo])*Vendas[[#This Row],[Qnt Vendida]])</f>
        <v>33.599999999999994</v>
      </c>
      <c r="K2011" s="70">
        <f>Vendas[[#This Row],[Lucro da Venda]]/Vendas[[#This Row],[Valor da Venda]]</f>
        <v>0.12499999999999997</v>
      </c>
      <c r="L2011" s="3">
        <f>_xlfn.IFS(Vendas[[#This Row],[Margem de Lucro (%)]]&lt;15%,Vendas[[#This Row],[Valor da Venda]]*3%,Vendas[[#This Row],[Margem de Lucro (%)]]&lt;=20%,Vendas[[#This Row],[Valor da Venda]]*4.5%,TRUE,Vendas[[#This Row],[Valor da Venda]]*6%)</f>
        <v>8.0640000000000001</v>
      </c>
      <c r="M2011"/>
    </row>
    <row r="2012" spans="1:13" x14ac:dyDescent="0.3">
      <c r="A2012" s="7">
        <v>400251</v>
      </c>
      <c r="B2012" t="str">
        <f>_xlfn.XLOOKUP(Vendas[[#This Row],[ID Vendedor]],Vendedores[ID],Vendedores[Nome])</f>
        <v>Diego</v>
      </c>
      <c r="C2012" s="7" t="str">
        <f>_xlfn.XLOOKUP(Vendas[[#This Row],[ID Vendedor]],Vendedores[ID],Vendedores[Setor])</f>
        <v>AB</v>
      </c>
      <c r="D2012" s="7" t="s">
        <v>39</v>
      </c>
      <c r="E2012" t="str">
        <f>_xlfn.XLOOKUP(Vendas[[#This Row],[ID Item Vendido]],Agregado[ID],Agregado[Produto])</f>
        <v>Filme plástico industrial rolo 50m</v>
      </c>
      <c r="F2012" s="39">
        <v>44848</v>
      </c>
      <c r="G2012" s="7">
        <v>2</v>
      </c>
      <c r="H2012" s="3">
        <f>_xlfn.XLOOKUP(Vendas[[#This Row],[ID Item Vendido]],Agregado[ID],Agregado[Revenda])</f>
        <v>37</v>
      </c>
      <c r="I2012" s="3">
        <f>Vendas[[#This Row],[Valor Unitário]]*Vendas[[#This Row],[Qnt Vendida]]</f>
        <v>74</v>
      </c>
      <c r="J2012" s="3">
        <f>Vendas[[#This Row],[Valor da Venda]]-(_xlfn.XLOOKUP(Vendas[[#This Row],[ID Item Vendido]],Agregado[ID],Agregado[Custo])*Vendas[[#This Row],[Qnt Vendida]])</f>
        <v>18</v>
      </c>
      <c r="K2012" s="70">
        <f>Vendas[[#This Row],[Lucro da Venda]]/Vendas[[#This Row],[Valor da Venda]]</f>
        <v>0.24324324324324326</v>
      </c>
      <c r="L2012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2012"/>
    </row>
    <row r="2013" spans="1:13" x14ac:dyDescent="0.3">
      <c r="A2013" s="7">
        <v>400253</v>
      </c>
      <c r="B2013" t="str">
        <f>_xlfn.XLOOKUP(Vendas[[#This Row],[ID Vendedor]],Vendedores[ID],Vendedores[Nome])</f>
        <v>Gustavo</v>
      </c>
      <c r="C2013" s="7" t="str">
        <f>_xlfn.XLOOKUP(Vendas[[#This Row],[ID Vendedor]],Vendedores[ID],Vendedores[Setor])</f>
        <v>SC</v>
      </c>
      <c r="D2013" s="7" t="s">
        <v>48</v>
      </c>
      <c r="E2013" t="str">
        <f>_xlfn.XLOOKUP(Vendas[[#This Row],[ID Item Vendido]],Agregado[ID],Agregado[Produto])</f>
        <v>Tambor metálico 200L</v>
      </c>
      <c r="F2013" s="39">
        <v>44849</v>
      </c>
      <c r="G2013" s="7">
        <v>18</v>
      </c>
      <c r="H2013" s="3">
        <f>_xlfn.XLOOKUP(Vendas[[#This Row],[ID Item Vendido]],Agregado[ID],Agregado[Revenda])</f>
        <v>144</v>
      </c>
      <c r="I2013" s="3">
        <f>Vendas[[#This Row],[Valor Unitário]]*Vendas[[#This Row],[Qnt Vendida]]</f>
        <v>2592</v>
      </c>
      <c r="J2013" s="3">
        <f>Vendas[[#This Row],[Valor da Venda]]-(_xlfn.XLOOKUP(Vendas[[#This Row],[ID Item Vendido]],Agregado[ID],Agregado[Custo])*Vendas[[#This Row],[Qnt Vendida]])</f>
        <v>432</v>
      </c>
      <c r="K2013" s="70">
        <f>Vendas[[#This Row],[Lucro da Venda]]/Vendas[[#This Row],[Valor da Venda]]</f>
        <v>0.16666666666666666</v>
      </c>
      <c r="L2013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013"/>
    </row>
    <row r="2014" spans="1:13" x14ac:dyDescent="0.3">
      <c r="A2014" s="7">
        <v>400242</v>
      </c>
      <c r="B2014" t="str">
        <f>_xlfn.XLOOKUP(Vendas[[#This Row],[ID Vendedor]],Vendedores[ID],Vendedores[Nome])</f>
        <v>Fernanda</v>
      </c>
      <c r="C2014" s="7" t="str">
        <f>_xlfn.XLOOKUP(Vendas[[#This Row],[ID Vendedor]],Vendedores[ID],Vendedores[Setor])</f>
        <v>FM</v>
      </c>
      <c r="D2014" s="7" t="s">
        <v>47</v>
      </c>
      <c r="E2014" t="str">
        <f>_xlfn.XLOOKUP(Vendas[[#This Row],[ID Item Vendido]],Agregado[ID],Agregado[Produto])</f>
        <v>Fio de arame galvanizado rolo 50m</v>
      </c>
      <c r="F2014" s="39">
        <v>44849</v>
      </c>
      <c r="G2014" s="7">
        <v>36</v>
      </c>
      <c r="H2014" s="3">
        <f>_xlfn.XLOOKUP(Vendas[[#This Row],[ID Item Vendido]],Agregado[ID],Agregado[Revenda])</f>
        <v>21.2</v>
      </c>
      <c r="I2014" s="3">
        <f>Vendas[[#This Row],[Valor Unitário]]*Vendas[[#This Row],[Qnt Vendida]]</f>
        <v>763.19999999999993</v>
      </c>
      <c r="J2014" s="3">
        <f>Vendas[[#This Row],[Valor da Venda]]-(_xlfn.XLOOKUP(Vendas[[#This Row],[ID Item Vendido]],Agregado[ID],Agregado[Custo])*Vendas[[#This Row],[Qnt Vendida]])</f>
        <v>115.19999999999993</v>
      </c>
      <c r="K2014" s="70">
        <f>Vendas[[#This Row],[Lucro da Venda]]/Vendas[[#This Row],[Valor da Venda]]</f>
        <v>0.15094339622641501</v>
      </c>
      <c r="L2014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2014"/>
    </row>
    <row r="2015" spans="1:13" x14ac:dyDescent="0.3">
      <c r="A2015" s="7">
        <v>400241</v>
      </c>
      <c r="B2015" t="str">
        <f>_xlfn.XLOOKUP(Vendas[[#This Row],[ID Vendedor]],Vendedores[ID],Vendedores[Nome])</f>
        <v>Rodrigo</v>
      </c>
      <c r="C2015" s="7" t="str">
        <f>_xlfn.XLOOKUP(Vendas[[#This Row],[ID Vendedor]],Vendedores[ID],Vendedores[Setor])</f>
        <v>FM</v>
      </c>
      <c r="D2015" s="7" t="s">
        <v>6</v>
      </c>
      <c r="E2015" t="str">
        <f>_xlfn.XLOOKUP(Vendas[[#This Row],[ID Item Vendido]],Agregado[ID],Agregado[Produto])</f>
        <v>Parafuso comum 500un</v>
      </c>
      <c r="F2015" s="39">
        <v>44849</v>
      </c>
      <c r="G2015" s="7">
        <v>16</v>
      </c>
      <c r="H2015" s="3">
        <f>_xlfn.XLOOKUP(Vendas[[#This Row],[ID Item Vendido]],Agregado[ID],Agregado[Revenda])</f>
        <v>24.6</v>
      </c>
      <c r="I2015" s="3">
        <f>Vendas[[#This Row],[Valor Unitário]]*Vendas[[#This Row],[Qnt Vendida]]</f>
        <v>393.6</v>
      </c>
      <c r="J2015" s="3">
        <f>Vendas[[#This Row],[Valor da Venda]]-(_xlfn.XLOOKUP(Vendas[[#This Row],[ID Item Vendido]],Agregado[ID],Agregado[Custo])*Vendas[[#This Row],[Qnt Vendida]])</f>
        <v>41.600000000000023</v>
      </c>
      <c r="K2015" s="70">
        <f>Vendas[[#This Row],[Lucro da Venda]]/Vendas[[#This Row],[Valor da Venda]]</f>
        <v>0.10569105691056915</v>
      </c>
      <c r="L2015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2015"/>
    </row>
    <row r="2016" spans="1:13" x14ac:dyDescent="0.3">
      <c r="A2016" s="7">
        <v>400253</v>
      </c>
      <c r="B2016" t="str">
        <f>_xlfn.XLOOKUP(Vendas[[#This Row],[ID Vendedor]],Vendedores[ID],Vendedores[Nome])</f>
        <v>Gustavo</v>
      </c>
      <c r="C2016" s="7" t="str">
        <f>_xlfn.XLOOKUP(Vendas[[#This Row],[ID Vendedor]],Vendedores[ID],Vendedores[Setor])</f>
        <v>SC</v>
      </c>
      <c r="D2016" s="7" t="s">
        <v>48</v>
      </c>
      <c r="E2016" t="str">
        <f>_xlfn.XLOOKUP(Vendas[[#This Row],[ID Item Vendido]],Agregado[ID],Agregado[Produto])</f>
        <v>Tambor metálico 200L</v>
      </c>
      <c r="F2016" s="39">
        <v>44850</v>
      </c>
      <c r="G2016" s="7">
        <v>19</v>
      </c>
      <c r="H2016" s="3">
        <f>_xlfn.XLOOKUP(Vendas[[#This Row],[ID Item Vendido]],Agregado[ID],Agregado[Revenda])</f>
        <v>144</v>
      </c>
      <c r="I2016" s="3">
        <f>Vendas[[#This Row],[Valor Unitário]]*Vendas[[#This Row],[Qnt Vendida]]</f>
        <v>2736</v>
      </c>
      <c r="J2016" s="3">
        <f>Vendas[[#This Row],[Valor da Venda]]-(_xlfn.XLOOKUP(Vendas[[#This Row],[ID Item Vendido]],Agregado[ID],Agregado[Custo])*Vendas[[#This Row],[Qnt Vendida]])</f>
        <v>456</v>
      </c>
      <c r="K2016" s="70">
        <f>Vendas[[#This Row],[Lucro da Venda]]/Vendas[[#This Row],[Valor da Venda]]</f>
        <v>0.16666666666666666</v>
      </c>
      <c r="L2016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016"/>
    </row>
    <row r="2017" spans="1:13" x14ac:dyDescent="0.3">
      <c r="A2017" s="7">
        <v>400255</v>
      </c>
      <c r="B2017" t="str">
        <f>_xlfn.XLOOKUP(Vendas[[#This Row],[ID Vendedor]],Vendedores[ID],Vendedores[Nome])</f>
        <v>Carlos</v>
      </c>
      <c r="C2017" s="7" t="str">
        <f>_xlfn.XLOOKUP(Vendas[[#This Row],[ID Vendedor]],Vendedores[ID],Vendedores[Setor])</f>
        <v>SC</v>
      </c>
      <c r="D2017" s="7" t="s">
        <v>14</v>
      </c>
      <c r="E2017" t="str">
        <f>_xlfn.XLOOKUP(Vendas[[#This Row],[ID Item Vendido]],Agregado[ID],Agregado[Produto])</f>
        <v>Barril de plástico 200L</v>
      </c>
      <c r="F2017" s="39">
        <v>44850</v>
      </c>
      <c r="G2017" s="7">
        <v>19</v>
      </c>
      <c r="H2017" s="3">
        <f>_xlfn.XLOOKUP(Vendas[[#This Row],[ID Item Vendido]],Agregado[ID],Agregado[Revenda])</f>
        <v>114</v>
      </c>
      <c r="I2017" s="3">
        <f>Vendas[[#This Row],[Valor Unitário]]*Vendas[[#This Row],[Qnt Vendida]]</f>
        <v>2166</v>
      </c>
      <c r="J2017" s="3">
        <f>Vendas[[#This Row],[Valor da Venda]]-(_xlfn.XLOOKUP(Vendas[[#This Row],[ID Item Vendido]],Agregado[ID],Agregado[Custo])*Vendas[[#This Row],[Qnt Vendida]])</f>
        <v>361</v>
      </c>
      <c r="K2017" s="70">
        <f>Vendas[[#This Row],[Lucro da Venda]]/Vendas[[#This Row],[Valor da Venda]]</f>
        <v>0.16666666666666666</v>
      </c>
      <c r="L2017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2017"/>
    </row>
    <row r="2018" spans="1:13" x14ac:dyDescent="0.3">
      <c r="A2018" s="7">
        <v>400243</v>
      </c>
      <c r="B2018" t="str">
        <f>_xlfn.XLOOKUP(Vendas[[#This Row],[ID Vendedor]],Vendedores[ID],Vendedores[Nome])</f>
        <v>Marcelo</v>
      </c>
      <c r="C2018" s="7" t="str">
        <f>_xlfn.XLOOKUP(Vendas[[#This Row],[ID Vendedor]],Vendedores[ID],Vendedores[Setor])</f>
        <v>FM</v>
      </c>
      <c r="D2018" s="7" t="s">
        <v>20</v>
      </c>
      <c r="E2018" t="str">
        <f>_xlfn.XLOOKUP(Vendas[[#This Row],[ID Item Vendido]],Agregado[ID],Agregado[Produto])</f>
        <v>Barra de aço simples</v>
      </c>
      <c r="F2018" s="39">
        <v>44850</v>
      </c>
      <c r="G2018" s="7">
        <v>183</v>
      </c>
      <c r="H2018" s="3">
        <f>_xlfn.XLOOKUP(Vendas[[#This Row],[ID Item Vendido]],Agregado[ID],Agregado[Revenda])</f>
        <v>4.8</v>
      </c>
      <c r="I2018" s="3">
        <f>Vendas[[#This Row],[Valor Unitário]]*Vendas[[#This Row],[Qnt Vendida]]</f>
        <v>878.4</v>
      </c>
      <c r="J2018" s="3">
        <f>Vendas[[#This Row],[Valor da Venda]]-(_xlfn.XLOOKUP(Vendas[[#This Row],[ID Item Vendido]],Agregado[ID],Agregado[Custo])*Vendas[[#This Row],[Qnt Vendida]])</f>
        <v>109.79999999999995</v>
      </c>
      <c r="K2018" s="70">
        <f>Vendas[[#This Row],[Lucro da Venda]]/Vendas[[#This Row],[Valor da Venda]]</f>
        <v>0.12499999999999996</v>
      </c>
      <c r="L2018" s="3">
        <f>_xlfn.IFS(Vendas[[#This Row],[Margem de Lucro (%)]]&lt;15%,Vendas[[#This Row],[Valor da Venda]]*3%,Vendas[[#This Row],[Margem de Lucro (%)]]&lt;=20%,Vendas[[#This Row],[Valor da Venda]]*4.5%,TRUE,Vendas[[#This Row],[Valor da Venda]]*6%)</f>
        <v>26.351999999999997</v>
      </c>
      <c r="M2018"/>
    </row>
    <row r="2019" spans="1:13" x14ac:dyDescent="0.3">
      <c r="A2019" s="7">
        <v>400250</v>
      </c>
      <c r="B2019" t="str">
        <f>_xlfn.XLOOKUP(Vendas[[#This Row],[ID Vendedor]],Vendedores[ID],Vendedores[Nome])</f>
        <v>Larissa</v>
      </c>
      <c r="C2019" s="7" t="str">
        <f>_xlfn.XLOOKUP(Vendas[[#This Row],[ID Vendedor]],Vendedores[ID],Vendedores[Setor])</f>
        <v>AB</v>
      </c>
      <c r="D2019" s="7" t="s">
        <v>39</v>
      </c>
      <c r="E2019" t="str">
        <f>_xlfn.XLOOKUP(Vendas[[#This Row],[ID Item Vendido]],Agregado[ID],Agregado[Produto])</f>
        <v>Filme plástico industrial rolo 50m</v>
      </c>
      <c r="F2019" s="39">
        <v>44850</v>
      </c>
      <c r="G2019" s="7">
        <v>18</v>
      </c>
      <c r="H2019" s="3">
        <f>_xlfn.XLOOKUP(Vendas[[#This Row],[ID Item Vendido]],Agregado[ID],Agregado[Revenda])</f>
        <v>37</v>
      </c>
      <c r="I2019" s="3">
        <f>Vendas[[#This Row],[Valor Unitário]]*Vendas[[#This Row],[Qnt Vendida]]</f>
        <v>666</v>
      </c>
      <c r="J2019" s="3">
        <f>Vendas[[#This Row],[Valor da Venda]]-(_xlfn.XLOOKUP(Vendas[[#This Row],[ID Item Vendido]],Agregado[ID],Agregado[Custo])*Vendas[[#This Row],[Qnt Vendida]])</f>
        <v>162</v>
      </c>
      <c r="K2019" s="70">
        <f>Vendas[[#This Row],[Lucro da Venda]]/Vendas[[#This Row],[Valor da Venda]]</f>
        <v>0.24324324324324326</v>
      </c>
      <c r="L2019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2019"/>
    </row>
    <row r="2020" spans="1:13" x14ac:dyDescent="0.3">
      <c r="A2020" s="7">
        <v>400242</v>
      </c>
      <c r="B2020" t="str">
        <f>_xlfn.XLOOKUP(Vendas[[#This Row],[ID Vendedor]],Vendedores[ID],Vendedores[Nome])</f>
        <v>Fernanda</v>
      </c>
      <c r="C2020" s="7" t="str">
        <f>_xlfn.XLOOKUP(Vendas[[#This Row],[ID Vendedor]],Vendedores[ID],Vendedores[Setor])</f>
        <v>FM</v>
      </c>
      <c r="D2020" s="7" t="s">
        <v>6</v>
      </c>
      <c r="E2020" t="str">
        <f>_xlfn.XLOOKUP(Vendas[[#This Row],[ID Item Vendido]],Agregado[ID],Agregado[Produto])</f>
        <v>Parafuso comum 500un</v>
      </c>
      <c r="F2020" s="39">
        <v>44850</v>
      </c>
      <c r="G2020" s="7">
        <v>14</v>
      </c>
      <c r="H2020" s="3">
        <f>_xlfn.XLOOKUP(Vendas[[#This Row],[ID Item Vendido]],Agregado[ID],Agregado[Revenda])</f>
        <v>24.6</v>
      </c>
      <c r="I2020" s="3">
        <f>Vendas[[#This Row],[Valor Unitário]]*Vendas[[#This Row],[Qnt Vendida]]</f>
        <v>344.40000000000003</v>
      </c>
      <c r="J2020" s="3">
        <f>Vendas[[#This Row],[Valor da Venda]]-(_xlfn.XLOOKUP(Vendas[[#This Row],[ID Item Vendido]],Agregado[ID],Agregado[Custo])*Vendas[[#This Row],[Qnt Vendida]])</f>
        <v>36.400000000000034</v>
      </c>
      <c r="K2020" s="70">
        <f>Vendas[[#This Row],[Lucro da Venda]]/Vendas[[#This Row],[Valor da Venda]]</f>
        <v>0.10569105691056919</v>
      </c>
      <c r="L2020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2020"/>
    </row>
    <row r="2021" spans="1:13" x14ac:dyDescent="0.3">
      <c r="A2021" s="7">
        <v>400247</v>
      </c>
      <c r="B2021" t="str">
        <f>_xlfn.XLOOKUP(Vendas[[#This Row],[ID Vendedor]],Vendedores[ID],Vendedores[Nome])</f>
        <v>André</v>
      </c>
      <c r="C2021" s="7" t="str">
        <f>_xlfn.XLOOKUP(Vendas[[#This Row],[ID Vendedor]],Vendedores[ID],Vendedores[Setor])</f>
        <v>CM</v>
      </c>
      <c r="D2021" s="7" t="s">
        <v>32</v>
      </c>
      <c r="E2021" t="str">
        <f>_xlfn.XLOOKUP(Vendas[[#This Row],[ID Item Vendido]],Agregado[ID],Agregado[Produto])</f>
        <v>Tábua tratada e cortada 3m</v>
      </c>
      <c r="F2021" s="39">
        <v>44850</v>
      </c>
      <c r="G2021" s="7">
        <v>8</v>
      </c>
      <c r="H2021" s="3">
        <f>_xlfn.XLOOKUP(Vendas[[#This Row],[ID Item Vendido]],Agregado[ID],Agregado[Revenda])</f>
        <v>39</v>
      </c>
      <c r="I2021" s="3">
        <f>Vendas[[#This Row],[Valor Unitário]]*Vendas[[#This Row],[Qnt Vendida]]</f>
        <v>312</v>
      </c>
      <c r="J2021" s="3">
        <f>Vendas[[#This Row],[Valor da Venda]]-(_xlfn.XLOOKUP(Vendas[[#This Row],[ID Item Vendido]],Agregado[ID],Agregado[Custo])*Vendas[[#This Row],[Qnt Vendida]])</f>
        <v>56</v>
      </c>
      <c r="K2021" s="70">
        <f>Vendas[[#This Row],[Lucro da Venda]]/Vendas[[#This Row],[Valor da Venda]]</f>
        <v>0.17948717948717949</v>
      </c>
      <c r="L2021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021"/>
    </row>
    <row r="2022" spans="1:13" x14ac:dyDescent="0.3">
      <c r="A2022" s="7">
        <v>400253</v>
      </c>
      <c r="B2022" t="str">
        <f>_xlfn.XLOOKUP(Vendas[[#This Row],[ID Vendedor]],Vendedores[ID],Vendedores[Nome])</f>
        <v>Gustavo</v>
      </c>
      <c r="C2022" s="7" t="str">
        <f>_xlfn.XLOOKUP(Vendas[[#This Row],[ID Vendedor]],Vendedores[ID],Vendedores[Setor])</f>
        <v>SC</v>
      </c>
      <c r="D2022" s="7" t="s">
        <v>42</v>
      </c>
      <c r="E2022" t="str">
        <f>_xlfn.XLOOKUP(Vendas[[#This Row],[ID Item Vendido]],Agregado[ID],Agregado[Produto])</f>
        <v>Container de ferro industrial</v>
      </c>
      <c r="F2022" s="39">
        <v>44851</v>
      </c>
      <c r="G2022" s="7">
        <v>2</v>
      </c>
      <c r="H2022" s="3">
        <f>_xlfn.XLOOKUP(Vendas[[#This Row],[ID Item Vendido]],Agregado[ID],Agregado[Revenda])</f>
        <v>830</v>
      </c>
      <c r="I2022" s="3">
        <f>Vendas[[#This Row],[Valor Unitário]]*Vendas[[#This Row],[Qnt Vendida]]</f>
        <v>1660</v>
      </c>
      <c r="J2022" s="3">
        <f>Vendas[[#This Row],[Valor da Venda]]-(_xlfn.XLOOKUP(Vendas[[#This Row],[ID Item Vendido]],Agregado[ID],Agregado[Custo])*Vendas[[#This Row],[Qnt Vendida]])</f>
        <v>300</v>
      </c>
      <c r="K2022" s="70">
        <f>Vendas[[#This Row],[Lucro da Venda]]/Vendas[[#This Row],[Valor da Venda]]</f>
        <v>0.18072289156626506</v>
      </c>
      <c r="L202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022"/>
    </row>
    <row r="2023" spans="1:13" x14ac:dyDescent="0.3">
      <c r="A2023" s="7">
        <v>400242</v>
      </c>
      <c r="B2023" t="str">
        <f>_xlfn.XLOOKUP(Vendas[[#This Row],[ID Vendedor]],Vendedores[ID],Vendedores[Nome])</f>
        <v>Fernanda</v>
      </c>
      <c r="C2023" s="7" t="str">
        <f>_xlfn.XLOOKUP(Vendas[[#This Row],[ID Vendedor]],Vendedores[ID],Vendedores[Setor])</f>
        <v>FM</v>
      </c>
      <c r="D2023" s="7" t="s">
        <v>27</v>
      </c>
      <c r="E2023" t="str">
        <f>_xlfn.XLOOKUP(Vendas[[#This Row],[ID Item Vendido]],Agregado[ID],Agregado[Produto])</f>
        <v>Chapa de metal lisa 1x2m</v>
      </c>
      <c r="F2023" s="39">
        <v>44851</v>
      </c>
      <c r="G2023" s="7">
        <v>19</v>
      </c>
      <c r="H2023" s="3">
        <f>_xlfn.XLOOKUP(Vendas[[#This Row],[ID Item Vendido]],Agregado[ID],Agregado[Revenda])</f>
        <v>52</v>
      </c>
      <c r="I2023" s="3">
        <f>Vendas[[#This Row],[Valor Unitário]]*Vendas[[#This Row],[Qnt Vendida]]</f>
        <v>988</v>
      </c>
      <c r="J2023" s="3">
        <f>Vendas[[#This Row],[Valor da Venda]]-(_xlfn.XLOOKUP(Vendas[[#This Row],[ID Item Vendido]],Agregado[ID],Agregado[Custo])*Vendas[[#This Row],[Qnt Vendida]])</f>
        <v>133</v>
      </c>
      <c r="K2023" s="70">
        <f>Vendas[[#This Row],[Lucro da Venda]]/Vendas[[#This Row],[Valor da Venda]]</f>
        <v>0.13461538461538461</v>
      </c>
      <c r="L2023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2023"/>
    </row>
    <row r="2024" spans="1:13" x14ac:dyDescent="0.3">
      <c r="A2024" s="7">
        <v>400242</v>
      </c>
      <c r="B2024" t="str">
        <f>_xlfn.XLOOKUP(Vendas[[#This Row],[ID Vendedor]],Vendedores[ID],Vendedores[Nome])</f>
        <v>Fernanda</v>
      </c>
      <c r="C2024" s="7" t="str">
        <f>_xlfn.XLOOKUP(Vendas[[#This Row],[ID Vendedor]],Vendedores[ID],Vendedores[Setor])</f>
        <v>FM</v>
      </c>
      <c r="D2024" s="7" t="s">
        <v>47</v>
      </c>
      <c r="E2024" t="str">
        <f>_xlfn.XLOOKUP(Vendas[[#This Row],[ID Item Vendido]],Agregado[ID],Agregado[Produto])</f>
        <v>Fio de arame galvanizado rolo 50m</v>
      </c>
      <c r="F2024" s="39">
        <v>44851</v>
      </c>
      <c r="G2024" s="7">
        <v>19</v>
      </c>
      <c r="H2024" s="3">
        <f>_xlfn.XLOOKUP(Vendas[[#This Row],[ID Item Vendido]],Agregado[ID],Agregado[Revenda])</f>
        <v>21.2</v>
      </c>
      <c r="I2024" s="3">
        <f>Vendas[[#This Row],[Valor Unitário]]*Vendas[[#This Row],[Qnt Vendida]]</f>
        <v>402.8</v>
      </c>
      <c r="J2024" s="3">
        <f>Vendas[[#This Row],[Valor da Venda]]-(_xlfn.XLOOKUP(Vendas[[#This Row],[ID Item Vendido]],Agregado[ID],Agregado[Custo])*Vendas[[#This Row],[Qnt Vendida]])</f>
        <v>60.800000000000011</v>
      </c>
      <c r="K2024" s="70">
        <f>Vendas[[#This Row],[Lucro da Venda]]/Vendas[[#This Row],[Valor da Venda]]</f>
        <v>0.15094339622641512</v>
      </c>
      <c r="L2024" s="3">
        <f>_xlfn.IFS(Vendas[[#This Row],[Margem de Lucro (%)]]&lt;15%,Vendas[[#This Row],[Valor da Venda]]*3%,Vendas[[#This Row],[Margem de Lucro (%)]]&lt;=20%,Vendas[[#This Row],[Valor da Venda]]*4.5%,TRUE,Vendas[[#This Row],[Valor da Venda]]*6%)</f>
        <v>18.126000000000001</v>
      </c>
      <c r="M2024"/>
    </row>
    <row r="2025" spans="1:13" x14ac:dyDescent="0.3">
      <c r="A2025" s="7">
        <v>400242</v>
      </c>
      <c r="B2025" t="str">
        <f>_xlfn.XLOOKUP(Vendas[[#This Row],[ID Vendedor]],Vendedores[ID],Vendedores[Nome])</f>
        <v>Fernanda</v>
      </c>
      <c r="C2025" s="7" t="str">
        <f>_xlfn.XLOOKUP(Vendas[[#This Row],[ID Vendedor]],Vendedores[ID],Vendedores[Setor])</f>
        <v>FM</v>
      </c>
      <c r="D2025" s="7" t="s">
        <v>6</v>
      </c>
      <c r="E2025" t="str">
        <f>_xlfn.XLOOKUP(Vendas[[#This Row],[ID Item Vendido]],Agregado[ID],Agregado[Produto])</f>
        <v>Parafuso comum 500un</v>
      </c>
      <c r="F2025" s="39">
        <v>44852</v>
      </c>
      <c r="G2025" s="7">
        <v>25</v>
      </c>
      <c r="H2025" s="3">
        <f>_xlfn.XLOOKUP(Vendas[[#This Row],[ID Item Vendido]],Agregado[ID],Agregado[Revenda])</f>
        <v>24.6</v>
      </c>
      <c r="I2025" s="3">
        <f>Vendas[[#This Row],[Valor Unitário]]*Vendas[[#This Row],[Qnt Vendida]]</f>
        <v>615</v>
      </c>
      <c r="J2025" s="3">
        <f>Vendas[[#This Row],[Valor da Venda]]-(_xlfn.XLOOKUP(Vendas[[#This Row],[ID Item Vendido]],Agregado[ID],Agregado[Custo])*Vendas[[#This Row],[Qnt Vendida]])</f>
        <v>65</v>
      </c>
      <c r="K2025" s="70">
        <f>Vendas[[#This Row],[Lucro da Venda]]/Vendas[[#This Row],[Valor da Venda]]</f>
        <v>0.10569105691056911</v>
      </c>
      <c r="L2025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2025"/>
    </row>
    <row r="2026" spans="1:13" x14ac:dyDescent="0.3">
      <c r="A2026" s="7">
        <v>400253</v>
      </c>
      <c r="B2026" t="str">
        <f>_xlfn.XLOOKUP(Vendas[[#This Row],[ID Vendedor]],Vendedores[ID],Vendedores[Nome])</f>
        <v>Gustavo</v>
      </c>
      <c r="C2026" s="7" t="str">
        <f>_xlfn.XLOOKUP(Vendas[[#This Row],[ID Vendedor]],Vendedores[ID],Vendedores[Setor])</f>
        <v>SC</v>
      </c>
      <c r="D2026" s="7" t="s">
        <v>25</v>
      </c>
      <c r="E2026" t="str">
        <f>_xlfn.XLOOKUP(Vendas[[#This Row],[ID Item Vendido]],Agregado[ID],Agregado[Produto])</f>
        <v>Palete de plástico</v>
      </c>
      <c r="F2026" s="39">
        <v>44852</v>
      </c>
      <c r="G2026" s="7">
        <v>7</v>
      </c>
      <c r="H2026" s="3">
        <f>_xlfn.XLOOKUP(Vendas[[#This Row],[ID Item Vendido]],Agregado[ID],Agregado[Revenda])</f>
        <v>70.8</v>
      </c>
      <c r="I2026" s="3">
        <f>Vendas[[#This Row],[Valor Unitário]]*Vendas[[#This Row],[Qnt Vendida]]</f>
        <v>495.59999999999997</v>
      </c>
      <c r="J2026" s="3">
        <f>Vendas[[#This Row],[Valor da Venda]]-(_xlfn.XLOOKUP(Vendas[[#This Row],[ID Item Vendido]],Agregado[ID],Agregado[Custo])*Vendas[[#This Row],[Qnt Vendida]])</f>
        <v>75.599999999999966</v>
      </c>
      <c r="K2026" s="70">
        <f>Vendas[[#This Row],[Lucro da Venda]]/Vendas[[#This Row],[Valor da Venda]]</f>
        <v>0.15254237288135589</v>
      </c>
      <c r="L2026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2026"/>
    </row>
    <row r="2027" spans="1:13" x14ac:dyDescent="0.3">
      <c r="A2027" s="7">
        <v>400242</v>
      </c>
      <c r="B2027" t="str">
        <f>_xlfn.XLOOKUP(Vendas[[#This Row],[ID Vendedor]],Vendedores[ID],Vendedores[Nome])</f>
        <v>Fernanda</v>
      </c>
      <c r="C2027" s="7" t="str">
        <f>_xlfn.XLOOKUP(Vendas[[#This Row],[ID Vendedor]],Vendedores[ID],Vendedores[Setor])</f>
        <v>FM</v>
      </c>
      <c r="D2027" s="7" t="s">
        <v>20</v>
      </c>
      <c r="E2027" t="str">
        <f>_xlfn.XLOOKUP(Vendas[[#This Row],[ID Item Vendido]],Agregado[ID],Agregado[Produto])</f>
        <v>Barra de aço simples</v>
      </c>
      <c r="F2027" s="39">
        <v>44853</v>
      </c>
      <c r="G2027" s="7">
        <v>33</v>
      </c>
      <c r="H2027" s="3">
        <f>_xlfn.XLOOKUP(Vendas[[#This Row],[ID Item Vendido]],Agregado[ID],Agregado[Revenda])</f>
        <v>4.8</v>
      </c>
      <c r="I2027" s="3">
        <f>Vendas[[#This Row],[Valor Unitário]]*Vendas[[#This Row],[Qnt Vendida]]</f>
        <v>158.4</v>
      </c>
      <c r="J2027" s="3">
        <f>Vendas[[#This Row],[Valor da Venda]]-(_xlfn.XLOOKUP(Vendas[[#This Row],[ID Item Vendido]],Agregado[ID],Agregado[Custo])*Vendas[[#This Row],[Qnt Vendida]])</f>
        <v>19.800000000000011</v>
      </c>
      <c r="K2027" s="70">
        <f>Vendas[[#This Row],[Lucro da Venda]]/Vendas[[#This Row],[Valor da Venda]]</f>
        <v>0.12500000000000006</v>
      </c>
      <c r="L2027" s="3">
        <f>_xlfn.IFS(Vendas[[#This Row],[Margem de Lucro (%)]]&lt;15%,Vendas[[#This Row],[Valor da Venda]]*3%,Vendas[[#This Row],[Margem de Lucro (%)]]&lt;=20%,Vendas[[#This Row],[Valor da Venda]]*4.5%,TRUE,Vendas[[#This Row],[Valor da Venda]]*6%)</f>
        <v>4.7519999999999998</v>
      </c>
      <c r="M2027"/>
    </row>
    <row r="2028" spans="1:13" x14ac:dyDescent="0.3">
      <c r="A2028" s="7">
        <v>400249</v>
      </c>
      <c r="B2028" t="str">
        <f>_xlfn.XLOOKUP(Vendas[[#This Row],[ID Vendedor]],Vendedores[ID],Vendedores[Nome])</f>
        <v>Bruno</v>
      </c>
      <c r="C2028" s="7" t="str">
        <f>_xlfn.XLOOKUP(Vendas[[#This Row],[ID Vendedor]],Vendedores[ID],Vendedores[Setor])</f>
        <v>CM</v>
      </c>
      <c r="D2028" s="7" t="s">
        <v>22</v>
      </c>
      <c r="E2028" t="str">
        <f>_xlfn.XLOOKUP(Vendas[[#This Row],[ID Item Vendido]],Agregado[ID],Agregado[Produto])</f>
        <v>Painel MDP 2,75x1,83m</v>
      </c>
      <c r="F2028" s="39">
        <v>44854</v>
      </c>
      <c r="G2028" s="7">
        <v>22</v>
      </c>
      <c r="H2028" s="3">
        <f>_xlfn.XLOOKUP(Vendas[[#This Row],[ID Item Vendido]],Agregado[ID],Agregado[Revenda])</f>
        <v>119</v>
      </c>
      <c r="I2028" s="3">
        <f>Vendas[[#This Row],[Valor Unitário]]*Vendas[[#This Row],[Qnt Vendida]]</f>
        <v>2618</v>
      </c>
      <c r="J2028" s="3">
        <f>Vendas[[#This Row],[Valor da Venda]]-(_xlfn.XLOOKUP(Vendas[[#This Row],[ID Item Vendido]],Agregado[ID],Agregado[Custo])*Vendas[[#This Row],[Qnt Vendida]])</f>
        <v>528</v>
      </c>
      <c r="K2028" s="70">
        <f>Vendas[[#This Row],[Lucro da Venda]]/Vendas[[#This Row],[Valor da Venda]]</f>
        <v>0.20168067226890757</v>
      </c>
      <c r="L2028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2028"/>
    </row>
    <row r="2029" spans="1:13" x14ac:dyDescent="0.3">
      <c r="A2029" s="7">
        <v>400241</v>
      </c>
      <c r="B2029" t="str">
        <f>_xlfn.XLOOKUP(Vendas[[#This Row],[ID Vendedor]],Vendedores[ID],Vendedores[Nome])</f>
        <v>Rodrigo</v>
      </c>
      <c r="C2029" s="7" t="str">
        <f>_xlfn.XLOOKUP(Vendas[[#This Row],[ID Vendedor]],Vendedores[ID],Vendedores[Setor])</f>
        <v>FM</v>
      </c>
      <c r="D2029" s="7" t="s">
        <v>47</v>
      </c>
      <c r="E2029" t="str">
        <f>_xlfn.XLOOKUP(Vendas[[#This Row],[ID Item Vendido]],Agregado[ID],Agregado[Produto])</f>
        <v>Fio de arame galvanizado rolo 50m</v>
      </c>
      <c r="F2029" s="39">
        <v>44854</v>
      </c>
      <c r="G2029" s="7">
        <v>39</v>
      </c>
      <c r="H2029" s="3">
        <f>_xlfn.XLOOKUP(Vendas[[#This Row],[ID Item Vendido]],Agregado[ID],Agregado[Revenda])</f>
        <v>21.2</v>
      </c>
      <c r="I2029" s="3">
        <f>Vendas[[#This Row],[Valor Unitário]]*Vendas[[#This Row],[Qnt Vendida]]</f>
        <v>826.8</v>
      </c>
      <c r="J2029" s="3">
        <f>Vendas[[#This Row],[Valor da Venda]]-(_xlfn.XLOOKUP(Vendas[[#This Row],[ID Item Vendido]],Agregado[ID],Agregado[Custo])*Vendas[[#This Row],[Qnt Vendida]])</f>
        <v>124.79999999999995</v>
      </c>
      <c r="K2029" s="70">
        <f>Vendas[[#This Row],[Lucro da Venda]]/Vendas[[#This Row],[Valor da Venda]]</f>
        <v>0.15094339622641506</v>
      </c>
      <c r="L2029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2029"/>
    </row>
    <row r="2030" spans="1:13" x14ac:dyDescent="0.3">
      <c r="A2030" s="7">
        <v>400242</v>
      </c>
      <c r="B2030" t="str">
        <f>_xlfn.XLOOKUP(Vendas[[#This Row],[ID Vendedor]],Vendedores[ID],Vendedores[Nome])</f>
        <v>Fernanda</v>
      </c>
      <c r="C2030" s="7" t="str">
        <f>_xlfn.XLOOKUP(Vendas[[#This Row],[ID Vendedor]],Vendedores[ID],Vendedores[Setor])</f>
        <v>FM</v>
      </c>
      <c r="D2030" s="7" t="s">
        <v>27</v>
      </c>
      <c r="E2030" t="str">
        <f>_xlfn.XLOOKUP(Vendas[[#This Row],[ID Item Vendido]],Agregado[ID],Agregado[Produto])</f>
        <v>Chapa de metal lisa 1x2m</v>
      </c>
      <c r="F2030" s="39">
        <v>44855</v>
      </c>
      <c r="G2030" s="7">
        <v>2</v>
      </c>
      <c r="H2030" s="3">
        <f>_xlfn.XLOOKUP(Vendas[[#This Row],[ID Item Vendido]],Agregado[ID],Agregado[Revenda])</f>
        <v>52</v>
      </c>
      <c r="I2030" s="3">
        <f>Vendas[[#This Row],[Valor Unitário]]*Vendas[[#This Row],[Qnt Vendida]]</f>
        <v>104</v>
      </c>
      <c r="J2030" s="3">
        <f>Vendas[[#This Row],[Valor da Venda]]-(_xlfn.XLOOKUP(Vendas[[#This Row],[ID Item Vendido]],Agregado[ID],Agregado[Custo])*Vendas[[#This Row],[Qnt Vendida]])</f>
        <v>14</v>
      </c>
      <c r="K2030" s="70">
        <f>Vendas[[#This Row],[Lucro da Venda]]/Vendas[[#This Row],[Valor da Venda]]</f>
        <v>0.13461538461538461</v>
      </c>
      <c r="L2030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2030"/>
    </row>
    <row r="2031" spans="1:13" x14ac:dyDescent="0.3">
      <c r="A2031" s="7">
        <v>400245</v>
      </c>
      <c r="B2031" t="str">
        <f>_xlfn.XLOOKUP(Vendas[[#This Row],[ID Vendedor]],Vendedores[ID],Vendedores[Nome])</f>
        <v>Thiago</v>
      </c>
      <c r="C2031" s="7" t="str">
        <f>_xlfn.XLOOKUP(Vendas[[#This Row],[ID Vendedor]],Vendedores[ID],Vendedores[Setor])</f>
        <v>AHD</v>
      </c>
      <c r="D2031" s="7" t="s">
        <v>9</v>
      </c>
      <c r="E2031" t="str">
        <f>_xlfn.XLOOKUP(Vendas[[#This Row],[ID Item Vendido]],Agregado[ID],Agregado[Produto])</f>
        <v>Barra de aço simples</v>
      </c>
      <c r="F2031" s="39">
        <v>44856</v>
      </c>
      <c r="G2031" s="7">
        <v>46</v>
      </c>
      <c r="H2031" s="3">
        <f>_xlfn.XLOOKUP(Vendas[[#This Row],[ID Item Vendido]],Agregado[ID],Agregado[Revenda])</f>
        <v>6.7</v>
      </c>
      <c r="I2031" s="3">
        <f>Vendas[[#This Row],[Valor Unitário]]*Vendas[[#This Row],[Qnt Vendida]]</f>
        <v>308.2</v>
      </c>
      <c r="J2031" s="3">
        <f>Vendas[[#This Row],[Valor da Venda]]-(_xlfn.XLOOKUP(Vendas[[#This Row],[ID Item Vendido]],Agregado[ID],Agregado[Custo])*Vendas[[#This Row],[Qnt Vendida]])</f>
        <v>41.399999999999977</v>
      </c>
      <c r="K2031" s="70">
        <f>Vendas[[#This Row],[Lucro da Venda]]/Vendas[[#This Row],[Valor da Venda]]</f>
        <v>0.13432835820895517</v>
      </c>
      <c r="L2031" s="3">
        <f>_xlfn.IFS(Vendas[[#This Row],[Margem de Lucro (%)]]&lt;15%,Vendas[[#This Row],[Valor da Venda]]*3%,Vendas[[#This Row],[Margem de Lucro (%)]]&lt;=20%,Vendas[[#This Row],[Valor da Venda]]*4.5%,TRUE,Vendas[[#This Row],[Valor da Venda]]*6%)</f>
        <v>9.2459999999999987</v>
      </c>
      <c r="M2031"/>
    </row>
    <row r="2032" spans="1:13" x14ac:dyDescent="0.3">
      <c r="A2032" s="7">
        <v>400243</v>
      </c>
      <c r="B2032" t="str">
        <f>_xlfn.XLOOKUP(Vendas[[#This Row],[ID Vendedor]],Vendedores[ID],Vendedores[Nome])</f>
        <v>Marcelo</v>
      </c>
      <c r="C2032" s="7" t="str">
        <f>_xlfn.XLOOKUP(Vendas[[#This Row],[ID Vendedor]],Vendedores[ID],Vendedores[Setor])</f>
        <v>FM</v>
      </c>
      <c r="D2032" s="7" t="s">
        <v>6</v>
      </c>
      <c r="E2032" t="str">
        <f>_xlfn.XLOOKUP(Vendas[[#This Row],[ID Item Vendido]],Agregado[ID],Agregado[Produto])</f>
        <v>Parafuso comum 500un</v>
      </c>
      <c r="F2032" s="39">
        <v>44856</v>
      </c>
      <c r="G2032" s="7">
        <v>6</v>
      </c>
      <c r="H2032" s="3">
        <f>_xlfn.XLOOKUP(Vendas[[#This Row],[ID Item Vendido]],Agregado[ID],Agregado[Revenda])</f>
        <v>24.6</v>
      </c>
      <c r="I2032" s="3">
        <f>Vendas[[#This Row],[Valor Unitário]]*Vendas[[#This Row],[Qnt Vendida]]</f>
        <v>147.60000000000002</v>
      </c>
      <c r="J2032" s="3">
        <f>Vendas[[#This Row],[Valor da Venda]]-(_xlfn.XLOOKUP(Vendas[[#This Row],[ID Item Vendido]],Agregado[ID],Agregado[Custo])*Vendas[[#This Row],[Qnt Vendida]])</f>
        <v>15.600000000000023</v>
      </c>
      <c r="K2032" s="70">
        <f>Vendas[[#This Row],[Lucro da Venda]]/Vendas[[#This Row],[Valor da Venda]]</f>
        <v>0.10569105691056924</v>
      </c>
      <c r="L2032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2032"/>
    </row>
    <row r="2033" spans="1:13" x14ac:dyDescent="0.3">
      <c r="A2033" s="7">
        <v>400251</v>
      </c>
      <c r="B2033" t="str">
        <f>_xlfn.XLOOKUP(Vendas[[#This Row],[ID Vendedor]],Vendedores[ID],Vendedores[Nome])</f>
        <v>Diego</v>
      </c>
      <c r="C2033" s="7" t="str">
        <f>_xlfn.XLOOKUP(Vendas[[#This Row],[ID Vendedor]],Vendedores[ID],Vendedores[Setor])</f>
        <v>AB</v>
      </c>
      <c r="D2033" s="7" t="s">
        <v>12</v>
      </c>
      <c r="E2033" t="str">
        <f>_xlfn.XLOOKUP(Vendas[[#This Row],[ID Item Vendido]],Agregado[ID],Agregado[Produto])</f>
        <v>Grânulo de plástico reciclado refinado</v>
      </c>
      <c r="F2033" s="39">
        <v>44857</v>
      </c>
      <c r="G2033" s="7">
        <v>142</v>
      </c>
      <c r="H2033" s="3">
        <f>_xlfn.XLOOKUP(Vendas[[#This Row],[ID Item Vendido]],Agregado[ID],Agregado[Revenda])</f>
        <v>4.7</v>
      </c>
      <c r="I2033" s="3">
        <f>Vendas[[#This Row],[Valor Unitário]]*Vendas[[#This Row],[Qnt Vendida]]</f>
        <v>667.4</v>
      </c>
      <c r="J2033" s="3">
        <f>Vendas[[#This Row],[Valor da Venda]]-(_xlfn.XLOOKUP(Vendas[[#This Row],[ID Item Vendido]],Agregado[ID],Agregado[Custo])*Vendas[[#This Row],[Qnt Vendida]])</f>
        <v>170.39999999999998</v>
      </c>
      <c r="K2033" s="70">
        <f>Vendas[[#This Row],[Lucro da Venda]]/Vendas[[#This Row],[Valor da Venda]]</f>
        <v>0.25531914893617019</v>
      </c>
      <c r="L2033" s="3">
        <f>_xlfn.IFS(Vendas[[#This Row],[Margem de Lucro (%)]]&lt;15%,Vendas[[#This Row],[Valor da Venda]]*3%,Vendas[[#This Row],[Margem de Lucro (%)]]&lt;=20%,Vendas[[#This Row],[Valor da Venda]]*4.5%,TRUE,Vendas[[#This Row],[Valor da Venda]]*6%)</f>
        <v>40.043999999999997</v>
      </c>
      <c r="M2033"/>
    </row>
    <row r="2034" spans="1:13" x14ac:dyDescent="0.3">
      <c r="A2034" s="7">
        <v>400251</v>
      </c>
      <c r="B2034" t="str">
        <f>_xlfn.XLOOKUP(Vendas[[#This Row],[ID Vendedor]],Vendedores[ID],Vendedores[Nome])</f>
        <v>Diego</v>
      </c>
      <c r="C2034" s="7" t="str">
        <f>_xlfn.XLOOKUP(Vendas[[#This Row],[ID Vendedor]],Vendedores[ID],Vendedores[Setor])</f>
        <v>AB</v>
      </c>
      <c r="D2034" s="7" t="s">
        <v>12</v>
      </c>
      <c r="E2034" t="str">
        <f>_xlfn.XLOOKUP(Vendas[[#This Row],[ID Item Vendido]],Agregado[ID],Agregado[Produto])</f>
        <v>Grânulo de plástico reciclado refinado</v>
      </c>
      <c r="F2034" s="39">
        <v>44857</v>
      </c>
      <c r="G2034" s="7">
        <v>58</v>
      </c>
      <c r="H2034" s="3">
        <f>_xlfn.XLOOKUP(Vendas[[#This Row],[ID Item Vendido]],Agregado[ID],Agregado[Revenda])</f>
        <v>4.7</v>
      </c>
      <c r="I2034" s="3">
        <f>Vendas[[#This Row],[Valor Unitário]]*Vendas[[#This Row],[Qnt Vendida]]</f>
        <v>272.60000000000002</v>
      </c>
      <c r="J2034" s="3">
        <f>Vendas[[#This Row],[Valor da Venda]]-(_xlfn.XLOOKUP(Vendas[[#This Row],[ID Item Vendido]],Agregado[ID],Agregado[Custo])*Vendas[[#This Row],[Qnt Vendida]])</f>
        <v>69.600000000000023</v>
      </c>
      <c r="K2034" s="70">
        <f>Vendas[[#This Row],[Lucro da Venda]]/Vendas[[#This Row],[Valor da Venda]]</f>
        <v>0.25531914893617025</v>
      </c>
      <c r="L2034" s="3">
        <f>_xlfn.IFS(Vendas[[#This Row],[Margem de Lucro (%)]]&lt;15%,Vendas[[#This Row],[Valor da Venda]]*3%,Vendas[[#This Row],[Margem de Lucro (%)]]&lt;=20%,Vendas[[#This Row],[Valor da Venda]]*4.5%,TRUE,Vendas[[#This Row],[Valor da Venda]]*6%)</f>
        <v>16.356000000000002</v>
      </c>
      <c r="M2034"/>
    </row>
    <row r="2035" spans="1:13" x14ac:dyDescent="0.3">
      <c r="A2035" s="7">
        <v>400245</v>
      </c>
      <c r="B2035" t="str">
        <f>_xlfn.XLOOKUP(Vendas[[#This Row],[ID Vendedor]],Vendedores[ID],Vendedores[Nome])</f>
        <v>Thiago</v>
      </c>
      <c r="C2035" s="7" t="str">
        <f>_xlfn.XLOOKUP(Vendas[[#This Row],[ID Vendedor]],Vendedores[ID],Vendedores[Setor])</f>
        <v>AHD</v>
      </c>
      <c r="D2035" s="7" t="s">
        <v>28</v>
      </c>
      <c r="E2035" t="str">
        <f>_xlfn.XLOOKUP(Vendas[[#This Row],[ID Item Vendido]],Agregado[ID],Agregado[Produto])</f>
        <v>Peça usinada CNC</v>
      </c>
      <c r="F2035" s="39">
        <v>44858</v>
      </c>
      <c r="G2035" s="7">
        <v>2</v>
      </c>
      <c r="H2035" s="3">
        <f>_xlfn.XLOOKUP(Vendas[[#This Row],[ID Item Vendido]],Agregado[ID],Agregado[Revenda])</f>
        <v>192</v>
      </c>
      <c r="I2035" s="3">
        <f>Vendas[[#This Row],[Valor Unitário]]*Vendas[[#This Row],[Qnt Vendida]]</f>
        <v>384</v>
      </c>
      <c r="J2035" s="3">
        <f>Vendas[[#This Row],[Valor da Venda]]-(_xlfn.XLOOKUP(Vendas[[#This Row],[ID Item Vendido]],Agregado[ID],Agregado[Custo])*Vendas[[#This Row],[Qnt Vendida]])</f>
        <v>84</v>
      </c>
      <c r="K2035" s="70">
        <f>Vendas[[#This Row],[Lucro da Venda]]/Vendas[[#This Row],[Valor da Venda]]</f>
        <v>0.21875</v>
      </c>
      <c r="L2035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2035"/>
    </row>
    <row r="2036" spans="1:13" x14ac:dyDescent="0.3">
      <c r="A2036" s="7">
        <v>400242</v>
      </c>
      <c r="B2036" t="str">
        <f>_xlfn.XLOOKUP(Vendas[[#This Row],[ID Vendedor]],Vendedores[ID],Vendedores[Nome])</f>
        <v>Fernanda</v>
      </c>
      <c r="C2036" s="7" t="str">
        <f>_xlfn.XLOOKUP(Vendas[[#This Row],[ID Vendedor]],Vendedores[ID],Vendedores[Setor])</f>
        <v>FM</v>
      </c>
      <c r="D2036" s="7" t="s">
        <v>31</v>
      </c>
      <c r="E2036" t="str">
        <f>_xlfn.XLOOKUP(Vendas[[#This Row],[ID Item Vendido]],Agregado[ID],Agregado[Produto])</f>
        <v>Tela de metal soldada rolo 2x25m</v>
      </c>
      <c r="F2036" s="39">
        <v>44859</v>
      </c>
      <c r="G2036" s="7">
        <v>7</v>
      </c>
      <c r="H2036" s="3">
        <f>_xlfn.XLOOKUP(Vendas[[#This Row],[ID Item Vendido]],Agregado[ID],Agregado[Revenda])</f>
        <v>43.7</v>
      </c>
      <c r="I2036" s="3">
        <f>Vendas[[#This Row],[Valor Unitário]]*Vendas[[#This Row],[Qnt Vendida]]</f>
        <v>305.90000000000003</v>
      </c>
      <c r="J2036" s="3">
        <f>Vendas[[#This Row],[Valor da Venda]]-(_xlfn.XLOOKUP(Vendas[[#This Row],[ID Item Vendido]],Agregado[ID],Agregado[Custo])*Vendas[[#This Row],[Qnt Vendida]])</f>
        <v>39.900000000000034</v>
      </c>
      <c r="K2036" s="70">
        <f>Vendas[[#This Row],[Lucro da Venda]]/Vendas[[#This Row],[Valor da Venda]]</f>
        <v>0.13043478260869576</v>
      </c>
      <c r="L2036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2036"/>
    </row>
    <row r="2037" spans="1:13" x14ac:dyDescent="0.3">
      <c r="A2037" s="7">
        <v>400241</v>
      </c>
      <c r="B2037" t="str">
        <f>_xlfn.XLOOKUP(Vendas[[#This Row],[ID Vendedor]],Vendedores[ID],Vendedores[Nome])</f>
        <v>Rodrigo</v>
      </c>
      <c r="C2037" s="7" t="str">
        <f>_xlfn.XLOOKUP(Vendas[[#This Row],[ID Vendedor]],Vendedores[ID],Vendedores[Setor])</f>
        <v>FM</v>
      </c>
      <c r="D2037" s="7" t="s">
        <v>27</v>
      </c>
      <c r="E2037" t="str">
        <f>_xlfn.XLOOKUP(Vendas[[#This Row],[ID Item Vendido]],Agregado[ID],Agregado[Produto])</f>
        <v>Chapa de metal lisa 1x2m</v>
      </c>
      <c r="F2037" s="39">
        <v>44860</v>
      </c>
      <c r="G2037" s="7">
        <v>17</v>
      </c>
      <c r="H2037" s="3">
        <f>_xlfn.XLOOKUP(Vendas[[#This Row],[ID Item Vendido]],Agregado[ID],Agregado[Revenda])</f>
        <v>52</v>
      </c>
      <c r="I2037" s="3">
        <f>Vendas[[#This Row],[Valor Unitário]]*Vendas[[#This Row],[Qnt Vendida]]</f>
        <v>884</v>
      </c>
      <c r="J2037" s="3">
        <f>Vendas[[#This Row],[Valor da Venda]]-(_xlfn.XLOOKUP(Vendas[[#This Row],[ID Item Vendido]],Agregado[ID],Agregado[Custo])*Vendas[[#This Row],[Qnt Vendida]])</f>
        <v>119</v>
      </c>
      <c r="K2037" s="70">
        <f>Vendas[[#This Row],[Lucro da Venda]]/Vendas[[#This Row],[Valor da Venda]]</f>
        <v>0.13461538461538461</v>
      </c>
      <c r="L2037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2037"/>
    </row>
    <row r="2038" spans="1:13" x14ac:dyDescent="0.3">
      <c r="A2038" s="7">
        <v>400250</v>
      </c>
      <c r="B2038" t="str">
        <f>_xlfn.XLOOKUP(Vendas[[#This Row],[ID Vendedor]],Vendedores[ID],Vendedores[Nome])</f>
        <v>Larissa</v>
      </c>
      <c r="C2038" s="7" t="str">
        <f>_xlfn.XLOOKUP(Vendas[[#This Row],[ID Vendedor]],Vendedores[ID],Vendedores[Setor])</f>
        <v>AB</v>
      </c>
      <c r="D2038" s="7" t="s">
        <v>36</v>
      </c>
      <c r="E2038" t="str">
        <f>_xlfn.XLOOKUP(Vendas[[#This Row],[ID Item Vendido]],Agregado[ID],Agregado[Produto])</f>
        <v>Borracha vulcanizada em manta</v>
      </c>
      <c r="F2038" s="39">
        <v>44860</v>
      </c>
      <c r="G2038" s="7">
        <v>55</v>
      </c>
      <c r="H2038" s="3">
        <f>_xlfn.XLOOKUP(Vendas[[#This Row],[ID Item Vendido]],Agregado[ID],Agregado[Revenda])</f>
        <v>7.8</v>
      </c>
      <c r="I2038" s="3">
        <f>Vendas[[#This Row],[Valor Unitário]]*Vendas[[#This Row],[Qnt Vendida]]</f>
        <v>429</v>
      </c>
      <c r="J2038" s="3">
        <f>Vendas[[#This Row],[Valor da Venda]]-(_xlfn.XLOOKUP(Vendas[[#This Row],[ID Item Vendido]],Agregado[ID],Agregado[Custo])*Vendas[[#This Row],[Qnt Vendida]])</f>
        <v>99</v>
      </c>
      <c r="K2038" s="70">
        <f>Vendas[[#This Row],[Lucro da Venda]]/Vendas[[#This Row],[Valor da Venda]]</f>
        <v>0.23076923076923078</v>
      </c>
      <c r="L2038" s="3">
        <f>_xlfn.IFS(Vendas[[#This Row],[Margem de Lucro (%)]]&lt;15%,Vendas[[#This Row],[Valor da Venda]]*3%,Vendas[[#This Row],[Margem de Lucro (%)]]&lt;=20%,Vendas[[#This Row],[Valor da Venda]]*4.5%,TRUE,Vendas[[#This Row],[Valor da Venda]]*6%)</f>
        <v>25.74</v>
      </c>
      <c r="M2038"/>
    </row>
    <row r="2039" spans="1:13" x14ac:dyDescent="0.3">
      <c r="A2039" s="7">
        <v>400255</v>
      </c>
      <c r="B2039" t="str">
        <f>_xlfn.XLOOKUP(Vendas[[#This Row],[ID Vendedor]],Vendedores[ID],Vendedores[Nome])</f>
        <v>Carlos</v>
      </c>
      <c r="C2039" s="7" t="str">
        <f>_xlfn.XLOOKUP(Vendas[[#This Row],[ID Vendedor]],Vendedores[ID],Vendedores[Setor])</f>
        <v>SC</v>
      </c>
      <c r="D2039" s="7" t="s">
        <v>14</v>
      </c>
      <c r="E2039" t="str">
        <f>_xlfn.XLOOKUP(Vendas[[#This Row],[ID Item Vendido]],Agregado[ID],Agregado[Produto])</f>
        <v>Barril de plástico 200L</v>
      </c>
      <c r="F2039" s="39">
        <v>44861</v>
      </c>
      <c r="G2039" s="7">
        <v>21</v>
      </c>
      <c r="H2039" s="3">
        <f>_xlfn.XLOOKUP(Vendas[[#This Row],[ID Item Vendido]],Agregado[ID],Agregado[Revenda])</f>
        <v>114</v>
      </c>
      <c r="I2039" s="3">
        <f>Vendas[[#This Row],[Valor Unitário]]*Vendas[[#This Row],[Qnt Vendida]]</f>
        <v>2394</v>
      </c>
      <c r="J2039" s="3">
        <f>Vendas[[#This Row],[Valor da Venda]]-(_xlfn.XLOOKUP(Vendas[[#This Row],[ID Item Vendido]],Agregado[ID],Agregado[Custo])*Vendas[[#This Row],[Qnt Vendida]])</f>
        <v>399</v>
      </c>
      <c r="K2039" s="70">
        <f>Vendas[[#This Row],[Lucro da Venda]]/Vendas[[#This Row],[Valor da Venda]]</f>
        <v>0.16666666666666666</v>
      </c>
      <c r="L2039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2039"/>
    </row>
    <row r="2040" spans="1:13" x14ac:dyDescent="0.3">
      <c r="A2040" s="7">
        <v>400243</v>
      </c>
      <c r="B2040" t="str">
        <f>_xlfn.XLOOKUP(Vendas[[#This Row],[ID Vendedor]],Vendedores[ID],Vendedores[Nome])</f>
        <v>Marcelo</v>
      </c>
      <c r="C2040" s="7" t="str">
        <f>_xlfn.XLOOKUP(Vendas[[#This Row],[ID Vendedor]],Vendedores[ID],Vendedores[Setor])</f>
        <v>FM</v>
      </c>
      <c r="D2040" s="7" t="s">
        <v>27</v>
      </c>
      <c r="E2040" t="str">
        <f>_xlfn.XLOOKUP(Vendas[[#This Row],[ID Item Vendido]],Agregado[ID],Agregado[Produto])</f>
        <v>Chapa de metal lisa 1x2m</v>
      </c>
      <c r="F2040" s="39">
        <v>44861</v>
      </c>
      <c r="G2040" s="7">
        <v>28</v>
      </c>
      <c r="H2040" s="3">
        <f>_xlfn.XLOOKUP(Vendas[[#This Row],[ID Item Vendido]],Agregado[ID],Agregado[Revenda])</f>
        <v>52</v>
      </c>
      <c r="I2040" s="3">
        <f>Vendas[[#This Row],[Valor Unitário]]*Vendas[[#This Row],[Qnt Vendida]]</f>
        <v>1456</v>
      </c>
      <c r="J2040" s="3">
        <f>Vendas[[#This Row],[Valor da Venda]]-(_xlfn.XLOOKUP(Vendas[[#This Row],[ID Item Vendido]],Agregado[ID],Agregado[Custo])*Vendas[[#This Row],[Qnt Vendida]])</f>
        <v>196</v>
      </c>
      <c r="K2040" s="70">
        <f>Vendas[[#This Row],[Lucro da Venda]]/Vendas[[#This Row],[Valor da Venda]]</f>
        <v>0.13461538461538461</v>
      </c>
      <c r="L2040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2040"/>
    </row>
    <row r="2041" spans="1:13" x14ac:dyDescent="0.3">
      <c r="A2041" s="7">
        <v>400247</v>
      </c>
      <c r="B2041" t="str">
        <f>_xlfn.XLOOKUP(Vendas[[#This Row],[ID Vendedor]],Vendedores[ID],Vendedores[Nome])</f>
        <v>André</v>
      </c>
      <c r="C2041" s="7" t="str">
        <f>_xlfn.XLOOKUP(Vendas[[#This Row],[ID Vendedor]],Vendedores[ID],Vendedores[Setor])</f>
        <v>CM</v>
      </c>
      <c r="D2041" s="7" t="s">
        <v>45</v>
      </c>
      <c r="E2041" t="str">
        <f>_xlfn.XLOOKUP(Vendas[[#This Row],[ID Item Vendido]],Agregado[ID],Agregado[Produto])</f>
        <v>Viga de madeira tratada 4m</v>
      </c>
      <c r="F2041" s="39">
        <v>44861</v>
      </c>
      <c r="G2041" s="7">
        <v>12</v>
      </c>
      <c r="H2041" s="3">
        <f>_xlfn.XLOOKUP(Vendas[[#This Row],[ID Item Vendido]],Agregado[ID],Agregado[Revenda])</f>
        <v>66</v>
      </c>
      <c r="I2041" s="3">
        <f>Vendas[[#This Row],[Valor Unitário]]*Vendas[[#This Row],[Qnt Vendida]]</f>
        <v>792</v>
      </c>
      <c r="J2041" s="3">
        <f>Vendas[[#This Row],[Valor da Venda]]-(_xlfn.XLOOKUP(Vendas[[#This Row],[ID Item Vendido]],Agregado[ID],Agregado[Custo])*Vendas[[#This Row],[Qnt Vendida]])</f>
        <v>132</v>
      </c>
      <c r="K2041" s="70">
        <f>Vendas[[#This Row],[Lucro da Venda]]/Vendas[[#This Row],[Valor da Venda]]</f>
        <v>0.16666666666666666</v>
      </c>
      <c r="L2041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2041"/>
    </row>
    <row r="2042" spans="1:13" x14ac:dyDescent="0.3">
      <c r="A2042" s="7">
        <v>400251</v>
      </c>
      <c r="B2042" t="str">
        <f>_xlfn.XLOOKUP(Vendas[[#This Row],[ID Vendedor]],Vendedores[ID],Vendedores[Nome])</f>
        <v>Diego</v>
      </c>
      <c r="C2042" s="7" t="str">
        <f>_xlfn.XLOOKUP(Vendas[[#This Row],[ID Vendedor]],Vendedores[ID],Vendedores[Setor])</f>
        <v>AB</v>
      </c>
      <c r="D2042" s="7" t="s">
        <v>24</v>
      </c>
      <c r="E2042" t="str">
        <f>_xlfn.XLOOKUP(Vendas[[#This Row],[ID Item Vendido]],Agregado[ID],Agregado[Produto])</f>
        <v>Resina plástica PET purificada saco de 25kg</v>
      </c>
      <c r="F2042" s="39">
        <v>44862</v>
      </c>
      <c r="G2042" s="7">
        <v>27</v>
      </c>
      <c r="H2042" s="3">
        <f>_xlfn.XLOOKUP(Vendas[[#This Row],[ID Item Vendido]],Agregado[ID],Agregado[Revenda])</f>
        <v>119</v>
      </c>
      <c r="I2042" s="3">
        <f>Vendas[[#This Row],[Valor Unitário]]*Vendas[[#This Row],[Qnt Vendida]]</f>
        <v>3213</v>
      </c>
      <c r="J2042" s="3">
        <f>Vendas[[#This Row],[Valor da Venda]]-(_xlfn.XLOOKUP(Vendas[[#This Row],[ID Item Vendido]],Agregado[ID],Agregado[Custo])*Vendas[[#This Row],[Qnt Vendida]])</f>
        <v>918</v>
      </c>
      <c r="K2042" s="70">
        <f>Vendas[[#This Row],[Lucro da Venda]]/Vendas[[#This Row],[Valor da Venda]]</f>
        <v>0.2857142857142857</v>
      </c>
      <c r="L2042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2042"/>
    </row>
    <row r="2043" spans="1:13" x14ac:dyDescent="0.3">
      <c r="A2043" s="7">
        <v>400241</v>
      </c>
      <c r="B2043" t="str">
        <f>_xlfn.XLOOKUP(Vendas[[#This Row],[ID Vendedor]],Vendedores[ID],Vendedores[Nome])</f>
        <v>Rodrigo</v>
      </c>
      <c r="C2043" s="7" t="str">
        <f>_xlfn.XLOOKUP(Vendas[[#This Row],[ID Vendedor]],Vendedores[ID],Vendedores[Setor])</f>
        <v>FM</v>
      </c>
      <c r="D2043" s="7" t="s">
        <v>20</v>
      </c>
      <c r="E2043" t="str">
        <f>_xlfn.XLOOKUP(Vendas[[#This Row],[ID Item Vendido]],Agregado[ID],Agregado[Produto])</f>
        <v>Barra de aço simples</v>
      </c>
      <c r="F2043" s="39">
        <v>44862</v>
      </c>
      <c r="G2043" s="7">
        <v>188</v>
      </c>
      <c r="H2043" s="3">
        <f>_xlfn.XLOOKUP(Vendas[[#This Row],[ID Item Vendido]],Agregado[ID],Agregado[Revenda])</f>
        <v>4.8</v>
      </c>
      <c r="I2043" s="3">
        <f>Vendas[[#This Row],[Valor Unitário]]*Vendas[[#This Row],[Qnt Vendida]]</f>
        <v>902.4</v>
      </c>
      <c r="J2043" s="3">
        <f>Vendas[[#This Row],[Valor da Venda]]-(_xlfn.XLOOKUP(Vendas[[#This Row],[ID Item Vendido]],Agregado[ID],Agregado[Custo])*Vendas[[#This Row],[Qnt Vendida]])</f>
        <v>112.79999999999995</v>
      </c>
      <c r="K2043" s="70">
        <f>Vendas[[#This Row],[Lucro da Venda]]/Vendas[[#This Row],[Valor da Venda]]</f>
        <v>0.12499999999999996</v>
      </c>
      <c r="L2043" s="3">
        <f>_xlfn.IFS(Vendas[[#This Row],[Margem de Lucro (%)]]&lt;15%,Vendas[[#This Row],[Valor da Venda]]*3%,Vendas[[#This Row],[Margem de Lucro (%)]]&lt;=20%,Vendas[[#This Row],[Valor da Venda]]*4.5%,TRUE,Vendas[[#This Row],[Valor da Venda]]*6%)</f>
        <v>27.071999999999999</v>
      </c>
      <c r="M2043"/>
    </row>
    <row r="2044" spans="1:13" x14ac:dyDescent="0.3">
      <c r="A2044" s="7">
        <v>400241</v>
      </c>
      <c r="B2044" t="str">
        <f>_xlfn.XLOOKUP(Vendas[[#This Row],[ID Vendedor]],Vendedores[ID],Vendedores[Nome])</f>
        <v>Rodrigo</v>
      </c>
      <c r="C2044" s="7" t="str">
        <f>_xlfn.XLOOKUP(Vendas[[#This Row],[ID Vendedor]],Vendedores[ID],Vendedores[Setor])</f>
        <v>FM</v>
      </c>
      <c r="D2044" s="7" t="s">
        <v>27</v>
      </c>
      <c r="E2044" t="str">
        <f>_xlfn.XLOOKUP(Vendas[[#This Row],[ID Item Vendido]],Agregado[ID],Agregado[Produto])</f>
        <v>Chapa de metal lisa 1x2m</v>
      </c>
      <c r="F2044" s="39">
        <v>44862</v>
      </c>
      <c r="G2044" s="7">
        <v>11</v>
      </c>
      <c r="H2044" s="3">
        <f>_xlfn.XLOOKUP(Vendas[[#This Row],[ID Item Vendido]],Agregado[ID],Agregado[Revenda])</f>
        <v>52</v>
      </c>
      <c r="I2044" s="3">
        <f>Vendas[[#This Row],[Valor Unitário]]*Vendas[[#This Row],[Qnt Vendida]]</f>
        <v>572</v>
      </c>
      <c r="J2044" s="3">
        <f>Vendas[[#This Row],[Valor da Venda]]-(_xlfn.XLOOKUP(Vendas[[#This Row],[ID Item Vendido]],Agregado[ID],Agregado[Custo])*Vendas[[#This Row],[Qnt Vendida]])</f>
        <v>77</v>
      </c>
      <c r="K2044" s="70">
        <f>Vendas[[#This Row],[Lucro da Venda]]/Vendas[[#This Row],[Valor da Venda]]</f>
        <v>0.13461538461538461</v>
      </c>
      <c r="L2044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2044"/>
    </row>
    <row r="2045" spans="1:13" x14ac:dyDescent="0.3">
      <c r="A2045" s="7">
        <v>400255</v>
      </c>
      <c r="B2045" t="str">
        <f>_xlfn.XLOOKUP(Vendas[[#This Row],[ID Vendedor]],Vendedores[ID],Vendedores[Nome])</f>
        <v>Carlos</v>
      </c>
      <c r="C2045" s="7" t="str">
        <f>_xlfn.XLOOKUP(Vendas[[#This Row],[ID Vendedor]],Vendedores[ID],Vendedores[Setor])</f>
        <v>SC</v>
      </c>
      <c r="D2045" s="7" t="s">
        <v>25</v>
      </c>
      <c r="E2045" t="str">
        <f>_xlfn.XLOOKUP(Vendas[[#This Row],[ID Item Vendido]],Agregado[ID],Agregado[Produto])</f>
        <v>Palete de plástico</v>
      </c>
      <c r="F2045" s="39">
        <v>44862</v>
      </c>
      <c r="G2045" s="7">
        <v>8</v>
      </c>
      <c r="H2045" s="3">
        <f>_xlfn.XLOOKUP(Vendas[[#This Row],[ID Item Vendido]],Agregado[ID],Agregado[Revenda])</f>
        <v>70.8</v>
      </c>
      <c r="I2045" s="3">
        <f>Vendas[[#This Row],[Valor Unitário]]*Vendas[[#This Row],[Qnt Vendida]]</f>
        <v>566.4</v>
      </c>
      <c r="J2045" s="3">
        <f>Vendas[[#This Row],[Valor da Venda]]-(_xlfn.XLOOKUP(Vendas[[#This Row],[ID Item Vendido]],Agregado[ID],Agregado[Custo])*Vendas[[#This Row],[Qnt Vendida]])</f>
        <v>86.399999999999977</v>
      </c>
      <c r="K2045" s="70">
        <f>Vendas[[#This Row],[Lucro da Venda]]/Vendas[[#This Row],[Valor da Venda]]</f>
        <v>0.15254237288135589</v>
      </c>
      <c r="L2045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2045"/>
    </row>
    <row r="2046" spans="1:13" x14ac:dyDescent="0.3">
      <c r="A2046" s="7">
        <v>400243</v>
      </c>
      <c r="B2046" t="str">
        <f>_xlfn.XLOOKUP(Vendas[[#This Row],[ID Vendedor]],Vendedores[ID],Vendedores[Nome])</f>
        <v>Marcelo</v>
      </c>
      <c r="C2046" s="7" t="str">
        <f>_xlfn.XLOOKUP(Vendas[[#This Row],[ID Vendedor]],Vendedores[ID],Vendedores[Setor])</f>
        <v>FM</v>
      </c>
      <c r="D2046" s="7" t="s">
        <v>6</v>
      </c>
      <c r="E2046" t="str">
        <f>_xlfn.XLOOKUP(Vendas[[#This Row],[ID Item Vendido]],Agregado[ID],Agregado[Produto])</f>
        <v>Parafuso comum 500un</v>
      </c>
      <c r="F2046" s="39">
        <v>44862</v>
      </c>
      <c r="G2046" s="7">
        <v>11</v>
      </c>
      <c r="H2046" s="3">
        <f>_xlfn.XLOOKUP(Vendas[[#This Row],[ID Item Vendido]],Agregado[ID],Agregado[Revenda])</f>
        <v>24.6</v>
      </c>
      <c r="I2046" s="3">
        <f>Vendas[[#This Row],[Valor Unitário]]*Vendas[[#This Row],[Qnt Vendida]]</f>
        <v>270.60000000000002</v>
      </c>
      <c r="J2046" s="3">
        <f>Vendas[[#This Row],[Valor da Venda]]-(_xlfn.XLOOKUP(Vendas[[#This Row],[ID Item Vendido]],Agregado[ID],Agregado[Custo])*Vendas[[#This Row],[Qnt Vendida]])</f>
        <v>28.600000000000023</v>
      </c>
      <c r="K2046" s="70">
        <f>Vendas[[#This Row],[Lucro da Venda]]/Vendas[[#This Row],[Valor da Venda]]</f>
        <v>0.10569105691056918</v>
      </c>
      <c r="L2046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2046"/>
    </row>
    <row r="2047" spans="1:13" x14ac:dyDescent="0.3">
      <c r="A2047" s="7">
        <v>400253</v>
      </c>
      <c r="B2047" t="str">
        <f>_xlfn.XLOOKUP(Vendas[[#This Row],[ID Vendedor]],Vendedores[ID],Vendedores[Nome])</f>
        <v>Gustavo</v>
      </c>
      <c r="C2047" s="7" t="str">
        <f>_xlfn.XLOOKUP(Vendas[[#This Row],[ID Vendedor]],Vendedores[ID],Vendedores[Setor])</f>
        <v>SC</v>
      </c>
      <c r="D2047" s="7" t="s">
        <v>48</v>
      </c>
      <c r="E2047" t="str">
        <f>_xlfn.XLOOKUP(Vendas[[#This Row],[ID Item Vendido]],Agregado[ID],Agregado[Produto])</f>
        <v>Tambor metálico 200L</v>
      </c>
      <c r="F2047" s="39">
        <v>44863</v>
      </c>
      <c r="G2047" s="7">
        <v>11</v>
      </c>
      <c r="H2047" s="3">
        <f>_xlfn.XLOOKUP(Vendas[[#This Row],[ID Item Vendido]],Agregado[ID],Agregado[Revenda])</f>
        <v>144</v>
      </c>
      <c r="I2047" s="3">
        <f>Vendas[[#This Row],[Valor Unitário]]*Vendas[[#This Row],[Qnt Vendida]]</f>
        <v>1584</v>
      </c>
      <c r="J2047" s="3">
        <f>Vendas[[#This Row],[Valor da Venda]]-(_xlfn.XLOOKUP(Vendas[[#This Row],[ID Item Vendido]],Agregado[ID],Agregado[Custo])*Vendas[[#This Row],[Qnt Vendida]])</f>
        <v>264</v>
      </c>
      <c r="K2047" s="70">
        <f>Vendas[[#This Row],[Lucro da Venda]]/Vendas[[#This Row],[Valor da Venda]]</f>
        <v>0.16666666666666666</v>
      </c>
      <c r="L2047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2047"/>
    </row>
    <row r="2048" spans="1:13" x14ac:dyDescent="0.3">
      <c r="A2048" s="7">
        <v>400242</v>
      </c>
      <c r="B2048" t="str">
        <f>_xlfn.XLOOKUP(Vendas[[#This Row],[ID Vendedor]],Vendedores[ID],Vendedores[Nome])</f>
        <v>Fernanda</v>
      </c>
      <c r="C2048" s="7" t="str">
        <f>_xlfn.XLOOKUP(Vendas[[#This Row],[ID Vendedor]],Vendedores[ID],Vendedores[Setor])</f>
        <v>FM</v>
      </c>
      <c r="D2048" s="7" t="s">
        <v>47</v>
      </c>
      <c r="E2048" t="str">
        <f>_xlfn.XLOOKUP(Vendas[[#This Row],[ID Item Vendido]],Agregado[ID],Agregado[Produto])</f>
        <v>Fio de arame galvanizado rolo 50m</v>
      </c>
      <c r="F2048" s="39">
        <v>44863</v>
      </c>
      <c r="G2048" s="7">
        <v>26</v>
      </c>
      <c r="H2048" s="3">
        <f>_xlfn.XLOOKUP(Vendas[[#This Row],[ID Item Vendido]],Agregado[ID],Agregado[Revenda])</f>
        <v>21.2</v>
      </c>
      <c r="I2048" s="3">
        <f>Vendas[[#This Row],[Valor Unitário]]*Vendas[[#This Row],[Qnt Vendida]]</f>
        <v>551.19999999999993</v>
      </c>
      <c r="J2048" s="3">
        <f>Vendas[[#This Row],[Valor da Venda]]-(_xlfn.XLOOKUP(Vendas[[#This Row],[ID Item Vendido]],Agregado[ID],Agregado[Custo])*Vendas[[#This Row],[Qnt Vendida]])</f>
        <v>83.199999999999932</v>
      </c>
      <c r="K2048" s="70">
        <f>Vendas[[#This Row],[Lucro da Venda]]/Vendas[[#This Row],[Valor da Venda]]</f>
        <v>0.15094339622641498</v>
      </c>
      <c r="L2048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24.803999999999995</v>
      </c>
      <c r="M2048"/>
    </row>
    <row r="2049" spans="1:13" x14ac:dyDescent="0.3">
      <c r="A2049" s="7">
        <v>400251</v>
      </c>
      <c r="B2049" t="str">
        <f>_xlfn.XLOOKUP(Vendas[[#This Row],[ID Vendedor]],Vendedores[ID],Vendedores[Nome])</f>
        <v>Diego</v>
      </c>
      <c r="C2049" s="7" t="str">
        <f>_xlfn.XLOOKUP(Vendas[[#This Row],[ID Vendedor]],Vendedores[ID],Vendedores[Setor])</f>
        <v>AB</v>
      </c>
      <c r="D2049" s="7" t="s">
        <v>37</v>
      </c>
      <c r="E2049" t="str">
        <f>_xlfn.XLOOKUP(Vendas[[#This Row],[ID Item Vendido]],Agregado[ID],Agregado[Produto])</f>
        <v>Composto de borracha para vedação rolo 10m</v>
      </c>
      <c r="F2049" s="39">
        <v>44864</v>
      </c>
      <c r="G2049" s="7">
        <v>16</v>
      </c>
      <c r="H2049" s="3">
        <f>_xlfn.XLOOKUP(Vendas[[#This Row],[ID Item Vendido]],Agregado[ID],Agregado[Revenda])</f>
        <v>51.2</v>
      </c>
      <c r="I2049" s="3">
        <f>Vendas[[#This Row],[Valor Unitário]]*Vendas[[#This Row],[Qnt Vendida]]</f>
        <v>819.2</v>
      </c>
      <c r="J2049" s="3">
        <f>Vendas[[#This Row],[Valor da Venda]]-(_xlfn.XLOOKUP(Vendas[[#This Row],[ID Item Vendido]],Agregado[ID],Agregado[Custo])*Vendas[[#This Row],[Qnt Vendida]])</f>
        <v>179.20000000000005</v>
      </c>
      <c r="K2049" s="70">
        <f>Vendas[[#This Row],[Lucro da Venda]]/Vendas[[#This Row],[Valor da Venda]]</f>
        <v>0.21875000000000006</v>
      </c>
      <c r="L2049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2049"/>
    </row>
    <row r="2050" spans="1:13" x14ac:dyDescent="0.3">
      <c r="A2050" s="7">
        <v>400242</v>
      </c>
      <c r="B2050" t="str">
        <f>_xlfn.XLOOKUP(Vendas[[#This Row],[ID Vendedor]],Vendedores[ID],Vendedores[Nome])</f>
        <v>Fernanda</v>
      </c>
      <c r="C2050" s="7" t="str">
        <f>_xlfn.XLOOKUP(Vendas[[#This Row],[ID Vendedor]],Vendedores[ID],Vendedores[Setor])</f>
        <v>FM</v>
      </c>
      <c r="D2050" s="7" t="s">
        <v>27</v>
      </c>
      <c r="E2050" t="str">
        <f>_xlfn.XLOOKUP(Vendas[[#This Row],[ID Item Vendido]],Agregado[ID],Agregado[Produto])</f>
        <v>Chapa de metal lisa 1x2m</v>
      </c>
      <c r="F2050" s="39">
        <v>44864</v>
      </c>
      <c r="G2050" s="7">
        <v>12</v>
      </c>
      <c r="H2050" s="3">
        <f>_xlfn.XLOOKUP(Vendas[[#This Row],[ID Item Vendido]],Agregado[ID],Agregado[Revenda])</f>
        <v>52</v>
      </c>
      <c r="I2050" s="3">
        <f>Vendas[[#This Row],[Valor Unitário]]*Vendas[[#This Row],[Qnt Vendida]]</f>
        <v>624</v>
      </c>
      <c r="J2050" s="3">
        <f>Vendas[[#This Row],[Valor da Venda]]-(_xlfn.XLOOKUP(Vendas[[#This Row],[ID Item Vendido]],Agregado[ID],Agregado[Custo])*Vendas[[#This Row],[Qnt Vendida]])</f>
        <v>84</v>
      </c>
      <c r="K2050" s="70">
        <f>Vendas[[#This Row],[Lucro da Venda]]/Vendas[[#This Row],[Valor da Venda]]</f>
        <v>0.13461538461538461</v>
      </c>
      <c r="L2050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2050"/>
    </row>
    <row r="2051" spans="1:13" x14ac:dyDescent="0.3">
      <c r="A2051" s="7">
        <v>400242</v>
      </c>
      <c r="B2051" t="str">
        <f>_xlfn.XLOOKUP(Vendas[[#This Row],[ID Vendedor]],Vendedores[ID],Vendedores[Nome])</f>
        <v>Fernanda</v>
      </c>
      <c r="C2051" s="7" t="str">
        <f>_xlfn.XLOOKUP(Vendas[[#This Row],[ID Vendedor]],Vendedores[ID],Vendedores[Setor])</f>
        <v>FM</v>
      </c>
      <c r="D2051" s="7" t="s">
        <v>31</v>
      </c>
      <c r="E2051" t="str">
        <f>_xlfn.XLOOKUP(Vendas[[#This Row],[ID Item Vendido]],Agregado[ID],Agregado[Produto])</f>
        <v>Tela de metal soldada rolo 2x25m</v>
      </c>
      <c r="F2051" s="39">
        <v>44864</v>
      </c>
      <c r="G2051" s="7">
        <v>5</v>
      </c>
      <c r="H2051" s="3">
        <f>_xlfn.XLOOKUP(Vendas[[#This Row],[ID Item Vendido]],Agregado[ID],Agregado[Revenda])</f>
        <v>43.7</v>
      </c>
      <c r="I2051" s="3">
        <f>Vendas[[#This Row],[Valor Unitário]]*Vendas[[#This Row],[Qnt Vendida]]</f>
        <v>218.5</v>
      </c>
      <c r="J2051" s="3">
        <f>Vendas[[#This Row],[Valor da Venda]]-(_xlfn.XLOOKUP(Vendas[[#This Row],[ID Item Vendido]],Agregado[ID],Agregado[Custo])*Vendas[[#This Row],[Qnt Vendida]])</f>
        <v>28.5</v>
      </c>
      <c r="K2051" s="70">
        <f>Vendas[[#This Row],[Lucro da Venda]]/Vendas[[#This Row],[Valor da Venda]]</f>
        <v>0.13043478260869565</v>
      </c>
      <c r="L2051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2051"/>
    </row>
    <row r="2052" spans="1:13" x14ac:dyDescent="0.3">
      <c r="A2052" s="7">
        <v>400245</v>
      </c>
      <c r="B2052" t="str">
        <f>_xlfn.XLOOKUP(Vendas[[#This Row],[ID Vendedor]],Vendedores[ID],Vendedores[Nome])</f>
        <v>Thiago</v>
      </c>
      <c r="C2052" s="7" t="str">
        <f>_xlfn.XLOOKUP(Vendas[[#This Row],[ID Vendedor]],Vendedores[ID],Vendedores[Setor])</f>
        <v>AHD</v>
      </c>
      <c r="D2052" s="7" t="s">
        <v>30</v>
      </c>
      <c r="E2052" t="str">
        <f>_xlfn.XLOOKUP(Vendas[[#This Row],[ID Item Vendido]],Agregado[ID],Agregado[Produto])</f>
        <v>Estrutura metálica soldada</v>
      </c>
      <c r="F2052" s="39">
        <v>44866</v>
      </c>
      <c r="G2052" s="7">
        <v>3</v>
      </c>
      <c r="H2052" s="3">
        <f>_xlfn.XLOOKUP(Vendas[[#This Row],[ID Item Vendido]],Agregado[ID],Agregado[Revenda])</f>
        <v>400</v>
      </c>
      <c r="I2052" s="3">
        <f>Vendas[[#This Row],[Valor Unitário]]*Vendas[[#This Row],[Qnt Vendida]]</f>
        <v>1200</v>
      </c>
      <c r="J2052" s="3">
        <f>Vendas[[#This Row],[Valor da Venda]]-(_xlfn.XLOOKUP(Vendas[[#This Row],[ID Item Vendido]],Agregado[ID],Agregado[Custo])*Vendas[[#This Row],[Qnt Vendida]])</f>
        <v>240</v>
      </c>
      <c r="K2052" s="70">
        <f>Vendas[[#This Row],[Lucro da Venda]]/Vendas[[#This Row],[Valor da Venda]]</f>
        <v>0.2</v>
      </c>
      <c r="L2052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052"/>
    </row>
    <row r="2053" spans="1:13" x14ac:dyDescent="0.3">
      <c r="A2053" s="7">
        <v>400245</v>
      </c>
      <c r="B2053" t="str">
        <f>_xlfn.XLOOKUP(Vendas[[#This Row],[ID Vendedor]],Vendedores[ID],Vendedores[Nome])</f>
        <v>Thiago</v>
      </c>
      <c r="C2053" s="7" t="str">
        <f>_xlfn.XLOOKUP(Vendas[[#This Row],[ID Vendedor]],Vendedores[ID],Vendedores[Setor])</f>
        <v>AHD</v>
      </c>
      <c r="D2053" s="7" t="s">
        <v>9</v>
      </c>
      <c r="E2053" t="str">
        <f>_xlfn.XLOOKUP(Vendas[[#This Row],[ID Item Vendido]],Agregado[ID],Agregado[Produto])</f>
        <v>Barra de aço simples</v>
      </c>
      <c r="F2053" s="39">
        <v>44866</v>
      </c>
      <c r="G2053" s="7">
        <v>138</v>
      </c>
      <c r="H2053" s="3">
        <f>_xlfn.XLOOKUP(Vendas[[#This Row],[ID Item Vendido]],Agregado[ID],Agregado[Revenda])</f>
        <v>6.7</v>
      </c>
      <c r="I2053" s="3">
        <f>Vendas[[#This Row],[Valor Unitário]]*Vendas[[#This Row],[Qnt Vendida]]</f>
        <v>924.6</v>
      </c>
      <c r="J2053" s="3">
        <f>Vendas[[#This Row],[Valor da Venda]]-(_xlfn.XLOOKUP(Vendas[[#This Row],[ID Item Vendido]],Agregado[ID],Agregado[Custo])*Vendas[[#This Row],[Qnt Vendida]])</f>
        <v>124.20000000000005</v>
      </c>
      <c r="K2053" s="70">
        <f>Vendas[[#This Row],[Lucro da Venda]]/Vendas[[#This Row],[Valor da Venda]]</f>
        <v>0.13432835820895528</v>
      </c>
      <c r="L2053" s="3">
        <f>_xlfn.IFS(Vendas[[#This Row],[Margem de Lucro (%)]]&lt;15%,Vendas[[#This Row],[Valor da Venda]]*3%,Vendas[[#This Row],[Margem de Lucro (%)]]&lt;=20%,Vendas[[#This Row],[Valor da Venda]]*4.5%,TRUE,Vendas[[#This Row],[Valor da Venda]]*6%)</f>
        <v>27.738</v>
      </c>
      <c r="M2053"/>
    </row>
    <row r="2054" spans="1:13" x14ac:dyDescent="0.3">
      <c r="A2054" s="7">
        <v>400253</v>
      </c>
      <c r="B2054" t="str">
        <f>_xlfn.XLOOKUP(Vendas[[#This Row],[ID Vendedor]],Vendedores[ID],Vendedores[Nome])</f>
        <v>Gustavo</v>
      </c>
      <c r="C2054" s="7" t="str">
        <f>_xlfn.XLOOKUP(Vendas[[#This Row],[ID Vendedor]],Vendedores[ID],Vendedores[Setor])</f>
        <v>SC</v>
      </c>
      <c r="D2054" s="7" t="s">
        <v>14</v>
      </c>
      <c r="E2054" t="str">
        <f>_xlfn.XLOOKUP(Vendas[[#This Row],[ID Item Vendido]],Agregado[ID],Agregado[Produto])</f>
        <v>Barril de plástico 200L</v>
      </c>
      <c r="F2054" s="39">
        <v>44867</v>
      </c>
      <c r="G2054" s="7">
        <v>24</v>
      </c>
      <c r="H2054" s="3">
        <f>_xlfn.XLOOKUP(Vendas[[#This Row],[ID Item Vendido]],Agregado[ID],Agregado[Revenda])</f>
        <v>114</v>
      </c>
      <c r="I2054" s="3">
        <f>Vendas[[#This Row],[Valor Unitário]]*Vendas[[#This Row],[Qnt Vendida]]</f>
        <v>2736</v>
      </c>
      <c r="J2054" s="3">
        <f>Vendas[[#This Row],[Valor da Venda]]-(_xlfn.XLOOKUP(Vendas[[#This Row],[ID Item Vendido]],Agregado[ID],Agregado[Custo])*Vendas[[#This Row],[Qnt Vendida]])</f>
        <v>456</v>
      </c>
      <c r="K2054" s="70">
        <f>Vendas[[#This Row],[Lucro da Venda]]/Vendas[[#This Row],[Valor da Venda]]</f>
        <v>0.16666666666666666</v>
      </c>
      <c r="L2054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054"/>
    </row>
    <row r="2055" spans="1:13" x14ac:dyDescent="0.3">
      <c r="A2055" s="7">
        <v>400250</v>
      </c>
      <c r="B2055" t="str">
        <f>_xlfn.XLOOKUP(Vendas[[#This Row],[ID Vendedor]],Vendedores[ID],Vendedores[Nome])</f>
        <v>Larissa</v>
      </c>
      <c r="C2055" s="7" t="str">
        <f>_xlfn.XLOOKUP(Vendas[[#This Row],[ID Vendedor]],Vendedores[ID],Vendedores[Setor])</f>
        <v>AB</v>
      </c>
      <c r="D2055" s="7" t="s">
        <v>24</v>
      </c>
      <c r="E2055" t="str">
        <f>_xlfn.XLOOKUP(Vendas[[#This Row],[ID Item Vendido]],Agregado[ID],Agregado[Produto])</f>
        <v>Resina plástica PET purificada saco de 25kg</v>
      </c>
      <c r="F2055" s="39">
        <v>44867</v>
      </c>
      <c r="G2055" s="7">
        <v>12</v>
      </c>
      <c r="H2055" s="3">
        <f>_xlfn.XLOOKUP(Vendas[[#This Row],[ID Item Vendido]],Agregado[ID],Agregado[Revenda])</f>
        <v>119</v>
      </c>
      <c r="I2055" s="3">
        <f>Vendas[[#This Row],[Valor Unitário]]*Vendas[[#This Row],[Qnt Vendida]]</f>
        <v>1428</v>
      </c>
      <c r="J2055" s="3">
        <f>Vendas[[#This Row],[Valor da Venda]]-(_xlfn.XLOOKUP(Vendas[[#This Row],[ID Item Vendido]],Agregado[ID],Agregado[Custo])*Vendas[[#This Row],[Qnt Vendida]])</f>
        <v>408</v>
      </c>
      <c r="K2055" s="70">
        <f>Vendas[[#This Row],[Lucro da Venda]]/Vendas[[#This Row],[Valor da Venda]]</f>
        <v>0.2857142857142857</v>
      </c>
      <c r="L2055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2055"/>
    </row>
    <row r="2056" spans="1:13" x14ac:dyDescent="0.3">
      <c r="A2056" s="7">
        <v>400248</v>
      </c>
      <c r="B2056" t="str">
        <f>_xlfn.XLOOKUP(Vendas[[#This Row],[ID Vendedor]],Vendedores[ID],Vendedores[Nome])</f>
        <v>Patrícia</v>
      </c>
      <c r="C2056" s="7" t="str">
        <f>_xlfn.XLOOKUP(Vendas[[#This Row],[ID Vendedor]],Vendedores[ID],Vendedores[Setor])</f>
        <v>CM</v>
      </c>
      <c r="D2056" s="7" t="s">
        <v>45</v>
      </c>
      <c r="E2056" t="str">
        <f>_xlfn.XLOOKUP(Vendas[[#This Row],[ID Item Vendido]],Agregado[ID],Agregado[Produto])</f>
        <v>Viga de madeira tratada 4m</v>
      </c>
      <c r="F2056" s="39">
        <v>44868</v>
      </c>
      <c r="G2056" s="7">
        <v>20</v>
      </c>
      <c r="H2056" s="3">
        <f>_xlfn.XLOOKUP(Vendas[[#This Row],[ID Item Vendido]],Agregado[ID],Agregado[Revenda])</f>
        <v>66</v>
      </c>
      <c r="I2056" s="3">
        <f>Vendas[[#This Row],[Valor Unitário]]*Vendas[[#This Row],[Qnt Vendida]]</f>
        <v>1320</v>
      </c>
      <c r="J2056" s="3">
        <f>Vendas[[#This Row],[Valor da Venda]]-(_xlfn.XLOOKUP(Vendas[[#This Row],[ID Item Vendido]],Agregado[ID],Agregado[Custo])*Vendas[[#This Row],[Qnt Vendida]])</f>
        <v>220</v>
      </c>
      <c r="K2056" s="70">
        <f>Vendas[[#This Row],[Lucro da Venda]]/Vendas[[#This Row],[Valor da Venda]]</f>
        <v>0.16666666666666666</v>
      </c>
      <c r="L2056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2056"/>
    </row>
    <row r="2057" spans="1:13" x14ac:dyDescent="0.3">
      <c r="A2057" s="7">
        <v>400249</v>
      </c>
      <c r="B2057" t="str">
        <f>_xlfn.XLOOKUP(Vendas[[#This Row],[ID Vendedor]],Vendedores[ID],Vendedores[Nome])</f>
        <v>Bruno</v>
      </c>
      <c r="C2057" s="7" t="str">
        <f>_xlfn.XLOOKUP(Vendas[[#This Row],[ID Vendedor]],Vendedores[ID],Vendedores[Setor])</f>
        <v>CM</v>
      </c>
      <c r="D2057" s="7" t="s">
        <v>34</v>
      </c>
      <c r="E2057" t="str">
        <f>_xlfn.XLOOKUP(Vendas[[#This Row],[ID Item Vendido]],Agregado[ID],Agregado[Produto])</f>
        <v>Restos de madeira p/ MDP/OSB saco de 20kg</v>
      </c>
      <c r="F2057" s="39">
        <v>44868</v>
      </c>
      <c r="G2057" s="7">
        <v>21</v>
      </c>
      <c r="H2057" s="3">
        <f>_xlfn.XLOOKUP(Vendas[[#This Row],[ID Item Vendido]],Agregado[ID],Agregado[Revenda])</f>
        <v>13.8</v>
      </c>
      <c r="I2057" s="3">
        <f>Vendas[[#This Row],[Valor Unitário]]*Vendas[[#This Row],[Qnt Vendida]]</f>
        <v>289.8</v>
      </c>
      <c r="J2057" s="3">
        <f>Vendas[[#This Row],[Valor da Venda]]-(_xlfn.XLOOKUP(Vendas[[#This Row],[ID Item Vendido]],Agregado[ID],Agregado[Custo])*Vendas[[#This Row],[Qnt Vendida]])</f>
        <v>37.800000000000011</v>
      </c>
      <c r="K2057" s="70">
        <f>Vendas[[#This Row],[Lucro da Venda]]/Vendas[[#This Row],[Valor da Venda]]</f>
        <v>0.13043478260869568</v>
      </c>
      <c r="L2057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2057"/>
    </row>
    <row r="2058" spans="1:13" x14ac:dyDescent="0.3">
      <c r="A2058" s="7">
        <v>400244</v>
      </c>
      <c r="B2058" t="str">
        <f>_xlfn.XLOOKUP(Vendas[[#This Row],[ID Vendedor]],Vendedores[ID],Vendedores[Nome])</f>
        <v>Camila</v>
      </c>
      <c r="C2058" s="7" t="str">
        <f>_xlfn.XLOOKUP(Vendas[[#This Row],[ID Vendedor]],Vendedores[ID],Vendedores[Setor])</f>
        <v>AHD</v>
      </c>
      <c r="D2058" s="7" t="s">
        <v>30</v>
      </c>
      <c r="E2058" t="str">
        <f>_xlfn.XLOOKUP(Vendas[[#This Row],[ID Item Vendido]],Agregado[ID],Agregado[Produto])</f>
        <v>Estrutura metálica soldada</v>
      </c>
      <c r="F2058" s="39">
        <v>44869</v>
      </c>
      <c r="G2058" s="7">
        <v>3</v>
      </c>
      <c r="H2058" s="3">
        <f>_xlfn.XLOOKUP(Vendas[[#This Row],[ID Item Vendido]],Agregado[ID],Agregado[Revenda])</f>
        <v>400</v>
      </c>
      <c r="I2058" s="3">
        <f>Vendas[[#This Row],[Valor Unitário]]*Vendas[[#This Row],[Qnt Vendida]]</f>
        <v>1200</v>
      </c>
      <c r="J2058" s="3">
        <f>Vendas[[#This Row],[Valor da Venda]]-(_xlfn.XLOOKUP(Vendas[[#This Row],[ID Item Vendido]],Agregado[ID],Agregado[Custo])*Vendas[[#This Row],[Qnt Vendida]])</f>
        <v>240</v>
      </c>
      <c r="K2058" s="70">
        <f>Vendas[[#This Row],[Lucro da Venda]]/Vendas[[#This Row],[Valor da Venda]]</f>
        <v>0.2</v>
      </c>
      <c r="L2058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058"/>
    </row>
    <row r="2059" spans="1:13" x14ac:dyDescent="0.3">
      <c r="A2059" s="7">
        <v>400253</v>
      </c>
      <c r="B2059" t="str">
        <f>_xlfn.XLOOKUP(Vendas[[#This Row],[ID Vendedor]],Vendedores[ID],Vendedores[Nome])</f>
        <v>Gustavo</v>
      </c>
      <c r="C2059" s="7" t="str">
        <f>_xlfn.XLOOKUP(Vendas[[#This Row],[ID Vendedor]],Vendedores[ID],Vendedores[Setor])</f>
        <v>SC</v>
      </c>
      <c r="D2059" s="7" t="s">
        <v>25</v>
      </c>
      <c r="E2059" t="str">
        <f>_xlfn.XLOOKUP(Vendas[[#This Row],[ID Item Vendido]],Agregado[ID],Agregado[Produto])</f>
        <v>Palete de plástico</v>
      </c>
      <c r="F2059" s="39">
        <v>44869</v>
      </c>
      <c r="G2059" s="7">
        <v>12</v>
      </c>
      <c r="H2059" s="3">
        <f>_xlfn.XLOOKUP(Vendas[[#This Row],[ID Item Vendido]],Agregado[ID],Agregado[Revenda])</f>
        <v>70.8</v>
      </c>
      <c r="I2059" s="3">
        <f>Vendas[[#This Row],[Valor Unitário]]*Vendas[[#This Row],[Qnt Vendida]]</f>
        <v>849.59999999999991</v>
      </c>
      <c r="J2059" s="3">
        <f>Vendas[[#This Row],[Valor da Venda]]-(_xlfn.XLOOKUP(Vendas[[#This Row],[ID Item Vendido]],Agregado[ID],Agregado[Custo])*Vendas[[#This Row],[Qnt Vendida]])</f>
        <v>129.59999999999991</v>
      </c>
      <c r="K2059" s="70">
        <f>Vendas[[#This Row],[Lucro da Venda]]/Vendas[[#This Row],[Valor da Venda]]</f>
        <v>0.15254237288135583</v>
      </c>
      <c r="L2059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2059"/>
    </row>
    <row r="2060" spans="1:13" x14ac:dyDescent="0.3">
      <c r="A2060" s="7">
        <v>400244</v>
      </c>
      <c r="B2060" t="str">
        <f>_xlfn.XLOOKUP(Vendas[[#This Row],[ID Vendedor]],Vendedores[ID],Vendedores[Nome])</f>
        <v>Camila</v>
      </c>
      <c r="C2060" s="7" t="str">
        <f>_xlfn.XLOOKUP(Vendas[[#This Row],[ID Vendedor]],Vendedores[ID],Vendedores[Setor])</f>
        <v>AHD</v>
      </c>
      <c r="D2060" s="7" t="s">
        <v>30</v>
      </c>
      <c r="E2060" t="str">
        <f>_xlfn.XLOOKUP(Vendas[[#This Row],[ID Item Vendido]],Agregado[ID],Agregado[Produto])</f>
        <v>Estrutura metálica soldada</v>
      </c>
      <c r="F2060" s="39">
        <v>44870</v>
      </c>
      <c r="G2060" s="7">
        <v>7</v>
      </c>
      <c r="H2060" s="3">
        <f>_xlfn.XLOOKUP(Vendas[[#This Row],[ID Item Vendido]],Agregado[ID],Agregado[Revenda])</f>
        <v>400</v>
      </c>
      <c r="I2060" s="3">
        <f>Vendas[[#This Row],[Valor Unitário]]*Vendas[[#This Row],[Qnt Vendida]]</f>
        <v>2800</v>
      </c>
      <c r="J2060" s="3">
        <f>Vendas[[#This Row],[Valor da Venda]]-(_xlfn.XLOOKUP(Vendas[[#This Row],[ID Item Vendido]],Agregado[ID],Agregado[Custo])*Vendas[[#This Row],[Qnt Vendida]])</f>
        <v>560</v>
      </c>
      <c r="K2060" s="70">
        <f>Vendas[[#This Row],[Lucro da Venda]]/Vendas[[#This Row],[Valor da Venda]]</f>
        <v>0.2</v>
      </c>
      <c r="L2060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2060"/>
    </row>
    <row r="2061" spans="1:13" x14ac:dyDescent="0.3">
      <c r="A2061" s="7">
        <v>400253</v>
      </c>
      <c r="B2061" t="str">
        <f>_xlfn.XLOOKUP(Vendas[[#This Row],[ID Vendedor]],Vendedores[ID],Vendedores[Nome])</f>
        <v>Gustavo</v>
      </c>
      <c r="C2061" s="7" t="str">
        <f>_xlfn.XLOOKUP(Vendas[[#This Row],[ID Vendedor]],Vendedores[ID],Vendedores[Setor])</f>
        <v>SC</v>
      </c>
      <c r="D2061" s="7" t="s">
        <v>48</v>
      </c>
      <c r="E2061" t="str">
        <f>_xlfn.XLOOKUP(Vendas[[#This Row],[ID Item Vendido]],Agregado[ID],Agregado[Produto])</f>
        <v>Tambor metálico 200L</v>
      </c>
      <c r="F2061" s="39">
        <v>44870</v>
      </c>
      <c r="G2061" s="7">
        <v>10</v>
      </c>
      <c r="H2061" s="3">
        <f>_xlfn.XLOOKUP(Vendas[[#This Row],[ID Item Vendido]],Agregado[ID],Agregado[Revenda])</f>
        <v>144</v>
      </c>
      <c r="I2061" s="3">
        <f>Vendas[[#This Row],[Valor Unitário]]*Vendas[[#This Row],[Qnt Vendida]]</f>
        <v>1440</v>
      </c>
      <c r="J2061" s="3">
        <f>Vendas[[#This Row],[Valor da Venda]]-(_xlfn.XLOOKUP(Vendas[[#This Row],[ID Item Vendido]],Agregado[ID],Agregado[Custo])*Vendas[[#This Row],[Qnt Vendida]])</f>
        <v>240</v>
      </c>
      <c r="K2061" s="70">
        <f>Vendas[[#This Row],[Lucro da Venda]]/Vendas[[#This Row],[Valor da Venda]]</f>
        <v>0.16666666666666666</v>
      </c>
      <c r="L2061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2061"/>
    </row>
    <row r="2062" spans="1:13" x14ac:dyDescent="0.3">
      <c r="A2062" s="7">
        <v>400244</v>
      </c>
      <c r="B2062" t="str">
        <f>_xlfn.XLOOKUP(Vendas[[#This Row],[ID Vendedor]],Vendedores[ID],Vendedores[Nome])</f>
        <v>Camila</v>
      </c>
      <c r="C2062" s="7" t="str">
        <f>_xlfn.XLOOKUP(Vendas[[#This Row],[ID Vendedor]],Vendedores[ID],Vendedores[Setor])</f>
        <v>AHD</v>
      </c>
      <c r="D2062" s="7" t="s">
        <v>9</v>
      </c>
      <c r="E2062" t="str">
        <f>_xlfn.XLOOKUP(Vendas[[#This Row],[ID Item Vendido]],Agregado[ID],Agregado[Produto])</f>
        <v>Barra de aço simples</v>
      </c>
      <c r="F2062" s="39">
        <v>44870</v>
      </c>
      <c r="G2062" s="7">
        <v>150</v>
      </c>
      <c r="H2062" s="3">
        <f>_xlfn.XLOOKUP(Vendas[[#This Row],[ID Item Vendido]],Agregado[ID],Agregado[Revenda])</f>
        <v>6.7</v>
      </c>
      <c r="I2062" s="3">
        <f>Vendas[[#This Row],[Valor Unitário]]*Vendas[[#This Row],[Qnt Vendida]]</f>
        <v>1005</v>
      </c>
      <c r="J2062" s="3">
        <f>Vendas[[#This Row],[Valor da Venda]]-(_xlfn.XLOOKUP(Vendas[[#This Row],[ID Item Vendido]],Agregado[ID],Agregado[Custo])*Vendas[[#This Row],[Qnt Vendida]])</f>
        <v>135</v>
      </c>
      <c r="K2062" s="70">
        <f>Vendas[[#This Row],[Lucro da Venda]]/Vendas[[#This Row],[Valor da Venda]]</f>
        <v>0.13432835820895522</v>
      </c>
      <c r="L2062" s="3">
        <f>_xlfn.IFS(Vendas[[#This Row],[Margem de Lucro (%)]]&lt;15%,Vendas[[#This Row],[Valor da Venda]]*3%,Vendas[[#This Row],[Margem de Lucro (%)]]&lt;=20%,Vendas[[#This Row],[Valor da Venda]]*4.5%,TRUE,Vendas[[#This Row],[Valor da Venda]]*6%)</f>
        <v>30.15</v>
      </c>
      <c r="M2062"/>
    </row>
    <row r="2063" spans="1:13" x14ac:dyDescent="0.3">
      <c r="A2063" s="7">
        <v>400245</v>
      </c>
      <c r="B2063" t="str">
        <f>_xlfn.XLOOKUP(Vendas[[#This Row],[ID Vendedor]],Vendedores[ID],Vendedores[Nome])</f>
        <v>Thiago</v>
      </c>
      <c r="C2063" s="7" t="str">
        <f>_xlfn.XLOOKUP(Vendas[[#This Row],[ID Vendedor]],Vendedores[ID],Vendedores[Setor])</f>
        <v>AHD</v>
      </c>
      <c r="D2063" s="7" t="s">
        <v>30</v>
      </c>
      <c r="E2063" t="str">
        <f>_xlfn.XLOOKUP(Vendas[[#This Row],[ID Item Vendido]],Agregado[ID],Agregado[Produto])</f>
        <v>Estrutura metálica soldada</v>
      </c>
      <c r="F2063" s="39">
        <v>44871</v>
      </c>
      <c r="G2063" s="7">
        <v>6</v>
      </c>
      <c r="H2063" s="3">
        <f>_xlfn.XLOOKUP(Vendas[[#This Row],[ID Item Vendido]],Agregado[ID],Agregado[Revenda])</f>
        <v>400</v>
      </c>
      <c r="I2063" s="3">
        <f>Vendas[[#This Row],[Valor Unitário]]*Vendas[[#This Row],[Qnt Vendida]]</f>
        <v>2400</v>
      </c>
      <c r="J2063" s="3">
        <f>Vendas[[#This Row],[Valor da Venda]]-(_xlfn.XLOOKUP(Vendas[[#This Row],[ID Item Vendido]],Agregado[ID],Agregado[Custo])*Vendas[[#This Row],[Qnt Vendida]])</f>
        <v>480</v>
      </c>
      <c r="K2063" s="70">
        <f>Vendas[[#This Row],[Lucro da Venda]]/Vendas[[#This Row],[Valor da Venda]]</f>
        <v>0.2</v>
      </c>
      <c r="L2063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063"/>
    </row>
    <row r="2064" spans="1:13" x14ac:dyDescent="0.3">
      <c r="A2064" s="7">
        <v>400241</v>
      </c>
      <c r="B2064" t="str">
        <f>_xlfn.XLOOKUP(Vendas[[#This Row],[ID Vendedor]],Vendedores[ID],Vendedores[Nome])</f>
        <v>Rodrigo</v>
      </c>
      <c r="C2064" s="7" t="str">
        <f>_xlfn.XLOOKUP(Vendas[[#This Row],[ID Vendedor]],Vendedores[ID],Vendedores[Setor])</f>
        <v>FM</v>
      </c>
      <c r="D2064" s="7" t="s">
        <v>47</v>
      </c>
      <c r="E2064" t="str">
        <f>_xlfn.XLOOKUP(Vendas[[#This Row],[ID Item Vendido]],Agregado[ID],Agregado[Produto])</f>
        <v>Fio de arame galvanizado rolo 50m</v>
      </c>
      <c r="F2064" s="39">
        <v>44871</v>
      </c>
      <c r="G2064" s="7">
        <v>33</v>
      </c>
      <c r="H2064" s="3">
        <f>_xlfn.XLOOKUP(Vendas[[#This Row],[ID Item Vendido]],Agregado[ID],Agregado[Revenda])</f>
        <v>21.2</v>
      </c>
      <c r="I2064" s="3">
        <f>Vendas[[#This Row],[Valor Unitário]]*Vendas[[#This Row],[Qnt Vendida]]</f>
        <v>699.6</v>
      </c>
      <c r="J2064" s="3">
        <f>Vendas[[#This Row],[Valor da Venda]]-(_xlfn.XLOOKUP(Vendas[[#This Row],[ID Item Vendido]],Agregado[ID],Agregado[Custo])*Vendas[[#This Row],[Qnt Vendida]])</f>
        <v>105.60000000000002</v>
      </c>
      <c r="K2064" s="70">
        <f>Vendas[[#This Row],[Lucro da Venda]]/Vendas[[#This Row],[Valor da Venda]]</f>
        <v>0.15094339622641512</v>
      </c>
      <c r="L2064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2064"/>
    </row>
    <row r="2065" spans="1:13" x14ac:dyDescent="0.3">
      <c r="A2065" s="7">
        <v>400242</v>
      </c>
      <c r="B2065" t="str">
        <f>_xlfn.XLOOKUP(Vendas[[#This Row],[ID Vendedor]],Vendedores[ID],Vendedores[Nome])</f>
        <v>Fernanda</v>
      </c>
      <c r="C2065" s="7" t="str">
        <f>_xlfn.XLOOKUP(Vendas[[#This Row],[ID Vendedor]],Vendedores[ID],Vendedores[Setor])</f>
        <v>FM</v>
      </c>
      <c r="D2065" s="7" t="s">
        <v>20</v>
      </c>
      <c r="E2065" t="str">
        <f>_xlfn.XLOOKUP(Vendas[[#This Row],[ID Item Vendido]],Agregado[ID],Agregado[Produto])</f>
        <v>Barra de aço simples</v>
      </c>
      <c r="F2065" s="39">
        <v>44871</v>
      </c>
      <c r="G2065" s="7">
        <v>133</v>
      </c>
      <c r="H2065" s="3">
        <f>_xlfn.XLOOKUP(Vendas[[#This Row],[ID Item Vendido]],Agregado[ID],Agregado[Revenda])</f>
        <v>4.8</v>
      </c>
      <c r="I2065" s="3">
        <f>Vendas[[#This Row],[Valor Unitário]]*Vendas[[#This Row],[Qnt Vendida]]</f>
        <v>638.4</v>
      </c>
      <c r="J2065" s="3">
        <f>Vendas[[#This Row],[Valor da Venda]]-(_xlfn.XLOOKUP(Vendas[[#This Row],[ID Item Vendido]],Agregado[ID],Agregado[Custo])*Vendas[[#This Row],[Qnt Vendida]])</f>
        <v>79.799999999999955</v>
      </c>
      <c r="K2065" s="70">
        <f>Vendas[[#This Row],[Lucro da Venda]]/Vendas[[#This Row],[Valor da Venda]]</f>
        <v>0.12499999999999993</v>
      </c>
      <c r="L2065" s="3">
        <f>_xlfn.IFS(Vendas[[#This Row],[Margem de Lucro (%)]]&lt;15%,Vendas[[#This Row],[Valor da Venda]]*3%,Vendas[[#This Row],[Margem de Lucro (%)]]&lt;=20%,Vendas[[#This Row],[Valor da Venda]]*4.5%,TRUE,Vendas[[#This Row],[Valor da Venda]]*6%)</f>
        <v>19.151999999999997</v>
      </c>
      <c r="M2065"/>
    </row>
    <row r="2066" spans="1:13" x14ac:dyDescent="0.3">
      <c r="A2066" s="7">
        <v>400247</v>
      </c>
      <c r="B2066" t="str">
        <f>_xlfn.XLOOKUP(Vendas[[#This Row],[ID Vendedor]],Vendedores[ID],Vendedores[Nome])</f>
        <v>André</v>
      </c>
      <c r="C2066" s="7" t="str">
        <f>_xlfn.XLOOKUP(Vendas[[#This Row],[ID Vendedor]],Vendedores[ID],Vendedores[Setor])</f>
        <v>CM</v>
      </c>
      <c r="D2066" s="7" t="s">
        <v>43</v>
      </c>
      <c r="E2066" t="str">
        <f>_xlfn.XLOOKUP(Vendas[[#This Row],[ID Item Vendido]],Agregado[ID],Agregado[Produto])</f>
        <v>Madeira Bruta (Tora)</v>
      </c>
      <c r="F2066" s="39">
        <v>44872</v>
      </c>
      <c r="G2066" s="7">
        <v>7</v>
      </c>
      <c r="H2066" s="3">
        <f>_xlfn.XLOOKUP(Vendas[[#This Row],[ID Item Vendido]],Agregado[ID],Agregado[Revenda])</f>
        <v>212</v>
      </c>
      <c r="I2066" s="3">
        <f>Vendas[[#This Row],[Valor Unitário]]*Vendas[[#This Row],[Qnt Vendida]]</f>
        <v>1484</v>
      </c>
      <c r="J2066" s="3">
        <f>Vendas[[#This Row],[Valor da Venda]]-(_xlfn.XLOOKUP(Vendas[[#This Row],[ID Item Vendido]],Agregado[ID],Agregado[Custo])*Vendas[[#This Row],[Qnt Vendida]])</f>
        <v>224</v>
      </c>
      <c r="K2066" s="70">
        <f>Vendas[[#This Row],[Lucro da Venda]]/Vendas[[#This Row],[Valor da Venda]]</f>
        <v>0.15094339622641509</v>
      </c>
      <c r="L2066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2066"/>
    </row>
    <row r="2067" spans="1:13" x14ac:dyDescent="0.3">
      <c r="A2067" s="7">
        <v>400244</v>
      </c>
      <c r="B2067" t="str">
        <f>_xlfn.XLOOKUP(Vendas[[#This Row],[ID Vendedor]],Vendedores[ID],Vendedores[Nome])</f>
        <v>Camila</v>
      </c>
      <c r="C2067" s="7" t="str">
        <f>_xlfn.XLOOKUP(Vendas[[#This Row],[ID Vendedor]],Vendedores[ID],Vendedores[Setor])</f>
        <v>AHD</v>
      </c>
      <c r="D2067" s="7" t="s">
        <v>44</v>
      </c>
      <c r="E2067" t="str">
        <f>_xlfn.XLOOKUP(Vendas[[#This Row],[ID Item Vendido]],Agregado[ID],Agregado[Produto])</f>
        <v>Liga metálica especial</v>
      </c>
      <c r="F2067" s="39">
        <v>44872</v>
      </c>
      <c r="G2067" s="7">
        <v>45</v>
      </c>
      <c r="H2067" s="3">
        <f>_xlfn.XLOOKUP(Vendas[[#This Row],[ID Item Vendido]],Agregado[ID],Agregado[Revenda])</f>
        <v>32.5</v>
      </c>
      <c r="I2067" s="3">
        <f>Vendas[[#This Row],[Valor Unitário]]*Vendas[[#This Row],[Qnt Vendida]]</f>
        <v>1462.5</v>
      </c>
      <c r="J2067" s="3">
        <f>Vendas[[#This Row],[Valor da Venda]]-(_xlfn.XLOOKUP(Vendas[[#This Row],[ID Item Vendido]],Agregado[ID],Agregado[Custo])*Vendas[[#This Row],[Qnt Vendida]])</f>
        <v>337.5</v>
      </c>
      <c r="K2067" s="70">
        <f>Vendas[[#This Row],[Lucro da Venda]]/Vendas[[#This Row],[Valor da Venda]]</f>
        <v>0.23076923076923078</v>
      </c>
      <c r="L2067" s="3">
        <f>_xlfn.IFS(Vendas[[#This Row],[Margem de Lucro (%)]]&lt;15%,Vendas[[#This Row],[Valor da Venda]]*3%,Vendas[[#This Row],[Margem de Lucro (%)]]&lt;=20%,Vendas[[#This Row],[Valor da Venda]]*4.5%,TRUE,Vendas[[#This Row],[Valor da Venda]]*6%)</f>
        <v>87.75</v>
      </c>
      <c r="M2067"/>
    </row>
    <row r="2068" spans="1:13" x14ac:dyDescent="0.3">
      <c r="A2068" s="7">
        <v>400241</v>
      </c>
      <c r="B2068" t="str">
        <f>_xlfn.XLOOKUP(Vendas[[#This Row],[ID Vendedor]],Vendedores[ID],Vendedores[Nome])</f>
        <v>Rodrigo</v>
      </c>
      <c r="C2068" s="7" t="str">
        <f>_xlfn.XLOOKUP(Vendas[[#This Row],[ID Vendedor]],Vendedores[ID],Vendedores[Setor])</f>
        <v>FM</v>
      </c>
      <c r="D2068" s="7" t="s">
        <v>27</v>
      </c>
      <c r="E2068" t="str">
        <f>_xlfn.XLOOKUP(Vendas[[#This Row],[ID Item Vendido]],Agregado[ID],Agregado[Produto])</f>
        <v>Chapa de metal lisa 1x2m</v>
      </c>
      <c r="F2068" s="39">
        <v>44872</v>
      </c>
      <c r="G2068" s="7">
        <v>27</v>
      </c>
      <c r="H2068" s="3">
        <f>_xlfn.XLOOKUP(Vendas[[#This Row],[ID Item Vendido]],Agregado[ID],Agregado[Revenda])</f>
        <v>52</v>
      </c>
      <c r="I2068" s="3">
        <f>Vendas[[#This Row],[Valor Unitário]]*Vendas[[#This Row],[Qnt Vendida]]</f>
        <v>1404</v>
      </c>
      <c r="J2068" s="3">
        <f>Vendas[[#This Row],[Valor da Venda]]-(_xlfn.XLOOKUP(Vendas[[#This Row],[ID Item Vendido]],Agregado[ID],Agregado[Custo])*Vendas[[#This Row],[Qnt Vendida]])</f>
        <v>189</v>
      </c>
      <c r="K2068" s="70">
        <f>Vendas[[#This Row],[Lucro da Venda]]/Vendas[[#This Row],[Valor da Venda]]</f>
        <v>0.13461538461538461</v>
      </c>
      <c r="L2068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2068"/>
    </row>
    <row r="2069" spans="1:13" x14ac:dyDescent="0.3">
      <c r="A2069" s="7">
        <v>400244</v>
      </c>
      <c r="B2069" t="str">
        <f>_xlfn.XLOOKUP(Vendas[[#This Row],[ID Vendedor]],Vendedores[ID],Vendedores[Nome])</f>
        <v>Camila</v>
      </c>
      <c r="C2069" s="7" t="str">
        <f>_xlfn.XLOOKUP(Vendas[[#This Row],[ID Vendedor]],Vendedores[ID],Vendedores[Setor])</f>
        <v>AHD</v>
      </c>
      <c r="D2069" s="7" t="s">
        <v>30</v>
      </c>
      <c r="E2069" t="str">
        <f>_xlfn.XLOOKUP(Vendas[[#This Row],[ID Item Vendido]],Agregado[ID],Agregado[Produto])</f>
        <v>Estrutura metálica soldada</v>
      </c>
      <c r="F2069" s="39">
        <v>44873</v>
      </c>
      <c r="G2069" s="7">
        <v>5</v>
      </c>
      <c r="H2069" s="3">
        <f>_xlfn.XLOOKUP(Vendas[[#This Row],[ID Item Vendido]],Agregado[ID],Agregado[Revenda])</f>
        <v>400</v>
      </c>
      <c r="I2069" s="3">
        <f>Vendas[[#This Row],[Valor Unitário]]*Vendas[[#This Row],[Qnt Vendida]]</f>
        <v>2000</v>
      </c>
      <c r="J2069" s="3">
        <f>Vendas[[#This Row],[Valor da Venda]]-(_xlfn.XLOOKUP(Vendas[[#This Row],[ID Item Vendido]],Agregado[ID],Agregado[Custo])*Vendas[[#This Row],[Qnt Vendida]])</f>
        <v>400</v>
      </c>
      <c r="K2069" s="70">
        <f>Vendas[[#This Row],[Lucro da Venda]]/Vendas[[#This Row],[Valor da Venda]]</f>
        <v>0.2</v>
      </c>
      <c r="L2069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069"/>
    </row>
    <row r="2070" spans="1:13" x14ac:dyDescent="0.3">
      <c r="A2070" s="7">
        <v>400243</v>
      </c>
      <c r="B2070" t="str">
        <f>_xlfn.XLOOKUP(Vendas[[#This Row],[ID Vendedor]],Vendedores[ID],Vendedores[Nome])</f>
        <v>Marcelo</v>
      </c>
      <c r="C2070" s="7" t="str">
        <f>_xlfn.XLOOKUP(Vendas[[#This Row],[ID Vendedor]],Vendedores[ID],Vendedores[Setor])</f>
        <v>FM</v>
      </c>
      <c r="D2070" s="7" t="s">
        <v>6</v>
      </c>
      <c r="E2070" t="str">
        <f>_xlfn.XLOOKUP(Vendas[[#This Row],[ID Item Vendido]],Agregado[ID],Agregado[Produto])</f>
        <v>Parafuso comum 500un</v>
      </c>
      <c r="F2070" s="39">
        <v>44873</v>
      </c>
      <c r="G2070" s="7">
        <v>22</v>
      </c>
      <c r="H2070" s="3">
        <f>_xlfn.XLOOKUP(Vendas[[#This Row],[ID Item Vendido]],Agregado[ID],Agregado[Revenda])</f>
        <v>24.6</v>
      </c>
      <c r="I2070" s="3">
        <f>Vendas[[#This Row],[Valor Unitário]]*Vendas[[#This Row],[Qnt Vendida]]</f>
        <v>541.20000000000005</v>
      </c>
      <c r="J2070" s="3">
        <f>Vendas[[#This Row],[Valor da Venda]]-(_xlfn.XLOOKUP(Vendas[[#This Row],[ID Item Vendido]],Agregado[ID],Agregado[Custo])*Vendas[[#This Row],[Qnt Vendida]])</f>
        <v>57.200000000000045</v>
      </c>
      <c r="K2070" s="70">
        <f>Vendas[[#This Row],[Lucro da Venda]]/Vendas[[#This Row],[Valor da Venda]]</f>
        <v>0.10569105691056918</v>
      </c>
      <c r="L2070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070"/>
    </row>
    <row r="2071" spans="1:13" x14ac:dyDescent="0.3">
      <c r="A2071" s="7">
        <v>400244</v>
      </c>
      <c r="B2071" t="str">
        <f>_xlfn.XLOOKUP(Vendas[[#This Row],[ID Vendedor]],Vendedores[ID],Vendedores[Nome])</f>
        <v>Camila</v>
      </c>
      <c r="C2071" s="7" t="str">
        <f>_xlfn.XLOOKUP(Vendas[[#This Row],[ID Vendedor]],Vendedores[ID],Vendedores[Setor])</f>
        <v>AHD</v>
      </c>
      <c r="D2071" s="7" t="s">
        <v>30</v>
      </c>
      <c r="E2071" t="str">
        <f>_xlfn.XLOOKUP(Vendas[[#This Row],[ID Item Vendido]],Agregado[ID],Agregado[Produto])</f>
        <v>Estrutura metálica soldada</v>
      </c>
      <c r="F2071" s="39">
        <v>44874</v>
      </c>
      <c r="G2071" s="7">
        <v>5</v>
      </c>
      <c r="H2071" s="3">
        <f>_xlfn.XLOOKUP(Vendas[[#This Row],[ID Item Vendido]],Agregado[ID],Agregado[Revenda])</f>
        <v>400</v>
      </c>
      <c r="I2071" s="3">
        <f>Vendas[[#This Row],[Valor Unitário]]*Vendas[[#This Row],[Qnt Vendida]]</f>
        <v>2000</v>
      </c>
      <c r="J2071" s="3">
        <f>Vendas[[#This Row],[Valor da Venda]]-(_xlfn.XLOOKUP(Vendas[[#This Row],[ID Item Vendido]],Agregado[ID],Agregado[Custo])*Vendas[[#This Row],[Qnt Vendida]])</f>
        <v>400</v>
      </c>
      <c r="K2071" s="70">
        <f>Vendas[[#This Row],[Lucro da Venda]]/Vendas[[#This Row],[Valor da Venda]]</f>
        <v>0.2</v>
      </c>
      <c r="L207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071"/>
    </row>
    <row r="2072" spans="1:13" x14ac:dyDescent="0.3">
      <c r="A2072" s="7">
        <v>400253</v>
      </c>
      <c r="B2072" t="str">
        <f>_xlfn.XLOOKUP(Vendas[[#This Row],[ID Vendedor]],Vendedores[ID],Vendedores[Nome])</f>
        <v>Gustavo</v>
      </c>
      <c r="C2072" s="7" t="str">
        <f>_xlfn.XLOOKUP(Vendas[[#This Row],[ID Vendedor]],Vendedores[ID],Vendedores[Setor])</f>
        <v>SC</v>
      </c>
      <c r="D2072" s="7" t="s">
        <v>42</v>
      </c>
      <c r="E2072" t="str">
        <f>_xlfn.XLOOKUP(Vendas[[#This Row],[ID Item Vendido]],Agregado[ID],Agregado[Produto])</f>
        <v>Container de ferro industrial</v>
      </c>
      <c r="F2072" s="39">
        <v>44874</v>
      </c>
      <c r="G2072" s="7">
        <v>1</v>
      </c>
      <c r="H2072" s="3">
        <f>_xlfn.XLOOKUP(Vendas[[#This Row],[ID Item Vendido]],Agregado[ID],Agregado[Revenda])</f>
        <v>830</v>
      </c>
      <c r="I2072" s="3">
        <f>Vendas[[#This Row],[Valor Unitário]]*Vendas[[#This Row],[Qnt Vendida]]</f>
        <v>830</v>
      </c>
      <c r="J2072" s="3">
        <f>Vendas[[#This Row],[Valor da Venda]]-(_xlfn.XLOOKUP(Vendas[[#This Row],[ID Item Vendido]],Agregado[ID],Agregado[Custo])*Vendas[[#This Row],[Qnt Vendida]])</f>
        <v>150</v>
      </c>
      <c r="K2072" s="70">
        <f>Vendas[[#This Row],[Lucro da Venda]]/Vendas[[#This Row],[Valor da Venda]]</f>
        <v>0.18072289156626506</v>
      </c>
      <c r="L207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072"/>
    </row>
    <row r="2073" spans="1:13" x14ac:dyDescent="0.3">
      <c r="A2073" s="7">
        <v>400244</v>
      </c>
      <c r="B2073" t="str">
        <f>_xlfn.XLOOKUP(Vendas[[#This Row],[ID Vendedor]],Vendedores[ID],Vendedores[Nome])</f>
        <v>Camila</v>
      </c>
      <c r="C2073" s="7" t="str">
        <f>_xlfn.XLOOKUP(Vendas[[#This Row],[ID Vendedor]],Vendedores[ID],Vendedores[Setor])</f>
        <v>AHD</v>
      </c>
      <c r="D2073" s="7" t="s">
        <v>18</v>
      </c>
      <c r="E2073" t="str">
        <f>_xlfn.XLOOKUP(Vendas[[#This Row],[ID Item Vendido]],Agregado[ID],Agregado[Produto])</f>
        <v>Peça forjada sob encomenda</v>
      </c>
      <c r="F2073" s="39">
        <v>44874</v>
      </c>
      <c r="G2073" s="7">
        <v>2</v>
      </c>
      <c r="H2073" s="3">
        <f>_xlfn.XLOOKUP(Vendas[[#This Row],[ID Item Vendido]],Agregado[ID],Agregado[Revenda])</f>
        <v>264.60000000000002</v>
      </c>
      <c r="I2073" s="3">
        <f>Vendas[[#This Row],[Valor Unitário]]*Vendas[[#This Row],[Qnt Vendida]]</f>
        <v>529.20000000000005</v>
      </c>
      <c r="J2073" s="3">
        <f>Vendas[[#This Row],[Valor da Venda]]-(_xlfn.XLOOKUP(Vendas[[#This Row],[ID Item Vendido]],Agregado[ID],Agregado[Custo])*Vendas[[#This Row],[Qnt Vendida]])</f>
        <v>29.200000000000045</v>
      </c>
      <c r="K2073" s="70">
        <f>Vendas[[#This Row],[Lucro da Venda]]/Vendas[[#This Row],[Valor da Venda]]</f>
        <v>5.5177626606198113E-2</v>
      </c>
      <c r="L2073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073"/>
    </row>
    <row r="2074" spans="1:13" x14ac:dyDescent="0.3">
      <c r="A2074" s="7">
        <v>400245</v>
      </c>
      <c r="B2074" t="str">
        <f>_xlfn.XLOOKUP(Vendas[[#This Row],[ID Vendedor]],Vendedores[ID],Vendedores[Nome])</f>
        <v>Thiago</v>
      </c>
      <c r="C2074" s="7" t="str">
        <f>_xlfn.XLOOKUP(Vendas[[#This Row],[ID Vendedor]],Vendedores[ID],Vendedores[Setor])</f>
        <v>AHD</v>
      </c>
      <c r="D2074" s="7" t="s">
        <v>44</v>
      </c>
      <c r="E2074" t="str">
        <f>_xlfn.XLOOKUP(Vendas[[#This Row],[ID Item Vendido]],Agregado[ID],Agregado[Produto])</f>
        <v>Liga metálica especial</v>
      </c>
      <c r="F2074" s="39">
        <v>44875</v>
      </c>
      <c r="G2074" s="7">
        <v>39</v>
      </c>
      <c r="H2074" s="3">
        <f>_xlfn.XLOOKUP(Vendas[[#This Row],[ID Item Vendido]],Agregado[ID],Agregado[Revenda])</f>
        <v>32.5</v>
      </c>
      <c r="I2074" s="3">
        <f>Vendas[[#This Row],[Valor Unitário]]*Vendas[[#This Row],[Qnt Vendida]]</f>
        <v>1267.5</v>
      </c>
      <c r="J2074" s="3">
        <f>Vendas[[#This Row],[Valor da Venda]]-(_xlfn.XLOOKUP(Vendas[[#This Row],[ID Item Vendido]],Agregado[ID],Agregado[Custo])*Vendas[[#This Row],[Qnt Vendida]])</f>
        <v>292.5</v>
      </c>
      <c r="K2074" s="70">
        <f>Vendas[[#This Row],[Lucro da Venda]]/Vendas[[#This Row],[Valor da Venda]]</f>
        <v>0.23076923076923078</v>
      </c>
      <c r="L2074" s="3">
        <f>_xlfn.IFS(Vendas[[#This Row],[Margem de Lucro (%)]]&lt;15%,Vendas[[#This Row],[Valor da Venda]]*3%,Vendas[[#This Row],[Margem de Lucro (%)]]&lt;=20%,Vendas[[#This Row],[Valor da Venda]]*4.5%,TRUE,Vendas[[#This Row],[Valor da Venda]]*6%)</f>
        <v>76.05</v>
      </c>
      <c r="M2074"/>
    </row>
    <row r="2075" spans="1:13" x14ac:dyDescent="0.3">
      <c r="A2075" s="7">
        <v>400244</v>
      </c>
      <c r="B2075" t="str">
        <f>_xlfn.XLOOKUP(Vendas[[#This Row],[ID Vendedor]],Vendedores[ID],Vendedores[Nome])</f>
        <v>Camila</v>
      </c>
      <c r="C2075" s="7" t="str">
        <f>_xlfn.XLOOKUP(Vendas[[#This Row],[ID Vendedor]],Vendedores[ID],Vendedores[Setor])</f>
        <v>AHD</v>
      </c>
      <c r="D2075" s="7" t="s">
        <v>9</v>
      </c>
      <c r="E2075" t="str">
        <f>_xlfn.XLOOKUP(Vendas[[#This Row],[ID Item Vendido]],Agregado[ID],Agregado[Produto])</f>
        <v>Barra de aço simples</v>
      </c>
      <c r="F2075" s="39">
        <v>44875</v>
      </c>
      <c r="G2075" s="7">
        <v>128</v>
      </c>
      <c r="H2075" s="3">
        <f>_xlfn.XLOOKUP(Vendas[[#This Row],[ID Item Vendido]],Agregado[ID],Agregado[Revenda])</f>
        <v>6.7</v>
      </c>
      <c r="I2075" s="3">
        <f>Vendas[[#This Row],[Valor Unitário]]*Vendas[[#This Row],[Qnt Vendida]]</f>
        <v>857.6</v>
      </c>
      <c r="J2075" s="3">
        <f>Vendas[[#This Row],[Valor da Venda]]-(_xlfn.XLOOKUP(Vendas[[#This Row],[ID Item Vendido]],Agregado[ID],Agregado[Custo])*Vendas[[#This Row],[Qnt Vendida]])</f>
        <v>115.20000000000005</v>
      </c>
      <c r="K2075" s="70">
        <f>Vendas[[#This Row],[Lucro da Venda]]/Vendas[[#This Row],[Valor da Venda]]</f>
        <v>0.13432835820895528</v>
      </c>
      <c r="L2075" s="3">
        <f>_xlfn.IFS(Vendas[[#This Row],[Margem de Lucro (%)]]&lt;15%,Vendas[[#This Row],[Valor da Venda]]*3%,Vendas[[#This Row],[Margem de Lucro (%)]]&lt;=20%,Vendas[[#This Row],[Valor da Venda]]*4.5%,TRUE,Vendas[[#This Row],[Valor da Venda]]*6%)</f>
        <v>25.727999999999998</v>
      </c>
      <c r="M2075"/>
    </row>
    <row r="2076" spans="1:13" x14ac:dyDescent="0.3">
      <c r="A2076" s="7">
        <v>400253</v>
      </c>
      <c r="B2076" t="str">
        <f>_xlfn.XLOOKUP(Vendas[[#This Row],[ID Vendedor]],Vendedores[ID],Vendedores[Nome])</f>
        <v>Gustavo</v>
      </c>
      <c r="C2076" s="7" t="str">
        <f>_xlfn.XLOOKUP(Vendas[[#This Row],[ID Vendedor]],Vendedores[ID],Vendedores[Setor])</f>
        <v>SC</v>
      </c>
      <c r="D2076" s="7" t="s">
        <v>48</v>
      </c>
      <c r="E2076" t="str">
        <f>_xlfn.XLOOKUP(Vendas[[#This Row],[ID Item Vendido]],Agregado[ID],Agregado[Produto])</f>
        <v>Tambor metálico 200L</v>
      </c>
      <c r="F2076" s="39">
        <v>44876</v>
      </c>
      <c r="G2076" s="7">
        <v>17</v>
      </c>
      <c r="H2076" s="3">
        <f>_xlfn.XLOOKUP(Vendas[[#This Row],[ID Item Vendido]],Agregado[ID],Agregado[Revenda])</f>
        <v>144</v>
      </c>
      <c r="I2076" s="3">
        <f>Vendas[[#This Row],[Valor Unitário]]*Vendas[[#This Row],[Qnt Vendida]]</f>
        <v>2448</v>
      </c>
      <c r="J2076" s="3">
        <f>Vendas[[#This Row],[Valor da Venda]]-(_xlfn.XLOOKUP(Vendas[[#This Row],[ID Item Vendido]],Agregado[ID],Agregado[Custo])*Vendas[[#This Row],[Qnt Vendida]])</f>
        <v>408</v>
      </c>
      <c r="K2076" s="70">
        <f>Vendas[[#This Row],[Lucro da Venda]]/Vendas[[#This Row],[Valor da Venda]]</f>
        <v>0.16666666666666666</v>
      </c>
      <c r="L2076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2076"/>
    </row>
    <row r="2077" spans="1:13" x14ac:dyDescent="0.3">
      <c r="A2077" s="7">
        <v>400245</v>
      </c>
      <c r="B2077" t="str">
        <f>_xlfn.XLOOKUP(Vendas[[#This Row],[ID Vendedor]],Vendedores[ID],Vendedores[Nome])</f>
        <v>Thiago</v>
      </c>
      <c r="C2077" s="7" t="str">
        <f>_xlfn.XLOOKUP(Vendas[[#This Row],[ID Vendedor]],Vendedores[ID],Vendedores[Setor])</f>
        <v>AHD</v>
      </c>
      <c r="D2077" s="7" t="s">
        <v>44</v>
      </c>
      <c r="E2077" t="str">
        <f>_xlfn.XLOOKUP(Vendas[[#This Row],[ID Item Vendido]],Agregado[ID],Agregado[Produto])</f>
        <v>Liga metálica especial</v>
      </c>
      <c r="F2077" s="39">
        <v>44876</v>
      </c>
      <c r="G2077" s="7">
        <v>43</v>
      </c>
      <c r="H2077" s="3">
        <f>_xlfn.XLOOKUP(Vendas[[#This Row],[ID Item Vendido]],Agregado[ID],Agregado[Revenda])</f>
        <v>32.5</v>
      </c>
      <c r="I2077" s="3">
        <f>Vendas[[#This Row],[Valor Unitário]]*Vendas[[#This Row],[Qnt Vendida]]</f>
        <v>1397.5</v>
      </c>
      <c r="J2077" s="3">
        <f>Vendas[[#This Row],[Valor da Venda]]-(_xlfn.XLOOKUP(Vendas[[#This Row],[ID Item Vendido]],Agregado[ID],Agregado[Custo])*Vendas[[#This Row],[Qnt Vendida]])</f>
        <v>322.5</v>
      </c>
      <c r="K2077" s="70">
        <f>Vendas[[#This Row],[Lucro da Venda]]/Vendas[[#This Row],[Valor da Venda]]</f>
        <v>0.23076923076923078</v>
      </c>
      <c r="L2077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2077"/>
    </row>
    <row r="2078" spans="1:13" x14ac:dyDescent="0.3">
      <c r="A2078" s="7">
        <v>400251</v>
      </c>
      <c r="B2078" t="str">
        <f>_xlfn.XLOOKUP(Vendas[[#This Row],[ID Vendedor]],Vendedores[ID],Vendedores[Nome])</f>
        <v>Diego</v>
      </c>
      <c r="C2078" s="7" t="str">
        <f>_xlfn.XLOOKUP(Vendas[[#This Row],[ID Vendedor]],Vendedores[ID],Vendedores[Setor])</f>
        <v>AB</v>
      </c>
      <c r="D2078" s="7" t="s">
        <v>24</v>
      </c>
      <c r="E2078" t="str">
        <f>_xlfn.XLOOKUP(Vendas[[#This Row],[ID Item Vendido]],Agregado[ID],Agregado[Produto])</f>
        <v>Resina plástica PET purificada saco de 25kg</v>
      </c>
      <c r="F2078" s="39">
        <v>44876</v>
      </c>
      <c r="G2078" s="7">
        <v>10</v>
      </c>
      <c r="H2078" s="3">
        <f>_xlfn.XLOOKUP(Vendas[[#This Row],[ID Item Vendido]],Agregado[ID],Agregado[Revenda])</f>
        <v>119</v>
      </c>
      <c r="I2078" s="3">
        <f>Vendas[[#This Row],[Valor Unitário]]*Vendas[[#This Row],[Qnt Vendida]]</f>
        <v>1190</v>
      </c>
      <c r="J2078" s="3">
        <f>Vendas[[#This Row],[Valor da Venda]]-(_xlfn.XLOOKUP(Vendas[[#This Row],[ID Item Vendido]],Agregado[ID],Agregado[Custo])*Vendas[[#This Row],[Qnt Vendida]])</f>
        <v>340</v>
      </c>
      <c r="K2078" s="70">
        <f>Vendas[[#This Row],[Lucro da Venda]]/Vendas[[#This Row],[Valor da Venda]]</f>
        <v>0.2857142857142857</v>
      </c>
      <c r="L2078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2078"/>
    </row>
    <row r="2079" spans="1:13" x14ac:dyDescent="0.3">
      <c r="A2079" s="7">
        <v>400244</v>
      </c>
      <c r="B2079" t="str">
        <f>_xlfn.XLOOKUP(Vendas[[#This Row],[ID Vendedor]],Vendedores[ID],Vendedores[Nome])</f>
        <v>Camila</v>
      </c>
      <c r="C2079" s="7" t="str">
        <f>_xlfn.XLOOKUP(Vendas[[#This Row],[ID Vendedor]],Vendedores[ID],Vendedores[Setor])</f>
        <v>AHD</v>
      </c>
      <c r="D2079" s="7" t="s">
        <v>44</v>
      </c>
      <c r="E2079" t="str">
        <f>_xlfn.XLOOKUP(Vendas[[#This Row],[ID Item Vendido]],Agregado[ID],Agregado[Produto])</f>
        <v>Liga metálica especial</v>
      </c>
      <c r="F2079" s="39">
        <v>44877</v>
      </c>
      <c r="G2079" s="7">
        <v>38</v>
      </c>
      <c r="H2079" s="3">
        <f>_xlfn.XLOOKUP(Vendas[[#This Row],[ID Item Vendido]],Agregado[ID],Agregado[Revenda])</f>
        <v>32.5</v>
      </c>
      <c r="I2079" s="3">
        <f>Vendas[[#This Row],[Valor Unitário]]*Vendas[[#This Row],[Qnt Vendida]]</f>
        <v>1235</v>
      </c>
      <c r="J2079" s="3">
        <f>Vendas[[#This Row],[Valor da Venda]]-(_xlfn.XLOOKUP(Vendas[[#This Row],[ID Item Vendido]],Agregado[ID],Agregado[Custo])*Vendas[[#This Row],[Qnt Vendida]])</f>
        <v>285</v>
      </c>
      <c r="K2079" s="70">
        <f>Vendas[[#This Row],[Lucro da Venda]]/Vendas[[#This Row],[Valor da Venda]]</f>
        <v>0.23076923076923078</v>
      </c>
      <c r="L2079" s="3">
        <f>_xlfn.IFS(Vendas[[#This Row],[Margem de Lucro (%)]]&lt;15%,Vendas[[#This Row],[Valor da Venda]]*3%,Vendas[[#This Row],[Margem de Lucro (%)]]&lt;=20%,Vendas[[#This Row],[Valor da Venda]]*4.5%,TRUE,Vendas[[#This Row],[Valor da Venda]]*6%)</f>
        <v>74.099999999999994</v>
      </c>
      <c r="M2079"/>
    </row>
    <row r="2080" spans="1:13" x14ac:dyDescent="0.3">
      <c r="A2080" s="7">
        <v>400243</v>
      </c>
      <c r="B2080" t="str">
        <f>_xlfn.XLOOKUP(Vendas[[#This Row],[ID Vendedor]],Vendedores[ID],Vendedores[Nome])</f>
        <v>Marcelo</v>
      </c>
      <c r="C2080" s="7" t="str">
        <f>_xlfn.XLOOKUP(Vendas[[#This Row],[ID Vendedor]],Vendedores[ID],Vendedores[Setor])</f>
        <v>FM</v>
      </c>
      <c r="D2080" s="7" t="s">
        <v>6</v>
      </c>
      <c r="E2080" t="str">
        <f>_xlfn.XLOOKUP(Vendas[[#This Row],[ID Item Vendido]],Agregado[ID],Agregado[Produto])</f>
        <v>Parafuso comum 500un</v>
      </c>
      <c r="F2080" s="39">
        <v>44877</v>
      </c>
      <c r="G2080" s="7">
        <v>5</v>
      </c>
      <c r="H2080" s="3">
        <f>_xlfn.XLOOKUP(Vendas[[#This Row],[ID Item Vendido]],Agregado[ID],Agregado[Revenda])</f>
        <v>24.6</v>
      </c>
      <c r="I2080" s="3">
        <f>Vendas[[#This Row],[Valor Unitário]]*Vendas[[#This Row],[Qnt Vendida]]</f>
        <v>123</v>
      </c>
      <c r="J2080" s="3">
        <f>Vendas[[#This Row],[Valor da Venda]]-(_xlfn.XLOOKUP(Vendas[[#This Row],[ID Item Vendido]],Agregado[ID],Agregado[Custo])*Vendas[[#This Row],[Qnt Vendida]])</f>
        <v>13</v>
      </c>
      <c r="K2080" s="70">
        <f>Vendas[[#This Row],[Lucro da Venda]]/Vendas[[#This Row],[Valor da Venda]]</f>
        <v>0.10569105691056911</v>
      </c>
      <c r="L2080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2080"/>
    </row>
    <row r="2081" spans="1:13" x14ac:dyDescent="0.3">
      <c r="A2081" s="7">
        <v>400243</v>
      </c>
      <c r="B2081" t="str">
        <f>_xlfn.XLOOKUP(Vendas[[#This Row],[ID Vendedor]],Vendedores[ID],Vendedores[Nome])</f>
        <v>Marcelo</v>
      </c>
      <c r="C2081" s="7" t="str">
        <f>_xlfn.XLOOKUP(Vendas[[#This Row],[ID Vendedor]],Vendedores[ID],Vendedores[Setor])</f>
        <v>FM</v>
      </c>
      <c r="D2081" s="7" t="s">
        <v>20</v>
      </c>
      <c r="E2081" t="str">
        <f>_xlfn.XLOOKUP(Vendas[[#This Row],[ID Item Vendido]],Agregado[ID],Agregado[Produto])</f>
        <v>Barra de aço simples</v>
      </c>
      <c r="F2081" s="39">
        <v>44878</v>
      </c>
      <c r="G2081" s="7">
        <v>175</v>
      </c>
      <c r="H2081" s="3">
        <f>_xlfn.XLOOKUP(Vendas[[#This Row],[ID Item Vendido]],Agregado[ID],Agregado[Revenda])</f>
        <v>4.8</v>
      </c>
      <c r="I2081" s="3">
        <f>Vendas[[#This Row],[Valor Unitário]]*Vendas[[#This Row],[Qnt Vendida]]</f>
        <v>840</v>
      </c>
      <c r="J2081" s="3">
        <f>Vendas[[#This Row],[Valor da Venda]]-(_xlfn.XLOOKUP(Vendas[[#This Row],[ID Item Vendido]],Agregado[ID],Agregado[Custo])*Vendas[[#This Row],[Qnt Vendida]])</f>
        <v>105</v>
      </c>
      <c r="K2081" s="70">
        <f>Vendas[[#This Row],[Lucro da Venda]]/Vendas[[#This Row],[Valor da Venda]]</f>
        <v>0.125</v>
      </c>
      <c r="L2081" s="3">
        <f>_xlfn.IFS(Vendas[[#This Row],[Margem de Lucro (%)]]&lt;15%,Vendas[[#This Row],[Valor da Venda]]*3%,Vendas[[#This Row],[Margem de Lucro (%)]]&lt;=20%,Vendas[[#This Row],[Valor da Venda]]*4.5%,TRUE,Vendas[[#This Row],[Valor da Venda]]*6%)</f>
        <v>25.2</v>
      </c>
      <c r="M2081"/>
    </row>
    <row r="2082" spans="1:13" x14ac:dyDescent="0.3">
      <c r="A2082" s="7">
        <v>400245</v>
      </c>
      <c r="B2082" t="str">
        <f>_xlfn.XLOOKUP(Vendas[[#This Row],[ID Vendedor]],Vendedores[ID],Vendedores[Nome])</f>
        <v>Thiago</v>
      </c>
      <c r="C2082" s="7" t="str">
        <f>_xlfn.XLOOKUP(Vendas[[#This Row],[ID Vendedor]],Vendedores[ID],Vendedores[Setor])</f>
        <v>AHD</v>
      </c>
      <c r="D2082" s="7" t="s">
        <v>9</v>
      </c>
      <c r="E2082" t="str">
        <f>_xlfn.XLOOKUP(Vendas[[#This Row],[ID Item Vendido]],Agregado[ID],Agregado[Produto])</f>
        <v>Barra de aço simples</v>
      </c>
      <c r="F2082" s="39">
        <v>44878</v>
      </c>
      <c r="G2082" s="7">
        <v>54</v>
      </c>
      <c r="H2082" s="3">
        <f>_xlfn.XLOOKUP(Vendas[[#This Row],[ID Item Vendido]],Agregado[ID],Agregado[Revenda])</f>
        <v>6.7</v>
      </c>
      <c r="I2082" s="3">
        <f>Vendas[[#This Row],[Valor Unitário]]*Vendas[[#This Row],[Qnt Vendida]]</f>
        <v>361.8</v>
      </c>
      <c r="J2082" s="3">
        <f>Vendas[[#This Row],[Valor da Venda]]-(_xlfn.XLOOKUP(Vendas[[#This Row],[ID Item Vendido]],Agregado[ID],Agregado[Custo])*Vendas[[#This Row],[Qnt Vendida]])</f>
        <v>48.600000000000023</v>
      </c>
      <c r="K2082" s="70">
        <f>Vendas[[#This Row],[Lucro da Venda]]/Vendas[[#This Row],[Valor da Venda]]</f>
        <v>0.13432835820895528</v>
      </c>
      <c r="L2082" s="3">
        <f>_xlfn.IFS(Vendas[[#This Row],[Margem de Lucro (%)]]&lt;15%,Vendas[[#This Row],[Valor da Venda]]*3%,Vendas[[#This Row],[Margem de Lucro (%)]]&lt;=20%,Vendas[[#This Row],[Valor da Venda]]*4.5%,TRUE,Vendas[[#This Row],[Valor da Venda]]*6%)</f>
        <v>10.853999999999999</v>
      </c>
      <c r="M2082"/>
    </row>
    <row r="2083" spans="1:13" x14ac:dyDescent="0.3">
      <c r="A2083" s="7">
        <v>400248</v>
      </c>
      <c r="B2083" t="str">
        <f>_xlfn.XLOOKUP(Vendas[[#This Row],[ID Vendedor]],Vendedores[ID],Vendedores[Nome])</f>
        <v>Patrícia</v>
      </c>
      <c r="C2083" s="7" t="str">
        <f>_xlfn.XLOOKUP(Vendas[[#This Row],[ID Vendedor]],Vendedores[ID],Vendedores[Setor])</f>
        <v>CM</v>
      </c>
      <c r="D2083" s="7" t="s">
        <v>43</v>
      </c>
      <c r="E2083" t="str">
        <f>_xlfn.XLOOKUP(Vendas[[#This Row],[ID Item Vendido]],Agregado[ID],Agregado[Produto])</f>
        <v>Madeira Bruta (Tora)</v>
      </c>
      <c r="F2083" s="39">
        <v>44879</v>
      </c>
      <c r="G2083" s="7">
        <v>12</v>
      </c>
      <c r="H2083" s="3">
        <f>_xlfn.XLOOKUP(Vendas[[#This Row],[ID Item Vendido]],Agregado[ID],Agregado[Revenda])</f>
        <v>212</v>
      </c>
      <c r="I2083" s="3">
        <f>Vendas[[#This Row],[Valor Unitário]]*Vendas[[#This Row],[Qnt Vendida]]</f>
        <v>2544</v>
      </c>
      <c r="J2083" s="3">
        <f>Vendas[[#This Row],[Valor da Venda]]-(_xlfn.XLOOKUP(Vendas[[#This Row],[ID Item Vendido]],Agregado[ID],Agregado[Custo])*Vendas[[#This Row],[Qnt Vendida]])</f>
        <v>384</v>
      </c>
      <c r="K2083" s="70">
        <f>Vendas[[#This Row],[Lucro da Venda]]/Vendas[[#This Row],[Valor da Venda]]</f>
        <v>0.15094339622641509</v>
      </c>
      <c r="L2083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2083"/>
    </row>
    <row r="2084" spans="1:13" x14ac:dyDescent="0.3">
      <c r="A2084" s="7">
        <v>400243</v>
      </c>
      <c r="B2084" t="str">
        <f>_xlfn.XLOOKUP(Vendas[[#This Row],[ID Vendedor]],Vendedores[ID],Vendedores[Nome])</f>
        <v>Marcelo</v>
      </c>
      <c r="C2084" s="7" t="str">
        <f>_xlfn.XLOOKUP(Vendas[[#This Row],[ID Vendedor]],Vendedores[ID],Vendedores[Setor])</f>
        <v>FM</v>
      </c>
      <c r="D2084" s="7" t="s">
        <v>47</v>
      </c>
      <c r="E2084" t="str">
        <f>_xlfn.XLOOKUP(Vendas[[#This Row],[ID Item Vendido]],Agregado[ID],Agregado[Produto])</f>
        <v>Fio de arame galvanizado rolo 50m</v>
      </c>
      <c r="F2084" s="39">
        <v>44879</v>
      </c>
      <c r="G2084" s="7">
        <v>3</v>
      </c>
      <c r="H2084" s="3">
        <f>_xlfn.XLOOKUP(Vendas[[#This Row],[ID Item Vendido]],Agregado[ID],Agregado[Revenda])</f>
        <v>21.2</v>
      </c>
      <c r="I2084" s="3">
        <f>Vendas[[#This Row],[Valor Unitário]]*Vendas[[#This Row],[Qnt Vendida]]</f>
        <v>63.599999999999994</v>
      </c>
      <c r="J2084" s="3">
        <f>Vendas[[#This Row],[Valor da Venda]]-(_xlfn.XLOOKUP(Vendas[[#This Row],[ID Item Vendido]],Agregado[ID],Agregado[Custo])*Vendas[[#This Row],[Qnt Vendida]])</f>
        <v>9.5999999999999943</v>
      </c>
      <c r="K2084" s="70">
        <f>Vendas[[#This Row],[Lucro da Venda]]/Vendas[[#This Row],[Valor da Venda]]</f>
        <v>0.15094339622641501</v>
      </c>
      <c r="L2084" s="3">
        <f>_xlfn.IFS(Vendas[[#This Row],[Margem de Lucro (%)]]&lt;15%,Vendas[[#This Row],[Valor da Venda]]*3%,Vendas[[#This Row],[Margem de Lucro (%)]]&lt;=20%,Vendas[[#This Row],[Valor da Venda]]*4.5%,TRUE,Vendas[[#This Row],[Valor da Venda]]*6%)</f>
        <v>2.8619999999999997</v>
      </c>
      <c r="M2084"/>
    </row>
    <row r="2085" spans="1:13" x14ac:dyDescent="0.3">
      <c r="A2085" s="7">
        <v>400249</v>
      </c>
      <c r="B2085" t="str">
        <f>_xlfn.XLOOKUP(Vendas[[#This Row],[ID Vendedor]],Vendedores[ID],Vendedores[Nome])</f>
        <v>Bruno</v>
      </c>
      <c r="C2085" s="7" t="str">
        <f>_xlfn.XLOOKUP(Vendas[[#This Row],[ID Vendedor]],Vendedores[ID],Vendedores[Setor])</f>
        <v>CM</v>
      </c>
      <c r="D2085" s="7" t="s">
        <v>22</v>
      </c>
      <c r="E2085" t="str">
        <f>_xlfn.XLOOKUP(Vendas[[#This Row],[ID Item Vendido]],Agregado[ID],Agregado[Produto])</f>
        <v>Painel MDP 2,75x1,83m</v>
      </c>
      <c r="F2085" s="39">
        <v>44880</v>
      </c>
      <c r="G2085" s="7">
        <v>10</v>
      </c>
      <c r="H2085" s="3">
        <f>_xlfn.XLOOKUP(Vendas[[#This Row],[ID Item Vendido]],Agregado[ID],Agregado[Revenda])</f>
        <v>119</v>
      </c>
      <c r="I2085" s="3">
        <f>Vendas[[#This Row],[Valor Unitário]]*Vendas[[#This Row],[Qnt Vendida]]</f>
        <v>1190</v>
      </c>
      <c r="J2085" s="3">
        <f>Vendas[[#This Row],[Valor da Venda]]-(_xlfn.XLOOKUP(Vendas[[#This Row],[ID Item Vendido]],Agregado[ID],Agregado[Custo])*Vendas[[#This Row],[Qnt Vendida]])</f>
        <v>240</v>
      </c>
      <c r="K2085" s="70">
        <f>Vendas[[#This Row],[Lucro da Venda]]/Vendas[[#This Row],[Valor da Venda]]</f>
        <v>0.20168067226890757</v>
      </c>
      <c r="L2085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2085"/>
    </row>
    <row r="2086" spans="1:13" x14ac:dyDescent="0.3">
      <c r="A2086" s="7">
        <v>400245</v>
      </c>
      <c r="B2086" t="str">
        <f>_xlfn.XLOOKUP(Vendas[[#This Row],[ID Vendedor]],Vendedores[ID],Vendedores[Nome])</f>
        <v>Thiago</v>
      </c>
      <c r="C2086" s="7" t="str">
        <f>_xlfn.XLOOKUP(Vendas[[#This Row],[ID Vendedor]],Vendedores[ID],Vendedores[Setor])</f>
        <v>AHD</v>
      </c>
      <c r="D2086" s="7" t="s">
        <v>28</v>
      </c>
      <c r="E2086" t="str">
        <f>_xlfn.XLOOKUP(Vendas[[#This Row],[ID Item Vendido]],Agregado[ID],Agregado[Produto])</f>
        <v>Peça usinada CNC</v>
      </c>
      <c r="F2086" s="39">
        <v>44880</v>
      </c>
      <c r="G2086" s="7">
        <v>3</v>
      </c>
      <c r="H2086" s="3">
        <f>_xlfn.XLOOKUP(Vendas[[#This Row],[ID Item Vendido]],Agregado[ID],Agregado[Revenda])</f>
        <v>192</v>
      </c>
      <c r="I2086" s="3">
        <f>Vendas[[#This Row],[Valor Unitário]]*Vendas[[#This Row],[Qnt Vendida]]</f>
        <v>576</v>
      </c>
      <c r="J2086" s="3">
        <f>Vendas[[#This Row],[Valor da Venda]]-(_xlfn.XLOOKUP(Vendas[[#This Row],[ID Item Vendido]],Agregado[ID],Agregado[Custo])*Vendas[[#This Row],[Qnt Vendida]])</f>
        <v>126</v>
      </c>
      <c r="K2086" s="70">
        <f>Vendas[[#This Row],[Lucro da Venda]]/Vendas[[#This Row],[Valor da Venda]]</f>
        <v>0.21875</v>
      </c>
      <c r="L2086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2086"/>
    </row>
    <row r="2087" spans="1:13" x14ac:dyDescent="0.3">
      <c r="A2087" s="7">
        <v>400253</v>
      </c>
      <c r="B2087" t="str">
        <f>_xlfn.XLOOKUP(Vendas[[#This Row],[ID Vendedor]],Vendedores[ID],Vendedores[Nome])</f>
        <v>Gustavo</v>
      </c>
      <c r="C2087" s="7" t="str">
        <f>_xlfn.XLOOKUP(Vendas[[#This Row],[ID Vendedor]],Vendedores[ID],Vendedores[Setor])</f>
        <v>SC</v>
      </c>
      <c r="D2087" s="7" t="s">
        <v>14</v>
      </c>
      <c r="E2087" t="str">
        <f>_xlfn.XLOOKUP(Vendas[[#This Row],[ID Item Vendido]],Agregado[ID],Agregado[Produto])</f>
        <v>Barril de plástico 200L</v>
      </c>
      <c r="F2087" s="39">
        <v>44881</v>
      </c>
      <c r="G2087" s="7">
        <v>16</v>
      </c>
      <c r="H2087" s="3">
        <f>_xlfn.XLOOKUP(Vendas[[#This Row],[ID Item Vendido]],Agregado[ID],Agregado[Revenda])</f>
        <v>114</v>
      </c>
      <c r="I2087" s="3">
        <f>Vendas[[#This Row],[Valor Unitário]]*Vendas[[#This Row],[Qnt Vendida]]</f>
        <v>1824</v>
      </c>
      <c r="J2087" s="3">
        <f>Vendas[[#This Row],[Valor da Venda]]-(_xlfn.XLOOKUP(Vendas[[#This Row],[ID Item Vendido]],Agregado[ID],Agregado[Custo])*Vendas[[#This Row],[Qnt Vendida]])</f>
        <v>304</v>
      </c>
      <c r="K2087" s="70">
        <f>Vendas[[#This Row],[Lucro da Venda]]/Vendas[[#This Row],[Valor da Venda]]</f>
        <v>0.16666666666666666</v>
      </c>
      <c r="L2087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2087"/>
    </row>
    <row r="2088" spans="1:13" x14ac:dyDescent="0.3">
      <c r="A2088" s="7">
        <v>400245</v>
      </c>
      <c r="B2088" t="str">
        <f>_xlfn.XLOOKUP(Vendas[[#This Row],[ID Vendedor]],Vendedores[ID],Vendedores[Nome])</f>
        <v>Thiago</v>
      </c>
      <c r="C2088" s="7" t="str">
        <f>_xlfn.XLOOKUP(Vendas[[#This Row],[ID Vendedor]],Vendedores[ID],Vendedores[Setor])</f>
        <v>AHD</v>
      </c>
      <c r="D2088" s="7" t="s">
        <v>18</v>
      </c>
      <c r="E2088" t="str">
        <f>_xlfn.XLOOKUP(Vendas[[#This Row],[ID Item Vendido]],Agregado[ID],Agregado[Produto])</f>
        <v>Peça forjada sob encomenda</v>
      </c>
      <c r="F2088" s="39">
        <v>44882</v>
      </c>
      <c r="G2088" s="7">
        <v>5</v>
      </c>
      <c r="H2088" s="3">
        <f>_xlfn.XLOOKUP(Vendas[[#This Row],[ID Item Vendido]],Agregado[ID],Agregado[Revenda])</f>
        <v>264.60000000000002</v>
      </c>
      <c r="I2088" s="3">
        <f>Vendas[[#This Row],[Valor Unitário]]*Vendas[[#This Row],[Qnt Vendida]]</f>
        <v>1323</v>
      </c>
      <c r="J2088" s="3">
        <f>Vendas[[#This Row],[Valor da Venda]]-(_xlfn.XLOOKUP(Vendas[[#This Row],[ID Item Vendido]],Agregado[ID],Agregado[Custo])*Vendas[[#This Row],[Qnt Vendida]])</f>
        <v>73</v>
      </c>
      <c r="K2088" s="70">
        <f>Vendas[[#This Row],[Lucro da Venda]]/Vendas[[#This Row],[Valor da Venda]]</f>
        <v>5.5177626606198037E-2</v>
      </c>
      <c r="L208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088"/>
    </row>
    <row r="2089" spans="1:13" x14ac:dyDescent="0.3">
      <c r="A2089" s="7">
        <v>400245</v>
      </c>
      <c r="B2089" t="str">
        <f>_xlfn.XLOOKUP(Vendas[[#This Row],[ID Vendedor]],Vendedores[ID],Vendedores[Nome])</f>
        <v>Thiago</v>
      </c>
      <c r="C2089" s="7" t="str">
        <f>_xlfn.XLOOKUP(Vendas[[#This Row],[ID Vendedor]],Vendedores[ID],Vendedores[Setor])</f>
        <v>AHD</v>
      </c>
      <c r="D2089" s="7" t="s">
        <v>18</v>
      </c>
      <c r="E2089" t="str">
        <f>_xlfn.XLOOKUP(Vendas[[#This Row],[ID Item Vendido]],Agregado[ID],Agregado[Produto])</f>
        <v>Peça forjada sob encomenda</v>
      </c>
      <c r="F2089" s="39">
        <v>44882</v>
      </c>
      <c r="G2089" s="7">
        <v>3</v>
      </c>
      <c r="H2089" s="3">
        <f>_xlfn.XLOOKUP(Vendas[[#This Row],[ID Item Vendido]],Agregado[ID],Agregado[Revenda])</f>
        <v>264.60000000000002</v>
      </c>
      <c r="I2089" s="3">
        <f>Vendas[[#This Row],[Valor Unitário]]*Vendas[[#This Row],[Qnt Vendida]]</f>
        <v>793.80000000000007</v>
      </c>
      <c r="J2089" s="3">
        <f>Vendas[[#This Row],[Valor da Venda]]-(_xlfn.XLOOKUP(Vendas[[#This Row],[ID Item Vendido]],Agregado[ID],Agregado[Custo])*Vendas[[#This Row],[Qnt Vendida]])</f>
        <v>43.800000000000068</v>
      </c>
      <c r="K2089" s="70">
        <f>Vendas[[#This Row],[Lucro da Venda]]/Vendas[[#This Row],[Valor da Venda]]</f>
        <v>5.5177626606198113E-2</v>
      </c>
      <c r="L208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089"/>
    </row>
    <row r="2090" spans="1:13" x14ac:dyDescent="0.3">
      <c r="A2090" s="7">
        <v>400241</v>
      </c>
      <c r="B2090" t="str">
        <f>_xlfn.XLOOKUP(Vendas[[#This Row],[ID Vendedor]],Vendedores[ID],Vendedores[Nome])</f>
        <v>Rodrigo</v>
      </c>
      <c r="C2090" s="7" t="str">
        <f>_xlfn.XLOOKUP(Vendas[[#This Row],[ID Vendedor]],Vendedores[ID],Vendedores[Setor])</f>
        <v>FM</v>
      </c>
      <c r="D2090" s="7" t="s">
        <v>27</v>
      </c>
      <c r="E2090" t="str">
        <f>_xlfn.XLOOKUP(Vendas[[#This Row],[ID Item Vendido]],Agregado[ID],Agregado[Produto])</f>
        <v>Chapa de metal lisa 1x2m</v>
      </c>
      <c r="F2090" s="39">
        <v>44882</v>
      </c>
      <c r="G2090" s="7">
        <v>8</v>
      </c>
      <c r="H2090" s="3">
        <f>_xlfn.XLOOKUP(Vendas[[#This Row],[ID Item Vendido]],Agregado[ID],Agregado[Revenda])</f>
        <v>52</v>
      </c>
      <c r="I2090" s="3">
        <f>Vendas[[#This Row],[Valor Unitário]]*Vendas[[#This Row],[Qnt Vendida]]</f>
        <v>416</v>
      </c>
      <c r="J2090" s="3">
        <f>Vendas[[#This Row],[Valor da Venda]]-(_xlfn.XLOOKUP(Vendas[[#This Row],[ID Item Vendido]],Agregado[ID],Agregado[Custo])*Vendas[[#This Row],[Qnt Vendida]])</f>
        <v>56</v>
      </c>
      <c r="K2090" s="70">
        <f>Vendas[[#This Row],[Lucro da Venda]]/Vendas[[#This Row],[Valor da Venda]]</f>
        <v>0.13461538461538461</v>
      </c>
      <c r="L2090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2090"/>
    </row>
    <row r="2091" spans="1:13" x14ac:dyDescent="0.3">
      <c r="A2091" s="7">
        <v>400253</v>
      </c>
      <c r="B2091" t="str">
        <f>_xlfn.XLOOKUP(Vendas[[#This Row],[ID Vendedor]],Vendedores[ID],Vendedores[Nome])</f>
        <v>Gustavo</v>
      </c>
      <c r="C2091" s="7" t="str">
        <f>_xlfn.XLOOKUP(Vendas[[#This Row],[ID Vendedor]],Vendedores[ID],Vendedores[Setor])</f>
        <v>SC</v>
      </c>
      <c r="D2091" s="7" t="s">
        <v>42</v>
      </c>
      <c r="E2091" t="str">
        <f>_xlfn.XLOOKUP(Vendas[[#This Row],[ID Item Vendido]],Agregado[ID],Agregado[Produto])</f>
        <v>Container de ferro industrial</v>
      </c>
      <c r="F2091" s="39">
        <v>44883</v>
      </c>
      <c r="G2091" s="7">
        <v>5</v>
      </c>
      <c r="H2091" s="3">
        <f>_xlfn.XLOOKUP(Vendas[[#This Row],[ID Item Vendido]],Agregado[ID],Agregado[Revenda])</f>
        <v>830</v>
      </c>
      <c r="I2091" s="3">
        <f>Vendas[[#This Row],[Valor Unitário]]*Vendas[[#This Row],[Qnt Vendida]]</f>
        <v>4150</v>
      </c>
      <c r="J2091" s="3">
        <f>Vendas[[#This Row],[Valor da Venda]]-(_xlfn.XLOOKUP(Vendas[[#This Row],[ID Item Vendido]],Agregado[ID],Agregado[Custo])*Vendas[[#This Row],[Qnt Vendida]])</f>
        <v>750</v>
      </c>
      <c r="K2091" s="70">
        <f>Vendas[[#This Row],[Lucro da Venda]]/Vendas[[#This Row],[Valor da Venda]]</f>
        <v>0.18072289156626506</v>
      </c>
      <c r="L209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091"/>
    </row>
    <row r="2092" spans="1:13" x14ac:dyDescent="0.3">
      <c r="A2092" s="7">
        <v>400244</v>
      </c>
      <c r="B2092" t="str">
        <f>_xlfn.XLOOKUP(Vendas[[#This Row],[ID Vendedor]],Vendedores[ID],Vendedores[Nome])</f>
        <v>Camila</v>
      </c>
      <c r="C2092" s="7" t="str">
        <f>_xlfn.XLOOKUP(Vendas[[#This Row],[ID Vendedor]],Vendedores[ID],Vendedores[Setor])</f>
        <v>AHD</v>
      </c>
      <c r="D2092" s="7" t="s">
        <v>18</v>
      </c>
      <c r="E2092" t="str">
        <f>_xlfn.XLOOKUP(Vendas[[#This Row],[ID Item Vendido]],Agregado[ID],Agregado[Produto])</f>
        <v>Peça forjada sob encomenda</v>
      </c>
      <c r="F2092" s="39">
        <v>44883</v>
      </c>
      <c r="G2092" s="7">
        <v>6</v>
      </c>
      <c r="H2092" s="3">
        <f>_xlfn.XLOOKUP(Vendas[[#This Row],[ID Item Vendido]],Agregado[ID],Agregado[Revenda])</f>
        <v>264.60000000000002</v>
      </c>
      <c r="I2092" s="3">
        <f>Vendas[[#This Row],[Valor Unitário]]*Vendas[[#This Row],[Qnt Vendida]]</f>
        <v>1587.6000000000001</v>
      </c>
      <c r="J2092" s="3">
        <f>Vendas[[#This Row],[Valor da Venda]]-(_xlfn.XLOOKUP(Vendas[[#This Row],[ID Item Vendido]],Agregado[ID],Agregado[Custo])*Vendas[[#This Row],[Qnt Vendida]])</f>
        <v>87.600000000000136</v>
      </c>
      <c r="K2092" s="70">
        <f>Vendas[[#This Row],[Lucro da Venda]]/Vendas[[#This Row],[Valor da Venda]]</f>
        <v>5.5177626606198113E-2</v>
      </c>
      <c r="L209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092"/>
    </row>
    <row r="2093" spans="1:13" x14ac:dyDescent="0.3">
      <c r="A2093" s="7">
        <v>400249</v>
      </c>
      <c r="B2093" t="str">
        <f>_xlfn.XLOOKUP(Vendas[[#This Row],[ID Vendedor]],Vendedores[ID],Vendedores[Nome])</f>
        <v>Bruno</v>
      </c>
      <c r="C2093" s="7" t="str">
        <f>_xlfn.XLOOKUP(Vendas[[#This Row],[ID Vendedor]],Vendedores[ID],Vendedores[Setor])</f>
        <v>CM</v>
      </c>
      <c r="D2093" s="7" t="s">
        <v>22</v>
      </c>
      <c r="E2093" t="str">
        <f>_xlfn.XLOOKUP(Vendas[[#This Row],[ID Item Vendido]],Agregado[ID],Agregado[Produto])</f>
        <v>Painel MDP 2,75x1,83m</v>
      </c>
      <c r="F2093" s="39">
        <v>44883</v>
      </c>
      <c r="G2093" s="7">
        <v>19</v>
      </c>
      <c r="H2093" s="3">
        <f>_xlfn.XLOOKUP(Vendas[[#This Row],[ID Item Vendido]],Agregado[ID],Agregado[Revenda])</f>
        <v>119</v>
      </c>
      <c r="I2093" s="3">
        <f>Vendas[[#This Row],[Valor Unitário]]*Vendas[[#This Row],[Qnt Vendida]]</f>
        <v>2261</v>
      </c>
      <c r="J2093" s="3">
        <f>Vendas[[#This Row],[Valor da Venda]]-(_xlfn.XLOOKUP(Vendas[[#This Row],[ID Item Vendido]],Agregado[ID],Agregado[Custo])*Vendas[[#This Row],[Qnt Vendida]])</f>
        <v>456</v>
      </c>
      <c r="K2093" s="70">
        <f>Vendas[[#This Row],[Lucro da Venda]]/Vendas[[#This Row],[Valor da Venda]]</f>
        <v>0.20168067226890757</v>
      </c>
      <c r="L2093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093"/>
    </row>
    <row r="2094" spans="1:13" x14ac:dyDescent="0.3">
      <c r="A2094" s="7">
        <v>400250</v>
      </c>
      <c r="B2094" t="str">
        <f>_xlfn.XLOOKUP(Vendas[[#This Row],[ID Vendedor]],Vendedores[ID],Vendedores[Nome])</f>
        <v>Larissa</v>
      </c>
      <c r="C2094" s="7" t="str">
        <f>_xlfn.XLOOKUP(Vendas[[#This Row],[ID Vendedor]],Vendedores[ID],Vendedores[Setor])</f>
        <v>AB</v>
      </c>
      <c r="D2094" s="7" t="s">
        <v>39</v>
      </c>
      <c r="E2094" t="str">
        <f>_xlfn.XLOOKUP(Vendas[[#This Row],[ID Item Vendido]],Agregado[ID],Agregado[Produto])</f>
        <v>Filme plástico industrial rolo 50m</v>
      </c>
      <c r="F2094" s="39">
        <v>44884</v>
      </c>
      <c r="G2094" s="7">
        <v>30</v>
      </c>
      <c r="H2094" s="3">
        <f>_xlfn.XLOOKUP(Vendas[[#This Row],[ID Item Vendido]],Agregado[ID],Agregado[Revenda])</f>
        <v>37</v>
      </c>
      <c r="I2094" s="3">
        <f>Vendas[[#This Row],[Valor Unitário]]*Vendas[[#This Row],[Qnt Vendida]]</f>
        <v>1110</v>
      </c>
      <c r="J2094" s="3">
        <f>Vendas[[#This Row],[Valor da Venda]]-(_xlfn.XLOOKUP(Vendas[[#This Row],[ID Item Vendido]],Agregado[ID],Agregado[Custo])*Vendas[[#This Row],[Qnt Vendida]])</f>
        <v>270</v>
      </c>
      <c r="K2094" s="70">
        <f>Vendas[[#This Row],[Lucro da Venda]]/Vendas[[#This Row],[Valor da Venda]]</f>
        <v>0.24324324324324326</v>
      </c>
      <c r="L2094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2094"/>
    </row>
    <row r="2095" spans="1:13" x14ac:dyDescent="0.3">
      <c r="A2095" s="7">
        <v>400249</v>
      </c>
      <c r="B2095" t="str">
        <f>_xlfn.XLOOKUP(Vendas[[#This Row],[ID Vendedor]],Vendedores[ID],Vendedores[Nome])</f>
        <v>Bruno</v>
      </c>
      <c r="C2095" s="7" t="str">
        <f>_xlfn.XLOOKUP(Vendas[[#This Row],[ID Vendedor]],Vendedores[ID],Vendedores[Setor])</f>
        <v>CM</v>
      </c>
      <c r="D2095" s="7" t="s">
        <v>32</v>
      </c>
      <c r="E2095" t="str">
        <f>_xlfn.XLOOKUP(Vendas[[#This Row],[ID Item Vendido]],Agregado[ID],Agregado[Produto])</f>
        <v>Tábua tratada e cortada 3m</v>
      </c>
      <c r="F2095" s="39">
        <v>44884</v>
      </c>
      <c r="G2095" s="7">
        <v>21</v>
      </c>
      <c r="H2095" s="3">
        <f>_xlfn.XLOOKUP(Vendas[[#This Row],[ID Item Vendido]],Agregado[ID],Agregado[Revenda])</f>
        <v>39</v>
      </c>
      <c r="I2095" s="3">
        <f>Vendas[[#This Row],[Valor Unitário]]*Vendas[[#This Row],[Qnt Vendida]]</f>
        <v>819</v>
      </c>
      <c r="J2095" s="3">
        <f>Vendas[[#This Row],[Valor da Venda]]-(_xlfn.XLOOKUP(Vendas[[#This Row],[ID Item Vendido]],Agregado[ID],Agregado[Custo])*Vendas[[#This Row],[Qnt Vendida]])</f>
        <v>147</v>
      </c>
      <c r="K2095" s="70">
        <f>Vendas[[#This Row],[Lucro da Venda]]/Vendas[[#This Row],[Valor da Venda]]</f>
        <v>0.17948717948717949</v>
      </c>
      <c r="L2095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2095"/>
    </row>
    <row r="2096" spans="1:13" x14ac:dyDescent="0.3">
      <c r="A2096" s="7">
        <v>400247</v>
      </c>
      <c r="B2096" t="str">
        <f>_xlfn.XLOOKUP(Vendas[[#This Row],[ID Vendedor]],Vendedores[ID],Vendedores[Nome])</f>
        <v>André</v>
      </c>
      <c r="C2096" s="7" t="str">
        <f>_xlfn.XLOOKUP(Vendas[[#This Row],[ID Vendedor]],Vendedores[ID],Vendedores[Setor])</f>
        <v>CM</v>
      </c>
      <c r="D2096" s="7" t="s">
        <v>32</v>
      </c>
      <c r="E2096" t="str">
        <f>_xlfn.XLOOKUP(Vendas[[#This Row],[ID Item Vendido]],Agregado[ID],Agregado[Produto])</f>
        <v>Tábua tratada e cortada 3m</v>
      </c>
      <c r="F2096" s="39">
        <v>44884</v>
      </c>
      <c r="G2096" s="7">
        <v>17</v>
      </c>
      <c r="H2096" s="3">
        <f>_xlfn.XLOOKUP(Vendas[[#This Row],[ID Item Vendido]],Agregado[ID],Agregado[Revenda])</f>
        <v>39</v>
      </c>
      <c r="I2096" s="3">
        <f>Vendas[[#This Row],[Valor Unitário]]*Vendas[[#This Row],[Qnt Vendida]]</f>
        <v>663</v>
      </c>
      <c r="J2096" s="3">
        <f>Vendas[[#This Row],[Valor da Venda]]-(_xlfn.XLOOKUP(Vendas[[#This Row],[ID Item Vendido]],Agregado[ID],Agregado[Custo])*Vendas[[#This Row],[Qnt Vendida]])</f>
        <v>119</v>
      </c>
      <c r="K2096" s="70">
        <f>Vendas[[#This Row],[Lucro da Venda]]/Vendas[[#This Row],[Valor da Venda]]</f>
        <v>0.17948717948717949</v>
      </c>
      <c r="L2096" s="3">
        <f>_xlfn.IFS(Vendas[[#This Row],[Margem de Lucro (%)]]&lt;15%,Vendas[[#This Row],[Valor da Venda]]*3%,Vendas[[#This Row],[Margem de Lucro (%)]]&lt;=20%,Vendas[[#This Row],[Valor da Venda]]*4.5%,TRUE,Vendas[[#This Row],[Valor da Venda]]*6%)</f>
        <v>29.834999999999997</v>
      </c>
      <c r="M2096"/>
    </row>
    <row r="2097" spans="1:13" x14ac:dyDescent="0.3">
      <c r="A2097" s="7">
        <v>400245</v>
      </c>
      <c r="B2097" t="str">
        <f>_xlfn.XLOOKUP(Vendas[[#This Row],[ID Vendedor]],Vendedores[ID],Vendedores[Nome])</f>
        <v>Thiago</v>
      </c>
      <c r="C2097" s="7" t="str">
        <f>_xlfn.XLOOKUP(Vendas[[#This Row],[ID Vendedor]],Vendedores[ID],Vendedores[Setor])</f>
        <v>AHD</v>
      </c>
      <c r="D2097" s="7" t="s">
        <v>44</v>
      </c>
      <c r="E2097" t="str">
        <f>_xlfn.XLOOKUP(Vendas[[#This Row],[ID Item Vendido]],Agregado[ID],Agregado[Produto])</f>
        <v>Liga metálica especial</v>
      </c>
      <c r="F2097" s="39">
        <v>44885</v>
      </c>
      <c r="G2097" s="7">
        <v>41</v>
      </c>
      <c r="H2097" s="3">
        <f>_xlfn.XLOOKUP(Vendas[[#This Row],[ID Item Vendido]],Agregado[ID],Agregado[Revenda])</f>
        <v>32.5</v>
      </c>
      <c r="I2097" s="3">
        <f>Vendas[[#This Row],[Valor Unitário]]*Vendas[[#This Row],[Qnt Vendida]]</f>
        <v>1332.5</v>
      </c>
      <c r="J2097" s="3">
        <f>Vendas[[#This Row],[Valor da Venda]]-(_xlfn.XLOOKUP(Vendas[[#This Row],[ID Item Vendido]],Agregado[ID],Agregado[Custo])*Vendas[[#This Row],[Qnt Vendida]])</f>
        <v>307.5</v>
      </c>
      <c r="K2097" s="70">
        <f>Vendas[[#This Row],[Lucro da Venda]]/Vendas[[#This Row],[Valor da Venda]]</f>
        <v>0.23076923076923078</v>
      </c>
      <c r="L2097" s="3">
        <f>_xlfn.IFS(Vendas[[#This Row],[Margem de Lucro (%)]]&lt;15%,Vendas[[#This Row],[Valor da Venda]]*3%,Vendas[[#This Row],[Margem de Lucro (%)]]&lt;=20%,Vendas[[#This Row],[Valor da Venda]]*4.5%,TRUE,Vendas[[#This Row],[Valor da Venda]]*6%)</f>
        <v>79.95</v>
      </c>
      <c r="M2097"/>
    </row>
    <row r="2098" spans="1:13" x14ac:dyDescent="0.3">
      <c r="A2098" s="7">
        <v>400251</v>
      </c>
      <c r="B2098" t="str">
        <f>_xlfn.XLOOKUP(Vendas[[#This Row],[ID Vendedor]],Vendedores[ID],Vendedores[Nome])</f>
        <v>Diego</v>
      </c>
      <c r="C2098" s="7" t="str">
        <f>_xlfn.XLOOKUP(Vendas[[#This Row],[ID Vendedor]],Vendedores[ID],Vendedores[Setor])</f>
        <v>AB</v>
      </c>
      <c r="D2098" s="7" t="s">
        <v>36</v>
      </c>
      <c r="E2098" t="str">
        <f>_xlfn.XLOOKUP(Vendas[[#This Row],[ID Item Vendido]],Agregado[ID],Agregado[Produto])</f>
        <v>Borracha vulcanizada em manta</v>
      </c>
      <c r="F2098" s="39">
        <v>44885</v>
      </c>
      <c r="G2098" s="7">
        <v>63</v>
      </c>
      <c r="H2098" s="3">
        <f>_xlfn.XLOOKUP(Vendas[[#This Row],[ID Item Vendido]],Agregado[ID],Agregado[Revenda])</f>
        <v>7.8</v>
      </c>
      <c r="I2098" s="3">
        <f>Vendas[[#This Row],[Valor Unitário]]*Vendas[[#This Row],[Qnt Vendida]]</f>
        <v>491.4</v>
      </c>
      <c r="J2098" s="3">
        <f>Vendas[[#This Row],[Valor da Venda]]-(_xlfn.XLOOKUP(Vendas[[#This Row],[ID Item Vendido]],Agregado[ID],Agregado[Custo])*Vendas[[#This Row],[Qnt Vendida]])</f>
        <v>113.39999999999998</v>
      </c>
      <c r="K2098" s="70">
        <f>Vendas[[#This Row],[Lucro da Venda]]/Vendas[[#This Row],[Valor da Venda]]</f>
        <v>0.23076923076923073</v>
      </c>
      <c r="L2098" s="3">
        <f>_xlfn.IFS(Vendas[[#This Row],[Margem de Lucro (%)]]&lt;15%,Vendas[[#This Row],[Valor da Venda]]*3%,Vendas[[#This Row],[Margem de Lucro (%)]]&lt;=20%,Vendas[[#This Row],[Valor da Venda]]*4.5%,TRUE,Vendas[[#This Row],[Valor da Venda]]*6%)</f>
        <v>29.483999999999998</v>
      </c>
      <c r="M2098"/>
    </row>
    <row r="2099" spans="1:13" x14ac:dyDescent="0.3">
      <c r="A2099" s="7">
        <v>400248</v>
      </c>
      <c r="B2099" t="str">
        <f>_xlfn.XLOOKUP(Vendas[[#This Row],[ID Vendedor]],Vendedores[ID],Vendedores[Nome])</f>
        <v>Patrícia</v>
      </c>
      <c r="C2099" s="7" t="str">
        <f>_xlfn.XLOOKUP(Vendas[[#This Row],[ID Vendedor]],Vendedores[ID],Vendedores[Setor])</f>
        <v>CM</v>
      </c>
      <c r="D2099" s="7" t="s">
        <v>32</v>
      </c>
      <c r="E2099" t="str">
        <f>_xlfn.XLOOKUP(Vendas[[#This Row],[ID Item Vendido]],Agregado[ID],Agregado[Produto])</f>
        <v>Tábua tratada e cortada 3m</v>
      </c>
      <c r="F2099" s="39">
        <v>44886</v>
      </c>
      <c r="G2099" s="7">
        <v>39</v>
      </c>
      <c r="H2099" s="3">
        <f>_xlfn.XLOOKUP(Vendas[[#This Row],[ID Item Vendido]],Agregado[ID],Agregado[Revenda])</f>
        <v>39</v>
      </c>
      <c r="I2099" s="3">
        <f>Vendas[[#This Row],[Valor Unitário]]*Vendas[[#This Row],[Qnt Vendida]]</f>
        <v>1521</v>
      </c>
      <c r="J2099" s="3">
        <f>Vendas[[#This Row],[Valor da Venda]]-(_xlfn.XLOOKUP(Vendas[[#This Row],[ID Item Vendido]],Agregado[ID],Agregado[Custo])*Vendas[[#This Row],[Qnt Vendida]])</f>
        <v>273</v>
      </c>
      <c r="K2099" s="70">
        <f>Vendas[[#This Row],[Lucro da Venda]]/Vendas[[#This Row],[Valor da Venda]]</f>
        <v>0.17948717948717949</v>
      </c>
      <c r="L2099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2099"/>
    </row>
    <row r="2100" spans="1:13" x14ac:dyDescent="0.3">
      <c r="A2100" s="7">
        <v>400251</v>
      </c>
      <c r="B2100" t="str">
        <f>_xlfn.XLOOKUP(Vendas[[#This Row],[ID Vendedor]],Vendedores[ID],Vendedores[Nome])</f>
        <v>Diego</v>
      </c>
      <c r="C2100" s="7" t="str">
        <f>_xlfn.XLOOKUP(Vendas[[#This Row],[ID Vendedor]],Vendedores[ID],Vendedores[Setor])</f>
        <v>AB</v>
      </c>
      <c r="D2100" s="7" t="s">
        <v>36</v>
      </c>
      <c r="E2100" t="str">
        <f>_xlfn.XLOOKUP(Vendas[[#This Row],[ID Item Vendido]],Agregado[ID],Agregado[Produto])</f>
        <v>Borracha vulcanizada em manta</v>
      </c>
      <c r="F2100" s="39">
        <v>44886</v>
      </c>
      <c r="G2100" s="7">
        <v>81</v>
      </c>
      <c r="H2100" s="3">
        <f>_xlfn.XLOOKUP(Vendas[[#This Row],[ID Item Vendido]],Agregado[ID],Agregado[Revenda])</f>
        <v>7.8</v>
      </c>
      <c r="I2100" s="3">
        <f>Vendas[[#This Row],[Valor Unitário]]*Vendas[[#This Row],[Qnt Vendida]]</f>
        <v>631.79999999999995</v>
      </c>
      <c r="J2100" s="3">
        <f>Vendas[[#This Row],[Valor da Venda]]-(_xlfn.XLOOKUP(Vendas[[#This Row],[ID Item Vendido]],Agregado[ID],Agregado[Custo])*Vendas[[#This Row],[Qnt Vendida]])</f>
        <v>145.79999999999995</v>
      </c>
      <c r="K2100" s="70">
        <f>Vendas[[#This Row],[Lucro da Venda]]/Vendas[[#This Row],[Valor da Venda]]</f>
        <v>0.23076923076923073</v>
      </c>
      <c r="L2100" s="3">
        <f>_xlfn.IFS(Vendas[[#This Row],[Margem de Lucro (%)]]&lt;15%,Vendas[[#This Row],[Valor da Venda]]*3%,Vendas[[#This Row],[Margem de Lucro (%)]]&lt;=20%,Vendas[[#This Row],[Valor da Venda]]*4.5%,TRUE,Vendas[[#This Row],[Valor da Venda]]*6%)</f>
        <v>37.907999999999994</v>
      </c>
      <c r="M2100"/>
    </row>
    <row r="2101" spans="1:13" x14ac:dyDescent="0.3">
      <c r="A2101" s="7">
        <v>400242</v>
      </c>
      <c r="B2101" t="str">
        <f>_xlfn.XLOOKUP(Vendas[[#This Row],[ID Vendedor]],Vendedores[ID],Vendedores[Nome])</f>
        <v>Fernanda</v>
      </c>
      <c r="C2101" s="7" t="str">
        <f>_xlfn.XLOOKUP(Vendas[[#This Row],[ID Vendedor]],Vendedores[ID],Vendedores[Setor])</f>
        <v>FM</v>
      </c>
      <c r="D2101" s="7" t="s">
        <v>47</v>
      </c>
      <c r="E2101" t="str">
        <f>_xlfn.XLOOKUP(Vendas[[#This Row],[ID Item Vendido]],Agregado[ID],Agregado[Produto])</f>
        <v>Fio de arame galvanizado rolo 50m</v>
      </c>
      <c r="F2101" s="39">
        <v>44887</v>
      </c>
      <c r="G2101" s="7">
        <v>34</v>
      </c>
      <c r="H2101" s="3">
        <f>_xlfn.XLOOKUP(Vendas[[#This Row],[ID Item Vendido]],Agregado[ID],Agregado[Revenda])</f>
        <v>21.2</v>
      </c>
      <c r="I2101" s="3">
        <f>Vendas[[#This Row],[Valor Unitário]]*Vendas[[#This Row],[Qnt Vendida]]</f>
        <v>720.8</v>
      </c>
      <c r="J2101" s="3">
        <f>Vendas[[#This Row],[Valor da Venda]]-(_xlfn.XLOOKUP(Vendas[[#This Row],[ID Item Vendido]],Agregado[ID],Agregado[Custo])*Vendas[[#This Row],[Qnt Vendida]])</f>
        <v>108.79999999999995</v>
      </c>
      <c r="K2101" s="70">
        <f>Vendas[[#This Row],[Lucro da Venda]]/Vendas[[#This Row],[Valor da Venda]]</f>
        <v>0.15094339622641503</v>
      </c>
      <c r="L2101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2101"/>
    </row>
    <row r="2102" spans="1:13" x14ac:dyDescent="0.3">
      <c r="A2102" s="7">
        <v>400255</v>
      </c>
      <c r="B2102" t="str">
        <f>_xlfn.XLOOKUP(Vendas[[#This Row],[ID Vendedor]],Vendedores[ID],Vendedores[Nome])</f>
        <v>Carlos</v>
      </c>
      <c r="C2102" s="7" t="str">
        <f>_xlfn.XLOOKUP(Vendas[[#This Row],[ID Vendedor]],Vendedores[ID],Vendedores[Setor])</f>
        <v>SC</v>
      </c>
      <c r="D2102" s="7" t="s">
        <v>14</v>
      </c>
      <c r="E2102" t="str">
        <f>_xlfn.XLOOKUP(Vendas[[#This Row],[ID Item Vendido]],Agregado[ID],Agregado[Produto])</f>
        <v>Barril de plástico 200L</v>
      </c>
      <c r="F2102" s="39">
        <v>44888</v>
      </c>
      <c r="G2102" s="7">
        <v>23</v>
      </c>
      <c r="H2102" s="3">
        <f>_xlfn.XLOOKUP(Vendas[[#This Row],[ID Item Vendido]],Agregado[ID],Agregado[Revenda])</f>
        <v>114</v>
      </c>
      <c r="I2102" s="3">
        <f>Vendas[[#This Row],[Valor Unitário]]*Vendas[[#This Row],[Qnt Vendida]]</f>
        <v>2622</v>
      </c>
      <c r="J2102" s="3">
        <f>Vendas[[#This Row],[Valor da Venda]]-(_xlfn.XLOOKUP(Vendas[[#This Row],[ID Item Vendido]],Agregado[ID],Agregado[Custo])*Vendas[[#This Row],[Qnt Vendida]])</f>
        <v>437</v>
      </c>
      <c r="K2102" s="70">
        <f>Vendas[[#This Row],[Lucro da Venda]]/Vendas[[#This Row],[Valor da Venda]]</f>
        <v>0.16666666666666666</v>
      </c>
      <c r="L2102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2102"/>
    </row>
    <row r="2103" spans="1:13" x14ac:dyDescent="0.3">
      <c r="A2103" s="7">
        <v>400247</v>
      </c>
      <c r="B2103" t="str">
        <f>_xlfn.XLOOKUP(Vendas[[#This Row],[ID Vendedor]],Vendedores[ID],Vendedores[Nome])</f>
        <v>André</v>
      </c>
      <c r="C2103" s="7" t="str">
        <f>_xlfn.XLOOKUP(Vendas[[#This Row],[ID Vendedor]],Vendedores[ID],Vendedores[Setor])</f>
        <v>CM</v>
      </c>
      <c r="D2103" s="7" t="s">
        <v>32</v>
      </c>
      <c r="E2103" t="str">
        <f>_xlfn.XLOOKUP(Vendas[[#This Row],[ID Item Vendido]],Agregado[ID],Agregado[Produto])</f>
        <v>Tábua tratada e cortada 3m</v>
      </c>
      <c r="F2103" s="39">
        <v>44888</v>
      </c>
      <c r="G2103" s="7">
        <v>43</v>
      </c>
      <c r="H2103" s="3">
        <f>_xlfn.XLOOKUP(Vendas[[#This Row],[ID Item Vendido]],Agregado[ID],Agregado[Revenda])</f>
        <v>39</v>
      </c>
      <c r="I2103" s="3">
        <f>Vendas[[#This Row],[Valor Unitário]]*Vendas[[#This Row],[Qnt Vendida]]</f>
        <v>1677</v>
      </c>
      <c r="J2103" s="3">
        <f>Vendas[[#This Row],[Valor da Venda]]-(_xlfn.XLOOKUP(Vendas[[#This Row],[ID Item Vendido]],Agregado[ID],Agregado[Custo])*Vendas[[#This Row],[Qnt Vendida]])</f>
        <v>301</v>
      </c>
      <c r="K2103" s="70">
        <f>Vendas[[#This Row],[Lucro da Venda]]/Vendas[[#This Row],[Valor da Venda]]</f>
        <v>0.17948717948717949</v>
      </c>
      <c r="L2103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2103"/>
    </row>
    <row r="2104" spans="1:13" x14ac:dyDescent="0.3">
      <c r="A2104" s="7">
        <v>400248</v>
      </c>
      <c r="B2104" t="str">
        <f>_xlfn.XLOOKUP(Vendas[[#This Row],[ID Vendedor]],Vendedores[ID],Vendedores[Nome])</f>
        <v>Patrícia</v>
      </c>
      <c r="C2104" s="7" t="str">
        <f>_xlfn.XLOOKUP(Vendas[[#This Row],[ID Vendedor]],Vendedores[ID],Vendedores[Setor])</f>
        <v>CM</v>
      </c>
      <c r="D2104" s="7" t="s">
        <v>22</v>
      </c>
      <c r="E2104" t="str">
        <f>_xlfn.XLOOKUP(Vendas[[#This Row],[ID Item Vendido]],Agregado[ID],Agregado[Produto])</f>
        <v>Painel MDP 2,75x1,83m</v>
      </c>
      <c r="F2104" s="39">
        <v>44888</v>
      </c>
      <c r="G2104" s="7">
        <v>7</v>
      </c>
      <c r="H2104" s="3">
        <f>_xlfn.XLOOKUP(Vendas[[#This Row],[ID Item Vendido]],Agregado[ID],Agregado[Revenda])</f>
        <v>119</v>
      </c>
      <c r="I2104" s="3">
        <f>Vendas[[#This Row],[Valor Unitário]]*Vendas[[#This Row],[Qnt Vendida]]</f>
        <v>833</v>
      </c>
      <c r="J2104" s="3">
        <f>Vendas[[#This Row],[Valor da Venda]]-(_xlfn.XLOOKUP(Vendas[[#This Row],[ID Item Vendido]],Agregado[ID],Agregado[Custo])*Vendas[[#This Row],[Qnt Vendida]])</f>
        <v>168</v>
      </c>
      <c r="K2104" s="70">
        <f>Vendas[[#This Row],[Lucro da Venda]]/Vendas[[#This Row],[Valor da Venda]]</f>
        <v>0.20168067226890757</v>
      </c>
      <c r="L2104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2104"/>
    </row>
    <row r="2105" spans="1:13" x14ac:dyDescent="0.3">
      <c r="A2105" s="7">
        <v>400242</v>
      </c>
      <c r="B2105" t="str">
        <f>_xlfn.XLOOKUP(Vendas[[#This Row],[ID Vendedor]],Vendedores[ID],Vendedores[Nome])</f>
        <v>Fernanda</v>
      </c>
      <c r="C2105" s="7" t="str">
        <f>_xlfn.XLOOKUP(Vendas[[#This Row],[ID Vendedor]],Vendedores[ID],Vendedores[Setor])</f>
        <v>FM</v>
      </c>
      <c r="D2105" s="7" t="s">
        <v>47</v>
      </c>
      <c r="E2105" t="str">
        <f>_xlfn.XLOOKUP(Vendas[[#This Row],[ID Item Vendido]],Agregado[ID],Agregado[Produto])</f>
        <v>Fio de arame galvanizado rolo 50m</v>
      </c>
      <c r="F2105" s="39">
        <v>44888</v>
      </c>
      <c r="G2105" s="7">
        <v>30</v>
      </c>
      <c r="H2105" s="3">
        <f>_xlfn.XLOOKUP(Vendas[[#This Row],[ID Item Vendido]],Agregado[ID],Agregado[Revenda])</f>
        <v>21.2</v>
      </c>
      <c r="I2105" s="3">
        <f>Vendas[[#This Row],[Valor Unitário]]*Vendas[[#This Row],[Qnt Vendida]]</f>
        <v>636</v>
      </c>
      <c r="J2105" s="3">
        <f>Vendas[[#This Row],[Valor da Venda]]-(_xlfn.XLOOKUP(Vendas[[#This Row],[ID Item Vendido]],Agregado[ID],Agregado[Custo])*Vendas[[#This Row],[Qnt Vendida]])</f>
        <v>96</v>
      </c>
      <c r="K2105" s="70">
        <f>Vendas[[#This Row],[Lucro da Venda]]/Vendas[[#This Row],[Valor da Venda]]</f>
        <v>0.15094339622641509</v>
      </c>
      <c r="L2105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2105"/>
    </row>
    <row r="2106" spans="1:13" x14ac:dyDescent="0.3">
      <c r="A2106" s="7">
        <v>400247</v>
      </c>
      <c r="B2106" t="str">
        <f>_xlfn.XLOOKUP(Vendas[[#This Row],[ID Vendedor]],Vendedores[ID],Vendedores[Nome])</f>
        <v>André</v>
      </c>
      <c r="C2106" s="7" t="str">
        <f>_xlfn.XLOOKUP(Vendas[[#This Row],[ID Vendedor]],Vendedores[ID],Vendedores[Setor])</f>
        <v>CM</v>
      </c>
      <c r="D2106" s="7" t="s">
        <v>34</v>
      </c>
      <c r="E2106" t="str">
        <f>_xlfn.XLOOKUP(Vendas[[#This Row],[ID Item Vendido]],Agregado[ID],Agregado[Produto])</f>
        <v>Restos de madeira p/ MDP/OSB saco de 20kg</v>
      </c>
      <c r="F2106" s="39">
        <v>44888</v>
      </c>
      <c r="G2106" s="7">
        <v>11</v>
      </c>
      <c r="H2106" s="3">
        <f>_xlfn.XLOOKUP(Vendas[[#This Row],[ID Item Vendido]],Agregado[ID],Agregado[Revenda])</f>
        <v>13.8</v>
      </c>
      <c r="I2106" s="3">
        <f>Vendas[[#This Row],[Valor Unitário]]*Vendas[[#This Row],[Qnt Vendida]]</f>
        <v>151.80000000000001</v>
      </c>
      <c r="J2106" s="3">
        <f>Vendas[[#This Row],[Valor da Venda]]-(_xlfn.XLOOKUP(Vendas[[#This Row],[ID Item Vendido]],Agregado[ID],Agregado[Custo])*Vendas[[#This Row],[Qnt Vendida]])</f>
        <v>19.800000000000011</v>
      </c>
      <c r="K2106" s="70">
        <f>Vendas[[#This Row],[Lucro da Venda]]/Vendas[[#This Row],[Valor da Venda]]</f>
        <v>0.1304347826086957</v>
      </c>
      <c r="L2106" s="3">
        <f>_xlfn.IFS(Vendas[[#This Row],[Margem de Lucro (%)]]&lt;15%,Vendas[[#This Row],[Valor da Venda]]*3%,Vendas[[#This Row],[Margem de Lucro (%)]]&lt;=20%,Vendas[[#This Row],[Valor da Venda]]*4.5%,TRUE,Vendas[[#This Row],[Valor da Venda]]*6%)</f>
        <v>4.5540000000000003</v>
      </c>
      <c r="M2106"/>
    </row>
    <row r="2107" spans="1:13" x14ac:dyDescent="0.3">
      <c r="A2107" s="7">
        <v>400247</v>
      </c>
      <c r="B2107" t="str">
        <f>_xlfn.XLOOKUP(Vendas[[#This Row],[ID Vendedor]],Vendedores[ID],Vendedores[Nome])</f>
        <v>André</v>
      </c>
      <c r="C2107" s="7" t="str">
        <f>_xlfn.XLOOKUP(Vendas[[#This Row],[ID Vendedor]],Vendedores[ID],Vendedores[Setor])</f>
        <v>CM</v>
      </c>
      <c r="D2107" s="7" t="s">
        <v>22</v>
      </c>
      <c r="E2107" t="str">
        <f>_xlfn.XLOOKUP(Vendas[[#This Row],[ID Item Vendido]],Agregado[ID],Agregado[Produto])</f>
        <v>Painel MDP 2,75x1,83m</v>
      </c>
      <c r="F2107" s="39">
        <v>44889</v>
      </c>
      <c r="G2107" s="7">
        <v>15</v>
      </c>
      <c r="H2107" s="3">
        <f>_xlfn.XLOOKUP(Vendas[[#This Row],[ID Item Vendido]],Agregado[ID],Agregado[Revenda])</f>
        <v>119</v>
      </c>
      <c r="I2107" s="3">
        <f>Vendas[[#This Row],[Valor Unitário]]*Vendas[[#This Row],[Qnt Vendida]]</f>
        <v>1785</v>
      </c>
      <c r="J2107" s="3">
        <f>Vendas[[#This Row],[Valor da Venda]]-(_xlfn.XLOOKUP(Vendas[[#This Row],[ID Item Vendido]],Agregado[ID],Agregado[Custo])*Vendas[[#This Row],[Qnt Vendida]])</f>
        <v>360</v>
      </c>
      <c r="K2107" s="70">
        <f>Vendas[[#This Row],[Lucro da Venda]]/Vendas[[#This Row],[Valor da Venda]]</f>
        <v>0.20168067226890757</v>
      </c>
      <c r="L2107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2107"/>
    </row>
    <row r="2108" spans="1:13" x14ac:dyDescent="0.3">
      <c r="A2108" s="7">
        <v>400244</v>
      </c>
      <c r="B2108" t="str">
        <f>_xlfn.XLOOKUP(Vendas[[#This Row],[ID Vendedor]],Vendedores[ID],Vendedores[Nome])</f>
        <v>Camila</v>
      </c>
      <c r="C2108" s="7" t="str">
        <f>_xlfn.XLOOKUP(Vendas[[#This Row],[ID Vendedor]],Vendedores[ID],Vendedores[Setor])</f>
        <v>AHD</v>
      </c>
      <c r="D2108" s="7" t="s">
        <v>44</v>
      </c>
      <c r="E2108" t="str">
        <f>_xlfn.XLOOKUP(Vendas[[#This Row],[ID Item Vendido]],Agregado[ID],Agregado[Produto])</f>
        <v>Liga metálica especial</v>
      </c>
      <c r="F2108" s="39">
        <v>44889</v>
      </c>
      <c r="G2108" s="7">
        <v>49</v>
      </c>
      <c r="H2108" s="3">
        <f>_xlfn.XLOOKUP(Vendas[[#This Row],[ID Item Vendido]],Agregado[ID],Agregado[Revenda])</f>
        <v>32.5</v>
      </c>
      <c r="I2108" s="3">
        <f>Vendas[[#This Row],[Valor Unitário]]*Vendas[[#This Row],[Qnt Vendida]]</f>
        <v>1592.5</v>
      </c>
      <c r="J2108" s="3">
        <f>Vendas[[#This Row],[Valor da Venda]]-(_xlfn.XLOOKUP(Vendas[[#This Row],[ID Item Vendido]],Agregado[ID],Agregado[Custo])*Vendas[[#This Row],[Qnt Vendida]])</f>
        <v>367.5</v>
      </c>
      <c r="K2108" s="70">
        <f>Vendas[[#This Row],[Lucro da Venda]]/Vendas[[#This Row],[Valor da Venda]]</f>
        <v>0.23076923076923078</v>
      </c>
      <c r="L2108" s="3">
        <f>_xlfn.IFS(Vendas[[#This Row],[Margem de Lucro (%)]]&lt;15%,Vendas[[#This Row],[Valor da Venda]]*3%,Vendas[[#This Row],[Margem de Lucro (%)]]&lt;=20%,Vendas[[#This Row],[Valor da Venda]]*4.5%,TRUE,Vendas[[#This Row],[Valor da Venda]]*6%)</f>
        <v>95.55</v>
      </c>
      <c r="M2108"/>
    </row>
    <row r="2109" spans="1:13" x14ac:dyDescent="0.3">
      <c r="A2109" s="7">
        <v>400250</v>
      </c>
      <c r="B2109" t="str">
        <f>_xlfn.XLOOKUP(Vendas[[#This Row],[ID Vendedor]],Vendedores[ID],Vendedores[Nome])</f>
        <v>Larissa</v>
      </c>
      <c r="C2109" s="7" t="str">
        <f>_xlfn.XLOOKUP(Vendas[[#This Row],[ID Vendedor]],Vendedores[ID],Vendedores[Setor])</f>
        <v>AB</v>
      </c>
      <c r="D2109" s="7" t="s">
        <v>12</v>
      </c>
      <c r="E2109" t="str">
        <f>_xlfn.XLOOKUP(Vendas[[#This Row],[ID Item Vendido]],Agregado[ID],Agregado[Produto])</f>
        <v>Grânulo de plástico reciclado refinado</v>
      </c>
      <c r="F2109" s="39">
        <v>44889</v>
      </c>
      <c r="G2109" s="7">
        <v>108</v>
      </c>
      <c r="H2109" s="3">
        <f>_xlfn.XLOOKUP(Vendas[[#This Row],[ID Item Vendido]],Agregado[ID],Agregado[Revenda])</f>
        <v>4.7</v>
      </c>
      <c r="I2109" s="3">
        <f>Vendas[[#This Row],[Valor Unitário]]*Vendas[[#This Row],[Qnt Vendida]]</f>
        <v>507.6</v>
      </c>
      <c r="J2109" s="3">
        <f>Vendas[[#This Row],[Valor da Venda]]-(_xlfn.XLOOKUP(Vendas[[#This Row],[ID Item Vendido]],Agregado[ID],Agregado[Custo])*Vendas[[#This Row],[Qnt Vendida]])</f>
        <v>129.60000000000002</v>
      </c>
      <c r="K2109" s="70">
        <f>Vendas[[#This Row],[Lucro da Venda]]/Vendas[[#This Row],[Valor da Venda]]</f>
        <v>0.25531914893617025</v>
      </c>
      <c r="L2109" s="3">
        <f>_xlfn.IFS(Vendas[[#This Row],[Margem de Lucro (%)]]&lt;15%,Vendas[[#This Row],[Valor da Venda]]*3%,Vendas[[#This Row],[Margem de Lucro (%)]]&lt;=20%,Vendas[[#This Row],[Valor da Venda]]*4.5%,TRUE,Vendas[[#This Row],[Valor da Venda]]*6%)</f>
        <v>30.456</v>
      </c>
      <c r="M2109"/>
    </row>
    <row r="2110" spans="1:13" x14ac:dyDescent="0.3">
      <c r="A2110" s="7">
        <v>400244</v>
      </c>
      <c r="B2110" t="str">
        <f>_xlfn.XLOOKUP(Vendas[[#This Row],[ID Vendedor]],Vendedores[ID],Vendedores[Nome])</f>
        <v>Camila</v>
      </c>
      <c r="C2110" s="7" t="str">
        <f>_xlfn.XLOOKUP(Vendas[[#This Row],[ID Vendedor]],Vendedores[ID],Vendedores[Setor])</f>
        <v>AHD</v>
      </c>
      <c r="D2110" s="7" t="s">
        <v>9</v>
      </c>
      <c r="E2110" t="str">
        <f>_xlfn.XLOOKUP(Vendas[[#This Row],[ID Item Vendido]],Agregado[ID],Agregado[Produto])</f>
        <v>Barra de aço simples</v>
      </c>
      <c r="F2110" s="39">
        <v>44889</v>
      </c>
      <c r="G2110" s="7">
        <v>45</v>
      </c>
      <c r="H2110" s="3">
        <f>_xlfn.XLOOKUP(Vendas[[#This Row],[ID Item Vendido]],Agregado[ID],Agregado[Revenda])</f>
        <v>6.7</v>
      </c>
      <c r="I2110" s="3">
        <f>Vendas[[#This Row],[Valor Unitário]]*Vendas[[#This Row],[Qnt Vendida]]</f>
        <v>301.5</v>
      </c>
      <c r="J2110" s="3">
        <f>Vendas[[#This Row],[Valor da Venda]]-(_xlfn.XLOOKUP(Vendas[[#This Row],[ID Item Vendido]],Agregado[ID],Agregado[Custo])*Vendas[[#This Row],[Qnt Vendida]])</f>
        <v>40.5</v>
      </c>
      <c r="K2110" s="70">
        <f>Vendas[[#This Row],[Lucro da Venda]]/Vendas[[#This Row],[Valor da Venda]]</f>
        <v>0.13432835820895522</v>
      </c>
      <c r="L2110" s="3">
        <f>_xlfn.IFS(Vendas[[#This Row],[Margem de Lucro (%)]]&lt;15%,Vendas[[#This Row],[Valor da Venda]]*3%,Vendas[[#This Row],[Margem de Lucro (%)]]&lt;=20%,Vendas[[#This Row],[Valor da Venda]]*4.5%,TRUE,Vendas[[#This Row],[Valor da Venda]]*6%)</f>
        <v>9.0449999999999999</v>
      </c>
      <c r="M2110"/>
    </row>
    <row r="2111" spans="1:13" x14ac:dyDescent="0.3">
      <c r="A2111" s="7">
        <v>400255</v>
      </c>
      <c r="B2111" t="str">
        <f>_xlfn.XLOOKUP(Vendas[[#This Row],[ID Vendedor]],Vendedores[ID],Vendedores[Nome])</f>
        <v>Carlos</v>
      </c>
      <c r="C2111" s="7" t="str">
        <f>_xlfn.XLOOKUP(Vendas[[#This Row],[ID Vendedor]],Vendedores[ID],Vendedores[Setor])</f>
        <v>SC</v>
      </c>
      <c r="D2111" s="7" t="s">
        <v>14</v>
      </c>
      <c r="E2111" t="str">
        <f>_xlfn.XLOOKUP(Vendas[[#This Row],[ID Item Vendido]],Agregado[ID],Agregado[Produto])</f>
        <v>Barril de plástico 200L</v>
      </c>
      <c r="F2111" s="39">
        <v>44890</v>
      </c>
      <c r="G2111" s="7">
        <v>21</v>
      </c>
      <c r="H2111" s="3">
        <f>_xlfn.XLOOKUP(Vendas[[#This Row],[ID Item Vendido]],Agregado[ID],Agregado[Revenda])</f>
        <v>114</v>
      </c>
      <c r="I2111" s="3">
        <f>Vendas[[#This Row],[Valor Unitário]]*Vendas[[#This Row],[Qnt Vendida]]</f>
        <v>2394</v>
      </c>
      <c r="J2111" s="3">
        <f>Vendas[[#This Row],[Valor da Venda]]-(_xlfn.XLOOKUP(Vendas[[#This Row],[ID Item Vendido]],Agregado[ID],Agregado[Custo])*Vendas[[#This Row],[Qnt Vendida]])</f>
        <v>399</v>
      </c>
      <c r="K2111" s="70">
        <f>Vendas[[#This Row],[Lucro da Venda]]/Vendas[[#This Row],[Valor da Venda]]</f>
        <v>0.16666666666666666</v>
      </c>
      <c r="L2111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2111"/>
    </row>
    <row r="2112" spans="1:13" x14ac:dyDescent="0.3">
      <c r="A2112" s="7">
        <v>400253</v>
      </c>
      <c r="B2112" t="str">
        <f>_xlfn.XLOOKUP(Vendas[[#This Row],[ID Vendedor]],Vendedores[ID],Vendedores[Nome])</f>
        <v>Gustavo</v>
      </c>
      <c r="C2112" s="7" t="str">
        <f>_xlfn.XLOOKUP(Vendas[[#This Row],[ID Vendedor]],Vendedores[ID],Vendedores[Setor])</f>
        <v>SC</v>
      </c>
      <c r="D2112" s="7" t="s">
        <v>14</v>
      </c>
      <c r="E2112" t="str">
        <f>_xlfn.XLOOKUP(Vendas[[#This Row],[ID Item Vendido]],Agregado[ID],Agregado[Produto])</f>
        <v>Barril de plástico 200L</v>
      </c>
      <c r="F2112" s="39">
        <v>44890</v>
      </c>
      <c r="G2112" s="7">
        <v>18</v>
      </c>
      <c r="H2112" s="3">
        <f>_xlfn.XLOOKUP(Vendas[[#This Row],[ID Item Vendido]],Agregado[ID],Agregado[Revenda])</f>
        <v>114</v>
      </c>
      <c r="I2112" s="3">
        <f>Vendas[[#This Row],[Valor Unitário]]*Vendas[[#This Row],[Qnt Vendida]]</f>
        <v>2052</v>
      </c>
      <c r="J2112" s="3">
        <f>Vendas[[#This Row],[Valor da Venda]]-(_xlfn.XLOOKUP(Vendas[[#This Row],[ID Item Vendido]],Agregado[ID],Agregado[Custo])*Vendas[[#This Row],[Qnt Vendida]])</f>
        <v>342</v>
      </c>
      <c r="K2112" s="70">
        <f>Vendas[[#This Row],[Lucro da Venda]]/Vendas[[#This Row],[Valor da Venda]]</f>
        <v>0.16666666666666666</v>
      </c>
      <c r="L2112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2112"/>
    </row>
    <row r="2113" spans="1:13" x14ac:dyDescent="0.3">
      <c r="A2113" s="7">
        <v>400247</v>
      </c>
      <c r="B2113" t="str">
        <f>_xlfn.XLOOKUP(Vendas[[#This Row],[ID Vendedor]],Vendedores[ID],Vendedores[Nome])</f>
        <v>André</v>
      </c>
      <c r="C2113" s="7" t="str">
        <f>_xlfn.XLOOKUP(Vendas[[#This Row],[ID Vendedor]],Vendedores[ID],Vendedores[Setor])</f>
        <v>CM</v>
      </c>
      <c r="D2113" s="7" t="s">
        <v>22</v>
      </c>
      <c r="E2113" t="str">
        <f>_xlfn.XLOOKUP(Vendas[[#This Row],[ID Item Vendido]],Agregado[ID],Agregado[Produto])</f>
        <v>Painel MDP 2,75x1,83m</v>
      </c>
      <c r="F2113" s="39">
        <v>44890</v>
      </c>
      <c r="G2113" s="7">
        <v>12</v>
      </c>
      <c r="H2113" s="3">
        <f>_xlfn.XLOOKUP(Vendas[[#This Row],[ID Item Vendido]],Agregado[ID],Agregado[Revenda])</f>
        <v>119</v>
      </c>
      <c r="I2113" s="3">
        <f>Vendas[[#This Row],[Valor Unitário]]*Vendas[[#This Row],[Qnt Vendida]]</f>
        <v>1428</v>
      </c>
      <c r="J2113" s="3">
        <f>Vendas[[#This Row],[Valor da Venda]]-(_xlfn.XLOOKUP(Vendas[[#This Row],[ID Item Vendido]],Agregado[ID],Agregado[Custo])*Vendas[[#This Row],[Qnt Vendida]])</f>
        <v>288</v>
      </c>
      <c r="K2113" s="70">
        <f>Vendas[[#This Row],[Lucro da Venda]]/Vendas[[#This Row],[Valor da Venda]]</f>
        <v>0.20168067226890757</v>
      </c>
      <c r="L2113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2113"/>
    </row>
    <row r="2114" spans="1:13" x14ac:dyDescent="0.3">
      <c r="A2114" s="7">
        <v>400245</v>
      </c>
      <c r="B2114" t="str">
        <f>_xlfn.XLOOKUP(Vendas[[#This Row],[ID Vendedor]],Vendedores[ID],Vendedores[Nome])</f>
        <v>Thiago</v>
      </c>
      <c r="C2114" s="7" t="str">
        <f>_xlfn.XLOOKUP(Vendas[[#This Row],[ID Vendedor]],Vendedores[ID],Vendedores[Setor])</f>
        <v>AHD</v>
      </c>
      <c r="D2114" s="7" t="s">
        <v>28</v>
      </c>
      <c r="E2114" t="str">
        <f>_xlfn.XLOOKUP(Vendas[[#This Row],[ID Item Vendido]],Agregado[ID],Agregado[Produto])</f>
        <v>Peça usinada CNC</v>
      </c>
      <c r="F2114" s="39">
        <v>44890</v>
      </c>
      <c r="G2114" s="7">
        <v>7</v>
      </c>
      <c r="H2114" s="3">
        <f>_xlfn.XLOOKUP(Vendas[[#This Row],[ID Item Vendido]],Agregado[ID],Agregado[Revenda])</f>
        <v>192</v>
      </c>
      <c r="I2114" s="3">
        <f>Vendas[[#This Row],[Valor Unitário]]*Vendas[[#This Row],[Qnt Vendida]]</f>
        <v>1344</v>
      </c>
      <c r="J2114" s="3">
        <f>Vendas[[#This Row],[Valor da Venda]]-(_xlfn.XLOOKUP(Vendas[[#This Row],[ID Item Vendido]],Agregado[ID],Agregado[Custo])*Vendas[[#This Row],[Qnt Vendida]])</f>
        <v>294</v>
      </c>
      <c r="K2114" s="70">
        <f>Vendas[[#This Row],[Lucro da Venda]]/Vendas[[#This Row],[Valor da Venda]]</f>
        <v>0.21875</v>
      </c>
      <c r="L2114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2114"/>
    </row>
    <row r="2115" spans="1:13" x14ac:dyDescent="0.3">
      <c r="A2115" s="7">
        <v>400251</v>
      </c>
      <c r="B2115" t="str">
        <f>_xlfn.XLOOKUP(Vendas[[#This Row],[ID Vendedor]],Vendedores[ID],Vendedores[Nome])</f>
        <v>Diego</v>
      </c>
      <c r="C2115" s="7" t="str">
        <f>_xlfn.XLOOKUP(Vendas[[#This Row],[ID Vendedor]],Vendedores[ID],Vendedores[Setor])</f>
        <v>AB</v>
      </c>
      <c r="D2115" s="7" t="s">
        <v>36</v>
      </c>
      <c r="E2115" t="str">
        <f>_xlfn.XLOOKUP(Vendas[[#This Row],[ID Item Vendido]],Agregado[ID],Agregado[Produto])</f>
        <v>Borracha vulcanizada em manta</v>
      </c>
      <c r="F2115" s="39">
        <v>44890</v>
      </c>
      <c r="G2115" s="7">
        <v>82</v>
      </c>
      <c r="H2115" s="3">
        <f>_xlfn.XLOOKUP(Vendas[[#This Row],[ID Item Vendido]],Agregado[ID],Agregado[Revenda])</f>
        <v>7.8</v>
      </c>
      <c r="I2115" s="3">
        <f>Vendas[[#This Row],[Valor Unitário]]*Vendas[[#This Row],[Qnt Vendida]]</f>
        <v>639.6</v>
      </c>
      <c r="J2115" s="3">
        <f>Vendas[[#This Row],[Valor da Venda]]-(_xlfn.XLOOKUP(Vendas[[#This Row],[ID Item Vendido]],Agregado[ID],Agregado[Custo])*Vendas[[#This Row],[Qnt Vendida]])</f>
        <v>147.60000000000002</v>
      </c>
      <c r="K2115" s="70">
        <f>Vendas[[#This Row],[Lucro da Venda]]/Vendas[[#This Row],[Valor da Venda]]</f>
        <v>0.23076923076923081</v>
      </c>
      <c r="L2115" s="3">
        <f>_xlfn.IFS(Vendas[[#This Row],[Margem de Lucro (%)]]&lt;15%,Vendas[[#This Row],[Valor da Venda]]*3%,Vendas[[#This Row],[Margem de Lucro (%)]]&lt;=20%,Vendas[[#This Row],[Valor da Venda]]*4.5%,TRUE,Vendas[[#This Row],[Valor da Venda]]*6%)</f>
        <v>38.375999999999998</v>
      </c>
      <c r="M2115"/>
    </row>
    <row r="2116" spans="1:13" x14ac:dyDescent="0.3">
      <c r="A2116" s="7">
        <v>400250</v>
      </c>
      <c r="B2116" t="str">
        <f>_xlfn.XLOOKUP(Vendas[[#This Row],[ID Vendedor]],Vendedores[ID],Vendedores[Nome])</f>
        <v>Larissa</v>
      </c>
      <c r="C2116" s="7" t="str">
        <f>_xlfn.XLOOKUP(Vendas[[#This Row],[ID Vendedor]],Vendedores[ID],Vendedores[Setor])</f>
        <v>AB</v>
      </c>
      <c r="D2116" s="7" t="s">
        <v>39</v>
      </c>
      <c r="E2116" t="str">
        <f>_xlfn.XLOOKUP(Vendas[[#This Row],[ID Item Vendido]],Agregado[ID],Agregado[Produto])</f>
        <v>Filme plástico industrial rolo 50m</v>
      </c>
      <c r="F2116" s="39">
        <v>44890</v>
      </c>
      <c r="G2116" s="7">
        <v>16</v>
      </c>
      <c r="H2116" s="3">
        <f>_xlfn.XLOOKUP(Vendas[[#This Row],[ID Item Vendido]],Agregado[ID],Agregado[Revenda])</f>
        <v>37</v>
      </c>
      <c r="I2116" s="3">
        <f>Vendas[[#This Row],[Valor Unitário]]*Vendas[[#This Row],[Qnt Vendida]]</f>
        <v>592</v>
      </c>
      <c r="J2116" s="3">
        <f>Vendas[[#This Row],[Valor da Venda]]-(_xlfn.XLOOKUP(Vendas[[#This Row],[ID Item Vendido]],Agregado[ID],Agregado[Custo])*Vendas[[#This Row],[Qnt Vendida]])</f>
        <v>144</v>
      </c>
      <c r="K2116" s="70">
        <f>Vendas[[#This Row],[Lucro da Venda]]/Vendas[[#This Row],[Valor da Venda]]</f>
        <v>0.24324324324324326</v>
      </c>
      <c r="L2116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2116"/>
    </row>
    <row r="2117" spans="1:13" x14ac:dyDescent="0.3">
      <c r="A2117" s="7">
        <v>400251</v>
      </c>
      <c r="B2117" t="str">
        <f>_xlfn.XLOOKUP(Vendas[[#This Row],[ID Vendedor]],Vendedores[ID],Vendedores[Nome])</f>
        <v>Diego</v>
      </c>
      <c r="C2117" s="7" t="str">
        <f>_xlfn.XLOOKUP(Vendas[[#This Row],[ID Vendedor]],Vendedores[ID],Vendedores[Setor])</f>
        <v>AB</v>
      </c>
      <c r="D2117" s="7" t="s">
        <v>37</v>
      </c>
      <c r="E2117" t="str">
        <f>_xlfn.XLOOKUP(Vendas[[#This Row],[ID Item Vendido]],Agregado[ID],Agregado[Produto])</f>
        <v>Composto de borracha para vedação rolo 10m</v>
      </c>
      <c r="F2117" s="39">
        <v>44891</v>
      </c>
      <c r="G2117" s="7">
        <v>4</v>
      </c>
      <c r="H2117" s="3">
        <f>_xlfn.XLOOKUP(Vendas[[#This Row],[ID Item Vendido]],Agregado[ID],Agregado[Revenda])</f>
        <v>51.2</v>
      </c>
      <c r="I2117" s="3">
        <f>Vendas[[#This Row],[Valor Unitário]]*Vendas[[#This Row],[Qnt Vendida]]</f>
        <v>204.8</v>
      </c>
      <c r="J2117" s="3">
        <f>Vendas[[#This Row],[Valor da Venda]]-(_xlfn.XLOOKUP(Vendas[[#This Row],[ID Item Vendido]],Agregado[ID],Agregado[Custo])*Vendas[[#This Row],[Qnt Vendida]])</f>
        <v>44.800000000000011</v>
      </c>
      <c r="K2117" s="70">
        <f>Vendas[[#This Row],[Lucro da Venda]]/Vendas[[#This Row],[Valor da Venda]]</f>
        <v>0.21875000000000006</v>
      </c>
      <c r="L2117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2117"/>
    </row>
    <row r="2118" spans="1:13" x14ac:dyDescent="0.3">
      <c r="A2118" s="7">
        <v>400250</v>
      </c>
      <c r="B2118" t="str">
        <f>_xlfn.XLOOKUP(Vendas[[#This Row],[ID Vendedor]],Vendedores[ID],Vendedores[Nome])</f>
        <v>Larissa</v>
      </c>
      <c r="C2118" s="7" t="str">
        <f>_xlfn.XLOOKUP(Vendas[[#This Row],[ID Vendedor]],Vendedores[ID],Vendedores[Setor])</f>
        <v>AB</v>
      </c>
      <c r="D2118" s="7" t="s">
        <v>24</v>
      </c>
      <c r="E2118" t="str">
        <f>_xlfn.XLOOKUP(Vendas[[#This Row],[ID Item Vendido]],Agregado[ID],Agregado[Produto])</f>
        <v>Resina plástica PET purificada saco de 25kg</v>
      </c>
      <c r="F2118" s="39">
        <v>44894</v>
      </c>
      <c r="G2118" s="7">
        <v>16</v>
      </c>
      <c r="H2118" s="3">
        <f>_xlfn.XLOOKUP(Vendas[[#This Row],[ID Item Vendido]],Agregado[ID],Agregado[Revenda])</f>
        <v>119</v>
      </c>
      <c r="I2118" s="3">
        <f>Vendas[[#This Row],[Valor Unitário]]*Vendas[[#This Row],[Qnt Vendida]]</f>
        <v>1904</v>
      </c>
      <c r="J2118" s="3">
        <f>Vendas[[#This Row],[Valor da Venda]]-(_xlfn.XLOOKUP(Vendas[[#This Row],[ID Item Vendido]],Agregado[ID],Agregado[Custo])*Vendas[[#This Row],[Qnt Vendida]])</f>
        <v>544</v>
      </c>
      <c r="K2118" s="70">
        <f>Vendas[[#This Row],[Lucro da Venda]]/Vendas[[#This Row],[Valor da Venda]]</f>
        <v>0.2857142857142857</v>
      </c>
      <c r="L2118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118"/>
    </row>
    <row r="2119" spans="1:13" x14ac:dyDescent="0.3">
      <c r="A2119" s="7">
        <v>400241</v>
      </c>
      <c r="B2119" t="str">
        <f>_xlfn.XLOOKUP(Vendas[[#This Row],[ID Vendedor]],Vendedores[ID],Vendedores[Nome])</f>
        <v>Rodrigo</v>
      </c>
      <c r="C2119" s="7" t="str">
        <f>_xlfn.XLOOKUP(Vendas[[#This Row],[ID Vendedor]],Vendedores[ID],Vendedores[Setor])</f>
        <v>FM</v>
      </c>
      <c r="D2119" s="7" t="s">
        <v>20</v>
      </c>
      <c r="E2119" t="str">
        <f>_xlfn.XLOOKUP(Vendas[[#This Row],[ID Item Vendido]],Agregado[ID],Agregado[Produto])</f>
        <v>Barra de aço simples</v>
      </c>
      <c r="F2119" s="39">
        <v>44894</v>
      </c>
      <c r="G2119" s="7">
        <v>104</v>
      </c>
      <c r="H2119" s="3">
        <f>_xlfn.XLOOKUP(Vendas[[#This Row],[ID Item Vendido]],Agregado[ID],Agregado[Revenda])</f>
        <v>4.8</v>
      </c>
      <c r="I2119" s="3">
        <f>Vendas[[#This Row],[Valor Unitário]]*Vendas[[#This Row],[Qnt Vendida]]</f>
        <v>499.2</v>
      </c>
      <c r="J2119" s="3">
        <f>Vendas[[#This Row],[Valor da Venda]]-(_xlfn.XLOOKUP(Vendas[[#This Row],[ID Item Vendido]],Agregado[ID],Agregado[Custo])*Vendas[[#This Row],[Qnt Vendida]])</f>
        <v>62.399999999999977</v>
      </c>
      <c r="K2119" s="70">
        <f>Vendas[[#This Row],[Lucro da Venda]]/Vendas[[#This Row],[Valor da Venda]]</f>
        <v>0.12499999999999996</v>
      </c>
      <c r="L2119" s="3">
        <f>_xlfn.IFS(Vendas[[#This Row],[Margem de Lucro (%)]]&lt;15%,Vendas[[#This Row],[Valor da Venda]]*3%,Vendas[[#This Row],[Margem de Lucro (%)]]&lt;=20%,Vendas[[#This Row],[Valor da Venda]]*4.5%,TRUE,Vendas[[#This Row],[Valor da Venda]]*6%)</f>
        <v>14.975999999999999</v>
      </c>
      <c r="M2119"/>
    </row>
    <row r="2120" spans="1:13" x14ac:dyDescent="0.3">
      <c r="A2120" s="7">
        <v>400245</v>
      </c>
      <c r="B2120" t="str">
        <f>_xlfn.XLOOKUP(Vendas[[#This Row],[ID Vendedor]],Vendedores[ID],Vendedores[Nome])</f>
        <v>Thiago</v>
      </c>
      <c r="C2120" s="7" t="str">
        <f>_xlfn.XLOOKUP(Vendas[[#This Row],[ID Vendedor]],Vendedores[ID],Vendedores[Setor])</f>
        <v>AHD</v>
      </c>
      <c r="D2120" s="7" t="s">
        <v>9</v>
      </c>
      <c r="E2120" t="str">
        <f>_xlfn.XLOOKUP(Vendas[[#This Row],[ID Item Vendido]],Agregado[ID],Agregado[Produto])</f>
        <v>Barra de aço simples</v>
      </c>
      <c r="F2120" s="39">
        <v>44895</v>
      </c>
      <c r="G2120" s="7">
        <v>122</v>
      </c>
      <c r="H2120" s="3">
        <f>_xlfn.XLOOKUP(Vendas[[#This Row],[ID Item Vendido]],Agregado[ID],Agregado[Revenda])</f>
        <v>6.7</v>
      </c>
      <c r="I2120" s="3">
        <f>Vendas[[#This Row],[Valor Unitário]]*Vendas[[#This Row],[Qnt Vendida]]</f>
        <v>817.4</v>
      </c>
      <c r="J2120" s="3">
        <f>Vendas[[#This Row],[Valor da Venda]]-(_xlfn.XLOOKUP(Vendas[[#This Row],[ID Item Vendido]],Agregado[ID],Agregado[Custo])*Vendas[[#This Row],[Qnt Vendida]])</f>
        <v>109.79999999999995</v>
      </c>
      <c r="K2120" s="70">
        <f>Vendas[[#This Row],[Lucro da Venda]]/Vendas[[#This Row],[Valor da Venda]]</f>
        <v>0.13432835820895517</v>
      </c>
      <c r="L2120" s="3">
        <f>_xlfn.IFS(Vendas[[#This Row],[Margem de Lucro (%)]]&lt;15%,Vendas[[#This Row],[Valor da Venda]]*3%,Vendas[[#This Row],[Margem de Lucro (%)]]&lt;=20%,Vendas[[#This Row],[Valor da Venda]]*4.5%,TRUE,Vendas[[#This Row],[Valor da Venda]]*6%)</f>
        <v>24.521999999999998</v>
      </c>
      <c r="M2120"/>
    </row>
    <row r="2121" spans="1:13" x14ac:dyDescent="0.3">
      <c r="A2121" s="7">
        <v>400242</v>
      </c>
      <c r="B2121" t="str">
        <f>_xlfn.XLOOKUP(Vendas[[#This Row],[ID Vendedor]],Vendedores[ID],Vendedores[Nome])</f>
        <v>Fernanda</v>
      </c>
      <c r="C2121" s="7" t="str">
        <f>_xlfn.XLOOKUP(Vendas[[#This Row],[ID Vendedor]],Vendedores[ID],Vendedores[Setor])</f>
        <v>FM</v>
      </c>
      <c r="D2121" s="7" t="s">
        <v>6</v>
      </c>
      <c r="E2121" t="str">
        <f>_xlfn.XLOOKUP(Vendas[[#This Row],[ID Item Vendido]],Agregado[ID],Agregado[Produto])</f>
        <v>Parafuso comum 500un</v>
      </c>
      <c r="F2121" s="39">
        <v>44895</v>
      </c>
      <c r="G2121" s="7">
        <v>10</v>
      </c>
      <c r="H2121" s="3">
        <f>_xlfn.XLOOKUP(Vendas[[#This Row],[ID Item Vendido]],Agregado[ID],Agregado[Revenda])</f>
        <v>24.6</v>
      </c>
      <c r="I2121" s="3">
        <f>Vendas[[#This Row],[Valor Unitário]]*Vendas[[#This Row],[Qnt Vendida]]</f>
        <v>246</v>
      </c>
      <c r="J2121" s="3">
        <f>Vendas[[#This Row],[Valor da Venda]]-(_xlfn.XLOOKUP(Vendas[[#This Row],[ID Item Vendido]],Agregado[ID],Agregado[Custo])*Vendas[[#This Row],[Qnt Vendida]])</f>
        <v>26</v>
      </c>
      <c r="K2121" s="70">
        <f>Vendas[[#This Row],[Lucro da Venda]]/Vendas[[#This Row],[Valor da Venda]]</f>
        <v>0.10569105691056911</v>
      </c>
      <c r="L2121" s="3">
        <f>_xlfn.IFS(Vendas[[#This Row],[Margem de Lucro (%)]]&lt;15%,Vendas[[#This Row],[Valor da Venda]]*3%,Vendas[[#This Row],[Margem de Lucro (%)]]&lt;=20%,Vendas[[#This Row],[Valor da Venda]]*4.5%,TRUE,Vendas[[#This Row],[Valor da Venda]]*6%)</f>
        <v>7.38</v>
      </c>
      <c r="M2121"/>
    </row>
    <row r="2122" spans="1:13" x14ac:dyDescent="0.3">
      <c r="A2122" s="7">
        <v>400242</v>
      </c>
      <c r="B2122" t="str">
        <f>_xlfn.XLOOKUP(Vendas[[#This Row],[ID Vendedor]],Vendedores[ID],Vendedores[Nome])</f>
        <v>Fernanda</v>
      </c>
      <c r="C2122" s="7" t="str">
        <f>_xlfn.XLOOKUP(Vendas[[#This Row],[ID Vendedor]],Vendedores[ID],Vendedores[Setor])</f>
        <v>FM</v>
      </c>
      <c r="D2122" s="7" t="s">
        <v>27</v>
      </c>
      <c r="E2122" t="str">
        <f>_xlfn.XLOOKUP(Vendas[[#This Row],[ID Item Vendido]],Agregado[ID],Agregado[Produto])</f>
        <v>Chapa de metal lisa 1x2m</v>
      </c>
      <c r="F2122" s="39">
        <v>44897</v>
      </c>
      <c r="G2122" s="7">
        <v>29</v>
      </c>
      <c r="H2122" s="3">
        <f>_xlfn.XLOOKUP(Vendas[[#This Row],[ID Item Vendido]],Agregado[ID],Agregado[Revenda])</f>
        <v>52</v>
      </c>
      <c r="I2122" s="3">
        <f>Vendas[[#This Row],[Valor Unitário]]*Vendas[[#This Row],[Qnt Vendida]]</f>
        <v>1508</v>
      </c>
      <c r="J2122" s="3">
        <f>Vendas[[#This Row],[Valor da Venda]]-(_xlfn.XLOOKUP(Vendas[[#This Row],[ID Item Vendido]],Agregado[ID],Agregado[Custo])*Vendas[[#This Row],[Qnt Vendida]])</f>
        <v>203</v>
      </c>
      <c r="K2122" s="70">
        <f>Vendas[[#This Row],[Lucro da Venda]]/Vendas[[#This Row],[Valor da Venda]]</f>
        <v>0.13461538461538461</v>
      </c>
      <c r="L2122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2122"/>
    </row>
    <row r="2123" spans="1:13" x14ac:dyDescent="0.3">
      <c r="A2123" s="7">
        <v>400242</v>
      </c>
      <c r="B2123" t="str">
        <f>_xlfn.XLOOKUP(Vendas[[#This Row],[ID Vendedor]],Vendedores[ID],Vendedores[Nome])</f>
        <v>Fernanda</v>
      </c>
      <c r="C2123" s="7" t="str">
        <f>_xlfn.XLOOKUP(Vendas[[#This Row],[ID Vendedor]],Vendedores[ID],Vendedores[Setor])</f>
        <v>FM</v>
      </c>
      <c r="D2123" s="7" t="s">
        <v>20</v>
      </c>
      <c r="E2123" t="str">
        <f>_xlfn.XLOOKUP(Vendas[[#This Row],[ID Item Vendido]],Agregado[ID],Agregado[Produto])</f>
        <v>Barra de aço simples</v>
      </c>
      <c r="F2123" s="39">
        <v>44897</v>
      </c>
      <c r="G2123" s="7">
        <v>138</v>
      </c>
      <c r="H2123" s="3">
        <f>_xlfn.XLOOKUP(Vendas[[#This Row],[ID Item Vendido]],Agregado[ID],Agregado[Revenda])</f>
        <v>4.8</v>
      </c>
      <c r="I2123" s="3">
        <f>Vendas[[#This Row],[Valor Unitário]]*Vendas[[#This Row],[Qnt Vendida]]</f>
        <v>662.4</v>
      </c>
      <c r="J2123" s="3">
        <f>Vendas[[#This Row],[Valor da Venda]]-(_xlfn.XLOOKUP(Vendas[[#This Row],[ID Item Vendido]],Agregado[ID],Agregado[Custo])*Vendas[[#This Row],[Qnt Vendida]])</f>
        <v>82.799999999999955</v>
      </c>
      <c r="K2123" s="70">
        <f>Vendas[[#This Row],[Lucro da Venda]]/Vendas[[#This Row],[Valor da Venda]]</f>
        <v>0.12499999999999993</v>
      </c>
      <c r="L2123" s="3">
        <f>_xlfn.IFS(Vendas[[#This Row],[Margem de Lucro (%)]]&lt;15%,Vendas[[#This Row],[Valor da Venda]]*3%,Vendas[[#This Row],[Margem de Lucro (%)]]&lt;=20%,Vendas[[#This Row],[Valor da Venda]]*4.5%,TRUE,Vendas[[#This Row],[Valor da Venda]]*6%)</f>
        <v>19.872</v>
      </c>
      <c r="M2123"/>
    </row>
    <row r="2124" spans="1:13" x14ac:dyDescent="0.3">
      <c r="A2124" s="7">
        <v>400245</v>
      </c>
      <c r="B2124" t="str">
        <f>_xlfn.XLOOKUP(Vendas[[#This Row],[ID Vendedor]],Vendedores[ID],Vendedores[Nome])</f>
        <v>Thiago</v>
      </c>
      <c r="C2124" s="7" t="str">
        <f>_xlfn.XLOOKUP(Vendas[[#This Row],[ID Vendedor]],Vendedores[ID],Vendedores[Setor])</f>
        <v>AHD</v>
      </c>
      <c r="D2124" s="7" t="s">
        <v>18</v>
      </c>
      <c r="E2124" t="str">
        <f>_xlfn.XLOOKUP(Vendas[[#This Row],[ID Item Vendido]],Agregado[ID],Agregado[Produto])</f>
        <v>Peça forjada sob encomenda</v>
      </c>
      <c r="F2124" s="39">
        <v>44898</v>
      </c>
      <c r="G2124" s="7">
        <v>2</v>
      </c>
      <c r="H2124" s="3">
        <f>_xlfn.XLOOKUP(Vendas[[#This Row],[ID Item Vendido]],Agregado[ID],Agregado[Revenda])</f>
        <v>264.60000000000002</v>
      </c>
      <c r="I2124" s="3">
        <f>Vendas[[#This Row],[Valor Unitário]]*Vendas[[#This Row],[Qnt Vendida]]</f>
        <v>529.20000000000005</v>
      </c>
      <c r="J2124" s="3">
        <f>Vendas[[#This Row],[Valor da Venda]]-(_xlfn.XLOOKUP(Vendas[[#This Row],[ID Item Vendido]],Agregado[ID],Agregado[Custo])*Vendas[[#This Row],[Qnt Vendida]])</f>
        <v>29.200000000000045</v>
      </c>
      <c r="K2124" s="70">
        <f>Vendas[[#This Row],[Lucro da Venda]]/Vendas[[#This Row],[Valor da Venda]]</f>
        <v>5.5177626606198113E-2</v>
      </c>
      <c r="L212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124"/>
    </row>
    <row r="2125" spans="1:13" x14ac:dyDescent="0.3">
      <c r="A2125" s="7">
        <v>400245</v>
      </c>
      <c r="B2125" t="str">
        <f>_xlfn.XLOOKUP(Vendas[[#This Row],[ID Vendedor]],Vendedores[ID],Vendedores[Nome])</f>
        <v>Thiago</v>
      </c>
      <c r="C2125" s="7" t="str">
        <f>_xlfn.XLOOKUP(Vendas[[#This Row],[ID Vendedor]],Vendedores[ID],Vendedores[Setor])</f>
        <v>AHD</v>
      </c>
      <c r="D2125" s="7" t="s">
        <v>9</v>
      </c>
      <c r="E2125" t="str">
        <f>_xlfn.XLOOKUP(Vendas[[#This Row],[ID Item Vendido]],Agregado[ID],Agregado[Produto])</f>
        <v>Barra de aço simples</v>
      </c>
      <c r="F2125" s="39">
        <v>44898</v>
      </c>
      <c r="G2125" s="7">
        <v>81</v>
      </c>
      <c r="H2125" s="3">
        <f>_xlfn.XLOOKUP(Vendas[[#This Row],[ID Item Vendido]],Agregado[ID],Agregado[Revenda])</f>
        <v>6.7</v>
      </c>
      <c r="I2125" s="3">
        <f>Vendas[[#This Row],[Valor Unitário]]*Vendas[[#This Row],[Qnt Vendida]]</f>
        <v>542.70000000000005</v>
      </c>
      <c r="J2125" s="3">
        <f>Vendas[[#This Row],[Valor da Venda]]-(_xlfn.XLOOKUP(Vendas[[#This Row],[ID Item Vendido]],Agregado[ID],Agregado[Custo])*Vendas[[#This Row],[Qnt Vendida]])</f>
        <v>72.900000000000034</v>
      </c>
      <c r="K2125" s="70">
        <f>Vendas[[#This Row],[Lucro da Venda]]/Vendas[[#This Row],[Valor da Venda]]</f>
        <v>0.13432835820895528</v>
      </c>
      <c r="L2125" s="3">
        <f>_xlfn.IFS(Vendas[[#This Row],[Margem de Lucro (%)]]&lt;15%,Vendas[[#This Row],[Valor da Venda]]*3%,Vendas[[#This Row],[Margem de Lucro (%)]]&lt;=20%,Vendas[[#This Row],[Valor da Venda]]*4.5%,TRUE,Vendas[[#This Row],[Valor da Venda]]*6%)</f>
        <v>16.281000000000002</v>
      </c>
      <c r="M2125"/>
    </row>
    <row r="2126" spans="1:13" x14ac:dyDescent="0.3">
      <c r="A2126" s="7">
        <v>400243</v>
      </c>
      <c r="B2126" t="str">
        <f>_xlfn.XLOOKUP(Vendas[[#This Row],[ID Vendedor]],Vendedores[ID],Vendedores[Nome])</f>
        <v>Marcelo</v>
      </c>
      <c r="C2126" s="7" t="str">
        <f>_xlfn.XLOOKUP(Vendas[[#This Row],[ID Vendedor]],Vendedores[ID],Vendedores[Setor])</f>
        <v>FM</v>
      </c>
      <c r="D2126" s="7" t="s">
        <v>6</v>
      </c>
      <c r="E2126" t="str">
        <f>_xlfn.XLOOKUP(Vendas[[#This Row],[ID Item Vendido]],Agregado[ID],Agregado[Produto])</f>
        <v>Parafuso comum 500un</v>
      </c>
      <c r="F2126" s="39">
        <v>44898</v>
      </c>
      <c r="G2126" s="7">
        <v>8</v>
      </c>
      <c r="H2126" s="3">
        <f>_xlfn.XLOOKUP(Vendas[[#This Row],[ID Item Vendido]],Agregado[ID],Agregado[Revenda])</f>
        <v>24.6</v>
      </c>
      <c r="I2126" s="3">
        <f>Vendas[[#This Row],[Valor Unitário]]*Vendas[[#This Row],[Qnt Vendida]]</f>
        <v>196.8</v>
      </c>
      <c r="J2126" s="3">
        <f>Vendas[[#This Row],[Valor da Venda]]-(_xlfn.XLOOKUP(Vendas[[#This Row],[ID Item Vendido]],Agregado[ID],Agregado[Custo])*Vendas[[#This Row],[Qnt Vendida]])</f>
        <v>20.800000000000011</v>
      </c>
      <c r="K2126" s="70">
        <f>Vendas[[#This Row],[Lucro da Venda]]/Vendas[[#This Row],[Valor da Venda]]</f>
        <v>0.10569105691056915</v>
      </c>
      <c r="L2126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126"/>
    </row>
    <row r="2127" spans="1:13" x14ac:dyDescent="0.3">
      <c r="A2127" s="7">
        <v>400250</v>
      </c>
      <c r="B2127" t="str">
        <f>_xlfn.XLOOKUP(Vendas[[#This Row],[ID Vendedor]],Vendedores[ID],Vendedores[Nome])</f>
        <v>Larissa</v>
      </c>
      <c r="C2127" s="7" t="str">
        <f>_xlfn.XLOOKUP(Vendas[[#This Row],[ID Vendedor]],Vendedores[ID],Vendedores[Setor])</f>
        <v>AB</v>
      </c>
      <c r="D2127" s="7" t="s">
        <v>36</v>
      </c>
      <c r="E2127" t="str">
        <f>_xlfn.XLOOKUP(Vendas[[#This Row],[ID Item Vendido]],Agregado[ID],Agregado[Produto])</f>
        <v>Borracha vulcanizada em manta</v>
      </c>
      <c r="F2127" s="39">
        <v>44900</v>
      </c>
      <c r="G2127" s="7">
        <v>78</v>
      </c>
      <c r="H2127" s="3">
        <f>_xlfn.XLOOKUP(Vendas[[#This Row],[ID Item Vendido]],Agregado[ID],Agregado[Revenda])</f>
        <v>7.8</v>
      </c>
      <c r="I2127" s="3">
        <f>Vendas[[#This Row],[Valor Unitário]]*Vendas[[#This Row],[Qnt Vendida]]</f>
        <v>608.4</v>
      </c>
      <c r="J2127" s="3">
        <f>Vendas[[#This Row],[Valor da Venda]]-(_xlfn.XLOOKUP(Vendas[[#This Row],[ID Item Vendido]],Agregado[ID],Agregado[Custo])*Vendas[[#This Row],[Qnt Vendida]])</f>
        <v>140.39999999999998</v>
      </c>
      <c r="K2127" s="70">
        <f>Vendas[[#This Row],[Lucro da Venda]]/Vendas[[#This Row],[Valor da Venda]]</f>
        <v>0.23076923076923075</v>
      </c>
      <c r="L2127" s="3">
        <f>_xlfn.IFS(Vendas[[#This Row],[Margem de Lucro (%)]]&lt;15%,Vendas[[#This Row],[Valor da Venda]]*3%,Vendas[[#This Row],[Margem de Lucro (%)]]&lt;=20%,Vendas[[#This Row],[Valor da Venda]]*4.5%,TRUE,Vendas[[#This Row],[Valor da Venda]]*6%)</f>
        <v>36.503999999999998</v>
      </c>
      <c r="M2127"/>
    </row>
    <row r="2128" spans="1:13" x14ac:dyDescent="0.3">
      <c r="A2128" s="7">
        <v>400249</v>
      </c>
      <c r="B2128" t="str">
        <f>_xlfn.XLOOKUP(Vendas[[#This Row],[ID Vendedor]],Vendedores[ID],Vendedores[Nome])</f>
        <v>Bruno</v>
      </c>
      <c r="C2128" s="7" t="str">
        <f>_xlfn.XLOOKUP(Vendas[[#This Row],[ID Vendedor]],Vendedores[ID],Vendedores[Setor])</f>
        <v>CM</v>
      </c>
      <c r="D2128" s="7" t="s">
        <v>22</v>
      </c>
      <c r="E2128" t="str">
        <f>_xlfn.XLOOKUP(Vendas[[#This Row],[ID Item Vendido]],Agregado[ID],Agregado[Produto])</f>
        <v>Painel MDP 2,75x1,83m</v>
      </c>
      <c r="F2128" s="39">
        <v>44901</v>
      </c>
      <c r="G2128" s="7">
        <v>14</v>
      </c>
      <c r="H2128" s="3">
        <f>_xlfn.XLOOKUP(Vendas[[#This Row],[ID Item Vendido]],Agregado[ID],Agregado[Revenda])</f>
        <v>119</v>
      </c>
      <c r="I2128" s="3">
        <f>Vendas[[#This Row],[Valor Unitário]]*Vendas[[#This Row],[Qnt Vendida]]</f>
        <v>1666</v>
      </c>
      <c r="J2128" s="3">
        <f>Vendas[[#This Row],[Valor da Venda]]-(_xlfn.XLOOKUP(Vendas[[#This Row],[ID Item Vendido]],Agregado[ID],Agregado[Custo])*Vendas[[#This Row],[Qnt Vendida]])</f>
        <v>336</v>
      </c>
      <c r="K2128" s="70">
        <f>Vendas[[#This Row],[Lucro da Venda]]/Vendas[[#This Row],[Valor da Venda]]</f>
        <v>0.20168067226890757</v>
      </c>
      <c r="L2128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2128"/>
    </row>
    <row r="2129" spans="1:13" x14ac:dyDescent="0.3">
      <c r="A2129" s="7">
        <v>400255</v>
      </c>
      <c r="B2129" t="str">
        <f>_xlfn.XLOOKUP(Vendas[[#This Row],[ID Vendedor]],Vendedores[ID],Vendedores[Nome])</f>
        <v>Carlos</v>
      </c>
      <c r="C2129" s="7" t="str">
        <f>_xlfn.XLOOKUP(Vendas[[#This Row],[ID Vendedor]],Vendedores[ID],Vendedores[Setor])</f>
        <v>SC</v>
      </c>
      <c r="D2129" s="7" t="s">
        <v>41</v>
      </c>
      <c r="E2129" t="str">
        <f>_xlfn.XLOOKUP(Vendas[[#This Row],[ID Item Vendido]],Agregado[ID],Agregado[Produto])</f>
        <v>Palete de madeira reforçado</v>
      </c>
      <c r="F2129" s="39">
        <v>44901</v>
      </c>
      <c r="G2129" s="7">
        <v>4</v>
      </c>
      <c r="H2129" s="3">
        <f>_xlfn.XLOOKUP(Vendas[[#This Row],[ID Item Vendido]],Agregado[ID],Agregado[Revenda])</f>
        <v>131</v>
      </c>
      <c r="I2129" s="3">
        <f>Vendas[[#This Row],[Valor Unitário]]*Vendas[[#This Row],[Qnt Vendida]]</f>
        <v>524</v>
      </c>
      <c r="J2129" s="3">
        <f>Vendas[[#This Row],[Valor da Venda]]-(_xlfn.XLOOKUP(Vendas[[#This Row],[ID Item Vendido]],Agregado[ID],Agregado[Custo])*Vendas[[#This Row],[Qnt Vendida]])</f>
        <v>84</v>
      </c>
      <c r="K2129" s="70">
        <f>Vendas[[#This Row],[Lucro da Venda]]/Vendas[[#This Row],[Valor da Venda]]</f>
        <v>0.16030534351145037</v>
      </c>
      <c r="L2129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2129"/>
    </row>
    <row r="2130" spans="1:13" x14ac:dyDescent="0.3">
      <c r="A2130" s="7">
        <v>400247</v>
      </c>
      <c r="B2130" t="str">
        <f>_xlfn.XLOOKUP(Vendas[[#This Row],[ID Vendedor]],Vendedores[ID],Vendedores[Nome])</f>
        <v>André</v>
      </c>
      <c r="C2130" s="7" t="str">
        <f>_xlfn.XLOOKUP(Vendas[[#This Row],[ID Vendedor]],Vendedores[ID],Vendedores[Setor])</f>
        <v>CM</v>
      </c>
      <c r="D2130" s="7" t="s">
        <v>34</v>
      </c>
      <c r="E2130" t="str">
        <f>_xlfn.XLOOKUP(Vendas[[#This Row],[ID Item Vendido]],Agregado[ID],Agregado[Produto])</f>
        <v>Restos de madeira p/ MDP/OSB saco de 20kg</v>
      </c>
      <c r="F2130" s="39">
        <v>44901</v>
      </c>
      <c r="G2130" s="7">
        <v>8</v>
      </c>
      <c r="H2130" s="3">
        <f>_xlfn.XLOOKUP(Vendas[[#This Row],[ID Item Vendido]],Agregado[ID],Agregado[Revenda])</f>
        <v>13.8</v>
      </c>
      <c r="I2130" s="3">
        <f>Vendas[[#This Row],[Valor Unitário]]*Vendas[[#This Row],[Qnt Vendida]]</f>
        <v>110.4</v>
      </c>
      <c r="J2130" s="3">
        <f>Vendas[[#This Row],[Valor da Venda]]-(_xlfn.XLOOKUP(Vendas[[#This Row],[ID Item Vendido]],Agregado[ID],Agregado[Custo])*Vendas[[#This Row],[Qnt Vendida]])</f>
        <v>14.400000000000006</v>
      </c>
      <c r="K2130" s="70">
        <f>Vendas[[#This Row],[Lucro da Venda]]/Vendas[[#This Row],[Valor da Venda]]</f>
        <v>0.1304347826086957</v>
      </c>
      <c r="L2130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2130"/>
    </row>
    <row r="2131" spans="1:13" x14ac:dyDescent="0.3">
      <c r="A2131" s="7">
        <v>400249</v>
      </c>
      <c r="B2131" t="str">
        <f>_xlfn.XLOOKUP(Vendas[[#This Row],[ID Vendedor]],Vendedores[ID],Vendedores[Nome])</f>
        <v>Bruno</v>
      </c>
      <c r="C2131" s="7" t="str">
        <f>_xlfn.XLOOKUP(Vendas[[#This Row],[ID Vendedor]],Vendedores[ID],Vendedores[Setor])</f>
        <v>CM</v>
      </c>
      <c r="D2131" s="7" t="s">
        <v>43</v>
      </c>
      <c r="E2131" t="str">
        <f>_xlfn.XLOOKUP(Vendas[[#This Row],[ID Item Vendido]],Agregado[ID],Agregado[Produto])</f>
        <v>Madeira Bruta (Tora)</v>
      </c>
      <c r="F2131" s="39">
        <v>44902</v>
      </c>
      <c r="G2131" s="7">
        <v>7</v>
      </c>
      <c r="H2131" s="3">
        <f>_xlfn.XLOOKUP(Vendas[[#This Row],[ID Item Vendido]],Agregado[ID],Agregado[Revenda])</f>
        <v>212</v>
      </c>
      <c r="I2131" s="3">
        <f>Vendas[[#This Row],[Valor Unitário]]*Vendas[[#This Row],[Qnt Vendida]]</f>
        <v>1484</v>
      </c>
      <c r="J2131" s="3">
        <f>Vendas[[#This Row],[Valor da Venda]]-(_xlfn.XLOOKUP(Vendas[[#This Row],[ID Item Vendido]],Agregado[ID],Agregado[Custo])*Vendas[[#This Row],[Qnt Vendida]])</f>
        <v>224</v>
      </c>
      <c r="K2131" s="70">
        <f>Vendas[[#This Row],[Lucro da Venda]]/Vendas[[#This Row],[Valor da Venda]]</f>
        <v>0.15094339622641509</v>
      </c>
      <c r="L2131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2131"/>
    </row>
    <row r="2132" spans="1:13" x14ac:dyDescent="0.3">
      <c r="A2132" s="7">
        <v>400241</v>
      </c>
      <c r="B2132" t="str">
        <f>_xlfn.XLOOKUP(Vendas[[#This Row],[ID Vendedor]],Vendedores[ID],Vendedores[Nome])</f>
        <v>Rodrigo</v>
      </c>
      <c r="C2132" s="7" t="str">
        <f>_xlfn.XLOOKUP(Vendas[[#This Row],[ID Vendedor]],Vendedores[ID],Vendedores[Setor])</f>
        <v>FM</v>
      </c>
      <c r="D2132" s="7" t="s">
        <v>47</v>
      </c>
      <c r="E2132" t="str">
        <f>_xlfn.XLOOKUP(Vendas[[#This Row],[ID Item Vendido]],Agregado[ID],Agregado[Produto])</f>
        <v>Fio de arame galvanizado rolo 50m</v>
      </c>
      <c r="F2132" s="39">
        <v>44903</v>
      </c>
      <c r="G2132" s="7">
        <v>27</v>
      </c>
      <c r="H2132" s="3">
        <f>_xlfn.XLOOKUP(Vendas[[#This Row],[ID Item Vendido]],Agregado[ID],Agregado[Revenda])</f>
        <v>21.2</v>
      </c>
      <c r="I2132" s="3">
        <f>Vendas[[#This Row],[Valor Unitário]]*Vendas[[#This Row],[Qnt Vendida]]</f>
        <v>572.4</v>
      </c>
      <c r="J2132" s="3">
        <f>Vendas[[#This Row],[Valor da Venda]]-(_xlfn.XLOOKUP(Vendas[[#This Row],[ID Item Vendido]],Agregado[ID],Agregado[Custo])*Vendas[[#This Row],[Qnt Vendida]])</f>
        <v>86.399999999999977</v>
      </c>
      <c r="K2132" s="70">
        <f>Vendas[[#This Row],[Lucro da Venda]]/Vendas[[#This Row],[Valor da Venda]]</f>
        <v>0.15094339622641506</v>
      </c>
      <c r="L2132" s="3">
        <f>_xlfn.IFS(Vendas[[#This Row],[Margem de Lucro (%)]]&lt;15%,Vendas[[#This Row],[Valor da Venda]]*3%,Vendas[[#This Row],[Margem de Lucro (%)]]&lt;=20%,Vendas[[#This Row],[Valor da Venda]]*4.5%,TRUE,Vendas[[#This Row],[Valor da Venda]]*6%)</f>
        <v>25.757999999999999</v>
      </c>
      <c r="M2132"/>
    </row>
    <row r="2133" spans="1:13" x14ac:dyDescent="0.3">
      <c r="A2133" s="7">
        <v>400242</v>
      </c>
      <c r="B2133" t="str">
        <f>_xlfn.XLOOKUP(Vendas[[#This Row],[ID Vendedor]],Vendedores[ID],Vendedores[Nome])</f>
        <v>Fernanda</v>
      </c>
      <c r="C2133" s="7" t="str">
        <f>_xlfn.XLOOKUP(Vendas[[#This Row],[ID Vendedor]],Vendedores[ID],Vendedores[Setor])</f>
        <v>FM</v>
      </c>
      <c r="D2133" s="7" t="s">
        <v>27</v>
      </c>
      <c r="E2133" t="str">
        <f>_xlfn.XLOOKUP(Vendas[[#This Row],[ID Item Vendido]],Agregado[ID],Agregado[Produto])</f>
        <v>Chapa de metal lisa 1x2m</v>
      </c>
      <c r="F2133" s="39">
        <v>44903</v>
      </c>
      <c r="G2133" s="7">
        <v>11</v>
      </c>
      <c r="H2133" s="3">
        <f>_xlfn.XLOOKUP(Vendas[[#This Row],[ID Item Vendido]],Agregado[ID],Agregado[Revenda])</f>
        <v>52</v>
      </c>
      <c r="I2133" s="3">
        <f>Vendas[[#This Row],[Valor Unitário]]*Vendas[[#This Row],[Qnt Vendida]]</f>
        <v>572</v>
      </c>
      <c r="J2133" s="3">
        <f>Vendas[[#This Row],[Valor da Venda]]-(_xlfn.XLOOKUP(Vendas[[#This Row],[ID Item Vendido]],Agregado[ID],Agregado[Custo])*Vendas[[#This Row],[Qnt Vendida]])</f>
        <v>77</v>
      </c>
      <c r="K2133" s="70">
        <f>Vendas[[#This Row],[Lucro da Venda]]/Vendas[[#This Row],[Valor da Venda]]</f>
        <v>0.13461538461538461</v>
      </c>
      <c r="L2133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2133"/>
    </row>
    <row r="2134" spans="1:13" x14ac:dyDescent="0.3">
      <c r="A2134" s="7">
        <v>400248</v>
      </c>
      <c r="B2134" t="str">
        <f>_xlfn.XLOOKUP(Vendas[[#This Row],[ID Vendedor]],Vendedores[ID],Vendedores[Nome])</f>
        <v>Patrícia</v>
      </c>
      <c r="C2134" s="7" t="str">
        <f>_xlfn.XLOOKUP(Vendas[[#This Row],[ID Vendedor]],Vendedores[ID],Vendedores[Setor])</f>
        <v>CM</v>
      </c>
      <c r="D2134" s="7" t="s">
        <v>45</v>
      </c>
      <c r="E2134" t="str">
        <f>_xlfn.XLOOKUP(Vendas[[#This Row],[ID Item Vendido]],Agregado[ID],Agregado[Produto])</f>
        <v>Viga de madeira tratada 4m</v>
      </c>
      <c r="F2134" s="39">
        <v>44905</v>
      </c>
      <c r="G2134" s="7">
        <v>19</v>
      </c>
      <c r="H2134" s="3">
        <f>_xlfn.XLOOKUP(Vendas[[#This Row],[ID Item Vendido]],Agregado[ID],Agregado[Revenda])</f>
        <v>66</v>
      </c>
      <c r="I2134" s="3">
        <f>Vendas[[#This Row],[Valor Unitário]]*Vendas[[#This Row],[Qnt Vendida]]</f>
        <v>1254</v>
      </c>
      <c r="J2134" s="3">
        <f>Vendas[[#This Row],[Valor da Venda]]-(_xlfn.XLOOKUP(Vendas[[#This Row],[ID Item Vendido]],Agregado[ID],Agregado[Custo])*Vendas[[#This Row],[Qnt Vendida]])</f>
        <v>209</v>
      </c>
      <c r="K2134" s="70">
        <f>Vendas[[#This Row],[Lucro da Venda]]/Vendas[[#This Row],[Valor da Venda]]</f>
        <v>0.16666666666666666</v>
      </c>
      <c r="L2134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134"/>
    </row>
    <row r="2135" spans="1:13" x14ac:dyDescent="0.3">
      <c r="A2135" s="7">
        <v>400251</v>
      </c>
      <c r="B2135" t="str">
        <f>_xlfn.XLOOKUP(Vendas[[#This Row],[ID Vendedor]],Vendedores[ID],Vendedores[Nome])</f>
        <v>Diego</v>
      </c>
      <c r="C2135" s="7" t="str">
        <f>_xlfn.XLOOKUP(Vendas[[#This Row],[ID Vendedor]],Vendedores[ID],Vendedores[Setor])</f>
        <v>AB</v>
      </c>
      <c r="D2135" s="7" t="s">
        <v>39</v>
      </c>
      <c r="E2135" t="str">
        <f>_xlfn.XLOOKUP(Vendas[[#This Row],[ID Item Vendido]],Agregado[ID],Agregado[Produto])</f>
        <v>Filme plástico industrial rolo 50m</v>
      </c>
      <c r="F2135" s="39">
        <v>44905</v>
      </c>
      <c r="G2135" s="7">
        <v>6</v>
      </c>
      <c r="H2135" s="3">
        <f>_xlfn.XLOOKUP(Vendas[[#This Row],[ID Item Vendido]],Agregado[ID],Agregado[Revenda])</f>
        <v>37</v>
      </c>
      <c r="I2135" s="3">
        <f>Vendas[[#This Row],[Valor Unitário]]*Vendas[[#This Row],[Qnt Vendida]]</f>
        <v>222</v>
      </c>
      <c r="J2135" s="3">
        <f>Vendas[[#This Row],[Valor da Venda]]-(_xlfn.XLOOKUP(Vendas[[#This Row],[ID Item Vendido]],Agregado[ID],Agregado[Custo])*Vendas[[#This Row],[Qnt Vendida]])</f>
        <v>54</v>
      </c>
      <c r="K2135" s="70">
        <f>Vendas[[#This Row],[Lucro da Venda]]/Vendas[[#This Row],[Valor da Venda]]</f>
        <v>0.24324324324324326</v>
      </c>
      <c r="L2135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2135"/>
    </row>
    <row r="2136" spans="1:13" x14ac:dyDescent="0.3">
      <c r="A2136" s="7">
        <v>400250</v>
      </c>
      <c r="B2136" t="str">
        <f>_xlfn.XLOOKUP(Vendas[[#This Row],[ID Vendedor]],Vendedores[ID],Vendedores[Nome])</f>
        <v>Larissa</v>
      </c>
      <c r="C2136" s="7" t="str">
        <f>_xlfn.XLOOKUP(Vendas[[#This Row],[ID Vendedor]],Vendedores[ID],Vendedores[Setor])</f>
        <v>AB</v>
      </c>
      <c r="D2136" s="7" t="s">
        <v>24</v>
      </c>
      <c r="E2136" t="str">
        <f>_xlfn.XLOOKUP(Vendas[[#This Row],[ID Item Vendido]],Agregado[ID],Agregado[Produto])</f>
        <v>Resina plástica PET purificada saco de 25kg</v>
      </c>
      <c r="F2136" s="39">
        <v>44906</v>
      </c>
      <c r="G2136" s="7">
        <v>30</v>
      </c>
      <c r="H2136" s="3">
        <f>_xlfn.XLOOKUP(Vendas[[#This Row],[ID Item Vendido]],Agregado[ID],Agregado[Revenda])</f>
        <v>119</v>
      </c>
      <c r="I2136" s="3">
        <f>Vendas[[#This Row],[Valor Unitário]]*Vendas[[#This Row],[Qnt Vendida]]</f>
        <v>3570</v>
      </c>
      <c r="J2136" s="3">
        <f>Vendas[[#This Row],[Valor da Venda]]-(_xlfn.XLOOKUP(Vendas[[#This Row],[ID Item Vendido]],Agregado[ID],Agregado[Custo])*Vendas[[#This Row],[Qnt Vendida]])</f>
        <v>1020</v>
      </c>
      <c r="K2136" s="70">
        <f>Vendas[[#This Row],[Lucro da Venda]]/Vendas[[#This Row],[Valor da Venda]]</f>
        <v>0.2857142857142857</v>
      </c>
      <c r="L2136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2136"/>
    </row>
    <row r="2137" spans="1:13" x14ac:dyDescent="0.3">
      <c r="A2137" s="7">
        <v>400250</v>
      </c>
      <c r="B2137" t="str">
        <f>_xlfn.XLOOKUP(Vendas[[#This Row],[ID Vendedor]],Vendedores[ID],Vendedores[Nome])</f>
        <v>Larissa</v>
      </c>
      <c r="C2137" s="7" t="str">
        <f>_xlfn.XLOOKUP(Vendas[[#This Row],[ID Vendedor]],Vendedores[ID],Vendedores[Setor])</f>
        <v>AB</v>
      </c>
      <c r="D2137" s="7" t="s">
        <v>37</v>
      </c>
      <c r="E2137" t="str">
        <f>_xlfn.XLOOKUP(Vendas[[#This Row],[ID Item Vendido]],Agregado[ID],Agregado[Produto])</f>
        <v>Composto de borracha para vedação rolo 10m</v>
      </c>
      <c r="F2137" s="39">
        <v>44906</v>
      </c>
      <c r="G2137" s="7">
        <v>10</v>
      </c>
      <c r="H2137" s="3">
        <f>_xlfn.XLOOKUP(Vendas[[#This Row],[ID Item Vendido]],Agregado[ID],Agregado[Revenda])</f>
        <v>51.2</v>
      </c>
      <c r="I2137" s="3">
        <f>Vendas[[#This Row],[Valor Unitário]]*Vendas[[#This Row],[Qnt Vendida]]</f>
        <v>512</v>
      </c>
      <c r="J2137" s="3">
        <f>Vendas[[#This Row],[Valor da Venda]]-(_xlfn.XLOOKUP(Vendas[[#This Row],[ID Item Vendido]],Agregado[ID],Agregado[Custo])*Vendas[[#This Row],[Qnt Vendida]])</f>
        <v>112</v>
      </c>
      <c r="K2137" s="70">
        <f>Vendas[[#This Row],[Lucro da Venda]]/Vendas[[#This Row],[Valor da Venda]]</f>
        <v>0.21875</v>
      </c>
      <c r="L2137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2137"/>
    </row>
    <row r="2138" spans="1:13" x14ac:dyDescent="0.3">
      <c r="A2138" s="7">
        <v>400249</v>
      </c>
      <c r="B2138" t="str">
        <f>_xlfn.XLOOKUP(Vendas[[#This Row],[ID Vendedor]],Vendedores[ID],Vendedores[Nome])</f>
        <v>Bruno</v>
      </c>
      <c r="C2138" s="7" t="str">
        <f>_xlfn.XLOOKUP(Vendas[[#This Row],[ID Vendedor]],Vendedores[ID],Vendedores[Setor])</f>
        <v>CM</v>
      </c>
      <c r="D2138" s="7" t="s">
        <v>34</v>
      </c>
      <c r="E2138" t="str">
        <f>_xlfn.XLOOKUP(Vendas[[#This Row],[ID Item Vendido]],Agregado[ID],Agregado[Produto])</f>
        <v>Restos de madeira p/ MDP/OSB saco de 20kg</v>
      </c>
      <c r="F2138" s="39">
        <v>44906</v>
      </c>
      <c r="G2138" s="7">
        <v>7</v>
      </c>
      <c r="H2138" s="3">
        <f>_xlfn.XLOOKUP(Vendas[[#This Row],[ID Item Vendido]],Agregado[ID],Agregado[Revenda])</f>
        <v>13.8</v>
      </c>
      <c r="I2138" s="3">
        <f>Vendas[[#This Row],[Valor Unitário]]*Vendas[[#This Row],[Qnt Vendida]]</f>
        <v>96.600000000000009</v>
      </c>
      <c r="J2138" s="3">
        <f>Vendas[[#This Row],[Valor da Venda]]-(_xlfn.XLOOKUP(Vendas[[#This Row],[ID Item Vendido]],Agregado[ID],Agregado[Custo])*Vendas[[#This Row],[Qnt Vendida]])</f>
        <v>12.600000000000009</v>
      </c>
      <c r="K2138" s="70">
        <f>Vendas[[#This Row],[Lucro da Venda]]/Vendas[[#This Row],[Valor da Venda]]</f>
        <v>0.13043478260869573</v>
      </c>
      <c r="L2138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2138"/>
    </row>
    <row r="2139" spans="1:13" x14ac:dyDescent="0.3">
      <c r="A2139" s="7">
        <v>400243</v>
      </c>
      <c r="B2139" t="str">
        <f>_xlfn.XLOOKUP(Vendas[[#This Row],[ID Vendedor]],Vendedores[ID],Vendedores[Nome])</f>
        <v>Marcelo</v>
      </c>
      <c r="C2139" s="7" t="str">
        <f>_xlfn.XLOOKUP(Vendas[[#This Row],[ID Vendedor]],Vendedores[ID],Vendedores[Setor])</f>
        <v>FM</v>
      </c>
      <c r="D2139" s="7" t="s">
        <v>20</v>
      </c>
      <c r="E2139" t="str">
        <f>_xlfn.XLOOKUP(Vendas[[#This Row],[ID Item Vendido]],Agregado[ID],Agregado[Produto])</f>
        <v>Barra de aço simples</v>
      </c>
      <c r="F2139" s="39">
        <v>44907</v>
      </c>
      <c r="G2139" s="7">
        <v>108</v>
      </c>
      <c r="H2139" s="3">
        <f>_xlfn.XLOOKUP(Vendas[[#This Row],[ID Item Vendido]],Agregado[ID],Agregado[Revenda])</f>
        <v>4.8</v>
      </c>
      <c r="I2139" s="3">
        <f>Vendas[[#This Row],[Valor Unitário]]*Vendas[[#This Row],[Qnt Vendida]]</f>
        <v>518.4</v>
      </c>
      <c r="J2139" s="3">
        <f>Vendas[[#This Row],[Valor da Venda]]-(_xlfn.XLOOKUP(Vendas[[#This Row],[ID Item Vendido]],Agregado[ID],Agregado[Custo])*Vendas[[#This Row],[Qnt Vendida]])</f>
        <v>64.799999999999955</v>
      </c>
      <c r="K2139" s="70">
        <f>Vendas[[#This Row],[Lucro da Venda]]/Vendas[[#This Row],[Valor da Venda]]</f>
        <v>0.12499999999999992</v>
      </c>
      <c r="L2139" s="3">
        <f>_xlfn.IFS(Vendas[[#This Row],[Margem de Lucro (%)]]&lt;15%,Vendas[[#This Row],[Valor da Venda]]*3%,Vendas[[#This Row],[Margem de Lucro (%)]]&lt;=20%,Vendas[[#This Row],[Valor da Venda]]*4.5%,TRUE,Vendas[[#This Row],[Valor da Venda]]*6%)</f>
        <v>15.552</v>
      </c>
      <c r="M2139"/>
    </row>
    <row r="2140" spans="1:13" x14ac:dyDescent="0.3">
      <c r="A2140" s="7">
        <v>400251</v>
      </c>
      <c r="B2140" t="str">
        <f>_xlfn.XLOOKUP(Vendas[[#This Row],[ID Vendedor]],Vendedores[ID],Vendedores[Nome])</f>
        <v>Diego</v>
      </c>
      <c r="C2140" s="7" t="str">
        <f>_xlfn.XLOOKUP(Vendas[[#This Row],[ID Vendedor]],Vendedores[ID],Vendedores[Setor])</f>
        <v>AB</v>
      </c>
      <c r="D2140" s="7" t="s">
        <v>37</v>
      </c>
      <c r="E2140" t="str">
        <f>_xlfn.XLOOKUP(Vendas[[#This Row],[ID Item Vendido]],Agregado[ID],Agregado[Produto])</f>
        <v>Composto de borracha para vedação rolo 10m</v>
      </c>
      <c r="F2140" s="39">
        <v>44907</v>
      </c>
      <c r="G2140" s="7">
        <v>2</v>
      </c>
      <c r="H2140" s="3">
        <f>_xlfn.XLOOKUP(Vendas[[#This Row],[ID Item Vendido]],Agregado[ID],Agregado[Revenda])</f>
        <v>51.2</v>
      </c>
      <c r="I2140" s="3">
        <f>Vendas[[#This Row],[Valor Unitário]]*Vendas[[#This Row],[Qnt Vendida]]</f>
        <v>102.4</v>
      </c>
      <c r="J2140" s="3">
        <f>Vendas[[#This Row],[Valor da Venda]]-(_xlfn.XLOOKUP(Vendas[[#This Row],[ID Item Vendido]],Agregado[ID],Agregado[Custo])*Vendas[[#This Row],[Qnt Vendida]])</f>
        <v>22.400000000000006</v>
      </c>
      <c r="K2140" s="70">
        <f>Vendas[[#This Row],[Lucro da Venda]]/Vendas[[#This Row],[Valor da Venda]]</f>
        <v>0.21875000000000006</v>
      </c>
      <c r="L2140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2140"/>
    </row>
    <row r="2141" spans="1:13" x14ac:dyDescent="0.3">
      <c r="A2141" s="7">
        <v>400249</v>
      </c>
      <c r="B2141" t="str">
        <f>_xlfn.XLOOKUP(Vendas[[#This Row],[ID Vendedor]],Vendedores[ID],Vendedores[Nome])</f>
        <v>Bruno</v>
      </c>
      <c r="C2141" s="7" t="str">
        <f>_xlfn.XLOOKUP(Vendas[[#This Row],[ID Vendedor]],Vendedores[ID],Vendedores[Setor])</f>
        <v>CM</v>
      </c>
      <c r="D2141" s="7" t="s">
        <v>22</v>
      </c>
      <c r="E2141" t="str">
        <f>_xlfn.XLOOKUP(Vendas[[#This Row],[ID Item Vendido]],Agregado[ID],Agregado[Produto])</f>
        <v>Painel MDP 2,75x1,83m</v>
      </c>
      <c r="F2141" s="39">
        <v>44908</v>
      </c>
      <c r="G2141" s="7">
        <v>15</v>
      </c>
      <c r="H2141" s="3">
        <f>_xlfn.XLOOKUP(Vendas[[#This Row],[ID Item Vendido]],Agregado[ID],Agregado[Revenda])</f>
        <v>119</v>
      </c>
      <c r="I2141" s="3">
        <f>Vendas[[#This Row],[Valor Unitário]]*Vendas[[#This Row],[Qnt Vendida]]</f>
        <v>1785</v>
      </c>
      <c r="J2141" s="3">
        <f>Vendas[[#This Row],[Valor da Venda]]-(_xlfn.XLOOKUP(Vendas[[#This Row],[ID Item Vendido]],Agregado[ID],Agregado[Custo])*Vendas[[#This Row],[Qnt Vendida]])</f>
        <v>360</v>
      </c>
      <c r="K2141" s="70">
        <f>Vendas[[#This Row],[Lucro da Venda]]/Vendas[[#This Row],[Valor da Venda]]</f>
        <v>0.20168067226890757</v>
      </c>
      <c r="L2141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2141"/>
    </row>
    <row r="2142" spans="1:13" x14ac:dyDescent="0.3">
      <c r="A2142" s="7">
        <v>400247</v>
      </c>
      <c r="B2142" t="str">
        <f>_xlfn.XLOOKUP(Vendas[[#This Row],[ID Vendedor]],Vendedores[ID],Vendedores[Nome])</f>
        <v>André</v>
      </c>
      <c r="C2142" s="7" t="str">
        <f>_xlfn.XLOOKUP(Vendas[[#This Row],[ID Vendedor]],Vendedores[ID],Vendedores[Setor])</f>
        <v>CM</v>
      </c>
      <c r="D2142" s="7" t="s">
        <v>22</v>
      </c>
      <c r="E2142" t="str">
        <f>_xlfn.XLOOKUP(Vendas[[#This Row],[ID Item Vendido]],Agregado[ID],Agregado[Produto])</f>
        <v>Painel MDP 2,75x1,83m</v>
      </c>
      <c r="F2142" s="39">
        <v>44908</v>
      </c>
      <c r="G2142" s="7">
        <v>8</v>
      </c>
      <c r="H2142" s="3">
        <f>_xlfn.XLOOKUP(Vendas[[#This Row],[ID Item Vendido]],Agregado[ID],Agregado[Revenda])</f>
        <v>119</v>
      </c>
      <c r="I2142" s="3">
        <f>Vendas[[#This Row],[Valor Unitário]]*Vendas[[#This Row],[Qnt Vendida]]</f>
        <v>952</v>
      </c>
      <c r="J2142" s="3">
        <f>Vendas[[#This Row],[Valor da Venda]]-(_xlfn.XLOOKUP(Vendas[[#This Row],[ID Item Vendido]],Agregado[ID],Agregado[Custo])*Vendas[[#This Row],[Qnt Vendida]])</f>
        <v>192</v>
      </c>
      <c r="K2142" s="70">
        <f>Vendas[[#This Row],[Lucro da Venda]]/Vendas[[#This Row],[Valor da Venda]]</f>
        <v>0.20168067226890757</v>
      </c>
      <c r="L2142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2142"/>
    </row>
    <row r="2143" spans="1:13" x14ac:dyDescent="0.3">
      <c r="A2143" s="7">
        <v>400241</v>
      </c>
      <c r="B2143" t="str">
        <f>_xlfn.XLOOKUP(Vendas[[#This Row],[ID Vendedor]],Vendedores[ID],Vendedores[Nome])</f>
        <v>Rodrigo</v>
      </c>
      <c r="C2143" s="7" t="str">
        <f>_xlfn.XLOOKUP(Vendas[[#This Row],[ID Vendedor]],Vendedores[ID],Vendedores[Setor])</f>
        <v>FM</v>
      </c>
      <c r="D2143" s="7" t="s">
        <v>31</v>
      </c>
      <c r="E2143" t="str">
        <f>_xlfn.XLOOKUP(Vendas[[#This Row],[ID Item Vendido]],Agregado[ID],Agregado[Produto])</f>
        <v>Tela de metal soldada rolo 2x25m</v>
      </c>
      <c r="F2143" s="39">
        <v>44909</v>
      </c>
      <c r="G2143" s="7">
        <v>20</v>
      </c>
      <c r="H2143" s="3">
        <f>_xlfn.XLOOKUP(Vendas[[#This Row],[ID Item Vendido]],Agregado[ID],Agregado[Revenda])</f>
        <v>43.7</v>
      </c>
      <c r="I2143" s="3">
        <f>Vendas[[#This Row],[Valor Unitário]]*Vendas[[#This Row],[Qnt Vendida]]</f>
        <v>874</v>
      </c>
      <c r="J2143" s="3">
        <f>Vendas[[#This Row],[Valor da Venda]]-(_xlfn.XLOOKUP(Vendas[[#This Row],[ID Item Vendido]],Agregado[ID],Agregado[Custo])*Vendas[[#This Row],[Qnt Vendida]])</f>
        <v>114</v>
      </c>
      <c r="K2143" s="70">
        <f>Vendas[[#This Row],[Lucro da Venda]]/Vendas[[#This Row],[Valor da Venda]]</f>
        <v>0.13043478260869565</v>
      </c>
      <c r="L2143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2143"/>
    </row>
    <row r="2144" spans="1:13" x14ac:dyDescent="0.3">
      <c r="A2144" s="7">
        <v>400250</v>
      </c>
      <c r="B2144" t="str">
        <f>_xlfn.XLOOKUP(Vendas[[#This Row],[ID Vendedor]],Vendedores[ID],Vendedores[Nome])</f>
        <v>Larissa</v>
      </c>
      <c r="C2144" s="7" t="str">
        <f>_xlfn.XLOOKUP(Vendas[[#This Row],[ID Vendedor]],Vendedores[ID],Vendedores[Setor])</f>
        <v>AB</v>
      </c>
      <c r="D2144" s="7" t="s">
        <v>39</v>
      </c>
      <c r="E2144" t="str">
        <f>_xlfn.XLOOKUP(Vendas[[#This Row],[ID Item Vendido]],Agregado[ID],Agregado[Produto])</f>
        <v>Filme plástico industrial rolo 50m</v>
      </c>
      <c r="F2144" s="39">
        <v>44910</v>
      </c>
      <c r="G2144" s="7">
        <v>29</v>
      </c>
      <c r="H2144" s="3">
        <f>_xlfn.XLOOKUP(Vendas[[#This Row],[ID Item Vendido]],Agregado[ID],Agregado[Revenda])</f>
        <v>37</v>
      </c>
      <c r="I2144" s="3">
        <f>Vendas[[#This Row],[Valor Unitário]]*Vendas[[#This Row],[Qnt Vendida]]</f>
        <v>1073</v>
      </c>
      <c r="J2144" s="3">
        <f>Vendas[[#This Row],[Valor da Venda]]-(_xlfn.XLOOKUP(Vendas[[#This Row],[ID Item Vendido]],Agregado[ID],Agregado[Custo])*Vendas[[#This Row],[Qnt Vendida]])</f>
        <v>261</v>
      </c>
      <c r="K2144" s="70">
        <f>Vendas[[#This Row],[Lucro da Venda]]/Vendas[[#This Row],[Valor da Venda]]</f>
        <v>0.24324324324324326</v>
      </c>
      <c r="L2144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2144"/>
    </row>
    <row r="2145" spans="1:13" x14ac:dyDescent="0.3">
      <c r="A2145" s="7">
        <v>400250</v>
      </c>
      <c r="B2145" t="str">
        <f>_xlfn.XLOOKUP(Vendas[[#This Row],[ID Vendedor]],Vendedores[ID],Vendedores[Nome])</f>
        <v>Larissa</v>
      </c>
      <c r="C2145" s="7" t="str">
        <f>_xlfn.XLOOKUP(Vendas[[#This Row],[ID Vendedor]],Vendedores[ID],Vendedores[Setor])</f>
        <v>AB</v>
      </c>
      <c r="D2145" s="7" t="s">
        <v>12</v>
      </c>
      <c r="E2145" t="str">
        <f>_xlfn.XLOOKUP(Vendas[[#This Row],[ID Item Vendido]],Agregado[ID],Agregado[Produto])</f>
        <v>Grânulo de plástico reciclado refinado</v>
      </c>
      <c r="F2145" s="39">
        <v>44910</v>
      </c>
      <c r="G2145" s="7">
        <v>28</v>
      </c>
      <c r="H2145" s="3">
        <f>_xlfn.XLOOKUP(Vendas[[#This Row],[ID Item Vendido]],Agregado[ID],Agregado[Revenda])</f>
        <v>4.7</v>
      </c>
      <c r="I2145" s="3">
        <f>Vendas[[#This Row],[Valor Unitário]]*Vendas[[#This Row],[Qnt Vendida]]</f>
        <v>131.6</v>
      </c>
      <c r="J2145" s="3">
        <f>Vendas[[#This Row],[Valor da Venda]]-(_xlfn.XLOOKUP(Vendas[[#This Row],[ID Item Vendido]],Agregado[ID],Agregado[Custo])*Vendas[[#This Row],[Qnt Vendida]])</f>
        <v>33.599999999999994</v>
      </c>
      <c r="K2145" s="70">
        <f>Vendas[[#This Row],[Lucro da Venda]]/Vendas[[#This Row],[Valor da Venda]]</f>
        <v>0.25531914893617019</v>
      </c>
      <c r="L2145" s="3">
        <f>_xlfn.IFS(Vendas[[#This Row],[Margem de Lucro (%)]]&lt;15%,Vendas[[#This Row],[Valor da Venda]]*3%,Vendas[[#This Row],[Margem de Lucro (%)]]&lt;=20%,Vendas[[#This Row],[Valor da Venda]]*4.5%,TRUE,Vendas[[#This Row],[Valor da Venda]]*6%)</f>
        <v>7.895999999999999</v>
      </c>
      <c r="M2145"/>
    </row>
    <row r="2146" spans="1:13" x14ac:dyDescent="0.3">
      <c r="A2146" s="7">
        <v>400250</v>
      </c>
      <c r="B2146" t="str">
        <f>_xlfn.XLOOKUP(Vendas[[#This Row],[ID Vendedor]],Vendedores[ID],Vendedores[Nome])</f>
        <v>Larissa</v>
      </c>
      <c r="C2146" s="7" t="str">
        <f>_xlfn.XLOOKUP(Vendas[[#This Row],[ID Vendedor]],Vendedores[ID],Vendedores[Setor])</f>
        <v>AB</v>
      </c>
      <c r="D2146" s="7" t="s">
        <v>24</v>
      </c>
      <c r="E2146" t="str">
        <f>_xlfn.XLOOKUP(Vendas[[#This Row],[ID Item Vendido]],Agregado[ID],Agregado[Produto])</f>
        <v>Resina plástica PET purificada saco de 25kg</v>
      </c>
      <c r="F2146" s="39">
        <v>44911</v>
      </c>
      <c r="G2146" s="7">
        <v>26</v>
      </c>
      <c r="H2146" s="3">
        <f>_xlfn.XLOOKUP(Vendas[[#This Row],[ID Item Vendido]],Agregado[ID],Agregado[Revenda])</f>
        <v>119</v>
      </c>
      <c r="I2146" s="3">
        <f>Vendas[[#This Row],[Valor Unitário]]*Vendas[[#This Row],[Qnt Vendida]]</f>
        <v>3094</v>
      </c>
      <c r="J2146" s="3">
        <f>Vendas[[#This Row],[Valor da Venda]]-(_xlfn.XLOOKUP(Vendas[[#This Row],[ID Item Vendido]],Agregado[ID],Agregado[Custo])*Vendas[[#This Row],[Qnt Vendida]])</f>
        <v>884</v>
      </c>
      <c r="K2146" s="70">
        <f>Vendas[[#This Row],[Lucro da Venda]]/Vendas[[#This Row],[Valor da Venda]]</f>
        <v>0.2857142857142857</v>
      </c>
      <c r="L2146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2146"/>
    </row>
    <row r="2147" spans="1:13" x14ac:dyDescent="0.3">
      <c r="A2147" s="7">
        <v>400253</v>
      </c>
      <c r="B2147" t="str">
        <f>_xlfn.XLOOKUP(Vendas[[#This Row],[ID Vendedor]],Vendedores[ID],Vendedores[Nome])</f>
        <v>Gustavo</v>
      </c>
      <c r="C2147" s="7" t="str">
        <f>_xlfn.XLOOKUP(Vendas[[#This Row],[ID Vendedor]],Vendedores[ID],Vendedores[Setor])</f>
        <v>SC</v>
      </c>
      <c r="D2147" s="7" t="s">
        <v>48</v>
      </c>
      <c r="E2147" t="str">
        <f>_xlfn.XLOOKUP(Vendas[[#This Row],[ID Item Vendido]],Agregado[ID],Agregado[Produto])</f>
        <v>Tambor metálico 200L</v>
      </c>
      <c r="F2147" s="39">
        <v>44911</v>
      </c>
      <c r="G2147" s="7">
        <v>18</v>
      </c>
      <c r="H2147" s="3">
        <f>_xlfn.XLOOKUP(Vendas[[#This Row],[ID Item Vendido]],Agregado[ID],Agregado[Revenda])</f>
        <v>144</v>
      </c>
      <c r="I2147" s="3">
        <f>Vendas[[#This Row],[Valor Unitário]]*Vendas[[#This Row],[Qnt Vendida]]</f>
        <v>2592</v>
      </c>
      <c r="J2147" s="3">
        <f>Vendas[[#This Row],[Valor da Venda]]-(_xlfn.XLOOKUP(Vendas[[#This Row],[ID Item Vendido]],Agregado[ID],Agregado[Custo])*Vendas[[#This Row],[Qnt Vendida]])</f>
        <v>432</v>
      </c>
      <c r="K2147" s="70">
        <f>Vendas[[#This Row],[Lucro da Venda]]/Vendas[[#This Row],[Valor da Venda]]</f>
        <v>0.16666666666666666</v>
      </c>
      <c r="L2147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147"/>
    </row>
    <row r="2148" spans="1:13" x14ac:dyDescent="0.3">
      <c r="A2148" s="7">
        <v>400242</v>
      </c>
      <c r="B2148" t="str">
        <f>_xlfn.XLOOKUP(Vendas[[#This Row],[ID Vendedor]],Vendedores[ID],Vendedores[Nome])</f>
        <v>Fernanda</v>
      </c>
      <c r="C2148" s="7" t="str">
        <f>_xlfn.XLOOKUP(Vendas[[#This Row],[ID Vendedor]],Vendedores[ID],Vendedores[Setor])</f>
        <v>FM</v>
      </c>
      <c r="D2148" s="7" t="s">
        <v>6</v>
      </c>
      <c r="E2148" t="str">
        <f>_xlfn.XLOOKUP(Vendas[[#This Row],[ID Item Vendido]],Agregado[ID],Agregado[Produto])</f>
        <v>Parafuso comum 500un</v>
      </c>
      <c r="F2148" s="39">
        <v>44911</v>
      </c>
      <c r="G2148" s="7">
        <v>22</v>
      </c>
      <c r="H2148" s="3">
        <f>_xlfn.XLOOKUP(Vendas[[#This Row],[ID Item Vendido]],Agregado[ID],Agregado[Revenda])</f>
        <v>24.6</v>
      </c>
      <c r="I2148" s="3">
        <f>Vendas[[#This Row],[Valor Unitário]]*Vendas[[#This Row],[Qnt Vendida]]</f>
        <v>541.20000000000005</v>
      </c>
      <c r="J2148" s="3">
        <f>Vendas[[#This Row],[Valor da Venda]]-(_xlfn.XLOOKUP(Vendas[[#This Row],[ID Item Vendido]],Agregado[ID],Agregado[Custo])*Vendas[[#This Row],[Qnt Vendida]])</f>
        <v>57.200000000000045</v>
      </c>
      <c r="K2148" s="70">
        <f>Vendas[[#This Row],[Lucro da Venda]]/Vendas[[#This Row],[Valor da Venda]]</f>
        <v>0.10569105691056918</v>
      </c>
      <c r="L2148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148"/>
    </row>
    <row r="2149" spans="1:13" x14ac:dyDescent="0.3">
      <c r="A2149" s="7">
        <v>400248</v>
      </c>
      <c r="B2149" t="str">
        <f>_xlfn.XLOOKUP(Vendas[[#This Row],[ID Vendedor]],Vendedores[ID],Vendedores[Nome])</f>
        <v>Patrícia</v>
      </c>
      <c r="C2149" s="7" t="str">
        <f>_xlfn.XLOOKUP(Vendas[[#This Row],[ID Vendedor]],Vendedores[ID],Vendedores[Setor])</f>
        <v>CM</v>
      </c>
      <c r="D2149" s="7" t="s">
        <v>45</v>
      </c>
      <c r="E2149" t="str">
        <f>_xlfn.XLOOKUP(Vendas[[#This Row],[ID Item Vendido]],Agregado[ID],Agregado[Produto])</f>
        <v>Viga de madeira tratada 4m</v>
      </c>
      <c r="F2149" s="39">
        <v>44912</v>
      </c>
      <c r="G2149" s="7">
        <v>17</v>
      </c>
      <c r="H2149" s="3">
        <f>_xlfn.XLOOKUP(Vendas[[#This Row],[ID Item Vendido]],Agregado[ID],Agregado[Revenda])</f>
        <v>66</v>
      </c>
      <c r="I2149" s="3">
        <f>Vendas[[#This Row],[Valor Unitário]]*Vendas[[#This Row],[Qnt Vendida]]</f>
        <v>1122</v>
      </c>
      <c r="J2149" s="3">
        <f>Vendas[[#This Row],[Valor da Venda]]-(_xlfn.XLOOKUP(Vendas[[#This Row],[ID Item Vendido]],Agregado[ID],Agregado[Custo])*Vendas[[#This Row],[Qnt Vendida]])</f>
        <v>187</v>
      </c>
      <c r="K2149" s="70">
        <f>Vendas[[#This Row],[Lucro da Venda]]/Vendas[[#This Row],[Valor da Venda]]</f>
        <v>0.16666666666666666</v>
      </c>
      <c r="L2149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2149"/>
    </row>
    <row r="2150" spans="1:13" x14ac:dyDescent="0.3">
      <c r="A2150" s="7">
        <v>400245</v>
      </c>
      <c r="B2150" t="str">
        <f>_xlfn.XLOOKUP(Vendas[[#This Row],[ID Vendedor]],Vendedores[ID],Vendedores[Nome])</f>
        <v>Thiago</v>
      </c>
      <c r="C2150" s="7" t="str">
        <f>_xlfn.XLOOKUP(Vendas[[#This Row],[ID Vendedor]],Vendedores[ID],Vendedores[Setor])</f>
        <v>AHD</v>
      </c>
      <c r="D2150" s="7" t="s">
        <v>9</v>
      </c>
      <c r="E2150" t="str">
        <f>_xlfn.XLOOKUP(Vendas[[#This Row],[ID Item Vendido]],Agregado[ID],Agregado[Produto])</f>
        <v>Barra de aço simples</v>
      </c>
      <c r="F2150" s="39">
        <v>44912</v>
      </c>
      <c r="G2150" s="7">
        <v>42</v>
      </c>
      <c r="H2150" s="3">
        <f>_xlfn.XLOOKUP(Vendas[[#This Row],[ID Item Vendido]],Agregado[ID],Agregado[Revenda])</f>
        <v>6.7</v>
      </c>
      <c r="I2150" s="3">
        <f>Vendas[[#This Row],[Valor Unitário]]*Vendas[[#This Row],[Qnt Vendida]]</f>
        <v>281.40000000000003</v>
      </c>
      <c r="J2150" s="3">
        <f>Vendas[[#This Row],[Valor da Venda]]-(_xlfn.XLOOKUP(Vendas[[#This Row],[ID Item Vendido]],Agregado[ID],Agregado[Custo])*Vendas[[#This Row],[Qnt Vendida]])</f>
        <v>37.80000000000004</v>
      </c>
      <c r="K2150" s="70">
        <f>Vendas[[#This Row],[Lucro da Venda]]/Vendas[[#This Row],[Valor da Venda]]</f>
        <v>0.13432835820895536</v>
      </c>
      <c r="L2150" s="3">
        <f>_xlfn.IFS(Vendas[[#This Row],[Margem de Lucro (%)]]&lt;15%,Vendas[[#This Row],[Valor da Venda]]*3%,Vendas[[#This Row],[Margem de Lucro (%)]]&lt;=20%,Vendas[[#This Row],[Valor da Venda]]*4.5%,TRUE,Vendas[[#This Row],[Valor da Venda]]*6%)</f>
        <v>8.4420000000000002</v>
      </c>
      <c r="M2150"/>
    </row>
    <row r="2151" spans="1:13" x14ac:dyDescent="0.3">
      <c r="A2151" s="7">
        <v>400242</v>
      </c>
      <c r="B2151" t="str">
        <f>_xlfn.XLOOKUP(Vendas[[#This Row],[ID Vendedor]],Vendedores[ID],Vendedores[Nome])</f>
        <v>Fernanda</v>
      </c>
      <c r="C2151" s="7" t="str">
        <f>_xlfn.XLOOKUP(Vendas[[#This Row],[ID Vendedor]],Vendedores[ID],Vendedores[Setor])</f>
        <v>FM</v>
      </c>
      <c r="D2151" s="7" t="s">
        <v>27</v>
      </c>
      <c r="E2151" t="str">
        <f>_xlfn.XLOOKUP(Vendas[[#This Row],[ID Item Vendido]],Agregado[ID],Agregado[Produto])</f>
        <v>Chapa de metal lisa 1x2m</v>
      </c>
      <c r="F2151" s="39">
        <v>44913</v>
      </c>
      <c r="G2151" s="7">
        <v>28</v>
      </c>
      <c r="H2151" s="3">
        <f>_xlfn.XLOOKUP(Vendas[[#This Row],[ID Item Vendido]],Agregado[ID],Agregado[Revenda])</f>
        <v>52</v>
      </c>
      <c r="I2151" s="3">
        <f>Vendas[[#This Row],[Valor Unitário]]*Vendas[[#This Row],[Qnt Vendida]]</f>
        <v>1456</v>
      </c>
      <c r="J2151" s="3">
        <f>Vendas[[#This Row],[Valor da Venda]]-(_xlfn.XLOOKUP(Vendas[[#This Row],[ID Item Vendido]],Agregado[ID],Agregado[Custo])*Vendas[[#This Row],[Qnt Vendida]])</f>
        <v>196</v>
      </c>
      <c r="K2151" s="70">
        <f>Vendas[[#This Row],[Lucro da Venda]]/Vendas[[#This Row],[Valor da Venda]]</f>
        <v>0.13461538461538461</v>
      </c>
      <c r="L2151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2151"/>
    </row>
    <row r="2152" spans="1:13" x14ac:dyDescent="0.3">
      <c r="A2152" s="7">
        <v>400244</v>
      </c>
      <c r="B2152" t="str">
        <f>_xlfn.XLOOKUP(Vendas[[#This Row],[ID Vendedor]],Vendedores[ID],Vendedores[Nome])</f>
        <v>Camila</v>
      </c>
      <c r="C2152" s="7" t="str">
        <f>_xlfn.XLOOKUP(Vendas[[#This Row],[ID Vendedor]],Vendedores[ID],Vendedores[Setor])</f>
        <v>AHD</v>
      </c>
      <c r="D2152" s="7" t="s">
        <v>44</v>
      </c>
      <c r="E2152" t="str">
        <f>_xlfn.XLOOKUP(Vendas[[#This Row],[ID Item Vendido]],Agregado[ID],Agregado[Produto])</f>
        <v>Liga metálica especial</v>
      </c>
      <c r="F2152" s="39">
        <v>44914</v>
      </c>
      <c r="G2152" s="7">
        <v>42</v>
      </c>
      <c r="H2152" s="3">
        <f>_xlfn.XLOOKUP(Vendas[[#This Row],[ID Item Vendido]],Agregado[ID],Agregado[Revenda])</f>
        <v>32.5</v>
      </c>
      <c r="I2152" s="3">
        <f>Vendas[[#This Row],[Valor Unitário]]*Vendas[[#This Row],[Qnt Vendida]]</f>
        <v>1365</v>
      </c>
      <c r="J2152" s="3">
        <f>Vendas[[#This Row],[Valor da Venda]]-(_xlfn.XLOOKUP(Vendas[[#This Row],[ID Item Vendido]],Agregado[ID],Agregado[Custo])*Vendas[[#This Row],[Qnt Vendida]])</f>
        <v>315</v>
      </c>
      <c r="K2152" s="70">
        <f>Vendas[[#This Row],[Lucro da Venda]]/Vendas[[#This Row],[Valor da Venda]]</f>
        <v>0.23076923076923078</v>
      </c>
      <c r="L2152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2152"/>
    </row>
    <row r="2153" spans="1:13" x14ac:dyDescent="0.3">
      <c r="A2153" s="7">
        <v>400255</v>
      </c>
      <c r="B2153" t="str">
        <f>_xlfn.XLOOKUP(Vendas[[#This Row],[ID Vendedor]],Vendedores[ID],Vendedores[Nome])</f>
        <v>Carlos</v>
      </c>
      <c r="C2153" s="7" t="str">
        <f>_xlfn.XLOOKUP(Vendas[[#This Row],[ID Vendedor]],Vendedores[ID],Vendedores[Setor])</f>
        <v>SC</v>
      </c>
      <c r="D2153" s="7" t="s">
        <v>14</v>
      </c>
      <c r="E2153" t="str">
        <f>_xlfn.XLOOKUP(Vendas[[#This Row],[ID Item Vendido]],Agregado[ID],Agregado[Produto])</f>
        <v>Barril de plástico 200L</v>
      </c>
      <c r="F2153" s="39">
        <v>44914</v>
      </c>
      <c r="G2153" s="7">
        <v>9</v>
      </c>
      <c r="H2153" s="3">
        <f>_xlfn.XLOOKUP(Vendas[[#This Row],[ID Item Vendido]],Agregado[ID],Agregado[Revenda])</f>
        <v>114</v>
      </c>
      <c r="I2153" s="3">
        <f>Vendas[[#This Row],[Valor Unitário]]*Vendas[[#This Row],[Qnt Vendida]]</f>
        <v>1026</v>
      </c>
      <c r="J2153" s="3">
        <f>Vendas[[#This Row],[Valor da Venda]]-(_xlfn.XLOOKUP(Vendas[[#This Row],[ID Item Vendido]],Agregado[ID],Agregado[Custo])*Vendas[[#This Row],[Qnt Vendida]])</f>
        <v>171</v>
      </c>
      <c r="K2153" s="70">
        <f>Vendas[[#This Row],[Lucro da Venda]]/Vendas[[#This Row],[Valor da Venda]]</f>
        <v>0.16666666666666666</v>
      </c>
      <c r="L2153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2153"/>
    </row>
    <row r="2154" spans="1:13" x14ac:dyDescent="0.3">
      <c r="A2154" s="7">
        <v>400250</v>
      </c>
      <c r="B2154" t="str">
        <f>_xlfn.XLOOKUP(Vendas[[#This Row],[ID Vendedor]],Vendedores[ID],Vendedores[Nome])</f>
        <v>Larissa</v>
      </c>
      <c r="C2154" s="7" t="str">
        <f>_xlfn.XLOOKUP(Vendas[[#This Row],[ID Vendedor]],Vendedores[ID],Vendedores[Setor])</f>
        <v>AB</v>
      </c>
      <c r="D2154" s="7" t="s">
        <v>39</v>
      </c>
      <c r="E2154" t="str">
        <f>_xlfn.XLOOKUP(Vendas[[#This Row],[ID Item Vendido]],Agregado[ID],Agregado[Produto])</f>
        <v>Filme plástico industrial rolo 50m</v>
      </c>
      <c r="F2154" s="39">
        <v>44914</v>
      </c>
      <c r="G2154" s="7">
        <v>20</v>
      </c>
      <c r="H2154" s="3">
        <f>_xlfn.XLOOKUP(Vendas[[#This Row],[ID Item Vendido]],Agregado[ID],Agregado[Revenda])</f>
        <v>37</v>
      </c>
      <c r="I2154" s="3">
        <f>Vendas[[#This Row],[Valor Unitário]]*Vendas[[#This Row],[Qnt Vendida]]</f>
        <v>740</v>
      </c>
      <c r="J2154" s="3">
        <f>Vendas[[#This Row],[Valor da Venda]]-(_xlfn.XLOOKUP(Vendas[[#This Row],[ID Item Vendido]],Agregado[ID],Agregado[Custo])*Vendas[[#This Row],[Qnt Vendida]])</f>
        <v>180</v>
      </c>
      <c r="K2154" s="70">
        <f>Vendas[[#This Row],[Lucro da Venda]]/Vendas[[#This Row],[Valor da Venda]]</f>
        <v>0.24324324324324326</v>
      </c>
      <c r="L2154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2154"/>
    </row>
    <row r="2155" spans="1:13" x14ac:dyDescent="0.3">
      <c r="A2155" s="7">
        <v>400244</v>
      </c>
      <c r="B2155" t="str">
        <f>_xlfn.XLOOKUP(Vendas[[#This Row],[ID Vendedor]],Vendedores[ID],Vendedores[Nome])</f>
        <v>Camila</v>
      </c>
      <c r="C2155" s="7" t="str">
        <f>_xlfn.XLOOKUP(Vendas[[#This Row],[ID Vendedor]],Vendedores[ID],Vendedores[Setor])</f>
        <v>AHD</v>
      </c>
      <c r="D2155" s="7" t="s">
        <v>9</v>
      </c>
      <c r="E2155" t="str">
        <f>_xlfn.XLOOKUP(Vendas[[#This Row],[ID Item Vendido]],Agregado[ID],Agregado[Produto])</f>
        <v>Barra de aço simples</v>
      </c>
      <c r="F2155" s="39">
        <v>44914</v>
      </c>
      <c r="G2155" s="7">
        <v>100</v>
      </c>
      <c r="H2155" s="3">
        <f>_xlfn.XLOOKUP(Vendas[[#This Row],[ID Item Vendido]],Agregado[ID],Agregado[Revenda])</f>
        <v>6.7</v>
      </c>
      <c r="I2155" s="3">
        <f>Vendas[[#This Row],[Valor Unitário]]*Vendas[[#This Row],[Qnt Vendida]]</f>
        <v>670</v>
      </c>
      <c r="J2155" s="3">
        <f>Vendas[[#This Row],[Valor da Venda]]-(_xlfn.XLOOKUP(Vendas[[#This Row],[ID Item Vendido]],Agregado[ID],Agregado[Custo])*Vendas[[#This Row],[Qnt Vendida]])</f>
        <v>90</v>
      </c>
      <c r="K2155" s="70">
        <f>Vendas[[#This Row],[Lucro da Venda]]/Vendas[[#This Row],[Valor da Venda]]</f>
        <v>0.13432835820895522</v>
      </c>
      <c r="L2155" s="3">
        <f>_xlfn.IFS(Vendas[[#This Row],[Margem de Lucro (%)]]&lt;15%,Vendas[[#This Row],[Valor da Venda]]*3%,Vendas[[#This Row],[Margem de Lucro (%)]]&lt;=20%,Vendas[[#This Row],[Valor da Venda]]*4.5%,TRUE,Vendas[[#This Row],[Valor da Venda]]*6%)</f>
        <v>20.099999999999998</v>
      </c>
      <c r="M2155"/>
    </row>
    <row r="2156" spans="1:13" x14ac:dyDescent="0.3">
      <c r="A2156" s="7">
        <v>400248</v>
      </c>
      <c r="B2156" t="str">
        <f>_xlfn.XLOOKUP(Vendas[[#This Row],[ID Vendedor]],Vendedores[ID],Vendedores[Nome])</f>
        <v>Patrícia</v>
      </c>
      <c r="C2156" s="7" t="str">
        <f>_xlfn.XLOOKUP(Vendas[[#This Row],[ID Vendedor]],Vendedores[ID],Vendedores[Setor])</f>
        <v>CM</v>
      </c>
      <c r="D2156" s="7" t="s">
        <v>34</v>
      </c>
      <c r="E2156" t="str">
        <f>_xlfn.XLOOKUP(Vendas[[#This Row],[ID Item Vendido]],Agregado[ID],Agregado[Produto])</f>
        <v>Restos de madeira p/ MDP/OSB saco de 20kg</v>
      </c>
      <c r="F2156" s="39">
        <v>44914</v>
      </c>
      <c r="G2156" s="7">
        <v>23</v>
      </c>
      <c r="H2156" s="3">
        <f>_xlfn.XLOOKUP(Vendas[[#This Row],[ID Item Vendido]],Agregado[ID],Agregado[Revenda])</f>
        <v>13.8</v>
      </c>
      <c r="I2156" s="3">
        <f>Vendas[[#This Row],[Valor Unitário]]*Vendas[[#This Row],[Qnt Vendida]]</f>
        <v>317.40000000000003</v>
      </c>
      <c r="J2156" s="3">
        <f>Vendas[[#This Row],[Valor da Venda]]-(_xlfn.XLOOKUP(Vendas[[#This Row],[ID Item Vendido]],Agregado[ID],Agregado[Custo])*Vendas[[#This Row],[Qnt Vendida]])</f>
        <v>41.400000000000034</v>
      </c>
      <c r="K2156" s="70">
        <f>Vendas[[#This Row],[Lucro da Venda]]/Vendas[[#This Row],[Valor da Venda]]</f>
        <v>0.13043478260869573</v>
      </c>
      <c r="L2156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2156"/>
    </row>
    <row r="2157" spans="1:13" x14ac:dyDescent="0.3">
      <c r="A2157" s="7">
        <v>400251</v>
      </c>
      <c r="B2157" t="str">
        <f>_xlfn.XLOOKUP(Vendas[[#This Row],[ID Vendedor]],Vendedores[ID],Vendedores[Nome])</f>
        <v>Diego</v>
      </c>
      <c r="C2157" s="7" t="str">
        <f>_xlfn.XLOOKUP(Vendas[[#This Row],[ID Vendedor]],Vendedores[ID],Vendedores[Setor])</f>
        <v>AB</v>
      </c>
      <c r="D2157" s="7" t="s">
        <v>12</v>
      </c>
      <c r="E2157" t="str">
        <f>_xlfn.XLOOKUP(Vendas[[#This Row],[ID Item Vendido]],Agregado[ID],Agregado[Produto])</f>
        <v>Grânulo de plástico reciclado refinado</v>
      </c>
      <c r="F2157" s="39">
        <v>44914</v>
      </c>
      <c r="G2157" s="7">
        <v>41</v>
      </c>
      <c r="H2157" s="3">
        <f>_xlfn.XLOOKUP(Vendas[[#This Row],[ID Item Vendido]],Agregado[ID],Agregado[Revenda])</f>
        <v>4.7</v>
      </c>
      <c r="I2157" s="3">
        <f>Vendas[[#This Row],[Valor Unitário]]*Vendas[[#This Row],[Qnt Vendida]]</f>
        <v>192.70000000000002</v>
      </c>
      <c r="J2157" s="3">
        <f>Vendas[[#This Row],[Valor da Venda]]-(_xlfn.XLOOKUP(Vendas[[#This Row],[ID Item Vendido]],Agregado[ID],Agregado[Custo])*Vendas[[#This Row],[Qnt Vendida]])</f>
        <v>49.200000000000017</v>
      </c>
      <c r="K2157" s="70">
        <f>Vendas[[#This Row],[Lucro da Venda]]/Vendas[[#This Row],[Valor da Venda]]</f>
        <v>0.2553191489361703</v>
      </c>
      <c r="L2157" s="3">
        <f>_xlfn.IFS(Vendas[[#This Row],[Margem de Lucro (%)]]&lt;15%,Vendas[[#This Row],[Valor da Venda]]*3%,Vendas[[#This Row],[Margem de Lucro (%)]]&lt;=20%,Vendas[[#This Row],[Valor da Venda]]*4.5%,TRUE,Vendas[[#This Row],[Valor da Venda]]*6%)</f>
        <v>11.562000000000001</v>
      </c>
      <c r="M2157"/>
    </row>
    <row r="2158" spans="1:13" x14ac:dyDescent="0.3">
      <c r="A2158" s="7">
        <v>400249</v>
      </c>
      <c r="B2158" t="str">
        <f>_xlfn.XLOOKUP(Vendas[[#This Row],[ID Vendedor]],Vendedores[ID],Vendedores[Nome])</f>
        <v>Bruno</v>
      </c>
      <c r="C2158" s="7" t="str">
        <f>_xlfn.XLOOKUP(Vendas[[#This Row],[ID Vendedor]],Vendedores[ID],Vendedores[Setor])</f>
        <v>CM</v>
      </c>
      <c r="D2158" s="7" t="s">
        <v>43</v>
      </c>
      <c r="E2158" t="str">
        <f>_xlfn.XLOOKUP(Vendas[[#This Row],[ID Item Vendido]],Agregado[ID],Agregado[Produto])</f>
        <v>Madeira Bruta (Tora)</v>
      </c>
      <c r="F2158" s="39">
        <v>44915</v>
      </c>
      <c r="G2158" s="7">
        <v>6</v>
      </c>
      <c r="H2158" s="3">
        <f>_xlfn.XLOOKUP(Vendas[[#This Row],[ID Item Vendido]],Agregado[ID],Agregado[Revenda])</f>
        <v>212</v>
      </c>
      <c r="I2158" s="3">
        <f>Vendas[[#This Row],[Valor Unitário]]*Vendas[[#This Row],[Qnt Vendida]]</f>
        <v>1272</v>
      </c>
      <c r="J2158" s="3">
        <f>Vendas[[#This Row],[Valor da Venda]]-(_xlfn.XLOOKUP(Vendas[[#This Row],[ID Item Vendido]],Agregado[ID],Agregado[Custo])*Vendas[[#This Row],[Qnt Vendida]])</f>
        <v>192</v>
      </c>
      <c r="K2158" s="70">
        <f>Vendas[[#This Row],[Lucro da Venda]]/Vendas[[#This Row],[Valor da Venda]]</f>
        <v>0.15094339622641509</v>
      </c>
      <c r="L215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2158"/>
    </row>
    <row r="2159" spans="1:13" x14ac:dyDescent="0.3">
      <c r="A2159" s="7">
        <v>400242</v>
      </c>
      <c r="B2159" t="str">
        <f>_xlfn.XLOOKUP(Vendas[[#This Row],[ID Vendedor]],Vendedores[ID],Vendedores[Nome])</f>
        <v>Fernanda</v>
      </c>
      <c r="C2159" s="7" t="str">
        <f>_xlfn.XLOOKUP(Vendas[[#This Row],[ID Vendedor]],Vendedores[ID],Vendedores[Setor])</f>
        <v>FM</v>
      </c>
      <c r="D2159" s="7" t="s">
        <v>31</v>
      </c>
      <c r="E2159" t="str">
        <f>_xlfn.XLOOKUP(Vendas[[#This Row],[ID Item Vendido]],Agregado[ID],Agregado[Produto])</f>
        <v>Tela de metal soldada rolo 2x25m</v>
      </c>
      <c r="F2159" s="39">
        <v>44915</v>
      </c>
      <c r="G2159" s="7">
        <v>13</v>
      </c>
      <c r="H2159" s="3">
        <f>_xlfn.XLOOKUP(Vendas[[#This Row],[ID Item Vendido]],Agregado[ID],Agregado[Revenda])</f>
        <v>43.7</v>
      </c>
      <c r="I2159" s="3">
        <f>Vendas[[#This Row],[Valor Unitário]]*Vendas[[#This Row],[Qnt Vendida]]</f>
        <v>568.1</v>
      </c>
      <c r="J2159" s="3">
        <f>Vendas[[#This Row],[Valor da Venda]]-(_xlfn.XLOOKUP(Vendas[[#This Row],[ID Item Vendido]],Agregado[ID],Agregado[Custo])*Vendas[[#This Row],[Qnt Vendida]])</f>
        <v>74.100000000000023</v>
      </c>
      <c r="K2159" s="70">
        <f>Vendas[[#This Row],[Lucro da Venda]]/Vendas[[#This Row],[Valor da Venda]]</f>
        <v>0.13043478260869568</v>
      </c>
      <c r="L2159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2159"/>
    </row>
    <row r="2160" spans="1:13" x14ac:dyDescent="0.3">
      <c r="A2160" s="7">
        <v>400242</v>
      </c>
      <c r="B2160" t="str">
        <f>_xlfn.XLOOKUP(Vendas[[#This Row],[ID Vendedor]],Vendedores[ID],Vendedores[Nome])</f>
        <v>Fernanda</v>
      </c>
      <c r="C2160" s="7" t="str">
        <f>_xlfn.XLOOKUP(Vendas[[#This Row],[ID Vendedor]],Vendedores[ID],Vendedores[Setor])</f>
        <v>FM</v>
      </c>
      <c r="D2160" s="7" t="s">
        <v>6</v>
      </c>
      <c r="E2160" t="str">
        <f>_xlfn.XLOOKUP(Vendas[[#This Row],[ID Item Vendido]],Agregado[ID],Agregado[Produto])</f>
        <v>Parafuso comum 500un</v>
      </c>
      <c r="F2160" s="39">
        <v>44915</v>
      </c>
      <c r="G2160" s="7">
        <v>19</v>
      </c>
      <c r="H2160" s="3">
        <f>_xlfn.XLOOKUP(Vendas[[#This Row],[ID Item Vendido]],Agregado[ID],Agregado[Revenda])</f>
        <v>24.6</v>
      </c>
      <c r="I2160" s="3">
        <f>Vendas[[#This Row],[Valor Unitário]]*Vendas[[#This Row],[Qnt Vendida]]</f>
        <v>467.40000000000003</v>
      </c>
      <c r="J2160" s="3">
        <f>Vendas[[#This Row],[Valor da Venda]]-(_xlfn.XLOOKUP(Vendas[[#This Row],[ID Item Vendido]],Agregado[ID],Agregado[Custo])*Vendas[[#This Row],[Qnt Vendida]])</f>
        <v>49.400000000000034</v>
      </c>
      <c r="K2160" s="70">
        <f>Vendas[[#This Row],[Lucro da Venda]]/Vendas[[#This Row],[Valor da Venda]]</f>
        <v>0.10569105691056917</v>
      </c>
      <c r="L216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2160"/>
    </row>
    <row r="2161" spans="1:13" x14ac:dyDescent="0.3">
      <c r="A2161" s="7">
        <v>400253</v>
      </c>
      <c r="B2161" t="str">
        <f>_xlfn.XLOOKUP(Vendas[[#This Row],[ID Vendedor]],Vendedores[ID],Vendedores[Nome])</f>
        <v>Gustavo</v>
      </c>
      <c r="C2161" s="7" t="str">
        <f>_xlfn.XLOOKUP(Vendas[[#This Row],[ID Vendedor]],Vendedores[ID],Vendedores[Setor])</f>
        <v>SC</v>
      </c>
      <c r="D2161" s="7" t="s">
        <v>14</v>
      </c>
      <c r="E2161" t="str">
        <f>_xlfn.XLOOKUP(Vendas[[#This Row],[ID Item Vendido]],Agregado[ID],Agregado[Produto])</f>
        <v>Barril de plástico 200L</v>
      </c>
      <c r="F2161" s="39">
        <v>44916</v>
      </c>
      <c r="G2161" s="7">
        <v>10</v>
      </c>
      <c r="H2161" s="3">
        <f>_xlfn.XLOOKUP(Vendas[[#This Row],[ID Item Vendido]],Agregado[ID],Agregado[Revenda])</f>
        <v>114</v>
      </c>
      <c r="I2161" s="3">
        <f>Vendas[[#This Row],[Valor Unitário]]*Vendas[[#This Row],[Qnt Vendida]]</f>
        <v>1140</v>
      </c>
      <c r="J2161" s="3">
        <f>Vendas[[#This Row],[Valor da Venda]]-(_xlfn.XLOOKUP(Vendas[[#This Row],[ID Item Vendido]],Agregado[ID],Agregado[Custo])*Vendas[[#This Row],[Qnt Vendida]])</f>
        <v>190</v>
      </c>
      <c r="K2161" s="70">
        <f>Vendas[[#This Row],[Lucro da Venda]]/Vendas[[#This Row],[Valor da Venda]]</f>
        <v>0.16666666666666666</v>
      </c>
      <c r="L2161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2161"/>
    </row>
    <row r="2162" spans="1:13" x14ac:dyDescent="0.3">
      <c r="A2162" s="7">
        <v>400251</v>
      </c>
      <c r="B2162" t="str">
        <f>_xlfn.XLOOKUP(Vendas[[#This Row],[ID Vendedor]],Vendedores[ID],Vendedores[Nome])</f>
        <v>Diego</v>
      </c>
      <c r="C2162" s="7" t="str">
        <f>_xlfn.XLOOKUP(Vendas[[#This Row],[ID Vendedor]],Vendedores[ID],Vendedores[Setor])</f>
        <v>AB</v>
      </c>
      <c r="D2162" s="7" t="s">
        <v>12</v>
      </c>
      <c r="E2162" t="str">
        <f>_xlfn.XLOOKUP(Vendas[[#This Row],[ID Item Vendido]],Agregado[ID],Agregado[Produto])</f>
        <v>Grânulo de plástico reciclado refinado</v>
      </c>
      <c r="F2162" s="39">
        <v>44916</v>
      </c>
      <c r="G2162" s="7">
        <v>132</v>
      </c>
      <c r="H2162" s="3">
        <f>_xlfn.XLOOKUP(Vendas[[#This Row],[ID Item Vendido]],Agregado[ID],Agregado[Revenda])</f>
        <v>4.7</v>
      </c>
      <c r="I2162" s="3">
        <f>Vendas[[#This Row],[Valor Unitário]]*Vendas[[#This Row],[Qnt Vendida]]</f>
        <v>620.4</v>
      </c>
      <c r="J2162" s="3">
        <f>Vendas[[#This Row],[Valor da Venda]]-(_xlfn.XLOOKUP(Vendas[[#This Row],[ID Item Vendido]],Agregado[ID],Agregado[Custo])*Vendas[[#This Row],[Qnt Vendida]])</f>
        <v>158.39999999999998</v>
      </c>
      <c r="K2162" s="70">
        <f>Vendas[[#This Row],[Lucro da Venda]]/Vendas[[#This Row],[Valor da Venda]]</f>
        <v>0.25531914893617019</v>
      </c>
      <c r="L2162" s="3">
        <f>_xlfn.IFS(Vendas[[#This Row],[Margem de Lucro (%)]]&lt;15%,Vendas[[#This Row],[Valor da Venda]]*3%,Vendas[[#This Row],[Margem de Lucro (%)]]&lt;=20%,Vendas[[#This Row],[Valor da Venda]]*4.5%,TRUE,Vendas[[#This Row],[Valor da Venda]]*6%)</f>
        <v>37.223999999999997</v>
      </c>
      <c r="M2162"/>
    </row>
    <row r="2163" spans="1:13" x14ac:dyDescent="0.3">
      <c r="A2163" s="7">
        <v>400242</v>
      </c>
      <c r="B2163" t="str">
        <f>_xlfn.XLOOKUP(Vendas[[#This Row],[ID Vendedor]],Vendedores[ID],Vendedores[Nome])</f>
        <v>Fernanda</v>
      </c>
      <c r="C2163" s="7" t="str">
        <f>_xlfn.XLOOKUP(Vendas[[#This Row],[ID Vendedor]],Vendedores[ID],Vendedores[Setor])</f>
        <v>FM</v>
      </c>
      <c r="D2163" s="7" t="s">
        <v>27</v>
      </c>
      <c r="E2163" t="str">
        <f>_xlfn.XLOOKUP(Vendas[[#This Row],[ID Item Vendido]],Agregado[ID],Agregado[Produto])</f>
        <v>Chapa de metal lisa 1x2m</v>
      </c>
      <c r="F2163" s="39">
        <v>44917</v>
      </c>
      <c r="G2163" s="7">
        <v>11</v>
      </c>
      <c r="H2163" s="3">
        <f>_xlfn.XLOOKUP(Vendas[[#This Row],[ID Item Vendido]],Agregado[ID],Agregado[Revenda])</f>
        <v>52</v>
      </c>
      <c r="I2163" s="3">
        <f>Vendas[[#This Row],[Valor Unitário]]*Vendas[[#This Row],[Qnt Vendida]]</f>
        <v>572</v>
      </c>
      <c r="J2163" s="3">
        <f>Vendas[[#This Row],[Valor da Venda]]-(_xlfn.XLOOKUP(Vendas[[#This Row],[ID Item Vendido]],Agregado[ID],Agregado[Custo])*Vendas[[#This Row],[Qnt Vendida]])</f>
        <v>77</v>
      </c>
      <c r="K2163" s="70">
        <f>Vendas[[#This Row],[Lucro da Venda]]/Vendas[[#This Row],[Valor da Venda]]</f>
        <v>0.13461538461538461</v>
      </c>
      <c r="L2163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2163"/>
    </row>
    <row r="2164" spans="1:13" x14ac:dyDescent="0.3">
      <c r="A2164" s="7">
        <v>400247</v>
      </c>
      <c r="B2164" t="str">
        <f>_xlfn.XLOOKUP(Vendas[[#This Row],[ID Vendedor]],Vendedores[ID],Vendedores[Nome])</f>
        <v>André</v>
      </c>
      <c r="C2164" s="7" t="str">
        <f>_xlfn.XLOOKUP(Vendas[[#This Row],[ID Vendedor]],Vendedores[ID],Vendedores[Setor])</f>
        <v>CM</v>
      </c>
      <c r="D2164" s="7" t="s">
        <v>32</v>
      </c>
      <c r="E2164" t="str">
        <f>_xlfn.XLOOKUP(Vendas[[#This Row],[ID Item Vendido]],Agregado[ID],Agregado[Produto])</f>
        <v>Tábua tratada e cortada 3m</v>
      </c>
      <c r="F2164" s="39">
        <v>44917</v>
      </c>
      <c r="G2164" s="7">
        <v>10</v>
      </c>
      <c r="H2164" s="3">
        <f>_xlfn.XLOOKUP(Vendas[[#This Row],[ID Item Vendido]],Agregado[ID],Agregado[Revenda])</f>
        <v>39</v>
      </c>
      <c r="I2164" s="3">
        <f>Vendas[[#This Row],[Valor Unitário]]*Vendas[[#This Row],[Qnt Vendida]]</f>
        <v>390</v>
      </c>
      <c r="J2164" s="3">
        <f>Vendas[[#This Row],[Valor da Venda]]-(_xlfn.XLOOKUP(Vendas[[#This Row],[ID Item Vendido]],Agregado[ID],Agregado[Custo])*Vendas[[#This Row],[Qnt Vendida]])</f>
        <v>70</v>
      </c>
      <c r="K2164" s="70">
        <f>Vendas[[#This Row],[Lucro da Venda]]/Vendas[[#This Row],[Valor da Venda]]</f>
        <v>0.17948717948717949</v>
      </c>
      <c r="L2164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2164"/>
    </row>
    <row r="2165" spans="1:13" x14ac:dyDescent="0.3">
      <c r="A2165" s="7">
        <v>400253</v>
      </c>
      <c r="B2165" t="str">
        <f>_xlfn.XLOOKUP(Vendas[[#This Row],[ID Vendedor]],Vendedores[ID],Vendedores[Nome])</f>
        <v>Gustavo</v>
      </c>
      <c r="C2165" s="7" t="str">
        <f>_xlfn.XLOOKUP(Vendas[[#This Row],[ID Vendedor]],Vendedores[ID],Vendedores[Setor])</f>
        <v>SC</v>
      </c>
      <c r="D2165" s="7" t="s">
        <v>48</v>
      </c>
      <c r="E2165" t="str">
        <f>_xlfn.XLOOKUP(Vendas[[#This Row],[ID Item Vendido]],Agregado[ID],Agregado[Produto])</f>
        <v>Tambor metálico 200L</v>
      </c>
      <c r="F2165" s="39">
        <v>44917</v>
      </c>
      <c r="G2165" s="7">
        <v>2</v>
      </c>
      <c r="H2165" s="3">
        <f>_xlfn.XLOOKUP(Vendas[[#This Row],[ID Item Vendido]],Agregado[ID],Agregado[Revenda])</f>
        <v>144</v>
      </c>
      <c r="I2165" s="3">
        <f>Vendas[[#This Row],[Valor Unitário]]*Vendas[[#This Row],[Qnt Vendida]]</f>
        <v>288</v>
      </c>
      <c r="J2165" s="3">
        <f>Vendas[[#This Row],[Valor da Venda]]-(_xlfn.XLOOKUP(Vendas[[#This Row],[ID Item Vendido]],Agregado[ID],Agregado[Custo])*Vendas[[#This Row],[Qnt Vendida]])</f>
        <v>48</v>
      </c>
      <c r="K2165" s="70">
        <f>Vendas[[#This Row],[Lucro da Venda]]/Vendas[[#This Row],[Valor da Venda]]</f>
        <v>0.16666666666666666</v>
      </c>
      <c r="L2165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2165"/>
    </row>
    <row r="2166" spans="1:13" x14ac:dyDescent="0.3">
      <c r="A2166" s="7">
        <v>400248</v>
      </c>
      <c r="B2166" t="str">
        <f>_xlfn.XLOOKUP(Vendas[[#This Row],[ID Vendedor]],Vendedores[ID],Vendedores[Nome])</f>
        <v>Patrícia</v>
      </c>
      <c r="C2166" s="7" t="str">
        <f>_xlfn.XLOOKUP(Vendas[[#This Row],[ID Vendedor]],Vendedores[ID],Vendedores[Setor])</f>
        <v>CM</v>
      </c>
      <c r="D2166" s="7" t="s">
        <v>43</v>
      </c>
      <c r="E2166" t="str">
        <f>_xlfn.XLOOKUP(Vendas[[#This Row],[ID Item Vendido]],Agregado[ID],Agregado[Produto])</f>
        <v>Madeira Bruta (Tora)</v>
      </c>
      <c r="F2166" s="39">
        <v>44918</v>
      </c>
      <c r="G2166" s="7">
        <v>1</v>
      </c>
      <c r="H2166" s="3">
        <f>_xlfn.XLOOKUP(Vendas[[#This Row],[ID Item Vendido]],Agregado[ID],Agregado[Revenda])</f>
        <v>212</v>
      </c>
      <c r="I2166" s="3">
        <f>Vendas[[#This Row],[Valor Unitário]]*Vendas[[#This Row],[Qnt Vendida]]</f>
        <v>212</v>
      </c>
      <c r="J2166" s="3">
        <f>Vendas[[#This Row],[Valor da Venda]]-(_xlfn.XLOOKUP(Vendas[[#This Row],[ID Item Vendido]],Agregado[ID],Agregado[Custo])*Vendas[[#This Row],[Qnt Vendida]])</f>
        <v>32</v>
      </c>
      <c r="K2166" s="70">
        <f>Vendas[[#This Row],[Lucro da Venda]]/Vendas[[#This Row],[Valor da Venda]]</f>
        <v>0.15094339622641509</v>
      </c>
      <c r="L2166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2166"/>
    </row>
    <row r="2167" spans="1:13" x14ac:dyDescent="0.3">
      <c r="A2167" s="7">
        <v>400248</v>
      </c>
      <c r="B2167" t="str">
        <f>_xlfn.XLOOKUP(Vendas[[#This Row],[ID Vendedor]],Vendedores[ID],Vendedores[Nome])</f>
        <v>Patrícia</v>
      </c>
      <c r="C2167" s="7" t="str">
        <f>_xlfn.XLOOKUP(Vendas[[#This Row],[ID Vendedor]],Vendedores[ID],Vendedores[Setor])</f>
        <v>CM</v>
      </c>
      <c r="D2167" s="7" t="s">
        <v>34</v>
      </c>
      <c r="E2167" t="str">
        <f>_xlfn.XLOOKUP(Vendas[[#This Row],[ID Item Vendido]],Agregado[ID],Agregado[Produto])</f>
        <v>Restos de madeira p/ MDP/OSB saco de 20kg</v>
      </c>
      <c r="F2167" s="39">
        <v>44918</v>
      </c>
      <c r="G2167" s="7">
        <v>5</v>
      </c>
      <c r="H2167" s="3">
        <f>_xlfn.XLOOKUP(Vendas[[#This Row],[ID Item Vendido]],Agregado[ID],Agregado[Revenda])</f>
        <v>13.8</v>
      </c>
      <c r="I2167" s="3">
        <f>Vendas[[#This Row],[Valor Unitário]]*Vendas[[#This Row],[Qnt Vendida]]</f>
        <v>69</v>
      </c>
      <c r="J2167" s="3">
        <f>Vendas[[#This Row],[Valor da Venda]]-(_xlfn.XLOOKUP(Vendas[[#This Row],[ID Item Vendido]],Agregado[ID],Agregado[Custo])*Vendas[[#This Row],[Qnt Vendida]])</f>
        <v>9</v>
      </c>
      <c r="K2167" s="70">
        <f>Vendas[[#This Row],[Lucro da Venda]]/Vendas[[#This Row],[Valor da Venda]]</f>
        <v>0.13043478260869565</v>
      </c>
      <c r="L2167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2167"/>
    </row>
    <row r="2168" spans="1:13" x14ac:dyDescent="0.3">
      <c r="A2168" s="7">
        <v>400248</v>
      </c>
      <c r="B2168" t="str">
        <f>_xlfn.XLOOKUP(Vendas[[#This Row],[ID Vendedor]],Vendedores[ID],Vendedores[Nome])</f>
        <v>Patrícia</v>
      </c>
      <c r="C2168" s="7" t="str">
        <f>_xlfn.XLOOKUP(Vendas[[#This Row],[ID Vendedor]],Vendedores[ID],Vendedores[Setor])</f>
        <v>CM</v>
      </c>
      <c r="D2168" s="7" t="s">
        <v>45</v>
      </c>
      <c r="E2168" t="str">
        <f>_xlfn.XLOOKUP(Vendas[[#This Row],[ID Item Vendido]],Agregado[ID],Agregado[Produto])</f>
        <v>Viga de madeira tratada 4m</v>
      </c>
      <c r="F2168" s="39">
        <v>44919</v>
      </c>
      <c r="G2168" s="7">
        <v>11</v>
      </c>
      <c r="H2168" s="3">
        <f>_xlfn.XLOOKUP(Vendas[[#This Row],[ID Item Vendido]],Agregado[ID],Agregado[Revenda])</f>
        <v>66</v>
      </c>
      <c r="I2168" s="3">
        <f>Vendas[[#This Row],[Valor Unitário]]*Vendas[[#This Row],[Qnt Vendida]]</f>
        <v>726</v>
      </c>
      <c r="J2168" s="3">
        <f>Vendas[[#This Row],[Valor da Venda]]-(_xlfn.XLOOKUP(Vendas[[#This Row],[ID Item Vendido]],Agregado[ID],Agregado[Custo])*Vendas[[#This Row],[Qnt Vendida]])</f>
        <v>121</v>
      </c>
      <c r="K2168" s="70">
        <f>Vendas[[#This Row],[Lucro da Venda]]/Vendas[[#This Row],[Valor da Venda]]</f>
        <v>0.16666666666666666</v>
      </c>
      <c r="L2168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2168"/>
    </row>
    <row r="2169" spans="1:13" x14ac:dyDescent="0.3">
      <c r="A2169" s="7">
        <v>400250</v>
      </c>
      <c r="B2169" t="str">
        <f>_xlfn.XLOOKUP(Vendas[[#This Row],[ID Vendedor]],Vendedores[ID],Vendedores[Nome])</f>
        <v>Larissa</v>
      </c>
      <c r="C2169" s="7" t="str">
        <f>_xlfn.XLOOKUP(Vendas[[#This Row],[ID Vendedor]],Vendedores[ID],Vendedores[Setor])</f>
        <v>AB</v>
      </c>
      <c r="D2169" s="7" t="s">
        <v>12</v>
      </c>
      <c r="E2169" t="str">
        <f>_xlfn.XLOOKUP(Vendas[[#This Row],[ID Item Vendido]],Agregado[ID],Agregado[Produto])</f>
        <v>Grânulo de plástico reciclado refinado</v>
      </c>
      <c r="F2169" s="39">
        <v>44919</v>
      </c>
      <c r="G2169" s="7">
        <v>134</v>
      </c>
      <c r="H2169" s="3">
        <f>_xlfn.XLOOKUP(Vendas[[#This Row],[ID Item Vendido]],Agregado[ID],Agregado[Revenda])</f>
        <v>4.7</v>
      </c>
      <c r="I2169" s="3">
        <f>Vendas[[#This Row],[Valor Unitário]]*Vendas[[#This Row],[Qnt Vendida]]</f>
        <v>629.80000000000007</v>
      </c>
      <c r="J2169" s="3">
        <f>Vendas[[#This Row],[Valor da Venda]]-(_xlfn.XLOOKUP(Vendas[[#This Row],[ID Item Vendido]],Agregado[ID],Agregado[Custo])*Vendas[[#This Row],[Qnt Vendida]])</f>
        <v>160.80000000000007</v>
      </c>
      <c r="K2169" s="70">
        <f>Vendas[[#This Row],[Lucro da Venda]]/Vendas[[#This Row],[Valor da Venda]]</f>
        <v>0.2553191489361703</v>
      </c>
      <c r="L2169" s="3">
        <f>_xlfn.IFS(Vendas[[#This Row],[Margem de Lucro (%)]]&lt;15%,Vendas[[#This Row],[Valor da Venda]]*3%,Vendas[[#This Row],[Margem de Lucro (%)]]&lt;=20%,Vendas[[#This Row],[Valor da Venda]]*4.5%,TRUE,Vendas[[#This Row],[Valor da Venda]]*6%)</f>
        <v>37.788000000000004</v>
      </c>
      <c r="M2169"/>
    </row>
    <row r="2170" spans="1:13" x14ac:dyDescent="0.3">
      <c r="A2170" s="7">
        <v>400255</v>
      </c>
      <c r="B2170" t="str">
        <f>_xlfn.XLOOKUP(Vendas[[#This Row],[ID Vendedor]],Vendedores[ID],Vendedores[Nome])</f>
        <v>Carlos</v>
      </c>
      <c r="C2170" s="7" t="str">
        <f>_xlfn.XLOOKUP(Vendas[[#This Row],[ID Vendedor]],Vendedores[ID],Vendedores[Setor])</f>
        <v>SC</v>
      </c>
      <c r="D2170" s="7" t="s">
        <v>42</v>
      </c>
      <c r="E2170" t="str">
        <f>_xlfn.XLOOKUP(Vendas[[#This Row],[ID Item Vendido]],Agregado[ID],Agregado[Produto])</f>
        <v>Container de ferro industrial</v>
      </c>
      <c r="F2170" s="39">
        <v>44920</v>
      </c>
      <c r="G2170" s="7">
        <v>4</v>
      </c>
      <c r="H2170" s="3">
        <f>_xlfn.XLOOKUP(Vendas[[#This Row],[ID Item Vendido]],Agregado[ID],Agregado[Revenda])</f>
        <v>830</v>
      </c>
      <c r="I2170" s="3">
        <f>Vendas[[#This Row],[Valor Unitário]]*Vendas[[#This Row],[Qnt Vendida]]</f>
        <v>3320</v>
      </c>
      <c r="J2170" s="3">
        <f>Vendas[[#This Row],[Valor da Venda]]-(_xlfn.XLOOKUP(Vendas[[#This Row],[ID Item Vendido]],Agregado[ID],Agregado[Custo])*Vendas[[#This Row],[Qnt Vendida]])</f>
        <v>600</v>
      </c>
      <c r="K2170" s="70">
        <f>Vendas[[#This Row],[Lucro da Venda]]/Vendas[[#This Row],[Valor da Venda]]</f>
        <v>0.18072289156626506</v>
      </c>
      <c r="L2170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170"/>
    </row>
    <row r="2171" spans="1:13" x14ac:dyDescent="0.3">
      <c r="A2171" s="7">
        <v>400248</v>
      </c>
      <c r="B2171" t="str">
        <f>_xlfn.XLOOKUP(Vendas[[#This Row],[ID Vendedor]],Vendedores[ID],Vendedores[Nome])</f>
        <v>Patrícia</v>
      </c>
      <c r="C2171" s="7" t="str">
        <f>_xlfn.XLOOKUP(Vendas[[#This Row],[ID Vendedor]],Vendedores[ID],Vendedores[Setor])</f>
        <v>CM</v>
      </c>
      <c r="D2171" s="7" t="s">
        <v>45</v>
      </c>
      <c r="E2171" t="str">
        <f>_xlfn.XLOOKUP(Vendas[[#This Row],[ID Item Vendido]],Agregado[ID],Agregado[Produto])</f>
        <v>Viga de madeira tratada 4m</v>
      </c>
      <c r="F2171" s="39">
        <v>44920</v>
      </c>
      <c r="G2171" s="7">
        <v>20</v>
      </c>
      <c r="H2171" s="3">
        <f>_xlfn.XLOOKUP(Vendas[[#This Row],[ID Item Vendido]],Agregado[ID],Agregado[Revenda])</f>
        <v>66</v>
      </c>
      <c r="I2171" s="3">
        <f>Vendas[[#This Row],[Valor Unitário]]*Vendas[[#This Row],[Qnt Vendida]]</f>
        <v>1320</v>
      </c>
      <c r="J2171" s="3">
        <f>Vendas[[#This Row],[Valor da Venda]]-(_xlfn.XLOOKUP(Vendas[[#This Row],[ID Item Vendido]],Agregado[ID],Agregado[Custo])*Vendas[[#This Row],[Qnt Vendida]])</f>
        <v>220</v>
      </c>
      <c r="K2171" s="70">
        <f>Vendas[[#This Row],[Lucro da Venda]]/Vendas[[#This Row],[Valor da Venda]]</f>
        <v>0.16666666666666666</v>
      </c>
      <c r="L2171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2171"/>
    </row>
    <row r="2172" spans="1:13" x14ac:dyDescent="0.3">
      <c r="A2172" s="7">
        <v>400251</v>
      </c>
      <c r="B2172" t="str">
        <f>_xlfn.XLOOKUP(Vendas[[#This Row],[ID Vendedor]],Vendedores[ID],Vendedores[Nome])</f>
        <v>Diego</v>
      </c>
      <c r="C2172" s="7" t="str">
        <f>_xlfn.XLOOKUP(Vendas[[#This Row],[ID Vendedor]],Vendedores[ID],Vendedores[Setor])</f>
        <v>AB</v>
      </c>
      <c r="D2172" s="7" t="s">
        <v>36</v>
      </c>
      <c r="E2172" t="str">
        <f>_xlfn.XLOOKUP(Vendas[[#This Row],[ID Item Vendido]],Agregado[ID],Agregado[Produto])</f>
        <v>Borracha vulcanizada em manta</v>
      </c>
      <c r="F2172" s="39">
        <v>44922</v>
      </c>
      <c r="G2172" s="7">
        <v>17</v>
      </c>
      <c r="H2172" s="3">
        <f>_xlfn.XLOOKUP(Vendas[[#This Row],[ID Item Vendido]],Agregado[ID],Agregado[Revenda])</f>
        <v>7.8</v>
      </c>
      <c r="I2172" s="3">
        <f>Vendas[[#This Row],[Valor Unitário]]*Vendas[[#This Row],[Qnt Vendida]]</f>
        <v>132.6</v>
      </c>
      <c r="J2172" s="3">
        <f>Vendas[[#This Row],[Valor da Venda]]-(_xlfn.XLOOKUP(Vendas[[#This Row],[ID Item Vendido]],Agregado[ID],Agregado[Custo])*Vendas[[#This Row],[Qnt Vendida]])</f>
        <v>30.599999999999994</v>
      </c>
      <c r="K2172" s="70">
        <f>Vendas[[#This Row],[Lucro da Venda]]/Vendas[[#This Row],[Valor da Venda]]</f>
        <v>0.23076923076923073</v>
      </c>
      <c r="L2172" s="3">
        <f>_xlfn.IFS(Vendas[[#This Row],[Margem de Lucro (%)]]&lt;15%,Vendas[[#This Row],[Valor da Venda]]*3%,Vendas[[#This Row],[Margem de Lucro (%)]]&lt;=20%,Vendas[[#This Row],[Valor da Venda]]*4.5%,TRUE,Vendas[[#This Row],[Valor da Venda]]*6%)</f>
        <v>7.9559999999999995</v>
      </c>
      <c r="M2172"/>
    </row>
    <row r="2173" spans="1:13" x14ac:dyDescent="0.3">
      <c r="A2173" s="7">
        <v>400249</v>
      </c>
      <c r="B2173" t="str">
        <f>_xlfn.XLOOKUP(Vendas[[#This Row],[ID Vendedor]],Vendedores[ID],Vendedores[Nome])</f>
        <v>Bruno</v>
      </c>
      <c r="C2173" s="7" t="str">
        <f>_xlfn.XLOOKUP(Vendas[[#This Row],[ID Vendedor]],Vendedores[ID],Vendedores[Setor])</f>
        <v>CM</v>
      </c>
      <c r="D2173" s="7" t="s">
        <v>22</v>
      </c>
      <c r="E2173" t="str">
        <f>_xlfn.XLOOKUP(Vendas[[#This Row],[ID Item Vendido]],Agregado[ID],Agregado[Produto])</f>
        <v>Painel MDP 2,75x1,83m</v>
      </c>
      <c r="F2173" s="39">
        <v>44923</v>
      </c>
      <c r="G2173" s="7">
        <v>15</v>
      </c>
      <c r="H2173" s="3">
        <f>_xlfn.XLOOKUP(Vendas[[#This Row],[ID Item Vendido]],Agregado[ID],Agregado[Revenda])</f>
        <v>119</v>
      </c>
      <c r="I2173" s="3">
        <f>Vendas[[#This Row],[Valor Unitário]]*Vendas[[#This Row],[Qnt Vendida]]</f>
        <v>1785</v>
      </c>
      <c r="J2173" s="3">
        <f>Vendas[[#This Row],[Valor da Venda]]-(_xlfn.XLOOKUP(Vendas[[#This Row],[ID Item Vendido]],Agregado[ID],Agregado[Custo])*Vendas[[#This Row],[Qnt Vendida]])</f>
        <v>360</v>
      </c>
      <c r="K2173" s="70">
        <f>Vendas[[#This Row],[Lucro da Venda]]/Vendas[[#This Row],[Valor da Venda]]</f>
        <v>0.20168067226890757</v>
      </c>
      <c r="L2173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2173"/>
    </row>
    <row r="2174" spans="1:13" x14ac:dyDescent="0.3">
      <c r="A2174" s="7">
        <v>400247</v>
      </c>
      <c r="B2174" t="str">
        <f>_xlfn.XLOOKUP(Vendas[[#This Row],[ID Vendedor]],Vendedores[ID],Vendedores[Nome])</f>
        <v>André</v>
      </c>
      <c r="C2174" s="7" t="str">
        <f>_xlfn.XLOOKUP(Vendas[[#This Row],[ID Vendedor]],Vendedores[ID],Vendedores[Setor])</f>
        <v>CM</v>
      </c>
      <c r="D2174" s="7" t="s">
        <v>43</v>
      </c>
      <c r="E2174" t="str">
        <f>_xlfn.XLOOKUP(Vendas[[#This Row],[ID Item Vendido]],Agregado[ID],Agregado[Produto])</f>
        <v>Madeira Bruta (Tora)</v>
      </c>
      <c r="F2174" s="39">
        <v>44923</v>
      </c>
      <c r="G2174" s="7">
        <v>4</v>
      </c>
      <c r="H2174" s="3">
        <f>_xlfn.XLOOKUP(Vendas[[#This Row],[ID Item Vendido]],Agregado[ID],Agregado[Revenda])</f>
        <v>212</v>
      </c>
      <c r="I2174" s="3">
        <f>Vendas[[#This Row],[Valor Unitário]]*Vendas[[#This Row],[Qnt Vendida]]</f>
        <v>848</v>
      </c>
      <c r="J2174" s="3">
        <f>Vendas[[#This Row],[Valor da Venda]]-(_xlfn.XLOOKUP(Vendas[[#This Row],[ID Item Vendido]],Agregado[ID],Agregado[Custo])*Vendas[[#This Row],[Qnt Vendida]])</f>
        <v>128</v>
      </c>
      <c r="K2174" s="70">
        <f>Vendas[[#This Row],[Lucro da Venda]]/Vendas[[#This Row],[Valor da Venda]]</f>
        <v>0.15094339622641509</v>
      </c>
      <c r="L2174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174"/>
    </row>
    <row r="2175" spans="1:13" x14ac:dyDescent="0.3">
      <c r="A2175" s="7">
        <v>400245</v>
      </c>
      <c r="B2175" t="str">
        <f>_xlfn.XLOOKUP(Vendas[[#This Row],[ID Vendedor]],Vendedores[ID],Vendedores[Nome])</f>
        <v>Thiago</v>
      </c>
      <c r="C2175" s="7" t="str">
        <f>_xlfn.XLOOKUP(Vendas[[#This Row],[ID Vendedor]],Vendedores[ID],Vendedores[Setor])</f>
        <v>AHD</v>
      </c>
      <c r="D2175" s="7" t="s">
        <v>30</v>
      </c>
      <c r="E2175" t="str">
        <f>_xlfn.XLOOKUP(Vendas[[#This Row],[ID Item Vendido]],Agregado[ID],Agregado[Produto])</f>
        <v>Estrutura metálica soldada</v>
      </c>
      <c r="F2175" s="39">
        <v>44924</v>
      </c>
      <c r="G2175" s="7">
        <v>6</v>
      </c>
      <c r="H2175" s="3">
        <f>_xlfn.XLOOKUP(Vendas[[#This Row],[ID Item Vendido]],Agregado[ID],Agregado[Revenda])</f>
        <v>400</v>
      </c>
      <c r="I2175" s="3">
        <f>Vendas[[#This Row],[Valor Unitário]]*Vendas[[#This Row],[Qnt Vendida]]</f>
        <v>2400</v>
      </c>
      <c r="J2175" s="3">
        <f>Vendas[[#This Row],[Valor da Venda]]-(_xlfn.XLOOKUP(Vendas[[#This Row],[ID Item Vendido]],Agregado[ID],Agregado[Custo])*Vendas[[#This Row],[Qnt Vendida]])</f>
        <v>480</v>
      </c>
      <c r="K2175" s="70">
        <f>Vendas[[#This Row],[Lucro da Venda]]/Vendas[[#This Row],[Valor da Venda]]</f>
        <v>0.2</v>
      </c>
      <c r="L2175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175"/>
    </row>
    <row r="2176" spans="1:13" x14ac:dyDescent="0.3">
      <c r="A2176" s="7">
        <v>400253</v>
      </c>
      <c r="B2176" t="str">
        <f>_xlfn.XLOOKUP(Vendas[[#This Row],[ID Vendedor]],Vendedores[ID],Vendedores[Nome])</f>
        <v>Gustavo</v>
      </c>
      <c r="C2176" s="7" t="str">
        <f>_xlfn.XLOOKUP(Vendas[[#This Row],[ID Vendedor]],Vendedores[ID],Vendedores[Setor])</f>
        <v>SC</v>
      </c>
      <c r="D2176" s="7" t="s">
        <v>48</v>
      </c>
      <c r="E2176" t="str">
        <f>_xlfn.XLOOKUP(Vendas[[#This Row],[ID Item Vendido]],Agregado[ID],Agregado[Produto])</f>
        <v>Tambor metálico 200L</v>
      </c>
      <c r="F2176" s="39">
        <v>44924</v>
      </c>
      <c r="G2176" s="7">
        <v>6</v>
      </c>
      <c r="H2176" s="3">
        <f>_xlfn.XLOOKUP(Vendas[[#This Row],[ID Item Vendido]],Agregado[ID],Agregado[Revenda])</f>
        <v>144</v>
      </c>
      <c r="I2176" s="3">
        <f>Vendas[[#This Row],[Valor Unitário]]*Vendas[[#This Row],[Qnt Vendida]]</f>
        <v>864</v>
      </c>
      <c r="J2176" s="3">
        <f>Vendas[[#This Row],[Valor da Venda]]-(_xlfn.XLOOKUP(Vendas[[#This Row],[ID Item Vendido]],Agregado[ID],Agregado[Custo])*Vendas[[#This Row],[Qnt Vendida]])</f>
        <v>144</v>
      </c>
      <c r="K2176" s="70">
        <f>Vendas[[#This Row],[Lucro da Venda]]/Vendas[[#This Row],[Valor da Venda]]</f>
        <v>0.16666666666666666</v>
      </c>
      <c r="L2176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2176"/>
    </row>
    <row r="2177" spans="1:13" x14ac:dyDescent="0.3">
      <c r="A2177" s="7">
        <v>400249</v>
      </c>
      <c r="B2177" t="str">
        <f>_xlfn.XLOOKUP(Vendas[[#This Row],[ID Vendedor]],Vendedores[ID],Vendedores[Nome])</f>
        <v>Bruno</v>
      </c>
      <c r="C2177" s="7" t="str">
        <f>_xlfn.XLOOKUP(Vendas[[#This Row],[ID Vendedor]],Vendedores[ID],Vendedores[Setor])</f>
        <v>CM</v>
      </c>
      <c r="D2177" s="7" t="s">
        <v>22</v>
      </c>
      <c r="E2177" t="str">
        <f>_xlfn.XLOOKUP(Vendas[[#This Row],[ID Item Vendido]],Agregado[ID],Agregado[Produto])</f>
        <v>Painel MDP 2,75x1,83m</v>
      </c>
      <c r="F2177" s="39">
        <v>44925</v>
      </c>
      <c r="G2177" s="7">
        <v>18</v>
      </c>
      <c r="H2177" s="3">
        <f>_xlfn.XLOOKUP(Vendas[[#This Row],[ID Item Vendido]],Agregado[ID],Agregado[Revenda])</f>
        <v>119</v>
      </c>
      <c r="I2177" s="3">
        <f>Vendas[[#This Row],[Valor Unitário]]*Vendas[[#This Row],[Qnt Vendida]]</f>
        <v>2142</v>
      </c>
      <c r="J2177" s="3">
        <f>Vendas[[#This Row],[Valor da Venda]]-(_xlfn.XLOOKUP(Vendas[[#This Row],[ID Item Vendido]],Agregado[ID],Agregado[Custo])*Vendas[[#This Row],[Qnt Vendida]])</f>
        <v>432</v>
      </c>
      <c r="K2177" s="70">
        <f>Vendas[[#This Row],[Lucro da Venda]]/Vendas[[#This Row],[Valor da Venda]]</f>
        <v>0.20168067226890757</v>
      </c>
      <c r="L2177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2177"/>
    </row>
    <row r="2178" spans="1:13" x14ac:dyDescent="0.3">
      <c r="A2178" s="7">
        <v>400249</v>
      </c>
      <c r="B2178" t="str">
        <f>_xlfn.XLOOKUP(Vendas[[#This Row],[ID Vendedor]],Vendedores[ID],Vendedores[Nome])</f>
        <v>Bruno</v>
      </c>
      <c r="C2178" s="7" t="str">
        <f>_xlfn.XLOOKUP(Vendas[[#This Row],[ID Vendedor]],Vendedores[ID],Vendedores[Setor])</f>
        <v>CM</v>
      </c>
      <c r="D2178" s="7" t="s">
        <v>43</v>
      </c>
      <c r="E2178" t="str">
        <f>_xlfn.XLOOKUP(Vendas[[#This Row],[ID Item Vendido]],Agregado[ID],Agregado[Produto])</f>
        <v>Madeira Bruta (Tora)</v>
      </c>
      <c r="F2178" s="39">
        <v>44925</v>
      </c>
      <c r="G2178" s="7">
        <v>7</v>
      </c>
      <c r="H2178" s="3">
        <f>_xlfn.XLOOKUP(Vendas[[#This Row],[ID Item Vendido]],Agregado[ID],Agregado[Revenda])</f>
        <v>212</v>
      </c>
      <c r="I2178" s="3">
        <f>Vendas[[#This Row],[Valor Unitário]]*Vendas[[#This Row],[Qnt Vendida]]</f>
        <v>1484</v>
      </c>
      <c r="J2178" s="3">
        <f>Vendas[[#This Row],[Valor da Venda]]-(_xlfn.XLOOKUP(Vendas[[#This Row],[ID Item Vendido]],Agregado[ID],Agregado[Custo])*Vendas[[#This Row],[Qnt Vendida]])</f>
        <v>224</v>
      </c>
      <c r="K2178" s="70">
        <f>Vendas[[#This Row],[Lucro da Venda]]/Vendas[[#This Row],[Valor da Venda]]</f>
        <v>0.15094339622641509</v>
      </c>
      <c r="L2178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2178"/>
    </row>
    <row r="2179" spans="1:13" x14ac:dyDescent="0.3">
      <c r="A2179" s="7">
        <v>400243</v>
      </c>
      <c r="B2179" t="str">
        <f>_xlfn.XLOOKUP(Vendas[[#This Row],[ID Vendedor]],Vendedores[ID],Vendedores[Nome])</f>
        <v>Marcelo</v>
      </c>
      <c r="C2179" s="7" t="str">
        <f>_xlfn.XLOOKUP(Vendas[[#This Row],[ID Vendedor]],Vendedores[ID],Vendedores[Setor])</f>
        <v>FM</v>
      </c>
      <c r="D2179" s="7" t="s">
        <v>47</v>
      </c>
      <c r="E2179" t="str">
        <f>_xlfn.XLOOKUP(Vendas[[#This Row],[ID Item Vendido]],Agregado[ID],Agregado[Produto])</f>
        <v>Fio de arame galvanizado rolo 50m</v>
      </c>
      <c r="F2179" s="39">
        <v>44925</v>
      </c>
      <c r="G2179" s="7">
        <v>22</v>
      </c>
      <c r="H2179" s="3">
        <f>_xlfn.XLOOKUP(Vendas[[#This Row],[ID Item Vendido]],Agregado[ID],Agregado[Revenda])</f>
        <v>21.2</v>
      </c>
      <c r="I2179" s="3">
        <f>Vendas[[#This Row],[Valor Unitário]]*Vendas[[#This Row],[Qnt Vendida]]</f>
        <v>466.4</v>
      </c>
      <c r="J2179" s="3">
        <f>Vendas[[#This Row],[Valor da Venda]]-(_xlfn.XLOOKUP(Vendas[[#This Row],[ID Item Vendido]],Agregado[ID],Agregado[Custo])*Vendas[[#This Row],[Qnt Vendida]])</f>
        <v>70.399999999999977</v>
      </c>
      <c r="K2179" s="70">
        <f>Vendas[[#This Row],[Lucro da Venda]]/Vendas[[#This Row],[Valor da Venda]]</f>
        <v>0.15094339622641506</v>
      </c>
      <c r="L2179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2179"/>
    </row>
    <row r="2180" spans="1:13" x14ac:dyDescent="0.3">
      <c r="A2180" s="7">
        <v>400253</v>
      </c>
      <c r="B2180" t="str">
        <f>_xlfn.XLOOKUP(Vendas[[#This Row],[ID Vendedor]],Vendedores[ID],Vendedores[Nome])</f>
        <v>Gustavo</v>
      </c>
      <c r="C2180" s="7" t="str">
        <f>_xlfn.XLOOKUP(Vendas[[#This Row],[ID Vendedor]],Vendedores[ID],Vendedores[Setor])</f>
        <v>SC</v>
      </c>
      <c r="D2180" s="7" t="s">
        <v>25</v>
      </c>
      <c r="E2180" t="str">
        <f>_xlfn.XLOOKUP(Vendas[[#This Row],[ID Item Vendido]],Agregado[ID],Agregado[Produto])</f>
        <v>Palete de plástico</v>
      </c>
      <c r="F2180" s="39">
        <v>44926</v>
      </c>
      <c r="G2180" s="7">
        <v>7</v>
      </c>
      <c r="H2180" s="3">
        <f>_xlfn.XLOOKUP(Vendas[[#This Row],[ID Item Vendido]],Agregado[ID],Agregado[Revenda])</f>
        <v>70.8</v>
      </c>
      <c r="I2180" s="3">
        <f>Vendas[[#This Row],[Valor Unitário]]*Vendas[[#This Row],[Qnt Vendida]]</f>
        <v>495.59999999999997</v>
      </c>
      <c r="J2180" s="3">
        <f>Vendas[[#This Row],[Valor da Venda]]-(_xlfn.XLOOKUP(Vendas[[#This Row],[ID Item Vendido]],Agregado[ID],Agregado[Custo])*Vendas[[#This Row],[Qnt Vendida]])</f>
        <v>75.599999999999966</v>
      </c>
      <c r="K2180" s="70">
        <f>Vendas[[#This Row],[Lucro da Venda]]/Vendas[[#This Row],[Valor da Venda]]</f>
        <v>0.15254237288135589</v>
      </c>
      <c r="L2180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2180"/>
    </row>
    <row r="2181" spans="1:13" x14ac:dyDescent="0.3">
      <c r="A2181" s="7">
        <v>400245</v>
      </c>
      <c r="B2181" t="str">
        <f>_xlfn.XLOOKUP(Vendas[[#This Row],[ID Vendedor]],Vendedores[ID],Vendedores[Nome])</f>
        <v>Thiago</v>
      </c>
      <c r="C2181" s="7" t="str">
        <f>_xlfn.XLOOKUP(Vendas[[#This Row],[ID Vendedor]],Vendedores[ID],Vendedores[Setor])</f>
        <v>AHD</v>
      </c>
      <c r="D2181" s="7" t="s">
        <v>9</v>
      </c>
      <c r="E2181" t="str">
        <f>_xlfn.XLOOKUP(Vendas[[#This Row],[ID Item Vendido]],Agregado[ID],Agregado[Produto])</f>
        <v>Barra de aço simples</v>
      </c>
      <c r="F2181" s="39">
        <v>44926</v>
      </c>
      <c r="G2181" s="7">
        <v>67</v>
      </c>
      <c r="H2181" s="3">
        <f>_xlfn.XLOOKUP(Vendas[[#This Row],[ID Item Vendido]],Agregado[ID],Agregado[Revenda])</f>
        <v>6.7</v>
      </c>
      <c r="I2181" s="3">
        <f>Vendas[[#This Row],[Valor Unitário]]*Vendas[[#This Row],[Qnt Vendida]]</f>
        <v>448.90000000000003</v>
      </c>
      <c r="J2181" s="3">
        <f>Vendas[[#This Row],[Valor da Venda]]-(_xlfn.XLOOKUP(Vendas[[#This Row],[ID Item Vendido]],Agregado[ID],Agregado[Custo])*Vendas[[#This Row],[Qnt Vendida]])</f>
        <v>60.300000000000068</v>
      </c>
      <c r="K2181" s="70">
        <f>Vendas[[#This Row],[Lucro da Venda]]/Vendas[[#This Row],[Valor da Venda]]</f>
        <v>0.13432835820895536</v>
      </c>
      <c r="L2181" s="3">
        <f>_xlfn.IFS(Vendas[[#This Row],[Margem de Lucro (%)]]&lt;15%,Vendas[[#This Row],[Valor da Venda]]*3%,Vendas[[#This Row],[Margem de Lucro (%)]]&lt;=20%,Vendas[[#This Row],[Valor da Venda]]*4.5%,TRUE,Vendas[[#This Row],[Valor da Venda]]*6%)</f>
        <v>13.467000000000001</v>
      </c>
      <c r="M2181"/>
    </row>
    <row r="2182" spans="1:13" x14ac:dyDescent="0.3">
      <c r="A2182" s="7">
        <v>400255</v>
      </c>
      <c r="B2182" t="str">
        <f>_xlfn.XLOOKUP(Vendas[[#This Row],[ID Vendedor]],Vendedores[ID],Vendedores[Nome])</f>
        <v>Carlos</v>
      </c>
      <c r="C2182" s="7" t="str">
        <f>_xlfn.XLOOKUP(Vendas[[#This Row],[ID Vendedor]],Vendedores[ID],Vendedores[Setor])</f>
        <v>SC</v>
      </c>
      <c r="D2182" s="7" t="s">
        <v>42</v>
      </c>
      <c r="E2182" t="str">
        <f>_xlfn.XLOOKUP(Vendas[[#This Row],[ID Item Vendido]],Agregado[ID],Agregado[Produto])</f>
        <v>Container de ferro industrial</v>
      </c>
      <c r="F2182" s="39">
        <v>44927</v>
      </c>
      <c r="G2182" s="7">
        <v>6</v>
      </c>
      <c r="H2182" s="3">
        <f>_xlfn.XLOOKUP(Vendas[[#This Row],[ID Item Vendido]],Agregado[ID],Agregado[Revenda])</f>
        <v>830</v>
      </c>
      <c r="I2182" s="3">
        <f>Vendas[[#This Row],[Valor Unitário]]*Vendas[[#This Row],[Qnt Vendida]]</f>
        <v>4980</v>
      </c>
      <c r="J2182" s="3">
        <f>Vendas[[#This Row],[Valor da Venda]]-(_xlfn.XLOOKUP(Vendas[[#This Row],[ID Item Vendido]],Agregado[ID],Agregado[Custo])*Vendas[[#This Row],[Qnt Vendida]])</f>
        <v>900</v>
      </c>
      <c r="K2182" s="70">
        <f>Vendas[[#This Row],[Lucro da Venda]]/Vendas[[#This Row],[Valor da Venda]]</f>
        <v>0.18072289156626506</v>
      </c>
      <c r="L218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182"/>
    </row>
    <row r="2183" spans="1:13" x14ac:dyDescent="0.3">
      <c r="A2183" s="7">
        <v>400247</v>
      </c>
      <c r="B2183" t="str">
        <f>_xlfn.XLOOKUP(Vendas[[#This Row],[ID Vendedor]],Vendedores[ID],Vendedores[Nome])</f>
        <v>André</v>
      </c>
      <c r="C2183" s="7" t="str">
        <f>_xlfn.XLOOKUP(Vendas[[#This Row],[ID Vendedor]],Vendedores[ID],Vendedores[Setor])</f>
        <v>CM</v>
      </c>
      <c r="D2183" s="7" t="s">
        <v>22</v>
      </c>
      <c r="E2183" t="str">
        <f>_xlfn.XLOOKUP(Vendas[[#This Row],[ID Item Vendido]],Agregado[ID],Agregado[Produto])</f>
        <v>Painel MDP 2,75x1,83m</v>
      </c>
      <c r="F2183" s="39">
        <v>44927</v>
      </c>
      <c r="G2183" s="7">
        <v>14</v>
      </c>
      <c r="H2183" s="3">
        <f>_xlfn.XLOOKUP(Vendas[[#This Row],[ID Item Vendido]],Agregado[ID],Agregado[Revenda])</f>
        <v>119</v>
      </c>
      <c r="I2183" s="3">
        <f>Vendas[[#This Row],[Valor Unitário]]*Vendas[[#This Row],[Qnt Vendida]]</f>
        <v>1666</v>
      </c>
      <c r="J2183" s="3">
        <f>Vendas[[#This Row],[Valor da Venda]]-(_xlfn.XLOOKUP(Vendas[[#This Row],[ID Item Vendido]],Agregado[ID],Agregado[Custo])*Vendas[[#This Row],[Qnt Vendida]])</f>
        <v>336</v>
      </c>
      <c r="K2183" s="70">
        <f>Vendas[[#This Row],[Lucro da Venda]]/Vendas[[#This Row],[Valor da Venda]]</f>
        <v>0.20168067226890757</v>
      </c>
      <c r="L2183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2183"/>
    </row>
    <row r="2184" spans="1:13" x14ac:dyDescent="0.3">
      <c r="A2184" s="7">
        <v>400247</v>
      </c>
      <c r="B2184" t="str">
        <f>_xlfn.XLOOKUP(Vendas[[#This Row],[ID Vendedor]],Vendedores[ID],Vendedores[Nome])</f>
        <v>André</v>
      </c>
      <c r="C2184" s="7" t="str">
        <f>_xlfn.XLOOKUP(Vendas[[#This Row],[ID Vendedor]],Vendedores[ID],Vendedores[Setor])</f>
        <v>CM</v>
      </c>
      <c r="D2184" s="7" t="s">
        <v>32</v>
      </c>
      <c r="E2184" t="str">
        <f>_xlfn.XLOOKUP(Vendas[[#This Row],[ID Item Vendido]],Agregado[ID],Agregado[Produto])</f>
        <v>Tábua tratada e cortada 3m</v>
      </c>
      <c r="F2184" s="39">
        <v>44929</v>
      </c>
      <c r="G2184" s="7">
        <v>25</v>
      </c>
      <c r="H2184" s="3">
        <f>_xlfn.XLOOKUP(Vendas[[#This Row],[ID Item Vendido]],Agregado[ID],Agregado[Revenda])</f>
        <v>39</v>
      </c>
      <c r="I2184" s="3">
        <f>Vendas[[#This Row],[Valor Unitário]]*Vendas[[#This Row],[Qnt Vendida]]</f>
        <v>975</v>
      </c>
      <c r="J2184" s="3">
        <f>Vendas[[#This Row],[Valor da Venda]]-(_xlfn.XLOOKUP(Vendas[[#This Row],[ID Item Vendido]],Agregado[ID],Agregado[Custo])*Vendas[[#This Row],[Qnt Vendida]])</f>
        <v>175</v>
      </c>
      <c r="K2184" s="70">
        <f>Vendas[[#This Row],[Lucro da Venda]]/Vendas[[#This Row],[Valor da Venda]]</f>
        <v>0.17948717948717949</v>
      </c>
      <c r="L2184" s="3">
        <f>_xlfn.IFS(Vendas[[#This Row],[Margem de Lucro (%)]]&lt;15%,Vendas[[#This Row],[Valor da Venda]]*3%,Vendas[[#This Row],[Margem de Lucro (%)]]&lt;=20%,Vendas[[#This Row],[Valor da Venda]]*4.5%,TRUE,Vendas[[#This Row],[Valor da Venda]]*6%)</f>
        <v>43.875</v>
      </c>
      <c r="M2184"/>
    </row>
    <row r="2185" spans="1:13" x14ac:dyDescent="0.3">
      <c r="A2185" s="7">
        <v>400253</v>
      </c>
      <c r="B2185" t="str">
        <f>_xlfn.XLOOKUP(Vendas[[#This Row],[ID Vendedor]],Vendedores[ID],Vendedores[Nome])</f>
        <v>Gustavo</v>
      </c>
      <c r="C2185" s="7" t="str">
        <f>_xlfn.XLOOKUP(Vendas[[#This Row],[ID Vendedor]],Vendedores[ID],Vendedores[Setor])</f>
        <v>SC</v>
      </c>
      <c r="D2185" s="7" t="s">
        <v>42</v>
      </c>
      <c r="E2185" t="str">
        <f>_xlfn.XLOOKUP(Vendas[[#This Row],[ID Item Vendido]],Agregado[ID],Agregado[Produto])</f>
        <v>Container de ferro industrial</v>
      </c>
      <c r="F2185" s="39">
        <v>44930</v>
      </c>
      <c r="G2185" s="7">
        <v>6</v>
      </c>
      <c r="H2185" s="3">
        <f>_xlfn.XLOOKUP(Vendas[[#This Row],[ID Item Vendido]],Agregado[ID],Agregado[Revenda])</f>
        <v>830</v>
      </c>
      <c r="I2185" s="3">
        <f>Vendas[[#This Row],[Valor Unitário]]*Vendas[[#This Row],[Qnt Vendida]]</f>
        <v>4980</v>
      </c>
      <c r="J2185" s="3">
        <f>Vendas[[#This Row],[Valor da Venda]]-(_xlfn.XLOOKUP(Vendas[[#This Row],[ID Item Vendido]],Agregado[ID],Agregado[Custo])*Vendas[[#This Row],[Qnt Vendida]])</f>
        <v>900</v>
      </c>
      <c r="K2185" s="70">
        <f>Vendas[[#This Row],[Lucro da Venda]]/Vendas[[#This Row],[Valor da Venda]]</f>
        <v>0.18072289156626506</v>
      </c>
      <c r="L2185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185"/>
    </row>
    <row r="2186" spans="1:13" x14ac:dyDescent="0.3">
      <c r="A2186" s="7">
        <v>400255</v>
      </c>
      <c r="B2186" t="str">
        <f>_xlfn.XLOOKUP(Vendas[[#This Row],[ID Vendedor]],Vendedores[ID],Vendedores[Nome])</f>
        <v>Carlos</v>
      </c>
      <c r="C2186" s="7" t="str">
        <f>_xlfn.XLOOKUP(Vendas[[#This Row],[ID Vendedor]],Vendedores[ID],Vendedores[Setor])</f>
        <v>SC</v>
      </c>
      <c r="D2186" s="7" t="s">
        <v>48</v>
      </c>
      <c r="E2186" t="str">
        <f>_xlfn.XLOOKUP(Vendas[[#This Row],[ID Item Vendido]],Agregado[ID],Agregado[Produto])</f>
        <v>Tambor metálico 200L</v>
      </c>
      <c r="F2186" s="39">
        <v>44930</v>
      </c>
      <c r="G2186" s="7">
        <v>8</v>
      </c>
      <c r="H2186" s="3">
        <f>_xlfn.XLOOKUP(Vendas[[#This Row],[ID Item Vendido]],Agregado[ID],Agregado[Revenda])</f>
        <v>144</v>
      </c>
      <c r="I2186" s="3">
        <f>Vendas[[#This Row],[Valor Unitário]]*Vendas[[#This Row],[Qnt Vendida]]</f>
        <v>1152</v>
      </c>
      <c r="J2186" s="3">
        <f>Vendas[[#This Row],[Valor da Venda]]-(_xlfn.XLOOKUP(Vendas[[#This Row],[ID Item Vendido]],Agregado[ID],Agregado[Custo])*Vendas[[#This Row],[Qnt Vendida]])</f>
        <v>192</v>
      </c>
      <c r="K2186" s="70">
        <f>Vendas[[#This Row],[Lucro da Venda]]/Vendas[[#This Row],[Valor da Venda]]</f>
        <v>0.16666666666666666</v>
      </c>
      <c r="L2186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2186"/>
    </row>
    <row r="2187" spans="1:13" x14ac:dyDescent="0.3">
      <c r="A2187" s="7">
        <v>400245</v>
      </c>
      <c r="B2187" t="str">
        <f>_xlfn.XLOOKUP(Vendas[[#This Row],[ID Vendedor]],Vendedores[ID],Vendedores[Nome])</f>
        <v>Thiago</v>
      </c>
      <c r="C2187" s="7" t="str">
        <f>_xlfn.XLOOKUP(Vendas[[#This Row],[ID Vendedor]],Vendedores[ID],Vendedores[Setor])</f>
        <v>AHD</v>
      </c>
      <c r="D2187" s="7" t="s">
        <v>9</v>
      </c>
      <c r="E2187" t="str">
        <f>_xlfn.XLOOKUP(Vendas[[#This Row],[ID Item Vendido]],Agregado[ID],Agregado[Produto])</f>
        <v>Barra de aço simples</v>
      </c>
      <c r="F2187" s="39">
        <v>44930</v>
      </c>
      <c r="G2187" s="7">
        <v>94</v>
      </c>
      <c r="H2187" s="3">
        <f>_xlfn.XLOOKUP(Vendas[[#This Row],[ID Item Vendido]],Agregado[ID],Agregado[Revenda])</f>
        <v>6.7</v>
      </c>
      <c r="I2187" s="3">
        <f>Vendas[[#This Row],[Valor Unitário]]*Vendas[[#This Row],[Qnt Vendida]]</f>
        <v>629.80000000000007</v>
      </c>
      <c r="J2187" s="3">
        <f>Vendas[[#This Row],[Valor da Venda]]-(_xlfn.XLOOKUP(Vendas[[#This Row],[ID Item Vendido]],Agregado[ID],Agregado[Custo])*Vendas[[#This Row],[Qnt Vendida]])</f>
        <v>84.600000000000136</v>
      </c>
      <c r="K2187" s="70">
        <f>Vendas[[#This Row],[Lucro da Venda]]/Vendas[[#This Row],[Valor da Venda]]</f>
        <v>0.13432835820895542</v>
      </c>
      <c r="L2187" s="3">
        <f>_xlfn.IFS(Vendas[[#This Row],[Margem de Lucro (%)]]&lt;15%,Vendas[[#This Row],[Valor da Venda]]*3%,Vendas[[#This Row],[Margem de Lucro (%)]]&lt;=20%,Vendas[[#This Row],[Valor da Venda]]*4.5%,TRUE,Vendas[[#This Row],[Valor da Venda]]*6%)</f>
        <v>18.894000000000002</v>
      </c>
      <c r="M2187"/>
    </row>
    <row r="2188" spans="1:13" x14ac:dyDescent="0.3">
      <c r="A2188" s="7">
        <v>400247</v>
      </c>
      <c r="B2188" t="str">
        <f>_xlfn.XLOOKUP(Vendas[[#This Row],[ID Vendedor]],Vendedores[ID],Vendedores[Nome])</f>
        <v>André</v>
      </c>
      <c r="C2188" s="7" t="str">
        <f>_xlfn.XLOOKUP(Vendas[[#This Row],[ID Vendedor]],Vendedores[ID],Vendedores[Setor])</f>
        <v>CM</v>
      </c>
      <c r="D2188" s="7" t="s">
        <v>43</v>
      </c>
      <c r="E2188" t="str">
        <f>_xlfn.XLOOKUP(Vendas[[#This Row],[ID Item Vendido]],Agregado[ID],Agregado[Produto])</f>
        <v>Madeira Bruta (Tora)</v>
      </c>
      <c r="F2188" s="39">
        <v>44931</v>
      </c>
      <c r="G2188" s="7">
        <v>11</v>
      </c>
      <c r="H2188" s="3">
        <f>_xlfn.XLOOKUP(Vendas[[#This Row],[ID Item Vendido]],Agregado[ID],Agregado[Revenda])</f>
        <v>212</v>
      </c>
      <c r="I2188" s="3">
        <f>Vendas[[#This Row],[Valor Unitário]]*Vendas[[#This Row],[Qnt Vendida]]</f>
        <v>2332</v>
      </c>
      <c r="J2188" s="3">
        <f>Vendas[[#This Row],[Valor da Venda]]-(_xlfn.XLOOKUP(Vendas[[#This Row],[ID Item Vendido]],Agregado[ID],Agregado[Custo])*Vendas[[#This Row],[Qnt Vendida]])</f>
        <v>352</v>
      </c>
      <c r="K2188" s="70">
        <f>Vendas[[#This Row],[Lucro da Venda]]/Vendas[[#This Row],[Valor da Venda]]</f>
        <v>0.15094339622641509</v>
      </c>
      <c r="L2188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2188"/>
    </row>
    <row r="2189" spans="1:13" x14ac:dyDescent="0.3">
      <c r="A2189" s="7">
        <v>400247</v>
      </c>
      <c r="B2189" t="str">
        <f>_xlfn.XLOOKUP(Vendas[[#This Row],[ID Vendedor]],Vendedores[ID],Vendedores[Nome])</f>
        <v>André</v>
      </c>
      <c r="C2189" s="7" t="str">
        <f>_xlfn.XLOOKUP(Vendas[[#This Row],[ID Vendedor]],Vendedores[ID],Vendedores[Setor])</f>
        <v>CM</v>
      </c>
      <c r="D2189" s="7" t="s">
        <v>43</v>
      </c>
      <c r="E2189" t="str">
        <f>_xlfn.XLOOKUP(Vendas[[#This Row],[ID Item Vendido]],Agregado[ID],Agregado[Produto])</f>
        <v>Madeira Bruta (Tora)</v>
      </c>
      <c r="F2189" s="39">
        <v>44933</v>
      </c>
      <c r="G2189" s="7">
        <v>12</v>
      </c>
      <c r="H2189" s="3">
        <f>_xlfn.XLOOKUP(Vendas[[#This Row],[ID Item Vendido]],Agregado[ID],Agregado[Revenda])</f>
        <v>212</v>
      </c>
      <c r="I2189" s="3">
        <f>Vendas[[#This Row],[Valor Unitário]]*Vendas[[#This Row],[Qnt Vendida]]</f>
        <v>2544</v>
      </c>
      <c r="J2189" s="3">
        <f>Vendas[[#This Row],[Valor da Venda]]-(_xlfn.XLOOKUP(Vendas[[#This Row],[ID Item Vendido]],Agregado[ID],Agregado[Custo])*Vendas[[#This Row],[Qnt Vendida]])</f>
        <v>384</v>
      </c>
      <c r="K2189" s="70">
        <f>Vendas[[#This Row],[Lucro da Venda]]/Vendas[[#This Row],[Valor da Venda]]</f>
        <v>0.15094339622641509</v>
      </c>
      <c r="L2189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2189"/>
    </row>
    <row r="2190" spans="1:13" x14ac:dyDescent="0.3">
      <c r="A2190" s="7">
        <v>400255</v>
      </c>
      <c r="B2190" t="str">
        <f>_xlfn.XLOOKUP(Vendas[[#This Row],[ID Vendedor]],Vendedores[ID],Vendedores[Nome])</f>
        <v>Carlos</v>
      </c>
      <c r="C2190" s="7" t="str">
        <f>_xlfn.XLOOKUP(Vendas[[#This Row],[ID Vendedor]],Vendedores[ID],Vendedores[Setor])</f>
        <v>SC</v>
      </c>
      <c r="D2190" s="7" t="s">
        <v>14</v>
      </c>
      <c r="E2190" t="str">
        <f>_xlfn.XLOOKUP(Vendas[[#This Row],[ID Item Vendido]],Agregado[ID],Agregado[Produto])</f>
        <v>Barril de plástico 200L</v>
      </c>
      <c r="F2190" s="39">
        <v>44933</v>
      </c>
      <c r="G2190" s="7">
        <v>10</v>
      </c>
      <c r="H2190" s="3">
        <f>_xlfn.XLOOKUP(Vendas[[#This Row],[ID Item Vendido]],Agregado[ID],Agregado[Revenda])</f>
        <v>114</v>
      </c>
      <c r="I2190" s="3">
        <f>Vendas[[#This Row],[Valor Unitário]]*Vendas[[#This Row],[Qnt Vendida]]</f>
        <v>1140</v>
      </c>
      <c r="J2190" s="3">
        <f>Vendas[[#This Row],[Valor da Venda]]-(_xlfn.XLOOKUP(Vendas[[#This Row],[ID Item Vendido]],Agregado[ID],Agregado[Custo])*Vendas[[#This Row],[Qnt Vendida]])</f>
        <v>190</v>
      </c>
      <c r="K2190" s="70">
        <f>Vendas[[#This Row],[Lucro da Venda]]/Vendas[[#This Row],[Valor da Venda]]</f>
        <v>0.16666666666666666</v>
      </c>
      <c r="L2190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2190"/>
    </row>
    <row r="2191" spans="1:13" x14ac:dyDescent="0.3">
      <c r="A2191" s="7">
        <v>400248</v>
      </c>
      <c r="B2191" t="str">
        <f>_xlfn.XLOOKUP(Vendas[[#This Row],[ID Vendedor]],Vendedores[ID],Vendedores[Nome])</f>
        <v>Patrícia</v>
      </c>
      <c r="C2191" s="7" t="str">
        <f>_xlfn.XLOOKUP(Vendas[[#This Row],[ID Vendedor]],Vendedores[ID],Vendedores[Setor])</f>
        <v>CM</v>
      </c>
      <c r="D2191" s="7" t="s">
        <v>45</v>
      </c>
      <c r="E2191" t="str">
        <f>_xlfn.XLOOKUP(Vendas[[#This Row],[ID Item Vendido]],Agregado[ID],Agregado[Produto])</f>
        <v>Viga de madeira tratada 4m</v>
      </c>
      <c r="F2191" s="39">
        <v>44933</v>
      </c>
      <c r="G2191" s="7">
        <v>9</v>
      </c>
      <c r="H2191" s="3">
        <f>_xlfn.XLOOKUP(Vendas[[#This Row],[ID Item Vendido]],Agregado[ID],Agregado[Revenda])</f>
        <v>66</v>
      </c>
      <c r="I2191" s="3">
        <f>Vendas[[#This Row],[Valor Unitário]]*Vendas[[#This Row],[Qnt Vendida]]</f>
        <v>594</v>
      </c>
      <c r="J2191" s="3">
        <f>Vendas[[#This Row],[Valor da Venda]]-(_xlfn.XLOOKUP(Vendas[[#This Row],[ID Item Vendido]],Agregado[ID],Agregado[Custo])*Vendas[[#This Row],[Qnt Vendida]])</f>
        <v>99</v>
      </c>
      <c r="K2191" s="70">
        <f>Vendas[[#This Row],[Lucro da Venda]]/Vendas[[#This Row],[Valor da Venda]]</f>
        <v>0.16666666666666666</v>
      </c>
      <c r="L2191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2191"/>
    </row>
    <row r="2192" spans="1:13" x14ac:dyDescent="0.3">
      <c r="A2192" s="7">
        <v>400242</v>
      </c>
      <c r="B2192" t="str">
        <f>_xlfn.XLOOKUP(Vendas[[#This Row],[ID Vendedor]],Vendedores[ID],Vendedores[Nome])</f>
        <v>Fernanda</v>
      </c>
      <c r="C2192" s="7" t="str">
        <f>_xlfn.XLOOKUP(Vendas[[#This Row],[ID Vendedor]],Vendedores[ID],Vendedores[Setor])</f>
        <v>FM</v>
      </c>
      <c r="D2192" s="7" t="s">
        <v>6</v>
      </c>
      <c r="E2192" t="str">
        <f>_xlfn.XLOOKUP(Vendas[[#This Row],[ID Item Vendido]],Agregado[ID],Agregado[Produto])</f>
        <v>Parafuso comum 500un</v>
      </c>
      <c r="F2192" s="39">
        <v>44933</v>
      </c>
      <c r="G2192" s="7">
        <v>20</v>
      </c>
      <c r="H2192" s="3">
        <f>_xlfn.XLOOKUP(Vendas[[#This Row],[ID Item Vendido]],Agregado[ID],Agregado[Revenda])</f>
        <v>24.6</v>
      </c>
      <c r="I2192" s="3">
        <f>Vendas[[#This Row],[Valor Unitário]]*Vendas[[#This Row],[Qnt Vendida]]</f>
        <v>492</v>
      </c>
      <c r="J2192" s="3">
        <f>Vendas[[#This Row],[Valor da Venda]]-(_xlfn.XLOOKUP(Vendas[[#This Row],[ID Item Vendido]],Agregado[ID],Agregado[Custo])*Vendas[[#This Row],[Qnt Vendida]])</f>
        <v>52</v>
      </c>
      <c r="K2192" s="70">
        <f>Vendas[[#This Row],[Lucro da Venda]]/Vendas[[#This Row],[Valor da Venda]]</f>
        <v>0.10569105691056911</v>
      </c>
      <c r="L2192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2192"/>
    </row>
    <row r="2193" spans="1:13" x14ac:dyDescent="0.3">
      <c r="A2193" s="7">
        <v>400249</v>
      </c>
      <c r="B2193" t="str">
        <f>_xlfn.XLOOKUP(Vendas[[#This Row],[ID Vendedor]],Vendedores[ID],Vendedores[Nome])</f>
        <v>Bruno</v>
      </c>
      <c r="C2193" s="7" t="str">
        <f>_xlfn.XLOOKUP(Vendas[[#This Row],[ID Vendedor]],Vendedores[ID],Vendedores[Setor])</f>
        <v>CM</v>
      </c>
      <c r="D2193" s="7" t="s">
        <v>34</v>
      </c>
      <c r="E2193" t="str">
        <f>_xlfn.XLOOKUP(Vendas[[#This Row],[ID Item Vendido]],Agregado[ID],Agregado[Produto])</f>
        <v>Restos de madeira p/ MDP/OSB saco de 20kg</v>
      </c>
      <c r="F2193" s="39">
        <v>44933</v>
      </c>
      <c r="G2193" s="7">
        <v>13</v>
      </c>
      <c r="H2193" s="3">
        <f>_xlfn.XLOOKUP(Vendas[[#This Row],[ID Item Vendido]],Agregado[ID],Agregado[Revenda])</f>
        <v>13.8</v>
      </c>
      <c r="I2193" s="3">
        <f>Vendas[[#This Row],[Valor Unitário]]*Vendas[[#This Row],[Qnt Vendida]]</f>
        <v>179.4</v>
      </c>
      <c r="J2193" s="3">
        <f>Vendas[[#This Row],[Valor da Venda]]-(_xlfn.XLOOKUP(Vendas[[#This Row],[ID Item Vendido]],Agregado[ID],Agregado[Custo])*Vendas[[#This Row],[Qnt Vendida]])</f>
        <v>23.400000000000006</v>
      </c>
      <c r="K2193" s="70">
        <f>Vendas[[#This Row],[Lucro da Venda]]/Vendas[[#This Row],[Valor da Venda]]</f>
        <v>0.13043478260869568</v>
      </c>
      <c r="L2193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2193"/>
    </row>
    <row r="2194" spans="1:13" x14ac:dyDescent="0.3">
      <c r="A2194" s="7">
        <v>400242</v>
      </c>
      <c r="B2194" t="str">
        <f>_xlfn.XLOOKUP(Vendas[[#This Row],[ID Vendedor]],Vendedores[ID],Vendedores[Nome])</f>
        <v>Fernanda</v>
      </c>
      <c r="C2194" s="7" t="str">
        <f>_xlfn.XLOOKUP(Vendas[[#This Row],[ID Vendedor]],Vendedores[ID],Vendedores[Setor])</f>
        <v>FM</v>
      </c>
      <c r="D2194" s="7" t="s">
        <v>6</v>
      </c>
      <c r="E2194" t="str">
        <f>_xlfn.XLOOKUP(Vendas[[#This Row],[ID Item Vendido]],Agregado[ID],Agregado[Produto])</f>
        <v>Parafuso comum 500un</v>
      </c>
      <c r="F2194" s="39">
        <v>44934</v>
      </c>
      <c r="G2194" s="7">
        <v>22</v>
      </c>
      <c r="H2194" s="3">
        <f>_xlfn.XLOOKUP(Vendas[[#This Row],[ID Item Vendido]],Agregado[ID],Agregado[Revenda])</f>
        <v>24.6</v>
      </c>
      <c r="I2194" s="3">
        <f>Vendas[[#This Row],[Valor Unitário]]*Vendas[[#This Row],[Qnt Vendida]]</f>
        <v>541.20000000000005</v>
      </c>
      <c r="J2194" s="3">
        <f>Vendas[[#This Row],[Valor da Venda]]-(_xlfn.XLOOKUP(Vendas[[#This Row],[ID Item Vendido]],Agregado[ID],Agregado[Custo])*Vendas[[#This Row],[Qnt Vendida]])</f>
        <v>57.200000000000045</v>
      </c>
      <c r="K2194" s="70">
        <f>Vendas[[#This Row],[Lucro da Venda]]/Vendas[[#This Row],[Valor da Venda]]</f>
        <v>0.10569105691056918</v>
      </c>
      <c r="L2194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194"/>
    </row>
    <row r="2195" spans="1:13" x14ac:dyDescent="0.3">
      <c r="A2195" s="7">
        <v>400241</v>
      </c>
      <c r="B2195" t="str">
        <f>_xlfn.XLOOKUP(Vendas[[#This Row],[ID Vendedor]],Vendedores[ID],Vendedores[Nome])</f>
        <v>Rodrigo</v>
      </c>
      <c r="C2195" s="7" t="str">
        <f>_xlfn.XLOOKUP(Vendas[[#This Row],[ID Vendedor]],Vendedores[ID],Vendedores[Setor])</f>
        <v>FM</v>
      </c>
      <c r="D2195" s="7" t="s">
        <v>27</v>
      </c>
      <c r="E2195" t="str">
        <f>_xlfn.XLOOKUP(Vendas[[#This Row],[ID Item Vendido]],Agregado[ID],Agregado[Produto])</f>
        <v>Chapa de metal lisa 1x2m</v>
      </c>
      <c r="F2195" s="39">
        <v>44935</v>
      </c>
      <c r="G2195" s="7">
        <v>23</v>
      </c>
      <c r="H2195" s="3">
        <f>_xlfn.XLOOKUP(Vendas[[#This Row],[ID Item Vendido]],Agregado[ID],Agregado[Revenda])</f>
        <v>52</v>
      </c>
      <c r="I2195" s="3">
        <f>Vendas[[#This Row],[Valor Unitário]]*Vendas[[#This Row],[Qnt Vendida]]</f>
        <v>1196</v>
      </c>
      <c r="J2195" s="3">
        <f>Vendas[[#This Row],[Valor da Venda]]-(_xlfn.XLOOKUP(Vendas[[#This Row],[ID Item Vendido]],Agregado[ID],Agregado[Custo])*Vendas[[#This Row],[Qnt Vendida]])</f>
        <v>161</v>
      </c>
      <c r="K2195" s="70">
        <f>Vendas[[#This Row],[Lucro da Venda]]/Vendas[[#This Row],[Valor da Venda]]</f>
        <v>0.13461538461538461</v>
      </c>
      <c r="L2195" s="3">
        <f>_xlfn.IFS(Vendas[[#This Row],[Margem de Lucro (%)]]&lt;15%,Vendas[[#This Row],[Valor da Venda]]*3%,Vendas[[#This Row],[Margem de Lucro (%)]]&lt;=20%,Vendas[[#This Row],[Valor da Venda]]*4.5%,TRUE,Vendas[[#This Row],[Valor da Venda]]*6%)</f>
        <v>35.879999999999995</v>
      </c>
      <c r="M2195"/>
    </row>
    <row r="2196" spans="1:13" x14ac:dyDescent="0.3">
      <c r="A2196" s="7">
        <v>400244</v>
      </c>
      <c r="B2196" t="str">
        <f>_xlfn.XLOOKUP(Vendas[[#This Row],[ID Vendedor]],Vendedores[ID],Vendedores[Nome])</f>
        <v>Camila</v>
      </c>
      <c r="C2196" s="7" t="str">
        <f>_xlfn.XLOOKUP(Vendas[[#This Row],[ID Vendedor]],Vendedores[ID],Vendedores[Setor])</f>
        <v>AHD</v>
      </c>
      <c r="D2196" s="7" t="s">
        <v>30</v>
      </c>
      <c r="E2196" t="str">
        <f>_xlfn.XLOOKUP(Vendas[[#This Row],[ID Item Vendido]],Agregado[ID],Agregado[Produto])</f>
        <v>Estrutura metálica soldada</v>
      </c>
      <c r="F2196" s="39">
        <v>44935</v>
      </c>
      <c r="G2196" s="7">
        <v>2</v>
      </c>
      <c r="H2196" s="3">
        <f>_xlfn.XLOOKUP(Vendas[[#This Row],[ID Item Vendido]],Agregado[ID],Agregado[Revenda])</f>
        <v>400</v>
      </c>
      <c r="I2196" s="3">
        <f>Vendas[[#This Row],[Valor Unitário]]*Vendas[[#This Row],[Qnt Vendida]]</f>
        <v>800</v>
      </c>
      <c r="J2196" s="3">
        <f>Vendas[[#This Row],[Valor da Venda]]-(_xlfn.XLOOKUP(Vendas[[#This Row],[ID Item Vendido]],Agregado[ID],Agregado[Custo])*Vendas[[#This Row],[Qnt Vendida]])</f>
        <v>160</v>
      </c>
      <c r="K2196" s="70">
        <f>Vendas[[#This Row],[Lucro da Venda]]/Vendas[[#This Row],[Valor da Venda]]</f>
        <v>0.2</v>
      </c>
      <c r="L2196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2196"/>
    </row>
    <row r="2197" spans="1:13" x14ac:dyDescent="0.3">
      <c r="A2197" s="7">
        <v>400242</v>
      </c>
      <c r="B2197" t="str">
        <f>_xlfn.XLOOKUP(Vendas[[#This Row],[ID Vendedor]],Vendedores[ID],Vendedores[Nome])</f>
        <v>Fernanda</v>
      </c>
      <c r="C2197" s="7" t="str">
        <f>_xlfn.XLOOKUP(Vendas[[#This Row],[ID Vendedor]],Vendedores[ID],Vendedores[Setor])</f>
        <v>FM</v>
      </c>
      <c r="D2197" s="7" t="s">
        <v>20</v>
      </c>
      <c r="E2197" t="str">
        <f>_xlfn.XLOOKUP(Vendas[[#This Row],[ID Item Vendido]],Agregado[ID],Agregado[Produto])</f>
        <v>Barra de aço simples</v>
      </c>
      <c r="F2197" s="39">
        <v>44935</v>
      </c>
      <c r="G2197" s="7">
        <v>40</v>
      </c>
      <c r="H2197" s="3">
        <f>_xlfn.XLOOKUP(Vendas[[#This Row],[ID Item Vendido]],Agregado[ID],Agregado[Revenda])</f>
        <v>4.8</v>
      </c>
      <c r="I2197" s="3">
        <f>Vendas[[#This Row],[Valor Unitário]]*Vendas[[#This Row],[Qnt Vendida]]</f>
        <v>192</v>
      </c>
      <c r="J2197" s="3">
        <f>Vendas[[#This Row],[Valor da Venda]]-(_xlfn.XLOOKUP(Vendas[[#This Row],[ID Item Vendido]],Agregado[ID],Agregado[Custo])*Vendas[[#This Row],[Qnt Vendida]])</f>
        <v>24</v>
      </c>
      <c r="K2197" s="70">
        <f>Vendas[[#This Row],[Lucro da Venda]]/Vendas[[#This Row],[Valor da Venda]]</f>
        <v>0.125</v>
      </c>
      <c r="L2197" s="3">
        <f>_xlfn.IFS(Vendas[[#This Row],[Margem de Lucro (%)]]&lt;15%,Vendas[[#This Row],[Valor da Venda]]*3%,Vendas[[#This Row],[Margem de Lucro (%)]]&lt;=20%,Vendas[[#This Row],[Valor da Venda]]*4.5%,TRUE,Vendas[[#This Row],[Valor da Venda]]*6%)</f>
        <v>5.76</v>
      </c>
      <c r="M2197"/>
    </row>
    <row r="2198" spans="1:13" x14ac:dyDescent="0.3">
      <c r="A2198" s="7">
        <v>400253</v>
      </c>
      <c r="B2198" t="str">
        <f>_xlfn.XLOOKUP(Vendas[[#This Row],[ID Vendedor]],Vendedores[ID],Vendedores[Nome])</f>
        <v>Gustavo</v>
      </c>
      <c r="C2198" s="7" t="str">
        <f>_xlfn.XLOOKUP(Vendas[[#This Row],[ID Vendedor]],Vendedores[ID],Vendedores[Setor])</f>
        <v>SC</v>
      </c>
      <c r="D2198" s="7" t="s">
        <v>42</v>
      </c>
      <c r="E2198" t="str">
        <f>_xlfn.XLOOKUP(Vendas[[#This Row],[ID Item Vendido]],Agregado[ID],Agregado[Produto])</f>
        <v>Container de ferro industrial</v>
      </c>
      <c r="F2198" s="39">
        <v>44936</v>
      </c>
      <c r="G2198" s="7">
        <v>3</v>
      </c>
      <c r="H2198" s="3">
        <f>_xlfn.XLOOKUP(Vendas[[#This Row],[ID Item Vendido]],Agregado[ID],Agregado[Revenda])</f>
        <v>830</v>
      </c>
      <c r="I2198" s="3">
        <f>Vendas[[#This Row],[Valor Unitário]]*Vendas[[#This Row],[Qnt Vendida]]</f>
        <v>2490</v>
      </c>
      <c r="J2198" s="3">
        <f>Vendas[[#This Row],[Valor da Venda]]-(_xlfn.XLOOKUP(Vendas[[#This Row],[ID Item Vendido]],Agregado[ID],Agregado[Custo])*Vendas[[#This Row],[Qnt Vendida]])</f>
        <v>450</v>
      </c>
      <c r="K2198" s="70">
        <f>Vendas[[#This Row],[Lucro da Venda]]/Vendas[[#This Row],[Valor da Venda]]</f>
        <v>0.18072289156626506</v>
      </c>
      <c r="L2198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198"/>
    </row>
    <row r="2199" spans="1:13" x14ac:dyDescent="0.3">
      <c r="A2199" s="7">
        <v>400250</v>
      </c>
      <c r="B2199" t="str">
        <f>_xlfn.XLOOKUP(Vendas[[#This Row],[ID Vendedor]],Vendedores[ID],Vendedores[Nome])</f>
        <v>Larissa</v>
      </c>
      <c r="C2199" s="7" t="str">
        <f>_xlfn.XLOOKUP(Vendas[[#This Row],[ID Vendedor]],Vendedores[ID],Vendedores[Setor])</f>
        <v>AB</v>
      </c>
      <c r="D2199" s="7" t="s">
        <v>36</v>
      </c>
      <c r="E2199" t="str">
        <f>_xlfn.XLOOKUP(Vendas[[#This Row],[ID Item Vendido]],Agregado[ID],Agregado[Produto])</f>
        <v>Borracha vulcanizada em manta</v>
      </c>
      <c r="F2199" s="39">
        <v>44936</v>
      </c>
      <c r="G2199" s="7">
        <v>39</v>
      </c>
      <c r="H2199" s="3">
        <f>_xlfn.XLOOKUP(Vendas[[#This Row],[ID Item Vendido]],Agregado[ID],Agregado[Revenda])</f>
        <v>7.8</v>
      </c>
      <c r="I2199" s="3">
        <f>Vendas[[#This Row],[Valor Unitário]]*Vendas[[#This Row],[Qnt Vendida]]</f>
        <v>304.2</v>
      </c>
      <c r="J2199" s="3">
        <f>Vendas[[#This Row],[Valor da Venda]]-(_xlfn.XLOOKUP(Vendas[[#This Row],[ID Item Vendido]],Agregado[ID],Agregado[Custo])*Vendas[[#This Row],[Qnt Vendida]])</f>
        <v>70.199999999999989</v>
      </c>
      <c r="K2199" s="70">
        <f>Vendas[[#This Row],[Lucro da Venda]]/Vendas[[#This Row],[Valor da Venda]]</f>
        <v>0.23076923076923075</v>
      </c>
      <c r="L2199" s="3">
        <f>_xlfn.IFS(Vendas[[#This Row],[Margem de Lucro (%)]]&lt;15%,Vendas[[#This Row],[Valor da Venda]]*3%,Vendas[[#This Row],[Margem de Lucro (%)]]&lt;=20%,Vendas[[#This Row],[Valor da Venda]]*4.5%,TRUE,Vendas[[#This Row],[Valor da Venda]]*6%)</f>
        <v>18.251999999999999</v>
      </c>
      <c r="M2199"/>
    </row>
    <row r="2200" spans="1:13" x14ac:dyDescent="0.3">
      <c r="A2200" s="7">
        <v>400243</v>
      </c>
      <c r="B2200" t="str">
        <f>_xlfn.XLOOKUP(Vendas[[#This Row],[ID Vendedor]],Vendedores[ID],Vendedores[Nome])</f>
        <v>Marcelo</v>
      </c>
      <c r="C2200" s="7" t="str">
        <f>_xlfn.XLOOKUP(Vendas[[#This Row],[ID Vendedor]],Vendedores[ID],Vendedores[Setor])</f>
        <v>FM</v>
      </c>
      <c r="D2200" s="7" t="s">
        <v>6</v>
      </c>
      <c r="E2200" t="str">
        <f>_xlfn.XLOOKUP(Vendas[[#This Row],[ID Item Vendido]],Agregado[ID],Agregado[Produto])</f>
        <v>Parafuso comum 500un</v>
      </c>
      <c r="F2200" s="39">
        <v>44937</v>
      </c>
      <c r="G2200" s="7">
        <v>2</v>
      </c>
      <c r="H2200" s="3">
        <f>_xlfn.XLOOKUP(Vendas[[#This Row],[ID Item Vendido]],Agregado[ID],Agregado[Revenda])</f>
        <v>24.6</v>
      </c>
      <c r="I2200" s="3">
        <f>Vendas[[#This Row],[Valor Unitário]]*Vendas[[#This Row],[Qnt Vendida]]</f>
        <v>49.2</v>
      </c>
      <c r="J2200" s="3">
        <f>Vendas[[#This Row],[Valor da Venda]]-(_xlfn.XLOOKUP(Vendas[[#This Row],[ID Item Vendido]],Agregado[ID],Agregado[Custo])*Vendas[[#This Row],[Qnt Vendida]])</f>
        <v>5.2000000000000028</v>
      </c>
      <c r="K2200" s="70">
        <f>Vendas[[#This Row],[Lucro da Venda]]/Vendas[[#This Row],[Valor da Venda]]</f>
        <v>0.10569105691056915</v>
      </c>
      <c r="L2200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2200"/>
    </row>
    <row r="2201" spans="1:13" x14ac:dyDescent="0.3">
      <c r="A2201" s="7">
        <v>400251</v>
      </c>
      <c r="B2201" t="str">
        <f>_xlfn.XLOOKUP(Vendas[[#This Row],[ID Vendedor]],Vendedores[ID],Vendedores[Nome])</f>
        <v>Diego</v>
      </c>
      <c r="C2201" s="7" t="str">
        <f>_xlfn.XLOOKUP(Vendas[[#This Row],[ID Vendedor]],Vendedores[ID],Vendedores[Setor])</f>
        <v>AB</v>
      </c>
      <c r="D2201" s="7" t="s">
        <v>36</v>
      </c>
      <c r="E2201" t="str">
        <f>_xlfn.XLOOKUP(Vendas[[#This Row],[ID Item Vendido]],Agregado[ID],Agregado[Produto])</f>
        <v>Borracha vulcanizada em manta</v>
      </c>
      <c r="F2201" s="39">
        <v>44938</v>
      </c>
      <c r="G2201" s="7">
        <v>92</v>
      </c>
      <c r="H2201" s="3">
        <f>_xlfn.XLOOKUP(Vendas[[#This Row],[ID Item Vendido]],Agregado[ID],Agregado[Revenda])</f>
        <v>7.8</v>
      </c>
      <c r="I2201" s="3">
        <f>Vendas[[#This Row],[Valor Unitário]]*Vendas[[#This Row],[Qnt Vendida]]</f>
        <v>717.6</v>
      </c>
      <c r="J2201" s="3">
        <f>Vendas[[#This Row],[Valor da Venda]]-(_xlfn.XLOOKUP(Vendas[[#This Row],[ID Item Vendido]],Agregado[ID],Agregado[Custo])*Vendas[[#This Row],[Qnt Vendida]])</f>
        <v>165.60000000000002</v>
      </c>
      <c r="K2201" s="70">
        <f>Vendas[[#This Row],[Lucro da Venda]]/Vendas[[#This Row],[Valor da Venda]]</f>
        <v>0.23076923076923078</v>
      </c>
      <c r="L2201" s="3">
        <f>_xlfn.IFS(Vendas[[#This Row],[Margem de Lucro (%)]]&lt;15%,Vendas[[#This Row],[Valor da Venda]]*3%,Vendas[[#This Row],[Margem de Lucro (%)]]&lt;=20%,Vendas[[#This Row],[Valor da Venda]]*4.5%,TRUE,Vendas[[#This Row],[Valor da Venda]]*6%)</f>
        <v>43.055999999999997</v>
      </c>
      <c r="M2201"/>
    </row>
    <row r="2202" spans="1:13" x14ac:dyDescent="0.3">
      <c r="A2202" s="7">
        <v>400243</v>
      </c>
      <c r="B2202" t="str">
        <f>_xlfn.XLOOKUP(Vendas[[#This Row],[ID Vendedor]],Vendedores[ID],Vendedores[Nome])</f>
        <v>Marcelo</v>
      </c>
      <c r="C2202" s="7" t="str">
        <f>_xlfn.XLOOKUP(Vendas[[#This Row],[ID Vendedor]],Vendedores[ID],Vendedores[Setor])</f>
        <v>FM</v>
      </c>
      <c r="D2202" s="7" t="s">
        <v>20</v>
      </c>
      <c r="E2202" t="str">
        <f>_xlfn.XLOOKUP(Vendas[[#This Row],[ID Item Vendido]],Agregado[ID],Agregado[Produto])</f>
        <v>Barra de aço simples</v>
      </c>
      <c r="F2202" s="39">
        <v>44938</v>
      </c>
      <c r="G2202" s="7">
        <v>147</v>
      </c>
      <c r="H2202" s="3">
        <f>_xlfn.XLOOKUP(Vendas[[#This Row],[ID Item Vendido]],Agregado[ID],Agregado[Revenda])</f>
        <v>4.8</v>
      </c>
      <c r="I2202" s="3">
        <f>Vendas[[#This Row],[Valor Unitário]]*Vendas[[#This Row],[Qnt Vendida]]</f>
        <v>705.6</v>
      </c>
      <c r="J2202" s="3">
        <f>Vendas[[#This Row],[Valor da Venda]]-(_xlfn.XLOOKUP(Vendas[[#This Row],[ID Item Vendido]],Agregado[ID],Agregado[Custo])*Vendas[[#This Row],[Qnt Vendida]])</f>
        <v>88.200000000000045</v>
      </c>
      <c r="K2202" s="70">
        <f>Vendas[[#This Row],[Lucro da Venda]]/Vendas[[#This Row],[Valor da Venda]]</f>
        <v>0.12500000000000006</v>
      </c>
      <c r="L2202" s="3">
        <f>_xlfn.IFS(Vendas[[#This Row],[Margem de Lucro (%)]]&lt;15%,Vendas[[#This Row],[Valor da Venda]]*3%,Vendas[[#This Row],[Margem de Lucro (%)]]&lt;=20%,Vendas[[#This Row],[Valor da Venda]]*4.5%,TRUE,Vendas[[#This Row],[Valor da Venda]]*6%)</f>
        <v>21.167999999999999</v>
      </c>
      <c r="M2202"/>
    </row>
    <row r="2203" spans="1:13" x14ac:dyDescent="0.3">
      <c r="A2203" s="7">
        <v>400248</v>
      </c>
      <c r="B2203" t="str">
        <f>_xlfn.XLOOKUP(Vendas[[#This Row],[ID Vendedor]],Vendedores[ID],Vendedores[Nome])</f>
        <v>Patrícia</v>
      </c>
      <c r="C2203" s="7" t="str">
        <f>_xlfn.XLOOKUP(Vendas[[#This Row],[ID Vendedor]],Vendedores[ID],Vendedores[Setor])</f>
        <v>CM</v>
      </c>
      <c r="D2203" s="7" t="s">
        <v>43</v>
      </c>
      <c r="E2203" t="str">
        <f>_xlfn.XLOOKUP(Vendas[[#This Row],[ID Item Vendido]],Agregado[ID],Agregado[Produto])</f>
        <v>Madeira Bruta (Tora)</v>
      </c>
      <c r="F2203" s="39">
        <v>44939</v>
      </c>
      <c r="G2203" s="7">
        <v>13</v>
      </c>
      <c r="H2203" s="3">
        <f>_xlfn.XLOOKUP(Vendas[[#This Row],[ID Item Vendido]],Agregado[ID],Agregado[Revenda])</f>
        <v>212</v>
      </c>
      <c r="I2203" s="3">
        <f>Vendas[[#This Row],[Valor Unitário]]*Vendas[[#This Row],[Qnt Vendida]]</f>
        <v>2756</v>
      </c>
      <c r="J2203" s="3">
        <f>Vendas[[#This Row],[Valor da Venda]]-(_xlfn.XLOOKUP(Vendas[[#This Row],[ID Item Vendido]],Agregado[ID],Agregado[Custo])*Vendas[[#This Row],[Qnt Vendida]])</f>
        <v>416</v>
      </c>
      <c r="K2203" s="70">
        <f>Vendas[[#This Row],[Lucro da Venda]]/Vendas[[#This Row],[Valor da Venda]]</f>
        <v>0.15094339622641509</v>
      </c>
      <c r="L2203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2203"/>
    </row>
    <row r="2204" spans="1:13" x14ac:dyDescent="0.3">
      <c r="A2204" s="7">
        <v>400245</v>
      </c>
      <c r="B2204" t="str">
        <f>_xlfn.XLOOKUP(Vendas[[#This Row],[ID Vendedor]],Vendedores[ID],Vendedores[Nome])</f>
        <v>Thiago</v>
      </c>
      <c r="C2204" s="7" t="str">
        <f>_xlfn.XLOOKUP(Vendas[[#This Row],[ID Vendedor]],Vendedores[ID],Vendedores[Setor])</f>
        <v>AHD</v>
      </c>
      <c r="D2204" s="7" t="s">
        <v>30</v>
      </c>
      <c r="E2204" t="str">
        <f>_xlfn.XLOOKUP(Vendas[[#This Row],[ID Item Vendido]],Agregado[ID],Agregado[Produto])</f>
        <v>Estrutura metálica soldada</v>
      </c>
      <c r="F2204" s="39">
        <v>44939</v>
      </c>
      <c r="G2204" s="7">
        <v>5</v>
      </c>
      <c r="H2204" s="3">
        <f>_xlfn.XLOOKUP(Vendas[[#This Row],[ID Item Vendido]],Agregado[ID],Agregado[Revenda])</f>
        <v>400</v>
      </c>
      <c r="I2204" s="3">
        <f>Vendas[[#This Row],[Valor Unitário]]*Vendas[[#This Row],[Qnt Vendida]]</f>
        <v>2000</v>
      </c>
      <c r="J2204" s="3">
        <f>Vendas[[#This Row],[Valor da Venda]]-(_xlfn.XLOOKUP(Vendas[[#This Row],[ID Item Vendido]],Agregado[ID],Agregado[Custo])*Vendas[[#This Row],[Qnt Vendida]])</f>
        <v>400</v>
      </c>
      <c r="K2204" s="70">
        <f>Vendas[[#This Row],[Lucro da Venda]]/Vendas[[#This Row],[Valor da Venda]]</f>
        <v>0.2</v>
      </c>
      <c r="L220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204"/>
    </row>
    <row r="2205" spans="1:13" x14ac:dyDescent="0.3">
      <c r="A2205" s="7">
        <v>400242</v>
      </c>
      <c r="B2205" t="str">
        <f>_xlfn.XLOOKUP(Vendas[[#This Row],[ID Vendedor]],Vendedores[ID],Vendedores[Nome])</f>
        <v>Fernanda</v>
      </c>
      <c r="C2205" s="7" t="str">
        <f>_xlfn.XLOOKUP(Vendas[[#This Row],[ID Vendedor]],Vendedores[ID],Vendedores[Setor])</f>
        <v>FM</v>
      </c>
      <c r="D2205" s="7" t="s">
        <v>27</v>
      </c>
      <c r="E2205" t="str">
        <f>_xlfn.XLOOKUP(Vendas[[#This Row],[ID Item Vendido]],Agregado[ID],Agregado[Produto])</f>
        <v>Chapa de metal lisa 1x2m</v>
      </c>
      <c r="F2205" s="39">
        <v>44939</v>
      </c>
      <c r="G2205" s="7">
        <v>6</v>
      </c>
      <c r="H2205" s="3">
        <f>_xlfn.XLOOKUP(Vendas[[#This Row],[ID Item Vendido]],Agregado[ID],Agregado[Revenda])</f>
        <v>52</v>
      </c>
      <c r="I2205" s="3">
        <f>Vendas[[#This Row],[Valor Unitário]]*Vendas[[#This Row],[Qnt Vendida]]</f>
        <v>312</v>
      </c>
      <c r="J2205" s="3">
        <f>Vendas[[#This Row],[Valor da Venda]]-(_xlfn.XLOOKUP(Vendas[[#This Row],[ID Item Vendido]],Agregado[ID],Agregado[Custo])*Vendas[[#This Row],[Qnt Vendida]])</f>
        <v>42</v>
      </c>
      <c r="K2205" s="70">
        <f>Vendas[[#This Row],[Lucro da Venda]]/Vendas[[#This Row],[Valor da Venda]]</f>
        <v>0.13461538461538461</v>
      </c>
      <c r="L2205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2205"/>
    </row>
    <row r="2206" spans="1:13" x14ac:dyDescent="0.3">
      <c r="A2206" s="7">
        <v>400251</v>
      </c>
      <c r="B2206" t="str">
        <f>_xlfn.XLOOKUP(Vendas[[#This Row],[ID Vendedor]],Vendedores[ID],Vendedores[Nome])</f>
        <v>Diego</v>
      </c>
      <c r="C2206" s="7" t="str">
        <f>_xlfn.XLOOKUP(Vendas[[#This Row],[ID Vendedor]],Vendedores[ID],Vendedores[Setor])</f>
        <v>AB</v>
      </c>
      <c r="D2206" s="7" t="s">
        <v>36</v>
      </c>
      <c r="E2206" t="str">
        <f>_xlfn.XLOOKUP(Vendas[[#This Row],[ID Item Vendido]],Agregado[ID],Agregado[Produto])</f>
        <v>Borracha vulcanizada em manta</v>
      </c>
      <c r="F2206" s="39">
        <v>44941</v>
      </c>
      <c r="G2206" s="7">
        <v>73</v>
      </c>
      <c r="H2206" s="3">
        <f>_xlfn.XLOOKUP(Vendas[[#This Row],[ID Item Vendido]],Agregado[ID],Agregado[Revenda])</f>
        <v>7.8</v>
      </c>
      <c r="I2206" s="3">
        <f>Vendas[[#This Row],[Valor Unitário]]*Vendas[[#This Row],[Qnt Vendida]]</f>
        <v>569.4</v>
      </c>
      <c r="J2206" s="3">
        <f>Vendas[[#This Row],[Valor da Venda]]-(_xlfn.XLOOKUP(Vendas[[#This Row],[ID Item Vendido]],Agregado[ID],Agregado[Custo])*Vendas[[#This Row],[Qnt Vendida]])</f>
        <v>131.39999999999998</v>
      </c>
      <c r="K2206" s="70">
        <f>Vendas[[#This Row],[Lucro da Venda]]/Vendas[[#This Row],[Valor da Venda]]</f>
        <v>0.23076923076923073</v>
      </c>
      <c r="L2206" s="3">
        <f>_xlfn.IFS(Vendas[[#This Row],[Margem de Lucro (%)]]&lt;15%,Vendas[[#This Row],[Valor da Venda]]*3%,Vendas[[#This Row],[Margem de Lucro (%)]]&lt;=20%,Vendas[[#This Row],[Valor da Venda]]*4.5%,TRUE,Vendas[[#This Row],[Valor da Venda]]*6%)</f>
        <v>34.163999999999994</v>
      </c>
      <c r="M2206"/>
    </row>
    <row r="2207" spans="1:13" x14ac:dyDescent="0.3">
      <c r="A2207" s="7">
        <v>400255</v>
      </c>
      <c r="B2207" t="str">
        <f>_xlfn.XLOOKUP(Vendas[[#This Row],[ID Vendedor]],Vendedores[ID],Vendedores[Nome])</f>
        <v>Carlos</v>
      </c>
      <c r="C2207" s="7" t="str">
        <f>_xlfn.XLOOKUP(Vendas[[#This Row],[ID Vendedor]],Vendedores[ID],Vendedores[Setor])</f>
        <v>SC</v>
      </c>
      <c r="D2207" s="7" t="s">
        <v>42</v>
      </c>
      <c r="E2207" t="str">
        <f>_xlfn.XLOOKUP(Vendas[[#This Row],[ID Item Vendido]],Agregado[ID],Agregado[Produto])</f>
        <v>Container de ferro industrial</v>
      </c>
      <c r="F2207" s="39">
        <v>44943</v>
      </c>
      <c r="G2207" s="7">
        <v>4</v>
      </c>
      <c r="H2207" s="3">
        <f>_xlfn.XLOOKUP(Vendas[[#This Row],[ID Item Vendido]],Agregado[ID],Agregado[Revenda])</f>
        <v>830</v>
      </c>
      <c r="I2207" s="3">
        <f>Vendas[[#This Row],[Valor Unitário]]*Vendas[[#This Row],[Qnt Vendida]]</f>
        <v>3320</v>
      </c>
      <c r="J2207" s="3">
        <f>Vendas[[#This Row],[Valor da Venda]]-(_xlfn.XLOOKUP(Vendas[[#This Row],[ID Item Vendido]],Agregado[ID],Agregado[Custo])*Vendas[[#This Row],[Qnt Vendida]])</f>
        <v>600</v>
      </c>
      <c r="K2207" s="70">
        <f>Vendas[[#This Row],[Lucro da Venda]]/Vendas[[#This Row],[Valor da Venda]]</f>
        <v>0.18072289156626506</v>
      </c>
      <c r="L2207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207"/>
    </row>
    <row r="2208" spans="1:13" x14ac:dyDescent="0.3">
      <c r="A2208" s="7">
        <v>400248</v>
      </c>
      <c r="B2208" t="str">
        <f>_xlfn.XLOOKUP(Vendas[[#This Row],[ID Vendedor]],Vendedores[ID],Vendedores[Nome])</f>
        <v>Patrícia</v>
      </c>
      <c r="C2208" s="7" t="str">
        <f>_xlfn.XLOOKUP(Vendas[[#This Row],[ID Vendedor]],Vendedores[ID],Vendedores[Setor])</f>
        <v>CM</v>
      </c>
      <c r="D2208" s="7" t="s">
        <v>45</v>
      </c>
      <c r="E2208" t="str">
        <f>_xlfn.XLOOKUP(Vendas[[#This Row],[ID Item Vendido]],Agregado[ID],Agregado[Produto])</f>
        <v>Viga de madeira tratada 4m</v>
      </c>
      <c r="F2208" s="39">
        <v>44943</v>
      </c>
      <c r="G2208" s="7">
        <v>18</v>
      </c>
      <c r="H2208" s="3">
        <f>_xlfn.XLOOKUP(Vendas[[#This Row],[ID Item Vendido]],Agregado[ID],Agregado[Revenda])</f>
        <v>66</v>
      </c>
      <c r="I2208" s="3">
        <f>Vendas[[#This Row],[Valor Unitário]]*Vendas[[#This Row],[Qnt Vendida]]</f>
        <v>1188</v>
      </c>
      <c r="J2208" s="3">
        <f>Vendas[[#This Row],[Valor da Venda]]-(_xlfn.XLOOKUP(Vendas[[#This Row],[ID Item Vendido]],Agregado[ID],Agregado[Custo])*Vendas[[#This Row],[Qnt Vendida]])</f>
        <v>198</v>
      </c>
      <c r="K2208" s="70">
        <f>Vendas[[#This Row],[Lucro da Venda]]/Vendas[[#This Row],[Valor da Venda]]</f>
        <v>0.16666666666666666</v>
      </c>
      <c r="L2208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2208"/>
    </row>
    <row r="2209" spans="1:13" x14ac:dyDescent="0.3">
      <c r="A2209" s="7">
        <v>400248</v>
      </c>
      <c r="B2209" t="str">
        <f>_xlfn.XLOOKUP(Vendas[[#This Row],[ID Vendedor]],Vendedores[ID],Vendedores[Nome])</f>
        <v>Patrícia</v>
      </c>
      <c r="C2209" s="7" t="str">
        <f>_xlfn.XLOOKUP(Vendas[[#This Row],[ID Vendedor]],Vendedores[ID],Vendedores[Setor])</f>
        <v>CM</v>
      </c>
      <c r="D2209" s="7" t="s">
        <v>34</v>
      </c>
      <c r="E2209" t="str">
        <f>_xlfn.XLOOKUP(Vendas[[#This Row],[ID Item Vendido]],Agregado[ID],Agregado[Produto])</f>
        <v>Restos de madeira p/ MDP/OSB saco de 20kg</v>
      </c>
      <c r="F2209" s="39">
        <v>44943</v>
      </c>
      <c r="G2209" s="7">
        <v>18</v>
      </c>
      <c r="H2209" s="3">
        <f>_xlfn.XLOOKUP(Vendas[[#This Row],[ID Item Vendido]],Agregado[ID],Agregado[Revenda])</f>
        <v>13.8</v>
      </c>
      <c r="I2209" s="3">
        <f>Vendas[[#This Row],[Valor Unitário]]*Vendas[[#This Row],[Qnt Vendida]]</f>
        <v>248.4</v>
      </c>
      <c r="J2209" s="3">
        <f>Vendas[[#This Row],[Valor da Venda]]-(_xlfn.XLOOKUP(Vendas[[#This Row],[ID Item Vendido]],Agregado[ID],Agregado[Custo])*Vendas[[#This Row],[Qnt Vendida]])</f>
        <v>32.400000000000006</v>
      </c>
      <c r="K2209" s="70">
        <f>Vendas[[#This Row],[Lucro da Venda]]/Vendas[[#This Row],[Valor da Venda]]</f>
        <v>0.13043478260869568</v>
      </c>
      <c r="L2209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2209"/>
    </row>
    <row r="2210" spans="1:13" x14ac:dyDescent="0.3">
      <c r="A2210" s="7">
        <v>400250</v>
      </c>
      <c r="B2210" t="str">
        <f>_xlfn.XLOOKUP(Vendas[[#This Row],[ID Vendedor]],Vendedores[ID],Vendedores[Nome])</f>
        <v>Larissa</v>
      </c>
      <c r="C2210" s="7" t="str">
        <f>_xlfn.XLOOKUP(Vendas[[#This Row],[ID Vendedor]],Vendedores[ID],Vendedores[Setor])</f>
        <v>AB</v>
      </c>
      <c r="D2210" s="7" t="s">
        <v>39</v>
      </c>
      <c r="E2210" t="str">
        <f>_xlfn.XLOOKUP(Vendas[[#This Row],[ID Item Vendido]],Agregado[ID],Agregado[Produto])</f>
        <v>Filme plástico industrial rolo 50m</v>
      </c>
      <c r="F2210" s="39">
        <v>44944</v>
      </c>
      <c r="G2210" s="7">
        <v>20</v>
      </c>
      <c r="H2210" s="3">
        <f>_xlfn.XLOOKUP(Vendas[[#This Row],[ID Item Vendido]],Agregado[ID],Agregado[Revenda])</f>
        <v>37</v>
      </c>
      <c r="I2210" s="3">
        <f>Vendas[[#This Row],[Valor Unitário]]*Vendas[[#This Row],[Qnt Vendida]]</f>
        <v>740</v>
      </c>
      <c r="J2210" s="3">
        <f>Vendas[[#This Row],[Valor da Venda]]-(_xlfn.XLOOKUP(Vendas[[#This Row],[ID Item Vendido]],Agregado[ID],Agregado[Custo])*Vendas[[#This Row],[Qnt Vendida]])</f>
        <v>180</v>
      </c>
      <c r="K2210" s="70">
        <f>Vendas[[#This Row],[Lucro da Venda]]/Vendas[[#This Row],[Valor da Venda]]</f>
        <v>0.24324324324324326</v>
      </c>
      <c r="L2210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2210"/>
    </row>
    <row r="2211" spans="1:13" x14ac:dyDescent="0.3">
      <c r="A2211" s="7">
        <v>400250</v>
      </c>
      <c r="B2211" t="str">
        <f>_xlfn.XLOOKUP(Vendas[[#This Row],[ID Vendedor]],Vendedores[ID],Vendedores[Nome])</f>
        <v>Larissa</v>
      </c>
      <c r="C2211" s="7" t="str">
        <f>_xlfn.XLOOKUP(Vendas[[#This Row],[ID Vendedor]],Vendedores[ID],Vendedores[Setor])</f>
        <v>AB</v>
      </c>
      <c r="D2211" s="7" t="s">
        <v>24</v>
      </c>
      <c r="E2211" t="str">
        <f>_xlfn.XLOOKUP(Vendas[[#This Row],[ID Item Vendido]],Agregado[ID],Agregado[Produto])</f>
        <v>Resina plástica PET purificada saco de 25kg</v>
      </c>
      <c r="F2211" s="39">
        <v>44946</v>
      </c>
      <c r="G2211" s="7">
        <v>28</v>
      </c>
      <c r="H2211" s="3">
        <f>_xlfn.XLOOKUP(Vendas[[#This Row],[ID Item Vendido]],Agregado[ID],Agregado[Revenda])</f>
        <v>119</v>
      </c>
      <c r="I2211" s="3">
        <f>Vendas[[#This Row],[Valor Unitário]]*Vendas[[#This Row],[Qnt Vendida]]</f>
        <v>3332</v>
      </c>
      <c r="J2211" s="3">
        <f>Vendas[[#This Row],[Valor da Venda]]-(_xlfn.XLOOKUP(Vendas[[#This Row],[ID Item Vendido]],Agregado[ID],Agregado[Custo])*Vendas[[#This Row],[Qnt Vendida]])</f>
        <v>952</v>
      </c>
      <c r="K2211" s="70">
        <f>Vendas[[#This Row],[Lucro da Venda]]/Vendas[[#This Row],[Valor da Venda]]</f>
        <v>0.2857142857142857</v>
      </c>
      <c r="L2211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2211"/>
    </row>
    <row r="2212" spans="1:13" x14ac:dyDescent="0.3">
      <c r="A2212" s="7">
        <v>400251</v>
      </c>
      <c r="B2212" t="str">
        <f>_xlfn.XLOOKUP(Vendas[[#This Row],[ID Vendedor]],Vendedores[ID],Vendedores[Nome])</f>
        <v>Diego</v>
      </c>
      <c r="C2212" s="7" t="str">
        <f>_xlfn.XLOOKUP(Vendas[[#This Row],[ID Vendedor]],Vendedores[ID],Vendedores[Setor])</f>
        <v>AB</v>
      </c>
      <c r="D2212" s="7" t="s">
        <v>12</v>
      </c>
      <c r="E2212" t="str">
        <f>_xlfn.XLOOKUP(Vendas[[#This Row],[ID Item Vendido]],Agregado[ID],Agregado[Produto])</f>
        <v>Grânulo de plástico reciclado refinado</v>
      </c>
      <c r="F2212" s="39">
        <v>44946</v>
      </c>
      <c r="G2212" s="7">
        <v>148</v>
      </c>
      <c r="H2212" s="3">
        <f>_xlfn.XLOOKUP(Vendas[[#This Row],[ID Item Vendido]],Agregado[ID],Agregado[Revenda])</f>
        <v>4.7</v>
      </c>
      <c r="I2212" s="3">
        <f>Vendas[[#This Row],[Valor Unitário]]*Vendas[[#This Row],[Qnt Vendida]]</f>
        <v>695.6</v>
      </c>
      <c r="J2212" s="3">
        <f>Vendas[[#This Row],[Valor da Venda]]-(_xlfn.XLOOKUP(Vendas[[#This Row],[ID Item Vendido]],Agregado[ID],Agregado[Custo])*Vendas[[#This Row],[Qnt Vendida]])</f>
        <v>177.60000000000002</v>
      </c>
      <c r="K2212" s="70">
        <f>Vendas[[#This Row],[Lucro da Venda]]/Vendas[[#This Row],[Valor da Venda]]</f>
        <v>0.25531914893617025</v>
      </c>
      <c r="L2212" s="3">
        <f>_xlfn.IFS(Vendas[[#This Row],[Margem de Lucro (%)]]&lt;15%,Vendas[[#This Row],[Valor da Venda]]*3%,Vendas[[#This Row],[Margem de Lucro (%)]]&lt;=20%,Vendas[[#This Row],[Valor da Venda]]*4.5%,TRUE,Vendas[[#This Row],[Valor da Venda]]*6%)</f>
        <v>41.735999999999997</v>
      </c>
      <c r="M2212"/>
    </row>
    <row r="2213" spans="1:13" x14ac:dyDescent="0.3">
      <c r="A2213" s="7">
        <v>400253</v>
      </c>
      <c r="B2213" t="str">
        <f>_xlfn.XLOOKUP(Vendas[[#This Row],[ID Vendedor]],Vendedores[ID],Vendedores[Nome])</f>
        <v>Gustavo</v>
      </c>
      <c r="C2213" s="7" t="str">
        <f>_xlfn.XLOOKUP(Vendas[[#This Row],[ID Vendedor]],Vendedores[ID],Vendedores[Setor])</f>
        <v>SC</v>
      </c>
      <c r="D2213" s="7" t="s">
        <v>42</v>
      </c>
      <c r="E2213" t="str">
        <f>_xlfn.XLOOKUP(Vendas[[#This Row],[ID Item Vendido]],Agregado[ID],Agregado[Produto])</f>
        <v>Container de ferro industrial</v>
      </c>
      <c r="F2213" s="39">
        <v>44947</v>
      </c>
      <c r="G2213" s="7">
        <v>5</v>
      </c>
      <c r="H2213" s="3">
        <f>_xlfn.XLOOKUP(Vendas[[#This Row],[ID Item Vendido]],Agregado[ID],Agregado[Revenda])</f>
        <v>830</v>
      </c>
      <c r="I2213" s="3">
        <f>Vendas[[#This Row],[Valor Unitário]]*Vendas[[#This Row],[Qnt Vendida]]</f>
        <v>4150</v>
      </c>
      <c r="J2213" s="3">
        <f>Vendas[[#This Row],[Valor da Venda]]-(_xlfn.XLOOKUP(Vendas[[#This Row],[ID Item Vendido]],Agregado[ID],Agregado[Custo])*Vendas[[#This Row],[Qnt Vendida]])</f>
        <v>750</v>
      </c>
      <c r="K2213" s="70">
        <f>Vendas[[#This Row],[Lucro da Venda]]/Vendas[[#This Row],[Valor da Venda]]</f>
        <v>0.18072289156626506</v>
      </c>
      <c r="L221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213"/>
    </row>
    <row r="2214" spans="1:13" x14ac:dyDescent="0.3">
      <c r="A2214" s="7">
        <v>400249</v>
      </c>
      <c r="B2214" t="str">
        <f>_xlfn.XLOOKUP(Vendas[[#This Row],[ID Vendedor]],Vendedores[ID],Vendedores[Nome])</f>
        <v>Bruno</v>
      </c>
      <c r="C2214" s="7" t="str">
        <f>_xlfn.XLOOKUP(Vendas[[#This Row],[ID Vendedor]],Vendedores[ID],Vendedores[Setor])</f>
        <v>CM</v>
      </c>
      <c r="D2214" s="7" t="s">
        <v>43</v>
      </c>
      <c r="E2214" t="str">
        <f>_xlfn.XLOOKUP(Vendas[[#This Row],[ID Item Vendido]],Agregado[ID],Agregado[Produto])</f>
        <v>Madeira Bruta (Tora)</v>
      </c>
      <c r="F2214" s="39">
        <v>44947</v>
      </c>
      <c r="G2214" s="7">
        <v>7</v>
      </c>
      <c r="H2214" s="3">
        <f>_xlfn.XLOOKUP(Vendas[[#This Row],[ID Item Vendido]],Agregado[ID],Agregado[Revenda])</f>
        <v>212</v>
      </c>
      <c r="I2214" s="3">
        <f>Vendas[[#This Row],[Valor Unitário]]*Vendas[[#This Row],[Qnt Vendida]]</f>
        <v>1484</v>
      </c>
      <c r="J2214" s="3">
        <f>Vendas[[#This Row],[Valor da Venda]]-(_xlfn.XLOOKUP(Vendas[[#This Row],[ID Item Vendido]],Agregado[ID],Agregado[Custo])*Vendas[[#This Row],[Qnt Vendida]])</f>
        <v>224</v>
      </c>
      <c r="K2214" s="70">
        <f>Vendas[[#This Row],[Lucro da Venda]]/Vendas[[#This Row],[Valor da Venda]]</f>
        <v>0.15094339622641509</v>
      </c>
      <c r="L2214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2214"/>
    </row>
    <row r="2215" spans="1:13" x14ac:dyDescent="0.3">
      <c r="A2215" s="7">
        <v>400244</v>
      </c>
      <c r="B2215" t="str">
        <f>_xlfn.XLOOKUP(Vendas[[#This Row],[ID Vendedor]],Vendedores[ID],Vendedores[Nome])</f>
        <v>Camila</v>
      </c>
      <c r="C2215" s="7" t="str">
        <f>_xlfn.XLOOKUP(Vendas[[#This Row],[ID Vendedor]],Vendedores[ID],Vendedores[Setor])</f>
        <v>AHD</v>
      </c>
      <c r="D2215" s="7" t="s">
        <v>28</v>
      </c>
      <c r="E2215" t="str">
        <f>_xlfn.XLOOKUP(Vendas[[#This Row],[ID Item Vendido]],Agregado[ID],Agregado[Produto])</f>
        <v>Peça usinada CNC</v>
      </c>
      <c r="F2215" s="39">
        <v>44947</v>
      </c>
      <c r="G2215" s="7">
        <v>6</v>
      </c>
      <c r="H2215" s="3">
        <f>_xlfn.XLOOKUP(Vendas[[#This Row],[ID Item Vendido]],Agregado[ID],Agregado[Revenda])</f>
        <v>192</v>
      </c>
      <c r="I2215" s="3">
        <f>Vendas[[#This Row],[Valor Unitário]]*Vendas[[#This Row],[Qnt Vendida]]</f>
        <v>1152</v>
      </c>
      <c r="J2215" s="3">
        <f>Vendas[[#This Row],[Valor da Venda]]-(_xlfn.XLOOKUP(Vendas[[#This Row],[ID Item Vendido]],Agregado[ID],Agregado[Custo])*Vendas[[#This Row],[Qnt Vendida]])</f>
        <v>252</v>
      </c>
      <c r="K2215" s="70">
        <f>Vendas[[#This Row],[Lucro da Venda]]/Vendas[[#This Row],[Valor da Venda]]</f>
        <v>0.21875</v>
      </c>
      <c r="L2215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2215"/>
    </row>
    <row r="2216" spans="1:13" x14ac:dyDescent="0.3">
      <c r="A2216" s="7">
        <v>400253</v>
      </c>
      <c r="B2216" t="str">
        <f>_xlfn.XLOOKUP(Vendas[[#This Row],[ID Vendedor]],Vendedores[ID],Vendedores[Nome])</f>
        <v>Gustavo</v>
      </c>
      <c r="C2216" s="7" t="str">
        <f>_xlfn.XLOOKUP(Vendas[[#This Row],[ID Vendedor]],Vendedores[ID],Vendedores[Setor])</f>
        <v>SC</v>
      </c>
      <c r="D2216" s="7" t="s">
        <v>42</v>
      </c>
      <c r="E2216" t="str">
        <f>_xlfn.XLOOKUP(Vendas[[#This Row],[ID Item Vendido]],Agregado[ID],Agregado[Produto])</f>
        <v>Container de ferro industrial</v>
      </c>
      <c r="F2216" s="39">
        <v>44948</v>
      </c>
      <c r="G2216" s="7">
        <v>5</v>
      </c>
      <c r="H2216" s="3">
        <f>_xlfn.XLOOKUP(Vendas[[#This Row],[ID Item Vendido]],Agregado[ID],Agregado[Revenda])</f>
        <v>830</v>
      </c>
      <c r="I2216" s="3">
        <f>Vendas[[#This Row],[Valor Unitário]]*Vendas[[#This Row],[Qnt Vendida]]</f>
        <v>4150</v>
      </c>
      <c r="J2216" s="3">
        <f>Vendas[[#This Row],[Valor da Venda]]-(_xlfn.XLOOKUP(Vendas[[#This Row],[ID Item Vendido]],Agregado[ID],Agregado[Custo])*Vendas[[#This Row],[Qnt Vendida]])</f>
        <v>750</v>
      </c>
      <c r="K2216" s="70">
        <f>Vendas[[#This Row],[Lucro da Venda]]/Vendas[[#This Row],[Valor da Venda]]</f>
        <v>0.18072289156626506</v>
      </c>
      <c r="L221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216"/>
    </row>
    <row r="2217" spans="1:13" x14ac:dyDescent="0.3">
      <c r="A2217" s="7">
        <v>400245</v>
      </c>
      <c r="B2217" t="str">
        <f>_xlfn.XLOOKUP(Vendas[[#This Row],[ID Vendedor]],Vendedores[ID],Vendedores[Nome])</f>
        <v>Thiago</v>
      </c>
      <c r="C2217" s="7" t="str">
        <f>_xlfn.XLOOKUP(Vendas[[#This Row],[ID Vendedor]],Vendedores[ID],Vendedores[Setor])</f>
        <v>AHD</v>
      </c>
      <c r="D2217" s="7" t="s">
        <v>30</v>
      </c>
      <c r="E2217" t="str">
        <f>_xlfn.XLOOKUP(Vendas[[#This Row],[ID Item Vendido]],Agregado[ID],Agregado[Produto])</f>
        <v>Estrutura metálica soldada</v>
      </c>
      <c r="F2217" s="39">
        <v>44948</v>
      </c>
      <c r="G2217" s="7">
        <v>1</v>
      </c>
      <c r="H2217" s="3">
        <f>_xlfn.XLOOKUP(Vendas[[#This Row],[ID Item Vendido]],Agregado[ID],Agregado[Revenda])</f>
        <v>400</v>
      </c>
      <c r="I2217" s="3">
        <f>Vendas[[#This Row],[Valor Unitário]]*Vendas[[#This Row],[Qnt Vendida]]</f>
        <v>400</v>
      </c>
      <c r="J2217" s="3">
        <f>Vendas[[#This Row],[Valor da Venda]]-(_xlfn.XLOOKUP(Vendas[[#This Row],[ID Item Vendido]],Agregado[ID],Agregado[Custo])*Vendas[[#This Row],[Qnt Vendida]])</f>
        <v>80</v>
      </c>
      <c r="K2217" s="70">
        <f>Vendas[[#This Row],[Lucro da Venda]]/Vendas[[#This Row],[Valor da Venda]]</f>
        <v>0.2</v>
      </c>
      <c r="L2217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217"/>
    </row>
    <row r="2218" spans="1:13" x14ac:dyDescent="0.3">
      <c r="A2218" s="7">
        <v>400251</v>
      </c>
      <c r="B2218" t="str">
        <f>_xlfn.XLOOKUP(Vendas[[#This Row],[ID Vendedor]],Vendedores[ID],Vendedores[Nome])</f>
        <v>Diego</v>
      </c>
      <c r="C2218" s="7" t="str">
        <f>_xlfn.XLOOKUP(Vendas[[#This Row],[ID Vendedor]],Vendedores[ID],Vendedores[Setor])</f>
        <v>AB</v>
      </c>
      <c r="D2218" s="7" t="s">
        <v>24</v>
      </c>
      <c r="E2218" t="str">
        <f>_xlfn.XLOOKUP(Vendas[[#This Row],[ID Item Vendido]],Agregado[ID],Agregado[Produto])</f>
        <v>Resina plástica PET purificada saco de 25kg</v>
      </c>
      <c r="F2218" s="39">
        <v>44949</v>
      </c>
      <c r="G2218" s="7">
        <v>13</v>
      </c>
      <c r="H2218" s="3">
        <f>_xlfn.XLOOKUP(Vendas[[#This Row],[ID Item Vendido]],Agregado[ID],Agregado[Revenda])</f>
        <v>119</v>
      </c>
      <c r="I2218" s="3">
        <f>Vendas[[#This Row],[Valor Unitário]]*Vendas[[#This Row],[Qnt Vendida]]</f>
        <v>1547</v>
      </c>
      <c r="J2218" s="3">
        <f>Vendas[[#This Row],[Valor da Venda]]-(_xlfn.XLOOKUP(Vendas[[#This Row],[ID Item Vendido]],Agregado[ID],Agregado[Custo])*Vendas[[#This Row],[Qnt Vendida]])</f>
        <v>442</v>
      </c>
      <c r="K2218" s="70">
        <f>Vendas[[#This Row],[Lucro da Venda]]/Vendas[[#This Row],[Valor da Venda]]</f>
        <v>0.2857142857142857</v>
      </c>
      <c r="L2218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2218"/>
    </row>
    <row r="2219" spans="1:13" x14ac:dyDescent="0.3">
      <c r="A2219" s="7">
        <v>400250</v>
      </c>
      <c r="B2219" t="str">
        <f>_xlfn.XLOOKUP(Vendas[[#This Row],[ID Vendedor]],Vendedores[ID],Vendedores[Nome])</f>
        <v>Larissa</v>
      </c>
      <c r="C2219" s="7" t="str">
        <f>_xlfn.XLOOKUP(Vendas[[#This Row],[ID Vendedor]],Vendedores[ID],Vendedores[Setor])</f>
        <v>AB</v>
      </c>
      <c r="D2219" s="7" t="s">
        <v>39</v>
      </c>
      <c r="E2219" t="str">
        <f>_xlfn.XLOOKUP(Vendas[[#This Row],[ID Item Vendido]],Agregado[ID],Agregado[Produto])</f>
        <v>Filme plástico industrial rolo 50m</v>
      </c>
      <c r="F2219" s="39">
        <v>44949</v>
      </c>
      <c r="G2219" s="7">
        <v>23</v>
      </c>
      <c r="H2219" s="3">
        <f>_xlfn.XLOOKUP(Vendas[[#This Row],[ID Item Vendido]],Agregado[ID],Agregado[Revenda])</f>
        <v>37</v>
      </c>
      <c r="I2219" s="3">
        <f>Vendas[[#This Row],[Valor Unitário]]*Vendas[[#This Row],[Qnt Vendida]]</f>
        <v>851</v>
      </c>
      <c r="J2219" s="3">
        <f>Vendas[[#This Row],[Valor da Venda]]-(_xlfn.XLOOKUP(Vendas[[#This Row],[ID Item Vendido]],Agregado[ID],Agregado[Custo])*Vendas[[#This Row],[Qnt Vendida]])</f>
        <v>207</v>
      </c>
      <c r="K2219" s="70">
        <f>Vendas[[#This Row],[Lucro da Venda]]/Vendas[[#This Row],[Valor da Venda]]</f>
        <v>0.24324324324324326</v>
      </c>
      <c r="L2219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2219"/>
    </row>
    <row r="2220" spans="1:13" x14ac:dyDescent="0.3">
      <c r="A2220" s="7">
        <v>400248</v>
      </c>
      <c r="B2220" t="str">
        <f>_xlfn.XLOOKUP(Vendas[[#This Row],[ID Vendedor]],Vendedores[ID],Vendedores[Nome])</f>
        <v>Patrícia</v>
      </c>
      <c r="C2220" s="7" t="str">
        <f>_xlfn.XLOOKUP(Vendas[[#This Row],[ID Vendedor]],Vendedores[ID],Vendedores[Setor])</f>
        <v>CM</v>
      </c>
      <c r="D2220" s="7" t="s">
        <v>45</v>
      </c>
      <c r="E2220" t="str">
        <f>_xlfn.XLOOKUP(Vendas[[#This Row],[ID Item Vendido]],Agregado[ID],Agregado[Produto])</f>
        <v>Viga de madeira tratada 4m</v>
      </c>
      <c r="F2220" s="39">
        <v>44951</v>
      </c>
      <c r="G2220" s="7">
        <v>5</v>
      </c>
      <c r="H2220" s="3">
        <f>_xlfn.XLOOKUP(Vendas[[#This Row],[ID Item Vendido]],Agregado[ID],Agregado[Revenda])</f>
        <v>66</v>
      </c>
      <c r="I2220" s="3">
        <f>Vendas[[#This Row],[Valor Unitário]]*Vendas[[#This Row],[Qnt Vendida]]</f>
        <v>330</v>
      </c>
      <c r="J2220" s="3">
        <f>Vendas[[#This Row],[Valor da Venda]]-(_xlfn.XLOOKUP(Vendas[[#This Row],[ID Item Vendido]],Agregado[ID],Agregado[Custo])*Vendas[[#This Row],[Qnt Vendida]])</f>
        <v>55</v>
      </c>
      <c r="K2220" s="70">
        <f>Vendas[[#This Row],[Lucro da Venda]]/Vendas[[#This Row],[Valor da Venda]]</f>
        <v>0.16666666666666666</v>
      </c>
      <c r="L2220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2220"/>
    </row>
    <row r="2221" spans="1:13" x14ac:dyDescent="0.3">
      <c r="A2221" s="7">
        <v>400242</v>
      </c>
      <c r="B2221" t="str">
        <f>_xlfn.XLOOKUP(Vendas[[#This Row],[ID Vendedor]],Vendedores[ID],Vendedores[Nome])</f>
        <v>Fernanda</v>
      </c>
      <c r="C2221" s="7" t="str">
        <f>_xlfn.XLOOKUP(Vendas[[#This Row],[ID Vendedor]],Vendedores[ID],Vendedores[Setor])</f>
        <v>FM</v>
      </c>
      <c r="D2221" s="7" t="s">
        <v>20</v>
      </c>
      <c r="E2221" t="str">
        <f>_xlfn.XLOOKUP(Vendas[[#This Row],[ID Item Vendido]],Agregado[ID],Agregado[Produto])</f>
        <v>Barra de aço simples</v>
      </c>
      <c r="F2221" s="39">
        <v>44951</v>
      </c>
      <c r="G2221" s="7">
        <v>25</v>
      </c>
      <c r="H2221" s="3">
        <f>_xlfn.XLOOKUP(Vendas[[#This Row],[ID Item Vendido]],Agregado[ID],Agregado[Revenda])</f>
        <v>4.8</v>
      </c>
      <c r="I2221" s="3">
        <f>Vendas[[#This Row],[Valor Unitário]]*Vendas[[#This Row],[Qnt Vendida]]</f>
        <v>120</v>
      </c>
      <c r="J2221" s="3">
        <f>Vendas[[#This Row],[Valor da Venda]]-(_xlfn.XLOOKUP(Vendas[[#This Row],[ID Item Vendido]],Agregado[ID],Agregado[Custo])*Vendas[[#This Row],[Qnt Vendida]])</f>
        <v>15</v>
      </c>
      <c r="K2221" s="70">
        <f>Vendas[[#This Row],[Lucro da Venda]]/Vendas[[#This Row],[Valor da Venda]]</f>
        <v>0.125</v>
      </c>
      <c r="L2221" s="3">
        <f>_xlfn.IFS(Vendas[[#This Row],[Margem de Lucro (%)]]&lt;15%,Vendas[[#This Row],[Valor da Venda]]*3%,Vendas[[#This Row],[Margem de Lucro (%)]]&lt;=20%,Vendas[[#This Row],[Valor da Venda]]*4.5%,TRUE,Vendas[[#This Row],[Valor da Venda]]*6%)</f>
        <v>3.5999999999999996</v>
      </c>
      <c r="M2221"/>
    </row>
    <row r="2222" spans="1:13" x14ac:dyDescent="0.3">
      <c r="A2222" s="7">
        <v>400244</v>
      </c>
      <c r="B2222" t="str">
        <f>_xlfn.XLOOKUP(Vendas[[#This Row],[ID Vendedor]],Vendedores[ID],Vendedores[Nome])</f>
        <v>Camila</v>
      </c>
      <c r="C2222" s="7" t="str">
        <f>_xlfn.XLOOKUP(Vendas[[#This Row],[ID Vendedor]],Vendedores[ID],Vendedores[Setor])</f>
        <v>AHD</v>
      </c>
      <c r="D2222" s="7" t="s">
        <v>30</v>
      </c>
      <c r="E2222" t="str">
        <f>_xlfn.XLOOKUP(Vendas[[#This Row],[ID Item Vendido]],Agregado[ID],Agregado[Produto])</f>
        <v>Estrutura metálica soldada</v>
      </c>
      <c r="F2222" s="39">
        <v>44952</v>
      </c>
      <c r="G2222" s="7">
        <v>3</v>
      </c>
      <c r="H2222" s="3">
        <f>_xlfn.XLOOKUP(Vendas[[#This Row],[ID Item Vendido]],Agregado[ID],Agregado[Revenda])</f>
        <v>400</v>
      </c>
      <c r="I2222" s="3">
        <f>Vendas[[#This Row],[Valor Unitário]]*Vendas[[#This Row],[Qnt Vendida]]</f>
        <v>1200</v>
      </c>
      <c r="J2222" s="3">
        <f>Vendas[[#This Row],[Valor da Venda]]-(_xlfn.XLOOKUP(Vendas[[#This Row],[ID Item Vendido]],Agregado[ID],Agregado[Custo])*Vendas[[#This Row],[Qnt Vendida]])</f>
        <v>240</v>
      </c>
      <c r="K2222" s="70">
        <f>Vendas[[#This Row],[Lucro da Venda]]/Vendas[[#This Row],[Valor da Venda]]</f>
        <v>0.2</v>
      </c>
      <c r="L2222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222"/>
    </row>
    <row r="2223" spans="1:13" x14ac:dyDescent="0.3">
      <c r="A2223" s="7">
        <v>400243</v>
      </c>
      <c r="B2223" t="str">
        <f>_xlfn.XLOOKUP(Vendas[[#This Row],[ID Vendedor]],Vendedores[ID],Vendedores[Nome])</f>
        <v>Marcelo</v>
      </c>
      <c r="C2223" s="7" t="str">
        <f>_xlfn.XLOOKUP(Vendas[[#This Row],[ID Vendedor]],Vendedores[ID],Vendedores[Setor])</f>
        <v>FM</v>
      </c>
      <c r="D2223" s="7" t="s">
        <v>47</v>
      </c>
      <c r="E2223" t="str">
        <f>_xlfn.XLOOKUP(Vendas[[#This Row],[ID Item Vendido]],Agregado[ID],Agregado[Produto])</f>
        <v>Fio de arame galvanizado rolo 50m</v>
      </c>
      <c r="F2223" s="39">
        <v>44952</v>
      </c>
      <c r="G2223" s="7">
        <v>27</v>
      </c>
      <c r="H2223" s="3">
        <f>_xlfn.XLOOKUP(Vendas[[#This Row],[ID Item Vendido]],Agregado[ID],Agregado[Revenda])</f>
        <v>21.2</v>
      </c>
      <c r="I2223" s="3">
        <f>Vendas[[#This Row],[Valor Unitário]]*Vendas[[#This Row],[Qnt Vendida]]</f>
        <v>572.4</v>
      </c>
      <c r="J2223" s="3">
        <f>Vendas[[#This Row],[Valor da Venda]]-(_xlfn.XLOOKUP(Vendas[[#This Row],[ID Item Vendido]],Agregado[ID],Agregado[Custo])*Vendas[[#This Row],[Qnt Vendida]])</f>
        <v>86.399999999999977</v>
      </c>
      <c r="K2223" s="70">
        <f>Vendas[[#This Row],[Lucro da Venda]]/Vendas[[#This Row],[Valor da Venda]]</f>
        <v>0.15094339622641506</v>
      </c>
      <c r="L2223" s="3">
        <f>_xlfn.IFS(Vendas[[#This Row],[Margem de Lucro (%)]]&lt;15%,Vendas[[#This Row],[Valor da Venda]]*3%,Vendas[[#This Row],[Margem de Lucro (%)]]&lt;=20%,Vendas[[#This Row],[Valor da Venda]]*4.5%,TRUE,Vendas[[#This Row],[Valor da Venda]]*6%)</f>
        <v>25.757999999999999</v>
      </c>
      <c r="M2223"/>
    </row>
    <row r="2224" spans="1:13" x14ac:dyDescent="0.3">
      <c r="A2224" s="7">
        <v>400250</v>
      </c>
      <c r="B2224" t="str">
        <f>_xlfn.XLOOKUP(Vendas[[#This Row],[ID Vendedor]],Vendedores[ID],Vendedores[Nome])</f>
        <v>Larissa</v>
      </c>
      <c r="C2224" s="7" t="str">
        <f>_xlfn.XLOOKUP(Vendas[[#This Row],[ID Vendedor]],Vendedores[ID],Vendedores[Setor])</f>
        <v>AB</v>
      </c>
      <c r="D2224" s="7" t="s">
        <v>37</v>
      </c>
      <c r="E2224" t="str">
        <f>_xlfn.XLOOKUP(Vendas[[#This Row],[ID Item Vendido]],Agregado[ID],Agregado[Produto])</f>
        <v>Composto de borracha para vedação rolo 10m</v>
      </c>
      <c r="F2224" s="39">
        <v>44953</v>
      </c>
      <c r="G2224" s="7">
        <v>17</v>
      </c>
      <c r="H2224" s="3">
        <f>_xlfn.XLOOKUP(Vendas[[#This Row],[ID Item Vendido]],Agregado[ID],Agregado[Revenda])</f>
        <v>51.2</v>
      </c>
      <c r="I2224" s="3">
        <f>Vendas[[#This Row],[Valor Unitário]]*Vendas[[#This Row],[Qnt Vendida]]</f>
        <v>870.40000000000009</v>
      </c>
      <c r="J2224" s="3">
        <f>Vendas[[#This Row],[Valor da Venda]]-(_xlfn.XLOOKUP(Vendas[[#This Row],[ID Item Vendido]],Agregado[ID],Agregado[Custo])*Vendas[[#This Row],[Qnt Vendida]])</f>
        <v>190.40000000000009</v>
      </c>
      <c r="K2224" s="70">
        <f>Vendas[[#This Row],[Lucro da Venda]]/Vendas[[#This Row],[Valor da Venda]]</f>
        <v>0.21875000000000008</v>
      </c>
      <c r="L2224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2224"/>
    </row>
    <row r="2225" spans="1:13" x14ac:dyDescent="0.3">
      <c r="A2225" s="7">
        <v>400248</v>
      </c>
      <c r="B2225" t="str">
        <f>_xlfn.XLOOKUP(Vendas[[#This Row],[ID Vendedor]],Vendedores[ID],Vendedores[Nome])</f>
        <v>Patrícia</v>
      </c>
      <c r="C2225" s="7" t="str">
        <f>_xlfn.XLOOKUP(Vendas[[#This Row],[ID Vendedor]],Vendedores[ID],Vendedores[Setor])</f>
        <v>CM</v>
      </c>
      <c r="D2225" s="7" t="s">
        <v>45</v>
      </c>
      <c r="E2225" t="str">
        <f>_xlfn.XLOOKUP(Vendas[[#This Row],[ID Item Vendido]],Agregado[ID],Agregado[Produto])</f>
        <v>Viga de madeira tratada 4m</v>
      </c>
      <c r="F2225" s="39">
        <v>44954</v>
      </c>
      <c r="G2225" s="7">
        <v>9</v>
      </c>
      <c r="H2225" s="3">
        <f>_xlfn.XLOOKUP(Vendas[[#This Row],[ID Item Vendido]],Agregado[ID],Agregado[Revenda])</f>
        <v>66</v>
      </c>
      <c r="I2225" s="3">
        <f>Vendas[[#This Row],[Valor Unitário]]*Vendas[[#This Row],[Qnt Vendida]]</f>
        <v>594</v>
      </c>
      <c r="J2225" s="3">
        <f>Vendas[[#This Row],[Valor da Venda]]-(_xlfn.XLOOKUP(Vendas[[#This Row],[ID Item Vendido]],Agregado[ID],Agregado[Custo])*Vendas[[#This Row],[Qnt Vendida]])</f>
        <v>99</v>
      </c>
      <c r="K2225" s="70">
        <f>Vendas[[#This Row],[Lucro da Venda]]/Vendas[[#This Row],[Valor da Venda]]</f>
        <v>0.16666666666666666</v>
      </c>
      <c r="L2225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2225"/>
    </row>
    <row r="2226" spans="1:13" x14ac:dyDescent="0.3">
      <c r="A2226" s="7">
        <v>400249</v>
      </c>
      <c r="B2226" t="str">
        <f>_xlfn.XLOOKUP(Vendas[[#This Row],[ID Vendedor]],Vendedores[ID],Vendedores[Nome])</f>
        <v>Bruno</v>
      </c>
      <c r="C2226" s="7" t="str">
        <f>_xlfn.XLOOKUP(Vendas[[#This Row],[ID Vendedor]],Vendedores[ID],Vendedores[Setor])</f>
        <v>CM</v>
      </c>
      <c r="D2226" s="7" t="s">
        <v>45</v>
      </c>
      <c r="E2226" t="str">
        <f>_xlfn.XLOOKUP(Vendas[[#This Row],[ID Item Vendido]],Agregado[ID],Agregado[Produto])</f>
        <v>Viga de madeira tratada 4m</v>
      </c>
      <c r="F2226" s="39">
        <v>44955</v>
      </c>
      <c r="G2226" s="7">
        <v>15</v>
      </c>
      <c r="H2226" s="3">
        <f>_xlfn.XLOOKUP(Vendas[[#This Row],[ID Item Vendido]],Agregado[ID],Agregado[Revenda])</f>
        <v>66</v>
      </c>
      <c r="I2226" s="3">
        <f>Vendas[[#This Row],[Valor Unitário]]*Vendas[[#This Row],[Qnt Vendida]]</f>
        <v>990</v>
      </c>
      <c r="J2226" s="3">
        <f>Vendas[[#This Row],[Valor da Venda]]-(_xlfn.XLOOKUP(Vendas[[#This Row],[ID Item Vendido]],Agregado[ID],Agregado[Custo])*Vendas[[#This Row],[Qnt Vendida]])</f>
        <v>165</v>
      </c>
      <c r="K2226" s="70">
        <f>Vendas[[#This Row],[Lucro da Venda]]/Vendas[[#This Row],[Valor da Venda]]</f>
        <v>0.16666666666666666</v>
      </c>
      <c r="L2226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2226"/>
    </row>
    <row r="2227" spans="1:13" x14ac:dyDescent="0.3">
      <c r="A2227" s="7">
        <v>400250</v>
      </c>
      <c r="B2227" t="str">
        <f>_xlfn.XLOOKUP(Vendas[[#This Row],[ID Vendedor]],Vendedores[ID],Vendedores[Nome])</f>
        <v>Larissa</v>
      </c>
      <c r="C2227" s="7" t="str">
        <f>_xlfn.XLOOKUP(Vendas[[#This Row],[ID Vendedor]],Vendedores[ID],Vendedores[Setor])</f>
        <v>AB</v>
      </c>
      <c r="D2227" s="7" t="s">
        <v>24</v>
      </c>
      <c r="E2227" t="str">
        <f>_xlfn.XLOOKUP(Vendas[[#This Row],[ID Item Vendido]],Agregado[ID],Agregado[Produto])</f>
        <v>Resina plástica PET purificada saco de 25kg</v>
      </c>
      <c r="F2227" s="39">
        <v>44955</v>
      </c>
      <c r="G2227" s="7">
        <v>8</v>
      </c>
      <c r="H2227" s="3">
        <f>_xlfn.XLOOKUP(Vendas[[#This Row],[ID Item Vendido]],Agregado[ID],Agregado[Revenda])</f>
        <v>119</v>
      </c>
      <c r="I2227" s="3">
        <f>Vendas[[#This Row],[Valor Unitário]]*Vendas[[#This Row],[Qnt Vendida]]</f>
        <v>952</v>
      </c>
      <c r="J2227" s="3">
        <f>Vendas[[#This Row],[Valor da Venda]]-(_xlfn.XLOOKUP(Vendas[[#This Row],[ID Item Vendido]],Agregado[ID],Agregado[Custo])*Vendas[[#This Row],[Qnt Vendida]])</f>
        <v>272</v>
      </c>
      <c r="K2227" s="70">
        <f>Vendas[[#This Row],[Lucro da Venda]]/Vendas[[#This Row],[Valor da Venda]]</f>
        <v>0.2857142857142857</v>
      </c>
      <c r="L2227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2227"/>
    </row>
    <row r="2228" spans="1:13" x14ac:dyDescent="0.3">
      <c r="A2228" s="7">
        <v>400243</v>
      </c>
      <c r="B2228" t="str">
        <f>_xlfn.XLOOKUP(Vendas[[#This Row],[ID Vendedor]],Vendedores[ID],Vendedores[Nome])</f>
        <v>Marcelo</v>
      </c>
      <c r="C2228" s="7" t="str">
        <f>_xlfn.XLOOKUP(Vendas[[#This Row],[ID Vendedor]],Vendedores[ID],Vendedores[Setor])</f>
        <v>FM</v>
      </c>
      <c r="D2228" s="7" t="s">
        <v>47</v>
      </c>
      <c r="E2228" t="str">
        <f>_xlfn.XLOOKUP(Vendas[[#This Row],[ID Item Vendido]],Agregado[ID],Agregado[Produto])</f>
        <v>Fio de arame galvanizado rolo 50m</v>
      </c>
      <c r="F2228" s="39">
        <v>44955</v>
      </c>
      <c r="G2228" s="7">
        <v>12</v>
      </c>
      <c r="H2228" s="3">
        <f>_xlfn.XLOOKUP(Vendas[[#This Row],[ID Item Vendido]],Agregado[ID],Agregado[Revenda])</f>
        <v>21.2</v>
      </c>
      <c r="I2228" s="3">
        <f>Vendas[[#This Row],[Valor Unitário]]*Vendas[[#This Row],[Qnt Vendida]]</f>
        <v>254.39999999999998</v>
      </c>
      <c r="J2228" s="3">
        <f>Vendas[[#This Row],[Valor da Venda]]-(_xlfn.XLOOKUP(Vendas[[#This Row],[ID Item Vendido]],Agregado[ID],Agregado[Custo])*Vendas[[#This Row],[Qnt Vendida]])</f>
        <v>38.399999999999977</v>
      </c>
      <c r="K2228" s="70">
        <f>Vendas[[#This Row],[Lucro da Venda]]/Vendas[[#This Row],[Valor da Venda]]</f>
        <v>0.15094339622641501</v>
      </c>
      <c r="L2228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2228"/>
    </row>
    <row r="2229" spans="1:13" x14ac:dyDescent="0.3">
      <c r="A2229" s="7">
        <v>400249</v>
      </c>
      <c r="B2229" t="str">
        <f>_xlfn.XLOOKUP(Vendas[[#This Row],[ID Vendedor]],Vendedores[ID],Vendedores[Nome])</f>
        <v>Bruno</v>
      </c>
      <c r="C2229" s="7" t="str">
        <f>_xlfn.XLOOKUP(Vendas[[#This Row],[ID Vendedor]],Vendedores[ID],Vendedores[Setor])</f>
        <v>CM</v>
      </c>
      <c r="D2229" s="7" t="s">
        <v>34</v>
      </c>
      <c r="E2229" t="str">
        <f>_xlfn.XLOOKUP(Vendas[[#This Row],[ID Item Vendido]],Agregado[ID],Agregado[Produto])</f>
        <v>Restos de madeira p/ MDP/OSB saco de 20kg</v>
      </c>
      <c r="F2229" s="39">
        <v>44956</v>
      </c>
      <c r="G2229" s="7">
        <v>3</v>
      </c>
      <c r="H2229" s="3">
        <f>_xlfn.XLOOKUP(Vendas[[#This Row],[ID Item Vendido]],Agregado[ID],Agregado[Revenda])</f>
        <v>13.8</v>
      </c>
      <c r="I2229" s="3">
        <f>Vendas[[#This Row],[Valor Unitário]]*Vendas[[#This Row],[Qnt Vendida]]</f>
        <v>41.400000000000006</v>
      </c>
      <c r="J2229" s="3">
        <f>Vendas[[#This Row],[Valor da Venda]]-(_xlfn.XLOOKUP(Vendas[[#This Row],[ID Item Vendido]],Agregado[ID],Agregado[Custo])*Vendas[[#This Row],[Qnt Vendida]])</f>
        <v>5.4000000000000057</v>
      </c>
      <c r="K2229" s="70">
        <f>Vendas[[#This Row],[Lucro da Venda]]/Vendas[[#This Row],[Valor da Venda]]</f>
        <v>0.13043478260869576</v>
      </c>
      <c r="L2229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2229"/>
    </row>
    <row r="2230" spans="1:13" x14ac:dyDescent="0.3">
      <c r="A2230" s="7">
        <v>400248</v>
      </c>
      <c r="B2230" t="str">
        <f>_xlfn.XLOOKUP(Vendas[[#This Row],[ID Vendedor]],Vendedores[ID],Vendedores[Nome])</f>
        <v>Patrícia</v>
      </c>
      <c r="C2230" s="7" t="str">
        <f>_xlfn.XLOOKUP(Vendas[[#This Row],[ID Vendedor]],Vendedores[ID],Vendedores[Setor])</f>
        <v>CM</v>
      </c>
      <c r="D2230" s="7" t="s">
        <v>43</v>
      </c>
      <c r="E2230" t="str">
        <f>_xlfn.XLOOKUP(Vendas[[#This Row],[ID Item Vendido]],Agregado[ID],Agregado[Produto])</f>
        <v>Madeira Bruta (Tora)</v>
      </c>
      <c r="F2230" s="39">
        <v>44957</v>
      </c>
      <c r="G2230" s="7">
        <v>11</v>
      </c>
      <c r="H2230" s="3">
        <f>_xlfn.XLOOKUP(Vendas[[#This Row],[ID Item Vendido]],Agregado[ID],Agregado[Revenda])</f>
        <v>212</v>
      </c>
      <c r="I2230" s="3">
        <f>Vendas[[#This Row],[Valor Unitário]]*Vendas[[#This Row],[Qnt Vendida]]</f>
        <v>2332</v>
      </c>
      <c r="J2230" s="3">
        <f>Vendas[[#This Row],[Valor da Venda]]-(_xlfn.XLOOKUP(Vendas[[#This Row],[ID Item Vendido]],Agregado[ID],Agregado[Custo])*Vendas[[#This Row],[Qnt Vendida]])</f>
        <v>352</v>
      </c>
      <c r="K2230" s="70">
        <f>Vendas[[#This Row],[Lucro da Venda]]/Vendas[[#This Row],[Valor da Venda]]</f>
        <v>0.15094339622641509</v>
      </c>
      <c r="L223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2230"/>
    </row>
    <row r="2231" spans="1:13" x14ac:dyDescent="0.3">
      <c r="A2231" s="7">
        <v>400248</v>
      </c>
      <c r="B2231" t="str">
        <f>_xlfn.XLOOKUP(Vendas[[#This Row],[ID Vendedor]],Vendedores[ID],Vendedores[Nome])</f>
        <v>Patrícia</v>
      </c>
      <c r="C2231" s="7" t="str">
        <f>_xlfn.XLOOKUP(Vendas[[#This Row],[ID Vendedor]],Vendedores[ID],Vendedores[Setor])</f>
        <v>CM</v>
      </c>
      <c r="D2231" s="7" t="s">
        <v>45</v>
      </c>
      <c r="E2231" t="str">
        <f>_xlfn.XLOOKUP(Vendas[[#This Row],[ID Item Vendido]],Agregado[ID],Agregado[Produto])</f>
        <v>Viga de madeira tratada 4m</v>
      </c>
      <c r="F2231" s="39">
        <v>44958</v>
      </c>
      <c r="G2231" s="7">
        <v>10</v>
      </c>
      <c r="H2231" s="3">
        <f>_xlfn.XLOOKUP(Vendas[[#This Row],[ID Item Vendido]],Agregado[ID],Agregado[Revenda])</f>
        <v>66</v>
      </c>
      <c r="I2231" s="3">
        <f>Vendas[[#This Row],[Valor Unitário]]*Vendas[[#This Row],[Qnt Vendida]]</f>
        <v>660</v>
      </c>
      <c r="J2231" s="3">
        <f>Vendas[[#This Row],[Valor da Venda]]-(_xlfn.XLOOKUP(Vendas[[#This Row],[ID Item Vendido]],Agregado[ID],Agregado[Custo])*Vendas[[#This Row],[Qnt Vendida]])</f>
        <v>110</v>
      </c>
      <c r="K2231" s="70">
        <f>Vendas[[#This Row],[Lucro da Venda]]/Vendas[[#This Row],[Valor da Venda]]</f>
        <v>0.16666666666666666</v>
      </c>
      <c r="L2231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2231"/>
    </row>
    <row r="2232" spans="1:13" x14ac:dyDescent="0.3">
      <c r="A2232" s="7">
        <v>400241</v>
      </c>
      <c r="B2232" t="str">
        <f>_xlfn.XLOOKUP(Vendas[[#This Row],[ID Vendedor]],Vendedores[ID],Vendedores[Nome])</f>
        <v>Rodrigo</v>
      </c>
      <c r="C2232" s="7" t="str">
        <f>_xlfn.XLOOKUP(Vendas[[#This Row],[ID Vendedor]],Vendedores[ID],Vendedores[Setor])</f>
        <v>FM</v>
      </c>
      <c r="D2232" s="7" t="s">
        <v>27</v>
      </c>
      <c r="E2232" t="str">
        <f>_xlfn.XLOOKUP(Vendas[[#This Row],[ID Item Vendido]],Agregado[ID],Agregado[Produto])</f>
        <v>Chapa de metal lisa 1x2m</v>
      </c>
      <c r="F2232" s="39">
        <v>44958</v>
      </c>
      <c r="G2232" s="7">
        <v>3</v>
      </c>
      <c r="H2232" s="3">
        <f>_xlfn.XLOOKUP(Vendas[[#This Row],[ID Item Vendido]],Agregado[ID],Agregado[Revenda])</f>
        <v>52</v>
      </c>
      <c r="I2232" s="3">
        <f>Vendas[[#This Row],[Valor Unitário]]*Vendas[[#This Row],[Qnt Vendida]]</f>
        <v>156</v>
      </c>
      <c r="J2232" s="3">
        <f>Vendas[[#This Row],[Valor da Venda]]-(_xlfn.XLOOKUP(Vendas[[#This Row],[ID Item Vendido]],Agregado[ID],Agregado[Custo])*Vendas[[#This Row],[Qnt Vendida]])</f>
        <v>21</v>
      </c>
      <c r="K2232" s="70">
        <f>Vendas[[#This Row],[Lucro da Venda]]/Vendas[[#This Row],[Valor da Venda]]</f>
        <v>0.13461538461538461</v>
      </c>
      <c r="L2232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2232"/>
    </row>
    <row r="2233" spans="1:13" x14ac:dyDescent="0.3">
      <c r="A2233" s="7">
        <v>400250</v>
      </c>
      <c r="B2233" t="str">
        <f>_xlfn.XLOOKUP(Vendas[[#This Row],[ID Vendedor]],Vendedores[ID],Vendedores[Nome])</f>
        <v>Larissa</v>
      </c>
      <c r="C2233" s="7" t="str">
        <f>_xlfn.XLOOKUP(Vendas[[#This Row],[ID Vendedor]],Vendedores[ID],Vendedores[Setor])</f>
        <v>AB</v>
      </c>
      <c r="D2233" s="7" t="s">
        <v>39</v>
      </c>
      <c r="E2233" t="str">
        <f>_xlfn.XLOOKUP(Vendas[[#This Row],[ID Item Vendido]],Agregado[ID],Agregado[Produto])</f>
        <v>Filme plástico industrial rolo 50m</v>
      </c>
      <c r="F2233" s="39">
        <v>44959</v>
      </c>
      <c r="G2233" s="7">
        <v>24</v>
      </c>
      <c r="H2233" s="3">
        <f>_xlfn.XLOOKUP(Vendas[[#This Row],[ID Item Vendido]],Agregado[ID],Agregado[Revenda])</f>
        <v>37</v>
      </c>
      <c r="I2233" s="3">
        <f>Vendas[[#This Row],[Valor Unitário]]*Vendas[[#This Row],[Qnt Vendida]]</f>
        <v>888</v>
      </c>
      <c r="J2233" s="3">
        <f>Vendas[[#This Row],[Valor da Venda]]-(_xlfn.XLOOKUP(Vendas[[#This Row],[ID Item Vendido]],Agregado[ID],Agregado[Custo])*Vendas[[#This Row],[Qnt Vendida]])</f>
        <v>216</v>
      </c>
      <c r="K2233" s="70">
        <f>Vendas[[#This Row],[Lucro da Venda]]/Vendas[[#This Row],[Valor da Venda]]</f>
        <v>0.24324324324324326</v>
      </c>
      <c r="L2233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2233"/>
    </row>
    <row r="2234" spans="1:13" x14ac:dyDescent="0.3">
      <c r="A2234" s="7">
        <v>400251</v>
      </c>
      <c r="B2234" t="str">
        <f>_xlfn.XLOOKUP(Vendas[[#This Row],[ID Vendedor]],Vendedores[ID],Vendedores[Nome])</f>
        <v>Diego</v>
      </c>
      <c r="C2234" s="7" t="str">
        <f>_xlfn.XLOOKUP(Vendas[[#This Row],[ID Vendedor]],Vendedores[ID],Vendedores[Setor])</f>
        <v>AB</v>
      </c>
      <c r="D2234" s="7" t="s">
        <v>12</v>
      </c>
      <c r="E2234" t="str">
        <f>_xlfn.XLOOKUP(Vendas[[#This Row],[ID Item Vendido]],Agregado[ID],Agregado[Produto])</f>
        <v>Grânulo de plástico reciclado refinado</v>
      </c>
      <c r="F2234" s="39">
        <v>44959</v>
      </c>
      <c r="G2234" s="7">
        <v>138</v>
      </c>
      <c r="H2234" s="3">
        <f>_xlfn.XLOOKUP(Vendas[[#This Row],[ID Item Vendido]],Agregado[ID],Agregado[Revenda])</f>
        <v>4.7</v>
      </c>
      <c r="I2234" s="3">
        <f>Vendas[[#This Row],[Valor Unitário]]*Vendas[[#This Row],[Qnt Vendida]]</f>
        <v>648.6</v>
      </c>
      <c r="J2234" s="3">
        <f>Vendas[[#This Row],[Valor da Venda]]-(_xlfn.XLOOKUP(Vendas[[#This Row],[ID Item Vendido]],Agregado[ID],Agregado[Custo])*Vendas[[#This Row],[Qnt Vendida]])</f>
        <v>165.60000000000002</v>
      </c>
      <c r="K2234" s="70">
        <f>Vendas[[#This Row],[Lucro da Venda]]/Vendas[[#This Row],[Valor da Venda]]</f>
        <v>0.25531914893617025</v>
      </c>
      <c r="L2234" s="3">
        <f>_xlfn.IFS(Vendas[[#This Row],[Margem de Lucro (%)]]&lt;15%,Vendas[[#This Row],[Valor da Venda]]*3%,Vendas[[#This Row],[Margem de Lucro (%)]]&lt;=20%,Vendas[[#This Row],[Valor da Venda]]*4.5%,TRUE,Vendas[[#This Row],[Valor da Venda]]*6%)</f>
        <v>38.915999999999997</v>
      </c>
      <c r="M2234"/>
    </row>
    <row r="2235" spans="1:13" x14ac:dyDescent="0.3">
      <c r="A2235" s="7">
        <v>400251</v>
      </c>
      <c r="B2235" t="str">
        <f>_xlfn.XLOOKUP(Vendas[[#This Row],[ID Vendedor]],Vendedores[ID],Vendedores[Nome])</f>
        <v>Diego</v>
      </c>
      <c r="C2235" s="7" t="str">
        <f>_xlfn.XLOOKUP(Vendas[[#This Row],[ID Vendedor]],Vendedores[ID],Vendedores[Setor])</f>
        <v>AB</v>
      </c>
      <c r="D2235" s="7" t="s">
        <v>39</v>
      </c>
      <c r="E2235" t="str">
        <f>_xlfn.XLOOKUP(Vendas[[#This Row],[ID Item Vendido]],Agregado[ID],Agregado[Produto])</f>
        <v>Filme plástico industrial rolo 50m</v>
      </c>
      <c r="F2235" s="39">
        <v>44959</v>
      </c>
      <c r="G2235" s="7">
        <v>14</v>
      </c>
      <c r="H2235" s="3">
        <f>_xlfn.XLOOKUP(Vendas[[#This Row],[ID Item Vendido]],Agregado[ID],Agregado[Revenda])</f>
        <v>37</v>
      </c>
      <c r="I2235" s="3">
        <f>Vendas[[#This Row],[Valor Unitário]]*Vendas[[#This Row],[Qnt Vendida]]</f>
        <v>518</v>
      </c>
      <c r="J2235" s="3">
        <f>Vendas[[#This Row],[Valor da Venda]]-(_xlfn.XLOOKUP(Vendas[[#This Row],[ID Item Vendido]],Agregado[ID],Agregado[Custo])*Vendas[[#This Row],[Qnt Vendida]])</f>
        <v>126</v>
      </c>
      <c r="K2235" s="70">
        <f>Vendas[[#This Row],[Lucro da Venda]]/Vendas[[#This Row],[Valor da Venda]]</f>
        <v>0.24324324324324326</v>
      </c>
      <c r="L2235" s="3">
        <f>_xlfn.IFS(Vendas[[#This Row],[Margem de Lucro (%)]]&lt;15%,Vendas[[#This Row],[Valor da Venda]]*3%,Vendas[[#This Row],[Margem de Lucro (%)]]&lt;=20%,Vendas[[#This Row],[Valor da Venda]]*4.5%,TRUE,Vendas[[#This Row],[Valor da Venda]]*6%)</f>
        <v>31.08</v>
      </c>
      <c r="M2235"/>
    </row>
    <row r="2236" spans="1:13" x14ac:dyDescent="0.3">
      <c r="A2236" s="7">
        <v>400242</v>
      </c>
      <c r="B2236" t="str">
        <f>_xlfn.XLOOKUP(Vendas[[#This Row],[ID Vendedor]],Vendedores[ID],Vendedores[Nome])</f>
        <v>Fernanda</v>
      </c>
      <c r="C2236" s="7" t="str">
        <f>_xlfn.XLOOKUP(Vendas[[#This Row],[ID Vendedor]],Vendedores[ID],Vendedores[Setor])</f>
        <v>FM</v>
      </c>
      <c r="D2236" s="7" t="s">
        <v>6</v>
      </c>
      <c r="E2236" t="str">
        <f>_xlfn.XLOOKUP(Vendas[[#This Row],[ID Item Vendido]],Agregado[ID],Agregado[Produto])</f>
        <v>Parafuso comum 500un</v>
      </c>
      <c r="F2236" s="39">
        <v>44959</v>
      </c>
      <c r="G2236" s="7">
        <v>20</v>
      </c>
      <c r="H2236" s="3">
        <f>_xlfn.XLOOKUP(Vendas[[#This Row],[ID Item Vendido]],Agregado[ID],Agregado[Revenda])</f>
        <v>24.6</v>
      </c>
      <c r="I2236" s="3">
        <f>Vendas[[#This Row],[Valor Unitário]]*Vendas[[#This Row],[Qnt Vendida]]</f>
        <v>492</v>
      </c>
      <c r="J2236" s="3">
        <f>Vendas[[#This Row],[Valor da Venda]]-(_xlfn.XLOOKUP(Vendas[[#This Row],[ID Item Vendido]],Agregado[ID],Agregado[Custo])*Vendas[[#This Row],[Qnt Vendida]])</f>
        <v>52</v>
      </c>
      <c r="K2236" s="70">
        <f>Vendas[[#This Row],[Lucro da Venda]]/Vendas[[#This Row],[Valor da Venda]]</f>
        <v>0.10569105691056911</v>
      </c>
      <c r="L2236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2236"/>
    </row>
    <row r="2237" spans="1:13" x14ac:dyDescent="0.3">
      <c r="A2237" s="7">
        <v>400248</v>
      </c>
      <c r="B2237" t="str">
        <f>_xlfn.XLOOKUP(Vendas[[#This Row],[ID Vendedor]],Vendedores[ID],Vendedores[Nome])</f>
        <v>Patrícia</v>
      </c>
      <c r="C2237" s="7" t="str">
        <f>_xlfn.XLOOKUP(Vendas[[#This Row],[ID Vendedor]],Vendedores[ID],Vendedores[Setor])</f>
        <v>CM</v>
      </c>
      <c r="D2237" s="7" t="s">
        <v>43</v>
      </c>
      <c r="E2237" t="str">
        <f>_xlfn.XLOOKUP(Vendas[[#This Row],[ID Item Vendido]],Agregado[ID],Agregado[Produto])</f>
        <v>Madeira Bruta (Tora)</v>
      </c>
      <c r="F2237" s="39">
        <v>44962</v>
      </c>
      <c r="G2237" s="7">
        <v>12</v>
      </c>
      <c r="H2237" s="3">
        <f>_xlfn.XLOOKUP(Vendas[[#This Row],[ID Item Vendido]],Agregado[ID],Agregado[Revenda])</f>
        <v>212</v>
      </c>
      <c r="I2237" s="3">
        <f>Vendas[[#This Row],[Valor Unitário]]*Vendas[[#This Row],[Qnt Vendida]]</f>
        <v>2544</v>
      </c>
      <c r="J2237" s="3">
        <f>Vendas[[#This Row],[Valor da Venda]]-(_xlfn.XLOOKUP(Vendas[[#This Row],[ID Item Vendido]],Agregado[ID],Agregado[Custo])*Vendas[[#This Row],[Qnt Vendida]])</f>
        <v>384</v>
      </c>
      <c r="K2237" s="70">
        <f>Vendas[[#This Row],[Lucro da Venda]]/Vendas[[#This Row],[Valor da Venda]]</f>
        <v>0.15094339622641509</v>
      </c>
      <c r="L2237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2237"/>
    </row>
    <row r="2238" spans="1:13" x14ac:dyDescent="0.3">
      <c r="A2238" s="7">
        <v>400245</v>
      </c>
      <c r="B2238" t="str">
        <f>_xlfn.XLOOKUP(Vendas[[#This Row],[ID Vendedor]],Vendedores[ID],Vendedores[Nome])</f>
        <v>Thiago</v>
      </c>
      <c r="C2238" s="7" t="str">
        <f>_xlfn.XLOOKUP(Vendas[[#This Row],[ID Vendedor]],Vendedores[ID],Vendedores[Setor])</f>
        <v>AHD</v>
      </c>
      <c r="D2238" s="7" t="s">
        <v>18</v>
      </c>
      <c r="E2238" t="str">
        <f>_xlfn.XLOOKUP(Vendas[[#This Row],[ID Item Vendido]],Agregado[ID],Agregado[Produto])</f>
        <v>Peça forjada sob encomenda</v>
      </c>
      <c r="F2238" s="39">
        <v>44962</v>
      </c>
      <c r="G2238" s="7">
        <v>4</v>
      </c>
      <c r="H2238" s="3">
        <f>_xlfn.XLOOKUP(Vendas[[#This Row],[ID Item Vendido]],Agregado[ID],Agregado[Revenda])</f>
        <v>264.60000000000002</v>
      </c>
      <c r="I2238" s="3">
        <f>Vendas[[#This Row],[Valor Unitário]]*Vendas[[#This Row],[Qnt Vendida]]</f>
        <v>1058.4000000000001</v>
      </c>
      <c r="J2238" s="3">
        <f>Vendas[[#This Row],[Valor da Venda]]-(_xlfn.XLOOKUP(Vendas[[#This Row],[ID Item Vendido]],Agregado[ID],Agregado[Custo])*Vendas[[#This Row],[Qnt Vendida]])</f>
        <v>58.400000000000091</v>
      </c>
      <c r="K2238" s="70">
        <f>Vendas[[#This Row],[Lucro da Venda]]/Vendas[[#This Row],[Valor da Venda]]</f>
        <v>5.5177626606198113E-2</v>
      </c>
      <c r="L2238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238"/>
    </row>
    <row r="2239" spans="1:13" x14ac:dyDescent="0.3">
      <c r="A2239" s="7">
        <v>400251</v>
      </c>
      <c r="B2239" t="str">
        <f>_xlfn.XLOOKUP(Vendas[[#This Row],[ID Vendedor]],Vendedores[ID],Vendedores[Nome])</f>
        <v>Diego</v>
      </c>
      <c r="C2239" s="7" t="str">
        <f>_xlfn.XLOOKUP(Vendas[[#This Row],[ID Vendedor]],Vendedores[ID],Vendedores[Setor])</f>
        <v>AB</v>
      </c>
      <c r="D2239" s="7" t="s">
        <v>36</v>
      </c>
      <c r="E2239" t="str">
        <f>_xlfn.XLOOKUP(Vendas[[#This Row],[ID Item Vendido]],Agregado[ID],Agregado[Produto])</f>
        <v>Borracha vulcanizada em manta</v>
      </c>
      <c r="F2239" s="39">
        <v>44962</v>
      </c>
      <c r="G2239" s="7">
        <v>55</v>
      </c>
      <c r="H2239" s="3">
        <f>_xlfn.XLOOKUP(Vendas[[#This Row],[ID Item Vendido]],Agregado[ID],Agregado[Revenda])</f>
        <v>7.8</v>
      </c>
      <c r="I2239" s="3">
        <f>Vendas[[#This Row],[Valor Unitário]]*Vendas[[#This Row],[Qnt Vendida]]</f>
        <v>429</v>
      </c>
      <c r="J2239" s="3">
        <f>Vendas[[#This Row],[Valor da Venda]]-(_xlfn.XLOOKUP(Vendas[[#This Row],[ID Item Vendido]],Agregado[ID],Agregado[Custo])*Vendas[[#This Row],[Qnt Vendida]])</f>
        <v>99</v>
      </c>
      <c r="K2239" s="70">
        <f>Vendas[[#This Row],[Lucro da Venda]]/Vendas[[#This Row],[Valor da Venda]]</f>
        <v>0.23076923076923078</v>
      </c>
      <c r="L2239" s="3">
        <f>_xlfn.IFS(Vendas[[#This Row],[Margem de Lucro (%)]]&lt;15%,Vendas[[#This Row],[Valor da Venda]]*3%,Vendas[[#This Row],[Margem de Lucro (%)]]&lt;=20%,Vendas[[#This Row],[Valor da Venda]]*4.5%,TRUE,Vendas[[#This Row],[Valor da Venda]]*6%)</f>
        <v>25.74</v>
      </c>
      <c r="M2239"/>
    </row>
    <row r="2240" spans="1:13" x14ac:dyDescent="0.3">
      <c r="A2240" s="7">
        <v>400253</v>
      </c>
      <c r="B2240" t="str">
        <f>_xlfn.XLOOKUP(Vendas[[#This Row],[ID Vendedor]],Vendedores[ID],Vendedores[Nome])</f>
        <v>Gustavo</v>
      </c>
      <c r="C2240" s="7" t="str">
        <f>_xlfn.XLOOKUP(Vendas[[#This Row],[ID Vendedor]],Vendedores[ID],Vendedores[Setor])</f>
        <v>SC</v>
      </c>
      <c r="D2240" s="7" t="s">
        <v>14</v>
      </c>
      <c r="E2240" t="str">
        <f>_xlfn.XLOOKUP(Vendas[[#This Row],[ID Item Vendido]],Agregado[ID],Agregado[Produto])</f>
        <v>Barril de plástico 200L</v>
      </c>
      <c r="F2240" s="39">
        <v>44963</v>
      </c>
      <c r="G2240" s="7">
        <v>4</v>
      </c>
      <c r="H2240" s="3">
        <f>_xlfn.XLOOKUP(Vendas[[#This Row],[ID Item Vendido]],Agregado[ID],Agregado[Revenda])</f>
        <v>114</v>
      </c>
      <c r="I2240" s="3">
        <f>Vendas[[#This Row],[Valor Unitário]]*Vendas[[#This Row],[Qnt Vendida]]</f>
        <v>456</v>
      </c>
      <c r="J2240" s="3">
        <f>Vendas[[#This Row],[Valor da Venda]]-(_xlfn.XLOOKUP(Vendas[[#This Row],[ID Item Vendido]],Agregado[ID],Agregado[Custo])*Vendas[[#This Row],[Qnt Vendida]])</f>
        <v>76</v>
      </c>
      <c r="K2240" s="70">
        <f>Vendas[[#This Row],[Lucro da Venda]]/Vendas[[#This Row],[Valor da Venda]]</f>
        <v>0.16666666666666666</v>
      </c>
      <c r="L2240" s="3">
        <f>_xlfn.IFS(Vendas[[#This Row],[Margem de Lucro (%)]]&lt;15%,Vendas[[#This Row],[Valor da Venda]]*3%,Vendas[[#This Row],[Margem de Lucro (%)]]&lt;=20%,Vendas[[#This Row],[Valor da Venda]]*4.5%,TRUE,Vendas[[#This Row],[Valor da Venda]]*6%)</f>
        <v>20.52</v>
      </c>
      <c r="M2240"/>
    </row>
    <row r="2241" spans="1:13" x14ac:dyDescent="0.3">
      <c r="A2241" s="7">
        <v>400249</v>
      </c>
      <c r="B2241" t="str">
        <f>_xlfn.XLOOKUP(Vendas[[#This Row],[ID Vendedor]],Vendedores[ID],Vendedores[Nome])</f>
        <v>Bruno</v>
      </c>
      <c r="C2241" s="7" t="str">
        <f>_xlfn.XLOOKUP(Vendas[[#This Row],[ID Vendedor]],Vendedores[ID],Vendedores[Setor])</f>
        <v>CM</v>
      </c>
      <c r="D2241" s="7" t="s">
        <v>22</v>
      </c>
      <c r="E2241" t="str">
        <f>_xlfn.XLOOKUP(Vendas[[#This Row],[ID Item Vendido]],Agregado[ID],Agregado[Produto])</f>
        <v>Painel MDP 2,75x1,83m</v>
      </c>
      <c r="F2241" s="39">
        <v>44964</v>
      </c>
      <c r="G2241" s="7">
        <v>18</v>
      </c>
      <c r="H2241" s="3">
        <f>_xlfn.XLOOKUP(Vendas[[#This Row],[ID Item Vendido]],Agregado[ID],Agregado[Revenda])</f>
        <v>119</v>
      </c>
      <c r="I2241" s="3">
        <f>Vendas[[#This Row],[Valor Unitário]]*Vendas[[#This Row],[Qnt Vendida]]</f>
        <v>2142</v>
      </c>
      <c r="J2241" s="3">
        <f>Vendas[[#This Row],[Valor da Venda]]-(_xlfn.XLOOKUP(Vendas[[#This Row],[ID Item Vendido]],Agregado[ID],Agregado[Custo])*Vendas[[#This Row],[Qnt Vendida]])</f>
        <v>432</v>
      </c>
      <c r="K2241" s="70">
        <f>Vendas[[#This Row],[Lucro da Venda]]/Vendas[[#This Row],[Valor da Venda]]</f>
        <v>0.20168067226890757</v>
      </c>
      <c r="L2241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2241"/>
    </row>
    <row r="2242" spans="1:13" x14ac:dyDescent="0.3">
      <c r="A2242" s="7">
        <v>400244</v>
      </c>
      <c r="B2242" t="str">
        <f>_xlfn.XLOOKUP(Vendas[[#This Row],[ID Vendedor]],Vendedores[ID],Vendedores[Nome])</f>
        <v>Camila</v>
      </c>
      <c r="C2242" s="7" t="str">
        <f>_xlfn.XLOOKUP(Vendas[[#This Row],[ID Vendedor]],Vendedores[ID],Vendedores[Setor])</f>
        <v>AHD</v>
      </c>
      <c r="D2242" s="7" t="s">
        <v>44</v>
      </c>
      <c r="E2242" t="str">
        <f>_xlfn.XLOOKUP(Vendas[[#This Row],[ID Item Vendido]],Agregado[ID],Agregado[Produto])</f>
        <v>Liga metálica especial</v>
      </c>
      <c r="F2242" s="39">
        <v>44964</v>
      </c>
      <c r="G2242" s="7">
        <v>24</v>
      </c>
      <c r="H2242" s="3">
        <f>_xlfn.XLOOKUP(Vendas[[#This Row],[ID Item Vendido]],Agregado[ID],Agregado[Revenda])</f>
        <v>32.5</v>
      </c>
      <c r="I2242" s="3">
        <f>Vendas[[#This Row],[Valor Unitário]]*Vendas[[#This Row],[Qnt Vendida]]</f>
        <v>780</v>
      </c>
      <c r="J2242" s="3">
        <f>Vendas[[#This Row],[Valor da Venda]]-(_xlfn.XLOOKUP(Vendas[[#This Row],[ID Item Vendido]],Agregado[ID],Agregado[Custo])*Vendas[[#This Row],[Qnt Vendida]])</f>
        <v>180</v>
      </c>
      <c r="K2242" s="70">
        <f>Vendas[[#This Row],[Lucro da Venda]]/Vendas[[#This Row],[Valor da Venda]]</f>
        <v>0.23076923076923078</v>
      </c>
      <c r="L2242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242"/>
    </row>
    <row r="2243" spans="1:13" x14ac:dyDescent="0.3">
      <c r="A2243" s="7">
        <v>400249</v>
      </c>
      <c r="B2243" t="str">
        <f>_xlfn.XLOOKUP(Vendas[[#This Row],[ID Vendedor]],Vendedores[ID],Vendedores[Nome])</f>
        <v>Bruno</v>
      </c>
      <c r="C2243" s="7" t="str">
        <f>_xlfn.XLOOKUP(Vendas[[#This Row],[ID Vendedor]],Vendedores[ID],Vendedores[Setor])</f>
        <v>CM</v>
      </c>
      <c r="D2243" s="7" t="s">
        <v>22</v>
      </c>
      <c r="E2243" t="str">
        <f>_xlfn.XLOOKUP(Vendas[[#This Row],[ID Item Vendido]],Agregado[ID],Agregado[Produto])</f>
        <v>Painel MDP 2,75x1,83m</v>
      </c>
      <c r="F2243" s="39">
        <v>44964</v>
      </c>
      <c r="G2243" s="7">
        <v>4</v>
      </c>
      <c r="H2243" s="3">
        <f>_xlfn.XLOOKUP(Vendas[[#This Row],[ID Item Vendido]],Agregado[ID],Agregado[Revenda])</f>
        <v>119</v>
      </c>
      <c r="I2243" s="3">
        <f>Vendas[[#This Row],[Valor Unitário]]*Vendas[[#This Row],[Qnt Vendida]]</f>
        <v>476</v>
      </c>
      <c r="J2243" s="3">
        <f>Vendas[[#This Row],[Valor da Venda]]-(_xlfn.XLOOKUP(Vendas[[#This Row],[ID Item Vendido]],Agregado[ID],Agregado[Custo])*Vendas[[#This Row],[Qnt Vendida]])</f>
        <v>96</v>
      </c>
      <c r="K2243" s="70">
        <f>Vendas[[#This Row],[Lucro da Venda]]/Vendas[[#This Row],[Valor da Venda]]</f>
        <v>0.20168067226890757</v>
      </c>
      <c r="L2243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2243"/>
    </row>
    <row r="2244" spans="1:13" x14ac:dyDescent="0.3">
      <c r="A2244" s="7">
        <v>400255</v>
      </c>
      <c r="B2244" t="str">
        <f>_xlfn.XLOOKUP(Vendas[[#This Row],[ID Vendedor]],Vendedores[ID],Vendedores[Nome])</f>
        <v>Carlos</v>
      </c>
      <c r="C2244" s="7" t="str">
        <f>_xlfn.XLOOKUP(Vendas[[#This Row],[ID Vendedor]],Vendedores[ID],Vendedores[Setor])</f>
        <v>SC</v>
      </c>
      <c r="D2244" s="7" t="s">
        <v>14</v>
      </c>
      <c r="E2244" t="str">
        <f>_xlfn.XLOOKUP(Vendas[[#This Row],[ID Item Vendido]],Agregado[ID],Agregado[Produto])</f>
        <v>Barril de plástico 200L</v>
      </c>
      <c r="F2244" s="39">
        <v>44964</v>
      </c>
      <c r="G2244" s="7">
        <v>2</v>
      </c>
      <c r="H2244" s="3">
        <f>_xlfn.XLOOKUP(Vendas[[#This Row],[ID Item Vendido]],Agregado[ID],Agregado[Revenda])</f>
        <v>114</v>
      </c>
      <c r="I2244" s="3">
        <f>Vendas[[#This Row],[Valor Unitário]]*Vendas[[#This Row],[Qnt Vendida]]</f>
        <v>228</v>
      </c>
      <c r="J2244" s="3">
        <f>Vendas[[#This Row],[Valor da Venda]]-(_xlfn.XLOOKUP(Vendas[[#This Row],[ID Item Vendido]],Agregado[ID],Agregado[Custo])*Vendas[[#This Row],[Qnt Vendida]])</f>
        <v>38</v>
      </c>
      <c r="K2244" s="70">
        <f>Vendas[[#This Row],[Lucro da Venda]]/Vendas[[#This Row],[Valor da Venda]]</f>
        <v>0.16666666666666666</v>
      </c>
      <c r="L2244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2244"/>
    </row>
    <row r="2245" spans="1:13" x14ac:dyDescent="0.3">
      <c r="A2245" s="7">
        <v>400245</v>
      </c>
      <c r="B2245" t="str">
        <f>_xlfn.XLOOKUP(Vendas[[#This Row],[ID Vendedor]],Vendedores[ID],Vendedores[Nome])</f>
        <v>Thiago</v>
      </c>
      <c r="C2245" s="7" t="str">
        <f>_xlfn.XLOOKUP(Vendas[[#This Row],[ID Vendedor]],Vendedores[ID],Vendedores[Setor])</f>
        <v>AHD</v>
      </c>
      <c r="D2245" s="7" t="s">
        <v>30</v>
      </c>
      <c r="E2245" t="str">
        <f>_xlfn.XLOOKUP(Vendas[[#This Row],[ID Item Vendido]],Agregado[ID],Agregado[Produto])</f>
        <v>Estrutura metálica soldada</v>
      </c>
      <c r="F2245" s="39">
        <v>44965</v>
      </c>
      <c r="G2245" s="7">
        <v>8</v>
      </c>
      <c r="H2245" s="3">
        <f>_xlfn.XLOOKUP(Vendas[[#This Row],[ID Item Vendido]],Agregado[ID],Agregado[Revenda])</f>
        <v>400</v>
      </c>
      <c r="I2245" s="3">
        <f>Vendas[[#This Row],[Valor Unitário]]*Vendas[[#This Row],[Qnt Vendida]]</f>
        <v>3200</v>
      </c>
      <c r="J2245" s="3">
        <f>Vendas[[#This Row],[Valor da Venda]]-(_xlfn.XLOOKUP(Vendas[[#This Row],[ID Item Vendido]],Agregado[ID],Agregado[Custo])*Vendas[[#This Row],[Qnt Vendida]])</f>
        <v>640</v>
      </c>
      <c r="K2245" s="70">
        <f>Vendas[[#This Row],[Lucro da Venda]]/Vendas[[#This Row],[Valor da Venda]]</f>
        <v>0.2</v>
      </c>
      <c r="L224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245"/>
    </row>
    <row r="2246" spans="1:13" x14ac:dyDescent="0.3">
      <c r="A2246" s="7">
        <v>400248</v>
      </c>
      <c r="B2246" t="str">
        <f>_xlfn.XLOOKUP(Vendas[[#This Row],[ID Vendedor]],Vendedores[ID],Vendedores[Nome])</f>
        <v>Patrícia</v>
      </c>
      <c r="C2246" s="7" t="str">
        <f>_xlfn.XLOOKUP(Vendas[[#This Row],[ID Vendedor]],Vendedores[ID],Vendedores[Setor])</f>
        <v>CM</v>
      </c>
      <c r="D2246" s="7" t="s">
        <v>32</v>
      </c>
      <c r="E2246" t="str">
        <f>_xlfn.XLOOKUP(Vendas[[#This Row],[ID Item Vendido]],Agregado[ID],Agregado[Produto])</f>
        <v>Tábua tratada e cortada 3m</v>
      </c>
      <c r="F2246" s="39">
        <v>44965</v>
      </c>
      <c r="G2246" s="7">
        <v>33</v>
      </c>
      <c r="H2246" s="3">
        <f>_xlfn.XLOOKUP(Vendas[[#This Row],[ID Item Vendido]],Agregado[ID],Agregado[Revenda])</f>
        <v>39</v>
      </c>
      <c r="I2246" s="3">
        <f>Vendas[[#This Row],[Valor Unitário]]*Vendas[[#This Row],[Qnt Vendida]]</f>
        <v>1287</v>
      </c>
      <c r="J2246" s="3">
        <f>Vendas[[#This Row],[Valor da Venda]]-(_xlfn.XLOOKUP(Vendas[[#This Row],[ID Item Vendido]],Agregado[ID],Agregado[Custo])*Vendas[[#This Row],[Qnt Vendida]])</f>
        <v>231</v>
      </c>
      <c r="K2246" s="70">
        <f>Vendas[[#This Row],[Lucro da Venda]]/Vendas[[#This Row],[Valor da Venda]]</f>
        <v>0.17948717948717949</v>
      </c>
      <c r="L2246" s="3">
        <f>_xlfn.IFS(Vendas[[#This Row],[Margem de Lucro (%)]]&lt;15%,Vendas[[#This Row],[Valor da Venda]]*3%,Vendas[[#This Row],[Margem de Lucro (%)]]&lt;=20%,Vendas[[#This Row],[Valor da Venda]]*4.5%,TRUE,Vendas[[#This Row],[Valor da Venda]]*6%)</f>
        <v>57.914999999999999</v>
      </c>
      <c r="M2246"/>
    </row>
    <row r="2247" spans="1:13" x14ac:dyDescent="0.3">
      <c r="A2247" s="7">
        <v>400243</v>
      </c>
      <c r="B2247" t="str">
        <f>_xlfn.XLOOKUP(Vendas[[#This Row],[ID Vendedor]],Vendedores[ID],Vendedores[Nome])</f>
        <v>Marcelo</v>
      </c>
      <c r="C2247" s="7" t="str">
        <f>_xlfn.XLOOKUP(Vendas[[#This Row],[ID Vendedor]],Vendedores[ID],Vendedores[Setor])</f>
        <v>FM</v>
      </c>
      <c r="D2247" s="7" t="s">
        <v>31</v>
      </c>
      <c r="E2247" t="str">
        <f>_xlfn.XLOOKUP(Vendas[[#This Row],[ID Item Vendido]],Agregado[ID],Agregado[Produto])</f>
        <v>Tela de metal soldada rolo 2x25m</v>
      </c>
      <c r="F2247" s="39">
        <v>44965</v>
      </c>
      <c r="G2247" s="7">
        <v>10</v>
      </c>
      <c r="H2247" s="3">
        <f>_xlfn.XLOOKUP(Vendas[[#This Row],[ID Item Vendido]],Agregado[ID],Agregado[Revenda])</f>
        <v>43.7</v>
      </c>
      <c r="I2247" s="3">
        <f>Vendas[[#This Row],[Valor Unitário]]*Vendas[[#This Row],[Qnt Vendida]]</f>
        <v>437</v>
      </c>
      <c r="J2247" s="3">
        <f>Vendas[[#This Row],[Valor da Venda]]-(_xlfn.XLOOKUP(Vendas[[#This Row],[ID Item Vendido]],Agregado[ID],Agregado[Custo])*Vendas[[#This Row],[Qnt Vendida]])</f>
        <v>57</v>
      </c>
      <c r="K2247" s="70">
        <f>Vendas[[#This Row],[Lucro da Venda]]/Vendas[[#This Row],[Valor da Venda]]</f>
        <v>0.13043478260869565</v>
      </c>
      <c r="L2247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2247"/>
    </row>
    <row r="2248" spans="1:13" x14ac:dyDescent="0.3">
      <c r="A2248" s="7">
        <v>400249</v>
      </c>
      <c r="B2248" t="str">
        <f>_xlfn.XLOOKUP(Vendas[[#This Row],[ID Vendedor]],Vendedores[ID],Vendedores[Nome])</f>
        <v>Bruno</v>
      </c>
      <c r="C2248" s="7" t="str">
        <f>_xlfn.XLOOKUP(Vendas[[#This Row],[ID Vendedor]],Vendedores[ID],Vendedores[Setor])</f>
        <v>CM</v>
      </c>
      <c r="D2248" s="7" t="s">
        <v>34</v>
      </c>
      <c r="E2248" t="str">
        <f>_xlfn.XLOOKUP(Vendas[[#This Row],[ID Item Vendido]],Agregado[ID],Agregado[Produto])</f>
        <v>Restos de madeira p/ MDP/OSB saco de 20kg</v>
      </c>
      <c r="F2248" s="39">
        <v>44965</v>
      </c>
      <c r="G2248" s="7">
        <v>21</v>
      </c>
      <c r="H2248" s="3">
        <f>_xlfn.XLOOKUP(Vendas[[#This Row],[ID Item Vendido]],Agregado[ID],Agregado[Revenda])</f>
        <v>13.8</v>
      </c>
      <c r="I2248" s="3">
        <f>Vendas[[#This Row],[Valor Unitário]]*Vendas[[#This Row],[Qnt Vendida]]</f>
        <v>289.8</v>
      </c>
      <c r="J2248" s="3">
        <f>Vendas[[#This Row],[Valor da Venda]]-(_xlfn.XLOOKUP(Vendas[[#This Row],[ID Item Vendido]],Agregado[ID],Agregado[Custo])*Vendas[[#This Row],[Qnt Vendida]])</f>
        <v>37.800000000000011</v>
      </c>
      <c r="K2248" s="70">
        <f>Vendas[[#This Row],[Lucro da Venda]]/Vendas[[#This Row],[Valor da Venda]]</f>
        <v>0.13043478260869568</v>
      </c>
      <c r="L2248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2248"/>
    </row>
    <row r="2249" spans="1:13" x14ac:dyDescent="0.3">
      <c r="A2249" s="7">
        <v>400251</v>
      </c>
      <c r="B2249" t="str">
        <f>_xlfn.XLOOKUP(Vendas[[#This Row],[ID Vendedor]],Vendedores[ID],Vendedores[Nome])</f>
        <v>Diego</v>
      </c>
      <c r="C2249" s="7" t="str">
        <f>_xlfn.XLOOKUP(Vendas[[#This Row],[ID Vendedor]],Vendedores[ID],Vendedores[Setor])</f>
        <v>AB</v>
      </c>
      <c r="D2249" s="7" t="s">
        <v>24</v>
      </c>
      <c r="E2249" t="str">
        <f>_xlfn.XLOOKUP(Vendas[[#This Row],[ID Item Vendido]],Agregado[ID],Agregado[Produto])</f>
        <v>Resina plástica PET purificada saco de 25kg</v>
      </c>
      <c r="F2249" s="39">
        <v>44966</v>
      </c>
      <c r="G2249" s="7">
        <v>27</v>
      </c>
      <c r="H2249" s="3">
        <f>_xlfn.XLOOKUP(Vendas[[#This Row],[ID Item Vendido]],Agregado[ID],Agregado[Revenda])</f>
        <v>119</v>
      </c>
      <c r="I2249" s="3">
        <f>Vendas[[#This Row],[Valor Unitário]]*Vendas[[#This Row],[Qnt Vendida]]</f>
        <v>3213</v>
      </c>
      <c r="J2249" s="3">
        <f>Vendas[[#This Row],[Valor da Venda]]-(_xlfn.XLOOKUP(Vendas[[#This Row],[ID Item Vendido]],Agregado[ID],Agregado[Custo])*Vendas[[#This Row],[Qnt Vendida]])</f>
        <v>918</v>
      </c>
      <c r="K2249" s="70">
        <f>Vendas[[#This Row],[Lucro da Venda]]/Vendas[[#This Row],[Valor da Venda]]</f>
        <v>0.2857142857142857</v>
      </c>
      <c r="L2249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2249"/>
    </row>
    <row r="2250" spans="1:13" x14ac:dyDescent="0.3">
      <c r="A2250" s="7">
        <v>400244</v>
      </c>
      <c r="B2250" t="str">
        <f>_xlfn.XLOOKUP(Vendas[[#This Row],[ID Vendedor]],Vendedores[ID],Vendedores[Nome])</f>
        <v>Camila</v>
      </c>
      <c r="C2250" s="7" t="str">
        <f>_xlfn.XLOOKUP(Vendas[[#This Row],[ID Vendedor]],Vendedores[ID],Vendedores[Setor])</f>
        <v>AHD</v>
      </c>
      <c r="D2250" s="7" t="s">
        <v>9</v>
      </c>
      <c r="E2250" t="str">
        <f>_xlfn.XLOOKUP(Vendas[[#This Row],[ID Item Vendido]],Agregado[ID],Agregado[Produto])</f>
        <v>Barra de aço simples</v>
      </c>
      <c r="F2250" s="39">
        <v>44966</v>
      </c>
      <c r="G2250" s="7">
        <v>139</v>
      </c>
      <c r="H2250" s="3">
        <f>_xlfn.XLOOKUP(Vendas[[#This Row],[ID Item Vendido]],Agregado[ID],Agregado[Revenda])</f>
        <v>6.7</v>
      </c>
      <c r="I2250" s="3">
        <f>Vendas[[#This Row],[Valor Unitário]]*Vendas[[#This Row],[Qnt Vendida]]</f>
        <v>931.30000000000007</v>
      </c>
      <c r="J2250" s="3">
        <f>Vendas[[#This Row],[Valor da Venda]]-(_xlfn.XLOOKUP(Vendas[[#This Row],[ID Item Vendido]],Agregado[ID],Agregado[Custo])*Vendas[[#This Row],[Qnt Vendida]])</f>
        <v>125.10000000000014</v>
      </c>
      <c r="K2250" s="70">
        <f>Vendas[[#This Row],[Lucro da Venda]]/Vendas[[#This Row],[Valor da Venda]]</f>
        <v>0.13432835820895536</v>
      </c>
      <c r="L2250" s="3">
        <f>_xlfn.IFS(Vendas[[#This Row],[Margem de Lucro (%)]]&lt;15%,Vendas[[#This Row],[Valor da Venda]]*3%,Vendas[[#This Row],[Margem de Lucro (%)]]&lt;=20%,Vendas[[#This Row],[Valor da Venda]]*4.5%,TRUE,Vendas[[#This Row],[Valor da Venda]]*6%)</f>
        <v>27.939</v>
      </c>
      <c r="M2250"/>
    </row>
    <row r="2251" spans="1:13" x14ac:dyDescent="0.3">
      <c r="A2251" s="7">
        <v>400254</v>
      </c>
      <c r="B2251" t="str">
        <f>_xlfn.XLOOKUP(Vendas[[#This Row],[ID Vendedor]],Vendedores[ID],Vendedores[Nome])</f>
        <v>Beatriz</v>
      </c>
      <c r="C2251" s="7" t="str">
        <f>_xlfn.XLOOKUP(Vendas[[#This Row],[ID Vendedor]],Vendedores[ID],Vendedores[Setor])</f>
        <v>SC</v>
      </c>
      <c r="D2251" s="7" t="s">
        <v>14</v>
      </c>
      <c r="E2251" t="str">
        <f>_xlfn.XLOOKUP(Vendas[[#This Row],[ID Item Vendido]],Agregado[ID],Agregado[Produto])</f>
        <v>Barril de plástico 200L</v>
      </c>
      <c r="F2251" s="39">
        <v>44967</v>
      </c>
      <c r="G2251" s="7">
        <v>25</v>
      </c>
      <c r="H2251" s="3">
        <f>_xlfn.XLOOKUP(Vendas[[#This Row],[ID Item Vendido]],Agregado[ID],Agregado[Revenda])</f>
        <v>114</v>
      </c>
      <c r="I2251" s="3">
        <f>Vendas[[#This Row],[Valor Unitário]]*Vendas[[#This Row],[Qnt Vendida]]</f>
        <v>2850</v>
      </c>
      <c r="J2251" s="3">
        <f>Vendas[[#This Row],[Valor da Venda]]-(_xlfn.XLOOKUP(Vendas[[#This Row],[ID Item Vendido]],Agregado[ID],Agregado[Custo])*Vendas[[#This Row],[Qnt Vendida]])</f>
        <v>475</v>
      </c>
      <c r="K2251" s="70">
        <f>Vendas[[#This Row],[Lucro da Venda]]/Vendas[[#This Row],[Valor da Venda]]</f>
        <v>0.16666666666666666</v>
      </c>
      <c r="L2251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2251"/>
    </row>
    <row r="2252" spans="1:13" x14ac:dyDescent="0.3">
      <c r="A2252" s="7">
        <v>400242</v>
      </c>
      <c r="B2252" t="str">
        <f>_xlfn.XLOOKUP(Vendas[[#This Row],[ID Vendedor]],Vendedores[ID],Vendedores[Nome])</f>
        <v>Fernanda</v>
      </c>
      <c r="C2252" s="7" t="str">
        <f>_xlfn.XLOOKUP(Vendas[[#This Row],[ID Vendedor]],Vendedores[ID],Vendedores[Setor])</f>
        <v>FM</v>
      </c>
      <c r="D2252" s="7" t="s">
        <v>47</v>
      </c>
      <c r="E2252" t="str">
        <f>_xlfn.XLOOKUP(Vendas[[#This Row],[ID Item Vendido]],Agregado[ID],Agregado[Produto])</f>
        <v>Fio de arame galvanizado rolo 50m</v>
      </c>
      <c r="F2252" s="39">
        <v>44967</v>
      </c>
      <c r="G2252" s="7">
        <v>40</v>
      </c>
      <c r="H2252" s="3">
        <f>_xlfn.XLOOKUP(Vendas[[#This Row],[ID Item Vendido]],Agregado[ID],Agregado[Revenda])</f>
        <v>21.2</v>
      </c>
      <c r="I2252" s="3">
        <f>Vendas[[#This Row],[Valor Unitário]]*Vendas[[#This Row],[Qnt Vendida]]</f>
        <v>848</v>
      </c>
      <c r="J2252" s="3">
        <f>Vendas[[#This Row],[Valor da Venda]]-(_xlfn.XLOOKUP(Vendas[[#This Row],[ID Item Vendido]],Agregado[ID],Agregado[Custo])*Vendas[[#This Row],[Qnt Vendida]])</f>
        <v>128</v>
      </c>
      <c r="K2252" s="70">
        <f>Vendas[[#This Row],[Lucro da Venda]]/Vendas[[#This Row],[Valor da Venda]]</f>
        <v>0.15094339622641509</v>
      </c>
      <c r="L2252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252"/>
    </row>
    <row r="2253" spans="1:13" x14ac:dyDescent="0.3">
      <c r="A2253" s="7">
        <v>400251</v>
      </c>
      <c r="B2253" t="str">
        <f>_xlfn.XLOOKUP(Vendas[[#This Row],[ID Vendedor]],Vendedores[ID],Vendedores[Nome])</f>
        <v>Diego</v>
      </c>
      <c r="C2253" s="7" t="str">
        <f>_xlfn.XLOOKUP(Vendas[[#This Row],[ID Vendedor]],Vendedores[ID],Vendedores[Setor])</f>
        <v>AB</v>
      </c>
      <c r="D2253" s="7" t="s">
        <v>37</v>
      </c>
      <c r="E2253" t="str">
        <f>_xlfn.XLOOKUP(Vendas[[#This Row],[ID Item Vendido]],Agregado[ID],Agregado[Produto])</f>
        <v>Composto de borracha para vedação rolo 10m</v>
      </c>
      <c r="F2253" s="39">
        <v>44969</v>
      </c>
      <c r="G2253" s="7">
        <v>7</v>
      </c>
      <c r="H2253" s="3">
        <f>_xlfn.XLOOKUP(Vendas[[#This Row],[ID Item Vendido]],Agregado[ID],Agregado[Revenda])</f>
        <v>51.2</v>
      </c>
      <c r="I2253" s="3">
        <f>Vendas[[#This Row],[Valor Unitário]]*Vendas[[#This Row],[Qnt Vendida]]</f>
        <v>358.40000000000003</v>
      </c>
      <c r="J2253" s="3">
        <f>Vendas[[#This Row],[Valor da Venda]]-(_xlfn.XLOOKUP(Vendas[[#This Row],[ID Item Vendido]],Agregado[ID],Agregado[Custo])*Vendas[[#This Row],[Qnt Vendida]])</f>
        <v>78.400000000000034</v>
      </c>
      <c r="K2253" s="70">
        <f>Vendas[[#This Row],[Lucro da Venda]]/Vendas[[#This Row],[Valor da Venda]]</f>
        <v>0.21875000000000008</v>
      </c>
      <c r="L2253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2253"/>
    </row>
    <row r="2254" spans="1:13" x14ac:dyDescent="0.3">
      <c r="A2254" s="7">
        <v>400251</v>
      </c>
      <c r="B2254" t="str">
        <f>_xlfn.XLOOKUP(Vendas[[#This Row],[ID Vendedor]],Vendedores[ID],Vendedores[Nome])</f>
        <v>Diego</v>
      </c>
      <c r="C2254" s="7" t="str">
        <f>_xlfn.XLOOKUP(Vendas[[#This Row],[ID Vendedor]],Vendedores[ID],Vendedores[Setor])</f>
        <v>AB</v>
      </c>
      <c r="D2254" s="7" t="s">
        <v>24</v>
      </c>
      <c r="E2254" t="str">
        <f>_xlfn.XLOOKUP(Vendas[[#This Row],[ID Item Vendido]],Agregado[ID],Agregado[Produto])</f>
        <v>Resina plástica PET purificada saco de 25kg</v>
      </c>
      <c r="F2254" s="39">
        <v>44970</v>
      </c>
      <c r="G2254" s="7">
        <v>21</v>
      </c>
      <c r="H2254" s="3">
        <f>_xlfn.XLOOKUP(Vendas[[#This Row],[ID Item Vendido]],Agregado[ID],Agregado[Revenda])</f>
        <v>119</v>
      </c>
      <c r="I2254" s="3">
        <f>Vendas[[#This Row],[Valor Unitário]]*Vendas[[#This Row],[Qnt Vendida]]</f>
        <v>2499</v>
      </c>
      <c r="J2254" s="3">
        <f>Vendas[[#This Row],[Valor da Venda]]-(_xlfn.XLOOKUP(Vendas[[#This Row],[ID Item Vendido]],Agregado[ID],Agregado[Custo])*Vendas[[#This Row],[Qnt Vendida]])</f>
        <v>714</v>
      </c>
      <c r="K2254" s="70">
        <f>Vendas[[#This Row],[Lucro da Venda]]/Vendas[[#This Row],[Valor da Venda]]</f>
        <v>0.2857142857142857</v>
      </c>
      <c r="L2254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2254"/>
    </row>
    <row r="2255" spans="1:13" x14ac:dyDescent="0.3">
      <c r="A2255" s="7">
        <v>400246</v>
      </c>
      <c r="B2255" t="str">
        <f>_xlfn.XLOOKUP(Vendas[[#This Row],[ID Vendedor]],Vendedores[ID],Vendedores[Nome])</f>
        <v>Juliana</v>
      </c>
      <c r="C2255" s="7" t="str">
        <f>_xlfn.XLOOKUP(Vendas[[#This Row],[ID Vendedor]],Vendedores[ID],Vendedores[Setor])</f>
        <v>AHD</v>
      </c>
      <c r="D2255" s="7" t="s">
        <v>18</v>
      </c>
      <c r="E2255" t="str">
        <f>_xlfn.XLOOKUP(Vendas[[#This Row],[ID Item Vendido]],Agregado[ID],Agregado[Produto])</f>
        <v>Peça forjada sob encomenda</v>
      </c>
      <c r="F2255" s="39">
        <v>44971</v>
      </c>
      <c r="G2255" s="7">
        <v>6</v>
      </c>
      <c r="H2255" s="3">
        <f>_xlfn.XLOOKUP(Vendas[[#This Row],[ID Item Vendido]],Agregado[ID],Agregado[Revenda])</f>
        <v>264.60000000000002</v>
      </c>
      <c r="I2255" s="3">
        <f>Vendas[[#This Row],[Valor Unitário]]*Vendas[[#This Row],[Qnt Vendida]]</f>
        <v>1587.6000000000001</v>
      </c>
      <c r="J2255" s="3">
        <f>Vendas[[#This Row],[Valor da Venda]]-(_xlfn.XLOOKUP(Vendas[[#This Row],[ID Item Vendido]],Agregado[ID],Agregado[Custo])*Vendas[[#This Row],[Qnt Vendida]])</f>
        <v>87.600000000000136</v>
      </c>
      <c r="K2255" s="70">
        <f>Vendas[[#This Row],[Lucro da Venda]]/Vendas[[#This Row],[Valor da Venda]]</f>
        <v>5.5177626606198113E-2</v>
      </c>
      <c r="L225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255"/>
    </row>
    <row r="2256" spans="1:13" x14ac:dyDescent="0.3">
      <c r="A2256" s="7">
        <v>400250</v>
      </c>
      <c r="B2256" t="str">
        <f>_xlfn.XLOOKUP(Vendas[[#This Row],[ID Vendedor]],Vendedores[ID],Vendedores[Nome])</f>
        <v>Larissa</v>
      </c>
      <c r="C2256" s="7" t="str">
        <f>_xlfn.XLOOKUP(Vendas[[#This Row],[ID Vendedor]],Vendedores[ID],Vendedores[Setor])</f>
        <v>AB</v>
      </c>
      <c r="D2256" s="7" t="s">
        <v>24</v>
      </c>
      <c r="E2256" t="str">
        <f>_xlfn.XLOOKUP(Vendas[[#This Row],[ID Item Vendido]],Agregado[ID],Agregado[Produto])</f>
        <v>Resina plástica PET purificada saco de 25kg</v>
      </c>
      <c r="F2256" s="39">
        <v>44971</v>
      </c>
      <c r="G2256" s="7">
        <v>15</v>
      </c>
      <c r="H2256" s="3">
        <f>_xlfn.XLOOKUP(Vendas[[#This Row],[ID Item Vendido]],Agregado[ID],Agregado[Revenda])</f>
        <v>119</v>
      </c>
      <c r="I2256" s="3">
        <f>Vendas[[#This Row],[Valor Unitário]]*Vendas[[#This Row],[Qnt Vendida]]</f>
        <v>1785</v>
      </c>
      <c r="J2256" s="3">
        <f>Vendas[[#This Row],[Valor da Venda]]-(_xlfn.XLOOKUP(Vendas[[#This Row],[ID Item Vendido]],Agregado[ID],Agregado[Custo])*Vendas[[#This Row],[Qnt Vendida]])</f>
        <v>510</v>
      </c>
      <c r="K2256" s="70">
        <f>Vendas[[#This Row],[Lucro da Venda]]/Vendas[[#This Row],[Valor da Venda]]</f>
        <v>0.2857142857142857</v>
      </c>
      <c r="L2256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2256"/>
    </row>
    <row r="2257" spans="1:13" x14ac:dyDescent="0.3">
      <c r="A2257" s="7">
        <v>400249</v>
      </c>
      <c r="B2257" t="str">
        <f>_xlfn.XLOOKUP(Vendas[[#This Row],[ID Vendedor]],Vendedores[ID],Vendedores[Nome])</f>
        <v>Bruno</v>
      </c>
      <c r="C2257" s="7" t="str">
        <f>_xlfn.XLOOKUP(Vendas[[#This Row],[ID Vendedor]],Vendedores[ID],Vendedores[Setor])</f>
        <v>CM</v>
      </c>
      <c r="D2257" s="7" t="s">
        <v>32</v>
      </c>
      <c r="E2257" t="str">
        <f>_xlfn.XLOOKUP(Vendas[[#This Row],[ID Item Vendido]],Agregado[ID],Agregado[Produto])</f>
        <v>Tábua tratada e cortada 3m</v>
      </c>
      <c r="F2257" s="39">
        <v>44971</v>
      </c>
      <c r="G2257" s="7">
        <v>27</v>
      </c>
      <c r="H2257" s="3">
        <f>_xlfn.XLOOKUP(Vendas[[#This Row],[ID Item Vendido]],Agregado[ID],Agregado[Revenda])</f>
        <v>39</v>
      </c>
      <c r="I2257" s="3">
        <f>Vendas[[#This Row],[Valor Unitário]]*Vendas[[#This Row],[Qnt Vendida]]</f>
        <v>1053</v>
      </c>
      <c r="J2257" s="3">
        <f>Vendas[[#This Row],[Valor da Venda]]-(_xlfn.XLOOKUP(Vendas[[#This Row],[ID Item Vendido]],Agregado[ID],Agregado[Custo])*Vendas[[#This Row],[Qnt Vendida]])</f>
        <v>189</v>
      </c>
      <c r="K2257" s="70">
        <f>Vendas[[#This Row],[Lucro da Venda]]/Vendas[[#This Row],[Valor da Venda]]</f>
        <v>0.17948717948717949</v>
      </c>
      <c r="L2257" s="3">
        <f>_xlfn.IFS(Vendas[[#This Row],[Margem de Lucro (%)]]&lt;15%,Vendas[[#This Row],[Valor da Venda]]*3%,Vendas[[#This Row],[Margem de Lucro (%)]]&lt;=20%,Vendas[[#This Row],[Valor da Venda]]*4.5%,TRUE,Vendas[[#This Row],[Valor da Venda]]*6%)</f>
        <v>47.384999999999998</v>
      </c>
      <c r="M2257"/>
    </row>
    <row r="2258" spans="1:13" x14ac:dyDescent="0.3">
      <c r="A2258" s="7">
        <v>400242</v>
      </c>
      <c r="B2258" t="str">
        <f>_xlfn.XLOOKUP(Vendas[[#This Row],[ID Vendedor]],Vendedores[ID],Vendedores[Nome])</f>
        <v>Fernanda</v>
      </c>
      <c r="C2258" s="7" t="str">
        <f>_xlfn.XLOOKUP(Vendas[[#This Row],[ID Vendedor]],Vendedores[ID],Vendedores[Setor])</f>
        <v>FM</v>
      </c>
      <c r="D2258" s="7" t="s">
        <v>20</v>
      </c>
      <c r="E2258" t="str">
        <f>_xlfn.XLOOKUP(Vendas[[#This Row],[ID Item Vendido]],Agregado[ID],Agregado[Produto])</f>
        <v>Barra de aço simples</v>
      </c>
      <c r="F2258" s="39">
        <v>44971</v>
      </c>
      <c r="G2258" s="7">
        <v>163</v>
      </c>
      <c r="H2258" s="3">
        <f>_xlfn.XLOOKUP(Vendas[[#This Row],[ID Item Vendido]],Agregado[ID],Agregado[Revenda])</f>
        <v>4.8</v>
      </c>
      <c r="I2258" s="3">
        <f>Vendas[[#This Row],[Valor Unitário]]*Vendas[[#This Row],[Qnt Vendida]]</f>
        <v>782.4</v>
      </c>
      <c r="J2258" s="3">
        <f>Vendas[[#This Row],[Valor da Venda]]-(_xlfn.XLOOKUP(Vendas[[#This Row],[ID Item Vendido]],Agregado[ID],Agregado[Custo])*Vendas[[#This Row],[Qnt Vendida]])</f>
        <v>97.799999999999955</v>
      </c>
      <c r="K2258" s="70">
        <f>Vendas[[#This Row],[Lucro da Venda]]/Vendas[[#This Row],[Valor da Venda]]</f>
        <v>0.12499999999999994</v>
      </c>
      <c r="L2258" s="3">
        <f>_xlfn.IFS(Vendas[[#This Row],[Margem de Lucro (%)]]&lt;15%,Vendas[[#This Row],[Valor da Venda]]*3%,Vendas[[#This Row],[Margem de Lucro (%)]]&lt;=20%,Vendas[[#This Row],[Valor da Venda]]*4.5%,TRUE,Vendas[[#This Row],[Valor da Venda]]*6%)</f>
        <v>23.471999999999998</v>
      </c>
      <c r="M2258"/>
    </row>
    <row r="2259" spans="1:13" x14ac:dyDescent="0.3">
      <c r="A2259" s="7">
        <v>400246</v>
      </c>
      <c r="B2259" t="str">
        <f>_xlfn.XLOOKUP(Vendas[[#This Row],[ID Vendedor]],Vendedores[ID],Vendedores[Nome])</f>
        <v>Juliana</v>
      </c>
      <c r="C2259" s="7" t="str">
        <f>_xlfn.XLOOKUP(Vendas[[#This Row],[ID Vendedor]],Vendedores[ID],Vendedores[Setor])</f>
        <v>AHD</v>
      </c>
      <c r="D2259" s="7" t="s">
        <v>18</v>
      </c>
      <c r="E2259" t="str">
        <f>_xlfn.XLOOKUP(Vendas[[#This Row],[ID Item Vendido]],Agregado[ID],Agregado[Produto])</f>
        <v>Peça forjada sob encomenda</v>
      </c>
      <c r="F2259" s="39">
        <v>44972</v>
      </c>
      <c r="G2259" s="7">
        <v>5</v>
      </c>
      <c r="H2259" s="3">
        <f>_xlfn.XLOOKUP(Vendas[[#This Row],[ID Item Vendido]],Agregado[ID],Agregado[Revenda])</f>
        <v>264.60000000000002</v>
      </c>
      <c r="I2259" s="3">
        <f>Vendas[[#This Row],[Valor Unitário]]*Vendas[[#This Row],[Qnt Vendida]]</f>
        <v>1323</v>
      </c>
      <c r="J2259" s="3">
        <f>Vendas[[#This Row],[Valor da Venda]]-(_xlfn.XLOOKUP(Vendas[[#This Row],[ID Item Vendido]],Agregado[ID],Agregado[Custo])*Vendas[[#This Row],[Qnt Vendida]])</f>
        <v>73</v>
      </c>
      <c r="K2259" s="70">
        <f>Vendas[[#This Row],[Lucro da Venda]]/Vendas[[#This Row],[Valor da Venda]]</f>
        <v>5.5177626606198037E-2</v>
      </c>
      <c r="L2259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259"/>
    </row>
    <row r="2260" spans="1:13" x14ac:dyDescent="0.3">
      <c r="A2260" s="7">
        <v>400244</v>
      </c>
      <c r="B2260" t="str">
        <f>_xlfn.XLOOKUP(Vendas[[#This Row],[ID Vendedor]],Vendedores[ID],Vendedores[Nome])</f>
        <v>Camila</v>
      </c>
      <c r="C2260" s="7" t="str">
        <f>_xlfn.XLOOKUP(Vendas[[#This Row],[ID Vendedor]],Vendedores[ID],Vendedores[Setor])</f>
        <v>AHD</v>
      </c>
      <c r="D2260" s="7" t="s">
        <v>18</v>
      </c>
      <c r="E2260" t="str">
        <f>_xlfn.XLOOKUP(Vendas[[#This Row],[ID Item Vendido]],Agregado[ID],Agregado[Produto])</f>
        <v>Peça forjada sob encomenda</v>
      </c>
      <c r="F2260" s="39">
        <v>44972</v>
      </c>
      <c r="G2260" s="7">
        <v>2</v>
      </c>
      <c r="H2260" s="3">
        <f>_xlfn.XLOOKUP(Vendas[[#This Row],[ID Item Vendido]],Agregado[ID],Agregado[Revenda])</f>
        <v>264.60000000000002</v>
      </c>
      <c r="I2260" s="3">
        <f>Vendas[[#This Row],[Valor Unitário]]*Vendas[[#This Row],[Qnt Vendida]]</f>
        <v>529.20000000000005</v>
      </c>
      <c r="J2260" s="3">
        <f>Vendas[[#This Row],[Valor da Venda]]-(_xlfn.XLOOKUP(Vendas[[#This Row],[ID Item Vendido]],Agregado[ID],Agregado[Custo])*Vendas[[#This Row],[Qnt Vendida]])</f>
        <v>29.200000000000045</v>
      </c>
      <c r="K2260" s="70">
        <f>Vendas[[#This Row],[Lucro da Venda]]/Vendas[[#This Row],[Valor da Venda]]</f>
        <v>5.5177626606198113E-2</v>
      </c>
      <c r="L226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260"/>
    </row>
    <row r="2261" spans="1:13" x14ac:dyDescent="0.3">
      <c r="A2261" s="7">
        <v>400251</v>
      </c>
      <c r="B2261" t="str">
        <f>_xlfn.XLOOKUP(Vendas[[#This Row],[ID Vendedor]],Vendedores[ID],Vendedores[Nome])</f>
        <v>Diego</v>
      </c>
      <c r="C2261" s="7" t="str">
        <f>_xlfn.XLOOKUP(Vendas[[#This Row],[ID Vendedor]],Vendedores[ID],Vendedores[Setor])</f>
        <v>AB</v>
      </c>
      <c r="D2261" s="7" t="s">
        <v>36</v>
      </c>
      <c r="E2261" t="str">
        <f>_xlfn.XLOOKUP(Vendas[[#This Row],[ID Item Vendido]],Agregado[ID],Agregado[Produto])</f>
        <v>Borracha vulcanizada em manta</v>
      </c>
      <c r="F2261" s="39">
        <v>44972</v>
      </c>
      <c r="G2261" s="7">
        <v>18</v>
      </c>
      <c r="H2261" s="3">
        <f>_xlfn.XLOOKUP(Vendas[[#This Row],[ID Item Vendido]],Agregado[ID],Agregado[Revenda])</f>
        <v>7.8</v>
      </c>
      <c r="I2261" s="3">
        <f>Vendas[[#This Row],[Valor Unitário]]*Vendas[[#This Row],[Qnt Vendida]]</f>
        <v>140.4</v>
      </c>
      <c r="J2261" s="3">
        <f>Vendas[[#This Row],[Valor da Venda]]-(_xlfn.XLOOKUP(Vendas[[#This Row],[ID Item Vendido]],Agregado[ID],Agregado[Custo])*Vendas[[#This Row],[Qnt Vendida]])</f>
        <v>32.400000000000006</v>
      </c>
      <c r="K2261" s="70">
        <f>Vendas[[#This Row],[Lucro da Venda]]/Vendas[[#This Row],[Valor da Venda]]</f>
        <v>0.23076923076923081</v>
      </c>
      <c r="L2261" s="3">
        <f>_xlfn.IFS(Vendas[[#This Row],[Margem de Lucro (%)]]&lt;15%,Vendas[[#This Row],[Valor da Venda]]*3%,Vendas[[#This Row],[Margem de Lucro (%)]]&lt;=20%,Vendas[[#This Row],[Valor da Venda]]*4.5%,TRUE,Vendas[[#This Row],[Valor da Venda]]*6%)</f>
        <v>8.4239999999999995</v>
      </c>
      <c r="M2261"/>
    </row>
    <row r="2262" spans="1:13" x14ac:dyDescent="0.3">
      <c r="A2262" s="7">
        <v>400250</v>
      </c>
      <c r="B2262" t="str">
        <f>_xlfn.XLOOKUP(Vendas[[#This Row],[ID Vendedor]],Vendedores[ID],Vendedores[Nome])</f>
        <v>Larissa</v>
      </c>
      <c r="C2262" s="7" t="str">
        <f>_xlfn.XLOOKUP(Vendas[[#This Row],[ID Vendedor]],Vendedores[ID],Vendedores[Setor])</f>
        <v>AB</v>
      </c>
      <c r="D2262" s="7" t="s">
        <v>36</v>
      </c>
      <c r="E2262" t="str">
        <f>_xlfn.XLOOKUP(Vendas[[#This Row],[ID Item Vendido]],Agregado[ID],Agregado[Produto])</f>
        <v>Borracha vulcanizada em manta</v>
      </c>
      <c r="F2262" s="39">
        <v>44973</v>
      </c>
      <c r="G2262" s="7">
        <v>16</v>
      </c>
      <c r="H2262" s="3">
        <f>_xlfn.XLOOKUP(Vendas[[#This Row],[ID Item Vendido]],Agregado[ID],Agregado[Revenda])</f>
        <v>7.8</v>
      </c>
      <c r="I2262" s="3">
        <f>Vendas[[#This Row],[Valor Unitário]]*Vendas[[#This Row],[Qnt Vendida]]</f>
        <v>124.8</v>
      </c>
      <c r="J2262" s="3">
        <f>Vendas[[#This Row],[Valor da Venda]]-(_xlfn.XLOOKUP(Vendas[[#This Row],[ID Item Vendido]],Agregado[ID],Agregado[Custo])*Vendas[[#This Row],[Qnt Vendida]])</f>
        <v>28.799999999999997</v>
      </c>
      <c r="K2262" s="70">
        <f>Vendas[[#This Row],[Lucro da Venda]]/Vendas[[#This Row],[Valor da Venda]]</f>
        <v>0.23076923076923075</v>
      </c>
      <c r="L2262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2262"/>
    </row>
    <row r="2263" spans="1:13" x14ac:dyDescent="0.3">
      <c r="A2263" s="7">
        <v>400249</v>
      </c>
      <c r="B2263" t="str">
        <f>_xlfn.XLOOKUP(Vendas[[#This Row],[ID Vendedor]],Vendedores[ID],Vendedores[Nome])</f>
        <v>Bruno</v>
      </c>
      <c r="C2263" s="7" t="str">
        <f>_xlfn.XLOOKUP(Vendas[[#This Row],[ID Vendedor]],Vendedores[ID],Vendedores[Setor])</f>
        <v>CM</v>
      </c>
      <c r="D2263" s="7" t="s">
        <v>32</v>
      </c>
      <c r="E2263" t="str">
        <f>_xlfn.XLOOKUP(Vendas[[#This Row],[ID Item Vendido]],Agregado[ID],Agregado[Produto])</f>
        <v>Tábua tratada e cortada 3m</v>
      </c>
      <c r="F2263" s="39">
        <v>44974</v>
      </c>
      <c r="G2263" s="7">
        <v>39</v>
      </c>
      <c r="H2263" s="3">
        <f>_xlfn.XLOOKUP(Vendas[[#This Row],[ID Item Vendido]],Agregado[ID],Agregado[Revenda])</f>
        <v>39</v>
      </c>
      <c r="I2263" s="3">
        <f>Vendas[[#This Row],[Valor Unitário]]*Vendas[[#This Row],[Qnt Vendida]]</f>
        <v>1521</v>
      </c>
      <c r="J2263" s="3">
        <f>Vendas[[#This Row],[Valor da Venda]]-(_xlfn.XLOOKUP(Vendas[[#This Row],[ID Item Vendido]],Agregado[ID],Agregado[Custo])*Vendas[[#This Row],[Qnt Vendida]])</f>
        <v>273</v>
      </c>
      <c r="K2263" s="70">
        <f>Vendas[[#This Row],[Lucro da Venda]]/Vendas[[#This Row],[Valor da Venda]]</f>
        <v>0.17948717948717949</v>
      </c>
      <c r="L2263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2263"/>
    </row>
    <row r="2264" spans="1:13" x14ac:dyDescent="0.3">
      <c r="A2264" s="7">
        <v>400242</v>
      </c>
      <c r="B2264" t="str">
        <f>_xlfn.XLOOKUP(Vendas[[#This Row],[ID Vendedor]],Vendedores[ID],Vendedores[Nome])</f>
        <v>Fernanda</v>
      </c>
      <c r="C2264" s="7" t="str">
        <f>_xlfn.XLOOKUP(Vendas[[#This Row],[ID Vendedor]],Vendedores[ID],Vendedores[Setor])</f>
        <v>FM</v>
      </c>
      <c r="D2264" s="7" t="s">
        <v>47</v>
      </c>
      <c r="E2264" t="str">
        <f>_xlfn.XLOOKUP(Vendas[[#This Row],[ID Item Vendido]],Agregado[ID],Agregado[Produto])</f>
        <v>Fio de arame galvanizado rolo 50m</v>
      </c>
      <c r="F2264" s="39">
        <v>44974</v>
      </c>
      <c r="G2264" s="7">
        <v>39</v>
      </c>
      <c r="H2264" s="3">
        <f>_xlfn.XLOOKUP(Vendas[[#This Row],[ID Item Vendido]],Agregado[ID],Agregado[Revenda])</f>
        <v>21.2</v>
      </c>
      <c r="I2264" s="3">
        <f>Vendas[[#This Row],[Valor Unitário]]*Vendas[[#This Row],[Qnt Vendida]]</f>
        <v>826.8</v>
      </c>
      <c r="J2264" s="3">
        <f>Vendas[[#This Row],[Valor da Venda]]-(_xlfn.XLOOKUP(Vendas[[#This Row],[ID Item Vendido]],Agregado[ID],Agregado[Custo])*Vendas[[#This Row],[Qnt Vendida]])</f>
        <v>124.79999999999995</v>
      </c>
      <c r="K2264" s="70">
        <f>Vendas[[#This Row],[Lucro da Venda]]/Vendas[[#This Row],[Valor da Venda]]</f>
        <v>0.15094339622641506</v>
      </c>
      <c r="L2264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2264"/>
    </row>
    <row r="2265" spans="1:13" x14ac:dyDescent="0.3">
      <c r="A2265" s="7">
        <v>400250</v>
      </c>
      <c r="B2265" t="str">
        <f>_xlfn.XLOOKUP(Vendas[[#This Row],[ID Vendedor]],Vendedores[ID],Vendedores[Nome])</f>
        <v>Larissa</v>
      </c>
      <c r="C2265" s="7" t="str">
        <f>_xlfn.XLOOKUP(Vendas[[#This Row],[ID Vendedor]],Vendedores[ID],Vendedores[Setor])</f>
        <v>AB</v>
      </c>
      <c r="D2265" s="7" t="s">
        <v>39</v>
      </c>
      <c r="E2265" t="str">
        <f>_xlfn.XLOOKUP(Vendas[[#This Row],[ID Item Vendido]],Agregado[ID],Agregado[Produto])</f>
        <v>Filme plástico industrial rolo 50m</v>
      </c>
      <c r="F2265" s="39">
        <v>44974</v>
      </c>
      <c r="G2265" s="7">
        <v>20</v>
      </c>
      <c r="H2265" s="3">
        <f>_xlfn.XLOOKUP(Vendas[[#This Row],[ID Item Vendido]],Agregado[ID],Agregado[Revenda])</f>
        <v>37</v>
      </c>
      <c r="I2265" s="3">
        <f>Vendas[[#This Row],[Valor Unitário]]*Vendas[[#This Row],[Qnt Vendida]]</f>
        <v>740</v>
      </c>
      <c r="J2265" s="3">
        <f>Vendas[[#This Row],[Valor da Venda]]-(_xlfn.XLOOKUP(Vendas[[#This Row],[ID Item Vendido]],Agregado[ID],Agregado[Custo])*Vendas[[#This Row],[Qnt Vendida]])</f>
        <v>180</v>
      </c>
      <c r="K2265" s="70">
        <f>Vendas[[#This Row],[Lucro da Venda]]/Vendas[[#This Row],[Valor da Venda]]</f>
        <v>0.24324324324324326</v>
      </c>
      <c r="L2265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2265"/>
    </row>
    <row r="2266" spans="1:13" x14ac:dyDescent="0.3">
      <c r="A2266" s="7">
        <v>400241</v>
      </c>
      <c r="B2266" t="str">
        <f>_xlfn.XLOOKUP(Vendas[[#This Row],[ID Vendedor]],Vendedores[ID],Vendedores[Nome])</f>
        <v>Rodrigo</v>
      </c>
      <c r="C2266" s="7" t="str">
        <f>_xlfn.XLOOKUP(Vendas[[#This Row],[ID Vendedor]],Vendedores[ID],Vendedores[Setor])</f>
        <v>FM</v>
      </c>
      <c r="D2266" s="7" t="s">
        <v>20</v>
      </c>
      <c r="E2266" t="str">
        <f>_xlfn.XLOOKUP(Vendas[[#This Row],[ID Item Vendido]],Agregado[ID],Agregado[Produto])</f>
        <v>Barra de aço simples</v>
      </c>
      <c r="F2266" s="39">
        <v>44974</v>
      </c>
      <c r="G2266" s="7">
        <v>28</v>
      </c>
      <c r="H2266" s="3">
        <f>_xlfn.XLOOKUP(Vendas[[#This Row],[ID Item Vendido]],Agregado[ID],Agregado[Revenda])</f>
        <v>4.8</v>
      </c>
      <c r="I2266" s="3">
        <f>Vendas[[#This Row],[Valor Unitário]]*Vendas[[#This Row],[Qnt Vendida]]</f>
        <v>134.4</v>
      </c>
      <c r="J2266" s="3">
        <f>Vendas[[#This Row],[Valor da Venda]]-(_xlfn.XLOOKUP(Vendas[[#This Row],[ID Item Vendido]],Agregado[ID],Agregado[Custo])*Vendas[[#This Row],[Qnt Vendida]])</f>
        <v>16.799999999999997</v>
      </c>
      <c r="K2266" s="70">
        <f>Vendas[[#This Row],[Lucro da Venda]]/Vendas[[#This Row],[Valor da Venda]]</f>
        <v>0.12499999999999997</v>
      </c>
      <c r="L2266" s="3">
        <f>_xlfn.IFS(Vendas[[#This Row],[Margem de Lucro (%)]]&lt;15%,Vendas[[#This Row],[Valor da Venda]]*3%,Vendas[[#This Row],[Margem de Lucro (%)]]&lt;=20%,Vendas[[#This Row],[Valor da Venda]]*4.5%,TRUE,Vendas[[#This Row],[Valor da Venda]]*6%)</f>
        <v>4.032</v>
      </c>
      <c r="M2266"/>
    </row>
    <row r="2267" spans="1:13" x14ac:dyDescent="0.3">
      <c r="A2267" s="7">
        <v>400242</v>
      </c>
      <c r="B2267" t="str">
        <f>_xlfn.XLOOKUP(Vendas[[#This Row],[ID Vendedor]],Vendedores[ID],Vendedores[Nome])</f>
        <v>Fernanda</v>
      </c>
      <c r="C2267" s="7" t="str">
        <f>_xlfn.XLOOKUP(Vendas[[#This Row],[ID Vendedor]],Vendedores[ID],Vendedores[Setor])</f>
        <v>FM</v>
      </c>
      <c r="D2267" s="7" t="s">
        <v>31</v>
      </c>
      <c r="E2267" t="str">
        <f>_xlfn.XLOOKUP(Vendas[[#This Row],[ID Item Vendido]],Agregado[ID],Agregado[Produto])</f>
        <v>Tela de metal soldada rolo 2x25m</v>
      </c>
      <c r="F2267" s="39">
        <v>44975</v>
      </c>
      <c r="G2267" s="7">
        <v>14</v>
      </c>
      <c r="H2267" s="3">
        <f>_xlfn.XLOOKUP(Vendas[[#This Row],[ID Item Vendido]],Agregado[ID],Agregado[Revenda])</f>
        <v>43.7</v>
      </c>
      <c r="I2267" s="3">
        <f>Vendas[[#This Row],[Valor Unitário]]*Vendas[[#This Row],[Qnt Vendida]]</f>
        <v>611.80000000000007</v>
      </c>
      <c r="J2267" s="3">
        <f>Vendas[[#This Row],[Valor da Venda]]-(_xlfn.XLOOKUP(Vendas[[#This Row],[ID Item Vendido]],Agregado[ID],Agregado[Custo])*Vendas[[#This Row],[Qnt Vendida]])</f>
        <v>79.800000000000068</v>
      </c>
      <c r="K2267" s="70">
        <f>Vendas[[#This Row],[Lucro da Venda]]/Vendas[[#This Row],[Valor da Venda]]</f>
        <v>0.13043478260869576</v>
      </c>
      <c r="L2267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2267"/>
    </row>
    <row r="2268" spans="1:13" x14ac:dyDescent="0.3">
      <c r="A2268" s="7">
        <v>400247</v>
      </c>
      <c r="B2268" t="str">
        <f>_xlfn.XLOOKUP(Vendas[[#This Row],[ID Vendedor]],Vendedores[ID],Vendedores[Nome])</f>
        <v>André</v>
      </c>
      <c r="C2268" s="7" t="str">
        <f>_xlfn.XLOOKUP(Vendas[[#This Row],[ID Vendedor]],Vendedores[ID],Vendedores[Setor])</f>
        <v>CM</v>
      </c>
      <c r="D2268" s="7" t="s">
        <v>45</v>
      </c>
      <c r="E2268" t="str">
        <f>_xlfn.XLOOKUP(Vendas[[#This Row],[ID Item Vendido]],Agregado[ID],Agregado[Produto])</f>
        <v>Viga de madeira tratada 4m</v>
      </c>
      <c r="F2268" s="39">
        <v>44975</v>
      </c>
      <c r="G2268" s="7">
        <v>8</v>
      </c>
      <c r="H2268" s="3">
        <f>_xlfn.XLOOKUP(Vendas[[#This Row],[ID Item Vendido]],Agregado[ID],Agregado[Revenda])</f>
        <v>66</v>
      </c>
      <c r="I2268" s="3">
        <f>Vendas[[#This Row],[Valor Unitário]]*Vendas[[#This Row],[Qnt Vendida]]</f>
        <v>528</v>
      </c>
      <c r="J2268" s="3">
        <f>Vendas[[#This Row],[Valor da Venda]]-(_xlfn.XLOOKUP(Vendas[[#This Row],[ID Item Vendido]],Agregado[ID],Agregado[Custo])*Vendas[[#This Row],[Qnt Vendida]])</f>
        <v>88</v>
      </c>
      <c r="K2268" s="70">
        <f>Vendas[[#This Row],[Lucro da Venda]]/Vendas[[#This Row],[Valor da Venda]]</f>
        <v>0.16666666666666666</v>
      </c>
      <c r="L2268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2268"/>
    </row>
    <row r="2269" spans="1:13" x14ac:dyDescent="0.3">
      <c r="A2269" s="7">
        <v>400242</v>
      </c>
      <c r="B2269" t="str">
        <f>_xlfn.XLOOKUP(Vendas[[#This Row],[ID Vendedor]],Vendedores[ID],Vendedores[Nome])</f>
        <v>Fernanda</v>
      </c>
      <c r="C2269" s="7" t="str">
        <f>_xlfn.XLOOKUP(Vendas[[#This Row],[ID Vendedor]],Vendedores[ID],Vendedores[Setor])</f>
        <v>FM</v>
      </c>
      <c r="D2269" s="7" t="s">
        <v>6</v>
      </c>
      <c r="E2269" t="str">
        <f>_xlfn.XLOOKUP(Vendas[[#This Row],[ID Item Vendido]],Agregado[ID],Agregado[Produto])</f>
        <v>Parafuso comum 500un</v>
      </c>
      <c r="F2269" s="39">
        <v>44975</v>
      </c>
      <c r="G2269" s="7">
        <v>4</v>
      </c>
      <c r="H2269" s="3">
        <f>_xlfn.XLOOKUP(Vendas[[#This Row],[ID Item Vendido]],Agregado[ID],Agregado[Revenda])</f>
        <v>24.6</v>
      </c>
      <c r="I2269" s="3">
        <f>Vendas[[#This Row],[Valor Unitário]]*Vendas[[#This Row],[Qnt Vendida]]</f>
        <v>98.4</v>
      </c>
      <c r="J2269" s="3">
        <f>Vendas[[#This Row],[Valor da Venda]]-(_xlfn.XLOOKUP(Vendas[[#This Row],[ID Item Vendido]],Agregado[ID],Agregado[Custo])*Vendas[[#This Row],[Qnt Vendida]])</f>
        <v>10.400000000000006</v>
      </c>
      <c r="K2269" s="70">
        <f>Vendas[[#This Row],[Lucro da Venda]]/Vendas[[#This Row],[Valor da Venda]]</f>
        <v>0.10569105691056915</v>
      </c>
      <c r="L2269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2269"/>
    </row>
    <row r="2270" spans="1:13" x14ac:dyDescent="0.3">
      <c r="A2270" s="7">
        <v>400246</v>
      </c>
      <c r="B2270" t="str">
        <f>_xlfn.XLOOKUP(Vendas[[#This Row],[ID Vendedor]],Vendedores[ID],Vendedores[Nome])</f>
        <v>Juliana</v>
      </c>
      <c r="C2270" s="7" t="str">
        <f>_xlfn.XLOOKUP(Vendas[[#This Row],[ID Vendedor]],Vendedores[ID],Vendedores[Setor])</f>
        <v>AHD</v>
      </c>
      <c r="D2270" s="7" t="s">
        <v>9</v>
      </c>
      <c r="E2270" t="str">
        <f>_xlfn.XLOOKUP(Vendas[[#This Row],[ID Item Vendido]],Agregado[ID],Agregado[Produto])</f>
        <v>Barra de aço simples</v>
      </c>
      <c r="F2270" s="39">
        <v>44976</v>
      </c>
      <c r="G2270" s="7">
        <v>107</v>
      </c>
      <c r="H2270" s="3">
        <f>_xlfn.XLOOKUP(Vendas[[#This Row],[ID Item Vendido]],Agregado[ID],Agregado[Revenda])</f>
        <v>6.7</v>
      </c>
      <c r="I2270" s="3">
        <f>Vendas[[#This Row],[Valor Unitário]]*Vendas[[#This Row],[Qnt Vendida]]</f>
        <v>716.9</v>
      </c>
      <c r="J2270" s="3">
        <f>Vendas[[#This Row],[Valor da Venda]]-(_xlfn.XLOOKUP(Vendas[[#This Row],[ID Item Vendido]],Agregado[ID],Agregado[Custo])*Vendas[[#This Row],[Qnt Vendida]])</f>
        <v>96.299999999999955</v>
      </c>
      <c r="K2270" s="70">
        <f>Vendas[[#This Row],[Lucro da Venda]]/Vendas[[#This Row],[Valor da Venda]]</f>
        <v>0.13432835820895517</v>
      </c>
      <c r="L2270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2270"/>
    </row>
    <row r="2271" spans="1:13" x14ac:dyDescent="0.3">
      <c r="A2271" s="7">
        <v>400244</v>
      </c>
      <c r="B2271" t="str">
        <f>_xlfn.XLOOKUP(Vendas[[#This Row],[ID Vendedor]],Vendedores[ID],Vendedores[Nome])</f>
        <v>Camila</v>
      </c>
      <c r="C2271" s="7" t="str">
        <f>_xlfn.XLOOKUP(Vendas[[#This Row],[ID Vendedor]],Vendedores[ID],Vendedores[Setor])</f>
        <v>AHD</v>
      </c>
      <c r="D2271" s="7" t="s">
        <v>9</v>
      </c>
      <c r="E2271" t="str">
        <f>_xlfn.XLOOKUP(Vendas[[#This Row],[ID Item Vendido]],Agregado[ID],Agregado[Produto])</f>
        <v>Barra de aço simples</v>
      </c>
      <c r="F2271" s="39">
        <v>44976</v>
      </c>
      <c r="G2271" s="7">
        <v>75</v>
      </c>
      <c r="H2271" s="3">
        <f>_xlfn.XLOOKUP(Vendas[[#This Row],[ID Item Vendido]],Agregado[ID],Agregado[Revenda])</f>
        <v>6.7</v>
      </c>
      <c r="I2271" s="3">
        <f>Vendas[[#This Row],[Valor Unitário]]*Vendas[[#This Row],[Qnt Vendida]]</f>
        <v>502.5</v>
      </c>
      <c r="J2271" s="3">
        <f>Vendas[[#This Row],[Valor da Venda]]-(_xlfn.XLOOKUP(Vendas[[#This Row],[ID Item Vendido]],Agregado[ID],Agregado[Custo])*Vendas[[#This Row],[Qnt Vendida]])</f>
        <v>67.5</v>
      </c>
      <c r="K2271" s="70">
        <f>Vendas[[#This Row],[Lucro da Venda]]/Vendas[[#This Row],[Valor da Venda]]</f>
        <v>0.13432835820895522</v>
      </c>
      <c r="L2271" s="3">
        <f>_xlfn.IFS(Vendas[[#This Row],[Margem de Lucro (%)]]&lt;15%,Vendas[[#This Row],[Valor da Venda]]*3%,Vendas[[#This Row],[Margem de Lucro (%)]]&lt;=20%,Vendas[[#This Row],[Valor da Venda]]*4.5%,TRUE,Vendas[[#This Row],[Valor da Venda]]*6%)</f>
        <v>15.074999999999999</v>
      </c>
      <c r="M2271"/>
    </row>
    <row r="2272" spans="1:13" x14ac:dyDescent="0.3">
      <c r="A2272" s="7">
        <v>400247</v>
      </c>
      <c r="B2272" t="str">
        <f>_xlfn.XLOOKUP(Vendas[[#This Row],[ID Vendedor]],Vendedores[ID],Vendedores[Nome])</f>
        <v>André</v>
      </c>
      <c r="C2272" s="7" t="str">
        <f>_xlfn.XLOOKUP(Vendas[[#This Row],[ID Vendedor]],Vendedores[ID],Vendedores[Setor])</f>
        <v>CM</v>
      </c>
      <c r="D2272" s="7" t="s">
        <v>43</v>
      </c>
      <c r="E2272" t="str">
        <f>_xlfn.XLOOKUP(Vendas[[#This Row],[ID Item Vendido]],Agregado[ID],Agregado[Produto])</f>
        <v>Madeira Bruta (Tora)</v>
      </c>
      <c r="F2272" s="39">
        <v>44978</v>
      </c>
      <c r="G2272" s="7">
        <v>13</v>
      </c>
      <c r="H2272" s="3">
        <f>_xlfn.XLOOKUP(Vendas[[#This Row],[ID Item Vendido]],Agregado[ID],Agregado[Revenda])</f>
        <v>212</v>
      </c>
      <c r="I2272" s="3">
        <f>Vendas[[#This Row],[Valor Unitário]]*Vendas[[#This Row],[Qnt Vendida]]</f>
        <v>2756</v>
      </c>
      <c r="J2272" s="3">
        <f>Vendas[[#This Row],[Valor da Venda]]-(_xlfn.XLOOKUP(Vendas[[#This Row],[ID Item Vendido]],Agregado[ID],Agregado[Custo])*Vendas[[#This Row],[Qnt Vendida]])</f>
        <v>416</v>
      </c>
      <c r="K2272" s="70">
        <f>Vendas[[#This Row],[Lucro da Venda]]/Vendas[[#This Row],[Valor da Venda]]</f>
        <v>0.15094339622641509</v>
      </c>
      <c r="L2272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2272"/>
    </row>
    <row r="2273" spans="1:13" x14ac:dyDescent="0.3">
      <c r="A2273" s="7">
        <v>400250</v>
      </c>
      <c r="B2273" t="str">
        <f>_xlfn.XLOOKUP(Vendas[[#This Row],[ID Vendedor]],Vendedores[ID],Vendedores[Nome])</f>
        <v>Larissa</v>
      </c>
      <c r="C2273" s="7" t="str">
        <f>_xlfn.XLOOKUP(Vendas[[#This Row],[ID Vendedor]],Vendedores[ID],Vendedores[Setor])</f>
        <v>AB</v>
      </c>
      <c r="D2273" s="7" t="s">
        <v>12</v>
      </c>
      <c r="E2273" t="str">
        <f>_xlfn.XLOOKUP(Vendas[[#This Row],[ID Item Vendido]],Agregado[ID],Agregado[Produto])</f>
        <v>Grânulo de plástico reciclado refinado</v>
      </c>
      <c r="F2273" s="39">
        <v>44978</v>
      </c>
      <c r="G2273" s="7">
        <v>91</v>
      </c>
      <c r="H2273" s="3">
        <f>_xlfn.XLOOKUP(Vendas[[#This Row],[ID Item Vendido]],Agregado[ID],Agregado[Revenda])</f>
        <v>4.7</v>
      </c>
      <c r="I2273" s="3">
        <f>Vendas[[#This Row],[Valor Unitário]]*Vendas[[#This Row],[Qnt Vendida]]</f>
        <v>427.7</v>
      </c>
      <c r="J2273" s="3">
        <f>Vendas[[#This Row],[Valor da Venda]]-(_xlfn.XLOOKUP(Vendas[[#This Row],[ID Item Vendido]],Agregado[ID],Agregado[Custo])*Vendas[[#This Row],[Qnt Vendida]])</f>
        <v>109.19999999999999</v>
      </c>
      <c r="K2273" s="70">
        <f>Vendas[[#This Row],[Lucro da Venda]]/Vendas[[#This Row],[Valor da Venda]]</f>
        <v>0.25531914893617019</v>
      </c>
      <c r="L2273" s="3">
        <f>_xlfn.IFS(Vendas[[#This Row],[Margem de Lucro (%)]]&lt;15%,Vendas[[#This Row],[Valor da Venda]]*3%,Vendas[[#This Row],[Margem de Lucro (%)]]&lt;=20%,Vendas[[#This Row],[Valor da Venda]]*4.5%,TRUE,Vendas[[#This Row],[Valor da Venda]]*6%)</f>
        <v>25.661999999999999</v>
      </c>
      <c r="M2273"/>
    </row>
    <row r="2274" spans="1:13" x14ac:dyDescent="0.3">
      <c r="A2274" s="7">
        <v>400247</v>
      </c>
      <c r="B2274" t="str">
        <f>_xlfn.XLOOKUP(Vendas[[#This Row],[ID Vendedor]],Vendedores[ID],Vendedores[Nome])</f>
        <v>André</v>
      </c>
      <c r="C2274" s="7" t="str">
        <f>_xlfn.XLOOKUP(Vendas[[#This Row],[ID Vendedor]],Vendedores[ID],Vendedores[Setor])</f>
        <v>CM</v>
      </c>
      <c r="D2274" s="7" t="s">
        <v>34</v>
      </c>
      <c r="E2274" t="str">
        <f>_xlfn.XLOOKUP(Vendas[[#This Row],[ID Item Vendido]],Agregado[ID],Agregado[Produto])</f>
        <v>Restos de madeira p/ MDP/OSB saco de 20kg</v>
      </c>
      <c r="F2274" s="39">
        <v>44978</v>
      </c>
      <c r="G2274" s="7">
        <v>25</v>
      </c>
      <c r="H2274" s="3">
        <f>_xlfn.XLOOKUP(Vendas[[#This Row],[ID Item Vendido]],Agregado[ID],Agregado[Revenda])</f>
        <v>13.8</v>
      </c>
      <c r="I2274" s="3">
        <f>Vendas[[#This Row],[Valor Unitário]]*Vendas[[#This Row],[Qnt Vendida]]</f>
        <v>345</v>
      </c>
      <c r="J2274" s="3">
        <f>Vendas[[#This Row],[Valor da Venda]]-(_xlfn.XLOOKUP(Vendas[[#This Row],[ID Item Vendido]],Agregado[ID],Agregado[Custo])*Vendas[[#This Row],[Qnt Vendida]])</f>
        <v>45</v>
      </c>
      <c r="K2274" s="70">
        <f>Vendas[[#This Row],[Lucro da Venda]]/Vendas[[#This Row],[Valor da Venda]]</f>
        <v>0.13043478260869565</v>
      </c>
      <c r="L2274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2274"/>
    </row>
    <row r="2275" spans="1:13" x14ac:dyDescent="0.3">
      <c r="A2275" s="7">
        <v>400241</v>
      </c>
      <c r="B2275" t="str">
        <f>_xlfn.XLOOKUP(Vendas[[#This Row],[ID Vendedor]],Vendedores[ID],Vendedores[Nome])</f>
        <v>Rodrigo</v>
      </c>
      <c r="C2275" s="7" t="str">
        <f>_xlfn.XLOOKUP(Vendas[[#This Row],[ID Vendedor]],Vendedores[ID],Vendedores[Setor])</f>
        <v>FM</v>
      </c>
      <c r="D2275" s="7" t="s">
        <v>47</v>
      </c>
      <c r="E2275" t="str">
        <f>_xlfn.XLOOKUP(Vendas[[#This Row],[ID Item Vendido]],Agregado[ID],Agregado[Produto])</f>
        <v>Fio de arame galvanizado rolo 50m</v>
      </c>
      <c r="F2275" s="39">
        <v>44978</v>
      </c>
      <c r="G2275" s="7">
        <v>8</v>
      </c>
      <c r="H2275" s="3">
        <f>_xlfn.XLOOKUP(Vendas[[#This Row],[ID Item Vendido]],Agregado[ID],Agregado[Revenda])</f>
        <v>21.2</v>
      </c>
      <c r="I2275" s="3">
        <f>Vendas[[#This Row],[Valor Unitário]]*Vendas[[#This Row],[Qnt Vendida]]</f>
        <v>169.6</v>
      </c>
      <c r="J2275" s="3">
        <f>Vendas[[#This Row],[Valor da Venda]]-(_xlfn.XLOOKUP(Vendas[[#This Row],[ID Item Vendido]],Agregado[ID],Agregado[Custo])*Vendas[[#This Row],[Qnt Vendida]])</f>
        <v>25.599999999999994</v>
      </c>
      <c r="K2275" s="70">
        <f>Vendas[[#This Row],[Lucro da Venda]]/Vendas[[#This Row],[Valor da Venda]]</f>
        <v>0.15094339622641506</v>
      </c>
      <c r="L2275" s="3">
        <f>_xlfn.IFS(Vendas[[#This Row],[Margem de Lucro (%)]]&lt;15%,Vendas[[#This Row],[Valor da Venda]]*3%,Vendas[[#This Row],[Margem de Lucro (%)]]&lt;=20%,Vendas[[#This Row],[Valor da Venda]]*4.5%,TRUE,Vendas[[#This Row],[Valor da Venda]]*6%)</f>
        <v>7.6319999999999997</v>
      </c>
      <c r="M2275"/>
    </row>
    <row r="2276" spans="1:13" x14ac:dyDescent="0.3">
      <c r="A2276" s="7">
        <v>400241</v>
      </c>
      <c r="B2276" t="str">
        <f>_xlfn.XLOOKUP(Vendas[[#This Row],[ID Vendedor]],Vendedores[ID],Vendedores[Nome])</f>
        <v>Rodrigo</v>
      </c>
      <c r="C2276" s="7" t="str">
        <f>_xlfn.XLOOKUP(Vendas[[#This Row],[ID Vendedor]],Vendedores[ID],Vendedores[Setor])</f>
        <v>FM</v>
      </c>
      <c r="D2276" s="7" t="s">
        <v>31</v>
      </c>
      <c r="E2276" t="str">
        <f>_xlfn.XLOOKUP(Vendas[[#This Row],[ID Item Vendido]],Agregado[ID],Agregado[Produto])</f>
        <v>Tela de metal soldada rolo 2x25m</v>
      </c>
      <c r="F2276" s="39">
        <v>44978</v>
      </c>
      <c r="G2276" s="7">
        <v>3</v>
      </c>
      <c r="H2276" s="3">
        <f>_xlfn.XLOOKUP(Vendas[[#This Row],[ID Item Vendido]],Agregado[ID],Agregado[Revenda])</f>
        <v>43.7</v>
      </c>
      <c r="I2276" s="3">
        <f>Vendas[[#This Row],[Valor Unitário]]*Vendas[[#This Row],[Qnt Vendida]]</f>
        <v>131.10000000000002</v>
      </c>
      <c r="J2276" s="3">
        <f>Vendas[[#This Row],[Valor da Venda]]-(_xlfn.XLOOKUP(Vendas[[#This Row],[ID Item Vendido]],Agregado[ID],Agregado[Custo])*Vendas[[#This Row],[Qnt Vendida]])</f>
        <v>17.100000000000023</v>
      </c>
      <c r="K2276" s="70">
        <f>Vendas[[#This Row],[Lucro da Venda]]/Vendas[[#This Row],[Valor da Venda]]</f>
        <v>0.13043478260869582</v>
      </c>
      <c r="L2276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2276"/>
    </row>
    <row r="2277" spans="1:13" x14ac:dyDescent="0.3">
      <c r="A2277" s="7">
        <v>400250</v>
      </c>
      <c r="B2277" t="str">
        <f>_xlfn.XLOOKUP(Vendas[[#This Row],[ID Vendedor]],Vendedores[ID],Vendedores[Nome])</f>
        <v>Larissa</v>
      </c>
      <c r="C2277" s="7" t="str">
        <f>_xlfn.XLOOKUP(Vendas[[#This Row],[ID Vendedor]],Vendedores[ID],Vendedores[Setor])</f>
        <v>AB</v>
      </c>
      <c r="D2277" s="7" t="s">
        <v>24</v>
      </c>
      <c r="E2277" t="str">
        <f>_xlfn.XLOOKUP(Vendas[[#This Row],[ID Item Vendido]],Agregado[ID],Agregado[Produto])</f>
        <v>Resina plástica PET purificada saco de 25kg</v>
      </c>
      <c r="F2277" s="39">
        <v>44979</v>
      </c>
      <c r="G2277" s="7">
        <v>16</v>
      </c>
      <c r="H2277" s="3">
        <f>_xlfn.XLOOKUP(Vendas[[#This Row],[ID Item Vendido]],Agregado[ID],Agregado[Revenda])</f>
        <v>119</v>
      </c>
      <c r="I2277" s="3">
        <f>Vendas[[#This Row],[Valor Unitário]]*Vendas[[#This Row],[Qnt Vendida]]</f>
        <v>1904</v>
      </c>
      <c r="J2277" s="3">
        <f>Vendas[[#This Row],[Valor da Venda]]-(_xlfn.XLOOKUP(Vendas[[#This Row],[ID Item Vendido]],Agregado[ID],Agregado[Custo])*Vendas[[#This Row],[Qnt Vendida]])</f>
        <v>544</v>
      </c>
      <c r="K2277" s="70">
        <f>Vendas[[#This Row],[Lucro da Venda]]/Vendas[[#This Row],[Valor da Venda]]</f>
        <v>0.2857142857142857</v>
      </c>
      <c r="L2277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277"/>
    </row>
    <row r="2278" spans="1:13" x14ac:dyDescent="0.3">
      <c r="A2278" s="7">
        <v>400248</v>
      </c>
      <c r="B2278" t="str">
        <f>_xlfn.XLOOKUP(Vendas[[#This Row],[ID Vendedor]],Vendedores[ID],Vendedores[Nome])</f>
        <v>Patrícia</v>
      </c>
      <c r="C2278" s="7" t="str">
        <f>_xlfn.XLOOKUP(Vendas[[#This Row],[ID Vendedor]],Vendedores[ID],Vendedores[Setor])</f>
        <v>CM</v>
      </c>
      <c r="D2278" s="7" t="s">
        <v>22</v>
      </c>
      <c r="E2278" t="str">
        <f>_xlfn.XLOOKUP(Vendas[[#This Row],[ID Item Vendido]],Agregado[ID],Agregado[Produto])</f>
        <v>Painel MDP 2,75x1,83m</v>
      </c>
      <c r="F2278" s="39">
        <v>44979</v>
      </c>
      <c r="G2278" s="7">
        <v>13</v>
      </c>
      <c r="H2278" s="3">
        <f>_xlfn.XLOOKUP(Vendas[[#This Row],[ID Item Vendido]],Agregado[ID],Agregado[Revenda])</f>
        <v>119</v>
      </c>
      <c r="I2278" s="3">
        <f>Vendas[[#This Row],[Valor Unitário]]*Vendas[[#This Row],[Qnt Vendida]]</f>
        <v>1547</v>
      </c>
      <c r="J2278" s="3">
        <f>Vendas[[#This Row],[Valor da Venda]]-(_xlfn.XLOOKUP(Vendas[[#This Row],[ID Item Vendido]],Agregado[ID],Agregado[Custo])*Vendas[[#This Row],[Qnt Vendida]])</f>
        <v>312</v>
      </c>
      <c r="K2278" s="70">
        <f>Vendas[[#This Row],[Lucro da Venda]]/Vendas[[#This Row],[Valor da Venda]]</f>
        <v>0.20168067226890757</v>
      </c>
      <c r="L2278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2278"/>
    </row>
    <row r="2279" spans="1:13" x14ac:dyDescent="0.3">
      <c r="A2279" s="7">
        <v>400245</v>
      </c>
      <c r="B2279" t="str">
        <f>_xlfn.XLOOKUP(Vendas[[#This Row],[ID Vendedor]],Vendedores[ID],Vendedores[Nome])</f>
        <v>Thiago</v>
      </c>
      <c r="C2279" s="7" t="str">
        <f>_xlfn.XLOOKUP(Vendas[[#This Row],[ID Vendedor]],Vendedores[ID],Vendedores[Setor])</f>
        <v>AHD</v>
      </c>
      <c r="D2279" s="7" t="s">
        <v>28</v>
      </c>
      <c r="E2279" t="str">
        <f>_xlfn.XLOOKUP(Vendas[[#This Row],[ID Item Vendido]],Agregado[ID],Agregado[Produto])</f>
        <v>Peça usinada CNC</v>
      </c>
      <c r="F2279" s="39">
        <v>44979</v>
      </c>
      <c r="G2279" s="7">
        <v>8</v>
      </c>
      <c r="H2279" s="3">
        <f>_xlfn.XLOOKUP(Vendas[[#This Row],[ID Item Vendido]],Agregado[ID],Agregado[Revenda])</f>
        <v>192</v>
      </c>
      <c r="I2279" s="3">
        <f>Vendas[[#This Row],[Valor Unitário]]*Vendas[[#This Row],[Qnt Vendida]]</f>
        <v>1536</v>
      </c>
      <c r="J2279" s="3">
        <f>Vendas[[#This Row],[Valor da Venda]]-(_xlfn.XLOOKUP(Vendas[[#This Row],[ID Item Vendido]],Agregado[ID],Agregado[Custo])*Vendas[[#This Row],[Qnt Vendida]])</f>
        <v>336</v>
      </c>
      <c r="K2279" s="70">
        <f>Vendas[[#This Row],[Lucro da Venda]]/Vendas[[#This Row],[Valor da Venda]]</f>
        <v>0.21875</v>
      </c>
      <c r="L2279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2279"/>
    </row>
    <row r="2280" spans="1:13" x14ac:dyDescent="0.3">
      <c r="A2280" s="7">
        <v>400253</v>
      </c>
      <c r="B2280" t="str">
        <f>_xlfn.XLOOKUP(Vendas[[#This Row],[ID Vendedor]],Vendedores[ID],Vendedores[Nome])</f>
        <v>Gustavo</v>
      </c>
      <c r="C2280" s="7" t="str">
        <f>_xlfn.XLOOKUP(Vendas[[#This Row],[ID Vendedor]],Vendedores[ID],Vendedores[Setor])</f>
        <v>SC</v>
      </c>
      <c r="D2280" s="7" t="s">
        <v>42</v>
      </c>
      <c r="E2280" t="str">
        <f>_xlfn.XLOOKUP(Vendas[[#This Row],[ID Item Vendido]],Agregado[ID],Agregado[Produto])</f>
        <v>Container de ferro industrial</v>
      </c>
      <c r="F2280" s="39">
        <v>44980</v>
      </c>
      <c r="G2280" s="7">
        <v>3</v>
      </c>
      <c r="H2280" s="3">
        <f>_xlfn.XLOOKUP(Vendas[[#This Row],[ID Item Vendido]],Agregado[ID],Agregado[Revenda])</f>
        <v>830</v>
      </c>
      <c r="I2280" s="3">
        <f>Vendas[[#This Row],[Valor Unitário]]*Vendas[[#This Row],[Qnt Vendida]]</f>
        <v>2490</v>
      </c>
      <c r="J2280" s="3">
        <f>Vendas[[#This Row],[Valor da Venda]]-(_xlfn.XLOOKUP(Vendas[[#This Row],[ID Item Vendido]],Agregado[ID],Agregado[Custo])*Vendas[[#This Row],[Qnt Vendida]])</f>
        <v>450</v>
      </c>
      <c r="K2280" s="70">
        <f>Vendas[[#This Row],[Lucro da Venda]]/Vendas[[#This Row],[Valor da Venda]]</f>
        <v>0.18072289156626506</v>
      </c>
      <c r="L2280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280"/>
    </row>
    <row r="2281" spans="1:13" x14ac:dyDescent="0.3">
      <c r="A2281" s="7">
        <v>400253</v>
      </c>
      <c r="B2281" t="str">
        <f>_xlfn.XLOOKUP(Vendas[[#This Row],[ID Vendedor]],Vendedores[ID],Vendedores[Nome])</f>
        <v>Gustavo</v>
      </c>
      <c r="C2281" s="7" t="str">
        <f>_xlfn.XLOOKUP(Vendas[[#This Row],[ID Vendedor]],Vendedores[ID],Vendedores[Setor])</f>
        <v>SC</v>
      </c>
      <c r="D2281" s="7" t="s">
        <v>48</v>
      </c>
      <c r="E2281" t="str">
        <f>_xlfn.XLOOKUP(Vendas[[#This Row],[ID Item Vendido]],Agregado[ID],Agregado[Produto])</f>
        <v>Tambor metálico 200L</v>
      </c>
      <c r="F2281" s="39">
        <v>44980</v>
      </c>
      <c r="G2281" s="7">
        <v>16</v>
      </c>
      <c r="H2281" s="3">
        <f>_xlfn.XLOOKUP(Vendas[[#This Row],[ID Item Vendido]],Agregado[ID],Agregado[Revenda])</f>
        <v>144</v>
      </c>
      <c r="I2281" s="3">
        <f>Vendas[[#This Row],[Valor Unitário]]*Vendas[[#This Row],[Qnt Vendida]]</f>
        <v>2304</v>
      </c>
      <c r="J2281" s="3">
        <f>Vendas[[#This Row],[Valor da Venda]]-(_xlfn.XLOOKUP(Vendas[[#This Row],[ID Item Vendido]],Agregado[ID],Agregado[Custo])*Vendas[[#This Row],[Qnt Vendida]])</f>
        <v>384</v>
      </c>
      <c r="K2281" s="70">
        <f>Vendas[[#This Row],[Lucro da Venda]]/Vendas[[#This Row],[Valor da Venda]]</f>
        <v>0.16666666666666666</v>
      </c>
      <c r="L2281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2281"/>
    </row>
    <row r="2282" spans="1:13" x14ac:dyDescent="0.3">
      <c r="A2282" s="7">
        <v>400250</v>
      </c>
      <c r="B2282" t="str">
        <f>_xlfn.XLOOKUP(Vendas[[#This Row],[ID Vendedor]],Vendedores[ID],Vendedores[Nome])</f>
        <v>Larissa</v>
      </c>
      <c r="C2282" s="7" t="str">
        <f>_xlfn.XLOOKUP(Vendas[[#This Row],[ID Vendedor]],Vendedores[ID],Vendedores[Setor])</f>
        <v>AB</v>
      </c>
      <c r="D2282" s="7" t="s">
        <v>39</v>
      </c>
      <c r="E2282" t="str">
        <f>_xlfn.XLOOKUP(Vendas[[#This Row],[ID Item Vendido]],Agregado[ID],Agregado[Produto])</f>
        <v>Filme plástico industrial rolo 50m</v>
      </c>
      <c r="F2282" s="39">
        <v>44980</v>
      </c>
      <c r="G2282" s="7">
        <v>27</v>
      </c>
      <c r="H2282" s="3">
        <f>_xlfn.XLOOKUP(Vendas[[#This Row],[ID Item Vendido]],Agregado[ID],Agregado[Revenda])</f>
        <v>37</v>
      </c>
      <c r="I2282" s="3">
        <f>Vendas[[#This Row],[Valor Unitário]]*Vendas[[#This Row],[Qnt Vendida]]</f>
        <v>999</v>
      </c>
      <c r="J2282" s="3">
        <f>Vendas[[#This Row],[Valor da Venda]]-(_xlfn.XLOOKUP(Vendas[[#This Row],[ID Item Vendido]],Agregado[ID],Agregado[Custo])*Vendas[[#This Row],[Qnt Vendida]])</f>
        <v>243</v>
      </c>
      <c r="K2282" s="70">
        <f>Vendas[[#This Row],[Lucro da Venda]]/Vendas[[#This Row],[Valor da Venda]]</f>
        <v>0.24324324324324326</v>
      </c>
      <c r="L2282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2282"/>
    </row>
    <row r="2283" spans="1:13" x14ac:dyDescent="0.3">
      <c r="A2283" s="7">
        <v>400246</v>
      </c>
      <c r="B2283" t="str">
        <f>_xlfn.XLOOKUP(Vendas[[#This Row],[ID Vendedor]],Vendedores[ID],Vendedores[Nome])</f>
        <v>Juliana</v>
      </c>
      <c r="C2283" s="7" t="str">
        <f>_xlfn.XLOOKUP(Vendas[[#This Row],[ID Vendedor]],Vendedores[ID],Vendedores[Setor])</f>
        <v>AHD</v>
      </c>
      <c r="D2283" s="7" t="s">
        <v>9</v>
      </c>
      <c r="E2283" t="str">
        <f>_xlfn.XLOOKUP(Vendas[[#This Row],[ID Item Vendido]],Agregado[ID],Agregado[Produto])</f>
        <v>Barra de aço simples</v>
      </c>
      <c r="F2283" s="39">
        <v>44980</v>
      </c>
      <c r="G2283" s="7">
        <v>89</v>
      </c>
      <c r="H2283" s="3">
        <f>_xlfn.XLOOKUP(Vendas[[#This Row],[ID Item Vendido]],Agregado[ID],Agregado[Revenda])</f>
        <v>6.7</v>
      </c>
      <c r="I2283" s="3">
        <f>Vendas[[#This Row],[Valor Unitário]]*Vendas[[#This Row],[Qnt Vendida]]</f>
        <v>596.30000000000007</v>
      </c>
      <c r="J2283" s="3">
        <f>Vendas[[#This Row],[Valor da Venda]]-(_xlfn.XLOOKUP(Vendas[[#This Row],[ID Item Vendido]],Agregado[ID],Agregado[Custo])*Vendas[[#This Row],[Qnt Vendida]])</f>
        <v>80.100000000000136</v>
      </c>
      <c r="K2283" s="70">
        <f>Vendas[[#This Row],[Lucro da Venda]]/Vendas[[#This Row],[Valor da Venda]]</f>
        <v>0.13432835820895545</v>
      </c>
      <c r="L2283" s="3">
        <f>_xlfn.IFS(Vendas[[#This Row],[Margem de Lucro (%)]]&lt;15%,Vendas[[#This Row],[Valor da Venda]]*3%,Vendas[[#This Row],[Margem de Lucro (%)]]&lt;=20%,Vendas[[#This Row],[Valor da Venda]]*4.5%,TRUE,Vendas[[#This Row],[Valor da Venda]]*6%)</f>
        <v>17.889000000000003</v>
      </c>
      <c r="M2283"/>
    </row>
    <row r="2284" spans="1:13" x14ac:dyDescent="0.3">
      <c r="A2284" s="7">
        <v>400241</v>
      </c>
      <c r="B2284" t="str">
        <f>_xlfn.XLOOKUP(Vendas[[#This Row],[ID Vendedor]],Vendedores[ID],Vendedores[Nome])</f>
        <v>Rodrigo</v>
      </c>
      <c r="C2284" s="7" t="str">
        <f>_xlfn.XLOOKUP(Vendas[[#This Row],[ID Vendedor]],Vendedores[ID],Vendedores[Setor])</f>
        <v>FM</v>
      </c>
      <c r="D2284" s="7" t="s">
        <v>27</v>
      </c>
      <c r="E2284" t="str">
        <f>_xlfn.XLOOKUP(Vendas[[#This Row],[ID Item Vendido]],Agregado[ID],Agregado[Produto])</f>
        <v>Chapa de metal lisa 1x2m</v>
      </c>
      <c r="F2284" s="39">
        <v>44980</v>
      </c>
      <c r="G2284" s="7">
        <v>9</v>
      </c>
      <c r="H2284" s="3">
        <f>_xlfn.XLOOKUP(Vendas[[#This Row],[ID Item Vendido]],Agregado[ID],Agregado[Revenda])</f>
        <v>52</v>
      </c>
      <c r="I2284" s="3">
        <f>Vendas[[#This Row],[Valor Unitário]]*Vendas[[#This Row],[Qnt Vendida]]</f>
        <v>468</v>
      </c>
      <c r="J2284" s="3">
        <f>Vendas[[#This Row],[Valor da Venda]]-(_xlfn.XLOOKUP(Vendas[[#This Row],[ID Item Vendido]],Agregado[ID],Agregado[Custo])*Vendas[[#This Row],[Qnt Vendida]])</f>
        <v>63</v>
      </c>
      <c r="K2284" s="70">
        <f>Vendas[[#This Row],[Lucro da Venda]]/Vendas[[#This Row],[Valor da Venda]]</f>
        <v>0.13461538461538461</v>
      </c>
      <c r="L2284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284"/>
    </row>
    <row r="2285" spans="1:13" x14ac:dyDescent="0.3">
      <c r="A2285" s="7">
        <v>400243</v>
      </c>
      <c r="B2285" t="str">
        <f>_xlfn.XLOOKUP(Vendas[[#This Row],[ID Vendedor]],Vendedores[ID],Vendedores[Nome])</f>
        <v>Marcelo</v>
      </c>
      <c r="C2285" s="7" t="str">
        <f>_xlfn.XLOOKUP(Vendas[[#This Row],[ID Vendedor]],Vendedores[ID],Vendedores[Setor])</f>
        <v>FM</v>
      </c>
      <c r="D2285" s="7" t="s">
        <v>27</v>
      </c>
      <c r="E2285" t="str">
        <f>_xlfn.XLOOKUP(Vendas[[#This Row],[ID Item Vendido]],Agregado[ID],Agregado[Produto])</f>
        <v>Chapa de metal lisa 1x2m</v>
      </c>
      <c r="F2285" s="39">
        <v>44980</v>
      </c>
      <c r="G2285" s="7">
        <v>3</v>
      </c>
      <c r="H2285" s="3">
        <f>_xlfn.XLOOKUP(Vendas[[#This Row],[ID Item Vendido]],Agregado[ID],Agregado[Revenda])</f>
        <v>52</v>
      </c>
      <c r="I2285" s="3">
        <f>Vendas[[#This Row],[Valor Unitário]]*Vendas[[#This Row],[Qnt Vendida]]</f>
        <v>156</v>
      </c>
      <c r="J2285" s="3">
        <f>Vendas[[#This Row],[Valor da Venda]]-(_xlfn.XLOOKUP(Vendas[[#This Row],[ID Item Vendido]],Agregado[ID],Agregado[Custo])*Vendas[[#This Row],[Qnt Vendida]])</f>
        <v>21</v>
      </c>
      <c r="K2285" s="70">
        <f>Vendas[[#This Row],[Lucro da Venda]]/Vendas[[#This Row],[Valor da Venda]]</f>
        <v>0.13461538461538461</v>
      </c>
      <c r="L2285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2285"/>
    </row>
    <row r="2286" spans="1:13" x14ac:dyDescent="0.3">
      <c r="A2286" s="7">
        <v>400243</v>
      </c>
      <c r="B2286" t="str">
        <f>_xlfn.XLOOKUP(Vendas[[#This Row],[ID Vendedor]],Vendedores[ID],Vendedores[Nome])</f>
        <v>Marcelo</v>
      </c>
      <c r="C2286" s="7" t="str">
        <f>_xlfn.XLOOKUP(Vendas[[#This Row],[ID Vendedor]],Vendedores[ID],Vendedores[Setor])</f>
        <v>FM</v>
      </c>
      <c r="D2286" s="7" t="s">
        <v>6</v>
      </c>
      <c r="E2286" t="str">
        <f>_xlfn.XLOOKUP(Vendas[[#This Row],[ID Item Vendido]],Agregado[ID],Agregado[Produto])</f>
        <v>Parafuso comum 500un</v>
      </c>
      <c r="F2286" s="39">
        <v>44981</v>
      </c>
      <c r="G2286" s="7">
        <v>22</v>
      </c>
      <c r="H2286" s="3">
        <f>_xlfn.XLOOKUP(Vendas[[#This Row],[ID Item Vendido]],Agregado[ID],Agregado[Revenda])</f>
        <v>24.6</v>
      </c>
      <c r="I2286" s="3">
        <f>Vendas[[#This Row],[Valor Unitário]]*Vendas[[#This Row],[Qnt Vendida]]</f>
        <v>541.20000000000005</v>
      </c>
      <c r="J2286" s="3">
        <f>Vendas[[#This Row],[Valor da Venda]]-(_xlfn.XLOOKUP(Vendas[[#This Row],[ID Item Vendido]],Agregado[ID],Agregado[Custo])*Vendas[[#This Row],[Qnt Vendida]])</f>
        <v>57.200000000000045</v>
      </c>
      <c r="K2286" s="70">
        <f>Vendas[[#This Row],[Lucro da Venda]]/Vendas[[#This Row],[Valor da Venda]]</f>
        <v>0.10569105691056918</v>
      </c>
      <c r="L2286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286"/>
    </row>
    <row r="2287" spans="1:13" x14ac:dyDescent="0.3">
      <c r="A2287" s="7">
        <v>400255</v>
      </c>
      <c r="B2287" t="str">
        <f>_xlfn.XLOOKUP(Vendas[[#This Row],[ID Vendedor]],Vendedores[ID],Vendedores[Nome])</f>
        <v>Carlos</v>
      </c>
      <c r="C2287" s="7" t="str">
        <f>_xlfn.XLOOKUP(Vendas[[#This Row],[ID Vendedor]],Vendedores[ID],Vendedores[Setor])</f>
        <v>SC</v>
      </c>
      <c r="D2287" s="7" t="s">
        <v>48</v>
      </c>
      <c r="E2287" t="str">
        <f>_xlfn.XLOOKUP(Vendas[[#This Row],[ID Item Vendido]],Agregado[ID],Agregado[Produto])</f>
        <v>Tambor metálico 200L</v>
      </c>
      <c r="F2287" s="39">
        <v>44982</v>
      </c>
      <c r="G2287" s="7">
        <v>18</v>
      </c>
      <c r="H2287" s="3">
        <f>_xlfn.XLOOKUP(Vendas[[#This Row],[ID Item Vendido]],Agregado[ID],Agregado[Revenda])</f>
        <v>144</v>
      </c>
      <c r="I2287" s="3">
        <f>Vendas[[#This Row],[Valor Unitário]]*Vendas[[#This Row],[Qnt Vendida]]</f>
        <v>2592</v>
      </c>
      <c r="J2287" s="3">
        <f>Vendas[[#This Row],[Valor da Venda]]-(_xlfn.XLOOKUP(Vendas[[#This Row],[ID Item Vendido]],Agregado[ID],Agregado[Custo])*Vendas[[#This Row],[Qnt Vendida]])</f>
        <v>432</v>
      </c>
      <c r="K2287" s="70">
        <f>Vendas[[#This Row],[Lucro da Venda]]/Vendas[[#This Row],[Valor da Venda]]</f>
        <v>0.16666666666666666</v>
      </c>
      <c r="L2287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287"/>
    </row>
    <row r="2288" spans="1:13" x14ac:dyDescent="0.3">
      <c r="A2288" s="7">
        <v>400248</v>
      </c>
      <c r="B2288" t="str">
        <f>_xlfn.XLOOKUP(Vendas[[#This Row],[ID Vendedor]],Vendedores[ID],Vendedores[Nome])</f>
        <v>Patrícia</v>
      </c>
      <c r="C2288" s="7" t="str">
        <f>_xlfn.XLOOKUP(Vendas[[#This Row],[ID Vendedor]],Vendedores[ID],Vendedores[Setor])</f>
        <v>CM</v>
      </c>
      <c r="D2288" s="7" t="s">
        <v>45</v>
      </c>
      <c r="E2288" t="str">
        <f>_xlfn.XLOOKUP(Vendas[[#This Row],[ID Item Vendido]],Agregado[ID],Agregado[Produto])</f>
        <v>Viga de madeira tratada 4m</v>
      </c>
      <c r="F2288" s="39">
        <v>44982</v>
      </c>
      <c r="G2288" s="7">
        <v>15</v>
      </c>
      <c r="H2288" s="3">
        <f>_xlfn.XLOOKUP(Vendas[[#This Row],[ID Item Vendido]],Agregado[ID],Agregado[Revenda])</f>
        <v>66</v>
      </c>
      <c r="I2288" s="3">
        <f>Vendas[[#This Row],[Valor Unitário]]*Vendas[[#This Row],[Qnt Vendida]]</f>
        <v>990</v>
      </c>
      <c r="J2288" s="3">
        <f>Vendas[[#This Row],[Valor da Venda]]-(_xlfn.XLOOKUP(Vendas[[#This Row],[ID Item Vendido]],Agregado[ID],Agregado[Custo])*Vendas[[#This Row],[Qnt Vendida]])</f>
        <v>165</v>
      </c>
      <c r="K2288" s="70">
        <f>Vendas[[#This Row],[Lucro da Venda]]/Vendas[[#This Row],[Valor da Venda]]</f>
        <v>0.16666666666666666</v>
      </c>
      <c r="L2288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2288"/>
    </row>
    <row r="2289" spans="1:13" x14ac:dyDescent="0.3">
      <c r="A2289" s="7">
        <v>400241</v>
      </c>
      <c r="B2289" t="str">
        <f>_xlfn.XLOOKUP(Vendas[[#This Row],[ID Vendedor]],Vendedores[ID],Vendedores[Nome])</f>
        <v>Rodrigo</v>
      </c>
      <c r="C2289" s="7" t="str">
        <f>_xlfn.XLOOKUP(Vendas[[#This Row],[ID Vendedor]],Vendedores[ID],Vendedores[Setor])</f>
        <v>FM</v>
      </c>
      <c r="D2289" s="7" t="s">
        <v>31</v>
      </c>
      <c r="E2289" t="str">
        <f>_xlfn.XLOOKUP(Vendas[[#This Row],[ID Item Vendido]],Agregado[ID],Agregado[Produto])</f>
        <v>Tela de metal soldada rolo 2x25m</v>
      </c>
      <c r="F2289" s="39">
        <v>44982</v>
      </c>
      <c r="G2289" s="7">
        <v>15</v>
      </c>
      <c r="H2289" s="3">
        <f>_xlfn.XLOOKUP(Vendas[[#This Row],[ID Item Vendido]],Agregado[ID],Agregado[Revenda])</f>
        <v>43.7</v>
      </c>
      <c r="I2289" s="3">
        <f>Vendas[[#This Row],[Valor Unitário]]*Vendas[[#This Row],[Qnt Vendida]]</f>
        <v>655.5</v>
      </c>
      <c r="J2289" s="3">
        <f>Vendas[[#This Row],[Valor da Venda]]-(_xlfn.XLOOKUP(Vendas[[#This Row],[ID Item Vendido]],Agregado[ID],Agregado[Custo])*Vendas[[#This Row],[Qnt Vendida]])</f>
        <v>85.5</v>
      </c>
      <c r="K2289" s="70">
        <f>Vendas[[#This Row],[Lucro da Venda]]/Vendas[[#This Row],[Valor da Venda]]</f>
        <v>0.13043478260869565</v>
      </c>
      <c r="L2289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2289"/>
    </row>
    <row r="2290" spans="1:13" x14ac:dyDescent="0.3">
      <c r="A2290" s="7">
        <v>400243</v>
      </c>
      <c r="B2290" t="str">
        <f>_xlfn.XLOOKUP(Vendas[[#This Row],[ID Vendedor]],Vendedores[ID],Vendedores[Nome])</f>
        <v>Marcelo</v>
      </c>
      <c r="C2290" s="7" t="str">
        <f>_xlfn.XLOOKUP(Vendas[[#This Row],[ID Vendedor]],Vendedores[ID],Vendedores[Setor])</f>
        <v>FM</v>
      </c>
      <c r="D2290" s="7" t="s">
        <v>6</v>
      </c>
      <c r="E2290" t="str">
        <f>_xlfn.XLOOKUP(Vendas[[#This Row],[ID Item Vendido]],Agregado[ID],Agregado[Produto])</f>
        <v>Parafuso comum 500un</v>
      </c>
      <c r="F2290" s="39">
        <v>44982</v>
      </c>
      <c r="G2290" s="7">
        <v>18</v>
      </c>
      <c r="H2290" s="3">
        <f>_xlfn.XLOOKUP(Vendas[[#This Row],[ID Item Vendido]],Agregado[ID],Agregado[Revenda])</f>
        <v>24.6</v>
      </c>
      <c r="I2290" s="3">
        <f>Vendas[[#This Row],[Valor Unitário]]*Vendas[[#This Row],[Qnt Vendida]]</f>
        <v>442.8</v>
      </c>
      <c r="J2290" s="3">
        <f>Vendas[[#This Row],[Valor da Venda]]-(_xlfn.XLOOKUP(Vendas[[#This Row],[ID Item Vendido]],Agregado[ID],Agregado[Custo])*Vendas[[#This Row],[Qnt Vendida]])</f>
        <v>46.800000000000011</v>
      </c>
      <c r="K2290" s="70">
        <f>Vendas[[#This Row],[Lucro da Venda]]/Vendas[[#This Row],[Valor da Venda]]</f>
        <v>0.10569105691056913</v>
      </c>
      <c r="L2290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2290"/>
    </row>
    <row r="2291" spans="1:13" x14ac:dyDescent="0.3">
      <c r="A2291" s="7">
        <v>400248</v>
      </c>
      <c r="B2291" t="str">
        <f>_xlfn.XLOOKUP(Vendas[[#This Row],[ID Vendedor]],Vendedores[ID],Vendedores[Nome])</f>
        <v>Patrícia</v>
      </c>
      <c r="C2291" s="7" t="str">
        <f>_xlfn.XLOOKUP(Vendas[[#This Row],[ID Vendedor]],Vendedores[ID],Vendedores[Setor])</f>
        <v>CM</v>
      </c>
      <c r="D2291" s="7" t="s">
        <v>34</v>
      </c>
      <c r="E2291" t="str">
        <f>_xlfn.XLOOKUP(Vendas[[#This Row],[ID Item Vendido]],Agregado[ID],Agregado[Produto])</f>
        <v>Restos de madeira p/ MDP/OSB saco de 20kg</v>
      </c>
      <c r="F2291" s="39">
        <v>44983</v>
      </c>
      <c r="G2291" s="7">
        <v>17</v>
      </c>
      <c r="H2291" s="3">
        <f>_xlfn.XLOOKUP(Vendas[[#This Row],[ID Item Vendido]],Agregado[ID],Agregado[Revenda])</f>
        <v>13.8</v>
      </c>
      <c r="I2291" s="3">
        <f>Vendas[[#This Row],[Valor Unitário]]*Vendas[[#This Row],[Qnt Vendida]]</f>
        <v>234.60000000000002</v>
      </c>
      <c r="J2291" s="3">
        <f>Vendas[[#This Row],[Valor da Venda]]-(_xlfn.XLOOKUP(Vendas[[#This Row],[ID Item Vendido]],Agregado[ID],Agregado[Custo])*Vendas[[#This Row],[Qnt Vendida]])</f>
        <v>30.600000000000023</v>
      </c>
      <c r="K2291" s="70">
        <f>Vendas[[#This Row],[Lucro da Venda]]/Vendas[[#This Row],[Valor da Venda]]</f>
        <v>0.13043478260869573</v>
      </c>
      <c r="L2291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2291"/>
    </row>
    <row r="2292" spans="1:13" x14ac:dyDescent="0.3">
      <c r="A2292" s="7">
        <v>400248</v>
      </c>
      <c r="B2292" t="str">
        <f>_xlfn.XLOOKUP(Vendas[[#This Row],[ID Vendedor]],Vendedores[ID],Vendedores[Nome])</f>
        <v>Patrícia</v>
      </c>
      <c r="C2292" s="7" t="str">
        <f>_xlfn.XLOOKUP(Vendas[[#This Row],[ID Vendedor]],Vendedores[ID],Vendedores[Setor])</f>
        <v>CM</v>
      </c>
      <c r="D2292" s="7" t="s">
        <v>43</v>
      </c>
      <c r="E2292" t="str">
        <f>_xlfn.XLOOKUP(Vendas[[#This Row],[ID Item Vendido]],Agregado[ID],Agregado[Produto])</f>
        <v>Madeira Bruta (Tora)</v>
      </c>
      <c r="F2292" s="39">
        <v>44984</v>
      </c>
      <c r="G2292" s="7">
        <v>7</v>
      </c>
      <c r="H2292" s="3">
        <f>_xlfn.XLOOKUP(Vendas[[#This Row],[ID Item Vendido]],Agregado[ID],Agregado[Revenda])</f>
        <v>212</v>
      </c>
      <c r="I2292" s="3">
        <f>Vendas[[#This Row],[Valor Unitário]]*Vendas[[#This Row],[Qnt Vendida]]</f>
        <v>1484</v>
      </c>
      <c r="J2292" s="3">
        <f>Vendas[[#This Row],[Valor da Venda]]-(_xlfn.XLOOKUP(Vendas[[#This Row],[ID Item Vendido]],Agregado[ID],Agregado[Custo])*Vendas[[#This Row],[Qnt Vendida]])</f>
        <v>224</v>
      </c>
      <c r="K2292" s="70">
        <f>Vendas[[#This Row],[Lucro da Venda]]/Vendas[[#This Row],[Valor da Venda]]</f>
        <v>0.15094339622641509</v>
      </c>
      <c r="L2292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2292"/>
    </row>
    <row r="2293" spans="1:13" x14ac:dyDescent="0.3">
      <c r="A2293" s="7">
        <v>400248</v>
      </c>
      <c r="B2293" t="str">
        <f>_xlfn.XLOOKUP(Vendas[[#This Row],[ID Vendedor]],Vendedores[ID],Vendedores[Nome])</f>
        <v>Patrícia</v>
      </c>
      <c r="C2293" s="7" t="str">
        <f>_xlfn.XLOOKUP(Vendas[[#This Row],[ID Vendedor]],Vendedores[ID],Vendedores[Setor])</f>
        <v>CM</v>
      </c>
      <c r="D2293" s="7" t="s">
        <v>32</v>
      </c>
      <c r="E2293" t="str">
        <f>_xlfn.XLOOKUP(Vendas[[#This Row],[ID Item Vendido]],Agregado[ID],Agregado[Produto])</f>
        <v>Tábua tratada e cortada 3m</v>
      </c>
      <c r="F2293" s="39">
        <v>44984</v>
      </c>
      <c r="G2293" s="7">
        <v>11</v>
      </c>
      <c r="H2293" s="3">
        <f>_xlfn.XLOOKUP(Vendas[[#This Row],[ID Item Vendido]],Agregado[ID],Agregado[Revenda])</f>
        <v>39</v>
      </c>
      <c r="I2293" s="3">
        <f>Vendas[[#This Row],[Valor Unitário]]*Vendas[[#This Row],[Qnt Vendida]]</f>
        <v>429</v>
      </c>
      <c r="J2293" s="3">
        <f>Vendas[[#This Row],[Valor da Venda]]-(_xlfn.XLOOKUP(Vendas[[#This Row],[ID Item Vendido]],Agregado[ID],Agregado[Custo])*Vendas[[#This Row],[Qnt Vendida]])</f>
        <v>77</v>
      </c>
      <c r="K2293" s="70">
        <f>Vendas[[#This Row],[Lucro da Venda]]/Vendas[[#This Row],[Valor da Venda]]</f>
        <v>0.17948717948717949</v>
      </c>
      <c r="L2293" s="3">
        <f>_xlfn.IFS(Vendas[[#This Row],[Margem de Lucro (%)]]&lt;15%,Vendas[[#This Row],[Valor da Venda]]*3%,Vendas[[#This Row],[Margem de Lucro (%)]]&lt;=20%,Vendas[[#This Row],[Valor da Venda]]*4.5%,TRUE,Vendas[[#This Row],[Valor da Venda]]*6%)</f>
        <v>19.305</v>
      </c>
      <c r="M2293"/>
    </row>
    <row r="2294" spans="1:13" x14ac:dyDescent="0.3">
      <c r="A2294" s="7">
        <v>400248</v>
      </c>
      <c r="B2294" t="str">
        <f>_xlfn.XLOOKUP(Vendas[[#This Row],[ID Vendedor]],Vendedores[ID],Vendedores[Nome])</f>
        <v>Patrícia</v>
      </c>
      <c r="C2294" s="7" t="str">
        <f>_xlfn.XLOOKUP(Vendas[[#This Row],[ID Vendedor]],Vendedores[ID],Vendedores[Setor])</f>
        <v>CM</v>
      </c>
      <c r="D2294" s="7" t="s">
        <v>32</v>
      </c>
      <c r="E2294" t="str">
        <f>_xlfn.XLOOKUP(Vendas[[#This Row],[ID Item Vendido]],Agregado[ID],Agregado[Produto])</f>
        <v>Tábua tratada e cortada 3m</v>
      </c>
      <c r="F2294" s="39">
        <v>44985</v>
      </c>
      <c r="G2294" s="7">
        <v>31</v>
      </c>
      <c r="H2294" s="3">
        <f>_xlfn.XLOOKUP(Vendas[[#This Row],[ID Item Vendido]],Agregado[ID],Agregado[Revenda])</f>
        <v>39</v>
      </c>
      <c r="I2294" s="3">
        <f>Vendas[[#This Row],[Valor Unitário]]*Vendas[[#This Row],[Qnt Vendida]]</f>
        <v>1209</v>
      </c>
      <c r="J2294" s="3">
        <f>Vendas[[#This Row],[Valor da Venda]]-(_xlfn.XLOOKUP(Vendas[[#This Row],[ID Item Vendido]],Agregado[ID],Agregado[Custo])*Vendas[[#This Row],[Qnt Vendida]])</f>
        <v>217</v>
      </c>
      <c r="K2294" s="70">
        <f>Vendas[[#This Row],[Lucro da Venda]]/Vendas[[#This Row],[Valor da Venda]]</f>
        <v>0.17948717948717949</v>
      </c>
      <c r="L2294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2294"/>
    </row>
    <row r="2295" spans="1:13" x14ac:dyDescent="0.3">
      <c r="A2295" s="7">
        <v>400248</v>
      </c>
      <c r="B2295" t="str">
        <f>_xlfn.XLOOKUP(Vendas[[#This Row],[ID Vendedor]],Vendedores[ID],Vendedores[Nome])</f>
        <v>Patrícia</v>
      </c>
      <c r="C2295" s="7" t="str">
        <f>_xlfn.XLOOKUP(Vendas[[#This Row],[ID Vendedor]],Vendedores[ID],Vendedores[Setor])</f>
        <v>CM</v>
      </c>
      <c r="D2295" s="7" t="s">
        <v>45</v>
      </c>
      <c r="E2295" t="str">
        <f>_xlfn.XLOOKUP(Vendas[[#This Row],[ID Item Vendido]],Agregado[ID],Agregado[Produto])</f>
        <v>Viga de madeira tratada 4m</v>
      </c>
      <c r="F2295" s="39">
        <v>44985</v>
      </c>
      <c r="G2295" s="7">
        <v>15</v>
      </c>
      <c r="H2295" s="3">
        <f>_xlfn.XLOOKUP(Vendas[[#This Row],[ID Item Vendido]],Agregado[ID],Agregado[Revenda])</f>
        <v>66</v>
      </c>
      <c r="I2295" s="3">
        <f>Vendas[[#This Row],[Valor Unitário]]*Vendas[[#This Row],[Qnt Vendida]]</f>
        <v>990</v>
      </c>
      <c r="J2295" s="3">
        <f>Vendas[[#This Row],[Valor da Venda]]-(_xlfn.XLOOKUP(Vendas[[#This Row],[ID Item Vendido]],Agregado[ID],Agregado[Custo])*Vendas[[#This Row],[Qnt Vendida]])</f>
        <v>165</v>
      </c>
      <c r="K2295" s="70">
        <f>Vendas[[#This Row],[Lucro da Venda]]/Vendas[[#This Row],[Valor da Venda]]</f>
        <v>0.16666666666666666</v>
      </c>
      <c r="L2295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2295"/>
    </row>
    <row r="2296" spans="1:13" x14ac:dyDescent="0.3">
      <c r="A2296" s="7">
        <v>400247</v>
      </c>
      <c r="B2296" t="str">
        <f>_xlfn.XLOOKUP(Vendas[[#This Row],[ID Vendedor]],Vendedores[ID],Vendedores[Nome])</f>
        <v>André</v>
      </c>
      <c r="C2296" s="7" t="str">
        <f>_xlfn.XLOOKUP(Vendas[[#This Row],[ID Vendedor]],Vendedores[ID],Vendedores[Setor])</f>
        <v>CM</v>
      </c>
      <c r="D2296" s="7" t="s">
        <v>34</v>
      </c>
      <c r="E2296" t="str">
        <f>_xlfn.XLOOKUP(Vendas[[#This Row],[ID Item Vendido]],Agregado[ID],Agregado[Produto])</f>
        <v>Restos de madeira p/ MDP/OSB saco de 20kg</v>
      </c>
      <c r="F2296" s="39">
        <v>44985</v>
      </c>
      <c r="G2296" s="7">
        <v>27</v>
      </c>
      <c r="H2296" s="3">
        <f>_xlfn.XLOOKUP(Vendas[[#This Row],[ID Item Vendido]],Agregado[ID],Agregado[Revenda])</f>
        <v>13.8</v>
      </c>
      <c r="I2296" s="3">
        <f>Vendas[[#This Row],[Valor Unitário]]*Vendas[[#This Row],[Qnt Vendida]]</f>
        <v>372.6</v>
      </c>
      <c r="J2296" s="3">
        <f>Vendas[[#This Row],[Valor da Venda]]-(_xlfn.XLOOKUP(Vendas[[#This Row],[ID Item Vendido]],Agregado[ID],Agregado[Custo])*Vendas[[#This Row],[Qnt Vendida]])</f>
        <v>48.600000000000023</v>
      </c>
      <c r="K2296" s="70">
        <f>Vendas[[#This Row],[Lucro da Venda]]/Vendas[[#This Row],[Valor da Venda]]</f>
        <v>0.1304347826086957</v>
      </c>
      <c r="L2296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2296"/>
    </row>
    <row r="2297" spans="1:13" x14ac:dyDescent="0.3">
      <c r="A2297" s="7">
        <v>400250</v>
      </c>
      <c r="B2297" t="str">
        <f>_xlfn.XLOOKUP(Vendas[[#This Row],[ID Vendedor]],Vendedores[ID],Vendedores[Nome])</f>
        <v>Larissa</v>
      </c>
      <c r="C2297" s="7" t="str">
        <f>_xlfn.XLOOKUP(Vendas[[#This Row],[ID Vendedor]],Vendedores[ID],Vendedores[Setor])</f>
        <v>AB</v>
      </c>
      <c r="D2297" s="7" t="s">
        <v>36</v>
      </c>
      <c r="E2297" t="str">
        <f>_xlfn.XLOOKUP(Vendas[[#This Row],[ID Item Vendido]],Agregado[ID],Agregado[Produto])</f>
        <v>Borracha vulcanizada em manta</v>
      </c>
      <c r="F2297" s="39">
        <v>44985</v>
      </c>
      <c r="G2297" s="7">
        <v>13</v>
      </c>
      <c r="H2297" s="3">
        <f>_xlfn.XLOOKUP(Vendas[[#This Row],[ID Item Vendido]],Agregado[ID],Agregado[Revenda])</f>
        <v>7.8</v>
      </c>
      <c r="I2297" s="3">
        <f>Vendas[[#This Row],[Valor Unitário]]*Vendas[[#This Row],[Qnt Vendida]]</f>
        <v>101.39999999999999</v>
      </c>
      <c r="J2297" s="3">
        <f>Vendas[[#This Row],[Valor da Venda]]-(_xlfn.XLOOKUP(Vendas[[#This Row],[ID Item Vendido]],Agregado[ID],Agregado[Custo])*Vendas[[#This Row],[Qnt Vendida]])</f>
        <v>23.399999999999991</v>
      </c>
      <c r="K2297" s="70">
        <f>Vendas[[#This Row],[Lucro da Venda]]/Vendas[[#This Row],[Valor da Venda]]</f>
        <v>0.2307692307692307</v>
      </c>
      <c r="L2297" s="3">
        <f>_xlfn.IFS(Vendas[[#This Row],[Margem de Lucro (%)]]&lt;15%,Vendas[[#This Row],[Valor da Venda]]*3%,Vendas[[#This Row],[Margem de Lucro (%)]]&lt;=20%,Vendas[[#This Row],[Valor da Venda]]*4.5%,TRUE,Vendas[[#This Row],[Valor da Venda]]*6%)</f>
        <v>6.0839999999999996</v>
      </c>
      <c r="M2297"/>
    </row>
    <row r="2298" spans="1:13" x14ac:dyDescent="0.3">
      <c r="A2298" s="7">
        <v>400246</v>
      </c>
      <c r="B2298" t="str">
        <f>_xlfn.XLOOKUP(Vendas[[#This Row],[ID Vendedor]],Vendedores[ID],Vendedores[Nome])</f>
        <v>Juliana</v>
      </c>
      <c r="C2298" s="7" t="str">
        <f>_xlfn.XLOOKUP(Vendas[[#This Row],[ID Vendedor]],Vendedores[ID],Vendedores[Setor])</f>
        <v>AHD</v>
      </c>
      <c r="D2298" s="7" t="s">
        <v>30</v>
      </c>
      <c r="E2298" t="str">
        <f>_xlfn.XLOOKUP(Vendas[[#This Row],[ID Item Vendido]],Agregado[ID],Agregado[Produto])</f>
        <v>Estrutura metálica soldada</v>
      </c>
      <c r="F2298" s="39">
        <v>44986</v>
      </c>
      <c r="G2298" s="7">
        <v>3</v>
      </c>
      <c r="H2298" s="3">
        <f>_xlfn.XLOOKUP(Vendas[[#This Row],[ID Item Vendido]],Agregado[ID],Agregado[Revenda])</f>
        <v>400</v>
      </c>
      <c r="I2298" s="3">
        <f>Vendas[[#This Row],[Valor Unitário]]*Vendas[[#This Row],[Qnt Vendida]]</f>
        <v>1200</v>
      </c>
      <c r="J2298" s="3">
        <f>Vendas[[#This Row],[Valor da Venda]]-(_xlfn.XLOOKUP(Vendas[[#This Row],[ID Item Vendido]],Agregado[ID],Agregado[Custo])*Vendas[[#This Row],[Qnt Vendida]])</f>
        <v>240</v>
      </c>
      <c r="K2298" s="70">
        <f>Vendas[[#This Row],[Lucro da Venda]]/Vendas[[#This Row],[Valor da Venda]]</f>
        <v>0.2</v>
      </c>
      <c r="L2298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298"/>
    </row>
    <row r="2299" spans="1:13" x14ac:dyDescent="0.3">
      <c r="A2299" s="7">
        <v>400244</v>
      </c>
      <c r="B2299" t="str">
        <f>_xlfn.XLOOKUP(Vendas[[#This Row],[ID Vendedor]],Vendedores[ID],Vendedores[Nome])</f>
        <v>Camila</v>
      </c>
      <c r="C2299" s="7" t="str">
        <f>_xlfn.XLOOKUP(Vendas[[#This Row],[ID Vendedor]],Vendedores[ID],Vendedores[Setor])</f>
        <v>AHD</v>
      </c>
      <c r="D2299" s="7" t="s">
        <v>18</v>
      </c>
      <c r="E2299" t="str">
        <f>_xlfn.XLOOKUP(Vendas[[#This Row],[ID Item Vendido]],Agregado[ID],Agregado[Produto])</f>
        <v>Peça forjada sob encomenda</v>
      </c>
      <c r="F2299" s="39">
        <v>44986</v>
      </c>
      <c r="G2299" s="7">
        <v>2</v>
      </c>
      <c r="H2299" s="3">
        <f>_xlfn.XLOOKUP(Vendas[[#This Row],[ID Item Vendido]],Agregado[ID],Agregado[Revenda])</f>
        <v>264.60000000000002</v>
      </c>
      <c r="I2299" s="3">
        <f>Vendas[[#This Row],[Valor Unitário]]*Vendas[[#This Row],[Qnt Vendida]]</f>
        <v>529.20000000000005</v>
      </c>
      <c r="J2299" s="3">
        <f>Vendas[[#This Row],[Valor da Venda]]-(_xlfn.XLOOKUP(Vendas[[#This Row],[ID Item Vendido]],Agregado[ID],Agregado[Custo])*Vendas[[#This Row],[Qnt Vendida]])</f>
        <v>29.200000000000045</v>
      </c>
      <c r="K2299" s="70">
        <f>Vendas[[#This Row],[Lucro da Venda]]/Vendas[[#This Row],[Valor da Venda]]</f>
        <v>5.5177626606198113E-2</v>
      </c>
      <c r="L229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299"/>
    </row>
    <row r="2300" spans="1:13" x14ac:dyDescent="0.3">
      <c r="A2300" s="7">
        <v>400246</v>
      </c>
      <c r="B2300" t="str">
        <f>_xlfn.XLOOKUP(Vendas[[#This Row],[ID Vendedor]],Vendedores[ID],Vendedores[Nome])</f>
        <v>Juliana</v>
      </c>
      <c r="C2300" s="7" t="str">
        <f>_xlfn.XLOOKUP(Vendas[[#This Row],[ID Vendedor]],Vendedores[ID],Vendedores[Setor])</f>
        <v>AHD</v>
      </c>
      <c r="D2300" s="7" t="s">
        <v>9</v>
      </c>
      <c r="E2300" t="str">
        <f>_xlfn.XLOOKUP(Vendas[[#This Row],[ID Item Vendido]],Agregado[ID],Agregado[Produto])</f>
        <v>Barra de aço simples</v>
      </c>
      <c r="F2300" s="39">
        <v>44986</v>
      </c>
      <c r="G2300" s="7">
        <v>106</v>
      </c>
      <c r="H2300" s="3">
        <f>_xlfn.XLOOKUP(Vendas[[#This Row],[ID Item Vendido]],Agregado[ID],Agregado[Revenda])</f>
        <v>6.7</v>
      </c>
      <c r="I2300" s="3">
        <f>Vendas[[#This Row],[Valor Unitário]]*Vendas[[#This Row],[Qnt Vendida]]</f>
        <v>710.2</v>
      </c>
      <c r="J2300" s="3">
        <f>Vendas[[#This Row],[Valor da Venda]]-(_xlfn.XLOOKUP(Vendas[[#This Row],[ID Item Vendido]],Agregado[ID],Agregado[Custo])*Vendas[[#This Row],[Qnt Vendida]])</f>
        <v>95.400000000000091</v>
      </c>
      <c r="K2300" s="70">
        <f>Vendas[[#This Row],[Lucro da Venda]]/Vendas[[#This Row],[Valor da Venda]]</f>
        <v>0.13432835820895533</v>
      </c>
      <c r="L2300" s="3">
        <f>_xlfn.IFS(Vendas[[#This Row],[Margem de Lucro (%)]]&lt;15%,Vendas[[#This Row],[Valor da Venda]]*3%,Vendas[[#This Row],[Margem de Lucro (%)]]&lt;=20%,Vendas[[#This Row],[Valor da Venda]]*4.5%,TRUE,Vendas[[#This Row],[Valor da Venda]]*6%)</f>
        <v>21.306000000000001</v>
      </c>
      <c r="M2300"/>
    </row>
    <row r="2301" spans="1:13" x14ac:dyDescent="0.3">
      <c r="A2301" s="7">
        <v>400253</v>
      </c>
      <c r="B2301" t="str">
        <f>_xlfn.XLOOKUP(Vendas[[#This Row],[ID Vendedor]],Vendedores[ID],Vendedores[Nome])</f>
        <v>Gustavo</v>
      </c>
      <c r="C2301" s="7" t="str">
        <f>_xlfn.XLOOKUP(Vendas[[#This Row],[ID Vendedor]],Vendedores[ID],Vendedores[Setor])</f>
        <v>SC</v>
      </c>
      <c r="D2301" s="7" t="s">
        <v>42</v>
      </c>
      <c r="E2301" t="str">
        <f>_xlfn.XLOOKUP(Vendas[[#This Row],[ID Item Vendido]],Agregado[ID],Agregado[Produto])</f>
        <v>Container de ferro industrial</v>
      </c>
      <c r="F2301" s="39">
        <v>44987</v>
      </c>
      <c r="G2301" s="7">
        <v>4</v>
      </c>
      <c r="H2301" s="3">
        <f>_xlfn.XLOOKUP(Vendas[[#This Row],[ID Item Vendido]],Agregado[ID],Agregado[Revenda])</f>
        <v>830</v>
      </c>
      <c r="I2301" s="3">
        <f>Vendas[[#This Row],[Valor Unitário]]*Vendas[[#This Row],[Qnt Vendida]]</f>
        <v>3320</v>
      </c>
      <c r="J2301" s="3">
        <f>Vendas[[#This Row],[Valor da Venda]]-(_xlfn.XLOOKUP(Vendas[[#This Row],[ID Item Vendido]],Agregado[ID],Agregado[Custo])*Vendas[[#This Row],[Qnt Vendida]])</f>
        <v>600</v>
      </c>
      <c r="K2301" s="70">
        <f>Vendas[[#This Row],[Lucro da Venda]]/Vendas[[#This Row],[Valor da Venda]]</f>
        <v>0.18072289156626506</v>
      </c>
      <c r="L230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301"/>
    </row>
    <row r="2302" spans="1:13" x14ac:dyDescent="0.3">
      <c r="A2302" s="7">
        <v>400241</v>
      </c>
      <c r="B2302" t="str">
        <f>_xlfn.XLOOKUP(Vendas[[#This Row],[ID Vendedor]],Vendedores[ID],Vendedores[Nome])</f>
        <v>Rodrigo</v>
      </c>
      <c r="C2302" s="7" t="str">
        <f>_xlfn.XLOOKUP(Vendas[[#This Row],[ID Vendedor]],Vendedores[ID],Vendedores[Setor])</f>
        <v>FM</v>
      </c>
      <c r="D2302" s="7" t="s">
        <v>31</v>
      </c>
      <c r="E2302" t="str">
        <f>_xlfn.XLOOKUP(Vendas[[#This Row],[ID Item Vendido]],Agregado[ID],Agregado[Produto])</f>
        <v>Tela de metal soldada rolo 2x25m</v>
      </c>
      <c r="F2302" s="39">
        <v>44987</v>
      </c>
      <c r="G2302" s="7">
        <v>11</v>
      </c>
      <c r="H2302" s="3">
        <f>_xlfn.XLOOKUP(Vendas[[#This Row],[ID Item Vendido]],Agregado[ID],Agregado[Revenda])</f>
        <v>43.7</v>
      </c>
      <c r="I2302" s="3">
        <f>Vendas[[#This Row],[Valor Unitário]]*Vendas[[#This Row],[Qnt Vendida]]</f>
        <v>480.70000000000005</v>
      </c>
      <c r="J2302" s="3">
        <f>Vendas[[#This Row],[Valor da Venda]]-(_xlfn.XLOOKUP(Vendas[[#This Row],[ID Item Vendido]],Agregado[ID],Agregado[Custo])*Vendas[[#This Row],[Qnt Vendida]])</f>
        <v>62.700000000000045</v>
      </c>
      <c r="K2302" s="70">
        <f>Vendas[[#This Row],[Lucro da Venda]]/Vendas[[#This Row],[Valor da Venda]]</f>
        <v>0.13043478260869573</v>
      </c>
      <c r="L2302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2302"/>
    </row>
    <row r="2303" spans="1:13" x14ac:dyDescent="0.3">
      <c r="A2303" s="7">
        <v>400246</v>
      </c>
      <c r="B2303" t="str">
        <f>_xlfn.XLOOKUP(Vendas[[#This Row],[ID Vendedor]],Vendedores[ID],Vendedores[Nome])</f>
        <v>Juliana</v>
      </c>
      <c r="C2303" s="7" t="str">
        <f>_xlfn.XLOOKUP(Vendas[[#This Row],[ID Vendedor]],Vendedores[ID],Vendedores[Setor])</f>
        <v>AHD</v>
      </c>
      <c r="D2303" s="7" t="s">
        <v>44</v>
      </c>
      <c r="E2303" t="str">
        <f>_xlfn.XLOOKUP(Vendas[[#This Row],[ID Item Vendido]],Agregado[ID],Agregado[Produto])</f>
        <v>Liga metálica especial</v>
      </c>
      <c r="F2303" s="39">
        <v>44987</v>
      </c>
      <c r="G2303" s="7">
        <v>5</v>
      </c>
      <c r="H2303" s="3">
        <f>_xlfn.XLOOKUP(Vendas[[#This Row],[ID Item Vendido]],Agregado[ID],Agregado[Revenda])</f>
        <v>32.5</v>
      </c>
      <c r="I2303" s="3">
        <f>Vendas[[#This Row],[Valor Unitário]]*Vendas[[#This Row],[Qnt Vendida]]</f>
        <v>162.5</v>
      </c>
      <c r="J2303" s="3">
        <f>Vendas[[#This Row],[Valor da Venda]]-(_xlfn.XLOOKUP(Vendas[[#This Row],[ID Item Vendido]],Agregado[ID],Agregado[Custo])*Vendas[[#This Row],[Qnt Vendida]])</f>
        <v>37.5</v>
      </c>
      <c r="K2303" s="70">
        <f>Vendas[[#This Row],[Lucro da Venda]]/Vendas[[#This Row],[Valor da Venda]]</f>
        <v>0.23076923076923078</v>
      </c>
      <c r="L2303" s="3">
        <f>_xlfn.IFS(Vendas[[#This Row],[Margem de Lucro (%)]]&lt;15%,Vendas[[#This Row],[Valor da Venda]]*3%,Vendas[[#This Row],[Margem de Lucro (%)]]&lt;=20%,Vendas[[#This Row],[Valor da Venda]]*4.5%,TRUE,Vendas[[#This Row],[Valor da Venda]]*6%)</f>
        <v>9.75</v>
      </c>
      <c r="M2303"/>
    </row>
    <row r="2304" spans="1:13" x14ac:dyDescent="0.3">
      <c r="A2304" s="7">
        <v>400242</v>
      </c>
      <c r="B2304" t="str">
        <f>_xlfn.XLOOKUP(Vendas[[#This Row],[ID Vendedor]],Vendedores[ID],Vendedores[Nome])</f>
        <v>Fernanda</v>
      </c>
      <c r="C2304" s="7" t="str">
        <f>_xlfn.XLOOKUP(Vendas[[#This Row],[ID Vendedor]],Vendedores[ID],Vendedores[Setor])</f>
        <v>FM</v>
      </c>
      <c r="D2304" s="7" t="s">
        <v>31</v>
      </c>
      <c r="E2304" t="str">
        <f>_xlfn.XLOOKUP(Vendas[[#This Row],[ID Item Vendido]],Agregado[ID],Agregado[Produto])</f>
        <v>Tela de metal soldada rolo 2x25m</v>
      </c>
      <c r="F2304" s="39">
        <v>44988</v>
      </c>
      <c r="G2304" s="7">
        <v>13</v>
      </c>
      <c r="H2304" s="3">
        <f>_xlfn.XLOOKUP(Vendas[[#This Row],[ID Item Vendido]],Agregado[ID],Agregado[Revenda])</f>
        <v>43.7</v>
      </c>
      <c r="I2304" s="3">
        <f>Vendas[[#This Row],[Valor Unitário]]*Vendas[[#This Row],[Qnt Vendida]]</f>
        <v>568.1</v>
      </c>
      <c r="J2304" s="3">
        <f>Vendas[[#This Row],[Valor da Venda]]-(_xlfn.XLOOKUP(Vendas[[#This Row],[ID Item Vendido]],Agregado[ID],Agregado[Custo])*Vendas[[#This Row],[Qnt Vendida]])</f>
        <v>74.100000000000023</v>
      </c>
      <c r="K2304" s="70">
        <f>Vendas[[#This Row],[Lucro da Venda]]/Vendas[[#This Row],[Valor da Venda]]</f>
        <v>0.13043478260869568</v>
      </c>
      <c r="L2304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2304"/>
    </row>
    <row r="2305" spans="1:13" x14ac:dyDescent="0.3">
      <c r="A2305" s="7">
        <v>400250</v>
      </c>
      <c r="B2305" t="str">
        <f>_xlfn.XLOOKUP(Vendas[[#This Row],[ID Vendedor]],Vendedores[ID],Vendedores[Nome])</f>
        <v>Larissa</v>
      </c>
      <c r="C2305" s="7" t="str">
        <f>_xlfn.XLOOKUP(Vendas[[#This Row],[ID Vendedor]],Vendedores[ID],Vendedores[Setor])</f>
        <v>AB</v>
      </c>
      <c r="D2305" s="7" t="s">
        <v>37</v>
      </c>
      <c r="E2305" t="str">
        <f>_xlfn.XLOOKUP(Vendas[[#This Row],[ID Item Vendido]],Agregado[ID],Agregado[Produto])</f>
        <v>Composto de borracha para vedação rolo 10m</v>
      </c>
      <c r="F2305" s="39">
        <v>44988</v>
      </c>
      <c r="G2305" s="7">
        <v>4</v>
      </c>
      <c r="H2305" s="3">
        <f>_xlfn.XLOOKUP(Vendas[[#This Row],[ID Item Vendido]],Agregado[ID],Agregado[Revenda])</f>
        <v>51.2</v>
      </c>
      <c r="I2305" s="3">
        <f>Vendas[[#This Row],[Valor Unitário]]*Vendas[[#This Row],[Qnt Vendida]]</f>
        <v>204.8</v>
      </c>
      <c r="J2305" s="3">
        <f>Vendas[[#This Row],[Valor da Venda]]-(_xlfn.XLOOKUP(Vendas[[#This Row],[ID Item Vendido]],Agregado[ID],Agregado[Custo])*Vendas[[#This Row],[Qnt Vendida]])</f>
        <v>44.800000000000011</v>
      </c>
      <c r="K2305" s="70">
        <f>Vendas[[#This Row],[Lucro da Venda]]/Vendas[[#This Row],[Valor da Venda]]</f>
        <v>0.21875000000000006</v>
      </c>
      <c r="L2305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2305"/>
    </row>
    <row r="2306" spans="1:13" x14ac:dyDescent="0.3">
      <c r="A2306" s="7">
        <v>400254</v>
      </c>
      <c r="B2306" t="str">
        <f>_xlfn.XLOOKUP(Vendas[[#This Row],[ID Vendedor]],Vendedores[ID],Vendedores[Nome])</f>
        <v>Beatriz</v>
      </c>
      <c r="C2306" s="7" t="str">
        <f>_xlfn.XLOOKUP(Vendas[[#This Row],[ID Vendedor]],Vendedores[ID],Vendedores[Setor])</f>
        <v>SC</v>
      </c>
      <c r="D2306" s="7" t="s">
        <v>14</v>
      </c>
      <c r="E2306" t="str">
        <f>_xlfn.XLOOKUP(Vendas[[#This Row],[ID Item Vendido]],Agregado[ID],Agregado[Produto])</f>
        <v>Barril de plástico 200L</v>
      </c>
      <c r="F2306" s="39">
        <v>44989</v>
      </c>
      <c r="G2306" s="7">
        <v>14</v>
      </c>
      <c r="H2306" s="3">
        <f>_xlfn.XLOOKUP(Vendas[[#This Row],[ID Item Vendido]],Agregado[ID],Agregado[Revenda])</f>
        <v>114</v>
      </c>
      <c r="I2306" s="3">
        <f>Vendas[[#This Row],[Valor Unitário]]*Vendas[[#This Row],[Qnt Vendida]]</f>
        <v>1596</v>
      </c>
      <c r="J2306" s="3">
        <f>Vendas[[#This Row],[Valor da Venda]]-(_xlfn.XLOOKUP(Vendas[[#This Row],[ID Item Vendido]],Agregado[ID],Agregado[Custo])*Vendas[[#This Row],[Qnt Vendida]])</f>
        <v>266</v>
      </c>
      <c r="K2306" s="70">
        <f>Vendas[[#This Row],[Lucro da Venda]]/Vendas[[#This Row],[Valor da Venda]]</f>
        <v>0.16666666666666666</v>
      </c>
      <c r="L2306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306"/>
    </row>
    <row r="2307" spans="1:13" x14ac:dyDescent="0.3">
      <c r="A2307" s="7">
        <v>400253</v>
      </c>
      <c r="B2307" t="str">
        <f>_xlfn.XLOOKUP(Vendas[[#This Row],[ID Vendedor]],Vendedores[ID],Vendedores[Nome])</f>
        <v>Gustavo</v>
      </c>
      <c r="C2307" s="7" t="str">
        <f>_xlfn.XLOOKUP(Vendas[[#This Row],[ID Vendedor]],Vendedores[ID],Vendedores[Setor])</f>
        <v>SC</v>
      </c>
      <c r="D2307" s="7" t="s">
        <v>14</v>
      </c>
      <c r="E2307" t="str">
        <f>_xlfn.XLOOKUP(Vendas[[#This Row],[ID Item Vendido]],Agregado[ID],Agregado[Produto])</f>
        <v>Barril de plástico 200L</v>
      </c>
      <c r="F2307" s="39">
        <v>44989</v>
      </c>
      <c r="G2307" s="7">
        <v>12</v>
      </c>
      <c r="H2307" s="3">
        <f>_xlfn.XLOOKUP(Vendas[[#This Row],[ID Item Vendido]],Agregado[ID],Agregado[Revenda])</f>
        <v>114</v>
      </c>
      <c r="I2307" s="3">
        <f>Vendas[[#This Row],[Valor Unitário]]*Vendas[[#This Row],[Qnt Vendida]]</f>
        <v>1368</v>
      </c>
      <c r="J2307" s="3">
        <f>Vendas[[#This Row],[Valor da Venda]]-(_xlfn.XLOOKUP(Vendas[[#This Row],[ID Item Vendido]],Agregado[ID],Agregado[Custo])*Vendas[[#This Row],[Qnt Vendida]])</f>
        <v>228</v>
      </c>
      <c r="K2307" s="70">
        <f>Vendas[[#This Row],[Lucro da Venda]]/Vendas[[#This Row],[Valor da Venda]]</f>
        <v>0.16666666666666666</v>
      </c>
      <c r="L2307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2307"/>
    </row>
    <row r="2308" spans="1:13" x14ac:dyDescent="0.3">
      <c r="A2308" s="7">
        <v>400246</v>
      </c>
      <c r="B2308" t="str">
        <f>_xlfn.XLOOKUP(Vendas[[#This Row],[ID Vendedor]],Vendedores[ID],Vendedores[Nome])</f>
        <v>Juliana</v>
      </c>
      <c r="C2308" s="7" t="str">
        <f>_xlfn.XLOOKUP(Vendas[[#This Row],[ID Vendedor]],Vendedores[ID],Vendedores[Setor])</f>
        <v>AHD</v>
      </c>
      <c r="D2308" s="7" t="s">
        <v>28</v>
      </c>
      <c r="E2308" t="str">
        <f>_xlfn.XLOOKUP(Vendas[[#This Row],[ID Item Vendido]],Agregado[ID],Agregado[Produto])</f>
        <v>Peça usinada CNC</v>
      </c>
      <c r="F2308" s="39">
        <v>44990</v>
      </c>
      <c r="G2308" s="7">
        <v>14</v>
      </c>
      <c r="H2308" s="3">
        <f>_xlfn.XLOOKUP(Vendas[[#This Row],[ID Item Vendido]],Agregado[ID],Agregado[Revenda])</f>
        <v>192</v>
      </c>
      <c r="I2308" s="3">
        <f>Vendas[[#This Row],[Valor Unitário]]*Vendas[[#This Row],[Qnt Vendida]]</f>
        <v>2688</v>
      </c>
      <c r="J2308" s="3">
        <f>Vendas[[#This Row],[Valor da Venda]]-(_xlfn.XLOOKUP(Vendas[[#This Row],[ID Item Vendido]],Agregado[ID],Agregado[Custo])*Vendas[[#This Row],[Qnt Vendida]])</f>
        <v>588</v>
      </c>
      <c r="K2308" s="70">
        <f>Vendas[[#This Row],[Lucro da Venda]]/Vendas[[#This Row],[Valor da Venda]]</f>
        <v>0.21875</v>
      </c>
      <c r="L2308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2308"/>
    </row>
    <row r="2309" spans="1:13" x14ac:dyDescent="0.3">
      <c r="A2309" s="7">
        <v>400254</v>
      </c>
      <c r="B2309" t="str">
        <f>_xlfn.XLOOKUP(Vendas[[#This Row],[ID Vendedor]],Vendedores[ID],Vendedores[Nome])</f>
        <v>Beatriz</v>
      </c>
      <c r="C2309" s="7" t="str">
        <f>_xlfn.XLOOKUP(Vendas[[#This Row],[ID Vendedor]],Vendedores[ID],Vendedores[Setor])</f>
        <v>SC</v>
      </c>
      <c r="D2309" s="7" t="s">
        <v>48</v>
      </c>
      <c r="E2309" t="str">
        <f>_xlfn.XLOOKUP(Vendas[[#This Row],[ID Item Vendido]],Agregado[ID],Agregado[Produto])</f>
        <v>Tambor metálico 200L</v>
      </c>
      <c r="F2309" s="39">
        <v>44990</v>
      </c>
      <c r="G2309" s="7">
        <v>10</v>
      </c>
      <c r="H2309" s="3">
        <f>_xlfn.XLOOKUP(Vendas[[#This Row],[ID Item Vendido]],Agregado[ID],Agregado[Revenda])</f>
        <v>144</v>
      </c>
      <c r="I2309" s="3">
        <f>Vendas[[#This Row],[Valor Unitário]]*Vendas[[#This Row],[Qnt Vendida]]</f>
        <v>1440</v>
      </c>
      <c r="J2309" s="3">
        <f>Vendas[[#This Row],[Valor da Venda]]-(_xlfn.XLOOKUP(Vendas[[#This Row],[ID Item Vendido]],Agregado[ID],Agregado[Custo])*Vendas[[#This Row],[Qnt Vendida]])</f>
        <v>240</v>
      </c>
      <c r="K2309" s="70">
        <f>Vendas[[#This Row],[Lucro da Venda]]/Vendas[[#This Row],[Valor da Venda]]</f>
        <v>0.16666666666666666</v>
      </c>
      <c r="L2309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2309"/>
    </row>
    <row r="2310" spans="1:13" x14ac:dyDescent="0.3">
      <c r="A2310" s="7">
        <v>400243</v>
      </c>
      <c r="B2310" t="str">
        <f>_xlfn.XLOOKUP(Vendas[[#This Row],[ID Vendedor]],Vendedores[ID],Vendedores[Nome])</f>
        <v>Marcelo</v>
      </c>
      <c r="C2310" s="7" t="str">
        <f>_xlfn.XLOOKUP(Vendas[[#This Row],[ID Vendedor]],Vendedores[ID],Vendedores[Setor])</f>
        <v>FM</v>
      </c>
      <c r="D2310" s="7" t="s">
        <v>31</v>
      </c>
      <c r="E2310" t="str">
        <f>_xlfn.XLOOKUP(Vendas[[#This Row],[ID Item Vendido]],Agregado[ID],Agregado[Produto])</f>
        <v>Tela de metal soldada rolo 2x25m</v>
      </c>
      <c r="F2310" s="39">
        <v>44990</v>
      </c>
      <c r="G2310" s="7">
        <v>4</v>
      </c>
      <c r="H2310" s="3">
        <f>_xlfn.XLOOKUP(Vendas[[#This Row],[ID Item Vendido]],Agregado[ID],Agregado[Revenda])</f>
        <v>43.7</v>
      </c>
      <c r="I2310" s="3">
        <f>Vendas[[#This Row],[Valor Unitário]]*Vendas[[#This Row],[Qnt Vendida]]</f>
        <v>174.8</v>
      </c>
      <c r="J2310" s="3">
        <f>Vendas[[#This Row],[Valor da Venda]]-(_xlfn.XLOOKUP(Vendas[[#This Row],[ID Item Vendido]],Agregado[ID],Agregado[Custo])*Vendas[[#This Row],[Qnt Vendida]])</f>
        <v>22.800000000000011</v>
      </c>
      <c r="K2310" s="70">
        <f>Vendas[[#This Row],[Lucro da Venda]]/Vendas[[#This Row],[Valor da Venda]]</f>
        <v>0.1304347826086957</v>
      </c>
      <c r="L2310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2310"/>
    </row>
    <row r="2311" spans="1:13" x14ac:dyDescent="0.3">
      <c r="A2311" s="7">
        <v>400254</v>
      </c>
      <c r="B2311" t="str">
        <f>_xlfn.XLOOKUP(Vendas[[#This Row],[ID Vendedor]],Vendedores[ID],Vendedores[Nome])</f>
        <v>Beatriz</v>
      </c>
      <c r="C2311" s="7" t="str">
        <f>_xlfn.XLOOKUP(Vendas[[#This Row],[ID Vendedor]],Vendedores[ID],Vendedores[Setor])</f>
        <v>SC</v>
      </c>
      <c r="D2311" s="7" t="s">
        <v>14</v>
      </c>
      <c r="E2311" t="str">
        <f>_xlfn.XLOOKUP(Vendas[[#This Row],[ID Item Vendido]],Agregado[ID],Agregado[Produto])</f>
        <v>Barril de plástico 200L</v>
      </c>
      <c r="F2311" s="39">
        <v>44991</v>
      </c>
      <c r="G2311" s="7">
        <v>21</v>
      </c>
      <c r="H2311" s="3">
        <f>_xlfn.XLOOKUP(Vendas[[#This Row],[ID Item Vendido]],Agregado[ID],Agregado[Revenda])</f>
        <v>114</v>
      </c>
      <c r="I2311" s="3">
        <f>Vendas[[#This Row],[Valor Unitário]]*Vendas[[#This Row],[Qnt Vendida]]</f>
        <v>2394</v>
      </c>
      <c r="J2311" s="3">
        <f>Vendas[[#This Row],[Valor da Venda]]-(_xlfn.XLOOKUP(Vendas[[#This Row],[ID Item Vendido]],Agregado[ID],Agregado[Custo])*Vendas[[#This Row],[Qnt Vendida]])</f>
        <v>399</v>
      </c>
      <c r="K2311" s="70">
        <f>Vendas[[#This Row],[Lucro da Venda]]/Vendas[[#This Row],[Valor da Venda]]</f>
        <v>0.16666666666666666</v>
      </c>
      <c r="L2311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2311"/>
    </row>
    <row r="2312" spans="1:13" x14ac:dyDescent="0.3">
      <c r="A2312" s="7">
        <v>400248</v>
      </c>
      <c r="B2312" t="str">
        <f>_xlfn.XLOOKUP(Vendas[[#This Row],[ID Vendedor]],Vendedores[ID],Vendedores[Nome])</f>
        <v>Patrícia</v>
      </c>
      <c r="C2312" s="7" t="str">
        <f>_xlfn.XLOOKUP(Vendas[[#This Row],[ID Vendedor]],Vendedores[ID],Vendedores[Setor])</f>
        <v>CM</v>
      </c>
      <c r="D2312" s="7" t="s">
        <v>43</v>
      </c>
      <c r="E2312" t="str">
        <f>_xlfn.XLOOKUP(Vendas[[#This Row],[ID Item Vendido]],Agregado[ID],Agregado[Produto])</f>
        <v>Madeira Bruta (Tora)</v>
      </c>
      <c r="F2312" s="39">
        <v>44991</v>
      </c>
      <c r="G2312" s="7">
        <v>6</v>
      </c>
      <c r="H2312" s="3">
        <f>_xlfn.XLOOKUP(Vendas[[#This Row],[ID Item Vendido]],Agregado[ID],Agregado[Revenda])</f>
        <v>212</v>
      </c>
      <c r="I2312" s="3">
        <f>Vendas[[#This Row],[Valor Unitário]]*Vendas[[#This Row],[Qnt Vendida]]</f>
        <v>1272</v>
      </c>
      <c r="J2312" s="3">
        <f>Vendas[[#This Row],[Valor da Venda]]-(_xlfn.XLOOKUP(Vendas[[#This Row],[ID Item Vendido]],Agregado[ID],Agregado[Custo])*Vendas[[#This Row],[Qnt Vendida]])</f>
        <v>192</v>
      </c>
      <c r="K2312" s="70">
        <f>Vendas[[#This Row],[Lucro da Venda]]/Vendas[[#This Row],[Valor da Venda]]</f>
        <v>0.15094339622641509</v>
      </c>
      <c r="L2312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2312"/>
    </row>
    <row r="2313" spans="1:13" x14ac:dyDescent="0.3">
      <c r="A2313" s="7">
        <v>400246</v>
      </c>
      <c r="B2313" t="str">
        <f>_xlfn.XLOOKUP(Vendas[[#This Row],[ID Vendedor]],Vendedores[ID],Vendedores[Nome])</f>
        <v>Juliana</v>
      </c>
      <c r="C2313" s="7" t="str">
        <f>_xlfn.XLOOKUP(Vendas[[#This Row],[ID Vendedor]],Vendedores[ID],Vendedores[Setor])</f>
        <v>AHD</v>
      </c>
      <c r="D2313" s="7" t="s">
        <v>44</v>
      </c>
      <c r="E2313" t="str">
        <f>_xlfn.XLOOKUP(Vendas[[#This Row],[ID Item Vendido]],Agregado[ID],Agregado[Produto])</f>
        <v>Liga metálica especial</v>
      </c>
      <c r="F2313" s="39">
        <v>44991</v>
      </c>
      <c r="G2313" s="7">
        <v>35</v>
      </c>
      <c r="H2313" s="3">
        <f>_xlfn.XLOOKUP(Vendas[[#This Row],[ID Item Vendido]],Agregado[ID],Agregado[Revenda])</f>
        <v>32.5</v>
      </c>
      <c r="I2313" s="3">
        <f>Vendas[[#This Row],[Valor Unitário]]*Vendas[[#This Row],[Qnt Vendida]]</f>
        <v>1137.5</v>
      </c>
      <c r="J2313" s="3">
        <f>Vendas[[#This Row],[Valor da Venda]]-(_xlfn.XLOOKUP(Vendas[[#This Row],[ID Item Vendido]],Agregado[ID],Agregado[Custo])*Vendas[[#This Row],[Qnt Vendida]])</f>
        <v>262.5</v>
      </c>
      <c r="K2313" s="70">
        <f>Vendas[[#This Row],[Lucro da Venda]]/Vendas[[#This Row],[Valor da Venda]]</f>
        <v>0.23076923076923078</v>
      </c>
      <c r="L2313" s="3">
        <f>_xlfn.IFS(Vendas[[#This Row],[Margem de Lucro (%)]]&lt;15%,Vendas[[#This Row],[Valor da Venda]]*3%,Vendas[[#This Row],[Margem de Lucro (%)]]&lt;=20%,Vendas[[#This Row],[Valor da Venda]]*4.5%,TRUE,Vendas[[#This Row],[Valor da Venda]]*6%)</f>
        <v>68.25</v>
      </c>
      <c r="M2313"/>
    </row>
    <row r="2314" spans="1:13" x14ac:dyDescent="0.3">
      <c r="A2314" s="7">
        <v>400248</v>
      </c>
      <c r="B2314" t="str">
        <f>_xlfn.XLOOKUP(Vendas[[#This Row],[ID Vendedor]],Vendedores[ID],Vendedores[Nome])</f>
        <v>Patrícia</v>
      </c>
      <c r="C2314" s="7" t="str">
        <f>_xlfn.XLOOKUP(Vendas[[#This Row],[ID Vendedor]],Vendedores[ID],Vendedores[Setor])</f>
        <v>CM</v>
      </c>
      <c r="D2314" s="7" t="s">
        <v>45</v>
      </c>
      <c r="E2314" t="str">
        <f>_xlfn.XLOOKUP(Vendas[[#This Row],[ID Item Vendido]],Agregado[ID],Agregado[Produto])</f>
        <v>Viga de madeira tratada 4m</v>
      </c>
      <c r="F2314" s="39">
        <v>44991</v>
      </c>
      <c r="G2314" s="7">
        <v>9</v>
      </c>
      <c r="H2314" s="3">
        <f>_xlfn.XLOOKUP(Vendas[[#This Row],[ID Item Vendido]],Agregado[ID],Agregado[Revenda])</f>
        <v>66</v>
      </c>
      <c r="I2314" s="3">
        <f>Vendas[[#This Row],[Valor Unitário]]*Vendas[[#This Row],[Qnt Vendida]]</f>
        <v>594</v>
      </c>
      <c r="J2314" s="3">
        <f>Vendas[[#This Row],[Valor da Venda]]-(_xlfn.XLOOKUP(Vendas[[#This Row],[ID Item Vendido]],Agregado[ID],Agregado[Custo])*Vendas[[#This Row],[Qnt Vendida]])</f>
        <v>99</v>
      </c>
      <c r="K2314" s="70">
        <f>Vendas[[#This Row],[Lucro da Venda]]/Vendas[[#This Row],[Valor da Venda]]</f>
        <v>0.16666666666666666</v>
      </c>
      <c r="L2314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2314"/>
    </row>
    <row r="2315" spans="1:13" x14ac:dyDescent="0.3">
      <c r="A2315" s="7">
        <v>400241</v>
      </c>
      <c r="B2315" t="str">
        <f>_xlfn.XLOOKUP(Vendas[[#This Row],[ID Vendedor]],Vendedores[ID],Vendedores[Nome])</f>
        <v>Rodrigo</v>
      </c>
      <c r="C2315" s="7" t="str">
        <f>_xlfn.XLOOKUP(Vendas[[#This Row],[ID Vendedor]],Vendedores[ID],Vendedores[Setor])</f>
        <v>FM</v>
      </c>
      <c r="D2315" s="7" t="s">
        <v>6</v>
      </c>
      <c r="E2315" t="str">
        <f>_xlfn.XLOOKUP(Vendas[[#This Row],[ID Item Vendido]],Agregado[ID],Agregado[Produto])</f>
        <v>Parafuso comum 500un</v>
      </c>
      <c r="F2315" s="39">
        <v>44991</v>
      </c>
      <c r="G2315" s="7">
        <v>11</v>
      </c>
      <c r="H2315" s="3">
        <f>_xlfn.XLOOKUP(Vendas[[#This Row],[ID Item Vendido]],Agregado[ID],Agregado[Revenda])</f>
        <v>24.6</v>
      </c>
      <c r="I2315" s="3">
        <f>Vendas[[#This Row],[Valor Unitário]]*Vendas[[#This Row],[Qnt Vendida]]</f>
        <v>270.60000000000002</v>
      </c>
      <c r="J2315" s="3">
        <f>Vendas[[#This Row],[Valor da Venda]]-(_xlfn.XLOOKUP(Vendas[[#This Row],[ID Item Vendido]],Agregado[ID],Agregado[Custo])*Vendas[[#This Row],[Qnt Vendida]])</f>
        <v>28.600000000000023</v>
      </c>
      <c r="K2315" s="70">
        <f>Vendas[[#This Row],[Lucro da Venda]]/Vendas[[#This Row],[Valor da Venda]]</f>
        <v>0.10569105691056918</v>
      </c>
      <c r="L2315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2315"/>
    </row>
    <row r="2316" spans="1:13" x14ac:dyDescent="0.3">
      <c r="A2316" s="7">
        <v>400249</v>
      </c>
      <c r="B2316" t="str">
        <f>_xlfn.XLOOKUP(Vendas[[#This Row],[ID Vendedor]],Vendedores[ID],Vendedores[Nome])</f>
        <v>Bruno</v>
      </c>
      <c r="C2316" s="7" t="str">
        <f>_xlfn.XLOOKUP(Vendas[[#This Row],[ID Vendedor]],Vendedores[ID],Vendedores[Setor])</f>
        <v>CM</v>
      </c>
      <c r="D2316" s="7" t="s">
        <v>34</v>
      </c>
      <c r="E2316" t="str">
        <f>_xlfn.XLOOKUP(Vendas[[#This Row],[ID Item Vendido]],Agregado[ID],Agregado[Produto])</f>
        <v>Restos de madeira p/ MDP/OSB saco de 20kg</v>
      </c>
      <c r="F2316" s="39">
        <v>44991</v>
      </c>
      <c r="G2316" s="7">
        <v>15</v>
      </c>
      <c r="H2316" s="3">
        <f>_xlfn.XLOOKUP(Vendas[[#This Row],[ID Item Vendido]],Agregado[ID],Agregado[Revenda])</f>
        <v>13.8</v>
      </c>
      <c r="I2316" s="3">
        <f>Vendas[[#This Row],[Valor Unitário]]*Vendas[[#This Row],[Qnt Vendida]]</f>
        <v>207</v>
      </c>
      <c r="J2316" s="3">
        <f>Vendas[[#This Row],[Valor da Venda]]-(_xlfn.XLOOKUP(Vendas[[#This Row],[ID Item Vendido]],Agregado[ID],Agregado[Custo])*Vendas[[#This Row],[Qnt Vendida]])</f>
        <v>27</v>
      </c>
      <c r="K2316" s="70">
        <f>Vendas[[#This Row],[Lucro da Venda]]/Vendas[[#This Row],[Valor da Venda]]</f>
        <v>0.13043478260869565</v>
      </c>
      <c r="L2316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2316"/>
    </row>
    <row r="2317" spans="1:13" x14ac:dyDescent="0.3">
      <c r="A2317" s="7">
        <v>400249</v>
      </c>
      <c r="B2317" t="str">
        <f>_xlfn.XLOOKUP(Vendas[[#This Row],[ID Vendedor]],Vendedores[ID],Vendedores[Nome])</f>
        <v>Bruno</v>
      </c>
      <c r="C2317" s="7" t="str">
        <f>_xlfn.XLOOKUP(Vendas[[#This Row],[ID Vendedor]],Vendedores[ID],Vendedores[Setor])</f>
        <v>CM</v>
      </c>
      <c r="D2317" s="7" t="s">
        <v>34</v>
      </c>
      <c r="E2317" t="str">
        <f>_xlfn.XLOOKUP(Vendas[[#This Row],[ID Item Vendido]],Agregado[ID],Agregado[Produto])</f>
        <v>Restos de madeira p/ MDP/OSB saco de 20kg</v>
      </c>
      <c r="F2317" s="39">
        <v>44993</v>
      </c>
      <c r="G2317" s="7">
        <v>4</v>
      </c>
      <c r="H2317" s="3">
        <f>_xlfn.XLOOKUP(Vendas[[#This Row],[ID Item Vendido]],Agregado[ID],Agregado[Revenda])</f>
        <v>13.8</v>
      </c>
      <c r="I2317" s="3">
        <f>Vendas[[#This Row],[Valor Unitário]]*Vendas[[#This Row],[Qnt Vendida]]</f>
        <v>55.2</v>
      </c>
      <c r="J2317" s="3">
        <f>Vendas[[#This Row],[Valor da Venda]]-(_xlfn.XLOOKUP(Vendas[[#This Row],[ID Item Vendido]],Agregado[ID],Agregado[Custo])*Vendas[[#This Row],[Qnt Vendida]])</f>
        <v>7.2000000000000028</v>
      </c>
      <c r="K2317" s="70">
        <f>Vendas[[#This Row],[Lucro da Venda]]/Vendas[[#This Row],[Valor da Venda]]</f>
        <v>0.1304347826086957</v>
      </c>
      <c r="L2317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2317"/>
    </row>
    <row r="2318" spans="1:13" x14ac:dyDescent="0.3">
      <c r="A2318" s="7">
        <v>400246</v>
      </c>
      <c r="B2318" t="str">
        <f>_xlfn.XLOOKUP(Vendas[[#This Row],[ID Vendedor]],Vendedores[ID],Vendedores[Nome])</f>
        <v>Juliana</v>
      </c>
      <c r="C2318" s="7" t="str">
        <f>_xlfn.XLOOKUP(Vendas[[#This Row],[ID Vendedor]],Vendedores[ID],Vendedores[Setor])</f>
        <v>AHD</v>
      </c>
      <c r="D2318" s="7" t="s">
        <v>44</v>
      </c>
      <c r="E2318" t="str">
        <f>_xlfn.XLOOKUP(Vendas[[#This Row],[ID Item Vendido]],Agregado[ID],Agregado[Produto])</f>
        <v>Liga metálica especial</v>
      </c>
      <c r="F2318" s="39">
        <v>44994</v>
      </c>
      <c r="G2318" s="7">
        <v>43</v>
      </c>
      <c r="H2318" s="3">
        <f>_xlfn.XLOOKUP(Vendas[[#This Row],[ID Item Vendido]],Agregado[ID],Agregado[Revenda])</f>
        <v>32.5</v>
      </c>
      <c r="I2318" s="3">
        <f>Vendas[[#This Row],[Valor Unitário]]*Vendas[[#This Row],[Qnt Vendida]]</f>
        <v>1397.5</v>
      </c>
      <c r="J2318" s="3">
        <f>Vendas[[#This Row],[Valor da Venda]]-(_xlfn.XLOOKUP(Vendas[[#This Row],[ID Item Vendido]],Agregado[ID],Agregado[Custo])*Vendas[[#This Row],[Qnt Vendida]])</f>
        <v>322.5</v>
      </c>
      <c r="K2318" s="70">
        <f>Vendas[[#This Row],[Lucro da Venda]]/Vendas[[#This Row],[Valor da Venda]]</f>
        <v>0.23076923076923078</v>
      </c>
      <c r="L2318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2318"/>
    </row>
    <row r="2319" spans="1:13" x14ac:dyDescent="0.3">
      <c r="A2319" s="7">
        <v>400242</v>
      </c>
      <c r="B2319" t="str">
        <f>_xlfn.XLOOKUP(Vendas[[#This Row],[ID Vendedor]],Vendedores[ID],Vendedores[Nome])</f>
        <v>Fernanda</v>
      </c>
      <c r="C2319" s="7" t="str">
        <f>_xlfn.XLOOKUP(Vendas[[#This Row],[ID Vendedor]],Vendedores[ID],Vendedores[Setor])</f>
        <v>FM</v>
      </c>
      <c r="D2319" s="7" t="s">
        <v>47</v>
      </c>
      <c r="E2319" t="str">
        <f>_xlfn.XLOOKUP(Vendas[[#This Row],[ID Item Vendido]],Agregado[ID],Agregado[Produto])</f>
        <v>Fio de arame galvanizado rolo 50m</v>
      </c>
      <c r="F2319" s="39">
        <v>44994</v>
      </c>
      <c r="G2319" s="7">
        <v>15</v>
      </c>
      <c r="H2319" s="3">
        <f>_xlfn.XLOOKUP(Vendas[[#This Row],[ID Item Vendido]],Agregado[ID],Agregado[Revenda])</f>
        <v>21.2</v>
      </c>
      <c r="I2319" s="3">
        <f>Vendas[[#This Row],[Valor Unitário]]*Vendas[[#This Row],[Qnt Vendida]]</f>
        <v>318</v>
      </c>
      <c r="J2319" s="3">
        <f>Vendas[[#This Row],[Valor da Venda]]-(_xlfn.XLOOKUP(Vendas[[#This Row],[ID Item Vendido]],Agregado[ID],Agregado[Custo])*Vendas[[#This Row],[Qnt Vendida]])</f>
        <v>48</v>
      </c>
      <c r="K2319" s="70">
        <f>Vendas[[#This Row],[Lucro da Venda]]/Vendas[[#This Row],[Valor da Venda]]</f>
        <v>0.15094339622641509</v>
      </c>
      <c r="L2319" s="3">
        <f>_xlfn.IFS(Vendas[[#This Row],[Margem de Lucro (%)]]&lt;15%,Vendas[[#This Row],[Valor da Venda]]*3%,Vendas[[#This Row],[Margem de Lucro (%)]]&lt;=20%,Vendas[[#This Row],[Valor da Venda]]*4.5%,TRUE,Vendas[[#This Row],[Valor da Venda]]*6%)</f>
        <v>14.309999999999999</v>
      </c>
      <c r="M2319"/>
    </row>
    <row r="2320" spans="1:13" x14ac:dyDescent="0.3">
      <c r="A2320" s="7">
        <v>400241</v>
      </c>
      <c r="B2320" t="str">
        <f>_xlfn.XLOOKUP(Vendas[[#This Row],[ID Vendedor]],Vendedores[ID],Vendedores[Nome])</f>
        <v>Rodrigo</v>
      </c>
      <c r="C2320" s="7" t="str">
        <f>_xlfn.XLOOKUP(Vendas[[#This Row],[ID Vendedor]],Vendedores[ID],Vendedores[Setor])</f>
        <v>FM</v>
      </c>
      <c r="D2320" s="7" t="s">
        <v>27</v>
      </c>
      <c r="E2320" t="str">
        <f>_xlfn.XLOOKUP(Vendas[[#This Row],[ID Item Vendido]],Agregado[ID],Agregado[Produto])</f>
        <v>Chapa de metal lisa 1x2m</v>
      </c>
      <c r="F2320" s="39">
        <v>44995</v>
      </c>
      <c r="G2320" s="7">
        <v>25</v>
      </c>
      <c r="H2320" s="3">
        <f>_xlfn.XLOOKUP(Vendas[[#This Row],[ID Item Vendido]],Agregado[ID],Agregado[Revenda])</f>
        <v>52</v>
      </c>
      <c r="I2320" s="3">
        <f>Vendas[[#This Row],[Valor Unitário]]*Vendas[[#This Row],[Qnt Vendida]]</f>
        <v>1300</v>
      </c>
      <c r="J2320" s="3">
        <f>Vendas[[#This Row],[Valor da Venda]]-(_xlfn.XLOOKUP(Vendas[[#This Row],[ID Item Vendido]],Agregado[ID],Agregado[Custo])*Vendas[[#This Row],[Qnt Vendida]])</f>
        <v>175</v>
      </c>
      <c r="K2320" s="70">
        <f>Vendas[[#This Row],[Lucro da Venda]]/Vendas[[#This Row],[Valor da Venda]]</f>
        <v>0.13461538461538461</v>
      </c>
      <c r="L2320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2320"/>
    </row>
    <row r="2321" spans="1:13" x14ac:dyDescent="0.3">
      <c r="A2321" s="7">
        <v>400241</v>
      </c>
      <c r="B2321" t="str">
        <f>_xlfn.XLOOKUP(Vendas[[#This Row],[ID Vendedor]],Vendedores[ID],Vendedores[Nome])</f>
        <v>Rodrigo</v>
      </c>
      <c r="C2321" s="7" t="str">
        <f>_xlfn.XLOOKUP(Vendas[[#This Row],[ID Vendedor]],Vendedores[ID],Vendedores[Setor])</f>
        <v>FM</v>
      </c>
      <c r="D2321" s="7" t="s">
        <v>20</v>
      </c>
      <c r="E2321" t="str">
        <f>_xlfn.XLOOKUP(Vendas[[#This Row],[ID Item Vendido]],Agregado[ID],Agregado[Produto])</f>
        <v>Barra de aço simples</v>
      </c>
      <c r="F2321" s="39">
        <v>44995</v>
      </c>
      <c r="G2321" s="7">
        <v>174</v>
      </c>
      <c r="H2321" s="3">
        <f>_xlfn.XLOOKUP(Vendas[[#This Row],[ID Item Vendido]],Agregado[ID],Agregado[Revenda])</f>
        <v>4.8</v>
      </c>
      <c r="I2321" s="3">
        <f>Vendas[[#This Row],[Valor Unitário]]*Vendas[[#This Row],[Qnt Vendida]]</f>
        <v>835.19999999999993</v>
      </c>
      <c r="J2321" s="3">
        <f>Vendas[[#This Row],[Valor da Venda]]-(_xlfn.XLOOKUP(Vendas[[#This Row],[ID Item Vendido]],Agregado[ID],Agregado[Custo])*Vendas[[#This Row],[Qnt Vendida]])</f>
        <v>104.39999999999986</v>
      </c>
      <c r="K2321" s="70">
        <f>Vendas[[#This Row],[Lucro da Venda]]/Vendas[[#This Row],[Valor da Venda]]</f>
        <v>0.12499999999999985</v>
      </c>
      <c r="L2321" s="3">
        <f>_xlfn.IFS(Vendas[[#This Row],[Margem de Lucro (%)]]&lt;15%,Vendas[[#This Row],[Valor da Venda]]*3%,Vendas[[#This Row],[Margem de Lucro (%)]]&lt;=20%,Vendas[[#This Row],[Valor da Venda]]*4.5%,TRUE,Vendas[[#This Row],[Valor da Venda]]*6%)</f>
        <v>25.055999999999997</v>
      </c>
      <c r="M2321"/>
    </row>
    <row r="2322" spans="1:13" x14ac:dyDescent="0.3">
      <c r="A2322" s="7">
        <v>400253</v>
      </c>
      <c r="B2322" t="str">
        <f>_xlfn.XLOOKUP(Vendas[[#This Row],[ID Vendedor]],Vendedores[ID],Vendedores[Nome])</f>
        <v>Gustavo</v>
      </c>
      <c r="C2322" s="7" t="str">
        <f>_xlfn.XLOOKUP(Vendas[[#This Row],[ID Vendedor]],Vendedores[ID],Vendedores[Setor])</f>
        <v>SC</v>
      </c>
      <c r="D2322" s="7" t="s">
        <v>48</v>
      </c>
      <c r="E2322" t="str">
        <f>_xlfn.XLOOKUP(Vendas[[#This Row],[ID Item Vendido]],Agregado[ID],Agregado[Produto])</f>
        <v>Tambor metálico 200L</v>
      </c>
      <c r="F2322" s="39">
        <v>44996</v>
      </c>
      <c r="G2322" s="7">
        <v>9</v>
      </c>
      <c r="H2322" s="3">
        <f>_xlfn.XLOOKUP(Vendas[[#This Row],[ID Item Vendido]],Agregado[ID],Agregado[Revenda])</f>
        <v>144</v>
      </c>
      <c r="I2322" s="3">
        <f>Vendas[[#This Row],[Valor Unitário]]*Vendas[[#This Row],[Qnt Vendida]]</f>
        <v>1296</v>
      </c>
      <c r="J2322" s="3">
        <f>Vendas[[#This Row],[Valor da Venda]]-(_xlfn.XLOOKUP(Vendas[[#This Row],[ID Item Vendido]],Agregado[ID],Agregado[Custo])*Vendas[[#This Row],[Qnt Vendida]])</f>
        <v>216</v>
      </c>
      <c r="K2322" s="70">
        <f>Vendas[[#This Row],[Lucro da Venda]]/Vendas[[#This Row],[Valor da Venda]]</f>
        <v>0.16666666666666666</v>
      </c>
      <c r="L2322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2322"/>
    </row>
    <row r="2323" spans="1:13" x14ac:dyDescent="0.3">
      <c r="A2323" s="7">
        <v>400248</v>
      </c>
      <c r="B2323" t="str">
        <f>_xlfn.XLOOKUP(Vendas[[#This Row],[ID Vendedor]],Vendedores[ID],Vendedores[Nome])</f>
        <v>Patrícia</v>
      </c>
      <c r="C2323" s="7" t="str">
        <f>_xlfn.XLOOKUP(Vendas[[#This Row],[ID Vendedor]],Vendedores[ID],Vendedores[Setor])</f>
        <v>CM</v>
      </c>
      <c r="D2323" s="7" t="s">
        <v>43</v>
      </c>
      <c r="E2323" t="str">
        <f>_xlfn.XLOOKUP(Vendas[[#This Row],[ID Item Vendido]],Agregado[ID],Agregado[Produto])</f>
        <v>Madeira Bruta (Tora)</v>
      </c>
      <c r="F2323" s="39">
        <v>44996</v>
      </c>
      <c r="G2323" s="7">
        <v>6</v>
      </c>
      <c r="H2323" s="3">
        <f>_xlfn.XLOOKUP(Vendas[[#This Row],[ID Item Vendido]],Agregado[ID],Agregado[Revenda])</f>
        <v>212</v>
      </c>
      <c r="I2323" s="3">
        <f>Vendas[[#This Row],[Valor Unitário]]*Vendas[[#This Row],[Qnt Vendida]]</f>
        <v>1272</v>
      </c>
      <c r="J2323" s="3">
        <f>Vendas[[#This Row],[Valor da Venda]]-(_xlfn.XLOOKUP(Vendas[[#This Row],[ID Item Vendido]],Agregado[ID],Agregado[Custo])*Vendas[[#This Row],[Qnt Vendida]])</f>
        <v>192</v>
      </c>
      <c r="K2323" s="70">
        <f>Vendas[[#This Row],[Lucro da Venda]]/Vendas[[#This Row],[Valor da Venda]]</f>
        <v>0.15094339622641509</v>
      </c>
      <c r="L2323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2323"/>
    </row>
    <row r="2324" spans="1:13" x14ac:dyDescent="0.3">
      <c r="A2324" s="7">
        <v>400250</v>
      </c>
      <c r="B2324" t="str">
        <f>_xlfn.XLOOKUP(Vendas[[#This Row],[ID Vendedor]],Vendedores[ID],Vendedores[Nome])</f>
        <v>Larissa</v>
      </c>
      <c r="C2324" s="7" t="str">
        <f>_xlfn.XLOOKUP(Vendas[[#This Row],[ID Vendedor]],Vendedores[ID],Vendedores[Setor])</f>
        <v>AB</v>
      </c>
      <c r="D2324" s="7" t="s">
        <v>39</v>
      </c>
      <c r="E2324" t="str">
        <f>_xlfn.XLOOKUP(Vendas[[#This Row],[ID Item Vendido]],Agregado[ID],Agregado[Produto])</f>
        <v>Filme plástico industrial rolo 50m</v>
      </c>
      <c r="F2324" s="39">
        <v>44996</v>
      </c>
      <c r="G2324" s="7">
        <v>4</v>
      </c>
      <c r="H2324" s="3">
        <f>_xlfn.XLOOKUP(Vendas[[#This Row],[ID Item Vendido]],Agregado[ID],Agregado[Revenda])</f>
        <v>37</v>
      </c>
      <c r="I2324" s="3">
        <f>Vendas[[#This Row],[Valor Unitário]]*Vendas[[#This Row],[Qnt Vendida]]</f>
        <v>148</v>
      </c>
      <c r="J2324" s="3">
        <f>Vendas[[#This Row],[Valor da Venda]]-(_xlfn.XLOOKUP(Vendas[[#This Row],[ID Item Vendido]],Agregado[ID],Agregado[Custo])*Vendas[[#This Row],[Qnt Vendida]])</f>
        <v>36</v>
      </c>
      <c r="K2324" s="70">
        <f>Vendas[[#This Row],[Lucro da Venda]]/Vendas[[#This Row],[Valor da Venda]]</f>
        <v>0.24324324324324326</v>
      </c>
      <c r="L2324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2324"/>
    </row>
    <row r="2325" spans="1:13" x14ac:dyDescent="0.3">
      <c r="A2325" s="7">
        <v>400251</v>
      </c>
      <c r="B2325" t="str">
        <f>_xlfn.XLOOKUP(Vendas[[#This Row],[ID Vendedor]],Vendedores[ID],Vendedores[Nome])</f>
        <v>Diego</v>
      </c>
      <c r="C2325" s="7" t="str">
        <f>_xlfn.XLOOKUP(Vendas[[#This Row],[ID Vendedor]],Vendedores[ID],Vendedores[Setor])</f>
        <v>AB</v>
      </c>
      <c r="D2325" s="7" t="s">
        <v>36</v>
      </c>
      <c r="E2325" t="str">
        <f>_xlfn.XLOOKUP(Vendas[[#This Row],[ID Item Vendido]],Agregado[ID],Agregado[Produto])</f>
        <v>Borracha vulcanizada em manta</v>
      </c>
      <c r="F2325" s="39">
        <v>44997</v>
      </c>
      <c r="G2325" s="7">
        <v>38</v>
      </c>
      <c r="H2325" s="3">
        <f>_xlfn.XLOOKUP(Vendas[[#This Row],[ID Item Vendido]],Agregado[ID],Agregado[Revenda])</f>
        <v>7.8</v>
      </c>
      <c r="I2325" s="3">
        <f>Vendas[[#This Row],[Valor Unitário]]*Vendas[[#This Row],[Qnt Vendida]]</f>
        <v>296.39999999999998</v>
      </c>
      <c r="J2325" s="3">
        <f>Vendas[[#This Row],[Valor da Venda]]-(_xlfn.XLOOKUP(Vendas[[#This Row],[ID Item Vendido]],Agregado[ID],Agregado[Custo])*Vendas[[#This Row],[Qnt Vendida]])</f>
        <v>68.399999999999977</v>
      </c>
      <c r="K2325" s="70">
        <f>Vendas[[#This Row],[Lucro da Venda]]/Vendas[[#This Row],[Valor da Venda]]</f>
        <v>0.2307692307692307</v>
      </c>
      <c r="L2325" s="3">
        <f>_xlfn.IFS(Vendas[[#This Row],[Margem de Lucro (%)]]&lt;15%,Vendas[[#This Row],[Valor da Venda]]*3%,Vendas[[#This Row],[Margem de Lucro (%)]]&lt;=20%,Vendas[[#This Row],[Valor da Venda]]*4.5%,TRUE,Vendas[[#This Row],[Valor da Venda]]*6%)</f>
        <v>17.783999999999999</v>
      </c>
      <c r="M2325"/>
    </row>
    <row r="2326" spans="1:13" x14ac:dyDescent="0.3">
      <c r="A2326" s="7">
        <v>400247</v>
      </c>
      <c r="B2326" t="str">
        <f>_xlfn.XLOOKUP(Vendas[[#This Row],[ID Vendedor]],Vendedores[ID],Vendedores[Nome])</f>
        <v>André</v>
      </c>
      <c r="C2326" s="7" t="str">
        <f>_xlfn.XLOOKUP(Vendas[[#This Row],[ID Vendedor]],Vendedores[ID],Vendedores[Setor])</f>
        <v>CM</v>
      </c>
      <c r="D2326" s="7" t="s">
        <v>32</v>
      </c>
      <c r="E2326" t="str">
        <f>_xlfn.XLOOKUP(Vendas[[#This Row],[ID Item Vendido]],Agregado[ID],Agregado[Produto])</f>
        <v>Tábua tratada e cortada 3m</v>
      </c>
      <c r="F2326" s="39">
        <v>44997</v>
      </c>
      <c r="G2326" s="7">
        <v>6</v>
      </c>
      <c r="H2326" s="3">
        <f>_xlfn.XLOOKUP(Vendas[[#This Row],[ID Item Vendido]],Agregado[ID],Agregado[Revenda])</f>
        <v>39</v>
      </c>
      <c r="I2326" s="3">
        <f>Vendas[[#This Row],[Valor Unitário]]*Vendas[[#This Row],[Qnt Vendida]]</f>
        <v>234</v>
      </c>
      <c r="J2326" s="3">
        <f>Vendas[[#This Row],[Valor da Venda]]-(_xlfn.XLOOKUP(Vendas[[#This Row],[ID Item Vendido]],Agregado[ID],Agregado[Custo])*Vendas[[#This Row],[Qnt Vendida]])</f>
        <v>42</v>
      </c>
      <c r="K2326" s="70">
        <f>Vendas[[#This Row],[Lucro da Venda]]/Vendas[[#This Row],[Valor da Venda]]</f>
        <v>0.17948717948717949</v>
      </c>
      <c r="L2326" s="3">
        <f>_xlfn.IFS(Vendas[[#This Row],[Margem de Lucro (%)]]&lt;15%,Vendas[[#This Row],[Valor da Venda]]*3%,Vendas[[#This Row],[Margem de Lucro (%)]]&lt;=20%,Vendas[[#This Row],[Valor da Venda]]*4.5%,TRUE,Vendas[[#This Row],[Valor da Venda]]*6%)</f>
        <v>10.53</v>
      </c>
      <c r="M2326"/>
    </row>
    <row r="2327" spans="1:13" x14ac:dyDescent="0.3">
      <c r="A2327" s="7">
        <v>400242</v>
      </c>
      <c r="B2327" t="str">
        <f>_xlfn.XLOOKUP(Vendas[[#This Row],[ID Vendedor]],Vendedores[ID],Vendedores[Nome])</f>
        <v>Fernanda</v>
      </c>
      <c r="C2327" s="7" t="str">
        <f>_xlfn.XLOOKUP(Vendas[[#This Row],[ID Vendedor]],Vendedores[ID],Vendedores[Setor])</f>
        <v>FM</v>
      </c>
      <c r="D2327" s="7" t="s">
        <v>31</v>
      </c>
      <c r="E2327" t="str">
        <f>_xlfn.XLOOKUP(Vendas[[#This Row],[ID Item Vendido]],Agregado[ID],Agregado[Produto])</f>
        <v>Tela de metal soldada rolo 2x25m</v>
      </c>
      <c r="F2327" s="39">
        <v>44997</v>
      </c>
      <c r="G2327" s="7">
        <v>2</v>
      </c>
      <c r="H2327" s="3">
        <f>_xlfn.XLOOKUP(Vendas[[#This Row],[ID Item Vendido]],Agregado[ID],Agregado[Revenda])</f>
        <v>43.7</v>
      </c>
      <c r="I2327" s="3">
        <f>Vendas[[#This Row],[Valor Unitário]]*Vendas[[#This Row],[Qnt Vendida]]</f>
        <v>87.4</v>
      </c>
      <c r="J2327" s="3">
        <f>Vendas[[#This Row],[Valor da Venda]]-(_xlfn.XLOOKUP(Vendas[[#This Row],[ID Item Vendido]],Agregado[ID],Agregado[Custo])*Vendas[[#This Row],[Qnt Vendida]])</f>
        <v>11.400000000000006</v>
      </c>
      <c r="K2327" s="70">
        <f>Vendas[[#This Row],[Lucro da Venda]]/Vendas[[#This Row],[Valor da Venda]]</f>
        <v>0.1304347826086957</v>
      </c>
      <c r="L2327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2327"/>
    </row>
    <row r="2328" spans="1:13" x14ac:dyDescent="0.3">
      <c r="A2328" s="7">
        <v>400248</v>
      </c>
      <c r="B2328" t="str">
        <f>_xlfn.XLOOKUP(Vendas[[#This Row],[ID Vendedor]],Vendedores[ID],Vendedores[Nome])</f>
        <v>Patrícia</v>
      </c>
      <c r="C2328" s="7" t="str">
        <f>_xlfn.XLOOKUP(Vendas[[#This Row],[ID Vendedor]],Vendedores[ID],Vendedores[Setor])</f>
        <v>CM</v>
      </c>
      <c r="D2328" s="7" t="s">
        <v>22</v>
      </c>
      <c r="E2328" t="str">
        <f>_xlfn.XLOOKUP(Vendas[[#This Row],[ID Item Vendido]],Agregado[ID],Agregado[Produto])</f>
        <v>Painel MDP 2,75x1,83m</v>
      </c>
      <c r="F2328" s="39">
        <v>44998</v>
      </c>
      <c r="G2328" s="7">
        <v>14</v>
      </c>
      <c r="H2328" s="3">
        <f>_xlfn.XLOOKUP(Vendas[[#This Row],[ID Item Vendido]],Agregado[ID],Agregado[Revenda])</f>
        <v>119</v>
      </c>
      <c r="I2328" s="3">
        <f>Vendas[[#This Row],[Valor Unitário]]*Vendas[[#This Row],[Qnt Vendida]]</f>
        <v>1666</v>
      </c>
      <c r="J2328" s="3">
        <f>Vendas[[#This Row],[Valor da Venda]]-(_xlfn.XLOOKUP(Vendas[[#This Row],[ID Item Vendido]],Agregado[ID],Agregado[Custo])*Vendas[[#This Row],[Qnt Vendida]])</f>
        <v>336</v>
      </c>
      <c r="K2328" s="70">
        <f>Vendas[[#This Row],[Lucro da Venda]]/Vendas[[#This Row],[Valor da Venda]]</f>
        <v>0.20168067226890757</v>
      </c>
      <c r="L2328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2328"/>
    </row>
    <row r="2329" spans="1:13" x14ac:dyDescent="0.3">
      <c r="A2329" s="7">
        <v>400250</v>
      </c>
      <c r="B2329" t="str">
        <f>_xlfn.XLOOKUP(Vendas[[#This Row],[ID Vendedor]],Vendedores[ID],Vendedores[Nome])</f>
        <v>Larissa</v>
      </c>
      <c r="C2329" s="7" t="str">
        <f>_xlfn.XLOOKUP(Vendas[[#This Row],[ID Vendedor]],Vendedores[ID],Vendedores[Setor])</f>
        <v>AB</v>
      </c>
      <c r="D2329" s="7" t="s">
        <v>39</v>
      </c>
      <c r="E2329" t="str">
        <f>_xlfn.XLOOKUP(Vendas[[#This Row],[ID Item Vendido]],Agregado[ID],Agregado[Produto])</f>
        <v>Filme plástico industrial rolo 50m</v>
      </c>
      <c r="F2329" s="39">
        <v>44998</v>
      </c>
      <c r="G2329" s="7">
        <v>3</v>
      </c>
      <c r="H2329" s="3">
        <f>_xlfn.XLOOKUP(Vendas[[#This Row],[ID Item Vendido]],Agregado[ID],Agregado[Revenda])</f>
        <v>37</v>
      </c>
      <c r="I2329" s="3">
        <f>Vendas[[#This Row],[Valor Unitário]]*Vendas[[#This Row],[Qnt Vendida]]</f>
        <v>111</v>
      </c>
      <c r="J2329" s="3">
        <f>Vendas[[#This Row],[Valor da Venda]]-(_xlfn.XLOOKUP(Vendas[[#This Row],[ID Item Vendido]],Agregado[ID],Agregado[Custo])*Vendas[[#This Row],[Qnt Vendida]])</f>
        <v>27</v>
      </c>
      <c r="K2329" s="70">
        <f>Vendas[[#This Row],[Lucro da Venda]]/Vendas[[#This Row],[Valor da Venda]]</f>
        <v>0.24324324324324326</v>
      </c>
      <c r="L2329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2329"/>
    </row>
    <row r="2330" spans="1:13" x14ac:dyDescent="0.3">
      <c r="A2330" s="7">
        <v>400254</v>
      </c>
      <c r="B2330" t="str">
        <f>_xlfn.XLOOKUP(Vendas[[#This Row],[ID Vendedor]],Vendedores[ID],Vendedores[Nome])</f>
        <v>Beatriz</v>
      </c>
      <c r="C2330" s="7" t="str">
        <f>_xlfn.XLOOKUP(Vendas[[#This Row],[ID Vendedor]],Vendedores[ID],Vendedores[Setor])</f>
        <v>SC</v>
      </c>
      <c r="D2330" s="7" t="s">
        <v>25</v>
      </c>
      <c r="E2330" t="str">
        <f>_xlfn.XLOOKUP(Vendas[[#This Row],[ID Item Vendido]],Agregado[ID],Agregado[Produto])</f>
        <v>Palete de plástico</v>
      </c>
      <c r="F2330" s="39">
        <v>44999</v>
      </c>
      <c r="G2330" s="7">
        <v>10</v>
      </c>
      <c r="H2330" s="3">
        <f>_xlfn.XLOOKUP(Vendas[[#This Row],[ID Item Vendido]],Agregado[ID],Agregado[Revenda])</f>
        <v>70.8</v>
      </c>
      <c r="I2330" s="3">
        <f>Vendas[[#This Row],[Valor Unitário]]*Vendas[[#This Row],[Qnt Vendida]]</f>
        <v>708</v>
      </c>
      <c r="J2330" s="3">
        <f>Vendas[[#This Row],[Valor da Venda]]-(_xlfn.XLOOKUP(Vendas[[#This Row],[ID Item Vendido]],Agregado[ID],Agregado[Custo])*Vendas[[#This Row],[Qnt Vendida]])</f>
        <v>108</v>
      </c>
      <c r="K2330" s="70">
        <f>Vendas[[#This Row],[Lucro da Venda]]/Vendas[[#This Row],[Valor da Venda]]</f>
        <v>0.15254237288135594</v>
      </c>
      <c r="L2330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2330"/>
    </row>
    <row r="2331" spans="1:13" x14ac:dyDescent="0.3">
      <c r="A2331" s="7">
        <v>400242</v>
      </c>
      <c r="B2331" t="str">
        <f>_xlfn.XLOOKUP(Vendas[[#This Row],[ID Vendedor]],Vendedores[ID],Vendedores[Nome])</f>
        <v>Fernanda</v>
      </c>
      <c r="C2331" s="7" t="str">
        <f>_xlfn.XLOOKUP(Vendas[[#This Row],[ID Vendedor]],Vendedores[ID],Vendedores[Setor])</f>
        <v>FM</v>
      </c>
      <c r="D2331" s="7" t="s">
        <v>31</v>
      </c>
      <c r="E2331" t="str">
        <f>_xlfn.XLOOKUP(Vendas[[#This Row],[ID Item Vendido]],Agregado[ID],Agregado[Produto])</f>
        <v>Tela de metal soldada rolo 2x25m</v>
      </c>
      <c r="F2331" s="39">
        <v>44999</v>
      </c>
      <c r="G2331" s="7">
        <v>2</v>
      </c>
      <c r="H2331" s="3">
        <f>_xlfn.XLOOKUP(Vendas[[#This Row],[ID Item Vendido]],Agregado[ID],Agregado[Revenda])</f>
        <v>43.7</v>
      </c>
      <c r="I2331" s="3">
        <f>Vendas[[#This Row],[Valor Unitário]]*Vendas[[#This Row],[Qnt Vendida]]</f>
        <v>87.4</v>
      </c>
      <c r="J2331" s="3">
        <f>Vendas[[#This Row],[Valor da Venda]]-(_xlfn.XLOOKUP(Vendas[[#This Row],[ID Item Vendido]],Agregado[ID],Agregado[Custo])*Vendas[[#This Row],[Qnt Vendida]])</f>
        <v>11.400000000000006</v>
      </c>
      <c r="K2331" s="70">
        <f>Vendas[[#This Row],[Lucro da Venda]]/Vendas[[#This Row],[Valor da Venda]]</f>
        <v>0.1304347826086957</v>
      </c>
      <c r="L2331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2331"/>
    </row>
    <row r="2332" spans="1:13" x14ac:dyDescent="0.3">
      <c r="A2332" s="7">
        <v>400254</v>
      </c>
      <c r="B2332" t="str">
        <f>_xlfn.XLOOKUP(Vendas[[#This Row],[ID Vendedor]],Vendedores[ID],Vendedores[Nome])</f>
        <v>Beatriz</v>
      </c>
      <c r="C2332" s="7" t="str">
        <f>_xlfn.XLOOKUP(Vendas[[#This Row],[ID Vendedor]],Vendedores[ID],Vendedores[Setor])</f>
        <v>SC</v>
      </c>
      <c r="D2332" s="7" t="s">
        <v>48</v>
      </c>
      <c r="E2332" t="str">
        <f>_xlfn.XLOOKUP(Vendas[[#This Row],[ID Item Vendido]],Agregado[ID],Agregado[Produto])</f>
        <v>Tambor metálico 200L</v>
      </c>
      <c r="F2332" s="39">
        <v>45000</v>
      </c>
      <c r="G2332" s="7">
        <v>19</v>
      </c>
      <c r="H2332" s="3">
        <f>_xlfn.XLOOKUP(Vendas[[#This Row],[ID Item Vendido]],Agregado[ID],Agregado[Revenda])</f>
        <v>144</v>
      </c>
      <c r="I2332" s="3">
        <f>Vendas[[#This Row],[Valor Unitário]]*Vendas[[#This Row],[Qnt Vendida]]</f>
        <v>2736</v>
      </c>
      <c r="J2332" s="3">
        <f>Vendas[[#This Row],[Valor da Venda]]-(_xlfn.XLOOKUP(Vendas[[#This Row],[ID Item Vendido]],Agregado[ID],Agregado[Custo])*Vendas[[#This Row],[Qnt Vendida]])</f>
        <v>456</v>
      </c>
      <c r="K2332" s="70">
        <f>Vendas[[#This Row],[Lucro da Venda]]/Vendas[[#This Row],[Valor da Venda]]</f>
        <v>0.16666666666666666</v>
      </c>
      <c r="L2332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332"/>
    </row>
    <row r="2333" spans="1:13" x14ac:dyDescent="0.3">
      <c r="A2333" s="7">
        <v>400248</v>
      </c>
      <c r="B2333" t="str">
        <f>_xlfn.XLOOKUP(Vendas[[#This Row],[ID Vendedor]],Vendedores[ID],Vendedores[Nome])</f>
        <v>Patrícia</v>
      </c>
      <c r="C2333" s="7" t="str">
        <f>_xlfn.XLOOKUP(Vendas[[#This Row],[ID Vendedor]],Vendedores[ID],Vendedores[Setor])</f>
        <v>CM</v>
      </c>
      <c r="D2333" s="7" t="s">
        <v>32</v>
      </c>
      <c r="E2333" t="str">
        <f>_xlfn.XLOOKUP(Vendas[[#This Row],[ID Item Vendido]],Agregado[ID],Agregado[Produto])</f>
        <v>Tábua tratada e cortada 3m</v>
      </c>
      <c r="F2333" s="39">
        <v>45000</v>
      </c>
      <c r="G2333" s="7">
        <v>30</v>
      </c>
      <c r="H2333" s="3">
        <f>_xlfn.XLOOKUP(Vendas[[#This Row],[ID Item Vendido]],Agregado[ID],Agregado[Revenda])</f>
        <v>39</v>
      </c>
      <c r="I2333" s="3">
        <f>Vendas[[#This Row],[Valor Unitário]]*Vendas[[#This Row],[Qnt Vendida]]</f>
        <v>1170</v>
      </c>
      <c r="J2333" s="3">
        <f>Vendas[[#This Row],[Valor da Venda]]-(_xlfn.XLOOKUP(Vendas[[#This Row],[ID Item Vendido]],Agregado[ID],Agregado[Custo])*Vendas[[#This Row],[Qnt Vendida]])</f>
        <v>210</v>
      </c>
      <c r="K2333" s="70">
        <f>Vendas[[#This Row],[Lucro da Venda]]/Vendas[[#This Row],[Valor da Venda]]</f>
        <v>0.17948717948717949</v>
      </c>
      <c r="L233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2333"/>
    </row>
    <row r="2334" spans="1:13" x14ac:dyDescent="0.3">
      <c r="A2334" s="7">
        <v>400241</v>
      </c>
      <c r="B2334" t="str">
        <f>_xlfn.XLOOKUP(Vendas[[#This Row],[ID Vendedor]],Vendedores[ID],Vendedores[Nome])</f>
        <v>Rodrigo</v>
      </c>
      <c r="C2334" s="7" t="str">
        <f>_xlfn.XLOOKUP(Vendas[[#This Row],[ID Vendedor]],Vendedores[ID],Vendedores[Setor])</f>
        <v>FM</v>
      </c>
      <c r="D2334" s="7" t="s">
        <v>47</v>
      </c>
      <c r="E2334" t="str">
        <f>_xlfn.XLOOKUP(Vendas[[#This Row],[ID Item Vendido]],Agregado[ID],Agregado[Produto])</f>
        <v>Fio de arame galvanizado rolo 50m</v>
      </c>
      <c r="F2334" s="39">
        <v>45000</v>
      </c>
      <c r="G2334" s="7">
        <v>24</v>
      </c>
      <c r="H2334" s="3">
        <f>_xlfn.XLOOKUP(Vendas[[#This Row],[ID Item Vendido]],Agregado[ID],Agregado[Revenda])</f>
        <v>21.2</v>
      </c>
      <c r="I2334" s="3">
        <f>Vendas[[#This Row],[Valor Unitário]]*Vendas[[#This Row],[Qnt Vendida]]</f>
        <v>508.79999999999995</v>
      </c>
      <c r="J2334" s="3">
        <f>Vendas[[#This Row],[Valor da Venda]]-(_xlfn.XLOOKUP(Vendas[[#This Row],[ID Item Vendido]],Agregado[ID],Agregado[Custo])*Vendas[[#This Row],[Qnt Vendida]])</f>
        <v>76.799999999999955</v>
      </c>
      <c r="K2334" s="70">
        <f>Vendas[[#This Row],[Lucro da Venda]]/Vendas[[#This Row],[Valor da Venda]]</f>
        <v>0.15094339622641501</v>
      </c>
      <c r="L2334" s="3">
        <f>_xlfn.IFS(Vendas[[#This Row],[Margem de Lucro (%)]]&lt;15%,Vendas[[#This Row],[Valor da Venda]]*3%,Vendas[[#This Row],[Margem de Lucro (%)]]&lt;=20%,Vendas[[#This Row],[Valor da Venda]]*4.5%,TRUE,Vendas[[#This Row],[Valor da Venda]]*6%)</f>
        <v>22.895999999999997</v>
      </c>
      <c r="M2334"/>
    </row>
    <row r="2335" spans="1:13" x14ac:dyDescent="0.3">
      <c r="A2335" s="7">
        <v>400242</v>
      </c>
      <c r="B2335" t="str">
        <f>_xlfn.XLOOKUP(Vendas[[#This Row],[ID Vendedor]],Vendedores[ID],Vendedores[Nome])</f>
        <v>Fernanda</v>
      </c>
      <c r="C2335" s="7" t="str">
        <f>_xlfn.XLOOKUP(Vendas[[#This Row],[ID Vendedor]],Vendedores[ID],Vendedores[Setor])</f>
        <v>FM</v>
      </c>
      <c r="D2335" s="7" t="s">
        <v>27</v>
      </c>
      <c r="E2335" t="str">
        <f>_xlfn.XLOOKUP(Vendas[[#This Row],[ID Item Vendido]],Agregado[ID],Agregado[Produto])</f>
        <v>Chapa de metal lisa 1x2m</v>
      </c>
      <c r="F2335" s="39">
        <v>45000</v>
      </c>
      <c r="G2335" s="7">
        <v>8</v>
      </c>
      <c r="H2335" s="3">
        <f>_xlfn.XLOOKUP(Vendas[[#This Row],[ID Item Vendido]],Agregado[ID],Agregado[Revenda])</f>
        <v>52</v>
      </c>
      <c r="I2335" s="3">
        <f>Vendas[[#This Row],[Valor Unitário]]*Vendas[[#This Row],[Qnt Vendida]]</f>
        <v>416</v>
      </c>
      <c r="J2335" s="3">
        <f>Vendas[[#This Row],[Valor da Venda]]-(_xlfn.XLOOKUP(Vendas[[#This Row],[ID Item Vendido]],Agregado[ID],Agregado[Custo])*Vendas[[#This Row],[Qnt Vendida]])</f>
        <v>56</v>
      </c>
      <c r="K2335" s="70">
        <f>Vendas[[#This Row],[Lucro da Venda]]/Vendas[[#This Row],[Valor da Venda]]</f>
        <v>0.13461538461538461</v>
      </c>
      <c r="L2335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2335"/>
    </row>
    <row r="2336" spans="1:13" x14ac:dyDescent="0.3">
      <c r="A2336" s="7">
        <v>400254</v>
      </c>
      <c r="B2336" t="str">
        <f>_xlfn.XLOOKUP(Vendas[[#This Row],[ID Vendedor]],Vendedores[ID],Vendedores[Nome])</f>
        <v>Beatriz</v>
      </c>
      <c r="C2336" s="7" t="str">
        <f>_xlfn.XLOOKUP(Vendas[[#This Row],[ID Vendedor]],Vendedores[ID],Vendedores[Setor])</f>
        <v>SC</v>
      </c>
      <c r="D2336" s="7" t="s">
        <v>42</v>
      </c>
      <c r="E2336" t="str">
        <f>_xlfn.XLOOKUP(Vendas[[#This Row],[ID Item Vendido]],Agregado[ID],Agregado[Produto])</f>
        <v>Container de ferro industrial</v>
      </c>
      <c r="F2336" s="39">
        <v>45001</v>
      </c>
      <c r="G2336" s="7">
        <v>6</v>
      </c>
      <c r="H2336" s="3">
        <f>_xlfn.XLOOKUP(Vendas[[#This Row],[ID Item Vendido]],Agregado[ID],Agregado[Revenda])</f>
        <v>830</v>
      </c>
      <c r="I2336" s="3">
        <f>Vendas[[#This Row],[Valor Unitário]]*Vendas[[#This Row],[Qnt Vendida]]</f>
        <v>4980</v>
      </c>
      <c r="J2336" s="3">
        <f>Vendas[[#This Row],[Valor da Venda]]-(_xlfn.XLOOKUP(Vendas[[#This Row],[ID Item Vendido]],Agregado[ID],Agregado[Custo])*Vendas[[#This Row],[Qnt Vendida]])</f>
        <v>900</v>
      </c>
      <c r="K2336" s="70">
        <f>Vendas[[#This Row],[Lucro da Venda]]/Vendas[[#This Row],[Valor da Venda]]</f>
        <v>0.18072289156626506</v>
      </c>
      <c r="L2336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336"/>
    </row>
    <row r="2337" spans="1:13" x14ac:dyDescent="0.3">
      <c r="A2337" s="7">
        <v>400242</v>
      </c>
      <c r="B2337" t="str">
        <f>_xlfn.XLOOKUP(Vendas[[#This Row],[ID Vendedor]],Vendedores[ID],Vendedores[Nome])</f>
        <v>Fernanda</v>
      </c>
      <c r="C2337" s="7" t="str">
        <f>_xlfn.XLOOKUP(Vendas[[#This Row],[ID Vendedor]],Vendedores[ID],Vendedores[Setor])</f>
        <v>FM</v>
      </c>
      <c r="D2337" s="7" t="s">
        <v>27</v>
      </c>
      <c r="E2337" t="str">
        <f>_xlfn.XLOOKUP(Vendas[[#This Row],[ID Item Vendido]],Agregado[ID],Agregado[Produto])</f>
        <v>Chapa de metal lisa 1x2m</v>
      </c>
      <c r="F2337" s="39">
        <v>45001</v>
      </c>
      <c r="G2337" s="7">
        <v>9</v>
      </c>
      <c r="H2337" s="3">
        <f>_xlfn.XLOOKUP(Vendas[[#This Row],[ID Item Vendido]],Agregado[ID],Agregado[Revenda])</f>
        <v>52</v>
      </c>
      <c r="I2337" s="3">
        <f>Vendas[[#This Row],[Valor Unitário]]*Vendas[[#This Row],[Qnt Vendida]]</f>
        <v>468</v>
      </c>
      <c r="J2337" s="3">
        <f>Vendas[[#This Row],[Valor da Venda]]-(_xlfn.XLOOKUP(Vendas[[#This Row],[ID Item Vendido]],Agregado[ID],Agregado[Custo])*Vendas[[#This Row],[Qnt Vendida]])</f>
        <v>63</v>
      </c>
      <c r="K2337" s="70">
        <f>Vendas[[#This Row],[Lucro da Venda]]/Vendas[[#This Row],[Valor da Venda]]</f>
        <v>0.13461538461538461</v>
      </c>
      <c r="L2337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337"/>
    </row>
    <row r="2338" spans="1:13" x14ac:dyDescent="0.3">
      <c r="A2338" s="7">
        <v>400242</v>
      </c>
      <c r="B2338" t="str">
        <f>_xlfn.XLOOKUP(Vendas[[#This Row],[ID Vendedor]],Vendedores[ID],Vendedores[Nome])</f>
        <v>Fernanda</v>
      </c>
      <c r="C2338" s="7" t="str">
        <f>_xlfn.XLOOKUP(Vendas[[#This Row],[ID Vendedor]],Vendedores[ID],Vendedores[Setor])</f>
        <v>FM</v>
      </c>
      <c r="D2338" s="7" t="s">
        <v>6</v>
      </c>
      <c r="E2338" t="str">
        <f>_xlfn.XLOOKUP(Vendas[[#This Row],[ID Item Vendido]],Agregado[ID],Agregado[Produto])</f>
        <v>Parafuso comum 500un</v>
      </c>
      <c r="F2338" s="39">
        <v>45001</v>
      </c>
      <c r="G2338" s="7">
        <v>16</v>
      </c>
      <c r="H2338" s="3">
        <f>_xlfn.XLOOKUP(Vendas[[#This Row],[ID Item Vendido]],Agregado[ID],Agregado[Revenda])</f>
        <v>24.6</v>
      </c>
      <c r="I2338" s="3">
        <f>Vendas[[#This Row],[Valor Unitário]]*Vendas[[#This Row],[Qnt Vendida]]</f>
        <v>393.6</v>
      </c>
      <c r="J2338" s="3">
        <f>Vendas[[#This Row],[Valor da Venda]]-(_xlfn.XLOOKUP(Vendas[[#This Row],[ID Item Vendido]],Agregado[ID],Agregado[Custo])*Vendas[[#This Row],[Qnt Vendida]])</f>
        <v>41.600000000000023</v>
      </c>
      <c r="K2338" s="70">
        <f>Vendas[[#This Row],[Lucro da Venda]]/Vendas[[#This Row],[Valor da Venda]]</f>
        <v>0.10569105691056915</v>
      </c>
      <c r="L2338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2338"/>
    </row>
    <row r="2339" spans="1:13" x14ac:dyDescent="0.3">
      <c r="A2339" s="7">
        <v>400250</v>
      </c>
      <c r="B2339" t="str">
        <f>_xlfn.XLOOKUP(Vendas[[#This Row],[ID Vendedor]],Vendedores[ID],Vendedores[Nome])</f>
        <v>Larissa</v>
      </c>
      <c r="C2339" s="7" t="str">
        <f>_xlfn.XLOOKUP(Vendas[[#This Row],[ID Vendedor]],Vendedores[ID],Vendedores[Setor])</f>
        <v>AB</v>
      </c>
      <c r="D2339" s="7" t="s">
        <v>37</v>
      </c>
      <c r="E2339" t="str">
        <f>_xlfn.XLOOKUP(Vendas[[#This Row],[ID Item Vendido]],Agregado[ID],Agregado[Produto])</f>
        <v>Composto de borracha para vedação rolo 10m</v>
      </c>
      <c r="F2339" s="39">
        <v>45002</v>
      </c>
      <c r="G2339" s="7">
        <v>22</v>
      </c>
      <c r="H2339" s="3">
        <f>_xlfn.XLOOKUP(Vendas[[#This Row],[ID Item Vendido]],Agregado[ID],Agregado[Revenda])</f>
        <v>51.2</v>
      </c>
      <c r="I2339" s="3">
        <f>Vendas[[#This Row],[Valor Unitário]]*Vendas[[#This Row],[Qnt Vendida]]</f>
        <v>1126.4000000000001</v>
      </c>
      <c r="J2339" s="3">
        <f>Vendas[[#This Row],[Valor da Venda]]-(_xlfn.XLOOKUP(Vendas[[#This Row],[ID Item Vendido]],Agregado[ID],Agregado[Custo])*Vendas[[#This Row],[Qnt Vendida]])</f>
        <v>246.40000000000009</v>
      </c>
      <c r="K2339" s="70">
        <f>Vendas[[#This Row],[Lucro da Venda]]/Vendas[[#This Row],[Valor da Venda]]</f>
        <v>0.21875000000000006</v>
      </c>
      <c r="L2339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2339"/>
    </row>
    <row r="2340" spans="1:13" x14ac:dyDescent="0.3">
      <c r="A2340" s="7">
        <v>400247</v>
      </c>
      <c r="B2340" t="str">
        <f>_xlfn.XLOOKUP(Vendas[[#This Row],[ID Vendedor]],Vendedores[ID],Vendedores[Nome])</f>
        <v>André</v>
      </c>
      <c r="C2340" s="7" t="str">
        <f>_xlfn.XLOOKUP(Vendas[[#This Row],[ID Vendedor]],Vendedores[ID],Vendedores[Setor])</f>
        <v>CM</v>
      </c>
      <c r="D2340" s="7" t="s">
        <v>32</v>
      </c>
      <c r="E2340" t="str">
        <f>_xlfn.XLOOKUP(Vendas[[#This Row],[ID Item Vendido]],Agregado[ID],Agregado[Produto])</f>
        <v>Tábua tratada e cortada 3m</v>
      </c>
      <c r="F2340" s="39">
        <v>45002</v>
      </c>
      <c r="G2340" s="7">
        <v>27</v>
      </c>
      <c r="H2340" s="3">
        <f>_xlfn.XLOOKUP(Vendas[[#This Row],[ID Item Vendido]],Agregado[ID],Agregado[Revenda])</f>
        <v>39</v>
      </c>
      <c r="I2340" s="3">
        <f>Vendas[[#This Row],[Valor Unitário]]*Vendas[[#This Row],[Qnt Vendida]]</f>
        <v>1053</v>
      </c>
      <c r="J2340" s="3">
        <f>Vendas[[#This Row],[Valor da Venda]]-(_xlfn.XLOOKUP(Vendas[[#This Row],[ID Item Vendido]],Agregado[ID],Agregado[Custo])*Vendas[[#This Row],[Qnt Vendida]])</f>
        <v>189</v>
      </c>
      <c r="K2340" s="70">
        <f>Vendas[[#This Row],[Lucro da Venda]]/Vendas[[#This Row],[Valor da Venda]]</f>
        <v>0.17948717948717949</v>
      </c>
      <c r="L2340" s="3">
        <f>_xlfn.IFS(Vendas[[#This Row],[Margem de Lucro (%)]]&lt;15%,Vendas[[#This Row],[Valor da Venda]]*3%,Vendas[[#This Row],[Margem de Lucro (%)]]&lt;=20%,Vendas[[#This Row],[Valor da Venda]]*4.5%,TRUE,Vendas[[#This Row],[Valor da Venda]]*6%)</f>
        <v>47.384999999999998</v>
      </c>
      <c r="M2340"/>
    </row>
    <row r="2341" spans="1:13" x14ac:dyDescent="0.3">
      <c r="A2341" s="7">
        <v>400244</v>
      </c>
      <c r="B2341" t="str">
        <f>_xlfn.XLOOKUP(Vendas[[#This Row],[ID Vendedor]],Vendedores[ID],Vendedores[Nome])</f>
        <v>Camila</v>
      </c>
      <c r="C2341" s="7" t="str">
        <f>_xlfn.XLOOKUP(Vendas[[#This Row],[ID Vendedor]],Vendedores[ID],Vendedores[Setor])</f>
        <v>AHD</v>
      </c>
      <c r="D2341" s="7" t="s">
        <v>18</v>
      </c>
      <c r="E2341" t="str">
        <f>_xlfn.XLOOKUP(Vendas[[#This Row],[ID Item Vendido]],Agregado[ID],Agregado[Produto])</f>
        <v>Peça forjada sob encomenda</v>
      </c>
      <c r="F2341" s="39">
        <v>45002</v>
      </c>
      <c r="G2341" s="7">
        <v>2</v>
      </c>
      <c r="H2341" s="3">
        <f>_xlfn.XLOOKUP(Vendas[[#This Row],[ID Item Vendido]],Agregado[ID],Agregado[Revenda])</f>
        <v>264.60000000000002</v>
      </c>
      <c r="I2341" s="3">
        <f>Vendas[[#This Row],[Valor Unitário]]*Vendas[[#This Row],[Qnt Vendida]]</f>
        <v>529.20000000000005</v>
      </c>
      <c r="J2341" s="3">
        <f>Vendas[[#This Row],[Valor da Venda]]-(_xlfn.XLOOKUP(Vendas[[#This Row],[ID Item Vendido]],Agregado[ID],Agregado[Custo])*Vendas[[#This Row],[Qnt Vendida]])</f>
        <v>29.200000000000045</v>
      </c>
      <c r="K2341" s="70">
        <f>Vendas[[#This Row],[Lucro da Venda]]/Vendas[[#This Row],[Valor da Venda]]</f>
        <v>5.5177626606198113E-2</v>
      </c>
      <c r="L2341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341"/>
    </row>
    <row r="2342" spans="1:13" x14ac:dyDescent="0.3">
      <c r="A2342" s="7">
        <v>400248</v>
      </c>
      <c r="B2342" t="str">
        <f>_xlfn.XLOOKUP(Vendas[[#This Row],[ID Vendedor]],Vendedores[ID],Vendedores[Nome])</f>
        <v>Patrícia</v>
      </c>
      <c r="C2342" s="7" t="str">
        <f>_xlfn.XLOOKUP(Vendas[[#This Row],[ID Vendedor]],Vendedores[ID],Vendedores[Setor])</f>
        <v>CM</v>
      </c>
      <c r="D2342" s="7" t="s">
        <v>43</v>
      </c>
      <c r="E2342" t="str">
        <f>_xlfn.XLOOKUP(Vendas[[#This Row],[ID Item Vendido]],Agregado[ID],Agregado[Produto])</f>
        <v>Madeira Bruta (Tora)</v>
      </c>
      <c r="F2342" s="39">
        <v>45002</v>
      </c>
      <c r="G2342" s="7">
        <v>3</v>
      </c>
      <c r="H2342" s="3">
        <f>_xlfn.XLOOKUP(Vendas[[#This Row],[ID Item Vendido]],Agregado[ID],Agregado[Revenda])</f>
        <v>212</v>
      </c>
      <c r="I2342" s="3">
        <f>Vendas[[#This Row],[Valor Unitário]]*Vendas[[#This Row],[Qnt Vendida]]</f>
        <v>636</v>
      </c>
      <c r="J2342" s="3">
        <f>Vendas[[#This Row],[Valor da Venda]]-(_xlfn.XLOOKUP(Vendas[[#This Row],[ID Item Vendido]],Agregado[ID],Agregado[Custo])*Vendas[[#This Row],[Qnt Vendida]])</f>
        <v>96</v>
      </c>
      <c r="K2342" s="70">
        <f>Vendas[[#This Row],[Lucro da Venda]]/Vendas[[#This Row],[Valor da Venda]]</f>
        <v>0.15094339622641509</v>
      </c>
      <c r="L2342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2342"/>
    </row>
    <row r="2343" spans="1:13" x14ac:dyDescent="0.3">
      <c r="A2343" s="7">
        <v>400250</v>
      </c>
      <c r="B2343" t="str">
        <f>_xlfn.XLOOKUP(Vendas[[#This Row],[ID Vendedor]],Vendedores[ID],Vendedores[Nome])</f>
        <v>Larissa</v>
      </c>
      <c r="C2343" s="7" t="str">
        <f>_xlfn.XLOOKUP(Vendas[[#This Row],[ID Vendedor]],Vendedores[ID],Vendedores[Setor])</f>
        <v>AB</v>
      </c>
      <c r="D2343" s="7" t="s">
        <v>12</v>
      </c>
      <c r="E2343" t="str">
        <f>_xlfn.XLOOKUP(Vendas[[#This Row],[ID Item Vendido]],Agregado[ID],Agregado[Produto])</f>
        <v>Grânulo de plástico reciclado refinado</v>
      </c>
      <c r="F2343" s="39">
        <v>45003</v>
      </c>
      <c r="G2343" s="7">
        <v>82</v>
      </c>
      <c r="H2343" s="3">
        <f>_xlfn.XLOOKUP(Vendas[[#This Row],[ID Item Vendido]],Agregado[ID],Agregado[Revenda])</f>
        <v>4.7</v>
      </c>
      <c r="I2343" s="3">
        <f>Vendas[[#This Row],[Valor Unitário]]*Vendas[[#This Row],[Qnt Vendida]]</f>
        <v>385.40000000000003</v>
      </c>
      <c r="J2343" s="3">
        <f>Vendas[[#This Row],[Valor da Venda]]-(_xlfn.XLOOKUP(Vendas[[#This Row],[ID Item Vendido]],Agregado[ID],Agregado[Custo])*Vendas[[#This Row],[Qnt Vendida]])</f>
        <v>98.400000000000034</v>
      </c>
      <c r="K2343" s="70">
        <f>Vendas[[#This Row],[Lucro da Venda]]/Vendas[[#This Row],[Valor da Venda]]</f>
        <v>0.2553191489361703</v>
      </c>
      <c r="L2343" s="3">
        <f>_xlfn.IFS(Vendas[[#This Row],[Margem de Lucro (%)]]&lt;15%,Vendas[[#This Row],[Valor da Venda]]*3%,Vendas[[#This Row],[Margem de Lucro (%)]]&lt;=20%,Vendas[[#This Row],[Valor da Venda]]*4.5%,TRUE,Vendas[[#This Row],[Valor da Venda]]*6%)</f>
        <v>23.124000000000002</v>
      </c>
      <c r="M2343"/>
    </row>
    <row r="2344" spans="1:13" x14ac:dyDescent="0.3">
      <c r="A2344" s="7">
        <v>400242</v>
      </c>
      <c r="B2344" t="str">
        <f>_xlfn.XLOOKUP(Vendas[[#This Row],[ID Vendedor]],Vendedores[ID],Vendedores[Nome])</f>
        <v>Fernanda</v>
      </c>
      <c r="C2344" s="7" t="str">
        <f>_xlfn.XLOOKUP(Vendas[[#This Row],[ID Vendedor]],Vendedores[ID],Vendedores[Setor])</f>
        <v>FM</v>
      </c>
      <c r="D2344" s="7" t="s">
        <v>20</v>
      </c>
      <c r="E2344" t="str">
        <f>_xlfn.XLOOKUP(Vendas[[#This Row],[ID Item Vendido]],Agregado[ID],Agregado[Produto])</f>
        <v>Barra de aço simples</v>
      </c>
      <c r="F2344" s="39">
        <v>45003</v>
      </c>
      <c r="G2344" s="7">
        <v>61</v>
      </c>
      <c r="H2344" s="3">
        <f>_xlfn.XLOOKUP(Vendas[[#This Row],[ID Item Vendido]],Agregado[ID],Agregado[Revenda])</f>
        <v>4.8</v>
      </c>
      <c r="I2344" s="3">
        <f>Vendas[[#This Row],[Valor Unitário]]*Vendas[[#This Row],[Qnt Vendida]]</f>
        <v>292.8</v>
      </c>
      <c r="J2344" s="3">
        <f>Vendas[[#This Row],[Valor da Venda]]-(_xlfn.XLOOKUP(Vendas[[#This Row],[ID Item Vendido]],Agregado[ID],Agregado[Custo])*Vendas[[#This Row],[Qnt Vendida]])</f>
        <v>36.600000000000023</v>
      </c>
      <c r="K2344" s="70">
        <f>Vendas[[#This Row],[Lucro da Venda]]/Vendas[[#This Row],[Valor da Venda]]</f>
        <v>0.12500000000000008</v>
      </c>
      <c r="L2344" s="3">
        <f>_xlfn.IFS(Vendas[[#This Row],[Margem de Lucro (%)]]&lt;15%,Vendas[[#This Row],[Valor da Venda]]*3%,Vendas[[#This Row],[Margem de Lucro (%)]]&lt;=20%,Vendas[[#This Row],[Valor da Venda]]*4.5%,TRUE,Vendas[[#This Row],[Valor da Venda]]*6%)</f>
        <v>8.7840000000000007</v>
      </c>
      <c r="M2344"/>
    </row>
    <row r="2345" spans="1:13" x14ac:dyDescent="0.3">
      <c r="A2345" s="7">
        <v>400241</v>
      </c>
      <c r="B2345" t="str">
        <f>_xlfn.XLOOKUP(Vendas[[#This Row],[ID Vendedor]],Vendedores[ID],Vendedores[Nome])</f>
        <v>Rodrigo</v>
      </c>
      <c r="C2345" s="7" t="str">
        <f>_xlfn.XLOOKUP(Vendas[[#This Row],[ID Vendedor]],Vendedores[ID],Vendedores[Setor])</f>
        <v>FM</v>
      </c>
      <c r="D2345" s="7" t="s">
        <v>6</v>
      </c>
      <c r="E2345" t="str">
        <f>_xlfn.XLOOKUP(Vendas[[#This Row],[ID Item Vendido]],Agregado[ID],Agregado[Produto])</f>
        <v>Parafuso comum 500un</v>
      </c>
      <c r="F2345" s="39">
        <v>45003</v>
      </c>
      <c r="G2345" s="7">
        <v>11</v>
      </c>
      <c r="H2345" s="3">
        <f>_xlfn.XLOOKUP(Vendas[[#This Row],[ID Item Vendido]],Agregado[ID],Agregado[Revenda])</f>
        <v>24.6</v>
      </c>
      <c r="I2345" s="3">
        <f>Vendas[[#This Row],[Valor Unitário]]*Vendas[[#This Row],[Qnt Vendida]]</f>
        <v>270.60000000000002</v>
      </c>
      <c r="J2345" s="3">
        <f>Vendas[[#This Row],[Valor da Venda]]-(_xlfn.XLOOKUP(Vendas[[#This Row],[ID Item Vendido]],Agregado[ID],Agregado[Custo])*Vendas[[#This Row],[Qnt Vendida]])</f>
        <v>28.600000000000023</v>
      </c>
      <c r="K2345" s="70">
        <f>Vendas[[#This Row],[Lucro da Venda]]/Vendas[[#This Row],[Valor da Venda]]</f>
        <v>0.10569105691056918</v>
      </c>
      <c r="L2345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2345"/>
    </row>
    <row r="2346" spans="1:13" x14ac:dyDescent="0.3">
      <c r="A2346" s="7">
        <v>400242</v>
      </c>
      <c r="B2346" t="str">
        <f>_xlfn.XLOOKUP(Vendas[[#This Row],[ID Vendedor]],Vendedores[ID],Vendedores[Nome])</f>
        <v>Fernanda</v>
      </c>
      <c r="C2346" s="7" t="str">
        <f>_xlfn.XLOOKUP(Vendas[[#This Row],[ID Vendedor]],Vendedores[ID],Vendedores[Setor])</f>
        <v>FM</v>
      </c>
      <c r="D2346" s="7" t="s">
        <v>31</v>
      </c>
      <c r="E2346" t="str">
        <f>_xlfn.XLOOKUP(Vendas[[#This Row],[ID Item Vendido]],Agregado[ID],Agregado[Produto])</f>
        <v>Tela de metal soldada rolo 2x25m</v>
      </c>
      <c r="F2346" s="39">
        <v>45003</v>
      </c>
      <c r="G2346" s="7">
        <v>4</v>
      </c>
      <c r="H2346" s="3">
        <f>_xlfn.XLOOKUP(Vendas[[#This Row],[ID Item Vendido]],Agregado[ID],Agregado[Revenda])</f>
        <v>43.7</v>
      </c>
      <c r="I2346" s="3">
        <f>Vendas[[#This Row],[Valor Unitário]]*Vendas[[#This Row],[Qnt Vendida]]</f>
        <v>174.8</v>
      </c>
      <c r="J2346" s="3">
        <f>Vendas[[#This Row],[Valor da Venda]]-(_xlfn.XLOOKUP(Vendas[[#This Row],[ID Item Vendido]],Agregado[ID],Agregado[Custo])*Vendas[[#This Row],[Qnt Vendida]])</f>
        <v>22.800000000000011</v>
      </c>
      <c r="K2346" s="70">
        <f>Vendas[[#This Row],[Lucro da Venda]]/Vendas[[#This Row],[Valor da Venda]]</f>
        <v>0.1304347826086957</v>
      </c>
      <c r="L2346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2346"/>
    </row>
    <row r="2347" spans="1:13" x14ac:dyDescent="0.3">
      <c r="A2347" s="7">
        <v>400248</v>
      </c>
      <c r="B2347" t="str">
        <f>_xlfn.XLOOKUP(Vendas[[#This Row],[ID Vendedor]],Vendedores[ID],Vendedores[Nome])</f>
        <v>Patrícia</v>
      </c>
      <c r="C2347" s="7" t="str">
        <f>_xlfn.XLOOKUP(Vendas[[#This Row],[ID Vendedor]],Vendedores[ID],Vendedores[Setor])</f>
        <v>CM</v>
      </c>
      <c r="D2347" s="7" t="s">
        <v>22</v>
      </c>
      <c r="E2347" t="str">
        <f>_xlfn.XLOOKUP(Vendas[[#This Row],[ID Item Vendido]],Agregado[ID],Agregado[Produto])</f>
        <v>Painel MDP 2,75x1,83m</v>
      </c>
      <c r="F2347" s="39">
        <v>45004</v>
      </c>
      <c r="G2347" s="7">
        <v>18</v>
      </c>
      <c r="H2347" s="3">
        <f>_xlfn.XLOOKUP(Vendas[[#This Row],[ID Item Vendido]],Agregado[ID],Agregado[Revenda])</f>
        <v>119</v>
      </c>
      <c r="I2347" s="3">
        <f>Vendas[[#This Row],[Valor Unitário]]*Vendas[[#This Row],[Qnt Vendida]]</f>
        <v>2142</v>
      </c>
      <c r="J2347" s="3">
        <f>Vendas[[#This Row],[Valor da Venda]]-(_xlfn.XLOOKUP(Vendas[[#This Row],[ID Item Vendido]],Agregado[ID],Agregado[Custo])*Vendas[[#This Row],[Qnt Vendida]])</f>
        <v>432</v>
      </c>
      <c r="K2347" s="70">
        <f>Vendas[[#This Row],[Lucro da Venda]]/Vendas[[#This Row],[Valor da Venda]]</f>
        <v>0.20168067226890757</v>
      </c>
      <c r="L2347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2347"/>
    </row>
    <row r="2348" spans="1:13" x14ac:dyDescent="0.3">
      <c r="A2348" s="7">
        <v>400248</v>
      </c>
      <c r="B2348" t="str">
        <f>_xlfn.XLOOKUP(Vendas[[#This Row],[ID Vendedor]],Vendedores[ID],Vendedores[Nome])</f>
        <v>Patrícia</v>
      </c>
      <c r="C2348" s="7" t="str">
        <f>_xlfn.XLOOKUP(Vendas[[#This Row],[ID Vendedor]],Vendedores[ID],Vendedores[Setor])</f>
        <v>CM</v>
      </c>
      <c r="D2348" s="7" t="s">
        <v>34</v>
      </c>
      <c r="E2348" t="str">
        <f>_xlfn.XLOOKUP(Vendas[[#This Row],[ID Item Vendido]],Agregado[ID],Agregado[Produto])</f>
        <v>Restos de madeira p/ MDP/OSB saco de 20kg</v>
      </c>
      <c r="F2348" s="39">
        <v>45004</v>
      </c>
      <c r="G2348" s="7">
        <v>27</v>
      </c>
      <c r="H2348" s="3">
        <f>_xlfn.XLOOKUP(Vendas[[#This Row],[ID Item Vendido]],Agregado[ID],Agregado[Revenda])</f>
        <v>13.8</v>
      </c>
      <c r="I2348" s="3">
        <f>Vendas[[#This Row],[Valor Unitário]]*Vendas[[#This Row],[Qnt Vendida]]</f>
        <v>372.6</v>
      </c>
      <c r="J2348" s="3">
        <f>Vendas[[#This Row],[Valor da Venda]]-(_xlfn.XLOOKUP(Vendas[[#This Row],[ID Item Vendido]],Agregado[ID],Agregado[Custo])*Vendas[[#This Row],[Qnt Vendida]])</f>
        <v>48.600000000000023</v>
      </c>
      <c r="K2348" s="70">
        <f>Vendas[[#This Row],[Lucro da Venda]]/Vendas[[#This Row],[Valor da Venda]]</f>
        <v>0.1304347826086957</v>
      </c>
      <c r="L2348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2348"/>
    </row>
    <row r="2349" spans="1:13" x14ac:dyDescent="0.3">
      <c r="A2349" s="7">
        <v>400243</v>
      </c>
      <c r="B2349" t="str">
        <f>_xlfn.XLOOKUP(Vendas[[#This Row],[ID Vendedor]],Vendedores[ID],Vendedores[Nome])</f>
        <v>Marcelo</v>
      </c>
      <c r="C2349" s="7" t="str">
        <f>_xlfn.XLOOKUP(Vendas[[#This Row],[ID Vendedor]],Vendedores[ID],Vendedores[Setor])</f>
        <v>FM</v>
      </c>
      <c r="D2349" s="7" t="s">
        <v>20</v>
      </c>
      <c r="E2349" t="str">
        <f>_xlfn.XLOOKUP(Vendas[[#This Row],[ID Item Vendido]],Agregado[ID],Agregado[Produto])</f>
        <v>Barra de aço simples</v>
      </c>
      <c r="F2349" s="39">
        <v>45004</v>
      </c>
      <c r="G2349" s="7">
        <v>62</v>
      </c>
      <c r="H2349" s="3">
        <f>_xlfn.XLOOKUP(Vendas[[#This Row],[ID Item Vendido]],Agregado[ID],Agregado[Revenda])</f>
        <v>4.8</v>
      </c>
      <c r="I2349" s="3">
        <f>Vendas[[#This Row],[Valor Unitário]]*Vendas[[#This Row],[Qnt Vendida]]</f>
        <v>297.59999999999997</v>
      </c>
      <c r="J2349" s="3">
        <f>Vendas[[#This Row],[Valor da Venda]]-(_xlfn.XLOOKUP(Vendas[[#This Row],[ID Item Vendido]],Agregado[ID],Agregado[Custo])*Vendas[[#This Row],[Qnt Vendida]])</f>
        <v>37.199999999999932</v>
      </c>
      <c r="K2349" s="70">
        <f>Vendas[[#This Row],[Lucro da Venda]]/Vendas[[#This Row],[Valor da Venda]]</f>
        <v>0.12499999999999979</v>
      </c>
      <c r="L2349" s="3">
        <f>_xlfn.IFS(Vendas[[#This Row],[Margem de Lucro (%)]]&lt;15%,Vendas[[#This Row],[Valor da Venda]]*3%,Vendas[[#This Row],[Margem de Lucro (%)]]&lt;=20%,Vendas[[#This Row],[Valor da Venda]]*4.5%,TRUE,Vendas[[#This Row],[Valor da Venda]]*6%)</f>
        <v>8.927999999999999</v>
      </c>
      <c r="M2349"/>
    </row>
    <row r="2350" spans="1:13" x14ac:dyDescent="0.3">
      <c r="A2350" s="7">
        <v>400245</v>
      </c>
      <c r="B2350" t="str">
        <f>_xlfn.XLOOKUP(Vendas[[#This Row],[ID Vendedor]],Vendedores[ID],Vendedores[Nome])</f>
        <v>Thiago</v>
      </c>
      <c r="C2350" s="7" t="str">
        <f>_xlfn.XLOOKUP(Vendas[[#This Row],[ID Vendedor]],Vendedores[ID],Vendedores[Setor])</f>
        <v>AHD</v>
      </c>
      <c r="D2350" s="7" t="s">
        <v>30</v>
      </c>
      <c r="E2350" t="str">
        <f>_xlfn.XLOOKUP(Vendas[[#This Row],[ID Item Vendido]],Agregado[ID],Agregado[Produto])</f>
        <v>Estrutura metálica soldada</v>
      </c>
      <c r="F2350" s="39">
        <v>45005</v>
      </c>
      <c r="G2350" s="7">
        <v>6</v>
      </c>
      <c r="H2350" s="3">
        <f>_xlfn.XLOOKUP(Vendas[[#This Row],[ID Item Vendido]],Agregado[ID],Agregado[Revenda])</f>
        <v>400</v>
      </c>
      <c r="I2350" s="3">
        <f>Vendas[[#This Row],[Valor Unitário]]*Vendas[[#This Row],[Qnt Vendida]]</f>
        <v>2400</v>
      </c>
      <c r="J2350" s="3">
        <f>Vendas[[#This Row],[Valor da Venda]]-(_xlfn.XLOOKUP(Vendas[[#This Row],[ID Item Vendido]],Agregado[ID],Agregado[Custo])*Vendas[[#This Row],[Qnt Vendida]])</f>
        <v>480</v>
      </c>
      <c r="K2350" s="70">
        <f>Vendas[[#This Row],[Lucro da Venda]]/Vendas[[#This Row],[Valor da Venda]]</f>
        <v>0.2</v>
      </c>
      <c r="L235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350"/>
    </row>
    <row r="2351" spans="1:13" x14ac:dyDescent="0.3">
      <c r="A2351" s="7">
        <v>400254</v>
      </c>
      <c r="B2351" t="str">
        <f>_xlfn.XLOOKUP(Vendas[[#This Row],[ID Vendedor]],Vendedores[ID],Vendedores[Nome])</f>
        <v>Beatriz</v>
      </c>
      <c r="C2351" s="7" t="str">
        <f>_xlfn.XLOOKUP(Vendas[[#This Row],[ID Vendedor]],Vendedores[ID],Vendedores[Setor])</f>
        <v>SC</v>
      </c>
      <c r="D2351" s="7" t="s">
        <v>25</v>
      </c>
      <c r="E2351" t="str">
        <f>_xlfn.XLOOKUP(Vendas[[#This Row],[ID Item Vendido]],Agregado[ID],Agregado[Produto])</f>
        <v>Palete de plástico</v>
      </c>
      <c r="F2351" s="39">
        <v>45005</v>
      </c>
      <c r="G2351" s="7">
        <v>12</v>
      </c>
      <c r="H2351" s="3">
        <f>_xlfn.XLOOKUP(Vendas[[#This Row],[ID Item Vendido]],Agregado[ID],Agregado[Revenda])</f>
        <v>70.8</v>
      </c>
      <c r="I2351" s="3">
        <f>Vendas[[#This Row],[Valor Unitário]]*Vendas[[#This Row],[Qnt Vendida]]</f>
        <v>849.59999999999991</v>
      </c>
      <c r="J2351" s="3">
        <f>Vendas[[#This Row],[Valor da Venda]]-(_xlfn.XLOOKUP(Vendas[[#This Row],[ID Item Vendido]],Agregado[ID],Agregado[Custo])*Vendas[[#This Row],[Qnt Vendida]])</f>
        <v>129.59999999999991</v>
      </c>
      <c r="K2351" s="70">
        <f>Vendas[[#This Row],[Lucro da Venda]]/Vendas[[#This Row],[Valor da Venda]]</f>
        <v>0.15254237288135583</v>
      </c>
      <c r="L2351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2351"/>
    </row>
    <row r="2352" spans="1:13" x14ac:dyDescent="0.3">
      <c r="A2352" s="7">
        <v>400246</v>
      </c>
      <c r="B2352" t="str">
        <f>_xlfn.XLOOKUP(Vendas[[#This Row],[ID Vendedor]],Vendedores[ID],Vendedores[Nome])</f>
        <v>Juliana</v>
      </c>
      <c r="C2352" s="7" t="str">
        <f>_xlfn.XLOOKUP(Vendas[[#This Row],[ID Vendedor]],Vendedores[ID],Vendedores[Setor])</f>
        <v>AHD</v>
      </c>
      <c r="D2352" s="7" t="s">
        <v>9</v>
      </c>
      <c r="E2352" t="str">
        <f>_xlfn.XLOOKUP(Vendas[[#This Row],[ID Item Vendido]],Agregado[ID],Agregado[Produto])</f>
        <v>Barra de aço simples</v>
      </c>
      <c r="F2352" s="39">
        <v>45005</v>
      </c>
      <c r="G2352" s="7">
        <v>54</v>
      </c>
      <c r="H2352" s="3">
        <f>_xlfn.XLOOKUP(Vendas[[#This Row],[ID Item Vendido]],Agregado[ID],Agregado[Revenda])</f>
        <v>6.7</v>
      </c>
      <c r="I2352" s="3">
        <f>Vendas[[#This Row],[Valor Unitário]]*Vendas[[#This Row],[Qnt Vendida]]</f>
        <v>361.8</v>
      </c>
      <c r="J2352" s="3">
        <f>Vendas[[#This Row],[Valor da Venda]]-(_xlfn.XLOOKUP(Vendas[[#This Row],[ID Item Vendido]],Agregado[ID],Agregado[Custo])*Vendas[[#This Row],[Qnt Vendida]])</f>
        <v>48.600000000000023</v>
      </c>
      <c r="K2352" s="70">
        <f>Vendas[[#This Row],[Lucro da Venda]]/Vendas[[#This Row],[Valor da Venda]]</f>
        <v>0.13432835820895528</v>
      </c>
      <c r="L2352" s="3">
        <f>_xlfn.IFS(Vendas[[#This Row],[Margem de Lucro (%)]]&lt;15%,Vendas[[#This Row],[Valor da Venda]]*3%,Vendas[[#This Row],[Margem de Lucro (%)]]&lt;=20%,Vendas[[#This Row],[Valor da Venda]]*4.5%,TRUE,Vendas[[#This Row],[Valor da Venda]]*6%)</f>
        <v>10.853999999999999</v>
      </c>
      <c r="M2352"/>
    </row>
    <row r="2353" spans="1:13" x14ac:dyDescent="0.3">
      <c r="A2353" s="7">
        <v>400255</v>
      </c>
      <c r="B2353" t="str">
        <f>_xlfn.XLOOKUP(Vendas[[#This Row],[ID Vendedor]],Vendedores[ID],Vendedores[Nome])</f>
        <v>Carlos</v>
      </c>
      <c r="C2353" s="7" t="str">
        <f>_xlfn.XLOOKUP(Vendas[[#This Row],[ID Vendedor]],Vendedores[ID],Vendedores[Setor])</f>
        <v>SC</v>
      </c>
      <c r="D2353" s="7" t="s">
        <v>41</v>
      </c>
      <c r="E2353" t="str">
        <f>_xlfn.XLOOKUP(Vendas[[#This Row],[ID Item Vendido]],Agregado[ID],Agregado[Produto])</f>
        <v>Palete de madeira reforçado</v>
      </c>
      <c r="F2353" s="39">
        <v>45005</v>
      </c>
      <c r="G2353" s="7">
        <v>2</v>
      </c>
      <c r="H2353" s="3">
        <f>_xlfn.XLOOKUP(Vendas[[#This Row],[ID Item Vendido]],Agregado[ID],Agregado[Revenda])</f>
        <v>131</v>
      </c>
      <c r="I2353" s="3">
        <f>Vendas[[#This Row],[Valor Unitário]]*Vendas[[#This Row],[Qnt Vendida]]</f>
        <v>262</v>
      </c>
      <c r="J2353" s="3">
        <f>Vendas[[#This Row],[Valor da Venda]]-(_xlfn.XLOOKUP(Vendas[[#This Row],[ID Item Vendido]],Agregado[ID],Agregado[Custo])*Vendas[[#This Row],[Qnt Vendida]])</f>
        <v>42</v>
      </c>
      <c r="K2353" s="70">
        <f>Vendas[[#This Row],[Lucro da Venda]]/Vendas[[#This Row],[Valor da Venda]]</f>
        <v>0.16030534351145037</v>
      </c>
      <c r="L2353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2353"/>
    </row>
    <row r="2354" spans="1:13" x14ac:dyDescent="0.3">
      <c r="A2354" s="7">
        <v>400254</v>
      </c>
      <c r="B2354" t="str">
        <f>_xlfn.XLOOKUP(Vendas[[#This Row],[ID Vendedor]],Vendedores[ID],Vendedores[Nome])</f>
        <v>Beatriz</v>
      </c>
      <c r="C2354" s="7" t="str">
        <f>_xlfn.XLOOKUP(Vendas[[#This Row],[ID Vendedor]],Vendedores[ID],Vendedores[Setor])</f>
        <v>SC</v>
      </c>
      <c r="D2354" s="7" t="s">
        <v>41</v>
      </c>
      <c r="E2354" t="str">
        <f>_xlfn.XLOOKUP(Vendas[[#This Row],[ID Item Vendido]],Agregado[ID],Agregado[Produto])</f>
        <v>Palete de madeira reforçado</v>
      </c>
      <c r="F2354" s="39">
        <v>45005</v>
      </c>
      <c r="G2354" s="7">
        <v>2</v>
      </c>
      <c r="H2354" s="3">
        <f>_xlfn.XLOOKUP(Vendas[[#This Row],[ID Item Vendido]],Agregado[ID],Agregado[Revenda])</f>
        <v>131</v>
      </c>
      <c r="I2354" s="3">
        <f>Vendas[[#This Row],[Valor Unitário]]*Vendas[[#This Row],[Qnt Vendida]]</f>
        <v>262</v>
      </c>
      <c r="J2354" s="3">
        <f>Vendas[[#This Row],[Valor da Venda]]-(_xlfn.XLOOKUP(Vendas[[#This Row],[ID Item Vendido]],Agregado[ID],Agregado[Custo])*Vendas[[#This Row],[Qnt Vendida]])</f>
        <v>42</v>
      </c>
      <c r="K2354" s="70">
        <f>Vendas[[#This Row],[Lucro da Venda]]/Vendas[[#This Row],[Valor da Venda]]</f>
        <v>0.16030534351145037</v>
      </c>
      <c r="L2354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2354"/>
    </row>
    <row r="2355" spans="1:13" x14ac:dyDescent="0.3">
      <c r="A2355" s="7">
        <v>400248</v>
      </c>
      <c r="B2355" t="str">
        <f>_xlfn.XLOOKUP(Vendas[[#This Row],[ID Vendedor]],Vendedores[ID],Vendedores[Nome])</f>
        <v>Patrícia</v>
      </c>
      <c r="C2355" s="7" t="str">
        <f>_xlfn.XLOOKUP(Vendas[[#This Row],[ID Vendedor]],Vendedores[ID],Vendedores[Setor])</f>
        <v>CM</v>
      </c>
      <c r="D2355" s="7" t="s">
        <v>43</v>
      </c>
      <c r="E2355" t="str">
        <f>_xlfn.XLOOKUP(Vendas[[#This Row],[ID Item Vendido]],Agregado[ID],Agregado[Produto])</f>
        <v>Madeira Bruta (Tora)</v>
      </c>
      <c r="F2355" s="39">
        <v>45006</v>
      </c>
      <c r="G2355" s="7">
        <v>2</v>
      </c>
      <c r="H2355" s="3">
        <f>_xlfn.XLOOKUP(Vendas[[#This Row],[ID Item Vendido]],Agregado[ID],Agregado[Revenda])</f>
        <v>212</v>
      </c>
      <c r="I2355" s="3">
        <f>Vendas[[#This Row],[Valor Unitário]]*Vendas[[#This Row],[Qnt Vendida]]</f>
        <v>424</v>
      </c>
      <c r="J2355" s="3">
        <f>Vendas[[#This Row],[Valor da Venda]]-(_xlfn.XLOOKUP(Vendas[[#This Row],[ID Item Vendido]],Agregado[ID],Agregado[Custo])*Vendas[[#This Row],[Qnt Vendida]])</f>
        <v>64</v>
      </c>
      <c r="K2355" s="70">
        <f>Vendas[[#This Row],[Lucro da Venda]]/Vendas[[#This Row],[Valor da Venda]]</f>
        <v>0.15094339622641509</v>
      </c>
      <c r="L235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355"/>
    </row>
    <row r="2356" spans="1:13" x14ac:dyDescent="0.3">
      <c r="A2356" s="7">
        <v>400250</v>
      </c>
      <c r="B2356" t="str">
        <f>_xlfn.XLOOKUP(Vendas[[#This Row],[ID Vendedor]],Vendedores[ID],Vendedores[Nome])</f>
        <v>Larissa</v>
      </c>
      <c r="C2356" s="7" t="str">
        <f>_xlfn.XLOOKUP(Vendas[[#This Row],[ID Vendedor]],Vendedores[ID],Vendedores[Setor])</f>
        <v>AB</v>
      </c>
      <c r="D2356" s="7" t="s">
        <v>12</v>
      </c>
      <c r="E2356" t="str">
        <f>_xlfn.XLOOKUP(Vendas[[#This Row],[ID Item Vendido]],Agregado[ID],Agregado[Produto])</f>
        <v>Grânulo de plástico reciclado refinado</v>
      </c>
      <c r="F2356" s="39">
        <v>45006</v>
      </c>
      <c r="G2356" s="7">
        <v>81</v>
      </c>
      <c r="H2356" s="3">
        <f>_xlfn.XLOOKUP(Vendas[[#This Row],[ID Item Vendido]],Agregado[ID],Agregado[Revenda])</f>
        <v>4.7</v>
      </c>
      <c r="I2356" s="3">
        <f>Vendas[[#This Row],[Valor Unitário]]*Vendas[[#This Row],[Qnt Vendida]]</f>
        <v>380.7</v>
      </c>
      <c r="J2356" s="3">
        <f>Vendas[[#This Row],[Valor da Venda]]-(_xlfn.XLOOKUP(Vendas[[#This Row],[ID Item Vendido]],Agregado[ID],Agregado[Custo])*Vendas[[#This Row],[Qnt Vendida]])</f>
        <v>97.199999999999989</v>
      </c>
      <c r="K2356" s="70">
        <f>Vendas[[#This Row],[Lucro da Venda]]/Vendas[[#This Row],[Valor da Venda]]</f>
        <v>0.25531914893617019</v>
      </c>
      <c r="L2356" s="3">
        <f>_xlfn.IFS(Vendas[[#This Row],[Margem de Lucro (%)]]&lt;15%,Vendas[[#This Row],[Valor da Venda]]*3%,Vendas[[#This Row],[Margem de Lucro (%)]]&lt;=20%,Vendas[[#This Row],[Valor da Venda]]*4.5%,TRUE,Vendas[[#This Row],[Valor da Venda]]*6%)</f>
        <v>22.841999999999999</v>
      </c>
      <c r="M2356"/>
    </row>
    <row r="2357" spans="1:13" x14ac:dyDescent="0.3">
      <c r="A2357" s="7">
        <v>400243</v>
      </c>
      <c r="B2357" t="str">
        <f>_xlfn.XLOOKUP(Vendas[[#This Row],[ID Vendedor]],Vendedores[ID],Vendedores[Nome])</f>
        <v>Marcelo</v>
      </c>
      <c r="C2357" s="7" t="str">
        <f>_xlfn.XLOOKUP(Vendas[[#This Row],[ID Vendedor]],Vendedores[ID],Vendedores[Setor])</f>
        <v>FM</v>
      </c>
      <c r="D2357" s="7" t="s">
        <v>27</v>
      </c>
      <c r="E2357" t="str">
        <f>_xlfn.XLOOKUP(Vendas[[#This Row],[ID Item Vendido]],Agregado[ID],Agregado[Produto])</f>
        <v>Chapa de metal lisa 1x2m</v>
      </c>
      <c r="F2357" s="39">
        <v>45007</v>
      </c>
      <c r="G2357" s="7">
        <v>12</v>
      </c>
      <c r="H2357" s="3">
        <f>_xlfn.XLOOKUP(Vendas[[#This Row],[ID Item Vendido]],Agregado[ID],Agregado[Revenda])</f>
        <v>52</v>
      </c>
      <c r="I2357" s="3">
        <f>Vendas[[#This Row],[Valor Unitário]]*Vendas[[#This Row],[Qnt Vendida]]</f>
        <v>624</v>
      </c>
      <c r="J2357" s="3">
        <f>Vendas[[#This Row],[Valor da Venda]]-(_xlfn.XLOOKUP(Vendas[[#This Row],[ID Item Vendido]],Agregado[ID],Agregado[Custo])*Vendas[[#This Row],[Qnt Vendida]])</f>
        <v>84</v>
      </c>
      <c r="K2357" s="70">
        <f>Vendas[[#This Row],[Lucro da Venda]]/Vendas[[#This Row],[Valor da Venda]]</f>
        <v>0.13461538461538461</v>
      </c>
      <c r="L2357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2357"/>
    </row>
    <row r="2358" spans="1:13" x14ac:dyDescent="0.3">
      <c r="A2358" s="7">
        <v>400253</v>
      </c>
      <c r="B2358" t="str">
        <f>_xlfn.XLOOKUP(Vendas[[#This Row],[ID Vendedor]],Vendedores[ID],Vendedores[Nome])</f>
        <v>Gustavo</v>
      </c>
      <c r="C2358" s="7" t="str">
        <f>_xlfn.XLOOKUP(Vendas[[#This Row],[ID Vendedor]],Vendedores[ID],Vendedores[Setor])</f>
        <v>SC</v>
      </c>
      <c r="D2358" s="7" t="s">
        <v>14</v>
      </c>
      <c r="E2358" t="str">
        <f>_xlfn.XLOOKUP(Vendas[[#This Row],[ID Item Vendido]],Agregado[ID],Agregado[Produto])</f>
        <v>Barril de plástico 200L</v>
      </c>
      <c r="F2358" s="39">
        <v>45008</v>
      </c>
      <c r="G2358" s="7">
        <v>24</v>
      </c>
      <c r="H2358" s="3">
        <f>_xlfn.XLOOKUP(Vendas[[#This Row],[ID Item Vendido]],Agregado[ID],Agregado[Revenda])</f>
        <v>114</v>
      </c>
      <c r="I2358" s="3">
        <f>Vendas[[#This Row],[Valor Unitário]]*Vendas[[#This Row],[Qnt Vendida]]</f>
        <v>2736</v>
      </c>
      <c r="J2358" s="3">
        <f>Vendas[[#This Row],[Valor da Venda]]-(_xlfn.XLOOKUP(Vendas[[#This Row],[ID Item Vendido]],Agregado[ID],Agregado[Custo])*Vendas[[#This Row],[Qnt Vendida]])</f>
        <v>456</v>
      </c>
      <c r="K2358" s="70">
        <f>Vendas[[#This Row],[Lucro da Venda]]/Vendas[[#This Row],[Valor da Venda]]</f>
        <v>0.16666666666666666</v>
      </c>
      <c r="L2358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358"/>
    </row>
    <row r="2359" spans="1:13" x14ac:dyDescent="0.3">
      <c r="A2359" s="7">
        <v>400255</v>
      </c>
      <c r="B2359" t="str">
        <f>_xlfn.XLOOKUP(Vendas[[#This Row],[ID Vendedor]],Vendedores[ID],Vendedores[Nome])</f>
        <v>Carlos</v>
      </c>
      <c r="C2359" s="7" t="str">
        <f>_xlfn.XLOOKUP(Vendas[[#This Row],[ID Vendedor]],Vendedores[ID],Vendedores[Setor])</f>
        <v>SC</v>
      </c>
      <c r="D2359" s="7" t="s">
        <v>42</v>
      </c>
      <c r="E2359" t="str">
        <f>_xlfn.XLOOKUP(Vendas[[#This Row],[ID Item Vendido]],Agregado[ID],Agregado[Produto])</f>
        <v>Container de ferro industrial</v>
      </c>
      <c r="F2359" s="39">
        <v>45008</v>
      </c>
      <c r="G2359" s="7">
        <v>1</v>
      </c>
      <c r="H2359" s="3">
        <f>_xlfn.XLOOKUP(Vendas[[#This Row],[ID Item Vendido]],Agregado[ID],Agregado[Revenda])</f>
        <v>830</v>
      </c>
      <c r="I2359" s="3">
        <f>Vendas[[#This Row],[Valor Unitário]]*Vendas[[#This Row],[Qnt Vendida]]</f>
        <v>830</v>
      </c>
      <c r="J2359" s="3">
        <f>Vendas[[#This Row],[Valor da Venda]]-(_xlfn.XLOOKUP(Vendas[[#This Row],[ID Item Vendido]],Agregado[ID],Agregado[Custo])*Vendas[[#This Row],[Qnt Vendida]])</f>
        <v>150</v>
      </c>
      <c r="K2359" s="70">
        <f>Vendas[[#This Row],[Lucro da Venda]]/Vendas[[#This Row],[Valor da Venda]]</f>
        <v>0.18072289156626506</v>
      </c>
      <c r="L235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359"/>
    </row>
    <row r="2360" spans="1:13" x14ac:dyDescent="0.3">
      <c r="A2360" s="7">
        <v>400243</v>
      </c>
      <c r="B2360" t="str">
        <f>_xlfn.XLOOKUP(Vendas[[#This Row],[ID Vendedor]],Vendedores[ID],Vendedores[Nome])</f>
        <v>Marcelo</v>
      </c>
      <c r="C2360" s="7" t="str">
        <f>_xlfn.XLOOKUP(Vendas[[#This Row],[ID Vendedor]],Vendedores[ID],Vendedores[Setor])</f>
        <v>FM</v>
      </c>
      <c r="D2360" s="7" t="s">
        <v>27</v>
      </c>
      <c r="E2360" t="str">
        <f>_xlfn.XLOOKUP(Vendas[[#This Row],[ID Item Vendido]],Agregado[ID],Agregado[Produto])</f>
        <v>Chapa de metal lisa 1x2m</v>
      </c>
      <c r="F2360" s="39">
        <v>45008</v>
      </c>
      <c r="G2360" s="7">
        <v>15</v>
      </c>
      <c r="H2360" s="3">
        <f>_xlfn.XLOOKUP(Vendas[[#This Row],[ID Item Vendido]],Agregado[ID],Agregado[Revenda])</f>
        <v>52</v>
      </c>
      <c r="I2360" s="3">
        <f>Vendas[[#This Row],[Valor Unitário]]*Vendas[[#This Row],[Qnt Vendida]]</f>
        <v>780</v>
      </c>
      <c r="J2360" s="3">
        <f>Vendas[[#This Row],[Valor da Venda]]-(_xlfn.XLOOKUP(Vendas[[#This Row],[ID Item Vendido]],Agregado[ID],Agregado[Custo])*Vendas[[#This Row],[Qnt Vendida]])</f>
        <v>105</v>
      </c>
      <c r="K2360" s="70">
        <f>Vendas[[#This Row],[Lucro da Venda]]/Vendas[[#This Row],[Valor da Venda]]</f>
        <v>0.13461538461538461</v>
      </c>
      <c r="L2360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2360"/>
    </row>
    <row r="2361" spans="1:13" x14ac:dyDescent="0.3">
      <c r="A2361" s="7">
        <v>400254</v>
      </c>
      <c r="B2361" t="str">
        <f>_xlfn.XLOOKUP(Vendas[[#This Row],[ID Vendedor]],Vendedores[ID],Vendedores[Nome])</f>
        <v>Beatriz</v>
      </c>
      <c r="C2361" s="7" t="str">
        <f>_xlfn.XLOOKUP(Vendas[[#This Row],[ID Vendedor]],Vendedores[ID],Vendedores[Setor])</f>
        <v>SC</v>
      </c>
      <c r="D2361" s="7" t="s">
        <v>41</v>
      </c>
      <c r="E2361" t="str">
        <f>_xlfn.XLOOKUP(Vendas[[#This Row],[ID Item Vendido]],Agregado[ID],Agregado[Produto])</f>
        <v>Palete de madeira reforçado</v>
      </c>
      <c r="F2361" s="39">
        <v>45009</v>
      </c>
      <c r="G2361" s="7">
        <v>5</v>
      </c>
      <c r="H2361" s="3">
        <f>_xlfn.XLOOKUP(Vendas[[#This Row],[ID Item Vendido]],Agregado[ID],Agregado[Revenda])</f>
        <v>131</v>
      </c>
      <c r="I2361" s="3">
        <f>Vendas[[#This Row],[Valor Unitário]]*Vendas[[#This Row],[Qnt Vendida]]</f>
        <v>655</v>
      </c>
      <c r="J2361" s="3">
        <f>Vendas[[#This Row],[Valor da Venda]]-(_xlfn.XLOOKUP(Vendas[[#This Row],[ID Item Vendido]],Agregado[ID],Agregado[Custo])*Vendas[[#This Row],[Qnt Vendida]])</f>
        <v>105</v>
      </c>
      <c r="K2361" s="70">
        <f>Vendas[[#This Row],[Lucro da Venda]]/Vendas[[#This Row],[Valor da Venda]]</f>
        <v>0.16030534351145037</v>
      </c>
      <c r="L2361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2361"/>
    </row>
    <row r="2362" spans="1:13" x14ac:dyDescent="0.3">
      <c r="A2362" s="7">
        <v>400248</v>
      </c>
      <c r="B2362" t="str">
        <f>_xlfn.XLOOKUP(Vendas[[#This Row],[ID Vendedor]],Vendedores[ID],Vendedores[Nome])</f>
        <v>Patrícia</v>
      </c>
      <c r="C2362" s="7" t="str">
        <f>_xlfn.XLOOKUP(Vendas[[#This Row],[ID Vendedor]],Vendedores[ID],Vendedores[Setor])</f>
        <v>CM</v>
      </c>
      <c r="D2362" s="7" t="s">
        <v>43</v>
      </c>
      <c r="E2362" t="str">
        <f>_xlfn.XLOOKUP(Vendas[[#This Row],[ID Item Vendido]],Agregado[ID],Agregado[Produto])</f>
        <v>Madeira Bruta (Tora)</v>
      </c>
      <c r="F2362" s="39">
        <v>45010</v>
      </c>
      <c r="G2362" s="7">
        <v>15</v>
      </c>
      <c r="H2362" s="3">
        <f>_xlfn.XLOOKUP(Vendas[[#This Row],[ID Item Vendido]],Agregado[ID],Agregado[Revenda])</f>
        <v>212</v>
      </c>
      <c r="I2362" s="3">
        <f>Vendas[[#This Row],[Valor Unitário]]*Vendas[[#This Row],[Qnt Vendida]]</f>
        <v>3180</v>
      </c>
      <c r="J2362" s="3">
        <f>Vendas[[#This Row],[Valor da Venda]]-(_xlfn.XLOOKUP(Vendas[[#This Row],[ID Item Vendido]],Agregado[ID],Agregado[Custo])*Vendas[[#This Row],[Qnt Vendida]])</f>
        <v>480</v>
      </c>
      <c r="K2362" s="70">
        <f>Vendas[[#This Row],[Lucro da Venda]]/Vendas[[#This Row],[Valor da Venda]]</f>
        <v>0.15094339622641509</v>
      </c>
      <c r="L2362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2362"/>
    </row>
    <row r="2363" spans="1:13" x14ac:dyDescent="0.3">
      <c r="A2363" s="7">
        <v>400254</v>
      </c>
      <c r="B2363" t="str">
        <f>_xlfn.XLOOKUP(Vendas[[#This Row],[ID Vendedor]],Vendedores[ID],Vendedores[Nome])</f>
        <v>Beatriz</v>
      </c>
      <c r="C2363" s="7" t="str">
        <f>_xlfn.XLOOKUP(Vendas[[#This Row],[ID Vendedor]],Vendedores[ID],Vendedores[Setor])</f>
        <v>SC</v>
      </c>
      <c r="D2363" s="7" t="s">
        <v>14</v>
      </c>
      <c r="E2363" t="str">
        <f>_xlfn.XLOOKUP(Vendas[[#This Row],[ID Item Vendido]],Agregado[ID],Agregado[Produto])</f>
        <v>Barril de plástico 200L</v>
      </c>
      <c r="F2363" s="39">
        <v>45010</v>
      </c>
      <c r="G2363" s="7">
        <v>9</v>
      </c>
      <c r="H2363" s="3">
        <f>_xlfn.XLOOKUP(Vendas[[#This Row],[ID Item Vendido]],Agregado[ID],Agregado[Revenda])</f>
        <v>114</v>
      </c>
      <c r="I2363" s="3">
        <f>Vendas[[#This Row],[Valor Unitário]]*Vendas[[#This Row],[Qnt Vendida]]</f>
        <v>1026</v>
      </c>
      <c r="J2363" s="3">
        <f>Vendas[[#This Row],[Valor da Venda]]-(_xlfn.XLOOKUP(Vendas[[#This Row],[ID Item Vendido]],Agregado[ID],Agregado[Custo])*Vendas[[#This Row],[Qnt Vendida]])</f>
        <v>171</v>
      </c>
      <c r="K2363" s="70">
        <f>Vendas[[#This Row],[Lucro da Venda]]/Vendas[[#This Row],[Valor da Venda]]</f>
        <v>0.16666666666666666</v>
      </c>
      <c r="L2363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2363"/>
    </row>
    <row r="2364" spans="1:13" x14ac:dyDescent="0.3">
      <c r="A2364" s="7">
        <v>400242</v>
      </c>
      <c r="B2364" t="str">
        <f>_xlfn.XLOOKUP(Vendas[[#This Row],[ID Vendedor]],Vendedores[ID],Vendedores[Nome])</f>
        <v>Fernanda</v>
      </c>
      <c r="C2364" s="7" t="str">
        <f>_xlfn.XLOOKUP(Vendas[[#This Row],[ID Vendedor]],Vendedores[ID],Vendedores[Setor])</f>
        <v>FM</v>
      </c>
      <c r="D2364" s="7" t="s">
        <v>47</v>
      </c>
      <c r="E2364" t="str">
        <f>_xlfn.XLOOKUP(Vendas[[#This Row],[ID Item Vendido]],Agregado[ID],Agregado[Produto])</f>
        <v>Fio de arame galvanizado rolo 50m</v>
      </c>
      <c r="F2364" s="39">
        <v>45010</v>
      </c>
      <c r="G2364" s="7">
        <v>40</v>
      </c>
      <c r="H2364" s="3">
        <f>_xlfn.XLOOKUP(Vendas[[#This Row],[ID Item Vendido]],Agregado[ID],Agregado[Revenda])</f>
        <v>21.2</v>
      </c>
      <c r="I2364" s="3">
        <f>Vendas[[#This Row],[Valor Unitário]]*Vendas[[#This Row],[Qnt Vendida]]</f>
        <v>848</v>
      </c>
      <c r="J2364" s="3">
        <f>Vendas[[#This Row],[Valor da Venda]]-(_xlfn.XLOOKUP(Vendas[[#This Row],[ID Item Vendido]],Agregado[ID],Agregado[Custo])*Vendas[[#This Row],[Qnt Vendida]])</f>
        <v>128</v>
      </c>
      <c r="K2364" s="70">
        <f>Vendas[[#This Row],[Lucro da Venda]]/Vendas[[#This Row],[Valor da Venda]]</f>
        <v>0.15094339622641509</v>
      </c>
      <c r="L2364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364"/>
    </row>
    <row r="2365" spans="1:13" x14ac:dyDescent="0.3">
      <c r="A2365" s="7">
        <v>400251</v>
      </c>
      <c r="B2365" t="str">
        <f>_xlfn.XLOOKUP(Vendas[[#This Row],[ID Vendedor]],Vendedores[ID],Vendedores[Nome])</f>
        <v>Diego</v>
      </c>
      <c r="C2365" s="7" t="str">
        <f>_xlfn.XLOOKUP(Vendas[[#This Row],[ID Vendedor]],Vendedores[ID],Vendedores[Setor])</f>
        <v>AB</v>
      </c>
      <c r="D2365" s="7" t="s">
        <v>12</v>
      </c>
      <c r="E2365" t="str">
        <f>_xlfn.XLOOKUP(Vendas[[#This Row],[ID Item Vendido]],Agregado[ID],Agregado[Produto])</f>
        <v>Grânulo de plástico reciclado refinado</v>
      </c>
      <c r="F2365" s="39">
        <v>45010</v>
      </c>
      <c r="G2365" s="7">
        <v>80</v>
      </c>
      <c r="H2365" s="3">
        <f>_xlfn.XLOOKUP(Vendas[[#This Row],[ID Item Vendido]],Agregado[ID],Agregado[Revenda])</f>
        <v>4.7</v>
      </c>
      <c r="I2365" s="3">
        <f>Vendas[[#This Row],[Valor Unitário]]*Vendas[[#This Row],[Qnt Vendida]]</f>
        <v>376</v>
      </c>
      <c r="J2365" s="3">
        <f>Vendas[[#This Row],[Valor da Venda]]-(_xlfn.XLOOKUP(Vendas[[#This Row],[ID Item Vendido]],Agregado[ID],Agregado[Custo])*Vendas[[#This Row],[Qnt Vendida]])</f>
        <v>96</v>
      </c>
      <c r="K2365" s="70">
        <f>Vendas[[#This Row],[Lucro da Venda]]/Vendas[[#This Row],[Valor da Venda]]</f>
        <v>0.25531914893617019</v>
      </c>
      <c r="L2365" s="3">
        <f>_xlfn.IFS(Vendas[[#This Row],[Margem de Lucro (%)]]&lt;15%,Vendas[[#This Row],[Valor da Venda]]*3%,Vendas[[#This Row],[Margem de Lucro (%)]]&lt;=20%,Vendas[[#This Row],[Valor da Venda]]*4.5%,TRUE,Vendas[[#This Row],[Valor da Venda]]*6%)</f>
        <v>22.56</v>
      </c>
      <c r="M2365"/>
    </row>
    <row r="2366" spans="1:13" x14ac:dyDescent="0.3">
      <c r="A2366" s="7">
        <v>400246</v>
      </c>
      <c r="B2366" t="str">
        <f>_xlfn.XLOOKUP(Vendas[[#This Row],[ID Vendedor]],Vendedores[ID],Vendedores[Nome])</f>
        <v>Juliana</v>
      </c>
      <c r="C2366" s="7" t="str">
        <f>_xlfn.XLOOKUP(Vendas[[#This Row],[ID Vendedor]],Vendedores[ID],Vendedores[Setor])</f>
        <v>AHD</v>
      </c>
      <c r="D2366" s="7" t="s">
        <v>44</v>
      </c>
      <c r="E2366" t="str">
        <f>_xlfn.XLOOKUP(Vendas[[#This Row],[ID Item Vendido]],Agregado[ID],Agregado[Produto])</f>
        <v>Liga metálica especial</v>
      </c>
      <c r="F2366" s="39">
        <v>45012</v>
      </c>
      <c r="G2366" s="7">
        <v>58</v>
      </c>
      <c r="H2366" s="3">
        <f>_xlfn.XLOOKUP(Vendas[[#This Row],[ID Item Vendido]],Agregado[ID],Agregado[Revenda])</f>
        <v>32.5</v>
      </c>
      <c r="I2366" s="3">
        <f>Vendas[[#This Row],[Valor Unitário]]*Vendas[[#This Row],[Qnt Vendida]]</f>
        <v>1885</v>
      </c>
      <c r="J2366" s="3">
        <f>Vendas[[#This Row],[Valor da Venda]]-(_xlfn.XLOOKUP(Vendas[[#This Row],[ID Item Vendido]],Agregado[ID],Agregado[Custo])*Vendas[[#This Row],[Qnt Vendida]])</f>
        <v>435</v>
      </c>
      <c r="K2366" s="70">
        <f>Vendas[[#This Row],[Lucro da Venda]]/Vendas[[#This Row],[Valor da Venda]]</f>
        <v>0.23076923076923078</v>
      </c>
      <c r="L2366" s="3">
        <f>_xlfn.IFS(Vendas[[#This Row],[Margem de Lucro (%)]]&lt;15%,Vendas[[#This Row],[Valor da Venda]]*3%,Vendas[[#This Row],[Margem de Lucro (%)]]&lt;=20%,Vendas[[#This Row],[Valor da Venda]]*4.5%,TRUE,Vendas[[#This Row],[Valor da Venda]]*6%)</f>
        <v>113.1</v>
      </c>
      <c r="M2366"/>
    </row>
    <row r="2367" spans="1:13" x14ac:dyDescent="0.3">
      <c r="A2367" s="7">
        <v>400254</v>
      </c>
      <c r="B2367" t="str">
        <f>_xlfn.XLOOKUP(Vendas[[#This Row],[ID Vendedor]],Vendedores[ID],Vendedores[Nome])</f>
        <v>Beatriz</v>
      </c>
      <c r="C2367" s="7" t="str">
        <f>_xlfn.XLOOKUP(Vendas[[#This Row],[ID Vendedor]],Vendedores[ID],Vendedores[Setor])</f>
        <v>SC</v>
      </c>
      <c r="D2367" s="7" t="s">
        <v>41</v>
      </c>
      <c r="E2367" t="str">
        <f>_xlfn.XLOOKUP(Vendas[[#This Row],[ID Item Vendido]],Agregado[ID],Agregado[Produto])</f>
        <v>Palete de madeira reforçado</v>
      </c>
      <c r="F2367" s="39">
        <v>45012</v>
      </c>
      <c r="G2367" s="7">
        <v>3</v>
      </c>
      <c r="H2367" s="3">
        <f>_xlfn.XLOOKUP(Vendas[[#This Row],[ID Item Vendido]],Agregado[ID],Agregado[Revenda])</f>
        <v>131</v>
      </c>
      <c r="I2367" s="3">
        <f>Vendas[[#This Row],[Valor Unitário]]*Vendas[[#This Row],[Qnt Vendida]]</f>
        <v>393</v>
      </c>
      <c r="J2367" s="3">
        <f>Vendas[[#This Row],[Valor da Venda]]-(_xlfn.XLOOKUP(Vendas[[#This Row],[ID Item Vendido]],Agregado[ID],Agregado[Custo])*Vendas[[#This Row],[Qnt Vendida]])</f>
        <v>63</v>
      </c>
      <c r="K2367" s="70">
        <f>Vendas[[#This Row],[Lucro da Venda]]/Vendas[[#This Row],[Valor da Venda]]</f>
        <v>0.16030534351145037</v>
      </c>
      <c r="L2367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2367"/>
    </row>
    <row r="2368" spans="1:13" x14ac:dyDescent="0.3">
      <c r="A2368" s="7">
        <v>400244</v>
      </c>
      <c r="B2368" t="str">
        <f>_xlfn.XLOOKUP(Vendas[[#This Row],[ID Vendedor]],Vendedores[ID],Vendedores[Nome])</f>
        <v>Camila</v>
      </c>
      <c r="C2368" s="7" t="str">
        <f>_xlfn.XLOOKUP(Vendas[[#This Row],[ID Vendedor]],Vendedores[ID],Vendedores[Setor])</f>
        <v>AHD</v>
      </c>
      <c r="D2368" s="7" t="s">
        <v>28</v>
      </c>
      <c r="E2368" t="str">
        <f>_xlfn.XLOOKUP(Vendas[[#This Row],[ID Item Vendido]],Agregado[ID],Agregado[Produto])</f>
        <v>Peça usinada CNC</v>
      </c>
      <c r="F2368" s="39">
        <v>45013</v>
      </c>
      <c r="G2368" s="7">
        <v>2</v>
      </c>
      <c r="H2368" s="3">
        <f>_xlfn.XLOOKUP(Vendas[[#This Row],[ID Item Vendido]],Agregado[ID],Agregado[Revenda])</f>
        <v>192</v>
      </c>
      <c r="I2368" s="3">
        <f>Vendas[[#This Row],[Valor Unitário]]*Vendas[[#This Row],[Qnt Vendida]]</f>
        <v>384</v>
      </c>
      <c r="J2368" s="3">
        <f>Vendas[[#This Row],[Valor da Venda]]-(_xlfn.XLOOKUP(Vendas[[#This Row],[ID Item Vendido]],Agregado[ID],Agregado[Custo])*Vendas[[#This Row],[Qnt Vendida]])</f>
        <v>84</v>
      </c>
      <c r="K2368" s="70">
        <f>Vendas[[#This Row],[Lucro da Venda]]/Vendas[[#This Row],[Valor da Venda]]</f>
        <v>0.21875</v>
      </c>
      <c r="L2368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2368"/>
    </row>
    <row r="2369" spans="1:13" x14ac:dyDescent="0.3">
      <c r="A2369" s="7">
        <v>400251</v>
      </c>
      <c r="B2369" t="str">
        <f>_xlfn.XLOOKUP(Vendas[[#This Row],[ID Vendedor]],Vendedores[ID],Vendedores[Nome])</f>
        <v>Diego</v>
      </c>
      <c r="C2369" s="7" t="str">
        <f>_xlfn.XLOOKUP(Vendas[[#This Row],[ID Vendedor]],Vendedores[ID],Vendedores[Setor])</f>
        <v>AB</v>
      </c>
      <c r="D2369" s="7" t="s">
        <v>39</v>
      </c>
      <c r="E2369" t="str">
        <f>_xlfn.XLOOKUP(Vendas[[#This Row],[ID Item Vendido]],Agregado[ID],Agregado[Produto])</f>
        <v>Filme plástico industrial rolo 50m</v>
      </c>
      <c r="F2369" s="39">
        <v>45013</v>
      </c>
      <c r="G2369" s="7">
        <v>3</v>
      </c>
      <c r="H2369" s="3">
        <f>_xlfn.XLOOKUP(Vendas[[#This Row],[ID Item Vendido]],Agregado[ID],Agregado[Revenda])</f>
        <v>37</v>
      </c>
      <c r="I2369" s="3">
        <f>Vendas[[#This Row],[Valor Unitário]]*Vendas[[#This Row],[Qnt Vendida]]</f>
        <v>111</v>
      </c>
      <c r="J2369" s="3">
        <f>Vendas[[#This Row],[Valor da Venda]]-(_xlfn.XLOOKUP(Vendas[[#This Row],[ID Item Vendido]],Agregado[ID],Agregado[Custo])*Vendas[[#This Row],[Qnt Vendida]])</f>
        <v>27</v>
      </c>
      <c r="K2369" s="70">
        <f>Vendas[[#This Row],[Lucro da Venda]]/Vendas[[#This Row],[Valor da Venda]]</f>
        <v>0.24324324324324326</v>
      </c>
      <c r="L2369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2369"/>
    </row>
    <row r="2370" spans="1:13" x14ac:dyDescent="0.3">
      <c r="A2370" s="7">
        <v>400243</v>
      </c>
      <c r="B2370" t="str">
        <f>_xlfn.XLOOKUP(Vendas[[#This Row],[ID Vendedor]],Vendedores[ID],Vendedores[Nome])</f>
        <v>Marcelo</v>
      </c>
      <c r="C2370" s="7" t="str">
        <f>_xlfn.XLOOKUP(Vendas[[#This Row],[ID Vendedor]],Vendedores[ID],Vendedores[Setor])</f>
        <v>FM</v>
      </c>
      <c r="D2370" s="7" t="s">
        <v>47</v>
      </c>
      <c r="E2370" t="str">
        <f>_xlfn.XLOOKUP(Vendas[[#This Row],[ID Item Vendido]],Agregado[ID],Agregado[Produto])</f>
        <v>Fio de arame galvanizado rolo 50m</v>
      </c>
      <c r="F2370" s="39">
        <v>45014</v>
      </c>
      <c r="G2370" s="7">
        <v>39</v>
      </c>
      <c r="H2370" s="3">
        <f>_xlfn.XLOOKUP(Vendas[[#This Row],[ID Item Vendido]],Agregado[ID],Agregado[Revenda])</f>
        <v>21.2</v>
      </c>
      <c r="I2370" s="3">
        <f>Vendas[[#This Row],[Valor Unitário]]*Vendas[[#This Row],[Qnt Vendida]]</f>
        <v>826.8</v>
      </c>
      <c r="J2370" s="3">
        <f>Vendas[[#This Row],[Valor da Venda]]-(_xlfn.XLOOKUP(Vendas[[#This Row],[ID Item Vendido]],Agregado[ID],Agregado[Custo])*Vendas[[#This Row],[Qnt Vendida]])</f>
        <v>124.79999999999995</v>
      </c>
      <c r="K2370" s="70">
        <f>Vendas[[#This Row],[Lucro da Venda]]/Vendas[[#This Row],[Valor da Venda]]</f>
        <v>0.15094339622641506</v>
      </c>
      <c r="L2370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2370"/>
    </row>
    <row r="2371" spans="1:13" x14ac:dyDescent="0.3">
      <c r="A2371" s="7">
        <v>400248</v>
      </c>
      <c r="B2371" t="str">
        <f>_xlfn.XLOOKUP(Vendas[[#This Row],[ID Vendedor]],Vendedores[ID],Vendedores[Nome])</f>
        <v>Patrícia</v>
      </c>
      <c r="C2371" s="7" t="str">
        <f>_xlfn.XLOOKUP(Vendas[[#This Row],[ID Vendedor]],Vendedores[ID],Vendedores[Setor])</f>
        <v>CM</v>
      </c>
      <c r="D2371" s="7" t="s">
        <v>43</v>
      </c>
      <c r="E2371" t="str">
        <f>_xlfn.XLOOKUP(Vendas[[#This Row],[ID Item Vendido]],Agregado[ID],Agregado[Produto])</f>
        <v>Madeira Bruta (Tora)</v>
      </c>
      <c r="F2371" s="39">
        <v>45014</v>
      </c>
      <c r="G2371" s="7">
        <v>2</v>
      </c>
      <c r="H2371" s="3">
        <f>_xlfn.XLOOKUP(Vendas[[#This Row],[ID Item Vendido]],Agregado[ID],Agregado[Revenda])</f>
        <v>212</v>
      </c>
      <c r="I2371" s="3">
        <f>Vendas[[#This Row],[Valor Unitário]]*Vendas[[#This Row],[Qnt Vendida]]</f>
        <v>424</v>
      </c>
      <c r="J2371" s="3">
        <f>Vendas[[#This Row],[Valor da Venda]]-(_xlfn.XLOOKUP(Vendas[[#This Row],[ID Item Vendido]],Agregado[ID],Agregado[Custo])*Vendas[[#This Row],[Qnt Vendida]])</f>
        <v>64</v>
      </c>
      <c r="K2371" s="70">
        <f>Vendas[[#This Row],[Lucro da Venda]]/Vendas[[#This Row],[Valor da Venda]]</f>
        <v>0.15094339622641509</v>
      </c>
      <c r="L2371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371"/>
    </row>
    <row r="2372" spans="1:13" x14ac:dyDescent="0.3">
      <c r="A2372" s="7">
        <v>400254</v>
      </c>
      <c r="B2372" t="str">
        <f>_xlfn.XLOOKUP(Vendas[[#This Row],[ID Vendedor]],Vendedores[ID],Vendedores[Nome])</f>
        <v>Beatriz</v>
      </c>
      <c r="C2372" s="7" t="str">
        <f>_xlfn.XLOOKUP(Vendas[[#This Row],[ID Vendedor]],Vendedores[ID],Vendedores[Setor])</f>
        <v>SC</v>
      </c>
      <c r="D2372" s="7" t="s">
        <v>14</v>
      </c>
      <c r="E2372" t="str">
        <f>_xlfn.XLOOKUP(Vendas[[#This Row],[ID Item Vendido]],Agregado[ID],Agregado[Produto])</f>
        <v>Barril de plástico 200L</v>
      </c>
      <c r="F2372" s="39">
        <v>45015</v>
      </c>
      <c r="G2372" s="7">
        <v>9</v>
      </c>
      <c r="H2372" s="3">
        <f>_xlfn.XLOOKUP(Vendas[[#This Row],[ID Item Vendido]],Agregado[ID],Agregado[Revenda])</f>
        <v>114</v>
      </c>
      <c r="I2372" s="3">
        <f>Vendas[[#This Row],[Valor Unitário]]*Vendas[[#This Row],[Qnt Vendida]]</f>
        <v>1026</v>
      </c>
      <c r="J2372" s="3">
        <f>Vendas[[#This Row],[Valor da Venda]]-(_xlfn.XLOOKUP(Vendas[[#This Row],[ID Item Vendido]],Agregado[ID],Agregado[Custo])*Vendas[[#This Row],[Qnt Vendida]])</f>
        <v>171</v>
      </c>
      <c r="K2372" s="70">
        <f>Vendas[[#This Row],[Lucro da Venda]]/Vendas[[#This Row],[Valor da Venda]]</f>
        <v>0.16666666666666666</v>
      </c>
      <c r="L2372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2372"/>
    </row>
    <row r="2373" spans="1:13" x14ac:dyDescent="0.3">
      <c r="A2373" s="7">
        <v>400250</v>
      </c>
      <c r="B2373" t="str">
        <f>_xlfn.XLOOKUP(Vendas[[#This Row],[ID Vendedor]],Vendedores[ID],Vendedores[Nome])</f>
        <v>Larissa</v>
      </c>
      <c r="C2373" s="7" t="str">
        <f>_xlfn.XLOOKUP(Vendas[[#This Row],[ID Vendedor]],Vendedores[ID],Vendedores[Setor])</f>
        <v>AB</v>
      </c>
      <c r="D2373" s="7" t="s">
        <v>24</v>
      </c>
      <c r="E2373" t="str">
        <f>_xlfn.XLOOKUP(Vendas[[#This Row],[ID Item Vendido]],Agregado[ID],Agregado[Produto])</f>
        <v>Resina plástica PET purificada saco de 25kg</v>
      </c>
      <c r="F2373" s="39">
        <v>45016</v>
      </c>
      <c r="G2373" s="7">
        <v>12</v>
      </c>
      <c r="H2373" s="3">
        <f>_xlfn.XLOOKUP(Vendas[[#This Row],[ID Item Vendido]],Agregado[ID],Agregado[Revenda])</f>
        <v>119</v>
      </c>
      <c r="I2373" s="3">
        <f>Vendas[[#This Row],[Valor Unitário]]*Vendas[[#This Row],[Qnt Vendida]]</f>
        <v>1428</v>
      </c>
      <c r="J2373" s="3">
        <f>Vendas[[#This Row],[Valor da Venda]]-(_xlfn.XLOOKUP(Vendas[[#This Row],[ID Item Vendido]],Agregado[ID],Agregado[Custo])*Vendas[[#This Row],[Qnt Vendida]])</f>
        <v>408</v>
      </c>
      <c r="K2373" s="70">
        <f>Vendas[[#This Row],[Lucro da Venda]]/Vendas[[#This Row],[Valor da Venda]]</f>
        <v>0.2857142857142857</v>
      </c>
      <c r="L2373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2373"/>
    </row>
    <row r="2374" spans="1:13" x14ac:dyDescent="0.3">
      <c r="A2374" s="7">
        <v>400241</v>
      </c>
      <c r="B2374" t="str">
        <f>_xlfn.XLOOKUP(Vendas[[#This Row],[ID Vendedor]],Vendedores[ID],Vendedores[Nome])</f>
        <v>Rodrigo</v>
      </c>
      <c r="C2374" s="7" t="str">
        <f>_xlfn.XLOOKUP(Vendas[[#This Row],[ID Vendedor]],Vendedores[ID],Vendedores[Setor])</f>
        <v>FM</v>
      </c>
      <c r="D2374" s="7" t="s">
        <v>27</v>
      </c>
      <c r="E2374" t="str">
        <f>_xlfn.XLOOKUP(Vendas[[#This Row],[ID Item Vendido]],Agregado[ID],Agregado[Produto])</f>
        <v>Chapa de metal lisa 1x2m</v>
      </c>
      <c r="F2374" s="39">
        <v>45016</v>
      </c>
      <c r="G2374" s="7">
        <v>16</v>
      </c>
      <c r="H2374" s="3">
        <f>_xlfn.XLOOKUP(Vendas[[#This Row],[ID Item Vendido]],Agregado[ID],Agregado[Revenda])</f>
        <v>52</v>
      </c>
      <c r="I2374" s="3">
        <f>Vendas[[#This Row],[Valor Unitário]]*Vendas[[#This Row],[Qnt Vendida]]</f>
        <v>832</v>
      </c>
      <c r="J2374" s="3">
        <f>Vendas[[#This Row],[Valor da Venda]]-(_xlfn.XLOOKUP(Vendas[[#This Row],[ID Item Vendido]],Agregado[ID],Agregado[Custo])*Vendas[[#This Row],[Qnt Vendida]])</f>
        <v>112</v>
      </c>
      <c r="K2374" s="70">
        <f>Vendas[[#This Row],[Lucro da Venda]]/Vendas[[#This Row],[Valor da Venda]]</f>
        <v>0.13461538461538461</v>
      </c>
      <c r="L2374" s="3">
        <f>_xlfn.IFS(Vendas[[#This Row],[Margem de Lucro (%)]]&lt;15%,Vendas[[#This Row],[Valor da Venda]]*3%,Vendas[[#This Row],[Margem de Lucro (%)]]&lt;=20%,Vendas[[#This Row],[Valor da Venda]]*4.5%,TRUE,Vendas[[#This Row],[Valor da Venda]]*6%)</f>
        <v>24.96</v>
      </c>
      <c r="M2374"/>
    </row>
    <row r="2375" spans="1:13" x14ac:dyDescent="0.3">
      <c r="A2375" s="7">
        <v>400242</v>
      </c>
      <c r="B2375" t="str">
        <f>_xlfn.XLOOKUP(Vendas[[#This Row],[ID Vendedor]],Vendedores[ID],Vendedores[Nome])</f>
        <v>Fernanda</v>
      </c>
      <c r="C2375" s="7" t="str">
        <f>_xlfn.XLOOKUP(Vendas[[#This Row],[ID Vendedor]],Vendedores[ID],Vendedores[Setor])</f>
        <v>FM</v>
      </c>
      <c r="D2375" s="7" t="s">
        <v>31</v>
      </c>
      <c r="E2375" t="str">
        <f>_xlfn.XLOOKUP(Vendas[[#This Row],[ID Item Vendido]],Agregado[ID],Agregado[Produto])</f>
        <v>Tela de metal soldada rolo 2x25m</v>
      </c>
      <c r="F2375" s="39">
        <v>45016</v>
      </c>
      <c r="G2375" s="7">
        <v>17</v>
      </c>
      <c r="H2375" s="3">
        <f>_xlfn.XLOOKUP(Vendas[[#This Row],[ID Item Vendido]],Agregado[ID],Agregado[Revenda])</f>
        <v>43.7</v>
      </c>
      <c r="I2375" s="3">
        <f>Vendas[[#This Row],[Valor Unitário]]*Vendas[[#This Row],[Qnt Vendida]]</f>
        <v>742.90000000000009</v>
      </c>
      <c r="J2375" s="3">
        <f>Vendas[[#This Row],[Valor da Venda]]-(_xlfn.XLOOKUP(Vendas[[#This Row],[ID Item Vendido]],Agregado[ID],Agregado[Custo])*Vendas[[#This Row],[Qnt Vendida]])</f>
        <v>96.900000000000091</v>
      </c>
      <c r="K2375" s="70">
        <f>Vendas[[#This Row],[Lucro da Venda]]/Vendas[[#This Row],[Valor da Venda]]</f>
        <v>0.13043478260869576</v>
      </c>
      <c r="L2375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2375"/>
    </row>
    <row r="2376" spans="1:13" x14ac:dyDescent="0.3">
      <c r="A2376" s="7">
        <v>400245</v>
      </c>
      <c r="B2376" t="str">
        <f>_xlfn.XLOOKUP(Vendas[[#This Row],[ID Vendedor]],Vendedores[ID],Vendedores[Nome])</f>
        <v>Thiago</v>
      </c>
      <c r="C2376" s="7" t="str">
        <f>_xlfn.XLOOKUP(Vendas[[#This Row],[ID Vendedor]],Vendedores[ID],Vendedores[Setor])</f>
        <v>AHD</v>
      </c>
      <c r="D2376" s="7" t="s">
        <v>30</v>
      </c>
      <c r="E2376" t="str">
        <f>_xlfn.XLOOKUP(Vendas[[#This Row],[ID Item Vendido]],Agregado[ID],Agregado[Produto])</f>
        <v>Estrutura metálica soldada</v>
      </c>
      <c r="F2376" s="39">
        <v>45016</v>
      </c>
      <c r="G2376" s="7">
        <v>1</v>
      </c>
      <c r="H2376" s="3">
        <f>_xlfn.XLOOKUP(Vendas[[#This Row],[ID Item Vendido]],Agregado[ID],Agregado[Revenda])</f>
        <v>400</v>
      </c>
      <c r="I2376" s="3">
        <f>Vendas[[#This Row],[Valor Unitário]]*Vendas[[#This Row],[Qnt Vendida]]</f>
        <v>400</v>
      </c>
      <c r="J2376" s="3">
        <f>Vendas[[#This Row],[Valor da Venda]]-(_xlfn.XLOOKUP(Vendas[[#This Row],[ID Item Vendido]],Agregado[ID],Agregado[Custo])*Vendas[[#This Row],[Qnt Vendida]])</f>
        <v>80</v>
      </c>
      <c r="K2376" s="70">
        <f>Vendas[[#This Row],[Lucro da Venda]]/Vendas[[#This Row],[Valor da Venda]]</f>
        <v>0.2</v>
      </c>
      <c r="L2376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376"/>
    </row>
    <row r="2377" spans="1:13" x14ac:dyDescent="0.3">
      <c r="A2377" s="7">
        <v>400251</v>
      </c>
      <c r="B2377" t="str">
        <f>_xlfn.XLOOKUP(Vendas[[#This Row],[ID Vendedor]],Vendedores[ID],Vendedores[Nome])</f>
        <v>Diego</v>
      </c>
      <c r="C2377" s="7" t="str">
        <f>_xlfn.XLOOKUP(Vendas[[#This Row],[ID Vendedor]],Vendedores[ID],Vendedores[Setor])</f>
        <v>AB</v>
      </c>
      <c r="D2377" s="7" t="s">
        <v>12</v>
      </c>
      <c r="E2377" t="str">
        <f>_xlfn.XLOOKUP(Vendas[[#This Row],[ID Item Vendido]],Agregado[ID],Agregado[Produto])</f>
        <v>Grânulo de plástico reciclado refinado</v>
      </c>
      <c r="F2377" s="39">
        <v>45016</v>
      </c>
      <c r="G2377" s="7">
        <v>15</v>
      </c>
      <c r="H2377" s="3">
        <f>_xlfn.XLOOKUP(Vendas[[#This Row],[ID Item Vendido]],Agregado[ID],Agregado[Revenda])</f>
        <v>4.7</v>
      </c>
      <c r="I2377" s="3">
        <f>Vendas[[#This Row],[Valor Unitário]]*Vendas[[#This Row],[Qnt Vendida]]</f>
        <v>70.5</v>
      </c>
      <c r="J2377" s="3">
        <f>Vendas[[#This Row],[Valor da Venda]]-(_xlfn.XLOOKUP(Vendas[[#This Row],[ID Item Vendido]],Agregado[ID],Agregado[Custo])*Vendas[[#This Row],[Qnt Vendida]])</f>
        <v>18</v>
      </c>
      <c r="K2377" s="70">
        <f>Vendas[[#This Row],[Lucro da Venda]]/Vendas[[#This Row],[Valor da Venda]]</f>
        <v>0.25531914893617019</v>
      </c>
      <c r="L2377" s="3">
        <f>_xlfn.IFS(Vendas[[#This Row],[Margem de Lucro (%)]]&lt;15%,Vendas[[#This Row],[Valor da Venda]]*3%,Vendas[[#This Row],[Margem de Lucro (%)]]&lt;=20%,Vendas[[#This Row],[Valor da Venda]]*4.5%,TRUE,Vendas[[#This Row],[Valor da Venda]]*6%)</f>
        <v>4.2299999999999995</v>
      </c>
      <c r="M2377"/>
    </row>
    <row r="2378" spans="1:13" x14ac:dyDescent="0.3">
      <c r="A2378" s="7">
        <v>400242</v>
      </c>
      <c r="B2378" t="str">
        <f>_xlfn.XLOOKUP(Vendas[[#This Row],[ID Vendedor]],Vendedores[ID],Vendedores[Nome])</f>
        <v>Fernanda</v>
      </c>
      <c r="C2378" s="7" t="str">
        <f>_xlfn.XLOOKUP(Vendas[[#This Row],[ID Vendedor]],Vendedores[ID],Vendedores[Setor])</f>
        <v>FM</v>
      </c>
      <c r="D2378" s="7" t="s">
        <v>6</v>
      </c>
      <c r="E2378" t="str">
        <f>_xlfn.XLOOKUP(Vendas[[#This Row],[ID Item Vendido]],Agregado[ID],Agregado[Produto])</f>
        <v>Parafuso comum 500un</v>
      </c>
      <c r="F2378" s="39">
        <v>45016</v>
      </c>
      <c r="G2378" s="7">
        <v>2</v>
      </c>
      <c r="H2378" s="3">
        <f>_xlfn.XLOOKUP(Vendas[[#This Row],[ID Item Vendido]],Agregado[ID],Agregado[Revenda])</f>
        <v>24.6</v>
      </c>
      <c r="I2378" s="3">
        <f>Vendas[[#This Row],[Valor Unitário]]*Vendas[[#This Row],[Qnt Vendida]]</f>
        <v>49.2</v>
      </c>
      <c r="J2378" s="3">
        <f>Vendas[[#This Row],[Valor da Venda]]-(_xlfn.XLOOKUP(Vendas[[#This Row],[ID Item Vendido]],Agregado[ID],Agregado[Custo])*Vendas[[#This Row],[Qnt Vendida]])</f>
        <v>5.2000000000000028</v>
      </c>
      <c r="K2378" s="70">
        <f>Vendas[[#This Row],[Lucro da Venda]]/Vendas[[#This Row],[Valor da Venda]]</f>
        <v>0.10569105691056915</v>
      </c>
      <c r="L2378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2378"/>
    </row>
    <row r="2379" spans="1:13" x14ac:dyDescent="0.3">
      <c r="A2379" s="7">
        <v>400242</v>
      </c>
      <c r="B2379" t="str">
        <f>_xlfn.XLOOKUP(Vendas[[#This Row],[ID Vendedor]],Vendedores[ID],Vendedores[Nome])</f>
        <v>Fernanda</v>
      </c>
      <c r="C2379" s="7" t="str">
        <f>_xlfn.XLOOKUP(Vendas[[#This Row],[ID Vendedor]],Vendedores[ID],Vendedores[Setor])</f>
        <v>FM</v>
      </c>
      <c r="D2379" s="7" t="s">
        <v>47</v>
      </c>
      <c r="E2379" t="str">
        <f>_xlfn.XLOOKUP(Vendas[[#This Row],[ID Item Vendido]],Agregado[ID],Agregado[Produto])</f>
        <v>Fio de arame galvanizado rolo 50m</v>
      </c>
      <c r="F2379" s="39">
        <v>45017</v>
      </c>
      <c r="G2379" s="7">
        <v>37</v>
      </c>
      <c r="H2379" s="3">
        <f>_xlfn.XLOOKUP(Vendas[[#This Row],[ID Item Vendido]],Agregado[ID],Agregado[Revenda])</f>
        <v>21.2</v>
      </c>
      <c r="I2379" s="3">
        <f>Vendas[[#This Row],[Valor Unitário]]*Vendas[[#This Row],[Qnt Vendida]]</f>
        <v>784.4</v>
      </c>
      <c r="J2379" s="3">
        <f>Vendas[[#This Row],[Valor da Venda]]-(_xlfn.XLOOKUP(Vendas[[#This Row],[ID Item Vendido]],Agregado[ID],Agregado[Custo])*Vendas[[#This Row],[Qnt Vendida]])</f>
        <v>118.39999999999998</v>
      </c>
      <c r="K2379" s="70">
        <f>Vendas[[#This Row],[Lucro da Venda]]/Vendas[[#This Row],[Valor da Venda]]</f>
        <v>0.15094339622641506</v>
      </c>
      <c r="L2379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2379"/>
    </row>
    <row r="2380" spans="1:13" x14ac:dyDescent="0.3">
      <c r="A2380" s="7">
        <v>400242</v>
      </c>
      <c r="B2380" t="str">
        <f>_xlfn.XLOOKUP(Vendas[[#This Row],[ID Vendedor]],Vendedores[ID],Vendedores[Nome])</f>
        <v>Fernanda</v>
      </c>
      <c r="C2380" s="7" t="str">
        <f>_xlfn.XLOOKUP(Vendas[[#This Row],[ID Vendedor]],Vendedores[ID],Vendedores[Setor])</f>
        <v>FM</v>
      </c>
      <c r="D2380" s="7" t="s">
        <v>20</v>
      </c>
      <c r="E2380" t="str">
        <f>_xlfn.XLOOKUP(Vendas[[#This Row],[ID Item Vendido]],Agregado[ID],Agregado[Produto])</f>
        <v>Barra de aço simples</v>
      </c>
      <c r="F2380" s="39">
        <v>45018</v>
      </c>
      <c r="G2380" s="7">
        <v>30</v>
      </c>
      <c r="H2380" s="3">
        <f>_xlfn.XLOOKUP(Vendas[[#This Row],[ID Item Vendido]],Agregado[ID],Agregado[Revenda])</f>
        <v>4.8</v>
      </c>
      <c r="I2380" s="3">
        <f>Vendas[[#This Row],[Valor Unitário]]*Vendas[[#This Row],[Qnt Vendida]]</f>
        <v>144</v>
      </c>
      <c r="J2380" s="3">
        <f>Vendas[[#This Row],[Valor da Venda]]-(_xlfn.XLOOKUP(Vendas[[#This Row],[ID Item Vendido]],Agregado[ID],Agregado[Custo])*Vendas[[#This Row],[Qnt Vendida]])</f>
        <v>18</v>
      </c>
      <c r="K2380" s="70">
        <f>Vendas[[#This Row],[Lucro da Venda]]/Vendas[[#This Row],[Valor da Venda]]</f>
        <v>0.125</v>
      </c>
      <c r="L2380" s="3">
        <f>_xlfn.IFS(Vendas[[#This Row],[Margem de Lucro (%)]]&lt;15%,Vendas[[#This Row],[Valor da Venda]]*3%,Vendas[[#This Row],[Margem de Lucro (%)]]&lt;=20%,Vendas[[#This Row],[Valor da Venda]]*4.5%,TRUE,Vendas[[#This Row],[Valor da Venda]]*6%)</f>
        <v>4.32</v>
      </c>
      <c r="M2380"/>
    </row>
    <row r="2381" spans="1:13" x14ac:dyDescent="0.3">
      <c r="A2381" s="7">
        <v>400251</v>
      </c>
      <c r="B2381" t="str">
        <f>_xlfn.XLOOKUP(Vendas[[#This Row],[ID Vendedor]],Vendedores[ID],Vendedores[Nome])</f>
        <v>Diego</v>
      </c>
      <c r="C2381" s="7" t="str">
        <f>_xlfn.XLOOKUP(Vendas[[#This Row],[ID Vendedor]],Vendedores[ID],Vendedores[Setor])</f>
        <v>AB</v>
      </c>
      <c r="D2381" s="7" t="s">
        <v>24</v>
      </c>
      <c r="E2381" t="str">
        <f>_xlfn.XLOOKUP(Vendas[[#This Row],[ID Item Vendido]],Agregado[ID],Agregado[Produto])</f>
        <v>Resina plástica PET purificada saco de 25kg</v>
      </c>
      <c r="F2381" s="39">
        <v>45019</v>
      </c>
      <c r="G2381" s="7">
        <v>23</v>
      </c>
      <c r="H2381" s="3">
        <f>_xlfn.XLOOKUP(Vendas[[#This Row],[ID Item Vendido]],Agregado[ID],Agregado[Revenda])</f>
        <v>119</v>
      </c>
      <c r="I2381" s="3">
        <f>Vendas[[#This Row],[Valor Unitário]]*Vendas[[#This Row],[Qnt Vendida]]</f>
        <v>2737</v>
      </c>
      <c r="J2381" s="3">
        <f>Vendas[[#This Row],[Valor da Venda]]-(_xlfn.XLOOKUP(Vendas[[#This Row],[ID Item Vendido]],Agregado[ID],Agregado[Custo])*Vendas[[#This Row],[Qnt Vendida]])</f>
        <v>782</v>
      </c>
      <c r="K2381" s="70">
        <f>Vendas[[#This Row],[Lucro da Venda]]/Vendas[[#This Row],[Valor da Venda]]</f>
        <v>0.2857142857142857</v>
      </c>
      <c r="L2381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2381"/>
    </row>
    <row r="2382" spans="1:13" x14ac:dyDescent="0.3">
      <c r="A2382" s="7">
        <v>400241</v>
      </c>
      <c r="B2382" t="str">
        <f>_xlfn.XLOOKUP(Vendas[[#This Row],[ID Vendedor]],Vendedores[ID],Vendedores[Nome])</f>
        <v>Rodrigo</v>
      </c>
      <c r="C2382" s="7" t="str">
        <f>_xlfn.XLOOKUP(Vendas[[#This Row],[ID Vendedor]],Vendedores[ID],Vendedores[Setor])</f>
        <v>FM</v>
      </c>
      <c r="D2382" s="7" t="s">
        <v>6</v>
      </c>
      <c r="E2382" t="str">
        <f>_xlfn.XLOOKUP(Vendas[[#This Row],[ID Item Vendido]],Agregado[ID],Agregado[Produto])</f>
        <v>Parafuso comum 500un</v>
      </c>
      <c r="F2382" s="39">
        <v>45020</v>
      </c>
      <c r="G2382" s="7">
        <v>22</v>
      </c>
      <c r="H2382" s="3">
        <f>_xlfn.XLOOKUP(Vendas[[#This Row],[ID Item Vendido]],Agregado[ID],Agregado[Revenda])</f>
        <v>24.6</v>
      </c>
      <c r="I2382" s="3">
        <f>Vendas[[#This Row],[Valor Unitário]]*Vendas[[#This Row],[Qnt Vendida]]</f>
        <v>541.20000000000005</v>
      </c>
      <c r="J2382" s="3">
        <f>Vendas[[#This Row],[Valor da Venda]]-(_xlfn.XLOOKUP(Vendas[[#This Row],[ID Item Vendido]],Agregado[ID],Agregado[Custo])*Vendas[[#This Row],[Qnt Vendida]])</f>
        <v>57.200000000000045</v>
      </c>
      <c r="K2382" s="70">
        <f>Vendas[[#This Row],[Lucro da Venda]]/Vendas[[#This Row],[Valor da Venda]]</f>
        <v>0.10569105691056918</v>
      </c>
      <c r="L2382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382"/>
    </row>
    <row r="2383" spans="1:13" x14ac:dyDescent="0.3">
      <c r="A2383" s="7">
        <v>400253</v>
      </c>
      <c r="B2383" t="str">
        <f>_xlfn.XLOOKUP(Vendas[[#This Row],[ID Vendedor]],Vendedores[ID],Vendedores[Nome])</f>
        <v>Gustavo</v>
      </c>
      <c r="C2383" s="7" t="str">
        <f>_xlfn.XLOOKUP(Vendas[[#This Row],[ID Vendedor]],Vendedores[ID],Vendedores[Setor])</f>
        <v>SC</v>
      </c>
      <c r="D2383" s="7" t="s">
        <v>48</v>
      </c>
      <c r="E2383" t="str">
        <f>_xlfn.XLOOKUP(Vendas[[#This Row],[ID Item Vendido]],Agregado[ID],Agregado[Produto])</f>
        <v>Tambor metálico 200L</v>
      </c>
      <c r="F2383" s="39">
        <v>45021</v>
      </c>
      <c r="G2383" s="7">
        <v>12</v>
      </c>
      <c r="H2383" s="3">
        <f>_xlfn.XLOOKUP(Vendas[[#This Row],[ID Item Vendido]],Agregado[ID],Agregado[Revenda])</f>
        <v>144</v>
      </c>
      <c r="I2383" s="3">
        <f>Vendas[[#This Row],[Valor Unitário]]*Vendas[[#This Row],[Qnt Vendida]]</f>
        <v>1728</v>
      </c>
      <c r="J2383" s="3">
        <f>Vendas[[#This Row],[Valor da Venda]]-(_xlfn.XLOOKUP(Vendas[[#This Row],[ID Item Vendido]],Agregado[ID],Agregado[Custo])*Vendas[[#This Row],[Qnt Vendida]])</f>
        <v>288</v>
      </c>
      <c r="K2383" s="70">
        <f>Vendas[[#This Row],[Lucro da Venda]]/Vendas[[#This Row],[Valor da Venda]]</f>
        <v>0.16666666666666666</v>
      </c>
      <c r="L2383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2383"/>
    </row>
    <row r="2384" spans="1:13" x14ac:dyDescent="0.3">
      <c r="A2384" s="7">
        <v>400243</v>
      </c>
      <c r="B2384" t="str">
        <f>_xlfn.XLOOKUP(Vendas[[#This Row],[ID Vendedor]],Vendedores[ID],Vendedores[Nome])</f>
        <v>Marcelo</v>
      </c>
      <c r="C2384" s="7" t="str">
        <f>_xlfn.XLOOKUP(Vendas[[#This Row],[ID Vendedor]],Vendedores[ID],Vendedores[Setor])</f>
        <v>FM</v>
      </c>
      <c r="D2384" s="7" t="s">
        <v>47</v>
      </c>
      <c r="E2384" t="str">
        <f>_xlfn.XLOOKUP(Vendas[[#This Row],[ID Item Vendido]],Agregado[ID],Agregado[Produto])</f>
        <v>Fio de arame galvanizado rolo 50m</v>
      </c>
      <c r="F2384" s="39">
        <v>45021</v>
      </c>
      <c r="G2384" s="7">
        <v>39</v>
      </c>
      <c r="H2384" s="3">
        <f>_xlfn.XLOOKUP(Vendas[[#This Row],[ID Item Vendido]],Agregado[ID],Agregado[Revenda])</f>
        <v>21.2</v>
      </c>
      <c r="I2384" s="3">
        <f>Vendas[[#This Row],[Valor Unitário]]*Vendas[[#This Row],[Qnt Vendida]]</f>
        <v>826.8</v>
      </c>
      <c r="J2384" s="3">
        <f>Vendas[[#This Row],[Valor da Venda]]-(_xlfn.XLOOKUP(Vendas[[#This Row],[ID Item Vendido]],Agregado[ID],Agregado[Custo])*Vendas[[#This Row],[Qnt Vendida]])</f>
        <v>124.79999999999995</v>
      </c>
      <c r="K2384" s="70">
        <f>Vendas[[#This Row],[Lucro da Venda]]/Vendas[[#This Row],[Valor da Venda]]</f>
        <v>0.15094339622641506</v>
      </c>
      <c r="L2384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2384"/>
    </row>
    <row r="2385" spans="1:13" x14ac:dyDescent="0.3">
      <c r="A2385" s="7">
        <v>400243</v>
      </c>
      <c r="B2385" t="str">
        <f>_xlfn.XLOOKUP(Vendas[[#This Row],[ID Vendedor]],Vendedores[ID],Vendedores[Nome])</f>
        <v>Marcelo</v>
      </c>
      <c r="C2385" s="7" t="str">
        <f>_xlfn.XLOOKUP(Vendas[[#This Row],[ID Vendedor]],Vendedores[ID],Vendedores[Setor])</f>
        <v>FM</v>
      </c>
      <c r="D2385" s="7" t="s">
        <v>6</v>
      </c>
      <c r="E2385" t="str">
        <f>_xlfn.XLOOKUP(Vendas[[#This Row],[ID Item Vendido]],Agregado[ID],Agregado[Produto])</f>
        <v>Parafuso comum 500un</v>
      </c>
      <c r="F2385" s="39">
        <v>45022</v>
      </c>
      <c r="G2385" s="7">
        <v>2</v>
      </c>
      <c r="H2385" s="3">
        <f>_xlfn.XLOOKUP(Vendas[[#This Row],[ID Item Vendido]],Agregado[ID],Agregado[Revenda])</f>
        <v>24.6</v>
      </c>
      <c r="I2385" s="3">
        <f>Vendas[[#This Row],[Valor Unitário]]*Vendas[[#This Row],[Qnt Vendida]]</f>
        <v>49.2</v>
      </c>
      <c r="J2385" s="3">
        <f>Vendas[[#This Row],[Valor da Venda]]-(_xlfn.XLOOKUP(Vendas[[#This Row],[ID Item Vendido]],Agregado[ID],Agregado[Custo])*Vendas[[#This Row],[Qnt Vendida]])</f>
        <v>5.2000000000000028</v>
      </c>
      <c r="K2385" s="70">
        <f>Vendas[[#This Row],[Lucro da Venda]]/Vendas[[#This Row],[Valor da Venda]]</f>
        <v>0.10569105691056915</v>
      </c>
      <c r="L2385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2385"/>
    </row>
    <row r="2386" spans="1:13" x14ac:dyDescent="0.3">
      <c r="A2386" s="7">
        <v>400255</v>
      </c>
      <c r="B2386" t="str">
        <f>_xlfn.XLOOKUP(Vendas[[#This Row],[ID Vendedor]],Vendedores[ID],Vendedores[Nome])</f>
        <v>Carlos</v>
      </c>
      <c r="C2386" s="7" t="str">
        <f>_xlfn.XLOOKUP(Vendas[[#This Row],[ID Vendedor]],Vendedores[ID],Vendedores[Setor])</f>
        <v>SC</v>
      </c>
      <c r="D2386" s="7" t="s">
        <v>48</v>
      </c>
      <c r="E2386" t="str">
        <f>_xlfn.XLOOKUP(Vendas[[#This Row],[ID Item Vendido]],Agregado[ID],Agregado[Produto])</f>
        <v>Tambor metálico 200L</v>
      </c>
      <c r="F2386" s="39">
        <v>45023</v>
      </c>
      <c r="G2386" s="7">
        <v>15</v>
      </c>
      <c r="H2386" s="3">
        <f>_xlfn.XLOOKUP(Vendas[[#This Row],[ID Item Vendido]],Agregado[ID],Agregado[Revenda])</f>
        <v>144</v>
      </c>
      <c r="I2386" s="3">
        <f>Vendas[[#This Row],[Valor Unitário]]*Vendas[[#This Row],[Qnt Vendida]]</f>
        <v>2160</v>
      </c>
      <c r="J2386" s="3">
        <f>Vendas[[#This Row],[Valor da Venda]]-(_xlfn.XLOOKUP(Vendas[[#This Row],[ID Item Vendido]],Agregado[ID],Agregado[Custo])*Vendas[[#This Row],[Qnt Vendida]])</f>
        <v>360</v>
      </c>
      <c r="K2386" s="70">
        <f>Vendas[[#This Row],[Lucro da Venda]]/Vendas[[#This Row],[Valor da Venda]]</f>
        <v>0.16666666666666666</v>
      </c>
      <c r="L2386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2386"/>
    </row>
    <row r="2387" spans="1:13" x14ac:dyDescent="0.3">
      <c r="A2387" s="7">
        <v>400245</v>
      </c>
      <c r="B2387" t="str">
        <f>_xlfn.XLOOKUP(Vendas[[#This Row],[ID Vendedor]],Vendedores[ID],Vendedores[Nome])</f>
        <v>Thiago</v>
      </c>
      <c r="C2387" s="7" t="str">
        <f>_xlfn.XLOOKUP(Vendas[[#This Row],[ID Vendedor]],Vendedores[ID],Vendedores[Setor])</f>
        <v>AHD</v>
      </c>
      <c r="D2387" s="7" t="s">
        <v>30</v>
      </c>
      <c r="E2387" t="str">
        <f>_xlfn.XLOOKUP(Vendas[[#This Row],[ID Item Vendido]],Agregado[ID],Agregado[Produto])</f>
        <v>Estrutura metálica soldada</v>
      </c>
      <c r="F2387" s="39">
        <v>45023</v>
      </c>
      <c r="G2387" s="7">
        <v>5</v>
      </c>
      <c r="H2387" s="3">
        <f>_xlfn.XLOOKUP(Vendas[[#This Row],[ID Item Vendido]],Agregado[ID],Agregado[Revenda])</f>
        <v>400</v>
      </c>
      <c r="I2387" s="3">
        <f>Vendas[[#This Row],[Valor Unitário]]*Vendas[[#This Row],[Qnt Vendida]]</f>
        <v>2000</v>
      </c>
      <c r="J2387" s="3">
        <f>Vendas[[#This Row],[Valor da Venda]]-(_xlfn.XLOOKUP(Vendas[[#This Row],[ID Item Vendido]],Agregado[ID],Agregado[Custo])*Vendas[[#This Row],[Qnt Vendida]])</f>
        <v>400</v>
      </c>
      <c r="K2387" s="70">
        <f>Vendas[[#This Row],[Lucro da Venda]]/Vendas[[#This Row],[Valor da Venda]]</f>
        <v>0.2</v>
      </c>
      <c r="L2387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387"/>
    </row>
    <row r="2388" spans="1:13" x14ac:dyDescent="0.3">
      <c r="A2388" s="7">
        <v>400246</v>
      </c>
      <c r="B2388" t="str">
        <f>_xlfn.XLOOKUP(Vendas[[#This Row],[ID Vendedor]],Vendedores[ID],Vendedores[Nome])</f>
        <v>Juliana</v>
      </c>
      <c r="C2388" s="7" t="str">
        <f>_xlfn.XLOOKUP(Vendas[[#This Row],[ID Vendedor]],Vendedores[ID],Vendedores[Setor])</f>
        <v>AHD</v>
      </c>
      <c r="D2388" s="7" t="s">
        <v>28</v>
      </c>
      <c r="E2388" t="str">
        <f>_xlfn.XLOOKUP(Vendas[[#This Row],[ID Item Vendido]],Agregado[ID],Agregado[Produto])</f>
        <v>Peça usinada CNC</v>
      </c>
      <c r="F2388" s="39">
        <v>45024</v>
      </c>
      <c r="G2388" s="7">
        <v>11</v>
      </c>
      <c r="H2388" s="3">
        <f>_xlfn.XLOOKUP(Vendas[[#This Row],[ID Item Vendido]],Agregado[ID],Agregado[Revenda])</f>
        <v>192</v>
      </c>
      <c r="I2388" s="3">
        <f>Vendas[[#This Row],[Valor Unitário]]*Vendas[[#This Row],[Qnt Vendida]]</f>
        <v>2112</v>
      </c>
      <c r="J2388" s="3">
        <f>Vendas[[#This Row],[Valor da Venda]]-(_xlfn.XLOOKUP(Vendas[[#This Row],[ID Item Vendido]],Agregado[ID],Agregado[Custo])*Vendas[[#This Row],[Qnt Vendida]])</f>
        <v>462</v>
      </c>
      <c r="K2388" s="70">
        <f>Vendas[[#This Row],[Lucro da Venda]]/Vendas[[#This Row],[Valor da Venda]]</f>
        <v>0.21875</v>
      </c>
      <c r="L2388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2388"/>
    </row>
    <row r="2389" spans="1:13" x14ac:dyDescent="0.3">
      <c r="A2389" s="7">
        <v>400254</v>
      </c>
      <c r="B2389" t="str">
        <f>_xlfn.XLOOKUP(Vendas[[#This Row],[ID Vendedor]],Vendedores[ID],Vendedores[Nome])</f>
        <v>Beatriz</v>
      </c>
      <c r="C2389" s="7" t="str">
        <f>_xlfn.XLOOKUP(Vendas[[#This Row],[ID Vendedor]],Vendedores[ID],Vendedores[Setor])</f>
        <v>SC</v>
      </c>
      <c r="D2389" s="7" t="s">
        <v>14</v>
      </c>
      <c r="E2389" t="str">
        <f>_xlfn.XLOOKUP(Vendas[[#This Row],[ID Item Vendido]],Agregado[ID],Agregado[Produto])</f>
        <v>Barril de plástico 200L</v>
      </c>
      <c r="F2389" s="39">
        <v>45024</v>
      </c>
      <c r="G2389" s="7">
        <v>11</v>
      </c>
      <c r="H2389" s="3">
        <f>_xlfn.XLOOKUP(Vendas[[#This Row],[ID Item Vendido]],Agregado[ID],Agregado[Revenda])</f>
        <v>114</v>
      </c>
      <c r="I2389" s="3">
        <f>Vendas[[#This Row],[Valor Unitário]]*Vendas[[#This Row],[Qnt Vendida]]</f>
        <v>1254</v>
      </c>
      <c r="J2389" s="3">
        <f>Vendas[[#This Row],[Valor da Venda]]-(_xlfn.XLOOKUP(Vendas[[#This Row],[ID Item Vendido]],Agregado[ID],Agregado[Custo])*Vendas[[#This Row],[Qnt Vendida]])</f>
        <v>209</v>
      </c>
      <c r="K2389" s="70">
        <f>Vendas[[#This Row],[Lucro da Venda]]/Vendas[[#This Row],[Valor da Venda]]</f>
        <v>0.16666666666666666</v>
      </c>
      <c r="L238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389"/>
    </row>
    <row r="2390" spans="1:13" x14ac:dyDescent="0.3">
      <c r="A2390" s="7">
        <v>400249</v>
      </c>
      <c r="B2390" t="str">
        <f>_xlfn.XLOOKUP(Vendas[[#This Row],[ID Vendedor]],Vendedores[ID],Vendedores[Nome])</f>
        <v>Bruno</v>
      </c>
      <c r="C2390" s="7" t="str">
        <f>_xlfn.XLOOKUP(Vendas[[#This Row],[ID Vendedor]],Vendedores[ID],Vendedores[Setor])</f>
        <v>CM</v>
      </c>
      <c r="D2390" s="7" t="s">
        <v>34</v>
      </c>
      <c r="E2390" t="str">
        <f>_xlfn.XLOOKUP(Vendas[[#This Row],[ID Item Vendido]],Agregado[ID],Agregado[Produto])</f>
        <v>Restos de madeira p/ MDP/OSB saco de 20kg</v>
      </c>
      <c r="F2390" s="39">
        <v>45024</v>
      </c>
      <c r="G2390" s="7">
        <v>22</v>
      </c>
      <c r="H2390" s="3">
        <f>_xlfn.XLOOKUP(Vendas[[#This Row],[ID Item Vendido]],Agregado[ID],Agregado[Revenda])</f>
        <v>13.8</v>
      </c>
      <c r="I2390" s="3">
        <f>Vendas[[#This Row],[Valor Unitário]]*Vendas[[#This Row],[Qnt Vendida]]</f>
        <v>303.60000000000002</v>
      </c>
      <c r="J2390" s="3">
        <f>Vendas[[#This Row],[Valor da Venda]]-(_xlfn.XLOOKUP(Vendas[[#This Row],[ID Item Vendido]],Agregado[ID],Agregado[Custo])*Vendas[[#This Row],[Qnt Vendida]])</f>
        <v>39.600000000000023</v>
      </c>
      <c r="K2390" s="70">
        <f>Vendas[[#This Row],[Lucro da Venda]]/Vendas[[#This Row],[Valor da Venda]]</f>
        <v>0.1304347826086957</v>
      </c>
      <c r="L2390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2390"/>
    </row>
    <row r="2391" spans="1:13" x14ac:dyDescent="0.3">
      <c r="A2391" s="7">
        <v>400242</v>
      </c>
      <c r="B2391" t="str">
        <f>_xlfn.XLOOKUP(Vendas[[#This Row],[ID Vendedor]],Vendedores[ID],Vendedores[Nome])</f>
        <v>Fernanda</v>
      </c>
      <c r="C2391" s="7" t="str">
        <f>_xlfn.XLOOKUP(Vendas[[#This Row],[ID Vendedor]],Vendedores[ID],Vendedores[Setor])</f>
        <v>FM</v>
      </c>
      <c r="D2391" s="7" t="s">
        <v>31</v>
      </c>
      <c r="E2391" t="str">
        <f>_xlfn.XLOOKUP(Vendas[[#This Row],[ID Item Vendido]],Agregado[ID],Agregado[Produto])</f>
        <v>Tela de metal soldada rolo 2x25m</v>
      </c>
      <c r="F2391" s="39">
        <v>45024</v>
      </c>
      <c r="G2391" s="7">
        <v>4</v>
      </c>
      <c r="H2391" s="3">
        <f>_xlfn.XLOOKUP(Vendas[[#This Row],[ID Item Vendido]],Agregado[ID],Agregado[Revenda])</f>
        <v>43.7</v>
      </c>
      <c r="I2391" s="3">
        <f>Vendas[[#This Row],[Valor Unitário]]*Vendas[[#This Row],[Qnt Vendida]]</f>
        <v>174.8</v>
      </c>
      <c r="J2391" s="3">
        <f>Vendas[[#This Row],[Valor da Venda]]-(_xlfn.XLOOKUP(Vendas[[#This Row],[ID Item Vendido]],Agregado[ID],Agregado[Custo])*Vendas[[#This Row],[Qnt Vendida]])</f>
        <v>22.800000000000011</v>
      </c>
      <c r="K2391" s="70">
        <f>Vendas[[#This Row],[Lucro da Venda]]/Vendas[[#This Row],[Valor da Venda]]</f>
        <v>0.1304347826086957</v>
      </c>
      <c r="L2391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2391"/>
    </row>
    <row r="2392" spans="1:13" x14ac:dyDescent="0.3">
      <c r="A2392" s="7">
        <v>400250</v>
      </c>
      <c r="B2392" t="str">
        <f>_xlfn.XLOOKUP(Vendas[[#This Row],[ID Vendedor]],Vendedores[ID],Vendedores[Nome])</f>
        <v>Larissa</v>
      </c>
      <c r="C2392" s="7" t="str">
        <f>_xlfn.XLOOKUP(Vendas[[#This Row],[ID Vendedor]],Vendedores[ID],Vendedores[Setor])</f>
        <v>AB</v>
      </c>
      <c r="D2392" s="7" t="s">
        <v>36</v>
      </c>
      <c r="E2392" t="str">
        <f>_xlfn.XLOOKUP(Vendas[[#This Row],[ID Item Vendido]],Agregado[ID],Agregado[Produto])</f>
        <v>Borracha vulcanizada em manta</v>
      </c>
      <c r="F2392" s="39">
        <v>45024</v>
      </c>
      <c r="G2392" s="7">
        <v>22</v>
      </c>
      <c r="H2392" s="3">
        <f>_xlfn.XLOOKUP(Vendas[[#This Row],[ID Item Vendido]],Agregado[ID],Agregado[Revenda])</f>
        <v>7.8</v>
      </c>
      <c r="I2392" s="3">
        <f>Vendas[[#This Row],[Valor Unitário]]*Vendas[[#This Row],[Qnt Vendida]]</f>
        <v>171.6</v>
      </c>
      <c r="J2392" s="3">
        <f>Vendas[[#This Row],[Valor da Venda]]-(_xlfn.XLOOKUP(Vendas[[#This Row],[ID Item Vendido]],Agregado[ID],Agregado[Custo])*Vendas[[#This Row],[Qnt Vendida]])</f>
        <v>39.599999999999994</v>
      </c>
      <c r="K2392" s="70">
        <f>Vendas[[#This Row],[Lucro da Venda]]/Vendas[[#This Row],[Valor da Venda]]</f>
        <v>0.23076923076923075</v>
      </c>
      <c r="L2392" s="3">
        <f>_xlfn.IFS(Vendas[[#This Row],[Margem de Lucro (%)]]&lt;15%,Vendas[[#This Row],[Valor da Venda]]*3%,Vendas[[#This Row],[Margem de Lucro (%)]]&lt;=20%,Vendas[[#This Row],[Valor da Venda]]*4.5%,TRUE,Vendas[[#This Row],[Valor da Venda]]*6%)</f>
        <v>10.295999999999999</v>
      </c>
      <c r="M2392"/>
    </row>
    <row r="2393" spans="1:13" x14ac:dyDescent="0.3">
      <c r="A2393" s="7">
        <v>400249</v>
      </c>
      <c r="B2393" t="str">
        <f>_xlfn.XLOOKUP(Vendas[[#This Row],[ID Vendedor]],Vendedores[ID],Vendedores[Nome])</f>
        <v>Bruno</v>
      </c>
      <c r="C2393" s="7" t="str">
        <f>_xlfn.XLOOKUP(Vendas[[#This Row],[ID Vendedor]],Vendedores[ID],Vendedores[Setor])</f>
        <v>CM</v>
      </c>
      <c r="D2393" s="7" t="s">
        <v>45</v>
      </c>
      <c r="E2393" t="str">
        <f>_xlfn.XLOOKUP(Vendas[[#This Row],[ID Item Vendido]],Agregado[ID],Agregado[Produto])</f>
        <v>Viga de madeira tratada 4m</v>
      </c>
      <c r="F2393" s="39">
        <v>45025</v>
      </c>
      <c r="G2393" s="7">
        <v>13</v>
      </c>
      <c r="H2393" s="3">
        <f>_xlfn.XLOOKUP(Vendas[[#This Row],[ID Item Vendido]],Agregado[ID],Agregado[Revenda])</f>
        <v>66</v>
      </c>
      <c r="I2393" s="3">
        <f>Vendas[[#This Row],[Valor Unitário]]*Vendas[[#This Row],[Qnt Vendida]]</f>
        <v>858</v>
      </c>
      <c r="J2393" s="3">
        <f>Vendas[[#This Row],[Valor da Venda]]-(_xlfn.XLOOKUP(Vendas[[#This Row],[ID Item Vendido]],Agregado[ID],Agregado[Custo])*Vendas[[#This Row],[Qnt Vendida]])</f>
        <v>143</v>
      </c>
      <c r="K2393" s="70">
        <f>Vendas[[#This Row],[Lucro da Venda]]/Vendas[[#This Row],[Valor da Venda]]</f>
        <v>0.16666666666666666</v>
      </c>
      <c r="L2393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2393"/>
    </row>
    <row r="2394" spans="1:13" x14ac:dyDescent="0.3">
      <c r="A2394" s="7">
        <v>400253</v>
      </c>
      <c r="B2394" t="str">
        <f>_xlfn.XLOOKUP(Vendas[[#This Row],[ID Vendedor]],Vendedores[ID],Vendedores[Nome])</f>
        <v>Gustavo</v>
      </c>
      <c r="C2394" s="7" t="str">
        <f>_xlfn.XLOOKUP(Vendas[[#This Row],[ID Vendedor]],Vendedores[ID],Vendedores[Setor])</f>
        <v>SC</v>
      </c>
      <c r="D2394" s="7" t="s">
        <v>25</v>
      </c>
      <c r="E2394" t="str">
        <f>_xlfn.XLOOKUP(Vendas[[#This Row],[ID Item Vendido]],Agregado[ID],Agregado[Produto])</f>
        <v>Palete de plástico</v>
      </c>
      <c r="F2394" s="39">
        <v>45025</v>
      </c>
      <c r="G2394" s="7">
        <v>9</v>
      </c>
      <c r="H2394" s="3">
        <f>_xlfn.XLOOKUP(Vendas[[#This Row],[ID Item Vendido]],Agregado[ID],Agregado[Revenda])</f>
        <v>70.8</v>
      </c>
      <c r="I2394" s="3">
        <f>Vendas[[#This Row],[Valor Unitário]]*Vendas[[#This Row],[Qnt Vendida]]</f>
        <v>637.19999999999993</v>
      </c>
      <c r="J2394" s="3">
        <f>Vendas[[#This Row],[Valor da Venda]]-(_xlfn.XLOOKUP(Vendas[[#This Row],[ID Item Vendido]],Agregado[ID],Agregado[Custo])*Vendas[[#This Row],[Qnt Vendida]])</f>
        <v>97.199999999999932</v>
      </c>
      <c r="K2394" s="70">
        <f>Vendas[[#This Row],[Lucro da Venda]]/Vendas[[#This Row],[Valor da Venda]]</f>
        <v>0.15254237288135583</v>
      </c>
      <c r="L2394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2394"/>
    </row>
    <row r="2395" spans="1:13" x14ac:dyDescent="0.3">
      <c r="A2395" s="7">
        <v>400246</v>
      </c>
      <c r="B2395" t="str">
        <f>_xlfn.XLOOKUP(Vendas[[#This Row],[ID Vendedor]],Vendedores[ID],Vendedores[Nome])</f>
        <v>Juliana</v>
      </c>
      <c r="C2395" s="7" t="str">
        <f>_xlfn.XLOOKUP(Vendas[[#This Row],[ID Vendedor]],Vendedores[ID],Vendedores[Setor])</f>
        <v>AHD</v>
      </c>
      <c r="D2395" s="7" t="s">
        <v>44</v>
      </c>
      <c r="E2395" t="str">
        <f>_xlfn.XLOOKUP(Vendas[[#This Row],[ID Item Vendido]],Agregado[ID],Agregado[Produto])</f>
        <v>Liga metálica especial</v>
      </c>
      <c r="F2395" s="39">
        <v>45025</v>
      </c>
      <c r="G2395" s="7">
        <v>16</v>
      </c>
      <c r="H2395" s="3">
        <f>_xlfn.XLOOKUP(Vendas[[#This Row],[ID Item Vendido]],Agregado[ID],Agregado[Revenda])</f>
        <v>32.5</v>
      </c>
      <c r="I2395" s="3">
        <f>Vendas[[#This Row],[Valor Unitário]]*Vendas[[#This Row],[Qnt Vendida]]</f>
        <v>520</v>
      </c>
      <c r="J2395" s="3">
        <f>Vendas[[#This Row],[Valor da Venda]]-(_xlfn.XLOOKUP(Vendas[[#This Row],[ID Item Vendido]],Agregado[ID],Agregado[Custo])*Vendas[[#This Row],[Qnt Vendida]])</f>
        <v>120</v>
      </c>
      <c r="K2395" s="70">
        <f>Vendas[[#This Row],[Lucro da Venda]]/Vendas[[#This Row],[Valor da Venda]]</f>
        <v>0.23076923076923078</v>
      </c>
      <c r="L2395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2395"/>
    </row>
    <row r="2396" spans="1:13" x14ac:dyDescent="0.3">
      <c r="A2396" s="7">
        <v>400243</v>
      </c>
      <c r="B2396" t="str">
        <f>_xlfn.XLOOKUP(Vendas[[#This Row],[ID Vendedor]],Vendedores[ID],Vendedores[Nome])</f>
        <v>Marcelo</v>
      </c>
      <c r="C2396" s="7" t="str">
        <f>_xlfn.XLOOKUP(Vendas[[#This Row],[ID Vendedor]],Vendedores[ID],Vendedores[Setor])</f>
        <v>FM</v>
      </c>
      <c r="D2396" s="7" t="s">
        <v>6</v>
      </c>
      <c r="E2396" t="str">
        <f>_xlfn.XLOOKUP(Vendas[[#This Row],[ID Item Vendido]],Agregado[ID],Agregado[Produto])</f>
        <v>Parafuso comum 500un</v>
      </c>
      <c r="F2396" s="39">
        <v>45025</v>
      </c>
      <c r="G2396" s="7">
        <v>20</v>
      </c>
      <c r="H2396" s="3">
        <f>_xlfn.XLOOKUP(Vendas[[#This Row],[ID Item Vendido]],Agregado[ID],Agregado[Revenda])</f>
        <v>24.6</v>
      </c>
      <c r="I2396" s="3">
        <f>Vendas[[#This Row],[Valor Unitário]]*Vendas[[#This Row],[Qnt Vendida]]</f>
        <v>492</v>
      </c>
      <c r="J2396" s="3">
        <f>Vendas[[#This Row],[Valor da Venda]]-(_xlfn.XLOOKUP(Vendas[[#This Row],[ID Item Vendido]],Agregado[ID],Agregado[Custo])*Vendas[[#This Row],[Qnt Vendida]])</f>
        <v>52</v>
      </c>
      <c r="K2396" s="70">
        <f>Vendas[[#This Row],[Lucro da Venda]]/Vendas[[#This Row],[Valor da Venda]]</f>
        <v>0.10569105691056911</v>
      </c>
      <c r="L2396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2396"/>
    </row>
    <row r="2397" spans="1:13" x14ac:dyDescent="0.3">
      <c r="A2397" s="7">
        <v>400255</v>
      </c>
      <c r="B2397" t="str">
        <f>_xlfn.XLOOKUP(Vendas[[#This Row],[ID Vendedor]],Vendedores[ID],Vendedores[Nome])</f>
        <v>Carlos</v>
      </c>
      <c r="C2397" s="7" t="str">
        <f>_xlfn.XLOOKUP(Vendas[[#This Row],[ID Vendedor]],Vendedores[ID],Vendedores[Setor])</f>
        <v>SC</v>
      </c>
      <c r="D2397" s="7" t="s">
        <v>48</v>
      </c>
      <c r="E2397" t="str">
        <f>_xlfn.XLOOKUP(Vendas[[#This Row],[ID Item Vendido]],Agregado[ID],Agregado[Produto])</f>
        <v>Tambor metálico 200L</v>
      </c>
      <c r="F2397" s="39">
        <v>45028</v>
      </c>
      <c r="G2397" s="7">
        <v>9</v>
      </c>
      <c r="H2397" s="3">
        <f>_xlfn.XLOOKUP(Vendas[[#This Row],[ID Item Vendido]],Agregado[ID],Agregado[Revenda])</f>
        <v>144</v>
      </c>
      <c r="I2397" s="3">
        <f>Vendas[[#This Row],[Valor Unitário]]*Vendas[[#This Row],[Qnt Vendida]]</f>
        <v>1296</v>
      </c>
      <c r="J2397" s="3">
        <f>Vendas[[#This Row],[Valor da Venda]]-(_xlfn.XLOOKUP(Vendas[[#This Row],[ID Item Vendido]],Agregado[ID],Agregado[Custo])*Vendas[[#This Row],[Qnt Vendida]])</f>
        <v>216</v>
      </c>
      <c r="K2397" s="70">
        <f>Vendas[[#This Row],[Lucro da Venda]]/Vendas[[#This Row],[Valor da Venda]]</f>
        <v>0.16666666666666666</v>
      </c>
      <c r="L2397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2397"/>
    </row>
    <row r="2398" spans="1:13" x14ac:dyDescent="0.3">
      <c r="A2398" s="7">
        <v>400250</v>
      </c>
      <c r="B2398" t="str">
        <f>_xlfn.XLOOKUP(Vendas[[#This Row],[ID Vendedor]],Vendedores[ID],Vendedores[Nome])</f>
        <v>Larissa</v>
      </c>
      <c r="C2398" s="7" t="str">
        <f>_xlfn.XLOOKUP(Vendas[[#This Row],[ID Vendedor]],Vendedores[ID],Vendedores[Setor])</f>
        <v>AB</v>
      </c>
      <c r="D2398" s="7" t="s">
        <v>36</v>
      </c>
      <c r="E2398" t="str">
        <f>_xlfn.XLOOKUP(Vendas[[#This Row],[ID Item Vendido]],Agregado[ID],Agregado[Produto])</f>
        <v>Borracha vulcanizada em manta</v>
      </c>
      <c r="F2398" s="39">
        <v>45028</v>
      </c>
      <c r="G2398" s="7">
        <v>36</v>
      </c>
      <c r="H2398" s="3">
        <f>_xlfn.XLOOKUP(Vendas[[#This Row],[ID Item Vendido]],Agregado[ID],Agregado[Revenda])</f>
        <v>7.8</v>
      </c>
      <c r="I2398" s="3">
        <f>Vendas[[#This Row],[Valor Unitário]]*Vendas[[#This Row],[Qnt Vendida]]</f>
        <v>280.8</v>
      </c>
      <c r="J2398" s="3">
        <f>Vendas[[#This Row],[Valor da Venda]]-(_xlfn.XLOOKUP(Vendas[[#This Row],[ID Item Vendido]],Agregado[ID],Agregado[Custo])*Vendas[[#This Row],[Qnt Vendida]])</f>
        <v>64.800000000000011</v>
      </c>
      <c r="K2398" s="70">
        <f>Vendas[[#This Row],[Lucro da Venda]]/Vendas[[#This Row],[Valor da Venda]]</f>
        <v>0.23076923076923081</v>
      </c>
      <c r="L2398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2398"/>
    </row>
    <row r="2399" spans="1:13" x14ac:dyDescent="0.3">
      <c r="A2399" s="7">
        <v>400254</v>
      </c>
      <c r="B2399" t="str">
        <f>_xlfn.XLOOKUP(Vendas[[#This Row],[ID Vendedor]],Vendedores[ID],Vendedores[Nome])</f>
        <v>Beatriz</v>
      </c>
      <c r="C2399" s="7" t="str">
        <f>_xlfn.XLOOKUP(Vendas[[#This Row],[ID Vendedor]],Vendedores[ID],Vendedores[Setor])</f>
        <v>SC</v>
      </c>
      <c r="D2399" s="7" t="s">
        <v>48</v>
      </c>
      <c r="E2399" t="str">
        <f>_xlfn.XLOOKUP(Vendas[[#This Row],[ID Item Vendido]],Agregado[ID],Agregado[Produto])</f>
        <v>Tambor metálico 200L</v>
      </c>
      <c r="F2399" s="39">
        <v>45029</v>
      </c>
      <c r="G2399" s="7">
        <v>20</v>
      </c>
      <c r="H2399" s="3">
        <f>_xlfn.XLOOKUP(Vendas[[#This Row],[ID Item Vendido]],Agregado[ID],Agregado[Revenda])</f>
        <v>144</v>
      </c>
      <c r="I2399" s="3">
        <f>Vendas[[#This Row],[Valor Unitário]]*Vendas[[#This Row],[Qnt Vendida]]</f>
        <v>2880</v>
      </c>
      <c r="J2399" s="3">
        <f>Vendas[[#This Row],[Valor da Venda]]-(_xlfn.XLOOKUP(Vendas[[#This Row],[ID Item Vendido]],Agregado[ID],Agregado[Custo])*Vendas[[#This Row],[Qnt Vendida]])</f>
        <v>480</v>
      </c>
      <c r="K2399" s="70">
        <f>Vendas[[#This Row],[Lucro da Venda]]/Vendas[[#This Row],[Valor da Venda]]</f>
        <v>0.16666666666666666</v>
      </c>
      <c r="L2399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2399"/>
    </row>
    <row r="2400" spans="1:13" x14ac:dyDescent="0.3">
      <c r="A2400" s="7">
        <v>400250</v>
      </c>
      <c r="B2400" t="str">
        <f>_xlfn.XLOOKUP(Vendas[[#This Row],[ID Vendedor]],Vendedores[ID],Vendedores[Nome])</f>
        <v>Larissa</v>
      </c>
      <c r="C2400" s="7" t="str">
        <f>_xlfn.XLOOKUP(Vendas[[#This Row],[ID Vendedor]],Vendedores[ID],Vendedores[Setor])</f>
        <v>AB</v>
      </c>
      <c r="D2400" s="7" t="s">
        <v>36</v>
      </c>
      <c r="E2400" t="str">
        <f>_xlfn.XLOOKUP(Vendas[[#This Row],[ID Item Vendido]],Agregado[ID],Agregado[Produto])</f>
        <v>Borracha vulcanizada em manta</v>
      </c>
      <c r="F2400" s="39">
        <v>45029</v>
      </c>
      <c r="G2400" s="7">
        <v>41</v>
      </c>
      <c r="H2400" s="3">
        <f>_xlfn.XLOOKUP(Vendas[[#This Row],[ID Item Vendido]],Agregado[ID],Agregado[Revenda])</f>
        <v>7.8</v>
      </c>
      <c r="I2400" s="3">
        <f>Vendas[[#This Row],[Valor Unitário]]*Vendas[[#This Row],[Qnt Vendida]]</f>
        <v>319.8</v>
      </c>
      <c r="J2400" s="3">
        <f>Vendas[[#This Row],[Valor da Venda]]-(_xlfn.XLOOKUP(Vendas[[#This Row],[ID Item Vendido]],Agregado[ID],Agregado[Custo])*Vendas[[#This Row],[Qnt Vendida]])</f>
        <v>73.800000000000011</v>
      </c>
      <c r="K2400" s="70">
        <f>Vendas[[#This Row],[Lucro da Venda]]/Vendas[[#This Row],[Valor da Venda]]</f>
        <v>0.23076923076923081</v>
      </c>
      <c r="L2400" s="3">
        <f>_xlfn.IFS(Vendas[[#This Row],[Margem de Lucro (%)]]&lt;15%,Vendas[[#This Row],[Valor da Venda]]*3%,Vendas[[#This Row],[Margem de Lucro (%)]]&lt;=20%,Vendas[[#This Row],[Valor da Venda]]*4.5%,TRUE,Vendas[[#This Row],[Valor da Venda]]*6%)</f>
        <v>19.187999999999999</v>
      </c>
      <c r="M2400"/>
    </row>
    <row r="2401" spans="1:13" x14ac:dyDescent="0.3">
      <c r="A2401" s="7">
        <v>400254</v>
      </c>
      <c r="B2401" t="str">
        <f>_xlfn.XLOOKUP(Vendas[[#This Row],[ID Vendedor]],Vendedores[ID],Vendedores[Nome])</f>
        <v>Beatriz</v>
      </c>
      <c r="C2401" s="7" t="str">
        <f>_xlfn.XLOOKUP(Vendas[[#This Row],[ID Vendedor]],Vendedores[ID],Vendedores[Setor])</f>
        <v>SC</v>
      </c>
      <c r="D2401" s="7" t="s">
        <v>14</v>
      </c>
      <c r="E2401" t="str">
        <f>_xlfn.XLOOKUP(Vendas[[#This Row],[ID Item Vendido]],Agregado[ID],Agregado[Produto])</f>
        <v>Barril de plástico 200L</v>
      </c>
      <c r="F2401" s="39">
        <v>45030</v>
      </c>
      <c r="G2401" s="7">
        <v>11</v>
      </c>
      <c r="H2401" s="3">
        <f>_xlfn.XLOOKUP(Vendas[[#This Row],[ID Item Vendido]],Agregado[ID],Agregado[Revenda])</f>
        <v>114</v>
      </c>
      <c r="I2401" s="3">
        <f>Vendas[[#This Row],[Valor Unitário]]*Vendas[[#This Row],[Qnt Vendida]]</f>
        <v>1254</v>
      </c>
      <c r="J2401" s="3">
        <f>Vendas[[#This Row],[Valor da Venda]]-(_xlfn.XLOOKUP(Vendas[[#This Row],[ID Item Vendido]],Agregado[ID],Agregado[Custo])*Vendas[[#This Row],[Qnt Vendida]])</f>
        <v>209</v>
      </c>
      <c r="K2401" s="70">
        <f>Vendas[[#This Row],[Lucro da Venda]]/Vendas[[#This Row],[Valor da Venda]]</f>
        <v>0.16666666666666666</v>
      </c>
      <c r="L2401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401"/>
    </row>
    <row r="2402" spans="1:13" x14ac:dyDescent="0.3">
      <c r="A2402" s="7">
        <v>400245</v>
      </c>
      <c r="B2402" t="str">
        <f>_xlfn.XLOOKUP(Vendas[[#This Row],[ID Vendedor]],Vendedores[ID],Vendedores[Nome])</f>
        <v>Thiago</v>
      </c>
      <c r="C2402" s="7" t="str">
        <f>_xlfn.XLOOKUP(Vendas[[#This Row],[ID Vendedor]],Vendedores[ID],Vendedores[Setor])</f>
        <v>AHD</v>
      </c>
      <c r="D2402" s="7" t="s">
        <v>18</v>
      </c>
      <c r="E2402" t="str">
        <f>_xlfn.XLOOKUP(Vendas[[#This Row],[ID Item Vendido]],Agregado[ID],Agregado[Produto])</f>
        <v>Peça forjada sob encomenda</v>
      </c>
      <c r="F2402" s="39">
        <v>45030</v>
      </c>
      <c r="G2402" s="7">
        <v>1</v>
      </c>
      <c r="H2402" s="3">
        <f>_xlfn.XLOOKUP(Vendas[[#This Row],[ID Item Vendido]],Agregado[ID],Agregado[Revenda])</f>
        <v>264.60000000000002</v>
      </c>
      <c r="I2402" s="3">
        <f>Vendas[[#This Row],[Valor Unitário]]*Vendas[[#This Row],[Qnt Vendida]]</f>
        <v>264.60000000000002</v>
      </c>
      <c r="J2402" s="3">
        <f>Vendas[[#This Row],[Valor da Venda]]-(_xlfn.XLOOKUP(Vendas[[#This Row],[ID Item Vendido]],Agregado[ID],Agregado[Custo])*Vendas[[#This Row],[Qnt Vendida]])</f>
        <v>14.600000000000023</v>
      </c>
      <c r="K2402" s="70">
        <f>Vendas[[#This Row],[Lucro da Venda]]/Vendas[[#This Row],[Valor da Venda]]</f>
        <v>5.5177626606198113E-2</v>
      </c>
      <c r="L2402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2402"/>
    </row>
    <row r="2403" spans="1:13" x14ac:dyDescent="0.3">
      <c r="A2403" s="7">
        <v>400247</v>
      </c>
      <c r="B2403" t="str">
        <f>_xlfn.XLOOKUP(Vendas[[#This Row],[ID Vendedor]],Vendedores[ID],Vendedores[Nome])</f>
        <v>André</v>
      </c>
      <c r="C2403" s="7" t="str">
        <f>_xlfn.XLOOKUP(Vendas[[#This Row],[ID Vendedor]],Vendedores[ID],Vendedores[Setor])</f>
        <v>CM</v>
      </c>
      <c r="D2403" s="7" t="s">
        <v>32</v>
      </c>
      <c r="E2403" t="str">
        <f>_xlfn.XLOOKUP(Vendas[[#This Row],[ID Item Vendido]],Agregado[ID],Agregado[Produto])</f>
        <v>Tábua tratada e cortada 3m</v>
      </c>
      <c r="F2403" s="39">
        <v>45031</v>
      </c>
      <c r="G2403" s="7">
        <v>42</v>
      </c>
      <c r="H2403" s="3">
        <f>_xlfn.XLOOKUP(Vendas[[#This Row],[ID Item Vendido]],Agregado[ID],Agregado[Revenda])</f>
        <v>39</v>
      </c>
      <c r="I2403" s="3">
        <f>Vendas[[#This Row],[Valor Unitário]]*Vendas[[#This Row],[Qnt Vendida]]</f>
        <v>1638</v>
      </c>
      <c r="J2403" s="3">
        <f>Vendas[[#This Row],[Valor da Venda]]-(_xlfn.XLOOKUP(Vendas[[#This Row],[ID Item Vendido]],Agregado[ID],Agregado[Custo])*Vendas[[#This Row],[Qnt Vendida]])</f>
        <v>294</v>
      </c>
      <c r="K2403" s="70">
        <f>Vendas[[#This Row],[Lucro da Venda]]/Vendas[[#This Row],[Valor da Venda]]</f>
        <v>0.17948717948717949</v>
      </c>
      <c r="L2403" s="3">
        <f>_xlfn.IFS(Vendas[[#This Row],[Margem de Lucro (%)]]&lt;15%,Vendas[[#This Row],[Valor da Venda]]*3%,Vendas[[#This Row],[Margem de Lucro (%)]]&lt;=20%,Vendas[[#This Row],[Valor da Venda]]*4.5%,TRUE,Vendas[[#This Row],[Valor da Venda]]*6%)</f>
        <v>73.709999999999994</v>
      </c>
      <c r="M2403"/>
    </row>
    <row r="2404" spans="1:13" x14ac:dyDescent="0.3">
      <c r="A2404" s="7">
        <v>400249</v>
      </c>
      <c r="B2404" t="str">
        <f>_xlfn.XLOOKUP(Vendas[[#This Row],[ID Vendedor]],Vendedores[ID],Vendedores[Nome])</f>
        <v>Bruno</v>
      </c>
      <c r="C2404" s="7" t="str">
        <f>_xlfn.XLOOKUP(Vendas[[#This Row],[ID Vendedor]],Vendedores[ID],Vendedores[Setor])</f>
        <v>CM</v>
      </c>
      <c r="D2404" s="7" t="s">
        <v>32</v>
      </c>
      <c r="E2404" t="str">
        <f>_xlfn.XLOOKUP(Vendas[[#This Row],[ID Item Vendido]],Agregado[ID],Agregado[Produto])</f>
        <v>Tábua tratada e cortada 3m</v>
      </c>
      <c r="F2404" s="39">
        <v>45031</v>
      </c>
      <c r="G2404" s="7">
        <v>34</v>
      </c>
      <c r="H2404" s="3">
        <f>_xlfn.XLOOKUP(Vendas[[#This Row],[ID Item Vendido]],Agregado[ID],Agregado[Revenda])</f>
        <v>39</v>
      </c>
      <c r="I2404" s="3">
        <f>Vendas[[#This Row],[Valor Unitário]]*Vendas[[#This Row],[Qnt Vendida]]</f>
        <v>1326</v>
      </c>
      <c r="J2404" s="3">
        <f>Vendas[[#This Row],[Valor da Venda]]-(_xlfn.XLOOKUP(Vendas[[#This Row],[ID Item Vendido]],Agregado[ID],Agregado[Custo])*Vendas[[#This Row],[Qnt Vendida]])</f>
        <v>238</v>
      </c>
      <c r="K2404" s="70">
        <f>Vendas[[#This Row],[Lucro da Venda]]/Vendas[[#This Row],[Valor da Venda]]</f>
        <v>0.17948717948717949</v>
      </c>
      <c r="L2404" s="3">
        <f>_xlfn.IFS(Vendas[[#This Row],[Margem de Lucro (%)]]&lt;15%,Vendas[[#This Row],[Valor da Venda]]*3%,Vendas[[#This Row],[Margem de Lucro (%)]]&lt;=20%,Vendas[[#This Row],[Valor da Venda]]*4.5%,TRUE,Vendas[[#This Row],[Valor da Venda]]*6%)</f>
        <v>59.669999999999995</v>
      </c>
      <c r="M2404"/>
    </row>
    <row r="2405" spans="1:13" x14ac:dyDescent="0.3">
      <c r="A2405" s="7">
        <v>400245</v>
      </c>
      <c r="B2405" t="str">
        <f>_xlfn.XLOOKUP(Vendas[[#This Row],[ID Vendedor]],Vendedores[ID],Vendedores[Nome])</f>
        <v>Thiago</v>
      </c>
      <c r="C2405" s="7" t="str">
        <f>_xlfn.XLOOKUP(Vendas[[#This Row],[ID Vendedor]],Vendedores[ID],Vendedores[Setor])</f>
        <v>AHD</v>
      </c>
      <c r="D2405" s="7" t="s">
        <v>44</v>
      </c>
      <c r="E2405" t="str">
        <f>_xlfn.XLOOKUP(Vendas[[#This Row],[ID Item Vendido]],Agregado[ID],Agregado[Produto])</f>
        <v>Liga metálica especial</v>
      </c>
      <c r="F2405" s="39">
        <v>45031</v>
      </c>
      <c r="G2405" s="7">
        <v>17</v>
      </c>
      <c r="H2405" s="3">
        <f>_xlfn.XLOOKUP(Vendas[[#This Row],[ID Item Vendido]],Agregado[ID],Agregado[Revenda])</f>
        <v>32.5</v>
      </c>
      <c r="I2405" s="3">
        <f>Vendas[[#This Row],[Valor Unitário]]*Vendas[[#This Row],[Qnt Vendida]]</f>
        <v>552.5</v>
      </c>
      <c r="J2405" s="3">
        <f>Vendas[[#This Row],[Valor da Venda]]-(_xlfn.XLOOKUP(Vendas[[#This Row],[ID Item Vendido]],Agregado[ID],Agregado[Custo])*Vendas[[#This Row],[Qnt Vendida]])</f>
        <v>127.5</v>
      </c>
      <c r="K2405" s="70">
        <f>Vendas[[#This Row],[Lucro da Venda]]/Vendas[[#This Row],[Valor da Venda]]</f>
        <v>0.23076923076923078</v>
      </c>
      <c r="L2405" s="3">
        <f>_xlfn.IFS(Vendas[[#This Row],[Margem de Lucro (%)]]&lt;15%,Vendas[[#This Row],[Valor da Venda]]*3%,Vendas[[#This Row],[Margem de Lucro (%)]]&lt;=20%,Vendas[[#This Row],[Valor da Venda]]*4.5%,TRUE,Vendas[[#This Row],[Valor da Venda]]*6%)</f>
        <v>33.15</v>
      </c>
      <c r="M2405"/>
    </row>
    <row r="2406" spans="1:13" x14ac:dyDescent="0.3">
      <c r="A2406" s="7">
        <v>400250</v>
      </c>
      <c r="B2406" t="str">
        <f>_xlfn.XLOOKUP(Vendas[[#This Row],[ID Vendedor]],Vendedores[ID],Vendedores[Nome])</f>
        <v>Larissa</v>
      </c>
      <c r="C2406" s="7" t="str">
        <f>_xlfn.XLOOKUP(Vendas[[#This Row],[ID Vendedor]],Vendedores[ID],Vendedores[Setor])</f>
        <v>AB</v>
      </c>
      <c r="D2406" s="7" t="s">
        <v>39</v>
      </c>
      <c r="E2406" t="str">
        <f>_xlfn.XLOOKUP(Vendas[[#This Row],[ID Item Vendido]],Agregado[ID],Agregado[Produto])</f>
        <v>Filme plástico industrial rolo 50m</v>
      </c>
      <c r="F2406" s="39">
        <v>45032</v>
      </c>
      <c r="G2406" s="7">
        <v>30</v>
      </c>
      <c r="H2406" s="3">
        <f>_xlfn.XLOOKUP(Vendas[[#This Row],[ID Item Vendido]],Agregado[ID],Agregado[Revenda])</f>
        <v>37</v>
      </c>
      <c r="I2406" s="3">
        <f>Vendas[[#This Row],[Valor Unitário]]*Vendas[[#This Row],[Qnt Vendida]]</f>
        <v>1110</v>
      </c>
      <c r="J2406" s="3">
        <f>Vendas[[#This Row],[Valor da Venda]]-(_xlfn.XLOOKUP(Vendas[[#This Row],[ID Item Vendido]],Agregado[ID],Agregado[Custo])*Vendas[[#This Row],[Qnt Vendida]])</f>
        <v>270</v>
      </c>
      <c r="K2406" s="70">
        <f>Vendas[[#This Row],[Lucro da Venda]]/Vendas[[#This Row],[Valor da Venda]]</f>
        <v>0.24324324324324326</v>
      </c>
      <c r="L2406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2406"/>
    </row>
    <row r="2407" spans="1:13" x14ac:dyDescent="0.3">
      <c r="A2407" s="7">
        <v>400241</v>
      </c>
      <c r="B2407" t="str">
        <f>_xlfn.XLOOKUP(Vendas[[#This Row],[ID Vendedor]],Vendedores[ID],Vendedores[Nome])</f>
        <v>Rodrigo</v>
      </c>
      <c r="C2407" s="7" t="str">
        <f>_xlfn.XLOOKUP(Vendas[[#This Row],[ID Vendedor]],Vendedores[ID],Vendedores[Setor])</f>
        <v>FM</v>
      </c>
      <c r="D2407" s="7" t="s">
        <v>20</v>
      </c>
      <c r="E2407" t="str">
        <f>_xlfn.XLOOKUP(Vendas[[#This Row],[ID Item Vendido]],Agregado[ID],Agregado[Produto])</f>
        <v>Barra de aço simples</v>
      </c>
      <c r="F2407" s="39">
        <v>45032</v>
      </c>
      <c r="G2407" s="7">
        <v>131</v>
      </c>
      <c r="H2407" s="3">
        <f>_xlfn.XLOOKUP(Vendas[[#This Row],[ID Item Vendido]],Agregado[ID],Agregado[Revenda])</f>
        <v>4.8</v>
      </c>
      <c r="I2407" s="3">
        <f>Vendas[[#This Row],[Valor Unitário]]*Vendas[[#This Row],[Qnt Vendida]]</f>
        <v>628.79999999999995</v>
      </c>
      <c r="J2407" s="3">
        <f>Vendas[[#This Row],[Valor da Venda]]-(_xlfn.XLOOKUP(Vendas[[#This Row],[ID Item Vendido]],Agregado[ID],Agregado[Custo])*Vendas[[#This Row],[Qnt Vendida]])</f>
        <v>78.599999999999909</v>
      </c>
      <c r="K2407" s="70">
        <f>Vendas[[#This Row],[Lucro da Venda]]/Vendas[[#This Row],[Valor da Venda]]</f>
        <v>0.12499999999999986</v>
      </c>
      <c r="L2407" s="3">
        <f>_xlfn.IFS(Vendas[[#This Row],[Margem de Lucro (%)]]&lt;15%,Vendas[[#This Row],[Valor da Venda]]*3%,Vendas[[#This Row],[Margem de Lucro (%)]]&lt;=20%,Vendas[[#This Row],[Valor da Venda]]*4.5%,TRUE,Vendas[[#This Row],[Valor da Venda]]*6%)</f>
        <v>18.863999999999997</v>
      </c>
      <c r="M2407"/>
    </row>
    <row r="2408" spans="1:13" x14ac:dyDescent="0.3">
      <c r="A2408" s="7">
        <v>400249</v>
      </c>
      <c r="B2408" t="str">
        <f>_xlfn.XLOOKUP(Vendas[[#This Row],[ID Vendedor]],Vendedores[ID],Vendedores[Nome])</f>
        <v>Bruno</v>
      </c>
      <c r="C2408" s="7" t="str">
        <f>_xlfn.XLOOKUP(Vendas[[#This Row],[ID Vendedor]],Vendedores[ID],Vendedores[Setor])</f>
        <v>CM</v>
      </c>
      <c r="D2408" s="7" t="s">
        <v>22</v>
      </c>
      <c r="E2408" t="str">
        <f>_xlfn.XLOOKUP(Vendas[[#This Row],[ID Item Vendido]],Agregado[ID],Agregado[Produto])</f>
        <v>Painel MDP 2,75x1,83m</v>
      </c>
      <c r="F2408" s="39">
        <v>45033</v>
      </c>
      <c r="G2408" s="7">
        <v>21</v>
      </c>
      <c r="H2408" s="3">
        <f>_xlfn.XLOOKUP(Vendas[[#This Row],[ID Item Vendido]],Agregado[ID],Agregado[Revenda])</f>
        <v>119</v>
      </c>
      <c r="I2408" s="3">
        <f>Vendas[[#This Row],[Valor Unitário]]*Vendas[[#This Row],[Qnt Vendida]]</f>
        <v>2499</v>
      </c>
      <c r="J2408" s="3">
        <f>Vendas[[#This Row],[Valor da Venda]]-(_xlfn.XLOOKUP(Vendas[[#This Row],[ID Item Vendido]],Agregado[ID],Agregado[Custo])*Vendas[[#This Row],[Qnt Vendida]])</f>
        <v>504</v>
      </c>
      <c r="K2408" s="70">
        <f>Vendas[[#This Row],[Lucro da Venda]]/Vendas[[#This Row],[Valor da Venda]]</f>
        <v>0.20168067226890757</v>
      </c>
      <c r="L2408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2408"/>
    </row>
    <row r="2409" spans="1:13" x14ac:dyDescent="0.3">
      <c r="A2409" s="7">
        <v>400246</v>
      </c>
      <c r="B2409" t="str">
        <f>_xlfn.XLOOKUP(Vendas[[#This Row],[ID Vendedor]],Vendedores[ID],Vendedores[Nome])</f>
        <v>Juliana</v>
      </c>
      <c r="C2409" s="7" t="str">
        <f>_xlfn.XLOOKUP(Vendas[[#This Row],[ID Vendedor]],Vendedores[ID],Vendedores[Setor])</f>
        <v>AHD</v>
      </c>
      <c r="D2409" s="7" t="s">
        <v>9</v>
      </c>
      <c r="E2409" t="str">
        <f>_xlfn.XLOOKUP(Vendas[[#This Row],[ID Item Vendido]],Agregado[ID],Agregado[Produto])</f>
        <v>Barra de aço simples</v>
      </c>
      <c r="F2409" s="39">
        <v>45033</v>
      </c>
      <c r="G2409" s="7">
        <v>128</v>
      </c>
      <c r="H2409" s="3">
        <f>_xlfn.XLOOKUP(Vendas[[#This Row],[ID Item Vendido]],Agregado[ID],Agregado[Revenda])</f>
        <v>6.7</v>
      </c>
      <c r="I2409" s="3">
        <f>Vendas[[#This Row],[Valor Unitário]]*Vendas[[#This Row],[Qnt Vendida]]</f>
        <v>857.6</v>
      </c>
      <c r="J2409" s="3">
        <f>Vendas[[#This Row],[Valor da Venda]]-(_xlfn.XLOOKUP(Vendas[[#This Row],[ID Item Vendido]],Agregado[ID],Agregado[Custo])*Vendas[[#This Row],[Qnt Vendida]])</f>
        <v>115.20000000000005</v>
      </c>
      <c r="K2409" s="70">
        <f>Vendas[[#This Row],[Lucro da Venda]]/Vendas[[#This Row],[Valor da Venda]]</f>
        <v>0.13432835820895528</v>
      </c>
      <c r="L2409" s="3">
        <f>_xlfn.IFS(Vendas[[#This Row],[Margem de Lucro (%)]]&lt;15%,Vendas[[#This Row],[Valor da Venda]]*3%,Vendas[[#This Row],[Margem de Lucro (%)]]&lt;=20%,Vendas[[#This Row],[Valor da Venda]]*4.5%,TRUE,Vendas[[#This Row],[Valor da Venda]]*6%)</f>
        <v>25.727999999999998</v>
      </c>
      <c r="M2409"/>
    </row>
    <row r="2410" spans="1:13" x14ac:dyDescent="0.3">
      <c r="A2410" s="7">
        <v>400242</v>
      </c>
      <c r="B2410" t="str">
        <f>_xlfn.XLOOKUP(Vendas[[#This Row],[ID Vendedor]],Vendedores[ID],Vendedores[Nome])</f>
        <v>Fernanda</v>
      </c>
      <c r="C2410" s="7" t="str">
        <f>_xlfn.XLOOKUP(Vendas[[#This Row],[ID Vendedor]],Vendedores[ID],Vendedores[Setor])</f>
        <v>FM</v>
      </c>
      <c r="D2410" s="7" t="s">
        <v>6</v>
      </c>
      <c r="E2410" t="str">
        <f>_xlfn.XLOOKUP(Vendas[[#This Row],[ID Item Vendido]],Agregado[ID],Agregado[Produto])</f>
        <v>Parafuso comum 500un</v>
      </c>
      <c r="F2410" s="39">
        <v>45033</v>
      </c>
      <c r="G2410" s="7">
        <v>18</v>
      </c>
      <c r="H2410" s="3">
        <f>_xlfn.XLOOKUP(Vendas[[#This Row],[ID Item Vendido]],Agregado[ID],Agregado[Revenda])</f>
        <v>24.6</v>
      </c>
      <c r="I2410" s="3">
        <f>Vendas[[#This Row],[Valor Unitário]]*Vendas[[#This Row],[Qnt Vendida]]</f>
        <v>442.8</v>
      </c>
      <c r="J2410" s="3">
        <f>Vendas[[#This Row],[Valor da Venda]]-(_xlfn.XLOOKUP(Vendas[[#This Row],[ID Item Vendido]],Agregado[ID],Agregado[Custo])*Vendas[[#This Row],[Qnt Vendida]])</f>
        <v>46.800000000000011</v>
      </c>
      <c r="K2410" s="70">
        <f>Vendas[[#This Row],[Lucro da Venda]]/Vendas[[#This Row],[Valor da Venda]]</f>
        <v>0.10569105691056913</v>
      </c>
      <c r="L2410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2410"/>
    </row>
    <row r="2411" spans="1:13" x14ac:dyDescent="0.3">
      <c r="A2411" s="7">
        <v>400241</v>
      </c>
      <c r="B2411" t="str">
        <f>_xlfn.XLOOKUP(Vendas[[#This Row],[ID Vendedor]],Vendedores[ID],Vendedores[Nome])</f>
        <v>Rodrigo</v>
      </c>
      <c r="C2411" s="7" t="str">
        <f>_xlfn.XLOOKUP(Vendas[[#This Row],[ID Vendedor]],Vendedores[ID],Vendedores[Setor])</f>
        <v>FM</v>
      </c>
      <c r="D2411" s="7" t="s">
        <v>20</v>
      </c>
      <c r="E2411" t="str">
        <f>_xlfn.XLOOKUP(Vendas[[#This Row],[ID Item Vendido]],Agregado[ID],Agregado[Produto])</f>
        <v>Barra de aço simples</v>
      </c>
      <c r="F2411" s="39">
        <v>45033</v>
      </c>
      <c r="G2411" s="7">
        <v>31</v>
      </c>
      <c r="H2411" s="3">
        <f>_xlfn.XLOOKUP(Vendas[[#This Row],[ID Item Vendido]],Agregado[ID],Agregado[Revenda])</f>
        <v>4.8</v>
      </c>
      <c r="I2411" s="3">
        <f>Vendas[[#This Row],[Valor Unitário]]*Vendas[[#This Row],[Qnt Vendida]]</f>
        <v>148.79999999999998</v>
      </c>
      <c r="J2411" s="3">
        <f>Vendas[[#This Row],[Valor da Venda]]-(_xlfn.XLOOKUP(Vendas[[#This Row],[ID Item Vendido]],Agregado[ID],Agregado[Custo])*Vendas[[#This Row],[Qnt Vendida]])</f>
        <v>18.599999999999966</v>
      </c>
      <c r="K2411" s="70">
        <f>Vendas[[#This Row],[Lucro da Venda]]/Vendas[[#This Row],[Valor da Venda]]</f>
        <v>0.12499999999999979</v>
      </c>
      <c r="L2411" s="3">
        <f>_xlfn.IFS(Vendas[[#This Row],[Margem de Lucro (%)]]&lt;15%,Vendas[[#This Row],[Valor da Venda]]*3%,Vendas[[#This Row],[Margem de Lucro (%)]]&lt;=20%,Vendas[[#This Row],[Valor da Venda]]*4.5%,TRUE,Vendas[[#This Row],[Valor da Venda]]*6%)</f>
        <v>4.4639999999999995</v>
      </c>
      <c r="M2411"/>
    </row>
    <row r="2412" spans="1:13" x14ac:dyDescent="0.3">
      <c r="A2412" s="7">
        <v>400253</v>
      </c>
      <c r="B2412" t="str">
        <f>_xlfn.XLOOKUP(Vendas[[#This Row],[ID Vendedor]],Vendedores[ID],Vendedores[Nome])</f>
        <v>Gustavo</v>
      </c>
      <c r="C2412" s="7" t="str">
        <f>_xlfn.XLOOKUP(Vendas[[#This Row],[ID Vendedor]],Vendedores[ID],Vendedores[Setor])</f>
        <v>SC</v>
      </c>
      <c r="D2412" s="7" t="s">
        <v>14</v>
      </c>
      <c r="E2412" t="str">
        <f>_xlfn.XLOOKUP(Vendas[[#This Row],[ID Item Vendido]],Agregado[ID],Agregado[Produto])</f>
        <v>Barril de plástico 200L</v>
      </c>
      <c r="F2412" s="39">
        <v>45034</v>
      </c>
      <c r="G2412" s="7">
        <v>5</v>
      </c>
      <c r="H2412" s="3">
        <f>_xlfn.XLOOKUP(Vendas[[#This Row],[ID Item Vendido]],Agregado[ID],Agregado[Revenda])</f>
        <v>114</v>
      </c>
      <c r="I2412" s="3">
        <f>Vendas[[#This Row],[Valor Unitário]]*Vendas[[#This Row],[Qnt Vendida]]</f>
        <v>570</v>
      </c>
      <c r="J2412" s="3">
        <f>Vendas[[#This Row],[Valor da Venda]]-(_xlfn.XLOOKUP(Vendas[[#This Row],[ID Item Vendido]],Agregado[ID],Agregado[Custo])*Vendas[[#This Row],[Qnt Vendida]])</f>
        <v>95</v>
      </c>
      <c r="K2412" s="70">
        <f>Vendas[[#This Row],[Lucro da Venda]]/Vendas[[#This Row],[Valor da Venda]]</f>
        <v>0.16666666666666666</v>
      </c>
      <c r="L2412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2412"/>
    </row>
    <row r="2413" spans="1:13" x14ac:dyDescent="0.3">
      <c r="A2413" s="7">
        <v>400253</v>
      </c>
      <c r="B2413" t="str">
        <f>_xlfn.XLOOKUP(Vendas[[#This Row],[ID Vendedor]],Vendedores[ID],Vendedores[Nome])</f>
        <v>Gustavo</v>
      </c>
      <c r="C2413" s="7" t="str">
        <f>_xlfn.XLOOKUP(Vendas[[#This Row],[ID Vendedor]],Vendedores[ID],Vendedores[Setor])</f>
        <v>SC</v>
      </c>
      <c r="D2413" s="7" t="s">
        <v>48</v>
      </c>
      <c r="E2413" t="str">
        <f>_xlfn.XLOOKUP(Vendas[[#This Row],[ID Item Vendido]],Agregado[ID],Agregado[Produto])</f>
        <v>Tambor metálico 200L</v>
      </c>
      <c r="F2413" s="39">
        <v>45035</v>
      </c>
      <c r="G2413" s="7">
        <v>10</v>
      </c>
      <c r="H2413" s="3">
        <f>_xlfn.XLOOKUP(Vendas[[#This Row],[ID Item Vendido]],Agregado[ID],Agregado[Revenda])</f>
        <v>144</v>
      </c>
      <c r="I2413" s="3">
        <f>Vendas[[#This Row],[Valor Unitário]]*Vendas[[#This Row],[Qnt Vendida]]</f>
        <v>1440</v>
      </c>
      <c r="J2413" s="3">
        <f>Vendas[[#This Row],[Valor da Venda]]-(_xlfn.XLOOKUP(Vendas[[#This Row],[ID Item Vendido]],Agregado[ID],Agregado[Custo])*Vendas[[#This Row],[Qnt Vendida]])</f>
        <v>240</v>
      </c>
      <c r="K2413" s="70">
        <f>Vendas[[#This Row],[Lucro da Venda]]/Vendas[[#This Row],[Valor da Venda]]</f>
        <v>0.16666666666666666</v>
      </c>
      <c r="L2413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2413"/>
    </row>
    <row r="2414" spans="1:13" x14ac:dyDescent="0.3">
      <c r="A2414" s="7">
        <v>400247</v>
      </c>
      <c r="B2414" t="str">
        <f>_xlfn.XLOOKUP(Vendas[[#This Row],[ID Vendedor]],Vendedores[ID],Vendedores[Nome])</f>
        <v>André</v>
      </c>
      <c r="C2414" s="7" t="str">
        <f>_xlfn.XLOOKUP(Vendas[[#This Row],[ID Vendedor]],Vendedores[ID],Vendedores[Setor])</f>
        <v>CM</v>
      </c>
      <c r="D2414" s="7" t="s">
        <v>45</v>
      </c>
      <c r="E2414" t="str">
        <f>_xlfn.XLOOKUP(Vendas[[#This Row],[ID Item Vendido]],Agregado[ID],Agregado[Produto])</f>
        <v>Viga de madeira tratada 4m</v>
      </c>
      <c r="F2414" s="39">
        <v>45035</v>
      </c>
      <c r="G2414" s="7">
        <v>4</v>
      </c>
      <c r="H2414" s="3">
        <f>_xlfn.XLOOKUP(Vendas[[#This Row],[ID Item Vendido]],Agregado[ID],Agregado[Revenda])</f>
        <v>66</v>
      </c>
      <c r="I2414" s="3">
        <f>Vendas[[#This Row],[Valor Unitário]]*Vendas[[#This Row],[Qnt Vendida]]</f>
        <v>264</v>
      </c>
      <c r="J2414" s="3">
        <f>Vendas[[#This Row],[Valor da Venda]]-(_xlfn.XLOOKUP(Vendas[[#This Row],[ID Item Vendido]],Agregado[ID],Agregado[Custo])*Vendas[[#This Row],[Qnt Vendida]])</f>
        <v>44</v>
      </c>
      <c r="K2414" s="70">
        <f>Vendas[[#This Row],[Lucro da Venda]]/Vendas[[#This Row],[Valor da Venda]]</f>
        <v>0.16666666666666666</v>
      </c>
      <c r="L2414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2414"/>
    </row>
    <row r="2415" spans="1:13" x14ac:dyDescent="0.3">
      <c r="A2415" s="7">
        <v>400245</v>
      </c>
      <c r="B2415" t="str">
        <f>_xlfn.XLOOKUP(Vendas[[#This Row],[ID Vendedor]],Vendedores[ID],Vendedores[Nome])</f>
        <v>Thiago</v>
      </c>
      <c r="C2415" s="7" t="str">
        <f>_xlfn.XLOOKUP(Vendas[[#This Row],[ID Vendedor]],Vendedores[ID],Vendedores[Setor])</f>
        <v>AHD</v>
      </c>
      <c r="D2415" s="7" t="s">
        <v>18</v>
      </c>
      <c r="E2415" t="str">
        <f>_xlfn.XLOOKUP(Vendas[[#This Row],[ID Item Vendido]],Agregado[ID],Agregado[Produto])</f>
        <v>Peça forjada sob encomenda</v>
      </c>
      <c r="F2415" s="39">
        <v>45036</v>
      </c>
      <c r="G2415" s="7">
        <v>5</v>
      </c>
      <c r="H2415" s="3">
        <f>_xlfn.XLOOKUP(Vendas[[#This Row],[ID Item Vendido]],Agregado[ID],Agregado[Revenda])</f>
        <v>264.60000000000002</v>
      </c>
      <c r="I2415" s="3">
        <f>Vendas[[#This Row],[Valor Unitário]]*Vendas[[#This Row],[Qnt Vendida]]</f>
        <v>1323</v>
      </c>
      <c r="J2415" s="3">
        <f>Vendas[[#This Row],[Valor da Venda]]-(_xlfn.XLOOKUP(Vendas[[#This Row],[ID Item Vendido]],Agregado[ID],Agregado[Custo])*Vendas[[#This Row],[Qnt Vendida]])</f>
        <v>73</v>
      </c>
      <c r="K2415" s="70">
        <f>Vendas[[#This Row],[Lucro da Venda]]/Vendas[[#This Row],[Valor da Venda]]</f>
        <v>5.5177626606198037E-2</v>
      </c>
      <c r="L2415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415"/>
    </row>
    <row r="2416" spans="1:13" x14ac:dyDescent="0.3">
      <c r="A2416" s="7">
        <v>400244</v>
      </c>
      <c r="B2416" t="str">
        <f>_xlfn.XLOOKUP(Vendas[[#This Row],[ID Vendedor]],Vendedores[ID],Vendedores[Nome])</f>
        <v>Camila</v>
      </c>
      <c r="C2416" s="7" t="str">
        <f>_xlfn.XLOOKUP(Vendas[[#This Row],[ID Vendedor]],Vendedores[ID],Vendedores[Setor])</f>
        <v>AHD</v>
      </c>
      <c r="D2416" s="7" t="s">
        <v>9</v>
      </c>
      <c r="E2416" t="str">
        <f>_xlfn.XLOOKUP(Vendas[[#This Row],[ID Item Vendido]],Agregado[ID],Agregado[Produto])</f>
        <v>Barra de aço simples</v>
      </c>
      <c r="F2416" s="39">
        <v>45036</v>
      </c>
      <c r="G2416" s="7">
        <v>24</v>
      </c>
      <c r="H2416" s="3">
        <f>_xlfn.XLOOKUP(Vendas[[#This Row],[ID Item Vendido]],Agregado[ID],Agregado[Revenda])</f>
        <v>6.7</v>
      </c>
      <c r="I2416" s="3">
        <f>Vendas[[#This Row],[Valor Unitário]]*Vendas[[#This Row],[Qnt Vendida]]</f>
        <v>160.80000000000001</v>
      </c>
      <c r="J2416" s="3">
        <f>Vendas[[#This Row],[Valor da Venda]]-(_xlfn.XLOOKUP(Vendas[[#This Row],[ID Item Vendido]],Agregado[ID],Agregado[Custo])*Vendas[[#This Row],[Qnt Vendida]])</f>
        <v>21.600000000000023</v>
      </c>
      <c r="K2416" s="70">
        <f>Vendas[[#This Row],[Lucro da Venda]]/Vendas[[#This Row],[Valor da Venda]]</f>
        <v>0.13432835820895536</v>
      </c>
      <c r="L2416" s="3">
        <f>_xlfn.IFS(Vendas[[#This Row],[Margem de Lucro (%)]]&lt;15%,Vendas[[#This Row],[Valor da Venda]]*3%,Vendas[[#This Row],[Margem de Lucro (%)]]&lt;=20%,Vendas[[#This Row],[Valor da Venda]]*4.5%,TRUE,Vendas[[#This Row],[Valor da Venda]]*6%)</f>
        <v>4.8239999999999998</v>
      </c>
      <c r="M2416"/>
    </row>
    <row r="2417" spans="1:13" x14ac:dyDescent="0.3">
      <c r="A2417" s="7">
        <v>400254</v>
      </c>
      <c r="B2417" t="str">
        <f>_xlfn.XLOOKUP(Vendas[[#This Row],[ID Vendedor]],Vendedores[ID],Vendedores[Nome])</f>
        <v>Beatriz</v>
      </c>
      <c r="C2417" s="7" t="str">
        <f>_xlfn.XLOOKUP(Vendas[[#This Row],[ID Vendedor]],Vendedores[ID],Vendedores[Setor])</f>
        <v>SC</v>
      </c>
      <c r="D2417" s="7" t="s">
        <v>14</v>
      </c>
      <c r="E2417" t="str">
        <f>_xlfn.XLOOKUP(Vendas[[#This Row],[ID Item Vendido]],Agregado[ID],Agregado[Produto])</f>
        <v>Barril de plástico 200L</v>
      </c>
      <c r="F2417" s="39">
        <v>45037</v>
      </c>
      <c r="G2417" s="7">
        <v>13</v>
      </c>
      <c r="H2417" s="3">
        <f>_xlfn.XLOOKUP(Vendas[[#This Row],[ID Item Vendido]],Agregado[ID],Agregado[Revenda])</f>
        <v>114</v>
      </c>
      <c r="I2417" s="3">
        <f>Vendas[[#This Row],[Valor Unitário]]*Vendas[[#This Row],[Qnt Vendida]]</f>
        <v>1482</v>
      </c>
      <c r="J2417" s="3">
        <f>Vendas[[#This Row],[Valor da Venda]]-(_xlfn.XLOOKUP(Vendas[[#This Row],[ID Item Vendido]],Agregado[ID],Agregado[Custo])*Vendas[[#This Row],[Qnt Vendida]])</f>
        <v>247</v>
      </c>
      <c r="K2417" s="70">
        <f>Vendas[[#This Row],[Lucro da Venda]]/Vendas[[#This Row],[Valor da Venda]]</f>
        <v>0.16666666666666666</v>
      </c>
      <c r="L2417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417"/>
    </row>
    <row r="2418" spans="1:13" x14ac:dyDescent="0.3">
      <c r="A2418" s="7">
        <v>400244</v>
      </c>
      <c r="B2418" t="str">
        <f>_xlfn.XLOOKUP(Vendas[[#This Row],[ID Vendedor]],Vendedores[ID],Vendedores[Nome])</f>
        <v>Camila</v>
      </c>
      <c r="C2418" s="7" t="str">
        <f>_xlfn.XLOOKUP(Vendas[[#This Row],[ID Vendedor]],Vendedores[ID],Vendedores[Setor])</f>
        <v>AHD</v>
      </c>
      <c r="D2418" s="7" t="s">
        <v>28</v>
      </c>
      <c r="E2418" t="str">
        <f>_xlfn.XLOOKUP(Vendas[[#This Row],[ID Item Vendido]],Agregado[ID],Agregado[Produto])</f>
        <v>Peça usinada CNC</v>
      </c>
      <c r="F2418" s="39">
        <v>45037</v>
      </c>
      <c r="G2418" s="7">
        <v>4</v>
      </c>
      <c r="H2418" s="3">
        <f>_xlfn.XLOOKUP(Vendas[[#This Row],[ID Item Vendido]],Agregado[ID],Agregado[Revenda])</f>
        <v>192</v>
      </c>
      <c r="I2418" s="3">
        <f>Vendas[[#This Row],[Valor Unitário]]*Vendas[[#This Row],[Qnt Vendida]]</f>
        <v>768</v>
      </c>
      <c r="J2418" s="3">
        <f>Vendas[[#This Row],[Valor da Venda]]-(_xlfn.XLOOKUP(Vendas[[#This Row],[ID Item Vendido]],Agregado[ID],Agregado[Custo])*Vendas[[#This Row],[Qnt Vendida]])</f>
        <v>168</v>
      </c>
      <c r="K2418" s="70">
        <f>Vendas[[#This Row],[Lucro da Venda]]/Vendas[[#This Row],[Valor da Venda]]</f>
        <v>0.21875</v>
      </c>
      <c r="L2418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2418"/>
    </row>
    <row r="2419" spans="1:13" x14ac:dyDescent="0.3">
      <c r="A2419" s="7">
        <v>400242</v>
      </c>
      <c r="B2419" t="str">
        <f>_xlfn.XLOOKUP(Vendas[[#This Row],[ID Vendedor]],Vendedores[ID],Vendedores[Nome])</f>
        <v>Fernanda</v>
      </c>
      <c r="C2419" s="7" t="str">
        <f>_xlfn.XLOOKUP(Vendas[[#This Row],[ID Vendedor]],Vendedores[ID],Vendedores[Setor])</f>
        <v>FM</v>
      </c>
      <c r="D2419" s="7" t="s">
        <v>6</v>
      </c>
      <c r="E2419" t="str">
        <f>_xlfn.XLOOKUP(Vendas[[#This Row],[ID Item Vendido]],Agregado[ID],Agregado[Produto])</f>
        <v>Parafuso comum 500un</v>
      </c>
      <c r="F2419" s="39">
        <v>45037</v>
      </c>
      <c r="G2419" s="7">
        <v>23</v>
      </c>
      <c r="H2419" s="3">
        <f>_xlfn.XLOOKUP(Vendas[[#This Row],[ID Item Vendido]],Agregado[ID],Agregado[Revenda])</f>
        <v>24.6</v>
      </c>
      <c r="I2419" s="3">
        <f>Vendas[[#This Row],[Valor Unitário]]*Vendas[[#This Row],[Qnt Vendida]]</f>
        <v>565.80000000000007</v>
      </c>
      <c r="J2419" s="3">
        <f>Vendas[[#This Row],[Valor da Venda]]-(_xlfn.XLOOKUP(Vendas[[#This Row],[ID Item Vendido]],Agregado[ID],Agregado[Custo])*Vendas[[#This Row],[Qnt Vendida]])</f>
        <v>59.800000000000068</v>
      </c>
      <c r="K2419" s="70">
        <f>Vendas[[#This Row],[Lucro da Venda]]/Vendas[[#This Row],[Valor da Venda]]</f>
        <v>0.10569105691056921</v>
      </c>
      <c r="L2419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2419"/>
    </row>
    <row r="2420" spans="1:13" x14ac:dyDescent="0.3">
      <c r="A2420" s="7">
        <v>400248</v>
      </c>
      <c r="B2420" t="str">
        <f>_xlfn.XLOOKUP(Vendas[[#This Row],[ID Vendedor]],Vendedores[ID],Vendedores[Nome])</f>
        <v>Patrícia</v>
      </c>
      <c r="C2420" s="7" t="str">
        <f>_xlfn.XLOOKUP(Vendas[[#This Row],[ID Vendedor]],Vendedores[ID],Vendedores[Setor])</f>
        <v>CM</v>
      </c>
      <c r="D2420" s="7" t="s">
        <v>45</v>
      </c>
      <c r="E2420" t="str">
        <f>_xlfn.XLOOKUP(Vendas[[#This Row],[ID Item Vendido]],Agregado[ID],Agregado[Produto])</f>
        <v>Viga de madeira tratada 4m</v>
      </c>
      <c r="F2420" s="39">
        <v>45038</v>
      </c>
      <c r="G2420" s="7">
        <v>15</v>
      </c>
      <c r="H2420" s="3">
        <f>_xlfn.XLOOKUP(Vendas[[#This Row],[ID Item Vendido]],Agregado[ID],Agregado[Revenda])</f>
        <v>66</v>
      </c>
      <c r="I2420" s="3">
        <f>Vendas[[#This Row],[Valor Unitário]]*Vendas[[#This Row],[Qnt Vendida]]</f>
        <v>990</v>
      </c>
      <c r="J2420" s="3">
        <f>Vendas[[#This Row],[Valor da Venda]]-(_xlfn.XLOOKUP(Vendas[[#This Row],[ID Item Vendido]],Agregado[ID],Agregado[Custo])*Vendas[[#This Row],[Qnt Vendida]])</f>
        <v>165</v>
      </c>
      <c r="K2420" s="70">
        <f>Vendas[[#This Row],[Lucro da Venda]]/Vendas[[#This Row],[Valor da Venda]]</f>
        <v>0.16666666666666666</v>
      </c>
      <c r="L2420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2420"/>
    </row>
    <row r="2421" spans="1:13" x14ac:dyDescent="0.3">
      <c r="A2421" s="7">
        <v>400242</v>
      </c>
      <c r="B2421" t="str">
        <f>_xlfn.XLOOKUP(Vendas[[#This Row],[ID Vendedor]],Vendedores[ID],Vendedores[Nome])</f>
        <v>Fernanda</v>
      </c>
      <c r="C2421" s="7" t="str">
        <f>_xlfn.XLOOKUP(Vendas[[#This Row],[ID Vendedor]],Vendedores[ID],Vendedores[Setor])</f>
        <v>FM</v>
      </c>
      <c r="D2421" s="7" t="s">
        <v>27</v>
      </c>
      <c r="E2421" t="str">
        <f>_xlfn.XLOOKUP(Vendas[[#This Row],[ID Item Vendido]],Agregado[ID],Agregado[Produto])</f>
        <v>Chapa de metal lisa 1x2m</v>
      </c>
      <c r="F2421" s="39">
        <v>45038</v>
      </c>
      <c r="G2421" s="7">
        <v>19</v>
      </c>
      <c r="H2421" s="3">
        <f>_xlfn.XLOOKUP(Vendas[[#This Row],[ID Item Vendido]],Agregado[ID],Agregado[Revenda])</f>
        <v>52</v>
      </c>
      <c r="I2421" s="3">
        <f>Vendas[[#This Row],[Valor Unitário]]*Vendas[[#This Row],[Qnt Vendida]]</f>
        <v>988</v>
      </c>
      <c r="J2421" s="3">
        <f>Vendas[[#This Row],[Valor da Venda]]-(_xlfn.XLOOKUP(Vendas[[#This Row],[ID Item Vendido]],Agregado[ID],Agregado[Custo])*Vendas[[#This Row],[Qnt Vendida]])</f>
        <v>133</v>
      </c>
      <c r="K2421" s="70">
        <f>Vendas[[#This Row],[Lucro da Venda]]/Vendas[[#This Row],[Valor da Venda]]</f>
        <v>0.13461538461538461</v>
      </c>
      <c r="L2421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2421"/>
    </row>
    <row r="2422" spans="1:13" x14ac:dyDescent="0.3">
      <c r="A2422" s="7">
        <v>400244</v>
      </c>
      <c r="B2422" t="str">
        <f>_xlfn.XLOOKUP(Vendas[[#This Row],[ID Vendedor]],Vendedores[ID],Vendedores[Nome])</f>
        <v>Camila</v>
      </c>
      <c r="C2422" s="7" t="str">
        <f>_xlfn.XLOOKUP(Vendas[[#This Row],[ID Vendedor]],Vendedores[ID],Vendedores[Setor])</f>
        <v>AHD</v>
      </c>
      <c r="D2422" s="7" t="s">
        <v>18</v>
      </c>
      <c r="E2422" t="str">
        <f>_xlfn.XLOOKUP(Vendas[[#This Row],[ID Item Vendido]],Agregado[ID],Agregado[Produto])</f>
        <v>Peça forjada sob encomenda</v>
      </c>
      <c r="F2422" s="39">
        <v>45038</v>
      </c>
      <c r="G2422" s="7">
        <v>2</v>
      </c>
      <c r="H2422" s="3">
        <f>_xlfn.XLOOKUP(Vendas[[#This Row],[ID Item Vendido]],Agregado[ID],Agregado[Revenda])</f>
        <v>264.60000000000002</v>
      </c>
      <c r="I2422" s="3">
        <f>Vendas[[#This Row],[Valor Unitário]]*Vendas[[#This Row],[Qnt Vendida]]</f>
        <v>529.20000000000005</v>
      </c>
      <c r="J2422" s="3">
        <f>Vendas[[#This Row],[Valor da Venda]]-(_xlfn.XLOOKUP(Vendas[[#This Row],[ID Item Vendido]],Agregado[ID],Agregado[Custo])*Vendas[[#This Row],[Qnt Vendida]])</f>
        <v>29.200000000000045</v>
      </c>
      <c r="K2422" s="70">
        <f>Vendas[[#This Row],[Lucro da Venda]]/Vendas[[#This Row],[Valor da Venda]]</f>
        <v>5.5177626606198113E-2</v>
      </c>
      <c r="L2422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422"/>
    </row>
    <row r="2423" spans="1:13" x14ac:dyDescent="0.3">
      <c r="A2423" s="7">
        <v>400248</v>
      </c>
      <c r="B2423" t="str">
        <f>_xlfn.XLOOKUP(Vendas[[#This Row],[ID Vendedor]],Vendedores[ID],Vendedores[Nome])</f>
        <v>Patrícia</v>
      </c>
      <c r="C2423" s="7" t="str">
        <f>_xlfn.XLOOKUP(Vendas[[#This Row],[ID Vendedor]],Vendedores[ID],Vendedores[Setor])</f>
        <v>CM</v>
      </c>
      <c r="D2423" s="7" t="s">
        <v>45</v>
      </c>
      <c r="E2423" t="str">
        <f>_xlfn.XLOOKUP(Vendas[[#This Row],[ID Item Vendido]],Agregado[ID],Agregado[Produto])</f>
        <v>Viga de madeira tratada 4m</v>
      </c>
      <c r="F2423" s="39">
        <v>45038</v>
      </c>
      <c r="G2423" s="7">
        <v>5</v>
      </c>
      <c r="H2423" s="3">
        <f>_xlfn.XLOOKUP(Vendas[[#This Row],[ID Item Vendido]],Agregado[ID],Agregado[Revenda])</f>
        <v>66</v>
      </c>
      <c r="I2423" s="3">
        <f>Vendas[[#This Row],[Valor Unitário]]*Vendas[[#This Row],[Qnt Vendida]]</f>
        <v>330</v>
      </c>
      <c r="J2423" s="3">
        <f>Vendas[[#This Row],[Valor da Venda]]-(_xlfn.XLOOKUP(Vendas[[#This Row],[ID Item Vendido]],Agregado[ID],Agregado[Custo])*Vendas[[#This Row],[Qnt Vendida]])</f>
        <v>55</v>
      </c>
      <c r="K2423" s="70">
        <f>Vendas[[#This Row],[Lucro da Venda]]/Vendas[[#This Row],[Valor da Venda]]</f>
        <v>0.16666666666666666</v>
      </c>
      <c r="L2423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2423"/>
    </row>
    <row r="2424" spans="1:13" x14ac:dyDescent="0.3">
      <c r="A2424" s="7">
        <v>400244</v>
      </c>
      <c r="B2424" t="str">
        <f>_xlfn.XLOOKUP(Vendas[[#This Row],[ID Vendedor]],Vendedores[ID],Vendedores[Nome])</f>
        <v>Camila</v>
      </c>
      <c r="C2424" s="7" t="str">
        <f>_xlfn.XLOOKUP(Vendas[[#This Row],[ID Vendedor]],Vendedores[ID],Vendedores[Setor])</f>
        <v>AHD</v>
      </c>
      <c r="D2424" s="7" t="s">
        <v>44</v>
      </c>
      <c r="E2424" t="str">
        <f>_xlfn.XLOOKUP(Vendas[[#This Row],[ID Item Vendido]],Agregado[ID],Agregado[Produto])</f>
        <v>Liga metálica especial</v>
      </c>
      <c r="F2424" s="39">
        <v>45039</v>
      </c>
      <c r="G2424" s="7">
        <v>24</v>
      </c>
      <c r="H2424" s="3">
        <f>_xlfn.XLOOKUP(Vendas[[#This Row],[ID Item Vendido]],Agregado[ID],Agregado[Revenda])</f>
        <v>32.5</v>
      </c>
      <c r="I2424" s="3">
        <f>Vendas[[#This Row],[Valor Unitário]]*Vendas[[#This Row],[Qnt Vendida]]</f>
        <v>780</v>
      </c>
      <c r="J2424" s="3">
        <f>Vendas[[#This Row],[Valor da Venda]]-(_xlfn.XLOOKUP(Vendas[[#This Row],[ID Item Vendido]],Agregado[ID],Agregado[Custo])*Vendas[[#This Row],[Qnt Vendida]])</f>
        <v>180</v>
      </c>
      <c r="K2424" s="70">
        <f>Vendas[[#This Row],[Lucro da Venda]]/Vendas[[#This Row],[Valor da Venda]]</f>
        <v>0.23076923076923078</v>
      </c>
      <c r="L2424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424"/>
    </row>
    <row r="2425" spans="1:13" x14ac:dyDescent="0.3">
      <c r="A2425" s="7">
        <v>400244</v>
      </c>
      <c r="B2425" t="str">
        <f>_xlfn.XLOOKUP(Vendas[[#This Row],[ID Vendedor]],Vendedores[ID],Vendedores[Nome])</f>
        <v>Camila</v>
      </c>
      <c r="C2425" s="7" t="str">
        <f>_xlfn.XLOOKUP(Vendas[[#This Row],[ID Vendedor]],Vendedores[ID],Vendedores[Setor])</f>
        <v>AHD</v>
      </c>
      <c r="D2425" s="7" t="s">
        <v>44</v>
      </c>
      <c r="E2425" t="str">
        <f>_xlfn.XLOOKUP(Vendas[[#This Row],[ID Item Vendido]],Agregado[ID],Agregado[Produto])</f>
        <v>Liga metálica especial</v>
      </c>
      <c r="F2425" s="39">
        <v>45039</v>
      </c>
      <c r="G2425" s="7">
        <v>17</v>
      </c>
      <c r="H2425" s="3">
        <f>_xlfn.XLOOKUP(Vendas[[#This Row],[ID Item Vendido]],Agregado[ID],Agregado[Revenda])</f>
        <v>32.5</v>
      </c>
      <c r="I2425" s="3">
        <f>Vendas[[#This Row],[Valor Unitário]]*Vendas[[#This Row],[Qnt Vendida]]</f>
        <v>552.5</v>
      </c>
      <c r="J2425" s="3">
        <f>Vendas[[#This Row],[Valor da Venda]]-(_xlfn.XLOOKUP(Vendas[[#This Row],[ID Item Vendido]],Agregado[ID],Agregado[Custo])*Vendas[[#This Row],[Qnt Vendida]])</f>
        <v>127.5</v>
      </c>
      <c r="K2425" s="70">
        <f>Vendas[[#This Row],[Lucro da Venda]]/Vendas[[#This Row],[Valor da Venda]]</f>
        <v>0.23076923076923078</v>
      </c>
      <c r="L2425" s="3">
        <f>_xlfn.IFS(Vendas[[#This Row],[Margem de Lucro (%)]]&lt;15%,Vendas[[#This Row],[Valor da Venda]]*3%,Vendas[[#This Row],[Margem de Lucro (%)]]&lt;=20%,Vendas[[#This Row],[Valor da Venda]]*4.5%,TRUE,Vendas[[#This Row],[Valor da Venda]]*6%)</f>
        <v>33.15</v>
      </c>
      <c r="M2425"/>
    </row>
    <row r="2426" spans="1:13" x14ac:dyDescent="0.3">
      <c r="A2426" s="7">
        <v>400248</v>
      </c>
      <c r="B2426" t="str">
        <f>_xlfn.XLOOKUP(Vendas[[#This Row],[ID Vendedor]],Vendedores[ID],Vendedores[Nome])</f>
        <v>Patrícia</v>
      </c>
      <c r="C2426" s="7" t="str">
        <f>_xlfn.XLOOKUP(Vendas[[#This Row],[ID Vendedor]],Vendedores[ID],Vendedores[Setor])</f>
        <v>CM</v>
      </c>
      <c r="D2426" s="7" t="s">
        <v>22</v>
      </c>
      <c r="E2426" t="str">
        <f>_xlfn.XLOOKUP(Vendas[[#This Row],[ID Item Vendido]],Agregado[ID],Agregado[Produto])</f>
        <v>Painel MDP 2,75x1,83m</v>
      </c>
      <c r="F2426" s="39">
        <v>45040</v>
      </c>
      <c r="G2426" s="7">
        <v>20</v>
      </c>
      <c r="H2426" s="3">
        <f>_xlfn.XLOOKUP(Vendas[[#This Row],[ID Item Vendido]],Agregado[ID],Agregado[Revenda])</f>
        <v>119</v>
      </c>
      <c r="I2426" s="3">
        <f>Vendas[[#This Row],[Valor Unitário]]*Vendas[[#This Row],[Qnt Vendida]]</f>
        <v>2380</v>
      </c>
      <c r="J2426" s="3">
        <f>Vendas[[#This Row],[Valor da Venda]]-(_xlfn.XLOOKUP(Vendas[[#This Row],[ID Item Vendido]],Agregado[ID],Agregado[Custo])*Vendas[[#This Row],[Qnt Vendida]])</f>
        <v>480</v>
      </c>
      <c r="K2426" s="70">
        <f>Vendas[[#This Row],[Lucro da Venda]]/Vendas[[#This Row],[Valor da Venda]]</f>
        <v>0.20168067226890757</v>
      </c>
      <c r="L2426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2426"/>
    </row>
    <row r="2427" spans="1:13" x14ac:dyDescent="0.3">
      <c r="A2427" s="7">
        <v>400245</v>
      </c>
      <c r="B2427" t="str">
        <f>_xlfn.XLOOKUP(Vendas[[#This Row],[ID Vendedor]],Vendedores[ID],Vendedores[Nome])</f>
        <v>Thiago</v>
      </c>
      <c r="C2427" s="7" t="str">
        <f>_xlfn.XLOOKUP(Vendas[[#This Row],[ID Vendedor]],Vendedores[ID],Vendedores[Setor])</f>
        <v>AHD</v>
      </c>
      <c r="D2427" s="7" t="s">
        <v>9</v>
      </c>
      <c r="E2427" t="str">
        <f>_xlfn.XLOOKUP(Vendas[[#This Row],[ID Item Vendido]],Agregado[ID],Agregado[Produto])</f>
        <v>Barra de aço simples</v>
      </c>
      <c r="F2427" s="39">
        <v>45040</v>
      </c>
      <c r="G2427" s="7">
        <v>20</v>
      </c>
      <c r="H2427" s="3">
        <f>_xlfn.XLOOKUP(Vendas[[#This Row],[ID Item Vendido]],Agregado[ID],Agregado[Revenda])</f>
        <v>6.7</v>
      </c>
      <c r="I2427" s="3">
        <f>Vendas[[#This Row],[Valor Unitário]]*Vendas[[#This Row],[Qnt Vendida]]</f>
        <v>134</v>
      </c>
      <c r="J2427" s="3">
        <f>Vendas[[#This Row],[Valor da Venda]]-(_xlfn.XLOOKUP(Vendas[[#This Row],[ID Item Vendido]],Agregado[ID],Agregado[Custo])*Vendas[[#This Row],[Qnt Vendida]])</f>
        <v>18</v>
      </c>
      <c r="K2427" s="70">
        <f>Vendas[[#This Row],[Lucro da Venda]]/Vendas[[#This Row],[Valor da Venda]]</f>
        <v>0.13432835820895522</v>
      </c>
      <c r="L2427" s="3">
        <f>_xlfn.IFS(Vendas[[#This Row],[Margem de Lucro (%)]]&lt;15%,Vendas[[#This Row],[Valor da Venda]]*3%,Vendas[[#This Row],[Margem de Lucro (%)]]&lt;=20%,Vendas[[#This Row],[Valor da Venda]]*4.5%,TRUE,Vendas[[#This Row],[Valor da Venda]]*6%)</f>
        <v>4.0199999999999996</v>
      </c>
      <c r="M2427"/>
    </row>
    <row r="2428" spans="1:13" x14ac:dyDescent="0.3">
      <c r="A2428" s="7">
        <v>400254</v>
      </c>
      <c r="B2428" t="str">
        <f>_xlfn.XLOOKUP(Vendas[[#This Row],[ID Vendedor]],Vendedores[ID],Vendedores[Nome])</f>
        <v>Beatriz</v>
      </c>
      <c r="C2428" s="7" t="str">
        <f>_xlfn.XLOOKUP(Vendas[[#This Row],[ID Vendedor]],Vendedores[ID],Vendedores[Setor])</f>
        <v>SC</v>
      </c>
      <c r="D2428" s="7" t="s">
        <v>42</v>
      </c>
      <c r="E2428" t="str">
        <f>_xlfn.XLOOKUP(Vendas[[#This Row],[ID Item Vendido]],Agregado[ID],Agregado[Produto])</f>
        <v>Container de ferro industrial</v>
      </c>
      <c r="F2428" s="39">
        <v>45041</v>
      </c>
      <c r="G2428" s="7">
        <v>5</v>
      </c>
      <c r="H2428" s="3">
        <f>_xlfn.XLOOKUP(Vendas[[#This Row],[ID Item Vendido]],Agregado[ID],Agregado[Revenda])</f>
        <v>830</v>
      </c>
      <c r="I2428" s="3">
        <f>Vendas[[#This Row],[Valor Unitário]]*Vendas[[#This Row],[Qnt Vendida]]</f>
        <v>4150</v>
      </c>
      <c r="J2428" s="3">
        <f>Vendas[[#This Row],[Valor da Venda]]-(_xlfn.XLOOKUP(Vendas[[#This Row],[ID Item Vendido]],Agregado[ID],Agregado[Custo])*Vendas[[#This Row],[Qnt Vendida]])</f>
        <v>750</v>
      </c>
      <c r="K2428" s="70">
        <f>Vendas[[#This Row],[Lucro da Venda]]/Vendas[[#This Row],[Valor da Venda]]</f>
        <v>0.18072289156626506</v>
      </c>
      <c r="L2428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428"/>
    </row>
    <row r="2429" spans="1:13" x14ac:dyDescent="0.3">
      <c r="A2429" s="7">
        <v>400244</v>
      </c>
      <c r="B2429" t="str">
        <f>_xlfn.XLOOKUP(Vendas[[#This Row],[ID Vendedor]],Vendedores[ID],Vendedores[Nome])</f>
        <v>Camila</v>
      </c>
      <c r="C2429" s="7" t="str">
        <f>_xlfn.XLOOKUP(Vendas[[#This Row],[ID Vendedor]],Vendedores[ID],Vendedores[Setor])</f>
        <v>AHD</v>
      </c>
      <c r="D2429" s="7" t="s">
        <v>28</v>
      </c>
      <c r="E2429" t="str">
        <f>_xlfn.XLOOKUP(Vendas[[#This Row],[ID Item Vendido]],Agregado[ID],Agregado[Produto])</f>
        <v>Peça usinada CNC</v>
      </c>
      <c r="F2429" s="39">
        <v>45041</v>
      </c>
      <c r="G2429" s="7">
        <v>12</v>
      </c>
      <c r="H2429" s="3">
        <f>_xlfn.XLOOKUP(Vendas[[#This Row],[ID Item Vendido]],Agregado[ID],Agregado[Revenda])</f>
        <v>192</v>
      </c>
      <c r="I2429" s="3">
        <f>Vendas[[#This Row],[Valor Unitário]]*Vendas[[#This Row],[Qnt Vendida]]</f>
        <v>2304</v>
      </c>
      <c r="J2429" s="3">
        <f>Vendas[[#This Row],[Valor da Venda]]-(_xlfn.XLOOKUP(Vendas[[#This Row],[ID Item Vendido]],Agregado[ID],Agregado[Custo])*Vendas[[#This Row],[Qnt Vendida]])</f>
        <v>504</v>
      </c>
      <c r="K2429" s="70">
        <f>Vendas[[#This Row],[Lucro da Venda]]/Vendas[[#This Row],[Valor da Venda]]</f>
        <v>0.21875</v>
      </c>
      <c r="L2429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2429"/>
    </row>
    <row r="2430" spans="1:13" x14ac:dyDescent="0.3">
      <c r="A2430" s="7">
        <v>400253</v>
      </c>
      <c r="B2430" t="str">
        <f>_xlfn.XLOOKUP(Vendas[[#This Row],[ID Vendedor]],Vendedores[ID],Vendedores[Nome])</f>
        <v>Gustavo</v>
      </c>
      <c r="C2430" s="7" t="str">
        <f>_xlfn.XLOOKUP(Vendas[[#This Row],[ID Vendedor]],Vendedores[ID],Vendedores[Setor])</f>
        <v>SC</v>
      </c>
      <c r="D2430" s="7" t="s">
        <v>42</v>
      </c>
      <c r="E2430" t="str">
        <f>_xlfn.XLOOKUP(Vendas[[#This Row],[ID Item Vendido]],Agregado[ID],Agregado[Produto])</f>
        <v>Container de ferro industrial</v>
      </c>
      <c r="F2430" s="39">
        <v>45041</v>
      </c>
      <c r="G2430" s="7">
        <v>2</v>
      </c>
      <c r="H2430" s="3">
        <f>_xlfn.XLOOKUP(Vendas[[#This Row],[ID Item Vendido]],Agregado[ID],Agregado[Revenda])</f>
        <v>830</v>
      </c>
      <c r="I2430" s="3">
        <f>Vendas[[#This Row],[Valor Unitário]]*Vendas[[#This Row],[Qnt Vendida]]</f>
        <v>1660</v>
      </c>
      <c r="J2430" s="3">
        <f>Vendas[[#This Row],[Valor da Venda]]-(_xlfn.XLOOKUP(Vendas[[#This Row],[ID Item Vendido]],Agregado[ID],Agregado[Custo])*Vendas[[#This Row],[Qnt Vendida]])</f>
        <v>300</v>
      </c>
      <c r="K2430" s="70">
        <f>Vendas[[#This Row],[Lucro da Venda]]/Vendas[[#This Row],[Valor da Venda]]</f>
        <v>0.18072289156626506</v>
      </c>
      <c r="L2430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430"/>
    </row>
    <row r="2431" spans="1:13" x14ac:dyDescent="0.3">
      <c r="A2431" s="7">
        <v>400255</v>
      </c>
      <c r="B2431" t="str">
        <f>_xlfn.XLOOKUP(Vendas[[#This Row],[ID Vendedor]],Vendedores[ID],Vendedores[Nome])</f>
        <v>Carlos</v>
      </c>
      <c r="C2431" s="7" t="str">
        <f>_xlfn.XLOOKUP(Vendas[[#This Row],[ID Vendedor]],Vendedores[ID],Vendedores[Setor])</f>
        <v>SC</v>
      </c>
      <c r="D2431" s="7" t="s">
        <v>14</v>
      </c>
      <c r="E2431" t="str">
        <f>_xlfn.XLOOKUP(Vendas[[#This Row],[ID Item Vendido]],Agregado[ID],Agregado[Produto])</f>
        <v>Barril de plástico 200L</v>
      </c>
      <c r="F2431" s="39">
        <v>45041</v>
      </c>
      <c r="G2431" s="7">
        <v>14</v>
      </c>
      <c r="H2431" s="3">
        <f>_xlfn.XLOOKUP(Vendas[[#This Row],[ID Item Vendido]],Agregado[ID],Agregado[Revenda])</f>
        <v>114</v>
      </c>
      <c r="I2431" s="3">
        <f>Vendas[[#This Row],[Valor Unitário]]*Vendas[[#This Row],[Qnt Vendida]]</f>
        <v>1596</v>
      </c>
      <c r="J2431" s="3">
        <f>Vendas[[#This Row],[Valor da Venda]]-(_xlfn.XLOOKUP(Vendas[[#This Row],[ID Item Vendido]],Agregado[ID],Agregado[Custo])*Vendas[[#This Row],[Qnt Vendida]])</f>
        <v>266</v>
      </c>
      <c r="K2431" s="70">
        <f>Vendas[[#This Row],[Lucro da Venda]]/Vendas[[#This Row],[Valor da Venda]]</f>
        <v>0.16666666666666666</v>
      </c>
      <c r="L2431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431"/>
    </row>
    <row r="2432" spans="1:13" x14ac:dyDescent="0.3">
      <c r="A2432" s="7">
        <v>400251</v>
      </c>
      <c r="B2432" t="str">
        <f>_xlfn.XLOOKUP(Vendas[[#This Row],[ID Vendedor]],Vendedores[ID],Vendedores[Nome])</f>
        <v>Diego</v>
      </c>
      <c r="C2432" s="7" t="str">
        <f>_xlfn.XLOOKUP(Vendas[[#This Row],[ID Vendedor]],Vendedores[ID],Vendedores[Setor])</f>
        <v>AB</v>
      </c>
      <c r="D2432" s="7" t="s">
        <v>24</v>
      </c>
      <c r="E2432" t="str">
        <f>_xlfn.XLOOKUP(Vendas[[#This Row],[ID Item Vendido]],Agregado[ID],Agregado[Produto])</f>
        <v>Resina plástica PET purificada saco de 25kg</v>
      </c>
      <c r="F2432" s="39">
        <v>45042</v>
      </c>
      <c r="G2432" s="7">
        <v>20</v>
      </c>
      <c r="H2432" s="3">
        <f>_xlfn.XLOOKUP(Vendas[[#This Row],[ID Item Vendido]],Agregado[ID],Agregado[Revenda])</f>
        <v>119</v>
      </c>
      <c r="I2432" s="3">
        <f>Vendas[[#This Row],[Valor Unitário]]*Vendas[[#This Row],[Qnt Vendida]]</f>
        <v>2380</v>
      </c>
      <c r="J2432" s="3">
        <f>Vendas[[#This Row],[Valor da Venda]]-(_xlfn.XLOOKUP(Vendas[[#This Row],[ID Item Vendido]],Agregado[ID],Agregado[Custo])*Vendas[[#This Row],[Qnt Vendida]])</f>
        <v>680</v>
      </c>
      <c r="K2432" s="70">
        <f>Vendas[[#This Row],[Lucro da Venda]]/Vendas[[#This Row],[Valor da Venda]]</f>
        <v>0.2857142857142857</v>
      </c>
      <c r="L243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2432"/>
    </row>
    <row r="2433" spans="1:13" x14ac:dyDescent="0.3">
      <c r="A2433" s="7">
        <v>400253</v>
      </c>
      <c r="B2433" t="str">
        <f>_xlfn.XLOOKUP(Vendas[[#This Row],[ID Vendedor]],Vendedores[ID],Vendedores[Nome])</f>
        <v>Gustavo</v>
      </c>
      <c r="C2433" s="7" t="str">
        <f>_xlfn.XLOOKUP(Vendas[[#This Row],[ID Vendedor]],Vendedores[ID],Vendedores[Setor])</f>
        <v>SC</v>
      </c>
      <c r="D2433" s="7" t="s">
        <v>42</v>
      </c>
      <c r="E2433" t="str">
        <f>_xlfn.XLOOKUP(Vendas[[#This Row],[ID Item Vendido]],Agregado[ID],Agregado[Produto])</f>
        <v>Container de ferro industrial</v>
      </c>
      <c r="F2433" s="39">
        <v>45042</v>
      </c>
      <c r="G2433" s="7">
        <v>2</v>
      </c>
      <c r="H2433" s="3">
        <f>_xlfn.XLOOKUP(Vendas[[#This Row],[ID Item Vendido]],Agregado[ID],Agregado[Revenda])</f>
        <v>830</v>
      </c>
      <c r="I2433" s="3">
        <f>Vendas[[#This Row],[Valor Unitário]]*Vendas[[#This Row],[Qnt Vendida]]</f>
        <v>1660</v>
      </c>
      <c r="J2433" s="3">
        <f>Vendas[[#This Row],[Valor da Venda]]-(_xlfn.XLOOKUP(Vendas[[#This Row],[ID Item Vendido]],Agregado[ID],Agregado[Custo])*Vendas[[#This Row],[Qnt Vendida]])</f>
        <v>300</v>
      </c>
      <c r="K2433" s="70">
        <f>Vendas[[#This Row],[Lucro da Venda]]/Vendas[[#This Row],[Valor da Venda]]</f>
        <v>0.18072289156626506</v>
      </c>
      <c r="L243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433"/>
    </row>
    <row r="2434" spans="1:13" x14ac:dyDescent="0.3">
      <c r="A2434" s="7">
        <v>400254</v>
      </c>
      <c r="B2434" t="str">
        <f>_xlfn.XLOOKUP(Vendas[[#This Row],[ID Vendedor]],Vendedores[ID],Vendedores[Nome])</f>
        <v>Beatriz</v>
      </c>
      <c r="C2434" s="7" t="str">
        <f>_xlfn.XLOOKUP(Vendas[[#This Row],[ID Vendedor]],Vendedores[ID],Vendedores[Setor])</f>
        <v>SC</v>
      </c>
      <c r="D2434" s="7" t="s">
        <v>42</v>
      </c>
      <c r="E2434" t="str">
        <f>_xlfn.XLOOKUP(Vendas[[#This Row],[ID Item Vendido]],Agregado[ID],Agregado[Produto])</f>
        <v>Container de ferro industrial</v>
      </c>
      <c r="F2434" s="39">
        <v>45042</v>
      </c>
      <c r="G2434" s="7">
        <v>2</v>
      </c>
      <c r="H2434" s="3">
        <f>_xlfn.XLOOKUP(Vendas[[#This Row],[ID Item Vendido]],Agregado[ID],Agregado[Revenda])</f>
        <v>830</v>
      </c>
      <c r="I2434" s="3">
        <f>Vendas[[#This Row],[Valor Unitário]]*Vendas[[#This Row],[Qnt Vendida]]</f>
        <v>1660</v>
      </c>
      <c r="J2434" s="3">
        <f>Vendas[[#This Row],[Valor da Venda]]-(_xlfn.XLOOKUP(Vendas[[#This Row],[ID Item Vendido]],Agregado[ID],Agregado[Custo])*Vendas[[#This Row],[Qnt Vendida]])</f>
        <v>300</v>
      </c>
      <c r="K2434" s="70">
        <f>Vendas[[#This Row],[Lucro da Venda]]/Vendas[[#This Row],[Valor da Venda]]</f>
        <v>0.18072289156626506</v>
      </c>
      <c r="L2434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434"/>
    </row>
    <row r="2435" spans="1:13" x14ac:dyDescent="0.3">
      <c r="A2435" s="7">
        <v>400244</v>
      </c>
      <c r="B2435" t="str">
        <f>_xlfn.XLOOKUP(Vendas[[#This Row],[ID Vendedor]],Vendedores[ID],Vendedores[Nome])</f>
        <v>Camila</v>
      </c>
      <c r="C2435" s="7" t="str">
        <f>_xlfn.XLOOKUP(Vendas[[#This Row],[ID Vendedor]],Vendedores[ID],Vendedores[Setor])</f>
        <v>AHD</v>
      </c>
      <c r="D2435" s="7" t="s">
        <v>18</v>
      </c>
      <c r="E2435" t="str">
        <f>_xlfn.XLOOKUP(Vendas[[#This Row],[ID Item Vendido]],Agregado[ID],Agregado[Produto])</f>
        <v>Peça forjada sob encomenda</v>
      </c>
      <c r="F2435" s="39">
        <v>45042</v>
      </c>
      <c r="G2435" s="7">
        <v>4</v>
      </c>
      <c r="H2435" s="3">
        <f>_xlfn.XLOOKUP(Vendas[[#This Row],[ID Item Vendido]],Agregado[ID],Agregado[Revenda])</f>
        <v>264.60000000000002</v>
      </c>
      <c r="I2435" s="3">
        <f>Vendas[[#This Row],[Valor Unitário]]*Vendas[[#This Row],[Qnt Vendida]]</f>
        <v>1058.4000000000001</v>
      </c>
      <c r="J2435" s="3">
        <f>Vendas[[#This Row],[Valor da Venda]]-(_xlfn.XLOOKUP(Vendas[[#This Row],[ID Item Vendido]],Agregado[ID],Agregado[Custo])*Vendas[[#This Row],[Qnt Vendida]])</f>
        <v>58.400000000000091</v>
      </c>
      <c r="K2435" s="70">
        <f>Vendas[[#This Row],[Lucro da Venda]]/Vendas[[#This Row],[Valor da Venda]]</f>
        <v>5.5177626606198113E-2</v>
      </c>
      <c r="L2435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435"/>
    </row>
    <row r="2436" spans="1:13" x14ac:dyDescent="0.3">
      <c r="A2436" s="7">
        <v>400244</v>
      </c>
      <c r="B2436" t="str">
        <f>_xlfn.XLOOKUP(Vendas[[#This Row],[ID Vendedor]],Vendedores[ID],Vendedores[Nome])</f>
        <v>Camila</v>
      </c>
      <c r="C2436" s="7" t="str">
        <f>_xlfn.XLOOKUP(Vendas[[#This Row],[ID Vendedor]],Vendedores[ID],Vendedores[Setor])</f>
        <v>AHD</v>
      </c>
      <c r="D2436" s="7" t="s">
        <v>18</v>
      </c>
      <c r="E2436" t="str">
        <f>_xlfn.XLOOKUP(Vendas[[#This Row],[ID Item Vendido]],Agregado[ID],Agregado[Produto])</f>
        <v>Peça forjada sob encomenda</v>
      </c>
      <c r="F2436" s="39">
        <v>45042</v>
      </c>
      <c r="G2436" s="7">
        <v>3</v>
      </c>
      <c r="H2436" s="3">
        <f>_xlfn.XLOOKUP(Vendas[[#This Row],[ID Item Vendido]],Agregado[ID],Agregado[Revenda])</f>
        <v>264.60000000000002</v>
      </c>
      <c r="I2436" s="3">
        <f>Vendas[[#This Row],[Valor Unitário]]*Vendas[[#This Row],[Qnt Vendida]]</f>
        <v>793.80000000000007</v>
      </c>
      <c r="J2436" s="3">
        <f>Vendas[[#This Row],[Valor da Venda]]-(_xlfn.XLOOKUP(Vendas[[#This Row],[ID Item Vendido]],Agregado[ID],Agregado[Custo])*Vendas[[#This Row],[Qnt Vendida]])</f>
        <v>43.800000000000068</v>
      </c>
      <c r="K2436" s="70">
        <f>Vendas[[#This Row],[Lucro da Venda]]/Vendas[[#This Row],[Valor da Venda]]</f>
        <v>5.5177626606198113E-2</v>
      </c>
      <c r="L243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436"/>
    </row>
    <row r="2437" spans="1:13" x14ac:dyDescent="0.3">
      <c r="A2437" s="7">
        <v>400242</v>
      </c>
      <c r="B2437" t="str">
        <f>_xlfn.XLOOKUP(Vendas[[#This Row],[ID Vendedor]],Vendedores[ID],Vendedores[Nome])</f>
        <v>Fernanda</v>
      </c>
      <c r="C2437" s="7" t="str">
        <f>_xlfn.XLOOKUP(Vendas[[#This Row],[ID Vendedor]],Vendedores[ID],Vendedores[Setor])</f>
        <v>FM</v>
      </c>
      <c r="D2437" s="7" t="s">
        <v>20</v>
      </c>
      <c r="E2437" t="str">
        <f>_xlfn.XLOOKUP(Vendas[[#This Row],[ID Item Vendido]],Agregado[ID],Agregado[Produto])</f>
        <v>Barra de aço simples</v>
      </c>
      <c r="F2437" s="39">
        <v>45042</v>
      </c>
      <c r="G2437" s="7">
        <v>110</v>
      </c>
      <c r="H2437" s="3">
        <f>_xlfn.XLOOKUP(Vendas[[#This Row],[ID Item Vendido]],Agregado[ID],Agregado[Revenda])</f>
        <v>4.8</v>
      </c>
      <c r="I2437" s="3">
        <f>Vendas[[#This Row],[Valor Unitário]]*Vendas[[#This Row],[Qnt Vendida]]</f>
        <v>528</v>
      </c>
      <c r="J2437" s="3">
        <f>Vendas[[#This Row],[Valor da Venda]]-(_xlfn.XLOOKUP(Vendas[[#This Row],[ID Item Vendido]],Agregado[ID],Agregado[Custo])*Vendas[[#This Row],[Qnt Vendida]])</f>
        <v>66</v>
      </c>
      <c r="K2437" s="70">
        <f>Vendas[[#This Row],[Lucro da Venda]]/Vendas[[#This Row],[Valor da Venda]]</f>
        <v>0.125</v>
      </c>
      <c r="L2437" s="3">
        <f>_xlfn.IFS(Vendas[[#This Row],[Margem de Lucro (%)]]&lt;15%,Vendas[[#This Row],[Valor da Venda]]*3%,Vendas[[#This Row],[Margem de Lucro (%)]]&lt;=20%,Vendas[[#This Row],[Valor da Venda]]*4.5%,TRUE,Vendas[[#This Row],[Valor da Venda]]*6%)</f>
        <v>15.84</v>
      </c>
      <c r="M2437"/>
    </row>
    <row r="2438" spans="1:13" x14ac:dyDescent="0.3">
      <c r="A2438" s="7">
        <v>400250</v>
      </c>
      <c r="B2438" t="str">
        <f>_xlfn.XLOOKUP(Vendas[[#This Row],[ID Vendedor]],Vendedores[ID],Vendedores[Nome])</f>
        <v>Larissa</v>
      </c>
      <c r="C2438" s="7" t="str">
        <f>_xlfn.XLOOKUP(Vendas[[#This Row],[ID Vendedor]],Vendedores[ID],Vendedores[Setor])</f>
        <v>AB</v>
      </c>
      <c r="D2438" s="7" t="s">
        <v>36</v>
      </c>
      <c r="E2438" t="str">
        <f>_xlfn.XLOOKUP(Vendas[[#This Row],[ID Item Vendido]],Agregado[ID],Agregado[Produto])</f>
        <v>Borracha vulcanizada em manta</v>
      </c>
      <c r="F2438" s="39">
        <v>45042</v>
      </c>
      <c r="G2438" s="7">
        <v>14</v>
      </c>
      <c r="H2438" s="3">
        <f>_xlfn.XLOOKUP(Vendas[[#This Row],[ID Item Vendido]],Agregado[ID],Agregado[Revenda])</f>
        <v>7.8</v>
      </c>
      <c r="I2438" s="3">
        <f>Vendas[[#This Row],[Valor Unitário]]*Vendas[[#This Row],[Qnt Vendida]]</f>
        <v>109.2</v>
      </c>
      <c r="J2438" s="3">
        <f>Vendas[[#This Row],[Valor da Venda]]-(_xlfn.XLOOKUP(Vendas[[#This Row],[ID Item Vendido]],Agregado[ID],Agregado[Custo])*Vendas[[#This Row],[Qnt Vendida]])</f>
        <v>25.200000000000003</v>
      </c>
      <c r="K2438" s="70">
        <f>Vendas[[#This Row],[Lucro da Venda]]/Vendas[[#This Row],[Valor da Venda]]</f>
        <v>0.23076923076923078</v>
      </c>
      <c r="L2438" s="3">
        <f>_xlfn.IFS(Vendas[[#This Row],[Margem de Lucro (%)]]&lt;15%,Vendas[[#This Row],[Valor da Venda]]*3%,Vendas[[#This Row],[Margem de Lucro (%)]]&lt;=20%,Vendas[[#This Row],[Valor da Venda]]*4.5%,TRUE,Vendas[[#This Row],[Valor da Venda]]*6%)</f>
        <v>6.5519999999999996</v>
      </c>
      <c r="M2438"/>
    </row>
    <row r="2439" spans="1:13" x14ac:dyDescent="0.3">
      <c r="A2439" s="7">
        <v>400250</v>
      </c>
      <c r="B2439" t="str">
        <f>_xlfn.XLOOKUP(Vendas[[#This Row],[ID Vendedor]],Vendedores[ID],Vendedores[Nome])</f>
        <v>Larissa</v>
      </c>
      <c r="C2439" s="7" t="str">
        <f>_xlfn.XLOOKUP(Vendas[[#This Row],[ID Vendedor]],Vendedores[ID],Vendedores[Setor])</f>
        <v>AB</v>
      </c>
      <c r="D2439" s="7" t="s">
        <v>12</v>
      </c>
      <c r="E2439" t="str">
        <f>_xlfn.XLOOKUP(Vendas[[#This Row],[ID Item Vendido]],Agregado[ID],Agregado[Produto])</f>
        <v>Grânulo de plástico reciclado refinado</v>
      </c>
      <c r="F2439" s="39">
        <v>45043</v>
      </c>
      <c r="G2439" s="7">
        <v>62</v>
      </c>
      <c r="H2439" s="3">
        <f>_xlfn.XLOOKUP(Vendas[[#This Row],[ID Item Vendido]],Agregado[ID],Agregado[Revenda])</f>
        <v>4.7</v>
      </c>
      <c r="I2439" s="3">
        <f>Vendas[[#This Row],[Valor Unitário]]*Vendas[[#This Row],[Qnt Vendida]]</f>
        <v>291.40000000000003</v>
      </c>
      <c r="J2439" s="3">
        <f>Vendas[[#This Row],[Valor da Venda]]-(_xlfn.XLOOKUP(Vendas[[#This Row],[ID Item Vendido]],Agregado[ID],Agregado[Custo])*Vendas[[#This Row],[Qnt Vendida]])</f>
        <v>74.400000000000034</v>
      </c>
      <c r="K2439" s="70">
        <f>Vendas[[#This Row],[Lucro da Venda]]/Vendas[[#This Row],[Valor da Venda]]</f>
        <v>0.2553191489361703</v>
      </c>
      <c r="L2439" s="3">
        <f>_xlfn.IFS(Vendas[[#This Row],[Margem de Lucro (%)]]&lt;15%,Vendas[[#This Row],[Valor da Venda]]*3%,Vendas[[#This Row],[Margem de Lucro (%)]]&lt;=20%,Vendas[[#This Row],[Valor da Venda]]*4.5%,TRUE,Vendas[[#This Row],[Valor da Venda]]*6%)</f>
        <v>17.484000000000002</v>
      </c>
      <c r="M2439"/>
    </row>
    <row r="2440" spans="1:13" x14ac:dyDescent="0.3">
      <c r="A2440" s="7">
        <v>400250</v>
      </c>
      <c r="B2440" t="str">
        <f>_xlfn.XLOOKUP(Vendas[[#This Row],[ID Vendedor]],Vendedores[ID],Vendedores[Nome])</f>
        <v>Larissa</v>
      </c>
      <c r="C2440" s="7" t="str">
        <f>_xlfn.XLOOKUP(Vendas[[#This Row],[ID Vendedor]],Vendedores[ID],Vendedores[Setor])</f>
        <v>AB</v>
      </c>
      <c r="D2440" s="7" t="s">
        <v>24</v>
      </c>
      <c r="E2440" t="str">
        <f>_xlfn.XLOOKUP(Vendas[[#This Row],[ID Item Vendido]],Agregado[ID],Agregado[Produto])</f>
        <v>Resina plástica PET purificada saco de 25kg</v>
      </c>
      <c r="F2440" s="39">
        <v>45044</v>
      </c>
      <c r="G2440" s="7">
        <v>19</v>
      </c>
      <c r="H2440" s="3">
        <f>_xlfn.XLOOKUP(Vendas[[#This Row],[ID Item Vendido]],Agregado[ID],Agregado[Revenda])</f>
        <v>119</v>
      </c>
      <c r="I2440" s="3">
        <f>Vendas[[#This Row],[Valor Unitário]]*Vendas[[#This Row],[Qnt Vendida]]</f>
        <v>2261</v>
      </c>
      <c r="J2440" s="3">
        <f>Vendas[[#This Row],[Valor da Venda]]-(_xlfn.XLOOKUP(Vendas[[#This Row],[ID Item Vendido]],Agregado[ID],Agregado[Custo])*Vendas[[#This Row],[Qnt Vendida]])</f>
        <v>646</v>
      </c>
      <c r="K2440" s="70">
        <f>Vendas[[#This Row],[Lucro da Venda]]/Vendas[[#This Row],[Valor da Venda]]</f>
        <v>0.2857142857142857</v>
      </c>
      <c r="L2440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440"/>
    </row>
    <row r="2441" spans="1:13" x14ac:dyDescent="0.3">
      <c r="A2441" s="7">
        <v>400248</v>
      </c>
      <c r="B2441" t="str">
        <f>_xlfn.XLOOKUP(Vendas[[#This Row],[ID Vendedor]],Vendedores[ID],Vendedores[Nome])</f>
        <v>Patrícia</v>
      </c>
      <c r="C2441" s="7" t="str">
        <f>_xlfn.XLOOKUP(Vendas[[#This Row],[ID Vendedor]],Vendedores[ID],Vendedores[Setor])</f>
        <v>CM</v>
      </c>
      <c r="D2441" s="7" t="s">
        <v>43</v>
      </c>
      <c r="E2441" t="str">
        <f>_xlfn.XLOOKUP(Vendas[[#This Row],[ID Item Vendido]],Agregado[ID],Agregado[Produto])</f>
        <v>Madeira Bruta (Tora)</v>
      </c>
      <c r="F2441" s="39">
        <v>45044</v>
      </c>
      <c r="G2441" s="7">
        <v>2</v>
      </c>
      <c r="H2441" s="3">
        <f>_xlfn.XLOOKUP(Vendas[[#This Row],[ID Item Vendido]],Agregado[ID],Agregado[Revenda])</f>
        <v>212</v>
      </c>
      <c r="I2441" s="3">
        <f>Vendas[[#This Row],[Valor Unitário]]*Vendas[[#This Row],[Qnt Vendida]]</f>
        <v>424</v>
      </c>
      <c r="J2441" s="3">
        <f>Vendas[[#This Row],[Valor da Venda]]-(_xlfn.XLOOKUP(Vendas[[#This Row],[ID Item Vendido]],Agregado[ID],Agregado[Custo])*Vendas[[#This Row],[Qnt Vendida]])</f>
        <v>64</v>
      </c>
      <c r="K2441" s="70">
        <f>Vendas[[#This Row],[Lucro da Venda]]/Vendas[[#This Row],[Valor da Venda]]</f>
        <v>0.15094339622641509</v>
      </c>
      <c r="L2441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441"/>
    </row>
    <row r="2442" spans="1:13" x14ac:dyDescent="0.3">
      <c r="A2442" s="7">
        <v>400243</v>
      </c>
      <c r="B2442" t="str">
        <f>_xlfn.XLOOKUP(Vendas[[#This Row],[ID Vendedor]],Vendedores[ID],Vendedores[Nome])</f>
        <v>Marcelo</v>
      </c>
      <c r="C2442" s="7" t="str">
        <f>_xlfn.XLOOKUP(Vendas[[#This Row],[ID Vendedor]],Vendedores[ID],Vendedores[Setor])</f>
        <v>FM</v>
      </c>
      <c r="D2442" s="7" t="s">
        <v>27</v>
      </c>
      <c r="E2442" t="str">
        <f>_xlfn.XLOOKUP(Vendas[[#This Row],[ID Item Vendido]],Agregado[ID],Agregado[Produto])</f>
        <v>Chapa de metal lisa 1x2m</v>
      </c>
      <c r="F2442" s="39">
        <v>45045</v>
      </c>
      <c r="G2442" s="7">
        <v>23</v>
      </c>
      <c r="H2442" s="3">
        <f>_xlfn.XLOOKUP(Vendas[[#This Row],[ID Item Vendido]],Agregado[ID],Agregado[Revenda])</f>
        <v>52</v>
      </c>
      <c r="I2442" s="3">
        <f>Vendas[[#This Row],[Valor Unitário]]*Vendas[[#This Row],[Qnt Vendida]]</f>
        <v>1196</v>
      </c>
      <c r="J2442" s="3">
        <f>Vendas[[#This Row],[Valor da Venda]]-(_xlfn.XLOOKUP(Vendas[[#This Row],[ID Item Vendido]],Agregado[ID],Agregado[Custo])*Vendas[[#This Row],[Qnt Vendida]])</f>
        <v>161</v>
      </c>
      <c r="K2442" s="70">
        <f>Vendas[[#This Row],[Lucro da Venda]]/Vendas[[#This Row],[Valor da Venda]]</f>
        <v>0.13461538461538461</v>
      </c>
      <c r="L2442" s="3">
        <f>_xlfn.IFS(Vendas[[#This Row],[Margem de Lucro (%)]]&lt;15%,Vendas[[#This Row],[Valor da Venda]]*3%,Vendas[[#This Row],[Margem de Lucro (%)]]&lt;=20%,Vendas[[#This Row],[Valor da Venda]]*4.5%,TRUE,Vendas[[#This Row],[Valor da Venda]]*6%)</f>
        <v>35.879999999999995</v>
      </c>
      <c r="M2442"/>
    </row>
    <row r="2443" spans="1:13" x14ac:dyDescent="0.3">
      <c r="A2443" s="7">
        <v>400242</v>
      </c>
      <c r="B2443" t="str">
        <f>_xlfn.XLOOKUP(Vendas[[#This Row],[ID Vendedor]],Vendedores[ID],Vendedores[Nome])</f>
        <v>Fernanda</v>
      </c>
      <c r="C2443" s="7" t="str">
        <f>_xlfn.XLOOKUP(Vendas[[#This Row],[ID Vendedor]],Vendedores[ID],Vendedores[Setor])</f>
        <v>FM</v>
      </c>
      <c r="D2443" s="7" t="s">
        <v>6</v>
      </c>
      <c r="E2443" t="str">
        <f>_xlfn.XLOOKUP(Vendas[[#This Row],[ID Item Vendido]],Agregado[ID],Agregado[Produto])</f>
        <v>Parafuso comum 500un</v>
      </c>
      <c r="F2443" s="39">
        <v>45045</v>
      </c>
      <c r="G2443" s="7">
        <v>21</v>
      </c>
      <c r="H2443" s="3">
        <f>_xlfn.XLOOKUP(Vendas[[#This Row],[ID Item Vendido]],Agregado[ID],Agregado[Revenda])</f>
        <v>24.6</v>
      </c>
      <c r="I2443" s="3">
        <f>Vendas[[#This Row],[Valor Unitário]]*Vendas[[#This Row],[Qnt Vendida]]</f>
        <v>516.6</v>
      </c>
      <c r="J2443" s="3">
        <f>Vendas[[#This Row],[Valor da Venda]]-(_xlfn.XLOOKUP(Vendas[[#This Row],[ID Item Vendido]],Agregado[ID],Agregado[Custo])*Vendas[[#This Row],[Qnt Vendida]])</f>
        <v>54.600000000000023</v>
      </c>
      <c r="K2443" s="70">
        <f>Vendas[[#This Row],[Lucro da Venda]]/Vendas[[#This Row],[Valor da Venda]]</f>
        <v>0.10569105691056914</v>
      </c>
      <c r="L2443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2443"/>
    </row>
    <row r="2444" spans="1:13" x14ac:dyDescent="0.3">
      <c r="A2444" s="7">
        <v>400242</v>
      </c>
      <c r="B2444" t="str">
        <f>_xlfn.XLOOKUP(Vendas[[#This Row],[ID Vendedor]],Vendedores[ID],Vendedores[Nome])</f>
        <v>Fernanda</v>
      </c>
      <c r="C2444" s="7" t="str">
        <f>_xlfn.XLOOKUP(Vendas[[#This Row],[ID Vendedor]],Vendedores[ID],Vendedores[Setor])</f>
        <v>FM</v>
      </c>
      <c r="D2444" s="7" t="s">
        <v>20</v>
      </c>
      <c r="E2444" t="str">
        <f>_xlfn.XLOOKUP(Vendas[[#This Row],[ID Item Vendido]],Agregado[ID],Agregado[Produto])</f>
        <v>Barra de aço simples</v>
      </c>
      <c r="F2444" s="39">
        <v>45046</v>
      </c>
      <c r="G2444" s="7">
        <v>181</v>
      </c>
      <c r="H2444" s="3">
        <f>_xlfn.XLOOKUP(Vendas[[#This Row],[ID Item Vendido]],Agregado[ID],Agregado[Revenda])</f>
        <v>4.8</v>
      </c>
      <c r="I2444" s="3">
        <f>Vendas[[#This Row],[Valor Unitário]]*Vendas[[#This Row],[Qnt Vendida]]</f>
        <v>868.8</v>
      </c>
      <c r="J2444" s="3">
        <f>Vendas[[#This Row],[Valor da Venda]]-(_xlfn.XLOOKUP(Vendas[[#This Row],[ID Item Vendido]],Agregado[ID],Agregado[Custo])*Vendas[[#This Row],[Qnt Vendida]])</f>
        <v>108.59999999999991</v>
      </c>
      <c r="K2444" s="70">
        <f>Vendas[[#This Row],[Lucro da Venda]]/Vendas[[#This Row],[Valor da Venda]]</f>
        <v>0.1249999999999999</v>
      </c>
      <c r="L2444" s="3">
        <f>_xlfn.IFS(Vendas[[#This Row],[Margem de Lucro (%)]]&lt;15%,Vendas[[#This Row],[Valor da Venda]]*3%,Vendas[[#This Row],[Margem de Lucro (%)]]&lt;=20%,Vendas[[#This Row],[Valor da Venda]]*4.5%,TRUE,Vendas[[#This Row],[Valor da Venda]]*6%)</f>
        <v>26.063999999999997</v>
      </c>
      <c r="M2444"/>
    </row>
    <row r="2445" spans="1:13" x14ac:dyDescent="0.3">
      <c r="A2445" s="7">
        <v>400246</v>
      </c>
      <c r="B2445" t="str">
        <f>_xlfn.XLOOKUP(Vendas[[#This Row],[ID Vendedor]],Vendedores[ID],Vendedores[Nome])</f>
        <v>Juliana</v>
      </c>
      <c r="C2445" s="7" t="str">
        <f>_xlfn.XLOOKUP(Vendas[[#This Row],[ID Vendedor]],Vendedores[ID],Vendedores[Setor])</f>
        <v>AHD</v>
      </c>
      <c r="D2445" s="7" t="s">
        <v>9</v>
      </c>
      <c r="E2445" t="str">
        <f>_xlfn.XLOOKUP(Vendas[[#This Row],[ID Item Vendido]],Agregado[ID],Agregado[Produto])</f>
        <v>Barra de aço simples</v>
      </c>
      <c r="F2445" s="39">
        <v>45047</v>
      </c>
      <c r="G2445" s="7">
        <v>35</v>
      </c>
      <c r="H2445" s="3">
        <f>_xlfn.XLOOKUP(Vendas[[#This Row],[ID Item Vendido]],Agregado[ID],Agregado[Revenda])</f>
        <v>6.7</v>
      </c>
      <c r="I2445" s="3">
        <f>Vendas[[#This Row],[Valor Unitário]]*Vendas[[#This Row],[Qnt Vendida]]</f>
        <v>234.5</v>
      </c>
      <c r="J2445" s="3">
        <f>Vendas[[#This Row],[Valor da Venda]]-(_xlfn.XLOOKUP(Vendas[[#This Row],[ID Item Vendido]],Agregado[ID],Agregado[Custo])*Vendas[[#This Row],[Qnt Vendida]])</f>
        <v>31.5</v>
      </c>
      <c r="K2445" s="70">
        <f>Vendas[[#This Row],[Lucro da Venda]]/Vendas[[#This Row],[Valor da Venda]]</f>
        <v>0.13432835820895522</v>
      </c>
      <c r="L2445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2445"/>
    </row>
    <row r="2446" spans="1:13" x14ac:dyDescent="0.3">
      <c r="A2446" s="7">
        <v>400246</v>
      </c>
      <c r="B2446" t="str">
        <f>_xlfn.XLOOKUP(Vendas[[#This Row],[ID Vendedor]],Vendedores[ID],Vendedores[Nome])</f>
        <v>Juliana</v>
      </c>
      <c r="C2446" s="7" t="str">
        <f>_xlfn.XLOOKUP(Vendas[[#This Row],[ID Vendedor]],Vendedores[ID],Vendedores[Setor])</f>
        <v>AHD</v>
      </c>
      <c r="D2446" s="7" t="s">
        <v>18</v>
      </c>
      <c r="E2446" t="str">
        <f>_xlfn.XLOOKUP(Vendas[[#This Row],[ID Item Vendido]],Agregado[ID],Agregado[Produto])</f>
        <v>Peça forjada sob encomenda</v>
      </c>
      <c r="F2446" s="39">
        <v>45049</v>
      </c>
      <c r="G2446" s="7">
        <v>3</v>
      </c>
      <c r="H2446" s="3">
        <f>_xlfn.XLOOKUP(Vendas[[#This Row],[ID Item Vendido]],Agregado[ID],Agregado[Revenda])</f>
        <v>264.60000000000002</v>
      </c>
      <c r="I2446" s="3">
        <f>Vendas[[#This Row],[Valor Unitário]]*Vendas[[#This Row],[Qnt Vendida]]</f>
        <v>793.80000000000007</v>
      </c>
      <c r="J2446" s="3">
        <f>Vendas[[#This Row],[Valor da Venda]]-(_xlfn.XLOOKUP(Vendas[[#This Row],[ID Item Vendido]],Agregado[ID],Agregado[Custo])*Vendas[[#This Row],[Qnt Vendida]])</f>
        <v>43.800000000000068</v>
      </c>
      <c r="K2446" s="70">
        <f>Vendas[[#This Row],[Lucro da Venda]]/Vendas[[#This Row],[Valor da Venda]]</f>
        <v>5.5177626606198113E-2</v>
      </c>
      <c r="L244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446"/>
    </row>
    <row r="2447" spans="1:13" x14ac:dyDescent="0.3">
      <c r="A2447" s="7">
        <v>400241</v>
      </c>
      <c r="B2447" t="str">
        <f>_xlfn.XLOOKUP(Vendas[[#This Row],[ID Vendedor]],Vendedores[ID],Vendedores[Nome])</f>
        <v>Rodrigo</v>
      </c>
      <c r="C2447" s="7" t="str">
        <f>_xlfn.XLOOKUP(Vendas[[#This Row],[ID Vendedor]],Vendedores[ID],Vendedores[Setor])</f>
        <v>FM</v>
      </c>
      <c r="D2447" s="7" t="s">
        <v>31</v>
      </c>
      <c r="E2447" t="str">
        <f>_xlfn.XLOOKUP(Vendas[[#This Row],[ID Item Vendido]],Agregado[ID],Agregado[Produto])</f>
        <v>Tela de metal soldada rolo 2x25m</v>
      </c>
      <c r="F2447" s="39">
        <v>45049</v>
      </c>
      <c r="G2447" s="7">
        <v>16</v>
      </c>
      <c r="H2447" s="3">
        <f>_xlfn.XLOOKUP(Vendas[[#This Row],[ID Item Vendido]],Agregado[ID],Agregado[Revenda])</f>
        <v>43.7</v>
      </c>
      <c r="I2447" s="3">
        <f>Vendas[[#This Row],[Valor Unitário]]*Vendas[[#This Row],[Qnt Vendida]]</f>
        <v>699.2</v>
      </c>
      <c r="J2447" s="3">
        <f>Vendas[[#This Row],[Valor da Venda]]-(_xlfn.XLOOKUP(Vendas[[#This Row],[ID Item Vendido]],Agregado[ID],Agregado[Custo])*Vendas[[#This Row],[Qnt Vendida]])</f>
        <v>91.200000000000045</v>
      </c>
      <c r="K2447" s="70">
        <f>Vendas[[#This Row],[Lucro da Venda]]/Vendas[[#This Row],[Valor da Venda]]</f>
        <v>0.1304347826086957</v>
      </c>
      <c r="L2447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2447"/>
    </row>
    <row r="2448" spans="1:13" x14ac:dyDescent="0.3">
      <c r="A2448" s="7">
        <v>400243</v>
      </c>
      <c r="B2448" t="str">
        <f>_xlfn.XLOOKUP(Vendas[[#This Row],[ID Vendedor]],Vendedores[ID],Vendedores[Nome])</f>
        <v>Marcelo</v>
      </c>
      <c r="C2448" s="7" t="str">
        <f>_xlfn.XLOOKUP(Vendas[[#This Row],[ID Vendedor]],Vendedores[ID],Vendedores[Setor])</f>
        <v>FM</v>
      </c>
      <c r="D2448" s="7" t="s">
        <v>47</v>
      </c>
      <c r="E2448" t="str">
        <f>_xlfn.XLOOKUP(Vendas[[#This Row],[ID Item Vendido]],Agregado[ID],Agregado[Produto])</f>
        <v>Fio de arame galvanizado rolo 50m</v>
      </c>
      <c r="F2448" s="39">
        <v>45049</v>
      </c>
      <c r="G2448" s="7">
        <v>28</v>
      </c>
      <c r="H2448" s="3">
        <f>_xlfn.XLOOKUP(Vendas[[#This Row],[ID Item Vendido]],Agregado[ID],Agregado[Revenda])</f>
        <v>21.2</v>
      </c>
      <c r="I2448" s="3">
        <f>Vendas[[#This Row],[Valor Unitário]]*Vendas[[#This Row],[Qnt Vendida]]</f>
        <v>593.6</v>
      </c>
      <c r="J2448" s="3">
        <f>Vendas[[#This Row],[Valor da Venda]]-(_xlfn.XLOOKUP(Vendas[[#This Row],[ID Item Vendido]],Agregado[ID],Agregado[Custo])*Vendas[[#This Row],[Qnt Vendida]])</f>
        <v>89.600000000000023</v>
      </c>
      <c r="K2448" s="70">
        <f>Vendas[[#This Row],[Lucro da Venda]]/Vendas[[#This Row],[Valor da Venda]]</f>
        <v>0.15094339622641512</v>
      </c>
      <c r="L2448" s="3">
        <f>_xlfn.IFS(Vendas[[#This Row],[Margem de Lucro (%)]]&lt;15%,Vendas[[#This Row],[Valor da Venda]]*3%,Vendas[[#This Row],[Margem de Lucro (%)]]&lt;=20%,Vendas[[#This Row],[Valor da Venda]]*4.5%,TRUE,Vendas[[#This Row],[Valor da Venda]]*6%)</f>
        <v>26.712</v>
      </c>
      <c r="M2448"/>
    </row>
    <row r="2449" spans="1:13" x14ac:dyDescent="0.3">
      <c r="A2449" s="7">
        <v>400241</v>
      </c>
      <c r="B2449" t="str">
        <f>_xlfn.XLOOKUP(Vendas[[#This Row],[ID Vendedor]],Vendedores[ID],Vendedores[Nome])</f>
        <v>Rodrigo</v>
      </c>
      <c r="C2449" s="7" t="str">
        <f>_xlfn.XLOOKUP(Vendas[[#This Row],[ID Vendedor]],Vendedores[ID],Vendedores[Setor])</f>
        <v>FM</v>
      </c>
      <c r="D2449" s="7" t="s">
        <v>20</v>
      </c>
      <c r="E2449" t="str">
        <f>_xlfn.XLOOKUP(Vendas[[#This Row],[ID Item Vendido]],Agregado[ID],Agregado[Produto])</f>
        <v>Barra de aço simples</v>
      </c>
      <c r="F2449" s="39">
        <v>45050</v>
      </c>
      <c r="G2449" s="7">
        <v>187</v>
      </c>
      <c r="H2449" s="3">
        <f>_xlfn.XLOOKUP(Vendas[[#This Row],[ID Item Vendido]],Agregado[ID],Agregado[Revenda])</f>
        <v>4.8</v>
      </c>
      <c r="I2449" s="3">
        <f>Vendas[[#This Row],[Valor Unitário]]*Vendas[[#This Row],[Qnt Vendida]]</f>
        <v>897.6</v>
      </c>
      <c r="J2449" s="3">
        <f>Vendas[[#This Row],[Valor da Venda]]-(_xlfn.XLOOKUP(Vendas[[#This Row],[ID Item Vendido]],Agregado[ID],Agregado[Custo])*Vendas[[#This Row],[Qnt Vendida]])</f>
        <v>112.20000000000005</v>
      </c>
      <c r="K2449" s="70">
        <f>Vendas[[#This Row],[Lucro da Venda]]/Vendas[[#This Row],[Valor da Venda]]</f>
        <v>0.12500000000000006</v>
      </c>
      <c r="L2449" s="3">
        <f>_xlfn.IFS(Vendas[[#This Row],[Margem de Lucro (%)]]&lt;15%,Vendas[[#This Row],[Valor da Venda]]*3%,Vendas[[#This Row],[Margem de Lucro (%)]]&lt;=20%,Vendas[[#This Row],[Valor da Venda]]*4.5%,TRUE,Vendas[[#This Row],[Valor da Venda]]*6%)</f>
        <v>26.928000000000001</v>
      </c>
      <c r="M2449"/>
    </row>
    <row r="2450" spans="1:13" x14ac:dyDescent="0.3">
      <c r="A2450" s="7">
        <v>400255</v>
      </c>
      <c r="B2450" t="str">
        <f>_xlfn.XLOOKUP(Vendas[[#This Row],[ID Vendedor]],Vendedores[ID],Vendedores[Nome])</f>
        <v>Carlos</v>
      </c>
      <c r="C2450" s="7" t="str">
        <f>_xlfn.XLOOKUP(Vendas[[#This Row],[ID Vendedor]],Vendedores[ID],Vendedores[Setor])</f>
        <v>SC</v>
      </c>
      <c r="D2450" s="7" t="s">
        <v>48</v>
      </c>
      <c r="E2450" t="str">
        <f>_xlfn.XLOOKUP(Vendas[[#This Row],[ID Item Vendido]],Agregado[ID],Agregado[Produto])</f>
        <v>Tambor metálico 200L</v>
      </c>
      <c r="F2450" s="39">
        <v>45051</v>
      </c>
      <c r="G2450" s="7">
        <v>15</v>
      </c>
      <c r="H2450" s="3">
        <f>_xlfn.XLOOKUP(Vendas[[#This Row],[ID Item Vendido]],Agregado[ID],Agregado[Revenda])</f>
        <v>144</v>
      </c>
      <c r="I2450" s="3">
        <f>Vendas[[#This Row],[Valor Unitário]]*Vendas[[#This Row],[Qnt Vendida]]</f>
        <v>2160</v>
      </c>
      <c r="J2450" s="3">
        <f>Vendas[[#This Row],[Valor da Venda]]-(_xlfn.XLOOKUP(Vendas[[#This Row],[ID Item Vendido]],Agregado[ID],Agregado[Custo])*Vendas[[#This Row],[Qnt Vendida]])</f>
        <v>360</v>
      </c>
      <c r="K2450" s="70">
        <f>Vendas[[#This Row],[Lucro da Venda]]/Vendas[[#This Row],[Valor da Venda]]</f>
        <v>0.16666666666666666</v>
      </c>
      <c r="L2450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2450"/>
    </row>
    <row r="2451" spans="1:13" x14ac:dyDescent="0.3">
      <c r="A2451" s="7">
        <v>400254</v>
      </c>
      <c r="B2451" t="str">
        <f>_xlfn.XLOOKUP(Vendas[[#This Row],[ID Vendedor]],Vendedores[ID],Vendedores[Nome])</f>
        <v>Beatriz</v>
      </c>
      <c r="C2451" s="7" t="str">
        <f>_xlfn.XLOOKUP(Vendas[[#This Row],[ID Vendedor]],Vendedores[ID],Vendedores[Setor])</f>
        <v>SC</v>
      </c>
      <c r="D2451" s="7" t="s">
        <v>14</v>
      </c>
      <c r="E2451" t="str">
        <f>_xlfn.XLOOKUP(Vendas[[#This Row],[ID Item Vendido]],Agregado[ID],Agregado[Produto])</f>
        <v>Barril de plástico 200L</v>
      </c>
      <c r="F2451" s="39">
        <v>45051</v>
      </c>
      <c r="G2451" s="7">
        <v>15</v>
      </c>
      <c r="H2451" s="3">
        <f>_xlfn.XLOOKUP(Vendas[[#This Row],[ID Item Vendido]],Agregado[ID],Agregado[Revenda])</f>
        <v>114</v>
      </c>
      <c r="I2451" s="3">
        <f>Vendas[[#This Row],[Valor Unitário]]*Vendas[[#This Row],[Qnt Vendida]]</f>
        <v>1710</v>
      </c>
      <c r="J2451" s="3">
        <f>Vendas[[#This Row],[Valor da Venda]]-(_xlfn.XLOOKUP(Vendas[[#This Row],[ID Item Vendido]],Agregado[ID],Agregado[Custo])*Vendas[[#This Row],[Qnt Vendida]])</f>
        <v>285</v>
      </c>
      <c r="K2451" s="70">
        <f>Vendas[[#This Row],[Lucro da Venda]]/Vendas[[#This Row],[Valor da Venda]]</f>
        <v>0.16666666666666666</v>
      </c>
      <c r="L2451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2451"/>
    </row>
    <row r="2452" spans="1:13" x14ac:dyDescent="0.3">
      <c r="A2452" s="7">
        <v>400243</v>
      </c>
      <c r="B2452" t="str">
        <f>_xlfn.XLOOKUP(Vendas[[#This Row],[ID Vendedor]],Vendedores[ID],Vendedores[Nome])</f>
        <v>Marcelo</v>
      </c>
      <c r="C2452" s="7" t="str">
        <f>_xlfn.XLOOKUP(Vendas[[#This Row],[ID Vendedor]],Vendedores[ID],Vendedores[Setor])</f>
        <v>FM</v>
      </c>
      <c r="D2452" s="7" t="s">
        <v>27</v>
      </c>
      <c r="E2452" t="str">
        <f>_xlfn.XLOOKUP(Vendas[[#This Row],[ID Item Vendido]],Agregado[ID],Agregado[Produto])</f>
        <v>Chapa de metal lisa 1x2m</v>
      </c>
      <c r="F2452" s="39">
        <v>45051</v>
      </c>
      <c r="G2452" s="7">
        <v>24</v>
      </c>
      <c r="H2452" s="3">
        <f>_xlfn.XLOOKUP(Vendas[[#This Row],[ID Item Vendido]],Agregado[ID],Agregado[Revenda])</f>
        <v>52</v>
      </c>
      <c r="I2452" s="3">
        <f>Vendas[[#This Row],[Valor Unitário]]*Vendas[[#This Row],[Qnt Vendida]]</f>
        <v>1248</v>
      </c>
      <c r="J2452" s="3">
        <f>Vendas[[#This Row],[Valor da Venda]]-(_xlfn.XLOOKUP(Vendas[[#This Row],[ID Item Vendido]],Agregado[ID],Agregado[Custo])*Vendas[[#This Row],[Qnt Vendida]])</f>
        <v>168</v>
      </c>
      <c r="K2452" s="70">
        <f>Vendas[[#This Row],[Lucro da Venda]]/Vendas[[#This Row],[Valor da Venda]]</f>
        <v>0.13461538461538461</v>
      </c>
      <c r="L2452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2452"/>
    </row>
    <row r="2453" spans="1:13" x14ac:dyDescent="0.3">
      <c r="A2453" s="7">
        <v>400242</v>
      </c>
      <c r="B2453" t="str">
        <f>_xlfn.XLOOKUP(Vendas[[#This Row],[ID Vendedor]],Vendedores[ID],Vendedores[Nome])</f>
        <v>Fernanda</v>
      </c>
      <c r="C2453" s="7" t="str">
        <f>_xlfn.XLOOKUP(Vendas[[#This Row],[ID Vendedor]],Vendedores[ID],Vendedores[Setor])</f>
        <v>FM</v>
      </c>
      <c r="D2453" s="7" t="s">
        <v>20</v>
      </c>
      <c r="E2453" t="str">
        <f>_xlfn.XLOOKUP(Vendas[[#This Row],[ID Item Vendido]],Agregado[ID],Agregado[Produto])</f>
        <v>Barra de aço simples</v>
      </c>
      <c r="F2453" s="39">
        <v>45051</v>
      </c>
      <c r="G2453" s="7">
        <v>182</v>
      </c>
      <c r="H2453" s="3">
        <f>_xlfn.XLOOKUP(Vendas[[#This Row],[ID Item Vendido]],Agregado[ID],Agregado[Revenda])</f>
        <v>4.8</v>
      </c>
      <c r="I2453" s="3">
        <f>Vendas[[#This Row],[Valor Unitário]]*Vendas[[#This Row],[Qnt Vendida]]</f>
        <v>873.6</v>
      </c>
      <c r="J2453" s="3">
        <f>Vendas[[#This Row],[Valor da Venda]]-(_xlfn.XLOOKUP(Vendas[[#This Row],[ID Item Vendido]],Agregado[ID],Agregado[Custo])*Vendas[[#This Row],[Qnt Vendida]])</f>
        <v>109.20000000000005</v>
      </c>
      <c r="K2453" s="70">
        <f>Vendas[[#This Row],[Lucro da Venda]]/Vendas[[#This Row],[Valor da Venda]]</f>
        <v>0.12500000000000006</v>
      </c>
      <c r="L2453" s="3">
        <f>_xlfn.IFS(Vendas[[#This Row],[Margem de Lucro (%)]]&lt;15%,Vendas[[#This Row],[Valor da Venda]]*3%,Vendas[[#This Row],[Margem de Lucro (%)]]&lt;=20%,Vendas[[#This Row],[Valor da Venda]]*4.5%,TRUE,Vendas[[#This Row],[Valor da Venda]]*6%)</f>
        <v>26.207999999999998</v>
      </c>
      <c r="M2453"/>
    </row>
    <row r="2454" spans="1:13" x14ac:dyDescent="0.3">
      <c r="A2454" s="7">
        <v>400242</v>
      </c>
      <c r="B2454" t="str">
        <f>_xlfn.XLOOKUP(Vendas[[#This Row],[ID Vendedor]],Vendedores[ID],Vendedores[Nome])</f>
        <v>Fernanda</v>
      </c>
      <c r="C2454" s="7" t="str">
        <f>_xlfn.XLOOKUP(Vendas[[#This Row],[ID Vendedor]],Vendedores[ID],Vendedores[Setor])</f>
        <v>FM</v>
      </c>
      <c r="D2454" s="7" t="s">
        <v>6</v>
      </c>
      <c r="E2454" t="str">
        <f>_xlfn.XLOOKUP(Vendas[[#This Row],[ID Item Vendido]],Agregado[ID],Agregado[Produto])</f>
        <v>Parafuso comum 500un</v>
      </c>
      <c r="F2454" s="39">
        <v>45051</v>
      </c>
      <c r="G2454" s="7">
        <v>13</v>
      </c>
      <c r="H2454" s="3">
        <f>_xlfn.XLOOKUP(Vendas[[#This Row],[ID Item Vendido]],Agregado[ID],Agregado[Revenda])</f>
        <v>24.6</v>
      </c>
      <c r="I2454" s="3">
        <f>Vendas[[#This Row],[Valor Unitário]]*Vendas[[#This Row],[Qnt Vendida]]</f>
        <v>319.8</v>
      </c>
      <c r="J2454" s="3">
        <f>Vendas[[#This Row],[Valor da Venda]]-(_xlfn.XLOOKUP(Vendas[[#This Row],[ID Item Vendido]],Agregado[ID],Agregado[Custo])*Vendas[[#This Row],[Qnt Vendida]])</f>
        <v>33.800000000000011</v>
      </c>
      <c r="K2454" s="70">
        <f>Vendas[[#This Row],[Lucro da Venda]]/Vendas[[#This Row],[Valor da Venda]]</f>
        <v>0.10569105691056914</v>
      </c>
      <c r="L2454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2454"/>
    </row>
    <row r="2455" spans="1:13" x14ac:dyDescent="0.3">
      <c r="A2455" s="7">
        <v>400244</v>
      </c>
      <c r="B2455" t="str">
        <f>_xlfn.XLOOKUP(Vendas[[#This Row],[ID Vendedor]],Vendedores[ID],Vendedores[Nome])</f>
        <v>Camila</v>
      </c>
      <c r="C2455" s="7" t="str">
        <f>_xlfn.XLOOKUP(Vendas[[#This Row],[ID Vendedor]],Vendedores[ID],Vendedores[Setor])</f>
        <v>AHD</v>
      </c>
      <c r="D2455" s="7" t="s">
        <v>9</v>
      </c>
      <c r="E2455" t="str">
        <f>_xlfn.XLOOKUP(Vendas[[#This Row],[ID Item Vendido]],Agregado[ID],Agregado[Produto])</f>
        <v>Barra de aço simples</v>
      </c>
      <c r="F2455" s="39">
        <v>45051</v>
      </c>
      <c r="G2455" s="7">
        <v>18</v>
      </c>
      <c r="H2455" s="3">
        <f>_xlfn.XLOOKUP(Vendas[[#This Row],[ID Item Vendido]],Agregado[ID],Agregado[Revenda])</f>
        <v>6.7</v>
      </c>
      <c r="I2455" s="3">
        <f>Vendas[[#This Row],[Valor Unitário]]*Vendas[[#This Row],[Qnt Vendida]]</f>
        <v>120.60000000000001</v>
      </c>
      <c r="J2455" s="3">
        <f>Vendas[[#This Row],[Valor da Venda]]-(_xlfn.XLOOKUP(Vendas[[#This Row],[ID Item Vendido]],Agregado[ID],Agregado[Custo])*Vendas[[#This Row],[Qnt Vendida]])</f>
        <v>16.200000000000017</v>
      </c>
      <c r="K2455" s="70">
        <f>Vendas[[#This Row],[Lucro da Venda]]/Vendas[[#This Row],[Valor da Venda]]</f>
        <v>0.13432835820895536</v>
      </c>
      <c r="L2455" s="3">
        <f>_xlfn.IFS(Vendas[[#This Row],[Margem de Lucro (%)]]&lt;15%,Vendas[[#This Row],[Valor da Venda]]*3%,Vendas[[#This Row],[Margem de Lucro (%)]]&lt;=20%,Vendas[[#This Row],[Valor da Venda]]*4.5%,TRUE,Vendas[[#This Row],[Valor da Venda]]*6%)</f>
        <v>3.6180000000000003</v>
      </c>
      <c r="M2455"/>
    </row>
    <row r="2456" spans="1:13" x14ac:dyDescent="0.3">
      <c r="A2456" s="7">
        <v>400248</v>
      </c>
      <c r="B2456" t="str">
        <f>_xlfn.XLOOKUP(Vendas[[#This Row],[ID Vendedor]],Vendedores[ID],Vendedores[Nome])</f>
        <v>Patrícia</v>
      </c>
      <c r="C2456" s="7" t="str">
        <f>_xlfn.XLOOKUP(Vendas[[#This Row],[ID Vendedor]],Vendedores[ID],Vendedores[Setor])</f>
        <v>CM</v>
      </c>
      <c r="D2456" s="7" t="s">
        <v>22</v>
      </c>
      <c r="E2456" t="str">
        <f>_xlfn.XLOOKUP(Vendas[[#This Row],[ID Item Vendido]],Agregado[ID],Agregado[Produto])</f>
        <v>Painel MDP 2,75x1,83m</v>
      </c>
      <c r="F2456" s="39">
        <v>45052</v>
      </c>
      <c r="G2456" s="7">
        <v>23</v>
      </c>
      <c r="H2456" s="3">
        <f>_xlfn.XLOOKUP(Vendas[[#This Row],[ID Item Vendido]],Agregado[ID],Agregado[Revenda])</f>
        <v>119</v>
      </c>
      <c r="I2456" s="3">
        <f>Vendas[[#This Row],[Valor Unitário]]*Vendas[[#This Row],[Qnt Vendida]]</f>
        <v>2737</v>
      </c>
      <c r="J2456" s="3">
        <f>Vendas[[#This Row],[Valor da Venda]]-(_xlfn.XLOOKUP(Vendas[[#This Row],[ID Item Vendido]],Agregado[ID],Agregado[Custo])*Vendas[[#This Row],[Qnt Vendida]])</f>
        <v>552</v>
      </c>
      <c r="K2456" s="70">
        <f>Vendas[[#This Row],[Lucro da Venda]]/Vendas[[#This Row],[Valor da Venda]]</f>
        <v>0.20168067226890757</v>
      </c>
      <c r="L245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2456"/>
    </row>
    <row r="2457" spans="1:13" x14ac:dyDescent="0.3">
      <c r="A2457" s="7">
        <v>400251</v>
      </c>
      <c r="B2457" t="str">
        <f>_xlfn.XLOOKUP(Vendas[[#This Row],[ID Vendedor]],Vendedores[ID],Vendedores[Nome])</f>
        <v>Diego</v>
      </c>
      <c r="C2457" s="7" t="str">
        <f>_xlfn.XLOOKUP(Vendas[[#This Row],[ID Vendedor]],Vendedores[ID],Vendedores[Setor])</f>
        <v>AB</v>
      </c>
      <c r="D2457" s="7" t="s">
        <v>12</v>
      </c>
      <c r="E2457" t="str">
        <f>_xlfn.XLOOKUP(Vendas[[#This Row],[ID Item Vendido]],Agregado[ID],Agregado[Produto])</f>
        <v>Grânulo de plástico reciclado refinado</v>
      </c>
      <c r="F2457" s="39">
        <v>45052</v>
      </c>
      <c r="G2457" s="7">
        <v>143</v>
      </c>
      <c r="H2457" s="3">
        <f>_xlfn.XLOOKUP(Vendas[[#This Row],[ID Item Vendido]],Agregado[ID],Agregado[Revenda])</f>
        <v>4.7</v>
      </c>
      <c r="I2457" s="3">
        <f>Vendas[[#This Row],[Valor Unitário]]*Vendas[[#This Row],[Qnt Vendida]]</f>
        <v>672.1</v>
      </c>
      <c r="J2457" s="3">
        <f>Vendas[[#This Row],[Valor da Venda]]-(_xlfn.XLOOKUP(Vendas[[#This Row],[ID Item Vendido]],Agregado[ID],Agregado[Custo])*Vendas[[#This Row],[Qnt Vendida]])</f>
        <v>171.60000000000002</v>
      </c>
      <c r="K2457" s="70">
        <f>Vendas[[#This Row],[Lucro da Venda]]/Vendas[[#This Row],[Valor da Venda]]</f>
        <v>0.25531914893617025</v>
      </c>
      <c r="L2457" s="3">
        <f>_xlfn.IFS(Vendas[[#This Row],[Margem de Lucro (%)]]&lt;15%,Vendas[[#This Row],[Valor da Venda]]*3%,Vendas[[#This Row],[Margem de Lucro (%)]]&lt;=20%,Vendas[[#This Row],[Valor da Venda]]*4.5%,TRUE,Vendas[[#This Row],[Valor da Venda]]*6%)</f>
        <v>40.326000000000001</v>
      </c>
      <c r="M2457"/>
    </row>
    <row r="2458" spans="1:13" x14ac:dyDescent="0.3">
      <c r="A2458" s="7">
        <v>400253</v>
      </c>
      <c r="B2458" t="str">
        <f>_xlfn.XLOOKUP(Vendas[[#This Row],[ID Vendedor]],Vendedores[ID],Vendedores[Nome])</f>
        <v>Gustavo</v>
      </c>
      <c r="C2458" s="7" t="str">
        <f>_xlfn.XLOOKUP(Vendas[[#This Row],[ID Vendedor]],Vendedores[ID],Vendedores[Setor])</f>
        <v>SC</v>
      </c>
      <c r="D2458" s="7" t="s">
        <v>42</v>
      </c>
      <c r="E2458" t="str">
        <f>_xlfn.XLOOKUP(Vendas[[#This Row],[ID Item Vendido]],Agregado[ID],Agregado[Produto])</f>
        <v>Container de ferro industrial</v>
      </c>
      <c r="F2458" s="39">
        <v>45053</v>
      </c>
      <c r="G2458" s="7">
        <v>4</v>
      </c>
      <c r="H2458" s="3">
        <f>_xlfn.XLOOKUP(Vendas[[#This Row],[ID Item Vendido]],Agregado[ID],Agregado[Revenda])</f>
        <v>830</v>
      </c>
      <c r="I2458" s="3">
        <f>Vendas[[#This Row],[Valor Unitário]]*Vendas[[#This Row],[Qnt Vendida]]</f>
        <v>3320</v>
      </c>
      <c r="J2458" s="3">
        <f>Vendas[[#This Row],[Valor da Venda]]-(_xlfn.XLOOKUP(Vendas[[#This Row],[ID Item Vendido]],Agregado[ID],Agregado[Custo])*Vendas[[#This Row],[Qnt Vendida]])</f>
        <v>600</v>
      </c>
      <c r="K2458" s="70">
        <f>Vendas[[#This Row],[Lucro da Venda]]/Vendas[[#This Row],[Valor da Venda]]</f>
        <v>0.18072289156626506</v>
      </c>
      <c r="L245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458"/>
    </row>
    <row r="2459" spans="1:13" x14ac:dyDescent="0.3">
      <c r="A2459" s="7">
        <v>400253</v>
      </c>
      <c r="B2459" t="str">
        <f>_xlfn.XLOOKUP(Vendas[[#This Row],[ID Vendedor]],Vendedores[ID],Vendedores[Nome])</f>
        <v>Gustavo</v>
      </c>
      <c r="C2459" s="7" t="str">
        <f>_xlfn.XLOOKUP(Vendas[[#This Row],[ID Vendedor]],Vendedores[ID],Vendedores[Setor])</f>
        <v>SC</v>
      </c>
      <c r="D2459" s="7" t="s">
        <v>41</v>
      </c>
      <c r="E2459" t="str">
        <f>_xlfn.XLOOKUP(Vendas[[#This Row],[ID Item Vendido]],Agregado[ID],Agregado[Produto])</f>
        <v>Palete de madeira reforçado</v>
      </c>
      <c r="F2459" s="39">
        <v>45053</v>
      </c>
      <c r="G2459" s="7">
        <v>6</v>
      </c>
      <c r="H2459" s="3">
        <f>_xlfn.XLOOKUP(Vendas[[#This Row],[ID Item Vendido]],Agregado[ID],Agregado[Revenda])</f>
        <v>131</v>
      </c>
      <c r="I2459" s="3">
        <f>Vendas[[#This Row],[Valor Unitário]]*Vendas[[#This Row],[Qnt Vendida]]</f>
        <v>786</v>
      </c>
      <c r="J2459" s="3">
        <f>Vendas[[#This Row],[Valor da Venda]]-(_xlfn.XLOOKUP(Vendas[[#This Row],[ID Item Vendido]],Agregado[ID],Agregado[Custo])*Vendas[[#This Row],[Qnt Vendida]])</f>
        <v>126</v>
      </c>
      <c r="K2459" s="70">
        <f>Vendas[[#This Row],[Lucro da Venda]]/Vendas[[#This Row],[Valor da Venda]]</f>
        <v>0.16030534351145037</v>
      </c>
      <c r="L2459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2459"/>
    </row>
    <row r="2460" spans="1:13" x14ac:dyDescent="0.3">
      <c r="A2460" s="7">
        <v>400251</v>
      </c>
      <c r="B2460" t="str">
        <f>_xlfn.XLOOKUP(Vendas[[#This Row],[ID Vendedor]],Vendedores[ID],Vendedores[Nome])</f>
        <v>Diego</v>
      </c>
      <c r="C2460" s="7" t="str">
        <f>_xlfn.XLOOKUP(Vendas[[#This Row],[ID Vendedor]],Vendedores[ID],Vendedores[Setor])</f>
        <v>AB</v>
      </c>
      <c r="D2460" s="7" t="s">
        <v>37</v>
      </c>
      <c r="E2460" t="str">
        <f>_xlfn.XLOOKUP(Vendas[[#This Row],[ID Item Vendido]],Agregado[ID],Agregado[Produto])</f>
        <v>Composto de borracha para vedação rolo 10m</v>
      </c>
      <c r="F2460" s="39">
        <v>45054</v>
      </c>
      <c r="G2460" s="7">
        <v>7</v>
      </c>
      <c r="H2460" s="3">
        <f>_xlfn.XLOOKUP(Vendas[[#This Row],[ID Item Vendido]],Agregado[ID],Agregado[Revenda])</f>
        <v>51.2</v>
      </c>
      <c r="I2460" s="3">
        <f>Vendas[[#This Row],[Valor Unitário]]*Vendas[[#This Row],[Qnt Vendida]]</f>
        <v>358.40000000000003</v>
      </c>
      <c r="J2460" s="3">
        <f>Vendas[[#This Row],[Valor da Venda]]-(_xlfn.XLOOKUP(Vendas[[#This Row],[ID Item Vendido]],Agregado[ID],Agregado[Custo])*Vendas[[#This Row],[Qnt Vendida]])</f>
        <v>78.400000000000034</v>
      </c>
      <c r="K2460" s="70">
        <f>Vendas[[#This Row],[Lucro da Venda]]/Vendas[[#This Row],[Valor da Venda]]</f>
        <v>0.21875000000000008</v>
      </c>
      <c r="L2460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2460"/>
    </row>
    <row r="2461" spans="1:13" x14ac:dyDescent="0.3">
      <c r="A2461" s="7">
        <v>400254</v>
      </c>
      <c r="B2461" t="str">
        <f>_xlfn.XLOOKUP(Vendas[[#This Row],[ID Vendedor]],Vendedores[ID],Vendedores[Nome])</f>
        <v>Beatriz</v>
      </c>
      <c r="C2461" s="7" t="str">
        <f>_xlfn.XLOOKUP(Vendas[[#This Row],[ID Vendedor]],Vendedores[ID],Vendedores[Setor])</f>
        <v>SC</v>
      </c>
      <c r="D2461" s="7" t="s">
        <v>25</v>
      </c>
      <c r="E2461" t="str">
        <f>_xlfn.XLOOKUP(Vendas[[#This Row],[ID Item Vendido]],Agregado[ID],Agregado[Produto])</f>
        <v>Palete de plástico</v>
      </c>
      <c r="F2461" s="39">
        <v>45054</v>
      </c>
      <c r="G2461" s="7">
        <v>5</v>
      </c>
      <c r="H2461" s="3">
        <f>_xlfn.XLOOKUP(Vendas[[#This Row],[ID Item Vendido]],Agregado[ID],Agregado[Revenda])</f>
        <v>70.8</v>
      </c>
      <c r="I2461" s="3">
        <f>Vendas[[#This Row],[Valor Unitário]]*Vendas[[#This Row],[Qnt Vendida]]</f>
        <v>354</v>
      </c>
      <c r="J2461" s="3">
        <f>Vendas[[#This Row],[Valor da Venda]]-(_xlfn.XLOOKUP(Vendas[[#This Row],[ID Item Vendido]],Agregado[ID],Agregado[Custo])*Vendas[[#This Row],[Qnt Vendida]])</f>
        <v>54</v>
      </c>
      <c r="K2461" s="70">
        <f>Vendas[[#This Row],[Lucro da Venda]]/Vendas[[#This Row],[Valor da Venda]]</f>
        <v>0.15254237288135594</v>
      </c>
      <c r="L2461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2461"/>
    </row>
    <row r="2462" spans="1:13" x14ac:dyDescent="0.3">
      <c r="A2462" s="7">
        <v>400254</v>
      </c>
      <c r="B2462" t="str">
        <f>_xlfn.XLOOKUP(Vendas[[#This Row],[ID Vendedor]],Vendedores[ID],Vendedores[Nome])</f>
        <v>Beatriz</v>
      </c>
      <c r="C2462" s="7" t="str">
        <f>_xlfn.XLOOKUP(Vendas[[#This Row],[ID Vendedor]],Vendedores[ID],Vendedores[Setor])</f>
        <v>SC</v>
      </c>
      <c r="D2462" s="7" t="s">
        <v>48</v>
      </c>
      <c r="E2462" t="str">
        <f>_xlfn.XLOOKUP(Vendas[[#This Row],[ID Item Vendido]],Agregado[ID],Agregado[Produto])</f>
        <v>Tambor metálico 200L</v>
      </c>
      <c r="F2462" s="39">
        <v>45055</v>
      </c>
      <c r="G2462" s="7">
        <v>9</v>
      </c>
      <c r="H2462" s="3">
        <f>_xlfn.XLOOKUP(Vendas[[#This Row],[ID Item Vendido]],Agregado[ID],Agregado[Revenda])</f>
        <v>144</v>
      </c>
      <c r="I2462" s="3">
        <f>Vendas[[#This Row],[Valor Unitário]]*Vendas[[#This Row],[Qnt Vendida]]</f>
        <v>1296</v>
      </c>
      <c r="J2462" s="3">
        <f>Vendas[[#This Row],[Valor da Venda]]-(_xlfn.XLOOKUP(Vendas[[#This Row],[ID Item Vendido]],Agregado[ID],Agregado[Custo])*Vendas[[#This Row],[Qnt Vendida]])</f>
        <v>216</v>
      </c>
      <c r="K2462" s="70">
        <f>Vendas[[#This Row],[Lucro da Venda]]/Vendas[[#This Row],[Valor da Venda]]</f>
        <v>0.16666666666666666</v>
      </c>
      <c r="L2462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2462"/>
    </row>
    <row r="2463" spans="1:13" x14ac:dyDescent="0.3">
      <c r="A2463" s="7">
        <v>400247</v>
      </c>
      <c r="B2463" t="str">
        <f>_xlfn.XLOOKUP(Vendas[[#This Row],[ID Vendedor]],Vendedores[ID],Vendedores[Nome])</f>
        <v>André</v>
      </c>
      <c r="C2463" s="7" t="str">
        <f>_xlfn.XLOOKUP(Vendas[[#This Row],[ID Vendedor]],Vendedores[ID],Vendedores[Setor])</f>
        <v>CM</v>
      </c>
      <c r="D2463" s="7" t="s">
        <v>45</v>
      </c>
      <c r="E2463" t="str">
        <f>_xlfn.XLOOKUP(Vendas[[#This Row],[ID Item Vendido]],Agregado[ID],Agregado[Produto])</f>
        <v>Viga de madeira tratada 4m</v>
      </c>
      <c r="F2463" s="39">
        <v>45055</v>
      </c>
      <c r="G2463" s="7">
        <v>13</v>
      </c>
      <c r="H2463" s="3">
        <f>_xlfn.XLOOKUP(Vendas[[#This Row],[ID Item Vendido]],Agregado[ID],Agregado[Revenda])</f>
        <v>66</v>
      </c>
      <c r="I2463" s="3">
        <f>Vendas[[#This Row],[Valor Unitário]]*Vendas[[#This Row],[Qnt Vendida]]</f>
        <v>858</v>
      </c>
      <c r="J2463" s="3">
        <f>Vendas[[#This Row],[Valor da Venda]]-(_xlfn.XLOOKUP(Vendas[[#This Row],[ID Item Vendido]],Agregado[ID],Agregado[Custo])*Vendas[[#This Row],[Qnt Vendida]])</f>
        <v>143</v>
      </c>
      <c r="K2463" s="70">
        <f>Vendas[[#This Row],[Lucro da Venda]]/Vendas[[#This Row],[Valor da Venda]]</f>
        <v>0.16666666666666666</v>
      </c>
      <c r="L2463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2463"/>
    </row>
    <row r="2464" spans="1:13" x14ac:dyDescent="0.3">
      <c r="A2464" s="7">
        <v>400246</v>
      </c>
      <c r="B2464" t="str">
        <f>_xlfn.XLOOKUP(Vendas[[#This Row],[ID Vendedor]],Vendedores[ID],Vendedores[Nome])</f>
        <v>Juliana</v>
      </c>
      <c r="C2464" s="7" t="str">
        <f>_xlfn.XLOOKUP(Vendas[[#This Row],[ID Vendedor]],Vendedores[ID],Vendedores[Setor])</f>
        <v>AHD</v>
      </c>
      <c r="D2464" s="7" t="s">
        <v>44</v>
      </c>
      <c r="E2464" t="str">
        <f>_xlfn.XLOOKUP(Vendas[[#This Row],[ID Item Vendido]],Agregado[ID],Agregado[Produto])</f>
        <v>Liga metálica especial</v>
      </c>
      <c r="F2464" s="39">
        <v>45055</v>
      </c>
      <c r="G2464" s="7">
        <v>12</v>
      </c>
      <c r="H2464" s="3">
        <f>_xlfn.XLOOKUP(Vendas[[#This Row],[ID Item Vendido]],Agregado[ID],Agregado[Revenda])</f>
        <v>32.5</v>
      </c>
      <c r="I2464" s="3">
        <f>Vendas[[#This Row],[Valor Unitário]]*Vendas[[#This Row],[Qnt Vendida]]</f>
        <v>390</v>
      </c>
      <c r="J2464" s="3">
        <f>Vendas[[#This Row],[Valor da Venda]]-(_xlfn.XLOOKUP(Vendas[[#This Row],[ID Item Vendido]],Agregado[ID],Agregado[Custo])*Vendas[[#This Row],[Qnt Vendida]])</f>
        <v>90</v>
      </c>
      <c r="K2464" s="70">
        <f>Vendas[[#This Row],[Lucro da Venda]]/Vendas[[#This Row],[Valor da Venda]]</f>
        <v>0.23076923076923078</v>
      </c>
      <c r="L2464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2464"/>
    </row>
    <row r="2465" spans="1:13" x14ac:dyDescent="0.3">
      <c r="A2465" s="7">
        <v>400250</v>
      </c>
      <c r="B2465" t="str">
        <f>_xlfn.XLOOKUP(Vendas[[#This Row],[ID Vendedor]],Vendedores[ID],Vendedores[Nome])</f>
        <v>Larissa</v>
      </c>
      <c r="C2465" s="7" t="str">
        <f>_xlfn.XLOOKUP(Vendas[[#This Row],[ID Vendedor]],Vendedores[ID],Vendedores[Setor])</f>
        <v>AB</v>
      </c>
      <c r="D2465" s="7" t="s">
        <v>24</v>
      </c>
      <c r="E2465" t="str">
        <f>_xlfn.XLOOKUP(Vendas[[#This Row],[ID Item Vendido]],Agregado[ID],Agregado[Produto])</f>
        <v>Resina plástica PET purificada saco de 25kg</v>
      </c>
      <c r="F2465" s="39">
        <v>45056</v>
      </c>
      <c r="G2465" s="7">
        <v>13</v>
      </c>
      <c r="H2465" s="3">
        <f>_xlfn.XLOOKUP(Vendas[[#This Row],[ID Item Vendido]],Agregado[ID],Agregado[Revenda])</f>
        <v>119</v>
      </c>
      <c r="I2465" s="3">
        <f>Vendas[[#This Row],[Valor Unitário]]*Vendas[[#This Row],[Qnt Vendida]]</f>
        <v>1547</v>
      </c>
      <c r="J2465" s="3">
        <f>Vendas[[#This Row],[Valor da Venda]]-(_xlfn.XLOOKUP(Vendas[[#This Row],[ID Item Vendido]],Agregado[ID],Agregado[Custo])*Vendas[[#This Row],[Qnt Vendida]])</f>
        <v>442</v>
      </c>
      <c r="K2465" s="70">
        <f>Vendas[[#This Row],[Lucro da Venda]]/Vendas[[#This Row],[Valor da Venda]]</f>
        <v>0.2857142857142857</v>
      </c>
      <c r="L2465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2465"/>
    </row>
    <row r="2466" spans="1:13" x14ac:dyDescent="0.3">
      <c r="A2466" s="7">
        <v>400245</v>
      </c>
      <c r="B2466" t="str">
        <f>_xlfn.XLOOKUP(Vendas[[#This Row],[ID Vendedor]],Vendedores[ID],Vendedores[Nome])</f>
        <v>Thiago</v>
      </c>
      <c r="C2466" s="7" t="str">
        <f>_xlfn.XLOOKUP(Vendas[[#This Row],[ID Vendedor]],Vendedores[ID],Vendedores[Setor])</f>
        <v>AHD</v>
      </c>
      <c r="D2466" s="7" t="s">
        <v>44</v>
      </c>
      <c r="E2466" t="str">
        <f>_xlfn.XLOOKUP(Vendas[[#This Row],[ID Item Vendido]],Agregado[ID],Agregado[Produto])</f>
        <v>Liga metálica especial</v>
      </c>
      <c r="F2466" s="39">
        <v>45056</v>
      </c>
      <c r="G2466" s="7">
        <v>34</v>
      </c>
      <c r="H2466" s="3">
        <f>_xlfn.XLOOKUP(Vendas[[#This Row],[ID Item Vendido]],Agregado[ID],Agregado[Revenda])</f>
        <v>32.5</v>
      </c>
      <c r="I2466" s="3">
        <f>Vendas[[#This Row],[Valor Unitário]]*Vendas[[#This Row],[Qnt Vendida]]</f>
        <v>1105</v>
      </c>
      <c r="J2466" s="3">
        <f>Vendas[[#This Row],[Valor da Venda]]-(_xlfn.XLOOKUP(Vendas[[#This Row],[ID Item Vendido]],Agregado[ID],Agregado[Custo])*Vendas[[#This Row],[Qnt Vendida]])</f>
        <v>255</v>
      </c>
      <c r="K2466" s="70">
        <f>Vendas[[#This Row],[Lucro da Venda]]/Vendas[[#This Row],[Valor da Venda]]</f>
        <v>0.23076923076923078</v>
      </c>
      <c r="L2466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2466"/>
    </row>
    <row r="2467" spans="1:13" x14ac:dyDescent="0.3">
      <c r="A2467" s="7">
        <v>400250</v>
      </c>
      <c r="B2467" t="str">
        <f>_xlfn.XLOOKUP(Vendas[[#This Row],[ID Vendedor]],Vendedores[ID],Vendedores[Nome])</f>
        <v>Larissa</v>
      </c>
      <c r="C2467" s="7" t="str">
        <f>_xlfn.XLOOKUP(Vendas[[#This Row],[ID Vendedor]],Vendedores[ID],Vendedores[Setor])</f>
        <v>AB</v>
      </c>
      <c r="D2467" s="7" t="s">
        <v>39</v>
      </c>
      <c r="E2467" t="str">
        <f>_xlfn.XLOOKUP(Vendas[[#This Row],[ID Item Vendido]],Agregado[ID],Agregado[Produto])</f>
        <v>Filme plástico industrial rolo 50m</v>
      </c>
      <c r="F2467" s="39">
        <v>45058</v>
      </c>
      <c r="G2467" s="7">
        <v>28</v>
      </c>
      <c r="H2467" s="3">
        <f>_xlfn.XLOOKUP(Vendas[[#This Row],[ID Item Vendido]],Agregado[ID],Agregado[Revenda])</f>
        <v>37</v>
      </c>
      <c r="I2467" s="3">
        <f>Vendas[[#This Row],[Valor Unitário]]*Vendas[[#This Row],[Qnt Vendida]]</f>
        <v>1036</v>
      </c>
      <c r="J2467" s="3">
        <f>Vendas[[#This Row],[Valor da Venda]]-(_xlfn.XLOOKUP(Vendas[[#This Row],[ID Item Vendido]],Agregado[ID],Agregado[Custo])*Vendas[[#This Row],[Qnt Vendida]])</f>
        <v>252</v>
      </c>
      <c r="K2467" s="70">
        <f>Vendas[[#This Row],[Lucro da Venda]]/Vendas[[#This Row],[Valor da Venda]]</f>
        <v>0.24324324324324326</v>
      </c>
      <c r="L2467" s="3">
        <f>_xlfn.IFS(Vendas[[#This Row],[Margem de Lucro (%)]]&lt;15%,Vendas[[#This Row],[Valor da Venda]]*3%,Vendas[[#This Row],[Margem de Lucro (%)]]&lt;=20%,Vendas[[#This Row],[Valor da Venda]]*4.5%,TRUE,Vendas[[#This Row],[Valor da Venda]]*6%)</f>
        <v>62.16</v>
      </c>
      <c r="M2467"/>
    </row>
    <row r="2468" spans="1:13" x14ac:dyDescent="0.3">
      <c r="A2468" s="7">
        <v>400253</v>
      </c>
      <c r="B2468" t="str">
        <f>_xlfn.XLOOKUP(Vendas[[#This Row],[ID Vendedor]],Vendedores[ID],Vendedores[Nome])</f>
        <v>Gustavo</v>
      </c>
      <c r="C2468" s="7" t="str">
        <f>_xlfn.XLOOKUP(Vendas[[#This Row],[ID Vendedor]],Vendedores[ID],Vendedores[Setor])</f>
        <v>SC</v>
      </c>
      <c r="D2468" s="7" t="s">
        <v>41</v>
      </c>
      <c r="E2468" t="str">
        <f>_xlfn.XLOOKUP(Vendas[[#This Row],[ID Item Vendido]],Agregado[ID],Agregado[Produto])</f>
        <v>Palete de madeira reforçado</v>
      </c>
      <c r="F2468" s="39">
        <v>45058</v>
      </c>
      <c r="G2468" s="7">
        <v>7</v>
      </c>
      <c r="H2468" s="3">
        <f>_xlfn.XLOOKUP(Vendas[[#This Row],[ID Item Vendido]],Agregado[ID],Agregado[Revenda])</f>
        <v>131</v>
      </c>
      <c r="I2468" s="3">
        <f>Vendas[[#This Row],[Valor Unitário]]*Vendas[[#This Row],[Qnt Vendida]]</f>
        <v>917</v>
      </c>
      <c r="J2468" s="3">
        <f>Vendas[[#This Row],[Valor da Venda]]-(_xlfn.XLOOKUP(Vendas[[#This Row],[ID Item Vendido]],Agregado[ID],Agregado[Custo])*Vendas[[#This Row],[Qnt Vendida]])</f>
        <v>147</v>
      </c>
      <c r="K2468" s="70">
        <f>Vendas[[#This Row],[Lucro da Venda]]/Vendas[[#This Row],[Valor da Venda]]</f>
        <v>0.16030534351145037</v>
      </c>
      <c r="L2468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2468"/>
    </row>
    <row r="2469" spans="1:13" x14ac:dyDescent="0.3">
      <c r="A2469" s="7">
        <v>400245</v>
      </c>
      <c r="B2469" t="str">
        <f>_xlfn.XLOOKUP(Vendas[[#This Row],[ID Vendedor]],Vendedores[ID],Vendedores[Nome])</f>
        <v>Thiago</v>
      </c>
      <c r="C2469" s="7" t="str">
        <f>_xlfn.XLOOKUP(Vendas[[#This Row],[ID Vendedor]],Vendedores[ID],Vendedores[Setor])</f>
        <v>AHD</v>
      </c>
      <c r="D2469" s="7" t="s">
        <v>18</v>
      </c>
      <c r="E2469" t="str">
        <f>_xlfn.XLOOKUP(Vendas[[#This Row],[ID Item Vendido]],Agregado[ID],Agregado[Produto])</f>
        <v>Peça forjada sob encomenda</v>
      </c>
      <c r="F2469" s="39">
        <v>45058</v>
      </c>
      <c r="G2469" s="7">
        <v>2</v>
      </c>
      <c r="H2469" s="3">
        <f>_xlfn.XLOOKUP(Vendas[[#This Row],[ID Item Vendido]],Agregado[ID],Agregado[Revenda])</f>
        <v>264.60000000000002</v>
      </c>
      <c r="I2469" s="3">
        <f>Vendas[[#This Row],[Valor Unitário]]*Vendas[[#This Row],[Qnt Vendida]]</f>
        <v>529.20000000000005</v>
      </c>
      <c r="J2469" s="3">
        <f>Vendas[[#This Row],[Valor da Venda]]-(_xlfn.XLOOKUP(Vendas[[#This Row],[ID Item Vendido]],Agregado[ID],Agregado[Custo])*Vendas[[#This Row],[Qnt Vendida]])</f>
        <v>29.200000000000045</v>
      </c>
      <c r="K2469" s="70">
        <f>Vendas[[#This Row],[Lucro da Venda]]/Vendas[[#This Row],[Valor da Venda]]</f>
        <v>5.5177626606198113E-2</v>
      </c>
      <c r="L246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469"/>
    </row>
    <row r="2470" spans="1:13" x14ac:dyDescent="0.3">
      <c r="A2470" s="7">
        <v>400244</v>
      </c>
      <c r="B2470" t="str">
        <f>_xlfn.XLOOKUP(Vendas[[#This Row],[ID Vendedor]],Vendedores[ID],Vendedores[Nome])</f>
        <v>Camila</v>
      </c>
      <c r="C2470" s="7" t="str">
        <f>_xlfn.XLOOKUP(Vendas[[#This Row],[ID Vendedor]],Vendedores[ID],Vendedores[Setor])</f>
        <v>AHD</v>
      </c>
      <c r="D2470" s="7" t="s">
        <v>28</v>
      </c>
      <c r="E2470" t="str">
        <f>_xlfn.XLOOKUP(Vendas[[#This Row],[ID Item Vendido]],Agregado[ID],Agregado[Produto])</f>
        <v>Peça usinada CNC</v>
      </c>
      <c r="F2470" s="39">
        <v>45059</v>
      </c>
      <c r="G2470" s="7">
        <v>14</v>
      </c>
      <c r="H2470" s="3">
        <f>_xlfn.XLOOKUP(Vendas[[#This Row],[ID Item Vendido]],Agregado[ID],Agregado[Revenda])</f>
        <v>192</v>
      </c>
      <c r="I2470" s="3">
        <f>Vendas[[#This Row],[Valor Unitário]]*Vendas[[#This Row],[Qnt Vendida]]</f>
        <v>2688</v>
      </c>
      <c r="J2470" s="3">
        <f>Vendas[[#This Row],[Valor da Venda]]-(_xlfn.XLOOKUP(Vendas[[#This Row],[ID Item Vendido]],Agregado[ID],Agregado[Custo])*Vendas[[#This Row],[Qnt Vendida]])</f>
        <v>588</v>
      </c>
      <c r="K2470" s="70">
        <f>Vendas[[#This Row],[Lucro da Venda]]/Vendas[[#This Row],[Valor da Venda]]</f>
        <v>0.21875</v>
      </c>
      <c r="L2470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2470"/>
    </row>
    <row r="2471" spans="1:13" x14ac:dyDescent="0.3">
      <c r="A2471" s="7">
        <v>400247</v>
      </c>
      <c r="B2471" t="str">
        <f>_xlfn.XLOOKUP(Vendas[[#This Row],[ID Vendedor]],Vendedores[ID],Vendedores[Nome])</f>
        <v>André</v>
      </c>
      <c r="C2471" s="7" t="str">
        <f>_xlfn.XLOOKUP(Vendas[[#This Row],[ID Vendedor]],Vendedores[ID],Vendedores[Setor])</f>
        <v>CM</v>
      </c>
      <c r="D2471" s="7" t="s">
        <v>43</v>
      </c>
      <c r="E2471" t="str">
        <f>_xlfn.XLOOKUP(Vendas[[#This Row],[ID Item Vendido]],Agregado[ID],Agregado[Produto])</f>
        <v>Madeira Bruta (Tora)</v>
      </c>
      <c r="F2471" s="39">
        <v>45059</v>
      </c>
      <c r="G2471" s="7">
        <v>10</v>
      </c>
      <c r="H2471" s="3">
        <f>_xlfn.XLOOKUP(Vendas[[#This Row],[ID Item Vendido]],Agregado[ID],Agregado[Revenda])</f>
        <v>212</v>
      </c>
      <c r="I2471" s="3">
        <f>Vendas[[#This Row],[Valor Unitário]]*Vendas[[#This Row],[Qnt Vendida]]</f>
        <v>2120</v>
      </c>
      <c r="J2471" s="3">
        <f>Vendas[[#This Row],[Valor da Venda]]-(_xlfn.XLOOKUP(Vendas[[#This Row],[ID Item Vendido]],Agregado[ID],Agregado[Custo])*Vendas[[#This Row],[Qnt Vendida]])</f>
        <v>320</v>
      </c>
      <c r="K2471" s="70">
        <f>Vendas[[#This Row],[Lucro da Venda]]/Vendas[[#This Row],[Valor da Venda]]</f>
        <v>0.15094339622641509</v>
      </c>
      <c r="L2471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2471"/>
    </row>
    <row r="2472" spans="1:13" x14ac:dyDescent="0.3">
      <c r="A2472" s="7">
        <v>400245</v>
      </c>
      <c r="B2472" t="str">
        <f>_xlfn.XLOOKUP(Vendas[[#This Row],[ID Vendedor]],Vendedores[ID],Vendedores[Nome])</f>
        <v>Thiago</v>
      </c>
      <c r="C2472" s="7" t="str">
        <f>_xlfn.XLOOKUP(Vendas[[#This Row],[ID Vendedor]],Vendedores[ID],Vendedores[Setor])</f>
        <v>AHD</v>
      </c>
      <c r="D2472" s="7" t="s">
        <v>28</v>
      </c>
      <c r="E2472" t="str">
        <f>_xlfn.XLOOKUP(Vendas[[#This Row],[ID Item Vendido]],Agregado[ID],Agregado[Produto])</f>
        <v>Peça usinada CNC</v>
      </c>
      <c r="F2472" s="39">
        <v>45059</v>
      </c>
      <c r="G2472" s="7">
        <v>6</v>
      </c>
      <c r="H2472" s="3">
        <f>_xlfn.XLOOKUP(Vendas[[#This Row],[ID Item Vendido]],Agregado[ID],Agregado[Revenda])</f>
        <v>192</v>
      </c>
      <c r="I2472" s="3">
        <f>Vendas[[#This Row],[Valor Unitário]]*Vendas[[#This Row],[Qnt Vendida]]</f>
        <v>1152</v>
      </c>
      <c r="J2472" s="3">
        <f>Vendas[[#This Row],[Valor da Venda]]-(_xlfn.XLOOKUP(Vendas[[#This Row],[ID Item Vendido]],Agregado[ID],Agregado[Custo])*Vendas[[#This Row],[Qnt Vendida]])</f>
        <v>252</v>
      </c>
      <c r="K2472" s="70">
        <f>Vendas[[#This Row],[Lucro da Venda]]/Vendas[[#This Row],[Valor da Venda]]</f>
        <v>0.21875</v>
      </c>
      <c r="L2472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2472"/>
    </row>
    <row r="2473" spans="1:13" x14ac:dyDescent="0.3">
      <c r="A2473" s="7">
        <v>400242</v>
      </c>
      <c r="B2473" t="str">
        <f>_xlfn.XLOOKUP(Vendas[[#This Row],[ID Vendedor]],Vendedores[ID],Vendedores[Nome])</f>
        <v>Fernanda</v>
      </c>
      <c r="C2473" s="7" t="str">
        <f>_xlfn.XLOOKUP(Vendas[[#This Row],[ID Vendedor]],Vendedores[ID],Vendedores[Setor])</f>
        <v>FM</v>
      </c>
      <c r="D2473" s="7" t="s">
        <v>47</v>
      </c>
      <c r="E2473" t="str">
        <f>_xlfn.XLOOKUP(Vendas[[#This Row],[ID Item Vendido]],Agregado[ID],Agregado[Produto])</f>
        <v>Fio de arame galvanizado rolo 50m</v>
      </c>
      <c r="F2473" s="39">
        <v>45059</v>
      </c>
      <c r="G2473" s="7">
        <v>34</v>
      </c>
      <c r="H2473" s="3">
        <f>_xlfn.XLOOKUP(Vendas[[#This Row],[ID Item Vendido]],Agregado[ID],Agregado[Revenda])</f>
        <v>21.2</v>
      </c>
      <c r="I2473" s="3">
        <f>Vendas[[#This Row],[Valor Unitário]]*Vendas[[#This Row],[Qnt Vendida]]</f>
        <v>720.8</v>
      </c>
      <c r="J2473" s="3">
        <f>Vendas[[#This Row],[Valor da Venda]]-(_xlfn.XLOOKUP(Vendas[[#This Row],[ID Item Vendido]],Agregado[ID],Agregado[Custo])*Vendas[[#This Row],[Qnt Vendida]])</f>
        <v>108.79999999999995</v>
      </c>
      <c r="K2473" s="70">
        <f>Vendas[[#This Row],[Lucro da Venda]]/Vendas[[#This Row],[Valor da Venda]]</f>
        <v>0.15094339622641503</v>
      </c>
      <c r="L2473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2473"/>
    </row>
    <row r="2474" spans="1:13" x14ac:dyDescent="0.3">
      <c r="A2474" s="7">
        <v>400253</v>
      </c>
      <c r="B2474" t="str">
        <f>_xlfn.XLOOKUP(Vendas[[#This Row],[ID Vendedor]],Vendedores[ID],Vendedores[Nome])</f>
        <v>Gustavo</v>
      </c>
      <c r="C2474" s="7" t="str">
        <f>_xlfn.XLOOKUP(Vendas[[#This Row],[ID Vendedor]],Vendedores[ID],Vendedores[Setor])</f>
        <v>SC</v>
      </c>
      <c r="D2474" s="7" t="s">
        <v>25</v>
      </c>
      <c r="E2474" t="str">
        <f>_xlfn.XLOOKUP(Vendas[[#This Row],[ID Item Vendido]],Agregado[ID],Agregado[Produto])</f>
        <v>Palete de plástico</v>
      </c>
      <c r="F2474" s="39">
        <v>45059</v>
      </c>
      <c r="G2474" s="7">
        <v>8</v>
      </c>
      <c r="H2474" s="3">
        <f>_xlfn.XLOOKUP(Vendas[[#This Row],[ID Item Vendido]],Agregado[ID],Agregado[Revenda])</f>
        <v>70.8</v>
      </c>
      <c r="I2474" s="3">
        <f>Vendas[[#This Row],[Valor Unitário]]*Vendas[[#This Row],[Qnt Vendida]]</f>
        <v>566.4</v>
      </c>
      <c r="J2474" s="3">
        <f>Vendas[[#This Row],[Valor da Venda]]-(_xlfn.XLOOKUP(Vendas[[#This Row],[ID Item Vendido]],Agregado[ID],Agregado[Custo])*Vendas[[#This Row],[Qnt Vendida]])</f>
        <v>86.399999999999977</v>
      </c>
      <c r="K2474" s="70">
        <f>Vendas[[#This Row],[Lucro da Venda]]/Vendas[[#This Row],[Valor da Venda]]</f>
        <v>0.15254237288135589</v>
      </c>
      <c r="L2474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2474"/>
    </row>
    <row r="2475" spans="1:13" x14ac:dyDescent="0.3">
      <c r="A2475" s="7">
        <v>400254</v>
      </c>
      <c r="B2475" t="str">
        <f>_xlfn.XLOOKUP(Vendas[[#This Row],[ID Vendedor]],Vendedores[ID],Vendedores[Nome])</f>
        <v>Beatriz</v>
      </c>
      <c r="C2475" s="7" t="str">
        <f>_xlfn.XLOOKUP(Vendas[[#This Row],[ID Vendedor]],Vendedores[ID],Vendedores[Setor])</f>
        <v>SC</v>
      </c>
      <c r="D2475" s="7" t="s">
        <v>48</v>
      </c>
      <c r="E2475" t="str">
        <f>_xlfn.XLOOKUP(Vendas[[#This Row],[ID Item Vendido]],Agregado[ID],Agregado[Produto])</f>
        <v>Tambor metálico 200L</v>
      </c>
      <c r="F2475" s="39">
        <v>45060</v>
      </c>
      <c r="G2475" s="7">
        <v>19</v>
      </c>
      <c r="H2475" s="3">
        <f>_xlfn.XLOOKUP(Vendas[[#This Row],[ID Item Vendido]],Agregado[ID],Agregado[Revenda])</f>
        <v>144</v>
      </c>
      <c r="I2475" s="3">
        <f>Vendas[[#This Row],[Valor Unitário]]*Vendas[[#This Row],[Qnt Vendida]]</f>
        <v>2736</v>
      </c>
      <c r="J2475" s="3">
        <f>Vendas[[#This Row],[Valor da Venda]]-(_xlfn.XLOOKUP(Vendas[[#This Row],[ID Item Vendido]],Agregado[ID],Agregado[Custo])*Vendas[[#This Row],[Qnt Vendida]])</f>
        <v>456</v>
      </c>
      <c r="K2475" s="70">
        <f>Vendas[[#This Row],[Lucro da Venda]]/Vendas[[#This Row],[Valor da Venda]]</f>
        <v>0.16666666666666666</v>
      </c>
      <c r="L2475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475"/>
    </row>
    <row r="2476" spans="1:13" x14ac:dyDescent="0.3">
      <c r="A2476" s="7">
        <v>400242</v>
      </c>
      <c r="B2476" t="str">
        <f>_xlfn.XLOOKUP(Vendas[[#This Row],[ID Vendedor]],Vendedores[ID],Vendedores[Nome])</f>
        <v>Fernanda</v>
      </c>
      <c r="C2476" s="7" t="str">
        <f>_xlfn.XLOOKUP(Vendas[[#This Row],[ID Vendedor]],Vendedores[ID],Vendedores[Setor])</f>
        <v>FM</v>
      </c>
      <c r="D2476" s="7" t="s">
        <v>20</v>
      </c>
      <c r="E2476" t="str">
        <f>_xlfn.XLOOKUP(Vendas[[#This Row],[ID Item Vendido]],Agregado[ID],Agregado[Produto])</f>
        <v>Barra de aço simples</v>
      </c>
      <c r="F2476" s="39">
        <v>45060</v>
      </c>
      <c r="G2476" s="7">
        <v>128</v>
      </c>
      <c r="H2476" s="3">
        <f>_xlfn.XLOOKUP(Vendas[[#This Row],[ID Item Vendido]],Agregado[ID],Agregado[Revenda])</f>
        <v>4.8</v>
      </c>
      <c r="I2476" s="3">
        <f>Vendas[[#This Row],[Valor Unitário]]*Vendas[[#This Row],[Qnt Vendida]]</f>
        <v>614.4</v>
      </c>
      <c r="J2476" s="3">
        <f>Vendas[[#This Row],[Valor da Venda]]-(_xlfn.XLOOKUP(Vendas[[#This Row],[ID Item Vendido]],Agregado[ID],Agregado[Custo])*Vendas[[#This Row],[Qnt Vendida]])</f>
        <v>76.799999999999955</v>
      </c>
      <c r="K2476" s="70">
        <f>Vendas[[#This Row],[Lucro da Venda]]/Vendas[[#This Row],[Valor da Venda]]</f>
        <v>0.12499999999999993</v>
      </c>
      <c r="L2476" s="3">
        <f>_xlfn.IFS(Vendas[[#This Row],[Margem de Lucro (%)]]&lt;15%,Vendas[[#This Row],[Valor da Venda]]*3%,Vendas[[#This Row],[Margem de Lucro (%)]]&lt;=20%,Vendas[[#This Row],[Valor da Venda]]*4.5%,TRUE,Vendas[[#This Row],[Valor da Venda]]*6%)</f>
        <v>18.431999999999999</v>
      </c>
      <c r="M2476"/>
    </row>
    <row r="2477" spans="1:13" x14ac:dyDescent="0.3">
      <c r="A2477" s="7">
        <v>400246</v>
      </c>
      <c r="B2477" t="str">
        <f>_xlfn.XLOOKUP(Vendas[[#This Row],[ID Vendedor]],Vendedores[ID],Vendedores[Nome])</f>
        <v>Juliana</v>
      </c>
      <c r="C2477" s="7" t="str">
        <f>_xlfn.XLOOKUP(Vendas[[#This Row],[ID Vendedor]],Vendedores[ID],Vendedores[Setor])</f>
        <v>AHD</v>
      </c>
      <c r="D2477" s="7" t="s">
        <v>30</v>
      </c>
      <c r="E2477" t="str">
        <f>_xlfn.XLOOKUP(Vendas[[#This Row],[ID Item Vendido]],Agregado[ID],Agregado[Produto])</f>
        <v>Estrutura metálica soldada</v>
      </c>
      <c r="F2477" s="39">
        <v>45060</v>
      </c>
      <c r="G2477" s="7">
        <v>1</v>
      </c>
      <c r="H2477" s="3">
        <f>_xlfn.XLOOKUP(Vendas[[#This Row],[ID Item Vendido]],Agregado[ID],Agregado[Revenda])</f>
        <v>400</v>
      </c>
      <c r="I2477" s="3">
        <f>Vendas[[#This Row],[Valor Unitário]]*Vendas[[#This Row],[Qnt Vendida]]</f>
        <v>400</v>
      </c>
      <c r="J2477" s="3">
        <f>Vendas[[#This Row],[Valor da Venda]]-(_xlfn.XLOOKUP(Vendas[[#This Row],[ID Item Vendido]],Agregado[ID],Agregado[Custo])*Vendas[[#This Row],[Qnt Vendida]])</f>
        <v>80</v>
      </c>
      <c r="K2477" s="70">
        <f>Vendas[[#This Row],[Lucro da Venda]]/Vendas[[#This Row],[Valor da Venda]]</f>
        <v>0.2</v>
      </c>
      <c r="L2477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477"/>
    </row>
    <row r="2478" spans="1:13" x14ac:dyDescent="0.3">
      <c r="A2478" s="7">
        <v>400255</v>
      </c>
      <c r="B2478" t="str">
        <f>_xlfn.XLOOKUP(Vendas[[#This Row],[ID Vendedor]],Vendedores[ID],Vendedores[Nome])</f>
        <v>Carlos</v>
      </c>
      <c r="C2478" s="7" t="str">
        <f>_xlfn.XLOOKUP(Vendas[[#This Row],[ID Vendedor]],Vendedores[ID],Vendedores[Setor])</f>
        <v>SC</v>
      </c>
      <c r="D2478" s="7" t="s">
        <v>14</v>
      </c>
      <c r="E2478" t="str">
        <f>_xlfn.XLOOKUP(Vendas[[#This Row],[ID Item Vendido]],Agregado[ID],Agregado[Produto])</f>
        <v>Barril de plástico 200L</v>
      </c>
      <c r="F2478" s="39">
        <v>45062</v>
      </c>
      <c r="G2478" s="7">
        <v>22</v>
      </c>
      <c r="H2478" s="3">
        <f>_xlfn.XLOOKUP(Vendas[[#This Row],[ID Item Vendido]],Agregado[ID],Agregado[Revenda])</f>
        <v>114</v>
      </c>
      <c r="I2478" s="3">
        <f>Vendas[[#This Row],[Valor Unitário]]*Vendas[[#This Row],[Qnt Vendida]]</f>
        <v>2508</v>
      </c>
      <c r="J2478" s="3">
        <f>Vendas[[#This Row],[Valor da Venda]]-(_xlfn.XLOOKUP(Vendas[[#This Row],[ID Item Vendido]],Agregado[ID],Agregado[Custo])*Vendas[[#This Row],[Qnt Vendida]])</f>
        <v>418</v>
      </c>
      <c r="K2478" s="70">
        <f>Vendas[[#This Row],[Lucro da Venda]]/Vendas[[#This Row],[Valor da Venda]]</f>
        <v>0.16666666666666666</v>
      </c>
      <c r="L2478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2478"/>
    </row>
    <row r="2479" spans="1:13" x14ac:dyDescent="0.3">
      <c r="A2479" s="7">
        <v>400246</v>
      </c>
      <c r="B2479" t="str">
        <f>_xlfn.XLOOKUP(Vendas[[#This Row],[ID Vendedor]],Vendedores[ID],Vendedores[Nome])</f>
        <v>Juliana</v>
      </c>
      <c r="C2479" s="7" t="str">
        <f>_xlfn.XLOOKUP(Vendas[[#This Row],[ID Vendedor]],Vendedores[ID],Vendedores[Setor])</f>
        <v>AHD</v>
      </c>
      <c r="D2479" s="7" t="s">
        <v>18</v>
      </c>
      <c r="E2479" t="str">
        <f>_xlfn.XLOOKUP(Vendas[[#This Row],[ID Item Vendido]],Agregado[ID],Agregado[Produto])</f>
        <v>Peça forjada sob encomenda</v>
      </c>
      <c r="F2479" s="39">
        <v>45062</v>
      </c>
      <c r="G2479" s="7">
        <v>6</v>
      </c>
      <c r="H2479" s="3">
        <f>_xlfn.XLOOKUP(Vendas[[#This Row],[ID Item Vendido]],Agregado[ID],Agregado[Revenda])</f>
        <v>264.60000000000002</v>
      </c>
      <c r="I2479" s="3">
        <f>Vendas[[#This Row],[Valor Unitário]]*Vendas[[#This Row],[Qnt Vendida]]</f>
        <v>1587.6000000000001</v>
      </c>
      <c r="J2479" s="3">
        <f>Vendas[[#This Row],[Valor da Venda]]-(_xlfn.XLOOKUP(Vendas[[#This Row],[ID Item Vendido]],Agregado[ID],Agregado[Custo])*Vendas[[#This Row],[Qnt Vendida]])</f>
        <v>87.600000000000136</v>
      </c>
      <c r="K2479" s="70">
        <f>Vendas[[#This Row],[Lucro da Venda]]/Vendas[[#This Row],[Valor da Venda]]</f>
        <v>5.5177626606198113E-2</v>
      </c>
      <c r="L2479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479"/>
    </row>
    <row r="2480" spans="1:13" x14ac:dyDescent="0.3">
      <c r="A2480" s="7">
        <v>400245</v>
      </c>
      <c r="B2480" t="str">
        <f>_xlfn.XLOOKUP(Vendas[[#This Row],[ID Vendedor]],Vendedores[ID],Vendedores[Nome])</f>
        <v>Thiago</v>
      </c>
      <c r="C2480" s="7" t="str">
        <f>_xlfn.XLOOKUP(Vendas[[#This Row],[ID Vendedor]],Vendedores[ID],Vendedores[Setor])</f>
        <v>AHD</v>
      </c>
      <c r="D2480" s="7" t="s">
        <v>44</v>
      </c>
      <c r="E2480" t="str">
        <f>_xlfn.XLOOKUP(Vendas[[#This Row],[ID Item Vendido]],Agregado[ID],Agregado[Produto])</f>
        <v>Liga metálica especial</v>
      </c>
      <c r="F2480" s="39">
        <v>45062</v>
      </c>
      <c r="G2480" s="7">
        <v>46</v>
      </c>
      <c r="H2480" s="3">
        <f>_xlfn.XLOOKUP(Vendas[[#This Row],[ID Item Vendido]],Agregado[ID],Agregado[Revenda])</f>
        <v>32.5</v>
      </c>
      <c r="I2480" s="3">
        <f>Vendas[[#This Row],[Valor Unitário]]*Vendas[[#This Row],[Qnt Vendida]]</f>
        <v>1495</v>
      </c>
      <c r="J2480" s="3">
        <f>Vendas[[#This Row],[Valor da Venda]]-(_xlfn.XLOOKUP(Vendas[[#This Row],[ID Item Vendido]],Agregado[ID],Agregado[Custo])*Vendas[[#This Row],[Qnt Vendida]])</f>
        <v>345</v>
      </c>
      <c r="K2480" s="70">
        <f>Vendas[[#This Row],[Lucro da Venda]]/Vendas[[#This Row],[Valor da Venda]]</f>
        <v>0.23076923076923078</v>
      </c>
      <c r="L2480" s="3">
        <f>_xlfn.IFS(Vendas[[#This Row],[Margem de Lucro (%)]]&lt;15%,Vendas[[#This Row],[Valor da Venda]]*3%,Vendas[[#This Row],[Margem de Lucro (%)]]&lt;=20%,Vendas[[#This Row],[Valor da Venda]]*4.5%,TRUE,Vendas[[#This Row],[Valor da Venda]]*6%)</f>
        <v>89.7</v>
      </c>
      <c r="M2480"/>
    </row>
    <row r="2481" spans="1:13" x14ac:dyDescent="0.3">
      <c r="A2481" s="7">
        <v>400242</v>
      </c>
      <c r="B2481" t="str">
        <f>_xlfn.XLOOKUP(Vendas[[#This Row],[ID Vendedor]],Vendedores[ID],Vendedores[Nome])</f>
        <v>Fernanda</v>
      </c>
      <c r="C2481" s="7" t="str">
        <f>_xlfn.XLOOKUP(Vendas[[#This Row],[ID Vendedor]],Vendedores[ID],Vendedores[Setor])</f>
        <v>FM</v>
      </c>
      <c r="D2481" s="7" t="s">
        <v>27</v>
      </c>
      <c r="E2481" t="str">
        <f>_xlfn.XLOOKUP(Vendas[[#This Row],[ID Item Vendido]],Agregado[ID],Agregado[Produto])</f>
        <v>Chapa de metal lisa 1x2m</v>
      </c>
      <c r="F2481" s="39">
        <v>45062</v>
      </c>
      <c r="G2481" s="7">
        <v>26</v>
      </c>
      <c r="H2481" s="3">
        <f>_xlfn.XLOOKUP(Vendas[[#This Row],[ID Item Vendido]],Agregado[ID],Agregado[Revenda])</f>
        <v>52</v>
      </c>
      <c r="I2481" s="3">
        <f>Vendas[[#This Row],[Valor Unitário]]*Vendas[[#This Row],[Qnt Vendida]]</f>
        <v>1352</v>
      </c>
      <c r="J2481" s="3">
        <f>Vendas[[#This Row],[Valor da Venda]]-(_xlfn.XLOOKUP(Vendas[[#This Row],[ID Item Vendido]],Agregado[ID],Agregado[Custo])*Vendas[[#This Row],[Qnt Vendida]])</f>
        <v>182</v>
      </c>
      <c r="K2481" s="70">
        <f>Vendas[[#This Row],[Lucro da Venda]]/Vendas[[#This Row],[Valor da Venda]]</f>
        <v>0.13461538461538461</v>
      </c>
      <c r="L2481" s="3">
        <f>_xlfn.IFS(Vendas[[#This Row],[Margem de Lucro (%)]]&lt;15%,Vendas[[#This Row],[Valor da Venda]]*3%,Vendas[[#This Row],[Margem de Lucro (%)]]&lt;=20%,Vendas[[#This Row],[Valor da Venda]]*4.5%,TRUE,Vendas[[#This Row],[Valor da Venda]]*6%)</f>
        <v>40.559999999999995</v>
      </c>
      <c r="M2481"/>
    </row>
    <row r="2482" spans="1:13" x14ac:dyDescent="0.3">
      <c r="A2482" s="7">
        <v>400243</v>
      </c>
      <c r="B2482" t="str">
        <f>_xlfn.XLOOKUP(Vendas[[#This Row],[ID Vendedor]],Vendedores[ID],Vendedores[Nome])</f>
        <v>Marcelo</v>
      </c>
      <c r="C2482" s="7" t="str">
        <f>_xlfn.XLOOKUP(Vendas[[#This Row],[ID Vendedor]],Vendedores[ID],Vendedores[Setor])</f>
        <v>FM</v>
      </c>
      <c r="D2482" s="7" t="s">
        <v>27</v>
      </c>
      <c r="E2482" t="str">
        <f>_xlfn.XLOOKUP(Vendas[[#This Row],[ID Item Vendido]],Agregado[ID],Agregado[Produto])</f>
        <v>Chapa de metal lisa 1x2m</v>
      </c>
      <c r="F2482" s="39">
        <v>45062</v>
      </c>
      <c r="G2482" s="7">
        <v>10</v>
      </c>
      <c r="H2482" s="3">
        <f>_xlfn.XLOOKUP(Vendas[[#This Row],[ID Item Vendido]],Agregado[ID],Agregado[Revenda])</f>
        <v>52</v>
      </c>
      <c r="I2482" s="3">
        <f>Vendas[[#This Row],[Valor Unitário]]*Vendas[[#This Row],[Qnt Vendida]]</f>
        <v>520</v>
      </c>
      <c r="J2482" s="3">
        <f>Vendas[[#This Row],[Valor da Venda]]-(_xlfn.XLOOKUP(Vendas[[#This Row],[ID Item Vendido]],Agregado[ID],Agregado[Custo])*Vendas[[#This Row],[Qnt Vendida]])</f>
        <v>70</v>
      </c>
      <c r="K2482" s="70">
        <f>Vendas[[#This Row],[Lucro da Venda]]/Vendas[[#This Row],[Valor da Venda]]</f>
        <v>0.13461538461538461</v>
      </c>
      <c r="L2482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2482"/>
    </row>
    <row r="2483" spans="1:13" x14ac:dyDescent="0.3">
      <c r="A2483" s="7">
        <v>400248</v>
      </c>
      <c r="B2483" t="str">
        <f>_xlfn.XLOOKUP(Vendas[[#This Row],[ID Vendedor]],Vendedores[ID],Vendedores[Nome])</f>
        <v>Patrícia</v>
      </c>
      <c r="C2483" s="7" t="str">
        <f>_xlfn.XLOOKUP(Vendas[[#This Row],[ID Vendedor]],Vendedores[ID],Vendedores[Setor])</f>
        <v>CM</v>
      </c>
      <c r="D2483" s="7" t="s">
        <v>32</v>
      </c>
      <c r="E2483" t="str">
        <f>_xlfn.XLOOKUP(Vendas[[#This Row],[ID Item Vendido]],Agregado[ID],Agregado[Produto])</f>
        <v>Tábua tratada e cortada 3m</v>
      </c>
      <c r="F2483" s="39">
        <v>45063</v>
      </c>
      <c r="G2483" s="7">
        <v>31</v>
      </c>
      <c r="H2483" s="3">
        <f>_xlfn.XLOOKUP(Vendas[[#This Row],[ID Item Vendido]],Agregado[ID],Agregado[Revenda])</f>
        <v>39</v>
      </c>
      <c r="I2483" s="3">
        <f>Vendas[[#This Row],[Valor Unitário]]*Vendas[[#This Row],[Qnt Vendida]]</f>
        <v>1209</v>
      </c>
      <c r="J2483" s="3">
        <f>Vendas[[#This Row],[Valor da Venda]]-(_xlfn.XLOOKUP(Vendas[[#This Row],[ID Item Vendido]],Agregado[ID],Agregado[Custo])*Vendas[[#This Row],[Qnt Vendida]])</f>
        <v>217</v>
      </c>
      <c r="K2483" s="70">
        <f>Vendas[[#This Row],[Lucro da Venda]]/Vendas[[#This Row],[Valor da Venda]]</f>
        <v>0.17948717948717949</v>
      </c>
      <c r="L2483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2483"/>
    </row>
    <row r="2484" spans="1:13" x14ac:dyDescent="0.3">
      <c r="A2484" s="7">
        <v>400242</v>
      </c>
      <c r="B2484" t="str">
        <f>_xlfn.XLOOKUP(Vendas[[#This Row],[ID Vendedor]],Vendedores[ID],Vendedores[Nome])</f>
        <v>Fernanda</v>
      </c>
      <c r="C2484" s="7" t="str">
        <f>_xlfn.XLOOKUP(Vendas[[#This Row],[ID Vendedor]],Vendedores[ID],Vendedores[Setor])</f>
        <v>FM</v>
      </c>
      <c r="D2484" s="7" t="s">
        <v>27</v>
      </c>
      <c r="E2484" t="str">
        <f>_xlfn.XLOOKUP(Vendas[[#This Row],[ID Item Vendido]],Agregado[ID],Agregado[Produto])</f>
        <v>Chapa de metal lisa 1x2m</v>
      </c>
      <c r="F2484" s="39">
        <v>45063</v>
      </c>
      <c r="G2484" s="7">
        <v>6</v>
      </c>
      <c r="H2484" s="3">
        <f>_xlfn.XLOOKUP(Vendas[[#This Row],[ID Item Vendido]],Agregado[ID],Agregado[Revenda])</f>
        <v>52</v>
      </c>
      <c r="I2484" s="3">
        <f>Vendas[[#This Row],[Valor Unitário]]*Vendas[[#This Row],[Qnt Vendida]]</f>
        <v>312</v>
      </c>
      <c r="J2484" s="3">
        <f>Vendas[[#This Row],[Valor da Venda]]-(_xlfn.XLOOKUP(Vendas[[#This Row],[ID Item Vendido]],Agregado[ID],Agregado[Custo])*Vendas[[#This Row],[Qnt Vendida]])</f>
        <v>42</v>
      </c>
      <c r="K2484" s="70">
        <f>Vendas[[#This Row],[Lucro da Venda]]/Vendas[[#This Row],[Valor da Venda]]</f>
        <v>0.13461538461538461</v>
      </c>
      <c r="L2484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2484"/>
    </row>
    <row r="2485" spans="1:13" x14ac:dyDescent="0.3">
      <c r="A2485" s="7">
        <v>400242</v>
      </c>
      <c r="B2485" t="str">
        <f>_xlfn.XLOOKUP(Vendas[[#This Row],[ID Vendedor]],Vendedores[ID],Vendedores[Nome])</f>
        <v>Fernanda</v>
      </c>
      <c r="C2485" s="7" t="str">
        <f>_xlfn.XLOOKUP(Vendas[[#This Row],[ID Vendedor]],Vendedores[ID],Vendedores[Setor])</f>
        <v>FM</v>
      </c>
      <c r="D2485" s="7" t="s">
        <v>6</v>
      </c>
      <c r="E2485" t="str">
        <f>_xlfn.XLOOKUP(Vendas[[#This Row],[ID Item Vendido]],Agregado[ID],Agregado[Produto])</f>
        <v>Parafuso comum 500un</v>
      </c>
      <c r="F2485" s="39">
        <v>45063</v>
      </c>
      <c r="G2485" s="7">
        <v>3</v>
      </c>
      <c r="H2485" s="3">
        <f>_xlfn.XLOOKUP(Vendas[[#This Row],[ID Item Vendido]],Agregado[ID],Agregado[Revenda])</f>
        <v>24.6</v>
      </c>
      <c r="I2485" s="3">
        <f>Vendas[[#This Row],[Valor Unitário]]*Vendas[[#This Row],[Qnt Vendida]]</f>
        <v>73.800000000000011</v>
      </c>
      <c r="J2485" s="3">
        <f>Vendas[[#This Row],[Valor da Venda]]-(_xlfn.XLOOKUP(Vendas[[#This Row],[ID Item Vendido]],Agregado[ID],Agregado[Custo])*Vendas[[#This Row],[Qnt Vendida]])</f>
        <v>7.8000000000000114</v>
      </c>
      <c r="K2485" s="70">
        <f>Vendas[[#This Row],[Lucro da Venda]]/Vendas[[#This Row],[Valor da Venda]]</f>
        <v>0.10569105691056924</v>
      </c>
      <c r="L2485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2485"/>
    </row>
    <row r="2486" spans="1:13" x14ac:dyDescent="0.3">
      <c r="A2486" s="7">
        <v>400247</v>
      </c>
      <c r="B2486" t="str">
        <f>_xlfn.XLOOKUP(Vendas[[#This Row],[ID Vendedor]],Vendedores[ID],Vendedores[Nome])</f>
        <v>André</v>
      </c>
      <c r="C2486" s="7" t="str">
        <f>_xlfn.XLOOKUP(Vendas[[#This Row],[ID Vendedor]],Vendedores[ID],Vendedores[Setor])</f>
        <v>CM</v>
      </c>
      <c r="D2486" s="7" t="s">
        <v>32</v>
      </c>
      <c r="E2486" t="str">
        <f>_xlfn.XLOOKUP(Vendas[[#This Row],[ID Item Vendido]],Agregado[ID],Agregado[Produto])</f>
        <v>Tábua tratada e cortada 3m</v>
      </c>
      <c r="F2486" s="39">
        <v>45065</v>
      </c>
      <c r="G2486" s="7">
        <v>34</v>
      </c>
      <c r="H2486" s="3">
        <f>_xlfn.XLOOKUP(Vendas[[#This Row],[ID Item Vendido]],Agregado[ID],Agregado[Revenda])</f>
        <v>39</v>
      </c>
      <c r="I2486" s="3">
        <f>Vendas[[#This Row],[Valor Unitário]]*Vendas[[#This Row],[Qnt Vendida]]</f>
        <v>1326</v>
      </c>
      <c r="J2486" s="3">
        <f>Vendas[[#This Row],[Valor da Venda]]-(_xlfn.XLOOKUP(Vendas[[#This Row],[ID Item Vendido]],Agregado[ID],Agregado[Custo])*Vendas[[#This Row],[Qnt Vendida]])</f>
        <v>238</v>
      </c>
      <c r="K2486" s="70">
        <f>Vendas[[#This Row],[Lucro da Venda]]/Vendas[[#This Row],[Valor da Venda]]</f>
        <v>0.17948717948717949</v>
      </c>
      <c r="L2486" s="3">
        <f>_xlfn.IFS(Vendas[[#This Row],[Margem de Lucro (%)]]&lt;15%,Vendas[[#This Row],[Valor da Venda]]*3%,Vendas[[#This Row],[Margem de Lucro (%)]]&lt;=20%,Vendas[[#This Row],[Valor da Venda]]*4.5%,TRUE,Vendas[[#This Row],[Valor da Venda]]*6%)</f>
        <v>59.669999999999995</v>
      </c>
      <c r="M2486"/>
    </row>
    <row r="2487" spans="1:13" x14ac:dyDescent="0.3">
      <c r="A2487" s="7">
        <v>400251</v>
      </c>
      <c r="B2487" t="str">
        <f>_xlfn.XLOOKUP(Vendas[[#This Row],[ID Vendedor]],Vendedores[ID],Vendedores[Nome])</f>
        <v>Diego</v>
      </c>
      <c r="C2487" s="7" t="str">
        <f>_xlfn.XLOOKUP(Vendas[[#This Row],[ID Vendedor]],Vendedores[ID],Vendedores[Setor])</f>
        <v>AB</v>
      </c>
      <c r="D2487" s="7" t="s">
        <v>36</v>
      </c>
      <c r="E2487" t="str">
        <f>_xlfn.XLOOKUP(Vendas[[#This Row],[ID Item Vendido]],Agregado[ID],Agregado[Produto])</f>
        <v>Borracha vulcanizada em manta</v>
      </c>
      <c r="F2487" s="39">
        <v>45065</v>
      </c>
      <c r="G2487" s="7">
        <v>65</v>
      </c>
      <c r="H2487" s="3">
        <f>_xlfn.XLOOKUP(Vendas[[#This Row],[ID Item Vendido]],Agregado[ID],Agregado[Revenda])</f>
        <v>7.8</v>
      </c>
      <c r="I2487" s="3">
        <f>Vendas[[#This Row],[Valor Unitário]]*Vendas[[#This Row],[Qnt Vendida]]</f>
        <v>507</v>
      </c>
      <c r="J2487" s="3">
        <f>Vendas[[#This Row],[Valor da Venda]]-(_xlfn.XLOOKUP(Vendas[[#This Row],[ID Item Vendido]],Agregado[ID],Agregado[Custo])*Vendas[[#This Row],[Qnt Vendida]])</f>
        <v>117</v>
      </c>
      <c r="K2487" s="70">
        <f>Vendas[[#This Row],[Lucro da Venda]]/Vendas[[#This Row],[Valor da Venda]]</f>
        <v>0.23076923076923078</v>
      </c>
      <c r="L2487" s="3">
        <f>_xlfn.IFS(Vendas[[#This Row],[Margem de Lucro (%)]]&lt;15%,Vendas[[#This Row],[Valor da Venda]]*3%,Vendas[[#This Row],[Margem de Lucro (%)]]&lt;=20%,Vendas[[#This Row],[Valor da Venda]]*4.5%,TRUE,Vendas[[#This Row],[Valor da Venda]]*6%)</f>
        <v>30.419999999999998</v>
      </c>
      <c r="M2487"/>
    </row>
    <row r="2488" spans="1:13" x14ac:dyDescent="0.3">
      <c r="A2488" s="7">
        <v>400250</v>
      </c>
      <c r="B2488" t="str">
        <f>_xlfn.XLOOKUP(Vendas[[#This Row],[ID Vendedor]],Vendedores[ID],Vendedores[Nome])</f>
        <v>Larissa</v>
      </c>
      <c r="C2488" s="7" t="str">
        <f>_xlfn.XLOOKUP(Vendas[[#This Row],[ID Vendedor]],Vendedores[ID],Vendedores[Setor])</f>
        <v>AB</v>
      </c>
      <c r="D2488" s="7" t="s">
        <v>37</v>
      </c>
      <c r="E2488" t="str">
        <f>_xlfn.XLOOKUP(Vendas[[#This Row],[ID Item Vendido]],Agregado[ID],Agregado[Produto])</f>
        <v>Composto de borracha para vedação rolo 10m</v>
      </c>
      <c r="F2488" s="39">
        <v>45065</v>
      </c>
      <c r="G2488" s="7">
        <v>3</v>
      </c>
      <c r="H2488" s="3">
        <f>_xlfn.XLOOKUP(Vendas[[#This Row],[ID Item Vendido]],Agregado[ID],Agregado[Revenda])</f>
        <v>51.2</v>
      </c>
      <c r="I2488" s="3">
        <f>Vendas[[#This Row],[Valor Unitário]]*Vendas[[#This Row],[Qnt Vendida]]</f>
        <v>153.60000000000002</v>
      </c>
      <c r="J2488" s="3">
        <f>Vendas[[#This Row],[Valor da Venda]]-(_xlfn.XLOOKUP(Vendas[[#This Row],[ID Item Vendido]],Agregado[ID],Agregado[Custo])*Vendas[[#This Row],[Qnt Vendida]])</f>
        <v>33.600000000000023</v>
      </c>
      <c r="K2488" s="70">
        <f>Vendas[[#This Row],[Lucro da Venda]]/Vendas[[#This Row],[Valor da Venda]]</f>
        <v>0.21875000000000011</v>
      </c>
      <c r="L2488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2488"/>
    </row>
    <row r="2489" spans="1:13" x14ac:dyDescent="0.3">
      <c r="A2489" s="7">
        <v>400247</v>
      </c>
      <c r="B2489" t="str">
        <f>_xlfn.XLOOKUP(Vendas[[#This Row],[ID Vendedor]],Vendedores[ID],Vendedores[Nome])</f>
        <v>André</v>
      </c>
      <c r="C2489" s="7" t="str">
        <f>_xlfn.XLOOKUP(Vendas[[#This Row],[ID Vendedor]],Vendedores[ID],Vendedores[Setor])</f>
        <v>CM</v>
      </c>
      <c r="D2489" s="7" t="s">
        <v>43</v>
      </c>
      <c r="E2489" t="str">
        <f>_xlfn.XLOOKUP(Vendas[[#This Row],[ID Item Vendido]],Agregado[ID],Agregado[Produto])</f>
        <v>Madeira Bruta (Tora)</v>
      </c>
      <c r="F2489" s="39">
        <v>45066</v>
      </c>
      <c r="G2489" s="7">
        <v>6</v>
      </c>
      <c r="H2489" s="3">
        <f>_xlfn.XLOOKUP(Vendas[[#This Row],[ID Item Vendido]],Agregado[ID],Agregado[Revenda])</f>
        <v>212</v>
      </c>
      <c r="I2489" s="3">
        <f>Vendas[[#This Row],[Valor Unitário]]*Vendas[[#This Row],[Qnt Vendida]]</f>
        <v>1272</v>
      </c>
      <c r="J2489" s="3">
        <f>Vendas[[#This Row],[Valor da Venda]]-(_xlfn.XLOOKUP(Vendas[[#This Row],[ID Item Vendido]],Agregado[ID],Agregado[Custo])*Vendas[[#This Row],[Qnt Vendida]])</f>
        <v>192</v>
      </c>
      <c r="K2489" s="70">
        <f>Vendas[[#This Row],[Lucro da Venda]]/Vendas[[#This Row],[Valor da Venda]]</f>
        <v>0.15094339622641509</v>
      </c>
      <c r="L2489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2489"/>
    </row>
    <row r="2490" spans="1:13" x14ac:dyDescent="0.3">
      <c r="A2490" s="7">
        <v>400246</v>
      </c>
      <c r="B2490" t="str">
        <f>_xlfn.XLOOKUP(Vendas[[#This Row],[ID Vendedor]],Vendedores[ID],Vendedores[Nome])</f>
        <v>Juliana</v>
      </c>
      <c r="C2490" s="7" t="str">
        <f>_xlfn.XLOOKUP(Vendas[[#This Row],[ID Vendedor]],Vendedores[ID],Vendedores[Setor])</f>
        <v>AHD</v>
      </c>
      <c r="D2490" s="7" t="s">
        <v>9</v>
      </c>
      <c r="E2490" t="str">
        <f>_xlfn.XLOOKUP(Vendas[[#This Row],[ID Item Vendido]],Agregado[ID],Agregado[Produto])</f>
        <v>Barra de aço simples</v>
      </c>
      <c r="F2490" s="39">
        <v>45066</v>
      </c>
      <c r="G2490" s="7">
        <v>78</v>
      </c>
      <c r="H2490" s="3">
        <f>_xlfn.XLOOKUP(Vendas[[#This Row],[ID Item Vendido]],Agregado[ID],Agregado[Revenda])</f>
        <v>6.7</v>
      </c>
      <c r="I2490" s="3">
        <f>Vendas[[#This Row],[Valor Unitário]]*Vendas[[#This Row],[Qnt Vendida]]</f>
        <v>522.6</v>
      </c>
      <c r="J2490" s="3">
        <f>Vendas[[#This Row],[Valor da Venda]]-(_xlfn.XLOOKUP(Vendas[[#This Row],[ID Item Vendido]],Agregado[ID],Agregado[Custo])*Vendas[[#This Row],[Qnt Vendida]])</f>
        <v>70.200000000000045</v>
      </c>
      <c r="K2490" s="70">
        <f>Vendas[[#This Row],[Lucro da Venda]]/Vendas[[#This Row],[Valor da Venda]]</f>
        <v>0.13432835820895531</v>
      </c>
      <c r="L2490" s="3">
        <f>_xlfn.IFS(Vendas[[#This Row],[Margem de Lucro (%)]]&lt;15%,Vendas[[#This Row],[Valor da Venda]]*3%,Vendas[[#This Row],[Margem de Lucro (%)]]&lt;=20%,Vendas[[#This Row],[Valor da Venda]]*4.5%,TRUE,Vendas[[#This Row],[Valor da Venda]]*6%)</f>
        <v>15.678000000000001</v>
      </c>
      <c r="M2490"/>
    </row>
    <row r="2491" spans="1:13" x14ac:dyDescent="0.3">
      <c r="A2491" s="7">
        <v>400242</v>
      </c>
      <c r="B2491" t="str">
        <f>_xlfn.XLOOKUP(Vendas[[#This Row],[ID Vendedor]],Vendedores[ID],Vendedores[Nome])</f>
        <v>Fernanda</v>
      </c>
      <c r="C2491" s="7" t="str">
        <f>_xlfn.XLOOKUP(Vendas[[#This Row],[ID Vendedor]],Vendedores[ID],Vendedores[Setor])</f>
        <v>FM</v>
      </c>
      <c r="D2491" s="7" t="s">
        <v>6</v>
      </c>
      <c r="E2491" t="str">
        <f>_xlfn.XLOOKUP(Vendas[[#This Row],[ID Item Vendido]],Agregado[ID],Agregado[Produto])</f>
        <v>Parafuso comum 500un</v>
      </c>
      <c r="F2491" s="39">
        <v>45066</v>
      </c>
      <c r="G2491" s="7">
        <v>13</v>
      </c>
      <c r="H2491" s="3">
        <f>_xlfn.XLOOKUP(Vendas[[#This Row],[ID Item Vendido]],Agregado[ID],Agregado[Revenda])</f>
        <v>24.6</v>
      </c>
      <c r="I2491" s="3">
        <f>Vendas[[#This Row],[Valor Unitário]]*Vendas[[#This Row],[Qnt Vendida]]</f>
        <v>319.8</v>
      </c>
      <c r="J2491" s="3">
        <f>Vendas[[#This Row],[Valor da Venda]]-(_xlfn.XLOOKUP(Vendas[[#This Row],[ID Item Vendido]],Agregado[ID],Agregado[Custo])*Vendas[[#This Row],[Qnt Vendida]])</f>
        <v>33.800000000000011</v>
      </c>
      <c r="K2491" s="70">
        <f>Vendas[[#This Row],[Lucro da Venda]]/Vendas[[#This Row],[Valor da Venda]]</f>
        <v>0.10569105691056914</v>
      </c>
      <c r="L2491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2491"/>
    </row>
    <row r="2492" spans="1:13" x14ac:dyDescent="0.3">
      <c r="A2492" s="7">
        <v>400254</v>
      </c>
      <c r="B2492" t="str">
        <f>_xlfn.XLOOKUP(Vendas[[#This Row],[ID Vendedor]],Vendedores[ID],Vendedores[Nome])</f>
        <v>Beatriz</v>
      </c>
      <c r="C2492" s="7" t="str">
        <f>_xlfn.XLOOKUP(Vendas[[#This Row],[ID Vendedor]],Vendedores[ID],Vendedores[Setor])</f>
        <v>SC</v>
      </c>
      <c r="D2492" s="7" t="s">
        <v>14</v>
      </c>
      <c r="E2492" t="str">
        <f>_xlfn.XLOOKUP(Vendas[[#This Row],[ID Item Vendido]],Agregado[ID],Agregado[Produto])</f>
        <v>Barril de plástico 200L</v>
      </c>
      <c r="F2492" s="39">
        <v>45067</v>
      </c>
      <c r="G2492" s="7">
        <v>15</v>
      </c>
      <c r="H2492" s="3">
        <f>_xlfn.XLOOKUP(Vendas[[#This Row],[ID Item Vendido]],Agregado[ID],Agregado[Revenda])</f>
        <v>114</v>
      </c>
      <c r="I2492" s="3">
        <f>Vendas[[#This Row],[Valor Unitário]]*Vendas[[#This Row],[Qnt Vendida]]</f>
        <v>1710</v>
      </c>
      <c r="J2492" s="3">
        <f>Vendas[[#This Row],[Valor da Venda]]-(_xlfn.XLOOKUP(Vendas[[#This Row],[ID Item Vendido]],Agregado[ID],Agregado[Custo])*Vendas[[#This Row],[Qnt Vendida]])</f>
        <v>285</v>
      </c>
      <c r="K2492" s="70">
        <f>Vendas[[#This Row],[Lucro da Venda]]/Vendas[[#This Row],[Valor da Venda]]</f>
        <v>0.16666666666666666</v>
      </c>
      <c r="L2492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2492"/>
    </row>
    <row r="2493" spans="1:13" x14ac:dyDescent="0.3">
      <c r="A2493" s="7">
        <v>400254</v>
      </c>
      <c r="B2493" t="str">
        <f>_xlfn.XLOOKUP(Vendas[[#This Row],[ID Vendedor]],Vendedores[ID],Vendedores[Nome])</f>
        <v>Beatriz</v>
      </c>
      <c r="C2493" s="7" t="str">
        <f>_xlfn.XLOOKUP(Vendas[[#This Row],[ID Vendedor]],Vendedores[ID],Vendedores[Setor])</f>
        <v>SC</v>
      </c>
      <c r="D2493" s="7" t="s">
        <v>14</v>
      </c>
      <c r="E2493" t="str">
        <f>_xlfn.XLOOKUP(Vendas[[#This Row],[ID Item Vendido]],Agregado[ID],Agregado[Produto])</f>
        <v>Barril de plástico 200L</v>
      </c>
      <c r="F2493" s="39">
        <v>45068</v>
      </c>
      <c r="G2493" s="7">
        <v>25</v>
      </c>
      <c r="H2493" s="3">
        <f>_xlfn.XLOOKUP(Vendas[[#This Row],[ID Item Vendido]],Agregado[ID],Agregado[Revenda])</f>
        <v>114</v>
      </c>
      <c r="I2493" s="3">
        <f>Vendas[[#This Row],[Valor Unitário]]*Vendas[[#This Row],[Qnt Vendida]]</f>
        <v>2850</v>
      </c>
      <c r="J2493" s="3">
        <f>Vendas[[#This Row],[Valor da Venda]]-(_xlfn.XLOOKUP(Vendas[[#This Row],[ID Item Vendido]],Agregado[ID],Agregado[Custo])*Vendas[[#This Row],[Qnt Vendida]])</f>
        <v>475</v>
      </c>
      <c r="K2493" s="70">
        <f>Vendas[[#This Row],[Lucro da Venda]]/Vendas[[#This Row],[Valor da Venda]]</f>
        <v>0.16666666666666666</v>
      </c>
      <c r="L2493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2493"/>
    </row>
    <row r="2494" spans="1:13" x14ac:dyDescent="0.3">
      <c r="A2494" s="7">
        <v>400248</v>
      </c>
      <c r="B2494" t="str">
        <f>_xlfn.XLOOKUP(Vendas[[#This Row],[ID Vendedor]],Vendedores[ID],Vendedores[Nome])</f>
        <v>Patrícia</v>
      </c>
      <c r="C2494" s="7" t="str">
        <f>_xlfn.XLOOKUP(Vendas[[#This Row],[ID Vendedor]],Vendedores[ID],Vendedores[Setor])</f>
        <v>CM</v>
      </c>
      <c r="D2494" s="7" t="s">
        <v>22</v>
      </c>
      <c r="E2494" t="str">
        <f>_xlfn.XLOOKUP(Vendas[[#This Row],[ID Item Vendido]],Agregado[ID],Agregado[Produto])</f>
        <v>Painel MDP 2,75x1,83m</v>
      </c>
      <c r="F2494" s="39">
        <v>45068</v>
      </c>
      <c r="G2494" s="7">
        <v>16</v>
      </c>
      <c r="H2494" s="3">
        <f>_xlfn.XLOOKUP(Vendas[[#This Row],[ID Item Vendido]],Agregado[ID],Agregado[Revenda])</f>
        <v>119</v>
      </c>
      <c r="I2494" s="3">
        <f>Vendas[[#This Row],[Valor Unitário]]*Vendas[[#This Row],[Qnt Vendida]]</f>
        <v>1904</v>
      </c>
      <c r="J2494" s="3">
        <f>Vendas[[#This Row],[Valor da Venda]]-(_xlfn.XLOOKUP(Vendas[[#This Row],[ID Item Vendido]],Agregado[ID],Agregado[Custo])*Vendas[[#This Row],[Qnt Vendida]])</f>
        <v>384</v>
      </c>
      <c r="K2494" s="70">
        <f>Vendas[[#This Row],[Lucro da Venda]]/Vendas[[#This Row],[Valor da Venda]]</f>
        <v>0.20168067226890757</v>
      </c>
      <c r="L2494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494"/>
    </row>
    <row r="2495" spans="1:13" x14ac:dyDescent="0.3">
      <c r="A2495" s="7">
        <v>400250</v>
      </c>
      <c r="B2495" t="str">
        <f>_xlfn.XLOOKUP(Vendas[[#This Row],[ID Vendedor]],Vendedores[ID],Vendedores[Nome])</f>
        <v>Larissa</v>
      </c>
      <c r="C2495" s="7" t="str">
        <f>_xlfn.XLOOKUP(Vendas[[#This Row],[ID Vendedor]],Vendedores[ID],Vendedores[Setor])</f>
        <v>AB</v>
      </c>
      <c r="D2495" s="7" t="s">
        <v>24</v>
      </c>
      <c r="E2495" t="str">
        <f>_xlfn.XLOOKUP(Vendas[[#This Row],[ID Item Vendido]],Agregado[ID],Agregado[Produto])</f>
        <v>Resina plástica PET purificada saco de 25kg</v>
      </c>
      <c r="F2495" s="39">
        <v>45069</v>
      </c>
      <c r="G2495" s="7">
        <v>30</v>
      </c>
      <c r="H2495" s="3">
        <f>_xlfn.XLOOKUP(Vendas[[#This Row],[ID Item Vendido]],Agregado[ID],Agregado[Revenda])</f>
        <v>119</v>
      </c>
      <c r="I2495" s="3">
        <f>Vendas[[#This Row],[Valor Unitário]]*Vendas[[#This Row],[Qnt Vendida]]</f>
        <v>3570</v>
      </c>
      <c r="J2495" s="3">
        <f>Vendas[[#This Row],[Valor da Venda]]-(_xlfn.XLOOKUP(Vendas[[#This Row],[ID Item Vendido]],Agregado[ID],Agregado[Custo])*Vendas[[#This Row],[Qnt Vendida]])</f>
        <v>1020</v>
      </c>
      <c r="K2495" s="70">
        <f>Vendas[[#This Row],[Lucro da Venda]]/Vendas[[#This Row],[Valor da Venda]]</f>
        <v>0.2857142857142857</v>
      </c>
      <c r="L2495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2495"/>
    </row>
    <row r="2496" spans="1:13" x14ac:dyDescent="0.3">
      <c r="A2496" s="7">
        <v>400244</v>
      </c>
      <c r="B2496" t="str">
        <f>_xlfn.XLOOKUP(Vendas[[#This Row],[ID Vendedor]],Vendedores[ID],Vendedores[Nome])</f>
        <v>Camila</v>
      </c>
      <c r="C2496" s="7" t="str">
        <f>_xlfn.XLOOKUP(Vendas[[#This Row],[ID Vendedor]],Vendedores[ID],Vendedores[Setor])</f>
        <v>AHD</v>
      </c>
      <c r="D2496" s="7" t="s">
        <v>18</v>
      </c>
      <c r="E2496" t="str">
        <f>_xlfn.XLOOKUP(Vendas[[#This Row],[ID Item Vendido]],Agregado[ID],Agregado[Produto])</f>
        <v>Peça forjada sob encomenda</v>
      </c>
      <c r="F2496" s="39">
        <v>45069</v>
      </c>
      <c r="G2496" s="7">
        <v>3</v>
      </c>
      <c r="H2496" s="3">
        <f>_xlfn.XLOOKUP(Vendas[[#This Row],[ID Item Vendido]],Agregado[ID],Agregado[Revenda])</f>
        <v>264.60000000000002</v>
      </c>
      <c r="I2496" s="3">
        <f>Vendas[[#This Row],[Valor Unitário]]*Vendas[[#This Row],[Qnt Vendida]]</f>
        <v>793.80000000000007</v>
      </c>
      <c r="J2496" s="3">
        <f>Vendas[[#This Row],[Valor da Venda]]-(_xlfn.XLOOKUP(Vendas[[#This Row],[ID Item Vendido]],Agregado[ID],Agregado[Custo])*Vendas[[#This Row],[Qnt Vendida]])</f>
        <v>43.800000000000068</v>
      </c>
      <c r="K2496" s="70">
        <f>Vendas[[#This Row],[Lucro da Venda]]/Vendas[[#This Row],[Valor da Venda]]</f>
        <v>5.5177626606198113E-2</v>
      </c>
      <c r="L249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496"/>
    </row>
    <row r="2497" spans="1:13" x14ac:dyDescent="0.3">
      <c r="A2497" s="7">
        <v>400253</v>
      </c>
      <c r="B2497" t="str">
        <f>_xlfn.XLOOKUP(Vendas[[#This Row],[ID Vendedor]],Vendedores[ID],Vendedores[Nome])</f>
        <v>Gustavo</v>
      </c>
      <c r="C2497" s="7" t="str">
        <f>_xlfn.XLOOKUP(Vendas[[#This Row],[ID Vendedor]],Vendedores[ID],Vendedores[Setor])</f>
        <v>SC</v>
      </c>
      <c r="D2497" s="7" t="s">
        <v>25</v>
      </c>
      <c r="E2497" t="str">
        <f>_xlfn.XLOOKUP(Vendas[[#This Row],[ID Item Vendido]],Agregado[ID],Agregado[Produto])</f>
        <v>Palete de plástico</v>
      </c>
      <c r="F2497" s="39">
        <v>45069</v>
      </c>
      <c r="G2497" s="7">
        <v>1</v>
      </c>
      <c r="H2497" s="3">
        <f>_xlfn.XLOOKUP(Vendas[[#This Row],[ID Item Vendido]],Agregado[ID],Agregado[Revenda])</f>
        <v>70.8</v>
      </c>
      <c r="I2497" s="3">
        <f>Vendas[[#This Row],[Valor Unitário]]*Vendas[[#This Row],[Qnt Vendida]]</f>
        <v>70.8</v>
      </c>
      <c r="J2497" s="3">
        <f>Vendas[[#This Row],[Valor da Venda]]-(_xlfn.XLOOKUP(Vendas[[#This Row],[ID Item Vendido]],Agregado[ID],Agregado[Custo])*Vendas[[#This Row],[Qnt Vendida]])</f>
        <v>10.799999999999997</v>
      </c>
      <c r="K2497" s="70">
        <f>Vendas[[#This Row],[Lucro da Venda]]/Vendas[[#This Row],[Valor da Venda]]</f>
        <v>0.15254237288135589</v>
      </c>
      <c r="L2497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2497"/>
    </row>
    <row r="2498" spans="1:13" x14ac:dyDescent="0.3">
      <c r="A2498" s="7">
        <v>400248</v>
      </c>
      <c r="B2498" t="str">
        <f>_xlfn.XLOOKUP(Vendas[[#This Row],[ID Vendedor]],Vendedores[ID],Vendedores[Nome])</f>
        <v>Patrícia</v>
      </c>
      <c r="C2498" s="7" t="str">
        <f>_xlfn.XLOOKUP(Vendas[[#This Row],[ID Vendedor]],Vendedores[ID],Vendedores[Setor])</f>
        <v>CM</v>
      </c>
      <c r="D2498" s="7" t="s">
        <v>22</v>
      </c>
      <c r="E2498" t="str">
        <f>_xlfn.XLOOKUP(Vendas[[#This Row],[ID Item Vendido]],Agregado[ID],Agregado[Produto])</f>
        <v>Painel MDP 2,75x1,83m</v>
      </c>
      <c r="F2498" s="39">
        <v>45070</v>
      </c>
      <c r="G2498" s="7">
        <v>23</v>
      </c>
      <c r="H2498" s="3">
        <f>_xlfn.XLOOKUP(Vendas[[#This Row],[ID Item Vendido]],Agregado[ID],Agregado[Revenda])</f>
        <v>119</v>
      </c>
      <c r="I2498" s="3">
        <f>Vendas[[#This Row],[Valor Unitário]]*Vendas[[#This Row],[Qnt Vendida]]</f>
        <v>2737</v>
      </c>
      <c r="J2498" s="3">
        <f>Vendas[[#This Row],[Valor da Venda]]-(_xlfn.XLOOKUP(Vendas[[#This Row],[ID Item Vendido]],Agregado[ID],Agregado[Custo])*Vendas[[#This Row],[Qnt Vendida]])</f>
        <v>552</v>
      </c>
      <c r="K2498" s="70">
        <f>Vendas[[#This Row],[Lucro da Venda]]/Vendas[[#This Row],[Valor da Venda]]</f>
        <v>0.20168067226890757</v>
      </c>
      <c r="L2498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2498"/>
    </row>
    <row r="2499" spans="1:13" x14ac:dyDescent="0.3">
      <c r="A2499" s="7">
        <v>400254</v>
      </c>
      <c r="B2499" t="str">
        <f>_xlfn.XLOOKUP(Vendas[[#This Row],[ID Vendedor]],Vendedores[ID],Vendedores[Nome])</f>
        <v>Beatriz</v>
      </c>
      <c r="C2499" s="7" t="str">
        <f>_xlfn.XLOOKUP(Vendas[[#This Row],[ID Vendedor]],Vendedores[ID],Vendedores[Setor])</f>
        <v>SC</v>
      </c>
      <c r="D2499" s="7" t="s">
        <v>42</v>
      </c>
      <c r="E2499" t="str">
        <f>_xlfn.XLOOKUP(Vendas[[#This Row],[ID Item Vendido]],Agregado[ID],Agregado[Produto])</f>
        <v>Container de ferro industrial</v>
      </c>
      <c r="F2499" s="39">
        <v>45070</v>
      </c>
      <c r="G2499" s="7">
        <v>3</v>
      </c>
      <c r="H2499" s="3">
        <f>_xlfn.XLOOKUP(Vendas[[#This Row],[ID Item Vendido]],Agregado[ID],Agregado[Revenda])</f>
        <v>830</v>
      </c>
      <c r="I2499" s="3">
        <f>Vendas[[#This Row],[Valor Unitário]]*Vendas[[#This Row],[Qnt Vendida]]</f>
        <v>2490</v>
      </c>
      <c r="J2499" s="3">
        <f>Vendas[[#This Row],[Valor da Venda]]-(_xlfn.XLOOKUP(Vendas[[#This Row],[ID Item Vendido]],Agregado[ID],Agregado[Custo])*Vendas[[#This Row],[Qnt Vendida]])</f>
        <v>450</v>
      </c>
      <c r="K2499" s="70">
        <f>Vendas[[#This Row],[Lucro da Venda]]/Vendas[[#This Row],[Valor da Venda]]</f>
        <v>0.18072289156626506</v>
      </c>
      <c r="L249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499"/>
    </row>
    <row r="2500" spans="1:13" x14ac:dyDescent="0.3">
      <c r="A2500" s="7">
        <v>400247</v>
      </c>
      <c r="B2500" t="str">
        <f>_xlfn.XLOOKUP(Vendas[[#This Row],[ID Vendedor]],Vendedores[ID],Vendedores[Nome])</f>
        <v>André</v>
      </c>
      <c r="C2500" s="7" t="str">
        <f>_xlfn.XLOOKUP(Vendas[[#This Row],[ID Vendedor]],Vendedores[ID],Vendedores[Setor])</f>
        <v>CM</v>
      </c>
      <c r="D2500" s="7" t="s">
        <v>45</v>
      </c>
      <c r="E2500" t="str">
        <f>_xlfn.XLOOKUP(Vendas[[#This Row],[ID Item Vendido]],Agregado[ID],Agregado[Produto])</f>
        <v>Viga de madeira tratada 4m</v>
      </c>
      <c r="F2500" s="39">
        <v>45070</v>
      </c>
      <c r="G2500" s="7">
        <v>16</v>
      </c>
      <c r="H2500" s="3">
        <f>_xlfn.XLOOKUP(Vendas[[#This Row],[ID Item Vendido]],Agregado[ID],Agregado[Revenda])</f>
        <v>66</v>
      </c>
      <c r="I2500" s="3">
        <f>Vendas[[#This Row],[Valor Unitário]]*Vendas[[#This Row],[Qnt Vendida]]</f>
        <v>1056</v>
      </c>
      <c r="J2500" s="3">
        <f>Vendas[[#This Row],[Valor da Venda]]-(_xlfn.XLOOKUP(Vendas[[#This Row],[ID Item Vendido]],Agregado[ID],Agregado[Custo])*Vendas[[#This Row],[Qnt Vendida]])</f>
        <v>176</v>
      </c>
      <c r="K2500" s="70">
        <f>Vendas[[#This Row],[Lucro da Venda]]/Vendas[[#This Row],[Valor da Venda]]</f>
        <v>0.16666666666666666</v>
      </c>
      <c r="L2500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2500"/>
    </row>
    <row r="2501" spans="1:13" x14ac:dyDescent="0.3">
      <c r="A2501" s="7">
        <v>400242</v>
      </c>
      <c r="B2501" t="str">
        <f>_xlfn.XLOOKUP(Vendas[[#This Row],[ID Vendedor]],Vendedores[ID],Vendedores[Nome])</f>
        <v>Fernanda</v>
      </c>
      <c r="C2501" s="7" t="str">
        <f>_xlfn.XLOOKUP(Vendas[[#This Row],[ID Vendedor]],Vendedores[ID],Vendedores[Setor])</f>
        <v>FM</v>
      </c>
      <c r="D2501" s="7" t="s">
        <v>47</v>
      </c>
      <c r="E2501" t="str">
        <f>_xlfn.XLOOKUP(Vendas[[#This Row],[ID Item Vendido]],Agregado[ID],Agregado[Produto])</f>
        <v>Fio de arame galvanizado rolo 50m</v>
      </c>
      <c r="F2501" s="39">
        <v>45073</v>
      </c>
      <c r="G2501" s="7">
        <v>40</v>
      </c>
      <c r="H2501" s="3">
        <f>_xlfn.XLOOKUP(Vendas[[#This Row],[ID Item Vendido]],Agregado[ID],Agregado[Revenda])</f>
        <v>21.2</v>
      </c>
      <c r="I2501" s="3">
        <f>Vendas[[#This Row],[Valor Unitário]]*Vendas[[#This Row],[Qnt Vendida]]</f>
        <v>848</v>
      </c>
      <c r="J2501" s="3">
        <f>Vendas[[#This Row],[Valor da Venda]]-(_xlfn.XLOOKUP(Vendas[[#This Row],[ID Item Vendido]],Agregado[ID],Agregado[Custo])*Vendas[[#This Row],[Qnt Vendida]])</f>
        <v>128</v>
      </c>
      <c r="K2501" s="70">
        <f>Vendas[[#This Row],[Lucro da Venda]]/Vendas[[#This Row],[Valor da Venda]]</f>
        <v>0.15094339622641509</v>
      </c>
      <c r="L2501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501"/>
    </row>
    <row r="2502" spans="1:13" x14ac:dyDescent="0.3">
      <c r="A2502" s="7">
        <v>400251</v>
      </c>
      <c r="B2502" t="str">
        <f>_xlfn.XLOOKUP(Vendas[[#This Row],[ID Vendedor]],Vendedores[ID],Vendedores[Nome])</f>
        <v>Diego</v>
      </c>
      <c r="C2502" s="7" t="str">
        <f>_xlfn.XLOOKUP(Vendas[[#This Row],[ID Vendedor]],Vendedores[ID],Vendedores[Setor])</f>
        <v>AB</v>
      </c>
      <c r="D2502" s="7" t="s">
        <v>36</v>
      </c>
      <c r="E2502" t="str">
        <f>_xlfn.XLOOKUP(Vendas[[#This Row],[ID Item Vendido]],Agregado[ID],Agregado[Produto])</f>
        <v>Borracha vulcanizada em manta</v>
      </c>
      <c r="F2502" s="39">
        <v>45074</v>
      </c>
      <c r="G2502" s="7">
        <v>58</v>
      </c>
      <c r="H2502" s="3">
        <f>_xlfn.XLOOKUP(Vendas[[#This Row],[ID Item Vendido]],Agregado[ID],Agregado[Revenda])</f>
        <v>7.8</v>
      </c>
      <c r="I2502" s="3">
        <f>Vendas[[#This Row],[Valor Unitário]]*Vendas[[#This Row],[Qnt Vendida]]</f>
        <v>452.4</v>
      </c>
      <c r="J2502" s="3">
        <f>Vendas[[#This Row],[Valor da Venda]]-(_xlfn.XLOOKUP(Vendas[[#This Row],[ID Item Vendido]],Agregado[ID],Agregado[Custo])*Vendas[[#This Row],[Qnt Vendida]])</f>
        <v>104.39999999999998</v>
      </c>
      <c r="K2502" s="70">
        <f>Vendas[[#This Row],[Lucro da Venda]]/Vendas[[#This Row],[Valor da Venda]]</f>
        <v>0.23076923076923073</v>
      </c>
      <c r="L2502" s="3">
        <f>_xlfn.IFS(Vendas[[#This Row],[Margem de Lucro (%)]]&lt;15%,Vendas[[#This Row],[Valor da Venda]]*3%,Vendas[[#This Row],[Margem de Lucro (%)]]&lt;=20%,Vendas[[#This Row],[Valor da Venda]]*4.5%,TRUE,Vendas[[#This Row],[Valor da Venda]]*6%)</f>
        <v>27.143999999999998</v>
      </c>
      <c r="M2502"/>
    </row>
    <row r="2503" spans="1:13" x14ac:dyDescent="0.3">
      <c r="A2503" s="7">
        <v>400242</v>
      </c>
      <c r="B2503" t="str">
        <f>_xlfn.XLOOKUP(Vendas[[#This Row],[ID Vendedor]],Vendedores[ID],Vendedores[Nome])</f>
        <v>Fernanda</v>
      </c>
      <c r="C2503" s="7" t="str">
        <f>_xlfn.XLOOKUP(Vendas[[#This Row],[ID Vendedor]],Vendedores[ID],Vendedores[Setor])</f>
        <v>FM</v>
      </c>
      <c r="D2503" s="7" t="s">
        <v>47</v>
      </c>
      <c r="E2503" t="str">
        <f>_xlfn.XLOOKUP(Vendas[[#This Row],[ID Item Vendido]],Agregado[ID],Agregado[Produto])</f>
        <v>Fio de arame galvanizado rolo 50m</v>
      </c>
      <c r="F2503" s="39">
        <v>45074</v>
      </c>
      <c r="G2503" s="7">
        <v>18</v>
      </c>
      <c r="H2503" s="3">
        <f>_xlfn.XLOOKUP(Vendas[[#This Row],[ID Item Vendido]],Agregado[ID],Agregado[Revenda])</f>
        <v>21.2</v>
      </c>
      <c r="I2503" s="3">
        <f>Vendas[[#This Row],[Valor Unitário]]*Vendas[[#This Row],[Qnt Vendida]]</f>
        <v>381.59999999999997</v>
      </c>
      <c r="J2503" s="3">
        <f>Vendas[[#This Row],[Valor da Venda]]-(_xlfn.XLOOKUP(Vendas[[#This Row],[ID Item Vendido]],Agregado[ID],Agregado[Custo])*Vendas[[#This Row],[Qnt Vendida]])</f>
        <v>57.599999999999966</v>
      </c>
      <c r="K2503" s="70">
        <f>Vendas[[#This Row],[Lucro da Venda]]/Vendas[[#This Row],[Valor da Venda]]</f>
        <v>0.15094339622641501</v>
      </c>
      <c r="L2503" s="3">
        <f>_xlfn.IFS(Vendas[[#This Row],[Margem de Lucro (%)]]&lt;15%,Vendas[[#This Row],[Valor da Venda]]*3%,Vendas[[#This Row],[Margem de Lucro (%)]]&lt;=20%,Vendas[[#This Row],[Valor da Venda]]*4.5%,TRUE,Vendas[[#This Row],[Valor da Venda]]*6%)</f>
        <v>17.171999999999997</v>
      </c>
      <c r="M2503"/>
    </row>
    <row r="2504" spans="1:13" x14ac:dyDescent="0.3">
      <c r="A2504" s="7">
        <v>400253</v>
      </c>
      <c r="B2504" t="str">
        <f>_xlfn.XLOOKUP(Vendas[[#This Row],[ID Vendedor]],Vendedores[ID],Vendedores[Nome])</f>
        <v>Gustavo</v>
      </c>
      <c r="C2504" s="7" t="str">
        <f>_xlfn.XLOOKUP(Vendas[[#This Row],[ID Vendedor]],Vendedores[ID],Vendedores[Setor])</f>
        <v>SC</v>
      </c>
      <c r="D2504" s="7" t="s">
        <v>25</v>
      </c>
      <c r="E2504" t="str">
        <f>_xlfn.XLOOKUP(Vendas[[#This Row],[ID Item Vendido]],Agregado[ID],Agregado[Produto])</f>
        <v>Palete de plástico</v>
      </c>
      <c r="F2504" s="39">
        <v>45075</v>
      </c>
      <c r="G2504" s="7">
        <v>10</v>
      </c>
      <c r="H2504" s="3">
        <f>_xlfn.XLOOKUP(Vendas[[#This Row],[ID Item Vendido]],Agregado[ID],Agregado[Revenda])</f>
        <v>70.8</v>
      </c>
      <c r="I2504" s="3">
        <f>Vendas[[#This Row],[Valor Unitário]]*Vendas[[#This Row],[Qnt Vendida]]</f>
        <v>708</v>
      </c>
      <c r="J2504" s="3">
        <f>Vendas[[#This Row],[Valor da Venda]]-(_xlfn.XLOOKUP(Vendas[[#This Row],[ID Item Vendido]],Agregado[ID],Agregado[Custo])*Vendas[[#This Row],[Qnt Vendida]])</f>
        <v>108</v>
      </c>
      <c r="K2504" s="70">
        <f>Vendas[[#This Row],[Lucro da Venda]]/Vendas[[#This Row],[Valor da Venda]]</f>
        <v>0.15254237288135594</v>
      </c>
      <c r="L2504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2504"/>
    </row>
    <row r="2505" spans="1:13" x14ac:dyDescent="0.3">
      <c r="A2505" s="7">
        <v>400242</v>
      </c>
      <c r="B2505" t="str">
        <f>_xlfn.XLOOKUP(Vendas[[#This Row],[ID Vendedor]],Vendedores[ID],Vendedores[Nome])</f>
        <v>Fernanda</v>
      </c>
      <c r="C2505" s="7" t="str">
        <f>_xlfn.XLOOKUP(Vendas[[#This Row],[ID Vendedor]],Vendedores[ID],Vendedores[Setor])</f>
        <v>FM</v>
      </c>
      <c r="D2505" s="7" t="s">
        <v>47</v>
      </c>
      <c r="E2505" t="str">
        <f>_xlfn.XLOOKUP(Vendas[[#This Row],[ID Item Vendido]],Agregado[ID],Agregado[Produto])</f>
        <v>Fio de arame galvanizado rolo 50m</v>
      </c>
      <c r="F2505" s="39">
        <v>45075</v>
      </c>
      <c r="G2505" s="7">
        <v>17</v>
      </c>
      <c r="H2505" s="3">
        <f>_xlfn.XLOOKUP(Vendas[[#This Row],[ID Item Vendido]],Agregado[ID],Agregado[Revenda])</f>
        <v>21.2</v>
      </c>
      <c r="I2505" s="3">
        <f>Vendas[[#This Row],[Valor Unitário]]*Vendas[[#This Row],[Qnt Vendida]]</f>
        <v>360.4</v>
      </c>
      <c r="J2505" s="3">
        <f>Vendas[[#This Row],[Valor da Venda]]-(_xlfn.XLOOKUP(Vendas[[#This Row],[ID Item Vendido]],Agregado[ID],Agregado[Custo])*Vendas[[#This Row],[Qnt Vendida]])</f>
        <v>54.399999999999977</v>
      </c>
      <c r="K2505" s="70">
        <f>Vendas[[#This Row],[Lucro da Venda]]/Vendas[[#This Row],[Valor da Venda]]</f>
        <v>0.15094339622641503</v>
      </c>
      <c r="L2505" s="3">
        <f>_xlfn.IFS(Vendas[[#This Row],[Margem de Lucro (%)]]&lt;15%,Vendas[[#This Row],[Valor da Venda]]*3%,Vendas[[#This Row],[Margem de Lucro (%)]]&lt;=20%,Vendas[[#This Row],[Valor da Venda]]*4.5%,TRUE,Vendas[[#This Row],[Valor da Venda]]*6%)</f>
        <v>16.218</v>
      </c>
      <c r="M2505"/>
    </row>
    <row r="2506" spans="1:13" x14ac:dyDescent="0.3">
      <c r="A2506" s="7">
        <v>400250</v>
      </c>
      <c r="B2506" t="str">
        <f>_xlfn.XLOOKUP(Vendas[[#This Row],[ID Vendedor]],Vendedores[ID],Vendedores[Nome])</f>
        <v>Larissa</v>
      </c>
      <c r="C2506" s="7" t="str">
        <f>_xlfn.XLOOKUP(Vendas[[#This Row],[ID Vendedor]],Vendedores[ID],Vendedores[Setor])</f>
        <v>AB</v>
      </c>
      <c r="D2506" s="7" t="s">
        <v>36</v>
      </c>
      <c r="E2506" t="str">
        <f>_xlfn.XLOOKUP(Vendas[[#This Row],[ID Item Vendido]],Agregado[ID],Agregado[Produto])</f>
        <v>Borracha vulcanizada em manta</v>
      </c>
      <c r="F2506" s="39">
        <v>45075</v>
      </c>
      <c r="G2506" s="7">
        <v>19</v>
      </c>
      <c r="H2506" s="3">
        <f>_xlfn.XLOOKUP(Vendas[[#This Row],[ID Item Vendido]],Agregado[ID],Agregado[Revenda])</f>
        <v>7.8</v>
      </c>
      <c r="I2506" s="3">
        <f>Vendas[[#This Row],[Valor Unitário]]*Vendas[[#This Row],[Qnt Vendida]]</f>
        <v>148.19999999999999</v>
      </c>
      <c r="J2506" s="3">
        <f>Vendas[[#This Row],[Valor da Venda]]-(_xlfn.XLOOKUP(Vendas[[#This Row],[ID Item Vendido]],Agregado[ID],Agregado[Custo])*Vendas[[#This Row],[Qnt Vendida]])</f>
        <v>34.199999999999989</v>
      </c>
      <c r="K2506" s="70">
        <f>Vendas[[#This Row],[Lucro da Venda]]/Vendas[[#This Row],[Valor da Venda]]</f>
        <v>0.2307692307692307</v>
      </c>
      <c r="L2506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2506"/>
    </row>
    <row r="2507" spans="1:13" x14ac:dyDescent="0.3">
      <c r="A2507" s="7">
        <v>400249</v>
      </c>
      <c r="B2507" t="str">
        <f>_xlfn.XLOOKUP(Vendas[[#This Row],[ID Vendedor]],Vendedores[ID],Vendedores[Nome])</f>
        <v>Bruno</v>
      </c>
      <c r="C2507" s="7" t="str">
        <f>_xlfn.XLOOKUP(Vendas[[#This Row],[ID Vendedor]],Vendedores[ID],Vendedores[Setor])</f>
        <v>CM</v>
      </c>
      <c r="D2507" s="7" t="s">
        <v>22</v>
      </c>
      <c r="E2507" t="str">
        <f>_xlfn.XLOOKUP(Vendas[[#This Row],[ID Item Vendido]],Agregado[ID],Agregado[Produto])</f>
        <v>Painel MDP 2,75x1,83m</v>
      </c>
      <c r="F2507" s="39">
        <v>45078</v>
      </c>
      <c r="G2507" s="7">
        <v>17</v>
      </c>
      <c r="H2507" s="3">
        <f>_xlfn.XLOOKUP(Vendas[[#This Row],[ID Item Vendido]],Agregado[ID],Agregado[Revenda])</f>
        <v>119</v>
      </c>
      <c r="I2507" s="3">
        <f>Vendas[[#This Row],[Valor Unitário]]*Vendas[[#This Row],[Qnt Vendida]]</f>
        <v>2023</v>
      </c>
      <c r="J2507" s="3">
        <f>Vendas[[#This Row],[Valor da Venda]]-(_xlfn.XLOOKUP(Vendas[[#This Row],[ID Item Vendido]],Agregado[ID],Agregado[Custo])*Vendas[[#This Row],[Qnt Vendida]])</f>
        <v>408</v>
      </c>
      <c r="K2507" s="70">
        <f>Vendas[[#This Row],[Lucro da Venda]]/Vendas[[#This Row],[Valor da Venda]]</f>
        <v>0.20168067226890757</v>
      </c>
      <c r="L2507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2507"/>
    </row>
    <row r="2508" spans="1:13" x14ac:dyDescent="0.3">
      <c r="A2508" s="7">
        <v>400251</v>
      </c>
      <c r="B2508" t="str">
        <f>_xlfn.XLOOKUP(Vendas[[#This Row],[ID Vendedor]],Vendedores[ID],Vendedores[Nome])</f>
        <v>Diego</v>
      </c>
      <c r="C2508" s="7" t="str">
        <f>_xlfn.XLOOKUP(Vendas[[#This Row],[ID Vendedor]],Vendedores[ID],Vendedores[Setor])</f>
        <v>AB</v>
      </c>
      <c r="D2508" s="7" t="s">
        <v>24</v>
      </c>
      <c r="E2508" t="str">
        <f>_xlfn.XLOOKUP(Vendas[[#This Row],[ID Item Vendido]],Agregado[ID],Agregado[Produto])</f>
        <v>Resina plástica PET purificada saco de 25kg</v>
      </c>
      <c r="F2508" s="39">
        <v>45078</v>
      </c>
      <c r="G2508" s="7">
        <v>16</v>
      </c>
      <c r="H2508" s="3">
        <f>_xlfn.XLOOKUP(Vendas[[#This Row],[ID Item Vendido]],Agregado[ID],Agregado[Revenda])</f>
        <v>119</v>
      </c>
      <c r="I2508" s="3">
        <f>Vendas[[#This Row],[Valor Unitário]]*Vendas[[#This Row],[Qnt Vendida]]</f>
        <v>1904</v>
      </c>
      <c r="J2508" s="3">
        <f>Vendas[[#This Row],[Valor da Venda]]-(_xlfn.XLOOKUP(Vendas[[#This Row],[ID Item Vendido]],Agregado[ID],Agregado[Custo])*Vendas[[#This Row],[Qnt Vendida]])</f>
        <v>544</v>
      </c>
      <c r="K2508" s="70">
        <f>Vendas[[#This Row],[Lucro da Venda]]/Vendas[[#This Row],[Valor da Venda]]</f>
        <v>0.2857142857142857</v>
      </c>
      <c r="L2508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508"/>
    </row>
    <row r="2509" spans="1:13" x14ac:dyDescent="0.3">
      <c r="A2509" s="7">
        <v>400247</v>
      </c>
      <c r="B2509" t="str">
        <f>_xlfn.XLOOKUP(Vendas[[#This Row],[ID Vendedor]],Vendedores[ID],Vendedores[Nome])</f>
        <v>André</v>
      </c>
      <c r="C2509" s="7" t="str">
        <f>_xlfn.XLOOKUP(Vendas[[#This Row],[ID Vendedor]],Vendedores[ID],Vendedores[Setor])</f>
        <v>CM</v>
      </c>
      <c r="D2509" s="7" t="s">
        <v>45</v>
      </c>
      <c r="E2509" t="str">
        <f>_xlfn.XLOOKUP(Vendas[[#This Row],[ID Item Vendido]],Agregado[ID],Agregado[Produto])</f>
        <v>Viga de madeira tratada 4m</v>
      </c>
      <c r="F2509" s="39">
        <v>45078</v>
      </c>
      <c r="G2509" s="7">
        <v>9</v>
      </c>
      <c r="H2509" s="3">
        <f>_xlfn.XLOOKUP(Vendas[[#This Row],[ID Item Vendido]],Agregado[ID],Agregado[Revenda])</f>
        <v>66</v>
      </c>
      <c r="I2509" s="3">
        <f>Vendas[[#This Row],[Valor Unitário]]*Vendas[[#This Row],[Qnt Vendida]]</f>
        <v>594</v>
      </c>
      <c r="J2509" s="3">
        <f>Vendas[[#This Row],[Valor da Venda]]-(_xlfn.XLOOKUP(Vendas[[#This Row],[ID Item Vendido]],Agregado[ID],Agregado[Custo])*Vendas[[#This Row],[Qnt Vendida]])</f>
        <v>99</v>
      </c>
      <c r="K2509" s="70">
        <f>Vendas[[#This Row],[Lucro da Venda]]/Vendas[[#This Row],[Valor da Venda]]</f>
        <v>0.16666666666666666</v>
      </c>
      <c r="L2509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2509"/>
    </row>
    <row r="2510" spans="1:13" x14ac:dyDescent="0.3">
      <c r="A2510" s="7">
        <v>400243</v>
      </c>
      <c r="B2510" t="str">
        <f>_xlfn.XLOOKUP(Vendas[[#This Row],[ID Vendedor]],Vendedores[ID],Vendedores[Nome])</f>
        <v>Marcelo</v>
      </c>
      <c r="C2510" s="7" t="str">
        <f>_xlfn.XLOOKUP(Vendas[[#This Row],[ID Vendedor]],Vendedores[ID],Vendedores[Setor])</f>
        <v>FM</v>
      </c>
      <c r="D2510" s="7" t="s">
        <v>6</v>
      </c>
      <c r="E2510" t="str">
        <f>_xlfn.XLOOKUP(Vendas[[#This Row],[ID Item Vendido]],Agregado[ID],Agregado[Produto])</f>
        <v>Parafuso comum 500un</v>
      </c>
      <c r="F2510" s="39">
        <v>45078</v>
      </c>
      <c r="G2510" s="7">
        <v>8</v>
      </c>
      <c r="H2510" s="3">
        <f>_xlfn.XLOOKUP(Vendas[[#This Row],[ID Item Vendido]],Agregado[ID],Agregado[Revenda])</f>
        <v>24.6</v>
      </c>
      <c r="I2510" s="3">
        <f>Vendas[[#This Row],[Valor Unitário]]*Vendas[[#This Row],[Qnt Vendida]]</f>
        <v>196.8</v>
      </c>
      <c r="J2510" s="3">
        <f>Vendas[[#This Row],[Valor da Venda]]-(_xlfn.XLOOKUP(Vendas[[#This Row],[ID Item Vendido]],Agregado[ID],Agregado[Custo])*Vendas[[#This Row],[Qnt Vendida]])</f>
        <v>20.800000000000011</v>
      </c>
      <c r="K2510" s="70">
        <f>Vendas[[#This Row],[Lucro da Venda]]/Vendas[[#This Row],[Valor da Venda]]</f>
        <v>0.10569105691056915</v>
      </c>
      <c r="L2510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510"/>
    </row>
    <row r="2511" spans="1:13" x14ac:dyDescent="0.3">
      <c r="A2511" s="7">
        <v>400248</v>
      </c>
      <c r="B2511" t="str">
        <f>_xlfn.XLOOKUP(Vendas[[#This Row],[ID Vendedor]],Vendedores[ID],Vendedores[Nome])</f>
        <v>Patrícia</v>
      </c>
      <c r="C2511" s="7" t="str">
        <f>_xlfn.XLOOKUP(Vendas[[#This Row],[ID Vendedor]],Vendedores[ID],Vendedores[Setor])</f>
        <v>CM</v>
      </c>
      <c r="D2511" s="7" t="s">
        <v>34</v>
      </c>
      <c r="E2511" t="str">
        <f>_xlfn.XLOOKUP(Vendas[[#This Row],[ID Item Vendido]],Agregado[ID],Agregado[Produto])</f>
        <v>Restos de madeira p/ MDP/OSB saco de 20kg</v>
      </c>
      <c r="F2511" s="39">
        <v>45078</v>
      </c>
      <c r="G2511" s="7">
        <v>7</v>
      </c>
      <c r="H2511" s="3">
        <f>_xlfn.XLOOKUP(Vendas[[#This Row],[ID Item Vendido]],Agregado[ID],Agregado[Revenda])</f>
        <v>13.8</v>
      </c>
      <c r="I2511" s="3">
        <f>Vendas[[#This Row],[Valor Unitário]]*Vendas[[#This Row],[Qnt Vendida]]</f>
        <v>96.600000000000009</v>
      </c>
      <c r="J2511" s="3">
        <f>Vendas[[#This Row],[Valor da Venda]]-(_xlfn.XLOOKUP(Vendas[[#This Row],[ID Item Vendido]],Agregado[ID],Agregado[Custo])*Vendas[[#This Row],[Qnt Vendida]])</f>
        <v>12.600000000000009</v>
      </c>
      <c r="K2511" s="70">
        <f>Vendas[[#This Row],[Lucro da Venda]]/Vendas[[#This Row],[Valor da Venda]]</f>
        <v>0.13043478260869573</v>
      </c>
      <c r="L2511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2511"/>
    </row>
    <row r="2512" spans="1:13" x14ac:dyDescent="0.3">
      <c r="A2512" s="7">
        <v>400255</v>
      </c>
      <c r="B2512" t="str">
        <f>_xlfn.XLOOKUP(Vendas[[#This Row],[ID Vendedor]],Vendedores[ID],Vendedores[Nome])</f>
        <v>Carlos</v>
      </c>
      <c r="C2512" s="7" t="str">
        <f>_xlfn.XLOOKUP(Vendas[[#This Row],[ID Vendedor]],Vendedores[ID],Vendedores[Setor])</f>
        <v>SC</v>
      </c>
      <c r="D2512" s="7" t="s">
        <v>42</v>
      </c>
      <c r="E2512" t="str">
        <f>_xlfn.XLOOKUP(Vendas[[#This Row],[ID Item Vendido]],Agregado[ID],Agregado[Produto])</f>
        <v>Container de ferro industrial</v>
      </c>
      <c r="F2512" s="39">
        <v>45079</v>
      </c>
      <c r="G2512" s="7">
        <v>6</v>
      </c>
      <c r="H2512" s="3">
        <f>_xlfn.XLOOKUP(Vendas[[#This Row],[ID Item Vendido]],Agregado[ID],Agregado[Revenda])</f>
        <v>830</v>
      </c>
      <c r="I2512" s="3">
        <f>Vendas[[#This Row],[Valor Unitário]]*Vendas[[#This Row],[Qnt Vendida]]</f>
        <v>4980</v>
      </c>
      <c r="J2512" s="3">
        <f>Vendas[[#This Row],[Valor da Venda]]-(_xlfn.XLOOKUP(Vendas[[#This Row],[ID Item Vendido]],Agregado[ID],Agregado[Custo])*Vendas[[#This Row],[Qnt Vendida]])</f>
        <v>900</v>
      </c>
      <c r="K2512" s="70">
        <f>Vendas[[#This Row],[Lucro da Venda]]/Vendas[[#This Row],[Valor da Venda]]</f>
        <v>0.18072289156626506</v>
      </c>
      <c r="L251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512"/>
    </row>
    <row r="2513" spans="1:13" x14ac:dyDescent="0.3">
      <c r="A2513" s="7">
        <v>400246</v>
      </c>
      <c r="B2513" t="str">
        <f>_xlfn.XLOOKUP(Vendas[[#This Row],[ID Vendedor]],Vendedores[ID],Vendedores[Nome])</f>
        <v>Juliana</v>
      </c>
      <c r="C2513" s="7" t="str">
        <f>_xlfn.XLOOKUP(Vendas[[#This Row],[ID Vendedor]],Vendedores[ID],Vendedores[Setor])</f>
        <v>AHD</v>
      </c>
      <c r="D2513" s="7" t="s">
        <v>9</v>
      </c>
      <c r="E2513" t="str">
        <f>_xlfn.XLOOKUP(Vendas[[#This Row],[ID Item Vendido]],Agregado[ID],Agregado[Produto])</f>
        <v>Barra de aço simples</v>
      </c>
      <c r="F2513" s="39">
        <v>45080</v>
      </c>
      <c r="G2513" s="7">
        <v>57</v>
      </c>
      <c r="H2513" s="3">
        <f>_xlfn.XLOOKUP(Vendas[[#This Row],[ID Item Vendido]],Agregado[ID],Agregado[Revenda])</f>
        <v>6.7</v>
      </c>
      <c r="I2513" s="3">
        <f>Vendas[[#This Row],[Valor Unitário]]*Vendas[[#This Row],[Qnt Vendida]]</f>
        <v>381.90000000000003</v>
      </c>
      <c r="J2513" s="3">
        <f>Vendas[[#This Row],[Valor da Venda]]-(_xlfn.XLOOKUP(Vendas[[#This Row],[ID Item Vendido]],Agregado[ID],Agregado[Custo])*Vendas[[#This Row],[Qnt Vendida]])</f>
        <v>51.300000000000068</v>
      </c>
      <c r="K2513" s="70">
        <f>Vendas[[#This Row],[Lucro da Venda]]/Vendas[[#This Row],[Valor da Venda]]</f>
        <v>0.13432835820895539</v>
      </c>
      <c r="L2513" s="3">
        <f>_xlfn.IFS(Vendas[[#This Row],[Margem de Lucro (%)]]&lt;15%,Vendas[[#This Row],[Valor da Venda]]*3%,Vendas[[#This Row],[Margem de Lucro (%)]]&lt;=20%,Vendas[[#This Row],[Valor da Venda]]*4.5%,TRUE,Vendas[[#This Row],[Valor da Venda]]*6%)</f>
        <v>11.457000000000001</v>
      </c>
      <c r="M2513"/>
    </row>
    <row r="2514" spans="1:13" x14ac:dyDescent="0.3">
      <c r="A2514" s="7">
        <v>400251</v>
      </c>
      <c r="B2514" t="str">
        <f>_xlfn.XLOOKUP(Vendas[[#This Row],[ID Vendedor]],Vendedores[ID],Vendedores[Nome])</f>
        <v>Diego</v>
      </c>
      <c r="C2514" s="7" t="str">
        <f>_xlfn.XLOOKUP(Vendas[[#This Row],[ID Vendedor]],Vendedores[ID],Vendedores[Setor])</f>
        <v>AB</v>
      </c>
      <c r="D2514" s="7" t="s">
        <v>24</v>
      </c>
      <c r="E2514" t="str">
        <f>_xlfn.XLOOKUP(Vendas[[#This Row],[ID Item Vendido]],Agregado[ID],Agregado[Produto])</f>
        <v>Resina plástica PET purificada saco de 25kg</v>
      </c>
      <c r="F2514" s="39">
        <v>45081</v>
      </c>
      <c r="G2514" s="7">
        <v>19</v>
      </c>
      <c r="H2514" s="3">
        <f>_xlfn.XLOOKUP(Vendas[[#This Row],[ID Item Vendido]],Agregado[ID],Agregado[Revenda])</f>
        <v>119</v>
      </c>
      <c r="I2514" s="3">
        <f>Vendas[[#This Row],[Valor Unitário]]*Vendas[[#This Row],[Qnt Vendida]]</f>
        <v>2261</v>
      </c>
      <c r="J2514" s="3">
        <f>Vendas[[#This Row],[Valor da Venda]]-(_xlfn.XLOOKUP(Vendas[[#This Row],[ID Item Vendido]],Agregado[ID],Agregado[Custo])*Vendas[[#This Row],[Qnt Vendida]])</f>
        <v>646</v>
      </c>
      <c r="K2514" s="70">
        <f>Vendas[[#This Row],[Lucro da Venda]]/Vendas[[#This Row],[Valor da Venda]]</f>
        <v>0.2857142857142857</v>
      </c>
      <c r="L2514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514"/>
    </row>
    <row r="2515" spans="1:13" x14ac:dyDescent="0.3">
      <c r="A2515" s="7">
        <v>400254</v>
      </c>
      <c r="B2515" t="str">
        <f>_xlfn.XLOOKUP(Vendas[[#This Row],[ID Vendedor]],Vendedores[ID],Vendedores[Nome])</f>
        <v>Beatriz</v>
      </c>
      <c r="C2515" s="7" t="str">
        <f>_xlfn.XLOOKUP(Vendas[[#This Row],[ID Vendedor]],Vendedores[ID],Vendedores[Setor])</f>
        <v>SC</v>
      </c>
      <c r="D2515" s="7" t="s">
        <v>14</v>
      </c>
      <c r="E2515" t="str">
        <f>_xlfn.XLOOKUP(Vendas[[#This Row],[ID Item Vendido]],Agregado[ID],Agregado[Produto])</f>
        <v>Barril de plástico 200L</v>
      </c>
      <c r="F2515" s="39">
        <v>45081</v>
      </c>
      <c r="G2515" s="7">
        <v>19</v>
      </c>
      <c r="H2515" s="3">
        <f>_xlfn.XLOOKUP(Vendas[[#This Row],[ID Item Vendido]],Agregado[ID],Agregado[Revenda])</f>
        <v>114</v>
      </c>
      <c r="I2515" s="3">
        <f>Vendas[[#This Row],[Valor Unitário]]*Vendas[[#This Row],[Qnt Vendida]]</f>
        <v>2166</v>
      </c>
      <c r="J2515" s="3">
        <f>Vendas[[#This Row],[Valor da Venda]]-(_xlfn.XLOOKUP(Vendas[[#This Row],[ID Item Vendido]],Agregado[ID],Agregado[Custo])*Vendas[[#This Row],[Qnt Vendida]])</f>
        <v>361</v>
      </c>
      <c r="K2515" s="70">
        <f>Vendas[[#This Row],[Lucro da Venda]]/Vendas[[#This Row],[Valor da Venda]]</f>
        <v>0.16666666666666666</v>
      </c>
      <c r="L2515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2515"/>
    </row>
    <row r="2516" spans="1:13" x14ac:dyDescent="0.3">
      <c r="A2516" s="7">
        <v>400242</v>
      </c>
      <c r="B2516" t="str">
        <f>_xlfn.XLOOKUP(Vendas[[#This Row],[ID Vendedor]],Vendedores[ID],Vendedores[Nome])</f>
        <v>Fernanda</v>
      </c>
      <c r="C2516" s="7" t="str">
        <f>_xlfn.XLOOKUP(Vendas[[#This Row],[ID Vendedor]],Vendedores[ID],Vendedores[Setor])</f>
        <v>FM</v>
      </c>
      <c r="D2516" s="7" t="s">
        <v>47</v>
      </c>
      <c r="E2516" t="str">
        <f>_xlfn.XLOOKUP(Vendas[[#This Row],[ID Item Vendido]],Agregado[ID],Agregado[Produto])</f>
        <v>Fio de arame galvanizado rolo 50m</v>
      </c>
      <c r="F2516" s="39">
        <v>45081</v>
      </c>
      <c r="G2516" s="7">
        <v>20</v>
      </c>
      <c r="H2516" s="3">
        <f>_xlfn.XLOOKUP(Vendas[[#This Row],[ID Item Vendido]],Agregado[ID],Agregado[Revenda])</f>
        <v>21.2</v>
      </c>
      <c r="I2516" s="3">
        <f>Vendas[[#This Row],[Valor Unitário]]*Vendas[[#This Row],[Qnt Vendida]]</f>
        <v>424</v>
      </c>
      <c r="J2516" s="3">
        <f>Vendas[[#This Row],[Valor da Venda]]-(_xlfn.XLOOKUP(Vendas[[#This Row],[ID Item Vendido]],Agregado[ID],Agregado[Custo])*Vendas[[#This Row],[Qnt Vendida]])</f>
        <v>64</v>
      </c>
      <c r="K2516" s="70">
        <f>Vendas[[#This Row],[Lucro da Venda]]/Vendas[[#This Row],[Valor da Venda]]</f>
        <v>0.15094339622641509</v>
      </c>
      <c r="L2516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516"/>
    </row>
    <row r="2517" spans="1:13" x14ac:dyDescent="0.3">
      <c r="A2517" s="7">
        <v>400246</v>
      </c>
      <c r="B2517" t="str">
        <f>_xlfn.XLOOKUP(Vendas[[#This Row],[ID Vendedor]],Vendedores[ID],Vendedores[Nome])</f>
        <v>Juliana</v>
      </c>
      <c r="C2517" s="7" t="str">
        <f>_xlfn.XLOOKUP(Vendas[[#This Row],[ID Vendedor]],Vendedores[ID],Vendedores[Setor])</f>
        <v>AHD</v>
      </c>
      <c r="D2517" s="7" t="s">
        <v>18</v>
      </c>
      <c r="E2517" t="str">
        <f>_xlfn.XLOOKUP(Vendas[[#This Row],[ID Item Vendido]],Agregado[ID],Agregado[Produto])</f>
        <v>Peça forjada sob encomenda</v>
      </c>
      <c r="F2517" s="39">
        <v>45082</v>
      </c>
      <c r="G2517" s="7">
        <v>5</v>
      </c>
      <c r="H2517" s="3">
        <f>_xlfn.XLOOKUP(Vendas[[#This Row],[ID Item Vendido]],Agregado[ID],Agregado[Revenda])</f>
        <v>264.60000000000002</v>
      </c>
      <c r="I2517" s="3">
        <f>Vendas[[#This Row],[Valor Unitário]]*Vendas[[#This Row],[Qnt Vendida]]</f>
        <v>1323</v>
      </c>
      <c r="J2517" s="3">
        <f>Vendas[[#This Row],[Valor da Venda]]-(_xlfn.XLOOKUP(Vendas[[#This Row],[ID Item Vendido]],Agregado[ID],Agregado[Custo])*Vendas[[#This Row],[Qnt Vendida]])</f>
        <v>73</v>
      </c>
      <c r="K2517" s="70">
        <f>Vendas[[#This Row],[Lucro da Venda]]/Vendas[[#This Row],[Valor da Venda]]</f>
        <v>5.5177626606198037E-2</v>
      </c>
      <c r="L251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517"/>
    </row>
    <row r="2518" spans="1:13" x14ac:dyDescent="0.3">
      <c r="A2518" s="7">
        <v>400253</v>
      </c>
      <c r="B2518" t="str">
        <f>_xlfn.XLOOKUP(Vendas[[#This Row],[ID Vendedor]],Vendedores[ID],Vendedores[Nome])</f>
        <v>Gustavo</v>
      </c>
      <c r="C2518" s="7" t="str">
        <f>_xlfn.XLOOKUP(Vendas[[#This Row],[ID Vendedor]],Vendedores[ID],Vendedores[Setor])</f>
        <v>SC</v>
      </c>
      <c r="D2518" s="7" t="s">
        <v>14</v>
      </c>
      <c r="E2518" t="str">
        <f>_xlfn.XLOOKUP(Vendas[[#This Row],[ID Item Vendido]],Agregado[ID],Agregado[Produto])</f>
        <v>Barril de plástico 200L</v>
      </c>
      <c r="F2518" s="39">
        <v>45082</v>
      </c>
      <c r="G2518" s="7">
        <v>12</v>
      </c>
      <c r="H2518" s="3">
        <f>_xlfn.XLOOKUP(Vendas[[#This Row],[ID Item Vendido]],Agregado[ID],Agregado[Revenda])</f>
        <v>114</v>
      </c>
      <c r="I2518" s="3">
        <f>Vendas[[#This Row],[Valor Unitário]]*Vendas[[#This Row],[Qnt Vendida]]</f>
        <v>1368</v>
      </c>
      <c r="J2518" s="3">
        <f>Vendas[[#This Row],[Valor da Venda]]-(_xlfn.XLOOKUP(Vendas[[#This Row],[ID Item Vendido]],Agregado[ID],Agregado[Custo])*Vendas[[#This Row],[Qnt Vendida]])</f>
        <v>228</v>
      </c>
      <c r="K2518" s="70">
        <f>Vendas[[#This Row],[Lucro da Venda]]/Vendas[[#This Row],[Valor da Venda]]</f>
        <v>0.16666666666666666</v>
      </c>
      <c r="L2518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2518"/>
    </row>
    <row r="2519" spans="1:13" x14ac:dyDescent="0.3">
      <c r="A2519" s="7">
        <v>400246</v>
      </c>
      <c r="B2519" t="str">
        <f>_xlfn.XLOOKUP(Vendas[[#This Row],[ID Vendedor]],Vendedores[ID],Vendedores[Nome])</f>
        <v>Juliana</v>
      </c>
      <c r="C2519" s="7" t="str">
        <f>_xlfn.XLOOKUP(Vendas[[#This Row],[ID Vendedor]],Vendedores[ID],Vendedores[Setor])</f>
        <v>AHD</v>
      </c>
      <c r="D2519" s="7" t="s">
        <v>44</v>
      </c>
      <c r="E2519" t="str">
        <f>_xlfn.XLOOKUP(Vendas[[#This Row],[ID Item Vendido]],Agregado[ID],Agregado[Produto])</f>
        <v>Liga metálica especial</v>
      </c>
      <c r="F2519" s="39">
        <v>45082</v>
      </c>
      <c r="G2519" s="7">
        <v>27</v>
      </c>
      <c r="H2519" s="3">
        <f>_xlfn.XLOOKUP(Vendas[[#This Row],[ID Item Vendido]],Agregado[ID],Agregado[Revenda])</f>
        <v>32.5</v>
      </c>
      <c r="I2519" s="3">
        <f>Vendas[[#This Row],[Valor Unitário]]*Vendas[[#This Row],[Qnt Vendida]]</f>
        <v>877.5</v>
      </c>
      <c r="J2519" s="3">
        <f>Vendas[[#This Row],[Valor da Venda]]-(_xlfn.XLOOKUP(Vendas[[#This Row],[ID Item Vendido]],Agregado[ID],Agregado[Custo])*Vendas[[#This Row],[Qnt Vendida]])</f>
        <v>202.5</v>
      </c>
      <c r="K2519" s="70">
        <f>Vendas[[#This Row],[Lucro da Venda]]/Vendas[[#This Row],[Valor da Venda]]</f>
        <v>0.23076923076923078</v>
      </c>
      <c r="L2519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2519"/>
    </row>
    <row r="2520" spans="1:13" x14ac:dyDescent="0.3">
      <c r="A2520" s="7">
        <v>400251</v>
      </c>
      <c r="B2520" t="str">
        <f>_xlfn.XLOOKUP(Vendas[[#This Row],[ID Vendedor]],Vendedores[ID],Vendedores[Nome])</f>
        <v>Diego</v>
      </c>
      <c r="C2520" s="7" t="str">
        <f>_xlfn.XLOOKUP(Vendas[[#This Row],[ID Vendedor]],Vendedores[ID],Vendedores[Setor])</f>
        <v>AB</v>
      </c>
      <c r="D2520" s="7" t="s">
        <v>12</v>
      </c>
      <c r="E2520" t="str">
        <f>_xlfn.XLOOKUP(Vendas[[#This Row],[ID Item Vendido]],Agregado[ID],Agregado[Produto])</f>
        <v>Grânulo de plástico reciclado refinado</v>
      </c>
      <c r="F2520" s="39">
        <v>45082</v>
      </c>
      <c r="G2520" s="7">
        <v>51</v>
      </c>
      <c r="H2520" s="3">
        <f>_xlfn.XLOOKUP(Vendas[[#This Row],[ID Item Vendido]],Agregado[ID],Agregado[Revenda])</f>
        <v>4.7</v>
      </c>
      <c r="I2520" s="3">
        <f>Vendas[[#This Row],[Valor Unitário]]*Vendas[[#This Row],[Qnt Vendida]]</f>
        <v>239.70000000000002</v>
      </c>
      <c r="J2520" s="3">
        <f>Vendas[[#This Row],[Valor da Venda]]-(_xlfn.XLOOKUP(Vendas[[#This Row],[ID Item Vendido]],Agregado[ID],Agregado[Custo])*Vendas[[#This Row],[Qnt Vendida]])</f>
        <v>61.200000000000017</v>
      </c>
      <c r="K2520" s="70">
        <f>Vendas[[#This Row],[Lucro da Venda]]/Vendas[[#This Row],[Valor da Venda]]</f>
        <v>0.25531914893617025</v>
      </c>
      <c r="L2520" s="3">
        <f>_xlfn.IFS(Vendas[[#This Row],[Margem de Lucro (%)]]&lt;15%,Vendas[[#This Row],[Valor da Venda]]*3%,Vendas[[#This Row],[Margem de Lucro (%)]]&lt;=20%,Vendas[[#This Row],[Valor da Venda]]*4.5%,TRUE,Vendas[[#This Row],[Valor da Venda]]*6%)</f>
        <v>14.382</v>
      </c>
      <c r="M2520"/>
    </row>
    <row r="2521" spans="1:13" x14ac:dyDescent="0.3">
      <c r="A2521" s="7">
        <v>400251</v>
      </c>
      <c r="B2521" t="str">
        <f>_xlfn.XLOOKUP(Vendas[[#This Row],[ID Vendedor]],Vendedores[ID],Vendedores[Nome])</f>
        <v>Diego</v>
      </c>
      <c r="C2521" s="7" t="str">
        <f>_xlfn.XLOOKUP(Vendas[[#This Row],[ID Vendedor]],Vendedores[ID],Vendedores[Setor])</f>
        <v>AB</v>
      </c>
      <c r="D2521" s="7" t="s">
        <v>36</v>
      </c>
      <c r="E2521" t="str">
        <f>_xlfn.XLOOKUP(Vendas[[#This Row],[ID Item Vendido]],Agregado[ID],Agregado[Produto])</f>
        <v>Borracha vulcanizada em manta</v>
      </c>
      <c r="F2521" s="39">
        <v>45082</v>
      </c>
      <c r="G2521" s="7">
        <v>17</v>
      </c>
      <c r="H2521" s="3">
        <f>_xlfn.XLOOKUP(Vendas[[#This Row],[ID Item Vendido]],Agregado[ID],Agregado[Revenda])</f>
        <v>7.8</v>
      </c>
      <c r="I2521" s="3">
        <f>Vendas[[#This Row],[Valor Unitário]]*Vendas[[#This Row],[Qnt Vendida]]</f>
        <v>132.6</v>
      </c>
      <c r="J2521" s="3">
        <f>Vendas[[#This Row],[Valor da Venda]]-(_xlfn.XLOOKUP(Vendas[[#This Row],[ID Item Vendido]],Agregado[ID],Agregado[Custo])*Vendas[[#This Row],[Qnt Vendida]])</f>
        <v>30.599999999999994</v>
      </c>
      <c r="K2521" s="70">
        <f>Vendas[[#This Row],[Lucro da Venda]]/Vendas[[#This Row],[Valor da Venda]]</f>
        <v>0.23076923076923073</v>
      </c>
      <c r="L2521" s="3">
        <f>_xlfn.IFS(Vendas[[#This Row],[Margem de Lucro (%)]]&lt;15%,Vendas[[#This Row],[Valor da Venda]]*3%,Vendas[[#This Row],[Margem de Lucro (%)]]&lt;=20%,Vendas[[#This Row],[Valor da Venda]]*4.5%,TRUE,Vendas[[#This Row],[Valor da Venda]]*6%)</f>
        <v>7.9559999999999995</v>
      </c>
      <c r="M2521"/>
    </row>
    <row r="2522" spans="1:13" x14ac:dyDescent="0.3">
      <c r="A2522" s="7">
        <v>400242</v>
      </c>
      <c r="B2522" t="str">
        <f>_xlfn.XLOOKUP(Vendas[[#This Row],[ID Vendedor]],Vendedores[ID],Vendedores[Nome])</f>
        <v>Fernanda</v>
      </c>
      <c r="C2522" s="7" t="str">
        <f>_xlfn.XLOOKUP(Vendas[[#This Row],[ID Vendedor]],Vendedores[ID],Vendedores[Setor])</f>
        <v>FM</v>
      </c>
      <c r="D2522" s="7" t="s">
        <v>6</v>
      </c>
      <c r="E2522" t="str">
        <f>_xlfn.XLOOKUP(Vendas[[#This Row],[ID Item Vendido]],Agregado[ID],Agregado[Produto])</f>
        <v>Parafuso comum 500un</v>
      </c>
      <c r="F2522" s="39">
        <v>45082</v>
      </c>
      <c r="G2522" s="7">
        <v>5</v>
      </c>
      <c r="H2522" s="3">
        <f>_xlfn.XLOOKUP(Vendas[[#This Row],[ID Item Vendido]],Agregado[ID],Agregado[Revenda])</f>
        <v>24.6</v>
      </c>
      <c r="I2522" s="3">
        <f>Vendas[[#This Row],[Valor Unitário]]*Vendas[[#This Row],[Qnt Vendida]]</f>
        <v>123</v>
      </c>
      <c r="J2522" s="3">
        <f>Vendas[[#This Row],[Valor da Venda]]-(_xlfn.XLOOKUP(Vendas[[#This Row],[ID Item Vendido]],Agregado[ID],Agregado[Custo])*Vendas[[#This Row],[Qnt Vendida]])</f>
        <v>13</v>
      </c>
      <c r="K2522" s="70">
        <f>Vendas[[#This Row],[Lucro da Venda]]/Vendas[[#This Row],[Valor da Venda]]</f>
        <v>0.10569105691056911</v>
      </c>
      <c r="L2522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2522"/>
    </row>
    <row r="2523" spans="1:13" x14ac:dyDescent="0.3">
      <c r="A2523" s="7">
        <v>400250</v>
      </c>
      <c r="B2523" t="str">
        <f>_xlfn.XLOOKUP(Vendas[[#This Row],[ID Vendedor]],Vendedores[ID],Vendedores[Nome])</f>
        <v>Larissa</v>
      </c>
      <c r="C2523" s="7" t="str">
        <f>_xlfn.XLOOKUP(Vendas[[#This Row],[ID Vendedor]],Vendedores[ID],Vendedores[Setor])</f>
        <v>AB</v>
      </c>
      <c r="D2523" s="7" t="s">
        <v>24</v>
      </c>
      <c r="E2523" t="str">
        <f>_xlfn.XLOOKUP(Vendas[[#This Row],[ID Item Vendido]],Agregado[ID],Agregado[Produto])</f>
        <v>Resina plástica PET purificada saco de 25kg</v>
      </c>
      <c r="F2523" s="39">
        <v>45083</v>
      </c>
      <c r="G2523" s="7">
        <v>18</v>
      </c>
      <c r="H2523" s="3">
        <f>_xlfn.XLOOKUP(Vendas[[#This Row],[ID Item Vendido]],Agregado[ID],Agregado[Revenda])</f>
        <v>119</v>
      </c>
      <c r="I2523" s="3">
        <f>Vendas[[#This Row],[Valor Unitário]]*Vendas[[#This Row],[Qnt Vendida]]</f>
        <v>2142</v>
      </c>
      <c r="J2523" s="3">
        <f>Vendas[[#This Row],[Valor da Venda]]-(_xlfn.XLOOKUP(Vendas[[#This Row],[ID Item Vendido]],Agregado[ID],Agregado[Custo])*Vendas[[#This Row],[Qnt Vendida]])</f>
        <v>612</v>
      </c>
      <c r="K2523" s="70">
        <f>Vendas[[#This Row],[Lucro da Venda]]/Vendas[[#This Row],[Valor da Venda]]</f>
        <v>0.2857142857142857</v>
      </c>
      <c r="L2523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2523"/>
    </row>
    <row r="2524" spans="1:13" x14ac:dyDescent="0.3">
      <c r="A2524" s="7">
        <v>400254</v>
      </c>
      <c r="B2524" t="str">
        <f>_xlfn.XLOOKUP(Vendas[[#This Row],[ID Vendedor]],Vendedores[ID],Vendedores[Nome])</f>
        <v>Beatriz</v>
      </c>
      <c r="C2524" s="7" t="str">
        <f>_xlfn.XLOOKUP(Vendas[[#This Row],[ID Vendedor]],Vendedores[ID],Vendedores[Setor])</f>
        <v>SC</v>
      </c>
      <c r="D2524" s="7" t="s">
        <v>42</v>
      </c>
      <c r="E2524" t="str">
        <f>_xlfn.XLOOKUP(Vendas[[#This Row],[ID Item Vendido]],Agregado[ID],Agregado[Produto])</f>
        <v>Container de ferro industrial</v>
      </c>
      <c r="F2524" s="39">
        <v>45083</v>
      </c>
      <c r="G2524" s="7">
        <v>1</v>
      </c>
      <c r="H2524" s="3">
        <f>_xlfn.XLOOKUP(Vendas[[#This Row],[ID Item Vendido]],Agregado[ID],Agregado[Revenda])</f>
        <v>830</v>
      </c>
      <c r="I2524" s="3">
        <f>Vendas[[#This Row],[Valor Unitário]]*Vendas[[#This Row],[Qnt Vendida]]</f>
        <v>830</v>
      </c>
      <c r="J2524" s="3">
        <f>Vendas[[#This Row],[Valor da Venda]]-(_xlfn.XLOOKUP(Vendas[[#This Row],[ID Item Vendido]],Agregado[ID],Agregado[Custo])*Vendas[[#This Row],[Qnt Vendida]])</f>
        <v>150</v>
      </c>
      <c r="K2524" s="70">
        <f>Vendas[[#This Row],[Lucro da Venda]]/Vendas[[#This Row],[Valor da Venda]]</f>
        <v>0.18072289156626506</v>
      </c>
      <c r="L252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524"/>
    </row>
    <row r="2525" spans="1:13" x14ac:dyDescent="0.3">
      <c r="A2525" s="7">
        <v>400254</v>
      </c>
      <c r="B2525" t="str">
        <f>_xlfn.XLOOKUP(Vendas[[#This Row],[ID Vendedor]],Vendedores[ID],Vendedores[Nome])</f>
        <v>Beatriz</v>
      </c>
      <c r="C2525" s="7" t="str">
        <f>_xlfn.XLOOKUP(Vendas[[#This Row],[ID Vendedor]],Vendedores[ID],Vendedores[Setor])</f>
        <v>SC</v>
      </c>
      <c r="D2525" s="7" t="s">
        <v>42</v>
      </c>
      <c r="E2525" t="str">
        <f>_xlfn.XLOOKUP(Vendas[[#This Row],[ID Item Vendido]],Agregado[ID],Agregado[Produto])</f>
        <v>Container de ferro industrial</v>
      </c>
      <c r="F2525" s="39">
        <v>45084</v>
      </c>
      <c r="G2525" s="7">
        <v>5</v>
      </c>
      <c r="H2525" s="3">
        <f>_xlfn.XLOOKUP(Vendas[[#This Row],[ID Item Vendido]],Agregado[ID],Agregado[Revenda])</f>
        <v>830</v>
      </c>
      <c r="I2525" s="3">
        <f>Vendas[[#This Row],[Valor Unitário]]*Vendas[[#This Row],[Qnt Vendida]]</f>
        <v>4150</v>
      </c>
      <c r="J2525" s="3">
        <f>Vendas[[#This Row],[Valor da Venda]]-(_xlfn.XLOOKUP(Vendas[[#This Row],[ID Item Vendido]],Agregado[ID],Agregado[Custo])*Vendas[[#This Row],[Qnt Vendida]])</f>
        <v>750</v>
      </c>
      <c r="K2525" s="70">
        <f>Vendas[[#This Row],[Lucro da Venda]]/Vendas[[#This Row],[Valor da Venda]]</f>
        <v>0.18072289156626506</v>
      </c>
      <c r="L252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525"/>
    </row>
    <row r="2526" spans="1:13" x14ac:dyDescent="0.3">
      <c r="A2526" s="7">
        <v>400246</v>
      </c>
      <c r="B2526" t="str">
        <f>_xlfn.XLOOKUP(Vendas[[#This Row],[ID Vendedor]],Vendedores[ID],Vendedores[Nome])</f>
        <v>Juliana</v>
      </c>
      <c r="C2526" s="7" t="str">
        <f>_xlfn.XLOOKUP(Vendas[[#This Row],[ID Vendedor]],Vendedores[ID],Vendedores[Setor])</f>
        <v>AHD</v>
      </c>
      <c r="D2526" s="7" t="s">
        <v>28</v>
      </c>
      <c r="E2526" t="str">
        <f>_xlfn.XLOOKUP(Vendas[[#This Row],[ID Item Vendido]],Agregado[ID],Agregado[Produto])</f>
        <v>Peça usinada CNC</v>
      </c>
      <c r="F2526" s="39">
        <v>45085</v>
      </c>
      <c r="G2526" s="7">
        <v>13</v>
      </c>
      <c r="H2526" s="3">
        <f>_xlfn.XLOOKUP(Vendas[[#This Row],[ID Item Vendido]],Agregado[ID],Agregado[Revenda])</f>
        <v>192</v>
      </c>
      <c r="I2526" s="3">
        <f>Vendas[[#This Row],[Valor Unitário]]*Vendas[[#This Row],[Qnt Vendida]]</f>
        <v>2496</v>
      </c>
      <c r="J2526" s="3">
        <f>Vendas[[#This Row],[Valor da Venda]]-(_xlfn.XLOOKUP(Vendas[[#This Row],[ID Item Vendido]],Agregado[ID],Agregado[Custo])*Vendas[[#This Row],[Qnt Vendida]])</f>
        <v>546</v>
      </c>
      <c r="K2526" s="70">
        <f>Vendas[[#This Row],[Lucro da Venda]]/Vendas[[#This Row],[Valor da Venda]]</f>
        <v>0.21875</v>
      </c>
      <c r="L2526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2526"/>
    </row>
    <row r="2527" spans="1:13" x14ac:dyDescent="0.3">
      <c r="A2527" s="7">
        <v>400242</v>
      </c>
      <c r="B2527" t="str">
        <f>_xlfn.XLOOKUP(Vendas[[#This Row],[ID Vendedor]],Vendedores[ID],Vendedores[Nome])</f>
        <v>Fernanda</v>
      </c>
      <c r="C2527" s="7" t="str">
        <f>_xlfn.XLOOKUP(Vendas[[#This Row],[ID Vendedor]],Vendedores[ID],Vendedores[Setor])</f>
        <v>FM</v>
      </c>
      <c r="D2527" s="7" t="s">
        <v>20</v>
      </c>
      <c r="E2527" t="str">
        <f>_xlfn.XLOOKUP(Vendas[[#This Row],[ID Item Vendido]],Agregado[ID],Agregado[Produto])</f>
        <v>Barra de aço simples</v>
      </c>
      <c r="F2527" s="39">
        <v>45085</v>
      </c>
      <c r="G2527" s="7">
        <v>188</v>
      </c>
      <c r="H2527" s="3">
        <f>_xlfn.XLOOKUP(Vendas[[#This Row],[ID Item Vendido]],Agregado[ID],Agregado[Revenda])</f>
        <v>4.8</v>
      </c>
      <c r="I2527" s="3">
        <f>Vendas[[#This Row],[Valor Unitário]]*Vendas[[#This Row],[Qnt Vendida]]</f>
        <v>902.4</v>
      </c>
      <c r="J2527" s="3">
        <f>Vendas[[#This Row],[Valor da Venda]]-(_xlfn.XLOOKUP(Vendas[[#This Row],[ID Item Vendido]],Agregado[ID],Agregado[Custo])*Vendas[[#This Row],[Qnt Vendida]])</f>
        <v>112.79999999999995</v>
      </c>
      <c r="K2527" s="70">
        <f>Vendas[[#This Row],[Lucro da Venda]]/Vendas[[#This Row],[Valor da Venda]]</f>
        <v>0.12499999999999996</v>
      </c>
      <c r="L2527" s="3">
        <f>_xlfn.IFS(Vendas[[#This Row],[Margem de Lucro (%)]]&lt;15%,Vendas[[#This Row],[Valor da Venda]]*3%,Vendas[[#This Row],[Margem de Lucro (%)]]&lt;=20%,Vendas[[#This Row],[Valor da Venda]]*4.5%,TRUE,Vendas[[#This Row],[Valor da Venda]]*6%)</f>
        <v>27.071999999999999</v>
      </c>
      <c r="M2527"/>
    </row>
    <row r="2528" spans="1:13" x14ac:dyDescent="0.3">
      <c r="A2528" s="7">
        <v>400246</v>
      </c>
      <c r="B2528" t="str">
        <f>_xlfn.XLOOKUP(Vendas[[#This Row],[ID Vendedor]],Vendedores[ID],Vendedores[Nome])</f>
        <v>Juliana</v>
      </c>
      <c r="C2528" s="7" t="str">
        <f>_xlfn.XLOOKUP(Vendas[[#This Row],[ID Vendedor]],Vendedores[ID],Vendedores[Setor])</f>
        <v>AHD</v>
      </c>
      <c r="D2528" s="7" t="s">
        <v>18</v>
      </c>
      <c r="E2528" t="str">
        <f>_xlfn.XLOOKUP(Vendas[[#This Row],[ID Item Vendido]],Agregado[ID],Agregado[Produto])</f>
        <v>Peça forjada sob encomenda</v>
      </c>
      <c r="F2528" s="39">
        <v>45086</v>
      </c>
      <c r="G2528" s="7">
        <v>5</v>
      </c>
      <c r="H2528" s="3">
        <f>_xlfn.XLOOKUP(Vendas[[#This Row],[ID Item Vendido]],Agregado[ID],Agregado[Revenda])</f>
        <v>264.60000000000002</v>
      </c>
      <c r="I2528" s="3">
        <f>Vendas[[#This Row],[Valor Unitário]]*Vendas[[#This Row],[Qnt Vendida]]</f>
        <v>1323</v>
      </c>
      <c r="J2528" s="3">
        <f>Vendas[[#This Row],[Valor da Venda]]-(_xlfn.XLOOKUP(Vendas[[#This Row],[ID Item Vendido]],Agregado[ID],Agregado[Custo])*Vendas[[#This Row],[Qnt Vendida]])</f>
        <v>73</v>
      </c>
      <c r="K2528" s="70">
        <f>Vendas[[#This Row],[Lucro da Venda]]/Vendas[[#This Row],[Valor da Venda]]</f>
        <v>5.5177626606198037E-2</v>
      </c>
      <c r="L252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528"/>
    </row>
    <row r="2529" spans="1:13" x14ac:dyDescent="0.3">
      <c r="A2529" s="7">
        <v>400241</v>
      </c>
      <c r="B2529" t="str">
        <f>_xlfn.XLOOKUP(Vendas[[#This Row],[ID Vendedor]],Vendedores[ID],Vendedores[Nome])</f>
        <v>Rodrigo</v>
      </c>
      <c r="C2529" s="7" t="str">
        <f>_xlfn.XLOOKUP(Vendas[[#This Row],[ID Vendedor]],Vendedores[ID],Vendedores[Setor])</f>
        <v>FM</v>
      </c>
      <c r="D2529" s="7" t="s">
        <v>6</v>
      </c>
      <c r="E2529" t="str">
        <f>_xlfn.XLOOKUP(Vendas[[#This Row],[ID Item Vendido]],Agregado[ID],Agregado[Produto])</f>
        <v>Parafuso comum 500un</v>
      </c>
      <c r="F2529" s="39">
        <v>45086</v>
      </c>
      <c r="G2529" s="7">
        <v>10</v>
      </c>
      <c r="H2529" s="3">
        <f>_xlfn.XLOOKUP(Vendas[[#This Row],[ID Item Vendido]],Agregado[ID],Agregado[Revenda])</f>
        <v>24.6</v>
      </c>
      <c r="I2529" s="3">
        <f>Vendas[[#This Row],[Valor Unitário]]*Vendas[[#This Row],[Qnt Vendida]]</f>
        <v>246</v>
      </c>
      <c r="J2529" s="3">
        <f>Vendas[[#This Row],[Valor da Venda]]-(_xlfn.XLOOKUP(Vendas[[#This Row],[ID Item Vendido]],Agregado[ID],Agregado[Custo])*Vendas[[#This Row],[Qnt Vendida]])</f>
        <v>26</v>
      </c>
      <c r="K2529" s="70">
        <f>Vendas[[#This Row],[Lucro da Venda]]/Vendas[[#This Row],[Valor da Venda]]</f>
        <v>0.10569105691056911</v>
      </c>
      <c r="L2529" s="3">
        <f>_xlfn.IFS(Vendas[[#This Row],[Margem de Lucro (%)]]&lt;15%,Vendas[[#This Row],[Valor da Venda]]*3%,Vendas[[#This Row],[Margem de Lucro (%)]]&lt;=20%,Vendas[[#This Row],[Valor da Venda]]*4.5%,TRUE,Vendas[[#This Row],[Valor da Venda]]*6%)</f>
        <v>7.38</v>
      </c>
      <c r="M2529"/>
    </row>
    <row r="2530" spans="1:13" x14ac:dyDescent="0.3">
      <c r="A2530" s="7">
        <v>400253</v>
      </c>
      <c r="B2530" t="str">
        <f>_xlfn.XLOOKUP(Vendas[[#This Row],[ID Vendedor]],Vendedores[ID],Vendedores[Nome])</f>
        <v>Gustavo</v>
      </c>
      <c r="C2530" s="7" t="str">
        <f>_xlfn.XLOOKUP(Vendas[[#This Row],[ID Vendedor]],Vendedores[ID],Vendedores[Setor])</f>
        <v>SC</v>
      </c>
      <c r="D2530" s="7" t="s">
        <v>14</v>
      </c>
      <c r="E2530" t="str">
        <f>_xlfn.XLOOKUP(Vendas[[#This Row],[ID Item Vendido]],Agregado[ID],Agregado[Produto])</f>
        <v>Barril de plástico 200L</v>
      </c>
      <c r="F2530" s="39">
        <v>45086</v>
      </c>
      <c r="G2530" s="7">
        <v>2</v>
      </c>
      <c r="H2530" s="3">
        <f>_xlfn.XLOOKUP(Vendas[[#This Row],[ID Item Vendido]],Agregado[ID],Agregado[Revenda])</f>
        <v>114</v>
      </c>
      <c r="I2530" s="3">
        <f>Vendas[[#This Row],[Valor Unitário]]*Vendas[[#This Row],[Qnt Vendida]]</f>
        <v>228</v>
      </c>
      <c r="J2530" s="3">
        <f>Vendas[[#This Row],[Valor da Venda]]-(_xlfn.XLOOKUP(Vendas[[#This Row],[ID Item Vendido]],Agregado[ID],Agregado[Custo])*Vendas[[#This Row],[Qnt Vendida]])</f>
        <v>38</v>
      </c>
      <c r="K2530" s="70">
        <f>Vendas[[#This Row],[Lucro da Venda]]/Vendas[[#This Row],[Valor da Venda]]</f>
        <v>0.16666666666666666</v>
      </c>
      <c r="L2530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2530"/>
    </row>
    <row r="2531" spans="1:13" x14ac:dyDescent="0.3">
      <c r="A2531" s="7">
        <v>400247</v>
      </c>
      <c r="B2531" t="str">
        <f>_xlfn.XLOOKUP(Vendas[[#This Row],[ID Vendedor]],Vendedores[ID],Vendedores[Nome])</f>
        <v>André</v>
      </c>
      <c r="C2531" s="7" t="str">
        <f>_xlfn.XLOOKUP(Vendas[[#This Row],[ID Vendedor]],Vendedores[ID],Vendedores[Setor])</f>
        <v>CM</v>
      </c>
      <c r="D2531" s="7" t="s">
        <v>22</v>
      </c>
      <c r="E2531" t="str">
        <f>_xlfn.XLOOKUP(Vendas[[#This Row],[ID Item Vendido]],Agregado[ID],Agregado[Produto])</f>
        <v>Painel MDP 2,75x1,83m</v>
      </c>
      <c r="F2531" s="39">
        <v>45087</v>
      </c>
      <c r="G2531" s="7">
        <v>11</v>
      </c>
      <c r="H2531" s="3">
        <f>_xlfn.XLOOKUP(Vendas[[#This Row],[ID Item Vendido]],Agregado[ID],Agregado[Revenda])</f>
        <v>119</v>
      </c>
      <c r="I2531" s="3">
        <f>Vendas[[#This Row],[Valor Unitário]]*Vendas[[#This Row],[Qnt Vendida]]</f>
        <v>1309</v>
      </c>
      <c r="J2531" s="3">
        <f>Vendas[[#This Row],[Valor da Venda]]-(_xlfn.XLOOKUP(Vendas[[#This Row],[ID Item Vendido]],Agregado[ID],Agregado[Custo])*Vendas[[#This Row],[Qnt Vendida]])</f>
        <v>264</v>
      </c>
      <c r="K2531" s="70">
        <f>Vendas[[#This Row],[Lucro da Venda]]/Vendas[[#This Row],[Valor da Venda]]</f>
        <v>0.20168067226890757</v>
      </c>
      <c r="L2531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2531"/>
    </row>
    <row r="2532" spans="1:13" x14ac:dyDescent="0.3">
      <c r="A2532" s="7">
        <v>400241</v>
      </c>
      <c r="B2532" t="str">
        <f>_xlfn.XLOOKUP(Vendas[[#This Row],[ID Vendedor]],Vendedores[ID],Vendedores[Nome])</f>
        <v>Rodrigo</v>
      </c>
      <c r="C2532" s="7" t="str">
        <f>_xlfn.XLOOKUP(Vendas[[#This Row],[ID Vendedor]],Vendedores[ID],Vendedores[Setor])</f>
        <v>FM</v>
      </c>
      <c r="D2532" s="7" t="s">
        <v>31</v>
      </c>
      <c r="E2532" t="str">
        <f>_xlfn.XLOOKUP(Vendas[[#This Row],[ID Item Vendido]],Agregado[ID],Agregado[Produto])</f>
        <v>Tela de metal soldada rolo 2x25m</v>
      </c>
      <c r="F2532" s="39">
        <v>45087</v>
      </c>
      <c r="G2532" s="7">
        <v>20</v>
      </c>
      <c r="H2532" s="3">
        <f>_xlfn.XLOOKUP(Vendas[[#This Row],[ID Item Vendido]],Agregado[ID],Agregado[Revenda])</f>
        <v>43.7</v>
      </c>
      <c r="I2532" s="3">
        <f>Vendas[[#This Row],[Valor Unitário]]*Vendas[[#This Row],[Qnt Vendida]]</f>
        <v>874</v>
      </c>
      <c r="J2532" s="3">
        <f>Vendas[[#This Row],[Valor da Venda]]-(_xlfn.XLOOKUP(Vendas[[#This Row],[ID Item Vendido]],Agregado[ID],Agregado[Custo])*Vendas[[#This Row],[Qnt Vendida]])</f>
        <v>114</v>
      </c>
      <c r="K2532" s="70">
        <f>Vendas[[#This Row],[Lucro da Venda]]/Vendas[[#This Row],[Valor da Venda]]</f>
        <v>0.13043478260869565</v>
      </c>
      <c r="L2532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2532"/>
    </row>
    <row r="2533" spans="1:13" x14ac:dyDescent="0.3">
      <c r="A2533" s="7">
        <v>400250</v>
      </c>
      <c r="B2533" t="str">
        <f>_xlfn.XLOOKUP(Vendas[[#This Row],[ID Vendedor]],Vendedores[ID],Vendedores[Nome])</f>
        <v>Larissa</v>
      </c>
      <c r="C2533" s="7" t="str">
        <f>_xlfn.XLOOKUP(Vendas[[#This Row],[ID Vendedor]],Vendedores[ID],Vendedores[Setor])</f>
        <v>AB</v>
      </c>
      <c r="D2533" s="7" t="s">
        <v>12</v>
      </c>
      <c r="E2533" t="str">
        <f>_xlfn.XLOOKUP(Vendas[[#This Row],[ID Item Vendido]],Agregado[ID],Agregado[Produto])</f>
        <v>Grânulo de plástico reciclado refinado</v>
      </c>
      <c r="F2533" s="39">
        <v>45087</v>
      </c>
      <c r="G2533" s="7">
        <v>52</v>
      </c>
      <c r="H2533" s="3">
        <f>_xlfn.XLOOKUP(Vendas[[#This Row],[ID Item Vendido]],Agregado[ID],Agregado[Revenda])</f>
        <v>4.7</v>
      </c>
      <c r="I2533" s="3">
        <f>Vendas[[#This Row],[Valor Unitário]]*Vendas[[#This Row],[Qnt Vendida]]</f>
        <v>244.4</v>
      </c>
      <c r="J2533" s="3">
        <f>Vendas[[#This Row],[Valor da Venda]]-(_xlfn.XLOOKUP(Vendas[[#This Row],[ID Item Vendido]],Agregado[ID],Agregado[Custo])*Vendas[[#This Row],[Qnt Vendida]])</f>
        <v>62.400000000000006</v>
      </c>
      <c r="K2533" s="70">
        <f>Vendas[[#This Row],[Lucro da Venda]]/Vendas[[#This Row],[Valor da Venda]]</f>
        <v>0.25531914893617025</v>
      </c>
      <c r="L2533" s="3">
        <f>_xlfn.IFS(Vendas[[#This Row],[Margem de Lucro (%)]]&lt;15%,Vendas[[#This Row],[Valor da Venda]]*3%,Vendas[[#This Row],[Margem de Lucro (%)]]&lt;=20%,Vendas[[#This Row],[Valor da Venda]]*4.5%,TRUE,Vendas[[#This Row],[Valor da Venda]]*6%)</f>
        <v>14.664</v>
      </c>
      <c r="M2533"/>
    </row>
    <row r="2534" spans="1:13" x14ac:dyDescent="0.3">
      <c r="A2534" s="7">
        <v>400250</v>
      </c>
      <c r="B2534" t="str">
        <f>_xlfn.XLOOKUP(Vendas[[#This Row],[ID Vendedor]],Vendedores[ID],Vendedores[Nome])</f>
        <v>Larissa</v>
      </c>
      <c r="C2534" s="7" t="str">
        <f>_xlfn.XLOOKUP(Vendas[[#This Row],[ID Vendedor]],Vendedores[ID],Vendedores[Setor])</f>
        <v>AB</v>
      </c>
      <c r="D2534" s="7" t="s">
        <v>37</v>
      </c>
      <c r="E2534" t="str">
        <f>_xlfn.XLOOKUP(Vendas[[#This Row],[ID Item Vendido]],Agregado[ID],Agregado[Produto])</f>
        <v>Composto de borracha para vedação rolo 10m</v>
      </c>
      <c r="F2534" s="39">
        <v>45088</v>
      </c>
      <c r="G2534" s="7">
        <v>19</v>
      </c>
      <c r="H2534" s="3">
        <f>_xlfn.XLOOKUP(Vendas[[#This Row],[ID Item Vendido]],Agregado[ID],Agregado[Revenda])</f>
        <v>51.2</v>
      </c>
      <c r="I2534" s="3">
        <f>Vendas[[#This Row],[Valor Unitário]]*Vendas[[#This Row],[Qnt Vendida]]</f>
        <v>972.80000000000007</v>
      </c>
      <c r="J2534" s="3">
        <f>Vendas[[#This Row],[Valor da Venda]]-(_xlfn.XLOOKUP(Vendas[[#This Row],[ID Item Vendido]],Agregado[ID],Agregado[Custo])*Vendas[[#This Row],[Qnt Vendida]])</f>
        <v>212.80000000000007</v>
      </c>
      <c r="K2534" s="70">
        <f>Vendas[[#This Row],[Lucro da Venda]]/Vendas[[#This Row],[Valor da Venda]]</f>
        <v>0.21875000000000006</v>
      </c>
      <c r="L2534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2534"/>
    </row>
    <row r="2535" spans="1:13" x14ac:dyDescent="0.3">
      <c r="A2535" s="7">
        <v>400251</v>
      </c>
      <c r="B2535" t="str">
        <f>_xlfn.XLOOKUP(Vendas[[#This Row],[ID Vendedor]],Vendedores[ID],Vendedores[Nome])</f>
        <v>Diego</v>
      </c>
      <c r="C2535" s="7" t="str">
        <f>_xlfn.XLOOKUP(Vendas[[#This Row],[ID Vendedor]],Vendedores[ID],Vendedores[Setor])</f>
        <v>AB</v>
      </c>
      <c r="D2535" s="7" t="s">
        <v>37</v>
      </c>
      <c r="E2535" t="str">
        <f>_xlfn.XLOOKUP(Vendas[[#This Row],[ID Item Vendido]],Agregado[ID],Agregado[Produto])</f>
        <v>Composto de borracha para vedação rolo 10m</v>
      </c>
      <c r="F2535" s="39">
        <v>45088</v>
      </c>
      <c r="G2535" s="7">
        <v>18</v>
      </c>
      <c r="H2535" s="3">
        <f>_xlfn.XLOOKUP(Vendas[[#This Row],[ID Item Vendido]],Agregado[ID],Agregado[Revenda])</f>
        <v>51.2</v>
      </c>
      <c r="I2535" s="3">
        <f>Vendas[[#This Row],[Valor Unitário]]*Vendas[[#This Row],[Qnt Vendida]]</f>
        <v>921.6</v>
      </c>
      <c r="J2535" s="3">
        <f>Vendas[[#This Row],[Valor da Venda]]-(_xlfn.XLOOKUP(Vendas[[#This Row],[ID Item Vendido]],Agregado[ID],Agregado[Custo])*Vendas[[#This Row],[Qnt Vendida]])</f>
        <v>201.60000000000002</v>
      </c>
      <c r="K2535" s="70">
        <f>Vendas[[#This Row],[Lucro da Venda]]/Vendas[[#This Row],[Valor da Venda]]</f>
        <v>0.21875000000000003</v>
      </c>
      <c r="L2535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2535"/>
    </row>
    <row r="2536" spans="1:13" x14ac:dyDescent="0.3">
      <c r="A2536" s="7">
        <v>400242</v>
      </c>
      <c r="B2536" t="str">
        <f>_xlfn.XLOOKUP(Vendas[[#This Row],[ID Vendedor]],Vendedores[ID],Vendedores[Nome])</f>
        <v>Fernanda</v>
      </c>
      <c r="C2536" s="7" t="str">
        <f>_xlfn.XLOOKUP(Vendas[[#This Row],[ID Vendedor]],Vendedores[ID],Vendedores[Setor])</f>
        <v>FM</v>
      </c>
      <c r="D2536" s="7" t="s">
        <v>31</v>
      </c>
      <c r="E2536" t="str">
        <f>_xlfn.XLOOKUP(Vendas[[#This Row],[ID Item Vendido]],Agregado[ID],Agregado[Produto])</f>
        <v>Tela de metal soldada rolo 2x25m</v>
      </c>
      <c r="F2536" s="39">
        <v>45088</v>
      </c>
      <c r="G2536" s="7">
        <v>10</v>
      </c>
      <c r="H2536" s="3">
        <f>_xlfn.XLOOKUP(Vendas[[#This Row],[ID Item Vendido]],Agregado[ID],Agregado[Revenda])</f>
        <v>43.7</v>
      </c>
      <c r="I2536" s="3">
        <f>Vendas[[#This Row],[Valor Unitário]]*Vendas[[#This Row],[Qnt Vendida]]</f>
        <v>437</v>
      </c>
      <c r="J2536" s="3">
        <f>Vendas[[#This Row],[Valor da Venda]]-(_xlfn.XLOOKUP(Vendas[[#This Row],[ID Item Vendido]],Agregado[ID],Agregado[Custo])*Vendas[[#This Row],[Qnt Vendida]])</f>
        <v>57</v>
      </c>
      <c r="K2536" s="70">
        <f>Vendas[[#This Row],[Lucro da Venda]]/Vendas[[#This Row],[Valor da Venda]]</f>
        <v>0.13043478260869565</v>
      </c>
      <c r="L2536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2536"/>
    </row>
    <row r="2537" spans="1:13" x14ac:dyDescent="0.3">
      <c r="A2537" s="7">
        <v>400254</v>
      </c>
      <c r="B2537" t="str">
        <f>_xlfn.XLOOKUP(Vendas[[#This Row],[ID Vendedor]],Vendedores[ID],Vendedores[Nome])</f>
        <v>Beatriz</v>
      </c>
      <c r="C2537" s="7" t="str">
        <f>_xlfn.XLOOKUP(Vendas[[#This Row],[ID Vendedor]],Vendedores[ID],Vendedores[Setor])</f>
        <v>SC</v>
      </c>
      <c r="D2537" s="7" t="s">
        <v>48</v>
      </c>
      <c r="E2537" t="str">
        <f>_xlfn.XLOOKUP(Vendas[[#This Row],[ID Item Vendido]],Agregado[ID],Agregado[Produto])</f>
        <v>Tambor metálico 200L</v>
      </c>
      <c r="F2537" s="39">
        <v>45089</v>
      </c>
      <c r="G2537" s="7">
        <v>14</v>
      </c>
      <c r="H2537" s="3">
        <f>_xlfn.XLOOKUP(Vendas[[#This Row],[ID Item Vendido]],Agregado[ID],Agregado[Revenda])</f>
        <v>144</v>
      </c>
      <c r="I2537" s="3">
        <f>Vendas[[#This Row],[Valor Unitário]]*Vendas[[#This Row],[Qnt Vendida]]</f>
        <v>2016</v>
      </c>
      <c r="J2537" s="3">
        <f>Vendas[[#This Row],[Valor da Venda]]-(_xlfn.XLOOKUP(Vendas[[#This Row],[ID Item Vendido]],Agregado[ID],Agregado[Custo])*Vendas[[#This Row],[Qnt Vendida]])</f>
        <v>336</v>
      </c>
      <c r="K2537" s="70">
        <f>Vendas[[#This Row],[Lucro da Venda]]/Vendas[[#This Row],[Valor da Venda]]</f>
        <v>0.16666666666666666</v>
      </c>
      <c r="L2537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2537"/>
    </row>
    <row r="2538" spans="1:13" x14ac:dyDescent="0.3">
      <c r="A2538" s="7">
        <v>400241</v>
      </c>
      <c r="B2538" t="str">
        <f>_xlfn.XLOOKUP(Vendas[[#This Row],[ID Vendedor]],Vendedores[ID],Vendedores[Nome])</f>
        <v>Rodrigo</v>
      </c>
      <c r="C2538" s="7" t="str">
        <f>_xlfn.XLOOKUP(Vendas[[#This Row],[ID Vendedor]],Vendedores[ID],Vendedores[Setor])</f>
        <v>FM</v>
      </c>
      <c r="D2538" s="7" t="s">
        <v>20</v>
      </c>
      <c r="E2538" t="str">
        <f>_xlfn.XLOOKUP(Vendas[[#This Row],[ID Item Vendido]],Agregado[ID],Agregado[Produto])</f>
        <v>Barra de aço simples</v>
      </c>
      <c r="F2538" s="39">
        <v>45089</v>
      </c>
      <c r="G2538" s="7">
        <v>199</v>
      </c>
      <c r="H2538" s="3">
        <f>_xlfn.XLOOKUP(Vendas[[#This Row],[ID Item Vendido]],Agregado[ID],Agregado[Revenda])</f>
        <v>4.8</v>
      </c>
      <c r="I2538" s="3">
        <f>Vendas[[#This Row],[Valor Unitário]]*Vendas[[#This Row],[Qnt Vendida]]</f>
        <v>955.19999999999993</v>
      </c>
      <c r="J2538" s="3">
        <f>Vendas[[#This Row],[Valor da Venda]]-(_xlfn.XLOOKUP(Vendas[[#This Row],[ID Item Vendido]],Agregado[ID],Agregado[Custo])*Vendas[[#This Row],[Qnt Vendida]])</f>
        <v>119.39999999999986</v>
      </c>
      <c r="K2538" s="70">
        <f>Vendas[[#This Row],[Lucro da Venda]]/Vendas[[#This Row],[Valor da Venda]]</f>
        <v>0.12499999999999986</v>
      </c>
      <c r="L2538" s="3">
        <f>_xlfn.IFS(Vendas[[#This Row],[Margem de Lucro (%)]]&lt;15%,Vendas[[#This Row],[Valor da Venda]]*3%,Vendas[[#This Row],[Margem de Lucro (%)]]&lt;=20%,Vendas[[#This Row],[Valor da Venda]]*4.5%,TRUE,Vendas[[#This Row],[Valor da Venda]]*6%)</f>
        <v>28.655999999999995</v>
      </c>
      <c r="M2538"/>
    </row>
    <row r="2539" spans="1:13" x14ac:dyDescent="0.3">
      <c r="A2539" s="7">
        <v>400253</v>
      </c>
      <c r="B2539" t="str">
        <f>_xlfn.XLOOKUP(Vendas[[#This Row],[ID Vendedor]],Vendedores[ID],Vendedores[Nome])</f>
        <v>Gustavo</v>
      </c>
      <c r="C2539" s="7" t="str">
        <f>_xlfn.XLOOKUP(Vendas[[#This Row],[ID Vendedor]],Vendedores[ID],Vendedores[Setor])</f>
        <v>SC</v>
      </c>
      <c r="D2539" s="7" t="s">
        <v>25</v>
      </c>
      <c r="E2539" t="str">
        <f>_xlfn.XLOOKUP(Vendas[[#This Row],[ID Item Vendido]],Agregado[ID],Agregado[Produto])</f>
        <v>Palete de plástico</v>
      </c>
      <c r="F2539" s="39">
        <v>45089</v>
      </c>
      <c r="G2539" s="7">
        <v>8</v>
      </c>
      <c r="H2539" s="3">
        <f>_xlfn.XLOOKUP(Vendas[[#This Row],[ID Item Vendido]],Agregado[ID],Agregado[Revenda])</f>
        <v>70.8</v>
      </c>
      <c r="I2539" s="3">
        <f>Vendas[[#This Row],[Valor Unitário]]*Vendas[[#This Row],[Qnt Vendida]]</f>
        <v>566.4</v>
      </c>
      <c r="J2539" s="3">
        <f>Vendas[[#This Row],[Valor da Venda]]-(_xlfn.XLOOKUP(Vendas[[#This Row],[ID Item Vendido]],Agregado[ID],Agregado[Custo])*Vendas[[#This Row],[Qnt Vendida]])</f>
        <v>86.399999999999977</v>
      </c>
      <c r="K2539" s="70">
        <f>Vendas[[#This Row],[Lucro da Venda]]/Vendas[[#This Row],[Valor da Venda]]</f>
        <v>0.15254237288135589</v>
      </c>
      <c r="L2539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2539"/>
    </row>
    <row r="2540" spans="1:13" x14ac:dyDescent="0.3">
      <c r="A2540" s="7">
        <v>400254</v>
      </c>
      <c r="B2540" t="str">
        <f>_xlfn.XLOOKUP(Vendas[[#This Row],[ID Vendedor]],Vendedores[ID],Vendedores[Nome])</f>
        <v>Beatriz</v>
      </c>
      <c r="C2540" s="7" t="str">
        <f>_xlfn.XLOOKUP(Vendas[[#This Row],[ID Vendedor]],Vendedores[ID],Vendedores[Setor])</f>
        <v>SC</v>
      </c>
      <c r="D2540" s="7" t="s">
        <v>48</v>
      </c>
      <c r="E2540" t="str">
        <f>_xlfn.XLOOKUP(Vendas[[#This Row],[ID Item Vendido]],Agregado[ID],Agregado[Produto])</f>
        <v>Tambor metálico 200L</v>
      </c>
      <c r="F2540" s="39">
        <v>45089</v>
      </c>
      <c r="G2540" s="7">
        <v>2</v>
      </c>
      <c r="H2540" s="3">
        <f>_xlfn.XLOOKUP(Vendas[[#This Row],[ID Item Vendido]],Agregado[ID],Agregado[Revenda])</f>
        <v>144</v>
      </c>
      <c r="I2540" s="3">
        <f>Vendas[[#This Row],[Valor Unitário]]*Vendas[[#This Row],[Qnt Vendida]]</f>
        <v>288</v>
      </c>
      <c r="J2540" s="3">
        <f>Vendas[[#This Row],[Valor da Venda]]-(_xlfn.XLOOKUP(Vendas[[#This Row],[ID Item Vendido]],Agregado[ID],Agregado[Custo])*Vendas[[#This Row],[Qnt Vendida]])</f>
        <v>48</v>
      </c>
      <c r="K2540" s="70">
        <f>Vendas[[#This Row],[Lucro da Venda]]/Vendas[[#This Row],[Valor da Venda]]</f>
        <v>0.16666666666666666</v>
      </c>
      <c r="L2540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2540"/>
    </row>
    <row r="2541" spans="1:13" x14ac:dyDescent="0.3">
      <c r="A2541" s="7">
        <v>400254</v>
      </c>
      <c r="B2541" t="str">
        <f>_xlfn.XLOOKUP(Vendas[[#This Row],[ID Vendedor]],Vendedores[ID],Vendedores[Nome])</f>
        <v>Beatriz</v>
      </c>
      <c r="C2541" s="7" t="str">
        <f>_xlfn.XLOOKUP(Vendas[[#This Row],[ID Vendedor]],Vendedores[ID],Vendedores[Setor])</f>
        <v>SC</v>
      </c>
      <c r="D2541" s="7" t="s">
        <v>48</v>
      </c>
      <c r="E2541" t="str">
        <f>_xlfn.XLOOKUP(Vendas[[#This Row],[ID Item Vendido]],Agregado[ID],Agregado[Produto])</f>
        <v>Tambor metálico 200L</v>
      </c>
      <c r="F2541" s="39">
        <v>45090</v>
      </c>
      <c r="G2541" s="7">
        <v>9</v>
      </c>
      <c r="H2541" s="3">
        <f>_xlfn.XLOOKUP(Vendas[[#This Row],[ID Item Vendido]],Agregado[ID],Agregado[Revenda])</f>
        <v>144</v>
      </c>
      <c r="I2541" s="3">
        <f>Vendas[[#This Row],[Valor Unitário]]*Vendas[[#This Row],[Qnt Vendida]]</f>
        <v>1296</v>
      </c>
      <c r="J2541" s="3">
        <f>Vendas[[#This Row],[Valor da Venda]]-(_xlfn.XLOOKUP(Vendas[[#This Row],[ID Item Vendido]],Agregado[ID],Agregado[Custo])*Vendas[[#This Row],[Qnt Vendida]])</f>
        <v>216</v>
      </c>
      <c r="K2541" s="70">
        <f>Vendas[[#This Row],[Lucro da Venda]]/Vendas[[#This Row],[Valor da Venda]]</f>
        <v>0.16666666666666666</v>
      </c>
      <c r="L2541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2541"/>
    </row>
    <row r="2542" spans="1:13" x14ac:dyDescent="0.3">
      <c r="A2542" s="7">
        <v>400253</v>
      </c>
      <c r="B2542" t="str">
        <f>_xlfn.XLOOKUP(Vendas[[#This Row],[ID Vendedor]],Vendedores[ID],Vendedores[Nome])</f>
        <v>Gustavo</v>
      </c>
      <c r="C2542" s="7" t="str">
        <f>_xlfn.XLOOKUP(Vendas[[#This Row],[ID Vendedor]],Vendedores[ID],Vendedores[Setor])</f>
        <v>SC</v>
      </c>
      <c r="D2542" s="7" t="s">
        <v>48</v>
      </c>
      <c r="E2542" t="str">
        <f>_xlfn.XLOOKUP(Vendas[[#This Row],[ID Item Vendido]],Agregado[ID],Agregado[Produto])</f>
        <v>Tambor metálico 200L</v>
      </c>
      <c r="F2542" s="39">
        <v>45091</v>
      </c>
      <c r="G2542" s="7">
        <v>20</v>
      </c>
      <c r="H2542" s="3">
        <f>_xlfn.XLOOKUP(Vendas[[#This Row],[ID Item Vendido]],Agregado[ID],Agregado[Revenda])</f>
        <v>144</v>
      </c>
      <c r="I2542" s="3">
        <f>Vendas[[#This Row],[Valor Unitário]]*Vendas[[#This Row],[Qnt Vendida]]</f>
        <v>2880</v>
      </c>
      <c r="J2542" s="3">
        <f>Vendas[[#This Row],[Valor da Venda]]-(_xlfn.XLOOKUP(Vendas[[#This Row],[ID Item Vendido]],Agregado[ID],Agregado[Custo])*Vendas[[#This Row],[Qnt Vendida]])</f>
        <v>480</v>
      </c>
      <c r="K2542" s="70">
        <f>Vendas[[#This Row],[Lucro da Venda]]/Vendas[[#This Row],[Valor da Venda]]</f>
        <v>0.16666666666666666</v>
      </c>
      <c r="L2542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2542"/>
    </row>
    <row r="2543" spans="1:13" x14ac:dyDescent="0.3">
      <c r="A2543" s="7">
        <v>400241</v>
      </c>
      <c r="B2543" t="str">
        <f>_xlfn.XLOOKUP(Vendas[[#This Row],[ID Vendedor]],Vendedores[ID],Vendedores[Nome])</f>
        <v>Rodrigo</v>
      </c>
      <c r="C2543" s="7" t="str">
        <f>_xlfn.XLOOKUP(Vendas[[#This Row],[ID Vendedor]],Vendedores[ID],Vendedores[Setor])</f>
        <v>FM</v>
      </c>
      <c r="D2543" s="7" t="s">
        <v>27</v>
      </c>
      <c r="E2543" t="str">
        <f>_xlfn.XLOOKUP(Vendas[[#This Row],[ID Item Vendido]],Agregado[ID],Agregado[Produto])</f>
        <v>Chapa de metal lisa 1x2m</v>
      </c>
      <c r="F2543" s="39">
        <v>45091</v>
      </c>
      <c r="G2543" s="7">
        <v>15</v>
      </c>
      <c r="H2543" s="3">
        <f>_xlfn.XLOOKUP(Vendas[[#This Row],[ID Item Vendido]],Agregado[ID],Agregado[Revenda])</f>
        <v>52</v>
      </c>
      <c r="I2543" s="3">
        <f>Vendas[[#This Row],[Valor Unitário]]*Vendas[[#This Row],[Qnt Vendida]]</f>
        <v>780</v>
      </c>
      <c r="J2543" s="3">
        <f>Vendas[[#This Row],[Valor da Venda]]-(_xlfn.XLOOKUP(Vendas[[#This Row],[ID Item Vendido]],Agregado[ID],Agregado[Custo])*Vendas[[#This Row],[Qnt Vendida]])</f>
        <v>105</v>
      </c>
      <c r="K2543" s="70">
        <f>Vendas[[#This Row],[Lucro da Venda]]/Vendas[[#This Row],[Valor da Venda]]</f>
        <v>0.13461538461538461</v>
      </c>
      <c r="L2543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2543"/>
    </row>
    <row r="2544" spans="1:13" x14ac:dyDescent="0.3">
      <c r="A2544" s="7">
        <v>400243</v>
      </c>
      <c r="B2544" t="str">
        <f>_xlfn.XLOOKUP(Vendas[[#This Row],[ID Vendedor]],Vendedores[ID],Vendedores[Nome])</f>
        <v>Marcelo</v>
      </c>
      <c r="C2544" s="7" t="str">
        <f>_xlfn.XLOOKUP(Vendas[[#This Row],[ID Vendedor]],Vendedores[ID],Vendedores[Setor])</f>
        <v>FM</v>
      </c>
      <c r="D2544" s="7" t="s">
        <v>6</v>
      </c>
      <c r="E2544" t="str">
        <f>_xlfn.XLOOKUP(Vendas[[#This Row],[ID Item Vendido]],Agregado[ID],Agregado[Produto])</f>
        <v>Parafuso comum 500un</v>
      </c>
      <c r="F2544" s="39">
        <v>45091</v>
      </c>
      <c r="G2544" s="7">
        <v>12</v>
      </c>
      <c r="H2544" s="3">
        <f>_xlfn.XLOOKUP(Vendas[[#This Row],[ID Item Vendido]],Agregado[ID],Agregado[Revenda])</f>
        <v>24.6</v>
      </c>
      <c r="I2544" s="3">
        <f>Vendas[[#This Row],[Valor Unitário]]*Vendas[[#This Row],[Qnt Vendida]]</f>
        <v>295.20000000000005</v>
      </c>
      <c r="J2544" s="3">
        <f>Vendas[[#This Row],[Valor da Venda]]-(_xlfn.XLOOKUP(Vendas[[#This Row],[ID Item Vendido]],Agregado[ID],Agregado[Custo])*Vendas[[#This Row],[Qnt Vendida]])</f>
        <v>31.200000000000045</v>
      </c>
      <c r="K2544" s="70">
        <f>Vendas[[#This Row],[Lucro da Venda]]/Vendas[[#This Row],[Valor da Venda]]</f>
        <v>0.10569105691056924</v>
      </c>
      <c r="L2544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2544"/>
    </row>
    <row r="2545" spans="1:13" x14ac:dyDescent="0.3">
      <c r="A2545" s="7">
        <v>400248</v>
      </c>
      <c r="B2545" t="str">
        <f>_xlfn.XLOOKUP(Vendas[[#This Row],[ID Vendedor]],Vendedores[ID],Vendedores[Nome])</f>
        <v>Patrícia</v>
      </c>
      <c r="C2545" s="7" t="str">
        <f>_xlfn.XLOOKUP(Vendas[[#This Row],[ID Vendedor]],Vendedores[ID],Vendedores[Setor])</f>
        <v>CM</v>
      </c>
      <c r="D2545" s="7" t="s">
        <v>34</v>
      </c>
      <c r="E2545" t="str">
        <f>_xlfn.XLOOKUP(Vendas[[#This Row],[ID Item Vendido]],Agregado[ID],Agregado[Produto])</f>
        <v>Restos de madeira p/ MDP/OSB saco de 20kg</v>
      </c>
      <c r="F2545" s="39">
        <v>45091</v>
      </c>
      <c r="G2545" s="7">
        <v>7</v>
      </c>
      <c r="H2545" s="3">
        <f>_xlfn.XLOOKUP(Vendas[[#This Row],[ID Item Vendido]],Agregado[ID],Agregado[Revenda])</f>
        <v>13.8</v>
      </c>
      <c r="I2545" s="3">
        <f>Vendas[[#This Row],[Valor Unitário]]*Vendas[[#This Row],[Qnt Vendida]]</f>
        <v>96.600000000000009</v>
      </c>
      <c r="J2545" s="3">
        <f>Vendas[[#This Row],[Valor da Venda]]-(_xlfn.XLOOKUP(Vendas[[#This Row],[ID Item Vendido]],Agregado[ID],Agregado[Custo])*Vendas[[#This Row],[Qnt Vendida]])</f>
        <v>12.600000000000009</v>
      </c>
      <c r="K2545" s="70">
        <f>Vendas[[#This Row],[Lucro da Venda]]/Vendas[[#This Row],[Valor da Venda]]</f>
        <v>0.13043478260869573</v>
      </c>
      <c r="L2545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2545"/>
    </row>
    <row r="2546" spans="1:13" x14ac:dyDescent="0.3">
      <c r="A2546" s="7">
        <v>400255</v>
      </c>
      <c r="B2546" t="str">
        <f>_xlfn.XLOOKUP(Vendas[[#This Row],[ID Vendedor]],Vendedores[ID],Vendedores[Nome])</f>
        <v>Carlos</v>
      </c>
      <c r="C2546" s="7" t="str">
        <f>_xlfn.XLOOKUP(Vendas[[#This Row],[ID Vendedor]],Vendedores[ID],Vendedores[Setor])</f>
        <v>SC</v>
      </c>
      <c r="D2546" s="7" t="s">
        <v>48</v>
      </c>
      <c r="E2546" t="str">
        <f>_xlfn.XLOOKUP(Vendas[[#This Row],[ID Item Vendido]],Agregado[ID],Agregado[Produto])</f>
        <v>Tambor metálico 200L</v>
      </c>
      <c r="F2546" s="39">
        <v>45092</v>
      </c>
      <c r="G2546" s="7">
        <v>18</v>
      </c>
      <c r="H2546" s="3">
        <f>_xlfn.XLOOKUP(Vendas[[#This Row],[ID Item Vendido]],Agregado[ID],Agregado[Revenda])</f>
        <v>144</v>
      </c>
      <c r="I2546" s="3">
        <f>Vendas[[#This Row],[Valor Unitário]]*Vendas[[#This Row],[Qnt Vendida]]</f>
        <v>2592</v>
      </c>
      <c r="J2546" s="3">
        <f>Vendas[[#This Row],[Valor da Venda]]-(_xlfn.XLOOKUP(Vendas[[#This Row],[ID Item Vendido]],Agregado[ID],Agregado[Custo])*Vendas[[#This Row],[Qnt Vendida]])</f>
        <v>432</v>
      </c>
      <c r="K2546" s="70">
        <f>Vendas[[#This Row],[Lucro da Venda]]/Vendas[[#This Row],[Valor da Venda]]</f>
        <v>0.16666666666666666</v>
      </c>
      <c r="L2546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546"/>
    </row>
    <row r="2547" spans="1:13" x14ac:dyDescent="0.3">
      <c r="A2547" s="7">
        <v>400245</v>
      </c>
      <c r="B2547" t="str">
        <f>_xlfn.XLOOKUP(Vendas[[#This Row],[ID Vendedor]],Vendedores[ID],Vendedores[Nome])</f>
        <v>Thiago</v>
      </c>
      <c r="C2547" s="7" t="str">
        <f>_xlfn.XLOOKUP(Vendas[[#This Row],[ID Vendedor]],Vendedores[ID],Vendedores[Setor])</f>
        <v>AHD</v>
      </c>
      <c r="D2547" s="7" t="s">
        <v>18</v>
      </c>
      <c r="E2547" t="str">
        <f>_xlfn.XLOOKUP(Vendas[[#This Row],[ID Item Vendido]],Agregado[ID],Agregado[Produto])</f>
        <v>Peça forjada sob encomenda</v>
      </c>
      <c r="F2547" s="39">
        <v>45092</v>
      </c>
      <c r="G2547" s="7">
        <v>5</v>
      </c>
      <c r="H2547" s="3">
        <f>_xlfn.XLOOKUP(Vendas[[#This Row],[ID Item Vendido]],Agregado[ID],Agregado[Revenda])</f>
        <v>264.60000000000002</v>
      </c>
      <c r="I2547" s="3">
        <f>Vendas[[#This Row],[Valor Unitário]]*Vendas[[#This Row],[Qnt Vendida]]</f>
        <v>1323</v>
      </c>
      <c r="J2547" s="3">
        <f>Vendas[[#This Row],[Valor da Venda]]-(_xlfn.XLOOKUP(Vendas[[#This Row],[ID Item Vendido]],Agregado[ID],Agregado[Custo])*Vendas[[#This Row],[Qnt Vendida]])</f>
        <v>73</v>
      </c>
      <c r="K2547" s="70">
        <f>Vendas[[#This Row],[Lucro da Venda]]/Vendas[[#This Row],[Valor da Venda]]</f>
        <v>5.5177626606198037E-2</v>
      </c>
      <c r="L254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547"/>
    </row>
    <row r="2548" spans="1:13" x14ac:dyDescent="0.3">
      <c r="A2548" s="7">
        <v>400244</v>
      </c>
      <c r="B2548" t="str">
        <f>_xlfn.XLOOKUP(Vendas[[#This Row],[ID Vendedor]],Vendedores[ID],Vendedores[Nome])</f>
        <v>Camila</v>
      </c>
      <c r="C2548" s="7" t="str">
        <f>_xlfn.XLOOKUP(Vendas[[#This Row],[ID Vendedor]],Vendedores[ID],Vendedores[Setor])</f>
        <v>AHD</v>
      </c>
      <c r="D2548" s="7" t="s">
        <v>44</v>
      </c>
      <c r="E2548" t="str">
        <f>_xlfn.XLOOKUP(Vendas[[#This Row],[ID Item Vendido]],Agregado[ID],Agregado[Produto])</f>
        <v>Liga metálica especial</v>
      </c>
      <c r="F2548" s="39">
        <v>45092</v>
      </c>
      <c r="G2548" s="7">
        <v>19</v>
      </c>
      <c r="H2548" s="3">
        <f>_xlfn.XLOOKUP(Vendas[[#This Row],[ID Item Vendido]],Agregado[ID],Agregado[Revenda])</f>
        <v>32.5</v>
      </c>
      <c r="I2548" s="3">
        <f>Vendas[[#This Row],[Valor Unitário]]*Vendas[[#This Row],[Qnt Vendida]]</f>
        <v>617.5</v>
      </c>
      <c r="J2548" s="3">
        <f>Vendas[[#This Row],[Valor da Venda]]-(_xlfn.XLOOKUP(Vendas[[#This Row],[ID Item Vendido]],Agregado[ID],Agregado[Custo])*Vendas[[#This Row],[Qnt Vendida]])</f>
        <v>142.5</v>
      </c>
      <c r="K2548" s="70">
        <f>Vendas[[#This Row],[Lucro da Venda]]/Vendas[[#This Row],[Valor da Venda]]</f>
        <v>0.23076923076923078</v>
      </c>
      <c r="L2548" s="3">
        <f>_xlfn.IFS(Vendas[[#This Row],[Margem de Lucro (%)]]&lt;15%,Vendas[[#This Row],[Valor da Venda]]*3%,Vendas[[#This Row],[Margem de Lucro (%)]]&lt;=20%,Vendas[[#This Row],[Valor da Venda]]*4.5%,TRUE,Vendas[[#This Row],[Valor da Venda]]*6%)</f>
        <v>37.049999999999997</v>
      </c>
      <c r="M2548"/>
    </row>
    <row r="2549" spans="1:13" x14ac:dyDescent="0.3">
      <c r="A2549" s="7">
        <v>400243</v>
      </c>
      <c r="B2549" t="str">
        <f>_xlfn.XLOOKUP(Vendas[[#This Row],[ID Vendedor]],Vendedores[ID],Vendedores[Nome])</f>
        <v>Marcelo</v>
      </c>
      <c r="C2549" s="7" t="str">
        <f>_xlfn.XLOOKUP(Vendas[[#This Row],[ID Vendedor]],Vendedores[ID],Vendedores[Setor])</f>
        <v>FM</v>
      </c>
      <c r="D2549" s="7" t="s">
        <v>20</v>
      </c>
      <c r="E2549" t="str">
        <f>_xlfn.XLOOKUP(Vendas[[#This Row],[ID Item Vendido]],Agregado[ID],Agregado[Produto])</f>
        <v>Barra de aço simples</v>
      </c>
      <c r="F2549" s="39">
        <v>45092</v>
      </c>
      <c r="G2549" s="7">
        <v>113</v>
      </c>
      <c r="H2549" s="3">
        <f>_xlfn.XLOOKUP(Vendas[[#This Row],[ID Item Vendido]],Agregado[ID],Agregado[Revenda])</f>
        <v>4.8</v>
      </c>
      <c r="I2549" s="3">
        <f>Vendas[[#This Row],[Valor Unitário]]*Vendas[[#This Row],[Qnt Vendida]]</f>
        <v>542.4</v>
      </c>
      <c r="J2549" s="3">
        <f>Vendas[[#This Row],[Valor da Venda]]-(_xlfn.XLOOKUP(Vendas[[#This Row],[ID Item Vendido]],Agregado[ID],Agregado[Custo])*Vendas[[#This Row],[Qnt Vendida]])</f>
        <v>67.799999999999955</v>
      </c>
      <c r="K2549" s="70">
        <f>Vendas[[#This Row],[Lucro da Venda]]/Vendas[[#This Row],[Valor da Venda]]</f>
        <v>0.12499999999999992</v>
      </c>
      <c r="L2549" s="3">
        <f>_xlfn.IFS(Vendas[[#This Row],[Margem de Lucro (%)]]&lt;15%,Vendas[[#This Row],[Valor da Venda]]*3%,Vendas[[#This Row],[Margem de Lucro (%)]]&lt;=20%,Vendas[[#This Row],[Valor da Venda]]*4.5%,TRUE,Vendas[[#This Row],[Valor da Venda]]*6%)</f>
        <v>16.271999999999998</v>
      </c>
      <c r="M2549"/>
    </row>
    <row r="2550" spans="1:13" x14ac:dyDescent="0.3">
      <c r="A2550" s="7">
        <v>400248</v>
      </c>
      <c r="B2550" t="str">
        <f>_xlfn.XLOOKUP(Vendas[[#This Row],[ID Vendedor]],Vendedores[ID],Vendedores[Nome])</f>
        <v>Patrícia</v>
      </c>
      <c r="C2550" s="7" t="str">
        <f>_xlfn.XLOOKUP(Vendas[[#This Row],[ID Vendedor]],Vendedores[ID],Vendedores[Setor])</f>
        <v>CM</v>
      </c>
      <c r="D2550" s="7" t="s">
        <v>45</v>
      </c>
      <c r="E2550" t="str">
        <f>_xlfn.XLOOKUP(Vendas[[#This Row],[ID Item Vendido]],Agregado[ID],Agregado[Produto])</f>
        <v>Viga de madeira tratada 4m</v>
      </c>
      <c r="F2550" s="39">
        <v>45092</v>
      </c>
      <c r="G2550" s="7">
        <v>6</v>
      </c>
      <c r="H2550" s="3">
        <f>_xlfn.XLOOKUP(Vendas[[#This Row],[ID Item Vendido]],Agregado[ID],Agregado[Revenda])</f>
        <v>66</v>
      </c>
      <c r="I2550" s="3">
        <f>Vendas[[#This Row],[Valor Unitário]]*Vendas[[#This Row],[Qnt Vendida]]</f>
        <v>396</v>
      </c>
      <c r="J2550" s="3">
        <f>Vendas[[#This Row],[Valor da Venda]]-(_xlfn.XLOOKUP(Vendas[[#This Row],[ID Item Vendido]],Agregado[ID],Agregado[Custo])*Vendas[[#This Row],[Qnt Vendida]])</f>
        <v>66</v>
      </c>
      <c r="K2550" s="70">
        <f>Vendas[[#This Row],[Lucro da Venda]]/Vendas[[#This Row],[Valor da Venda]]</f>
        <v>0.16666666666666666</v>
      </c>
      <c r="L2550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2550"/>
    </row>
    <row r="2551" spans="1:13" x14ac:dyDescent="0.3">
      <c r="A2551" s="7">
        <v>400251</v>
      </c>
      <c r="B2551" t="str">
        <f>_xlfn.XLOOKUP(Vendas[[#This Row],[ID Vendedor]],Vendedores[ID],Vendedores[Nome])</f>
        <v>Diego</v>
      </c>
      <c r="C2551" s="7" t="str">
        <f>_xlfn.XLOOKUP(Vendas[[#This Row],[ID Vendedor]],Vendedores[ID],Vendedores[Setor])</f>
        <v>AB</v>
      </c>
      <c r="D2551" s="7" t="s">
        <v>37</v>
      </c>
      <c r="E2551" t="str">
        <f>_xlfn.XLOOKUP(Vendas[[#This Row],[ID Item Vendido]],Agregado[ID],Agregado[Produto])</f>
        <v>Composto de borracha para vedação rolo 10m</v>
      </c>
      <c r="F2551" s="39">
        <v>45092</v>
      </c>
      <c r="G2551" s="7">
        <v>6</v>
      </c>
      <c r="H2551" s="3">
        <f>_xlfn.XLOOKUP(Vendas[[#This Row],[ID Item Vendido]],Agregado[ID],Agregado[Revenda])</f>
        <v>51.2</v>
      </c>
      <c r="I2551" s="3">
        <f>Vendas[[#This Row],[Valor Unitário]]*Vendas[[#This Row],[Qnt Vendida]]</f>
        <v>307.20000000000005</v>
      </c>
      <c r="J2551" s="3">
        <f>Vendas[[#This Row],[Valor da Venda]]-(_xlfn.XLOOKUP(Vendas[[#This Row],[ID Item Vendido]],Agregado[ID],Agregado[Custo])*Vendas[[#This Row],[Qnt Vendida]])</f>
        <v>67.200000000000045</v>
      </c>
      <c r="K2551" s="70">
        <f>Vendas[[#This Row],[Lucro da Venda]]/Vendas[[#This Row],[Valor da Venda]]</f>
        <v>0.21875000000000011</v>
      </c>
      <c r="L2551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2551"/>
    </row>
    <row r="2552" spans="1:13" x14ac:dyDescent="0.3">
      <c r="A2552" s="7">
        <v>400246</v>
      </c>
      <c r="B2552" t="str">
        <f>_xlfn.XLOOKUP(Vendas[[#This Row],[ID Vendedor]],Vendedores[ID],Vendedores[Nome])</f>
        <v>Juliana</v>
      </c>
      <c r="C2552" s="7" t="str">
        <f>_xlfn.XLOOKUP(Vendas[[#This Row],[ID Vendedor]],Vendedores[ID],Vendedores[Setor])</f>
        <v>AHD</v>
      </c>
      <c r="D2552" s="7" t="s">
        <v>44</v>
      </c>
      <c r="E2552" t="str">
        <f>_xlfn.XLOOKUP(Vendas[[#This Row],[ID Item Vendido]],Agregado[ID],Agregado[Produto])</f>
        <v>Liga metálica especial</v>
      </c>
      <c r="F2552" s="39">
        <v>45092</v>
      </c>
      <c r="G2552" s="7">
        <v>9</v>
      </c>
      <c r="H2552" s="3">
        <f>_xlfn.XLOOKUP(Vendas[[#This Row],[ID Item Vendido]],Agregado[ID],Agregado[Revenda])</f>
        <v>32.5</v>
      </c>
      <c r="I2552" s="3">
        <f>Vendas[[#This Row],[Valor Unitário]]*Vendas[[#This Row],[Qnt Vendida]]</f>
        <v>292.5</v>
      </c>
      <c r="J2552" s="3">
        <f>Vendas[[#This Row],[Valor da Venda]]-(_xlfn.XLOOKUP(Vendas[[#This Row],[ID Item Vendido]],Agregado[ID],Agregado[Custo])*Vendas[[#This Row],[Qnt Vendida]])</f>
        <v>67.5</v>
      </c>
      <c r="K2552" s="70">
        <f>Vendas[[#This Row],[Lucro da Venda]]/Vendas[[#This Row],[Valor da Venda]]</f>
        <v>0.23076923076923078</v>
      </c>
      <c r="L2552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2552"/>
    </row>
    <row r="2553" spans="1:13" x14ac:dyDescent="0.3">
      <c r="A2553" s="7">
        <v>400254</v>
      </c>
      <c r="B2553" t="str">
        <f>_xlfn.XLOOKUP(Vendas[[#This Row],[ID Vendedor]],Vendedores[ID],Vendedores[Nome])</f>
        <v>Beatriz</v>
      </c>
      <c r="C2553" s="7" t="str">
        <f>_xlfn.XLOOKUP(Vendas[[#This Row],[ID Vendedor]],Vendedores[ID],Vendedores[Setor])</f>
        <v>SC</v>
      </c>
      <c r="D2553" s="7" t="s">
        <v>42</v>
      </c>
      <c r="E2553" t="str">
        <f>_xlfn.XLOOKUP(Vendas[[#This Row],[ID Item Vendido]],Agregado[ID],Agregado[Produto])</f>
        <v>Container de ferro industrial</v>
      </c>
      <c r="F2553" s="39">
        <v>45093</v>
      </c>
      <c r="G2553" s="7">
        <v>4</v>
      </c>
      <c r="H2553" s="3">
        <f>_xlfn.XLOOKUP(Vendas[[#This Row],[ID Item Vendido]],Agregado[ID],Agregado[Revenda])</f>
        <v>830</v>
      </c>
      <c r="I2553" s="3">
        <f>Vendas[[#This Row],[Valor Unitário]]*Vendas[[#This Row],[Qnt Vendida]]</f>
        <v>3320</v>
      </c>
      <c r="J2553" s="3">
        <f>Vendas[[#This Row],[Valor da Venda]]-(_xlfn.XLOOKUP(Vendas[[#This Row],[ID Item Vendido]],Agregado[ID],Agregado[Custo])*Vendas[[#This Row],[Qnt Vendida]])</f>
        <v>600</v>
      </c>
      <c r="K2553" s="70">
        <f>Vendas[[#This Row],[Lucro da Venda]]/Vendas[[#This Row],[Valor da Venda]]</f>
        <v>0.18072289156626506</v>
      </c>
      <c r="L2553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553"/>
    </row>
    <row r="2554" spans="1:13" x14ac:dyDescent="0.3">
      <c r="A2554" s="7">
        <v>400245</v>
      </c>
      <c r="B2554" t="str">
        <f>_xlfn.XLOOKUP(Vendas[[#This Row],[ID Vendedor]],Vendedores[ID],Vendedores[Nome])</f>
        <v>Thiago</v>
      </c>
      <c r="C2554" s="7" t="str">
        <f>_xlfn.XLOOKUP(Vendas[[#This Row],[ID Vendedor]],Vendedores[ID],Vendedores[Setor])</f>
        <v>AHD</v>
      </c>
      <c r="D2554" s="7" t="s">
        <v>18</v>
      </c>
      <c r="E2554" t="str">
        <f>_xlfn.XLOOKUP(Vendas[[#This Row],[ID Item Vendido]],Agregado[ID],Agregado[Produto])</f>
        <v>Peça forjada sob encomenda</v>
      </c>
      <c r="F2554" s="39">
        <v>45093</v>
      </c>
      <c r="G2554" s="7">
        <v>5</v>
      </c>
      <c r="H2554" s="3">
        <f>_xlfn.XLOOKUP(Vendas[[#This Row],[ID Item Vendido]],Agregado[ID],Agregado[Revenda])</f>
        <v>264.60000000000002</v>
      </c>
      <c r="I2554" s="3">
        <f>Vendas[[#This Row],[Valor Unitário]]*Vendas[[#This Row],[Qnt Vendida]]</f>
        <v>1323</v>
      </c>
      <c r="J2554" s="3">
        <f>Vendas[[#This Row],[Valor da Venda]]-(_xlfn.XLOOKUP(Vendas[[#This Row],[ID Item Vendido]],Agregado[ID],Agregado[Custo])*Vendas[[#This Row],[Qnt Vendida]])</f>
        <v>73</v>
      </c>
      <c r="K2554" s="70">
        <f>Vendas[[#This Row],[Lucro da Venda]]/Vendas[[#This Row],[Valor da Venda]]</f>
        <v>5.5177626606198037E-2</v>
      </c>
      <c r="L255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554"/>
    </row>
    <row r="2555" spans="1:13" x14ac:dyDescent="0.3">
      <c r="A2555" s="7">
        <v>400247</v>
      </c>
      <c r="B2555" t="str">
        <f>_xlfn.XLOOKUP(Vendas[[#This Row],[ID Vendedor]],Vendedores[ID],Vendedores[Nome])</f>
        <v>André</v>
      </c>
      <c r="C2555" s="7" t="str">
        <f>_xlfn.XLOOKUP(Vendas[[#This Row],[ID Vendedor]],Vendedores[ID],Vendedores[Setor])</f>
        <v>CM</v>
      </c>
      <c r="D2555" s="7" t="s">
        <v>32</v>
      </c>
      <c r="E2555" t="str">
        <f>_xlfn.XLOOKUP(Vendas[[#This Row],[ID Item Vendido]],Agregado[ID],Agregado[Produto])</f>
        <v>Tábua tratada e cortada 3m</v>
      </c>
      <c r="F2555" s="39">
        <v>45093</v>
      </c>
      <c r="G2555" s="7">
        <v>43</v>
      </c>
      <c r="H2555" s="3">
        <f>_xlfn.XLOOKUP(Vendas[[#This Row],[ID Item Vendido]],Agregado[ID],Agregado[Revenda])</f>
        <v>39</v>
      </c>
      <c r="I2555" s="3">
        <f>Vendas[[#This Row],[Valor Unitário]]*Vendas[[#This Row],[Qnt Vendida]]</f>
        <v>1677</v>
      </c>
      <c r="J2555" s="3">
        <f>Vendas[[#This Row],[Valor da Venda]]-(_xlfn.XLOOKUP(Vendas[[#This Row],[ID Item Vendido]],Agregado[ID],Agregado[Custo])*Vendas[[#This Row],[Qnt Vendida]])</f>
        <v>301</v>
      </c>
      <c r="K2555" s="70">
        <f>Vendas[[#This Row],[Lucro da Venda]]/Vendas[[#This Row],[Valor da Venda]]</f>
        <v>0.17948717948717949</v>
      </c>
      <c r="L2555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2555"/>
    </row>
    <row r="2556" spans="1:13" x14ac:dyDescent="0.3">
      <c r="A2556" s="7">
        <v>400253</v>
      </c>
      <c r="B2556" t="str">
        <f>_xlfn.XLOOKUP(Vendas[[#This Row],[ID Vendedor]],Vendedores[ID],Vendedores[Nome])</f>
        <v>Gustavo</v>
      </c>
      <c r="C2556" s="7" t="str">
        <f>_xlfn.XLOOKUP(Vendas[[#This Row],[ID Vendedor]],Vendedores[ID],Vendedores[Setor])</f>
        <v>SC</v>
      </c>
      <c r="D2556" s="7" t="s">
        <v>42</v>
      </c>
      <c r="E2556" t="str">
        <f>_xlfn.XLOOKUP(Vendas[[#This Row],[ID Item Vendido]],Agregado[ID],Agregado[Produto])</f>
        <v>Container de ferro industrial</v>
      </c>
      <c r="F2556" s="39">
        <v>45093</v>
      </c>
      <c r="G2556" s="7">
        <v>1</v>
      </c>
      <c r="H2556" s="3">
        <f>_xlfn.XLOOKUP(Vendas[[#This Row],[ID Item Vendido]],Agregado[ID],Agregado[Revenda])</f>
        <v>830</v>
      </c>
      <c r="I2556" s="3">
        <f>Vendas[[#This Row],[Valor Unitário]]*Vendas[[#This Row],[Qnt Vendida]]</f>
        <v>830</v>
      </c>
      <c r="J2556" s="3">
        <f>Vendas[[#This Row],[Valor da Venda]]-(_xlfn.XLOOKUP(Vendas[[#This Row],[ID Item Vendido]],Agregado[ID],Agregado[Custo])*Vendas[[#This Row],[Qnt Vendida]])</f>
        <v>150</v>
      </c>
      <c r="K2556" s="70">
        <f>Vendas[[#This Row],[Lucro da Venda]]/Vendas[[#This Row],[Valor da Venda]]</f>
        <v>0.18072289156626506</v>
      </c>
      <c r="L255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556"/>
    </row>
    <row r="2557" spans="1:13" x14ac:dyDescent="0.3">
      <c r="A2557" s="7">
        <v>400250</v>
      </c>
      <c r="B2557" t="str">
        <f>_xlfn.XLOOKUP(Vendas[[#This Row],[ID Vendedor]],Vendedores[ID],Vendedores[Nome])</f>
        <v>Larissa</v>
      </c>
      <c r="C2557" s="7" t="str">
        <f>_xlfn.XLOOKUP(Vendas[[#This Row],[ID Vendedor]],Vendedores[ID],Vendedores[Setor])</f>
        <v>AB</v>
      </c>
      <c r="D2557" s="7" t="s">
        <v>24</v>
      </c>
      <c r="E2557" t="str">
        <f>_xlfn.XLOOKUP(Vendas[[#This Row],[ID Item Vendido]],Agregado[ID],Agregado[Produto])</f>
        <v>Resina plástica PET purificada saco de 25kg</v>
      </c>
      <c r="F2557" s="39">
        <v>45094</v>
      </c>
      <c r="G2557" s="7">
        <v>26</v>
      </c>
      <c r="H2557" s="3">
        <f>_xlfn.XLOOKUP(Vendas[[#This Row],[ID Item Vendido]],Agregado[ID],Agregado[Revenda])</f>
        <v>119</v>
      </c>
      <c r="I2557" s="3">
        <f>Vendas[[#This Row],[Valor Unitário]]*Vendas[[#This Row],[Qnt Vendida]]</f>
        <v>3094</v>
      </c>
      <c r="J2557" s="3">
        <f>Vendas[[#This Row],[Valor da Venda]]-(_xlfn.XLOOKUP(Vendas[[#This Row],[ID Item Vendido]],Agregado[ID],Agregado[Custo])*Vendas[[#This Row],[Qnt Vendida]])</f>
        <v>884</v>
      </c>
      <c r="K2557" s="70">
        <f>Vendas[[#This Row],[Lucro da Venda]]/Vendas[[#This Row],[Valor da Venda]]</f>
        <v>0.2857142857142857</v>
      </c>
      <c r="L2557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2557"/>
    </row>
    <row r="2558" spans="1:13" x14ac:dyDescent="0.3">
      <c r="A2558" s="7">
        <v>400244</v>
      </c>
      <c r="B2558" t="str">
        <f>_xlfn.XLOOKUP(Vendas[[#This Row],[ID Vendedor]],Vendedores[ID],Vendedores[Nome])</f>
        <v>Camila</v>
      </c>
      <c r="C2558" s="7" t="str">
        <f>_xlfn.XLOOKUP(Vendas[[#This Row],[ID Vendedor]],Vendedores[ID],Vendedores[Setor])</f>
        <v>AHD</v>
      </c>
      <c r="D2558" s="7" t="s">
        <v>18</v>
      </c>
      <c r="E2558" t="str">
        <f>_xlfn.XLOOKUP(Vendas[[#This Row],[ID Item Vendido]],Agregado[ID],Agregado[Produto])</f>
        <v>Peça forjada sob encomenda</v>
      </c>
      <c r="F2558" s="39">
        <v>45094</v>
      </c>
      <c r="G2558" s="7">
        <v>5</v>
      </c>
      <c r="H2558" s="3">
        <f>_xlfn.XLOOKUP(Vendas[[#This Row],[ID Item Vendido]],Agregado[ID],Agregado[Revenda])</f>
        <v>264.60000000000002</v>
      </c>
      <c r="I2558" s="3">
        <f>Vendas[[#This Row],[Valor Unitário]]*Vendas[[#This Row],[Qnt Vendida]]</f>
        <v>1323</v>
      </c>
      <c r="J2558" s="3">
        <f>Vendas[[#This Row],[Valor da Venda]]-(_xlfn.XLOOKUP(Vendas[[#This Row],[ID Item Vendido]],Agregado[ID],Agregado[Custo])*Vendas[[#This Row],[Qnt Vendida]])</f>
        <v>73</v>
      </c>
      <c r="K2558" s="70">
        <f>Vendas[[#This Row],[Lucro da Venda]]/Vendas[[#This Row],[Valor da Venda]]</f>
        <v>5.5177626606198037E-2</v>
      </c>
      <c r="L255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558"/>
    </row>
    <row r="2559" spans="1:13" x14ac:dyDescent="0.3">
      <c r="A2559" s="7">
        <v>400246</v>
      </c>
      <c r="B2559" t="str">
        <f>_xlfn.XLOOKUP(Vendas[[#This Row],[ID Vendedor]],Vendedores[ID],Vendedores[Nome])</f>
        <v>Juliana</v>
      </c>
      <c r="C2559" s="7" t="str">
        <f>_xlfn.XLOOKUP(Vendas[[#This Row],[ID Vendedor]],Vendedores[ID],Vendedores[Setor])</f>
        <v>AHD</v>
      </c>
      <c r="D2559" s="7" t="s">
        <v>9</v>
      </c>
      <c r="E2559" t="str">
        <f>_xlfn.XLOOKUP(Vendas[[#This Row],[ID Item Vendido]],Agregado[ID],Agregado[Produto])</f>
        <v>Barra de aço simples</v>
      </c>
      <c r="F2559" s="39">
        <v>45094</v>
      </c>
      <c r="G2559" s="7">
        <v>141</v>
      </c>
      <c r="H2559" s="3">
        <f>_xlfn.XLOOKUP(Vendas[[#This Row],[ID Item Vendido]],Agregado[ID],Agregado[Revenda])</f>
        <v>6.7</v>
      </c>
      <c r="I2559" s="3">
        <f>Vendas[[#This Row],[Valor Unitário]]*Vendas[[#This Row],[Qnt Vendida]]</f>
        <v>944.7</v>
      </c>
      <c r="J2559" s="3">
        <f>Vendas[[#This Row],[Valor da Venda]]-(_xlfn.XLOOKUP(Vendas[[#This Row],[ID Item Vendido]],Agregado[ID],Agregado[Custo])*Vendas[[#This Row],[Qnt Vendida]])</f>
        <v>126.90000000000009</v>
      </c>
      <c r="K2559" s="70">
        <f>Vendas[[#This Row],[Lucro da Venda]]/Vendas[[#This Row],[Valor da Venda]]</f>
        <v>0.13432835820895531</v>
      </c>
      <c r="L2559" s="3">
        <f>_xlfn.IFS(Vendas[[#This Row],[Margem de Lucro (%)]]&lt;15%,Vendas[[#This Row],[Valor da Venda]]*3%,Vendas[[#This Row],[Margem de Lucro (%)]]&lt;=20%,Vendas[[#This Row],[Valor da Venda]]*4.5%,TRUE,Vendas[[#This Row],[Valor da Venda]]*6%)</f>
        <v>28.341000000000001</v>
      </c>
      <c r="M2559"/>
    </row>
    <row r="2560" spans="1:13" x14ac:dyDescent="0.3">
      <c r="A2560" s="7">
        <v>400255</v>
      </c>
      <c r="B2560" t="str">
        <f>_xlfn.XLOOKUP(Vendas[[#This Row],[ID Vendedor]],Vendedores[ID],Vendedores[Nome])</f>
        <v>Carlos</v>
      </c>
      <c r="C2560" s="7" t="str">
        <f>_xlfn.XLOOKUP(Vendas[[#This Row],[ID Vendedor]],Vendedores[ID],Vendedores[Setor])</f>
        <v>SC</v>
      </c>
      <c r="D2560" s="7" t="s">
        <v>14</v>
      </c>
      <c r="E2560" t="str">
        <f>_xlfn.XLOOKUP(Vendas[[#This Row],[ID Item Vendido]],Agregado[ID],Agregado[Produto])</f>
        <v>Barril de plástico 200L</v>
      </c>
      <c r="F2560" s="39">
        <v>45095</v>
      </c>
      <c r="G2560" s="7">
        <v>11</v>
      </c>
      <c r="H2560" s="3">
        <f>_xlfn.XLOOKUP(Vendas[[#This Row],[ID Item Vendido]],Agregado[ID],Agregado[Revenda])</f>
        <v>114</v>
      </c>
      <c r="I2560" s="3">
        <f>Vendas[[#This Row],[Valor Unitário]]*Vendas[[#This Row],[Qnt Vendida]]</f>
        <v>1254</v>
      </c>
      <c r="J2560" s="3">
        <f>Vendas[[#This Row],[Valor da Venda]]-(_xlfn.XLOOKUP(Vendas[[#This Row],[ID Item Vendido]],Agregado[ID],Agregado[Custo])*Vendas[[#This Row],[Qnt Vendida]])</f>
        <v>209</v>
      </c>
      <c r="K2560" s="70">
        <f>Vendas[[#This Row],[Lucro da Venda]]/Vendas[[#This Row],[Valor da Venda]]</f>
        <v>0.16666666666666666</v>
      </c>
      <c r="L2560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560"/>
    </row>
    <row r="2561" spans="1:13" x14ac:dyDescent="0.3">
      <c r="A2561" s="7">
        <v>400246</v>
      </c>
      <c r="B2561" t="str">
        <f>_xlfn.XLOOKUP(Vendas[[#This Row],[ID Vendedor]],Vendedores[ID],Vendedores[Nome])</f>
        <v>Juliana</v>
      </c>
      <c r="C2561" s="7" t="str">
        <f>_xlfn.XLOOKUP(Vendas[[#This Row],[ID Vendedor]],Vendedores[ID],Vendedores[Setor])</f>
        <v>AHD</v>
      </c>
      <c r="D2561" s="7" t="s">
        <v>44</v>
      </c>
      <c r="E2561" t="str">
        <f>_xlfn.XLOOKUP(Vendas[[#This Row],[ID Item Vendido]],Agregado[ID],Agregado[Produto])</f>
        <v>Liga metálica especial</v>
      </c>
      <c r="F2561" s="39">
        <v>45095</v>
      </c>
      <c r="G2561" s="7">
        <v>23</v>
      </c>
      <c r="H2561" s="3">
        <f>_xlfn.XLOOKUP(Vendas[[#This Row],[ID Item Vendido]],Agregado[ID],Agregado[Revenda])</f>
        <v>32.5</v>
      </c>
      <c r="I2561" s="3">
        <f>Vendas[[#This Row],[Valor Unitário]]*Vendas[[#This Row],[Qnt Vendida]]</f>
        <v>747.5</v>
      </c>
      <c r="J2561" s="3">
        <f>Vendas[[#This Row],[Valor da Venda]]-(_xlfn.XLOOKUP(Vendas[[#This Row],[ID Item Vendido]],Agregado[ID],Agregado[Custo])*Vendas[[#This Row],[Qnt Vendida]])</f>
        <v>172.5</v>
      </c>
      <c r="K2561" s="70">
        <f>Vendas[[#This Row],[Lucro da Venda]]/Vendas[[#This Row],[Valor da Venda]]</f>
        <v>0.23076923076923078</v>
      </c>
      <c r="L2561" s="3">
        <f>_xlfn.IFS(Vendas[[#This Row],[Margem de Lucro (%)]]&lt;15%,Vendas[[#This Row],[Valor da Venda]]*3%,Vendas[[#This Row],[Margem de Lucro (%)]]&lt;=20%,Vendas[[#This Row],[Valor da Venda]]*4.5%,TRUE,Vendas[[#This Row],[Valor da Venda]]*6%)</f>
        <v>44.85</v>
      </c>
      <c r="M2561"/>
    </row>
    <row r="2562" spans="1:13" x14ac:dyDescent="0.3">
      <c r="A2562" s="7">
        <v>400251</v>
      </c>
      <c r="B2562" t="str">
        <f>_xlfn.XLOOKUP(Vendas[[#This Row],[ID Vendedor]],Vendedores[ID],Vendedores[Nome])</f>
        <v>Diego</v>
      </c>
      <c r="C2562" s="7" t="str">
        <f>_xlfn.XLOOKUP(Vendas[[#This Row],[ID Vendedor]],Vendedores[ID],Vendedores[Setor])</f>
        <v>AB</v>
      </c>
      <c r="D2562" s="7" t="s">
        <v>36</v>
      </c>
      <c r="E2562" t="str">
        <f>_xlfn.XLOOKUP(Vendas[[#This Row],[ID Item Vendido]],Agregado[ID],Agregado[Produto])</f>
        <v>Borracha vulcanizada em manta</v>
      </c>
      <c r="F2562" s="39">
        <v>45095</v>
      </c>
      <c r="G2562" s="7">
        <v>95</v>
      </c>
      <c r="H2562" s="3">
        <f>_xlfn.XLOOKUP(Vendas[[#This Row],[ID Item Vendido]],Agregado[ID],Agregado[Revenda])</f>
        <v>7.8</v>
      </c>
      <c r="I2562" s="3">
        <f>Vendas[[#This Row],[Valor Unitário]]*Vendas[[#This Row],[Qnt Vendida]]</f>
        <v>741</v>
      </c>
      <c r="J2562" s="3">
        <f>Vendas[[#This Row],[Valor da Venda]]-(_xlfn.XLOOKUP(Vendas[[#This Row],[ID Item Vendido]],Agregado[ID],Agregado[Custo])*Vendas[[#This Row],[Qnt Vendida]])</f>
        <v>171</v>
      </c>
      <c r="K2562" s="70">
        <f>Vendas[[#This Row],[Lucro da Venda]]/Vendas[[#This Row],[Valor da Venda]]</f>
        <v>0.23076923076923078</v>
      </c>
      <c r="L2562" s="3">
        <f>_xlfn.IFS(Vendas[[#This Row],[Margem de Lucro (%)]]&lt;15%,Vendas[[#This Row],[Valor da Venda]]*3%,Vendas[[#This Row],[Margem de Lucro (%)]]&lt;=20%,Vendas[[#This Row],[Valor da Venda]]*4.5%,TRUE,Vendas[[#This Row],[Valor da Venda]]*6%)</f>
        <v>44.46</v>
      </c>
      <c r="M2562"/>
    </row>
    <row r="2563" spans="1:13" x14ac:dyDescent="0.3">
      <c r="A2563" s="7">
        <v>400243</v>
      </c>
      <c r="B2563" t="str">
        <f>_xlfn.XLOOKUP(Vendas[[#This Row],[ID Vendedor]],Vendedores[ID],Vendedores[Nome])</f>
        <v>Marcelo</v>
      </c>
      <c r="C2563" s="7" t="str">
        <f>_xlfn.XLOOKUP(Vendas[[#This Row],[ID Vendedor]],Vendedores[ID],Vendedores[Setor])</f>
        <v>FM</v>
      </c>
      <c r="D2563" s="7" t="s">
        <v>31</v>
      </c>
      <c r="E2563" t="str">
        <f>_xlfn.XLOOKUP(Vendas[[#This Row],[ID Item Vendido]],Agregado[ID],Agregado[Produto])</f>
        <v>Tela de metal soldada rolo 2x25m</v>
      </c>
      <c r="F2563" s="39">
        <v>45095</v>
      </c>
      <c r="G2563" s="7">
        <v>9</v>
      </c>
      <c r="H2563" s="3">
        <f>_xlfn.XLOOKUP(Vendas[[#This Row],[ID Item Vendido]],Agregado[ID],Agregado[Revenda])</f>
        <v>43.7</v>
      </c>
      <c r="I2563" s="3">
        <f>Vendas[[#This Row],[Valor Unitário]]*Vendas[[#This Row],[Qnt Vendida]]</f>
        <v>393.3</v>
      </c>
      <c r="J2563" s="3">
        <f>Vendas[[#This Row],[Valor da Venda]]-(_xlfn.XLOOKUP(Vendas[[#This Row],[ID Item Vendido]],Agregado[ID],Agregado[Custo])*Vendas[[#This Row],[Qnt Vendida]])</f>
        <v>51.300000000000011</v>
      </c>
      <c r="K2563" s="70">
        <f>Vendas[[#This Row],[Lucro da Venda]]/Vendas[[#This Row],[Valor da Venda]]</f>
        <v>0.13043478260869568</v>
      </c>
      <c r="L2563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2563"/>
    </row>
    <row r="2564" spans="1:13" x14ac:dyDescent="0.3">
      <c r="A2564" s="7">
        <v>400253</v>
      </c>
      <c r="B2564" t="str">
        <f>_xlfn.XLOOKUP(Vendas[[#This Row],[ID Vendedor]],Vendedores[ID],Vendedores[Nome])</f>
        <v>Gustavo</v>
      </c>
      <c r="C2564" s="7" t="str">
        <f>_xlfn.XLOOKUP(Vendas[[#This Row],[ID Vendedor]],Vendedores[ID],Vendedores[Setor])</f>
        <v>SC</v>
      </c>
      <c r="D2564" s="7" t="s">
        <v>14</v>
      </c>
      <c r="E2564" t="str">
        <f>_xlfn.XLOOKUP(Vendas[[#This Row],[ID Item Vendido]],Agregado[ID],Agregado[Produto])</f>
        <v>Barril de plástico 200L</v>
      </c>
      <c r="F2564" s="39">
        <v>45096</v>
      </c>
      <c r="G2564" s="7">
        <v>24</v>
      </c>
      <c r="H2564" s="3">
        <f>_xlfn.XLOOKUP(Vendas[[#This Row],[ID Item Vendido]],Agregado[ID],Agregado[Revenda])</f>
        <v>114</v>
      </c>
      <c r="I2564" s="3">
        <f>Vendas[[#This Row],[Valor Unitário]]*Vendas[[#This Row],[Qnt Vendida]]</f>
        <v>2736</v>
      </c>
      <c r="J2564" s="3">
        <f>Vendas[[#This Row],[Valor da Venda]]-(_xlfn.XLOOKUP(Vendas[[#This Row],[ID Item Vendido]],Agregado[ID],Agregado[Custo])*Vendas[[#This Row],[Qnt Vendida]])</f>
        <v>456</v>
      </c>
      <c r="K2564" s="70">
        <f>Vendas[[#This Row],[Lucro da Venda]]/Vendas[[#This Row],[Valor da Venda]]</f>
        <v>0.16666666666666666</v>
      </c>
      <c r="L2564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564"/>
    </row>
    <row r="2565" spans="1:13" x14ac:dyDescent="0.3">
      <c r="A2565" s="7">
        <v>400243</v>
      </c>
      <c r="B2565" t="str">
        <f>_xlfn.XLOOKUP(Vendas[[#This Row],[ID Vendedor]],Vendedores[ID],Vendedores[Nome])</f>
        <v>Marcelo</v>
      </c>
      <c r="C2565" s="7" t="str">
        <f>_xlfn.XLOOKUP(Vendas[[#This Row],[ID Vendedor]],Vendedores[ID],Vendedores[Setor])</f>
        <v>FM</v>
      </c>
      <c r="D2565" s="7" t="s">
        <v>20</v>
      </c>
      <c r="E2565" t="str">
        <f>_xlfn.XLOOKUP(Vendas[[#This Row],[ID Item Vendido]],Agregado[ID],Agregado[Produto])</f>
        <v>Barra de aço simples</v>
      </c>
      <c r="F2565" s="39">
        <v>45096</v>
      </c>
      <c r="G2565" s="7">
        <v>175</v>
      </c>
      <c r="H2565" s="3">
        <f>_xlfn.XLOOKUP(Vendas[[#This Row],[ID Item Vendido]],Agregado[ID],Agregado[Revenda])</f>
        <v>4.8</v>
      </c>
      <c r="I2565" s="3">
        <f>Vendas[[#This Row],[Valor Unitário]]*Vendas[[#This Row],[Qnt Vendida]]</f>
        <v>840</v>
      </c>
      <c r="J2565" s="3">
        <f>Vendas[[#This Row],[Valor da Venda]]-(_xlfn.XLOOKUP(Vendas[[#This Row],[ID Item Vendido]],Agregado[ID],Agregado[Custo])*Vendas[[#This Row],[Qnt Vendida]])</f>
        <v>105</v>
      </c>
      <c r="K2565" s="70">
        <f>Vendas[[#This Row],[Lucro da Venda]]/Vendas[[#This Row],[Valor da Venda]]</f>
        <v>0.125</v>
      </c>
      <c r="L2565" s="3">
        <f>_xlfn.IFS(Vendas[[#This Row],[Margem de Lucro (%)]]&lt;15%,Vendas[[#This Row],[Valor da Venda]]*3%,Vendas[[#This Row],[Margem de Lucro (%)]]&lt;=20%,Vendas[[#This Row],[Valor da Venda]]*4.5%,TRUE,Vendas[[#This Row],[Valor da Venda]]*6%)</f>
        <v>25.2</v>
      </c>
      <c r="M2565"/>
    </row>
    <row r="2566" spans="1:13" x14ac:dyDescent="0.3">
      <c r="A2566" s="7">
        <v>400250</v>
      </c>
      <c r="B2566" t="str">
        <f>_xlfn.XLOOKUP(Vendas[[#This Row],[ID Vendedor]],Vendedores[ID],Vendedores[Nome])</f>
        <v>Larissa</v>
      </c>
      <c r="C2566" s="7" t="str">
        <f>_xlfn.XLOOKUP(Vendas[[#This Row],[ID Vendedor]],Vendedores[ID],Vendedores[Setor])</f>
        <v>AB</v>
      </c>
      <c r="D2566" s="7" t="s">
        <v>36</v>
      </c>
      <c r="E2566" t="str">
        <f>_xlfn.XLOOKUP(Vendas[[#This Row],[ID Item Vendido]],Agregado[ID],Agregado[Produto])</f>
        <v>Borracha vulcanizada em manta</v>
      </c>
      <c r="F2566" s="39">
        <v>45096</v>
      </c>
      <c r="G2566" s="7">
        <v>100</v>
      </c>
      <c r="H2566" s="3">
        <f>_xlfn.XLOOKUP(Vendas[[#This Row],[ID Item Vendido]],Agregado[ID],Agregado[Revenda])</f>
        <v>7.8</v>
      </c>
      <c r="I2566" s="3">
        <f>Vendas[[#This Row],[Valor Unitário]]*Vendas[[#This Row],[Qnt Vendida]]</f>
        <v>780</v>
      </c>
      <c r="J2566" s="3">
        <f>Vendas[[#This Row],[Valor da Venda]]-(_xlfn.XLOOKUP(Vendas[[#This Row],[ID Item Vendido]],Agregado[ID],Agregado[Custo])*Vendas[[#This Row],[Qnt Vendida]])</f>
        <v>180</v>
      </c>
      <c r="K2566" s="70">
        <f>Vendas[[#This Row],[Lucro da Venda]]/Vendas[[#This Row],[Valor da Venda]]</f>
        <v>0.23076923076923078</v>
      </c>
      <c r="L2566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566"/>
    </row>
    <row r="2567" spans="1:13" x14ac:dyDescent="0.3">
      <c r="A2567" s="7">
        <v>400245</v>
      </c>
      <c r="B2567" t="str">
        <f>_xlfn.XLOOKUP(Vendas[[#This Row],[ID Vendedor]],Vendedores[ID],Vendedores[Nome])</f>
        <v>Thiago</v>
      </c>
      <c r="C2567" s="7" t="str">
        <f>_xlfn.XLOOKUP(Vendas[[#This Row],[ID Vendedor]],Vendedores[ID],Vendedores[Setor])</f>
        <v>AHD</v>
      </c>
      <c r="D2567" s="7" t="s">
        <v>9</v>
      </c>
      <c r="E2567" t="str">
        <f>_xlfn.XLOOKUP(Vendas[[#This Row],[ID Item Vendido]],Agregado[ID],Agregado[Produto])</f>
        <v>Barra de aço simples</v>
      </c>
      <c r="F2567" s="39">
        <v>45096</v>
      </c>
      <c r="G2567" s="7">
        <v>112</v>
      </c>
      <c r="H2567" s="3">
        <f>_xlfn.XLOOKUP(Vendas[[#This Row],[ID Item Vendido]],Agregado[ID],Agregado[Revenda])</f>
        <v>6.7</v>
      </c>
      <c r="I2567" s="3">
        <f>Vendas[[#This Row],[Valor Unitário]]*Vendas[[#This Row],[Qnt Vendida]]</f>
        <v>750.4</v>
      </c>
      <c r="J2567" s="3">
        <f>Vendas[[#This Row],[Valor da Venda]]-(_xlfn.XLOOKUP(Vendas[[#This Row],[ID Item Vendido]],Agregado[ID],Agregado[Custo])*Vendas[[#This Row],[Qnt Vendida]])</f>
        <v>100.79999999999995</v>
      </c>
      <c r="K2567" s="70">
        <f>Vendas[[#This Row],[Lucro da Venda]]/Vendas[[#This Row],[Valor da Venda]]</f>
        <v>0.13432835820895517</v>
      </c>
      <c r="L2567" s="3">
        <f>_xlfn.IFS(Vendas[[#This Row],[Margem de Lucro (%)]]&lt;15%,Vendas[[#This Row],[Valor da Venda]]*3%,Vendas[[#This Row],[Margem de Lucro (%)]]&lt;=20%,Vendas[[#This Row],[Valor da Venda]]*4.5%,TRUE,Vendas[[#This Row],[Valor da Venda]]*6%)</f>
        <v>22.511999999999997</v>
      </c>
      <c r="M2567"/>
    </row>
    <row r="2568" spans="1:13" x14ac:dyDescent="0.3">
      <c r="A2568" s="7">
        <v>400241</v>
      </c>
      <c r="B2568" t="str">
        <f>_xlfn.XLOOKUP(Vendas[[#This Row],[ID Vendedor]],Vendedores[ID],Vendedores[Nome])</f>
        <v>Rodrigo</v>
      </c>
      <c r="C2568" s="7" t="str">
        <f>_xlfn.XLOOKUP(Vendas[[#This Row],[ID Vendedor]],Vendedores[ID],Vendedores[Setor])</f>
        <v>FM</v>
      </c>
      <c r="D2568" s="7" t="s">
        <v>47</v>
      </c>
      <c r="E2568" t="str">
        <f>_xlfn.XLOOKUP(Vendas[[#This Row],[ID Item Vendido]],Agregado[ID],Agregado[Produto])</f>
        <v>Fio de arame galvanizado rolo 50m</v>
      </c>
      <c r="F2568" s="39">
        <v>45097</v>
      </c>
      <c r="G2568" s="7">
        <v>20</v>
      </c>
      <c r="H2568" s="3">
        <f>_xlfn.XLOOKUP(Vendas[[#This Row],[ID Item Vendido]],Agregado[ID],Agregado[Revenda])</f>
        <v>21.2</v>
      </c>
      <c r="I2568" s="3">
        <f>Vendas[[#This Row],[Valor Unitário]]*Vendas[[#This Row],[Qnt Vendida]]</f>
        <v>424</v>
      </c>
      <c r="J2568" s="3">
        <f>Vendas[[#This Row],[Valor da Venda]]-(_xlfn.XLOOKUP(Vendas[[#This Row],[ID Item Vendido]],Agregado[ID],Agregado[Custo])*Vendas[[#This Row],[Qnt Vendida]])</f>
        <v>64</v>
      </c>
      <c r="K2568" s="70">
        <f>Vendas[[#This Row],[Lucro da Venda]]/Vendas[[#This Row],[Valor da Venda]]</f>
        <v>0.15094339622641509</v>
      </c>
      <c r="L2568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568"/>
    </row>
    <row r="2569" spans="1:13" x14ac:dyDescent="0.3">
      <c r="A2569" s="7">
        <v>400241</v>
      </c>
      <c r="B2569" t="str">
        <f>_xlfn.XLOOKUP(Vendas[[#This Row],[ID Vendedor]],Vendedores[ID],Vendedores[Nome])</f>
        <v>Rodrigo</v>
      </c>
      <c r="C2569" s="7" t="str">
        <f>_xlfn.XLOOKUP(Vendas[[#This Row],[ID Vendedor]],Vendedores[ID],Vendedores[Setor])</f>
        <v>FM</v>
      </c>
      <c r="D2569" s="7" t="s">
        <v>20</v>
      </c>
      <c r="E2569" t="str">
        <f>_xlfn.XLOOKUP(Vendas[[#This Row],[ID Item Vendido]],Agregado[ID],Agregado[Produto])</f>
        <v>Barra de aço simples</v>
      </c>
      <c r="F2569" s="39">
        <v>45097</v>
      </c>
      <c r="G2569" s="7">
        <v>32</v>
      </c>
      <c r="H2569" s="3">
        <f>_xlfn.XLOOKUP(Vendas[[#This Row],[ID Item Vendido]],Agregado[ID],Agregado[Revenda])</f>
        <v>4.8</v>
      </c>
      <c r="I2569" s="3">
        <f>Vendas[[#This Row],[Valor Unitário]]*Vendas[[#This Row],[Qnt Vendida]]</f>
        <v>153.6</v>
      </c>
      <c r="J2569" s="3">
        <f>Vendas[[#This Row],[Valor da Venda]]-(_xlfn.XLOOKUP(Vendas[[#This Row],[ID Item Vendido]],Agregado[ID],Agregado[Custo])*Vendas[[#This Row],[Qnt Vendida]])</f>
        <v>19.199999999999989</v>
      </c>
      <c r="K2569" s="70">
        <f>Vendas[[#This Row],[Lucro da Venda]]/Vendas[[#This Row],[Valor da Venda]]</f>
        <v>0.12499999999999993</v>
      </c>
      <c r="L2569" s="3">
        <f>_xlfn.IFS(Vendas[[#This Row],[Margem de Lucro (%)]]&lt;15%,Vendas[[#This Row],[Valor da Venda]]*3%,Vendas[[#This Row],[Margem de Lucro (%)]]&lt;=20%,Vendas[[#This Row],[Valor da Venda]]*4.5%,TRUE,Vendas[[#This Row],[Valor da Venda]]*6%)</f>
        <v>4.6079999999999997</v>
      </c>
      <c r="M2569"/>
    </row>
    <row r="2570" spans="1:13" x14ac:dyDescent="0.3">
      <c r="A2570" s="7">
        <v>400246</v>
      </c>
      <c r="B2570" t="str">
        <f>_xlfn.XLOOKUP(Vendas[[#This Row],[ID Vendedor]],Vendedores[ID],Vendedores[Nome])</f>
        <v>Juliana</v>
      </c>
      <c r="C2570" s="7" t="str">
        <f>_xlfn.XLOOKUP(Vendas[[#This Row],[ID Vendedor]],Vendedores[ID],Vendedores[Setor])</f>
        <v>AHD</v>
      </c>
      <c r="D2570" s="7" t="s">
        <v>18</v>
      </c>
      <c r="E2570" t="str">
        <f>_xlfn.XLOOKUP(Vendas[[#This Row],[ID Item Vendido]],Agregado[ID],Agregado[Produto])</f>
        <v>Peça forjada sob encomenda</v>
      </c>
      <c r="F2570" s="39">
        <v>45098</v>
      </c>
      <c r="G2570" s="7">
        <v>3</v>
      </c>
      <c r="H2570" s="3">
        <f>_xlfn.XLOOKUP(Vendas[[#This Row],[ID Item Vendido]],Agregado[ID],Agregado[Revenda])</f>
        <v>264.60000000000002</v>
      </c>
      <c r="I2570" s="3">
        <f>Vendas[[#This Row],[Valor Unitário]]*Vendas[[#This Row],[Qnt Vendida]]</f>
        <v>793.80000000000007</v>
      </c>
      <c r="J2570" s="3">
        <f>Vendas[[#This Row],[Valor da Venda]]-(_xlfn.XLOOKUP(Vendas[[#This Row],[ID Item Vendido]],Agregado[ID],Agregado[Custo])*Vendas[[#This Row],[Qnt Vendida]])</f>
        <v>43.800000000000068</v>
      </c>
      <c r="K2570" s="70">
        <f>Vendas[[#This Row],[Lucro da Venda]]/Vendas[[#This Row],[Valor da Venda]]</f>
        <v>5.5177626606198113E-2</v>
      </c>
      <c r="L257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570"/>
    </row>
    <row r="2571" spans="1:13" x14ac:dyDescent="0.3">
      <c r="A2571" s="7">
        <v>400246</v>
      </c>
      <c r="B2571" t="str">
        <f>_xlfn.XLOOKUP(Vendas[[#This Row],[ID Vendedor]],Vendedores[ID],Vendedores[Nome])</f>
        <v>Juliana</v>
      </c>
      <c r="C2571" s="7" t="str">
        <f>_xlfn.XLOOKUP(Vendas[[#This Row],[ID Vendedor]],Vendedores[ID],Vendedores[Setor])</f>
        <v>AHD</v>
      </c>
      <c r="D2571" s="7" t="s">
        <v>30</v>
      </c>
      <c r="E2571" t="str">
        <f>_xlfn.XLOOKUP(Vendas[[#This Row],[ID Item Vendido]],Agregado[ID],Agregado[Produto])</f>
        <v>Estrutura metálica soldada</v>
      </c>
      <c r="F2571" s="39">
        <v>45099</v>
      </c>
      <c r="G2571" s="7">
        <v>5</v>
      </c>
      <c r="H2571" s="3">
        <f>_xlfn.XLOOKUP(Vendas[[#This Row],[ID Item Vendido]],Agregado[ID],Agregado[Revenda])</f>
        <v>400</v>
      </c>
      <c r="I2571" s="3">
        <f>Vendas[[#This Row],[Valor Unitário]]*Vendas[[#This Row],[Qnt Vendida]]</f>
        <v>2000</v>
      </c>
      <c r="J2571" s="3">
        <f>Vendas[[#This Row],[Valor da Venda]]-(_xlfn.XLOOKUP(Vendas[[#This Row],[ID Item Vendido]],Agregado[ID],Agregado[Custo])*Vendas[[#This Row],[Qnt Vendida]])</f>
        <v>400</v>
      </c>
      <c r="K2571" s="70">
        <f>Vendas[[#This Row],[Lucro da Venda]]/Vendas[[#This Row],[Valor da Venda]]</f>
        <v>0.2</v>
      </c>
      <c r="L257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571"/>
    </row>
    <row r="2572" spans="1:13" x14ac:dyDescent="0.3">
      <c r="A2572" s="7">
        <v>400254</v>
      </c>
      <c r="B2572" t="str">
        <f>_xlfn.XLOOKUP(Vendas[[#This Row],[ID Vendedor]],Vendedores[ID],Vendedores[Nome])</f>
        <v>Beatriz</v>
      </c>
      <c r="C2572" s="7" t="str">
        <f>_xlfn.XLOOKUP(Vendas[[#This Row],[ID Vendedor]],Vendedores[ID],Vendedores[Setor])</f>
        <v>SC</v>
      </c>
      <c r="D2572" s="7" t="s">
        <v>14</v>
      </c>
      <c r="E2572" t="str">
        <f>_xlfn.XLOOKUP(Vendas[[#This Row],[ID Item Vendido]],Agregado[ID],Agregado[Produto])</f>
        <v>Barril de plástico 200L</v>
      </c>
      <c r="F2572" s="39">
        <v>45099</v>
      </c>
      <c r="G2572" s="7">
        <v>17</v>
      </c>
      <c r="H2572" s="3">
        <f>_xlfn.XLOOKUP(Vendas[[#This Row],[ID Item Vendido]],Agregado[ID],Agregado[Revenda])</f>
        <v>114</v>
      </c>
      <c r="I2572" s="3">
        <f>Vendas[[#This Row],[Valor Unitário]]*Vendas[[#This Row],[Qnt Vendida]]</f>
        <v>1938</v>
      </c>
      <c r="J2572" s="3">
        <f>Vendas[[#This Row],[Valor da Venda]]-(_xlfn.XLOOKUP(Vendas[[#This Row],[ID Item Vendido]],Agregado[ID],Agregado[Custo])*Vendas[[#This Row],[Qnt Vendida]])</f>
        <v>323</v>
      </c>
      <c r="K2572" s="70">
        <f>Vendas[[#This Row],[Lucro da Venda]]/Vendas[[#This Row],[Valor da Venda]]</f>
        <v>0.16666666666666666</v>
      </c>
      <c r="L2572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572"/>
    </row>
    <row r="2573" spans="1:13" x14ac:dyDescent="0.3">
      <c r="A2573" s="7">
        <v>400244</v>
      </c>
      <c r="B2573" t="str">
        <f>_xlfn.XLOOKUP(Vendas[[#This Row],[ID Vendedor]],Vendedores[ID],Vendedores[Nome])</f>
        <v>Camila</v>
      </c>
      <c r="C2573" s="7" t="str">
        <f>_xlfn.XLOOKUP(Vendas[[#This Row],[ID Vendedor]],Vendedores[ID],Vendedores[Setor])</f>
        <v>AHD</v>
      </c>
      <c r="D2573" s="7" t="s">
        <v>44</v>
      </c>
      <c r="E2573" t="str">
        <f>_xlfn.XLOOKUP(Vendas[[#This Row],[ID Item Vendido]],Agregado[ID],Agregado[Produto])</f>
        <v>Liga metálica especial</v>
      </c>
      <c r="F2573" s="39">
        <v>45099</v>
      </c>
      <c r="G2573" s="7">
        <v>49</v>
      </c>
      <c r="H2573" s="3">
        <f>_xlfn.XLOOKUP(Vendas[[#This Row],[ID Item Vendido]],Agregado[ID],Agregado[Revenda])</f>
        <v>32.5</v>
      </c>
      <c r="I2573" s="3">
        <f>Vendas[[#This Row],[Valor Unitário]]*Vendas[[#This Row],[Qnt Vendida]]</f>
        <v>1592.5</v>
      </c>
      <c r="J2573" s="3">
        <f>Vendas[[#This Row],[Valor da Venda]]-(_xlfn.XLOOKUP(Vendas[[#This Row],[ID Item Vendido]],Agregado[ID],Agregado[Custo])*Vendas[[#This Row],[Qnt Vendida]])</f>
        <v>367.5</v>
      </c>
      <c r="K2573" s="70">
        <f>Vendas[[#This Row],[Lucro da Venda]]/Vendas[[#This Row],[Valor da Venda]]</f>
        <v>0.23076923076923078</v>
      </c>
      <c r="L2573" s="3">
        <f>_xlfn.IFS(Vendas[[#This Row],[Margem de Lucro (%)]]&lt;15%,Vendas[[#This Row],[Valor da Venda]]*3%,Vendas[[#This Row],[Margem de Lucro (%)]]&lt;=20%,Vendas[[#This Row],[Valor da Venda]]*4.5%,TRUE,Vendas[[#This Row],[Valor da Venda]]*6%)</f>
        <v>95.55</v>
      </c>
      <c r="M2573"/>
    </row>
    <row r="2574" spans="1:13" x14ac:dyDescent="0.3">
      <c r="A2574" s="7">
        <v>400248</v>
      </c>
      <c r="B2574" t="str">
        <f>_xlfn.XLOOKUP(Vendas[[#This Row],[ID Vendedor]],Vendedores[ID],Vendedores[Nome])</f>
        <v>Patrícia</v>
      </c>
      <c r="C2574" s="7" t="str">
        <f>_xlfn.XLOOKUP(Vendas[[#This Row],[ID Vendedor]],Vendedores[ID],Vendedores[Setor])</f>
        <v>CM</v>
      </c>
      <c r="D2574" s="7" t="s">
        <v>32</v>
      </c>
      <c r="E2574" t="str">
        <f>_xlfn.XLOOKUP(Vendas[[#This Row],[ID Item Vendido]],Agregado[ID],Agregado[Produto])</f>
        <v>Tábua tratada e cortada 3m</v>
      </c>
      <c r="F2574" s="39">
        <v>45099</v>
      </c>
      <c r="G2574" s="7">
        <v>16</v>
      </c>
      <c r="H2574" s="3">
        <f>_xlfn.XLOOKUP(Vendas[[#This Row],[ID Item Vendido]],Agregado[ID],Agregado[Revenda])</f>
        <v>39</v>
      </c>
      <c r="I2574" s="3">
        <f>Vendas[[#This Row],[Valor Unitário]]*Vendas[[#This Row],[Qnt Vendida]]</f>
        <v>624</v>
      </c>
      <c r="J2574" s="3">
        <f>Vendas[[#This Row],[Valor da Venda]]-(_xlfn.XLOOKUP(Vendas[[#This Row],[ID Item Vendido]],Agregado[ID],Agregado[Custo])*Vendas[[#This Row],[Qnt Vendida]])</f>
        <v>112</v>
      </c>
      <c r="K2574" s="70">
        <f>Vendas[[#This Row],[Lucro da Venda]]/Vendas[[#This Row],[Valor da Venda]]</f>
        <v>0.17948717948717949</v>
      </c>
      <c r="L2574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2574"/>
    </row>
    <row r="2575" spans="1:13" x14ac:dyDescent="0.3">
      <c r="A2575" s="7">
        <v>400241</v>
      </c>
      <c r="B2575" t="str">
        <f>_xlfn.XLOOKUP(Vendas[[#This Row],[ID Vendedor]],Vendedores[ID],Vendedores[Nome])</f>
        <v>Rodrigo</v>
      </c>
      <c r="C2575" s="7" t="str">
        <f>_xlfn.XLOOKUP(Vendas[[#This Row],[ID Vendedor]],Vendedores[ID],Vendedores[Setor])</f>
        <v>FM</v>
      </c>
      <c r="D2575" s="7" t="s">
        <v>31</v>
      </c>
      <c r="E2575" t="str">
        <f>_xlfn.XLOOKUP(Vendas[[#This Row],[ID Item Vendido]],Agregado[ID],Agregado[Produto])</f>
        <v>Tela de metal soldada rolo 2x25m</v>
      </c>
      <c r="F2575" s="39">
        <v>45100</v>
      </c>
      <c r="G2575" s="7">
        <v>11</v>
      </c>
      <c r="H2575" s="3">
        <f>_xlfn.XLOOKUP(Vendas[[#This Row],[ID Item Vendido]],Agregado[ID],Agregado[Revenda])</f>
        <v>43.7</v>
      </c>
      <c r="I2575" s="3">
        <f>Vendas[[#This Row],[Valor Unitário]]*Vendas[[#This Row],[Qnt Vendida]]</f>
        <v>480.70000000000005</v>
      </c>
      <c r="J2575" s="3">
        <f>Vendas[[#This Row],[Valor da Venda]]-(_xlfn.XLOOKUP(Vendas[[#This Row],[ID Item Vendido]],Agregado[ID],Agregado[Custo])*Vendas[[#This Row],[Qnt Vendida]])</f>
        <v>62.700000000000045</v>
      </c>
      <c r="K2575" s="70">
        <f>Vendas[[#This Row],[Lucro da Venda]]/Vendas[[#This Row],[Valor da Venda]]</f>
        <v>0.13043478260869573</v>
      </c>
      <c r="L2575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2575"/>
    </row>
    <row r="2576" spans="1:13" x14ac:dyDescent="0.3">
      <c r="A2576" s="7">
        <v>400248</v>
      </c>
      <c r="B2576" t="str">
        <f>_xlfn.XLOOKUP(Vendas[[#This Row],[ID Vendedor]],Vendedores[ID],Vendedores[Nome])</f>
        <v>Patrícia</v>
      </c>
      <c r="C2576" s="7" t="str">
        <f>_xlfn.XLOOKUP(Vendas[[#This Row],[ID Vendedor]],Vendedores[ID],Vendedores[Setor])</f>
        <v>CM</v>
      </c>
      <c r="D2576" s="7" t="s">
        <v>34</v>
      </c>
      <c r="E2576" t="str">
        <f>_xlfn.XLOOKUP(Vendas[[#This Row],[ID Item Vendido]],Agregado[ID],Agregado[Produto])</f>
        <v>Restos de madeira p/ MDP/OSB saco de 20kg</v>
      </c>
      <c r="F2576" s="39">
        <v>45100</v>
      </c>
      <c r="G2576" s="7">
        <v>23</v>
      </c>
      <c r="H2576" s="3">
        <f>_xlfn.XLOOKUP(Vendas[[#This Row],[ID Item Vendido]],Agregado[ID],Agregado[Revenda])</f>
        <v>13.8</v>
      </c>
      <c r="I2576" s="3">
        <f>Vendas[[#This Row],[Valor Unitário]]*Vendas[[#This Row],[Qnt Vendida]]</f>
        <v>317.40000000000003</v>
      </c>
      <c r="J2576" s="3">
        <f>Vendas[[#This Row],[Valor da Venda]]-(_xlfn.XLOOKUP(Vendas[[#This Row],[ID Item Vendido]],Agregado[ID],Agregado[Custo])*Vendas[[#This Row],[Qnt Vendida]])</f>
        <v>41.400000000000034</v>
      </c>
      <c r="K2576" s="70">
        <f>Vendas[[#This Row],[Lucro da Venda]]/Vendas[[#This Row],[Valor da Venda]]</f>
        <v>0.13043478260869573</v>
      </c>
      <c r="L2576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2576"/>
    </row>
    <row r="2577" spans="1:13" x14ac:dyDescent="0.3">
      <c r="A2577" s="7">
        <v>400244</v>
      </c>
      <c r="B2577" t="str">
        <f>_xlfn.XLOOKUP(Vendas[[#This Row],[ID Vendedor]],Vendedores[ID],Vendedores[Nome])</f>
        <v>Camila</v>
      </c>
      <c r="C2577" s="7" t="str">
        <f>_xlfn.XLOOKUP(Vendas[[#This Row],[ID Vendedor]],Vendedores[ID],Vendedores[Setor])</f>
        <v>AHD</v>
      </c>
      <c r="D2577" s="7" t="s">
        <v>30</v>
      </c>
      <c r="E2577" t="str">
        <f>_xlfn.XLOOKUP(Vendas[[#This Row],[ID Item Vendido]],Agregado[ID],Agregado[Produto])</f>
        <v>Estrutura metálica soldada</v>
      </c>
      <c r="F2577" s="39">
        <v>45101</v>
      </c>
      <c r="G2577" s="7">
        <v>3</v>
      </c>
      <c r="H2577" s="3">
        <f>_xlfn.XLOOKUP(Vendas[[#This Row],[ID Item Vendido]],Agregado[ID],Agregado[Revenda])</f>
        <v>400</v>
      </c>
      <c r="I2577" s="3">
        <f>Vendas[[#This Row],[Valor Unitário]]*Vendas[[#This Row],[Qnt Vendida]]</f>
        <v>1200</v>
      </c>
      <c r="J2577" s="3">
        <f>Vendas[[#This Row],[Valor da Venda]]-(_xlfn.XLOOKUP(Vendas[[#This Row],[ID Item Vendido]],Agregado[ID],Agregado[Custo])*Vendas[[#This Row],[Qnt Vendida]])</f>
        <v>240</v>
      </c>
      <c r="K2577" s="70">
        <f>Vendas[[#This Row],[Lucro da Venda]]/Vendas[[#This Row],[Valor da Venda]]</f>
        <v>0.2</v>
      </c>
      <c r="L2577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577"/>
    </row>
    <row r="2578" spans="1:13" x14ac:dyDescent="0.3">
      <c r="A2578" s="7">
        <v>400242</v>
      </c>
      <c r="B2578" t="str">
        <f>_xlfn.XLOOKUP(Vendas[[#This Row],[ID Vendedor]],Vendedores[ID],Vendedores[Nome])</f>
        <v>Fernanda</v>
      </c>
      <c r="C2578" s="7" t="str">
        <f>_xlfn.XLOOKUP(Vendas[[#This Row],[ID Vendedor]],Vendedores[ID],Vendedores[Setor])</f>
        <v>FM</v>
      </c>
      <c r="D2578" s="7" t="s">
        <v>27</v>
      </c>
      <c r="E2578" t="str">
        <f>_xlfn.XLOOKUP(Vendas[[#This Row],[ID Item Vendido]],Agregado[ID],Agregado[Produto])</f>
        <v>Chapa de metal lisa 1x2m</v>
      </c>
      <c r="F2578" s="39">
        <v>45101</v>
      </c>
      <c r="G2578" s="7">
        <v>3</v>
      </c>
      <c r="H2578" s="3">
        <f>_xlfn.XLOOKUP(Vendas[[#This Row],[ID Item Vendido]],Agregado[ID],Agregado[Revenda])</f>
        <v>52</v>
      </c>
      <c r="I2578" s="3">
        <f>Vendas[[#This Row],[Valor Unitário]]*Vendas[[#This Row],[Qnt Vendida]]</f>
        <v>156</v>
      </c>
      <c r="J2578" s="3">
        <f>Vendas[[#This Row],[Valor da Venda]]-(_xlfn.XLOOKUP(Vendas[[#This Row],[ID Item Vendido]],Agregado[ID],Agregado[Custo])*Vendas[[#This Row],[Qnt Vendida]])</f>
        <v>21</v>
      </c>
      <c r="K2578" s="70">
        <f>Vendas[[#This Row],[Lucro da Venda]]/Vendas[[#This Row],[Valor da Venda]]</f>
        <v>0.13461538461538461</v>
      </c>
      <c r="L2578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2578"/>
    </row>
    <row r="2579" spans="1:13" x14ac:dyDescent="0.3">
      <c r="A2579" s="7">
        <v>400246</v>
      </c>
      <c r="B2579" t="str">
        <f>_xlfn.XLOOKUP(Vendas[[#This Row],[ID Vendedor]],Vendedores[ID],Vendedores[Nome])</f>
        <v>Juliana</v>
      </c>
      <c r="C2579" s="7" t="str">
        <f>_xlfn.XLOOKUP(Vendas[[#This Row],[ID Vendedor]],Vendedores[ID],Vendedores[Setor])</f>
        <v>AHD</v>
      </c>
      <c r="D2579" s="7" t="s">
        <v>28</v>
      </c>
      <c r="E2579" t="str">
        <f>_xlfn.XLOOKUP(Vendas[[#This Row],[ID Item Vendido]],Agregado[ID],Agregado[Produto])</f>
        <v>Peça usinada CNC</v>
      </c>
      <c r="F2579" s="39">
        <v>45102</v>
      </c>
      <c r="G2579" s="7">
        <v>15</v>
      </c>
      <c r="H2579" s="3">
        <f>_xlfn.XLOOKUP(Vendas[[#This Row],[ID Item Vendido]],Agregado[ID],Agregado[Revenda])</f>
        <v>192</v>
      </c>
      <c r="I2579" s="3">
        <f>Vendas[[#This Row],[Valor Unitário]]*Vendas[[#This Row],[Qnt Vendida]]</f>
        <v>2880</v>
      </c>
      <c r="J2579" s="3">
        <f>Vendas[[#This Row],[Valor da Venda]]-(_xlfn.XLOOKUP(Vendas[[#This Row],[ID Item Vendido]],Agregado[ID],Agregado[Custo])*Vendas[[#This Row],[Qnt Vendida]])</f>
        <v>630</v>
      </c>
      <c r="K2579" s="70">
        <f>Vendas[[#This Row],[Lucro da Venda]]/Vendas[[#This Row],[Valor da Venda]]</f>
        <v>0.21875</v>
      </c>
      <c r="L2579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2579"/>
    </row>
    <row r="2580" spans="1:13" x14ac:dyDescent="0.3">
      <c r="A2580" s="7">
        <v>400249</v>
      </c>
      <c r="B2580" t="str">
        <f>_xlfn.XLOOKUP(Vendas[[#This Row],[ID Vendedor]],Vendedores[ID],Vendedores[Nome])</f>
        <v>Bruno</v>
      </c>
      <c r="C2580" s="7" t="str">
        <f>_xlfn.XLOOKUP(Vendas[[#This Row],[ID Vendedor]],Vendedores[ID],Vendedores[Setor])</f>
        <v>CM</v>
      </c>
      <c r="D2580" s="7" t="s">
        <v>32</v>
      </c>
      <c r="E2580" t="str">
        <f>_xlfn.XLOOKUP(Vendas[[#This Row],[ID Item Vendido]],Agregado[ID],Agregado[Produto])</f>
        <v>Tábua tratada e cortada 3m</v>
      </c>
      <c r="F2580" s="39">
        <v>45102</v>
      </c>
      <c r="G2580" s="7">
        <v>44</v>
      </c>
      <c r="H2580" s="3">
        <f>_xlfn.XLOOKUP(Vendas[[#This Row],[ID Item Vendido]],Agregado[ID],Agregado[Revenda])</f>
        <v>39</v>
      </c>
      <c r="I2580" s="3">
        <f>Vendas[[#This Row],[Valor Unitário]]*Vendas[[#This Row],[Qnt Vendida]]</f>
        <v>1716</v>
      </c>
      <c r="J2580" s="3">
        <f>Vendas[[#This Row],[Valor da Venda]]-(_xlfn.XLOOKUP(Vendas[[#This Row],[ID Item Vendido]],Agregado[ID],Agregado[Custo])*Vendas[[#This Row],[Qnt Vendida]])</f>
        <v>308</v>
      </c>
      <c r="K2580" s="70">
        <f>Vendas[[#This Row],[Lucro da Venda]]/Vendas[[#This Row],[Valor da Venda]]</f>
        <v>0.17948717948717949</v>
      </c>
      <c r="L2580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2580"/>
    </row>
    <row r="2581" spans="1:13" x14ac:dyDescent="0.3">
      <c r="A2581" s="7">
        <v>400246</v>
      </c>
      <c r="B2581" t="str">
        <f>_xlfn.XLOOKUP(Vendas[[#This Row],[ID Vendedor]],Vendedores[ID],Vendedores[Nome])</f>
        <v>Juliana</v>
      </c>
      <c r="C2581" s="7" t="str">
        <f>_xlfn.XLOOKUP(Vendas[[#This Row],[ID Vendedor]],Vendedores[ID],Vendedores[Setor])</f>
        <v>AHD</v>
      </c>
      <c r="D2581" s="7" t="s">
        <v>18</v>
      </c>
      <c r="E2581" t="str">
        <f>_xlfn.XLOOKUP(Vendas[[#This Row],[ID Item Vendido]],Agregado[ID],Agregado[Produto])</f>
        <v>Peça forjada sob encomenda</v>
      </c>
      <c r="F2581" s="39">
        <v>45102</v>
      </c>
      <c r="G2581" s="7">
        <v>4</v>
      </c>
      <c r="H2581" s="3">
        <f>_xlfn.XLOOKUP(Vendas[[#This Row],[ID Item Vendido]],Agregado[ID],Agregado[Revenda])</f>
        <v>264.60000000000002</v>
      </c>
      <c r="I2581" s="3">
        <f>Vendas[[#This Row],[Valor Unitário]]*Vendas[[#This Row],[Qnt Vendida]]</f>
        <v>1058.4000000000001</v>
      </c>
      <c r="J2581" s="3">
        <f>Vendas[[#This Row],[Valor da Venda]]-(_xlfn.XLOOKUP(Vendas[[#This Row],[ID Item Vendido]],Agregado[ID],Agregado[Custo])*Vendas[[#This Row],[Qnt Vendida]])</f>
        <v>58.400000000000091</v>
      </c>
      <c r="K2581" s="70">
        <f>Vendas[[#This Row],[Lucro da Venda]]/Vendas[[#This Row],[Valor da Venda]]</f>
        <v>5.5177626606198113E-2</v>
      </c>
      <c r="L258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581"/>
    </row>
    <row r="2582" spans="1:13" x14ac:dyDescent="0.3">
      <c r="A2582" s="7">
        <v>400241</v>
      </c>
      <c r="B2582" t="str">
        <f>_xlfn.XLOOKUP(Vendas[[#This Row],[ID Vendedor]],Vendedores[ID],Vendedores[Nome])</f>
        <v>Rodrigo</v>
      </c>
      <c r="C2582" s="7" t="str">
        <f>_xlfn.XLOOKUP(Vendas[[#This Row],[ID Vendedor]],Vendedores[ID],Vendedores[Setor])</f>
        <v>FM</v>
      </c>
      <c r="D2582" s="7" t="s">
        <v>6</v>
      </c>
      <c r="E2582" t="str">
        <f>_xlfn.XLOOKUP(Vendas[[#This Row],[ID Item Vendido]],Agregado[ID],Agregado[Produto])</f>
        <v>Parafuso comum 500un</v>
      </c>
      <c r="F2582" s="39">
        <v>45102</v>
      </c>
      <c r="G2582" s="7">
        <v>8</v>
      </c>
      <c r="H2582" s="3">
        <f>_xlfn.XLOOKUP(Vendas[[#This Row],[ID Item Vendido]],Agregado[ID],Agregado[Revenda])</f>
        <v>24.6</v>
      </c>
      <c r="I2582" s="3">
        <f>Vendas[[#This Row],[Valor Unitário]]*Vendas[[#This Row],[Qnt Vendida]]</f>
        <v>196.8</v>
      </c>
      <c r="J2582" s="3">
        <f>Vendas[[#This Row],[Valor da Venda]]-(_xlfn.XLOOKUP(Vendas[[#This Row],[ID Item Vendido]],Agregado[ID],Agregado[Custo])*Vendas[[#This Row],[Qnt Vendida]])</f>
        <v>20.800000000000011</v>
      </c>
      <c r="K2582" s="70">
        <f>Vendas[[#This Row],[Lucro da Venda]]/Vendas[[#This Row],[Valor da Venda]]</f>
        <v>0.10569105691056915</v>
      </c>
      <c r="L2582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582"/>
    </row>
    <row r="2583" spans="1:13" x14ac:dyDescent="0.3">
      <c r="A2583" s="7">
        <v>400246</v>
      </c>
      <c r="B2583" t="str">
        <f>_xlfn.XLOOKUP(Vendas[[#This Row],[ID Vendedor]],Vendedores[ID],Vendedores[Nome])</f>
        <v>Juliana</v>
      </c>
      <c r="C2583" s="7" t="str">
        <f>_xlfn.XLOOKUP(Vendas[[#This Row],[ID Vendedor]],Vendedores[ID],Vendedores[Setor])</f>
        <v>AHD</v>
      </c>
      <c r="D2583" s="7" t="s">
        <v>44</v>
      </c>
      <c r="E2583" t="str">
        <f>_xlfn.XLOOKUP(Vendas[[#This Row],[ID Item Vendido]],Agregado[ID],Agregado[Produto])</f>
        <v>Liga metálica especial</v>
      </c>
      <c r="F2583" s="39">
        <v>45103</v>
      </c>
      <c r="G2583" s="7">
        <v>43</v>
      </c>
      <c r="H2583" s="3">
        <f>_xlfn.XLOOKUP(Vendas[[#This Row],[ID Item Vendido]],Agregado[ID],Agregado[Revenda])</f>
        <v>32.5</v>
      </c>
      <c r="I2583" s="3">
        <f>Vendas[[#This Row],[Valor Unitário]]*Vendas[[#This Row],[Qnt Vendida]]</f>
        <v>1397.5</v>
      </c>
      <c r="J2583" s="3">
        <f>Vendas[[#This Row],[Valor da Venda]]-(_xlfn.XLOOKUP(Vendas[[#This Row],[ID Item Vendido]],Agregado[ID],Agregado[Custo])*Vendas[[#This Row],[Qnt Vendida]])</f>
        <v>322.5</v>
      </c>
      <c r="K2583" s="70">
        <f>Vendas[[#This Row],[Lucro da Venda]]/Vendas[[#This Row],[Valor da Venda]]</f>
        <v>0.23076923076923078</v>
      </c>
      <c r="L2583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2583"/>
    </row>
    <row r="2584" spans="1:13" x14ac:dyDescent="0.3">
      <c r="A2584" s="7">
        <v>400254</v>
      </c>
      <c r="B2584" t="str">
        <f>_xlfn.XLOOKUP(Vendas[[#This Row],[ID Vendedor]],Vendedores[ID],Vendedores[Nome])</f>
        <v>Beatriz</v>
      </c>
      <c r="C2584" s="7" t="str">
        <f>_xlfn.XLOOKUP(Vendas[[#This Row],[ID Vendedor]],Vendedores[ID],Vendedores[Setor])</f>
        <v>SC</v>
      </c>
      <c r="D2584" s="7" t="s">
        <v>25</v>
      </c>
      <c r="E2584" t="str">
        <f>_xlfn.XLOOKUP(Vendas[[#This Row],[ID Item Vendido]],Agregado[ID],Agregado[Produto])</f>
        <v>Palete de plástico</v>
      </c>
      <c r="F2584" s="39">
        <v>45103</v>
      </c>
      <c r="G2584" s="7">
        <v>12</v>
      </c>
      <c r="H2584" s="3">
        <f>_xlfn.XLOOKUP(Vendas[[#This Row],[ID Item Vendido]],Agregado[ID],Agregado[Revenda])</f>
        <v>70.8</v>
      </c>
      <c r="I2584" s="3">
        <f>Vendas[[#This Row],[Valor Unitário]]*Vendas[[#This Row],[Qnt Vendida]]</f>
        <v>849.59999999999991</v>
      </c>
      <c r="J2584" s="3">
        <f>Vendas[[#This Row],[Valor da Venda]]-(_xlfn.XLOOKUP(Vendas[[#This Row],[ID Item Vendido]],Agregado[ID],Agregado[Custo])*Vendas[[#This Row],[Qnt Vendida]])</f>
        <v>129.59999999999991</v>
      </c>
      <c r="K2584" s="70">
        <f>Vendas[[#This Row],[Lucro da Venda]]/Vendas[[#This Row],[Valor da Venda]]</f>
        <v>0.15254237288135583</v>
      </c>
      <c r="L2584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2584"/>
    </row>
    <row r="2585" spans="1:13" x14ac:dyDescent="0.3">
      <c r="A2585" s="7">
        <v>400244</v>
      </c>
      <c r="B2585" t="str">
        <f>_xlfn.XLOOKUP(Vendas[[#This Row],[ID Vendedor]],Vendedores[ID],Vendedores[Nome])</f>
        <v>Camila</v>
      </c>
      <c r="C2585" s="7" t="str">
        <f>_xlfn.XLOOKUP(Vendas[[#This Row],[ID Vendedor]],Vendedores[ID],Vendedores[Setor])</f>
        <v>AHD</v>
      </c>
      <c r="D2585" s="7" t="s">
        <v>18</v>
      </c>
      <c r="E2585" t="str">
        <f>_xlfn.XLOOKUP(Vendas[[#This Row],[ID Item Vendido]],Agregado[ID],Agregado[Produto])</f>
        <v>Peça forjada sob encomenda</v>
      </c>
      <c r="F2585" s="39">
        <v>45104</v>
      </c>
      <c r="G2585" s="7">
        <v>6</v>
      </c>
      <c r="H2585" s="3">
        <f>_xlfn.XLOOKUP(Vendas[[#This Row],[ID Item Vendido]],Agregado[ID],Agregado[Revenda])</f>
        <v>264.60000000000002</v>
      </c>
      <c r="I2585" s="3">
        <f>Vendas[[#This Row],[Valor Unitário]]*Vendas[[#This Row],[Qnt Vendida]]</f>
        <v>1587.6000000000001</v>
      </c>
      <c r="J2585" s="3">
        <f>Vendas[[#This Row],[Valor da Venda]]-(_xlfn.XLOOKUP(Vendas[[#This Row],[ID Item Vendido]],Agregado[ID],Agregado[Custo])*Vendas[[#This Row],[Qnt Vendida]])</f>
        <v>87.600000000000136</v>
      </c>
      <c r="K2585" s="70">
        <f>Vendas[[#This Row],[Lucro da Venda]]/Vendas[[#This Row],[Valor da Venda]]</f>
        <v>5.5177626606198113E-2</v>
      </c>
      <c r="L258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585"/>
    </row>
    <row r="2586" spans="1:13" x14ac:dyDescent="0.3">
      <c r="A2586" s="7">
        <v>400248</v>
      </c>
      <c r="B2586" t="str">
        <f>_xlfn.XLOOKUP(Vendas[[#This Row],[ID Vendedor]],Vendedores[ID],Vendedores[Nome])</f>
        <v>Patrícia</v>
      </c>
      <c r="C2586" s="7" t="str">
        <f>_xlfn.XLOOKUP(Vendas[[#This Row],[ID Vendedor]],Vendedores[ID],Vendedores[Setor])</f>
        <v>CM</v>
      </c>
      <c r="D2586" s="7" t="s">
        <v>32</v>
      </c>
      <c r="E2586" t="str">
        <f>_xlfn.XLOOKUP(Vendas[[#This Row],[ID Item Vendido]],Agregado[ID],Agregado[Produto])</f>
        <v>Tábua tratada e cortada 3m</v>
      </c>
      <c r="F2586" s="39">
        <v>45104</v>
      </c>
      <c r="G2586" s="7">
        <v>15</v>
      </c>
      <c r="H2586" s="3">
        <f>_xlfn.XLOOKUP(Vendas[[#This Row],[ID Item Vendido]],Agregado[ID],Agregado[Revenda])</f>
        <v>39</v>
      </c>
      <c r="I2586" s="3">
        <f>Vendas[[#This Row],[Valor Unitário]]*Vendas[[#This Row],[Qnt Vendida]]</f>
        <v>585</v>
      </c>
      <c r="J2586" s="3">
        <f>Vendas[[#This Row],[Valor da Venda]]-(_xlfn.XLOOKUP(Vendas[[#This Row],[ID Item Vendido]],Agregado[ID],Agregado[Custo])*Vendas[[#This Row],[Qnt Vendida]])</f>
        <v>105</v>
      </c>
      <c r="K2586" s="70">
        <f>Vendas[[#This Row],[Lucro da Venda]]/Vendas[[#This Row],[Valor da Venda]]</f>
        <v>0.17948717948717949</v>
      </c>
      <c r="L2586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2586"/>
    </row>
    <row r="2587" spans="1:13" x14ac:dyDescent="0.3">
      <c r="A2587" s="7">
        <v>400250</v>
      </c>
      <c r="B2587" t="str">
        <f>_xlfn.XLOOKUP(Vendas[[#This Row],[ID Vendedor]],Vendedores[ID],Vendedores[Nome])</f>
        <v>Larissa</v>
      </c>
      <c r="C2587" s="7" t="str">
        <f>_xlfn.XLOOKUP(Vendas[[#This Row],[ID Vendedor]],Vendedores[ID],Vendedores[Setor])</f>
        <v>AB</v>
      </c>
      <c r="D2587" s="7" t="s">
        <v>12</v>
      </c>
      <c r="E2587" t="str">
        <f>_xlfn.XLOOKUP(Vendas[[#This Row],[ID Item Vendido]],Agregado[ID],Agregado[Produto])</f>
        <v>Grânulo de plástico reciclado refinado</v>
      </c>
      <c r="F2587" s="39">
        <v>45104</v>
      </c>
      <c r="G2587" s="7">
        <v>98</v>
      </c>
      <c r="H2587" s="3">
        <f>_xlfn.XLOOKUP(Vendas[[#This Row],[ID Item Vendido]],Agregado[ID],Agregado[Revenda])</f>
        <v>4.7</v>
      </c>
      <c r="I2587" s="3">
        <f>Vendas[[#This Row],[Valor Unitário]]*Vendas[[#This Row],[Qnt Vendida]]</f>
        <v>460.6</v>
      </c>
      <c r="J2587" s="3">
        <f>Vendas[[#This Row],[Valor da Venda]]-(_xlfn.XLOOKUP(Vendas[[#This Row],[ID Item Vendido]],Agregado[ID],Agregado[Custo])*Vendas[[#This Row],[Qnt Vendida]])</f>
        <v>117.60000000000002</v>
      </c>
      <c r="K2587" s="70">
        <f>Vendas[[#This Row],[Lucro da Venda]]/Vendas[[#This Row],[Valor da Venda]]</f>
        <v>0.25531914893617025</v>
      </c>
      <c r="L2587" s="3">
        <f>_xlfn.IFS(Vendas[[#This Row],[Margem de Lucro (%)]]&lt;15%,Vendas[[#This Row],[Valor da Venda]]*3%,Vendas[[#This Row],[Margem de Lucro (%)]]&lt;=20%,Vendas[[#This Row],[Valor da Venda]]*4.5%,TRUE,Vendas[[#This Row],[Valor da Venda]]*6%)</f>
        <v>27.635999999999999</v>
      </c>
      <c r="M2587"/>
    </row>
    <row r="2588" spans="1:13" x14ac:dyDescent="0.3">
      <c r="A2588" s="7">
        <v>400249</v>
      </c>
      <c r="B2588" t="str">
        <f>_xlfn.XLOOKUP(Vendas[[#This Row],[ID Vendedor]],Vendedores[ID],Vendedores[Nome])</f>
        <v>Bruno</v>
      </c>
      <c r="C2588" s="7" t="str">
        <f>_xlfn.XLOOKUP(Vendas[[#This Row],[ID Vendedor]],Vendedores[ID],Vendedores[Setor])</f>
        <v>CM</v>
      </c>
      <c r="D2588" s="7" t="s">
        <v>32</v>
      </c>
      <c r="E2588" t="str">
        <f>_xlfn.XLOOKUP(Vendas[[#This Row],[ID Item Vendido]],Agregado[ID],Agregado[Produto])</f>
        <v>Tábua tratada e cortada 3m</v>
      </c>
      <c r="F2588" s="39">
        <v>45104</v>
      </c>
      <c r="G2588" s="7">
        <v>11</v>
      </c>
      <c r="H2588" s="3">
        <f>_xlfn.XLOOKUP(Vendas[[#This Row],[ID Item Vendido]],Agregado[ID],Agregado[Revenda])</f>
        <v>39</v>
      </c>
      <c r="I2588" s="3">
        <f>Vendas[[#This Row],[Valor Unitário]]*Vendas[[#This Row],[Qnt Vendida]]</f>
        <v>429</v>
      </c>
      <c r="J2588" s="3">
        <f>Vendas[[#This Row],[Valor da Venda]]-(_xlfn.XLOOKUP(Vendas[[#This Row],[ID Item Vendido]],Agregado[ID],Agregado[Custo])*Vendas[[#This Row],[Qnt Vendida]])</f>
        <v>77</v>
      </c>
      <c r="K2588" s="70">
        <f>Vendas[[#This Row],[Lucro da Venda]]/Vendas[[#This Row],[Valor da Venda]]</f>
        <v>0.17948717948717949</v>
      </c>
      <c r="L2588" s="3">
        <f>_xlfn.IFS(Vendas[[#This Row],[Margem de Lucro (%)]]&lt;15%,Vendas[[#This Row],[Valor da Venda]]*3%,Vendas[[#This Row],[Margem de Lucro (%)]]&lt;=20%,Vendas[[#This Row],[Valor da Venda]]*4.5%,TRUE,Vendas[[#This Row],[Valor da Venda]]*6%)</f>
        <v>19.305</v>
      </c>
      <c r="M2588"/>
    </row>
    <row r="2589" spans="1:13" x14ac:dyDescent="0.3">
      <c r="A2589" s="7">
        <v>400251</v>
      </c>
      <c r="B2589" t="str">
        <f>_xlfn.XLOOKUP(Vendas[[#This Row],[ID Vendedor]],Vendedores[ID],Vendedores[Nome])</f>
        <v>Diego</v>
      </c>
      <c r="C2589" s="7" t="str">
        <f>_xlfn.XLOOKUP(Vendas[[#This Row],[ID Vendedor]],Vendedores[ID],Vendedores[Setor])</f>
        <v>AB</v>
      </c>
      <c r="D2589" s="7" t="s">
        <v>37</v>
      </c>
      <c r="E2589" t="str">
        <f>_xlfn.XLOOKUP(Vendas[[#This Row],[ID Item Vendido]],Agregado[ID],Agregado[Produto])</f>
        <v>Composto de borracha para vedação rolo 10m</v>
      </c>
      <c r="F2589" s="39">
        <v>45104</v>
      </c>
      <c r="G2589" s="7">
        <v>6</v>
      </c>
      <c r="H2589" s="3">
        <f>_xlfn.XLOOKUP(Vendas[[#This Row],[ID Item Vendido]],Agregado[ID],Agregado[Revenda])</f>
        <v>51.2</v>
      </c>
      <c r="I2589" s="3">
        <f>Vendas[[#This Row],[Valor Unitário]]*Vendas[[#This Row],[Qnt Vendida]]</f>
        <v>307.20000000000005</v>
      </c>
      <c r="J2589" s="3">
        <f>Vendas[[#This Row],[Valor da Venda]]-(_xlfn.XLOOKUP(Vendas[[#This Row],[ID Item Vendido]],Agregado[ID],Agregado[Custo])*Vendas[[#This Row],[Qnt Vendida]])</f>
        <v>67.200000000000045</v>
      </c>
      <c r="K2589" s="70">
        <f>Vendas[[#This Row],[Lucro da Venda]]/Vendas[[#This Row],[Valor da Venda]]</f>
        <v>0.21875000000000011</v>
      </c>
      <c r="L2589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2589"/>
    </row>
    <row r="2590" spans="1:13" x14ac:dyDescent="0.3">
      <c r="A2590" s="7">
        <v>400242</v>
      </c>
      <c r="B2590" t="str">
        <f>_xlfn.XLOOKUP(Vendas[[#This Row],[ID Vendedor]],Vendedores[ID],Vendedores[Nome])</f>
        <v>Fernanda</v>
      </c>
      <c r="C2590" s="7" t="str">
        <f>_xlfn.XLOOKUP(Vendas[[#This Row],[ID Vendedor]],Vendedores[ID],Vendedores[Setor])</f>
        <v>FM</v>
      </c>
      <c r="D2590" s="7" t="s">
        <v>27</v>
      </c>
      <c r="E2590" t="str">
        <f>_xlfn.XLOOKUP(Vendas[[#This Row],[ID Item Vendido]],Agregado[ID],Agregado[Produto])</f>
        <v>Chapa de metal lisa 1x2m</v>
      </c>
      <c r="F2590" s="39">
        <v>45105</v>
      </c>
      <c r="G2590" s="7">
        <v>15</v>
      </c>
      <c r="H2590" s="3">
        <f>_xlfn.XLOOKUP(Vendas[[#This Row],[ID Item Vendido]],Agregado[ID],Agregado[Revenda])</f>
        <v>52</v>
      </c>
      <c r="I2590" s="3">
        <f>Vendas[[#This Row],[Valor Unitário]]*Vendas[[#This Row],[Qnt Vendida]]</f>
        <v>780</v>
      </c>
      <c r="J2590" s="3">
        <f>Vendas[[#This Row],[Valor da Venda]]-(_xlfn.XLOOKUP(Vendas[[#This Row],[ID Item Vendido]],Agregado[ID],Agregado[Custo])*Vendas[[#This Row],[Qnt Vendida]])</f>
        <v>105</v>
      </c>
      <c r="K2590" s="70">
        <f>Vendas[[#This Row],[Lucro da Venda]]/Vendas[[#This Row],[Valor da Venda]]</f>
        <v>0.13461538461538461</v>
      </c>
      <c r="L2590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2590"/>
    </row>
    <row r="2591" spans="1:13" x14ac:dyDescent="0.3">
      <c r="A2591" s="7">
        <v>400242</v>
      </c>
      <c r="B2591" t="str">
        <f>_xlfn.XLOOKUP(Vendas[[#This Row],[ID Vendedor]],Vendedores[ID],Vendedores[Nome])</f>
        <v>Fernanda</v>
      </c>
      <c r="C2591" s="7" t="str">
        <f>_xlfn.XLOOKUP(Vendas[[#This Row],[ID Vendedor]],Vendedores[ID],Vendedores[Setor])</f>
        <v>FM</v>
      </c>
      <c r="D2591" s="7" t="s">
        <v>31</v>
      </c>
      <c r="E2591" t="str">
        <f>_xlfn.XLOOKUP(Vendas[[#This Row],[ID Item Vendido]],Agregado[ID],Agregado[Produto])</f>
        <v>Tela de metal soldada rolo 2x25m</v>
      </c>
      <c r="F2591" s="39">
        <v>45106</v>
      </c>
      <c r="G2591" s="7">
        <v>16</v>
      </c>
      <c r="H2591" s="3">
        <f>_xlfn.XLOOKUP(Vendas[[#This Row],[ID Item Vendido]],Agregado[ID],Agregado[Revenda])</f>
        <v>43.7</v>
      </c>
      <c r="I2591" s="3">
        <f>Vendas[[#This Row],[Valor Unitário]]*Vendas[[#This Row],[Qnt Vendida]]</f>
        <v>699.2</v>
      </c>
      <c r="J2591" s="3">
        <f>Vendas[[#This Row],[Valor da Venda]]-(_xlfn.XLOOKUP(Vendas[[#This Row],[ID Item Vendido]],Agregado[ID],Agregado[Custo])*Vendas[[#This Row],[Qnt Vendida]])</f>
        <v>91.200000000000045</v>
      </c>
      <c r="K2591" s="70">
        <f>Vendas[[#This Row],[Lucro da Venda]]/Vendas[[#This Row],[Valor da Venda]]</f>
        <v>0.1304347826086957</v>
      </c>
      <c r="L2591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2591"/>
    </row>
    <row r="2592" spans="1:13" x14ac:dyDescent="0.3">
      <c r="A2592" s="7">
        <v>400253</v>
      </c>
      <c r="B2592" t="str">
        <f>_xlfn.XLOOKUP(Vendas[[#This Row],[ID Vendedor]],Vendedores[ID],Vendedores[Nome])</f>
        <v>Gustavo</v>
      </c>
      <c r="C2592" s="7" t="str">
        <f>_xlfn.XLOOKUP(Vendas[[#This Row],[ID Vendedor]],Vendedores[ID],Vendedores[Setor])</f>
        <v>SC</v>
      </c>
      <c r="D2592" s="7" t="s">
        <v>41</v>
      </c>
      <c r="E2592" t="str">
        <f>_xlfn.XLOOKUP(Vendas[[#This Row],[ID Item Vendido]],Agregado[ID],Agregado[Produto])</f>
        <v>Palete de madeira reforçado</v>
      </c>
      <c r="F2592" s="39">
        <v>45106</v>
      </c>
      <c r="G2592" s="7">
        <v>3</v>
      </c>
      <c r="H2592" s="3">
        <f>_xlfn.XLOOKUP(Vendas[[#This Row],[ID Item Vendido]],Agregado[ID],Agregado[Revenda])</f>
        <v>131</v>
      </c>
      <c r="I2592" s="3">
        <f>Vendas[[#This Row],[Valor Unitário]]*Vendas[[#This Row],[Qnt Vendida]]</f>
        <v>393</v>
      </c>
      <c r="J2592" s="3">
        <f>Vendas[[#This Row],[Valor da Venda]]-(_xlfn.XLOOKUP(Vendas[[#This Row],[ID Item Vendido]],Agregado[ID],Agregado[Custo])*Vendas[[#This Row],[Qnt Vendida]])</f>
        <v>63</v>
      </c>
      <c r="K2592" s="70">
        <f>Vendas[[#This Row],[Lucro da Venda]]/Vendas[[#This Row],[Valor da Venda]]</f>
        <v>0.16030534351145037</v>
      </c>
      <c r="L2592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2592"/>
    </row>
    <row r="2593" spans="1:13" x14ac:dyDescent="0.3">
      <c r="A2593" s="7">
        <v>400251</v>
      </c>
      <c r="B2593" t="str">
        <f>_xlfn.XLOOKUP(Vendas[[#This Row],[ID Vendedor]],Vendedores[ID],Vendedores[Nome])</f>
        <v>Diego</v>
      </c>
      <c r="C2593" s="7" t="str">
        <f>_xlfn.XLOOKUP(Vendas[[#This Row],[ID Vendedor]],Vendedores[ID],Vendedores[Setor])</f>
        <v>AB</v>
      </c>
      <c r="D2593" s="7" t="s">
        <v>37</v>
      </c>
      <c r="E2593" t="str">
        <f>_xlfn.XLOOKUP(Vendas[[#This Row],[ID Item Vendido]],Agregado[ID],Agregado[Produto])</f>
        <v>Composto de borracha para vedação rolo 10m</v>
      </c>
      <c r="F2593" s="39">
        <v>45106</v>
      </c>
      <c r="G2593" s="7">
        <v>2</v>
      </c>
      <c r="H2593" s="3">
        <f>_xlfn.XLOOKUP(Vendas[[#This Row],[ID Item Vendido]],Agregado[ID],Agregado[Revenda])</f>
        <v>51.2</v>
      </c>
      <c r="I2593" s="3">
        <f>Vendas[[#This Row],[Valor Unitário]]*Vendas[[#This Row],[Qnt Vendida]]</f>
        <v>102.4</v>
      </c>
      <c r="J2593" s="3">
        <f>Vendas[[#This Row],[Valor da Venda]]-(_xlfn.XLOOKUP(Vendas[[#This Row],[ID Item Vendido]],Agregado[ID],Agregado[Custo])*Vendas[[#This Row],[Qnt Vendida]])</f>
        <v>22.400000000000006</v>
      </c>
      <c r="K2593" s="70">
        <f>Vendas[[#This Row],[Lucro da Venda]]/Vendas[[#This Row],[Valor da Venda]]</f>
        <v>0.21875000000000006</v>
      </c>
      <c r="L2593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2593"/>
    </row>
    <row r="2594" spans="1:13" x14ac:dyDescent="0.3">
      <c r="A2594" s="7">
        <v>400251</v>
      </c>
      <c r="B2594" t="str">
        <f>_xlfn.XLOOKUP(Vendas[[#This Row],[ID Vendedor]],Vendedores[ID],Vendedores[Nome])</f>
        <v>Diego</v>
      </c>
      <c r="C2594" s="7" t="str">
        <f>_xlfn.XLOOKUP(Vendas[[#This Row],[ID Vendedor]],Vendedores[ID],Vendedores[Setor])</f>
        <v>AB</v>
      </c>
      <c r="D2594" s="7" t="s">
        <v>24</v>
      </c>
      <c r="E2594" t="str">
        <f>_xlfn.XLOOKUP(Vendas[[#This Row],[ID Item Vendido]],Agregado[ID],Agregado[Produto])</f>
        <v>Resina plástica PET purificada saco de 25kg</v>
      </c>
      <c r="F2594" s="39">
        <v>45107</v>
      </c>
      <c r="G2594" s="7">
        <v>27</v>
      </c>
      <c r="H2594" s="3">
        <f>_xlfn.XLOOKUP(Vendas[[#This Row],[ID Item Vendido]],Agregado[ID],Agregado[Revenda])</f>
        <v>119</v>
      </c>
      <c r="I2594" s="3">
        <f>Vendas[[#This Row],[Valor Unitário]]*Vendas[[#This Row],[Qnt Vendida]]</f>
        <v>3213</v>
      </c>
      <c r="J2594" s="3">
        <f>Vendas[[#This Row],[Valor da Venda]]-(_xlfn.XLOOKUP(Vendas[[#This Row],[ID Item Vendido]],Agregado[ID],Agregado[Custo])*Vendas[[#This Row],[Qnt Vendida]])</f>
        <v>918</v>
      </c>
      <c r="K2594" s="70">
        <f>Vendas[[#This Row],[Lucro da Venda]]/Vendas[[#This Row],[Valor da Venda]]</f>
        <v>0.2857142857142857</v>
      </c>
      <c r="L2594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2594"/>
    </row>
    <row r="2595" spans="1:13" x14ac:dyDescent="0.3">
      <c r="A2595" s="7">
        <v>400254</v>
      </c>
      <c r="B2595" t="str">
        <f>_xlfn.XLOOKUP(Vendas[[#This Row],[ID Vendedor]],Vendedores[ID],Vendedores[Nome])</f>
        <v>Beatriz</v>
      </c>
      <c r="C2595" s="7" t="str">
        <f>_xlfn.XLOOKUP(Vendas[[#This Row],[ID Vendedor]],Vendedores[ID],Vendedores[Setor])</f>
        <v>SC</v>
      </c>
      <c r="D2595" s="7" t="s">
        <v>14</v>
      </c>
      <c r="E2595" t="str">
        <f>_xlfn.XLOOKUP(Vendas[[#This Row],[ID Item Vendido]],Agregado[ID],Agregado[Produto])</f>
        <v>Barril de plástico 200L</v>
      </c>
      <c r="F2595" s="39">
        <v>45107</v>
      </c>
      <c r="G2595" s="7">
        <v>23</v>
      </c>
      <c r="H2595" s="3">
        <f>_xlfn.XLOOKUP(Vendas[[#This Row],[ID Item Vendido]],Agregado[ID],Agregado[Revenda])</f>
        <v>114</v>
      </c>
      <c r="I2595" s="3">
        <f>Vendas[[#This Row],[Valor Unitário]]*Vendas[[#This Row],[Qnt Vendida]]</f>
        <v>2622</v>
      </c>
      <c r="J2595" s="3">
        <f>Vendas[[#This Row],[Valor da Venda]]-(_xlfn.XLOOKUP(Vendas[[#This Row],[ID Item Vendido]],Agregado[ID],Agregado[Custo])*Vendas[[#This Row],[Qnt Vendida]])</f>
        <v>437</v>
      </c>
      <c r="K2595" s="70">
        <f>Vendas[[#This Row],[Lucro da Venda]]/Vendas[[#This Row],[Valor da Venda]]</f>
        <v>0.16666666666666666</v>
      </c>
      <c r="L2595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2595"/>
    </row>
    <row r="2596" spans="1:13" x14ac:dyDescent="0.3">
      <c r="A2596" s="7">
        <v>400243</v>
      </c>
      <c r="B2596" t="str">
        <f>_xlfn.XLOOKUP(Vendas[[#This Row],[ID Vendedor]],Vendedores[ID],Vendedores[Nome])</f>
        <v>Marcelo</v>
      </c>
      <c r="C2596" s="7" t="str">
        <f>_xlfn.XLOOKUP(Vendas[[#This Row],[ID Vendedor]],Vendedores[ID],Vendedores[Setor])</f>
        <v>FM</v>
      </c>
      <c r="D2596" s="7" t="s">
        <v>31</v>
      </c>
      <c r="E2596" t="str">
        <f>_xlfn.XLOOKUP(Vendas[[#This Row],[ID Item Vendido]],Agregado[ID],Agregado[Produto])</f>
        <v>Tela de metal soldada rolo 2x25m</v>
      </c>
      <c r="F2596" s="39">
        <v>45107</v>
      </c>
      <c r="G2596" s="7">
        <v>10</v>
      </c>
      <c r="H2596" s="3">
        <f>_xlfn.XLOOKUP(Vendas[[#This Row],[ID Item Vendido]],Agregado[ID],Agregado[Revenda])</f>
        <v>43.7</v>
      </c>
      <c r="I2596" s="3">
        <f>Vendas[[#This Row],[Valor Unitário]]*Vendas[[#This Row],[Qnt Vendida]]</f>
        <v>437</v>
      </c>
      <c r="J2596" s="3">
        <f>Vendas[[#This Row],[Valor da Venda]]-(_xlfn.XLOOKUP(Vendas[[#This Row],[ID Item Vendido]],Agregado[ID],Agregado[Custo])*Vendas[[#This Row],[Qnt Vendida]])</f>
        <v>57</v>
      </c>
      <c r="K2596" s="70">
        <f>Vendas[[#This Row],[Lucro da Venda]]/Vendas[[#This Row],[Valor da Venda]]</f>
        <v>0.13043478260869565</v>
      </c>
      <c r="L2596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2596"/>
    </row>
    <row r="2597" spans="1:13" x14ac:dyDescent="0.3">
      <c r="A2597" s="7">
        <v>400249</v>
      </c>
      <c r="B2597" t="str">
        <f>_xlfn.XLOOKUP(Vendas[[#This Row],[ID Vendedor]],Vendedores[ID],Vendedores[Nome])</f>
        <v>Bruno</v>
      </c>
      <c r="C2597" s="7" t="str">
        <f>_xlfn.XLOOKUP(Vendas[[#This Row],[ID Vendedor]],Vendedores[ID],Vendedores[Setor])</f>
        <v>CM</v>
      </c>
      <c r="D2597" s="7" t="s">
        <v>45</v>
      </c>
      <c r="E2597" t="str">
        <f>_xlfn.XLOOKUP(Vendas[[#This Row],[ID Item Vendido]],Agregado[ID],Agregado[Produto])</f>
        <v>Viga de madeira tratada 4m</v>
      </c>
      <c r="F2597" s="39">
        <v>45107</v>
      </c>
      <c r="G2597" s="7">
        <v>5</v>
      </c>
      <c r="H2597" s="3">
        <f>_xlfn.XLOOKUP(Vendas[[#This Row],[ID Item Vendido]],Agregado[ID],Agregado[Revenda])</f>
        <v>66</v>
      </c>
      <c r="I2597" s="3">
        <f>Vendas[[#This Row],[Valor Unitário]]*Vendas[[#This Row],[Qnt Vendida]]</f>
        <v>330</v>
      </c>
      <c r="J2597" s="3">
        <f>Vendas[[#This Row],[Valor da Venda]]-(_xlfn.XLOOKUP(Vendas[[#This Row],[ID Item Vendido]],Agregado[ID],Agregado[Custo])*Vendas[[#This Row],[Qnt Vendida]])</f>
        <v>55</v>
      </c>
      <c r="K2597" s="70">
        <f>Vendas[[#This Row],[Lucro da Venda]]/Vendas[[#This Row],[Valor da Venda]]</f>
        <v>0.16666666666666666</v>
      </c>
      <c r="L2597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2597"/>
    </row>
    <row r="2598" spans="1:13" x14ac:dyDescent="0.3">
      <c r="A2598" s="7">
        <v>400245</v>
      </c>
      <c r="B2598" t="str">
        <f>_xlfn.XLOOKUP(Vendas[[#This Row],[ID Vendedor]],Vendedores[ID],Vendedores[Nome])</f>
        <v>Thiago</v>
      </c>
      <c r="C2598" s="7" t="str">
        <f>_xlfn.XLOOKUP(Vendas[[#This Row],[ID Vendedor]],Vendedores[ID],Vendedores[Setor])</f>
        <v>AHD</v>
      </c>
      <c r="D2598" s="7" t="s">
        <v>28</v>
      </c>
      <c r="E2598" t="str">
        <f>_xlfn.XLOOKUP(Vendas[[#This Row],[ID Item Vendido]],Agregado[ID],Agregado[Produto])</f>
        <v>Peça usinada CNC</v>
      </c>
      <c r="F2598" s="39">
        <v>45107</v>
      </c>
      <c r="G2598" s="7">
        <v>1</v>
      </c>
      <c r="H2598" s="3">
        <f>_xlfn.XLOOKUP(Vendas[[#This Row],[ID Item Vendido]],Agregado[ID],Agregado[Revenda])</f>
        <v>192</v>
      </c>
      <c r="I2598" s="3">
        <f>Vendas[[#This Row],[Valor Unitário]]*Vendas[[#This Row],[Qnt Vendida]]</f>
        <v>192</v>
      </c>
      <c r="J2598" s="3">
        <f>Vendas[[#This Row],[Valor da Venda]]-(_xlfn.XLOOKUP(Vendas[[#This Row],[ID Item Vendido]],Agregado[ID],Agregado[Custo])*Vendas[[#This Row],[Qnt Vendida]])</f>
        <v>42</v>
      </c>
      <c r="K2598" s="70">
        <f>Vendas[[#This Row],[Lucro da Venda]]/Vendas[[#This Row],[Valor da Venda]]</f>
        <v>0.21875</v>
      </c>
      <c r="L2598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2598"/>
    </row>
    <row r="2599" spans="1:13" x14ac:dyDescent="0.3">
      <c r="A2599" s="7">
        <v>400247</v>
      </c>
      <c r="B2599" t="str">
        <f>_xlfn.XLOOKUP(Vendas[[#This Row],[ID Vendedor]],Vendedores[ID],Vendedores[Nome])</f>
        <v>André</v>
      </c>
      <c r="C2599" s="7" t="str">
        <f>_xlfn.XLOOKUP(Vendas[[#This Row],[ID Vendedor]],Vendedores[ID],Vendedores[Setor])</f>
        <v>CM</v>
      </c>
      <c r="D2599" s="7" t="s">
        <v>34</v>
      </c>
      <c r="E2599" t="str">
        <f>_xlfn.XLOOKUP(Vendas[[#This Row],[ID Item Vendido]],Agregado[ID],Agregado[Produto])</f>
        <v>Restos de madeira p/ MDP/OSB saco de 20kg</v>
      </c>
      <c r="F2599" s="39">
        <v>45107</v>
      </c>
      <c r="G2599" s="7">
        <v>3</v>
      </c>
      <c r="H2599" s="3">
        <f>_xlfn.XLOOKUP(Vendas[[#This Row],[ID Item Vendido]],Agregado[ID],Agregado[Revenda])</f>
        <v>13.8</v>
      </c>
      <c r="I2599" s="3">
        <f>Vendas[[#This Row],[Valor Unitário]]*Vendas[[#This Row],[Qnt Vendida]]</f>
        <v>41.400000000000006</v>
      </c>
      <c r="J2599" s="3">
        <f>Vendas[[#This Row],[Valor da Venda]]-(_xlfn.XLOOKUP(Vendas[[#This Row],[ID Item Vendido]],Agregado[ID],Agregado[Custo])*Vendas[[#This Row],[Qnt Vendida]])</f>
        <v>5.4000000000000057</v>
      </c>
      <c r="K2599" s="70">
        <f>Vendas[[#This Row],[Lucro da Venda]]/Vendas[[#This Row],[Valor da Venda]]</f>
        <v>0.13043478260869576</v>
      </c>
      <c r="L2599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2599"/>
    </row>
    <row r="2600" spans="1:13" x14ac:dyDescent="0.3">
      <c r="A2600" s="7">
        <v>400246</v>
      </c>
      <c r="B2600" t="str">
        <f>_xlfn.XLOOKUP(Vendas[[#This Row],[ID Vendedor]],Vendedores[ID],Vendedores[Nome])</f>
        <v>Juliana</v>
      </c>
      <c r="C2600" s="7" t="str">
        <f>_xlfn.XLOOKUP(Vendas[[#This Row],[ID Vendedor]],Vendedores[ID],Vendedores[Setor])</f>
        <v>AHD</v>
      </c>
      <c r="D2600" s="7" t="s">
        <v>28</v>
      </c>
      <c r="E2600" t="str">
        <f>_xlfn.XLOOKUP(Vendas[[#This Row],[ID Item Vendido]],Agregado[ID],Agregado[Produto])</f>
        <v>Peça usinada CNC</v>
      </c>
      <c r="F2600" s="39">
        <v>45108</v>
      </c>
      <c r="G2600" s="7">
        <v>15</v>
      </c>
      <c r="H2600" s="3">
        <f>_xlfn.XLOOKUP(Vendas[[#This Row],[ID Item Vendido]],Agregado[ID],Agregado[Revenda])</f>
        <v>192</v>
      </c>
      <c r="I2600" s="3">
        <f>Vendas[[#This Row],[Valor Unitário]]*Vendas[[#This Row],[Qnt Vendida]]</f>
        <v>2880</v>
      </c>
      <c r="J2600" s="3">
        <f>Vendas[[#This Row],[Valor da Venda]]-(_xlfn.XLOOKUP(Vendas[[#This Row],[ID Item Vendido]],Agregado[ID],Agregado[Custo])*Vendas[[#This Row],[Qnt Vendida]])</f>
        <v>630</v>
      </c>
      <c r="K2600" s="70">
        <f>Vendas[[#This Row],[Lucro da Venda]]/Vendas[[#This Row],[Valor da Venda]]</f>
        <v>0.21875</v>
      </c>
      <c r="L2600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2600"/>
    </row>
    <row r="2601" spans="1:13" x14ac:dyDescent="0.3">
      <c r="A2601" s="7">
        <v>400253</v>
      </c>
      <c r="B2601" t="str">
        <f>_xlfn.XLOOKUP(Vendas[[#This Row],[ID Vendedor]],Vendedores[ID],Vendedores[Nome])</f>
        <v>Gustavo</v>
      </c>
      <c r="C2601" s="7" t="str">
        <f>_xlfn.XLOOKUP(Vendas[[#This Row],[ID Vendedor]],Vendedores[ID],Vendedores[Setor])</f>
        <v>SC</v>
      </c>
      <c r="D2601" s="7" t="s">
        <v>14</v>
      </c>
      <c r="E2601" t="str">
        <f>_xlfn.XLOOKUP(Vendas[[#This Row],[ID Item Vendido]],Agregado[ID],Agregado[Produto])</f>
        <v>Barril de plástico 200L</v>
      </c>
      <c r="F2601" s="39">
        <v>45108</v>
      </c>
      <c r="G2601" s="7">
        <v>17</v>
      </c>
      <c r="H2601" s="3">
        <f>_xlfn.XLOOKUP(Vendas[[#This Row],[ID Item Vendido]],Agregado[ID],Agregado[Revenda])</f>
        <v>114</v>
      </c>
      <c r="I2601" s="3">
        <f>Vendas[[#This Row],[Valor Unitário]]*Vendas[[#This Row],[Qnt Vendida]]</f>
        <v>1938</v>
      </c>
      <c r="J2601" s="3">
        <f>Vendas[[#This Row],[Valor da Venda]]-(_xlfn.XLOOKUP(Vendas[[#This Row],[ID Item Vendido]],Agregado[ID],Agregado[Custo])*Vendas[[#This Row],[Qnt Vendida]])</f>
        <v>323</v>
      </c>
      <c r="K2601" s="70">
        <f>Vendas[[#This Row],[Lucro da Venda]]/Vendas[[#This Row],[Valor da Venda]]</f>
        <v>0.16666666666666666</v>
      </c>
      <c r="L2601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601"/>
    </row>
    <row r="2602" spans="1:13" x14ac:dyDescent="0.3">
      <c r="A2602" s="7">
        <v>400248</v>
      </c>
      <c r="B2602" t="str">
        <f>_xlfn.XLOOKUP(Vendas[[#This Row],[ID Vendedor]],Vendedores[ID],Vendedores[Nome])</f>
        <v>Patrícia</v>
      </c>
      <c r="C2602" s="7" t="str">
        <f>_xlfn.XLOOKUP(Vendas[[#This Row],[ID Vendedor]],Vendedores[ID],Vendedores[Setor])</f>
        <v>CM</v>
      </c>
      <c r="D2602" s="7" t="s">
        <v>45</v>
      </c>
      <c r="E2602" t="str">
        <f>_xlfn.XLOOKUP(Vendas[[#This Row],[ID Item Vendido]],Agregado[ID],Agregado[Produto])</f>
        <v>Viga de madeira tratada 4m</v>
      </c>
      <c r="F2602" s="39">
        <v>45108</v>
      </c>
      <c r="G2602" s="7">
        <v>12</v>
      </c>
      <c r="H2602" s="3">
        <f>_xlfn.XLOOKUP(Vendas[[#This Row],[ID Item Vendido]],Agregado[ID],Agregado[Revenda])</f>
        <v>66</v>
      </c>
      <c r="I2602" s="3">
        <f>Vendas[[#This Row],[Valor Unitário]]*Vendas[[#This Row],[Qnt Vendida]]</f>
        <v>792</v>
      </c>
      <c r="J2602" s="3">
        <f>Vendas[[#This Row],[Valor da Venda]]-(_xlfn.XLOOKUP(Vendas[[#This Row],[ID Item Vendido]],Agregado[ID],Agregado[Custo])*Vendas[[#This Row],[Qnt Vendida]])</f>
        <v>132</v>
      </c>
      <c r="K2602" s="70">
        <f>Vendas[[#This Row],[Lucro da Venda]]/Vendas[[#This Row],[Valor da Venda]]</f>
        <v>0.16666666666666666</v>
      </c>
      <c r="L2602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2602"/>
    </row>
    <row r="2603" spans="1:13" x14ac:dyDescent="0.3">
      <c r="A2603" s="7">
        <v>400250</v>
      </c>
      <c r="B2603" t="str">
        <f>_xlfn.XLOOKUP(Vendas[[#This Row],[ID Vendedor]],Vendedores[ID],Vendedores[Nome])</f>
        <v>Larissa</v>
      </c>
      <c r="C2603" s="7" t="str">
        <f>_xlfn.XLOOKUP(Vendas[[#This Row],[ID Vendedor]],Vendedores[ID],Vendedores[Setor])</f>
        <v>AB</v>
      </c>
      <c r="D2603" s="7" t="s">
        <v>12</v>
      </c>
      <c r="E2603" t="str">
        <f>_xlfn.XLOOKUP(Vendas[[#This Row],[ID Item Vendido]],Agregado[ID],Agregado[Produto])</f>
        <v>Grânulo de plástico reciclado refinado</v>
      </c>
      <c r="F2603" s="39">
        <v>45109</v>
      </c>
      <c r="G2603" s="7">
        <v>147</v>
      </c>
      <c r="H2603" s="3">
        <f>_xlfn.XLOOKUP(Vendas[[#This Row],[ID Item Vendido]],Agregado[ID],Agregado[Revenda])</f>
        <v>4.7</v>
      </c>
      <c r="I2603" s="3">
        <f>Vendas[[#This Row],[Valor Unitário]]*Vendas[[#This Row],[Qnt Vendida]]</f>
        <v>690.9</v>
      </c>
      <c r="J2603" s="3">
        <f>Vendas[[#This Row],[Valor da Venda]]-(_xlfn.XLOOKUP(Vendas[[#This Row],[ID Item Vendido]],Agregado[ID],Agregado[Custo])*Vendas[[#This Row],[Qnt Vendida]])</f>
        <v>176.39999999999998</v>
      </c>
      <c r="K2603" s="70">
        <f>Vendas[[#This Row],[Lucro da Venda]]/Vendas[[#This Row],[Valor da Venda]]</f>
        <v>0.25531914893617019</v>
      </c>
      <c r="L2603" s="3">
        <f>_xlfn.IFS(Vendas[[#This Row],[Margem de Lucro (%)]]&lt;15%,Vendas[[#This Row],[Valor da Venda]]*3%,Vendas[[#This Row],[Margem de Lucro (%)]]&lt;=20%,Vendas[[#This Row],[Valor da Venda]]*4.5%,TRUE,Vendas[[#This Row],[Valor da Venda]]*6%)</f>
        <v>41.454000000000001</v>
      </c>
      <c r="M2603"/>
    </row>
    <row r="2604" spans="1:13" x14ac:dyDescent="0.3">
      <c r="A2604" s="7">
        <v>400242</v>
      </c>
      <c r="B2604" t="str">
        <f>_xlfn.XLOOKUP(Vendas[[#This Row],[ID Vendedor]],Vendedores[ID],Vendedores[Nome])</f>
        <v>Fernanda</v>
      </c>
      <c r="C2604" s="7" t="str">
        <f>_xlfn.XLOOKUP(Vendas[[#This Row],[ID Vendedor]],Vendedores[ID],Vendedores[Setor])</f>
        <v>FM</v>
      </c>
      <c r="D2604" s="7" t="s">
        <v>6</v>
      </c>
      <c r="E2604" t="str">
        <f>_xlfn.XLOOKUP(Vendas[[#This Row],[ID Item Vendido]],Agregado[ID],Agregado[Produto])</f>
        <v>Parafuso comum 500un</v>
      </c>
      <c r="F2604" s="39">
        <v>45109</v>
      </c>
      <c r="G2604" s="7">
        <v>22</v>
      </c>
      <c r="H2604" s="3">
        <f>_xlfn.XLOOKUP(Vendas[[#This Row],[ID Item Vendido]],Agregado[ID],Agregado[Revenda])</f>
        <v>24.6</v>
      </c>
      <c r="I2604" s="3">
        <f>Vendas[[#This Row],[Valor Unitário]]*Vendas[[#This Row],[Qnt Vendida]]</f>
        <v>541.20000000000005</v>
      </c>
      <c r="J2604" s="3">
        <f>Vendas[[#This Row],[Valor da Venda]]-(_xlfn.XLOOKUP(Vendas[[#This Row],[ID Item Vendido]],Agregado[ID],Agregado[Custo])*Vendas[[#This Row],[Qnt Vendida]])</f>
        <v>57.200000000000045</v>
      </c>
      <c r="K2604" s="70">
        <f>Vendas[[#This Row],[Lucro da Venda]]/Vendas[[#This Row],[Valor da Venda]]</f>
        <v>0.10569105691056918</v>
      </c>
      <c r="L2604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604"/>
    </row>
    <row r="2605" spans="1:13" x14ac:dyDescent="0.3">
      <c r="A2605" s="7">
        <v>400245</v>
      </c>
      <c r="B2605" t="str">
        <f>_xlfn.XLOOKUP(Vendas[[#This Row],[ID Vendedor]],Vendedores[ID],Vendedores[Nome])</f>
        <v>Thiago</v>
      </c>
      <c r="C2605" s="7" t="str">
        <f>_xlfn.XLOOKUP(Vendas[[#This Row],[ID Vendedor]],Vendedores[ID],Vendedores[Setor])</f>
        <v>AHD</v>
      </c>
      <c r="D2605" s="7" t="s">
        <v>28</v>
      </c>
      <c r="E2605" t="str">
        <f>_xlfn.XLOOKUP(Vendas[[#This Row],[ID Item Vendido]],Agregado[ID],Agregado[Produto])</f>
        <v>Peça usinada CNC</v>
      </c>
      <c r="F2605" s="39">
        <v>45110</v>
      </c>
      <c r="G2605" s="7">
        <v>10</v>
      </c>
      <c r="H2605" s="3">
        <f>_xlfn.XLOOKUP(Vendas[[#This Row],[ID Item Vendido]],Agregado[ID],Agregado[Revenda])</f>
        <v>192</v>
      </c>
      <c r="I2605" s="3">
        <f>Vendas[[#This Row],[Valor Unitário]]*Vendas[[#This Row],[Qnt Vendida]]</f>
        <v>1920</v>
      </c>
      <c r="J2605" s="3">
        <f>Vendas[[#This Row],[Valor da Venda]]-(_xlfn.XLOOKUP(Vendas[[#This Row],[ID Item Vendido]],Agregado[ID],Agregado[Custo])*Vendas[[#This Row],[Qnt Vendida]])</f>
        <v>420</v>
      </c>
      <c r="K2605" s="70">
        <f>Vendas[[#This Row],[Lucro da Venda]]/Vendas[[#This Row],[Valor da Venda]]</f>
        <v>0.21875</v>
      </c>
      <c r="L2605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2605"/>
    </row>
    <row r="2606" spans="1:13" x14ac:dyDescent="0.3">
      <c r="A2606" s="7">
        <v>400254</v>
      </c>
      <c r="B2606" t="str">
        <f>_xlfn.XLOOKUP(Vendas[[#This Row],[ID Vendedor]],Vendedores[ID],Vendedores[Nome])</f>
        <v>Beatriz</v>
      </c>
      <c r="C2606" s="7" t="str">
        <f>_xlfn.XLOOKUP(Vendas[[#This Row],[ID Vendedor]],Vendedores[ID],Vendedores[Setor])</f>
        <v>SC</v>
      </c>
      <c r="D2606" s="7" t="s">
        <v>25</v>
      </c>
      <c r="E2606" t="str">
        <f>_xlfn.XLOOKUP(Vendas[[#This Row],[ID Item Vendido]],Agregado[ID],Agregado[Produto])</f>
        <v>Palete de plástico</v>
      </c>
      <c r="F2606" s="39">
        <v>45110</v>
      </c>
      <c r="G2606" s="7">
        <v>4</v>
      </c>
      <c r="H2606" s="3">
        <f>_xlfn.XLOOKUP(Vendas[[#This Row],[ID Item Vendido]],Agregado[ID],Agregado[Revenda])</f>
        <v>70.8</v>
      </c>
      <c r="I2606" s="3">
        <f>Vendas[[#This Row],[Valor Unitário]]*Vendas[[#This Row],[Qnt Vendida]]</f>
        <v>283.2</v>
      </c>
      <c r="J2606" s="3">
        <f>Vendas[[#This Row],[Valor da Venda]]-(_xlfn.XLOOKUP(Vendas[[#This Row],[ID Item Vendido]],Agregado[ID],Agregado[Custo])*Vendas[[#This Row],[Qnt Vendida]])</f>
        <v>43.199999999999989</v>
      </c>
      <c r="K2606" s="70">
        <f>Vendas[[#This Row],[Lucro da Venda]]/Vendas[[#This Row],[Valor da Venda]]</f>
        <v>0.15254237288135589</v>
      </c>
      <c r="L2606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2606"/>
    </row>
    <row r="2607" spans="1:13" x14ac:dyDescent="0.3">
      <c r="A2607" s="7">
        <v>400253</v>
      </c>
      <c r="B2607" t="str">
        <f>_xlfn.XLOOKUP(Vendas[[#This Row],[ID Vendedor]],Vendedores[ID],Vendedores[Nome])</f>
        <v>Gustavo</v>
      </c>
      <c r="C2607" s="7" t="str">
        <f>_xlfn.XLOOKUP(Vendas[[#This Row],[ID Vendedor]],Vendedores[ID],Vendedores[Setor])</f>
        <v>SC</v>
      </c>
      <c r="D2607" s="7" t="s">
        <v>48</v>
      </c>
      <c r="E2607" t="str">
        <f>_xlfn.XLOOKUP(Vendas[[#This Row],[ID Item Vendido]],Agregado[ID],Agregado[Produto])</f>
        <v>Tambor metálico 200L</v>
      </c>
      <c r="F2607" s="39">
        <v>45112</v>
      </c>
      <c r="G2607" s="7">
        <v>12</v>
      </c>
      <c r="H2607" s="3">
        <f>_xlfn.XLOOKUP(Vendas[[#This Row],[ID Item Vendido]],Agregado[ID],Agregado[Revenda])</f>
        <v>144</v>
      </c>
      <c r="I2607" s="3">
        <f>Vendas[[#This Row],[Valor Unitário]]*Vendas[[#This Row],[Qnt Vendida]]</f>
        <v>1728</v>
      </c>
      <c r="J2607" s="3">
        <f>Vendas[[#This Row],[Valor da Venda]]-(_xlfn.XLOOKUP(Vendas[[#This Row],[ID Item Vendido]],Agregado[ID],Agregado[Custo])*Vendas[[#This Row],[Qnt Vendida]])</f>
        <v>288</v>
      </c>
      <c r="K2607" s="70">
        <f>Vendas[[#This Row],[Lucro da Venda]]/Vendas[[#This Row],[Valor da Venda]]</f>
        <v>0.16666666666666666</v>
      </c>
      <c r="L2607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2607"/>
    </row>
    <row r="2608" spans="1:13" x14ac:dyDescent="0.3">
      <c r="A2608" s="7">
        <v>400255</v>
      </c>
      <c r="B2608" t="str">
        <f>_xlfn.XLOOKUP(Vendas[[#This Row],[ID Vendedor]],Vendedores[ID],Vendedores[Nome])</f>
        <v>Carlos</v>
      </c>
      <c r="C2608" s="7" t="str">
        <f>_xlfn.XLOOKUP(Vendas[[#This Row],[ID Vendedor]],Vendedores[ID],Vendedores[Setor])</f>
        <v>SC</v>
      </c>
      <c r="D2608" s="7" t="s">
        <v>42</v>
      </c>
      <c r="E2608" t="str">
        <f>_xlfn.XLOOKUP(Vendas[[#This Row],[ID Item Vendido]],Agregado[ID],Agregado[Produto])</f>
        <v>Container de ferro industrial</v>
      </c>
      <c r="F2608" s="39">
        <v>45112</v>
      </c>
      <c r="G2608" s="7">
        <v>1</v>
      </c>
      <c r="H2608" s="3">
        <f>_xlfn.XLOOKUP(Vendas[[#This Row],[ID Item Vendido]],Agregado[ID],Agregado[Revenda])</f>
        <v>830</v>
      </c>
      <c r="I2608" s="3">
        <f>Vendas[[#This Row],[Valor Unitário]]*Vendas[[#This Row],[Qnt Vendida]]</f>
        <v>830</v>
      </c>
      <c r="J2608" s="3">
        <f>Vendas[[#This Row],[Valor da Venda]]-(_xlfn.XLOOKUP(Vendas[[#This Row],[ID Item Vendido]],Agregado[ID],Agregado[Custo])*Vendas[[#This Row],[Qnt Vendida]])</f>
        <v>150</v>
      </c>
      <c r="K2608" s="70">
        <f>Vendas[[#This Row],[Lucro da Venda]]/Vendas[[#This Row],[Valor da Venda]]</f>
        <v>0.18072289156626506</v>
      </c>
      <c r="L260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608"/>
    </row>
    <row r="2609" spans="1:13" x14ac:dyDescent="0.3">
      <c r="A2609" s="7">
        <v>400250</v>
      </c>
      <c r="B2609" t="str">
        <f>_xlfn.XLOOKUP(Vendas[[#This Row],[ID Vendedor]],Vendedores[ID],Vendedores[Nome])</f>
        <v>Larissa</v>
      </c>
      <c r="C2609" s="7" t="str">
        <f>_xlfn.XLOOKUP(Vendas[[#This Row],[ID Vendedor]],Vendedores[ID],Vendedores[Setor])</f>
        <v>AB</v>
      </c>
      <c r="D2609" s="7" t="s">
        <v>12</v>
      </c>
      <c r="E2609" t="str">
        <f>_xlfn.XLOOKUP(Vendas[[#This Row],[ID Item Vendido]],Agregado[ID],Agregado[Produto])</f>
        <v>Grânulo de plástico reciclado refinado</v>
      </c>
      <c r="F2609" s="39">
        <v>45112</v>
      </c>
      <c r="G2609" s="7">
        <v>128</v>
      </c>
      <c r="H2609" s="3">
        <f>_xlfn.XLOOKUP(Vendas[[#This Row],[ID Item Vendido]],Agregado[ID],Agregado[Revenda])</f>
        <v>4.7</v>
      </c>
      <c r="I2609" s="3">
        <f>Vendas[[#This Row],[Valor Unitário]]*Vendas[[#This Row],[Qnt Vendida]]</f>
        <v>601.6</v>
      </c>
      <c r="J2609" s="3">
        <f>Vendas[[#This Row],[Valor da Venda]]-(_xlfn.XLOOKUP(Vendas[[#This Row],[ID Item Vendido]],Agregado[ID],Agregado[Custo])*Vendas[[#This Row],[Qnt Vendida]])</f>
        <v>153.60000000000002</v>
      </c>
      <c r="K2609" s="70">
        <f>Vendas[[#This Row],[Lucro da Venda]]/Vendas[[#This Row],[Valor da Venda]]</f>
        <v>0.25531914893617025</v>
      </c>
      <c r="L2609" s="3">
        <f>_xlfn.IFS(Vendas[[#This Row],[Margem de Lucro (%)]]&lt;15%,Vendas[[#This Row],[Valor da Venda]]*3%,Vendas[[#This Row],[Margem de Lucro (%)]]&lt;=20%,Vendas[[#This Row],[Valor da Venda]]*4.5%,TRUE,Vendas[[#This Row],[Valor da Venda]]*6%)</f>
        <v>36.095999999999997</v>
      </c>
      <c r="M2609"/>
    </row>
    <row r="2610" spans="1:13" x14ac:dyDescent="0.3">
      <c r="A2610" s="7">
        <v>400250</v>
      </c>
      <c r="B2610" t="str">
        <f>_xlfn.XLOOKUP(Vendas[[#This Row],[ID Vendedor]],Vendedores[ID],Vendedores[Nome])</f>
        <v>Larissa</v>
      </c>
      <c r="C2610" s="7" t="str">
        <f>_xlfn.XLOOKUP(Vendas[[#This Row],[ID Vendedor]],Vendedores[ID],Vendedores[Setor])</f>
        <v>AB</v>
      </c>
      <c r="D2610" s="7" t="s">
        <v>24</v>
      </c>
      <c r="E2610" t="str">
        <f>_xlfn.XLOOKUP(Vendas[[#This Row],[ID Item Vendido]],Agregado[ID],Agregado[Produto])</f>
        <v>Resina plástica PET purificada saco de 25kg</v>
      </c>
      <c r="F2610" s="39">
        <v>45112</v>
      </c>
      <c r="G2610" s="7">
        <v>2</v>
      </c>
      <c r="H2610" s="3">
        <f>_xlfn.XLOOKUP(Vendas[[#This Row],[ID Item Vendido]],Agregado[ID],Agregado[Revenda])</f>
        <v>119</v>
      </c>
      <c r="I2610" s="3">
        <f>Vendas[[#This Row],[Valor Unitário]]*Vendas[[#This Row],[Qnt Vendida]]</f>
        <v>238</v>
      </c>
      <c r="J2610" s="3">
        <f>Vendas[[#This Row],[Valor da Venda]]-(_xlfn.XLOOKUP(Vendas[[#This Row],[ID Item Vendido]],Agregado[ID],Agregado[Custo])*Vendas[[#This Row],[Qnt Vendida]])</f>
        <v>68</v>
      </c>
      <c r="K2610" s="70">
        <f>Vendas[[#This Row],[Lucro da Venda]]/Vendas[[#This Row],[Valor da Venda]]</f>
        <v>0.2857142857142857</v>
      </c>
      <c r="L2610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2610"/>
    </row>
    <row r="2611" spans="1:13" x14ac:dyDescent="0.3">
      <c r="A2611" s="7">
        <v>400254</v>
      </c>
      <c r="B2611" t="str">
        <f>_xlfn.XLOOKUP(Vendas[[#This Row],[ID Vendedor]],Vendedores[ID],Vendedores[Nome])</f>
        <v>Beatriz</v>
      </c>
      <c r="C2611" s="7" t="str">
        <f>_xlfn.XLOOKUP(Vendas[[#This Row],[ID Vendedor]],Vendedores[ID],Vendedores[Setor])</f>
        <v>SC</v>
      </c>
      <c r="D2611" s="7" t="s">
        <v>42</v>
      </c>
      <c r="E2611" t="str">
        <f>_xlfn.XLOOKUP(Vendas[[#This Row],[ID Item Vendido]],Agregado[ID],Agregado[Produto])</f>
        <v>Container de ferro industrial</v>
      </c>
      <c r="F2611" s="39">
        <v>45113</v>
      </c>
      <c r="G2611" s="7">
        <v>5</v>
      </c>
      <c r="H2611" s="3">
        <f>_xlfn.XLOOKUP(Vendas[[#This Row],[ID Item Vendido]],Agregado[ID],Agregado[Revenda])</f>
        <v>830</v>
      </c>
      <c r="I2611" s="3">
        <f>Vendas[[#This Row],[Valor Unitário]]*Vendas[[#This Row],[Qnt Vendida]]</f>
        <v>4150</v>
      </c>
      <c r="J2611" s="3">
        <f>Vendas[[#This Row],[Valor da Venda]]-(_xlfn.XLOOKUP(Vendas[[#This Row],[ID Item Vendido]],Agregado[ID],Agregado[Custo])*Vendas[[#This Row],[Qnt Vendida]])</f>
        <v>750</v>
      </c>
      <c r="K2611" s="70">
        <f>Vendas[[#This Row],[Lucro da Venda]]/Vendas[[#This Row],[Valor da Venda]]</f>
        <v>0.18072289156626506</v>
      </c>
      <c r="L261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611"/>
    </row>
    <row r="2612" spans="1:13" x14ac:dyDescent="0.3">
      <c r="A2612" s="7">
        <v>400254</v>
      </c>
      <c r="B2612" t="str">
        <f>_xlfn.XLOOKUP(Vendas[[#This Row],[ID Vendedor]],Vendedores[ID],Vendedores[Nome])</f>
        <v>Beatriz</v>
      </c>
      <c r="C2612" s="7" t="str">
        <f>_xlfn.XLOOKUP(Vendas[[#This Row],[ID Vendedor]],Vendedores[ID],Vendedores[Setor])</f>
        <v>SC</v>
      </c>
      <c r="D2612" s="7" t="s">
        <v>48</v>
      </c>
      <c r="E2612" t="str">
        <f>_xlfn.XLOOKUP(Vendas[[#This Row],[ID Item Vendido]],Agregado[ID],Agregado[Produto])</f>
        <v>Tambor metálico 200L</v>
      </c>
      <c r="F2612" s="39">
        <v>45113</v>
      </c>
      <c r="G2612" s="7">
        <v>5</v>
      </c>
      <c r="H2612" s="3">
        <f>_xlfn.XLOOKUP(Vendas[[#This Row],[ID Item Vendido]],Agregado[ID],Agregado[Revenda])</f>
        <v>144</v>
      </c>
      <c r="I2612" s="3">
        <f>Vendas[[#This Row],[Valor Unitário]]*Vendas[[#This Row],[Qnt Vendida]]</f>
        <v>720</v>
      </c>
      <c r="J2612" s="3">
        <f>Vendas[[#This Row],[Valor da Venda]]-(_xlfn.XLOOKUP(Vendas[[#This Row],[ID Item Vendido]],Agregado[ID],Agregado[Custo])*Vendas[[#This Row],[Qnt Vendida]])</f>
        <v>120</v>
      </c>
      <c r="K2612" s="70">
        <f>Vendas[[#This Row],[Lucro da Venda]]/Vendas[[#This Row],[Valor da Venda]]</f>
        <v>0.16666666666666666</v>
      </c>
      <c r="L2612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2612"/>
    </row>
    <row r="2613" spans="1:13" x14ac:dyDescent="0.3">
      <c r="A2613" s="7">
        <v>400248</v>
      </c>
      <c r="B2613" t="str">
        <f>_xlfn.XLOOKUP(Vendas[[#This Row],[ID Vendedor]],Vendedores[ID],Vendedores[Nome])</f>
        <v>Patrícia</v>
      </c>
      <c r="C2613" s="7" t="str">
        <f>_xlfn.XLOOKUP(Vendas[[#This Row],[ID Vendedor]],Vendedores[ID],Vendedores[Setor])</f>
        <v>CM</v>
      </c>
      <c r="D2613" s="7" t="s">
        <v>34</v>
      </c>
      <c r="E2613" t="str">
        <f>_xlfn.XLOOKUP(Vendas[[#This Row],[ID Item Vendido]],Agregado[ID],Agregado[Produto])</f>
        <v>Restos de madeira p/ MDP/OSB saco de 20kg</v>
      </c>
      <c r="F2613" s="39">
        <v>45113</v>
      </c>
      <c r="G2613" s="7">
        <v>22</v>
      </c>
      <c r="H2613" s="3">
        <f>_xlfn.XLOOKUP(Vendas[[#This Row],[ID Item Vendido]],Agregado[ID],Agregado[Revenda])</f>
        <v>13.8</v>
      </c>
      <c r="I2613" s="3">
        <f>Vendas[[#This Row],[Valor Unitário]]*Vendas[[#This Row],[Qnt Vendida]]</f>
        <v>303.60000000000002</v>
      </c>
      <c r="J2613" s="3">
        <f>Vendas[[#This Row],[Valor da Venda]]-(_xlfn.XLOOKUP(Vendas[[#This Row],[ID Item Vendido]],Agregado[ID],Agregado[Custo])*Vendas[[#This Row],[Qnt Vendida]])</f>
        <v>39.600000000000023</v>
      </c>
      <c r="K2613" s="70">
        <f>Vendas[[#This Row],[Lucro da Venda]]/Vendas[[#This Row],[Valor da Venda]]</f>
        <v>0.1304347826086957</v>
      </c>
      <c r="L2613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2613"/>
    </row>
    <row r="2614" spans="1:13" x14ac:dyDescent="0.3">
      <c r="A2614" s="7">
        <v>400245</v>
      </c>
      <c r="B2614" t="str">
        <f>_xlfn.XLOOKUP(Vendas[[#This Row],[ID Vendedor]],Vendedores[ID],Vendedores[Nome])</f>
        <v>Thiago</v>
      </c>
      <c r="C2614" s="7" t="str">
        <f>_xlfn.XLOOKUP(Vendas[[#This Row],[ID Vendedor]],Vendedores[ID],Vendedores[Setor])</f>
        <v>AHD</v>
      </c>
      <c r="D2614" s="7" t="s">
        <v>30</v>
      </c>
      <c r="E2614" t="str">
        <f>_xlfn.XLOOKUP(Vendas[[#This Row],[ID Item Vendido]],Agregado[ID],Agregado[Produto])</f>
        <v>Estrutura metálica soldada</v>
      </c>
      <c r="F2614" s="39">
        <v>45114</v>
      </c>
      <c r="G2614" s="7">
        <v>7</v>
      </c>
      <c r="H2614" s="3">
        <f>_xlfn.XLOOKUP(Vendas[[#This Row],[ID Item Vendido]],Agregado[ID],Agregado[Revenda])</f>
        <v>400</v>
      </c>
      <c r="I2614" s="3">
        <f>Vendas[[#This Row],[Valor Unitário]]*Vendas[[#This Row],[Qnt Vendida]]</f>
        <v>2800</v>
      </c>
      <c r="J2614" s="3">
        <f>Vendas[[#This Row],[Valor da Venda]]-(_xlfn.XLOOKUP(Vendas[[#This Row],[ID Item Vendido]],Agregado[ID],Agregado[Custo])*Vendas[[#This Row],[Qnt Vendida]])</f>
        <v>560</v>
      </c>
      <c r="K2614" s="70">
        <f>Vendas[[#This Row],[Lucro da Venda]]/Vendas[[#This Row],[Valor da Venda]]</f>
        <v>0.2</v>
      </c>
      <c r="L2614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2614"/>
    </row>
    <row r="2615" spans="1:13" x14ac:dyDescent="0.3">
      <c r="A2615" s="7">
        <v>400255</v>
      </c>
      <c r="B2615" t="str">
        <f>_xlfn.XLOOKUP(Vendas[[#This Row],[ID Vendedor]],Vendedores[ID],Vendedores[Nome])</f>
        <v>Carlos</v>
      </c>
      <c r="C2615" s="7" t="str">
        <f>_xlfn.XLOOKUP(Vendas[[#This Row],[ID Vendedor]],Vendedores[ID],Vendedores[Setor])</f>
        <v>SC</v>
      </c>
      <c r="D2615" s="7" t="s">
        <v>14</v>
      </c>
      <c r="E2615" t="str">
        <f>_xlfn.XLOOKUP(Vendas[[#This Row],[ID Item Vendido]],Agregado[ID],Agregado[Produto])</f>
        <v>Barril de plástico 200L</v>
      </c>
      <c r="F2615" s="39">
        <v>45114</v>
      </c>
      <c r="G2615" s="7">
        <v>18</v>
      </c>
      <c r="H2615" s="3">
        <f>_xlfn.XLOOKUP(Vendas[[#This Row],[ID Item Vendido]],Agregado[ID],Agregado[Revenda])</f>
        <v>114</v>
      </c>
      <c r="I2615" s="3">
        <f>Vendas[[#This Row],[Valor Unitário]]*Vendas[[#This Row],[Qnt Vendida]]</f>
        <v>2052</v>
      </c>
      <c r="J2615" s="3">
        <f>Vendas[[#This Row],[Valor da Venda]]-(_xlfn.XLOOKUP(Vendas[[#This Row],[ID Item Vendido]],Agregado[ID],Agregado[Custo])*Vendas[[#This Row],[Qnt Vendida]])</f>
        <v>342</v>
      </c>
      <c r="K2615" s="70">
        <f>Vendas[[#This Row],[Lucro da Venda]]/Vendas[[#This Row],[Valor da Venda]]</f>
        <v>0.16666666666666666</v>
      </c>
      <c r="L2615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2615"/>
    </row>
    <row r="2616" spans="1:13" x14ac:dyDescent="0.3">
      <c r="A2616" s="7">
        <v>400254</v>
      </c>
      <c r="B2616" t="str">
        <f>_xlfn.XLOOKUP(Vendas[[#This Row],[ID Vendedor]],Vendedores[ID],Vendedores[Nome])</f>
        <v>Beatriz</v>
      </c>
      <c r="C2616" s="7" t="str">
        <f>_xlfn.XLOOKUP(Vendas[[#This Row],[ID Vendedor]],Vendedores[ID],Vendedores[Setor])</f>
        <v>SC</v>
      </c>
      <c r="D2616" s="7" t="s">
        <v>48</v>
      </c>
      <c r="E2616" t="str">
        <f>_xlfn.XLOOKUP(Vendas[[#This Row],[ID Item Vendido]],Agregado[ID],Agregado[Produto])</f>
        <v>Tambor metálico 200L</v>
      </c>
      <c r="F2616" s="39">
        <v>45114</v>
      </c>
      <c r="G2616" s="7">
        <v>7</v>
      </c>
      <c r="H2616" s="3">
        <f>_xlfn.XLOOKUP(Vendas[[#This Row],[ID Item Vendido]],Agregado[ID],Agregado[Revenda])</f>
        <v>144</v>
      </c>
      <c r="I2616" s="3">
        <f>Vendas[[#This Row],[Valor Unitário]]*Vendas[[#This Row],[Qnt Vendida]]</f>
        <v>1008</v>
      </c>
      <c r="J2616" s="3">
        <f>Vendas[[#This Row],[Valor da Venda]]-(_xlfn.XLOOKUP(Vendas[[#This Row],[ID Item Vendido]],Agregado[ID],Agregado[Custo])*Vendas[[#This Row],[Qnt Vendida]])</f>
        <v>168</v>
      </c>
      <c r="K2616" s="70">
        <f>Vendas[[#This Row],[Lucro da Venda]]/Vendas[[#This Row],[Valor da Venda]]</f>
        <v>0.16666666666666666</v>
      </c>
      <c r="L2616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2616"/>
    </row>
    <row r="2617" spans="1:13" x14ac:dyDescent="0.3">
      <c r="A2617" s="7">
        <v>400247</v>
      </c>
      <c r="B2617" t="str">
        <f>_xlfn.XLOOKUP(Vendas[[#This Row],[ID Vendedor]],Vendedores[ID],Vendedores[Nome])</f>
        <v>André</v>
      </c>
      <c r="C2617" s="7" t="str">
        <f>_xlfn.XLOOKUP(Vendas[[#This Row],[ID Vendedor]],Vendedores[ID],Vendedores[Setor])</f>
        <v>CM</v>
      </c>
      <c r="D2617" s="7" t="s">
        <v>32</v>
      </c>
      <c r="E2617" t="str">
        <f>_xlfn.XLOOKUP(Vendas[[#This Row],[ID Item Vendido]],Agregado[ID],Agregado[Produto])</f>
        <v>Tábua tratada e cortada 3m</v>
      </c>
      <c r="F2617" s="39">
        <v>45114</v>
      </c>
      <c r="G2617" s="7">
        <v>8</v>
      </c>
      <c r="H2617" s="3">
        <f>_xlfn.XLOOKUP(Vendas[[#This Row],[ID Item Vendido]],Agregado[ID],Agregado[Revenda])</f>
        <v>39</v>
      </c>
      <c r="I2617" s="3">
        <f>Vendas[[#This Row],[Valor Unitário]]*Vendas[[#This Row],[Qnt Vendida]]</f>
        <v>312</v>
      </c>
      <c r="J2617" s="3">
        <f>Vendas[[#This Row],[Valor da Venda]]-(_xlfn.XLOOKUP(Vendas[[#This Row],[ID Item Vendido]],Agregado[ID],Agregado[Custo])*Vendas[[#This Row],[Qnt Vendida]])</f>
        <v>56</v>
      </c>
      <c r="K2617" s="70">
        <f>Vendas[[#This Row],[Lucro da Venda]]/Vendas[[#This Row],[Valor da Venda]]</f>
        <v>0.17948717948717949</v>
      </c>
      <c r="L2617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617"/>
    </row>
    <row r="2618" spans="1:13" x14ac:dyDescent="0.3">
      <c r="A2618" s="7">
        <v>400243</v>
      </c>
      <c r="B2618" t="str">
        <f>_xlfn.XLOOKUP(Vendas[[#This Row],[ID Vendedor]],Vendedores[ID],Vendedores[Nome])</f>
        <v>Marcelo</v>
      </c>
      <c r="C2618" s="7" t="str">
        <f>_xlfn.XLOOKUP(Vendas[[#This Row],[ID Vendedor]],Vendedores[ID],Vendedores[Setor])</f>
        <v>FM</v>
      </c>
      <c r="D2618" s="7" t="s">
        <v>47</v>
      </c>
      <c r="E2618" t="str">
        <f>_xlfn.XLOOKUP(Vendas[[#This Row],[ID Item Vendido]],Agregado[ID],Agregado[Produto])</f>
        <v>Fio de arame galvanizado rolo 50m</v>
      </c>
      <c r="F2618" s="39">
        <v>45115</v>
      </c>
      <c r="G2618" s="7">
        <v>33</v>
      </c>
      <c r="H2618" s="3">
        <f>_xlfn.XLOOKUP(Vendas[[#This Row],[ID Item Vendido]],Agregado[ID],Agregado[Revenda])</f>
        <v>21.2</v>
      </c>
      <c r="I2618" s="3">
        <f>Vendas[[#This Row],[Valor Unitário]]*Vendas[[#This Row],[Qnt Vendida]]</f>
        <v>699.6</v>
      </c>
      <c r="J2618" s="3">
        <f>Vendas[[#This Row],[Valor da Venda]]-(_xlfn.XLOOKUP(Vendas[[#This Row],[ID Item Vendido]],Agregado[ID],Agregado[Custo])*Vendas[[#This Row],[Qnt Vendida]])</f>
        <v>105.60000000000002</v>
      </c>
      <c r="K2618" s="70">
        <f>Vendas[[#This Row],[Lucro da Venda]]/Vendas[[#This Row],[Valor da Venda]]</f>
        <v>0.15094339622641512</v>
      </c>
      <c r="L2618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2618"/>
    </row>
    <row r="2619" spans="1:13" x14ac:dyDescent="0.3">
      <c r="A2619" s="7">
        <v>400250</v>
      </c>
      <c r="B2619" t="str">
        <f>_xlfn.XLOOKUP(Vendas[[#This Row],[ID Vendedor]],Vendedores[ID],Vendedores[Nome])</f>
        <v>Larissa</v>
      </c>
      <c r="C2619" s="7" t="str">
        <f>_xlfn.XLOOKUP(Vendas[[#This Row],[ID Vendedor]],Vendedores[ID],Vendedores[Setor])</f>
        <v>AB</v>
      </c>
      <c r="D2619" s="7" t="s">
        <v>37</v>
      </c>
      <c r="E2619" t="str">
        <f>_xlfn.XLOOKUP(Vendas[[#This Row],[ID Item Vendido]],Agregado[ID],Agregado[Produto])</f>
        <v>Composto de borracha para vedação rolo 10m</v>
      </c>
      <c r="F2619" s="39">
        <v>45115</v>
      </c>
      <c r="G2619" s="7">
        <v>8</v>
      </c>
      <c r="H2619" s="3">
        <f>_xlfn.XLOOKUP(Vendas[[#This Row],[ID Item Vendido]],Agregado[ID],Agregado[Revenda])</f>
        <v>51.2</v>
      </c>
      <c r="I2619" s="3">
        <f>Vendas[[#This Row],[Valor Unitário]]*Vendas[[#This Row],[Qnt Vendida]]</f>
        <v>409.6</v>
      </c>
      <c r="J2619" s="3">
        <f>Vendas[[#This Row],[Valor da Venda]]-(_xlfn.XLOOKUP(Vendas[[#This Row],[ID Item Vendido]],Agregado[ID],Agregado[Custo])*Vendas[[#This Row],[Qnt Vendida]])</f>
        <v>89.600000000000023</v>
      </c>
      <c r="K2619" s="70">
        <f>Vendas[[#This Row],[Lucro da Venda]]/Vendas[[#This Row],[Valor da Venda]]</f>
        <v>0.21875000000000006</v>
      </c>
      <c r="L2619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2619"/>
    </row>
    <row r="2620" spans="1:13" x14ac:dyDescent="0.3">
      <c r="A2620" s="7">
        <v>400247</v>
      </c>
      <c r="B2620" t="str">
        <f>_xlfn.XLOOKUP(Vendas[[#This Row],[ID Vendedor]],Vendedores[ID],Vendedores[Nome])</f>
        <v>André</v>
      </c>
      <c r="C2620" s="7" t="str">
        <f>_xlfn.XLOOKUP(Vendas[[#This Row],[ID Vendedor]],Vendedores[ID],Vendedores[Setor])</f>
        <v>CM</v>
      </c>
      <c r="D2620" s="7" t="s">
        <v>22</v>
      </c>
      <c r="E2620" t="str">
        <f>_xlfn.XLOOKUP(Vendas[[#This Row],[ID Item Vendido]],Agregado[ID],Agregado[Produto])</f>
        <v>Painel MDP 2,75x1,83m</v>
      </c>
      <c r="F2620" s="39">
        <v>45117</v>
      </c>
      <c r="G2620" s="7">
        <v>24</v>
      </c>
      <c r="H2620" s="3">
        <f>_xlfn.XLOOKUP(Vendas[[#This Row],[ID Item Vendido]],Agregado[ID],Agregado[Revenda])</f>
        <v>119</v>
      </c>
      <c r="I2620" s="3">
        <f>Vendas[[#This Row],[Valor Unitário]]*Vendas[[#This Row],[Qnt Vendida]]</f>
        <v>2856</v>
      </c>
      <c r="J2620" s="3">
        <f>Vendas[[#This Row],[Valor da Venda]]-(_xlfn.XLOOKUP(Vendas[[#This Row],[ID Item Vendido]],Agregado[ID],Agregado[Custo])*Vendas[[#This Row],[Qnt Vendida]])</f>
        <v>576</v>
      </c>
      <c r="K2620" s="70">
        <f>Vendas[[#This Row],[Lucro da Venda]]/Vendas[[#This Row],[Valor da Venda]]</f>
        <v>0.20168067226890757</v>
      </c>
      <c r="L2620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2620"/>
    </row>
    <row r="2621" spans="1:13" x14ac:dyDescent="0.3">
      <c r="A2621" s="7">
        <v>400247</v>
      </c>
      <c r="B2621" t="str">
        <f>_xlfn.XLOOKUP(Vendas[[#This Row],[ID Vendedor]],Vendedores[ID],Vendedores[Nome])</f>
        <v>André</v>
      </c>
      <c r="C2621" s="7" t="str">
        <f>_xlfn.XLOOKUP(Vendas[[#This Row],[ID Vendedor]],Vendedores[ID],Vendedores[Setor])</f>
        <v>CM</v>
      </c>
      <c r="D2621" s="7" t="s">
        <v>22</v>
      </c>
      <c r="E2621" t="str">
        <f>_xlfn.XLOOKUP(Vendas[[#This Row],[ID Item Vendido]],Agregado[ID],Agregado[Produto])</f>
        <v>Painel MDP 2,75x1,83m</v>
      </c>
      <c r="F2621" s="39">
        <v>45117</v>
      </c>
      <c r="G2621" s="7">
        <v>19</v>
      </c>
      <c r="H2621" s="3">
        <f>_xlfn.XLOOKUP(Vendas[[#This Row],[ID Item Vendido]],Agregado[ID],Agregado[Revenda])</f>
        <v>119</v>
      </c>
      <c r="I2621" s="3">
        <f>Vendas[[#This Row],[Valor Unitário]]*Vendas[[#This Row],[Qnt Vendida]]</f>
        <v>2261</v>
      </c>
      <c r="J2621" s="3">
        <f>Vendas[[#This Row],[Valor da Venda]]-(_xlfn.XLOOKUP(Vendas[[#This Row],[ID Item Vendido]],Agregado[ID],Agregado[Custo])*Vendas[[#This Row],[Qnt Vendida]])</f>
        <v>456</v>
      </c>
      <c r="K2621" s="70">
        <f>Vendas[[#This Row],[Lucro da Venda]]/Vendas[[#This Row],[Valor da Venda]]</f>
        <v>0.20168067226890757</v>
      </c>
      <c r="L2621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621"/>
    </row>
    <row r="2622" spans="1:13" x14ac:dyDescent="0.3">
      <c r="A2622" s="7">
        <v>400253</v>
      </c>
      <c r="B2622" t="str">
        <f>_xlfn.XLOOKUP(Vendas[[#This Row],[ID Vendedor]],Vendedores[ID],Vendedores[Nome])</f>
        <v>Gustavo</v>
      </c>
      <c r="C2622" s="7" t="str">
        <f>_xlfn.XLOOKUP(Vendas[[#This Row],[ID Vendedor]],Vendedores[ID],Vendedores[Setor])</f>
        <v>SC</v>
      </c>
      <c r="D2622" s="7" t="s">
        <v>14</v>
      </c>
      <c r="E2622" t="str">
        <f>_xlfn.XLOOKUP(Vendas[[#This Row],[ID Item Vendido]],Agregado[ID],Agregado[Produto])</f>
        <v>Barril de plástico 200L</v>
      </c>
      <c r="F2622" s="39">
        <v>45117</v>
      </c>
      <c r="G2622" s="7">
        <v>17</v>
      </c>
      <c r="H2622" s="3">
        <f>_xlfn.XLOOKUP(Vendas[[#This Row],[ID Item Vendido]],Agregado[ID],Agregado[Revenda])</f>
        <v>114</v>
      </c>
      <c r="I2622" s="3">
        <f>Vendas[[#This Row],[Valor Unitário]]*Vendas[[#This Row],[Qnt Vendida]]</f>
        <v>1938</v>
      </c>
      <c r="J2622" s="3">
        <f>Vendas[[#This Row],[Valor da Venda]]-(_xlfn.XLOOKUP(Vendas[[#This Row],[ID Item Vendido]],Agregado[ID],Agregado[Custo])*Vendas[[#This Row],[Qnt Vendida]])</f>
        <v>323</v>
      </c>
      <c r="K2622" s="70">
        <f>Vendas[[#This Row],[Lucro da Venda]]/Vendas[[#This Row],[Valor da Venda]]</f>
        <v>0.16666666666666666</v>
      </c>
      <c r="L2622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622"/>
    </row>
    <row r="2623" spans="1:13" x14ac:dyDescent="0.3">
      <c r="A2623" s="7">
        <v>400244</v>
      </c>
      <c r="B2623" t="str">
        <f>_xlfn.XLOOKUP(Vendas[[#This Row],[ID Vendedor]],Vendedores[ID],Vendedores[Nome])</f>
        <v>Camila</v>
      </c>
      <c r="C2623" s="7" t="str">
        <f>_xlfn.XLOOKUP(Vendas[[#This Row],[ID Vendedor]],Vendedores[ID],Vendedores[Setor])</f>
        <v>AHD</v>
      </c>
      <c r="D2623" s="7" t="s">
        <v>28</v>
      </c>
      <c r="E2623" t="str">
        <f>_xlfn.XLOOKUP(Vendas[[#This Row],[ID Item Vendido]],Agregado[ID],Agregado[Produto])</f>
        <v>Peça usinada CNC</v>
      </c>
      <c r="F2623" s="39">
        <v>45117</v>
      </c>
      <c r="G2623" s="7">
        <v>8</v>
      </c>
      <c r="H2623" s="3">
        <f>_xlfn.XLOOKUP(Vendas[[#This Row],[ID Item Vendido]],Agregado[ID],Agregado[Revenda])</f>
        <v>192</v>
      </c>
      <c r="I2623" s="3">
        <f>Vendas[[#This Row],[Valor Unitário]]*Vendas[[#This Row],[Qnt Vendida]]</f>
        <v>1536</v>
      </c>
      <c r="J2623" s="3">
        <f>Vendas[[#This Row],[Valor da Venda]]-(_xlfn.XLOOKUP(Vendas[[#This Row],[ID Item Vendido]],Agregado[ID],Agregado[Custo])*Vendas[[#This Row],[Qnt Vendida]])</f>
        <v>336</v>
      </c>
      <c r="K2623" s="70">
        <f>Vendas[[#This Row],[Lucro da Venda]]/Vendas[[#This Row],[Valor da Venda]]</f>
        <v>0.21875</v>
      </c>
      <c r="L2623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2623"/>
    </row>
    <row r="2624" spans="1:13" x14ac:dyDescent="0.3">
      <c r="A2624" s="7">
        <v>400253</v>
      </c>
      <c r="B2624" t="str">
        <f>_xlfn.XLOOKUP(Vendas[[#This Row],[ID Vendedor]],Vendedores[ID],Vendedores[Nome])</f>
        <v>Gustavo</v>
      </c>
      <c r="C2624" s="7" t="str">
        <f>_xlfn.XLOOKUP(Vendas[[#This Row],[ID Vendedor]],Vendedores[ID],Vendedores[Setor])</f>
        <v>SC</v>
      </c>
      <c r="D2624" s="7" t="s">
        <v>14</v>
      </c>
      <c r="E2624" t="str">
        <f>_xlfn.XLOOKUP(Vendas[[#This Row],[ID Item Vendido]],Agregado[ID],Agregado[Produto])</f>
        <v>Barril de plástico 200L</v>
      </c>
      <c r="F2624" s="39">
        <v>45117</v>
      </c>
      <c r="G2624" s="7">
        <v>11</v>
      </c>
      <c r="H2624" s="3">
        <f>_xlfn.XLOOKUP(Vendas[[#This Row],[ID Item Vendido]],Agregado[ID],Agregado[Revenda])</f>
        <v>114</v>
      </c>
      <c r="I2624" s="3">
        <f>Vendas[[#This Row],[Valor Unitário]]*Vendas[[#This Row],[Qnt Vendida]]</f>
        <v>1254</v>
      </c>
      <c r="J2624" s="3">
        <f>Vendas[[#This Row],[Valor da Venda]]-(_xlfn.XLOOKUP(Vendas[[#This Row],[ID Item Vendido]],Agregado[ID],Agregado[Custo])*Vendas[[#This Row],[Qnt Vendida]])</f>
        <v>209</v>
      </c>
      <c r="K2624" s="70">
        <f>Vendas[[#This Row],[Lucro da Venda]]/Vendas[[#This Row],[Valor da Venda]]</f>
        <v>0.16666666666666666</v>
      </c>
      <c r="L2624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624"/>
    </row>
    <row r="2625" spans="1:13" x14ac:dyDescent="0.3">
      <c r="A2625" s="7">
        <v>400250</v>
      </c>
      <c r="B2625" t="str">
        <f>_xlfn.XLOOKUP(Vendas[[#This Row],[ID Vendedor]],Vendedores[ID],Vendedores[Nome])</f>
        <v>Larissa</v>
      </c>
      <c r="C2625" s="7" t="str">
        <f>_xlfn.XLOOKUP(Vendas[[#This Row],[ID Vendedor]],Vendedores[ID],Vendedores[Setor])</f>
        <v>AB</v>
      </c>
      <c r="D2625" s="7" t="s">
        <v>36</v>
      </c>
      <c r="E2625" t="str">
        <f>_xlfn.XLOOKUP(Vendas[[#This Row],[ID Item Vendido]],Agregado[ID],Agregado[Produto])</f>
        <v>Borracha vulcanizada em manta</v>
      </c>
      <c r="F2625" s="39">
        <v>45117</v>
      </c>
      <c r="G2625" s="7">
        <v>30</v>
      </c>
      <c r="H2625" s="3">
        <f>_xlfn.XLOOKUP(Vendas[[#This Row],[ID Item Vendido]],Agregado[ID],Agregado[Revenda])</f>
        <v>7.8</v>
      </c>
      <c r="I2625" s="3">
        <f>Vendas[[#This Row],[Valor Unitário]]*Vendas[[#This Row],[Qnt Vendida]]</f>
        <v>234</v>
      </c>
      <c r="J2625" s="3">
        <f>Vendas[[#This Row],[Valor da Venda]]-(_xlfn.XLOOKUP(Vendas[[#This Row],[ID Item Vendido]],Agregado[ID],Agregado[Custo])*Vendas[[#This Row],[Qnt Vendida]])</f>
        <v>54</v>
      </c>
      <c r="K2625" s="70">
        <f>Vendas[[#This Row],[Lucro da Venda]]/Vendas[[#This Row],[Valor da Venda]]</f>
        <v>0.23076923076923078</v>
      </c>
      <c r="L2625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625"/>
    </row>
    <row r="2626" spans="1:13" x14ac:dyDescent="0.3">
      <c r="A2626" s="7">
        <v>400248</v>
      </c>
      <c r="B2626" t="str">
        <f>_xlfn.XLOOKUP(Vendas[[#This Row],[ID Vendedor]],Vendedores[ID],Vendedores[Nome])</f>
        <v>Patrícia</v>
      </c>
      <c r="C2626" s="7" t="str">
        <f>_xlfn.XLOOKUP(Vendas[[#This Row],[ID Vendedor]],Vendedores[ID],Vendedores[Setor])</f>
        <v>CM</v>
      </c>
      <c r="D2626" s="7" t="s">
        <v>43</v>
      </c>
      <c r="E2626" t="str">
        <f>_xlfn.XLOOKUP(Vendas[[#This Row],[ID Item Vendido]],Agregado[ID],Agregado[Produto])</f>
        <v>Madeira Bruta (Tora)</v>
      </c>
      <c r="F2626" s="39">
        <v>45118</v>
      </c>
      <c r="G2626" s="7">
        <v>13</v>
      </c>
      <c r="H2626" s="3">
        <f>_xlfn.XLOOKUP(Vendas[[#This Row],[ID Item Vendido]],Agregado[ID],Agregado[Revenda])</f>
        <v>212</v>
      </c>
      <c r="I2626" s="3">
        <f>Vendas[[#This Row],[Valor Unitário]]*Vendas[[#This Row],[Qnt Vendida]]</f>
        <v>2756</v>
      </c>
      <c r="J2626" s="3">
        <f>Vendas[[#This Row],[Valor da Venda]]-(_xlfn.XLOOKUP(Vendas[[#This Row],[ID Item Vendido]],Agregado[ID],Agregado[Custo])*Vendas[[#This Row],[Qnt Vendida]])</f>
        <v>416</v>
      </c>
      <c r="K2626" s="70">
        <f>Vendas[[#This Row],[Lucro da Venda]]/Vendas[[#This Row],[Valor da Venda]]</f>
        <v>0.15094339622641509</v>
      </c>
      <c r="L2626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2626"/>
    </row>
    <row r="2627" spans="1:13" x14ac:dyDescent="0.3">
      <c r="A2627" s="7">
        <v>400246</v>
      </c>
      <c r="B2627" t="str">
        <f>_xlfn.XLOOKUP(Vendas[[#This Row],[ID Vendedor]],Vendedores[ID],Vendedores[Nome])</f>
        <v>Juliana</v>
      </c>
      <c r="C2627" s="7" t="str">
        <f>_xlfn.XLOOKUP(Vendas[[#This Row],[ID Vendedor]],Vendedores[ID],Vendedores[Setor])</f>
        <v>AHD</v>
      </c>
      <c r="D2627" s="7" t="s">
        <v>30</v>
      </c>
      <c r="E2627" t="str">
        <f>_xlfn.XLOOKUP(Vendas[[#This Row],[ID Item Vendido]],Agregado[ID],Agregado[Produto])</f>
        <v>Estrutura metálica soldada</v>
      </c>
      <c r="F2627" s="39">
        <v>45118</v>
      </c>
      <c r="G2627" s="7">
        <v>6</v>
      </c>
      <c r="H2627" s="3">
        <f>_xlfn.XLOOKUP(Vendas[[#This Row],[ID Item Vendido]],Agregado[ID],Agregado[Revenda])</f>
        <v>400</v>
      </c>
      <c r="I2627" s="3">
        <f>Vendas[[#This Row],[Valor Unitário]]*Vendas[[#This Row],[Qnt Vendida]]</f>
        <v>2400</v>
      </c>
      <c r="J2627" s="3">
        <f>Vendas[[#This Row],[Valor da Venda]]-(_xlfn.XLOOKUP(Vendas[[#This Row],[ID Item Vendido]],Agregado[ID],Agregado[Custo])*Vendas[[#This Row],[Qnt Vendida]])</f>
        <v>480</v>
      </c>
      <c r="K2627" s="70">
        <f>Vendas[[#This Row],[Lucro da Venda]]/Vendas[[#This Row],[Valor da Venda]]</f>
        <v>0.2</v>
      </c>
      <c r="L2627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627"/>
    </row>
    <row r="2628" spans="1:13" x14ac:dyDescent="0.3">
      <c r="A2628" s="7">
        <v>400251</v>
      </c>
      <c r="B2628" t="str">
        <f>_xlfn.XLOOKUP(Vendas[[#This Row],[ID Vendedor]],Vendedores[ID],Vendedores[Nome])</f>
        <v>Diego</v>
      </c>
      <c r="C2628" s="7" t="str">
        <f>_xlfn.XLOOKUP(Vendas[[#This Row],[ID Vendedor]],Vendedores[ID],Vendedores[Setor])</f>
        <v>AB</v>
      </c>
      <c r="D2628" s="7" t="s">
        <v>36</v>
      </c>
      <c r="E2628" t="str">
        <f>_xlfn.XLOOKUP(Vendas[[#This Row],[ID Item Vendido]],Agregado[ID],Agregado[Produto])</f>
        <v>Borracha vulcanizada em manta</v>
      </c>
      <c r="F2628" s="39">
        <v>45118</v>
      </c>
      <c r="G2628" s="7">
        <v>28</v>
      </c>
      <c r="H2628" s="3">
        <f>_xlfn.XLOOKUP(Vendas[[#This Row],[ID Item Vendido]],Agregado[ID],Agregado[Revenda])</f>
        <v>7.8</v>
      </c>
      <c r="I2628" s="3">
        <f>Vendas[[#This Row],[Valor Unitário]]*Vendas[[#This Row],[Qnt Vendida]]</f>
        <v>218.4</v>
      </c>
      <c r="J2628" s="3">
        <f>Vendas[[#This Row],[Valor da Venda]]-(_xlfn.XLOOKUP(Vendas[[#This Row],[ID Item Vendido]],Agregado[ID],Agregado[Custo])*Vendas[[#This Row],[Qnt Vendida]])</f>
        <v>50.400000000000006</v>
      </c>
      <c r="K2628" s="70">
        <f>Vendas[[#This Row],[Lucro da Venda]]/Vendas[[#This Row],[Valor da Venda]]</f>
        <v>0.23076923076923078</v>
      </c>
      <c r="L2628" s="3">
        <f>_xlfn.IFS(Vendas[[#This Row],[Margem de Lucro (%)]]&lt;15%,Vendas[[#This Row],[Valor da Venda]]*3%,Vendas[[#This Row],[Margem de Lucro (%)]]&lt;=20%,Vendas[[#This Row],[Valor da Venda]]*4.5%,TRUE,Vendas[[#This Row],[Valor da Venda]]*6%)</f>
        <v>13.103999999999999</v>
      </c>
      <c r="M2628"/>
    </row>
    <row r="2629" spans="1:13" x14ac:dyDescent="0.3">
      <c r="A2629" s="7">
        <v>400246</v>
      </c>
      <c r="B2629" t="str">
        <f>_xlfn.XLOOKUP(Vendas[[#This Row],[ID Vendedor]],Vendedores[ID],Vendedores[Nome])</f>
        <v>Juliana</v>
      </c>
      <c r="C2629" s="7" t="str">
        <f>_xlfn.XLOOKUP(Vendas[[#This Row],[ID Vendedor]],Vendedores[ID],Vendedores[Setor])</f>
        <v>AHD</v>
      </c>
      <c r="D2629" s="7" t="s">
        <v>44</v>
      </c>
      <c r="E2629" t="str">
        <f>_xlfn.XLOOKUP(Vendas[[#This Row],[ID Item Vendido]],Agregado[ID],Agregado[Produto])</f>
        <v>Liga metálica especial</v>
      </c>
      <c r="F2629" s="39">
        <v>45119</v>
      </c>
      <c r="G2629" s="7">
        <v>19</v>
      </c>
      <c r="H2629" s="3">
        <f>_xlfn.XLOOKUP(Vendas[[#This Row],[ID Item Vendido]],Agregado[ID],Agregado[Revenda])</f>
        <v>32.5</v>
      </c>
      <c r="I2629" s="3">
        <f>Vendas[[#This Row],[Valor Unitário]]*Vendas[[#This Row],[Qnt Vendida]]</f>
        <v>617.5</v>
      </c>
      <c r="J2629" s="3">
        <f>Vendas[[#This Row],[Valor da Venda]]-(_xlfn.XLOOKUP(Vendas[[#This Row],[ID Item Vendido]],Agregado[ID],Agregado[Custo])*Vendas[[#This Row],[Qnt Vendida]])</f>
        <v>142.5</v>
      </c>
      <c r="K2629" s="70">
        <f>Vendas[[#This Row],[Lucro da Venda]]/Vendas[[#This Row],[Valor da Venda]]</f>
        <v>0.23076923076923078</v>
      </c>
      <c r="L2629" s="3">
        <f>_xlfn.IFS(Vendas[[#This Row],[Margem de Lucro (%)]]&lt;15%,Vendas[[#This Row],[Valor da Venda]]*3%,Vendas[[#This Row],[Margem de Lucro (%)]]&lt;=20%,Vendas[[#This Row],[Valor da Venda]]*4.5%,TRUE,Vendas[[#This Row],[Valor da Venda]]*6%)</f>
        <v>37.049999999999997</v>
      </c>
      <c r="M2629"/>
    </row>
    <row r="2630" spans="1:13" x14ac:dyDescent="0.3">
      <c r="A2630" s="7">
        <v>400247</v>
      </c>
      <c r="B2630" t="str">
        <f>_xlfn.XLOOKUP(Vendas[[#This Row],[ID Vendedor]],Vendedores[ID],Vendedores[Nome])</f>
        <v>André</v>
      </c>
      <c r="C2630" s="7" t="str">
        <f>_xlfn.XLOOKUP(Vendas[[#This Row],[ID Vendedor]],Vendedores[ID],Vendedores[Setor])</f>
        <v>CM</v>
      </c>
      <c r="D2630" s="7" t="s">
        <v>45</v>
      </c>
      <c r="E2630" t="str">
        <f>_xlfn.XLOOKUP(Vendas[[#This Row],[ID Item Vendido]],Agregado[ID],Agregado[Produto])</f>
        <v>Viga de madeira tratada 4m</v>
      </c>
      <c r="F2630" s="39">
        <v>45119</v>
      </c>
      <c r="G2630" s="7">
        <v>4</v>
      </c>
      <c r="H2630" s="3">
        <f>_xlfn.XLOOKUP(Vendas[[#This Row],[ID Item Vendido]],Agregado[ID],Agregado[Revenda])</f>
        <v>66</v>
      </c>
      <c r="I2630" s="3">
        <f>Vendas[[#This Row],[Valor Unitário]]*Vendas[[#This Row],[Qnt Vendida]]</f>
        <v>264</v>
      </c>
      <c r="J2630" s="3">
        <f>Vendas[[#This Row],[Valor da Venda]]-(_xlfn.XLOOKUP(Vendas[[#This Row],[ID Item Vendido]],Agregado[ID],Agregado[Custo])*Vendas[[#This Row],[Qnt Vendida]])</f>
        <v>44</v>
      </c>
      <c r="K2630" s="70">
        <f>Vendas[[#This Row],[Lucro da Venda]]/Vendas[[#This Row],[Valor da Venda]]</f>
        <v>0.16666666666666666</v>
      </c>
      <c r="L2630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2630"/>
    </row>
    <row r="2631" spans="1:13" x14ac:dyDescent="0.3">
      <c r="A2631" s="7">
        <v>400255</v>
      </c>
      <c r="B2631" t="str">
        <f>_xlfn.XLOOKUP(Vendas[[#This Row],[ID Vendedor]],Vendedores[ID],Vendedores[Nome])</f>
        <v>Carlos</v>
      </c>
      <c r="C2631" s="7" t="str">
        <f>_xlfn.XLOOKUP(Vendas[[#This Row],[ID Vendedor]],Vendedores[ID],Vendedores[Setor])</f>
        <v>SC</v>
      </c>
      <c r="D2631" s="7" t="s">
        <v>42</v>
      </c>
      <c r="E2631" t="str">
        <f>_xlfn.XLOOKUP(Vendas[[#This Row],[ID Item Vendido]],Agregado[ID],Agregado[Produto])</f>
        <v>Container de ferro industrial</v>
      </c>
      <c r="F2631" s="39">
        <v>45120</v>
      </c>
      <c r="G2631" s="7">
        <v>4</v>
      </c>
      <c r="H2631" s="3">
        <f>_xlfn.XLOOKUP(Vendas[[#This Row],[ID Item Vendido]],Agregado[ID],Agregado[Revenda])</f>
        <v>830</v>
      </c>
      <c r="I2631" s="3">
        <f>Vendas[[#This Row],[Valor Unitário]]*Vendas[[#This Row],[Qnt Vendida]]</f>
        <v>3320</v>
      </c>
      <c r="J2631" s="3">
        <f>Vendas[[#This Row],[Valor da Venda]]-(_xlfn.XLOOKUP(Vendas[[#This Row],[ID Item Vendido]],Agregado[ID],Agregado[Custo])*Vendas[[#This Row],[Qnt Vendida]])</f>
        <v>600</v>
      </c>
      <c r="K2631" s="70">
        <f>Vendas[[#This Row],[Lucro da Venda]]/Vendas[[#This Row],[Valor da Venda]]</f>
        <v>0.18072289156626506</v>
      </c>
      <c r="L263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631"/>
    </row>
    <row r="2632" spans="1:13" x14ac:dyDescent="0.3">
      <c r="A2632" s="7">
        <v>400246</v>
      </c>
      <c r="B2632" t="str">
        <f>_xlfn.XLOOKUP(Vendas[[#This Row],[ID Vendedor]],Vendedores[ID],Vendedores[Nome])</f>
        <v>Juliana</v>
      </c>
      <c r="C2632" s="7" t="str">
        <f>_xlfn.XLOOKUP(Vendas[[#This Row],[ID Vendedor]],Vendedores[ID],Vendedores[Setor])</f>
        <v>AHD</v>
      </c>
      <c r="D2632" s="7" t="s">
        <v>30</v>
      </c>
      <c r="E2632" t="str">
        <f>_xlfn.XLOOKUP(Vendas[[#This Row],[ID Item Vendido]],Agregado[ID],Agregado[Produto])</f>
        <v>Estrutura metálica soldada</v>
      </c>
      <c r="F2632" s="39">
        <v>45120</v>
      </c>
      <c r="G2632" s="7">
        <v>8</v>
      </c>
      <c r="H2632" s="3">
        <f>_xlfn.XLOOKUP(Vendas[[#This Row],[ID Item Vendido]],Agregado[ID],Agregado[Revenda])</f>
        <v>400</v>
      </c>
      <c r="I2632" s="3">
        <f>Vendas[[#This Row],[Valor Unitário]]*Vendas[[#This Row],[Qnt Vendida]]</f>
        <v>3200</v>
      </c>
      <c r="J2632" s="3">
        <f>Vendas[[#This Row],[Valor da Venda]]-(_xlfn.XLOOKUP(Vendas[[#This Row],[ID Item Vendido]],Agregado[ID],Agregado[Custo])*Vendas[[#This Row],[Qnt Vendida]])</f>
        <v>640</v>
      </c>
      <c r="K2632" s="70">
        <f>Vendas[[#This Row],[Lucro da Venda]]/Vendas[[#This Row],[Valor da Venda]]</f>
        <v>0.2</v>
      </c>
      <c r="L2632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632"/>
    </row>
    <row r="2633" spans="1:13" x14ac:dyDescent="0.3">
      <c r="A2633" s="7">
        <v>400248</v>
      </c>
      <c r="B2633" t="str">
        <f>_xlfn.XLOOKUP(Vendas[[#This Row],[ID Vendedor]],Vendedores[ID],Vendedores[Nome])</f>
        <v>Patrícia</v>
      </c>
      <c r="C2633" s="7" t="str">
        <f>_xlfn.XLOOKUP(Vendas[[#This Row],[ID Vendedor]],Vendedores[ID],Vendedores[Setor])</f>
        <v>CM</v>
      </c>
      <c r="D2633" s="7" t="s">
        <v>32</v>
      </c>
      <c r="E2633" t="str">
        <f>_xlfn.XLOOKUP(Vendas[[#This Row],[ID Item Vendido]],Agregado[ID],Agregado[Produto])</f>
        <v>Tábua tratada e cortada 3m</v>
      </c>
      <c r="F2633" s="39">
        <v>45120</v>
      </c>
      <c r="G2633" s="7">
        <v>48</v>
      </c>
      <c r="H2633" s="3">
        <f>_xlfn.XLOOKUP(Vendas[[#This Row],[ID Item Vendido]],Agregado[ID],Agregado[Revenda])</f>
        <v>39</v>
      </c>
      <c r="I2633" s="3">
        <f>Vendas[[#This Row],[Valor Unitário]]*Vendas[[#This Row],[Qnt Vendida]]</f>
        <v>1872</v>
      </c>
      <c r="J2633" s="3">
        <f>Vendas[[#This Row],[Valor da Venda]]-(_xlfn.XLOOKUP(Vendas[[#This Row],[ID Item Vendido]],Agregado[ID],Agregado[Custo])*Vendas[[#This Row],[Qnt Vendida]])</f>
        <v>336</v>
      </c>
      <c r="K2633" s="70">
        <f>Vendas[[#This Row],[Lucro da Venda]]/Vendas[[#This Row],[Valor da Venda]]</f>
        <v>0.17948717948717949</v>
      </c>
      <c r="L2633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2633"/>
    </row>
    <row r="2634" spans="1:13" x14ac:dyDescent="0.3">
      <c r="A2634" s="7">
        <v>400250</v>
      </c>
      <c r="B2634" t="str">
        <f>_xlfn.XLOOKUP(Vendas[[#This Row],[ID Vendedor]],Vendedores[ID],Vendedores[Nome])</f>
        <v>Larissa</v>
      </c>
      <c r="C2634" s="7" t="str">
        <f>_xlfn.XLOOKUP(Vendas[[#This Row],[ID Vendedor]],Vendedores[ID],Vendedores[Setor])</f>
        <v>AB</v>
      </c>
      <c r="D2634" s="7" t="s">
        <v>39</v>
      </c>
      <c r="E2634" t="str">
        <f>_xlfn.XLOOKUP(Vendas[[#This Row],[ID Item Vendido]],Agregado[ID],Agregado[Produto])</f>
        <v>Filme plástico industrial rolo 50m</v>
      </c>
      <c r="F2634" s="39">
        <v>45120</v>
      </c>
      <c r="G2634" s="7">
        <v>5</v>
      </c>
      <c r="H2634" s="3">
        <f>_xlfn.XLOOKUP(Vendas[[#This Row],[ID Item Vendido]],Agregado[ID],Agregado[Revenda])</f>
        <v>37</v>
      </c>
      <c r="I2634" s="3">
        <f>Vendas[[#This Row],[Valor Unitário]]*Vendas[[#This Row],[Qnt Vendida]]</f>
        <v>185</v>
      </c>
      <c r="J2634" s="3">
        <f>Vendas[[#This Row],[Valor da Venda]]-(_xlfn.XLOOKUP(Vendas[[#This Row],[ID Item Vendido]],Agregado[ID],Agregado[Custo])*Vendas[[#This Row],[Qnt Vendida]])</f>
        <v>45</v>
      </c>
      <c r="K2634" s="70">
        <f>Vendas[[#This Row],[Lucro da Venda]]/Vendas[[#This Row],[Valor da Venda]]</f>
        <v>0.24324324324324326</v>
      </c>
      <c r="L2634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2634"/>
    </row>
    <row r="2635" spans="1:13" x14ac:dyDescent="0.3">
      <c r="A2635" s="7">
        <v>400242</v>
      </c>
      <c r="B2635" t="str">
        <f>_xlfn.XLOOKUP(Vendas[[#This Row],[ID Vendedor]],Vendedores[ID],Vendedores[Nome])</f>
        <v>Fernanda</v>
      </c>
      <c r="C2635" s="7" t="str">
        <f>_xlfn.XLOOKUP(Vendas[[#This Row],[ID Vendedor]],Vendedores[ID],Vendedores[Setor])</f>
        <v>FM</v>
      </c>
      <c r="D2635" s="7" t="s">
        <v>20</v>
      </c>
      <c r="E2635" t="str">
        <f>_xlfn.XLOOKUP(Vendas[[#This Row],[ID Item Vendido]],Agregado[ID],Agregado[Produto])</f>
        <v>Barra de aço simples</v>
      </c>
      <c r="F2635" s="39">
        <v>45121</v>
      </c>
      <c r="G2635" s="7">
        <v>161</v>
      </c>
      <c r="H2635" s="3">
        <f>_xlfn.XLOOKUP(Vendas[[#This Row],[ID Item Vendido]],Agregado[ID],Agregado[Revenda])</f>
        <v>4.8</v>
      </c>
      <c r="I2635" s="3">
        <f>Vendas[[#This Row],[Valor Unitário]]*Vendas[[#This Row],[Qnt Vendida]]</f>
        <v>772.8</v>
      </c>
      <c r="J2635" s="3">
        <f>Vendas[[#This Row],[Valor da Venda]]-(_xlfn.XLOOKUP(Vendas[[#This Row],[ID Item Vendido]],Agregado[ID],Agregado[Custo])*Vendas[[#This Row],[Qnt Vendida]])</f>
        <v>96.599999999999909</v>
      </c>
      <c r="K2635" s="70">
        <f>Vendas[[#This Row],[Lucro da Venda]]/Vendas[[#This Row],[Valor da Venda]]</f>
        <v>0.12499999999999989</v>
      </c>
      <c r="L2635" s="3">
        <f>_xlfn.IFS(Vendas[[#This Row],[Margem de Lucro (%)]]&lt;15%,Vendas[[#This Row],[Valor da Venda]]*3%,Vendas[[#This Row],[Margem de Lucro (%)]]&lt;=20%,Vendas[[#This Row],[Valor da Venda]]*4.5%,TRUE,Vendas[[#This Row],[Valor da Venda]]*6%)</f>
        <v>23.183999999999997</v>
      </c>
      <c r="M2635"/>
    </row>
    <row r="2636" spans="1:13" x14ac:dyDescent="0.3">
      <c r="A2636" s="7">
        <v>400246</v>
      </c>
      <c r="B2636" t="str">
        <f>_xlfn.XLOOKUP(Vendas[[#This Row],[ID Vendedor]],Vendedores[ID],Vendedores[Nome])</f>
        <v>Juliana</v>
      </c>
      <c r="C2636" s="7" t="str">
        <f>_xlfn.XLOOKUP(Vendas[[#This Row],[ID Vendedor]],Vendedores[ID],Vendedores[Setor])</f>
        <v>AHD</v>
      </c>
      <c r="D2636" s="7" t="s">
        <v>44</v>
      </c>
      <c r="E2636" t="str">
        <f>_xlfn.XLOOKUP(Vendas[[#This Row],[ID Item Vendido]],Agregado[ID],Agregado[Produto])</f>
        <v>Liga metálica especial</v>
      </c>
      <c r="F2636" s="39">
        <v>45121</v>
      </c>
      <c r="G2636" s="7">
        <v>14</v>
      </c>
      <c r="H2636" s="3">
        <f>_xlfn.XLOOKUP(Vendas[[#This Row],[ID Item Vendido]],Agregado[ID],Agregado[Revenda])</f>
        <v>32.5</v>
      </c>
      <c r="I2636" s="3">
        <f>Vendas[[#This Row],[Valor Unitário]]*Vendas[[#This Row],[Qnt Vendida]]</f>
        <v>455</v>
      </c>
      <c r="J2636" s="3">
        <f>Vendas[[#This Row],[Valor da Venda]]-(_xlfn.XLOOKUP(Vendas[[#This Row],[ID Item Vendido]],Agregado[ID],Agregado[Custo])*Vendas[[#This Row],[Qnt Vendida]])</f>
        <v>105</v>
      </c>
      <c r="K2636" s="70">
        <f>Vendas[[#This Row],[Lucro da Venda]]/Vendas[[#This Row],[Valor da Venda]]</f>
        <v>0.23076923076923078</v>
      </c>
      <c r="L2636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2636"/>
    </row>
    <row r="2637" spans="1:13" x14ac:dyDescent="0.3">
      <c r="A2637" s="7">
        <v>400248</v>
      </c>
      <c r="B2637" t="str">
        <f>_xlfn.XLOOKUP(Vendas[[#This Row],[ID Vendedor]],Vendedores[ID],Vendedores[Nome])</f>
        <v>Patrícia</v>
      </c>
      <c r="C2637" s="7" t="str">
        <f>_xlfn.XLOOKUP(Vendas[[#This Row],[ID Vendedor]],Vendedores[ID],Vendedores[Setor])</f>
        <v>CM</v>
      </c>
      <c r="D2637" s="7" t="s">
        <v>22</v>
      </c>
      <c r="E2637" t="str">
        <f>_xlfn.XLOOKUP(Vendas[[#This Row],[ID Item Vendido]],Agregado[ID],Agregado[Produto])</f>
        <v>Painel MDP 2,75x1,83m</v>
      </c>
      <c r="F2637" s="39">
        <v>45122</v>
      </c>
      <c r="G2637" s="7">
        <v>12</v>
      </c>
      <c r="H2637" s="3">
        <f>_xlfn.XLOOKUP(Vendas[[#This Row],[ID Item Vendido]],Agregado[ID],Agregado[Revenda])</f>
        <v>119</v>
      </c>
      <c r="I2637" s="3">
        <f>Vendas[[#This Row],[Valor Unitário]]*Vendas[[#This Row],[Qnt Vendida]]</f>
        <v>1428</v>
      </c>
      <c r="J2637" s="3">
        <f>Vendas[[#This Row],[Valor da Venda]]-(_xlfn.XLOOKUP(Vendas[[#This Row],[ID Item Vendido]],Agregado[ID],Agregado[Custo])*Vendas[[#This Row],[Qnt Vendida]])</f>
        <v>288</v>
      </c>
      <c r="K2637" s="70">
        <f>Vendas[[#This Row],[Lucro da Venda]]/Vendas[[#This Row],[Valor da Venda]]</f>
        <v>0.20168067226890757</v>
      </c>
      <c r="L2637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2637"/>
    </row>
    <row r="2638" spans="1:13" x14ac:dyDescent="0.3">
      <c r="A2638" s="7">
        <v>400242</v>
      </c>
      <c r="B2638" t="str">
        <f>_xlfn.XLOOKUP(Vendas[[#This Row],[ID Vendedor]],Vendedores[ID],Vendedores[Nome])</f>
        <v>Fernanda</v>
      </c>
      <c r="C2638" s="7" t="str">
        <f>_xlfn.XLOOKUP(Vendas[[#This Row],[ID Vendedor]],Vendedores[ID],Vendedores[Setor])</f>
        <v>FM</v>
      </c>
      <c r="D2638" s="7" t="s">
        <v>20</v>
      </c>
      <c r="E2638" t="str">
        <f>_xlfn.XLOOKUP(Vendas[[#This Row],[ID Item Vendido]],Agregado[ID],Agregado[Produto])</f>
        <v>Barra de aço simples</v>
      </c>
      <c r="F2638" s="39">
        <v>45122</v>
      </c>
      <c r="G2638" s="7">
        <v>157</v>
      </c>
      <c r="H2638" s="3">
        <f>_xlfn.XLOOKUP(Vendas[[#This Row],[ID Item Vendido]],Agregado[ID],Agregado[Revenda])</f>
        <v>4.8</v>
      </c>
      <c r="I2638" s="3">
        <f>Vendas[[#This Row],[Valor Unitário]]*Vendas[[#This Row],[Qnt Vendida]]</f>
        <v>753.6</v>
      </c>
      <c r="J2638" s="3">
        <f>Vendas[[#This Row],[Valor da Venda]]-(_xlfn.XLOOKUP(Vendas[[#This Row],[ID Item Vendido]],Agregado[ID],Agregado[Custo])*Vendas[[#This Row],[Qnt Vendida]])</f>
        <v>94.200000000000045</v>
      </c>
      <c r="K2638" s="70">
        <f>Vendas[[#This Row],[Lucro da Venda]]/Vendas[[#This Row],[Valor da Venda]]</f>
        <v>0.12500000000000006</v>
      </c>
      <c r="L2638" s="3">
        <f>_xlfn.IFS(Vendas[[#This Row],[Margem de Lucro (%)]]&lt;15%,Vendas[[#This Row],[Valor da Venda]]*3%,Vendas[[#This Row],[Margem de Lucro (%)]]&lt;=20%,Vendas[[#This Row],[Valor da Venda]]*4.5%,TRUE,Vendas[[#This Row],[Valor da Venda]]*6%)</f>
        <v>22.608000000000001</v>
      </c>
      <c r="M2638"/>
    </row>
    <row r="2639" spans="1:13" x14ac:dyDescent="0.3">
      <c r="A2639" s="7">
        <v>400241</v>
      </c>
      <c r="B2639" t="str">
        <f>_xlfn.XLOOKUP(Vendas[[#This Row],[ID Vendedor]],Vendedores[ID],Vendedores[Nome])</f>
        <v>Rodrigo</v>
      </c>
      <c r="C2639" s="7" t="str">
        <f>_xlfn.XLOOKUP(Vendas[[#This Row],[ID Vendedor]],Vendedores[ID],Vendedores[Setor])</f>
        <v>FM</v>
      </c>
      <c r="D2639" s="7" t="s">
        <v>31</v>
      </c>
      <c r="E2639" t="str">
        <f>_xlfn.XLOOKUP(Vendas[[#This Row],[ID Item Vendido]],Agregado[ID],Agregado[Produto])</f>
        <v>Tela de metal soldada rolo 2x25m</v>
      </c>
      <c r="F2639" s="39">
        <v>45122</v>
      </c>
      <c r="G2639" s="7">
        <v>17</v>
      </c>
      <c r="H2639" s="3">
        <f>_xlfn.XLOOKUP(Vendas[[#This Row],[ID Item Vendido]],Agregado[ID],Agregado[Revenda])</f>
        <v>43.7</v>
      </c>
      <c r="I2639" s="3">
        <f>Vendas[[#This Row],[Valor Unitário]]*Vendas[[#This Row],[Qnt Vendida]]</f>
        <v>742.90000000000009</v>
      </c>
      <c r="J2639" s="3">
        <f>Vendas[[#This Row],[Valor da Venda]]-(_xlfn.XLOOKUP(Vendas[[#This Row],[ID Item Vendido]],Agregado[ID],Agregado[Custo])*Vendas[[#This Row],[Qnt Vendida]])</f>
        <v>96.900000000000091</v>
      </c>
      <c r="K2639" s="70">
        <f>Vendas[[#This Row],[Lucro da Venda]]/Vendas[[#This Row],[Valor da Venda]]</f>
        <v>0.13043478260869576</v>
      </c>
      <c r="L2639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2639"/>
    </row>
    <row r="2640" spans="1:13" x14ac:dyDescent="0.3">
      <c r="A2640" s="7">
        <v>400243</v>
      </c>
      <c r="B2640" t="str">
        <f>_xlfn.XLOOKUP(Vendas[[#This Row],[ID Vendedor]],Vendedores[ID],Vendedores[Nome])</f>
        <v>Marcelo</v>
      </c>
      <c r="C2640" s="7" t="str">
        <f>_xlfn.XLOOKUP(Vendas[[#This Row],[ID Vendedor]],Vendedores[ID],Vendedores[Setor])</f>
        <v>FM</v>
      </c>
      <c r="D2640" s="7" t="s">
        <v>47</v>
      </c>
      <c r="E2640" t="str">
        <f>_xlfn.XLOOKUP(Vendas[[#This Row],[ID Item Vendido]],Agregado[ID],Agregado[Produto])</f>
        <v>Fio de arame galvanizado rolo 50m</v>
      </c>
      <c r="F2640" s="39">
        <v>45122</v>
      </c>
      <c r="G2640" s="7">
        <v>5</v>
      </c>
      <c r="H2640" s="3">
        <f>_xlfn.XLOOKUP(Vendas[[#This Row],[ID Item Vendido]],Agregado[ID],Agregado[Revenda])</f>
        <v>21.2</v>
      </c>
      <c r="I2640" s="3">
        <f>Vendas[[#This Row],[Valor Unitário]]*Vendas[[#This Row],[Qnt Vendida]]</f>
        <v>106</v>
      </c>
      <c r="J2640" s="3">
        <f>Vendas[[#This Row],[Valor da Venda]]-(_xlfn.XLOOKUP(Vendas[[#This Row],[ID Item Vendido]],Agregado[ID],Agregado[Custo])*Vendas[[#This Row],[Qnt Vendida]])</f>
        <v>16</v>
      </c>
      <c r="K2640" s="70">
        <f>Vendas[[#This Row],[Lucro da Venda]]/Vendas[[#This Row],[Valor da Venda]]</f>
        <v>0.15094339622641509</v>
      </c>
      <c r="L2640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2640"/>
    </row>
    <row r="2641" spans="1:13" x14ac:dyDescent="0.3">
      <c r="A2641" s="7">
        <v>400246</v>
      </c>
      <c r="B2641" t="str">
        <f>_xlfn.XLOOKUP(Vendas[[#This Row],[ID Vendedor]],Vendedores[ID],Vendedores[Nome])</f>
        <v>Juliana</v>
      </c>
      <c r="C2641" s="7" t="str">
        <f>_xlfn.XLOOKUP(Vendas[[#This Row],[ID Vendedor]],Vendedores[ID],Vendedores[Setor])</f>
        <v>AHD</v>
      </c>
      <c r="D2641" s="7" t="s">
        <v>30</v>
      </c>
      <c r="E2641" t="str">
        <f>_xlfn.XLOOKUP(Vendas[[#This Row],[ID Item Vendido]],Agregado[ID],Agregado[Produto])</f>
        <v>Estrutura metálica soldada</v>
      </c>
      <c r="F2641" s="39">
        <v>45124</v>
      </c>
      <c r="G2641" s="7">
        <v>8</v>
      </c>
      <c r="H2641" s="3">
        <f>_xlfn.XLOOKUP(Vendas[[#This Row],[ID Item Vendido]],Agregado[ID],Agregado[Revenda])</f>
        <v>400</v>
      </c>
      <c r="I2641" s="3">
        <f>Vendas[[#This Row],[Valor Unitário]]*Vendas[[#This Row],[Qnt Vendida]]</f>
        <v>3200</v>
      </c>
      <c r="J2641" s="3">
        <f>Vendas[[#This Row],[Valor da Venda]]-(_xlfn.XLOOKUP(Vendas[[#This Row],[ID Item Vendido]],Agregado[ID],Agregado[Custo])*Vendas[[#This Row],[Qnt Vendida]])</f>
        <v>640</v>
      </c>
      <c r="K2641" s="70">
        <f>Vendas[[#This Row],[Lucro da Venda]]/Vendas[[#This Row],[Valor da Venda]]</f>
        <v>0.2</v>
      </c>
      <c r="L2641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641"/>
    </row>
    <row r="2642" spans="1:13" x14ac:dyDescent="0.3">
      <c r="A2642" s="7">
        <v>400251</v>
      </c>
      <c r="B2642" t="str">
        <f>_xlfn.XLOOKUP(Vendas[[#This Row],[ID Vendedor]],Vendedores[ID],Vendedores[Nome])</f>
        <v>Diego</v>
      </c>
      <c r="C2642" s="7" t="str">
        <f>_xlfn.XLOOKUP(Vendas[[#This Row],[ID Vendedor]],Vendedores[ID],Vendedores[Setor])</f>
        <v>AB</v>
      </c>
      <c r="D2642" s="7" t="s">
        <v>37</v>
      </c>
      <c r="E2642" t="str">
        <f>_xlfn.XLOOKUP(Vendas[[#This Row],[ID Item Vendido]],Agregado[ID],Agregado[Produto])</f>
        <v>Composto de borracha para vedação rolo 10m</v>
      </c>
      <c r="F2642" s="39">
        <v>45124</v>
      </c>
      <c r="G2642" s="7">
        <v>14</v>
      </c>
      <c r="H2642" s="3">
        <f>_xlfn.XLOOKUP(Vendas[[#This Row],[ID Item Vendido]],Agregado[ID],Agregado[Revenda])</f>
        <v>51.2</v>
      </c>
      <c r="I2642" s="3">
        <f>Vendas[[#This Row],[Valor Unitário]]*Vendas[[#This Row],[Qnt Vendida]]</f>
        <v>716.80000000000007</v>
      </c>
      <c r="J2642" s="3">
        <f>Vendas[[#This Row],[Valor da Venda]]-(_xlfn.XLOOKUP(Vendas[[#This Row],[ID Item Vendido]],Agregado[ID],Agregado[Custo])*Vendas[[#This Row],[Qnt Vendida]])</f>
        <v>156.80000000000007</v>
      </c>
      <c r="K2642" s="70">
        <f>Vendas[[#This Row],[Lucro da Venda]]/Vendas[[#This Row],[Valor da Venda]]</f>
        <v>0.21875000000000008</v>
      </c>
      <c r="L2642" s="3">
        <f>_xlfn.IFS(Vendas[[#This Row],[Margem de Lucro (%)]]&lt;15%,Vendas[[#This Row],[Valor da Venda]]*3%,Vendas[[#This Row],[Margem de Lucro (%)]]&lt;=20%,Vendas[[#This Row],[Valor da Venda]]*4.5%,TRUE,Vendas[[#This Row],[Valor da Venda]]*6%)</f>
        <v>43.008000000000003</v>
      </c>
      <c r="M2642"/>
    </row>
    <row r="2643" spans="1:13" x14ac:dyDescent="0.3">
      <c r="A2643" s="7">
        <v>400253</v>
      </c>
      <c r="B2643" t="str">
        <f>_xlfn.XLOOKUP(Vendas[[#This Row],[ID Vendedor]],Vendedores[ID],Vendedores[Nome])</f>
        <v>Gustavo</v>
      </c>
      <c r="C2643" s="7" t="str">
        <f>_xlfn.XLOOKUP(Vendas[[#This Row],[ID Vendedor]],Vendedores[ID],Vendedores[Setor])</f>
        <v>SC</v>
      </c>
      <c r="D2643" s="7" t="s">
        <v>42</v>
      </c>
      <c r="E2643" t="str">
        <f>_xlfn.XLOOKUP(Vendas[[#This Row],[ID Item Vendido]],Agregado[ID],Agregado[Produto])</f>
        <v>Container de ferro industrial</v>
      </c>
      <c r="F2643" s="39">
        <v>45125</v>
      </c>
      <c r="G2643" s="7">
        <v>5</v>
      </c>
      <c r="H2643" s="3">
        <f>_xlfn.XLOOKUP(Vendas[[#This Row],[ID Item Vendido]],Agregado[ID],Agregado[Revenda])</f>
        <v>830</v>
      </c>
      <c r="I2643" s="3">
        <f>Vendas[[#This Row],[Valor Unitário]]*Vendas[[#This Row],[Qnt Vendida]]</f>
        <v>4150</v>
      </c>
      <c r="J2643" s="3">
        <f>Vendas[[#This Row],[Valor da Venda]]-(_xlfn.XLOOKUP(Vendas[[#This Row],[ID Item Vendido]],Agregado[ID],Agregado[Custo])*Vendas[[#This Row],[Qnt Vendida]])</f>
        <v>750</v>
      </c>
      <c r="K2643" s="70">
        <f>Vendas[[#This Row],[Lucro da Venda]]/Vendas[[#This Row],[Valor da Venda]]</f>
        <v>0.18072289156626506</v>
      </c>
      <c r="L264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643"/>
    </row>
    <row r="2644" spans="1:13" x14ac:dyDescent="0.3">
      <c r="A2644" s="7">
        <v>400253</v>
      </c>
      <c r="B2644" t="str">
        <f>_xlfn.XLOOKUP(Vendas[[#This Row],[ID Vendedor]],Vendedores[ID],Vendedores[Nome])</f>
        <v>Gustavo</v>
      </c>
      <c r="C2644" s="7" t="str">
        <f>_xlfn.XLOOKUP(Vendas[[#This Row],[ID Vendedor]],Vendedores[ID],Vendedores[Setor])</f>
        <v>SC</v>
      </c>
      <c r="D2644" s="7" t="s">
        <v>14</v>
      </c>
      <c r="E2644" t="str">
        <f>_xlfn.XLOOKUP(Vendas[[#This Row],[ID Item Vendido]],Agregado[ID],Agregado[Produto])</f>
        <v>Barril de plástico 200L</v>
      </c>
      <c r="F2644" s="39">
        <v>45125</v>
      </c>
      <c r="G2644" s="7">
        <v>22</v>
      </c>
      <c r="H2644" s="3">
        <f>_xlfn.XLOOKUP(Vendas[[#This Row],[ID Item Vendido]],Agregado[ID],Agregado[Revenda])</f>
        <v>114</v>
      </c>
      <c r="I2644" s="3">
        <f>Vendas[[#This Row],[Valor Unitário]]*Vendas[[#This Row],[Qnt Vendida]]</f>
        <v>2508</v>
      </c>
      <c r="J2644" s="3">
        <f>Vendas[[#This Row],[Valor da Venda]]-(_xlfn.XLOOKUP(Vendas[[#This Row],[ID Item Vendido]],Agregado[ID],Agregado[Custo])*Vendas[[#This Row],[Qnt Vendida]])</f>
        <v>418</v>
      </c>
      <c r="K2644" s="70">
        <f>Vendas[[#This Row],[Lucro da Venda]]/Vendas[[#This Row],[Valor da Venda]]</f>
        <v>0.16666666666666666</v>
      </c>
      <c r="L2644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2644"/>
    </row>
    <row r="2645" spans="1:13" x14ac:dyDescent="0.3">
      <c r="A2645" s="7">
        <v>400250</v>
      </c>
      <c r="B2645" t="str">
        <f>_xlfn.XLOOKUP(Vendas[[#This Row],[ID Vendedor]],Vendedores[ID],Vendedores[Nome])</f>
        <v>Larissa</v>
      </c>
      <c r="C2645" s="7" t="str">
        <f>_xlfn.XLOOKUP(Vendas[[#This Row],[ID Vendedor]],Vendedores[ID],Vendedores[Setor])</f>
        <v>AB</v>
      </c>
      <c r="D2645" s="7" t="s">
        <v>24</v>
      </c>
      <c r="E2645" t="str">
        <f>_xlfn.XLOOKUP(Vendas[[#This Row],[ID Item Vendido]],Agregado[ID],Agregado[Produto])</f>
        <v>Resina plástica PET purificada saco de 25kg</v>
      </c>
      <c r="F2645" s="39">
        <v>45125</v>
      </c>
      <c r="G2645" s="7">
        <v>6</v>
      </c>
      <c r="H2645" s="3">
        <f>_xlfn.XLOOKUP(Vendas[[#This Row],[ID Item Vendido]],Agregado[ID],Agregado[Revenda])</f>
        <v>119</v>
      </c>
      <c r="I2645" s="3">
        <f>Vendas[[#This Row],[Valor Unitário]]*Vendas[[#This Row],[Qnt Vendida]]</f>
        <v>714</v>
      </c>
      <c r="J2645" s="3">
        <f>Vendas[[#This Row],[Valor da Venda]]-(_xlfn.XLOOKUP(Vendas[[#This Row],[ID Item Vendido]],Agregado[ID],Agregado[Custo])*Vendas[[#This Row],[Qnt Vendida]])</f>
        <v>204</v>
      </c>
      <c r="K2645" s="70">
        <f>Vendas[[#This Row],[Lucro da Venda]]/Vendas[[#This Row],[Valor da Venda]]</f>
        <v>0.2857142857142857</v>
      </c>
      <c r="L2645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2645"/>
    </row>
    <row r="2646" spans="1:13" x14ac:dyDescent="0.3">
      <c r="A2646" s="7">
        <v>400246</v>
      </c>
      <c r="B2646" t="str">
        <f>_xlfn.XLOOKUP(Vendas[[#This Row],[ID Vendedor]],Vendedores[ID],Vendedores[Nome])</f>
        <v>Juliana</v>
      </c>
      <c r="C2646" s="7" t="str">
        <f>_xlfn.XLOOKUP(Vendas[[#This Row],[ID Vendedor]],Vendedores[ID],Vendedores[Setor])</f>
        <v>AHD</v>
      </c>
      <c r="D2646" s="7" t="s">
        <v>18</v>
      </c>
      <c r="E2646" t="str">
        <f>_xlfn.XLOOKUP(Vendas[[#This Row],[ID Item Vendido]],Agregado[ID],Agregado[Produto])</f>
        <v>Peça forjada sob encomenda</v>
      </c>
      <c r="F2646" s="39">
        <v>45125</v>
      </c>
      <c r="G2646" s="7">
        <v>1</v>
      </c>
      <c r="H2646" s="3">
        <f>_xlfn.XLOOKUP(Vendas[[#This Row],[ID Item Vendido]],Agregado[ID],Agregado[Revenda])</f>
        <v>264.60000000000002</v>
      </c>
      <c r="I2646" s="3">
        <f>Vendas[[#This Row],[Valor Unitário]]*Vendas[[#This Row],[Qnt Vendida]]</f>
        <v>264.60000000000002</v>
      </c>
      <c r="J2646" s="3">
        <f>Vendas[[#This Row],[Valor da Venda]]-(_xlfn.XLOOKUP(Vendas[[#This Row],[ID Item Vendido]],Agregado[ID],Agregado[Custo])*Vendas[[#This Row],[Qnt Vendida]])</f>
        <v>14.600000000000023</v>
      </c>
      <c r="K2646" s="70">
        <f>Vendas[[#This Row],[Lucro da Venda]]/Vendas[[#This Row],[Valor da Venda]]</f>
        <v>5.5177626606198113E-2</v>
      </c>
      <c r="L2646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2646"/>
    </row>
    <row r="2647" spans="1:13" x14ac:dyDescent="0.3">
      <c r="A2647" s="7">
        <v>400242</v>
      </c>
      <c r="B2647" t="str">
        <f>_xlfn.XLOOKUP(Vendas[[#This Row],[ID Vendedor]],Vendedores[ID],Vendedores[Nome])</f>
        <v>Fernanda</v>
      </c>
      <c r="C2647" s="7" t="str">
        <f>_xlfn.XLOOKUP(Vendas[[#This Row],[ID Vendedor]],Vendedores[ID],Vendedores[Setor])</f>
        <v>FM</v>
      </c>
      <c r="D2647" s="7" t="s">
        <v>6</v>
      </c>
      <c r="E2647" t="str">
        <f>_xlfn.XLOOKUP(Vendas[[#This Row],[ID Item Vendido]],Agregado[ID],Agregado[Produto])</f>
        <v>Parafuso comum 500un</v>
      </c>
      <c r="F2647" s="39">
        <v>45125</v>
      </c>
      <c r="G2647" s="7">
        <v>8</v>
      </c>
      <c r="H2647" s="3">
        <f>_xlfn.XLOOKUP(Vendas[[#This Row],[ID Item Vendido]],Agregado[ID],Agregado[Revenda])</f>
        <v>24.6</v>
      </c>
      <c r="I2647" s="3">
        <f>Vendas[[#This Row],[Valor Unitário]]*Vendas[[#This Row],[Qnt Vendida]]</f>
        <v>196.8</v>
      </c>
      <c r="J2647" s="3">
        <f>Vendas[[#This Row],[Valor da Venda]]-(_xlfn.XLOOKUP(Vendas[[#This Row],[ID Item Vendido]],Agregado[ID],Agregado[Custo])*Vendas[[#This Row],[Qnt Vendida]])</f>
        <v>20.800000000000011</v>
      </c>
      <c r="K2647" s="70">
        <f>Vendas[[#This Row],[Lucro da Venda]]/Vendas[[#This Row],[Valor da Venda]]</f>
        <v>0.10569105691056915</v>
      </c>
      <c r="L2647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647"/>
    </row>
    <row r="2648" spans="1:13" x14ac:dyDescent="0.3">
      <c r="A2648" s="7">
        <v>400246</v>
      </c>
      <c r="B2648" t="str">
        <f>_xlfn.XLOOKUP(Vendas[[#This Row],[ID Vendedor]],Vendedores[ID],Vendedores[Nome])</f>
        <v>Juliana</v>
      </c>
      <c r="C2648" s="7" t="str">
        <f>_xlfn.XLOOKUP(Vendas[[#This Row],[ID Vendedor]],Vendedores[ID],Vendedores[Setor])</f>
        <v>AHD</v>
      </c>
      <c r="D2648" s="7" t="s">
        <v>9</v>
      </c>
      <c r="E2648" t="str">
        <f>_xlfn.XLOOKUP(Vendas[[#This Row],[ID Item Vendido]],Agregado[ID],Agregado[Produto])</f>
        <v>Barra de aço simples</v>
      </c>
      <c r="F2648" s="39">
        <v>45125</v>
      </c>
      <c r="G2648" s="7">
        <v>26</v>
      </c>
      <c r="H2648" s="3">
        <f>_xlfn.XLOOKUP(Vendas[[#This Row],[ID Item Vendido]],Agregado[ID],Agregado[Revenda])</f>
        <v>6.7</v>
      </c>
      <c r="I2648" s="3">
        <f>Vendas[[#This Row],[Valor Unitário]]*Vendas[[#This Row],[Qnt Vendida]]</f>
        <v>174.20000000000002</v>
      </c>
      <c r="J2648" s="3">
        <f>Vendas[[#This Row],[Valor da Venda]]-(_xlfn.XLOOKUP(Vendas[[#This Row],[ID Item Vendido]],Agregado[ID],Agregado[Custo])*Vendas[[#This Row],[Qnt Vendida]])</f>
        <v>23.400000000000034</v>
      </c>
      <c r="K2648" s="70">
        <f>Vendas[[#This Row],[Lucro da Venda]]/Vendas[[#This Row],[Valor da Venda]]</f>
        <v>0.13432835820895542</v>
      </c>
      <c r="L2648" s="3">
        <f>_xlfn.IFS(Vendas[[#This Row],[Margem de Lucro (%)]]&lt;15%,Vendas[[#This Row],[Valor da Venda]]*3%,Vendas[[#This Row],[Margem de Lucro (%)]]&lt;=20%,Vendas[[#This Row],[Valor da Venda]]*4.5%,TRUE,Vendas[[#This Row],[Valor da Venda]]*6%)</f>
        <v>5.226</v>
      </c>
      <c r="M2648"/>
    </row>
    <row r="2649" spans="1:13" x14ac:dyDescent="0.3">
      <c r="A2649" s="7">
        <v>400250</v>
      </c>
      <c r="B2649" t="str">
        <f>_xlfn.XLOOKUP(Vendas[[#This Row],[ID Vendedor]],Vendedores[ID],Vendedores[Nome])</f>
        <v>Larissa</v>
      </c>
      <c r="C2649" s="7" t="str">
        <f>_xlfn.XLOOKUP(Vendas[[#This Row],[ID Vendedor]],Vendedores[ID],Vendedores[Setor])</f>
        <v>AB</v>
      </c>
      <c r="D2649" s="7" t="s">
        <v>12</v>
      </c>
      <c r="E2649" t="str">
        <f>_xlfn.XLOOKUP(Vendas[[#This Row],[ID Item Vendido]],Agregado[ID],Agregado[Produto])</f>
        <v>Grânulo de plástico reciclado refinado</v>
      </c>
      <c r="F2649" s="39">
        <v>45125</v>
      </c>
      <c r="G2649" s="7">
        <v>20</v>
      </c>
      <c r="H2649" s="3">
        <f>_xlfn.XLOOKUP(Vendas[[#This Row],[ID Item Vendido]],Agregado[ID],Agregado[Revenda])</f>
        <v>4.7</v>
      </c>
      <c r="I2649" s="3">
        <f>Vendas[[#This Row],[Valor Unitário]]*Vendas[[#This Row],[Qnt Vendida]]</f>
        <v>94</v>
      </c>
      <c r="J2649" s="3">
        <f>Vendas[[#This Row],[Valor da Venda]]-(_xlfn.XLOOKUP(Vendas[[#This Row],[ID Item Vendido]],Agregado[ID],Agregado[Custo])*Vendas[[#This Row],[Qnt Vendida]])</f>
        <v>24</v>
      </c>
      <c r="K2649" s="70">
        <f>Vendas[[#This Row],[Lucro da Venda]]/Vendas[[#This Row],[Valor da Venda]]</f>
        <v>0.25531914893617019</v>
      </c>
      <c r="L2649" s="3">
        <f>_xlfn.IFS(Vendas[[#This Row],[Margem de Lucro (%)]]&lt;15%,Vendas[[#This Row],[Valor da Venda]]*3%,Vendas[[#This Row],[Margem de Lucro (%)]]&lt;=20%,Vendas[[#This Row],[Valor da Venda]]*4.5%,TRUE,Vendas[[#This Row],[Valor da Venda]]*6%)</f>
        <v>5.64</v>
      </c>
      <c r="M2649"/>
    </row>
    <row r="2650" spans="1:13" x14ac:dyDescent="0.3">
      <c r="A2650" s="7">
        <v>400253</v>
      </c>
      <c r="B2650" t="str">
        <f>_xlfn.XLOOKUP(Vendas[[#This Row],[ID Vendedor]],Vendedores[ID],Vendedores[Nome])</f>
        <v>Gustavo</v>
      </c>
      <c r="C2650" s="7" t="str">
        <f>_xlfn.XLOOKUP(Vendas[[#This Row],[ID Vendedor]],Vendedores[ID],Vendedores[Setor])</f>
        <v>SC</v>
      </c>
      <c r="D2650" s="7" t="s">
        <v>14</v>
      </c>
      <c r="E2650" t="str">
        <f>_xlfn.XLOOKUP(Vendas[[#This Row],[ID Item Vendido]],Agregado[ID],Agregado[Produto])</f>
        <v>Barril de plástico 200L</v>
      </c>
      <c r="F2650" s="39">
        <v>45127</v>
      </c>
      <c r="G2650" s="7">
        <v>25</v>
      </c>
      <c r="H2650" s="3">
        <f>_xlfn.XLOOKUP(Vendas[[#This Row],[ID Item Vendido]],Agregado[ID],Agregado[Revenda])</f>
        <v>114</v>
      </c>
      <c r="I2650" s="3">
        <f>Vendas[[#This Row],[Valor Unitário]]*Vendas[[#This Row],[Qnt Vendida]]</f>
        <v>2850</v>
      </c>
      <c r="J2650" s="3">
        <f>Vendas[[#This Row],[Valor da Venda]]-(_xlfn.XLOOKUP(Vendas[[#This Row],[ID Item Vendido]],Agregado[ID],Agregado[Custo])*Vendas[[#This Row],[Qnt Vendida]])</f>
        <v>475</v>
      </c>
      <c r="K2650" s="70">
        <f>Vendas[[#This Row],[Lucro da Venda]]/Vendas[[#This Row],[Valor da Venda]]</f>
        <v>0.16666666666666666</v>
      </c>
      <c r="L2650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2650"/>
    </row>
    <row r="2651" spans="1:13" x14ac:dyDescent="0.3">
      <c r="A2651" s="7">
        <v>400253</v>
      </c>
      <c r="B2651" t="str">
        <f>_xlfn.XLOOKUP(Vendas[[#This Row],[ID Vendedor]],Vendedores[ID],Vendedores[Nome])</f>
        <v>Gustavo</v>
      </c>
      <c r="C2651" s="7" t="str">
        <f>_xlfn.XLOOKUP(Vendas[[#This Row],[ID Vendedor]],Vendedores[ID],Vendedores[Setor])</f>
        <v>SC</v>
      </c>
      <c r="D2651" s="7" t="s">
        <v>48</v>
      </c>
      <c r="E2651" t="str">
        <f>_xlfn.XLOOKUP(Vendas[[#This Row],[ID Item Vendido]],Agregado[ID],Agregado[Produto])</f>
        <v>Tambor metálico 200L</v>
      </c>
      <c r="F2651" s="39">
        <v>45127</v>
      </c>
      <c r="G2651" s="7">
        <v>13</v>
      </c>
      <c r="H2651" s="3">
        <f>_xlfn.XLOOKUP(Vendas[[#This Row],[ID Item Vendido]],Agregado[ID],Agregado[Revenda])</f>
        <v>144</v>
      </c>
      <c r="I2651" s="3">
        <f>Vendas[[#This Row],[Valor Unitário]]*Vendas[[#This Row],[Qnt Vendida]]</f>
        <v>1872</v>
      </c>
      <c r="J2651" s="3">
        <f>Vendas[[#This Row],[Valor da Venda]]-(_xlfn.XLOOKUP(Vendas[[#This Row],[ID Item Vendido]],Agregado[ID],Agregado[Custo])*Vendas[[#This Row],[Qnt Vendida]])</f>
        <v>312</v>
      </c>
      <c r="K2651" s="70">
        <f>Vendas[[#This Row],[Lucro da Venda]]/Vendas[[#This Row],[Valor da Venda]]</f>
        <v>0.16666666666666666</v>
      </c>
      <c r="L2651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2651"/>
    </row>
    <row r="2652" spans="1:13" x14ac:dyDescent="0.3">
      <c r="A2652" s="7">
        <v>400247</v>
      </c>
      <c r="B2652" t="str">
        <f>_xlfn.XLOOKUP(Vendas[[#This Row],[ID Vendedor]],Vendedores[ID],Vendedores[Nome])</f>
        <v>André</v>
      </c>
      <c r="C2652" s="7" t="str">
        <f>_xlfn.XLOOKUP(Vendas[[#This Row],[ID Vendedor]],Vendedores[ID],Vendedores[Setor])</f>
        <v>CM</v>
      </c>
      <c r="D2652" s="7" t="s">
        <v>22</v>
      </c>
      <c r="E2652" t="str">
        <f>_xlfn.XLOOKUP(Vendas[[#This Row],[ID Item Vendido]],Agregado[ID],Agregado[Produto])</f>
        <v>Painel MDP 2,75x1,83m</v>
      </c>
      <c r="F2652" s="39">
        <v>45127</v>
      </c>
      <c r="G2652" s="7">
        <v>9</v>
      </c>
      <c r="H2652" s="3">
        <f>_xlfn.XLOOKUP(Vendas[[#This Row],[ID Item Vendido]],Agregado[ID],Agregado[Revenda])</f>
        <v>119</v>
      </c>
      <c r="I2652" s="3">
        <f>Vendas[[#This Row],[Valor Unitário]]*Vendas[[#This Row],[Qnt Vendida]]</f>
        <v>1071</v>
      </c>
      <c r="J2652" s="3">
        <f>Vendas[[#This Row],[Valor da Venda]]-(_xlfn.XLOOKUP(Vendas[[#This Row],[ID Item Vendido]],Agregado[ID],Agregado[Custo])*Vendas[[#This Row],[Qnt Vendida]])</f>
        <v>216</v>
      </c>
      <c r="K2652" s="70">
        <f>Vendas[[#This Row],[Lucro da Venda]]/Vendas[[#This Row],[Valor da Venda]]</f>
        <v>0.20168067226890757</v>
      </c>
      <c r="L2652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2652"/>
    </row>
    <row r="2653" spans="1:13" x14ac:dyDescent="0.3">
      <c r="A2653" s="7">
        <v>400243</v>
      </c>
      <c r="B2653" t="str">
        <f>_xlfn.XLOOKUP(Vendas[[#This Row],[ID Vendedor]],Vendedores[ID],Vendedores[Nome])</f>
        <v>Marcelo</v>
      </c>
      <c r="C2653" s="7" t="str">
        <f>_xlfn.XLOOKUP(Vendas[[#This Row],[ID Vendedor]],Vendedores[ID],Vendedores[Setor])</f>
        <v>FM</v>
      </c>
      <c r="D2653" s="7" t="s">
        <v>20</v>
      </c>
      <c r="E2653" t="str">
        <f>_xlfn.XLOOKUP(Vendas[[#This Row],[ID Item Vendido]],Agregado[ID],Agregado[Produto])</f>
        <v>Barra de aço simples</v>
      </c>
      <c r="F2653" s="39">
        <v>45127</v>
      </c>
      <c r="G2653" s="7">
        <v>160</v>
      </c>
      <c r="H2653" s="3">
        <f>_xlfn.XLOOKUP(Vendas[[#This Row],[ID Item Vendido]],Agregado[ID],Agregado[Revenda])</f>
        <v>4.8</v>
      </c>
      <c r="I2653" s="3">
        <f>Vendas[[#This Row],[Valor Unitário]]*Vendas[[#This Row],[Qnt Vendida]]</f>
        <v>768</v>
      </c>
      <c r="J2653" s="3">
        <f>Vendas[[#This Row],[Valor da Venda]]-(_xlfn.XLOOKUP(Vendas[[#This Row],[ID Item Vendido]],Agregado[ID],Agregado[Custo])*Vendas[[#This Row],[Qnt Vendida]])</f>
        <v>96</v>
      </c>
      <c r="K2653" s="70">
        <f>Vendas[[#This Row],[Lucro da Venda]]/Vendas[[#This Row],[Valor da Venda]]</f>
        <v>0.125</v>
      </c>
      <c r="L2653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2653"/>
    </row>
    <row r="2654" spans="1:13" x14ac:dyDescent="0.3">
      <c r="A2654" s="7">
        <v>400242</v>
      </c>
      <c r="B2654" t="str">
        <f>_xlfn.XLOOKUP(Vendas[[#This Row],[ID Vendedor]],Vendedores[ID],Vendedores[Nome])</f>
        <v>Fernanda</v>
      </c>
      <c r="C2654" s="7" t="str">
        <f>_xlfn.XLOOKUP(Vendas[[#This Row],[ID Vendedor]],Vendedores[ID],Vendedores[Setor])</f>
        <v>FM</v>
      </c>
      <c r="D2654" s="7" t="s">
        <v>6</v>
      </c>
      <c r="E2654" t="str">
        <f>_xlfn.XLOOKUP(Vendas[[#This Row],[ID Item Vendido]],Agregado[ID],Agregado[Produto])</f>
        <v>Parafuso comum 500un</v>
      </c>
      <c r="F2654" s="39">
        <v>45127</v>
      </c>
      <c r="G2654" s="7">
        <v>23</v>
      </c>
      <c r="H2654" s="3">
        <f>_xlfn.XLOOKUP(Vendas[[#This Row],[ID Item Vendido]],Agregado[ID],Agregado[Revenda])</f>
        <v>24.6</v>
      </c>
      <c r="I2654" s="3">
        <f>Vendas[[#This Row],[Valor Unitário]]*Vendas[[#This Row],[Qnt Vendida]]</f>
        <v>565.80000000000007</v>
      </c>
      <c r="J2654" s="3">
        <f>Vendas[[#This Row],[Valor da Venda]]-(_xlfn.XLOOKUP(Vendas[[#This Row],[ID Item Vendido]],Agregado[ID],Agregado[Custo])*Vendas[[#This Row],[Qnt Vendida]])</f>
        <v>59.800000000000068</v>
      </c>
      <c r="K2654" s="70">
        <f>Vendas[[#This Row],[Lucro da Venda]]/Vendas[[#This Row],[Valor da Venda]]</f>
        <v>0.10569105691056921</v>
      </c>
      <c r="L2654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2654"/>
    </row>
    <row r="2655" spans="1:13" x14ac:dyDescent="0.3">
      <c r="A2655" s="7">
        <v>400242</v>
      </c>
      <c r="B2655" t="str">
        <f>_xlfn.XLOOKUP(Vendas[[#This Row],[ID Vendedor]],Vendedores[ID],Vendedores[Nome])</f>
        <v>Fernanda</v>
      </c>
      <c r="C2655" s="7" t="str">
        <f>_xlfn.XLOOKUP(Vendas[[#This Row],[ID Vendedor]],Vendedores[ID],Vendedores[Setor])</f>
        <v>FM</v>
      </c>
      <c r="D2655" s="7" t="s">
        <v>6</v>
      </c>
      <c r="E2655" t="str">
        <f>_xlfn.XLOOKUP(Vendas[[#This Row],[ID Item Vendido]],Agregado[ID],Agregado[Produto])</f>
        <v>Parafuso comum 500un</v>
      </c>
      <c r="F2655" s="39">
        <v>45127</v>
      </c>
      <c r="G2655" s="7">
        <v>21</v>
      </c>
      <c r="H2655" s="3">
        <f>_xlfn.XLOOKUP(Vendas[[#This Row],[ID Item Vendido]],Agregado[ID],Agregado[Revenda])</f>
        <v>24.6</v>
      </c>
      <c r="I2655" s="3">
        <f>Vendas[[#This Row],[Valor Unitário]]*Vendas[[#This Row],[Qnt Vendida]]</f>
        <v>516.6</v>
      </c>
      <c r="J2655" s="3">
        <f>Vendas[[#This Row],[Valor da Venda]]-(_xlfn.XLOOKUP(Vendas[[#This Row],[ID Item Vendido]],Agregado[ID],Agregado[Custo])*Vendas[[#This Row],[Qnt Vendida]])</f>
        <v>54.600000000000023</v>
      </c>
      <c r="K2655" s="70">
        <f>Vendas[[#This Row],[Lucro da Venda]]/Vendas[[#This Row],[Valor da Venda]]</f>
        <v>0.10569105691056914</v>
      </c>
      <c r="L2655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2655"/>
    </row>
    <row r="2656" spans="1:13" x14ac:dyDescent="0.3">
      <c r="A2656" s="7">
        <v>400250</v>
      </c>
      <c r="B2656" t="str">
        <f>_xlfn.XLOOKUP(Vendas[[#This Row],[ID Vendedor]],Vendedores[ID],Vendedores[Nome])</f>
        <v>Larissa</v>
      </c>
      <c r="C2656" s="7" t="str">
        <f>_xlfn.XLOOKUP(Vendas[[#This Row],[ID Vendedor]],Vendedores[ID],Vendedores[Setor])</f>
        <v>AB</v>
      </c>
      <c r="D2656" s="7" t="s">
        <v>36</v>
      </c>
      <c r="E2656" t="str">
        <f>_xlfn.XLOOKUP(Vendas[[#This Row],[ID Item Vendido]],Agregado[ID],Agregado[Produto])</f>
        <v>Borracha vulcanizada em manta</v>
      </c>
      <c r="F2656" s="39">
        <v>45127</v>
      </c>
      <c r="G2656" s="7">
        <v>14</v>
      </c>
      <c r="H2656" s="3">
        <f>_xlfn.XLOOKUP(Vendas[[#This Row],[ID Item Vendido]],Agregado[ID],Agregado[Revenda])</f>
        <v>7.8</v>
      </c>
      <c r="I2656" s="3">
        <f>Vendas[[#This Row],[Valor Unitário]]*Vendas[[#This Row],[Qnt Vendida]]</f>
        <v>109.2</v>
      </c>
      <c r="J2656" s="3">
        <f>Vendas[[#This Row],[Valor da Venda]]-(_xlfn.XLOOKUP(Vendas[[#This Row],[ID Item Vendido]],Agregado[ID],Agregado[Custo])*Vendas[[#This Row],[Qnt Vendida]])</f>
        <v>25.200000000000003</v>
      </c>
      <c r="K2656" s="70">
        <f>Vendas[[#This Row],[Lucro da Venda]]/Vendas[[#This Row],[Valor da Venda]]</f>
        <v>0.23076923076923078</v>
      </c>
      <c r="L2656" s="3">
        <f>_xlfn.IFS(Vendas[[#This Row],[Margem de Lucro (%)]]&lt;15%,Vendas[[#This Row],[Valor da Venda]]*3%,Vendas[[#This Row],[Margem de Lucro (%)]]&lt;=20%,Vendas[[#This Row],[Valor da Venda]]*4.5%,TRUE,Vendas[[#This Row],[Valor da Venda]]*6%)</f>
        <v>6.5519999999999996</v>
      </c>
      <c r="M2656"/>
    </row>
    <row r="2657" spans="1:13" x14ac:dyDescent="0.3">
      <c r="A2657" s="7">
        <v>400255</v>
      </c>
      <c r="B2657" t="str">
        <f>_xlfn.XLOOKUP(Vendas[[#This Row],[ID Vendedor]],Vendedores[ID],Vendedores[Nome])</f>
        <v>Carlos</v>
      </c>
      <c r="C2657" s="7" t="str">
        <f>_xlfn.XLOOKUP(Vendas[[#This Row],[ID Vendedor]],Vendedores[ID],Vendedores[Setor])</f>
        <v>SC</v>
      </c>
      <c r="D2657" s="7" t="s">
        <v>14</v>
      </c>
      <c r="E2657" t="str">
        <f>_xlfn.XLOOKUP(Vendas[[#This Row],[ID Item Vendido]],Agregado[ID],Agregado[Produto])</f>
        <v>Barril de plástico 200L</v>
      </c>
      <c r="F2657" s="39">
        <v>45128</v>
      </c>
      <c r="G2657" s="7">
        <v>19</v>
      </c>
      <c r="H2657" s="3">
        <f>_xlfn.XLOOKUP(Vendas[[#This Row],[ID Item Vendido]],Agregado[ID],Agregado[Revenda])</f>
        <v>114</v>
      </c>
      <c r="I2657" s="3">
        <f>Vendas[[#This Row],[Valor Unitário]]*Vendas[[#This Row],[Qnt Vendida]]</f>
        <v>2166</v>
      </c>
      <c r="J2657" s="3">
        <f>Vendas[[#This Row],[Valor da Venda]]-(_xlfn.XLOOKUP(Vendas[[#This Row],[ID Item Vendido]],Agregado[ID],Agregado[Custo])*Vendas[[#This Row],[Qnt Vendida]])</f>
        <v>361</v>
      </c>
      <c r="K2657" s="70">
        <f>Vendas[[#This Row],[Lucro da Venda]]/Vendas[[#This Row],[Valor da Venda]]</f>
        <v>0.16666666666666666</v>
      </c>
      <c r="L2657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2657"/>
    </row>
    <row r="2658" spans="1:13" x14ac:dyDescent="0.3">
      <c r="A2658" s="7">
        <v>400244</v>
      </c>
      <c r="B2658" t="str">
        <f>_xlfn.XLOOKUP(Vendas[[#This Row],[ID Vendedor]],Vendedores[ID],Vendedores[Nome])</f>
        <v>Camila</v>
      </c>
      <c r="C2658" s="7" t="str">
        <f>_xlfn.XLOOKUP(Vendas[[#This Row],[ID Vendedor]],Vendedores[ID],Vendedores[Setor])</f>
        <v>AHD</v>
      </c>
      <c r="D2658" s="7" t="s">
        <v>9</v>
      </c>
      <c r="E2658" t="str">
        <f>_xlfn.XLOOKUP(Vendas[[#This Row],[ID Item Vendido]],Agregado[ID],Agregado[Produto])</f>
        <v>Barra de aço simples</v>
      </c>
      <c r="F2658" s="39">
        <v>45128</v>
      </c>
      <c r="G2658" s="7">
        <v>93</v>
      </c>
      <c r="H2658" s="3">
        <f>_xlfn.XLOOKUP(Vendas[[#This Row],[ID Item Vendido]],Agregado[ID],Agregado[Revenda])</f>
        <v>6.7</v>
      </c>
      <c r="I2658" s="3">
        <f>Vendas[[#This Row],[Valor Unitário]]*Vendas[[#This Row],[Qnt Vendida]]</f>
        <v>623.1</v>
      </c>
      <c r="J2658" s="3">
        <f>Vendas[[#This Row],[Valor da Venda]]-(_xlfn.XLOOKUP(Vendas[[#This Row],[ID Item Vendido]],Agregado[ID],Agregado[Custo])*Vendas[[#This Row],[Qnt Vendida]])</f>
        <v>83.700000000000045</v>
      </c>
      <c r="K2658" s="70">
        <f>Vendas[[#This Row],[Lucro da Venda]]/Vendas[[#This Row],[Valor da Venda]]</f>
        <v>0.13432835820895528</v>
      </c>
      <c r="L2658" s="3">
        <f>_xlfn.IFS(Vendas[[#This Row],[Margem de Lucro (%)]]&lt;15%,Vendas[[#This Row],[Valor da Venda]]*3%,Vendas[[#This Row],[Margem de Lucro (%)]]&lt;=20%,Vendas[[#This Row],[Valor da Venda]]*4.5%,TRUE,Vendas[[#This Row],[Valor da Venda]]*6%)</f>
        <v>18.693000000000001</v>
      </c>
      <c r="M2658"/>
    </row>
    <row r="2659" spans="1:13" x14ac:dyDescent="0.3">
      <c r="A2659" s="7">
        <v>400243</v>
      </c>
      <c r="B2659" t="str">
        <f>_xlfn.XLOOKUP(Vendas[[#This Row],[ID Vendedor]],Vendedores[ID],Vendedores[Nome])</f>
        <v>Marcelo</v>
      </c>
      <c r="C2659" s="7" t="str">
        <f>_xlfn.XLOOKUP(Vendas[[#This Row],[ID Vendedor]],Vendedores[ID],Vendedores[Setor])</f>
        <v>FM</v>
      </c>
      <c r="D2659" s="7" t="s">
        <v>20</v>
      </c>
      <c r="E2659" t="str">
        <f>_xlfn.XLOOKUP(Vendas[[#This Row],[ID Item Vendido]],Agregado[ID],Agregado[Produto])</f>
        <v>Barra de aço simples</v>
      </c>
      <c r="F2659" s="39">
        <v>45128</v>
      </c>
      <c r="G2659" s="7">
        <v>75</v>
      </c>
      <c r="H2659" s="3">
        <f>_xlfn.XLOOKUP(Vendas[[#This Row],[ID Item Vendido]],Agregado[ID],Agregado[Revenda])</f>
        <v>4.8</v>
      </c>
      <c r="I2659" s="3">
        <f>Vendas[[#This Row],[Valor Unitário]]*Vendas[[#This Row],[Qnt Vendida]]</f>
        <v>360</v>
      </c>
      <c r="J2659" s="3">
        <f>Vendas[[#This Row],[Valor da Venda]]-(_xlfn.XLOOKUP(Vendas[[#This Row],[ID Item Vendido]],Agregado[ID],Agregado[Custo])*Vendas[[#This Row],[Qnt Vendida]])</f>
        <v>45</v>
      </c>
      <c r="K2659" s="70">
        <f>Vendas[[#This Row],[Lucro da Venda]]/Vendas[[#This Row],[Valor da Venda]]</f>
        <v>0.125</v>
      </c>
      <c r="L2659" s="3">
        <f>_xlfn.IFS(Vendas[[#This Row],[Margem de Lucro (%)]]&lt;15%,Vendas[[#This Row],[Valor da Venda]]*3%,Vendas[[#This Row],[Margem de Lucro (%)]]&lt;=20%,Vendas[[#This Row],[Valor da Venda]]*4.5%,TRUE,Vendas[[#This Row],[Valor da Venda]]*6%)</f>
        <v>10.799999999999999</v>
      </c>
      <c r="M2659"/>
    </row>
    <row r="2660" spans="1:13" x14ac:dyDescent="0.3">
      <c r="A2660" s="7">
        <v>400254</v>
      </c>
      <c r="B2660" t="str">
        <f>_xlfn.XLOOKUP(Vendas[[#This Row],[ID Vendedor]],Vendedores[ID],Vendedores[Nome])</f>
        <v>Beatriz</v>
      </c>
      <c r="C2660" s="7" t="str">
        <f>_xlfn.XLOOKUP(Vendas[[#This Row],[ID Vendedor]],Vendedores[ID],Vendedores[Setor])</f>
        <v>SC</v>
      </c>
      <c r="D2660" s="7" t="s">
        <v>48</v>
      </c>
      <c r="E2660" t="str">
        <f>_xlfn.XLOOKUP(Vendas[[#This Row],[ID Item Vendido]],Agregado[ID],Agregado[Produto])</f>
        <v>Tambor metálico 200L</v>
      </c>
      <c r="F2660" s="39">
        <v>45129</v>
      </c>
      <c r="G2660" s="7">
        <v>4</v>
      </c>
      <c r="H2660" s="3">
        <f>_xlfn.XLOOKUP(Vendas[[#This Row],[ID Item Vendido]],Agregado[ID],Agregado[Revenda])</f>
        <v>144</v>
      </c>
      <c r="I2660" s="3">
        <f>Vendas[[#This Row],[Valor Unitário]]*Vendas[[#This Row],[Qnt Vendida]]</f>
        <v>576</v>
      </c>
      <c r="J2660" s="3">
        <f>Vendas[[#This Row],[Valor da Venda]]-(_xlfn.XLOOKUP(Vendas[[#This Row],[ID Item Vendido]],Agregado[ID],Agregado[Custo])*Vendas[[#This Row],[Qnt Vendida]])</f>
        <v>96</v>
      </c>
      <c r="K2660" s="70">
        <f>Vendas[[#This Row],[Lucro da Venda]]/Vendas[[#This Row],[Valor da Venda]]</f>
        <v>0.16666666666666666</v>
      </c>
      <c r="L2660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2660"/>
    </row>
    <row r="2661" spans="1:13" x14ac:dyDescent="0.3">
      <c r="A2661" s="7">
        <v>400241</v>
      </c>
      <c r="B2661" s="79" t="str">
        <f>_xlfn.XLOOKUP(Vendas[[#This Row],[ID Vendedor]],Vendedores[ID],Vendedores[Nome])</f>
        <v>Rodrigo</v>
      </c>
      <c r="C2661" s="7" t="str">
        <f>_xlfn.XLOOKUP(Vendas[[#This Row],[ID Vendedor]],Vendedores[ID],Vendedores[Setor])</f>
        <v>FM</v>
      </c>
      <c r="D2661" s="7" t="s">
        <v>31</v>
      </c>
      <c r="E2661" s="79" t="str">
        <f>_xlfn.XLOOKUP(Vendas[[#This Row],[ID Item Vendido]],Agregado[ID],Agregado[Produto])</f>
        <v>Tela de metal soldada rolo 2x25m</v>
      </c>
      <c r="F2661" s="39">
        <v>45129</v>
      </c>
      <c r="G2661" s="7">
        <v>7</v>
      </c>
      <c r="H2661" s="3">
        <f>_xlfn.XLOOKUP(Vendas[[#This Row],[ID Item Vendido]],Agregado[ID],Agregado[Revenda])</f>
        <v>43.7</v>
      </c>
      <c r="I2661" s="3">
        <f>Vendas[[#This Row],[Valor Unitário]]*Vendas[[#This Row],[Qnt Vendida]]</f>
        <v>305.90000000000003</v>
      </c>
      <c r="J2661" s="3">
        <f>Vendas[[#This Row],[Valor da Venda]]-(_xlfn.XLOOKUP(Vendas[[#This Row],[ID Item Vendido]],Agregado[ID],Agregado[Custo])*Vendas[[#This Row],[Qnt Vendida]])</f>
        <v>39.900000000000034</v>
      </c>
      <c r="K2661" s="70">
        <f>Vendas[[#This Row],[Lucro da Venda]]/Vendas[[#This Row],[Valor da Venda]]</f>
        <v>0.13043478260869576</v>
      </c>
      <c r="L2661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2661"/>
    </row>
    <row r="2662" spans="1:13" x14ac:dyDescent="0.3">
      <c r="A2662" s="7">
        <v>400241</v>
      </c>
      <c r="B2662" s="79" t="str">
        <f>_xlfn.XLOOKUP(Vendas[[#This Row],[ID Vendedor]],Vendedores[ID],Vendedores[Nome])</f>
        <v>Rodrigo</v>
      </c>
      <c r="C2662" s="7" t="str">
        <f>_xlfn.XLOOKUP(Vendas[[#This Row],[ID Vendedor]],Vendedores[ID],Vendedores[Setor])</f>
        <v>FM</v>
      </c>
      <c r="D2662" s="7" t="s">
        <v>31</v>
      </c>
      <c r="E2662" s="79" t="str">
        <f>_xlfn.XLOOKUP(Vendas[[#This Row],[ID Item Vendido]],Agregado[ID],Agregado[Produto])</f>
        <v>Tela de metal soldada rolo 2x25m</v>
      </c>
      <c r="F2662" s="39">
        <v>45129</v>
      </c>
      <c r="G2662" s="7">
        <v>7</v>
      </c>
      <c r="H2662" s="3">
        <f>_xlfn.XLOOKUP(Vendas[[#This Row],[ID Item Vendido]],Agregado[ID],Agregado[Revenda])</f>
        <v>43.7</v>
      </c>
      <c r="I2662" s="3">
        <f>Vendas[[#This Row],[Valor Unitário]]*Vendas[[#This Row],[Qnt Vendida]]</f>
        <v>305.90000000000003</v>
      </c>
      <c r="J2662" s="3">
        <f>Vendas[[#This Row],[Valor da Venda]]-(_xlfn.XLOOKUP(Vendas[[#This Row],[ID Item Vendido]],Agregado[ID],Agregado[Custo])*Vendas[[#This Row],[Qnt Vendida]])</f>
        <v>39.900000000000034</v>
      </c>
      <c r="K2662" s="70">
        <f>Vendas[[#This Row],[Lucro da Venda]]/Vendas[[#This Row],[Valor da Venda]]</f>
        <v>0.13043478260869576</v>
      </c>
      <c r="L2662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2662"/>
    </row>
    <row r="2663" spans="1:13" x14ac:dyDescent="0.3">
      <c r="A2663" s="7">
        <v>400253</v>
      </c>
      <c r="B2663" t="str">
        <f>_xlfn.XLOOKUP(Vendas[[#This Row],[ID Vendedor]],Vendedores[ID],Vendedores[Nome])</f>
        <v>Gustavo</v>
      </c>
      <c r="C2663" s="7" t="str">
        <f>_xlfn.XLOOKUP(Vendas[[#This Row],[ID Vendedor]],Vendedores[ID],Vendedores[Setor])</f>
        <v>SC</v>
      </c>
      <c r="D2663" s="7" t="s">
        <v>14</v>
      </c>
      <c r="E2663" t="str">
        <f>_xlfn.XLOOKUP(Vendas[[#This Row],[ID Item Vendido]],Agregado[ID],Agregado[Produto])</f>
        <v>Barril de plástico 200L</v>
      </c>
      <c r="F2663" s="39">
        <v>45130</v>
      </c>
      <c r="G2663" s="7">
        <v>15</v>
      </c>
      <c r="H2663" s="3">
        <f>_xlfn.XLOOKUP(Vendas[[#This Row],[ID Item Vendido]],Agregado[ID],Agregado[Revenda])</f>
        <v>114</v>
      </c>
      <c r="I2663" s="3">
        <f>Vendas[[#This Row],[Valor Unitário]]*Vendas[[#This Row],[Qnt Vendida]]</f>
        <v>1710</v>
      </c>
      <c r="J2663" s="3">
        <f>Vendas[[#This Row],[Valor da Venda]]-(_xlfn.XLOOKUP(Vendas[[#This Row],[ID Item Vendido]],Agregado[ID],Agregado[Custo])*Vendas[[#This Row],[Qnt Vendida]])</f>
        <v>285</v>
      </c>
      <c r="K2663" s="70">
        <f>Vendas[[#This Row],[Lucro da Venda]]/Vendas[[#This Row],[Valor da Venda]]</f>
        <v>0.16666666666666666</v>
      </c>
      <c r="L2663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2663"/>
    </row>
    <row r="2664" spans="1:13" x14ac:dyDescent="0.3">
      <c r="A2664" s="7">
        <v>400242</v>
      </c>
      <c r="B2664" t="str">
        <f>_xlfn.XLOOKUP(Vendas[[#This Row],[ID Vendedor]],Vendedores[ID],Vendedores[Nome])</f>
        <v>Fernanda</v>
      </c>
      <c r="C2664" s="7" t="str">
        <f>_xlfn.XLOOKUP(Vendas[[#This Row],[ID Vendedor]],Vendedores[ID],Vendedores[Setor])</f>
        <v>FM</v>
      </c>
      <c r="D2664" s="7" t="s">
        <v>47</v>
      </c>
      <c r="E2664" t="str">
        <f>_xlfn.XLOOKUP(Vendas[[#This Row],[ID Item Vendido]],Agregado[ID],Agregado[Produto])</f>
        <v>Fio de arame galvanizado rolo 50m</v>
      </c>
      <c r="F2664" s="39">
        <v>45130</v>
      </c>
      <c r="G2664" s="7">
        <v>27</v>
      </c>
      <c r="H2664" s="3">
        <f>_xlfn.XLOOKUP(Vendas[[#This Row],[ID Item Vendido]],Agregado[ID],Agregado[Revenda])</f>
        <v>21.2</v>
      </c>
      <c r="I2664" s="3">
        <f>Vendas[[#This Row],[Valor Unitário]]*Vendas[[#This Row],[Qnt Vendida]]</f>
        <v>572.4</v>
      </c>
      <c r="J2664" s="3">
        <f>Vendas[[#This Row],[Valor da Venda]]-(_xlfn.XLOOKUP(Vendas[[#This Row],[ID Item Vendido]],Agregado[ID],Agregado[Custo])*Vendas[[#This Row],[Qnt Vendida]])</f>
        <v>86.399999999999977</v>
      </c>
      <c r="K2664" s="70">
        <f>Vendas[[#This Row],[Lucro da Venda]]/Vendas[[#This Row],[Valor da Venda]]</f>
        <v>0.15094339622641506</v>
      </c>
      <c r="L2664" s="3">
        <f>_xlfn.IFS(Vendas[[#This Row],[Margem de Lucro (%)]]&lt;15%,Vendas[[#This Row],[Valor da Venda]]*3%,Vendas[[#This Row],[Margem de Lucro (%)]]&lt;=20%,Vendas[[#This Row],[Valor da Venda]]*4.5%,TRUE,Vendas[[#This Row],[Valor da Venda]]*6%)</f>
        <v>25.757999999999999</v>
      </c>
      <c r="M2664"/>
    </row>
    <row r="2665" spans="1:13" x14ac:dyDescent="0.3">
      <c r="A2665" s="7">
        <v>400246</v>
      </c>
      <c r="B2665" t="str">
        <f>_xlfn.XLOOKUP(Vendas[[#This Row],[ID Vendedor]],Vendedores[ID],Vendedores[Nome])</f>
        <v>Juliana</v>
      </c>
      <c r="C2665" s="7" t="str">
        <f>_xlfn.XLOOKUP(Vendas[[#This Row],[ID Vendedor]],Vendedores[ID],Vendedores[Setor])</f>
        <v>AHD</v>
      </c>
      <c r="D2665" s="7" t="s">
        <v>9</v>
      </c>
      <c r="E2665" t="str">
        <f>_xlfn.XLOOKUP(Vendas[[#This Row],[ID Item Vendido]],Agregado[ID],Agregado[Produto])</f>
        <v>Barra de aço simples</v>
      </c>
      <c r="F2665" s="39">
        <v>45130</v>
      </c>
      <c r="G2665" s="7">
        <v>62</v>
      </c>
      <c r="H2665" s="3">
        <f>_xlfn.XLOOKUP(Vendas[[#This Row],[ID Item Vendido]],Agregado[ID],Agregado[Revenda])</f>
        <v>6.7</v>
      </c>
      <c r="I2665" s="3">
        <f>Vendas[[#This Row],[Valor Unitário]]*Vendas[[#This Row],[Qnt Vendida]]</f>
        <v>415.40000000000003</v>
      </c>
      <c r="J2665" s="3">
        <f>Vendas[[#This Row],[Valor da Venda]]-(_xlfn.XLOOKUP(Vendas[[#This Row],[ID Item Vendido]],Agregado[ID],Agregado[Custo])*Vendas[[#This Row],[Qnt Vendida]])</f>
        <v>55.800000000000068</v>
      </c>
      <c r="K2665" s="70">
        <f>Vendas[[#This Row],[Lucro da Venda]]/Vendas[[#This Row],[Valor da Venda]]</f>
        <v>0.13432835820895539</v>
      </c>
      <c r="L2665" s="3">
        <f>_xlfn.IFS(Vendas[[#This Row],[Margem de Lucro (%)]]&lt;15%,Vendas[[#This Row],[Valor da Venda]]*3%,Vendas[[#This Row],[Margem de Lucro (%)]]&lt;=20%,Vendas[[#This Row],[Valor da Venda]]*4.5%,TRUE,Vendas[[#This Row],[Valor da Venda]]*6%)</f>
        <v>12.462</v>
      </c>
      <c r="M2665"/>
    </row>
    <row r="2666" spans="1:13" x14ac:dyDescent="0.3">
      <c r="A2666" s="7">
        <v>400248</v>
      </c>
      <c r="B2666" t="str">
        <f>_xlfn.XLOOKUP(Vendas[[#This Row],[ID Vendedor]],Vendedores[ID],Vendedores[Nome])</f>
        <v>Patrícia</v>
      </c>
      <c r="C2666" s="7" t="str">
        <f>_xlfn.XLOOKUP(Vendas[[#This Row],[ID Vendedor]],Vendedores[ID],Vendedores[Setor])</f>
        <v>CM</v>
      </c>
      <c r="D2666" s="7" t="s">
        <v>32</v>
      </c>
      <c r="E2666" t="str">
        <f>_xlfn.XLOOKUP(Vendas[[#This Row],[ID Item Vendido]],Agregado[ID],Agregado[Produto])</f>
        <v>Tábua tratada e cortada 3m</v>
      </c>
      <c r="F2666" s="39">
        <v>45130</v>
      </c>
      <c r="G2666" s="7">
        <v>4</v>
      </c>
      <c r="H2666" s="3">
        <f>_xlfn.XLOOKUP(Vendas[[#This Row],[ID Item Vendido]],Agregado[ID],Agregado[Revenda])</f>
        <v>39</v>
      </c>
      <c r="I2666" s="3">
        <f>Vendas[[#This Row],[Valor Unitário]]*Vendas[[#This Row],[Qnt Vendida]]</f>
        <v>156</v>
      </c>
      <c r="J2666" s="3">
        <f>Vendas[[#This Row],[Valor da Venda]]-(_xlfn.XLOOKUP(Vendas[[#This Row],[ID Item Vendido]],Agregado[ID],Agregado[Custo])*Vendas[[#This Row],[Qnt Vendida]])</f>
        <v>28</v>
      </c>
      <c r="K2666" s="70">
        <f>Vendas[[#This Row],[Lucro da Venda]]/Vendas[[#This Row],[Valor da Venda]]</f>
        <v>0.17948717948717949</v>
      </c>
      <c r="L2666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2666"/>
    </row>
    <row r="2667" spans="1:13" x14ac:dyDescent="0.3">
      <c r="A2667" s="7">
        <v>400251</v>
      </c>
      <c r="B2667" t="str">
        <f>_xlfn.XLOOKUP(Vendas[[#This Row],[ID Vendedor]],Vendedores[ID],Vendedores[Nome])</f>
        <v>Diego</v>
      </c>
      <c r="C2667" s="7" t="str">
        <f>_xlfn.XLOOKUP(Vendas[[#This Row],[ID Vendedor]],Vendedores[ID],Vendedores[Setor])</f>
        <v>AB</v>
      </c>
      <c r="D2667" s="7" t="s">
        <v>36</v>
      </c>
      <c r="E2667" t="str">
        <f>_xlfn.XLOOKUP(Vendas[[#This Row],[ID Item Vendido]],Agregado[ID],Agregado[Produto])</f>
        <v>Borracha vulcanizada em manta</v>
      </c>
      <c r="F2667" s="39">
        <v>45130</v>
      </c>
      <c r="G2667" s="7">
        <v>9</v>
      </c>
      <c r="H2667" s="3">
        <f>_xlfn.XLOOKUP(Vendas[[#This Row],[ID Item Vendido]],Agregado[ID],Agregado[Revenda])</f>
        <v>7.8</v>
      </c>
      <c r="I2667" s="3">
        <f>Vendas[[#This Row],[Valor Unitário]]*Vendas[[#This Row],[Qnt Vendida]]</f>
        <v>70.2</v>
      </c>
      <c r="J2667" s="3">
        <f>Vendas[[#This Row],[Valor da Venda]]-(_xlfn.XLOOKUP(Vendas[[#This Row],[ID Item Vendido]],Agregado[ID],Agregado[Custo])*Vendas[[#This Row],[Qnt Vendida]])</f>
        <v>16.200000000000003</v>
      </c>
      <c r="K2667" s="70">
        <f>Vendas[[#This Row],[Lucro da Venda]]/Vendas[[#This Row],[Valor da Venda]]</f>
        <v>0.23076923076923081</v>
      </c>
      <c r="L2667" s="3">
        <f>_xlfn.IFS(Vendas[[#This Row],[Margem de Lucro (%)]]&lt;15%,Vendas[[#This Row],[Valor da Venda]]*3%,Vendas[[#This Row],[Margem de Lucro (%)]]&lt;=20%,Vendas[[#This Row],[Valor da Venda]]*4.5%,TRUE,Vendas[[#This Row],[Valor da Venda]]*6%)</f>
        <v>4.2119999999999997</v>
      </c>
      <c r="M2667"/>
    </row>
    <row r="2668" spans="1:13" x14ac:dyDescent="0.3">
      <c r="A2668" s="7">
        <v>400255</v>
      </c>
      <c r="B2668" t="str">
        <f>_xlfn.XLOOKUP(Vendas[[#This Row],[ID Vendedor]],Vendedores[ID],Vendedores[Nome])</f>
        <v>Carlos</v>
      </c>
      <c r="C2668" s="7" t="str">
        <f>_xlfn.XLOOKUP(Vendas[[#This Row],[ID Vendedor]],Vendedores[ID],Vendedores[Setor])</f>
        <v>SC</v>
      </c>
      <c r="D2668" s="7" t="s">
        <v>14</v>
      </c>
      <c r="E2668" t="str">
        <f>_xlfn.XLOOKUP(Vendas[[#This Row],[ID Item Vendido]],Agregado[ID],Agregado[Produto])</f>
        <v>Barril de plástico 200L</v>
      </c>
      <c r="F2668" s="39">
        <v>45131</v>
      </c>
      <c r="G2668" s="7">
        <v>8</v>
      </c>
      <c r="H2668" s="3">
        <f>_xlfn.XLOOKUP(Vendas[[#This Row],[ID Item Vendido]],Agregado[ID],Agregado[Revenda])</f>
        <v>114</v>
      </c>
      <c r="I2668" s="3">
        <f>Vendas[[#This Row],[Valor Unitário]]*Vendas[[#This Row],[Qnt Vendida]]</f>
        <v>912</v>
      </c>
      <c r="J2668" s="3">
        <f>Vendas[[#This Row],[Valor da Venda]]-(_xlfn.XLOOKUP(Vendas[[#This Row],[ID Item Vendido]],Agregado[ID],Agregado[Custo])*Vendas[[#This Row],[Qnt Vendida]])</f>
        <v>152</v>
      </c>
      <c r="K2668" s="70">
        <f>Vendas[[#This Row],[Lucro da Venda]]/Vendas[[#This Row],[Valor da Venda]]</f>
        <v>0.16666666666666666</v>
      </c>
      <c r="L2668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2668"/>
    </row>
    <row r="2669" spans="1:13" x14ac:dyDescent="0.3">
      <c r="A2669" s="7">
        <v>400246</v>
      </c>
      <c r="B2669" t="str">
        <f>_xlfn.XLOOKUP(Vendas[[#This Row],[ID Vendedor]],Vendedores[ID],Vendedores[Nome])</f>
        <v>Juliana</v>
      </c>
      <c r="C2669" s="7" t="str">
        <f>_xlfn.XLOOKUP(Vendas[[#This Row],[ID Vendedor]],Vendedores[ID],Vendedores[Setor])</f>
        <v>AHD</v>
      </c>
      <c r="D2669" s="7" t="s">
        <v>28</v>
      </c>
      <c r="E2669" t="str">
        <f>_xlfn.XLOOKUP(Vendas[[#This Row],[ID Item Vendido]],Agregado[ID],Agregado[Produto])</f>
        <v>Peça usinada CNC</v>
      </c>
      <c r="F2669" s="39">
        <v>45132</v>
      </c>
      <c r="G2669" s="7">
        <v>13</v>
      </c>
      <c r="H2669" s="3">
        <f>_xlfn.XLOOKUP(Vendas[[#This Row],[ID Item Vendido]],Agregado[ID],Agregado[Revenda])</f>
        <v>192</v>
      </c>
      <c r="I2669" s="3">
        <f>Vendas[[#This Row],[Valor Unitário]]*Vendas[[#This Row],[Qnt Vendida]]</f>
        <v>2496</v>
      </c>
      <c r="J2669" s="3">
        <f>Vendas[[#This Row],[Valor da Venda]]-(_xlfn.XLOOKUP(Vendas[[#This Row],[ID Item Vendido]],Agregado[ID],Agregado[Custo])*Vendas[[#This Row],[Qnt Vendida]])</f>
        <v>546</v>
      </c>
      <c r="K2669" s="70">
        <f>Vendas[[#This Row],[Lucro da Venda]]/Vendas[[#This Row],[Valor da Venda]]</f>
        <v>0.21875</v>
      </c>
      <c r="L2669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2669"/>
    </row>
    <row r="2670" spans="1:13" x14ac:dyDescent="0.3">
      <c r="A2670" s="7">
        <v>400251</v>
      </c>
      <c r="B2670" t="str">
        <f>_xlfn.XLOOKUP(Vendas[[#This Row],[ID Vendedor]],Vendedores[ID],Vendedores[Nome])</f>
        <v>Diego</v>
      </c>
      <c r="C2670" s="7" t="str">
        <f>_xlfn.XLOOKUP(Vendas[[#This Row],[ID Vendedor]],Vendedores[ID],Vendedores[Setor])</f>
        <v>AB</v>
      </c>
      <c r="D2670" s="7" t="s">
        <v>12</v>
      </c>
      <c r="E2670" t="str">
        <f>_xlfn.XLOOKUP(Vendas[[#This Row],[ID Item Vendido]],Agregado[ID],Agregado[Produto])</f>
        <v>Grânulo de plástico reciclado refinado</v>
      </c>
      <c r="F2670" s="39">
        <v>45133</v>
      </c>
      <c r="G2670" s="7">
        <v>60</v>
      </c>
      <c r="H2670" s="3">
        <f>_xlfn.XLOOKUP(Vendas[[#This Row],[ID Item Vendido]],Agregado[ID],Agregado[Revenda])</f>
        <v>4.7</v>
      </c>
      <c r="I2670" s="3">
        <f>Vendas[[#This Row],[Valor Unitário]]*Vendas[[#This Row],[Qnt Vendida]]</f>
        <v>282</v>
      </c>
      <c r="J2670" s="3">
        <f>Vendas[[#This Row],[Valor da Venda]]-(_xlfn.XLOOKUP(Vendas[[#This Row],[ID Item Vendido]],Agregado[ID],Agregado[Custo])*Vendas[[#This Row],[Qnt Vendida]])</f>
        <v>72</v>
      </c>
      <c r="K2670" s="70">
        <f>Vendas[[#This Row],[Lucro da Venda]]/Vendas[[#This Row],[Valor da Venda]]</f>
        <v>0.25531914893617019</v>
      </c>
      <c r="L2670" s="3">
        <f>_xlfn.IFS(Vendas[[#This Row],[Margem de Lucro (%)]]&lt;15%,Vendas[[#This Row],[Valor da Venda]]*3%,Vendas[[#This Row],[Margem de Lucro (%)]]&lt;=20%,Vendas[[#This Row],[Valor da Venda]]*4.5%,TRUE,Vendas[[#This Row],[Valor da Venda]]*6%)</f>
        <v>16.919999999999998</v>
      </c>
      <c r="M2670"/>
    </row>
    <row r="2671" spans="1:13" x14ac:dyDescent="0.3">
      <c r="A2671" s="7">
        <v>400253</v>
      </c>
      <c r="B2671" t="str">
        <f>_xlfn.XLOOKUP(Vendas[[#This Row],[ID Vendedor]],Vendedores[ID],Vendedores[Nome])</f>
        <v>Gustavo</v>
      </c>
      <c r="C2671" s="7" t="str">
        <f>_xlfn.XLOOKUP(Vendas[[#This Row],[ID Vendedor]],Vendedores[ID],Vendedores[Setor])</f>
        <v>SC</v>
      </c>
      <c r="D2671" s="7" t="s">
        <v>41</v>
      </c>
      <c r="E2671" t="str">
        <f>_xlfn.XLOOKUP(Vendas[[#This Row],[ID Item Vendido]],Agregado[ID],Agregado[Produto])</f>
        <v>Palete de madeira reforçado</v>
      </c>
      <c r="F2671" s="39">
        <v>45133</v>
      </c>
      <c r="G2671" s="7">
        <v>2</v>
      </c>
      <c r="H2671" s="3">
        <f>_xlfn.XLOOKUP(Vendas[[#This Row],[ID Item Vendido]],Agregado[ID],Agregado[Revenda])</f>
        <v>131</v>
      </c>
      <c r="I2671" s="3">
        <f>Vendas[[#This Row],[Valor Unitário]]*Vendas[[#This Row],[Qnt Vendida]]</f>
        <v>262</v>
      </c>
      <c r="J2671" s="3">
        <f>Vendas[[#This Row],[Valor da Venda]]-(_xlfn.XLOOKUP(Vendas[[#This Row],[ID Item Vendido]],Agregado[ID],Agregado[Custo])*Vendas[[#This Row],[Qnt Vendida]])</f>
        <v>42</v>
      </c>
      <c r="K2671" s="70">
        <f>Vendas[[#This Row],[Lucro da Venda]]/Vendas[[#This Row],[Valor da Venda]]</f>
        <v>0.16030534351145037</v>
      </c>
      <c r="L2671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2671"/>
    </row>
    <row r="2672" spans="1:13" x14ac:dyDescent="0.3">
      <c r="A2672" s="7">
        <v>400254</v>
      </c>
      <c r="B2672" t="str">
        <f>_xlfn.XLOOKUP(Vendas[[#This Row],[ID Vendedor]],Vendedores[ID],Vendedores[Nome])</f>
        <v>Beatriz</v>
      </c>
      <c r="C2672" s="7" t="str">
        <f>_xlfn.XLOOKUP(Vendas[[#This Row],[ID Vendedor]],Vendedores[ID],Vendedores[Setor])</f>
        <v>SC</v>
      </c>
      <c r="D2672" s="7" t="s">
        <v>14</v>
      </c>
      <c r="E2672" t="str">
        <f>_xlfn.XLOOKUP(Vendas[[#This Row],[ID Item Vendido]],Agregado[ID],Agregado[Produto])</f>
        <v>Barril de plástico 200L</v>
      </c>
      <c r="F2672" s="39">
        <v>45134</v>
      </c>
      <c r="G2672" s="7">
        <v>11</v>
      </c>
      <c r="H2672" s="3">
        <f>_xlfn.XLOOKUP(Vendas[[#This Row],[ID Item Vendido]],Agregado[ID],Agregado[Revenda])</f>
        <v>114</v>
      </c>
      <c r="I2672" s="3">
        <f>Vendas[[#This Row],[Valor Unitário]]*Vendas[[#This Row],[Qnt Vendida]]</f>
        <v>1254</v>
      </c>
      <c r="J2672" s="3">
        <f>Vendas[[#This Row],[Valor da Venda]]-(_xlfn.XLOOKUP(Vendas[[#This Row],[ID Item Vendido]],Agregado[ID],Agregado[Custo])*Vendas[[#This Row],[Qnt Vendida]])</f>
        <v>209</v>
      </c>
      <c r="K2672" s="70">
        <f>Vendas[[#This Row],[Lucro da Venda]]/Vendas[[#This Row],[Valor da Venda]]</f>
        <v>0.16666666666666666</v>
      </c>
      <c r="L2672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672"/>
    </row>
    <row r="2673" spans="1:13" x14ac:dyDescent="0.3">
      <c r="A2673" s="7">
        <v>400254</v>
      </c>
      <c r="B2673" t="str">
        <f>_xlfn.XLOOKUP(Vendas[[#This Row],[ID Vendedor]],Vendedores[ID],Vendedores[Nome])</f>
        <v>Beatriz</v>
      </c>
      <c r="C2673" s="7" t="str">
        <f>_xlfn.XLOOKUP(Vendas[[#This Row],[ID Vendedor]],Vendedores[ID],Vendedores[Setor])</f>
        <v>SC</v>
      </c>
      <c r="D2673" s="7" t="s">
        <v>48</v>
      </c>
      <c r="E2673" t="str">
        <f>_xlfn.XLOOKUP(Vendas[[#This Row],[ID Item Vendido]],Agregado[ID],Agregado[Produto])</f>
        <v>Tambor metálico 200L</v>
      </c>
      <c r="F2673" s="39">
        <v>45134</v>
      </c>
      <c r="G2673" s="7">
        <v>7</v>
      </c>
      <c r="H2673" s="3">
        <f>_xlfn.XLOOKUP(Vendas[[#This Row],[ID Item Vendido]],Agregado[ID],Agregado[Revenda])</f>
        <v>144</v>
      </c>
      <c r="I2673" s="3">
        <f>Vendas[[#This Row],[Valor Unitário]]*Vendas[[#This Row],[Qnt Vendida]]</f>
        <v>1008</v>
      </c>
      <c r="J2673" s="3">
        <f>Vendas[[#This Row],[Valor da Venda]]-(_xlfn.XLOOKUP(Vendas[[#This Row],[ID Item Vendido]],Agregado[ID],Agregado[Custo])*Vendas[[#This Row],[Qnt Vendida]])</f>
        <v>168</v>
      </c>
      <c r="K2673" s="70">
        <f>Vendas[[#This Row],[Lucro da Venda]]/Vendas[[#This Row],[Valor da Venda]]</f>
        <v>0.16666666666666666</v>
      </c>
      <c r="L2673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2673"/>
    </row>
    <row r="2674" spans="1:13" x14ac:dyDescent="0.3">
      <c r="A2674" s="7">
        <v>400246</v>
      </c>
      <c r="B2674" t="str">
        <f>_xlfn.XLOOKUP(Vendas[[#This Row],[ID Vendedor]],Vendedores[ID],Vendedores[Nome])</f>
        <v>Juliana</v>
      </c>
      <c r="C2674" s="7" t="str">
        <f>_xlfn.XLOOKUP(Vendas[[#This Row],[ID Vendedor]],Vendedores[ID],Vendedores[Setor])</f>
        <v>AHD</v>
      </c>
      <c r="D2674" s="7" t="s">
        <v>28</v>
      </c>
      <c r="E2674" t="str">
        <f>_xlfn.XLOOKUP(Vendas[[#This Row],[ID Item Vendido]],Agregado[ID],Agregado[Produto])</f>
        <v>Peça usinada CNC</v>
      </c>
      <c r="F2674" s="39">
        <v>45134</v>
      </c>
      <c r="G2674" s="7">
        <v>2</v>
      </c>
      <c r="H2674" s="3">
        <f>_xlfn.XLOOKUP(Vendas[[#This Row],[ID Item Vendido]],Agregado[ID],Agregado[Revenda])</f>
        <v>192</v>
      </c>
      <c r="I2674" s="3">
        <f>Vendas[[#This Row],[Valor Unitário]]*Vendas[[#This Row],[Qnt Vendida]]</f>
        <v>384</v>
      </c>
      <c r="J2674" s="3">
        <f>Vendas[[#This Row],[Valor da Venda]]-(_xlfn.XLOOKUP(Vendas[[#This Row],[ID Item Vendido]],Agregado[ID],Agregado[Custo])*Vendas[[#This Row],[Qnt Vendida]])</f>
        <v>84</v>
      </c>
      <c r="K2674" s="70">
        <f>Vendas[[#This Row],[Lucro da Venda]]/Vendas[[#This Row],[Valor da Venda]]</f>
        <v>0.21875</v>
      </c>
      <c r="L2674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2674"/>
    </row>
    <row r="2675" spans="1:13" x14ac:dyDescent="0.3">
      <c r="A2675" s="7">
        <v>400243</v>
      </c>
      <c r="B2675" t="str">
        <f>_xlfn.XLOOKUP(Vendas[[#This Row],[ID Vendedor]],Vendedores[ID],Vendedores[Nome])</f>
        <v>Marcelo</v>
      </c>
      <c r="C2675" s="7" t="str">
        <f>_xlfn.XLOOKUP(Vendas[[#This Row],[ID Vendedor]],Vendedores[ID],Vendedores[Setor])</f>
        <v>FM</v>
      </c>
      <c r="D2675" s="7" t="s">
        <v>20</v>
      </c>
      <c r="E2675" t="str">
        <f>_xlfn.XLOOKUP(Vendas[[#This Row],[ID Item Vendido]],Agregado[ID],Agregado[Produto])</f>
        <v>Barra de aço simples</v>
      </c>
      <c r="F2675" s="39">
        <v>45134</v>
      </c>
      <c r="G2675" s="7">
        <v>24</v>
      </c>
      <c r="H2675" s="3">
        <f>_xlfn.XLOOKUP(Vendas[[#This Row],[ID Item Vendido]],Agregado[ID],Agregado[Revenda])</f>
        <v>4.8</v>
      </c>
      <c r="I2675" s="3">
        <f>Vendas[[#This Row],[Valor Unitário]]*Vendas[[#This Row],[Qnt Vendida]]</f>
        <v>115.19999999999999</v>
      </c>
      <c r="J2675" s="3">
        <f>Vendas[[#This Row],[Valor da Venda]]-(_xlfn.XLOOKUP(Vendas[[#This Row],[ID Item Vendido]],Agregado[ID],Agregado[Custo])*Vendas[[#This Row],[Qnt Vendida]])</f>
        <v>14.399999999999977</v>
      </c>
      <c r="K2675" s="70">
        <f>Vendas[[#This Row],[Lucro da Venda]]/Vendas[[#This Row],[Valor da Venda]]</f>
        <v>0.12499999999999982</v>
      </c>
      <c r="L2675" s="3">
        <f>_xlfn.IFS(Vendas[[#This Row],[Margem de Lucro (%)]]&lt;15%,Vendas[[#This Row],[Valor da Venda]]*3%,Vendas[[#This Row],[Margem de Lucro (%)]]&lt;=20%,Vendas[[#This Row],[Valor da Venda]]*4.5%,TRUE,Vendas[[#This Row],[Valor da Venda]]*6%)</f>
        <v>3.4559999999999995</v>
      </c>
      <c r="M2675"/>
    </row>
    <row r="2676" spans="1:13" x14ac:dyDescent="0.3">
      <c r="A2676" s="7">
        <v>400242</v>
      </c>
      <c r="B2676" t="str">
        <f>_xlfn.XLOOKUP(Vendas[[#This Row],[ID Vendedor]],Vendedores[ID],Vendedores[Nome])</f>
        <v>Fernanda</v>
      </c>
      <c r="C2676" s="7" t="str">
        <f>_xlfn.XLOOKUP(Vendas[[#This Row],[ID Vendedor]],Vendedores[ID],Vendedores[Setor])</f>
        <v>FM</v>
      </c>
      <c r="D2676" s="7" t="s">
        <v>20</v>
      </c>
      <c r="E2676" t="str">
        <f>_xlfn.XLOOKUP(Vendas[[#This Row],[ID Item Vendido]],Agregado[ID],Agregado[Produto])</f>
        <v>Barra de aço simples</v>
      </c>
      <c r="F2676" s="39">
        <v>45135</v>
      </c>
      <c r="G2676" s="7">
        <v>161</v>
      </c>
      <c r="H2676" s="3">
        <f>_xlfn.XLOOKUP(Vendas[[#This Row],[ID Item Vendido]],Agregado[ID],Agregado[Revenda])</f>
        <v>4.8</v>
      </c>
      <c r="I2676" s="3">
        <f>Vendas[[#This Row],[Valor Unitário]]*Vendas[[#This Row],[Qnt Vendida]]</f>
        <v>772.8</v>
      </c>
      <c r="J2676" s="3">
        <f>Vendas[[#This Row],[Valor da Venda]]-(_xlfn.XLOOKUP(Vendas[[#This Row],[ID Item Vendido]],Agregado[ID],Agregado[Custo])*Vendas[[#This Row],[Qnt Vendida]])</f>
        <v>96.599999999999909</v>
      </c>
      <c r="K2676" s="70">
        <f>Vendas[[#This Row],[Lucro da Venda]]/Vendas[[#This Row],[Valor da Venda]]</f>
        <v>0.12499999999999989</v>
      </c>
      <c r="L2676" s="3">
        <f>_xlfn.IFS(Vendas[[#This Row],[Margem de Lucro (%)]]&lt;15%,Vendas[[#This Row],[Valor da Venda]]*3%,Vendas[[#This Row],[Margem de Lucro (%)]]&lt;=20%,Vendas[[#This Row],[Valor da Venda]]*4.5%,TRUE,Vendas[[#This Row],[Valor da Venda]]*6%)</f>
        <v>23.183999999999997</v>
      </c>
      <c r="M2676"/>
    </row>
    <row r="2677" spans="1:13" x14ac:dyDescent="0.3">
      <c r="A2677" s="7">
        <v>400248</v>
      </c>
      <c r="B2677" t="str">
        <f>_xlfn.XLOOKUP(Vendas[[#This Row],[ID Vendedor]],Vendedores[ID],Vendedores[Nome])</f>
        <v>Patrícia</v>
      </c>
      <c r="C2677" s="7" t="str">
        <f>_xlfn.XLOOKUP(Vendas[[#This Row],[ID Vendedor]],Vendedores[ID],Vendedores[Setor])</f>
        <v>CM</v>
      </c>
      <c r="D2677" s="7" t="s">
        <v>34</v>
      </c>
      <c r="E2677" t="str">
        <f>_xlfn.XLOOKUP(Vendas[[#This Row],[ID Item Vendido]],Agregado[ID],Agregado[Produto])</f>
        <v>Restos de madeira p/ MDP/OSB saco de 20kg</v>
      </c>
      <c r="F2677" s="39">
        <v>45135</v>
      </c>
      <c r="G2677" s="7">
        <v>16</v>
      </c>
      <c r="H2677" s="3">
        <f>_xlfn.XLOOKUP(Vendas[[#This Row],[ID Item Vendido]],Agregado[ID],Agregado[Revenda])</f>
        <v>13.8</v>
      </c>
      <c r="I2677" s="3">
        <f>Vendas[[#This Row],[Valor Unitário]]*Vendas[[#This Row],[Qnt Vendida]]</f>
        <v>220.8</v>
      </c>
      <c r="J2677" s="3">
        <f>Vendas[[#This Row],[Valor da Venda]]-(_xlfn.XLOOKUP(Vendas[[#This Row],[ID Item Vendido]],Agregado[ID],Agregado[Custo])*Vendas[[#This Row],[Qnt Vendida]])</f>
        <v>28.800000000000011</v>
      </c>
      <c r="K2677" s="70">
        <f>Vendas[[#This Row],[Lucro da Venda]]/Vendas[[#This Row],[Valor da Venda]]</f>
        <v>0.1304347826086957</v>
      </c>
      <c r="L2677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2677"/>
    </row>
    <row r="2678" spans="1:13" x14ac:dyDescent="0.3">
      <c r="A2678" s="7">
        <v>400254</v>
      </c>
      <c r="B2678" t="str">
        <f>_xlfn.XLOOKUP(Vendas[[#This Row],[ID Vendedor]],Vendedores[ID],Vendedores[Nome])</f>
        <v>Beatriz</v>
      </c>
      <c r="C2678" s="7" t="str">
        <f>_xlfn.XLOOKUP(Vendas[[#This Row],[ID Vendedor]],Vendedores[ID],Vendedores[Setor])</f>
        <v>SC</v>
      </c>
      <c r="D2678" s="7" t="s">
        <v>14</v>
      </c>
      <c r="E2678" t="str">
        <f>_xlfn.XLOOKUP(Vendas[[#This Row],[ID Item Vendido]],Agregado[ID],Agregado[Produto])</f>
        <v>Barril de plástico 200L</v>
      </c>
      <c r="F2678" s="39">
        <v>45136</v>
      </c>
      <c r="G2678" s="7">
        <v>23</v>
      </c>
      <c r="H2678" s="3">
        <f>_xlfn.XLOOKUP(Vendas[[#This Row],[ID Item Vendido]],Agregado[ID],Agregado[Revenda])</f>
        <v>114</v>
      </c>
      <c r="I2678" s="3">
        <f>Vendas[[#This Row],[Valor Unitário]]*Vendas[[#This Row],[Qnt Vendida]]</f>
        <v>2622</v>
      </c>
      <c r="J2678" s="3">
        <f>Vendas[[#This Row],[Valor da Venda]]-(_xlfn.XLOOKUP(Vendas[[#This Row],[ID Item Vendido]],Agregado[ID],Agregado[Custo])*Vendas[[#This Row],[Qnt Vendida]])</f>
        <v>437</v>
      </c>
      <c r="K2678" s="70">
        <f>Vendas[[#This Row],[Lucro da Venda]]/Vendas[[#This Row],[Valor da Venda]]</f>
        <v>0.16666666666666666</v>
      </c>
      <c r="L2678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2678"/>
    </row>
    <row r="2679" spans="1:13" x14ac:dyDescent="0.3">
      <c r="A2679" s="7">
        <v>400244</v>
      </c>
      <c r="B2679" t="str">
        <f>_xlfn.XLOOKUP(Vendas[[#This Row],[ID Vendedor]],Vendedores[ID],Vendedores[Nome])</f>
        <v>Camila</v>
      </c>
      <c r="C2679" s="7" t="str">
        <f>_xlfn.XLOOKUP(Vendas[[#This Row],[ID Vendedor]],Vendedores[ID],Vendedores[Setor])</f>
        <v>AHD</v>
      </c>
      <c r="D2679" s="7" t="s">
        <v>28</v>
      </c>
      <c r="E2679" t="str">
        <f>_xlfn.XLOOKUP(Vendas[[#This Row],[ID Item Vendido]],Agregado[ID],Agregado[Produto])</f>
        <v>Peça usinada CNC</v>
      </c>
      <c r="F2679" s="39">
        <v>45136</v>
      </c>
      <c r="G2679" s="7">
        <v>12</v>
      </c>
      <c r="H2679" s="3">
        <f>_xlfn.XLOOKUP(Vendas[[#This Row],[ID Item Vendido]],Agregado[ID],Agregado[Revenda])</f>
        <v>192</v>
      </c>
      <c r="I2679" s="3">
        <f>Vendas[[#This Row],[Valor Unitário]]*Vendas[[#This Row],[Qnt Vendida]]</f>
        <v>2304</v>
      </c>
      <c r="J2679" s="3">
        <f>Vendas[[#This Row],[Valor da Venda]]-(_xlfn.XLOOKUP(Vendas[[#This Row],[ID Item Vendido]],Agregado[ID],Agregado[Custo])*Vendas[[#This Row],[Qnt Vendida]])</f>
        <v>504</v>
      </c>
      <c r="K2679" s="70">
        <f>Vendas[[#This Row],[Lucro da Venda]]/Vendas[[#This Row],[Valor da Venda]]</f>
        <v>0.21875</v>
      </c>
      <c r="L2679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2679"/>
    </row>
    <row r="2680" spans="1:13" x14ac:dyDescent="0.3">
      <c r="A2680" s="7">
        <v>400248</v>
      </c>
      <c r="B2680" t="str">
        <f>_xlfn.XLOOKUP(Vendas[[#This Row],[ID Vendedor]],Vendedores[ID],Vendedores[Nome])</f>
        <v>Patrícia</v>
      </c>
      <c r="C2680" s="7" t="str">
        <f>_xlfn.XLOOKUP(Vendas[[#This Row],[ID Vendedor]],Vendedores[ID],Vendedores[Setor])</f>
        <v>CM</v>
      </c>
      <c r="D2680" s="7" t="s">
        <v>34</v>
      </c>
      <c r="E2680" t="str">
        <f>_xlfn.XLOOKUP(Vendas[[#This Row],[ID Item Vendido]],Agregado[ID],Agregado[Produto])</f>
        <v>Restos de madeira p/ MDP/OSB saco de 20kg</v>
      </c>
      <c r="F2680" s="39">
        <v>45136</v>
      </c>
      <c r="G2680" s="7">
        <v>7</v>
      </c>
      <c r="H2680" s="3">
        <f>_xlfn.XLOOKUP(Vendas[[#This Row],[ID Item Vendido]],Agregado[ID],Agregado[Revenda])</f>
        <v>13.8</v>
      </c>
      <c r="I2680" s="3">
        <f>Vendas[[#This Row],[Valor Unitário]]*Vendas[[#This Row],[Qnt Vendida]]</f>
        <v>96.600000000000009</v>
      </c>
      <c r="J2680" s="3">
        <f>Vendas[[#This Row],[Valor da Venda]]-(_xlfn.XLOOKUP(Vendas[[#This Row],[ID Item Vendido]],Agregado[ID],Agregado[Custo])*Vendas[[#This Row],[Qnt Vendida]])</f>
        <v>12.600000000000009</v>
      </c>
      <c r="K2680" s="70">
        <f>Vendas[[#This Row],[Lucro da Venda]]/Vendas[[#This Row],[Valor da Venda]]</f>
        <v>0.13043478260869573</v>
      </c>
      <c r="L2680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2680"/>
    </row>
    <row r="2681" spans="1:13" x14ac:dyDescent="0.3">
      <c r="A2681" s="7">
        <v>400245</v>
      </c>
      <c r="B2681" t="str">
        <f>_xlfn.XLOOKUP(Vendas[[#This Row],[ID Vendedor]],Vendedores[ID],Vendedores[Nome])</f>
        <v>Thiago</v>
      </c>
      <c r="C2681" s="7" t="str">
        <f>_xlfn.XLOOKUP(Vendas[[#This Row],[ID Vendedor]],Vendedores[ID],Vendedores[Setor])</f>
        <v>AHD</v>
      </c>
      <c r="D2681" s="7" t="s">
        <v>30</v>
      </c>
      <c r="E2681" t="str">
        <f>_xlfn.XLOOKUP(Vendas[[#This Row],[ID Item Vendido]],Agregado[ID],Agregado[Produto])</f>
        <v>Estrutura metálica soldada</v>
      </c>
      <c r="F2681" s="39">
        <v>45137</v>
      </c>
      <c r="G2681" s="7">
        <v>5</v>
      </c>
      <c r="H2681" s="3">
        <f>_xlfn.XLOOKUP(Vendas[[#This Row],[ID Item Vendido]],Agregado[ID],Agregado[Revenda])</f>
        <v>400</v>
      </c>
      <c r="I2681" s="3">
        <f>Vendas[[#This Row],[Valor Unitário]]*Vendas[[#This Row],[Qnt Vendida]]</f>
        <v>2000</v>
      </c>
      <c r="J2681" s="3">
        <f>Vendas[[#This Row],[Valor da Venda]]-(_xlfn.XLOOKUP(Vendas[[#This Row],[ID Item Vendido]],Agregado[ID],Agregado[Custo])*Vendas[[#This Row],[Qnt Vendida]])</f>
        <v>400</v>
      </c>
      <c r="K2681" s="70">
        <f>Vendas[[#This Row],[Lucro da Venda]]/Vendas[[#This Row],[Valor da Venda]]</f>
        <v>0.2</v>
      </c>
      <c r="L268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681"/>
    </row>
    <row r="2682" spans="1:13" x14ac:dyDescent="0.3">
      <c r="A2682" s="7">
        <v>400247</v>
      </c>
      <c r="B2682" t="str">
        <f>_xlfn.XLOOKUP(Vendas[[#This Row],[ID Vendedor]],Vendedores[ID],Vendedores[Nome])</f>
        <v>André</v>
      </c>
      <c r="C2682" s="7" t="str">
        <f>_xlfn.XLOOKUP(Vendas[[#This Row],[ID Vendedor]],Vendedores[ID],Vendedores[Setor])</f>
        <v>CM</v>
      </c>
      <c r="D2682" s="7" t="s">
        <v>22</v>
      </c>
      <c r="E2682" t="str">
        <f>_xlfn.XLOOKUP(Vendas[[#This Row],[ID Item Vendido]],Agregado[ID],Agregado[Produto])</f>
        <v>Painel MDP 2,75x1,83m</v>
      </c>
      <c r="F2682" s="39">
        <v>45137</v>
      </c>
      <c r="G2682" s="7">
        <v>3</v>
      </c>
      <c r="H2682" s="3">
        <f>_xlfn.XLOOKUP(Vendas[[#This Row],[ID Item Vendido]],Agregado[ID],Agregado[Revenda])</f>
        <v>119</v>
      </c>
      <c r="I2682" s="3">
        <f>Vendas[[#This Row],[Valor Unitário]]*Vendas[[#This Row],[Qnt Vendida]]</f>
        <v>357</v>
      </c>
      <c r="J2682" s="3">
        <f>Vendas[[#This Row],[Valor da Venda]]-(_xlfn.XLOOKUP(Vendas[[#This Row],[ID Item Vendido]],Agregado[ID],Agregado[Custo])*Vendas[[#This Row],[Qnt Vendida]])</f>
        <v>72</v>
      </c>
      <c r="K2682" s="70">
        <f>Vendas[[#This Row],[Lucro da Venda]]/Vendas[[#This Row],[Valor da Venda]]</f>
        <v>0.20168067226890757</v>
      </c>
      <c r="L2682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2682"/>
    </row>
    <row r="2683" spans="1:13" x14ac:dyDescent="0.3">
      <c r="A2683" s="7">
        <v>400255</v>
      </c>
      <c r="B2683" t="str">
        <f>_xlfn.XLOOKUP(Vendas[[#This Row],[ID Vendedor]],Vendedores[ID],Vendedores[Nome])</f>
        <v>Carlos</v>
      </c>
      <c r="C2683" s="7" t="str">
        <f>_xlfn.XLOOKUP(Vendas[[#This Row],[ID Vendedor]],Vendedores[ID],Vendedores[Setor])</f>
        <v>SC</v>
      </c>
      <c r="D2683" s="7" t="s">
        <v>42</v>
      </c>
      <c r="E2683" t="str">
        <f>_xlfn.XLOOKUP(Vendas[[#This Row],[ID Item Vendido]],Agregado[ID],Agregado[Produto])</f>
        <v>Container de ferro industrial</v>
      </c>
      <c r="F2683" s="39">
        <v>45138</v>
      </c>
      <c r="G2683" s="7">
        <v>5</v>
      </c>
      <c r="H2683" s="3">
        <f>_xlfn.XLOOKUP(Vendas[[#This Row],[ID Item Vendido]],Agregado[ID],Agregado[Revenda])</f>
        <v>830</v>
      </c>
      <c r="I2683" s="3">
        <f>Vendas[[#This Row],[Valor Unitário]]*Vendas[[#This Row],[Qnt Vendida]]</f>
        <v>4150</v>
      </c>
      <c r="J2683" s="3">
        <f>Vendas[[#This Row],[Valor da Venda]]-(_xlfn.XLOOKUP(Vendas[[#This Row],[ID Item Vendido]],Agregado[ID],Agregado[Custo])*Vendas[[#This Row],[Qnt Vendida]])</f>
        <v>750</v>
      </c>
      <c r="K2683" s="70">
        <f>Vendas[[#This Row],[Lucro da Venda]]/Vendas[[#This Row],[Valor da Venda]]</f>
        <v>0.18072289156626506</v>
      </c>
      <c r="L268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683"/>
    </row>
    <row r="2684" spans="1:13" x14ac:dyDescent="0.3">
      <c r="A2684" s="7">
        <v>400246</v>
      </c>
      <c r="B2684" t="str">
        <f>_xlfn.XLOOKUP(Vendas[[#This Row],[ID Vendedor]],Vendedores[ID],Vendedores[Nome])</f>
        <v>Juliana</v>
      </c>
      <c r="C2684" s="7" t="str">
        <f>_xlfn.XLOOKUP(Vendas[[#This Row],[ID Vendedor]],Vendedores[ID],Vendedores[Setor])</f>
        <v>AHD</v>
      </c>
      <c r="D2684" s="7" t="s">
        <v>18</v>
      </c>
      <c r="E2684" t="str">
        <f>_xlfn.XLOOKUP(Vendas[[#This Row],[ID Item Vendido]],Agregado[ID],Agregado[Produto])</f>
        <v>Peça forjada sob encomenda</v>
      </c>
      <c r="F2684" s="39">
        <v>45138</v>
      </c>
      <c r="G2684" s="7">
        <v>2</v>
      </c>
      <c r="H2684" s="3">
        <f>_xlfn.XLOOKUP(Vendas[[#This Row],[ID Item Vendido]],Agregado[ID],Agregado[Revenda])</f>
        <v>264.60000000000002</v>
      </c>
      <c r="I2684" s="3">
        <f>Vendas[[#This Row],[Valor Unitário]]*Vendas[[#This Row],[Qnt Vendida]]</f>
        <v>529.20000000000005</v>
      </c>
      <c r="J2684" s="3">
        <f>Vendas[[#This Row],[Valor da Venda]]-(_xlfn.XLOOKUP(Vendas[[#This Row],[ID Item Vendido]],Agregado[ID],Agregado[Custo])*Vendas[[#This Row],[Qnt Vendida]])</f>
        <v>29.200000000000045</v>
      </c>
      <c r="K2684" s="70">
        <f>Vendas[[#This Row],[Lucro da Venda]]/Vendas[[#This Row],[Valor da Venda]]</f>
        <v>5.5177626606198113E-2</v>
      </c>
      <c r="L268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684"/>
    </row>
    <row r="2685" spans="1:13" x14ac:dyDescent="0.3">
      <c r="A2685" s="7">
        <v>400241</v>
      </c>
      <c r="B2685" t="str">
        <f>_xlfn.XLOOKUP(Vendas[[#This Row],[ID Vendedor]],Vendedores[ID],Vendedores[Nome])</f>
        <v>Rodrigo</v>
      </c>
      <c r="C2685" s="7" t="str">
        <f>_xlfn.XLOOKUP(Vendas[[#This Row],[ID Vendedor]],Vendedores[ID],Vendedores[Setor])</f>
        <v>FM</v>
      </c>
      <c r="D2685" s="7" t="s">
        <v>31</v>
      </c>
      <c r="E2685" t="str">
        <f>_xlfn.XLOOKUP(Vendas[[#This Row],[ID Item Vendido]],Agregado[ID],Agregado[Produto])</f>
        <v>Tela de metal soldada rolo 2x25m</v>
      </c>
      <c r="F2685" s="39">
        <v>45138</v>
      </c>
      <c r="G2685" s="7">
        <v>16</v>
      </c>
      <c r="H2685" s="3">
        <f>_xlfn.XLOOKUP(Vendas[[#This Row],[ID Item Vendido]],Agregado[ID],Agregado[Revenda])</f>
        <v>43.7</v>
      </c>
      <c r="I2685" s="3">
        <f>Vendas[[#This Row],[Valor Unitário]]*Vendas[[#This Row],[Qnt Vendida]]</f>
        <v>699.2</v>
      </c>
      <c r="J2685" s="3">
        <f>Vendas[[#This Row],[Valor da Venda]]-(_xlfn.XLOOKUP(Vendas[[#This Row],[ID Item Vendido]],Agregado[ID],Agregado[Custo])*Vendas[[#This Row],[Qnt Vendida]])</f>
        <v>91.200000000000045</v>
      </c>
      <c r="K2685" s="70">
        <f>Vendas[[#This Row],[Lucro da Venda]]/Vendas[[#This Row],[Valor da Venda]]</f>
        <v>0.1304347826086957</v>
      </c>
      <c r="L2685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2685"/>
    </row>
    <row r="2686" spans="1:13" x14ac:dyDescent="0.3">
      <c r="A2686" s="7">
        <v>400242</v>
      </c>
      <c r="B2686" t="str">
        <f>_xlfn.XLOOKUP(Vendas[[#This Row],[ID Vendedor]],Vendedores[ID],Vendedores[Nome])</f>
        <v>Fernanda</v>
      </c>
      <c r="C2686" s="7" t="str">
        <f>_xlfn.XLOOKUP(Vendas[[#This Row],[ID Vendedor]],Vendedores[ID],Vendedores[Setor])</f>
        <v>FM</v>
      </c>
      <c r="D2686" s="7" t="s">
        <v>20</v>
      </c>
      <c r="E2686" t="str">
        <f>_xlfn.XLOOKUP(Vendas[[#This Row],[ID Item Vendido]],Agregado[ID],Agregado[Produto])</f>
        <v>Barra de aço simples</v>
      </c>
      <c r="F2686" s="39">
        <v>45138</v>
      </c>
      <c r="G2686" s="7">
        <v>105</v>
      </c>
      <c r="H2686" s="3">
        <f>_xlfn.XLOOKUP(Vendas[[#This Row],[ID Item Vendido]],Agregado[ID],Agregado[Revenda])</f>
        <v>4.8</v>
      </c>
      <c r="I2686" s="3">
        <f>Vendas[[#This Row],[Valor Unitário]]*Vendas[[#This Row],[Qnt Vendida]]</f>
        <v>504</v>
      </c>
      <c r="J2686" s="3">
        <f>Vendas[[#This Row],[Valor da Venda]]-(_xlfn.XLOOKUP(Vendas[[#This Row],[ID Item Vendido]],Agregado[ID],Agregado[Custo])*Vendas[[#This Row],[Qnt Vendida]])</f>
        <v>63</v>
      </c>
      <c r="K2686" s="70">
        <f>Vendas[[#This Row],[Lucro da Venda]]/Vendas[[#This Row],[Valor da Venda]]</f>
        <v>0.125</v>
      </c>
      <c r="L2686" s="3">
        <f>_xlfn.IFS(Vendas[[#This Row],[Margem de Lucro (%)]]&lt;15%,Vendas[[#This Row],[Valor da Venda]]*3%,Vendas[[#This Row],[Margem de Lucro (%)]]&lt;=20%,Vendas[[#This Row],[Valor da Venda]]*4.5%,TRUE,Vendas[[#This Row],[Valor da Venda]]*6%)</f>
        <v>15.12</v>
      </c>
      <c r="M2686"/>
    </row>
    <row r="2687" spans="1:13" x14ac:dyDescent="0.3">
      <c r="A2687" s="7">
        <v>400250</v>
      </c>
      <c r="B2687" t="str">
        <f>_xlfn.XLOOKUP(Vendas[[#This Row],[ID Vendedor]],Vendedores[ID],Vendedores[Nome])</f>
        <v>Larissa</v>
      </c>
      <c r="C2687" s="7" t="str">
        <f>_xlfn.XLOOKUP(Vendas[[#This Row],[ID Vendedor]],Vendedores[ID],Vendedores[Setor])</f>
        <v>AB</v>
      </c>
      <c r="D2687" s="7" t="s">
        <v>39</v>
      </c>
      <c r="E2687" t="str">
        <f>_xlfn.XLOOKUP(Vendas[[#This Row],[ID Item Vendido]],Agregado[ID],Agregado[Produto])</f>
        <v>Filme plástico industrial rolo 50m</v>
      </c>
      <c r="F2687" s="39">
        <v>45140</v>
      </c>
      <c r="G2687" s="7">
        <v>26</v>
      </c>
      <c r="H2687" s="3">
        <f>_xlfn.XLOOKUP(Vendas[[#This Row],[ID Item Vendido]],Agregado[ID],Agregado[Revenda])</f>
        <v>37</v>
      </c>
      <c r="I2687" s="3">
        <f>Vendas[[#This Row],[Valor Unitário]]*Vendas[[#This Row],[Qnt Vendida]]</f>
        <v>962</v>
      </c>
      <c r="J2687" s="3">
        <f>Vendas[[#This Row],[Valor da Venda]]-(_xlfn.XLOOKUP(Vendas[[#This Row],[ID Item Vendido]],Agregado[ID],Agregado[Custo])*Vendas[[#This Row],[Qnt Vendida]])</f>
        <v>234</v>
      </c>
      <c r="K2687" s="70">
        <f>Vendas[[#This Row],[Lucro da Venda]]/Vendas[[#This Row],[Valor da Venda]]</f>
        <v>0.24324324324324326</v>
      </c>
      <c r="L2687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2687"/>
    </row>
    <row r="2688" spans="1:13" x14ac:dyDescent="0.3">
      <c r="A2688" s="7">
        <v>400248</v>
      </c>
      <c r="B2688" t="str">
        <f>_xlfn.XLOOKUP(Vendas[[#This Row],[ID Vendedor]],Vendedores[ID],Vendedores[Nome])</f>
        <v>Patrícia</v>
      </c>
      <c r="C2688" s="7" t="str">
        <f>_xlfn.XLOOKUP(Vendas[[#This Row],[ID Vendedor]],Vendedores[ID],Vendedores[Setor])</f>
        <v>CM</v>
      </c>
      <c r="D2688" s="7" t="s">
        <v>43</v>
      </c>
      <c r="E2688" t="str">
        <f>_xlfn.XLOOKUP(Vendas[[#This Row],[ID Item Vendido]],Agregado[ID],Agregado[Produto])</f>
        <v>Madeira Bruta (Tora)</v>
      </c>
      <c r="F2688" s="39">
        <v>45140</v>
      </c>
      <c r="G2688" s="7">
        <v>1</v>
      </c>
      <c r="H2688" s="3">
        <f>_xlfn.XLOOKUP(Vendas[[#This Row],[ID Item Vendido]],Agregado[ID],Agregado[Revenda])</f>
        <v>212</v>
      </c>
      <c r="I2688" s="3">
        <f>Vendas[[#This Row],[Valor Unitário]]*Vendas[[#This Row],[Qnt Vendida]]</f>
        <v>212</v>
      </c>
      <c r="J2688" s="3">
        <f>Vendas[[#This Row],[Valor da Venda]]-(_xlfn.XLOOKUP(Vendas[[#This Row],[ID Item Vendido]],Agregado[ID],Agregado[Custo])*Vendas[[#This Row],[Qnt Vendida]])</f>
        <v>32</v>
      </c>
      <c r="K2688" s="70">
        <f>Vendas[[#This Row],[Lucro da Venda]]/Vendas[[#This Row],[Valor da Venda]]</f>
        <v>0.15094339622641509</v>
      </c>
      <c r="L2688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2688"/>
    </row>
    <row r="2689" spans="1:13" x14ac:dyDescent="0.3">
      <c r="A2689" s="7">
        <v>400253</v>
      </c>
      <c r="B2689" t="str">
        <f>_xlfn.XLOOKUP(Vendas[[#This Row],[ID Vendedor]],Vendedores[ID],Vendedores[Nome])</f>
        <v>Gustavo</v>
      </c>
      <c r="C2689" s="7" t="str">
        <f>_xlfn.XLOOKUP(Vendas[[#This Row],[ID Vendedor]],Vendedores[ID],Vendedores[Setor])</f>
        <v>SC</v>
      </c>
      <c r="D2689" s="7" t="s">
        <v>14</v>
      </c>
      <c r="E2689" t="str">
        <f>_xlfn.XLOOKUP(Vendas[[#This Row],[ID Item Vendido]],Agregado[ID],Agregado[Produto])</f>
        <v>Barril de plástico 200L</v>
      </c>
      <c r="F2689" s="39">
        <v>45141</v>
      </c>
      <c r="G2689" s="7">
        <v>17</v>
      </c>
      <c r="H2689" s="3">
        <f>_xlfn.XLOOKUP(Vendas[[#This Row],[ID Item Vendido]],Agregado[ID],Agregado[Revenda])</f>
        <v>114</v>
      </c>
      <c r="I2689" s="3">
        <f>Vendas[[#This Row],[Valor Unitário]]*Vendas[[#This Row],[Qnt Vendida]]</f>
        <v>1938</v>
      </c>
      <c r="J2689" s="3">
        <f>Vendas[[#This Row],[Valor da Venda]]-(_xlfn.XLOOKUP(Vendas[[#This Row],[ID Item Vendido]],Agregado[ID],Agregado[Custo])*Vendas[[#This Row],[Qnt Vendida]])</f>
        <v>323</v>
      </c>
      <c r="K2689" s="70">
        <f>Vendas[[#This Row],[Lucro da Venda]]/Vendas[[#This Row],[Valor da Venda]]</f>
        <v>0.16666666666666666</v>
      </c>
      <c r="L2689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689"/>
    </row>
    <row r="2690" spans="1:13" x14ac:dyDescent="0.3">
      <c r="A2690" s="7">
        <v>400251</v>
      </c>
      <c r="B2690" t="str">
        <f>_xlfn.XLOOKUP(Vendas[[#This Row],[ID Vendedor]],Vendedores[ID],Vendedores[Nome])</f>
        <v>Diego</v>
      </c>
      <c r="C2690" s="7" t="str">
        <f>_xlfn.XLOOKUP(Vendas[[#This Row],[ID Vendedor]],Vendedores[ID],Vendedores[Setor])</f>
        <v>AB</v>
      </c>
      <c r="D2690" s="7" t="s">
        <v>39</v>
      </c>
      <c r="E2690" t="str">
        <f>_xlfn.XLOOKUP(Vendas[[#This Row],[ID Item Vendido]],Agregado[ID],Agregado[Produto])</f>
        <v>Filme plástico industrial rolo 50m</v>
      </c>
      <c r="F2690" s="39">
        <v>45141</v>
      </c>
      <c r="G2690" s="7">
        <v>27</v>
      </c>
      <c r="H2690" s="3">
        <f>_xlfn.XLOOKUP(Vendas[[#This Row],[ID Item Vendido]],Agregado[ID],Agregado[Revenda])</f>
        <v>37</v>
      </c>
      <c r="I2690" s="3">
        <f>Vendas[[#This Row],[Valor Unitário]]*Vendas[[#This Row],[Qnt Vendida]]</f>
        <v>999</v>
      </c>
      <c r="J2690" s="3">
        <f>Vendas[[#This Row],[Valor da Venda]]-(_xlfn.XLOOKUP(Vendas[[#This Row],[ID Item Vendido]],Agregado[ID],Agregado[Custo])*Vendas[[#This Row],[Qnt Vendida]])</f>
        <v>243</v>
      </c>
      <c r="K2690" s="70">
        <f>Vendas[[#This Row],[Lucro da Venda]]/Vendas[[#This Row],[Valor da Venda]]</f>
        <v>0.24324324324324326</v>
      </c>
      <c r="L2690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2690"/>
    </row>
    <row r="2691" spans="1:13" x14ac:dyDescent="0.3">
      <c r="A2691" s="7">
        <v>400245</v>
      </c>
      <c r="B2691" t="str">
        <f>_xlfn.XLOOKUP(Vendas[[#This Row],[ID Vendedor]],Vendedores[ID],Vendedores[Nome])</f>
        <v>Thiago</v>
      </c>
      <c r="C2691" s="7" t="str">
        <f>_xlfn.XLOOKUP(Vendas[[#This Row],[ID Vendedor]],Vendedores[ID],Vendedores[Setor])</f>
        <v>AHD</v>
      </c>
      <c r="D2691" s="7" t="s">
        <v>44</v>
      </c>
      <c r="E2691" t="str">
        <f>_xlfn.XLOOKUP(Vendas[[#This Row],[ID Item Vendido]],Agregado[ID],Agregado[Produto])</f>
        <v>Liga metálica especial</v>
      </c>
      <c r="F2691" s="39">
        <v>45141</v>
      </c>
      <c r="G2691" s="7">
        <v>24</v>
      </c>
      <c r="H2691" s="3">
        <f>_xlfn.XLOOKUP(Vendas[[#This Row],[ID Item Vendido]],Agregado[ID],Agregado[Revenda])</f>
        <v>32.5</v>
      </c>
      <c r="I2691" s="3">
        <f>Vendas[[#This Row],[Valor Unitário]]*Vendas[[#This Row],[Qnt Vendida]]</f>
        <v>780</v>
      </c>
      <c r="J2691" s="3">
        <f>Vendas[[#This Row],[Valor da Venda]]-(_xlfn.XLOOKUP(Vendas[[#This Row],[ID Item Vendido]],Agregado[ID],Agregado[Custo])*Vendas[[#This Row],[Qnt Vendida]])</f>
        <v>180</v>
      </c>
      <c r="K2691" s="70">
        <f>Vendas[[#This Row],[Lucro da Venda]]/Vendas[[#This Row],[Valor da Venda]]</f>
        <v>0.23076923076923078</v>
      </c>
      <c r="L2691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691"/>
    </row>
    <row r="2692" spans="1:13" x14ac:dyDescent="0.3">
      <c r="A2692" s="7">
        <v>400246</v>
      </c>
      <c r="B2692" t="str">
        <f>_xlfn.XLOOKUP(Vendas[[#This Row],[ID Vendedor]],Vendedores[ID],Vendedores[Nome])</f>
        <v>Juliana</v>
      </c>
      <c r="C2692" s="7" t="str">
        <f>_xlfn.XLOOKUP(Vendas[[#This Row],[ID Vendedor]],Vendedores[ID],Vendedores[Setor])</f>
        <v>AHD</v>
      </c>
      <c r="D2692" s="7" t="s">
        <v>9</v>
      </c>
      <c r="E2692" t="str">
        <f>_xlfn.XLOOKUP(Vendas[[#This Row],[ID Item Vendido]],Agregado[ID],Agregado[Produto])</f>
        <v>Barra de aço simples</v>
      </c>
      <c r="F2692" s="39">
        <v>45142</v>
      </c>
      <c r="G2692" s="7">
        <v>83</v>
      </c>
      <c r="H2692" s="3">
        <f>_xlfn.XLOOKUP(Vendas[[#This Row],[ID Item Vendido]],Agregado[ID],Agregado[Revenda])</f>
        <v>6.7</v>
      </c>
      <c r="I2692" s="3">
        <f>Vendas[[#This Row],[Valor Unitário]]*Vendas[[#This Row],[Qnt Vendida]]</f>
        <v>556.1</v>
      </c>
      <c r="J2692" s="3">
        <f>Vendas[[#This Row],[Valor da Venda]]-(_xlfn.XLOOKUP(Vendas[[#This Row],[ID Item Vendido]],Agregado[ID],Agregado[Custo])*Vendas[[#This Row],[Qnt Vendida]])</f>
        <v>74.700000000000045</v>
      </c>
      <c r="K2692" s="70">
        <f>Vendas[[#This Row],[Lucro da Venda]]/Vendas[[#This Row],[Valor da Venda]]</f>
        <v>0.13432835820895531</v>
      </c>
      <c r="L2692" s="3">
        <f>_xlfn.IFS(Vendas[[#This Row],[Margem de Lucro (%)]]&lt;15%,Vendas[[#This Row],[Valor da Venda]]*3%,Vendas[[#This Row],[Margem de Lucro (%)]]&lt;=20%,Vendas[[#This Row],[Valor da Venda]]*4.5%,TRUE,Vendas[[#This Row],[Valor da Venda]]*6%)</f>
        <v>16.683</v>
      </c>
      <c r="M2692"/>
    </row>
    <row r="2693" spans="1:13" x14ac:dyDescent="0.3">
      <c r="A2693" s="7">
        <v>400242</v>
      </c>
      <c r="B2693" t="str">
        <f>_xlfn.XLOOKUP(Vendas[[#This Row],[ID Vendedor]],Vendedores[ID],Vendedores[Nome])</f>
        <v>Fernanda</v>
      </c>
      <c r="C2693" s="7" t="str">
        <f>_xlfn.XLOOKUP(Vendas[[#This Row],[ID Vendedor]],Vendedores[ID],Vendedores[Setor])</f>
        <v>FM</v>
      </c>
      <c r="D2693" s="7" t="s">
        <v>31</v>
      </c>
      <c r="E2693" t="str">
        <f>_xlfn.XLOOKUP(Vendas[[#This Row],[ID Item Vendido]],Agregado[ID],Agregado[Produto])</f>
        <v>Tela de metal soldada rolo 2x25m</v>
      </c>
      <c r="F2693" s="39">
        <v>45142</v>
      </c>
      <c r="G2693" s="7">
        <v>10</v>
      </c>
      <c r="H2693" s="3">
        <f>_xlfn.XLOOKUP(Vendas[[#This Row],[ID Item Vendido]],Agregado[ID],Agregado[Revenda])</f>
        <v>43.7</v>
      </c>
      <c r="I2693" s="3">
        <f>Vendas[[#This Row],[Valor Unitário]]*Vendas[[#This Row],[Qnt Vendida]]</f>
        <v>437</v>
      </c>
      <c r="J2693" s="3">
        <f>Vendas[[#This Row],[Valor da Venda]]-(_xlfn.XLOOKUP(Vendas[[#This Row],[ID Item Vendido]],Agregado[ID],Agregado[Custo])*Vendas[[#This Row],[Qnt Vendida]])</f>
        <v>57</v>
      </c>
      <c r="K2693" s="70">
        <f>Vendas[[#This Row],[Lucro da Venda]]/Vendas[[#This Row],[Valor da Venda]]</f>
        <v>0.13043478260869565</v>
      </c>
      <c r="L2693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2693"/>
    </row>
    <row r="2694" spans="1:13" x14ac:dyDescent="0.3">
      <c r="A2694" s="7">
        <v>400247</v>
      </c>
      <c r="B2694" t="str">
        <f>_xlfn.XLOOKUP(Vendas[[#This Row],[ID Vendedor]],Vendedores[ID],Vendedores[Nome])</f>
        <v>André</v>
      </c>
      <c r="C2694" s="7" t="str">
        <f>_xlfn.XLOOKUP(Vendas[[#This Row],[ID Vendedor]],Vendedores[ID],Vendedores[Setor])</f>
        <v>CM</v>
      </c>
      <c r="D2694" s="7" t="s">
        <v>43</v>
      </c>
      <c r="E2694" t="str">
        <f>_xlfn.XLOOKUP(Vendas[[#This Row],[ID Item Vendido]],Agregado[ID],Agregado[Produto])</f>
        <v>Madeira Bruta (Tora)</v>
      </c>
      <c r="F2694" s="39">
        <v>45143</v>
      </c>
      <c r="G2694" s="7">
        <v>2</v>
      </c>
      <c r="H2694" s="3">
        <f>_xlfn.XLOOKUP(Vendas[[#This Row],[ID Item Vendido]],Agregado[ID],Agregado[Revenda])</f>
        <v>212</v>
      </c>
      <c r="I2694" s="3">
        <f>Vendas[[#This Row],[Valor Unitário]]*Vendas[[#This Row],[Qnt Vendida]]</f>
        <v>424</v>
      </c>
      <c r="J2694" s="3">
        <f>Vendas[[#This Row],[Valor da Venda]]-(_xlfn.XLOOKUP(Vendas[[#This Row],[ID Item Vendido]],Agregado[ID],Agregado[Custo])*Vendas[[#This Row],[Qnt Vendida]])</f>
        <v>64</v>
      </c>
      <c r="K2694" s="70">
        <f>Vendas[[#This Row],[Lucro da Venda]]/Vendas[[#This Row],[Valor da Venda]]</f>
        <v>0.15094339622641509</v>
      </c>
      <c r="L2694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694"/>
    </row>
    <row r="2695" spans="1:13" x14ac:dyDescent="0.3">
      <c r="A2695" s="7">
        <v>400246</v>
      </c>
      <c r="B2695" t="str">
        <f>_xlfn.XLOOKUP(Vendas[[#This Row],[ID Vendedor]],Vendedores[ID],Vendedores[Nome])</f>
        <v>Juliana</v>
      </c>
      <c r="C2695" s="7" t="str">
        <f>_xlfn.XLOOKUP(Vendas[[#This Row],[ID Vendedor]],Vendedores[ID],Vendedores[Setor])</f>
        <v>AHD</v>
      </c>
      <c r="D2695" s="7" t="s">
        <v>28</v>
      </c>
      <c r="E2695" t="str">
        <f>_xlfn.XLOOKUP(Vendas[[#This Row],[ID Item Vendido]],Agregado[ID],Agregado[Produto])</f>
        <v>Peça usinada CNC</v>
      </c>
      <c r="F2695" s="39">
        <v>45144</v>
      </c>
      <c r="G2695" s="7">
        <v>14</v>
      </c>
      <c r="H2695" s="3">
        <f>_xlfn.XLOOKUP(Vendas[[#This Row],[ID Item Vendido]],Agregado[ID],Agregado[Revenda])</f>
        <v>192</v>
      </c>
      <c r="I2695" s="3">
        <f>Vendas[[#This Row],[Valor Unitário]]*Vendas[[#This Row],[Qnt Vendida]]</f>
        <v>2688</v>
      </c>
      <c r="J2695" s="3">
        <f>Vendas[[#This Row],[Valor da Venda]]-(_xlfn.XLOOKUP(Vendas[[#This Row],[ID Item Vendido]],Agregado[ID],Agregado[Custo])*Vendas[[#This Row],[Qnt Vendida]])</f>
        <v>588</v>
      </c>
      <c r="K2695" s="70">
        <f>Vendas[[#This Row],[Lucro da Venda]]/Vendas[[#This Row],[Valor da Venda]]</f>
        <v>0.21875</v>
      </c>
      <c r="L2695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2695"/>
    </row>
    <row r="2696" spans="1:13" x14ac:dyDescent="0.3">
      <c r="A2696" s="7">
        <v>400242</v>
      </c>
      <c r="B2696" t="str">
        <f>_xlfn.XLOOKUP(Vendas[[#This Row],[ID Vendedor]],Vendedores[ID],Vendedores[Nome])</f>
        <v>Fernanda</v>
      </c>
      <c r="C2696" s="7" t="str">
        <f>_xlfn.XLOOKUP(Vendas[[#This Row],[ID Vendedor]],Vendedores[ID],Vendedores[Setor])</f>
        <v>FM</v>
      </c>
      <c r="D2696" s="7" t="s">
        <v>6</v>
      </c>
      <c r="E2696" t="str">
        <f>_xlfn.XLOOKUP(Vendas[[#This Row],[ID Item Vendido]],Agregado[ID],Agregado[Produto])</f>
        <v>Parafuso comum 500un</v>
      </c>
      <c r="F2696" s="39">
        <v>45144</v>
      </c>
      <c r="G2696" s="7">
        <v>7</v>
      </c>
      <c r="H2696" s="3">
        <f>_xlfn.XLOOKUP(Vendas[[#This Row],[ID Item Vendido]],Agregado[ID],Agregado[Revenda])</f>
        <v>24.6</v>
      </c>
      <c r="I2696" s="3">
        <f>Vendas[[#This Row],[Valor Unitário]]*Vendas[[#This Row],[Qnt Vendida]]</f>
        <v>172.20000000000002</v>
      </c>
      <c r="J2696" s="3">
        <f>Vendas[[#This Row],[Valor da Venda]]-(_xlfn.XLOOKUP(Vendas[[#This Row],[ID Item Vendido]],Agregado[ID],Agregado[Custo])*Vendas[[#This Row],[Qnt Vendida]])</f>
        <v>18.200000000000017</v>
      </c>
      <c r="K2696" s="70">
        <f>Vendas[[#This Row],[Lucro da Venda]]/Vendas[[#This Row],[Valor da Venda]]</f>
        <v>0.10569105691056919</v>
      </c>
      <c r="L2696" s="3">
        <f>_xlfn.IFS(Vendas[[#This Row],[Margem de Lucro (%)]]&lt;15%,Vendas[[#This Row],[Valor da Venda]]*3%,Vendas[[#This Row],[Margem de Lucro (%)]]&lt;=20%,Vendas[[#This Row],[Valor da Venda]]*4.5%,TRUE,Vendas[[#This Row],[Valor da Venda]]*6%)</f>
        <v>5.1660000000000004</v>
      </c>
      <c r="M2696"/>
    </row>
    <row r="2697" spans="1:13" x14ac:dyDescent="0.3">
      <c r="A2697" s="7">
        <v>400246</v>
      </c>
      <c r="B2697" t="str">
        <f>_xlfn.XLOOKUP(Vendas[[#This Row],[ID Vendedor]],Vendedores[ID],Vendedores[Nome])</f>
        <v>Juliana</v>
      </c>
      <c r="C2697" s="7" t="str">
        <f>_xlfn.XLOOKUP(Vendas[[#This Row],[ID Vendedor]],Vendedores[ID],Vendedores[Setor])</f>
        <v>AHD</v>
      </c>
      <c r="D2697" s="7" t="s">
        <v>30</v>
      </c>
      <c r="E2697" t="str">
        <f>_xlfn.XLOOKUP(Vendas[[#This Row],[ID Item Vendido]],Agregado[ID],Agregado[Produto])</f>
        <v>Estrutura metálica soldada</v>
      </c>
      <c r="F2697" s="39">
        <v>45146</v>
      </c>
      <c r="G2697" s="7">
        <v>7</v>
      </c>
      <c r="H2697" s="3">
        <f>_xlfn.XLOOKUP(Vendas[[#This Row],[ID Item Vendido]],Agregado[ID],Agregado[Revenda])</f>
        <v>400</v>
      </c>
      <c r="I2697" s="3">
        <f>Vendas[[#This Row],[Valor Unitário]]*Vendas[[#This Row],[Qnt Vendida]]</f>
        <v>2800</v>
      </c>
      <c r="J2697" s="3">
        <f>Vendas[[#This Row],[Valor da Venda]]-(_xlfn.XLOOKUP(Vendas[[#This Row],[ID Item Vendido]],Agregado[ID],Agregado[Custo])*Vendas[[#This Row],[Qnt Vendida]])</f>
        <v>560</v>
      </c>
      <c r="K2697" s="70">
        <f>Vendas[[#This Row],[Lucro da Venda]]/Vendas[[#This Row],[Valor da Venda]]</f>
        <v>0.2</v>
      </c>
      <c r="L2697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2697"/>
    </row>
    <row r="2698" spans="1:13" x14ac:dyDescent="0.3">
      <c r="A2698" s="7">
        <v>400245</v>
      </c>
      <c r="B2698" t="str">
        <f>_xlfn.XLOOKUP(Vendas[[#This Row],[ID Vendedor]],Vendedores[ID],Vendedores[Nome])</f>
        <v>Thiago</v>
      </c>
      <c r="C2698" s="7" t="str">
        <f>_xlfn.XLOOKUP(Vendas[[#This Row],[ID Vendedor]],Vendedores[ID],Vendedores[Setor])</f>
        <v>AHD</v>
      </c>
      <c r="D2698" s="7" t="s">
        <v>28</v>
      </c>
      <c r="E2698" t="str">
        <f>_xlfn.XLOOKUP(Vendas[[#This Row],[ID Item Vendido]],Agregado[ID],Agregado[Produto])</f>
        <v>Peça usinada CNC</v>
      </c>
      <c r="F2698" s="39">
        <v>45147</v>
      </c>
      <c r="G2698" s="7">
        <v>12</v>
      </c>
      <c r="H2698" s="3">
        <f>_xlfn.XLOOKUP(Vendas[[#This Row],[ID Item Vendido]],Agregado[ID],Agregado[Revenda])</f>
        <v>192</v>
      </c>
      <c r="I2698" s="3">
        <f>Vendas[[#This Row],[Valor Unitário]]*Vendas[[#This Row],[Qnt Vendida]]</f>
        <v>2304</v>
      </c>
      <c r="J2698" s="3">
        <f>Vendas[[#This Row],[Valor da Venda]]-(_xlfn.XLOOKUP(Vendas[[#This Row],[ID Item Vendido]],Agregado[ID],Agregado[Custo])*Vendas[[#This Row],[Qnt Vendida]])</f>
        <v>504</v>
      </c>
      <c r="K2698" s="70">
        <f>Vendas[[#This Row],[Lucro da Venda]]/Vendas[[#This Row],[Valor da Venda]]</f>
        <v>0.21875</v>
      </c>
      <c r="L2698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2698"/>
    </row>
    <row r="2699" spans="1:13" x14ac:dyDescent="0.3">
      <c r="A2699" s="7">
        <v>400241</v>
      </c>
      <c r="B2699" t="str">
        <f>_xlfn.XLOOKUP(Vendas[[#This Row],[ID Vendedor]],Vendedores[ID],Vendedores[Nome])</f>
        <v>Rodrigo</v>
      </c>
      <c r="C2699" s="7" t="str">
        <f>_xlfn.XLOOKUP(Vendas[[#This Row],[ID Vendedor]],Vendedores[ID],Vendedores[Setor])</f>
        <v>FM</v>
      </c>
      <c r="D2699" s="7" t="s">
        <v>20</v>
      </c>
      <c r="E2699" t="str">
        <f>_xlfn.XLOOKUP(Vendas[[#This Row],[ID Item Vendido]],Agregado[ID],Agregado[Produto])</f>
        <v>Barra de aço simples</v>
      </c>
      <c r="F2699" s="39">
        <v>45147</v>
      </c>
      <c r="G2699" s="7">
        <v>44</v>
      </c>
      <c r="H2699" s="3">
        <f>_xlfn.XLOOKUP(Vendas[[#This Row],[ID Item Vendido]],Agregado[ID],Agregado[Revenda])</f>
        <v>4.8</v>
      </c>
      <c r="I2699" s="3">
        <f>Vendas[[#This Row],[Valor Unitário]]*Vendas[[#This Row],[Qnt Vendida]]</f>
        <v>211.2</v>
      </c>
      <c r="J2699" s="3">
        <f>Vendas[[#This Row],[Valor da Venda]]-(_xlfn.XLOOKUP(Vendas[[#This Row],[ID Item Vendido]],Agregado[ID],Agregado[Custo])*Vendas[[#This Row],[Qnt Vendida]])</f>
        <v>26.399999999999977</v>
      </c>
      <c r="K2699" s="70">
        <f>Vendas[[#This Row],[Lucro da Venda]]/Vendas[[#This Row],[Valor da Venda]]</f>
        <v>0.1249999999999999</v>
      </c>
      <c r="L2699" s="3">
        <f>_xlfn.IFS(Vendas[[#This Row],[Margem de Lucro (%)]]&lt;15%,Vendas[[#This Row],[Valor da Venda]]*3%,Vendas[[#This Row],[Margem de Lucro (%)]]&lt;=20%,Vendas[[#This Row],[Valor da Venda]]*4.5%,TRUE,Vendas[[#This Row],[Valor da Venda]]*6%)</f>
        <v>6.3359999999999994</v>
      </c>
      <c r="M2699"/>
    </row>
    <row r="2700" spans="1:13" x14ac:dyDescent="0.3">
      <c r="A2700" s="7">
        <v>400253</v>
      </c>
      <c r="B2700" t="str">
        <f>_xlfn.XLOOKUP(Vendas[[#This Row],[ID Vendedor]],Vendedores[ID],Vendedores[Nome])</f>
        <v>Gustavo</v>
      </c>
      <c r="C2700" s="7" t="str">
        <f>_xlfn.XLOOKUP(Vendas[[#This Row],[ID Vendedor]],Vendedores[ID],Vendedores[Setor])</f>
        <v>SC</v>
      </c>
      <c r="D2700" s="7" t="s">
        <v>48</v>
      </c>
      <c r="E2700" t="str">
        <f>_xlfn.XLOOKUP(Vendas[[#This Row],[ID Item Vendido]],Agregado[ID],Agregado[Produto])</f>
        <v>Tambor metálico 200L</v>
      </c>
      <c r="F2700" s="39">
        <v>45148</v>
      </c>
      <c r="G2700" s="7">
        <v>14</v>
      </c>
      <c r="H2700" s="3">
        <f>_xlfn.XLOOKUP(Vendas[[#This Row],[ID Item Vendido]],Agregado[ID],Agregado[Revenda])</f>
        <v>144</v>
      </c>
      <c r="I2700" s="3">
        <f>Vendas[[#This Row],[Valor Unitário]]*Vendas[[#This Row],[Qnt Vendida]]</f>
        <v>2016</v>
      </c>
      <c r="J2700" s="3">
        <f>Vendas[[#This Row],[Valor da Venda]]-(_xlfn.XLOOKUP(Vendas[[#This Row],[ID Item Vendido]],Agregado[ID],Agregado[Custo])*Vendas[[#This Row],[Qnt Vendida]])</f>
        <v>336</v>
      </c>
      <c r="K2700" s="70">
        <f>Vendas[[#This Row],[Lucro da Venda]]/Vendas[[#This Row],[Valor da Venda]]</f>
        <v>0.16666666666666666</v>
      </c>
      <c r="L2700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2700"/>
    </row>
    <row r="2701" spans="1:13" x14ac:dyDescent="0.3">
      <c r="A2701" s="7">
        <v>400247</v>
      </c>
      <c r="B2701" t="str">
        <f>_xlfn.XLOOKUP(Vendas[[#This Row],[ID Vendedor]],Vendedores[ID],Vendedores[Nome])</f>
        <v>André</v>
      </c>
      <c r="C2701" s="7" t="str">
        <f>_xlfn.XLOOKUP(Vendas[[#This Row],[ID Vendedor]],Vendedores[ID],Vendedores[Setor])</f>
        <v>CM</v>
      </c>
      <c r="D2701" s="7" t="s">
        <v>43</v>
      </c>
      <c r="E2701" t="str">
        <f>_xlfn.XLOOKUP(Vendas[[#This Row],[ID Item Vendido]],Agregado[ID],Agregado[Produto])</f>
        <v>Madeira Bruta (Tora)</v>
      </c>
      <c r="F2701" s="39">
        <v>45148</v>
      </c>
      <c r="G2701" s="7">
        <v>8</v>
      </c>
      <c r="H2701" s="3">
        <f>_xlfn.XLOOKUP(Vendas[[#This Row],[ID Item Vendido]],Agregado[ID],Agregado[Revenda])</f>
        <v>212</v>
      </c>
      <c r="I2701" s="3">
        <f>Vendas[[#This Row],[Valor Unitário]]*Vendas[[#This Row],[Qnt Vendida]]</f>
        <v>1696</v>
      </c>
      <c r="J2701" s="3">
        <f>Vendas[[#This Row],[Valor da Venda]]-(_xlfn.XLOOKUP(Vendas[[#This Row],[ID Item Vendido]],Agregado[ID],Agregado[Custo])*Vendas[[#This Row],[Qnt Vendida]])</f>
        <v>256</v>
      </c>
      <c r="K2701" s="70">
        <f>Vendas[[#This Row],[Lucro da Venda]]/Vendas[[#This Row],[Valor da Venda]]</f>
        <v>0.15094339622641509</v>
      </c>
      <c r="L2701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2701"/>
    </row>
    <row r="2702" spans="1:13" x14ac:dyDescent="0.3">
      <c r="A2702" s="7">
        <v>400248</v>
      </c>
      <c r="B2702" t="str">
        <f>_xlfn.XLOOKUP(Vendas[[#This Row],[ID Vendedor]],Vendedores[ID],Vendedores[Nome])</f>
        <v>Patrícia</v>
      </c>
      <c r="C2702" s="7" t="str">
        <f>_xlfn.XLOOKUP(Vendas[[#This Row],[ID Vendedor]],Vendedores[ID],Vendedores[Setor])</f>
        <v>CM</v>
      </c>
      <c r="D2702" s="7" t="s">
        <v>45</v>
      </c>
      <c r="E2702" t="str">
        <f>_xlfn.XLOOKUP(Vendas[[#This Row],[ID Item Vendido]],Agregado[ID],Agregado[Produto])</f>
        <v>Viga de madeira tratada 4m</v>
      </c>
      <c r="F2702" s="39">
        <v>45148</v>
      </c>
      <c r="G2702" s="7">
        <v>17</v>
      </c>
      <c r="H2702" s="3">
        <f>_xlfn.XLOOKUP(Vendas[[#This Row],[ID Item Vendido]],Agregado[ID],Agregado[Revenda])</f>
        <v>66</v>
      </c>
      <c r="I2702" s="3">
        <f>Vendas[[#This Row],[Valor Unitário]]*Vendas[[#This Row],[Qnt Vendida]]</f>
        <v>1122</v>
      </c>
      <c r="J2702" s="3">
        <f>Vendas[[#This Row],[Valor da Venda]]-(_xlfn.XLOOKUP(Vendas[[#This Row],[ID Item Vendido]],Agregado[ID],Agregado[Custo])*Vendas[[#This Row],[Qnt Vendida]])</f>
        <v>187</v>
      </c>
      <c r="K2702" s="70">
        <f>Vendas[[#This Row],[Lucro da Venda]]/Vendas[[#This Row],[Valor da Venda]]</f>
        <v>0.16666666666666666</v>
      </c>
      <c r="L2702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2702"/>
    </row>
    <row r="2703" spans="1:13" x14ac:dyDescent="0.3">
      <c r="A2703" s="7">
        <v>400249</v>
      </c>
      <c r="B2703" t="str">
        <f>_xlfn.XLOOKUP(Vendas[[#This Row],[ID Vendedor]],Vendedores[ID],Vendedores[Nome])</f>
        <v>Bruno</v>
      </c>
      <c r="C2703" s="7" t="str">
        <f>_xlfn.XLOOKUP(Vendas[[#This Row],[ID Vendedor]],Vendedores[ID],Vendedores[Setor])</f>
        <v>CM</v>
      </c>
      <c r="D2703" s="7" t="s">
        <v>45</v>
      </c>
      <c r="E2703" t="str">
        <f>_xlfn.XLOOKUP(Vendas[[#This Row],[ID Item Vendido]],Agregado[ID],Agregado[Produto])</f>
        <v>Viga de madeira tratada 4m</v>
      </c>
      <c r="F2703" s="39">
        <v>45148</v>
      </c>
      <c r="G2703" s="7">
        <v>14</v>
      </c>
      <c r="H2703" s="3">
        <f>_xlfn.XLOOKUP(Vendas[[#This Row],[ID Item Vendido]],Agregado[ID],Agregado[Revenda])</f>
        <v>66</v>
      </c>
      <c r="I2703" s="3">
        <f>Vendas[[#This Row],[Valor Unitário]]*Vendas[[#This Row],[Qnt Vendida]]</f>
        <v>924</v>
      </c>
      <c r="J2703" s="3">
        <f>Vendas[[#This Row],[Valor da Venda]]-(_xlfn.XLOOKUP(Vendas[[#This Row],[ID Item Vendido]],Agregado[ID],Agregado[Custo])*Vendas[[#This Row],[Qnt Vendida]])</f>
        <v>154</v>
      </c>
      <c r="K2703" s="70">
        <f>Vendas[[#This Row],[Lucro da Venda]]/Vendas[[#This Row],[Valor da Venda]]</f>
        <v>0.16666666666666666</v>
      </c>
      <c r="L2703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2703"/>
    </row>
    <row r="2704" spans="1:13" x14ac:dyDescent="0.3">
      <c r="A2704" s="7">
        <v>400253</v>
      </c>
      <c r="B2704" t="str">
        <f>_xlfn.XLOOKUP(Vendas[[#This Row],[ID Vendedor]],Vendedores[ID],Vendedores[Nome])</f>
        <v>Gustavo</v>
      </c>
      <c r="C2704" s="7" t="str">
        <f>_xlfn.XLOOKUP(Vendas[[#This Row],[ID Vendedor]],Vendedores[ID],Vendedores[Setor])</f>
        <v>SC</v>
      </c>
      <c r="D2704" s="7" t="s">
        <v>48</v>
      </c>
      <c r="E2704" t="str">
        <f>_xlfn.XLOOKUP(Vendas[[#This Row],[ID Item Vendido]],Agregado[ID],Agregado[Produto])</f>
        <v>Tambor metálico 200L</v>
      </c>
      <c r="F2704" s="39">
        <v>45148</v>
      </c>
      <c r="G2704" s="7">
        <v>6</v>
      </c>
      <c r="H2704" s="3">
        <f>_xlfn.XLOOKUP(Vendas[[#This Row],[ID Item Vendido]],Agregado[ID],Agregado[Revenda])</f>
        <v>144</v>
      </c>
      <c r="I2704" s="3">
        <f>Vendas[[#This Row],[Valor Unitário]]*Vendas[[#This Row],[Qnt Vendida]]</f>
        <v>864</v>
      </c>
      <c r="J2704" s="3">
        <f>Vendas[[#This Row],[Valor da Venda]]-(_xlfn.XLOOKUP(Vendas[[#This Row],[ID Item Vendido]],Agregado[ID],Agregado[Custo])*Vendas[[#This Row],[Qnt Vendida]])</f>
        <v>144</v>
      </c>
      <c r="K2704" s="70">
        <f>Vendas[[#This Row],[Lucro da Venda]]/Vendas[[#This Row],[Valor da Venda]]</f>
        <v>0.16666666666666666</v>
      </c>
      <c r="L2704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2704"/>
    </row>
    <row r="2705" spans="1:13" x14ac:dyDescent="0.3">
      <c r="A2705" s="7">
        <v>400253</v>
      </c>
      <c r="B2705" t="str">
        <f>_xlfn.XLOOKUP(Vendas[[#This Row],[ID Vendedor]],Vendedores[ID],Vendedores[Nome])</f>
        <v>Gustavo</v>
      </c>
      <c r="C2705" s="7" t="str">
        <f>_xlfn.XLOOKUP(Vendas[[#This Row],[ID Vendedor]],Vendedores[ID],Vendedores[Setor])</f>
        <v>SC</v>
      </c>
      <c r="D2705" s="7" t="s">
        <v>41</v>
      </c>
      <c r="E2705" t="str">
        <f>_xlfn.XLOOKUP(Vendas[[#This Row],[ID Item Vendido]],Agregado[ID],Agregado[Produto])</f>
        <v>Palete de madeira reforçado</v>
      </c>
      <c r="F2705" s="39">
        <v>45148</v>
      </c>
      <c r="G2705" s="7">
        <v>6</v>
      </c>
      <c r="H2705" s="3">
        <f>_xlfn.XLOOKUP(Vendas[[#This Row],[ID Item Vendido]],Agregado[ID],Agregado[Revenda])</f>
        <v>131</v>
      </c>
      <c r="I2705" s="3">
        <f>Vendas[[#This Row],[Valor Unitário]]*Vendas[[#This Row],[Qnt Vendida]]</f>
        <v>786</v>
      </c>
      <c r="J2705" s="3">
        <f>Vendas[[#This Row],[Valor da Venda]]-(_xlfn.XLOOKUP(Vendas[[#This Row],[ID Item Vendido]],Agregado[ID],Agregado[Custo])*Vendas[[#This Row],[Qnt Vendida]])</f>
        <v>126</v>
      </c>
      <c r="K2705" s="70">
        <f>Vendas[[#This Row],[Lucro da Venda]]/Vendas[[#This Row],[Valor da Venda]]</f>
        <v>0.16030534351145037</v>
      </c>
      <c r="L2705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2705"/>
    </row>
    <row r="2706" spans="1:13" x14ac:dyDescent="0.3">
      <c r="A2706" s="7">
        <v>400246</v>
      </c>
      <c r="B2706" t="str">
        <f>_xlfn.XLOOKUP(Vendas[[#This Row],[ID Vendedor]],Vendedores[ID],Vendedores[Nome])</f>
        <v>Juliana</v>
      </c>
      <c r="C2706" s="7" t="str">
        <f>_xlfn.XLOOKUP(Vendas[[#This Row],[ID Vendedor]],Vendedores[ID],Vendedores[Setor])</f>
        <v>AHD</v>
      </c>
      <c r="D2706" s="7" t="s">
        <v>9</v>
      </c>
      <c r="E2706" t="str">
        <f>_xlfn.XLOOKUP(Vendas[[#This Row],[ID Item Vendido]],Agregado[ID],Agregado[Produto])</f>
        <v>Barra de aço simples</v>
      </c>
      <c r="F2706" s="39">
        <v>45148</v>
      </c>
      <c r="G2706" s="7">
        <v>55</v>
      </c>
      <c r="H2706" s="3">
        <f>_xlfn.XLOOKUP(Vendas[[#This Row],[ID Item Vendido]],Agregado[ID],Agregado[Revenda])</f>
        <v>6.7</v>
      </c>
      <c r="I2706" s="3">
        <f>Vendas[[#This Row],[Valor Unitário]]*Vendas[[#This Row],[Qnt Vendida]]</f>
        <v>368.5</v>
      </c>
      <c r="J2706" s="3">
        <f>Vendas[[#This Row],[Valor da Venda]]-(_xlfn.XLOOKUP(Vendas[[#This Row],[ID Item Vendido]],Agregado[ID],Agregado[Custo])*Vendas[[#This Row],[Qnt Vendida]])</f>
        <v>49.5</v>
      </c>
      <c r="K2706" s="70">
        <f>Vendas[[#This Row],[Lucro da Venda]]/Vendas[[#This Row],[Valor da Venda]]</f>
        <v>0.13432835820895522</v>
      </c>
      <c r="L2706" s="3">
        <f>_xlfn.IFS(Vendas[[#This Row],[Margem de Lucro (%)]]&lt;15%,Vendas[[#This Row],[Valor da Venda]]*3%,Vendas[[#This Row],[Margem de Lucro (%)]]&lt;=20%,Vendas[[#This Row],[Valor da Venda]]*4.5%,TRUE,Vendas[[#This Row],[Valor da Venda]]*6%)</f>
        <v>11.055</v>
      </c>
      <c r="M2706"/>
    </row>
    <row r="2707" spans="1:13" x14ac:dyDescent="0.3">
      <c r="A2707" s="7">
        <v>400248</v>
      </c>
      <c r="B2707" t="str">
        <f>_xlfn.XLOOKUP(Vendas[[#This Row],[ID Vendedor]],Vendedores[ID],Vendedores[Nome])</f>
        <v>Patrícia</v>
      </c>
      <c r="C2707" s="7" t="str">
        <f>_xlfn.XLOOKUP(Vendas[[#This Row],[ID Vendedor]],Vendedores[ID],Vendedores[Setor])</f>
        <v>CM</v>
      </c>
      <c r="D2707" s="7" t="s">
        <v>32</v>
      </c>
      <c r="E2707" t="str">
        <f>_xlfn.XLOOKUP(Vendas[[#This Row],[ID Item Vendido]],Agregado[ID],Agregado[Produto])</f>
        <v>Tábua tratada e cortada 3m</v>
      </c>
      <c r="F2707" s="39">
        <v>45149</v>
      </c>
      <c r="G2707" s="7">
        <v>41</v>
      </c>
      <c r="H2707" s="3">
        <f>_xlfn.XLOOKUP(Vendas[[#This Row],[ID Item Vendido]],Agregado[ID],Agregado[Revenda])</f>
        <v>39</v>
      </c>
      <c r="I2707" s="3">
        <f>Vendas[[#This Row],[Valor Unitário]]*Vendas[[#This Row],[Qnt Vendida]]</f>
        <v>1599</v>
      </c>
      <c r="J2707" s="3">
        <f>Vendas[[#This Row],[Valor da Venda]]-(_xlfn.XLOOKUP(Vendas[[#This Row],[ID Item Vendido]],Agregado[ID],Agregado[Custo])*Vendas[[#This Row],[Qnt Vendida]])</f>
        <v>287</v>
      </c>
      <c r="K2707" s="70">
        <f>Vendas[[#This Row],[Lucro da Venda]]/Vendas[[#This Row],[Valor da Venda]]</f>
        <v>0.17948717948717949</v>
      </c>
      <c r="L2707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2707"/>
    </row>
    <row r="2708" spans="1:13" x14ac:dyDescent="0.3">
      <c r="A2708" s="7">
        <v>400245</v>
      </c>
      <c r="B2708" t="str">
        <f>_xlfn.XLOOKUP(Vendas[[#This Row],[ID Vendedor]],Vendedores[ID],Vendedores[Nome])</f>
        <v>Thiago</v>
      </c>
      <c r="C2708" s="7" t="str">
        <f>_xlfn.XLOOKUP(Vendas[[#This Row],[ID Vendedor]],Vendedores[ID],Vendedores[Setor])</f>
        <v>AHD</v>
      </c>
      <c r="D2708" s="7" t="s">
        <v>44</v>
      </c>
      <c r="E2708" t="str">
        <f>_xlfn.XLOOKUP(Vendas[[#This Row],[ID Item Vendido]],Agregado[ID],Agregado[Produto])</f>
        <v>Liga metálica especial</v>
      </c>
      <c r="F2708" s="39">
        <v>45150</v>
      </c>
      <c r="G2708" s="7">
        <v>41</v>
      </c>
      <c r="H2708" s="3">
        <f>_xlfn.XLOOKUP(Vendas[[#This Row],[ID Item Vendido]],Agregado[ID],Agregado[Revenda])</f>
        <v>32.5</v>
      </c>
      <c r="I2708" s="3">
        <f>Vendas[[#This Row],[Valor Unitário]]*Vendas[[#This Row],[Qnt Vendida]]</f>
        <v>1332.5</v>
      </c>
      <c r="J2708" s="3">
        <f>Vendas[[#This Row],[Valor da Venda]]-(_xlfn.XLOOKUP(Vendas[[#This Row],[ID Item Vendido]],Agregado[ID],Agregado[Custo])*Vendas[[#This Row],[Qnt Vendida]])</f>
        <v>307.5</v>
      </c>
      <c r="K2708" s="70">
        <f>Vendas[[#This Row],[Lucro da Venda]]/Vendas[[#This Row],[Valor da Venda]]</f>
        <v>0.23076923076923078</v>
      </c>
      <c r="L2708" s="3">
        <f>_xlfn.IFS(Vendas[[#This Row],[Margem de Lucro (%)]]&lt;15%,Vendas[[#This Row],[Valor da Venda]]*3%,Vendas[[#This Row],[Margem de Lucro (%)]]&lt;=20%,Vendas[[#This Row],[Valor da Venda]]*4.5%,TRUE,Vendas[[#This Row],[Valor da Venda]]*6%)</f>
        <v>79.95</v>
      </c>
      <c r="M2708"/>
    </row>
    <row r="2709" spans="1:13" x14ac:dyDescent="0.3">
      <c r="A2709" s="7">
        <v>400250</v>
      </c>
      <c r="B2709" t="str">
        <f>_xlfn.XLOOKUP(Vendas[[#This Row],[ID Vendedor]],Vendedores[ID],Vendedores[Nome])</f>
        <v>Larissa</v>
      </c>
      <c r="C2709" s="7" t="str">
        <f>_xlfn.XLOOKUP(Vendas[[#This Row],[ID Vendedor]],Vendedores[ID],Vendedores[Setor])</f>
        <v>AB</v>
      </c>
      <c r="D2709" s="7" t="s">
        <v>39</v>
      </c>
      <c r="E2709" t="str">
        <f>_xlfn.XLOOKUP(Vendas[[#This Row],[ID Item Vendido]],Agregado[ID],Agregado[Produto])</f>
        <v>Filme plástico industrial rolo 50m</v>
      </c>
      <c r="F2709" s="39">
        <v>45150</v>
      </c>
      <c r="G2709" s="7">
        <v>20</v>
      </c>
      <c r="H2709" s="3">
        <f>_xlfn.XLOOKUP(Vendas[[#This Row],[ID Item Vendido]],Agregado[ID],Agregado[Revenda])</f>
        <v>37</v>
      </c>
      <c r="I2709" s="3">
        <f>Vendas[[#This Row],[Valor Unitário]]*Vendas[[#This Row],[Qnt Vendida]]</f>
        <v>740</v>
      </c>
      <c r="J2709" s="3">
        <f>Vendas[[#This Row],[Valor da Venda]]-(_xlfn.XLOOKUP(Vendas[[#This Row],[ID Item Vendido]],Agregado[ID],Agregado[Custo])*Vendas[[#This Row],[Qnt Vendida]])</f>
        <v>180</v>
      </c>
      <c r="K2709" s="70">
        <f>Vendas[[#This Row],[Lucro da Venda]]/Vendas[[#This Row],[Valor da Venda]]</f>
        <v>0.24324324324324326</v>
      </c>
      <c r="L2709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2709"/>
    </row>
    <row r="2710" spans="1:13" x14ac:dyDescent="0.3">
      <c r="A2710" s="7">
        <v>400246</v>
      </c>
      <c r="B2710" t="str">
        <f>_xlfn.XLOOKUP(Vendas[[#This Row],[ID Vendedor]],Vendedores[ID],Vendedores[Nome])</f>
        <v>Juliana</v>
      </c>
      <c r="C2710" s="7" t="str">
        <f>_xlfn.XLOOKUP(Vendas[[#This Row],[ID Vendedor]],Vendedores[ID],Vendedores[Setor])</f>
        <v>AHD</v>
      </c>
      <c r="D2710" s="7" t="s">
        <v>30</v>
      </c>
      <c r="E2710" t="str">
        <f>_xlfn.XLOOKUP(Vendas[[#This Row],[ID Item Vendido]],Agregado[ID],Agregado[Produto])</f>
        <v>Estrutura metálica soldada</v>
      </c>
      <c r="F2710" s="39">
        <v>45151</v>
      </c>
      <c r="G2710" s="7">
        <v>6</v>
      </c>
      <c r="H2710" s="3">
        <f>_xlfn.XLOOKUP(Vendas[[#This Row],[ID Item Vendido]],Agregado[ID],Agregado[Revenda])</f>
        <v>400</v>
      </c>
      <c r="I2710" s="3">
        <f>Vendas[[#This Row],[Valor Unitário]]*Vendas[[#This Row],[Qnt Vendida]]</f>
        <v>2400</v>
      </c>
      <c r="J2710" s="3">
        <f>Vendas[[#This Row],[Valor da Venda]]-(_xlfn.XLOOKUP(Vendas[[#This Row],[ID Item Vendido]],Agregado[ID],Agregado[Custo])*Vendas[[#This Row],[Qnt Vendida]])</f>
        <v>480</v>
      </c>
      <c r="K2710" s="70">
        <f>Vendas[[#This Row],[Lucro da Venda]]/Vendas[[#This Row],[Valor da Venda]]</f>
        <v>0.2</v>
      </c>
      <c r="L271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710"/>
    </row>
    <row r="2711" spans="1:13" x14ac:dyDescent="0.3">
      <c r="A2711" s="7">
        <v>400245</v>
      </c>
      <c r="B2711" t="str">
        <f>_xlfn.XLOOKUP(Vendas[[#This Row],[ID Vendedor]],Vendedores[ID],Vendedores[Nome])</f>
        <v>Thiago</v>
      </c>
      <c r="C2711" s="7" t="str">
        <f>_xlfn.XLOOKUP(Vendas[[#This Row],[ID Vendedor]],Vendedores[ID],Vendedores[Setor])</f>
        <v>AHD</v>
      </c>
      <c r="D2711" s="7" t="s">
        <v>18</v>
      </c>
      <c r="E2711" t="str">
        <f>_xlfn.XLOOKUP(Vendas[[#This Row],[ID Item Vendido]],Agregado[ID],Agregado[Produto])</f>
        <v>Peça forjada sob encomenda</v>
      </c>
      <c r="F2711" s="39">
        <v>45151</v>
      </c>
      <c r="G2711" s="7">
        <v>4</v>
      </c>
      <c r="H2711" s="3">
        <f>_xlfn.XLOOKUP(Vendas[[#This Row],[ID Item Vendido]],Agregado[ID],Agregado[Revenda])</f>
        <v>264.60000000000002</v>
      </c>
      <c r="I2711" s="3">
        <f>Vendas[[#This Row],[Valor Unitário]]*Vendas[[#This Row],[Qnt Vendida]]</f>
        <v>1058.4000000000001</v>
      </c>
      <c r="J2711" s="3">
        <f>Vendas[[#This Row],[Valor da Venda]]-(_xlfn.XLOOKUP(Vendas[[#This Row],[ID Item Vendido]],Agregado[ID],Agregado[Custo])*Vendas[[#This Row],[Qnt Vendida]])</f>
        <v>58.400000000000091</v>
      </c>
      <c r="K2711" s="70">
        <f>Vendas[[#This Row],[Lucro da Venda]]/Vendas[[#This Row],[Valor da Venda]]</f>
        <v>5.5177626606198113E-2</v>
      </c>
      <c r="L271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2711"/>
    </row>
    <row r="2712" spans="1:13" x14ac:dyDescent="0.3">
      <c r="A2712" s="7">
        <v>400254</v>
      </c>
      <c r="B2712" t="str">
        <f>_xlfn.XLOOKUP(Vendas[[#This Row],[ID Vendedor]],Vendedores[ID],Vendedores[Nome])</f>
        <v>Beatriz</v>
      </c>
      <c r="C2712" s="7" t="str">
        <f>_xlfn.XLOOKUP(Vendas[[#This Row],[ID Vendedor]],Vendedores[ID],Vendedores[Setor])</f>
        <v>SC</v>
      </c>
      <c r="D2712" s="7" t="s">
        <v>14</v>
      </c>
      <c r="E2712" t="str">
        <f>_xlfn.XLOOKUP(Vendas[[#This Row],[ID Item Vendido]],Agregado[ID],Agregado[Produto])</f>
        <v>Barril de plástico 200L</v>
      </c>
      <c r="F2712" s="39">
        <v>45151</v>
      </c>
      <c r="G2712" s="7">
        <v>12</v>
      </c>
      <c r="H2712" s="3">
        <f>_xlfn.XLOOKUP(Vendas[[#This Row],[ID Item Vendido]],Agregado[ID],Agregado[Revenda])</f>
        <v>114</v>
      </c>
      <c r="I2712" s="3">
        <f>Vendas[[#This Row],[Valor Unitário]]*Vendas[[#This Row],[Qnt Vendida]]</f>
        <v>1368</v>
      </c>
      <c r="J2712" s="3">
        <f>Vendas[[#This Row],[Valor da Venda]]-(_xlfn.XLOOKUP(Vendas[[#This Row],[ID Item Vendido]],Agregado[ID],Agregado[Custo])*Vendas[[#This Row],[Qnt Vendida]])</f>
        <v>228</v>
      </c>
      <c r="K2712" s="70">
        <f>Vendas[[#This Row],[Lucro da Venda]]/Vendas[[#This Row],[Valor da Venda]]</f>
        <v>0.16666666666666666</v>
      </c>
      <c r="L2712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2712"/>
    </row>
    <row r="2713" spans="1:13" x14ac:dyDescent="0.3">
      <c r="A2713" s="7">
        <v>400250</v>
      </c>
      <c r="B2713" t="str">
        <f>_xlfn.XLOOKUP(Vendas[[#This Row],[ID Vendedor]],Vendedores[ID],Vendedores[Nome])</f>
        <v>Larissa</v>
      </c>
      <c r="C2713" s="7" t="str">
        <f>_xlfn.XLOOKUP(Vendas[[#This Row],[ID Vendedor]],Vendedores[ID],Vendedores[Setor])</f>
        <v>AB</v>
      </c>
      <c r="D2713" s="7" t="s">
        <v>12</v>
      </c>
      <c r="E2713" t="str">
        <f>_xlfn.XLOOKUP(Vendas[[#This Row],[ID Item Vendido]],Agregado[ID],Agregado[Produto])</f>
        <v>Grânulo de plástico reciclado refinado</v>
      </c>
      <c r="F2713" s="39">
        <v>45151</v>
      </c>
      <c r="G2713" s="7">
        <v>117</v>
      </c>
      <c r="H2713" s="3">
        <f>_xlfn.XLOOKUP(Vendas[[#This Row],[ID Item Vendido]],Agregado[ID],Agregado[Revenda])</f>
        <v>4.7</v>
      </c>
      <c r="I2713" s="3">
        <f>Vendas[[#This Row],[Valor Unitário]]*Vendas[[#This Row],[Qnt Vendida]]</f>
        <v>549.9</v>
      </c>
      <c r="J2713" s="3">
        <f>Vendas[[#This Row],[Valor da Venda]]-(_xlfn.XLOOKUP(Vendas[[#This Row],[ID Item Vendido]],Agregado[ID],Agregado[Custo])*Vendas[[#This Row],[Qnt Vendida]])</f>
        <v>140.39999999999998</v>
      </c>
      <c r="K2713" s="70">
        <f>Vendas[[#This Row],[Lucro da Venda]]/Vendas[[#This Row],[Valor da Venda]]</f>
        <v>0.25531914893617019</v>
      </c>
      <c r="L2713" s="3">
        <f>_xlfn.IFS(Vendas[[#This Row],[Margem de Lucro (%)]]&lt;15%,Vendas[[#This Row],[Valor da Venda]]*3%,Vendas[[#This Row],[Margem de Lucro (%)]]&lt;=20%,Vendas[[#This Row],[Valor da Venda]]*4.5%,TRUE,Vendas[[#This Row],[Valor da Venda]]*6%)</f>
        <v>32.994</v>
      </c>
      <c r="M2713"/>
    </row>
    <row r="2714" spans="1:13" x14ac:dyDescent="0.3">
      <c r="A2714" s="7">
        <v>400249</v>
      </c>
      <c r="B2714" t="str">
        <f>_xlfn.XLOOKUP(Vendas[[#This Row],[ID Vendedor]],Vendedores[ID],Vendedores[Nome])</f>
        <v>Bruno</v>
      </c>
      <c r="C2714" s="7" t="str">
        <f>_xlfn.XLOOKUP(Vendas[[#This Row],[ID Vendedor]],Vendedores[ID],Vendedores[Setor])</f>
        <v>CM</v>
      </c>
      <c r="D2714" s="7" t="s">
        <v>45</v>
      </c>
      <c r="E2714" t="str">
        <f>_xlfn.XLOOKUP(Vendas[[#This Row],[ID Item Vendido]],Agregado[ID],Agregado[Produto])</f>
        <v>Viga de madeira tratada 4m</v>
      </c>
      <c r="F2714" s="39">
        <v>45151</v>
      </c>
      <c r="G2714" s="7">
        <v>8</v>
      </c>
      <c r="H2714" s="3">
        <f>_xlfn.XLOOKUP(Vendas[[#This Row],[ID Item Vendido]],Agregado[ID],Agregado[Revenda])</f>
        <v>66</v>
      </c>
      <c r="I2714" s="3">
        <f>Vendas[[#This Row],[Valor Unitário]]*Vendas[[#This Row],[Qnt Vendida]]</f>
        <v>528</v>
      </c>
      <c r="J2714" s="3">
        <f>Vendas[[#This Row],[Valor da Venda]]-(_xlfn.XLOOKUP(Vendas[[#This Row],[ID Item Vendido]],Agregado[ID],Agregado[Custo])*Vendas[[#This Row],[Qnt Vendida]])</f>
        <v>88</v>
      </c>
      <c r="K2714" s="70">
        <f>Vendas[[#This Row],[Lucro da Venda]]/Vendas[[#This Row],[Valor da Venda]]</f>
        <v>0.16666666666666666</v>
      </c>
      <c r="L2714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2714"/>
    </row>
    <row r="2715" spans="1:13" x14ac:dyDescent="0.3">
      <c r="A2715" s="7">
        <v>400244</v>
      </c>
      <c r="B2715" t="str">
        <f>_xlfn.XLOOKUP(Vendas[[#This Row],[ID Vendedor]],Vendedores[ID],Vendedores[Nome])</f>
        <v>Camila</v>
      </c>
      <c r="C2715" s="7" t="str">
        <f>_xlfn.XLOOKUP(Vendas[[#This Row],[ID Vendedor]],Vendedores[ID],Vendedores[Setor])</f>
        <v>AHD</v>
      </c>
      <c r="D2715" s="7" t="s">
        <v>9</v>
      </c>
      <c r="E2715" t="str">
        <f>_xlfn.XLOOKUP(Vendas[[#This Row],[ID Item Vendido]],Agregado[ID],Agregado[Produto])</f>
        <v>Barra de aço simples</v>
      </c>
      <c r="F2715" s="39">
        <v>45151</v>
      </c>
      <c r="G2715" s="7">
        <v>72</v>
      </c>
      <c r="H2715" s="3">
        <f>_xlfn.XLOOKUP(Vendas[[#This Row],[ID Item Vendido]],Agregado[ID],Agregado[Revenda])</f>
        <v>6.7</v>
      </c>
      <c r="I2715" s="3">
        <f>Vendas[[#This Row],[Valor Unitário]]*Vendas[[#This Row],[Qnt Vendida]]</f>
        <v>482.40000000000003</v>
      </c>
      <c r="J2715" s="3">
        <f>Vendas[[#This Row],[Valor da Venda]]-(_xlfn.XLOOKUP(Vendas[[#This Row],[ID Item Vendido]],Agregado[ID],Agregado[Custo])*Vendas[[#This Row],[Qnt Vendida]])</f>
        <v>64.800000000000068</v>
      </c>
      <c r="K2715" s="70">
        <f>Vendas[[#This Row],[Lucro da Venda]]/Vendas[[#This Row],[Valor da Venda]]</f>
        <v>0.13432835820895536</v>
      </c>
      <c r="L2715" s="3">
        <f>_xlfn.IFS(Vendas[[#This Row],[Margem de Lucro (%)]]&lt;15%,Vendas[[#This Row],[Valor da Venda]]*3%,Vendas[[#This Row],[Margem de Lucro (%)]]&lt;=20%,Vendas[[#This Row],[Valor da Venda]]*4.5%,TRUE,Vendas[[#This Row],[Valor da Venda]]*6%)</f>
        <v>14.472000000000001</v>
      </c>
      <c r="M2715"/>
    </row>
    <row r="2716" spans="1:13" x14ac:dyDescent="0.3">
      <c r="A2716" s="7">
        <v>400242</v>
      </c>
      <c r="B2716" t="str">
        <f>_xlfn.XLOOKUP(Vendas[[#This Row],[ID Vendedor]],Vendedores[ID],Vendedores[Nome])</f>
        <v>Fernanda</v>
      </c>
      <c r="C2716" s="7" t="str">
        <f>_xlfn.XLOOKUP(Vendas[[#This Row],[ID Vendedor]],Vendedores[ID],Vendedores[Setor])</f>
        <v>FM</v>
      </c>
      <c r="D2716" s="7" t="s">
        <v>27</v>
      </c>
      <c r="E2716" t="str">
        <f>_xlfn.XLOOKUP(Vendas[[#This Row],[ID Item Vendido]],Agregado[ID],Agregado[Produto])</f>
        <v>Chapa de metal lisa 1x2m</v>
      </c>
      <c r="F2716" s="39">
        <v>45152</v>
      </c>
      <c r="G2716" s="7">
        <v>25</v>
      </c>
      <c r="H2716" s="3">
        <f>_xlfn.XLOOKUP(Vendas[[#This Row],[ID Item Vendido]],Agregado[ID],Agregado[Revenda])</f>
        <v>52</v>
      </c>
      <c r="I2716" s="3">
        <f>Vendas[[#This Row],[Valor Unitário]]*Vendas[[#This Row],[Qnt Vendida]]</f>
        <v>1300</v>
      </c>
      <c r="J2716" s="3">
        <f>Vendas[[#This Row],[Valor da Venda]]-(_xlfn.XLOOKUP(Vendas[[#This Row],[ID Item Vendido]],Agregado[ID],Agregado[Custo])*Vendas[[#This Row],[Qnt Vendida]])</f>
        <v>175</v>
      </c>
      <c r="K2716" s="70">
        <f>Vendas[[#This Row],[Lucro da Venda]]/Vendas[[#This Row],[Valor da Venda]]</f>
        <v>0.13461538461538461</v>
      </c>
      <c r="L2716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2716"/>
    </row>
    <row r="2717" spans="1:13" x14ac:dyDescent="0.3">
      <c r="A2717" s="7">
        <v>400245</v>
      </c>
      <c r="B2717" t="str">
        <f>_xlfn.XLOOKUP(Vendas[[#This Row],[ID Vendedor]],Vendedores[ID],Vendedores[Nome])</f>
        <v>Thiago</v>
      </c>
      <c r="C2717" s="7" t="str">
        <f>_xlfn.XLOOKUP(Vendas[[#This Row],[ID Vendedor]],Vendedores[ID],Vendedores[Setor])</f>
        <v>AHD</v>
      </c>
      <c r="D2717" s="7" t="s">
        <v>28</v>
      </c>
      <c r="E2717" t="str">
        <f>_xlfn.XLOOKUP(Vendas[[#This Row],[ID Item Vendido]],Agregado[ID],Agregado[Produto])</f>
        <v>Peça usinada CNC</v>
      </c>
      <c r="F2717" s="39">
        <v>45152</v>
      </c>
      <c r="G2717" s="7">
        <v>6</v>
      </c>
      <c r="H2717" s="3">
        <f>_xlfn.XLOOKUP(Vendas[[#This Row],[ID Item Vendido]],Agregado[ID],Agregado[Revenda])</f>
        <v>192</v>
      </c>
      <c r="I2717" s="3">
        <f>Vendas[[#This Row],[Valor Unitário]]*Vendas[[#This Row],[Qnt Vendida]]</f>
        <v>1152</v>
      </c>
      <c r="J2717" s="3">
        <f>Vendas[[#This Row],[Valor da Venda]]-(_xlfn.XLOOKUP(Vendas[[#This Row],[ID Item Vendido]],Agregado[ID],Agregado[Custo])*Vendas[[#This Row],[Qnt Vendida]])</f>
        <v>252</v>
      </c>
      <c r="K2717" s="70">
        <f>Vendas[[#This Row],[Lucro da Venda]]/Vendas[[#This Row],[Valor da Venda]]</f>
        <v>0.21875</v>
      </c>
      <c r="L2717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2717"/>
    </row>
    <row r="2718" spans="1:13" x14ac:dyDescent="0.3">
      <c r="A2718" s="7">
        <v>400248</v>
      </c>
      <c r="B2718" t="str">
        <f>_xlfn.XLOOKUP(Vendas[[#This Row],[ID Vendedor]],Vendedores[ID],Vendedores[Nome])</f>
        <v>Patrícia</v>
      </c>
      <c r="C2718" s="7" t="str">
        <f>_xlfn.XLOOKUP(Vendas[[#This Row],[ID Vendedor]],Vendedores[ID],Vendedores[Setor])</f>
        <v>CM</v>
      </c>
      <c r="D2718" s="7" t="s">
        <v>32</v>
      </c>
      <c r="E2718" t="str">
        <f>_xlfn.XLOOKUP(Vendas[[#This Row],[ID Item Vendido]],Agregado[ID],Agregado[Produto])</f>
        <v>Tábua tratada e cortada 3m</v>
      </c>
      <c r="F2718" s="39">
        <v>45152</v>
      </c>
      <c r="G2718" s="7">
        <v>20</v>
      </c>
      <c r="H2718" s="3">
        <f>_xlfn.XLOOKUP(Vendas[[#This Row],[ID Item Vendido]],Agregado[ID],Agregado[Revenda])</f>
        <v>39</v>
      </c>
      <c r="I2718" s="3">
        <f>Vendas[[#This Row],[Valor Unitário]]*Vendas[[#This Row],[Qnt Vendida]]</f>
        <v>780</v>
      </c>
      <c r="J2718" s="3">
        <f>Vendas[[#This Row],[Valor da Venda]]-(_xlfn.XLOOKUP(Vendas[[#This Row],[ID Item Vendido]],Agregado[ID],Agregado[Custo])*Vendas[[#This Row],[Qnt Vendida]])</f>
        <v>140</v>
      </c>
      <c r="K2718" s="70">
        <f>Vendas[[#This Row],[Lucro da Venda]]/Vendas[[#This Row],[Valor da Venda]]</f>
        <v>0.17948717948717949</v>
      </c>
      <c r="L2718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2718"/>
    </row>
    <row r="2719" spans="1:13" x14ac:dyDescent="0.3">
      <c r="A2719" s="7">
        <v>400244</v>
      </c>
      <c r="B2719" t="str">
        <f>_xlfn.XLOOKUP(Vendas[[#This Row],[ID Vendedor]],Vendedores[ID],Vendedores[Nome])</f>
        <v>Camila</v>
      </c>
      <c r="C2719" s="7" t="str">
        <f>_xlfn.XLOOKUP(Vendas[[#This Row],[ID Vendedor]],Vendedores[ID],Vendedores[Setor])</f>
        <v>AHD</v>
      </c>
      <c r="D2719" s="7" t="s">
        <v>44</v>
      </c>
      <c r="E2719" t="str">
        <f>_xlfn.XLOOKUP(Vendas[[#This Row],[ID Item Vendido]],Agregado[ID],Agregado[Produto])</f>
        <v>Liga metálica especial</v>
      </c>
      <c r="F2719" s="39">
        <v>45152</v>
      </c>
      <c r="G2719" s="7">
        <v>21</v>
      </c>
      <c r="H2719" s="3">
        <f>_xlfn.XLOOKUP(Vendas[[#This Row],[ID Item Vendido]],Agregado[ID],Agregado[Revenda])</f>
        <v>32.5</v>
      </c>
      <c r="I2719" s="3">
        <f>Vendas[[#This Row],[Valor Unitário]]*Vendas[[#This Row],[Qnt Vendida]]</f>
        <v>682.5</v>
      </c>
      <c r="J2719" s="3">
        <f>Vendas[[#This Row],[Valor da Venda]]-(_xlfn.XLOOKUP(Vendas[[#This Row],[ID Item Vendido]],Agregado[ID],Agregado[Custo])*Vendas[[#This Row],[Qnt Vendida]])</f>
        <v>157.5</v>
      </c>
      <c r="K2719" s="70">
        <f>Vendas[[#This Row],[Lucro da Venda]]/Vendas[[#This Row],[Valor da Venda]]</f>
        <v>0.23076923076923078</v>
      </c>
      <c r="L2719" s="3">
        <f>_xlfn.IFS(Vendas[[#This Row],[Margem de Lucro (%)]]&lt;15%,Vendas[[#This Row],[Valor da Venda]]*3%,Vendas[[#This Row],[Margem de Lucro (%)]]&lt;=20%,Vendas[[#This Row],[Valor da Venda]]*4.5%,TRUE,Vendas[[#This Row],[Valor da Venda]]*6%)</f>
        <v>40.949999999999996</v>
      </c>
      <c r="M2719"/>
    </row>
    <row r="2720" spans="1:13" x14ac:dyDescent="0.3">
      <c r="A2720" s="7">
        <v>400250</v>
      </c>
      <c r="B2720" t="str">
        <f>_xlfn.XLOOKUP(Vendas[[#This Row],[ID Vendedor]],Vendedores[ID],Vendedores[Nome])</f>
        <v>Larissa</v>
      </c>
      <c r="C2720" s="7" t="str">
        <f>_xlfn.XLOOKUP(Vendas[[#This Row],[ID Vendedor]],Vendedores[ID],Vendedores[Setor])</f>
        <v>AB</v>
      </c>
      <c r="D2720" s="7" t="s">
        <v>36</v>
      </c>
      <c r="E2720" t="str">
        <f>_xlfn.XLOOKUP(Vendas[[#This Row],[ID Item Vendido]],Agregado[ID],Agregado[Produto])</f>
        <v>Borracha vulcanizada em manta</v>
      </c>
      <c r="F2720" s="39">
        <v>45152</v>
      </c>
      <c r="G2720" s="7">
        <v>83</v>
      </c>
      <c r="H2720" s="3">
        <f>_xlfn.XLOOKUP(Vendas[[#This Row],[ID Item Vendido]],Agregado[ID],Agregado[Revenda])</f>
        <v>7.8</v>
      </c>
      <c r="I2720" s="3">
        <f>Vendas[[#This Row],[Valor Unitário]]*Vendas[[#This Row],[Qnt Vendida]]</f>
        <v>647.4</v>
      </c>
      <c r="J2720" s="3">
        <f>Vendas[[#This Row],[Valor da Venda]]-(_xlfn.XLOOKUP(Vendas[[#This Row],[ID Item Vendido]],Agregado[ID],Agregado[Custo])*Vendas[[#This Row],[Qnt Vendida]])</f>
        <v>149.39999999999998</v>
      </c>
      <c r="K2720" s="70">
        <f>Vendas[[#This Row],[Lucro da Venda]]/Vendas[[#This Row],[Valor da Venda]]</f>
        <v>0.23076923076923075</v>
      </c>
      <c r="L2720" s="3">
        <f>_xlfn.IFS(Vendas[[#This Row],[Margem de Lucro (%)]]&lt;15%,Vendas[[#This Row],[Valor da Venda]]*3%,Vendas[[#This Row],[Margem de Lucro (%)]]&lt;=20%,Vendas[[#This Row],[Valor da Venda]]*4.5%,TRUE,Vendas[[#This Row],[Valor da Venda]]*6%)</f>
        <v>38.843999999999994</v>
      </c>
      <c r="M2720"/>
    </row>
    <row r="2721" spans="1:13" x14ac:dyDescent="0.3">
      <c r="A2721" s="7">
        <v>400255</v>
      </c>
      <c r="B2721" t="str">
        <f>_xlfn.XLOOKUP(Vendas[[#This Row],[ID Vendedor]],Vendedores[ID],Vendedores[Nome])</f>
        <v>Carlos</v>
      </c>
      <c r="C2721" s="7" t="str">
        <f>_xlfn.XLOOKUP(Vendas[[#This Row],[ID Vendedor]],Vendedores[ID],Vendedores[Setor])</f>
        <v>SC</v>
      </c>
      <c r="D2721" s="7" t="s">
        <v>48</v>
      </c>
      <c r="E2721" t="str">
        <f>_xlfn.XLOOKUP(Vendas[[#This Row],[ID Item Vendido]],Agregado[ID],Agregado[Produto])</f>
        <v>Tambor metálico 200L</v>
      </c>
      <c r="F2721" s="39">
        <v>45152</v>
      </c>
      <c r="G2721" s="7">
        <v>3</v>
      </c>
      <c r="H2721" s="3">
        <f>_xlfn.XLOOKUP(Vendas[[#This Row],[ID Item Vendido]],Agregado[ID],Agregado[Revenda])</f>
        <v>144</v>
      </c>
      <c r="I2721" s="3">
        <f>Vendas[[#This Row],[Valor Unitário]]*Vendas[[#This Row],[Qnt Vendida]]</f>
        <v>432</v>
      </c>
      <c r="J2721" s="3">
        <f>Vendas[[#This Row],[Valor da Venda]]-(_xlfn.XLOOKUP(Vendas[[#This Row],[ID Item Vendido]],Agregado[ID],Agregado[Custo])*Vendas[[#This Row],[Qnt Vendida]])</f>
        <v>72</v>
      </c>
      <c r="K2721" s="70">
        <f>Vendas[[#This Row],[Lucro da Venda]]/Vendas[[#This Row],[Valor da Venda]]</f>
        <v>0.16666666666666666</v>
      </c>
      <c r="L2721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2721"/>
    </row>
    <row r="2722" spans="1:13" x14ac:dyDescent="0.3">
      <c r="A2722" s="7">
        <v>400244</v>
      </c>
      <c r="B2722" t="str">
        <f>_xlfn.XLOOKUP(Vendas[[#This Row],[ID Vendedor]],Vendedores[ID],Vendedores[Nome])</f>
        <v>Camila</v>
      </c>
      <c r="C2722" s="7" t="str">
        <f>_xlfn.XLOOKUP(Vendas[[#This Row],[ID Vendedor]],Vendedores[ID],Vendedores[Setor])</f>
        <v>AHD</v>
      </c>
      <c r="D2722" s="7" t="s">
        <v>9</v>
      </c>
      <c r="E2722" t="str">
        <f>_xlfn.XLOOKUP(Vendas[[#This Row],[ID Item Vendido]],Agregado[ID],Agregado[Produto])</f>
        <v>Barra de aço simples</v>
      </c>
      <c r="F2722" s="39">
        <v>45152</v>
      </c>
      <c r="G2722" s="7">
        <v>56</v>
      </c>
      <c r="H2722" s="3">
        <f>_xlfn.XLOOKUP(Vendas[[#This Row],[ID Item Vendido]],Agregado[ID],Agregado[Revenda])</f>
        <v>6.7</v>
      </c>
      <c r="I2722" s="3">
        <f>Vendas[[#This Row],[Valor Unitário]]*Vendas[[#This Row],[Qnt Vendida]]</f>
        <v>375.2</v>
      </c>
      <c r="J2722" s="3">
        <f>Vendas[[#This Row],[Valor da Venda]]-(_xlfn.XLOOKUP(Vendas[[#This Row],[ID Item Vendido]],Agregado[ID],Agregado[Custo])*Vendas[[#This Row],[Qnt Vendida]])</f>
        <v>50.399999999999977</v>
      </c>
      <c r="K2722" s="70">
        <f>Vendas[[#This Row],[Lucro da Venda]]/Vendas[[#This Row],[Valor da Venda]]</f>
        <v>0.13432835820895517</v>
      </c>
      <c r="L2722" s="3">
        <f>_xlfn.IFS(Vendas[[#This Row],[Margem de Lucro (%)]]&lt;15%,Vendas[[#This Row],[Valor da Venda]]*3%,Vendas[[#This Row],[Margem de Lucro (%)]]&lt;=20%,Vendas[[#This Row],[Valor da Venda]]*4.5%,TRUE,Vendas[[#This Row],[Valor da Venda]]*6%)</f>
        <v>11.255999999999998</v>
      </c>
      <c r="M2722"/>
    </row>
    <row r="2723" spans="1:13" x14ac:dyDescent="0.3">
      <c r="A2723" s="7">
        <v>400251</v>
      </c>
      <c r="B2723" t="str">
        <f>_xlfn.XLOOKUP(Vendas[[#This Row],[ID Vendedor]],Vendedores[ID],Vendedores[Nome])</f>
        <v>Diego</v>
      </c>
      <c r="C2723" s="7" t="str">
        <f>_xlfn.XLOOKUP(Vendas[[#This Row],[ID Vendedor]],Vendedores[ID],Vendedores[Setor])</f>
        <v>AB</v>
      </c>
      <c r="D2723" s="7" t="s">
        <v>24</v>
      </c>
      <c r="E2723" t="str">
        <f>_xlfn.XLOOKUP(Vendas[[#This Row],[ID Item Vendido]],Agregado[ID],Agregado[Produto])</f>
        <v>Resina plástica PET purificada saco de 25kg</v>
      </c>
      <c r="F2723" s="39">
        <v>45153</v>
      </c>
      <c r="G2723" s="7">
        <v>19</v>
      </c>
      <c r="H2723" s="3">
        <f>_xlfn.XLOOKUP(Vendas[[#This Row],[ID Item Vendido]],Agregado[ID],Agregado[Revenda])</f>
        <v>119</v>
      </c>
      <c r="I2723" s="3">
        <f>Vendas[[#This Row],[Valor Unitário]]*Vendas[[#This Row],[Qnt Vendida]]</f>
        <v>2261</v>
      </c>
      <c r="J2723" s="3">
        <f>Vendas[[#This Row],[Valor da Venda]]-(_xlfn.XLOOKUP(Vendas[[#This Row],[ID Item Vendido]],Agregado[ID],Agregado[Custo])*Vendas[[#This Row],[Qnt Vendida]])</f>
        <v>646</v>
      </c>
      <c r="K2723" s="70">
        <f>Vendas[[#This Row],[Lucro da Venda]]/Vendas[[#This Row],[Valor da Venda]]</f>
        <v>0.2857142857142857</v>
      </c>
      <c r="L2723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723"/>
    </row>
    <row r="2724" spans="1:13" x14ac:dyDescent="0.3">
      <c r="A2724" s="7">
        <v>400244</v>
      </c>
      <c r="B2724" t="str">
        <f>_xlfn.XLOOKUP(Vendas[[#This Row],[ID Vendedor]],Vendedores[ID],Vendedores[Nome])</f>
        <v>Camila</v>
      </c>
      <c r="C2724" s="7" t="str">
        <f>_xlfn.XLOOKUP(Vendas[[#This Row],[ID Vendedor]],Vendedores[ID],Vendedores[Setor])</f>
        <v>AHD</v>
      </c>
      <c r="D2724" s="7" t="s">
        <v>44</v>
      </c>
      <c r="E2724" t="str">
        <f>_xlfn.XLOOKUP(Vendas[[#This Row],[ID Item Vendido]],Agregado[ID],Agregado[Produto])</f>
        <v>Liga metálica especial</v>
      </c>
      <c r="F2724" s="39">
        <v>45153</v>
      </c>
      <c r="G2724" s="7">
        <v>21</v>
      </c>
      <c r="H2724" s="3">
        <f>_xlfn.XLOOKUP(Vendas[[#This Row],[ID Item Vendido]],Agregado[ID],Agregado[Revenda])</f>
        <v>32.5</v>
      </c>
      <c r="I2724" s="3">
        <f>Vendas[[#This Row],[Valor Unitário]]*Vendas[[#This Row],[Qnt Vendida]]</f>
        <v>682.5</v>
      </c>
      <c r="J2724" s="3">
        <f>Vendas[[#This Row],[Valor da Venda]]-(_xlfn.XLOOKUP(Vendas[[#This Row],[ID Item Vendido]],Agregado[ID],Agregado[Custo])*Vendas[[#This Row],[Qnt Vendida]])</f>
        <v>157.5</v>
      </c>
      <c r="K2724" s="70">
        <f>Vendas[[#This Row],[Lucro da Venda]]/Vendas[[#This Row],[Valor da Venda]]</f>
        <v>0.23076923076923078</v>
      </c>
      <c r="L2724" s="3">
        <f>_xlfn.IFS(Vendas[[#This Row],[Margem de Lucro (%)]]&lt;15%,Vendas[[#This Row],[Valor da Venda]]*3%,Vendas[[#This Row],[Margem de Lucro (%)]]&lt;=20%,Vendas[[#This Row],[Valor da Venda]]*4.5%,TRUE,Vendas[[#This Row],[Valor da Venda]]*6%)</f>
        <v>40.949999999999996</v>
      </c>
      <c r="M2724"/>
    </row>
    <row r="2725" spans="1:13" x14ac:dyDescent="0.3">
      <c r="A2725" s="7">
        <v>400242</v>
      </c>
      <c r="B2725" t="str">
        <f>_xlfn.XLOOKUP(Vendas[[#This Row],[ID Vendedor]],Vendedores[ID],Vendedores[Nome])</f>
        <v>Fernanda</v>
      </c>
      <c r="C2725" s="7" t="str">
        <f>_xlfn.XLOOKUP(Vendas[[#This Row],[ID Vendedor]],Vendedores[ID],Vendedores[Setor])</f>
        <v>FM</v>
      </c>
      <c r="D2725" s="7" t="s">
        <v>47</v>
      </c>
      <c r="E2725" t="str">
        <f>_xlfn.XLOOKUP(Vendas[[#This Row],[ID Item Vendido]],Agregado[ID],Agregado[Produto])</f>
        <v>Fio de arame galvanizado rolo 50m</v>
      </c>
      <c r="F2725" s="39">
        <v>45153</v>
      </c>
      <c r="G2725" s="7">
        <v>27</v>
      </c>
      <c r="H2725" s="3">
        <f>_xlfn.XLOOKUP(Vendas[[#This Row],[ID Item Vendido]],Agregado[ID],Agregado[Revenda])</f>
        <v>21.2</v>
      </c>
      <c r="I2725" s="3">
        <f>Vendas[[#This Row],[Valor Unitário]]*Vendas[[#This Row],[Qnt Vendida]]</f>
        <v>572.4</v>
      </c>
      <c r="J2725" s="3">
        <f>Vendas[[#This Row],[Valor da Venda]]-(_xlfn.XLOOKUP(Vendas[[#This Row],[ID Item Vendido]],Agregado[ID],Agregado[Custo])*Vendas[[#This Row],[Qnt Vendida]])</f>
        <v>86.399999999999977</v>
      </c>
      <c r="K2725" s="70">
        <f>Vendas[[#This Row],[Lucro da Venda]]/Vendas[[#This Row],[Valor da Venda]]</f>
        <v>0.15094339622641506</v>
      </c>
      <c r="L2725" s="3">
        <f>_xlfn.IFS(Vendas[[#This Row],[Margem de Lucro (%)]]&lt;15%,Vendas[[#This Row],[Valor da Venda]]*3%,Vendas[[#This Row],[Margem de Lucro (%)]]&lt;=20%,Vendas[[#This Row],[Valor da Venda]]*4.5%,TRUE,Vendas[[#This Row],[Valor da Venda]]*6%)</f>
        <v>25.757999999999999</v>
      </c>
      <c r="M2725"/>
    </row>
    <row r="2726" spans="1:13" x14ac:dyDescent="0.3">
      <c r="A2726" s="7">
        <v>400244</v>
      </c>
      <c r="B2726" t="str">
        <f>_xlfn.XLOOKUP(Vendas[[#This Row],[ID Vendedor]],Vendedores[ID],Vendedores[Nome])</f>
        <v>Camila</v>
      </c>
      <c r="C2726" s="7" t="str">
        <f>_xlfn.XLOOKUP(Vendas[[#This Row],[ID Vendedor]],Vendedores[ID],Vendedores[Setor])</f>
        <v>AHD</v>
      </c>
      <c r="D2726" s="7" t="s">
        <v>30</v>
      </c>
      <c r="E2726" t="str">
        <f>_xlfn.XLOOKUP(Vendas[[#This Row],[ID Item Vendido]],Agregado[ID],Agregado[Produto])</f>
        <v>Estrutura metálica soldada</v>
      </c>
      <c r="F2726" s="39">
        <v>45153</v>
      </c>
      <c r="G2726" s="7">
        <v>1</v>
      </c>
      <c r="H2726" s="3">
        <f>_xlfn.XLOOKUP(Vendas[[#This Row],[ID Item Vendido]],Agregado[ID],Agregado[Revenda])</f>
        <v>400</v>
      </c>
      <c r="I2726" s="3">
        <f>Vendas[[#This Row],[Valor Unitário]]*Vendas[[#This Row],[Qnt Vendida]]</f>
        <v>400</v>
      </c>
      <c r="J2726" s="3">
        <f>Vendas[[#This Row],[Valor da Venda]]-(_xlfn.XLOOKUP(Vendas[[#This Row],[ID Item Vendido]],Agregado[ID],Agregado[Custo])*Vendas[[#This Row],[Qnt Vendida]])</f>
        <v>80</v>
      </c>
      <c r="K2726" s="70">
        <f>Vendas[[#This Row],[Lucro da Venda]]/Vendas[[#This Row],[Valor da Venda]]</f>
        <v>0.2</v>
      </c>
      <c r="L2726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726"/>
    </row>
    <row r="2727" spans="1:13" x14ac:dyDescent="0.3">
      <c r="A2727" s="7">
        <v>400249</v>
      </c>
      <c r="B2727" t="str">
        <f>_xlfn.XLOOKUP(Vendas[[#This Row],[ID Vendedor]],Vendedores[ID],Vendedores[Nome])</f>
        <v>Bruno</v>
      </c>
      <c r="C2727" s="7" t="str">
        <f>_xlfn.XLOOKUP(Vendas[[#This Row],[ID Vendedor]],Vendedores[ID],Vendedores[Setor])</f>
        <v>CM</v>
      </c>
      <c r="D2727" s="7" t="s">
        <v>22</v>
      </c>
      <c r="E2727" t="str">
        <f>_xlfn.XLOOKUP(Vendas[[#This Row],[ID Item Vendido]],Agregado[ID],Agregado[Produto])</f>
        <v>Painel MDP 2,75x1,83m</v>
      </c>
      <c r="F2727" s="39">
        <v>45154</v>
      </c>
      <c r="G2727" s="7">
        <v>11</v>
      </c>
      <c r="H2727" s="3">
        <f>_xlfn.XLOOKUP(Vendas[[#This Row],[ID Item Vendido]],Agregado[ID],Agregado[Revenda])</f>
        <v>119</v>
      </c>
      <c r="I2727" s="3">
        <f>Vendas[[#This Row],[Valor Unitário]]*Vendas[[#This Row],[Qnt Vendida]]</f>
        <v>1309</v>
      </c>
      <c r="J2727" s="3">
        <f>Vendas[[#This Row],[Valor da Venda]]-(_xlfn.XLOOKUP(Vendas[[#This Row],[ID Item Vendido]],Agregado[ID],Agregado[Custo])*Vendas[[#This Row],[Qnt Vendida]])</f>
        <v>264</v>
      </c>
      <c r="K2727" s="70">
        <f>Vendas[[#This Row],[Lucro da Venda]]/Vendas[[#This Row],[Valor da Venda]]</f>
        <v>0.20168067226890757</v>
      </c>
      <c r="L2727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2727"/>
    </row>
    <row r="2728" spans="1:13" x14ac:dyDescent="0.3">
      <c r="A2728" s="7">
        <v>400242</v>
      </c>
      <c r="B2728" t="str">
        <f>_xlfn.XLOOKUP(Vendas[[#This Row],[ID Vendedor]],Vendedores[ID],Vendedores[Nome])</f>
        <v>Fernanda</v>
      </c>
      <c r="C2728" s="7" t="str">
        <f>_xlfn.XLOOKUP(Vendas[[#This Row],[ID Vendedor]],Vendedores[ID],Vendedores[Setor])</f>
        <v>FM</v>
      </c>
      <c r="D2728" s="7" t="s">
        <v>6</v>
      </c>
      <c r="E2728" t="str">
        <f>_xlfn.XLOOKUP(Vendas[[#This Row],[ID Item Vendido]],Agregado[ID],Agregado[Produto])</f>
        <v>Parafuso comum 500un</v>
      </c>
      <c r="F2728" s="39">
        <v>45155</v>
      </c>
      <c r="G2728" s="7">
        <v>3</v>
      </c>
      <c r="H2728" s="3">
        <f>_xlfn.XLOOKUP(Vendas[[#This Row],[ID Item Vendido]],Agregado[ID],Agregado[Revenda])</f>
        <v>24.6</v>
      </c>
      <c r="I2728" s="3">
        <f>Vendas[[#This Row],[Valor Unitário]]*Vendas[[#This Row],[Qnt Vendida]]</f>
        <v>73.800000000000011</v>
      </c>
      <c r="J2728" s="3">
        <f>Vendas[[#This Row],[Valor da Venda]]-(_xlfn.XLOOKUP(Vendas[[#This Row],[ID Item Vendido]],Agregado[ID],Agregado[Custo])*Vendas[[#This Row],[Qnt Vendida]])</f>
        <v>7.8000000000000114</v>
      </c>
      <c r="K2728" s="70">
        <f>Vendas[[#This Row],[Lucro da Venda]]/Vendas[[#This Row],[Valor da Venda]]</f>
        <v>0.10569105691056924</v>
      </c>
      <c r="L2728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2728"/>
    </row>
    <row r="2729" spans="1:13" x14ac:dyDescent="0.3">
      <c r="A2729" s="7">
        <v>400254</v>
      </c>
      <c r="B2729" t="str">
        <f>_xlfn.XLOOKUP(Vendas[[#This Row],[ID Vendedor]],Vendedores[ID],Vendedores[Nome])</f>
        <v>Beatriz</v>
      </c>
      <c r="C2729" s="7" t="str">
        <f>_xlfn.XLOOKUP(Vendas[[#This Row],[ID Vendedor]],Vendedores[ID],Vendedores[Setor])</f>
        <v>SC</v>
      </c>
      <c r="D2729" s="7" t="s">
        <v>48</v>
      </c>
      <c r="E2729" t="str">
        <f>_xlfn.XLOOKUP(Vendas[[#This Row],[ID Item Vendido]],Agregado[ID],Agregado[Produto])</f>
        <v>Tambor metálico 200L</v>
      </c>
      <c r="F2729" s="39">
        <v>45156</v>
      </c>
      <c r="G2729" s="7">
        <v>18</v>
      </c>
      <c r="H2729" s="3">
        <f>_xlfn.XLOOKUP(Vendas[[#This Row],[ID Item Vendido]],Agregado[ID],Agregado[Revenda])</f>
        <v>144</v>
      </c>
      <c r="I2729" s="3">
        <f>Vendas[[#This Row],[Valor Unitário]]*Vendas[[#This Row],[Qnt Vendida]]</f>
        <v>2592</v>
      </c>
      <c r="J2729" s="3">
        <f>Vendas[[#This Row],[Valor da Venda]]-(_xlfn.XLOOKUP(Vendas[[#This Row],[ID Item Vendido]],Agregado[ID],Agregado[Custo])*Vendas[[#This Row],[Qnt Vendida]])</f>
        <v>432</v>
      </c>
      <c r="K2729" s="70">
        <f>Vendas[[#This Row],[Lucro da Venda]]/Vendas[[#This Row],[Valor da Venda]]</f>
        <v>0.16666666666666666</v>
      </c>
      <c r="L2729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2729"/>
    </row>
    <row r="2730" spans="1:13" x14ac:dyDescent="0.3">
      <c r="A2730" s="7">
        <v>400247</v>
      </c>
      <c r="B2730" t="str">
        <f>_xlfn.XLOOKUP(Vendas[[#This Row],[ID Vendedor]],Vendedores[ID],Vendedores[Nome])</f>
        <v>André</v>
      </c>
      <c r="C2730" s="7" t="str">
        <f>_xlfn.XLOOKUP(Vendas[[#This Row],[ID Vendedor]],Vendedores[ID],Vendedores[Setor])</f>
        <v>CM</v>
      </c>
      <c r="D2730" s="7" t="s">
        <v>43</v>
      </c>
      <c r="E2730" t="str">
        <f>_xlfn.XLOOKUP(Vendas[[#This Row],[ID Item Vendido]],Agregado[ID],Agregado[Produto])</f>
        <v>Madeira Bruta (Tora)</v>
      </c>
      <c r="F2730" s="39">
        <v>45156</v>
      </c>
      <c r="G2730" s="7">
        <v>11</v>
      </c>
      <c r="H2730" s="3">
        <f>_xlfn.XLOOKUP(Vendas[[#This Row],[ID Item Vendido]],Agregado[ID],Agregado[Revenda])</f>
        <v>212</v>
      </c>
      <c r="I2730" s="3">
        <f>Vendas[[#This Row],[Valor Unitário]]*Vendas[[#This Row],[Qnt Vendida]]</f>
        <v>2332</v>
      </c>
      <c r="J2730" s="3">
        <f>Vendas[[#This Row],[Valor da Venda]]-(_xlfn.XLOOKUP(Vendas[[#This Row],[ID Item Vendido]],Agregado[ID],Agregado[Custo])*Vendas[[#This Row],[Qnt Vendida]])</f>
        <v>352</v>
      </c>
      <c r="K2730" s="70">
        <f>Vendas[[#This Row],[Lucro da Venda]]/Vendas[[#This Row],[Valor da Venda]]</f>
        <v>0.15094339622641509</v>
      </c>
      <c r="L273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2730"/>
    </row>
    <row r="2731" spans="1:13" x14ac:dyDescent="0.3">
      <c r="A2731" s="7">
        <v>400248</v>
      </c>
      <c r="B2731" t="str">
        <f>_xlfn.XLOOKUP(Vendas[[#This Row],[ID Vendedor]],Vendedores[ID],Vendedores[Nome])</f>
        <v>Patrícia</v>
      </c>
      <c r="C2731" s="7" t="str">
        <f>_xlfn.XLOOKUP(Vendas[[#This Row],[ID Vendedor]],Vendedores[ID],Vendedores[Setor])</f>
        <v>CM</v>
      </c>
      <c r="D2731" s="7" t="s">
        <v>32</v>
      </c>
      <c r="E2731" t="str">
        <f>_xlfn.XLOOKUP(Vendas[[#This Row],[ID Item Vendido]],Agregado[ID],Agregado[Produto])</f>
        <v>Tábua tratada e cortada 3m</v>
      </c>
      <c r="F2731" s="39">
        <v>45156</v>
      </c>
      <c r="G2731" s="7">
        <v>42</v>
      </c>
      <c r="H2731" s="3">
        <f>_xlfn.XLOOKUP(Vendas[[#This Row],[ID Item Vendido]],Agregado[ID],Agregado[Revenda])</f>
        <v>39</v>
      </c>
      <c r="I2731" s="3">
        <f>Vendas[[#This Row],[Valor Unitário]]*Vendas[[#This Row],[Qnt Vendida]]</f>
        <v>1638</v>
      </c>
      <c r="J2731" s="3">
        <f>Vendas[[#This Row],[Valor da Venda]]-(_xlfn.XLOOKUP(Vendas[[#This Row],[ID Item Vendido]],Agregado[ID],Agregado[Custo])*Vendas[[#This Row],[Qnt Vendida]])</f>
        <v>294</v>
      </c>
      <c r="K2731" s="70">
        <f>Vendas[[#This Row],[Lucro da Venda]]/Vendas[[#This Row],[Valor da Venda]]</f>
        <v>0.17948717948717949</v>
      </c>
      <c r="L2731" s="3">
        <f>_xlfn.IFS(Vendas[[#This Row],[Margem de Lucro (%)]]&lt;15%,Vendas[[#This Row],[Valor da Venda]]*3%,Vendas[[#This Row],[Margem de Lucro (%)]]&lt;=20%,Vendas[[#This Row],[Valor da Venda]]*4.5%,TRUE,Vendas[[#This Row],[Valor da Venda]]*6%)</f>
        <v>73.709999999999994</v>
      </c>
      <c r="M2731"/>
    </row>
    <row r="2732" spans="1:13" x14ac:dyDescent="0.3">
      <c r="A2732" s="7">
        <v>400243</v>
      </c>
      <c r="B2732" t="str">
        <f>_xlfn.XLOOKUP(Vendas[[#This Row],[ID Vendedor]],Vendedores[ID],Vendedores[Nome])</f>
        <v>Marcelo</v>
      </c>
      <c r="C2732" s="7" t="str">
        <f>_xlfn.XLOOKUP(Vendas[[#This Row],[ID Vendedor]],Vendedores[ID],Vendedores[Setor])</f>
        <v>FM</v>
      </c>
      <c r="D2732" s="7" t="s">
        <v>27</v>
      </c>
      <c r="E2732" t="str">
        <f>_xlfn.XLOOKUP(Vendas[[#This Row],[ID Item Vendido]],Agregado[ID],Agregado[Produto])</f>
        <v>Chapa de metal lisa 1x2m</v>
      </c>
      <c r="F2732" s="39">
        <v>45156</v>
      </c>
      <c r="G2732" s="7">
        <v>28</v>
      </c>
      <c r="H2732" s="3">
        <f>_xlfn.XLOOKUP(Vendas[[#This Row],[ID Item Vendido]],Agregado[ID],Agregado[Revenda])</f>
        <v>52</v>
      </c>
      <c r="I2732" s="3">
        <f>Vendas[[#This Row],[Valor Unitário]]*Vendas[[#This Row],[Qnt Vendida]]</f>
        <v>1456</v>
      </c>
      <c r="J2732" s="3">
        <f>Vendas[[#This Row],[Valor da Venda]]-(_xlfn.XLOOKUP(Vendas[[#This Row],[ID Item Vendido]],Agregado[ID],Agregado[Custo])*Vendas[[#This Row],[Qnt Vendida]])</f>
        <v>196</v>
      </c>
      <c r="K2732" s="70">
        <f>Vendas[[#This Row],[Lucro da Venda]]/Vendas[[#This Row],[Valor da Venda]]</f>
        <v>0.13461538461538461</v>
      </c>
      <c r="L2732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2732"/>
    </row>
    <row r="2733" spans="1:13" x14ac:dyDescent="0.3">
      <c r="A2733" s="7">
        <v>400244</v>
      </c>
      <c r="B2733" t="str">
        <f>_xlfn.XLOOKUP(Vendas[[#This Row],[ID Vendedor]],Vendedores[ID],Vendedores[Nome])</f>
        <v>Camila</v>
      </c>
      <c r="C2733" s="7" t="str">
        <f>_xlfn.XLOOKUP(Vendas[[#This Row],[ID Vendedor]],Vendedores[ID],Vendedores[Setor])</f>
        <v>AHD</v>
      </c>
      <c r="D2733" s="7" t="s">
        <v>18</v>
      </c>
      <c r="E2733" t="str">
        <f>_xlfn.XLOOKUP(Vendas[[#This Row],[ID Item Vendido]],Agregado[ID],Agregado[Produto])</f>
        <v>Peça forjada sob encomenda</v>
      </c>
      <c r="F2733" s="39">
        <v>45156</v>
      </c>
      <c r="G2733" s="7">
        <v>1</v>
      </c>
      <c r="H2733" s="3">
        <f>_xlfn.XLOOKUP(Vendas[[#This Row],[ID Item Vendido]],Agregado[ID],Agregado[Revenda])</f>
        <v>264.60000000000002</v>
      </c>
      <c r="I2733" s="3">
        <f>Vendas[[#This Row],[Valor Unitário]]*Vendas[[#This Row],[Qnt Vendida]]</f>
        <v>264.60000000000002</v>
      </c>
      <c r="J2733" s="3">
        <f>Vendas[[#This Row],[Valor da Venda]]-(_xlfn.XLOOKUP(Vendas[[#This Row],[ID Item Vendido]],Agregado[ID],Agregado[Custo])*Vendas[[#This Row],[Qnt Vendida]])</f>
        <v>14.600000000000023</v>
      </c>
      <c r="K2733" s="70">
        <f>Vendas[[#This Row],[Lucro da Venda]]/Vendas[[#This Row],[Valor da Venda]]</f>
        <v>5.5177626606198113E-2</v>
      </c>
      <c r="L2733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2733"/>
    </row>
    <row r="2734" spans="1:13" x14ac:dyDescent="0.3">
      <c r="A2734" s="7">
        <v>400246</v>
      </c>
      <c r="B2734" t="str">
        <f>_xlfn.XLOOKUP(Vendas[[#This Row],[ID Vendedor]],Vendedores[ID],Vendedores[Nome])</f>
        <v>Juliana</v>
      </c>
      <c r="C2734" s="7" t="str">
        <f>_xlfn.XLOOKUP(Vendas[[#This Row],[ID Vendedor]],Vendedores[ID],Vendedores[Setor])</f>
        <v>AHD</v>
      </c>
      <c r="D2734" s="7" t="s">
        <v>30</v>
      </c>
      <c r="E2734" t="str">
        <f>_xlfn.XLOOKUP(Vendas[[#This Row],[ID Item Vendido]],Agregado[ID],Agregado[Produto])</f>
        <v>Estrutura metálica soldada</v>
      </c>
      <c r="F2734" s="39">
        <v>45157</v>
      </c>
      <c r="G2734" s="7">
        <v>8</v>
      </c>
      <c r="H2734" s="3">
        <f>_xlfn.XLOOKUP(Vendas[[#This Row],[ID Item Vendido]],Agregado[ID],Agregado[Revenda])</f>
        <v>400</v>
      </c>
      <c r="I2734" s="3">
        <f>Vendas[[#This Row],[Valor Unitário]]*Vendas[[#This Row],[Qnt Vendida]]</f>
        <v>3200</v>
      </c>
      <c r="J2734" s="3">
        <f>Vendas[[#This Row],[Valor da Venda]]-(_xlfn.XLOOKUP(Vendas[[#This Row],[ID Item Vendido]],Agregado[ID],Agregado[Custo])*Vendas[[#This Row],[Qnt Vendida]])</f>
        <v>640</v>
      </c>
      <c r="K2734" s="70">
        <f>Vendas[[#This Row],[Lucro da Venda]]/Vendas[[#This Row],[Valor da Venda]]</f>
        <v>0.2</v>
      </c>
      <c r="L2734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734"/>
    </row>
    <row r="2735" spans="1:13" x14ac:dyDescent="0.3">
      <c r="A2735" s="7">
        <v>400250</v>
      </c>
      <c r="B2735" t="str">
        <f>_xlfn.XLOOKUP(Vendas[[#This Row],[ID Vendedor]],Vendedores[ID],Vendedores[Nome])</f>
        <v>Larissa</v>
      </c>
      <c r="C2735" s="7" t="str">
        <f>_xlfn.XLOOKUP(Vendas[[#This Row],[ID Vendedor]],Vendedores[ID],Vendedores[Setor])</f>
        <v>AB</v>
      </c>
      <c r="D2735" s="7" t="s">
        <v>12</v>
      </c>
      <c r="E2735" t="str">
        <f>_xlfn.XLOOKUP(Vendas[[#This Row],[ID Item Vendido]],Agregado[ID],Agregado[Produto])</f>
        <v>Grânulo de plástico reciclado refinado</v>
      </c>
      <c r="F2735" s="39">
        <v>45157</v>
      </c>
      <c r="G2735" s="7">
        <v>78</v>
      </c>
      <c r="H2735" s="3">
        <f>_xlfn.XLOOKUP(Vendas[[#This Row],[ID Item Vendido]],Agregado[ID],Agregado[Revenda])</f>
        <v>4.7</v>
      </c>
      <c r="I2735" s="3">
        <f>Vendas[[#This Row],[Valor Unitário]]*Vendas[[#This Row],[Qnt Vendida]]</f>
        <v>366.6</v>
      </c>
      <c r="J2735" s="3">
        <f>Vendas[[#This Row],[Valor da Venda]]-(_xlfn.XLOOKUP(Vendas[[#This Row],[ID Item Vendido]],Agregado[ID],Agregado[Custo])*Vendas[[#This Row],[Qnt Vendida]])</f>
        <v>93.600000000000023</v>
      </c>
      <c r="K2735" s="70">
        <f>Vendas[[#This Row],[Lucro da Venda]]/Vendas[[#This Row],[Valor da Venda]]</f>
        <v>0.25531914893617025</v>
      </c>
      <c r="L2735" s="3">
        <f>_xlfn.IFS(Vendas[[#This Row],[Margem de Lucro (%)]]&lt;15%,Vendas[[#This Row],[Valor da Venda]]*3%,Vendas[[#This Row],[Margem de Lucro (%)]]&lt;=20%,Vendas[[#This Row],[Valor da Venda]]*4.5%,TRUE,Vendas[[#This Row],[Valor da Venda]]*6%)</f>
        <v>21.996000000000002</v>
      </c>
      <c r="M2735"/>
    </row>
    <row r="2736" spans="1:13" x14ac:dyDescent="0.3">
      <c r="A2736" s="7">
        <v>400242</v>
      </c>
      <c r="B2736" t="str">
        <f>_xlfn.XLOOKUP(Vendas[[#This Row],[ID Vendedor]],Vendedores[ID],Vendedores[Nome])</f>
        <v>Fernanda</v>
      </c>
      <c r="C2736" s="7" t="str">
        <f>_xlfn.XLOOKUP(Vendas[[#This Row],[ID Vendedor]],Vendedores[ID],Vendedores[Setor])</f>
        <v>FM</v>
      </c>
      <c r="D2736" s="7" t="s">
        <v>47</v>
      </c>
      <c r="E2736" t="str">
        <f>_xlfn.XLOOKUP(Vendas[[#This Row],[ID Item Vendido]],Agregado[ID],Agregado[Produto])</f>
        <v>Fio de arame galvanizado rolo 50m</v>
      </c>
      <c r="F2736" s="39">
        <v>45158</v>
      </c>
      <c r="G2736" s="7">
        <v>33</v>
      </c>
      <c r="H2736" s="3">
        <f>_xlfn.XLOOKUP(Vendas[[#This Row],[ID Item Vendido]],Agregado[ID],Agregado[Revenda])</f>
        <v>21.2</v>
      </c>
      <c r="I2736" s="3">
        <f>Vendas[[#This Row],[Valor Unitário]]*Vendas[[#This Row],[Qnt Vendida]]</f>
        <v>699.6</v>
      </c>
      <c r="J2736" s="3">
        <f>Vendas[[#This Row],[Valor da Venda]]-(_xlfn.XLOOKUP(Vendas[[#This Row],[ID Item Vendido]],Agregado[ID],Agregado[Custo])*Vendas[[#This Row],[Qnt Vendida]])</f>
        <v>105.60000000000002</v>
      </c>
      <c r="K2736" s="70">
        <f>Vendas[[#This Row],[Lucro da Venda]]/Vendas[[#This Row],[Valor da Venda]]</f>
        <v>0.15094339622641512</v>
      </c>
      <c r="L2736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2736"/>
    </row>
    <row r="2737" spans="1:13" x14ac:dyDescent="0.3">
      <c r="A2737" s="7">
        <v>400248</v>
      </c>
      <c r="B2737" t="str">
        <f>_xlfn.XLOOKUP(Vendas[[#This Row],[ID Vendedor]],Vendedores[ID],Vendedores[Nome])</f>
        <v>Patrícia</v>
      </c>
      <c r="C2737" s="7" t="str">
        <f>_xlfn.XLOOKUP(Vendas[[#This Row],[ID Vendedor]],Vendedores[ID],Vendedores[Setor])</f>
        <v>CM</v>
      </c>
      <c r="D2737" s="7" t="s">
        <v>22</v>
      </c>
      <c r="E2737" t="str">
        <f>_xlfn.XLOOKUP(Vendas[[#This Row],[ID Item Vendido]],Agregado[ID],Agregado[Produto])</f>
        <v>Painel MDP 2,75x1,83m</v>
      </c>
      <c r="F2737" s="39">
        <v>45159</v>
      </c>
      <c r="G2737" s="7">
        <v>19</v>
      </c>
      <c r="H2737" s="3">
        <f>_xlfn.XLOOKUP(Vendas[[#This Row],[ID Item Vendido]],Agregado[ID],Agregado[Revenda])</f>
        <v>119</v>
      </c>
      <c r="I2737" s="3">
        <f>Vendas[[#This Row],[Valor Unitário]]*Vendas[[#This Row],[Qnt Vendida]]</f>
        <v>2261</v>
      </c>
      <c r="J2737" s="3">
        <f>Vendas[[#This Row],[Valor da Venda]]-(_xlfn.XLOOKUP(Vendas[[#This Row],[ID Item Vendido]],Agregado[ID],Agregado[Custo])*Vendas[[#This Row],[Qnt Vendida]])</f>
        <v>456</v>
      </c>
      <c r="K2737" s="70">
        <f>Vendas[[#This Row],[Lucro da Venda]]/Vendas[[#This Row],[Valor da Venda]]</f>
        <v>0.20168067226890757</v>
      </c>
      <c r="L2737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737"/>
    </row>
    <row r="2738" spans="1:13" x14ac:dyDescent="0.3">
      <c r="A2738" s="7">
        <v>400243</v>
      </c>
      <c r="B2738" t="str">
        <f>_xlfn.XLOOKUP(Vendas[[#This Row],[ID Vendedor]],Vendedores[ID],Vendedores[Nome])</f>
        <v>Marcelo</v>
      </c>
      <c r="C2738" s="7" t="str">
        <f>_xlfn.XLOOKUP(Vendas[[#This Row],[ID Vendedor]],Vendedores[ID],Vendedores[Setor])</f>
        <v>FM</v>
      </c>
      <c r="D2738" s="7" t="s">
        <v>27</v>
      </c>
      <c r="E2738" t="str">
        <f>_xlfn.XLOOKUP(Vendas[[#This Row],[ID Item Vendido]],Agregado[ID],Agregado[Produto])</f>
        <v>Chapa de metal lisa 1x2m</v>
      </c>
      <c r="F2738" s="39">
        <v>45159</v>
      </c>
      <c r="G2738" s="7">
        <v>5</v>
      </c>
      <c r="H2738" s="3">
        <f>_xlfn.XLOOKUP(Vendas[[#This Row],[ID Item Vendido]],Agregado[ID],Agregado[Revenda])</f>
        <v>52</v>
      </c>
      <c r="I2738" s="3">
        <f>Vendas[[#This Row],[Valor Unitário]]*Vendas[[#This Row],[Qnt Vendida]]</f>
        <v>260</v>
      </c>
      <c r="J2738" s="3">
        <f>Vendas[[#This Row],[Valor da Venda]]-(_xlfn.XLOOKUP(Vendas[[#This Row],[ID Item Vendido]],Agregado[ID],Agregado[Custo])*Vendas[[#This Row],[Qnt Vendida]])</f>
        <v>35</v>
      </c>
      <c r="K2738" s="70">
        <f>Vendas[[#This Row],[Lucro da Venda]]/Vendas[[#This Row],[Valor da Venda]]</f>
        <v>0.13461538461538461</v>
      </c>
      <c r="L2738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2738"/>
    </row>
    <row r="2739" spans="1:13" x14ac:dyDescent="0.3">
      <c r="A2739" s="7">
        <v>400241</v>
      </c>
      <c r="B2739" t="str">
        <f>_xlfn.XLOOKUP(Vendas[[#This Row],[ID Vendedor]],Vendedores[ID],Vendedores[Nome])</f>
        <v>Rodrigo</v>
      </c>
      <c r="C2739" s="7" t="str">
        <f>_xlfn.XLOOKUP(Vendas[[#This Row],[ID Vendedor]],Vendedores[ID],Vendedores[Setor])</f>
        <v>FM</v>
      </c>
      <c r="D2739" s="7" t="s">
        <v>6</v>
      </c>
      <c r="E2739" t="str">
        <f>_xlfn.XLOOKUP(Vendas[[#This Row],[ID Item Vendido]],Agregado[ID],Agregado[Produto])</f>
        <v>Parafuso comum 500un</v>
      </c>
      <c r="F2739" s="39">
        <v>45159</v>
      </c>
      <c r="G2739" s="7">
        <v>8</v>
      </c>
      <c r="H2739" s="3">
        <f>_xlfn.XLOOKUP(Vendas[[#This Row],[ID Item Vendido]],Agregado[ID],Agregado[Revenda])</f>
        <v>24.6</v>
      </c>
      <c r="I2739" s="3">
        <f>Vendas[[#This Row],[Valor Unitário]]*Vendas[[#This Row],[Qnt Vendida]]</f>
        <v>196.8</v>
      </c>
      <c r="J2739" s="3">
        <f>Vendas[[#This Row],[Valor da Venda]]-(_xlfn.XLOOKUP(Vendas[[#This Row],[ID Item Vendido]],Agregado[ID],Agregado[Custo])*Vendas[[#This Row],[Qnt Vendida]])</f>
        <v>20.800000000000011</v>
      </c>
      <c r="K2739" s="70">
        <f>Vendas[[#This Row],[Lucro da Venda]]/Vendas[[#This Row],[Valor da Venda]]</f>
        <v>0.10569105691056915</v>
      </c>
      <c r="L2739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739"/>
    </row>
    <row r="2740" spans="1:13" x14ac:dyDescent="0.3">
      <c r="A2740" s="7">
        <v>400241</v>
      </c>
      <c r="B2740" t="str">
        <f>_xlfn.XLOOKUP(Vendas[[#This Row],[ID Vendedor]],Vendedores[ID],Vendedores[Nome])</f>
        <v>Rodrigo</v>
      </c>
      <c r="C2740" s="7" t="str">
        <f>_xlfn.XLOOKUP(Vendas[[#This Row],[ID Vendedor]],Vendedores[ID],Vendedores[Setor])</f>
        <v>FM</v>
      </c>
      <c r="D2740" s="7" t="s">
        <v>47</v>
      </c>
      <c r="E2740" t="str">
        <f>_xlfn.XLOOKUP(Vendas[[#This Row],[ID Item Vendido]],Agregado[ID],Agregado[Produto])</f>
        <v>Fio de arame galvanizado rolo 50m</v>
      </c>
      <c r="F2740" s="39">
        <v>45159</v>
      </c>
      <c r="G2740" s="7">
        <v>7</v>
      </c>
      <c r="H2740" s="3">
        <f>_xlfn.XLOOKUP(Vendas[[#This Row],[ID Item Vendido]],Agregado[ID],Agregado[Revenda])</f>
        <v>21.2</v>
      </c>
      <c r="I2740" s="3">
        <f>Vendas[[#This Row],[Valor Unitário]]*Vendas[[#This Row],[Qnt Vendida]]</f>
        <v>148.4</v>
      </c>
      <c r="J2740" s="3">
        <f>Vendas[[#This Row],[Valor da Venda]]-(_xlfn.XLOOKUP(Vendas[[#This Row],[ID Item Vendido]],Agregado[ID],Agregado[Custo])*Vendas[[#This Row],[Qnt Vendida]])</f>
        <v>22.400000000000006</v>
      </c>
      <c r="K2740" s="70">
        <f>Vendas[[#This Row],[Lucro da Venda]]/Vendas[[#This Row],[Valor da Venda]]</f>
        <v>0.15094339622641512</v>
      </c>
      <c r="L2740" s="3">
        <f>_xlfn.IFS(Vendas[[#This Row],[Margem de Lucro (%)]]&lt;15%,Vendas[[#This Row],[Valor da Venda]]*3%,Vendas[[#This Row],[Margem de Lucro (%)]]&lt;=20%,Vendas[[#This Row],[Valor da Venda]]*4.5%,TRUE,Vendas[[#This Row],[Valor da Venda]]*6%)</f>
        <v>6.6779999999999999</v>
      </c>
      <c r="M2740"/>
    </row>
    <row r="2741" spans="1:13" x14ac:dyDescent="0.3">
      <c r="A2741" s="7">
        <v>400254</v>
      </c>
      <c r="B2741" t="str">
        <f>_xlfn.XLOOKUP(Vendas[[#This Row],[ID Vendedor]],Vendedores[ID],Vendedores[Nome])</f>
        <v>Beatriz</v>
      </c>
      <c r="C2741" s="7" t="str">
        <f>_xlfn.XLOOKUP(Vendas[[#This Row],[ID Vendedor]],Vendedores[ID],Vendedores[Setor])</f>
        <v>SC</v>
      </c>
      <c r="D2741" s="7" t="s">
        <v>42</v>
      </c>
      <c r="E2741" t="str">
        <f>_xlfn.XLOOKUP(Vendas[[#This Row],[ID Item Vendido]],Agregado[ID],Agregado[Produto])</f>
        <v>Container de ferro industrial</v>
      </c>
      <c r="F2741" s="39">
        <v>45161</v>
      </c>
      <c r="G2741" s="7">
        <v>6</v>
      </c>
      <c r="H2741" s="3">
        <f>_xlfn.XLOOKUP(Vendas[[#This Row],[ID Item Vendido]],Agregado[ID],Agregado[Revenda])</f>
        <v>830</v>
      </c>
      <c r="I2741" s="3">
        <f>Vendas[[#This Row],[Valor Unitário]]*Vendas[[#This Row],[Qnt Vendida]]</f>
        <v>4980</v>
      </c>
      <c r="J2741" s="3">
        <f>Vendas[[#This Row],[Valor da Venda]]-(_xlfn.XLOOKUP(Vendas[[#This Row],[ID Item Vendido]],Agregado[ID],Agregado[Custo])*Vendas[[#This Row],[Qnt Vendida]])</f>
        <v>900</v>
      </c>
      <c r="K2741" s="70">
        <f>Vendas[[#This Row],[Lucro da Venda]]/Vendas[[#This Row],[Valor da Venda]]</f>
        <v>0.18072289156626506</v>
      </c>
      <c r="L274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741"/>
    </row>
    <row r="2742" spans="1:13" x14ac:dyDescent="0.3">
      <c r="A2742" s="7">
        <v>400245</v>
      </c>
      <c r="B2742" t="str">
        <f>_xlfn.XLOOKUP(Vendas[[#This Row],[ID Vendedor]],Vendedores[ID],Vendedores[Nome])</f>
        <v>Thiago</v>
      </c>
      <c r="C2742" s="7" t="str">
        <f>_xlfn.XLOOKUP(Vendas[[#This Row],[ID Vendedor]],Vendedores[ID],Vendedores[Setor])</f>
        <v>AHD</v>
      </c>
      <c r="D2742" s="7" t="s">
        <v>30</v>
      </c>
      <c r="E2742" t="str">
        <f>_xlfn.XLOOKUP(Vendas[[#This Row],[ID Item Vendido]],Agregado[ID],Agregado[Produto])</f>
        <v>Estrutura metálica soldada</v>
      </c>
      <c r="F2742" s="39">
        <v>45161</v>
      </c>
      <c r="G2742" s="7">
        <v>2</v>
      </c>
      <c r="H2742" s="3">
        <f>_xlfn.XLOOKUP(Vendas[[#This Row],[ID Item Vendido]],Agregado[ID],Agregado[Revenda])</f>
        <v>400</v>
      </c>
      <c r="I2742" s="3">
        <f>Vendas[[#This Row],[Valor Unitário]]*Vendas[[#This Row],[Qnt Vendida]]</f>
        <v>800</v>
      </c>
      <c r="J2742" s="3">
        <f>Vendas[[#This Row],[Valor da Venda]]-(_xlfn.XLOOKUP(Vendas[[#This Row],[ID Item Vendido]],Agregado[ID],Agregado[Custo])*Vendas[[#This Row],[Qnt Vendida]])</f>
        <v>160</v>
      </c>
      <c r="K2742" s="70">
        <f>Vendas[[#This Row],[Lucro da Venda]]/Vendas[[#This Row],[Valor da Venda]]</f>
        <v>0.2</v>
      </c>
      <c r="L2742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2742"/>
    </row>
    <row r="2743" spans="1:13" x14ac:dyDescent="0.3">
      <c r="A2743" s="7">
        <v>400248</v>
      </c>
      <c r="B2743" t="str">
        <f>_xlfn.XLOOKUP(Vendas[[#This Row],[ID Vendedor]],Vendedores[ID],Vendedores[Nome])</f>
        <v>Patrícia</v>
      </c>
      <c r="C2743" s="7" t="str">
        <f>_xlfn.XLOOKUP(Vendas[[#This Row],[ID Vendedor]],Vendedores[ID],Vendedores[Setor])</f>
        <v>CM</v>
      </c>
      <c r="D2743" s="7" t="s">
        <v>32</v>
      </c>
      <c r="E2743" t="str">
        <f>_xlfn.XLOOKUP(Vendas[[#This Row],[ID Item Vendido]],Agregado[ID],Agregado[Produto])</f>
        <v>Tábua tratada e cortada 3m</v>
      </c>
      <c r="F2743" s="39">
        <v>45161</v>
      </c>
      <c r="G2743" s="7">
        <v>19</v>
      </c>
      <c r="H2743" s="3">
        <f>_xlfn.XLOOKUP(Vendas[[#This Row],[ID Item Vendido]],Agregado[ID],Agregado[Revenda])</f>
        <v>39</v>
      </c>
      <c r="I2743" s="3">
        <f>Vendas[[#This Row],[Valor Unitário]]*Vendas[[#This Row],[Qnt Vendida]]</f>
        <v>741</v>
      </c>
      <c r="J2743" s="3">
        <f>Vendas[[#This Row],[Valor da Venda]]-(_xlfn.XLOOKUP(Vendas[[#This Row],[ID Item Vendido]],Agregado[ID],Agregado[Custo])*Vendas[[#This Row],[Qnt Vendida]])</f>
        <v>133</v>
      </c>
      <c r="K2743" s="70">
        <f>Vendas[[#This Row],[Lucro da Venda]]/Vendas[[#This Row],[Valor da Venda]]</f>
        <v>0.17948717948717949</v>
      </c>
      <c r="L2743" s="3">
        <f>_xlfn.IFS(Vendas[[#This Row],[Margem de Lucro (%)]]&lt;15%,Vendas[[#This Row],[Valor da Venda]]*3%,Vendas[[#This Row],[Margem de Lucro (%)]]&lt;=20%,Vendas[[#This Row],[Valor da Venda]]*4.5%,TRUE,Vendas[[#This Row],[Valor da Venda]]*6%)</f>
        <v>33.344999999999999</v>
      </c>
      <c r="M2743"/>
    </row>
    <row r="2744" spans="1:13" x14ac:dyDescent="0.3">
      <c r="A2744" s="7">
        <v>400246</v>
      </c>
      <c r="B2744" t="str">
        <f>_xlfn.XLOOKUP(Vendas[[#This Row],[ID Vendedor]],Vendedores[ID],Vendedores[Nome])</f>
        <v>Juliana</v>
      </c>
      <c r="C2744" s="7" t="str">
        <f>_xlfn.XLOOKUP(Vendas[[#This Row],[ID Vendedor]],Vendedores[ID],Vendedores[Setor])</f>
        <v>AHD</v>
      </c>
      <c r="D2744" s="7" t="s">
        <v>44</v>
      </c>
      <c r="E2744" t="str">
        <f>_xlfn.XLOOKUP(Vendas[[#This Row],[ID Item Vendido]],Agregado[ID],Agregado[Produto])</f>
        <v>Liga metálica especial</v>
      </c>
      <c r="F2744" s="39">
        <v>45161</v>
      </c>
      <c r="G2744" s="7">
        <v>22</v>
      </c>
      <c r="H2744" s="3">
        <f>_xlfn.XLOOKUP(Vendas[[#This Row],[ID Item Vendido]],Agregado[ID],Agregado[Revenda])</f>
        <v>32.5</v>
      </c>
      <c r="I2744" s="3">
        <f>Vendas[[#This Row],[Valor Unitário]]*Vendas[[#This Row],[Qnt Vendida]]</f>
        <v>715</v>
      </c>
      <c r="J2744" s="3">
        <f>Vendas[[#This Row],[Valor da Venda]]-(_xlfn.XLOOKUP(Vendas[[#This Row],[ID Item Vendido]],Agregado[ID],Agregado[Custo])*Vendas[[#This Row],[Qnt Vendida]])</f>
        <v>165</v>
      </c>
      <c r="K2744" s="70">
        <f>Vendas[[#This Row],[Lucro da Venda]]/Vendas[[#This Row],[Valor da Venda]]</f>
        <v>0.23076923076923078</v>
      </c>
      <c r="L2744" s="3">
        <f>_xlfn.IFS(Vendas[[#This Row],[Margem de Lucro (%)]]&lt;15%,Vendas[[#This Row],[Valor da Venda]]*3%,Vendas[[#This Row],[Margem de Lucro (%)]]&lt;=20%,Vendas[[#This Row],[Valor da Venda]]*4.5%,TRUE,Vendas[[#This Row],[Valor da Venda]]*6%)</f>
        <v>42.9</v>
      </c>
      <c r="M2744"/>
    </row>
    <row r="2745" spans="1:13" x14ac:dyDescent="0.3">
      <c r="A2745" s="7">
        <v>400250</v>
      </c>
      <c r="B2745" t="str">
        <f>_xlfn.XLOOKUP(Vendas[[#This Row],[ID Vendedor]],Vendedores[ID],Vendedores[Nome])</f>
        <v>Larissa</v>
      </c>
      <c r="C2745" s="7" t="str">
        <f>_xlfn.XLOOKUP(Vendas[[#This Row],[ID Vendedor]],Vendedores[ID],Vendedores[Setor])</f>
        <v>AB</v>
      </c>
      <c r="D2745" s="7" t="s">
        <v>36</v>
      </c>
      <c r="E2745" t="str">
        <f>_xlfn.XLOOKUP(Vendas[[#This Row],[ID Item Vendido]],Agregado[ID],Agregado[Produto])</f>
        <v>Borracha vulcanizada em manta</v>
      </c>
      <c r="F2745" s="39">
        <v>45161</v>
      </c>
      <c r="G2745" s="7">
        <v>53</v>
      </c>
      <c r="H2745" s="3">
        <f>_xlfn.XLOOKUP(Vendas[[#This Row],[ID Item Vendido]],Agregado[ID],Agregado[Revenda])</f>
        <v>7.8</v>
      </c>
      <c r="I2745" s="3">
        <f>Vendas[[#This Row],[Valor Unitário]]*Vendas[[#This Row],[Qnt Vendida]]</f>
        <v>413.4</v>
      </c>
      <c r="J2745" s="3">
        <f>Vendas[[#This Row],[Valor da Venda]]-(_xlfn.XLOOKUP(Vendas[[#This Row],[ID Item Vendido]],Agregado[ID],Agregado[Custo])*Vendas[[#This Row],[Qnt Vendida]])</f>
        <v>95.399999999999977</v>
      </c>
      <c r="K2745" s="70">
        <f>Vendas[[#This Row],[Lucro da Venda]]/Vendas[[#This Row],[Valor da Venda]]</f>
        <v>0.23076923076923073</v>
      </c>
      <c r="L2745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24.803999999999998</v>
      </c>
      <c r="M2745"/>
    </row>
    <row r="2746" spans="1:13" x14ac:dyDescent="0.3">
      <c r="A2746" s="7">
        <v>400241</v>
      </c>
      <c r="B2746" t="str">
        <f>_xlfn.XLOOKUP(Vendas[[#This Row],[ID Vendedor]],Vendedores[ID],Vendedores[Nome])</f>
        <v>Rodrigo</v>
      </c>
      <c r="C2746" s="7" t="str">
        <f>_xlfn.XLOOKUP(Vendas[[#This Row],[ID Vendedor]],Vendedores[ID],Vendedores[Setor])</f>
        <v>FM</v>
      </c>
      <c r="D2746" s="7" t="s">
        <v>6</v>
      </c>
      <c r="E2746" t="str">
        <f>_xlfn.XLOOKUP(Vendas[[#This Row],[ID Item Vendido]],Agregado[ID],Agregado[Produto])</f>
        <v>Parafuso comum 500un</v>
      </c>
      <c r="F2746" s="39">
        <v>45161</v>
      </c>
      <c r="G2746" s="7">
        <v>8</v>
      </c>
      <c r="H2746" s="3">
        <f>_xlfn.XLOOKUP(Vendas[[#This Row],[ID Item Vendido]],Agregado[ID],Agregado[Revenda])</f>
        <v>24.6</v>
      </c>
      <c r="I2746" s="3">
        <f>Vendas[[#This Row],[Valor Unitário]]*Vendas[[#This Row],[Qnt Vendida]]</f>
        <v>196.8</v>
      </c>
      <c r="J2746" s="3">
        <f>Vendas[[#This Row],[Valor da Venda]]-(_xlfn.XLOOKUP(Vendas[[#This Row],[ID Item Vendido]],Agregado[ID],Agregado[Custo])*Vendas[[#This Row],[Qnt Vendida]])</f>
        <v>20.800000000000011</v>
      </c>
      <c r="K2746" s="70">
        <f>Vendas[[#This Row],[Lucro da Venda]]/Vendas[[#This Row],[Valor da Venda]]</f>
        <v>0.10569105691056915</v>
      </c>
      <c r="L2746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746"/>
    </row>
    <row r="2747" spans="1:13" x14ac:dyDescent="0.3">
      <c r="A2747" s="7">
        <v>400246</v>
      </c>
      <c r="B2747" t="str">
        <f>_xlfn.XLOOKUP(Vendas[[#This Row],[ID Vendedor]],Vendedores[ID],Vendedores[Nome])</f>
        <v>Juliana</v>
      </c>
      <c r="C2747" s="7" t="str">
        <f>_xlfn.XLOOKUP(Vendas[[#This Row],[ID Vendedor]],Vendedores[ID],Vendedores[Setor])</f>
        <v>AHD</v>
      </c>
      <c r="D2747" s="7" t="s">
        <v>28</v>
      </c>
      <c r="E2747" t="str">
        <f>_xlfn.XLOOKUP(Vendas[[#This Row],[ID Item Vendido]],Agregado[ID],Agregado[Produto])</f>
        <v>Peça usinada CNC</v>
      </c>
      <c r="F2747" s="39">
        <v>45162</v>
      </c>
      <c r="G2747" s="7">
        <v>9</v>
      </c>
      <c r="H2747" s="3">
        <f>_xlfn.XLOOKUP(Vendas[[#This Row],[ID Item Vendido]],Agregado[ID],Agregado[Revenda])</f>
        <v>192</v>
      </c>
      <c r="I2747" s="3">
        <f>Vendas[[#This Row],[Valor Unitário]]*Vendas[[#This Row],[Qnt Vendida]]</f>
        <v>1728</v>
      </c>
      <c r="J2747" s="3">
        <f>Vendas[[#This Row],[Valor da Venda]]-(_xlfn.XLOOKUP(Vendas[[#This Row],[ID Item Vendido]],Agregado[ID],Agregado[Custo])*Vendas[[#This Row],[Qnt Vendida]])</f>
        <v>378</v>
      </c>
      <c r="K2747" s="70">
        <f>Vendas[[#This Row],[Lucro da Venda]]/Vendas[[#This Row],[Valor da Venda]]</f>
        <v>0.21875</v>
      </c>
      <c r="L2747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2747"/>
    </row>
    <row r="2748" spans="1:13" x14ac:dyDescent="0.3">
      <c r="A2748" s="7">
        <v>400255</v>
      </c>
      <c r="B2748" t="str">
        <f>_xlfn.XLOOKUP(Vendas[[#This Row],[ID Vendedor]],Vendedores[ID],Vendedores[Nome])</f>
        <v>Carlos</v>
      </c>
      <c r="C2748" s="7" t="str">
        <f>_xlfn.XLOOKUP(Vendas[[#This Row],[ID Vendedor]],Vendedores[ID],Vendedores[Setor])</f>
        <v>SC</v>
      </c>
      <c r="D2748" s="7" t="s">
        <v>42</v>
      </c>
      <c r="E2748" t="str">
        <f>_xlfn.XLOOKUP(Vendas[[#This Row],[ID Item Vendido]],Agregado[ID],Agregado[Produto])</f>
        <v>Container de ferro industrial</v>
      </c>
      <c r="F2748" s="39">
        <v>45162</v>
      </c>
      <c r="G2748" s="7">
        <v>1</v>
      </c>
      <c r="H2748" s="3">
        <f>_xlfn.XLOOKUP(Vendas[[#This Row],[ID Item Vendido]],Agregado[ID],Agregado[Revenda])</f>
        <v>830</v>
      </c>
      <c r="I2748" s="3">
        <f>Vendas[[#This Row],[Valor Unitário]]*Vendas[[#This Row],[Qnt Vendida]]</f>
        <v>830</v>
      </c>
      <c r="J2748" s="3">
        <f>Vendas[[#This Row],[Valor da Venda]]-(_xlfn.XLOOKUP(Vendas[[#This Row],[ID Item Vendido]],Agregado[ID],Agregado[Custo])*Vendas[[#This Row],[Qnt Vendida]])</f>
        <v>150</v>
      </c>
      <c r="K2748" s="70">
        <f>Vendas[[#This Row],[Lucro da Venda]]/Vendas[[#This Row],[Valor da Venda]]</f>
        <v>0.18072289156626506</v>
      </c>
      <c r="L274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748"/>
    </row>
    <row r="2749" spans="1:13" x14ac:dyDescent="0.3">
      <c r="A2749" s="7">
        <v>400242</v>
      </c>
      <c r="B2749" t="str">
        <f>_xlfn.XLOOKUP(Vendas[[#This Row],[ID Vendedor]],Vendedores[ID],Vendedores[Nome])</f>
        <v>Fernanda</v>
      </c>
      <c r="C2749" s="7" t="str">
        <f>_xlfn.XLOOKUP(Vendas[[#This Row],[ID Vendedor]],Vendedores[ID],Vendedores[Setor])</f>
        <v>FM</v>
      </c>
      <c r="D2749" s="7" t="s">
        <v>27</v>
      </c>
      <c r="E2749" t="str">
        <f>_xlfn.XLOOKUP(Vendas[[#This Row],[ID Item Vendido]],Agregado[ID],Agregado[Produto])</f>
        <v>Chapa de metal lisa 1x2m</v>
      </c>
      <c r="F2749" s="39">
        <v>45162</v>
      </c>
      <c r="G2749" s="7">
        <v>5</v>
      </c>
      <c r="H2749" s="3">
        <f>_xlfn.XLOOKUP(Vendas[[#This Row],[ID Item Vendido]],Agregado[ID],Agregado[Revenda])</f>
        <v>52</v>
      </c>
      <c r="I2749" s="3">
        <f>Vendas[[#This Row],[Valor Unitário]]*Vendas[[#This Row],[Qnt Vendida]]</f>
        <v>260</v>
      </c>
      <c r="J2749" s="3">
        <f>Vendas[[#This Row],[Valor da Venda]]-(_xlfn.XLOOKUP(Vendas[[#This Row],[ID Item Vendido]],Agregado[ID],Agregado[Custo])*Vendas[[#This Row],[Qnt Vendida]])</f>
        <v>35</v>
      </c>
      <c r="K2749" s="70">
        <f>Vendas[[#This Row],[Lucro da Venda]]/Vendas[[#This Row],[Valor da Venda]]</f>
        <v>0.13461538461538461</v>
      </c>
      <c r="L2749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2749"/>
    </row>
    <row r="2750" spans="1:13" x14ac:dyDescent="0.3">
      <c r="A2750" s="7">
        <v>400253</v>
      </c>
      <c r="B2750" t="str">
        <f>_xlfn.XLOOKUP(Vendas[[#This Row],[ID Vendedor]],Vendedores[ID],Vendedores[Nome])</f>
        <v>Gustavo</v>
      </c>
      <c r="C2750" s="7" t="str">
        <f>_xlfn.XLOOKUP(Vendas[[#This Row],[ID Vendedor]],Vendedores[ID],Vendedores[Setor])</f>
        <v>SC</v>
      </c>
      <c r="D2750" s="7" t="s">
        <v>42</v>
      </c>
      <c r="E2750" t="str">
        <f>_xlfn.XLOOKUP(Vendas[[#This Row],[ID Item Vendido]],Agregado[ID],Agregado[Produto])</f>
        <v>Container de ferro industrial</v>
      </c>
      <c r="F2750" s="39">
        <v>45163</v>
      </c>
      <c r="G2750" s="7">
        <v>4</v>
      </c>
      <c r="H2750" s="3">
        <f>_xlfn.XLOOKUP(Vendas[[#This Row],[ID Item Vendido]],Agregado[ID],Agregado[Revenda])</f>
        <v>830</v>
      </c>
      <c r="I2750" s="3">
        <f>Vendas[[#This Row],[Valor Unitário]]*Vendas[[#This Row],[Qnt Vendida]]</f>
        <v>3320</v>
      </c>
      <c r="J2750" s="3">
        <f>Vendas[[#This Row],[Valor da Venda]]-(_xlfn.XLOOKUP(Vendas[[#This Row],[ID Item Vendido]],Agregado[ID],Agregado[Custo])*Vendas[[#This Row],[Qnt Vendida]])</f>
        <v>600</v>
      </c>
      <c r="K2750" s="70">
        <f>Vendas[[#This Row],[Lucro da Venda]]/Vendas[[#This Row],[Valor da Venda]]</f>
        <v>0.18072289156626506</v>
      </c>
      <c r="L2750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750"/>
    </row>
    <row r="2751" spans="1:13" x14ac:dyDescent="0.3">
      <c r="A2751" s="7">
        <v>400255</v>
      </c>
      <c r="B2751" t="str">
        <f>_xlfn.XLOOKUP(Vendas[[#This Row],[ID Vendedor]],Vendedores[ID],Vendedores[Nome])</f>
        <v>Carlos</v>
      </c>
      <c r="C2751" s="7" t="str">
        <f>_xlfn.XLOOKUP(Vendas[[#This Row],[ID Vendedor]],Vendedores[ID],Vendedores[Setor])</f>
        <v>SC</v>
      </c>
      <c r="D2751" s="7" t="s">
        <v>14</v>
      </c>
      <c r="E2751" t="str">
        <f>_xlfn.XLOOKUP(Vendas[[#This Row],[ID Item Vendido]],Agregado[ID],Agregado[Produto])</f>
        <v>Barril de plástico 200L</v>
      </c>
      <c r="F2751" s="39">
        <v>45163</v>
      </c>
      <c r="G2751" s="7">
        <v>25</v>
      </c>
      <c r="H2751" s="3">
        <f>_xlfn.XLOOKUP(Vendas[[#This Row],[ID Item Vendido]],Agregado[ID],Agregado[Revenda])</f>
        <v>114</v>
      </c>
      <c r="I2751" s="3">
        <f>Vendas[[#This Row],[Valor Unitário]]*Vendas[[#This Row],[Qnt Vendida]]</f>
        <v>2850</v>
      </c>
      <c r="J2751" s="3">
        <f>Vendas[[#This Row],[Valor da Venda]]-(_xlfn.XLOOKUP(Vendas[[#This Row],[ID Item Vendido]],Agregado[ID],Agregado[Custo])*Vendas[[#This Row],[Qnt Vendida]])</f>
        <v>475</v>
      </c>
      <c r="K2751" s="70">
        <f>Vendas[[#This Row],[Lucro da Venda]]/Vendas[[#This Row],[Valor da Venda]]</f>
        <v>0.16666666666666666</v>
      </c>
      <c r="L2751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2751"/>
    </row>
    <row r="2752" spans="1:13" x14ac:dyDescent="0.3">
      <c r="A2752" s="7">
        <v>400246</v>
      </c>
      <c r="B2752" t="str">
        <f>_xlfn.XLOOKUP(Vendas[[#This Row],[ID Vendedor]],Vendedores[ID],Vendedores[Nome])</f>
        <v>Juliana</v>
      </c>
      <c r="C2752" s="7" t="str">
        <f>_xlfn.XLOOKUP(Vendas[[#This Row],[ID Vendedor]],Vendedores[ID],Vendedores[Setor])</f>
        <v>AHD</v>
      </c>
      <c r="D2752" s="7" t="s">
        <v>18</v>
      </c>
      <c r="E2752" t="str">
        <f>_xlfn.XLOOKUP(Vendas[[#This Row],[ID Item Vendido]],Agregado[ID],Agregado[Produto])</f>
        <v>Peça forjada sob encomenda</v>
      </c>
      <c r="F2752" s="39">
        <v>45163</v>
      </c>
      <c r="G2752" s="7">
        <v>6</v>
      </c>
      <c r="H2752" s="3">
        <f>_xlfn.XLOOKUP(Vendas[[#This Row],[ID Item Vendido]],Agregado[ID],Agregado[Revenda])</f>
        <v>264.60000000000002</v>
      </c>
      <c r="I2752" s="3">
        <f>Vendas[[#This Row],[Valor Unitário]]*Vendas[[#This Row],[Qnt Vendida]]</f>
        <v>1587.6000000000001</v>
      </c>
      <c r="J2752" s="3">
        <f>Vendas[[#This Row],[Valor da Venda]]-(_xlfn.XLOOKUP(Vendas[[#This Row],[ID Item Vendido]],Agregado[ID],Agregado[Custo])*Vendas[[#This Row],[Qnt Vendida]])</f>
        <v>87.600000000000136</v>
      </c>
      <c r="K2752" s="70">
        <f>Vendas[[#This Row],[Lucro da Venda]]/Vendas[[#This Row],[Valor da Venda]]</f>
        <v>5.5177626606198113E-2</v>
      </c>
      <c r="L275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752"/>
    </row>
    <row r="2753" spans="1:13" x14ac:dyDescent="0.3">
      <c r="A2753" s="7">
        <v>400248</v>
      </c>
      <c r="B2753" t="str">
        <f>_xlfn.XLOOKUP(Vendas[[#This Row],[ID Vendedor]],Vendedores[ID],Vendedores[Nome])</f>
        <v>Patrícia</v>
      </c>
      <c r="C2753" s="7" t="str">
        <f>_xlfn.XLOOKUP(Vendas[[#This Row],[ID Vendedor]],Vendedores[ID],Vendedores[Setor])</f>
        <v>CM</v>
      </c>
      <c r="D2753" s="7" t="s">
        <v>45</v>
      </c>
      <c r="E2753" t="str">
        <f>_xlfn.XLOOKUP(Vendas[[#This Row],[ID Item Vendido]],Agregado[ID],Agregado[Produto])</f>
        <v>Viga de madeira tratada 4m</v>
      </c>
      <c r="F2753" s="39">
        <v>45163</v>
      </c>
      <c r="G2753" s="7">
        <v>18</v>
      </c>
      <c r="H2753" s="3">
        <f>_xlfn.XLOOKUP(Vendas[[#This Row],[ID Item Vendido]],Agregado[ID],Agregado[Revenda])</f>
        <v>66</v>
      </c>
      <c r="I2753" s="3">
        <f>Vendas[[#This Row],[Valor Unitário]]*Vendas[[#This Row],[Qnt Vendida]]</f>
        <v>1188</v>
      </c>
      <c r="J2753" s="3">
        <f>Vendas[[#This Row],[Valor da Venda]]-(_xlfn.XLOOKUP(Vendas[[#This Row],[ID Item Vendido]],Agregado[ID],Agregado[Custo])*Vendas[[#This Row],[Qnt Vendida]])</f>
        <v>198</v>
      </c>
      <c r="K2753" s="70">
        <f>Vendas[[#This Row],[Lucro da Venda]]/Vendas[[#This Row],[Valor da Venda]]</f>
        <v>0.16666666666666666</v>
      </c>
      <c r="L2753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2753"/>
    </row>
    <row r="2754" spans="1:13" x14ac:dyDescent="0.3">
      <c r="A2754" s="7">
        <v>400251</v>
      </c>
      <c r="B2754" t="str">
        <f>_xlfn.XLOOKUP(Vendas[[#This Row],[ID Vendedor]],Vendedores[ID],Vendedores[Nome])</f>
        <v>Diego</v>
      </c>
      <c r="C2754" s="7" t="str">
        <f>_xlfn.XLOOKUP(Vendas[[#This Row],[ID Vendedor]],Vendedores[ID],Vendedores[Setor])</f>
        <v>AB</v>
      </c>
      <c r="D2754" s="7" t="s">
        <v>37</v>
      </c>
      <c r="E2754" t="str">
        <f>_xlfn.XLOOKUP(Vendas[[#This Row],[ID Item Vendido]],Agregado[ID],Agregado[Produto])</f>
        <v>Composto de borracha para vedação rolo 10m</v>
      </c>
      <c r="F2754" s="39">
        <v>45163</v>
      </c>
      <c r="G2754" s="7">
        <v>21</v>
      </c>
      <c r="H2754" s="3">
        <f>_xlfn.XLOOKUP(Vendas[[#This Row],[ID Item Vendido]],Agregado[ID],Agregado[Revenda])</f>
        <v>51.2</v>
      </c>
      <c r="I2754" s="3">
        <f>Vendas[[#This Row],[Valor Unitário]]*Vendas[[#This Row],[Qnt Vendida]]</f>
        <v>1075.2</v>
      </c>
      <c r="J2754" s="3">
        <f>Vendas[[#This Row],[Valor da Venda]]-(_xlfn.XLOOKUP(Vendas[[#This Row],[ID Item Vendido]],Agregado[ID],Agregado[Custo])*Vendas[[#This Row],[Qnt Vendida]])</f>
        <v>235.20000000000005</v>
      </c>
      <c r="K2754" s="70">
        <f>Vendas[[#This Row],[Lucro da Venda]]/Vendas[[#This Row],[Valor da Venda]]</f>
        <v>0.21875000000000003</v>
      </c>
      <c r="L2754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2754"/>
    </row>
    <row r="2755" spans="1:13" x14ac:dyDescent="0.3">
      <c r="A2755" s="7">
        <v>400243</v>
      </c>
      <c r="B2755" t="str">
        <f>_xlfn.XLOOKUP(Vendas[[#This Row],[ID Vendedor]],Vendedores[ID],Vendedores[Nome])</f>
        <v>Marcelo</v>
      </c>
      <c r="C2755" s="7" t="str">
        <f>_xlfn.XLOOKUP(Vendas[[#This Row],[ID Vendedor]],Vendedores[ID],Vendedores[Setor])</f>
        <v>FM</v>
      </c>
      <c r="D2755" s="7" t="s">
        <v>31</v>
      </c>
      <c r="E2755" t="str">
        <f>_xlfn.XLOOKUP(Vendas[[#This Row],[ID Item Vendido]],Agregado[ID],Agregado[Produto])</f>
        <v>Tela de metal soldada rolo 2x25m</v>
      </c>
      <c r="F2755" s="39">
        <v>45163</v>
      </c>
      <c r="G2755" s="7">
        <v>13</v>
      </c>
      <c r="H2755" s="3">
        <f>_xlfn.XLOOKUP(Vendas[[#This Row],[ID Item Vendido]],Agregado[ID],Agregado[Revenda])</f>
        <v>43.7</v>
      </c>
      <c r="I2755" s="3">
        <f>Vendas[[#This Row],[Valor Unitário]]*Vendas[[#This Row],[Qnt Vendida]]</f>
        <v>568.1</v>
      </c>
      <c r="J2755" s="3">
        <f>Vendas[[#This Row],[Valor da Venda]]-(_xlfn.XLOOKUP(Vendas[[#This Row],[ID Item Vendido]],Agregado[ID],Agregado[Custo])*Vendas[[#This Row],[Qnt Vendida]])</f>
        <v>74.100000000000023</v>
      </c>
      <c r="K2755" s="70">
        <f>Vendas[[#This Row],[Lucro da Venda]]/Vendas[[#This Row],[Valor da Venda]]</f>
        <v>0.13043478260869568</v>
      </c>
      <c r="L2755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2755"/>
    </row>
    <row r="2756" spans="1:13" x14ac:dyDescent="0.3">
      <c r="A2756" s="7">
        <v>400246</v>
      </c>
      <c r="B2756" t="str">
        <f>_xlfn.XLOOKUP(Vendas[[#This Row],[ID Vendedor]],Vendedores[ID],Vendedores[Nome])</f>
        <v>Juliana</v>
      </c>
      <c r="C2756" s="7" t="str">
        <f>_xlfn.XLOOKUP(Vendas[[#This Row],[ID Vendedor]],Vendedores[ID],Vendedores[Setor])</f>
        <v>AHD</v>
      </c>
      <c r="D2756" s="7" t="s">
        <v>44</v>
      </c>
      <c r="E2756" t="str">
        <f>_xlfn.XLOOKUP(Vendas[[#This Row],[ID Item Vendido]],Agregado[ID],Agregado[Produto])</f>
        <v>Liga metálica especial</v>
      </c>
      <c r="F2756" s="39">
        <v>45165</v>
      </c>
      <c r="G2756" s="7">
        <v>15</v>
      </c>
      <c r="H2756" s="3">
        <f>_xlfn.XLOOKUP(Vendas[[#This Row],[ID Item Vendido]],Agregado[ID],Agregado[Revenda])</f>
        <v>32.5</v>
      </c>
      <c r="I2756" s="3">
        <f>Vendas[[#This Row],[Valor Unitário]]*Vendas[[#This Row],[Qnt Vendida]]</f>
        <v>487.5</v>
      </c>
      <c r="J2756" s="3">
        <f>Vendas[[#This Row],[Valor da Venda]]-(_xlfn.XLOOKUP(Vendas[[#This Row],[ID Item Vendido]],Agregado[ID],Agregado[Custo])*Vendas[[#This Row],[Qnt Vendida]])</f>
        <v>112.5</v>
      </c>
      <c r="K2756" s="70">
        <f>Vendas[[#This Row],[Lucro da Venda]]/Vendas[[#This Row],[Valor da Venda]]</f>
        <v>0.23076923076923078</v>
      </c>
      <c r="L2756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2756"/>
    </row>
    <row r="2757" spans="1:13" x14ac:dyDescent="0.3">
      <c r="A2757" s="7">
        <v>400241</v>
      </c>
      <c r="B2757" t="str">
        <f>_xlfn.XLOOKUP(Vendas[[#This Row],[ID Vendedor]],Vendedores[ID],Vendedores[Nome])</f>
        <v>Rodrigo</v>
      </c>
      <c r="C2757" s="7" t="str">
        <f>_xlfn.XLOOKUP(Vendas[[#This Row],[ID Vendedor]],Vendedores[ID],Vendedores[Setor])</f>
        <v>FM</v>
      </c>
      <c r="D2757" s="7" t="s">
        <v>20</v>
      </c>
      <c r="E2757" t="str">
        <f>_xlfn.XLOOKUP(Vendas[[#This Row],[ID Item Vendido]],Agregado[ID],Agregado[Produto])</f>
        <v>Barra de aço simples</v>
      </c>
      <c r="F2757" s="39">
        <v>45165</v>
      </c>
      <c r="G2757" s="7">
        <v>38</v>
      </c>
      <c r="H2757" s="3">
        <f>_xlfn.XLOOKUP(Vendas[[#This Row],[ID Item Vendido]],Agregado[ID],Agregado[Revenda])</f>
        <v>4.8</v>
      </c>
      <c r="I2757" s="3">
        <f>Vendas[[#This Row],[Valor Unitário]]*Vendas[[#This Row],[Qnt Vendida]]</f>
        <v>182.4</v>
      </c>
      <c r="J2757" s="3">
        <f>Vendas[[#This Row],[Valor da Venda]]-(_xlfn.XLOOKUP(Vendas[[#This Row],[ID Item Vendido]],Agregado[ID],Agregado[Custo])*Vendas[[#This Row],[Qnt Vendida]])</f>
        <v>22.800000000000011</v>
      </c>
      <c r="K2757" s="70">
        <f>Vendas[[#This Row],[Lucro da Venda]]/Vendas[[#This Row],[Valor da Venda]]</f>
        <v>0.12500000000000006</v>
      </c>
      <c r="L2757" s="3">
        <f>_xlfn.IFS(Vendas[[#This Row],[Margem de Lucro (%)]]&lt;15%,Vendas[[#This Row],[Valor da Venda]]*3%,Vendas[[#This Row],[Margem de Lucro (%)]]&lt;=20%,Vendas[[#This Row],[Valor da Venda]]*4.5%,TRUE,Vendas[[#This Row],[Valor da Venda]]*6%)</f>
        <v>5.4719999999999995</v>
      </c>
      <c r="M2757"/>
    </row>
    <row r="2758" spans="1:13" x14ac:dyDescent="0.3">
      <c r="A2758" s="7">
        <v>400243</v>
      </c>
      <c r="B2758" t="str">
        <f>_xlfn.XLOOKUP(Vendas[[#This Row],[ID Vendedor]],Vendedores[ID],Vendedores[Nome])</f>
        <v>Marcelo</v>
      </c>
      <c r="C2758" s="7" t="str">
        <f>_xlfn.XLOOKUP(Vendas[[#This Row],[ID Vendedor]],Vendedores[ID],Vendedores[Setor])</f>
        <v>FM</v>
      </c>
      <c r="D2758" s="7" t="s">
        <v>31</v>
      </c>
      <c r="E2758" t="str">
        <f>_xlfn.XLOOKUP(Vendas[[#This Row],[ID Item Vendido]],Agregado[ID],Agregado[Produto])</f>
        <v>Tela de metal soldada rolo 2x25m</v>
      </c>
      <c r="F2758" s="39">
        <v>45165</v>
      </c>
      <c r="G2758" s="7">
        <v>3</v>
      </c>
      <c r="H2758" s="3">
        <f>_xlfn.XLOOKUP(Vendas[[#This Row],[ID Item Vendido]],Agregado[ID],Agregado[Revenda])</f>
        <v>43.7</v>
      </c>
      <c r="I2758" s="3">
        <f>Vendas[[#This Row],[Valor Unitário]]*Vendas[[#This Row],[Qnt Vendida]]</f>
        <v>131.10000000000002</v>
      </c>
      <c r="J2758" s="3">
        <f>Vendas[[#This Row],[Valor da Venda]]-(_xlfn.XLOOKUP(Vendas[[#This Row],[ID Item Vendido]],Agregado[ID],Agregado[Custo])*Vendas[[#This Row],[Qnt Vendida]])</f>
        <v>17.100000000000023</v>
      </c>
      <c r="K2758" s="70">
        <f>Vendas[[#This Row],[Lucro da Venda]]/Vendas[[#This Row],[Valor da Venda]]</f>
        <v>0.13043478260869582</v>
      </c>
      <c r="L2758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2758"/>
    </row>
    <row r="2759" spans="1:13" x14ac:dyDescent="0.3">
      <c r="A2759" s="7">
        <v>400255</v>
      </c>
      <c r="B2759" t="str">
        <f>_xlfn.XLOOKUP(Vendas[[#This Row],[ID Vendedor]],Vendedores[ID],Vendedores[Nome])</f>
        <v>Carlos</v>
      </c>
      <c r="C2759" s="7" t="str">
        <f>_xlfn.XLOOKUP(Vendas[[#This Row],[ID Vendedor]],Vendedores[ID],Vendedores[Setor])</f>
        <v>SC</v>
      </c>
      <c r="D2759" s="7" t="s">
        <v>42</v>
      </c>
      <c r="E2759" t="str">
        <f>_xlfn.XLOOKUP(Vendas[[#This Row],[ID Item Vendido]],Agregado[ID],Agregado[Produto])</f>
        <v>Container de ferro industrial</v>
      </c>
      <c r="F2759" s="39">
        <v>45166</v>
      </c>
      <c r="G2759" s="7">
        <v>5</v>
      </c>
      <c r="H2759" s="3">
        <f>_xlfn.XLOOKUP(Vendas[[#This Row],[ID Item Vendido]],Agregado[ID],Agregado[Revenda])</f>
        <v>830</v>
      </c>
      <c r="I2759" s="3">
        <f>Vendas[[#This Row],[Valor Unitário]]*Vendas[[#This Row],[Qnt Vendida]]</f>
        <v>4150</v>
      </c>
      <c r="J2759" s="3">
        <f>Vendas[[#This Row],[Valor da Venda]]-(_xlfn.XLOOKUP(Vendas[[#This Row],[ID Item Vendido]],Agregado[ID],Agregado[Custo])*Vendas[[#This Row],[Qnt Vendida]])</f>
        <v>750</v>
      </c>
      <c r="K2759" s="70">
        <f>Vendas[[#This Row],[Lucro da Venda]]/Vendas[[#This Row],[Valor da Venda]]</f>
        <v>0.18072289156626506</v>
      </c>
      <c r="L2759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759"/>
    </row>
    <row r="2760" spans="1:13" x14ac:dyDescent="0.3">
      <c r="A2760" s="7">
        <v>400243</v>
      </c>
      <c r="B2760" t="str">
        <f>_xlfn.XLOOKUP(Vendas[[#This Row],[ID Vendedor]],Vendedores[ID],Vendedores[Nome])</f>
        <v>Marcelo</v>
      </c>
      <c r="C2760" s="7" t="str">
        <f>_xlfn.XLOOKUP(Vendas[[#This Row],[ID Vendedor]],Vendedores[ID],Vendedores[Setor])</f>
        <v>FM</v>
      </c>
      <c r="D2760" s="7" t="s">
        <v>31</v>
      </c>
      <c r="E2760" t="str">
        <f>_xlfn.XLOOKUP(Vendas[[#This Row],[ID Item Vendido]],Agregado[ID],Agregado[Produto])</f>
        <v>Tela de metal soldada rolo 2x25m</v>
      </c>
      <c r="F2760" s="39">
        <v>45166</v>
      </c>
      <c r="G2760" s="7">
        <v>20</v>
      </c>
      <c r="H2760" s="3">
        <f>_xlfn.XLOOKUP(Vendas[[#This Row],[ID Item Vendido]],Agregado[ID],Agregado[Revenda])</f>
        <v>43.7</v>
      </c>
      <c r="I2760" s="3">
        <f>Vendas[[#This Row],[Valor Unitário]]*Vendas[[#This Row],[Qnt Vendida]]</f>
        <v>874</v>
      </c>
      <c r="J2760" s="3">
        <f>Vendas[[#This Row],[Valor da Venda]]-(_xlfn.XLOOKUP(Vendas[[#This Row],[ID Item Vendido]],Agregado[ID],Agregado[Custo])*Vendas[[#This Row],[Qnt Vendida]])</f>
        <v>114</v>
      </c>
      <c r="K2760" s="70">
        <f>Vendas[[#This Row],[Lucro da Venda]]/Vendas[[#This Row],[Valor da Venda]]</f>
        <v>0.13043478260869565</v>
      </c>
      <c r="L2760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2760"/>
    </row>
    <row r="2761" spans="1:13" x14ac:dyDescent="0.3">
      <c r="A2761" s="7">
        <v>400250</v>
      </c>
      <c r="B2761" t="str">
        <f>_xlfn.XLOOKUP(Vendas[[#This Row],[ID Vendedor]],Vendedores[ID],Vendedores[Nome])</f>
        <v>Larissa</v>
      </c>
      <c r="C2761" s="7" t="str">
        <f>_xlfn.XLOOKUP(Vendas[[#This Row],[ID Vendedor]],Vendedores[ID],Vendedores[Setor])</f>
        <v>AB</v>
      </c>
      <c r="D2761" s="7" t="s">
        <v>24</v>
      </c>
      <c r="E2761" t="str">
        <f>_xlfn.XLOOKUP(Vendas[[#This Row],[ID Item Vendido]],Agregado[ID],Agregado[Produto])</f>
        <v>Resina plástica PET purificada saco de 25kg</v>
      </c>
      <c r="F2761" s="39">
        <v>45167</v>
      </c>
      <c r="G2761" s="7">
        <v>25</v>
      </c>
      <c r="H2761" s="3">
        <f>_xlfn.XLOOKUP(Vendas[[#This Row],[ID Item Vendido]],Agregado[ID],Agregado[Revenda])</f>
        <v>119</v>
      </c>
      <c r="I2761" s="3">
        <f>Vendas[[#This Row],[Valor Unitário]]*Vendas[[#This Row],[Qnt Vendida]]</f>
        <v>2975</v>
      </c>
      <c r="J2761" s="3">
        <f>Vendas[[#This Row],[Valor da Venda]]-(_xlfn.XLOOKUP(Vendas[[#This Row],[ID Item Vendido]],Agregado[ID],Agregado[Custo])*Vendas[[#This Row],[Qnt Vendida]])</f>
        <v>850</v>
      </c>
      <c r="K2761" s="70">
        <f>Vendas[[#This Row],[Lucro da Venda]]/Vendas[[#This Row],[Valor da Venda]]</f>
        <v>0.2857142857142857</v>
      </c>
      <c r="L2761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2761"/>
    </row>
    <row r="2762" spans="1:13" x14ac:dyDescent="0.3">
      <c r="A2762" s="7">
        <v>400245</v>
      </c>
      <c r="B2762" t="str">
        <f>_xlfn.XLOOKUP(Vendas[[#This Row],[ID Vendedor]],Vendedores[ID],Vendedores[Nome])</f>
        <v>Thiago</v>
      </c>
      <c r="C2762" s="7" t="str">
        <f>_xlfn.XLOOKUP(Vendas[[#This Row],[ID Vendedor]],Vendedores[ID],Vendedores[Setor])</f>
        <v>AHD</v>
      </c>
      <c r="D2762" s="7" t="s">
        <v>28</v>
      </c>
      <c r="E2762" t="str">
        <f>_xlfn.XLOOKUP(Vendas[[#This Row],[ID Item Vendido]],Agregado[ID],Agregado[Produto])</f>
        <v>Peça usinada CNC</v>
      </c>
      <c r="F2762" s="39">
        <v>45167</v>
      </c>
      <c r="G2762" s="7">
        <v>12</v>
      </c>
      <c r="H2762" s="3">
        <f>_xlfn.XLOOKUP(Vendas[[#This Row],[ID Item Vendido]],Agregado[ID],Agregado[Revenda])</f>
        <v>192</v>
      </c>
      <c r="I2762" s="3">
        <f>Vendas[[#This Row],[Valor Unitário]]*Vendas[[#This Row],[Qnt Vendida]]</f>
        <v>2304</v>
      </c>
      <c r="J2762" s="3">
        <f>Vendas[[#This Row],[Valor da Venda]]-(_xlfn.XLOOKUP(Vendas[[#This Row],[ID Item Vendido]],Agregado[ID],Agregado[Custo])*Vendas[[#This Row],[Qnt Vendida]])</f>
        <v>504</v>
      </c>
      <c r="K2762" s="70">
        <f>Vendas[[#This Row],[Lucro da Venda]]/Vendas[[#This Row],[Valor da Venda]]</f>
        <v>0.21875</v>
      </c>
      <c r="L2762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2762"/>
    </row>
    <row r="2763" spans="1:13" x14ac:dyDescent="0.3">
      <c r="A2763" s="7">
        <v>400248</v>
      </c>
      <c r="B2763" t="str">
        <f>_xlfn.XLOOKUP(Vendas[[#This Row],[ID Vendedor]],Vendedores[ID],Vendedores[Nome])</f>
        <v>Patrícia</v>
      </c>
      <c r="C2763" s="7" t="str">
        <f>_xlfn.XLOOKUP(Vendas[[#This Row],[ID Vendedor]],Vendedores[ID],Vendedores[Setor])</f>
        <v>CM</v>
      </c>
      <c r="D2763" s="7" t="s">
        <v>32</v>
      </c>
      <c r="E2763" t="str">
        <f>_xlfn.XLOOKUP(Vendas[[#This Row],[ID Item Vendido]],Agregado[ID],Agregado[Produto])</f>
        <v>Tábua tratada e cortada 3m</v>
      </c>
      <c r="F2763" s="39">
        <v>45167</v>
      </c>
      <c r="G2763" s="7">
        <v>18</v>
      </c>
      <c r="H2763" s="3">
        <f>_xlfn.XLOOKUP(Vendas[[#This Row],[ID Item Vendido]],Agregado[ID],Agregado[Revenda])</f>
        <v>39</v>
      </c>
      <c r="I2763" s="3">
        <f>Vendas[[#This Row],[Valor Unitário]]*Vendas[[#This Row],[Qnt Vendida]]</f>
        <v>702</v>
      </c>
      <c r="J2763" s="3">
        <f>Vendas[[#This Row],[Valor da Venda]]-(_xlfn.XLOOKUP(Vendas[[#This Row],[ID Item Vendido]],Agregado[ID],Agregado[Custo])*Vendas[[#This Row],[Qnt Vendida]])</f>
        <v>126</v>
      </c>
      <c r="K2763" s="70">
        <f>Vendas[[#This Row],[Lucro da Venda]]/Vendas[[#This Row],[Valor da Venda]]</f>
        <v>0.17948717948717949</v>
      </c>
      <c r="L2763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2763"/>
    </row>
    <row r="2764" spans="1:13" x14ac:dyDescent="0.3">
      <c r="A2764" s="7">
        <v>400253</v>
      </c>
      <c r="B2764" t="str">
        <f>_xlfn.XLOOKUP(Vendas[[#This Row],[ID Vendedor]],Vendedores[ID],Vendedores[Nome])</f>
        <v>Gustavo</v>
      </c>
      <c r="C2764" s="7" t="str">
        <f>_xlfn.XLOOKUP(Vendas[[#This Row],[ID Vendedor]],Vendedores[ID],Vendedores[Setor])</f>
        <v>SC</v>
      </c>
      <c r="D2764" s="7" t="s">
        <v>42</v>
      </c>
      <c r="E2764" t="str">
        <f>_xlfn.XLOOKUP(Vendas[[#This Row],[ID Item Vendido]],Agregado[ID],Agregado[Produto])</f>
        <v>Container de ferro industrial</v>
      </c>
      <c r="F2764" s="39">
        <v>45168</v>
      </c>
      <c r="G2764" s="7">
        <v>3</v>
      </c>
      <c r="H2764" s="3">
        <f>_xlfn.XLOOKUP(Vendas[[#This Row],[ID Item Vendido]],Agregado[ID],Agregado[Revenda])</f>
        <v>830</v>
      </c>
      <c r="I2764" s="3">
        <f>Vendas[[#This Row],[Valor Unitário]]*Vendas[[#This Row],[Qnt Vendida]]</f>
        <v>2490</v>
      </c>
      <c r="J2764" s="3">
        <f>Vendas[[#This Row],[Valor da Venda]]-(_xlfn.XLOOKUP(Vendas[[#This Row],[ID Item Vendido]],Agregado[ID],Agregado[Custo])*Vendas[[#This Row],[Qnt Vendida]])</f>
        <v>450</v>
      </c>
      <c r="K2764" s="70">
        <f>Vendas[[#This Row],[Lucro da Venda]]/Vendas[[#This Row],[Valor da Venda]]</f>
        <v>0.18072289156626506</v>
      </c>
      <c r="L276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764"/>
    </row>
    <row r="2765" spans="1:13" x14ac:dyDescent="0.3">
      <c r="A2765" s="7">
        <v>400241</v>
      </c>
      <c r="B2765" t="str">
        <f>_xlfn.XLOOKUP(Vendas[[#This Row],[ID Vendedor]],Vendedores[ID],Vendedores[Nome])</f>
        <v>Rodrigo</v>
      </c>
      <c r="C2765" s="7" t="str">
        <f>_xlfn.XLOOKUP(Vendas[[#This Row],[ID Vendedor]],Vendedores[ID],Vendedores[Setor])</f>
        <v>FM</v>
      </c>
      <c r="D2765" s="7" t="s">
        <v>6</v>
      </c>
      <c r="E2765" t="str">
        <f>_xlfn.XLOOKUP(Vendas[[#This Row],[ID Item Vendido]],Agregado[ID],Agregado[Produto])</f>
        <v>Parafuso comum 500un</v>
      </c>
      <c r="F2765" s="39">
        <v>45168</v>
      </c>
      <c r="G2765" s="7">
        <v>9</v>
      </c>
      <c r="H2765" s="3">
        <f>_xlfn.XLOOKUP(Vendas[[#This Row],[ID Item Vendido]],Agregado[ID],Agregado[Revenda])</f>
        <v>24.6</v>
      </c>
      <c r="I2765" s="3">
        <f>Vendas[[#This Row],[Valor Unitário]]*Vendas[[#This Row],[Qnt Vendida]]</f>
        <v>221.4</v>
      </c>
      <c r="J2765" s="3">
        <f>Vendas[[#This Row],[Valor da Venda]]-(_xlfn.XLOOKUP(Vendas[[#This Row],[ID Item Vendido]],Agregado[ID],Agregado[Custo])*Vendas[[#This Row],[Qnt Vendida]])</f>
        <v>23.400000000000006</v>
      </c>
      <c r="K2765" s="70">
        <f>Vendas[[#This Row],[Lucro da Venda]]/Vendas[[#This Row],[Valor da Venda]]</f>
        <v>0.10569105691056913</v>
      </c>
      <c r="L2765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2765"/>
    </row>
    <row r="2766" spans="1:13" x14ac:dyDescent="0.3">
      <c r="A2766" s="7">
        <v>400250</v>
      </c>
      <c r="B2766" t="str">
        <f>_xlfn.XLOOKUP(Vendas[[#This Row],[ID Vendedor]],Vendedores[ID],Vendedores[Nome])</f>
        <v>Larissa</v>
      </c>
      <c r="C2766" s="7" t="str">
        <f>_xlfn.XLOOKUP(Vendas[[#This Row],[ID Vendedor]],Vendedores[ID],Vendedores[Setor])</f>
        <v>AB</v>
      </c>
      <c r="D2766" s="7" t="s">
        <v>36</v>
      </c>
      <c r="E2766" t="str">
        <f>_xlfn.XLOOKUP(Vendas[[#This Row],[ID Item Vendido]],Agregado[ID],Agregado[Produto])</f>
        <v>Borracha vulcanizada em manta</v>
      </c>
      <c r="F2766" s="39">
        <v>45168</v>
      </c>
      <c r="G2766" s="7">
        <v>18</v>
      </c>
      <c r="H2766" s="3">
        <f>_xlfn.XLOOKUP(Vendas[[#This Row],[ID Item Vendido]],Agregado[ID],Agregado[Revenda])</f>
        <v>7.8</v>
      </c>
      <c r="I2766" s="3">
        <f>Vendas[[#This Row],[Valor Unitário]]*Vendas[[#This Row],[Qnt Vendida]]</f>
        <v>140.4</v>
      </c>
      <c r="J2766" s="3">
        <f>Vendas[[#This Row],[Valor da Venda]]-(_xlfn.XLOOKUP(Vendas[[#This Row],[ID Item Vendido]],Agregado[ID],Agregado[Custo])*Vendas[[#This Row],[Qnt Vendida]])</f>
        <v>32.400000000000006</v>
      </c>
      <c r="K2766" s="70">
        <f>Vendas[[#This Row],[Lucro da Venda]]/Vendas[[#This Row],[Valor da Venda]]</f>
        <v>0.23076923076923081</v>
      </c>
      <c r="L2766" s="3">
        <f>_xlfn.IFS(Vendas[[#This Row],[Margem de Lucro (%)]]&lt;15%,Vendas[[#This Row],[Valor da Venda]]*3%,Vendas[[#This Row],[Margem de Lucro (%)]]&lt;=20%,Vendas[[#This Row],[Valor da Venda]]*4.5%,TRUE,Vendas[[#This Row],[Valor da Venda]]*6%)</f>
        <v>8.4239999999999995</v>
      </c>
      <c r="M2766"/>
    </row>
    <row r="2767" spans="1:13" x14ac:dyDescent="0.3">
      <c r="A2767" s="7">
        <v>400245</v>
      </c>
      <c r="B2767" t="str">
        <f>_xlfn.XLOOKUP(Vendas[[#This Row],[ID Vendedor]],Vendedores[ID],Vendedores[Nome])</f>
        <v>Thiago</v>
      </c>
      <c r="C2767" s="7" t="str">
        <f>_xlfn.XLOOKUP(Vendas[[#This Row],[ID Vendedor]],Vendedores[ID],Vendedores[Setor])</f>
        <v>AHD</v>
      </c>
      <c r="D2767" s="7" t="s">
        <v>18</v>
      </c>
      <c r="E2767" t="str">
        <f>_xlfn.XLOOKUP(Vendas[[#This Row],[ID Item Vendido]],Agregado[ID],Agregado[Produto])</f>
        <v>Peça forjada sob encomenda</v>
      </c>
      <c r="F2767" s="39">
        <v>45169</v>
      </c>
      <c r="G2767" s="7">
        <v>6</v>
      </c>
      <c r="H2767" s="3">
        <f>_xlfn.XLOOKUP(Vendas[[#This Row],[ID Item Vendido]],Agregado[ID],Agregado[Revenda])</f>
        <v>264.60000000000002</v>
      </c>
      <c r="I2767" s="3">
        <f>Vendas[[#This Row],[Valor Unitário]]*Vendas[[#This Row],[Qnt Vendida]]</f>
        <v>1587.6000000000001</v>
      </c>
      <c r="J2767" s="3">
        <f>Vendas[[#This Row],[Valor da Venda]]-(_xlfn.XLOOKUP(Vendas[[#This Row],[ID Item Vendido]],Agregado[ID],Agregado[Custo])*Vendas[[#This Row],[Qnt Vendida]])</f>
        <v>87.600000000000136</v>
      </c>
      <c r="K2767" s="70">
        <f>Vendas[[#This Row],[Lucro da Venda]]/Vendas[[#This Row],[Valor da Venda]]</f>
        <v>5.5177626606198113E-2</v>
      </c>
      <c r="L276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767"/>
    </row>
    <row r="2768" spans="1:13" x14ac:dyDescent="0.3">
      <c r="A2768" s="7">
        <v>400246</v>
      </c>
      <c r="B2768" t="str">
        <f>_xlfn.XLOOKUP(Vendas[[#This Row],[ID Vendedor]],Vendedores[ID],Vendedores[Nome])</f>
        <v>Juliana</v>
      </c>
      <c r="C2768" s="7" t="str">
        <f>_xlfn.XLOOKUP(Vendas[[#This Row],[ID Vendedor]],Vendedores[ID],Vendedores[Setor])</f>
        <v>AHD</v>
      </c>
      <c r="D2768" s="7" t="s">
        <v>18</v>
      </c>
      <c r="E2768" t="str">
        <f>_xlfn.XLOOKUP(Vendas[[#This Row],[ID Item Vendido]],Agregado[ID],Agregado[Produto])</f>
        <v>Peça forjada sob encomenda</v>
      </c>
      <c r="F2768" s="39">
        <v>45169</v>
      </c>
      <c r="G2768" s="7">
        <v>5</v>
      </c>
      <c r="H2768" s="3">
        <f>_xlfn.XLOOKUP(Vendas[[#This Row],[ID Item Vendido]],Agregado[ID],Agregado[Revenda])</f>
        <v>264.60000000000002</v>
      </c>
      <c r="I2768" s="3">
        <f>Vendas[[#This Row],[Valor Unitário]]*Vendas[[#This Row],[Qnt Vendida]]</f>
        <v>1323</v>
      </c>
      <c r="J2768" s="3">
        <f>Vendas[[#This Row],[Valor da Venda]]-(_xlfn.XLOOKUP(Vendas[[#This Row],[ID Item Vendido]],Agregado[ID],Agregado[Custo])*Vendas[[#This Row],[Qnt Vendida]])</f>
        <v>73</v>
      </c>
      <c r="K2768" s="70">
        <f>Vendas[[#This Row],[Lucro da Venda]]/Vendas[[#This Row],[Valor da Venda]]</f>
        <v>5.5177626606198037E-2</v>
      </c>
      <c r="L276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768"/>
    </row>
    <row r="2769" spans="1:13" x14ac:dyDescent="0.3">
      <c r="A2769" s="7">
        <v>400249</v>
      </c>
      <c r="B2769" t="str">
        <f>_xlfn.XLOOKUP(Vendas[[#This Row],[ID Vendedor]],Vendedores[ID],Vendedores[Nome])</f>
        <v>Bruno</v>
      </c>
      <c r="C2769" s="7" t="str">
        <f>_xlfn.XLOOKUP(Vendas[[#This Row],[ID Vendedor]],Vendedores[ID],Vendedores[Setor])</f>
        <v>CM</v>
      </c>
      <c r="D2769" s="7" t="s">
        <v>45</v>
      </c>
      <c r="E2769" t="str">
        <f>_xlfn.XLOOKUP(Vendas[[#This Row],[ID Item Vendido]],Agregado[ID],Agregado[Produto])</f>
        <v>Viga de madeira tratada 4m</v>
      </c>
      <c r="F2769" s="39">
        <v>45169</v>
      </c>
      <c r="G2769" s="7">
        <v>19</v>
      </c>
      <c r="H2769" s="3">
        <f>_xlfn.XLOOKUP(Vendas[[#This Row],[ID Item Vendido]],Agregado[ID],Agregado[Revenda])</f>
        <v>66</v>
      </c>
      <c r="I2769" s="3">
        <f>Vendas[[#This Row],[Valor Unitário]]*Vendas[[#This Row],[Qnt Vendida]]</f>
        <v>1254</v>
      </c>
      <c r="J2769" s="3">
        <f>Vendas[[#This Row],[Valor da Venda]]-(_xlfn.XLOOKUP(Vendas[[#This Row],[ID Item Vendido]],Agregado[ID],Agregado[Custo])*Vendas[[#This Row],[Qnt Vendida]])</f>
        <v>209</v>
      </c>
      <c r="K2769" s="70">
        <f>Vendas[[#This Row],[Lucro da Venda]]/Vendas[[#This Row],[Valor da Venda]]</f>
        <v>0.16666666666666666</v>
      </c>
      <c r="L276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769"/>
    </row>
    <row r="2770" spans="1:13" x14ac:dyDescent="0.3">
      <c r="A2770" s="7">
        <v>400249</v>
      </c>
      <c r="B2770" t="str">
        <f>_xlfn.XLOOKUP(Vendas[[#This Row],[ID Vendedor]],Vendedores[ID],Vendedores[Nome])</f>
        <v>Bruno</v>
      </c>
      <c r="C2770" s="7" t="str">
        <f>_xlfn.XLOOKUP(Vendas[[#This Row],[ID Vendedor]],Vendedores[ID],Vendedores[Setor])</f>
        <v>CM</v>
      </c>
      <c r="D2770" s="7" t="s">
        <v>32</v>
      </c>
      <c r="E2770" t="str">
        <f>_xlfn.XLOOKUP(Vendas[[#This Row],[ID Item Vendido]],Agregado[ID],Agregado[Produto])</f>
        <v>Tábua tratada e cortada 3m</v>
      </c>
      <c r="F2770" s="39">
        <v>45170</v>
      </c>
      <c r="G2770" s="7">
        <v>11</v>
      </c>
      <c r="H2770" s="3">
        <f>_xlfn.XLOOKUP(Vendas[[#This Row],[ID Item Vendido]],Agregado[ID],Agregado[Revenda])</f>
        <v>39</v>
      </c>
      <c r="I2770" s="3">
        <f>Vendas[[#This Row],[Valor Unitário]]*Vendas[[#This Row],[Qnt Vendida]]</f>
        <v>429</v>
      </c>
      <c r="J2770" s="3">
        <f>Vendas[[#This Row],[Valor da Venda]]-(_xlfn.XLOOKUP(Vendas[[#This Row],[ID Item Vendido]],Agregado[ID],Agregado[Custo])*Vendas[[#This Row],[Qnt Vendida]])</f>
        <v>77</v>
      </c>
      <c r="K2770" s="70">
        <f>Vendas[[#This Row],[Lucro da Venda]]/Vendas[[#This Row],[Valor da Venda]]</f>
        <v>0.17948717948717949</v>
      </c>
      <c r="L2770" s="3">
        <f>_xlfn.IFS(Vendas[[#This Row],[Margem de Lucro (%)]]&lt;15%,Vendas[[#This Row],[Valor da Venda]]*3%,Vendas[[#This Row],[Margem de Lucro (%)]]&lt;=20%,Vendas[[#This Row],[Valor da Venda]]*4.5%,TRUE,Vendas[[#This Row],[Valor da Venda]]*6%)</f>
        <v>19.305</v>
      </c>
      <c r="M2770"/>
    </row>
    <row r="2771" spans="1:13" x14ac:dyDescent="0.3">
      <c r="A2771" s="7">
        <v>400250</v>
      </c>
      <c r="B2771" t="str">
        <f>_xlfn.XLOOKUP(Vendas[[#This Row],[ID Vendedor]],Vendedores[ID],Vendedores[Nome])</f>
        <v>Larissa</v>
      </c>
      <c r="C2771" s="7" t="str">
        <f>_xlfn.XLOOKUP(Vendas[[#This Row],[ID Vendedor]],Vendedores[ID],Vendedores[Setor])</f>
        <v>AB</v>
      </c>
      <c r="D2771" s="7" t="s">
        <v>24</v>
      </c>
      <c r="E2771" t="str">
        <f>_xlfn.XLOOKUP(Vendas[[#This Row],[ID Item Vendido]],Agregado[ID],Agregado[Produto])</f>
        <v>Resina plástica PET purificada saco de 25kg</v>
      </c>
      <c r="F2771" s="39">
        <v>45171</v>
      </c>
      <c r="G2771" s="7">
        <v>21</v>
      </c>
      <c r="H2771" s="3">
        <f>_xlfn.XLOOKUP(Vendas[[#This Row],[ID Item Vendido]],Agregado[ID],Agregado[Revenda])</f>
        <v>119</v>
      </c>
      <c r="I2771" s="3">
        <f>Vendas[[#This Row],[Valor Unitário]]*Vendas[[#This Row],[Qnt Vendida]]</f>
        <v>2499</v>
      </c>
      <c r="J2771" s="3">
        <f>Vendas[[#This Row],[Valor da Venda]]-(_xlfn.XLOOKUP(Vendas[[#This Row],[ID Item Vendido]],Agregado[ID],Agregado[Custo])*Vendas[[#This Row],[Qnt Vendida]])</f>
        <v>714</v>
      </c>
      <c r="K2771" s="70">
        <f>Vendas[[#This Row],[Lucro da Venda]]/Vendas[[#This Row],[Valor da Venda]]</f>
        <v>0.2857142857142857</v>
      </c>
      <c r="L2771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2771"/>
    </row>
    <row r="2772" spans="1:13" x14ac:dyDescent="0.3">
      <c r="A2772" s="7">
        <v>400251</v>
      </c>
      <c r="B2772" t="str">
        <f>_xlfn.XLOOKUP(Vendas[[#This Row],[ID Vendedor]],Vendedores[ID],Vendedores[Nome])</f>
        <v>Diego</v>
      </c>
      <c r="C2772" s="7" t="str">
        <f>_xlfn.XLOOKUP(Vendas[[#This Row],[ID Vendedor]],Vendedores[ID],Vendedores[Setor])</f>
        <v>AB</v>
      </c>
      <c r="D2772" s="7" t="s">
        <v>24</v>
      </c>
      <c r="E2772" t="str">
        <f>_xlfn.XLOOKUP(Vendas[[#This Row],[ID Item Vendido]],Agregado[ID],Agregado[Produto])</f>
        <v>Resina plástica PET purificada saco de 25kg</v>
      </c>
      <c r="F2772" s="39">
        <v>45171</v>
      </c>
      <c r="G2772" s="7">
        <v>16</v>
      </c>
      <c r="H2772" s="3">
        <f>_xlfn.XLOOKUP(Vendas[[#This Row],[ID Item Vendido]],Agregado[ID],Agregado[Revenda])</f>
        <v>119</v>
      </c>
      <c r="I2772" s="3">
        <f>Vendas[[#This Row],[Valor Unitário]]*Vendas[[#This Row],[Qnt Vendida]]</f>
        <v>1904</v>
      </c>
      <c r="J2772" s="3">
        <f>Vendas[[#This Row],[Valor da Venda]]-(_xlfn.XLOOKUP(Vendas[[#This Row],[ID Item Vendido]],Agregado[ID],Agregado[Custo])*Vendas[[#This Row],[Qnt Vendida]])</f>
        <v>544</v>
      </c>
      <c r="K2772" s="70">
        <f>Vendas[[#This Row],[Lucro da Venda]]/Vendas[[#This Row],[Valor da Venda]]</f>
        <v>0.2857142857142857</v>
      </c>
      <c r="L2772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2772"/>
    </row>
    <row r="2773" spans="1:13" x14ac:dyDescent="0.3">
      <c r="A2773" s="7">
        <v>400251</v>
      </c>
      <c r="B2773" t="str">
        <f>_xlfn.XLOOKUP(Vendas[[#This Row],[ID Vendedor]],Vendedores[ID],Vendedores[Nome])</f>
        <v>Diego</v>
      </c>
      <c r="C2773" s="7" t="str">
        <f>_xlfn.XLOOKUP(Vendas[[#This Row],[ID Vendedor]],Vendedores[ID],Vendedores[Setor])</f>
        <v>AB</v>
      </c>
      <c r="D2773" s="7" t="s">
        <v>39</v>
      </c>
      <c r="E2773" t="str">
        <f>_xlfn.XLOOKUP(Vendas[[#This Row],[ID Item Vendido]],Agregado[ID],Agregado[Produto])</f>
        <v>Filme plástico industrial rolo 50m</v>
      </c>
      <c r="F2773" s="39">
        <v>45171</v>
      </c>
      <c r="G2773" s="7">
        <v>29</v>
      </c>
      <c r="H2773" s="3">
        <f>_xlfn.XLOOKUP(Vendas[[#This Row],[ID Item Vendido]],Agregado[ID],Agregado[Revenda])</f>
        <v>37</v>
      </c>
      <c r="I2773" s="3">
        <f>Vendas[[#This Row],[Valor Unitário]]*Vendas[[#This Row],[Qnt Vendida]]</f>
        <v>1073</v>
      </c>
      <c r="J2773" s="3">
        <f>Vendas[[#This Row],[Valor da Venda]]-(_xlfn.XLOOKUP(Vendas[[#This Row],[ID Item Vendido]],Agregado[ID],Agregado[Custo])*Vendas[[#This Row],[Qnt Vendida]])</f>
        <v>261</v>
      </c>
      <c r="K2773" s="70">
        <f>Vendas[[#This Row],[Lucro da Venda]]/Vendas[[#This Row],[Valor da Venda]]</f>
        <v>0.24324324324324326</v>
      </c>
      <c r="L2773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2773"/>
    </row>
    <row r="2774" spans="1:13" x14ac:dyDescent="0.3">
      <c r="A2774" s="7">
        <v>400244</v>
      </c>
      <c r="B2774" t="str">
        <f>_xlfn.XLOOKUP(Vendas[[#This Row],[ID Vendedor]],Vendedores[ID],Vendedores[Nome])</f>
        <v>Camila</v>
      </c>
      <c r="C2774" s="7" t="str">
        <f>_xlfn.XLOOKUP(Vendas[[#This Row],[ID Vendedor]],Vendedores[ID],Vendedores[Setor])</f>
        <v>AHD</v>
      </c>
      <c r="D2774" s="7" t="s">
        <v>30</v>
      </c>
      <c r="E2774" t="str">
        <f>_xlfn.XLOOKUP(Vendas[[#This Row],[ID Item Vendido]],Agregado[ID],Agregado[Produto])</f>
        <v>Estrutura metálica soldada</v>
      </c>
      <c r="F2774" s="39">
        <v>45172</v>
      </c>
      <c r="G2774" s="7">
        <v>2</v>
      </c>
      <c r="H2774" s="3">
        <f>_xlfn.XLOOKUP(Vendas[[#This Row],[ID Item Vendido]],Agregado[ID],Agregado[Revenda])</f>
        <v>400</v>
      </c>
      <c r="I2774" s="3">
        <f>Vendas[[#This Row],[Valor Unitário]]*Vendas[[#This Row],[Qnt Vendida]]</f>
        <v>800</v>
      </c>
      <c r="J2774" s="3">
        <f>Vendas[[#This Row],[Valor da Venda]]-(_xlfn.XLOOKUP(Vendas[[#This Row],[ID Item Vendido]],Agregado[ID],Agregado[Custo])*Vendas[[#This Row],[Qnt Vendida]])</f>
        <v>160</v>
      </c>
      <c r="K2774" s="70">
        <f>Vendas[[#This Row],[Lucro da Venda]]/Vendas[[#This Row],[Valor da Venda]]</f>
        <v>0.2</v>
      </c>
      <c r="L2774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2774"/>
    </row>
    <row r="2775" spans="1:13" x14ac:dyDescent="0.3">
      <c r="A2775" s="7">
        <v>400246</v>
      </c>
      <c r="B2775" t="str">
        <f>_xlfn.XLOOKUP(Vendas[[#This Row],[ID Vendedor]],Vendedores[ID],Vendedores[Nome])</f>
        <v>Juliana</v>
      </c>
      <c r="C2775" s="7" t="str">
        <f>_xlfn.XLOOKUP(Vendas[[#This Row],[ID Vendedor]],Vendedores[ID],Vendedores[Setor])</f>
        <v>AHD</v>
      </c>
      <c r="D2775" s="7" t="s">
        <v>9</v>
      </c>
      <c r="E2775" t="str">
        <f>_xlfn.XLOOKUP(Vendas[[#This Row],[ID Item Vendido]],Agregado[ID],Agregado[Produto])</f>
        <v>Barra de aço simples</v>
      </c>
      <c r="F2775" s="39">
        <v>45172</v>
      </c>
      <c r="G2775" s="7">
        <v>39</v>
      </c>
      <c r="H2775" s="3">
        <f>_xlfn.XLOOKUP(Vendas[[#This Row],[ID Item Vendido]],Agregado[ID],Agregado[Revenda])</f>
        <v>6.7</v>
      </c>
      <c r="I2775" s="3">
        <f>Vendas[[#This Row],[Valor Unitário]]*Vendas[[#This Row],[Qnt Vendida]]</f>
        <v>261.3</v>
      </c>
      <c r="J2775" s="3">
        <f>Vendas[[#This Row],[Valor da Venda]]-(_xlfn.XLOOKUP(Vendas[[#This Row],[ID Item Vendido]],Agregado[ID],Agregado[Custo])*Vendas[[#This Row],[Qnt Vendida]])</f>
        <v>35.100000000000023</v>
      </c>
      <c r="K2775" s="70">
        <f>Vendas[[#This Row],[Lucro da Venda]]/Vendas[[#This Row],[Valor da Venda]]</f>
        <v>0.13432835820895531</v>
      </c>
      <c r="L2775" s="3">
        <f>_xlfn.IFS(Vendas[[#This Row],[Margem de Lucro (%)]]&lt;15%,Vendas[[#This Row],[Valor da Venda]]*3%,Vendas[[#This Row],[Margem de Lucro (%)]]&lt;=20%,Vendas[[#This Row],[Valor da Venda]]*4.5%,TRUE,Vendas[[#This Row],[Valor da Venda]]*6%)</f>
        <v>7.8390000000000004</v>
      </c>
      <c r="M2775"/>
    </row>
    <row r="2776" spans="1:13" x14ac:dyDescent="0.3">
      <c r="A2776" s="7">
        <v>400255</v>
      </c>
      <c r="B2776" t="str">
        <f>_xlfn.XLOOKUP(Vendas[[#This Row],[ID Vendedor]],Vendedores[ID],Vendedores[Nome])</f>
        <v>Carlos</v>
      </c>
      <c r="C2776" s="7" t="str">
        <f>_xlfn.XLOOKUP(Vendas[[#This Row],[ID Vendedor]],Vendedores[ID],Vendedores[Setor])</f>
        <v>SC</v>
      </c>
      <c r="D2776" s="7" t="s">
        <v>14</v>
      </c>
      <c r="E2776" t="str">
        <f>_xlfn.XLOOKUP(Vendas[[#This Row],[ID Item Vendido]],Agregado[ID],Agregado[Produto])</f>
        <v>Barril de plástico 200L</v>
      </c>
      <c r="F2776" s="39">
        <v>45173</v>
      </c>
      <c r="G2776" s="7">
        <v>20</v>
      </c>
      <c r="H2776" s="3">
        <f>_xlfn.XLOOKUP(Vendas[[#This Row],[ID Item Vendido]],Agregado[ID],Agregado[Revenda])</f>
        <v>114</v>
      </c>
      <c r="I2776" s="3">
        <f>Vendas[[#This Row],[Valor Unitário]]*Vendas[[#This Row],[Qnt Vendida]]</f>
        <v>2280</v>
      </c>
      <c r="J2776" s="3">
        <f>Vendas[[#This Row],[Valor da Venda]]-(_xlfn.XLOOKUP(Vendas[[#This Row],[ID Item Vendido]],Agregado[ID],Agregado[Custo])*Vendas[[#This Row],[Qnt Vendida]])</f>
        <v>380</v>
      </c>
      <c r="K2776" s="70">
        <f>Vendas[[#This Row],[Lucro da Venda]]/Vendas[[#This Row],[Valor da Venda]]</f>
        <v>0.16666666666666666</v>
      </c>
      <c r="L2776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2776"/>
    </row>
    <row r="2777" spans="1:13" x14ac:dyDescent="0.3">
      <c r="A2777" s="7">
        <v>400250</v>
      </c>
      <c r="B2777" t="str">
        <f>_xlfn.XLOOKUP(Vendas[[#This Row],[ID Vendedor]],Vendedores[ID],Vendedores[Nome])</f>
        <v>Larissa</v>
      </c>
      <c r="C2777" s="7" t="str">
        <f>_xlfn.XLOOKUP(Vendas[[#This Row],[ID Vendedor]],Vendedores[ID],Vendedores[Setor])</f>
        <v>AB</v>
      </c>
      <c r="D2777" s="7" t="s">
        <v>24</v>
      </c>
      <c r="E2777" t="str">
        <f>_xlfn.XLOOKUP(Vendas[[#This Row],[ID Item Vendido]],Agregado[ID],Agregado[Produto])</f>
        <v>Resina plástica PET purificada saco de 25kg</v>
      </c>
      <c r="F2777" s="39">
        <v>45173</v>
      </c>
      <c r="G2777" s="7">
        <v>9</v>
      </c>
      <c r="H2777" s="3">
        <f>_xlfn.XLOOKUP(Vendas[[#This Row],[ID Item Vendido]],Agregado[ID],Agregado[Revenda])</f>
        <v>119</v>
      </c>
      <c r="I2777" s="3">
        <f>Vendas[[#This Row],[Valor Unitário]]*Vendas[[#This Row],[Qnt Vendida]]</f>
        <v>1071</v>
      </c>
      <c r="J2777" s="3">
        <f>Vendas[[#This Row],[Valor da Venda]]-(_xlfn.XLOOKUP(Vendas[[#This Row],[ID Item Vendido]],Agregado[ID],Agregado[Custo])*Vendas[[#This Row],[Qnt Vendida]])</f>
        <v>306</v>
      </c>
      <c r="K2777" s="70">
        <f>Vendas[[#This Row],[Lucro da Venda]]/Vendas[[#This Row],[Valor da Venda]]</f>
        <v>0.2857142857142857</v>
      </c>
      <c r="L2777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2777"/>
    </row>
    <row r="2778" spans="1:13" x14ac:dyDescent="0.3">
      <c r="A2778" s="7">
        <v>400249</v>
      </c>
      <c r="B2778" t="str">
        <f>_xlfn.XLOOKUP(Vendas[[#This Row],[ID Vendedor]],Vendedores[ID],Vendedores[Nome])</f>
        <v>Bruno</v>
      </c>
      <c r="C2778" s="7" t="str">
        <f>_xlfn.XLOOKUP(Vendas[[#This Row],[ID Vendedor]],Vendedores[ID],Vendedores[Setor])</f>
        <v>CM</v>
      </c>
      <c r="D2778" s="7" t="s">
        <v>22</v>
      </c>
      <c r="E2778" t="str">
        <f>_xlfn.XLOOKUP(Vendas[[#This Row],[ID Item Vendido]],Agregado[ID],Agregado[Produto])</f>
        <v>Painel MDP 2,75x1,83m</v>
      </c>
      <c r="F2778" s="39">
        <v>45174</v>
      </c>
      <c r="G2778" s="7">
        <v>11</v>
      </c>
      <c r="H2778" s="3">
        <f>_xlfn.XLOOKUP(Vendas[[#This Row],[ID Item Vendido]],Agregado[ID],Agregado[Revenda])</f>
        <v>119</v>
      </c>
      <c r="I2778" s="3">
        <f>Vendas[[#This Row],[Valor Unitário]]*Vendas[[#This Row],[Qnt Vendida]]</f>
        <v>1309</v>
      </c>
      <c r="J2778" s="3">
        <f>Vendas[[#This Row],[Valor da Venda]]-(_xlfn.XLOOKUP(Vendas[[#This Row],[ID Item Vendido]],Agregado[ID],Agregado[Custo])*Vendas[[#This Row],[Qnt Vendida]])</f>
        <v>264</v>
      </c>
      <c r="K2778" s="70">
        <f>Vendas[[#This Row],[Lucro da Venda]]/Vendas[[#This Row],[Valor da Venda]]</f>
        <v>0.20168067226890757</v>
      </c>
      <c r="L2778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2778"/>
    </row>
    <row r="2779" spans="1:13" x14ac:dyDescent="0.3">
      <c r="A2779" s="7">
        <v>400254</v>
      </c>
      <c r="B2779" t="str">
        <f>_xlfn.XLOOKUP(Vendas[[#This Row],[ID Vendedor]],Vendedores[ID],Vendedores[Nome])</f>
        <v>Beatriz</v>
      </c>
      <c r="C2779" s="7" t="str">
        <f>_xlfn.XLOOKUP(Vendas[[#This Row],[ID Vendedor]],Vendedores[ID],Vendedores[Setor])</f>
        <v>SC</v>
      </c>
      <c r="D2779" s="7" t="s">
        <v>41</v>
      </c>
      <c r="E2779" t="str">
        <f>_xlfn.XLOOKUP(Vendas[[#This Row],[ID Item Vendido]],Agregado[ID],Agregado[Produto])</f>
        <v>Palete de madeira reforçado</v>
      </c>
      <c r="F2779" s="39">
        <v>45174</v>
      </c>
      <c r="G2779" s="7">
        <v>7</v>
      </c>
      <c r="H2779" s="3">
        <f>_xlfn.XLOOKUP(Vendas[[#This Row],[ID Item Vendido]],Agregado[ID],Agregado[Revenda])</f>
        <v>131</v>
      </c>
      <c r="I2779" s="3">
        <f>Vendas[[#This Row],[Valor Unitário]]*Vendas[[#This Row],[Qnt Vendida]]</f>
        <v>917</v>
      </c>
      <c r="J2779" s="3">
        <f>Vendas[[#This Row],[Valor da Venda]]-(_xlfn.XLOOKUP(Vendas[[#This Row],[ID Item Vendido]],Agregado[ID],Agregado[Custo])*Vendas[[#This Row],[Qnt Vendida]])</f>
        <v>147</v>
      </c>
      <c r="K2779" s="70">
        <f>Vendas[[#This Row],[Lucro da Venda]]/Vendas[[#This Row],[Valor da Venda]]</f>
        <v>0.16030534351145037</v>
      </c>
      <c r="L2779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2779"/>
    </row>
    <row r="2780" spans="1:13" x14ac:dyDescent="0.3">
      <c r="A2780" s="7">
        <v>400246</v>
      </c>
      <c r="B2780" t="str">
        <f>_xlfn.XLOOKUP(Vendas[[#This Row],[ID Vendedor]],Vendedores[ID],Vendedores[Nome])</f>
        <v>Juliana</v>
      </c>
      <c r="C2780" s="7" t="str">
        <f>_xlfn.XLOOKUP(Vendas[[#This Row],[ID Vendedor]],Vendedores[ID],Vendedores[Setor])</f>
        <v>AHD</v>
      </c>
      <c r="D2780" s="7" t="s">
        <v>44</v>
      </c>
      <c r="E2780" t="str">
        <f>_xlfn.XLOOKUP(Vendas[[#This Row],[ID Item Vendido]],Agregado[ID],Agregado[Produto])</f>
        <v>Liga metálica especial</v>
      </c>
      <c r="F2780" s="39">
        <v>45175</v>
      </c>
      <c r="G2780" s="7">
        <v>57</v>
      </c>
      <c r="H2780" s="3">
        <f>_xlfn.XLOOKUP(Vendas[[#This Row],[ID Item Vendido]],Agregado[ID],Agregado[Revenda])</f>
        <v>32.5</v>
      </c>
      <c r="I2780" s="3">
        <f>Vendas[[#This Row],[Valor Unitário]]*Vendas[[#This Row],[Qnt Vendida]]</f>
        <v>1852.5</v>
      </c>
      <c r="J2780" s="3">
        <f>Vendas[[#This Row],[Valor da Venda]]-(_xlfn.XLOOKUP(Vendas[[#This Row],[ID Item Vendido]],Agregado[ID],Agregado[Custo])*Vendas[[#This Row],[Qnt Vendida]])</f>
        <v>427.5</v>
      </c>
      <c r="K2780" s="70">
        <f>Vendas[[#This Row],[Lucro da Venda]]/Vendas[[#This Row],[Valor da Venda]]</f>
        <v>0.23076923076923078</v>
      </c>
      <c r="L2780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2780"/>
    </row>
    <row r="2781" spans="1:13" x14ac:dyDescent="0.3">
      <c r="A2781" s="7">
        <v>400251</v>
      </c>
      <c r="B2781" t="str">
        <f>_xlfn.XLOOKUP(Vendas[[#This Row],[ID Vendedor]],Vendedores[ID],Vendedores[Nome])</f>
        <v>Diego</v>
      </c>
      <c r="C2781" s="7" t="str">
        <f>_xlfn.XLOOKUP(Vendas[[#This Row],[ID Vendedor]],Vendedores[ID],Vendedores[Setor])</f>
        <v>AB</v>
      </c>
      <c r="D2781" s="7" t="s">
        <v>39</v>
      </c>
      <c r="E2781" t="str">
        <f>_xlfn.XLOOKUP(Vendas[[#This Row],[ID Item Vendido]],Agregado[ID],Agregado[Produto])</f>
        <v>Filme plástico industrial rolo 50m</v>
      </c>
      <c r="F2781" s="39">
        <v>45175</v>
      </c>
      <c r="G2781" s="7">
        <v>16</v>
      </c>
      <c r="H2781" s="3">
        <f>_xlfn.XLOOKUP(Vendas[[#This Row],[ID Item Vendido]],Agregado[ID],Agregado[Revenda])</f>
        <v>37</v>
      </c>
      <c r="I2781" s="3">
        <f>Vendas[[#This Row],[Valor Unitário]]*Vendas[[#This Row],[Qnt Vendida]]</f>
        <v>592</v>
      </c>
      <c r="J2781" s="3">
        <f>Vendas[[#This Row],[Valor da Venda]]-(_xlfn.XLOOKUP(Vendas[[#This Row],[ID Item Vendido]],Agregado[ID],Agregado[Custo])*Vendas[[#This Row],[Qnt Vendida]])</f>
        <v>144</v>
      </c>
      <c r="K2781" s="70">
        <f>Vendas[[#This Row],[Lucro da Venda]]/Vendas[[#This Row],[Valor da Venda]]</f>
        <v>0.24324324324324326</v>
      </c>
      <c r="L2781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2781"/>
    </row>
    <row r="2782" spans="1:13" x14ac:dyDescent="0.3">
      <c r="A2782" s="7">
        <v>400249</v>
      </c>
      <c r="B2782" t="str">
        <f>_xlfn.XLOOKUP(Vendas[[#This Row],[ID Vendedor]],Vendedores[ID],Vendedores[Nome])</f>
        <v>Bruno</v>
      </c>
      <c r="C2782" s="7" t="str">
        <f>_xlfn.XLOOKUP(Vendas[[#This Row],[ID Vendedor]],Vendedores[ID],Vendedores[Setor])</f>
        <v>CM</v>
      </c>
      <c r="D2782" s="7" t="s">
        <v>45</v>
      </c>
      <c r="E2782" t="str">
        <f>_xlfn.XLOOKUP(Vendas[[#This Row],[ID Item Vendido]],Agregado[ID],Agregado[Produto])</f>
        <v>Viga de madeira tratada 4m</v>
      </c>
      <c r="F2782" s="39">
        <v>45175</v>
      </c>
      <c r="G2782" s="7">
        <v>2</v>
      </c>
      <c r="H2782" s="3">
        <f>_xlfn.XLOOKUP(Vendas[[#This Row],[ID Item Vendido]],Agregado[ID],Agregado[Revenda])</f>
        <v>66</v>
      </c>
      <c r="I2782" s="3">
        <f>Vendas[[#This Row],[Valor Unitário]]*Vendas[[#This Row],[Qnt Vendida]]</f>
        <v>132</v>
      </c>
      <c r="J2782" s="3">
        <f>Vendas[[#This Row],[Valor da Venda]]-(_xlfn.XLOOKUP(Vendas[[#This Row],[ID Item Vendido]],Agregado[ID],Agregado[Custo])*Vendas[[#This Row],[Qnt Vendida]])</f>
        <v>22</v>
      </c>
      <c r="K2782" s="70">
        <f>Vendas[[#This Row],[Lucro da Venda]]/Vendas[[#This Row],[Valor da Venda]]</f>
        <v>0.16666666666666666</v>
      </c>
      <c r="L2782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2782"/>
    </row>
    <row r="2783" spans="1:13" x14ac:dyDescent="0.3">
      <c r="A2783" s="7">
        <v>400246</v>
      </c>
      <c r="B2783" t="str">
        <f>_xlfn.XLOOKUP(Vendas[[#This Row],[ID Vendedor]],Vendedores[ID],Vendedores[Nome])</f>
        <v>Juliana</v>
      </c>
      <c r="C2783" s="7" t="str">
        <f>_xlfn.XLOOKUP(Vendas[[#This Row],[ID Vendedor]],Vendedores[ID],Vendedores[Setor])</f>
        <v>AHD</v>
      </c>
      <c r="D2783" s="7" t="s">
        <v>28</v>
      </c>
      <c r="E2783" t="str">
        <f>_xlfn.XLOOKUP(Vendas[[#This Row],[ID Item Vendido]],Agregado[ID],Agregado[Produto])</f>
        <v>Peça usinada CNC</v>
      </c>
      <c r="F2783" s="39">
        <v>45176</v>
      </c>
      <c r="G2783" s="7">
        <v>13</v>
      </c>
      <c r="H2783" s="3">
        <f>_xlfn.XLOOKUP(Vendas[[#This Row],[ID Item Vendido]],Agregado[ID],Agregado[Revenda])</f>
        <v>192</v>
      </c>
      <c r="I2783" s="3">
        <f>Vendas[[#This Row],[Valor Unitário]]*Vendas[[#This Row],[Qnt Vendida]]</f>
        <v>2496</v>
      </c>
      <c r="J2783" s="3">
        <f>Vendas[[#This Row],[Valor da Venda]]-(_xlfn.XLOOKUP(Vendas[[#This Row],[ID Item Vendido]],Agregado[ID],Agregado[Custo])*Vendas[[#This Row],[Qnt Vendida]])</f>
        <v>546</v>
      </c>
      <c r="K2783" s="70">
        <f>Vendas[[#This Row],[Lucro da Venda]]/Vendas[[#This Row],[Valor da Venda]]</f>
        <v>0.21875</v>
      </c>
      <c r="L2783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2783"/>
    </row>
    <row r="2784" spans="1:13" x14ac:dyDescent="0.3">
      <c r="A2784" s="7">
        <v>400246</v>
      </c>
      <c r="B2784" t="str">
        <f>_xlfn.XLOOKUP(Vendas[[#This Row],[ID Vendedor]],Vendedores[ID],Vendedores[Nome])</f>
        <v>Juliana</v>
      </c>
      <c r="C2784" s="7" t="str">
        <f>_xlfn.XLOOKUP(Vendas[[#This Row],[ID Vendedor]],Vendedores[ID],Vendedores[Setor])</f>
        <v>AHD</v>
      </c>
      <c r="D2784" s="7" t="s">
        <v>30</v>
      </c>
      <c r="E2784" t="str">
        <f>_xlfn.XLOOKUP(Vendas[[#This Row],[ID Item Vendido]],Agregado[ID],Agregado[Produto])</f>
        <v>Estrutura metálica soldada</v>
      </c>
      <c r="F2784" s="39">
        <v>45176</v>
      </c>
      <c r="G2784" s="7">
        <v>5</v>
      </c>
      <c r="H2784" s="3">
        <f>_xlfn.XLOOKUP(Vendas[[#This Row],[ID Item Vendido]],Agregado[ID],Agregado[Revenda])</f>
        <v>400</v>
      </c>
      <c r="I2784" s="3">
        <f>Vendas[[#This Row],[Valor Unitário]]*Vendas[[#This Row],[Qnt Vendida]]</f>
        <v>2000</v>
      </c>
      <c r="J2784" s="3">
        <f>Vendas[[#This Row],[Valor da Venda]]-(_xlfn.XLOOKUP(Vendas[[#This Row],[ID Item Vendido]],Agregado[ID],Agregado[Custo])*Vendas[[#This Row],[Qnt Vendida]])</f>
        <v>400</v>
      </c>
      <c r="K2784" s="70">
        <f>Vendas[[#This Row],[Lucro da Venda]]/Vendas[[#This Row],[Valor da Venda]]</f>
        <v>0.2</v>
      </c>
      <c r="L278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784"/>
    </row>
    <row r="2785" spans="1:13" x14ac:dyDescent="0.3">
      <c r="A2785" s="7">
        <v>400255</v>
      </c>
      <c r="B2785" t="str">
        <f>_xlfn.XLOOKUP(Vendas[[#This Row],[ID Vendedor]],Vendedores[ID],Vendedores[Nome])</f>
        <v>Carlos</v>
      </c>
      <c r="C2785" s="7" t="str">
        <f>_xlfn.XLOOKUP(Vendas[[#This Row],[ID Vendedor]],Vendedores[ID],Vendedores[Setor])</f>
        <v>SC</v>
      </c>
      <c r="D2785" s="7" t="s">
        <v>48</v>
      </c>
      <c r="E2785" t="str">
        <f>_xlfn.XLOOKUP(Vendas[[#This Row],[ID Item Vendido]],Agregado[ID],Agregado[Produto])</f>
        <v>Tambor metálico 200L</v>
      </c>
      <c r="F2785" s="39">
        <v>45176</v>
      </c>
      <c r="G2785" s="7">
        <v>11</v>
      </c>
      <c r="H2785" s="3">
        <f>_xlfn.XLOOKUP(Vendas[[#This Row],[ID Item Vendido]],Agregado[ID],Agregado[Revenda])</f>
        <v>144</v>
      </c>
      <c r="I2785" s="3">
        <f>Vendas[[#This Row],[Valor Unitário]]*Vendas[[#This Row],[Qnt Vendida]]</f>
        <v>1584</v>
      </c>
      <c r="J2785" s="3">
        <f>Vendas[[#This Row],[Valor da Venda]]-(_xlfn.XLOOKUP(Vendas[[#This Row],[ID Item Vendido]],Agregado[ID],Agregado[Custo])*Vendas[[#This Row],[Qnt Vendida]])</f>
        <v>264</v>
      </c>
      <c r="K2785" s="70">
        <f>Vendas[[#This Row],[Lucro da Venda]]/Vendas[[#This Row],[Valor da Venda]]</f>
        <v>0.16666666666666666</v>
      </c>
      <c r="L2785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2785"/>
    </row>
    <row r="2786" spans="1:13" x14ac:dyDescent="0.3">
      <c r="A2786" s="7">
        <v>400246</v>
      </c>
      <c r="B2786" t="str">
        <f>_xlfn.XLOOKUP(Vendas[[#This Row],[ID Vendedor]],Vendedores[ID],Vendedores[Nome])</f>
        <v>Juliana</v>
      </c>
      <c r="C2786" s="7" t="str">
        <f>_xlfn.XLOOKUP(Vendas[[#This Row],[ID Vendedor]],Vendedores[ID],Vendedores[Setor])</f>
        <v>AHD</v>
      </c>
      <c r="D2786" s="7" t="s">
        <v>18</v>
      </c>
      <c r="E2786" t="str">
        <f>_xlfn.XLOOKUP(Vendas[[#This Row],[ID Item Vendido]],Agregado[ID],Agregado[Produto])</f>
        <v>Peça forjada sob encomenda</v>
      </c>
      <c r="F2786" s="39">
        <v>45176</v>
      </c>
      <c r="G2786" s="7">
        <v>2</v>
      </c>
      <c r="H2786" s="3">
        <f>_xlfn.XLOOKUP(Vendas[[#This Row],[ID Item Vendido]],Agregado[ID],Agregado[Revenda])</f>
        <v>264.60000000000002</v>
      </c>
      <c r="I2786" s="3">
        <f>Vendas[[#This Row],[Valor Unitário]]*Vendas[[#This Row],[Qnt Vendida]]</f>
        <v>529.20000000000005</v>
      </c>
      <c r="J2786" s="3">
        <f>Vendas[[#This Row],[Valor da Venda]]-(_xlfn.XLOOKUP(Vendas[[#This Row],[ID Item Vendido]],Agregado[ID],Agregado[Custo])*Vendas[[#This Row],[Qnt Vendida]])</f>
        <v>29.200000000000045</v>
      </c>
      <c r="K2786" s="70">
        <f>Vendas[[#This Row],[Lucro da Venda]]/Vendas[[#This Row],[Valor da Venda]]</f>
        <v>5.5177626606198113E-2</v>
      </c>
      <c r="L2786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786"/>
    </row>
    <row r="2787" spans="1:13" x14ac:dyDescent="0.3">
      <c r="A2787" s="7">
        <v>400242</v>
      </c>
      <c r="B2787" t="str">
        <f>_xlfn.XLOOKUP(Vendas[[#This Row],[ID Vendedor]],Vendedores[ID],Vendedores[Nome])</f>
        <v>Fernanda</v>
      </c>
      <c r="C2787" s="7" t="str">
        <f>_xlfn.XLOOKUP(Vendas[[#This Row],[ID Vendedor]],Vendedores[ID],Vendedores[Setor])</f>
        <v>FM</v>
      </c>
      <c r="D2787" s="7" t="s">
        <v>47</v>
      </c>
      <c r="E2787" t="str">
        <f>_xlfn.XLOOKUP(Vendas[[#This Row],[ID Item Vendido]],Agregado[ID],Agregado[Produto])</f>
        <v>Fio de arame galvanizado rolo 50m</v>
      </c>
      <c r="F2787" s="39">
        <v>45176</v>
      </c>
      <c r="G2787" s="7">
        <v>12</v>
      </c>
      <c r="H2787" s="3">
        <f>_xlfn.XLOOKUP(Vendas[[#This Row],[ID Item Vendido]],Agregado[ID],Agregado[Revenda])</f>
        <v>21.2</v>
      </c>
      <c r="I2787" s="3">
        <f>Vendas[[#This Row],[Valor Unitário]]*Vendas[[#This Row],[Qnt Vendida]]</f>
        <v>254.39999999999998</v>
      </c>
      <c r="J2787" s="3">
        <f>Vendas[[#This Row],[Valor da Venda]]-(_xlfn.XLOOKUP(Vendas[[#This Row],[ID Item Vendido]],Agregado[ID],Agregado[Custo])*Vendas[[#This Row],[Qnt Vendida]])</f>
        <v>38.399999999999977</v>
      </c>
      <c r="K2787" s="70">
        <f>Vendas[[#This Row],[Lucro da Venda]]/Vendas[[#This Row],[Valor da Venda]]</f>
        <v>0.15094339622641501</v>
      </c>
      <c r="L2787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2787"/>
    </row>
    <row r="2788" spans="1:13" x14ac:dyDescent="0.3">
      <c r="A2788" s="7">
        <v>400250</v>
      </c>
      <c r="B2788" t="str">
        <f>_xlfn.XLOOKUP(Vendas[[#This Row],[ID Vendedor]],Vendedores[ID],Vendedores[Nome])</f>
        <v>Larissa</v>
      </c>
      <c r="C2788" s="7" t="str">
        <f>_xlfn.XLOOKUP(Vendas[[#This Row],[ID Vendedor]],Vendedores[ID],Vendedores[Setor])</f>
        <v>AB</v>
      </c>
      <c r="D2788" s="7" t="s">
        <v>39</v>
      </c>
      <c r="E2788" t="str">
        <f>_xlfn.XLOOKUP(Vendas[[#This Row],[ID Item Vendido]],Agregado[ID],Agregado[Produto])</f>
        <v>Filme plástico industrial rolo 50m</v>
      </c>
      <c r="F2788" s="39">
        <v>45176</v>
      </c>
      <c r="G2788" s="7">
        <v>6</v>
      </c>
      <c r="H2788" s="3">
        <f>_xlfn.XLOOKUP(Vendas[[#This Row],[ID Item Vendido]],Agregado[ID],Agregado[Revenda])</f>
        <v>37</v>
      </c>
      <c r="I2788" s="3">
        <f>Vendas[[#This Row],[Valor Unitário]]*Vendas[[#This Row],[Qnt Vendida]]</f>
        <v>222</v>
      </c>
      <c r="J2788" s="3">
        <f>Vendas[[#This Row],[Valor da Venda]]-(_xlfn.XLOOKUP(Vendas[[#This Row],[ID Item Vendido]],Agregado[ID],Agregado[Custo])*Vendas[[#This Row],[Qnt Vendida]])</f>
        <v>54</v>
      </c>
      <c r="K2788" s="70">
        <f>Vendas[[#This Row],[Lucro da Venda]]/Vendas[[#This Row],[Valor da Venda]]</f>
        <v>0.24324324324324326</v>
      </c>
      <c r="L2788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2788"/>
    </row>
    <row r="2789" spans="1:13" x14ac:dyDescent="0.3">
      <c r="A2789" s="7">
        <v>400242</v>
      </c>
      <c r="B2789" t="str">
        <f>_xlfn.XLOOKUP(Vendas[[#This Row],[ID Vendedor]],Vendedores[ID],Vendedores[Nome])</f>
        <v>Fernanda</v>
      </c>
      <c r="C2789" s="7" t="str">
        <f>_xlfn.XLOOKUP(Vendas[[#This Row],[ID Vendedor]],Vendedores[ID],Vendedores[Setor])</f>
        <v>FM</v>
      </c>
      <c r="D2789" s="7" t="s">
        <v>20</v>
      </c>
      <c r="E2789" t="str">
        <f>_xlfn.XLOOKUP(Vendas[[#This Row],[ID Item Vendido]],Agregado[ID],Agregado[Produto])</f>
        <v>Barra de aço simples</v>
      </c>
      <c r="F2789" s="39">
        <v>45176</v>
      </c>
      <c r="G2789" s="7">
        <v>42</v>
      </c>
      <c r="H2789" s="3">
        <f>_xlfn.XLOOKUP(Vendas[[#This Row],[ID Item Vendido]],Agregado[ID],Agregado[Revenda])</f>
        <v>4.8</v>
      </c>
      <c r="I2789" s="3">
        <f>Vendas[[#This Row],[Valor Unitário]]*Vendas[[#This Row],[Qnt Vendida]]</f>
        <v>201.6</v>
      </c>
      <c r="J2789" s="3">
        <f>Vendas[[#This Row],[Valor da Venda]]-(_xlfn.XLOOKUP(Vendas[[#This Row],[ID Item Vendido]],Agregado[ID],Agregado[Custo])*Vendas[[#This Row],[Qnt Vendida]])</f>
        <v>25.199999999999989</v>
      </c>
      <c r="K2789" s="70">
        <f>Vendas[[#This Row],[Lucro da Venda]]/Vendas[[#This Row],[Valor da Venda]]</f>
        <v>0.12499999999999994</v>
      </c>
      <c r="L2789" s="3">
        <f>_xlfn.IFS(Vendas[[#This Row],[Margem de Lucro (%)]]&lt;15%,Vendas[[#This Row],[Valor da Venda]]*3%,Vendas[[#This Row],[Margem de Lucro (%)]]&lt;=20%,Vendas[[#This Row],[Valor da Venda]]*4.5%,TRUE,Vendas[[#This Row],[Valor da Venda]]*6%)</f>
        <v>6.048</v>
      </c>
      <c r="M2789"/>
    </row>
    <row r="2790" spans="1:13" x14ac:dyDescent="0.3">
      <c r="A2790" s="7">
        <v>400248</v>
      </c>
      <c r="B2790" t="str">
        <f>_xlfn.XLOOKUP(Vendas[[#This Row],[ID Vendedor]],Vendedores[ID],Vendedores[Nome])</f>
        <v>Patrícia</v>
      </c>
      <c r="C2790" s="7" t="str">
        <f>_xlfn.XLOOKUP(Vendas[[#This Row],[ID Vendedor]],Vendedores[ID],Vendedores[Setor])</f>
        <v>CM</v>
      </c>
      <c r="D2790" s="7" t="s">
        <v>34</v>
      </c>
      <c r="E2790" t="str">
        <f>_xlfn.XLOOKUP(Vendas[[#This Row],[ID Item Vendido]],Agregado[ID],Agregado[Produto])</f>
        <v>Restos de madeira p/ MDP/OSB saco de 20kg</v>
      </c>
      <c r="F2790" s="39">
        <v>45176</v>
      </c>
      <c r="G2790" s="7">
        <v>5</v>
      </c>
      <c r="H2790" s="3">
        <f>_xlfn.XLOOKUP(Vendas[[#This Row],[ID Item Vendido]],Agregado[ID],Agregado[Revenda])</f>
        <v>13.8</v>
      </c>
      <c r="I2790" s="3">
        <f>Vendas[[#This Row],[Valor Unitário]]*Vendas[[#This Row],[Qnt Vendida]]</f>
        <v>69</v>
      </c>
      <c r="J2790" s="3">
        <f>Vendas[[#This Row],[Valor da Venda]]-(_xlfn.XLOOKUP(Vendas[[#This Row],[ID Item Vendido]],Agregado[ID],Agregado[Custo])*Vendas[[#This Row],[Qnt Vendida]])</f>
        <v>9</v>
      </c>
      <c r="K2790" s="70">
        <f>Vendas[[#This Row],[Lucro da Venda]]/Vendas[[#This Row],[Valor da Venda]]</f>
        <v>0.13043478260869565</v>
      </c>
      <c r="L2790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2790"/>
    </row>
    <row r="2791" spans="1:13" x14ac:dyDescent="0.3">
      <c r="A2791" s="7">
        <v>400253</v>
      </c>
      <c r="B2791" t="str">
        <f>_xlfn.XLOOKUP(Vendas[[#This Row],[ID Vendedor]],Vendedores[ID],Vendedores[Nome])</f>
        <v>Gustavo</v>
      </c>
      <c r="C2791" s="7" t="str">
        <f>_xlfn.XLOOKUP(Vendas[[#This Row],[ID Vendedor]],Vendedores[ID],Vendedores[Setor])</f>
        <v>SC</v>
      </c>
      <c r="D2791" s="7" t="s">
        <v>41</v>
      </c>
      <c r="E2791" t="str">
        <f>_xlfn.XLOOKUP(Vendas[[#This Row],[ID Item Vendido]],Agregado[ID],Agregado[Produto])</f>
        <v>Palete de madeira reforçado</v>
      </c>
      <c r="F2791" s="39">
        <v>45177</v>
      </c>
      <c r="G2791" s="7">
        <v>2</v>
      </c>
      <c r="H2791" s="3">
        <f>_xlfn.XLOOKUP(Vendas[[#This Row],[ID Item Vendido]],Agregado[ID],Agregado[Revenda])</f>
        <v>131</v>
      </c>
      <c r="I2791" s="3">
        <f>Vendas[[#This Row],[Valor Unitário]]*Vendas[[#This Row],[Qnt Vendida]]</f>
        <v>262</v>
      </c>
      <c r="J2791" s="3">
        <f>Vendas[[#This Row],[Valor da Venda]]-(_xlfn.XLOOKUP(Vendas[[#This Row],[ID Item Vendido]],Agregado[ID],Agregado[Custo])*Vendas[[#This Row],[Qnt Vendida]])</f>
        <v>42</v>
      </c>
      <c r="K2791" s="70">
        <f>Vendas[[#This Row],[Lucro da Venda]]/Vendas[[#This Row],[Valor da Venda]]</f>
        <v>0.16030534351145037</v>
      </c>
      <c r="L2791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2791"/>
    </row>
    <row r="2792" spans="1:13" x14ac:dyDescent="0.3">
      <c r="A2792" s="7">
        <v>400243</v>
      </c>
      <c r="B2792" t="str">
        <f>_xlfn.XLOOKUP(Vendas[[#This Row],[ID Vendedor]],Vendedores[ID],Vendedores[Nome])</f>
        <v>Marcelo</v>
      </c>
      <c r="C2792" s="7" t="str">
        <f>_xlfn.XLOOKUP(Vendas[[#This Row],[ID Vendedor]],Vendedores[ID],Vendedores[Setor])</f>
        <v>FM</v>
      </c>
      <c r="D2792" s="7" t="s">
        <v>6</v>
      </c>
      <c r="E2792" t="str">
        <f>_xlfn.XLOOKUP(Vendas[[#This Row],[ID Item Vendido]],Agregado[ID],Agregado[Produto])</f>
        <v>Parafuso comum 500un</v>
      </c>
      <c r="F2792" s="39">
        <v>45177</v>
      </c>
      <c r="G2792" s="7">
        <v>3</v>
      </c>
      <c r="H2792" s="3">
        <f>_xlfn.XLOOKUP(Vendas[[#This Row],[ID Item Vendido]],Agregado[ID],Agregado[Revenda])</f>
        <v>24.6</v>
      </c>
      <c r="I2792" s="3">
        <f>Vendas[[#This Row],[Valor Unitário]]*Vendas[[#This Row],[Qnt Vendida]]</f>
        <v>73.800000000000011</v>
      </c>
      <c r="J2792" s="3">
        <f>Vendas[[#This Row],[Valor da Venda]]-(_xlfn.XLOOKUP(Vendas[[#This Row],[ID Item Vendido]],Agregado[ID],Agregado[Custo])*Vendas[[#This Row],[Qnt Vendida]])</f>
        <v>7.8000000000000114</v>
      </c>
      <c r="K2792" s="70">
        <f>Vendas[[#This Row],[Lucro da Venda]]/Vendas[[#This Row],[Valor da Venda]]</f>
        <v>0.10569105691056924</v>
      </c>
      <c r="L2792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2792"/>
    </row>
    <row r="2793" spans="1:13" x14ac:dyDescent="0.3">
      <c r="A2793" s="7">
        <v>400255</v>
      </c>
      <c r="B2793" t="str">
        <f>_xlfn.XLOOKUP(Vendas[[#This Row],[ID Vendedor]],Vendedores[ID],Vendedores[Nome])</f>
        <v>Carlos</v>
      </c>
      <c r="C2793" s="7" t="str">
        <f>_xlfn.XLOOKUP(Vendas[[#This Row],[ID Vendedor]],Vendedores[ID],Vendedores[Setor])</f>
        <v>SC</v>
      </c>
      <c r="D2793" s="7" t="s">
        <v>14</v>
      </c>
      <c r="E2793" t="str">
        <f>_xlfn.XLOOKUP(Vendas[[#This Row],[ID Item Vendido]],Agregado[ID],Agregado[Produto])</f>
        <v>Barril de plástico 200L</v>
      </c>
      <c r="F2793" s="39">
        <v>45178</v>
      </c>
      <c r="G2793" s="7">
        <v>13</v>
      </c>
      <c r="H2793" s="3">
        <f>_xlfn.XLOOKUP(Vendas[[#This Row],[ID Item Vendido]],Agregado[ID],Agregado[Revenda])</f>
        <v>114</v>
      </c>
      <c r="I2793" s="3">
        <f>Vendas[[#This Row],[Valor Unitário]]*Vendas[[#This Row],[Qnt Vendida]]</f>
        <v>1482</v>
      </c>
      <c r="J2793" s="3">
        <f>Vendas[[#This Row],[Valor da Venda]]-(_xlfn.XLOOKUP(Vendas[[#This Row],[ID Item Vendido]],Agregado[ID],Agregado[Custo])*Vendas[[#This Row],[Qnt Vendida]])</f>
        <v>247</v>
      </c>
      <c r="K2793" s="70">
        <f>Vendas[[#This Row],[Lucro da Venda]]/Vendas[[#This Row],[Valor da Venda]]</f>
        <v>0.16666666666666666</v>
      </c>
      <c r="L2793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793"/>
    </row>
    <row r="2794" spans="1:13" x14ac:dyDescent="0.3">
      <c r="A2794" s="7">
        <v>400246</v>
      </c>
      <c r="B2794" t="str">
        <f>_xlfn.XLOOKUP(Vendas[[#This Row],[ID Vendedor]],Vendedores[ID],Vendedores[Nome])</f>
        <v>Juliana</v>
      </c>
      <c r="C2794" s="7" t="str">
        <f>_xlfn.XLOOKUP(Vendas[[#This Row],[ID Vendedor]],Vendedores[ID],Vendedores[Setor])</f>
        <v>AHD</v>
      </c>
      <c r="D2794" s="7" t="s">
        <v>28</v>
      </c>
      <c r="E2794" t="str">
        <f>_xlfn.XLOOKUP(Vendas[[#This Row],[ID Item Vendido]],Agregado[ID],Agregado[Produto])</f>
        <v>Peça usinada CNC</v>
      </c>
      <c r="F2794" s="39">
        <v>45178</v>
      </c>
      <c r="G2794" s="7">
        <v>7</v>
      </c>
      <c r="H2794" s="3">
        <f>_xlfn.XLOOKUP(Vendas[[#This Row],[ID Item Vendido]],Agregado[ID],Agregado[Revenda])</f>
        <v>192</v>
      </c>
      <c r="I2794" s="3">
        <f>Vendas[[#This Row],[Valor Unitário]]*Vendas[[#This Row],[Qnt Vendida]]</f>
        <v>1344</v>
      </c>
      <c r="J2794" s="3">
        <f>Vendas[[#This Row],[Valor da Venda]]-(_xlfn.XLOOKUP(Vendas[[#This Row],[ID Item Vendido]],Agregado[ID],Agregado[Custo])*Vendas[[#This Row],[Qnt Vendida]])</f>
        <v>294</v>
      </c>
      <c r="K2794" s="70">
        <f>Vendas[[#This Row],[Lucro da Venda]]/Vendas[[#This Row],[Valor da Venda]]</f>
        <v>0.21875</v>
      </c>
      <c r="L2794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2794"/>
    </row>
    <row r="2795" spans="1:13" x14ac:dyDescent="0.3">
      <c r="A2795" s="7">
        <v>400254</v>
      </c>
      <c r="B2795" t="str">
        <f>_xlfn.XLOOKUP(Vendas[[#This Row],[ID Vendedor]],Vendedores[ID],Vendedores[Nome])</f>
        <v>Beatriz</v>
      </c>
      <c r="C2795" s="7" t="str">
        <f>_xlfn.XLOOKUP(Vendas[[#This Row],[ID Vendedor]],Vendedores[ID],Vendedores[Setor])</f>
        <v>SC</v>
      </c>
      <c r="D2795" s="7" t="s">
        <v>41</v>
      </c>
      <c r="E2795" t="str">
        <f>_xlfn.XLOOKUP(Vendas[[#This Row],[ID Item Vendido]],Agregado[ID],Agregado[Produto])</f>
        <v>Palete de madeira reforçado</v>
      </c>
      <c r="F2795" s="39">
        <v>45178</v>
      </c>
      <c r="G2795" s="7">
        <v>5</v>
      </c>
      <c r="H2795" s="3">
        <f>_xlfn.XLOOKUP(Vendas[[#This Row],[ID Item Vendido]],Agregado[ID],Agregado[Revenda])</f>
        <v>131</v>
      </c>
      <c r="I2795" s="3">
        <f>Vendas[[#This Row],[Valor Unitário]]*Vendas[[#This Row],[Qnt Vendida]]</f>
        <v>655</v>
      </c>
      <c r="J2795" s="3">
        <f>Vendas[[#This Row],[Valor da Venda]]-(_xlfn.XLOOKUP(Vendas[[#This Row],[ID Item Vendido]],Agregado[ID],Agregado[Custo])*Vendas[[#This Row],[Qnt Vendida]])</f>
        <v>105</v>
      </c>
      <c r="K2795" s="70">
        <f>Vendas[[#This Row],[Lucro da Venda]]/Vendas[[#This Row],[Valor da Venda]]</f>
        <v>0.16030534351145037</v>
      </c>
      <c r="L2795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2795"/>
    </row>
    <row r="2796" spans="1:13" x14ac:dyDescent="0.3">
      <c r="A2796" s="7">
        <v>400248</v>
      </c>
      <c r="B2796" t="str">
        <f>_xlfn.XLOOKUP(Vendas[[#This Row],[ID Vendedor]],Vendedores[ID],Vendedores[Nome])</f>
        <v>Patrícia</v>
      </c>
      <c r="C2796" s="7" t="str">
        <f>_xlfn.XLOOKUP(Vendas[[#This Row],[ID Vendedor]],Vendedores[ID],Vendedores[Setor])</f>
        <v>CM</v>
      </c>
      <c r="D2796" s="7" t="s">
        <v>45</v>
      </c>
      <c r="E2796" t="str">
        <f>_xlfn.XLOOKUP(Vendas[[#This Row],[ID Item Vendido]],Agregado[ID],Agregado[Produto])</f>
        <v>Viga de madeira tratada 4m</v>
      </c>
      <c r="F2796" s="39">
        <v>45178</v>
      </c>
      <c r="G2796" s="7">
        <v>6</v>
      </c>
      <c r="H2796" s="3">
        <f>_xlfn.XLOOKUP(Vendas[[#This Row],[ID Item Vendido]],Agregado[ID],Agregado[Revenda])</f>
        <v>66</v>
      </c>
      <c r="I2796" s="3">
        <f>Vendas[[#This Row],[Valor Unitário]]*Vendas[[#This Row],[Qnt Vendida]]</f>
        <v>396</v>
      </c>
      <c r="J2796" s="3">
        <f>Vendas[[#This Row],[Valor da Venda]]-(_xlfn.XLOOKUP(Vendas[[#This Row],[ID Item Vendido]],Agregado[ID],Agregado[Custo])*Vendas[[#This Row],[Qnt Vendida]])</f>
        <v>66</v>
      </c>
      <c r="K2796" s="70">
        <f>Vendas[[#This Row],[Lucro da Venda]]/Vendas[[#This Row],[Valor da Venda]]</f>
        <v>0.16666666666666666</v>
      </c>
      <c r="L2796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2796"/>
    </row>
    <row r="2797" spans="1:13" x14ac:dyDescent="0.3">
      <c r="A2797" s="7">
        <v>400254</v>
      </c>
      <c r="B2797" t="str">
        <f>_xlfn.XLOOKUP(Vendas[[#This Row],[ID Vendedor]],Vendedores[ID],Vendedores[Nome])</f>
        <v>Beatriz</v>
      </c>
      <c r="C2797" s="7" t="str">
        <f>_xlfn.XLOOKUP(Vendas[[#This Row],[ID Vendedor]],Vendedores[ID],Vendedores[Setor])</f>
        <v>SC</v>
      </c>
      <c r="D2797" s="7" t="s">
        <v>48</v>
      </c>
      <c r="E2797" t="str">
        <f>_xlfn.XLOOKUP(Vendas[[#This Row],[ID Item Vendido]],Agregado[ID],Agregado[Produto])</f>
        <v>Tambor metálico 200L</v>
      </c>
      <c r="F2797" s="39">
        <v>45179</v>
      </c>
      <c r="G2797" s="7">
        <v>10</v>
      </c>
      <c r="H2797" s="3">
        <f>_xlfn.XLOOKUP(Vendas[[#This Row],[ID Item Vendido]],Agregado[ID],Agregado[Revenda])</f>
        <v>144</v>
      </c>
      <c r="I2797" s="3">
        <f>Vendas[[#This Row],[Valor Unitário]]*Vendas[[#This Row],[Qnt Vendida]]</f>
        <v>1440</v>
      </c>
      <c r="J2797" s="3">
        <f>Vendas[[#This Row],[Valor da Venda]]-(_xlfn.XLOOKUP(Vendas[[#This Row],[ID Item Vendido]],Agregado[ID],Agregado[Custo])*Vendas[[#This Row],[Qnt Vendida]])</f>
        <v>240</v>
      </c>
      <c r="K2797" s="70">
        <f>Vendas[[#This Row],[Lucro da Venda]]/Vendas[[#This Row],[Valor da Venda]]</f>
        <v>0.16666666666666666</v>
      </c>
      <c r="L2797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2797"/>
    </row>
    <row r="2798" spans="1:13" x14ac:dyDescent="0.3">
      <c r="A2798" s="7">
        <v>400246</v>
      </c>
      <c r="B2798" t="str">
        <f>_xlfn.XLOOKUP(Vendas[[#This Row],[ID Vendedor]],Vendedores[ID],Vendedores[Nome])</f>
        <v>Juliana</v>
      </c>
      <c r="C2798" s="7" t="str">
        <f>_xlfn.XLOOKUP(Vendas[[#This Row],[ID Vendedor]],Vendedores[ID],Vendedores[Setor])</f>
        <v>AHD</v>
      </c>
      <c r="D2798" s="7" t="s">
        <v>9</v>
      </c>
      <c r="E2798" t="str">
        <f>_xlfn.XLOOKUP(Vendas[[#This Row],[ID Item Vendido]],Agregado[ID],Agregado[Produto])</f>
        <v>Barra de aço simples</v>
      </c>
      <c r="F2798" s="39">
        <v>45179</v>
      </c>
      <c r="G2798" s="7">
        <v>130</v>
      </c>
      <c r="H2798" s="3">
        <f>_xlfn.XLOOKUP(Vendas[[#This Row],[ID Item Vendido]],Agregado[ID],Agregado[Revenda])</f>
        <v>6.7</v>
      </c>
      <c r="I2798" s="3">
        <f>Vendas[[#This Row],[Valor Unitário]]*Vendas[[#This Row],[Qnt Vendida]]</f>
        <v>871</v>
      </c>
      <c r="J2798" s="3">
        <f>Vendas[[#This Row],[Valor da Venda]]-(_xlfn.XLOOKUP(Vendas[[#This Row],[ID Item Vendido]],Agregado[ID],Agregado[Custo])*Vendas[[#This Row],[Qnt Vendida]])</f>
        <v>117</v>
      </c>
      <c r="K2798" s="70">
        <f>Vendas[[#This Row],[Lucro da Venda]]/Vendas[[#This Row],[Valor da Venda]]</f>
        <v>0.13432835820895522</v>
      </c>
      <c r="L2798" s="3">
        <f>_xlfn.IFS(Vendas[[#This Row],[Margem de Lucro (%)]]&lt;15%,Vendas[[#This Row],[Valor da Venda]]*3%,Vendas[[#This Row],[Margem de Lucro (%)]]&lt;=20%,Vendas[[#This Row],[Valor da Venda]]*4.5%,TRUE,Vendas[[#This Row],[Valor da Venda]]*6%)</f>
        <v>26.13</v>
      </c>
      <c r="M2798"/>
    </row>
    <row r="2799" spans="1:13" x14ac:dyDescent="0.3">
      <c r="A2799" s="7">
        <v>400255</v>
      </c>
      <c r="B2799" t="str">
        <f>_xlfn.XLOOKUP(Vendas[[#This Row],[ID Vendedor]],Vendedores[ID],Vendedores[Nome])</f>
        <v>Carlos</v>
      </c>
      <c r="C2799" s="7" t="str">
        <f>_xlfn.XLOOKUP(Vendas[[#This Row],[ID Vendedor]],Vendedores[ID],Vendedores[Setor])</f>
        <v>SC</v>
      </c>
      <c r="D2799" s="7" t="s">
        <v>48</v>
      </c>
      <c r="E2799" t="str">
        <f>_xlfn.XLOOKUP(Vendas[[#This Row],[ID Item Vendido]],Agregado[ID],Agregado[Produto])</f>
        <v>Tambor metálico 200L</v>
      </c>
      <c r="F2799" s="39">
        <v>45180</v>
      </c>
      <c r="G2799" s="7">
        <v>11</v>
      </c>
      <c r="H2799" s="3">
        <f>_xlfn.XLOOKUP(Vendas[[#This Row],[ID Item Vendido]],Agregado[ID],Agregado[Revenda])</f>
        <v>144</v>
      </c>
      <c r="I2799" s="3">
        <f>Vendas[[#This Row],[Valor Unitário]]*Vendas[[#This Row],[Qnt Vendida]]</f>
        <v>1584</v>
      </c>
      <c r="J2799" s="3">
        <f>Vendas[[#This Row],[Valor da Venda]]-(_xlfn.XLOOKUP(Vendas[[#This Row],[ID Item Vendido]],Agregado[ID],Agregado[Custo])*Vendas[[#This Row],[Qnt Vendida]])</f>
        <v>264</v>
      </c>
      <c r="K2799" s="70">
        <f>Vendas[[#This Row],[Lucro da Venda]]/Vendas[[#This Row],[Valor da Venda]]</f>
        <v>0.16666666666666666</v>
      </c>
      <c r="L2799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2799"/>
    </row>
    <row r="2800" spans="1:13" x14ac:dyDescent="0.3">
      <c r="A2800" s="7">
        <v>400241</v>
      </c>
      <c r="B2800" t="str">
        <f>_xlfn.XLOOKUP(Vendas[[#This Row],[ID Vendedor]],Vendedores[ID],Vendedores[Nome])</f>
        <v>Rodrigo</v>
      </c>
      <c r="C2800" s="7" t="str">
        <f>_xlfn.XLOOKUP(Vendas[[#This Row],[ID Vendedor]],Vendedores[ID],Vendedores[Setor])</f>
        <v>FM</v>
      </c>
      <c r="D2800" s="7" t="s">
        <v>27</v>
      </c>
      <c r="E2800" t="str">
        <f>_xlfn.XLOOKUP(Vendas[[#This Row],[ID Item Vendido]],Agregado[ID],Agregado[Produto])</f>
        <v>Chapa de metal lisa 1x2m</v>
      </c>
      <c r="F2800" s="39">
        <v>45180</v>
      </c>
      <c r="G2800" s="7">
        <v>28</v>
      </c>
      <c r="H2800" s="3">
        <f>_xlfn.XLOOKUP(Vendas[[#This Row],[ID Item Vendido]],Agregado[ID],Agregado[Revenda])</f>
        <v>52</v>
      </c>
      <c r="I2800" s="3">
        <f>Vendas[[#This Row],[Valor Unitário]]*Vendas[[#This Row],[Qnt Vendida]]</f>
        <v>1456</v>
      </c>
      <c r="J2800" s="3">
        <f>Vendas[[#This Row],[Valor da Venda]]-(_xlfn.XLOOKUP(Vendas[[#This Row],[ID Item Vendido]],Agregado[ID],Agregado[Custo])*Vendas[[#This Row],[Qnt Vendida]])</f>
        <v>196</v>
      </c>
      <c r="K2800" s="70">
        <f>Vendas[[#This Row],[Lucro da Venda]]/Vendas[[#This Row],[Valor da Venda]]</f>
        <v>0.13461538461538461</v>
      </c>
      <c r="L2800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2800"/>
    </row>
    <row r="2801" spans="1:13" x14ac:dyDescent="0.3">
      <c r="A2801" s="7">
        <v>400254</v>
      </c>
      <c r="B2801" t="str">
        <f>_xlfn.XLOOKUP(Vendas[[#This Row],[ID Vendedor]],Vendedores[ID],Vendedores[Nome])</f>
        <v>Beatriz</v>
      </c>
      <c r="C2801" s="7" t="str">
        <f>_xlfn.XLOOKUP(Vendas[[#This Row],[ID Vendedor]],Vendedores[ID],Vendedores[Setor])</f>
        <v>SC</v>
      </c>
      <c r="D2801" s="7" t="s">
        <v>14</v>
      </c>
      <c r="E2801" t="str">
        <f>_xlfn.XLOOKUP(Vendas[[#This Row],[ID Item Vendido]],Agregado[ID],Agregado[Produto])</f>
        <v>Barril de plástico 200L</v>
      </c>
      <c r="F2801" s="39">
        <v>45180</v>
      </c>
      <c r="G2801" s="7">
        <v>8</v>
      </c>
      <c r="H2801" s="3">
        <f>_xlfn.XLOOKUP(Vendas[[#This Row],[ID Item Vendido]],Agregado[ID],Agregado[Revenda])</f>
        <v>114</v>
      </c>
      <c r="I2801" s="3">
        <f>Vendas[[#This Row],[Valor Unitário]]*Vendas[[#This Row],[Qnt Vendida]]</f>
        <v>912</v>
      </c>
      <c r="J2801" s="3">
        <f>Vendas[[#This Row],[Valor da Venda]]-(_xlfn.XLOOKUP(Vendas[[#This Row],[ID Item Vendido]],Agregado[ID],Agregado[Custo])*Vendas[[#This Row],[Qnt Vendida]])</f>
        <v>152</v>
      </c>
      <c r="K2801" s="70">
        <f>Vendas[[#This Row],[Lucro da Venda]]/Vendas[[#This Row],[Valor da Venda]]</f>
        <v>0.16666666666666666</v>
      </c>
      <c r="L2801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2801"/>
    </row>
    <row r="2802" spans="1:13" x14ac:dyDescent="0.3">
      <c r="A2802" s="7">
        <v>400246</v>
      </c>
      <c r="B2802" t="str">
        <f>_xlfn.XLOOKUP(Vendas[[#This Row],[ID Vendedor]],Vendedores[ID],Vendedores[Nome])</f>
        <v>Juliana</v>
      </c>
      <c r="C2802" s="7" t="str">
        <f>_xlfn.XLOOKUP(Vendas[[#This Row],[ID Vendedor]],Vendedores[ID],Vendedores[Setor])</f>
        <v>AHD</v>
      </c>
      <c r="D2802" s="7" t="s">
        <v>28</v>
      </c>
      <c r="E2802" t="str">
        <f>_xlfn.XLOOKUP(Vendas[[#This Row],[ID Item Vendido]],Agregado[ID],Agregado[Produto])</f>
        <v>Peça usinada CNC</v>
      </c>
      <c r="F2802" s="39">
        <v>45182</v>
      </c>
      <c r="G2802" s="7">
        <v>10</v>
      </c>
      <c r="H2802" s="3">
        <f>_xlfn.XLOOKUP(Vendas[[#This Row],[ID Item Vendido]],Agregado[ID],Agregado[Revenda])</f>
        <v>192</v>
      </c>
      <c r="I2802" s="3">
        <f>Vendas[[#This Row],[Valor Unitário]]*Vendas[[#This Row],[Qnt Vendida]]</f>
        <v>1920</v>
      </c>
      <c r="J2802" s="3">
        <f>Vendas[[#This Row],[Valor da Venda]]-(_xlfn.XLOOKUP(Vendas[[#This Row],[ID Item Vendido]],Agregado[ID],Agregado[Custo])*Vendas[[#This Row],[Qnt Vendida]])</f>
        <v>420</v>
      </c>
      <c r="K2802" s="70">
        <f>Vendas[[#This Row],[Lucro da Venda]]/Vendas[[#This Row],[Valor da Venda]]</f>
        <v>0.21875</v>
      </c>
      <c r="L2802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2802"/>
    </row>
    <row r="2803" spans="1:13" x14ac:dyDescent="0.3">
      <c r="A2803" s="7">
        <v>400254</v>
      </c>
      <c r="B2803" t="str">
        <f>_xlfn.XLOOKUP(Vendas[[#This Row],[ID Vendedor]],Vendedores[ID],Vendedores[Nome])</f>
        <v>Beatriz</v>
      </c>
      <c r="C2803" s="7" t="str">
        <f>_xlfn.XLOOKUP(Vendas[[#This Row],[ID Vendedor]],Vendedores[ID],Vendedores[Setor])</f>
        <v>SC</v>
      </c>
      <c r="D2803" s="7" t="s">
        <v>14</v>
      </c>
      <c r="E2803" t="str">
        <f>_xlfn.XLOOKUP(Vendas[[#This Row],[ID Item Vendido]],Agregado[ID],Agregado[Produto])</f>
        <v>Barril de plástico 200L</v>
      </c>
      <c r="F2803" s="39">
        <v>45182</v>
      </c>
      <c r="G2803" s="7">
        <v>16</v>
      </c>
      <c r="H2803" s="3">
        <f>_xlfn.XLOOKUP(Vendas[[#This Row],[ID Item Vendido]],Agregado[ID],Agregado[Revenda])</f>
        <v>114</v>
      </c>
      <c r="I2803" s="3">
        <f>Vendas[[#This Row],[Valor Unitário]]*Vendas[[#This Row],[Qnt Vendida]]</f>
        <v>1824</v>
      </c>
      <c r="J2803" s="3">
        <f>Vendas[[#This Row],[Valor da Venda]]-(_xlfn.XLOOKUP(Vendas[[#This Row],[ID Item Vendido]],Agregado[ID],Agregado[Custo])*Vendas[[#This Row],[Qnt Vendida]])</f>
        <v>304</v>
      </c>
      <c r="K2803" s="70">
        <f>Vendas[[#This Row],[Lucro da Venda]]/Vendas[[#This Row],[Valor da Venda]]</f>
        <v>0.16666666666666666</v>
      </c>
      <c r="L2803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2803"/>
    </row>
    <row r="2804" spans="1:13" x14ac:dyDescent="0.3">
      <c r="A2804" s="7">
        <v>400244</v>
      </c>
      <c r="B2804" t="str">
        <f>_xlfn.XLOOKUP(Vendas[[#This Row],[ID Vendedor]],Vendedores[ID],Vendedores[Nome])</f>
        <v>Camila</v>
      </c>
      <c r="C2804" s="7" t="str">
        <f>_xlfn.XLOOKUP(Vendas[[#This Row],[ID Vendedor]],Vendedores[ID],Vendedores[Setor])</f>
        <v>AHD</v>
      </c>
      <c r="D2804" s="7" t="s">
        <v>28</v>
      </c>
      <c r="E2804" t="str">
        <f>_xlfn.XLOOKUP(Vendas[[#This Row],[ID Item Vendido]],Agregado[ID],Agregado[Produto])</f>
        <v>Peça usinada CNC</v>
      </c>
      <c r="F2804" s="39">
        <v>45182</v>
      </c>
      <c r="G2804" s="7">
        <v>1</v>
      </c>
      <c r="H2804" s="3">
        <f>_xlfn.XLOOKUP(Vendas[[#This Row],[ID Item Vendido]],Agregado[ID],Agregado[Revenda])</f>
        <v>192</v>
      </c>
      <c r="I2804" s="3">
        <f>Vendas[[#This Row],[Valor Unitário]]*Vendas[[#This Row],[Qnt Vendida]]</f>
        <v>192</v>
      </c>
      <c r="J2804" s="3">
        <f>Vendas[[#This Row],[Valor da Venda]]-(_xlfn.XLOOKUP(Vendas[[#This Row],[ID Item Vendido]],Agregado[ID],Agregado[Custo])*Vendas[[#This Row],[Qnt Vendida]])</f>
        <v>42</v>
      </c>
      <c r="K2804" s="70">
        <f>Vendas[[#This Row],[Lucro da Venda]]/Vendas[[#This Row],[Valor da Venda]]</f>
        <v>0.21875</v>
      </c>
      <c r="L2804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2804"/>
    </row>
    <row r="2805" spans="1:13" x14ac:dyDescent="0.3">
      <c r="A2805" s="7">
        <v>400250</v>
      </c>
      <c r="B2805" t="str">
        <f>_xlfn.XLOOKUP(Vendas[[#This Row],[ID Vendedor]],Vendedores[ID],Vendedores[Nome])</f>
        <v>Larissa</v>
      </c>
      <c r="C2805" s="7" t="str">
        <f>_xlfn.XLOOKUP(Vendas[[#This Row],[ID Vendedor]],Vendedores[ID],Vendedores[Setor])</f>
        <v>AB</v>
      </c>
      <c r="D2805" s="7" t="s">
        <v>24</v>
      </c>
      <c r="E2805" t="str">
        <f>_xlfn.XLOOKUP(Vendas[[#This Row],[ID Item Vendido]],Agregado[ID],Agregado[Produto])</f>
        <v>Resina plástica PET purificada saco de 25kg</v>
      </c>
      <c r="F2805" s="39">
        <v>45183</v>
      </c>
      <c r="G2805" s="7">
        <v>19</v>
      </c>
      <c r="H2805" s="3">
        <f>_xlfn.XLOOKUP(Vendas[[#This Row],[ID Item Vendido]],Agregado[ID],Agregado[Revenda])</f>
        <v>119</v>
      </c>
      <c r="I2805" s="3">
        <f>Vendas[[#This Row],[Valor Unitário]]*Vendas[[#This Row],[Qnt Vendida]]</f>
        <v>2261</v>
      </c>
      <c r="J2805" s="3">
        <f>Vendas[[#This Row],[Valor da Venda]]-(_xlfn.XLOOKUP(Vendas[[#This Row],[ID Item Vendido]],Agregado[ID],Agregado[Custo])*Vendas[[#This Row],[Qnt Vendida]])</f>
        <v>646</v>
      </c>
      <c r="K2805" s="70">
        <f>Vendas[[#This Row],[Lucro da Venda]]/Vendas[[#This Row],[Valor da Venda]]</f>
        <v>0.2857142857142857</v>
      </c>
      <c r="L2805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805"/>
    </row>
    <row r="2806" spans="1:13" x14ac:dyDescent="0.3">
      <c r="A2806" s="7">
        <v>400254</v>
      </c>
      <c r="B2806" t="str">
        <f>_xlfn.XLOOKUP(Vendas[[#This Row],[ID Vendedor]],Vendedores[ID],Vendedores[Nome])</f>
        <v>Beatriz</v>
      </c>
      <c r="C2806" s="7" t="str">
        <f>_xlfn.XLOOKUP(Vendas[[#This Row],[ID Vendedor]],Vendedores[ID],Vendedores[Setor])</f>
        <v>SC</v>
      </c>
      <c r="D2806" s="7" t="s">
        <v>14</v>
      </c>
      <c r="E2806" t="str">
        <f>_xlfn.XLOOKUP(Vendas[[#This Row],[ID Item Vendido]],Agregado[ID],Agregado[Produto])</f>
        <v>Barril de plástico 200L</v>
      </c>
      <c r="F2806" s="39">
        <v>45183</v>
      </c>
      <c r="G2806" s="7">
        <v>17</v>
      </c>
      <c r="H2806" s="3">
        <f>_xlfn.XLOOKUP(Vendas[[#This Row],[ID Item Vendido]],Agregado[ID],Agregado[Revenda])</f>
        <v>114</v>
      </c>
      <c r="I2806" s="3">
        <f>Vendas[[#This Row],[Valor Unitário]]*Vendas[[#This Row],[Qnt Vendida]]</f>
        <v>1938</v>
      </c>
      <c r="J2806" s="3">
        <f>Vendas[[#This Row],[Valor da Venda]]-(_xlfn.XLOOKUP(Vendas[[#This Row],[ID Item Vendido]],Agregado[ID],Agregado[Custo])*Vendas[[#This Row],[Qnt Vendida]])</f>
        <v>323</v>
      </c>
      <c r="K2806" s="70">
        <f>Vendas[[#This Row],[Lucro da Venda]]/Vendas[[#This Row],[Valor da Venda]]</f>
        <v>0.16666666666666666</v>
      </c>
      <c r="L2806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2806"/>
    </row>
    <row r="2807" spans="1:13" x14ac:dyDescent="0.3">
      <c r="A2807" s="7">
        <v>400246</v>
      </c>
      <c r="B2807" t="str">
        <f>_xlfn.XLOOKUP(Vendas[[#This Row],[ID Vendedor]],Vendedores[ID],Vendedores[Nome])</f>
        <v>Juliana</v>
      </c>
      <c r="C2807" s="7" t="str">
        <f>_xlfn.XLOOKUP(Vendas[[#This Row],[ID Vendedor]],Vendedores[ID],Vendedores[Setor])</f>
        <v>AHD</v>
      </c>
      <c r="D2807" s="7" t="s">
        <v>30</v>
      </c>
      <c r="E2807" t="str">
        <f>_xlfn.XLOOKUP(Vendas[[#This Row],[ID Item Vendido]],Agregado[ID],Agregado[Produto])</f>
        <v>Estrutura metálica soldada</v>
      </c>
      <c r="F2807" s="39">
        <v>45183</v>
      </c>
      <c r="G2807" s="7">
        <v>3</v>
      </c>
      <c r="H2807" s="3">
        <f>_xlfn.XLOOKUP(Vendas[[#This Row],[ID Item Vendido]],Agregado[ID],Agregado[Revenda])</f>
        <v>400</v>
      </c>
      <c r="I2807" s="3">
        <f>Vendas[[#This Row],[Valor Unitário]]*Vendas[[#This Row],[Qnt Vendida]]</f>
        <v>1200</v>
      </c>
      <c r="J2807" s="3">
        <f>Vendas[[#This Row],[Valor da Venda]]-(_xlfn.XLOOKUP(Vendas[[#This Row],[ID Item Vendido]],Agregado[ID],Agregado[Custo])*Vendas[[#This Row],[Qnt Vendida]])</f>
        <v>240</v>
      </c>
      <c r="K2807" s="70">
        <f>Vendas[[#This Row],[Lucro da Venda]]/Vendas[[#This Row],[Valor da Venda]]</f>
        <v>0.2</v>
      </c>
      <c r="L2807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2807"/>
    </row>
    <row r="2808" spans="1:13" x14ac:dyDescent="0.3">
      <c r="A2808" s="7">
        <v>400244</v>
      </c>
      <c r="B2808" t="str">
        <f>_xlfn.XLOOKUP(Vendas[[#This Row],[ID Vendedor]],Vendedores[ID],Vendedores[Nome])</f>
        <v>Camila</v>
      </c>
      <c r="C2808" s="7" t="str">
        <f>_xlfn.XLOOKUP(Vendas[[#This Row],[ID Vendedor]],Vendedores[ID],Vendedores[Setor])</f>
        <v>AHD</v>
      </c>
      <c r="D2808" s="7" t="s">
        <v>18</v>
      </c>
      <c r="E2808" t="str">
        <f>_xlfn.XLOOKUP(Vendas[[#This Row],[ID Item Vendido]],Agregado[ID],Agregado[Produto])</f>
        <v>Peça forjada sob encomenda</v>
      </c>
      <c r="F2808" s="39">
        <v>45183</v>
      </c>
      <c r="G2808" s="7">
        <v>3</v>
      </c>
      <c r="H2808" s="3">
        <f>_xlfn.XLOOKUP(Vendas[[#This Row],[ID Item Vendido]],Agregado[ID],Agregado[Revenda])</f>
        <v>264.60000000000002</v>
      </c>
      <c r="I2808" s="3">
        <f>Vendas[[#This Row],[Valor Unitário]]*Vendas[[#This Row],[Qnt Vendida]]</f>
        <v>793.80000000000007</v>
      </c>
      <c r="J2808" s="3">
        <f>Vendas[[#This Row],[Valor da Venda]]-(_xlfn.XLOOKUP(Vendas[[#This Row],[ID Item Vendido]],Agregado[ID],Agregado[Custo])*Vendas[[#This Row],[Qnt Vendida]])</f>
        <v>43.800000000000068</v>
      </c>
      <c r="K2808" s="70">
        <f>Vendas[[#This Row],[Lucro da Venda]]/Vendas[[#This Row],[Valor da Venda]]</f>
        <v>5.5177626606198113E-2</v>
      </c>
      <c r="L2808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808"/>
    </row>
    <row r="2809" spans="1:13" x14ac:dyDescent="0.3">
      <c r="A2809" s="7">
        <v>400245</v>
      </c>
      <c r="B2809" t="str">
        <f>_xlfn.XLOOKUP(Vendas[[#This Row],[ID Vendedor]],Vendedores[ID],Vendedores[Nome])</f>
        <v>Thiago</v>
      </c>
      <c r="C2809" s="7" t="str">
        <f>_xlfn.XLOOKUP(Vendas[[#This Row],[ID Vendedor]],Vendedores[ID],Vendedores[Setor])</f>
        <v>AHD</v>
      </c>
      <c r="D2809" s="7" t="s">
        <v>44</v>
      </c>
      <c r="E2809" t="str">
        <f>_xlfn.XLOOKUP(Vendas[[#This Row],[ID Item Vendido]],Agregado[ID],Agregado[Produto])</f>
        <v>Liga metálica especial</v>
      </c>
      <c r="F2809" s="39">
        <v>45184</v>
      </c>
      <c r="G2809" s="7">
        <v>53</v>
      </c>
      <c r="H2809" s="3">
        <f>_xlfn.XLOOKUP(Vendas[[#This Row],[ID Item Vendido]],Agregado[ID],Agregado[Revenda])</f>
        <v>32.5</v>
      </c>
      <c r="I2809" s="3">
        <f>Vendas[[#This Row],[Valor Unitário]]*Vendas[[#This Row],[Qnt Vendida]]</f>
        <v>1722.5</v>
      </c>
      <c r="J2809" s="3">
        <f>Vendas[[#This Row],[Valor da Venda]]-(_xlfn.XLOOKUP(Vendas[[#This Row],[ID Item Vendido]],Agregado[ID],Agregado[Custo])*Vendas[[#This Row],[Qnt Vendida]])</f>
        <v>397.5</v>
      </c>
      <c r="K2809" s="70">
        <f>Vendas[[#This Row],[Lucro da Venda]]/Vendas[[#This Row],[Valor da Venda]]</f>
        <v>0.23076923076923078</v>
      </c>
      <c r="L2809" s="3">
        <f>_xlfn.IFS(Vendas[[#This Row],[Margem de Lucro (%)]]&lt;15%,Vendas[[#This Row],[Valor da Venda]]*3%,Vendas[[#This Row],[Margem de Lucro (%)]]&lt;=20%,Vendas[[#This Row],[Valor da Venda]]*4.5%,TRUE,Vendas[[#This Row],[Valor da Venda]]*6%)</f>
        <v>103.35</v>
      </c>
      <c r="M2809"/>
    </row>
    <row r="2810" spans="1:13" x14ac:dyDescent="0.3">
      <c r="A2810" s="7">
        <v>400249</v>
      </c>
      <c r="B2810" t="str">
        <f>_xlfn.XLOOKUP(Vendas[[#This Row],[ID Vendedor]],Vendedores[ID],Vendedores[Nome])</f>
        <v>Bruno</v>
      </c>
      <c r="C2810" s="7" t="str">
        <f>_xlfn.XLOOKUP(Vendas[[#This Row],[ID Vendedor]],Vendedores[ID],Vendedores[Setor])</f>
        <v>CM</v>
      </c>
      <c r="D2810" s="7" t="s">
        <v>32</v>
      </c>
      <c r="E2810" t="str">
        <f>_xlfn.XLOOKUP(Vendas[[#This Row],[ID Item Vendido]],Agregado[ID],Agregado[Produto])</f>
        <v>Tábua tratada e cortada 3m</v>
      </c>
      <c r="F2810" s="39">
        <v>45184</v>
      </c>
      <c r="G2810" s="7">
        <v>41</v>
      </c>
      <c r="H2810" s="3">
        <f>_xlfn.XLOOKUP(Vendas[[#This Row],[ID Item Vendido]],Agregado[ID],Agregado[Revenda])</f>
        <v>39</v>
      </c>
      <c r="I2810" s="3">
        <f>Vendas[[#This Row],[Valor Unitário]]*Vendas[[#This Row],[Qnt Vendida]]</f>
        <v>1599</v>
      </c>
      <c r="J2810" s="3">
        <f>Vendas[[#This Row],[Valor da Venda]]-(_xlfn.XLOOKUP(Vendas[[#This Row],[ID Item Vendido]],Agregado[ID],Agregado[Custo])*Vendas[[#This Row],[Qnt Vendida]])</f>
        <v>287</v>
      </c>
      <c r="K2810" s="70">
        <f>Vendas[[#This Row],[Lucro da Venda]]/Vendas[[#This Row],[Valor da Venda]]</f>
        <v>0.17948717948717949</v>
      </c>
      <c r="L2810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2810"/>
    </row>
    <row r="2811" spans="1:13" x14ac:dyDescent="0.3">
      <c r="A2811" s="7">
        <v>400254</v>
      </c>
      <c r="B2811" t="str">
        <f>_xlfn.XLOOKUP(Vendas[[#This Row],[ID Vendedor]],Vendedores[ID],Vendedores[Nome])</f>
        <v>Beatriz</v>
      </c>
      <c r="C2811" s="7" t="str">
        <f>_xlfn.XLOOKUP(Vendas[[#This Row],[ID Vendedor]],Vendedores[ID],Vendedores[Setor])</f>
        <v>SC</v>
      </c>
      <c r="D2811" s="7" t="s">
        <v>48</v>
      </c>
      <c r="E2811" t="str">
        <f>_xlfn.XLOOKUP(Vendas[[#This Row],[ID Item Vendido]],Agregado[ID],Agregado[Produto])</f>
        <v>Tambor metálico 200L</v>
      </c>
      <c r="F2811" s="39">
        <v>45184</v>
      </c>
      <c r="G2811" s="7">
        <v>6</v>
      </c>
      <c r="H2811" s="3">
        <f>_xlfn.XLOOKUP(Vendas[[#This Row],[ID Item Vendido]],Agregado[ID],Agregado[Revenda])</f>
        <v>144</v>
      </c>
      <c r="I2811" s="3">
        <f>Vendas[[#This Row],[Valor Unitário]]*Vendas[[#This Row],[Qnt Vendida]]</f>
        <v>864</v>
      </c>
      <c r="J2811" s="3">
        <f>Vendas[[#This Row],[Valor da Venda]]-(_xlfn.XLOOKUP(Vendas[[#This Row],[ID Item Vendido]],Agregado[ID],Agregado[Custo])*Vendas[[#This Row],[Qnt Vendida]])</f>
        <v>144</v>
      </c>
      <c r="K2811" s="70">
        <f>Vendas[[#This Row],[Lucro da Venda]]/Vendas[[#This Row],[Valor da Venda]]</f>
        <v>0.16666666666666666</v>
      </c>
      <c r="L2811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2811"/>
    </row>
    <row r="2812" spans="1:13" x14ac:dyDescent="0.3">
      <c r="A2812" s="7">
        <v>400253</v>
      </c>
      <c r="B2812" t="str">
        <f>_xlfn.XLOOKUP(Vendas[[#This Row],[ID Vendedor]],Vendedores[ID],Vendedores[Nome])</f>
        <v>Gustavo</v>
      </c>
      <c r="C2812" s="7" t="str">
        <f>_xlfn.XLOOKUP(Vendas[[#This Row],[ID Vendedor]],Vendedores[ID],Vendedores[Setor])</f>
        <v>SC</v>
      </c>
      <c r="D2812" s="7" t="s">
        <v>25</v>
      </c>
      <c r="E2812" t="str">
        <f>_xlfn.XLOOKUP(Vendas[[#This Row],[ID Item Vendido]],Agregado[ID],Agregado[Produto])</f>
        <v>Palete de plástico</v>
      </c>
      <c r="F2812" s="39">
        <v>45184</v>
      </c>
      <c r="G2812" s="7">
        <v>9</v>
      </c>
      <c r="H2812" s="3">
        <f>_xlfn.XLOOKUP(Vendas[[#This Row],[ID Item Vendido]],Agregado[ID],Agregado[Revenda])</f>
        <v>70.8</v>
      </c>
      <c r="I2812" s="3">
        <f>Vendas[[#This Row],[Valor Unitário]]*Vendas[[#This Row],[Qnt Vendida]]</f>
        <v>637.19999999999993</v>
      </c>
      <c r="J2812" s="3">
        <f>Vendas[[#This Row],[Valor da Venda]]-(_xlfn.XLOOKUP(Vendas[[#This Row],[ID Item Vendido]],Agregado[ID],Agregado[Custo])*Vendas[[#This Row],[Qnt Vendida]])</f>
        <v>97.199999999999932</v>
      </c>
      <c r="K2812" s="70">
        <f>Vendas[[#This Row],[Lucro da Venda]]/Vendas[[#This Row],[Valor da Venda]]</f>
        <v>0.15254237288135583</v>
      </c>
      <c r="L2812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2812"/>
    </row>
    <row r="2813" spans="1:13" x14ac:dyDescent="0.3">
      <c r="A2813" s="7">
        <v>400251</v>
      </c>
      <c r="B2813" t="str">
        <f>_xlfn.XLOOKUP(Vendas[[#This Row],[ID Vendedor]],Vendedores[ID],Vendedores[Nome])</f>
        <v>Diego</v>
      </c>
      <c r="C2813" s="7" t="str">
        <f>_xlfn.XLOOKUP(Vendas[[#This Row],[ID Vendedor]],Vendedores[ID],Vendedores[Setor])</f>
        <v>AB</v>
      </c>
      <c r="D2813" s="7" t="s">
        <v>36</v>
      </c>
      <c r="E2813" t="str">
        <f>_xlfn.XLOOKUP(Vendas[[#This Row],[ID Item Vendido]],Agregado[ID],Agregado[Produto])</f>
        <v>Borracha vulcanizada em manta</v>
      </c>
      <c r="F2813" s="39">
        <v>45185</v>
      </c>
      <c r="G2813" s="7">
        <v>37</v>
      </c>
      <c r="H2813" s="3">
        <f>_xlfn.XLOOKUP(Vendas[[#This Row],[ID Item Vendido]],Agregado[ID],Agregado[Revenda])</f>
        <v>7.8</v>
      </c>
      <c r="I2813" s="3">
        <f>Vendas[[#This Row],[Valor Unitário]]*Vendas[[#This Row],[Qnt Vendida]]</f>
        <v>288.59999999999997</v>
      </c>
      <c r="J2813" s="3">
        <f>Vendas[[#This Row],[Valor da Venda]]-(_xlfn.XLOOKUP(Vendas[[#This Row],[ID Item Vendido]],Agregado[ID],Agregado[Custo])*Vendas[[#This Row],[Qnt Vendida]])</f>
        <v>66.599999999999966</v>
      </c>
      <c r="K2813" s="70">
        <f>Vendas[[#This Row],[Lucro da Venda]]/Vendas[[#This Row],[Valor da Venda]]</f>
        <v>0.23076923076923067</v>
      </c>
      <c r="L2813" s="3">
        <f>_xlfn.IFS(Vendas[[#This Row],[Margem de Lucro (%)]]&lt;15%,Vendas[[#This Row],[Valor da Venda]]*3%,Vendas[[#This Row],[Margem de Lucro (%)]]&lt;=20%,Vendas[[#This Row],[Valor da Venda]]*4.5%,TRUE,Vendas[[#This Row],[Valor da Venda]]*6%)</f>
        <v>17.315999999999999</v>
      </c>
      <c r="M2813"/>
    </row>
    <row r="2814" spans="1:13" x14ac:dyDescent="0.3">
      <c r="A2814" s="7">
        <v>400244</v>
      </c>
      <c r="B2814" t="str">
        <f>_xlfn.XLOOKUP(Vendas[[#This Row],[ID Vendedor]],Vendedores[ID],Vendedores[Nome])</f>
        <v>Camila</v>
      </c>
      <c r="C2814" s="7" t="str">
        <f>_xlfn.XLOOKUP(Vendas[[#This Row],[ID Vendedor]],Vendedores[ID],Vendedores[Setor])</f>
        <v>AHD</v>
      </c>
      <c r="D2814" s="7" t="s">
        <v>18</v>
      </c>
      <c r="E2814" t="str">
        <f>_xlfn.XLOOKUP(Vendas[[#This Row],[ID Item Vendido]],Agregado[ID],Agregado[Produto])</f>
        <v>Peça forjada sob encomenda</v>
      </c>
      <c r="F2814" s="39">
        <v>45186</v>
      </c>
      <c r="G2814" s="7">
        <v>5</v>
      </c>
      <c r="H2814" s="3">
        <f>_xlfn.XLOOKUP(Vendas[[#This Row],[ID Item Vendido]],Agregado[ID],Agregado[Revenda])</f>
        <v>264.60000000000002</v>
      </c>
      <c r="I2814" s="3">
        <f>Vendas[[#This Row],[Valor Unitário]]*Vendas[[#This Row],[Qnt Vendida]]</f>
        <v>1323</v>
      </c>
      <c r="J2814" s="3">
        <f>Vendas[[#This Row],[Valor da Venda]]-(_xlfn.XLOOKUP(Vendas[[#This Row],[ID Item Vendido]],Agregado[ID],Agregado[Custo])*Vendas[[#This Row],[Qnt Vendida]])</f>
        <v>73</v>
      </c>
      <c r="K2814" s="70">
        <f>Vendas[[#This Row],[Lucro da Venda]]/Vendas[[#This Row],[Valor da Venda]]</f>
        <v>5.5177626606198037E-2</v>
      </c>
      <c r="L281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2814"/>
    </row>
    <row r="2815" spans="1:13" x14ac:dyDescent="0.3">
      <c r="A2815" s="7">
        <v>400241</v>
      </c>
      <c r="B2815" t="str">
        <f>_xlfn.XLOOKUP(Vendas[[#This Row],[ID Vendedor]],Vendedores[ID],Vendedores[Nome])</f>
        <v>Rodrigo</v>
      </c>
      <c r="C2815" s="7" t="str">
        <f>_xlfn.XLOOKUP(Vendas[[#This Row],[ID Vendedor]],Vendedores[ID],Vendedores[Setor])</f>
        <v>FM</v>
      </c>
      <c r="D2815" s="7" t="s">
        <v>31</v>
      </c>
      <c r="E2815" t="str">
        <f>_xlfn.XLOOKUP(Vendas[[#This Row],[ID Item Vendido]],Agregado[ID],Agregado[Produto])</f>
        <v>Tela de metal soldada rolo 2x25m</v>
      </c>
      <c r="F2815" s="39">
        <v>45186</v>
      </c>
      <c r="G2815" s="7">
        <v>9</v>
      </c>
      <c r="H2815" s="3">
        <f>_xlfn.XLOOKUP(Vendas[[#This Row],[ID Item Vendido]],Agregado[ID],Agregado[Revenda])</f>
        <v>43.7</v>
      </c>
      <c r="I2815" s="3">
        <f>Vendas[[#This Row],[Valor Unitário]]*Vendas[[#This Row],[Qnt Vendida]]</f>
        <v>393.3</v>
      </c>
      <c r="J2815" s="3">
        <f>Vendas[[#This Row],[Valor da Venda]]-(_xlfn.XLOOKUP(Vendas[[#This Row],[ID Item Vendido]],Agregado[ID],Agregado[Custo])*Vendas[[#This Row],[Qnt Vendida]])</f>
        <v>51.300000000000011</v>
      </c>
      <c r="K2815" s="70">
        <f>Vendas[[#This Row],[Lucro da Venda]]/Vendas[[#This Row],[Valor da Venda]]</f>
        <v>0.13043478260869568</v>
      </c>
      <c r="L2815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2815"/>
    </row>
    <row r="2816" spans="1:13" x14ac:dyDescent="0.3">
      <c r="A2816" s="7">
        <v>400255</v>
      </c>
      <c r="B2816" t="str">
        <f>_xlfn.XLOOKUP(Vendas[[#This Row],[ID Vendedor]],Vendedores[ID],Vendedores[Nome])</f>
        <v>Carlos</v>
      </c>
      <c r="C2816" s="7" t="str">
        <f>_xlfn.XLOOKUP(Vendas[[#This Row],[ID Vendedor]],Vendedores[ID],Vendedores[Setor])</f>
        <v>SC</v>
      </c>
      <c r="D2816" s="7" t="s">
        <v>42</v>
      </c>
      <c r="E2816" t="str">
        <f>_xlfn.XLOOKUP(Vendas[[#This Row],[ID Item Vendido]],Agregado[ID],Agregado[Produto])</f>
        <v>Container de ferro industrial</v>
      </c>
      <c r="F2816" s="39">
        <v>45187</v>
      </c>
      <c r="G2816" s="7">
        <v>5</v>
      </c>
      <c r="H2816" s="3">
        <f>_xlfn.XLOOKUP(Vendas[[#This Row],[ID Item Vendido]],Agregado[ID],Agregado[Revenda])</f>
        <v>830</v>
      </c>
      <c r="I2816" s="3">
        <f>Vendas[[#This Row],[Valor Unitário]]*Vendas[[#This Row],[Qnt Vendida]]</f>
        <v>4150</v>
      </c>
      <c r="J2816" s="3">
        <f>Vendas[[#This Row],[Valor da Venda]]-(_xlfn.XLOOKUP(Vendas[[#This Row],[ID Item Vendido]],Agregado[ID],Agregado[Custo])*Vendas[[#This Row],[Qnt Vendida]])</f>
        <v>750</v>
      </c>
      <c r="K2816" s="70">
        <f>Vendas[[#This Row],[Lucro da Venda]]/Vendas[[#This Row],[Valor da Venda]]</f>
        <v>0.18072289156626506</v>
      </c>
      <c r="L281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816"/>
    </row>
    <row r="2817" spans="1:13" x14ac:dyDescent="0.3">
      <c r="A2817" s="7">
        <v>400244</v>
      </c>
      <c r="B2817" t="str">
        <f>_xlfn.XLOOKUP(Vendas[[#This Row],[ID Vendedor]],Vendedores[ID],Vendedores[Nome])</f>
        <v>Camila</v>
      </c>
      <c r="C2817" s="7" t="str">
        <f>_xlfn.XLOOKUP(Vendas[[#This Row],[ID Vendedor]],Vendedores[ID],Vendedores[Setor])</f>
        <v>AHD</v>
      </c>
      <c r="D2817" s="7" t="s">
        <v>18</v>
      </c>
      <c r="E2817" t="str">
        <f>_xlfn.XLOOKUP(Vendas[[#This Row],[ID Item Vendido]],Agregado[ID],Agregado[Produto])</f>
        <v>Peça forjada sob encomenda</v>
      </c>
      <c r="F2817" s="39">
        <v>45187</v>
      </c>
      <c r="G2817" s="7">
        <v>6</v>
      </c>
      <c r="H2817" s="3">
        <f>_xlfn.XLOOKUP(Vendas[[#This Row],[ID Item Vendido]],Agregado[ID],Agregado[Revenda])</f>
        <v>264.60000000000002</v>
      </c>
      <c r="I2817" s="3">
        <f>Vendas[[#This Row],[Valor Unitário]]*Vendas[[#This Row],[Qnt Vendida]]</f>
        <v>1587.6000000000001</v>
      </c>
      <c r="J2817" s="3">
        <f>Vendas[[#This Row],[Valor da Venda]]-(_xlfn.XLOOKUP(Vendas[[#This Row],[ID Item Vendido]],Agregado[ID],Agregado[Custo])*Vendas[[#This Row],[Qnt Vendida]])</f>
        <v>87.600000000000136</v>
      </c>
      <c r="K2817" s="70">
        <f>Vendas[[#This Row],[Lucro da Venda]]/Vendas[[#This Row],[Valor da Venda]]</f>
        <v>5.5177626606198113E-2</v>
      </c>
      <c r="L281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2817"/>
    </row>
    <row r="2818" spans="1:13" x14ac:dyDescent="0.3">
      <c r="A2818" s="7">
        <v>400251</v>
      </c>
      <c r="B2818" t="str">
        <f>_xlfn.XLOOKUP(Vendas[[#This Row],[ID Vendedor]],Vendedores[ID],Vendedores[Nome])</f>
        <v>Diego</v>
      </c>
      <c r="C2818" s="7" t="str">
        <f>_xlfn.XLOOKUP(Vendas[[#This Row],[ID Vendedor]],Vendedores[ID],Vendedores[Setor])</f>
        <v>AB</v>
      </c>
      <c r="D2818" s="7" t="s">
        <v>36</v>
      </c>
      <c r="E2818" t="str">
        <f>_xlfn.XLOOKUP(Vendas[[#This Row],[ID Item Vendido]],Agregado[ID],Agregado[Produto])</f>
        <v>Borracha vulcanizada em manta</v>
      </c>
      <c r="F2818" s="39">
        <v>45187</v>
      </c>
      <c r="G2818" s="7">
        <v>42</v>
      </c>
      <c r="H2818" s="3">
        <f>_xlfn.XLOOKUP(Vendas[[#This Row],[ID Item Vendido]],Agregado[ID],Agregado[Revenda])</f>
        <v>7.8</v>
      </c>
      <c r="I2818" s="3">
        <f>Vendas[[#This Row],[Valor Unitário]]*Vendas[[#This Row],[Qnt Vendida]]</f>
        <v>327.59999999999997</v>
      </c>
      <c r="J2818" s="3">
        <f>Vendas[[#This Row],[Valor da Venda]]-(_xlfn.XLOOKUP(Vendas[[#This Row],[ID Item Vendido]],Agregado[ID],Agregado[Custo])*Vendas[[#This Row],[Qnt Vendida]])</f>
        <v>75.599999999999966</v>
      </c>
      <c r="K2818" s="70">
        <f>Vendas[[#This Row],[Lucro da Venda]]/Vendas[[#This Row],[Valor da Venda]]</f>
        <v>0.2307692307692307</v>
      </c>
      <c r="L2818" s="3">
        <f>_xlfn.IFS(Vendas[[#This Row],[Margem de Lucro (%)]]&lt;15%,Vendas[[#This Row],[Valor da Venda]]*3%,Vendas[[#This Row],[Margem de Lucro (%)]]&lt;=20%,Vendas[[#This Row],[Valor da Venda]]*4.5%,TRUE,Vendas[[#This Row],[Valor da Venda]]*6%)</f>
        <v>19.655999999999999</v>
      </c>
      <c r="M2818"/>
    </row>
    <row r="2819" spans="1:13" x14ac:dyDescent="0.3">
      <c r="A2819" s="7">
        <v>400254</v>
      </c>
      <c r="B2819" t="str">
        <f>_xlfn.XLOOKUP(Vendas[[#This Row],[ID Vendedor]],Vendedores[ID],Vendedores[Nome])</f>
        <v>Beatriz</v>
      </c>
      <c r="C2819" s="7" t="str">
        <f>_xlfn.XLOOKUP(Vendas[[#This Row],[ID Vendedor]],Vendedores[ID],Vendedores[Setor])</f>
        <v>SC</v>
      </c>
      <c r="D2819" s="7" t="s">
        <v>42</v>
      </c>
      <c r="E2819" t="str">
        <f>_xlfn.XLOOKUP(Vendas[[#This Row],[ID Item Vendido]],Agregado[ID],Agregado[Produto])</f>
        <v>Container de ferro industrial</v>
      </c>
      <c r="F2819" s="39">
        <v>45188</v>
      </c>
      <c r="G2819" s="7">
        <v>3</v>
      </c>
      <c r="H2819" s="3">
        <f>_xlfn.XLOOKUP(Vendas[[#This Row],[ID Item Vendido]],Agregado[ID],Agregado[Revenda])</f>
        <v>830</v>
      </c>
      <c r="I2819" s="3">
        <f>Vendas[[#This Row],[Valor Unitário]]*Vendas[[#This Row],[Qnt Vendida]]</f>
        <v>2490</v>
      </c>
      <c r="J2819" s="3">
        <f>Vendas[[#This Row],[Valor da Venda]]-(_xlfn.XLOOKUP(Vendas[[#This Row],[ID Item Vendido]],Agregado[ID],Agregado[Custo])*Vendas[[#This Row],[Qnt Vendida]])</f>
        <v>450</v>
      </c>
      <c r="K2819" s="70">
        <f>Vendas[[#This Row],[Lucro da Venda]]/Vendas[[#This Row],[Valor da Venda]]</f>
        <v>0.18072289156626506</v>
      </c>
      <c r="L281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2819"/>
    </row>
    <row r="2820" spans="1:13" x14ac:dyDescent="0.3">
      <c r="A2820" s="7">
        <v>400243</v>
      </c>
      <c r="B2820" t="str">
        <f>_xlfn.XLOOKUP(Vendas[[#This Row],[ID Vendedor]],Vendedores[ID],Vendedores[Nome])</f>
        <v>Marcelo</v>
      </c>
      <c r="C2820" s="7" t="str">
        <f>_xlfn.XLOOKUP(Vendas[[#This Row],[ID Vendedor]],Vendedores[ID],Vendedores[Setor])</f>
        <v>FM</v>
      </c>
      <c r="D2820" s="7" t="s">
        <v>47</v>
      </c>
      <c r="E2820" t="str">
        <f>_xlfn.XLOOKUP(Vendas[[#This Row],[ID Item Vendido]],Agregado[ID],Agregado[Produto])</f>
        <v>Fio de arame galvanizado rolo 50m</v>
      </c>
      <c r="F2820" s="39">
        <v>45188</v>
      </c>
      <c r="G2820" s="7">
        <v>36</v>
      </c>
      <c r="H2820" s="3">
        <f>_xlfn.XLOOKUP(Vendas[[#This Row],[ID Item Vendido]],Agregado[ID],Agregado[Revenda])</f>
        <v>21.2</v>
      </c>
      <c r="I2820" s="3">
        <f>Vendas[[#This Row],[Valor Unitário]]*Vendas[[#This Row],[Qnt Vendida]]</f>
        <v>763.19999999999993</v>
      </c>
      <c r="J2820" s="3">
        <f>Vendas[[#This Row],[Valor da Venda]]-(_xlfn.XLOOKUP(Vendas[[#This Row],[ID Item Vendido]],Agregado[ID],Agregado[Custo])*Vendas[[#This Row],[Qnt Vendida]])</f>
        <v>115.19999999999993</v>
      </c>
      <c r="K2820" s="70">
        <f>Vendas[[#This Row],[Lucro da Venda]]/Vendas[[#This Row],[Valor da Venda]]</f>
        <v>0.15094339622641501</v>
      </c>
      <c r="L2820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2820"/>
    </row>
    <row r="2821" spans="1:13" x14ac:dyDescent="0.3">
      <c r="A2821" s="7">
        <v>400253</v>
      </c>
      <c r="B2821" t="str">
        <f>_xlfn.XLOOKUP(Vendas[[#This Row],[ID Vendedor]],Vendedores[ID],Vendedores[Nome])</f>
        <v>Gustavo</v>
      </c>
      <c r="C2821" s="7" t="str">
        <f>_xlfn.XLOOKUP(Vendas[[#This Row],[ID Vendedor]],Vendedores[ID],Vendedores[Setor])</f>
        <v>SC</v>
      </c>
      <c r="D2821" s="7" t="s">
        <v>14</v>
      </c>
      <c r="E2821" t="str">
        <f>_xlfn.XLOOKUP(Vendas[[#This Row],[ID Item Vendido]],Agregado[ID],Agregado[Produto])</f>
        <v>Barril de plástico 200L</v>
      </c>
      <c r="F2821" s="39">
        <v>45188</v>
      </c>
      <c r="G2821" s="7">
        <v>6</v>
      </c>
      <c r="H2821" s="3">
        <f>_xlfn.XLOOKUP(Vendas[[#This Row],[ID Item Vendido]],Agregado[ID],Agregado[Revenda])</f>
        <v>114</v>
      </c>
      <c r="I2821" s="3">
        <f>Vendas[[#This Row],[Valor Unitário]]*Vendas[[#This Row],[Qnt Vendida]]</f>
        <v>684</v>
      </c>
      <c r="J2821" s="3">
        <f>Vendas[[#This Row],[Valor da Venda]]-(_xlfn.XLOOKUP(Vendas[[#This Row],[ID Item Vendido]],Agregado[ID],Agregado[Custo])*Vendas[[#This Row],[Qnt Vendida]])</f>
        <v>114</v>
      </c>
      <c r="K2821" s="70">
        <f>Vendas[[#This Row],[Lucro da Venda]]/Vendas[[#This Row],[Valor da Venda]]</f>
        <v>0.16666666666666666</v>
      </c>
      <c r="L2821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2821"/>
    </row>
    <row r="2822" spans="1:13" x14ac:dyDescent="0.3">
      <c r="A2822" s="7">
        <v>400242</v>
      </c>
      <c r="B2822" t="str">
        <f>_xlfn.XLOOKUP(Vendas[[#This Row],[ID Vendedor]],Vendedores[ID],Vendedores[Nome])</f>
        <v>Fernanda</v>
      </c>
      <c r="C2822" s="7" t="str">
        <f>_xlfn.XLOOKUP(Vendas[[#This Row],[ID Vendedor]],Vendedores[ID],Vendedores[Setor])</f>
        <v>FM</v>
      </c>
      <c r="D2822" s="7" t="s">
        <v>47</v>
      </c>
      <c r="E2822" t="str">
        <f>_xlfn.XLOOKUP(Vendas[[#This Row],[ID Item Vendido]],Agregado[ID],Agregado[Produto])</f>
        <v>Fio de arame galvanizado rolo 50m</v>
      </c>
      <c r="F2822" s="39">
        <v>45188</v>
      </c>
      <c r="G2822" s="7">
        <v>19</v>
      </c>
      <c r="H2822" s="3">
        <f>_xlfn.XLOOKUP(Vendas[[#This Row],[ID Item Vendido]],Agregado[ID],Agregado[Revenda])</f>
        <v>21.2</v>
      </c>
      <c r="I2822" s="3">
        <f>Vendas[[#This Row],[Valor Unitário]]*Vendas[[#This Row],[Qnt Vendida]]</f>
        <v>402.8</v>
      </c>
      <c r="J2822" s="3">
        <f>Vendas[[#This Row],[Valor da Venda]]-(_xlfn.XLOOKUP(Vendas[[#This Row],[ID Item Vendido]],Agregado[ID],Agregado[Custo])*Vendas[[#This Row],[Qnt Vendida]])</f>
        <v>60.800000000000011</v>
      </c>
      <c r="K2822" s="70">
        <f>Vendas[[#This Row],[Lucro da Venda]]/Vendas[[#This Row],[Valor da Venda]]</f>
        <v>0.15094339622641512</v>
      </c>
      <c r="L2822" s="3">
        <f>_xlfn.IFS(Vendas[[#This Row],[Margem de Lucro (%)]]&lt;15%,Vendas[[#This Row],[Valor da Venda]]*3%,Vendas[[#This Row],[Margem de Lucro (%)]]&lt;=20%,Vendas[[#This Row],[Valor da Venda]]*4.5%,TRUE,Vendas[[#This Row],[Valor da Venda]]*6%)</f>
        <v>18.126000000000001</v>
      </c>
      <c r="M2822"/>
    </row>
    <row r="2823" spans="1:13" x14ac:dyDescent="0.3">
      <c r="A2823" s="7">
        <v>400246</v>
      </c>
      <c r="B2823" t="str">
        <f>_xlfn.XLOOKUP(Vendas[[#This Row],[ID Vendedor]],Vendedores[ID],Vendedores[Nome])</f>
        <v>Juliana</v>
      </c>
      <c r="C2823" s="7" t="str">
        <f>_xlfn.XLOOKUP(Vendas[[#This Row],[ID Vendedor]],Vendedores[ID],Vendedores[Setor])</f>
        <v>AHD</v>
      </c>
      <c r="D2823" s="7" t="s">
        <v>30</v>
      </c>
      <c r="E2823" t="str">
        <f>_xlfn.XLOOKUP(Vendas[[#This Row],[ID Item Vendido]],Agregado[ID],Agregado[Produto])</f>
        <v>Estrutura metálica soldada</v>
      </c>
      <c r="F2823" s="39">
        <v>45188</v>
      </c>
      <c r="G2823" s="7">
        <v>1</v>
      </c>
      <c r="H2823" s="3">
        <f>_xlfn.XLOOKUP(Vendas[[#This Row],[ID Item Vendido]],Agregado[ID],Agregado[Revenda])</f>
        <v>400</v>
      </c>
      <c r="I2823" s="3">
        <f>Vendas[[#This Row],[Valor Unitário]]*Vendas[[#This Row],[Qnt Vendida]]</f>
        <v>400</v>
      </c>
      <c r="J2823" s="3">
        <f>Vendas[[#This Row],[Valor da Venda]]-(_xlfn.XLOOKUP(Vendas[[#This Row],[ID Item Vendido]],Agregado[ID],Agregado[Custo])*Vendas[[#This Row],[Qnt Vendida]])</f>
        <v>80</v>
      </c>
      <c r="K2823" s="70">
        <f>Vendas[[#This Row],[Lucro da Venda]]/Vendas[[#This Row],[Valor da Venda]]</f>
        <v>0.2</v>
      </c>
      <c r="L2823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823"/>
    </row>
    <row r="2824" spans="1:13" x14ac:dyDescent="0.3">
      <c r="A2824" s="7">
        <v>400245</v>
      </c>
      <c r="B2824" t="str">
        <f>_xlfn.XLOOKUP(Vendas[[#This Row],[ID Vendedor]],Vendedores[ID],Vendedores[Nome])</f>
        <v>Thiago</v>
      </c>
      <c r="C2824" s="7" t="str">
        <f>_xlfn.XLOOKUP(Vendas[[#This Row],[ID Vendedor]],Vendedores[ID],Vendedores[Setor])</f>
        <v>AHD</v>
      </c>
      <c r="D2824" s="7" t="s">
        <v>18</v>
      </c>
      <c r="E2824" t="str">
        <f>_xlfn.XLOOKUP(Vendas[[#This Row],[ID Item Vendido]],Agregado[ID],Agregado[Produto])</f>
        <v>Peça forjada sob encomenda</v>
      </c>
      <c r="F2824" s="39">
        <v>45188</v>
      </c>
      <c r="G2824" s="7">
        <v>1</v>
      </c>
      <c r="H2824" s="3">
        <f>_xlfn.XLOOKUP(Vendas[[#This Row],[ID Item Vendido]],Agregado[ID],Agregado[Revenda])</f>
        <v>264.60000000000002</v>
      </c>
      <c r="I2824" s="3">
        <f>Vendas[[#This Row],[Valor Unitário]]*Vendas[[#This Row],[Qnt Vendida]]</f>
        <v>264.60000000000002</v>
      </c>
      <c r="J2824" s="3">
        <f>Vendas[[#This Row],[Valor da Venda]]-(_xlfn.XLOOKUP(Vendas[[#This Row],[ID Item Vendido]],Agregado[ID],Agregado[Custo])*Vendas[[#This Row],[Qnt Vendida]])</f>
        <v>14.600000000000023</v>
      </c>
      <c r="K2824" s="70">
        <f>Vendas[[#This Row],[Lucro da Venda]]/Vendas[[#This Row],[Valor da Venda]]</f>
        <v>5.5177626606198113E-2</v>
      </c>
      <c r="L282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2824"/>
    </row>
    <row r="2825" spans="1:13" x14ac:dyDescent="0.3">
      <c r="A2825" s="7">
        <v>400251</v>
      </c>
      <c r="B2825" t="str">
        <f>_xlfn.XLOOKUP(Vendas[[#This Row],[ID Vendedor]],Vendedores[ID],Vendedores[Nome])</f>
        <v>Diego</v>
      </c>
      <c r="C2825" s="7" t="str">
        <f>_xlfn.XLOOKUP(Vendas[[#This Row],[ID Vendedor]],Vendedores[ID],Vendedores[Setor])</f>
        <v>AB</v>
      </c>
      <c r="D2825" s="7" t="s">
        <v>12</v>
      </c>
      <c r="E2825" t="str">
        <f>_xlfn.XLOOKUP(Vendas[[#This Row],[ID Item Vendido]],Agregado[ID],Agregado[Produto])</f>
        <v>Grânulo de plástico reciclado refinado</v>
      </c>
      <c r="F2825" s="39">
        <v>45188</v>
      </c>
      <c r="G2825" s="7">
        <v>24</v>
      </c>
      <c r="H2825" s="3">
        <f>_xlfn.XLOOKUP(Vendas[[#This Row],[ID Item Vendido]],Agregado[ID],Agregado[Revenda])</f>
        <v>4.7</v>
      </c>
      <c r="I2825" s="3">
        <f>Vendas[[#This Row],[Valor Unitário]]*Vendas[[#This Row],[Qnt Vendida]]</f>
        <v>112.80000000000001</v>
      </c>
      <c r="J2825" s="3">
        <f>Vendas[[#This Row],[Valor da Venda]]-(_xlfn.XLOOKUP(Vendas[[#This Row],[ID Item Vendido]],Agregado[ID],Agregado[Custo])*Vendas[[#This Row],[Qnt Vendida]])</f>
        <v>28.800000000000011</v>
      </c>
      <c r="K2825" s="70">
        <f>Vendas[[#This Row],[Lucro da Venda]]/Vendas[[#This Row],[Valor da Venda]]</f>
        <v>0.2553191489361703</v>
      </c>
      <c r="L2825" s="3">
        <f>_xlfn.IFS(Vendas[[#This Row],[Margem de Lucro (%)]]&lt;15%,Vendas[[#This Row],[Valor da Venda]]*3%,Vendas[[#This Row],[Margem de Lucro (%)]]&lt;=20%,Vendas[[#This Row],[Valor da Venda]]*4.5%,TRUE,Vendas[[#This Row],[Valor da Venda]]*6%)</f>
        <v>6.7680000000000007</v>
      </c>
      <c r="M2825"/>
    </row>
    <row r="2826" spans="1:13" x14ac:dyDescent="0.3">
      <c r="A2826" s="7">
        <v>400255</v>
      </c>
      <c r="B2826" t="str">
        <f>_xlfn.XLOOKUP(Vendas[[#This Row],[ID Vendedor]],Vendedores[ID],Vendedores[Nome])</f>
        <v>Carlos</v>
      </c>
      <c r="C2826" s="7" t="str">
        <f>_xlfn.XLOOKUP(Vendas[[#This Row],[ID Vendedor]],Vendedores[ID],Vendedores[Setor])</f>
        <v>SC</v>
      </c>
      <c r="D2826" s="7" t="s">
        <v>48</v>
      </c>
      <c r="E2826" t="str">
        <f>_xlfn.XLOOKUP(Vendas[[#This Row],[ID Item Vendido]],Agregado[ID],Agregado[Produto])</f>
        <v>Tambor metálico 200L</v>
      </c>
      <c r="F2826" s="39">
        <v>45189</v>
      </c>
      <c r="G2826" s="7">
        <v>15</v>
      </c>
      <c r="H2826" s="3">
        <f>_xlfn.XLOOKUP(Vendas[[#This Row],[ID Item Vendido]],Agregado[ID],Agregado[Revenda])</f>
        <v>144</v>
      </c>
      <c r="I2826" s="3">
        <f>Vendas[[#This Row],[Valor Unitário]]*Vendas[[#This Row],[Qnt Vendida]]</f>
        <v>2160</v>
      </c>
      <c r="J2826" s="3">
        <f>Vendas[[#This Row],[Valor da Venda]]-(_xlfn.XLOOKUP(Vendas[[#This Row],[ID Item Vendido]],Agregado[ID],Agregado[Custo])*Vendas[[#This Row],[Qnt Vendida]])</f>
        <v>360</v>
      </c>
      <c r="K2826" s="70">
        <f>Vendas[[#This Row],[Lucro da Venda]]/Vendas[[#This Row],[Valor da Venda]]</f>
        <v>0.16666666666666666</v>
      </c>
      <c r="L2826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2826"/>
    </row>
    <row r="2827" spans="1:13" x14ac:dyDescent="0.3">
      <c r="A2827" s="7">
        <v>400255</v>
      </c>
      <c r="B2827" t="str">
        <f>_xlfn.XLOOKUP(Vendas[[#This Row],[ID Vendedor]],Vendedores[ID],Vendedores[Nome])</f>
        <v>Carlos</v>
      </c>
      <c r="C2827" s="7" t="str">
        <f>_xlfn.XLOOKUP(Vendas[[#This Row],[ID Vendedor]],Vendedores[ID],Vendedores[Setor])</f>
        <v>SC</v>
      </c>
      <c r="D2827" s="7" t="s">
        <v>14</v>
      </c>
      <c r="E2827" t="str">
        <f>_xlfn.XLOOKUP(Vendas[[#This Row],[ID Item Vendido]],Agregado[ID],Agregado[Produto])</f>
        <v>Barril de plástico 200L</v>
      </c>
      <c r="F2827" s="39">
        <v>45189</v>
      </c>
      <c r="G2827" s="7">
        <v>13</v>
      </c>
      <c r="H2827" s="3">
        <f>_xlfn.XLOOKUP(Vendas[[#This Row],[ID Item Vendido]],Agregado[ID],Agregado[Revenda])</f>
        <v>114</v>
      </c>
      <c r="I2827" s="3">
        <f>Vendas[[#This Row],[Valor Unitário]]*Vendas[[#This Row],[Qnt Vendida]]</f>
        <v>1482</v>
      </c>
      <c r="J2827" s="3">
        <f>Vendas[[#This Row],[Valor da Venda]]-(_xlfn.XLOOKUP(Vendas[[#This Row],[ID Item Vendido]],Agregado[ID],Agregado[Custo])*Vendas[[#This Row],[Qnt Vendida]])</f>
        <v>247</v>
      </c>
      <c r="K2827" s="70">
        <f>Vendas[[#This Row],[Lucro da Venda]]/Vendas[[#This Row],[Valor da Venda]]</f>
        <v>0.16666666666666666</v>
      </c>
      <c r="L2827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827"/>
    </row>
    <row r="2828" spans="1:13" x14ac:dyDescent="0.3">
      <c r="A2828" s="7">
        <v>400242</v>
      </c>
      <c r="B2828" t="str">
        <f>_xlfn.XLOOKUP(Vendas[[#This Row],[ID Vendedor]],Vendedores[ID],Vendedores[Nome])</f>
        <v>Fernanda</v>
      </c>
      <c r="C2828" s="7" t="str">
        <f>_xlfn.XLOOKUP(Vendas[[#This Row],[ID Vendedor]],Vendedores[ID],Vendedores[Setor])</f>
        <v>FM</v>
      </c>
      <c r="D2828" s="7" t="s">
        <v>31</v>
      </c>
      <c r="E2828" t="str">
        <f>_xlfn.XLOOKUP(Vendas[[#This Row],[ID Item Vendido]],Agregado[ID],Agregado[Produto])</f>
        <v>Tela de metal soldada rolo 2x25m</v>
      </c>
      <c r="F2828" s="39">
        <v>45189</v>
      </c>
      <c r="G2828" s="7">
        <v>10</v>
      </c>
      <c r="H2828" s="3">
        <f>_xlfn.XLOOKUP(Vendas[[#This Row],[ID Item Vendido]],Agregado[ID],Agregado[Revenda])</f>
        <v>43.7</v>
      </c>
      <c r="I2828" s="3">
        <f>Vendas[[#This Row],[Valor Unitário]]*Vendas[[#This Row],[Qnt Vendida]]</f>
        <v>437</v>
      </c>
      <c r="J2828" s="3">
        <f>Vendas[[#This Row],[Valor da Venda]]-(_xlfn.XLOOKUP(Vendas[[#This Row],[ID Item Vendido]],Agregado[ID],Agregado[Custo])*Vendas[[#This Row],[Qnt Vendida]])</f>
        <v>57</v>
      </c>
      <c r="K2828" s="70">
        <f>Vendas[[#This Row],[Lucro da Venda]]/Vendas[[#This Row],[Valor da Venda]]</f>
        <v>0.13043478260869565</v>
      </c>
      <c r="L2828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2828"/>
    </row>
    <row r="2829" spans="1:13" x14ac:dyDescent="0.3">
      <c r="A2829" s="7">
        <v>400254</v>
      </c>
      <c r="B2829" t="str">
        <f>_xlfn.XLOOKUP(Vendas[[#This Row],[ID Vendedor]],Vendedores[ID],Vendedores[Nome])</f>
        <v>Beatriz</v>
      </c>
      <c r="C2829" s="7" t="str">
        <f>_xlfn.XLOOKUP(Vendas[[#This Row],[ID Vendedor]],Vendedores[ID],Vendedores[Setor])</f>
        <v>SC</v>
      </c>
      <c r="D2829" s="7" t="s">
        <v>42</v>
      </c>
      <c r="E2829" t="str">
        <f>_xlfn.XLOOKUP(Vendas[[#This Row],[ID Item Vendido]],Agregado[ID],Agregado[Produto])</f>
        <v>Container de ferro industrial</v>
      </c>
      <c r="F2829" s="39">
        <v>45190</v>
      </c>
      <c r="G2829" s="7">
        <v>5</v>
      </c>
      <c r="H2829" s="3">
        <f>_xlfn.XLOOKUP(Vendas[[#This Row],[ID Item Vendido]],Agregado[ID],Agregado[Revenda])</f>
        <v>830</v>
      </c>
      <c r="I2829" s="3">
        <f>Vendas[[#This Row],[Valor Unitário]]*Vendas[[#This Row],[Qnt Vendida]]</f>
        <v>4150</v>
      </c>
      <c r="J2829" s="3">
        <f>Vendas[[#This Row],[Valor da Venda]]-(_xlfn.XLOOKUP(Vendas[[#This Row],[ID Item Vendido]],Agregado[ID],Agregado[Custo])*Vendas[[#This Row],[Qnt Vendida]])</f>
        <v>750</v>
      </c>
      <c r="K2829" s="70">
        <f>Vendas[[#This Row],[Lucro da Venda]]/Vendas[[#This Row],[Valor da Venda]]</f>
        <v>0.18072289156626506</v>
      </c>
      <c r="L2829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829"/>
    </row>
    <row r="2830" spans="1:13" x14ac:dyDescent="0.3">
      <c r="A2830" s="7">
        <v>400255</v>
      </c>
      <c r="B2830" t="str">
        <f>_xlfn.XLOOKUP(Vendas[[#This Row],[ID Vendedor]],Vendedores[ID],Vendedores[Nome])</f>
        <v>Carlos</v>
      </c>
      <c r="C2830" s="7" t="str">
        <f>_xlfn.XLOOKUP(Vendas[[#This Row],[ID Vendedor]],Vendedores[ID],Vendedores[Setor])</f>
        <v>SC</v>
      </c>
      <c r="D2830" s="7" t="s">
        <v>42</v>
      </c>
      <c r="E2830" t="str">
        <f>_xlfn.XLOOKUP(Vendas[[#This Row],[ID Item Vendido]],Agregado[ID],Agregado[Produto])</f>
        <v>Container de ferro industrial</v>
      </c>
      <c r="F2830" s="39">
        <v>45190</v>
      </c>
      <c r="G2830" s="7">
        <v>4</v>
      </c>
      <c r="H2830" s="3">
        <f>_xlfn.XLOOKUP(Vendas[[#This Row],[ID Item Vendido]],Agregado[ID],Agregado[Revenda])</f>
        <v>830</v>
      </c>
      <c r="I2830" s="3">
        <f>Vendas[[#This Row],[Valor Unitário]]*Vendas[[#This Row],[Qnt Vendida]]</f>
        <v>3320</v>
      </c>
      <c r="J2830" s="3">
        <f>Vendas[[#This Row],[Valor da Venda]]-(_xlfn.XLOOKUP(Vendas[[#This Row],[ID Item Vendido]],Agregado[ID],Agregado[Custo])*Vendas[[#This Row],[Qnt Vendida]])</f>
        <v>600</v>
      </c>
      <c r="K2830" s="70">
        <f>Vendas[[#This Row],[Lucro da Venda]]/Vendas[[#This Row],[Valor da Venda]]</f>
        <v>0.18072289156626506</v>
      </c>
      <c r="L2830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830"/>
    </row>
    <row r="2831" spans="1:13" x14ac:dyDescent="0.3">
      <c r="A2831" s="7">
        <v>400249</v>
      </c>
      <c r="B2831" t="str">
        <f>_xlfn.XLOOKUP(Vendas[[#This Row],[ID Vendedor]],Vendedores[ID],Vendedores[Nome])</f>
        <v>Bruno</v>
      </c>
      <c r="C2831" s="7" t="str">
        <f>_xlfn.XLOOKUP(Vendas[[#This Row],[ID Vendedor]],Vendedores[ID],Vendedores[Setor])</f>
        <v>CM</v>
      </c>
      <c r="D2831" s="7" t="s">
        <v>32</v>
      </c>
      <c r="E2831" t="str">
        <f>_xlfn.XLOOKUP(Vendas[[#This Row],[ID Item Vendido]],Agregado[ID],Agregado[Produto])</f>
        <v>Tábua tratada e cortada 3m</v>
      </c>
      <c r="F2831" s="39">
        <v>45190</v>
      </c>
      <c r="G2831" s="7">
        <v>38</v>
      </c>
      <c r="H2831" s="3">
        <f>_xlfn.XLOOKUP(Vendas[[#This Row],[ID Item Vendido]],Agregado[ID],Agregado[Revenda])</f>
        <v>39</v>
      </c>
      <c r="I2831" s="3">
        <f>Vendas[[#This Row],[Valor Unitário]]*Vendas[[#This Row],[Qnt Vendida]]</f>
        <v>1482</v>
      </c>
      <c r="J2831" s="3">
        <f>Vendas[[#This Row],[Valor da Venda]]-(_xlfn.XLOOKUP(Vendas[[#This Row],[ID Item Vendido]],Agregado[ID],Agregado[Custo])*Vendas[[#This Row],[Qnt Vendida]])</f>
        <v>266</v>
      </c>
      <c r="K2831" s="70">
        <f>Vendas[[#This Row],[Lucro da Venda]]/Vendas[[#This Row],[Valor da Venda]]</f>
        <v>0.17948717948717949</v>
      </c>
      <c r="L2831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831"/>
    </row>
    <row r="2832" spans="1:13" x14ac:dyDescent="0.3">
      <c r="A2832" s="7">
        <v>400241</v>
      </c>
      <c r="B2832" t="str">
        <f>_xlfn.XLOOKUP(Vendas[[#This Row],[ID Vendedor]],Vendedores[ID],Vendedores[Nome])</f>
        <v>Rodrigo</v>
      </c>
      <c r="C2832" s="7" t="str">
        <f>_xlfn.XLOOKUP(Vendas[[#This Row],[ID Vendedor]],Vendedores[ID],Vendedores[Setor])</f>
        <v>FM</v>
      </c>
      <c r="D2832" s="7" t="s">
        <v>6</v>
      </c>
      <c r="E2832" t="str">
        <f>_xlfn.XLOOKUP(Vendas[[#This Row],[ID Item Vendido]],Agregado[ID],Agregado[Produto])</f>
        <v>Parafuso comum 500un</v>
      </c>
      <c r="F2832" s="39">
        <v>45190</v>
      </c>
      <c r="G2832" s="7">
        <v>24</v>
      </c>
      <c r="H2832" s="3">
        <f>_xlfn.XLOOKUP(Vendas[[#This Row],[ID Item Vendido]],Agregado[ID],Agregado[Revenda])</f>
        <v>24.6</v>
      </c>
      <c r="I2832" s="3">
        <f>Vendas[[#This Row],[Valor Unitário]]*Vendas[[#This Row],[Qnt Vendida]]</f>
        <v>590.40000000000009</v>
      </c>
      <c r="J2832" s="3">
        <f>Vendas[[#This Row],[Valor da Venda]]-(_xlfn.XLOOKUP(Vendas[[#This Row],[ID Item Vendido]],Agregado[ID],Agregado[Custo])*Vendas[[#This Row],[Qnt Vendida]])</f>
        <v>62.400000000000091</v>
      </c>
      <c r="K2832" s="70">
        <f>Vendas[[#This Row],[Lucro da Venda]]/Vendas[[#This Row],[Valor da Venda]]</f>
        <v>0.10569105691056924</v>
      </c>
      <c r="L2832" s="3">
        <f>_xlfn.IFS(Vendas[[#This Row],[Margem de Lucro (%)]]&lt;15%,Vendas[[#This Row],[Valor da Venda]]*3%,Vendas[[#This Row],[Margem de Lucro (%)]]&lt;=20%,Vendas[[#This Row],[Valor da Venda]]*4.5%,TRUE,Vendas[[#This Row],[Valor da Venda]]*6%)</f>
        <v>17.712000000000003</v>
      </c>
      <c r="M2832"/>
    </row>
    <row r="2833" spans="1:13" x14ac:dyDescent="0.3">
      <c r="A2833" s="7">
        <v>400248</v>
      </c>
      <c r="B2833" t="str">
        <f>_xlfn.XLOOKUP(Vendas[[#This Row],[ID Vendedor]],Vendedores[ID],Vendedores[Nome])</f>
        <v>Patrícia</v>
      </c>
      <c r="C2833" s="7" t="str">
        <f>_xlfn.XLOOKUP(Vendas[[#This Row],[ID Vendedor]],Vendedores[ID],Vendedores[Setor])</f>
        <v>CM</v>
      </c>
      <c r="D2833" s="7" t="s">
        <v>43</v>
      </c>
      <c r="E2833" t="str">
        <f>_xlfn.XLOOKUP(Vendas[[#This Row],[ID Item Vendido]],Agregado[ID],Agregado[Produto])</f>
        <v>Madeira Bruta (Tora)</v>
      </c>
      <c r="F2833" s="39">
        <v>45190</v>
      </c>
      <c r="G2833" s="7">
        <v>2</v>
      </c>
      <c r="H2833" s="3">
        <f>_xlfn.XLOOKUP(Vendas[[#This Row],[ID Item Vendido]],Agregado[ID],Agregado[Revenda])</f>
        <v>212</v>
      </c>
      <c r="I2833" s="3">
        <f>Vendas[[#This Row],[Valor Unitário]]*Vendas[[#This Row],[Qnt Vendida]]</f>
        <v>424</v>
      </c>
      <c r="J2833" s="3">
        <f>Vendas[[#This Row],[Valor da Venda]]-(_xlfn.XLOOKUP(Vendas[[#This Row],[ID Item Vendido]],Agregado[ID],Agregado[Custo])*Vendas[[#This Row],[Qnt Vendida]])</f>
        <v>64</v>
      </c>
      <c r="K2833" s="70">
        <f>Vendas[[#This Row],[Lucro da Venda]]/Vendas[[#This Row],[Valor da Venda]]</f>
        <v>0.15094339622641509</v>
      </c>
      <c r="L2833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2833"/>
    </row>
    <row r="2834" spans="1:13" x14ac:dyDescent="0.3">
      <c r="A2834" s="7">
        <v>400247</v>
      </c>
      <c r="B2834" t="str">
        <f>_xlfn.XLOOKUP(Vendas[[#This Row],[ID Vendedor]],Vendedores[ID],Vendedores[Nome])</f>
        <v>André</v>
      </c>
      <c r="C2834" s="7" t="str">
        <f>_xlfn.XLOOKUP(Vendas[[#This Row],[ID Vendedor]],Vendedores[ID],Vendedores[Setor])</f>
        <v>CM</v>
      </c>
      <c r="D2834" s="7" t="s">
        <v>22</v>
      </c>
      <c r="E2834" t="str">
        <f>_xlfn.XLOOKUP(Vendas[[#This Row],[ID Item Vendido]],Agregado[ID],Agregado[Produto])</f>
        <v>Painel MDP 2,75x1,83m</v>
      </c>
      <c r="F2834" s="39">
        <v>45191</v>
      </c>
      <c r="G2834" s="7">
        <v>19</v>
      </c>
      <c r="H2834" s="3">
        <f>_xlfn.XLOOKUP(Vendas[[#This Row],[ID Item Vendido]],Agregado[ID],Agregado[Revenda])</f>
        <v>119</v>
      </c>
      <c r="I2834" s="3">
        <f>Vendas[[#This Row],[Valor Unitário]]*Vendas[[#This Row],[Qnt Vendida]]</f>
        <v>2261</v>
      </c>
      <c r="J2834" s="3">
        <f>Vendas[[#This Row],[Valor da Venda]]-(_xlfn.XLOOKUP(Vendas[[#This Row],[ID Item Vendido]],Agregado[ID],Agregado[Custo])*Vendas[[#This Row],[Qnt Vendida]])</f>
        <v>456</v>
      </c>
      <c r="K2834" s="70">
        <f>Vendas[[#This Row],[Lucro da Venda]]/Vendas[[#This Row],[Valor da Venda]]</f>
        <v>0.20168067226890757</v>
      </c>
      <c r="L2834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2834"/>
    </row>
    <row r="2835" spans="1:13" x14ac:dyDescent="0.3">
      <c r="A2835" s="7">
        <v>400246</v>
      </c>
      <c r="B2835" t="str">
        <f>_xlfn.XLOOKUP(Vendas[[#This Row],[ID Vendedor]],Vendedores[ID],Vendedores[Nome])</f>
        <v>Juliana</v>
      </c>
      <c r="C2835" s="7" t="str">
        <f>_xlfn.XLOOKUP(Vendas[[#This Row],[ID Vendedor]],Vendedores[ID],Vendedores[Setor])</f>
        <v>AHD</v>
      </c>
      <c r="D2835" s="7" t="s">
        <v>9</v>
      </c>
      <c r="E2835" t="str">
        <f>_xlfn.XLOOKUP(Vendas[[#This Row],[ID Item Vendido]],Agregado[ID],Agregado[Produto])</f>
        <v>Barra de aço simples</v>
      </c>
      <c r="F2835" s="39">
        <v>45191</v>
      </c>
      <c r="G2835" s="7">
        <v>144</v>
      </c>
      <c r="H2835" s="3">
        <f>_xlfn.XLOOKUP(Vendas[[#This Row],[ID Item Vendido]],Agregado[ID],Agregado[Revenda])</f>
        <v>6.7</v>
      </c>
      <c r="I2835" s="3">
        <f>Vendas[[#This Row],[Valor Unitário]]*Vendas[[#This Row],[Qnt Vendida]]</f>
        <v>964.80000000000007</v>
      </c>
      <c r="J2835" s="3">
        <f>Vendas[[#This Row],[Valor da Venda]]-(_xlfn.XLOOKUP(Vendas[[#This Row],[ID Item Vendido]],Agregado[ID],Agregado[Custo])*Vendas[[#This Row],[Qnt Vendida]])</f>
        <v>129.60000000000014</v>
      </c>
      <c r="K2835" s="70">
        <f>Vendas[[#This Row],[Lucro da Venda]]/Vendas[[#This Row],[Valor da Venda]]</f>
        <v>0.13432835820895536</v>
      </c>
      <c r="L2835" s="3">
        <f>_xlfn.IFS(Vendas[[#This Row],[Margem de Lucro (%)]]&lt;15%,Vendas[[#This Row],[Valor da Venda]]*3%,Vendas[[#This Row],[Margem de Lucro (%)]]&lt;=20%,Vendas[[#This Row],[Valor da Venda]]*4.5%,TRUE,Vendas[[#This Row],[Valor da Venda]]*6%)</f>
        <v>28.944000000000003</v>
      </c>
      <c r="M2835"/>
    </row>
    <row r="2836" spans="1:13" x14ac:dyDescent="0.3">
      <c r="A2836" s="7">
        <v>400241</v>
      </c>
      <c r="B2836" t="str">
        <f>_xlfn.XLOOKUP(Vendas[[#This Row],[ID Vendedor]],Vendedores[ID],Vendedores[Nome])</f>
        <v>Rodrigo</v>
      </c>
      <c r="C2836" s="7" t="str">
        <f>_xlfn.XLOOKUP(Vendas[[#This Row],[ID Vendedor]],Vendedores[ID],Vendedores[Setor])</f>
        <v>FM</v>
      </c>
      <c r="D2836" s="7" t="s">
        <v>31</v>
      </c>
      <c r="E2836" t="str">
        <f>_xlfn.XLOOKUP(Vendas[[#This Row],[ID Item Vendido]],Agregado[ID],Agregado[Produto])</f>
        <v>Tela de metal soldada rolo 2x25m</v>
      </c>
      <c r="F2836" s="39">
        <v>45191</v>
      </c>
      <c r="G2836" s="7">
        <v>12</v>
      </c>
      <c r="H2836" s="3">
        <f>_xlfn.XLOOKUP(Vendas[[#This Row],[ID Item Vendido]],Agregado[ID],Agregado[Revenda])</f>
        <v>43.7</v>
      </c>
      <c r="I2836" s="3">
        <f>Vendas[[#This Row],[Valor Unitário]]*Vendas[[#This Row],[Qnt Vendida]]</f>
        <v>524.40000000000009</v>
      </c>
      <c r="J2836" s="3">
        <f>Vendas[[#This Row],[Valor da Venda]]-(_xlfn.XLOOKUP(Vendas[[#This Row],[ID Item Vendido]],Agregado[ID],Agregado[Custo])*Vendas[[#This Row],[Qnt Vendida]])</f>
        <v>68.400000000000091</v>
      </c>
      <c r="K2836" s="70">
        <f>Vendas[[#This Row],[Lucro da Venda]]/Vendas[[#This Row],[Valor da Venda]]</f>
        <v>0.13043478260869582</v>
      </c>
      <c r="L2836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2836"/>
    </row>
    <row r="2837" spans="1:13" x14ac:dyDescent="0.3">
      <c r="A2837" s="7">
        <v>400253</v>
      </c>
      <c r="B2837" t="str">
        <f>_xlfn.XLOOKUP(Vendas[[#This Row],[ID Vendedor]],Vendedores[ID],Vendedores[Nome])</f>
        <v>Gustavo</v>
      </c>
      <c r="C2837" s="7" t="str">
        <f>_xlfn.XLOOKUP(Vendas[[#This Row],[ID Vendedor]],Vendedores[ID],Vendedores[Setor])</f>
        <v>SC</v>
      </c>
      <c r="D2837" s="7" t="s">
        <v>48</v>
      </c>
      <c r="E2837" t="str">
        <f>_xlfn.XLOOKUP(Vendas[[#This Row],[ID Item Vendido]],Agregado[ID],Agregado[Produto])</f>
        <v>Tambor metálico 200L</v>
      </c>
      <c r="F2837" s="39">
        <v>45192</v>
      </c>
      <c r="G2837" s="7">
        <v>6</v>
      </c>
      <c r="H2837" s="3">
        <f>_xlfn.XLOOKUP(Vendas[[#This Row],[ID Item Vendido]],Agregado[ID],Agregado[Revenda])</f>
        <v>144</v>
      </c>
      <c r="I2837" s="3">
        <f>Vendas[[#This Row],[Valor Unitário]]*Vendas[[#This Row],[Qnt Vendida]]</f>
        <v>864</v>
      </c>
      <c r="J2837" s="3">
        <f>Vendas[[#This Row],[Valor da Venda]]-(_xlfn.XLOOKUP(Vendas[[#This Row],[ID Item Vendido]],Agregado[ID],Agregado[Custo])*Vendas[[#This Row],[Qnt Vendida]])</f>
        <v>144</v>
      </c>
      <c r="K2837" s="70">
        <f>Vendas[[#This Row],[Lucro da Venda]]/Vendas[[#This Row],[Valor da Venda]]</f>
        <v>0.16666666666666666</v>
      </c>
      <c r="L2837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2837"/>
    </row>
    <row r="2838" spans="1:13" x14ac:dyDescent="0.3">
      <c r="A2838" s="7">
        <v>400241</v>
      </c>
      <c r="B2838" t="str">
        <f>_xlfn.XLOOKUP(Vendas[[#This Row],[ID Vendedor]],Vendedores[ID],Vendedores[Nome])</f>
        <v>Rodrigo</v>
      </c>
      <c r="C2838" s="7" t="str">
        <f>_xlfn.XLOOKUP(Vendas[[#This Row],[ID Vendedor]],Vendedores[ID],Vendedores[Setor])</f>
        <v>FM</v>
      </c>
      <c r="D2838" s="7" t="s">
        <v>31</v>
      </c>
      <c r="E2838" t="str">
        <f>_xlfn.XLOOKUP(Vendas[[#This Row],[ID Item Vendido]],Agregado[ID],Agregado[Produto])</f>
        <v>Tela de metal soldada rolo 2x25m</v>
      </c>
      <c r="F2838" s="39">
        <v>45192</v>
      </c>
      <c r="G2838" s="7">
        <v>5</v>
      </c>
      <c r="H2838" s="3">
        <f>_xlfn.XLOOKUP(Vendas[[#This Row],[ID Item Vendido]],Agregado[ID],Agregado[Revenda])</f>
        <v>43.7</v>
      </c>
      <c r="I2838" s="3">
        <f>Vendas[[#This Row],[Valor Unitário]]*Vendas[[#This Row],[Qnt Vendida]]</f>
        <v>218.5</v>
      </c>
      <c r="J2838" s="3">
        <f>Vendas[[#This Row],[Valor da Venda]]-(_xlfn.XLOOKUP(Vendas[[#This Row],[ID Item Vendido]],Agregado[ID],Agregado[Custo])*Vendas[[#This Row],[Qnt Vendida]])</f>
        <v>28.5</v>
      </c>
      <c r="K2838" s="70">
        <f>Vendas[[#This Row],[Lucro da Venda]]/Vendas[[#This Row],[Valor da Venda]]</f>
        <v>0.13043478260869565</v>
      </c>
      <c r="L2838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2838"/>
    </row>
    <row r="2839" spans="1:13" x14ac:dyDescent="0.3">
      <c r="A2839" s="7">
        <v>400241</v>
      </c>
      <c r="B2839" t="str">
        <f>_xlfn.XLOOKUP(Vendas[[#This Row],[ID Vendedor]],Vendedores[ID],Vendedores[Nome])</f>
        <v>Rodrigo</v>
      </c>
      <c r="C2839" s="7" t="str">
        <f>_xlfn.XLOOKUP(Vendas[[#This Row],[ID Vendedor]],Vendedores[ID],Vendedores[Setor])</f>
        <v>FM</v>
      </c>
      <c r="D2839" s="7" t="s">
        <v>6</v>
      </c>
      <c r="E2839" t="str">
        <f>_xlfn.XLOOKUP(Vendas[[#This Row],[ID Item Vendido]],Agregado[ID],Agregado[Produto])</f>
        <v>Parafuso comum 500un</v>
      </c>
      <c r="F2839" s="39">
        <v>45193</v>
      </c>
      <c r="G2839" s="7">
        <v>20</v>
      </c>
      <c r="H2839" s="3">
        <f>_xlfn.XLOOKUP(Vendas[[#This Row],[ID Item Vendido]],Agregado[ID],Agregado[Revenda])</f>
        <v>24.6</v>
      </c>
      <c r="I2839" s="3">
        <f>Vendas[[#This Row],[Valor Unitário]]*Vendas[[#This Row],[Qnt Vendida]]</f>
        <v>492</v>
      </c>
      <c r="J2839" s="3">
        <f>Vendas[[#This Row],[Valor da Venda]]-(_xlfn.XLOOKUP(Vendas[[#This Row],[ID Item Vendido]],Agregado[ID],Agregado[Custo])*Vendas[[#This Row],[Qnt Vendida]])</f>
        <v>52</v>
      </c>
      <c r="K2839" s="70">
        <f>Vendas[[#This Row],[Lucro da Venda]]/Vendas[[#This Row],[Valor da Venda]]</f>
        <v>0.10569105691056911</v>
      </c>
      <c r="L2839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2839"/>
    </row>
    <row r="2840" spans="1:13" x14ac:dyDescent="0.3">
      <c r="A2840" s="7">
        <v>400245</v>
      </c>
      <c r="B2840" t="str">
        <f>_xlfn.XLOOKUP(Vendas[[#This Row],[ID Vendedor]],Vendedores[ID],Vendedores[Nome])</f>
        <v>Thiago</v>
      </c>
      <c r="C2840" s="7" t="str">
        <f>_xlfn.XLOOKUP(Vendas[[#This Row],[ID Vendedor]],Vendedores[ID],Vendedores[Setor])</f>
        <v>AHD</v>
      </c>
      <c r="D2840" s="7" t="s">
        <v>9</v>
      </c>
      <c r="E2840" t="str">
        <f>_xlfn.XLOOKUP(Vendas[[#This Row],[ID Item Vendido]],Agregado[ID],Agregado[Produto])</f>
        <v>Barra de aço simples</v>
      </c>
      <c r="F2840" s="39">
        <v>45193</v>
      </c>
      <c r="G2840" s="7">
        <v>71</v>
      </c>
      <c r="H2840" s="3">
        <f>_xlfn.XLOOKUP(Vendas[[#This Row],[ID Item Vendido]],Agregado[ID],Agregado[Revenda])</f>
        <v>6.7</v>
      </c>
      <c r="I2840" s="3">
        <f>Vendas[[#This Row],[Valor Unitário]]*Vendas[[#This Row],[Qnt Vendida]]</f>
        <v>475.7</v>
      </c>
      <c r="J2840" s="3">
        <f>Vendas[[#This Row],[Valor da Venda]]-(_xlfn.XLOOKUP(Vendas[[#This Row],[ID Item Vendido]],Agregado[ID],Agregado[Custo])*Vendas[[#This Row],[Qnt Vendida]])</f>
        <v>63.899999999999977</v>
      </c>
      <c r="K2840" s="70">
        <f>Vendas[[#This Row],[Lucro da Venda]]/Vendas[[#This Row],[Valor da Venda]]</f>
        <v>0.13432835820895517</v>
      </c>
      <c r="L2840" s="3">
        <f>_xlfn.IFS(Vendas[[#This Row],[Margem de Lucro (%)]]&lt;15%,Vendas[[#This Row],[Valor da Venda]]*3%,Vendas[[#This Row],[Margem de Lucro (%)]]&lt;=20%,Vendas[[#This Row],[Valor da Venda]]*4.5%,TRUE,Vendas[[#This Row],[Valor da Venda]]*6%)</f>
        <v>14.270999999999999</v>
      </c>
      <c r="M2840"/>
    </row>
    <row r="2841" spans="1:13" x14ac:dyDescent="0.3">
      <c r="A2841" s="7">
        <v>400242</v>
      </c>
      <c r="B2841" t="str">
        <f>_xlfn.XLOOKUP(Vendas[[#This Row],[ID Vendedor]],Vendedores[ID],Vendedores[Nome])</f>
        <v>Fernanda</v>
      </c>
      <c r="C2841" s="7" t="str">
        <f>_xlfn.XLOOKUP(Vendas[[#This Row],[ID Vendedor]],Vendedores[ID],Vendedores[Setor])</f>
        <v>FM</v>
      </c>
      <c r="D2841" s="7" t="s">
        <v>27</v>
      </c>
      <c r="E2841" t="str">
        <f>_xlfn.XLOOKUP(Vendas[[#This Row],[ID Item Vendido]],Agregado[ID],Agregado[Produto])</f>
        <v>Chapa de metal lisa 1x2m</v>
      </c>
      <c r="F2841" s="39">
        <v>45194</v>
      </c>
      <c r="G2841" s="7">
        <v>13</v>
      </c>
      <c r="H2841" s="3">
        <f>_xlfn.XLOOKUP(Vendas[[#This Row],[ID Item Vendido]],Agregado[ID],Agregado[Revenda])</f>
        <v>52</v>
      </c>
      <c r="I2841" s="3">
        <f>Vendas[[#This Row],[Valor Unitário]]*Vendas[[#This Row],[Qnt Vendida]]</f>
        <v>676</v>
      </c>
      <c r="J2841" s="3">
        <f>Vendas[[#This Row],[Valor da Venda]]-(_xlfn.XLOOKUP(Vendas[[#This Row],[ID Item Vendido]],Agregado[ID],Agregado[Custo])*Vendas[[#This Row],[Qnt Vendida]])</f>
        <v>91</v>
      </c>
      <c r="K2841" s="70">
        <f>Vendas[[#This Row],[Lucro da Venda]]/Vendas[[#This Row],[Valor da Venda]]</f>
        <v>0.13461538461538461</v>
      </c>
      <c r="L2841" s="3">
        <f>_xlfn.IFS(Vendas[[#This Row],[Margem de Lucro (%)]]&lt;15%,Vendas[[#This Row],[Valor da Venda]]*3%,Vendas[[#This Row],[Margem de Lucro (%)]]&lt;=20%,Vendas[[#This Row],[Valor da Venda]]*4.5%,TRUE,Vendas[[#This Row],[Valor da Venda]]*6%)</f>
        <v>20.279999999999998</v>
      </c>
      <c r="M2841"/>
    </row>
    <row r="2842" spans="1:13" x14ac:dyDescent="0.3">
      <c r="A2842" s="7">
        <v>400249</v>
      </c>
      <c r="B2842" t="str">
        <f>_xlfn.XLOOKUP(Vendas[[#This Row],[ID Vendedor]],Vendedores[ID],Vendedores[Nome])</f>
        <v>Bruno</v>
      </c>
      <c r="C2842" s="7" t="str">
        <f>_xlfn.XLOOKUP(Vendas[[#This Row],[ID Vendedor]],Vendedores[ID],Vendedores[Setor])</f>
        <v>CM</v>
      </c>
      <c r="D2842" s="7" t="s">
        <v>34</v>
      </c>
      <c r="E2842" t="str">
        <f>_xlfn.XLOOKUP(Vendas[[#This Row],[ID Item Vendido]],Agregado[ID],Agregado[Produto])</f>
        <v>Restos de madeira p/ MDP/OSB saco de 20kg</v>
      </c>
      <c r="F2842" s="39">
        <v>45194</v>
      </c>
      <c r="G2842" s="7">
        <v>23</v>
      </c>
      <c r="H2842" s="3">
        <f>_xlfn.XLOOKUP(Vendas[[#This Row],[ID Item Vendido]],Agregado[ID],Agregado[Revenda])</f>
        <v>13.8</v>
      </c>
      <c r="I2842" s="3">
        <f>Vendas[[#This Row],[Valor Unitário]]*Vendas[[#This Row],[Qnt Vendida]]</f>
        <v>317.40000000000003</v>
      </c>
      <c r="J2842" s="3">
        <f>Vendas[[#This Row],[Valor da Venda]]-(_xlfn.XLOOKUP(Vendas[[#This Row],[ID Item Vendido]],Agregado[ID],Agregado[Custo])*Vendas[[#This Row],[Qnt Vendida]])</f>
        <v>41.400000000000034</v>
      </c>
      <c r="K2842" s="70">
        <f>Vendas[[#This Row],[Lucro da Venda]]/Vendas[[#This Row],[Valor da Venda]]</f>
        <v>0.13043478260869573</v>
      </c>
      <c r="L2842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2842"/>
    </row>
    <row r="2843" spans="1:13" x14ac:dyDescent="0.3">
      <c r="A2843" s="7">
        <v>400249</v>
      </c>
      <c r="B2843" t="str">
        <f>_xlfn.XLOOKUP(Vendas[[#This Row],[ID Vendedor]],Vendedores[ID],Vendedores[Nome])</f>
        <v>Bruno</v>
      </c>
      <c r="C2843" s="7" t="str">
        <f>_xlfn.XLOOKUP(Vendas[[#This Row],[ID Vendedor]],Vendedores[ID],Vendedores[Setor])</f>
        <v>CM</v>
      </c>
      <c r="D2843" s="7" t="s">
        <v>45</v>
      </c>
      <c r="E2843" t="str">
        <f>_xlfn.XLOOKUP(Vendas[[#This Row],[ID Item Vendido]],Agregado[ID],Agregado[Produto])</f>
        <v>Viga de madeira tratada 4m</v>
      </c>
      <c r="F2843" s="39">
        <v>45194</v>
      </c>
      <c r="G2843" s="7">
        <v>2</v>
      </c>
      <c r="H2843" s="3">
        <f>_xlfn.XLOOKUP(Vendas[[#This Row],[ID Item Vendido]],Agregado[ID],Agregado[Revenda])</f>
        <v>66</v>
      </c>
      <c r="I2843" s="3">
        <f>Vendas[[#This Row],[Valor Unitário]]*Vendas[[#This Row],[Qnt Vendida]]</f>
        <v>132</v>
      </c>
      <c r="J2843" s="3">
        <f>Vendas[[#This Row],[Valor da Venda]]-(_xlfn.XLOOKUP(Vendas[[#This Row],[ID Item Vendido]],Agregado[ID],Agregado[Custo])*Vendas[[#This Row],[Qnt Vendida]])</f>
        <v>22</v>
      </c>
      <c r="K2843" s="70">
        <f>Vendas[[#This Row],[Lucro da Venda]]/Vendas[[#This Row],[Valor da Venda]]</f>
        <v>0.16666666666666666</v>
      </c>
      <c r="L2843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2843"/>
    </row>
    <row r="2844" spans="1:13" x14ac:dyDescent="0.3">
      <c r="A2844" s="7">
        <v>400253</v>
      </c>
      <c r="B2844" t="str">
        <f>_xlfn.XLOOKUP(Vendas[[#This Row],[ID Vendedor]],Vendedores[ID],Vendedores[Nome])</f>
        <v>Gustavo</v>
      </c>
      <c r="C2844" s="7" t="str">
        <f>_xlfn.XLOOKUP(Vendas[[#This Row],[ID Vendedor]],Vendedores[ID],Vendedores[Setor])</f>
        <v>SC</v>
      </c>
      <c r="D2844" s="7" t="s">
        <v>42</v>
      </c>
      <c r="E2844" t="str">
        <f>_xlfn.XLOOKUP(Vendas[[#This Row],[ID Item Vendido]],Agregado[ID],Agregado[Produto])</f>
        <v>Container de ferro industrial</v>
      </c>
      <c r="F2844" s="39">
        <v>45195</v>
      </c>
      <c r="G2844" s="7">
        <v>4</v>
      </c>
      <c r="H2844" s="3">
        <f>_xlfn.XLOOKUP(Vendas[[#This Row],[ID Item Vendido]],Agregado[ID],Agregado[Revenda])</f>
        <v>830</v>
      </c>
      <c r="I2844" s="3">
        <f>Vendas[[#This Row],[Valor Unitário]]*Vendas[[#This Row],[Qnt Vendida]]</f>
        <v>3320</v>
      </c>
      <c r="J2844" s="3">
        <f>Vendas[[#This Row],[Valor da Venda]]-(_xlfn.XLOOKUP(Vendas[[#This Row],[ID Item Vendido]],Agregado[ID],Agregado[Custo])*Vendas[[#This Row],[Qnt Vendida]])</f>
        <v>600</v>
      </c>
      <c r="K2844" s="70">
        <f>Vendas[[#This Row],[Lucro da Venda]]/Vendas[[#This Row],[Valor da Venda]]</f>
        <v>0.18072289156626506</v>
      </c>
      <c r="L2844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2844"/>
    </row>
    <row r="2845" spans="1:13" x14ac:dyDescent="0.3">
      <c r="A2845" s="7">
        <v>400246</v>
      </c>
      <c r="B2845" t="str">
        <f>_xlfn.XLOOKUP(Vendas[[#This Row],[ID Vendedor]],Vendedores[ID],Vendedores[Nome])</f>
        <v>Juliana</v>
      </c>
      <c r="C2845" s="7" t="str">
        <f>_xlfn.XLOOKUP(Vendas[[#This Row],[ID Vendedor]],Vendedores[ID],Vendedores[Setor])</f>
        <v>AHD</v>
      </c>
      <c r="D2845" s="7" t="s">
        <v>9</v>
      </c>
      <c r="E2845" t="str">
        <f>_xlfn.XLOOKUP(Vendas[[#This Row],[ID Item Vendido]],Agregado[ID],Agregado[Produto])</f>
        <v>Barra de aço simples</v>
      </c>
      <c r="F2845" s="39">
        <v>45195</v>
      </c>
      <c r="G2845" s="7">
        <v>149</v>
      </c>
      <c r="H2845" s="3">
        <f>_xlfn.XLOOKUP(Vendas[[#This Row],[ID Item Vendido]],Agregado[ID],Agregado[Revenda])</f>
        <v>6.7</v>
      </c>
      <c r="I2845" s="3">
        <f>Vendas[[#This Row],[Valor Unitário]]*Vendas[[#This Row],[Qnt Vendida]]</f>
        <v>998.30000000000007</v>
      </c>
      <c r="J2845" s="3">
        <f>Vendas[[#This Row],[Valor da Venda]]-(_xlfn.XLOOKUP(Vendas[[#This Row],[ID Item Vendido]],Agregado[ID],Agregado[Custo])*Vendas[[#This Row],[Qnt Vendida]])</f>
        <v>134.10000000000014</v>
      </c>
      <c r="K2845" s="70">
        <f>Vendas[[#This Row],[Lucro da Venda]]/Vendas[[#This Row],[Valor da Venda]]</f>
        <v>0.13432835820895536</v>
      </c>
      <c r="L2845" s="3">
        <f>_xlfn.IFS(Vendas[[#This Row],[Margem de Lucro (%)]]&lt;15%,Vendas[[#This Row],[Valor da Venda]]*3%,Vendas[[#This Row],[Margem de Lucro (%)]]&lt;=20%,Vendas[[#This Row],[Valor da Venda]]*4.5%,TRUE,Vendas[[#This Row],[Valor da Venda]]*6%)</f>
        <v>29.949000000000002</v>
      </c>
      <c r="M2845"/>
    </row>
    <row r="2846" spans="1:13" x14ac:dyDescent="0.3">
      <c r="A2846" s="7">
        <v>400254</v>
      </c>
      <c r="B2846" t="str">
        <f>_xlfn.XLOOKUP(Vendas[[#This Row],[ID Vendedor]],Vendedores[ID],Vendedores[Nome])</f>
        <v>Beatriz</v>
      </c>
      <c r="C2846" s="7" t="str">
        <f>_xlfn.XLOOKUP(Vendas[[#This Row],[ID Vendedor]],Vendedores[ID],Vendedores[Setor])</f>
        <v>SC</v>
      </c>
      <c r="D2846" s="7" t="s">
        <v>42</v>
      </c>
      <c r="E2846" t="str">
        <f>_xlfn.XLOOKUP(Vendas[[#This Row],[ID Item Vendido]],Agregado[ID],Agregado[Produto])</f>
        <v>Container de ferro industrial</v>
      </c>
      <c r="F2846" s="39">
        <v>45195</v>
      </c>
      <c r="G2846" s="7">
        <v>1</v>
      </c>
      <c r="H2846" s="3">
        <f>_xlfn.XLOOKUP(Vendas[[#This Row],[ID Item Vendido]],Agregado[ID],Agregado[Revenda])</f>
        <v>830</v>
      </c>
      <c r="I2846" s="3">
        <f>Vendas[[#This Row],[Valor Unitário]]*Vendas[[#This Row],[Qnt Vendida]]</f>
        <v>830</v>
      </c>
      <c r="J2846" s="3">
        <f>Vendas[[#This Row],[Valor da Venda]]-(_xlfn.XLOOKUP(Vendas[[#This Row],[ID Item Vendido]],Agregado[ID],Agregado[Custo])*Vendas[[#This Row],[Qnt Vendida]])</f>
        <v>150</v>
      </c>
      <c r="K2846" s="70">
        <f>Vendas[[#This Row],[Lucro da Venda]]/Vendas[[#This Row],[Valor da Venda]]</f>
        <v>0.18072289156626506</v>
      </c>
      <c r="L284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2846"/>
    </row>
    <row r="2847" spans="1:13" x14ac:dyDescent="0.3">
      <c r="A2847" s="7">
        <v>400241</v>
      </c>
      <c r="B2847" t="str">
        <f>_xlfn.XLOOKUP(Vendas[[#This Row],[ID Vendedor]],Vendedores[ID],Vendedores[Nome])</f>
        <v>Rodrigo</v>
      </c>
      <c r="C2847" s="7" t="str">
        <f>_xlfn.XLOOKUP(Vendas[[#This Row],[ID Vendedor]],Vendedores[ID],Vendedores[Setor])</f>
        <v>FM</v>
      </c>
      <c r="D2847" s="7" t="s">
        <v>6</v>
      </c>
      <c r="E2847" t="str">
        <f>_xlfn.XLOOKUP(Vendas[[#This Row],[ID Item Vendido]],Agregado[ID],Agregado[Produto])</f>
        <v>Parafuso comum 500un</v>
      </c>
      <c r="F2847" s="39">
        <v>45195</v>
      </c>
      <c r="G2847" s="7">
        <v>22</v>
      </c>
      <c r="H2847" s="3">
        <f>_xlfn.XLOOKUP(Vendas[[#This Row],[ID Item Vendido]],Agregado[ID],Agregado[Revenda])</f>
        <v>24.6</v>
      </c>
      <c r="I2847" s="3">
        <f>Vendas[[#This Row],[Valor Unitário]]*Vendas[[#This Row],[Qnt Vendida]]</f>
        <v>541.20000000000005</v>
      </c>
      <c r="J2847" s="3">
        <f>Vendas[[#This Row],[Valor da Venda]]-(_xlfn.XLOOKUP(Vendas[[#This Row],[ID Item Vendido]],Agregado[ID],Agregado[Custo])*Vendas[[#This Row],[Qnt Vendida]])</f>
        <v>57.200000000000045</v>
      </c>
      <c r="K2847" s="70">
        <f>Vendas[[#This Row],[Lucro da Venda]]/Vendas[[#This Row],[Valor da Venda]]</f>
        <v>0.10569105691056918</v>
      </c>
      <c r="L2847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2847"/>
    </row>
    <row r="2848" spans="1:13" x14ac:dyDescent="0.3">
      <c r="A2848" s="7">
        <v>400254</v>
      </c>
      <c r="B2848" t="str">
        <f>_xlfn.XLOOKUP(Vendas[[#This Row],[ID Vendedor]],Vendedores[ID],Vendedores[Nome])</f>
        <v>Beatriz</v>
      </c>
      <c r="C2848" s="7" t="str">
        <f>_xlfn.XLOOKUP(Vendas[[#This Row],[ID Vendedor]],Vendedores[ID],Vendedores[Setor])</f>
        <v>SC</v>
      </c>
      <c r="D2848" s="7" t="s">
        <v>14</v>
      </c>
      <c r="E2848" t="str">
        <f>_xlfn.XLOOKUP(Vendas[[#This Row],[ID Item Vendido]],Agregado[ID],Agregado[Produto])</f>
        <v>Barril de plástico 200L</v>
      </c>
      <c r="F2848" s="39">
        <v>45197</v>
      </c>
      <c r="G2848" s="7">
        <v>16</v>
      </c>
      <c r="H2848" s="3">
        <f>_xlfn.XLOOKUP(Vendas[[#This Row],[ID Item Vendido]],Agregado[ID],Agregado[Revenda])</f>
        <v>114</v>
      </c>
      <c r="I2848" s="3">
        <f>Vendas[[#This Row],[Valor Unitário]]*Vendas[[#This Row],[Qnt Vendida]]</f>
        <v>1824</v>
      </c>
      <c r="J2848" s="3">
        <f>Vendas[[#This Row],[Valor da Venda]]-(_xlfn.XLOOKUP(Vendas[[#This Row],[ID Item Vendido]],Agregado[ID],Agregado[Custo])*Vendas[[#This Row],[Qnt Vendida]])</f>
        <v>304</v>
      </c>
      <c r="K2848" s="70">
        <f>Vendas[[#This Row],[Lucro da Venda]]/Vendas[[#This Row],[Valor da Venda]]</f>
        <v>0.16666666666666666</v>
      </c>
      <c r="L2848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2848"/>
    </row>
    <row r="2849" spans="1:13" x14ac:dyDescent="0.3">
      <c r="A2849" s="7">
        <v>400243</v>
      </c>
      <c r="B2849" t="str">
        <f>_xlfn.XLOOKUP(Vendas[[#This Row],[ID Vendedor]],Vendedores[ID],Vendedores[Nome])</f>
        <v>Marcelo</v>
      </c>
      <c r="C2849" s="7" t="str">
        <f>_xlfn.XLOOKUP(Vendas[[#This Row],[ID Vendedor]],Vendedores[ID],Vendedores[Setor])</f>
        <v>FM</v>
      </c>
      <c r="D2849" s="7" t="s">
        <v>31</v>
      </c>
      <c r="E2849" t="str">
        <f>_xlfn.XLOOKUP(Vendas[[#This Row],[ID Item Vendido]],Agregado[ID],Agregado[Produto])</f>
        <v>Tela de metal soldada rolo 2x25m</v>
      </c>
      <c r="F2849" s="39">
        <v>45197</v>
      </c>
      <c r="G2849" s="7">
        <v>19</v>
      </c>
      <c r="H2849" s="3">
        <f>_xlfn.XLOOKUP(Vendas[[#This Row],[ID Item Vendido]],Agregado[ID],Agregado[Revenda])</f>
        <v>43.7</v>
      </c>
      <c r="I2849" s="3">
        <f>Vendas[[#This Row],[Valor Unitário]]*Vendas[[#This Row],[Qnt Vendida]]</f>
        <v>830.30000000000007</v>
      </c>
      <c r="J2849" s="3">
        <f>Vendas[[#This Row],[Valor da Venda]]-(_xlfn.XLOOKUP(Vendas[[#This Row],[ID Item Vendido]],Agregado[ID],Agregado[Custo])*Vendas[[#This Row],[Qnt Vendida]])</f>
        <v>108.30000000000007</v>
      </c>
      <c r="K2849" s="70">
        <f>Vendas[[#This Row],[Lucro da Venda]]/Vendas[[#This Row],[Valor da Venda]]</f>
        <v>0.13043478260869573</v>
      </c>
      <c r="L2849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2849"/>
    </row>
    <row r="2850" spans="1:13" x14ac:dyDescent="0.3">
      <c r="A2850" s="7">
        <v>400250</v>
      </c>
      <c r="B2850" t="str">
        <f>_xlfn.XLOOKUP(Vendas[[#This Row],[ID Vendedor]],Vendedores[ID],Vendedores[Nome])</f>
        <v>Larissa</v>
      </c>
      <c r="C2850" s="7" t="str">
        <f>_xlfn.XLOOKUP(Vendas[[#This Row],[ID Vendedor]],Vendedores[ID],Vendedores[Setor])</f>
        <v>AB</v>
      </c>
      <c r="D2850" s="7" t="s">
        <v>36</v>
      </c>
      <c r="E2850" t="str">
        <f>_xlfn.XLOOKUP(Vendas[[#This Row],[ID Item Vendido]],Agregado[ID],Agregado[Produto])</f>
        <v>Borracha vulcanizada em manta</v>
      </c>
      <c r="F2850" s="39">
        <v>45197</v>
      </c>
      <c r="G2850" s="7">
        <v>79</v>
      </c>
      <c r="H2850" s="3">
        <f>_xlfn.XLOOKUP(Vendas[[#This Row],[ID Item Vendido]],Agregado[ID],Agregado[Revenda])</f>
        <v>7.8</v>
      </c>
      <c r="I2850" s="3">
        <f>Vendas[[#This Row],[Valor Unitário]]*Vendas[[#This Row],[Qnt Vendida]]</f>
        <v>616.19999999999993</v>
      </c>
      <c r="J2850" s="3">
        <f>Vendas[[#This Row],[Valor da Venda]]-(_xlfn.XLOOKUP(Vendas[[#This Row],[ID Item Vendido]],Agregado[ID],Agregado[Custo])*Vendas[[#This Row],[Qnt Vendida]])</f>
        <v>142.19999999999993</v>
      </c>
      <c r="K2850" s="70">
        <f>Vendas[[#This Row],[Lucro da Venda]]/Vendas[[#This Row],[Valor da Venda]]</f>
        <v>0.23076923076923067</v>
      </c>
      <c r="L2850" s="3">
        <f>_xlfn.IFS(Vendas[[#This Row],[Margem de Lucro (%)]]&lt;15%,Vendas[[#This Row],[Valor da Venda]]*3%,Vendas[[#This Row],[Margem de Lucro (%)]]&lt;=20%,Vendas[[#This Row],[Valor da Venda]]*4.5%,TRUE,Vendas[[#This Row],[Valor da Venda]]*6%)</f>
        <v>36.971999999999994</v>
      </c>
      <c r="M2850"/>
    </row>
    <row r="2851" spans="1:13" x14ac:dyDescent="0.3">
      <c r="A2851" s="7">
        <v>400241</v>
      </c>
      <c r="B2851" t="str">
        <f>_xlfn.XLOOKUP(Vendas[[#This Row],[ID Vendedor]],Vendedores[ID],Vendedores[Nome])</f>
        <v>Rodrigo</v>
      </c>
      <c r="C2851" s="7" t="str">
        <f>_xlfn.XLOOKUP(Vendas[[#This Row],[ID Vendedor]],Vendedores[ID],Vendedores[Setor])</f>
        <v>FM</v>
      </c>
      <c r="D2851" s="7" t="s">
        <v>31</v>
      </c>
      <c r="E2851" t="str">
        <f>_xlfn.XLOOKUP(Vendas[[#This Row],[ID Item Vendido]],Agregado[ID],Agregado[Produto])</f>
        <v>Tela de metal soldada rolo 2x25m</v>
      </c>
      <c r="F2851" s="39">
        <v>45197</v>
      </c>
      <c r="G2851" s="7">
        <v>9</v>
      </c>
      <c r="H2851" s="3">
        <f>_xlfn.XLOOKUP(Vendas[[#This Row],[ID Item Vendido]],Agregado[ID],Agregado[Revenda])</f>
        <v>43.7</v>
      </c>
      <c r="I2851" s="3">
        <f>Vendas[[#This Row],[Valor Unitário]]*Vendas[[#This Row],[Qnt Vendida]]</f>
        <v>393.3</v>
      </c>
      <c r="J2851" s="3">
        <f>Vendas[[#This Row],[Valor da Venda]]-(_xlfn.XLOOKUP(Vendas[[#This Row],[ID Item Vendido]],Agregado[ID],Agregado[Custo])*Vendas[[#This Row],[Qnt Vendida]])</f>
        <v>51.300000000000011</v>
      </c>
      <c r="K2851" s="70">
        <f>Vendas[[#This Row],[Lucro da Venda]]/Vendas[[#This Row],[Valor da Venda]]</f>
        <v>0.13043478260869568</v>
      </c>
      <c r="L2851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2851"/>
    </row>
    <row r="2852" spans="1:13" x14ac:dyDescent="0.3">
      <c r="A2852" s="7">
        <v>400242</v>
      </c>
      <c r="B2852" t="str">
        <f>_xlfn.XLOOKUP(Vendas[[#This Row],[ID Vendedor]],Vendedores[ID],Vendedores[Nome])</f>
        <v>Fernanda</v>
      </c>
      <c r="C2852" s="7" t="str">
        <f>_xlfn.XLOOKUP(Vendas[[#This Row],[ID Vendedor]],Vendedores[ID],Vendedores[Setor])</f>
        <v>FM</v>
      </c>
      <c r="D2852" s="7" t="s">
        <v>6</v>
      </c>
      <c r="E2852" t="str">
        <f>_xlfn.XLOOKUP(Vendas[[#This Row],[ID Item Vendido]],Agregado[ID],Agregado[Produto])</f>
        <v>Parafuso comum 500un</v>
      </c>
      <c r="F2852" s="39">
        <v>45197</v>
      </c>
      <c r="G2852" s="7">
        <v>3</v>
      </c>
      <c r="H2852" s="3">
        <f>_xlfn.XLOOKUP(Vendas[[#This Row],[ID Item Vendido]],Agregado[ID],Agregado[Revenda])</f>
        <v>24.6</v>
      </c>
      <c r="I2852" s="3">
        <f>Vendas[[#This Row],[Valor Unitário]]*Vendas[[#This Row],[Qnt Vendida]]</f>
        <v>73.800000000000011</v>
      </c>
      <c r="J2852" s="3">
        <f>Vendas[[#This Row],[Valor da Venda]]-(_xlfn.XLOOKUP(Vendas[[#This Row],[ID Item Vendido]],Agregado[ID],Agregado[Custo])*Vendas[[#This Row],[Qnt Vendida]])</f>
        <v>7.8000000000000114</v>
      </c>
      <c r="K2852" s="70">
        <f>Vendas[[#This Row],[Lucro da Venda]]/Vendas[[#This Row],[Valor da Venda]]</f>
        <v>0.10569105691056924</v>
      </c>
      <c r="L2852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2852"/>
    </row>
    <row r="2853" spans="1:13" x14ac:dyDescent="0.3">
      <c r="A2853" s="7">
        <v>400254</v>
      </c>
      <c r="B2853" t="str">
        <f>_xlfn.XLOOKUP(Vendas[[#This Row],[ID Vendedor]],Vendedores[ID],Vendedores[Nome])</f>
        <v>Beatriz</v>
      </c>
      <c r="C2853" s="7" t="str">
        <f>_xlfn.XLOOKUP(Vendas[[#This Row],[ID Vendedor]],Vendedores[ID],Vendedores[Setor])</f>
        <v>SC</v>
      </c>
      <c r="D2853" s="7" t="s">
        <v>14</v>
      </c>
      <c r="E2853" t="str">
        <f>_xlfn.XLOOKUP(Vendas[[#This Row],[ID Item Vendido]],Agregado[ID],Agregado[Produto])</f>
        <v>Barril de plástico 200L</v>
      </c>
      <c r="F2853" s="39">
        <v>45198</v>
      </c>
      <c r="G2853" s="7">
        <v>16</v>
      </c>
      <c r="H2853" s="3">
        <f>_xlfn.XLOOKUP(Vendas[[#This Row],[ID Item Vendido]],Agregado[ID],Agregado[Revenda])</f>
        <v>114</v>
      </c>
      <c r="I2853" s="3">
        <f>Vendas[[#This Row],[Valor Unitário]]*Vendas[[#This Row],[Qnt Vendida]]</f>
        <v>1824</v>
      </c>
      <c r="J2853" s="3">
        <f>Vendas[[#This Row],[Valor da Venda]]-(_xlfn.XLOOKUP(Vendas[[#This Row],[ID Item Vendido]],Agregado[ID],Agregado[Custo])*Vendas[[#This Row],[Qnt Vendida]])</f>
        <v>304</v>
      </c>
      <c r="K2853" s="70">
        <f>Vendas[[#This Row],[Lucro da Venda]]/Vendas[[#This Row],[Valor da Venda]]</f>
        <v>0.16666666666666666</v>
      </c>
      <c r="L2853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2853"/>
    </row>
    <row r="2854" spans="1:13" x14ac:dyDescent="0.3">
      <c r="A2854" s="7">
        <v>400251</v>
      </c>
      <c r="B2854" t="str">
        <f>_xlfn.XLOOKUP(Vendas[[#This Row],[ID Vendedor]],Vendedores[ID],Vendedores[Nome])</f>
        <v>Diego</v>
      </c>
      <c r="C2854" s="7" t="str">
        <f>_xlfn.XLOOKUP(Vendas[[#This Row],[ID Vendedor]],Vendedores[ID],Vendedores[Setor])</f>
        <v>AB</v>
      </c>
      <c r="D2854" s="7" t="s">
        <v>36</v>
      </c>
      <c r="E2854" t="str">
        <f>_xlfn.XLOOKUP(Vendas[[#This Row],[ID Item Vendido]],Agregado[ID],Agregado[Produto])</f>
        <v>Borracha vulcanizada em manta</v>
      </c>
      <c r="F2854" s="39">
        <v>45198</v>
      </c>
      <c r="G2854" s="7">
        <v>84</v>
      </c>
      <c r="H2854" s="3">
        <f>_xlfn.XLOOKUP(Vendas[[#This Row],[ID Item Vendido]],Agregado[ID],Agregado[Revenda])</f>
        <v>7.8</v>
      </c>
      <c r="I2854" s="3">
        <f>Vendas[[#This Row],[Valor Unitário]]*Vendas[[#This Row],[Qnt Vendida]]</f>
        <v>655.19999999999993</v>
      </c>
      <c r="J2854" s="3">
        <f>Vendas[[#This Row],[Valor da Venda]]-(_xlfn.XLOOKUP(Vendas[[#This Row],[ID Item Vendido]],Agregado[ID],Agregado[Custo])*Vendas[[#This Row],[Qnt Vendida]])</f>
        <v>151.19999999999993</v>
      </c>
      <c r="K2854" s="70">
        <f>Vendas[[#This Row],[Lucro da Venda]]/Vendas[[#This Row],[Valor da Venda]]</f>
        <v>0.2307692307692307</v>
      </c>
      <c r="L2854" s="3">
        <f>_xlfn.IFS(Vendas[[#This Row],[Margem de Lucro (%)]]&lt;15%,Vendas[[#This Row],[Valor da Venda]]*3%,Vendas[[#This Row],[Margem de Lucro (%)]]&lt;=20%,Vendas[[#This Row],[Valor da Venda]]*4.5%,TRUE,Vendas[[#This Row],[Valor da Venda]]*6%)</f>
        <v>39.311999999999998</v>
      </c>
      <c r="M2854"/>
    </row>
    <row r="2855" spans="1:13" x14ac:dyDescent="0.3">
      <c r="A2855" s="7">
        <v>400242</v>
      </c>
      <c r="B2855" t="str">
        <f>_xlfn.XLOOKUP(Vendas[[#This Row],[ID Vendedor]],Vendedores[ID],Vendedores[Nome])</f>
        <v>Fernanda</v>
      </c>
      <c r="C2855" s="7" t="str">
        <f>_xlfn.XLOOKUP(Vendas[[#This Row],[ID Vendedor]],Vendedores[ID],Vendedores[Setor])</f>
        <v>FM</v>
      </c>
      <c r="D2855" s="7" t="s">
        <v>20</v>
      </c>
      <c r="E2855" t="str">
        <f>_xlfn.XLOOKUP(Vendas[[#This Row],[ID Item Vendido]],Agregado[ID],Agregado[Produto])</f>
        <v>Barra de aço simples</v>
      </c>
      <c r="F2855" s="39">
        <v>45198</v>
      </c>
      <c r="G2855" s="7">
        <v>52</v>
      </c>
      <c r="H2855" s="3">
        <f>_xlfn.XLOOKUP(Vendas[[#This Row],[ID Item Vendido]],Agregado[ID],Agregado[Revenda])</f>
        <v>4.8</v>
      </c>
      <c r="I2855" s="3">
        <f>Vendas[[#This Row],[Valor Unitário]]*Vendas[[#This Row],[Qnt Vendida]]</f>
        <v>249.6</v>
      </c>
      <c r="J2855" s="3">
        <f>Vendas[[#This Row],[Valor da Venda]]-(_xlfn.XLOOKUP(Vendas[[#This Row],[ID Item Vendido]],Agregado[ID],Agregado[Custo])*Vendas[[#This Row],[Qnt Vendida]])</f>
        <v>31.199999999999989</v>
      </c>
      <c r="K2855" s="70">
        <f>Vendas[[#This Row],[Lucro da Venda]]/Vendas[[#This Row],[Valor da Venda]]</f>
        <v>0.12499999999999996</v>
      </c>
      <c r="L2855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2855"/>
    </row>
    <row r="2856" spans="1:13" x14ac:dyDescent="0.3">
      <c r="A2856" s="7">
        <v>400241</v>
      </c>
      <c r="B2856" t="str">
        <f>_xlfn.XLOOKUP(Vendas[[#This Row],[ID Vendedor]],Vendedores[ID],Vendedores[Nome])</f>
        <v>Rodrigo</v>
      </c>
      <c r="C2856" s="7" t="str">
        <f>_xlfn.XLOOKUP(Vendas[[#This Row],[ID Vendedor]],Vendedores[ID],Vendedores[Setor])</f>
        <v>FM</v>
      </c>
      <c r="D2856" s="7" t="s">
        <v>6</v>
      </c>
      <c r="E2856" t="str">
        <f>_xlfn.XLOOKUP(Vendas[[#This Row],[ID Item Vendido]],Agregado[ID],Agregado[Produto])</f>
        <v>Parafuso comum 500un</v>
      </c>
      <c r="F2856" s="39">
        <v>45199</v>
      </c>
      <c r="G2856" s="7">
        <v>19</v>
      </c>
      <c r="H2856" s="3">
        <f>_xlfn.XLOOKUP(Vendas[[#This Row],[ID Item Vendido]],Agregado[ID],Agregado[Revenda])</f>
        <v>24.6</v>
      </c>
      <c r="I2856" s="3">
        <f>Vendas[[#This Row],[Valor Unitário]]*Vendas[[#This Row],[Qnt Vendida]]</f>
        <v>467.40000000000003</v>
      </c>
      <c r="J2856" s="3">
        <f>Vendas[[#This Row],[Valor da Venda]]-(_xlfn.XLOOKUP(Vendas[[#This Row],[ID Item Vendido]],Agregado[ID],Agregado[Custo])*Vendas[[#This Row],[Qnt Vendida]])</f>
        <v>49.400000000000034</v>
      </c>
      <c r="K2856" s="70">
        <f>Vendas[[#This Row],[Lucro da Venda]]/Vendas[[#This Row],[Valor da Venda]]</f>
        <v>0.10569105691056917</v>
      </c>
      <c r="L2856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2856"/>
    </row>
    <row r="2857" spans="1:13" x14ac:dyDescent="0.3">
      <c r="A2857" s="7">
        <v>400249</v>
      </c>
      <c r="B2857" t="str">
        <f>_xlfn.XLOOKUP(Vendas[[#This Row],[ID Vendedor]],Vendedores[ID],Vendedores[Nome])</f>
        <v>Bruno</v>
      </c>
      <c r="C2857" s="7" t="str">
        <f>_xlfn.XLOOKUP(Vendas[[#This Row],[ID Vendedor]],Vendedores[ID],Vendedores[Setor])</f>
        <v>CM</v>
      </c>
      <c r="D2857" s="7" t="s">
        <v>43</v>
      </c>
      <c r="E2857" t="str">
        <f>_xlfn.XLOOKUP(Vendas[[#This Row],[ID Item Vendido]],Agregado[ID],Agregado[Produto])</f>
        <v>Madeira Bruta (Tora)</v>
      </c>
      <c r="F2857" s="39">
        <v>45200</v>
      </c>
      <c r="G2857" s="7">
        <v>9</v>
      </c>
      <c r="H2857" s="3">
        <f>_xlfn.XLOOKUP(Vendas[[#This Row],[ID Item Vendido]],Agregado[ID],Agregado[Revenda])</f>
        <v>212</v>
      </c>
      <c r="I2857" s="3">
        <f>Vendas[[#This Row],[Valor Unitário]]*Vendas[[#This Row],[Qnt Vendida]]</f>
        <v>1908</v>
      </c>
      <c r="J2857" s="3">
        <f>Vendas[[#This Row],[Valor da Venda]]-(_xlfn.XLOOKUP(Vendas[[#This Row],[ID Item Vendido]],Agregado[ID],Agregado[Custo])*Vendas[[#This Row],[Qnt Vendida]])</f>
        <v>288</v>
      </c>
      <c r="K2857" s="70">
        <f>Vendas[[#This Row],[Lucro da Venda]]/Vendas[[#This Row],[Valor da Venda]]</f>
        <v>0.15094339622641509</v>
      </c>
      <c r="L2857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2857"/>
    </row>
    <row r="2858" spans="1:13" x14ac:dyDescent="0.3">
      <c r="A2858" s="7">
        <v>400251</v>
      </c>
      <c r="B2858" t="str">
        <f>_xlfn.XLOOKUP(Vendas[[#This Row],[ID Vendedor]],Vendedores[ID],Vendedores[Nome])</f>
        <v>Diego</v>
      </c>
      <c r="C2858" s="7" t="str">
        <f>_xlfn.XLOOKUP(Vendas[[#This Row],[ID Vendedor]],Vendedores[ID],Vendedores[Setor])</f>
        <v>AB</v>
      </c>
      <c r="D2858" s="7" t="s">
        <v>12</v>
      </c>
      <c r="E2858" t="str">
        <f>_xlfn.XLOOKUP(Vendas[[#This Row],[ID Item Vendido]],Agregado[ID],Agregado[Produto])</f>
        <v>Grânulo de plástico reciclado refinado</v>
      </c>
      <c r="F2858" s="39">
        <v>45200</v>
      </c>
      <c r="G2858" s="7">
        <v>78</v>
      </c>
      <c r="H2858" s="3">
        <f>_xlfn.XLOOKUP(Vendas[[#This Row],[ID Item Vendido]],Agregado[ID],Agregado[Revenda])</f>
        <v>4.7</v>
      </c>
      <c r="I2858" s="3">
        <f>Vendas[[#This Row],[Valor Unitário]]*Vendas[[#This Row],[Qnt Vendida]]</f>
        <v>366.6</v>
      </c>
      <c r="J2858" s="3">
        <f>Vendas[[#This Row],[Valor da Venda]]-(_xlfn.XLOOKUP(Vendas[[#This Row],[ID Item Vendido]],Agregado[ID],Agregado[Custo])*Vendas[[#This Row],[Qnt Vendida]])</f>
        <v>93.600000000000023</v>
      </c>
      <c r="K2858" s="70">
        <f>Vendas[[#This Row],[Lucro da Venda]]/Vendas[[#This Row],[Valor da Venda]]</f>
        <v>0.25531914893617025</v>
      </c>
      <c r="L2858" s="3">
        <f>_xlfn.IFS(Vendas[[#This Row],[Margem de Lucro (%)]]&lt;15%,Vendas[[#This Row],[Valor da Venda]]*3%,Vendas[[#This Row],[Margem de Lucro (%)]]&lt;=20%,Vendas[[#This Row],[Valor da Venda]]*4.5%,TRUE,Vendas[[#This Row],[Valor da Venda]]*6%)</f>
        <v>21.996000000000002</v>
      </c>
      <c r="M2858"/>
    </row>
    <row r="2859" spans="1:13" x14ac:dyDescent="0.3">
      <c r="A2859" s="7">
        <v>400249</v>
      </c>
      <c r="B2859" t="str">
        <f>_xlfn.XLOOKUP(Vendas[[#This Row],[ID Vendedor]],Vendedores[ID],Vendedores[Nome])</f>
        <v>Bruno</v>
      </c>
      <c r="C2859" s="7" t="str">
        <f>_xlfn.XLOOKUP(Vendas[[#This Row],[ID Vendedor]],Vendedores[ID],Vendedores[Setor])</f>
        <v>CM</v>
      </c>
      <c r="D2859" s="7" t="s">
        <v>45</v>
      </c>
      <c r="E2859" t="str">
        <f>_xlfn.XLOOKUP(Vendas[[#This Row],[ID Item Vendido]],Agregado[ID],Agregado[Produto])</f>
        <v>Viga de madeira tratada 4m</v>
      </c>
      <c r="F2859" s="39">
        <v>45200</v>
      </c>
      <c r="G2859" s="7">
        <v>4</v>
      </c>
      <c r="H2859" s="3">
        <f>_xlfn.XLOOKUP(Vendas[[#This Row],[ID Item Vendido]],Agregado[ID],Agregado[Revenda])</f>
        <v>66</v>
      </c>
      <c r="I2859" s="3">
        <f>Vendas[[#This Row],[Valor Unitário]]*Vendas[[#This Row],[Qnt Vendida]]</f>
        <v>264</v>
      </c>
      <c r="J2859" s="3">
        <f>Vendas[[#This Row],[Valor da Venda]]-(_xlfn.XLOOKUP(Vendas[[#This Row],[ID Item Vendido]],Agregado[ID],Agregado[Custo])*Vendas[[#This Row],[Qnt Vendida]])</f>
        <v>44</v>
      </c>
      <c r="K2859" s="70">
        <f>Vendas[[#This Row],[Lucro da Venda]]/Vendas[[#This Row],[Valor da Venda]]</f>
        <v>0.16666666666666666</v>
      </c>
      <c r="L2859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2859"/>
    </row>
    <row r="2860" spans="1:13" x14ac:dyDescent="0.3">
      <c r="A2860" s="7">
        <v>400246</v>
      </c>
      <c r="B2860" t="str">
        <f>_xlfn.XLOOKUP(Vendas[[#This Row],[ID Vendedor]],Vendedores[ID],Vendedores[Nome])</f>
        <v>Juliana</v>
      </c>
      <c r="C2860" s="7" t="str">
        <f>_xlfn.XLOOKUP(Vendas[[#This Row],[ID Vendedor]],Vendedores[ID],Vendedores[Setor])</f>
        <v>AHD</v>
      </c>
      <c r="D2860" s="7" t="s">
        <v>28</v>
      </c>
      <c r="E2860" t="str">
        <f>_xlfn.XLOOKUP(Vendas[[#This Row],[ID Item Vendido]],Agregado[ID],Agregado[Produto])</f>
        <v>Peça usinada CNC</v>
      </c>
      <c r="F2860" s="39">
        <v>45201</v>
      </c>
      <c r="G2860" s="7">
        <v>4</v>
      </c>
      <c r="H2860" s="3">
        <f>_xlfn.XLOOKUP(Vendas[[#This Row],[ID Item Vendido]],Agregado[ID],Agregado[Revenda])</f>
        <v>192</v>
      </c>
      <c r="I2860" s="3">
        <f>Vendas[[#This Row],[Valor Unitário]]*Vendas[[#This Row],[Qnt Vendida]]</f>
        <v>768</v>
      </c>
      <c r="J2860" s="3">
        <f>Vendas[[#This Row],[Valor da Venda]]-(_xlfn.XLOOKUP(Vendas[[#This Row],[ID Item Vendido]],Agregado[ID],Agregado[Custo])*Vendas[[#This Row],[Qnt Vendida]])</f>
        <v>168</v>
      </c>
      <c r="K2860" s="70">
        <f>Vendas[[#This Row],[Lucro da Venda]]/Vendas[[#This Row],[Valor da Venda]]</f>
        <v>0.21875</v>
      </c>
      <c r="L2860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2860"/>
    </row>
    <row r="2861" spans="1:13" x14ac:dyDescent="0.3">
      <c r="A2861" s="7">
        <v>400255</v>
      </c>
      <c r="B2861" t="str">
        <f>_xlfn.XLOOKUP(Vendas[[#This Row],[ID Vendedor]],Vendedores[ID],Vendedores[Nome])</f>
        <v>Carlos</v>
      </c>
      <c r="C2861" s="7" t="str">
        <f>_xlfn.XLOOKUP(Vendas[[#This Row],[ID Vendedor]],Vendedores[ID],Vendedores[Setor])</f>
        <v>SC</v>
      </c>
      <c r="D2861" s="7" t="s">
        <v>48</v>
      </c>
      <c r="E2861" t="str">
        <f>_xlfn.XLOOKUP(Vendas[[#This Row],[ID Item Vendido]],Agregado[ID],Agregado[Produto])</f>
        <v>Tambor metálico 200L</v>
      </c>
      <c r="F2861" s="39">
        <v>45202</v>
      </c>
      <c r="G2861" s="7">
        <v>11</v>
      </c>
      <c r="H2861" s="3">
        <f>_xlfn.XLOOKUP(Vendas[[#This Row],[ID Item Vendido]],Agregado[ID],Agregado[Revenda])</f>
        <v>144</v>
      </c>
      <c r="I2861" s="3">
        <f>Vendas[[#This Row],[Valor Unitário]]*Vendas[[#This Row],[Qnt Vendida]]</f>
        <v>1584</v>
      </c>
      <c r="J2861" s="3">
        <f>Vendas[[#This Row],[Valor da Venda]]-(_xlfn.XLOOKUP(Vendas[[#This Row],[ID Item Vendido]],Agregado[ID],Agregado[Custo])*Vendas[[#This Row],[Qnt Vendida]])</f>
        <v>264</v>
      </c>
      <c r="K2861" s="70">
        <f>Vendas[[#This Row],[Lucro da Venda]]/Vendas[[#This Row],[Valor da Venda]]</f>
        <v>0.16666666666666666</v>
      </c>
      <c r="L2861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2861"/>
    </row>
    <row r="2862" spans="1:13" x14ac:dyDescent="0.3">
      <c r="A2862" s="7">
        <v>400244</v>
      </c>
      <c r="B2862" t="str">
        <f>_xlfn.XLOOKUP(Vendas[[#This Row],[ID Vendedor]],Vendedores[ID],Vendedores[Nome])</f>
        <v>Camila</v>
      </c>
      <c r="C2862" s="7" t="str">
        <f>_xlfn.XLOOKUP(Vendas[[#This Row],[ID Vendedor]],Vendedores[ID],Vendedores[Setor])</f>
        <v>AHD</v>
      </c>
      <c r="D2862" s="7" t="s">
        <v>30</v>
      </c>
      <c r="E2862" t="str">
        <f>_xlfn.XLOOKUP(Vendas[[#This Row],[ID Item Vendido]],Agregado[ID],Agregado[Produto])</f>
        <v>Estrutura metálica soldada</v>
      </c>
      <c r="F2862" s="39">
        <v>45203</v>
      </c>
      <c r="G2862" s="7">
        <v>5</v>
      </c>
      <c r="H2862" s="3">
        <f>_xlfn.XLOOKUP(Vendas[[#This Row],[ID Item Vendido]],Agregado[ID],Agregado[Revenda])</f>
        <v>400</v>
      </c>
      <c r="I2862" s="3">
        <f>Vendas[[#This Row],[Valor Unitário]]*Vendas[[#This Row],[Qnt Vendida]]</f>
        <v>2000</v>
      </c>
      <c r="J2862" s="3">
        <f>Vendas[[#This Row],[Valor da Venda]]-(_xlfn.XLOOKUP(Vendas[[#This Row],[ID Item Vendido]],Agregado[ID],Agregado[Custo])*Vendas[[#This Row],[Qnt Vendida]])</f>
        <v>400</v>
      </c>
      <c r="K2862" s="70">
        <f>Vendas[[#This Row],[Lucro da Venda]]/Vendas[[#This Row],[Valor da Venda]]</f>
        <v>0.2</v>
      </c>
      <c r="L2862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862"/>
    </row>
    <row r="2863" spans="1:13" x14ac:dyDescent="0.3">
      <c r="A2863" s="7">
        <v>400247</v>
      </c>
      <c r="B2863" t="str">
        <f>_xlfn.XLOOKUP(Vendas[[#This Row],[ID Vendedor]],Vendedores[ID],Vendedores[Nome])</f>
        <v>André</v>
      </c>
      <c r="C2863" s="7" t="str">
        <f>_xlfn.XLOOKUP(Vendas[[#This Row],[ID Vendedor]],Vendedores[ID],Vendedores[Setor])</f>
        <v>CM</v>
      </c>
      <c r="D2863" s="7" t="s">
        <v>45</v>
      </c>
      <c r="E2863" t="str">
        <f>_xlfn.XLOOKUP(Vendas[[#This Row],[ID Item Vendido]],Agregado[ID],Agregado[Produto])</f>
        <v>Viga de madeira tratada 4m</v>
      </c>
      <c r="F2863" s="39">
        <v>45203</v>
      </c>
      <c r="G2863" s="7">
        <v>17</v>
      </c>
      <c r="H2863" s="3">
        <f>_xlfn.XLOOKUP(Vendas[[#This Row],[ID Item Vendido]],Agregado[ID],Agregado[Revenda])</f>
        <v>66</v>
      </c>
      <c r="I2863" s="3">
        <f>Vendas[[#This Row],[Valor Unitário]]*Vendas[[#This Row],[Qnt Vendida]]</f>
        <v>1122</v>
      </c>
      <c r="J2863" s="3">
        <f>Vendas[[#This Row],[Valor da Venda]]-(_xlfn.XLOOKUP(Vendas[[#This Row],[ID Item Vendido]],Agregado[ID],Agregado[Custo])*Vendas[[#This Row],[Qnt Vendida]])</f>
        <v>187</v>
      </c>
      <c r="K2863" s="70">
        <f>Vendas[[#This Row],[Lucro da Venda]]/Vendas[[#This Row],[Valor da Venda]]</f>
        <v>0.16666666666666666</v>
      </c>
      <c r="L2863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2863"/>
    </row>
    <row r="2864" spans="1:13" x14ac:dyDescent="0.3">
      <c r="A2864" s="7">
        <v>400245</v>
      </c>
      <c r="B2864" t="str">
        <f>_xlfn.XLOOKUP(Vendas[[#This Row],[ID Vendedor]],Vendedores[ID],Vendedores[Nome])</f>
        <v>Thiago</v>
      </c>
      <c r="C2864" s="7" t="str">
        <f>_xlfn.XLOOKUP(Vendas[[#This Row],[ID Vendedor]],Vendedores[ID],Vendedores[Setor])</f>
        <v>AHD</v>
      </c>
      <c r="D2864" s="7" t="s">
        <v>28</v>
      </c>
      <c r="E2864" t="str">
        <f>_xlfn.XLOOKUP(Vendas[[#This Row],[ID Item Vendido]],Agregado[ID],Agregado[Produto])</f>
        <v>Peça usinada CNC</v>
      </c>
      <c r="F2864" s="39">
        <v>45203</v>
      </c>
      <c r="G2864" s="7">
        <v>5</v>
      </c>
      <c r="H2864" s="3">
        <f>_xlfn.XLOOKUP(Vendas[[#This Row],[ID Item Vendido]],Agregado[ID],Agregado[Revenda])</f>
        <v>192</v>
      </c>
      <c r="I2864" s="3">
        <f>Vendas[[#This Row],[Valor Unitário]]*Vendas[[#This Row],[Qnt Vendida]]</f>
        <v>960</v>
      </c>
      <c r="J2864" s="3">
        <f>Vendas[[#This Row],[Valor da Venda]]-(_xlfn.XLOOKUP(Vendas[[#This Row],[ID Item Vendido]],Agregado[ID],Agregado[Custo])*Vendas[[#This Row],[Qnt Vendida]])</f>
        <v>210</v>
      </c>
      <c r="K2864" s="70">
        <f>Vendas[[#This Row],[Lucro da Venda]]/Vendas[[#This Row],[Valor da Venda]]</f>
        <v>0.21875</v>
      </c>
      <c r="L2864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2864"/>
    </row>
    <row r="2865" spans="1:13" x14ac:dyDescent="0.3">
      <c r="A2865" s="7">
        <v>400251</v>
      </c>
      <c r="B2865" t="str">
        <f>_xlfn.XLOOKUP(Vendas[[#This Row],[ID Vendedor]],Vendedores[ID],Vendedores[Nome])</f>
        <v>Diego</v>
      </c>
      <c r="C2865" s="7" t="str">
        <f>_xlfn.XLOOKUP(Vendas[[#This Row],[ID Vendedor]],Vendedores[ID],Vendedores[Setor])</f>
        <v>AB</v>
      </c>
      <c r="D2865" s="7" t="s">
        <v>39</v>
      </c>
      <c r="E2865" t="str">
        <f>_xlfn.XLOOKUP(Vendas[[#This Row],[ID Item Vendido]],Agregado[ID],Agregado[Produto])</f>
        <v>Filme plástico industrial rolo 50m</v>
      </c>
      <c r="F2865" s="39">
        <v>45203</v>
      </c>
      <c r="G2865" s="7">
        <v>12</v>
      </c>
      <c r="H2865" s="3">
        <f>_xlfn.XLOOKUP(Vendas[[#This Row],[ID Item Vendido]],Agregado[ID],Agregado[Revenda])</f>
        <v>37</v>
      </c>
      <c r="I2865" s="3">
        <f>Vendas[[#This Row],[Valor Unitário]]*Vendas[[#This Row],[Qnt Vendida]]</f>
        <v>444</v>
      </c>
      <c r="J2865" s="3">
        <f>Vendas[[#This Row],[Valor da Venda]]-(_xlfn.XLOOKUP(Vendas[[#This Row],[ID Item Vendido]],Agregado[ID],Agregado[Custo])*Vendas[[#This Row],[Qnt Vendida]])</f>
        <v>108</v>
      </c>
      <c r="K2865" s="70">
        <f>Vendas[[#This Row],[Lucro da Venda]]/Vendas[[#This Row],[Valor da Venda]]</f>
        <v>0.24324324324324326</v>
      </c>
      <c r="L2865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2865"/>
    </row>
    <row r="2866" spans="1:13" x14ac:dyDescent="0.3">
      <c r="A2866" s="7">
        <v>400247</v>
      </c>
      <c r="B2866" t="str">
        <f>_xlfn.XLOOKUP(Vendas[[#This Row],[ID Vendedor]],Vendedores[ID],Vendedores[Nome])</f>
        <v>André</v>
      </c>
      <c r="C2866" s="7" t="str">
        <f>_xlfn.XLOOKUP(Vendas[[#This Row],[ID Vendedor]],Vendedores[ID],Vendedores[Setor])</f>
        <v>CM</v>
      </c>
      <c r="D2866" s="7" t="s">
        <v>32</v>
      </c>
      <c r="E2866" t="str">
        <f>_xlfn.XLOOKUP(Vendas[[#This Row],[ID Item Vendido]],Agregado[ID],Agregado[Produto])</f>
        <v>Tábua tratada e cortada 3m</v>
      </c>
      <c r="F2866" s="39">
        <v>45203</v>
      </c>
      <c r="G2866" s="7">
        <v>8</v>
      </c>
      <c r="H2866" s="3">
        <f>_xlfn.XLOOKUP(Vendas[[#This Row],[ID Item Vendido]],Agregado[ID],Agregado[Revenda])</f>
        <v>39</v>
      </c>
      <c r="I2866" s="3">
        <f>Vendas[[#This Row],[Valor Unitário]]*Vendas[[#This Row],[Qnt Vendida]]</f>
        <v>312</v>
      </c>
      <c r="J2866" s="3">
        <f>Vendas[[#This Row],[Valor da Venda]]-(_xlfn.XLOOKUP(Vendas[[#This Row],[ID Item Vendido]],Agregado[ID],Agregado[Custo])*Vendas[[#This Row],[Qnt Vendida]])</f>
        <v>56</v>
      </c>
      <c r="K2866" s="70">
        <f>Vendas[[#This Row],[Lucro da Venda]]/Vendas[[#This Row],[Valor da Venda]]</f>
        <v>0.17948717948717949</v>
      </c>
      <c r="L2866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2866"/>
    </row>
    <row r="2867" spans="1:13" x14ac:dyDescent="0.3">
      <c r="A2867" s="7">
        <v>400242</v>
      </c>
      <c r="B2867" t="str">
        <f>_xlfn.XLOOKUP(Vendas[[#This Row],[ID Vendedor]],Vendedores[ID],Vendedores[Nome])</f>
        <v>Fernanda</v>
      </c>
      <c r="C2867" s="7" t="str">
        <f>_xlfn.XLOOKUP(Vendas[[#This Row],[ID Vendedor]],Vendedores[ID],Vendedores[Setor])</f>
        <v>FM</v>
      </c>
      <c r="D2867" s="7" t="s">
        <v>20</v>
      </c>
      <c r="E2867" t="str">
        <f>_xlfn.XLOOKUP(Vendas[[#This Row],[ID Item Vendido]],Agregado[ID],Agregado[Produto])</f>
        <v>Barra de aço simples</v>
      </c>
      <c r="F2867" s="39">
        <v>45203</v>
      </c>
      <c r="G2867" s="7">
        <v>52</v>
      </c>
      <c r="H2867" s="3">
        <f>_xlfn.XLOOKUP(Vendas[[#This Row],[ID Item Vendido]],Agregado[ID],Agregado[Revenda])</f>
        <v>4.8</v>
      </c>
      <c r="I2867" s="3">
        <f>Vendas[[#This Row],[Valor Unitário]]*Vendas[[#This Row],[Qnt Vendida]]</f>
        <v>249.6</v>
      </c>
      <c r="J2867" s="3">
        <f>Vendas[[#This Row],[Valor da Venda]]-(_xlfn.XLOOKUP(Vendas[[#This Row],[ID Item Vendido]],Agregado[ID],Agregado[Custo])*Vendas[[#This Row],[Qnt Vendida]])</f>
        <v>31.199999999999989</v>
      </c>
      <c r="K2867" s="70">
        <f>Vendas[[#This Row],[Lucro da Venda]]/Vendas[[#This Row],[Valor da Venda]]</f>
        <v>0.12499999999999996</v>
      </c>
      <c r="L2867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2867"/>
    </row>
    <row r="2868" spans="1:13" x14ac:dyDescent="0.3">
      <c r="A2868" s="7">
        <v>400246</v>
      </c>
      <c r="B2868" t="str">
        <f>_xlfn.XLOOKUP(Vendas[[#This Row],[ID Vendedor]],Vendedores[ID],Vendedores[Nome])</f>
        <v>Juliana</v>
      </c>
      <c r="C2868" s="7" t="str">
        <f>_xlfn.XLOOKUP(Vendas[[#This Row],[ID Vendedor]],Vendedores[ID],Vendedores[Setor])</f>
        <v>AHD</v>
      </c>
      <c r="D2868" s="7" t="s">
        <v>30</v>
      </c>
      <c r="E2868" t="str">
        <f>_xlfn.XLOOKUP(Vendas[[#This Row],[ID Item Vendido]],Agregado[ID],Agregado[Produto])</f>
        <v>Estrutura metálica soldada</v>
      </c>
      <c r="F2868" s="39">
        <v>45204</v>
      </c>
      <c r="G2868" s="7">
        <v>8</v>
      </c>
      <c r="H2868" s="3">
        <f>_xlfn.XLOOKUP(Vendas[[#This Row],[ID Item Vendido]],Agregado[ID],Agregado[Revenda])</f>
        <v>400</v>
      </c>
      <c r="I2868" s="3">
        <f>Vendas[[#This Row],[Valor Unitário]]*Vendas[[#This Row],[Qnt Vendida]]</f>
        <v>3200</v>
      </c>
      <c r="J2868" s="3">
        <f>Vendas[[#This Row],[Valor da Venda]]-(_xlfn.XLOOKUP(Vendas[[#This Row],[ID Item Vendido]],Agregado[ID],Agregado[Custo])*Vendas[[#This Row],[Qnt Vendida]])</f>
        <v>640</v>
      </c>
      <c r="K2868" s="70">
        <f>Vendas[[#This Row],[Lucro da Venda]]/Vendas[[#This Row],[Valor da Venda]]</f>
        <v>0.2</v>
      </c>
      <c r="L2868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2868"/>
    </row>
    <row r="2869" spans="1:13" x14ac:dyDescent="0.3">
      <c r="A2869" s="7">
        <v>400241</v>
      </c>
      <c r="B2869" t="str">
        <f>_xlfn.XLOOKUP(Vendas[[#This Row],[ID Vendedor]],Vendedores[ID],Vendedores[Nome])</f>
        <v>Rodrigo</v>
      </c>
      <c r="C2869" s="7" t="str">
        <f>_xlfn.XLOOKUP(Vendas[[#This Row],[ID Vendedor]],Vendedores[ID],Vendedores[Setor])</f>
        <v>FM</v>
      </c>
      <c r="D2869" s="7" t="s">
        <v>27</v>
      </c>
      <c r="E2869" t="str">
        <f>_xlfn.XLOOKUP(Vendas[[#This Row],[ID Item Vendido]],Agregado[ID],Agregado[Produto])</f>
        <v>Chapa de metal lisa 1x2m</v>
      </c>
      <c r="F2869" s="39">
        <v>45204</v>
      </c>
      <c r="G2869" s="7">
        <v>30</v>
      </c>
      <c r="H2869" s="3">
        <f>_xlfn.XLOOKUP(Vendas[[#This Row],[ID Item Vendido]],Agregado[ID],Agregado[Revenda])</f>
        <v>52</v>
      </c>
      <c r="I2869" s="3">
        <f>Vendas[[#This Row],[Valor Unitário]]*Vendas[[#This Row],[Qnt Vendida]]</f>
        <v>1560</v>
      </c>
      <c r="J2869" s="3">
        <f>Vendas[[#This Row],[Valor da Venda]]-(_xlfn.XLOOKUP(Vendas[[#This Row],[ID Item Vendido]],Agregado[ID],Agregado[Custo])*Vendas[[#This Row],[Qnt Vendida]])</f>
        <v>210</v>
      </c>
      <c r="K2869" s="70">
        <f>Vendas[[#This Row],[Lucro da Venda]]/Vendas[[#This Row],[Valor da Venda]]</f>
        <v>0.13461538461538461</v>
      </c>
      <c r="L2869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2869"/>
    </row>
    <row r="2870" spans="1:13" x14ac:dyDescent="0.3">
      <c r="A2870" s="7">
        <v>400246</v>
      </c>
      <c r="B2870" t="str">
        <f>_xlfn.XLOOKUP(Vendas[[#This Row],[ID Vendedor]],Vendedores[ID],Vendedores[Nome])</f>
        <v>Juliana</v>
      </c>
      <c r="C2870" s="7" t="str">
        <f>_xlfn.XLOOKUP(Vendas[[#This Row],[ID Vendedor]],Vendedores[ID],Vendedores[Setor])</f>
        <v>AHD</v>
      </c>
      <c r="D2870" s="7" t="s">
        <v>44</v>
      </c>
      <c r="E2870" t="str">
        <f>_xlfn.XLOOKUP(Vendas[[#This Row],[ID Item Vendido]],Agregado[ID],Agregado[Produto])</f>
        <v>Liga metálica especial</v>
      </c>
      <c r="F2870" s="39">
        <v>45204</v>
      </c>
      <c r="G2870" s="7">
        <v>10</v>
      </c>
      <c r="H2870" s="3">
        <f>_xlfn.XLOOKUP(Vendas[[#This Row],[ID Item Vendido]],Agregado[ID],Agregado[Revenda])</f>
        <v>32.5</v>
      </c>
      <c r="I2870" s="3">
        <f>Vendas[[#This Row],[Valor Unitário]]*Vendas[[#This Row],[Qnt Vendida]]</f>
        <v>325</v>
      </c>
      <c r="J2870" s="3">
        <f>Vendas[[#This Row],[Valor da Venda]]-(_xlfn.XLOOKUP(Vendas[[#This Row],[ID Item Vendido]],Agregado[ID],Agregado[Custo])*Vendas[[#This Row],[Qnt Vendida]])</f>
        <v>75</v>
      </c>
      <c r="K2870" s="70">
        <f>Vendas[[#This Row],[Lucro da Venda]]/Vendas[[#This Row],[Valor da Venda]]</f>
        <v>0.23076923076923078</v>
      </c>
      <c r="L2870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2870"/>
    </row>
    <row r="2871" spans="1:13" x14ac:dyDescent="0.3">
      <c r="A2871" s="7">
        <v>400247</v>
      </c>
      <c r="B2871" t="str">
        <f>_xlfn.XLOOKUP(Vendas[[#This Row],[ID Vendedor]],Vendedores[ID],Vendedores[Nome])</f>
        <v>André</v>
      </c>
      <c r="C2871" s="7" t="str">
        <f>_xlfn.XLOOKUP(Vendas[[#This Row],[ID Vendedor]],Vendedores[ID],Vendedores[Setor])</f>
        <v>CM</v>
      </c>
      <c r="D2871" s="7" t="s">
        <v>34</v>
      </c>
      <c r="E2871" t="str">
        <f>_xlfn.XLOOKUP(Vendas[[#This Row],[ID Item Vendido]],Agregado[ID],Agregado[Produto])</f>
        <v>Restos de madeira p/ MDP/OSB saco de 20kg</v>
      </c>
      <c r="F2871" s="39">
        <v>45204</v>
      </c>
      <c r="G2871" s="7">
        <v>14</v>
      </c>
      <c r="H2871" s="3">
        <f>_xlfn.XLOOKUP(Vendas[[#This Row],[ID Item Vendido]],Agregado[ID],Agregado[Revenda])</f>
        <v>13.8</v>
      </c>
      <c r="I2871" s="3">
        <f>Vendas[[#This Row],[Valor Unitário]]*Vendas[[#This Row],[Qnt Vendida]]</f>
        <v>193.20000000000002</v>
      </c>
      <c r="J2871" s="3">
        <f>Vendas[[#This Row],[Valor da Venda]]-(_xlfn.XLOOKUP(Vendas[[#This Row],[ID Item Vendido]],Agregado[ID],Agregado[Custo])*Vendas[[#This Row],[Qnt Vendida]])</f>
        <v>25.200000000000017</v>
      </c>
      <c r="K2871" s="70">
        <f>Vendas[[#This Row],[Lucro da Venda]]/Vendas[[#This Row],[Valor da Venda]]</f>
        <v>0.13043478260869573</v>
      </c>
      <c r="L2871" s="3">
        <f>_xlfn.IFS(Vendas[[#This Row],[Margem de Lucro (%)]]&lt;15%,Vendas[[#This Row],[Valor da Venda]]*3%,Vendas[[#This Row],[Margem de Lucro (%)]]&lt;=20%,Vendas[[#This Row],[Valor da Venda]]*4.5%,TRUE,Vendas[[#This Row],[Valor da Venda]]*6%)</f>
        <v>5.7960000000000003</v>
      </c>
      <c r="M2871"/>
    </row>
    <row r="2872" spans="1:13" x14ac:dyDescent="0.3">
      <c r="A2872" s="7">
        <v>400244</v>
      </c>
      <c r="B2872" t="str">
        <f>_xlfn.XLOOKUP(Vendas[[#This Row],[ID Vendedor]],Vendedores[ID],Vendedores[Nome])</f>
        <v>Camila</v>
      </c>
      <c r="C2872" s="7" t="str">
        <f>_xlfn.XLOOKUP(Vendas[[#This Row],[ID Vendedor]],Vendedores[ID],Vendedores[Setor])</f>
        <v>AHD</v>
      </c>
      <c r="D2872" s="7" t="s">
        <v>9</v>
      </c>
      <c r="E2872" t="str">
        <f>_xlfn.XLOOKUP(Vendas[[#This Row],[ID Item Vendido]],Agregado[ID],Agregado[Produto])</f>
        <v>Barra de aço simples</v>
      </c>
      <c r="F2872" s="39">
        <v>45204</v>
      </c>
      <c r="G2872" s="7">
        <v>27</v>
      </c>
      <c r="H2872" s="3">
        <f>_xlfn.XLOOKUP(Vendas[[#This Row],[ID Item Vendido]],Agregado[ID],Agregado[Revenda])</f>
        <v>6.7</v>
      </c>
      <c r="I2872" s="3">
        <f>Vendas[[#This Row],[Valor Unitário]]*Vendas[[#This Row],[Qnt Vendida]]</f>
        <v>180.9</v>
      </c>
      <c r="J2872" s="3">
        <f>Vendas[[#This Row],[Valor da Venda]]-(_xlfn.XLOOKUP(Vendas[[#This Row],[ID Item Vendido]],Agregado[ID],Agregado[Custo])*Vendas[[#This Row],[Qnt Vendida]])</f>
        <v>24.300000000000011</v>
      </c>
      <c r="K2872" s="70">
        <f>Vendas[[#This Row],[Lucro da Venda]]/Vendas[[#This Row],[Valor da Venda]]</f>
        <v>0.13432835820895528</v>
      </c>
      <c r="L2872" s="3">
        <f>_xlfn.IFS(Vendas[[#This Row],[Margem de Lucro (%)]]&lt;15%,Vendas[[#This Row],[Valor da Venda]]*3%,Vendas[[#This Row],[Margem de Lucro (%)]]&lt;=20%,Vendas[[#This Row],[Valor da Venda]]*4.5%,TRUE,Vendas[[#This Row],[Valor da Venda]]*6%)</f>
        <v>5.4269999999999996</v>
      </c>
      <c r="M2872"/>
    </row>
    <row r="2873" spans="1:13" x14ac:dyDescent="0.3">
      <c r="A2873" s="7">
        <v>400254</v>
      </c>
      <c r="B2873" t="str">
        <f>_xlfn.XLOOKUP(Vendas[[#This Row],[ID Vendedor]],Vendedores[ID],Vendedores[Nome])</f>
        <v>Beatriz</v>
      </c>
      <c r="C2873" s="7" t="str">
        <f>_xlfn.XLOOKUP(Vendas[[#This Row],[ID Vendedor]],Vendedores[ID],Vendedores[Setor])</f>
        <v>SC</v>
      </c>
      <c r="D2873" s="7" t="s">
        <v>48</v>
      </c>
      <c r="E2873" t="str">
        <f>_xlfn.XLOOKUP(Vendas[[#This Row],[ID Item Vendido]],Agregado[ID],Agregado[Produto])</f>
        <v>Tambor metálico 200L</v>
      </c>
      <c r="F2873" s="39">
        <v>45205</v>
      </c>
      <c r="G2873" s="7">
        <v>17</v>
      </c>
      <c r="H2873" s="3">
        <f>_xlfn.XLOOKUP(Vendas[[#This Row],[ID Item Vendido]],Agregado[ID],Agregado[Revenda])</f>
        <v>144</v>
      </c>
      <c r="I2873" s="3">
        <f>Vendas[[#This Row],[Valor Unitário]]*Vendas[[#This Row],[Qnt Vendida]]</f>
        <v>2448</v>
      </c>
      <c r="J2873" s="3">
        <f>Vendas[[#This Row],[Valor da Venda]]-(_xlfn.XLOOKUP(Vendas[[#This Row],[ID Item Vendido]],Agregado[ID],Agregado[Custo])*Vendas[[#This Row],[Qnt Vendida]])</f>
        <v>408</v>
      </c>
      <c r="K2873" s="70">
        <f>Vendas[[#This Row],[Lucro da Venda]]/Vendas[[#This Row],[Valor da Venda]]</f>
        <v>0.16666666666666666</v>
      </c>
      <c r="L2873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2873"/>
    </row>
    <row r="2874" spans="1:13" x14ac:dyDescent="0.3">
      <c r="A2874" s="7">
        <v>400245</v>
      </c>
      <c r="B2874" t="str">
        <f>_xlfn.XLOOKUP(Vendas[[#This Row],[ID Vendedor]],Vendedores[ID],Vendedores[Nome])</f>
        <v>Thiago</v>
      </c>
      <c r="C2874" s="7" t="str">
        <f>_xlfn.XLOOKUP(Vendas[[#This Row],[ID Vendedor]],Vendedores[ID],Vendedores[Setor])</f>
        <v>AHD</v>
      </c>
      <c r="D2874" s="7" t="s">
        <v>44</v>
      </c>
      <c r="E2874" t="str">
        <f>_xlfn.XLOOKUP(Vendas[[#This Row],[ID Item Vendido]],Agregado[ID],Agregado[Produto])</f>
        <v>Liga metálica especial</v>
      </c>
      <c r="F2874" s="39">
        <v>45205</v>
      </c>
      <c r="G2874" s="7">
        <v>49</v>
      </c>
      <c r="H2874" s="3">
        <f>_xlfn.XLOOKUP(Vendas[[#This Row],[ID Item Vendido]],Agregado[ID],Agregado[Revenda])</f>
        <v>32.5</v>
      </c>
      <c r="I2874" s="3">
        <f>Vendas[[#This Row],[Valor Unitário]]*Vendas[[#This Row],[Qnt Vendida]]</f>
        <v>1592.5</v>
      </c>
      <c r="J2874" s="3">
        <f>Vendas[[#This Row],[Valor da Venda]]-(_xlfn.XLOOKUP(Vendas[[#This Row],[ID Item Vendido]],Agregado[ID],Agregado[Custo])*Vendas[[#This Row],[Qnt Vendida]])</f>
        <v>367.5</v>
      </c>
      <c r="K2874" s="70">
        <f>Vendas[[#This Row],[Lucro da Venda]]/Vendas[[#This Row],[Valor da Venda]]</f>
        <v>0.23076923076923078</v>
      </c>
      <c r="L2874" s="3">
        <f>_xlfn.IFS(Vendas[[#This Row],[Margem de Lucro (%)]]&lt;15%,Vendas[[#This Row],[Valor da Venda]]*3%,Vendas[[#This Row],[Margem de Lucro (%)]]&lt;=20%,Vendas[[#This Row],[Valor da Venda]]*4.5%,TRUE,Vendas[[#This Row],[Valor da Venda]]*6%)</f>
        <v>95.55</v>
      </c>
      <c r="M2874"/>
    </row>
    <row r="2875" spans="1:13" x14ac:dyDescent="0.3">
      <c r="A2875" s="7">
        <v>400244</v>
      </c>
      <c r="B2875" t="str">
        <f>_xlfn.XLOOKUP(Vendas[[#This Row],[ID Vendedor]],Vendedores[ID],Vendedores[Nome])</f>
        <v>Camila</v>
      </c>
      <c r="C2875" s="7" t="str">
        <f>_xlfn.XLOOKUP(Vendas[[#This Row],[ID Vendedor]],Vendedores[ID],Vendedores[Setor])</f>
        <v>AHD</v>
      </c>
      <c r="D2875" s="7" t="s">
        <v>18</v>
      </c>
      <c r="E2875" t="str">
        <f>_xlfn.XLOOKUP(Vendas[[#This Row],[ID Item Vendido]],Agregado[ID],Agregado[Produto])</f>
        <v>Peça forjada sob encomenda</v>
      </c>
      <c r="F2875" s="39">
        <v>45205</v>
      </c>
      <c r="G2875" s="7">
        <v>3</v>
      </c>
      <c r="H2875" s="3">
        <f>_xlfn.XLOOKUP(Vendas[[#This Row],[ID Item Vendido]],Agregado[ID],Agregado[Revenda])</f>
        <v>264.60000000000002</v>
      </c>
      <c r="I2875" s="3">
        <f>Vendas[[#This Row],[Valor Unitário]]*Vendas[[#This Row],[Qnt Vendida]]</f>
        <v>793.80000000000007</v>
      </c>
      <c r="J2875" s="3">
        <f>Vendas[[#This Row],[Valor da Venda]]-(_xlfn.XLOOKUP(Vendas[[#This Row],[ID Item Vendido]],Agregado[ID],Agregado[Custo])*Vendas[[#This Row],[Qnt Vendida]])</f>
        <v>43.800000000000068</v>
      </c>
      <c r="K2875" s="70">
        <f>Vendas[[#This Row],[Lucro da Venda]]/Vendas[[#This Row],[Valor da Venda]]</f>
        <v>5.5177626606198113E-2</v>
      </c>
      <c r="L2875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875"/>
    </row>
    <row r="2876" spans="1:13" x14ac:dyDescent="0.3">
      <c r="A2876" s="7">
        <v>400250</v>
      </c>
      <c r="B2876" t="str">
        <f>_xlfn.XLOOKUP(Vendas[[#This Row],[ID Vendedor]],Vendedores[ID],Vendedores[Nome])</f>
        <v>Larissa</v>
      </c>
      <c r="C2876" s="7" t="str">
        <f>_xlfn.XLOOKUP(Vendas[[#This Row],[ID Vendedor]],Vendedores[ID],Vendedores[Setor])</f>
        <v>AB</v>
      </c>
      <c r="D2876" s="7" t="s">
        <v>36</v>
      </c>
      <c r="E2876" t="str">
        <f>_xlfn.XLOOKUP(Vendas[[#This Row],[ID Item Vendido]],Agregado[ID],Agregado[Produto])</f>
        <v>Borracha vulcanizada em manta</v>
      </c>
      <c r="F2876" s="39">
        <v>45205</v>
      </c>
      <c r="G2876" s="7">
        <v>88</v>
      </c>
      <c r="H2876" s="3">
        <f>_xlfn.XLOOKUP(Vendas[[#This Row],[ID Item Vendido]],Agregado[ID],Agregado[Revenda])</f>
        <v>7.8</v>
      </c>
      <c r="I2876" s="3">
        <f>Vendas[[#This Row],[Valor Unitário]]*Vendas[[#This Row],[Qnt Vendida]]</f>
        <v>686.4</v>
      </c>
      <c r="J2876" s="3">
        <f>Vendas[[#This Row],[Valor da Venda]]-(_xlfn.XLOOKUP(Vendas[[#This Row],[ID Item Vendido]],Agregado[ID],Agregado[Custo])*Vendas[[#This Row],[Qnt Vendida]])</f>
        <v>158.39999999999998</v>
      </c>
      <c r="K2876" s="70">
        <f>Vendas[[#This Row],[Lucro da Venda]]/Vendas[[#This Row],[Valor da Venda]]</f>
        <v>0.23076923076923075</v>
      </c>
      <c r="L2876" s="3">
        <f>_xlfn.IFS(Vendas[[#This Row],[Margem de Lucro (%)]]&lt;15%,Vendas[[#This Row],[Valor da Venda]]*3%,Vendas[[#This Row],[Margem de Lucro (%)]]&lt;=20%,Vendas[[#This Row],[Valor da Venda]]*4.5%,TRUE,Vendas[[#This Row],[Valor da Venda]]*6%)</f>
        <v>41.183999999999997</v>
      </c>
      <c r="M2876"/>
    </row>
    <row r="2877" spans="1:13" x14ac:dyDescent="0.3">
      <c r="A2877" s="7">
        <v>400246</v>
      </c>
      <c r="B2877" t="str">
        <f>_xlfn.XLOOKUP(Vendas[[#This Row],[ID Vendedor]],Vendedores[ID],Vendedores[Nome])</f>
        <v>Juliana</v>
      </c>
      <c r="C2877" s="7" t="str">
        <f>_xlfn.XLOOKUP(Vendas[[#This Row],[ID Vendedor]],Vendedores[ID],Vendedores[Setor])</f>
        <v>AHD</v>
      </c>
      <c r="D2877" s="7" t="s">
        <v>30</v>
      </c>
      <c r="E2877" t="str">
        <f>_xlfn.XLOOKUP(Vendas[[#This Row],[ID Item Vendido]],Agregado[ID],Agregado[Produto])</f>
        <v>Estrutura metálica soldada</v>
      </c>
      <c r="F2877" s="39">
        <v>45205</v>
      </c>
      <c r="G2877" s="7">
        <v>1</v>
      </c>
      <c r="H2877" s="3">
        <f>_xlfn.XLOOKUP(Vendas[[#This Row],[ID Item Vendido]],Agregado[ID],Agregado[Revenda])</f>
        <v>400</v>
      </c>
      <c r="I2877" s="3">
        <f>Vendas[[#This Row],[Valor Unitário]]*Vendas[[#This Row],[Qnt Vendida]]</f>
        <v>400</v>
      </c>
      <c r="J2877" s="3">
        <f>Vendas[[#This Row],[Valor da Venda]]-(_xlfn.XLOOKUP(Vendas[[#This Row],[ID Item Vendido]],Agregado[ID],Agregado[Custo])*Vendas[[#This Row],[Qnt Vendida]])</f>
        <v>80</v>
      </c>
      <c r="K2877" s="70">
        <f>Vendas[[#This Row],[Lucro da Venda]]/Vendas[[#This Row],[Valor da Venda]]</f>
        <v>0.2</v>
      </c>
      <c r="L2877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877"/>
    </row>
    <row r="2878" spans="1:13" x14ac:dyDescent="0.3">
      <c r="A2878" s="7">
        <v>400250</v>
      </c>
      <c r="B2878" t="str">
        <f>_xlfn.XLOOKUP(Vendas[[#This Row],[ID Vendedor]],Vendedores[ID],Vendedores[Nome])</f>
        <v>Larissa</v>
      </c>
      <c r="C2878" s="7" t="str">
        <f>_xlfn.XLOOKUP(Vendas[[#This Row],[ID Vendedor]],Vendedores[ID],Vendedores[Setor])</f>
        <v>AB</v>
      </c>
      <c r="D2878" s="7" t="s">
        <v>39</v>
      </c>
      <c r="E2878" t="str">
        <f>_xlfn.XLOOKUP(Vendas[[#This Row],[ID Item Vendido]],Agregado[ID],Agregado[Produto])</f>
        <v>Filme plástico industrial rolo 50m</v>
      </c>
      <c r="F2878" s="39">
        <v>45205</v>
      </c>
      <c r="G2878" s="7">
        <v>5</v>
      </c>
      <c r="H2878" s="3">
        <f>_xlfn.XLOOKUP(Vendas[[#This Row],[ID Item Vendido]],Agregado[ID],Agregado[Revenda])</f>
        <v>37</v>
      </c>
      <c r="I2878" s="3">
        <f>Vendas[[#This Row],[Valor Unitário]]*Vendas[[#This Row],[Qnt Vendida]]</f>
        <v>185</v>
      </c>
      <c r="J2878" s="3">
        <f>Vendas[[#This Row],[Valor da Venda]]-(_xlfn.XLOOKUP(Vendas[[#This Row],[ID Item Vendido]],Agregado[ID],Agregado[Custo])*Vendas[[#This Row],[Qnt Vendida]])</f>
        <v>45</v>
      </c>
      <c r="K2878" s="70">
        <f>Vendas[[#This Row],[Lucro da Venda]]/Vendas[[#This Row],[Valor da Venda]]</f>
        <v>0.24324324324324326</v>
      </c>
      <c r="L2878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2878"/>
    </row>
    <row r="2879" spans="1:13" x14ac:dyDescent="0.3">
      <c r="A2879" s="7">
        <v>400246</v>
      </c>
      <c r="B2879" t="str">
        <f>_xlfn.XLOOKUP(Vendas[[#This Row],[ID Vendedor]],Vendedores[ID],Vendedores[Nome])</f>
        <v>Juliana</v>
      </c>
      <c r="C2879" s="7" t="str">
        <f>_xlfn.XLOOKUP(Vendas[[#This Row],[ID Vendedor]],Vendedores[ID],Vendedores[Setor])</f>
        <v>AHD</v>
      </c>
      <c r="D2879" s="7" t="s">
        <v>30</v>
      </c>
      <c r="E2879" t="str">
        <f>_xlfn.XLOOKUP(Vendas[[#This Row],[ID Item Vendido]],Agregado[ID],Agregado[Produto])</f>
        <v>Estrutura metálica soldada</v>
      </c>
      <c r="F2879" s="39">
        <v>45207</v>
      </c>
      <c r="G2879" s="7">
        <v>6</v>
      </c>
      <c r="H2879" s="3">
        <f>_xlfn.XLOOKUP(Vendas[[#This Row],[ID Item Vendido]],Agregado[ID],Agregado[Revenda])</f>
        <v>400</v>
      </c>
      <c r="I2879" s="3">
        <f>Vendas[[#This Row],[Valor Unitário]]*Vendas[[#This Row],[Qnt Vendida]]</f>
        <v>2400</v>
      </c>
      <c r="J2879" s="3">
        <f>Vendas[[#This Row],[Valor da Venda]]-(_xlfn.XLOOKUP(Vendas[[#This Row],[ID Item Vendido]],Agregado[ID],Agregado[Custo])*Vendas[[#This Row],[Qnt Vendida]])</f>
        <v>480</v>
      </c>
      <c r="K2879" s="70">
        <f>Vendas[[#This Row],[Lucro da Venda]]/Vendas[[#This Row],[Valor da Venda]]</f>
        <v>0.2</v>
      </c>
      <c r="L2879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2879"/>
    </row>
    <row r="2880" spans="1:13" x14ac:dyDescent="0.3">
      <c r="A2880" s="7">
        <v>400246</v>
      </c>
      <c r="B2880" t="str">
        <f>_xlfn.XLOOKUP(Vendas[[#This Row],[ID Vendedor]],Vendedores[ID],Vendedores[Nome])</f>
        <v>Juliana</v>
      </c>
      <c r="C2880" s="7" t="str">
        <f>_xlfn.XLOOKUP(Vendas[[#This Row],[ID Vendedor]],Vendedores[ID],Vendedores[Setor])</f>
        <v>AHD</v>
      </c>
      <c r="D2880" s="7" t="s">
        <v>28</v>
      </c>
      <c r="E2880" t="str">
        <f>_xlfn.XLOOKUP(Vendas[[#This Row],[ID Item Vendido]],Agregado[ID],Agregado[Produto])</f>
        <v>Peça usinada CNC</v>
      </c>
      <c r="F2880" s="39">
        <v>45207</v>
      </c>
      <c r="G2880" s="7">
        <v>8</v>
      </c>
      <c r="H2880" s="3">
        <f>_xlfn.XLOOKUP(Vendas[[#This Row],[ID Item Vendido]],Agregado[ID],Agregado[Revenda])</f>
        <v>192</v>
      </c>
      <c r="I2880" s="3">
        <f>Vendas[[#This Row],[Valor Unitário]]*Vendas[[#This Row],[Qnt Vendida]]</f>
        <v>1536</v>
      </c>
      <c r="J2880" s="3">
        <f>Vendas[[#This Row],[Valor da Venda]]-(_xlfn.XLOOKUP(Vendas[[#This Row],[ID Item Vendido]],Agregado[ID],Agregado[Custo])*Vendas[[#This Row],[Qnt Vendida]])</f>
        <v>336</v>
      </c>
      <c r="K2880" s="70">
        <f>Vendas[[#This Row],[Lucro da Venda]]/Vendas[[#This Row],[Valor da Venda]]</f>
        <v>0.21875</v>
      </c>
      <c r="L2880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2880"/>
    </row>
    <row r="2881" spans="1:13" x14ac:dyDescent="0.3">
      <c r="A2881" s="7">
        <v>400241</v>
      </c>
      <c r="B2881" t="str">
        <f>_xlfn.XLOOKUP(Vendas[[#This Row],[ID Vendedor]],Vendedores[ID],Vendedores[Nome])</f>
        <v>Rodrigo</v>
      </c>
      <c r="C2881" s="7" t="str">
        <f>_xlfn.XLOOKUP(Vendas[[#This Row],[ID Vendedor]],Vendedores[ID],Vendedores[Setor])</f>
        <v>FM</v>
      </c>
      <c r="D2881" s="7" t="s">
        <v>31</v>
      </c>
      <c r="E2881" t="str">
        <f>_xlfn.XLOOKUP(Vendas[[#This Row],[ID Item Vendido]],Agregado[ID],Agregado[Produto])</f>
        <v>Tela de metal soldada rolo 2x25m</v>
      </c>
      <c r="F2881" s="39">
        <v>45207</v>
      </c>
      <c r="G2881" s="7">
        <v>20</v>
      </c>
      <c r="H2881" s="3">
        <f>_xlfn.XLOOKUP(Vendas[[#This Row],[ID Item Vendido]],Agregado[ID],Agregado[Revenda])</f>
        <v>43.7</v>
      </c>
      <c r="I2881" s="3">
        <f>Vendas[[#This Row],[Valor Unitário]]*Vendas[[#This Row],[Qnt Vendida]]</f>
        <v>874</v>
      </c>
      <c r="J2881" s="3">
        <f>Vendas[[#This Row],[Valor da Venda]]-(_xlfn.XLOOKUP(Vendas[[#This Row],[ID Item Vendido]],Agregado[ID],Agregado[Custo])*Vendas[[#This Row],[Qnt Vendida]])</f>
        <v>114</v>
      </c>
      <c r="K2881" s="70">
        <f>Vendas[[#This Row],[Lucro da Venda]]/Vendas[[#This Row],[Valor da Venda]]</f>
        <v>0.13043478260869565</v>
      </c>
      <c r="L2881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2881"/>
    </row>
    <row r="2882" spans="1:13" x14ac:dyDescent="0.3">
      <c r="A2882" s="7">
        <v>400248</v>
      </c>
      <c r="B2882" t="str">
        <f>_xlfn.XLOOKUP(Vendas[[#This Row],[ID Vendedor]],Vendedores[ID],Vendedores[Nome])</f>
        <v>Patrícia</v>
      </c>
      <c r="C2882" s="7" t="str">
        <f>_xlfn.XLOOKUP(Vendas[[#This Row],[ID Vendedor]],Vendedores[ID],Vendedores[Setor])</f>
        <v>CM</v>
      </c>
      <c r="D2882" s="7" t="s">
        <v>22</v>
      </c>
      <c r="E2882" t="str">
        <f>_xlfn.XLOOKUP(Vendas[[#This Row],[ID Item Vendido]],Agregado[ID],Agregado[Produto])</f>
        <v>Painel MDP 2,75x1,83m</v>
      </c>
      <c r="F2882" s="39">
        <v>45208</v>
      </c>
      <c r="G2882" s="7">
        <v>24</v>
      </c>
      <c r="H2882" s="3">
        <f>_xlfn.XLOOKUP(Vendas[[#This Row],[ID Item Vendido]],Agregado[ID],Agregado[Revenda])</f>
        <v>119</v>
      </c>
      <c r="I2882" s="3">
        <f>Vendas[[#This Row],[Valor Unitário]]*Vendas[[#This Row],[Qnt Vendida]]</f>
        <v>2856</v>
      </c>
      <c r="J2882" s="3">
        <f>Vendas[[#This Row],[Valor da Venda]]-(_xlfn.XLOOKUP(Vendas[[#This Row],[ID Item Vendido]],Agregado[ID],Agregado[Custo])*Vendas[[#This Row],[Qnt Vendida]])</f>
        <v>576</v>
      </c>
      <c r="K2882" s="70">
        <f>Vendas[[#This Row],[Lucro da Venda]]/Vendas[[#This Row],[Valor da Venda]]</f>
        <v>0.20168067226890757</v>
      </c>
      <c r="L2882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2882"/>
    </row>
    <row r="2883" spans="1:13" x14ac:dyDescent="0.3">
      <c r="A2883" s="7">
        <v>400254</v>
      </c>
      <c r="B2883" t="str">
        <f>_xlfn.XLOOKUP(Vendas[[#This Row],[ID Vendedor]],Vendedores[ID],Vendedores[Nome])</f>
        <v>Beatriz</v>
      </c>
      <c r="C2883" s="7" t="str">
        <f>_xlfn.XLOOKUP(Vendas[[#This Row],[ID Vendedor]],Vendedores[ID],Vendedores[Setor])</f>
        <v>SC</v>
      </c>
      <c r="D2883" s="7" t="s">
        <v>14</v>
      </c>
      <c r="E2883" t="str">
        <f>_xlfn.XLOOKUP(Vendas[[#This Row],[ID Item Vendido]],Agregado[ID],Agregado[Produto])</f>
        <v>Barril de plástico 200L</v>
      </c>
      <c r="F2883" s="39">
        <v>45209</v>
      </c>
      <c r="G2883" s="7">
        <v>9</v>
      </c>
      <c r="H2883" s="3">
        <f>_xlfn.XLOOKUP(Vendas[[#This Row],[ID Item Vendido]],Agregado[ID],Agregado[Revenda])</f>
        <v>114</v>
      </c>
      <c r="I2883" s="3">
        <f>Vendas[[#This Row],[Valor Unitário]]*Vendas[[#This Row],[Qnt Vendida]]</f>
        <v>1026</v>
      </c>
      <c r="J2883" s="3">
        <f>Vendas[[#This Row],[Valor da Venda]]-(_xlfn.XLOOKUP(Vendas[[#This Row],[ID Item Vendido]],Agregado[ID],Agregado[Custo])*Vendas[[#This Row],[Qnt Vendida]])</f>
        <v>171</v>
      </c>
      <c r="K2883" s="70">
        <f>Vendas[[#This Row],[Lucro da Venda]]/Vendas[[#This Row],[Valor da Venda]]</f>
        <v>0.16666666666666666</v>
      </c>
      <c r="L2883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2883"/>
    </row>
    <row r="2884" spans="1:13" x14ac:dyDescent="0.3">
      <c r="A2884" s="7">
        <v>400241</v>
      </c>
      <c r="B2884" t="str">
        <f>_xlfn.XLOOKUP(Vendas[[#This Row],[ID Vendedor]],Vendedores[ID],Vendedores[Nome])</f>
        <v>Rodrigo</v>
      </c>
      <c r="C2884" s="7" t="str">
        <f>_xlfn.XLOOKUP(Vendas[[#This Row],[ID Vendedor]],Vendedores[ID],Vendedores[Setor])</f>
        <v>FM</v>
      </c>
      <c r="D2884" s="7" t="s">
        <v>20</v>
      </c>
      <c r="E2884" t="str">
        <f>_xlfn.XLOOKUP(Vendas[[#This Row],[ID Item Vendido]],Agregado[ID],Agregado[Produto])</f>
        <v>Barra de aço simples</v>
      </c>
      <c r="F2884" s="39">
        <v>45209</v>
      </c>
      <c r="G2884" s="7">
        <v>146</v>
      </c>
      <c r="H2884" s="3">
        <f>_xlfn.XLOOKUP(Vendas[[#This Row],[ID Item Vendido]],Agregado[ID],Agregado[Revenda])</f>
        <v>4.8</v>
      </c>
      <c r="I2884" s="3">
        <f>Vendas[[#This Row],[Valor Unitário]]*Vendas[[#This Row],[Qnt Vendida]]</f>
        <v>700.8</v>
      </c>
      <c r="J2884" s="3">
        <f>Vendas[[#This Row],[Valor da Venda]]-(_xlfn.XLOOKUP(Vendas[[#This Row],[ID Item Vendido]],Agregado[ID],Agregado[Custo])*Vendas[[#This Row],[Qnt Vendida]])</f>
        <v>87.599999999999909</v>
      </c>
      <c r="K2884" s="70">
        <f>Vendas[[#This Row],[Lucro da Venda]]/Vendas[[#This Row],[Valor da Venda]]</f>
        <v>0.12499999999999988</v>
      </c>
      <c r="L2884" s="3">
        <f>_xlfn.IFS(Vendas[[#This Row],[Margem de Lucro (%)]]&lt;15%,Vendas[[#This Row],[Valor da Venda]]*3%,Vendas[[#This Row],[Margem de Lucro (%)]]&lt;=20%,Vendas[[#This Row],[Valor da Venda]]*4.5%,TRUE,Vendas[[#This Row],[Valor da Venda]]*6%)</f>
        <v>21.023999999999997</v>
      </c>
      <c r="M2884"/>
    </row>
    <row r="2885" spans="1:13" x14ac:dyDescent="0.3">
      <c r="A2885" s="7">
        <v>400242</v>
      </c>
      <c r="B2885" t="str">
        <f>_xlfn.XLOOKUP(Vendas[[#This Row],[ID Vendedor]],Vendedores[ID],Vendedores[Nome])</f>
        <v>Fernanda</v>
      </c>
      <c r="C2885" s="7" t="str">
        <f>_xlfn.XLOOKUP(Vendas[[#This Row],[ID Vendedor]],Vendedores[ID],Vendedores[Setor])</f>
        <v>FM</v>
      </c>
      <c r="D2885" s="7" t="s">
        <v>31</v>
      </c>
      <c r="E2885" t="str">
        <f>_xlfn.XLOOKUP(Vendas[[#This Row],[ID Item Vendido]],Agregado[ID],Agregado[Produto])</f>
        <v>Tela de metal soldada rolo 2x25m</v>
      </c>
      <c r="F2885" s="39">
        <v>45209</v>
      </c>
      <c r="G2885" s="7">
        <v>11</v>
      </c>
      <c r="H2885" s="3">
        <f>_xlfn.XLOOKUP(Vendas[[#This Row],[ID Item Vendido]],Agregado[ID],Agregado[Revenda])</f>
        <v>43.7</v>
      </c>
      <c r="I2885" s="3">
        <f>Vendas[[#This Row],[Valor Unitário]]*Vendas[[#This Row],[Qnt Vendida]]</f>
        <v>480.70000000000005</v>
      </c>
      <c r="J2885" s="3">
        <f>Vendas[[#This Row],[Valor da Venda]]-(_xlfn.XLOOKUP(Vendas[[#This Row],[ID Item Vendido]],Agregado[ID],Agregado[Custo])*Vendas[[#This Row],[Qnt Vendida]])</f>
        <v>62.700000000000045</v>
      </c>
      <c r="K2885" s="70">
        <f>Vendas[[#This Row],[Lucro da Venda]]/Vendas[[#This Row],[Valor da Venda]]</f>
        <v>0.13043478260869573</v>
      </c>
      <c r="L2885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2885"/>
    </row>
    <row r="2886" spans="1:13" x14ac:dyDescent="0.3">
      <c r="A2886" s="7">
        <v>400248</v>
      </c>
      <c r="B2886" t="str">
        <f>_xlfn.XLOOKUP(Vendas[[#This Row],[ID Vendedor]],Vendedores[ID],Vendedores[Nome])</f>
        <v>Patrícia</v>
      </c>
      <c r="C2886" s="7" t="str">
        <f>_xlfn.XLOOKUP(Vendas[[#This Row],[ID Vendedor]],Vendedores[ID],Vendedores[Setor])</f>
        <v>CM</v>
      </c>
      <c r="D2886" s="7" t="s">
        <v>22</v>
      </c>
      <c r="E2886" t="str">
        <f>_xlfn.XLOOKUP(Vendas[[#This Row],[ID Item Vendido]],Agregado[ID],Agregado[Produto])</f>
        <v>Painel MDP 2,75x1,83m</v>
      </c>
      <c r="F2886" s="39">
        <v>45209</v>
      </c>
      <c r="G2886" s="7">
        <v>3</v>
      </c>
      <c r="H2886" s="3">
        <f>_xlfn.XLOOKUP(Vendas[[#This Row],[ID Item Vendido]],Agregado[ID],Agregado[Revenda])</f>
        <v>119</v>
      </c>
      <c r="I2886" s="3">
        <f>Vendas[[#This Row],[Valor Unitário]]*Vendas[[#This Row],[Qnt Vendida]]</f>
        <v>357</v>
      </c>
      <c r="J2886" s="3">
        <f>Vendas[[#This Row],[Valor da Venda]]-(_xlfn.XLOOKUP(Vendas[[#This Row],[ID Item Vendido]],Agregado[ID],Agregado[Custo])*Vendas[[#This Row],[Qnt Vendida]])</f>
        <v>72</v>
      </c>
      <c r="K2886" s="70">
        <f>Vendas[[#This Row],[Lucro da Venda]]/Vendas[[#This Row],[Valor da Venda]]</f>
        <v>0.20168067226890757</v>
      </c>
      <c r="L2886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2886"/>
    </row>
    <row r="2887" spans="1:13" x14ac:dyDescent="0.3">
      <c r="A2887" s="7">
        <v>400251</v>
      </c>
      <c r="B2887" t="str">
        <f>_xlfn.XLOOKUP(Vendas[[#This Row],[ID Vendedor]],Vendedores[ID],Vendedores[Nome])</f>
        <v>Diego</v>
      </c>
      <c r="C2887" s="7" t="str">
        <f>_xlfn.XLOOKUP(Vendas[[#This Row],[ID Vendedor]],Vendedores[ID],Vendedores[Setor])</f>
        <v>AB</v>
      </c>
      <c r="D2887" s="7" t="s">
        <v>37</v>
      </c>
      <c r="E2887" t="str">
        <f>_xlfn.XLOOKUP(Vendas[[#This Row],[ID Item Vendido]],Agregado[ID],Agregado[Produto])</f>
        <v>Composto de borracha para vedação rolo 10m</v>
      </c>
      <c r="F2887" s="39">
        <v>45210</v>
      </c>
      <c r="G2887" s="7">
        <v>24</v>
      </c>
      <c r="H2887" s="3">
        <f>_xlfn.XLOOKUP(Vendas[[#This Row],[ID Item Vendido]],Agregado[ID],Agregado[Revenda])</f>
        <v>51.2</v>
      </c>
      <c r="I2887" s="3">
        <f>Vendas[[#This Row],[Valor Unitário]]*Vendas[[#This Row],[Qnt Vendida]]</f>
        <v>1228.8000000000002</v>
      </c>
      <c r="J2887" s="3">
        <f>Vendas[[#This Row],[Valor da Venda]]-(_xlfn.XLOOKUP(Vendas[[#This Row],[ID Item Vendido]],Agregado[ID],Agregado[Custo])*Vendas[[#This Row],[Qnt Vendida]])</f>
        <v>268.80000000000018</v>
      </c>
      <c r="K2887" s="70">
        <f>Vendas[[#This Row],[Lucro da Venda]]/Vendas[[#This Row],[Valor da Venda]]</f>
        <v>0.21875000000000011</v>
      </c>
      <c r="L2887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2887"/>
    </row>
    <row r="2888" spans="1:13" x14ac:dyDescent="0.3">
      <c r="A2888" s="7">
        <v>400250</v>
      </c>
      <c r="B2888" t="str">
        <f>_xlfn.XLOOKUP(Vendas[[#This Row],[ID Vendedor]],Vendedores[ID],Vendedores[Nome])</f>
        <v>Larissa</v>
      </c>
      <c r="C2888" s="7" t="str">
        <f>_xlfn.XLOOKUP(Vendas[[#This Row],[ID Vendedor]],Vendedores[ID],Vendedores[Setor])</f>
        <v>AB</v>
      </c>
      <c r="D2888" s="7" t="s">
        <v>39</v>
      </c>
      <c r="E2888" t="str">
        <f>_xlfn.XLOOKUP(Vendas[[#This Row],[ID Item Vendido]],Agregado[ID],Agregado[Produto])</f>
        <v>Filme plástico industrial rolo 50m</v>
      </c>
      <c r="F2888" s="39">
        <v>45210</v>
      </c>
      <c r="G2888" s="7">
        <v>20</v>
      </c>
      <c r="H2888" s="3">
        <f>_xlfn.XLOOKUP(Vendas[[#This Row],[ID Item Vendido]],Agregado[ID],Agregado[Revenda])</f>
        <v>37</v>
      </c>
      <c r="I2888" s="3">
        <f>Vendas[[#This Row],[Valor Unitário]]*Vendas[[#This Row],[Qnt Vendida]]</f>
        <v>740</v>
      </c>
      <c r="J2888" s="3">
        <f>Vendas[[#This Row],[Valor da Venda]]-(_xlfn.XLOOKUP(Vendas[[#This Row],[ID Item Vendido]],Agregado[ID],Agregado[Custo])*Vendas[[#This Row],[Qnt Vendida]])</f>
        <v>180</v>
      </c>
      <c r="K2888" s="70">
        <f>Vendas[[#This Row],[Lucro da Venda]]/Vendas[[#This Row],[Valor da Venda]]</f>
        <v>0.24324324324324326</v>
      </c>
      <c r="L2888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2888"/>
    </row>
    <row r="2889" spans="1:13" x14ac:dyDescent="0.3">
      <c r="A2889" s="7">
        <v>400242</v>
      </c>
      <c r="B2889" t="str">
        <f>_xlfn.XLOOKUP(Vendas[[#This Row],[ID Vendedor]],Vendedores[ID],Vendedores[Nome])</f>
        <v>Fernanda</v>
      </c>
      <c r="C2889" s="7" t="str">
        <f>_xlfn.XLOOKUP(Vendas[[#This Row],[ID Vendedor]],Vendedores[ID],Vendedores[Setor])</f>
        <v>FM</v>
      </c>
      <c r="D2889" s="7" t="s">
        <v>6</v>
      </c>
      <c r="E2889" t="str">
        <f>_xlfn.XLOOKUP(Vendas[[#This Row],[ID Item Vendido]],Agregado[ID],Agregado[Produto])</f>
        <v>Parafuso comum 500un</v>
      </c>
      <c r="F2889" s="39">
        <v>45211</v>
      </c>
      <c r="G2889" s="7">
        <v>23</v>
      </c>
      <c r="H2889" s="3">
        <f>_xlfn.XLOOKUP(Vendas[[#This Row],[ID Item Vendido]],Agregado[ID],Agregado[Revenda])</f>
        <v>24.6</v>
      </c>
      <c r="I2889" s="3">
        <f>Vendas[[#This Row],[Valor Unitário]]*Vendas[[#This Row],[Qnt Vendida]]</f>
        <v>565.80000000000007</v>
      </c>
      <c r="J2889" s="3">
        <f>Vendas[[#This Row],[Valor da Venda]]-(_xlfn.XLOOKUP(Vendas[[#This Row],[ID Item Vendido]],Agregado[ID],Agregado[Custo])*Vendas[[#This Row],[Qnt Vendida]])</f>
        <v>59.800000000000068</v>
      </c>
      <c r="K2889" s="70">
        <f>Vendas[[#This Row],[Lucro da Venda]]/Vendas[[#This Row],[Valor da Venda]]</f>
        <v>0.10569105691056921</v>
      </c>
      <c r="L2889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2889"/>
    </row>
    <row r="2890" spans="1:13" x14ac:dyDescent="0.3">
      <c r="A2890" s="7">
        <v>400245</v>
      </c>
      <c r="B2890" t="str">
        <f>_xlfn.XLOOKUP(Vendas[[#This Row],[ID Vendedor]],Vendedores[ID],Vendedores[Nome])</f>
        <v>Thiago</v>
      </c>
      <c r="C2890" s="7" t="str">
        <f>_xlfn.XLOOKUP(Vendas[[#This Row],[ID Vendedor]],Vendedores[ID],Vendedores[Setor])</f>
        <v>AHD</v>
      </c>
      <c r="D2890" s="7" t="s">
        <v>44</v>
      </c>
      <c r="E2890" t="str">
        <f>_xlfn.XLOOKUP(Vendas[[#This Row],[ID Item Vendido]],Agregado[ID],Agregado[Produto])</f>
        <v>Liga metálica especial</v>
      </c>
      <c r="F2890" s="39">
        <v>45211</v>
      </c>
      <c r="G2890" s="7">
        <v>13</v>
      </c>
      <c r="H2890" s="3">
        <f>_xlfn.XLOOKUP(Vendas[[#This Row],[ID Item Vendido]],Agregado[ID],Agregado[Revenda])</f>
        <v>32.5</v>
      </c>
      <c r="I2890" s="3">
        <f>Vendas[[#This Row],[Valor Unitário]]*Vendas[[#This Row],[Qnt Vendida]]</f>
        <v>422.5</v>
      </c>
      <c r="J2890" s="3">
        <f>Vendas[[#This Row],[Valor da Venda]]-(_xlfn.XLOOKUP(Vendas[[#This Row],[ID Item Vendido]],Agregado[ID],Agregado[Custo])*Vendas[[#This Row],[Qnt Vendida]])</f>
        <v>97.5</v>
      </c>
      <c r="K2890" s="70">
        <f>Vendas[[#This Row],[Lucro da Venda]]/Vendas[[#This Row],[Valor da Venda]]</f>
        <v>0.23076923076923078</v>
      </c>
      <c r="L2890" s="3">
        <f>_xlfn.IFS(Vendas[[#This Row],[Margem de Lucro (%)]]&lt;15%,Vendas[[#This Row],[Valor da Venda]]*3%,Vendas[[#This Row],[Margem de Lucro (%)]]&lt;=20%,Vendas[[#This Row],[Valor da Venda]]*4.5%,TRUE,Vendas[[#This Row],[Valor da Venda]]*6%)</f>
        <v>25.349999999999998</v>
      </c>
      <c r="M2890"/>
    </row>
    <row r="2891" spans="1:13" x14ac:dyDescent="0.3">
      <c r="A2891" s="7">
        <v>400247</v>
      </c>
      <c r="B2891" t="str">
        <f>_xlfn.XLOOKUP(Vendas[[#This Row],[ID Vendedor]],Vendedores[ID],Vendedores[Nome])</f>
        <v>André</v>
      </c>
      <c r="C2891" s="7" t="str">
        <f>_xlfn.XLOOKUP(Vendas[[#This Row],[ID Vendedor]],Vendedores[ID],Vendedores[Setor])</f>
        <v>CM</v>
      </c>
      <c r="D2891" s="7" t="s">
        <v>34</v>
      </c>
      <c r="E2891" t="str">
        <f>_xlfn.XLOOKUP(Vendas[[#This Row],[ID Item Vendido]],Agregado[ID],Agregado[Produto])</f>
        <v>Restos de madeira p/ MDP/OSB saco de 20kg</v>
      </c>
      <c r="F2891" s="39">
        <v>45211</v>
      </c>
      <c r="G2891" s="7">
        <v>20</v>
      </c>
      <c r="H2891" s="3">
        <f>_xlfn.XLOOKUP(Vendas[[#This Row],[ID Item Vendido]],Agregado[ID],Agregado[Revenda])</f>
        <v>13.8</v>
      </c>
      <c r="I2891" s="3">
        <f>Vendas[[#This Row],[Valor Unitário]]*Vendas[[#This Row],[Qnt Vendida]]</f>
        <v>276</v>
      </c>
      <c r="J2891" s="3">
        <f>Vendas[[#This Row],[Valor da Venda]]-(_xlfn.XLOOKUP(Vendas[[#This Row],[ID Item Vendido]],Agregado[ID],Agregado[Custo])*Vendas[[#This Row],[Qnt Vendida]])</f>
        <v>36</v>
      </c>
      <c r="K2891" s="70">
        <f>Vendas[[#This Row],[Lucro da Venda]]/Vendas[[#This Row],[Valor da Venda]]</f>
        <v>0.13043478260869565</v>
      </c>
      <c r="L2891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2891"/>
    </row>
    <row r="2892" spans="1:13" x14ac:dyDescent="0.3">
      <c r="A2892" s="7">
        <v>400253</v>
      </c>
      <c r="B2892" t="str">
        <f>_xlfn.XLOOKUP(Vendas[[#This Row],[ID Vendedor]],Vendedores[ID],Vendedores[Nome])</f>
        <v>Gustavo</v>
      </c>
      <c r="C2892" s="7" t="str">
        <f>_xlfn.XLOOKUP(Vendas[[#This Row],[ID Vendedor]],Vendedores[ID],Vendedores[Setor])</f>
        <v>SC</v>
      </c>
      <c r="D2892" s="7" t="s">
        <v>25</v>
      </c>
      <c r="E2892" t="str">
        <f>_xlfn.XLOOKUP(Vendas[[#This Row],[ID Item Vendido]],Agregado[ID],Agregado[Produto])</f>
        <v>Palete de plástico</v>
      </c>
      <c r="F2892" s="39">
        <v>45211</v>
      </c>
      <c r="G2892" s="7">
        <v>1</v>
      </c>
      <c r="H2892" s="3">
        <f>_xlfn.XLOOKUP(Vendas[[#This Row],[ID Item Vendido]],Agregado[ID],Agregado[Revenda])</f>
        <v>70.8</v>
      </c>
      <c r="I2892" s="3">
        <f>Vendas[[#This Row],[Valor Unitário]]*Vendas[[#This Row],[Qnt Vendida]]</f>
        <v>70.8</v>
      </c>
      <c r="J2892" s="3">
        <f>Vendas[[#This Row],[Valor da Venda]]-(_xlfn.XLOOKUP(Vendas[[#This Row],[ID Item Vendido]],Agregado[ID],Agregado[Custo])*Vendas[[#This Row],[Qnt Vendida]])</f>
        <v>10.799999999999997</v>
      </c>
      <c r="K2892" s="70">
        <f>Vendas[[#This Row],[Lucro da Venda]]/Vendas[[#This Row],[Valor da Venda]]</f>
        <v>0.15254237288135589</v>
      </c>
      <c r="L2892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2892"/>
    </row>
    <row r="2893" spans="1:13" x14ac:dyDescent="0.3">
      <c r="A2893" s="7">
        <v>400242</v>
      </c>
      <c r="B2893" t="str">
        <f>_xlfn.XLOOKUP(Vendas[[#This Row],[ID Vendedor]],Vendedores[ID],Vendedores[Nome])</f>
        <v>Fernanda</v>
      </c>
      <c r="C2893" s="7" t="str">
        <f>_xlfn.XLOOKUP(Vendas[[#This Row],[ID Vendedor]],Vendedores[ID],Vendedores[Setor])</f>
        <v>FM</v>
      </c>
      <c r="D2893" s="7" t="s">
        <v>27</v>
      </c>
      <c r="E2893" t="str">
        <f>_xlfn.XLOOKUP(Vendas[[#This Row],[ID Item Vendido]],Agregado[ID],Agregado[Produto])</f>
        <v>Chapa de metal lisa 1x2m</v>
      </c>
      <c r="F2893" s="39">
        <v>45213</v>
      </c>
      <c r="G2893" s="7">
        <v>23</v>
      </c>
      <c r="H2893" s="3">
        <f>_xlfn.XLOOKUP(Vendas[[#This Row],[ID Item Vendido]],Agregado[ID],Agregado[Revenda])</f>
        <v>52</v>
      </c>
      <c r="I2893" s="3">
        <f>Vendas[[#This Row],[Valor Unitário]]*Vendas[[#This Row],[Qnt Vendida]]</f>
        <v>1196</v>
      </c>
      <c r="J2893" s="3">
        <f>Vendas[[#This Row],[Valor da Venda]]-(_xlfn.XLOOKUP(Vendas[[#This Row],[ID Item Vendido]],Agregado[ID],Agregado[Custo])*Vendas[[#This Row],[Qnt Vendida]])</f>
        <v>161</v>
      </c>
      <c r="K2893" s="70">
        <f>Vendas[[#This Row],[Lucro da Venda]]/Vendas[[#This Row],[Valor da Venda]]</f>
        <v>0.13461538461538461</v>
      </c>
      <c r="L2893" s="3">
        <f>_xlfn.IFS(Vendas[[#This Row],[Margem de Lucro (%)]]&lt;15%,Vendas[[#This Row],[Valor da Venda]]*3%,Vendas[[#This Row],[Margem de Lucro (%)]]&lt;=20%,Vendas[[#This Row],[Valor da Venda]]*4.5%,TRUE,Vendas[[#This Row],[Valor da Venda]]*6%)</f>
        <v>35.879999999999995</v>
      </c>
      <c r="M2893"/>
    </row>
    <row r="2894" spans="1:13" x14ac:dyDescent="0.3">
      <c r="A2894" s="7">
        <v>400246</v>
      </c>
      <c r="B2894" t="str">
        <f>_xlfn.XLOOKUP(Vendas[[#This Row],[ID Vendedor]],Vendedores[ID],Vendedores[Nome])</f>
        <v>Juliana</v>
      </c>
      <c r="C2894" s="7" t="str">
        <f>_xlfn.XLOOKUP(Vendas[[#This Row],[ID Vendedor]],Vendedores[ID],Vendedores[Setor])</f>
        <v>AHD</v>
      </c>
      <c r="D2894" s="7" t="s">
        <v>9</v>
      </c>
      <c r="E2894" t="str">
        <f>_xlfn.XLOOKUP(Vendas[[#This Row],[ID Item Vendido]],Agregado[ID],Agregado[Produto])</f>
        <v>Barra de aço simples</v>
      </c>
      <c r="F2894" s="39">
        <v>45213</v>
      </c>
      <c r="G2894" s="7">
        <v>66</v>
      </c>
      <c r="H2894" s="3">
        <f>_xlfn.XLOOKUP(Vendas[[#This Row],[ID Item Vendido]],Agregado[ID],Agregado[Revenda])</f>
        <v>6.7</v>
      </c>
      <c r="I2894" s="3">
        <f>Vendas[[#This Row],[Valor Unitário]]*Vendas[[#This Row],[Qnt Vendida]]</f>
        <v>442.2</v>
      </c>
      <c r="J2894" s="3">
        <f>Vendas[[#This Row],[Valor da Venda]]-(_xlfn.XLOOKUP(Vendas[[#This Row],[ID Item Vendido]],Agregado[ID],Agregado[Custo])*Vendas[[#This Row],[Qnt Vendida]])</f>
        <v>59.399999999999977</v>
      </c>
      <c r="K2894" s="70">
        <f>Vendas[[#This Row],[Lucro da Venda]]/Vendas[[#This Row],[Valor da Venda]]</f>
        <v>0.13432835820895517</v>
      </c>
      <c r="L2894" s="3">
        <f>_xlfn.IFS(Vendas[[#This Row],[Margem de Lucro (%)]]&lt;15%,Vendas[[#This Row],[Valor da Venda]]*3%,Vendas[[#This Row],[Margem de Lucro (%)]]&lt;=20%,Vendas[[#This Row],[Valor da Venda]]*4.5%,TRUE,Vendas[[#This Row],[Valor da Venda]]*6%)</f>
        <v>13.266</v>
      </c>
      <c r="M2894"/>
    </row>
    <row r="2895" spans="1:13" x14ac:dyDescent="0.3">
      <c r="A2895" s="7">
        <v>400253</v>
      </c>
      <c r="B2895" t="str">
        <f>_xlfn.XLOOKUP(Vendas[[#This Row],[ID Vendedor]],Vendedores[ID],Vendedores[Nome])</f>
        <v>Gustavo</v>
      </c>
      <c r="C2895" s="7" t="str">
        <f>_xlfn.XLOOKUP(Vendas[[#This Row],[ID Vendedor]],Vendedores[ID],Vendedores[Setor])</f>
        <v>SC</v>
      </c>
      <c r="D2895" s="7" t="s">
        <v>48</v>
      </c>
      <c r="E2895" t="str">
        <f>_xlfn.XLOOKUP(Vendas[[#This Row],[ID Item Vendido]],Agregado[ID],Agregado[Produto])</f>
        <v>Tambor metálico 200L</v>
      </c>
      <c r="F2895" s="39">
        <v>45214</v>
      </c>
      <c r="G2895" s="7">
        <v>10</v>
      </c>
      <c r="H2895" s="3">
        <f>_xlfn.XLOOKUP(Vendas[[#This Row],[ID Item Vendido]],Agregado[ID],Agregado[Revenda])</f>
        <v>144</v>
      </c>
      <c r="I2895" s="3">
        <f>Vendas[[#This Row],[Valor Unitário]]*Vendas[[#This Row],[Qnt Vendida]]</f>
        <v>1440</v>
      </c>
      <c r="J2895" s="3">
        <f>Vendas[[#This Row],[Valor da Venda]]-(_xlfn.XLOOKUP(Vendas[[#This Row],[ID Item Vendido]],Agregado[ID],Agregado[Custo])*Vendas[[#This Row],[Qnt Vendida]])</f>
        <v>240</v>
      </c>
      <c r="K2895" s="70">
        <f>Vendas[[#This Row],[Lucro da Venda]]/Vendas[[#This Row],[Valor da Venda]]</f>
        <v>0.16666666666666666</v>
      </c>
      <c r="L2895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2895"/>
    </row>
    <row r="2896" spans="1:13" x14ac:dyDescent="0.3">
      <c r="A2896" s="7">
        <v>400250</v>
      </c>
      <c r="B2896" t="str">
        <f>_xlfn.XLOOKUP(Vendas[[#This Row],[ID Vendedor]],Vendedores[ID],Vendedores[Nome])</f>
        <v>Larissa</v>
      </c>
      <c r="C2896" s="7" t="str">
        <f>_xlfn.XLOOKUP(Vendas[[#This Row],[ID Vendedor]],Vendedores[ID],Vendedores[Setor])</f>
        <v>AB</v>
      </c>
      <c r="D2896" s="7" t="s">
        <v>12</v>
      </c>
      <c r="E2896" t="str">
        <f>_xlfn.XLOOKUP(Vendas[[#This Row],[ID Item Vendido]],Agregado[ID],Agregado[Produto])</f>
        <v>Grânulo de plástico reciclado refinado</v>
      </c>
      <c r="F2896" s="39">
        <v>45214</v>
      </c>
      <c r="G2896" s="7">
        <v>138</v>
      </c>
      <c r="H2896" s="3">
        <f>_xlfn.XLOOKUP(Vendas[[#This Row],[ID Item Vendido]],Agregado[ID],Agregado[Revenda])</f>
        <v>4.7</v>
      </c>
      <c r="I2896" s="3">
        <f>Vendas[[#This Row],[Valor Unitário]]*Vendas[[#This Row],[Qnt Vendida]]</f>
        <v>648.6</v>
      </c>
      <c r="J2896" s="3">
        <f>Vendas[[#This Row],[Valor da Venda]]-(_xlfn.XLOOKUP(Vendas[[#This Row],[ID Item Vendido]],Agregado[ID],Agregado[Custo])*Vendas[[#This Row],[Qnt Vendida]])</f>
        <v>165.60000000000002</v>
      </c>
      <c r="K2896" s="70">
        <f>Vendas[[#This Row],[Lucro da Venda]]/Vendas[[#This Row],[Valor da Venda]]</f>
        <v>0.25531914893617025</v>
      </c>
      <c r="L2896" s="3">
        <f>_xlfn.IFS(Vendas[[#This Row],[Margem de Lucro (%)]]&lt;15%,Vendas[[#This Row],[Valor da Venda]]*3%,Vendas[[#This Row],[Margem de Lucro (%)]]&lt;=20%,Vendas[[#This Row],[Valor da Venda]]*4.5%,TRUE,Vendas[[#This Row],[Valor da Venda]]*6%)</f>
        <v>38.915999999999997</v>
      </c>
      <c r="M2896"/>
    </row>
    <row r="2897" spans="1:13" x14ac:dyDescent="0.3">
      <c r="A2897" s="7">
        <v>400251</v>
      </c>
      <c r="B2897" t="str">
        <f>_xlfn.XLOOKUP(Vendas[[#This Row],[ID Vendedor]],Vendedores[ID],Vendedores[Nome])</f>
        <v>Diego</v>
      </c>
      <c r="C2897" s="7" t="str">
        <f>_xlfn.XLOOKUP(Vendas[[#This Row],[ID Vendedor]],Vendedores[ID],Vendedores[Setor])</f>
        <v>AB</v>
      </c>
      <c r="D2897" s="7" t="s">
        <v>39</v>
      </c>
      <c r="E2897" t="str">
        <f>_xlfn.XLOOKUP(Vendas[[#This Row],[ID Item Vendido]],Agregado[ID],Agregado[Produto])</f>
        <v>Filme plástico industrial rolo 50m</v>
      </c>
      <c r="F2897" s="39">
        <v>45214</v>
      </c>
      <c r="G2897" s="7">
        <v>14</v>
      </c>
      <c r="H2897" s="3">
        <f>_xlfn.XLOOKUP(Vendas[[#This Row],[ID Item Vendido]],Agregado[ID],Agregado[Revenda])</f>
        <v>37</v>
      </c>
      <c r="I2897" s="3">
        <f>Vendas[[#This Row],[Valor Unitário]]*Vendas[[#This Row],[Qnt Vendida]]</f>
        <v>518</v>
      </c>
      <c r="J2897" s="3">
        <f>Vendas[[#This Row],[Valor da Venda]]-(_xlfn.XLOOKUP(Vendas[[#This Row],[ID Item Vendido]],Agregado[ID],Agregado[Custo])*Vendas[[#This Row],[Qnt Vendida]])</f>
        <v>126</v>
      </c>
      <c r="K2897" s="70">
        <f>Vendas[[#This Row],[Lucro da Venda]]/Vendas[[#This Row],[Valor da Venda]]</f>
        <v>0.24324324324324326</v>
      </c>
      <c r="L2897" s="3">
        <f>_xlfn.IFS(Vendas[[#This Row],[Margem de Lucro (%)]]&lt;15%,Vendas[[#This Row],[Valor da Venda]]*3%,Vendas[[#This Row],[Margem de Lucro (%)]]&lt;=20%,Vendas[[#This Row],[Valor da Venda]]*4.5%,TRUE,Vendas[[#This Row],[Valor da Venda]]*6%)</f>
        <v>31.08</v>
      </c>
      <c r="M2897"/>
    </row>
    <row r="2898" spans="1:13" x14ac:dyDescent="0.3">
      <c r="A2898" s="7">
        <v>400251</v>
      </c>
      <c r="B2898" t="str">
        <f>_xlfn.XLOOKUP(Vendas[[#This Row],[ID Vendedor]],Vendedores[ID],Vendedores[Nome])</f>
        <v>Diego</v>
      </c>
      <c r="C2898" s="7" t="str">
        <f>_xlfn.XLOOKUP(Vendas[[#This Row],[ID Vendedor]],Vendedores[ID],Vendedores[Setor])</f>
        <v>AB</v>
      </c>
      <c r="D2898" s="7" t="s">
        <v>39</v>
      </c>
      <c r="E2898" t="str">
        <f>_xlfn.XLOOKUP(Vendas[[#This Row],[ID Item Vendido]],Agregado[ID],Agregado[Produto])</f>
        <v>Filme plástico industrial rolo 50m</v>
      </c>
      <c r="F2898" s="39">
        <v>45214</v>
      </c>
      <c r="G2898" s="7">
        <v>10</v>
      </c>
      <c r="H2898" s="3">
        <f>_xlfn.XLOOKUP(Vendas[[#This Row],[ID Item Vendido]],Agregado[ID],Agregado[Revenda])</f>
        <v>37</v>
      </c>
      <c r="I2898" s="3">
        <f>Vendas[[#This Row],[Valor Unitário]]*Vendas[[#This Row],[Qnt Vendida]]</f>
        <v>370</v>
      </c>
      <c r="J2898" s="3">
        <f>Vendas[[#This Row],[Valor da Venda]]-(_xlfn.XLOOKUP(Vendas[[#This Row],[ID Item Vendido]],Agregado[ID],Agregado[Custo])*Vendas[[#This Row],[Qnt Vendida]])</f>
        <v>90</v>
      </c>
      <c r="K2898" s="70">
        <f>Vendas[[#This Row],[Lucro da Venda]]/Vendas[[#This Row],[Valor da Venda]]</f>
        <v>0.24324324324324326</v>
      </c>
      <c r="L2898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2898"/>
    </row>
    <row r="2899" spans="1:13" x14ac:dyDescent="0.3">
      <c r="A2899" s="7">
        <v>400249</v>
      </c>
      <c r="B2899" t="str">
        <f>_xlfn.XLOOKUP(Vendas[[#This Row],[ID Vendedor]],Vendedores[ID],Vendedores[Nome])</f>
        <v>Bruno</v>
      </c>
      <c r="C2899" s="7" t="str">
        <f>_xlfn.XLOOKUP(Vendas[[#This Row],[ID Vendedor]],Vendedores[ID],Vendedores[Setor])</f>
        <v>CM</v>
      </c>
      <c r="D2899" s="7" t="s">
        <v>22</v>
      </c>
      <c r="E2899" t="str">
        <f>_xlfn.XLOOKUP(Vendas[[#This Row],[ID Item Vendido]],Agregado[ID],Agregado[Produto])</f>
        <v>Painel MDP 2,75x1,83m</v>
      </c>
      <c r="F2899" s="39">
        <v>45215</v>
      </c>
      <c r="G2899" s="7">
        <v>24</v>
      </c>
      <c r="H2899" s="3">
        <f>_xlfn.XLOOKUP(Vendas[[#This Row],[ID Item Vendido]],Agregado[ID],Agregado[Revenda])</f>
        <v>119</v>
      </c>
      <c r="I2899" s="3">
        <f>Vendas[[#This Row],[Valor Unitário]]*Vendas[[#This Row],[Qnt Vendida]]</f>
        <v>2856</v>
      </c>
      <c r="J2899" s="3">
        <f>Vendas[[#This Row],[Valor da Venda]]-(_xlfn.XLOOKUP(Vendas[[#This Row],[ID Item Vendido]],Agregado[ID],Agregado[Custo])*Vendas[[#This Row],[Qnt Vendida]])</f>
        <v>576</v>
      </c>
      <c r="K2899" s="70">
        <f>Vendas[[#This Row],[Lucro da Venda]]/Vendas[[#This Row],[Valor da Venda]]</f>
        <v>0.20168067226890757</v>
      </c>
      <c r="L2899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2899"/>
    </row>
    <row r="2900" spans="1:13" x14ac:dyDescent="0.3">
      <c r="A2900" s="7">
        <v>400248</v>
      </c>
      <c r="B2900" t="str">
        <f>_xlfn.XLOOKUP(Vendas[[#This Row],[ID Vendedor]],Vendedores[ID],Vendedores[Nome])</f>
        <v>Patrícia</v>
      </c>
      <c r="C2900" s="7" t="str">
        <f>_xlfn.XLOOKUP(Vendas[[#This Row],[ID Vendedor]],Vendedores[ID],Vendedores[Setor])</f>
        <v>CM</v>
      </c>
      <c r="D2900" s="7" t="s">
        <v>22</v>
      </c>
      <c r="E2900" t="str">
        <f>_xlfn.XLOOKUP(Vendas[[#This Row],[ID Item Vendido]],Agregado[ID],Agregado[Produto])</f>
        <v>Painel MDP 2,75x1,83m</v>
      </c>
      <c r="F2900" s="39">
        <v>45215</v>
      </c>
      <c r="G2900" s="7">
        <v>15</v>
      </c>
      <c r="H2900" s="3">
        <f>_xlfn.XLOOKUP(Vendas[[#This Row],[ID Item Vendido]],Agregado[ID],Agregado[Revenda])</f>
        <v>119</v>
      </c>
      <c r="I2900" s="3">
        <f>Vendas[[#This Row],[Valor Unitário]]*Vendas[[#This Row],[Qnt Vendida]]</f>
        <v>1785</v>
      </c>
      <c r="J2900" s="3">
        <f>Vendas[[#This Row],[Valor da Venda]]-(_xlfn.XLOOKUP(Vendas[[#This Row],[ID Item Vendido]],Agregado[ID],Agregado[Custo])*Vendas[[#This Row],[Qnt Vendida]])</f>
        <v>360</v>
      </c>
      <c r="K2900" s="70">
        <f>Vendas[[#This Row],[Lucro da Venda]]/Vendas[[#This Row],[Valor da Venda]]</f>
        <v>0.20168067226890757</v>
      </c>
      <c r="L2900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2900"/>
    </row>
    <row r="2901" spans="1:13" x14ac:dyDescent="0.3">
      <c r="A2901" s="7">
        <v>400244</v>
      </c>
      <c r="B2901" t="str">
        <f>_xlfn.XLOOKUP(Vendas[[#This Row],[ID Vendedor]],Vendedores[ID],Vendedores[Nome])</f>
        <v>Camila</v>
      </c>
      <c r="C2901" s="7" t="str">
        <f>_xlfn.XLOOKUP(Vendas[[#This Row],[ID Vendedor]],Vendedores[ID],Vendedores[Setor])</f>
        <v>AHD</v>
      </c>
      <c r="D2901" s="7" t="s">
        <v>18</v>
      </c>
      <c r="E2901" t="str">
        <f>_xlfn.XLOOKUP(Vendas[[#This Row],[ID Item Vendido]],Agregado[ID],Agregado[Produto])</f>
        <v>Peça forjada sob encomenda</v>
      </c>
      <c r="F2901" s="39">
        <v>45215</v>
      </c>
      <c r="G2901" s="7">
        <v>2</v>
      </c>
      <c r="H2901" s="3">
        <f>_xlfn.XLOOKUP(Vendas[[#This Row],[ID Item Vendido]],Agregado[ID],Agregado[Revenda])</f>
        <v>264.60000000000002</v>
      </c>
      <c r="I2901" s="3">
        <f>Vendas[[#This Row],[Valor Unitário]]*Vendas[[#This Row],[Qnt Vendida]]</f>
        <v>529.20000000000005</v>
      </c>
      <c r="J2901" s="3">
        <f>Vendas[[#This Row],[Valor da Venda]]-(_xlfn.XLOOKUP(Vendas[[#This Row],[ID Item Vendido]],Agregado[ID],Agregado[Custo])*Vendas[[#This Row],[Qnt Vendida]])</f>
        <v>29.200000000000045</v>
      </c>
      <c r="K2901" s="70">
        <f>Vendas[[#This Row],[Lucro da Venda]]/Vendas[[#This Row],[Valor da Venda]]</f>
        <v>5.5177626606198113E-2</v>
      </c>
      <c r="L2901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2901"/>
    </row>
    <row r="2902" spans="1:13" x14ac:dyDescent="0.3">
      <c r="A2902" s="7">
        <v>400243</v>
      </c>
      <c r="B2902" t="str">
        <f>_xlfn.XLOOKUP(Vendas[[#This Row],[ID Vendedor]],Vendedores[ID],Vendedores[Nome])</f>
        <v>Marcelo</v>
      </c>
      <c r="C2902" s="7" t="str">
        <f>_xlfn.XLOOKUP(Vendas[[#This Row],[ID Vendedor]],Vendedores[ID],Vendedores[Setor])</f>
        <v>FM</v>
      </c>
      <c r="D2902" s="7" t="s">
        <v>31</v>
      </c>
      <c r="E2902" t="str">
        <f>_xlfn.XLOOKUP(Vendas[[#This Row],[ID Item Vendido]],Agregado[ID],Agregado[Produto])</f>
        <v>Tela de metal soldada rolo 2x25m</v>
      </c>
      <c r="F2902" s="39">
        <v>45215</v>
      </c>
      <c r="G2902" s="7">
        <v>12</v>
      </c>
      <c r="H2902" s="3">
        <f>_xlfn.XLOOKUP(Vendas[[#This Row],[ID Item Vendido]],Agregado[ID],Agregado[Revenda])</f>
        <v>43.7</v>
      </c>
      <c r="I2902" s="3">
        <f>Vendas[[#This Row],[Valor Unitário]]*Vendas[[#This Row],[Qnt Vendida]]</f>
        <v>524.40000000000009</v>
      </c>
      <c r="J2902" s="3">
        <f>Vendas[[#This Row],[Valor da Venda]]-(_xlfn.XLOOKUP(Vendas[[#This Row],[ID Item Vendido]],Agregado[ID],Agregado[Custo])*Vendas[[#This Row],[Qnt Vendida]])</f>
        <v>68.400000000000091</v>
      </c>
      <c r="K2902" s="70">
        <f>Vendas[[#This Row],[Lucro da Venda]]/Vendas[[#This Row],[Valor da Venda]]</f>
        <v>0.13043478260869582</v>
      </c>
      <c r="L2902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2902"/>
    </row>
    <row r="2903" spans="1:13" x14ac:dyDescent="0.3">
      <c r="A2903" s="7">
        <v>400242</v>
      </c>
      <c r="B2903" t="str">
        <f>_xlfn.XLOOKUP(Vendas[[#This Row],[ID Vendedor]],Vendedores[ID],Vendedores[Nome])</f>
        <v>Fernanda</v>
      </c>
      <c r="C2903" s="7" t="str">
        <f>_xlfn.XLOOKUP(Vendas[[#This Row],[ID Vendedor]],Vendedores[ID],Vendedores[Setor])</f>
        <v>FM</v>
      </c>
      <c r="D2903" s="7" t="s">
        <v>27</v>
      </c>
      <c r="E2903" t="str">
        <f>_xlfn.XLOOKUP(Vendas[[#This Row],[ID Item Vendido]],Agregado[ID],Agregado[Produto])</f>
        <v>Chapa de metal lisa 1x2m</v>
      </c>
      <c r="F2903" s="39">
        <v>45215</v>
      </c>
      <c r="G2903" s="7">
        <v>10</v>
      </c>
      <c r="H2903" s="3">
        <f>_xlfn.XLOOKUP(Vendas[[#This Row],[ID Item Vendido]],Agregado[ID],Agregado[Revenda])</f>
        <v>52</v>
      </c>
      <c r="I2903" s="3">
        <f>Vendas[[#This Row],[Valor Unitário]]*Vendas[[#This Row],[Qnt Vendida]]</f>
        <v>520</v>
      </c>
      <c r="J2903" s="3">
        <f>Vendas[[#This Row],[Valor da Venda]]-(_xlfn.XLOOKUP(Vendas[[#This Row],[ID Item Vendido]],Agregado[ID],Agregado[Custo])*Vendas[[#This Row],[Qnt Vendida]])</f>
        <v>70</v>
      </c>
      <c r="K2903" s="70">
        <f>Vendas[[#This Row],[Lucro da Venda]]/Vendas[[#This Row],[Valor da Venda]]</f>
        <v>0.13461538461538461</v>
      </c>
      <c r="L2903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2903"/>
    </row>
    <row r="2904" spans="1:13" x14ac:dyDescent="0.3">
      <c r="A2904" s="7">
        <v>400254</v>
      </c>
      <c r="B2904" t="str">
        <f>_xlfn.XLOOKUP(Vendas[[#This Row],[ID Vendedor]],Vendedores[ID],Vendedores[Nome])</f>
        <v>Beatriz</v>
      </c>
      <c r="C2904" s="7" t="str">
        <f>_xlfn.XLOOKUP(Vendas[[#This Row],[ID Vendedor]],Vendedores[ID],Vendedores[Setor])</f>
        <v>SC</v>
      </c>
      <c r="D2904" s="7" t="s">
        <v>14</v>
      </c>
      <c r="E2904" t="str">
        <f>_xlfn.XLOOKUP(Vendas[[#This Row],[ID Item Vendido]],Agregado[ID],Agregado[Produto])</f>
        <v>Barril de plástico 200L</v>
      </c>
      <c r="F2904" s="39">
        <v>45216</v>
      </c>
      <c r="G2904" s="7">
        <v>22</v>
      </c>
      <c r="H2904" s="3">
        <f>_xlfn.XLOOKUP(Vendas[[#This Row],[ID Item Vendido]],Agregado[ID],Agregado[Revenda])</f>
        <v>114</v>
      </c>
      <c r="I2904" s="3">
        <f>Vendas[[#This Row],[Valor Unitário]]*Vendas[[#This Row],[Qnt Vendida]]</f>
        <v>2508</v>
      </c>
      <c r="J2904" s="3">
        <f>Vendas[[#This Row],[Valor da Venda]]-(_xlfn.XLOOKUP(Vendas[[#This Row],[ID Item Vendido]],Agregado[ID],Agregado[Custo])*Vendas[[#This Row],[Qnt Vendida]])</f>
        <v>418</v>
      </c>
      <c r="K2904" s="70">
        <f>Vendas[[#This Row],[Lucro da Venda]]/Vendas[[#This Row],[Valor da Venda]]</f>
        <v>0.16666666666666666</v>
      </c>
      <c r="L2904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2904"/>
    </row>
    <row r="2905" spans="1:13" x14ac:dyDescent="0.3">
      <c r="A2905" s="7">
        <v>400241</v>
      </c>
      <c r="B2905" t="str">
        <f>_xlfn.XLOOKUP(Vendas[[#This Row],[ID Vendedor]],Vendedores[ID],Vendedores[Nome])</f>
        <v>Rodrigo</v>
      </c>
      <c r="C2905" s="7" t="str">
        <f>_xlfn.XLOOKUP(Vendas[[#This Row],[ID Vendedor]],Vendedores[ID],Vendedores[Setor])</f>
        <v>FM</v>
      </c>
      <c r="D2905" s="7" t="s">
        <v>20</v>
      </c>
      <c r="E2905" t="str">
        <f>_xlfn.XLOOKUP(Vendas[[#This Row],[ID Item Vendido]],Agregado[ID],Agregado[Produto])</f>
        <v>Barra de aço simples</v>
      </c>
      <c r="F2905" s="39">
        <v>45216</v>
      </c>
      <c r="G2905" s="7">
        <v>84</v>
      </c>
      <c r="H2905" s="3">
        <f>_xlfn.XLOOKUP(Vendas[[#This Row],[ID Item Vendido]],Agregado[ID],Agregado[Revenda])</f>
        <v>4.8</v>
      </c>
      <c r="I2905" s="3">
        <f>Vendas[[#This Row],[Valor Unitário]]*Vendas[[#This Row],[Qnt Vendida]]</f>
        <v>403.2</v>
      </c>
      <c r="J2905" s="3">
        <f>Vendas[[#This Row],[Valor da Venda]]-(_xlfn.XLOOKUP(Vendas[[#This Row],[ID Item Vendido]],Agregado[ID],Agregado[Custo])*Vendas[[#This Row],[Qnt Vendida]])</f>
        <v>50.399999999999977</v>
      </c>
      <c r="K2905" s="70">
        <f>Vendas[[#This Row],[Lucro da Venda]]/Vendas[[#This Row],[Valor da Venda]]</f>
        <v>0.12499999999999994</v>
      </c>
      <c r="L2905" s="3">
        <f>_xlfn.IFS(Vendas[[#This Row],[Margem de Lucro (%)]]&lt;15%,Vendas[[#This Row],[Valor da Venda]]*3%,Vendas[[#This Row],[Margem de Lucro (%)]]&lt;=20%,Vendas[[#This Row],[Valor da Venda]]*4.5%,TRUE,Vendas[[#This Row],[Valor da Venda]]*6%)</f>
        <v>12.096</v>
      </c>
      <c r="M2905"/>
    </row>
    <row r="2906" spans="1:13" x14ac:dyDescent="0.3">
      <c r="A2906" s="7">
        <v>400247</v>
      </c>
      <c r="B2906" t="str">
        <f>_xlfn.XLOOKUP(Vendas[[#This Row],[ID Vendedor]],Vendedores[ID],Vendedores[Nome])</f>
        <v>André</v>
      </c>
      <c r="C2906" s="7" t="str">
        <f>_xlfn.XLOOKUP(Vendas[[#This Row],[ID Vendedor]],Vendedores[ID],Vendedores[Setor])</f>
        <v>CM</v>
      </c>
      <c r="D2906" s="7" t="s">
        <v>45</v>
      </c>
      <c r="E2906" t="str">
        <f>_xlfn.XLOOKUP(Vendas[[#This Row],[ID Item Vendido]],Agregado[ID],Agregado[Produto])</f>
        <v>Viga de madeira tratada 4m</v>
      </c>
      <c r="F2906" s="39">
        <v>45216</v>
      </c>
      <c r="G2906" s="7">
        <v>2</v>
      </c>
      <c r="H2906" s="3">
        <f>_xlfn.XLOOKUP(Vendas[[#This Row],[ID Item Vendido]],Agregado[ID],Agregado[Revenda])</f>
        <v>66</v>
      </c>
      <c r="I2906" s="3">
        <f>Vendas[[#This Row],[Valor Unitário]]*Vendas[[#This Row],[Qnt Vendida]]</f>
        <v>132</v>
      </c>
      <c r="J2906" s="3">
        <f>Vendas[[#This Row],[Valor da Venda]]-(_xlfn.XLOOKUP(Vendas[[#This Row],[ID Item Vendido]],Agregado[ID],Agregado[Custo])*Vendas[[#This Row],[Qnt Vendida]])</f>
        <v>22</v>
      </c>
      <c r="K2906" s="70">
        <f>Vendas[[#This Row],[Lucro da Venda]]/Vendas[[#This Row],[Valor da Venda]]</f>
        <v>0.16666666666666666</v>
      </c>
      <c r="L2906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2906"/>
    </row>
    <row r="2907" spans="1:13" x14ac:dyDescent="0.3">
      <c r="A2907" s="7">
        <v>400246</v>
      </c>
      <c r="B2907" t="str">
        <f>_xlfn.XLOOKUP(Vendas[[#This Row],[ID Vendedor]],Vendedores[ID],Vendedores[Nome])</f>
        <v>Juliana</v>
      </c>
      <c r="C2907" s="7" t="str">
        <f>_xlfn.XLOOKUP(Vendas[[#This Row],[ID Vendedor]],Vendedores[ID],Vendedores[Setor])</f>
        <v>AHD</v>
      </c>
      <c r="D2907" s="7" t="s">
        <v>28</v>
      </c>
      <c r="E2907" t="str">
        <f>_xlfn.XLOOKUP(Vendas[[#This Row],[ID Item Vendido]],Agregado[ID],Agregado[Produto])</f>
        <v>Peça usinada CNC</v>
      </c>
      <c r="F2907" s="39">
        <v>45217</v>
      </c>
      <c r="G2907" s="7">
        <v>6</v>
      </c>
      <c r="H2907" s="3">
        <f>_xlfn.XLOOKUP(Vendas[[#This Row],[ID Item Vendido]],Agregado[ID],Agregado[Revenda])</f>
        <v>192</v>
      </c>
      <c r="I2907" s="3">
        <f>Vendas[[#This Row],[Valor Unitário]]*Vendas[[#This Row],[Qnt Vendida]]</f>
        <v>1152</v>
      </c>
      <c r="J2907" s="3">
        <f>Vendas[[#This Row],[Valor da Venda]]-(_xlfn.XLOOKUP(Vendas[[#This Row],[ID Item Vendido]],Agregado[ID],Agregado[Custo])*Vendas[[#This Row],[Qnt Vendida]])</f>
        <v>252</v>
      </c>
      <c r="K2907" s="70">
        <f>Vendas[[#This Row],[Lucro da Venda]]/Vendas[[#This Row],[Valor da Venda]]</f>
        <v>0.21875</v>
      </c>
      <c r="L2907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2907"/>
    </row>
    <row r="2908" spans="1:13" x14ac:dyDescent="0.3">
      <c r="A2908" s="7">
        <v>400247</v>
      </c>
      <c r="B2908" t="str">
        <f>_xlfn.XLOOKUP(Vendas[[#This Row],[ID Vendedor]],Vendedores[ID],Vendedores[Nome])</f>
        <v>André</v>
      </c>
      <c r="C2908" s="7" t="str">
        <f>_xlfn.XLOOKUP(Vendas[[#This Row],[ID Vendedor]],Vendedores[ID],Vendedores[Setor])</f>
        <v>CM</v>
      </c>
      <c r="D2908" s="7" t="s">
        <v>22</v>
      </c>
      <c r="E2908" t="str">
        <f>_xlfn.XLOOKUP(Vendas[[#This Row],[ID Item Vendido]],Agregado[ID],Agregado[Produto])</f>
        <v>Painel MDP 2,75x1,83m</v>
      </c>
      <c r="F2908" s="39">
        <v>45217</v>
      </c>
      <c r="G2908" s="7">
        <v>7</v>
      </c>
      <c r="H2908" s="3">
        <f>_xlfn.XLOOKUP(Vendas[[#This Row],[ID Item Vendido]],Agregado[ID],Agregado[Revenda])</f>
        <v>119</v>
      </c>
      <c r="I2908" s="3">
        <f>Vendas[[#This Row],[Valor Unitário]]*Vendas[[#This Row],[Qnt Vendida]]</f>
        <v>833</v>
      </c>
      <c r="J2908" s="3">
        <f>Vendas[[#This Row],[Valor da Venda]]-(_xlfn.XLOOKUP(Vendas[[#This Row],[ID Item Vendido]],Agregado[ID],Agregado[Custo])*Vendas[[#This Row],[Qnt Vendida]])</f>
        <v>168</v>
      </c>
      <c r="K2908" s="70">
        <f>Vendas[[#This Row],[Lucro da Venda]]/Vendas[[#This Row],[Valor da Venda]]</f>
        <v>0.20168067226890757</v>
      </c>
      <c r="L2908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2908"/>
    </row>
    <row r="2909" spans="1:13" x14ac:dyDescent="0.3">
      <c r="A2909" s="7">
        <v>400251</v>
      </c>
      <c r="B2909" t="str">
        <f>_xlfn.XLOOKUP(Vendas[[#This Row],[ID Vendedor]],Vendedores[ID],Vendedores[Nome])</f>
        <v>Diego</v>
      </c>
      <c r="C2909" s="7" t="str">
        <f>_xlfn.XLOOKUP(Vendas[[#This Row],[ID Vendedor]],Vendedores[ID],Vendedores[Setor])</f>
        <v>AB</v>
      </c>
      <c r="D2909" s="7" t="s">
        <v>39</v>
      </c>
      <c r="E2909" t="str">
        <f>_xlfn.XLOOKUP(Vendas[[#This Row],[ID Item Vendido]],Agregado[ID],Agregado[Produto])</f>
        <v>Filme plástico industrial rolo 50m</v>
      </c>
      <c r="F2909" s="39">
        <v>45217</v>
      </c>
      <c r="G2909" s="7">
        <v>5</v>
      </c>
      <c r="H2909" s="3">
        <f>_xlfn.XLOOKUP(Vendas[[#This Row],[ID Item Vendido]],Agregado[ID],Agregado[Revenda])</f>
        <v>37</v>
      </c>
      <c r="I2909" s="3">
        <f>Vendas[[#This Row],[Valor Unitário]]*Vendas[[#This Row],[Qnt Vendida]]</f>
        <v>185</v>
      </c>
      <c r="J2909" s="3">
        <f>Vendas[[#This Row],[Valor da Venda]]-(_xlfn.XLOOKUP(Vendas[[#This Row],[ID Item Vendido]],Agregado[ID],Agregado[Custo])*Vendas[[#This Row],[Qnt Vendida]])</f>
        <v>45</v>
      </c>
      <c r="K2909" s="70">
        <f>Vendas[[#This Row],[Lucro da Venda]]/Vendas[[#This Row],[Valor da Venda]]</f>
        <v>0.24324324324324326</v>
      </c>
      <c r="L2909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2909"/>
    </row>
    <row r="2910" spans="1:13" x14ac:dyDescent="0.3">
      <c r="A2910" s="7">
        <v>400242</v>
      </c>
      <c r="B2910" t="str">
        <f>_xlfn.XLOOKUP(Vendas[[#This Row],[ID Vendedor]],Vendedores[ID],Vendedores[Nome])</f>
        <v>Fernanda</v>
      </c>
      <c r="C2910" s="7" t="str">
        <f>_xlfn.XLOOKUP(Vendas[[#This Row],[ID Vendedor]],Vendedores[ID],Vendedores[Setor])</f>
        <v>FM</v>
      </c>
      <c r="D2910" s="7" t="s">
        <v>6</v>
      </c>
      <c r="E2910" t="str">
        <f>_xlfn.XLOOKUP(Vendas[[#This Row],[ID Item Vendido]],Agregado[ID],Agregado[Produto])</f>
        <v>Parafuso comum 500un</v>
      </c>
      <c r="F2910" s="39">
        <v>45217</v>
      </c>
      <c r="G2910" s="7">
        <v>3</v>
      </c>
      <c r="H2910" s="3">
        <f>_xlfn.XLOOKUP(Vendas[[#This Row],[ID Item Vendido]],Agregado[ID],Agregado[Revenda])</f>
        <v>24.6</v>
      </c>
      <c r="I2910" s="3">
        <f>Vendas[[#This Row],[Valor Unitário]]*Vendas[[#This Row],[Qnt Vendida]]</f>
        <v>73.800000000000011</v>
      </c>
      <c r="J2910" s="3">
        <f>Vendas[[#This Row],[Valor da Venda]]-(_xlfn.XLOOKUP(Vendas[[#This Row],[ID Item Vendido]],Agregado[ID],Agregado[Custo])*Vendas[[#This Row],[Qnt Vendida]])</f>
        <v>7.8000000000000114</v>
      </c>
      <c r="K2910" s="70">
        <f>Vendas[[#This Row],[Lucro da Venda]]/Vendas[[#This Row],[Valor da Venda]]</f>
        <v>0.10569105691056924</v>
      </c>
      <c r="L2910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2910"/>
    </row>
    <row r="2911" spans="1:13" x14ac:dyDescent="0.3">
      <c r="A2911" s="7">
        <v>400254</v>
      </c>
      <c r="B2911" t="str">
        <f>_xlfn.XLOOKUP(Vendas[[#This Row],[ID Vendedor]],Vendedores[ID],Vendedores[Nome])</f>
        <v>Beatriz</v>
      </c>
      <c r="C2911" s="7" t="str">
        <f>_xlfn.XLOOKUP(Vendas[[#This Row],[ID Vendedor]],Vendedores[ID],Vendedores[Setor])</f>
        <v>SC</v>
      </c>
      <c r="D2911" s="7" t="s">
        <v>14</v>
      </c>
      <c r="E2911" t="str">
        <f>_xlfn.XLOOKUP(Vendas[[#This Row],[ID Item Vendido]],Agregado[ID],Agregado[Produto])</f>
        <v>Barril de plástico 200L</v>
      </c>
      <c r="F2911" s="39">
        <v>45218</v>
      </c>
      <c r="G2911" s="7">
        <v>14</v>
      </c>
      <c r="H2911" s="3">
        <f>_xlfn.XLOOKUP(Vendas[[#This Row],[ID Item Vendido]],Agregado[ID],Agregado[Revenda])</f>
        <v>114</v>
      </c>
      <c r="I2911" s="3">
        <f>Vendas[[#This Row],[Valor Unitário]]*Vendas[[#This Row],[Qnt Vendida]]</f>
        <v>1596</v>
      </c>
      <c r="J2911" s="3">
        <f>Vendas[[#This Row],[Valor da Venda]]-(_xlfn.XLOOKUP(Vendas[[#This Row],[ID Item Vendido]],Agregado[ID],Agregado[Custo])*Vendas[[#This Row],[Qnt Vendida]])</f>
        <v>266</v>
      </c>
      <c r="K2911" s="70">
        <f>Vendas[[#This Row],[Lucro da Venda]]/Vendas[[#This Row],[Valor da Venda]]</f>
        <v>0.16666666666666666</v>
      </c>
      <c r="L2911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911"/>
    </row>
    <row r="2912" spans="1:13" x14ac:dyDescent="0.3">
      <c r="A2912" s="7">
        <v>400247</v>
      </c>
      <c r="B2912" t="str">
        <f>_xlfn.XLOOKUP(Vendas[[#This Row],[ID Vendedor]],Vendedores[ID],Vendedores[Nome])</f>
        <v>André</v>
      </c>
      <c r="C2912" s="7" t="str">
        <f>_xlfn.XLOOKUP(Vendas[[#This Row],[ID Vendedor]],Vendedores[ID],Vendedores[Setor])</f>
        <v>CM</v>
      </c>
      <c r="D2912" s="7" t="s">
        <v>43</v>
      </c>
      <c r="E2912" t="str">
        <f>_xlfn.XLOOKUP(Vendas[[#This Row],[ID Item Vendido]],Agregado[ID],Agregado[Produto])</f>
        <v>Madeira Bruta (Tora)</v>
      </c>
      <c r="F2912" s="39">
        <v>45218</v>
      </c>
      <c r="G2912" s="7">
        <v>4</v>
      </c>
      <c r="H2912" s="3">
        <f>_xlfn.XLOOKUP(Vendas[[#This Row],[ID Item Vendido]],Agregado[ID],Agregado[Revenda])</f>
        <v>212</v>
      </c>
      <c r="I2912" s="3">
        <f>Vendas[[#This Row],[Valor Unitário]]*Vendas[[#This Row],[Qnt Vendida]]</f>
        <v>848</v>
      </c>
      <c r="J2912" s="3">
        <f>Vendas[[#This Row],[Valor da Venda]]-(_xlfn.XLOOKUP(Vendas[[#This Row],[ID Item Vendido]],Agregado[ID],Agregado[Custo])*Vendas[[#This Row],[Qnt Vendida]])</f>
        <v>128</v>
      </c>
      <c r="K2912" s="70">
        <f>Vendas[[#This Row],[Lucro da Venda]]/Vendas[[#This Row],[Valor da Venda]]</f>
        <v>0.15094339622641509</v>
      </c>
      <c r="L2912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2912"/>
    </row>
    <row r="2913" spans="1:13" x14ac:dyDescent="0.3">
      <c r="A2913" s="7">
        <v>400251</v>
      </c>
      <c r="B2913" t="str">
        <f>_xlfn.XLOOKUP(Vendas[[#This Row],[ID Vendedor]],Vendedores[ID],Vendedores[Nome])</f>
        <v>Diego</v>
      </c>
      <c r="C2913" s="7" t="str">
        <f>_xlfn.XLOOKUP(Vendas[[#This Row],[ID Vendedor]],Vendedores[ID],Vendedores[Setor])</f>
        <v>AB</v>
      </c>
      <c r="D2913" s="7" t="s">
        <v>24</v>
      </c>
      <c r="E2913" t="str">
        <f>_xlfn.XLOOKUP(Vendas[[#This Row],[ID Item Vendido]],Agregado[ID],Agregado[Produto])</f>
        <v>Resina plástica PET purificada saco de 25kg</v>
      </c>
      <c r="F2913" s="39">
        <v>45218</v>
      </c>
      <c r="G2913" s="7">
        <v>2</v>
      </c>
      <c r="H2913" s="3">
        <f>_xlfn.XLOOKUP(Vendas[[#This Row],[ID Item Vendido]],Agregado[ID],Agregado[Revenda])</f>
        <v>119</v>
      </c>
      <c r="I2913" s="3">
        <f>Vendas[[#This Row],[Valor Unitário]]*Vendas[[#This Row],[Qnt Vendida]]</f>
        <v>238</v>
      </c>
      <c r="J2913" s="3">
        <f>Vendas[[#This Row],[Valor da Venda]]-(_xlfn.XLOOKUP(Vendas[[#This Row],[ID Item Vendido]],Agregado[ID],Agregado[Custo])*Vendas[[#This Row],[Qnt Vendida]])</f>
        <v>68</v>
      </c>
      <c r="K2913" s="70">
        <f>Vendas[[#This Row],[Lucro da Venda]]/Vendas[[#This Row],[Valor da Venda]]</f>
        <v>0.2857142857142857</v>
      </c>
      <c r="L2913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2913"/>
    </row>
    <row r="2914" spans="1:13" x14ac:dyDescent="0.3">
      <c r="A2914" s="7">
        <v>400254</v>
      </c>
      <c r="B2914" t="str">
        <f>_xlfn.XLOOKUP(Vendas[[#This Row],[ID Vendedor]],Vendedores[ID],Vendedores[Nome])</f>
        <v>Beatriz</v>
      </c>
      <c r="C2914" s="7" t="str">
        <f>_xlfn.XLOOKUP(Vendas[[#This Row],[ID Vendedor]],Vendedores[ID],Vendedores[Setor])</f>
        <v>SC</v>
      </c>
      <c r="D2914" s="7" t="s">
        <v>42</v>
      </c>
      <c r="E2914" t="str">
        <f>_xlfn.XLOOKUP(Vendas[[#This Row],[ID Item Vendido]],Agregado[ID],Agregado[Produto])</f>
        <v>Container de ferro industrial</v>
      </c>
      <c r="F2914" s="39">
        <v>45219</v>
      </c>
      <c r="G2914" s="7">
        <v>6</v>
      </c>
      <c r="H2914" s="3">
        <f>_xlfn.XLOOKUP(Vendas[[#This Row],[ID Item Vendido]],Agregado[ID],Agregado[Revenda])</f>
        <v>830</v>
      </c>
      <c r="I2914" s="3">
        <f>Vendas[[#This Row],[Valor Unitário]]*Vendas[[#This Row],[Qnt Vendida]]</f>
        <v>4980</v>
      </c>
      <c r="J2914" s="3">
        <f>Vendas[[#This Row],[Valor da Venda]]-(_xlfn.XLOOKUP(Vendas[[#This Row],[ID Item Vendido]],Agregado[ID],Agregado[Custo])*Vendas[[#This Row],[Qnt Vendida]])</f>
        <v>900</v>
      </c>
      <c r="K2914" s="70">
        <f>Vendas[[#This Row],[Lucro da Venda]]/Vendas[[#This Row],[Valor da Venda]]</f>
        <v>0.18072289156626506</v>
      </c>
      <c r="L2914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914"/>
    </row>
    <row r="2915" spans="1:13" x14ac:dyDescent="0.3">
      <c r="A2915" s="7">
        <v>400246</v>
      </c>
      <c r="B2915" t="str">
        <f>_xlfn.XLOOKUP(Vendas[[#This Row],[ID Vendedor]],Vendedores[ID],Vendedores[Nome])</f>
        <v>Juliana</v>
      </c>
      <c r="C2915" s="7" t="str">
        <f>_xlfn.XLOOKUP(Vendas[[#This Row],[ID Vendedor]],Vendedores[ID],Vendedores[Setor])</f>
        <v>AHD</v>
      </c>
      <c r="D2915" s="7" t="s">
        <v>28</v>
      </c>
      <c r="E2915" t="str">
        <f>_xlfn.XLOOKUP(Vendas[[#This Row],[ID Item Vendido]],Agregado[ID],Agregado[Produto])</f>
        <v>Peça usinada CNC</v>
      </c>
      <c r="F2915" s="39">
        <v>45219</v>
      </c>
      <c r="G2915" s="7">
        <v>12</v>
      </c>
      <c r="H2915" s="3">
        <f>_xlfn.XLOOKUP(Vendas[[#This Row],[ID Item Vendido]],Agregado[ID],Agregado[Revenda])</f>
        <v>192</v>
      </c>
      <c r="I2915" s="3">
        <f>Vendas[[#This Row],[Valor Unitário]]*Vendas[[#This Row],[Qnt Vendida]]</f>
        <v>2304</v>
      </c>
      <c r="J2915" s="3">
        <f>Vendas[[#This Row],[Valor da Venda]]-(_xlfn.XLOOKUP(Vendas[[#This Row],[ID Item Vendido]],Agregado[ID],Agregado[Custo])*Vendas[[#This Row],[Qnt Vendida]])</f>
        <v>504</v>
      </c>
      <c r="K2915" s="70">
        <f>Vendas[[#This Row],[Lucro da Venda]]/Vendas[[#This Row],[Valor da Venda]]</f>
        <v>0.21875</v>
      </c>
      <c r="L2915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2915"/>
    </row>
    <row r="2916" spans="1:13" x14ac:dyDescent="0.3">
      <c r="A2916" s="7">
        <v>400244</v>
      </c>
      <c r="B2916" t="str">
        <f>_xlfn.XLOOKUP(Vendas[[#This Row],[ID Vendedor]],Vendedores[ID],Vendedores[Nome])</f>
        <v>Camila</v>
      </c>
      <c r="C2916" s="7" t="str">
        <f>_xlfn.XLOOKUP(Vendas[[#This Row],[ID Vendedor]],Vendedores[ID],Vendedores[Setor])</f>
        <v>AHD</v>
      </c>
      <c r="D2916" s="7" t="s">
        <v>9</v>
      </c>
      <c r="E2916" t="str">
        <f>_xlfn.XLOOKUP(Vendas[[#This Row],[ID Item Vendido]],Agregado[ID],Agregado[Produto])</f>
        <v>Barra de aço simples</v>
      </c>
      <c r="F2916" s="39">
        <v>45219</v>
      </c>
      <c r="G2916" s="7">
        <v>109</v>
      </c>
      <c r="H2916" s="3">
        <f>_xlfn.XLOOKUP(Vendas[[#This Row],[ID Item Vendido]],Agregado[ID],Agregado[Revenda])</f>
        <v>6.7</v>
      </c>
      <c r="I2916" s="3">
        <f>Vendas[[#This Row],[Valor Unitário]]*Vendas[[#This Row],[Qnt Vendida]]</f>
        <v>730.30000000000007</v>
      </c>
      <c r="J2916" s="3">
        <f>Vendas[[#This Row],[Valor da Venda]]-(_xlfn.XLOOKUP(Vendas[[#This Row],[ID Item Vendido]],Agregado[ID],Agregado[Custo])*Vendas[[#This Row],[Qnt Vendida]])</f>
        <v>98.100000000000136</v>
      </c>
      <c r="K2916" s="70">
        <f>Vendas[[#This Row],[Lucro da Venda]]/Vendas[[#This Row],[Valor da Venda]]</f>
        <v>0.13432835820895539</v>
      </c>
      <c r="L2916" s="3">
        <f>_xlfn.IFS(Vendas[[#This Row],[Margem de Lucro (%)]]&lt;15%,Vendas[[#This Row],[Valor da Venda]]*3%,Vendas[[#This Row],[Margem de Lucro (%)]]&lt;=20%,Vendas[[#This Row],[Valor da Venda]]*4.5%,TRUE,Vendas[[#This Row],[Valor da Venda]]*6%)</f>
        <v>21.909000000000002</v>
      </c>
      <c r="M2916"/>
    </row>
    <row r="2917" spans="1:13" x14ac:dyDescent="0.3">
      <c r="A2917" s="7">
        <v>400247</v>
      </c>
      <c r="B2917" t="str">
        <f>_xlfn.XLOOKUP(Vendas[[#This Row],[ID Vendedor]],Vendedores[ID],Vendedores[Nome])</f>
        <v>André</v>
      </c>
      <c r="C2917" s="7" t="str">
        <f>_xlfn.XLOOKUP(Vendas[[#This Row],[ID Vendedor]],Vendedores[ID],Vendedores[Setor])</f>
        <v>CM</v>
      </c>
      <c r="D2917" s="7" t="s">
        <v>34</v>
      </c>
      <c r="E2917" t="str">
        <f>_xlfn.XLOOKUP(Vendas[[#This Row],[ID Item Vendido]],Agregado[ID],Agregado[Produto])</f>
        <v>Restos de madeira p/ MDP/OSB saco de 20kg</v>
      </c>
      <c r="F2917" s="39">
        <v>45220</v>
      </c>
      <c r="G2917" s="7">
        <v>12</v>
      </c>
      <c r="H2917" s="3">
        <f>_xlfn.XLOOKUP(Vendas[[#This Row],[ID Item Vendido]],Agregado[ID],Agregado[Revenda])</f>
        <v>13.8</v>
      </c>
      <c r="I2917" s="3">
        <f>Vendas[[#This Row],[Valor Unitário]]*Vendas[[#This Row],[Qnt Vendida]]</f>
        <v>165.60000000000002</v>
      </c>
      <c r="J2917" s="3">
        <f>Vendas[[#This Row],[Valor da Venda]]-(_xlfn.XLOOKUP(Vendas[[#This Row],[ID Item Vendido]],Agregado[ID],Agregado[Custo])*Vendas[[#This Row],[Qnt Vendida]])</f>
        <v>21.600000000000023</v>
      </c>
      <c r="K2917" s="70">
        <f>Vendas[[#This Row],[Lucro da Venda]]/Vendas[[#This Row],[Valor da Venda]]</f>
        <v>0.13043478260869576</v>
      </c>
      <c r="L2917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2917"/>
    </row>
    <row r="2918" spans="1:13" x14ac:dyDescent="0.3">
      <c r="A2918" s="7">
        <v>400253</v>
      </c>
      <c r="B2918" t="str">
        <f>_xlfn.XLOOKUP(Vendas[[#This Row],[ID Vendedor]],Vendedores[ID],Vendedores[Nome])</f>
        <v>Gustavo</v>
      </c>
      <c r="C2918" s="7" t="str">
        <f>_xlfn.XLOOKUP(Vendas[[#This Row],[ID Vendedor]],Vendedores[ID],Vendedores[Setor])</f>
        <v>SC</v>
      </c>
      <c r="D2918" s="7" t="s">
        <v>48</v>
      </c>
      <c r="E2918" t="str">
        <f>_xlfn.XLOOKUP(Vendas[[#This Row],[ID Item Vendido]],Agregado[ID],Agregado[Produto])</f>
        <v>Tambor metálico 200L</v>
      </c>
      <c r="F2918" s="39">
        <v>45221</v>
      </c>
      <c r="G2918" s="7">
        <v>16</v>
      </c>
      <c r="H2918" s="3">
        <f>_xlfn.XLOOKUP(Vendas[[#This Row],[ID Item Vendido]],Agregado[ID],Agregado[Revenda])</f>
        <v>144</v>
      </c>
      <c r="I2918" s="3">
        <f>Vendas[[#This Row],[Valor Unitário]]*Vendas[[#This Row],[Qnt Vendida]]</f>
        <v>2304</v>
      </c>
      <c r="J2918" s="3">
        <f>Vendas[[#This Row],[Valor da Venda]]-(_xlfn.XLOOKUP(Vendas[[#This Row],[ID Item Vendido]],Agregado[ID],Agregado[Custo])*Vendas[[#This Row],[Qnt Vendida]])</f>
        <v>384</v>
      </c>
      <c r="K2918" s="70">
        <f>Vendas[[#This Row],[Lucro da Venda]]/Vendas[[#This Row],[Valor da Venda]]</f>
        <v>0.16666666666666666</v>
      </c>
      <c r="L2918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2918"/>
    </row>
    <row r="2919" spans="1:13" x14ac:dyDescent="0.3">
      <c r="A2919" s="7">
        <v>400246</v>
      </c>
      <c r="B2919" t="str">
        <f>_xlfn.XLOOKUP(Vendas[[#This Row],[ID Vendedor]],Vendedores[ID],Vendedores[Nome])</f>
        <v>Juliana</v>
      </c>
      <c r="C2919" s="7" t="str">
        <f>_xlfn.XLOOKUP(Vendas[[#This Row],[ID Vendedor]],Vendedores[ID],Vendedores[Setor])</f>
        <v>AHD</v>
      </c>
      <c r="D2919" s="7" t="s">
        <v>9</v>
      </c>
      <c r="E2919" t="str">
        <f>_xlfn.XLOOKUP(Vendas[[#This Row],[ID Item Vendido]],Agregado[ID],Agregado[Produto])</f>
        <v>Barra de aço simples</v>
      </c>
      <c r="F2919" s="39">
        <v>45221</v>
      </c>
      <c r="G2919" s="7">
        <v>99</v>
      </c>
      <c r="H2919" s="3">
        <f>_xlfn.XLOOKUP(Vendas[[#This Row],[ID Item Vendido]],Agregado[ID],Agregado[Revenda])</f>
        <v>6.7</v>
      </c>
      <c r="I2919" s="3">
        <f>Vendas[[#This Row],[Valor Unitário]]*Vendas[[#This Row],[Qnt Vendida]]</f>
        <v>663.30000000000007</v>
      </c>
      <c r="J2919" s="3">
        <f>Vendas[[#This Row],[Valor da Venda]]-(_xlfn.XLOOKUP(Vendas[[#This Row],[ID Item Vendido]],Agregado[ID],Agregado[Custo])*Vendas[[#This Row],[Qnt Vendida]])</f>
        <v>89.100000000000136</v>
      </c>
      <c r="K2919" s="70">
        <f>Vendas[[#This Row],[Lucro da Venda]]/Vendas[[#This Row],[Valor da Venda]]</f>
        <v>0.13432835820895542</v>
      </c>
      <c r="L2919" s="3">
        <f>_xlfn.IFS(Vendas[[#This Row],[Margem de Lucro (%)]]&lt;15%,Vendas[[#This Row],[Valor da Venda]]*3%,Vendas[[#This Row],[Margem de Lucro (%)]]&lt;=20%,Vendas[[#This Row],[Valor da Venda]]*4.5%,TRUE,Vendas[[#This Row],[Valor da Venda]]*6%)</f>
        <v>19.899000000000001</v>
      </c>
      <c r="M2919"/>
    </row>
    <row r="2920" spans="1:13" x14ac:dyDescent="0.3">
      <c r="A2920" s="7">
        <v>400250</v>
      </c>
      <c r="B2920" t="str">
        <f>_xlfn.XLOOKUP(Vendas[[#This Row],[ID Vendedor]],Vendedores[ID],Vendedores[Nome])</f>
        <v>Larissa</v>
      </c>
      <c r="C2920" s="7" t="str">
        <f>_xlfn.XLOOKUP(Vendas[[#This Row],[ID Vendedor]],Vendedores[ID],Vendedores[Setor])</f>
        <v>AB</v>
      </c>
      <c r="D2920" s="7" t="s">
        <v>12</v>
      </c>
      <c r="E2920" t="str">
        <f>_xlfn.XLOOKUP(Vendas[[#This Row],[ID Item Vendido]],Agregado[ID],Agregado[Produto])</f>
        <v>Grânulo de plástico reciclado refinado</v>
      </c>
      <c r="F2920" s="39">
        <v>45221</v>
      </c>
      <c r="G2920" s="7">
        <v>141</v>
      </c>
      <c r="H2920" s="3">
        <f>_xlfn.XLOOKUP(Vendas[[#This Row],[ID Item Vendido]],Agregado[ID],Agregado[Revenda])</f>
        <v>4.7</v>
      </c>
      <c r="I2920" s="3">
        <f>Vendas[[#This Row],[Valor Unitário]]*Vendas[[#This Row],[Qnt Vendida]]</f>
        <v>662.7</v>
      </c>
      <c r="J2920" s="3">
        <f>Vendas[[#This Row],[Valor da Venda]]-(_xlfn.XLOOKUP(Vendas[[#This Row],[ID Item Vendido]],Agregado[ID],Agregado[Custo])*Vendas[[#This Row],[Qnt Vendida]])</f>
        <v>169.20000000000005</v>
      </c>
      <c r="K2920" s="70">
        <f>Vendas[[#This Row],[Lucro da Venda]]/Vendas[[#This Row],[Valor da Venda]]</f>
        <v>0.25531914893617025</v>
      </c>
      <c r="L2920" s="3">
        <f>_xlfn.IFS(Vendas[[#This Row],[Margem de Lucro (%)]]&lt;15%,Vendas[[#This Row],[Valor da Venda]]*3%,Vendas[[#This Row],[Margem de Lucro (%)]]&lt;=20%,Vendas[[#This Row],[Valor da Venda]]*4.5%,TRUE,Vendas[[#This Row],[Valor da Venda]]*6%)</f>
        <v>39.762</v>
      </c>
      <c r="M2920"/>
    </row>
    <row r="2921" spans="1:13" x14ac:dyDescent="0.3">
      <c r="A2921" s="7">
        <v>400241</v>
      </c>
      <c r="B2921" t="str">
        <f>_xlfn.XLOOKUP(Vendas[[#This Row],[ID Vendedor]],Vendedores[ID],Vendedores[Nome])</f>
        <v>Rodrigo</v>
      </c>
      <c r="C2921" s="7" t="str">
        <f>_xlfn.XLOOKUP(Vendas[[#This Row],[ID Vendedor]],Vendedores[ID],Vendedores[Setor])</f>
        <v>FM</v>
      </c>
      <c r="D2921" s="7" t="s">
        <v>6</v>
      </c>
      <c r="E2921" t="str">
        <f>_xlfn.XLOOKUP(Vendas[[#This Row],[ID Item Vendido]],Agregado[ID],Agregado[Produto])</f>
        <v>Parafuso comum 500un</v>
      </c>
      <c r="F2921" s="39">
        <v>45221</v>
      </c>
      <c r="G2921" s="7">
        <v>13</v>
      </c>
      <c r="H2921" s="3">
        <f>_xlfn.XLOOKUP(Vendas[[#This Row],[ID Item Vendido]],Agregado[ID],Agregado[Revenda])</f>
        <v>24.6</v>
      </c>
      <c r="I2921" s="3">
        <f>Vendas[[#This Row],[Valor Unitário]]*Vendas[[#This Row],[Qnt Vendida]]</f>
        <v>319.8</v>
      </c>
      <c r="J2921" s="3">
        <f>Vendas[[#This Row],[Valor da Venda]]-(_xlfn.XLOOKUP(Vendas[[#This Row],[ID Item Vendido]],Agregado[ID],Agregado[Custo])*Vendas[[#This Row],[Qnt Vendida]])</f>
        <v>33.800000000000011</v>
      </c>
      <c r="K2921" s="70">
        <f>Vendas[[#This Row],[Lucro da Venda]]/Vendas[[#This Row],[Valor da Venda]]</f>
        <v>0.10569105691056914</v>
      </c>
      <c r="L2921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2921"/>
    </row>
    <row r="2922" spans="1:13" x14ac:dyDescent="0.3">
      <c r="A2922" s="7">
        <v>400242</v>
      </c>
      <c r="B2922" t="str">
        <f>_xlfn.XLOOKUP(Vendas[[#This Row],[ID Vendedor]],Vendedores[ID],Vendedores[Nome])</f>
        <v>Fernanda</v>
      </c>
      <c r="C2922" s="7" t="str">
        <f>_xlfn.XLOOKUP(Vendas[[#This Row],[ID Vendedor]],Vendedores[ID],Vendedores[Setor])</f>
        <v>FM</v>
      </c>
      <c r="D2922" s="7" t="s">
        <v>47</v>
      </c>
      <c r="E2922" t="str">
        <f>_xlfn.XLOOKUP(Vendas[[#This Row],[ID Item Vendido]],Agregado[ID],Agregado[Produto])</f>
        <v>Fio de arame galvanizado rolo 50m</v>
      </c>
      <c r="F2922" s="39">
        <v>45221</v>
      </c>
      <c r="G2922" s="7">
        <v>10</v>
      </c>
      <c r="H2922" s="3">
        <f>_xlfn.XLOOKUP(Vendas[[#This Row],[ID Item Vendido]],Agregado[ID],Agregado[Revenda])</f>
        <v>21.2</v>
      </c>
      <c r="I2922" s="3">
        <f>Vendas[[#This Row],[Valor Unitário]]*Vendas[[#This Row],[Qnt Vendida]]</f>
        <v>212</v>
      </c>
      <c r="J2922" s="3">
        <f>Vendas[[#This Row],[Valor da Venda]]-(_xlfn.XLOOKUP(Vendas[[#This Row],[ID Item Vendido]],Agregado[ID],Agregado[Custo])*Vendas[[#This Row],[Qnt Vendida]])</f>
        <v>32</v>
      </c>
      <c r="K2922" s="70">
        <f>Vendas[[#This Row],[Lucro da Venda]]/Vendas[[#This Row],[Valor da Venda]]</f>
        <v>0.15094339622641509</v>
      </c>
      <c r="L2922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2922"/>
    </row>
    <row r="2923" spans="1:13" x14ac:dyDescent="0.3">
      <c r="A2923" s="7">
        <v>400253</v>
      </c>
      <c r="B2923" t="str">
        <f>_xlfn.XLOOKUP(Vendas[[#This Row],[ID Vendedor]],Vendedores[ID],Vendedores[Nome])</f>
        <v>Gustavo</v>
      </c>
      <c r="C2923" s="7" t="str">
        <f>_xlfn.XLOOKUP(Vendas[[#This Row],[ID Vendedor]],Vendedores[ID],Vendedores[Setor])</f>
        <v>SC</v>
      </c>
      <c r="D2923" s="7" t="s">
        <v>42</v>
      </c>
      <c r="E2923" t="str">
        <f>_xlfn.XLOOKUP(Vendas[[#This Row],[ID Item Vendido]],Agregado[ID],Agregado[Produto])</f>
        <v>Container de ferro industrial</v>
      </c>
      <c r="F2923" s="39">
        <v>45222</v>
      </c>
      <c r="G2923" s="7">
        <v>5</v>
      </c>
      <c r="H2923" s="3">
        <f>_xlfn.XLOOKUP(Vendas[[#This Row],[ID Item Vendido]],Agregado[ID],Agregado[Revenda])</f>
        <v>830</v>
      </c>
      <c r="I2923" s="3">
        <f>Vendas[[#This Row],[Valor Unitário]]*Vendas[[#This Row],[Qnt Vendida]]</f>
        <v>4150</v>
      </c>
      <c r="J2923" s="3">
        <f>Vendas[[#This Row],[Valor da Venda]]-(_xlfn.XLOOKUP(Vendas[[#This Row],[ID Item Vendido]],Agregado[ID],Agregado[Custo])*Vendas[[#This Row],[Qnt Vendida]])</f>
        <v>750</v>
      </c>
      <c r="K2923" s="70">
        <f>Vendas[[#This Row],[Lucro da Venda]]/Vendas[[#This Row],[Valor da Venda]]</f>
        <v>0.18072289156626506</v>
      </c>
      <c r="L292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923"/>
    </row>
    <row r="2924" spans="1:13" x14ac:dyDescent="0.3">
      <c r="A2924" s="7">
        <v>400247</v>
      </c>
      <c r="B2924" t="str">
        <f>_xlfn.XLOOKUP(Vendas[[#This Row],[ID Vendedor]],Vendedores[ID],Vendedores[Nome])</f>
        <v>André</v>
      </c>
      <c r="C2924" s="7" t="str">
        <f>_xlfn.XLOOKUP(Vendas[[#This Row],[ID Vendedor]],Vendedores[ID],Vendedores[Setor])</f>
        <v>CM</v>
      </c>
      <c r="D2924" s="7" t="s">
        <v>22</v>
      </c>
      <c r="E2924" t="str">
        <f>_xlfn.XLOOKUP(Vendas[[#This Row],[ID Item Vendido]],Agregado[ID],Agregado[Produto])</f>
        <v>Painel MDP 2,75x1,83m</v>
      </c>
      <c r="F2924" s="39">
        <v>45222</v>
      </c>
      <c r="G2924" s="7">
        <v>9</v>
      </c>
      <c r="H2924" s="3">
        <f>_xlfn.XLOOKUP(Vendas[[#This Row],[ID Item Vendido]],Agregado[ID],Agregado[Revenda])</f>
        <v>119</v>
      </c>
      <c r="I2924" s="3">
        <f>Vendas[[#This Row],[Valor Unitário]]*Vendas[[#This Row],[Qnt Vendida]]</f>
        <v>1071</v>
      </c>
      <c r="J2924" s="3">
        <f>Vendas[[#This Row],[Valor da Venda]]-(_xlfn.XLOOKUP(Vendas[[#This Row],[ID Item Vendido]],Agregado[ID],Agregado[Custo])*Vendas[[#This Row],[Qnt Vendida]])</f>
        <v>216</v>
      </c>
      <c r="K2924" s="70">
        <f>Vendas[[#This Row],[Lucro da Venda]]/Vendas[[#This Row],[Valor da Venda]]</f>
        <v>0.20168067226890757</v>
      </c>
      <c r="L2924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2924"/>
    </row>
    <row r="2925" spans="1:13" x14ac:dyDescent="0.3">
      <c r="A2925" s="7">
        <v>400250</v>
      </c>
      <c r="B2925" t="str">
        <f>_xlfn.XLOOKUP(Vendas[[#This Row],[ID Vendedor]],Vendedores[ID],Vendedores[Nome])</f>
        <v>Larissa</v>
      </c>
      <c r="C2925" s="7" t="str">
        <f>_xlfn.XLOOKUP(Vendas[[#This Row],[ID Vendedor]],Vendedores[ID],Vendedores[Setor])</f>
        <v>AB</v>
      </c>
      <c r="D2925" s="7" t="s">
        <v>12</v>
      </c>
      <c r="E2925" t="str">
        <f>_xlfn.XLOOKUP(Vendas[[#This Row],[ID Item Vendido]],Agregado[ID],Agregado[Produto])</f>
        <v>Grânulo de plástico reciclado refinado</v>
      </c>
      <c r="F2925" s="39">
        <v>45222</v>
      </c>
      <c r="G2925" s="7">
        <v>148</v>
      </c>
      <c r="H2925" s="3">
        <f>_xlfn.XLOOKUP(Vendas[[#This Row],[ID Item Vendido]],Agregado[ID],Agregado[Revenda])</f>
        <v>4.7</v>
      </c>
      <c r="I2925" s="3">
        <f>Vendas[[#This Row],[Valor Unitário]]*Vendas[[#This Row],[Qnt Vendida]]</f>
        <v>695.6</v>
      </c>
      <c r="J2925" s="3">
        <f>Vendas[[#This Row],[Valor da Venda]]-(_xlfn.XLOOKUP(Vendas[[#This Row],[ID Item Vendido]],Agregado[ID],Agregado[Custo])*Vendas[[#This Row],[Qnt Vendida]])</f>
        <v>177.60000000000002</v>
      </c>
      <c r="K2925" s="70">
        <f>Vendas[[#This Row],[Lucro da Venda]]/Vendas[[#This Row],[Valor da Venda]]</f>
        <v>0.25531914893617025</v>
      </c>
      <c r="L2925" s="3">
        <f>_xlfn.IFS(Vendas[[#This Row],[Margem de Lucro (%)]]&lt;15%,Vendas[[#This Row],[Valor da Venda]]*3%,Vendas[[#This Row],[Margem de Lucro (%)]]&lt;=20%,Vendas[[#This Row],[Valor da Venda]]*4.5%,TRUE,Vendas[[#This Row],[Valor da Venda]]*6%)</f>
        <v>41.735999999999997</v>
      </c>
      <c r="M2925"/>
    </row>
    <row r="2926" spans="1:13" x14ac:dyDescent="0.3">
      <c r="A2926" s="7">
        <v>400250</v>
      </c>
      <c r="B2926" t="str">
        <f>_xlfn.XLOOKUP(Vendas[[#This Row],[ID Vendedor]],Vendedores[ID],Vendedores[Nome])</f>
        <v>Larissa</v>
      </c>
      <c r="C2926" s="7" t="str">
        <f>_xlfn.XLOOKUP(Vendas[[#This Row],[ID Vendedor]],Vendedores[ID],Vendedores[Setor])</f>
        <v>AB</v>
      </c>
      <c r="D2926" s="7" t="s">
        <v>24</v>
      </c>
      <c r="E2926" t="str">
        <f>_xlfn.XLOOKUP(Vendas[[#This Row],[ID Item Vendido]],Agregado[ID],Agregado[Produto])</f>
        <v>Resina plástica PET purificada saco de 25kg</v>
      </c>
      <c r="F2926" s="39">
        <v>45222</v>
      </c>
      <c r="G2926" s="7">
        <v>3</v>
      </c>
      <c r="H2926" s="3">
        <f>_xlfn.XLOOKUP(Vendas[[#This Row],[ID Item Vendido]],Agregado[ID],Agregado[Revenda])</f>
        <v>119</v>
      </c>
      <c r="I2926" s="3">
        <f>Vendas[[#This Row],[Valor Unitário]]*Vendas[[#This Row],[Qnt Vendida]]</f>
        <v>357</v>
      </c>
      <c r="J2926" s="3">
        <f>Vendas[[#This Row],[Valor da Venda]]-(_xlfn.XLOOKUP(Vendas[[#This Row],[ID Item Vendido]],Agregado[ID],Agregado[Custo])*Vendas[[#This Row],[Qnt Vendida]])</f>
        <v>102</v>
      </c>
      <c r="K2926" s="70">
        <f>Vendas[[#This Row],[Lucro da Venda]]/Vendas[[#This Row],[Valor da Venda]]</f>
        <v>0.2857142857142857</v>
      </c>
      <c r="L2926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2926"/>
    </row>
    <row r="2927" spans="1:13" x14ac:dyDescent="0.3">
      <c r="A2927" s="7">
        <v>400242</v>
      </c>
      <c r="B2927" t="str">
        <f>_xlfn.XLOOKUP(Vendas[[#This Row],[ID Vendedor]],Vendedores[ID],Vendedores[Nome])</f>
        <v>Fernanda</v>
      </c>
      <c r="C2927" s="7" t="str">
        <f>_xlfn.XLOOKUP(Vendas[[#This Row],[ID Vendedor]],Vendedores[ID],Vendedores[Setor])</f>
        <v>FM</v>
      </c>
      <c r="D2927" s="7" t="s">
        <v>6</v>
      </c>
      <c r="E2927" t="str">
        <f>_xlfn.XLOOKUP(Vendas[[#This Row],[ID Item Vendido]],Agregado[ID],Agregado[Produto])</f>
        <v>Parafuso comum 500un</v>
      </c>
      <c r="F2927" s="39">
        <v>45223</v>
      </c>
      <c r="G2927" s="7">
        <v>8</v>
      </c>
      <c r="H2927" s="3">
        <f>_xlfn.XLOOKUP(Vendas[[#This Row],[ID Item Vendido]],Agregado[ID],Agregado[Revenda])</f>
        <v>24.6</v>
      </c>
      <c r="I2927" s="3">
        <f>Vendas[[#This Row],[Valor Unitário]]*Vendas[[#This Row],[Qnt Vendida]]</f>
        <v>196.8</v>
      </c>
      <c r="J2927" s="3">
        <f>Vendas[[#This Row],[Valor da Venda]]-(_xlfn.XLOOKUP(Vendas[[#This Row],[ID Item Vendido]],Agregado[ID],Agregado[Custo])*Vendas[[#This Row],[Qnt Vendida]])</f>
        <v>20.800000000000011</v>
      </c>
      <c r="K2927" s="70">
        <f>Vendas[[#This Row],[Lucro da Venda]]/Vendas[[#This Row],[Valor da Venda]]</f>
        <v>0.10569105691056915</v>
      </c>
      <c r="L2927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2927"/>
    </row>
    <row r="2928" spans="1:13" x14ac:dyDescent="0.3">
      <c r="A2928" s="7">
        <v>400243</v>
      </c>
      <c r="B2928" t="str">
        <f>_xlfn.XLOOKUP(Vendas[[#This Row],[ID Vendedor]],Vendedores[ID],Vendedores[Nome])</f>
        <v>Marcelo</v>
      </c>
      <c r="C2928" s="7" t="str">
        <f>_xlfn.XLOOKUP(Vendas[[#This Row],[ID Vendedor]],Vendedores[ID],Vendedores[Setor])</f>
        <v>FM</v>
      </c>
      <c r="D2928" s="7" t="s">
        <v>20</v>
      </c>
      <c r="E2928" t="str">
        <f>_xlfn.XLOOKUP(Vendas[[#This Row],[ID Item Vendido]],Agregado[ID],Agregado[Produto])</f>
        <v>Barra de aço simples</v>
      </c>
      <c r="F2928" s="39">
        <v>45223</v>
      </c>
      <c r="G2928" s="7">
        <v>25</v>
      </c>
      <c r="H2928" s="3">
        <f>_xlfn.XLOOKUP(Vendas[[#This Row],[ID Item Vendido]],Agregado[ID],Agregado[Revenda])</f>
        <v>4.8</v>
      </c>
      <c r="I2928" s="3">
        <f>Vendas[[#This Row],[Valor Unitário]]*Vendas[[#This Row],[Qnt Vendida]]</f>
        <v>120</v>
      </c>
      <c r="J2928" s="3">
        <f>Vendas[[#This Row],[Valor da Venda]]-(_xlfn.XLOOKUP(Vendas[[#This Row],[ID Item Vendido]],Agregado[ID],Agregado[Custo])*Vendas[[#This Row],[Qnt Vendida]])</f>
        <v>15</v>
      </c>
      <c r="K2928" s="70">
        <f>Vendas[[#This Row],[Lucro da Venda]]/Vendas[[#This Row],[Valor da Venda]]</f>
        <v>0.125</v>
      </c>
      <c r="L2928" s="3">
        <f>_xlfn.IFS(Vendas[[#This Row],[Margem de Lucro (%)]]&lt;15%,Vendas[[#This Row],[Valor da Venda]]*3%,Vendas[[#This Row],[Margem de Lucro (%)]]&lt;=20%,Vendas[[#This Row],[Valor da Venda]]*4.5%,TRUE,Vendas[[#This Row],[Valor da Venda]]*6%)</f>
        <v>3.5999999999999996</v>
      </c>
      <c r="M2928"/>
    </row>
    <row r="2929" spans="1:13" x14ac:dyDescent="0.3">
      <c r="A2929" s="7">
        <v>400248</v>
      </c>
      <c r="B2929" t="str">
        <f>_xlfn.XLOOKUP(Vendas[[#This Row],[ID Vendedor]],Vendedores[ID],Vendedores[Nome])</f>
        <v>Patrícia</v>
      </c>
      <c r="C2929" s="7" t="str">
        <f>_xlfn.XLOOKUP(Vendas[[#This Row],[ID Vendedor]],Vendedores[ID],Vendedores[Setor])</f>
        <v>CM</v>
      </c>
      <c r="D2929" s="7" t="s">
        <v>45</v>
      </c>
      <c r="E2929" t="str">
        <f>_xlfn.XLOOKUP(Vendas[[#This Row],[ID Item Vendido]],Agregado[ID],Agregado[Produto])</f>
        <v>Viga de madeira tratada 4m</v>
      </c>
      <c r="F2929" s="39">
        <v>45225</v>
      </c>
      <c r="G2929" s="7">
        <v>7</v>
      </c>
      <c r="H2929" s="3">
        <f>_xlfn.XLOOKUP(Vendas[[#This Row],[ID Item Vendido]],Agregado[ID],Agregado[Revenda])</f>
        <v>66</v>
      </c>
      <c r="I2929" s="3">
        <f>Vendas[[#This Row],[Valor Unitário]]*Vendas[[#This Row],[Qnt Vendida]]</f>
        <v>462</v>
      </c>
      <c r="J2929" s="3">
        <f>Vendas[[#This Row],[Valor da Venda]]-(_xlfn.XLOOKUP(Vendas[[#This Row],[ID Item Vendido]],Agregado[ID],Agregado[Custo])*Vendas[[#This Row],[Qnt Vendida]])</f>
        <v>77</v>
      </c>
      <c r="K2929" s="70">
        <f>Vendas[[#This Row],[Lucro da Venda]]/Vendas[[#This Row],[Valor da Venda]]</f>
        <v>0.16666666666666666</v>
      </c>
      <c r="L2929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2929"/>
    </row>
    <row r="2930" spans="1:13" x14ac:dyDescent="0.3">
      <c r="A2930" s="7">
        <v>400254</v>
      </c>
      <c r="B2930" t="str">
        <f>_xlfn.XLOOKUP(Vendas[[#This Row],[ID Vendedor]],Vendedores[ID],Vendedores[Nome])</f>
        <v>Beatriz</v>
      </c>
      <c r="C2930" s="7" t="str">
        <f>_xlfn.XLOOKUP(Vendas[[#This Row],[ID Vendedor]],Vendedores[ID],Vendedores[Setor])</f>
        <v>SC</v>
      </c>
      <c r="D2930" s="7" t="s">
        <v>25</v>
      </c>
      <c r="E2930" t="str">
        <f>_xlfn.XLOOKUP(Vendas[[#This Row],[ID Item Vendido]],Agregado[ID],Agregado[Produto])</f>
        <v>Palete de plástico</v>
      </c>
      <c r="F2930" s="39">
        <v>45225</v>
      </c>
      <c r="G2930" s="7">
        <v>6</v>
      </c>
      <c r="H2930" s="3">
        <f>_xlfn.XLOOKUP(Vendas[[#This Row],[ID Item Vendido]],Agregado[ID],Agregado[Revenda])</f>
        <v>70.8</v>
      </c>
      <c r="I2930" s="3">
        <f>Vendas[[#This Row],[Valor Unitário]]*Vendas[[#This Row],[Qnt Vendida]]</f>
        <v>424.79999999999995</v>
      </c>
      <c r="J2930" s="3">
        <f>Vendas[[#This Row],[Valor da Venda]]-(_xlfn.XLOOKUP(Vendas[[#This Row],[ID Item Vendido]],Agregado[ID],Agregado[Custo])*Vendas[[#This Row],[Qnt Vendida]])</f>
        <v>64.799999999999955</v>
      </c>
      <c r="K2930" s="70">
        <f>Vendas[[#This Row],[Lucro da Venda]]/Vendas[[#This Row],[Valor da Venda]]</f>
        <v>0.15254237288135583</v>
      </c>
      <c r="L2930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2930"/>
    </row>
    <row r="2931" spans="1:13" x14ac:dyDescent="0.3">
      <c r="A2931" s="7">
        <v>400254</v>
      </c>
      <c r="B2931" t="str">
        <f>_xlfn.XLOOKUP(Vendas[[#This Row],[ID Vendedor]],Vendedores[ID],Vendedores[Nome])</f>
        <v>Beatriz</v>
      </c>
      <c r="C2931" s="7" t="str">
        <f>_xlfn.XLOOKUP(Vendas[[#This Row],[ID Vendedor]],Vendedores[ID],Vendedores[Setor])</f>
        <v>SC</v>
      </c>
      <c r="D2931" s="7" t="s">
        <v>48</v>
      </c>
      <c r="E2931" t="str">
        <f>_xlfn.XLOOKUP(Vendas[[#This Row],[ID Item Vendido]],Agregado[ID],Agregado[Produto])</f>
        <v>Tambor metálico 200L</v>
      </c>
      <c r="F2931" s="39">
        <v>45226</v>
      </c>
      <c r="G2931" s="7">
        <v>6</v>
      </c>
      <c r="H2931" s="3">
        <f>_xlfn.XLOOKUP(Vendas[[#This Row],[ID Item Vendido]],Agregado[ID],Agregado[Revenda])</f>
        <v>144</v>
      </c>
      <c r="I2931" s="3">
        <f>Vendas[[#This Row],[Valor Unitário]]*Vendas[[#This Row],[Qnt Vendida]]</f>
        <v>864</v>
      </c>
      <c r="J2931" s="3">
        <f>Vendas[[#This Row],[Valor da Venda]]-(_xlfn.XLOOKUP(Vendas[[#This Row],[ID Item Vendido]],Agregado[ID],Agregado[Custo])*Vendas[[#This Row],[Qnt Vendida]])</f>
        <v>144</v>
      </c>
      <c r="K2931" s="70">
        <f>Vendas[[#This Row],[Lucro da Venda]]/Vendas[[#This Row],[Valor da Venda]]</f>
        <v>0.16666666666666666</v>
      </c>
      <c r="L2931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2931"/>
    </row>
    <row r="2932" spans="1:13" x14ac:dyDescent="0.3">
      <c r="A2932" s="7">
        <v>400254</v>
      </c>
      <c r="B2932" t="str">
        <f>_xlfn.XLOOKUP(Vendas[[#This Row],[ID Vendedor]],Vendedores[ID],Vendedores[Nome])</f>
        <v>Beatriz</v>
      </c>
      <c r="C2932" s="7" t="str">
        <f>_xlfn.XLOOKUP(Vendas[[#This Row],[ID Vendedor]],Vendedores[ID],Vendedores[Setor])</f>
        <v>SC</v>
      </c>
      <c r="D2932" s="7" t="s">
        <v>41</v>
      </c>
      <c r="E2932" t="str">
        <f>_xlfn.XLOOKUP(Vendas[[#This Row],[ID Item Vendido]],Agregado[ID],Agregado[Produto])</f>
        <v>Palete de madeira reforçado</v>
      </c>
      <c r="F2932" s="39">
        <v>45226</v>
      </c>
      <c r="G2932" s="7">
        <v>3</v>
      </c>
      <c r="H2932" s="3">
        <f>_xlfn.XLOOKUP(Vendas[[#This Row],[ID Item Vendido]],Agregado[ID],Agregado[Revenda])</f>
        <v>131</v>
      </c>
      <c r="I2932" s="3">
        <f>Vendas[[#This Row],[Valor Unitário]]*Vendas[[#This Row],[Qnt Vendida]]</f>
        <v>393</v>
      </c>
      <c r="J2932" s="3">
        <f>Vendas[[#This Row],[Valor da Venda]]-(_xlfn.XLOOKUP(Vendas[[#This Row],[ID Item Vendido]],Agregado[ID],Agregado[Custo])*Vendas[[#This Row],[Qnt Vendida]])</f>
        <v>63</v>
      </c>
      <c r="K2932" s="70">
        <f>Vendas[[#This Row],[Lucro da Venda]]/Vendas[[#This Row],[Valor da Venda]]</f>
        <v>0.16030534351145037</v>
      </c>
      <c r="L2932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2932"/>
    </row>
    <row r="2933" spans="1:13" x14ac:dyDescent="0.3">
      <c r="A2933" s="7">
        <v>400241</v>
      </c>
      <c r="B2933" t="str">
        <f>_xlfn.XLOOKUP(Vendas[[#This Row],[ID Vendedor]],Vendedores[ID],Vendedores[Nome])</f>
        <v>Rodrigo</v>
      </c>
      <c r="C2933" s="7" t="str">
        <f>_xlfn.XLOOKUP(Vendas[[#This Row],[ID Vendedor]],Vendedores[ID],Vendedores[Setor])</f>
        <v>FM</v>
      </c>
      <c r="D2933" s="7" t="s">
        <v>6</v>
      </c>
      <c r="E2933" t="str">
        <f>_xlfn.XLOOKUP(Vendas[[#This Row],[ID Item Vendido]],Agregado[ID],Agregado[Produto])</f>
        <v>Parafuso comum 500un</v>
      </c>
      <c r="F2933" s="39">
        <v>45226</v>
      </c>
      <c r="G2933" s="7">
        <v>14</v>
      </c>
      <c r="H2933" s="3">
        <f>_xlfn.XLOOKUP(Vendas[[#This Row],[ID Item Vendido]],Agregado[ID],Agregado[Revenda])</f>
        <v>24.6</v>
      </c>
      <c r="I2933" s="3">
        <f>Vendas[[#This Row],[Valor Unitário]]*Vendas[[#This Row],[Qnt Vendida]]</f>
        <v>344.40000000000003</v>
      </c>
      <c r="J2933" s="3">
        <f>Vendas[[#This Row],[Valor da Venda]]-(_xlfn.XLOOKUP(Vendas[[#This Row],[ID Item Vendido]],Agregado[ID],Agregado[Custo])*Vendas[[#This Row],[Qnt Vendida]])</f>
        <v>36.400000000000034</v>
      </c>
      <c r="K2933" s="70">
        <f>Vendas[[#This Row],[Lucro da Venda]]/Vendas[[#This Row],[Valor da Venda]]</f>
        <v>0.10569105691056919</v>
      </c>
      <c r="L2933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2933"/>
    </row>
    <row r="2934" spans="1:13" x14ac:dyDescent="0.3">
      <c r="A2934" s="7">
        <v>400255</v>
      </c>
      <c r="B2934" t="str">
        <f>_xlfn.XLOOKUP(Vendas[[#This Row],[ID Vendedor]],Vendedores[ID],Vendedores[Nome])</f>
        <v>Carlos</v>
      </c>
      <c r="C2934" s="7" t="str">
        <f>_xlfn.XLOOKUP(Vendas[[#This Row],[ID Vendedor]],Vendedores[ID],Vendedores[Setor])</f>
        <v>SC</v>
      </c>
      <c r="D2934" s="7" t="s">
        <v>41</v>
      </c>
      <c r="E2934" t="str">
        <f>_xlfn.XLOOKUP(Vendas[[#This Row],[ID Item Vendido]],Agregado[ID],Agregado[Produto])</f>
        <v>Palete de madeira reforçado</v>
      </c>
      <c r="F2934" s="39">
        <v>45227</v>
      </c>
      <c r="G2934" s="7">
        <v>6</v>
      </c>
      <c r="H2934" s="3">
        <f>_xlfn.XLOOKUP(Vendas[[#This Row],[ID Item Vendido]],Agregado[ID],Agregado[Revenda])</f>
        <v>131</v>
      </c>
      <c r="I2934" s="3">
        <f>Vendas[[#This Row],[Valor Unitário]]*Vendas[[#This Row],[Qnt Vendida]]</f>
        <v>786</v>
      </c>
      <c r="J2934" s="3">
        <f>Vendas[[#This Row],[Valor da Venda]]-(_xlfn.XLOOKUP(Vendas[[#This Row],[ID Item Vendido]],Agregado[ID],Agregado[Custo])*Vendas[[#This Row],[Qnt Vendida]])</f>
        <v>126</v>
      </c>
      <c r="K2934" s="70">
        <f>Vendas[[#This Row],[Lucro da Venda]]/Vendas[[#This Row],[Valor da Venda]]</f>
        <v>0.16030534351145037</v>
      </c>
      <c r="L2934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2934"/>
    </row>
    <row r="2935" spans="1:13" x14ac:dyDescent="0.3">
      <c r="A2935" s="7">
        <v>400254</v>
      </c>
      <c r="B2935" t="str">
        <f>_xlfn.XLOOKUP(Vendas[[#This Row],[ID Vendedor]],Vendedores[ID],Vendedores[Nome])</f>
        <v>Beatriz</v>
      </c>
      <c r="C2935" s="7" t="str">
        <f>_xlfn.XLOOKUP(Vendas[[#This Row],[ID Vendedor]],Vendedores[ID],Vendedores[Setor])</f>
        <v>SC</v>
      </c>
      <c r="D2935" s="7" t="s">
        <v>25</v>
      </c>
      <c r="E2935" t="str">
        <f>_xlfn.XLOOKUP(Vendas[[#This Row],[ID Item Vendido]],Agregado[ID],Agregado[Produto])</f>
        <v>Palete de plástico</v>
      </c>
      <c r="F2935" s="39">
        <v>45227</v>
      </c>
      <c r="G2935" s="7">
        <v>1</v>
      </c>
      <c r="H2935" s="3">
        <f>_xlfn.XLOOKUP(Vendas[[#This Row],[ID Item Vendido]],Agregado[ID],Agregado[Revenda])</f>
        <v>70.8</v>
      </c>
      <c r="I2935" s="3">
        <f>Vendas[[#This Row],[Valor Unitário]]*Vendas[[#This Row],[Qnt Vendida]]</f>
        <v>70.8</v>
      </c>
      <c r="J2935" s="3">
        <f>Vendas[[#This Row],[Valor da Venda]]-(_xlfn.XLOOKUP(Vendas[[#This Row],[ID Item Vendido]],Agregado[ID],Agregado[Custo])*Vendas[[#This Row],[Qnt Vendida]])</f>
        <v>10.799999999999997</v>
      </c>
      <c r="K2935" s="70">
        <f>Vendas[[#This Row],[Lucro da Venda]]/Vendas[[#This Row],[Valor da Venda]]</f>
        <v>0.15254237288135589</v>
      </c>
      <c r="L2935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2935"/>
    </row>
    <row r="2936" spans="1:13" x14ac:dyDescent="0.3">
      <c r="A2936" s="7">
        <v>400247</v>
      </c>
      <c r="B2936" t="str">
        <f>_xlfn.XLOOKUP(Vendas[[#This Row],[ID Vendedor]],Vendedores[ID],Vendedores[Nome])</f>
        <v>André</v>
      </c>
      <c r="C2936" s="7" t="str">
        <f>_xlfn.XLOOKUP(Vendas[[#This Row],[ID Vendedor]],Vendedores[ID],Vendedores[Setor])</f>
        <v>CM</v>
      </c>
      <c r="D2936" s="7" t="s">
        <v>34</v>
      </c>
      <c r="E2936" t="str">
        <f>_xlfn.XLOOKUP(Vendas[[#This Row],[ID Item Vendido]],Agregado[ID],Agregado[Produto])</f>
        <v>Restos de madeira p/ MDP/OSB saco de 20kg</v>
      </c>
      <c r="F2936" s="39">
        <v>45228</v>
      </c>
      <c r="G2936" s="7">
        <v>29</v>
      </c>
      <c r="H2936" s="3">
        <f>_xlfn.XLOOKUP(Vendas[[#This Row],[ID Item Vendido]],Agregado[ID],Agregado[Revenda])</f>
        <v>13.8</v>
      </c>
      <c r="I2936" s="3">
        <f>Vendas[[#This Row],[Valor Unitário]]*Vendas[[#This Row],[Qnt Vendida]]</f>
        <v>400.20000000000005</v>
      </c>
      <c r="J2936" s="3">
        <f>Vendas[[#This Row],[Valor da Venda]]-(_xlfn.XLOOKUP(Vendas[[#This Row],[ID Item Vendido]],Agregado[ID],Agregado[Custo])*Vendas[[#This Row],[Qnt Vendida]])</f>
        <v>52.200000000000045</v>
      </c>
      <c r="K2936" s="70">
        <f>Vendas[[#This Row],[Lucro da Venda]]/Vendas[[#This Row],[Valor da Venda]]</f>
        <v>0.13043478260869576</v>
      </c>
      <c r="L2936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2936"/>
    </row>
    <row r="2937" spans="1:13" x14ac:dyDescent="0.3">
      <c r="A2937" s="7">
        <v>400246</v>
      </c>
      <c r="B2937" t="str">
        <f>_xlfn.XLOOKUP(Vendas[[#This Row],[ID Vendedor]],Vendedores[ID],Vendedores[Nome])</f>
        <v>Juliana</v>
      </c>
      <c r="C2937" s="7" t="str">
        <f>_xlfn.XLOOKUP(Vendas[[#This Row],[ID Vendedor]],Vendedores[ID],Vendedores[Setor])</f>
        <v>AHD</v>
      </c>
      <c r="D2937" s="7" t="s">
        <v>9</v>
      </c>
      <c r="E2937" t="str">
        <f>_xlfn.XLOOKUP(Vendas[[#This Row],[ID Item Vendido]],Agregado[ID],Agregado[Produto])</f>
        <v>Barra de aço simples</v>
      </c>
      <c r="F2937" s="39">
        <v>45229</v>
      </c>
      <c r="G2937" s="7">
        <v>122</v>
      </c>
      <c r="H2937" s="3">
        <f>_xlfn.XLOOKUP(Vendas[[#This Row],[ID Item Vendido]],Agregado[ID],Agregado[Revenda])</f>
        <v>6.7</v>
      </c>
      <c r="I2937" s="3">
        <f>Vendas[[#This Row],[Valor Unitário]]*Vendas[[#This Row],[Qnt Vendida]]</f>
        <v>817.4</v>
      </c>
      <c r="J2937" s="3">
        <f>Vendas[[#This Row],[Valor da Venda]]-(_xlfn.XLOOKUP(Vendas[[#This Row],[ID Item Vendido]],Agregado[ID],Agregado[Custo])*Vendas[[#This Row],[Qnt Vendida]])</f>
        <v>109.79999999999995</v>
      </c>
      <c r="K2937" s="70">
        <f>Vendas[[#This Row],[Lucro da Venda]]/Vendas[[#This Row],[Valor da Venda]]</f>
        <v>0.13432835820895517</v>
      </c>
      <c r="L2937" s="3">
        <f>_xlfn.IFS(Vendas[[#This Row],[Margem de Lucro (%)]]&lt;15%,Vendas[[#This Row],[Valor da Venda]]*3%,Vendas[[#This Row],[Margem de Lucro (%)]]&lt;=20%,Vendas[[#This Row],[Valor da Venda]]*4.5%,TRUE,Vendas[[#This Row],[Valor da Venda]]*6%)</f>
        <v>24.521999999999998</v>
      </c>
      <c r="M2937"/>
    </row>
    <row r="2938" spans="1:13" x14ac:dyDescent="0.3">
      <c r="A2938" s="7">
        <v>400249</v>
      </c>
      <c r="B2938" t="str">
        <f>_xlfn.XLOOKUP(Vendas[[#This Row],[ID Vendedor]],Vendedores[ID],Vendedores[Nome])</f>
        <v>Bruno</v>
      </c>
      <c r="C2938" s="7" t="str">
        <f>_xlfn.XLOOKUP(Vendas[[#This Row],[ID Vendedor]],Vendedores[ID],Vendedores[Setor])</f>
        <v>CM</v>
      </c>
      <c r="D2938" s="7" t="s">
        <v>43</v>
      </c>
      <c r="E2938" t="str">
        <f>_xlfn.XLOOKUP(Vendas[[#This Row],[ID Item Vendido]],Agregado[ID],Agregado[Produto])</f>
        <v>Madeira Bruta (Tora)</v>
      </c>
      <c r="F2938" s="39">
        <v>45230</v>
      </c>
      <c r="G2938" s="7">
        <v>8</v>
      </c>
      <c r="H2938" s="3">
        <f>_xlfn.XLOOKUP(Vendas[[#This Row],[ID Item Vendido]],Agregado[ID],Agregado[Revenda])</f>
        <v>212</v>
      </c>
      <c r="I2938" s="3">
        <f>Vendas[[#This Row],[Valor Unitário]]*Vendas[[#This Row],[Qnt Vendida]]</f>
        <v>1696</v>
      </c>
      <c r="J2938" s="3">
        <f>Vendas[[#This Row],[Valor da Venda]]-(_xlfn.XLOOKUP(Vendas[[#This Row],[ID Item Vendido]],Agregado[ID],Agregado[Custo])*Vendas[[#This Row],[Qnt Vendida]])</f>
        <v>256</v>
      </c>
      <c r="K2938" s="70">
        <f>Vendas[[#This Row],[Lucro da Venda]]/Vendas[[#This Row],[Valor da Venda]]</f>
        <v>0.15094339622641509</v>
      </c>
      <c r="L2938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2938"/>
    </row>
    <row r="2939" spans="1:13" x14ac:dyDescent="0.3">
      <c r="A2939" s="7">
        <v>400247</v>
      </c>
      <c r="B2939" t="str">
        <f>_xlfn.XLOOKUP(Vendas[[#This Row],[ID Vendedor]],Vendedores[ID],Vendedores[Nome])</f>
        <v>André</v>
      </c>
      <c r="C2939" s="7" t="str">
        <f>_xlfn.XLOOKUP(Vendas[[#This Row],[ID Vendedor]],Vendedores[ID],Vendedores[Setor])</f>
        <v>CM</v>
      </c>
      <c r="D2939" s="7" t="s">
        <v>32</v>
      </c>
      <c r="E2939" t="str">
        <f>_xlfn.XLOOKUP(Vendas[[#This Row],[ID Item Vendido]],Agregado[ID],Agregado[Produto])</f>
        <v>Tábua tratada e cortada 3m</v>
      </c>
      <c r="F2939" s="39">
        <v>45230</v>
      </c>
      <c r="G2939" s="7">
        <v>41</v>
      </c>
      <c r="H2939" s="3">
        <f>_xlfn.XLOOKUP(Vendas[[#This Row],[ID Item Vendido]],Agregado[ID],Agregado[Revenda])</f>
        <v>39</v>
      </c>
      <c r="I2939" s="3">
        <f>Vendas[[#This Row],[Valor Unitário]]*Vendas[[#This Row],[Qnt Vendida]]</f>
        <v>1599</v>
      </c>
      <c r="J2939" s="3">
        <f>Vendas[[#This Row],[Valor da Venda]]-(_xlfn.XLOOKUP(Vendas[[#This Row],[ID Item Vendido]],Agregado[ID],Agregado[Custo])*Vendas[[#This Row],[Qnt Vendida]])</f>
        <v>287</v>
      </c>
      <c r="K2939" s="70">
        <f>Vendas[[#This Row],[Lucro da Venda]]/Vendas[[#This Row],[Valor da Venda]]</f>
        <v>0.17948717948717949</v>
      </c>
      <c r="L2939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2939"/>
    </row>
    <row r="2940" spans="1:13" x14ac:dyDescent="0.3">
      <c r="A2940" s="7">
        <v>400254</v>
      </c>
      <c r="B2940" t="str">
        <f>_xlfn.XLOOKUP(Vendas[[#This Row],[ID Vendedor]],Vendedores[ID],Vendedores[Nome])</f>
        <v>Beatriz</v>
      </c>
      <c r="C2940" s="7" t="str">
        <f>_xlfn.XLOOKUP(Vendas[[#This Row],[ID Vendedor]],Vendedores[ID],Vendedores[Setor])</f>
        <v>SC</v>
      </c>
      <c r="D2940" s="7" t="s">
        <v>25</v>
      </c>
      <c r="E2940" t="str">
        <f>_xlfn.XLOOKUP(Vendas[[#This Row],[ID Item Vendido]],Agregado[ID],Agregado[Produto])</f>
        <v>Palete de plástico</v>
      </c>
      <c r="F2940" s="39">
        <v>45230</v>
      </c>
      <c r="G2940" s="7">
        <v>10</v>
      </c>
      <c r="H2940" s="3">
        <f>_xlfn.XLOOKUP(Vendas[[#This Row],[ID Item Vendido]],Agregado[ID],Agregado[Revenda])</f>
        <v>70.8</v>
      </c>
      <c r="I2940" s="3">
        <f>Vendas[[#This Row],[Valor Unitário]]*Vendas[[#This Row],[Qnt Vendida]]</f>
        <v>708</v>
      </c>
      <c r="J2940" s="3">
        <f>Vendas[[#This Row],[Valor da Venda]]-(_xlfn.XLOOKUP(Vendas[[#This Row],[ID Item Vendido]],Agregado[ID],Agregado[Custo])*Vendas[[#This Row],[Qnt Vendida]])</f>
        <v>108</v>
      </c>
      <c r="K2940" s="70">
        <f>Vendas[[#This Row],[Lucro da Venda]]/Vendas[[#This Row],[Valor da Venda]]</f>
        <v>0.15254237288135594</v>
      </c>
      <c r="L2940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2940"/>
    </row>
    <row r="2941" spans="1:13" x14ac:dyDescent="0.3">
      <c r="A2941" s="7">
        <v>400254</v>
      </c>
      <c r="B2941" t="str">
        <f>_xlfn.XLOOKUP(Vendas[[#This Row],[ID Vendedor]],Vendedores[ID],Vendedores[Nome])</f>
        <v>Beatriz</v>
      </c>
      <c r="C2941" s="7" t="str">
        <f>_xlfn.XLOOKUP(Vendas[[#This Row],[ID Vendedor]],Vendedores[ID],Vendedores[Setor])</f>
        <v>SC</v>
      </c>
      <c r="D2941" s="7" t="s">
        <v>42</v>
      </c>
      <c r="E2941" t="str">
        <f>_xlfn.XLOOKUP(Vendas[[#This Row],[ID Item Vendido]],Agregado[ID],Agregado[Produto])</f>
        <v>Container de ferro industrial</v>
      </c>
      <c r="F2941" s="39">
        <v>45231</v>
      </c>
      <c r="G2941" s="7">
        <v>5</v>
      </c>
      <c r="H2941" s="3">
        <f>_xlfn.XLOOKUP(Vendas[[#This Row],[ID Item Vendido]],Agregado[ID],Agregado[Revenda])</f>
        <v>830</v>
      </c>
      <c r="I2941" s="3">
        <f>Vendas[[#This Row],[Valor Unitário]]*Vendas[[#This Row],[Qnt Vendida]]</f>
        <v>4150</v>
      </c>
      <c r="J2941" s="3">
        <f>Vendas[[#This Row],[Valor da Venda]]-(_xlfn.XLOOKUP(Vendas[[#This Row],[ID Item Vendido]],Agregado[ID],Agregado[Custo])*Vendas[[#This Row],[Qnt Vendida]])</f>
        <v>750</v>
      </c>
      <c r="K2941" s="70">
        <f>Vendas[[#This Row],[Lucro da Venda]]/Vendas[[#This Row],[Valor da Venda]]</f>
        <v>0.18072289156626506</v>
      </c>
      <c r="L294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941"/>
    </row>
    <row r="2942" spans="1:13" x14ac:dyDescent="0.3">
      <c r="A2942" s="7">
        <v>400244</v>
      </c>
      <c r="B2942" t="str">
        <f>_xlfn.XLOOKUP(Vendas[[#This Row],[ID Vendedor]],Vendedores[ID],Vendedores[Nome])</f>
        <v>Camila</v>
      </c>
      <c r="C2942" s="7" t="str">
        <f>_xlfn.XLOOKUP(Vendas[[#This Row],[ID Vendedor]],Vendedores[ID],Vendedores[Setor])</f>
        <v>AHD</v>
      </c>
      <c r="D2942" s="7" t="s">
        <v>30</v>
      </c>
      <c r="E2942" t="str">
        <f>_xlfn.XLOOKUP(Vendas[[#This Row],[ID Item Vendido]],Agregado[ID],Agregado[Produto])</f>
        <v>Estrutura metálica soldada</v>
      </c>
      <c r="F2942" s="39">
        <v>45231</v>
      </c>
      <c r="G2942" s="7">
        <v>5</v>
      </c>
      <c r="H2942" s="3">
        <f>_xlfn.XLOOKUP(Vendas[[#This Row],[ID Item Vendido]],Agregado[ID],Agregado[Revenda])</f>
        <v>400</v>
      </c>
      <c r="I2942" s="3">
        <f>Vendas[[#This Row],[Valor Unitário]]*Vendas[[#This Row],[Qnt Vendida]]</f>
        <v>2000</v>
      </c>
      <c r="J2942" s="3">
        <f>Vendas[[#This Row],[Valor da Venda]]-(_xlfn.XLOOKUP(Vendas[[#This Row],[ID Item Vendido]],Agregado[ID],Agregado[Custo])*Vendas[[#This Row],[Qnt Vendida]])</f>
        <v>400</v>
      </c>
      <c r="K2942" s="70">
        <f>Vendas[[#This Row],[Lucro da Venda]]/Vendas[[#This Row],[Valor da Venda]]</f>
        <v>0.2</v>
      </c>
      <c r="L2942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2942"/>
    </row>
    <row r="2943" spans="1:13" x14ac:dyDescent="0.3">
      <c r="A2943" s="7">
        <v>400253</v>
      </c>
      <c r="B2943" t="str">
        <f>_xlfn.XLOOKUP(Vendas[[#This Row],[ID Vendedor]],Vendedores[ID],Vendedores[Nome])</f>
        <v>Gustavo</v>
      </c>
      <c r="C2943" s="7" t="str">
        <f>_xlfn.XLOOKUP(Vendas[[#This Row],[ID Vendedor]],Vendedores[ID],Vendedores[Setor])</f>
        <v>SC</v>
      </c>
      <c r="D2943" s="7" t="s">
        <v>14</v>
      </c>
      <c r="E2943" t="str">
        <f>_xlfn.XLOOKUP(Vendas[[#This Row],[ID Item Vendido]],Agregado[ID],Agregado[Produto])</f>
        <v>Barril de plástico 200L</v>
      </c>
      <c r="F2943" s="39">
        <v>45231</v>
      </c>
      <c r="G2943" s="7">
        <v>8</v>
      </c>
      <c r="H2943" s="3">
        <f>_xlfn.XLOOKUP(Vendas[[#This Row],[ID Item Vendido]],Agregado[ID],Agregado[Revenda])</f>
        <v>114</v>
      </c>
      <c r="I2943" s="3">
        <f>Vendas[[#This Row],[Valor Unitário]]*Vendas[[#This Row],[Qnt Vendida]]</f>
        <v>912</v>
      </c>
      <c r="J2943" s="3">
        <f>Vendas[[#This Row],[Valor da Venda]]-(_xlfn.XLOOKUP(Vendas[[#This Row],[ID Item Vendido]],Agregado[ID],Agregado[Custo])*Vendas[[#This Row],[Qnt Vendida]])</f>
        <v>152</v>
      </c>
      <c r="K2943" s="70">
        <f>Vendas[[#This Row],[Lucro da Venda]]/Vendas[[#This Row],[Valor da Venda]]</f>
        <v>0.16666666666666666</v>
      </c>
      <c r="L2943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2943"/>
    </row>
    <row r="2944" spans="1:13" x14ac:dyDescent="0.3">
      <c r="A2944" s="7">
        <v>400242</v>
      </c>
      <c r="B2944" t="str">
        <f>_xlfn.XLOOKUP(Vendas[[#This Row],[ID Vendedor]],Vendedores[ID],Vendedores[Nome])</f>
        <v>Fernanda</v>
      </c>
      <c r="C2944" s="7" t="str">
        <f>_xlfn.XLOOKUP(Vendas[[#This Row],[ID Vendedor]],Vendedores[ID],Vendedores[Setor])</f>
        <v>FM</v>
      </c>
      <c r="D2944" s="7" t="s">
        <v>6</v>
      </c>
      <c r="E2944" t="str">
        <f>_xlfn.XLOOKUP(Vendas[[#This Row],[ID Item Vendido]],Agregado[ID],Agregado[Produto])</f>
        <v>Parafuso comum 500un</v>
      </c>
      <c r="F2944" s="39">
        <v>45231</v>
      </c>
      <c r="G2944" s="7">
        <v>21</v>
      </c>
      <c r="H2944" s="3">
        <f>_xlfn.XLOOKUP(Vendas[[#This Row],[ID Item Vendido]],Agregado[ID],Agregado[Revenda])</f>
        <v>24.6</v>
      </c>
      <c r="I2944" s="3">
        <f>Vendas[[#This Row],[Valor Unitário]]*Vendas[[#This Row],[Qnt Vendida]]</f>
        <v>516.6</v>
      </c>
      <c r="J2944" s="3">
        <f>Vendas[[#This Row],[Valor da Venda]]-(_xlfn.XLOOKUP(Vendas[[#This Row],[ID Item Vendido]],Agregado[ID],Agregado[Custo])*Vendas[[#This Row],[Qnt Vendida]])</f>
        <v>54.600000000000023</v>
      </c>
      <c r="K2944" s="70">
        <f>Vendas[[#This Row],[Lucro da Venda]]/Vendas[[#This Row],[Valor da Venda]]</f>
        <v>0.10569105691056914</v>
      </c>
      <c r="L2944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2944"/>
    </row>
    <row r="2945" spans="1:13" x14ac:dyDescent="0.3">
      <c r="A2945" s="7">
        <v>400245</v>
      </c>
      <c r="B2945" t="str">
        <f>_xlfn.XLOOKUP(Vendas[[#This Row],[ID Vendedor]],Vendedores[ID],Vendedores[Nome])</f>
        <v>Thiago</v>
      </c>
      <c r="C2945" s="7" t="str">
        <f>_xlfn.XLOOKUP(Vendas[[#This Row],[ID Vendedor]],Vendedores[ID],Vendedores[Setor])</f>
        <v>AHD</v>
      </c>
      <c r="D2945" s="7" t="s">
        <v>30</v>
      </c>
      <c r="E2945" t="str">
        <f>_xlfn.XLOOKUP(Vendas[[#This Row],[ID Item Vendido]],Agregado[ID],Agregado[Produto])</f>
        <v>Estrutura metálica soldada</v>
      </c>
      <c r="F2945" s="39">
        <v>45232</v>
      </c>
      <c r="G2945" s="7">
        <v>7</v>
      </c>
      <c r="H2945" s="3">
        <f>_xlfn.XLOOKUP(Vendas[[#This Row],[ID Item Vendido]],Agregado[ID],Agregado[Revenda])</f>
        <v>400</v>
      </c>
      <c r="I2945" s="3">
        <f>Vendas[[#This Row],[Valor Unitário]]*Vendas[[#This Row],[Qnt Vendida]]</f>
        <v>2800</v>
      </c>
      <c r="J2945" s="3">
        <f>Vendas[[#This Row],[Valor da Venda]]-(_xlfn.XLOOKUP(Vendas[[#This Row],[ID Item Vendido]],Agregado[ID],Agregado[Custo])*Vendas[[#This Row],[Qnt Vendida]])</f>
        <v>560</v>
      </c>
      <c r="K2945" s="70">
        <f>Vendas[[#This Row],[Lucro da Venda]]/Vendas[[#This Row],[Valor da Venda]]</f>
        <v>0.2</v>
      </c>
      <c r="L2945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2945"/>
    </row>
    <row r="2946" spans="1:13" x14ac:dyDescent="0.3">
      <c r="A2946" s="7">
        <v>400251</v>
      </c>
      <c r="B2946" t="str">
        <f>_xlfn.XLOOKUP(Vendas[[#This Row],[ID Vendedor]],Vendedores[ID],Vendedores[Nome])</f>
        <v>Diego</v>
      </c>
      <c r="C2946" s="7" t="str">
        <f>_xlfn.XLOOKUP(Vendas[[#This Row],[ID Vendedor]],Vendedores[ID],Vendedores[Setor])</f>
        <v>AB</v>
      </c>
      <c r="D2946" s="7" t="s">
        <v>24</v>
      </c>
      <c r="E2946" t="str">
        <f>_xlfn.XLOOKUP(Vendas[[#This Row],[ID Item Vendido]],Agregado[ID],Agregado[Produto])</f>
        <v>Resina plástica PET purificada saco de 25kg</v>
      </c>
      <c r="F2946" s="39">
        <v>45232</v>
      </c>
      <c r="G2946" s="7">
        <v>21</v>
      </c>
      <c r="H2946" s="3">
        <f>_xlfn.XLOOKUP(Vendas[[#This Row],[ID Item Vendido]],Agregado[ID],Agregado[Revenda])</f>
        <v>119</v>
      </c>
      <c r="I2946" s="3">
        <f>Vendas[[#This Row],[Valor Unitário]]*Vendas[[#This Row],[Qnt Vendida]]</f>
        <v>2499</v>
      </c>
      <c r="J2946" s="3">
        <f>Vendas[[#This Row],[Valor da Venda]]-(_xlfn.XLOOKUP(Vendas[[#This Row],[ID Item Vendido]],Agregado[ID],Agregado[Custo])*Vendas[[#This Row],[Qnt Vendida]])</f>
        <v>714</v>
      </c>
      <c r="K2946" s="70">
        <f>Vendas[[#This Row],[Lucro da Venda]]/Vendas[[#This Row],[Valor da Venda]]</f>
        <v>0.2857142857142857</v>
      </c>
      <c r="L2946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2946"/>
    </row>
    <row r="2947" spans="1:13" x14ac:dyDescent="0.3">
      <c r="A2947" s="7">
        <v>400249</v>
      </c>
      <c r="B2947" t="str">
        <f>_xlfn.XLOOKUP(Vendas[[#This Row],[ID Vendedor]],Vendedores[ID],Vendedores[Nome])</f>
        <v>Bruno</v>
      </c>
      <c r="C2947" s="7" t="str">
        <f>_xlfn.XLOOKUP(Vendas[[#This Row],[ID Vendedor]],Vendedores[ID],Vendedores[Setor])</f>
        <v>CM</v>
      </c>
      <c r="D2947" s="7" t="s">
        <v>45</v>
      </c>
      <c r="E2947" t="str">
        <f>_xlfn.XLOOKUP(Vendas[[#This Row],[ID Item Vendido]],Agregado[ID],Agregado[Produto])</f>
        <v>Viga de madeira tratada 4m</v>
      </c>
      <c r="F2947" s="39">
        <v>45232</v>
      </c>
      <c r="G2947" s="7">
        <v>4</v>
      </c>
      <c r="H2947" s="3">
        <f>_xlfn.XLOOKUP(Vendas[[#This Row],[ID Item Vendido]],Agregado[ID],Agregado[Revenda])</f>
        <v>66</v>
      </c>
      <c r="I2947" s="3">
        <f>Vendas[[#This Row],[Valor Unitário]]*Vendas[[#This Row],[Qnt Vendida]]</f>
        <v>264</v>
      </c>
      <c r="J2947" s="3">
        <f>Vendas[[#This Row],[Valor da Venda]]-(_xlfn.XLOOKUP(Vendas[[#This Row],[ID Item Vendido]],Agregado[ID],Agregado[Custo])*Vendas[[#This Row],[Qnt Vendida]])</f>
        <v>44</v>
      </c>
      <c r="K2947" s="70">
        <f>Vendas[[#This Row],[Lucro da Venda]]/Vendas[[#This Row],[Valor da Venda]]</f>
        <v>0.16666666666666666</v>
      </c>
      <c r="L2947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2947"/>
    </row>
    <row r="2948" spans="1:13" x14ac:dyDescent="0.3">
      <c r="A2948" s="7">
        <v>400246</v>
      </c>
      <c r="B2948" t="str">
        <f>_xlfn.XLOOKUP(Vendas[[#This Row],[ID Vendedor]],Vendedores[ID],Vendedores[Nome])</f>
        <v>Juliana</v>
      </c>
      <c r="C2948" s="7" t="str">
        <f>_xlfn.XLOOKUP(Vendas[[#This Row],[ID Vendedor]],Vendedores[ID],Vendedores[Setor])</f>
        <v>AHD</v>
      </c>
      <c r="D2948" s="7" t="s">
        <v>44</v>
      </c>
      <c r="E2948" t="str">
        <f>_xlfn.XLOOKUP(Vendas[[#This Row],[ID Item Vendido]],Agregado[ID],Agregado[Produto])</f>
        <v>Liga metálica especial</v>
      </c>
      <c r="F2948" s="39">
        <v>45232</v>
      </c>
      <c r="G2948" s="7">
        <v>5</v>
      </c>
      <c r="H2948" s="3">
        <f>_xlfn.XLOOKUP(Vendas[[#This Row],[ID Item Vendido]],Agregado[ID],Agregado[Revenda])</f>
        <v>32.5</v>
      </c>
      <c r="I2948" s="3">
        <f>Vendas[[#This Row],[Valor Unitário]]*Vendas[[#This Row],[Qnt Vendida]]</f>
        <v>162.5</v>
      </c>
      <c r="J2948" s="3">
        <f>Vendas[[#This Row],[Valor da Venda]]-(_xlfn.XLOOKUP(Vendas[[#This Row],[ID Item Vendido]],Agregado[ID],Agregado[Custo])*Vendas[[#This Row],[Qnt Vendida]])</f>
        <v>37.5</v>
      </c>
      <c r="K2948" s="70">
        <f>Vendas[[#This Row],[Lucro da Venda]]/Vendas[[#This Row],[Valor da Venda]]</f>
        <v>0.23076923076923078</v>
      </c>
      <c r="L2948" s="3">
        <f>_xlfn.IFS(Vendas[[#This Row],[Margem de Lucro (%)]]&lt;15%,Vendas[[#This Row],[Valor da Venda]]*3%,Vendas[[#This Row],[Margem de Lucro (%)]]&lt;=20%,Vendas[[#This Row],[Valor da Venda]]*4.5%,TRUE,Vendas[[#This Row],[Valor da Venda]]*6%)</f>
        <v>9.75</v>
      </c>
      <c r="M2948"/>
    </row>
    <row r="2949" spans="1:13" x14ac:dyDescent="0.3">
      <c r="A2949" s="7">
        <v>400250</v>
      </c>
      <c r="B2949" t="str">
        <f>_xlfn.XLOOKUP(Vendas[[#This Row],[ID Vendedor]],Vendedores[ID],Vendedores[Nome])</f>
        <v>Larissa</v>
      </c>
      <c r="C2949" s="7" t="str">
        <f>_xlfn.XLOOKUP(Vendas[[#This Row],[ID Vendedor]],Vendedores[ID],Vendedores[Setor])</f>
        <v>AB</v>
      </c>
      <c r="D2949" s="7" t="s">
        <v>12</v>
      </c>
      <c r="E2949" t="str">
        <f>_xlfn.XLOOKUP(Vendas[[#This Row],[ID Item Vendido]],Agregado[ID],Agregado[Produto])</f>
        <v>Grânulo de plástico reciclado refinado</v>
      </c>
      <c r="F2949" s="39">
        <v>45233</v>
      </c>
      <c r="G2949" s="7">
        <v>54</v>
      </c>
      <c r="H2949" s="3">
        <f>_xlfn.XLOOKUP(Vendas[[#This Row],[ID Item Vendido]],Agregado[ID],Agregado[Revenda])</f>
        <v>4.7</v>
      </c>
      <c r="I2949" s="3">
        <f>Vendas[[#This Row],[Valor Unitário]]*Vendas[[#This Row],[Qnt Vendida]]</f>
        <v>253.8</v>
      </c>
      <c r="J2949" s="3">
        <f>Vendas[[#This Row],[Valor da Venda]]-(_xlfn.XLOOKUP(Vendas[[#This Row],[ID Item Vendido]],Agregado[ID],Agregado[Custo])*Vendas[[#This Row],[Qnt Vendida]])</f>
        <v>64.800000000000011</v>
      </c>
      <c r="K2949" s="70">
        <f>Vendas[[#This Row],[Lucro da Venda]]/Vendas[[#This Row],[Valor da Venda]]</f>
        <v>0.25531914893617025</v>
      </c>
      <c r="L2949" s="3">
        <f>_xlfn.IFS(Vendas[[#This Row],[Margem de Lucro (%)]]&lt;15%,Vendas[[#This Row],[Valor da Venda]]*3%,Vendas[[#This Row],[Margem de Lucro (%)]]&lt;=20%,Vendas[[#This Row],[Valor da Venda]]*4.5%,TRUE,Vendas[[#This Row],[Valor da Venda]]*6%)</f>
        <v>15.228</v>
      </c>
      <c r="M2949"/>
    </row>
    <row r="2950" spans="1:13" x14ac:dyDescent="0.3">
      <c r="A2950" s="7">
        <v>400243</v>
      </c>
      <c r="B2950" t="str">
        <f>_xlfn.XLOOKUP(Vendas[[#This Row],[ID Vendedor]],Vendedores[ID],Vendedores[Nome])</f>
        <v>Marcelo</v>
      </c>
      <c r="C2950" s="7" t="str">
        <f>_xlfn.XLOOKUP(Vendas[[#This Row],[ID Vendedor]],Vendedores[ID],Vendedores[Setor])</f>
        <v>FM</v>
      </c>
      <c r="D2950" s="7" t="s">
        <v>20</v>
      </c>
      <c r="E2950" t="str">
        <f>_xlfn.XLOOKUP(Vendas[[#This Row],[ID Item Vendido]],Agregado[ID],Agregado[Produto])</f>
        <v>Barra de aço simples</v>
      </c>
      <c r="F2950" s="39">
        <v>45233</v>
      </c>
      <c r="G2950" s="7">
        <v>29</v>
      </c>
      <c r="H2950" s="3">
        <f>_xlfn.XLOOKUP(Vendas[[#This Row],[ID Item Vendido]],Agregado[ID],Agregado[Revenda])</f>
        <v>4.8</v>
      </c>
      <c r="I2950" s="3">
        <f>Vendas[[#This Row],[Valor Unitário]]*Vendas[[#This Row],[Qnt Vendida]]</f>
        <v>139.19999999999999</v>
      </c>
      <c r="J2950" s="3">
        <f>Vendas[[#This Row],[Valor da Venda]]-(_xlfn.XLOOKUP(Vendas[[#This Row],[ID Item Vendido]],Agregado[ID],Agregado[Custo])*Vendas[[#This Row],[Qnt Vendida]])</f>
        <v>17.399999999999977</v>
      </c>
      <c r="K2950" s="70">
        <f>Vendas[[#This Row],[Lucro da Venda]]/Vendas[[#This Row],[Valor da Venda]]</f>
        <v>0.12499999999999985</v>
      </c>
      <c r="L2950" s="3">
        <f>_xlfn.IFS(Vendas[[#This Row],[Margem de Lucro (%)]]&lt;15%,Vendas[[#This Row],[Valor da Venda]]*3%,Vendas[[#This Row],[Margem de Lucro (%)]]&lt;=20%,Vendas[[#This Row],[Valor da Venda]]*4.5%,TRUE,Vendas[[#This Row],[Valor da Venda]]*6%)</f>
        <v>4.1759999999999993</v>
      </c>
      <c r="M2950"/>
    </row>
    <row r="2951" spans="1:13" x14ac:dyDescent="0.3">
      <c r="A2951" s="7">
        <v>400251</v>
      </c>
      <c r="B2951" t="str">
        <f>_xlfn.XLOOKUP(Vendas[[#This Row],[ID Vendedor]],Vendedores[ID],Vendedores[Nome])</f>
        <v>Diego</v>
      </c>
      <c r="C2951" s="7" t="str">
        <f>_xlfn.XLOOKUP(Vendas[[#This Row],[ID Vendedor]],Vendedores[ID],Vendedores[Setor])</f>
        <v>AB</v>
      </c>
      <c r="D2951" s="7" t="s">
        <v>12</v>
      </c>
      <c r="E2951" t="str">
        <f>_xlfn.XLOOKUP(Vendas[[#This Row],[ID Item Vendido]],Agregado[ID],Agregado[Produto])</f>
        <v>Grânulo de plástico reciclado refinado</v>
      </c>
      <c r="F2951" s="39">
        <v>45233</v>
      </c>
      <c r="G2951" s="7">
        <v>19</v>
      </c>
      <c r="H2951" s="3">
        <f>_xlfn.XLOOKUP(Vendas[[#This Row],[ID Item Vendido]],Agregado[ID],Agregado[Revenda])</f>
        <v>4.7</v>
      </c>
      <c r="I2951" s="3">
        <f>Vendas[[#This Row],[Valor Unitário]]*Vendas[[#This Row],[Qnt Vendida]]</f>
        <v>89.3</v>
      </c>
      <c r="J2951" s="3">
        <f>Vendas[[#This Row],[Valor da Venda]]-(_xlfn.XLOOKUP(Vendas[[#This Row],[ID Item Vendido]],Agregado[ID],Agregado[Custo])*Vendas[[#This Row],[Qnt Vendida]])</f>
        <v>22.799999999999997</v>
      </c>
      <c r="K2951" s="70">
        <f>Vendas[[#This Row],[Lucro da Venda]]/Vendas[[#This Row],[Valor da Venda]]</f>
        <v>0.25531914893617019</v>
      </c>
      <c r="L2951" s="3">
        <f>_xlfn.IFS(Vendas[[#This Row],[Margem de Lucro (%)]]&lt;15%,Vendas[[#This Row],[Valor da Venda]]*3%,Vendas[[#This Row],[Margem de Lucro (%)]]&lt;=20%,Vendas[[#This Row],[Valor da Venda]]*4.5%,TRUE,Vendas[[#This Row],[Valor da Venda]]*6%)</f>
        <v>5.3579999999999997</v>
      </c>
      <c r="M2951"/>
    </row>
    <row r="2952" spans="1:13" x14ac:dyDescent="0.3">
      <c r="A2952" s="7">
        <v>400248</v>
      </c>
      <c r="B2952" t="str">
        <f>_xlfn.XLOOKUP(Vendas[[#This Row],[ID Vendedor]],Vendedores[ID],Vendedores[Nome])</f>
        <v>Patrícia</v>
      </c>
      <c r="C2952" s="7" t="str">
        <f>_xlfn.XLOOKUP(Vendas[[#This Row],[ID Vendedor]],Vendedores[ID],Vendedores[Setor])</f>
        <v>CM</v>
      </c>
      <c r="D2952" s="7" t="s">
        <v>32</v>
      </c>
      <c r="E2952" t="str">
        <f>_xlfn.XLOOKUP(Vendas[[#This Row],[ID Item Vendido]],Agregado[ID],Agregado[Produto])</f>
        <v>Tábua tratada e cortada 3m</v>
      </c>
      <c r="F2952" s="39">
        <v>45235</v>
      </c>
      <c r="G2952" s="7">
        <v>33</v>
      </c>
      <c r="H2952" s="3">
        <f>_xlfn.XLOOKUP(Vendas[[#This Row],[ID Item Vendido]],Agregado[ID],Agregado[Revenda])</f>
        <v>39</v>
      </c>
      <c r="I2952" s="3">
        <f>Vendas[[#This Row],[Valor Unitário]]*Vendas[[#This Row],[Qnt Vendida]]</f>
        <v>1287</v>
      </c>
      <c r="J2952" s="3">
        <f>Vendas[[#This Row],[Valor da Venda]]-(_xlfn.XLOOKUP(Vendas[[#This Row],[ID Item Vendido]],Agregado[ID],Agregado[Custo])*Vendas[[#This Row],[Qnt Vendida]])</f>
        <v>231</v>
      </c>
      <c r="K2952" s="70">
        <f>Vendas[[#This Row],[Lucro da Venda]]/Vendas[[#This Row],[Valor da Venda]]</f>
        <v>0.17948717948717949</v>
      </c>
      <c r="L2952" s="3">
        <f>_xlfn.IFS(Vendas[[#This Row],[Margem de Lucro (%)]]&lt;15%,Vendas[[#This Row],[Valor da Venda]]*3%,Vendas[[#This Row],[Margem de Lucro (%)]]&lt;=20%,Vendas[[#This Row],[Valor da Venda]]*4.5%,TRUE,Vendas[[#This Row],[Valor da Venda]]*6%)</f>
        <v>57.914999999999999</v>
      </c>
      <c r="M2952"/>
    </row>
    <row r="2953" spans="1:13" x14ac:dyDescent="0.3">
      <c r="A2953" s="7">
        <v>400244</v>
      </c>
      <c r="B2953" t="str">
        <f>_xlfn.XLOOKUP(Vendas[[#This Row],[ID Vendedor]],Vendedores[ID],Vendedores[Nome])</f>
        <v>Camila</v>
      </c>
      <c r="C2953" s="7" t="str">
        <f>_xlfn.XLOOKUP(Vendas[[#This Row],[ID Vendedor]],Vendedores[ID],Vendedores[Setor])</f>
        <v>AHD</v>
      </c>
      <c r="D2953" s="7" t="s">
        <v>18</v>
      </c>
      <c r="E2953" t="str">
        <f>_xlfn.XLOOKUP(Vendas[[#This Row],[ID Item Vendido]],Agregado[ID],Agregado[Produto])</f>
        <v>Peça forjada sob encomenda</v>
      </c>
      <c r="F2953" s="39">
        <v>45235</v>
      </c>
      <c r="G2953" s="7">
        <v>3</v>
      </c>
      <c r="H2953" s="3">
        <f>_xlfn.XLOOKUP(Vendas[[#This Row],[ID Item Vendido]],Agregado[ID],Agregado[Revenda])</f>
        <v>264.60000000000002</v>
      </c>
      <c r="I2953" s="3">
        <f>Vendas[[#This Row],[Valor Unitário]]*Vendas[[#This Row],[Qnt Vendida]]</f>
        <v>793.80000000000007</v>
      </c>
      <c r="J2953" s="3">
        <f>Vendas[[#This Row],[Valor da Venda]]-(_xlfn.XLOOKUP(Vendas[[#This Row],[ID Item Vendido]],Agregado[ID],Agregado[Custo])*Vendas[[#This Row],[Qnt Vendida]])</f>
        <v>43.800000000000068</v>
      </c>
      <c r="K2953" s="70">
        <f>Vendas[[#This Row],[Lucro da Venda]]/Vendas[[#This Row],[Valor da Venda]]</f>
        <v>5.5177626606198113E-2</v>
      </c>
      <c r="L2953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2953"/>
    </row>
    <row r="2954" spans="1:13" x14ac:dyDescent="0.3">
      <c r="A2954" s="7">
        <v>400246</v>
      </c>
      <c r="B2954" t="str">
        <f>_xlfn.XLOOKUP(Vendas[[#This Row],[ID Vendedor]],Vendedores[ID],Vendedores[Nome])</f>
        <v>Juliana</v>
      </c>
      <c r="C2954" s="7" t="str">
        <f>_xlfn.XLOOKUP(Vendas[[#This Row],[ID Vendedor]],Vendedores[ID],Vendedores[Setor])</f>
        <v>AHD</v>
      </c>
      <c r="D2954" s="7" t="s">
        <v>9</v>
      </c>
      <c r="E2954" t="str">
        <f>_xlfn.XLOOKUP(Vendas[[#This Row],[ID Item Vendido]],Agregado[ID],Agregado[Produto])</f>
        <v>Barra de aço simples</v>
      </c>
      <c r="F2954" s="39">
        <v>45235</v>
      </c>
      <c r="G2954" s="7">
        <v>132</v>
      </c>
      <c r="H2954" s="3">
        <f>_xlfn.XLOOKUP(Vendas[[#This Row],[ID Item Vendido]],Agregado[ID],Agregado[Revenda])</f>
        <v>6.7</v>
      </c>
      <c r="I2954" s="3">
        <f>Vendas[[#This Row],[Valor Unitário]]*Vendas[[#This Row],[Qnt Vendida]]</f>
        <v>884.4</v>
      </c>
      <c r="J2954" s="3">
        <f>Vendas[[#This Row],[Valor da Venda]]-(_xlfn.XLOOKUP(Vendas[[#This Row],[ID Item Vendido]],Agregado[ID],Agregado[Custo])*Vendas[[#This Row],[Qnt Vendida]])</f>
        <v>118.79999999999995</v>
      </c>
      <c r="K2954" s="70">
        <f>Vendas[[#This Row],[Lucro da Venda]]/Vendas[[#This Row],[Valor da Venda]]</f>
        <v>0.13432835820895517</v>
      </c>
      <c r="L2954" s="3">
        <f>_xlfn.IFS(Vendas[[#This Row],[Margem de Lucro (%)]]&lt;15%,Vendas[[#This Row],[Valor da Venda]]*3%,Vendas[[#This Row],[Margem de Lucro (%)]]&lt;=20%,Vendas[[#This Row],[Valor da Venda]]*4.5%,TRUE,Vendas[[#This Row],[Valor da Venda]]*6%)</f>
        <v>26.532</v>
      </c>
      <c r="M2954"/>
    </row>
    <row r="2955" spans="1:13" x14ac:dyDescent="0.3">
      <c r="A2955" s="7">
        <v>400241</v>
      </c>
      <c r="B2955" t="str">
        <f>_xlfn.XLOOKUP(Vendas[[#This Row],[ID Vendedor]],Vendedores[ID],Vendedores[Nome])</f>
        <v>Rodrigo</v>
      </c>
      <c r="C2955" s="7" t="str">
        <f>_xlfn.XLOOKUP(Vendas[[#This Row],[ID Vendedor]],Vendedores[ID],Vendedores[Setor])</f>
        <v>FM</v>
      </c>
      <c r="D2955" s="7" t="s">
        <v>20</v>
      </c>
      <c r="E2955" t="str">
        <f>_xlfn.XLOOKUP(Vendas[[#This Row],[ID Item Vendido]],Agregado[ID],Agregado[Produto])</f>
        <v>Barra de aço simples</v>
      </c>
      <c r="F2955" s="39">
        <v>45235</v>
      </c>
      <c r="G2955" s="7">
        <v>172</v>
      </c>
      <c r="H2955" s="3">
        <f>_xlfn.XLOOKUP(Vendas[[#This Row],[ID Item Vendido]],Agregado[ID],Agregado[Revenda])</f>
        <v>4.8</v>
      </c>
      <c r="I2955" s="3">
        <f>Vendas[[#This Row],[Valor Unitário]]*Vendas[[#This Row],[Qnt Vendida]]</f>
        <v>825.6</v>
      </c>
      <c r="J2955" s="3">
        <f>Vendas[[#This Row],[Valor da Venda]]-(_xlfn.XLOOKUP(Vendas[[#This Row],[ID Item Vendido]],Agregado[ID],Agregado[Custo])*Vendas[[#This Row],[Qnt Vendida]])</f>
        <v>103.20000000000005</v>
      </c>
      <c r="K2955" s="70">
        <f>Vendas[[#This Row],[Lucro da Venda]]/Vendas[[#This Row],[Valor da Venda]]</f>
        <v>0.12500000000000006</v>
      </c>
      <c r="L2955" s="3">
        <f>_xlfn.IFS(Vendas[[#This Row],[Margem de Lucro (%)]]&lt;15%,Vendas[[#This Row],[Valor da Venda]]*3%,Vendas[[#This Row],[Margem de Lucro (%)]]&lt;=20%,Vendas[[#This Row],[Valor da Venda]]*4.5%,TRUE,Vendas[[#This Row],[Valor da Venda]]*6%)</f>
        <v>24.768000000000001</v>
      </c>
      <c r="M2955"/>
    </row>
    <row r="2956" spans="1:13" x14ac:dyDescent="0.3">
      <c r="A2956" s="7">
        <v>400246</v>
      </c>
      <c r="B2956" t="str">
        <f>_xlfn.XLOOKUP(Vendas[[#This Row],[ID Vendedor]],Vendedores[ID],Vendedores[Nome])</f>
        <v>Juliana</v>
      </c>
      <c r="C2956" s="7" t="str">
        <f>_xlfn.XLOOKUP(Vendas[[#This Row],[ID Vendedor]],Vendedores[ID],Vendedores[Setor])</f>
        <v>AHD</v>
      </c>
      <c r="D2956" s="7" t="s">
        <v>9</v>
      </c>
      <c r="E2956" t="str">
        <f>_xlfn.XLOOKUP(Vendas[[#This Row],[ID Item Vendido]],Agregado[ID],Agregado[Produto])</f>
        <v>Barra de aço simples</v>
      </c>
      <c r="F2956" s="39">
        <v>45235</v>
      </c>
      <c r="G2956" s="7">
        <v>99</v>
      </c>
      <c r="H2956" s="3">
        <f>_xlfn.XLOOKUP(Vendas[[#This Row],[ID Item Vendido]],Agregado[ID],Agregado[Revenda])</f>
        <v>6.7</v>
      </c>
      <c r="I2956" s="3">
        <f>Vendas[[#This Row],[Valor Unitário]]*Vendas[[#This Row],[Qnt Vendida]]</f>
        <v>663.30000000000007</v>
      </c>
      <c r="J2956" s="3">
        <f>Vendas[[#This Row],[Valor da Venda]]-(_xlfn.XLOOKUP(Vendas[[#This Row],[ID Item Vendido]],Agregado[ID],Agregado[Custo])*Vendas[[#This Row],[Qnt Vendida]])</f>
        <v>89.100000000000136</v>
      </c>
      <c r="K2956" s="70">
        <f>Vendas[[#This Row],[Lucro da Venda]]/Vendas[[#This Row],[Valor da Venda]]</f>
        <v>0.13432835820895542</v>
      </c>
      <c r="L2956" s="3">
        <f>_xlfn.IFS(Vendas[[#This Row],[Margem de Lucro (%)]]&lt;15%,Vendas[[#This Row],[Valor da Venda]]*3%,Vendas[[#This Row],[Margem de Lucro (%)]]&lt;=20%,Vendas[[#This Row],[Valor da Venda]]*4.5%,TRUE,Vendas[[#This Row],[Valor da Venda]]*6%)</f>
        <v>19.899000000000001</v>
      </c>
      <c r="M2956"/>
    </row>
    <row r="2957" spans="1:13" x14ac:dyDescent="0.3">
      <c r="A2957" s="7">
        <v>400254</v>
      </c>
      <c r="B2957" t="str">
        <f>_xlfn.XLOOKUP(Vendas[[#This Row],[ID Vendedor]],Vendedores[ID],Vendedores[Nome])</f>
        <v>Beatriz</v>
      </c>
      <c r="C2957" s="7" t="str">
        <f>_xlfn.XLOOKUP(Vendas[[#This Row],[ID Vendedor]],Vendedores[ID],Vendedores[Setor])</f>
        <v>SC</v>
      </c>
      <c r="D2957" s="7" t="s">
        <v>14</v>
      </c>
      <c r="E2957" t="str">
        <f>_xlfn.XLOOKUP(Vendas[[#This Row],[ID Item Vendido]],Agregado[ID],Agregado[Produto])</f>
        <v>Barril de plástico 200L</v>
      </c>
      <c r="F2957" s="39">
        <v>45236</v>
      </c>
      <c r="G2957" s="7">
        <v>24</v>
      </c>
      <c r="H2957" s="3">
        <f>_xlfn.XLOOKUP(Vendas[[#This Row],[ID Item Vendido]],Agregado[ID],Agregado[Revenda])</f>
        <v>114</v>
      </c>
      <c r="I2957" s="3">
        <f>Vendas[[#This Row],[Valor Unitário]]*Vendas[[#This Row],[Qnt Vendida]]</f>
        <v>2736</v>
      </c>
      <c r="J2957" s="3">
        <f>Vendas[[#This Row],[Valor da Venda]]-(_xlfn.XLOOKUP(Vendas[[#This Row],[ID Item Vendido]],Agregado[ID],Agregado[Custo])*Vendas[[#This Row],[Qnt Vendida]])</f>
        <v>456</v>
      </c>
      <c r="K2957" s="70">
        <f>Vendas[[#This Row],[Lucro da Venda]]/Vendas[[#This Row],[Valor da Venda]]</f>
        <v>0.16666666666666666</v>
      </c>
      <c r="L295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2957"/>
    </row>
    <row r="2958" spans="1:13" x14ac:dyDescent="0.3">
      <c r="A2958" s="7">
        <v>400244</v>
      </c>
      <c r="B2958" t="str">
        <f>_xlfn.XLOOKUP(Vendas[[#This Row],[ID Vendedor]],Vendedores[ID],Vendedores[Nome])</f>
        <v>Camila</v>
      </c>
      <c r="C2958" s="7" t="str">
        <f>_xlfn.XLOOKUP(Vendas[[#This Row],[ID Vendedor]],Vendedores[ID],Vendedores[Setor])</f>
        <v>AHD</v>
      </c>
      <c r="D2958" s="7" t="s">
        <v>28</v>
      </c>
      <c r="E2958" t="str">
        <f>_xlfn.XLOOKUP(Vendas[[#This Row],[ID Item Vendido]],Agregado[ID],Agregado[Produto])</f>
        <v>Peça usinada CNC</v>
      </c>
      <c r="F2958" s="39">
        <v>45236</v>
      </c>
      <c r="G2958" s="7">
        <v>14</v>
      </c>
      <c r="H2958" s="3">
        <f>_xlfn.XLOOKUP(Vendas[[#This Row],[ID Item Vendido]],Agregado[ID],Agregado[Revenda])</f>
        <v>192</v>
      </c>
      <c r="I2958" s="3">
        <f>Vendas[[#This Row],[Valor Unitário]]*Vendas[[#This Row],[Qnt Vendida]]</f>
        <v>2688</v>
      </c>
      <c r="J2958" s="3">
        <f>Vendas[[#This Row],[Valor da Venda]]-(_xlfn.XLOOKUP(Vendas[[#This Row],[ID Item Vendido]],Agregado[ID],Agregado[Custo])*Vendas[[#This Row],[Qnt Vendida]])</f>
        <v>588</v>
      </c>
      <c r="K2958" s="70">
        <f>Vendas[[#This Row],[Lucro da Venda]]/Vendas[[#This Row],[Valor da Venda]]</f>
        <v>0.21875</v>
      </c>
      <c r="L2958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2958"/>
    </row>
    <row r="2959" spans="1:13" x14ac:dyDescent="0.3">
      <c r="A2959" s="7">
        <v>400248</v>
      </c>
      <c r="B2959" t="str">
        <f>_xlfn.XLOOKUP(Vendas[[#This Row],[ID Vendedor]],Vendedores[ID],Vendedores[Nome])</f>
        <v>Patrícia</v>
      </c>
      <c r="C2959" s="7" t="str">
        <f>_xlfn.XLOOKUP(Vendas[[#This Row],[ID Vendedor]],Vendedores[ID],Vendedores[Setor])</f>
        <v>CM</v>
      </c>
      <c r="D2959" s="7" t="s">
        <v>45</v>
      </c>
      <c r="E2959" t="str">
        <f>_xlfn.XLOOKUP(Vendas[[#This Row],[ID Item Vendido]],Agregado[ID],Agregado[Produto])</f>
        <v>Viga de madeira tratada 4m</v>
      </c>
      <c r="F2959" s="39">
        <v>45236</v>
      </c>
      <c r="G2959" s="7">
        <v>11</v>
      </c>
      <c r="H2959" s="3">
        <f>_xlfn.XLOOKUP(Vendas[[#This Row],[ID Item Vendido]],Agregado[ID],Agregado[Revenda])</f>
        <v>66</v>
      </c>
      <c r="I2959" s="3">
        <f>Vendas[[#This Row],[Valor Unitário]]*Vendas[[#This Row],[Qnt Vendida]]</f>
        <v>726</v>
      </c>
      <c r="J2959" s="3">
        <f>Vendas[[#This Row],[Valor da Venda]]-(_xlfn.XLOOKUP(Vendas[[#This Row],[ID Item Vendido]],Agregado[ID],Agregado[Custo])*Vendas[[#This Row],[Qnt Vendida]])</f>
        <v>121</v>
      </c>
      <c r="K2959" s="70">
        <f>Vendas[[#This Row],[Lucro da Venda]]/Vendas[[#This Row],[Valor da Venda]]</f>
        <v>0.16666666666666666</v>
      </c>
      <c r="L2959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2959"/>
    </row>
    <row r="2960" spans="1:13" x14ac:dyDescent="0.3">
      <c r="A2960" s="7">
        <v>400246</v>
      </c>
      <c r="B2960" t="str">
        <f>_xlfn.XLOOKUP(Vendas[[#This Row],[ID Vendedor]],Vendedores[ID],Vendedores[Nome])</f>
        <v>Juliana</v>
      </c>
      <c r="C2960" s="7" t="str">
        <f>_xlfn.XLOOKUP(Vendas[[#This Row],[ID Vendedor]],Vendedores[ID],Vendedores[Setor])</f>
        <v>AHD</v>
      </c>
      <c r="D2960" s="7" t="s">
        <v>30</v>
      </c>
      <c r="E2960" t="str">
        <f>_xlfn.XLOOKUP(Vendas[[#This Row],[ID Item Vendido]],Agregado[ID],Agregado[Produto])</f>
        <v>Estrutura metálica soldada</v>
      </c>
      <c r="F2960" s="39">
        <v>45237</v>
      </c>
      <c r="G2960" s="7">
        <v>7</v>
      </c>
      <c r="H2960" s="3">
        <f>_xlfn.XLOOKUP(Vendas[[#This Row],[ID Item Vendido]],Agregado[ID],Agregado[Revenda])</f>
        <v>400</v>
      </c>
      <c r="I2960" s="3">
        <f>Vendas[[#This Row],[Valor Unitário]]*Vendas[[#This Row],[Qnt Vendida]]</f>
        <v>2800</v>
      </c>
      <c r="J2960" s="3">
        <f>Vendas[[#This Row],[Valor da Venda]]-(_xlfn.XLOOKUP(Vendas[[#This Row],[ID Item Vendido]],Agregado[ID],Agregado[Custo])*Vendas[[#This Row],[Qnt Vendida]])</f>
        <v>560</v>
      </c>
      <c r="K2960" s="70">
        <f>Vendas[[#This Row],[Lucro da Venda]]/Vendas[[#This Row],[Valor da Venda]]</f>
        <v>0.2</v>
      </c>
      <c r="L2960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2960"/>
    </row>
    <row r="2961" spans="1:13" x14ac:dyDescent="0.3">
      <c r="A2961" s="7">
        <v>400248</v>
      </c>
      <c r="B2961" t="str">
        <f>_xlfn.XLOOKUP(Vendas[[#This Row],[ID Vendedor]],Vendedores[ID],Vendedores[Nome])</f>
        <v>Patrícia</v>
      </c>
      <c r="C2961" s="7" t="str">
        <f>_xlfn.XLOOKUP(Vendas[[#This Row],[ID Vendedor]],Vendedores[ID],Vendedores[Setor])</f>
        <v>CM</v>
      </c>
      <c r="D2961" s="7" t="s">
        <v>32</v>
      </c>
      <c r="E2961" t="str">
        <f>_xlfn.XLOOKUP(Vendas[[#This Row],[ID Item Vendido]],Agregado[ID],Agregado[Produto])</f>
        <v>Tábua tratada e cortada 3m</v>
      </c>
      <c r="F2961" s="39">
        <v>45237</v>
      </c>
      <c r="G2961" s="7">
        <v>34</v>
      </c>
      <c r="H2961" s="3">
        <f>_xlfn.XLOOKUP(Vendas[[#This Row],[ID Item Vendido]],Agregado[ID],Agregado[Revenda])</f>
        <v>39</v>
      </c>
      <c r="I2961" s="3">
        <f>Vendas[[#This Row],[Valor Unitário]]*Vendas[[#This Row],[Qnt Vendida]]</f>
        <v>1326</v>
      </c>
      <c r="J2961" s="3">
        <f>Vendas[[#This Row],[Valor da Venda]]-(_xlfn.XLOOKUP(Vendas[[#This Row],[ID Item Vendido]],Agregado[ID],Agregado[Custo])*Vendas[[#This Row],[Qnt Vendida]])</f>
        <v>238</v>
      </c>
      <c r="K2961" s="70">
        <f>Vendas[[#This Row],[Lucro da Venda]]/Vendas[[#This Row],[Valor da Venda]]</f>
        <v>0.17948717948717949</v>
      </c>
      <c r="L2961" s="3">
        <f>_xlfn.IFS(Vendas[[#This Row],[Margem de Lucro (%)]]&lt;15%,Vendas[[#This Row],[Valor da Venda]]*3%,Vendas[[#This Row],[Margem de Lucro (%)]]&lt;=20%,Vendas[[#This Row],[Valor da Venda]]*4.5%,TRUE,Vendas[[#This Row],[Valor da Venda]]*6%)</f>
        <v>59.669999999999995</v>
      </c>
      <c r="M2961"/>
    </row>
    <row r="2962" spans="1:13" x14ac:dyDescent="0.3">
      <c r="A2962" s="7">
        <v>400253</v>
      </c>
      <c r="B2962" t="str">
        <f>_xlfn.XLOOKUP(Vendas[[#This Row],[ID Vendedor]],Vendedores[ID],Vendedores[Nome])</f>
        <v>Gustavo</v>
      </c>
      <c r="C2962" s="7" t="str">
        <f>_xlfn.XLOOKUP(Vendas[[#This Row],[ID Vendedor]],Vendedores[ID],Vendedores[Setor])</f>
        <v>SC</v>
      </c>
      <c r="D2962" s="7" t="s">
        <v>41</v>
      </c>
      <c r="E2962" t="str">
        <f>_xlfn.XLOOKUP(Vendas[[#This Row],[ID Item Vendido]],Agregado[ID],Agregado[Produto])</f>
        <v>Palete de madeira reforçado</v>
      </c>
      <c r="F2962" s="39">
        <v>45237</v>
      </c>
      <c r="G2962" s="7">
        <v>5</v>
      </c>
      <c r="H2962" s="3">
        <f>_xlfn.XLOOKUP(Vendas[[#This Row],[ID Item Vendido]],Agregado[ID],Agregado[Revenda])</f>
        <v>131</v>
      </c>
      <c r="I2962" s="3">
        <f>Vendas[[#This Row],[Valor Unitário]]*Vendas[[#This Row],[Qnt Vendida]]</f>
        <v>655</v>
      </c>
      <c r="J2962" s="3">
        <f>Vendas[[#This Row],[Valor da Venda]]-(_xlfn.XLOOKUP(Vendas[[#This Row],[ID Item Vendido]],Agregado[ID],Agregado[Custo])*Vendas[[#This Row],[Qnt Vendida]])</f>
        <v>105</v>
      </c>
      <c r="K2962" s="70">
        <f>Vendas[[#This Row],[Lucro da Venda]]/Vendas[[#This Row],[Valor da Venda]]</f>
        <v>0.16030534351145037</v>
      </c>
      <c r="L2962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2962"/>
    </row>
    <row r="2963" spans="1:13" x14ac:dyDescent="0.3">
      <c r="A2963" s="7">
        <v>400253</v>
      </c>
      <c r="B2963" t="str">
        <f>_xlfn.XLOOKUP(Vendas[[#This Row],[ID Vendedor]],Vendedores[ID],Vendedores[Nome])</f>
        <v>Gustavo</v>
      </c>
      <c r="C2963" s="7" t="str">
        <f>_xlfn.XLOOKUP(Vendas[[#This Row],[ID Vendedor]],Vendedores[ID],Vendedores[Setor])</f>
        <v>SC</v>
      </c>
      <c r="D2963" s="7" t="s">
        <v>14</v>
      </c>
      <c r="E2963" t="str">
        <f>_xlfn.XLOOKUP(Vendas[[#This Row],[ID Item Vendido]],Agregado[ID],Agregado[Produto])</f>
        <v>Barril de plástico 200L</v>
      </c>
      <c r="F2963" s="39">
        <v>45238</v>
      </c>
      <c r="G2963" s="7">
        <v>11</v>
      </c>
      <c r="H2963" s="3">
        <f>_xlfn.XLOOKUP(Vendas[[#This Row],[ID Item Vendido]],Agregado[ID],Agregado[Revenda])</f>
        <v>114</v>
      </c>
      <c r="I2963" s="3">
        <f>Vendas[[#This Row],[Valor Unitário]]*Vendas[[#This Row],[Qnt Vendida]]</f>
        <v>1254</v>
      </c>
      <c r="J2963" s="3">
        <f>Vendas[[#This Row],[Valor da Venda]]-(_xlfn.XLOOKUP(Vendas[[#This Row],[ID Item Vendido]],Agregado[ID],Agregado[Custo])*Vendas[[#This Row],[Qnt Vendida]])</f>
        <v>209</v>
      </c>
      <c r="K2963" s="70">
        <f>Vendas[[#This Row],[Lucro da Venda]]/Vendas[[#This Row],[Valor da Venda]]</f>
        <v>0.16666666666666666</v>
      </c>
      <c r="L2963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2963"/>
    </row>
    <row r="2964" spans="1:13" x14ac:dyDescent="0.3">
      <c r="A2964" s="7">
        <v>400251</v>
      </c>
      <c r="B2964" t="str">
        <f>_xlfn.XLOOKUP(Vendas[[#This Row],[ID Vendedor]],Vendedores[ID],Vendedores[Nome])</f>
        <v>Diego</v>
      </c>
      <c r="C2964" s="7" t="str">
        <f>_xlfn.XLOOKUP(Vendas[[#This Row],[ID Vendedor]],Vendedores[ID],Vendedores[Setor])</f>
        <v>AB</v>
      </c>
      <c r="D2964" s="7" t="s">
        <v>37</v>
      </c>
      <c r="E2964" t="str">
        <f>_xlfn.XLOOKUP(Vendas[[#This Row],[ID Item Vendido]],Agregado[ID],Agregado[Produto])</f>
        <v>Composto de borracha para vedação rolo 10m</v>
      </c>
      <c r="F2964" s="39">
        <v>45238</v>
      </c>
      <c r="G2964" s="7">
        <v>5</v>
      </c>
      <c r="H2964" s="3">
        <f>_xlfn.XLOOKUP(Vendas[[#This Row],[ID Item Vendido]],Agregado[ID],Agregado[Revenda])</f>
        <v>51.2</v>
      </c>
      <c r="I2964" s="3">
        <f>Vendas[[#This Row],[Valor Unitário]]*Vendas[[#This Row],[Qnt Vendida]]</f>
        <v>256</v>
      </c>
      <c r="J2964" s="3">
        <f>Vendas[[#This Row],[Valor da Venda]]-(_xlfn.XLOOKUP(Vendas[[#This Row],[ID Item Vendido]],Agregado[ID],Agregado[Custo])*Vendas[[#This Row],[Qnt Vendida]])</f>
        <v>56</v>
      </c>
      <c r="K2964" s="70">
        <f>Vendas[[#This Row],[Lucro da Venda]]/Vendas[[#This Row],[Valor da Venda]]</f>
        <v>0.21875</v>
      </c>
      <c r="L2964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2964"/>
    </row>
    <row r="2965" spans="1:13" x14ac:dyDescent="0.3">
      <c r="A2965" s="7">
        <v>400242</v>
      </c>
      <c r="B2965" t="str">
        <f>_xlfn.XLOOKUP(Vendas[[#This Row],[ID Vendedor]],Vendedores[ID],Vendedores[Nome])</f>
        <v>Fernanda</v>
      </c>
      <c r="C2965" s="7" t="str">
        <f>_xlfn.XLOOKUP(Vendas[[#This Row],[ID Vendedor]],Vendedores[ID],Vendedores[Setor])</f>
        <v>FM</v>
      </c>
      <c r="D2965" s="7" t="s">
        <v>6</v>
      </c>
      <c r="E2965" t="str">
        <f>_xlfn.XLOOKUP(Vendas[[#This Row],[ID Item Vendido]],Agregado[ID],Agregado[Produto])</f>
        <v>Parafuso comum 500un</v>
      </c>
      <c r="F2965" s="39">
        <v>45238</v>
      </c>
      <c r="G2965" s="7">
        <v>9</v>
      </c>
      <c r="H2965" s="3">
        <f>_xlfn.XLOOKUP(Vendas[[#This Row],[ID Item Vendido]],Agregado[ID],Agregado[Revenda])</f>
        <v>24.6</v>
      </c>
      <c r="I2965" s="3">
        <f>Vendas[[#This Row],[Valor Unitário]]*Vendas[[#This Row],[Qnt Vendida]]</f>
        <v>221.4</v>
      </c>
      <c r="J2965" s="3">
        <f>Vendas[[#This Row],[Valor da Venda]]-(_xlfn.XLOOKUP(Vendas[[#This Row],[ID Item Vendido]],Agregado[ID],Agregado[Custo])*Vendas[[#This Row],[Qnt Vendida]])</f>
        <v>23.400000000000006</v>
      </c>
      <c r="K2965" s="70">
        <f>Vendas[[#This Row],[Lucro da Venda]]/Vendas[[#This Row],[Valor da Venda]]</f>
        <v>0.10569105691056913</v>
      </c>
      <c r="L2965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2965"/>
    </row>
    <row r="2966" spans="1:13" x14ac:dyDescent="0.3">
      <c r="A2966" s="7">
        <v>400249</v>
      </c>
      <c r="B2966" t="str">
        <f>_xlfn.XLOOKUP(Vendas[[#This Row],[ID Vendedor]],Vendedores[ID],Vendedores[Nome])</f>
        <v>Bruno</v>
      </c>
      <c r="C2966" s="7" t="str">
        <f>_xlfn.XLOOKUP(Vendas[[#This Row],[ID Vendedor]],Vendedores[ID],Vendedores[Setor])</f>
        <v>CM</v>
      </c>
      <c r="D2966" s="7" t="s">
        <v>43</v>
      </c>
      <c r="E2966" t="str">
        <f>_xlfn.XLOOKUP(Vendas[[#This Row],[ID Item Vendido]],Agregado[ID],Agregado[Produto])</f>
        <v>Madeira Bruta (Tora)</v>
      </c>
      <c r="F2966" s="39">
        <v>45238</v>
      </c>
      <c r="G2966" s="7">
        <v>1</v>
      </c>
      <c r="H2966" s="3">
        <f>_xlfn.XLOOKUP(Vendas[[#This Row],[ID Item Vendido]],Agregado[ID],Agregado[Revenda])</f>
        <v>212</v>
      </c>
      <c r="I2966" s="3">
        <f>Vendas[[#This Row],[Valor Unitário]]*Vendas[[#This Row],[Qnt Vendida]]</f>
        <v>212</v>
      </c>
      <c r="J2966" s="3">
        <f>Vendas[[#This Row],[Valor da Venda]]-(_xlfn.XLOOKUP(Vendas[[#This Row],[ID Item Vendido]],Agregado[ID],Agregado[Custo])*Vendas[[#This Row],[Qnt Vendida]])</f>
        <v>32</v>
      </c>
      <c r="K2966" s="70">
        <f>Vendas[[#This Row],[Lucro da Venda]]/Vendas[[#This Row],[Valor da Venda]]</f>
        <v>0.15094339622641509</v>
      </c>
      <c r="L2966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2966"/>
    </row>
    <row r="2967" spans="1:13" x14ac:dyDescent="0.3">
      <c r="A2967" s="7">
        <v>400255</v>
      </c>
      <c r="B2967" t="str">
        <f>_xlfn.XLOOKUP(Vendas[[#This Row],[ID Vendedor]],Vendedores[ID],Vendedores[Nome])</f>
        <v>Carlos</v>
      </c>
      <c r="C2967" s="7" t="str">
        <f>_xlfn.XLOOKUP(Vendas[[#This Row],[ID Vendedor]],Vendedores[ID],Vendedores[Setor])</f>
        <v>SC</v>
      </c>
      <c r="D2967" s="7" t="s">
        <v>42</v>
      </c>
      <c r="E2967" t="str">
        <f>_xlfn.XLOOKUP(Vendas[[#This Row],[ID Item Vendido]],Agregado[ID],Agregado[Produto])</f>
        <v>Container de ferro industrial</v>
      </c>
      <c r="F2967" s="39">
        <v>45239</v>
      </c>
      <c r="G2967" s="7">
        <v>5</v>
      </c>
      <c r="H2967" s="3">
        <f>_xlfn.XLOOKUP(Vendas[[#This Row],[ID Item Vendido]],Agregado[ID],Agregado[Revenda])</f>
        <v>830</v>
      </c>
      <c r="I2967" s="3">
        <f>Vendas[[#This Row],[Valor Unitário]]*Vendas[[#This Row],[Qnt Vendida]]</f>
        <v>4150</v>
      </c>
      <c r="J2967" s="3">
        <f>Vendas[[#This Row],[Valor da Venda]]-(_xlfn.XLOOKUP(Vendas[[#This Row],[ID Item Vendido]],Agregado[ID],Agregado[Custo])*Vendas[[#This Row],[Qnt Vendida]])</f>
        <v>750</v>
      </c>
      <c r="K2967" s="70">
        <f>Vendas[[#This Row],[Lucro da Venda]]/Vendas[[#This Row],[Valor da Venda]]</f>
        <v>0.18072289156626506</v>
      </c>
      <c r="L2967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2967"/>
    </row>
    <row r="2968" spans="1:13" x14ac:dyDescent="0.3">
      <c r="A2968" s="7">
        <v>400255</v>
      </c>
      <c r="B2968" t="str">
        <f>_xlfn.XLOOKUP(Vendas[[#This Row],[ID Vendedor]],Vendedores[ID],Vendedores[Nome])</f>
        <v>Carlos</v>
      </c>
      <c r="C2968" s="7" t="str">
        <f>_xlfn.XLOOKUP(Vendas[[#This Row],[ID Vendedor]],Vendedores[ID],Vendedores[Setor])</f>
        <v>SC</v>
      </c>
      <c r="D2968" s="7" t="s">
        <v>48</v>
      </c>
      <c r="E2968" t="str">
        <f>_xlfn.XLOOKUP(Vendas[[#This Row],[ID Item Vendido]],Agregado[ID],Agregado[Produto])</f>
        <v>Tambor metálico 200L</v>
      </c>
      <c r="F2968" s="39">
        <v>45239</v>
      </c>
      <c r="G2968" s="7">
        <v>8</v>
      </c>
      <c r="H2968" s="3">
        <f>_xlfn.XLOOKUP(Vendas[[#This Row],[ID Item Vendido]],Agregado[ID],Agregado[Revenda])</f>
        <v>144</v>
      </c>
      <c r="I2968" s="3">
        <f>Vendas[[#This Row],[Valor Unitário]]*Vendas[[#This Row],[Qnt Vendida]]</f>
        <v>1152</v>
      </c>
      <c r="J2968" s="3">
        <f>Vendas[[#This Row],[Valor da Venda]]-(_xlfn.XLOOKUP(Vendas[[#This Row],[ID Item Vendido]],Agregado[ID],Agregado[Custo])*Vendas[[#This Row],[Qnt Vendida]])</f>
        <v>192</v>
      </c>
      <c r="K2968" s="70">
        <f>Vendas[[#This Row],[Lucro da Venda]]/Vendas[[#This Row],[Valor da Venda]]</f>
        <v>0.16666666666666666</v>
      </c>
      <c r="L2968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2968"/>
    </row>
    <row r="2969" spans="1:13" x14ac:dyDescent="0.3">
      <c r="A2969" s="7">
        <v>400249</v>
      </c>
      <c r="B2969" t="str">
        <f>_xlfn.XLOOKUP(Vendas[[#This Row],[ID Vendedor]],Vendedores[ID],Vendedores[Nome])</f>
        <v>Bruno</v>
      </c>
      <c r="C2969" s="7" t="str">
        <f>_xlfn.XLOOKUP(Vendas[[#This Row],[ID Vendedor]],Vendedores[ID],Vendedores[Setor])</f>
        <v>CM</v>
      </c>
      <c r="D2969" s="7" t="s">
        <v>32</v>
      </c>
      <c r="E2969" t="str">
        <f>_xlfn.XLOOKUP(Vendas[[#This Row],[ID Item Vendido]],Agregado[ID],Agregado[Produto])</f>
        <v>Tábua tratada e cortada 3m</v>
      </c>
      <c r="F2969" s="39">
        <v>45239</v>
      </c>
      <c r="G2969" s="7">
        <v>13</v>
      </c>
      <c r="H2969" s="3">
        <f>_xlfn.XLOOKUP(Vendas[[#This Row],[ID Item Vendido]],Agregado[ID],Agregado[Revenda])</f>
        <v>39</v>
      </c>
      <c r="I2969" s="3">
        <f>Vendas[[#This Row],[Valor Unitário]]*Vendas[[#This Row],[Qnt Vendida]]</f>
        <v>507</v>
      </c>
      <c r="J2969" s="3">
        <f>Vendas[[#This Row],[Valor da Venda]]-(_xlfn.XLOOKUP(Vendas[[#This Row],[ID Item Vendido]],Agregado[ID],Agregado[Custo])*Vendas[[#This Row],[Qnt Vendida]])</f>
        <v>91</v>
      </c>
      <c r="K2969" s="70">
        <f>Vendas[[#This Row],[Lucro da Venda]]/Vendas[[#This Row],[Valor da Venda]]</f>
        <v>0.17948717948717949</v>
      </c>
      <c r="L2969" s="3">
        <f>_xlfn.IFS(Vendas[[#This Row],[Margem de Lucro (%)]]&lt;15%,Vendas[[#This Row],[Valor da Venda]]*3%,Vendas[[#This Row],[Margem de Lucro (%)]]&lt;=20%,Vendas[[#This Row],[Valor da Venda]]*4.5%,TRUE,Vendas[[#This Row],[Valor da Venda]]*6%)</f>
        <v>22.814999999999998</v>
      </c>
      <c r="M2969"/>
    </row>
    <row r="2970" spans="1:13" x14ac:dyDescent="0.3">
      <c r="A2970" s="7">
        <v>400251</v>
      </c>
      <c r="B2970" t="str">
        <f>_xlfn.XLOOKUP(Vendas[[#This Row],[ID Vendedor]],Vendedores[ID],Vendedores[Nome])</f>
        <v>Diego</v>
      </c>
      <c r="C2970" s="7" t="str">
        <f>_xlfn.XLOOKUP(Vendas[[#This Row],[ID Vendedor]],Vendedores[ID],Vendedores[Setor])</f>
        <v>AB</v>
      </c>
      <c r="D2970" s="7" t="s">
        <v>12</v>
      </c>
      <c r="E2970" t="str">
        <f>_xlfn.XLOOKUP(Vendas[[#This Row],[ID Item Vendido]],Agregado[ID],Agregado[Produto])</f>
        <v>Grânulo de plástico reciclado refinado</v>
      </c>
      <c r="F2970" s="39">
        <v>45239</v>
      </c>
      <c r="G2970" s="7">
        <v>62</v>
      </c>
      <c r="H2970" s="3">
        <f>_xlfn.XLOOKUP(Vendas[[#This Row],[ID Item Vendido]],Agregado[ID],Agregado[Revenda])</f>
        <v>4.7</v>
      </c>
      <c r="I2970" s="3">
        <f>Vendas[[#This Row],[Valor Unitário]]*Vendas[[#This Row],[Qnt Vendida]]</f>
        <v>291.40000000000003</v>
      </c>
      <c r="J2970" s="3">
        <f>Vendas[[#This Row],[Valor da Venda]]-(_xlfn.XLOOKUP(Vendas[[#This Row],[ID Item Vendido]],Agregado[ID],Agregado[Custo])*Vendas[[#This Row],[Qnt Vendida]])</f>
        <v>74.400000000000034</v>
      </c>
      <c r="K2970" s="70">
        <f>Vendas[[#This Row],[Lucro da Venda]]/Vendas[[#This Row],[Valor da Venda]]</f>
        <v>0.2553191489361703</v>
      </c>
      <c r="L2970" s="3">
        <f>_xlfn.IFS(Vendas[[#This Row],[Margem de Lucro (%)]]&lt;15%,Vendas[[#This Row],[Valor da Venda]]*3%,Vendas[[#This Row],[Margem de Lucro (%)]]&lt;=20%,Vendas[[#This Row],[Valor da Venda]]*4.5%,TRUE,Vendas[[#This Row],[Valor da Venda]]*6%)</f>
        <v>17.484000000000002</v>
      </c>
      <c r="M2970"/>
    </row>
    <row r="2971" spans="1:13" x14ac:dyDescent="0.3">
      <c r="A2971" s="7">
        <v>400242</v>
      </c>
      <c r="B2971" t="str">
        <f>_xlfn.XLOOKUP(Vendas[[#This Row],[ID Vendedor]],Vendedores[ID],Vendedores[Nome])</f>
        <v>Fernanda</v>
      </c>
      <c r="C2971" s="7" t="str">
        <f>_xlfn.XLOOKUP(Vendas[[#This Row],[ID Vendedor]],Vendedores[ID],Vendedores[Setor])</f>
        <v>FM</v>
      </c>
      <c r="D2971" s="7" t="s">
        <v>47</v>
      </c>
      <c r="E2971" t="str">
        <f>_xlfn.XLOOKUP(Vendas[[#This Row],[ID Item Vendido]],Agregado[ID],Agregado[Produto])</f>
        <v>Fio de arame galvanizado rolo 50m</v>
      </c>
      <c r="F2971" s="39">
        <v>45240</v>
      </c>
      <c r="G2971" s="7">
        <v>38</v>
      </c>
      <c r="H2971" s="3">
        <f>_xlfn.XLOOKUP(Vendas[[#This Row],[ID Item Vendido]],Agregado[ID],Agregado[Revenda])</f>
        <v>21.2</v>
      </c>
      <c r="I2971" s="3">
        <f>Vendas[[#This Row],[Valor Unitário]]*Vendas[[#This Row],[Qnt Vendida]]</f>
        <v>805.6</v>
      </c>
      <c r="J2971" s="3">
        <f>Vendas[[#This Row],[Valor da Venda]]-(_xlfn.XLOOKUP(Vendas[[#This Row],[ID Item Vendido]],Agregado[ID],Agregado[Custo])*Vendas[[#This Row],[Qnt Vendida]])</f>
        <v>121.60000000000002</v>
      </c>
      <c r="K2971" s="70">
        <f>Vendas[[#This Row],[Lucro da Venda]]/Vendas[[#This Row],[Valor da Venda]]</f>
        <v>0.15094339622641512</v>
      </c>
      <c r="L2971" s="3">
        <f>_xlfn.IFS(Vendas[[#This Row],[Margem de Lucro (%)]]&lt;15%,Vendas[[#This Row],[Valor da Venda]]*3%,Vendas[[#This Row],[Margem de Lucro (%)]]&lt;=20%,Vendas[[#This Row],[Valor da Venda]]*4.5%,TRUE,Vendas[[#This Row],[Valor da Venda]]*6%)</f>
        <v>36.252000000000002</v>
      </c>
      <c r="M2971"/>
    </row>
    <row r="2972" spans="1:13" x14ac:dyDescent="0.3">
      <c r="A2972" s="7">
        <v>400253</v>
      </c>
      <c r="B2972" t="str">
        <f>_xlfn.XLOOKUP(Vendas[[#This Row],[ID Vendedor]],Vendedores[ID],Vendedores[Nome])</f>
        <v>Gustavo</v>
      </c>
      <c r="C2972" s="7" t="str">
        <f>_xlfn.XLOOKUP(Vendas[[#This Row],[ID Vendedor]],Vendedores[ID],Vendedores[Setor])</f>
        <v>SC</v>
      </c>
      <c r="D2972" s="7" t="s">
        <v>14</v>
      </c>
      <c r="E2972" t="str">
        <f>_xlfn.XLOOKUP(Vendas[[#This Row],[ID Item Vendido]],Agregado[ID],Agregado[Produto])</f>
        <v>Barril de plástico 200L</v>
      </c>
      <c r="F2972" s="39">
        <v>45240</v>
      </c>
      <c r="G2972" s="7">
        <v>5</v>
      </c>
      <c r="H2972" s="3">
        <f>_xlfn.XLOOKUP(Vendas[[#This Row],[ID Item Vendido]],Agregado[ID],Agregado[Revenda])</f>
        <v>114</v>
      </c>
      <c r="I2972" s="3">
        <f>Vendas[[#This Row],[Valor Unitário]]*Vendas[[#This Row],[Qnt Vendida]]</f>
        <v>570</v>
      </c>
      <c r="J2972" s="3">
        <f>Vendas[[#This Row],[Valor da Venda]]-(_xlfn.XLOOKUP(Vendas[[#This Row],[ID Item Vendido]],Agregado[ID],Agregado[Custo])*Vendas[[#This Row],[Qnt Vendida]])</f>
        <v>95</v>
      </c>
      <c r="K2972" s="70">
        <f>Vendas[[#This Row],[Lucro da Venda]]/Vendas[[#This Row],[Valor da Venda]]</f>
        <v>0.16666666666666666</v>
      </c>
      <c r="L2972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2972"/>
    </row>
    <row r="2973" spans="1:13" x14ac:dyDescent="0.3">
      <c r="A2973" s="7">
        <v>400247</v>
      </c>
      <c r="B2973" t="str">
        <f>_xlfn.XLOOKUP(Vendas[[#This Row],[ID Vendedor]],Vendedores[ID],Vendedores[Nome])</f>
        <v>André</v>
      </c>
      <c r="C2973" s="7" t="str">
        <f>_xlfn.XLOOKUP(Vendas[[#This Row],[ID Vendedor]],Vendedores[ID],Vendedores[Setor])</f>
        <v>CM</v>
      </c>
      <c r="D2973" s="7" t="s">
        <v>43</v>
      </c>
      <c r="E2973" t="str">
        <f>_xlfn.XLOOKUP(Vendas[[#This Row],[ID Item Vendido]],Agregado[ID],Agregado[Produto])</f>
        <v>Madeira Bruta (Tora)</v>
      </c>
      <c r="F2973" s="39">
        <v>45240</v>
      </c>
      <c r="G2973" s="7">
        <v>1</v>
      </c>
      <c r="H2973" s="3">
        <f>_xlfn.XLOOKUP(Vendas[[#This Row],[ID Item Vendido]],Agregado[ID],Agregado[Revenda])</f>
        <v>212</v>
      </c>
      <c r="I2973" s="3">
        <f>Vendas[[#This Row],[Valor Unitário]]*Vendas[[#This Row],[Qnt Vendida]]</f>
        <v>212</v>
      </c>
      <c r="J2973" s="3">
        <f>Vendas[[#This Row],[Valor da Venda]]-(_xlfn.XLOOKUP(Vendas[[#This Row],[ID Item Vendido]],Agregado[ID],Agregado[Custo])*Vendas[[#This Row],[Qnt Vendida]])</f>
        <v>32</v>
      </c>
      <c r="K2973" s="70">
        <f>Vendas[[#This Row],[Lucro da Venda]]/Vendas[[#This Row],[Valor da Venda]]</f>
        <v>0.15094339622641509</v>
      </c>
      <c r="L2973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2973"/>
    </row>
    <row r="2974" spans="1:13" x14ac:dyDescent="0.3">
      <c r="A2974" s="7">
        <v>400254</v>
      </c>
      <c r="B2974" t="str">
        <f>_xlfn.XLOOKUP(Vendas[[#This Row],[ID Vendedor]],Vendedores[ID],Vendedores[Nome])</f>
        <v>Beatriz</v>
      </c>
      <c r="C2974" s="7" t="str">
        <f>_xlfn.XLOOKUP(Vendas[[#This Row],[ID Vendedor]],Vendedores[ID],Vendedores[Setor])</f>
        <v>SC</v>
      </c>
      <c r="D2974" s="7" t="s">
        <v>42</v>
      </c>
      <c r="E2974" t="str">
        <f>_xlfn.XLOOKUP(Vendas[[#This Row],[ID Item Vendido]],Agregado[ID],Agregado[Produto])</f>
        <v>Container de ferro industrial</v>
      </c>
      <c r="F2974" s="39">
        <v>45241</v>
      </c>
      <c r="G2974" s="7">
        <v>2</v>
      </c>
      <c r="H2974" s="3">
        <f>_xlfn.XLOOKUP(Vendas[[#This Row],[ID Item Vendido]],Agregado[ID],Agregado[Revenda])</f>
        <v>830</v>
      </c>
      <c r="I2974" s="3">
        <f>Vendas[[#This Row],[Valor Unitário]]*Vendas[[#This Row],[Qnt Vendida]]</f>
        <v>1660</v>
      </c>
      <c r="J2974" s="3">
        <f>Vendas[[#This Row],[Valor da Venda]]-(_xlfn.XLOOKUP(Vendas[[#This Row],[ID Item Vendido]],Agregado[ID],Agregado[Custo])*Vendas[[#This Row],[Qnt Vendida]])</f>
        <v>300</v>
      </c>
      <c r="K2974" s="70">
        <f>Vendas[[#This Row],[Lucro da Venda]]/Vendas[[#This Row],[Valor da Venda]]</f>
        <v>0.18072289156626506</v>
      </c>
      <c r="L2974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974"/>
    </row>
    <row r="2975" spans="1:13" x14ac:dyDescent="0.3">
      <c r="A2975" s="7">
        <v>400254</v>
      </c>
      <c r="B2975" t="str">
        <f>_xlfn.XLOOKUP(Vendas[[#This Row],[ID Vendedor]],Vendedores[ID],Vendedores[Nome])</f>
        <v>Beatriz</v>
      </c>
      <c r="C2975" s="7" t="str">
        <f>_xlfn.XLOOKUP(Vendas[[#This Row],[ID Vendedor]],Vendedores[ID],Vendedores[Setor])</f>
        <v>SC</v>
      </c>
      <c r="D2975" s="7" t="s">
        <v>25</v>
      </c>
      <c r="E2975" t="str">
        <f>_xlfn.XLOOKUP(Vendas[[#This Row],[ID Item Vendido]],Agregado[ID],Agregado[Produto])</f>
        <v>Palete de plástico</v>
      </c>
      <c r="F2975" s="39">
        <v>45241</v>
      </c>
      <c r="G2975" s="7">
        <v>12</v>
      </c>
      <c r="H2975" s="3">
        <f>_xlfn.XLOOKUP(Vendas[[#This Row],[ID Item Vendido]],Agregado[ID],Agregado[Revenda])</f>
        <v>70.8</v>
      </c>
      <c r="I2975" s="3">
        <f>Vendas[[#This Row],[Valor Unitário]]*Vendas[[#This Row],[Qnt Vendida]]</f>
        <v>849.59999999999991</v>
      </c>
      <c r="J2975" s="3">
        <f>Vendas[[#This Row],[Valor da Venda]]-(_xlfn.XLOOKUP(Vendas[[#This Row],[ID Item Vendido]],Agregado[ID],Agregado[Custo])*Vendas[[#This Row],[Qnt Vendida]])</f>
        <v>129.59999999999991</v>
      </c>
      <c r="K2975" s="70">
        <f>Vendas[[#This Row],[Lucro da Venda]]/Vendas[[#This Row],[Valor da Venda]]</f>
        <v>0.15254237288135583</v>
      </c>
      <c r="L2975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2975"/>
    </row>
    <row r="2976" spans="1:13" x14ac:dyDescent="0.3">
      <c r="A2976" s="7">
        <v>400242</v>
      </c>
      <c r="B2976" t="str">
        <f>_xlfn.XLOOKUP(Vendas[[#This Row],[ID Vendedor]],Vendedores[ID],Vendedores[Nome])</f>
        <v>Fernanda</v>
      </c>
      <c r="C2976" s="7" t="str">
        <f>_xlfn.XLOOKUP(Vendas[[#This Row],[ID Vendedor]],Vendedores[ID],Vendedores[Setor])</f>
        <v>FM</v>
      </c>
      <c r="D2976" s="7" t="s">
        <v>6</v>
      </c>
      <c r="E2976" t="str">
        <f>_xlfn.XLOOKUP(Vendas[[#This Row],[ID Item Vendido]],Agregado[ID],Agregado[Produto])</f>
        <v>Parafuso comum 500un</v>
      </c>
      <c r="F2976" s="39">
        <v>45242</v>
      </c>
      <c r="G2976" s="7">
        <v>17</v>
      </c>
      <c r="H2976" s="3">
        <f>_xlfn.XLOOKUP(Vendas[[#This Row],[ID Item Vendido]],Agregado[ID],Agregado[Revenda])</f>
        <v>24.6</v>
      </c>
      <c r="I2976" s="3">
        <f>Vendas[[#This Row],[Valor Unitário]]*Vendas[[#This Row],[Qnt Vendida]]</f>
        <v>418.20000000000005</v>
      </c>
      <c r="J2976" s="3">
        <f>Vendas[[#This Row],[Valor da Venda]]-(_xlfn.XLOOKUP(Vendas[[#This Row],[ID Item Vendido]],Agregado[ID],Agregado[Custo])*Vendas[[#This Row],[Qnt Vendida]])</f>
        <v>44.200000000000045</v>
      </c>
      <c r="K2976" s="70">
        <f>Vendas[[#This Row],[Lucro da Venda]]/Vendas[[#This Row],[Valor da Venda]]</f>
        <v>0.10569105691056921</v>
      </c>
      <c r="L2976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2976"/>
    </row>
    <row r="2977" spans="1:13" x14ac:dyDescent="0.3">
      <c r="A2977" s="7">
        <v>400243</v>
      </c>
      <c r="B2977" t="str">
        <f>_xlfn.XLOOKUP(Vendas[[#This Row],[ID Vendedor]],Vendedores[ID],Vendedores[Nome])</f>
        <v>Marcelo</v>
      </c>
      <c r="C2977" s="7" t="str">
        <f>_xlfn.XLOOKUP(Vendas[[#This Row],[ID Vendedor]],Vendedores[ID],Vendedores[Setor])</f>
        <v>FM</v>
      </c>
      <c r="D2977" s="7" t="s">
        <v>6</v>
      </c>
      <c r="E2977" t="str">
        <f>_xlfn.XLOOKUP(Vendas[[#This Row],[ID Item Vendido]],Agregado[ID],Agregado[Produto])</f>
        <v>Parafuso comum 500un</v>
      </c>
      <c r="F2977" s="39">
        <v>45242</v>
      </c>
      <c r="G2977" s="7">
        <v>17</v>
      </c>
      <c r="H2977" s="3">
        <f>_xlfn.XLOOKUP(Vendas[[#This Row],[ID Item Vendido]],Agregado[ID],Agregado[Revenda])</f>
        <v>24.6</v>
      </c>
      <c r="I2977" s="3">
        <f>Vendas[[#This Row],[Valor Unitário]]*Vendas[[#This Row],[Qnt Vendida]]</f>
        <v>418.20000000000005</v>
      </c>
      <c r="J2977" s="3">
        <f>Vendas[[#This Row],[Valor da Venda]]-(_xlfn.XLOOKUP(Vendas[[#This Row],[ID Item Vendido]],Agregado[ID],Agregado[Custo])*Vendas[[#This Row],[Qnt Vendida]])</f>
        <v>44.200000000000045</v>
      </c>
      <c r="K2977" s="70">
        <f>Vendas[[#This Row],[Lucro da Venda]]/Vendas[[#This Row],[Valor da Venda]]</f>
        <v>0.10569105691056921</v>
      </c>
      <c r="L2977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2977"/>
    </row>
    <row r="2978" spans="1:13" x14ac:dyDescent="0.3">
      <c r="A2978" s="7">
        <v>400246</v>
      </c>
      <c r="B2978" t="str">
        <f>_xlfn.XLOOKUP(Vendas[[#This Row],[ID Vendedor]],Vendedores[ID],Vendedores[Nome])</f>
        <v>Juliana</v>
      </c>
      <c r="C2978" s="7" t="str">
        <f>_xlfn.XLOOKUP(Vendas[[#This Row],[ID Vendedor]],Vendedores[ID],Vendedores[Setor])</f>
        <v>AHD</v>
      </c>
      <c r="D2978" s="7" t="s">
        <v>18</v>
      </c>
      <c r="E2978" t="str">
        <f>_xlfn.XLOOKUP(Vendas[[#This Row],[ID Item Vendido]],Agregado[ID],Agregado[Produto])</f>
        <v>Peça forjada sob encomenda</v>
      </c>
      <c r="F2978" s="39">
        <v>45242</v>
      </c>
      <c r="G2978" s="7">
        <v>1</v>
      </c>
      <c r="H2978" s="3">
        <f>_xlfn.XLOOKUP(Vendas[[#This Row],[ID Item Vendido]],Agregado[ID],Agregado[Revenda])</f>
        <v>264.60000000000002</v>
      </c>
      <c r="I2978" s="3">
        <f>Vendas[[#This Row],[Valor Unitário]]*Vendas[[#This Row],[Qnt Vendida]]</f>
        <v>264.60000000000002</v>
      </c>
      <c r="J2978" s="3">
        <f>Vendas[[#This Row],[Valor da Venda]]-(_xlfn.XLOOKUP(Vendas[[#This Row],[ID Item Vendido]],Agregado[ID],Agregado[Custo])*Vendas[[#This Row],[Qnt Vendida]])</f>
        <v>14.600000000000023</v>
      </c>
      <c r="K2978" s="70">
        <f>Vendas[[#This Row],[Lucro da Venda]]/Vendas[[#This Row],[Valor da Venda]]</f>
        <v>5.5177626606198113E-2</v>
      </c>
      <c r="L2978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2978"/>
    </row>
    <row r="2979" spans="1:13" x14ac:dyDescent="0.3">
      <c r="A2979" s="7">
        <v>400244</v>
      </c>
      <c r="B2979" t="str">
        <f>_xlfn.XLOOKUP(Vendas[[#This Row],[ID Vendedor]],Vendedores[ID],Vendedores[Nome])</f>
        <v>Camila</v>
      </c>
      <c r="C2979" s="7" t="str">
        <f>_xlfn.XLOOKUP(Vendas[[#This Row],[ID Vendedor]],Vendedores[ID],Vendedores[Setor])</f>
        <v>AHD</v>
      </c>
      <c r="D2979" s="7" t="s">
        <v>28</v>
      </c>
      <c r="E2979" t="str">
        <f>_xlfn.XLOOKUP(Vendas[[#This Row],[ID Item Vendido]],Agregado[ID],Agregado[Produto])</f>
        <v>Peça usinada CNC</v>
      </c>
      <c r="F2979" s="39">
        <v>45242</v>
      </c>
      <c r="G2979" s="7">
        <v>1</v>
      </c>
      <c r="H2979" s="3">
        <f>_xlfn.XLOOKUP(Vendas[[#This Row],[ID Item Vendido]],Agregado[ID],Agregado[Revenda])</f>
        <v>192</v>
      </c>
      <c r="I2979" s="3">
        <f>Vendas[[#This Row],[Valor Unitário]]*Vendas[[#This Row],[Qnt Vendida]]</f>
        <v>192</v>
      </c>
      <c r="J2979" s="3">
        <f>Vendas[[#This Row],[Valor da Venda]]-(_xlfn.XLOOKUP(Vendas[[#This Row],[ID Item Vendido]],Agregado[ID],Agregado[Custo])*Vendas[[#This Row],[Qnt Vendida]])</f>
        <v>42</v>
      </c>
      <c r="K2979" s="70">
        <f>Vendas[[#This Row],[Lucro da Venda]]/Vendas[[#This Row],[Valor da Venda]]</f>
        <v>0.21875</v>
      </c>
      <c r="L2979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2979"/>
    </row>
    <row r="2980" spans="1:13" x14ac:dyDescent="0.3">
      <c r="A2980" s="7">
        <v>400251</v>
      </c>
      <c r="B2980" t="str">
        <f>_xlfn.XLOOKUP(Vendas[[#This Row],[ID Vendedor]],Vendedores[ID],Vendedores[Nome])</f>
        <v>Diego</v>
      </c>
      <c r="C2980" s="7" t="str">
        <f>_xlfn.XLOOKUP(Vendas[[#This Row],[ID Vendedor]],Vendedores[ID],Vendedores[Setor])</f>
        <v>AB</v>
      </c>
      <c r="D2980" s="7" t="s">
        <v>24</v>
      </c>
      <c r="E2980" t="str">
        <f>_xlfn.XLOOKUP(Vendas[[#This Row],[ID Item Vendido]],Agregado[ID],Agregado[Produto])</f>
        <v>Resina plástica PET purificada saco de 25kg</v>
      </c>
      <c r="F2980" s="39">
        <v>45243</v>
      </c>
      <c r="G2980" s="7">
        <v>28</v>
      </c>
      <c r="H2980" s="3">
        <f>_xlfn.XLOOKUP(Vendas[[#This Row],[ID Item Vendido]],Agregado[ID],Agregado[Revenda])</f>
        <v>119</v>
      </c>
      <c r="I2980" s="3">
        <f>Vendas[[#This Row],[Valor Unitário]]*Vendas[[#This Row],[Qnt Vendida]]</f>
        <v>3332</v>
      </c>
      <c r="J2980" s="3">
        <f>Vendas[[#This Row],[Valor da Venda]]-(_xlfn.XLOOKUP(Vendas[[#This Row],[ID Item Vendido]],Agregado[ID],Agregado[Custo])*Vendas[[#This Row],[Qnt Vendida]])</f>
        <v>952</v>
      </c>
      <c r="K2980" s="70">
        <f>Vendas[[#This Row],[Lucro da Venda]]/Vendas[[#This Row],[Valor da Venda]]</f>
        <v>0.2857142857142857</v>
      </c>
      <c r="L2980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2980"/>
    </row>
    <row r="2981" spans="1:13" x14ac:dyDescent="0.3">
      <c r="A2981" s="7">
        <v>400254</v>
      </c>
      <c r="B2981" t="str">
        <f>_xlfn.XLOOKUP(Vendas[[#This Row],[ID Vendedor]],Vendedores[ID],Vendedores[Nome])</f>
        <v>Beatriz</v>
      </c>
      <c r="C2981" s="7" t="str">
        <f>_xlfn.XLOOKUP(Vendas[[#This Row],[ID Vendedor]],Vendedores[ID],Vendedores[Setor])</f>
        <v>SC</v>
      </c>
      <c r="D2981" s="7" t="s">
        <v>48</v>
      </c>
      <c r="E2981" t="str">
        <f>_xlfn.XLOOKUP(Vendas[[#This Row],[ID Item Vendido]],Agregado[ID],Agregado[Produto])</f>
        <v>Tambor metálico 200L</v>
      </c>
      <c r="F2981" s="39">
        <v>45243</v>
      </c>
      <c r="G2981" s="7">
        <v>14</v>
      </c>
      <c r="H2981" s="3">
        <f>_xlfn.XLOOKUP(Vendas[[#This Row],[ID Item Vendido]],Agregado[ID],Agregado[Revenda])</f>
        <v>144</v>
      </c>
      <c r="I2981" s="3">
        <f>Vendas[[#This Row],[Valor Unitário]]*Vendas[[#This Row],[Qnt Vendida]]</f>
        <v>2016</v>
      </c>
      <c r="J2981" s="3">
        <f>Vendas[[#This Row],[Valor da Venda]]-(_xlfn.XLOOKUP(Vendas[[#This Row],[ID Item Vendido]],Agregado[ID],Agregado[Custo])*Vendas[[#This Row],[Qnt Vendida]])</f>
        <v>336</v>
      </c>
      <c r="K2981" s="70">
        <f>Vendas[[#This Row],[Lucro da Venda]]/Vendas[[#This Row],[Valor da Venda]]</f>
        <v>0.16666666666666666</v>
      </c>
      <c r="L2981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2981"/>
    </row>
    <row r="2982" spans="1:13" x14ac:dyDescent="0.3">
      <c r="A2982" s="7">
        <v>400253</v>
      </c>
      <c r="B2982" t="str">
        <f>_xlfn.XLOOKUP(Vendas[[#This Row],[ID Vendedor]],Vendedores[ID],Vendedores[Nome])</f>
        <v>Gustavo</v>
      </c>
      <c r="C2982" s="7" t="str">
        <f>_xlfn.XLOOKUP(Vendas[[#This Row],[ID Vendedor]],Vendedores[ID],Vendedores[Setor])</f>
        <v>SC</v>
      </c>
      <c r="D2982" s="7" t="s">
        <v>14</v>
      </c>
      <c r="E2982" t="str">
        <f>_xlfn.XLOOKUP(Vendas[[#This Row],[ID Item Vendido]],Agregado[ID],Agregado[Produto])</f>
        <v>Barril de plástico 200L</v>
      </c>
      <c r="F2982" s="39">
        <v>45243</v>
      </c>
      <c r="G2982" s="7">
        <v>2</v>
      </c>
      <c r="H2982" s="3">
        <f>_xlfn.XLOOKUP(Vendas[[#This Row],[ID Item Vendido]],Agregado[ID],Agregado[Revenda])</f>
        <v>114</v>
      </c>
      <c r="I2982" s="3">
        <f>Vendas[[#This Row],[Valor Unitário]]*Vendas[[#This Row],[Qnt Vendida]]</f>
        <v>228</v>
      </c>
      <c r="J2982" s="3">
        <f>Vendas[[#This Row],[Valor da Venda]]-(_xlfn.XLOOKUP(Vendas[[#This Row],[ID Item Vendido]],Agregado[ID],Agregado[Custo])*Vendas[[#This Row],[Qnt Vendida]])</f>
        <v>38</v>
      </c>
      <c r="K2982" s="70">
        <f>Vendas[[#This Row],[Lucro da Venda]]/Vendas[[#This Row],[Valor da Venda]]</f>
        <v>0.16666666666666666</v>
      </c>
      <c r="L2982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2982"/>
    </row>
    <row r="2983" spans="1:13" x14ac:dyDescent="0.3">
      <c r="A2983" s="7">
        <v>400243</v>
      </c>
      <c r="B2983" t="str">
        <f>_xlfn.XLOOKUP(Vendas[[#This Row],[ID Vendedor]],Vendedores[ID],Vendedores[Nome])</f>
        <v>Marcelo</v>
      </c>
      <c r="C2983" s="7" t="str">
        <f>_xlfn.XLOOKUP(Vendas[[#This Row],[ID Vendedor]],Vendedores[ID],Vendedores[Setor])</f>
        <v>FM</v>
      </c>
      <c r="D2983" s="7" t="s">
        <v>31</v>
      </c>
      <c r="E2983" t="str">
        <f>_xlfn.XLOOKUP(Vendas[[#This Row],[ID Item Vendido]],Agregado[ID],Agregado[Produto])</f>
        <v>Tela de metal soldada rolo 2x25m</v>
      </c>
      <c r="F2983" s="39">
        <v>45244</v>
      </c>
      <c r="G2983" s="7">
        <v>2</v>
      </c>
      <c r="H2983" s="3">
        <f>_xlfn.XLOOKUP(Vendas[[#This Row],[ID Item Vendido]],Agregado[ID],Agregado[Revenda])</f>
        <v>43.7</v>
      </c>
      <c r="I2983" s="3">
        <f>Vendas[[#This Row],[Valor Unitário]]*Vendas[[#This Row],[Qnt Vendida]]</f>
        <v>87.4</v>
      </c>
      <c r="J2983" s="3">
        <f>Vendas[[#This Row],[Valor da Venda]]-(_xlfn.XLOOKUP(Vendas[[#This Row],[ID Item Vendido]],Agregado[ID],Agregado[Custo])*Vendas[[#This Row],[Qnt Vendida]])</f>
        <v>11.400000000000006</v>
      </c>
      <c r="K2983" s="70">
        <f>Vendas[[#This Row],[Lucro da Venda]]/Vendas[[#This Row],[Valor da Venda]]</f>
        <v>0.1304347826086957</v>
      </c>
      <c r="L2983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2983"/>
    </row>
    <row r="2984" spans="1:13" x14ac:dyDescent="0.3">
      <c r="A2984" s="7">
        <v>400248</v>
      </c>
      <c r="B2984" t="str">
        <f>_xlfn.XLOOKUP(Vendas[[#This Row],[ID Vendedor]],Vendedores[ID],Vendedores[Nome])</f>
        <v>Patrícia</v>
      </c>
      <c r="C2984" s="7" t="str">
        <f>_xlfn.XLOOKUP(Vendas[[#This Row],[ID Vendedor]],Vendedores[ID],Vendedores[Setor])</f>
        <v>CM</v>
      </c>
      <c r="D2984" s="7" t="s">
        <v>45</v>
      </c>
      <c r="E2984" t="str">
        <f>_xlfn.XLOOKUP(Vendas[[#This Row],[ID Item Vendido]],Agregado[ID],Agregado[Produto])</f>
        <v>Viga de madeira tratada 4m</v>
      </c>
      <c r="F2984" s="39">
        <v>45245</v>
      </c>
      <c r="G2984" s="7">
        <v>20</v>
      </c>
      <c r="H2984" s="3">
        <f>_xlfn.XLOOKUP(Vendas[[#This Row],[ID Item Vendido]],Agregado[ID],Agregado[Revenda])</f>
        <v>66</v>
      </c>
      <c r="I2984" s="3">
        <f>Vendas[[#This Row],[Valor Unitário]]*Vendas[[#This Row],[Qnt Vendida]]</f>
        <v>1320</v>
      </c>
      <c r="J2984" s="3">
        <f>Vendas[[#This Row],[Valor da Venda]]-(_xlfn.XLOOKUP(Vendas[[#This Row],[ID Item Vendido]],Agregado[ID],Agregado[Custo])*Vendas[[#This Row],[Qnt Vendida]])</f>
        <v>220</v>
      </c>
      <c r="K2984" s="70">
        <f>Vendas[[#This Row],[Lucro da Venda]]/Vendas[[#This Row],[Valor da Venda]]</f>
        <v>0.16666666666666666</v>
      </c>
      <c r="L2984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2984"/>
    </row>
    <row r="2985" spans="1:13" x14ac:dyDescent="0.3">
      <c r="A2985" s="7">
        <v>400246</v>
      </c>
      <c r="B2985" t="str">
        <f>_xlfn.XLOOKUP(Vendas[[#This Row],[ID Vendedor]],Vendedores[ID],Vendedores[Nome])</f>
        <v>Juliana</v>
      </c>
      <c r="C2985" s="7" t="str">
        <f>_xlfn.XLOOKUP(Vendas[[#This Row],[ID Vendedor]],Vendedores[ID],Vendedores[Setor])</f>
        <v>AHD</v>
      </c>
      <c r="D2985" s="7" t="s">
        <v>28</v>
      </c>
      <c r="E2985" t="str">
        <f>_xlfn.XLOOKUP(Vendas[[#This Row],[ID Item Vendido]],Agregado[ID],Agregado[Produto])</f>
        <v>Peça usinada CNC</v>
      </c>
      <c r="F2985" s="39">
        <v>45245</v>
      </c>
      <c r="G2985" s="7">
        <v>4</v>
      </c>
      <c r="H2985" s="3">
        <f>_xlfn.XLOOKUP(Vendas[[#This Row],[ID Item Vendido]],Agregado[ID],Agregado[Revenda])</f>
        <v>192</v>
      </c>
      <c r="I2985" s="3">
        <f>Vendas[[#This Row],[Valor Unitário]]*Vendas[[#This Row],[Qnt Vendida]]</f>
        <v>768</v>
      </c>
      <c r="J2985" s="3">
        <f>Vendas[[#This Row],[Valor da Venda]]-(_xlfn.XLOOKUP(Vendas[[#This Row],[ID Item Vendido]],Agregado[ID],Agregado[Custo])*Vendas[[#This Row],[Qnt Vendida]])</f>
        <v>168</v>
      </c>
      <c r="K2985" s="70">
        <f>Vendas[[#This Row],[Lucro da Venda]]/Vendas[[#This Row],[Valor da Venda]]</f>
        <v>0.21875</v>
      </c>
      <c r="L2985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2985"/>
    </row>
    <row r="2986" spans="1:13" x14ac:dyDescent="0.3">
      <c r="A2986" s="7">
        <v>400246</v>
      </c>
      <c r="B2986" t="str">
        <f>_xlfn.XLOOKUP(Vendas[[#This Row],[ID Vendedor]],Vendedores[ID],Vendedores[Nome])</f>
        <v>Juliana</v>
      </c>
      <c r="C2986" s="7" t="str">
        <f>_xlfn.XLOOKUP(Vendas[[#This Row],[ID Vendedor]],Vendedores[ID],Vendedores[Setor])</f>
        <v>AHD</v>
      </c>
      <c r="D2986" s="7" t="s">
        <v>44</v>
      </c>
      <c r="E2986" t="str">
        <f>_xlfn.XLOOKUP(Vendas[[#This Row],[ID Item Vendido]],Agregado[ID],Agregado[Produto])</f>
        <v>Liga metálica especial</v>
      </c>
      <c r="F2986" s="39">
        <v>45245</v>
      </c>
      <c r="G2986" s="7">
        <v>23</v>
      </c>
      <c r="H2986" s="3">
        <f>_xlfn.XLOOKUP(Vendas[[#This Row],[ID Item Vendido]],Agregado[ID],Agregado[Revenda])</f>
        <v>32.5</v>
      </c>
      <c r="I2986" s="3">
        <f>Vendas[[#This Row],[Valor Unitário]]*Vendas[[#This Row],[Qnt Vendida]]</f>
        <v>747.5</v>
      </c>
      <c r="J2986" s="3">
        <f>Vendas[[#This Row],[Valor da Venda]]-(_xlfn.XLOOKUP(Vendas[[#This Row],[ID Item Vendido]],Agregado[ID],Agregado[Custo])*Vendas[[#This Row],[Qnt Vendida]])</f>
        <v>172.5</v>
      </c>
      <c r="K2986" s="70">
        <f>Vendas[[#This Row],[Lucro da Venda]]/Vendas[[#This Row],[Valor da Venda]]</f>
        <v>0.23076923076923078</v>
      </c>
      <c r="L2986" s="3">
        <f>_xlfn.IFS(Vendas[[#This Row],[Margem de Lucro (%)]]&lt;15%,Vendas[[#This Row],[Valor da Venda]]*3%,Vendas[[#This Row],[Margem de Lucro (%)]]&lt;=20%,Vendas[[#This Row],[Valor da Venda]]*4.5%,TRUE,Vendas[[#This Row],[Valor da Venda]]*6%)</f>
        <v>44.85</v>
      </c>
      <c r="M2986"/>
    </row>
    <row r="2987" spans="1:13" x14ac:dyDescent="0.3">
      <c r="A2987" s="7">
        <v>400254</v>
      </c>
      <c r="B2987" t="str">
        <f>_xlfn.XLOOKUP(Vendas[[#This Row],[ID Vendedor]],Vendedores[ID],Vendedores[Nome])</f>
        <v>Beatriz</v>
      </c>
      <c r="C2987" s="7" t="str">
        <f>_xlfn.XLOOKUP(Vendas[[#This Row],[ID Vendedor]],Vendedores[ID],Vendedores[Setor])</f>
        <v>SC</v>
      </c>
      <c r="D2987" s="7" t="s">
        <v>14</v>
      </c>
      <c r="E2987" t="str">
        <f>_xlfn.XLOOKUP(Vendas[[#This Row],[ID Item Vendido]],Agregado[ID],Agregado[Produto])</f>
        <v>Barril de plástico 200L</v>
      </c>
      <c r="F2987" s="39">
        <v>45246</v>
      </c>
      <c r="G2987" s="7">
        <v>13</v>
      </c>
      <c r="H2987" s="3">
        <f>_xlfn.XLOOKUP(Vendas[[#This Row],[ID Item Vendido]],Agregado[ID],Agregado[Revenda])</f>
        <v>114</v>
      </c>
      <c r="I2987" s="3">
        <f>Vendas[[#This Row],[Valor Unitário]]*Vendas[[#This Row],[Qnt Vendida]]</f>
        <v>1482</v>
      </c>
      <c r="J2987" s="3">
        <f>Vendas[[#This Row],[Valor da Venda]]-(_xlfn.XLOOKUP(Vendas[[#This Row],[ID Item Vendido]],Agregado[ID],Agregado[Custo])*Vendas[[#This Row],[Qnt Vendida]])</f>
        <v>247</v>
      </c>
      <c r="K2987" s="70">
        <f>Vendas[[#This Row],[Lucro da Venda]]/Vendas[[#This Row],[Valor da Venda]]</f>
        <v>0.16666666666666666</v>
      </c>
      <c r="L2987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2987"/>
    </row>
    <row r="2988" spans="1:13" x14ac:dyDescent="0.3">
      <c r="A2988" s="7">
        <v>400250</v>
      </c>
      <c r="B2988" t="str">
        <f>_xlfn.XLOOKUP(Vendas[[#This Row],[ID Vendedor]],Vendedores[ID],Vendedores[Nome])</f>
        <v>Larissa</v>
      </c>
      <c r="C2988" s="7" t="str">
        <f>_xlfn.XLOOKUP(Vendas[[#This Row],[ID Vendedor]],Vendedores[ID],Vendedores[Setor])</f>
        <v>AB</v>
      </c>
      <c r="D2988" s="7" t="s">
        <v>36</v>
      </c>
      <c r="E2988" t="str">
        <f>_xlfn.XLOOKUP(Vendas[[#This Row],[ID Item Vendido]],Agregado[ID],Agregado[Produto])</f>
        <v>Borracha vulcanizada em manta</v>
      </c>
      <c r="F2988" s="39">
        <v>45246</v>
      </c>
      <c r="G2988" s="7">
        <v>26</v>
      </c>
      <c r="H2988" s="3">
        <f>_xlfn.XLOOKUP(Vendas[[#This Row],[ID Item Vendido]],Agregado[ID],Agregado[Revenda])</f>
        <v>7.8</v>
      </c>
      <c r="I2988" s="3">
        <f>Vendas[[#This Row],[Valor Unitário]]*Vendas[[#This Row],[Qnt Vendida]]</f>
        <v>202.79999999999998</v>
      </c>
      <c r="J2988" s="3">
        <f>Vendas[[#This Row],[Valor da Venda]]-(_xlfn.XLOOKUP(Vendas[[#This Row],[ID Item Vendido]],Agregado[ID],Agregado[Custo])*Vendas[[#This Row],[Qnt Vendida]])</f>
        <v>46.799999999999983</v>
      </c>
      <c r="K2988" s="70">
        <f>Vendas[[#This Row],[Lucro da Venda]]/Vendas[[#This Row],[Valor da Venda]]</f>
        <v>0.2307692307692307</v>
      </c>
      <c r="L2988" s="3">
        <f>_xlfn.IFS(Vendas[[#This Row],[Margem de Lucro (%)]]&lt;15%,Vendas[[#This Row],[Valor da Venda]]*3%,Vendas[[#This Row],[Margem de Lucro (%)]]&lt;=20%,Vendas[[#This Row],[Valor da Venda]]*4.5%,TRUE,Vendas[[#This Row],[Valor da Venda]]*6%)</f>
        <v>12.167999999999999</v>
      </c>
      <c r="M2988"/>
    </row>
    <row r="2989" spans="1:13" x14ac:dyDescent="0.3">
      <c r="A2989" s="7">
        <v>400254</v>
      </c>
      <c r="B2989" t="str">
        <f>_xlfn.XLOOKUP(Vendas[[#This Row],[ID Vendedor]],Vendedores[ID],Vendedores[Nome])</f>
        <v>Beatriz</v>
      </c>
      <c r="C2989" s="7" t="str">
        <f>_xlfn.XLOOKUP(Vendas[[#This Row],[ID Vendedor]],Vendedores[ID],Vendedores[Setor])</f>
        <v>SC</v>
      </c>
      <c r="D2989" s="7" t="s">
        <v>42</v>
      </c>
      <c r="E2989" t="str">
        <f>_xlfn.XLOOKUP(Vendas[[#This Row],[ID Item Vendido]],Agregado[ID],Agregado[Produto])</f>
        <v>Container de ferro industrial</v>
      </c>
      <c r="F2989" s="39">
        <v>45247</v>
      </c>
      <c r="G2989" s="7">
        <v>6</v>
      </c>
      <c r="H2989" s="3">
        <f>_xlfn.XLOOKUP(Vendas[[#This Row],[ID Item Vendido]],Agregado[ID],Agregado[Revenda])</f>
        <v>830</v>
      </c>
      <c r="I2989" s="3">
        <f>Vendas[[#This Row],[Valor Unitário]]*Vendas[[#This Row],[Qnt Vendida]]</f>
        <v>4980</v>
      </c>
      <c r="J2989" s="3">
        <f>Vendas[[#This Row],[Valor da Venda]]-(_xlfn.XLOOKUP(Vendas[[#This Row],[ID Item Vendido]],Agregado[ID],Agregado[Custo])*Vendas[[#This Row],[Qnt Vendida]])</f>
        <v>900</v>
      </c>
      <c r="K2989" s="70">
        <f>Vendas[[#This Row],[Lucro da Venda]]/Vendas[[#This Row],[Valor da Venda]]</f>
        <v>0.18072289156626506</v>
      </c>
      <c r="L2989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2989"/>
    </row>
    <row r="2990" spans="1:13" x14ac:dyDescent="0.3">
      <c r="A2990" s="7">
        <v>400254</v>
      </c>
      <c r="B2990" t="str">
        <f>_xlfn.XLOOKUP(Vendas[[#This Row],[ID Vendedor]],Vendedores[ID],Vendedores[Nome])</f>
        <v>Beatriz</v>
      </c>
      <c r="C2990" s="7" t="str">
        <f>_xlfn.XLOOKUP(Vendas[[#This Row],[ID Vendedor]],Vendedores[ID],Vendedores[Setor])</f>
        <v>SC</v>
      </c>
      <c r="D2990" s="7" t="s">
        <v>14</v>
      </c>
      <c r="E2990" t="str">
        <f>_xlfn.XLOOKUP(Vendas[[#This Row],[ID Item Vendido]],Agregado[ID],Agregado[Produto])</f>
        <v>Barril de plástico 200L</v>
      </c>
      <c r="F2990" s="39">
        <v>45247</v>
      </c>
      <c r="G2990" s="7">
        <v>18</v>
      </c>
      <c r="H2990" s="3">
        <f>_xlfn.XLOOKUP(Vendas[[#This Row],[ID Item Vendido]],Agregado[ID],Agregado[Revenda])</f>
        <v>114</v>
      </c>
      <c r="I2990" s="3">
        <f>Vendas[[#This Row],[Valor Unitário]]*Vendas[[#This Row],[Qnt Vendida]]</f>
        <v>2052</v>
      </c>
      <c r="J2990" s="3">
        <f>Vendas[[#This Row],[Valor da Venda]]-(_xlfn.XLOOKUP(Vendas[[#This Row],[ID Item Vendido]],Agregado[ID],Agregado[Custo])*Vendas[[#This Row],[Qnt Vendida]])</f>
        <v>342</v>
      </c>
      <c r="K2990" s="70">
        <f>Vendas[[#This Row],[Lucro da Venda]]/Vendas[[#This Row],[Valor da Venda]]</f>
        <v>0.16666666666666666</v>
      </c>
      <c r="L2990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2990"/>
    </row>
    <row r="2991" spans="1:13" x14ac:dyDescent="0.3">
      <c r="A2991" s="7">
        <v>400253</v>
      </c>
      <c r="B2991" t="str">
        <f>_xlfn.XLOOKUP(Vendas[[#This Row],[ID Vendedor]],Vendedores[ID],Vendedores[Nome])</f>
        <v>Gustavo</v>
      </c>
      <c r="C2991" s="7" t="str">
        <f>_xlfn.XLOOKUP(Vendas[[#This Row],[ID Vendedor]],Vendedores[ID],Vendedores[Setor])</f>
        <v>SC</v>
      </c>
      <c r="D2991" s="7" t="s">
        <v>42</v>
      </c>
      <c r="E2991" t="str">
        <f>_xlfn.XLOOKUP(Vendas[[#This Row],[ID Item Vendido]],Agregado[ID],Agregado[Produto])</f>
        <v>Container de ferro industrial</v>
      </c>
      <c r="F2991" s="39">
        <v>45247</v>
      </c>
      <c r="G2991" s="7">
        <v>2</v>
      </c>
      <c r="H2991" s="3">
        <f>_xlfn.XLOOKUP(Vendas[[#This Row],[ID Item Vendido]],Agregado[ID],Agregado[Revenda])</f>
        <v>830</v>
      </c>
      <c r="I2991" s="3">
        <f>Vendas[[#This Row],[Valor Unitário]]*Vendas[[#This Row],[Qnt Vendida]]</f>
        <v>1660</v>
      </c>
      <c r="J2991" s="3">
        <f>Vendas[[#This Row],[Valor da Venda]]-(_xlfn.XLOOKUP(Vendas[[#This Row],[ID Item Vendido]],Agregado[ID],Agregado[Custo])*Vendas[[#This Row],[Qnt Vendida]])</f>
        <v>300</v>
      </c>
      <c r="K2991" s="70">
        <f>Vendas[[#This Row],[Lucro da Venda]]/Vendas[[#This Row],[Valor da Venda]]</f>
        <v>0.18072289156626506</v>
      </c>
      <c r="L2991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2991"/>
    </row>
    <row r="2992" spans="1:13" x14ac:dyDescent="0.3">
      <c r="A2992" s="7">
        <v>400254</v>
      </c>
      <c r="B2992" t="str">
        <f>_xlfn.XLOOKUP(Vendas[[#This Row],[ID Vendedor]],Vendedores[ID],Vendedores[Nome])</f>
        <v>Beatriz</v>
      </c>
      <c r="C2992" s="7" t="str">
        <f>_xlfn.XLOOKUP(Vendas[[#This Row],[ID Vendedor]],Vendedores[ID],Vendedores[Setor])</f>
        <v>SC</v>
      </c>
      <c r="D2992" s="7" t="s">
        <v>14</v>
      </c>
      <c r="E2992" t="str">
        <f>_xlfn.XLOOKUP(Vendas[[#This Row],[ID Item Vendido]],Agregado[ID],Agregado[Produto])</f>
        <v>Barril de plástico 200L</v>
      </c>
      <c r="F2992" s="39">
        <v>45247</v>
      </c>
      <c r="G2992" s="7">
        <v>14</v>
      </c>
      <c r="H2992" s="3">
        <f>_xlfn.XLOOKUP(Vendas[[#This Row],[ID Item Vendido]],Agregado[ID],Agregado[Revenda])</f>
        <v>114</v>
      </c>
      <c r="I2992" s="3">
        <f>Vendas[[#This Row],[Valor Unitário]]*Vendas[[#This Row],[Qnt Vendida]]</f>
        <v>1596</v>
      </c>
      <c r="J2992" s="3">
        <f>Vendas[[#This Row],[Valor da Venda]]-(_xlfn.XLOOKUP(Vendas[[#This Row],[ID Item Vendido]],Agregado[ID],Agregado[Custo])*Vendas[[#This Row],[Qnt Vendida]])</f>
        <v>266</v>
      </c>
      <c r="K2992" s="70">
        <f>Vendas[[#This Row],[Lucro da Venda]]/Vendas[[#This Row],[Valor da Venda]]</f>
        <v>0.16666666666666666</v>
      </c>
      <c r="L2992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2992"/>
    </row>
    <row r="2993" spans="1:13" x14ac:dyDescent="0.3">
      <c r="A2993" s="7">
        <v>400254</v>
      </c>
      <c r="B2993" t="str">
        <f>_xlfn.XLOOKUP(Vendas[[#This Row],[ID Vendedor]],Vendedores[ID],Vendedores[Nome])</f>
        <v>Beatriz</v>
      </c>
      <c r="C2993" s="7" t="str">
        <f>_xlfn.XLOOKUP(Vendas[[#This Row],[ID Vendedor]],Vendedores[ID],Vendedores[Setor])</f>
        <v>SC</v>
      </c>
      <c r="D2993" s="7" t="s">
        <v>41</v>
      </c>
      <c r="E2993" t="str">
        <f>_xlfn.XLOOKUP(Vendas[[#This Row],[ID Item Vendido]],Agregado[ID],Agregado[Produto])</f>
        <v>Palete de madeira reforçado</v>
      </c>
      <c r="F2993" s="39">
        <v>45247</v>
      </c>
      <c r="G2993" s="7">
        <v>8</v>
      </c>
      <c r="H2993" s="3">
        <f>_xlfn.XLOOKUP(Vendas[[#This Row],[ID Item Vendido]],Agregado[ID],Agregado[Revenda])</f>
        <v>131</v>
      </c>
      <c r="I2993" s="3">
        <f>Vendas[[#This Row],[Valor Unitário]]*Vendas[[#This Row],[Qnt Vendida]]</f>
        <v>1048</v>
      </c>
      <c r="J2993" s="3">
        <f>Vendas[[#This Row],[Valor da Venda]]-(_xlfn.XLOOKUP(Vendas[[#This Row],[ID Item Vendido]],Agregado[ID],Agregado[Custo])*Vendas[[#This Row],[Qnt Vendida]])</f>
        <v>168</v>
      </c>
      <c r="K2993" s="70">
        <f>Vendas[[#This Row],[Lucro da Venda]]/Vendas[[#This Row],[Valor da Venda]]</f>
        <v>0.16030534351145037</v>
      </c>
      <c r="L2993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2993"/>
    </row>
    <row r="2994" spans="1:13" x14ac:dyDescent="0.3">
      <c r="A2994" s="7">
        <v>400250</v>
      </c>
      <c r="B2994" t="str">
        <f>_xlfn.XLOOKUP(Vendas[[#This Row],[ID Vendedor]],Vendedores[ID],Vendedores[Nome])</f>
        <v>Larissa</v>
      </c>
      <c r="C2994" s="7" t="str">
        <f>_xlfn.XLOOKUP(Vendas[[#This Row],[ID Vendedor]],Vendedores[ID],Vendedores[Setor])</f>
        <v>AB</v>
      </c>
      <c r="D2994" s="7" t="s">
        <v>37</v>
      </c>
      <c r="E2994" t="str">
        <f>_xlfn.XLOOKUP(Vendas[[#This Row],[ID Item Vendido]],Agregado[ID],Agregado[Produto])</f>
        <v>Composto de borracha para vedação rolo 10m</v>
      </c>
      <c r="F2994" s="39">
        <v>45247</v>
      </c>
      <c r="G2994" s="7">
        <v>13</v>
      </c>
      <c r="H2994" s="3">
        <f>_xlfn.XLOOKUP(Vendas[[#This Row],[ID Item Vendido]],Agregado[ID],Agregado[Revenda])</f>
        <v>51.2</v>
      </c>
      <c r="I2994" s="3">
        <f>Vendas[[#This Row],[Valor Unitário]]*Vendas[[#This Row],[Qnt Vendida]]</f>
        <v>665.6</v>
      </c>
      <c r="J2994" s="3">
        <f>Vendas[[#This Row],[Valor da Venda]]-(_xlfn.XLOOKUP(Vendas[[#This Row],[ID Item Vendido]],Agregado[ID],Agregado[Custo])*Vendas[[#This Row],[Qnt Vendida]])</f>
        <v>145.60000000000002</v>
      </c>
      <c r="K2994" s="70">
        <f>Vendas[[#This Row],[Lucro da Venda]]/Vendas[[#This Row],[Valor da Venda]]</f>
        <v>0.21875000000000003</v>
      </c>
      <c r="L2994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2994"/>
    </row>
    <row r="2995" spans="1:13" x14ac:dyDescent="0.3">
      <c r="A2995" s="7">
        <v>400250</v>
      </c>
      <c r="B2995" t="str">
        <f>_xlfn.XLOOKUP(Vendas[[#This Row],[ID Vendedor]],Vendedores[ID],Vendedores[Nome])</f>
        <v>Larissa</v>
      </c>
      <c r="C2995" s="7" t="str">
        <f>_xlfn.XLOOKUP(Vendas[[#This Row],[ID Vendedor]],Vendedores[ID],Vendedores[Setor])</f>
        <v>AB</v>
      </c>
      <c r="D2995" s="7" t="s">
        <v>37</v>
      </c>
      <c r="E2995" t="str">
        <f>_xlfn.XLOOKUP(Vendas[[#This Row],[ID Item Vendido]],Agregado[ID],Agregado[Produto])</f>
        <v>Composto de borracha para vedação rolo 10m</v>
      </c>
      <c r="F2995" s="39">
        <v>45247</v>
      </c>
      <c r="G2995" s="7">
        <v>11</v>
      </c>
      <c r="H2995" s="3">
        <f>_xlfn.XLOOKUP(Vendas[[#This Row],[ID Item Vendido]],Agregado[ID],Agregado[Revenda])</f>
        <v>51.2</v>
      </c>
      <c r="I2995" s="3">
        <f>Vendas[[#This Row],[Valor Unitário]]*Vendas[[#This Row],[Qnt Vendida]]</f>
        <v>563.20000000000005</v>
      </c>
      <c r="J2995" s="3">
        <f>Vendas[[#This Row],[Valor da Venda]]-(_xlfn.XLOOKUP(Vendas[[#This Row],[ID Item Vendido]],Agregado[ID],Agregado[Custo])*Vendas[[#This Row],[Qnt Vendida]])</f>
        <v>123.20000000000005</v>
      </c>
      <c r="K2995" s="70">
        <f>Vendas[[#This Row],[Lucro da Venda]]/Vendas[[#This Row],[Valor da Venda]]</f>
        <v>0.21875000000000006</v>
      </c>
      <c r="L2995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2995"/>
    </row>
    <row r="2996" spans="1:13" x14ac:dyDescent="0.3">
      <c r="A2996" s="7">
        <v>400249</v>
      </c>
      <c r="B2996" t="str">
        <f>_xlfn.XLOOKUP(Vendas[[#This Row],[ID Vendedor]],Vendedores[ID],Vendedores[Nome])</f>
        <v>Bruno</v>
      </c>
      <c r="C2996" s="7" t="str">
        <f>_xlfn.XLOOKUP(Vendas[[#This Row],[ID Vendedor]],Vendedores[ID],Vendedores[Setor])</f>
        <v>CM</v>
      </c>
      <c r="D2996" s="7" t="s">
        <v>34</v>
      </c>
      <c r="E2996" t="str">
        <f>_xlfn.XLOOKUP(Vendas[[#This Row],[ID Item Vendido]],Agregado[ID],Agregado[Produto])</f>
        <v>Restos de madeira p/ MDP/OSB saco de 20kg</v>
      </c>
      <c r="F2996" s="39">
        <v>45247</v>
      </c>
      <c r="G2996" s="7">
        <v>2</v>
      </c>
      <c r="H2996" s="3">
        <f>_xlfn.XLOOKUP(Vendas[[#This Row],[ID Item Vendido]],Agregado[ID],Agregado[Revenda])</f>
        <v>13.8</v>
      </c>
      <c r="I2996" s="3">
        <f>Vendas[[#This Row],[Valor Unitário]]*Vendas[[#This Row],[Qnt Vendida]]</f>
        <v>27.6</v>
      </c>
      <c r="J2996" s="3">
        <f>Vendas[[#This Row],[Valor da Venda]]-(_xlfn.XLOOKUP(Vendas[[#This Row],[ID Item Vendido]],Agregado[ID],Agregado[Custo])*Vendas[[#This Row],[Qnt Vendida]])</f>
        <v>3.6000000000000014</v>
      </c>
      <c r="K2996" s="70">
        <f>Vendas[[#This Row],[Lucro da Venda]]/Vendas[[#This Row],[Valor da Venda]]</f>
        <v>0.1304347826086957</v>
      </c>
      <c r="L2996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2996"/>
    </row>
    <row r="2997" spans="1:13" x14ac:dyDescent="0.3">
      <c r="A2997" s="7">
        <v>400248</v>
      </c>
      <c r="B2997" t="str">
        <f>_xlfn.XLOOKUP(Vendas[[#This Row],[ID Vendedor]],Vendedores[ID],Vendedores[Nome])</f>
        <v>Patrícia</v>
      </c>
      <c r="C2997" s="7" t="str">
        <f>_xlfn.XLOOKUP(Vendas[[#This Row],[ID Vendedor]],Vendedores[ID],Vendedores[Setor])</f>
        <v>CM</v>
      </c>
      <c r="D2997" s="7" t="s">
        <v>22</v>
      </c>
      <c r="E2997" t="str">
        <f>_xlfn.XLOOKUP(Vendas[[#This Row],[ID Item Vendido]],Agregado[ID],Agregado[Produto])</f>
        <v>Painel MDP 2,75x1,83m</v>
      </c>
      <c r="F2997" s="39">
        <v>45248</v>
      </c>
      <c r="G2997" s="7">
        <v>10</v>
      </c>
      <c r="H2997" s="3">
        <f>_xlfn.XLOOKUP(Vendas[[#This Row],[ID Item Vendido]],Agregado[ID],Agregado[Revenda])</f>
        <v>119</v>
      </c>
      <c r="I2997" s="3">
        <f>Vendas[[#This Row],[Valor Unitário]]*Vendas[[#This Row],[Qnt Vendida]]</f>
        <v>1190</v>
      </c>
      <c r="J2997" s="3">
        <f>Vendas[[#This Row],[Valor da Venda]]-(_xlfn.XLOOKUP(Vendas[[#This Row],[ID Item Vendido]],Agregado[ID],Agregado[Custo])*Vendas[[#This Row],[Qnt Vendida]])</f>
        <v>240</v>
      </c>
      <c r="K2997" s="70">
        <f>Vendas[[#This Row],[Lucro da Venda]]/Vendas[[#This Row],[Valor da Venda]]</f>
        <v>0.20168067226890757</v>
      </c>
      <c r="L2997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2997"/>
    </row>
    <row r="2998" spans="1:13" x14ac:dyDescent="0.3">
      <c r="A2998" s="7">
        <v>400246</v>
      </c>
      <c r="B2998" t="str">
        <f>_xlfn.XLOOKUP(Vendas[[#This Row],[ID Vendedor]],Vendedores[ID],Vendedores[Nome])</f>
        <v>Juliana</v>
      </c>
      <c r="C2998" s="7" t="str">
        <f>_xlfn.XLOOKUP(Vendas[[#This Row],[ID Vendedor]],Vendedores[ID],Vendedores[Setor])</f>
        <v>AHD</v>
      </c>
      <c r="D2998" s="7" t="s">
        <v>30</v>
      </c>
      <c r="E2998" t="str">
        <f>_xlfn.XLOOKUP(Vendas[[#This Row],[ID Item Vendido]],Agregado[ID],Agregado[Produto])</f>
        <v>Estrutura metálica soldada</v>
      </c>
      <c r="F2998" s="39">
        <v>45248</v>
      </c>
      <c r="G2998" s="7">
        <v>1</v>
      </c>
      <c r="H2998" s="3">
        <f>_xlfn.XLOOKUP(Vendas[[#This Row],[ID Item Vendido]],Agregado[ID],Agregado[Revenda])</f>
        <v>400</v>
      </c>
      <c r="I2998" s="3">
        <f>Vendas[[#This Row],[Valor Unitário]]*Vendas[[#This Row],[Qnt Vendida]]</f>
        <v>400</v>
      </c>
      <c r="J2998" s="3">
        <f>Vendas[[#This Row],[Valor da Venda]]-(_xlfn.XLOOKUP(Vendas[[#This Row],[ID Item Vendido]],Agregado[ID],Agregado[Custo])*Vendas[[#This Row],[Qnt Vendida]])</f>
        <v>80</v>
      </c>
      <c r="K2998" s="70">
        <f>Vendas[[#This Row],[Lucro da Venda]]/Vendas[[#This Row],[Valor da Venda]]</f>
        <v>0.2</v>
      </c>
      <c r="L2998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2998"/>
    </row>
    <row r="2999" spans="1:13" x14ac:dyDescent="0.3">
      <c r="A2999" s="7">
        <v>400241</v>
      </c>
      <c r="B2999" t="str">
        <f>_xlfn.XLOOKUP(Vendas[[#This Row],[ID Vendedor]],Vendedores[ID],Vendedores[Nome])</f>
        <v>Rodrigo</v>
      </c>
      <c r="C2999" s="7" t="str">
        <f>_xlfn.XLOOKUP(Vendas[[#This Row],[ID Vendedor]],Vendedores[ID],Vendedores[Setor])</f>
        <v>FM</v>
      </c>
      <c r="D2999" s="7" t="s">
        <v>6</v>
      </c>
      <c r="E2999" t="str">
        <f>_xlfn.XLOOKUP(Vendas[[#This Row],[ID Item Vendido]],Agregado[ID],Agregado[Produto])</f>
        <v>Parafuso comum 500un</v>
      </c>
      <c r="F2999" s="39">
        <v>45248</v>
      </c>
      <c r="G2999" s="7">
        <v>9</v>
      </c>
      <c r="H2999" s="3">
        <f>_xlfn.XLOOKUP(Vendas[[#This Row],[ID Item Vendido]],Agregado[ID],Agregado[Revenda])</f>
        <v>24.6</v>
      </c>
      <c r="I2999" s="3">
        <f>Vendas[[#This Row],[Valor Unitário]]*Vendas[[#This Row],[Qnt Vendida]]</f>
        <v>221.4</v>
      </c>
      <c r="J2999" s="3">
        <f>Vendas[[#This Row],[Valor da Venda]]-(_xlfn.XLOOKUP(Vendas[[#This Row],[ID Item Vendido]],Agregado[ID],Agregado[Custo])*Vendas[[#This Row],[Qnt Vendida]])</f>
        <v>23.400000000000006</v>
      </c>
      <c r="K2999" s="70">
        <f>Vendas[[#This Row],[Lucro da Venda]]/Vendas[[#This Row],[Valor da Venda]]</f>
        <v>0.10569105691056913</v>
      </c>
      <c r="L2999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2999"/>
    </row>
    <row r="3000" spans="1:13" x14ac:dyDescent="0.3">
      <c r="A3000" s="7">
        <v>400249</v>
      </c>
      <c r="B3000" t="str">
        <f>_xlfn.XLOOKUP(Vendas[[#This Row],[ID Vendedor]],Vendedores[ID],Vendedores[Nome])</f>
        <v>Bruno</v>
      </c>
      <c r="C3000" s="7" t="str">
        <f>_xlfn.XLOOKUP(Vendas[[#This Row],[ID Vendedor]],Vendedores[ID],Vendedores[Setor])</f>
        <v>CM</v>
      </c>
      <c r="D3000" s="7" t="s">
        <v>45</v>
      </c>
      <c r="E3000" t="str">
        <f>_xlfn.XLOOKUP(Vendas[[#This Row],[ID Item Vendido]],Agregado[ID],Agregado[Produto])</f>
        <v>Viga de madeira tratada 4m</v>
      </c>
      <c r="F3000" s="39">
        <v>45249</v>
      </c>
      <c r="G3000" s="7">
        <v>7</v>
      </c>
      <c r="H3000" s="3">
        <f>_xlfn.XLOOKUP(Vendas[[#This Row],[ID Item Vendido]],Agregado[ID],Agregado[Revenda])</f>
        <v>66</v>
      </c>
      <c r="I3000" s="3">
        <f>Vendas[[#This Row],[Valor Unitário]]*Vendas[[#This Row],[Qnt Vendida]]</f>
        <v>462</v>
      </c>
      <c r="J3000" s="3">
        <f>Vendas[[#This Row],[Valor da Venda]]-(_xlfn.XLOOKUP(Vendas[[#This Row],[ID Item Vendido]],Agregado[ID],Agregado[Custo])*Vendas[[#This Row],[Qnt Vendida]])</f>
        <v>77</v>
      </c>
      <c r="K3000" s="70">
        <f>Vendas[[#This Row],[Lucro da Venda]]/Vendas[[#This Row],[Valor da Venda]]</f>
        <v>0.16666666666666666</v>
      </c>
      <c r="L3000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3000"/>
    </row>
    <row r="3001" spans="1:13" x14ac:dyDescent="0.3">
      <c r="A3001" s="7">
        <v>400245</v>
      </c>
      <c r="B3001" t="str">
        <f>_xlfn.XLOOKUP(Vendas[[#This Row],[ID Vendedor]],Vendedores[ID],Vendedores[Nome])</f>
        <v>Thiago</v>
      </c>
      <c r="C3001" s="7" t="str">
        <f>_xlfn.XLOOKUP(Vendas[[#This Row],[ID Vendedor]],Vendedores[ID],Vendedores[Setor])</f>
        <v>AHD</v>
      </c>
      <c r="D3001" s="7" t="s">
        <v>9</v>
      </c>
      <c r="E3001" t="str">
        <f>_xlfn.XLOOKUP(Vendas[[#This Row],[ID Item Vendido]],Agregado[ID],Agregado[Produto])</f>
        <v>Barra de aço simples</v>
      </c>
      <c r="F3001" s="39">
        <v>45249</v>
      </c>
      <c r="G3001" s="7">
        <v>34</v>
      </c>
      <c r="H3001" s="3">
        <f>_xlfn.XLOOKUP(Vendas[[#This Row],[ID Item Vendido]],Agregado[ID],Agregado[Revenda])</f>
        <v>6.7</v>
      </c>
      <c r="I3001" s="3">
        <f>Vendas[[#This Row],[Valor Unitário]]*Vendas[[#This Row],[Qnt Vendida]]</f>
        <v>227.8</v>
      </c>
      <c r="J3001" s="3">
        <f>Vendas[[#This Row],[Valor da Venda]]-(_xlfn.XLOOKUP(Vendas[[#This Row],[ID Item Vendido]],Agregado[ID],Agregado[Custo])*Vendas[[#This Row],[Qnt Vendida]])</f>
        <v>30.600000000000023</v>
      </c>
      <c r="K3001" s="70">
        <f>Vendas[[#This Row],[Lucro da Venda]]/Vendas[[#This Row],[Valor da Venda]]</f>
        <v>0.13432835820895531</v>
      </c>
      <c r="L3001" s="3">
        <f>_xlfn.IFS(Vendas[[#This Row],[Margem de Lucro (%)]]&lt;15%,Vendas[[#This Row],[Valor da Venda]]*3%,Vendas[[#This Row],[Margem de Lucro (%)]]&lt;=20%,Vendas[[#This Row],[Valor da Venda]]*4.5%,TRUE,Vendas[[#This Row],[Valor da Venda]]*6%)</f>
        <v>6.8340000000000005</v>
      </c>
      <c r="M3001"/>
    </row>
    <row r="3002" spans="1:13" x14ac:dyDescent="0.3">
      <c r="A3002" s="7">
        <v>400246</v>
      </c>
      <c r="B3002" t="str">
        <f>_xlfn.XLOOKUP(Vendas[[#This Row],[ID Vendedor]],Vendedores[ID],Vendedores[Nome])</f>
        <v>Juliana</v>
      </c>
      <c r="C3002" s="7" t="str">
        <f>_xlfn.XLOOKUP(Vendas[[#This Row],[ID Vendedor]],Vendedores[ID],Vendedores[Setor])</f>
        <v>AHD</v>
      </c>
      <c r="D3002" s="7" t="s">
        <v>9</v>
      </c>
      <c r="E3002" t="str">
        <f>_xlfn.XLOOKUP(Vendas[[#This Row],[ID Item Vendido]],Agregado[ID],Agregado[Produto])</f>
        <v>Barra de aço simples</v>
      </c>
      <c r="F3002" s="39">
        <v>45250</v>
      </c>
      <c r="G3002" s="7">
        <v>141</v>
      </c>
      <c r="H3002" s="3">
        <f>_xlfn.XLOOKUP(Vendas[[#This Row],[ID Item Vendido]],Agregado[ID],Agregado[Revenda])</f>
        <v>6.7</v>
      </c>
      <c r="I3002" s="3">
        <f>Vendas[[#This Row],[Valor Unitário]]*Vendas[[#This Row],[Qnt Vendida]]</f>
        <v>944.7</v>
      </c>
      <c r="J3002" s="3">
        <f>Vendas[[#This Row],[Valor da Venda]]-(_xlfn.XLOOKUP(Vendas[[#This Row],[ID Item Vendido]],Agregado[ID],Agregado[Custo])*Vendas[[#This Row],[Qnt Vendida]])</f>
        <v>126.90000000000009</v>
      </c>
      <c r="K3002" s="70">
        <f>Vendas[[#This Row],[Lucro da Venda]]/Vendas[[#This Row],[Valor da Venda]]</f>
        <v>0.13432835820895531</v>
      </c>
      <c r="L3002" s="3">
        <f>_xlfn.IFS(Vendas[[#This Row],[Margem de Lucro (%)]]&lt;15%,Vendas[[#This Row],[Valor da Venda]]*3%,Vendas[[#This Row],[Margem de Lucro (%)]]&lt;=20%,Vendas[[#This Row],[Valor da Venda]]*4.5%,TRUE,Vendas[[#This Row],[Valor da Venda]]*6%)</f>
        <v>28.341000000000001</v>
      </c>
      <c r="M3002"/>
    </row>
    <row r="3003" spans="1:13" x14ac:dyDescent="0.3">
      <c r="A3003" s="7">
        <v>400254</v>
      </c>
      <c r="B3003" t="str">
        <f>_xlfn.XLOOKUP(Vendas[[#This Row],[ID Vendedor]],Vendedores[ID],Vendedores[Nome])</f>
        <v>Beatriz</v>
      </c>
      <c r="C3003" s="7" t="str">
        <f>_xlfn.XLOOKUP(Vendas[[#This Row],[ID Vendedor]],Vendedores[ID],Vendedores[Setor])</f>
        <v>SC</v>
      </c>
      <c r="D3003" s="7" t="s">
        <v>25</v>
      </c>
      <c r="E3003" t="str">
        <f>_xlfn.XLOOKUP(Vendas[[#This Row],[ID Item Vendido]],Agregado[ID],Agregado[Produto])</f>
        <v>Palete de plástico</v>
      </c>
      <c r="F3003" s="39">
        <v>45250</v>
      </c>
      <c r="G3003" s="7">
        <v>5</v>
      </c>
      <c r="H3003" s="3">
        <f>_xlfn.XLOOKUP(Vendas[[#This Row],[ID Item Vendido]],Agregado[ID],Agregado[Revenda])</f>
        <v>70.8</v>
      </c>
      <c r="I3003" s="3">
        <f>Vendas[[#This Row],[Valor Unitário]]*Vendas[[#This Row],[Qnt Vendida]]</f>
        <v>354</v>
      </c>
      <c r="J3003" s="3">
        <f>Vendas[[#This Row],[Valor da Venda]]-(_xlfn.XLOOKUP(Vendas[[#This Row],[ID Item Vendido]],Agregado[ID],Agregado[Custo])*Vendas[[#This Row],[Qnt Vendida]])</f>
        <v>54</v>
      </c>
      <c r="K3003" s="70">
        <f>Vendas[[#This Row],[Lucro da Venda]]/Vendas[[#This Row],[Valor da Venda]]</f>
        <v>0.15254237288135594</v>
      </c>
      <c r="L3003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3003"/>
    </row>
    <row r="3004" spans="1:13" x14ac:dyDescent="0.3">
      <c r="A3004" s="7">
        <v>400243</v>
      </c>
      <c r="B3004" t="str">
        <f>_xlfn.XLOOKUP(Vendas[[#This Row],[ID Vendedor]],Vendedores[ID],Vendedores[Nome])</f>
        <v>Marcelo</v>
      </c>
      <c r="C3004" s="7" t="str">
        <f>_xlfn.XLOOKUP(Vendas[[#This Row],[ID Vendedor]],Vendedores[ID],Vendedores[Setor])</f>
        <v>FM</v>
      </c>
      <c r="D3004" s="7" t="s">
        <v>6</v>
      </c>
      <c r="E3004" t="str">
        <f>_xlfn.XLOOKUP(Vendas[[#This Row],[ID Item Vendido]],Agregado[ID],Agregado[Produto])</f>
        <v>Parafuso comum 500un</v>
      </c>
      <c r="F3004" s="39">
        <v>45250</v>
      </c>
      <c r="G3004" s="7">
        <v>11</v>
      </c>
      <c r="H3004" s="3">
        <f>_xlfn.XLOOKUP(Vendas[[#This Row],[ID Item Vendido]],Agregado[ID],Agregado[Revenda])</f>
        <v>24.6</v>
      </c>
      <c r="I3004" s="3">
        <f>Vendas[[#This Row],[Valor Unitário]]*Vendas[[#This Row],[Qnt Vendida]]</f>
        <v>270.60000000000002</v>
      </c>
      <c r="J3004" s="3">
        <f>Vendas[[#This Row],[Valor da Venda]]-(_xlfn.XLOOKUP(Vendas[[#This Row],[ID Item Vendido]],Agregado[ID],Agregado[Custo])*Vendas[[#This Row],[Qnt Vendida]])</f>
        <v>28.600000000000023</v>
      </c>
      <c r="K3004" s="70">
        <f>Vendas[[#This Row],[Lucro da Venda]]/Vendas[[#This Row],[Valor da Venda]]</f>
        <v>0.10569105691056918</v>
      </c>
      <c r="L3004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3004"/>
    </row>
    <row r="3005" spans="1:13" x14ac:dyDescent="0.3">
      <c r="A3005" s="7">
        <v>400254</v>
      </c>
      <c r="B3005" t="str">
        <f>_xlfn.XLOOKUP(Vendas[[#This Row],[ID Vendedor]],Vendedores[ID],Vendedores[Nome])</f>
        <v>Beatriz</v>
      </c>
      <c r="C3005" s="7" t="str">
        <f>_xlfn.XLOOKUP(Vendas[[#This Row],[ID Vendedor]],Vendedores[ID],Vendedores[Setor])</f>
        <v>SC</v>
      </c>
      <c r="D3005" s="7" t="s">
        <v>42</v>
      </c>
      <c r="E3005" t="str">
        <f>_xlfn.XLOOKUP(Vendas[[#This Row],[ID Item Vendido]],Agregado[ID],Agregado[Produto])</f>
        <v>Container de ferro industrial</v>
      </c>
      <c r="F3005" s="39">
        <v>45251</v>
      </c>
      <c r="G3005" s="7">
        <v>3</v>
      </c>
      <c r="H3005" s="3">
        <f>_xlfn.XLOOKUP(Vendas[[#This Row],[ID Item Vendido]],Agregado[ID],Agregado[Revenda])</f>
        <v>830</v>
      </c>
      <c r="I3005" s="3">
        <f>Vendas[[#This Row],[Valor Unitário]]*Vendas[[#This Row],[Qnt Vendida]]</f>
        <v>2490</v>
      </c>
      <c r="J3005" s="3">
        <f>Vendas[[#This Row],[Valor da Venda]]-(_xlfn.XLOOKUP(Vendas[[#This Row],[ID Item Vendido]],Agregado[ID],Agregado[Custo])*Vendas[[#This Row],[Qnt Vendida]])</f>
        <v>450</v>
      </c>
      <c r="K3005" s="70">
        <f>Vendas[[#This Row],[Lucro da Venda]]/Vendas[[#This Row],[Valor da Venda]]</f>
        <v>0.18072289156626506</v>
      </c>
      <c r="L3005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005"/>
    </row>
    <row r="3006" spans="1:13" x14ac:dyDescent="0.3">
      <c r="A3006" s="7">
        <v>400246</v>
      </c>
      <c r="B3006" t="str">
        <f>_xlfn.XLOOKUP(Vendas[[#This Row],[ID Vendedor]],Vendedores[ID],Vendedores[Nome])</f>
        <v>Juliana</v>
      </c>
      <c r="C3006" s="7" t="str">
        <f>_xlfn.XLOOKUP(Vendas[[#This Row],[ID Vendedor]],Vendedores[ID],Vendedores[Setor])</f>
        <v>AHD</v>
      </c>
      <c r="D3006" s="7" t="s">
        <v>9</v>
      </c>
      <c r="E3006" t="str">
        <f>_xlfn.XLOOKUP(Vendas[[#This Row],[ID Item Vendido]],Agregado[ID],Agregado[Produto])</f>
        <v>Barra de aço simples</v>
      </c>
      <c r="F3006" s="39">
        <v>45252</v>
      </c>
      <c r="G3006" s="7">
        <v>126</v>
      </c>
      <c r="H3006" s="3">
        <f>_xlfn.XLOOKUP(Vendas[[#This Row],[ID Item Vendido]],Agregado[ID],Agregado[Revenda])</f>
        <v>6.7</v>
      </c>
      <c r="I3006" s="3">
        <f>Vendas[[#This Row],[Valor Unitário]]*Vendas[[#This Row],[Qnt Vendida]]</f>
        <v>844.2</v>
      </c>
      <c r="J3006" s="3">
        <f>Vendas[[#This Row],[Valor da Venda]]-(_xlfn.XLOOKUP(Vendas[[#This Row],[ID Item Vendido]],Agregado[ID],Agregado[Custo])*Vendas[[#This Row],[Qnt Vendida]])</f>
        <v>113.40000000000009</v>
      </c>
      <c r="K3006" s="70">
        <f>Vendas[[#This Row],[Lucro da Venda]]/Vendas[[#This Row],[Valor da Venda]]</f>
        <v>0.13432835820895533</v>
      </c>
      <c r="L3006" s="3">
        <f>_xlfn.IFS(Vendas[[#This Row],[Margem de Lucro (%)]]&lt;15%,Vendas[[#This Row],[Valor da Venda]]*3%,Vendas[[#This Row],[Margem de Lucro (%)]]&lt;=20%,Vendas[[#This Row],[Valor da Venda]]*4.5%,TRUE,Vendas[[#This Row],[Valor da Venda]]*6%)</f>
        <v>25.326000000000001</v>
      </c>
      <c r="M3006"/>
    </row>
    <row r="3007" spans="1:13" x14ac:dyDescent="0.3">
      <c r="A3007" s="7">
        <v>400241</v>
      </c>
      <c r="B3007" t="str">
        <f>_xlfn.XLOOKUP(Vendas[[#This Row],[ID Vendedor]],Vendedores[ID],Vendedores[Nome])</f>
        <v>Rodrigo</v>
      </c>
      <c r="C3007" s="7" t="str">
        <f>_xlfn.XLOOKUP(Vendas[[#This Row],[ID Vendedor]],Vendedores[ID],Vendedores[Setor])</f>
        <v>FM</v>
      </c>
      <c r="D3007" s="7" t="s">
        <v>31</v>
      </c>
      <c r="E3007" t="str">
        <f>_xlfn.XLOOKUP(Vendas[[#This Row],[ID Item Vendido]],Agregado[ID],Agregado[Produto])</f>
        <v>Tela de metal soldada rolo 2x25m</v>
      </c>
      <c r="F3007" s="39">
        <v>45252</v>
      </c>
      <c r="G3007" s="7">
        <v>11</v>
      </c>
      <c r="H3007" s="3">
        <f>_xlfn.XLOOKUP(Vendas[[#This Row],[ID Item Vendido]],Agregado[ID],Agregado[Revenda])</f>
        <v>43.7</v>
      </c>
      <c r="I3007" s="3">
        <f>Vendas[[#This Row],[Valor Unitário]]*Vendas[[#This Row],[Qnt Vendida]]</f>
        <v>480.70000000000005</v>
      </c>
      <c r="J3007" s="3">
        <f>Vendas[[#This Row],[Valor da Venda]]-(_xlfn.XLOOKUP(Vendas[[#This Row],[ID Item Vendido]],Agregado[ID],Agregado[Custo])*Vendas[[#This Row],[Qnt Vendida]])</f>
        <v>62.700000000000045</v>
      </c>
      <c r="K3007" s="70">
        <f>Vendas[[#This Row],[Lucro da Venda]]/Vendas[[#This Row],[Valor da Venda]]</f>
        <v>0.13043478260869573</v>
      </c>
      <c r="L3007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3007"/>
    </row>
    <row r="3008" spans="1:13" x14ac:dyDescent="0.3">
      <c r="A3008" s="7">
        <v>400253</v>
      </c>
      <c r="B3008" t="str">
        <f>_xlfn.XLOOKUP(Vendas[[#This Row],[ID Vendedor]],Vendedores[ID],Vendedores[Nome])</f>
        <v>Gustavo</v>
      </c>
      <c r="C3008" s="7" t="str">
        <f>_xlfn.XLOOKUP(Vendas[[#This Row],[ID Vendedor]],Vendedores[ID],Vendedores[Setor])</f>
        <v>SC</v>
      </c>
      <c r="D3008" s="7" t="s">
        <v>41</v>
      </c>
      <c r="E3008" t="str">
        <f>_xlfn.XLOOKUP(Vendas[[#This Row],[ID Item Vendido]],Agregado[ID],Agregado[Produto])</f>
        <v>Palete de madeira reforçado</v>
      </c>
      <c r="F3008" s="39">
        <v>45252</v>
      </c>
      <c r="G3008" s="7">
        <v>2</v>
      </c>
      <c r="H3008" s="3">
        <f>_xlfn.XLOOKUP(Vendas[[#This Row],[ID Item Vendido]],Agregado[ID],Agregado[Revenda])</f>
        <v>131</v>
      </c>
      <c r="I3008" s="3">
        <f>Vendas[[#This Row],[Valor Unitário]]*Vendas[[#This Row],[Qnt Vendida]]</f>
        <v>262</v>
      </c>
      <c r="J3008" s="3">
        <f>Vendas[[#This Row],[Valor da Venda]]-(_xlfn.XLOOKUP(Vendas[[#This Row],[ID Item Vendido]],Agregado[ID],Agregado[Custo])*Vendas[[#This Row],[Qnt Vendida]])</f>
        <v>42</v>
      </c>
      <c r="K3008" s="70">
        <f>Vendas[[#This Row],[Lucro da Venda]]/Vendas[[#This Row],[Valor da Venda]]</f>
        <v>0.16030534351145037</v>
      </c>
      <c r="L3008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3008"/>
    </row>
    <row r="3009" spans="1:13" x14ac:dyDescent="0.3">
      <c r="A3009" s="7">
        <v>400246</v>
      </c>
      <c r="B3009" t="str">
        <f>_xlfn.XLOOKUP(Vendas[[#This Row],[ID Vendedor]],Vendedores[ID],Vendedores[Nome])</f>
        <v>Juliana</v>
      </c>
      <c r="C3009" s="7" t="str">
        <f>_xlfn.XLOOKUP(Vendas[[#This Row],[ID Vendedor]],Vendedores[ID],Vendedores[Setor])</f>
        <v>AHD</v>
      </c>
      <c r="D3009" s="7" t="s">
        <v>30</v>
      </c>
      <c r="E3009" t="str">
        <f>_xlfn.XLOOKUP(Vendas[[#This Row],[ID Item Vendido]],Agregado[ID],Agregado[Produto])</f>
        <v>Estrutura metálica soldada</v>
      </c>
      <c r="F3009" s="39">
        <v>45253</v>
      </c>
      <c r="G3009" s="7">
        <v>4</v>
      </c>
      <c r="H3009" s="3">
        <f>_xlfn.XLOOKUP(Vendas[[#This Row],[ID Item Vendido]],Agregado[ID],Agregado[Revenda])</f>
        <v>400</v>
      </c>
      <c r="I3009" s="3">
        <f>Vendas[[#This Row],[Valor Unitário]]*Vendas[[#This Row],[Qnt Vendida]]</f>
        <v>1600</v>
      </c>
      <c r="J3009" s="3">
        <f>Vendas[[#This Row],[Valor da Venda]]-(_xlfn.XLOOKUP(Vendas[[#This Row],[ID Item Vendido]],Agregado[ID],Agregado[Custo])*Vendas[[#This Row],[Qnt Vendida]])</f>
        <v>320</v>
      </c>
      <c r="K3009" s="70">
        <f>Vendas[[#This Row],[Lucro da Venda]]/Vendas[[#This Row],[Valor da Venda]]</f>
        <v>0.2</v>
      </c>
      <c r="L3009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009"/>
    </row>
    <row r="3010" spans="1:13" x14ac:dyDescent="0.3">
      <c r="A3010" s="7">
        <v>400249</v>
      </c>
      <c r="B3010" t="str">
        <f>_xlfn.XLOOKUP(Vendas[[#This Row],[ID Vendedor]],Vendedores[ID],Vendedores[Nome])</f>
        <v>Bruno</v>
      </c>
      <c r="C3010" s="7" t="str">
        <f>_xlfn.XLOOKUP(Vendas[[#This Row],[ID Vendedor]],Vendedores[ID],Vendedores[Setor])</f>
        <v>CM</v>
      </c>
      <c r="D3010" s="7" t="s">
        <v>32</v>
      </c>
      <c r="E3010" t="str">
        <f>_xlfn.XLOOKUP(Vendas[[#This Row],[ID Item Vendido]],Agregado[ID],Agregado[Produto])</f>
        <v>Tábua tratada e cortada 3m</v>
      </c>
      <c r="F3010" s="39">
        <v>45254</v>
      </c>
      <c r="G3010" s="7">
        <v>27</v>
      </c>
      <c r="H3010" s="3">
        <f>_xlfn.XLOOKUP(Vendas[[#This Row],[ID Item Vendido]],Agregado[ID],Agregado[Revenda])</f>
        <v>39</v>
      </c>
      <c r="I3010" s="3">
        <f>Vendas[[#This Row],[Valor Unitário]]*Vendas[[#This Row],[Qnt Vendida]]</f>
        <v>1053</v>
      </c>
      <c r="J3010" s="3">
        <f>Vendas[[#This Row],[Valor da Venda]]-(_xlfn.XLOOKUP(Vendas[[#This Row],[ID Item Vendido]],Agregado[ID],Agregado[Custo])*Vendas[[#This Row],[Qnt Vendida]])</f>
        <v>189</v>
      </c>
      <c r="K3010" s="70">
        <f>Vendas[[#This Row],[Lucro da Venda]]/Vendas[[#This Row],[Valor da Venda]]</f>
        <v>0.17948717948717949</v>
      </c>
      <c r="L3010" s="3">
        <f>_xlfn.IFS(Vendas[[#This Row],[Margem de Lucro (%)]]&lt;15%,Vendas[[#This Row],[Valor da Venda]]*3%,Vendas[[#This Row],[Margem de Lucro (%)]]&lt;=20%,Vendas[[#This Row],[Valor da Venda]]*4.5%,TRUE,Vendas[[#This Row],[Valor da Venda]]*6%)</f>
        <v>47.384999999999998</v>
      </c>
      <c r="M3010"/>
    </row>
    <row r="3011" spans="1:13" x14ac:dyDescent="0.3">
      <c r="A3011" s="7">
        <v>400243</v>
      </c>
      <c r="B3011" t="str">
        <f>_xlfn.XLOOKUP(Vendas[[#This Row],[ID Vendedor]],Vendedores[ID],Vendedores[Nome])</f>
        <v>Marcelo</v>
      </c>
      <c r="C3011" s="7" t="str">
        <f>_xlfn.XLOOKUP(Vendas[[#This Row],[ID Vendedor]],Vendedores[ID],Vendedores[Setor])</f>
        <v>FM</v>
      </c>
      <c r="D3011" s="7" t="s">
        <v>20</v>
      </c>
      <c r="E3011" t="str">
        <f>_xlfn.XLOOKUP(Vendas[[#This Row],[ID Item Vendido]],Agregado[ID],Agregado[Produto])</f>
        <v>Barra de aço simples</v>
      </c>
      <c r="F3011" s="39">
        <v>45254</v>
      </c>
      <c r="G3011" s="7">
        <v>149</v>
      </c>
      <c r="H3011" s="3">
        <f>_xlfn.XLOOKUP(Vendas[[#This Row],[ID Item Vendido]],Agregado[ID],Agregado[Revenda])</f>
        <v>4.8</v>
      </c>
      <c r="I3011" s="3">
        <f>Vendas[[#This Row],[Valor Unitário]]*Vendas[[#This Row],[Qnt Vendida]]</f>
        <v>715.19999999999993</v>
      </c>
      <c r="J3011" s="3">
        <f>Vendas[[#This Row],[Valor da Venda]]-(_xlfn.XLOOKUP(Vendas[[#This Row],[ID Item Vendido]],Agregado[ID],Agregado[Custo])*Vendas[[#This Row],[Qnt Vendida]])</f>
        <v>89.399999999999864</v>
      </c>
      <c r="K3011" s="70">
        <f>Vendas[[#This Row],[Lucro da Venda]]/Vendas[[#This Row],[Valor da Venda]]</f>
        <v>0.12499999999999982</v>
      </c>
      <c r="L3011" s="3">
        <f>_xlfn.IFS(Vendas[[#This Row],[Margem de Lucro (%)]]&lt;15%,Vendas[[#This Row],[Valor da Venda]]*3%,Vendas[[#This Row],[Margem de Lucro (%)]]&lt;=20%,Vendas[[#This Row],[Valor da Venda]]*4.5%,TRUE,Vendas[[#This Row],[Valor da Venda]]*6%)</f>
        <v>21.455999999999996</v>
      </c>
      <c r="M3011"/>
    </row>
    <row r="3012" spans="1:13" x14ac:dyDescent="0.3">
      <c r="A3012" s="7">
        <v>400250</v>
      </c>
      <c r="B3012" t="str">
        <f>_xlfn.XLOOKUP(Vendas[[#This Row],[ID Vendedor]],Vendedores[ID],Vendedores[Nome])</f>
        <v>Larissa</v>
      </c>
      <c r="C3012" s="7" t="str">
        <f>_xlfn.XLOOKUP(Vendas[[#This Row],[ID Vendedor]],Vendedores[ID],Vendedores[Setor])</f>
        <v>AB</v>
      </c>
      <c r="D3012" s="7" t="s">
        <v>24</v>
      </c>
      <c r="E3012" t="str">
        <f>_xlfn.XLOOKUP(Vendas[[#This Row],[ID Item Vendido]],Agregado[ID],Agregado[Produto])</f>
        <v>Resina plástica PET purificada saco de 25kg</v>
      </c>
      <c r="F3012" s="39">
        <v>45254</v>
      </c>
      <c r="G3012" s="7">
        <v>5</v>
      </c>
      <c r="H3012" s="3">
        <f>_xlfn.XLOOKUP(Vendas[[#This Row],[ID Item Vendido]],Agregado[ID],Agregado[Revenda])</f>
        <v>119</v>
      </c>
      <c r="I3012" s="3">
        <f>Vendas[[#This Row],[Valor Unitário]]*Vendas[[#This Row],[Qnt Vendida]]</f>
        <v>595</v>
      </c>
      <c r="J3012" s="3">
        <f>Vendas[[#This Row],[Valor da Venda]]-(_xlfn.XLOOKUP(Vendas[[#This Row],[ID Item Vendido]],Agregado[ID],Agregado[Custo])*Vendas[[#This Row],[Qnt Vendida]])</f>
        <v>170</v>
      </c>
      <c r="K3012" s="70">
        <f>Vendas[[#This Row],[Lucro da Venda]]/Vendas[[#This Row],[Valor da Venda]]</f>
        <v>0.2857142857142857</v>
      </c>
      <c r="L3012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3012"/>
    </row>
    <row r="3013" spans="1:13" x14ac:dyDescent="0.3">
      <c r="A3013" s="7">
        <v>400246</v>
      </c>
      <c r="B3013" t="str">
        <f>_xlfn.XLOOKUP(Vendas[[#This Row],[ID Vendedor]],Vendedores[ID],Vendedores[Nome])</f>
        <v>Juliana</v>
      </c>
      <c r="C3013" s="7" t="str">
        <f>_xlfn.XLOOKUP(Vendas[[#This Row],[ID Vendedor]],Vendedores[ID],Vendedores[Setor])</f>
        <v>AHD</v>
      </c>
      <c r="D3013" s="7" t="s">
        <v>9</v>
      </c>
      <c r="E3013" t="str">
        <f>_xlfn.XLOOKUP(Vendas[[#This Row],[ID Item Vendido]],Agregado[ID],Agregado[Produto])</f>
        <v>Barra de aço simples</v>
      </c>
      <c r="F3013" s="39">
        <v>45254</v>
      </c>
      <c r="G3013" s="7">
        <v>72</v>
      </c>
      <c r="H3013" s="3">
        <f>_xlfn.XLOOKUP(Vendas[[#This Row],[ID Item Vendido]],Agregado[ID],Agregado[Revenda])</f>
        <v>6.7</v>
      </c>
      <c r="I3013" s="3">
        <f>Vendas[[#This Row],[Valor Unitário]]*Vendas[[#This Row],[Qnt Vendida]]</f>
        <v>482.40000000000003</v>
      </c>
      <c r="J3013" s="3">
        <f>Vendas[[#This Row],[Valor da Venda]]-(_xlfn.XLOOKUP(Vendas[[#This Row],[ID Item Vendido]],Agregado[ID],Agregado[Custo])*Vendas[[#This Row],[Qnt Vendida]])</f>
        <v>64.800000000000068</v>
      </c>
      <c r="K3013" s="70">
        <f>Vendas[[#This Row],[Lucro da Venda]]/Vendas[[#This Row],[Valor da Venda]]</f>
        <v>0.13432835820895536</v>
      </c>
      <c r="L3013" s="3">
        <f>_xlfn.IFS(Vendas[[#This Row],[Margem de Lucro (%)]]&lt;15%,Vendas[[#This Row],[Valor da Venda]]*3%,Vendas[[#This Row],[Margem de Lucro (%)]]&lt;=20%,Vendas[[#This Row],[Valor da Venda]]*4.5%,TRUE,Vendas[[#This Row],[Valor da Venda]]*6%)</f>
        <v>14.472000000000001</v>
      </c>
      <c r="M3013"/>
    </row>
    <row r="3014" spans="1:13" x14ac:dyDescent="0.3">
      <c r="A3014" s="7">
        <v>400254</v>
      </c>
      <c r="B3014" t="str">
        <f>_xlfn.XLOOKUP(Vendas[[#This Row],[ID Vendedor]],Vendedores[ID],Vendedores[Nome])</f>
        <v>Beatriz</v>
      </c>
      <c r="C3014" s="7" t="str">
        <f>_xlfn.XLOOKUP(Vendas[[#This Row],[ID Vendedor]],Vendedores[ID],Vendedores[Setor])</f>
        <v>SC</v>
      </c>
      <c r="D3014" s="7" t="s">
        <v>48</v>
      </c>
      <c r="E3014" t="str">
        <f>_xlfn.XLOOKUP(Vendas[[#This Row],[ID Item Vendido]],Agregado[ID],Agregado[Produto])</f>
        <v>Tambor metálico 200L</v>
      </c>
      <c r="F3014" s="39">
        <v>45255</v>
      </c>
      <c r="G3014" s="7">
        <v>2</v>
      </c>
      <c r="H3014" s="3">
        <f>_xlfn.XLOOKUP(Vendas[[#This Row],[ID Item Vendido]],Agregado[ID],Agregado[Revenda])</f>
        <v>144</v>
      </c>
      <c r="I3014" s="3">
        <f>Vendas[[#This Row],[Valor Unitário]]*Vendas[[#This Row],[Qnt Vendida]]</f>
        <v>288</v>
      </c>
      <c r="J3014" s="3">
        <f>Vendas[[#This Row],[Valor da Venda]]-(_xlfn.XLOOKUP(Vendas[[#This Row],[ID Item Vendido]],Agregado[ID],Agregado[Custo])*Vendas[[#This Row],[Qnt Vendida]])</f>
        <v>48</v>
      </c>
      <c r="K3014" s="70">
        <f>Vendas[[#This Row],[Lucro da Venda]]/Vendas[[#This Row],[Valor da Venda]]</f>
        <v>0.16666666666666666</v>
      </c>
      <c r="L3014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3014"/>
    </row>
    <row r="3015" spans="1:13" x14ac:dyDescent="0.3">
      <c r="A3015" s="7">
        <v>400254</v>
      </c>
      <c r="B3015" t="str">
        <f>_xlfn.XLOOKUP(Vendas[[#This Row],[ID Vendedor]],Vendedores[ID],Vendedores[Nome])</f>
        <v>Beatriz</v>
      </c>
      <c r="C3015" s="7" t="str">
        <f>_xlfn.XLOOKUP(Vendas[[#This Row],[ID Vendedor]],Vendedores[ID],Vendedores[Setor])</f>
        <v>SC</v>
      </c>
      <c r="D3015" s="7" t="s">
        <v>14</v>
      </c>
      <c r="E3015" t="str">
        <f>_xlfn.XLOOKUP(Vendas[[#This Row],[ID Item Vendido]],Agregado[ID],Agregado[Produto])</f>
        <v>Barril de plástico 200L</v>
      </c>
      <c r="F3015" s="39">
        <v>45256</v>
      </c>
      <c r="G3015" s="7">
        <v>22</v>
      </c>
      <c r="H3015" s="3">
        <f>_xlfn.XLOOKUP(Vendas[[#This Row],[ID Item Vendido]],Agregado[ID],Agregado[Revenda])</f>
        <v>114</v>
      </c>
      <c r="I3015" s="3">
        <f>Vendas[[#This Row],[Valor Unitário]]*Vendas[[#This Row],[Qnt Vendida]]</f>
        <v>2508</v>
      </c>
      <c r="J3015" s="3">
        <f>Vendas[[#This Row],[Valor da Venda]]-(_xlfn.XLOOKUP(Vendas[[#This Row],[ID Item Vendido]],Agregado[ID],Agregado[Custo])*Vendas[[#This Row],[Qnt Vendida]])</f>
        <v>418</v>
      </c>
      <c r="K3015" s="70">
        <f>Vendas[[#This Row],[Lucro da Venda]]/Vendas[[#This Row],[Valor da Venda]]</f>
        <v>0.16666666666666666</v>
      </c>
      <c r="L3015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3015"/>
    </row>
    <row r="3016" spans="1:13" x14ac:dyDescent="0.3">
      <c r="A3016" s="7">
        <v>400247</v>
      </c>
      <c r="B3016" t="str">
        <f>_xlfn.XLOOKUP(Vendas[[#This Row],[ID Vendedor]],Vendedores[ID],Vendedores[Nome])</f>
        <v>André</v>
      </c>
      <c r="C3016" s="7" t="str">
        <f>_xlfn.XLOOKUP(Vendas[[#This Row],[ID Vendedor]],Vendedores[ID],Vendedores[Setor])</f>
        <v>CM</v>
      </c>
      <c r="D3016" s="7" t="s">
        <v>34</v>
      </c>
      <c r="E3016" t="str">
        <f>_xlfn.XLOOKUP(Vendas[[#This Row],[ID Item Vendido]],Agregado[ID],Agregado[Produto])</f>
        <v>Restos de madeira p/ MDP/OSB saco de 20kg</v>
      </c>
      <c r="F3016" s="39">
        <v>45256</v>
      </c>
      <c r="G3016" s="7">
        <v>21</v>
      </c>
      <c r="H3016" s="3">
        <f>_xlfn.XLOOKUP(Vendas[[#This Row],[ID Item Vendido]],Agregado[ID],Agregado[Revenda])</f>
        <v>13.8</v>
      </c>
      <c r="I3016" s="3">
        <f>Vendas[[#This Row],[Valor Unitário]]*Vendas[[#This Row],[Qnt Vendida]]</f>
        <v>289.8</v>
      </c>
      <c r="J3016" s="3">
        <f>Vendas[[#This Row],[Valor da Venda]]-(_xlfn.XLOOKUP(Vendas[[#This Row],[ID Item Vendido]],Agregado[ID],Agregado[Custo])*Vendas[[#This Row],[Qnt Vendida]])</f>
        <v>37.800000000000011</v>
      </c>
      <c r="K3016" s="70">
        <f>Vendas[[#This Row],[Lucro da Venda]]/Vendas[[#This Row],[Valor da Venda]]</f>
        <v>0.13043478260869568</v>
      </c>
      <c r="L3016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3016"/>
    </row>
    <row r="3017" spans="1:13" x14ac:dyDescent="0.3">
      <c r="A3017" s="7">
        <v>400246</v>
      </c>
      <c r="B3017" t="str">
        <f>_xlfn.XLOOKUP(Vendas[[#This Row],[ID Vendedor]],Vendedores[ID],Vendedores[Nome])</f>
        <v>Juliana</v>
      </c>
      <c r="C3017" s="7" t="str">
        <f>_xlfn.XLOOKUP(Vendas[[#This Row],[ID Vendedor]],Vendedores[ID],Vendedores[Setor])</f>
        <v>AHD</v>
      </c>
      <c r="D3017" s="7" t="s">
        <v>44</v>
      </c>
      <c r="E3017" t="str">
        <f>_xlfn.XLOOKUP(Vendas[[#This Row],[ID Item Vendido]],Agregado[ID],Agregado[Produto])</f>
        <v>Liga metálica especial</v>
      </c>
      <c r="F3017" s="39">
        <v>45257</v>
      </c>
      <c r="G3017" s="7">
        <v>15</v>
      </c>
      <c r="H3017" s="3">
        <f>_xlfn.XLOOKUP(Vendas[[#This Row],[ID Item Vendido]],Agregado[ID],Agregado[Revenda])</f>
        <v>32.5</v>
      </c>
      <c r="I3017" s="3">
        <f>Vendas[[#This Row],[Valor Unitário]]*Vendas[[#This Row],[Qnt Vendida]]</f>
        <v>487.5</v>
      </c>
      <c r="J3017" s="3">
        <f>Vendas[[#This Row],[Valor da Venda]]-(_xlfn.XLOOKUP(Vendas[[#This Row],[ID Item Vendido]],Agregado[ID],Agregado[Custo])*Vendas[[#This Row],[Qnt Vendida]])</f>
        <v>112.5</v>
      </c>
      <c r="K3017" s="70">
        <f>Vendas[[#This Row],[Lucro da Venda]]/Vendas[[#This Row],[Valor da Venda]]</f>
        <v>0.23076923076923078</v>
      </c>
      <c r="L3017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3017"/>
    </row>
    <row r="3018" spans="1:13" x14ac:dyDescent="0.3">
      <c r="A3018" s="7">
        <v>400247</v>
      </c>
      <c r="B3018" t="str">
        <f>_xlfn.XLOOKUP(Vendas[[#This Row],[ID Vendedor]],Vendedores[ID],Vendedores[Nome])</f>
        <v>André</v>
      </c>
      <c r="C3018" s="7" t="str">
        <f>_xlfn.XLOOKUP(Vendas[[#This Row],[ID Vendedor]],Vendedores[ID],Vendedores[Setor])</f>
        <v>CM</v>
      </c>
      <c r="D3018" s="7" t="s">
        <v>34</v>
      </c>
      <c r="E3018" t="str">
        <f>_xlfn.XLOOKUP(Vendas[[#This Row],[ID Item Vendido]],Agregado[ID],Agregado[Produto])</f>
        <v>Restos de madeira p/ MDP/OSB saco de 20kg</v>
      </c>
      <c r="F3018" s="39">
        <v>45257</v>
      </c>
      <c r="G3018" s="7">
        <v>8</v>
      </c>
      <c r="H3018" s="3">
        <f>_xlfn.XLOOKUP(Vendas[[#This Row],[ID Item Vendido]],Agregado[ID],Agregado[Revenda])</f>
        <v>13.8</v>
      </c>
      <c r="I3018" s="3">
        <f>Vendas[[#This Row],[Valor Unitário]]*Vendas[[#This Row],[Qnt Vendida]]</f>
        <v>110.4</v>
      </c>
      <c r="J3018" s="3">
        <f>Vendas[[#This Row],[Valor da Venda]]-(_xlfn.XLOOKUP(Vendas[[#This Row],[ID Item Vendido]],Agregado[ID],Agregado[Custo])*Vendas[[#This Row],[Qnt Vendida]])</f>
        <v>14.400000000000006</v>
      </c>
      <c r="K3018" s="70">
        <f>Vendas[[#This Row],[Lucro da Venda]]/Vendas[[#This Row],[Valor da Venda]]</f>
        <v>0.1304347826086957</v>
      </c>
      <c r="L3018" s="3">
        <f>_xlfn.IFS(Vendas[[#This Row],[Margem de Lucro (%)]]&lt;15%,Vendas[[#This Row],[Valor da Venda]]*3%,Vendas[[#This Row],[Margem de Lucro (%)]]&lt;=20%,Vendas[[#This Row],[Valor da Venda]]*4.5%,TRUE,Vendas[[#This Row],[Valor da Venda]]*6%)</f>
        <v>3.3119999999999998</v>
      </c>
      <c r="M3018"/>
    </row>
    <row r="3019" spans="1:13" x14ac:dyDescent="0.3">
      <c r="A3019" s="7">
        <v>400253</v>
      </c>
      <c r="B3019" t="str">
        <f>_xlfn.XLOOKUP(Vendas[[#This Row],[ID Vendedor]],Vendedores[ID],Vendedores[Nome])</f>
        <v>Gustavo</v>
      </c>
      <c r="C3019" s="7" t="str">
        <f>_xlfn.XLOOKUP(Vendas[[#This Row],[ID Vendedor]],Vendedores[ID],Vendedores[Setor])</f>
        <v>SC</v>
      </c>
      <c r="D3019" s="7" t="s">
        <v>42</v>
      </c>
      <c r="E3019" t="str">
        <f>_xlfn.XLOOKUP(Vendas[[#This Row],[ID Item Vendido]],Agregado[ID],Agregado[Produto])</f>
        <v>Container de ferro industrial</v>
      </c>
      <c r="F3019" s="39">
        <v>45258</v>
      </c>
      <c r="G3019" s="7">
        <v>2</v>
      </c>
      <c r="H3019" s="3">
        <f>_xlfn.XLOOKUP(Vendas[[#This Row],[ID Item Vendido]],Agregado[ID],Agregado[Revenda])</f>
        <v>830</v>
      </c>
      <c r="I3019" s="3">
        <f>Vendas[[#This Row],[Valor Unitário]]*Vendas[[#This Row],[Qnt Vendida]]</f>
        <v>1660</v>
      </c>
      <c r="J3019" s="3">
        <f>Vendas[[#This Row],[Valor da Venda]]-(_xlfn.XLOOKUP(Vendas[[#This Row],[ID Item Vendido]],Agregado[ID],Agregado[Custo])*Vendas[[#This Row],[Qnt Vendida]])</f>
        <v>300</v>
      </c>
      <c r="K3019" s="70">
        <f>Vendas[[#This Row],[Lucro da Venda]]/Vendas[[#This Row],[Valor da Venda]]</f>
        <v>0.18072289156626506</v>
      </c>
      <c r="L3019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019"/>
    </row>
    <row r="3020" spans="1:13" x14ac:dyDescent="0.3">
      <c r="A3020" s="7">
        <v>400244</v>
      </c>
      <c r="B3020" t="str">
        <f>_xlfn.XLOOKUP(Vendas[[#This Row],[ID Vendedor]],Vendedores[ID],Vendedores[Nome])</f>
        <v>Camila</v>
      </c>
      <c r="C3020" s="7" t="str">
        <f>_xlfn.XLOOKUP(Vendas[[#This Row],[ID Vendedor]],Vendedores[ID],Vendedores[Setor])</f>
        <v>AHD</v>
      </c>
      <c r="D3020" s="7" t="s">
        <v>28</v>
      </c>
      <c r="E3020" t="str">
        <f>_xlfn.XLOOKUP(Vendas[[#This Row],[ID Item Vendido]],Agregado[ID],Agregado[Produto])</f>
        <v>Peça usinada CNC</v>
      </c>
      <c r="F3020" s="39">
        <v>45258</v>
      </c>
      <c r="G3020" s="7">
        <v>7</v>
      </c>
      <c r="H3020" s="3">
        <f>_xlfn.XLOOKUP(Vendas[[#This Row],[ID Item Vendido]],Agregado[ID],Agregado[Revenda])</f>
        <v>192</v>
      </c>
      <c r="I3020" s="3">
        <f>Vendas[[#This Row],[Valor Unitário]]*Vendas[[#This Row],[Qnt Vendida]]</f>
        <v>1344</v>
      </c>
      <c r="J3020" s="3">
        <f>Vendas[[#This Row],[Valor da Venda]]-(_xlfn.XLOOKUP(Vendas[[#This Row],[ID Item Vendido]],Agregado[ID],Agregado[Custo])*Vendas[[#This Row],[Qnt Vendida]])</f>
        <v>294</v>
      </c>
      <c r="K3020" s="70">
        <f>Vendas[[#This Row],[Lucro da Venda]]/Vendas[[#This Row],[Valor da Venda]]</f>
        <v>0.21875</v>
      </c>
      <c r="L3020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3020"/>
    </row>
    <row r="3021" spans="1:13" x14ac:dyDescent="0.3">
      <c r="A3021" s="7">
        <v>400254</v>
      </c>
      <c r="B3021" t="str">
        <f>_xlfn.XLOOKUP(Vendas[[#This Row],[ID Vendedor]],Vendedores[ID],Vendedores[Nome])</f>
        <v>Beatriz</v>
      </c>
      <c r="C3021" s="7" t="str">
        <f>_xlfn.XLOOKUP(Vendas[[#This Row],[ID Vendedor]],Vendedores[ID],Vendedores[Setor])</f>
        <v>SC</v>
      </c>
      <c r="D3021" s="7" t="s">
        <v>14</v>
      </c>
      <c r="E3021" t="str">
        <f>_xlfn.XLOOKUP(Vendas[[#This Row],[ID Item Vendido]],Agregado[ID],Agregado[Produto])</f>
        <v>Barril de plástico 200L</v>
      </c>
      <c r="F3021" s="39">
        <v>45258</v>
      </c>
      <c r="G3021" s="7">
        <v>5</v>
      </c>
      <c r="H3021" s="3">
        <f>_xlfn.XLOOKUP(Vendas[[#This Row],[ID Item Vendido]],Agregado[ID],Agregado[Revenda])</f>
        <v>114</v>
      </c>
      <c r="I3021" s="3">
        <f>Vendas[[#This Row],[Valor Unitário]]*Vendas[[#This Row],[Qnt Vendida]]</f>
        <v>570</v>
      </c>
      <c r="J3021" s="3">
        <f>Vendas[[#This Row],[Valor da Venda]]-(_xlfn.XLOOKUP(Vendas[[#This Row],[ID Item Vendido]],Agregado[ID],Agregado[Custo])*Vendas[[#This Row],[Qnt Vendida]])</f>
        <v>95</v>
      </c>
      <c r="K3021" s="70">
        <f>Vendas[[#This Row],[Lucro da Venda]]/Vendas[[#This Row],[Valor da Venda]]</f>
        <v>0.16666666666666666</v>
      </c>
      <c r="L3021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3021"/>
    </row>
    <row r="3022" spans="1:13" x14ac:dyDescent="0.3">
      <c r="A3022" s="7">
        <v>400249</v>
      </c>
      <c r="B3022" t="str">
        <f>_xlfn.XLOOKUP(Vendas[[#This Row],[ID Vendedor]],Vendedores[ID],Vendedores[Nome])</f>
        <v>Bruno</v>
      </c>
      <c r="C3022" s="7" t="str">
        <f>_xlfn.XLOOKUP(Vendas[[#This Row],[ID Vendedor]],Vendedores[ID],Vendedores[Setor])</f>
        <v>CM</v>
      </c>
      <c r="D3022" s="7" t="s">
        <v>45</v>
      </c>
      <c r="E3022" t="str">
        <f>_xlfn.XLOOKUP(Vendas[[#This Row],[ID Item Vendido]],Agregado[ID],Agregado[Produto])</f>
        <v>Viga de madeira tratada 4m</v>
      </c>
      <c r="F3022" s="39">
        <v>45259</v>
      </c>
      <c r="G3022" s="7">
        <v>15</v>
      </c>
      <c r="H3022" s="3">
        <f>_xlfn.XLOOKUP(Vendas[[#This Row],[ID Item Vendido]],Agregado[ID],Agregado[Revenda])</f>
        <v>66</v>
      </c>
      <c r="I3022" s="3">
        <f>Vendas[[#This Row],[Valor Unitário]]*Vendas[[#This Row],[Qnt Vendida]]</f>
        <v>990</v>
      </c>
      <c r="J3022" s="3">
        <f>Vendas[[#This Row],[Valor da Venda]]-(_xlfn.XLOOKUP(Vendas[[#This Row],[ID Item Vendido]],Agregado[ID],Agregado[Custo])*Vendas[[#This Row],[Qnt Vendida]])</f>
        <v>165</v>
      </c>
      <c r="K3022" s="70">
        <f>Vendas[[#This Row],[Lucro da Venda]]/Vendas[[#This Row],[Valor da Venda]]</f>
        <v>0.16666666666666666</v>
      </c>
      <c r="L3022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3022"/>
    </row>
    <row r="3023" spans="1:13" x14ac:dyDescent="0.3">
      <c r="A3023" s="7">
        <v>400247</v>
      </c>
      <c r="B3023" t="str">
        <f>_xlfn.XLOOKUP(Vendas[[#This Row],[ID Vendedor]],Vendedores[ID],Vendedores[Nome])</f>
        <v>André</v>
      </c>
      <c r="C3023" s="7" t="str">
        <f>_xlfn.XLOOKUP(Vendas[[#This Row],[ID Vendedor]],Vendedores[ID],Vendedores[Setor])</f>
        <v>CM</v>
      </c>
      <c r="D3023" s="7" t="s">
        <v>34</v>
      </c>
      <c r="E3023" t="str">
        <f>_xlfn.XLOOKUP(Vendas[[#This Row],[ID Item Vendido]],Agregado[ID],Agregado[Produto])</f>
        <v>Restos de madeira p/ MDP/OSB saco de 20kg</v>
      </c>
      <c r="F3023" s="39">
        <v>45259</v>
      </c>
      <c r="G3023" s="7">
        <v>25</v>
      </c>
      <c r="H3023" s="3">
        <f>_xlfn.XLOOKUP(Vendas[[#This Row],[ID Item Vendido]],Agregado[ID],Agregado[Revenda])</f>
        <v>13.8</v>
      </c>
      <c r="I3023" s="3">
        <f>Vendas[[#This Row],[Valor Unitário]]*Vendas[[#This Row],[Qnt Vendida]]</f>
        <v>345</v>
      </c>
      <c r="J3023" s="3">
        <f>Vendas[[#This Row],[Valor da Venda]]-(_xlfn.XLOOKUP(Vendas[[#This Row],[ID Item Vendido]],Agregado[ID],Agregado[Custo])*Vendas[[#This Row],[Qnt Vendida]])</f>
        <v>45</v>
      </c>
      <c r="K3023" s="70">
        <f>Vendas[[#This Row],[Lucro da Venda]]/Vendas[[#This Row],[Valor da Venda]]</f>
        <v>0.13043478260869565</v>
      </c>
      <c r="L3023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3023"/>
    </row>
    <row r="3024" spans="1:13" x14ac:dyDescent="0.3">
      <c r="A3024" s="7">
        <v>400242</v>
      </c>
      <c r="B3024" t="str">
        <f>_xlfn.XLOOKUP(Vendas[[#This Row],[ID Vendedor]],Vendedores[ID],Vendedores[Nome])</f>
        <v>Fernanda</v>
      </c>
      <c r="C3024" s="7" t="str">
        <f>_xlfn.XLOOKUP(Vendas[[#This Row],[ID Vendedor]],Vendedores[ID],Vendedores[Setor])</f>
        <v>FM</v>
      </c>
      <c r="D3024" s="7" t="s">
        <v>6</v>
      </c>
      <c r="E3024" t="str">
        <f>_xlfn.XLOOKUP(Vendas[[#This Row],[ID Item Vendido]],Agregado[ID],Agregado[Produto])</f>
        <v>Parafuso comum 500un</v>
      </c>
      <c r="F3024" s="39">
        <v>45259</v>
      </c>
      <c r="G3024" s="7">
        <v>13</v>
      </c>
      <c r="H3024" s="3">
        <f>_xlfn.XLOOKUP(Vendas[[#This Row],[ID Item Vendido]],Agregado[ID],Agregado[Revenda])</f>
        <v>24.6</v>
      </c>
      <c r="I3024" s="3">
        <f>Vendas[[#This Row],[Valor Unitário]]*Vendas[[#This Row],[Qnt Vendida]]</f>
        <v>319.8</v>
      </c>
      <c r="J3024" s="3">
        <f>Vendas[[#This Row],[Valor da Venda]]-(_xlfn.XLOOKUP(Vendas[[#This Row],[ID Item Vendido]],Agregado[ID],Agregado[Custo])*Vendas[[#This Row],[Qnt Vendida]])</f>
        <v>33.800000000000011</v>
      </c>
      <c r="K3024" s="70">
        <f>Vendas[[#This Row],[Lucro da Venda]]/Vendas[[#This Row],[Valor da Venda]]</f>
        <v>0.10569105691056914</v>
      </c>
      <c r="L3024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3024"/>
    </row>
    <row r="3025" spans="1:13" x14ac:dyDescent="0.3">
      <c r="A3025" s="7">
        <v>400242</v>
      </c>
      <c r="B3025" t="str">
        <f>_xlfn.XLOOKUP(Vendas[[#This Row],[ID Vendedor]],Vendedores[ID],Vendedores[Nome])</f>
        <v>Fernanda</v>
      </c>
      <c r="C3025" s="7" t="str">
        <f>_xlfn.XLOOKUP(Vendas[[#This Row],[ID Vendedor]],Vendedores[ID],Vendedores[Setor])</f>
        <v>FM</v>
      </c>
      <c r="D3025" s="7" t="s">
        <v>47</v>
      </c>
      <c r="E3025" t="str">
        <f>_xlfn.XLOOKUP(Vendas[[#This Row],[ID Item Vendido]],Agregado[ID],Agregado[Produto])</f>
        <v>Fio de arame galvanizado rolo 50m</v>
      </c>
      <c r="F3025" s="39">
        <v>45259</v>
      </c>
      <c r="G3025" s="7">
        <v>9</v>
      </c>
      <c r="H3025" s="3">
        <f>_xlfn.XLOOKUP(Vendas[[#This Row],[ID Item Vendido]],Agregado[ID],Agregado[Revenda])</f>
        <v>21.2</v>
      </c>
      <c r="I3025" s="3">
        <f>Vendas[[#This Row],[Valor Unitário]]*Vendas[[#This Row],[Qnt Vendida]]</f>
        <v>190.79999999999998</v>
      </c>
      <c r="J3025" s="3">
        <f>Vendas[[#This Row],[Valor da Venda]]-(_xlfn.XLOOKUP(Vendas[[#This Row],[ID Item Vendido]],Agregado[ID],Agregado[Custo])*Vendas[[#This Row],[Qnt Vendida]])</f>
        <v>28.799999999999983</v>
      </c>
      <c r="K3025" s="70">
        <f>Vendas[[#This Row],[Lucro da Venda]]/Vendas[[#This Row],[Valor da Venda]]</f>
        <v>0.15094339622641501</v>
      </c>
      <c r="L3025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3025"/>
    </row>
    <row r="3026" spans="1:13" x14ac:dyDescent="0.3">
      <c r="A3026" s="7">
        <v>400242</v>
      </c>
      <c r="B3026" t="str">
        <f>_xlfn.XLOOKUP(Vendas[[#This Row],[ID Vendedor]],Vendedores[ID],Vendedores[Nome])</f>
        <v>Fernanda</v>
      </c>
      <c r="C3026" s="7" t="str">
        <f>_xlfn.XLOOKUP(Vendas[[#This Row],[ID Vendedor]],Vendedores[ID],Vendedores[Setor])</f>
        <v>FM</v>
      </c>
      <c r="D3026" s="7" t="s">
        <v>27</v>
      </c>
      <c r="E3026" t="str">
        <f>_xlfn.XLOOKUP(Vendas[[#This Row],[ID Item Vendido]],Agregado[ID],Agregado[Produto])</f>
        <v>Chapa de metal lisa 1x2m</v>
      </c>
      <c r="F3026" s="39">
        <v>45260</v>
      </c>
      <c r="G3026" s="7">
        <v>21</v>
      </c>
      <c r="H3026" s="3">
        <f>_xlfn.XLOOKUP(Vendas[[#This Row],[ID Item Vendido]],Agregado[ID],Agregado[Revenda])</f>
        <v>52</v>
      </c>
      <c r="I3026" s="3">
        <f>Vendas[[#This Row],[Valor Unitário]]*Vendas[[#This Row],[Qnt Vendida]]</f>
        <v>1092</v>
      </c>
      <c r="J3026" s="3">
        <f>Vendas[[#This Row],[Valor da Venda]]-(_xlfn.XLOOKUP(Vendas[[#This Row],[ID Item Vendido]],Agregado[ID],Agregado[Custo])*Vendas[[#This Row],[Qnt Vendida]])</f>
        <v>147</v>
      </c>
      <c r="K3026" s="70">
        <f>Vendas[[#This Row],[Lucro da Venda]]/Vendas[[#This Row],[Valor da Venda]]</f>
        <v>0.13461538461538461</v>
      </c>
      <c r="L3026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3026"/>
    </row>
    <row r="3027" spans="1:13" x14ac:dyDescent="0.3">
      <c r="A3027" s="7">
        <v>400251</v>
      </c>
      <c r="B3027" t="str">
        <f>_xlfn.XLOOKUP(Vendas[[#This Row],[ID Vendedor]],Vendedores[ID],Vendedores[Nome])</f>
        <v>Diego</v>
      </c>
      <c r="C3027" s="7" t="str">
        <f>_xlfn.XLOOKUP(Vendas[[#This Row],[ID Vendedor]],Vendedores[ID],Vendedores[Setor])</f>
        <v>AB</v>
      </c>
      <c r="D3027" s="7" t="s">
        <v>37</v>
      </c>
      <c r="E3027" t="str">
        <f>_xlfn.XLOOKUP(Vendas[[#This Row],[ID Item Vendido]],Agregado[ID],Agregado[Produto])</f>
        <v>Composto de borracha para vedação rolo 10m</v>
      </c>
      <c r="F3027" s="39">
        <v>45260</v>
      </c>
      <c r="G3027" s="7">
        <v>17</v>
      </c>
      <c r="H3027" s="3">
        <f>_xlfn.XLOOKUP(Vendas[[#This Row],[ID Item Vendido]],Agregado[ID],Agregado[Revenda])</f>
        <v>51.2</v>
      </c>
      <c r="I3027" s="3">
        <f>Vendas[[#This Row],[Valor Unitário]]*Vendas[[#This Row],[Qnt Vendida]]</f>
        <v>870.40000000000009</v>
      </c>
      <c r="J3027" s="3">
        <f>Vendas[[#This Row],[Valor da Venda]]-(_xlfn.XLOOKUP(Vendas[[#This Row],[ID Item Vendido]],Agregado[ID],Agregado[Custo])*Vendas[[#This Row],[Qnt Vendida]])</f>
        <v>190.40000000000009</v>
      </c>
      <c r="K3027" s="70">
        <f>Vendas[[#This Row],[Lucro da Venda]]/Vendas[[#This Row],[Valor da Venda]]</f>
        <v>0.21875000000000008</v>
      </c>
      <c r="L3027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027"/>
    </row>
    <row r="3028" spans="1:13" x14ac:dyDescent="0.3">
      <c r="A3028" s="7">
        <v>400245</v>
      </c>
      <c r="B3028" t="str">
        <f>_xlfn.XLOOKUP(Vendas[[#This Row],[ID Vendedor]],Vendedores[ID],Vendedores[Nome])</f>
        <v>Thiago</v>
      </c>
      <c r="C3028" s="7" t="str">
        <f>_xlfn.XLOOKUP(Vendas[[#This Row],[ID Vendedor]],Vendedores[ID],Vendedores[Setor])</f>
        <v>AHD</v>
      </c>
      <c r="D3028" s="7" t="s">
        <v>9</v>
      </c>
      <c r="E3028" t="str">
        <f>_xlfn.XLOOKUP(Vendas[[#This Row],[ID Item Vendido]],Agregado[ID],Agregado[Produto])</f>
        <v>Barra de aço simples</v>
      </c>
      <c r="F3028" s="39">
        <v>45260</v>
      </c>
      <c r="G3028" s="7">
        <v>109</v>
      </c>
      <c r="H3028" s="3">
        <f>_xlfn.XLOOKUP(Vendas[[#This Row],[ID Item Vendido]],Agregado[ID],Agregado[Revenda])</f>
        <v>6.7</v>
      </c>
      <c r="I3028" s="3">
        <f>Vendas[[#This Row],[Valor Unitário]]*Vendas[[#This Row],[Qnt Vendida]]</f>
        <v>730.30000000000007</v>
      </c>
      <c r="J3028" s="3">
        <f>Vendas[[#This Row],[Valor da Venda]]-(_xlfn.XLOOKUP(Vendas[[#This Row],[ID Item Vendido]],Agregado[ID],Agregado[Custo])*Vendas[[#This Row],[Qnt Vendida]])</f>
        <v>98.100000000000136</v>
      </c>
      <c r="K3028" s="70">
        <f>Vendas[[#This Row],[Lucro da Venda]]/Vendas[[#This Row],[Valor da Venda]]</f>
        <v>0.13432835820895539</v>
      </c>
      <c r="L3028" s="3">
        <f>_xlfn.IFS(Vendas[[#This Row],[Margem de Lucro (%)]]&lt;15%,Vendas[[#This Row],[Valor da Venda]]*3%,Vendas[[#This Row],[Margem de Lucro (%)]]&lt;=20%,Vendas[[#This Row],[Valor da Venda]]*4.5%,TRUE,Vendas[[#This Row],[Valor da Venda]]*6%)</f>
        <v>21.909000000000002</v>
      </c>
      <c r="M3028"/>
    </row>
    <row r="3029" spans="1:13" x14ac:dyDescent="0.3">
      <c r="A3029" s="7">
        <v>400250</v>
      </c>
      <c r="B3029" t="str">
        <f>_xlfn.XLOOKUP(Vendas[[#This Row],[ID Vendedor]],Vendedores[ID],Vendedores[Nome])</f>
        <v>Larissa</v>
      </c>
      <c r="C3029" s="7" t="str">
        <f>_xlfn.XLOOKUP(Vendas[[#This Row],[ID Vendedor]],Vendedores[ID],Vendedores[Setor])</f>
        <v>AB</v>
      </c>
      <c r="D3029" s="7" t="s">
        <v>37</v>
      </c>
      <c r="E3029" t="str">
        <f>_xlfn.XLOOKUP(Vendas[[#This Row],[ID Item Vendido]],Agregado[ID],Agregado[Produto])</f>
        <v>Composto de borracha para vedação rolo 10m</v>
      </c>
      <c r="F3029" s="39">
        <v>45261</v>
      </c>
      <c r="G3029" s="7">
        <v>9</v>
      </c>
      <c r="H3029" s="3">
        <f>_xlfn.XLOOKUP(Vendas[[#This Row],[ID Item Vendido]],Agregado[ID],Agregado[Revenda])</f>
        <v>51.2</v>
      </c>
      <c r="I3029" s="3">
        <f>Vendas[[#This Row],[Valor Unitário]]*Vendas[[#This Row],[Qnt Vendida]]</f>
        <v>460.8</v>
      </c>
      <c r="J3029" s="3">
        <f>Vendas[[#This Row],[Valor da Venda]]-(_xlfn.XLOOKUP(Vendas[[#This Row],[ID Item Vendido]],Agregado[ID],Agregado[Custo])*Vendas[[#This Row],[Qnt Vendida]])</f>
        <v>100.80000000000001</v>
      </c>
      <c r="K3029" s="70">
        <f>Vendas[[#This Row],[Lucro da Venda]]/Vendas[[#This Row],[Valor da Venda]]</f>
        <v>0.21875000000000003</v>
      </c>
      <c r="L3029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3029"/>
    </row>
    <row r="3030" spans="1:13" x14ac:dyDescent="0.3">
      <c r="A3030" s="7">
        <v>400250</v>
      </c>
      <c r="B3030" t="str">
        <f>_xlfn.XLOOKUP(Vendas[[#This Row],[ID Vendedor]],Vendedores[ID],Vendedores[Nome])</f>
        <v>Larissa</v>
      </c>
      <c r="C3030" s="7" t="str">
        <f>_xlfn.XLOOKUP(Vendas[[#This Row],[ID Vendedor]],Vendedores[ID],Vendedores[Setor])</f>
        <v>AB</v>
      </c>
      <c r="D3030" s="7" t="s">
        <v>37</v>
      </c>
      <c r="E3030" t="str">
        <f>_xlfn.XLOOKUP(Vendas[[#This Row],[ID Item Vendido]],Agregado[ID],Agregado[Produto])</f>
        <v>Composto de borracha para vedação rolo 10m</v>
      </c>
      <c r="F3030" s="39">
        <v>45261</v>
      </c>
      <c r="G3030" s="7">
        <v>6</v>
      </c>
      <c r="H3030" s="3">
        <f>_xlfn.XLOOKUP(Vendas[[#This Row],[ID Item Vendido]],Agregado[ID],Agregado[Revenda])</f>
        <v>51.2</v>
      </c>
      <c r="I3030" s="3">
        <f>Vendas[[#This Row],[Valor Unitário]]*Vendas[[#This Row],[Qnt Vendida]]</f>
        <v>307.20000000000005</v>
      </c>
      <c r="J3030" s="3">
        <f>Vendas[[#This Row],[Valor da Venda]]-(_xlfn.XLOOKUP(Vendas[[#This Row],[ID Item Vendido]],Agregado[ID],Agregado[Custo])*Vendas[[#This Row],[Qnt Vendida]])</f>
        <v>67.200000000000045</v>
      </c>
      <c r="K3030" s="70">
        <f>Vendas[[#This Row],[Lucro da Venda]]/Vendas[[#This Row],[Valor da Venda]]</f>
        <v>0.21875000000000011</v>
      </c>
      <c r="L3030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3030"/>
    </row>
    <row r="3031" spans="1:13" x14ac:dyDescent="0.3">
      <c r="A3031" s="7">
        <v>400247</v>
      </c>
      <c r="B3031" t="str">
        <f>_xlfn.XLOOKUP(Vendas[[#This Row],[ID Vendedor]],Vendedores[ID],Vendedores[Nome])</f>
        <v>André</v>
      </c>
      <c r="C3031" s="7" t="str">
        <f>_xlfn.XLOOKUP(Vendas[[#This Row],[ID Vendedor]],Vendedores[ID],Vendedores[Setor])</f>
        <v>CM</v>
      </c>
      <c r="D3031" s="7" t="s">
        <v>34</v>
      </c>
      <c r="E3031" t="str">
        <f>_xlfn.XLOOKUP(Vendas[[#This Row],[ID Item Vendido]],Agregado[ID],Agregado[Produto])</f>
        <v>Restos de madeira p/ MDP/OSB saco de 20kg</v>
      </c>
      <c r="F3031" s="39">
        <v>45261</v>
      </c>
      <c r="G3031" s="7">
        <v>20</v>
      </c>
      <c r="H3031" s="3">
        <f>_xlfn.XLOOKUP(Vendas[[#This Row],[ID Item Vendido]],Agregado[ID],Agregado[Revenda])</f>
        <v>13.8</v>
      </c>
      <c r="I3031" s="3">
        <f>Vendas[[#This Row],[Valor Unitário]]*Vendas[[#This Row],[Qnt Vendida]]</f>
        <v>276</v>
      </c>
      <c r="J3031" s="3">
        <f>Vendas[[#This Row],[Valor da Venda]]-(_xlfn.XLOOKUP(Vendas[[#This Row],[ID Item Vendido]],Agregado[ID],Agregado[Custo])*Vendas[[#This Row],[Qnt Vendida]])</f>
        <v>36</v>
      </c>
      <c r="K3031" s="70">
        <f>Vendas[[#This Row],[Lucro da Venda]]/Vendas[[#This Row],[Valor da Venda]]</f>
        <v>0.13043478260869565</v>
      </c>
      <c r="L3031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3031"/>
    </row>
    <row r="3032" spans="1:13" x14ac:dyDescent="0.3">
      <c r="A3032" s="7">
        <v>400246</v>
      </c>
      <c r="B3032" t="str">
        <f>_xlfn.XLOOKUP(Vendas[[#This Row],[ID Vendedor]],Vendedores[ID],Vendedores[Nome])</f>
        <v>Juliana</v>
      </c>
      <c r="C3032" s="7" t="str">
        <f>_xlfn.XLOOKUP(Vendas[[#This Row],[ID Vendedor]],Vendedores[ID],Vendedores[Setor])</f>
        <v>AHD</v>
      </c>
      <c r="D3032" s="7" t="s">
        <v>30</v>
      </c>
      <c r="E3032" t="str">
        <f>_xlfn.XLOOKUP(Vendas[[#This Row],[ID Item Vendido]],Agregado[ID],Agregado[Produto])</f>
        <v>Estrutura metálica soldada</v>
      </c>
      <c r="F3032" s="39">
        <v>45263</v>
      </c>
      <c r="G3032" s="7">
        <v>8</v>
      </c>
      <c r="H3032" s="3">
        <f>_xlfn.XLOOKUP(Vendas[[#This Row],[ID Item Vendido]],Agregado[ID],Agregado[Revenda])</f>
        <v>400</v>
      </c>
      <c r="I3032" s="3">
        <f>Vendas[[#This Row],[Valor Unitário]]*Vendas[[#This Row],[Qnt Vendida]]</f>
        <v>3200</v>
      </c>
      <c r="J3032" s="3">
        <f>Vendas[[#This Row],[Valor da Venda]]-(_xlfn.XLOOKUP(Vendas[[#This Row],[ID Item Vendido]],Agregado[ID],Agregado[Custo])*Vendas[[#This Row],[Qnt Vendida]])</f>
        <v>640</v>
      </c>
      <c r="K3032" s="70">
        <f>Vendas[[#This Row],[Lucro da Venda]]/Vendas[[#This Row],[Valor da Venda]]</f>
        <v>0.2</v>
      </c>
      <c r="L3032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3032"/>
    </row>
    <row r="3033" spans="1:13" x14ac:dyDescent="0.3">
      <c r="A3033" s="7">
        <v>400250</v>
      </c>
      <c r="B3033" t="str">
        <f>_xlfn.XLOOKUP(Vendas[[#This Row],[ID Vendedor]],Vendedores[ID],Vendedores[Nome])</f>
        <v>Larissa</v>
      </c>
      <c r="C3033" s="7" t="str">
        <f>_xlfn.XLOOKUP(Vendas[[#This Row],[ID Vendedor]],Vendedores[ID],Vendedores[Setor])</f>
        <v>AB</v>
      </c>
      <c r="D3033" s="7" t="s">
        <v>36</v>
      </c>
      <c r="E3033" t="str">
        <f>_xlfn.XLOOKUP(Vendas[[#This Row],[ID Item Vendido]],Agregado[ID],Agregado[Produto])</f>
        <v>Borracha vulcanizada em manta</v>
      </c>
      <c r="F3033" s="39">
        <v>45263</v>
      </c>
      <c r="G3033" s="7">
        <v>86</v>
      </c>
      <c r="H3033" s="3">
        <f>_xlfn.XLOOKUP(Vendas[[#This Row],[ID Item Vendido]],Agregado[ID],Agregado[Revenda])</f>
        <v>7.8</v>
      </c>
      <c r="I3033" s="3">
        <f>Vendas[[#This Row],[Valor Unitário]]*Vendas[[#This Row],[Qnt Vendida]]</f>
        <v>670.8</v>
      </c>
      <c r="J3033" s="3">
        <f>Vendas[[#This Row],[Valor da Venda]]-(_xlfn.XLOOKUP(Vendas[[#This Row],[ID Item Vendido]],Agregado[ID],Agregado[Custo])*Vendas[[#This Row],[Qnt Vendida]])</f>
        <v>154.79999999999995</v>
      </c>
      <c r="K3033" s="70">
        <f>Vendas[[#This Row],[Lucro da Venda]]/Vendas[[#This Row],[Valor da Venda]]</f>
        <v>0.23076923076923073</v>
      </c>
      <c r="L3033" s="3">
        <f>_xlfn.IFS(Vendas[[#This Row],[Margem de Lucro (%)]]&lt;15%,Vendas[[#This Row],[Valor da Venda]]*3%,Vendas[[#This Row],[Margem de Lucro (%)]]&lt;=20%,Vendas[[#This Row],[Valor da Venda]]*4.5%,TRUE,Vendas[[#This Row],[Valor da Venda]]*6%)</f>
        <v>40.247999999999998</v>
      </c>
      <c r="M3033"/>
    </row>
    <row r="3034" spans="1:13" x14ac:dyDescent="0.3">
      <c r="A3034" s="7">
        <v>400255</v>
      </c>
      <c r="B3034" t="str">
        <f>_xlfn.XLOOKUP(Vendas[[#This Row],[ID Vendedor]],Vendedores[ID],Vendedores[Nome])</f>
        <v>Carlos</v>
      </c>
      <c r="C3034" s="7" t="str">
        <f>_xlfn.XLOOKUP(Vendas[[#This Row],[ID Vendedor]],Vendedores[ID],Vendedores[Setor])</f>
        <v>SC</v>
      </c>
      <c r="D3034" s="7" t="s">
        <v>48</v>
      </c>
      <c r="E3034" t="str">
        <f>_xlfn.XLOOKUP(Vendas[[#This Row],[ID Item Vendido]],Agregado[ID],Agregado[Produto])</f>
        <v>Tambor metálico 200L</v>
      </c>
      <c r="F3034" s="39">
        <v>45264</v>
      </c>
      <c r="G3034" s="7">
        <v>10</v>
      </c>
      <c r="H3034" s="3">
        <f>_xlfn.XLOOKUP(Vendas[[#This Row],[ID Item Vendido]],Agregado[ID],Agregado[Revenda])</f>
        <v>144</v>
      </c>
      <c r="I3034" s="3">
        <f>Vendas[[#This Row],[Valor Unitário]]*Vendas[[#This Row],[Qnt Vendida]]</f>
        <v>1440</v>
      </c>
      <c r="J3034" s="3">
        <f>Vendas[[#This Row],[Valor da Venda]]-(_xlfn.XLOOKUP(Vendas[[#This Row],[ID Item Vendido]],Agregado[ID],Agregado[Custo])*Vendas[[#This Row],[Qnt Vendida]])</f>
        <v>240</v>
      </c>
      <c r="K3034" s="70">
        <f>Vendas[[#This Row],[Lucro da Venda]]/Vendas[[#This Row],[Valor da Venda]]</f>
        <v>0.16666666666666666</v>
      </c>
      <c r="L3034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3034"/>
    </row>
    <row r="3035" spans="1:13" x14ac:dyDescent="0.3">
      <c r="A3035" s="7">
        <v>400242</v>
      </c>
      <c r="B3035" t="str">
        <f>_xlfn.XLOOKUP(Vendas[[#This Row],[ID Vendedor]],Vendedores[ID],Vendedores[Nome])</f>
        <v>Fernanda</v>
      </c>
      <c r="C3035" s="7" t="str">
        <f>_xlfn.XLOOKUP(Vendas[[#This Row],[ID Vendedor]],Vendedores[ID],Vendedores[Setor])</f>
        <v>FM</v>
      </c>
      <c r="D3035" s="7" t="s">
        <v>20</v>
      </c>
      <c r="E3035" t="str">
        <f>_xlfn.XLOOKUP(Vendas[[#This Row],[ID Item Vendido]],Agregado[ID],Agregado[Produto])</f>
        <v>Barra de aço simples</v>
      </c>
      <c r="F3035" s="39">
        <v>45264</v>
      </c>
      <c r="G3035" s="7">
        <v>178</v>
      </c>
      <c r="H3035" s="3">
        <f>_xlfn.XLOOKUP(Vendas[[#This Row],[ID Item Vendido]],Agregado[ID],Agregado[Revenda])</f>
        <v>4.8</v>
      </c>
      <c r="I3035" s="3">
        <f>Vendas[[#This Row],[Valor Unitário]]*Vendas[[#This Row],[Qnt Vendida]]</f>
        <v>854.4</v>
      </c>
      <c r="J3035" s="3">
        <f>Vendas[[#This Row],[Valor da Venda]]-(_xlfn.XLOOKUP(Vendas[[#This Row],[ID Item Vendido]],Agregado[ID],Agregado[Custo])*Vendas[[#This Row],[Qnt Vendida]])</f>
        <v>106.79999999999995</v>
      </c>
      <c r="K3035" s="70">
        <f>Vendas[[#This Row],[Lucro da Venda]]/Vendas[[#This Row],[Valor da Venda]]</f>
        <v>0.12499999999999994</v>
      </c>
      <c r="L3035" s="3">
        <f>_xlfn.IFS(Vendas[[#This Row],[Margem de Lucro (%)]]&lt;15%,Vendas[[#This Row],[Valor da Venda]]*3%,Vendas[[#This Row],[Margem de Lucro (%)]]&lt;=20%,Vendas[[#This Row],[Valor da Venda]]*4.5%,TRUE,Vendas[[#This Row],[Valor da Venda]]*6%)</f>
        <v>25.631999999999998</v>
      </c>
      <c r="M3035"/>
    </row>
    <row r="3036" spans="1:13" x14ac:dyDescent="0.3">
      <c r="A3036" s="7">
        <v>400241</v>
      </c>
      <c r="B3036" t="str">
        <f>_xlfn.XLOOKUP(Vendas[[#This Row],[ID Vendedor]],Vendedores[ID],Vendedores[Nome])</f>
        <v>Rodrigo</v>
      </c>
      <c r="C3036" s="7" t="str">
        <f>_xlfn.XLOOKUP(Vendas[[#This Row],[ID Vendedor]],Vendedores[ID],Vendedores[Setor])</f>
        <v>FM</v>
      </c>
      <c r="D3036" s="7" t="s">
        <v>27</v>
      </c>
      <c r="E3036" t="str">
        <f>_xlfn.XLOOKUP(Vendas[[#This Row],[ID Item Vendido]],Agregado[ID],Agregado[Produto])</f>
        <v>Chapa de metal lisa 1x2m</v>
      </c>
      <c r="F3036" s="39">
        <v>45265</v>
      </c>
      <c r="G3036" s="7">
        <v>17</v>
      </c>
      <c r="H3036" s="3">
        <f>_xlfn.XLOOKUP(Vendas[[#This Row],[ID Item Vendido]],Agregado[ID],Agregado[Revenda])</f>
        <v>52</v>
      </c>
      <c r="I3036" s="3">
        <f>Vendas[[#This Row],[Valor Unitário]]*Vendas[[#This Row],[Qnt Vendida]]</f>
        <v>884</v>
      </c>
      <c r="J3036" s="3">
        <f>Vendas[[#This Row],[Valor da Venda]]-(_xlfn.XLOOKUP(Vendas[[#This Row],[ID Item Vendido]],Agregado[ID],Agregado[Custo])*Vendas[[#This Row],[Qnt Vendida]])</f>
        <v>119</v>
      </c>
      <c r="K3036" s="70">
        <f>Vendas[[#This Row],[Lucro da Venda]]/Vendas[[#This Row],[Valor da Venda]]</f>
        <v>0.13461538461538461</v>
      </c>
      <c r="L3036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3036"/>
    </row>
    <row r="3037" spans="1:13" x14ac:dyDescent="0.3">
      <c r="A3037" s="7">
        <v>400251</v>
      </c>
      <c r="B3037" t="str">
        <f>_xlfn.XLOOKUP(Vendas[[#This Row],[ID Vendedor]],Vendedores[ID],Vendedores[Nome])</f>
        <v>Diego</v>
      </c>
      <c r="C3037" s="7" t="str">
        <f>_xlfn.XLOOKUP(Vendas[[#This Row],[ID Vendedor]],Vendedores[ID],Vendedores[Setor])</f>
        <v>AB</v>
      </c>
      <c r="D3037" s="7" t="s">
        <v>24</v>
      </c>
      <c r="E3037" t="str">
        <f>_xlfn.XLOOKUP(Vendas[[#This Row],[ID Item Vendido]],Agregado[ID],Agregado[Produto])</f>
        <v>Resina plástica PET purificada saco de 25kg</v>
      </c>
      <c r="F3037" s="39">
        <v>45265</v>
      </c>
      <c r="G3037" s="7">
        <v>6</v>
      </c>
      <c r="H3037" s="3">
        <f>_xlfn.XLOOKUP(Vendas[[#This Row],[ID Item Vendido]],Agregado[ID],Agregado[Revenda])</f>
        <v>119</v>
      </c>
      <c r="I3037" s="3">
        <f>Vendas[[#This Row],[Valor Unitário]]*Vendas[[#This Row],[Qnt Vendida]]</f>
        <v>714</v>
      </c>
      <c r="J3037" s="3">
        <f>Vendas[[#This Row],[Valor da Venda]]-(_xlfn.XLOOKUP(Vendas[[#This Row],[ID Item Vendido]],Agregado[ID],Agregado[Custo])*Vendas[[#This Row],[Qnt Vendida]])</f>
        <v>204</v>
      </c>
      <c r="K3037" s="70">
        <f>Vendas[[#This Row],[Lucro da Venda]]/Vendas[[#This Row],[Valor da Venda]]</f>
        <v>0.2857142857142857</v>
      </c>
      <c r="L3037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037"/>
    </row>
    <row r="3038" spans="1:13" x14ac:dyDescent="0.3">
      <c r="A3038" s="7">
        <v>400254</v>
      </c>
      <c r="B3038" t="str">
        <f>_xlfn.XLOOKUP(Vendas[[#This Row],[ID Vendedor]],Vendedores[ID],Vendedores[Nome])</f>
        <v>Beatriz</v>
      </c>
      <c r="C3038" s="7" t="str">
        <f>_xlfn.XLOOKUP(Vendas[[#This Row],[ID Vendedor]],Vendedores[ID],Vendedores[Setor])</f>
        <v>SC</v>
      </c>
      <c r="D3038" s="7" t="s">
        <v>48</v>
      </c>
      <c r="E3038" t="str">
        <f>_xlfn.XLOOKUP(Vendas[[#This Row],[ID Item Vendido]],Agregado[ID],Agregado[Produto])</f>
        <v>Tambor metálico 200L</v>
      </c>
      <c r="F3038" s="39">
        <v>45266</v>
      </c>
      <c r="G3038" s="7">
        <v>19</v>
      </c>
      <c r="H3038" s="3">
        <f>_xlfn.XLOOKUP(Vendas[[#This Row],[ID Item Vendido]],Agregado[ID],Agregado[Revenda])</f>
        <v>144</v>
      </c>
      <c r="I3038" s="3">
        <f>Vendas[[#This Row],[Valor Unitário]]*Vendas[[#This Row],[Qnt Vendida]]</f>
        <v>2736</v>
      </c>
      <c r="J3038" s="3">
        <f>Vendas[[#This Row],[Valor da Venda]]-(_xlfn.XLOOKUP(Vendas[[#This Row],[ID Item Vendido]],Agregado[ID],Agregado[Custo])*Vendas[[#This Row],[Qnt Vendida]])</f>
        <v>456</v>
      </c>
      <c r="K3038" s="70">
        <f>Vendas[[#This Row],[Lucro da Venda]]/Vendas[[#This Row],[Valor da Venda]]</f>
        <v>0.16666666666666666</v>
      </c>
      <c r="L3038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3038"/>
    </row>
    <row r="3039" spans="1:13" x14ac:dyDescent="0.3">
      <c r="A3039" s="7">
        <v>400249</v>
      </c>
      <c r="B3039" t="str">
        <f>_xlfn.XLOOKUP(Vendas[[#This Row],[ID Vendedor]],Vendedores[ID],Vendedores[Nome])</f>
        <v>Bruno</v>
      </c>
      <c r="C3039" s="7" t="str">
        <f>_xlfn.XLOOKUP(Vendas[[#This Row],[ID Vendedor]],Vendedores[ID],Vendedores[Setor])</f>
        <v>CM</v>
      </c>
      <c r="D3039" s="7" t="s">
        <v>45</v>
      </c>
      <c r="E3039" t="str">
        <f>_xlfn.XLOOKUP(Vendas[[#This Row],[ID Item Vendido]],Agregado[ID],Agregado[Produto])</f>
        <v>Viga de madeira tratada 4m</v>
      </c>
      <c r="F3039" s="39">
        <v>45266</v>
      </c>
      <c r="G3039" s="7">
        <v>11</v>
      </c>
      <c r="H3039" s="3">
        <f>_xlfn.XLOOKUP(Vendas[[#This Row],[ID Item Vendido]],Agregado[ID],Agregado[Revenda])</f>
        <v>66</v>
      </c>
      <c r="I3039" s="3">
        <f>Vendas[[#This Row],[Valor Unitário]]*Vendas[[#This Row],[Qnt Vendida]]</f>
        <v>726</v>
      </c>
      <c r="J3039" s="3">
        <f>Vendas[[#This Row],[Valor da Venda]]-(_xlfn.XLOOKUP(Vendas[[#This Row],[ID Item Vendido]],Agregado[ID],Agregado[Custo])*Vendas[[#This Row],[Qnt Vendida]])</f>
        <v>121</v>
      </c>
      <c r="K3039" s="70">
        <f>Vendas[[#This Row],[Lucro da Venda]]/Vendas[[#This Row],[Valor da Venda]]</f>
        <v>0.16666666666666666</v>
      </c>
      <c r="L3039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3039"/>
    </row>
    <row r="3040" spans="1:13" x14ac:dyDescent="0.3">
      <c r="A3040" s="7">
        <v>400243</v>
      </c>
      <c r="B3040" t="str">
        <f>_xlfn.XLOOKUP(Vendas[[#This Row],[ID Vendedor]],Vendedores[ID],Vendedores[Nome])</f>
        <v>Marcelo</v>
      </c>
      <c r="C3040" s="7" t="str">
        <f>_xlfn.XLOOKUP(Vendas[[#This Row],[ID Vendedor]],Vendedores[ID],Vendedores[Setor])</f>
        <v>FM</v>
      </c>
      <c r="D3040" s="7" t="s">
        <v>27</v>
      </c>
      <c r="E3040" t="str">
        <f>_xlfn.XLOOKUP(Vendas[[#This Row],[ID Item Vendido]],Agregado[ID],Agregado[Produto])</f>
        <v>Chapa de metal lisa 1x2m</v>
      </c>
      <c r="F3040" s="39">
        <v>45267</v>
      </c>
      <c r="G3040" s="7">
        <v>30</v>
      </c>
      <c r="H3040" s="3">
        <f>_xlfn.XLOOKUP(Vendas[[#This Row],[ID Item Vendido]],Agregado[ID],Agregado[Revenda])</f>
        <v>52</v>
      </c>
      <c r="I3040" s="3">
        <f>Vendas[[#This Row],[Valor Unitário]]*Vendas[[#This Row],[Qnt Vendida]]</f>
        <v>1560</v>
      </c>
      <c r="J3040" s="3">
        <f>Vendas[[#This Row],[Valor da Venda]]-(_xlfn.XLOOKUP(Vendas[[#This Row],[ID Item Vendido]],Agregado[ID],Agregado[Custo])*Vendas[[#This Row],[Qnt Vendida]])</f>
        <v>210</v>
      </c>
      <c r="K3040" s="70">
        <f>Vendas[[#This Row],[Lucro da Venda]]/Vendas[[#This Row],[Valor da Venda]]</f>
        <v>0.13461538461538461</v>
      </c>
      <c r="L3040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3040"/>
    </row>
    <row r="3041" spans="1:13" x14ac:dyDescent="0.3">
      <c r="A3041" s="7">
        <v>400242</v>
      </c>
      <c r="B3041" t="str">
        <f>_xlfn.XLOOKUP(Vendas[[#This Row],[ID Vendedor]],Vendedores[ID],Vendedores[Nome])</f>
        <v>Fernanda</v>
      </c>
      <c r="C3041" s="7" t="str">
        <f>_xlfn.XLOOKUP(Vendas[[#This Row],[ID Vendedor]],Vendedores[ID],Vendedores[Setor])</f>
        <v>FM</v>
      </c>
      <c r="D3041" s="7" t="s">
        <v>31</v>
      </c>
      <c r="E3041" t="str">
        <f>_xlfn.XLOOKUP(Vendas[[#This Row],[ID Item Vendido]],Agregado[ID],Agregado[Produto])</f>
        <v>Tela de metal soldada rolo 2x25m</v>
      </c>
      <c r="F3041" s="39">
        <v>45268</v>
      </c>
      <c r="G3041" s="7">
        <v>13</v>
      </c>
      <c r="H3041" s="3">
        <f>_xlfn.XLOOKUP(Vendas[[#This Row],[ID Item Vendido]],Agregado[ID],Agregado[Revenda])</f>
        <v>43.7</v>
      </c>
      <c r="I3041" s="3">
        <f>Vendas[[#This Row],[Valor Unitário]]*Vendas[[#This Row],[Qnt Vendida]]</f>
        <v>568.1</v>
      </c>
      <c r="J3041" s="3">
        <f>Vendas[[#This Row],[Valor da Venda]]-(_xlfn.XLOOKUP(Vendas[[#This Row],[ID Item Vendido]],Agregado[ID],Agregado[Custo])*Vendas[[#This Row],[Qnt Vendida]])</f>
        <v>74.100000000000023</v>
      </c>
      <c r="K3041" s="70">
        <f>Vendas[[#This Row],[Lucro da Venda]]/Vendas[[#This Row],[Valor da Venda]]</f>
        <v>0.13043478260869568</v>
      </c>
      <c r="L3041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3041"/>
    </row>
    <row r="3042" spans="1:13" x14ac:dyDescent="0.3">
      <c r="A3042" s="7">
        <v>400249</v>
      </c>
      <c r="B3042" t="str">
        <f>_xlfn.XLOOKUP(Vendas[[#This Row],[ID Vendedor]],Vendedores[ID],Vendedores[Nome])</f>
        <v>Bruno</v>
      </c>
      <c r="C3042" s="7" t="str">
        <f>_xlfn.XLOOKUP(Vendas[[#This Row],[ID Vendedor]],Vendedores[ID],Vendedores[Setor])</f>
        <v>CM</v>
      </c>
      <c r="D3042" s="7" t="s">
        <v>45</v>
      </c>
      <c r="E3042" t="str">
        <f>_xlfn.XLOOKUP(Vendas[[#This Row],[ID Item Vendido]],Agregado[ID],Agregado[Produto])</f>
        <v>Viga de madeira tratada 4m</v>
      </c>
      <c r="F3042" s="39">
        <v>45269</v>
      </c>
      <c r="G3042" s="7">
        <v>11</v>
      </c>
      <c r="H3042" s="3">
        <f>_xlfn.XLOOKUP(Vendas[[#This Row],[ID Item Vendido]],Agregado[ID],Agregado[Revenda])</f>
        <v>66</v>
      </c>
      <c r="I3042" s="3">
        <f>Vendas[[#This Row],[Valor Unitário]]*Vendas[[#This Row],[Qnt Vendida]]</f>
        <v>726</v>
      </c>
      <c r="J3042" s="3">
        <f>Vendas[[#This Row],[Valor da Venda]]-(_xlfn.XLOOKUP(Vendas[[#This Row],[ID Item Vendido]],Agregado[ID],Agregado[Custo])*Vendas[[#This Row],[Qnt Vendida]])</f>
        <v>121</v>
      </c>
      <c r="K3042" s="70">
        <f>Vendas[[#This Row],[Lucro da Venda]]/Vendas[[#This Row],[Valor da Venda]]</f>
        <v>0.16666666666666666</v>
      </c>
      <c r="L3042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3042"/>
    </row>
    <row r="3043" spans="1:13" x14ac:dyDescent="0.3">
      <c r="A3043" s="7">
        <v>400246</v>
      </c>
      <c r="B3043" t="str">
        <f>_xlfn.XLOOKUP(Vendas[[#This Row],[ID Vendedor]],Vendedores[ID],Vendedores[Nome])</f>
        <v>Juliana</v>
      </c>
      <c r="C3043" s="7" t="str">
        <f>_xlfn.XLOOKUP(Vendas[[#This Row],[ID Vendedor]],Vendedores[ID],Vendedores[Setor])</f>
        <v>AHD</v>
      </c>
      <c r="D3043" s="7" t="s">
        <v>28</v>
      </c>
      <c r="E3043" t="str">
        <f>_xlfn.XLOOKUP(Vendas[[#This Row],[ID Item Vendido]],Agregado[ID],Agregado[Produto])</f>
        <v>Peça usinada CNC</v>
      </c>
      <c r="F3043" s="39">
        <v>45269</v>
      </c>
      <c r="G3043" s="7">
        <v>2</v>
      </c>
      <c r="H3043" s="3">
        <f>_xlfn.XLOOKUP(Vendas[[#This Row],[ID Item Vendido]],Agregado[ID],Agregado[Revenda])</f>
        <v>192</v>
      </c>
      <c r="I3043" s="3">
        <f>Vendas[[#This Row],[Valor Unitário]]*Vendas[[#This Row],[Qnt Vendida]]</f>
        <v>384</v>
      </c>
      <c r="J3043" s="3">
        <f>Vendas[[#This Row],[Valor da Venda]]-(_xlfn.XLOOKUP(Vendas[[#This Row],[ID Item Vendido]],Agregado[ID],Agregado[Custo])*Vendas[[#This Row],[Qnt Vendida]])</f>
        <v>84</v>
      </c>
      <c r="K3043" s="70">
        <f>Vendas[[#This Row],[Lucro da Venda]]/Vendas[[#This Row],[Valor da Venda]]</f>
        <v>0.21875</v>
      </c>
      <c r="L3043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043"/>
    </row>
    <row r="3044" spans="1:13" x14ac:dyDescent="0.3">
      <c r="A3044" s="7">
        <v>400242</v>
      </c>
      <c r="B3044" t="str">
        <f>_xlfn.XLOOKUP(Vendas[[#This Row],[ID Vendedor]],Vendedores[ID],Vendedores[Nome])</f>
        <v>Fernanda</v>
      </c>
      <c r="C3044" s="7" t="str">
        <f>_xlfn.XLOOKUP(Vendas[[#This Row],[ID Vendedor]],Vendedores[ID],Vendedores[Setor])</f>
        <v>FM</v>
      </c>
      <c r="D3044" s="7" t="s">
        <v>20</v>
      </c>
      <c r="E3044" t="str">
        <f>_xlfn.XLOOKUP(Vendas[[#This Row],[ID Item Vendido]],Agregado[ID],Agregado[Produto])</f>
        <v>Barra de aço simples</v>
      </c>
      <c r="F3044" s="39">
        <v>45269</v>
      </c>
      <c r="G3044" s="7">
        <v>42</v>
      </c>
      <c r="H3044" s="3">
        <f>_xlfn.XLOOKUP(Vendas[[#This Row],[ID Item Vendido]],Agregado[ID],Agregado[Revenda])</f>
        <v>4.8</v>
      </c>
      <c r="I3044" s="3">
        <f>Vendas[[#This Row],[Valor Unitário]]*Vendas[[#This Row],[Qnt Vendida]]</f>
        <v>201.6</v>
      </c>
      <c r="J3044" s="3">
        <f>Vendas[[#This Row],[Valor da Venda]]-(_xlfn.XLOOKUP(Vendas[[#This Row],[ID Item Vendido]],Agregado[ID],Agregado[Custo])*Vendas[[#This Row],[Qnt Vendida]])</f>
        <v>25.199999999999989</v>
      </c>
      <c r="K3044" s="70">
        <f>Vendas[[#This Row],[Lucro da Venda]]/Vendas[[#This Row],[Valor da Venda]]</f>
        <v>0.12499999999999994</v>
      </c>
      <c r="L3044" s="3">
        <f>_xlfn.IFS(Vendas[[#This Row],[Margem de Lucro (%)]]&lt;15%,Vendas[[#This Row],[Valor da Venda]]*3%,Vendas[[#This Row],[Margem de Lucro (%)]]&lt;=20%,Vendas[[#This Row],[Valor da Venda]]*4.5%,TRUE,Vendas[[#This Row],[Valor da Venda]]*6%)</f>
        <v>6.048</v>
      </c>
      <c r="M3044"/>
    </row>
    <row r="3045" spans="1:13" x14ac:dyDescent="0.3">
      <c r="A3045" s="7">
        <v>400253</v>
      </c>
      <c r="B3045" t="str">
        <f>_xlfn.XLOOKUP(Vendas[[#This Row],[ID Vendedor]],Vendedores[ID],Vendedores[Nome])</f>
        <v>Gustavo</v>
      </c>
      <c r="C3045" s="7" t="str">
        <f>_xlfn.XLOOKUP(Vendas[[#This Row],[ID Vendedor]],Vendedores[ID],Vendedores[Setor])</f>
        <v>SC</v>
      </c>
      <c r="D3045" s="7" t="s">
        <v>42</v>
      </c>
      <c r="E3045" t="str">
        <f>_xlfn.XLOOKUP(Vendas[[#This Row],[ID Item Vendido]],Agregado[ID],Agregado[Produto])</f>
        <v>Container de ferro industrial</v>
      </c>
      <c r="F3045" s="39">
        <v>45270</v>
      </c>
      <c r="G3045" s="7">
        <v>3</v>
      </c>
      <c r="H3045" s="3">
        <f>_xlfn.XLOOKUP(Vendas[[#This Row],[ID Item Vendido]],Agregado[ID],Agregado[Revenda])</f>
        <v>830</v>
      </c>
      <c r="I3045" s="3">
        <f>Vendas[[#This Row],[Valor Unitário]]*Vendas[[#This Row],[Qnt Vendida]]</f>
        <v>2490</v>
      </c>
      <c r="J3045" s="3">
        <f>Vendas[[#This Row],[Valor da Venda]]-(_xlfn.XLOOKUP(Vendas[[#This Row],[ID Item Vendido]],Agregado[ID],Agregado[Custo])*Vendas[[#This Row],[Qnt Vendida]])</f>
        <v>450</v>
      </c>
      <c r="K3045" s="70">
        <f>Vendas[[#This Row],[Lucro da Venda]]/Vendas[[#This Row],[Valor da Venda]]</f>
        <v>0.18072289156626506</v>
      </c>
      <c r="L3045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045"/>
    </row>
    <row r="3046" spans="1:13" x14ac:dyDescent="0.3">
      <c r="A3046" s="7">
        <v>400255</v>
      </c>
      <c r="B3046" t="str">
        <f>_xlfn.XLOOKUP(Vendas[[#This Row],[ID Vendedor]],Vendedores[ID],Vendedores[Nome])</f>
        <v>Carlos</v>
      </c>
      <c r="C3046" s="7" t="str">
        <f>_xlfn.XLOOKUP(Vendas[[#This Row],[ID Vendedor]],Vendedores[ID],Vendedores[Setor])</f>
        <v>SC</v>
      </c>
      <c r="D3046" s="7" t="s">
        <v>48</v>
      </c>
      <c r="E3046" t="str">
        <f>_xlfn.XLOOKUP(Vendas[[#This Row],[ID Item Vendido]],Agregado[ID],Agregado[Produto])</f>
        <v>Tambor metálico 200L</v>
      </c>
      <c r="F3046" s="39">
        <v>45270</v>
      </c>
      <c r="G3046" s="7">
        <v>12</v>
      </c>
      <c r="H3046" s="3">
        <f>_xlfn.XLOOKUP(Vendas[[#This Row],[ID Item Vendido]],Agregado[ID],Agregado[Revenda])</f>
        <v>144</v>
      </c>
      <c r="I3046" s="3">
        <f>Vendas[[#This Row],[Valor Unitário]]*Vendas[[#This Row],[Qnt Vendida]]</f>
        <v>1728</v>
      </c>
      <c r="J3046" s="3">
        <f>Vendas[[#This Row],[Valor da Venda]]-(_xlfn.XLOOKUP(Vendas[[#This Row],[ID Item Vendido]],Agregado[ID],Agregado[Custo])*Vendas[[#This Row],[Qnt Vendida]])</f>
        <v>288</v>
      </c>
      <c r="K3046" s="70">
        <f>Vendas[[#This Row],[Lucro da Venda]]/Vendas[[#This Row],[Valor da Venda]]</f>
        <v>0.16666666666666666</v>
      </c>
      <c r="L3046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3046"/>
    </row>
    <row r="3047" spans="1:13" x14ac:dyDescent="0.3">
      <c r="A3047" s="7">
        <v>400255</v>
      </c>
      <c r="B3047" t="str">
        <f>_xlfn.XLOOKUP(Vendas[[#This Row],[ID Vendedor]],Vendedores[ID],Vendedores[Nome])</f>
        <v>Carlos</v>
      </c>
      <c r="C3047" s="7" t="str">
        <f>_xlfn.XLOOKUP(Vendas[[#This Row],[ID Vendedor]],Vendedores[ID],Vendedores[Setor])</f>
        <v>SC</v>
      </c>
      <c r="D3047" s="7" t="s">
        <v>42</v>
      </c>
      <c r="E3047" t="str">
        <f>_xlfn.XLOOKUP(Vendas[[#This Row],[ID Item Vendido]],Agregado[ID],Agregado[Produto])</f>
        <v>Container de ferro industrial</v>
      </c>
      <c r="F3047" s="39">
        <v>45270</v>
      </c>
      <c r="G3047" s="7">
        <v>2</v>
      </c>
      <c r="H3047" s="3">
        <f>_xlfn.XLOOKUP(Vendas[[#This Row],[ID Item Vendido]],Agregado[ID],Agregado[Revenda])</f>
        <v>830</v>
      </c>
      <c r="I3047" s="3">
        <f>Vendas[[#This Row],[Valor Unitário]]*Vendas[[#This Row],[Qnt Vendida]]</f>
        <v>1660</v>
      </c>
      <c r="J3047" s="3">
        <f>Vendas[[#This Row],[Valor da Venda]]-(_xlfn.XLOOKUP(Vendas[[#This Row],[ID Item Vendido]],Agregado[ID],Agregado[Custo])*Vendas[[#This Row],[Qnt Vendida]])</f>
        <v>300</v>
      </c>
      <c r="K3047" s="70">
        <f>Vendas[[#This Row],[Lucro da Venda]]/Vendas[[#This Row],[Valor da Venda]]</f>
        <v>0.18072289156626506</v>
      </c>
      <c r="L304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047"/>
    </row>
    <row r="3048" spans="1:13" x14ac:dyDescent="0.3">
      <c r="A3048" s="7">
        <v>400247</v>
      </c>
      <c r="B3048" t="str">
        <f>_xlfn.XLOOKUP(Vendas[[#This Row],[ID Vendedor]],Vendedores[ID],Vendedores[Nome])</f>
        <v>André</v>
      </c>
      <c r="C3048" s="7" t="str">
        <f>_xlfn.XLOOKUP(Vendas[[#This Row],[ID Vendedor]],Vendedores[ID],Vendedores[Setor])</f>
        <v>CM</v>
      </c>
      <c r="D3048" s="7" t="s">
        <v>32</v>
      </c>
      <c r="E3048" t="str">
        <f>_xlfn.XLOOKUP(Vendas[[#This Row],[ID Item Vendido]],Agregado[ID],Agregado[Produto])</f>
        <v>Tábua tratada e cortada 3m</v>
      </c>
      <c r="F3048" s="39">
        <v>45270</v>
      </c>
      <c r="G3048" s="7">
        <v>40</v>
      </c>
      <c r="H3048" s="3">
        <f>_xlfn.XLOOKUP(Vendas[[#This Row],[ID Item Vendido]],Agregado[ID],Agregado[Revenda])</f>
        <v>39</v>
      </c>
      <c r="I3048" s="3">
        <f>Vendas[[#This Row],[Valor Unitário]]*Vendas[[#This Row],[Qnt Vendida]]</f>
        <v>1560</v>
      </c>
      <c r="J3048" s="3">
        <f>Vendas[[#This Row],[Valor da Venda]]-(_xlfn.XLOOKUP(Vendas[[#This Row],[ID Item Vendido]],Agregado[ID],Agregado[Custo])*Vendas[[#This Row],[Qnt Vendida]])</f>
        <v>280</v>
      </c>
      <c r="K3048" s="70">
        <f>Vendas[[#This Row],[Lucro da Venda]]/Vendas[[#This Row],[Valor da Venda]]</f>
        <v>0.17948717948717949</v>
      </c>
      <c r="L3048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3048"/>
    </row>
    <row r="3049" spans="1:13" x14ac:dyDescent="0.3">
      <c r="A3049" s="7">
        <v>400244</v>
      </c>
      <c r="B3049" t="str">
        <f>_xlfn.XLOOKUP(Vendas[[#This Row],[ID Vendedor]],Vendedores[ID],Vendedores[Nome])</f>
        <v>Camila</v>
      </c>
      <c r="C3049" s="7" t="str">
        <f>_xlfn.XLOOKUP(Vendas[[#This Row],[ID Vendedor]],Vendedores[ID],Vendedores[Setor])</f>
        <v>AHD</v>
      </c>
      <c r="D3049" s="7" t="s">
        <v>9</v>
      </c>
      <c r="E3049" t="str">
        <f>_xlfn.XLOOKUP(Vendas[[#This Row],[ID Item Vendido]],Agregado[ID],Agregado[Produto])</f>
        <v>Barra de aço simples</v>
      </c>
      <c r="F3049" s="39">
        <v>45270</v>
      </c>
      <c r="G3049" s="7">
        <v>125</v>
      </c>
      <c r="H3049" s="3">
        <f>_xlfn.XLOOKUP(Vendas[[#This Row],[ID Item Vendido]],Agregado[ID],Agregado[Revenda])</f>
        <v>6.7</v>
      </c>
      <c r="I3049" s="3">
        <f>Vendas[[#This Row],[Valor Unitário]]*Vendas[[#This Row],[Qnt Vendida]]</f>
        <v>837.5</v>
      </c>
      <c r="J3049" s="3">
        <f>Vendas[[#This Row],[Valor da Venda]]-(_xlfn.XLOOKUP(Vendas[[#This Row],[ID Item Vendido]],Agregado[ID],Agregado[Custo])*Vendas[[#This Row],[Qnt Vendida]])</f>
        <v>112.5</v>
      </c>
      <c r="K3049" s="70">
        <f>Vendas[[#This Row],[Lucro da Venda]]/Vendas[[#This Row],[Valor da Venda]]</f>
        <v>0.13432835820895522</v>
      </c>
      <c r="L3049" s="3">
        <f>_xlfn.IFS(Vendas[[#This Row],[Margem de Lucro (%)]]&lt;15%,Vendas[[#This Row],[Valor da Venda]]*3%,Vendas[[#This Row],[Margem de Lucro (%)]]&lt;=20%,Vendas[[#This Row],[Valor da Venda]]*4.5%,TRUE,Vendas[[#This Row],[Valor da Venda]]*6%)</f>
        <v>25.125</v>
      </c>
      <c r="M3049"/>
    </row>
    <row r="3050" spans="1:13" x14ac:dyDescent="0.3">
      <c r="A3050" s="7">
        <v>400246</v>
      </c>
      <c r="B3050" t="str">
        <f>_xlfn.XLOOKUP(Vendas[[#This Row],[ID Vendedor]],Vendedores[ID],Vendedores[Nome])</f>
        <v>Juliana</v>
      </c>
      <c r="C3050" s="7" t="str">
        <f>_xlfn.XLOOKUP(Vendas[[#This Row],[ID Vendedor]],Vendedores[ID],Vendedores[Setor])</f>
        <v>AHD</v>
      </c>
      <c r="D3050" s="7" t="s">
        <v>18</v>
      </c>
      <c r="E3050" t="str">
        <f>_xlfn.XLOOKUP(Vendas[[#This Row],[ID Item Vendido]],Agregado[ID],Agregado[Produto])</f>
        <v>Peça forjada sob encomenda</v>
      </c>
      <c r="F3050" s="39">
        <v>45270</v>
      </c>
      <c r="G3050" s="7">
        <v>2</v>
      </c>
      <c r="H3050" s="3">
        <f>_xlfn.XLOOKUP(Vendas[[#This Row],[ID Item Vendido]],Agregado[ID],Agregado[Revenda])</f>
        <v>264.60000000000002</v>
      </c>
      <c r="I3050" s="3">
        <f>Vendas[[#This Row],[Valor Unitário]]*Vendas[[#This Row],[Qnt Vendida]]</f>
        <v>529.20000000000005</v>
      </c>
      <c r="J3050" s="3">
        <f>Vendas[[#This Row],[Valor da Venda]]-(_xlfn.XLOOKUP(Vendas[[#This Row],[ID Item Vendido]],Agregado[ID],Agregado[Custo])*Vendas[[#This Row],[Qnt Vendida]])</f>
        <v>29.200000000000045</v>
      </c>
      <c r="K3050" s="70">
        <f>Vendas[[#This Row],[Lucro da Venda]]/Vendas[[#This Row],[Valor da Venda]]</f>
        <v>5.5177626606198113E-2</v>
      </c>
      <c r="L305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3050"/>
    </row>
    <row r="3051" spans="1:13" x14ac:dyDescent="0.3">
      <c r="A3051" s="7">
        <v>400242</v>
      </c>
      <c r="B3051" t="str">
        <f>_xlfn.XLOOKUP(Vendas[[#This Row],[ID Vendedor]],Vendedores[ID],Vendedores[Nome])</f>
        <v>Fernanda</v>
      </c>
      <c r="C3051" s="7" t="str">
        <f>_xlfn.XLOOKUP(Vendas[[#This Row],[ID Vendedor]],Vendedores[ID],Vendedores[Setor])</f>
        <v>FM</v>
      </c>
      <c r="D3051" s="7" t="s">
        <v>27</v>
      </c>
      <c r="E3051" t="str">
        <f>_xlfn.XLOOKUP(Vendas[[#This Row],[ID Item Vendido]],Agregado[ID],Agregado[Produto])</f>
        <v>Chapa de metal lisa 1x2m</v>
      </c>
      <c r="F3051" s="39">
        <v>45270</v>
      </c>
      <c r="G3051" s="7">
        <v>4</v>
      </c>
      <c r="H3051" s="3">
        <f>_xlfn.XLOOKUP(Vendas[[#This Row],[ID Item Vendido]],Agregado[ID],Agregado[Revenda])</f>
        <v>52</v>
      </c>
      <c r="I3051" s="3">
        <f>Vendas[[#This Row],[Valor Unitário]]*Vendas[[#This Row],[Qnt Vendida]]</f>
        <v>208</v>
      </c>
      <c r="J3051" s="3">
        <f>Vendas[[#This Row],[Valor da Venda]]-(_xlfn.XLOOKUP(Vendas[[#This Row],[ID Item Vendido]],Agregado[ID],Agregado[Custo])*Vendas[[#This Row],[Qnt Vendida]])</f>
        <v>28</v>
      </c>
      <c r="K3051" s="70">
        <f>Vendas[[#This Row],[Lucro da Venda]]/Vendas[[#This Row],[Valor da Venda]]</f>
        <v>0.13461538461538461</v>
      </c>
      <c r="L3051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3051"/>
    </row>
    <row r="3052" spans="1:13" x14ac:dyDescent="0.3">
      <c r="A3052" s="7">
        <v>400255</v>
      </c>
      <c r="B3052" t="str">
        <f>_xlfn.XLOOKUP(Vendas[[#This Row],[ID Vendedor]],Vendedores[ID],Vendedores[Nome])</f>
        <v>Carlos</v>
      </c>
      <c r="C3052" s="7" t="str">
        <f>_xlfn.XLOOKUP(Vendas[[#This Row],[ID Vendedor]],Vendedores[ID],Vendedores[Setor])</f>
        <v>SC</v>
      </c>
      <c r="D3052" s="7" t="s">
        <v>14</v>
      </c>
      <c r="E3052" t="str">
        <f>_xlfn.XLOOKUP(Vendas[[#This Row],[ID Item Vendido]],Agregado[ID],Agregado[Produto])</f>
        <v>Barril de plástico 200L</v>
      </c>
      <c r="F3052" s="39">
        <v>45271</v>
      </c>
      <c r="G3052" s="7">
        <v>9</v>
      </c>
      <c r="H3052" s="3">
        <f>_xlfn.XLOOKUP(Vendas[[#This Row],[ID Item Vendido]],Agregado[ID],Agregado[Revenda])</f>
        <v>114</v>
      </c>
      <c r="I3052" s="3">
        <f>Vendas[[#This Row],[Valor Unitário]]*Vendas[[#This Row],[Qnt Vendida]]</f>
        <v>1026</v>
      </c>
      <c r="J3052" s="3">
        <f>Vendas[[#This Row],[Valor da Venda]]-(_xlfn.XLOOKUP(Vendas[[#This Row],[ID Item Vendido]],Agregado[ID],Agregado[Custo])*Vendas[[#This Row],[Qnt Vendida]])</f>
        <v>171</v>
      </c>
      <c r="K3052" s="70">
        <f>Vendas[[#This Row],[Lucro da Venda]]/Vendas[[#This Row],[Valor da Venda]]</f>
        <v>0.16666666666666666</v>
      </c>
      <c r="L3052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3052"/>
    </row>
    <row r="3053" spans="1:13" x14ac:dyDescent="0.3">
      <c r="A3053" s="7">
        <v>400243</v>
      </c>
      <c r="B3053" t="str">
        <f>_xlfn.XLOOKUP(Vendas[[#This Row],[ID Vendedor]],Vendedores[ID],Vendedores[Nome])</f>
        <v>Marcelo</v>
      </c>
      <c r="C3053" s="7" t="str">
        <f>_xlfn.XLOOKUP(Vendas[[#This Row],[ID Vendedor]],Vendedores[ID],Vendedores[Setor])</f>
        <v>FM</v>
      </c>
      <c r="D3053" s="7" t="s">
        <v>6</v>
      </c>
      <c r="E3053" t="str">
        <f>_xlfn.XLOOKUP(Vendas[[#This Row],[ID Item Vendido]],Agregado[ID],Agregado[Produto])</f>
        <v>Parafuso comum 500un</v>
      </c>
      <c r="F3053" s="39">
        <v>45271</v>
      </c>
      <c r="G3053" s="7">
        <v>17</v>
      </c>
      <c r="H3053" s="3">
        <f>_xlfn.XLOOKUP(Vendas[[#This Row],[ID Item Vendido]],Agregado[ID],Agregado[Revenda])</f>
        <v>24.6</v>
      </c>
      <c r="I3053" s="3">
        <f>Vendas[[#This Row],[Valor Unitário]]*Vendas[[#This Row],[Qnt Vendida]]</f>
        <v>418.20000000000005</v>
      </c>
      <c r="J3053" s="3">
        <f>Vendas[[#This Row],[Valor da Venda]]-(_xlfn.XLOOKUP(Vendas[[#This Row],[ID Item Vendido]],Agregado[ID],Agregado[Custo])*Vendas[[#This Row],[Qnt Vendida]])</f>
        <v>44.200000000000045</v>
      </c>
      <c r="K3053" s="70">
        <f>Vendas[[#This Row],[Lucro da Venda]]/Vendas[[#This Row],[Valor da Venda]]</f>
        <v>0.10569105691056921</v>
      </c>
      <c r="L3053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3053"/>
    </row>
    <row r="3054" spans="1:13" x14ac:dyDescent="0.3">
      <c r="A3054" s="7">
        <v>400254</v>
      </c>
      <c r="B3054" t="str">
        <f>_xlfn.XLOOKUP(Vendas[[#This Row],[ID Vendedor]],Vendedores[ID],Vendedores[Nome])</f>
        <v>Beatriz</v>
      </c>
      <c r="C3054" s="7" t="str">
        <f>_xlfn.XLOOKUP(Vendas[[#This Row],[ID Vendedor]],Vendedores[ID],Vendedores[Setor])</f>
        <v>SC</v>
      </c>
      <c r="D3054" s="7" t="s">
        <v>42</v>
      </c>
      <c r="E3054" t="str">
        <f>_xlfn.XLOOKUP(Vendas[[#This Row],[ID Item Vendido]],Agregado[ID],Agregado[Produto])</f>
        <v>Container de ferro industrial</v>
      </c>
      <c r="F3054" s="39">
        <v>45272</v>
      </c>
      <c r="G3054" s="7">
        <v>1</v>
      </c>
      <c r="H3054" s="3">
        <f>_xlfn.XLOOKUP(Vendas[[#This Row],[ID Item Vendido]],Agregado[ID],Agregado[Revenda])</f>
        <v>830</v>
      </c>
      <c r="I3054" s="3">
        <f>Vendas[[#This Row],[Valor Unitário]]*Vendas[[#This Row],[Qnt Vendida]]</f>
        <v>830</v>
      </c>
      <c r="J3054" s="3">
        <f>Vendas[[#This Row],[Valor da Venda]]-(_xlfn.XLOOKUP(Vendas[[#This Row],[ID Item Vendido]],Agregado[ID],Agregado[Custo])*Vendas[[#This Row],[Qnt Vendida]])</f>
        <v>150</v>
      </c>
      <c r="K3054" s="70">
        <f>Vendas[[#This Row],[Lucro da Venda]]/Vendas[[#This Row],[Valor da Venda]]</f>
        <v>0.18072289156626506</v>
      </c>
      <c r="L305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054"/>
    </row>
    <row r="3055" spans="1:13" x14ac:dyDescent="0.3">
      <c r="A3055" s="7">
        <v>400246</v>
      </c>
      <c r="B3055" t="str">
        <f>_xlfn.XLOOKUP(Vendas[[#This Row],[ID Vendedor]],Vendedores[ID],Vendedores[Nome])</f>
        <v>Juliana</v>
      </c>
      <c r="C3055" s="7" t="str">
        <f>_xlfn.XLOOKUP(Vendas[[#This Row],[ID Vendedor]],Vendedores[ID],Vendedores[Setor])</f>
        <v>AHD</v>
      </c>
      <c r="D3055" s="7" t="s">
        <v>44</v>
      </c>
      <c r="E3055" t="str">
        <f>_xlfn.XLOOKUP(Vendas[[#This Row],[ID Item Vendido]],Agregado[ID],Agregado[Produto])</f>
        <v>Liga metálica especial</v>
      </c>
      <c r="F3055" s="39">
        <v>45272</v>
      </c>
      <c r="G3055" s="7">
        <v>22</v>
      </c>
      <c r="H3055" s="3">
        <f>_xlfn.XLOOKUP(Vendas[[#This Row],[ID Item Vendido]],Agregado[ID],Agregado[Revenda])</f>
        <v>32.5</v>
      </c>
      <c r="I3055" s="3">
        <f>Vendas[[#This Row],[Valor Unitário]]*Vendas[[#This Row],[Qnt Vendida]]</f>
        <v>715</v>
      </c>
      <c r="J3055" s="3">
        <f>Vendas[[#This Row],[Valor da Venda]]-(_xlfn.XLOOKUP(Vendas[[#This Row],[ID Item Vendido]],Agregado[ID],Agregado[Custo])*Vendas[[#This Row],[Qnt Vendida]])</f>
        <v>165</v>
      </c>
      <c r="K3055" s="70">
        <f>Vendas[[#This Row],[Lucro da Venda]]/Vendas[[#This Row],[Valor da Venda]]</f>
        <v>0.23076923076923078</v>
      </c>
      <c r="L3055" s="3">
        <f>_xlfn.IFS(Vendas[[#This Row],[Margem de Lucro (%)]]&lt;15%,Vendas[[#This Row],[Valor da Venda]]*3%,Vendas[[#This Row],[Margem de Lucro (%)]]&lt;=20%,Vendas[[#This Row],[Valor da Venda]]*4.5%,TRUE,Vendas[[#This Row],[Valor da Venda]]*6%)</f>
        <v>42.9</v>
      </c>
      <c r="M3055"/>
    </row>
    <row r="3056" spans="1:13" x14ac:dyDescent="0.3">
      <c r="A3056" s="7">
        <v>400250</v>
      </c>
      <c r="B3056" t="str">
        <f>_xlfn.XLOOKUP(Vendas[[#This Row],[ID Vendedor]],Vendedores[ID],Vendedores[Nome])</f>
        <v>Larissa</v>
      </c>
      <c r="C3056" s="7" t="str">
        <f>_xlfn.XLOOKUP(Vendas[[#This Row],[ID Vendedor]],Vendedores[ID],Vendedores[Setor])</f>
        <v>AB</v>
      </c>
      <c r="D3056" s="7" t="s">
        <v>39</v>
      </c>
      <c r="E3056" t="str">
        <f>_xlfn.XLOOKUP(Vendas[[#This Row],[ID Item Vendido]],Agregado[ID],Agregado[Produto])</f>
        <v>Filme plástico industrial rolo 50m</v>
      </c>
      <c r="F3056" s="39">
        <v>45272</v>
      </c>
      <c r="G3056" s="7">
        <v>19</v>
      </c>
      <c r="H3056" s="3">
        <f>_xlfn.XLOOKUP(Vendas[[#This Row],[ID Item Vendido]],Agregado[ID],Agregado[Revenda])</f>
        <v>37</v>
      </c>
      <c r="I3056" s="3">
        <f>Vendas[[#This Row],[Valor Unitário]]*Vendas[[#This Row],[Qnt Vendida]]</f>
        <v>703</v>
      </c>
      <c r="J3056" s="3">
        <f>Vendas[[#This Row],[Valor da Venda]]-(_xlfn.XLOOKUP(Vendas[[#This Row],[ID Item Vendido]],Agregado[ID],Agregado[Custo])*Vendas[[#This Row],[Qnt Vendida]])</f>
        <v>171</v>
      </c>
      <c r="K3056" s="70">
        <f>Vendas[[#This Row],[Lucro da Venda]]/Vendas[[#This Row],[Valor da Venda]]</f>
        <v>0.24324324324324326</v>
      </c>
      <c r="L3056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3056"/>
    </row>
    <row r="3057" spans="1:13" x14ac:dyDescent="0.3">
      <c r="A3057" s="7">
        <v>400250</v>
      </c>
      <c r="B3057" t="str">
        <f>_xlfn.XLOOKUP(Vendas[[#This Row],[ID Vendedor]],Vendedores[ID],Vendedores[Nome])</f>
        <v>Larissa</v>
      </c>
      <c r="C3057" s="7" t="str">
        <f>_xlfn.XLOOKUP(Vendas[[#This Row],[ID Vendedor]],Vendedores[ID],Vendedores[Setor])</f>
        <v>AB</v>
      </c>
      <c r="D3057" s="7" t="s">
        <v>36</v>
      </c>
      <c r="E3057" t="str">
        <f>_xlfn.XLOOKUP(Vendas[[#This Row],[ID Item Vendido]],Agregado[ID],Agregado[Produto])</f>
        <v>Borracha vulcanizada em manta</v>
      </c>
      <c r="F3057" s="39">
        <v>45272</v>
      </c>
      <c r="G3057" s="7">
        <v>59</v>
      </c>
      <c r="H3057" s="3">
        <f>_xlfn.XLOOKUP(Vendas[[#This Row],[ID Item Vendido]],Agregado[ID],Agregado[Revenda])</f>
        <v>7.8</v>
      </c>
      <c r="I3057" s="3">
        <f>Vendas[[#This Row],[Valor Unitário]]*Vendas[[#This Row],[Qnt Vendida]]</f>
        <v>460.2</v>
      </c>
      <c r="J3057" s="3">
        <f>Vendas[[#This Row],[Valor da Venda]]-(_xlfn.XLOOKUP(Vendas[[#This Row],[ID Item Vendido]],Agregado[ID],Agregado[Custo])*Vendas[[#This Row],[Qnt Vendida]])</f>
        <v>106.19999999999999</v>
      </c>
      <c r="K3057" s="70">
        <f>Vendas[[#This Row],[Lucro da Venda]]/Vendas[[#This Row],[Valor da Venda]]</f>
        <v>0.23076923076923075</v>
      </c>
      <c r="L3057" s="3">
        <f>_xlfn.IFS(Vendas[[#This Row],[Margem de Lucro (%)]]&lt;15%,Vendas[[#This Row],[Valor da Venda]]*3%,Vendas[[#This Row],[Margem de Lucro (%)]]&lt;=20%,Vendas[[#This Row],[Valor da Venda]]*4.5%,TRUE,Vendas[[#This Row],[Valor da Venda]]*6%)</f>
        <v>27.611999999999998</v>
      </c>
      <c r="M3057"/>
    </row>
    <row r="3058" spans="1:13" x14ac:dyDescent="0.3">
      <c r="A3058" s="7">
        <v>400254</v>
      </c>
      <c r="B3058" t="str">
        <f>_xlfn.XLOOKUP(Vendas[[#This Row],[ID Vendedor]],Vendedores[ID],Vendedores[Nome])</f>
        <v>Beatriz</v>
      </c>
      <c r="C3058" s="7" t="str">
        <f>_xlfn.XLOOKUP(Vendas[[#This Row],[ID Vendedor]],Vendedores[ID],Vendedores[Setor])</f>
        <v>SC</v>
      </c>
      <c r="D3058" s="7" t="s">
        <v>48</v>
      </c>
      <c r="E3058" t="str">
        <f>_xlfn.XLOOKUP(Vendas[[#This Row],[ID Item Vendido]],Agregado[ID],Agregado[Produto])</f>
        <v>Tambor metálico 200L</v>
      </c>
      <c r="F3058" s="39">
        <v>45273</v>
      </c>
      <c r="G3058" s="7">
        <v>20</v>
      </c>
      <c r="H3058" s="3">
        <f>_xlfn.XLOOKUP(Vendas[[#This Row],[ID Item Vendido]],Agregado[ID],Agregado[Revenda])</f>
        <v>144</v>
      </c>
      <c r="I3058" s="3">
        <f>Vendas[[#This Row],[Valor Unitário]]*Vendas[[#This Row],[Qnt Vendida]]</f>
        <v>2880</v>
      </c>
      <c r="J3058" s="3">
        <f>Vendas[[#This Row],[Valor da Venda]]-(_xlfn.XLOOKUP(Vendas[[#This Row],[ID Item Vendido]],Agregado[ID],Agregado[Custo])*Vendas[[#This Row],[Qnt Vendida]])</f>
        <v>480</v>
      </c>
      <c r="K3058" s="70">
        <f>Vendas[[#This Row],[Lucro da Venda]]/Vendas[[#This Row],[Valor da Venda]]</f>
        <v>0.16666666666666666</v>
      </c>
      <c r="L3058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3058"/>
    </row>
    <row r="3059" spans="1:13" x14ac:dyDescent="0.3">
      <c r="A3059" s="7">
        <v>400255</v>
      </c>
      <c r="B3059" t="str">
        <f>_xlfn.XLOOKUP(Vendas[[#This Row],[ID Vendedor]],Vendedores[ID],Vendedores[Nome])</f>
        <v>Carlos</v>
      </c>
      <c r="C3059" s="7" t="str">
        <f>_xlfn.XLOOKUP(Vendas[[#This Row],[ID Vendedor]],Vendedores[ID],Vendedores[Setor])</f>
        <v>SC</v>
      </c>
      <c r="D3059" s="7" t="s">
        <v>48</v>
      </c>
      <c r="E3059" t="str">
        <f>_xlfn.XLOOKUP(Vendas[[#This Row],[ID Item Vendido]],Agregado[ID],Agregado[Produto])</f>
        <v>Tambor metálico 200L</v>
      </c>
      <c r="F3059" s="39">
        <v>45273</v>
      </c>
      <c r="G3059" s="7">
        <v>10</v>
      </c>
      <c r="H3059" s="3">
        <f>_xlfn.XLOOKUP(Vendas[[#This Row],[ID Item Vendido]],Agregado[ID],Agregado[Revenda])</f>
        <v>144</v>
      </c>
      <c r="I3059" s="3">
        <f>Vendas[[#This Row],[Valor Unitário]]*Vendas[[#This Row],[Qnt Vendida]]</f>
        <v>1440</v>
      </c>
      <c r="J3059" s="3">
        <f>Vendas[[#This Row],[Valor da Venda]]-(_xlfn.XLOOKUP(Vendas[[#This Row],[ID Item Vendido]],Agregado[ID],Agregado[Custo])*Vendas[[#This Row],[Qnt Vendida]])</f>
        <v>240</v>
      </c>
      <c r="K3059" s="70">
        <f>Vendas[[#This Row],[Lucro da Venda]]/Vendas[[#This Row],[Valor da Venda]]</f>
        <v>0.16666666666666666</v>
      </c>
      <c r="L3059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3059"/>
    </row>
    <row r="3060" spans="1:13" x14ac:dyDescent="0.3">
      <c r="A3060" s="7">
        <v>400246</v>
      </c>
      <c r="B3060" t="str">
        <f>_xlfn.XLOOKUP(Vendas[[#This Row],[ID Vendedor]],Vendedores[ID],Vendedores[Nome])</f>
        <v>Juliana</v>
      </c>
      <c r="C3060" s="7" t="str">
        <f>_xlfn.XLOOKUP(Vendas[[#This Row],[ID Vendedor]],Vendedores[ID],Vendedores[Setor])</f>
        <v>AHD</v>
      </c>
      <c r="D3060" s="7" t="s">
        <v>44</v>
      </c>
      <c r="E3060" t="str">
        <f>_xlfn.XLOOKUP(Vendas[[#This Row],[ID Item Vendido]],Agregado[ID],Agregado[Produto])</f>
        <v>Liga metálica especial</v>
      </c>
      <c r="F3060" s="39">
        <v>45273</v>
      </c>
      <c r="G3060" s="7">
        <v>38</v>
      </c>
      <c r="H3060" s="3">
        <f>_xlfn.XLOOKUP(Vendas[[#This Row],[ID Item Vendido]],Agregado[ID],Agregado[Revenda])</f>
        <v>32.5</v>
      </c>
      <c r="I3060" s="3">
        <f>Vendas[[#This Row],[Valor Unitário]]*Vendas[[#This Row],[Qnt Vendida]]</f>
        <v>1235</v>
      </c>
      <c r="J3060" s="3">
        <f>Vendas[[#This Row],[Valor da Venda]]-(_xlfn.XLOOKUP(Vendas[[#This Row],[ID Item Vendido]],Agregado[ID],Agregado[Custo])*Vendas[[#This Row],[Qnt Vendida]])</f>
        <v>285</v>
      </c>
      <c r="K3060" s="70">
        <f>Vendas[[#This Row],[Lucro da Venda]]/Vendas[[#This Row],[Valor da Venda]]</f>
        <v>0.23076923076923078</v>
      </c>
      <c r="L3060" s="3">
        <f>_xlfn.IFS(Vendas[[#This Row],[Margem de Lucro (%)]]&lt;15%,Vendas[[#This Row],[Valor da Venda]]*3%,Vendas[[#This Row],[Margem de Lucro (%)]]&lt;=20%,Vendas[[#This Row],[Valor da Venda]]*4.5%,TRUE,Vendas[[#This Row],[Valor da Venda]]*6%)</f>
        <v>74.099999999999994</v>
      </c>
      <c r="M3060"/>
    </row>
    <row r="3061" spans="1:13" x14ac:dyDescent="0.3">
      <c r="A3061" s="7">
        <v>400248</v>
      </c>
      <c r="B3061" t="str">
        <f>_xlfn.XLOOKUP(Vendas[[#This Row],[ID Vendedor]],Vendedores[ID],Vendedores[Nome])</f>
        <v>Patrícia</v>
      </c>
      <c r="C3061" s="7" t="str">
        <f>_xlfn.XLOOKUP(Vendas[[#This Row],[ID Vendedor]],Vendedores[ID],Vendedores[Setor])</f>
        <v>CM</v>
      </c>
      <c r="D3061" s="7" t="s">
        <v>22</v>
      </c>
      <c r="E3061" t="str">
        <f>_xlfn.XLOOKUP(Vendas[[#This Row],[ID Item Vendido]],Agregado[ID],Agregado[Produto])</f>
        <v>Painel MDP 2,75x1,83m</v>
      </c>
      <c r="F3061" s="39">
        <v>45273</v>
      </c>
      <c r="G3061" s="7">
        <v>6</v>
      </c>
      <c r="H3061" s="3">
        <f>_xlfn.XLOOKUP(Vendas[[#This Row],[ID Item Vendido]],Agregado[ID],Agregado[Revenda])</f>
        <v>119</v>
      </c>
      <c r="I3061" s="3">
        <f>Vendas[[#This Row],[Valor Unitário]]*Vendas[[#This Row],[Qnt Vendida]]</f>
        <v>714</v>
      </c>
      <c r="J3061" s="3">
        <f>Vendas[[#This Row],[Valor da Venda]]-(_xlfn.XLOOKUP(Vendas[[#This Row],[ID Item Vendido]],Agregado[ID],Agregado[Custo])*Vendas[[#This Row],[Qnt Vendida]])</f>
        <v>144</v>
      </c>
      <c r="K3061" s="70">
        <f>Vendas[[#This Row],[Lucro da Venda]]/Vendas[[#This Row],[Valor da Venda]]</f>
        <v>0.20168067226890757</v>
      </c>
      <c r="L3061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061"/>
    </row>
    <row r="3062" spans="1:13" x14ac:dyDescent="0.3">
      <c r="A3062" s="7">
        <v>400255</v>
      </c>
      <c r="B3062" t="str">
        <f>_xlfn.XLOOKUP(Vendas[[#This Row],[ID Vendedor]],Vendedores[ID],Vendedores[Nome])</f>
        <v>Carlos</v>
      </c>
      <c r="C3062" s="7" t="str">
        <f>_xlfn.XLOOKUP(Vendas[[#This Row],[ID Vendedor]],Vendedores[ID],Vendedores[Setor])</f>
        <v>SC</v>
      </c>
      <c r="D3062" s="7" t="s">
        <v>42</v>
      </c>
      <c r="E3062" t="str">
        <f>_xlfn.XLOOKUP(Vendas[[#This Row],[ID Item Vendido]],Agregado[ID],Agregado[Produto])</f>
        <v>Container de ferro industrial</v>
      </c>
      <c r="F3062" s="39">
        <v>45274</v>
      </c>
      <c r="G3062" s="7">
        <v>2</v>
      </c>
      <c r="H3062" s="3">
        <f>_xlfn.XLOOKUP(Vendas[[#This Row],[ID Item Vendido]],Agregado[ID],Agregado[Revenda])</f>
        <v>830</v>
      </c>
      <c r="I3062" s="3">
        <f>Vendas[[#This Row],[Valor Unitário]]*Vendas[[#This Row],[Qnt Vendida]]</f>
        <v>1660</v>
      </c>
      <c r="J3062" s="3">
        <f>Vendas[[#This Row],[Valor da Venda]]-(_xlfn.XLOOKUP(Vendas[[#This Row],[ID Item Vendido]],Agregado[ID],Agregado[Custo])*Vendas[[#This Row],[Qnt Vendida]])</f>
        <v>300</v>
      </c>
      <c r="K3062" s="70">
        <f>Vendas[[#This Row],[Lucro da Venda]]/Vendas[[#This Row],[Valor da Venda]]</f>
        <v>0.18072289156626506</v>
      </c>
      <c r="L306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062"/>
    </row>
    <row r="3063" spans="1:13" x14ac:dyDescent="0.3">
      <c r="A3063" s="7">
        <v>400253</v>
      </c>
      <c r="B3063" t="str">
        <f>_xlfn.XLOOKUP(Vendas[[#This Row],[ID Vendedor]],Vendedores[ID],Vendedores[Nome])</f>
        <v>Gustavo</v>
      </c>
      <c r="C3063" s="7" t="str">
        <f>_xlfn.XLOOKUP(Vendas[[#This Row],[ID Vendedor]],Vendedores[ID],Vendedores[Setor])</f>
        <v>SC</v>
      </c>
      <c r="D3063" s="7" t="s">
        <v>48</v>
      </c>
      <c r="E3063" t="str">
        <f>_xlfn.XLOOKUP(Vendas[[#This Row],[ID Item Vendido]],Agregado[ID],Agregado[Produto])</f>
        <v>Tambor metálico 200L</v>
      </c>
      <c r="F3063" s="39">
        <v>45274</v>
      </c>
      <c r="G3063" s="7">
        <v>10</v>
      </c>
      <c r="H3063" s="3">
        <f>_xlfn.XLOOKUP(Vendas[[#This Row],[ID Item Vendido]],Agregado[ID],Agregado[Revenda])</f>
        <v>144</v>
      </c>
      <c r="I3063" s="3">
        <f>Vendas[[#This Row],[Valor Unitário]]*Vendas[[#This Row],[Qnt Vendida]]</f>
        <v>1440</v>
      </c>
      <c r="J3063" s="3">
        <f>Vendas[[#This Row],[Valor da Venda]]-(_xlfn.XLOOKUP(Vendas[[#This Row],[ID Item Vendido]],Agregado[ID],Agregado[Custo])*Vendas[[#This Row],[Qnt Vendida]])</f>
        <v>240</v>
      </c>
      <c r="K3063" s="70">
        <f>Vendas[[#This Row],[Lucro da Venda]]/Vendas[[#This Row],[Valor da Venda]]</f>
        <v>0.16666666666666666</v>
      </c>
      <c r="L3063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3063"/>
    </row>
    <row r="3064" spans="1:13" x14ac:dyDescent="0.3">
      <c r="A3064" s="7">
        <v>400254</v>
      </c>
      <c r="B3064" t="str">
        <f>_xlfn.XLOOKUP(Vendas[[#This Row],[ID Vendedor]],Vendedores[ID],Vendedores[Nome])</f>
        <v>Beatriz</v>
      </c>
      <c r="C3064" s="7" t="str">
        <f>_xlfn.XLOOKUP(Vendas[[#This Row],[ID Vendedor]],Vendedores[ID],Vendedores[Setor])</f>
        <v>SC</v>
      </c>
      <c r="D3064" s="7" t="s">
        <v>25</v>
      </c>
      <c r="E3064" t="str">
        <f>_xlfn.XLOOKUP(Vendas[[#This Row],[ID Item Vendido]],Agregado[ID],Agregado[Produto])</f>
        <v>Palete de plástico</v>
      </c>
      <c r="F3064" s="39">
        <v>45274</v>
      </c>
      <c r="G3064" s="7">
        <v>8</v>
      </c>
      <c r="H3064" s="3">
        <f>_xlfn.XLOOKUP(Vendas[[#This Row],[ID Item Vendido]],Agregado[ID],Agregado[Revenda])</f>
        <v>70.8</v>
      </c>
      <c r="I3064" s="3">
        <f>Vendas[[#This Row],[Valor Unitário]]*Vendas[[#This Row],[Qnt Vendida]]</f>
        <v>566.4</v>
      </c>
      <c r="J3064" s="3">
        <f>Vendas[[#This Row],[Valor da Venda]]-(_xlfn.XLOOKUP(Vendas[[#This Row],[ID Item Vendido]],Agregado[ID],Agregado[Custo])*Vendas[[#This Row],[Qnt Vendida]])</f>
        <v>86.399999999999977</v>
      </c>
      <c r="K3064" s="70">
        <f>Vendas[[#This Row],[Lucro da Venda]]/Vendas[[#This Row],[Valor da Venda]]</f>
        <v>0.15254237288135589</v>
      </c>
      <c r="L3064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3064"/>
    </row>
    <row r="3065" spans="1:13" x14ac:dyDescent="0.3">
      <c r="A3065" s="7">
        <v>400248</v>
      </c>
      <c r="B3065" t="str">
        <f>_xlfn.XLOOKUP(Vendas[[#This Row],[ID Vendedor]],Vendedores[ID],Vendedores[Nome])</f>
        <v>Patrícia</v>
      </c>
      <c r="C3065" s="7" t="str">
        <f>_xlfn.XLOOKUP(Vendas[[#This Row],[ID Vendedor]],Vendedores[ID],Vendedores[Setor])</f>
        <v>CM</v>
      </c>
      <c r="D3065" s="7" t="s">
        <v>34</v>
      </c>
      <c r="E3065" t="str">
        <f>_xlfn.XLOOKUP(Vendas[[#This Row],[ID Item Vendido]],Agregado[ID],Agregado[Produto])</f>
        <v>Restos de madeira p/ MDP/OSB saco de 20kg</v>
      </c>
      <c r="F3065" s="39">
        <v>45274</v>
      </c>
      <c r="G3065" s="7">
        <v>3</v>
      </c>
      <c r="H3065" s="3">
        <f>_xlfn.XLOOKUP(Vendas[[#This Row],[ID Item Vendido]],Agregado[ID],Agregado[Revenda])</f>
        <v>13.8</v>
      </c>
      <c r="I3065" s="3">
        <f>Vendas[[#This Row],[Valor Unitário]]*Vendas[[#This Row],[Qnt Vendida]]</f>
        <v>41.400000000000006</v>
      </c>
      <c r="J3065" s="3">
        <f>Vendas[[#This Row],[Valor da Venda]]-(_xlfn.XLOOKUP(Vendas[[#This Row],[ID Item Vendido]],Agregado[ID],Agregado[Custo])*Vendas[[#This Row],[Qnt Vendida]])</f>
        <v>5.4000000000000057</v>
      </c>
      <c r="K3065" s="70">
        <f>Vendas[[#This Row],[Lucro da Venda]]/Vendas[[#This Row],[Valor da Venda]]</f>
        <v>0.13043478260869576</v>
      </c>
      <c r="L3065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3065"/>
    </row>
    <row r="3066" spans="1:13" x14ac:dyDescent="0.3">
      <c r="A3066" s="7">
        <v>400247</v>
      </c>
      <c r="B3066" t="str">
        <f>_xlfn.XLOOKUP(Vendas[[#This Row],[ID Vendedor]],Vendedores[ID],Vendedores[Nome])</f>
        <v>André</v>
      </c>
      <c r="C3066" s="7" t="str">
        <f>_xlfn.XLOOKUP(Vendas[[#This Row],[ID Vendedor]],Vendedores[ID],Vendedores[Setor])</f>
        <v>CM</v>
      </c>
      <c r="D3066" s="7" t="s">
        <v>22</v>
      </c>
      <c r="E3066" t="str">
        <f>_xlfn.XLOOKUP(Vendas[[#This Row],[ID Item Vendido]],Agregado[ID],Agregado[Produto])</f>
        <v>Painel MDP 2,75x1,83m</v>
      </c>
      <c r="F3066" s="39">
        <v>45276</v>
      </c>
      <c r="G3066" s="7">
        <v>23</v>
      </c>
      <c r="H3066" s="3">
        <f>_xlfn.XLOOKUP(Vendas[[#This Row],[ID Item Vendido]],Agregado[ID],Agregado[Revenda])</f>
        <v>119</v>
      </c>
      <c r="I3066" s="3">
        <f>Vendas[[#This Row],[Valor Unitário]]*Vendas[[#This Row],[Qnt Vendida]]</f>
        <v>2737</v>
      </c>
      <c r="J3066" s="3">
        <f>Vendas[[#This Row],[Valor da Venda]]-(_xlfn.XLOOKUP(Vendas[[#This Row],[ID Item Vendido]],Agregado[ID],Agregado[Custo])*Vendas[[#This Row],[Qnt Vendida]])</f>
        <v>552</v>
      </c>
      <c r="K3066" s="70">
        <f>Vendas[[#This Row],[Lucro da Venda]]/Vendas[[#This Row],[Valor da Venda]]</f>
        <v>0.20168067226890757</v>
      </c>
      <c r="L306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3066"/>
    </row>
    <row r="3067" spans="1:13" x14ac:dyDescent="0.3">
      <c r="A3067" s="7">
        <v>400246</v>
      </c>
      <c r="B3067" t="str">
        <f>_xlfn.XLOOKUP(Vendas[[#This Row],[ID Vendedor]],Vendedores[ID],Vendedores[Nome])</f>
        <v>Juliana</v>
      </c>
      <c r="C3067" s="7" t="str">
        <f>_xlfn.XLOOKUP(Vendas[[#This Row],[ID Vendedor]],Vendedores[ID],Vendedores[Setor])</f>
        <v>AHD</v>
      </c>
      <c r="D3067" s="7" t="s">
        <v>44</v>
      </c>
      <c r="E3067" t="str">
        <f>_xlfn.XLOOKUP(Vendas[[#This Row],[ID Item Vendido]],Agregado[ID],Agregado[Produto])</f>
        <v>Liga metálica especial</v>
      </c>
      <c r="F3067" s="39">
        <v>45276</v>
      </c>
      <c r="G3067" s="7">
        <v>28</v>
      </c>
      <c r="H3067" s="3">
        <f>_xlfn.XLOOKUP(Vendas[[#This Row],[ID Item Vendido]],Agregado[ID],Agregado[Revenda])</f>
        <v>32.5</v>
      </c>
      <c r="I3067" s="3">
        <f>Vendas[[#This Row],[Valor Unitário]]*Vendas[[#This Row],[Qnt Vendida]]</f>
        <v>910</v>
      </c>
      <c r="J3067" s="3">
        <f>Vendas[[#This Row],[Valor da Venda]]-(_xlfn.XLOOKUP(Vendas[[#This Row],[ID Item Vendido]],Agregado[ID],Agregado[Custo])*Vendas[[#This Row],[Qnt Vendida]])</f>
        <v>210</v>
      </c>
      <c r="K3067" s="70">
        <f>Vendas[[#This Row],[Lucro da Venda]]/Vendas[[#This Row],[Valor da Venda]]</f>
        <v>0.23076923076923078</v>
      </c>
      <c r="L3067" s="3">
        <f>_xlfn.IFS(Vendas[[#This Row],[Margem de Lucro (%)]]&lt;15%,Vendas[[#This Row],[Valor da Venda]]*3%,Vendas[[#This Row],[Margem de Lucro (%)]]&lt;=20%,Vendas[[#This Row],[Valor da Venda]]*4.5%,TRUE,Vendas[[#This Row],[Valor da Venda]]*6%)</f>
        <v>54.6</v>
      </c>
      <c r="M3067"/>
    </row>
    <row r="3068" spans="1:13" x14ac:dyDescent="0.3">
      <c r="A3068" s="7">
        <v>400253</v>
      </c>
      <c r="B3068" t="str">
        <f>_xlfn.XLOOKUP(Vendas[[#This Row],[ID Vendedor]],Vendedores[ID],Vendedores[Nome])</f>
        <v>Gustavo</v>
      </c>
      <c r="C3068" s="7" t="str">
        <f>_xlfn.XLOOKUP(Vendas[[#This Row],[ID Vendedor]],Vendedores[ID],Vendedores[Setor])</f>
        <v>SC</v>
      </c>
      <c r="D3068" s="7" t="s">
        <v>42</v>
      </c>
      <c r="E3068" t="str">
        <f>_xlfn.XLOOKUP(Vendas[[#This Row],[ID Item Vendido]],Agregado[ID],Agregado[Produto])</f>
        <v>Container de ferro industrial</v>
      </c>
      <c r="F3068" s="39">
        <v>45277</v>
      </c>
      <c r="G3068" s="7">
        <v>4</v>
      </c>
      <c r="H3068" s="3">
        <f>_xlfn.XLOOKUP(Vendas[[#This Row],[ID Item Vendido]],Agregado[ID],Agregado[Revenda])</f>
        <v>830</v>
      </c>
      <c r="I3068" s="3">
        <f>Vendas[[#This Row],[Valor Unitário]]*Vendas[[#This Row],[Qnt Vendida]]</f>
        <v>3320</v>
      </c>
      <c r="J3068" s="3">
        <f>Vendas[[#This Row],[Valor da Venda]]-(_xlfn.XLOOKUP(Vendas[[#This Row],[ID Item Vendido]],Agregado[ID],Agregado[Custo])*Vendas[[#This Row],[Qnt Vendida]])</f>
        <v>600</v>
      </c>
      <c r="K3068" s="70">
        <f>Vendas[[#This Row],[Lucro da Venda]]/Vendas[[#This Row],[Valor da Venda]]</f>
        <v>0.18072289156626506</v>
      </c>
      <c r="L306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068"/>
    </row>
    <row r="3069" spans="1:13" x14ac:dyDescent="0.3">
      <c r="A3069" s="7">
        <v>400253</v>
      </c>
      <c r="B3069" t="str">
        <f>_xlfn.XLOOKUP(Vendas[[#This Row],[ID Vendedor]],Vendedores[ID],Vendedores[Nome])</f>
        <v>Gustavo</v>
      </c>
      <c r="C3069" s="7" t="str">
        <f>_xlfn.XLOOKUP(Vendas[[#This Row],[ID Vendedor]],Vendedores[ID],Vendedores[Setor])</f>
        <v>SC</v>
      </c>
      <c r="D3069" s="7" t="s">
        <v>48</v>
      </c>
      <c r="E3069" t="str">
        <f>_xlfn.XLOOKUP(Vendas[[#This Row],[ID Item Vendido]],Agregado[ID],Agregado[Produto])</f>
        <v>Tambor metálico 200L</v>
      </c>
      <c r="F3069" s="39">
        <v>45277</v>
      </c>
      <c r="G3069" s="7">
        <v>17</v>
      </c>
      <c r="H3069" s="3">
        <f>_xlfn.XLOOKUP(Vendas[[#This Row],[ID Item Vendido]],Agregado[ID],Agregado[Revenda])</f>
        <v>144</v>
      </c>
      <c r="I3069" s="3">
        <f>Vendas[[#This Row],[Valor Unitário]]*Vendas[[#This Row],[Qnt Vendida]]</f>
        <v>2448</v>
      </c>
      <c r="J3069" s="3">
        <f>Vendas[[#This Row],[Valor da Venda]]-(_xlfn.XLOOKUP(Vendas[[#This Row],[ID Item Vendido]],Agregado[ID],Agregado[Custo])*Vendas[[#This Row],[Qnt Vendida]])</f>
        <v>408</v>
      </c>
      <c r="K3069" s="70">
        <f>Vendas[[#This Row],[Lucro da Venda]]/Vendas[[#This Row],[Valor da Venda]]</f>
        <v>0.16666666666666666</v>
      </c>
      <c r="L3069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3069"/>
    </row>
    <row r="3070" spans="1:13" x14ac:dyDescent="0.3">
      <c r="A3070" s="7">
        <v>400247</v>
      </c>
      <c r="B3070" t="str">
        <f>_xlfn.XLOOKUP(Vendas[[#This Row],[ID Vendedor]],Vendedores[ID],Vendedores[Nome])</f>
        <v>André</v>
      </c>
      <c r="C3070" s="7" t="str">
        <f>_xlfn.XLOOKUP(Vendas[[#This Row],[ID Vendedor]],Vendedores[ID],Vendedores[Setor])</f>
        <v>CM</v>
      </c>
      <c r="D3070" s="7" t="s">
        <v>43</v>
      </c>
      <c r="E3070" t="str">
        <f>_xlfn.XLOOKUP(Vendas[[#This Row],[ID Item Vendido]],Agregado[ID],Agregado[Produto])</f>
        <v>Madeira Bruta (Tora)</v>
      </c>
      <c r="F3070" s="39">
        <v>45277</v>
      </c>
      <c r="G3070" s="7">
        <v>9</v>
      </c>
      <c r="H3070" s="3">
        <f>_xlfn.XLOOKUP(Vendas[[#This Row],[ID Item Vendido]],Agregado[ID],Agregado[Revenda])</f>
        <v>212</v>
      </c>
      <c r="I3070" s="3">
        <f>Vendas[[#This Row],[Valor Unitário]]*Vendas[[#This Row],[Qnt Vendida]]</f>
        <v>1908</v>
      </c>
      <c r="J3070" s="3">
        <f>Vendas[[#This Row],[Valor da Venda]]-(_xlfn.XLOOKUP(Vendas[[#This Row],[ID Item Vendido]],Agregado[ID],Agregado[Custo])*Vendas[[#This Row],[Qnt Vendida]])</f>
        <v>288</v>
      </c>
      <c r="K3070" s="70">
        <f>Vendas[[#This Row],[Lucro da Venda]]/Vendas[[#This Row],[Valor da Venda]]</f>
        <v>0.15094339622641509</v>
      </c>
      <c r="L3070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3070"/>
    </row>
    <row r="3071" spans="1:13" x14ac:dyDescent="0.3">
      <c r="A3071" s="7">
        <v>400246</v>
      </c>
      <c r="B3071" t="str">
        <f>_xlfn.XLOOKUP(Vendas[[#This Row],[ID Vendedor]],Vendedores[ID],Vendedores[Nome])</f>
        <v>Juliana</v>
      </c>
      <c r="C3071" s="7" t="str">
        <f>_xlfn.XLOOKUP(Vendas[[#This Row],[ID Vendedor]],Vendedores[ID],Vendedores[Setor])</f>
        <v>AHD</v>
      </c>
      <c r="D3071" s="7" t="s">
        <v>28</v>
      </c>
      <c r="E3071" t="str">
        <f>_xlfn.XLOOKUP(Vendas[[#This Row],[ID Item Vendido]],Agregado[ID],Agregado[Produto])</f>
        <v>Peça usinada CNC</v>
      </c>
      <c r="F3071" s="39">
        <v>45277</v>
      </c>
      <c r="G3071" s="7">
        <v>7</v>
      </c>
      <c r="H3071" s="3">
        <f>_xlfn.XLOOKUP(Vendas[[#This Row],[ID Item Vendido]],Agregado[ID],Agregado[Revenda])</f>
        <v>192</v>
      </c>
      <c r="I3071" s="3">
        <f>Vendas[[#This Row],[Valor Unitário]]*Vendas[[#This Row],[Qnt Vendida]]</f>
        <v>1344</v>
      </c>
      <c r="J3071" s="3">
        <f>Vendas[[#This Row],[Valor da Venda]]-(_xlfn.XLOOKUP(Vendas[[#This Row],[ID Item Vendido]],Agregado[ID],Agregado[Custo])*Vendas[[#This Row],[Qnt Vendida]])</f>
        <v>294</v>
      </c>
      <c r="K3071" s="70">
        <f>Vendas[[#This Row],[Lucro da Venda]]/Vendas[[#This Row],[Valor da Venda]]</f>
        <v>0.21875</v>
      </c>
      <c r="L3071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3071"/>
    </row>
    <row r="3072" spans="1:13" x14ac:dyDescent="0.3">
      <c r="A3072" s="7">
        <v>400242</v>
      </c>
      <c r="B3072" t="str">
        <f>_xlfn.XLOOKUP(Vendas[[#This Row],[ID Vendedor]],Vendedores[ID],Vendedores[Nome])</f>
        <v>Fernanda</v>
      </c>
      <c r="C3072" s="7" t="str">
        <f>_xlfn.XLOOKUP(Vendas[[#This Row],[ID Vendedor]],Vendedores[ID],Vendedores[Setor])</f>
        <v>FM</v>
      </c>
      <c r="D3072" s="7" t="s">
        <v>31</v>
      </c>
      <c r="E3072" t="str">
        <f>_xlfn.XLOOKUP(Vendas[[#This Row],[ID Item Vendido]],Agregado[ID],Agregado[Produto])</f>
        <v>Tela de metal soldada rolo 2x25m</v>
      </c>
      <c r="F3072" s="39">
        <v>45277</v>
      </c>
      <c r="G3072" s="7">
        <v>20</v>
      </c>
      <c r="H3072" s="3">
        <f>_xlfn.XLOOKUP(Vendas[[#This Row],[ID Item Vendido]],Agregado[ID],Agregado[Revenda])</f>
        <v>43.7</v>
      </c>
      <c r="I3072" s="3">
        <f>Vendas[[#This Row],[Valor Unitário]]*Vendas[[#This Row],[Qnt Vendida]]</f>
        <v>874</v>
      </c>
      <c r="J3072" s="3">
        <f>Vendas[[#This Row],[Valor da Venda]]-(_xlfn.XLOOKUP(Vendas[[#This Row],[ID Item Vendido]],Agregado[ID],Agregado[Custo])*Vendas[[#This Row],[Qnt Vendida]])</f>
        <v>114</v>
      </c>
      <c r="K3072" s="70">
        <f>Vendas[[#This Row],[Lucro da Venda]]/Vendas[[#This Row],[Valor da Venda]]</f>
        <v>0.13043478260869565</v>
      </c>
      <c r="L3072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3072"/>
    </row>
    <row r="3073" spans="1:13" x14ac:dyDescent="0.3">
      <c r="A3073" s="7">
        <v>400250</v>
      </c>
      <c r="B3073" t="str">
        <f>_xlfn.XLOOKUP(Vendas[[#This Row],[ID Vendedor]],Vendedores[ID],Vendedores[Nome])</f>
        <v>Larissa</v>
      </c>
      <c r="C3073" s="7" t="str">
        <f>_xlfn.XLOOKUP(Vendas[[#This Row],[ID Vendedor]],Vendedores[ID],Vendedores[Setor])</f>
        <v>AB</v>
      </c>
      <c r="D3073" s="7" t="s">
        <v>12</v>
      </c>
      <c r="E3073" t="str">
        <f>_xlfn.XLOOKUP(Vendas[[#This Row],[ID Item Vendido]],Agregado[ID],Agregado[Produto])</f>
        <v>Grânulo de plástico reciclado refinado</v>
      </c>
      <c r="F3073" s="39">
        <v>45277</v>
      </c>
      <c r="G3073" s="7">
        <v>74</v>
      </c>
      <c r="H3073" s="3">
        <f>_xlfn.XLOOKUP(Vendas[[#This Row],[ID Item Vendido]],Agregado[ID],Agregado[Revenda])</f>
        <v>4.7</v>
      </c>
      <c r="I3073" s="3">
        <f>Vendas[[#This Row],[Valor Unitário]]*Vendas[[#This Row],[Qnt Vendida]]</f>
        <v>347.8</v>
      </c>
      <c r="J3073" s="3">
        <f>Vendas[[#This Row],[Valor da Venda]]-(_xlfn.XLOOKUP(Vendas[[#This Row],[ID Item Vendido]],Agregado[ID],Agregado[Custo])*Vendas[[#This Row],[Qnt Vendida]])</f>
        <v>88.800000000000011</v>
      </c>
      <c r="K3073" s="70">
        <f>Vendas[[#This Row],[Lucro da Venda]]/Vendas[[#This Row],[Valor da Venda]]</f>
        <v>0.25531914893617025</v>
      </c>
      <c r="L3073" s="3">
        <f>_xlfn.IFS(Vendas[[#This Row],[Margem de Lucro (%)]]&lt;15%,Vendas[[#This Row],[Valor da Venda]]*3%,Vendas[[#This Row],[Margem de Lucro (%)]]&lt;=20%,Vendas[[#This Row],[Valor da Venda]]*4.5%,TRUE,Vendas[[#This Row],[Valor da Venda]]*6%)</f>
        <v>20.867999999999999</v>
      </c>
      <c r="M3073"/>
    </row>
    <row r="3074" spans="1:13" x14ac:dyDescent="0.3">
      <c r="A3074" s="7">
        <v>400245</v>
      </c>
      <c r="B3074" t="str">
        <f>_xlfn.XLOOKUP(Vendas[[#This Row],[ID Vendedor]],Vendedores[ID],Vendedores[Nome])</f>
        <v>Thiago</v>
      </c>
      <c r="C3074" s="7" t="str">
        <f>_xlfn.XLOOKUP(Vendas[[#This Row],[ID Vendedor]],Vendedores[ID],Vendedores[Setor])</f>
        <v>AHD</v>
      </c>
      <c r="D3074" s="7" t="s">
        <v>9</v>
      </c>
      <c r="E3074" t="str">
        <f>_xlfn.XLOOKUP(Vendas[[#This Row],[ID Item Vendido]],Agregado[ID],Agregado[Produto])</f>
        <v>Barra de aço simples</v>
      </c>
      <c r="F3074" s="39">
        <v>45277</v>
      </c>
      <c r="G3074" s="7">
        <v>30</v>
      </c>
      <c r="H3074" s="3">
        <f>_xlfn.XLOOKUP(Vendas[[#This Row],[ID Item Vendido]],Agregado[ID],Agregado[Revenda])</f>
        <v>6.7</v>
      </c>
      <c r="I3074" s="3">
        <f>Vendas[[#This Row],[Valor Unitário]]*Vendas[[#This Row],[Qnt Vendida]]</f>
        <v>201</v>
      </c>
      <c r="J3074" s="3">
        <f>Vendas[[#This Row],[Valor da Venda]]-(_xlfn.XLOOKUP(Vendas[[#This Row],[ID Item Vendido]],Agregado[ID],Agregado[Custo])*Vendas[[#This Row],[Qnt Vendida]])</f>
        <v>27</v>
      </c>
      <c r="K3074" s="70">
        <f>Vendas[[#This Row],[Lucro da Venda]]/Vendas[[#This Row],[Valor da Venda]]</f>
        <v>0.13432835820895522</v>
      </c>
      <c r="L3074" s="3">
        <f>_xlfn.IFS(Vendas[[#This Row],[Margem de Lucro (%)]]&lt;15%,Vendas[[#This Row],[Valor da Venda]]*3%,Vendas[[#This Row],[Margem de Lucro (%)]]&lt;=20%,Vendas[[#This Row],[Valor da Venda]]*4.5%,TRUE,Vendas[[#This Row],[Valor da Venda]]*6%)</f>
        <v>6.0299999999999994</v>
      </c>
      <c r="M3074"/>
    </row>
    <row r="3075" spans="1:13" x14ac:dyDescent="0.3">
      <c r="A3075" s="7">
        <v>400241</v>
      </c>
      <c r="B3075" t="str">
        <f>_xlfn.XLOOKUP(Vendas[[#This Row],[ID Vendedor]],Vendedores[ID],Vendedores[Nome])</f>
        <v>Rodrigo</v>
      </c>
      <c r="C3075" s="7" t="str">
        <f>_xlfn.XLOOKUP(Vendas[[#This Row],[ID Vendedor]],Vendedores[ID],Vendedores[Setor])</f>
        <v>FM</v>
      </c>
      <c r="D3075" s="7" t="s">
        <v>20</v>
      </c>
      <c r="E3075" t="str">
        <f>_xlfn.XLOOKUP(Vendas[[#This Row],[ID Item Vendido]],Agregado[ID],Agregado[Produto])</f>
        <v>Barra de aço simples</v>
      </c>
      <c r="F3075" s="39">
        <v>45278</v>
      </c>
      <c r="G3075" s="7">
        <v>173</v>
      </c>
      <c r="H3075" s="3">
        <f>_xlfn.XLOOKUP(Vendas[[#This Row],[ID Item Vendido]],Agregado[ID],Agregado[Revenda])</f>
        <v>4.8</v>
      </c>
      <c r="I3075" s="3">
        <f>Vendas[[#This Row],[Valor Unitário]]*Vendas[[#This Row],[Qnt Vendida]]</f>
        <v>830.4</v>
      </c>
      <c r="J3075" s="3">
        <f>Vendas[[#This Row],[Valor da Venda]]-(_xlfn.XLOOKUP(Vendas[[#This Row],[ID Item Vendido]],Agregado[ID],Agregado[Custo])*Vendas[[#This Row],[Qnt Vendida]])</f>
        <v>103.79999999999995</v>
      </c>
      <c r="K3075" s="70">
        <f>Vendas[[#This Row],[Lucro da Venda]]/Vendas[[#This Row],[Valor da Venda]]</f>
        <v>0.12499999999999994</v>
      </c>
      <c r="L3075" s="3">
        <f>_xlfn.IFS(Vendas[[#This Row],[Margem de Lucro (%)]]&lt;15%,Vendas[[#This Row],[Valor da Venda]]*3%,Vendas[[#This Row],[Margem de Lucro (%)]]&lt;=20%,Vendas[[#This Row],[Valor da Venda]]*4.5%,TRUE,Vendas[[#This Row],[Valor da Venda]]*6%)</f>
        <v>24.911999999999999</v>
      </c>
      <c r="M3075"/>
    </row>
    <row r="3076" spans="1:13" x14ac:dyDescent="0.3">
      <c r="A3076" s="7">
        <v>400241</v>
      </c>
      <c r="B3076" t="str">
        <f>_xlfn.XLOOKUP(Vendas[[#This Row],[ID Vendedor]],Vendedores[ID],Vendedores[Nome])</f>
        <v>Rodrigo</v>
      </c>
      <c r="C3076" s="7" t="str">
        <f>_xlfn.XLOOKUP(Vendas[[#This Row],[ID Vendedor]],Vendedores[ID],Vendedores[Setor])</f>
        <v>FM</v>
      </c>
      <c r="D3076" s="7" t="s">
        <v>31</v>
      </c>
      <c r="E3076" t="str">
        <f>_xlfn.XLOOKUP(Vendas[[#This Row],[ID Item Vendido]],Agregado[ID],Agregado[Produto])</f>
        <v>Tela de metal soldada rolo 2x25m</v>
      </c>
      <c r="F3076" s="39">
        <v>45278</v>
      </c>
      <c r="G3076" s="7">
        <v>19</v>
      </c>
      <c r="H3076" s="3">
        <f>_xlfn.XLOOKUP(Vendas[[#This Row],[ID Item Vendido]],Agregado[ID],Agregado[Revenda])</f>
        <v>43.7</v>
      </c>
      <c r="I3076" s="3">
        <f>Vendas[[#This Row],[Valor Unitário]]*Vendas[[#This Row],[Qnt Vendida]]</f>
        <v>830.30000000000007</v>
      </c>
      <c r="J3076" s="3">
        <f>Vendas[[#This Row],[Valor da Venda]]-(_xlfn.XLOOKUP(Vendas[[#This Row],[ID Item Vendido]],Agregado[ID],Agregado[Custo])*Vendas[[#This Row],[Qnt Vendida]])</f>
        <v>108.30000000000007</v>
      </c>
      <c r="K3076" s="70">
        <f>Vendas[[#This Row],[Lucro da Venda]]/Vendas[[#This Row],[Valor da Venda]]</f>
        <v>0.13043478260869573</v>
      </c>
      <c r="L3076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3076"/>
    </row>
    <row r="3077" spans="1:13" x14ac:dyDescent="0.3">
      <c r="A3077" s="7">
        <v>400255</v>
      </c>
      <c r="B3077" t="str">
        <f>_xlfn.XLOOKUP(Vendas[[#This Row],[ID Vendedor]],Vendedores[ID],Vendedores[Nome])</f>
        <v>Carlos</v>
      </c>
      <c r="C3077" s="7" t="str">
        <f>_xlfn.XLOOKUP(Vendas[[#This Row],[ID Vendedor]],Vendedores[ID],Vendedores[Setor])</f>
        <v>SC</v>
      </c>
      <c r="D3077" s="7" t="s">
        <v>48</v>
      </c>
      <c r="E3077" t="str">
        <f>_xlfn.XLOOKUP(Vendas[[#This Row],[ID Item Vendido]],Agregado[ID],Agregado[Produto])</f>
        <v>Tambor metálico 200L</v>
      </c>
      <c r="F3077" s="39">
        <v>45278</v>
      </c>
      <c r="G3077" s="7">
        <v>2</v>
      </c>
      <c r="H3077" s="3">
        <f>_xlfn.XLOOKUP(Vendas[[#This Row],[ID Item Vendido]],Agregado[ID],Agregado[Revenda])</f>
        <v>144</v>
      </c>
      <c r="I3077" s="3">
        <f>Vendas[[#This Row],[Valor Unitário]]*Vendas[[#This Row],[Qnt Vendida]]</f>
        <v>288</v>
      </c>
      <c r="J3077" s="3">
        <f>Vendas[[#This Row],[Valor da Venda]]-(_xlfn.XLOOKUP(Vendas[[#This Row],[ID Item Vendido]],Agregado[ID],Agregado[Custo])*Vendas[[#This Row],[Qnt Vendida]])</f>
        <v>48</v>
      </c>
      <c r="K3077" s="70">
        <f>Vendas[[#This Row],[Lucro da Venda]]/Vendas[[#This Row],[Valor da Venda]]</f>
        <v>0.16666666666666666</v>
      </c>
      <c r="L3077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3077"/>
    </row>
    <row r="3078" spans="1:13" x14ac:dyDescent="0.3">
      <c r="A3078" s="7">
        <v>400251</v>
      </c>
      <c r="B3078" t="str">
        <f>_xlfn.XLOOKUP(Vendas[[#This Row],[ID Vendedor]],Vendedores[ID],Vendedores[Nome])</f>
        <v>Diego</v>
      </c>
      <c r="C3078" s="7" t="str">
        <f>_xlfn.XLOOKUP(Vendas[[#This Row],[ID Vendedor]],Vendedores[ID],Vendedores[Setor])</f>
        <v>AB</v>
      </c>
      <c r="D3078" s="7" t="s">
        <v>39</v>
      </c>
      <c r="E3078" t="str">
        <f>_xlfn.XLOOKUP(Vendas[[#This Row],[ID Item Vendido]],Agregado[ID],Agregado[Produto])</f>
        <v>Filme plástico industrial rolo 50m</v>
      </c>
      <c r="F3078" s="39">
        <v>45279</v>
      </c>
      <c r="G3078" s="7">
        <v>20</v>
      </c>
      <c r="H3078" s="3">
        <f>_xlfn.XLOOKUP(Vendas[[#This Row],[ID Item Vendido]],Agregado[ID],Agregado[Revenda])</f>
        <v>37</v>
      </c>
      <c r="I3078" s="3">
        <f>Vendas[[#This Row],[Valor Unitário]]*Vendas[[#This Row],[Qnt Vendida]]</f>
        <v>740</v>
      </c>
      <c r="J3078" s="3">
        <f>Vendas[[#This Row],[Valor da Venda]]-(_xlfn.XLOOKUP(Vendas[[#This Row],[ID Item Vendido]],Agregado[ID],Agregado[Custo])*Vendas[[#This Row],[Qnt Vendida]])</f>
        <v>180</v>
      </c>
      <c r="K3078" s="70">
        <f>Vendas[[#This Row],[Lucro da Venda]]/Vendas[[#This Row],[Valor da Venda]]</f>
        <v>0.24324324324324326</v>
      </c>
      <c r="L3078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3078"/>
    </row>
    <row r="3079" spans="1:13" x14ac:dyDescent="0.3">
      <c r="A3079" s="7">
        <v>400247</v>
      </c>
      <c r="B3079" t="str">
        <f>_xlfn.XLOOKUP(Vendas[[#This Row],[ID Vendedor]],Vendedores[ID],Vendedores[Nome])</f>
        <v>André</v>
      </c>
      <c r="C3079" s="7" t="str">
        <f>_xlfn.XLOOKUP(Vendas[[#This Row],[ID Vendedor]],Vendedores[ID],Vendedores[Setor])</f>
        <v>CM</v>
      </c>
      <c r="D3079" s="7" t="s">
        <v>22</v>
      </c>
      <c r="E3079" t="str">
        <f>_xlfn.XLOOKUP(Vendas[[#This Row],[ID Item Vendido]],Agregado[ID],Agregado[Produto])</f>
        <v>Painel MDP 2,75x1,83m</v>
      </c>
      <c r="F3079" s="39">
        <v>45279</v>
      </c>
      <c r="G3079" s="7">
        <v>3</v>
      </c>
      <c r="H3079" s="3">
        <f>_xlfn.XLOOKUP(Vendas[[#This Row],[ID Item Vendido]],Agregado[ID],Agregado[Revenda])</f>
        <v>119</v>
      </c>
      <c r="I3079" s="3">
        <f>Vendas[[#This Row],[Valor Unitário]]*Vendas[[#This Row],[Qnt Vendida]]</f>
        <v>357</v>
      </c>
      <c r="J3079" s="3">
        <f>Vendas[[#This Row],[Valor da Venda]]-(_xlfn.XLOOKUP(Vendas[[#This Row],[ID Item Vendido]],Agregado[ID],Agregado[Custo])*Vendas[[#This Row],[Qnt Vendida]])</f>
        <v>72</v>
      </c>
      <c r="K3079" s="70">
        <f>Vendas[[#This Row],[Lucro da Venda]]/Vendas[[#This Row],[Valor da Venda]]</f>
        <v>0.20168067226890757</v>
      </c>
      <c r="L3079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3079"/>
    </row>
    <row r="3080" spans="1:13" x14ac:dyDescent="0.3">
      <c r="A3080" s="7">
        <v>400242</v>
      </c>
      <c r="B3080" t="str">
        <f>_xlfn.XLOOKUP(Vendas[[#This Row],[ID Vendedor]],Vendedores[ID],Vendedores[Nome])</f>
        <v>Fernanda</v>
      </c>
      <c r="C3080" s="7" t="str">
        <f>_xlfn.XLOOKUP(Vendas[[#This Row],[ID Vendedor]],Vendedores[ID],Vendedores[Setor])</f>
        <v>FM</v>
      </c>
      <c r="D3080" s="7" t="s">
        <v>20</v>
      </c>
      <c r="E3080" t="str">
        <f>_xlfn.XLOOKUP(Vendas[[#This Row],[ID Item Vendido]],Agregado[ID],Agregado[Produto])</f>
        <v>Barra de aço simples</v>
      </c>
      <c r="F3080" s="39">
        <v>45279</v>
      </c>
      <c r="G3080" s="7">
        <v>69</v>
      </c>
      <c r="H3080" s="3">
        <f>_xlfn.XLOOKUP(Vendas[[#This Row],[ID Item Vendido]],Agregado[ID],Agregado[Revenda])</f>
        <v>4.8</v>
      </c>
      <c r="I3080" s="3">
        <f>Vendas[[#This Row],[Valor Unitário]]*Vendas[[#This Row],[Qnt Vendida]]</f>
        <v>331.2</v>
      </c>
      <c r="J3080" s="3">
        <f>Vendas[[#This Row],[Valor da Venda]]-(_xlfn.XLOOKUP(Vendas[[#This Row],[ID Item Vendido]],Agregado[ID],Agregado[Custo])*Vendas[[#This Row],[Qnt Vendida]])</f>
        <v>41.399999999999977</v>
      </c>
      <c r="K3080" s="70">
        <f>Vendas[[#This Row],[Lucro da Venda]]/Vendas[[#This Row],[Valor da Venda]]</f>
        <v>0.12499999999999993</v>
      </c>
      <c r="L3080" s="3">
        <f>_xlfn.IFS(Vendas[[#This Row],[Margem de Lucro (%)]]&lt;15%,Vendas[[#This Row],[Valor da Venda]]*3%,Vendas[[#This Row],[Margem de Lucro (%)]]&lt;=20%,Vendas[[#This Row],[Valor da Venda]]*4.5%,TRUE,Vendas[[#This Row],[Valor da Venda]]*6%)</f>
        <v>9.9359999999999999</v>
      </c>
      <c r="M3080"/>
    </row>
    <row r="3081" spans="1:13" x14ac:dyDescent="0.3">
      <c r="A3081" s="7">
        <v>400250</v>
      </c>
      <c r="B3081" t="str">
        <f>_xlfn.XLOOKUP(Vendas[[#This Row],[ID Vendedor]],Vendedores[ID],Vendedores[Nome])</f>
        <v>Larissa</v>
      </c>
      <c r="C3081" s="7" t="str">
        <f>_xlfn.XLOOKUP(Vendas[[#This Row],[ID Vendedor]],Vendedores[ID],Vendedores[Setor])</f>
        <v>AB</v>
      </c>
      <c r="D3081" s="7" t="s">
        <v>12</v>
      </c>
      <c r="E3081" t="str">
        <f>_xlfn.XLOOKUP(Vendas[[#This Row],[ID Item Vendido]],Agregado[ID],Agregado[Produto])</f>
        <v>Grânulo de plástico reciclado refinado</v>
      </c>
      <c r="F3081" s="39">
        <v>45281</v>
      </c>
      <c r="G3081" s="7">
        <v>138</v>
      </c>
      <c r="H3081" s="3">
        <f>_xlfn.XLOOKUP(Vendas[[#This Row],[ID Item Vendido]],Agregado[ID],Agregado[Revenda])</f>
        <v>4.7</v>
      </c>
      <c r="I3081" s="3">
        <f>Vendas[[#This Row],[Valor Unitário]]*Vendas[[#This Row],[Qnt Vendida]]</f>
        <v>648.6</v>
      </c>
      <c r="J3081" s="3">
        <f>Vendas[[#This Row],[Valor da Venda]]-(_xlfn.XLOOKUP(Vendas[[#This Row],[ID Item Vendido]],Agregado[ID],Agregado[Custo])*Vendas[[#This Row],[Qnt Vendida]])</f>
        <v>165.60000000000002</v>
      </c>
      <c r="K3081" s="70">
        <f>Vendas[[#This Row],[Lucro da Venda]]/Vendas[[#This Row],[Valor da Venda]]</f>
        <v>0.25531914893617025</v>
      </c>
      <c r="L3081" s="3">
        <f>_xlfn.IFS(Vendas[[#This Row],[Margem de Lucro (%)]]&lt;15%,Vendas[[#This Row],[Valor da Venda]]*3%,Vendas[[#This Row],[Margem de Lucro (%)]]&lt;=20%,Vendas[[#This Row],[Valor da Venda]]*4.5%,TRUE,Vendas[[#This Row],[Valor da Venda]]*6%)</f>
        <v>38.915999999999997</v>
      </c>
      <c r="M3081"/>
    </row>
    <row r="3082" spans="1:13" x14ac:dyDescent="0.3">
      <c r="A3082" s="7">
        <v>400251</v>
      </c>
      <c r="B3082" t="str">
        <f>_xlfn.XLOOKUP(Vendas[[#This Row],[ID Vendedor]],Vendedores[ID],Vendedores[Nome])</f>
        <v>Diego</v>
      </c>
      <c r="C3082" s="7" t="str">
        <f>_xlfn.XLOOKUP(Vendas[[#This Row],[ID Vendedor]],Vendedores[ID],Vendedores[Setor])</f>
        <v>AB</v>
      </c>
      <c r="D3082" s="7" t="s">
        <v>12</v>
      </c>
      <c r="E3082" t="str">
        <f>_xlfn.XLOOKUP(Vendas[[#This Row],[ID Item Vendido]],Agregado[ID],Agregado[Produto])</f>
        <v>Grânulo de plástico reciclado refinado</v>
      </c>
      <c r="F3082" s="39">
        <v>45281</v>
      </c>
      <c r="G3082" s="7">
        <v>117</v>
      </c>
      <c r="H3082" s="3">
        <f>_xlfn.XLOOKUP(Vendas[[#This Row],[ID Item Vendido]],Agregado[ID],Agregado[Revenda])</f>
        <v>4.7</v>
      </c>
      <c r="I3082" s="3">
        <f>Vendas[[#This Row],[Valor Unitário]]*Vendas[[#This Row],[Qnt Vendida]]</f>
        <v>549.9</v>
      </c>
      <c r="J3082" s="3">
        <f>Vendas[[#This Row],[Valor da Venda]]-(_xlfn.XLOOKUP(Vendas[[#This Row],[ID Item Vendido]],Agregado[ID],Agregado[Custo])*Vendas[[#This Row],[Qnt Vendida]])</f>
        <v>140.39999999999998</v>
      </c>
      <c r="K3082" s="70">
        <f>Vendas[[#This Row],[Lucro da Venda]]/Vendas[[#This Row],[Valor da Venda]]</f>
        <v>0.25531914893617019</v>
      </c>
      <c r="L3082" s="3">
        <f>_xlfn.IFS(Vendas[[#This Row],[Margem de Lucro (%)]]&lt;15%,Vendas[[#This Row],[Valor da Venda]]*3%,Vendas[[#This Row],[Margem de Lucro (%)]]&lt;=20%,Vendas[[#This Row],[Valor da Venda]]*4.5%,TRUE,Vendas[[#This Row],[Valor da Venda]]*6%)</f>
        <v>32.994</v>
      </c>
      <c r="M3082"/>
    </row>
    <row r="3083" spans="1:13" x14ac:dyDescent="0.3">
      <c r="A3083" s="7">
        <v>400250</v>
      </c>
      <c r="B3083" t="str">
        <f>_xlfn.XLOOKUP(Vendas[[#This Row],[ID Vendedor]],Vendedores[ID],Vendedores[Nome])</f>
        <v>Larissa</v>
      </c>
      <c r="C3083" s="7" t="str">
        <f>_xlfn.XLOOKUP(Vendas[[#This Row],[ID Vendedor]],Vendedores[ID],Vendedores[Setor])</f>
        <v>AB</v>
      </c>
      <c r="D3083" s="7" t="s">
        <v>12</v>
      </c>
      <c r="E3083" t="str">
        <f>_xlfn.XLOOKUP(Vendas[[#This Row],[ID Item Vendido]],Agregado[ID],Agregado[Produto])</f>
        <v>Grânulo de plástico reciclado refinado</v>
      </c>
      <c r="F3083" s="39">
        <v>45281</v>
      </c>
      <c r="G3083" s="7">
        <v>97</v>
      </c>
      <c r="H3083" s="3">
        <f>_xlfn.XLOOKUP(Vendas[[#This Row],[ID Item Vendido]],Agregado[ID],Agregado[Revenda])</f>
        <v>4.7</v>
      </c>
      <c r="I3083" s="3">
        <f>Vendas[[#This Row],[Valor Unitário]]*Vendas[[#This Row],[Qnt Vendida]]</f>
        <v>455.90000000000003</v>
      </c>
      <c r="J3083" s="3">
        <f>Vendas[[#This Row],[Valor da Venda]]-(_xlfn.XLOOKUP(Vendas[[#This Row],[ID Item Vendido]],Agregado[ID],Agregado[Custo])*Vendas[[#This Row],[Qnt Vendida]])</f>
        <v>116.40000000000003</v>
      </c>
      <c r="K3083" s="70">
        <f>Vendas[[#This Row],[Lucro da Venda]]/Vendas[[#This Row],[Valor da Venda]]</f>
        <v>0.25531914893617025</v>
      </c>
      <c r="L3083" s="3">
        <f>_xlfn.IFS(Vendas[[#This Row],[Margem de Lucro (%)]]&lt;15%,Vendas[[#This Row],[Valor da Venda]]*3%,Vendas[[#This Row],[Margem de Lucro (%)]]&lt;=20%,Vendas[[#This Row],[Valor da Venda]]*4.5%,TRUE,Vendas[[#This Row],[Valor da Venda]]*6%)</f>
        <v>27.354000000000003</v>
      </c>
      <c r="M3083"/>
    </row>
    <row r="3084" spans="1:13" x14ac:dyDescent="0.3">
      <c r="A3084" s="7">
        <v>400250</v>
      </c>
      <c r="B3084" t="str">
        <f>_xlfn.XLOOKUP(Vendas[[#This Row],[ID Vendedor]],Vendedores[ID],Vendedores[Nome])</f>
        <v>Larissa</v>
      </c>
      <c r="C3084" s="7" t="str">
        <f>_xlfn.XLOOKUP(Vendas[[#This Row],[ID Vendedor]],Vendedores[ID],Vendedores[Setor])</f>
        <v>AB</v>
      </c>
      <c r="D3084" s="7" t="s">
        <v>36</v>
      </c>
      <c r="E3084" t="str">
        <f>_xlfn.XLOOKUP(Vendas[[#This Row],[ID Item Vendido]],Agregado[ID],Agregado[Produto])</f>
        <v>Borracha vulcanizada em manta</v>
      </c>
      <c r="F3084" s="39">
        <v>45281</v>
      </c>
      <c r="G3084" s="7">
        <v>44</v>
      </c>
      <c r="H3084" s="3">
        <f>_xlfn.XLOOKUP(Vendas[[#This Row],[ID Item Vendido]],Agregado[ID],Agregado[Revenda])</f>
        <v>7.8</v>
      </c>
      <c r="I3084" s="3">
        <f>Vendas[[#This Row],[Valor Unitário]]*Vendas[[#This Row],[Qnt Vendida]]</f>
        <v>343.2</v>
      </c>
      <c r="J3084" s="3">
        <f>Vendas[[#This Row],[Valor da Venda]]-(_xlfn.XLOOKUP(Vendas[[#This Row],[ID Item Vendido]],Agregado[ID],Agregado[Custo])*Vendas[[#This Row],[Qnt Vendida]])</f>
        <v>79.199999999999989</v>
      </c>
      <c r="K3084" s="70">
        <f>Vendas[[#This Row],[Lucro da Venda]]/Vendas[[#This Row],[Valor da Venda]]</f>
        <v>0.23076923076923075</v>
      </c>
      <c r="L3084" s="3">
        <f>_xlfn.IFS(Vendas[[#This Row],[Margem de Lucro (%)]]&lt;15%,Vendas[[#This Row],[Valor da Venda]]*3%,Vendas[[#This Row],[Margem de Lucro (%)]]&lt;=20%,Vendas[[#This Row],[Valor da Venda]]*4.5%,TRUE,Vendas[[#This Row],[Valor da Venda]]*6%)</f>
        <v>20.591999999999999</v>
      </c>
      <c r="M3084"/>
    </row>
    <row r="3085" spans="1:13" x14ac:dyDescent="0.3">
      <c r="A3085" s="7">
        <v>400253</v>
      </c>
      <c r="B3085" t="str">
        <f>_xlfn.XLOOKUP(Vendas[[#This Row],[ID Vendedor]],Vendedores[ID],Vendedores[Nome])</f>
        <v>Gustavo</v>
      </c>
      <c r="C3085" s="7" t="str">
        <f>_xlfn.XLOOKUP(Vendas[[#This Row],[ID Vendedor]],Vendedores[ID],Vendedores[Setor])</f>
        <v>SC</v>
      </c>
      <c r="D3085" s="7" t="s">
        <v>42</v>
      </c>
      <c r="E3085" t="str">
        <f>_xlfn.XLOOKUP(Vendas[[#This Row],[ID Item Vendido]],Agregado[ID],Agregado[Produto])</f>
        <v>Container de ferro industrial</v>
      </c>
      <c r="F3085" s="39">
        <v>45282</v>
      </c>
      <c r="G3085" s="7">
        <v>5</v>
      </c>
      <c r="H3085" s="3">
        <f>_xlfn.XLOOKUP(Vendas[[#This Row],[ID Item Vendido]],Agregado[ID],Agregado[Revenda])</f>
        <v>830</v>
      </c>
      <c r="I3085" s="3">
        <f>Vendas[[#This Row],[Valor Unitário]]*Vendas[[#This Row],[Qnt Vendida]]</f>
        <v>4150</v>
      </c>
      <c r="J3085" s="3">
        <f>Vendas[[#This Row],[Valor da Venda]]-(_xlfn.XLOOKUP(Vendas[[#This Row],[ID Item Vendido]],Agregado[ID],Agregado[Custo])*Vendas[[#This Row],[Qnt Vendida]])</f>
        <v>750</v>
      </c>
      <c r="K3085" s="70">
        <f>Vendas[[#This Row],[Lucro da Venda]]/Vendas[[#This Row],[Valor da Venda]]</f>
        <v>0.18072289156626506</v>
      </c>
      <c r="L308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085"/>
    </row>
    <row r="3086" spans="1:13" x14ac:dyDescent="0.3">
      <c r="A3086" s="7">
        <v>400248</v>
      </c>
      <c r="B3086" t="str">
        <f>_xlfn.XLOOKUP(Vendas[[#This Row],[ID Vendedor]],Vendedores[ID],Vendedores[Nome])</f>
        <v>Patrícia</v>
      </c>
      <c r="C3086" s="7" t="str">
        <f>_xlfn.XLOOKUP(Vendas[[#This Row],[ID Vendedor]],Vendedores[ID],Vendedores[Setor])</f>
        <v>CM</v>
      </c>
      <c r="D3086" s="7" t="s">
        <v>32</v>
      </c>
      <c r="E3086" t="str">
        <f>_xlfn.XLOOKUP(Vendas[[#This Row],[ID Item Vendido]],Agregado[ID],Agregado[Produto])</f>
        <v>Tábua tratada e cortada 3m</v>
      </c>
      <c r="F3086" s="39">
        <v>45282</v>
      </c>
      <c r="G3086" s="7">
        <v>36</v>
      </c>
      <c r="H3086" s="3">
        <f>_xlfn.XLOOKUP(Vendas[[#This Row],[ID Item Vendido]],Agregado[ID],Agregado[Revenda])</f>
        <v>39</v>
      </c>
      <c r="I3086" s="3">
        <f>Vendas[[#This Row],[Valor Unitário]]*Vendas[[#This Row],[Qnt Vendida]]</f>
        <v>1404</v>
      </c>
      <c r="J3086" s="3">
        <f>Vendas[[#This Row],[Valor da Venda]]-(_xlfn.XLOOKUP(Vendas[[#This Row],[ID Item Vendido]],Agregado[ID],Agregado[Custo])*Vendas[[#This Row],[Qnt Vendida]])</f>
        <v>252</v>
      </c>
      <c r="K3086" s="70">
        <f>Vendas[[#This Row],[Lucro da Venda]]/Vendas[[#This Row],[Valor da Venda]]</f>
        <v>0.17948717948717949</v>
      </c>
      <c r="L3086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3086"/>
    </row>
    <row r="3087" spans="1:13" x14ac:dyDescent="0.3">
      <c r="A3087" s="7">
        <v>400243</v>
      </c>
      <c r="B3087" t="str">
        <f>_xlfn.XLOOKUP(Vendas[[#This Row],[ID Vendedor]],Vendedores[ID],Vendedores[Nome])</f>
        <v>Marcelo</v>
      </c>
      <c r="C3087" s="7" t="str">
        <f>_xlfn.XLOOKUP(Vendas[[#This Row],[ID Vendedor]],Vendedores[ID],Vendedores[Setor])</f>
        <v>FM</v>
      </c>
      <c r="D3087" s="7" t="s">
        <v>20</v>
      </c>
      <c r="E3087" t="str">
        <f>_xlfn.XLOOKUP(Vendas[[#This Row],[ID Item Vendido]],Agregado[ID],Agregado[Produto])</f>
        <v>Barra de aço simples</v>
      </c>
      <c r="F3087" s="39">
        <v>45283</v>
      </c>
      <c r="G3087" s="7">
        <v>84</v>
      </c>
      <c r="H3087" s="3">
        <f>_xlfn.XLOOKUP(Vendas[[#This Row],[ID Item Vendido]],Agregado[ID],Agregado[Revenda])</f>
        <v>4.8</v>
      </c>
      <c r="I3087" s="3">
        <f>Vendas[[#This Row],[Valor Unitário]]*Vendas[[#This Row],[Qnt Vendida]]</f>
        <v>403.2</v>
      </c>
      <c r="J3087" s="3">
        <f>Vendas[[#This Row],[Valor da Venda]]-(_xlfn.XLOOKUP(Vendas[[#This Row],[ID Item Vendido]],Agregado[ID],Agregado[Custo])*Vendas[[#This Row],[Qnt Vendida]])</f>
        <v>50.399999999999977</v>
      </c>
      <c r="K3087" s="70">
        <f>Vendas[[#This Row],[Lucro da Venda]]/Vendas[[#This Row],[Valor da Venda]]</f>
        <v>0.12499999999999994</v>
      </c>
      <c r="L3087" s="3">
        <f>_xlfn.IFS(Vendas[[#This Row],[Margem de Lucro (%)]]&lt;15%,Vendas[[#This Row],[Valor da Venda]]*3%,Vendas[[#This Row],[Margem de Lucro (%)]]&lt;=20%,Vendas[[#This Row],[Valor da Venda]]*4.5%,TRUE,Vendas[[#This Row],[Valor da Venda]]*6%)</f>
        <v>12.096</v>
      </c>
      <c r="M3087"/>
    </row>
    <row r="3088" spans="1:13" x14ac:dyDescent="0.3">
      <c r="A3088" s="7">
        <v>400242</v>
      </c>
      <c r="B3088" t="str">
        <f>_xlfn.XLOOKUP(Vendas[[#This Row],[ID Vendedor]],Vendedores[ID],Vendedores[Nome])</f>
        <v>Fernanda</v>
      </c>
      <c r="C3088" s="7" t="str">
        <f>_xlfn.XLOOKUP(Vendas[[#This Row],[ID Vendedor]],Vendedores[ID],Vendedores[Setor])</f>
        <v>FM</v>
      </c>
      <c r="D3088" s="7" t="s">
        <v>6</v>
      </c>
      <c r="E3088" t="str">
        <f>_xlfn.XLOOKUP(Vendas[[#This Row],[ID Item Vendido]],Agregado[ID],Agregado[Produto])</f>
        <v>Parafuso comum 500un</v>
      </c>
      <c r="F3088" s="39">
        <v>45283</v>
      </c>
      <c r="G3088" s="7">
        <v>16</v>
      </c>
      <c r="H3088" s="3">
        <f>_xlfn.XLOOKUP(Vendas[[#This Row],[ID Item Vendido]],Agregado[ID],Agregado[Revenda])</f>
        <v>24.6</v>
      </c>
      <c r="I3088" s="3">
        <f>Vendas[[#This Row],[Valor Unitário]]*Vendas[[#This Row],[Qnt Vendida]]</f>
        <v>393.6</v>
      </c>
      <c r="J3088" s="3">
        <f>Vendas[[#This Row],[Valor da Venda]]-(_xlfn.XLOOKUP(Vendas[[#This Row],[ID Item Vendido]],Agregado[ID],Agregado[Custo])*Vendas[[#This Row],[Qnt Vendida]])</f>
        <v>41.600000000000023</v>
      </c>
      <c r="K3088" s="70">
        <f>Vendas[[#This Row],[Lucro da Venda]]/Vendas[[#This Row],[Valor da Venda]]</f>
        <v>0.10569105691056915</v>
      </c>
      <c r="L3088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3088"/>
    </row>
    <row r="3089" spans="1:13" x14ac:dyDescent="0.3">
      <c r="A3089" s="7">
        <v>400244</v>
      </c>
      <c r="B3089" t="str">
        <f>_xlfn.XLOOKUP(Vendas[[#This Row],[ID Vendedor]],Vendedores[ID],Vendedores[Nome])</f>
        <v>Camila</v>
      </c>
      <c r="C3089" s="7" t="str">
        <f>_xlfn.XLOOKUP(Vendas[[#This Row],[ID Vendedor]],Vendedores[ID],Vendedores[Setor])</f>
        <v>AHD</v>
      </c>
      <c r="D3089" s="7" t="s">
        <v>44</v>
      </c>
      <c r="E3089" t="str">
        <f>_xlfn.XLOOKUP(Vendas[[#This Row],[ID Item Vendido]],Agregado[ID],Agregado[Produto])</f>
        <v>Liga metálica especial</v>
      </c>
      <c r="F3089" s="39">
        <v>45285</v>
      </c>
      <c r="G3089" s="7">
        <v>56</v>
      </c>
      <c r="H3089" s="3">
        <f>_xlfn.XLOOKUP(Vendas[[#This Row],[ID Item Vendido]],Agregado[ID],Agregado[Revenda])</f>
        <v>32.5</v>
      </c>
      <c r="I3089" s="3">
        <f>Vendas[[#This Row],[Valor Unitário]]*Vendas[[#This Row],[Qnt Vendida]]</f>
        <v>1820</v>
      </c>
      <c r="J3089" s="3">
        <f>Vendas[[#This Row],[Valor da Venda]]-(_xlfn.XLOOKUP(Vendas[[#This Row],[ID Item Vendido]],Agregado[ID],Agregado[Custo])*Vendas[[#This Row],[Qnt Vendida]])</f>
        <v>420</v>
      </c>
      <c r="K3089" s="70">
        <f>Vendas[[#This Row],[Lucro da Venda]]/Vendas[[#This Row],[Valor da Venda]]</f>
        <v>0.23076923076923078</v>
      </c>
      <c r="L3089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3089"/>
    </row>
    <row r="3090" spans="1:13" x14ac:dyDescent="0.3">
      <c r="A3090" s="7">
        <v>400245</v>
      </c>
      <c r="B3090" t="str">
        <f>_xlfn.XLOOKUP(Vendas[[#This Row],[ID Vendedor]],Vendedores[ID],Vendedores[Nome])</f>
        <v>Thiago</v>
      </c>
      <c r="C3090" s="7" t="str">
        <f>_xlfn.XLOOKUP(Vendas[[#This Row],[ID Vendedor]],Vendedores[ID],Vendedores[Setor])</f>
        <v>AHD</v>
      </c>
      <c r="D3090" s="7" t="s">
        <v>18</v>
      </c>
      <c r="E3090" t="str">
        <f>_xlfn.XLOOKUP(Vendas[[#This Row],[ID Item Vendido]],Agregado[ID],Agregado[Produto])</f>
        <v>Peça forjada sob encomenda</v>
      </c>
      <c r="F3090" s="39">
        <v>45285</v>
      </c>
      <c r="G3090" s="7">
        <v>3</v>
      </c>
      <c r="H3090" s="3">
        <f>_xlfn.XLOOKUP(Vendas[[#This Row],[ID Item Vendido]],Agregado[ID],Agregado[Revenda])</f>
        <v>264.60000000000002</v>
      </c>
      <c r="I3090" s="3">
        <f>Vendas[[#This Row],[Valor Unitário]]*Vendas[[#This Row],[Qnt Vendida]]</f>
        <v>793.80000000000007</v>
      </c>
      <c r="J3090" s="3">
        <f>Vendas[[#This Row],[Valor da Venda]]-(_xlfn.XLOOKUP(Vendas[[#This Row],[ID Item Vendido]],Agregado[ID],Agregado[Custo])*Vendas[[#This Row],[Qnt Vendida]])</f>
        <v>43.800000000000068</v>
      </c>
      <c r="K3090" s="70">
        <f>Vendas[[#This Row],[Lucro da Venda]]/Vendas[[#This Row],[Valor da Venda]]</f>
        <v>5.5177626606198113E-2</v>
      </c>
      <c r="L309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3090"/>
    </row>
    <row r="3091" spans="1:13" x14ac:dyDescent="0.3">
      <c r="A3091" s="7">
        <v>400254</v>
      </c>
      <c r="B3091" t="str">
        <f>_xlfn.XLOOKUP(Vendas[[#This Row],[ID Vendedor]],Vendedores[ID],Vendedores[Nome])</f>
        <v>Beatriz</v>
      </c>
      <c r="C3091" s="7" t="str">
        <f>_xlfn.XLOOKUP(Vendas[[#This Row],[ID Vendedor]],Vendedores[ID],Vendedores[Setor])</f>
        <v>SC</v>
      </c>
      <c r="D3091" s="7" t="s">
        <v>48</v>
      </c>
      <c r="E3091" t="str">
        <f>_xlfn.XLOOKUP(Vendas[[#This Row],[ID Item Vendido]],Agregado[ID],Agregado[Produto])</f>
        <v>Tambor metálico 200L</v>
      </c>
      <c r="F3091" s="39">
        <v>45286</v>
      </c>
      <c r="G3091" s="7">
        <v>18</v>
      </c>
      <c r="H3091" s="3">
        <f>_xlfn.XLOOKUP(Vendas[[#This Row],[ID Item Vendido]],Agregado[ID],Agregado[Revenda])</f>
        <v>144</v>
      </c>
      <c r="I3091" s="3">
        <f>Vendas[[#This Row],[Valor Unitário]]*Vendas[[#This Row],[Qnt Vendida]]</f>
        <v>2592</v>
      </c>
      <c r="J3091" s="3">
        <f>Vendas[[#This Row],[Valor da Venda]]-(_xlfn.XLOOKUP(Vendas[[#This Row],[ID Item Vendido]],Agregado[ID],Agregado[Custo])*Vendas[[#This Row],[Qnt Vendida]])</f>
        <v>432</v>
      </c>
      <c r="K3091" s="70">
        <f>Vendas[[#This Row],[Lucro da Venda]]/Vendas[[#This Row],[Valor da Venda]]</f>
        <v>0.16666666666666666</v>
      </c>
      <c r="L3091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3091"/>
    </row>
    <row r="3092" spans="1:13" x14ac:dyDescent="0.3">
      <c r="A3092" s="7">
        <v>400254</v>
      </c>
      <c r="B3092" t="str">
        <f>_xlfn.XLOOKUP(Vendas[[#This Row],[ID Vendedor]],Vendedores[ID],Vendedores[Nome])</f>
        <v>Beatriz</v>
      </c>
      <c r="C3092" s="7" t="str">
        <f>_xlfn.XLOOKUP(Vendas[[#This Row],[ID Vendedor]],Vendedores[ID],Vendedores[Setor])</f>
        <v>SC</v>
      </c>
      <c r="D3092" s="7" t="s">
        <v>14</v>
      </c>
      <c r="E3092" t="str">
        <f>_xlfn.XLOOKUP(Vendas[[#This Row],[ID Item Vendido]],Agregado[ID],Agregado[Produto])</f>
        <v>Barril de plástico 200L</v>
      </c>
      <c r="F3092" s="39">
        <v>45286</v>
      </c>
      <c r="G3092" s="7">
        <v>2</v>
      </c>
      <c r="H3092" s="3">
        <f>_xlfn.XLOOKUP(Vendas[[#This Row],[ID Item Vendido]],Agregado[ID],Agregado[Revenda])</f>
        <v>114</v>
      </c>
      <c r="I3092" s="3">
        <f>Vendas[[#This Row],[Valor Unitário]]*Vendas[[#This Row],[Qnt Vendida]]</f>
        <v>228</v>
      </c>
      <c r="J3092" s="3">
        <f>Vendas[[#This Row],[Valor da Venda]]-(_xlfn.XLOOKUP(Vendas[[#This Row],[ID Item Vendido]],Agregado[ID],Agregado[Custo])*Vendas[[#This Row],[Qnt Vendida]])</f>
        <v>38</v>
      </c>
      <c r="K3092" s="70">
        <f>Vendas[[#This Row],[Lucro da Venda]]/Vendas[[#This Row],[Valor da Venda]]</f>
        <v>0.16666666666666666</v>
      </c>
      <c r="L3092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3092"/>
    </row>
    <row r="3093" spans="1:13" x14ac:dyDescent="0.3">
      <c r="A3093" s="7">
        <v>400254</v>
      </c>
      <c r="B3093" t="str">
        <f>_xlfn.XLOOKUP(Vendas[[#This Row],[ID Vendedor]],Vendedores[ID],Vendedores[Nome])</f>
        <v>Beatriz</v>
      </c>
      <c r="C3093" s="7" t="str">
        <f>_xlfn.XLOOKUP(Vendas[[#This Row],[ID Vendedor]],Vendedores[ID],Vendedores[Setor])</f>
        <v>SC</v>
      </c>
      <c r="D3093" s="7" t="s">
        <v>42</v>
      </c>
      <c r="E3093" t="str">
        <f>_xlfn.XLOOKUP(Vendas[[#This Row],[ID Item Vendido]],Agregado[ID],Agregado[Produto])</f>
        <v>Container de ferro industrial</v>
      </c>
      <c r="F3093" s="39">
        <v>45287</v>
      </c>
      <c r="G3093" s="7">
        <v>1</v>
      </c>
      <c r="H3093" s="3">
        <f>_xlfn.XLOOKUP(Vendas[[#This Row],[ID Item Vendido]],Agregado[ID],Agregado[Revenda])</f>
        <v>830</v>
      </c>
      <c r="I3093" s="3">
        <f>Vendas[[#This Row],[Valor Unitário]]*Vendas[[#This Row],[Qnt Vendida]]</f>
        <v>830</v>
      </c>
      <c r="J3093" s="3">
        <f>Vendas[[#This Row],[Valor da Venda]]-(_xlfn.XLOOKUP(Vendas[[#This Row],[ID Item Vendido]],Agregado[ID],Agregado[Custo])*Vendas[[#This Row],[Qnt Vendida]])</f>
        <v>150</v>
      </c>
      <c r="K3093" s="70">
        <f>Vendas[[#This Row],[Lucro da Venda]]/Vendas[[#This Row],[Valor da Venda]]</f>
        <v>0.18072289156626506</v>
      </c>
      <c r="L3093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093"/>
    </row>
    <row r="3094" spans="1:13" x14ac:dyDescent="0.3">
      <c r="A3094" s="7">
        <v>400247</v>
      </c>
      <c r="B3094" t="str">
        <f>_xlfn.XLOOKUP(Vendas[[#This Row],[ID Vendedor]],Vendedores[ID],Vendedores[Nome])</f>
        <v>André</v>
      </c>
      <c r="C3094" s="7" t="str">
        <f>_xlfn.XLOOKUP(Vendas[[#This Row],[ID Vendedor]],Vendedores[ID],Vendedores[Setor])</f>
        <v>CM</v>
      </c>
      <c r="D3094" s="7" t="s">
        <v>34</v>
      </c>
      <c r="E3094" t="str">
        <f>_xlfn.XLOOKUP(Vendas[[#This Row],[ID Item Vendido]],Agregado[ID],Agregado[Produto])</f>
        <v>Restos de madeira p/ MDP/OSB saco de 20kg</v>
      </c>
      <c r="F3094" s="39">
        <v>45287</v>
      </c>
      <c r="G3094" s="7">
        <v>29</v>
      </c>
      <c r="H3094" s="3">
        <f>_xlfn.XLOOKUP(Vendas[[#This Row],[ID Item Vendido]],Agregado[ID],Agregado[Revenda])</f>
        <v>13.8</v>
      </c>
      <c r="I3094" s="3">
        <f>Vendas[[#This Row],[Valor Unitário]]*Vendas[[#This Row],[Qnt Vendida]]</f>
        <v>400.20000000000005</v>
      </c>
      <c r="J3094" s="3">
        <f>Vendas[[#This Row],[Valor da Venda]]-(_xlfn.XLOOKUP(Vendas[[#This Row],[ID Item Vendido]],Agregado[ID],Agregado[Custo])*Vendas[[#This Row],[Qnt Vendida]])</f>
        <v>52.200000000000045</v>
      </c>
      <c r="K3094" s="70">
        <f>Vendas[[#This Row],[Lucro da Venda]]/Vendas[[#This Row],[Valor da Venda]]</f>
        <v>0.13043478260869576</v>
      </c>
      <c r="L3094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3094"/>
    </row>
    <row r="3095" spans="1:13" x14ac:dyDescent="0.3">
      <c r="A3095" s="7">
        <v>400246</v>
      </c>
      <c r="B3095" t="str">
        <f>_xlfn.XLOOKUP(Vendas[[#This Row],[ID Vendedor]],Vendedores[ID],Vendedores[Nome])</f>
        <v>Juliana</v>
      </c>
      <c r="C3095" s="7" t="str">
        <f>_xlfn.XLOOKUP(Vendas[[#This Row],[ID Vendedor]],Vendedores[ID],Vendedores[Setor])</f>
        <v>AHD</v>
      </c>
      <c r="D3095" s="7" t="s">
        <v>18</v>
      </c>
      <c r="E3095" t="str">
        <f>_xlfn.XLOOKUP(Vendas[[#This Row],[ID Item Vendido]],Agregado[ID],Agregado[Produto])</f>
        <v>Peça forjada sob encomenda</v>
      </c>
      <c r="F3095" s="39">
        <v>45287</v>
      </c>
      <c r="G3095" s="7">
        <v>1</v>
      </c>
      <c r="H3095" s="3">
        <f>_xlfn.XLOOKUP(Vendas[[#This Row],[ID Item Vendido]],Agregado[ID],Agregado[Revenda])</f>
        <v>264.60000000000002</v>
      </c>
      <c r="I3095" s="3">
        <f>Vendas[[#This Row],[Valor Unitário]]*Vendas[[#This Row],[Qnt Vendida]]</f>
        <v>264.60000000000002</v>
      </c>
      <c r="J3095" s="3">
        <f>Vendas[[#This Row],[Valor da Venda]]-(_xlfn.XLOOKUP(Vendas[[#This Row],[ID Item Vendido]],Agregado[ID],Agregado[Custo])*Vendas[[#This Row],[Qnt Vendida]])</f>
        <v>14.600000000000023</v>
      </c>
      <c r="K3095" s="70">
        <f>Vendas[[#This Row],[Lucro da Venda]]/Vendas[[#This Row],[Valor da Venda]]</f>
        <v>5.5177626606198113E-2</v>
      </c>
      <c r="L3095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095"/>
    </row>
    <row r="3096" spans="1:13" x14ac:dyDescent="0.3">
      <c r="A3096" s="7">
        <v>400244</v>
      </c>
      <c r="B3096" t="str">
        <f>_xlfn.XLOOKUP(Vendas[[#This Row],[ID Vendedor]],Vendedores[ID],Vendedores[Nome])</f>
        <v>Camila</v>
      </c>
      <c r="C3096" s="7" t="str">
        <f>_xlfn.XLOOKUP(Vendas[[#This Row],[ID Vendedor]],Vendedores[ID],Vendedores[Setor])</f>
        <v>AHD</v>
      </c>
      <c r="D3096" s="7" t="s">
        <v>30</v>
      </c>
      <c r="E3096" t="str">
        <f>_xlfn.XLOOKUP(Vendas[[#This Row],[ID Item Vendido]],Agregado[ID],Agregado[Produto])</f>
        <v>Estrutura metálica soldada</v>
      </c>
      <c r="F3096" s="39">
        <v>45288</v>
      </c>
      <c r="G3096" s="7">
        <v>5</v>
      </c>
      <c r="H3096" s="3">
        <f>_xlfn.XLOOKUP(Vendas[[#This Row],[ID Item Vendido]],Agregado[ID],Agregado[Revenda])</f>
        <v>400</v>
      </c>
      <c r="I3096" s="3">
        <f>Vendas[[#This Row],[Valor Unitário]]*Vendas[[#This Row],[Qnt Vendida]]</f>
        <v>2000</v>
      </c>
      <c r="J3096" s="3">
        <f>Vendas[[#This Row],[Valor da Venda]]-(_xlfn.XLOOKUP(Vendas[[#This Row],[ID Item Vendido]],Agregado[ID],Agregado[Custo])*Vendas[[#This Row],[Qnt Vendida]])</f>
        <v>400</v>
      </c>
      <c r="K3096" s="70">
        <f>Vendas[[#This Row],[Lucro da Venda]]/Vendas[[#This Row],[Valor da Venda]]</f>
        <v>0.2</v>
      </c>
      <c r="L3096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096"/>
    </row>
    <row r="3097" spans="1:13" x14ac:dyDescent="0.3">
      <c r="A3097" s="7">
        <v>400249</v>
      </c>
      <c r="B3097" t="str">
        <f>_xlfn.XLOOKUP(Vendas[[#This Row],[ID Vendedor]],Vendedores[ID],Vendedores[Nome])</f>
        <v>Bruno</v>
      </c>
      <c r="C3097" s="7" t="str">
        <f>_xlfn.XLOOKUP(Vendas[[#This Row],[ID Vendedor]],Vendedores[ID],Vendedores[Setor])</f>
        <v>CM</v>
      </c>
      <c r="D3097" s="7" t="s">
        <v>32</v>
      </c>
      <c r="E3097" t="str">
        <f>_xlfn.XLOOKUP(Vendas[[#This Row],[ID Item Vendido]],Agregado[ID],Agregado[Produto])</f>
        <v>Tábua tratada e cortada 3m</v>
      </c>
      <c r="F3097" s="39">
        <v>45288</v>
      </c>
      <c r="G3097" s="7">
        <v>26</v>
      </c>
      <c r="H3097" s="3">
        <f>_xlfn.XLOOKUP(Vendas[[#This Row],[ID Item Vendido]],Agregado[ID],Agregado[Revenda])</f>
        <v>39</v>
      </c>
      <c r="I3097" s="3">
        <f>Vendas[[#This Row],[Valor Unitário]]*Vendas[[#This Row],[Qnt Vendida]]</f>
        <v>1014</v>
      </c>
      <c r="J3097" s="3">
        <f>Vendas[[#This Row],[Valor da Venda]]-(_xlfn.XLOOKUP(Vendas[[#This Row],[ID Item Vendido]],Agregado[ID],Agregado[Custo])*Vendas[[#This Row],[Qnt Vendida]])</f>
        <v>182</v>
      </c>
      <c r="K3097" s="70">
        <f>Vendas[[#This Row],[Lucro da Venda]]/Vendas[[#This Row],[Valor da Venda]]</f>
        <v>0.17948717948717949</v>
      </c>
      <c r="L3097" s="3">
        <f>_xlfn.IFS(Vendas[[#This Row],[Margem de Lucro (%)]]&lt;15%,Vendas[[#This Row],[Valor da Venda]]*3%,Vendas[[#This Row],[Margem de Lucro (%)]]&lt;=20%,Vendas[[#This Row],[Valor da Venda]]*4.5%,TRUE,Vendas[[#This Row],[Valor da Venda]]*6%)</f>
        <v>45.629999999999995</v>
      </c>
      <c r="M3097"/>
    </row>
    <row r="3098" spans="1:13" x14ac:dyDescent="0.3">
      <c r="A3098" s="7">
        <v>400254</v>
      </c>
      <c r="B3098" t="str">
        <f>_xlfn.XLOOKUP(Vendas[[#This Row],[ID Vendedor]],Vendedores[ID],Vendedores[Nome])</f>
        <v>Beatriz</v>
      </c>
      <c r="C3098" s="7" t="str">
        <f>_xlfn.XLOOKUP(Vendas[[#This Row],[ID Vendedor]],Vendedores[ID],Vendedores[Setor])</f>
        <v>SC</v>
      </c>
      <c r="D3098" s="7" t="s">
        <v>25</v>
      </c>
      <c r="E3098" t="str">
        <f>_xlfn.XLOOKUP(Vendas[[#This Row],[ID Item Vendido]],Agregado[ID],Agregado[Produto])</f>
        <v>Palete de plástico</v>
      </c>
      <c r="F3098" s="39">
        <v>45288</v>
      </c>
      <c r="G3098" s="7">
        <v>11</v>
      </c>
      <c r="H3098" s="3">
        <f>_xlfn.XLOOKUP(Vendas[[#This Row],[ID Item Vendido]],Agregado[ID],Agregado[Revenda])</f>
        <v>70.8</v>
      </c>
      <c r="I3098" s="3">
        <f>Vendas[[#This Row],[Valor Unitário]]*Vendas[[#This Row],[Qnt Vendida]]</f>
        <v>778.8</v>
      </c>
      <c r="J3098" s="3">
        <f>Vendas[[#This Row],[Valor da Venda]]-(_xlfn.XLOOKUP(Vendas[[#This Row],[ID Item Vendido]],Agregado[ID],Agregado[Custo])*Vendas[[#This Row],[Qnt Vendida]])</f>
        <v>118.79999999999995</v>
      </c>
      <c r="K3098" s="70">
        <f>Vendas[[#This Row],[Lucro da Venda]]/Vendas[[#This Row],[Valor da Venda]]</f>
        <v>0.15254237288135589</v>
      </c>
      <c r="L3098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3098"/>
    </row>
    <row r="3099" spans="1:13" x14ac:dyDescent="0.3">
      <c r="A3099" s="7">
        <v>400254</v>
      </c>
      <c r="B3099" t="str">
        <f>_xlfn.XLOOKUP(Vendas[[#This Row],[ID Vendedor]],Vendedores[ID],Vendedores[Nome])</f>
        <v>Beatriz</v>
      </c>
      <c r="C3099" s="7" t="str">
        <f>_xlfn.XLOOKUP(Vendas[[#This Row],[ID Vendedor]],Vendedores[ID],Vendedores[Setor])</f>
        <v>SC</v>
      </c>
      <c r="D3099" s="7" t="s">
        <v>14</v>
      </c>
      <c r="E3099" t="str">
        <f>_xlfn.XLOOKUP(Vendas[[#This Row],[ID Item Vendido]],Agregado[ID],Agregado[Produto])</f>
        <v>Barril de plástico 200L</v>
      </c>
      <c r="F3099" s="39">
        <v>45288</v>
      </c>
      <c r="G3099" s="7">
        <v>6</v>
      </c>
      <c r="H3099" s="3">
        <f>_xlfn.XLOOKUP(Vendas[[#This Row],[ID Item Vendido]],Agregado[ID],Agregado[Revenda])</f>
        <v>114</v>
      </c>
      <c r="I3099" s="3">
        <f>Vendas[[#This Row],[Valor Unitário]]*Vendas[[#This Row],[Qnt Vendida]]</f>
        <v>684</v>
      </c>
      <c r="J3099" s="3">
        <f>Vendas[[#This Row],[Valor da Venda]]-(_xlfn.XLOOKUP(Vendas[[#This Row],[ID Item Vendido]],Agregado[ID],Agregado[Custo])*Vendas[[#This Row],[Qnt Vendida]])</f>
        <v>114</v>
      </c>
      <c r="K3099" s="70">
        <f>Vendas[[#This Row],[Lucro da Venda]]/Vendas[[#This Row],[Valor da Venda]]</f>
        <v>0.16666666666666666</v>
      </c>
      <c r="L3099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3099"/>
    </row>
    <row r="3100" spans="1:13" x14ac:dyDescent="0.3">
      <c r="A3100" s="7">
        <v>400242</v>
      </c>
      <c r="B3100" t="str">
        <f>_xlfn.XLOOKUP(Vendas[[#This Row],[ID Vendedor]],Vendedores[ID],Vendedores[Nome])</f>
        <v>Fernanda</v>
      </c>
      <c r="C3100" s="7" t="str">
        <f>_xlfn.XLOOKUP(Vendas[[#This Row],[ID Vendedor]],Vendedores[ID],Vendedores[Setor])</f>
        <v>FM</v>
      </c>
      <c r="D3100" s="7" t="s">
        <v>20</v>
      </c>
      <c r="E3100" t="str">
        <f>_xlfn.XLOOKUP(Vendas[[#This Row],[ID Item Vendido]],Agregado[ID],Agregado[Produto])</f>
        <v>Barra de aço simples</v>
      </c>
      <c r="F3100" s="39">
        <v>45288</v>
      </c>
      <c r="G3100" s="7">
        <v>122</v>
      </c>
      <c r="H3100" s="3">
        <f>_xlfn.XLOOKUP(Vendas[[#This Row],[ID Item Vendido]],Agregado[ID],Agregado[Revenda])</f>
        <v>4.8</v>
      </c>
      <c r="I3100" s="3">
        <f>Vendas[[#This Row],[Valor Unitário]]*Vendas[[#This Row],[Qnt Vendida]]</f>
        <v>585.6</v>
      </c>
      <c r="J3100" s="3">
        <f>Vendas[[#This Row],[Valor da Venda]]-(_xlfn.XLOOKUP(Vendas[[#This Row],[ID Item Vendido]],Agregado[ID],Agregado[Custo])*Vendas[[#This Row],[Qnt Vendida]])</f>
        <v>73.200000000000045</v>
      </c>
      <c r="K3100" s="70">
        <f>Vendas[[#This Row],[Lucro da Venda]]/Vendas[[#This Row],[Valor da Venda]]</f>
        <v>0.12500000000000008</v>
      </c>
      <c r="L3100" s="3">
        <f>_xlfn.IFS(Vendas[[#This Row],[Margem de Lucro (%)]]&lt;15%,Vendas[[#This Row],[Valor da Venda]]*3%,Vendas[[#This Row],[Margem de Lucro (%)]]&lt;=20%,Vendas[[#This Row],[Valor da Venda]]*4.5%,TRUE,Vendas[[#This Row],[Valor da Venda]]*6%)</f>
        <v>17.568000000000001</v>
      </c>
      <c r="M3100"/>
    </row>
    <row r="3101" spans="1:13" x14ac:dyDescent="0.3">
      <c r="A3101" s="7">
        <v>400245</v>
      </c>
      <c r="B3101" t="str">
        <f>_xlfn.XLOOKUP(Vendas[[#This Row],[ID Vendedor]],Vendedores[ID],Vendedores[Nome])</f>
        <v>Thiago</v>
      </c>
      <c r="C3101" s="7" t="str">
        <f>_xlfn.XLOOKUP(Vendas[[#This Row],[ID Vendedor]],Vendedores[ID],Vendedores[Setor])</f>
        <v>AHD</v>
      </c>
      <c r="D3101" s="7" t="s">
        <v>44</v>
      </c>
      <c r="E3101" t="str">
        <f>_xlfn.XLOOKUP(Vendas[[#This Row],[ID Item Vendido]],Agregado[ID],Agregado[Produto])</f>
        <v>Liga metálica especial</v>
      </c>
      <c r="F3101" s="39">
        <v>45289</v>
      </c>
      <c r="G3101" s="7">
        <v>29</v>
      </c>
      <c r="H3101" s="3">
        <f>_xlfn.XLOOKUP(Vendas[[#This Row],[ID Item Vendido]],Agregado[ID],Agregado[Revenda])</f>
        <v>32.5</v>
      </c>
      <c r="I3101" s="3">
        <f>Vendas[[#This Row],[Valor Unitário]]*Vendas[[#This Row],[Qnt Vendida]]</f>
        <v>942.5</v>
      </c>
      <c r="J3101" s="3">
        <f>Vendas[[#This Row],[Valor da Venda]]-(_xlfn.XLOOKUP(Vendas[[#This Row],[ID Item Vendido]],Agregado[ID],Agregado[Custo])*Vendas[[#This Row],[Qnt Vendida]])</f>
        <v>217.5</v>
      </c>
      <c r="K3101" s="70">
        <f>Vendas[[#This Row],[Lucro da Venda]]/Vendas[[#This Row],[Valor da Venda]]</f>
        <v>0.23076923076923078</v>
      </c>
      <c r="L3101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3101"/>
    </row>
    <row r="3102" spans="1:13" x14ac:dyDescent="0.3">
      <c r="A3102" s="7">
        <v>400253</v>
      </c>
      <c r="B3102" t="str">
        <f>_xlfn.XLOOKUP(Vendas[[#This Row],[ID Vendedor]],Vendedores[ID],Vendedores[Nome])</f>
        <v>Gustavo</v>
      </c>
      <c r="C3102" s="7" t="str">
        <f>_xlfn.XLOOKUP(Vendas[[#This Row],[ID Vendedor]],Vendedores[ID],Vendedores[Setor])</f>
        <v>SC</v>
      </c>
      <c r="D3102" s="7" t="s">
        <v>42</v>
      </c>
      <c r="E3102" t="str">
        <f>_xlfn.XLOOKUP(Vendas[[#This Row],[ID Item Vendido]],Agregado[ID],Agregado[Produto])</f>
        <v>Container de ferro industrial</v>
      </c>
      <c r="F3102" s="39">
        <v>45292</v>
      </c>
      <c r="G3102" s="7">
        <v>2</v>
      </c>
      <c r="H3102" s="3">
        <f>_xlfn.XLOOKUP(Vendas[[#This Row],[ID Item Vendido]],Agregado[ID],Agregado[Revenda])</f>
        <v>830</v>
      </c>
      <c r="I3102" s="3">
        <f>Vendas[[#This Row],[Valor Unitário]]*Vendas[[#This Row],[Qnt Vendida]]</f>
        <v>1660</v>
      </c>
      <c r="J3102" s="3">
        <f>Vendas[[#This Row],[Valor da Venda]]-(_xlfn.XLOOKUP(Vendas[[#This Row],[ID Item Vendido]],Agregado[ID],Agregado[Custo])*Vendas[[#This Row],[Qnt Vendida]])</f>
        <v>300</v>
      </c>
      <c r="K3102" s="70">
        <f>Vendas[[#This Row],[Lucro da Venda]]/Vendas[[#This Row],[Valor da Venda]]</f>
        <v>0.18072289156626506</v>
      </c>
      <c r="L310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102"/>
    </row>
    <row r="3103" spans="1:13" x14ac:dyDescent="0.3">
      <c r="A3103" s="7">
        <v>400241</v>
      </c>
      <c r="B3103" t="str">
        <f>_xlfn.XLOOKUP(Vendas[[#This Row],[ID Vendedor]],Vendedores[ID],Vendedores[Nome])</f>
        <v>Rodrigo</v>
      </c>
      <c r="C3103" s="7" t="str">
        <f>_xlfn.XLOOKUP(Vendas[[#This Row],[ID Vendedor]],Vendedores[ID],Vendedores[Setor])</f>
        <v>FM</v>
      </c>
      <c r="D3103" s="7" t="s">
        <v>31</v>
      </c>
      <c r="E3103" t="str">
        <f>_xlfn.XLOOKUP(Vendas[[#This Row],[ID Item Vendido]],Agregado[ID],Agregado[Produto])</f>
        <v>Tela de metal soldada rolo 2x25m</v>
      </c>
      <c r="F3103" s="39">
        <v>45292</v>
      </c>
      <c r="G3103" s="7">
        <v>13</v>
      </c>
      <c r="H3103" s="3">
        <f>_xlfn.XLOOKUP(Vendas[[#This Row],[ID Item Vendido]],Agregado[ID],Agregado[Revenda])</f>
        <v>43.7</v>
      </c>
      <c r="I3103" s="3">
        <f>Vendas[[#This Row],[Valor Unitário]]*Vendas[[#This Row],[Qnt Vendida]]</f>
        <v>568.1</v>
      </c>
      <c r="J3103" s="3">
        <f>Vendas[[#This Row],[Valor da Venda]]-(_xlfn.XLOOKUP(Vendas[[#This Row],[ID Item Vendido]],Agregado[ID],Agregado[Custo])*Vendas[[#This Row],[Qnt Vendida]])</f>
        <v>74.100000000000023</v>
      </c>
      <c r="K3103" s="70">
        <f>Vendas[[#This Row],[Lucro da Venda]]/Vendas[[#This Row],[Valor da Venda]]</f>
        <v>0.13043478260869568</v>
      </c>
      <c r="L3103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3103"/>
    </row>
    <row r="3104" spans="1:13" x14ac:dyDescent="0.3">
      <c r="A3104" s="7">
        <v>400244</v>
      </c>
      <c r="B3104" t="str">
        <f>_xlfn.XLOOKUP(Vendas[[#This Row],[ID Vendedor]],Vendedores[ID],Vendedores[Nome])</f>
        <v>Camila</v>
      </c>
      <c r="C3104" s="7" t="str">
        <f>_xlfn.XLOOKUP(Vendas[[#This Row],[ID Vendedor]],Vendedores[ID],Vendedores[Setor])</f>
        <v>AHD</v>
      </c>
      <c r="D3104" s="7" t="s">
        <v>44</v>
      </c>
      <c r="E3104" t="str">
        <f>_xlfn.XLOOKUP(Vendas[[#This Row],[ID Item Vendido]],Agregado[ID],Agregado[Produto])</f>
        <v>Liga metálica especial</v>
      </c>
      <c r="F3104" s="39">
        <v>45292</v>
      </c>
      <c r="G3104" s="7">
        <v>10</v>
      </c>
      <c r="H3104" s="3">
        <f>_xlfn.XLOOKUP(Vendas[[#This Row],[ID Item Vendido]],Agregado[ID],Agregado[Revenda])</f>
        <v>32.5</v>
      </c>
      <c r="I3104" s="3">
        <f>Vendas[[#This Row],[Valor Unitário]]*Vendas[[#This Row],[Qnt Vendida]]</f>
        <v>325</v>
      </c>
      <c r="J3104" s="3">
        <f>Vendas[[#This Row],[Valor da Venda]]-(_xlfn.XLOOKUP(Vendas[[#This Row],[ID Item Vendido]],Agregado[ID],Agregado[Custo])*Vendas[[#This Row],[Qnt Vendida]])</f>
        <v>75</v>
      </c>
      <c r="K3104" s="70">
        <f>Vendas[[#This Row],[Lucro da Venda]]/Vendas[[#This Row],[Valor da Venda]]</f>
        <v>0.23076923076923078</v>
      </c>
      <c r="L3104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3104"/>
    </row>
    <row r="3105" spans="1:13" x14ac:dyDescent="0.3">
      <c r="A3105" s="7">
        <v>400253</v>
      </c>
      <c r="B3105" t="str">
        <f>_xlfn.XLOOKUP(Vendas[[#This Row],[ID Vendedor]],Vendedores[ID],Vendedores[Nome])</f>
        <v>Gustavo</v>
      </c>
      <c r="C3105" s="7" t="str">
        <f>_xlfn.XLOOKUP(Vendas[[#This Row],[ID Vendedor]],Vendedores[ID],Vendedores[Setor])</f>
        <v>SC</v>
      </c>
      <c r="D3105" s="7" t="s">
        <v>14</v>
      </c>
      <c r="E3105" t="str">
        <f>_xlfn.XLOOKUP(Vendas[[#This Row],[ID Item Vendido]],Agregado[ID],Agregado[Produto])</f>
        <v>Barril de plástico 200L</v>
      </c>
      <c r="F3105" s="39">
        <v>45293</v>
      </c>
      <c r="G3105" s="7">
        <v>4</v>
      </c>
      <c r="H3105" s="3">
        <f>_xlfn.XLOOKUP(Vendas[[#This Row],[ID Item Vendido]],Agregado[ID],Agregado[Revenda])</f>
        <v>114</v>
      </c>
      <c r="I3105" s="3">
        <f>Vendas[[#This Row],[Valor Unitário]]*Vendas[[#This Row],[Qnt Vendida]]</f>
        <v>456</v>
      </c>
      <c r="J3105" s="3">
        <f>Vendas[[#This Row],[Valor da Venda]]-(_xlfn.XLOOKUP(Vendas[[#This Row],[ID Item Vendido]],Agregado[ID],Agregado[Custo])*Vendas[[#This Row],[Qnt Vendida]])</f>
        <v>76</v>
      </c>
      <c r="K3105" s="70">
        <f>Vendas[[#This Row],[Lucro da Venda]]/Vendas[[#This Row],[Valor da Venda]]</f>
        <v>0.16666666666666666</v>
      </c>
      <c r="L3105" s="3">
        <f>_xlfn.IFS(Vendas[[#This Row],[Margem de Lucro (%)]]&lt;15%,Vendas[[#This Row],[Valor da Venda]]*3%,Vendas[[#This Row],[Margem de Lucro (%)]]&lt;=20%,Vendas[[#This Row],[Valor da Venda]]*4.5%,TRUE,Vendas[[#This Row],[Valor da Venda]]*6%)</f>
        <v>20.52</v>
      </c>
      <c r="M3105"/>
    </row>
    <row r="3106" spans="1:13" x14ac:dyDescent="0.3">
      <c r="A3106" s="7">
        <v>400242</v>
      </c>
      <c r="B3106" t="str">
        <f>_xlfn.XLOOKUP(Vendas[[#This Row],[ID Vendedor]],Vendedores[ID],Vendedores[Nome])</f>
        <v>Fernanda</v>
      </c>
      <c r="C3106" s="7" t="str">
        <f>_xlfn.XLOOKUP(Vendas[[#This Row],[ID Vendedor]],Vendedores[ID],Vendedores[Setor])</f>
        <v>FM</v>
      </c>
      <c r="D3106" s="7" t="s">
        <v>6</v>
      </c>
      <c r="E3106" t="str">
        <f>_xlfn.XLOOKUP(Vendas[[#This Row],[ID Item Vendido]],Agregado[ID],Agregado[Produto])</f>
        <v>Parafuso comum 500un</v>
      </c>
      <c r="F3106" s="39">
        <v>45293</v>
      </c>
      <c r="G3106" s="7">
        <v>16</v>
      </c>
      <c r="H3106" s="3">
        <f>_xlfn.XLOOKUP(Vendas[[#This Row],[ID Item Vendido]],Agregado[ID],Agregado[Revenda])</f>
        <v>24.6</v>
      </c>
      <c r="I3106" s="3">
        <f>Vendas[[#This Row],[Valor Unitário]]*Vendas[[#This Row],[Qnt Vendida]]</f>
        <v>393.6</v>
      </c>
      <c r="J3106" s="3">
        <f>Vendas[[#This Row],[Valor da Venda]]-(_xlfn.XLOOKUP(Vendas[[#This Row],[ID Item Vendido]],Agregado[ID],Agregado[Custo])*Vendas[[#This Row],[Qnt Vendida]])</f>
        <v>41.600000000000023</v>
      </c>
      <c r="K3106" s="70">
        <f>Vendas[[#This Row],[Lucro da Venda]]/Vendas[[#This Row],[Valor da Venda]]</f>
        <v>0.10569105691056915</v>
      </c>
      <c r="L3106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3106"/>
    </row>
    <row r="3107" spans="1:13" x14ac:dyDescent="0.3">
      <c r="A3107" s="7">
        <v>400250</v>
      </c>
      <c r="B3107" t="str">
        <f>_xlfn.XLOOKUP(Vendas[[#This Row],[ID Vendedor]],Vendedores[ID],Vendedores[Nome])</f>
        <v>Larissa</v>
      </c>
      <c r="C3107" s="7" t="str">
        <f>_xlfn.XLOOKUP(Vendas[[#This Row],[ID Vendedor]],Vendedores[ID],Vendedores[Setor])</f>
        <v>AB</v>
      </c>
      <c r="D3107" s="7" t="s">
        <v>12</v>
      </c>
      <c r="E3107" t="str">
        <f>_xlfn.XLOOKUP(Vendas[[#This Row],[ID Item Vendido]],Agregado[ID],Agregado[Produto])</f>
        <v>Grânulo de plástico reciclado refinado</v>
      </c>
      <c r="F3107" s="39">
        <v>45293</v>
      </c>
      <c r="G3107" s="7">
        <v>59</v>
      </c>
      <c r="H3107" s="3">
        <f>_xlfn.XLOOKUP(Vendas[[#This Row],[ID Item Vendido]],Agregado[ID],Agregado[Revenda])</f>
        <v>4.7</v>
      </c>
      <c r="I3107" s="3">
        <f>Vendas[[#This Row],[Valor Unitário]]*Vendas[[#This Row],[Qnt Vendida]]</f>
        <v>277.3</v>
      </c>
      <c r="J3107" s="3">
        <f>Vendas[[#This Row],[Valor da Venda]]-(_xlfn.XLOOKUP(Vendas[[#This Row],[ID Item Vendido]],Agregado[ID],Agregado[Custo])*Vendas[[#This Row],[Qnt Vendida]])</f>
        <v>70.800000000000011</v>
      </c>
      <c r="K3107" s="70">
        <f>Vendas[[#This Row],[Lucro da Venda]]/Vendas[[#This Row],[Valor da Venda]]</f>
        <v>0.25531914893617025</v>
      </c>
      <c r="L3107" s="3">
        <f>_xlfn.IFS(Vendas[[#This Row],[Margem de Lucro (%)]]&lt;15%,Vendas[[#This Row],[Valor da Venda]]*3%,Vendas[[#This Row],[Margem de Lucro (%)]]&lt;=20%,Vendas[[#This Row],[Valor da Venda]]*4.5%,TRUE,Vendas[[#This Row],[Valor da Venda]]*6%)</f>
        <v>16.638000000000002</v>
      </c>
      <c r="M3107"/>
    </row>
    <row r="3108" spans="1:13" x14ac:dyDescent="0.3">
      <c r="A3108" s="7">
        <v>400255</v>
      </c>
      <c r="B3108" t="str">
        <f>_xlfn.XLOOKUP(Vendas[[#This Row],[ID Vendedor]],Vendedores[ID],Vendedores[Nome])</f>
        <v>Carlos</v>
      </c>
      <c r="C3108" s="7" t="str">
        <f>_xlfn.XLOOKUP(Vendas[[#This Row],[ID Vendedor]],Vendedores[ID],Vendedores[Setor])</f>
        <v>SC</v>
      </c>
      <c r="D3108" s="7" t="s">
        <v>14</v>
      </c>
      <c r="E3108" t="str">
        <f>_xlfn.XLOOKUP(Vendas[[#This Row],[ID Item Vendido]],Agregado[ID],Agregado[Produto])</f>
        <v>Barril de plástico 200L</v>
      </c>
      <c r="F3108" s="39">
        <v>45294</v>
      </c>
      <c r="G3108" s="7">
        <v>19</v>
      </c>
      <c r="H3108" s="3">
        <f>_xlfn.XLOOKUP(Vendas[[#This Row],[ID Item Vendido]],Agregado[ID],Agregado[Revenda])</f>
        <v>114</v>
      </c>
      <c r="I3108" s="3">
        <f>Vendas[[#This Row],[Valor Unitário]]*Vendas[[#This Row],[Qnt Vendida]]</f>
        <v>2166</v>
      </c>
      <c r="J3108" s="3">
        <f>Vendas[[#This Row],[Valor da Venda]]-(_xlfn.XLOOKUP(Vendas[[#This Row],[ID Item Vendido]],Agregado[ID],Agregado[Custo])*Vendas[[#This Row],[Qnt Vendida]])</f>
        <v>361</v>
      </c>
      <c r="K3108" s="70">
        <f>Vendas[[#This Row],[Lucro da Venda]]/Vendas[[#This Row],[Valor da Venda]]</f>
        <v>0.16666666666666666</v>
      </c>
      <c r="L3108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3108"/>
    </row>
    <row r="3109" spans="1:13" x14ac:dyDescent="0.3">
      <c r="A3109" s="7">
        <v>400254</v>
      </c>
      <c r="B3109" t="str">
        <f>_xlfn.XLOOKUP(Vendas[[#This Row],[ID Vendedor]],Vendedores[ID],Vendedores[Nome])</f>
        <v>Beatriz</v>
      </c>
      <c r="C3109" s="7" t="str">
        <f>_xlfn.XLOOKUP(Vendas[[#This Row],[ID Vendedor]],Vendedores[ID],Vendedores[Setor])</f>
        <v>SC</v>
      </c>
      <c r="D3109" s="7" t="s">
        <v>42</v>
      </c>
      <c r="E3109" t="str">
        <f>_xlfn.XLOOKUP(Vendas[[#This Row],[ID Item Vendido]],Agregado[ID],Agregado[Produto])</f>
        <v>Container de ferro industrial</v>
      </c>
      <c r="F3109" s="39">
        <v>45295</v>
      </c>
      <c r="G3109" s="7">
        <v>6</v>
      </c>
      <c r="H3109" s="3">
        <f>_xlfn.XLOOKUP(Vendas[[#This Row],[ID Item Vendido]],Agregado[ID],Agregado[Revenda])</f>
        <v>830</v>
      </c>
      <c r="I3109" s="3">
        <f>Vendas[[#This Row],[Valor Unitário]]*Vendas[[#This Row],[Qnt Vendida]]</f>
        <v>4980</v>
      </c>
      <c r="J3109" s="3">
        <f>Vendas[[#This Row],[Valor da Venda]]-(_xlfn.XLOOKUP(Vendas[[#This Row],[ID Item Vendido]],Agregado[ID],Agregado[Custo])*Vendas[[#This Row],[Qnt Vendida]])</f>
        <v>900</v>
      </c>
      <c r="K3109" s="70">
        <f>Vendas[[#This Row],[Lucro da Venda]]/Vendas[[#This Row],[Valor da Venda]]</f>
        <v>0.18072289156626506</v>
      </c>
      <c r="L3109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109"/>
    </row>
    <row r="3110" spans="1:13" x14ac:dyDescent="0.3">
      <c r="A3110" s="7">
        <v>400250</v>
      </c>
      <c r="B3110" t="str">
        <f>_xlfn.XLOOKUP(Vendas[[#This Row],[ID Vendedor]],Vendedores[ID],Vendedores[Nome])</f>
        <v>Larissa</v>
      </c>
      <c r="C3110" s="7" t="str">
        <f>_xlfn.XLOOKUP(Vendas[[#This Row],[ID Vendedor]],Vendedores[ID],Vendedores[Setor])</f>
        <v>AB</v>
      </c>
      <c r="D3110" s="7" t="s">
        <v>36</v>
      </c>
      <c r="E3110" t="str">
        <f>_xlfn.XLOOKUP(Vendas[[#This Row],[ID Item Vendido]],Agregado[ID],Agregado[Produto])</f>
        <v>Borracha vulcanizada em manta</v>
      </c>
      <c r="F3110" s="39">
        <v>45295</v>
      </c>
      <c r="G3110" s="7">
        <v>73</v>
      </c>
      <c r="H3110" s="3">
        <f>_xlfn.XLOOKUP(Vendas[[#This Row],[ID Item Vendido]],Agregado[ID],Agregado[Revenda])</f>
        <v>7.8</v>
      </c>
      <c r="I3110" s="3">
        <f>Vendas[[#This Row],[Valor Unitário]]*Vendas[[#This Row],[Qnt Vendida]]</f>
        <v>569.4</v>
      </c>
      <c r="J3110" s="3">
        <f>Vendas[[#This Row],[Valor da Venda]]-(_xlfn.XLOOKUP(Vendas[[#This Row],[ID Item Vendido]],Agregado[ID],Agregado[Custo])*Vendas[[#This Row],[Qnt Vendida]])</f>
        <v>131.39999999999998</v>
      </c>
      <c r="K3110" s="70">
        <f>Vendas[[#This Row],[Lucro da Venda]]/Vendas[[#This Row],[Valor da Venda]]</f>
        <v>0.23076923076923073</v>
      </c>
      <c r="L3110" s="3">
        <f>_xlfn.IFS(Vendas[[#This Row],[Margem de Lucro (%)]]&lt;15%,Vendas[[#This Row],[Valor da Venda]]*3%,Vendas[[#This Row],[Margem de Lucro (%)]]&lt;=20%,Vendas[[#This Row],[Valor da Venda]]*4.5%,TRUE,Vendas[[#This Row],[Valor da Venda]]*6%)</f>
        <v>34.163999999999994</v>
      </c>
      <c r="M3110"/>
    </row>
    <row r="3111" spans="1:13" x14ac:dyDescent="0.3">
      <c r="A3111" s="7">
        <v>400242</v>
      </c>
      <c r="B3111" t="str">
        <f>_xlfn.XLOOKUP(Vendas[[#This Row],[ID Vendedor]],Vendedores[ID],Vendedores[Nome])</f>
        <v>Fernanda</v>
      </c>
      <c r="C3111" s="7" t="str">
        <f>_xlfn.XLOOKUP(Vendas[[#This Row],[ID Vendedor]],Vendedores[ID],Vendedores[Setor])</f>
        <v>FM</v>
      </c>
      <c r="D3111" s="7" t="s">
        <v>20</v>
      </c>
      <c r="E3111" t="str">
        <f>_xlfn.XLOOKUP(Vendas[[#This Row],[ID Item Vendido]],Agregado[ID],Agregado[Produto])</f>
        <v>Barra de aço simples</v>
      </c>
      <c r="F3111" s="39">
        <v>45295</v>
      </c>
      <c r="G3111" s="7">
        <v>117</v>
      </c>
      <c r="H3111" s="3">
        <f>_xlfn.XLOOKUP(Vendas[[#This Row],[ID Item Vendido]],Agregado[ID],Agregado[Revenda])</f>
        <v>4.8</v>
      </c>
      <c r="I3111" s="3">
        <f>Vendas[[#This Row],[Valor Unitário]]*Vendas[[#This Row],[Qnt Vendida]]</f>
        <v>561.6</v>
      </c>
      <c r="J3111" s="3">
        <f>Vendas[[#This Row],[Valor da Venda]]-(_xlfn.XLOOKUP(Vendas[[#This Row],[ID Item Vendido]],Agregado[ID],Agregado[Custo])*Vendas[[#This Row],[Qnt Vendida]])</f>
        <v>70.199999999999989</v>
      </c>
      <c r="K3111" s="70">
        <f>Vendas[[#This Row],[Lucro da Venda]]/Vendas[[#This Row],[Valor da Venda]]</f>
        <v>0.12499999999999997</v>
      </c>
      <c r="L3111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3111"/>
    </row>
    <row r="3112" spans="1:13" x14ac:dyDescent="0.3">
      <c r="A3112" s="7">
        <v>400254</v>
      </c>
      <c r="B3112" t="str">
        <f>_xlfn.XLOOKUP(Vendas[[#This Row],[ID Vendedor]],Vendedores[ID],Vendedores[Nome])</f>
        <v>Beatriz</v>
      </c>
      <c r="C3112" s="7" t="str">
        <f>_xlfn.XLOOKUP(Vendas[[#This Row],[ID Vendedor]],Vendedores[ID],Vendedores[Setor])</f>
        <v>SC</v>
      </c>
      <c r="D3112" s="7" t="s">
        <v>48</v>
      </c>
      <c r="E3112" t="str">
        <f>_xlfn.XLOOKUP(Vendas[[#This Row],[ID Item Vendido]],Agregado[ID],Agregado[Produto])</f>
        <v>Tambor metálico 200L</v>
      </c>
      <c r="F3112" s="39">
        <v>45296</v>
      </c>
      <c r="G3112" s="7">
        <v>11</v>
      </c>
      <c r="H3112" s="3">
        <f>_xlfn.XLOOKUP(Vendas[[#This Row],[ID Item Vendido]],Agregado[ID],Agregado[Revenda])</f>
        <v>144</v>
      </c>
      <c r="I3112" s="3">
        <f>Vendas[[#This Row],[Valor Unitário]]*Vendas[[#This Row],[Qnt Vendida]]</f>
        <v>1584</v>
      </c>
      <c r="J3112" s="3">
        <f>Vendas[[#This Row],[Valor da Venda]]-(_xlfn.XLOOKUP(Vendas[[#This Row],[ID Item Vendido]],Agregado[ID],Agregado[Custo])*Vendas[[#This Row],[Qnt Vendida]])</f>
        <v>264</v>
      </c>
      <c r="K3112" s="70">
        <f>Vendas[[#This Row],[Lucro da Venda]]/Vendas[[#This Row],[Valor da Venda]]</f>
        <v>0.16666666666666666</v>
      </c>
      <c r="L3112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112"/>
    </row>
    <row r="3113" spans="1:13" x14ac:dyDescent="0.3">
      <c r="A3113" s="7">
        <v>400241</v>
      </c>
      <c r="B3113" t="str">
        <f>_xlfn.XLOOKUP(Vendas[[#This Row],[ID Vendedor]],Vendedores[ID],Vendedores[Nome])</f>
        <v>Rodrigo</v>
      </c>
      <c r="C3113" s="7" t="str">
        <f>_xlfn.XLOOKUP(Vendas[[#This Row],[ID Vendedor]],Vendedores[ID],Vendedores[Setor])</f>
        <v>FM</v>
      </c>
      <c r="D3113" s="7" t="s">
        <v>27</v>
      </c>
      <c r="E3113" t="str">
        <f>_xlfn.XLOOKUP(Vendas[[#This Row],[ID Item Vendido]],Agregado[ID],Agregado[Produto])</f>
        <v>Chapa de metal lisa 1x2m</v>
      </c>
      <c r="F3113" s="39">
        <v>45296</v>
      </c>
      <c r="G3113" s="7">
        <v>20</v>
      </c>
      <c r="H3113" s="3">
        <f>_xlfn.XLOOKUP(Vendas[[#This Row],[ID Item Vendido]],Agregado[ID],Agregado[Revenda])</f>
        <v>52</v>
      </c>
      <c r="I3113" s="3">
        <f>Vendas[[#This Row],[Valor Unitário]]*Vendas[[#This Row],[Qnt Vendida]]</f>
        <v>1040</v>
      </c>
      <c r="J3113" s="3">
        <f>Vendas[[#This Row],[Valor da Venda]]-(_xlfn.XLOOKUP(Vendas[[#This Row],[ID Item Vendido]],Agregado[ID],Agregado[Custo])*Vendas[[#This Row],[Qnt Vendida]])</f>
        <v>140</v>
      </c>
      <c r="K3113" s="70">
        <f>Vendas[[#This Row],[Lucro da Venda]]/Vendas[[#This Row],[Valor da Venda]]</f>
        <v>0.13461538461538461</v>
      </c>
      <c r="L3113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3113"/>
    </row>
    <row r="3114" spans="1:13" x14ac:dyDescent="0.3">
      <c r="A3114" s="7">
        <v>400241</v>
      </c>
      <c r="B3114" t="str">
        <f>_xlfn.XLOOKUP(Vendas[[#This Row],[ID Vendedor]],Vendedores[ID],Vendedores[Nome])</f>
        <v>Rodrigo</v>
      </c>
      <c r="C3114" s="7" t="str">
        <f>_xlfn.XLOOKUP(Vendas[[#This Row],[ID Vendedor]],Vendedores[ID],Vendedores[Setor])</f>
        <v>FM</v>
      </c>
      <c r="D3114" s="7" t="s">
        <v>31</v>
      </c>
      <c r="E3114" t="str">
        <f>_xlfn.XLOOKUP(Vendas[[#This Row],[ID Item Vendido]],Agregado[ID],Agregado[Produto])</f>
        <v>Tela de metal soldada rolo 2x25m</v>
      </c>
      <c r="F3114" s="39">
        <v>45296</v>
      </c>
      <c r="G3114" s="7">
        <v>17</v>
      </c>
      <c r="H3114" s="3">
        <f>_xlfn.XLOOKUP(Vendas[[#This Row],[ID Item Vendido]],Agregado[ID],Agregado[Revenda])</f>
        <v>43.7</v>
      </c>
      <c r="I3114" s="3">
        <f>Vendas[[#This Row],[Valor Unitário]]*Vendas[[#This Row],[Qnt Vendida]]</f>
        <v>742.90000000000009</v>
      </c>
      <c r="J3114" s="3">
        <f>Vendas[[#This Row],[Valor da Venda]]-(_xlfn.XLOOKUP(Vendas[[#This Row],[ID Item Vendido]],Agregado[ID],Agregado[Custo])*Vendas[[#This Row],[Qnt Vendida]])</f>
        <v>96.900000000000091</v>
      </c>
      <c r="K3114" s="70">
        <f>Vendas[[#This Row],[Lucro da Venda]]/Vendas[[#This Row],[Valor da Venda]]</f>
        <v>0.13043478260869576</v>
      </c>
      <c r="L3114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3114"/>
    </row>
    <row r="3115" spans="1:13" x14ac:dyDescent="0.3">
      <c r="A3115" s="7">
        <v>400246</v>
      </c>
      <c r="B3115" t="str">
        <f>_xlfn.XLOOKUP(Vendas[[#This Row],[ID Vendedor]],Vendedores[ID],Vendedores[Nome])</f>
        <v>Juliana</v>
      </c>
      <c r="C3115" s="7" t="str">
        <f>_xlfn.XLOOKUP(Vendas[[#This Row],[ID Vendedor]],Vendedores[ID],Vendedores[Setor])</f>
        <v>AHD</v>
      </c>
      <c r="D3115" s="7" t="s">
        <v>28</v>
      </c>
      <c r="E3115" t="str">
        <f>_xlfn.XLOOKUP(Vendas[[#This Row],[ID Item Vendido]],Agregado[ID],Agregado[Produto])</f>
        <v>Peça usinada CNC</v>
      </c>
      <c r="F3115" s="39">
        <v>45297</v>
      </c>
      <c r="G3115" s="7">
        <v>11</v>
      </c>
      <c r="H3115" s="3">
        <f>_xlfn.XLOOKUP(Vendas[[#This Row],[ID Item Vendido]],Agregado[ID],Agregado[Revenda])</f>
        <v>192</v>
      </c>
      <c r="I3115" s="3">
        <f>Vendas[[#This Row],[Valor Unitário]]*Vendas[[#This Row],[Qnt Vendida]]</f>
        <v>2112</v>
      </c>
      <c r="J3115" s="3">
        <f>Vendas[[#This Row],[Valor da Venda]]-(_xlfn.XLOOKUP(Vendas[[#This Row],[ID Item Vendido]],Agregado[ID],Agregado[Custo])*Vendas[[#This Row],[Qnt Vendida]])</f>
        <v>462</v>
      </c>
      <c r="K3115" s="70">
        <f>Vendas[[#This Row],[Lucro da Venda]]/Vendas[[#This Row],[Valor da Venda]]</f>
        <v>0.21875</v>
      </c>
      <c r="L3115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3115"/>
    </row>
    <row r="3116" spans="1:13" x14ac:dyDescent="0.3">
      <c r="A3116" s="7">
        <v>400246</v>
      </c>
      <c r="B3116" t="str">
        <f>_xlfn.XLOOKUP(Vendas[[#This Row],[ID Vendedor]],Vendedores[ID],Vendedores[Nome])</f>
        <v>Juliana</v>
      </c>
      <c r="C3116" s="7" t="str">
        <f>_xlfn.XLOOKUP(Vendas[[#This Row],[ID Vendedor]],Vendedores[ID],Vendedores[Setor])</f>
        <v>AHD</v>
      </c>
      <c r="D3116" s="7" t="s">
        <v>44</v>
      </c>
      <c r="E3116" t="str">
        <f>_xlfn.XLOOKUP(Vendas[[#This Row],[ID Item Vendido]],Agregado[ID],Agregado[Produto])</f>
        <v>Liga metálica especial</v>
      </c>
      <c r="F3116" s="39">
        <v>45297</v>
      </c>
      <c r="G3116" s="7">
        <v>59</v>
      </c>
      <c r="H3116" s="3">
        <f>_xlfn.XLOOKUP(Vendas[[#This Row],[ID Item Vendido]],Agregado[ID],Agregado[Revenda])</f>
        <v>32.5</v>
      </c>
      <c r="I3116" s="3">
        <f>Vendas[[#This Row],[Valor Unitário]]*Vendas[[#This Row],[Qnt Vendida]]</f>
        <v>1917.5</v>
      </c>
      <c r="J3116" s="3">
        <f>Vendas[[#This Row],[Valor da Venda]]-(_xlfn.XLOOKUP(Vendas[[#This Row],[ID Item Vendido]],Agregado[ID],Agregado[Custo])*Vendas[[#This Row],[Qnt Vendida]])</f>
        <v>442.5</v>
      </c>
      <c r="K3116" s="70">
        <f>Vendas[[#This Row],[Lucro da Venda]]/Vendas[[#This Row],[Valor da Venda]]</f>
        <v>0.23076923076923078</v>
      </c>
      <c r="L3116" s="3">
        <f>_xlfn.IFS(Vendas[[#This Row],[Margem de Lucro (%)]]&lt;15%,Vendas[[#This Row],[Valor da Venda]]*3%,Vendas[[#This Row],[Margem de Lucro (%)]]&lt;=20%,Vendas[[#This Row],[Valor da Venda]]*4.5%,TRUE,Vendas[[#This Row],[Valor da Venda]]*6%)</f>
        <v>115.05</v>
      </c>
      <c r="M3116"/>
    </row>
    <row r="3117" spans="1:13" x14ac:dyDescent="0.3">
      <c r="A3117" s="7">
        <v>400244</v>
      </c>
      <c r="B3117" t="str">
        <f>_xlfn.XLOOKUP(Vendas[[#This Row],[ID Vendedor]],Vendedores[ID],Vendedores[Nome])</f>
        <v>Camila</v>
      </c>
      <c r="C3117" s="7" t="str">
        <f>_xlfn.XLOOKUP(Vendas[[#This Row],[ID Vendedor]],Vendedores[ID],Vendedores[Setor])</f>
        <v>AHD</v>
      </c>
      <c r="D3117" s="7" t="s">
        <v>44</v>
      </c>
      <c r="E3117" t="str">
        <f>_xlfn.XLOOKUP(Vendas[[#This Row],[ID Item Vendido]],Agregado[ID],Agregado[Produto])</f>
        <v>Liga metálica especial</v>
      </c>
      <c r="F3117" s="39">
        <v>45297</v>
      </c>
      <c r="G3117" s="7">
        <v>44</v>
      </c>
      <c r="H3117" s="3">
        <f>_xlfn.XLOOKUP(Vendas[[#This Row],[ID Item Vendido]],Agregado[ID],Agregado[Revenda])</f>
        <v>32.5</v>
      </c>
      <c r="I3117" s="3">
        <f>Vendas[[#This Row],[Valor Unitário]]*Vendas[[#This Row],[Qnt Vendida]]</f>
        <v>1430</v>
      </c>
      <c r="J3117" s="3">
        <f>Vendas[[#This Row],[Valor da Venda]]-(_xlfn.XLOOKUP(Vendas[[#This Row],[ID Item Vendido]],Agregado[ID],Agregado[Custo])*Vendas[[#This Row],[Qnt Vendida]])</f>
        <v>330</v>
      </c>
      <c r="K3117" s="70">
        <f>Vendas[[#This Row],[Lucro da Venda]]/Vendas[[#This Row],[Valor da Venda]]</f>
        <v>0.23076923076923078</v>
      </c>
      <c r="L3117" s="3">
        <f>_xlfn.IFS(Vendas[[#This Row],[Margem de Lucro (%)]]&lt;15%,Vendas[[#This Row],[Valor da Venda]]*3%,Vendas[[#This Row],[Margem de Lucro (%)]]&lt;=20%,Vendas[[#This Row],[Valor da Venda]]*4.5%,TRUE,Vendas[[#This Row],[Valor da Venda]]*6%)</f>
        <v>85.8</v>
      </c>
      <c r="M3117"/>
    </row>
    <row r="3118" spans="1:13" x14ac:dyDescent="0.3">
      <c r="A3118" s="7">
        <v>400242</v>
      </c>
      <c r="B3118" t="str">
        <f>_xlfn.XLOOKUP(Vendas[[#This Row],[ID Vendedor]],Vendedores[ID],Vendedores[Nome])</f>
        <v>Fernanda</v>
      </c>
      <c r="C3118" s="7" t="str">
        <f>_xlfn.XLOOKUP(Vendas[[#This Row],[ID Vendedor]],Vendedores[ID],Vendedores[Setor])</f>
        <v>FM</v>
      </c>
      <c r="D3118" s="7" t="s">
        <v>20</v>
      </c>
      <c r="E3118" t="str">
        <f>_xlfn.XLOOKUP(Vendas[[#This Row],[ID Item Vendido]],Agregado[ID],Agregado[Produto])</f>
        <v>Barra de aço simples</v>
      </c>
      <c r="F3118" s="39">
        <v>45297</v>
      </c>
      <c r="G3118" s="7">
        <v>124</v>
      </c>
      <c r="H3118" s="3">
        <f>_xlfn.XLOOKUP(Vendas[[#This Row],[ID Item Vendido]],Agregado[ID],Agregado[Revenda])</f>
        <v>4.8</v>
      </c>
      <c r="I3118" s="3">
        <f>Vendas[[#This Row],[Valor Unitário]]*Vendas[[#This Row],[Qnt Vendida]]</f>
        <v>595.19999999999993</v>
      </c>
      <c r="J3118" s="3">
        <f>Vendas[[#This Row],[Valor da Venda]]-(_xlfn.XLOOKUP(Vendas[[#This Row],[ID Item Vendido]],Agregado[ID],Agregado[Custo])*Vendas[[#This Row],[Qnt Vendida]])</f>
        <v>74.399999999999864</v>
      </c>
      <c r="K3118" s="70">
        <f>Vendas[[#This Row],[Lucro da Venda]]/Vendas[[#This Row],[Valor da Venda]]</f>
        <v>0.12499999999999979</v>
      </c>
      <c r="L3118" s="3">
        <f>_xlfn.IFS(Vendas[[#This Row],[Margem de Lucro (%)]]&lt;15%,Vendas[[#This Row],[Valor da Venda]]*3%,Vendas[[#This Row],[Margem de Lucro (%)]]&lt;=20%,Vendas[[#This Row],[Valor da Venda]]*4.5%,TRUE,Vendas[[#This Row],[Valor da Venda]]*6%)</f>
        <v>17.855999999999998</v>
      </c>
      <c r="M3118"/>
    </row>
    <row r="3119" spans="1:13" x14ac:dyDescent="0.3">
      <c r="A3119" s="7">
        <v>400248</v>
      </c>
      <c r="B3119" t="str">
        <f>_xlfn.XLOOKUP(Vendas[[#This Row],[ID Vendedor]],Vendedores[ID],Vendedores[Nome])</f>
        <v>Patrícia</v>
      </c>
      <c r="C3119" s="7" t="str">
        <f>_xlfn.XLOOKUP(Vendas[[#This Row],[ID Vendedor]],Vendedores[ID],Vendedores[Setor])</f>
        <v>CM</v>
      </c>
      <c r="D3119" s="7" t="s">
        <v>43</v>
      </c>
      <c r="E3119" t="str">
        <f>_xlfn.XLOOKUP(Vendas[[#This Row],[ID Item Vendido]],Agregado[ID],Agregado[Produto])</f>
        <v>Madeira Bruta (Tora)</v>
      </c>
      <c r="F3119" s="39">
        <v>45297</v>
      </c>
      <c r="G3119" s="7">
        <v>2</v>
      </c>
      <c r="H3119" s="3">
        <f>_xlfn.XLOOKUP(Vendas[[#This Row],[ID Item Vendido]],Agregado[ID],Agregado[Revenda])</f>
        <v>212</v>
      </c>
      <c r="I3119" s="3">
        <f>Vendas[[#This Row],[Valor Unitário]]*Vendas[[#This Row],[Qnt Vendida]]</f>
        <v>424</v>
      </c>
      <c r="J3119" s="3">
        <f>Vendas[[#This Row],[Valor da Venda]]-(_xlfn.XLOOKUP(Vendas[[#This Row],[ID Item Vendido]],Agregado[ID],Agregado[Custo])*Vendas[[#This Row],[Qnt Vendida]])</f>
        <v>64</v>
      </c>
      <c r="K3119" s="70">
        <f>Vendas[[#This Row],[Lucro da Venda]]/Vendas[[#This Row],[Valor da Venda]]</f>
        <v>0.15094339622641509</v>
      </c>
      <c r="L3119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119"/>
    </row>
    <row r="3120" spans="1:13" x14ac:dyDescent="0.3">
      <c r="A3120" s="7">
        <v>400242</v>
      </c>
      <c r="B3120" t="str">
        <f>_xlfn.XLOOKUP(Vendas[[#This Row],[ID Vendedor]],Vendedores[ID],Vendedores[Nome])</f>
        <v>Fernanda</v>
      </c>
      <c r="C3120" s="7" t="str">
        <f>_xlfn.XLOOKUP(Vendas[[#This Row],[ID Vendedor]],Vendedores[ID],Vendedores[Setor])</f>
        <v>FM</v>
      </c>
      <c r="D3120" s="7" t="s">
        <v>6</v>
      </c>
      <c r="E3120" t="str">
        <f>_xlfn.XLOOKUP(Vendas[[#This Row],[ID Item Vendido]],Agregado[ID],Agregado[Produto])</f>
        <v>Parafuso comum 500un</v>
      </c>
      <c r="F3120" s="39">
        <v>45297</v>
      </c>
      <c r="G3120" s="7">
        <v>7</v>
      </c>
      <c r="H3120" s="3">
        <f>_xlfn.XLOOKUP(Vendas[[#This Row],[ID Item Vendido]],Agregado[ID],Agregado[Revenda])</f>
        <v>24.6</v>
      </c>
      <c r="I3120" s="3">
        <f>Vendas[[#This Row],[Valor Unitário]]*Vendas[[#This Row],[Qnt Vendida]]</f>
        <v>172.20000000000002</v>
      </c>
      <c r="J3120" s="3">
        <f>Vendas[[#This Row],[Valor da Venda]]-(_xlfn.XLOOKUP(Vendas[[#This Row],[ID Item Vendido]],Agregado[ID],Agregado[Custo])*Vendas[[#This Row],[Qnt Vendida]])</f>
        <v>18.200000000000017</v>
      </c>
      <c r="K3120" s="70">
        <f>Vendas[[#This Row],[Lucro da Venda]]/Vendas[[#This Row],[Valor da Venda]]</f>
        <v>0.10569105691056919</v>
      </c>
      <c r="L3120" s="3">
        <f>_xlfn.IFS(Vendas[[#This Row],[Margem de Lucro (%)]]&lt;15%,Vendas[[#This Row],[Valor da Venda]]*3%,Vendas[[#This Row],[Margem de Lucro (%)]]&lt;=20%,Vendas[[#This Row],[Valor da Venda]]*4.5%,TRUE,Vendas[[#This Row],[Valor da Venda]]*6%)</f>
        <v>5.1660000000000004</v>
      </c>
      <c r="M3120"/>
    </row>
    <row r="3121" spans="1:13" x14ac:dyDescent="0.3">
      <c r="A3121" s="7">
        <v>400254</v>
      </c>
      <c r="B3121" t="str">
        <f>_xlfn.XLOOKUP(Vendas[[#This Row],[ID Vendedor]],Vendedores[ID],Vendedores[Nome])</f>
        <v>Beatriz</v>
      </c>
      <c r="C3121" s="7" t="str">
        <f>_xlfn.XLOOKUP(Vendas[[#This Row],[ID Vendedor]],Vendedores[ID],Vendedores[Setor])</f>
        <v>SC</v>
      </c>
      <c r="D3121" s="7" t="s">
        <v>41</v>
      </c>
      <c r="E3121" t="str">
        <f>_xlfn.XLOOKUP(Vendas[[#This Row],[ID Item Vendido]],Agregado[ID],Agregado[Produto])</f>
        <v>Palete de madeira reforçado</v>
      </c>
      <c r="F3121" s="39">
        <v>45297</v>
      </c>
      <c r="G3121" s="7">
        <v>1</v>
      </c>
      <c r="H3121" s="3">
        <f>_xlfn.XLOOKUP(Vendas[[#This Row],[ID Item Vendido]],Agregado[ID],Agregado[Revenda])</f>
        <v>131</v>
      </c>
      <c r="I3121" s="3">
        <f>Vendas[[#This Row],[Valor Unitário]]*Vendas[[#This Row],[Qnt Vendida]]</f>
        <v>131</v>
      </c>
      <c r="J3121" s="3">
        <f>Vendas[[#This Row],[Valor da Venda]]-(_xlfn.XLOOKUP(Vendas[[#This Row],[ID Item Vendido]],Agregado[ID],Agregado[Custo])*Vendas[[#This Row],[Qnt Vendida]])</f>
        <v>21</v>
      </c>
      <c r="K3121" s="70">
        <f>Vendas[[#This Row],[Lucro da Venda]]/Vendas[[#This Row],[Valor da Venda]]</f>
        <v>0.16030534351145037</v>
      </c>
      <c r="L3121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3121"/>
    </row>
    <row r="3122" spans="1:13" x14ac:dyDescent="0.3">
      <c r="A3122" s="7">
        <v>400248</v>
      </c>
      <c r="B3122" t="str">
        <f>_xlfn.XLOOKUP(Vendas[[#This Row],[ID Vendedor]],Vendedores[ID],Vendedores[Nome])</f>
        <v>Patrícia</v>
      </c>
      <c r="C3122" s="7" t="str">
        <f>_xlfn.XLOOKUP(Vendas[[#This Row],[ID Vendedor]],Vendedores[ID],Vendedores[Setor])</f>
        <v>CM</v>
      </c>
      <c r="D3122" s="7" t="s">
        <v>34</v>
      </c>
      <c r="E3122" t="str">
        <f>_xlfn.XLOOKUP(Vendas[[#This Row],[ID Item Vendido]],Agregado[ID],Agregado[Produto])</f>
        <v>Restos de madeira p/ MDP/OSB saco de 20kg</v>
      </c>
      <c r="F3122" s="39">
        <v>45297</v>
      </c>
      <c r="G3122" s="7">
        <v>5</v>
      </c>
      <c r="H3122" s="3">
        <f>_xlfn.XLOOKUP(Vendas[[#This Row],[ID Item Vendido]],Agregado[ID],Agregado[Revenda])</f>
        <v>13.8</v>
      </c>
      <c r="I3122" s="3">
        <f>Vendas[[#This Row],[Valor Unitário]]*Vendas[[#This Row],[Qnt Vendida]]</f>
        <v>69</v>
      </c>
      <c r="J3122" s="3">
        <f>Vendas[[#This Row],[Valor da Venda]]-(_xlfn.XLOOKUP(Vendas[[#This Row],[ID Item Vendido]],Agregado[ID],Agregado[Custo])*Vendas[[#This Row],[Qnt Vendida]])</f>
        <v>9</v>
      </c>
      <c r="K3122" s="70">
        <f>Vendas[[#This Row],[Lucro da Venda]]/Vendas[[#This Row],[Valor da Venda]]</f>
        <v>0.13043478260869565</v>
      </c>
      <c r="L3122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3122"/>
    </row>
    <row r="3123" spans="1:13" x14ac:dyDescent="0.3">
      <c r="A3123" s="7">
        <v>400247</v>
      </c>
      <c r="B3123" t="str">
        <f>_xlfn.XLOOKUP(Vendas[[#This Row],[ID Vendedor]],Vendedores[ID],Vendedores[Nome])</f>
        <v>André</v>
      </c>
      <c r="C3123" s="7" t="str">
        <f>_xlfn.XLOOKUP(Vendas[[#This Row],[ID Vendedor]],Vendedores[ID],Vendedores[Setor])</f>
        <v>CM</v>
      </c>
      <c r="D3123" s="7" t="s">
        <v>45</v>
      </c>
      <c r="E3123" t="str">
        <f>_xlfn.XLOOKUP(Vendas[[#This Row],[ID Item Vendido]],Agregado[ID],Agregado[Produto])</f>
        <v>Viga de madeira tratada 4m</v>
      </c>
      <c r="F3123" s="39">
        <v>45298</v>
      </c>
      <c r="G3123" s="7">
        <v>11</v>
      </c>
      <c r="H3123" s="3">
        <f>_xlfn.XLOOKUP(Vendas[[#This Row],[ID Item Vendido]],Agregado[ID],Agregado[Revenda])</f>
        <v>66</v>
      </c>
      <c r="I3123" s="3">
        <f>Vendas[[#This Row],[Valor Unitário]]*Vendas[[#This Row],[Qnt Vendida]]</f>
        <v>726</v>
      </c>
      <c r="J3123" s="3">
        <f>Vendas[[#This Row],[Valor da Venda]]-(_xlfn.XLOOKUP(Vendas[[#This Row],[ID Item Vendido]],Agregado[ID],Agregado[Custo])*Vendas[[#This Row],[Qnt Vendida]])</f>
        <v>121</v>
      </c>
      <c r="K3123" s="70">
        <f>Vendas[[#This Row],[Lucro da Venda]]/Vendas[[#This Row],[Valor da Venda]]</f>
        <v>0.16666666666666666</v>
      </c>
      <c r="L3123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3123"/>
    </row>
    <row r="3124" spans="1:13" x14ac:dyDescent="0.3">
      <c r="A3124" s="7">
        <v>400255</v>
      </c>
      <c r="B3124" t="str">
        <f>_xlfn.XLOOKUP(Vendas[[#This Row],[ID Vendedor]],Vendedores[ID],Vendedores[Nome])</f>
        <v>Carlos</v>
      </c>
      <c r="C3124" s="7" t="str">
        <f>_xlfn.XLOOKUP(Vendas[[#This Row],[ID Vendedor]],Vendedores[ID],Vendedores[Setor])</f>
        <v>SC</v>
      </c>
      <c r="D3124" s="7" t="s">
        <v>48</v>
      </c>
      <c r="E3124" t="str">
        <f>_xlfn.XLOOKUP(Vendas[[#This Row],[ID Item Vendido]],Agregado[ID],Agregado[Produto])</f>
        <v>Tambor metálico 200L</v>
      </c>
      <c r="F3124" s="39">
        <v>45299</v>
      </c>
      <c r="G3124" s="7">
        <v>18</v>
      </c>
      <c r="H3124" s="3">
        <f>_xlfn.XLOOKUP(Vendas[[#This Row],[ID Item Vendido]],Agregado[ID],Agregado[Revenda])</f>
        <v>144</v>
      </c>
      <c r="I3124" s="3">
        <f>Vendas[[#This Row],[Valor Unitário]]*Vendas[[#This Row],[Qnt Vendida]]</f>
        <v>2592</v>
      </c>
      <c r="J3124" s="3">
        <f>Vendas[[#This Row],[Valor da Venda]]-(_xlfn.XLOOKUP(Vendas[[#This Row],[ID Item Vendido]],Agregado[ID],Agregado[Custo])*Vendas[[#This Row],[Qnt Vendida]])</f>
        <v>432</v>
      </c>
      <c r="K3124" s="70">
        <f>Vendas[[#This Row],[Lucro da Venda]]/Vendas[[#This Row],[Valor da Venda]]</f>
        <v>0.16666666666666666</v>
      </c>
      <c r="L3124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3124"/>
    </row>
    <row r="3125" spans="1:13" x14ac:dyDescent="0.3">
      <c r="A3125" s="7">
        <v>400248</v>
      </c>
      <c r="B3125" t="str">
        <f>_xlfn.XLOOKUP(Vendas[[#This Row],[ID Vendedor]],Vendedores[ID],Vendedores[Nome])</f>
        <v>Patrícia</v>
      </c>
      <c r="C3125" s="7" t="str">
        <f>_xlfn.XLOOKUP(Vendas[[#This Row],[ID Vendedor]],Vendedores[ID],Vendedores[Setor])</f>
        <v>CM</v>
      </c>
      <c r="D3125" s="7" t="s">
        <v>32</v>
      </c>
      <c r="E3125" t="str">
        <f>_xlfn.XLOOKUP(Vendas[[#This Row],[ID Item Vendido]],Agregado[ID],Agregado[Produto])</f>
        <v>Tábua tratada e cortada 3m</v>
      </c>
      <c r="F3125" s="39">
        <v>45299</v>
      </c>
      <c r="G3125" s="7">
        <v>32</v>
      </c>
      <c r="H3125" s="3">
        <f>_xlfn.XLOOKUP(Vendas[[#This Row],[ID Item Vendido]],Agregado[ID],Agregado[Revenda])</f>
        <v>39</v>
      </c>
      <c r="I3125" s="3">
        <f>Vendas[[#This Row],[Valor Unitário]]*Vendas[[#This Row],[Qnt Vendida]]</f>
        <v>1248</v>
      </c>
      <c r="J3125" s="3">
        <f>Vendas[[#This Row],[Valor da Venda]]-(_xlfn.XLOOKUP(Vendas[[#This Row],[ID Item Vendido]],Agregado[ID],Agregado[Custo])*Vendas[[#This Row],[Qnt Vendida]])</f>
        <v>224</v>
      </c>
      <c r="K3125" s="70">
        <f>Vendas[[#This Row],[Lucro da Venda]]/Vendas[[#This Row],[Valor da Venda]]</f>
        <v>0.17948717948717949</v>
      </c>
      <c r="L3125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3125"/>
    </row>
    <row r="3126" spans="1:13" x14ac:dyDescent="0.3">
      <c r="A3126" s="7">
        <v>400248</v>
      </c>
      <c r="B3126" t="str">
        <f>_xlfn.XLOOKUP(Vendas[[#This Row],[ID Vendedor]],Vendedores[ID],Vendedores[Nome])</f>
        <v>Patrícia</v>
      </c>
      <c r="C3126" s="7" t="str">
        <f>_xlfn.XLOOKUP(Vendas[[#This Row],[ID Vendedor]],Vendedores[ID],Vendedores[Setor])</f>
        <v>CM</v>
      </c>
      <c r="D3126" s="7" t="s">
        <v>43</v>
      </c>
      <c r="E3126" t="str">
        <f>_xlfn.XLOOKUP(Vendas[[#This Row],[ID Item Vendido]],Agregado[ID],Agregado[Produto])</f>
        <v>Madeira Bruta (Tora)</v>
      </c>
      <c r="F3126" s="39">
        <v>45299</v>
      </c>
      <c r="G3126" s="7">
        <v>5</v>
      </c>
      <c r="H3126" s="3">
        <f>_xlfn.XLOOKUP(Vendas[[#This Row],[ID Item Vendido]],Agregado[ID],Agregado[Revenda])</f>
        <v>212</v>
      </c>
      <c r="I3126" s="3">
        <f>Vendas[[#This Row],[Valor Unitário]]*Vendas[[#This Row],[Qnt Vendida]]</f>
        <v>1060</v>
      </c>
      <c r="J3126" s="3">
        <f>Vendas[[#This Row],[Valor da Venda]]-(_xlfn.XLOOKUP(Vendas[[#This Row],[ID Item Vendido]],Agregado[ID],Agregado[Custo])*Vendas[[#This Row],[Qnt Vendida]])</f>
        <v>160</v>
      </c>
      <c r="K3126" s="70">
        <f>Vendas[[#This Row],[Lucro da Venda]]/Vendas[[#This Row],[Valor da Venda]]</f>
        <v>0.15094339622641509</v>
      </c>
      <c r="L3126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3126"/>
    </row>
    <row r="3127" spans="1:13" x14ac:dyDescent="0.3">
      <c r="A3127" s="7">
        <v>400247</v>
      </c>
      <c r="B3127" t="str">
        <f>_xlfn.XLOOKUP(Vendas[[#This Row],[ID Vendedor]],Vendedores[ID],Vendedores[Nome])</f>
        <v>André</v>
      </c>
      <c r="C3127" s="7" t="str">
        <f>_xlfn.XLOOKUP(Vendas[[#This Row],[ID Vendedor]],Vendedores[ID],Vendedores[Setor])</f>
        <v>CM</v>
      </c>
      <c r="D3127" s="7" t="s">
        <v>22</v>
      </c>
      <c r="E3127" t="str">
        <f>_xlfn.XLOOKUP(Vendas[[#This Row],[ID Item Vendido]],Agregado[ID],Agregado[Produto])</f>
        <v>Painel MDP 2,75x1,83m</v>
      </c>
      <c r="F3127" s="39">
        <v>45299</v>
      </c>
      <c r="G3127" s="7">
        <v>5</v>
      </c>
      <c r="H3127" s="3">
        <f>_xlfn.XLOOKUP(Vendas[[#This Row],[ID Item Vendido]],Agregado[ID],Agregado[Revenda])</f>
        <v>119</v>
      </c>
      <c r="I3127" s="3">
        <f>Vendas[[#This Row],[Valor Unitário]]*Vendas[[#This Row],[Qnt Vendida]]</f>
        <v>595</v>
      </c>
      <c r="J3127" s="3">
        <f>Vendas[[#This Row],[Valor da Venda]]-(_xlfn.XLOOKUP(Vendas[[#This Row],[ID Item Vendido]],Agregado[ID],Agregado[Custo])*Vendas[[#This Row],[Qnt Vendida]])</f>
        <v>120</v>
      </c>
      <c r="K3127" s="70">
        <f>Vendas[[#This Row],[Lucro da Venda]]/Vendas[[#This Row],[Valor da Venda]]</f>
        <v>0.20168067226890757</v>
      </c>
      <c r="L3127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3127"/>
    </row>
    <row r="3128" spans="1:13" x14ac:dyDescent="0.3">
      <c r="A3128" s="7">
        <v>400243</v>
      </c>
      <c r="B3128" t="str">
        <f>_xlfn.XLOOKUP(Vendas[[#This Row],[ID Vendedor]],Vendedores[ID],Vendedores[Nome])</f>
        <v>Marcelo</v>
      </c>
      <c r="C3128" s="7" t="str">
        <f>_xlfn.XLOOKUP(Vendas[[#This Row],[ID Vendedor]],Vendedores[ID],Vendedores[Setor])</f>
        <v>FM</v>
      </c>
      <c r="D3128" s="7" t="s">
        <v>6</v>
      </c>
      <c r="E3128" t="str">
        <f>_xlfn.XLOOKUP(Vendas[[#This Row],[ID Item Vendido]],Agregado[ID],Agregado[Produto])</f>
        <v>Parafuso comum 500un</v>
      </c>
      <c r="F3128" s="39">
        <v>45299</v>
      </c>
      <c r="G3128" s="7">
        <v>17</v>
      </c>
      <c r="H3128" s="3">
        <f>_xlfn.XLOOKUP(Vendas[[#This Row],[ID Item Vendido]],Agregado[ID],Agregado[Revenda])</f>
        <v>24.6</v>
      </c>
      <c r="I3128" s="3">
        <f>Vendas[[#This Row],[Valor Unitário]]*Vendas[[#This Row],[Qnt Vendida]]</f>
        <v>418.20000000000005</v>
      </c>
      <c r="J3128" s="3">
        <f>Vendas[[#This Row],[Valor da Venda]]-(_xlfn.XLOOKUP(Vendas[[#This Row],[ID Item Vendido]],Agregado[ID],Agregado[Custo])*Vendas[[#This Row],[Qnt Vendida]])</f>
        <v>44.200000000000045</v>
      </c>
      <c r="K3128" s="70">
        <f>Vendas[[#This Row],[Lucro da Venda]]/Vendas[[#This Row],[Valor da Venda]]</f>
        <v>0.10569105691056921</v>
      </c>
      <c r="L3128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3128"/>
    </row>
    <row r="3129" spans="1:13" x14ac:dyDescent="0.3">
      <c r="A3129" s="7">
        <v>400247</v>
      </c>
      <c r="B3129" t="str">
        <f>_xlfn.XLOOKUP(Vendas[[#This Row],[ID Vendedor]],Vendedores[ID],Vendedores[Nome])</f>
        <v>André</v>
      </c>
      <c r="C3129" s="7" t="str">
        <f>_xlfn.XLOOKUP(Vendas[[#This Row],[ID Vendedor]],Vendedores[ID],Vendedores[Setor])</f>
        <v>CM</v>
      </c>
      <c r="D3129" s="7" t="s">
        <v>43</v>
      </c>
      <c r="E3129" t="str">
        <f>_xlfn.XLOOKUP(Vendas[[#This Row],[ID Item Vendido]],Agregado[ID],Agregado[Produto])</f>
        <v>Madeira Bruta (Tora)</v>
      </c>
      <c r="F3129" s="39">
        <v>45301</v>
      </c>
      <c r="G3129" s="7">
        <v>8</v>
      </c>
      <c r="H3129" s="3">
        <f>_xlfn.XLOOKUP(Vendas[[#This Row],[ID Item Vendido]],Agregado[ID],Agregado[Revenda])</f>
        <v>212</v>
      </c>
      <c r="I3129" s="3">
        <f>Vendas[[#This Row],[Valor Unitário]]*Vendas[[#This Row],[Qnt Vendida]]</f>
        <v>1696</v>
      </c>
      <c r="J3129" s="3">
        <f>Vendas[[#This Row],[Valor da Venda]]-(_xlfn.XLOOKUP(Vendas[[#This Row],[ID Item Vendido]],Agregado[ID],Agregado[Custo])*Vendas[[#This Row],[Qnt Vendida]])</f>
        <v>256</v>
      </c>
      <c r="K3129" s="70">
        <f>Vendas[[#This Row],[Lucro da Venda]]/Vendas[[#This Row],[Valor da Venda]]</f>
        <v>0.15094339622641509</v>
      </c>
      <c r="L3129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3129"/>
    </row>
    <row r="3130" spans="1:13" x14ac:dyDescent="0.3">
      <c r="A3130" s="7">
        <v>400245</v>
      </c>
      <c r="B3130" t="str">
        <f>_xlfn.XLOOKUP(Vendas[[#This Row],[ID Vendedor]],Vendedores[ID],Vendedores[Nome])</f>
        <v>Thiago</v>
      </c>
      <c r="C3130" s="7" t="str">
        <f>_xlfn.XLOOKUP(Vendas[[#This Row],[ID Vendedor]],Vendedores[ID],Vendedores[Setor])</f>
        <v>AHD</v>
      </c>
      <c r="D3130" s="7" t="s">
        <v>44</v>
      </c>
      <c r="E3130" t="str">
        <f>_xlfn.XLOOKUP(Vendas[[#This Row],[ID Item Vendido]],Agregado[ID],Agregado[Produto])</f>
        <v>Liga metálica especial</v>
      </c>
      <c r="F3130" s="39">
        <v>45301</v>
      </c>
      <c r="G3130" s="7">
        <v>35</v>
      </c>
      <c r="H3130" s="3">
        <f>_xlfn.XLOOKUP(Vendas[[#This Row],[ID Item Vendido]],Agregado[ID],Agregado[Revenda])</f>
        <v>32.5</v>
      </c>
      <c r="I3130" s="3">
        <f>Vendas[[#This Row],[Valor Unitário]]*Vendas[[#This Row],[Qnt Vendida]]</f>
        <v>1137.5</v>
      </c>
      <c r="J3130" s="3">
        <f>Vendas[[#This Row],[Valor da Venda]]-(_xlfn.XLOOKUP(Vendas[[#This Row],[ID Item Vendido]],Agregado[ID],Agregado[Custo])*Vendas[[#This Row],[Qnt Vendida]])</f>
        <v>262.5</v>
      </c>
      <c r="K3130" s="70">
        <f>Vendas[[#This Row],[Lucro da Venda]]/Vendas[[#This Row],[Valor da Venda]]</f>
        <v>0.23076923076923078</v>
      </c>
      <c r="L3130" s="3">
        <f>_xlfn.IFS(Vendas[[#This Row],[Margem de Lucro (%)]]&lt;15%,Vendas[[#This Row],[Valor da Venda]]*3%,Vendas[[#This Row],[Margem de Lucro (%)]]&lt;=20%,Vendas[[#This Row],[Valor da Venda]]*4.5%,TRUE,Vendas[[#This Row],[Valor da Venda]]*6%)</f>
        <v>68.25</v>
      </c>
      <c r="M3130"/>
    </row>
    <row r="3131" spans="1:13" x14ac:dyDescent="0.3">
      <c r="A3131" s="7">
        <v>400244</v>
      </c>
      <c r="B3131" t="str">
        <f>_xlfn.XLOOKUP(Vendas[[#This Row],[ID Vendedor]],Vendedores[ID],Vendedores[Nome])</f>
        <v>Camila</v>
      </c>
      <c r="C3131" s="7" t="str">
        <f>_xlfn.XLOOKUP(Vendas[[#This Row],[ID Vendedor]],Vendedores[ID],Vendedores[Setor])</f>
        <v>AHD</v>
      </c>
      <c r="D3131" s="7" t="s">
        <v>44</v>
      </c>
      <c r="E3131" t="str">
        <f>_xlfn.XLOOKUP(Vendas[[#This Row],[ID Item Vendido]],Agregado[ID],Agregado[Produto])</f>
        <v>Liga metálica especial</v>
      </c>
      <c r="F3131" s="39">
        <v>45301</v>
      </c>
      <c r="G3131" s="7">
        <v>24</v>
      </c>
      <c r="H3131" s="3">
        <f>_xlfn.XLOOKUP(Vendas[[#This Row],[ID Item Vendido]],Agregado[ID],Agregado[Revenda])</f>
        <v>32.5</v>
      </c>
      <c r="I3131" s="3">
        <f>Vendas[[#This Row],[Valor Unitário]]*Vendas[[#This Row],[Qnt Vendida]]</f>
        <v>780</v>
      </c>
      <c r="J3131" s="3">
        <f>Vendas[[#This Row],[Valor da Venda]]-(_xlfn.XLOOKUP(Vendas[[#This Row],[ID Item Vendido]],Agregado[ID],Agregado[Custo])*Vendas[[#This Row],[Qnt Vendida]])</f>
        <v>180</v>
      </c>
      <c r="K3131" s="70">
        <f>Vendas[[#This Row],[Lucro da Venda]]/Vendas[[#This Row],[Valor da Venda]]</f>
        <v>0.23076923076923078</v>
      </c>
      <c r="L3131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3131"/>
    </row>
    <row r="3132" spans="1:13" x14ac:dyDescent="0.3">
      <c r="A3132" s="7">
        <v>400241</v>
      </c>
      <c r="B3132" t="str">
        <f>_xlfn.XLOOKUP(Vendas[[#This Row],[ID Vendedor]],Vendedores[ID],Vendedores[Nome])</f>
        <v>Rodrigo</v>
      </c>
      <c r="C3132" s="7" t="str">
        <f>_xlfn.XLOOKUP(Vendas[[#This Row],[ID Vendedor]],Vendedores[ID],Vendedores[Setor])</f>
        <v>FM</v>
      </c>
      <c r="D3132" s="7" t="s">
        <v>31</v>
      </c>
      <c r="E3132" t="str">
        <f>_xlfn.XLOOKUP(Vendas[[#This Row],[ID Item Vendido]],Agregado[ID],Agregado[Produto])</f>
        <v>Tela de metal soldada rolo 2x25m</v>
      </c>
      <c r="F3132" s="39">
        <v>45301</v>
      </c>
      <c r="G3132" s="7">
        <v>8</v>
      </c>
      <c r="H3132" s="3">
        <f>_xlfn.XLOOKUP(Vendas[[#This Row],[ID Item Vendido]],Agregado[ID],Agregado[Revenda])</f>
        <v>43.7</v>
      </c>
      <c r="I3132" s="3">
        <f>Vendas[[#This Row],[Valor Unitário]]*Vendas[[#This Row],[Qnt Vendida]]</f>
        <v>349.6</v>
      </c>
      <c r="J3132" s="3">
        <f>Vendas[[#This Row],[Valor da Venda]]-(_xlfn.XLOOKUP(Vendas[[#This Row],[ID Item Vendido]],Agregado[ID],Agregado[Custo])*Vendas[[#This Row],[Qnt Vendida]])</f>
        <v>45.600000000000023</v>
      </c>
      <c r="K3132" s="70">
        <f>Vendas[[#This Row],[Lucro da Venda]]/Vendas[[#This Row],[Valor da Venda]]</f>
        <v>0.1304347826086957</v>
      </c>
      <c r="L3132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3132"/>
    </row>
    <row r="3133" spans="1:13" x14ac:dyDescent="0.3">
      <c r="A3133" s="7">
        <v>400255</v>
      </c>
      <c r="B3133" t="str">
        <f>_xlfn.XLOOKUP(Vendas[[#This Row],[ID Vendedor]],Vendedores[ID],Vendedores[Nome])</f>
        <v>Carlos</v>
      </c>
      <c r="C3133" s="7" t="str">
        <f>_xlfn.XLOOKUP(Vendas[[#This Row],[ID Vendedor]],Vendedores[ID],Vendedores[Setor])</f>
        <v>SC</v>
      </c>
      <c r="D3133" s="7" t="s">
        <v>42</v>
      </c>
      <c r="E3133" t="str">
        <f>_xlfn.XLOOKUP(Vendas[[#This Row],[ID Item Vendido]],Agregado[ID],Agregado[Produto])</f>
        <v>Container de ferro industrial</v>
      </c>
      <c r="F3133" s="39">
        <v>45302</v>
      </c>
      <c r="G3133" s="7">
        <v>6</v>
      </c>
      <c r="H3133" s="3">
        <f>_xlfn.XLOOKUP(Vendas[[#This Row],[ID Item Vendido]],Agregado[ID],Agregado[Revenda])</f>
        <v>830</v>
      </c>
      <c r="I3133" s="3">
        <f>Vendas[[#This Row],[Valor Unitário]]*Vendas[[#This Row],[Qnt Vendida]]</f>
        <v>4980</v>
      </c>
      <c r="J3133" s="3">
        <f>Vendas[[#This Row],[Valor da Venda]]-(_xlfn.XLOOKUP(Vendas[[#This Row],[ID Item Vendido]],Agregado[ID],Agregado[Custo])*Vendas[[#This Row],[Qnt Vendida]])</f>
        <v>900</v>
      </c>
      <c r="K3133" s="70">
        <f>Vendas[[#This Row],[Lucro da Venda]]/Vendas[[#This Row],[Valor da Venda]]</f>
        <v>0.18072289156626506</v>
      </c>
      <c r="L3133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133"/>
    </row>
    <row r="3134" spans="1:13" x14ac:dyDescent="0.3">
      <c r="A3134" s="7">
        <v>400253</v>
      </c>
      <c r="B3134" t="str">
        <f>_xlfn.XLOOKUP(Vendas[[#This Row],[ID Vendedor]],Vendedores[ID],Vendedores[Nome])</f>
        <v>Gustavo</v>
      </c>
      <c r="C3134" s="7" t="str">
        <f>_xlfn.XLOOKUP(Vendas[[#This Row],[ID Vendedor]],Vendedores[ID],Vendedores[Setor])</f>
        <v>SC</v>
      </c>
      <c r="D3134" s="7" t="s">
        <v>48</v>
      </c>
      <c r="E3134" t="str">
        <f>_xlfn.XLOOKUP(Vendas[[#This Row],[ID Item Vendido]],Agregado[ID],Agregado[Produto])</f>
        <v>Tambor metálico 200L</v>
      </c>
      <c r="F3134" s="39">
        <v>45302</v>
      </c>
      <c r="G3134" s="7">
        <v>19</v>
      </c>
      <c r="H3134" s="3">
        <f>_xlfn.XLOOKUP(Vendas[[#This Row],[ID Item Vendido]],Agregado[ID],Agregado[Revenda])</f>
        <v>144</v>
      </c>
      <c r="I3134" s="3">
        <f>Vendas[[#This Row],[Valor Unitário]]*Vendas[[#This Row],[Qnt Vendida]]</f>
        <v>2736</v>
      </c>
      <c r="J3134" s="3">
        <f>Vendas[[#This Row],[Valor da Venda]]-(_xlfn.XLOOKUP(Vendas[[#This Row],[ID Item Vendido]],Agregado[ID],Agregado[Custo])*Vendas[[#This Row],[Qnt Vendida]])</f>
        <v>456</v>
      </c>
      <c r="K3134" s="70">
        <f>Vendas[[#This Row],[Lucro da Venda]]/Vendas[[#This Row],[Valor da Venda]]</f>
        <v>0.16666666666666666</v>
      </c>
      <c r="L3134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3134"/>
    </row>
    <row r="3135" spans="1:13" x14ac:dyDescent="0.3">
      <c r="A3135" s="7">
        <v>400241</v>
      </c>
      <c r="B3135" s="79" t="str">
        <f>_xlfn.XLOOKUP(Vendas[[#This Row],[ID Vendedor]],Vendedores[ID],Vendedores[Nome])</f>
        <v>Rodrigo</v>
      </c>
      <c r="C3135" s="7" t="str">
        <f>_xlfn.XLOOKUP(Vendas[[#This Row],[ID Vendedor]],Vendedores[ID],Vendedores[Setor])</f>
        <v>FM</v>
      </c>
      <c r="D3135" s="7" t="s">
        <v>31</v>
      </c>
      <c r="E3135" s="79" t="str">
        <f>_xlfn.XLOOKUP(Vendas[[#This Row],[ID Item Vendido]],Agregado[ID],Agregado[Produto])</f>
        <v>Tela de metal soldada rolo 2x25m</v>
      </c>
      <c r="F3135" s="39">
        <v>45302</v>
      </c>
      <c r="G3135" s="7">
        <v>2</v>
      </c>
      <c r="H3135" s="3">
        <f>_xlfn.XLOOKUP(Vendas[[#This Row],[ID Item Vendido]],Agregado[ID],Agregado[Revenda])</f>
        <v>43.7</v>
      </c>
      <c r="I3135" s="3">
        <f>Vendas[[#This Row],[Valor Unitário]]*Vendas[[#This Row],[Qnt Vendida]]</f>
        <v>87.4</v>
      </c>
      <c r="J3135" s="3">
        <f>Vendas[[#This Row],[Valor da Venda]]-(_xlfn.XLOOKUP(Vendas[[#This Row],[ID Item Vendido]],Agregado[ID],Agregado[Custo])*Vendas[[#This Row],[Qnt Vendida]])</f>
        <v>11.400000000000006</v>
      </c>
      <c r="K3135" s="70">
        <f>Vendas[[#This Row],[Lucro da Venda]]/Vendas[[#This Row],[Valor da Venda]]</f>
        <v>0.1304347826086957</v>
      </c>
      <c r="L3135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3135"/>
    </row>
    <row r="3136" spans="1:13" x14ac:dyDescent="0.3">
      <c r="A3136" s="7">
        <v>400245</v>
      </c>
      <c r="B3136" t="str">
        <f>_xlfn.XLOOKUP(Vendas[[#This Row],[ID Vendedor]],Vendedores[ID],Vendedores[Nome])</f>
        <v>Thiago</v>
      </c>
      <c r="C3136" s="7" t="str">
        <f>_xlfn.XLOOKUP(Vendas[[#This Row],[ID Vendedor]],Vendedores[ID],Vendedores[Setor])</f>
        <v>AHD</v>
      </c>
      <c r="D3136" s="7" t="s">
        <v>44</v>
      </c>
      <c r="E3136" t="str">
        <f>_xlfn.XLOOKUP(Vendas[[#This Row],[ID Item Vendido]],Agregado[ID],Agregado[Produto])</f>
        <v>Liga metálica especial</v>
      </c>
      <c r="F3136" s="39">
        <v>45303</v>
      </c>
      <c r="G3136" s="7">
        <v>50</v>
      </c>
      <c r="H3136" s="3">
        <f>_xlfn.XLOOKUP(Vendas[[#This Row],[ID Item Vendido]],Agregado[ID],Agregado[Revenda])</f>
        <v>32.5</v>
      </c>
      <c r="I3136" s="3">
        <f>Vendas[[#This Row],[Valor Unitário]]*Vendas[[#This Row],[Qnt Vendida]]</f>
        <v>1625</v>
      </c>
      <c r="J3136" s="3">
        <f>Vendas[[#This Row],[Valor da Venda]]-(_xlfn.XLOOKUP(Vendas[[#This Row],[ID Item Vendido]],Agregado[ID],Agregado[Custo])*Vendas[[#This Row],[Qnt Vendida]])</f>
        <v>375</v>
      </c>
      <c r="K3136" s="70">
        <f>Vendas[[#This Row],[Lucro da Venda]]/Vendas[[#This Row],[Valor da Venda]]</f>
        <v>0.23076923076923078</v>
      </c>
      <c r="L3136" s="3">
        <f>_xlfn.IFS(Vendas[[#This Row],[Margem de Lucro (%)]]&lt;15%,Vendas[[#This Row],[Valor da Venda]]*3%,Vendas[[#This Row],[Margem de Lucro (%)]]&lt;=20%,Vendas[[#This Row],[Valor da Venda]]*4.5%,TRUE,Vendas[[#This Row],[Valor da Venda]]*6%)</f>
        <v>97.5</v>
      </c>
      <c r="M3136"/>
    </row>
    <row r="3137" spans="1:13" x14ac:dyDescent="0.3">
      <c r="A3137" s="7">
        <v>400242</v>
      </c>
      <c r="B3137" t="str">
        <f>_xlfn.XLOOKUP(Vendas[[#This Row],[ID Vendedor]],Vendedores[ID],Vendedores[Nome])</f>
        <v>Fernanda</v>
      </c>
      <c r="C3137" s="7" t="str">
        <f>_xlfn.XLOOKUP(Vendas[[#This Row],[ID Vendedor]],Vendedores[ID],Vendedores[Setor])</f>
        <v>FM</v>
      </c>
      <c r="D3137" s="7" t="s">
        <v>6</v>
      </c>
      <c r="E3137" t="str">
        <f>_xlfn.XLOOKUP(Vendas[[#This Row],[ID Item Vendido]],Agregado[ID],Agregado[Produto])</f>
        <v>Parafuso comum 500un</v>
      </c>
      <c r="F3137" s="39">
        <v>45303</v>
      </c>
      <c r="G3137" s="7">
        <v>20</v>
      </c>
      <c r="H3137" s="3">
        <f>_xlfn.XLOOKUP(Vendas[[#This Row],[ID Item Vendido]],Agregado[ID],Agregado[Revenda])</f>
        <v>24.6</v>
      </c>
      <c r="I3137" s="3">
        <f>Vendas[[#This Row],[Valor Unitário]]*Vendas[[#This Row],[Qnt Vendida]]</f>
        <v>492</v>
      </c>
      <c r="J3137" s="3">
        <f>Vendas[[#This Row],[Valor da Venda]]-(_xlfn.XLOOKUP(Vendas[[#This Row],[ID Item Vendido]],Agregado[ID],Agregado[Custo])*Vendas[[#This Row],[Qnt Vendida]])</f>
        <v>52</v>
      </c>
      <c r="K3137" s="70">
        <f>Vendas[[#This Row],[Lucro da Venda]]/Vendas[[#This Row],[Valor da Venda]]</f>
        <v>0.10569105691056911</v>
      </c>
      <c r="L3137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3137"/>
    </row>
    <row r="3138" spans="1:13" x14ac:dyDescent="0.3">
      <c r="A3138" s="7">
        <v>400250</v>
      </c>
      <c r="B3138" t="str">
        <f>_xlfn.XLOOKUP(Vendas[[#This Row],[ID Vendedor]],Vendedores[ID],Vendedores[Nome])</f>
        <v>Larissa</v>
      </c>
      <c r="C3138" s="7" t="str">
        <f>_xlfn.XLOOKUP(Vendas[[#This Row],[ID Vendedor]],Vendedores[ID],Vendedores[Setor])</f>
        <v>AB</v>
      </c>
      <c r="D3138" s="7" t="s">
        <v>36</v>
      </c>
      <c r="E3138" t="str">
        <f>_xlfn.XLOOKUP(Vendas[[#This Row],[ID Item Vendido]],Agregado[ID],Agregado[Produto])</f>
        <v>Borracha vulcanizada em manta</v>
      </c>
      <c r="F3138" s="39">
        <v>45303</v>
      </c>
      <c r="G3138" s="7">
        <v>34</v>
      </c>
      <c r="H3138" s="3">
        <f>_xlfn.XLOOKUP(Vendas[[#This Row],[ID Item Vendido]],Agregado[ID],Agregado[Revenda])</f>
        <v>7.8</v>
      </c>
      <c r="I3138" s="3">
        <f>Vendas[[#This Row],[Valor Unitário]]*Vendas[[#This Row],[Qnt Vendida]]</f>
        <v>265.2</v>
      </c>
      <c r="J3138" s="3">
        <f>Vendas[[#This Row],[Valor da Venda]]-(_xlfn.XLOOKUP(Vendas[[#This Row],[ID Item Vendido]],Agregado[ID],Agregado[Custo])*Vendas[[#This Row],[Qnt Vendida]])</f>
        <v>61.199999999999989</v>
      </c>
      <c r="K3138" s="70">
        <f>Vendas[[#This Row],[Lucro da Venda]]/Vendas[[#This Row],[Valor da Venda]]</f>
        <v>0.23076923076923073</v>
      </c>
      <c r="L3138" s="3">
        <f>_xlfn.IFS(Vendas[[#This Row],[Margem de Lucro (%)]]&lt;15%,Vendas[[#This Row],[Valor da Venda]]*3%,Vendas[[#This Row],[Margem de Lucro (%)]]&lt;=20%,Vendas[[#This Row],[Valor da Venda]]*4.5%,TRUE,Vendas[[#This Row],[Valor da Venda]]*6%)</f>
        <v>15.911999999999999</v>
      </c>
      <c r="M3138"/>
    </row>
    <row r="3139" spans="1:13" x14ac:dyDescent="0.3">
      <c r="A3139" s="7">
        <v>400248</v>
      </c>
      <c r="B3139" t="str">
        <f>_xlfn.XLOOKUP(Vendas[[#This Row],[ID Vendedor]],Vendedores[ID],Vendedores[Nome])</f>
        <v>Patrícia</v>
      </c>
      <c r="C3139" s="7" t="str">
        <f>_xlfn.XLOOKUP(Vendas[[#This Row],[ID Vendedor]],Vendedores[ID],Vendedores[Setor])</f>
        <v>CM</v>
      </c>
      <c r="D3139" s="7" t="s">
        <v>43</v>
      </c>
      <c r="E3139" t="str">
        <f>_xlfn.XLOOKUP(Vendas[[#This Row],[ID Item Vendido]],Agregado[ID],Agregado[Produto])</f>
        <v>Madeira Bruta (Tora)</v>
      </c>
      <c r="F3139" s="39">
        <v>45304</v>
      </c>
      <c r="G3139" s="7">
        <v>13</v>
      </c>
      <c r="H3139" s="3">
        <f>_xlfn.XLOOKUP(Vendas[[#This Row],[ID Item Vendido]],Agregado[ID],Agregado[Revenda])</f>
        <v>212</v>
      </c>
      <c r="I3139" s="3">
        <f>Vendas[[#This Row],[Valor Unitário]]*Vendas[[#This Row],[Qnt Vendida]]</f>
        <v>2756</v>
      </c>
      <c r="J3139" s="3">
        <f>Vendas[[#This Row],[Valor da Venda]]-(_xlfn.XLOOKUP(Vendas[[#This Row],[ID Item Vendido]],Agregado[ID],Agregado[Custo])*Vendas[[#This Row],[Qnt Vendida]])</f>
        <v>416</v>
      </c>
      <c r="K3139" s="70">
        <f>Vendas[[#This Row],[Lucro da Venda]]/Vendas[[#This Row],[Valor da Venda]]</f>
        <v>0.15094339622641509</v>
      </c>
      <c r="L3139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3139"/>
    </row>
    <row r="3140" spans="1:13" x14ac:dyDescent="0.3">
      <c r="A3140" s="7">
        <v>400246</v>
      </c>
      <c r="B3140" t="str">
        <f>_xlfn.XLOOKUP(Vendas[[#This Row],[ID Vendedor]],Vendedores[ID],Vendedores[Nome])</f>
        <v>Juliana</v>
      </c>
      <c r="C3140" s="7" t="str">
        <f>_xlfn.XLOOKUP(Vendas[[#This Row],[ID Vendedor]],Vendedores[ID],Vendedores[Setor])</f>
        <v>AHD</v>
      </c>
      <c r="D3140" s="7" t="s">
        <v>44</v>
      </c>
      <c r="E3140" t="str">
        <f>_xlfn.XLOOKUP(Vendas[[#This Row],[ID Item Vendido]],Agregado[ID],Agregado[Produto])</f>
        <v>Liga metálica especial</v>
      </c>
      <c r="F3140" s="39">
        <v>45304</v>
      </c>
      <c r="G3140" s="7">
        <v>23</v>
      </c>
      <c r="H3140" s="3">
        <f>_xlfn.XLOOKUP(Vendas[[#This Row],[ID Item Vendido]],Agregado[ID],Agregado[Revenda])</f>
        <v>32.5</v>
      </c>
      <c r="I3140" s="3">
        <f>Vendas[[#This Row],[Valor Unitário]]*Vendas[[#This Row],[Qnt Vendida]]</f>
        <v>747.5</v>
      </c>
      <c r="J3140" s="3">
        <f>Vendas[[#This Row],[Valor da Venda]]-(_xlfn.XLOOKUP(Vendas[[#This Row],[ID Item Vendido]],Agregado[ID],Agregado[Custo])*Vendas[[#This Row],[Qnt Vendida]])</f>
        <v>172.5</v>
      </c>
      <c r="K3140" s="70">
        <f>Vendas[[#This Row],[Lucro da Venda]]/Vendas[[#This Row],[Valor da Venda]]</f>
        <v>0.23076923076923078</v>
      </c>
      <c r="L3140" s="3">
        <f>_xlfn.IFS(Vendas[[#This Row],[Margem de Lucro (%)]]&lt;15%,Vendas[[#This Row],[Valor da Venda]]*3%,Vendas[[#This Row],[Margem de Lucro (%)]]&lt;=20%,Vendas[[#This Row],[Valor da Venda]]*4.5%,TRUE,Vendas[[#This Row],[Valor da Venda]]*6%)</f>
        <v>44.85</v>
      </c>
      <c r="M3140"/>
    </row>
    <row r="3141" spans="1:13" x14ac:dyDescent="0.3">
      <c r="A3141" s="7">
        <v>400248</v>
      </c>
      <c r="B3141" t="str">
        <f>_xlfn.XLOOKUP(Vendas[[#This Row],[ID Vendedor]],Vendedores[ID],Vendedores[Nome])</f>
        <v>Patrícia</v>
      </c>
      <c r="C3141" s="7" t="str">
        <f>_xlfn.XLOOKUP(Vendas[[#This Row],[ID Vendedor]],Vendedores[ID],Vendedores[Setor])</f>
        <v>CM</v>
      </c>
      <c r="D3141" s="7" t="s">
        <v>32</v>
      </c>
      <c r="E3141" t="str">
        <f>_xlfn.XLOOKUP(Vendas[[#This Row],[ID Item Vendido]],Agregado[ID],Agregado[Produto])</f>
        <v>Tábua tratada e cortada 3m</v>
      </c>
      <c r="F3141" s="39">
        <v>45305</v>
      </c>
      <c r="G3141" s="7">
        <v>43</v>
      </c>
      <c r="H3141" s="3">
        <f>_xlfn.XLOOKUP(Vendas[[#This Row],[ID Item Vendido]],Agregado[ID],Agregado[Revenda])</f>
        <v>39</v>
      </c>
      <c r="I3141" s="3">
        <f>Vendas[[#This Row],[Valor Unitário]]*Vendas[[#This Row],[Qnt Vendida]]</f>
        <v>1677</v>
      </c>
      <c r="J3141" s="3">
        <f>Vendas[[#This Row],[Valor da Venda]]-(_xlfn.XLOOKUP(Vendas[[#This Row],[ID Item Vendido]],Agregado[ID],Agregado[Custo])*Vendas[[#This Row],[Qnt Vendida]])</f>
        <v>301</v>
      </c>
      <c r="K3141" s="70">
        <f>Vendas[[#This Row],[Lucro da Venda]]/Vendas[[#This Row],[Valor da Venda]]</f>
        <v>0.17948717948717949</v>
      </c>
      <c r="L3141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3141"/>
    </row>
    <row r="3142" spans="1:13" x14ac:dyDescent="0.3">
      <c r="A3142" s="7">
        <v>400241</v>
      </c>
      <c r="B3142" t="str">
        <f>_xlfn.XLOOKUP(Vendas[[#This Row],[ID Vendedor]],Vendedores[ID],Vendedores[Nome])</f>
        <v>Rodrigo</v>
      </c>
      <c r="C3142" s="7" t="str">
        <f>_xlfn.XLOOKUP(Vendas[[#This Row],[ID Vendedor]],Vendedores[ID],Vendedores[Setor])</f>
        <v>FM</v>
      </c>
      <c r="D3142" s="7" t="s">
        <v>6</v>
      </c>
      <c r="E3142" t="str">
        <f>_xlfn.XLOOKUP(Vendas[[#This Row],[ID Item Vendido]],Agregado[ID],Agregado[Produto])</f>
        <v>Parafuso comum 500un</v>
      </c>
      <c r="F3142" s="39">
        <v>45305</v>
      </c>
      <c r="G3142" s="7">
        <v>21</v>
      </c>
      <c r="H3142" s="3">
        <f>_xlfn.XLOOKUP(Vendas[[#This Row],[ID Item Vendido]],Agregado[ID],Agregado[Revenda])</f>
        <v>24.6</v>
      </c>
      <c r="I3142" s="3">
        <f>Vendas[[#This Row],[Valor Unitário]]*Vendas[[#This Row],[Qnt Vendida]]</f>
        <v>516.6</v>
      </c>
      <c r="J3142" s="3">
        <f>Vendas[[#This Row],[Valor da Venda]]-(_xlfn.XLOOKUP(Vendas[[#This Row],[ID Item Vendido]],Agregado[ID],Agregado[Custo])*Vendas[[#This Row],[Qnt Vendida]])</f>
        <v>54.600000000000023</v>
      </c>
      <c r="K3142" s="70">
        <f>Vendas[[#This Row],[Lucro da Venda]]/Vendas[[#This Row],[Valor da Venda]]</f>
        <v>0.10569105691056914</v>
      </c>
      <c r="L3142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3142"/>
    </row>
    <row r="3143" spans="1:13" x14ac:dyDescent="0.3">
      <c r="A3143" s="7">
        <v>400244</v>
      </c>
      <c r="B3143" t="str">
        <f>_xlfn.XLOOKUP(Vendas[[#This Row],[ID Vendedor]],Vendedores[ID],Vendedores[Nome])</f>
        <v>Camila</v>
      </c>
      <c r="C3143" s="7" t="str">
        <f>_xlfn.XLOOKUP(Vendas[[#This Row],[ID Vendedor]],Vendedores[ID],Vendedores[Setor])</f>
        <v>AHD</v>
      </c>
      <c r="D3143" s="7" t="s">
        <v>30</v>
      </c>
      <c r="E3143" t="str">
        <f>_xlfn.XLOOKUP(Vendas[[#This Row],[ID Item Vendido]],Agregado[ID],Agregado[Produto])</f>
        <v>Estrutura metálica soldada</v>
      </c>
      <c r="F3143" s="39">
        <v>45306</v>
      </c>
      <c r="G3143" s="7">
        <v>4</v>
      </c>
      <c r="H3143" s="3">
        <f>_xlfn.XLOOKUP(Vendas[[#This Row],[ID Item Vendido]],Agregado[ID],Agregado[Revenda])</f>
        <v>400</v>
      </c>
      <c r="I3143" s="3">
        <f>Vendas[[#This Row],[Valor Unitário]]*Vendas[[#This Row],[Qnt Vendida]]</f>
        <v>1600</v>
      </c>
      <c r="J3143" s="3">
        <f>Vendas[[#This Row],[Valor da Venda]]-(_xlfn.XLOOKUP(Vendas[[#This Row],[ID Item Vendido]],Agregado[ID],Agregado[Custo])*Vendas[[#This Row],[Qnt Vendida]])</f>
        <v>320</v>
      </c>
      <c r="K3143" s="70">
        <f>Vendas[[#This Row],[Lucro da Venda]]/Vendas[[#This Row],[Valor da Venda]]</f>
        <v>0.2</v>
      </c>
      <c r="L3143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143"/>
    </row>
    <row r="3144" spans="1:13" x14ac:dyDescent="0.3">
      <c r="A3144" s="7">
        <v>400248</v>
      </c>
      <c r="B3144" t="str">
        <f>_xlfn.XLOOKUP(Vendas[[#This Row],[ID Vendedor]],Vendedores[ID],Vendedores[Nome])</f>
        <v>Patrícia</v>
      </c>
      <c r="C3144" s="7" t="str">
        <f>_xlfn.XLOOKUP(Vendas[[#This Row],[ID Vendedor]],Vendedores[ID],Vendedores[Setor])</f>
        <v>CM</v>
      </c>
      <c r="D3144" s="7" t="s">
        <v>45</v>
      </c>
      <c r="E3144" t="str">
        <f>_xlfn.XLOOKUP(Vendas[[#This Row],[ID Item Vendido]],Agregado[ID],Agregado[Produto])</f>
        <v>Viga de madeira tratada 4m</v>
      </c>
      <c r="F3144" s="39">
        <v>45306</v>
      </c>
      <c r="G3144" s="7">
        <v>15</v>
      </c>
      <c r="H3144" s="3">
        <f>_xlfn.XLOOKUP(Vendas[[#This Row],[ID Item Vendido]],Agregado[ID],Agregado[Revenda])</f>
        <v>66</v>
      </c>
      <c r="I3144" s="3">
        <f>Vendas[[#This Row],[Valor Unitário]]*Vendas[[#This Row],[Qnt Vendida]]</f>
        <v>990</v>
      </c>
      <c r="J3144" s="3">
        <f>Vendas[[#This Row],[Valor da Venda]]-(_xlfn.XLOOKUP(Vendas[[#This Row],[ID Item Vendido]],Agregado[ID],Agregado[Custo])*Vendas[[#This Row],[Qnt Vendida]])</f>
        <v>165</v>
      </c>
      <c r="K3144" s="70">
        <f>Vendas[[#This Row],[Lucro da Venda]]/Vendas[[#This Row],[Valor da Venda]]</f>
        <v>0.16666666666666666</v>
      </c>
      <c r="L3144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3144"/>
    </row>
    <row r="3145" spans="1:13" x14ac:dyDescent="0.3">
      <c r="A3145" s="7">
        <v>400245</v>
      </c>
      <c r="B3145" t="str">
        <f>_xlfn.XLOOKUP(Vendas[[#This Row],[ID Vendedor]],Vendedores[ID],Vendedores[Nome])</f>
        <v>Thiago</v>
      </c>
      <c r="C3145" s="7" t="str">
        <f>_xlfn.XLOOKUP(Vendas[[#This Row],[ID Vendedor]],Vendedores[ID],Vendedores[Setor])</f>
        <v>AHD</v>
      </c>
      <c r="D3145" s="7" t="s">
        <v>9</v>
      </c>
      <c r="E3145" t="str">
        <f>_xlfn.XLOOKUP(Vendas[[#This Row],[ID Item Vendido]],Agregado[ID],Agregado[Produto])</f>
        <v>Barra de aço simples</v>
      </c>
      <c r="F3145" s="39">
        <v>45306</v>
      </c>
      <c r="G3145" s="7">
        <v>116</v>
      </c>
      <c r="H3145" s="3">
        <f>_xlfn.XLOOKUP(Vendas[[#This Row],[ID Item Vendido]],Agregado[ID],Agregado[Revenda])</f>
        <v>6.7</v>
      </c>
      <c r="I3145" s="3">
        <f>Vendas[[#This Row],[Valor Unitário]]*Vendas[[#This Row],[Qnt Vendida]]</f>
        <v>777.2</v>
      </c>
      <c r="J3145" s="3">
        <f>Vendas[[#This Row],[Valor da Venda]]-(_xlfn.XLOOKUP(Vendas[[#This Row],[ID Item Vendido]],Agregado[ID],Agregado[Custo])*Vendas[[#This Row],[Qnt Vendida]])</f>
        <v>104.40000000000009</v>
      </c>
      <c r="K3145" s="70">
        <f>Vendas[[#This Row],[Lucro da Venda]]/Vendas[[#This Row],[Valor da Venda]]</f>
        <v>0.13432835820895533</v>
      </c>
      <c r="L3145" s="3">
        <f>_xlfn.IFS(Vendas[[#This Row],[Margem de Lucro (%)]]&lt;15%,Vendas[[#This Row],[Valor da Venda]]*3%,Vendas[[#This Row],[Margem de Lucro (%)]]&lt;=20%,Vendas[[#This Row],[Valor da Venda]]*4.5%,TRUE,Vendas[[#This Row],[Valor da Venda]]*6%)</f>
        <v>23.315999999999999</v>
      </c>
      <c r="M3145"/>
    </row>
    <row r="3146" spans="1:13" x14ac:dyDescent="0.3">
      <c r="A3146" s="7">
        <v>400248</v>
      </c>
      <c r="B3146" t="str">
        <f>_xlfn.XLOOKUP(Vendas[[#This Row],[ID Vendedor]],Vendedores[ID],Vendedores[Nome])</f>
        <v>Patrícia</v>
      </c>
      <c r="C3146" s="7" t="str">
        <f>_xlfn.XLOOKUP(Vendas[[#This Row],[ID Vendedor]],Vendedores[ID],Vendedores[Setor])</f>
        <v>CM</v>
      </c>
      <c r="D3146" s="7" t="s">
        <v>32</v>
      </c>
      <c r="E3146" t="str">
        <f>_xlfn.XLOOKUP(Vendas[[#This Row],[ID Item Vendido]],Agregado[ID],Agregado[Produto])</f>
        <v>Tábua tratada e cortada 3m</v>
      </c>
      <c r="F3146" s="39">
        <v>45307</v>
      </c>
      <c r="G3146" s="7">
        <v>28</v>
      </c>
      <c r="H3146" s="3">
        <f>_xlfn.XLOOKUP(Vendas[[#This Row],[ID Item Vendido]],Agregado[ID],Agregado[Revenda])</f>
        <v>39</v>
      </c>
      <c r="I3146" s="3">
        <f>Vendas[[#This Row],[Valor Unitário]]*Vendas[[#This Row],[Qnt Vendida]]</f>
        <v>1092</v>
      </c>
      <c r="J3146" s="3">
        <f>Vendas[[#This Row],[Valor da Venda]]-(_xlfn.XLOOKUP(Vendas[[#This Row],[ID Item Vendido]],Agregado[ID],Agregado[Custo])*Vendas[[#This Row],[Qnt Vendida]])</f>
        <v>196</v>
      </c>
      <c r="K3146" s="70">
        <f>Vendas[[#This Row],[Lucro da Venda]]/Vendas[[#This Row],[Valor da Venda]]</f>
        <v>0.17948717948717949</v>
      </c>
      <c r="L3146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3146"/>
    </row>
    <row r="3147" spans="1:13" x14ac:dyDescent="0.3">
      <c r="A3147" s="7">
        <v>400241</v>
      </c>
      <c r="B3147" t="str">
        <f>_xlfn.XLOOKUP(Vendas[[#This Row],[ID Vendedor]],Vendedores[ID],Vendedores[Nome])</f>
        <v>Rodrigo</v>
      </c>
      <c r="C3147" s="7" t="str">
        <f>_xlfn.XLOOKUP(Vendas[[#This Row],[ID Vendedor]],Vendedores[ID],Vendedores[Setor])</f>
        <v>FM</v>
      </c>
      <c r="D3147" s="7" t="s">
        <v>20</v>
      </c>
      <c r="E3147" t="str">
        <f>_xlfn.XLOOKUP(Vendas[[#This Row],[ID Item Vendido]],Agregado[ID],Agregado[Produto])</f>
        <v>Barra de aço simples</v>
      </c>
      <c r="F3147" s="39">
        <v>45307</v>
      </c>
      <c r="G3147" s="7">
        <v>183</v>
      </c>
      <c r="H3147" s="3">
        <f>_xlfn.XLOOKUP(Vendas[[#This Row],[ID Item Vendido]],Agregado[ID],Agregado[Revenda])</f>
        <v>4.8</v>
      </c>
      <c r="I3147" s="3">
        <f>Vendas[[#This Row],[Valor Unitário]]*Vendas[[#This Row],[Qnt Vendida]]</f>
        <v>878.4</v>
      </c>
      <c r="J3147" s="3">
        <f>Vendas[[#This Row],[Valor da Venda]]-(_xlfn.XLOOKUP(Vendas[[#This Row],[ID Item Vendido]],Agregado[ID],Agregado[Custo])*Vendas[[#This Row],[Qnt Vendida]])</f>
        <v>109.79999999999995</v>
      </c>
      <c r="K3147" s="70">
        <f>Vendas[[#This Row],[Lucro da Venda]]/Vendas[[#This Row],[Valor da Venda]]</f>
        <v>0.12499999999999996</v>
      </c>
      <c r="L3147" s="3">
        <f>_xlfn.IFS(Vendas[[#This Row],[Margem de Lucro (%)]]&lt;15%,Vendas[[#This Row],[Valor da Venda]]*3%,Vendas[[#This Row],[Margem de Lucro (%)]]&lt;=20%,Vendas[[#This Row],[Valor da Venda]]*4.5%,TRUE,Vendas[[#This Row],[Valor da Venda]]*6%)</f>
        <v>26.351999999999997</v>
      </c>
      <c r="M3147"/>
    </row>
    <row r="3148" spans="1:13" x14ac:dyDescent="0.3">
      <c r="A3148" s="7">
        <v>400241</v>
      </c>
      <c r="B3148" t="str">
        <f>_xlfn.XLOOKUP(Vendas[[#This Row],[ID Vendedor]],Vendedores[ID],Vendedores[Nome])</f>
        <v>Rodrigo</v>
      </c>
      <c r="C3148" s="7" t="str">
        <f>_xlfn.XLOOKUP(Vendas[[#This Row],[ID Vendedor]],Vendedores[ID],Vendedores[Setor])</f>
        <v>FM</v>
      </c>
      <c r="D3148" s="7" t="s">
        <v>6</v>
      </c>
      <c r="E3148" t="str">
        <f>_xlfn.XLOOKUP(Vendas[[#This Row],[ID Item Vendido]],Agregado[ID],Agregado[Produto])</f>
        <v>Parafuso comum 500un</v>
      </c>
      <c r="F3148" s="39">
        <v>45307</v>
      </c>
      <c r="G3148" s="7">
        <v>12</v>
      </c>
      <c r="H3148" s="3">
        <f>_xlfn.XLOOKUP(Vendas[[#This Row],[ID Item Vendido]],Agregado[ID],Agregado[Revenda])</f>
        <v>24.6</v>
      </c>
      <c r="I3148" s="3">
        <f>Vendas[[#This Row],[Valor Unitário]]*Vendas[[#This Row],[Qnt Vendida]]</f>
        <v>295.20000000000005</v>
      </c>
      <c r="J3148" s="3">
        <f>Vendas[[#This Row],[Valor da Venda]]-(_xlfn.XLOOKUP(Vendas[[#This Row],[ID Item Vendido]],Agregado[ID],Agregado[Custo])*Vendas[[#This Row],[Qnt Vendida]])</f>
        <v>31.200000000000045</v>
      </c>
      <c r="K3148" s="70">
        <f>Vendas[[#This Row],[Lucro da Venda]]/Vendas[[#This Row],[Valor da Venda]]</f>
        <v>0.10569105691056924</v>
      </c>
      <c r="L3148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3148"/>
    </row>
    <row r="3149" spans="1:13" x14ac:dyDescent="0.3">
      <c r="A3149" s="7">
        <v>400242</v>
      </c>
      <c r="B3149" t="str">
        <f>_xlfn.XLOOKUP(Vendas[[#This Row],[ID Vendedor]],Vendedores[ID],Vendedores[Nome])</f>
        <v>Fernanda</v>
      </c>
      <c r="C3149" s="7" t="str">
        <f>_xlfn.XLOOKUP(Vendas[[#This Row],[ID Vendedor]],Vendedores[ID],Vendedores[Setor])</f>
        <v>FM</v>
      </c>
      <c r="D3149" s="7" t="s">
        <v>6</v>
      </c>
      <c r="E3149" t="str">
        <f>_xlfn.XLOOKUP(Vendas[[#This Row],[ID Item Vendido]],Agregado[ID],Agregado[Produto])</f>
        <v>Parafuso comum 500un</v>
      </c>
      <c r="F3149" s="39">
        <v>45307</v>
      </c>
      <c r="G3149" s="7">
        <v>11</v>
      </c>
      <c r="H3149" s="3">
        <f>_xlfn.XLOOKUP(Vendas[[#This Row],[ID Item Vendido]],Agregado[ID],Agregado[Revenda])</f>
        <v>24.6</v>
      </c>
      <c r="I3149" s="3">
        <f>Vendas[[#This Row],[Valor Unitário]]*Vendas[[#This Row],[Qnt Vendida]]</f>
        <v>270.60000000000002</v>
      </c>
      <c r="J3149" s="3">
        <f>Vendas[[#This Row],[Valor da Venda]]-(_xlfn.XLOOKUP(Vendas[[#This Row],[ID Item Vendido]],Agregado[ID],Agregado[Custo])*Vendas[[#This Row],[Qnt Vendida]])</f>
        <v>28.600000000000023</v>
      </c>
      <c r="K3149" s="70">
        <f>Vendas[[#This Row],[Lucro da Venda]]/Vendas[[#This Row],[Valor da Venda]]</f>
        <v>0.10569105691056918</v>
      </c>
      <c r="L3149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3149"/>
    </row>
    <row r="3150" spans="1:13" x14ac:dyDescent="0.3">
      <c r="A3150" s="7">
        <v>400253</v>
      </c>
      <c r="B3150" t="str">
        <f>_xlfn.XLOOKUP(Vendas[[#This Row],[ID Vendedor]],Vendedores[ID],Vendedores[Nome])</f>
        <v>Gustavo</v>
      </c>
      <c r="C3150" s="7" t="str">
        <f>_xlfn.XLOOKUP(Vendas[[#This Row],[ID Vendedor]],Vendedores[ID],Vendedores[Setor])</f>
        <v>SC</v>
      </c>
      <c r="D3150" s="7" t="s">
        <v>14</v>
      </c>
      <c r="E3150" t="str">
        <f>_xlfn.XLOOKUP(Vendas[[#This Row],[ID Item Vendido]],Agregado[ID],Agregado[Produto])</f>
        <v>Barril de plástico 200L</v>
      </c>
      <c r="F3150" s="39">
        <v>45308</v>
      </c>
      <c r="G3150" s="7">
        <v>22</v>
      </c>
      <c r="H3150" s="3">
        <f>_xlfn.XLOOKUP(Vendas[[#This Row],[ID Item Vendido]],Agregado[ID],Agregado[Revenda])</f>
        <v>114</v>
      </c>
      <c r="I3150" s="3">
        <f>Vendas[[#This Row],[Valor Unitário]]*Vendas[[#This Row],[Qnt Vendida]]</f>
        <v>2508</v>
      </c>
      <c r="J3150" s="3">
        <f>Vendas[[#This Row],[Valor da Venda]]-(_xlfn.XLOOKUP(Vendas[[#This Row],[ID Item Vendido]],Agregado[ID],Agregado[Custo])*Vendas[[#This Row],[Qnt Vendida]])</f>
        <v>418</v>
      </c>
      <c r="K3150" s="70">
        <f>Vendas[[#This Row],[Lucro da Venda]]/Vendas[[#This Row],[Valor da Venda]]</f>
        <v>0.16666666666666666</v>
      </c>
      <c r="L3150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3150"/>
    </row>
    <row r="3151" spans="1:13" x14ac:dyDescent="0.3">
      <c r="A3151" s="7">
        <v>400245</v>
      </c>
      <c r="B3151" t="str">
        <f>_xlfn.XLOOKUP(Vendas[[#This Row],[ID Vendedor]],Vendedores[ID],Vendedores[Nome])</f>
        <v>Thiago</v>
      </c>
      <c r="C3151" s="7" t="str">
        <f>_xlfn.XLOOKUP(Vendas[[#This Row],[ID Vendedor]],Vendedores[ID],Vendedores[Setor])</f>
        <v>AHD</v>
      </c>
      <c r="D3151" s="7" t="s">
        <v>18</v>
      </c>
      <c r="E3151" t="str">
        <f>_xlfn.XLOOKUP(Vendas[[#This Row],[ID Item Vendido]],Agregado[ID],Agregado[Produto])</f>
        <v>Peça forjada sob encomenda</v>
      </c>
      <c r="F3151" s="39">
        <v>45310</v>
      </c>
      <c r="G3151" s="7">
        <v>6</v>
      </c>
      <c r="H3151" s="3">
        <f>_xlfn.XLOOKUP(Vendas[[#This Row],[ID Item Vendido]],Agregado[ID],Agregado[Revenda])</f>
        <v>264.60000000000002</v>
      </c>
      <c r="I3151" s="3">
        <f>Vendas[[#This Row],[Valor Unitário]]*Vendas[[#This Row],[Qnt Vendida]]</f>
        <v>1587.6000000000001</v>
      </c>
      <c r="J3151" s="3">
        <f>Vendas[[#This Row],[Valor da Venda]]-(_xlfn.XLOOKUP(Vendas[[#This Row],[ID Item Vendido]],Agregado[ID],Agregado[Custo])*Vendas[[#This Row],[Qnt Vendida]])</f>
        <v>87.600000000000136</v>
      </c>
      <c r="K3151" s="70">
        <f>Vendas[[#This Row],[Lucro da Venda]]/Vendas[[#This Row],[Valor da Venda]]</f>
        <v>5.5177626606198113E-2</v>
      </c>
      <c r="L315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151"/>
    </row>
    <row r="3152" spans="1:13" x14ac:dyDescent="0.3">
      <c r="A3152" s="7">
        <v>400253</v>
      </c>
      <c r="B3152" t="str">
        <f>_xlfn.XLOOKUP(Vendas[[#This Row],[ID Vendedor]],Vendedores[ID],Vendedores[Nome])</f>
        <v>Gustavo</v>
      </c>
      <c r="C3152" s="7" t="str">
        <f>_xlfn.XLOOKUP(Vendas[[#This Row],[ID Vendedor]],Vendedores[ID],Vendedores[Setor])</f>
        <v>SC</v>
      </c>
      <c r="D3152" s="7" t="s">
        <v>14</v>
      </c>
      <c r="E3152" t="str">
        <f>_xlfn.XLOOKUP(Vendas[[#This Row],[ID Item Vendido]],Agregado[ID],Agregado[Produto])</f>
        <v>Barril de plástico 200L</v>
      </c>
      <c r="F3152" s="39">
        <v>45310</v>
      </c>
      <c r="G3152" s="7">
        <v>13</v>
      </c>
      <c r="H3152" s="3">
        <f>_xlfn.XLOOKUP(Vendas[[#This Row],[ID Item Vendido]],Agregado[ID],Agregado[Revenda])</f>
        <v>114</v>
      </c>
      <c r="I3152" s="3">
        <f>Vendas[[#This Row],[Valor Unitário]]*Vendas[[#This Row],[Qnt Vendida]]</f>
        <v>1482</v>
      </c>
      <c r="J3152" s="3">
        <f>Vendas[[#This Row],[Valor da Venda]]-(_xlfn.XLOOKUP(Vendas[[#This Row],[ID Item Vendido]],Agregado[ID],Agregado[Custo])*Vendas[[#This Row],[Qnt Vendida]])</f>
        <v>247</v>
      </c>
      <c r="K3152" s="70">
        <f>Vendas[[#This Row],[Lucro da Venda]]/Vendas[[#This Row],[Valor da Venda]]</f>
        <v>0.16666666666666666</v>
      </c>
      <c r="L3152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3152"/>
    </row>
    <row r="3153" spans="1:13" x14ac:dyDescent="0.3">
      <c r="A3153" s="7">
        <v>400254</v>
      </c>
      <c r="B3153" t="str">
        <f>_xlfn.XLOOKUP(Vendas[[#This Row],[ID Vendedor]],Vendedores[ID],Vendedores[Nome])</f>
        <v>Beatriz</v>
      </c>
      <c r="C3153" s="7" t="str">
        <f>_xlfn.XLOOKUP(Vendas[[#This Row],[ID Vendedor]],Vendedores[ID],Vendedores[Setor])</f>
        <v>SC</v>
      </c>
      <c r="D3153" s="7" t="s">
        <v>48</v>
      </c>
      <c r="E3153" t="str">
        <f>_xlfn.XLOOKUP(Vendas[[#This Row],[ID Item Vendido]],Agregado[ID],Agregado[Produto])</f>
        <v>Tambor metálico 200L</v>
      </c>
      <c r="F3153" s="39">
        <v>45311</v>
      </c>
      <c r="G3153" s="7">
        <v>12</v>
      </c>
      <c r="H3153" s="3">
        <f>_xlfn.XLOOKUP(Vendas[[#This Row],[ID Item Vendido]],Agregado[ID],Agregado[Revenda])</f>
        <v>144</v>
      </c>
      <c r="I3153" s="3">
        <f>Vendas[[#This Row],[Valor Unitário]]*Vendas[[#This Row],[Qnt Vendida]]</f>
        <v>1728</v>
      </c>
      <c r="J3153" s="3">
        <f>Vendas[[#This Row],[Valor da Venda]]-(_xlfn.XLOOKUP(Vendas[[#This Row],[ID Item Vendido]],Agregado[ID],Agregado[Custo])*Vendas[[#This Row],[Qnt Vendida]])</f>
        <v>288</v>
      </c>
      <c r="K3153" s="70">
        <f>Vendas[[#This Row],[Lucro da Venda]]/Vendas[[#This Row],[Valor da Venda]]</f>
        <v>0.16666666666666666</v>
      </c>
      <c r="L3153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3153"/>
    </row>
    <row r="3154" spans="1:13" x14ac:dyDescent="0.3">
      <c r="A3154" s="7">
        <v>400246</v>
      </c>
      <c r="B3154" t="str">
        <f>_xlfn.XLOOKUP(Vendas[[#This Row],[ID Vendedor]],Vendedores[ID],Vendedores[Nome])</f>
        <v>Juliana</v>
      </c>
      <c r="C3154" s="7" t="str">
        <f>_xlfn.XLOOKUP(Vendas[[#This Row],[ID Vendedor]],Vendedores[ID],Vendedores[Setor])</f>
        <v>AHD</v>
      </c>
      <c r="D3154" s="7" t="s">
        <v>30</v>
      </c>
      <c r="E3154" t="str">
        <f>_xlfn.XLOOKUP(Vendas[[#This Row],[ID Item Vendido]],Agregado[ID],Agregado[Produto])</f>
        <v>Estrutura metálica soldada</v>
      </c>
      <c r="F3154" s="39">
        <v>45311</v>
      </c>
      <c r="G3154" s="7">
        <v>1</v>
      </c>
      <c r="H3154" s="3">
        <f>_xlfn.XLOOKUP(Vendas[[#This Row],[ID Item Vendido]],Agregado[ID],Agregado[Revenda])</f>
        <v>400</v>
      </c>
      <c r="I3154" s="3">
        <f>Vendas[[#This Row],[Valor Unitário]]*Vendas[[#This Row],[Qnt Vendida]]</f>
        <v>400</v>
      </c>
      <c r="J3154" s="3">
        <f>Vendas[[#This Row],[Valor da Venda]]-(_xlfn.XLOOKUP(Vendas[[#This Row],[ID Item Vendido]],Agregado[ID],Agregado[Custo])*Vendas[[#This Row],[Qnt Vendida]])</f>
        <v>80</v>
      </c>
      <c r="K3154" s="70">
        <f>Vendas[[#This Row],[Lucro da Venda]]/Vendas[[#This Row],[Valor da Venda]]</f>
        <v>0.2</v>
      </c>
      <c r="L315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154"/>
    </row>
    <row r="3155" spans="1:13" x14ac:dyDescent="0.3">
      <c r="A3155" s="7">
        <v>400252</v>
      </c>
      <c r="B3155" t="str">
        <f>_xlfn.XLOOKUP(Vendas[[#This Row],[ID Vendedor]],Vendedores[ID],Vendedores[Nome])</f>
        <v>Renata</v>
      </c>
      <c r="C3155" s="7" t="str">
        <f>_xlfn.XLOOKUP(Vendas[[#This Row],[ID Vendedor]],Vendedores[ID],Vendedores[Setor])</f>
        <v>AB</v>
      </c>
      <c r="D3155" s="7" t="s">
        <v>36</v>
      </c>
      <c r="E3155" t="str">
        <f>_xlfn.XLOOKUP(Vendas[[#This Row],[ID Item Vendido]],Agregado[ID],Agregado[Produto])</f>
        <v>Borracha vulcanizada em manta</v>
      </c>
      <c r="F3155" s="39">
        <v>45311</v>
      </c>
      <c r="G3155" s="7">
        <v>21</v>
      </c>
      <c r="H3155" s="3">
        <f>_xlfn.XLOOKUP(Vendas[[#This Row],[ID Item Vendido]],Agregado[ID],Agregado[Revenda])</f>
        <v>7.8</v>
      </c>
      <c r="I3155" s="3">
        <f>Vendas[[#This Row],[Valor Unitário]]*Vendas[[#This Row],[Qnt Vendida]]</f>
        <v>163.79999999999998</v>
      </c>
      <c r="J3155" s="3">
        <f>Vendas[[#This Row],[Valor da Venda]]-(_xlfn.XLOOKUP(Vendas[[#This Row],[ID Item Vendido]],Agregado[ID],Agregado[Custo])*Vendas[[#This Row],[Qnt Vendida]])</f>
        <v>37.799999999999983</v>
      </c>
      <c r="K3155" s="70">
        <f>Vendas[[#This Row],[Lucro da Venda]]/Vendas[[#This Row],[Valor da Venda]]</f>
        <v>0.2307692307692307</v>
      </c>
      <c r="L3155" s="3">
        <f>_xlfn.IFS(Vendas[[#This Row],[Margem de Lucro (%)]]&lt;15%,Vendas[[#This Row],[Valor da Venda]]*3%,Vendas[[#This Row],[Margem de Lucro (%)]]&lt;=20%,Vendas[[#This Row],[Valor da Venda]]*4.5%,TRUE,Vendas[[#This Row],[Valor da Venda]]*6%)</f>
        <v>9.8279999999999994</v>
      </c>
      <c r="M3155"/>
    </row>
    <row r="3156" spans="1:13" x14ac:dyDescent="0.3">
      <c r="A3156" s="7">
        <v>400243</v>
      </c>
      <c r="B3156" t="str">
        <f>_xlfn.XLOOKUP(Vendas[[#This Row],[ID Vendedor]],Vendedores[ID],Vendedores[Nome])</f>
        <v>Marcelo</v>
      </c>
      <c r="C3156" s="7" t="str">
        <f>_xlfn.XLOOKUP(Vendas[[#This Row],[ID Vendedor]],Vendedores[ID],Vendedores[Setor])</f>
        <v>FM</v>
      </c>
      <c r="D3156" s="7" t="s">
        <v>6</v>
      </c>
      <c r="E3156" t="str">
        <f>_xlfn.XLOOKUP(Vendas[[#This Row],[ID Item Vendido]],Agregado[ID],Agregado[Produto])</f>
        <v>Parafuso comum 500un</v>
      </c>
      <c r="F3156" s="39">
        <v>45311</v>
      </c>
      <c r="G3156" s="7">
        <v>2</v>
      </c>
      <c r="H3156" s="3">
        <f>_xlfn.XLOOKUP(Vendas[[#This Row],[ID Item Vendido]],Agregado[ID],Agregado[Revenda])</f>
        <v>24.6</v>
      </c>
      <c r="I3156" s="3">
        <f>Vendas[[#This Row],[Valor Unitário]]*Vendas[[#This Row],[Qnt Vendida]]</f>
        <v>49.2</v>
      </c>
      <c r="J3156" s="3">
        <f>Vendas[[#This Row],[Valor da Venda]]-(_xlfn.XLOOKUP(Vendas[[#This Row],[ID Item Vendido]],Agregado[ID],Agregado[Custo])*Vendas[[#This Row],[Qnt Vendida]])</f>
        <v>5.2000000000000028</v>
      </c>
      <c r="K3156" s="70">
        <f>Vendas[[#This Row],[Lucro da Venda]]/Vendas[[#This Row],[Valor da Venda]]</f>
        <v>0.10569105691056915</v>
      </c>
      <c r="L3156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3156"/>
    </row>
    <row r="3157" spans="1:13" x14ac:dyDescent="0.3">
      <c r="A3157" s="7">
        <v>400242</v>
      </c>
      <c r="B3157" t="str">
        <f>_xlfn.XLOOKUP(Vendas[[#This Row],[ID Vendedor]],Vendedores[ID],Vendedores[Nome])</f>
        <v>Fernanda</v>
      </c>
      <c r="C3157" s="7" t="str">
        <f>_xlfn.XLOOKUP(Vendas[[#This Row],[ID Vendedor]],Vendedores[ID],Vendedores[Setor])</f>
        <v>FM</v>
      </c>
      <c r="D3157" s="7" t="s">
        <v>31</v>
      </c>
      <c r="E3157" t="str">
        <f>_xlfn.XLOOKUP(Vendas[[#This Row],[ID Item Vendido]],Agregado[ID],Agregado[Produto])</f>
        <v>Tela de metal soldada rolo 2x25m</v>
      </c>
      <c r="F3157" s="39">
        <v>45312</v>
      </c>
      <c r="G3157" s="7">
        <v>3</v>
      </c>
      <c r="H3157" s="3">
        <f>_xlfn.XLOOKUP(Vendas[[#This Row],[ID Item Vendido]],Agregado[ID],Agregado[Revenda])</f>
        <v>43.7</v>
      </c>
      <c r="I3157" s="3">
        <f>Vendas[[#This Row],[Valor Unitário]]*Vendas[[#This Row],[Qnt Vendida]]</f>
        <v>131.10000000000002</v>
      </c>
      <c r="J3157" s="3">
        <f>Vendas[[#This Row],[Valor da Venda]]-(_xlfn.XLOOKUP(Vendas[[#This Row],[ID Item Vendido]],Agregado[ID],Agregado[Custo])*Vendas[[#This Row],[Qnt Vendida]])</f>
        <v>17.100000000000023</v>
      </c>
      <c r="K3157" s="70">
        <f>Vendas[[#This Row],[Lucro da Venda]]/Vendas[[#This Row],[Valor da Venda]]</f>
        <v>0.13043478260869582</v>
      </c>
      <c r="L3157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3157"/>
    </row>
    <row r="3158" spans="1:13" x14ac:dyDescent="0.3">
      <c r="A3158" s="7">
        <v>400250</v>
      </c>
      <c r="B3158" t="str">
        <f>_xlfn.XLOOKUP(Vendas[[#This Row],[ID Vendedor]],Vendedores[ID],Vendedores[Nome])</f>
        <v>Larissa</v>
      </c>
      <c r="C3158" s="7" t="str">
        <f>_xlfn.XLOOKUP(Vendas[[#This Row],[ID Vendedor]],Vendedores[ID],Vendedores[Setor])</f>
        <v>AB</v>
      </c>
      <c r="D3158" s="7" t="s">
        <v>24</v>
      </c>
      <c r="E3158" t="str">
        <f>_xlfn.XLOOKUP(Vendas[[#This Row],[ID Item Vendido]],Agregado[ID],Agregado[Produto])</f>
        <v>Resina plástica PET purificada saco de 25kg</v>
      </c>
      <c r="F3158" s="39">
        <v>45313</v>
      </c>
      <c r="G3158" s="7">
        <v>21</v>
      </c>
      <c r="H3158" s="3">
        <f>_xlfn.XLOOKUP(Vendas[[#This Row],[ID Item Vendido]],Agregado[ID],Agregado[Revenda])</f>
        <v>119</v>
      </c>
      <c r="I3158" s="3">
        <f>Vendas[[#This Row],[Valor Unitário]]*Vendas[[#This Row],[Qnt Vendida]]</f>
        <v>2499</v>
      </c>
      <c r="J3158" s="3">
        <f>Vendas[[#This Row],[Valor da Venda]]-(_xlfn.XLOOKUP(Vendas[[#This Row],[ID Item Vendido]],Agregado[ID],Agregado[Custo])*Vendas[[#This Row],[Qnt Vendida]])</f>
        <v>714</v>
      </c>
      <c r="K3158" s="70">
        <f>Vendas[[#This Row],[Lucro da Venda]]/Vendas[[#This Row],[Valor da Venda]]</f>
        <v>0.2857142857142857</v>
      </c>
      <c r="L3158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3158"/>
    </row>
    <row r="3159" spans="1:13" x14ac:dyDescent="0.3">
      <c r="A3159" s="7">
        <v>400253</v>
      </c>
      <c r="B3159" t="str">
        <f>_xlfn.XLOOKUP(Vendas[[#This Row],[ID Vendedor]],Vendedores[ID],Vendedores[Nome])</f>
        <v>Gustavo</v>
      </c>
      <c r="C3159" s="7" t="str">
        <f>_xlfn.XLOOKUP(Vendas[[#This Row],[ID Vendedor]],Vendedores[ID],Vendedores[Setor])</f>
        <v>SC</v>
      </c>
      <c r="D3159" s="7" t="s">
        <v>48</v>
      </c>
      <c r="E3159" t="str">
        <f>_xlfn.XLOOKUP(Vendas[[#This Row],[ID Item Vendido]],Agregado[ID],Agregado[Produto])</f>
        <v>Tambor metálico 200L</v>
      </c>
      <c r="F3159" s="39">
        <v>45313</v>
      </c>
      <c r="G3159" s="7">
        <v>9</v>
      </c>
      <c r="H3159" s="3">
        <f>_xlfn.XLOOKUP(Vendas[[#This Row],[ID Item Vendido]],Agregado[ID],Agregado[Revenda])</f>
        <v>144</v>
      </c>
      <c r="I3159" s="3">
        <f>Vendas[[#This Row],[Valor Unitário]]*Vendas[[#This Row],[Qnt Vendida]]</f>
        <v>1296</v>
      </c>
      <c r="J3159" s="3">
        <f>Vendas[[#This Row],[Valor da Venda]]-(_xlfn.XLOOKUP(Vendas[[#This Row],[ID Item Vendido]],Agregado[ID],Agregado[Custo])*Vendas[[#This Row],[Qnt Vendida]])</f>
        <v>216</v>
      </c>
      <c r="K3159" s="70">
        <f>Vendas[[#This Row],[Lucro da Venda]]/Vendas[[#This Row],[Valor da Venda]]</f>
        <v>0.16666666666666666</v>
      </c>
      <c r="L3159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3159"/>
    </row>
    <row r="3160" spans="1:13" x14ac:dyDescent="0.3">
      <c r="A3160" s="7">
        <v>400248</v>
      </c>
      <c r="B3160" t="str">
        <f>_xlfn.XLOOKUP(Vendas[[#This Row],[ID Vendedor]],Vendedores[ID],Vendedores[Nome])</f>
        <v>Patrícia</v>
      </c>
      <c r="C3160" s="7" t="str">
        <f>_xlfn.XLOOKUP(Vendas[[#This Row],[ID Vendedor]],Vendedores[ID],Vendedores[Setor])</f>
        <v>CM</v>
      </c>
      <c r="D3160" s="7" t="s">
        <v>32</v>
      </c>
      <c r="E3160" t="str">
        <f>_xlfn.XLOOKUP(Vendas[[#This Row],[ID Item Vendido]],Agregado[ID],Agregado[Produto])</f>
        <v>Tábua tratada e cortada 3m</v>
      </c>
      <c r="F3160" s="39">
        <v>45313</v>
      </c>
      <c r="G3160" s="7">
        <v>8</v>
      </c>
      <c r="H3160" s="3">
        <f>_xlfn.XLOOKUP(Vendas[[#This Row],[ID Item Vendido]],Agregado[ID],Agregado[Revenda])</f>
        <v>39</v>
      </c>
      <c r="I3160" s="3">
        <f>Vendas[[#This Row],[Valor Unitário]]*Vendas[[#This Row],[Qnt Vendida]]</f>
        <v>312</v>
      </c>
      <c r="J3160" s="3">
        <f>Vendas[[#This Row],[Valor da Venda]]-(_xlfn.XLOOKUP(Vendas[[#This Row],[ID Item Vendido]],Agregado[ID],Agregado[Custo])*Vendas[[#This Row],[Qnt Vendida]])</f>
        <v>56</v>
      </c>
      <c r="K3160" s="70">
        <f>Vendas[[#This Row],[Lucro da Venda]]/Vendas[[#This Row],[Valor da Venda]]</f>
        <v>0.17948717948717949</v>
      </c>
      <c r="L3160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160"/>
    </row>
    <row r="3161" spans="1:13" x14ac:dyDescent="0.3">
      <c r="A3161" s="7">
        <v>400250</v>
      </c>
      <c r="B3161" t="str">
        <f>_xlfn.XLOOKUP(Vendas[[#This Row],[ID Vendedor]],Vendedores[ID],Vendedores[Nome])</f>
        <v>Larissa</v>
      </c>
      <c r="C3161" s="7" t="str">
        <f>_xlfn.XLOOKUP(Vendas[[#This Row],[ID Vendedor]],Vendedores[ID],Vendedores[Setor])</f>
        <v>AB</v>
      </c>
      <c r="D3161" s="7" t="s">
        <v>36</v>
      </c>
      <c r="E3161" t="str">
        <f>_xlfn.XLOOKUP(Vendas[[#This Row],[ID Item Vendido]],Agregado[ID],Agregado[Produto])</f>
        <v>Borracha vulcanizada em manta</v>
      </c>
      <c r="F3161" s="39">
        <v>45313</v>
      </c>
      <c r="G3161" s="7">
        <v>28</v>
      </c>
      <c r="H3161" s="3">
        <f>_xlfn.XLOOKUP(Vendas[[#This Row],[ID Item Vendido]],Agregado[ID],Agregado[Revenda])</f>
        <v>7.8</v>
      </c>
      <c r="I3161" s="3">
        <f>Vendas[[#This Row],[Valor Unitário]]*Vendas[[#This Row],[Qnt Vendida]]</f>
        <v>218.4</v>
      </c>
      <c r="J3161" s="3">
        <f>Vendas[[#This Row],[Valor da Venda]]-(_xlfn.XLOOKUP(Vendas[[#This Row],[ID Item Vendido]],Agregado[ID],Agregado[Custo])*Vendas[[#This Row],[Qnt Vendida]])</f>
        <v>50.400000000000006</v>
      </c>
      <c r="K3161" s="70">
        <f>Vendas[[#This Row],[Lucro da Venda]]/Vendas[[#This Row],[Valor da Venda]]</f>
        <v>0.23076923076923078</v>
      </c>
      <c r="L3161" s="3">
        <f>_xlfn.IFS(Vendas[[#This Row],[Margem de Lucro (%)]]&lt;15%,Vendas[[#This Row],[Valor da Venda]]*3%,Vendas[[#This Row],[Margem de Lucro (%)]]&lt;=20%,Vendas[[#This Row],[Valor da Venda]]*4.5%,TRUE,Vendas[[#This Row],[Valor da Venda]]*6%)</f>
        <v>13.103999999999999</v>
      </c>
      <c r="M3161"/>
    </row>
    <row r="3162" spans="1:13" x14ac:dyDescent="0.3">
      <c r="A3162" s="7">
        <v>400249</v>
      </c>
      <c r="B3162" t="str">
        <f>_xlfn.XLOOKUP(Vendas[[#This Row],[ID Vendedor]],Vendedores[ID],Vendedores[Nome])</f>
        <v>Bruno</v>
      </c>
      <c r="C3162" s="7" t="str">
        <f>_xlfn.XLOOKUP(Vendas[[#This Row],[ID Vendedor]],Vendedores[ID],Vendedores[Setor])</f>
        <v>CM</v>
      </c>
      <c r="D3162" s="7" t="s">
        <v>43</v>
      </c>
      <c r="E3162" t="str">
        <f>_xlfn.XLOOKUP(Vendas[[#This Row],[ID Item Vendido]],Agregado[ID],Agregado[Produto])</f>
        <v>Madeira Bruta (Tora)</v>
      </c>
      <c r="F3162" s="39">
        <v>45313</v>
      </c>
      <c r="G3162" s="7">
        <v>1</v>
      </c>
      <c r="H3162" s="3">
        <f>_xlfn.XLOOKUP(Vendas[[#This Row],[ID Item Vendido]],Agregado[ID],Agregado[Revenda])</f>
        <v>212</v>
      </c>
      <c r="I3162" s="3">
        <f>Vendas[[#This Row],[Valor Unitário]]*Vendas[[#This Row],[Qnt Vendida]]</f>
        <v>212</v>
      </c>
      <c r="J3162" s="3">
        <f>Vendas[[#This Row],[Valor da Venda]]-(_xlfn.XLOOKUP(Vendas[[#This Row],[ID Item Vendido]],Agregado[ID],Agregado[Custo])*Vendas[[#This Row],[Qnt Vendida]])</f>
        <v>32</v>
      </c>
      <c r="K3162" s="70">
        <f>Vendas[[#This Row],[Lucro da Venda]]/Vendas[[#This Row],[Valor da Venda]]</f>
        <v>0.15094339622641509</v>
      </c>
      <c r="L3162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3162"/>
    </row>
    <row r="3163" spans="1:13" x14ac:dyDescent="0.3">
      <c r="A3163" s="7">
        <v>400251</v>
      </c>
      <c r="B3163" t="str">
        <f>_xlfn.XLOOKUP(Vendas[[#This Row],[ID Vendedor]],Vendedores[ID],Vendedores[Nome])</f>
        <v>Diego</v>
      </c>
      <c r="C3163" s="7" t="str">
        <f>_xlfn.XLOOKUP(Vendas[[#This Row],[ID Vendedor]],Vendedores[ID],Vendedores[Setor])</f>
        <v>AB</v>
      </c>
      <c r="D3163" s="7" t="s">
        <v>36</v>
      </c>
      <c r="E3163" t="str">
        <f>_xlfn.XLOOKUP(Vendas[[#This Row],[ID Item Vendido]],Agregado[ID],Agregado[Produto])</f>
        <v>Borracha vulcanizada em manta</v>
      </c>
      <c r="F3163" s="39">
        <v>45314</v>
      </c>
      <c r="G3163" s="7">
        <v>96</v>
      </c>
      <c r="H3163" s="3">
        <f>_xlfn.XLOOKUP(Vendas[[#This Row],[ID Item Vendido]],Agregado[ID],Agregado[Revenda])</f>
        <v>7.8</v>
      </c>
      <c r="I3163" s="3">
        <f>Vendas[[#This Row],[Valor Unitário]]*Vendas[[#This Row],[Qnt Vendida]]</f>
        <v>748.8</v>
      </c>
      <c r="J3163" s="3">
        <f>Vendas[[#This Row],[Valor da Venda]]-(_xlfn.XLOOKUP(Vendas[[#This Row],[ID Item Vendido]],Agregado[ID],Agregado[Custo])*Vendas[[#This Row],[Qnt Vendida]])</f>
        <v>172.79999999999995</v>
      </c>
      <c r="K3163" s="70">
        <f>Vendas[[#This Row],[Lucro da Venda]]/Vendas[[#This Row],[Valor da Venda]]</f>
        <v>0.23076923076923073</v>
      </c>
      <c r="L3163" s="3">
        <f>_xlfn.IFS(Vendas[[#This Row],[Margem de Lucro (%)]]&lt;15%,Vendas[[#This Row],[Valor da Venda]]*3%,Vendas[[#This Row],[Margem de Lucro (%)]]&lt;=20%,Vendas[[#This Row],[Valor da Venda]]*4.5%,TRUE,Vendas[[#This Row],[Valor da Venda]]*6%)</f>
        <v>44.927999999999997</v>
      </c>
      <c r="M3163"/>
    </row>
    <row r="3164" spans="1:13" x14ac:dyDescent="0.3">
      <c r="A3164" s="7">
        <v>400242</v>
      </c>
      <c r="B3164" t="str">
        <f>_xlfn.XLOOKUP(Vendas[[#This Row],[ID Vendedor]],Vendedores[ID],Vendedores[Nome])</f>
        <v>Fernanda</v>
      </c>
      <c r="C3164" s="7" t="str">
        <f>_xlfn.XLOOKUP(Vendas[[#This Row],[ID Vendedor]],Vendedores[ID],Vendedores[Setor])</f>
        <v>FM</v>
      </c>
      <c r="D3164" s="7" t="s">
        <v>47</v>
      </c>
      <c r="E3164" t="str">
        <f>_xlfn.XLOOKUP(Vendas[[#This Row],[ID Item Vendido]],Agregado[ID],Agregado[Produto])</f>
        <v>Fio de arame galvanizado rolo 50m</v>
      </c>
      <c r="F3164" s="39">
        <v>45314</v>
      </c>
      <c r="G3164" s="7">
        <v>7</v>
      </c>
      <c r="H3164" s="3">
        <f>_xlfn.XLOOKUP(Vendas[[#This Row],[ID Item Vendido]],Agregado[ID],Agregado[Revenda])</f>
        <v>21.2</v>
      </c>
      <c r="I3164" s="3">
        <f>Vendas[[#This Row],[Valor Unitário]]*Vendas[[#This Row],[Qnt Vendida]]</f>
        <v>148.4</v>
      </c>
      <c r="J3164" s="3">
        <f>Vendas[[#This Row],[Valor da Venda]]-(_xlfn.XLOOKUP(Vendas[[#This Row],[ID Item Vendido]],Agregado[ID],Agregado[Custo])*Vendas[[#This Row],[Qnt Vendida]])</f>
        <v>22.400000000000006</v>
      </c>
      <c r="K3164" s="70">
        <f>Vendas[[#This Row],[Lucro da Venda]]/Vendas[[#This Row],[Valor da Venda]]</f>
        <v>0.15094339622641512</v>
      </c>
      <c r="L3164" s="3">
        <f>_xlfn.IFS(Vendas[[#This Row],[Margem de Lucro (%)]]&lt;15%,Vendas[[#This Row],[Valor da Venda]]*3%,Vendas[[#This Row],[Margem de Lucro (%)]]&lt;=20%,Vendas[[#This Row],[Valor da Venda]]*4.5%,TRUE,Vendas[[#This Row],[Valor da Venda]]*6%)</f>
        <v>6.6779999999999999</v>
      </c>
      <c r="M3164"/>
    </row>
    <row r="3165" spans="1:13" x14ac:dyDescent="0.3">
      <c r="A3165" s="7">
        <v>400254</v>
      </c>
      <c r="B3165" t="str">
        <f>_xlfn.XLOOKUP(Vendas[[#This Row],[ID Vendedor]],Vendedores[ID],Vendedores[Nome])</f>
        <v>Beatriz</v>
      </c>
      <c r="C3165" s="7" t="str">
        <f>_xlfn.XLOOKUP(Vendas[[#This Row],[ID Vendedor]],Vendedores[ID],Vendedores[Setor])</f>
        <v>SC</v>
      </c>
      <c r="D3165" s="7" t="s">
        <v>14</v>
      </c>
      <c r="E3165" t="str">
        <f>_xlfn.XLOOKUP(Vendas[[#This Row],[ID Item Vendido]],Agregado[ID],Agregado[Produto])</f>
        <v>Barril de plástico 200L</v>
      </c>
      <c r="F3165" s="39">
        <v>45315</v>
      </c>
      <c r="G3165" s="7">
        <v>24</v>
      </c>
      <c r="H3165" s="3">
        <f>_xlfn.XLOOKUP(Vendas[[#This Row],[ID Item Vendido]],Agregado[ID],Agregado[Revenda])</f>
        <v>114</v>
      </c>
      <c r="I3165" s="3">
        <f>Vendas[[#This Row],[Valor Unitário]]*Vendas[[#This Row],[Qnt Vendida]]</f>
        <v>2736</v>
      </c>
      <c r="J3165" s="3">
        <f>Vendas[[#This Row],[Valor da Venda]]-(_xlfn.XLOOKUP(Vendas[[#This Row],[ID Item Vendido]],Agregado[ID],Agregado[Custo])*Vendas[[#This Row],[Qnt Vendida]])</f>
        <v>456</v>
      </c>
      <c r="K3165" s="70">
        <f>Vendas[[#This Row],[Lucro da Venda]]/Vendas[[#This Row],[Valor da Venda]]</f>
        <v>0.16666666666666666</v>
      </c>
      <c r="L3165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3165"/>
    </row>
    <row r="3166" spans="1:13" x14ac:dyDescent="0.3">
      <c r="A3166" s="7">
        <v>400242</v>
      </c>
      <c r="B3166" t="str">
        <f>_xlfn.XLOOKUP(Vendas[[#This Row],[ID Vendedor]],Vendedores[ID],Vendedores[Nome])</f>
        <v>Fernanda</v>
      </c>
      <c r="C3166" s="7" t="str">
        <f>_xlfn.XLOOKUP(Vendas[[#This Row],[ID Vendedor]],Vendedores[ID],Vendedores[Setor])</f>
        <v>FM</v>
      </c>
      <c r="D3166" s="7" t="s">
        <v>27</v>
      </c>
      <c r="E3166" t="str">
        <f>_xlfn.XLOOKUP(Vendas[[#This Row],[ID Item Vendido]],Agregado[ID],Agregado[Produto])</f>
        <v>Chapa de metal lisa 1x2m</v>
      </c>
      <c r="F3166" s="39">
        <v>45315</v>
      </c>
      <c r="G3166" s="7">
        <v>24</v>
      </c>
      <c r="H3166" s="3">
        <f>_xlfn.XLOOKUP(Vendas[[#This Row],[ID Item Vendido]],Agregado[ID],Agregado[Revenda])</f>
        <v>52</v>
      </c>
      <c r="I3166" s="3">
        <f>Vendas[[#This Row],[Valor Unitário]]*Vendas[[#This Row],[Qnt Vendida]]</f>
        <v>1248</v>
      </c>
      <c r="J3166" s="3">
        <f>Vendas[[#This Row],[Valor da Venda]]-(_xlfn.XLOOKUP(Vendas[[#This Row],[ID Item Vendido]],Agregado[ID],Agregado[Custo])*Vendas[[#This Row],[Qnt Vendida]])</f>
        <v>168</v>
      </c>
      <c r="K3166" s="70">
        <f>Vendas[[#This Row],[Lucro da Venda]]/Vendas[[#This Row],[Valor da Venda]]</f>
        <v>0.13461538461538461</v>
      </c>
      <c r="L3166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3166"/>
    </row>
    <row r="3167" spans="1:13" x14ac:dyDescent="0.3">
      <c r="A3167" s="7">
        <v>400254</v>
      </c>
      <c r="B3167" t="str">
        <f>_xlfn.XLOOKUP(Vendas[[#This Row],[ID Vendedor]],Vendedores[ID],Vendedores[Nome])</f>
        <v>Beatriz</v>
      </c>
      <c r="C3167" s="7" t="str">
        <f>_xlfn.XLOOKUP(Vendas[[#This Row],[ID Vendedor]],Vendedores[ID],Vendedores[Setor])</f>
        <v>SC</v>
      </c>
      <c r="D3167" s="7" t="s">
        <v>42</v>
      </c>
      <c r="E3167" t="str">
        <f>_xlfn.XLOOKUP(Vendas[[#This Row],[ID Item Vendido]],Agregado[ID],Agregado[Produto])</f>
        <v>Container de ferro industrial</v>
      </c>
      <c r="F3167" s="39">
        <v>45315</v>
      </c>
      <c r="G3167" s="7">
        <v>1</v>
      </c>
      <c r="H3167" s="3">
        <f>_xlfn.XLOOKUP(Vendas[[#This Row],[ID Item Vendido]],Agregado[ID],Agregado[Revenda])</f>
        <v>830</v>
      </c>
      <c r="I3167" s="3">
        <f>Vendas[[#This Row],[Valor Unitário]]*Vendas[[#This Row],[Qnt Vendida]]</f>
        <v>830</v>
      </c>
      <c r="J3167" s="3">
        <f>Vendas[[#This Row],[Valor da Venda]]-(_xlfn.XLOOKUP(Vendas[[#This Row],[ID Item Vendido]],Agregado[ID],Agregado[Custo])*Vendas[[#This Row],[Qnt Vendida]])</f>
        <v>150</v>
      </c>
      <c r="K3167" s="70">
        <f>Vendas[[#This Row],[Lucro da Venda]]/Vendas[[#This Row],[Valor da Venda]]</f>
        <v>0.18072289156626506</v>
      </c>
      <c r="L3167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167"/>
    </row>
    <row r="3168" spans="1:13" x14ac:dyDescent="0.3">
      <c r="A3168" s="7">
        <v>400241</v>
      </c>
      <c r="B3168" t="str">
        <f>_xlfn.XLOOKUP(Vendas[[#This Row],[ID Vendedor]],Vendedores[ID],Vendedores[Nome])</f>
        <v>Rodrigo</v>
      </c>
      <c r="C3168" s="7" t="str">
        <f>_xlfn.XLOOKUP(Vendas[[#This Row],[ID Vendedor]],Vendedores[ID],Vendedores[Setor])</f>
        <v>FM</v>
      </c>
      <c r="D3168" s="7" t="s">
        <v>6</v>
      </c>
      <c r="E3168" t="str">
        <f>_xlfn.XLOOKUP(Vendas[[#This Row],[ID Item Vendido]],Agregado[ID],Agregado[Produto])</f>
        <v>Parafuso comum 500un</v>
      </c>
      <c r="F3168" s="39">
        <v>45315</v>
      </c>
      <c r="G3168" s="7">
        <v>18</v>
      </c>
      <c r="H3168" s="3">
        <f>_xlfn.XLOOKUP(Vendas[[#This Row],[ID Item Vendido]],Agregado[ID],Agregado[Revenda])</f>
        <v>24.6</v>
      </c>
      <c r="I3168" s="3">
        <f>Vendas[[#This Row],[Valor Unitário]]*Vendas[[#This Row],[Qnt Vendida]]</f>
        <v>442.8</v>
      </c>
      <c r="J3168" s="3">
        <f>Vendas[[#This Row],[Valor da Venda]]-(_xlfn.XLOOKUP(Vendas[[#This Row],[ID Item Vendido]],Agregado[ID],Agregado[Custo])*Vendas[[#This Row],[Qnt Vendida]])</f>
        <v>46.800000000000011</v>
      </c>
      <c r="K3168" s="70">
        <f>Vendas[[#This Row],[Lucro da Venda]]/Vendas[[#This Row],[Valor da Venda]]</f>
        <v>0.10569105691056913</v>
      </c>
      <c r="L3168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3168"/>
    </row>
    <row r="3169" spans="1:13" x14ac:dyDescent="0.3">
      <c r="A3169" s="7">
        <v>400250</v>
      </c>
      <c r="B3169" t="str">
        <f>_xlfn.XLOOKUP(Vendas[[#This Row],[ID Vendedor]],Vendedores[ID],Vendedores[Nome])</f>
        <v>Larissa</v>
      </c>
      <c r="C3169" s="7" t="str">
        <f>_xlfn.XLOOKUP(Vendas[[#This Row],[ID Vendedor]],Vendedores[ID],Vendedores[Setor])</f>
        <v>AB</v>
      </c>
      <c r="D3169" s="7" t="s">
        <v>36</v>
      </c>
      <c r="E3169" t="str">
        <f>_xlfn.XLOOKUP(Vendas[[#This Row],[ID Item Vendido]],Agregado[ID],Agregado[Produto])</f>
        <v>Borracha vulcanizada em manta</v>
      </c>
      <c r="F3169" s="39">
        <v>45315</v>
      </c>
      <c r="G3169" s="7">
        <v>47</v>
      </c>
      <c r="H3169" s="3">
        <f>_xlfn.XLOOKUP(Vendas[[#This Row],[ID Item Vendido]],Agregado[ID],Agregado[Revenda])</f>
        <v>7.8</v>
      </c>
      <c r="I3169" s="3">
        <f>Vendas[[#This Row],[Valor Unitário]]*Vendas[[#This Row],[Qnt Vendida]]</f>
        <v>366.59999999999997</v>
      </c>
      <c r="J3169" s="3">
        <f>Vendas[[#This Row],[Valor da Venda]]-(_xlfn.XLOOKUP(Vendas[[#This Row],[ID Item Vendido]],Agregado[ID],Agregado[Custo])*Vendas[[#This Row],[Qnt Vendida]])</f>
        <v>84.599999999999966</v>
      </c>
      <c r="K3169" s="70">
        <f>Vendas[[#This Row],[Lucro da Venda]]/Vendas[[#This Row],[Valor da Venda]]</f>
        <v>0.2307692307692307</v>
      </c>
      <c r="L3169" s="3">
        <f>_xlfn.IFS(Vendas[[#This Row],[Margem de Lucro (%)]]&lt;15%,Vendas[[#This Row],[Valor da Venda]]*3%,Vendas[[#This Row],[Margem de Lucro (%)]]&lt;=20%,Vendas[[#This Row],[Valor da Venda]]*4.5%,TRUE,Vendas[[#This Row],[Valor da Venda]]*6%)</f>
        <v>21.995999999999999</v>
      </c>
      <c r="M3169"/>
    </row>
    <row r="3170" spans="1:13" x14ac:dyDescent="0.3">
      <c r="A3170" s="7">
        <v>400253</v>
      </c>
      <c r="B3170" t="str">
        <f>_xlfn.XLOOKUP(Vendas[[#This Row],[ID Vendedor]],Vendedores[ID],Vendedores[Nome])</f>
        <v>Gustavo</v>
      </c>
      <c r="C3170" s="7" t="str">
        <f>_xlfn.XLOOKUP(Vendas[[#This Row],[ID Vendedor]],Vendedores[ID],Vendedores[Setor])</f>
        <v>SC</v>
      </c>
      <c r="D3170" s="7" t="s">
        <v>14</v>
      </c>
      <c r="E3170" t="str">
        <f>_xlfn.XLOOKUP(Vendas[[#This Row],[ID Item Vendido]],Agregado[ID],Agregado[Produto])</f>
        <v>Barril de plástico 200L</v>
      </c>
      <c r="F3170" s="39">
        <v>45316</v>
      </c>
      <c r="G3170" s="7">
        <v>7</v>
      </c>
      <c r="H3170" s="3">
        <f>_xlfn.XLOOKUP(Vendas[[#This Row],[ID Item Vendido]],Agregado[ID],Agregado[Revenda])</f>
        <v>114</v>
      </c>
      <c r="I3170" s="3">
        <f>Vendas[[#This Row],[Valor Unitário]]*Vendas[[#This Row],[Qnt Vendida]]</f>
        <v>798</v>
      </c>
      <c r="J3170" s="3">
        <f>Vendas[[#This Row],[Valor da Venda]]-(_xlfn.XLOOKUP(Vendas[[#This Row],[ID Item Vendido]],Agregado[ID],Agregado[Custo])*Vendas[[#This Row],[Qnt Vendida]])</f>
        <v>133</v>
      </c>
      <c r="K3170" s="70">
        <f>Vendas[[#This Row],[Lucro da Venda]]/Vendas[[#This Row],[Valor da Venda]]</f>
        <v>0.16666666666666666</v>
      </c>
      <c r="L3170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3170"/>
    </row>
    <row r="3171" spans="1:13" x14ac:dyDescent="0.3">
      <c r="A3171" s="7">
        <v>400241</v>
      </c>
      <c r="B3171" t="str">
        <f>_xlfn.XLOOKUP(Vendas[[#This Row],[ID Vendedor]],Vendedores[ID],Vendedores[Nome])</f>
        <v>Rodrigo</v>
      </c>
      <c r="C3171" s="7" t="str">
        <f>_xlfn.XLOOKUP(Vendas[[#This Row],[ID Vendedor]],Vendedores[ID],Vendedores[Setor])</f>
        <v>FM</v>
      </c>
      <c r="D3171" s="7" t="s">
        <v>6</v>
      </c>
      <c r="E3171" t="str">
        <f>_xlfn.XLOOKUP(Vendas[[#This Row],[ID Item Vendido]],Agregado[ID],Agregado[Produto])</f>
        <v>Parafuso comum 500un</v>
      </c>
      <c r="F3171" s="39">
        <v>45316</v>
      </c>
      <c r="G3171" s="7">
        <v>19</v>
      </c>
      <c r="H3171" s="3">
        <f>_xlfn.XLOOKUP(Vendas[[#This Row],[ID Item Vendido]],Agregado[ID],Agregado[Revenda])</f>
        <v>24.6</v>
      </c>
      <c r="I3171" s="3">
        <f>Vendas[[#This Row],[Valor Unitário]]*Vendas[[#This Row],[Qnt Vendida]]</f>
        <v>467.40000000000003</v>
      </c>
      <c r="J3171" s="3">
        <f>Vendas[[#This Row],[Valor da Venda]]-(_xlfn.XLOOKUP(Vendas[[#This Row],[ID Item Vendido]],Agregado[ID],Agregado[Custo])*Vendas[[#This Row],[Qnt Vendida]])</f>
        <v>49.400000000000034</v>
      </c>
      <c r="K3171" s="70">
        <f>Vendas[[#This Row],[Lucro da Venda]]/Vendas[[#This Row],[Valor da Venda]]</f>
        <v>0.10569105691056917</v>
      </c>
      <c r="L3171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3171"/>
    </row>
    <row r="3172" spans="1:13" x14ac:dyDescent="0.3">
      <c r="A3172" s="7">
        <v>400247</v>
      </c>
      <c r="B3172" t="str">
        <f>_xlfn.XLOOKUP(Vendas[[#This Row],[ID Vendedor]],Vendedores[ID],Vendedores[Nome])</f>
        <v>André</v>
      </c>
      <c r="C3172" s="7" t="str">
        <f>_xlfn.XLOOKUP(Vendas[[#This Row],[ID Vendedor]],Vendedores[ID],Vendedores[Setor])</f>
        <v>CM</v>
      </c>
      <c r="D3172" s="7" t="s">
        <v>22</v>
      </c>
      <c r="E3172" t="str">
        <f>_xlfn.XLOOKUP(Vendas[[#This Row],[ID Item Vendido]],Agregado[ID],Agregado[Produto])</f>
        <v>Painel MDP 2,75x1,83m</v>
      </c>
      <c r="F3172" s="39">
        <v>45317</v>
      </c>
      <c r="G3172" s="7">
        <v>20</v>
      </c>
      <c r="H3172" s="3">
        <f>_xlfn.XLOOKUP(Vendas[[#This Row],[ID Item Vendido]],Agregado[ID],Agregado[Revenda])</f>
        <v>119</v>
      </c>
      <c r="I3172" s="3">
        <f>Vendas[[#This Row],[Valor Unitário]]*Vendas[[#This Row],[Qnt Vendida]]</f>
        <v>2380</v>
      </c>
      <c r="J3172" s="3">
        <f>Vendas[[#This Row],[Valor da Venda]]-(_xlfn.XLOOKUP(Vendas[[#This Row],[ID Item Vendido]],Agregado[ID],Agregado[Custo])*Vendas[[#This Row],[Qnt Vendida]])</f>
        <v>480</v>
      </c>
      <c r="K3172" s="70">
        <f>Vendas[[#This Row],[Lucro da Venda]]/Vendas[[#This Row],[Valor da Venda]]</f>
        <v>0.20168067226890757</v>
      </c>
      <c r="L317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172"/>
    </row>
    <row r="3173" spans="1:13" x14ac:dyDescent="0.3">
      <c r="A3173" s="7">
        <v>400242</v>
      </c>
      <c r="B3173" t="str">
        <f>_xlfn.XLOOKUP(Vendas[[#This Row],[ID Vendedor]],Vendedores[ID],Vendedores[Nome])</f>
        <v>Fernanda</v>
      </c>
      <c r="C3173" s="7" t="str">
        <f>_xlfn.XLOOKUP(Vendas[[#This Row],[ID Vendedor]],Vendedores[ID],Vendedores[Setor])</f>
        <v>FM</v>
      </c>
      <c r="D3173" s="7" t="s">
        <v>20</v>
      </c>
      <c r="E3173" t="str">
        <f>_xlfn.XLOOKUP(Vendas[[#This Row],[ID Item Vendido]],Agregado[ID],Agregado[Produto])</f>
        <v>Barra de aço simples</v>
      </c>
      <c r="F3173" s="39">
        <v>45317</v>
      </c>
      <c r="G3173" s="7">
        <v>145</v>
      </c>
      <c r="H3173" s="3">
        <f>_xlfn.XLOOKUP(Vendas[[#This Row],[ID Item Vendido]],Agregado[ID],Agregado[Revenda])</f>
        <v>4.8</v>
      </c>
      <c r="I3173" s="3">
        <f>Vendas[[#This Row],[Valor Unitário]]*Vendas[[#This Row],[Qnt Vendida]]</f>
        <v>696</v>
      </c>
      <c r="J3173" s="3">
        <f>Vendas[[#This Row],[Valor da Venda]]-(_xlfn.XLOOKUP(Vendas[[#This Row],[ID Item Vendido]],Agregado[ID],Agregado[Custo])*Vendas[[#This Row],[Qnt Vendida]])</f>
        <v>87</v>
      </c>
      <c r="K3173" s="70">
        <f>Vendas[[#This Row],[Lucro da Venda]]/Vendas[[#This Row],[Valor da Venda]]</f>
        <v>0.125</v>
      </c>
      <c r="L3173" s="3">
        <f>_xlfn.IFS(Vendas[[#This Row],[Margem de Lucro (%)]]&lt;15%,Vendas[[#This Row],[Valor da Venda]]*3%,Vendas[[#This Row],[Margem de Lucro (%)]]&lt;=20%,Vendas[[#This Row],[Valor da Venda]]*4.5%,TRUE,Vendas[[#This Row],[Valor da Venda]]*6%)</f>
        <v>20.88</v>
      </c>
      <c r="M3173"/>
    </row>
    <row r="3174" spans="1:13" x14ac:dyDescent="0.3">
      <c r="A3174" s="7">
        <v>400244</v>
      </c>
      <c r="B3174" t="str">
        <f>_xlfn.XLOOKUP(Vendas[[#This Row],[ID Vendedor]],Vendedores[ID],Vendedores[Nome])</f>
        <v>Camila</v>
      </c>
      <c r="C3174" s="7" t="str">
        <f>_xlfn.XLOOKUP(Vendas[[#This Row],[ID Vendedor]],Vendedores[ID],Vendedores[Setor])</f>
        <v>AHD</v>
      </c>
      <c r="D3174" s="7" t="s">
        <v>9</v>
      </c>
      <c r="E3174" t="str">
        <f>_xlfn.XLOOKUP(Vendas[[#This Row],[ID Item Vendido]],Agregado[ID],Agregado[Produto])</f>
        <v>Barra de aço simples</v>
      </c>
      <c r="F3174" s="39">
        <v>45317</v>
      </c>
      <c r="G3174" s="7">
        <v>64</v>
      </c>
      <c r="H3174" s="3">
        <f>_xlfn.XLOOKUP(Vendas[[#This Row],[ID Item Vendido]],Agregado[ID],Agregado[Revenda])</f>
        <v>6.7</v>
      </c>
      <c r="I3174" s="3">
        <f>Vendas[[#This Row],[Valor Unitário]]*Vendas[[#This Row],[Qnt Vendida]]</f>
        <v>428.8</v>
      </c>
      <c r="J3174" s="3">
        <f>Vendas[[#This Row],[Valor da Venda]]-(_xlfn.XLOOKUP(Vendas[[#This Row],[ID Item Vendido]],Agregado[ID],Agregado[Custo])*Vendas[[#This Row],[Qnt Vendida]])</f>
        <v>57.600000000000023</v>
      </c>
      <c r="K3174" s="70">
        <f>Vendas[[#This Row],[Lucro da Venda]]/Vendas[[#This Row],[Valor da Venda]]</f>
        <v>0.13432835820895528</v>
      </c>
      <c r="L3174" s="3">
        <f>_xlfn.IFS(Vendas[[#This Row],[Margem de Lucro (%)]]&lt;15%,Vendas[[#This Row],[Valor da Venda]]*3%,Vendas[[#This Row],[Margem de Lucro (%)]]&lt;=20%,Vendas[[#This Row],[Valor da Venda]]*4.5%,TRUE,Vendas[[#This Row],[Valor da Venda]]*6%)</f>
        <v>12.863999999999999</v>
      </c>
      <c r="M3174"/>
    </row>
    <row r="3175" spans="1:13" x14ac:dyDescent="0.3">
      <c r="A3175" s="7">
        <v>400242</v>
      </c>
      <c r="B3175" t="str">
        <f>_xlfn.XLOOKUP(Vendas[[#This Row],[ID Vendedor]],Vendedores[ID],Vendedores[Nome])</f>
        <v>Fernanda</v>
      </c>
      <c r="C3175" s="7" t="str">
        <f>_xlfn.XLOOKUP(Vendas[[#This Row],[ID Vendedor]],Vendedores[ID],Vendedores[Setor])</f>
        <v>FM</v>
      </c>
      <c r="D3175" s="7" t="s">
        <v>47</v>
      </c>
      <c r="E3175" t="str">
        <f>_xlfn.XLOOKUP(Vendas[[#This Row],[ID Item Vendido]],Agregado[ID],Agregado[Produto])</f>
        <v>Fio de arame galvanizado rolo 50m</v>
      </c>
      <c r="F3175" s="39">
        <v>45317</v>
      </c>
      <c r="G3175" s="7">
        <v>20</v>
      </c>
      <c r="H3175" s="3">
        <f>_xlfn.XLOOKUP(Vendas[[#This Row],[ID Item Vendido]],Agregado[ID],Agregado[Revenda])</f>
        <v>21.2</v>
      </c>
      <c r="I3175" s="3">
        <f>Vendas[[#This Row],[Valor Unitário]]*Vendas[[#This Row],[Qnt Vendida]]</f>
        <v>424</v>
      </c>
      <c r="J3175" s="3">
        <f>Vendas[[#This Row],[Valor da Venda]]-(_xlfn.XLOOKUP(Vendas[[#This Row],[ID Item Vendido]],Agregado[ID],Agregado[Custo])*Vendas[[#This Row],[Qnt Vendida]])</f>
        <v>64</v>
      </c>
      <c r="K3175" s="70">
        <f>Vendas[[#This Row],[Lucro da Venda]]/Vendas[[#This Row],[Valor da Venda]]</f>
        <v>0.15094339622641509</v>
      </c>
      <c r="L317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175"/>
    </row>
    <row r="3176" spans="1:13" x14ac:dyDescent="0.3">
      <c r="A3176" s="7">
        <v>400248</v>
      </c>
      <c r="B3176" t="str">
        <f>_xlfn.XLOOKUP(Vendas[[#This Row],[ID Vendedor]],Vendedores[ID],Vendedores[Nome])</f>
        <v>Patrícia</v>
      </c>
      <c r="C3176" s="7" t="str">
        <f>_xlfn.XLOOKUP(Vendas[[#This Row],[ID Vendedor]],Vendedores[ID],Vendedores[Setor])</f>
        <v>CM</v>
      </c>
      <c r="D3176" s="7" t="s">
        <v>45</v>
      </c>
      <c r="E3176" t="str">
        <f>_xlfn.XLOOKUP(Vendas[[#This Row],[ID Item Vendido]],Agregado[ID],Agregado[Produto])</f>
        <v>Viga de madeira tratada 4m</v>
      </c>
      <c r="F3176" s="39">
        <v>45318</v>
      </c>
      <c r="G3176" s="7">
        <v>14</v>
      </c>
      <c r="H3176" s="3">
        <f>_xlfn.XLOOKUP(Vendas[[#This Row],[ID Item Vendido]],Agregado[ID],Agregado[Revenda])</f>
        <v>66</v>
      </c>
      <c r="I3176" s="3">
        <f>Vendas[[#This Row],[Valor Unitário]]*Vendas[[#This Row],[Qnt Vendida]]</f>
        <v>924</v>
      </c>
      <c r="J3176" s="3">
        <f>Vendas[[#This Row],[Valor da Venda]]-(_xlfn.XLOOKUP(Vendas[[#This Row],[ID Item Vendido]],Agregado[ID],Agregado[Custo])*Vendas[[#This Row],[Qnt Vendida]])</f>
        <v>154</v>
      </c>
      <c r="K3176" s="70">
        <f>Vendas[[#This Row],[Lucro da Venda]]/Vendas[[#This Row],[Valor da Venda]]</f>
        <v>0.16666666666666666</v>
      </c>
      <c r="L3176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3176"/>
    </row>
    <row r="3177" spans="1:13" x14ac:dyDescent="0.3">
      <c r="A3177" s="7">
        <v>400253</v>
      </c>
      <c r="B3177" t="str">
        <f>_xlfn.XLOOKUP(Vendas[[#This Row],[ID Vendedor]],Vendedores[ID],Vendedores[Nome])</f>
        <v>Gustavo</v>
      </c>
      <c r="C3177" s="7" t="str">
        <f>_xlfn.XLOOKUP(Vendas[[#This Row],[ID Vendedor]],Vendedores[ID],Vendedores[Setor])</f>
        <v>SC</v>
      </c>
      <c r="D3177" s="7" t="s">
        <v>42</v>
      </c>
      <c r="E3177" t="str">
        <f>_xlfn.XLOOKUP(Vendas[[#This Row],[ID Item Vendido]],Agregado[ID],Agregado[Produto])</f>
        <v>Container de ferro industrial</v>
      </c>
      <c r="F3177" s="39">
        <v>45319</v>
      </c>
      <c r="G3177" s="7">
        <v>6</v>
      </c>
      <c r="H3177" s="3">
        <f>_xlfn.XLOOKUP(Vendas[[#This Row],[ID Item Vendido]],Agregado[ID],Agregado[Revenda])</f>
        <v>830</v>
      </c>
      <c r="I3177" s="3">
        <f>Vendas[[#This Row],[Valor Unitário]]*Vendas[[#This Row],[Qnt Vendida]]</f>
        <v>4980</v>
      </c>
      <c r="J3177" s="3">
        <f>Vendas[[#This Row],[Valor da Venda]]-(_xlfn.XLOOKUP(Vendas[[#This Row],[ID Item Vendido]],Agregado[ID],Agregado[Custo])*Vendas[[#This Row],[Qnt Vendida]])</f>
        <v>900</v>
      </c>
      <c r="K3177" s="70">
        <f>Vendas[[#This Row],[Lucro da Venda]]/Vendas[[#This Row],[Valor da Venda]]</f>
        <v>0.18072289156626506</v>
      </c>
      <c r="L3177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177"/>
    </row>
    <row r="3178" spans="1:13" x14ac:dyDescent="0.3">
      <c r="A3178" s="7">
        <v>400254</v>
      </c>
      <c r="B3178" t="str">
        <f>_xlfn.XLOOKUP(Vendas[[#This Row],[ID Vendedor]],Vendedores[ID],Vendedores[Nome])</f>
        <v>Beatriz</v>
      </c>
      <c r="C3178" s="7" t="str">
        <f>_xlfn.XLOOKUP(Vendas[[#This Row],[ID Vendedor]],Vendedores[ID],Vendedores[Setor])</f>
        <v>SC</v>
      </c>
      <c r="D3178" s="7" t="s">
        <v>48</v>
      </c>
      <c r="E3178" t="str">
        <f>_xlfn.XLOOKUP(Vendas[[#This Row],[ID Item Vendido]],Agregado[ID],Agregado[Produto])</f>
        <v>Tambor metálico 200L</v>
      </c>
      <c r="F3178" s="39">
        <v>45319</v>
      </c>
      <c r="G3178" s="7">
        <v>18</v>
      </c>
      <c r="H3178" s="3">
        <f>_xlfn.XLOOKUP(Vendas[[#This Row],[ID Item Vendido]],Agregado[ID],Agregado[Revenda])</f>
        <v>144</v>
      </c>
      <c r="I3178" s="3">
        <f>Vendas[[#This Row],[Valor Unitário]]*Vendas[[#This Row],[Qnt Vendida]]</f>
        <v>2592</v>
      </c>
      <c r="J3178" s="3">
        <f>Vendas[[#This Row],[Valor da Venda]]-(_xlfn.XLOOKUP(Vendas[[#This Row],[ID Item Vendido]],Agregado[ID],Agregado[Custo])*Vendas[[#This Row],[Qnt Vendida]])</f>
        <v>432</v>
      </c>
      <c r="K3178" s="70">
        <f>Vendas[[#This Row],[Lucro da Venda]]/Vendas[[#This Row],[Valor da Venda]]</f>
        <v>0.16666666666666666</v>
      </c>
      <c r="L3178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3178"/>
    </row>
    <row r="3179" spans="1:13" x14ac:dyDescent="0.3">
      <c r="A3179" s="7">
        <v>400244</v>
      </c>
      <c r="B3179" t="str">
        <f>_xlfn.XLOOKUP(Vendas[[#This Row],[ID Vendedor]],Vendedores[ID],Vendedores[Nome])</f>
        <v>Camila</v>
      </c>
      <c r="C3179" s="7" t="str">
        <f>_xlfn.XLOOKUP(Vendas[[#This Row],[ID Vendedor]],Vendedores[ID],Vendedores[Setor])</f>
        <v>AHD</v>
      </c>
      <c r="D3179" s="7" t="s">
        <v>28</v>
      </c>
      <c r="E3179" t="str">
        <f>_xlfn.XLOOKUP(Vendas[[#This Row],[ID Item Vendido]],Agregado[ID],Agregado[Produto])</f>
        <v>Peça usinada CNC</v>
      </c>
      <c r="F3179" s="39">
        <v>45319</v>
      </c>
      <c r="G3179" s="7">
        <v>2</v>
      </c>
      <c r="H3179" s="3">
        <f>_xlfn.XLOOKUP(Vendas[[#This Row],[ID Item Vendido]],Agregado[ID],Agregado[Revenda])</f>
        <v>192</v>
      </c>
      <c r="I3179" s="3">
        <f>Vendas[[#This Row],[Valor Unitário]]*Vendas[[#This Row],[Qnt Vendida]]</f>
        <v>384</v>
      </c>
      <c r="J3179" s="3">
        <f>Vendas[[#This Row],[Valor da Venda]]-(_xlfn.XLOOKUP(Vendas[[#This Row],[ID Item Vendido]],Agregado[ID],Agregado[Custo])*Vendas[[#This Row],[Qnt Vendida]])</f>
        <v>84</v>
      </c>
      <c r="K3179" s="70">
        <f>Vendas[[#This Row],[Lucro da Venda]]/Vendas[[#This Row],[Valor da Venda]]</f>
        <v>0.21875</v>
      </c>
      <c r="L3179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179"/>
    </row>
    <row r="3180" spans="1:13" x14ac:dyDescent="0.3">
      <c r="A3180" s="7">
        <v>400254</v>
      </c>
      <c r="B3180" t="str">
        <f>_xlfn.XLOOKUP(Vendas[[#This Row],[ID Vendedor]],Vendedores[ID],Vendedores[Nome])</f>
        <v>Beatriz</v>
      </c>
      <c r="C3180" s="7" t="str">
        <f>_xlfn.XLOOKUP(Vendas[[#This Row],[ID Vendedor]],Vendedores[ID],Vendedores[Setor])</f>
        <v>SC</v>
      </c>
      <c r="D3180" s="7" t="s">
        <v>41</v>
      </c>
      <c r="E3180" t="str">
        <f>_xlfn.XLOOKUP(Vendas[[#This Row],[ID Item Vendido]],Agregado[ID],Agregado[Produto])</f>
        <v>Palete de madeira reforçado</v>
      </c>
      <c r="F3180" s="39">
        <v>45319</v>
      </c>
      <c r="G3180" s="7">
        <v>1</v>
      </c>
      <c r="H3180" s="3">
        <f>_xlfn.XLOOKUP(Vendas[[#This Row],[ID Item Vendido]],Agregado[ID],Agregado[Revenda])</f>
        <v>131</v>
      </c>
      <c r="I3180" s="3">
        <f>Vendas[[#This Row],[Valor Unitário]]*Vendas[[#This Row],[Qnt Vendida]]</f>
        <v>131</v>
      </c>
      <c r="J3180" s="3">
        <f>Vendas[[#This Row],[Valor da Venda]]-(_xlfn.XLOOKUP(Vendas[[#This Row],[ID Item Vendido]],Agregado[ID],Agregado[Custo])*Vendas[[#This Row],[Qnt Vendida]])</f>
        <v>21</v>
      </c>
      <c r="K3180" s="70">
        <f>Vendas[[#This Row],[Lucro da Venda]]/Vendas[[#This Row],[Valor da Venda]]</f>
        <v>0.16030534351145037</v>
      </c>
      <c r="L3180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3180"/>
    </row>
    <row r="3181" spans="1:13" x14ac:dyDescent="0.3">
      <c r="A3181" s="7">
        <v>400248</v>
      </c>
      <c r="B3181" t="str">
        <f>_xlfn.XLOOKUP(Vendas[[#This Row],[ID Vendedor]],Vendedores[ID],Vendedores[Nome])</f>
        <v>Patrícia</v>
      </c>
      <c r="C3181" s="7" t="str">
        <f>_xlfn.XLOOKUP(Vendas[[#This Row],[ID Vendedor]],Vendedores[ID],Vendedores[Setor])</f>
        <v>CM</v>
      </c>
      <c r="D3181" s="7" t="s">
        <v>43</v>
      </c>
      <c r="E3181" t="str">
        <f>_xlfn.XLOOKUP(Vendas[[#This Row],[ID Item Vendido]],Agregado[ID],Agregado[Produto])</f>
        <v>Madeira Bruta (Tora)</v>
      </c>
      <c r="F3181" s="39">
        <v>45320</v>
      </c>
      <c r="G3181" s="7">
        <v>9</v>
      </c>
      <c r="H3181" s="3">
        <f>_xlfn.XLOOKUP(Vendas[[#This Row],[ID Item Vendido]],Agregado[ID],Agregado[Revenda])</f>
        <v>212</v>
      </c>
      <c r="I3181" s="3">
        <f>Vendas[[#This Row],[Valor Unitário]]*Vendas[[#This Row],[Qnt Vendida]]</f>
        <v>1908</v>
      </c>
      <c r="J3181" s="3">
        <f>Vendas[[#This Row],[Valor da Venda]]-(_xlfn.XLOOKUP(Vendas[[#This Row],[ID Item Vendido]],Agregado[ID],Agregado[Custo])*Vendas[[#This Row],[Qnt Vendida]])</f>
        <v>288</v>
      </c>
      <c r="K3181" s="70">
        <f>Vendas[[#This Row],[Lucro da Venda]]/Vendas[[#This Row],[Valor da Venda]]</f>
        <v>0.15094339622641509</v>
      </c>
      <c r="L3181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3181"/>
    </row>
    <row r="3182" spans="1:13" x14ac:dyDescent="0.3">
      <c r="A3182" s="7">
        <v>400245</v>
      </c>
      <c r="B3182" t="str">
        <f>_xlfn.XLOOKUP(Vendas[[#This Row],[ID Vendedor]],Vendedores[ID],Vendedores[Nome])</f>
        <v>Thiago</v>
      </c>
      <c r="C3182" s="7" t="str">
        <f>_xlfn.XLOOKUP(Vendas[[#This Row],[ID Vendedor]],Vendedores[ID],Vendedores[Setor])</f>
        <v>AHD</v>
      </c>
      <c r="D3182" s="7" t="s">
        <v>18</v>
      </c>
      <c r="E3182" t="str">
        <f>_xlfn.XLOOKUP(Vendas[[#This Row],[ID Item Vendido]],Agregado[ID],Agregado[Produto])</f>
        <v>Peça forjada sob encomenda</v>
      </c>
      <c r="F3182" s="39">
        <v>45320</v>
      </c>
      <c r="G3182" s="7">
        <v>4</v>
      </c>
      <c r="H3182" s="3">
        <f>_xlfn.XLOOKUP(Vendas[[#This Row],[ID Item Vendido]],Agregado[ID],Agregado[Revenda])</f>
        <v>264.60000000000002</v>
      </c>
      <c r="I3182" s="3">
        <f>Vendas[[#This Row],[Valor Unitário]]*Vendas[[#This Row],[Qnt Vendida]]</f>
        <v>1058.4000000000001</v>
      </c>
      <c r="J3182" s="3">
        <f>Vendas[[#This Row],[Valor da Venda]]-(_xlfn.XLOOKUP(Vendas[[#This Row],[ID Item Vendido]],Agregado[ID],Agregado[Custo])*Vendas[[#This Row],[Qnt Vendida]])</f>
        <v>58.400000000000091</v>
      </c>
      <c r="K3182" s="70">
        <f>Vendas[[#This Row],[Lucro da Venda]]/Vendas[[#This Row],[Valor da Venda]]</f>
        <v>5.5177626606198113E-2</v>
      </c>
      <c r="L3182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182"/>
    </row>
    <row r="3183" spans="1:13" x14ac:dyDescent="0.3">
      <c r="A3183" s="7">
        <v>400244</v>
      </c>
      <c r="B3183" t="str">
        <f>_xlfn.XLOOKUP(Vendas[[#This Row],[ID Vendedor]],Vendedores[ID],Vendedores[Nome])</f>
        <v>Camila</v>
      </c>
      <c r="C3183" s="7" t="str">
        <f>_xlfn.XLOOKUP(Vendas[[#This Row],[ID Vendedor]],Vendedores[ID],Vendedores[Setor])</f>
        <v>AHD</v>
      </c>
      <c r="D3183" s="7" t="s">
        <v>44</v>
      </c>
      <c r="E3183" t="str">
        <f>_xlfn.XLOOKUP(Vendas[[#This Row],[ID Item Vendido]],Agregado[ID],Agregado[Produto])</f>
        <v>Liga metálica especial</v>
      </c>
      <c r="F3183" s="39">
        <v>45320</v>
      </c>
      <c r="G3183" s="7">
        <v>21</v>
      </c>
      <c r="H3183" s="3">
        <f>_xlfn.XLOOKUP(Vendas[[#This Row],[ID Item Vendido]],Agregado[ID],Agregado[Revenda])</f>
        <v>32.5</v>
      </c>
      <c r="I3183" s="3">
        <f>Vendas[[#This Row],[Valor Unitário]]*Vendas[[#This Row],[Qnt Vendida]]</f>
        <v>682.5</v>
      </c>
      <c r="J3183" s="3">
        <f>Vendas[[#This Row],[Valor da Venda]]-(_xlfn.XLOOKUP(Vendas[[#This Row],[ID Item Vendido]],Agregado[ID],Agregado[Custo])*Vendas[[#This Row],[Qnt Vendida]])</f>
        <v>157.5</v>
      </c>
      <c r="K3183" s="70">
        <f>Vendas[[#This Row],[Lucro da Venda]]/Vendas[[#This Row],[Valor da Venda]]</f>
        <v>0.23076923076923078</v>
      </c>
      <c r="L3183" s="3">
        <f>_xlfn.IFS(Vendas[[#This Row],[Margem de Lucro (%)]]&lt;15%,Vendas[[#This Row],[Valor da Venda]]*3%,Vendas[[#This Row],[Margem de Lucro (%)]]&lt;=20%,Vendas[[#This Row],[Valor da Venda]]*4.5%,TRUE,Vendas[[#This Row],[Valor da Venda]]*6%)</f>
        <v>40.949999999999996</v>
      </c>
      <c r="M3183"/>
    </row>
    <row r="3184" spans="1:13" x14ac:dyDescent="0.3">
      <c r="A3184" s="7">
        <v>400248</v>
      </c>
      <c r="B3184" t="str">
        <f>_xlfn.XLOOKUP(Vendas[[#This Row],[ID Vendedor]],Vendedores[ID],Vendedores[Nome])</f>
        <v>Patrícia</v>
      </c>
      <c r="C3184" s="7" t="str">
        <f>_xlfn.XLOOKUP(Vendas[[#This Row],[ID Vendedor]],Vendedores[ID],Vendedores[Setor])</f>
        <v>CM</v>
      </c>
      <c r="D3184" s="7" t="s">
        <v>34</v>
      </c>
      <c r="E3184" t="str">
        <f>_xlfn.XLOOKUP(Vendas[[#This Row],[ID Item Vendido]],Agregado[ID],Agregado[Produto])</f>
        <v>Restos de madeira p/ MDP/OSB saco de 20kg</v>
      </c>
      <c r="F3184" s="39">
        <v>45320</v>
      </c>
      <c r="G3184" s="7">
        <v>10</v>
      </c>
      <c r="H3184" s="3">
        <f>_xlfn.XLOOKUP(Vendas[[#This Row],[ID Item Vendido]],Agregado[ID],Agregado[Revenda])</f>
        <v>13.8</v>
      </c>
      <c r="I3184" s="3">
        <f>Vendas[[#This Row],[Valor Unitário]]*Vendas[[#This Row],[Qnt Vendida]]</f>
        <v>138</v>
      </c>
      <c r="J3184" s="3">
        <f>Vendas[[#This Row],[Valor da Venda]]-(_xlfn.XLOOKUP(Vendas[[#This Row],[ID Item Vendido]],Agregado[ID],Agregado[Custo])*Vendas[[#This Row],[Qnt Vendida]])</f>
        <v>18</v>
      </c>
      <c r="K3184" s="70">
        <f>Vendas[[#This Row],[Lucro da Venda]]/Vendas[[#This Row],[Valor da Venda]]</f>
        <v>0.13043478260869565</v>
      </c>
      <c r="L3184" s="3">
        <f>_xlfn.IFS(Vendas[[#This Row],[Margem de Lucro (%)]]&lt;15%,Vendas[[#This Row],[Valor da Venda]]*3%,Vendas[[#This Row],[Margem de Lucro (%)]]&lt;=20%,Vendas[[#This Row],[Valor da Venda]]*4.5%,TRUE,Vendas[[#This Row],[Valor da Venda]]*6%)</f>
        <v>4.1399999999999997</v>
      </c>
      <c r="M3184"/>
    </row>
    <row r="3185" spans="1:13" x14ac:dyDescent="0.3">
      <c r="A3185" s="7">
        <v>400252</v>
      </c>
      <c r="B3185" t="str">
        <f>_xlfn.XLOOKUP(Vendas[[#This Row],[ID Vendedor]],Vendedores[ID],Vendedores[Nome])</f>
        <v>Renata</v>
      </c>
      <c r="C3185" s="7" t="str">
        <f>_xlfn.XLOOKUP(Vendas[[#This Row],[ID Vendedor]],Vendedores[ID],Vendedores[Setor])</f>
        <v>AB</v>
      </c>
      <c r="D3185" s="7" t="s">
        <v>12</v>
      </c>
      <c r="E3185" t="str">
        <f>_xlfn.XLOOKUP(Vendas[[#This Row],[ID Item Vendido]],Agregado[ID],Agregado[Produto])</f>
        <v>Grânulo de plástico reciclado refinado</v>
      </c>
      <c r="F3185" s="39">
        <v>45320</v>
      </c>
      <c r="G3185" s="7">
        <v>21</v>
      </c>
      <c r="H3185" s="3">
        <f>_xlfn.XLOOKUP(Vendas[[#This Row],[ID Item Vendido]],Agregado[ID],Agregado[Revenda])</f>
        <v>4.7</v>
      </c>
      <c r="I3185" s="3">
        <f>Vendas[[#This Row],[Valor Unitário]]*Vendas[[#This Row],[Qnt Vendida]]</f>
        <v>98.7</v>
      </c>
      <c r="J3185" s="3">
        <f>Vendas[[#This Row],[Valor da Venda]]-(_xlfn.XLOOKUP(Vendas[[#This Row],[ID Item Vendido]],Agregado[ID],Agregado[Custo])*Vendas[[#This Row],[Qnt Vendida]])</f>
        <v>25.200000000000003</v>
      </c>
      <c r="K3185" s="70">
        <f>Vendas[[#This Row],[Lucro da Venda]]/Vendas[[#This Row],[Valor da Venda]]</f>
        <v>0.25531914893617025</v>
      </c>
      <c r="L3185" s="3">
        <f>_xlfn.IFS(Vendas[[#This Row],[Margem de Lucro (%)]]&lt;15%,Vendas[[#This Row],[Valor da Venda]]*3%,Vendas[[#This Row],[Margem de Lucro (%)]]&lt;=20%,Vendas[[#This Row],[Valor da Venda]]*4.5%,TRUE,Vendas[[#This Row],[Valor da Venda]]*6%)</f>
        <v>5.9219999999999997</v>
      </c>
      <c r="M3185"/>
    </row>
    <row r="3186" spans="1:13" x14ac:dyDescent="0.3">
      <c r="A3186" s="7">
        <v>400255</v>
      </c>
      <c r="B3186" t="str">
        <f>_xlfn.XLOOKUP(Vendas[[#This Row],[ID Vendedor]],Vendedores[ID],Vendedores[Nome])</f>
        <v>Carlos</v>
      </c>
      <c r="C3186" s="7" t="str">
        <f>_xlfn.XLOOKUP(Vendas[[#This Row],[ID Vendedor]],Vendedores[ID],Vendedores[Setor])</f>
        <v>SC</v>
      </c>
      <c r="D3186" s="7" t="s">
        <v>48</v>
      </c>
      <c r="E3186" t="str">
        <f>_xlfn.XLOOKUP(Vendas[[#This Row],[ID Item Vendido]],Agregado[ID],Agregado[Produto])</f>
        <v>Tambor metálico 200L</v>
      </c>
      <c r="F3186" s="39">
        <v>45321</v>
      </c>
      <c r="G3186" s="7">
        <v>6</v>
      </c>
      <c r="H3186" s="3">
        <f>_xlfn.XLOOKUP(Vendas[[#This Row],[ID Item Vendido]],Agregado[ID],Agregado[Revenda])</f>
        <v>144</v>
      </c>
      <c r="I3186" s="3">
        <f>Vendas[[#This Row],[Valor Unitário]]*Vendas[[#This Row],[Qnt Vendida]]</f>
        <v>864</v>
      </c>
      <c r="J3186" s="3">
        <f>Vendas[[#This Row],[Valor da Venda]]-(_xlfn.XLOOKUP(Vendas[[#This Row],[ID Item Vendido]],Agregado[ID],Agregado[Custo])*Vendas[[#This Row],[Qnt Vendida]])</f>
        <v>144</v>
      </c>
      <c r="K3186" s="70">
        <f>Vendas[[#This Row],[Lucro da Venda]]/Vendas[[#This Row],[Valor da Venda]]</f>
        <v>0.16666666666666666</v>
      </c>
      <c r="L3186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3186"/>
    </row>
    <row r="3187" spans="1:13" x14ac:dyDescent="0.3">
      <c r="A3187" s="7">
        <v>400252</v>
      </c>
      <c r="B3187" t="str">
        <f>_xlfn.XLOOKUP(Vendas[[#This Row],[ID Vendedor]],Vendedores[ID],Vendedores[Nome])</f>
        <v>Renata</v>
      </c>
      <c r="C3187" s="7" t="str">
        <f>_xlfn.XLOOKUP(Vendas[[#This Row],[ID Vendedor]],Vendedores[ID],Vendedores[Setor])</f>
        <v>AB</v>
      </c>
      <c r="D3187" s="7" t="s">
        <v>39</v>
      </c>
      <c r="E3187" t="str">
        <f>_xlfn.XLOOKUP(Vendas[[#This Row],[ID Item Vendido]],Agregado[ID],Agregado[Produto])</f>
        <v>Filme plástico industrial rolo 50m</v>
      </c>
      <c r="F3187" s="39">
        <v>45321</v>
      </c>
      <c r="G3187" s="7">
        <v>16</v>
      </c>
      <c r="H3187" s="3">
        <f>_xlfn.XLOOKUP(Vendas[[#This Row],[ID Item Vendido]],Agregado[ID],Agregado[Revenda])</f>
        <v>37</v>
      </c>
      <c r="I3187" s="3">
        <f>Vendas[[#This Row],[Valor Unitário]]*Vendas[[#This Row],[Qnt Vendida]]</f>
        <v>592</v>
      </c>
      <c r="J3187" s="3">
        <f>Vendas[[#This Row],[Valor da Venda]]-(_xlfn.XLOOKUP(Vendas[[#This Row],[ID Item Vendido]],Agregado[ID],Agregado[Custo])*Vendas[[#This Row],[Qnt Vendida]])</f>
        <v>144</v>
      </c>
      <c r="K3187" s="70">
        <f>Vendas[[#This Row],[Lucro da Venda]]/Vendas[[#This Row],[Valor da Venda]]</f>
        <v>0.24324324324324326</v>
      </c>
      <c r="L3187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3187"/>
    </row>
    <row r="3188" spans="1:13" x14ac:dyDescent="0.3">
      <c r="A3188" s="7">
        <v>400241</v>
      </c>
      <c r="B3188" t="str">
        <f>_xlfn.XLOOKUP(Vendas[[#This Row],[ID Vendedor]],Vendedores[ID],Vendedores[Nome])</f>
        <v>Rodrigo</v>
      </c>
      <c r="C3188" s="7" t="str">
        <f>_xlfn.XLOOKUP(Vendas[[#This Row],[ID Vendedor]],Vendedores[ID],Vendedores[Setor])</f>
        <v>FM</v>
      </c>
      <c r="D3188" s="7" t="s">
        <v>27</v>
      </c>
      <c r="E3188" t="str">
        <f>_xlfn.XLOOKUP(Vendas[[#This Row],[ID Item Vendido]],Agregado[ID],Agregado[Produto])</f>
        <v>Chapa de metal lisa 1x2m</v>
      </c>
      <c r="F3188" s="39">
        <v>45321</v>
      </c>
      <c r="G3188" s="7">
        <v>6</v>
      </c>
      <c r="H3188" s="3">
        <f>_xlfn.XLOOKUP(Vendas[[#This Row],[ID Item Vendido]],Agregado[ID],Agregado[Revenda])</f>
        <v>52</v>
      </c>
      <c r="I3188" s="3">
        <f>Vendas[[#This Row],[Valor Unitário]]*Vendas[[#This Row],[Qnt Vendida]]</f>
        <v>312</v>
      </c>
      <c r="J3188" s="3">
        <f>Vendas[[#This Row],[Valor da Venda]]-(_xlfn.XLOOKUP(Vendas[[#This Row],[ID Item Vendido]],Agregado[ID],Agregado[Custo])*Vendas[[#This Row],[Qnt Vendida]])</f>
        <v>42</v>
      </c>
      <c r="K3188" s="70">
        <f>Vendas[[#This Row],[Lucro da Venda]]/Vendas[[#This Row],[Valor da Venda]]</f>
        <v>0.13461538461538461</v>
      </c>
      <c r="L318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3188"/>
    </row>
    <row r="3189" spans="1:13" x14ac:dyDescent="0.3">
      <c r="A3189" s="7">
        <v>400244</v>
      </c>
      <c r="B3189" t="str">
        <f>_xlfn.XLOOKUP(Vendas[[#This Row],[ID Vendedor]],Vendedores[ID],Vendedores[Nome])</f>
        <v>Camila</v>
      </c>
      <c r="C3189" s="7" t="str">
        <f>_xlfn.XLOOKUP(Vendas[[#This Row],[ID Vendedor]],Vendedores[ID],Vendedores[Setor])</f>
        <v>AHD</v>
      </c>
      <c r="D3189" s="7" t="s">
        <v>28</v>
      </c>
      <c r="E3189" t="str">
        <f>_xlfn.XLOOKUP(Vendas[[#This Row],[ID Item Vendido]],Agregado[ID],Agregado[Produto])</f>
        <v>Peça usinada CNC</v>
      </c>
      <c r="F3189" s="39">
        <v>45322</v>
      </c>
      <c r="G3189" s="7">
        <v>14</v>
      </c>
      <c r="H3189" s="3">
        <f>_xlfn.XLOOKUP(Vendas[[#This Row],[ID Item Vendido]],Agregado[ID],Agregado[Revenda])</f>
        <v>192</v>
      </c>
      <c r="I3189" s="3">
        <f>Vendas[[#This Row],[Valor Unitário]]*Vendas[[#This Row],[Qnt Vendida]]</f>
        <v>2688</v>
      </c>
      <c r="J3189" s="3">
        <f>Vendas[[#This Row],[Valor da Venda]]-(_xlfn.XLOOKUP(Vendas[[#This Row],[ID Item Vendido]],Agregado[ID],Agregado[Custo])*Vendas[[#This Row],[Qnt Vendida]])</f>
        <v>588</v>
      </c>
      <c r="K3189" s="70">
        <f>Vendas[[#This Row],[Lucro da Venda]]/Vendas[[#This Row],[Valor da Venda]]</f>
        <v>0.21875</v>
      </c>
      <c r="L3189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3189"/>
    </row>
    <row r="3190" spans="1:13" x14ac:dyDescent="0.3">
      <c r="A3190" s="7">
        <v>400241</v>
      </c>
      <c r="B3190" t="str">
        <f>_xlfn.XLOOKUP(Vendas[[#This Row],[ID Vendedor]],Vendedores[ID],Vendedores[Nome])</f>
        <v>Rodrigo</v>
      </c>
      <c r="C3190" s="7" t="str">
        <f>_xlfn.XLOOKUP(Vendas[[#This Row],[ID Vendedor]],Vendedores[ID],Vendedores[Setor])</f>
        <v>FM</v>
      </c>
      <c r="D3190" s="7" t="s">
        <v>20</v>
      </c>
      <c r="E3190" t="str">
        <f>_xlfn.XLOOKUP(Vendas[[#This Row],[ID Item Vendido]],Agregado[ID],Agregado[Produto])</f>
        <v>Barra de aço simples</v>
      </c>
      <c r="F3190" s="39">
        <v>45322</v>
      </c>
      <c r="G3190" s="7">
        <v>200</v>
      </c>
      <c r="H3190" s="3">
        <f>_xlfn.XLOOKUP(Vendas[[#This Row],[ID Item Vendido]],Agregado[ID],Agregado[Revenda])</f>
        <v>4.8</v>
      </c>
      <c r="I3190" s="3">
        <f>Vendas[[#This Row],[Valor Unitário]]*Vendas[[#This Row],[Qnt Vendida]]</f>
        <v>960</v>
      </c>
      <c r="J3190" s="3">
        <f>Vendas[[#This Row],[Valor da Venda]]-(_xlfn.XLOOKUP(Vendas[[#This Row],[ID Item Vendido]],Agregado[ID],Agregado[Custo])*Vendas[[#This Row],[Qnt Vendida]])</f>
        <v>120</v>
      </c>
      <c r="K3190" s="70">
        <f>Vendas[[#This Row],[Lucro da Venda]]/Vendas[[#This Row],[Valor da Venda]]</f>
        <v>0.125</v>
      </c>
      <c r="L3190" s="3">
        <f>_xlfn.IFS(Vendas[[#This Row],[Margem de Lucro (%)]]&lt;15%,Vendas[[#This Row],[Valor da Venda]]*3%,Vendas[[#This Row],[Margem de Lucro (%)]]&lt;=20%,Vendas[[#This Row],[Valor da Venda]]*4.5%,TRUE,Vendas[[#This Row],[Valor da Venda]]*6%)</f>
        <v>28.799999999999997</v>
      </c>
      <c r="M3190"/>
    </row>
    <row r="3191" spans="1:13" x14ac:dyDescent="0.3">
      <c r="A3191" s="7">
        <v>400250</v>
      </c>
      <c r="B3191" t="str">
        <f>_xlfn.XLOOKUP(Vendas[[#This Row],[ID Vendedor]],Vendedores[ID],Vendedores[Nome])</f>
        <v>Larissa</v>
      </c>
      <c r="C3191" s="7" t="str">
        <f>_xlfn.XLOOKUP(Vendas[[#This Row],[ID Vendedor]],Vendedores[ID],Vendedores[Setor])</f>
        <v>AB</v>
      </c>
      <c r="D3191" s="7" t="s">
        <v>39</v>
      </c>
      <c r="E3191" t="str">
        <f>_xlfn.XLOOKUP(Vendas[[#This Row],[ID Item Vendido]],Agregado[ID],Agregado[Produto])</f>
        <v>Filme plástico industrial rolo 50m</v>
      </c>
      <c r="F3191" s="39">
        <v>45322</v>
      </c>
      <c r="G3191" s="7">
        <v>22</v>
      </c>
      <c r="H3191" s="3">
        <f>_xlfn.XLOOKUP(Vendas[[#This Row],[ID Item Vendido]],Agregado[ID],Agregado[Revenda])</f>
        <v>37</v>
      </c>
      <c r="I3191" s="3">
        <f>Vendas[[#This Row],[Valor Unitário]]*Vendas[[#This Row],[Qnt Vendida]]</f>
        <v>814</v>
      </c>
      <c r="J3191" s="3">
        <f>Vendas[[#This Row],[Valor da Venda]]-(_xlfn.XLOOKUP(Vendas[[#This Row],[ID Item Vendido]],Agregado[ID],Agregado[Custo])*Vendas[[#This Row],[Qnt Vendida]])</f>
        <v>198</v>
      </c>
      <c r="K3191" s="70">
        <f>Vendas[[#This Row],[Lucro da Venda]]/Vendas[[#This Row],[Valor da Venda]]</f>
        <v>0.24324324324324326</v>
      </c>
      <c r="L3191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3191"/>
    </row>
    <row r="3192" spans="1:13" x14ac:dyDescent="0.3">
      <c r="A3192" s="7">
        <v>400242</v>
      </c>
      <c r="B3192" t="str">
        <f>_xlfn.XLOOKUP(Vendas[[#This Row],[ID Vendedor]],Vendedores[ID],Vendedores[Nome])</f>
        <v>Fernanda</v>
      </c>
      <c r="C3192" s="7" t="str">
        <f>_xlfn.XLOOKUP(Vendas[[#This Row],[ID Vendedor]],Vendedores[ID],Vendedores[Setor])</f>
        <v>FM</v>
      </c>
      <c r="D3192" s="7" t="s">
        <v>6</v>
      </c>
      <c r="E3192" t="str">
        <f>_xlfn.XLOOKUP(Vendas[[#This Row],[ID Item Vendido]],Agregado[ID],Agregado[Produto])</f>
        <v>Parafuso comum 500un</v>
      </c>
      <c r="F3192" s="39">
        <v>45322</v>
      </c>
      <c r="G3192" s="7">
        <v>23</v>
      </c>
      <c r="H3192" s="3">
        <f>_xlfn.XLOOKUP(Vendas[[#This Row],[ID Item Vendido]],Agregado[ID],Agregado[Revenda])</f>
        <v>24.6</v>
      </c>
      <c r="I3192" s="3">
        <f>Vendas[[#This Row],[Valor Unitário]]*Vendas[[#This Row],[Qnt Vendida]]</f>
        <v>565.80000000000007</v>
      </c>
      <c r="J3192" s="3">
        <f>Vendas[[#This Row],[Valor da Venda]]-(_xlfn.XLOOKUP(Vendas[[#This Row],[ID Item Vendido]],Agregado[ID],Agregado[Custo])*Vendas[[#This Row],[Qnt Vendida]])</f>
        <v>59.800000000000068</v>
      </c>
      <c r="K3192" s="70">
        <f>Vendas[[#This Row],[Lucro da Venda]]/Vendas[[#This Row],[Valor da Venda]]</f>
        <v>0.10569105691056921</v>
      </c>
      <c r="L3192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3192"/>
    </row>
    <row r="3193" spans="1:13" x14ac:dyDescent="0.3">
      <c r="A3193" s="7">
        <v>400247</v>
      </c>
      <c r="B3193" t="str">
        <f>_xlfn.XLOOKUP(Vendas[[#This Row],[ID Vendedor]],Vendedores[ID],Vendedores[Nome])</f>
        <v>André</v>
      </c>
      <c r="C3193" s="7" t="str">
        <f>_xlfn.XLOOKUP(Vendas[[#This Row],[ID Vendedor]],Vendedores[ID],Vendedores[Setor])</f>
        <v>CM</v>
      </c>
      <c r="D3193" s="7" t="s">
        <v>32</v>
      </c>
      <c r="E3193" t="str">
        <f>_xlfn.XLOOKUP(Vendas[[#This Row],[ID Item Vendido]],Agregado[ID],Agregado[Produto])</f>
        <v>Tábua tratada e cortada 3m</v>
      </c>
      <c r="F3193" s="39">
        <v>45323</v>
      </c>
      <c r="G3193" s="7">
        <v>41</v>
      </c>
      <c r="H3193" s="3">
        <f>_xlfn.XLOOKUP(Vendas[[#This Row],[ID Item Vendido]],Agregado[ID],Agregado[Revenda])</f>
        <v>39</v>
      </c>
      <c r="I3193" s="3">
        <f>Vendas[[#This Row],[Valor Unitário]]*Vendas[[#This Row],[Qnt Vendida]]</f>
        <v>1599</v>
      </c>
      <c r="J3193" s="3">
        <f>Vendas[[#This Row],[Valor da Venda]]-(_xlfn.XLOOKUP(Vendas[[#This Row],[ID Item Vendido]],Agregado[ID],Agregado[Custo])*Vendas[[#This Row],[Qnt Vendida]])</f>
        <v>287</v>
      </c>
      <c r="K3193" s="70">
        <f>Vendas[[#This Row],[Lucro da Venda]]/Vendas[[#This Row],[Valor da Venda]]</f>
        <v>0.17948717948717949</v>
      </c>
      <c r="L3193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3193"/>
    </row>
    <row r="3194" spans="1:13" x14ac:dyDescent="0.3">
      <c r="A3194" s="7">
        <v>400252</v>
      </c>
      <c r="B3194" t="str">
        <f>_xlfn.XLOOKUP(Vendas[[#This Row],[ID Vendedor]],Vendedores[ID],Vendedores[Nome])</f>
        <v>Renata</v>
      </c>
      <c r="C3194" s="7" t="str">
        <f>_xlfn.XLOOKUP(Vendas[[#This Row],[ID Vendedor]],Vendedores[ID],Vendedores[Setor])</f>
        <v>AB</v>
      </c>
      <c r="D3194" s="7" t="s">
        <v>39</v>
      </c>
      <c r="E3194" t="str">
        <f>_xlfn.XLOOKUP(Vendas[[#This Row],[ID Item Vendido]],Agregado[ID],Agregado[Produto])</f>
        <v>Filme plástico industrial rolo 50m</v>
      </c>
      <c r="F3194" s="39">
        <v>45323</v>
      </c>
      <c r="G3194" s="7">
        <v>6</v>
      </c>
      <c r="H3194" s="3">
        <f>_xlfn.XLOOKUP(Vendas[[#This Row],[ID Item Vendido]],Agregado[ID],Agregado[Revenda])</f>
        <v>37</v>
      </c>
      <c r="I3194" s="3">
        <f>Vendas[[#This Row],[Valor Unitário]]*Vendas[[#This Row],[Qnt Vendida]]</f>
        <v>222</v>
      </c>
      <c r="J3194" s="3">
        <f>Vendas[[#This Row],[Valor da Venda]]-(_xlfn.XLOOKUP(Vendas[[#This Row],[ID Item Vendido]],Agregado[ID],Agregado[Custo])*Vendas[[#This Row],[Qnt Vendida]])</f>
        <v>54</v>
      </c>
      <c r="K3194" s="70">
        <f>Vendas[[#This Row],[Lucro da Venda]]/Vendas[[#This Row],[Valor da Venda]]</f>
        <v>0.24324324324324326</v>
      </c>
      <c r="L3194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3194"/>
    </row>
    <row r="3195" spans="1:13" x14ac:dyDescent="0.3">
      <c r="A3195" s="7">
        <v>400244</v>
      </c>
      <c r="B3195" t="str">
        <f>_xlfn.XLOOKUP(Vendas[[#This Row],[ID Vendedor]],Vendedores[ID],Vendedores[Nome])</f>
        <v>Camila</v>
      </c>
      <c r="C3195" s="7" t="str">
        <f>_xlfn.XLOOKUP(Vendas[[#This Row],[ID Vendedor]],Vendedores[ID],Vendedores[Setor])</f>
        <v>AHD</v>
      </c>
      <c r="D3195" s="7" t="s">
        <v>30</v>
      </c>
      <c r="E3195" t="str">
        <f>_xlfn.XLOOKUP(Vendas[[#This Row],[ID Item Vendido]],Agregado[ID],Agregado[Produto])</f>
        <v>Estrutura metálica soldada</v>
      </c>
      <c r="F3195" s="39">
        <v>45325</v>
      </c>
      <c r="G3195" s="7">
        <v>4</v>
      </c>
      <c r="H3195" s="3">
        <f>_xlfn.XLOOKUP(Vendas[[#This Row],[ID Item Vendido]],Agregado[ID],Agregado[Revenda])</f>
        <v>400</v>
      </c>
      <c r="I3195" s="3">
        <f>Vendas[[#This Row],[Valor Unitário]]*Vendas[[#This Row],[Qnt Vendida]]</f>
        <v>1600</v>
      </c>
      <c r="J3195" s="3">
        <f>Vendas[[#This Row],[Valor da Venda]]-(_xlfn.XLOOKUP(Vendas[[#This Row],[ID Item Vendido]],Agregado[ID],Agregado[Custo])*Vendas[[#This Row],[Qnt Vendida]])</f>
        <v>320</v>
      </c>
      <c r="K3195" s="70">
        <f>Vendas[[#This Row],[Lucro da Venda]]/Vendas[[#This Row],[Valor da Venda]]</f>
        <v>0.2</v>
      </c>
      <c r="L3195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195"/>
    </row>
    <row r="3196" spans="1:13" x14ac:dyDescent="0.3">
      <c r="A3196" s="7">
        <v>400252</v>
      </c>
      <c r="B3196" t="str">
        <f>_xlfn.XLOOKUP(Vendas[[#This Row],[ID Vendedor]],Vendedores[ID],Vendedores[Nome])</f>
        <v>Renata</v>
      </c>
      <c r="C3196" s="7" t="str">
        <f>_xlfn.XLOOKUP(Vendas[[#This Row],[ID Vendedor]],Vendedores[ID],Vendedores[Setor])</f>
        <v>AB</v>
      </c>
      <c r="D3196" s="7" t="s">
        <v>12</v>
      </c>
      <c r="E3196" t="str">
        <f>_xlfn.XLOOKUP(Vendas[[#This Row],[ID Item Vendido]],Agregado[ID],Agregado[Produto])</f>
        <v>Grânulo de plástico reciclado refinado</v>
      </c>
      <c r="F3196" s="39">
        <v>45325</v>
      </c>
      <c r="G3196" s="7">
        <v>103</v>
      </c>
      <c r="H3196" s="3">
        <f>_xlfn.XLOOKUP(Vendas[[#This Row],[ID Item Vendido]],Agregado[ID],Agregado[Revenda])</f>
        <v>4.7</v>
      </c>
      <c r="I3196" s="3">
        <f>Vendas[[#This Row],[Valor Unitário]]*Vendas[[#This Row],[Qnt Vendida]]</f>
        <v>484.1</v>
      </c>
      <c r="J3196" s="3">
        <f>Vendas[[#This Row],[Valor da Venda]]-(_xlfn.XLOOKUP(Vendas[[#This Row],[ID Item Vendido]],Agregado[ID],Agregado[Custo])*Vendas[[#This Row],[Qnt Vendida]])</f>
        <v>123.60000000000002</v>
      </c>
      <c r="K3196" s="70">
        <f>Vendas[[#This Row],[Lucro da Venda]]/Vendas[[#This Row],[Valor da Venda]]</f>
        <v>0.25531914893617025</v>
      </c>
      <c r="L3196" s="3">
        <f>_xlfn.IFS(Vendas[[#This Row],[Margem de Lucro (%)]]&lt;15%,Vendas[[#This Row],[Valor da Venda]]*3%,Vendas[[#This Row],[Margem de Lucro (%)]]&lt;=20%,Vendas[[#This Row],[Valor da Venda]]*4.5%,TRUE,Vendas[[#This Row],[Valor da Venda]]*6%)</f>
        <v>29.045999999999999</v>
      </c>
      <c r="M3196"/>
    </row>
    <row r="3197" spans="1:13" x14ac:dyDescent="0.3">
      <c r="A3197" s="7">
        <v>400246</v>
      </c>
      <c r="B3197" t="str">
        <f>_xlfn.XLOOKUP(Vendas[[#This Row],[ID Vendedor]],Vendedores[ID],Vendedores[Nome])</f>
        <v>Juliana</v>
      </c>
      <c r="C3197" s="7" t="str">
        <f>_xlfn.XLOOKUP(Vendas[[#This Row],[ID Vendedor]],Vendedores[ID],Vendedores[Setor])</f>
        <v>AHD</v>
      </c>
      <c r="D3197" s="7" t="s">
        <v>28</v>
      </c>
      <c r="E3197" t="str">
        <f>_xlfn.XLOOKUP(Vendas[[#This Row],[ID Item Vendido]],Agregado[ID],Agregado[Produto])</f>
        <v>Peça usinada CNC</v>
      </c>
      <c r="F3197" s="39">
        <v>45326</v>
      </c>
      <c r="G3197" s="7">
        <v>12</v>
      </c>
      <c r="H3197" s="3">
        <f>_xlfn.XLOOKUP(Vendas[[#This Row],[ID Item Vendido]],Agregado[ID],Agregado[Revenda])</f>
        <v>192</v>
      </c>
      <c r="I3197" s="3">
        <f>Vendas[[#This Row],[Valor Unitário]]*Vendas[[#This Row],[Qnt Vendida]]</f>
        <v>2304</v>
      </c>
      <c r="J3197" s="3">
        <f>Vendas[[#This Row],[Valor da Venda]]-(_xlfn.XLOOKUP(Vendas[[#This Row],[ID Item Vendido]],Agregado[ID],Agregado[Custo])*Vendas[[#This Row],[Qnt Vendida]])</f>
        <v>504</v>
      </c>
      <c r="K3197" s="70">
        <f>Vendas[[#This Row],[Lucro da Venda]]/Vendas[[#This Row],[Valor da Venda]]</f>
        <v>0.21875</v>
      </c>
      <c r="L3197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3197"/>
    </row>
    <row r="3198" spans="1:13" x14ac:dyDescent="0.3">
      <c r="A3198" s="7">
        <v>400242</v>
      </c>
      <c r="B3198" t="str">
        <f>_xlfn.XLOOKUP(Vendas[[#This Row],[ID Vendedor]],Vendedores[ID],Vendedores[Nome])</f>
        <v>Fernanda</v>
      </c>
      <c r="C3198" s="7" t="str">
        <f>_xlfn.XLOOKUP(Vendas[[#This Row],[ID Vendedor]],Vendedores[ID],Vendedores[Setor])</f>
        <v>FM</v>
      </c>
      <c r="D3198" s="7" t="s">
        <v>20</v>
      </c>
      <c r="E3198" t="str">
        <f>_xlfn.XLOOKUP(Vendas[[#This Row],[ID Item Vendido]],Agregado[ID],Agregado[Produto])</f>
        <v>Barra de aço simples</v>
      </c>
      <c r="F3198" s="39">
        <v>45326</v>
      </c>
      <c r="G3198" s="7">
        <v>177</v>
      </c>
      <c r="H3198" s="3">
        <f>_xlfn.XLOOKUP(Vendas[[#This Row],[ID Item Vendido]],Agregado[ID],Agregado[Revenda])</f>
        <v>4.8</v>
      </c>
      <c r="I3198" s="3">
        <f>Vendas[[#This Row],[Valor Unitário]]*Vendas[[#This Row],[Qnt Vendida]]</f>
        <v>849.6</v>
      </c>
      <c r="J3198" s="3">
        <f>Vendas[[#This Row],[Valor da Venda]]-(_xlfn.XLOOKUP(Vendas[[#This Row],[ID Item Vendido]],Agregado[ID],Agregado[Custo])*Vendas[[#This Row],[Qnt Vendida]])</f>
        <v>106.20000000000005</v>
      </c>
      <c r="K3198" s="70">
        <f>Vendas[[#This Row],[Lucro da Venda]]/Vendas[[#This Row],[Valor da Venda]]</f>
        <v>0.12500000000000006</v>
      </c>
      <c r="L3198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3198"/>
    </row>
    <row r="3199" spans="1:13" x14ac:dyDescent="0.3">
      <c r="A3199" s="7">
        <v>400255</v>
      </c>
      <c r="B3199" t="str">
        <f>_xlfn.XLOOKUP(Vendas[[#This Row],[ID Vendedor]],Vendedores[ID],Vendedores[Nome])</f>
        <v>Carlos</v>
      </c>
      <c r="C3199" s="7" t="str">
        <f>_xlfn.XLOOKUP(Vendas[[#This Row],[ID Vendedor]],Vendedores[ID],Vendedores[Setor])</f>
        <v>SC</v>
      </c>
      <c r="D3199" s="7" t="s">
        <v>42</v>
      </c>
      <c r="E3199" t="str">
        <f>_xlfn.XLOOKUP(Vendas[[#This Row],[ID Item Vendido]],Agregado[ID],Agregado[Produto])</f>
        <v>Container de ferro industrial</v>
      </c>
      <c r="F3199" s="39">
        <v>45326</v>
      </c>
      <c r="G3199" s="7">
        <v>1</v>
      </c>
      <c r="H3199" s="3">
        <f>_xlfn.XLOOKUP(Vendas[[#This Row],[ID Item Vendido]],Agregado[ID],Agregado[Revenda])</f>
        <v>830</v>
      </c>
      <c r="I3199" s="3">
        <f>Vendas[[#This Row],[Valor Unitário]]*Vendas[[#This Row],[Qnt Vendida]]</f>
        <v>830</v>
      </c>
      <c r="J3199" s="3">
        <f>Vendas[[#This Row],[Valor da Venda]]-(_xlfn.XLOOKUP(Vendas[[#This Row],[ID Item Vendido]],Agregado[ID],Agregado[Custo])*Vendas[[#This Row],[Qnt Vendida]])</f>
        <v>150</v>
      </c>
      <c r="K3199" s="70">
        <f>Vendas[[#This Row],[Lucro da Venda]]/Vendas[[#This Row],[Valor da Venda]]</f>
        <v>0.18072289156626506</v>
      </c>
      <c r="L319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199"/>
    </row>
    <row r="3200" spans="1:13" x14ac:dyDescent="0.3">
      <c r="A3200" s="7">
        <v>400250</v>
      </c>
      <c r="B3200" t="str">
        <f>_xlfn.XLOOKUP(Vendas[[#This Row],[ID Vendedor]],Vendedores[ID],Vendedores[Nome])</f>
        <v>Larissa</v>
      </c>
      <c r="C3200" s="7" t="str">
        <f>_xlfn.XLOOKUP(Vendas[[#This Row],[ID Vendedor]],Vendedores[ID],Vendedores[Setor])</f>
        <v>AB</v>
      </c>
      <c r="D3200" s="7" t="s">
        <v>36</v>
      </c>
      <c r="E3200" t="str">
        <f>_xlfn.XLOOKUP(Vendas[[#This Row],[ID Item Vendido]],Agregado[ID],Agregado[Produto])</f>
        <v>Borracha vulcanizada em manta</v>
      </c>
      <c r="F3200" s="39">
        <v>45326</v>
      </c>
      <c r="G3200" s="7">
        <v>98</v>
      </c>
      <c r="H3200" s="3">
        <f>_xlfn.XLOOKUP(Vendas[[#This Row],[ID Item Vendido]],Agregado[ID],Agregado[Revenda])</f>
        <v>7.8</v>
      </c>
      <c r="I3200" s="3">
        <f>Vendas[[#This Row],[Valor Unitário]]*Vendas[[#This Row],[Qnt Vendida]]</f>
        <v>764.4</v>
      </c>
      <c r="J3200" s="3">
        <f>Vendas[[#This Row],[Valor da Venda]]-(_xlfn.XLOOKUP(Vendas[[#This Row],[ID Item Vendido]],Agregado[ID],Agregado[Custo])*Vendas[[#This Row],[Qnt Vendida]])</f>
        <v>176.39999999999998</v>
      </c>
      <c r="K3200" s="70">
        <f>Vendas[[#This Row],[Lucro da Venda]]/Vendas[[#This Row],[Valor da Venda]]</f>
        <v>0.23076923076923075</v>
      </c>
      <c r="L3200" s="3">
        <f>_xlfn.IFS(Vendas[[#This Row],[Margem de Lucro (%)]]&lt;15%,Vendas[[#This Row],[Valor da Venda]]*3%,Vendas[[#This Row],[Margem de Lucro (%)]]&lt;=20%,Vendas[[#This Row],[Valor da Venda]]*4.5%,TRUE,Vendas[[#This Row],[Valor da Venda]]*6%)</f>
        <v>45.863999999999997</v>
      </c>
      <c r="M3200"/>
    </row>
    <row r="3201" spans="1:13" x14ac:dyDescent="0.3">
      <c r="A3201" s="7">
        <v>400245</v>
      </c>
      <c r="B3201" t="str">
        <f>_xlfn.XLOOKUP(Vendas[[#This Row],[ID Vendedor]],Vendedores[ID],Vendedores[Nome])</f>
        <v>Thiago</v>
      </c>
      <c r="C3201" s="7" t="str">
        <f>_xlfn.XLOOKUP(Vendas[[#This Row],[ID Vendedor]],Vendedores[ID],Vendedores[Setor])</f>
        <v>AHD</v>
      </c>
      <c r="D3201" s="7" t="s">
        <v>9</v>
      </c>
      <c r="E3201" t="str">
        <f>_xlfn.XLOOKUP(Vendas[[#This Row],[ID Item Vendido]],Agregado[ID],Agregado[Produto])</f>
        <v>Barra de aço simples</v>
      </c>
      <c r="F3201" s="39">
        <v>45326</v>
      </c>
      <c r="G3201" s="7">
        <v>52</v>
      </c>
      <c r="H3201" s="3">
        <f>_xlfn.XLOOKUP(Vendas[[#This Row],[ID Item Vendido]],Agregado[ID],Agregado[Revenda])</f>
        <v>6.7</v>
      </c>
      <c r="I3201" s="3">
        <f>Vendas[[#This Row],[Valor Unitário]]*Vendas[[#This Row],[Qnt Vendida]]</f>
        <v>348.40000000000003</v>
      </c>
      <c r="J3201" s="3">
        <f>Vendas[[#This Row],[Valor da Venda]]-(_xlfn.XLOOKUP(Vendas[[#This Row],[ID Item Vendido]],Agregado[ID],Agregado[Custo])*Vendas[[#This Row],[Qnt Vendida]])</f>
        <v>46.800000000000068</v>
      </c>
      <c r="K3201" s="70">
        <f>Vendas[[#This Row],[Lucro da Venda]]/Vendas[[#This Row],[Valor da Venda]]</f>
        <v>0.13432835820895542</v>
      </c>
      <c r="L3201" s="3">
        <f>_xlfn.IFS(Vendas[[#This Row],[Margem de Lucro (%)]]&lt;15%,Vendas[[#This Row],[Valor da Venda]]*3%,Vendas[[#This Row],[Margem de Lucro (%)]]&lt;=20%,Vendas[[#This Row],[Valor da Venda]]*4.5%,TRUE,Vendas[[#This Row],[Valor da Venda]]*6%)</f>
        <v>10.452</v>
      </c>
      <c r="M3201"/>
    </row>
    <row r="3202" spans="1:13" x14ac:dyDescent="0.3">
      <c r="A3202" s="7">
        <v>400248</v>
      </c>
      <c r="B3202" t="str">
        <f>_xlfn.XLOOKUP(Vendas[[#This Row],[ID Vendedor]],Vendedores[ID],Vendedores[Nome])</f>
        <v>Patrícia</v>
      </c>
      <c r="C3202" s="7" t="str">
        <f>_xlfn.XLOOKUP(Vendas[[#This Row],[ID Vendedor]],Vendedores[ID],Vendedores[Setor])</f>
        <v>CM</v>
      </c>
      <c r="D3202" s="7" t="s">
        <v>22</v>
      </c>
      <c r="E3202" t="str">
        <f>_xlfn.XLOOKUP(Vendas[[#This Row],[ID Item Vendido]],Agregado[ID],Agregado[Produto])</f>
        <v>Painel MDP 2,75x1,83m</v>
      </c>
      <c r="F3202" s="39">
        <v>45326</v>
      </c>
      <c r="G3202" s="7">
        <v>2</v>
      </c>
      <c r="H3202" s="3">
        <f>_xlfn.XLOOKUP(Vendas[[#This Row],[ID Item Vendido]],Agregado[ID],Agregado[Revenda])</f>
        <v>119</v>
      </c>
      <c r="I3202" s="3">
        <f>Vendas[[#This Row],[Valor Unitário]]*Vendas[[#This Row],[Qnt Vendida]]</f>
        <v>238</v>
      </c>
      <c r="J3202" s="3">
        <f>Vendas[[#This Row],[Valor da Venda]]-(_xlfn.XLOOKUP(Vendas[[#This Row],[ID Item Vendido]],Agregado[ID],Agregado[Custo])*Vendas[[#This Row],[Qnt Vendida]])</f>
        <v>48</v>
      </c>
      <c r="K3202" s="70">
        <f>Vendas[[#This Row],[Lucro da Venda]]/Vendas[[#This Row],[Valor da Venda]]</f>
        <v>0.20168067226890757</v>
      </c>
      <c r="L3202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3202"/>
    </row>
    <row r="3203" spans="1:13" x14ac:dyDescent="0.3">
      <c r="A3203" s="7">
        <v>400254</v>
      </c>
      <c r="B3203" t="str">
        <f>_xlfn.XLOOKUP(Vendas[[#This Row],[ID Vendedor]],Vendedores[ID],Vendedores[Nome])</f>
        <v>Beatriz</v>
      </c>
      <c r="C3203" s="7" t="str">
        <f>_xlfn.XLOOKUP(Vendas[[#This Row],[ID Vendedor]],Vendedores[ID],Vendedores[Setor])</f>
        <v>SC</v>
      </c>
      <c r="D3203" s="7" t="s">
        <v>42</v>
      </c>
      <c r="E3203" t="str">
        <f>_xlfn.XLOOKUP(Vendas[[#This Row],[ID Item Vendido]],Agregado[ID],Agregado[Produto])</f>
        <v>Container de ferro industrial</v>
      </c>
      <c r="F3203" s="39">
        <v>45327</v>
      </c>
      <c r="G3203" s="7">
        <v>5</v>
      </c>
      <c r="H3203" s="3">
        <f>_xlfn.XLOOKUP(Vendas[[#This Row],[ID Item Vendido]],Agregado[ID],Agregado[Revenda])</f>
        <v>830</v>
      </c>
      <c r="I3203" s="3">
        <f>Vendas[[#This Row],[Valor Unitário]]*Vendas[[#This Row],[Qnt Vendida]]</f>
        <v>4150</v>
      </c>
      <c r="J3203" s="3">
        <f>Vendas[[#This Row],[Valor da Venda]]-(_xlfn.XLOOKUP(Vendas[[#This Row],[ID Item Vendido]],Agregado[ID],Agregado[Custo])*Vendas[[#This Row],[Qnt Vendida]])</f>
        <v>750</v>
      </c>
      <c r="K3203" s="70">
        <f>Vendas[[#This Row],[Lucro da Venda]]/Vendas[[#This Row],[Valor da Venda]]</f>
        <v>0.18072289156626506</v>
      </c>
      <c r="L320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203"/>
    </row>
    <row r="3204" spans="1:13" x14ac:dyDescent="0.3">
      <c r="A3204" s="7">
        <v>400246</v>
      </c>
      <c r="B3204" t="str">
        <f>_xlfn.XLOOKUP(Vendas[[#This Row],[ID Vendedor]],Vendedores[ID],Vendedores[Nome])</f>
        <v>Juliana</v>
      </c>
      <c r="C3204" s="7" t="str">
        <f>_xlfn.XLOOKUP(Vendas[[#This Row],[ID Vendedor]],Vendedores[ID],Vendedores[Setor])</f>
        <v>AHD</v>
      </c>
      <c r="D3204" s="7" t="s">
        <v>18</v>
      </c>
      <c r="E3204" t="str">
        <f>_xlfn.XLOOKUP(Vendas[[#This Row],[ID Item Vendido]],Agregado[ID],Agregado[Produto])</f>
        <v>Peça forjada sob encomenda</v>
      </c>
      <c r="F3204" s="39">
        <v>45327</v>
      </c>
      <c r="G3204" s="7">
        <v>5</v>
      </c>
      <c r="H3204" s="3">
        <f>_xlfn.XLOOKUP(Vendas[[#This Row],[ID Item Vendido]],Agregado[ID],Agregado[Revenda])</f>
        <v>264.60000000000002</v>
      </c>
      <c r="I3204" s="3">
        <f>Vendas[[#This Row],[Valor Unitário]]*Vendas[[#This Row],[Qnt Vendida]]</f>
        <v>1323</v>
      </c>
      <c r="J3204" s="3">
        <f>Vendas[[#This Row],[Valor da Venda]]-(_xlfn.XLOOKUP(Vendas[[#This Row],[ID Item Vendido]],Agregado[ID],Agregado[Custo])*Vendas[[#This Row],[Qnt Vendida]])</f>
        <v>73</v>
      </c>
      <c r="K3204" s="70">
        <f>Vendas[[#This Row],[Lucro da Venda]]/Vendas[[#This Row],[Valor da Venda]]</f>
        <v>5.5177626606198037E-2</v>
      </c>
      <c r="L320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204"/>
    </row>
    <row r="3205" spans="1:13" x14ac:dyDescent="0.3">
      <c r="A3205" s="7">
        <v>400251</v>
      </c>
      <c r="B3205" t="str">
        <f>_xlfn.XLOOKUP(Vendas[[#This Row],[ID Vendedor]],Vendedores[ID],Vendedores[Nome])</f>
        <v>Diego</v>
      </c>
      <c r="C3205" s="7" t="str">
        <f>_xlfn.XLOOKUP(Vendas[[#This Row],[ID Vendedor]],Vendedores[ID],Vendedores[Setor])</f>
        <v>AB</v>
      </c>
      <c r="D3205" s="7" t="s">
        <v>37</v>
      </c>
      <c r="E3205" t="str">
        <f>_xlfn.XLOOKUP(Vendas[[#This Row],[ID Item Vendido]],Agregado[ID],Agregado[Produto])</f>
        <v>Composto de borracha para vedação rolo 10m</v>
      </c>
      <c r="F3205" s="39">
        <v>45327</v>
      </c>
      <c r="G3205" s="7">
        <v>20</v>
      </c>
      <c r="H3205" s="3">
        <f>_xlfn.XLOOKUP(Vendas[[#This Row],[ID Item Vendido]],Agregado[ID],Agregado[Revenda])</f>
        <v>51.2</v>
      </c>
      <c r="I3205" s="3">
        <f>Vendas[[#This Row],[Valor Unitário]]*Vendas[[#This Row],[Qnt Vendida]]</f>
        <v>1024</v>
      </c>
      <c r="J3205" s="3">
        <f>Vendas[[#This Row],[Valor da Venda]]-(_xlfn.XLOOKUP(Vendas[[#This Row],[ID Item Vendido]],Agregado[ID],Agregado[Custo])*Vendas[[#This Row],[Qnt Vendida]])</f>
        <v>224</v>
      </c>
      <c r="K3205" s="70">
        <f>Vendas[[#This Row],[Lucro da Venda]]/Vendas[[#This Row],[Valor da Venda]]</f>
        <v>0.21875</v>
      </c>
      <c r="L3205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3205"/>
    </row>
    <row r="3206" spans="1:13" x14ac:dyDescent="0.3">
      <c r="A3206" s="7">
        <v>400248</v>
      </c>
      <c r="B3206" t="str">
        <f>_xlfn.XLOOKUP(Vendas[[#This Row],[ID Vendedor]],Vendedores[ID],Vendedores[Nome])</f>
        <v>Patrícia</v>
      </c>
      <c r="C3206" s="7" t="str">
        <f>_xlfn.XLOOKUP(Vendas[[#This Row],[ID Vendedor]],Vendedores[ID],Vendedores[Setor])</f>
        <v>CM</v>
      </c>
      <c r="D3206" s="7" t="s">
        <v>22</v>
      </c>
      <c r="E3206" t="str">
        <f>_xlfn.XLOOKUP(Vendas[[#This Row],[ID Item Vendido]],Agregado[ID],Agregado[Produto])</f>
        <v>Painel MDP 2,75x1,83m</v>
      </c>
      <c r="F3206" s="39">
        <v>45327</v>
      </c>
      <c r="G3206" s="7">
        <v>7</v>
      </c>
      <c r="H3206" s="3">
        <f>_xlfn.XLOOKUP(Vendas[[#This Row],[ID Item Vendido]],Agregado[ID],Agregado[Revenda])</f>
        <v>119</v>
      </c>
      <c r="I3206" s="3">
        <f>Vendas[[#This Row],[Valor Unitário]]*Vendas[[#This Row],[Qnt Vendida]]</f>
        <v>833</v>
      </c>
      <c r="J3206" s="3">
        <f>Vendas[[#This Row],[Valor da Venda]]-(_xlfn.XLOOKUP(Vendas[[#This Row],[ID Item Vendido]],Agregado[ID],Agregado[Custo])*Vendas[[#This Row],[Qnt Vendida]])</f>
        <v>168</v>
      </c>
      <c r="K3206" s="70">
        <f>Vendas[[#This Row],[Lucro da Venda]]/Vendas[[#This Row],[Valor da Venda]]</f>
        <v>0.20168067226890757</v>
      </c>
      <c r="L3206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3206"/>
    </row>
    <row r="3207" spans="1:13" x14ac:dyDescent="0.3">
      <c r="A3207" s="7">
        <v>400246</v>
      </c>
      <c r="B3207" t="str">
        <f>_xlfn.XLOOKUP(Vendas[[#This Row],[ID Vendedor]],Vendedores[ID],Vendedores[Nome])</f>
        <v>Juliana</v>
      </c>
      <c r="C3207" s="7" t="str">
        <f>_xlfn.XLOOKUP(Vendas[[#This Row],[ID Vendedor]],Vendedores[ID],Vendedores[Setor])</f>
        <v>AHD</v>
      </c>
      <c r="D3207" s="7" t="s">
        <v>9</v>
      </c>
      <c r="E3207" t="str">
        <f>_xlfn.XLOOKUP(Vendas[[#This Row],[ID Item Vendido]],Agregado[ID],Agregado[Produto])</f>
        <v>Barra de aço simples</v>
      </c>
      <c r="F3207" s="39">
        <v>45327</v>
      </c>
      <c r="G3207" s="7">
        <v>73</v>
      </c>
      <c r="H3207" s="3">
        <f>_xlfn.XLOOKUP(Vendas[[#This Row],[ID Item Vendido]],Agregado[ID],Agregado[Revenda])</f>
        <v>6.7</v>
      </c>
      <c r="I3207" s="3">
        <f>Vendas[[#This Row],[Valor Unitário]]*Vendas[[#This Row],[Qnt Vendida]]</f>
        <v>489.1</v>
      </c>
      <c r="J3207" s="3">
        <f>Vendas[[#This Row],[Valor da Venda]]-(_xlfn.XLOOKUP(Vendas[[#This Row],[ID Item Vendido]],Agregado[ID],Agregado[Custo])*Vendas[[#This Row],[Qnt Vendida]])</f>
        <v>65.700000000000045</v>
      </c>
      <c r="K3207" s="70">
        <f>Vendas[[#This Row],[Lucro da Venda]]/Vendas[[#This Row],[Valor da Venda]]</f>
        <v>0.13432835820895531</v>
      </c>
      <c r="L3207" s="3">
        <f>_xlfn.IFS(Vendas[[#This Row],[Margem de Lucro (%)]]&lt;15%,Vendas[[#This Row],[Valor da Venda]]*3%,Vendas[[#This Row],[Margem de Lucro (%)]]&lt;=20%,Vendas[[#This Row],[Valor da Venda]]*4.5%,TRUE,Vendas[[#This Row],[Valor da Venda]]*6%)</f>
        <v>14.673</v>
      </c>
      <c r="M3207"/>
    </row>
    <row r="3208" spans="1:13" x14ac:dyDescent="0.3">
      <c r="A3208" s="7">
        <v>400250</v>
      </c>
      <c r="B3208" t="str">
        <f>_xlfn.XLOOKUP(Vendas[[#This Row],[ID Vendedor]],Vendedores[ID],Vendedores[Nome])</f>
        <v>Larissa</v>
      </c>
      <c r="C3208" s="7" t="str">
        <f>_xlfn.XLOOKUP(Vendas[[#This Row],[ID Vendedor]],Vendedores[ID],Vendedores[Setor])</f>
        <v>AB</v>
      </c>
      <c r="D3208" s="7" t="s">
        <v>37</v>
      </c>
      <c r="E3208" t="str">
        <f>_xlfn.XLOOKUP(Vendas[[#This Row],[ID Item Vendido]],Agregado[ID],Agregado[Produto])</f>
        <v>Composto de borracha para vedação rolo 10m</v>
      </c>
      <c r="F3208" s="39">
        <v>45328</v>
      </c>
      <c r="G3208" s="7">
        <v>13</v>
      </c>
      <c r="H3208" s="3">
        <f>_xlfn.XLOOKUP(Vendas[[#This Row],[ID Item Vendido]],Agregado[ID],Agregado[Revenda])</f>
        <v>51.2</v>
      </c>
      <c r="I3208" s="3">
        <f>Vendas[[#This Row],[Valor Unitário]]*Vendas[[#This Row],[Qnt Vendida]]</f>
        <v>665.6</v>
      </c>
      <c r="J3208" s="3">
        <f>Vendas[[#This Row],[Valor da Venda]]-(_xlfn.XLOOKUP(Vendas[[#This Row],[ID Item Vendido]],Agregado[ID],Agregado[Custo])*Vendas[[#This Row],[Qnt Vendida]])</f>
        <v>145.60000000000002</v>
      </c>
      <c r="K3208" s="70">
        <f>Vendas[[#This Row],[Lucro da Venda]]/Vendas[[#This Row],[Valor da Venda]]</f>
        <v>0.21875000000000003</v>
      </c>
      <c r="L3208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3208"/>
    </row>
    <row r="3209" spans="1:13" x14ac:dyDescent="0.3">
      <c r="A3209" s="7">
        <v>400252</v>
      </c>
      <c r="B3209" t="str">
        <f>_xlfn.XLOOKUP(Vendas[[#This Row],[ID Vendedor]],Vendedores[ID],Vendedores[Nome])</f>
        <v>Renata</v>
      </c>
      <c r="C3209" s="7" t="str">
        <f>_xlfn.XLOOKUP(Vendas[[#This Row],[ID Vendedor]],Vendedores[ID],Vendedores[Setor])</f>
        <v>AB</v>
      </c>
      <c r="D3209" s="7" t="s">
        <v>12</v>
      </c>
      <c r="E3209" t="str">
        <f>_xlfn.XLOOKUP(Vendas[[#This Row],[ID Item Vendido]],Agregado[ID],Agregado[Produto])</f>
        <v>Grânulo de plástico reciclado refinado</v>
      </c>
      <c r="F3209" s="39">
        <v>45328</v>
      </c>
      <c r="G3209" s="7">
        <v>92</v>
      </c>
      <c r="H3209" s="3">
        <f>_xlfn.XLOOKUP(Vendas[[#This Row],[ID Item Vendido]],Agregado[ID],Agregado[Revenda])</f>
        <v>4.7</v>
      </c>
      <c r="I3209" s="3">
        <f>Vendas[[#This Row],[Valor Unitário]]*Vendas[[#This Row],[Qnt Vendida]]</f>
        <v>432.40000000000003</v>
      </c>
      <c r="J3209" s="3">
        <f>Vendas[[#This Row],[Valor da Venda]]-(_xlfn.XLOOKUP(Vendas[[#This Row],[ID Item Vendido]],Agregado[ID],Agregado[Custo])*Vendas[[#This Row],[Qnt Vendida]])</f>
        <v>110.40000000000003</v>
      </c>
      <c r="K3209" s="70">
        <f>Vendas[[#This Row],[Lucro da Venda]]/Vendas[[#This Row],[Valor da Venda]]</f>
        <v>0.25531914893617025</v>
      </c>
      <c r="L3209" s="3">
        <f>_xlfn.IFS(Vendas[[#This Row],[Margem de Lucro (%)]]&lt;15%,Vendas[[#This Row],[Valor da Venda]]*3%,Vendas[[#This Row],[Margem de Lucro (%)]]&lt;=20%,Vendas[[#This Row],[Valor da Venda]]*4.5%,TRUE,Vendas[[#This Row],[Valor da Venda]]*6%)</f>
        <v>25.944000000000003</v>
      </c>
      <c r="M3209"/>
    </row>
    <row r="3210" spans="1:13" x14ac:dyDescent="0.3">
      <c r="A3210" s="7">
        <v>400250</v>
      </c>
      <c r="B3210" t="str">
        <f>_xlfn.XLOOKUP(Vendas[[#This Row],[ID Vendedor]],Vendedores[ID],Vendedores[Nome])</f>
        <v>Larissa</v>
      </c>
      <c r="C3210" s="7" t="str">
        <f>_xlfn.XLOOKUP(Vendas[[#This Row],[ID Vendedor]],Vendedores[ID],Vendedores[Setor])</f>
        <v>AB</v>
      </c>
      <c r="D3210" s="7" t="s">
        <v>12</v>
      </c>
      <c r="E3210" t="str">
        <f>_xlfn.XLOOKUP(Vendas[[#This Row],[ID Item Vendido]],Agregado[ID],Agregado[Produto])</f>
        <v>Grânulo de plástico reciclado refinado</v>
      </c>
      <c r="F3210" s="39">
        <v>45328</v>
      </c>
      <c r="G3210" s="7">
        <v>46</v>
      </c>
      <c r="H3210" s="3">
        <f>_xlfn.XLOOKUP(Vendas[[#This Row],[ID Item Vendido]],Agregado[ID],Agregado[Revenda])</f>
        <v>4.7</v>
      </c>
      <c r="I3210" s="3">
        <f>Vendas[[#This Row],[Valor Unitário]]*Vendas[[#This Row],[Qnt Vendida]]</f>
        <v>216.20000000000002</v>
      </c>
      <c r="J3210" s="3">
        <f>Vendas[[#This Row],[Valor da Venda]]-(_xlfn.XLOOKUP(Vendas[[#This Row],[ID Item Vendido]],Agregado[ID],Agregado[Custo])*Vendas[[#This Row],[Qnt Vendida]])</f>
        <v>55.200000000000017</v>
      </c>
      <c r="K3210" s="70">
        <f>Vendas[[#This Row],[Lucro da Venda]]/Vendas[[#This Row],[Valor da Venda]]</f>
        <v>0.25531914893617025</v>
      </c>
      <c r="L3210" s="3">
        <f>_xlfn.IFS(Vendas[[#This Row],[Margem de Lucro (%)]]&lt;15%,Vendas[[#This Row],[Valor da Venda]]*3%,Vendas[[#This Row],[Margem de Lucro (%)]]&lt;=20%,Vendas[[#This Row],[Valor da Venda]]*4.5%,TRUE,Vendas[[#This Row],[Valor da Venda]]*6%)</f>
        <v>12.972000000000001</v>
      </c>
      <c r="M3210"/>
    </row>
    <row r="3211" spans="1:13" x14ac:dyDescent="0.3">
      <c r="A3211" s="7">
        <v>400245</v>
      </c>
      <c r="B3211" t="str">
        <f>_xlfn.XLOOKUP(Vendas[[#This Row],[ID Vendedor]],Vendedores[ID],Vendedores[Nome])</f>
        <v>Thiago</v>
      </c>
      <c r="C3211" s="7" t="str">
        <f>_xlfn.XLOOKUP(Vendas[[#This Row],[ID Vendedor]],Vendedores[ID],Vendedores[Setor])</f>
        <v>AHD</v>
      </c>
      <c r="D3211" s="7" t="s">
        <v>28</v>
      </c>
      <c r="E3211" t="str">
        <f>_xlfn.XLOOKUP(Vendas[[#This Row],[ID Item Vendido]],Agregado[ID],Agregado[Produto])</f>
        <v>Peça usinada CNC</v>
      </c>
      <c r="F3211" s="39">
        <v>45329</v>
      </c>
      <c r="G3211" s="7">
        <v>5</v>
      </c>
      <c r="H3211" s="3">
        <f>_xlfn.XLOOKUP(Vendas[[#This Row],[ID Item Vendido]],Agregado[ID],Agregado[Revenda])</f>
        <v>192</v>
      </c>
      <c r="I3211" s="3">
        <f>Vendas[[#This Row],[Valor Unitário]]*Vendas[[#This Row],[Qnt Vendida]]</f>
        <v>960</v>
      </c>
      <c r="J3211" s="3">
        <f>Vendas[[#This Row],[Valor da Venda]]-(_xlfn.XLOOKUP(Vendas[[#This Row],[ID Item Vendido]],Agregado[ID],Agregado[Custo])*Vendas[[#This Row],[Qnt Vendida]])</f>
        <v>210</v>
      </c>
      <c r="K3211" s="70">
        <f>Vendas[[#This Row],[Lucro da Venda]]/Vendas[[#This Row],[Valor da Venda]]</f>
        <v>0.21875</v>
      </c>
      <c r="L3211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3211"/>
    </row>
    <row r="3212" spans="1:13" x14ac:dyDescent="0.3">
      <c r="A3212" s="7">
        <v>400246</v>
      </c>
      <c r="B3212" t="str">
        <f>_xlfn.XLOOKUP(Vendas[[#This Row],[ID Vendedor]],Vendedores[ID],Vendedores[Nome])</f>
        <v>Juliana</v>
      </c>
      <c r="C3212" s="7" t="str">
        <f>_xlfn.XLOOKUP(Vendas[[#This Row],[ID Vendedor]],Vendedores[ID],Vendedores[Setor])</f>
        <v>AHD</v>
      </c>
      <c r="D3212" s="7" t="s">
        <v>9</v>
      </c>
      <c r="E3212" t="str">
        <f>_xlfn.XLOOKUP(Vendas[[#This Row],[ID Item Vendido]],Agregado[ID],Agregado[Produto])</f>
        <v>Barra de aço simples</v>
      </c>
      <c r="F3212" s="39">
        <v>45329</v>
      </c>
      <c r="G3212" s="7">
        <v>29</v>
      </c>
      <c r="H3212" s="3">
        <f>_xlfn.XLOOKUP(Vendas[[#This Row],[ID Item Vendido]],Agregado[ID],Agregado[Revenda])</f>
        <v>6.7</v>
      </c>
      <c r="I3212" s="3">
        <f>Vendas[[#This Row],[Valor Unitário]]*Vendas[[#This Row],[Qnt Vendida]]</f>
        <v>194.3</v>
      </c>
      <c r="J3212" s="3">
        <f>Vendas[[#This Row],[Valor da Venda]]-(_xlfn.XLOOKUP(Vendas[[#This Row],[ID Item Vendido]],Agregado[ID],Agregado[Custo])*Vendas[[#This Row],[Qnt Vendida]])</f>
        <v>26.100000000000023</v>
      </c>
      <c r="K3212" s="70">
        <f>Vendas[[#This Row],[Lucro da Venda]]/Vendas[[#This Row],[Valor da Venda]]</f>
        <v>0.13432835820895533</v>
      </c>
      <c r="L3212" s="3">
        <f>_xlfn.IFS(Vendas[[#This Row],[Margem de Lucro (%)]]&lt;15%,Vendas[[#This Row],[Valor da Venda]]*3%,Vendas[[#This Row],[Margem de Lucro (%)]]&lt;=20%,Vendas[[#This Row],[Valor da Venda]]*4.5%,TRUE,Vendas[[#This Row],[Valor da Venda]]*6%)</f>
        <v>5.8289999999999997</v>
      </c>
      <c r="M3212"/>
    </row>
    <row r="3213" spans="1:13" x14ac:dyDescent="0.3">
      <c r="A3213" s="7">
        <v>400246</v>
      </c>
      <c r="B3213" t="str">
        <f>_xlfn.XLOOKUP(Vendas[[#This Row],[ID Vendedor]],Vendedores[ID],Vendedores[Nome])</f>
        <v>Juliana</v>
      </c>
      <c r="C3213" s="7" t="str">
        <f>_xlfn.XLOOKUP(Vendas[[#This Row],[ID Vendedor]],Vendedores[ID],Vendedores[Setor])</f>
        <v>AHD</v>
      </c>
      <c r="D3213" s="7" t="s">
        <v>30</v>
      </c>
      <c r="E3213" t="str">
        <f>_xlfn.XLOOKUP(Vendas[[#This Row],[ID Item Vendido]],Agregado[ID],Agregado[Produto])</f>
        <v>Estrutura metálica soldada</v>
      </c>
      <c r="F3213" s="39">
        <v>45330</v>
      </c>
      <c r="G3213" s="7">
        <v>3</v>
      </c>
      <c r="H3213" s="3">
        <f>_xlfn.XLOOKUP(Vendas[[#This Row],[ID Item Vendido]],Agregado[ID],Agregado[Revenda])</f>
        <v>400</v>
      </c>
      <c r="I3213" s="3">
        <f>Vendas[[#This Row],[Valor Unitário]]*Vendas[[#This Row],[Qnt Vendida]]</f>
        <v>1200</v>
      </c>
      <c r="J3213" s="3">
        <f>Vendas[[#This Row],[Valor da Venda]]-(_xlfn.XLOOKUP(Vendas[[#This Row],[ID Item Vendido]],Agregado[ID],Agregado[Custo])*Vendas[[#This Row],[Qnt Vendida]])</f>
        <v>240</v>
      </c>
      <c r="K3213" s="70">
        <f>Vendas[[#This Row],[Lucro da Venda]]/Vendas[[#This Row],[Valor da Venda]]</f>
        <v>0.2</v>
      </c>
      <c r="L3213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213"/>
    </row>
    <row r="3214" spans="1:13" x14ac:dyDescent="0.3">
      <c r="A3214" s="7">
        <v>400243</v>
      </c>
      <c r="B3214" t="str">
        <f>_xlfn.XLOOKUP(Vendas[[#This Row],[ID Vendedor]],Vendedores[ID],Vendedores[Nome])</f>
        <v>Marcelo</v>
      </c>
      <c r="C3214" s="7" t="str">
        <f>_xlfn.XLOOKUP(Vendas[[#This Row],[ID Vendedor]],Vendedores[ID],Vendedores[Setor])</f>
        <v>FM</v>
      </c>
      <c r="D3214" s="7" t="s">
        <v>47</v>
      </c>
      <c r="E3214" t="str">
        <f>_xlfn.XLOOKUP(Vendas[[#This Row],[ID Item Vendido]],Agregado[ID],Agregado[Produto])</f>
        <v>Fio de arame galvanizado rolo 50m</v>
      </c>
      <c r="F3214" s="39">
        <v>45330</v>
      </c>
      <c r="G3214" s="7">
        <v>23</v>
      </c>
      <c r="H3214" s="3">
        <f>_xlfn.XLOOKUP(Vendas[[#This Row],[ID Item Vendido]],Agregado[ID],Agregado[Revenda])</f>
        <v>21.2</v>
      </c>
      <c r="I3214" s="3">
        <f>Vendas[[#This Row],[Valor Unitário]]*Vendas[[#This Row],[Qnt Vendida]]</f>
        <v>487.59999999999997</v>
      </c>
      <c r="J3214" s="3">
        <f>Vendas[[#This Row],[Valor da Venda]]-(_xlfn.XLOOKUP(Vendas[[#This Row],[ID Item Vendido]],Agregado[ID],Agregado[Custo])*Vendas[[#This Row],[Qnt Vendida]])</f>
        <v>73.599999999999966</v>
      </c>
      <c r="K3214" s="70">
        <f>Vendas[[#This Row],[Lucro da Venda]]/Vendas[[#This Row],[Valor da Venda]]</f>
        <v>0.15094339622641503</v>
      </c>
      <c r="L3214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3214"/>
    </row>
    <row r="3215" spans="1:13" x14ac:dyDescent="0.3">
      <c r="A3215" s="7">
        <v>400254</v>
      </c>
      <c r="B3215" t="str">
        <f>_xlfn.XLOOKUP(Vendas[[#This Row],[ID Vendedor]],Vendedores[ID],Vendedores[Nome])</f>
        <v>Beatriz</v>
      </c>
      <c r="C3215" s="7" t="str">
        <f>_xlfn.XLOOKUP(Vendas[[#This Row],[ID Vendedor]],Vendedores[ID],Vendedores[Setor])</f>
        <v>SC</v>
      </c>
      <c r="D3215" s="7" t="s">
        <v>48</v>
      </c>
      <c r="E3215" t="str">
        <f>_xlfn.XLOOKUP(Vendas[[#This Row],[ID Item Vendido]],Agregado[ID],Agregado[Produto])</f>
        <v>Tambor metálico 200L</v>
      </c>
      <c r="F3215" s="39">
        <v>45331</v>
      </c>
      <c r="G3215" s="7">
        <v>19</v>
      </c>
      <c r="H3215" s="3">
        <f>_xlfn.XLOOKUP(Vendas[[#This Row],[ID Item Vendido]],Agregado[ID],Agregado[Revenda])</f>
        <v>144</v>
      </c>
      <c r="I3215" s="3">
        <f>Vendas[[#This Row],[Valor Unitário]]*Vendas[[#This Row],[Qnt Vendida]]</f>
        <v>2736</v>
      </c>
      <c r="J3215" s="3">
        <f>Vendas[[#This Row],[Valor da Venda]]-(_xlfn.XLOOKUP(Vendas[[#This Row],[ID Item Vendido]],Agregado[ID],Agregado[Custo])*Vendas[[#This Row],[Qnt Vendida]])</f>
        <v>456</v>
      </c>
      <c r="K3215" s="70">
        <f>Vendas[[#This Row],[Lucro da Venda]]/Vendas[[#This Row],[Valor da Venda]]</f>
        <v>0.16666666666666666</v>
      </c>
      <c r="L3215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3215"/>
    </row>
    <row r="3216" spans="1:13" x14ac:dyDescent="0.3">
      <c r="A3216" s="7">
        <v>400244</v>
      </c>
      <c r="B3216" t="str">
        <f>_xlfn.XLOOKUP(Vendas[[#This Row],[ID Vendedor]],Vendedores[ID],Vendedores[Nome])</f>
        <v>Camila</v>
      </c>
      <c r="C3216" s="7" t="str">
        <f>_xlfn.XLOOKUP(Vendas[[#This Row],[ID Vendedor]],Vendedores[ID],Vendedores[Setor])</f>
        <v>AHD</v>
      </c>
      <c r="D3216" s="7" t="s">
        <v>44</v>
      </c>
      <c r="E3216" t="str">
        <f>_xlfn.XLOOKUP(Vendas[[#This Row],[ID Item Vendido]],Agregado[ID],Agregado[Produto])</f>
        <v>Liga metálica especial</v>
      </c>
      <c r="F3216" s="39">
        <v>45331</v>
      </c>
      <c r="G3216" s="7">
        <v>60</v>
      </c>
      <c r="H3216" s="3">
        <f>_xlfn.XLOOKUP(Vendas[[#This Row],[ID Item Vendido]],Agregado[ID],Agregado[Revenda])</f>
        <v>32.5</v>
      </c>
      <c r="I3216" s="3">
        <f>Vendas[[#This Row],[Valor Unitário]]*Vendas[[#This Row],[Qnt Vendida]]</f>
        <v>1950</v>
      </c>
      <c r="J3216" s="3">
        <f>Vendas[[#This Row],[Valor da Venda]]-(_xlfn.XLOOKUP(Vendas[[#This Row],[ID Item Vendido]],Agregado[ID],Agregado[Custo])*Vendas[[#This Row],[Qnt Vendida]])</f>
        <v>450</v>
      </c>
      <c r="K3216" s="70">
        <f>Vendas[[#This Row],[Lucro da Venda]]/Vendas[[#This Row],[Valor da Venda]]</f>
        <v>0.23076923076923078</v>
      </c>
      <c r="L3216" s="3">
        <f>_xlfn.IFS(Vendas[[#This Row],[Margem de Lucro (%)]]&lt;15%,Vendas[[#This Row],[Valor da Venda]]*3%,Vendas[[#This Row],[Margem de Lucro (%)]]&lt;=20%,Vendas[[#This Row],[Valor da Venda]]*4.5%,TRUE,Vendas[[#This Row],[Valor da Venda]]*6%)</f>
        <v>117</v>
      </c>
      <c r="M3216"/>
    </row>
    <row r="3217" spans="1:13" x14ac:dyDescent="0.3">
      <c r="A3217" s="7">
        <v>400243</v>
      </c>
      <c r="B3217" t="str">
        <f>_xlfn.XLOOKUP(Vendas[[#This Row],[ID Vendedor]],Vendedores[ID],Vendedores[Nome])</f>
        <v>Marcelo</v>
      </c>
      <c r="C3217" s="7" t="str">
        <f>_xlfn.XLOOKUP(Vendas[[#This Row],[ID Vendedor]],Vendedores[ID],Vendedores[Setor])</f>
        <v>FM</v>
      </c>
      <c r="D3217" s="7" t="s">
        <v>27</v>
      </c>
      <c r="E3217" t="str">
        <f>_xlfn.XLOOKUP(Vendas[[#This Row],[ID Item Vendido]],Agregado[ID],Agregado[Produto])</f>
        <v>Chapa de metal lisa 1x2m</v>
      </c>
      <c r="F3217" s="39">
        <v>45331</v>
      </c>
      <c r="G3217" s="7">
        <v>23</v>
      </c>
      <c r="H3217" s="3">
        <f>_xlfn.XLOOKUP(Vendas[[#This Row],[ID Item Vendido]],Agregado[ID],Agregado[Revenda])</f>
        <v>52</v>
      </c>
      <c r="I3217" s="3">
        <f>Vendas[[#This Row],[Valor Unitário]]*Vendas[[#This Row],[Qnt Vendida]]</f>
        <v>1196</v>
      </c>
      <c r="J3217" s="3">
        <f>Vendas[[#This Row],[Valor da Venda]]-(_xlfn.XLOOKUP(Vendas[[#This Row],[ID Item Vendido]],Agregado[ID],Agregado[Custo])*Vendas[[#This Row],[Qnt Vendida]])</f>
        <v>161</v>
      </c>
      <c r="K3217" s="70">
        <f>Vendas[[#This Row],[Lucro da Venda]]/Vendas[[#This Row],[Valor da Venda]]</f>
        <v>0.13461538461538461</v>
      </c>
      <c r="L3217" s="3">
        <f>_xlfn.IFS(Vendas[[#This Row],[Margem de Lucro (%)]]&lt;15%,Vendas[[#This Row],[Valor da Venda]]*3%,Vendas[[#This Row],[Margem de Lucro (%)]]&lt;=20%,Vendas[[#This Row],[Valor da Venda]]*4.5%,TRUE,Vendas[[#This Row],[Valor da Venda]]*6%)</f>
        <v>35.879999999999995</v>
      </c>
      <c r="M3217"/>
    </row>
    <row r="3218" spans="1:13" x14ac:dyDescent="0.3">
      <c r="A3218" s="7">
        <v>400241</v>
      </c>
      <c r="B3218" t="str">
        <f>_xlfn.XLOOKUP(Vendas[[#This Row],[ID Vendedor]],Vendedores[ID],Vendedores[Nome])</f>
        <v>Rodrigo</v>
      </c>
      <c r="C3218" s="7" t="str">
        <f>_xlfn.XLOOKUP(Vendas[[#This Row],[ID Vendedor]],Vendedores[ID],Vendedores[Setor])</f>
        <v>FM</v>
      </c>
      <c r="D3218" s="7" t="s">
        <v>6</v>
      </c>
      <c r="E3218" t="str">
        <f>_xlfn.XLOOKUP(Vendas[[#This Row],[ID Item Vendido]],Agregado[ID],Agregado[Produto])</f>
        <v>Parafuso comum 500un</v>
      </c>
      <c r="F3218" s="39">
        <v>45331</v>
      </c>
      <c r="G3218" s="7">
        <v>22</v>
      </c>
      <c r="H3218" s="3">
        <f>_xlfn.XLOOKUP(Vendas[[#This Row],[ID Item Vendido]],Agregado[ID],Agregado[Revenda])</f>
        <v>24.6</v>
      </c>
      <c r="I3218" s="3">
        <f>Vendas[[#This Row],[Valor Unitário]]*Vendas[[#This Row],[Qnt Vendida]]</f>
        <v>541.20000000000005</v>
      </c>
      <c r="J3218" s="3">
        <f>Vendas[[#This Row],[Valor da Venda]]-(_xlfn.XLOOKUP(Vendas[[#This Row],[ID Item Vendido]],Agregado[ID],Agregado[Custo])*Vendas[[#This Row],[Qnt Vendida]])</f>
        <v>57.200000000000045</v>
      </c>
      <c r="K3218" s="70">
        <f>Vendas[[#This Row],[Lucro da Venda]]/Vendas[[#This Row],[Valor da Venda]]</f>
        <v>0.10569105691056918</v>
      </c>
      <c r="L3218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3218"/>
    </row>
    <row r="3219" spans="1:13" x14ac:dyDescent="0.3">
      <c r="A3219" s="7">
        <v>400244</v>
      </c>
      <c r="B3219" t="str">
        <f>_xlfn.XLOOKUP(Vendas[[#This Row],[ID Vendedor]],Vendedores[ID],Vendedores[Nome])</f>
        <v>Camila</v>
      </c>
      <c r="C3219" s="7" t="str">
        <f>_xlfn.XLOOKUP(Vendas[[#This Row],[ID Vendedor]],Vendedores[ID],Vendedores[Setor])</f>
        <v>AHD</v>
      </c>
      <c r="D3219" s="7" t="s">
        <v>28</v>
      </c>
      <c r="E3219" t="str">
        <f>_xlfn.XLOOKUP(Vendas[[#This Row],[ID Item Vendido]],Agregado[ID],Agregado[Produto])</f>
        <v>Peça usinada CNC</v>
      </c>
      <c r="F3219" s="39">
        <v>45332</v>
      </c>
      <c r="G3219" s="7">
        <v>7</v>
      </c>
      <c r="H3219" s="3">
        <f>_xlfn.XLOOKUP(Vendas[[#This Row],[ID Item Vendido]],Agregado[ID],Agregado[Revenda])</f>
        <v>192</v>
      </c>
      <c r="I3219" s="3">
        <f>Vendas[[#This Row],[Valor Unitário]]*Vendas[[#This Row],[Qnt Vendida]]</f>
        <v>1344</v>
      </c>
      <c r="J3219" s="3">
        <f>Vendas[[#This Row],[Valor da Venda]]-(_xlfn.XLOOKUP(Vendas[[#This Row],[ID Item Vendido]],Agregado[ID],Agregado[Custo])*Vendas[[#This Row],[Qnt Vendida]])</f>
        <v>294</v>
      </c>
      <c r="K3219" s="70">
        <f>Vendas[[#This Row],[Lucro da Venda]]/Vendas[[#This Row],[Valor da Venda]]</f>
        <v>0.21875</v>
      </c>
      <c r="L3219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3219"/>
    </row>
    <row r="3220" spans="1:13" x14ac:dyDescent="0.3">
      <c r="A3220" s="7">
        <v>400243</v>
      </c>
      <c r="B3220" t="str">
        <f>_xlfn.XLOOKUP(Vendas[[#This Row],[ID Vendedor]],Vendedores[ID],Vendedores[Nome])</f>
        <v>Marcelo</v>
      </c>
      <c r="C3220" s="7" t="str">
        <f>_xlfn.XLOOKUP(Vendas[[#This Row],[ID Vendedor]],Vendedores[ID],Vendedores[Setor])</f>
        <v>FM</v>
      </c>
      <c r="D3220" s="7" t="s">
        <v>31</v>
      </c>
      <c r="E3220" t="str">
        <f>_xlfn.XLOOKUP(Vendas[[#This Row],[ID Item Vendido]],Agregado[ID],Agregado[Produto])</f>
        <v>Tela de metal soldada rolo 2x25m</v>
      </c>
      <c r="F3220" s="39">
        <v>45332</v>
      </c>
      <c r="G3220" s="7">
        <v>20</v>
      </c>
      <c r="H3220" s="3">
        <f>_xlfn.XLOOKUP(Vendas[[#This Row],[ID Item Vendido]],Agregado[ID],Agregado[Revenda])</f>
        <v>43.7</v>
      </c>
      <c r="I3220" s="3">
        <f>Vendas[[#This Row],[Valor Unitário]]*Vendas[[#This Row],[Qnt Vendida]]</f>
        <v>874</v>
      </c>
      <c r="J3220" s="3">
        <f>Vendas[[#This Row],[Valor da Venda]]-(_xlfn.XLOOKUP(Vendas[[#This Row],[ID Item Vendido]],Agregado[ID],Agregado[Custo])*Vendas[[#This Row],[Qnt Vendida]])</f>
        <v>114</v>
      </c>
      <c r="K3220" s="70">
        <f>Vendas[[#This Row],[Lucro da Venda]]/Vendas[[#This Row],[Valor da Venda]]</f>
        <v>0.13043478260869565</v>
      </c>
      <c r="L3220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3220"/>
    </row>
    <row r="3221" spans="1:13" x14ac:dyDescent="0.3">
      <c r="A3221" s="7">
        <v>400246</v>
      </c>
      <c r="B3221" t="str">
        <f>_xlfn.XLOOKUP(Vendas[[#This Row],[ID Vendedor]],Vendedores[ID],Vendedores[Nome])</f>
        <v>Juliana</v>
      </c>
      <c r="C3221" s="7" t="str">
        <f>_xlfn.XLOOKUP(Vendas[[#This Row],[ID Vendedor]],Vendedores[ID],Vendedores[Setor])</f>
        <v>AHD</v>
      </c>
      <c r="D3221" s="7" t="s">
        <v>9</v>
      </c>
      <c r="E3221" t="str">
        <f>_xlfn.XLOOKUP(Vendas[[#This Row],[ID Item Vendido]],Agregado[ID],Agregado[Produto])</f>
        <v>Barra de aço simples</v>
      </c>
      <c r="F3221" s="39">
        <v>45332</v>
      </c>
      <c r="G3221" s="7">
        <v>123</v>
      </c>
      <c r="H3221" s="3">
        <f>_xlfn.XLOOKUP(Vendas[[#This Row],[ID Item Vendido]],Agregado[ID],Agregado[Revenda])</f>
        <v>6.7</v>
      </c>
      <c r="I3221" s="3">
        <f>Vendas[[#This Row],[Valor Unitário]]*Vendas[[#This Row],[Qnt Vendida]]</f>
        <v>824.1</v>
      </c>
      <c r="J3221" s="3">
        <f>Vendas[[#This Row],[Valor da Venda]]-(_xlfn.XLOOKUP(Vendas[[#This Row],[ID Item Vendido]],Agregado[ID],Agregado[Custo])*Vendas[[#This Row],[Qnt Vendida]])</f>
        <v>110.70000000000005</v>
      </c>
      <c r="K3221" s="70">
        <f>Vendas[[#This Row],[Lucro da Venda]]/Vendas[[#This Row],[Valor da Venda]]</f>
        <v>0.13432835820895528</v>
      </c>
      <c r="L3221" s="3">
        <f>_xlfn.IFS(Vendas[[#This Row],[Margem de Lucro (%)]]&lt;15%,Vendas[[#This Row],[Valor da Venda]]*3%,Vendas[[#This Row],[Margem de Lucro (%)]]&lt;=20%,Vendas[[#This Row],[Valor da Venda]]*4.5%,TRUE,Vendas[[#This Row],[Valor da Venda]]*6%)</f>
        <v>24.722999999999999</v>
      </c>
      <c r="M3221"/>
    </row>
    <row r="3222" spans="1:13" x14ac:dyDescent="0.3">
      <c r="A3222" s="7">
        <v>400251</v>
      </c>
      <c r="B3222" t="str">
        <f>_xlfn.XLOOKUP(Vendas[[#This Row],[ID Vendedor]],Vendedores[ID],Vendedores[Nome])</f>
        <v>Diego</v>
      </c>
      <c r="C3222" s="7" t="str">
        <f>_xlfn.XLOOKUP(Vendas[[#This Row],[ID Vendedor]],Vendedores[ID],Vendedores[Setor])</f>
        <v>AB</v>
      </c>
      <c r="D3222" s="7" t="s">
        <v>36</v>
      </c>
      <c r="E3222" t="str">
        <f>_xlfn.XLOOKUP(Vendas[[#This Row],[ID Item Vendido]],Agregado[ID],Agregado[Produto])</f>
        <v>Borracha vulcanizada em manta</v>
      </c>
      <c r="F3222" s="39">
        <v>45332</v>
      </c>
      <c r="G3222" s="7">
        <v>92</v>
      </c>
      <c r="H3222" s="3">
        <f>_xlfn.XLOOKUP(Vendas[[#This Row],[ID Item Vendido]],Agregado[ID],Agregado[Revenda])</f>
        <v>7.8</v>
      </c>
      <c r="I3222" s="3">
        <f>Vendas[[#This Row],[Valor Unitário]]*Vendas[[#This Row],[Qnt Vendida]]</f>
        <v>717.6</v>
      </c>
      <c r="J3222" s="3">
        <f>Vendas[[#This Row],[Valor da Venda]]-(_xlfn.XLOOKUP(Vendas[[#This Row],[ID Item Vendido]],Agregado[ID],Agregado[Custo])*Vendas[[#This Row],[Qnt Vendida]])</f>
        <v>165.60000000000002</v>
      </c>
      <c r="K3222" s="70">
        <f>Vendas[[#This Row],[Lucro da Venda]]/Vendas[[#This Row],[Valor da Venda]]</f>
        <v>0.23076923076923078</v>
      </c>
      <c r="L3222" s="3">
        <f>_xlfn.IFS(Vendas[[#This Row],[Margem de Lucro (%)]]&lt;15%,Vendas[[#This Row],[Valor da Venda]]*3%,Vendas[[#This Row],[Margem de Lucro (%)]]&lt;=20%,Vendas[[#This Row],[Valor da Venda]]*4.5%,TRUE,Vendas[[#This Row],[Valor da Venda]]*6%)</f>
        <v>43.055999999999997</v>
      </c>
      <c r="M3222"/>
    </row>
    <row r="3223" spans="1:13" x14ac:dyDescent="0.3">
      <c r="A3223" s="7">
        <v>400252</v>
      </c>
      <c r="B3223" t="str">
        <f>_xlfn.XLOOKUP(Vendas[[#This Row],[ID Vendedor]],Vendedores[ID],Vendedores[Nome])</f>
        <v>Renata</v>
      </c>
      <c r="C3223" s="7" t="str">
        <f>_xlfn.XLOOKUP(Vendas[[#This Row],[ID Vendedor]],Vendedores[ID],Vendedores[Setor])</f>
        <v>AB</v>
      </c>
      <c r="D3223" s="7" t="s">
        <v>24</v>
      </c>
      <c r="E3223" t="str">
        <f>_xlfn.XLOOKUP(Vendas[[#This Row],[ID Item Vendido]],Agregado[ID],Agregado[Produto])</f>
        <v>Resina plástica PET purificada saco de 25kg</v>
      </c>
      <c r="F3223" s="39">
        <v>45333</v>
      </c>
      <c r="G3223" s="7">
        <v>15</v>
      </c>
      <c r="H3223" s="3">
        <f>_xlfn.XLOOKUP(Vendas[[#This Row],[ID Item Vendido]],Agregado[ID],Agregado[Revenda])</f>
        <v>119</v>
      </c>
      <c r="I3223" s="3">
        <f>Vendas[[#This Row],[Valor Unitário]]*Vendas[[#This Row],[Qnt Vendida]]</f>
        <v>1785</v>
      </c>
      <c r="J3223" s="3">
        <f>Vendas[[#This Row],[Valor da Venda]]-(_xlfn.XLOOKUP(Vendas[[#This Row],[ID Item Vendido]],Agregado[ID],Agregado[Custo])*Vendas[[#This Row],[Qnt Vendida]])</f>
        <v>510</v>
      </c>
      <c r="K3223" s="70">
        <f>Vendas[[#This Row],[Lucro da Venda]]/Vendas[[#This Row],[Valor da Venda]]</f>
        <v>0.2857142857142857</v>
      </c>
      <c r="L3223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3223"/>
    </row>
    <row r="3224" spans="1:13" x14ac:dyDescent="0.3">
      <c r="A3224" s="7">
        <v>400255</v>
      </c>
      <c r="B3224" t="str">
        <f>_xlfn.XLOOKUP(Vendas[[#This Row],[ID Vendedor]],Vendedores[ID],Vendedores[Nome])</f>
        <v>Carlos</v>
      </c>
      <c r="C3224" s="7" t="str">
        <f>_xlfn.XLOOKUP(Vendas[[#This Row],[ID Vendedor]],Vendedores[ID],Vendedores[Setor])</f>
        <v>SC</v>
      </c>
      <c r="D3224" s="7" t="s">
        <v>14</v>
      </c>
      <c r="E3224" t="str">
        <f>_xlfn.XLOOKUP(Vendas[[#This Row],[ID Item Vendido]],Agregado[ID],Agregado[Produto])</f>
        <v>Barril de plástico 200L</v>
      </c>
      <c r="F3224" s="39">
        <v>45333</v>
      </c>
      <c r="G3224" s="7">
        <v>12</v>
      </c>
      <c r="H3224" s="3">
        <f>_xlfn.XLOOKUP(Vendas[[#This Row],[ID Item Vendido]],Agregado[ID],Agregado[Revenda])</f>
        <v>114</v>
      </c>
      <c r="I3224" s="3">
        <f>Vendas[[#This Row],[Valor Unitário]]*Vendas[[#This Row],[Qnt Vendida]]</f>
        <v>1368</v>
      </c>
      <c r="J3224" s="3">
        <f>Vendas[[#This Row],[Valor da Venda]]-(_xlfn.XLOOKUP(Vendas[[#This Row],[ID Item Vendido]],Agregado[ID],Agregado[Custo])*Vendas[[#This Row],[Qnt Vendida]])</f>
        <v>228</v>
      </c>
      <c r="K3224" s="70">
        <f>Vendas[[#This Row],[Lucro da Venda]]/Vendas[[#This Row],[Valor da Venda]]</f>
        <v>0.16666666666666666</v>
      </c>
      <c r="L3224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3224"/>
    </row>
    <row r="3225" spans="1:13" x14ac:dyDescent="0.3">
      <c r="A3225" s="7">
        <v>400246</v>
      </c>
      <c r="B3225" t="str">
        <f>_xlfn.XLOOKUP(Vendas[[#This Row],[ID Vendedor]],Vendedores[ID],Vendedores[Nome])</f>
        <v>Juliana</v>
      </c>
      <c r="C3225" s="7" t="str">
        <f>_xlfn.XLOOKUP(Vendas[[#This Row],[ID Vendedor]],Vendedores[ID],Vendedores[Setor])</f>
        <v>AHD</v>
      </c>
      <c r="D3225" s="7" t="s">
        <v>18</v>
      </c>
      <c r="E3225" t="str">
        <f>_xlfn.XLOOKUP(Vendas[[#This Row],[ID Item Vendido]],Agregado[ID],Agregado[Produto])</f>
        <v>Peça forjada sob encomenda</v>
      </c>
      <c r="F3225" s="39">
        <v>45333</v>
      </c>
      <c r="G3225" s="7">
        <v>3</v>
      </c>
      <c r="H3225" s="3">
        <f>_xlfn.XLOOKUP(Vendas[[#This Row],[ID Item Vendido]],Agregado[ID],Agregado[Revenda])</f>
        <v>264.60000000000002</v>
      </c>
      <c r="I3225" s="3">
        <f>Vendas[[#This Row],[Valor Unitário]]*Vendas[[#This Row],[Qnt Vendida]]</f>
        <v>793.80000000000007</v>
      </c>
      <c r="J3225" s="3">
        <f>Vendas[[#This Row],[Valor da Venda]]-(_xlfn.XLOOKUP(Vendas[[#This Row],[ID Item Vendido]],Agregado[ID],Agregado[Custo])*Vendas[[#This Row],[Qnt Vendida]])</f>
        <v>43.800000000000068</v>
      </c>
      <c r="K3225" s="70">
        <f>Vendas[[#This Row],[Lucro da Venda]]/Vendas[[#This Row],[Valor da Venda]]</f>
        <v>5.5177626606198113E-2</v>
      </c>
      <c r="L3225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3225"/>
    </row>
    <row r="3226" spans="1:13" x14ac:dyDescent="0.3">
      <c r="A3226" s="7">
        <v>400252</v>
      </c>
      <c r="B3226" t="str">
        <f>_xlfn.XLOOKUP(Vendas[[#This Row],[ID Vendedor]],Vendedores[ID],Vendedores[Nome])</f>
        <v>Renata</v>
      </c>
      <c r="C3226" s="7" t="str">
        <f>_xlfn.XLOOKUP(Vendas[[#This Row],[ID Vendedor]],Vendedores[ID],Vendedores[Setor])</f>
        <v>AB</v>
      </c>
      <c r="D3226" s="7" t="s">
        <v>37</v>
      </c>
      <c r="E3226" t="str">
        <f>_xlfn.XLOOKUP(Vendas[[#This Row],[ID Item Vendido]],Agregado[ID],Agregado[Produto])</f>
        <v>Composto de borracha para vedação rolo 10m</v>
      </c>
      <c r="F3226" s="39">
        <v>45333</v>
      </c>
      <c r="G3226" s="7">
        <v>17</v>
      </c>
      <c r="H3226" s="3">
        <f>_xlfn.XLOOKUP(Vendas[[#This Row],[ID Item Vendido]],Agregado[ID],Agregado[Revenda])</f>
        <v>51.2</v>
      </c>
      <c r="I3226" s="3">
        <f>Vendas[[#This Row],[Valor Unitário]]*Vendas[[#This Row],[Qnt Vendida]]</f>
        <v>870.40000000000009</v>
      </c>
      <c r="J3226" s="3">
        <f>Vendas[[#This Row],[Valor da Venda]]-(_xlfn.XLOOKUP(Vendas[[#This Row],[ID Item Vendido]],Agregado[ID],Agregado[Custo])*Vendas[[#This Row],[Qnt Vendida]])</f>
        <v>190.40000000000009</v>
      </c>
      <c r="K3226" s="70">
        <f>Vendas[[#This Row],[Lucro da Venda]]/Vendas[[#This Row],[Valor da Venda]]</f>
        <v>0.21875000000000008</v>
      </c>
      <c r="L3226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226"/>
    </row>
    <row r="3227" spans="1:13" x14ac:dyDescent="0.3">
      <c r="A3227" s="7">
        <v>400250</v>
      </c>
      <c r="B3227" t="str">
        <f>_xlfn.XLOOKUP(Vendas[[#This Row],[ID Vendedor]],Vendedores[ID],Vendedores[Nome])</f>
        <v>Larissa</v>
      </c>
      <c r="C3227" s="7" t="str">
        <f>_xlfn.XLOOKUP(Vendas[[#This Row],[ID Vendedor]],Vendedores[ID],Vendedores[Setor])</f>
        <v>AB</v>
      </c>
      <c r="D3227" s="7" t="s">
        <v>39</v>
      </c>
      <c r="E3227" t="str">
        <f>_xlfn.XLOOKUP(Vendas[[#This Row],[ID Item Vendido]],Agregado[ID],Agregado[Produto])</f>
        <v>Filme plástico industrial rolo 50m</v>
      </c>
      <c r="F3227" s="39">
        <v>45333</v>
      </c>
      <c r="G3227" s="7">
        <v>12</v>
      </c>
      <c r="H3227" s="3">
        <f>_xlfn.XLOOKUP(Vendas[[#This Row],[ID Item Vendido]],Agregado[ID],Agregado[Revenda])</f>
        <v>37</v>
      </c>
      <c r="I3227" s="3">
        <f>Vendas[[#This Row],[Valor Unitário]]*Vendas[[#This Row],[Qnt Vendida]]</f>
        <v>444</v>
      </c>
      <c r="J3227" s="3">
        <f>Vendas[[#This Row],[Valor da Venda]]-(_xlfn.XLOOKUP(Vendas[[#This Row],[ID Item Vendido]],Agregado[ID],Agregado[Custo])*Vendas[[#This Row],[Qnt Vendida]])</f>
        <v>108</v>
      </c>
      <c r="K3227" s="70">
        <f>Vendas[[#This Row],[Lucro da Venda]]/Vendas[[#This Row],[Valor da Venda]]</f>
        <v>0.24324324324324326</v>
      </c>
      <c r="L3227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3227"/>
    </row>
    <row r="3228" spans="1:13" x14ac:dyDescent="0.3">
      <c r="A3228" s="7">
        <v>400253</v>
      </c>
      <c r="B3228" t="str">
        <f>_xlfn.XLOOKUP(Vendas[[#This Row],[ID Vendedor]],Vendedores[ID],Vendedores[Nome])</f>
        <v>Gustavo</v>
      </c>
      <c r="C3228" s="7" t="str">
        <f>_xlfn.XLOOKUP(Vendas[[#This Row],[ID Vendedor]],Vendedores[ID],Vendedores[Setor])</f>
        <v>SC</v>
      </c>
      <c r="D3228" s="7" t="s">
        <v>48</v>
      </c>
      <c r="E3228" t="str">
        <f>_xlfn.XLOOKUP(Vendas[[#This Row],[ID Item Vendido]],Agregado[ID],Agregado[Produto])</f>
        <v>Tambor metálico 200L</v>
      </c>
      <c r="F3228" s="39">
        <v>45333</v>
      </c>
      <c r="G3228" s="7">
        <v>2</v>
      </c>
      <c r="H3228" s="3">
        <f>_xlfn.XLOOKUP(Vendas[[#This Row],[ID Item Vendido]],Agregado[ID],Agregado[Revenda])</f>
        <v>144</v>
      </c>
      <c r="I3228" s="3">
        <f>Vendas[[#This Row],[Valor Unitário]]*Vendas[[#This Row],[Qnt Vendida]]</f>
        <v>288</v>
      </c>
      <c r="J3228" s="3">
        <f>Vendas[[#This Row],[Valor da Venda]]-(_xlfn.XLOOKUP(Vendas[[#This Row],[ID Item Vendido]],Agregado[ID],Agregado[Custo])*Vendas[[#This Row],[Qnt Vendida]])</f>
        <v>48</v>
      </c>
      <c r="K3228" s="70">
        <f>Vendas[[#This Row],[Lucro da Venda]]/Vendas[[#This Row],[Valor da Venda]]</f>
        <v>0.16666666666666666</v>
      </c>
      <c r="L3228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3228"/>
    </row>
    <row r="3229" spans="1:13" x14ac:dyDescent="0.3">
      <c r="A3229" s="7">
        <v>400246</v>
      </c>
      <c r="B3229" t="str">
        <f>_xlfn.XLOOKUP(Vendas[[#This Row],[ID Vendedor]],Vendedores[ID],Vendedores[Nome])</f>
        <v>Juliana</v>
      </c>
      <c r="C3229" s="7" t="str">
        <f>_xlfn.XLOOKUP(Vendas[[#This Row],[ID Vendedor]],Vendedores[ID],Vendedores[Setor])</f>
        <v>AHD</v>
      </c>
      <c r="D3229" s="7" t="s">
        <v>9</v>
      </c>
      <c r="E3229" t="str">
        <f>_xlfn.XLOOKUP(Vendas[[#This Row],[ID Item Vendido]],Agregado[ID],Agregado[Produto])</f>
        <v>Barra de aço simples</v>
      </c>
      <c r="F3229" s="39">
        <v>45333</v>
      </c>
      <c r="G3229" s="7">
        <v>34</v>
      </c>
      <c r="H3229" s="3">
        <f>_xlfn.XLOOKUP(Vendas[[#This Row],[ID Item Vendido]],Agregado[ID],Agregado[Revenda])</f>
        <v>6.7</v>
      </c>
      <c r="I3229" s="3">
        <f>Vendas[[#This Row],[Valor Unitário]]*Vendas[[#This Row],[Qnt Vendida]]</f>
        <v>227.8</v>
      </c>
      <c r="J3229" s="3">
        <f>Vendas[[#This Row],[Valor da Venda]]-(_xlfn.XLOOKUP(Vendas[[#This Row],[ID Item Vendido]],Agregado[ID],Agregado[Custo])*Vendas[[#This Row],[Qnt Vendida]])</f>
        <v>30.600000000000023</v>
      </c>
      <c r="K3229" s="70">
        <f>Vendas[[#This Row],[Lucro da Venda]]/Vendas[[#This Row],[Valor da Venda]]</f>
        <v>0.13432835820895531</v>
      </c>
      <c r="L3229" s="3">
        <f>_xlfn.IFS(Vendas[[#This Row],[Margem de Lucro (%)]]&lt;15%,Vendas[[#This Row],[Valor da Venda]]*3%,Vendas[[#This Row],[Margem de Lucro (%)]]&lt;=20%,Vendas[[#This Row],[Valor da Venda]]*4.5%,TRUE,Vendas[[#This Row],[Valor da Venda]]*6%)</f>
        <v>6.8340000000000005</v>
      </c>
      <c r="M3229"/>
    </row>
    <row r="3230" spans="1:13" x14ac:dyDescent="0.3">
      <c r="A3230" s="7">
        <v>400242</v>
      </c>
      <c r="B3230" t="str">
        <f>_xlfn.XLOOKUP(Vendas[[#This Row],[ID Vendedor]],Vendedores[ID],Vendedores[Nome])</f>
        <v>Fernanda</v>
      </c>
      <c r="C3230" s="7" t="str">
        <f>_xlfn.XLOOKUP(Vendas[[#This Row],[ID Vendedor]],Vendedores[ID],Vendedores[Setor])</f>
        <v>FM</v>
      </c>
      <c r="D3230" s="7" t="s">
        <v>47</v>
      </c>
      <c r="E3230" t="str">
        <f>_xlfn.XLOOKUP(Vendas[[#This Row],[ID Item Vendido]],Agregado[ID],Agregado[Produto])</f>
        <v>Fio de arame galvanizado rolo 50m</v>
      </c>
      <c r="F3230" s="39">
        <v>45334</v>
      </c>
      <c r="G3230" s="7">
        <v>25</v>
      </c>
      <c r="H3230" s="3">
        <f>_xlfn.XLOOKUP(Vendas[[#This Row],[ID Item Vendido]],Agregado[ID],Agregado[Revenda])</f>
        <v>21.2</v>
      </c>
      <c r="I3230" s="3">
        <f>Vendas[[#This Row],[Valor Unitário]]*Vendas[[#This Row],[Qnt Vendida]]</f>
        <v>530</v>
      </c>
      <c r="J3230" s="3">
        <f>Vendas[[#This Row],[Valor da Venda]]-(_xlfn.XLOOKUP(Vendas[[#This Row],[ID Item Vendido]],Agregado[ID],Agregado[Custo])*Vendas[[#This Row],[Qnt Vendida]])</f>
        <v>80</v>
      </c>
      <c r="K3230" s="70">
        <f>Vendas[[#This Row],[Lucro da Venda]]/Vendas[[#This Row],[Valor da Venda]]</f>
        <v>0.15094339622641509</v>
      </c>
      <c r="L3230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3230"/>
    </row>
    <row r="3231" spans="1:13" x14ac:dyDescent="0.3">
      <c r="A3231" s="7">
        <v>400247</v>
      </c>
      <c r="B3231" t="str">
        <f>_xlfn.XLOOKUP(Vendas[[#This Row],[ID Vendedor]],Vendedores[ID],Vendedores[Nome])</f>
        <v>André</v>
      </c>
      <c r="C3231" s="7" t="str">
        <f>_xlfn.XLOOKUP(Vendas[[#This Row],[ID Vendedor]],Vendedores[ID],Vendedores[Setor])</f>
        <v>CM</v>
      </c>
      <c r="D3231" s="7" t="s">
        <v>32</v>
      </c>
      <c r="E3231" t="str">
        <f>_xlfn.XLOOKUP(Vendas[[#This Row],[ID Item Vendido]],Agregado[ID],Agregado[Produto])</f>
        <v>Tábua tratada e cortada 3m</v>
      </c>
      <c r="F3231" s="39">
        <v>45335</v>
      </c>
      <c r="G3231" s="7">
        <v>38</v>
      </c>
      <c r="H3231" s="3">
        <f>_xlfn.XLOOKUP(Vendas[[#This Row],[ID Item Vendido]],Agregado[ID],Agregado[Revenda])</f>
        <v>39</v>
      </c>
      <c r="I3231" s="3">
        <f>Vendas[[#This Row],[Valor Unitário]]*Vendas[[#This Row],[Qnt Vendida]]</f>
        <v>1482</v>
      </c>
      <c r="J3231" s="3">
        <f>Vendas[[#This Row],[Valor da Venda]]-(_xlfn.XLOOKUP(Vendas[[#This Row],[ID Item Vendido]],Agregado[ID],Agregado[Custo])*Vendas[[#This Row],[Qnt Vendida]])</f>
        <v>266</v>
      </c>
      <c r="K3231" s="70">
        <f>Vendas[[#This Row],[Lucro da Venda]]/Vendas[[#This Row],[Valor da Venda]]</f>
        <v>0.17948717948717949</v>
      </c>
      <c r="L3231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3231"/>
    </row>
    <row r="3232" spans="1:13" x14ac:dyDescent="0.3">
      <c r="A3232" s="7">
        <v>400254</v>
      </c>
      <c r="B3232" t="str">
        <f>_xlfn.XLOOKUP(Vendas[[#This Row],[ID Vendedor]],Vendedores[ID],Vendedores[Nome])</f>
        <v>Beatriz</v>
      </c>
      <c r="C3232" s="7" t="str">
        <f>_xlfn.XLOOKUP(Vendas[[#This Row],[ID Vendedor]],Vendedores[ID],Vendedores[Setor])</f>
        <v>SC</v>
      </c>
      <c r="D3232" s="7" t="s">
        <v>48</v>
      </c>
      <c r="E3232" t="str">
        <f>_xlfn.XLOOKUP(Vendas[[#This Row],[ID Item Vendido]],Agregado[ID],Agregado[Produto])</f>
        <v>Tambor metálico 200L</v>
      </c>
      <c r="F3232" s="39">
        <v>45336</v>
      </c>
      <c r="G3232" s="7">
        <v>14</v>
      </c>
      <c r="H3232" s="3">
        <f>_xlfn.XLOOKUP(Vendas[[#This Row],[ID Item Vendido]],Agregado[ID],Agregado[Revenda])</f>
        <v>144</v>
      </c>
      <c r="I3232" s="3">
        <f>Vendas[[#This Row],[Valor Unitário]]*Vendas[[#This Row],[Qnt Vendida]]</f>
        <v>2016</v>
      </c>
      <c r="J3232" s="3">
        <f>Vendas[[#This Row],[Valor da Venda]]-(_xlfn.XLOOKUP(Vendas[[#This Row],[ID Item Vendido]],Agregado[ID],Agregado[Custo])*Vendas[[#This Row],[Qnt Vendida]])</f>
        <v>336</v>
      </c>
      <c r="K3232" s="70">
        <f>Vendas[[#This Row],[Lucro da Venda]]/Vendas[[#This Row],[Valor da Venda]]</f>
        <v>0.16666666666666666</v>
      </c>
      <c r="L3232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3232"/>
    </row>
    <row r="3233" spans="1:13" x14ac:dyDescent="0.3">
      <c r="A3233" s="7">
        <v>400251</v>
      </c>
      <c r="B3233" t="str">
        <f>_xlfn.XLOOKUP(Vendas[[#This Row],[ID Vendedor]],Vendedores[ID],Vendedores[Nome])</f>
        <v>Diego</v>
      </c>
      <c r="C3233" s="7" t="str">
        <f>_xlfn.XLOOKUP(Vendas[[#This Row],[ID Vendedor]],Vendedores[ID],Vendedores[Setor])</f>
        <v>AB</v>
      </c>
      <c r="D3233" s="7" t="s">
        <v>24</v>
      </c>
      <c r="E3233" t="str">
        <f>_xlfn.XLOOKUP(Vendas[[#This Row],[ID Item Vendido]],Agregado[ID],Agregado[Produto])</f>
        <v>Resina plástica PET purificada saco de 25kg</v>
      </c>
      <c r="F3233" s="39">
        <v>45336</v>
      </c>
      <c r="G3233" s="7">
        <v>7</v>
      </c>
      <c r="H3233" s="3">
        <f>_xlfn.XLOOKUP(Vendas[[#This Row],[ID Item Vendido]],Agregado[ID],Agregado[Revenda])</f>
        <v>119</v>
      </c>
      <c r="I3233" s="3">
        <f>Vendas[[#This Row],[Valor Unitário]]*Vendas[[#This Row],[Qnt Vendida]]</f>
        <v>833</v>
      </c>
      <c r="J3233" s="3">
        <f>Vendas[[#This Row],[Valor da Venda]]-(_xlfn.XLOOKUP(Vendas[[#This Row],[ID Item Vendido]],Agregado[ID],Agregado[Custo])*Vendas[[#This Row],[Qnt Vendida]])</f>
        <v>238</v>
      </c>
      <c r="K3233" s="70">
        <f>Vendas[[#This Row],[Lucro da Venda]]/Vendas[[#This Row],[Valor da Venda]]</f>
        <v>0.2857142857142857</v>
      </c>
      <c r="L3233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3233"/>
    </row>
    <row r="3234" spans="1:13" x14ac:dyDescent="0.3">
      <c r="A3234" s="7">
        <v>400250</v>
      </c>
      <c r="B3234" t="str">
        <f>_xlfn.XLOOKUP(Vendas[[#This Row],[ID Vendedor]],Vendedores[ID],Vendedores[Nome])</f>
        <v>Larissa</v>
      </c>
      <c r="C3234" s="7" t="str">
        <f>_xlfn.XLOOKUP(Vendas[[#This Row],[ID Vendedor]],Vendedores[ID],Vendedores[Setor])</f>
        <v>AB</v>
      </c>
      <c r="D3234" s="7" t="s">
        <v>36</v>
      </c>
      <c r="E3234" t="str">
        <f>_xlfn.XLOOKUP(Vendas[[#This Row],[ID Item Vendido]],Agregado[ID],Agregado[Produto])</f>
        <v>Borracha vulcanizada em manta</v>
      </c>
      <c r="F3234" s="39">
        <v>45336</v>
      </c>
      <c r="G3234" s="7">
        <v>71</v>
      </c>
      <c r="H3234" s="3">
        <f>_xlfn.XLOOKUP(Vendas[[#This Row],[ID Item Vendido]],Agregado[ID],Agregado[Revenda])</f>
        <v>7.8</v>
      </c>
      <c r="I3234" s="3">
        <f>Vendas[[#This Row],[Valor Unitário]]*Vendas[[#This Row],[Qnt Vendida]]</f>
        <v>553.79999999999995</v>
      </c>
      <c r="J3234" s="3">
        <f>Vendas[[#This Row],[Valor da Venda]]-(_xlfn.XLOOKUP(Vendas[[#This Row],[ID Item Vendido]],Agregado[ID],Agregado[Custo])*Vendas[[#This Row],[Qnt Vendida]])</f>
        <v>127.79999999999995</v>
      </c>
      <c r="K3234" s="70">
        <f>Vendas[[#This Row],[Lucro da Venda]]/Vendas[[#This Row],[Valor da Venda]]</f>
        <v>0.2307692307692307</v>
      </c>
      <c r="L3234" s="3">
        <f>_xlfn.IFS(Vendas[[#This Row],[Margem de Lucro (%)]]&lt;15%,Vendas[[#This Row],[Valor da Venda]]*3%,Vendas[[#This Row],[Margem de Lucro (%)]]&lt;=20%,Vendas[[#This Row],[Valor da Venda]]*4.5%,TRUE,Vendas[[#This Row],[Valor da Venda]]*6%)</f>
        <v>33.227999999999994</v>
      </c>
      <c r="M3234"/>
    </row>
    <row r="3235" spans="1:13" x14ac:dyDescent="0.3">
      <c r="A3235" s="7">
        <v>400251</v>
      </c>
      <c r="B3235" t="str">
        <f>_xlfn.XLOOKUP(Vendas[[#This Row],[ID Vendedor]],Vendedores[ID],Vendedores[Nome])</f>
        <v>Diego</v>
      </c>
      <c r="C3235" s="7" t="str">
        <f>_xlfn.XLOOKUP(Vendas[[#This Row],[ID Vendedor]],Vendedores[ID],Vendedores[Setor])</f>
        <v>AB</v>
      </c>
      <c r="D3235" s="7" t="s">
        <v>39</v>
      </c>
      <c r="E3235" t="str">
        <f>_xlfn.XLOOKUP(Vendas[[#This Row],[ID Item Vendido]],Agregado[ID],Agregado[Produto])</f>
        <v>Filme plástico industrial rolo 50m</v>
      </c>
      <c r="F3235" s="39">
        <v>45337</v>
      </c>
      <c r="G3235" s="7">
        <v>12</v>
      </c>
      <c r="H3235" s="3">
        <f>_xlfn.XLOOKUP(Vendas[[#This Row],[ID Item Vendido]],Agregado[ID],Agregado[Revenda])</f>
        <v>37</v>
      </c>
      <c r="I3235" s="3">
        <f>Vendas[[#This Row],[Valor Unitário]]*Vendas[[#This Row],[Qnt Vendida]]</f>
        <v>444</v>
      </c>
      <c r="J3235" s="3">
        <f>Vendas[[#This Row],[Valor da Venda]]-(_xlfn.XLOOKUP(Vendas[[#This Row],[ID Item Vendido]],Agregado[ID],Agregado[Custo])*Vendas[[#This Row],[Qnt Vendida]])</f>
        <v>108</v>
      </c>
      <c r="K3235" s="70">
        <f>Vendas[[#This Row],[Lucro da Venda]]/Vendas[[#This Row],[Valor da Venda]]</f>
        <v>0.24324324324324326</v>
      </c>
      <c r="L3235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3235"/>
    </row>
    <row r="3236" spans="1:13" x14ac:dyDescent="0.3">
      <c r="A3236" s="7">
        <v>400252</v>
      </c>
      <c r="B3236" t="str">
        <f>_xlfn.XLOOKUP(Vendas[[#This Row],[ID Vendedor]],Vendedores[ID],Vendedores[Nome])</f>
        <v>Renata</v>
      </c>
      <c r="C3236" s="7" t="str">
        <f>_xlfn.XLOOKUP(Vendas[[#This Row],[ID Vendedor]],Vendedores[ID],Vendedores[Setor])</f>
        <v>AB</v>
      </c>
      <c r="D3236" s="7" t="s">
        <v>12</v>
      </c>
      <c r="E3236" t="str">
        <f>_xlfn.XLOOKUP(Vendas[[#This Row],[ID Item Vendido]],Agregado[ID],Agregado[Produto])</f>
        <v>Grânulo de plástico reciclado refinado</v>
      </c>
      <c r="F3236" s="39">
        <v>45337</v>
      </c>
      <c r="G3236" s="7">
        <v>94</v>
      </c>
      <c r="H3236" s="3">
        <f>_xlfn.XLOOKUP(Vendas[[#This Row],[ID Item Vendido]],Agregado[ID],Agregado[Revenda])</f>
        <v>4.7</v>
      </c>
      <c r="I3236" s="3">
        <f>Vendas[[#This Row],[Valor Unitário]]*Vendas[[#This Row],[Qnt Vendida]]</f>
        <v>441.8</v>
      </c>
      <c r="J3236" s="3">
        <f>Vendas[[#This Row],[Valor da Venda]]-(_xlfn.XLOOKUP(Vendas[[#This Row],[ID Item Vendido]],Agregado[ID],Agregado[Custo])*Vendas[[#This Row],[Qnt Vendida]])</f>
        <v>112.80000000000001</v>
      </c>
      <c r="K3236" s="70">
        <f>Vendas[[#This Row],[Lucro da Venda]]/Vendas[[#This Row],[Valor da Venda]]</f>
        <v>0.25531914893617025</v>
      </c>
      <c r="L3236" s="3">
        <f>_xlfn.IFS(Vendas[[#This Row],[Margem de Lucro (%)]]&lt;15%,Vendas[[#This Row],[Valor da Venda]]*3%,Vendas[[#This Row],[Margem de Lucro (%)]]&lt;=20%,Vendas[[#This Row],[Valor da Venda]]*4.5%,TRUE,Vendas[[#This Row],[Valor da Venda]]*6%)</f>
        <v>26.507999999999999</v>
      </c>
      <c r="M3236"/>
    </row>
    <row r="3237" spans="1:13" x14ac:dyDescent="0.3">
      <c r="A3237" s="7">
        <v>400252</v>
      </c>
      <c r="B3237" t="str">
        <f>_xlfn.XLOOKUP(Vendas[[#This Row],[ID Vendedor]],Vendedores[ID],Vendedores[Nome])</f>
        <v>Renata</v>
      </c>
      <c r="C3237" s="7" t="str">
        <f>_xlfn.XLOOKUP(Vendas[[#This Row],[ID Vendedor]],Vendedores[ID],Vendedores[Setor])</f>
        <v>AB</v>
      </c>
      <c r="D3237" s="7" t="s">
        <v>24</v>
      </c>
      <c r="E3237" t="str">
        <f>_xlfn.XLOOKUP(Vendas[[#This Row],[ID Item Vendido]],Agregado[ID],Agregado[Produto])</f>
        <v>Resina plástica PET purificada saco de 25kg</v>
      </c>
      <c r="F3237" s="39">
        <v>45338</v>
      </c>
      <c r="G3237" s="7">
        <v>20</v>
      </c>
      <c r="H3237" s="3">
        <f>_xlfn.XLOOKUP(Vendas[[#This Row],[ID Item Vendido]],Agregado[ID],Agregado[Revenda])</f>
        <v>119</v>
      </c>
      <c r="I3237" s="3">
        <f>Vendas[[#This Row],[Valor Unitário]]*Vendas[[#This Row],[Qnt Vendida]]</f>
        <v>2380</v>
      </c>
      <c r="J3237" s="3">
        <f>Vendas[[#This Row],[Valor da Venda]]-(_xlfn.XLOOKUP(Vendas[[#This Row],[ID Item Vendido]],Agregado[ID],Agregado[Custo])*Vendas[[#This Row],[Qnt Vendida]])</f>
        <v>680</v>
      </c>
      <c r="K3237" s="70">
        <f>Vendas[[#This Row],[Lucro da Venda]]/Vendas[[#This Row],[Valor da Venda]]</f>
        <v>0.2857142857142857</v>
      </c>
      <c r="L3237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237"/>
    </row>
    <row r="3238" spans="1:13" x14ac:dyDescent="0.3">
      <c r="A3238" s="7">
        <v>400248</v>
      </c>
      <c r="B3238" t="str">
        <f>_xlfn.XLOOKUP(Vendas[[#This Row],[ID Vendedor]],Vendedores[ID],Vendedores[Nome])</f>
        <v>Patrícia</v>
      </c>
      <c r="C3238" s="7" t="str">
        <f>_xlfn.XLOOKUP(Vendas[[#This Row],[ID Vendedor]],Vendedores[ID],Vendedores[Setor])</f>
        <v>CM</v>
      </c>
      <c r="D3238" s="7" t="s">
        <v>32</v>
      </c>
      <c r="E3238" t="str">
        <f>_xlfn.XLOOKUP(Vendas[[#This Row],[ID Item Vendido]],Agregado[ID],Agregado[Produto])</f>
        <v>Tábua tratada e cortada 3m</v>
      </c>
      <c r="F3238" s="39">
        <v>45338</v>
      </c>
      <c r="G3238" s="7">
        <v>32</v>
      </c>
      <c r="H3238" s="3">
        <f>_xlfn.XLOOKUP(Vendas[[#This Row],[ID Item Vendido]],Agregado[ID],Agregado[Revenda])</f>
        <v>39</v>
      </c>
      <c r="I3238" s="3">
        <f>Vendas[[#This Row],[Valor Unitário]]*Vendas[[#This Row],[Qnt Vendida]]</f>
        <v>1248</v>
      </c>
      <c r="J3238" s="3">
        <f>Vendas[[#This Row],[Valor da Venda]]-(_xlfn.XLOOKUP(Vendas[[#This Row],[ID Item Vendido]],Agregado[ID],Agregado[Custo])*Vendas[[#This Row],[Qnt Vendida]])</f>
        <v>224</v>
      </c>
      <c r="K3238" s="70">
        <f>Vendas[[#This Row],[Lucro da Venda]]/Vendas[[#This Row],[Valor da Venda]]</f>
        <v>0.17948717948717949</v>
      </c>
      <c r="L3238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3238"/>
    </row>
    <row r="3239" spans="1:13" x14ac:dyDescent="0.3">
      <c r="A3239" s="7">
        <v>400246</v>
      </c>
      <c r="B3239" t="str">
        <f>_xlfn.XLOOKUP(Vendas[[#This Row],[ID Vendedor]],Vendedores[ID],Vendedores[Nome])</f>
        <v>Juliana</v>
      </c>
      <c r="C3239" s="7" t="str">
        <f>_xlfn.XLOOKUP(Vendas[[#This Row],[ID Vendedor]],Vendedores[ID],Vendedores[Setor])</f>
        <v>AHD</v>
      </c>
      <c r="D3239" s="7" t="s">
        <v>9</v>
      </c>
      <c r="E3239" t="str">
        <f>_xlfn.XLOOKUP(Vendas[[#This Row],[ID Item Vendido]],Agregado[ID],Agregado[Produto])</f>
        <v>Barra de aço simples</v>
      </c>
      <c r="F3239" s="39">
        <v>45338</v>
      </c>
      <c r="G3239" s="7">
        <v>82</v>
      </c>
      <c r="H3239" s="3">
        <f>_xlfn.XLOOKUP(Vendas[[#This Row],[ID Item Vendido]],Agregado[ID],Agregado[Revenda])</f>
        <v>6.7</v>
      </c>
      <c r="I3239" s="3">
        <f>Vendas[[#This Row],[Valor Unitário]]*Vendas[[#This Row],[Qnt Vendida]]</f>
        <v>549.4</v>
      </c>
      <c r="J3239" s="3">
        <f>Vendas[[#This Row],[Valor da Venda]]-(_xlfn.XLOOKUP(Vendas[[#This Row],[ID Item Vendido]],Agregado[ID],Agregado[Custo])*Vendas[[#This Row],[Qnt Vendida]])</f>
        <v>73.800000000000011</v>
      </c>
      <c r="K3239" s="70">
        <f>Vendas[[#This Row],[Lucro da Venda]]/Vendas[[#This Row],[Valor da Venda]]</f>
        <v>0.13432835820895525</v>
      </c>
      <c r="L3239" s="3">
        <f>_xlfn.IFS(Vendas[[#This Row],[Margem de Lucro (%)]]&lt;15%,Vendas[[#This Row],[Valor da Venda]]*3%,Vendas[[#This Row],[Margem de Lucro (%)]]&lt;=20%,Vendas[[#This Row],[Valor da Venda]]*4.5%,TRUE,Vendas[[#This Row],[Valor da Venda]]*6%)</f>
        <v>16.481999999999999</v>
      </c>
      <c r="M3239"/>
    </row>
    <row r="3240" spans="1:13" x14ac:dyDescent="0.3">
      <c r="A3240" s="7">
        <v>400251</v>
      </c>
      <c r="B3240" t="str">
        <f>_xlfn.XLOOKUP(Vendas[[#This Row],[ID Vendedor]],Vendedores[ID],Vendedores[Nome])</f>
        <v>Diego</v>
      </c>
      <c r="C3240" s="7" t="str">
        <f>_xlfn.XLOOKUP(Vendas[[#This Row],[ID Vendedor]],Vendedores[ID],Vendedores[Setor])</f>
        <v>AB</v>
      </c>
      <c r="D3240" s="7" t="s">
        <v>37</v>
      </c>
      <c r="E3240" t="str">
        <f>_xlfn.XLOOKUP(Vendas[[#This Row],[ID Item Vendido]],Agregado[ID],Agregado[Produto])</f>
        <v>Composto de borracha para vedação rolo 10m</v>
      </c>
      <c r="F3240" s="39">
        <v>45338</v>
      </c>
      <c r="G3240" s="7">
        <v>7</v>
      </c>
      <c r="H3240" s="3">
        <f>_xlfn.XLOOKUP(Vendas[[#This Row],[ID Item Vendido]],Agregado[ID],Agregado[Revenda])</f>
        <v>51.2</v>
      </c>
      <c r="I3240" s="3">
        <f>Vendas[[#This Row],[Valor Unitário]]*Vendas[[#This Row],[Qnt Vendida]]</f>
        <v>358.40000000000003</v>
      </c>
      <c r="J3240" s="3">
        <f>Vendas[[#This Row],[Valor da Venda]]-(_xlfn.XLOOKUP(Vendas[[#This Row],[ID Item Vendido]],Agregado[ID],Agregado[Custo])*Vendas[[#This Row],[Qnt Vendida]])</f>
        <v>78.400000000000034</v>
      </c>
      <c r="K3240" s="70">
        <f>Vendas[[#This Row],[Lucro da Venda]]/Vendas[[#This Row],[Valor da Venda]]</f>
        <v>0.21875000000000008</v>
      </c>
      <c r="L3240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3240"/>
    </row>
    <row r="3241" spans="1:13" x14ac:dyDescent="0.3">
      <c r="A3241" s="7">
        <v>400247</v>
      </c>
      <c r="B3241" t="str">
        <f>_xlfn.XLOOKUP(Vendas[[#This Row],[ID Vendedor]],Vendedores[ID],Vendedores[Nome])</f>
        <v>André</v>
      </c>
      <c r="C3241" s="7" t="str">
        <f>_xlfn.XLOOKUP(Vendas[[#This Row],[ID Vendedor]],Vendedores[ID],Vendedores[Setor])</f>
        <v>CM</v>
      </c>
      <c r="D3241" s="7" t="s">
        <v>34</v>
      </c>
      <c r="E3241" t="str">
        <f>_xlfn.XLOOKUP(Vendas[[#This Row],[ID Item Vendido]],Agregado[ID],Agregado[Produto])</f>
        <v>Restos de madeira p/ MDP/OSB saco de 20kg</v>
      </c>
      <c r="F3241" s="39">
        <v>45338</v>
      </c>
      <c r="G3241" s="7">
        <v>24</v>
      </c>
      <c r="H3241" s="3">
        <f>_xlfn.XLOOKUP(Vendas[[#This Row],[ID Item Vendido]],Agregado[ID],Agregado[Revenda])</f>
        <v>13.8</v>
      </c>
      <c r="I3241" s="3">
        <f>Vendas[[#This Row],[Valor Unitário]]*Vendas[[#This Row],[Qnt Vendida]]</f>
        <v>331.20000000000005</v>
      </c>
      <c r="J3241" s="3">
        <f>Vendas[[#This Row],[Valor da Venda]]-(_xlfn.XLOOKUP(Vendas[[#This Row],[ID Item Vendido]],Agregado[ID],Agregado[Custo])*Vendas[[#This Row],[Qnt Vendida]])</f>
        <v>43.200000000000045</v>
      </c>
      <c r="K3241" s="70">
        <f>Vendas[[#This Row],[Lucro da Venda]]/Vendas[[#This Row],[Valor da Venda]]</f>
        <v>0.13043478260869576</v>
      </c>
      <c r="L3241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3241"/>
    </row>
    <row r="3242" spans="1:13" x14ac:dyDescent="0.3">
      <c r="A3242" s="7">
        <v>400241</v>
      </c>
      <c r="B3242" t="str">
        <f>_xlfn.XLOOKUP(Vendas[[#This Row],[ID Vendedor]],Vendedores[ID],Vendedores[Nome])</f>
        <v>Rodrigo</v>
      </c>
      <c r="C3242" s="7" t="str">
        <f>_xlfn.XLOOKUP(Vendas[[#This Row],[ID Vendedor]],Vendedores[ID],Vendedores[Setor])</f>
        <v>FM</v>
      </c>
      <c r="D3242" s="7" t="s">
        <v>27</v>
      </c>
      <c r="E3242" t="str">
        <f>_xlfn.XLOOKUP(Vendas[[#This Row],[ID Item Vendido]],Agregado[ID],Agregado[Produto])</f>
        <v>Chapa de metal lisa 1x2m</v>
      </c>
      <c r="F3242" s="39">
        <v>45338</v>
      </c>
      <c r="G3242" s="7">
        <v>6</v>
      </c>
      <c r="H3242" s="3">
        <f>_xlfn.XLOOKUP(Vendas[[#This Row],[ID Item Vendido]],Agregado[ID],Agregado[Revenda])</f>
        <v>52</v>
      </c>
      <c r="I3242" s="3">
        <f>Vendas[[#This Row],[Valor Unitário]]*Vendas[[#This Row],[Qnt Vendida]]</f>
        <v>312</v>
      </c>
      <c r="J3242" s="3">
        <f>Vendas[[#This Row],[Valor da Venda]]-(_xlfn.XLOOKUP(Vendas[[#This Row],[ID Item Vendido]],Agregado[ID],Agregado[Custo])*Vendas[[#This Row],[Qnt Vendida]])</f>
        <v>42</v>
      </c>
      <c r="K3242" s="70">
        <f>Vendas[[#This Row],[Lucro da Venda]]/Vendas[[#This Row],[Valor da Venda]]</f>
        <v>0.13461538461538461</v>
      </c>
      <c r="L3242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3242"/>
    </row>
    <row r="3243" spans="1:13" x14ac:dyDescent="0.3">
      <c r="A3243" s="7">
        <v>400246</v>
      </c>
      <c r="B3243" t="str">
        <f>_xlfn.XLOOKUP(Vendas[[#This Row],[ID Vendedor]],Vendedores[ID],Vendedores[Nome])</f>
        <v>Juliana</v>
      </c>
      <c r="C3243" s="7" t="str">
        <f>_xlfn.XLOOKUP(Vendas[[#This Row],[ID Vendedor]],Vendedores[ID],Vendedores[Setor])</f>
        <v>AHD</v>
      </c>
      <c r="D3243" s="7" t="s">
        <v>30</v>
      </c>
      <c r="E3243" t="str">
        <f>_xlfn.XLOOKUP(Vendas[[#This Row],[ID Item Vendido]],Agregado[ID],Agregado[Produto])</f>
        <v>Estrutura metálica soldada</v>
      </c>
      <c r="F3243" s="39">
        <v>45339</v>
      </c>
      <c r="G3243" s="7">
        <v>5</v>
      </c>
      <c r="H3243" s="3">
        <f>_xlfn.XLOOKUP(Vendas[[#This Row],[ID Item Vendido]],Agregado[ID],Agregado[Revenda])</f>
        <v>400</v>
      </c>
      <c r="I3243" s="3">
        <f>Vendas[[#This Row],[Valor Unitário]]*Vendas[[#This Row],[Qnt Vendida]]</f>
        <v>2000</v>
      </c>
      <c r="J3243" s="3">
        <f>Vendas[[#This Row],[Valor da Venda]]-(_xlfn.XLOOKUP(Vendas[[#This Row],[ID Item Vendido]],Agregado[ID],Agregado[Custo])*Vendas[[#This Row],[Qnt Vendida]])</f>
        <v>400</v>
      </c>
      <c r="K3243" s="70">
        <f>Vendas[[#This Row],[Lucro da Venda]]/Vendas[[#This Row],[Valor da Venda]]</f>
        <v>0.2</v>
      </c>
      <c r="L3243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243"/>
    </row>
    <row r="3244" spans="1:13" x14ac:dyDescent="0.3">
      <c r="A3244" s="7">
        <v>400241</v>
      </c>
      <c r="B3244" t="str">
        <f>_xlfn.XLOOKUP(Vendas[[#This Row],[ID Vendedor]],Vendedores[ID],Vendedores[Nome])</f>
        <v>Rodrigo</v>
      </c>
      <c r="C3244" s="7" t="str">
        <f>_xlfn.XLOOKUP(Vendas[[#This Row],[ID Vendedor]],Vendedores[ID],Vendedores[Setor])</f>
        <v>FM</v>
      </c>
      <c r="D3244" s="7" t="s">
        <v>27</v>
      </c>
      <c r="E3244" t="str">
        <f>_xlfn.XLOOKUP(Vendas[[#This Row],[ID Item Vendido]],Agregado[ID],Agregado[Produto])</f>
        <v>Chapa de metal lisa 1x2m</v>
      </c>
      <c r="F3244" s="39">
        <v>45339</v>
      </c>
      <c r="G3244" s="7">
        <v>25</v>
      </c>
      <c r="H3244" s="3">
        <f>_xlfn.XLOOKUP(Vendas[[#This Row],[ID Item Vendido]],Agregado[ID],Agregado[Revenda])</f>
        <v>52</v>
      </c>
      <c r="I3244" s="3">
        <f>Vendas[[#This Row],[Valor Unitário]]*Vendas[[#This Row],[Qnt Vendida]]</f>
        <v>1300</v>
      </c>
      <c r="J3244" s="3">
        <f>Vendas[[#This Row],[Valor da Venda]]-(_xlfn.XLOOKUP(Vendas[[#This Row],[ID Item Vendido]],Agregado[ID],Agregado[Custo])*Vendas[[#This Row],[Qnt Vendida]])</f>
        <v>175</v>
      </c>
      <c r="K3244" s="70">
        <f>Vendas[[#This Row],[Lucro da Venda]]/Vendas[[#This Row],[Valor da Venda]]</f>
        <v>0.13461538461538461</v>
      </c>
      <c r="L3244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3244"/>
    </row>
    <row r="3245" spans="1:13" x14ac:dyDescent="0.3">
      <c r="A3245" s="7">
        <v>400244</v>
      </c>
      <c r="B3245" t="str">
        <f>_xlfn.XLOOKUP(Vendas[[#This Row],[ID Vendedor]],Vendedores[ID],Vendedores[Nome])</f>
        <v>Camila</v>
      </c>
      <c r="C3245" s="7" t="str">
        <f>_xlfn.XLOOKUP(Vendas[[#This Row],[ID Vendedor]],Vendedores[ID],Vendedores[Setor])</f>
        <v>AHD</v>
      </c>
      <c r="D3245" s="7" t="s">
        <v>30</v>
      </c>
      <c r="E3245" t="str">
        <f>_xlfn.XLOOKUP(Vendas[[#This Row],[ID Item Vendido]],Agregado[ID],Agregado[Produto])</f>
        <v>Estrutura metálica soldada</v>
      </c>
      <c r="F3245" s="39">
        <v>45339</v>
      </c>
      <c r="G3245" s="7">
        <v>2</v>
      </c>
      <c r="H3245" s="3">
        <f>_xlfn.XLOOKUP(Vendas[[#This Row],[ID Item Vendido]],Agregado[ID],Agregado[Revenda])</f>
        <v>400</v>
      </c>
      <c r="I3245" s="3">
        <f>Vendas[[#This Row],[Valor Unitário]]*Vendas[[#This Row],[Qnt Vendida]]</f>
        <v>800</v>
      </c>
      <c r="J3245" s="3">
        <f>Vendas[[#This Row],[Valor da Venda]]-(_xlfn.XLOOKUP(Vendas[[#This Row],[ID Item Vendido]],Agregado[ID],Agregado[Custo])*Vendas[[#This Row],[Qnt Vendida]])</f>
        <v>160</v>
      </c>
      <c r="K3245" s="70">
        <f>Vendas[[#This Row],[Lucro da Venda]]/Vendas[[#This Row],[Valor da Venda]]</f>
        <v>0.2</v>
      </c>
      <c r="L3245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3245"/>
    </row>
    <row r="3246" spans="1:13" x14ac:dyDescent="0.3">
      <c r="A3246" s="7">
        <v>400241</v>
      </c>
      <c r="B3246" t="str">
        <f>_xlfn.XLOOKUP(Vendas[[#This Row],[ID Vendedor]],Vendedores[ID],Vendedores[Nome])</f>
        <v>Rodrigo</v>
      </c>
      <c r="C3246" s="7" t="str">
        <f>_xlfn.XLOOKUP(Vendas[[#This Row],[ID Vendedor]],Vendedores[ID],Vendedores[Setor])</f>
        <v>FM</v>
      </c>
      <c r="D3246" s="7" t="s">
        <v>20</v>
      </c>
      <c r="E3246" t="str">
        <f>_xlfn.XLOOKUP(Vendas[[#This Row],[ID Item Vendido]],Agregado[ID],Agregado[Produto])</f>
        <v>Barra de aço simples</v>
      </c>
      <c r="F3246" s="39">
        <v>45339</v>
      </c>
      <c r="G3246" s="7">
        <v>93</v>
      </c>
      <c r="H3246" s="3">
        <f>_xlfn.XLOOKUP(Vendas[[#This Row],[ID Item Vendido]],Agregado[ID],Agregado[Revenda])</f>
        <v>4.8</v>
      </c>
      <c r="I3246" s="3">
        <f>Vendas[[#This Row],[Valor Unitário]]*Vendas[[#This Row],[Qnt Vendida]]</f>
        <v>446.4</v>
      </c>
      <c r="J3246" s="3">
        <f>Vendas[[#This Row],[Valor da Venda]]-(_xlfn.XLOOKUP(Vendas[[#This Row],[ID Item Vendido]],Agregado[ID],Agregado[Custo])*Vendas[[#This Row],[Qnt Vendida]])</f>
        <v>55.799999999999955</v>
      </c>
      <c r="K3246" s="70">
        <f>Vendas[[#This Row],[Lucro da Venda]]/Vendas[[#This Row],[Valor da Venda]]</f>
        <v>0.1249999999999999</v>
      </c>
      <c r="L3246" s="3">
        <f>_xlfn.IFS(Vendas[[#This Row],[Margem de Lucro (%)]]&lt;15%,Vendas[[#This Row],[Valor da Venda]]*3%,Vendas[[#This Row],[Margem de Lucro (%)]]&lt;=20%,Vendas[[#This Row],[Valor da Venda]]*4.5%,TRUE,Vendas[[#This Row],[Valor da Venda]]*6%)</f>
        <v>13.391999999999999</v>
      </c>
      <c r="M3246"/>
    </row>
    <row r="3247" spans="1:13" x14ac:dyDescent="0.3">
      <c r="A3247" s="7">
        <v>400254</v>
      </c>
      <c r="B3247" t="str">
        <f>_xlfn.XLOOKUP(Vendas[[#This Row],[ID Vendedor]],Vendedores[ID],Vendedores[Nome])</f>
        <v>Beatriz</v>
      </c>
      <c r="C3247" s="7" t="str">
        <f>_xlfn.XLOOKUP(Vendas[[#This Row],[ID Vendedor]],Vendedores[ID],Vendedores[Setor])</f>
        <v>SC</v>
      </c>
      <c r="D3247" s="7" t="s">
        <v>42</v>
      </c>
      <c r="E3247" t="str">
        <f>_xlfn.XLOOKUP(Vendas[[#This Row],[ID Item Vendido]],Agregado[ID],Agregado[Produto])</f>
        <v>Container de ferro industrial</v>
      </c>
      <c r="F3247" s="39">
        <v>45340</v>
      </c>
      <c r="G3247" s="7">
        <v>6</v>
      </c>
      <c r="H3247" s="3">
        <f>_xlfn.XLOOKUP(Vendas[[#This Row],[ID Item Vendido]],Agregado[ID],Agregado[Revenda])</f>
        <v>830</v>
      </c>
      <c r="I3247" s="3">
        <f>Vendas[[#This Row],[Valor Unitário]]*Vendas[[#This Row],[Qnt Vendida]]</f>
        <v>4980</v>
      </c>
      <c r="J3247" s="3">
        <f>Vendas[[#This Row],[Valor da Venda]]-(_xlfn.XLOOKUP(Vendas[[#This Row],[ID Item Vendido]],Agregado[ID],Agregado[Custo])*Vendas[[#This Row],[Qnt Vendida]])</f>
        <v>900</v>
      </c>
      <c r="K3247" s="70">
        <f>Vendas[[#This Row],[Lucro da Venda]]/Vendas[[#This Row],[Valor da Venda]]</f>
        <v>0.18072289156626506</v>
      </c>
      <c r="L3247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247"/>
    </row>
    <row r="3248" spans="1:13" x14ac:dyDescent="0.3">
      <c r="A3248" s="7">
        <v>400246</v>
      </c>
      <c r="B3248" t="str">
        <f>_xlfn.XLOOKUP(Vendas[[#This Row],[ID Vendedor]],Vendedores[ID],Vendedores[Nome])</f>
        <v>Juliana</v>
      </c>
      <c r="C3248" s="7" t="str">
        <f>_xlfn.XLOOKUP(Vendas[[#This Row],[ID Vendedor]],Vendedores[ID],Vendedores[Setor])</f>
        <v>AHD</v>
      </c>
      <c r="D3248" s="7" t="s">
        <v>30</v>
      </c>
      <c r="E3248" t="str">
        <f>_xlfn.XLOOKUP(Vendas[[#This Row],[ID Item Vendido]],Agregado[ID],Agregado[Produto])</f>
        <v>Estrutura metálica soldada</v>
      </c>
      <c r="F3248" s="39">
        <v>45340</v>
      </c>
      <c r="G3248" s="7">
        <v>5</v>
      </c>
      <c r="H3248" s="3">
        <f>_xlfn.XLOOKUP(Vendas[[#This Row],[ID Item Vendido]],Agregado[ID],Agregado[Revenda])</f>
        <v>400</v>
      </c>
      <c r="I3248" s="3">
        <f>Vendas[[#This Row],[Valor Unitário]]*Vendas[[#This Row],[Qnt Vendida]]</f>
        <v>2000</v>
      </c>
      <c r="J3248" s="3">
        <f>Vendas[[#This Row],[Valor da Venda]]-(_xlfn.XLOOKUP(Vendas[[#This Row],[ID Item Vendido]],Agregado[ID],Agregado[Custo])*Vendas[[#This Row],[Qnt Vendida]])</f>
        <v>400</v>
      </c>
      <c r="K3248" s="70">
        <f>Vendas[[#This Row],[Lucro da Venda]]/Vendas[[#This Row],[Valor da Venda]]</f>
        <v>0.2</v>
      </c>
      <c r="L3248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248"/>
    </row>
    <row r="3249" spans="1:13" x14ac:dyDescent="0.3">
      <c r="A3249" s="7">
        <v>400252</v>
      </c>
      <c r="B3249" t="str">
        <f>_xlfn.XLOOKUP(Vendas[[#This Row],[ID Vendedor]],Vendedores[ID],Vendedores[Nome])</f>
        <v>Renata</v>
      </c>
      <c r="C3249" s="7" t="str">
        <f>_xlfn.XLOOKUP(Vendas[[#This Row],[ID Vendedor]],Vendedores[ID],Vendedores[Setor])</f>
        <v>AB</v>
      </c>
      <c r="D3249" s="7" t="s">
        <v>24</v>
      </c>
      <c r="E3249" t="str">
        <f>_xlfn.XLOOKUP(Vendas[[#This Row],[ID Item Vendido]],Agregado[ID],Agregado[Produto])</f>
        <v>Resina plástica PET purificada saco de 25kg</v>
      </c>
      <c r="F3249" s="39">
        <v>45340</v>
      </c>
      <c r="G3249" s="7">
        <v>9</v>
      </c>
      <c r="H3249" s="3">
        <f>_xlfn.XLOOKUP(Vendas[[#This Row],[ID Item Vendido]],Agregado[ID],Agregado[Revenda])</f>
        <v>119</v>
      </c>
      <c r="I3249" s="3">
        <f>Vendas[[#This Row],[Valor Unitário]]*Vendas[[#This Row],[Qnt Vendida]]</f>
        <v>1071</v>
      </c>
      <c r="J3249" s="3">
        <f>Vendas[[#This Row],[Valor da Venda]]-(_xlfn.XLOOKUP(Vendas[[#This Row],[ID Item Vendido]],Agregado[ID],Agregado[Custo])*Vendas[[#This Row],[Qnt Vendida]])</f>
        <v>306</v>
      </c>
      <c r="K3249" s="70">
        <f>Vendas[[#This Row],[Lucro da Venda]]/Vendas[[#This Row],[Valor da Venda]]</f>
        <v>0.2857142857142857</v>
      </c>
      <c r="L3249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3249"/>
    </row>
    <row r="3250" spans="1:13" x14ac:dyDescent="0.3">
      <c r="A3250" s="7">
        <v>400241</v>
      </c>
      <c r="B3250" t="str">
        <f>_xlfn.XLOOKUP(Vendas[[#This Row],[ID Vendedor]],Vendedores[ID],Vendedores[Nome])</f>
        <v>Rodrigo</v>
      </c>
      <c r="C3250" s="7" t="str">
        <f>_xlfn.XLOOKUP(Vendas[[#This Row],[ID Vendedor]],Vendedores[ID],Vendedores[Setor])</f>
        <v>FM</v>
      </c>
      <c r="D3250" s="7" t="s">
        <v>47</v>
      </c>
      <c r="E3250" t="str">
        <f>_xlfn.XLOOKUP(Vendas[[#This Row],[ID Item Vendido]],Agregado[ID],Agregado[Produto])</f>
        <v>Fio de arame galvanizado rolo 50m</v>
      </c>
      <c r="F3250" s="39">
        <v>45340</v>
      </c>
      <c r="G3250" s="7">
        <v>18</v>
      </c>
      <c r="H3250" s="3">
        <f>_xlfn.XLOOKUP(Vendas[[#This Row],[ID Item Vendido]],Agregado[ID],Agregado[Revenda])</f>
        <v>21.2</v>
      </c>
      <c r="I3250" s="3">
        <f>Vendas[[#This Row],[Valor Unitário]]*Vendas[[#This Row],[Qnt Vendida]]</f>
        <v>381.59999999999997</v>
      </c>
      <c r="J3250" s="3">
        <f>Vendas[[#This Row],[Valor da Venda]]-(_xlfn.XLOOKUP(Vendas[[#This Row],[ID Item Vendido]],Agregado[ID],Agregado[Custo])*Vendas[[#This Row],[Qnt Vendida]])</f>
        <v>57.599999999999966</v>
      </c>
      <c r="K3250" s="70">
        <f>Vendas[[#This Row],[Lucro da Venda]]/Vendas[[#This Row],[Valor da Venda]]</f>
        <v>0.15094339622641501</v>
      </c>
      <c r="L3250" s="3">
        <f>_xlfn.IFS(Vendas[[#This Row],[Margem de Lucro (%)]]&lt;15%,Vendas[[#This Row],[Valor da Venda]]*3%,Vendas[[#This Row],[Margem de Lucro (%)]]&lt;=20%,Vendas[[#This Row],[Valor da Venda]]*4.5%,TRUE,Vendas[[#This Row],[Valor da Venda]]*6%)</f>
        <v>17.171999999999997</v>
      </c>
      <c r="M3250"/>
    </row>
    <row r="3251" spans="1:13" x14ac:dyDescent="0.3">
      <c r="A3251" s="7">
        <v>400254</v>
      </c>
      <c r="B3251" t="str">
        <f>_xlfn.XLOOKUP(Vendas[[#This Row],[ID Vendedor]],Vendedores[ID],Vendedores[Nome])</f>
        <v>Beatriz</v>
      </c>
      <c r="C3251" s="7" t="str">
        <f>_xlfn.XLOOKUP(Vendas[[#This Row],[ID Vendedor]],Vendedores[ID],Vendedores[Setor])</f>
        <v>SC</v>
      </c>
      <c r="D3251" s="7" t="s">
        <v>42</v>
      </c>
      <c r="E3251" t="str">
        <f>_xlfn.XLOOKUP(Vendas[[#This Row],[ID Item Vendido]],Agregado[ID],Agregado[Produto])</f>
        <v>Container de ferro industrial</v>
      </c>
      <c r="F3251" s="39">
        <v>45341</v>
      </c>
      <c r="G3251" s="7">
        <v>2</v>
      </c>
      <c r="H3251" s="3">
        <f>_xlfn.XLOOKUP(Vendas[[#This Row],[ID Item Vendido]],Agregado[ID],Agregado[Revenda])</f>
        <v>830</v>
      </c>
      <c r="I3251" s="3">
        <f>Vendas[[#This Row],[Valor Unitário]]*Vendas[[#This Row],[Qnt Vendida]]</f>
        <v>1660</v>
      </c>
      <c r="J3251" s="3">
        <f>Vendas[[#This Row],[Valor da Venda]]-(_xlfn.XLOOKUP(Vendas[[#This Row],[ID Item Vendido]],Agregado[ID],Agregado[Custo])*Vendas[[#This Row],[Qnt Vendida]])</f>
        <v>300</v>
      </c>
      <c r="K3251" s="70">
        <f>Vendas[[#This Row],[Lucro da Venda]]/Vendas[[#This Row],[Valor da Venda]]</f>
        <v>0.18072289156626506</v>
      </c>
      <c r="L3251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251"/>
    </row>
    <row r="3252" spans="1:13" x14ac:dyDescent="0.3">
      <c r="A3252" s="7">
        <v>400252</v>
      </c>
      <c r="B3252" t="str">
        <f>_xlfn.XLOOKUP(Vendas[[#This Row],[ID Vendedor]],Vendedores[ID],Vendedores[Nome])</f>
        <v>Renata</v>
      </c>
      <c r="C3252" s="7" t="str">
        <f>_xlfn.XLOOKUP(Vendas[[#This Row],[ID Vendedor]],Vendedores[ID],Vendedores[Setor])</f>
        <v>AB</v>
      </c>
      <c r="D3252" s="7" t="s">
        <v>37</v>
      </c>
      <c r="E3252" t="str">
        <f>_xlfn.XLOOKUP(Vendas[[#This Row],[ID Item Vendido]],Agregado[ID],Agregado[Produto])</f>
        <v>Composto de borracha para vedação rolo 10m</v>
      </c>
      <c r="F3252" s="39">
        <v>45341</v>
      </c>
      <c r="G3252" s="7">
        <v>13</v>
      </c>
      <c r="H3252" s="3">
        <f>_xlfn.XLOOKUP(Vendas[[#This Row],[ID Item Vendido]],Agregado[ID],Agregado[Revenda])</f>
        <v>51.2</v>
      </c>
      <c r="I3252" s="3">
        <f>Vendas[[#This Row],[Valor Unitário]]*Vendas[[#This Row],[Qnt Vendida]]</f>
        <v>665.6</v>
      </c>
      <c r="J3252" s="3">
        <f>Vendas[[#This Row],[Valor da Venda]]-(_xlfn.XLOOKUP(Vendas[[#This Row],[ID Item Vendido]],Agregado[ID],Agregado[Custo])*Vendas[[#This Row],[Qnt Vendida]])</f>
        <v>145.60000000000002</v>
      </c>
      <c r="K3252" s="70">
        <f>Vendas[[#This Row],[Lucro da Venda]]/Vendas[[#This Row],[Valor da Venda]]</f>
        <v>0.21875000000000003</v>
      </c>
      <c r="L3252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3252"/>
    </row>
    <row r="3253" spans="1:13" x14ac:dyDescent="0.3">
      <c r="A3253" s="7">
        <v>400244</v>
      </c>
      <c r="B3253" t="str">
        <f>_xlfn.XLOOKUP(Vendas[[#This Row],[ID Vendedor]],Vendedores[ID],Vendedores[Nome])</f>
        <v>Camila</v>
      </c>
      <c r="C3253" s="7" t="str">
        <f>_xlfn.XLOOKUP(Vendas[[#This Row],[ID Vendedor]],Vendedores[ID],Vendedores[Setor])</f>
        <v>AHD</v>
      </c>
      <c r="D3253" s="7" t="s">
        <v>9</v>
      </c>
      <c r="E3253" t="str">
        <f>_xlfn.XLOOKUP(Vendas[[#This Row],[ID Item Vendido]],Agregado[ID],Agregado[Produto])</f>
        <v>Barra de aço simples</v>
      </c>
      <c r="F3253" s="39">
        <v>45341</v>
      </c>
      <c r="G3253" s="7">
        <v>42</v>
      </c>
      <c r="H3253" s="3">
        <f>_xlfn.XLOOKUP(Vendas[[#This Row],[ID Item Vendido]],Agregado[ID],Agregado[Revenda])</f>
        <v>6.7</v>
      </c>
      <c r="I3253" s="3">
        <f>Vendas[[#This Row],[Valor Unitário]]*Vendas[[#This Row],[Qnt Vendida]]</f>
        <v>281.40000000000003</v>
      </c>
      <c r="J3253" s="3">
        <f>Vendas[[#This Row],[Valor da Venda]]-(_xlfn.XLOOKUP(Vendas[[#This Row],[ID Item Vendido]],Agregado[ID],Agregado[Custo])*Vendas[[#This Row],[Qnt Vendida]])</f>
        <v>37.80000000000004</v>
      </c>
      <c r="K3253" s="70">
        <f>Vendas[[#This Row],[Lucro da Venda]]/Vendas[[#This Row],[Valor da Venda]]</f>
        <v>0.13432835820895536</v>
      </c>
      <c r="L3253" s="3">
        <f>_xlfn.IFS(Vendas[[#This Row],[Margem de Lucro (%)]]&lt;15%,Vendas[[#This Row],[Valor da Venda]]*3%,Vendas[[#This Row],[Margem de Lucro (%)]]&lt;=20%,Vendas[[#This Row],[Valor da Venda]]*4.5%,TRUE,Vendas[[#This Row],[Valor da Venda]]*6%)</f>
        <v>8.4420000000000002</v>
      </c>
      <c r="M3253"/>
    </row>
    <row r="3254" spans="1:13" x14ac:dyDescent="0.3">
      <c r="A3254" s="7">
        <v>400254</v>
      </c>
      <c r="B3254" t="str">
        <f>_xlfn.XLOOKUP(Vendas[[#This Row],[ID Vendedor]],Vendedores[ID],Vendedores[Nome])</f>
        <v>Beatriz</v>
      </c>
      <c r="C3254" s="7" t="str">
        <f>_xlfn.XLOOKUP(Vendas[[#This Row],[ID Vendedor]],Vendedores[ID],Vendedores[Setor])</f>
        <v>SC</v>
      </c>
      <c r="D3254" s="7" t="s">
        <v>42</v>
      </c>
      <c r="E3254" t="str">
        <f>_xlfn.XLOOKUP(Vendas[[#This Row],[ID Item Vendido]],Agregado[ID],Agregado[Produto])</f>
        <v>Container de ferro industrial</v>
      </c>
      <c r="F3254" s="39">
        <v>45342</v>
      </c>
      <c r="G3254" s="7">
        <v>5</v>
      </c>
      <c r="H3254" s="3">
        <f>_xlfn.XLOOKUP(Vendas[[#This Row],[ID Item Vendido]],Agregado[ID],Agregado[Revenda])</f>
        <v>830</v>
      </c>
      <c r="I3254" s="3">
        <f>Vendas[[#This Row],[Valor Unitário]]*Vendas[[#This Row],[Qnt Vendida]]</f>
        <v>4150</v>
      </c>
      <c r="J3254" s="3">
        <f>Vendas[[#This Row],[Valor da Venda]]-(_xlfn.XLOOKUP(Vendas[[#This Row],[ID Item Vendido]],Agregado[ID],Agregado[Custo])*Vendas[[#This Row],[Qnt Vendida]])</f>
        <v>750</v>
      </c>
      <c r="K3254" s="70">
        <f>Vendas[[#This Row],[Lucro da Venda]]/Vendas[[#This Row],[Valor da Venda]]</f>
        <v>0.18072289156626506</v>
      </c>
      <c r="L325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254"/>
    </row>
    <row r="3255" spans="1:13" x14ac:dyDescent="0.3">
      <c r="A3255" s="7">
        <v>400255</v>
      </c>
      <c r="B3255" t="str">
        <f>_xlfn.XLOOKUP(Vendas[[#This Row],[ID Vendedor]],Vendedores[ID],Vendedores[Nome])</f>
        <v>Carlos</v>
      </c>
      <c r="C3255" s="7" t="str">
        <f>_xlfn.XLOOKUP(Vendas[[#This Row],[ID Vendedor]],Vendedores[ID],Vendedores[Setor])</f>
        <v>SC</v>
      </c>
      <c r="D3255" s="7" t="s">
        <v>48</v>
      </c>
      <c r="E3255" t="str">
        <f>_xlfn.XLOOKUP(Vendas[[#This Row],[ID Item Vendido]],Agregado[ID],Agregado[Produto])</f>
        <v>Tambor metálico 200L</v>
      </c>
      <c r="F3255" s="39">
        <v>45342</v>
      </c>
      <c r="G3255" s="7">
        <v>8</v>
      </c>
      <c r="H3255" s="3">
        <f>_xlfn.XLOOKUP(Vendas[[#This Row],[ID Item Vendido]],Agregado[ID],Agregado[Revenda])</f>
        <v>144</v>
      </c>
      <c r="I3255" s="3">
        <f>Vendas[[#This Row],[Valor Unitário]]*Vendas[[#This Row],[Qnt Vendida]]</f>
        <v>1152</v>
      </c>
      <c r="J3255" s="3">
        <f>Vendas[[#This Row],[Valor da Venda]]-(_xlfn.XLOOKUP(Vendas[[#This Row],[ID Item Vendido]],Agregado[ID],Agregado[Custo])*Vendas[[#This Row],[Qnt Vendida]])</f>
        <v>192</v>
      </c>
      <c r="K3255" s="70">
        <f>Vendas[[#This Row],[Lucro da Venda]]/Vendas[[#This Row],[Valor da Venda]]</f>
        <v>0.16666666666666666</v>
      </c>
      <c r="L3255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3255"/>
    </row>
    <row r="3256" spans="1:13" x14ac:dyDescent="0.3">
      <c r="A3256" s="7">
        <v>400252</v>
      </c>
      <c r="B3256" t="str">
        <f>_xlfn.XLOOKUP(Vendas[[#This Row],[ID Vendedor]],Vendedores[ID],Vendedores[Nome])</f>
        <v>Renata</v>
      </c>
      <c r="C3256" s="7" t="str">
        <f>_xlfn.XLOOKUP(Vendas[[#This Row],[ID Vendedor]],Vendedores[ID],Vendedores[Setor])</f>
        <v>AB</v>
      </c>
      <c r="D3256" s="7" t="s">
        <v>39</v>
      </c>
      <c r="E3256" t="str">
        <f>_xlfn.XLOOKUP(Vendas[[#This Row],[ID Item Vendido]],Agregado[ID],Agregado[Produto])</f>
        <v>Filme plástico industrial rolo 50m</v>
      </c>
      <c r="F3256" s="39">
        <v>45342</v>
      </c>
      <c r="G3256" s="7">
        <v>23</v>
      </c>
      <c r="H3256" s="3">
        <f>_xlfn.XLOOKUP(Vendas[[#This Row],[ID Item Vendido]],Agregado[ID],Agregado[Revenda])</f>
        <v>37</v>
      </c>
      <c r="I3256" s="3">
        <f>Vendas[[#This Row],[Valor Unitário]]*Vendas[[#This Row],[Qnt Vendida]]</f>
        <v>851</v>
      </c>
      <c r="J3256" s="3">
        <f>Vendas[[#This Row],[Valor da Venda]]-(_xlfn.XLOOKUP(Vendas[[#This Row],[ID Item Vendido]],Agregado[ID],Agregado[Custo])*Vendas[[#This Row],[Qnt Vendida]])</f>
        <v>207</v>
      </c>
      <c r="K3256" s="70">
        <f>Vendas[[#This Row],[Lucro da Venda]]/Vendas[[#This Row],[Valor da Venda]]</f>
        <v>0.24324324324324326</v>
      </c>
      <c r="L3256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3256"/>
    </row>
    <row r="3257" spans="1:13" x14ac:dyDescent="0.3">
      <c r="A3257" s="7">
        <v>400246</v>
      </c>
      <c r="B3257" t="str">
        <f>_xlfn.XLOOKUP(Vendas[[#This Row],[ID Vendedor]],Vendedores[ID],Vendedores[Nome])</f>
        <v>Juliana</v>
      </c>
      <c r="C3257" s="7" t="str">
        <f>_xlfn.XLOOKUP(Vendas[[#This Row],[ID Vendedor]],Vendedores[ID],Vendedores[Setor])</f>
        <v>AHD</v>
      </c>
      <c r="D3257" s="7" t="s">
        <v>9</v>
      </c>
      <c r="E3257" t="str">
        <f>_xlfn.XLOOKUP(Vendas[[#This Row],[ID Item Vendido]],Agregado[ID],Agregado[Produto])</f>
        <v>Barra de aço simples</v>
      </c>
      <c r="F3257" s="39">
        <v>45342</v>
      </c>
      <c r="G3257" s="7">
        <v>60</v>
      </c>
      <c r="H3257" s="3">
        <f>_xlfn.XLOOKUP(Vendas[[#This Row],[ID Item Vendido]],Agregado[ID],Agregado[Revenda])</f>
        <v>6.7</v>
      </c>
      <c r="I3257" s="3">
        <f>Vendas[[#This Row],[Valor Unitário]]*Vendas[[#This Row],[Qnt Vendida]]</f>
        <v>402</v>
      </c>
      <c r="J3257" s="3">
        <f>Vendas[[#This Row],[Valor da Venda]]-(_xlfn.XLOOKUP(Vendas[[#This Row],[ID Item Vendido]],Agregado[ID],Agregado[Custo])*Vendas[[#This Row],[Qnt Vendida]])</f>
        <v>54</v>
      </c>
      <c r="K3257" s="70">
        <f>Vendas[[#This Row],[Lucro da Venda]]/Vendas[[#This Row],[Valor da Venda]]</f>
        <v>0.13432835820895522</v>
      </c>
      <c r="L3257" s="3">
        <f>_xlfn.IFS(Vendas[[#This Row],[Margem de Lucro (%)]]&lt;15%,Vendas[[#This Row],[Valor da Venda]]*3%,Vendas[[#This Row],[Margem de Lucro (%)]]&lt;=20%,Vendas[[#This Row],[Valor da Venda]]*4.5%,TRUE,Vendas[[#This Row],[Valor da Venda]]*6%)</f>
        <v>12.059999999999999</v>
      </c>
      <c r="M3257"/>
    </row>
    <row r="3258" spans="1:13" x14ac:dyDescent="0.3">
      <c r="A3258" s="7">
        <v>400242</v>
      </c>
      <c r="B3258" t="str">
        <f>_xlfn.XLOOKUP(Vendas[[#This Row],[ID Vendedor]],Vendedores[ID],Vendedores[Nome])</f>
        <v>Fernanda</v>
      </c>
      <c r="C3258" s="7" t="str">
        <f>_xlfn.XLOOKUP(Vendas[[#This Row],[ID Vendedor]],Vendedores[ID],Vendedores[Setor])</f>
        <v>FM</v>
      </c>
      <c r="D3258" s="7" t="s">
        <v>27</v>
      </c>
      <c r="E3258" t="str">
        <f>_xlfn.XLOOKUP(Vendas[[#This Row],[ID Item Vendido]],Agregado[ID],Agregado[Produto])</f>
        <v>Chapa de metal lisa 1x2m</v>
      </c>
      <c r="F3258" s="39">
        <v>45343</v>
      </c>
      <c r="G3258" s="7">
        <v>6</v>
      </c>
      <c r="H3258" s="3">
        <f>_xlfn.XLOOKUP(Vendas[[#This Row],[ID Item Vendido]],Agregado[ID],Agregado[Revenda])</f>
        <v>52</v>
      </c>
      <c r="I3258" s="3">
        <f>Vendas[[#This Row],[Valor Unitário]]*Vendas[[#This Row],[Qnt Vendida]]</f>
        <v>312</v>
      </c>
      <c r="J3258" s="3">
        <f>Vendas[[#This Row],[Valor da Venda]]-(_xlfn.XLOOKUP(Vendas[[#This Row],[ID Item Vendido]],Agregado[ID],Agregado[Custo])*Vendas[[#This Row],[Qnt Vendida]])</f>
        <v>42</v>
      </c>
      <c r="K3258" s="70">
        <f>Vendas[[#This Row],[Lucro da Venda]]/Vendas[[#This Row],[Valor da Venda]]</f>
        <v>0.13461538461538461</v>
      </c>
      <c r="L325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3258"/>
    </row>
    <row r="3259" spans="1:13" x14ac:dyDescent="0.3">
      <c r="A3259" s="7">
        <v>400243</v>
      </c>
      <c r="B3259" t="str">
        <f>_xlfn.XLOOKUP(Vendas[[#This Row],[ID Vendedor]],Vendedores[ID],Vendedores[Nome])</f>
        <v>Marcelo</v>
      </c>
      <c r="C3259" s="7" t="str">
        <f>_xlfn.XLOOKUP(Vendas[[#This Row],[ID Vendedor]],Vendedores[ID],Vendedores[Setor])</f>
        <v>FM</v>
      </c>
      <c r="D3259" s="7" t="s">
        <v>20</v>
      </c>
      <c r="E3259" t="str">
        <f>_xlfn.XLOOKUP(Vendas[[#This Row],[ID Item Vendido]],Agregado[ID],Agregado[Produto])</f>
        <v>Barra de aço simples</v>
      </c>
      <c r="F3259" s="39">
        <v>45343</v>
      </c>
      <c r="G3259" s="7">
        <v>43</v>
      </c>
      <c r="H3259" s="3">
        <f>_xlfn.XLOOKUP(Vendas[[#This Row],[ID Item Vendido]],Agregado[ID],Agregado[Revenda])</f>
        <v>4.8</v>
      </c>
      <c r="I3259" s="3">
        <f>Vendas[[#This Row],[Valor Unitário]]*Vendas[[#This Row],[Qnt Vendida]]</f>
        <v>206.4</v>
      </c>
      <c r="J3259" s="3">
        <f>Vendas[[#This Row],[Valor da Venda]]-(_xlfn.XLOOKUP(Vendas[[#This Row],[ID Item Vendido]],Agregado[ID],Agregado[Custo])*Vendas[[#This Row],[Qnt Vendida]])</f>
        <v>25.800000000000011</v>
      </c>
      <c r="K3259" s="70">
        <f>Vendas[[#This Row],[Lucro da Venda]]/Vendas[[#This Row],[Valor da Venda]]</f>
        <v>0.12500000000000006</v>
      </c>
      <c r="L3259" s="3">
        <f>_xlfn.IFS(Vendas[[#This Row],[Margem de Lucro (%)]]&lt;15%,Vendas[[#This Row],[Valor da Venda]]*3%,Vendas[[#This Row],[Margem de Lucro (%)]]&lt;=20%,Vendas[[#This Row],[Valor da Venda]]*4.5%,TRUE,Vendas[[#This Row],[Valor da Venda]]*6%)</f>
        <v>6.1920000000000002</v>
      </c>
      <c r="M3259"/>
    </row>
    <row r="3260" spans="1:13" x14ac:dyDescent="0.3">
      <c r="A3260" s="7">
        <v>400252</v>
      </c>
      <c r="B3260" t="str">
        <f>_xlfn.XLOOKUP(Vendas[[#This Row],[ID Vendedor]],Vendedores[ID],Vendedores[Nome])</f>
        <v>Renata</v>
      </c>
      <c r="C3260" s="7" t="str">
        <f>_xlfn.XLOOKUP(Vendas[[#This Row],[ID Vendedor]],Vendedores[ID],Vendedores[Setor])</f>
        <v>AB</v>
      </c>
      <c r="D3260" s="7" t="s">
        <v>24</v>
      </c>
      <c r="E3260" t="str">
        <f>_xlfn.XLOOKUP(Vendas[[#This Row],[ID Item Vendido]],Agregado[ID],Agregado[Produto])</f>
        <v>Resina plástica PET purificada saco de 25kg</v>
      </c>
      <c r="F3260" s="39">
        <v>45344</v>
      </c>
      <c r="G3260" s="7">
        <v>11</v>
      </c>
      <c r="H3260" s="3">
        <f>_xlfn.XLOOKUP(Vendas[[#This Row],[ID Item Vendido]],Agregado[ID],Agregado[Revenda])</f>
        <v>119</v>
      </c>
      <c r="I3260" s="3">
        <f>Vendas[[#This Row],[Valor Unitário]]*Vendas[[#This Row],[Qnt Vendida]]</f>
        <v>1309</v>
      </c>
      <c r="J3260" s="3">
        <f>Vendas[[#This Row],[Valor da Venda]]-(_xlfn.XLOOKUP(Vendas[[#This Row],[ID Item Vendido]],Agregado[ID],Agregado[Custo])*Vendas[[#This Row],[Qnt Vendida]])</f>
        <v>374</v>
      </c>
      <c r="K3260" s="70">
        <f>Vendas[[#This Row],[Lucro da Venda]]/Vendas[[#This Row],[Valor da Venda]]</f>
        <v>0.2857142857142857</v>
      </c>
      <c r="L3260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3260"/>
    </row>
    <row r="3261" spans="1:13" x14ac:dyDescent="0.3">
      <c r="A3261" s="7">
        <v>400255</v>
      </c>
      <c r="B3261" t="str">
        <f>_xlfn.XLOOKUP(Vendas[[#This Row],[ID Vendedor]],Vendedores[ID],Vendedores[Nome])</f>
        <v>Carlos</v>
      </c>
      <c r="C3261" s="7" t="str">
        <f>_xlfn.XLOOKUP(Vendas[[#This Row],[ID Vendedor]],Vendedores[ID],Vendedores[Setor])</f>
        <v>SC</v>
      </c>
      <c r="D3261" s="7" t="s">
        <v>14</v>
      </c>
      <c r="E3261" t="str">
        <f>_xlfn.XLOOKUP(Vendas[[#This Row],[ID Item Vendido]],Agregado[ID],Agregado[Produto])</f>
        <v>Barril de plástico 200L</v>
      </c>
      <c r="F3261" s="39">
        <v>45344</v>
      </c>
      <c r="G3261" s="7">
        <v>2</v>
      </c>
      <c r="H3261" s="3">
        <f>_xlfn.XLOOKUP(Vendas[[#This Row],[ID Item Vendido]],Agregado[ID],Agregado[Revenda])</f>
        <v>114</v>
      </c>
      <c r="I3261" s="3">
        <f>Vendas[[#This Row],[Valor Unitário]]*Vendas[[#This Row],[Qnt Vendida]]</f>
        <v>228</v>
      </c>
      <c r="J3261" s="3">
        <f>Vendas[[#This Row],[Valor da Venda]]-(_xlfn.XLOOKUP(Vendas[[#This Row],[ID Item Vendido]],Agregado[ID],Agregado[Custo])*Vendas[[#This Row],[Qnt Vendida]])</f>
        <v>38</v>
      </c>
      <c r="K3261" s="70">
        <f>Vendas[[#This Row],[Lucro da Venda]]/Vendas[[#This Row],[Valor da Venda]]</f>
        <v>0.16666666666666666</v>
      </c>
      <c r="L3261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3261"/>
    </row>
    <row r="3262" spans="1:13" x14ac:dyDescent="0.3">
      <c r="A3262" s="7">
        <v>400254</v>
      </c>
      <c r="B3262" t="str">
        <f>_xlfn.XLOOKUP(Vendas[[#This Row],[ID Vendedor]],Vendedores[ID],Vendedores[Nome])</f>
        <v>Beatriz</v>
      </c>
      <c r="C3262" s="7" t="str">
        <f>_xlfn.XLOOKUP(Vendas[[#This Row],[ID Vendedor]],Vendedores[ID],Vendedores[Setor])</f>
        <v>SC</v>
      </c>
      <c r="D3262" s="7" t="s">
        <v>42</v>
      </c>
      <c r="E3262" t="str">
        <f>_xlfn.XLOOKUP(Vendas[[#This Row],[ID Item Vendido]],Agregado[ID],Agregado[Produto])</f>
        <v>Container de ferro industrial</v>
      </c>
      <c r="F3262" s="39">
        <v>45345</v>
      </c>
      <c r="G3262" s="7">
        <v>3</v>
      </c>
      <c r="H3262" s="3">
        <f>_xlfn.XLOOKUP(Vendas[[#This Row],[ID Item Vendido]],Agregado[ID],Agregado[Revenda])</f>
        <v>830</v>
      </c>
      <c r="I3262" s="3">
        <f>Vendas[[#This Row],[Valor Unitário]]*Vendas[[#This Row],[Qnt Vendida]]</f>
        <v>2490</v>
      </c>
      <c r="J3262" s="3">
        <f>Vendas[[#This Row],[Valor da Venda]]-(_xlfn.XLOOKUP(Vendas[[#This Row],[ID Item Vendido]],Agregado[ID],Agregado[Custo])*Vendas[[#This Row],[Qnt Vendida]])</f>
        <v>450</v>
      </c>
      <c r="K3262" s="70">
        <f>Vendas[[#This Row],[Lucro da Venda]]/Vendas[[#This Row],[Valor da Venda]]</f>
        <v>0.18072289156626506</v>
      </c>
      <c r="L3262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262"/>
    </row>
    <row r="3263" spans="1:13" x14ac:dyDescent="0.3">
      <c r="A3263" s="7">
        <v>400251</v>
      </c>
      <c r="B3263" t="str">
        <f>_xlfn.XLOOKUP(Vendas[[#This Row],[ID Vendedor]],Vendedores[ID],Vendedores[Nome])</f>
        <v>Diego</v>
      </c>
      <c r="C3263" s="7" t="str">
        <f>_xlfn.XLOOKUP(Vendas[[#This Row],[ID Vendedor]],Vendedores[ID],Vendedores[Setor])</f>
        <v>AB</v>
      </c>
      <c r="D3263" s="7" t="s">
        <v>37</v>
      </c>
      <c r="E3263" t="str">
        <f>_xlfn.XLOOKUP(Vendas[[#This Row],[ID Item Vendido]],Agregado[ID],Agregado[Produto])</f>
        <v>Composto de borracha para vedação rolo 10m</v>
      </c>
      <c r="F3263" s="39">
        <v>45345</v>
      </c>
      <c r="G3263" s="7">
        <v>7</v>
      </c>
      <c r="H3263" s="3">
        <f>_xlfn.XLOOKUP(Vendas[[#This Row],[ID Item Vendido]],Agregado[ID],Agregado[Revenda])</f>
        <v>51.2</v>
      </c>
      <c r="I3263" s="3">
        <f>Vendas[[#This Row],[Valor Unitário]]*Vendas[[#This Row],[Qnt Vendida]]</f>
        <v>358.40000000000003</v>
      </c>
      <c r="J3263" s="3">
        <f>Vendas[[#This Row],[Valor da Venda]]-(_xlfn.XLOOKUP(Vendas[[#This Row],[ID Item Vendido]],Agregado[ID],Agregado[Custo])*Vendas[[#This Row],[Qnt Vendida]])</f>
        <v>78.400000000000034</v>
      </c>
      <c r="K3263" s="70">
        <f>Vendas[[#This Row],[Lucro da Venda]]/Vendas[[#This Row],[Valor da Venda]]</f>
        <v>0.21875000000000008</v>
      </c>
      <c r="L3263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3263"/>
    </row>
    <row r="3264" spans="1:13" x14ac:dyDescent="0.3">
      <c r="A3264" s="7">
        <v>400244</v>
      </c>
      <c r="B3264" t="str">
        <f>_xlfn.XLOOKUP(Vendas[[#This Row],[ID Vendedor]],Vendedores[ID],Vendedores[Nome])</f>
        <v>Camila</v>
      </c>
      <c r="C3264" s="7" t="str">
        <f>_xlfn.XLOOKUP(Vendas[[#This Row],[ID Vendedor]],Vendedores[ID],Vendedores[Setor])</f>
        <v>AHD</v>
      </c>
      <c r="D3264" s="7" t="s">
        <v>9</v>
      </c>
      <c r="E3264" t="str">
        <f>_xlfn.XLOOKUP(Vendas[[#This Row],[ID Item Vendido]],Agregado[ID],Agregado[Produto])</f>
        <v>Barra de aço simples</v>
      </c>
      <c r="F3264" s="39">
        <v>45346</v>
      </c>
      <c r="G3264" s="7">
        <v>124</v>
      </c>
      <c r="H3264" s="3">
        <f>_xlfn.XLOOKUP(Vendas[[#This Row],[ID Item Vendido]],Agregado[ID],Agregado[Revenda])</f>
        <v>6.7</v>
      </c>
      <c r="I3264" s="3">
        <f>Vendas[[#This Row],[Valor Unitário]]*Vendas[[#This Row],[Qnt Vendida]]</f>
        <v>830.80000000000007</v>
      </c>
      <c r="J3264" s="3">
        <f>Vendas[[#This Row],[Valor da Venda]]-(_xlfn.XLOOKUP(Vendas[[#This Row],[ID Item Vendido]],Agregado[ID],Agregado[Custo])*Vendas[[#This Row],[Qnt Vendida]])</f>
        <v>111.60000000000014</v>
      </c>
      <c r="K3264" s="70">
        <f>Vendas[[#This Row],[Lucro da Venda]]/Vendas[[#This Row],[Valor da Venda]]</f>
        <v>0.13432835820895539</v>
      </c>
      <c r="L3264" s="3">
        <f>_xlfn.IFS(Vendas[[#This Row],[Margem de Lucro (%)]]&lt;15%,Vendas[[#This Row],[Valor da Venda]]*3%,Vendas[[#This Row],[Margem de Lucro (%)]]&lt;=20%,Vendas[[#This Row],[Valor da Venda]]*4.5%,TRUE,Vendas[[#This Row],[Valor da Venda]]*6%)</f>
        <v>24.923999999999999</v>
      </c>
      <c r="M3264"/>
    </row>
    <row r="3265" spans="1:13" x14ac:dyDescent="0.3">
      <c r="A3265" s="7">
        <v>400246</v>
      </c>
      <c r="B3265" t="str">
        <f>_xlfn.XLOOKUP(Vendas[[#This Row],[ID Vendedor]],Vendedores[ID],Vendedores[Nome])</f>
        <v>Juliana</v>
      </c>
      <c r="C3265" s="7" t="str">
        <f>_xlfn.XLOOKUP(Vendas[[#This Row],[ID Vendedor]],Vendedores[ID],Vendedores[Setor])</f>
        <v>AHD</v>
      </c>
      <c r="D3265" s="7" t="s">
        <v>30</v>
      </c>
      <c r="E3265" t="str">
        <f>_xlfn.XLOOKUP(Vendas[[#This Row],[ID Item Vendido]],Agregado[ID],Agregado[Produto])</f>
        <v>Estrutura metálica soldada</v>
      </c>
      <c r="F3265" s="39">
        <v>45347</v>
      </c>
      <c r="G3265" s="7">
        <v>5</v>
      </c>
      <c r="H3265" s="3">
        <f>_xlfn.XLOOKUP(Vendas[[#This Row],[ID Item Vendido]],Agregado[ID],Agregado[Revenda])</f>
        <v>400</v>
      </c>
      <c r="I3265" s="3">
        <f>Vendas[[#This Row],[Valor Unitário]]*Vendas[[#This Row],[Qnt Vendida]]</f>
        <v>2000</v>
      </c>
      <c r="J3265" s="3">
        <f>Vendas[[#This Row],[Valor da Venda]]-(_xlfn.XLOOKUP(Vendas[[#This Row],[ID Item Vendido]],Agregado[ID],Agregado[Custo])*Vendas[[#This Row],[Qnt Vendida]])</f>
        <v>400</v>
      </c>
      <c r="K3265" s="70">
        <f>Vendas[[#This Row],[Lucro da Venda]]/Vendas[[#This Row],[Valor da Venda]]</f>
        <v>0.2</v>
      </c>
      <c r="L3265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265"/>
    </row>
    <row r="3266" spans="1:13" x14ac:dyDescent="0.3">
      <c r="A3266" s="7">
        <v>400254</v>
      </c>
      <c r="B3266" t="str">
        <f>_xlfn.XLOOKUP(Vendas[[#This Row],[ID Vendedor]],Vendedores[ID],Vendedores[Nome])</f>
        <v>Beatriz</v>
      </c>
      <c r="C3266" s="7" t="str">
        <f>_xlfn.XLOOKUP(Vendas[[#This Row],[ID Vendedor]],Vendedores[ID],Vendedores[Setor])</f>
        <v>SC</v>
      </c>
      <c r="D3266" s="7" t="s">
        <v>14</v>
      </c>
      <c r="E3266" t="str">
        <f>_xlfn.XLOOKUP(Vendas[[#This Row],[ID Item Vendido]],Agregado[ID],Agregado[Produto])</f>
        <v>Barril de plástico 200L</v>
      </c>
      <c r="F3266" s="39">
        <v>45347</v>
      </c>
      <c r="G3266" s="7">
        <v>14</v>
      </c>
      <c r="H3266" s="3">
        <f>_xlfn.XLOOKUP(Vendas[[#This Row],[ID Item Vendido]],Agregado[ID],Agregado[Revenda])</f>
        <v>114</v>
      </c>
      <c r="I3266" s="3">
        <f>Vendas[[#This Row],[Valor Unitário]]*Vendas[[#This Row],[Qnt Vendida]]</f>
        <v>1596</v>
      </c>
      <c r="J3266" s="3">
        <f>Vendas[[#This Row],[Valor da Venda]]-(_xlfn.XLOOKUP(Vendas[[#This Row],[ID Item Vendido]],Agregado[ID],Agregado[Custo])*Vendas[[#This Row],[Qnt Vendida]])</f>
        <v>266</v>
      </c>
      <c r="K3266" s="70">
        <f>Vendas[[#This Row],[Lucro da Venda]]/Vendas[[#This Row],[Valor da Venda]]</f>
        <v>0.16666666666666666</v>
      </c>
      <c r="L3266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3266"/>
    </row>
    <row r="3267" spans="1:13" x14ac:dyDescent="0.3">
      <c r="A3267" s="7">
        <v>400243</v>
      </c>
      <c r="B3267" t="str">
        <f>_xlfn.XLOOKUP(Vendas[[#This Row],[ID Vendedor]],Vendedores[ID],Vendedores[Nome])</f>
        <v>Marcelo</v>
      </c>
      <c r="C3267" s="7" t="str">
        <f>_xlfn.XLOOKUP(Vendas[[#This Row],[ID Vendedor]],Vendedores[ID],Vendedores[Setor])</f>
        <v>FM</v>
      </c>
      <c r="D3267" s="7" t="s">
        <v>27</v>
      </c>
      <c r="E3267" t="str">
        <f>_xlfn.XLOOKUP(Vendas[[#This Row],[ID Item Vendido]],Agregado[ID],Agregado[Produto])</f>
        <v>Chapa de metal lisa 1x2m</v>
      </c>
      <c r="F3267" s="39">
        <v>45347</v>
      </c>
      <c r="G3267" s="7">
        <v>28</v>
      </c>
      <c r="H3267" s="3">
        <f>_xlfn.XLOOKUP(Vendas[[#This Row],[ID Item Vendido]],Agregado[ID],Agregado[Revenda])</f>
        <v>52</v>
      </c>
      <c r="I3267" s="3">
        <f>Vendas[[#This Row],[Valor Unitário]]*Vendas[[#This Row],[Qnt Vendida]]</f>
        <v>1456</v>
      </c>
      <c r="J3267" s="3">
        <f>Vendas[[#This Row],[Valor da Venda]]-(_xlfn.XLOOKUP(Vendas[[#This Row],[ID Item Vendido]],Agregado[ID],Agregado[Custo])*Vendas[[#This Row],[Qnt Vendida]])</f>
        <v>196</v>
      </c>
      <c r="K3267" s="70">
        <f>Vendas[[#This Row],[Lucro da Venda]]/Vendas[[#This Row],[Valor da Venda]]</f>
        <v>0.13461538461538461</v>
      </c>
      <c r="L3267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3267"/>
    </row>
    <row r="3268" spans="1:13" x14ac:dyDescent="0.3">
      <c r="A3268" s="7">
        <v>400248</v>
      </c>
      <c r="B3268" t="str">
        <f>_xlfn.XLOOKUP(Vendas[[#This Row],[ID Vendedor]],Vendedores[ID],Vendedores[Nome])</f>
        <v>Patrícia</v>
      </c>
      <c r="C3268" s="7" t="str">
        <f>_xlfn.XLOOKUP(Vendas[[#This Row],[ID Vendedor]],Vendedores[ID],Vendedores[Setor])</f>
        <v>CM</v>
      </c>
      <c r="D3268" s="7" t="s">
        <v>32</v>
      </c>
      <c r="E3268" t="str">
        <f>_xlfn.XLOOKUP(Vendas[[#This Row],[ID Item Vendido]],Agregado[ID],Agregado[Produto])</f>
        <v>Tábua tratada e cortada 3m</v>
      </c>
      <c r="F3268" s="39">
        <v>45347</v>
      </c>
      <c r="G3268" s="7">
        <v>31</v>
      </c>
      <c r="H3268" s="3">
        <f>_xlfn.XLOOKUP(Vendas[[#This Row],[ID Item Vendido]],Agregado[ID],Agregado[Revenda])</f>
        <v>39</v>
      </c>
      <c r="I3268" s="3">
        <f>Vendas[[#This Row],[Valor Unitário]]*Vendas[[#This Row],[Qnt Vendida]]</f>
        <v>1209</v>
      </c>
      <c r="J3268" s="3">
        <f>Vendas[[#This Row],[Valor da Venda]]-(_xlfn.XLOOKUP(Vendas[[#This Row],[ID Item Vendido]],Agregado[ID],Agregado[Custo])*Vendas[[#This Row],[Qnt Vendida]])</f>
        <v>217</v>
      </c>
      <c r="K3268" s="70">
        <f>Vendas[[#This Row],[Lucro da Venda]]/Vendas[[#This Row],[Valor da Venda]]</f>
        <v>0.17948717948717949</v>
      </c>
      <c r="L3268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3268"/>
    </row>
    <row r="3269" spans="1:13" x14ac:dyDescent="0.3">
      <c r="A3269" s="7">
        <v>400253</v>
      </c>
      <c r="B3269" t="str">
        <f>_xlfn.XLOOKUP(Vendas[[#This Row],[ID Vendedor]],Vendedores[ID],Vendedores[Nome])</f>
        <v>Gustavo</v>
      </c>
      <c r="C3269" s="7" t="str">
        <f>_xlfn.XLOOKUP(Vendas[[#This Row],[ID Vendedor]],Vendedores[ID],Vendedores[Setor])</f>
        <v>SC</v>
      </c>
      <c r="D3269" s="7" t="s">
        <v>25</v>
      </c>
      <c r="E3269" t="str">
        <f>_xlfn.XLOOKUP(Vendas[[#This Row],[ID Item Vendido]],Agregado[ID],Agregado[Produto])</f>
        <v>Palete de plástico</v>
      </c>
      <c r="F3269" s="39">
        <v>45347</v>
      </c>
      <c r="G3269" s="7">
        <v>11</v>
      </c>
      <c r="H3269" s="3">
        <f>_xlfn.XLOOKUP(Vendas[[#This Row],[ID Item Vendido]],Agregado[ID],Agregado[Revenda])</f>
        <v>70.8</v>
      </c>
      <c r="I3269" s="3">
        <f>Vendas[[#This Row],[Valor Unitário]]*Vendas[[#This Row],[Qnt Vendida]]</f>
        <v>778.8</v>
      </c>
      <c r="J3269" s="3">
        <f>Vendas[[#This Row],[Valor da Venda]]-(_xlfn.XLOOKUP(Vendas[[#This Row],[ID Item Vendido]],Agregado[ID],Agregado[Custo])*Vendas[[#This Row],[Qnt Vendida]])</f>
        <v>118.79999999999995</v>
      </c>
      <c r="K3269" s="70">
        <f>Vendas[[#This Row],[Lucro da Venda]]/Vendas[[#This Row],[Valor da Venda]]</f>
        <v>0.15254237288135589</v>
      </c>
      <c r="L3269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3269"/>
    </row>
    <row r="3270" spans="1:13" x14ac:dyDescent="0.3">
      <c r="A3270" s="7">
        <v>400242</v>
      </c>
      <c r="B3270" t="str">
        <f>_xlfn.XLOOKUP(Vendas[[#This Row],[ID Vendedor]],Vendedores[ID],Vendedores[Nome])</f>
        <v>Fernanda</v>
      </c>
      <c r="C3270" s="7" t="str">
        <f>_xlfn.XLOOKUP(Vendas[[#This Row],[ID Vendedor]],Vendedores[ID],Vendedores[Setor])</f>
        <v>FM</v>
      </c>
      <c r="D3270" s="7" t="s">
        <v>31</v>
      </c>
      <c r="E3270" t="str">
        <f>_xlfn.XLOOKUP(Vendas[[#This Row],[ID Item Vendido]],Agregado[ID],Agregado[Produto])</f>
        <v>Tela de metal soldada rolo 2x25m</v>
      </c>
      <c r="F3270" s="39">
        <v>45347</v>
      </c>
      <c r="G3270" s="7">
        <v>10</v>
      </c>
      <c r="H3270" s="3">
        <f>_xlfn.XLOOKUP(Vendas[[#This Row],[ID Item Vendido]],Agregado[ID],Agregado[Revenda])</f>
        <v>43.7</v>
      </c>
      <c r="I3270" s="3">
        <f>Vendas[[#This Row],[Valor Unitário]]*Vendas[[#This Row],[Qnt Vendida]]</f>
        <v>437</v>
      </c>
      <c r="J3270" s="3">
        <f>Vendas[[#This Row],[Valor da Venda]]-(_xlfn.XLOOKUP(Vendas[[#This Row],[ID Item Vendido]],Agregado[ID],Agregado[Custo])*Vendas[[#This Row],[Qnt Vendida]])</f>
        <v>57</v>
      </c>
      <c r="K3270" s="70">
        <f>Vendas[[#This Row],[Lucro da Venda]]/Vendas[[#This Row],[Valor da Venda]]</f>
        <v>0.13043478260869565</v>
      </c>
      <c r="L3270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3270"/>
    </row>
    <row r="3271" spans="1:13" x14ac:dyDescent="0.3">
      <c r="A3271" s="7">
        <v>400247</v>
      </c>
      <c r="B3271" t="str">
        <f>_xlfn.XLOOKUP(Vendas[[#This Row],[ID Vendedor]],Vendedores[ID],Vendedores[Nome])</f>
        <v>André</v>
      </c>
      <c r="C3271" s="7" t="str">
        <f>_xlfn.XLOOKUP(Vendas[[#This Row],[ID Vendedor]],Vendedores[ID],Vendedores[Setor])</f>
        <v>CM</v>
      </c>
      <c r="D3271" s="7" t="s">
        <v>43</v>
      </c>
      <c r="E3271" t="str">
        <f>_xlfn.XLOOKUP(Vendas[[#This Row],[ID Item Vendido]],Agregado[ID],Agregado[Produto])</f>
        <v>Madeira Bruta (Tora)</v>
      </c>
      <c r="F3271" s="39">
        <v>45347</v>
      </c>
      <c r="G3271" s="7">
        <v>2</v>
      </c>
      <c r="H3271" s="3">
        <f>_xlfn.XLOOKUP(Vendas[[#This Row],[ID Item Vendido]],Agregado[ID],Agregado[Revenda])</f>
        <v>212</v>
      </c>
      <c r="I3271" s="3">
        <f>Vendas[[#This Row],[Valor Unitário]]*Vendas[[#This Row],[Qnt Vendida]]</f>
        <v>424</v>
      </c>
      <c r="J3271" s="3">
        <f>Vendas[[#This Row],[Valor da Venda]]-(_xlfn.XLOOKUP(Vendas[[#This Row],[ID Item Vendido]],Agregado[ID],Agregado[Custo])*Vendas[[#This Row],[Qnt Vendida]])</f>
        <v>64</v>
      </c>
      <c r="K3271" s="70">
        <f>Vendas[[#This Row],[Lucro da Venda]]/Vendas[[#This Row],[Valor da Venda]]</f>
        <v>0.15094339622641509</v>
      </c>
      <c r="L3271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271"/>
    </row>
    <row r="3272" spans="1:13" x14ac:dyDescent="0.3">
      <c r="A3272" s="7">
        <v>400248</v>
      </c>
      <c r="B3272" t="str">
        <f>_xlfn.XLOOKUP(Vendas[[#This Row],[ID Vendedor]],Vendedores[ID],Vendedores[Nome])</f>
        <v>Patrícia</v>
      </c>
      <c r="C3272" s="7" t="str">
        <f>_xlfn.XLOOKUP(Vendas[[#This Row],[ID Vendedor]],Vendedores[ID],Vendedores[Setor])</f>
        <v>CM</v>
      </c>
      <c r="D3272" s="7" t="s">
        <v>43</v>
      </c>
      <c r="E3272" t="str">
        <f>_xlfn.XLOOKUP(Vendas[[#This Row],[ID Item Vendido]],Agregado[ID],Agregado[Produto])</f>
        <v>Madeira Bruta (Tora)</v>
      </c>
      <c r="F3272" s="39">
        <v>45348</v>
      </c>
      <c r="G3272" s="7">
        <v>12</v>
      </c>
      <c r="H3272" s="3">
        <f>_xlfn.XLOOKUP(Vendas[[#This Row],[ID Item Vendido]],Agregado[ID],Agregado[Revenda])</f>
        <v>212</v>
      </c>
      <c r="I3272" s="3">
        <f>Vendas[[#This Row],[Valor Unitário]]*Vendas[[#This Row],[Qnt Vendida]]</f>
        <v>2544</v>
      </c>
      <c r="J3272" s="3">
        <f>Vendas[[#This Row],[Valor da Venda]]-(_xlfn.XLOOKUP(Vendas[[#This Row],[ID Item Vendido]],Agregado[ID],Agregado[Custo])*Vendas[[#This Row],[Qnt Vendida]])</f>
        <v>384</v>
      </c>
      <c r="K3272" s="70">
        <f>Vendas[[#This Row],[Lucro da Venda]]/Vendas[[#This Row],[Valor da Venda]]</f>
        <v>0.15094339622641509</v>
      </c>
      <c r="L3272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3272"/>
    </row>
    <row r="3273" spans="1:13" x14ac:dyDescent="0.3">
      <c r="A3273" s="7">
        <v>400252</v>
      </c>
      <c r="B3273" t="str">
        <f>_xlfn.XLOOKUP(Vendas[[#This Row],[ID Vendedor]],Vendedores[ID],Vendedores[Nome])</f>
        <v>Renata</v>
      </c>
      <c r="C3273" s="7" t="str">
        <f>_xlfn.XLOOKUP(Vendas[[#This Row],[ID Vendedor]],Vendedores[ID],Vendedores[Setor])</f>
        <v>AB</v>
      </c>
      <c r="D3273" s="7" t="s">
        <v>39</v>
      </c>
      <c r="E3273" t="str">
        <f>_xlfn.XLOOKUP(Vendas[[#This Row],[ID Item Vendido]],Agregado[ID],Agregado[Produto])</f>
        <v>Filme plástico industrial rolo 50m</v>
      </c>
      <c r="F3273" s="39">
        <v>45348</v>
      </c>
      <c r="G3273" s="7">
        <v>5</v>
      </c>
      <c r="H3273" s="3">
        <f>_xlfn.XLOOKUP(Vendas[[#This Row],[ID Item Vendido]],Agregado[ID],Agregado[Revenda])</f>
        <v>37</v>
      </c>
      <c r="I3273" s="3">
        <f>Vendas[[#This Row],[Valor Unitário]]*Vendas[[#This Row],[Qnt Vendida]]</f>
        <v>185</v>
      </c>
      <c r="J3273" s="3">
        <f>Vendas[[#This Row],[Valor da Venda]]-(_xlfn.XLOOKUP(Vendas[[#This Row],[ID Item Vendido]],Agregado[ID],Agregado[Custo])*Vendas[[#This Row],[Qnt Vendida]])</f>
        <v>45</v>
      </c>
      <c r="K3273" s="70">
        <f>Vendas[[#This Row],[Lucro da Venda]]/Vendas[[#This Row],[Valor da Venda]]</f>
        <v>0.24324324324324326</v>
      </c>
      <c r="L3273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3273"/>
    </row>
    <row r="3274" spans="1:13" x14ac:dyDescent="0.3">
      <c r="A3274" s="7">
        <v>400252</v>
      </c>
      <c r="B3274" t="str">
        <f>_xlfn.XLOOKUP(Vendas[[#This Row],[ID Vendedor]],Vendedores[ID],Vendedores[Nome])</f>
        <v>Renata</v>
      </c>
      <c r="C3274" s="7" t="str">
        <f>_xlfn.XLOOKUP(Vendas[[#This Row],[ID Vendedor]],Vendedores[ID],Vendedores[Setor])</f>
        <v>AB</v>
      </c>
      <c r="D3274" s="7" t="s">
        <v>36</v>
      </c>
      <c r="E3274" t="str">
        <f>_xlfn.XLOOKUP(Vendas[[#This Row],[ID Item Vendido]],Agregado[ID],Agregado[Produto])</f>
        <v>Borracha vulcanizada em manta</v>
      </c>
      <c r="F3274" s="39">
        <v>45349</v>
      </c>
      <c r="G3274" s="7">
        <v>70</v>
      </c>
      <c r="H3274" s="3">
        <f>_xlfn.XLOOKUP(Vendas[[#This Row],[ID Item Vendido]],Agregado[ID],Agregado[Revenda])</f>
        <v>7.8</v>
      </c>
      <c r="I3274" s="3">
        <f>Vendas[[#This Row],[Valor Unitário]]*Vendas[[#This Row],[Qnt Vendida]]</f>
        <v>546</v>
      </c>
      <c r="J3274" s="3">
        <f>Vendas[[#This Row],[Valor da Venda]]-(_xlfn.XLOOKUP(Vendas[[#This Row],[ID Item Vendido]],Agregado[ID],Agregado[Custo])*Vendas[[#This Row],[Qnt Vendida]])</f>
        <v>126</v>
      </c>
      <c r="K3274" s="70">
        <f>Vendas[[#This Row],[Lucro da Venda]]/Vendas[[#This Row],[Valor da Venda]]</f>
        <v>0.23076923076923078</v>
      </c>
      <c r="L3274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3274"/>
    </row>
    <row r="3275" spans="1:13" x14ac:dyDescent="0.3">
      <c r="A3275" s="7">
        <v>400248</v>
      </c>
      <c r="B3275" t="str">
        <f>_xlfn.XLOOKUP(Vendas[[#This Row],[ID Vendedor]],Vendedores[ID],Vendedores[Nome])</f>
        <v>Patrícia</v>
      </c>
      <c r="C3275" s="7" t="str">
        <f>_xlfn.XLOOKUP(Vendas[[#This Row],[ID Vendedor]],Vendedores[ID],Vendedores[Setor])</f>
        <v>CM</v>
      </c>
      <c r="D3275" s="7" t="s">
        <v>32</v>
      </c>
      <c r="E3275" t="str">
        <f>_xlfn.XLOOKUP(Vendas[[#This Row],[ID Item Vendido]],Agregado[ID],Agregado[Produto])</f>
        <v>Tábua tratada e cortada 3m</v>
      </c>
      <c r="F3275" s="39">
        <v>45349</v>
      </c>
      <c r="G3275" s="7">
        <v>12</v>
      </c>
      <c r="H3275" s="3">
        <f>_xlfn.XLOOKUP(Vendas[[#This Row],[ID Item Vendido]],Agregado[ID],Agregado[Revenda])</f>
        <v>39</v>
      </c>
      <c r="I3275" s="3">
        <f>Vendas[[#This Row],[Valor Unitário]]*Vendas[[#This Row],[Qnt Vendida]]</f>
        <v>468</v>
      </c>
      <c r="J3275" s="3">
        <f>Vendas[[#This Row],[Valor da Venda]]-(_xlfn.XLOOKUP(Vendas[[#This Row],[ID Item Vendido]],Agregado[ID],Agregado[Custo])*Vendas[[#This Row],[Qnt Vendida]])</f>
        <v>84</v>
      </c>
      <c r="K3275" s="70">
        <f>Vendas[[#This Row],[Lucro da Venda]]/Vendas[[#This Row],[Valor da Venda]]</f>
        <v>0.17948717948717949</v>
      </c>
      <c r="L3275" s="3">
        <f>_xlfn.IFS(Vendas[[#This Row],[Margem de Lucro (%)]]&lt;15%,Vendas[[#This Row],[Valor da Venda]]*3%,Vendas[[#This Row],[Margem de Lucro (%)]]&lt;=20%,Vendas[[#This Row],[Valor da Venda]]*4.5%,TRUE,Vendas[[#This Row],[Valor da Venda]]*6%)</f>
        <v>21.06</v>
      </c>
      <c r="M3275"/>
    </row>
    <row r="3276" spans="1:13" x14ac:dyDescent="0.3">
      <c r="A3276" s="7">
        <v>400254</v>
      </c>
      <c r="B3276" t="str">
        <f>_xlfn.XLOOKUP(Vendas[[#This Row],[ID Vendedor]],Vendedores[ID],Vendedores[Nome])</f>
        <v>Beatriz</v>
      </c>
      <c r="C3276" s="7" t="str">
        <f>_xlfn.XLOOKUP(Vendas[[#This Row],[ID Vendedor]],Vendedores[ID],Vendedores[Setor])</f>
        <v>SC</v>
      </c>
      <c r="D3276" s="7" t="s">
        <v>14</v>
      </c>
      <c r="E3276" t="str">
        <f>_xlfn.XLOOKUP(Vendas[[#This Row],[ID Item Vendido]],Agregado[ID],Agregado[Produto])</f>
        <v>Barril de plástico 200L</v>
      </c>
      <c r="F3276" s="39">
        <v>45350</v>
      </c>
      <c r="G3276" s="7">
        <v>25</v>
      </c>
      <c r="H3276" s="3">
        <f>_xlfn.XLOOKUP(Vendas[[#This Row],[ID Item Vendido]],Agregado[ID],Agregado[Revenda])</f>
        <v>114</v>
      </c>
      <c r="I3276" s="3">
        <f>Vendas[[#This Row],[Valor Unitário]]*Vendas[[#This Row],[Qnt Vendida]]</f>
        <v>2850</v>
      </c>
      <c r="J3276" s="3">
        <f>Vendas[[#This Row],[Valor da Venda]]-(_xlfn.XLOOKUP(Vendas[[#This Row],[ID Item Vendido]],Agregado[ID],Agregado[Custo])*Vendas[[#This Row],[Qnt Vendida]])</f>
        <v>475</v>
      </c>
      <c r="K3276" s="70">
        <f>Vendas[[#This Row],[Lucro da Venda]]/Vendas[[#This Row],[Valor da Venda]]</f>
        <v>0.16666666666666666</v>
      </c>
      <c r="L3276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3276"/>
    </row>
    <row r="3277" spans="1:13" x14ac:dyDescent="0.3">
      <c r="A3277" s="7">
        <v>400251</v>
      </c>
      <c r="B3277" t="str">
        <f>_xlfn.XLOOKUP(Vendas[[#This Row],[ID Vendedor]],Vendedores[ID],Vendedores[Nome])</f>
        <v>Diego</v>
      </c>
      <c r="C3277" s="7" t="str">
        <f>_xlfn.XLOOKUP(Vendas[[#This Row],[ID Vendedor]],Vendedores[ID],Vendedores[Setor])</f>
        <v>AB</v>
      </c>
      <c r="D3277" s="7" t="s">
        <v>24</v>
      </c>
      <c r="E3277" t="str">
        <f>_xlfn.XLOOKUP(Vendas[[#This Row],[ID Item Vendido]],Agregado[ID],Agregado[Produto])</f>
        <v>Resina plástica PET purificada saco de 25kg</v>
      </c>
      <c r="F3277" s="39">
        <v>45350</v>
      </c>
      <c r="G3277" s="7">
        <v>9</v>
      </c>
      <c r="H3277" s="3">
        <f>_xlfn.XLOOKUP(Vendas[[#This Row],[ID Item Vendido]],Agregado[ID],Agregado[Revenda])</f>
        <v>119</v>
      </c>
      <c r="I3277" s="3">
        <f>Vendas[[#This Row],[Valor Unitário]]*Vendas[[#This Row],[Qnt Vendida]]</f>
        <v>1071</v>
      </c>
      <c r="J3277" s="3">
        <f>Vendas[[#This Row],[Valor da Venda]]-(_xlfn.XLOOKUP(Vendas[[#This Row],[ID Item Vendido]],Agregado[ID],Agregado[Custo])*Vendas[[#This Row],[Qnt Vendida]])</f>
        <v>306</v>
      </c>
      <c r="K3277" s="70">
        <f>Vendas[[#This Row],[Lucro da Venda]]/Vendas[[#This Row],[Valor da Venda]]</f>
        <v>0.2857142857142857</v>
      </c>
      <c r="L3277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3277"/>
    </row>
    <row r="3278" spans="1:13" x14ac:dyDescent="0.3">
      <c r="A3278" s="7">
        <v>400243</v>
      </c>
      <c r="B3278" t="str">
        <f>_xlfn.XLOOKUP(Vendas[[#This Row],[ID Vendedor]],Vendedores[ID],Vendedores[Nome])</f>
        <v>Marcelo</v>
      </c>
      <c r="C3278" s="7" t="str">
        <f>_xlfn.XLOOKUP(Vendas[[#This Row],[ID Vendedor]],Vendedores[ID],Vendedores[Setor])</f>
        <v>FM</v>
      </c>
      <c r="D3278" s="7" t="s">
        <v>31</v>
      </c>
      <c r="E3278" t="str">
        <f>_xlfn.XLOOKUP(Vendas[[#This Row],[ID Item Vendido]],Agregado[ID],Agregado[Produto])</f>
        <v>Tela de metal soldada rolo 2x25m</v>
      </c>
      <c r="F3278" s="39">
        <v>45350</v>
      </c>
      <c r="G3278" s="7">
        <v>19</v>
      </c>
      <c r="H3278" s="3">
        <f>_xlfn.XLOOKUP(Vendas[[#This Row],[ID Item Vendido]],Agregado[ID],Agregado[Revenda])</f>
        <v>43.7</v>
      </c>
      <c r="I3278" s="3">
        <f>Vendas[[#This Row],[Valor Unitário]]*Vendas[[#This Row],[Qnt Vendida]]</f>
        <v>830.30000000000007</v>
      </c>
      <c r="J3278" s="3">
        <f>Vendas[[#This Row],[Valor da Venda]]-(_xlfn.XLOOKUP(Vendas[[#This Row],[ID Item Vendido]],Agregado[ID],Agregado[Custo])*Vendas[[#This Row],[Qnt Vendida]])</f>
        <v>108.30000000000007</v>
      </c>
      <c r="K3278" s="70">
        <f>Vendas[[#This Row],[Lucro da Venda]]/Vendas[[#This Row],[Valor da Venda]]</f>
        <v>0.13043478260869573</v>
      </c>
      <c r="L3278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3278"/>
    </row>
    <row r="3279" spans="1:13" x14ac:dyDescent="0.3">
      <c r="A3279" s="7">
        <v>400241</v>
      </c>
      <c r="B3279" t="str">
        <f>_xlfn.XLOOKUP(Vendas[[#This Row],[ID Vendedor]],Vendedores[ID],Vendedores[Nome])</f>
        <v>Rodrigo</v>
      </c>
      <c r="C3279" s="7" t="str">
        <f>_xlfn.XLOOKUP(Vendas[[#This Row],[ID Vendedor]],Vendedores[ID],Vendedores[Setor])</f>
        <v>FM</v>
      </c>
      <c r="D3279" s="7" t="s">
        <v>27</v>
      </c>
      <c r="E3279" t="str">
        <f>_xlfn.XLOOKUP(Vendas[[#This Row],[ID Item Vendido]],Agregado[ID],Agregado[Produto])</f>
        <v>Chapa de metal lisa 1x2m</v>
      </c>
      <c r="F3279" s="39">
        <v>45350</v>
      </c>
      <c r="G3279" s="7">
        <v>15</v>
      </c>
      <c r="H3279" s="3">
        <f>_xlfn.XLOOKUP(Vendas[[#This Row],[ID Item Vendido]],Agregado[ID],Agregado[Revenda])</f>
        <v>52</v>
      </c>
      <c r="I3279" s="3">
        <f>Vendas[[#This Row],[Valor Unitário]]*Vendas[[#This Row],[Qnt Vendida]]</f>
        <v>780</v>
      </c>
      <c r="J3279" s="3">
        <f>Vendas[[#This Row],[Valor da Venda]]-(_xlfn.XLOOKUP(Vendas[[#This Row],[ID Item Vendido]],Agregado[ID],Agregado[Custo])*Vendas[[#This Row],[Qnt Vendida]])</f>
        <v>105</v>
      </c>
      <c r="K3279" s="70">
        <f>Vendas[[#This Row],[Lucro da Venda]]/Vendas[[#This Row],[Valor da Venda]]</f>
        <v>0.13461538461538461</v>
      </c>
      <c r="L3279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3279"/>
    </row>
    <row r="3280" spans="1:13" x14ac:dyDescent="0.3">
      <c r="A3280" s="7">
        <v>400250</v>
      </c>
      <c r="B3280" t="str">
        <f>_xlfn.XLOOKUP(Vendas[[#This Row],[ID Vendedor]],Vendedores[ID],Vendedores[Nome])</f>
        <v>Larissa</v>
      </c>
      <c r="C3280" s="7" t="str">
        <f>_xlfn.XLOOKUP(Vendas[[#This Row],[ID Vendedor]],Vendedores[ID],Vendedores[Setor])</f>
        <v>AB</v>
      </c>
      <c r="D3280" s="7" t="s">
        <v>12</v>
      </c>
      <c r="E3280" t="str">
        <f>_xlfn.XLOOKUP(Vendas[[#This Row],[ID Item Vendido]],Agregado[ID],Agregado[Produto])</f>
        <v>Grânulo de plástico reciclado refinado</v>
      </c>
      <c r="F3280" s="39">
        <v>45350</v>
      </c>
      <c r="G3280" s="7">
        <v>15</v>
      </c>
      <c r="H3280" s="3">
        <f>_xlfn.XLOOKUP(Vendas[[#This Row],[ID Item Vendido]],Agregado[ID],Agregado[Revenda])</f>
        <v>4.7</v>
      </c>
      <c r="I3280" s="3">
        <f>Vendas[[#This Row],[Valor Unitário]]*Vendas[[#This Row],[Qnt Vendida]]</f>
        <v>70.5</v>
      </c>
      <c r="J3280" s="3">
        <f>Vendas[[#This Row],[Valor da Venda]]-(_xlfn.XLOOKUP(Vendas[[#This Row],[ID Item Vendido]],Agregado[ID],Agregado[Custo])*Vendas[[#This Row],[Qnt Vendida]])</f>
        <v>18</v>
      </c>
      <c r="K3280" s="70">
        <f>Vendas[[#This Row],[Lucro da Venda]]/Vendas[[#This Row],[Valor da Venda]]</f>
        <v>0.25531914893617019</v>
      </c>
      <c r="L3280" s="3">
        <f>_xlfn.IFS(Vendas[[#This Row],[Margem de Lucro (%)]]&lt;15%,Vendas[[#This Row],[Valor da Venda]]*3%,Vendas[[#This Row],[Margem de Lucro (%)]]&lt;=20%,Vendas[[#This Row],[Valor da Venda]]*4.5%,TRUE,Vendas[[#This Row],[Valor da Venda]]*6%)</f>
        <v>4.2299999999999995</v>
      </c>
      <c r="M3280"/>
    </row>
    <row r="3281" spans="1:13" x14ac:dyDescent="0.3">
      <c r="A3281" s="7">
        <v>400242</v>
      </c>
      <c r="B3281" t="str">
        <f>_xlfn.XLOOKUP(Vendas[[#This Row],[ID Vendedor]],Vendedores[ID],Vendedores[Nome])</f>
        <v>Fernanda</v>
      </c>
      <c r="C3281" s="7" t="str">
        <f>_xlfn.XLOOKUP(Vendas[[#This Row],[ID Vendedor]],Vendedores[ID],Vendedores[Setor])</f>
        <v>FM</v>
      </c>
      <c r="D3281" s="7" t="s">
        <v>31</v>
      </c>
      <c r="E3281" t="str">
        <f>_xlfn.XLOOKUP(Vendas[[#This Row],[ID Item Vendido]],Agregado[ID],Agregado[Produto])</f>
        <v>Tela de metal soldada rolo 2x25m</v>
      </c>
      <c r="F3281" s="39">
        <v>45351</v>
      </c>
      <c r="G3281" s="7">
        <v>19</v>
      </c>
      <c r="H3281" s="3">
        <f>_xlfn.XLOOKUP(Vendas[[#This Row],[ID Item Vendido]],Agregado[ID],Agregado[Revenda])</f>
        <v>43.7</v>
      </c>
      <c r="I3281" s="3">
        <f>Vendas[[#This Row],[Valor Unitário]]*Vendas[[#This Row],[Qnt Vendida]]</f>
        <v>830.30000000000007</v>
      </c>
      <c r="J3281" s="3">
        <f>Vendas[[#This Row],[Valor da Venda]]-(_xlfn.XLOOKUP(Vendas[[#This Row],[ID Item Vendido]],Agregado[ID],Agregado[Custo])*Vendas[[#This Row],[Qnt Vendida]])</f>
        <v>108.30000000000007</v>
      </c>
      <c r="K3281" s="70">
        <f>Vendas[[#This Row],[Lucro da Venda]]/Vendas[[#This Row],[Valor da Venda]]</f>
        <v>0.13043478260869573</v>
      </c>
      <c r="L3281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3281"/>
    </row>
    <row r="3282" spans="1:13" x14ac:dyDescent="0.3">
      <c r="A3282" s="7">
        <v>400241</v>
      </c>
      <c r="B3282" t="str">
        <f>_xlfn.XLOOKUP(Vendas[[#This Row],[ID Vendedor]],Vendedores[ID],Vendedores[Nome])</f>
        <v>Rodrigo</v>
      </c>
      <c r="C3282" s="7" t="str">
        <f>_xlfn.XLOOKUP(Vendas[[#This Row],[ID Vendedor]],Vendedores[ID],Vendedores[Setor])</f>
        <v>FM</v>
      </c>
      <c r="D3282" s="7" t="s">
        <v>6</v>
      </c>
      <c r="E3282" t="str">
        <f>_xlfn.XLOOKUP(Vendas[[#This Row],[ID Item Vendido]],Agregado[ID],Agregado[Produto])</f>
        <v>Parafuso comum 500un</v>
      </c>
      <c r="F3282" s="39">
        <v>45351</v>
      </c>
      <c r="G3282" s="7">
        <v>25</v>
      </c>
      <c r="H3282" s="3">
        <f>_xlfn.XLOOKUP(Vendas[[#This Row],[ID Item Vendido]],Agregado[ID],Agregado[Revenda])</f>
        <v>24.6</v>
      </c>
      <c r="I3282" s="3">
        <f>Vendas[[#This Row],[Valor Unitário]]*Vendas[[#This Row],[Qnt Vendida]]</f>
        <v>615</v>
      </c>
      <c r="J3282" s="3">
        <f>Vendas[[#This Row],[Valor da Venda]]-(_xlfn.XLOOKUP(Vendas[[#This Row],[ID Item Vendido]],Agregado[ID],Agregado[Custo])*Vendas[[#This Row],[Qnt Vendida]])</f>
        <v>65</v>
      </c>
      <c r="K3282" s="70">
        <f>Vendas[[#This Row],[Lucro da Venda]]/Vendas[[#This Row],[Valor da Venda]]</f>
        <v>0.10569105691056911</v>
      </c>
      <c r="L3282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3282"/>
    </row>
    <row r="3283" spans="1:13" x14ac:dyDescent="0.3">
      <c r="A3283" s="7">
        <v>400251</v>
      </c>
      <c r="B3283" t="str">
        <f>_xlfn.XLOOKUP(Vendas[[#This Row],[ID Vendedor]],Vendedores[ID],Vendedores[Nome])</f>
        <v>Diego</v>
      </c>
      <c r="C3283" s="7" t="str">
        <f>_xlfn.XLOOKUP(Vendas[[#This Row],[ID Vendedor]],Vendedores[ID],Vendedores[Setor])</f>
        <v>AB</v>
      </c>
      <c r="D3283" s="7" t="s">
        <v>39</v>
      </c>
      <c r="E3283" t="str">
        <f>_xlfn.XLOOKUP(Vendas[[#This Row],[ID Item Vendido]],Agregado[ID],Agregado[Produto])</f>
        <v>Filme plástico industrial rolo 50m</v>
      </c>
      <c r="F3283" s="39">
        <v>45352</v>
      </c>
      <c r="G3283" s="7">
        <v>20</v>
      </c>
      <c r="H3283" s="3">
        <f>_xlfn.XLOOKUP(Vendas[[#This Row],[ID Item Vendido]],Agregado[ID],Agregado[Revenda])</f>
        <v>37</v>
      </c>
      <c r="I3283" s="3">
        <f>Vendas[[#This Row],[Valor Unitário]]*Vendas[[#This Row],[Qnt Vendida]]</f>
        <v>740</v>
      </c>
      <c r="J3283" s="3">
        <f>Vendas[[#This Row],[Valor da Venda]]-(_xlfn.XLOOKUP(Vendas[[#This Row],[ID Item Vendido]],Agregado[ID],Agregado[Custo])*Vendas[[#This Row],[Qnt Vendida]])</f>
        <v>180</v>
      </c>
      <c r="K3283" s="70">
        <f>Vendas[[#This Row],[Lucro da Venda]]/Vendas[[#This Row],[Valor da Venda]]</f>
        <v>0.24324324324324326</v>
      </c>
      <c r="L3283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3283"/>
    </row>
    <row r="3284" spans="1:13" x14ac:dyDescent="0.3">
      <c r="A3284" s="7">
        <v>400242</v>
      </c>
      <c r="B3284" t="str">
        <f>_xlfn.XLOOKUP(Vendas[[#This Row],[ID Vendedor]],Vendedores[ID],Vendedores[Nome])</f>
        <v>Fernanda</v>
      </c>
      <c r="C3284" s="7" t="str">
        <f>_xlfn.XLOOKUP(Vendas[[#This Row],[ID Vendedor]],Vendedores[ID],Vendedores[Setor])</f>
        <v>FM</v>
      </c>
      <c r="D3284" s="7" t="s">
        <v>20</v>
      </c>
      <c r="E3284" t="str">
        <f>_xlfn.XLOOKUP(Vendas[[#This Row],[ID Item Vendido]],Agregado[ID],Agregado[Produto])</f>
        <v>Barra de aço simples</v>
      </c>
      <c r="F3284" s="39">
        <v>45352</v>
      </c>
      <c r="G3284" s="7">
        <v>73</v>
      </c>
      <c r="H3284" s="3">
        <f>_xlfn.XLOOKUP(Vendas[[#This Row],[ID Item Vendido]],Agregado[ID],Agregado[Revenda])</f>
        <v>4.8</v>
      </c>
      <c r="I3284" s="3">
        <f>Vendas[[#This Row],[Valor Unitário]]*Vendas[[#This Row],[Qnt Vendida]]</f>
        <v>350.4</v>
      </c>
      <c r="J3284" s="3">
        <f>Vendas[[#This Row],[Valor da Venda]]-(_xlfn.XLOOKUP(Vendas[[#This Row],[ID Item Vendido]],Agregado[ID],Agregado[Custo])*Vendas[[#This Row],[Qnt Vendida]])</f>
        <v>43.799999999999955</v>
      </c>
      <c r="K3284" s="70">
        <f>Vendas[[#This Row],[Lucro da Venda]]/Vendas[[#This Row],[Valor da Venda]]</f>
        <v>0.12499999999999988</v>
      </c>
      <c r="L3284" s="3">
        <f>_xlfn.IFS(Vendas[[#This Row],[Margem de Lucro (%)]]&lt;15%,Vendas[[#This Row],[Valor da Venda]]*3%,Vendas[[#This Row],[Margem de Lucro (%)]]&lt;=20%,Vendas[[#This Row],[Valor da Venda]]*4.5%,TRUE,Vendas[[#This Row],[Valor da Venda]]*6%)</f>
        <v>10.511999999999999</v>
      </c>
      <c r="M3284"/>
    </row>
    <row r="3285" spans="1:13" x14ac:dyDescent="0.3">
      <c r="A3285" s="7">
        <v>400249</v>
      </c>
      <c r="B3285" t="str">
        <f>_xlfn.XLOOKUP(Vendas[[#This Row],[ID Vendedor]],Vendedores[ID],Vendedores[Nome])</f>
        <v>Bruno</v>
      </c>
      <c r="C3285" s="7" t="str">
        <f>_xlfn.XLOOKUP(Vendas[[#This Row],[ID Vendedor]],Vendedores[ID],Vendedores[Setor])</f>
        <v>CM</v>
      </c>
      <c r="D3285" s="7" t="s">
        <v>45</v>
      </c>
      <c r="E3285" t="str">
        <f>_xlfn.XLOOKUP(Vendas[[#This Row],[ID Item Vendido]],Agregado[ID],Agregado[Produto])</f>
        <v>Viga de madeira tratada 4m</v>
      </c>
      <c r="F3285" s="39">
        <v>45352</v>
      </c>
      <c r="G3285" s="7">
        <v>5</v>
      </c>
      <c r="H3285" s="3">
        <f>_xlfn.XLOOKUP(Vendas[[#This Row],[ID Item Vendido]],Agregado[ID],Agregado[Revenda])</f>
        <v>66</v>
      </c>
      <c r="I3285" s="3">
        <f>Vendas[[#This Row],[Valor Unitário]]*Vendas[[#This Row],[Qnt Vendida]]</f>
        <v>330</v>
      </c>
      <c r="J3285" s="3">
        <f>Vendas[[#This Row],[Valor da Venda]]-(_xlfn.XLOOKUP(Vendas[[#This Row],[ID Item Vendido]],Agregado[ID],Agregado[Custo])*Vendas[[#This Row],[Qnt Vendida]])</f>
        <v>55</v>
      </c>
      <c r="K3285" s="70">
        <f>Vendas[[#This Row],[Lucro da Venda]]/Vendas[[#This Row],[Valor da Venda]]</f>
        <v>0.16666666666666666</v>
      </c>
      <c r="L3285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3285"/>
    </row>
    <row r="3286" spans="1:13" x14ac:dyDescent="0.3">
      <c r="A3286" s="7">
        <v>400246</v>
      </c>
      <c r="B3286" t="str">
        <f>_xlfn.XLOOKUP(Vendas[[#This Row],[ID Vendedor]],Vendedores[ID],Vendedores[Nome])</f>
        <v>Juliana</v>
      </c>
      <c r="C3286" s="7" t="str">
        <f>_xlfn.XLOOKUP(Vendas[[#This Row],[ID Vendedor]],Vendedores[ID],Vendedores[Setor])</f>
        <v>AHD</v>
      </c>
      <c r="D3286" s="7" t="s">
        <v>44</v>
      </c>
      <c r="E3286" t="str">
        <f>_xlfn.XLOOKUP(Vendas[[#This Row],[ID Item Vendido]],Agregado[ID],Agregado[Produto])</f>
        <v>Liga metálica especial</v>
      </c>
      <c r="F3286" s="39">
        <v>45352</v>
      </c>
      <c r="G3286" s="7">
        <v>10</v>
      </c>
      <c r="H3286" s="3">
        <f>_xlfn.XLOOKUP(Vendas[[#This Row],[ID Item Vendido]],Agregado[ID],Agregado[Revenda])</f>
        <v>32.5</v>
      </c>
      <c r="I3286" s="3">
        <f>Vendas[[#This Row],[Valor Unitário]]*Vendas[[#This Row],[Qnt Vendida]]</f>
        <v>325</v>
      </c>
      <c r="J3286" s="3">
        <f>Vendas[[#This Row],[Valor da Venda]]-(_xlfn.XLOOKUP(Vendas[[#This Row],[ID Item Vendido]],Agregado[ID],Agregado[Custo])*Vendas[[#This Row],[Qnt Vendida]])</f>
        <v>75</v>
      </c>
      <c r="K3286" s="70">
        <f>Vendas[[#This Row],[Lucro da Venda]]/Vendas[[#This Row],[Valor da Venda]]</f>
        <v>0.23076923076923078</v>
      </c>
      <c r="L3286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3286"/>
    </row>
    <row r="3287" spans="1:13" x14ac:dyDescent="0.3">
      <c r="A3287" s="7">
        <v>400246</v>
      </c>
      <c r="B3287" t="str">
        <f>_xlfn.XLOOKUP(Vendas[[#This Row],[ID Vendedor]],Vendedores[ID],Vendedores[Nome])</f>
        <v>Juliana</v>
      </c>
      <c r="C3287" s="7" t="str">
        <f>_xlfn.XLOOKUP(Vendas[[#This Row],[ID Vendedor]],Vendedores[ID],Vendedores[Setor])</f>
        <v>AHD</v>
      </c>
      <c r="D3287" s="7" t="s">
        <v>9</v>
      </c>
      <c r="E3287" t="str">
        <f>_xlfn.XLOOKUP(Vendas[[#This Row],[ID Item Vendido]],Agregado[ID],Agregado[Produto])</f>
        <v>Barra de aço simples</v>
      </c>
      <c r="F3287" s="39">
        <v>45352</v>
      </c>
      <c r="G3287" s="7">
        <v>34</v>
      </c>
      <c r="H3287" s="3">
        <f>_xlfn.XLOOKUP(Vendas[[#This Row],[ID Item Vendido]],Agregado[ID],Agregado[Revenda])</f>
        <v>6.7</v>
      </c>
      <c r="I3287" s="3">
        <f>Vendas[[#This Row],[Valor Unitário]]*Vendas[[#This Row],[Qnt Vendida]]</f>
        <v>227.8</v>
      </c>
      <c r="J3287" s="3">
        <f>Vendas[[#This Row],[Valor da Venda]]-(_xlfn.XLOOKUP(Vendas[[#This Row],[ID Item Vendido]],Agregado[ID],Agregado[Custo])*Vendas[[#This Row],[Qnt Vendida]])</f>
        <v>30.600000000000023</v>
      </c>
      <c r="K3287" s="70">
        <f>Vendas[[#This Row],[Lucro da Venda]]/Vendas[[#This Row],[Valor da Venda]]</f>
        <v>0.13432835820895531</v>
      </c>
      <c r="L3287" s="3">
        <f>_xlfn.IFS(Vendas[[#This Row],[Margem de Lucro (%)]]&lt;15%,Vendas[[#This Row],[Valor da Venda]]*3%,Vendas[[#This Row],[Margem de Lucro (%)]]&lt;=20%,Vendas[[#This Row],[Valor da Venda]]*4.5%,TRUE,Vendas[[#This Row],[Valor da Venda]]*6%)</f>
        <v>6.8340000000000005</v>
      </c>
      <c r="M3287"/>
    </row>
    <row r="3288" spans="1:13" x14ac:dyDescent="0.3">
      <c r="A3288" s="7">
        <v>400252</v>
      </c>
      <c r="B3288" t="str">
        <f>_xlfn.XLOOKUP(Vendas[[#This Row],[ID Vendedor]],Vendedores[ID],Vendedores[Nome])</f>
        <v>Renata</v>
      </c>
      <c r="C3288" s="7" t="str">
        <f>_xlfn.XLOOKUP(Vendas[[#This Row],[ID Vendedor]],Vendedores[ID],Vendedores[Setor])</f>
        <v>AB</v>
      </c>
      <c r="D3288" s="7" t="s">
        <v>36</v>
      </c>
      <c r="E3288" t="str">
        <f>_xlfn.XLOOKUP(Vendas[[#This Row],[ID Item Vendido]],Agregado[ID],Agregado[Produto])</f>
        <v>Borracha vulcanizada em manta</v>
      </c>
      <c r="F3288" s="39">
        <v>45353</v>
      </c>
      <c r="G3288" s="7">
        <v>82</v>
      </c>
      <c r="H3288" s="3">
        <f>_xlfn.XLOOKUP(Vendas[[#This Row],[ID Item Vendido]],Agregado[ID],Agregado[Revenda])</f>
        <v>7.8</v>
      </c>
      <c r="I3288" s="3">
        <f>Vendas[[#This Row],[Valor Unitário]]*Vendas[[#This Row],[Qnt Vendida]]</f>
        <v>639.6</v>
      </c>
      <c r="J3288" s="3">
        <f>Vendas[[#This Row],[Valor da Venda]]-(_xlfn.XLOOKUP(Vendas[[#This Row],[ID Item Vendido]],Agregado[ID],Agregado[Custo])*Vendas[[#This Row],[Qnt Vendida]])</f>
        <v>147.60000000000002</v>
      </c>
      <c r="K3288" s="70">
        <f>Vendas[[#This Row],[Lucro da Venda]]/Vendas[[#This Row],[Valor da Venda]]</f>
        <v>0.23076923076923081</v>
      </c>
      <c r="L3288" s="3">
        <f>_xlfn.IFS(Vendas[[#This Row],[Margem de Lucro (%)]]&lt;15%,Vendas[[#This Row],[Valor da Venda]]*3%,Vendas[[#This Row],[Margem de Lucro (%)]]&lt;=20%,Vendas[[#This Row],[Valor da Venda]]*4.5%,TRUE,Vendas[[#This Row],[Valor da Venda]]*6%)</f>
        <v>38.375999999999998</v>
      </c>
      <c r="M3288"/>
    </row>
    <row r="3289" spans="1:13" x14ac:dyDescent="0.3">
      <c r="A3289" s="7">
        <v>400241</v>
      </c>
      <c r="B3289" t="str">
        <f>_xlfn.XLOOKUP(Vendas[[#This Row],[ID Vendedor]],Vendedores[ID],Vendedores[Nome])</f>
        <v>Rodrigo</v>
      </c>
      <c r="C3289" s="7" t="str">
        <f>_xlfn.XLOOKUP(Vendas[[#This Row],[ID Vendedor]],Vendedores[ID],Vendedores[Setor])</f>
        <v>FM</v>
      </c>
      <c r="D3289" s="7" t="s">
        <v>47</v>
      </c>
      <c r="E3289" t="str">
        <f>_xlfn.XLOOKUP(Vendas[[#This Row],[ID Item Vendido]],Agregado[ID],Agregado[Produto])</f>
        <v>Fio de arame galvanizado rolo 50m</v>
      </c>
      <c r="F3289" s="39">
        <v>45353</v>
      </c>
      <c r="G3289" s="7">
        <v>3</v>
      </c>
      <c r="H3289" s="3">
        <f>_xlfn.XLOOKUP(Vendas[[#This Row],[ID Item Vendido]],Agregado[ID],Agregado[Revenda])</f>
        <v>21.2</v>
      </c>
      <c r="I3289" s="3">
        <f>Vendas[[#This Row],[Valor Unitário]]*Vendas[[#This Row],[Qnt Vendida]]</f>
        <v>63.599999999999994</v>
      </c>
      <c r="J3289" s="3">
        <f>Vendas[[#This Row],[Valor da Venda]]-(_xlfn.XLOOKUP(Vendas[[#This Row],[ID Item Vendido]],Agregado[ID],Agregado[Custo])*Vendas[[#This Row],[Qnt Vendida]])</f>
        <v>9.5999999999999943</v>
      </c>
      <c r="K3289" s="70">
        <f>Vendas[[#This Row],[Lucro da Venda]]/Vendas[[#This Row],[Valor da Venda]]</f>
        <v>0.15094339622641501</v>
      </c>
      <c r="L3289" s="3">
        <f>_xlfn.IFS(Vendas[[#This Row],[Margem de Lucro (%)]]&lt;15%,Vendas[[#This Row],[Valor da Venda]]*3%,Vendas[[#This Row],[Margem de Lucro (%)]]&lt;=20%,Vendas[[#This Row],[Valor da Venda]]*4.5%,TRUE,Vendas[[#This Row],[Valor da Venda]]*6%)</f>
        <v>2.8619999999999997</v>
      </c>
      <c r="M3289"/>
    </row>
    <row r="3290" spans="1:13" x14ac:dyDescent="0.3">
      <c r="A3290" s="7">
        <v>400252</v>
      </c>
      <c r="B3290" t="str">
        <f>_xlfn.XLOOKUP(Vendas[[#This Row],[ID Vendedor]],Vendedores[ID],Vendedores[Nome])</f>
        <v>Renata</v>
      </c>
      <c r="C3290" s="7" t="str">
        <f>_xlfn.XLOOKUP(Vendas[[#This Row],[ID Vendedor]],Vendedores[ID],Vendedores[Setor])</f>
        <v>AB</v>
      </c>
      <c r="D3290" s="7" t="s">
        <v>12</v>
      </c>
      <c r="E3290" t="str">
        <f>_xlfn.XLOOKUP(Vendas[[#This Row],[ID Item Vendido]],Agregado[ID],Agregado[Produto])</f>
        <v>Grânulo de plástico reciclado refinado</v>
      </c>
      <c r="F3290" s="39">
        <v>45354</v>
      </c>
      <c r="G3290" s="7">
        <v>148</v>
      </c>
      <c r="H3290" s="3">
        <f>_xlfn.XLOOKUP(Vendas[[#This Row],[ID Item Vendido]],Agregado[ID],Agregado[Revenda])</f>
        <v>4.7</v>
      </c>
      <c r="I3290" s="3">
        <f>Vendas[[#This Row],[Valor Unitário]]*Vendas[[#This Row],[Qnt Vendida]]</f>
        <v>695.6</v>
      </c>
      <c r="J3290" s="3">
        <f>Vendas[[#This Row],[Valor da Venda]]-(_xlfn.XLOOKUP(Vendas[[#This Row],[ID Item Vendido]],Agregado[ID],Agregado[Custo])*Vendas[[#This Row],[Qnt Vendida]])</f>
        <v>177.60000000000002</v>
      </c>
      <c r="K3290" s="70">
        <f>Vendas[[#This Row],[Lucro da Venda]]/Vendas[[#This Row],[Valor da Venda]]</f>
        <v>0.25531914893617025</v>
      </c>
      <c r="L3290" s="3">
        <f>_xlfn.IFS(Vendas[[#This Row],[Margem de Lucro (%)]]&lt;15%,Vendas[[#This Row],[Valor da Venda]]*3%,Vendas[[#This Row],[Margem de Lucro (%)]]&lt;=20%,Vendas[[#This Row],[Valor da Venda]]*4.5%,TRUE,Vendas[[#This Row],[Valor da Venda]]*6%)</f>
        <v>41.735999999999997</v>
      </c>
      <c r="M3290"/>
    </row>
    <row r="3291" spans="1:13" x14ac:dyDescent="0.3">
      <c r="A3291" s="7">
        <v>400250</v>
      </c>
      <c r="B3291" t="str">
        <f>_xlfn.XLOOKUP(Vendas[[#This Row],[ID Vendedor]],Vendedores[ID],Vendedores[Nome])</f>
        <v>Larissa</v>
      </c>
      <c r="C3291" s="7" t="str">
        <f>_xlfn.XLOOKUP(Vendas[[#This Row],[ID Vendedor]],Vendedores[ID],Vendedores[Setor])</f>
        <v>AB</v>
      </c>
      <c r="D3291" s="7" t="s">
        <v>36</v>
      </c>
      <c r="E3291" t="str">
        <f>_xlfn.XLOOKUP(Vendas[[#This Row],[ID Item Vendido]],Agregado[ID],Agregado[Produto])</f>
        <v>Borracha vulcanizada em manta</v>
      </c>
      <c r="F3291" s="39">
        <v>45354</v>
      </c>
      <c r="G3291" s="7">
        <v>74</v>
      </c>
      <c r="H3291" s="3">
        <f>_xlfn.XLOOKUP(Vendas[[#This Row],[ID Item Vendido]],Agregado[ID],Agregado[Revenda])</f>
        <v>7.8</v>
      </c>
      <c r="I3291" s="3">
        <f>Vendas[[#This Row],[Valor Unitário]]*Vendas[[#This Row],[Qnt Vendida]]</f>
        <v>577.19999999999993</v>
      </c>
      <c r="J3291" s="3">
        <f>Vendas[[#This Row],[Valor da Venda]]-(_xlfn.XLOOKUP(Vendas[[#This Row],[ID Item Vendido]],Agregado[ID],Agregado[Custo])*Vendas[[#This Row],[Qnt Vendida]])</f>
        <v>133.19999999999993</v>
      </c>
      <c r="K3291" s="70">
        <f>Vendas[[#This Row],[Lucro da Venda]]/Vendas[[#This Row],[Valor da Venda]]</f>
        <v>0.23076923076923067</v>
      </c>
      <c r="L3291" s="3">
        <f>_xlfn.IFS(Vendas[[#This Row],[Margem de Lucro (%)]]&lt;15%,Vendas[[#This Row],[Valor da Venda]]*3%,Vendas[[#This Row],[Margem de Lucro (%)]]&lt;=20%,Vendas[[#This Row],[Valor da Venda]]*4.5%,TRUE,Vendas[[#This Row],[Valor da Venda]]*6%)</f>
        <v>34.631999999999998</v>
      </c>
      <c r="M3291"/>
    </row>
    <row r="3292" spans="1:13" x14ac:dyDescent="0.3">
      <c r="A3292" s="7">
        <v>400254</v>
      </c>
      <c r="B3292" t="str">
        <f>_xlfn.XLOOKUP(Vendas[[#This Row],[ID Vendedor]],Vendedores[ID],Vendedores[Nome])</f>
        <v>Beatriz</v>
      </c>
      <c r="C3292" s="7" t="str">
        <f>_xlfn.XLOOKUP(Vendas[[#This Row],[ID Vendedor]],Vendedores[ID],Vendedores[Setor])</f>
        <v>SC</v>
      </c>
      <c r="D3292" s="7" t="s">
        <v>42</v>
      </c>
      <c r="E3292" t="str">
        <f>_xlfn.XLOOKUP(Vendas[[#This Row],[ID Item Vendido]],Agregado[ID],Agregado[Produto])</f>
        <v>Container de ferro industrial</v>
      </c>
      <c r="F3292" s="39">
        <v>45355</v>
      </c>
      <c r="G3292" s="7">
        <v>3</v>
      </c>
      <c r="H3292" s="3">
        <f>_xlfn.XLOOKUP(Vendas[[#This Row],[ID Item Vendido]],Agregado[ID],Agregado[Revenda])</f>
        <v>830</v>
      </c>
      <c r="I3292" s="3">
        <f>Vendas[[#This Row],[Valor Unitário]]*Vendas[[#This Row],[Qnt Vendida]]</f>
        <v>2490</v>
      </c>
      <c r="J3292" s="3">
        <f>Vendas[[#This Row],[Valor da Venda]]-(_xlfn.XLOOKUP(Vendas[[#This Row],[ID Item Vendido]],Agregado[ID],Agregado[Custo])*Vendas[[#This Row],[Qnt Vendida]])</f>
        <v>450</v>
      </c>
      <c r="K3292" s="70">
        <f>Vendas[[#This Row],[Lucro da Venda]]/Vendas[[#This Row],[Valor da Venda]]</f>
        <v>0.18072289156626506</v>
      </c>
      <c r="L3292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292"/>
    </row>
    <row r="3293" spans="1:13" x14ac:dyDescent="0.3">
      <c r="A3293" s="7">
        <v>400244</v>
      </c>
      <c r="B3293" t="str">
        <f>_xlfn.XLOOKUP(Vendas[[#This Row],[ID Vendedor]],Vendedores[ID],Vendedores[Nome])</f>
        <v>Camila</v>
      </c>
      <c r="C3293" s="7" t="str">
        <f>_xlfn.XLOOKUP(Vendas[[#This Row],[ID Vendedor]],Vendedores[ID],Vendedores[Setor])</f>
        <v>AHD</v>
      </c>
      <c r="D3293" s="7" t="s">
        <v>9</v>
      </c>
      <c r="E3293" t="str">
        <f>_xlfn.XLOOKUP(Vendas[[#This Row],[ID Item Vendido]],Agregado[ID],Agregado[Produto])</f>
        <v>Barra de aço simples</v>
      </c>
      <c r="F3293" s="39">
        <v>45355</v>
      </c>
      <c r="G3293" s="7">
        <v>141</v>
      </c>
      <c r="H3293" s="3">
        <f>_xlfn.XLOOKUP(Vendas[[#This Row],[ID Item Vendido]],Agregado[ID],Agregado[Revenda])</f>
        <v>6.7</v>
      </c>
      <c r="I3293" s="3">
        <f>Vendas[[#This Row],[Valor Unitário]]*Vendas[[#This Row],[Qnt Vendida]]</f>
        <v>944.7</v>
      </c>
      <c r="J3293" s="3">
        <f>Vendas[[#This Row],[Valor da Venda]]-(_xlfn.XLOOKUP(Vendas[[#This Row],[ID Item Vendido]],Agregado[ID],Agregado[Custo])*Vendas[[#This Row],[Qnt Vendida]])</f>
        <v>126.90000000000009</v>
      </c>
      <c r="K3293" s="70">
        <f>Vendas[[#This Row],[Lucro da Venda]]/Vendas[[#This Row],[Valor da Venda]]</f>
        <v>0.13432835820895531</v>
      </c>
      <c r="L3293" s="3">
        <f>_xlfn.IFS(Vendas[[#This Row],[Margem de Lucro (%)]]&lt;15%,Vendas[[#This Row],[Valor da Venda]]*3%,Vendas[[#This Row],[Margem de Lucro (%)]]&lt;=20%,Vendas[[#This Row],[Valor da Venda]]*4.5%,TRUE,Vendas[[#This Row],[Valor da Venda]]*6%)</f>
        <v>28.341000000000001</v>
      </c>
      <c r="M3293"/>
    </row>
    <row r="3294" spans="1:13" x14ac:dyDescent="0.3">
      <c r="A3294" s="7">
        <v>400241</v>
      </c>
      <c r="B3294" t="str">
        <f>_xlfn.XLOOKUP(Vendas[[#This Row],[ID Vendedor]],Vendedores[ID],Vendedores[Nome])</f>
        <v>Rodrigo</v>
      </c>
      <c r="C3294" s="7" t="str">
        <f>_xlfn.XLOOKUP(Vendas[[#This Row],[ID Vendedor]],Vendedores[ID],Vendedores[Setor])</f>
        <v>FM</v>
      </c>
      <c r="D3294" s="7" t="s">
        <v>47</v>
      </c>
      <c r="E3294" t="str">
        <f>_xlfn.XLOOKUP(Vendas[[#This Row],[ID Item Vendido]],Agregado[ID],Agregado[Produto])</f>
        <v>Fio de arame galvanizado rolo 50m</v>
      </c>
      <c r="F3294" s="39">
        <v>45355</v>
      </c>
      <c r="G3294" s="7">
        <v>40</v>
      </c>
      <c r="H3294" s="3">
        <f>_xlfn.XLOOKUP(Vendas[[#This Row],[ID Item Vendido]],Agregado[ID],Agregado[Revenda])</f>
        <v>21.2</v>
      </c>
      <c r="I3294" s="3">
        <f>Vendas[[#This Row],[Valor Unitário]]*Vendas[[#This Row],[Qnt Vendida]]</f>
        <v>848</v>
      </c>
      <c r="J3294" s="3">
        <f>Vendas[[#This Row],[Valor da Venda]]-(_xlfn.XLOOKUP(Vendas[[#This Row],[ID Item Vendido]],Agregado[ID],Agregado[Custo])*Vendas[[#This Row],[Qnt Vendida]])</f>
        <v>128</v>
      </c>
      <c r="K3294" s="70">
        <f>Vendas[[#This Row],[Lucro da Venda]]/Vendas[[#This Row],[Valor da Venda]]</f>
        <v>0.15094339622641509</v>
      </c>
      <c r="L3294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3294"/>
    </row>
    <row r="3295" spans="1:13" x14ac:dyDescent="0.3">
      <c r="A3295" s="7">
        <v>400250</v>
      </c>
      <c r="B3295" t="str">
        <f>_xlfn.XLOOKUP(Vendas[[#This Row],[ID Vendedor]],Vendedores[ID],Vendedores[Nome])</f>
        <v>Larissa</v>
      </c>
      <c r="C3295" s="7" t="str">
        <f>_xlfn.XLOOKUP(Vendas[[#This Row],[ID Vendedor]],Vendedores[ID],Vendedores[Setor])</f>
        <v>AB</v>
      </c>
      <c r="D3295" s="7" t="s">
        <v>37</v>
      </c>
      <c r="E3295" t="str">
        <f>_xlfn.XLOOKUP(Vendas[[#This Row],[ID Item Vendido]],Agregado[ID],Agregado[Produto])</f>
        <v>Composto de borracha para vedação rolo 10m</v>
      </c>
      <c r="F3295" s="39">
        <v>45356</v>
      </c>
      <c r="G3295" s="7">
        <v>16</v>
      </c>
      <c r="H3295" s="3">
        <f>_xlfn.XLOOKUP(Vendas[[#This Row],[ID Item Vendido]],Agregado[ID],Agregado[Revenda])</f>
        <v>51.2</v>
      </c>
      <c r="I3295" s="3">
        <f>Vendas[[#This Row],[Valor Unitário]]*Vendas[[#This Row],[Qnt Vendida]]</f>
        <v>819.2</v>
      </c>
      <c r="J3295" s="3">
        <f>Vendas[[#This Row],[Valor da Venda]]-(_xlfn.XLOOKUP(Vendas[[#This Row],[ID Item Vendido]],Agregado[ID],Agregado[Custo])*Vendas[[#This Row],[Qnt Vendida]])</f>
        <v>179.20000000000005</v>
      </c>
      <c r="K3295" s="70">
        <f>Vendas[[#This Row],[Lucro da Venda]]/Vendas[[#This Row],[Valor da Venda]]</f>
        <v>0.21875000000000006</v>
      </c>
      <c r="L3295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3295"/>
    </row>
    <row r="3296" spans="1:13" x14ac:dyDescent="0.3">
      <c r="A3296" s="7">
        <v>400246</v>
      </c>
      <c r="B3296" t="str">
        <f>_xlfn.XLOOKUP(Vendas[[#This Row],[ID Vendedor]],Vendedores[ID],Vendedores[Nome])</f>
        <v>Juliana</v>
      </c>
      <c r="C3296" s="7" t="str">
        <f>_xlfn.XLOOKUP(Vendas[[#This Row],[ID Vendedor]],Vendedores[ID],Vendedores[Setor])</f>
        <v>AHD</v>
      </c>
      <c r="D3296" s="7" t="s">
        <v>28</v>
      </c>
      <c r="E3296" t="str">
        <f>_xlfn.XLOOKUP(Vendas[[#This Row],[ID Item Vendido]],Agregado[ID],Agregado[Produto])</f>
        <v>Peça usinada CNC</v>
      </c>
      <c r="F3296" s="39">
        <v>45356</v>
      </c>
      <c r="G3296" s="7">
        <v>4</v>
      </c>
      <c r="H3296" s="3">
        <f>_xlfn.XLOOKUP(Vendas[[#This Row],[ID Item Vendido]],Agregado[ID],Agregado[Revenda])</f>
        <v>192</v>
      </c>
      <c r="I3296" s="3">
        <f>Vendas[[#This Row],[Valor Unitário]]*Vendas[[#This Row],[Qnt Vendida]]</f>
        <v>768</v>
      </c>
      <c r="J3296" s="3">
        <f>Vendas[[#This Row],[Valor da Venda]]-(_xlfn.XLOOKUP(Vendas[[#This Row],[ID Item Vendido]],Agregado[ID],Agregado[Custo])*Vendas[[#This Row],[Qnt Vendida]])</f>
        <v>168</v>
      </c>
      <c r="K3296" s="70">
        <f>Vendas[[#This Row],[Lucro da Venda]]/Vendas[[#This Row],[Valor da Venda]]</f>
        <v>0.21875</v>
      </c>
      <c r="L3296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3296"/>
    </row>
    <row r="3297" spans="1:13" x14ac:dyDescent="0.3">
      <c r="A3297" s="7">
        <v>400242</v>
      </c>
      <c r="B3297" t="str">
        <f>_xlfn.XLOOKUP(Vendas[[#This Row],[ID Vendedor]],Vendedores[ID],Vendedores[Nome])</f>
        <v>Fernanda</v>
      </c>
      <c r="C3297" s="7" t="str">
        <f>_xlfn.XLOOKUP(Vendas[[#This Row],[ID Vendedor]],Vendedores[ID],Vendedores[Setor])</f>
        <v>FM</v>
      </c>
      <c r="D3297" s="7" t="s">
        <v>20</v>
      </c>
      <c r="E3297" t="str">
        <f>_xlfn.XLOOKUP(Vendas[[#This Row],[ID Item Vendido]],Agregado[ID],Agregado[Produto])</f>
        <v>Barra de aço simples</v>
      </c>
      <c r="F3297" s="39">
        <v>45356</v>
      </c>
      <c r="G3297" s="7">
        <v>37</v>
      </c>
      <c r="H3297" s="3">
        <f>_xlfn.XLOOKUP(Vendas[[#This Row],[ID Item Vendido]],Agregado[ID],Agregado[Revenda])</f>
        <v>4.8</v>
      </c>
      <c r="I3297" s="3">
        <f>Vendas[[#This Row],[Valor Unitário]]*Vendas[[#This Row],[Qnt Vendida]]</f>
        <v>177.6</v>
      </c>
      <c r="J3297" s="3">
        <f>Vendas[[#This Row],[Valor da Venda]]-(_xlfn.XLOOKUP(Vendas[[#This Row],[ID Item Vendido]],Agregado[ID],Agregado[Custo])*Vendas[[#This Row],[Qnt Vendida]])</f>
        <v>22.199999999999989</v>
      </c>
      <c r="K3297" s="70">
        <f>Vendas[[#This Row],[Lucro da Venda]]/Vendas[[#This Row],[Valor da Venda]]</f>
        <v>0.12499999999999994</v>
      </c>
      <c r="L3297" s="3">
        <f>_xlfn.IFS(Vendas[[#This Row],[Margem de Lucro (%)]]&lt;15%,Vendas[[#This Row],[Valor da Venda]]*3%,Vendas[[#This Row],[Margem de Lucro (%)]]&lt;=20%,Vendas[[#This Row],[Valor da Venda]]*4.5%,TRUE,Vendas[[#This Row],[Valor da Venda]]*6%)</f>
        <v>5.3279999999999994</v>
      </c>
      <c r="M3297"/>
    </row>
    <row r="3298" spans="1:13" x14ac:dyDescent="0.3">
      <c r="A3298" s="7">
        <v>400250</v>
      </c>
      <c r="B3298" t="str">
        <f>_xlfn.XLOOKUP(Vendas[[#This Row],[ID Vendedor]],Vendedores[ID],Vendedores[Nome])</f>
        <v>Larissa</v>
      </c>
      <c r="C3298" s="7" t="str">
        <f>_xlfn.XLOOKUP(Vendas[[#This Row],[ID Vendedor]],Vendedores[ID],Vendedores[Setor])</f>
        <v>AB</v>
      </c>
      <c r="D3298" s="7" t="s">
        <v>39</v>
      </c>
      <c r="E3298" t="str">
        <f>_xlfn.XLOOKUP(Vendas[[#This Row],[ID Item Vendido]],Agregado[ID],Agregado[Produto])</f>
        <v>Filme plástico industrial rolo 50m</v>
      </c>
      <c r="F3298" s="39">
        <v>45358</v>
      </c>
      <c r="G3298" s="7">
        <v>26</v>
      </c>
      <c r="H3298" s="3">
        <f>_xlfn.XLOOKUP(Vendas[[#This Row],[ID Item Vendido]],Agregado[ID],Agregado[Revenda])</f>
        <v>37</v>
      </c>
      <c r="I3298" s="3">
        <f>Vendas[[#This Row],[Valor Unitário]]*Vendas[[#This Row],[Qnt Vendida]]</f>
        <v>962</v>
      </c>
      <c r="J3298" s="3">
        <f>Vendas[[#This Row],[Valor da Venda]]-(_xlfn.XLOOKUP(Vendas[[#This Row],[ID Item Vendido]],Agregado[ID],Agregado[Custo])*Vendas[[#This Row],[Qnt Vendida]])</f>
        <v>234</v>
      </c>
      <c r="K3298" s="70">
        <f>Vendas[[#This Row],[Lucro da Venda]]/Vendas[[#This Row],[Valor da Venda]]</f>
        <v>0.24324324324324326</v>
      </c>
      <c r="L3298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298"/>
    </row>
    <row r="3299" spans="1:13" x14ac:dyDescent="0.3">
      <c r="A3299" s="7">
        <v>400252</v>
      </c>
      <c r="B3299" t="str">
        <f>_xlfn.XLOOKUP(Vendas[[#This Row],[ID Vendedor]],Vendedores[ID],Vendedores[Nome])</f>
        <v>Renata</v>
      </c>
      <c r="C3299" s="7" t="str">
        <f>_xlfn.XLOOKUP(Vendas[[#This Row],[ID Vendedor]],Vendedores[ID],Vendedores[Setor])</f>
        <v>AB</v>
      </c>
      <c r="D3299" s="7" t="s">
        <v>12</v>
      </c>
      <c r="E3299" t="str">
        <f>_xlfn.XLOOKUP(Vendas[[#This Row],[ID Item Vendido]],Agregado[ID],Agregado[Produto])</f>
        <v>Grânulo de plástico reciclado refinado</v>
      </c>
      <c r="F3299" s="39">
        <v>45358</v>
      </c>
      <c r="G3299" s="7">
        <v>86</v>
      </c>
      <c r="H3299" s="3">
        <f>_xlfn.XLOOKUP(Vendas[[#This Row],[ID Item Vendido]],Agregado[ID],Agregado[Revenda])</f>
        <v>4.7</v>
      </c>
      <c r="I3299" s="3">
        <f>Vendas[[#This Row],[Valor Unitário]]*Vendas[[#This Row],[Qnt Vendida]]</f>
        <v>404.2</v>
      </c>
      <c r="J3299" s="3">
        <f>Vendas[[#This Row],[Valor da Venda]]-(_xlfn.XLOOKUP(Vendas[[#This Row],[ID Item Vendido]],Agregado[ID],Agregado[Custo])*Vendas[[#This Row],[Qnt Vendida]])</f>
        <v>103.19999999999999</v>
      </c>
      <c r="K3299" s="70">
        <f>Vendas[[#This Row],[Lucro da Venda]]/Vendas[[#This Row],[Valor da Venda]]</f>
        <v>0.25531914893617019</v>
      </c>
      <c r="L3299" s="3">
        <f>_xlfn.IFS(Vendas[[#This Row],[Margem de Lucro (%)]]&lt;15%,Vendas[[#This Row],[Valor da Venda]]*3%,Vendas[[#This Row],[Margem de Lucro (%)]]&lt;=20%,Vendas[[#This Row],[Valor da Venda]]*4.5%,TRUE,Vendas[[#This Row],[Valor da Venda]]*6%)</f>
        <v>24.251999999999999</v>
      </c>
      <c r="M3299"/>
    </row>
    <row r="3300" spans="1:13" x14ac:dyDescent="0.3">
      <c r="A3300" s="7">
        <v>400244</v>
      </c>
      <c r="B3300" t="str">
        <f>_xlfn.XLOOKUP(Vendas[[#This Row],[ID Vendedor]],Vendedores[ID],Vendedores[Nome])</f>
        <v>Camila</v>
      </c>
      <c r="C3300" s="7" t="str">
        <f>_xlfn.XLOOKUP(Vendas[[#This Row],[ID Vendedor]],Vendedores[ID],Vendedores[Setor])</f>
        <v>AHD</v>
      </c>
      <c r="D3300" s="7" t="s">
        <v>44</v>
      </c>
      <c r="E3300" t="str">
        <f>_xlfn.XLOOKUP(Vendas[[#This Row],[ID Item Vendido]],Agregado[ID],Agregado[Produto])</f>
        <v>Liga metálica especial</v>
      </c>
      <c r="F3300" s="39">
        <v>45359</v>
      </c>
      <c r="G3300" s="7">
        <v>34</v>
      </c>
      <c r="H3300" s="3">
        <f>_xlfn.XLOOKUP(Vendas[[#This Row],[ID Item Vendido]],Agregado[ID],Agregado[Revenda])</f>
        <v>32.5</v>
      </c>
      <c r="I3300" s="3">
        <f>Vendas[[#This Row],[Valor Unitário]]*Vendas[[#This Row],[Qnt Vendida]]</f>
        <v>1105</v>
      </c>
      <c r="J3300" s="3">
        <f>Vendas[[#This Row],[Valor da Venda]]-(_xlfn.XLOOKUP(Vendas[[#This Row],[ID Item Vendido]],Agregado[ID],Agregado[Custo])*Vendas[[#This Row],[Qnt Vendida]])</f>
        <v>255</v>
      </c>
      <c r="K3300" s="70">
        <f>Vendas[[#This Row],[Lucro da Venda]]/Vendas[[#This Row],[Valor da Venda]]</f>
        <v>0.23076923076923078</v>
      </c>
      <c r="L3300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3300"/>
    </row>
    <row r="3301" spans="1:13" x14ac:dyDescent="0.3">
      <c r="A3301" s="7">
        <v>400253</v>
      </c>
      <c r="B3301" t="str">
        <f>_xlfn.XLOOKUP(Vendas[[#This Row],[ID Vendedor]],Vendedores[ID],Vendedores[Nome])</f>
        <v>Gustavo</v>
      </c>
      <c r="C3301" s="7" t="str">
        <f>_xlfn.XLOOKUP(Vendas[[#This Row],[ID Vendedor]],Vendedores[ID],Vendedores[Setor])</f>
        <v>SC</v>
      </c>
      <c r="D3301" s="7" t="s">
        <v>42</v>
      </c>
      <c r="E3301" t="str">
        <f>_xlfn.XLOOKUP(Vendas[[#This Row],[ID Item Vendido]],Agregado[ID],Agregado[Produto])</f>
        <v>Container de ferro industrial</v>
      </c>
      <c r="F3301" s="39">
        <v>45360</v>
      </c>
      <c r="G3301" s="7">
        <v>4</v>
      </c>
      <c r="H3301" s="3">
        <f>_xlfn.XLOOKUP(Vendas[[#This Row],[ID Item Vendido]],Agregado[ID],Agregado[Revenda])</f>
        <v>830</v>
      </c>
      <c r="I3301" s="3">
        <f>Vendas[[#This Row],[Valor Unitário]]*Vendas[[#This Row],[Qnt Vendida]]</f>
        <v>3320</v>
      </c>
      <c r="J3301" s="3">
        <f>Vendas[[#This Row],[Valor da Venda]]-(_xlfn.XLOOKUP(Vendas[[#This Row],[ID Item Vendido]],Agregado[ID],Agregado[Custo])*Vendas[[#This Row],[Qnt Vendida]])</f>
        <v>600</v>
      </c>
      <c r="K3301" s="70">
        <f>Vendas[[#This Row],[Lucro da Venda]]/Vendas[[#This Row],[Valor da Venda]]</f>
        <v>0.18072289156626506</v>
      </c>
      <c r="L330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301"/>
    </row>
    <row r="3302" spans="1:13" x14ac:dyDescent="0.3">
      <c r="A3302" s="7">
        <v>400246</v>
      </c>
      <c r="B3302" t="str">
        <f>_xlfn.XLOOKUP(Vendas[[#This Row],[ID Vendedor]],Vendedores[ID],Vendedores[Nome])</f>
        <v>Juliana</v>
      </c>
      <c r="C3302" s="7" t="str">
        <f>_xlfn.XLOOKUP(Vendas[[#This Row],[ID Vendedor]],Vendedores[ID],Vendedores[Setor])</f>
        <v>AHD</v>
      </c>
      <c r="D3302" s="7" t="s">
        <v>18</v>
      </c>
      <c r="E3302" t="str">
        <f>_xlfn.XLOOKUP(Vendas[[#This Row],[ID Item Vendido]],Agregado[ID],Agregado[Produto])</f>
        <v>Peça forjada sob encomenda</v>
      </c>
      <c r="F3302" s="39">
        <v>45360</v>
      </c>
      <c r="G3302" s="7">
        <v>2</v>
      </c>
      <c r="H3302" s="3">
        <f>_xlfn.XLOOKUP(Vendas[[#This Row],[ID Item Vendido]],Agregado[ID],Agregado[Revenda])</f>
        <v>264.60000000000002</v>
      </c>
      <c r="I3302" s="3">
        <f>Vendas[[#This Row],[Valor Unitário]]*Vendas[[#This Row],[Qnt Vendida]]</f>
        <v>529.20000000000005</v>
      </c>
      <c r="J3302" s="3">
        <f>Vendas[[#This Row],[Valor da Venda]]-(_xlfn.XLOOKUP(Vendas[[#This Row],[ID Item Vendido]],Agregado[ID],Agregado[Custo])*Vendas[[#This Row],[Qnt Vendida]])</f>
        <v>29.200000000000045</v>
      </c>
      <c r="K3302" s="70">
        <f>Vendas[[#This Row],[Lucro da Venda]]/Vendas[[#This Row],[Valor da Venda]]</f>
        <v>5.5177626606198113E-2</v>
      </c>
      <c r="L3302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3302"/>
    </row>
    <row r="3303" spans="1:13" x14ac:dyDescent="0.3">
      <c r="A3303" s="7">
        <v>400252</v>
      </c>
      <c r="B3303" t="str">
        <f>_xlfn.XLOOKUP(Vendas[[#This Row],[ID Vendedor]],Vendedores[ID],Vendedores[Nome])</f>
        <v>Renata</v>
      </c>
      <c r="C3303" s="7" t="str">
        <f>_xlfn.XLOOKUP(Vendas[[#This Row],[ID Vendedor]],Vendedores[ID],Vendedores[Setor])</f>
        <v>AB</v>
      </c>
      <c r="D3303" s="7" t="s">
        <v>39</v>
      </c>
      <c r="E3303" t="str">
        <f>_xlfn.XLOOKUP(Vendas[[#This Row],[ID Item Vendido]],Agregado[ID],Agregado[Produto])</f>
        <v>Filme plástico industrial rolo 50m</v>
      </c>
      <c r="F3303" s="39">
        <v>45360</v>
      </c>
      <c r="G3303" s="7">
        <v>13</v>
      </c>
      <c r="H3303" s="3">
        <f>_xlfn.XLOOKUP(Vendas[[#This Row],[ID Item Vendido]],Agregado[ID],Agregado[Revenda])</f>
        <v>37</v>
      </c>
      <c r="I3303" s="3">
        <f>Vendas[[#This Row],[Valor Unitário]]*Vendas[[#This Row],[Qnt Vendida]]</f>
        <v>481</v>
      </c>
      <c r="J3303" s="3">
        <f>Vendas[[#This Row],[Valor da Venda]]-(_xlfn.XLOOKUP(Vendas[[#This Row],[ID Item Vendido]],Agregado[ID],Agregado[Custo])*Vendas[[#This Row],[Qnt Vendida]])</f>
        <v>117</v>
      </c>
      <c r="K3303" s="70">
        <f>Vendas[[#This Row],[Lucro da Venda]]/Vendas[[#This Row],[Valor da Venda]]</f>
        <v>0.24324324324324326</v>
      </c>
      <c r="L3303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3303"/>
    </row>
    <row r="3304" spans="1:13" x14ac:dyDescent="0.3">
      <c r="A3304" s="7">
        <v>400241</v>
      </c>
      <c r="B3304" t="str">
        <f>_xlfn.XLOOKUP(Vendas[[#This Row],[ID Vendedor]],Vendedores[ID],Vendedores[Nome])</f>
        <v>Rodrigo</v>
      </c>
      <c r="C3304" s="7" t="str">
        <f>_xlfn.XLOOKUP(Vendas[[#This Row],[ID Vendedor]],Vendedores[ID],Vendedores[Setor])</f>
        <v>FM</v>
      </c>
      <c r="D3304" s="7" t="s">
        <v>47</v>
      </c>
      <c r="E3304" t="str">
        <f>_xlfn.XLOOKUP(Vendas[[#This Row],[ID Item Vendido]],Agregado[ID],Agregado[Produto])</f>
        <v>Fio de arame galvanizado rolo 50m</v>
      </c>
      <c r="F3304" s="39">
        <v>45361</v>
      </c>
      <c r="G3304" s="7">
        <v>35</v>
      </c>
      <c r="H3304" s="3">
        <f>_xlfn.XLOOKUP(Vendas[[#This Row],[ID Item Vendido]],Agregado[ID],Agregado[Revenda])</f>
        <v>21.2</v>
      </c>
      <c r="I3304" s="3">
        <f>Vendas[[#This Row],[Valor Unitário]]*Vendas[[#This Row],[Qnt Vendida]]</f>
        <v>742</v>
      </c>
      <c r="J3304" s="3">
        <f>Vendas[[#This Row],[Valor da Venda]]-(_xlfn.XLOOKUP(Vendas[[#This Row],[ID Item Vendido]],Agregado[ID],Agregado[Custo])*Vendas[[#This Row],[Qnt Vendida]])</f>
        <v>112</v>
      </c>
      <c r="K3304" s="70">
        <f>Vendas[[#This Row],[Lucro da Venda]]/Vendas[[#This Row],[Valor da Venda]]</f>
        <v>0.15094339622641509</v>
      </c>
      <c r="L3304" s="3">
        <f>_xlfn.IFS(Vendas[[#This Row],[Margem de Lucro (%)]]&lt;15%,Vendas[[#This Row],[Valor da Venda]]*3%,Vendas[[#This Row],[Margem de Lucro (%)]]&lt;=20%,Vendas[[#This Row],[Valor da Venda]]*4.5%,TRUE,Vendas[[#This Row],[Valor da Venda]]*6%)</f>
        <v>33.39</v>
      </c>
      <c r="M3304"/>
    </row>
    <row r="3305" spans="1:13" x14ac:dyDescent="0.3">
      <c r="A3305" s="7">
        <v>400253</v>
      </c>
      <c r="B3305" t="str">
        <f>_xlfn.XLOOKUP(Vendas[[#This Row],[ID Vendedor]],Vendedores[ID],Vendedores[Nome])</f>
        <v>Gustavo</v>
      </c>
      <c r="C3305" s="7" t="str">
        <f>_xlfn.XLOOKUP(Vendas[[#This Row],[ID Vendedor]],Vendedores[ID],Vendedores[Setor])</f>
        <v>SC</v>
      </c>
      <c r="D3305" s="7" t="s">
        <v>48</v>
      </c>
      <c r="E3305" t="str">
        <f>_xlfn.XLOOKUP(Vendas[[#This Row],[ID Item Vendido]],Agregado[ID],Agregado[Produto])</f>
        <v>Tambor metálico 200L</v>
      </c>
      <c r="F3305" s="39">
        <v>45361</v>
      </c>
      <c r="G3305" s="7">
        <v>5</v>
      </c>
      <c r="H3305" s="3">
        <f>_xlfn.XLOOKUP(Vendas[[#This Row],[ID Item Vendido]],Agregado[ID],Agregado[Revenda])</f>
        <v>144</v>
      </c>
      <c r="I3305" s="3">
        <f>Vendas[[#This Row],[Valor Unitário]]*Vendas[[#This Row],[Qnt Vendida]]</f>
        <v>720</v>
      </c>
      <c r="J3305" s="3">
        <f>Vendas[[#This Row],[Valor da Venda]]-(_xlfn.XLOOKUP(Vendas[[#This Row],[ID Item Vendido]],Agregado[ID],Agregado[Custo])*Vendas[[#This Row],[Qnt Vendida]])</f>
        <v>120</v>
      </c>
      <c r="K3305" s="70">
        <f>Vendas[[#This Row],[Lucro da Venda]]/Vendas[[#This Row],[Valor da Venda]]</f>
        <v>0.16666666666666666</v>
      </c>
      <c r="L3305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3305"/>
    </row>
    <row r="3306" spans="1:13" x14ac:dyDescent="0.3">
      <c r="A3306" s="7">
        <v>400254</v>
      </c>
      <c r="B3306" t="str">
        <f>_xlfn.XLOOKUP(Vendas[[#This Row],[ID Vendedor]],Vendedores[ID],Vendedores[Nome])</f>
        <v>Beatriz</v>
      </c>
      <c r="C3306" s="7" t="str">
        <f>_xlfn.XLOOKUP(Vendas[[#This Row],[ID Vendedor]],Vendedores[ID],Vendedores[Setor])</f>
        <v>SC</v>
      </c>
      <c r="D3306" s="7" t="s">
        <v>42</v>
      </c>
      <c r="E3306" t="str">
        <f>_xlfn.XLOOKUP(Vendas[[#This Row],[ID Item Vendido]],Agregado[ID],Agregado[Produto])</f>
        <v>Container de ferro industrial</v>
      </c>
      <c r="F3306" s="39">
        <v>45362</v>
      </c>
      <c r="G3306" s="7">
        <v>4</v>
      </c>
      <c r="H3306" s="3">
        <f>_xlfn.XLOOKUP(Vendas[[#This Row],[ID Item Vendido]],Agregado[ID],Agregado[Revenda])</f>
        <v>830</v>
      </c>
      <c r="I3306" s="3">
        <f>Vendas[[#This Row],[Valor Unitário]]*Vendas[[#This Row],[Qnt Vendida]]</f>
        <v>3320</v>
      </c>
      <c r="J3306" s="3">
        <f>Vendas[[#This Row],[Valor da Venda]]-(_xlfn.XLOOKUP(Vendas[[#This Row],[ID Item Vendido]],Agregado[ID],Agregado[Custo])*Vendas[[#This Row],[Qnt Vendida]])</f>
        <v>600</v>
      </c>
      <c r="K3306" s="70">
        <f>Vendas[[#This Row],[Lucro da Venda]]/Vendas[[#This Row],[Valor da Venda]]</f>
        <v>0.18072289156626506</v>
      </c>
      <c r="L3306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306"/>
    </row>
    <row r="3307" spans="1:13" x14ac:dyDescent="0.3">
      <c r="A3307" s="7">
        <v>400254</v>
      </c>
      <c r="B3307" t="str">
        <f>_xlfn.XLOOKUP(Vendas[[#This Row],[ID Vendedor]],Vendedores[ID],Vendedores[Nome])</f>
        <v>Beatriz</v>
      </c>
      <c r="C3307" s="7" t="str">
        <f>_xlfn.XLOOKUP(Vendas[[#This Row],[ID Vendedor]],Vendedores[ID],Vendedores[Setor])</f>
        <v>SC</v>
      </c>
      <c r="D3307" s="7" t="s">
        <v>48</v>
      </c>
      <c r="E3307" t="str">
        <f>_xlfn.XLOOKUP(Vendas[[#This Row],[ID Item Vendido]],Agregado[ID],Agregado[Produto])</f>
        <v>Tambor metálico 200L</v>
      </c>
      <c r="F3307" s="39">
        <v>45362</v>
      </c>
      <c r="G3307" s="7">
        <v>13</v>
      </c>
      <c r="H3307" s="3">
        <f>_xlfn.XLOOKUP(Vendas[[#This Row],[ID Item Vendido]],Agregado[ID],Agregado[Revenda])</f>
        <v>144</v>
      </c>
      <c r="I3307" s="3">
        <f>Vendas[[#This Row],[Valor Unitário]]*Vendas[[#This Row],[Qnt Vendida]]</f>
        <v>1872</v>
      </c>
      <c r="J3307" s="3">
        <f>Vendas[[#This Row],[Valor da Venda]]-(_xlfn.XLOOKUP(Vendas[[#This Row],[ID Item Vendido]],Agregado[ID],Agregado[Custo])*Vendas[[#This Row],[Qnt Vendida]])</f>
        <v>312</v>
      </c>
      <c r="K3307" s="70">
        <f>Vendas[[#This Row],[Lucro da Venda]]/Vendas[[#This Row],[Valor da Venda]]</f>
        <v>0.16666666666666666</v>
      </c>
      <c r="L3307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3307"/>
    </row>
    <row r="3308" spans="1:13" x14ac:dyDescent="0.3">
      <c r="A3308" s="7">
        <v>400247</v>
      </c>
      <c r="B3308" t="str">
        <f>_xlfn.XLOOKUP(Vendas[[#This Row],[ID Vendedor]],Vendedores[ID],Vendedores[Nome])</f>
        <v>André</v>
      </c>
      <c r="C3308" s="7" t="str">
        <f>_xlfn.XLOOKUP(Vendas[[#This Row],[ID Vendedor]],Vendedores[ID],Vendedores[Setor])</f>
        <v>CM</v>
      </c>
      <c r="D3308" s="7" t="s">
        <v>22</v>
      </c>
      <c r="E3308" t="str">
        <f>_xlfn.XLOOKUP(Vendas[[#This Row],[ID Item Vendido]],Agregado[ID],Agregado[Produto])</f>
        <v>Painel MDP 2,75x1,83m</v>
      </c>
      <c r="F3308" s="39">
        <v>45363</v>
      </c>
      <c r="G3308" s="7">
        <v>12</v>
      </c>
      <c r="H3308" s="3">
        <f>_xlfn.XLOOKUP(Vendas[[#This Row],[ID Item Vendido]],Agregado[ID],Agregado[Revenda])</f>
        <v>119</v>
      </c>
      <c r="I3308" s="3">
        <f>Vendas[[#This Row],[Valor Unitário]]*Vendas[[#This Row],[Qnt Vendida]]</f>
        <v>1428</v>
      </c>
      <c r="J3308" s="3">
        <f>Vendas[[#This Row],[Valor da Venda]]-(_xlfn.XLOOKUP(Vendas[[#This Row],[ID Item Vendido]],Agregado[ID],Agregado[Custo])*Vendas[[#This Row],[Qnt Vendida]])</f>
        <v>288</v>
      </c>
      <c r="K3308" s="70">
        <f>Vendas[[#This Row],[Lucro da Venda]]/Vendas[[#This Row],[Valor da Venda]]</f>
        <v>0.20168067226890757</v>
      </c>
      <c r="L3308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3308"/>
    </row>
    <row r="3309" spans="1:13" x14ac:dyDescent="0.3">
      <c r="A3309" s="7">
        <v>400241</v>
      </c>
      <c r="B3309" t="str">
        <f>_xlfn.XLOOKUP(Vendas[[#This Row],[ID Vendedor]],Vendedores[ID],Vendedores[Nome])</f>
        <v>Rodrigo</v>
      </c>
      <c r="C3309" s="7" t="str">
        <f>_xlfn.XLOOKUP(Vendas[[#This Row],[ID Vendedor]],Vendedores[ID],Vendedores[Setor])</f>
        <v>FM</v>
      </c>
      <c r="D3309" s="7" t="s">
        <v>20</v>
      </c>
      <c r="E3309" t="str">
        <f>_xlfn.XLOOKUP(Vendas[[#This Row],[ID Item Vendido]],Agregado[ID],Agregado[Produto])</f>
        <v>Barra de aço simples</v>
      </c>
      <c r="F3309" s="39">
        <v>45365</v>
      </c>
      <c r="G3309" s="7">
        <v>143</v>
      </c>
      <c r="H3309" s="3">
        <f>_xlfn.XLOOKUP(Vendas[[#This Row],[ID Item Vendido]],Agregado[ID],Agregado[Revenda])</f>
        <v>4.8</v>
      </c>
      <c r="I3309" s="3">
        <f>Vendas[[#This Row],[Valor Unitário]]*Vendas[[#This Row],[Qnt Vendida]]</f>
        <v>686.4</v>
      </c>
      <c r="J3309" s="3">
        <f>Vendas[[#This Row],[Valor da Venda]]-(_xlfn.XLOOKUP(Vendas[[#This Row],[ID Item Vendido]],Agregado[ID],Agregado[Custo])*Vendas[[#This Row],[Qnt Vendida]])</f>
        <v>85.799999999999955</v>
      </c>
      <c r="K3309" s="70">
        <f>Vendas[[#This Row],[Lucro da Venda]]/Vendas[[#This Row],[Valor da Venda]]</f>
        <v>0.12499999999999994</v>
      </c>
      <c r="L3309" s="3">
        <f>_xlfn.IFS(Vendas[[#This Row],[Margem de Lucro (%)]]&lt;15%,Vendas[[#This Row],[Valor da Venda]]*3%,Vendas[[#This Row],[Margem de Lucro (%)]]&lt;=20%,Vendas[[#This Row],[Valor da Venda]]*4.5%,TRUE,Vendas[[#This Row],[Valor da Venda]]*6%)</f>
        <v>20.591999999999999</v>
      </c>
      <c r="M3309"/>
    </row>
    <row r="3310" spans="1:13" x14ac:dyDescent="0.3">
      <c r="A3310" s="7">
        <v>400251</v>
      </c>
      <c r="B3310" t="str">
        <f>_xlfn.XLOOKUP(Vendas[[#This Row],[ID Vendedor]],Vendedores[ID],Vendedores[Nome])</f>
        <v>Diego</v>
      </c>
      <c r="C3310" s="7" t="str">
        <f>_xlfn.XLOOKUP(Vendas[[#This Row],[ID Vendedor]],Vendedores[ID],Vendedores[Setor])</f>
        <v>AB</v>
      </c>
      <c r="D3310" s="7" t="s">
        <v>12</v>
      </c>
      <c r="E3310" t="str">
        <f>_xlfn.XLOOKUP(Vendas[[#This Row],[ID Item Vendido]],Agregado[ID],Agregado[Produto])</f>
        <v>Grânulo de plástico reciclado refinado</v>
      </c>
      <c r="F3310" s="39">
        <v>45366</v>
      </c>
      <c r="G3310" s="7">
        <v>127</v>
      </c>
      <c r="H3310" s="3">
        <f>_xlfn.XLOOKUP(Vendas[[#This Row],[ID Item Vendido]],Agregado[ID],Agregado[Revenda])</f>
        <v>4.7</v>
      </c>
      <c r="I3310" s="3">
        <f>Vendas[[#This Row],[Valor Unitário]]*Vendas[[#This Row],[Qnt Vendida]]</f>
        <v>596.9</v>
      </c>
      <c r="J3310" s="3">
        <f>Vendas[[#This Row],[Valor da Venda]]-(_xlfn.XLOOKUP(Vendas[[#This Row],[ID Item Vendido]],Agregado[ID],Agregado[Custo])*Vendas[[#This Row],[Qnt Vendida]])</f>
        <v>152.39999999999998</v>
      </c>
      <c r="K3310" s="70">
        <f>Vendas[[#This Row],[Lucro da Venda]]/Vendas[[#This Row],[Valor da Venda]]</f>
        <v>0.25531914893617019</v>
      </c>
      <c r="L3310" s="3">
        <f>_xlfn.IFS(Vendas[[#This Row],[Margem de Lucro (%)]]&lt;15%,Vendas[[#This Row],[Valor da Venda]]*3%,Vendas[[#This Row],[Margem de Lucro (%)]]&lt;=20%,Vendas[[#This Row],[Valor da Venda]]*4.5%,TRUE,Vendas[[#This Row],[Valor da Venda]]*6%)</f>
        <v>35.814</v>
      </c>
      <c r="M3310"/>
    </row>
    <row r="3311" spans="1:13" x14ac:dyDescent="0.3">
      <c r="A3311" s="7">
        <v>400244</v>
      </c>
      <c r="B3311" t="str">
        <f>_xlfn.XLOOKUP(Vendas[[#This Row],[ID Vendedor]],Vendedores[ID],Vendedores[Nome])</f>
        <v>Camila</v>
      </c>
      <c r="C3311" s="7" t="str">
        <f>_xlfn.XLOOKUP(Vendas[[#This Row],[ID Vendedor]],Vendedores[ID],Vendedores[Setor])</f>
        <v>AHD</v>
      </c>
      <c r="D3311" s="7" t="s">
        <v>18</v>
      </c>
      <c r="E3311" t="str">
        <f>_xlfn.XLOOKUP(Vendas[[#This Row],[ID Item Vendido]],Agregado[ID],Agregado[Produto])</f>
        <v>Peça forjada sob encomenda</v>
      </c>
      <c r="F3311" s="39">
        <v>45366</v>
      </c>
      <c r="G3311" s="7">
        <v>1</v>
      </c>
      <c r="H3311" s="3">
        <f>_xlfn.XLOOKUP(Vendas[[#This Row],[ID Item Vendido]],Agregado[ID],Agregado[Revenda])</f>
        <v>264.60000000000002</v>
      </c>
      <c r="I3311" s="3">
        <f>Vendas[[#This Row],[Valor Unitário]]*Vendas[[#This Row],[Qnt Vendida]]</f>
        <v>264.60000000000002</v>
      </c>
      <c r="J3311" s="3">
        <f>Vendas[[#This Row],[Valor da Venda]]-(_xlfn.XLOOKUP(Vendas[[#This Row],[ID Item Vendido]],Agregado[ID],Agregado[Custo])*Vendas[[#This Row],[Qnt Vendida]])</f>
        <v>14.600000000000023</v>
      </c>
      <c r="K3311" s="70">
        <f>Vendas[[#This Row],[Lucro da Venda]]/Vendas[[#This Row],[Valor da Venda]]</f>
        <v>5.5177626606198113E-2</v>
      </c>
      <c r="L3311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311"/>
    </row>
    <row r="3312" spans="1:13" x14ac:dyDescent="0.3">
      <c r="A3312" s="7">
        <v>400253</v>
      </c>
      <c r="B3312" t="str">
        <f>_xlfn.XLOOKUP(Vendas[[#This Row],[ID Vendedor]],Vendedores[ID],Vendedores[Nome])</f>
        <v>Gustavo</v>
      </c>
      <c r="C3312" s="7" t="str">
        <f>_xlfn.XLOOKUP(Vendas[[#This Row],[ID Vendedor]],Vendedores[ID],Vendedores[Setor])</f>
        <v>SC</v>
      </c>
      <c r="D3312" s="7" t="s">
        <v>14</v>
      </c>
      <c r="E3312" t="str">
        <f>_xlfn.XLOOKUP(Vendas[[#This Row],[ID Item Vendido]],Agregado[ID],Agregado[Produto])</f>
        <v>Barril de plástico 200L</v>
      </c>
      <c r="F3312" s="39">
        <v>45367</v>
      </c>
      <c r="G3312" s="7">
        <v>8</v>
      </c>
      <c r="H3312" s="3">
        <f>_xlfn.XLOOKUP(Vendas[[#This Row],[ID Item Vendido]],Agregado[ID],Agregado[Revenda])</f>
        <v>114</v>
      </c>
      <c r="I3312" s="3">
        <f>Vendas[[#This Row],[Valor Unitário]]*Vendas[[#This Row],[Qnt Vendida]]</f>
        <v>912</v>
      </c>
      <c r="J3312" s="3">
        <f>Vendas[[#This Row],[Valor da Venda]]-(_xlfn.XLOOKUP(Vendas[[#This Row],[ID Item Vendido]],Agregado[ID],Agregado[Custo])*Vendas[[#This Row],[Qnt Vendida]])</f>
        <v>152</v>
      </c>
      <c r="K3312" s="70">
        <f>Vendas[[#This Row],[Lucro da Venda]]/Vendas[[#This Row],[Valor da Venda]]</f>
        <v>0.16666666666666666</v>
      </c>
      <c r="L3312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3312"/>
    </row>
    <row r="3313" spans="1:13" x14ac:dyDescent="0.3">
      <c r="A3313" s="7">
        <v>400242</v>
      </c>
      <c r="B3313" t="str">
        <f>_xlfn.XLOOKUP(Vendas[[#This Row],[ID Vendedor]],Vendedores[ID],Vendedores[Nome])</f>
        <v>Fernanda</v>
      </c>
      <c r="C3313" s="7" t="str">
        <f>_xlfn.XLOOKUP(Vendas[[#This Row],[ID Vendedor]],Vendedores[ID],Vendedores[Setor])</f>
        <v>FM</v>
      </c>
      <c r="D3313" s="7" t="s">
        <v>31</v>
      </c>
      <c r="E3313" t="str">
        <f>_xlfn.XLOOKUP(Vendas[[#This Row],[ID Item Vendido]],Agregado[ID],Agregado[Produto])</f>
        <v>Tela de metal soldada rolo 2x25m</v>
      </c>
      <c r="F3313" s="39">
        <v>45367</v>
      </c>
      <c r="G3313" s="7">
        <v>9</v>
      </c>
      <c r="H3313" s="3">
        <f>_xlfn.XLOOKUP(Vendas[[#This Row],[ID Item Vendido]],Agregado[ID],Agregado[Revenda])</f>
        <v>43.7</v>
      </c>
      <c r="I3313" s="3">
        <f>Vendas[[#This Row],[Valor Unitário]]*Vendas[[#This Row],[Qnt Vendida]]</f>
        <v>393.3</v>
      </c>
      <c r="J3313" s="3">
        <f>Vendas[[#This Row],[Valor da Venda]]-(_xlfn.XLOOKUP(Vendas[[#This Row],[ID Item Vendido]],Agregado[ID],Agregado[Custo])*Vendas[[#This Row],[Qnt Vendida]])</f>
        <v>51.300000000000011</v>
      </c>
      <c r="K3313" s="70">
        <f>Vendas[[#This Row],[Lucro da Venda]]/Vendas[[#This Row],[Valor da Venda]]</f>
        <v>0.13043478260869568</v>
      </c>
      <c r="L3313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3313"/>
    </row>
    <row r="3314" spans="1:13" x14ac:dyDescent="0.3">
      <c r="A3314" s="7">
        <v>400255</v>
      </c>
      <c r="B3314" t="str">
        <f>_xlfn.XLOOKUP(Vendas[[#This Row],[ID Vendedor]],Vendedores[ID],Vendedores[Nome])</f>
        <v>Carlos</v>
      </c>
      <c r="C3314" s="7" t="str">
        <f>_xlfn.XLOOKUP(Vendas[[#This Row],[ID Vendedor]],Vendedores[ID],Vendedores[Setor])</f>
        <v>SC</v>
      </c>
      <c r="D3314" s="7" t="s">
        <v>48</v>
      </c>
      <c r="E3314" t="str">
        <f>_xlfn.XLOOKUP(Vendas[[#This Row],[ID Item Vendido]],Agregado[ID],Agregado[Produto])</f>
        <v>Tambor metálico 200L</v>
      </c>
      <c r="F3314" s="39">
        <v>45368</v>
      </c>
      <c r="G3314" s="7">
        <v>8</v>
      </c>
      <c r="H3314" s="3">
        <f>_xlfn.XLOOKUP(Vendas[[#This Row],[ID Item Vendido]],Agregado[ID],Agregado[Revenda])</f>
        <v>144</v>
      </c>
      <c r="I3314" s="3">
        <f>Vendas[[#This Row],[Valor Unitário]]*Vendas[[#This Row],[Qnt Vendida]]</f>
        <v>1152</v>
      </c>
      <c r="J3314" s="3">
        <f>Vendas[[#This Row],[Valor da Venda]]-(_xlfn.XLOOKUP(Vendas[[#This Row],[ID Item Vendido]],Agregado[ID],Agregado[Custo])*Vendas[[#This Row],[Qnt Vendida]])</f>
        <v>192</v>
      </c>
      <c r="K3314" s="70">
        <f>Vendas[[#This Row],[Lucro da Venda]]/Vendas[[#This Row],[Valor da Venda]]</f>
        <v>0.16666666666666666</v>
      </c>
      <c r="L3314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3314"/>
    </row>
    <row r="3315" spans="1:13" x14ac:dyDescent="0.3">
      <c r="A3315" s="7">
        <v>400255</v>
      </c>
      <c r="B3315" t="str">
        <f>_xlfn.XLOOKUP(Vendas[[#This Row],[ID Vendedor]],Vendedores[ID],Vendedores[Nome])</f>
        <v>Carlos</v>
      </c>
      <c r="C3315" s="7" t="str">
        <f>_xlfn.XLOOKUP(Vendas[[#This Row],[ID Vendedor]],Vendedores[ID],Vendedores[Setor])</f>
        <v>SC</v>
      </c>
      <c r="D3315" s="7" t="s">
        <v>42</v>
      </c>
      <c r="E3315" t="str">
        <f>_xlfn.XLOOKUP(Vendas[[#This Row],[ID Item Vendido]],Agregado[ID],Agregado[Produto])</f>
        <v>Container de ferro industrial</v>
      </c>
      <c r="F3315" s="39">
        <v>45368</v>
      </c>
      <c r="G3315" s="7">
        <v>1</v>
      </c>
      <c r="H3315" s="3">
        <f>_xlfn.XLOOKUP(Vendas[[#This Row],[ID Item Vendido]],Agregado[ID],Agregado[Revenda])</f>
        <v>830</v>
      </c>
      <c r="I3315" s="3">
        <f>Vendas[[#This Row],[Valor Unitário]]*Vendas[[#This Row],[Qnt Vendida]]</f>
        <v>830</v>
      </c>
      <c r="J3315" s="3">
        <f>Vendas[[#This Row],[Valor da Venda]]-(_xlfn.XLOOKUP(Vendas[[#This Row],[ID Item Vendido]],Agregado[ID],Agregado[Custo])*Vendas[[#This Row],[Qnt Vendida]])</f>
        <v>150</v>
      </c>
      <c r="K3315" s="70">
        <f>Vendas[[#This Row],[Lucro da Venda]]/Vendas[[#This Row],[Valor da Venda]]</f>
        <v>0.18072289156626506</v>
      </c>
      <c r="L3315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315"/>
    </row>
    <row r="3316" spans="1:13" x14ac:dyDescent="0.3">
      <c r="A3316" s="7">
        <v>400247</v>
      </c>
      <c r="B3316" t="str">
        <f>_xlfn.XLOOKUP(Vendas[[#This Row],[ID Vendedor]],Vendedores[ID],Vendedores[Nome])</f>
        <v>André</v>
      </c>
      <c r="C3316" s="7" t="str">
        <f>_xlfn.XLOOKUP(Vendas[[#This Row],[ID Vendedor]],Vendedores[ID],Vendedores[Setor])</f>
        <v>CM</v>
      </c>
      <c r="D3316" s="7" t="s">
        <v>43</v>
      </c>
      <c r="E3316" t="str">
        <f>_xlfn.XLOOKUP(Vendas[[#This Row],[ID Item Vendido]],Agregado[ID],Agregado[Produto])</f>
        <v>Madeira Bruta (Tora)</v>
      </c>
      <c r="F3316" s="39">
        <v>45368</v>
      </c>
      <c r="G3316" s="7">
        <v>3</v>
      </c>
      <c r="H3316" s="3">
        <f>_xlfn.XLOOKUP(Vendas[[#This Row],[ID Item Vendido]],Agregado[ID],Agregado[Revenda])</f>
        <v>212</v>
      </c>
      <c r="I3316" s="3">
        <f>Vendas[[#This Row],[Valor Unitário]]*Vendas[[#This Row],[Qnt Vendida]]</f>
        <v>636</v>
      </c>
      <c r="J3316" s="3">
        <f>Vendas[[#This Row],[Valor da Venda]]-(_xlfn.XLOOKUP(Vendas[[#This Row],[ID Item Vendido]],Agregado[ID],Agregado[Custo])*Vendas[[#This Row],[Qnt Vendida]])</f>
        <v>96</v>
      </c>
      <c r="K3316" s="70">
        <f>Vendas[[#This Row],[Lucro da Venda]]/Vendas[[#This Row],[Valor da Venda]]</f>
        <v>0.15094339622641509</v>
      </c>
      <c r="L3316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3316"/>
    </row>
    <row r="3317" spans="1:13" x14ac:dyDescent="0.3">
      <c r="A3317" s="7">
        <v>400254</v>
      </c>
      <c r="B3317" t="str">
        <f>_xlfn.XLOOKUP(Vendas[[#This Row],[ID Vendedor]],Vendedores[ID],Vendedores[Nome])</f>
        <v>Beatriz</v>
      </c>
      <c r="C3317" s="7" t="str">
        <f>_xlfn.XLOOKUP(Vendas[[#This Row],[ID Vendedor]],Vendedores[ID],Vendedores[Setor])</f>
        <v>SC</v>
      </c>
      <c r="D3317" s="7" t="s">
        <v>14</v>
      </c>
      <c r="E3317" t="str">
        <f>_xlfn.XLOOKUP(Vendas[[#This Row],[ID Item Vendido]],Agregado[ID],Agregado[Produto])</f>
        <v>Barril de plástico 200L</v>
      </c>
      <c r="F3317" s="39">
        <v>45368</v>
      </c>
      <c r="G3317" s="7">
        <v>2</v>
      </c>
      <c r="H3317" s="3">
        <f>_xlfn.XLOOKUP(Vendas[[#This Row],[ID Item Vendido]],Agregado[ID],Agregado[Revenda])</f>
        <v>114</v>
      </c>
      <c r="I3317" s="3">
        <f>Vendas[[#This Row],[Valor Unitário]]*Vendas[[#This Row],[Qnt Vendida]]</f>
        <v>228</v>
      </c>
      <c r="J3317" s="3">
        <f>Vendas[[#This Row],[Valor da Venda]]-(_xlfn.XLOOKUP(Vendas[[#This Row],[ID Item Vendido]],Agregado[ID],Agregado[Custo])*Vendas[[#This Row],[Qnt Vendida]])</f>
        <v>38</v>
      </c>
      <c r="K3317" s="70">
        <f>Vendas[[#This Row],[Lucro da Venda]]/Vendas[[#This Row],[Valor da Venda]]</f>
        <v>0.16666666666666666</v>
      </c>
      <c r="L3317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3317"/>
    </row>
    <row r="3318" spans="1:13" x14ac:dyDescent="0.3">
      <c r="A3318" s="7">
        <v>400249</v>
      </c>
      <c r="B3318" t="str">
        <f>_xlfn.XLOOKUP(Vendas[[#This Row],[ID Vendedor]],Vendedores[ID],Vendedores[Nome])</f>
        <v>Bruno</v>
      </c>
      <c r="C3318" s="7" t="str">
        <f>_xlfn.XLOOKUP(Vendas[[#This Row],[ID Vendedor]],Vendedores[ID],Vendedores[Setor])</f>
        <v>CM</v>
      </c>
      <c r="D3318" s="7" t="s">
        <v>32</v>
      </c>
      <c r="E3318" t="str">
        <f>_xlfn.XLOOKUP(Vendas[[#This Row],[ID Item Vendido]],Agregado[ID],Agregado[Produto])</f>
        <v>Tábua tratada e cortada 3m</v>
      </c>
      <c r="F3318" s="39">
        <v>45369</v>
      </c>
      <c r="G3318" s="7">
        <v>35</v>
      </c>
      <c r="H3318" s="3">
        <f>_xlfn.XLOOKUP(Vendas[[#This Row],[ID Item Vendido]],Agregado[ID],Agregado[Revenda])</f>
        <v>39</v>
      </c>
      <c r="I3318" s="3">
        <f>Vendas[[#This Row],[Valor Unitário]]*Vendas[[#This Row],[Qnt Vendida]]</f>
        <v>1365</v>
      </c>
      <c r="J3318" s="3">
        <f>Vendas[[#This Row],[Valor da Venda]]-(_xlfn.XLOOKUP(Vendas[[#This Row],[ID Item Vendido]],Agregado[ID],Agregado[Custo])*Vendas[[#This Row],[Qnt Vendida]])</f>
        <v>245</v>
      </c>
      <c r="K3318" s="70">
        <f>Vendas[[#This Row],[Lucro da Venda]]/Vendas[[#This Row],[Valor da Venda]]</f>
        <v>0.17948717948717949</v>
      </c>
      <c r="L3318" s="3">
        <f>_xlfn.IFS(Vendas[[#This Row],[Margem de Lucro (%)]]&lt;15%,Vendas[[#This Row],[Valor da Venda]]*3%,Vendas[[#This Row],[Margem de Lucro (%)]]&lt;=20%,Vendas[[#This Row],[Valor da Venda]]*4.5%,TRUE,Vendas[[#This Row],[Valor da Venda]]*6%)</f>
        <v>61.424999999999997</v>
      </c>
      <c r="M3318"/>
    </row>
    <row r="3319" spans="1:13" x14ac:dyDescent="0.3">
      <c r="A3319" s="7">
        <v>400252</v>
      </c>
      <c r="B3319" t="str">
        <f>_xlfn.XLOOKUP(Vendas[[#This Row],[ID Vendedor]],Vendedores[ID],Vendedores[Nome])</f>
        <v>Renata</v>
      </c>
      <c r="C3319" s="7" t="str">
        <f>_xlfn.XLOOKUP(Vendas[[#This Row],[ID Vendedor]],Vendedores[ID],Vendedores[Setor])</f>
        <v>AB</v>
      </c>
      <c r="D3319" s="7" t="s">
        <v>39</v>
      </c>
      <c r="E3319" t="str">
        <f>_xlfn.XLOOKUP(Vendas[[#This Row],[ID Item Vendido]],Agregado[ID],Agregado[Produto])</f>
        <v>Filme plástico industrial rolo 50m</v>
      </c>
      <c r="F3319" s="39">
        <v>45369</v>
      </c>
      <c r="G3319" s="7">
        <v>26</v>
      </c>
      <c r="H3319" s="3">
        <f>_xlfn.XLOOKUP(Vendas[[#This Row],[ID Item Vendido]],Agregado[ID],Agregado[Revenda])</f>
        <v>37</v>
      </c>
      <c r="I3319" s="3">
        <f>Vendas[[#This Row],[Valor Unitário]]*Vendas[[#This Row],[Qnt Vendida]]</f>
        <v>962</v>
      </c>
      <c r="J3319" s="3">
        <f>Vendas[[#This Row],[Valor da Venda]]-(_xlfn.XLOOKUP(Vendas[[#This Row],[ID Item Vendido]],Agregado[ID],Agregado[Custo])*Vendas[[#This Row],[Qnt Vendida]])</f>
        <v>234</v>
      </c>
      <c r="K3319" s="70">
        <f>Vendas[[#This Row],[Lucro da Venda]]/Vendas[[#This Row],[Valor da Venda]]</f>
        <v>0.24324324324324326</v>
      </c>
      <c r="L3319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319"/>
    </row>
    <row r="3320" spans="1:13" x14ac:dyDescent="0.3">
      <c r="A3320" s="7">
        <v>400252</v>
      </c>
      <c r="B3320" t="str">
        <f>_xlfn.XLOOKUP(Vendas[[#This Row],[ID Vendedor]],Vendedores[ID],Vendedores[Nome])</f>
        <v>Renata</v>
      </c>
      <c r="C3320" s="7" t="str">
        <f>_xlfn.XLOOKUP(Vendas[[#This Row],[ID Vendedor]],Vendedores[ID],Vendedores[Setor])</f>
        <v>AB</v>
      </c>
      <c r="D3320" s="7" t="s">
        <v>39</v>
      </c>
      <c r="E3320" t="str">
        <f>_xlfn.XLOOKUP(Vendas[[#This Row],[ID Item Vendido]],Agregado[ID],Agregado[Produto])</f>
        <v>Filme plástico industrial rolo 50m</v>
      </c>
      <c r="F3320" s="39">
        <v>45369</v>
      </c>
      <c r="G3320" s="7">
        <v>15</v>
      </c>
      <c r="H3320" s="3">
        <f>_xlfn.XLOOKUP(Vendas[[#This Row],[ID Item Vendido]],Agregado[ID],Agregado[Revenda])</f>
        <v>37</v>
      </c>
      <c r="I3320" s="3">
        <f>Vendas[[#This Row],[Valor Unitário]]*Vendas[[#This Row],[Qnt Vendida]]</f>
        <v>555</v>
      </c>
      <c r="J3320" s="3">
        <f>Vendas[[#This Row],[Valor da Venda]]-(_xlfn.XLOOKUP(Vendas[[#This Row],[ID Item Vendido]],Agregado[ID],Agregado[Custo])*Vendas[[#This Row],[Qnt Vendida]])</f>
        <v>135</v>
      </c>
      <c r="K3320" s="70">
        <f>Vendas[[#This Row],[Lucro da Venda]]/Vendas[[#This Row],[Valor da Venda]]</f>
        <v>0.24324324324324326</v>
      </c>
      <c r="L3320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3320"/>
    </row>
    <row r="3321" spans="1:13" x14ac:dyDescent="0.3">
      <c r="A3321" s="7">
        <v>400244</v>
      </c>
      <c r="B3321" t="str">
        <f>_xlfn.XLOOKUP(Vendas[[#This Row],[ID Vendedor]],Vendedores[ID],Vendedores[Nome])</f>
        <v>Camila</v>
      </c>
      <c r="C3321" s="7" t="str">
        <f>_xlfn.XLOOKUP(Vendas[[#This Row],[ID Vendedor]],Vendedores[ID],Vendedores[Setor])</f>
        <v>AHD</v>
      </c>
      <c r="D3321" s="7" t="s">
        <v>30</v>
      </c>
      <c r="E3321" t="str">
        <f>_xlfn.XLOOKUP(Vendas[[#This Row],[ID Item Vendido]],Agregado[ID],Agregado[Produto])</f>
        <v>Estrutura metálica soldada</v>
      </c>
      <c r="F3321" s="39">
        <v>45369</v>
      </c>
      <c r="G3321" s="7">
        <v>1</v>
      </c>
      <c r="H3321" s="3">
        <f>_xlfn.XLOOKUP(Vendas[[#This Row],[ID Item Vendido]],Agregado[ID],Agregado[Revenda])</f>
        <v>400</v>
      </c>
      <c r="I3321" s="3">
        <f>Vendas[[#This Row],[Valor Unitário]]*Vendas[[#This Row],[Qnt Vendida]]</f>
        <v>400</v>
      </c>
      <c r="J3321" s="3">
        <f>Vendas[[#This Row],[Valor da Venda]]-(_xlfn.XLOOKUP(Vendas[[#This Row],[ID Item Vendido]],Agregado[ID],Agregado[Custo])*Vendas[[#This Row],[Qnt Vendida]])</f>
        <v>80</v>
      </c>
      <c r="K3321" s="70">
        <f>Vendas[[#This Row],[Lucro da Venda]]/Vendas[[#This Row],[Valor da Venda]]</f>
        <v>0.2</v>
      </c>
      <c r="L3321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321"/>
    </row>
    <row r="3322" spans="1:13" x14ac:dyDescent="0.3">
      <c r="A3322" s="7">
        <v>400254</v>
      </c>
      <c r="B3322" t="str">
        <f>_xlfn.XLOOKUP(Vendas[[#This Row],[ID Vendedor]],Vendedores[ID],Vendedores[Nome])</f>
        <v>Beatriz</v>
      </c>
      <c r="C3322" s="7" t="str">
        <f>_xlfn.XLOOKUP(Vendas[[#This Row],[ID Vendedor]],Vendedores[ID],Vendedores[Setor])</f>
        <v>SC</v>
      </c>
      <c r="D3322" s="7" t="s">
        <v>41</v>
      </c>
      <c r="E3322" t="str">
        <f>_xlfn.XLOOKUP(Vendas[[#This Row],[ID Item Vendido]],Agregado[ID],Agregado[Produto])</f>
        <v>Palete de madeira reforçado</v>
      </c>
      <c r="F3322" s="39">
        <v>45369</v>
      </c>
      <c r="G3322" s="7">
        <v>3</v>
      </c>
      <c r="H3322" s="3">
        <f>_xlfn.XLOOKUP(Vendas[[#This Row],[ID Item Vendido]],Agregado[ID],Agregado[Revenda])</f>
        <v>131</v>
      </c>
      <c r="I3322" s="3">
        <f>Vendas[[#This Row],[Valor Unitário]]*Vendas[[#This Row],[Qnt Vendida]]</f>
        <v>393</v>
      </c>
      <c r="J3322" s="3">
        <f>Vendas[[#This Row],[Valor da Venda]]-(_xlfn.XLOOKUP(Vendas[[#This Row],[ID Item Vendido]],Agregado[ID],Agregado[Custo])*Vendas[[#This Row],[Qnt Vendida]])</f>
        <v>63</v>
      </c>
      <c r="K3322" s="70">
        <f>Vendas[[#This Row],[Lucro da Venda]]/Vendas[[#This Row],[Valor da Venda]]</f>
        <v>0.16030534351145037</v>
      </c>
      <c r="L3322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3322"/>
    </row>
    <row r="3323" spans="1:13" x14ac:dyDescent="0.3">
      <c r="A3323" s="7">
        <v>400242</v>
      </c>
      <c r="B3323" t="str">
        <f>_xlfn.XLOOKUP(Vendas[[#This Row],[ID Vendedor]],Vendedores[ID],Vendedores[Nome])</f>
        <v>Fernanda</v>
      </c>
      <c r="C3323" s="7" t="str">
        <f>_xlfn.XLOOKUP(Vendas[[#This Row],[ID Vendedor]],Vendedores[ID],Vendedores[Setor])</f>
        <v>FM</v>
      </c>
      <c r="D3323" s="7" t="s">
        <v>6</v>
      </c>
      <c r="E3323" t="str">
        <f>_xlfn.XLOOKUP(Vendas[[#This Row],[ID Item Vendido]],Agregado[ID],Agregado[Produto])</f>
        <v>Parafuso comum 500un</v>
      </c>
      <c r="F3323" s="39">
        <v>45369</v>
      </c>
      <c r="G3323" s="7">
        <v>2</v>
      </c>
      <c r="H3323" s="3">
        <f>_xlfn.XLOOKUP(Vendas[[#This Row],[ID Item Vendido]],Agregado[ID],Agregado[Revenda])</f>
        <v>24.6</v>
      </c>
      <c r="I3323" s="3">
        <f>Vendas[[#This Row],[Valor Unitário]]*Vendas[[#This Row],[Qnt Vendida]]</f>
        <v>49.2</v>
      </c>
      <c r="J3323" s="3">
        <f>Vendas[[#This Row],[Valor da Venda]]-(_xlfn.XLOOKUP(Vendas[[#This Row],[ID Item Vendido]],Agregado[ID],Agregado[Custo])*Vendas[[#This Row],[Qnt Vendida]])</f>
        <v>5.2000000000000028</v>
      </c>
      <c r="K3323" s="70">
        <f>Vendas[[#This Row],[Lucro da Venda]]/Vendas[[#This Row],[Valor da Venda]]</f>
        <v>0.10569105691056915</v>
      </c>
      <c r="L3323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3323"/>
    </row>
    <row r="3324" spans="1:13" x14ac:dyDescent="0.3">
      <c r="A3324" s="7">
        <v>400253</v>
      </c>
      <c r="B3324" t="str">
        <f>_xlfn.XLOOKUP(Vendas[[#This Row],[ID Vendedor]],Vendedores[ID],Vendedores[Nome])</f>
        <v>Gustavo</v>
      </c>
      <c r="C3324" s="7" t="str">
        <f>_xlfn.XLOOKUP(Vendas[[#This Row],[ID Vendedor]],Vendedores[ID],Vendedores[Setor])</f>
        <v>SC</v>
      </c>
      <c r="D3324" s="7" t="s">
        <v>14</v>
      </c>
      <c r="E3324" t="str">
        <f>_xlfn.XLOOKUP(Vendas[[#This Row],[ID Item Vendido]],Agregado[ID],Agregado[Produto])</f>
        <v>Barril de plástico 200L</v>
      </c>
      <c r="F3324" s="39">
        <v>45370</v>
      </c>
      <c r="G3324" s="7">
        <v>22</v>
      </c>
      <c r="H3324" s="3">
        <f>_xlfn.XLOOKUP(Vendas[[#This Row],[ID Item Vendido]],Agregado[ID],Agregado[Revenda])</f>
        <v>114</v>
      </c>
      <c r="I3324" s="3">
        <f>Vendas[[#This Row],[Valor Unitário]]*Vendas[[#This Row],[Qnt Vendida]]</f>
        <v>2508</v>
      </c>
      <c r="J3324" s="3">
        <f>Vendas[[#This Row],[Valor da Venda]]-(_xlfn.XLOOKUP(Vendas[[#This Row],[ID Item Vendido]],Agregado[ID],Agregado[Custo])*Vendas[[#This Row],[Qnt Vendida]])</f>
        <v>418</v>
      </c>
      <c r="K3324" s="70">
        <f>Vendas[[#This Row],[Lucro da Venda]]/Vendas[[#This Row],[Valor da Venda]]</f>
        <v>0.16666666666666666</v>
      </c>
      <c r="L3324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3324"/>
    </row>
    <row r="3325" spans="1:13" x14ac:dyDescent="0.3">
      <c r="A3325" s="7">
        <v>400255</v>
      </c>
      <c r="B3325" t="str">
        <f>_xlfn.XLOOKUP(Vendas[[#This Row],[ID Vendedor]],Vendedores[ID],Vendedores[Nome])</f>
        <v>Carlos</v>
      </c>
      <c r="C3325" s="7" t="str">
        <f>_xlfn.XLOOKUP(Vendas[[#This Row],[ID Vendedor]],Vendedores[ID],Vendedores[Setor])</f>
        <v>SC</v>
      </c>
      <c r="D3325" s="7" t="s">
        <v>14</v>
      </c>
      <c r="E3325" t="str">
        <f>_xlfn.XLOOKUP(Vendas[[#This Row],[ID Item Vendido]],Agregado[ID],Agregado[Produto])</f>
        <v>Barril de plástico 200L</v>
      </c>
      <c r="F3325" s="39">
        <v>45370</v>
      </c>
      <c r="G3325" s="7">
        <v>5</v>
      </c>
      <c r="H3325" s="3">
        <f>_xlfn.XLOOKUP(Vendas[[#This Row],[ID Item Vendido]],Agregado[ID],Agregado[Revenda])</f>
        <v>114</v>
      </c>
      <c r="I3325" s="3">
        <f>Vendas[[#This Row],[Valor Unitário]]*Vendas[[#This Row],[Qnt Vendida]]</f>
        <v>570</v>
      </c>
      <c r="J3325" s="3">
        <f>Vendas[[#This Row],[Valor da Venda]]-(_xlfn.XLOOKUP(Vendas[[#This Row],[ID Item Vendido]],Agregado[ID],Agregado[Custo])*Vendas[[#This Row],[Qnt Vendida]])</f>
        <v>95</v>
      </c>
      <c r="K3325" s="70">
        <f>Vendas[[#This Row],[Lucro da Venda]]/Vendas[[#This Row],[Valor da Venda]]</f>
        <v>0.16666666666666666</v>
      </c>
      <c r="L3325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3325"/>
    </row>
    <row r="3326" spans="1:13" x14ac:dyDescent="0.3">
      <c r="A3326" s="7">
        <v>400246</v>
      </c>
      <c r="B3326" t="str">
        <f>_xlfn.XLOOKUP(Vendas[[#This Row],[ID Vendedor]],Vendedores[ID],Vendedores[Nome])</f>
        <v>Juliana</v>
      </c>
      <c r="C3326" s="7" t="str">
        <f>_xlfn.XLOOKUP(Vendas[[#This Row],[ID Vendedor]],Vendedores[ID],Vendedores[Setor])</f>
        <v>AHD</v>
      </c>
      <c r="D3326" s="7" t="s">
        <v>30</v>
      </c>
      <c r="E3326" t="str">
        <f>_xlfn.XLOOKUP(Vendas[[#This Row],[ID Item Vendido]],Agregado[ID],Agregado[Produto])</f>
        <v>Estrutura metálica soldada</v>
      </c>
      <c r="F3326" s="39">
        <v>45371</v>
      </c>
      <c r="G3326" s="7">
        <v>5</v>
      </c>
      <c r="H3326" s="3">
        <f>_xlfn.XLOOKUP(Vendas[[#This Row],[ID Item Vendido]],Agregado[ID],Agregado[Revenda])</f>
        <v>400</v>
      </c>
      <c r="I3326" s="3">
        <f>Vendas[[#This Row],[Valor Unitário]]*Vendas[[#This Row],[Qnt Vendida]]</f>
        <v>2000</v>
      </c>
      <c r="J3326" s="3">
        <f>Vendas[[#This Row],[Valor da Venda]]-(_xlfn.XLOOKUP(Vendas[[#This Row],[ID Item Vendido]],Agregado[ID],Agregado[Custo])*Vendas[[#This Row],[Qnt Vendida]])</f>
        <v>400</v>
      </c>
      <c r="K3326" s="70">
        <f>Vendas[[#This Row],[Lucro da Venda]]/Vendas[[#This Row],[Valor da Venda]]</f>
        <v>0.2</v>
      </c>
      <c r="L3326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326"/>
    </row>
    <row r="3327" spans="1:13" x14ac:dyDescent="0.3">
      <c r="A3327" s="7">
        <v>400243</v>
      </c>
      <c r="B3327" t="str">
        <f>_xlfn.XLOOKUP(Vendas[[#This Row],[ID Vendedor]],Vendedores[ID],Vendedores[Nome])</f>
        <v>Marcelo</v>
      </c>
      <c r="C3327" s="7" t="str">
        <f>_xlfn.XLOOKUP(Vendas[[#This Row],[ID Vendedor]],Vendedores[ID],Vendedores[Setor])</f>
        <v>FM</v>
      </c>
      <c r="D3327" s="7" t="s">
        <v>20</v>
      </c>
      <c r="E3327" t="str">
        <f>_xlfn.XLOOKUP(Vendas[[#This Row],[ID Item Vendido]],Agregado[ID],Agregado[Produto])</f>
        <v>Barra de aço simples</v>
      </c>
      <c r="F3327" s="39">
        <v>45371</v>
      </c>
      <c r="G3327" s="7">
        <v>46</v>
      </c>
      <c r="H3327" s="3">
        <f>_xlfn.XLOOKUP(Vendas[[#This Row],[ID Item Vendido]],Agregado[ID],Agregado[Revenda])</f>
        <v>4.8</v>
      </c>
      <c r="I3327" s="3">
        <f>Vendas[[#This Row],[Valor Unitário]]*Vendas[[#This Row],[Qnt Vendida]]</f>
        <v>220.79999999999998</v>
      </c>
      <c r="J3327" s="3">
        <f>Vendas[[#This Row],[Valor da Venda]]-(_xlfn.XLOOKUP(Vendas[[#This Row],[ID Item Vendido]],Agregado[ID],Agregado[Custo])*Vendas[[#This Row],[Qnt Vendida]])</f>
        <v>27.599999999999966</v>
      </c>
      <c r="K3327" s="70">
        <f>Vendas[[#This Row],[Lucro da Venda]]/Vendas[[#This Row],[Valor da Venda]]</f>
        <v>0.12499999999999986</v>
      </c>
      <c r="L3327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3327"/>
    </row>
    <row r="3328" spans="1:13" x14ac:dyDescent="0.3">
      <c r="A3328" s="7">
        <v>400250</v>
      </c>
      <c r="B3328" t="str">
        <f>_xlfn.XLOOKUP(Vendas[[#This Row],[ID Vendedor]],Vendedores[ID],Vendedores[Nome])</f>
        <v>Larissa</v>
      </c>
      <c r="C3328" s="7" t="str">
        <f>_xlfn.XLOOKUP(Vendas[[#This Row],[ID Vendedor]],Vendedores[ID],Vendedores[Setor])</f>
        <v>AB</v>
      </c>
      <c r="D3328" s="7" t="s">
        <v>12</v>
      </c>
      <c r="E3328" t="str">
        <f>_xlfn.XLOOKUP(Vendas[[#This Row],[ID Item Vendido]],Agregado[ID],Agregado[Produto])</f>
        <v>Grânulo de plástico reciclado refinado</v>
      </c>
      <c r="F3328" s="39">
        <v>45372</v>
      </c>
      <c r="G3328" s="7">
        <v>17</v>
      </c>
      <c r="H3328" s="3">
        <f>_xlfn.XLOOKUP(Vendas[[#This Row],[ID Item Vendido]],Agregado[ID],Agregado[Revenda])</f>
        <v>4.7</v>
      </c>
      <c r="I3328" s="3">
        <f>Vendas[[#This Row],[Valor Unitário]]*Vendas[[#This Row],[Qnt Vendida]]</f>
        <v>79.900000000000006</v>
      </c>
      <c r="J3328" s="3">
        <f>Vendas[[#This Row],[Valor da Venda]]-(_xlfn.XLOOKUP(Vendas[[#This Row],[ID Item Vendido]],Agregado[ID],Agregado[Custo])*Vendas[[#This Row],[Qnt Vendida]])</f>
        <v>20.400000000000006</v>
      </c>
      <c r="K3328" s="70">
        <f>Vendas[[#This Row],[Lucro da Venda]]/Vendas[[#This Row],[Valor da Venda]]</f>
        <v>0.25531914893617025</v>
      </c>
      <c r="L3328" s="3">
        <f>_xlfn.IFS(Vendas[[#This Row],[Margem de Lucro (%)]]&lt;15%,Vendas[[#This Row],[Valor da Venda]]*3%,Vendas[[#This Row],[Margem de Lucro (%)]]&lt;=20%,Vendas[[#This Row],[Valor da Venda]]*4.5%,TRUE,Vendas[[#This Row],[Valor da Venda]]*6%)</f>
        <v>4.7940000000000005</v>
      </c>
      <c r="M3328"/>
    </row>
    <row r="3329" spans="1:13" x14ac:dyDescent="0.3">
      <c r="A3329" s="7">
        <v>400254</v>
      </c>
      <c r="B3329" t="str">
        <f>_xlfn.XLOOKUP(Vendas[[#This Row],[ID Vendedor]],Vendedores[ID],Vendedores[Nome])</f>
        <v>Beatriz</v>
      </c>
      <c r="C3329" s="7" t="str">
        <f>_xlfn.XLOOKUP(Vendas[[#This Row],[ID Vendedor]],Vendedores[ID],Vendedores[Setor])</f>
        <v>SC</v>
      </c>
      <c r="D3329" s="7" t="s">
        <v>14</v>
      </c>
      <c r="E3329" t="str">
        <f>_xlfn.XLOOKUP(Vendas[[#This Row],[ID Item Vendido]],Agregado[ID],Agregado[Produto])</f>
        <v>Barril de plástico 200L</v>
      </c>
      <c r="F3329" s="39">
        <v>45373</v>
      </c>
      <c r="G3329" s="7">
        <v>21</v>
      </c>
      <c r="H3329" s="3">
        <f>_xlfn.XLOOKUP(Vendas[[#This Row],[ID Item Vendido]],Agregado[ID],Agregado[Revenda])</f>
        <v>114</v>
      </c>
      <c r="I3329" s="3">
        <f>Vendas[[#This Row],[Valor Unitário]]*Vendas[[#This Row],[Qnt Vendida]]</f>
        <v>2394</v>
      </c>
      <c r="J3329" s="3">
        <f>Vendas[[#This Row],[Valor da Venda]]-(_xlfn.XLOOKUP(Vendas[[#This Row],[ID Item Vendido]],Agregado[ID],Agregado[Custo])*Vendas[[#This Row],[Qnt Vendida]])</f>
        <v>399</v>
      </c>
      <c r="K3329" s="70">
        <f>Vendas[[#This Row],[Lucro da Venda]]/Vendas[[#This Row],[Valor da Venda]]</f>
        <v>0.16666666666666666</v>
      </c>
      <c r="L3329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3329"/>
    </row>
    <row r="3330" spans="1:13" x14ac:dyDescent="0.3">
      <c r="A3330" s="7">
        <v>400253</v>
      </c>
      <c r="B3330" t="str">
        <f>_xlfn.XLOOKUP(Vendas[[#This Row],[ID Vendedor]],Vendedores[ID],Vendedores[Nome])</f>
        <v>Gustavo</v>
      </c>
      <c r="C3330" s="7" t="str">
        <f>_xlfn.XLOOKUP(Vendas[[#This Row],[ID Vendedor]],Vendedores[ID],Vendedores[Setor])</f>
        <v>SC</v>
      </c>
      <c r="D3330" s="7" t="s">
        <v>48</v>
      </c>
      <c r="E3330" t="str">
        <f>_xlfn.XLOOKUP(Vendas[[#This Row],[ID Item Vendido]],Agregado[ID],Agregado[Produto])</f>
        <v>Tambor metálico 200L</v>
      </c>
      <c r="F3330" s="39">
        <v>45373</v>
      </c>
      <c r="G3330" s="7">
        <v>11</v>
      </c>
      <c r="H3330" s="3">
        <f>_xlfn.XLOOKUP(Vendas[[#This Row],[ID Item Vendido]],Agregado[ID],Agregado[Revenda])</f>
        <v>144</v>
      </c>
      <c r="I3330" s="3">
        <f>Vendas[[#This Row],[Valor Unitário]]*Vendas[[#This Row],[Qnt Vendida]]</f>
        <v>1584</v>
      </c>
      <c r="J3330" s="3">
        <f>Vendas[[#This Row],[Valor da Venda]]-(_xlfn.XLOOKUP(Vendas[[#This Row],[ID Item Vendido]],Agregado[ID],Agregado[Custo])*Vendas[[#This Row],[Qnt Vendida]])</f>
        <v>264</v>
      </c>
      <c r="K3330" s="70">
        <f>Vendas[[#This Row],[Lucro da Venda]]/Vendas[[#This Row],[Valor da Venda]]</f>
        <v>0.16666666666666666</v>
      </c>
      <c r="L3330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330"/>
    </row>
    <row r="3331" spans="1:13" x14ac:dyDescent="0.3">
      <c r="A3331" s="7">
        <v>400242</v>
      </c>
      <c r="B3331" t="str">
        <f>_xlfn.XLOOKUP(Vendas[[#This Row],[ID Vendedor]],Vendedores[ID],Vendedores[Nome])</f>
        <v>Fernanda</v>
      </c>
      <c r="C3331" s="7" t="str">
        <f>_xlfn.XLOOKUP(Vendas[[#This Row],[ID Vendedor]],Vendedores[ID],Vendedores[Setor])</f>
        <v>FM</v>
      </c>
      <c r="D3331" s="7" t="s">
        <v>31</v>
      </c>
      <c r="E3331" t="str">
        <f>_xlfn.XLOOKUP(Vendas[[#This Row],[ID Item Vendido]],Agregado[ID],Agregado[Produto])</f>
        <v>Tela de metal soldada rolo 2x25m</v>
      </c>
      <c r="F3331" s="39">
        <v>45373</v>
      </c>
      <c r="G3331" s="7">
        <v>6</v>
      </c>
      <c r="H3331" s="3">
        <f>_xlfn.XLOOKUP(Vendas[[#This Row],[ID Item Vendido]],Agregado[ID],Agregado[Revenda])</f>
        <v>43.7</v>
      </c>
      <c r="I3331" s="3">
        <f>Vendas[[#This Row],[Valor Unitário]]*Vendas[[#This Row],[Qnt Vendida]]</f>
        <v>262.20000000000005</v>
      </c>
      <c r="J3331" s="3">
        <f>Vendas[[#This Row],[Valor da Venda]]-(_xlfn.XLOOKUP(Vendas[[#This Row],[ID Item Vendido]],Agregado[ID],Agregado[Custo])*Vendas[[#This Row],[Qnt Vendida]])</f>
        <v>34.200000000000045</v>
      </c>
      <c r="K3331" s="70">
        <f>Vendas[[#This Row],[Lucro da Venda]]/Vendas[[#This Row],[Valor da Venda]]</f>
        <v>0.13043478260869582</v>
      </c>
      <c r="L3331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3331"/>
    </row>
    <row r="3332" spans="1:13" x14ac:dyDescent="0.3">
      <c r="A3332" s="7">
        <v>400241</v>
      </c>
      <c r="B3332" t="str">
        <f>_xlfn.XLOOKUP(Vendas[[#This Row],[ID Vendedor]],Vendedores[ID],Vendedores[Nome])</f>
        <v>Rodrigo</v>
      </c>
      <c r="C3332" s="7" t="str">
        <f>_xlfn.XLOOKUP(Vendas[[#This Row],[ID Vendedor]],Vendedores[ID],Vendedores[Setor])</f>
        <v>FM</v>
      </c>
      <c r="D3332" s="7" t="s">
        <v>47</v>
      </c>
      <c r="E3332" t="str">
        <f>_xlfn.XLOOKUP(Vendas[[#This Row],[ID Item Vendido]],Agregado[ID],Agregado[Produto])</f>
        <v>Fio de arame galvanizado rolo 50m</v>
      </c>
      <c r="F3332" s="39">
        <v>45373</v>
      </c>
      <c r="G3332" s="7">
        <v>3</v>
      </c>
      <c r="H3332" s="3">
        <f>_xlfn.XLOOKUP(Vendas[[#This Row],[ID Item Vendido]],Agregado[ID],Agregado[Revenda])</f>
        <v>21.2</v>
      </c>
      <c r="I3332" s="3">
        <f>Vendas[[#This Row],[Valor Unitário]]*Vendas[[#This Row],[Qnt Vendida]]</f>
        <v>63.599999999999994</v>
      </c>
      <c r="J3332" s="3">
        <f>Vendas[[#This Row],[Valor da Venda]]-(_xlfn.XLOOKUP(Vendas[[#This Row],[ID Item Vendido]],Agregado[ID],Agregado[Custo])*Vendas[[#This Row],[Qnt Vendida]])</f>
        <v>9.5999999999999943</v>
      </c>
      <c r="K3332" s="70">
        <f>Vendas[[#This Row],[Lucro da Venda]]/Vendas[[#This Row],[Valor da Venda]]</f>
        <v>0.15094339622641501</v>
      </c>
      <c r="L3332" s="3">
        <f>_xlfn.IFS(Vendas[[#This Row],[Margem de Lucro (%)]]&lt;15%,Vendas[[#This Row],[Valor da Venda]]*3%,Vendas[[#This Row],[Margem de Lucro (%)]]&lt;=20%,Vendas[[#This Row],[Valor da Venda]]*4.5%,TRUE,Vendas[[#This Row],[Valor da Venda]]*6%)</f>
        <v>2.8619999999999997</v>
      </c>
      <c r="M3332"/>
    </row>
    <row r="3333" spans="1:13" x14ac:dyDescent="0.3">
      <c r="A3333" s="7">
        <v>400250</v>
      </c>
      <c r="B3333" t="str">
        <f>_xlfn.XLOOKUP(Vendas[[#This Row],[ID Vendedor]],Vendedores[ID],Vendedores[Nome])</f>
        <v>Larissa</v>
      </c>
      <c r="C3333" s="7" t="str">
        <f>_xlfn.XLOOKUP(Vendas[[#This Row],[ID Vendedor]],Vendedores[ID],Vendedores[Setor])</f>
        <v>AB</v>
      </c>
      <c r="D3333" s="7" t="s">
        <v>24</v>
      </c>
      <c r="E3333" t="str">
        <f>_xlfn.XLOOKUP(Vendas[[#This Row],[ID Item Vendido]],Agregado[ID],Agregado[Produto])</f>
        <v>Resina plástica PET purificada saco de 25kg</v>
      </c>
      <c r="F3333" s="39">
        <v>45374</v>
      </c>
      <c r="G3333" s="7">
        <v>29</v>
      </c>
      <c r="H3333" s="3">
        <f>_xlfn.XLOOKUP(Vendas[[#This Row],[ID Item Vendido]],Agregado[ID],Agregado[Revenda])</f>
        <v>119</v>
      </c>
      <c r="I3333" s="3">
        <f>Vendas[[#This Row],[Valor Unitário]]*Vendas[[#This Row],[Qnt Vendida]]</f>
        <v>3451</v>
      </c>
      <c r="J3333" s="3">
        <f>Vendas[[#This Row],[Valor da Venda]]-(_xlfn.XLOOKUP(Vendas[[#This Row],[ID Item Vendido]],Agregado[ID],Agregado[Custo])*Vendas[[#This Row],[Qnt Vendida]])</f>
        <v>986</v>
      </c>
      <c r="K3333" s="70">
        <f>Vendas[[#This Row],[Lucro da Venda]]/Vendas[[#This Row],[Valor da Venda]]</f>
        <v>0.2857142857142857</v>
      </c>
      <c r="L3333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3333"/>
    </row>
    <row r="3334" spans="1:13" x14ac:dyDescent="0.3">
      <c r="A3334" s="7">
        <v>400244</v>
      </c>
      <c r="B3334" t="str">
        <f>_xlfn.XLOOKUP(Vendas[[#This Row],[ID Vendedor]],Vendedores[ID],Vendedores[Nome])</f>
        <v>Camila</v>
      </c>
      <c r="C3334" s="7" t="str">
        <f>_xlfn.XLOOKUP(Vendas[[#This Row],[ID Vendedor]],Vendedores[ID],Vendedores[Setor])</f>
        <v>AHD</v>
      </c>
      <c r="D3334" s="7" t="s">
        <v>44</v>
      </c>
      <c r="E3334" t="str">
        <f>_xlfn.XLOOKUP(Vendas[[#This Row],[ID Item Vendido]],Agregado[ID],Agregado[Produto])</f>
        <v>Liga metálica especial</v>
      </c>
      <c r="F3334" s="39">
        <v>45375</v>
      </c>
      <c r="G3334" s="7">
        <v>29</v>
      </c>
      <c r="H3334" s="3">
        <f>_xlfn.XLOOKUP(Vendas[[#This Row],[ID Item Vendido]],Agregado[ID],Agregado[Revenda])</f>
        <v>32.5</v>
      </c>
      <c r="I3334" s="3">
        <f>Vendas[[#This Row],[Valor Unitário]]*Vendas[[#This Row],[Qnt Vendida]]</f>
        <v>942.5</v>
      </c>
      <c r="J3334" s="3">
        <f>Vendas[[#This Row],[Valor da Venda]]-(_xlfn.XLOOKUP(Vendas[[#This Row],[ID Item Vendido]],Agregado[ID],Agregado[Custo])*Vendas[[#This Row],[Qnt Vendida]])</f>
        <v>217.5</v>
      </c>
      <c r="K3334" s="70">
        <f>Vendas[[#This Row],[Lucro da Venda]]/Vendas[[#This Row],[Valor da Venda]]</f>
        <v>0.23076923076923078</v>
      </c>
      <c r="L3334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3334"/>
    </row>
    <row r="3335" spans="1:13" x14ac:dyDescent="0.3">
      <c r="A3335" s="7">
        <v>400250</v>
      </c>
      <c r="B3335" t="str">
        <f>_xlfn.XLOOKUP(Vendas[[#This Row],[ID Vendedor]],Vendedores[ID],Vendedores[Nome])</f>
        <v>Larissa</v>
      </c>
      <c r="C3335" s="7" t="str">
        <f>_xlfn.XLOOKUP(Vendas[[#This Row],[ID Vendedor]],Vendedores[ID],Vendedores[Setor])</f>
        <v>AB</v>
      </c>
      <c r="D3335" s="7" t="s">
        <v>36</v>
      </c>
      <c r="E3335" t="str">
        <f>_xlfn.XLOOKUP(Vendas[[#This Row],[ID Item Vendido]],Agregado[ID],Agregado[Produto])</f>
        <v>Borracha vulcanizada em manta</v>
      </c>
      <c r="F3335" s="39">
        <v>45375</v>
      </c>
      <c r="G3335" s="7">
        <v>52</v>
      </c>
      <c r="H3335" s="3">
        <f>_xlfn.XLOOKUP(Vendas[[#This Row],[ID Item Vendido]],Agregado[ID],Agregado[Revenda])</f>
        <v>7.8</v>
      </c>
      <c r="I3335" s="3">
        <f>Vendas[[#This Row],[Valor Unitário]]*Vendas[[#This Row],[Qnt Vendida]]</f>
        <v>405.59999999999997</v>
      </c>
      <c r="J3335" s="3">
        <f>Vendas[[#This Row],[Valor da Venda]]-(_xlfn.XLOOKUP(Vendas[[#This Row],[ID Item Vendido]],Agregado[ID],Agregado[Custo])*Vendas[[#This Row],[Qnt Vendida]])</f>
        <v>93.599999999999966</v>
      </c>
      <c r="K3335" s="70">
        <f>Vendas[[#This Row],[Lucro da Venda]]/Vendas[[#This Row],[Valor da Venda]]</f>
        <v>0.2307692307692307</v>
      </c>
      <c r="L3335" s="3">
        <f>_xlfn.IFS(Vendas[[#This Row],[Margem de Lucro (%)]]&lt;15%,Vendas[[#This Row],[Valor da Venda]]*3%,Vendas[[#This Row],[Margem de Lucro (%)]]&lt;=20%,Vendas[[#This Row],[Valor da Venda]]*4.5%,TRUE,Vendas[[#This Row],[Valor da Venda]]*6%)</f>
        <v>24.335999999999999</v>
      </c>
      <c r="M3335"/>
    </row>
    <row r="3336" spans="1:13" x14ac:dyDescent="0.3">
      <c r="A3336" s="7">
        <v>400254</v>
      </c>
      <c r="B3336" t="str">
        <f>_xlfn.XLOOKUP(Vendas[[#This Row],[ID Vendedor]],Vendedores[ID],Vendedores[Nome])</f>
        <v>Beatriz</v>
      </c>
      <c r="C3336" s="7" t="str">
        <f>_xlfn.XLOOKUP(Vendas[[#This Row],[ID Vendedor]],Vendedores[ID],Vendedores[Setor])</f>
        <v>SC</v>
      </c>
      <c r="D3336" s="7" t="s">
        <v>14</v>
      </c>
      <c r="E3336" t="str">
        <f>_xlfn.XLOOKUP(Vendas[[#This Row],[ID Item Vendido]],Agregado[ID],Agregado[Produto])</f>
        <v>Barril de plástico 200L</v>
      </c>
      <c r="F3336" s="39">
        <v>45375</v>
      </c>
      <c r="G3336" s="7">
        <v>3</v>
      </c>
      <c r="H3336" s="3">
        <f>_xlfn.XLOOKUP(Vendas[[#This Row],[ID Item Vendido]],Agregado[ID],Agregado[Revenda])</f>
        <v>114</v>
      </c>
      <c r="I3336" s="3">
        <f>Vendas[[#This Row],[Valor Unitário]]*Vendas[[#This Row],[Qnt Vendida]]</f>
        <v>342</v>
      </c>
      <c r="J3336" s="3">
        <f>Vendas[[#This Row],[Valor da Venda]]-(_xlfn.XLOOKUP(Vendas[[#This Row],[ID Item Vendido]],Agregado[ID],Agregado[Custo])*Vendas[[#This Row],[Qnt Vendida]])</f>
        <v>57</v>
      </c>
      <c r="K3336" s="70">
        <f>Vendas[[#This Row],[Lucro da Venda]]/Vendas[[#This Row],[Valor da Venda]]</f>
        <v>0.16666666666666666</v>
      </c>
      <c r="L3336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3336"/>
    </row>
    <row r="3337" spans="1:13" x14ac:dyDescent="0.3">
      <c r="A3337" s="7">
        <v>400243</v>
      </c>
      <c r="B3337" t="str">
        <f>_xlfn.XLOOKUP(Vendas[[#This Row],[ID Vendedor]],Vendedores[ID],Vendedores[Nome])</f>
        <v>Marcelo</v>
      </c>
      <c r="C3337" s="7" t="str">
        <f>_xlfn.XLOOKUP(Vendas[[#This Row],[ID Vendedor]],Vendedores[ID],Vendedores[Setor])</f>
        <v>FM</v>
      </c>
      <c r="D3337" s="7" t="s">
        <v>27</v>
      </c>
      <c r="E3337" t="str">
        <f>_xlfn.XLOOKUP(Vendas[[#This Row],[ID Item Vendido]],Agregado[ID],Agregado[Produto])</f>
        <v>Chapa de metal lisa 1x2m</v>
      </c>
      <c r="F3337" s="39">
        <v>45375</v>
      </c>
      <c r="G3337" s="7">
        <v>2</v>
      </c>
      <c r="H3337" s="3">
        <f>_xlfn.XLOOKUP(Vendas[[#This Row],[ID Item Vendido]],Agregado[ID],Agregado[Revenda])</f>
        <v>52</v>
      </c>
      <c r="I3337" s="3">
        <f>Vendas[[#This Row],[Valor Unitário]]*Vendas[[#This Row],[Qnt Vendida]]</f>
        <v>104</v>
      </c>
      <c r="J3337" s="3">
        <f>Vendas[[#This Row],[Valor da Venda]]-(_xlfn.XLOOKUP(Vendas[[#This Row],[ID Item Vendido]],Agregado[ID],Agregado[Custo])*Vendas[[#This Row],[Qnt Vendida]])</f>
        <v>14</v>
      </c>
      <c r="K3337" s="70">
        <f>Vendas[[#This Row],[Lucro da Venda]]/Vendas[[#This Row],[Valor da Venda]]</f>
        <v>0.13461538461538461</v>
      </c>
      <c r="L3337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3337"/>
    </row>
    <row r="3338" spans="1:13" x14ac:dyDescent="0.3">
      <c r="A3338" s="7">
        <v>400253</v>
      </c>
      <c r="B3338" t="str">
        <f>_xlfn.XLOOKUP(Vendas[[#This Row],[ID Vendedor]],Vendedores[ID],Vendedores[Nome])</f>
        <v>Gustavo</v>
      </c>
      <c r="C3338" s="7" t="str">
        <f>_xlfn.XLOOKUP(Vendas[[#This Row],[ID Vendedor]],Vendedores[ID],Vendedores[Setor])</f>
        <v>SC</v>
      </c>
      <c r="D3338" s="7" t="s">
        <v>42</v>
      </c>
      <c r="E3338" t="str">
        <f>_xlfn.XLOOKUP(Vendas[[#This Row],[ID Item Vendido]],Agregado[ID],Agregado[Produto])</f>
        <v>Container de ferro industrial</v>
      </c>
      <c r="F3338" s="39">
        <v>45376</v>
      </c>
      <c r="G3338" s="7">
        <v>3</v>
      </c>
      <c r="H3338" s="3">
        <f>_xlfn.XLOOKUP(Vendas[[#This Row],[ID Item Vendido]],Agregado[ID],Agregado[Revenda])</f>
        <v>830</v>
      </c>
      <c r="I3338" s="3">
        <f>Vendas[[#This Row],[Valor Unitário]]*Vendas[[#This Row],[Qnt Vendida]]</f>
        <v>2490</v>
      </c>
      <c r="J3338" s="3">
        <f>Vendas[[#This Row],[Valor da Venda]]-(_xlfn.XLOOKUP(Vendas[[#This Row],[ID Item Vendido]],Agregado[ID],Agregado[Custo])*Vendas[[#This Row],[Qnt Vendida]])</f>
        <v>450</v>
      </c>
      <c r="K3338" s="70">
        <f>Vendas[[#This Row],[Lucro da Venda]]/Vendas[[#This Row],[Valor da Venda]]</f>
        <v>0.18072289156626506</v>
      </c>
      <c r="L3338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338"/>
    </row>
    <row r="3339" spans="1:13" x14ac:dyDescent="0.3">
      <c r="A3339" s="7">
        <v>400248</v>
      </c>
      <c r="B3339" t="str">
        <f>_xlfn.XLOOKUP(Vendas[[#This Row],[ID Vendedor]],Vendedores[ID],Vendedores[Nome])</f>
        <v>Patrícia</v>
      </c>
      <c r="C3339" s="7" t="str">
        <f>_xlfn.XLOOKUP(Vendas[[#This Row],[ID Vendedor]],Vendedores[ID],Vendedores[Setor])</f>
        <v>CM</v>
      </c>
      <c r="D3339" s="7" t="s">
        <v>45</v>
      </c>
      <c r="E3339" t="str">
        <f>_xlfn.XLOOKUP(Vendas[[#This Row],[ID Item Vendido]],Agregado[ID],Agregado[Produto])</f>
        <v>Viga de madeira tratada 4m</v>
      </c>
      <c r="F3339" s="39">
        <v>45376</v>
      </c>
      <c r="G3339" s="7">
        <v>4</v>
      </c>
      <c r="H3339" s="3">
        <f>_xlfn.XLOOKUP(Vendas[[#This Row],[ID Item Vendido]],Agregado[ID],Agregado[Revenda])</f>
        <v>66</v>
      </c>
      <c r="I3339" s="3">
        <f>Vendas[[#This Row],[Valor Unitário]]*Vendas[[#This Row],[Qnt Vendida]]</f>
        <v>264</v>
      </c>
      <c r="J3339" s="3">
        <f>Vendas[[#This Row],[Valor da Venda]]-(_xlfn.XLOOKUP(Vendas[[#This Row],[ID Item Vendido]],Agregado[ID],Agregado[Custo])*Vendas[[#This Row],[Qnt Vendida]])</f>
        <v>44</v>
      </c>
      <c r="K3339" s="70">
        <f>Vendas[[#This Row],[Lucro da Venda]]/Vendas[[#This Row],[Valor da Venda]]</f>
        <v>0.16666666666666666</v>
      </c>
      <c r="L3339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3339"/>
    </row>
    <row r="3340" spans="1:13" x14ac:dyDescent="0.3">
      <c r="A3340" s="7">
        <v>400252</v>
      </c>
      <c r="B3340" t="str">
        <f>_xlfn.XLOOKUP(Vendas[[#This Row],[ID Vendedor]],Vendedores[ID],Vendedores[Nome])</f>
        <v>Renata</v>
      </c>
      <c r="C3340" s="7" t="str">
        <f>_xlfn.XLOOKUP(Vendas[[#This Row],[ID Vendedor]],Vendedores[ID],Vendedores[Setor])</f>
        <v>AB</v>
      </c>
      <c r="D3340" s="7" t="s">
        <v>12</v>
      </c>
      <c r="E3340" t="str">
        <f>_xlfn.XLOOKUP(Vendas[[#This Row],[ID Item Vendido]],Agregado[ID],Agregado[Produto])</f>
        <v>Grânulo de plástico reciclado refinado</v>
      </c>
      <c r="F3340" s="39">
        <v>45377</v>
      </c>
      <c r="G3340" s="7">
        <v>100</v>
      </c>
      <c r="H3340" s="3">
        <f>_xlfn.XLOOKUP(Vendas[[#This Row],[ID Item Vendido]],Agregado[ID],Agregado[Revenda])</f>
        <v>4.7</v>
      </c>
      <c r="I3340" s="3">
        <f>Vendas[[#This Row],[Valor Unitário]]*Vendas[[#This Row],[Qnt Vendida]]</f>
        <v>470</v>
      </c>
      <c r="J3340" s="3">
        <f>Vendas[[#This Row],[Valor da Venda]]-(_xlfn.XLOOKUP(Vendas[[#This Row],[ID Item Vendido]],Agregado[ID],Agregado[Custo])*Vendas[[#This Row],[Qnt Vendida]])</f>
        <v>120</v>
      </c>
      <c r="K3340" s="70">
        <f>Vendas[[#This Row],[Lucro da Venda]]/Vendas[[#This Row],[Valor da Venda]]</f>
        <v>0.25531914893617019</v>
      </c>
      <c r="L3340" s="3">
        <f>_xlfn.IFS(Vendas[[#This Row],[Margem de Lucro (%)]]&lt;15%,Vendas[[#This Row],[Valor da Venda]]*3%,Vendas[[#This Row],[Margem de Lucro (%)]]&lt;=20%,Vendas[[#This Row],[Valor da Venda]]*4.5%,TRUE,Vendas[[#This Row],[Valor da Venda]]*6%)</f>
        <v>28.2</v>
      </c>
      <c r="M3340"/>
    </row>
    <row r="3341" spans="1:13" x14ac:dyDescent="0.3">
      <c r="A3341" s="7">
        <v>400246</v>
      </c>
      <c r="B3341" t="str">
        <f>_xlfn.XLOOKUP(Vendas[[#This Row],[ID Vendedor]],Vendedores[ID],Vendedores[Nome])</f>
        <v>Juliana</v>
      </c>
      <c r="C3341" s="7" t="str">
        <f>_xlfn.XLOOKUP(Vendas[[#This Row],[ID Vendedor]],Vendedores[ID],Vendedores[Setor])</f>
        <v>AHD</v>
      </c>
      <c r="D3341" s="7" t="s">
        <v>28</v>
      </c>
      <c r="E3341" t="str">
        <f>_xlfn.XLOOKUP(Vendas[[#This Row],[ID Item Vendido]],Agregado[ID],Agregado[Produto])</f>
        <v>Peça usinada CNC</v>
      </c>
      <c r="F3341" s="39">
        <v>45377</v>
      </c>
      <c r="G3341" s="7">
        <v>1</v>
      </c>
      <c r="H3341" s="3">
        <f>_xlfn.XLOOKUP(Vendas[[#This Row],[ID Item Vendido]],Agregado[ID],Agregado[Revenda])</f>
        <v>192</v>
      </c>
      <c r="I3341" s="3">
        <f>Vendas[[#This Row],[Valor Unitário]]*Vendas[[#This Row],[Qnt Vendida]]</f>
        <v>192</v>
      </c>
      <c r="J3341" s="3">
        <f>Vendas[[#This Row],[Valor da Venda]]-(_xlfn.XLOOKUP(Vendas[[#This Row],[ID Item Vendido]],Agregado[ID],Agregado[Custo])*Vendas[[#This Row],[Qnt Vendida]])</f>
        <v>42</v>
      </c>
      <c r="K3341" s="70">
        <f>Vendas[[#This Row],[Lucro da Venda]]/Vendas[[#This Row],[Valor da Venda]]</f>
        <v>0.21875</v>
      </c>
      <c r="L3341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3341"/>
    </row>
    <row r="3342" spans="1:13" x14ac:dyDescent="0.3">
      <c r="A3342" s="7">
        <v>400252</v>
      </c>
      <c r="B3342" t="str">
        <f>_xlfn.XLOOKUP(Vendas[[#This Row],[ID Vendedor]],Vendedores[ID],Vendedores[Nome])</f>
        <v>Renata</v>
      </c>
      <c r="C3342" s="7" t="str">
        <f>_xlfn.XLOOKUP(Vendas[[#This Row],[ID Vendedor]],Vendedores[ID],Vendedores[Setor])</f>
        <v>AB</v>
      </c>
      <c r="D3342" s="7" t="s">
        <v>37</v>
      </c>
      <c r="E3342" t="str">
        <f>_xlfn.XLOOKUP(Vendas[[#This Row],[ID Item Vendido]],Agregado[ID],Agregado[Produto])</f>
        <v>Composto de borracha para vedação rolo 10m</v>
      </c>
      <c r="F3342" s="39">
        <v>45379</v>
      </c>
      <c r="G3342" s="7">
        <v>10</v>
      </c>
      <c r="H3342" s="3">
        <f>_xlfn.XLOOKUP(Vendas[[#This Row],[ID Item Vendido]],Agregado[ID],Agregado[Revenda])</f>
        <v>51.2</v>
      </c>
      <c r="I3342" s="3">
        <f>Vendas[[#This Row],[Valor Unitário]]*Vendas[[#This Row],[Qnt Vendida]]</f>
        <v>512</v>
      </c>
      <c r="J3342" s="3">
        <f>Vendas[[#This Row],[Valor da Venda]]-(_xlfn.XLOOKUP(Vendas[[#This Row],[ID Item Vendido]],Agregado[ID],Agregado[Custo])*Vendas[[#This Row],[Qnt Vendida]])</f>
        <v>112</v>
      </c>
      <c r="K3342" s="70">
        <f>Vendas[[#This Row],[Lucro da Venda]]/Vendas[[#This Row],[Valor da Venda]]</f>
        <v>0.21875</v>
      </c>
      <c r="L3342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3342"/>
    </row>
    <row r="3343" spans="1:13" x14ac:dyDescent="0.3">
      <c r="A3343" s="7">
        <v>400253</v>
      </c>
      <c r="B3343" t="str">
        <f>_xlfn.XLOOKUP(Vendas[[#This Row],[ID Vendedor]],Vendedores[ID],Vendedores[Nome])</f>
        <v>Gustavo</v>
      </c>
      <c r="C3343" s="7" t="str">
        <f>_xlfn.XLOOKUP(Vendas[[#This Row],[ID Vendedor]],Vendedores[ID],Vendedores[Setor])</f>
        <v>SC</v>
      </c>
      <c r="D3343" s="7" t="s">
        <v>42</v>
      </c>
      <c r="E3343" t="str">
        <f>_xlfn.XLOOKUP(Vendas[[#This Row],[ID Item Vendido]],Agregado[ID],Agregado[Produto])</f>
        <v>Container de ferro industrial</v>
      </c>
      <c r="F3343" s="39">
        <v>45380</v>
      </c>
      <c r="G3343" s="7">
        <v>2</v>
      </c>
      <c r="H3343" s="3">
        <f>_xlfn.XLOOKUP(Vendas[[#This Row],[ID Item Vendido]],Agregado[ID],Agregado[Revenda])</f>
        <v>830</v>
      </c>
      <c r="I3343" s="3">
        <f>Vendas[[#This Row],[Valor Unitário]]*Vendas[[#This Row],[Qnt Vendida]]</f>
        <v>1660</v>
      </c>
      <c r="J3343" s="3">
        <f>Vendas[[#This Row],[Valor da Venda]]-(_xlfn.XLOOKUP(Vendas[[#This Row],[ID Item Vendido]],Agregado[ID],Agregado[Custo])*Vendas[[#This Row],[Qnt Vendida]])</f>
        <v>300</v>
      </c>
      <c r="K3343" s="70">
        <f>Vendas[[#This Row],[Lucro da Venda]]/Vendas[[#This Row],[Valor da Venda]]</f>
        <v>0.18072289156626506</v>
      </c>
      <c r="L334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343"/>
    </row>
    <row r="3344" spans="1:13" x14ac:dyDescent="0.3">
      <c r="A3344" s="7">
        <v>400248</v>
      </c>
      <c r="B3344" t="str">
        <f>_xlfn.XLOOKUP(Vendas[[#This Row],[ID Vendedor]],Vendedores[ID],Vendedores[Nome])</f>
        <v>Patrícia</v>
      </c>
      <c r="C3344" s="7" t="str">
        <f>_xlfn.XLOOKUP(Vendas[[#This Row],[ID Vendedor]],Vendedores[ID],Vendedores[Setor])</f>
        <v>CM</v>
      </c>
      <c r="D3344" s="7" t="s">
        <v>32</v>
      </c>
      <c r="E3344" t="str">
        <f>_xlfn.XLOOKUP(Vendas[[#This Row],[ID Item Vendido]],Agregado[ID],Agregado[Produto])</f>
        <v>Tábua tratada e cortada 3m</v>
      </c>
      <c r="F3344" s="39">
        <v>45380</v>
      </c>
      <c r="G3344" s="7">
        <v>33</v>
      </c>
      <c r="H3344" s="3">
        <f>_xlfn.XLOOKUP(Vendas[[#This Row],[ID Item Vendido]],Agregado[ID],Agregado[Revenda])</f>
        <v>39</v>
      </c>
      <c r="I3344" s="3">
        <f>Vendas[[#This Row],[Valor Unitário]]*Vendas[[#This Row],[Qnt Vendida]]</f>
        <v>1287</v>
      </c>
      <c r="J3344" s="3">
        <f>Vendas[[#This Row],[Valor da Venda]]-(_xlfn.XLOOKUP(Vendas[[#This Row],[ID Item Vendido]],Agregado[ID],Agregado[Custo])*Vendas[[#This Row],[Qnt Vendida]])</f>
        <v>231</v>
      </c>
      <c r="K3344" s="70">
        <f>Vendas[[#This Row],[Lucro da Venda]]/Vendas[[#This Row],[Valor da Venda]]</f>
        <v>0.17948717948717949</v>
      </c>
      <c r="L3344" s="3">
        <f>_xlfn.IFS(Vendas[[#This Row],[Margem de Lucro (%)]]&lt;15%,Vendas[[#This Row],[Valor da Venda]]*3%,Vendas[[#This Row],[Margem de Lucro (%)]]&lt;=20%,Vendas[[#This Row],[Valor da Venda]]*4.5%,TRUE,Vendas[[#This Row],[Valor da Venda]]*6%)</f>
        <v>57.914999999999999</v>
      </c>
      <c r="M3344"/>
    </row>
    <row r="3345" spans="1:13" x14ac:dyDescent="0.3">
      <c r="A3345" s="7">
        <v>400253</v>
      </c>
      <c r="B3345" t="str">
        <f>_xlfn.XLOOKUP(Vendas[[#This Row],[ID Vendedor]],Vendedores[ID],Vendedores[Nome])</f>
        <v>Gustavo</v>
      </c>
      <c r="C3345" s="7" t="str">
        <f>_xlfn.XLOOKUP(Vendas[[#This Row],[ID Vendedor]],Vendedores[ID],Vendedores[Setor])</f>
        <v>SC</v>
      </c>
      <c r="D3345" s="7" t="s">
        <v>25</v>
      </c>
      <c r="E3345" t="str">
        <f>_xlfn.XLOOKUP(Vendas[[#This Row],[ID Item Vendido]],Agregado[ID],Agregado[Produto])</f>
        <v>Palete de plástico</v>
      </c>
      <c r="F3345" s="39">
        <v>45380</v>
      </c>
      <c r="G3345" s="7">
        <v>6</v>
      </c>
      <c r="H3345" s="3">
        <f>_xlfn.XLOOKUP(Vendas[[#This Row],[ID Item Vendido]],Agregado[ID],Agregado[Revenda])</f>
        <v>70.8</v>
      </c>
      <c r="I3345" s="3">
        <f>Vendas[[#This Row],[Valor Unitário]]*Vendas[[#This Row],[Qnt Vendida]]</f>
        <v>424.79999999999995</v>
      </c>
      <c r="J3345" s="3">
        <f>Vendas[[#This Row],[Valor da Venda]]-(_xlfn.XLOOKUP(Vendas[[#This Row],[ID Item Vendido]],Agregado[ID],Agregado[Custo])*Vendas[[#This Row],[Qnt Vendida]])</f>
        <v>64.799999999999955</v>
      </c>
      <c r="K3345" s="70">
        <f>Vendas[[#This Row],[Lucro da Venda]]/Vendas[[#This Row],[Valor da Venda]]</f>
        <v>0.15254237288135583</v>
      </c>
      <c r="L3345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3345"/>
    </row>
    <row r="3346" spans="1:13" x14ac:dyDescent="0.3">
      <c r="A3346" s="7">
        <v>400248</v>
      </c>
      <c r="B3346" t="str">
        <f>_xlfn.XLOOKUP(Vendas[[#This Row],[ID Vendedor]],Vendedores[ID],Vendedores[Nome])</f>
        <v>Patrícia</v>
      </c>
      <c r="C3346" s="7" t="str">
        <f>_xlfn.XLOOKUP(Vendas[[#This Row],[ID Vendedor]],Vendedores[ID],Vendedores[Setor])</f>
        <v>CM</v>
      </c>
      <c r="D3346" s="7" t="s">
        <v>32</v>
      </c>
      <c r="E3346" t="str">
        <f>_xlfn.XLOOKUP(Vendas[[#This Row],[ID Item Vendido]],Agregado[ID],Agregado[Produto])</f>
        <v>Tábua tratada e cortada 3m</v>
      </c>
      <c r="F3346" s="39">
        <v>45381</v>
      </c>
      <c r="G3346" s="7">
        <v>14</v>
      </c>
      <c r="H3346" s="3">
        <f>_xlfn.XLOOKUP(Vendas[[#This Row],[ID Item Vendido]],Agregado[ID],Agregado[Revenda])</f>
        <v>39</v>
      </c>
      <c r="I3346" s="3">
        <f>Vendas[[#This Row],[Valor Unitário]]*Vendas[[#This Row],[Qnt Vendida]]</f>
        <v>546</v>
      </c>
      <c r="J3346" s="3">
        <f>Vendas[[#This Row],[Valor da Venda]]-(_xlfn.XLOOKUP(Vendas[[#This Row],[ID Item Vendido]],Agregado[ID],Agregado[Custo])*Vendas[[#This Row],[Qnt Vendida]])</f>
        <v>98</v>
      </c>
      <c r="K3346" s="70">
        <f>Vendas[[#This Row],[Lucro da Venda]]/Vendas[[#This Row],[Valor da Venda]]</f>
        <v>0.17948717948717949</v>
      </c>
      <c r="L3346" s="3">
        <f>_xlfn.IFS(Vendas[[#This Row],[Margem de Lucro (%)]]&lt;15%,Vendas[[#This Row],[Valor da Venda]]*3%,Vendas[[#This Row],[Margem de Lucro (%)]]&lt;=20%,Vendas[[#This Row],[Valor da Venda]]*4.5%,TRUE,Vendas[[#This Row],[Valor da Venda]]*6%)</f>
        <v>24.57</v>
      </c>
      <c r="M3346"/>
    </row>
    <row r="3347" spans="1:13" x14ac:dyDescent="0.3">
      <c r="A3347" s="7">
        <v>400251</v>
      </c>
      <c r="B3347" t="str">
        <f>_xlfn.XLOOKUP(Vendas[[#This Row],[ID Vendedor]],Vendedores[ID],Vendedores[Nome])</f>
        <v>Diego</v>
      </c>
      <c r="C3347" s="7" t="str">
        <f>_xlfn.XLOOKUP(Vendas[[#This Row],[ID Vendedor]],Vendedores[ID],Vendedores[Setor])</f>
        <v>AB</v>
      </c>
      <c r="D3347" s="7" t="s">
        <v>36</v>
      </c>
      <c r="E3347" t="str">
        <f>_xlfn.XLOOKUP(Vendas[[#This Row],[ID Item Vendido]],Agregado[ID],Agregado[Produto])</f>
        <v>Borracha vulcanizada em manta</v>
      </c>
      <c r="F3347" s="39">
        <v>45382</v>
      </c>
      <c r="G3347" s="7">
        <v>62</v>
      </c>
      <c r="H3347" s="3">
        <f>_xlfn.XLOOKUP(Vendas[[#This Row],[ID Item Vendido]],Agregado[ID],Agregado[Revenda])</f>
        <v>7.8</v>
      </c>
      <c r="I3347" s="3">
        <f>Vendas[[#This Row],[Valor Unitário]]*Vendas[[#This Row],[Qnt Vendida]]</f>
        <v>483.59999999999997</v>
      </c>
      <c r="J3347" s="3">
        <f>Vendas[[#This Row],[Valor da Venda]]-(_xlfn.XLOOKUP(Vendas[[#This Row],[ID Item Vendido]],Agregado[ID],Agregado[Custo])*Vendas[[#This Row],[Qnt Vendida]])</f>
        <v>111.59999999999997</v>
      </c>
      <c r="K3347" s="70">
        <f>Vendas[[#This Row],[Lucro da Venda]]/Vendas[[#This Row],[Valor da Venda]]</f>
        <v>0.23076923076923073</v>
      </c>
      <c r="L3347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3347"/>
    </row>
    <row r="3348" spans="1:13" x14ac:dyDescent="0.3">
      <c r="A3348" s="7">
        <v>400246</v>
      </c>
      <c r="B3348" t="str">
        <f>_xlfn.XLOOKUP(Vendas[[#This Row],[ID Vendedor]],Vendedores[ID],Vendedores[Nome])</f>
        <v>Juliana</v>
      </c>
      <c r="C3348" s="7" t="str">
        <f>_xlfn.XLOOKUP(Vendas[[#This Row],[ID Vendedor]],Vendedores[ID],Vendedores[Setor])</f>
        <v>AHD</v>
      </c>
      <c r="D3348" s="7" t="s">
        <v>30</v>
      </c>
      <c r="E3348" t="str">
        <f>_xlfn.XLOOKUP(Vendas[[#This Row],[ID Item Vendido]],Agregado[ID],Agregado[Produto])</f>
        <v>Estrutura metálica soldada</v>
      </c>
      <c r="F3348" s="39">
        <v>45383</v>
      </c>
      <c r="G3348" s="7">
        <v>4</v>
      </c>
      <c r="H3348" s="3">
        <f>_xlfn.XLOOKUP(Vendas[[#This Row],[ID Item Vendido]],Agregado[ID],Agregado[Revenda])</f>
        <v>400</v>
      </c>
      <c r="I3348" s="3">
        <f>Vendas[[#This Row],[Valor Unitário]]*Vendas[[#This Row],[Qnt Vendida]]</f>
        <v>1600</v>
      </c>
      <c r="J3348" s="3">
        <f>Vendas[[#This Row],[Valor da Venda]]-(_xlfn.XLOOKUP(Vendas[[#This Row],[ID Item Vendido]],Agregado[ID],Agregado[Custo])*Vendas[[#This Row],[Qnt Vendida]])</f>
        <v>320</v>
      </c>
      <c r="K3348" s="70">
        <f>Vendas[[#This Row],[Lucro da Venda]]/Vendas[[#This Row],[Valor da Venda]]</f>
        <v>0.2</v>
      </c>
      <c r="L3348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348"/>
    </row>
    <row r="3349" spans="1:13" x14ac:dyDescent="0.3">
      <c r="A3349" s="7">
        <v>400242</v>
      </c>
      <c r="B3349" t="str">
        <f>_xlfn.XLOOKUP(Vendas[[#This Row],[ID Vendedor]],Vendedores[ID],Vendedores[Nome])</f>
        <v>Fernanda</v>
      </c>
      <c r="C3349" s="7" t="str">
        <f>_xlfn.XLOOKUP(Vendas[[#This Row],[ID Vendedor]],Vendedores[ID],Vendedores[Setor])</f>
        <v>FM</v>
      </c>
      <c r="D3349" s="7" t="s">
        <v>27</v>
      </c>
      <c r="E3349" t="str">
        <f>_xlfn.XLOOKUP(Vendas[[#This Row],[ID Item Vendido]],Agregado[ID],Agregado[Produto])</f>
        <v>Chapa de metal lisa 1x2m</v>
      </c>
      <c r="F3349" s="39">
        <v>45383</v>
      </c>
      <c r="G3349" s="7">
        <v>14</v>
      </c>
      <c r="H3349" s="3">
        <f>_xlfn.XLOOKUP(Vendas[[#This Row],[ID Item Vendido]],Agregado[ID],Agregado[Revenda])</f>
        <v>52</v>
      </c>
      <c r="I3349" s="3">
        <f>Vendas[[#This Row],[Valor Unitário]]*Vendas[[#This Row],[Qnt Vendida]]</f>
        <v>728</v>
      </c>
      <c r="J3349" s="3">
        <f>Vendas[[#This Row],[Valor da Venda]]-(_xlfn.XLOOKUP(Vendas[[#This Row],[ID Item Vendido]],Agregado[ID],Agregado[Custo])*Vendas[[#This Row],[Qnt Vendida]])</f>
        <v>98</v>
      </c>
      <c r="K3349" s="70">
        <f>Vendas[[#This Row],[Lucro da Venda]]/Vendas[[#This Row],[Valor da Venda]]</f>
        <v>0.13461538461538461</v>
      </c>
      <c r="L3349" s="3">
        <f>_xlfn.IFS(Vendas[[#This Row],[Margem de Lucro (%)]]&lt;15%,Vendas[[#This Row],[Valor da Venda]]*3%,Vendas[[#This Row],[Margem de Lucro (%)]]&lt;=20%,Vendas[[#This Row],[Valor da Venda]]*4.5%,TRUE,Vendas[[#This Row],[Valor da Venda]]*6%)</f>
        <v>21.84</v>
      </c>
      <c r="M3349"/>
    </row>
    <row r="3350" spans="1:13" x14ac:dyDescent="0.3">
      <c r="A3350" s="7">
        <v>400241</v>
      </c>
      <c r="B3350" t="str">
        <f>_xlfn.XLOOKUP(Vendas[[#This Row],[ID Vendedor]],Vendedores[ID],Vendedores[Nome])</f>
        <v>Rodrigo</v>
      </c>
      <c r="C3350" s="7" t="str">
        <f>_xlfn.XLOOKUP(Vendas[[#This Row],[ID Vendedor]],Vendedores[ID],Vendedores[Setor])</f>
        <v>FM</v>
      </c>
      <c r="D3350" s="7" t="s">
        <v>6</v>
      </c>
      <c r="E3350" t="str">
        <f>_xlfn.XLOOKUP(Vendas[[#This Row],[ID Item Vendido]],Agregado[ID],Agregado[Produto])</f>
        <v>Parafuso comum 500un</v>
      </c>
      <c r="F3350" s="39">
        <v>45383</v>
      </c>
      <c r="G3350" s="7">
        <v>19</v>
      </c>
      <c r="H3350" s="3">
        <f>_xlfn.XLOOKUP(Vendas[[#This Row],[ID Item Vendido]],Agregado[ID],Agregado[Revenda])</f>
        <v>24.6</v>
      </c>
      <c r="I3350" s="3">
        <f>Vendas[[#This Row],[Valor Unitário]]*Vendas[[#This Row],[Qnt Vendida]]</f>
        <v>467.40000000000003</v>
      </c>
      <c r="J3350" s="3">
        <f>Vendas[[#This Row],[Valor da Venda]]-(_xlfn.XLOOKUP(Vendas[[#This Row],[ID Item Vendido]],Agregado[ID],Agregado[Custo])*Vendas[[#This Row],[Qnt Vendida]])</f>
        <v>49.400000000000034</v>
      </c>
      <c r="K3350" s="70">
        <f>Vendas[[#This Row],[Lucro da Venda]]/Vendas[[#This Row],[Valor da Venda]]</f>
        <v>0.10569105691056917</v>
      </c>
      <c r="L335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3350"/>
    </row>
    <row r="3351" spans="1:13" x14ac:dyDescent="0.3">
      <c r="A3351" s="7">
        <v>400252</v>
      </c>
      <c r="B3351" t="str">
        <f>_xlfn.XLOOKUP(Vendas[[#This Row],[ID Vendedor]],Vendedores[ID],Vendedores[Nome])</f>
        <v>Renata</v>
      </c>
      <c r="C3351" s="7" t="str">
        <f>_xlfn.XLOOKUP(Vendas[[#This Row],[ID Vendedor]],Vendedores[ID],Vendedores[Setor])</f>
        <v>AB</v>
      </c>
      <c r="D3351" s="7" t="s">
        <v>12</v>
      </c>
      <c r="E3351" t="str">
        <f>_xlfn.XLOOKUP(Vendas[[#This Row],[ID Item Vendido]],Agregado[ID],Agregado[Produto])</f>
        <v>Grânulo de plástico reciclado refinado</v>
      </c>
      <c r="F3351" s="39">
        <v>45383</v>
      </c>
      <c r="G3351" s="7">
        <v>99</v>
      </c>
      <c r="H3351" s="3">
        <f>_xlfn.XLOOKUP(Vendas[[#This Row],[ID Item Vendido]],Agregado[ID],Agregado[Revenda])</f>
        <v>4.7</v>
      </c>
      <c r="I3351" s="3">
        <f>Vendas[[#This Row],[Valor Unitário]]*Vendas[[#This Row],[Qnt Vendida]]</f>
        <v>465.3</v>
      </c>
      <c r="J3351" s="3">
        <f>Vendas[[#This Row],[Valor da Venda]]-(_xlfn.XLOOKUP(Vendas[[#This Row],[ID Item Vendido]],Agregado[ID],Agregado[Custo])*Vendas[[#This Row],[Qnt Vendida]])</f>
        <v>118.80000000000001</v>
      </c>
      <c r="K3351" s="70">
        <f>Vendas[[#This Row],[Lucro da Venda]]/Vendas[[#This Row],[Valor da Venda]]</f>
        <v>0.25531914893617025</v>
      </c>
      <c r="L3351" s="3">
        <f>_xlfn.IFS(Vendas[[#This Row],[Margem de Lucro (%)]]&lt;15%,Vendas[[#This Row],[Valor da Venda]]*3%,Vendas[[#This Row],[Margem de Lucro (%)]]&lt;=20%,Vendas[[#This Row],[Valor da Venda]]*4.5%,TRUE,Vendas[[#This Row],[Valor da Venda]]*6%)</f>
        <v>27.917999999999999</v>
      </c>
      <c r="M3351"/>
    </row>
    <row r="3352" spans="1:13" x14ac:dyDescent="0.3">
      <c r="A3352" s="7">
        <v>400252</v>
      </c>
      <c r="B3352" t="str">
        <f>_xlfn.XLOOKUP(Vendas[[#This Row],[ID Vendedor]],Vendedores[ID],Vendedores[Nome])</f>
        <v>Renata</v>
      </c>
      <c r="C3352" s="7" t="str">
        <f>_xlfn.XLOOKUP(Vendas[[#This Row],[ID Vendedor]],Vendedores[ID],Vendedores[Setor])</f>
        <v>AB</v>
      </c>
      <c r="D3352" s="7" t="s">
        <v>36</v>
      </c>
      <c r="E3352" t="str">
        <f>_xlfn.XLOOKUP(Vendas[[#This Row],[ID Item Vendido]],Agregado[ID],Agregado[Produto])</f>
        <v>Borracha vulcanizada em manta</v>
      </c>
      <c r="F3352" s="39">
        <v>45383</v>
      </c>
      <c r="G3352" s="7">
        <v>41</v>
      </c>
      <c r="H3352" s="3">
        <f>_xlfn.XLOOKUP(Vendas[[#This Row],[ID Item Vendido]],Agregado[ID],Agregado[Revenda])</f>
        <v>7.8</v>
      </c>
      <c r="I3352" s="3">
        <f>Vendas[[#This Row],[Valor Unitário]]*Vendas[[#This Row],[Qnt Vendida]]</f>
        <v>319.8</v>
      </c>
      <c r="J3352" s="3">
        <f>Vendas[[#This Row],[Valor da Venda]]-(_xlfn.XLOOKUP(Vendas[[#This Row],[ID Item Vendido]],Agregado[ID],Agregado[Custo])*Vendas[[#This Row],[Qnt Vendida]])</f>
        <v>73.800000000000011</v>
      </c>
      <c r="K3352" s="70">
        <f>Vendas[[#This Row],[Lucro da Venda]]/Vendas[[#This Row],[Valor da Venda]]</f>
        <v>0.23076923076923081</v>
      </c>
      <c r="L3352" s="3">
        <f>_xlfn.IFS(Vendas[[#This Row],[Margem de Lucro (%)]]&lt;15%,Vendas[[#This Row],[Valor da Venda]]*3%,Vendas[[#This Row],[Margem de Lucro (%)]]&lt;=20%,Vendas[[#This Row],[Valor da Venda]]*4.5%,TRUE,Vendas[[#This Row],[Valor da Venda]]*6%)</f>
        <v>19.187999999999999</v>
      </c>
      <c r="M3352"/>
    </row>
    <row r="3353" spans="1:13" x14ac:dyDescent="0.3">
      <c r="A3353" s="7">
        <v>400245</v>
      </c>
      <c r="B3353" t="str">
        <f>_xlfn.XLOOKUP(Vendas[[#This Row],[ID Vendedor]],Vendedores[ID],Vendedores[Nome])</f>
        <v>Thiago</v>
      </c>
      <c r="C3353" s="7" t="str">
        <f>_xlfn.XLOOKUP(Vendas[[#This Row],[ID Vendedor]],Vendedores[ID],Vendedores[Setor])</f>
        <v>AHD</v>
      </c>
      <c r="D3353" s="7" t="s">
        <v>28</v>
      </c>
      <c r="E3353" t="str">
        <f>_xlfn.XLOOKUP(Vendas[[#This Row],[ID Item Vendido]],Agregado[ID],Agregado[Produto])</f>
        <v>Peça usinada CNC</v>
      </c>
      <c r="F3353" s="39">
        <v>45383</v>
      </c>
      <c r="G3353" s="7">
        <v>1</v>
      </c>
      <c r="H3353" s="3">
        <f>_xlfn.XLOOKUP(Vendas[[#This Row],[ID Item Vendido]],Agregado[ID],Agregado[Revenda])</f>
        <v>192</v>
      </c>
      <c r="I3353" s="3">
        <f>Vendas[[#This Row],[Valor Unitário]]*Vendas[[#This Row],[Qnt Vendida]]</f>
        <v>192</v>
      </c>
      <c r="J3353" s="3">
        <f>Vendas[[#This Row],[Valor da Venda]]-(_xlfn.XLOOKUP(Vendas[[#This Row],[ID Item Vendido]],Agregado[ID],Agregado[Custo])*Vendas[[#This Row],[Qnt Vendida]])</f>
        <v>42</v>
      </c>
      <c r="K3353" s="70">
        <f>Vendas[[#This Row],[Lucro da Venda]]/Vendas[[#This Row],[Valor da Venda]]</f>
        <v>0.21875</v>
      </c>
      <c r="L3353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3353"/>
    </row>
    <row r="3354" spans="1:13" x14ac:dyDescent="0.3">
      <c r="A3354" s="7">
        <v>400254</v>
      </c>
      <c r="B3354" t="str">
        <f>_xlfn.XLOOKUP(Vendas[[#This Row],[ID Vendedor]],Vendedores[ID],Vendedores[Nome])</f>
        <v>Beatriz</v>
      </c>
      <c r="C3354" s="7" t="str">
        <f>_xlfn.XLOOKUP(Vendas[[#This Row],[ID Vendedor]],Vendedores[ID],Vendedores[Setor])</f>
        <v>SC</v>
      </c>
      <c r="D3354" s="7" t="s">
        <v>42</v>
      </c>
      <c r="E3354" t="str">
        <f>_xlfn.XLOOKUP(Vendas[[#This Row],[ID Item Vendido]],Agregado[ID],Agregado[Produto])</f>
        <v>Container de ferro industrial</v>
      </c>
      <c r="F3354" s="39">
        <v>45384</v>
      </c>
      <c r="G3354" s="7">
        <v>2</v>
      </c>
      <c r="H3354" s="3">
        <f>_xlfn.XLOOKUP(Vendas[[#This Row],[ID Item Vendido]],Agregado[ID],Agregado[Revenda])</f>
        <v>830</v>
      </c>
      <c r="I3354" s="3">
        <f>Vendas[[#This Row],[Valor Unitário]]*Vendas[[#This Row],[Qnt Vendida]]</f>
        <v>1660</v>
      </c>
      <c r="J3354" s="3">
        <f>Vendas[[#This Row],[Valor da Venda]]-(_xlfn.XLOOKUP(Vendas[[#This Row],[ID Item Vendido]],Agregado[ID],Agregado[Custo])*Vendas[[#This Row],[Qnt Vendida]])</f>
        <v>300</v>
      </c>
      <c r="K3354" s="70">
        <f>Vendas[[#This Row],[Lucro da Venda]]/Vendas[[#This Row],[Valor da Venda]]</f>
        <v>0.18072289156626506</v>
      </c>
      <c r="L3354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354"/>
    </row>
    <row r="3355" spans="1:13" x14ac:dyDescent="0.3">
      <c r="A3355" s="7">
        <v>400242</v>
      </c>
      <c r="B3355" t="str">
        <f>_xlfn.XLOOKUP(Vendas[[#This Row],[ID Vendedor]],Vendedores[ID],Vendedores[Nome])</f>
        <v>Fernanda</v>
      </c>
      <c r="C3355" s="7" t="str">
        <f>_xlfn.XLOOKUP(Vendas[[#This Row],[ID Vendedor]],Vendedores[ID],Vendedores[Setor])</f>
        <v>FM</v>
      </c>
      <c r="D3355" s="7" t="s">
        <v>27</v>
      </c>
      <c r="E3355" t="str">
        <f>_xlfn.XLOOKUP(Vendas[[#This Row],[ID Item Vendido]],Agregado[ID],Agregado[Produto])</f>
        <v>Chapa de metal lisa 1x2m</v>
      </c>
      <c r="F3355" s="39">
        <v>45384</v>
      </c>
      <c r="G3355" s="7">
        <v>28</v>
      </c>
      <c r="H3355" s="3">
        <f>_xlfn.XLOOKUP(Vendas[[#This Row],[ID Item Vendido]],Agregado[ID],Agregado[Revenda])</f>
        <v>52</v>
      </c>
      <c r="I3355" s="3">
        <f>Vendas[[#This Row],[Valor Unitário]]*Vendas[[#This Row],[Qnt Vendida]]</f>
        <v>1456</v>
      </c>
      <c r="J3355" s="3">
        <f>Vendas[[#This Row],[Valor da Venda]]-(_xlfn.XLOOKUP(Vendas[[#This Row],[ID Item Vendido]],Agregado[ID],Agregado[Custo])*Vendas[[#This Row],[Qnt Vendida]])</f>
        <v>196</v>
      </c>
      <c r="K3355" s="70">
        <f>Vendas[[#This Row],[Lucro da Venda]]/Vendas[[#This Row],[Valor da Venda]]</f>
        <v>0.13461538461538461</v>
      </c>
      <c r="L3355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3355"/>
    </row>
    <row r="3356" spans="1:13" x14ac:dyDescent="0.3">
      <c r="A3356" s="7">
        <v>400254</v>
      </c>
      <c r="B3356" t="str">
        <f>_xlfn.XLOOKUP(Vendas[[#This Row],[ID Vendedor]],Vendedores[ID],Vendedores[Nome])</f>
        <v>Beatriz</v>
      </c>
      <c r="C3356" s="7" t="str">
        <f>_xlfn.XLOOKUP(Vendas[[#This Row],[ID Vendedor]],Vendedores[ID],Vendedores[Setor])</f>
        <v>SC</v>
      </c>
      <c r="D3356" s="7" t="s">
        <v>14</v>
      </c>
      <c r="E3356" t="str">
        <f>_xlfn.XLOOKUP(Vendas[[#This Row],[ID Item Vendido]],Agregado[ID],Agregado[Produto])</f>
        <v>Barril de plástico 200L</v>
      </c>
      <c r="F3356" s="39">
        <v>45384</v>
      </c>
      <c r="G3356" s="7">
        <v>2</v>
      </c>
      <c r="H3356" s="3">
        <f>_xlfn.XLOOKUP(Vendas[[#This Row],[ID Item Vendido]],Agregado[ID],Agregado[Revenda])</f>
        <v>114</v>
      </c>
      <c r="I3356" s="3">
        <f>Vendas[[#This Row],[Valor Unitário]]*Vendas[[#This Row],[Qnt Vendida]]</f>
        <v>228</v>
      </c>
      <c r="J3356" s="3">
        <f>Vendas[[#This Row],[Valor da Venda]]-(_xlfn.XLOOKUP(Vendas[[#This Row],[ID Item Vendido]],Agregado[ID],Agregado[Custo])*Vendas[[#This Row],[Qnt Vendida]])</f>
        <v>38</v>
      </c>
      <c r="K3356" s="70">
        <f>Vendas[[#This Row],[Lucro da Venda]]/Vendas[[#This Row],[Valor da Venda]]</f>
        <v>0.16666666666666666</v>
      </c>
      <c r="L3356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3356"/>
    </row>
    <row r="3357" spans="1:13" x14ac:dyDescent="0.3">
      <c r="A3357" s="7">
        <v>400242</v>
      </c>
      <c r="B3357" t="str">
        <f>_xlfn.XLOOKUP(Vendas[[#This Row],[ID Vendedor]],Vendedores[ID],Vendedores[Nome])</f>
        <v>Fernanda</v>
      </c>
      <c r="C3357" s="7" t="str">
        <f>_xlfn.XLOOKUP(Vendas[[#This Row],[ID Vendedor]],Vendedores[ID],Vendedores[Setor])</f>
        <v>FM</v>
      </c>
      <c r="D3357" s="7" t="s">
        <v>47</v>
      </c>
      <c r="E3357" t="str">
        <f>_xlfn.XLOOKUP(Vendas[[#This Row],[ID Item Vendido]],Agregado[ID],Agregado[Produto])</f>
        <v>Fio de arame galvanizado rolo 50m</v>
      </c>
      <c r="F3357" s="39">
        <v>45385</v>
      </c>
      <c r="G3357" s="7">
        <v>27</v>
      </c>
      <c r="H3357" s="3">
        <f>_xlfn.XLOOKUP(Vendas[[#This Row],[ID Item Vendido]],Agregado[ID],Agregado[Revenda])</f>
        <v>21.2</v>
      </c>
      <c r="I3357" s="3">
        <f>Vendas[[#This Row],[Valor Unitário]]*Vendas[[#This Row],[Qnt Vendida]]</f>
        <v>572.4</v>
      </c>
      <c r="J3357" s="3">
        <f>Vendas[[#This Row],[Valor da Venda]]-(_xlfn.XLOOKUP(Vendas[[#This Row],[ID Item Vendido]],Agregado[ID],Agregado[Custo])*Vendas[[#This Row],[Qnt Vendida]])</f>
        <v>86.399999999999977</v>
      </c>
      <c r="K3357" s="70">
        <f>Vendas[[#This Row],[Lucro da Venda]]/Vendas[[#This Row],[Valor da Venda]]</f>
        <v>0.15094339622641506</v>
      </c>
      <c r="L3357" s="3">
        <f>_xlfn.IFS(Vendas[[#This Row],[Margem de Lucro (%)]]&lt;15%,Vendas[[#This Row],[Valor da Venda]]*3%,Vendas[[#This Row],[Margem de Lucro (%)]]&lt;=20%,Vendas[[#This Row],[Valor da Venda]]*4.5%,TRUE,Vendas[[#This Row],[Valor da Venda]]*6%)</f>
        <v>25.757999999999999</v>
      </c>
      <c r="M3357"/>
    </row>
    <row r="3358" spans="1:13" x14ac:dyDescent="0.3">
      <c r="A3358" s="7">
        <v>400254</v>
      </c>
      <c r="B3358" t="str">
        <f>_xlfn.XLOOKUP(Vendas[[#This Row],[ID Vendedor]],Vendedores[ID],Vendedores[Nome])</f>
        <v>Beatriz</v>
      </c>
      <c r="C3358" s="7" t="str">
        <f>_xlfn.XLOOKUP(Vendas[[#This Row],[ID Vendedor]],Vendedores[ID],Vendedores[Setor])</f>
        <v>SC</v>
      </c>
      <c r="D3358" s="7" t="s">
        <v>25</v>
      </c>
      <c r="E3358" t="str">
        <f>_xlfn.XLOOKUP(Vendas[[#This Row],[ID Item Vendido]],Agregado[ID],Agregado[Produto])</f>
        <v>Palete de plástico</v>
      </c>
      <c r="F3358" s="39">
        <v>45386</v>
      </c>
      <c r="G3358" s="7">
        <v>9</v>
      </c>
      <c r="H3358" s="3">
        <f>_xlfn.XLOOKUP(Vendas[[#This Row],[ID Item Vendido]],Agregado[ID],Agregado[Revenda])</f>
        <v>70.8</v>
      </c>
      <c r="I3358" s="3">
        <f>Vendas[[#This Row],[Valor Unitário]]*Vendas[[#This Row],[Qnt Vendida]]</f>
        <v>637.19999999999993</v>
      </c>
      <c r="J3358" s="3">
        <f>Vendas[[#This Row],[Valor da Venda]]-(_xlfn.XLOOKUP(Vendas[[#This Row],[ID Item Vendido]],Agregado[ID],Agregado[Custo])*Vendas[[#This Row],[Qnt Vendida]])</f>
        <v>97.199999999999932</v>
      </c>
      <c r="K3358" s="70">
        <f>Vendas[[#This Row],[Lucro da Venda]]/Vendas[[#This Row],[Valor da Venda]]</f>
        <v>0.15254237288135583</v>
      </c>
      <c r="L3358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3358"/>
    </row>
    <row r="3359" spans="1:13" x14ac:dyDescent="0.3">
      <c r="A3359" s="7">
        <v>400252</v>
      </c>
      <c r="B3359" t="str">
        <f>_xlfn.XLOOKUP(Vendas[[#This Row],[ID Vendedor]],Vendedores[ID],Vendedores[Nome])</f>
        <v>Renata</v>
      </c>
      <c r="C3359" s="7" t="str">
        <f>_xlfn.XLOOKUP(Vendas[[#This Row],[ID Vendedor]],Vendedores[ID],Vendedores[Setor])</f>
        <v>AB</v>
      </c>
      <c r="D3359" s="7" t="s">
        <v>39</v>
      </c>
      <c r="E3359" t="str">
        <f>_xlfn.XLOOKUP(Vendas[[#This Row],[ID Item Vendido]],Agregado[ID],Agregado[Produto])</f>
        <v>Filme plástico industrial rolo 50m</v>
      </c>
      <c r="F3359" s="39">
        <v>45386</v>
      </c>
      <c r="G3359" s="7">
        <v>5</v>
      </c>
      <c r="H3359" s="3">
        <f>_xlfn.XLOOKUP(Vendas[[#This Row],[ID Item Vendido]],Agregado[ID],Agregado[Revenda])</f>
        <v>37</v>
      </c>
      <c r="I3359" s="3">
        <f>Vendas[[#This Row],[Valor Unitário]]*Vendas[[#This Row],[Qnt Vendida]]</f>
        <v>185</v>
      </c>
      <c r="J3359" s="3">
        <f>Vendas[[#This Row],[Valor da Venda]]-(_xlfn.XLOOKUP(Vendas[[#This Row],[ID Item Vendido]],Agregado[ID],Agregado[Custo])*Vendas[[#This Row],[Qnt Vendida]])</f>
        <v>45</v>
      </c>
      <c r="K3359" s="70">
        <f>Vendas[[#This Row],[Lucro da Venda]]/Vendas[[#This Row],[Valor da Venda]]</f>
        <v>0.24324324324324326</v>
      </c>
      <c r="L3359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3359"/>
    </row>
    <row r="3360" spans="1:13" x14ac:dyDescent="0.3">
      <c r="A3360" s="7">
        <v>400247</v>
      </c>
      <c r="B3360" t="str">
        <f>_xlfn.XLOOKUP(Vendas[[#This Row],[ID Vendedor]],Vendedores[ID],Vendedores[Nome])</f>
        <v>André</v>
      </c>
      <c r="C3360" s="7" t="str">
        <f>_xlfn.XLOOKUP(Vendas[[#This Row],[ID Vendedor]],Vendedores[ID],Vendedores[Setor])</f>
        <v>CM</v>
      </c>
      <c r="D3360" s="7" t="s">
        <v>43</v>
      </c>
      <c r="E3360" t="str">
        <f>_xlfn.XLOOKUP(Vendas[[#This Row],[ID Item Vendido]],Agregado[ID],Agregado[Produto])</f>
        <v>Madeira Bruta (Tora)</v>
      </c>
      <c r="F3360" s="39">
        <v>45387</v>
      </c>
      <c r="G3360" s="7">
        <v>15</v>
      </c>
      <c r="H3360" s="3">
        <f>_xlfn.XLOOKUP(Vendas[[#This Row],[ID Item Vendido]],Agregado[ID],Agregado[Revenda])</f>
        <v>212</v>
      </c>
      <c r="I3360" s="3">
        <f>Vendas[[#This Row],[Valor Unitário]]*Vendas[[#This Row],[Qnt Vendida]]</f>
        <v>3180</v>
      </c>
      <c r="J3360" s="3">
        <f>Vendas[[#This Row],[Valor da Venda]]-(_xlfn.XLOOKUP(Vendas[[#This Row],[ID Item Vendido]],Agregado[ID],Agregado[Custo])*Vendas[[#This Row],[Qnt Vendida]])</f>
        <v>480</v>
      </c>
      <c r="K3360" s="70">
        <f>Vendas[[#This Row],[Lucro da Venda]]/Vendas[[#This Row],[Valor da Venda]]</f>
        <v>0.15094339622641509</v>
      </c>
      <c r="L3360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3360"/>
    </row>
    <row r="3361" spans="1:13" x14ac:dyDescent="0.3">
      <c r="A3361" s="7">
        <v>400241</v>
      </c>
      <c r="B3361" t="str">
        <f>_xlfn.XLOOKUP(Vendas[[#This Row],[ID Vendedor]],Vendedores[ID],Vendedores[Nome])</f>
        <v>Rodrigo</v>
      </c>
      <c r="C3361" s="7" t="str">
        <f>_xlfn.XLOOKUP(Vendas[[#This Row],[ID Vendedor]],Vendedores[ID],Vendedores[Setor])</f>
        <v>FM</v>
      </c>
      <c r="D3361" s="7" t="s">
        <v>20</v>
      </c>
      <c r="E3361" t="str">
        <f>_xlfn.XLOOKUP(Vendas[[#This Row],[ID Item Vendido]],Agregado[ID],Agregado[Produto])</f>
        <v>Barra de aço simples</v>
      </c>
      <c r="F3361" s="39">
        <v>45387</v>
      </c>
      <c r="G3361" s="7">
        <v>143</v>
      </c>
      <c r="H3361" s="3">
        <f>_xlfn.XLOOKUP(Vendas[[#This Row],[ID Item Vendido]],Agregado[ID],Agregado[Revenda])</f>
        <v>4.8</v>
      </c>
      <c r="I3361" s="3">
        <f>Vendas[[#This Row],[Valor Unitário]]*Vendas[[#This Row],[Qnt Vendida]]</f>
        <v>686.4</v>
      </c>
      <c r="J3361" s="3">
        <f>Vendas[[#This Row],[Valor da Venda]]-(_xlfn.XLOOKUP(Vendas[[#This Row],[ID Item Vendido]],Agregado[ID],Agregado[Custo])*Vendas[[#This Row],[Qnt Vendida]])</f>
        <v>85.799999999999955</v>
      </c>
      <c r="K3361" s="70">
        <f>Vendas[[#This Row],[Lucro da Venda]]/Vendas[[#This Row],[Valor da Venda]]</f>
        <v>0.12499999999999994</v>
      </c>
      <c r="L3361" s="3">
        <f>_xlfn.IFS(Vendas[[#This Row],[Margem de Lucro (%)]]&lt;15%,Vendas[[#This Row],[Valor da Venda]]*3%,Vendas[[#This Row],[Margem de Lucro (%)]]&lt;=20%,Vendas[[#This Row],[Valor da Venda]]*4.5%,TRUE,Vendas[[#This Row],[Valor da Venda]]*6%)</f>
        <v>20.591999999999999</v>
      </c>
      <c r="M3361"/>
    </row>
    <row r="3362" spans="1:13" x14ac:dyDescent="0.3">
      <c r="A3362" s="7">
        <v>400248</v>
      </c>
      <c r="B3362" t="str">
        <f>_xlfn.XLOOKUP(Vendas[[#This Row],[ID Vendedor]],Vendedores[ID],Vendedores[Nome])</f>
        <v>Patrícia</v>
      </c>
      <c r="C3362" s="7" t="str">
        <f>_xlfn.XLOOKUP(Vendas[[#This Row],[ID Vendedor]],Vendedores[ID],Vendedores[Setor])</f>
        <v>CM</v>
      </c>
      <c r="D3362" s="7" t="s">
        <v>34</v>
      </c>
      <c r="E3362" t="str">
        <f>_xlfn.XLOOKUP(Vendas[[#This Row],[ID Item Vendido]],Agregado[ID],Agregado[Produto])</f>
        <v>Restos de madeira p/ MDP/OSB saco de 20kg</v>
      </c>
      <c r="F3362" s="39">
        <v>45387</v>
      </c>
      <c r="G3362" s="7">
        <v>21</v>
      </c>
      <c r="H3362" s="3">
        <f>_xlfn.XLOOKUP(Vendas[[#This Row],[ID Item Vendido]],Agregado[ID],Agregado[Revenda])</f>
        <v>13.8</v>
      </c>
      <c r="I3362" s="3">
        <f>Vendas[[#This Row],[Valor Unitário]]*Vendas[[#This Row],[Qnt Vendida]]</f>
        <v>289.8</v>
      </c>
      <c r="J3362" s="3">
        <f>Vendas[[#This Row],[Valor da Venda]]-(_xlfn.XLOOKUP(Vendas[[#This Row],[ID Item Vendido]],Agregado[ID],Agregado[Custo])*Vendas[[#This Row],[Qnt Vendida]])</f>
        <v>37.800000000000011</v>
      </c>
      <c r="K3362" s="70">
        <f>Vendas[[#This Row],[Lucro da Venda]]/Vendas[[#This Row],[Valor da Venda]]</f>
        <v>0.13043478260869568</v>
      </c>
      <c r="L3362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3362"/>
    </row>
    <row r="3363" spans="1:13" x14ac:dyDescent="0.3">
      <c r="A3363" s="7">
        <v>400244</v>
      </c>
      <c r="B3363" t="str">
        <f>_xlfn.XLOOKUP(Vendas[[#This Row],[ID Vendedor]],Vendedores[ID],Vendedores[Nome])</f>
        <v>Camila</v>
      </c>
      <c r="C3363" s="7" t="str">
        <f>_xlfn.XLOOKUP(Vendas[[#This Row],[ID Vendedor]],Vendedores[ID],Vendedores[Setor])</f>
        <v>AHD</v>
      </c>
      <c r="D3363" s="7" t="s">
        <v>9</v>
      </c>
      <c r="E3363" t="str">
        <f>_xlfn.XLOOKUP(Vendas[[#This Row],[ID Item Vendido]],Agregado[ID],Agregado[Produto])</f>
        <v>Barra de aço simples</v>
      </c>
      <c r="F3363" s="39">
        <v>45387</v>
      </c>
      <c r="G3363" s="7">
        <v>32</v>
      </c>
      <c r="H3363" s="3">
        <f>_xlfn.XLOOKUP(Vendas[[#This Row],[ID Item Vendido]],Agregado[ID],Agregado[Revenda])</f>
        <v>6.7</v>
      </c>
      <c r="I3363" s="3">
        <f>Vendas[[#This Row],[Valor Unitário]]*Vendas[[#This Row],[Qnt Vendida]]</f>
        <v>214.4</v>
      </c>
      <c r="J3363" s="3">
        <f>Vendas[[#This Row],[Valor da Venda]]-(_xlfn.XLOOKUP(Vendas[[#This Row],[ID Item Vendido]],Agregado[ID],Agregado[Custo])*Vendas[[#This Row],[Qnt Vendida]])</f>
        <v>28.800000000000011</v>
      </c>
      <c r="K3363" s="70">
        <f>Vendas[[#This Row],[Lucro da Venda]]/Vendas[[#This Row],[Valor da Venda]]</f>
        <v>0.13432835820895528</v>
      </c>
      <c r="L3363" s="3">
        <f>_xlfn.IFS(Vendas[[#This Row],[Margem de Lucro (%)]]&lt;15%,Vendas[[#This Row],[Valor da Venda]]*3%,Vendas[[#This Row],[Margem de Lucro (%)]]&lt;=20%,Vendas[[#This Row],[Valor da Venda]]*4.5%,TRUE,Vendas[[#This Row],[Valor da Venda]]*6%)</f>
        <v>6.4319999999999995</v>
      </c>
      <c r="M3363"/>
    </row>
    <row r="3364" spans="1:13" x14ac:dyDescent="0.3">
      <c r="A3364" s="7">
        <v>400241</v>
      </c>
      <c r="B3364" t="str">
        <f>_xlfn.XLOOKUP(Vendas[[#This Row],[ID Vendedor]],Vendedores[ID],Vendedores[Nome])</f>
        <v>Rodrigo</v>
      </c>
      <c r="C3364" s="7" t="str">
        <f>_xlfn.XLOOKUP(Vendas[[#This Row],[ID Vendedor]],Vendedores[ID],Vendedores[Setor])</f>
        <v>FM</v>
      </c>
      <c r="D3364" s="7" t="s">
        <v>31</v>
      </c>
      <c r="E3364" t="str">
        <f>_xlfn.XLOOKUP(Vendas[[#This Row],[ID Item Vendido]],Agregado[ID],Agregado[Produto])</f>
        <v>Tela de metal soldada rolo 2x25m</v>
      </c>
      <c r="F3364" s="39">
        <v>45389</v>
      </c>
      <c r="G3364" s="7">
        <v>13</v>
      </c>
      <c r="H3364" s="3">
        <f>_xlfn.XLOOKUP(Vendas[[#This Row],[ID Item Vendido]],Agregado[ID],Agregado[Revenda])</f>
        <v>43.7</v>
      </c>
      <c r="I3364" s="3">
        <f>Vendas[[#This Row],[Valor Unitário]]*Vendas[[#This Row],[Qnt Vendida]]</f>
        <v>568.1</v>
      </c>
      <c r="J3364" s="3">
        <f>Vendas[[#This Row],[Valor da Venda]]-(_xlfn.XLOOKUP(Vendas[[#This Row],[ID Item Vendido]],Agregado[ID],Agregado[Custo])*Vendas[[#This Row],[Qnt Vendida]])</f>
        <v>74.100000000000023</v>
      </c>
      <c r="K3364" s="70">
        <f>Vendas[[#This Row],[Lucro da Venda]]/Vendas[[#This Row],[Valor da Venda]]</f>
        <v>0.13043478260869568</v>
      </c>
      <c r="L3364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3364"/>
    </row>
    <row r="3365" spans="1:13" x14ac:dyDescent="0.3">
      <c r="A3365" s="7">
        <v>400252</v>
      </c>
      <c r="B3365" t="str">
        <f>_xlfn.XLOOKUP(Vendas[[#This Row],[ID Vendedor]],Vendedores[ID],Vendedores[Nome])</f>
        <v>Renata</v>
      </c>
      <c r="C3365" s="7" t="str">
        <f>_xlfn.XLOOKUP(Vendas[[#This Row],[ID Vendedor]],Vendedores[ID],Vendedores[Setor])</f>
        <v>AB</v>
      </c>
      <c r="D3365" s="7" t="s">
        <v>12</v>
      </c>
      <c r="E3365" t="str">
        <f>_xlfn.XLOOKUP(Vendas[[#This Row],[ID Item Vendido]],Agregado[ID],Agregado[Produto])</f>
        <v>Grânulo de plástico reciclado refinado</v>
      </c>
      <c r="F3365" s="39">
        <v>45389</v>
      </c>
      <c r="G3365" s="7">
        <v>104</v>
      </c>
      <c r="H3365" s="3">
        <f>_xlfn.XLOOKUP(Vendas[[#This Row],[ID Item Vendido]],Agregado[ID],Agregado[Revenda])</f>
        <v>4.7</v>
      </c>
      <c r="I3365" s="3">
        <f>Vendas[[#This Row],[Valor Unitário]]*Vendas[[#This Row],[Qnt Vendida]]</f>
        <v>488.8</v>
      </c>
      <c r="J3365" s="3">
        <f>Vendas[[#This Row],[Valor da Venda]]-(_xlfn.XLOOKUP(Vendas[[#This Row],[ID Item Vendido]],Agregado[ID],Agregado[Custo])*Vendas[[#This Row],[Qnt Vendida]])</f>
        <v>124.80000000000001</v>
      </c>
      <c r="K3365" s="70">
        <f>Vendas[[#This Row],[Lucro da Venda]]/Vendas[[#This Row],[Valor da Venda]]</f>
        <v>0.25531914893617025</v>
      </c>
      <c r="L3365" s="3">
        <f>_xlfn.IFS(Vendas[[#This Row],[Margem de Lucro (%)]]&lt;15%,Vendas[[#This Row],[Valor da Venda]]*3%,Vendas[[#This Row],[Margem de Lucro (%)]]&lt;=20%,Vendas[[#This Row],[Valor da Venda]]*4.5%,TRUE,Vendas[[#This Row],[Valor da Venda]]*6%)</f>
        <v>29.327999999999999</v>
      </c>
      <c r="M3365"/>
    </row>
    <row r="3366" spans="1:13" x14ac:dyDescent="0.3">
      <c r="A3366" s="7">
        <v>400252</v>
      </c>
      <c r="B3366" t="str">
        <f>_xlfn.XLOOKUP(Vendas[[#This Row],[ID Vendedor]],Vendedores[ID],Vendedores[Nome])</f>
        <v>Renata</v>
      </c>
      <c r="C3366" s="7" t="str">
        <f>_xlfn.XLOOKUP(Vendas[[#This Row],[ID Vendedor]],Vendedores[ID],Vendedores[Setor])</f>
        <v>AB</v>
      </c>
      <c r="D3366" s="7" t="s">
        <v>37</v>
      </c>
      <c r="E3366" t="str">
        <f>_xlfn.XLOOKUP(Vendas[[#This Row],[ID Item Vendido]],Agregado[ID],Agregado[Produto])</f>
        <v>Composto de borracha para vedação rolo 10m</v>
      </c>
      <c r="F3366" s="39">
        <v>45390</v>
      </c>
      <c r="G3366" s="7">
        <v>23</v>
      </c>
      <c r="H3366" s="3">
        <f>_xlfn.XLOOKUP(Vendas[[#This Row],[ID Item Vendido]],Agregado[ID],Agregado[Revenda])</f>
        <v>51.2</v>
      </c>
      <c r="I3366" s="3">
        <f>Vendas[[#This Row],[Valor Unitário]]*Vendas[[#This Row],[Qnt Vendida]]</f>
        <v>1177.6000000000001</v>
      </c>
      <c r="J3366" s="3">
        <f>Vendas[[#This Row],[Valor da Venda]]-(_xlfn.XLOOKUP(Vendas[[#This Row],[ID Item Vendido]],Agregado[ID],Agregado[Custo])*Vendas[[#This Row],[Qnt Vendida]])</f>
        <v>257.60000000000014</v>
      </c>
      <c r="K3366" s="70">
        <f>Vendas[[#This Row],[Lucro da Venda]]/Vendas[[#This Row],[Valor da Venda]]</f>
        <v>0.21875000000000008</v>
      </c>
      <c r="L3366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3366"/>
    </row>
    <row r="3367" spans="1:13" x14ac:dyDescent="0.3">
      <c r="A3367" s="7">
        <v>400242</v>
      </c>
      <c r="B3367" t="str">
        <f>_xlfn.XLOOKUP(Vendas[[#This Row],[ID Vendedor]],Vendedores[ID],Vendedores[Nome])</f>
        <v>Fernanda</v>
      </c>
      <c r="C3367" s="7" t="str">
        <f>_xlfn.XLOOKUP(Vendas[[#This Row],[ID Vendedor]],Vendedores[ID],Vendedores[Setor])</f>
        <v>FM</v>
      </c>
      <c r="D3367" s="7" t="s">
        <v>27</v>
      </c>
      <c r="E3367" t="str">
        <f>_xlfn.XLOOKUP(Vendas[[#This Row],[ID Item Vendido]],Agregado[ID],Agregado[Produto])</f>
        <v>Chapa de metal lisa 1x2m</v>
      </c>
      <c r="F3367" s="39">
        <v>45390</v>
      </c>
      <c r="G3367" s="7">
        <v>20</v>
      </c>
      <c r="H3367" s="3">
        <f>_xlfn.XLOOKUP(Vendas[[#This Row],[ID Item Vendido]],Agregado[ID],Agregado[Revenda])</f>
        <v>52</v>
      </c>
      <c r="I3367" s="3">
        <f>Vendas[[#This Row],[Valor Unitário]]*Vendas[[#This Row],[Qnt Vendida]]</f>
        <v>1040</v>
      </c>
      <c r="J3367" s="3">
        <f>Vendas[[#This Row],[Valor da Venda]]-(_xlfn.XLOOKUP(Vendas[[#This Row],[ID Item Vendido]],Agregado[ID],Agregado[Custo])*Vendas[[#This Row],[Qnt Vendida]])</f>
        <v>140</v>
      </c>
      <c r="K3367" s="70">
        <f>Vendas[[#This Row],[Lucro da Venda]]/Vendas[[#This Row],[Valor da Venda]]</f>
        <v>0.13461538461538461</v>
      </c>
      <c r="L3367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3367"/>
    </row>
    <row r="3368" spans="1:13" x14ac:dyDescent="0.3">
      <c r="A3368" s="7">
        <v>400242</v>
      </c>
      <c r="B3368" t="str">
        <f>_xlfn.XLOOKUP(Vendas[[#This Row],[ID Vendedor]],Vendedores[ID],Vendedores[Nome])</f>
        <v>Fernanda</v>
      </c>
      <c r="C3368" s="7" t="str">
        <f>_xlfn.XLOOKUP(Vendas[[#This Row],[ID Vendedor]],Vendedores[ID],Vendedores[Setor])</f>
        <v>FM</v>
      </c>
      <c r="D3368" s="7" t="s">
        <v>20</v>
      </c>
      <c r="E3368" t="str">
        <f>_xlfn.XLOOKUP(Vendas[[#This Row],[ID Item Vendido]],Agregado[ID],Agregado[Produto])</f>
        <v>Barra de aço simples</v>
      </c>
      <c r="F3368" s="39">
        <v>45390</v>
      </c>
      <c r="G3368" s="7">
        <v>159</v>
      </c>
      <c r="H3368" s="3">
        <f>_xlfn.XLOOKUP(Vendas[[#This Row],[ID Item Vendido]],Agregado[ID],Agregado[Revenda])</f>
        <v>4.8</v>
      </c>
      <c r="I3368" s="3">
        <f>Vendas[[#This Row],[Valor Unitário]]*Vendas[[#This Row],[Qnt Vendida]]</f>
        <v>763.19999999999993</v>
      </c>
      <c r="J3368" s="3">
        <f>Vendas[[#This Row],[Valor da Venda]]-(_xlfn.XLOOKUP(Vendas[[#This Row],[ID Item Vendido]],Agregado[ID],Agregado[Custo])*Vendas[[#This Row],[Qnt Vendida]])</f>
        <v>95.399999999999864</v>
      </c>
      <c r="K3368" s="70">
        <f>Vendas[[#This Row],[Lucro da Venda]]/Vendas[[#This Row],[Valor da Venda]]</f>
        <v>0.12499999999999983</v>
      </c>
      <c r="L3368" s="3">
        <f>_xlfn.IFS(Vendas[[#This Row],[Margem de Lucro (%)]]&lt;15%,Vendas[[#This Row],[Valor da Venda]]*3%,Vendas[[#This Row],[Margem de Lucro (%)]]&lt;=20%,Vendas[[#This Row],[Valor da Venda]]*4.5%,TRUE,Vendas[[#This Row],[Valor da Venda]]*6%)</f>
        <v>22.895999999999997</v>
      </c>
      <c r="M3368"/>
    </row>
    <row r="3369" spans="1:13" x14ac:dyDescent="0.3">
      <c r="A3369" s="7">
        <v>400252</v>
      </c>
      <c r="B3369" t="str">
        <f>_xlfn.XLOOKUP(Vendas[[#This Row],[ID Vendedor]],Vendedores[ID],Vendedores[Nome])</f>
        <v>Renata</v>
      </c>
      <c r="C3369" s="7" t="str">
        <f>_xlfn.XLOOKUP(Vendas[[#This Row],[ID Vendedor]],Vendedores[ID],Vendedores[Setor])</f>
        <v>AB</v>
      </c>
      <c r="D3369" s="7" t="s">
        <v>36</v>
      </c>
      <c r="E3369" t="str">
        <f>_xlfn.XLOOKUP(Vendas[[#This Row],[ID Item Vendido]],Agregado[ID],Agregado[Produto])</f>
        <v>Borracha vulcanizada em manta</v>
      </c>
      <c r="F3369" s="39">
        <v>45390</v>
      </c>
      <c r="G3369" s="7">
        <v>64</v>
      </c>
      <c r="H3369" s="3">
        <f>_xlfn.XLOOKUP(Vendas[[#This Row],[ID Item Vendido]],Agregado[ID],Agregado[Revenda])</f>
        <v>7.8</v>
      </c>
      <c r="I3369" s="3">
        <f>Vendas[[#This Row],[Valor Unitário]]*Vendas[[#This Row],[Qnt Vendida]]</f>
        <v>499.2</v>
      </c>
      <c r="J3369" s="3">
        <f>Vendas[[#This Row],[Valor da Venda]]-(_xlfn.XLOOKUP(Vendas[[#This Row],[ID Item Vendido]],Agregado[ID],Agregado[Custo])*Vendas[[#This Row],[Qnt Vendida]])</f>
        <v>115.19999999999999</v>
      </c>
      <c r="K3369" s="70">
        <f>Vendas[[#This Row],[Lucro da Venda]]/Vendas[[#This Row],[Valor da Venda]]</f>
        <v>0.23076923076923075</v>
      </c>
      <c r="L3369" s="3">
        <f>_xlfn.IFS(Vendas[[#This Row],[Margem de Lucro (%)]]&lt;15%,Vendas[[#This Row],[Valor da Venda]]*3%,Vendas[[#This Row],[Margem de Lucro (%)]]&lt;=20%,Vendas[[#This Row],[Valor da Venda]]*4.5%,TRUE,Vendas[[#This Row],[Valor da Venda]]*6%)</f>
        <v>29.951999999999998</v>
      </c>
      <c r="M3369"/>
    </row>
    <row r="3370" spans="1:13" x14ac:dyDescent="0.3">
      <c r="A3370" s="7">
        <v>400246</v>
      </c>
      <c r="B3370" t="str">
        <f>_xlfn.XLOOKUP(Vendas[[#This Row],[ID Vendedor]],Vendedores[ID],Vendedores[Nome])</f>
        <v>Juliana</v>
      </c>
      <c r="C3370" s="7" t="str">
        <f>_xlfn.XLOOKUP(Vendas[[#This Row],[ID Vendedor]],Vendedores[ID],Vendedores[Setor])</f>
        <v>AHD</v>
      </c>
      <c r="D3370" s="7" t="s">
        <v>30</v>
      </c>
      <c r="E3370" t="str">
        <f>_xlfn.XLOOKUP(Vendas[[#This Row],[ID Item Vendido]],Agregado[ID],Agregado[Produto])</f>
        <v>Estrutura metálica soldada</v>
      </c>
      <c r="F3370" s="39">
        <v>45390</v>
      </c>
      <c r="G3370" s="7">
        <v>1</v>
      </c>
      <c r="H3370" s="3">
        <f>_xlfn.XLOOKUP(Vendas[[#This Row],[ID Item Vendido]],Agregado[ID],Agregado[Revenda])</f>
        <v>400</v>
      </c>
      <c r="I3370" s="3">
        <f>Vendas[[#This Row],[Valor Unitário]]*Vendas[[#This Row],[Qnt Vendida]]</f>
        <v>400</v>
      </c>
      <c r="J3370" s="3">
        <f>Vendas[[#This Row],[Valor da Venda]]-(_xlfn.XLOOKUP(Vendas[[#This Row],[ID Item Vendido]],Agregado[ID],Agregado[Custo])*Vendas[[#This Row],[Qnt Vendida]])</f>
        <v>80</v>
      </c>
      <c r="K3370" s="70">
        <f>Vendas[[#This Row],[Lucro da Venda]]/Vendas[[#This Row],[Valor da Venda]]</f>
        <v>0.2</v>
      </c>
      <c r="L3370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370"/>
    </row>
    <row r="3371" spans="1:13" x14ac:dyDescent="0.3">
      <c r="A3371" s="7">
        <v>400247</v>
      </c>
      <c r="B3371" t="str">
        <f>_xlfn.XLOOKUP(Vendas[[#This Row],[ID Vendedor]],Vendedores[ID],Vendedores[Nome])</f>
        <v>André</v>
      </c>
      <c r="C3371" s="7" t="str">
        <f>_xlfn.XLOOKUP(Vendas[[#This Row],[ID Vendedor]],Vendedores[ID],Vendedores[Setor])</f>
        <v>CM</v>
      </c>
      <c r="D3371" s="7" t="s">
        <v>32</v>
      </c>
      <c r="E3371" t="str">
        <f>_xlfn.XLOOKUP(Vendas[[#This Row],[ID Item Vendido]],Agregado[ID],Agregado[Produto])</f>
        <v>Tábua tratada e cortada 3m</v>
      </c>
      <c r="F3371" s="39">
        <v>45391</v>
      </c>
      <c r="G3371" s="7">
        <v>39</v>
      </c>
      <c r="H3371" s="3">
        <f>_xlfn.XLOOKUP(Vendas[[#This Row],[ID Item Vendido]],Agregado[ID],Agregado[Revenda])</f>
        <v>39</v>
      </c>
      <c r="I3371" s="3">
        <f>Vendas[[#This Row],[Valor Unitário]]*Vendas[[#This Row],[Qnt Vendida]]</f>
        <v>1521</v>
      </c>
      <c r="J3371" s="3">
        <f>Vendas[[#This Row],[Valor da Venda]]-(_xlfn.XLOOKUP(Vendas[[#This Row],[ID Item Vendido]],Agregado[ID],Agregado[Custo])*Vendas[[#This Row],[Qnt Vendida]])</f>
        <v>273</v>
      </c>
      <c r="K3371" s="70">
        <f>Vendas[[#This Row],[Lucro da Venda]]/Vendas[[#This Row],[Valor da Venda]]</f>
        <v>0.17948717948717949</v>
      </c>
      <c r="L3371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3371"/>
    </row>
    <row r="3372" spans="1:13" x14ac:dyDescent="0.3">
      <c r="A3372" s="7">
        <v>400242</v>
      </c>
      <c r="B3372" t="str">
        <f>_xlfn.XLOOKUP(Vendas[[#This Row],[ID Vendedor]],Vendedores[ID],Vendedores[Nome])</f>
        <v>Fernanda</v>
      </c>
      <c r="C3372" s="7" t="str">
        <f>_xlfn.XLOOKUP(Vendas[[#This Row],[ID Vendedor]],Vendedores[ID],Vendedores[Setor])</f>
        <v>FM</v>
      </c>
      <c r="D3372" s="7" t="s">
        <v>27</v>
      </c>
      <c r="E3372" t="str">
        <f>_xlfn.XLOOKUP(Vendas[[#This Row],[ID Item Vendido]],Agregado[ID],Agregado[Produto])</f>
        <v>Chapa de metal lisa 1x2m</v>
      </c>
      <c r="F3372" s="39">
        <v>45391</v>
      </c>
      <c r="G3372" s="7">
        <v>18</v>
      </c>
      <c r="H3372" s="3">
        <f>_xlfn.XLOOKUP(Vendas[[#This Row],[ID Item Vendido]],Agregado[ID],Agregado[Revenda])</f>
        <v>52</v>
      </c>
      <c r="I3372" s="3">
        <f>Vendas[[#This Row],[Valor Unitário]]*Vendas[[#This Row],[Qnt Vendida]]</f>
        <v>936</v>
      </c>
      <c r="J3372" s="3">
        <f>Vendas[[#This Row],[Valor da Venda]]-(_xlfn.XLOOKUP(Vendas[[#This Row],[ID Item Vendido]],Agregado[ID],Agregado[Custo])*Vendas[[#This Row],[Qnt Vendida]])</f>
        <v>126</v>
      </c>
      <c r="K3372" s="70">
        <f>Vendas[[#This Row],[Lucro da Venda]]/Vendas[[#This Row],[Valor da Venda]]</f>
        <v>0.13461538461538461</v>
      </c>
      <c r="L3372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3372"/>
    </row>
    <row r="3373" spans="1:13" x14ac:dyDescent="0.3">
      <c r="A3373" s="7">
        <v>400255</v>
      </c>
      <c r="B3373" t="str">
        <f>_xlfn.XLOOKUP(Vendas[[#This Row],[ID Vendedor]],Vendedores[ID],Vendedores[Nome])</f>
        <v>Carlos</v>
      </c>
      <c r="C3373" s="7" t="str">
        <f>_xlfn.XLOOKUP(Vendas[[#This Row],[ID Vendedor]],Vendedores[ID],Vendedores[Setor])</f>
        <v>SC</v>
      </c>
      <c r="D3373" s="7" t="s">
        <v>25</v>
      </c>
      <c r="E3373" t="str">
        <f>_xlfn.XLOOKUP(Vendas[[#This Row],[ID Item Vendido]],Agregado[ID],Agregado[Produto])</f>
        <v>Palete de plástico</v>
      </c>
      <c r="F3373" s="39">
        <v>45391</v>
      </c>
      <c r="G3373" s="7">
        <v>11</v>
      </c>
      <c r="H3373" s="3">
        <f>_xlfn.XLOOKUP(Vendas[[#This Row],[ID Item Vendido]],Agregado[ID],Agregado[Revenda])</f>
        <v>70.8</v>
      </c>
      <c r="I3373" s="3">
        <f>Vendas[[#This Row],[Valor Unitário]]*Vendas[[#This Row],[Qnt Vendida]]</f>
        <v>778.8</v>
      </c>
      <c r="J3373" s="3">
        <f>Vendas[[#This Row],[Valor da Venda]]-(_xlfn.XLOOKUP(Vendas[[#This Row],[ID Item Vendido]],Agregado[ID],Agregado[Custo])*Vendas[[#This Row],[Qnt Vendida]])</f>
        <v>118.79999999999995</v>
      </c>
      <c r="K3373" s="70">
        <f>Vendas[[#This Row],[Lucro da Venda]]/Vendas[[#This Row],[Valor da Venda]]</f>
        <v>0.15254237288135589</v>
      </c>
      <c r="L3373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3373"/>
    </row>
    <row r="3374" spans="1:13" x14ac:dyDescent="0.3">
      <c r="A3374" s="7">
        <v>400254</v>
      </c>
      <c r="B3374" t="str">
        <f>_xlfn.XLOOKUP(Vendas[[#This Row],[ID Vendedor]],Vendedores[ID],Vendedores[Nome])</f>
        <v>Beatriz</v>
      </c>
      <c r="C3374" s="7" t="str">
        <f>_xlfn.XLOOKUP(Vendas[[#This Row],[ID Vendedor]],Vendedores[ID],Vendedores[Setor])</f>
        <v>SC</v>
      </c>
      <c r="D3374" s="7" t="s">
        <v>48</v>
      </c>
      <c r="E3374" t="str">
        <f>_xlfn.XLOOKUP(Vendas[[#This Row],[ID Item Vendido]],Agregado[ID],Agregado[Produto])</f>
        <v>Tambor metálico 200L</v>
      </c>
      <c r="F3374" s="39">
        <v>45391</v>
      </c>
      <c r="G3374" s="7">
        <v>4</v>
      </c>
      <c r="H3374" s="3">
        <f>_xlfn.XLOOKUP(Vendas[[#This Row],[ID Item Vendido]],Agregado[ID],Agregado[Revenda])</f>
        <v>144</v>
      </c>
      <c r="I3374" s="3">
        <f>Vendas[[#This Row],[Valor Unitário]]*Vendas[[#This Row],[Qnt Vendida]]</f>
        <v>576</v>
      </c>
      <c r="J3374" s="3">
        <f>Vendas[[#This Row],[Valor da Venda]]-(_xlfn.XLOOKUP(Vendas[[#This Row],[ID Item Vendido]],Agregado[ID],Agregado[Custo])*Vendas[[#This Row],[Qnt Vendida]])</f>
        <v>96</v>
      </c>
      <c r="K3374" s="70">
        <f>Vendas[[#This Row],[Lucro da Venda]]/Vendas[[#This Row],[Valor da Venda]]</f>
        <v>0.16666666666666666</v>
      </c>
      <c r="L3374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3374"/>
    </row>
    <row r="3375" spans="1:13" x14ac:dyDescent="0.3">
      <c r="A3375" s="7">
        <v>400244</v>
      </c>
      <c r="B3375" t="str">
        <f>_xlfn.XLOOKUP(Vendas[[#This Row],[ID Vendedor]],Vendedores[ID],Vendedores[Nome])</f>
        <v>Camila</v>
      </c>
      <c r="C3375" s="7" t="str">
        <f>_xlfn.XLOOKUP(Vendas[[#This Row],[ID Vendedor]],Vendedores[ID],Vendedores[Setor])</f>
        <v>AHD</v>
      </c>
      <c r="D3375" s="7" t="s">
        <v>30</v>
      </c>
      <c r="E3375" t="str">
        <f>_xlfn.XLOOKUP(Vendas[[#This Row],[ID Item Vendido]],Agregado[ID],Agregado[Produto])</f>
        <v>Estrutura metálica soldada</v>
      </c>
      <c r="F3375" s="39">
        <v>45391</v>
      </c>
      <c r="G3375" s="7">
        <v>1</v>
      </c>
      <c r="H3375" s="3">
        <f>_xlfn.XLOOKUP(Vendas[[#This Row],[ID Item Vendido]],Agregado[ID],Agregado[Revenda])</f>
        <v>400</v>
      </c>
      <c r="I3375" s="3">
        <f>Vendas[[#This Row],[Valor Unitário]]*Vendas[[#This Row],[Qnt Vendida]]</f>
        <v>400</v>
      </c>
      <c r="J3375" s="3">
        <f>Vendas[[#This Row],[Valor da Venda]]-(_xlfn.XLOOKUP(Vendas[[#This Row],[ID Item Vendido]],Agregado[ID],Agregado[Custo])*Vendas[[#This Row],[Qnt Vendida]])</f>
        <v>80</v>
      </c>
      <c r="K3375" s="70">
        <f>Vendas[[#This Row],[Lucro da Venda]]/Vendas[[#This Row],[Valor da Venda]]</f>
        <v>0.2</v>
      </c>
      <c r="L3375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375"/>
    </row>
    <row r="3376" spans="1:13" x14ac:dyDescent="0.3">
      <c r="A3376" s="7">
        <v>400253</v>
      </c>
      <c r="B3376" t="str">
        <f>_xlfn.XLOOKUP(Vendas[[#This Row],[ID Vendedor]],Vendedores[ID],Vendedores[Nome])</f>
        <v>Gustavo</v>
      </c>
      <c r="C3376" s="7" t="str">
        <f>_xlfn.XLOOKUP(Vendas[[#This Row],[ID Vendedor]],Vendedores[ID],Vendedores[Setor])</f>
        <v>SC</v>
      </c>
      <c r="D3376" s="7" t="s">
        <v>25</v>
      </c>
      <c r="E3376" t="str">
        <f>_xlfn.XLOOKUP(Vendas[[#This Row],[ID Item Vendido]],Agregado[ID],Agregado[Produto])</f>
        <v>Palete de plástico</v>
      </c>
      <c r="F3376" s="39">
        <v>45391</v>
      </c>
      <c r="G3376" s="7">
        <v>5</v>
      </c>
      <c r="H3376" s="3">
        <f>_xlfn.XLOOKUP(Vendas[[#This Row],[ID Item Vendido]],Agregado[ID],Agregado[Revenda])</f>
        <v>70.8</v>
      </c>
      <c r="I3376" s="3">
        <f>Vendas[[#This Row],[Valor Unitário]]*Vendas[[#This Row],[Qnt Vendida]]</f>
        <v>354</v>
      </c>
      <c r="J3376" s="3">
        <f>Vendas[[#This Row],[Valor da Venda]]-(_xlfn.XLOOKUP(Vendas[[#This Row],[ID Item Vendido]],Agregado[ID],Agregado[Custo])*Vendas[[#This Row],[Qnt Vendida]])</f>
        <v>54</v>
      </c>
      <c r="K3376" s="70">
        <f>Vendas[[#This Row],[Lucro da Venda]]/Vendas[[#This Row],[Valor da Venda]]</f>
        <v>0.15254237288135594</v>
      </c>
      <c r="L3376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3376"/>
    </row>
    <row r="3377" spans="1:13" x14ac:dyDescent="0.3">
      <c r="A3377" s="7">
        <v>400255</v>
      </c>
      <c r="B3377" t="str">
        <f>_xlfn.XLOOKUP(Vendas[[#This Row],[ID Vendedor]],Vendedores[ID],Vendedores[Nome])</f>
        <v>Carlos</v>
      </c>
      <c r="C3377" s="7" t="str">
        <f>_xlfn.XLOOKUP(Vendas[[#This Row],[ID Vendedor]],Vendedores[ID],Vendedores[Setor])</f>
        <v>SC</v>
      </c>
      <c r="D3377" s="7" t="s">
        <v>42</v>
      </c>
      <c r="E3377" t="str">
        <f>_xlfn.XLOOKUP(Vendas[[#This Row],[ID Item Vendido]],Agregado[ID],Agregado[Produto])</f>
        <v>Container de ferro industrial</v>
      </c>
      <c r="F3377" s="39">
        <v>45392</v>
      </c>
      <c r="G3377" s="7">
        <v>5</v>
      </c>
      <c r="H3377" s="3">
        <f>_xlfn.XLOOKUP(Vendas[[#This Row],[ID Item Vendido]],Agregado[ID],Agregado[Revenda])</f>
        <v>830</v>
      </c>
      <c r="I3377" s="3">
        <f>Vendas[[#This Row],[Valor Unitário]]*Vendas[[#This Row],[Qnt Vendida]]</f>
        <v>4150</v>
      </c>
      <c r="J3377" s="3">
        <f>Vendas[[#This Row],[Valor da Venda]]-(_xlfn.XLOOKUP(Vendas[[#This Row],[ID Item Vendido]],Agregado[ID],Agregado[Custo])*Vendas[[#This Row],[Qnt Vendida]])</f>
        <v>750</v>
      </c>
      <c r="K3377" s="70">
        <f>Vendas[[#This Row],[Lucro da Venda]]/Vendas[[#This Row],[Valor da Venda]]</f>
        <v>0.18072289156626506</v>
      </c>
      <c r="L3377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377"/>
    </row>
    <row r="3378" spans="1:13" x14ac:dyDescent="0.3">
      <c r="A3378" s="7">
        <v>400246</v>
      </c>
      <c r="B3378" t="str">
        <f>_xlfn.XLOOKUP(Vendas[[#This Row],[ID Vendedor]],Vendedores[ID],Vendedores[Nome])</f>
        <v>Juliana</v>
      </c>
      <c r="C3378" s="7" t="str">
        <f>_xlfn.XLOOKUP(Vendas[[#This Row],[ID Vendedor]],Vendedores[ID],Vendedores[Setor])</f>
        <v>AHD</v>
      </c>
      <c r="D3378" s="7" t="s">
        <v>30</v>
      </c>
      <c r="E3378" t="str">
        <f>_xlfn.XLOOKUP(Vendas[[#This Row],[ID Item Vendido]],Agregado[ID],Agregado[Produto])</f>
        <v>Estrutura metálica soldada</v>
      </c>
      <c r="F3378" s="39">
        <v>45392</v>
      </c>
      <c r="G3378" s="7">
        <v>2</v>
      </c>
      <c r="H3378" s="3">
        <f>_xlfn.XLOOKUP(Vendas[[#This Row],[ID Item Vendido]],Agregado[ID],Agregado[Revenda])</f>
        <v>400</v>
      </c>
      <c r="I3378" s="3">
        <f>Vendas[[#This Row],[Valor Unitário]]*Vendas[[#This Row],[Qnt Vendida]]</f>
        <v>800</v>
      </c>
      <c r="J3378" s="3">
        <f>Vendas[[#This Row],[Valor da Venda]]-(_xlfn.XLOOKUP(Vendas[[#This Row],[ID Item Vendido]],Agregado[ID],Agregado[Custo])*Vendas[[#This Row],[Qnt Vendida]])</f>
        <v>160</v>
      </c>
      <c r="K3378" s="70">
        <f>Vendas[[#This Row],[Lucro da Venda]]/Vendas[[#This Row],[Valor da Venda]]</f>
        <v>0.2</v>
      </c>
      <c r="L3378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3378"/>
    </row>
    <row r="3379" spans="1:13" x14ac:dyDescent="0.3">
      <c r="A3379" s="7">
        <v>400246</v>
      </c>
      <c r="B3379" t="str">
        <f>_xlfn.XLOOKUP(Vendas[[#This Row],[ID Vendedor]],Vendedores[ID],Vendedores[Nome])</f>
        <v>Juliana</v>
      </c>
      <c r="C3379" s="7" t="str">
        <f>_xlfn.XLOOKUP(Vendas[[#This Row],[ID Vendedor]],Vendedores[ID],Vendedores[Setor])</f>
        <v>AHD</v>
      </c>
      <c r="D3379" s="7" t="s">
        <v>28</v>
      </c>
      <c r="E3379" t="str">
        <f>_xlfn.XLOOKUP(Vendas[[#This Row],[ID Item Vendido]],Agregado[ID],Agregado[Produto])</f>
        <v>Peça usinada CNC</v>
      </c>
      <c r="F3379" s="39">
        <v>45392</v>
      </c>
      <c r="G3379" s="7">
        <v>4</v>
      </c>
      <c r="H3379" s="3">
        <f>_xlfn.XLOOKUP(Vendas[[#This Row],[ID Item Vendido]],Agregado[ID],Agregado[Revenda])</f>
        <v>192</v>
      </c>
      <c r="I3379" s="3">
        <f>Vendas[[#This Row],[Valor Unitário]]*Vendas[[#This Row],[Qnt Vendida]]</f>
        <v>768</v>
      </c>
      <c r="J3379" s="3">
        <f>Vendas[[#This Row],[Valor da Venda]]-(_xlfn.XLOOKUP(Vendas[[#This Row],[ID Item Vendido]],Agregado[ID],Agregado[Custo])*Vendas[[#This Row],[Qnt Vendida]])</f>
        <v>168</v>
      </c>
      <c r="K3379" s="70">
        <f>Vendas[[#This Row],[Lucro da Venda]]/Vendas[[#This Row],[Valor da Venda]]</f>
        <v>0.21875</v>
      </c>
      <c r="L3379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3379"/>
    </row>
    <row r="3380" spans="1:13" x14ac:dyDescent="0.3">
      <c r="A3380" s="7">
        <v>400252</v>
      </c>
      <c r="B3380" t="str">
        <f>_xlfn.XLOOKUP(Vendas[[#This Row],[ID Vendedor]],Vendedores[ID],Vendedores[Nome])</f>
        <v>Renata</v>
      </c>
      <c r="C3380" s="7" t="str">
        <f>_xlfn.XLOOKUP(Vendas[[#This Row],[ID Vendedor]],Vendedores[ID],Vendedores[Setor])</f>
        <v>AB</v>
      </c>
      <c r="D3380" s="7" t="s">
        <v>36</v>
      </c>
      <c r="E3380" t="str">
        <f>_xlfn.XLOOKUP(Vendas[[#This Row],[ID Item Vendido]],Agregado[ID],Agregado[Produto])</f>
        <v>Borracha vulcanizada em manta</v>
      </c>
      <c r="F3380" s="39">
        <v>45392</v>
      </c>
      <c r="G3380" s="7">
        <v>93</v>
      </c>
      <c r="H3380" s="3">
        <f>_xlfn.XLOOKUP(Vendas[[#This Row],[ID Item Vendido]],Agregado[ID],Agregado[Revenda])</f>
        <v>7.8</v>
      </c>
      <c r="I3380" s="3">
        <f>Vendas[[#This Row],[Valor Unitário]]*Vendas[[#This Row],[Qnt Vendida]]</f>
        <v>725.4</v>
      </c>
      <c r="J3380" s="3">
        <f>Vendas[[#This Row],[Valor da Venda]]-(_xlfn.XLOOKUP(Vendas[[#This Row],[ID Item Vendido]],Agregado[ID],Agregado[Custo])*Vendas[[#This Row],[Qnt Vendida]])</f>
        <v>167.39999999999998</v>
      </c>
      <c r="K3380" s="70">
        <f>Vendas[[#This Row],[Lucro da Venda]]/Vendas[[#This Row],[Valor da Venda]]</f>
        <v>0.23076923076923075</v>
      </c>
      <c r="L3380" s="3">
        <f>_xlfn.IFS(Vendas[[#This Row],[Margem de Lucro (%)]]&lt;15%,Vendas[[#This Row],[Valor da Venda]]*3%,Vendas[[#This Row],[Margem de Lucro (%)]]&lt;=20%,Vendas[[#This Row],[Valor da Venda]]*4.5%,TRUE,Vendas[[#This Row],[Valor da Venda]]*6%)</f>
        <v>43.523999999999994</v>
      </c>
      <c r="M3380"/>
    </row>
    <row r="3381" spans="1:13" x14ac:dyDescent="0.3">
      <c r="A3381" s="7">
        <v>400252</v>
      </c>
      <c r="B3381" t="str">
        <f>_xlfn.XLOOKUP(Vendas[[#This Row],[ID Vendedor]],Vendedores[ID],Vendedores[Nome])</f>
        <v>Renata</v>
      </c>
      <c r="C3381" s="7" t="str">
        <f>_xlfn.XLOOKUP(Vendas[[#This Row],[ID Vendedor]],Vendedores[ID],Vendedores[Setor])</f>
        <v>AB</v>
      </c>
      <c r="D3381" s="7" t="s">
        <v>24</v>
      </c>
      <c r="E3381" t="str">
        <f>_xlfn.XLOOKUP(Vendas[[#This Row],[ID Item Vendido]],Agregado[ID],Agregado[Produto])</f>
        <v>Resina plástica PET purificada saco de 25kg</v>
      </c>
      <c r="F3381" s="39">
        <v>45393</v>
      </c>
      <c r="G3381" s="7">
        <v>30</v>
      </c>
      <c r="H3381" s="3">
        <f>_xlfn.XLOOKUP(Vendas[[#This Row],[ID Item Vendido]],Agregado[ID],Agregado[Revenda])</f>
        <v>119</v>
      </c>
      <c r="I3381" s="3">
        <f>Vendas[[#This Row],[Valor Unitário]]*Vendas[[#This Row],[Qnt Vendida]]</f>
        <v>3570</v>
      </c>
      <c r="J3381" s="3">
        <f>Vendas[[#This Row],[Valor da Venda]]-(_xlfn.XLOOKUP(Vendas[[#This Row],[ID Item Vendido]],Agregado[ID],Agregado[Custo])*Vendas[[#This Row],[Qnt Vendida]])</f>
        <v>1020</v>
      </c>
      <c r="K3381" s="70">
        <f>Vendas[[#This Row],[Lucro da Venda]]/Vendas[[#This Row],[Valor da Venda]]</f>
        <v>0.2857142857142857</v>
      </c>
      <c r="L3381" s="3">
        <f>_xlfn.IFS(Vendas[[#This Row],[Margem de Lucro (%)]]&lt;15%,Vendas[[#This Row],[Valor da Venda]]*3%,Vendas[[#This Row],[Margem de Lucro (%)]]&lt;=20%,Vendas[[#This Row],[Valor da Venda]]*4.5%,TRUE,Vendas[[#This Row],[Valor da Venda]]*6%)</f>
        <v>214.2</v>
      </c>
      <c r="M3381"/>
    </row>
    <row r="3382" spans="1:13" x14ac:dyDescent="0.3">
      <c r="A3382" s="7">
        <v>400255</v>
      </c>
      <c r="B3382" t="str">
        <f>_xlfn.XLOOKUP(Vendas[[#This Row],[ID Vendedor]],Vendedores[ID],Vendedores[Nome])</f>
        <v>Carlos</v>
      </c>
      <c r="C3382" s="7" t="str">
        <f>_xlfn.XLOOKUP(Vendas[[#This Row],[ID Vendedor]],Vendedores[ID],Vendedores[Setor])</f>
        <v>SC</v>
      </c>
      <c r="D3382" s="7" t="s">
        <v>42</v>
      </c>
      <c r="E3382" t="str">
        <f>_xlfn.XLOOKUP(Vendas[[#This Row],[ID Item Vendido]],Agregado[ID],Agregado[Produto])</f>
        <v>Container de ferro industrial</v>
      </c>
      <c r="F3382" s="39">
        <v>45393</v>
      </c>
      <c r="G3382" s="7">
        <v>2</v>
      </c>
      <c r="H3382" s="3">
        <f>_xlfn.XLOOKUP(Vendas[[#This Row],[ID Item Vendido]],Agregado[ID],Agregado[Revenda])</f>
        <v>830</v>
      </c>
      <c r="I3382" s="3">
        <f>Vendas[[#This Row],[Valor Unitário]]*Vendas[[#This Row],[Qnt Vendida]]</f>
        <v>1660</v>
      </c>
      <c r="J3382" s="3">
        <f>Vendas[[#This Row],[Valor da Venda]]-(_xlfn.XLOOKUP(Vendas[[#This Row],[ID Item Vendido]],Agregado[ID],Agregado[Custo])*Vendas[[#This Row],[Qnt Vendida]])</f>
        <v>300</v>
      </c>
      <c r="K3382" s="70">
        <f>Vendas[[#This Row],[Lucro da Venda]]/Vendas[[#This Row],[Valor da Venda]]</f>
        <v>0.18072289156626506</v>
      </c>
      <c r="L338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382"/>
    </row>
    <row r="3383" spans="1:13" x14ac:dyDescent="0.3">
      <c r="A3383" s="7">
        <v>400252</v>
      </c>
      <c r="B3383" t="str">
        <f>_xlfn.XLOOKUP(Vendas[[#This Row],[ID Vendedor]],Vendedores[ID],Vendedores[Nome])</f>
        <v>Renata</v>
      </c>
      <c r="C3383" s="7" t="str">
        <f>_xlfn.XLOOKUP(Vendas[[#This Row],[ID Vendedor]],Vendedores[ID],Vendedores[Setor])</f>
        <v>AB</v>
      </c>
      <c r="D3383" s="7" t="s">
        <v>37</v>
      </c>
      <c r="E3383" t="str">
        <f>_xlfn.XLOOKUP(Vendas[[#This Row],[ID Item Vendido]],Agregado[ID],Agregado[Produto])</f>
        <v>Composto de borracha para vedação rolo 10m</v>
      </c>
      <c r="F3383" s="39">
        <v>45393</v>
      </c>
      <c r="G3383" s="7">
        <v>12</v>
      </c>
      <c r="H3383" s="3">
        <f>_xlfn.XLOOKUP(Vendas[[#This Row],[ID Item Vendido]],Agregado[ID],Agregado[Revenda])</f>
        <v>51.2</v>
      </c>
      <c r="I3383" s="3">
        <f>Vendas[[#This Row],[Valor Unitário]]*Vendas[[#This Row],[Qnt Vendida]]</f>
        <v>614.40000000000009</v>
      </c>
      <c r="J3383" s="3">
        <f>Vendas[[#This Row],[Valor da Venda]]-(_xlfn.XLOOKUP(Vendas[[#This Row],[ID Item Vendido]],Agregado[ID],Agregado[Custo])*Vendas[[#This Row],[Qnt Vendida]])</f>
        <v>134.40000000000009</v>
      </c>
      <c r="K3383" s="70">
        <f>Vendas[[#This Row],[Lucro da Venda]]/Vendas[[#This Row],[Valor da Venda]]</f>
        <v>0.21875000000000011</v>
      </c>
      <c r="L3383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3383"/>
    </row>
    <row r="3384" spans="1:13" x14ac:dyDescent="0.3">
      <c r="A3384" s="7">
        <v>400248</v>
      </c>
      <c r="B3384" t="str">
        <f>_xlfn.XLOOKUP(Vendas[[#This Row],[ID Vendedor]],Vendedores[ID],Vendedores[Nome])</f>
        <v>Patrícia</v>
      </c>
      <c r="C3384" s="7" t="str">
        <f>_xlfn.XLOOKUP(Vendas[[#This Row],[ID Vendedor]],Vendedores[ID],Vendedores[Setor])</f>
        <v>CM</v>
      </c>
      <c r="D3384" s="7" t="s">
        <v>34</v>
      </c>
      <c r="E3384" t="str">
        <f>_xlfn.XLOOKUP(Vendas[[#This Row],[ID Item Vendido]],Agregado[ID],Agregado[Produto])</f>
        <v>Restos de madeira p/ MDP/OSB saco de 20kg</v>
      </c>
      <c r="F3384" s="39">
        <v>45393</v>
      </c>
      <c r="G3384" s="7">
        <v>7</v>
      </c>
      <c r="H3384" s="3">
        <f>_xlfn.XLOOKUP(Vendas[[#This Row],[ID Item Vendido]],Agregado[ID],Agregado[Revenda])</f>
        <v>13.8</v>
      </c>
      <c r="I3384" s="3">
        <f>Vendas[[#This Row],[Valor Unitário]]*Vendas[[#This Row],[Qnt Vendida]]</f>
        <v>96.600000000000009</v>
      </c>
      <c r="J3384" s="3">
        <f>Vendas[[#This Row],[Valor da Venda]]-(_xlfn.XLOOKUP(Vendas[[#This Row],[ID Item Vendido]],Agregado[ID],Agregado[Custo])*Vendas[[#This Row],[Qnt Vendida]])</f>
        <v>12.600000000000009</v>
      </c>
      <c r="K3384" s="70">
        <f>Vendas[[#This Row],[Lucro da Venda]]/Vendas[[#This Row],[Valor da Venda]]</f>
        <v>0.13043478260869573</v>
      </c>
      <c r="L3384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3384"/>
    </row>
    <row r="3385" spans="1:13" x14ac:dyDescent="0.3">
      <c r="A3385" s="7">
        <v>400251</v>
      </c>
      <c r="B3385" t="str">
        <f>_xlfn.XLOOKUP(Vendas[[#This Row],[ID Vendedor]],Vendedores[ID],Vendedores[Nome])</f>
        <v>Diego</v>
      </c>
      <c r="C3385" s="7" t="str">
        <f>_xlfn.XLOOKUP(Vendas[[#This Row],[ID Vendedor]],Vendedores[ID],Vendedores[Setor])</f>
        <v>AB</v>
      </c>
      <c r="D3385" s="7" t="s">
        <v>24</v>
      </c>
      <c r="E3385" t="str">
        <f>_xlfn.XLOOKUP(Vendas[[#This Row],[ID Item Vendido]],Agregado[ID],Agregado[Produto])</f>
        <v>Resina plástica PET purificada saco de 25kg</v>
      </c>
      <c r="F3385" s="39">
        <v>45394</v>
      </c>
      <c r="G3385" s="7">
        <v>14</v>
      </c>
      <c r="H3385" s="3">
        <f>_xlfn.XLOOKUP(Vendas[[#This Row],[ID Item Vendido]],Agregado[ID],Agregado[Revenda])</f>
        <v>119</v>
      </c>
      <c r="I3385" s="3">
        <f>Vendas[[#This Row],[Valor Unitário]]*Vendas[[#This Row],[Qnt Vendida]]</f>
        <v>1666</v>
      </c>
      <c r="J3385" s="3">
        <f>Vendas[[#This Row],[Valor da Venda]]-(_xlfn.XLOOKUP(Vendas[[#This Row],[ID Item Vendido]],Agregado[ID],Agregado[Custo])*Vendas[[#This Row],[Qnt Vendida]])</f>
        <v>476</v>
      </c>
      <c r="K3385" s="70">
        <f>Vendas[[#This Row],[Lucro da Venda]]/Vendas[[#This Row],[Valor da Venda]]</f>
        <v>0.2857142857142857</v>
      </c>
      <c r="L338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385"/>
    </row>
    <row r="3386" spans="1:13" x14ac:dyDescent="0.3">
      <c r="A3386" s="7">
        <v>400250</v>
      </c>
      <c r="B3386" t="str">
        <f>_xlfn.XLOOKUP(Vendas[[#This Row],[ID Vendedor]],Vendedores[ID],Vendedores[Nome])</f>
        <v>Larissa</v>
      </c>
      <c r="C3386" s="7" t="str">
        <f>_xlfn.XLOOKUP(Vendas[[#This Row],[ID Vendedor]],Vendedores[ID],Vendedores[Setor])</f>
        <v>AB</v>
      </c>
      <c r="D3386" s="7" t="s">
        <v>36</v>
      </c>
      <c r="E3386" t="str">
        <f>_xlfn.XLOOKUP(Vendas[[#This Row],[ID Item Vendido]],Agregado[ID],Agregado[Produto])</f>
        <v>Borracha vulcanizada em manta</v>
      </c>
      <c r="F3386" s="39">
        <v>45394</v>
      </c>
      <c r="G3386" s="7">
        <v>66</v>
      </c>
      <c r="H3386" s="3">
        <f>_xlfn.XLOOKUP(Vendas[[#This Row],[ID Item Vendido]],Agregado[ID],Agregado[Revenda])</f>
        <v>7.8</v>
      </c>
      <c r="I3386" s="3">
        <f>Vendas[[#This Row],[Valor Unitário]]*Vendas[[#This Row],[Qnt Vendida]]</f>
        <v>514.79999999999995</v>
      </c>
      <c r="J3386" s="3">
        <f>Vendas[[#This Row],[Valor da Venda]]-(_xlfn.XLOOKUP(Vendas[[#This Row],[ID Item Vendido]],Agregado[ID],Agregado[Custo])*Vendas[[#This Row],[Qnt Vendida]])</f>
        <v>118.79999999999995</v>
      </c>
      <c r="K3386" s="70">
        <f>Vendas[[#This Row],[Lucro da Venda]]/Vendas[[#This Row],[Valor da Venda]]</f>
        <v>0.2307692307692307</v>
      </c>
      <c r="L3386" s="3">
        <f>_xlfn.IFS(Vendas[[#This Row],[Margem de Lucro (%)]]&lt;15%,Vendas[[#This Row],[Valor da Venda]]*3%,Vendas[[#This Row],[Margem de Lucro (%)]]&lt;=20%,Vendas[[#This Row],[Valor da Venda]]*4.5%,TRUE,Vendas[[#This Row],[Valor da Venda]]*6%)</f>
        <v>30.887999999999995</v>
      </c>
      <c r="M3386"/>
    </row>
    <row r="3387" spans="1:13" x14ac:dyDescent="0.3">
      <c r="A3387" s="7">
        <v>400248</v>
      </c>
      <c r="B3387" t="str">
        <f>_xlfn.XLOOKUP(Vendas[[#This Row],[ID Vendedor]],Vendedores[ID],Vendedores[Nome])</f>
        <v>Patrícia</v>
      </c>
      <c r="C3387" s="7" t="str">
        <f>_xlfn.XLOOKUP(Vendas[[#This Row],[ID Vendedor]],Vendedores[ID],Vendedores[Setor])</f>
        <v>CM</v>
      </c>
      <c r="D3387" s="7" t="s">
        <v>34</v>
      </c>
      <c r="E3387" t="str">
        <f>_xlfn.XLOOKUP(Vendas[[#This Row],[ID Item Vendido]],Agregado[ID],Agregado[Produto])</f>
        <v>Restos de madeira p/ MDP/OSB saco de 20kg</v>
      </c>
      <c r="F3387" s="39">
        <v>45394</v>
      </c>
      <c r="G3387" s="7">
        <v>10</v>
      </c>
      <c r="H3387" s="3">
        <f>_xlfn.XLOOKUP(Vendas[[#This Row],[ID Item Vendido]],Agregado[ID],Agregado[Revenda])</f>
        <v>13.8</v>
      </c>
      <c r="I3387" s="3">
        <f>Vendas[[#This Row],[Valor Unitário]]*Vendas[[#This Row],[Qnt Vendida]]</f>
        <v>138</v>
      </c>
      <c r="J3387" s="3">
        <f>Vendas[[#This Row],[Valor da Venda]]-(_xlfn.XLOOKUP(Vendas[[#This Row],[ID Item Vendido]],Agregado[ID],Agregado[Custo])*Vendas[[#This Row],[Qnt Vendida]])</f>
        <v>18</v>
      </c>
      <c r="K3387" s="70">
        <f>Vendas[[#This Row],[Lucro da Venda]]/Vendas[[#This Row],[Valor da Venda]]</f>
        <v>0.13043478260869565</v>
      </c>
      <c r="L3387" s="3">
        <f>_xlfn.IFS(Vendas[[#This Row],[Margem de Lucro (%)]]&lt;15%,Vendas[[#This Row],[Valor da Venda]]*3%,Vendas[[#This Row],[Margem de Lucro (%)]]&lt;=20%,Vendas[[#This Row],[Valor da Venda]]*4.5%,TRUE,Vendas[[#This Row],[Valor da Venda]]*6%)</f>
        <v>4.1399999999999997</v>
      </c>
      <c r="M3387"/>
    </row>
    <row r="3388" spans="1:13" x14ac:dyDescent="0.3">
      <c r="A3388" s="7">
        <v>400246</v>
      </c>
      <c r="B3388" t="str">
        <f>_xlfn.XLOOKUP(Vendas[[#This Row],[ID Vendedor]],Vendedores[ID],Vendedores[Nome])</f>
        <v>Juliana</v>
      </c>
      <c r="C3388" s="7" t="str">
        <f>_xlfn.XLOOKUP(Vendas[[#This Row],[ID Vendedor]],Vendedores[ID],Vendedores[Setor])</f>
        <v>AHD</v>
      </c>
      <c r="D3388" s="7" t="s">
        <v>30</v>
      </c>
      <c r="E3388" t="str">
        <f>_xlfn.XLOOKUP(Vendas[[#This Row],[ID Item Vendido]],Agregado[ID],Agregado[Produto])</f>
        <v>Estrutura metálica soldada</v>
      </c>
      <c r="F3388" s="39">
        <v>45396</v>
      </c>
      <c r="G3388" s="7">
        <v>3</v>
      </c>
      <c r="H3388" s="3">
        <f>_xlfn.XLOOKUP(Vendas[[#This Row],[ID Item Vendido]],Agregado[ID],Agregado[Revenda])</f>
        <v>400</v>
      </c>
      <c r="I3388" s="3">
        <f>Vendas[[#This Row],[Valor Unitário]]*Vendas[[#This Row],[Qnt Vendida]]</f>
        <v>1200</v>
      </c>
      <c r="J3388" s="3">
        <f>Vendas[[#This Row],[Valor da Venda]]-(_xlfn.XLOOKUP(Vendas[[#This Row],[ID Item Vendido]],Agregado[ID],Agregado[Custo])*Vendas[[#This Row],[Qnt Vendida]])</f>
        <v>240</v>
      </c>
      <c r="K3388" s="70">
        <f>Vendas[[#This Row],[Lucro da Venda]]/Vendas[[#This Row],[Valor da Venda]]</f>
        <v>0.2</v>
      </c>
      <c r="L3388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388"/>
    </row>
    <row r="3389" spans="1:13" x14ac:dyDescent="0.3">
      <c r="A3389" s="7">
        <v>400248</v>
      </c>
      <c r="B3389" t="str">
        <f>_xlfn.XLOOKUP(Vendas[[#This Row],[ID Vendedor]],Vendedores[ID],Vendedores[Nome])</f>
        <v>Patrícia</v>
      </c>
      <c r="C3389" s="7" t="str">
        <f>_xlfn.XLOOKUP(Vendas[[#This Row],[ID Vendedor]],Vendedores[ID],Vendedores[Setor])</f>
        <v>CM</v>
      </c>
      <c r="D3389" s="7" t="s">
        <v>22</v>
      </c>
      <c r="E3389" t="str">
        <f>_xlfn.XLOOKUP(Vendas[[#This Row],[ID Item Vendido]],Agregado[ID],Agregado[Produto])</f>
        <v>Painel MDP 2,75x1,83m</v>
      </c>
      <c r="F3389" s="39">
        <v>45397</v>
      </c>
      <c r="G3389" s="7">
        <v>18</v>
      </c>
      <c r="H3389" s="3">
        <f>_xlfn.XLOOKUP(Vendas[[#This Row],[ID Item Vendido]],Agregado[ID],Agregado[Revenda])</f>
        <v>119</v>
      </c>
      <c r="I3389" s="3">
        <f>Vendas[[#This Row],[Valor Unitário]]*Vendas[[#This Row],[Qnt Vendida]]</f>
        <v>2142</v>
      </c>
      <c r="J3389" s="3">
        <f>Vendas[[#This Row],[Valor da Venda]]-(_xlfn.XLOOKUP(Vendas[[#This Row],[ID Item Vendido]],Agregado[ID],Agregado[Custo])*Vendas[[#This Row],[Qnt Vendida]])</f>
        <v>432</v>
      </c>
      <c r="K3389" s="70">
        <f>Vendas[[#This Row],[Lucro da Venda]]/Vendas[[#This Row],[Valor da Venda]]</f>
        <v>0.20168067226890757</v>
      </c>
      <c r="L3389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389"/>
    </row>
    <row r="3390" spans="1:13" x14ac:dyDescent="0.3">
      <c r="A3390" s="7">
        <v>400242</v>
      </c>
      <c r="B3390" t="str">
        <f>_xlfn.XLOOKUP(Vendas[[#This Row],[ID Vendedor]],Vendedores[ID],Vendedores[Nome])</f>
        <v>Fernanda</v>
      </c>
      <c r="C3390" s="7" t="str">
        <f>_xlfn.XLOOKUP(Vendas[[#This Row],[ID Vendedor]],Vendedores[ID],Vendedores[Setor])</f>
        <v>FM</v>
      </c>
      <c r="D3390" s="7" t="s">
        <v>27</v>
      </c>
      <c r="E3390" t="str">
        <f>_xlfn.XLOOKUP(Vendas[[#This Row],[ID Item Vendido]],Agregado[ID],Agregado[Produto])</f>
        <v>Chapa de metal lisa 1x2m</v>
      </c>
      <c r="F3390" s="39">
        <v>45397</v>
      </c>
      <c r="G3390" s="7">
        <v>22</v>
      </c>
      <c r="H3390" s="3">
        <f>_xlfn.XLOOKUP(Vendas[[#This Row],[ID Item Vendido]],Agregado[ID],Agregado[Revenda])</f>
        <v>52</v>
      </c>
      <c r="I3390" s="3">
        <f>Vendas[[#This Row],[Valor Unitário]]*Vendas[[#This Row],[Qnt Vendida]]</f>
        <v>1144</v>
      </c>
      <c r="J3390" s="3">
        <f>Vendas[[#This Row],[Valor da Venda]]-(_xlfn.XLOOKUP(Vendas[[#This Row],[ID Item Vendido]],Agregado[ID],Agregado[Custo])*Vendas[[#This Row],[Qnt Vendida]])</f>
        <v>154</v>
      </c>
      <c r="K3390" s="70">
        <f>Vendas[[#This Row],[Lucro da Venda]]/Vendas[[#This Row],[Valor da Venda]]</f>
        <v>0.13461538461538461</v>
      </c>
      <c r="L3390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3390"/>
    </row>
    <row r="3391" spans="1:13" x14ac:dyDescent="0.3">
      <c r="A3391" s="7">
        <v>400252</v>
      </c>
      <c r="B3391" t="str">
        <f>_xlfn.XLOOKUP(Vendas[[#This Row],[ID Vendedor]],Vendedores[ID],Vendedores[Nome])</f>
        <v>Renata</v>
      </c>
      <c r="C3391" s="7" t="str">
        <f>_xlfn.XLOOKUP(Vendas[[#This Row],[ID Vendedor]],Vendedores[ID],Vendedores[Setor])</f>
        <v>AB</v>
      </c>
      <c r="D3391" s="7" t="s">
        <v>36</v>
      </c>
      <c r="E3391" t="str">
        <f>_xlfn.XLOOKUP(Vendas[[#This Row],[ID Item Vendido]],Agregado[ID],Agregado[Produto])</f>
        <v>Borracha vulcanizada em manta</v>
      </c>
      <c r="F3391" s="39">
        <v>45397</v>
      </c>
      <c r="G3391" s="7">
        <v>97</v>
      </c>
      <c r="H3391" s="3">
        <f>_xlfn.XLOOKUP(Vendas[[#This Row],[ID Item Vendido]],Agregado[ID],Agregado[Revenda])</f>
        <v>7.8</v>
      </c>
      <c r="I3391" s="3">
        <f>Vendas[[#This Row],[Valor Unitário]]*Vendas[[#This Row],[Qnt Vendida]]</f>
        <v>756.6</v>
      </c>
      <c r="J3391" s="3">
        <f>Vendas[[#This Row],[Valor da Venda]]-(_xlfn.XLOOKUP(Vendas[[#This Row],[ID Item Vendido]],Agregado[ID],Agregado[Custo])*Vendas[[#This Row],[Qnt Vendida]])</f>
        <v>174.60000000000002</v>
      </c>
      <c r="K3391" s="70">
        <f>Vendas[[#This Row],[Lucro da Venda]]/Vendas[[#This Row],[Valor da Venda]]</f>
        <v>0.23076923076923078</v>
      </c>
      <c r="L3391" s="3">
        <f>_xlfn.IFS(Vendas[[#This Row],[Margem de Lucro (%)]]&lt;15%,Vendas[[#This Row],[Valor da Venda]]*3%,Vendas[[#This Row],[Margem de Lucro (%)]]&lt;=20%,Vendas[[#This Row],[Valor da Venda]]*4.5%,TRUE,Vendas[[#This Row],[Valor da Venda]]*6%)</f>
        <v>45.396000000000001</v>
      </c>
      <c r="M3391"/>
    </row>
    <row r="3392" spans="1:13" x14ac:dyDescent="0.3">
      <c r="A3392" s="7">
        <v>400252</v>
      </c>
      <c r="B3392" t="str">
        <f>_xlfn.XLOOKUP(Vendas[[#This Row],[ID Vendedor]],Vendedores[ID],Vendedores[Nome])</f>
        <v>Renata</v>
      </c>
      <c r="C3392" s="7" t="str">
        <f>_xlfn.XLOOKUP(Vendas[[#This Row],[ID Vendedor]],Vendedores[ID],Vendedores[Setor])</f>
        <v>AB</v>
      </c>
      <c r="D3392" s="7" t="s">
        <v>24</v>
      </c>
      <c r="E3392" t="str">
        <f>_xlfn.XLOOKUP(Vendas[[#This Row],[ID Item Vendido]],Agregado[ID],Agregado[Produto])</f>
        <v>Resina plástica PET purificada saco de 25kg</v>
      </c>
      <c r="F3392" s="39">
        <v>45397</v>
      </c>
      <c r="G3392" s="7">
        <v>6</v>
      </c>
      <c r="H3392" s="3">
        <f>_xlfn.XLOOKUP(Vendas[[#This Row],[ID Item Vendido]],Agregado[ID],Agregado[Revenda])</f>
        <v>119</v>
      </c>
      <c r="I3392" s="3">
        <f>Vendas[[#This Row],[Valor Unitário]]*Vendas[[#This Row],[Qnt Vendida]]</f>
        <v>714</v>
      </c>
      <c r="J3392" s="3">
        <f>Vendas[[#This Row],[Valor da Venda]]-(_xlfn.XLOOKUP(Vendas[[#This Row],[ID Item Vendido]],Agregado[ID],Agregado[Custo])*Vendas[[#This Row],[Qnt Vendida]])</f>
        <v>204</v>
      </c>
      <c r="K3392" s="70">
        <f>Vendas[[#This Row],[Lucro da Venda]]/Vendas[[#This Row],[Valor da Venda]]</f>
        <v>0.2857142857142857</v>
      </c>
      <c r="L3392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392"/>
    </row>
    <row r="3393" spans="1:13" x14ac:dyDescent="0.3">
      <c r="A3393" s="7">
        <v>400251</v>
      </c>
      <c r="B3393" t="str">
        <f>_xlfn.XLOOKUP(Vendas[[#This Row],[ID Vendedor]],Vendedores[ID],Vendedores[Nome])</f>
        <v>Diego</v>
      </c>
      <c r="C3393" s="7" t="str">
        <f>_xlfn.XLOOKUP(Vendas[[#This Row],[ID Vendedor]],Vendedores[ID],Vendedores[Setor])</f>
        <v>AB</v>
      </c>
      <c r="D3393" s="7" t="s">
        <v>24</v>
      </c>
      <c r="E3393" t="str">
        <f>_xlfn.XLOOKUP(Vendas[[#This Row],[ID Item Vendido]],Agregado[ID],Agregado[Produto])</f>
        <v>Resina plástica PET purificada saco de 25kg</v>
      </c>
      <c r="F3393" s="39">
        <v>45398</v>
      </c>
      <c r="G3393" s="7">
        <v>23</v>
      </c>
      <c r="H3393" s="3">
        <f>_xlfn.XLOOKUP(Vendas[[#This Row],[ID Item Vendido]],Agregado[ID],Agregado[Revenda])</f>
        <v>119</v>
      </c>
      <c r="I3393" s="3">
        <f>Vendas[[#This Row],[Valor Unitário]]*Vendas[[#This Row],[Qnt Vendida]]</f>
        <v>2737</v>
      </c>
      <c r="J3393" s="3">
        <f>Vendas[[#This Row],[Valor da Venda]]-(_xlfn.XLOOKUP(Vendas[[#This Row],[ID Item Vendido]],Agregado[ID],Agregado[Custo])*Vendas[[#This Row],[Qnt Vendida]])</f>
        <v>782</v>
      </c>
      <c r="K3393" s="70">
        <f>Vendas[[#This Row],[Lucro da Venda]]/Vendas[[#This Row],[Valor da Venda]]</f>
        <v>0.2857142857142857</v>
      </c>
      <c r="L3393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3393"/>
    </row>
    <row r="3394" spans="1:13" x14ac:dyDescent="0.3">
      <c r="A3394" s="7">
        <v>400254</v>
      </c>
      <c r="B3394" t="str">
        <f>_xlfn.XLOOKUP(Vendas[[#This Row],[ID Vendedor]],Vendedores[ID],Vendedores[Nome])</f>
        <v>Beatriz</v>
      </c>
      <c r="C3394" s="7" t="str">
        <f>_xlfn.XLOOKUP(Vendas[[#This Row],[ID Vendedor]],Vendedores[ID],Vendedores[Setor])</f>
        <v>SC</v>
      </c>
      <c r="D3394" s="7" t="s">
        <v>42</v>
      </c>
      <c r="E3394" t="str">
        <f>_xlfn.XLOOKUP(Vendas[[#This Row],[ID Item Vendido]],Agregado[ID],Agregado[Produto])</f>
        <v>Container de ferro industrial</v>
      </c>
      <c r="F3394" s="39">
        <v>45398</v>
      </c>
      <c r="G3394" s="7">
        <v>3</v>
      </c>
      <c r="H3394" s="3">
        <f>_xlfn.XLOOKUP(Vendas[[#This Row],[ID Item Vendido]],Agregado[ID],Agregado[Revenda])</f>
        <v>830</v>
      </c>
      <c r="I3394" s="3">
        <f>Vendas[[#This Row],[Valor Unitário]]*Vendas[[#This Row],[Qnt Vendida]]</f>
        <v>2490</v>
      </c>
      <c r="J3394" s="3">
        <f>Vendas[[#This Row],[Valor da Venda]]-(_xlfn.XLOOKUP(Vendas[[#This Row],[ID Item Vendido]],Agregado[ID],Agregado[Custo])*Vendas[[#This Row],[Qnt Vendida]])</f>
        <v>450</v>
      </c>
      <c r="K3394" s="70">
        <f>Vendas[[#This Row],[Lucro da Venda]]/Vendas[[#This Row],[Valor da Venda]]</f>
        <v>0.18072289156626506</v>
      </c>
      <c r="L339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394"/>
    </row>
    <row r="3395" spans="1:13" x14ac:dyDescent="0.3">
      <c r="A3395" s="7">
        <v>400247</v>
      </c>
      <c r="B3395" t="str">
        <f>_xlfn.XLOOKUP(Vendas[[#This Row],[ID Vendedor]],Vendedores[ID],Vendedores[Nome])</f>
        <v>André</v>
      </c>
      <c r="C3395" s="7" t="str">
        <f>_xlfn.XLOOKUP(Vendas[[#This Row],[ID Vendedor]],Vendedores[ID],Vendedores[Setor])</f>
        <v>CM</v>
      </c>
      <c r="D3395" s="7" t="s">
        <v>43</v>
      </c>
      <c r="E3395" t="str">
        <f>_xlfn.XLOOKUP(Vendas[[#This Row],[ID Item Vendido]],Agregado[ID],Agregado[Produto])</f>
        <v>Madeira Bruta (Tora)</v>
      </c>
      <c r="F3395" s="39">
        <v>45398</v>
      </c>
      <c r="G3395" s="7">
        <v>2</v>
      </c>
      <c r="H3395" s="3">
        <f>_xlfn.XLOOKUP(Vendas[[#This Row],[ID Item Vendido]],Agregado[ID],Agregado[Revenda])</f>
        <v>212</v>
      </c>
      <c r="I3395" s="3">
        <f>Vendas[[#This Row],[Valor Unitário]]*Vendas[[#This Row],[Qnt Vendida]]</f>
        <v>424</v>
      </c>
      <c r="J3395" s="3">
        <f>Vendas[[#This Row],[Valor da Venda]]-(_xlfn.XLOOKUP(Vendas[[#This Row],[ID Item Vendido]],Agregado[ID],Agregado[Custo])*Vendas[[#This Row],[Qnt Vendida]])</f>
        <v>64</v>
      </c>
      <c r="K3395" s="70">
        <f>Vendas[[#This Row],[Lucro da Venda]]/Vendas[[#This Row],[Valor da Venda]]</f>
        <v>0.15094339622641509</v>
      </c>
      <c r="L3395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395"/>
    </row>
    <row r="3396" spans="1:13" x14ac:dyDescent="0.3">
      <c r="A3396" s="7">
        <v>400246</v>
      </c>
      <c r="B3396" t="str">
        <f>_xlfn.XLOOKUP(Vendas[[#This Row],[ID Vendedor]],Vendedores[ID],Vendedores[Nome])</f>
        <v>Juliana</v>
      </c>
      <c r="C3396" s="7" t="str">
        <f>_xlfn.XLOOKUP(Vendas[[#This Row],[ID Vendedor]],Vendedores[ID],Vendedores[Setor])</f>
        <v>AHD</v>
      </c>
      <c r="D3396" s="7" t="s">
        <v>18</v>
      </c>
      <c r="E3396" t="str">
        <f>_xlfn.XLOOKUP(Vendas[[#This Row],[ID Item Vendido]],Agregado[ID],Agregado[Produto])</f>
        <v>Peça forjada sob encomenda</v>
      </c>
      <c r="F3396" s="39">
        <v>45399</v>
      </c>
      <c r="G3396" s="7">
        <v>4</v>
      </c>
      <c r="H3396" s="3">
        <f>_xlfn.XLOOKUP(Vendas[[#This Row],[ID Item Vendido]],Agregado[ID],Agregado[Revenda])</f>
        <v>264.60000000000002</v>
      </c>
      <c r="I3396" s="3">
        <f>Vendas[[#This Row],[Valor Unitário]]*Vendas[[#This Row],[Qnt Vendida]]</f>
        <v>1058.4000000000001</v>
      </c>
      <c r="J3396" s="3">
        <f>Vendas[[#This Row],[Valor da Venda]]-(_xlfn.XLOOKUP(Vendas[[#This Row],[ID Item Vendido]],Agregado[ID],Agregado[Custo])*Vendas[[#This Row],[Qnt Vendida]])</f>
        <v>58.400000000000091</v>
      </c>
      <c r="K3396" s="70">
        <f>Vendas[[#This Row],[Lucro da Venda]]/Vendas[[#This Row],[Valor da Venda]]</f>
        <v>5.5177626606198113E-2</v>
      </c>
      <c r="L3396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396"/>
    </row>
    <row r="3397" spans="1:13" x14ac:dyDescent="0.3">
      <c r="A3397" s="7">
        <v>400252</v>
      </c>
      <c r="B3397" t="str">
        <f>_xlfn.XLOOKUP(Vendas[[#This Row],[ID Vendedor]],Vendedores[ID],Vendedores[Nome])</f>
        <v>Renata</v>
      </c>
      <c r="C3397" s="7" t="str">
        <f>_xlfn.XLOOKUP(Vendas[[#This Row],[ID Vendedor]],Vendedores[ID],Vendedores[Setor])</f>
        <v>AB</v>
      </c>
      <c r="D3397" s="7" t="s">
        <v>39</v>
      </c>
      <c r="E3397" t="str">
        <f>_xlfn.XLOOKUP(Vendas[[#This Row],[ID Item Vendido]],Agregado[ID],Agregado[Produto])</f>
        <v>Filme plástico industrial rolo 50m</v>
      </c>
      <c r="F3397" s="39">
        <v>45399</v>
      </c>
      <c r="G3397" s="7">
        <v>24</v>
      </c>
      <c r="H3397" s="3">
        <f>_xlfn.XLOOKUP(Vendas[[#This Row],[ID Item Vendido]],Agregado[ID],Agregado[Revenda])</f>
        <v>37</v>
      </c>
      <c r="I3397" s="3">
        <f>Vendas[[#This Row],[Valor Unitário]]*Vendas[[#This Row],[Qnt Vendida]]</f>
        <v>888</v>
      </c>
      <c r="J3397" s="3">
        <f>Vendas[[#This Row],[Valor da Venda]]-(_xlfn.XLOOKUP(Vendas[[#This Row],[ID Item Vendido]],Agregado[ID],Agregado[Custo])*Vendas[[#This Row],[Qnt Vendida]])</f>
        <v>216</v>
      </c>
      <c r="K3397" s="70">
        <f>Vendas[[#This Row],[Lucro da Venda]]/Vendas[[#This Row],[Valor da Venda]]</f>
        <v>0.24324324324324326</v>
      </c>
      <c r="L3397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3397"/>
    </row>
    <row r="3398" spans="1:13" x14ac:dyDescent="0.3">
      <c r="A3398" s="7">
        <v>400247</v>
      </c>
      <c r="B3398" t="str">
        <f>_xlfn.XLOOKUP(Vendas[[#This Row],[ID Vendedor]],Vendedores[ID],Vendedores[Nome])</f>
        <v>André</v>
      </c>
      <c r="C3398" s="7" t="str">
        <f>_xlfn.XLOOKUP(Vendas[[#This Row],[ID Vendedor]],Vendedores[ID],Vendedores[Setor])</f>
        <v>CM</v>
      </c>
      <c r="D3398" s="7" t="s">
        <v>45</v>
      </c>
      <c r="E3398" t="str">
        <f>_xlfn.XLOOKUP(Vendas[[#This Row],[ID Item Vendido]],Agregado[ID],Agregado[Produto])</f>
        <v>Viga de madeira tratada 4m</v>
      </c>
      <c r="F3398" s="39">
        <v>45399</v>
      </c>
      <c r="G3398" s="7">
        <v>11</v>
      </c>
      <c r="H3398" s="3">
        <f>_xlfn.XLOOKUP(Vendas[[#This Row],[ID Item Vendido]],Agregado[ID],Agregado[Revenda])</f>
        <v>66</v>
      </c>
      <c r="I3398" s="3">
        <f>Vendas[[#This Row],[Valor Unitário]]*Vendas[[#This Row],[Qnt Vendida]]</f>
        <v>726</v>
      </c>
      <c r="J3398" s="3">
        <f>Vendas[[#This Row],[Valor da Venda]]-(_xlfn.XLOOKUP(Vendas[[#This Row],[ID Item Vendido]],Agregado[ID],Agregado[Custo])*Vendas[[#This Row],[Qnt Vendida]])</f>
        <v>121</v>
      </c>
      <c r="K3398" s="70">
        <f>Vendas[[#This Row],[Lucro da Venda]]/Vendas[[#This Row],[Valor da Venda]]</f>
        <v>0.16666666666666666</v>
      </c>
      <c r="L3398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3398"/>
    </row>
    <row r="3399" spans="1:13" x14ac:dyDescent="0.3">
      <c r="A3399" s="7">
        <v>400252</v>
      </c>
      <c r="B3399" t="str">
        <f>_xlfn.XLOOKUP(Vendas[[#This Row],[ID Vendedor]],Vendedores[ID],Vendedores[Nome])</f>
        <v>Renata</v>
      </c>
      <c r="C3399" s="7" t="str">
        <f>_xlfn.XLOOKUP(Vendas[[#This Row],[ID Vendedor]],Vendedores[ID],Vendedores[Setor])</f>
        <v>AB</v>
      </c>
      <c r="D3399" s="7" t="s">
        <v>37</v>
      </c>
      <c r="E3399" t="str">
        <f>_xlfn.XLOOKUP(Vendas[[#This Row],[ID Item Vendido]],Agregado[ID],Agregado[Produto])</f>
        <v>Composto de borracha para vedação rolo 10m</v>
      </c>
      <c r="F3399" s="39">
        <v>45399</v>
      </c>
      <c r="G3399" s="7">
        <v>8</v>
      </c>
      <c r="H3399" s="3">
        <f>_xlfn.XLOOKUP(Vendas[[#This Row],[ID Item Vendido]],Agregado[ID],Agregado[Revenda])</f>
        <v>51.2</v>
      </c>
      <c r="I3399" s="3">
        <f>Vendas[[#This Row],[Valor Unitário]]*Vendas[[#This Row],[Qnt Vendida]]</f>
        <v>409.6</v>
      </c>
      <c r="J3399" s="3">
        <f>Vendas[[#This Row],[Valor da Venda]]-(_xlfn.XLOOKUP(Vendas[[#This Row],[ID Item Vendido]],Agregado[ID],Agregado[Custo])*Vendas[[#This Row],[Qnt Vendida]])</f>
        <v>89.600000000000023</v>
      </c>
      <c r="K3399" s="70">
        <f>Vendas[[#This Row],[Lucro da Venda]]/Vendas[[#This Row],[Valor da Venda]]</f>
        <v>0.21875000000000006</v>
      </c>
      <c r="L3399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3399"/>
    </row>
    <row r="3400" spans="1:13" x14ac:dyDescent="0.3">
      <c r="A3400" s="7">
        <v>400243</v>
      </c>
      <c r="B3400" t="str">
        <f>_xlfn.XLOOKUP(Vendas[[#This Row],[ID Vendedor]],Vendedores[ID],Vendedores[Nome])</f>
        <v>Marcelo</v>
      </c>
      <c r="C3400" s="7" t="str">
        <f>_xlfn.XLOOKUP(Vendas[[#This Row],[ID Vendedor]],Vendedores[ID],Vendedores[Setor])</f>
        <v>FM</v>
      </c>
      <c r="D3400" s="7" t="s">
        <v>31</v>
      </c>
      <c r="E3400" t="str">
        <f>_xlfn.XLOOKUP(Vendas[[#This Row],[ID Item Vendido]],Agregado[ID],Agregado[Produto])</f>
        <v>Tela de metal soldada rolo 2x25m</v>
      </c>
      <c r="F3400" s="39">
        <v>45399</v>
      </c>
      <c r="G3400" s="7">
        <v>9</v>
      </c>
      <c r="H3400" s="3">
        <f>_xlfn.XLOOKUP(Vendas[[#This Row],[ID Item Vendido]],Agregado[ID],Agregado[Revenda])</f>
        <v>43.7</v>
      </c>
      <c r="I3400" s="3">
        <f>Vendas[[#This Row],[Valor Unitário]]*Vendas[[#This Row],[Qnt Vendida]]</f>
        <v>393.3</v>
      </c>
      <c r="J3400" s="3">
        <f>Vendas[[#This Row],[Valor da Venda]]-(_xlfn.XLOOKUP(Vendas[[#This Row],[ID Item Vendido]],Agregado[ID],Agregado[Custo])*Vendas[[#This Row],[Qnt Vendida]])</f>
        <v>51.300000000000011</v>
      </c>
      <c r="K3400" s="70">
        <f>Vendas[[#This Row],[Lucro da Venda]]/Vendas[[#This Row],[Valor da Venda]]</f>
        <v>0.13043478260869568</v>
      </c>
      <c r="L3400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3400"/>
    </row>
    <row r="3401" spans="1:13" x14ac:dyDescent="0.3">
      <c r="A3401" s="7">
        <v>400242</v>
      </c>
      <c r="B3401" t="str">
        <f>_xlfn.XLOOKUP(Vendas[[#This Row],[ID Vendedor]],Vendedores[ID],Vendedores[Nome])</f>
        <v>Fernanda</v>
      </c>
      <c r="C3401" s="7" t="str">
        <f>_xlfn.XLOOKUP(Vendas[[#This Row],[ID Vendedor]],Vendedores[ID],Vendedores[Setor])</f>
        <v>FM</v>
      </c>
      <c r="D3401" s="7" t="s">
        <v>27</v>
      </c>
      <c r="E3401" t="str">
        <f>_xlfn.XLOOKUP(Vendas[[#This Row],[ID Item Vendido]],Agregado[ID],Agregado[Produto])</f>
        <v>Chapa de metal lisa 1x2m</v>
      </c>
      <c r="F3401" s="39">
        <v>45399</v>
      </c>
      <c r="G3401" s="7">
        <v>3</v>
      </c>
      <c r="H3401" s="3">
        <f>_xlfn.XLOOKUP(Vendas[[#This Row],[ID Item Vendido]],Agregado[ID],Agregado[Revenda])</f>
        <v>52</v>
      </c>
      <c r="I3401" s="3">
        <f>Vendas[[#This Row],[Valor Unitário]]*Vendas[[#This Row],[Qnt Vendida]]</f>
        <v>156</v>
      </c>
      <c r="J3401" s="3">
        <f>Vendas[[#This Row],[Valor da Venda]]-(_xlfn.XLOOKUP(Vendas[[#This Row],[ID Item Vendido]],Agregado[ID],Agregado[Custo])*Vendas[[#This Row],[Qnt Vendida]])</f>
        <v>21</v>
      </c>
      <c r="K3401" s="70">
        <f>Vendas[[#This Row],[Lucro da Venda]]/Vendas[[#This Row],[Valor da Venda]]</f>
        <v>0.13461538461538461</v>
      </c>
      <c r="L3401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3401"/>
    </row>
    <row r="3402" spans="1:13" x14ac:dyDescent="0.3">
      <c r="A3402" s="7">
        <v>400243</v>
      </c>
      <c r="B3402" t="str">
        <f>_xlfn.XLOOKUP(Vendas[[#This Row],[ID Vendedor]],Vendedores[ID],Vendedores[Nome])</f>
        <v>Marcelo</v>
      </c>
      <c r="C3402" s="7" t="str">
        <f>_xlfn.XLOOKUP(Vendas[[#This Row],[ID Vendedor]],Vendedores[ID],Vendedores[Setor])</f>
        <v>FM</v>
      </c>
      <c r="D3402" s="7" t="s">
        <v>6</v>
      </c>
      <c r="E3402" t="str">
        <f>_xlfn.XLOOKUP(Vendas[[#This Row],[ID Item Vendido]],Agregado[ID],Agregado[Produto])</f>
        <v>Parafuso comum 500un</v>
      </c>
      <c r="F3402" s="39">
        <v>45399</v>
      </c>
      <c r="G3402" s="7">
        <v>4</v>
      </c>
      <c r="H3402" s="3">
        <f>_xlfn.XLOOKUP(Vendas[[#This Row],[ID Item Vendido]],Agregado[ID],Agregado[Revenda])</f>
        <v>24.6</v>
      </c>
      <c r="I3402" s="3">
        <f>Vendas[[#This Row],[Valor Unitário]]*Vendas[[#This Row],[Qnt Vendida]]</f>
        <v>98.4</v>
      </c>
      <c r="J3402" s="3">
        <f>Vendas[[#This Row],[Valor da Venda]]-(_xlfn.XLOOKUP(Vendas[[#This Row],[ID Item Vendido]],Agregado[ID],Agregado[Custo])*Vendas[[#This Row],[Qnt Vendida]])</f>
        <v>10.400000000000006</v>
      </c>
      <c r="K3402" s="70">
        <f>Vendas[[#This Row],[Lucro da Venda]]/Vendas[[#This Row],[Valor da Venda]]</f>
        <v>0.10569105691056915</v>
      </c>
      <c r="L3402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3402"/>
    </row>
    <row r="3403" spans="1:13" x14ac:dyDescent="0.3">
      <c r="A3403" s="7">
        <v>400254</v>
      </c>
      <c r="B3403" t="str">
        <f>_xlfn.XLOOKUP(Vendas[[#This Row],[ID Vendedor]],Vendedores[ID],Vendedores[Nome])</f>
        <v>Beatriz</v>
      </c>
      <c r="C3403" s="7" t="str">
        <f>_xlfn.XLOOKUP(Vendas[[#This Row],[ID Vendedor]],Vendedores[ID],Vendedores[Setor])</f>
        <v>SC</v>
      </c>
      <c r="D3403" s="7" t="s">
        <v>42</v>
      </c>
      <c r="E3403" t="str">
        <f>_xlfn.XLOOKUP(Vendas[[#This Row],[ID Item Vendido]],Agregado[ID],Agregado[Produto])</f>
        <v>Container de ferro industrial</v>
      </c>
      <c r="F3403" s="39">
        <v>45400</v>
      </c>
      <c r="G3403" s="7">
        <v>6</v>
      </c>
      <c r="H3403" s="3">
        <f>_xlfn.XLOOKUP(Vendas[[#This Row],[ID Item Vendido]],Agregado[ID],Agregado[Revenda])</f>
        <v>830</v>
      </c>
      <c r="I3403" s="3">
        <f>Vendas[[#This Row],[Valor Unitário]]*Vendas[[#This Row],[Qnt Vendida]]</f>
        <v>4980</v>
      </c>
      <c r="J3403" s="3">
        <f>Vendas[[#This Row],[Valor da Venda]]-(_xlfn.XLOOKUP(Vendas[[#This Row],[ID Item Vendido]],Agregado[ID],Agregado[Custo])*Vendas[[#This Row],[Qnt Vendida]])</f>
        <v>900</v>
      </c>
      <c r="K3403" s="70">
        <f>Vendas[[#This Row],[Lucro da Venda]]/Vendas[[#This Row],[Valor da Venda]]</f>
        <v>0.18072289156626506</v>
      </c>
      <c r="L3403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403"/>
    </row>
    <row r="3404" spans="1:13" x14ac:dyDescent="0.3">
      <c r="A3404" s="7">
        <v>400246</v>
      </c>
      <c r="B3404" t="str">
        <f>_xlfn.XLOOKUP(Vendas[[#This Row],[ID Vendedor]],Vendedores[ID],Vendedores[Nome])</f>
        <v>Juliana</v>
      </c>
      <c r="C3404" s="7" t="str">
        <f>_xlfn.XLOOKUP(Vendas[[#This Row],[ID Vendedor]],Vendedores[ID],Vendedores[Setor])</f>
        <v>AHD</v>
      </c>
      <c r="D3404" s="7" t="s">
        <v>28</v>
      </c>
      <c r="E3404" t="str">
        <f>_xlfn.XLOOKUP(Vendas[[#This Row],[ID Item Vendido]],Agregado[ID],Agregado[Produto])</f>
        <v>Peça usinada CNC</v>
      </c>
      <c r="F3404" s="39">
        <v>45400</v>
      </c>
      <c r="G3404" s="7">
        <v>6</v>
      </c>
      <c r="H3404" s="3">
        <f>_xlfn.XLOOKUP(Vendas[[#This Row],[ID Item Vendido]],Agregado[ID],Agregado[Revenda])</f>
        <v>192</v>
      </c>
      <c r="I3404" s="3">
        <f>Vendas[[#This Row],[Valor Unitário]]*Vendas[[#This Row],[Qnt Vendida]]</f>
        <v>1152</v>
      </c>
      <c r="J3404" s="3">
        <f>Vendas[[#This Row],[Valor da Venda]]-(_xlfn.XLOOKUP(Vendas[[#This Row],[ID Item Vendido]],Agregado[ID],Agregado[Custo])*Vendas[[#This Row],[Qnt Vendida]])</f>
        <v>252</v>
      </c>
      <c r="K3404" s="70">
        <f>Vendas[[#This Row],[Lucro da Venda]]/Vendas[[#This Row],[Valor da Venda]]</f>
        <v>0.21875</v>
      </c>
      <c r="L3404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3404"/>
    </row>
    <row r="3405" spans="1:13" x14ac:dyDescent="0.3">
      <c r="A3405" s="7">
        <v>400242</v>
      </c>
      <c r="B3405" t="str">
        <f>_xlfn.XLOOKUP(Vendas[[#This Row],[ID Vendedor]],Vendedores[ID],Vendedores[Nome])</f>
        <v>Fernanda</v>
      </c>
      <c r="C3405" s="7" t="str">
        <f>_xlfn.XLOOKUP(Vendas[[#This Row],[ID Vendedor]],Vendedores[ID],Vendedores[Setor])</f>
        <v>FM</v>
      </c>
      <c r="D3405" s="7" t="s">
        <v>27</v>
      </c>
      <c r="E3405" t="str">
        <f>_xlfn.XLOOKUP(Vendas[[#This Row],[ID Item Vendido]],Agregado[ID],Agregado[Produto])</f>
        <v>Chapa de metal lisa 1x2m</v>
      </c>
      <c r="F3405" s="39">
        <v>45400</v>
      </c>
      <c r="G3405" s="7">
        <v>19</v>
      </c>
      <c r="H3405" s="3">
        <f>_xlfn.XLOOKUP(Vendas[[#This Row],[ID Item Vendido]],Agregado[ID],Agregado[Revenda])</f>
        <v>52</v>
      </c>
      <c r="I3405" s="3">
        <f>Vendas[[#This Row],[Valor Unitário]]*Vendas[[#This Row],[Qnt Vendida]]</f>
        <v>988</v>
      </c>
      <c r="J3405" s="3">
        <f>Vendas[[#This Row],[Valor da Venda]]-(_xlfn.XLOOKUP(Vendas[[#This Row],[ID Item Vendido]],Agregado[ID],Agregado[Custo])*Vendas[[#This Row],[Qnt Vendida]])</f>
        <v>133</v>
      </c>
      <c r="K3405" s="70">
        <f>Vendas[[#This Row],[Lucro da Venda]]/Vendas[[#This Row],[Valor da Venda]]</f>
        <v>0.13461538461538461</v>
      </c>
      <c r="L3405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3405"/>
    </row>
    <row r="3406" spans="1:13" x14ac:dyDescent="0.3">
      <c r="A3406" s="7">
        <v>400241</v>
      </c>
      <c r="B3406" t="str">
        <f>_xlfn.XLOOKUP(Vendas[[#This Row],[ID Vendedor]],Vendedores[ID],Vendedores[Nome])</f>
        <v>Rodrigo</v>
      </c>
      <c r="C3406" s="7" t="str">
        <f>_xlfn.XLOOKUP(Vendas[[#This Row],[ID Vendedor]],Vendedores[ID],Vendedores[Setor])</f>
        <v>FM</v>
      </c>
      <c r="D3406" s="7" t="s">
        <v>47</v>
      </c>
      <c r="E3406" t="str">
        <f>_xlfn.XLOOKUP(Vendas[[#This Row],[ID Item Vendido]],Agregado[ID],Agregado[Produto])</f>
        <v>Fio de arame galvanizado rolo 50m</v>
      </c>
      <c r="F3406" s="39">
        <v>45400</v>
      </c>
      <c r="G3406" s="7">
        <v>24</v>
      </c>
      <c r="H3406" s="3">
        <f>_xlfn.XLOOKUP(Vendas[[#This Row],[ID Item Vendido]],Agregado[ID],Agregado[Revenda])</f>
        <v>21.2</v>
      </c>
      <c r="I3406" s="3">
        <f>Vendas[[#This Row],[Valor Unitário]]*Vendas[[#This Row],[Qnt Vendida]]</f>
        <v>508.79999999999995</v>
      </c>
      <c r="J3406" s="3">
        <f>Vendas[[#This Row],[Valor da Venda]]-(_xlfn.XLOOKUP(Vendas[[#This Row],[ID Item Vendido]],Agregado[ID],Agregado[Custo])*Vendas[[#This Row],[Qnt Vendida]])</f>
        <v>76.799999999999955</v>
      </c>
      <c r="K3406" s="70">
        <f>Vendas[[#This Row],[Lucro da Venda]]/Vendas[[#This Row],[Valor da Venda]]</f>
        <v>0.15094339622641501</v>
      </c>
      <c r="L3406" s="3">
        <f>_xlfn.IFS(Vendas[[#This Row],[Margem de Lucro (%)]]&lt;15%,Vendas[[#This Row],[Valor da Venda]]*3%,Vendas[[#This Row],[Margem de Lucro (%)]]&lt;=20%,Vendas[[#This Row],[Valor da Venda]]*4.5%,TRUE,Vendas[[#This Row],[Valor da Venda]]*6%)</f>
        <v>22.895999999999997</v>
      </c>
      <c r="M3406"/>
    </row>
    <row r="3407" spans="1:13" x14ac:dyDescent="0.3">
      <c r="A3407" s="7">
        <v>400247</v>
      </c>
      <c r="B3407" t="str">
        <f>_xlfn.XLOOKUP(Vendas[[#This Row],[ID Vendedor]],Vendedores[ID],Vendedores[Nome])</f>
        <v>André</v>
      </c>
      <c r="C3407" s="7" t="str">
        <f>_xlfn.XLOOKUP(Vendas[[#This Row],[ID Vendedor]],Vendedores[ID],Vendedores[Setor])</f>
        <v>CM</v>
      </c>
      <c r="D3407" s="7" t="s">
        <v>34</v>
      </c>
      <c r="E3407" t="str">
        <f>_xlfn.XLOOKUP(Vendas[[#This Row],[ID Item Vendido]],Agregado[ID],Agregado[Produto])</f>
        <v>Restos de madeira p/ MDP/OSB saco de 20kg</v>
      </c>
      <c r="F3407" s="39">
        <v>45400</v>
      </c>
      <c r="G3407" s="7">
        <v>15</v>
      </c>
      <c r="H3407" s="3">
        <f>_xlfn.XLOOKUP(Vendas[[#This Row],[ID Item Vendido]],Agregado[ID],Agregado[Revenda])</f>
        <v>13.8</v>
      </c>
      <c r="I3407" s="3">
        <f>Vendas[[#This Row],[Valor Unitário]]*Vendas[[#This Row],[Qnt Vendida]]</f>
        <v>207</v>
      </c>
      <c r="J3407" s="3">
        <f>Vendas[[#This Row],[Valor da Venda]]-(_xlfn.XLOOKUP(Vendas[[#This Row],[ID Item Vendido]],Agregado[ID],Agregado[Custo])*Vendas[[#This Row],[Qnt Vendida]])</f>
        <v>27</v>
      </c>
      <c r="K3407" s="70">
        <f>Vendas[[#This Row],[Lucro da Venda]]/Vendas[[#This Row],[Valor da Venda]]</f>
        <v>0.13043478260869565</v>
      </c>
      <c r="L3407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3407"/>
    </row>
    <row r="3408" spans="1:13" x14ac:dyDescent="0.3">
      <c r="A3408" s="7">
        <v>400251</v>
      </c>
      <c r="B3408" t="str">
        <f>_xlfn.XLOOKUP(Vendas[[#This Row],[ID Vendedor]],Vendedores[ID],Vendedores[Nome])</f>
        <v>Diego</v>
      </c>
      <c r="C3408" s="7" t="str">
        <f>_xlfn.XLOOKUP(Vendas[[#This Row],[ID Vendedor]],Vendedores[ID],Vendedores[Setor])</f>
        <v>AB</v>
      </c>
      <c r="D3408" s="7" t="s">
        <v>12</v>
      </c>
      <c r="E3408" t="str">
        <f>_xlfn.XLOOKUP(Vendas[[#This Row],[ID Item Vendido]],Agregado[ID],Agregado[Produto])</f>
        <v>Grânulo de plástico reciclado refinado</v>
      </c>
      <c r="F3408" s="39">
        <v>45400</v>
      </c>
      <c r="G3408" s="7">
        <v>35</v>
      </c>
      <c r="H3408" s="3">
        <f>_xlfn.XLOOKUP(Vendas[[#This Row],[ID Item Vendido]],Agregado[ID],Agregado[Revenda])</f>
        <v>4.7</v>
      </c>
      <c r="I3408" s="3">
        <f>Vendas[[#This Row],[Valor Unitário]]*Vendas[[#This Row],[Qnt Vendida]]</f>
        <v>164.5</v>
      </c>
      <c r="J3408" s="3">
        <f>Vendas[[#This Row],[Valor da Venda]]-(_xlfn.XLOOKUP(Vendas[[#This Row],[ID Item Vendido]],Agregado[ID],Agregado[Custo])*Vendas[[#This Row],[Qnt Vendida]])</f>
        <v>42</v>
      </c>
      <c r="K3408" s="70">
        <f>Vendas[[#This Row],[Lucro da Venda]]/Vendas[[#This Row],[Valor da Venda]]</f>
        <v>0.25531914893617019</v>
      </c>
      <c r="L3408" s="3">
        <f>_xlfn.IFS(Vendas[[#This Row],[Margem de Lucro (%)]]&lt;15%,Vendas[[#This Row],[Valor da Venda]]*3%,Vendas[[#This Row],[Margem de Lucro (%)]]&lt;=20%,Vendas[[#This Row],[Valor da Venda]]*4.5%,TRUE,Vendas[[#This Row],[Valor da Venda]]*6%)</f>
        <v>9.8699999999999992</v>
      </c>
      <c r="M3408"/>
    </row>
    <row r="3409" spans="1:13" x14ac:dyDescent="0.3">
      <c r="A3409" s="7">
        <v>400250</v>
      </c>
      <c r="B3409" t="str">
        <f>_xlfn.XLOOKUP(Vendas[[#This Row],[ID Vendedor]],Vendedores[ID],Vendedores[Nome])</f>
        <v>Larissa</v>
      </c>
      <c r="C3409" s="7" t="str">
        <f>_xlfn.XLOOKUP(Vendas[[#This Row],[ID Vendedor]],Vendedores[ID],Vendedores[Setor])</f>
        <v>AB</v>
      </c>
      <c r="D3409" s="7" t="s">
        <v>36</v>
      </c>
      <c r="E3409" t="str">
        <f>_xlfn.XLOOKUP(Vendas[[#This Row],[ID Item Vendido]],Agregado[ID],Agregado[Produto])</f>
        <v>Borracha vulcanizada em manta</v>
      </c>
      <c r="F3409" s="39">
        <v>45400</v>
      </c>
      <c r="G3409" s="7">
        <v>19</v>
      </c>
      <c r="H3409" s="3">
        <f>_xlfn.XLOOKUP(Vendas[[#This Row],[ID Item Vendido]],Agregado[ID],Agregado[Revenda])</f>
        <v>7.8</v>
      </c>
      <c r="I3409" s="3">
        <f>Vendas[[#This Row],[Valor Unitário]]*Vendas[[#This Row],[Qnt Vendida]]</f>
        <v>148.19999999999999</v>
      </c>
      <c r="J3409" s="3">
        <f>Vendas[[#This Row],[Valor da Venda]]-(_xlfn.XLOOKUP(Vendas[[#This Row],[ID Item Vendido]],Agregado[ID],Agregado[Custo])*Vendas[[#This Row],[Qnt Vendida]])</f>
        <v>34.199999999999989</v>
      </c>
      <c r="K3409" s="70">
        <f>Vendas[[#This Row],[Lucro da Venda]]/Vendas[[#This Row],[Valor da Venda]]</f>
        <v>0.2307692307692307</v>
      </c>
      <c r="L3409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3409"/>
    </row>
    <row r="3410" spans="1:13" x14ac:dyDescent="0.3">
      <c r="A3410" s="7">
        <v>400254</v>
      </c>
      <c r="B3410" t="str">
        <f>_xlfn.XLOOKUP(Vendas[[#This Row],[ID Vendedor]],Vendedores[ID],Vendedores[Nome])</f>
        <v>Beatriz</v>
      </c>
      <c r="C3410" s="7" t="str">
        <f>_xlfn.XLOOKUP(Vendas[[#This Row],[ID Vendedor]],Vendedores[ID],Vendedores[Setor])</f>
        <v>SC</v>
      </c>
      <c r="D3410" s="7" t="s">
        <v>41</v>
      </c>
      <c r="E3410" t="str">
        <f>_xlfn.XLOOKUP(Vendas[[#This Row],[ID Item Vendido]],Agregado[ID],Agregado[Produto])</f>
        <v>Palete de madeira reforçado</v>
      </c>
      <c r="F3410" s="39">
        <v>45400</v>
      </c>
      <c r="G3410" s="7">
        <v>1</v>
      </c>
      <c r="H3410" s="3">
        <f>_xlfn.XLOOKUP(Vendas[[#This Row],[ID Item Vendido]],Agregado[ID],Agregado[Revenda])</f>
        <v>131</v>
      </c>
      <c r="I3410" s="3">
        <f>Vendas[[#This Row],[Valor Unitário]]*Vendas[[#This Row],[Qnt Vendida]]</f>
        <v>131</v>
      </c>
      <c r="J3410" s="3">
        <f>Vendas[[#This Row],[Valor da Venda]]-(_xlfn.XLOOKUP(Vendas[[#This Row],[ID Item Vendido]],Agregado[ID],Agregado[Custo])*Vendas[[#This Row],[Qnt Vendida]])</f>
        <v>21</v>
      </c>
      <c r="K3410" s="70">
        <f>Vendas[[#This Row],[Lucro da Venda]]/Vendas[[#This Row],[Valor da Venda]]</f>
        <v>0.16030534351145037</v>
      </c>
      <c r="L3410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3410"/>
    </row>
    <row r="3411" spans="1:13" x14ac:dyDescent="0.3">
      <c r="A3411" s="7">
        <v>400254</v>
      </c>
      <c r="B3411" t="str">
        <f>_xlfn.XLOOKUP(Vendas[[#This Row],[ID Vendedor]],Vendedores[ID],Vendedores[Nome])</f>
        <v>Beatriz</v>
      </c>
      <c r="C3411" s="7" t="str">
        <f>_xlfn.XLOOKUP(Vendas[[#This Row],[ID Vendedor]],Vendedores[ID],Vendedores[Setor])</f>
        <v>SC</v>
      </c>
      <c r="D3411" s="7" t="s">
        <v>14</v>
      </c>
      <c r="E3411" t="str">
        <f>_xlfn.XLOOKUP(Vendas[[#This Row],[ID Item Vendido]],Agregado[ID],Agregado[Produto])</f>
        <v>Barril de plástico 200L</v>
      </c>
      <c r="F3411" s="39">
        <v>45401</v>
      </c>
      <c r="G3411" s="7">
        <v>14</v>
      </c>
      <c r="H3411" s="3">
        <f>_xlfn.XLOOKUP(Vendas[[#This Row],[ID Item Vendido]],Agregado[ID],Agregado[Revenda])</f>
        <v>114</v>
      </c>
      <c r="I3411" s="3">
        <f>Vendas[[#This Row],[Valor Unitário]]*Vendas[[#This Row],[Qnt Vendida]]</f>
        <v>1596</v>
      </c>
      <c r="J3411" s="3">
        <f>Vendas[[#This Row],[Valor da Venda]]-(_xlfn.XLOOKUP(Vendas[[#This Row],[ID Item Vendido]],Agregado[ID],Agregado[Custo])*Vendas[[#This Row],[Qnt Vendida]])</f>
        <v>266</v>
      </c>
      <c r="K3411" s="70">
        <f>Vendas[[#This Row],[Lucro da Venda]]/Vendas[[#This Row],[Valor da Venda]]</f>
        <v>0.16666666666666666</v>
      </c>
      <c r="L3411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3411"/>
    </row>
    <row r="3412" spans="1:13" x14ac:dyDescent="0.3">
      <c r="A3412" s="7">
        <v>400242</v>
      </c>
      <c r="B3412" t="str">
        <f>_xlfn.XLOOKUP(Vendas[[#This Row],[ID Vendedor]],Vendedores[ID],Vendedores[Nome])</f>
        <v>Fernanda</v>
      </c>
      <c r="C3412" s="7" t="str">
        <f>_xlfn.XLOOKUP(Vendas[[#This Row],[ID Vendedor]],Vendedores[ID],Vendedores[Setor])</f>
        <v>FM</v>
      </c>
      <c r="D3412" s="7" t="s">
        <v>47</v>
      </c>
      <c r="E3412" t="str">
        <f>_xlfn.XLOOKUP(Vendas[[#This Row],[ID Item Vendido]],Agregado[ID],Agregado[Produto])</f>
        <v>Fio de arame galvanizado rolo 50m</v>
      </c>
      <c r="F3412" s="39">
        <v>45401</v>
      </c>
      <c r="G3412" s="7">
        <v>39</v>
      </c>
      <c r="H3412" s="3">
        <f>_xlfn.XLOOKUP(Vendas[[#This Row],[ID Item Vendido]],Agregado[ID],Agregado[Revenda])</f>
        <v>21.2</v>
      </c>
      <c r="I3412" s="3">
        <f>Vendas[[#This Row],[Valor Unitário]]*Vendas[[#This Row],[Qnt Vendida]]</f>
        <v>826.8</v>
      </c>
      <c r="J3412" s="3">
        <f>Vendas[[#This Row],[Valor da Venda]]-(_xlfn.XLOOKUP(Vendas[[#This Row],[ID Item Vendido]],Agregado[ID],Agregado[Custo])*Vendas[[#This Row],[Qnt Vendida]])</f>
        <v>124.79999999999995</v>
      </c>
      <c r="K3412" s="70">
        <f>Vendas[[#This Row],[Lucro da Venda]]/Vendas[[#This Row],[Valor da Venda]]</f>
        <v>0.15094339622641506</v>
      </c>
      <c r="L3412" s="3">
        <f>_xlfn.IFS(Vendas[[#This Row],[Margem de Lucro (%)]]&lt;15%,Vendas[[#This Row],[Valor da Venda]]*3%,Vendas[[#This Row],[Margem de Lucro (%)]]&lt;=20%,Vendas[[#This Row],[Valor da Venda]]*4.5%,TRUE,Vendas[[#This Row],[Valor da Venda]]*6%)</f>
        <v>37.205999999999996</v>
      </c>
      <c r="M3412"/>
    </row>
    <row r="3413" spans="1:13" x14ac:dyDescent="0.3">
      <c r="A3413" s="7">
        <v>400253</v>
      </c>
      <c r="B3413" t="str">
        <f>_xlfn.XLOOKUP(Vendas[[#This Row],[ID Vendedor]],Vendedores[ID],Vendedores[Nome])</f>
        <v>Gustavo</v>
      </c>
      <c r="C3413" s="7" t="str">
        <f>_xlfn.XLOOKUP(Vendas[[#This Row],[ID Vendedor]],Vendedores[ID],Vendedores[Setor])</f>
        <v>SC</v>
      </c>
      <c r="D3413" s="7" t="s">
        <v>41</v>
      </c>
      <c r="E3413" t="str">
        <f>_xlfn.XLOOKUP(Vendas[[#This Row],[ID Item Vendido]],Agregado[ID],Agregado[Produto])</f>
        <v>Palete de madeira reforçado</v>
      </c>
      <c r="F3413" s="39">
        <v>45401</v>
      </c>
      <c r="G3413" s="7">
        <v>5</v>
      </c>
      <c r="H3413" s="3">
        <f>_xlfn.XLOOKUP(Vendas[[#This Row],[ID Item Vendido]],Agregado[ID],Agregado[Revenda])</f>
        <v>131</v>
      </c>
      <c r="I3413" s="3">
        <f>Vendas[[#This Row],[Valor Unitário]]*Vendas[[#This Row],[Qnt Vendida]]</f>
        <v>655</v>
      </c>
      <c r="J3413" s="3">
        <f>Vendas[[#This Row],[Valor da Venda]]-(_xlfn.XLOOKUP(Vendas[[#This Row],[ID Item Vendido]],Agregado[ID],Agregado[Custo])*Vendas[[#This Row],[Qnt Vendida]])</f>
        <v>105</v>
      </c>
      <c r="K3413" s="70">
        <f>Vendas[[#This Row],[Lucro da Venda]]/Vendas[[#This Row],[Valor da Venda]]</f>
        <v>0.16030534351145037</v>
      </c>
      <c r="L3413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3413"/>
    </row>
    <row r="3414" spans="1:13" x14ac:dyDescent="0.3">
      <c r="A3414" s="7">
        <v>400247</v>
      </c>
      <c r="B3414" t="str">
        <f>_xlfn.XLOOKUP(Vendas[[#This Row],[ID Vendedor]],Vendedores[ID],Vendedores[Nome])</f>
        <v>André</v>
      </c>
      <c r="C3414" s="7" t="str">
        <f>_xlfn.XLOOKUP(Vendas[[#This Row],[ID Vendedor]],Vendedores[ID],Vendedores[Setor])</f>
        <v>CM</v>
      </c>
      <c r="D3414" s="7" t="s">
        <v>32</v>
      </c>
      <c r="E3414" t="str">
        <f>_xlfn.XLOOKUP(Vendas[[#This Row],[ID Item Vendido]],Agregado[ID],Agregado[Produto])</f>
        <v>Tábua tratada e cortada 3m</v>
      </c>
      <c r="F3414" s="39">
        <v>45401</v>
      </c>
      <c r="G3414" s="7">
        <v>12</v>
      </c>
      <c r="H3414" s="3">
        <f>_xlfn.XLOOKUP(Vendas[[#This Row],[ID Item Vendido]],Agregado[ID],Agregado[Revenda])</f>
        <v>39</v>
      </c>
      <c r="I3414" s="3">
        <f>Vendas[[#This Row],[Valor Unitário]]*Vendas[[#This Row],[Qnt Vendida]]</f>
        <v>468</v>
      </c>
      <c r="J3414" s="3">
        <f>Vendas[[#This Row],[Valor da Venda]]-(_xlfn.XLOOKUP(Vendas[[#This Row],[ID Item Vendido]],Agregado[ID],Agregado[Custo])*Vendas[[#This Row],[Qnt Vendida]])</f>
        <v>84</v>
      </c>
      <c r="K3414" s="70">
        <f>Vendas[[#This Row],[Lucro da Venda]]/Vendas[[#This Row],[Valor da Venda]]</f>
        <v>0.17948717948717949</v>
      </c>
      <c r="L3414" s="3">
        <f>_xlfn.IFS(Vendas[[#This Row],[Margem de Lucro (%)]]&lt;15%,Vendas[[#This Row],[Valor da Venda]]*3%,Vendas[[#This Row],[Margem de Lucro (%)]]&lt;=20%,Vendas[[#This Row],[Valor da Venda]]*4.5%,TRUE,Vendas[[#This Row],[Valor da Venda]]*6%)</f>
        <v>21.06</v>
      </c>
      <c r="M3414"/>
    </row>
    <row r="3415" spans="1:13" x14ac:dyDescent="0.3">
      <c r="A3415" s="7">
        <v>400252</v>
      </c>
      <c r="B3415" t="str">
        <f>_xlfn.XLOOKUP(Vendas[[#This Row],[ID Vendedor]],Vendedores[ID],Vendedores[Nome])</f>
        <v>Renata</v>
      </c>
      <c r="C3415" s="7" t="str">
        <f>_xlfn.XLOOKUP(Vendas[[#This Row],[ID Vendedor]],Vendedores[ID],Vendedores[Setor])</f>
        <v>AB</v>
      </c>
      <c r="D3415" s="7" t="s">
        <v>24</v>
      </c>
      <c r="E3415" t="str">
        <f>_xlfn.XLOOKUP(Vendas[[#This Row],[ID Item Vendido]],Agregado[ID],Agregado[Produto])</f>
        <v>Resina plástica PET purificada saco de 25kg</v>
      </c>
      <c r="F3415" s="39">
        <v>45402</v>
      </c>
      <c r="G3415" s="7">
        <v>15</v>
      </c>
      <c r="H3415" s="3">
        <f>_xlfn.XLOOKUP(Vendas[[#This Row],[ID Item Vendido]],Agregado[ID],Agregado[Revenda])</f>
        <v>119</v>
      </c>
      <c r="I3415" s="3">
        <f>Vendas[[#This Row],[Valor Unitário]]*Vendas[[#This Row],[Qnt Vendida]]</f>
        <v>1785</v>
      </c>
      <c r="J3415" s="3">
        <f>Vendas[[#This Row],[Valor da Venda]]-(_xlfn.XLOOKUP(Vendas[[#This Row],[ID Item Vendido]],Agregado[ID],Agregado[Custo])*Vendas[[#This Row],[Qnt Vendida]])</f>
        <v>510</v>
      </c>
      <c r="K3415" s="70">
        <f>Vendas[[#This Row],[Lucro da Venda]]/Vendas[[#This Row],[Valor da Venda]]</f>
        <v>0.2857142857142857</v>
      </c>
      <c r="L3415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3415"/>
    </row>
    <row r="3416" spans="1:13" x14ac:dyDescent="0.3">
      <c r="A3416" s="7">
        <v>400248</v>
      </c>
      <c r="B3416" t="str">
        <f>_xlfn.XLOOKUP(Vendas[[#This Row],[ID Vendedor]],Vendedores[ID],Vendedores[Nome])</f>
        <v>Patrícia</v>
      </c>
      <c r="C3416" s="7" t="str">
        <f>_xlfn.XLOOKUP(Vendas[[#This Row],[ID Vendedor]],Vendedores[ID],Vendedores[Setor])</f>
        <v>CM</v>
      </c>
      <c r="D3416" s="7" t="s">
        <v>45</v>
      </c>
      <c r="E3416" t="str">
        <f>_xlfn.XLOOKUP(Vendas[[#This Row],[ID Item Vendido]],Agregado[ID],Agregado[Produto])</f>
        <v>Viga de madeira tratada 4m</v>
      </c>
      <c r="F3416" s="39">
        <v>45402</v>
      </c>
      <c r="G3416" s="7">
        <v>9</v>
      </c>
      <c r="H3416" s="3">
        <f>_xlfn.XLOOKUP(Vendas[[#This Row],[ID Item Vendido]],Agregado[ID],Agregado[Revenda])</f>
        <v>66</v>
      </c>
      <c r="I3416" s="3">
        <f>Vendas[[#This Row],[Valor Unitário]]*Vendas[[#This Row],[Qnt Vendida]]</f>
        <v>594</v>
      </c>
      <c r="J3416" s="3">
        <f>Vendas[[#This Row],[Valor da Venda]]-(_xlfn.XLOOKUP(Vendas[[#This Row],[ID Item Vendido]],Agregado[ID],Agregado[Custo])*Vendas[[#This Row],[Qnt Vendida]])</f>
        <v>99</v>
      </c>
      <c r="K3416" s="70">
        <f>Vendas[[#This Row],[Lucro da Venda]]/Vendas[[#This Row],[Valor da Venda]]</f>
        <v>0.16666666666666666</v>
      </c>
      <c r="L3416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3416"/>
    </row>
    <row r="3417" spans="1:13" x14ac:dyDescent="0.3">
      <c r="A3417" s="7">
        <v>400252</v>
      </c>
      <c r="B3417" t="str">
        <f>_xlfn.XLOOKUP(Vendas[[#This Row],[ID Vendedor]],Vendedores[ID],Vendedores[Nome])</f>
        <v>Renata</v>
      </c>
      <c r="C3417" s="7" t="str">
        <f>_xlfn.XLOOKUP(Vendas[[#This Row],[ID Vendedor]],Vendedores[ID],Vendedores[Setor])</f>
        <v>AB</v>
      </c>
      <c r="D3417" s="7" t="s">
        <v>39</v>
      </c>
      <c r="E3417" t="str">
        <f>_xlfn.XLOOKUP(Vendas[[#This Row],[ID Item Vendido]],Agregado[ID],Agregado[Produto])</f>
        <v>Filme plástico industrial rolo 50m</v>
      </c>
      <c r="F3417" s="39">
        <v>45402</v>
      </c>
      <c r="G3417" s="7">
        <v>13</v>
      </c>
      <c r="H3417" s="3">
        <f>_xlfn.XLOOKUP(Vendas[[#This Row],[ID Item Vendido]],Agregado[ID],Agregado[Revenda])</f>
        <v>37</v>
      </c>
      <c r="I3417" s="3">
        <f>Vendas[[#This Row],[Valor Unitário]]*Vendas[[#This Row],[Qnt Vendida]]</f>
        <v>481</v>
      </c>
      <c r="J3417" s="3">
        <f>Vendas[[#This Row],[Valor da Venda]]-(_xlfn.XLOOKUP(Vendas[[#This Row],[ID Item Vendido]],Agregado[ID],Agregado[Custo])*Vendas[[#This Row],[Qnt Vendida]])</f>
        <v>117</v>
      </c>
      <c r="K3417" s="70">
        <f>Vendas[[#This Row],[Lucro da Venda]]/Vendas[[#This Row],[Valor da Venda]]</f>
        <v>0.24324324324324326</v>
      </c>
      <c r="L3417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3417"/>
    </row>
    <row r="3418" spans="1:13" x14ac:dyDescent="0.3">
      <c r="A3418" s="7">
        <v>400252</v>
      </c>
      <c r="B3418" t="str">
        <f>_xlfn.XLOOKUP(Vendas[[#This Row],[ID Vendedor]],Vendedores[ID],Vendedores[Nome])</f>
        <v>Renata</v>
      </c>
      <c r="C3418" s="7" t="str">
        <f>_xlfn.XLOOKUP(Vendas[[#This Row],[ID Vendedor]],Vendedores[ID],Vendedores[Setor])</f>
        <v>AB</v>
      </c>
      <c r="D3418" s="7" t="s">
        <v>12</v>
      </c>
      <c r="E3418" t="str">
        <f>_xlfn.XLOOKUP(Vendas[[#This Row],[ID Item Vendido]],Agregado[ID],Agregado[Produto])</f>
        <v>Grânulo de plástico reciclado refinado</v>
      </c>
      <c r="F3418" s="39">
        <v>45402</v>
      </c>
      <c r="G3418" s="7">
        <v>101</v>
      </c>
      <c r="H3418" s="3">
        <f>_xlfn.XLOOKUP(Vendas[[#This Row],[ID Item Vendido]],Agregado[ID],Agregado[Revenda])</f>
        <v>4.7</v>
      </c>
      <c r="I3418" s="3">
        <f>Vendas[[#This Row],[Valor Unitário]]*Vendas[[#This Row],[Qnt Vendida]]</f>
        <v>474.70000000000005</v>
      </c>
      <c r="J3418" s="3">
        <f>Vendas[[#This Row],[Valor da Venda]]-(_xlfn.XLOOKUP(Vendas[[#This Row],[ID Item Vendido]],Agregado[ID],Agregado[Custo])*Vendas[[#This Row],[Qnt Vendida]])</f>
        <v>121.20000000000005</v>
      </c>
      <c r="K3418" s="70">
        <f>Vendas[[#This Row],[Lucro da Venda]]/Vendas[[#This Row],[Valor da Venda]]</f>
        <v>0.2553191489361703</v>
      </c>
      <c r="L3418" s="3">
        <f>_xlfn.IFS(Vendas[[#This Row],[Margem de Lucro (%)]]&lt;15%,Vendas[[#This Row],[Valor da Venda]]*3%,Vendas[[#This Row],[Margem de Lucro (%)]]&lt;=20%,Vendas[[#This Row],[Valor da Venda]]*4.5%,TRUE,Vendas[[#This Row],[Valor da Venda]]*6%)</f>
        <v>28.482000000000003</v>
      </c>
      <c r="M3418"/>
    </row>
    <row r="3419" spans="1:13" x14ac:dyDescent="0.3">
      <c r="A3419" s="7">
        <v>400250</v>
      </c>
      <c r="B3419" t="str">
        <f>_xlfn.XLOOKUP(Vendas[[#This Row],[ID Vendedor]],Vendedores[ID],Vendedores[Nome])</f>
        <v>Larissa</v>
      </c>
      <c r="C3419" s="7" t="str">
        <f>_xlfn.XLOOKUP(Vendas[[#This Row],[ID Vendedor]],Vendedores[ID],Vendedores[Setor])</f>
        <v>AB</v>
      </c>
      <c r="D3419" s="7" t="s">
        <v>12</v>
      </c>
      <c r="E3419" t="str">
        <f>_xlfn.XLOOKUP(Vendas[[#This Row],[ID Item Vendido]],Agregado[ID],Agregado[Produto])</f>
        <v>Grânulo de plástico reciclado refinado</v>
      </c>
      <c r="F3419" s="39">
        <v>45402</v>
      </c>
      <c r="G3419" s="7">
        <v>61</v>
      </c>
      <c r="H3419" s="3">
        <f>_xlfn.XLOOKUP(Vendas[[#This Row],[ID Item Vendido]],Agregado[ID],Agregado[Revenda])</f>
        <v>4.7</v>
      </c>
      <c r="I3419" s="3">
        <f>Vendas[[#This Row],[Valor Unitário]]*Vendas[[#This Row],[Qnt Vendida]]</f>
        <v>286.7</v>
      </c>
      <c r="J3419" s="3">
        <f>Vendas[[#This Row],[Valor da Venda]]-(_xlfn.XLOOKUP(Vendas[[#This Row],[ID Item Vendido]],Agregado[ID],Agregado[Custo])*Vendas[[#This Row],[Qnt Vendida]])</f>
        <v>73.199999999999989</v>
      </c>
      <c r="K3419" s="70">
        <f>Vendas[[#This Row],[Lucro da Venda]]/Vendas[[#This Row],[Valor da Venda]]</f>
        <v>0.25531914893617019</v>
      </c>
      <c r="L3419" s="3">
        <f>_xlfn.IFS(Vendas[[#This Row],[Margem de Lucro (%)]]&lt;15%,Vendas[[#This Row],[Valor da Venda]]*3%,Vendas[[#This Row],[Margem de Lucro (%)]]&lt;=20%,Vendas[[#This Row],[Valor da Venda]]*4.5%,TRUE,Vendas[[#This Row],[Valor da Venda]]*6%)</f>
        <v>17.201999999999998</v>
      </c>
      <c r="M3419"/>
    </row>
    <row r="3420" spans="1:13" x14ac:dyDescent="0.3">
      <c r="A3420" s="7">
        <v>400243</v>
      </c>
      <c r="B3420" t="str">
        <f>_xlfn.XLOOKUP(Vendas[[#This Row],[ID Vendedor]],Vendedores[ID],Vendedores[Nome])</f>
        <v>Marcelo</v>
      </c>
      <c r="C3420" s="7" t="str">
        <f>_xlfn.XLOOKUP(Vendas[[#This Row],[ID Vendedor]],Vendedores[ID],Vendedores[Setor])</f>
        <v>FM</v>
      </c>
      <c r="D3420" s="7" t="s">
        <v>6</v>
      </c>
      <c r="E3420" t="str">
        <f>_xlfn.XLOOKUP(Vendas[[#This Row],[ID Item Vendido]],Agregado[ID],Agregado[Produto])</f>
        <v>Parafuso comum 500un</v>
      </c>
      <c r="F3420" s="39">
        <v>45402</v>
      </c>
      <c r="G3420" s="7">
        <v>2</v>
      </c>
      <c r="H3420" s="3">
        <f>_xlfn.XLOOKUP(Vendas[[#This Row],[ID Item Vendido]],Agregado[ID],Agregado[Revenda])</f>
        <v>24.6</v>
      </c>
      <c r="I3420" s="3">
        <f>Vendas[[#This Row],[Valor Unitário]]*Vendas[[#This Row],[Qnt Vendida]]</f>
        <v>49.2</v>
      </c>
      <c r="J3420" s="3">
        <f>Vendas[[#This Row],[Valor da Venda]]-(_xlfn.XLOOKUP(Vendas[[#This Row],[ID Item Vendido]],Agregado[ID],Agregado[Custo])*Vendas[[#This Row],[Qnt Vendida]])</f>
        <v>5.2000000000000028</v>
      </c>
      <c r="K3420" s="70">
        <f>Vendas[[#This Row],[Lucro da Venda]]/Vendas[[#This Row],[Valor da Venda]]</f>
        <v>0.10569105691056915</v>
      </c>
      <c r="L3420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3420"/>
    </row>
    <row r="3421" spans="1:13" x14ac:dyDescent="0.3">
      <c r="A3421" s="7">
        <v>400250</v>
      </c>
      <c r="B3421" t="str">
        <f>_xlfn.XLOOKUP(Vendas[[#This Row],[ID Vendedor]],Vendedores[ID],Vendedores[Nome])</f>
        <v>Larissa</v>
      </c>
      <c r="C3421" s="7" t="str">
        <f>_xlfn.XLOOKUP(Vendas[[#This Row],[ID Vendedor]],Vendedores[ID],Vendedores[Setor])</f>
        <v>AB</v>
      </c>
      <c r="D3421" s="7" t="s">
        <v>24</v>
      </c>
      <c r="E3421" t="str">
        <f>_xlfn.XLOOKUP(Vendas[[#This Row],[ID Item Vendido]],Agregado[ID],Agregado[Produto])</f>
        <v>Resina plástica PET purificada saco de 25kg</v>
      </c>
      <c r="F3421" s="39">
        <v>45403</v>
      </c>
      <c r="G3421" s="7">
        <v>14</v>
      </c>
      <c r="H3421" s="3">
        <f>_xlfn.XLOOKUP(Vendas[[#This Row],[ID Item Vendido]],Agregado[ID],Agregado[Revenda])</f>
        <v>119</v>
      </c>
      <c r="I3421" s="3">
        <f>Vendas[[#This Row],[Valor Unitário]]*Vendas[[#This Row],[Qnt Vendida]]</f>
        <v>1666</v>
      </c>
      <c r="J3421" s="3">
        <f>Vendas[[#This Row],[Valor da Venda]]-(_xlfn.XLOOKUP(Vendas[[#This Row],[ID Item Vendido]],Agregado[ID],Agregado[Custo])*Vendas[[#This Row],[Qnt Vendida]])</f>
        <v>476</v>
      </c>
      <c r="K3421" s="70">
        <f>Vendas[[#This Row],[Lucro da Venda]]/Vendas[[#This Row],[Valor da Venda]]</f>
        <v>0.2857142857142857</v>
      </c>
      <c r="L3421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421"/>
    </row>
    <row r="3422" spans="1:13" x14ac:dyDescent="0.3">
      <c r="A3422" s="7">
        <v>400245</v>
      </c>
      <c r="B3422" t="str">
        <f>_xlfn.XLOOKUP(Vendas[[#This Row],[ID Vendedor]],Vendedores[ID],Vendedores[Nome])</f>
        <v>Thiago</v>
      </c>
      <c r="C3422" s="7" t="str">
        <f>_xlfn.XLOOKUP(Vendas[[#This Row],[ID Vendedor]],Vendedores[ID],Vendedores[Setor])</f>
        <v>AHD</v>
      </c>
      <c r="D3422" s="7" t="s">
        <v>18</v>
      </c>
      <c r="E3422" t="str">
        <f>_xlfn.XLOOKUP(Vendas[[#This Row],[ID Item Vendido]],Agregado[ID],Agregado[Produto])</f>
        <v>Peça forjada sob encomenda</v>
      </c>
      <c r="F3422" s="39">
        <v>45403</v>
      </c>
      <c r="G3422" s="7">
        <v>4</v>
      </c>
      <c r="H3422" s="3">
        <f>_xlfn.XLOOKUP(Vendas[[#This Row],[ID Item Vendido]],Agregado[ID],Agregado[Revenda])</f>
        <v>264.60000000000002</v>
      </c>
      <c r="I3422" s="3">
        <f>Vendas[[#This Row],[Valor Unitário]]*Vendas[[#This Row],[Qnt Vendida]]</f>
        <v>1058.4000000000001</v>
      </c>
      <c r="J3422" s="3">
        <f>Vendas[[#This Row],[Valor da Venda]]-(_xlfn.XLOOKUP(Vendas[[#This Row],[ID Item Vendido]],Agregado[ID],Agregado[Custo])*Vendas[[#This Row],[Qnt Vendida]])</f>
        <v>58.400000000000091</v>
      </c>
      <c r="K3422" s="70">
        <f>Vendas[[#This Row],[Lucro da Venda]]/Vendas[[#This Row],[Valor da Venda]]</f>
        <v>5.5177626606198113E-2</v>
      </c>
      <c r="L3422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422"/>
    </row>
    <row r="3423" spans="1:13" x14ac:dyDescent="0.3">
      <c r="A3423" s="7">
        <v>400248</v>
      </c>
      <c r="B3423" t="str">
        <f>_xlfn.XLOOKUP(Vendas[[#This Row],[ID Vendedor]],Vendedores[ID],Vendedores[Nome])</f>
        <v>Patrícia</v>
      </c>
      <c r="C3423" s="7" t="str">
        <f>_xlfn.XLOOKUP(Vendas[[#This Row],[ID Vendedor]],Vendedores[ID],Vendedores[Setor])</f>
        <v>CM</v>
      </c>
      <c r="D3423" s="7" t="s">
        <v>34</v>
      </c>
      <c r="E3423" t="str">
        <f>_xlfn.XLOOKUP(Vendas[[#This Row],[ID Item Vendido]],Agregado[ID],Agregado[Produto])</f>
        <v>Restos de madeira p/ MDP/OSB saco de 20kg</v>
      </c>
      <c r="F3423" s="39">
        <v>45403</v>
      </c>
      <c r="G3423" s="7">
        <v>9</v>
      </c>
      <c r="H3423" s="3">
        <f>_xlfn.XLOOKUP(Vendas[[#This Row],[ID Item Vendido]],Agregado[ID],Agregado[Revenda])</f>
        <v>13.8</v>
      </c>
      <c r="I3423" s="3">
        <f>Vendas[[#This Row],[Valor Unitário]]*Vendas[[#This Row],[Qnt Vendida]]</f>
        <v>124.2</v>
      </c>
      <c r="J3423" s="3">
        <f>Vendas[[#This Row],[Valor da Venda]]-(_xlfn.XLOOKUP(Vendas[[#This Row],[ID Item Vendido]],Agregado[ID],Agregado[Custo])*Vendas[[#This Row],[Qnt Vendida]])</f>
        <v>16.200000000000003</v>
      </c>
      <c r="K3423" s="70">
        <f>Vendas[[#This Row],[Lucro da Venda]]/Vendas[[#This Row],[Valor da Venda]]</f>
        <v>0.13043478260869568</v>
      </c>
      <c r="L3423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3423"/>
    </row>
    <row r="3424" spans="1:13" x14ac:dyDescent="0.3">
      <c r="A3424" s="7">
        <v>400244</v>
      </c>
      <c r="B3424" t="str">
        <f>_xlfn.XLOOKUP(Vendas[[#This Row],[ID Vendedor]],Vendedores[ID],Vendedores[Nome])</f>
        <v>Camila</v>
      </c>
      <c r="C3424" s="7" t="str">
        <f>_xlfn.XLOOKUP(Vendas[[#This Row],[ID Vendedor]],Vendedores[ID],Vendedores[Setor])</f>
        <v>AHD</v>
      </c>
      <c r="D3424" s="7" t="s">
        <v>44</v>
      </c>
      <c r="E3424" t="str">
        <f>_xlfn.XLOOKUP(Vendas[[#This Row],[ID Item Vendido]],Agregado[ID],Agregado[Produto])</f>
        <v>Liga metálica especial</v>
      </c>
      <c r="F3424" s="39">
        <v>45404</v>
      </c>
      <c r="G3424" s="7">
        <v>51</v>
      </c>
      <c r="H3424" s="3">
        <f>_xlfn.XLOOKUP(Vendas[[#This Row],[ID Item Vendido]],Agregado[ID],Agregado[Revenda])</f>
        <v>32.5</v>
      </c>
      <c r="I3424" s="3">
        <f>Vendas[[#This Row],[Valor Unitário]]*Vendas[[#This Row],[Qnt Vendida]]</f>
        <v>1657.5</v>
      </c>
      <c r="J3424" s="3">
        <f>Vendas[[#This Row],[Valor da Venda]]-(_xlfn.XLOOKUP(Vendas[[#This Row],[ID Item Vendido]],Agregado[ID],Agregado[Custo])*Vendas[[#This Row],[Qnt Vendida]])</f>
        <v>382.5</v>
      </c>
      <c r="K3424" s="70">
        <f>Vendas[[#This Row],[Lucro da Venda]]/Vendas[[#This Row],[Valor da Venda]]</f>
        <v>0.23076923076923078</v>
      </c>
      <c r="L3424" s="3">
        <f>_xlfn.IFS(Vendas[[#This Row],[Margem de Lucro (%)]]&lt;15%,Vendas[[#This Row],[Valor da Venda]]*3%,Vendas[[#This Row],[Margem de Lucro (%)]]&lt;=20%,Vendas[[#This Row],[Valor da Venda]]*4.5%,TRUE,Vendas[[#This Row],[Valor da Venda]]*6%)</f>
        <v>99.45</v>
      </c>
      <c r="M3424"/>
    </row>
    <row r="3425" spans="1:13" x14ac:dyDescent="0.3">
      <c r="A3425" s="7">
        <v>400248</v>
      </c>
      <c r="B3425" t="str">
        <f>_xlfn.XLOOKUP(Vendas[[#This Row],[ID Vendedor]],Vendedores[ID],Vendedores[Nome])</f>
        <v>Patrícia</v>
      </c>
      <c r="C3425" s="7" t="str">
        <f>_xlfn.XLOOKUP(Vendas[[#This Row],[ID Vendedor]],Vendedores[ID],Vendedores[Setor])</f>
        <v>CM</v>
      </c>
      <c r="D3425" s="7" t="s">
        <v>45</v>
      </c>
      <c r="E3425" t="str">
        <f>_xlfn.XLOOKUP(Vendas[[#This Row],[ID Item Vendido]],Agregado[ID],Agregado[Produto])</f>
        <v>Viga de madeira tratada 4m</v>
      </c>
      <c r="F3425" s="39">
        <v>45404</v>
      </c>
      <c r="G3425" s="7">
        <v>11</v>
      </c>
      <c r="H3425" s="3">
        <f>_xlfn.XLOOKUP(Vendas[[#This Row],[ID Item Vendido]],Agregado[ID],Agregado[Revenda])</f>
        <v>66</v>
      </c>
      <c r="I3425" s="3">
        <f>Vendas[[#This Row],[Valor Unitário]]*Vendas[[#This Row],[Qnt Vendida]]</f>
        <v>726</v>
      </c>
      <c r="J3425" s="3">
        <f>Vendas[[#This Row],[Valor da Venda]]-(_xlfn.XLOOKUP(Vendas[[#This Row],[ID Item Vendido]],Agregado[ID],Agregado[Custo])*Vendas[[#This Row],[Qnt Vendida]])</f>
        <v>121</v>
      </c>
      <c r="K3425" s="70">
        <f>Vendas[[#This Row],[Lucro da Venda]]/Vendas[[#This Row],[Valor da Venda]]</f>
        <v>0.16666666666666666</v>
      </c>
      <c r="L3425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3425"/>
    </row>
    <row r="3426" spans="1:13" x14ac:dyDescent="0.3">
      <c r="A3426" s="7">
        <v>400249</v>
      </c>
      <c r="B3426" t="str">
        <f>_xlfn.XLOOKUP(Vendas[[#This Row],[ID Vendedor]],Vendedores[ID],Vendedores[Nome])</f>
        <v>Bruno</v>
      </c>
      <c r="C3426" s="7" t="str">
        <f>_xlfn.XLOOKUP(Vendas[[#This Row],[ID Vendedor]],Vendedores[ID],Vendedores[Setor])</f>
        <v>CM</v>
      </c>
      <c r="D3426" s="7" t="s">
        <v>22</v>
      </c>
      <c r="E3426" t="str">
        <f>_xlfn.XLOOKUP(Vendas[[#This Row],[ID Item Vendido]],Agregado[ID],Agregado[Produto])</f>
        <v>Painel MDP 2,75x1,83m</v>
      </c>
      <c r="F3426" s="39">
        <v>45405</v>
      </c>
      <c r="G3426" s="7">
        <v>17</v>
      </c>
      <c r="H3426" s="3">
        <f>_xlfn.XLOOKUP(Vendas[[#This Row],[ID Item Vendido]],Agregado[ID],Agregado[Revenda])</f>
        <v>119</v>
      </c>
      <c r="I3426" s="3">
        <f>Vendas[[#This Row],[Valor Unitário]]*Vendas[[#This Row],[Qnt Vendida]]</f>
        <v>2023</v>
      </c>
      <c r="J3426" s="3">
        <f>Vendas[[#This Row],[Valor da Venda]]-(_xlfn.XLOOKUP(Vendas[[#This Row],[ID Item Vendido]],Agregado[ID],Agregado[Custo])*Vendas[[#This Row],[Qnt Vendida]])</f>
        <v>408</v>
      </c>
      <c r="K3426" s="70">
        <f>Vendas[[#This Row],[Lucro da Venda]]/Vendas[[#This Row],[Valor da Venda]]</f>
        <v>0.20168067226890757</v>
      </c>
      <c r="L342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3426"/>
    </row>
    <row r="3427" spans="1:13" x14ac:dyDescent="0.3">
      <c r="A3427" s="7">
        <v>400253</v>
      </c>
      <c r="B3427" t="str">
        <f>_xlfn.XLOOKUP(Vendas[[#This Row],[ID Vendedor]],Vendedores[ID],Vendedores[Nome])</f>
        <v>Gustavo</v>
      </c>
      <c r="C3427" s="7" t="str">
        <f>_xlfn.XLOOKUP(Vendas[[#This Row],[ID Vendedor]],Vendedores[ID],Vendedores[Setor])</f>
        <v>SC</v>
      </c>
      <c r="D3427" s="7" t="s">
        <v>42</v>
      </c>
      <c r="E3427" t="str">
        <f>_xlfn.XLOOKUP(Vendas[[#This Row],[ID Item Vendido]],Agregado[ID],Agregado[Produto])</f>
        <v>Container de ferro industrial</v>
      </c>
      <c r="F3427" s="39">
        <v>45406</v>
      </c>
      <c r="G3427" s="7">
        <v>2</v>
      </c>
      <c r="H3427" s="3">
        <f>_xlfn.XLOOKUP(Vendas[[#This Row],[ID Item Vendido]],Agregado[ID],Agregado[Revenda])</f>
        <v>830</v>
      </c>
      <c r="I3427" s="3">
        <f>Vendas[[#This Row],[Valor Unitário]]*Vendas[[#This Row],[Qnt Vendida]]</f>
        <v>1660</v>
      </c>
      <c r="J3427" s="3">
        <f>Vendas[[#This Row],[Valor da Venda]]-(_xlfn.XLOOKUP(Vendas[[#This Row],[ID Item Vendido]],Agregado[ID],Agregado[Custo])*Vendas[[#This Row],[Qnt Vendida]])</f>
        <v>300</v>
      </c>
      <c r="K3427" s="70">
        <f>Vendas[[#This Row],[Lucro da Venda]]/Vendas[[#This Row],[Valor da Venda]]</f>
        <v>0.18072289156626506</v>
      </c>
      <c r="L342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427"/>
    </row>
    <row r="3428" spans="1:13" x14ac:dyDescent="0.3">
      <c r="A3428" s="7">
        <v>400242</v>
      </c>
      <c r="B3428" t="str">
        <f>_xlfn.XLOOKUP(Vendas[[#This Row],[ID Vendedor]],Vendedores[ID],Vendedores[Nome])</f>
        <v>Fernanda</v>
      </c>
      <c r="C3428" s="7" t="str">
        <f>_xlfn.XLOOKUP(Vendas[[#This Row],[ID Vendedor]],Vendedores[ID],Vendedores[Setor])</f>
        <v>FM</v>
      </c>
      <c r="D3428" s="7" t="s">
        <v>27</v>
      </c>
      <c r="E3428" t="str">
        <f>_xlfn.XLOOKUP(Vendas[[#This Row],[ID Item Vendido]],Agregado[ID],Agregado[Produto])</f>
        <v>Chapa de metal lisa 1x2m</v>
      </c>
      <c r="F3428" s="39">
        <v>45406</v>
      </c>
      <c r="G3428" s="7">
        <v>9</v>
      </c>
      <c r="H3428" s="3">
        <f>_xlfn.XLOOKUP(Vendas[[#This Row],[ID Item Vendido]],Agregado[ID],Agregado[Revenda])</f>
        <v>52</v>
      </c>
      <c r="I3428" s="3">
        <f>Vendas[[#This Row],[Valor Unitário]]*Vendas[[#This Row],[Qnt Vendida]]</f>
        <v>468</v>
      </c>
      <c r="J3428" s="3">
        <f>Vendas[[#This Row],[Valor da Venda]]-(_xlfn.XLOOKUP(Vendas[[#This Row],[ID Item Vendido]],Agregado[ID],Agregado[Custo])*Vendas[[#This Row],[Qnt Vendida]])</f>
        <v>63</v>
      </c>
      <c r="K3428" s="70">
        <f>Vendas[[#This Row],[Lucro da Venda]]/Vendas[[#This Row],[Valor da Venda]]</f>
        <v>0.13461538461538461</v>
      </c>
      <c r="L3428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428"/>
    </row>
    <row r="3429" spans="1:13" x14ac:dyDescent="0.3">
      <c r="A3429" s="7">
        <v>400242</v>
      </c>
      <c r="B3429" t="str">
        <f>_xlfn.XLOOKUP(Vendas[[#This Row],[ID Vendedor]],Vendedores[ID],Vendedores[Nome])</f>
        <v>Fernanda</v>
      </c>
      <c r="C3429" s="7" t="str">
        <f>_xlfn.XLOOKUP(Vendas[[#This Row],[ID Vendedor]],Vendedores[ID],Vendedores[Setor])</f>
        <v>FM</v>
      </c>
      <c r="D3429" s="7" t="s">
        <v>6</v>
      </c>
      <c r="E3429" t="str">
        <f>_xlfn.XLOOKUP(Vendas[[#This Row],[ID Item Vendido]],Agregado[ID],Agregado[Produto])</f>
        <v>Parafuso comum 500un</v>
      </c>
      <c r="F3429" s="39">
        <v>45406</v>
      </c>
      <c r="G3429" s="7">
        <v>4</v>
      </c>
      <c r="H3429" s="3">
        <f>_xlfn.XLOOKUP(Vendas[[#This Row],[ID Item Vendido]],Agregado[ID],Agregado[Revenda])</f>
        <v>24.6</v>
      </c>
      <c r="I3429" s="3">
        <f>Vendas[[#This Row],[Valor Unitário]]*Vendas[[#This Row],[Qnt Vendida]]</f>
        <v>98.4</v>
      </c>
      <c r="J3429" s="3">
        <f>Vendas[[#This Row],[Valor da Venda]]-(_xlfn.XLOOKUP(Vendas[[#This Row],[ID Item Vendido]],Agregado[ID],Agregado[Custo])*Vendas[[#This Row],[Qnt Vendida]])</f>
        <v>10.400000000000006</v>
      </c>
      <c r="K3429" s="70">
        <f>Vendas[[#This Row],[Lucro da Venda]]/Vendas[[#This Row],[Valor da Venda]]</f>
        <v>0.10569105691056915</v>
      </c>
      <c r="L3429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3429"/>
    </row>
    <row r="3430" spans="1:13" x14ac:dyDescent="0.3">
      <c r="A3430" s="7">
        <v>400254</v>
      </c>
      <c r="B3430" t="str">
        <f>_xlfn.XLOOKUP(Vendas[[#This Row],[ID Vendedor]],Vendedores[ID],Vendedores[Nome])</f>
        <v>Beatriz</v>
      </c>
      <c r="C3430" s="7" t="str">
        <f>_xlfn.XLOOKUP(Vendas[[#This Row],[ID Vendedor]],Vendedores[ID],Vendedores[Setor])</f>
        <v>SC</v>
      </c>
      <c r="D3430" s="7" t="s">
        <v>42</v>
      </c>
      <c r="E3430" t="str">
        <f>_xlfn.XLOOKUP(Vendas[[#This Row],[ID Item Vendido]],Agregado[ID],Agregado[Produto])</f>
        <v>Container de ferro industrial</v>
      </c>
      <c r="F3430" s="39">
        <v>45407</v>
      </c>
      <c r="G3430" s="7">
        <v>3</v>
      </c>
      <c r="H3430" s="3">
        <f>_xlfn.XLOOKUP(Vendas[[#This Row],[ID Item Vendido]],Agregado[ID],Agregado[Revenda])</f>
        <v>830</v>
      </c>
      <c r="I3430" s="3">
        <f>Vendas[[#This Row],[Valor Unitário]]*Vendas[[#This Row],[Qnt Vendida]]</f>
        <v>2490</v>
      </c>
      <c r="J3430" s="3">
        <f>Vendas[[#This Row],[Valor da Venda]]-(_xlfn.XLOOKUP(Vendas[[#This Row],[ID Item Vendido]],Agregado[ID],Agregado[Custo])*Vendas[[#This Row],[Qnt Vendida]])</f>
        <v>450</v>
      </c>
      <c r="K3430" s="70">
        <f>Vendas[[#This Row],[Lucro da Venda]]/Vendas[[#This Row],[Valor da Venda]]</f>
        <v>0.18072289156626506</v>
      </c>
      <c r="L3430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430"/>
    </row>
    <row r="3431" spans="1:13" x14ac:dyDescent="0.3">
      <c r="A3431" s="7">
        <v>400252</v>
      </c>
      <c r="B3431" t="str">
        <f>_xlfn.XLOOKUP(Vendas[[#This Row],[ID Vendedor]],Vendedores[ID],Vendedores[Nome])</f>
        <v>Renata</v>
      </c>
      <c r="C3431" s="7" t="str">
        <f>_xlfn.XLOOKUP(Vendas[[#This Row],[ID Vendedor]],Vendedores[ID],Vendedores[Setor])</f>
        <v>AB</v>
      </c>
      <c r="D3431" s="7" t="s">
        <v>37</v>
      </c>
      <c r="E3431" t="str">
        <f>_xlfn.XLOOKUP(Vendas[[#This Row],[ID Item Vendido]],Agregado[ID],Agregado[Produto])</f>
        <v>Composto de borracha para vedação rolo 10m</v>
      </c>
      <c r="F3431" s="39">
        <v>45407</v>
      </c>
      <c r="G3431" s="7">
        <v>25</v>
      </c>
      <c r="H3431" s="3">
        <f>_xlfn.XLOOKUP(Vendas[[#This Row],[ID Item Vendido]],Agregado[ID],Agregado[Revenda])</f>
        <v>51.2</v>
      </c>
      <c r="I3431" s="3">
        <f>Vendas[[#This Row],[Valor Unitário]]*Vendas[[#This Row],[Qnt Vendida]]</f>
        <v>1280</v>
      </c>
      <c r="J3431" s="3">
        <f>Vendas[[#This Row],[Valor da Venda]]-(_xlfn.XLOOKUP(Vendas[[#This Row],[ID Item Vendido]],Agregado[ID],Agregado[Custo])*Vendas[[#This Row],[Qnt Vendida]])</f>
        <v>280</v>
      </c>
      <c r="K3431" s="70">
        <f>Vendas[[#This Row],[Lucro da Venda]]/Vendas[[#This Row],[Valor da Venda]]</f>
        <v>0.21875</v>
      </c>
      <c r="L3431" s="3">
        <f>_xlfn.IFS(Vendas[[#This Row],[Margem de Lucro (%)]]&lt;15%,Vendas[[#This Row],[Valor da Venda]]*3%,Vendas[[#This Row],[Margem de Lucro (%)]]&lt;=20%,Vendas[[#This Row],[Valor da Venda]]*4.5%,TRUE,Vendas[[#This Row],[Valor da Venda]]*6%)</f>
        <v>76.8</v>
      </c>
      <c r="M3431"/>
    </row>
    <row r="3432" spans="1:13" x14ac:dyDescent="0.3">
      <c r="A3432" s="7">
        <v>400254</v>
      </c>
      <c r="B3432" t="str">
        <f>_xlfn.XLOOKUP(Vendas[[#This Row],[ID Vendedor]],Vendedores[ID],Vendedores[Nome])</f>
        <v>Beatriz</v>
      </c>
      <c r="C3432" s="7" t="str">
        <f>_xlfn.XLOOKUP(Vendas[[#This Row],[ID Vendedor]],Vendedores[ID],Vendedores[Setor])</f>
        <v>SC</v>
      </c>
      <c r="D3432" s="7" t="s">
        <v>41</v>
      </c>
      <c r="E3432" t="str">
        <f>_xlfn.XLOOKUP(Vendas[[#This Row],[ID Item Vendido]],Agregado[ID],Agregado[Produto])</f>
        <v>Palete de madeira reforçado</v>
      </c>
      <c r="F3432" s="39">
        <v>45407</v>
      </c>
      <c r="G3432" s="7">
        <v>3</v>
      </c>
      <c r="H3432" s="3">
        <f>_xlfn.XLOOKUP(Vendas[[#This Row],[ID Item Vendido]],Agregado[ID],Agregado[Revenda])</f>
        <v>131</v>
      </c>
      <c r="I3432" s="3">
        <f>Vendas[[#This Row],[Valor Unitário]]*Vendas[[#This Row],[Qnt Vendida]]</f>
        <v>393</v>
      </c>
      <c r="J3432" s="3">
        <f>Vendas[[#This Row],[Valor da Venda]]-(_xlfn.XLOOKUP(Vendas[[#This Row],[ID Item Vendido]],Agregado[ID],Agregado[Custo])*Vendas[[#This Row],[Qnt Vendida]])</f>
        <v>63</v>
      </c>
      <c r="K3432" s="70">
        <f>Vendas[[#This Row],[Lucro da Venda]]/Vendas[[#This Row],[Valor da Venda]]</f>
        <v>0.16030534351145037</v>
      </c>
      <c r="L3432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3432"/>
    </row>
    <row r="3433" spans="1:13" x14ac:dyDescent="0.3">
      <c r="A3433" s="7">
        <v>400248</v>
      </c>
      <c r="B3433" t="str">
        <f>_xlfn.XLOOKUP(Vendas[[#This Row],[ID Vendedor]],Vendedores[ID],Vendedores[Nome])</f>
        <v>Patrícia</v>
      </c>
      <c r="C3433" s="7" t="str">
        <f>_xlfn.XLOOKUP(Vendas[[#This Row],[ID Vendedor]],Vendedores[ID],Vendedores[Setor])</f>
        <v>CM</v>
      </c>
      <c r="D3433" s="7" t="s">
        <v>34</v>
      </c>
      <c r="E3433" t="str">
        <f>_xlfn.XLOOKUP(Vendas[[#This Row],[ID Item Vendido]],Agregado[ID],Agregado[Produto])</f>
        <v>Restos de madeira p/ MDP/OSB saco de 20kg</v>
      </c>
      <c r="F3433" s="39">
        <v>45407</v>
      </c>
      <c r="G3433" s="7">
        <v>27</v>
      </c>
      <c r="H3433" s="3">
        <f>_xlfn.XLOOKUP(Vendas[[#This Row],[ID Item Vendido]],Agregado[ID],Agregado[Revenda])</f>
        <v>13.8</v>
      </c>
      <c r="I3433" s="3">
        <f>Vendas[[#This Row],[Valor Unitário]]*Vendas[[#This Row],[Qnt Vendida]]</f>
        <v>372.6</v>
      </c>
      <c r="J3433" s="3">
        <f>Vendas[[#This Row],[Valor da Venda]]-(_xlfn.XLOOKUP(Vendas[[#This Row],[ID Item Vendido]],Agregado[ID],Agregado[Custo])*Vendas[[#This Row],[Qnt Vendida]])</f>
        <v>48.600000000000023</v>
      </c>
      <c r="K3433" s="70">
        <f>Vendas[[#This Row],[Lucro da Venda]]/Vendas[[#This Row],[Valor da Venda]]</f>
        <v>0.1304347826086957</v>
      </c>
      <c r="L3433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3433"/>
    </row>
    <row r="3434" spans="1:13" x14ac:dyDescent="0.3">
      <c r="A3434" s="7">
        <v>400242</v>
      </c>
      <c r="B3434" t="str">
        <f>_xlfn.XLOOKUP(Vendas[[#This Row],[ID Vendedor]],Vendedores[ID],Vendedores[Nome])</f>
        <v>Fernanda</v>
      </c>
      <c r="C3434" s="7" t="str">
        <f>_xlfn.XLOOKUP(Vendas[[#This Row],[ID Vendedor]],Vendedores[ID],Vendedores[Setor])</f>
        <v>FM</v>
      </c>
      <c r="D3434" s="7" t="s">
        <v>20</v>
      </c>
      <c r="E3434" t="str">
        <f>_xlfn.XLOOKUP(Vendas[[#This Row],[ID Item Vendido]],Agregado[ID],Agregado[Produto])</f>
        <v>Barra de aço simples</v>
      </c>
      <c r="F3434" s="39">
        <v>45407</v>
      </c>
      <c r="G3434" s="7">
        <v>56</v>
      </c>
      <c r="H3434" s="3">
        <f>_xlfn.XLOOKUP(Vendas[[#This Row],[ID Item Vendido]],Agregado[ID],Agregado[Revenda])</f>
        <v>4.8</v>
      </c>
      <c r="I3434" s="3">
        <f>Vendas[[#This Row],[Valor Unitário]]*Vendas[[#This Row],[Qnt Vendida]]</f>
        <v>268.8</v>
      </c>
      <c r="J3434" s="3">
        <f>Vendas[[#This Row],[Valor da Venda]]-(_xlfn.XLOOKUP(Vendas[[#This Row],[ID Item Vendido]],Agregado[ID],Agregado[Custo])*Vendas[[#This Row],[Qnt Vendida]])</f>
        <v>33.599999999999994</v>
      </c>
      <c r="K3434" s="70">
        <f>Vendas[[#This Row],[Lucro da Venda]]/Vendas[[#This Row],[Valor da Venda]]</f>
        <v>0.12499999999999997</v>
      </c>
      <c r="L3434" s="3">
        <f>_xlfn.IFS(Vendas[[#This Row],[Margem de Lucro (%)]]&lt;15%,Vendas[[#This Row],[Valor da Venda]]*3%,Vendas[[#This Row],[Margem de Lucro (%)]]&lt;=20%,Vendas[[#This Row],[Valor da Venda]]*4.5%,TRUE,Vendas[[#This Row],[Valor da Venda]]*6%)</f>
        <v>8.0640000000000001</v>
      </c>
      <c r="M3434"/>
    </row>
    <row r="3435" spans="1:13" x14ac:dyDescent="0.3">
      <c r="A3435" s="7">
        <v>400255</v>
      </c>
      <c r="B3435" t="str">
        <f>_xlfn.XLOOKUP(Vendas[[#This Row],[ID Vendedor]],Vendedores[ID],Vendedores[Nome])</f>
        <v>Carlos</v>
      </c>
      <c r="C3435" s="7" t="str">
        <f>_xlfn.XLOOKUP(Vendas[[#This Row],[ID Vendedor]],Vendedores[ID],Vendedores[Setor])</f>
        <v>SC</v>
      </c>
      <c r="D3435" s="7" t="s">
        <v>41</v>
      </c>
      <c r="E3435" t="str">
        <f>_xlfn.XLOOKUP(Vendas[[#This Row],[ID Item Vendido]],Agregado[ID],Agregado[Produto])</f>
        <v>Palete de madeira reforçado</v>
      </c>
      <c r="F3435" s="39">
        <v>45407</v>
      </c>
      <c r="G3435" s="7">
        <v>1</v>
      </c>
      <c r="H3435" s="3">
        <f>_xlfn.XLOOKUP(Vendas[[#This Row],[ID Item Vendido]],Agregado[ID],Agregado[Revenda])</f>
        <v>131</v>
      </c>
      <c r="I3435" s="3">
        <f>Vendas[[#This Row],[Valor Unitário]]*Vendas[[#This Row],[Qnt Vendida]]</f>
        <v>131</v>
      </c>
      <c r="J3435" s="3">
        <f>Vendas[[#This Row],[Valor da Venda]]-(_xlfn.XLOOKUP(Vendas[[#This Row],[ID Item Vendido]],Agregado[ID],Agregado[Custo])*Vendas[[#This Row],[Qnt Vendida]])</f>
        <v>21</v>
      </c>
      <c r="K3435" s="70">
        <f>Vendas[[#This Row],[Lucro da Venda]]/Vendas[[#This Row],[Valor da Venda]]</f>
        <v>0.16030534351145037</v>
      </c>
      <c r="L3435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3435"/>
    </row>
    <row r="3436" spans="1:13" x14ac:dyDescent="0.3">
      <c r="A3436" s="7">
        <v>400253</v>
      </c>
      <c r="B3436" t="str">
        <f>_xlfn.XLOOKUP(Vendas[[#This Row],[ID Vendedor]],Vendedores[ID],Vendedores[Nome])</f>
        <v>Gustavo</v>
      </c>
      <c r="C3436" s="7" t="str">
        <f>_xlfn.XLOOKUP(Vendas[[#This Row],[ID Vendedor]],Vendedores[ID],Vendedores[Setor])</f>
        <v>SC</v>
      </c>
      <c r="D3436" s="7" t="s">
        <v>42</v>
      </c>
      <c r="E3436" t="str">
        <f>_xlfn.XLOOKUP(Vendas[[#This Row],[ID Item Vendido]],Agregado[ID],Agregado[Produto])</f>
        <v>Container de ferro industrial</v>
      </c>
      <c r="F3436" s="39">
        <v>45408</v>
      </c>
      <c r="G3436" s="7">
        <v>3</v>
      </c>
      <c r="H3436" s="3">
        <f>_xlfn.XLOOKUP(Vendas[[#This Row],[ID Item Vendido]],Agregado[ID],Agregado[Revenda])</f>
        <v>830</v>
      </c>
      <c r="I3436" s="3">
        <f>Vendas[[#This Row],[Valor Unitário]]*Vendas[[#This Row],[Qnt Vendida]]</f>
        <v>2490</v>
      </c>
      <c r="J3436" s="3">
        <f>Vendas[[#This Row],[Valor da Venda]]-(_xlfn.XLOOKUP(Vendas[[#This Row],[ID Item Vendido]],Agregado[ID],Agregado[Custo])*Vendas[[#This Row],[Qnt Vendida]])</f>
        <v>450</v>
      </c>
      <c r="K3436" s="70">
        <f>Vendas[[#This Row],[Lucro da Venda]]/Vendas[[#This Row],[Valor da Venda]]</f>
        <v>0.18072289156626506</v>
      </c>
      <c r="L3436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436"/>
    </row>
    <row r="3437" spans="1:13" x14ac:dyDescent="0.3">
      <c r="A3437" s="7">
        <v>400252</v>
      </c>
      <c r="B3437" t="str">
        <f>_xlfn.XLOOKUP(Vendas[[#This Row],[ID Vendedor]],Vendedores[ID],Vendedores[Nome])</f>
        <v>Renata</v>
      </c>
      <c r="C3437" s="7" t="str">
        <f>_xlfn.XLOOKUP(Vendas[[#This Row],[ID Vendedor]],Vendedores[ID],Vendedores[Setor])</f>
        <v>AB</v>
      </c>
      <c r="D3437" s="7" t="s">
        <v>24</v>
      </c>
      <c r="E3437" t="str">
        <f>_xlfn.XLOOKUP(Vendas[[#This Row],[ID Item Vendido]],Agregado[ID],Agregado[Produto])</f>
        <v>Resina plástica PET purificada saco de 25kg</v>
      </c>
      <c r="F3437" s="39">
        <v>45408</v>
      </c>
      <c r="G3437" s="7">
        <v>4</v>
      </c>
      <c r="H3437" s="3">
        <f>_xlfn.XLOOKUP(Vendas[[#This Row],[ID Item Vendido]],Agregado[ID],Agregado[Revenda])</f>
        <v>119</v>
      </c>
      <c r="I3437" s="3">
        <f>Vendas[[#This Row],[Valor Unitário]]*Vendas[[#This Row],[Qnt Vendida]]</f>
        <v>476</v>
      </c>
      <c r="J3437" s="3">
        <f>Vendas[[#This Row],[Valor da Venda]]-(_xlfn.XLOOKUP(Vendas[[#This Row],[ID Item Vendido]],Agregado[ID],Agregado[Custo])*Vendas[[#This Row],[Qnt Vendida]])</f>
        <v>136</v>
      </c>
      <c r="K3437" s="70">
        <f>Vendas[[#This Row],[Lucro da Venda]]/Vendas[[#This Row],[Valor da Venda]]</f>
        <v>0.2857142857142857</v>
      </c>
      <c r="L3437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3437"/>
    </row>
    <row r="3438" spans="1:13" x14ac:dyDescent="0.3">
      <c r="A3438" s="7">
        <v>400247</v>
      </c>
      <c r="B3438" t="str">
        <f>_xlfn.XLOOKUP(Vendas[[#This Row],[ID Vendedor]],Vendedores[ID],Vendedores[Nome])</f>
        <v>André</v>
      </c>
      <c r="C3438" s="7" t="str">
        <f>_xlfn.XLOOKUP(Vendas[[#This Row],[ID Vendedor]],Vendedores[ID],Vendedores[Setor])</f>
        <v>CM</v>
      </c>
      <c r="D3438" s="7" t="s">
        <v>32</v>
      </c>
      <c r="E3438" t="str">
        <f>_xlfn.XLOOKUP(Vendas[[#This Row],[ID Item Vendido]],Agregado[ID],Agregado[Produto])</f>
        <v>Tábua tratada e cortada 3m</v>
      </c>
      <c r="F3438" s="39">
        <v>45408</v>
      </c>
      <c r="G3438" s="7">
        <v>8</v>
      </c>
      <c r="H3438" s="3">
        <f>_xlfn.XLOOKUP(Vendas[[#This Row],[ID Item Vendido]],Agregado[ID],Agregado[Revenda])</f>
        <v>39</v>
      </c>
      <c r="I3438" s="3">
        <f>Vendas[[#This Row],[Valor Unitário]]*Vendas[[#This Row],[Qnt Vendida]]</f>
        <v>312</v>
      </c>
      <c r="J3438" s="3">
        <f>Vendas[[#This Row],[Valor da Venda]]-(_xlfn.XLOOKUP(Vendas[[#This Row],[ID Item Vendido]],Agregado[ID],Agregado[Custo])*Vendas[[#This Row],[Qnt Vendida]])</f>
        <v>56</v>
      </c>
      <c r="K3438" s="70">
        <f>Vendas[[#This Row],[Lucro da Venda]]/Vendas[[#This Row],[Valor da Venda]]</f>
        <v>0.17948717948717949</v>
      </c>
      <c r="L3438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438"/>
    </row>
    <row r="3439" spans="1:13" x14ac:dyDescent="0.3">
      <c r="A3439" s="7">
        <v>400245</v>
      </c>
      <c r="B3439" t="str">
        <f>_xlfn.XLOOKUP(Vendas[[#This Row],[ID Vendedor]],Vendedores[ID],Vendedores[Nome])</f>
        <v>Thiago</v>
      </c>
      <c r="C3439" s="7" t="str">
        <f>_xlfn.XLOOKUP(Vendas[[#This Row],[ID Vendedor]],Vendedores[ID],Vendedores[Setor])</f>
        <v>AHD</v>
      </c>
      <c r="D3439" s="7" t="s">
        <v>18</v>
      </c>
      <c r="E3439" t="str">
        <f>_xlfn.XLOOKUP(Vendas[[#This Row],[ID Item Vendido]],Agregado[ID],Agregado[Produto])</f>
        <v>Peça forjada sob encomenda</v>
      </c>
      <c r="F3439" s="39">
        <v>45409</v>
      </c>
      <c r="G3439" s="7">
        <v>5</v>
      </c>
      <c r="H3439" s="3">
        <f>_xlfn.XLOOKUP(Vendas[[#This Row],[ID Item Vendido]],Agregado[ID],Agregado[Revenda])</f>
        <v>264.60000000000002</v>
      </c>
      <c r="I3439" s="3">
        <f>Vendas[[#This Row],[Valor Unitário]]*Vendas[[#This Row],[Qnt Vendida]]</f>
        <v>1323</v>
      </c>
      <c r="J3439" s="3">
        <f>Vendas[[#This Row],[Valor da Venda]]-(_xlfn.XLOOKUP(Vendas[[#This Row],[ID Item Vendido]],Agregado[ID],Agregado[Custo])*Vendas[[#This Row],[Qnt Vendida]])</f>
        <v>73</v>
      </c>
      <c r="K3439" s="70">
        <f>Vendas[[#This Row],[Lucro da Venda]]/Vendas[[#This Row],[Valor da Venda]]</f>
        <v>5.5177626606198037E-2</v>
      </c>
      <c r="L3439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439"/>
    </row>
    <row r="3440" spans="1:13" x14ac:dyDescent="0.3">
      <c r="A3440" s="7">
        <v>400241</v>
      </c>
      <c r="B3440" t="str">
        <f>_xlfn.XLOOKUP(Vendas[[#This Row],[ID Vendedor]],Vendedores[ID],Vendedores[Nome])</f>
        <v>Rodrigo</v>
      </c>
      <c r="C3440" s="7" t="str">
        <f>_xlfn.XLOOKUP(Vendas[[#This Row],[ID Vendedor]],Vendedores[ID],Vendedores[Setor])</f>
        <v>FM</v>
      </c>
      <c r="D3440" s="7" t="s">
        <v>27</v>
      </c>
      <c r="E3440" t="str">
        <f>_xlfn.XLOOKUP(Vendas[[#This Row],[ID Item Vendido]],Agregado[ID],Agregado[Produto])</f>
        <v>Chapa de metal lisa 1x2m</v>
      </c>
      <c r="F3440" s="39">
        <v>45409</v>
      </c>
      <c r="G3440" s="7">
        <v>8</v>
      </c>
      <c r="H3440" s="3">
        <f>_xlfn.XLOOKUP(Vendas[[#This Row],[ID Item Vendido]],Agregado[ID],Agregado[Revenda])</f>
        <v>52</v>
      </c>
      <c r="I3440" s="3">
        <f>Vendas[[#This Row],[Valor Unitário]]*Vendas[[#This Row],[Qnt Vendida]]</f>
        <v>416</v>
      </c>
      <c r="J3440" s="3">
        <f>Vendas[[#This Row],[Valor da Venda]]-(_xlfn.XLOOKUP(Vendas[[#This Row],[ID Item Vendido]],Agregado[ID],Agregado[Custo])*Vendas[[#This Row],[Qnt Vendida]])</f>
        <v>56</v>
      </c>
      <c r="K3440" s="70">
        <f>Vendas[[#This Row],[Lucro da Venda]]/Vendas[[#This Row],[Valor da Venda]]</f>
        <v>0.13461538461538461</v>
      </c>
      <c r="L3440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3440"/>
    </row>
    <row r="3441" spans="1:13" x14ac:dyDescent="0.3">
      <c r="A3441" s="7">
        <v>400242</v>
      </c>
      <c r="B3441" t="str">
        <f>_xlfn.XLOOKUP(Vendas[[#This Row],[ID Vendedor]],Vendedores[ID],Vendedores[Nome])</f>
        <v>Fernanda</v>
      </c>
      <c r="C3441" s="7" t="str">
        <f>_xlfn.XLOOKUP(Vendas[[#This Row],[ID Vendedor]],Vendedores[ID],Vendedores[Setor])</f>
        <v>FM</v>
      </c>
      <c r="D3441" s="7" t="s">
        <v>20</v>
      </c>
      <c r="E3441" t="str">
        <f>_xlfn.XLOOKUP(Vendas[[#This Row],[ID Item Vendido]],Agregado[ID],Agregado[Produto])</f>
        <v>Barra de aço simples</v>
      </c>
      <c r="F3441" s="39">
        <v>45409</v>
      </c>
      <c r="G3441" s="7">
        <v>82</v>
      </c>
      <c r="H3441" s="3">
        <f>_xlfn.XLOOKUP(Vendas[[#This Row],[ID Item Vendido]],Agregado[ID],Agregado[Revenda])</f>
        <v>4.8</v>
      </c>
      <c r="I3441" s="3">
        <f>Vendas[[#This Row],[Valor Unitário]]*Vendas[[#This Row],[Qnt Vendida]]</f>
        <v>393.59999999999997</v>
      </c>
      <c r="J3441" s="3">
        <f>Vendas[[#This Row],[Valor da Venda]]-(_xlfn.XLOOKUP(Vendas[[#This Row],[ID Item Vendido]],Agregado[ID],Agregado[Custo])*Vendas[[#This Row],[Qnt Vendida]])</f>
        <v>49.199999999999932</v>
      </c>
      <c r="K3441" s="70">
        <f>Vendas[[#This Row],[Lucro da Venda]]/Vendas[[#This Row],[Valor da Venda]]</f>
        <v>0.12499999999999983</v>
      </c>
      <c r="L3441" s="3">
        <f>_xlfn.IFS(Vendas[[#This Row],[Margem de Lucro (%)]]&lt;15%,Vendas[[#This Row],[Valor da Venda]]*3%,Vendas[[#This Row],[Margem de Lucro (%)]]&lt;=20%,Vendas[[#This Row],[Valor da Venda]]*4.5%,TRUE,Vendas[[#This Row],[Valor da Venda]]*6%)</f>
        <v>11.807999999999998</v>
      </c>
      <c r="M3441"/>
    </row>
    <row r="3442" spans="1:13" x14ac:dyDescent="0.3">
      <c r="A3442" s="7">
        <v>400252</v>
      </c>
      <c r="B3442" t="str">
        <f>_xlfn.XLOOKUP(Vendas[[#This Row],[ID Vendedor]],Vendedores[ID],Vendedores[Nome])</f>
        <v>Renata</v>
      </c>
      <c r="C3442" s="7" t="str">
        <f>_xlfn.XLOOKUP(Vendas[[#This Row],[ID Vendedor]],Vendedores[ID],Vendedores[Setor])</f>
        <v>AB</v>
      </c>
      <c r="D3442" s="7" t="s">
        <v>37</v>
      </c>
      <c r="E3442" t="str">
        <f>_xlfn.XLOOKUP(Vendas[[#This Row],[ID Item Vendido]],Agregado[ID],Agregado[Produto])</f>
        <v>Composto de borracha para vedação rolo 10m</v>
      </c>
      <c r="F3442" s="39">
        <v>45410</v>
      </c>
      <c r="G3442" s="7">
        <v>12</v>
      </c>
      <c r="H3442" s="3">
        <f>_xlfn.XLOOKUP(Vendas[[#This Row],[ID Item Vendido]],Agregado[ID],Agregado[Revenda])</f>
        <v>51.2</v>
      </c>
      <c r="I3442" s="3">
        <f>Vendas[[#This Row],[Valor Unitário]]*Vendas[[#This Row],[Qnt Vendida]]</f>
        <v>614.40000000000009</v>
      </c>
      <c r="J3442" s="3">
        <f>Vendas[[#This Row],[Valor da Venda]]-(_xlfn.XLOOKUP(Vendas[[#This Row],[ID Item Vendido]],Agregado[ID],Agregado[Custo])*Vendas[[#This Row],[Qnt Vendida]])</f>
        <v>134.40000000000009</v>
      </c>
      <c r="K3442" s="70">
        <f>Vendas[[#This Row],[Lucro da Venda]]/Vendas[[#This Row],[Valor da Venda]]</f>
        <v>0.21875000000000011</v>
      </c>
      <c r="L3442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3442"/>
    </row>
    <row r="3443" spans="1:13" x14ac:dyDescent="0.3">
      <c r="A3443" s="7">
        <v>400251</v>
      </c>
      <c r="B3443" t="str">
        <f>_xlfn.XLOOKUP(Vendas[[#This Row],[ID Vendedor]],Vendedores[ID],Vendedores[Nome])</f>
        <v>Diego</v>
      </c>
      <c r="C3443" s="7" t="str">
        <f>_xlfn.XLOOKUP(Vendas[[#This Row],[ID Vendedor]],Vendedores[ID],Vendedores[Setor])</f>
        <v>AB</v>
      </c>
      <c r="D3443" s="7" t="s">
        <v>12</v>
      </c>
      <c r="E3443" t="str">
        <f>_xlfn.XLOOKUP(Vendas[[#This Row],[ID Item Vendido]],Agregado[ID],Agregado[Produto])</f>
        <v>Grânulo de plástico reciclado refinado</v>
      </c>
      <c r="F3443" s="39">
        <v>45410</v>
      </c>
      <c r="G3443" s="7">
        <v>16</v>
      </c>
      <c r="H3443" s="3">
        <f>_xlfn.XLOOKUP(Vendas[[#This Row],[ID Item Vendido]],Agregado[ID],Agregado[Revenda])</f>
        <v>4.7</v>
      </c>
      <c r="I3443" s="3">
        <f>Vendas[[#This Row],[Valor Unitário]]*Vendas[[#This Row],[Qnt Vendida]]</f>
        <v>75.2</v>
      </c>
      <c r="J3443" s="3">
        <f>Vendas[[#This Row],[Valor da Venda]]-(_xlfn.XLOOKUP(Vendas[[#This Row],[ID Item Vendido]],Agregado[ID],Agregado[Custo])*Vendas[[#This Row],[Qnt Vendida]])</f>
        <v>19.200000000000003</v>
      </c>
      <c r="K3443" s="70">
        <f>Vendas[[#This Row],[Lucro da Venda]]/Vendas[[#This Row],[Valor da Venda]]</f>
        <v>0.25531914893617025</v>
      </c>
      <c r="L3443" s="3">
        <f>_xlfn.IFS(Vendas[[#This Row],[Margem de Lucro (%)]]&lt;15%,Vendas[[#This Row],[Valor da Venda]]*3%,Vendas[[#This Row],[Margem de Lucro (%)]]&lt;=20%,Vendas[[#This Row],[Valor da Venda]]*4.5%,TRUE,Vendas[[#This Row],[Valor da Venda]]*6%)</f>
        <v>4.5119999999999996</v>
      </c>
      <c r="M3443"/>
    </row>
    <row r="3444" spans="1:13" x14ac:dyDescent="0.3">
      <c r="A3444" s="7">
        <v>400254</v>
      </c>
      <c r="B3444" t="str">
        <f>_xlfn.XLOOKUP(Vendas[[#This Row],[ID Vendedor]],Vendedores[ID],Vendedores[Nome])</f>
        <v>Beatriz</v>
      </c>
      <c r="C3444" s="7" t="str">
        <f>_xlfn.XLOOKUP(Vendas[[#This Row],[ID Vendedor]],Vendedores[ID],Vendedores[Setor])</f>
        <v>SC</v>
      </c>
      <c r="D3444" s="7" t="s">
        <v>14</v>
      </c>
      <c r="E3444" t="str">
        <f>_xlfn.XLOOKUP(Vendas[[#This Row],[ID Item Vendido]],Agregado[ID],Agregado[Produto])</f>
        <v>Barril de plástico 200L</v>
      </c>
      <c r="F3444" s="39">
        <v>45411</v>
      </c>
      <c r="G3444" s="7">
        <v>22</v>
      </c>
      <c r="H3444" s="3">
        <f>_xlfn.XLOOKUP(Vendas[[#This Row],[ID Item Vendido]],Agregado[ID],Agregado[Revenda])</f>
        <v>114</v>
      </c>
      <c r="I3444" s="3">
        <f>Vendas[[#This Row],[Valor Unitário]]*Vendas[[#This Row],[Qnt Vendida]]</f>
        <v>2508</v>
      </c>
      <c r="J3444" s="3">
        <f>Vendas[[#This Row],[Valor da Venda]]-(_xlfn.XLOOKUP(Vendas[[#This Row],[ID Item Vendido]],Agregado[ID],Agregado[Custo])*Vendas[[#This Row],[Qnt Vendida]])</f>
        <v>418</v>
      </c>
      <c r="K3444" s="70">
        <f>Vendas[[#This Row],[Lucro da Venda]]/Vendas[[#This Row],[Valor da Venda]]</f>
        <v>0.16666666666666666</v>
      </c>
      <c r="L3444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3444"/>
    </row>
    <row r="3445" spans="1:13" x14ac:dyDescent="0.3">
      <c r="A3445" s="7">
        <v>400252</v>
      </c>
      <c r="B3445" t="str">
        <f>_xlfn.XLOOKUP(Vendas[[#This Row],[ID Vendedor]],Vendedores[ID],Vendedores[Nome])</f>
        <v>Renata</v>
      </c>
      <c r="C3445" s="7" t="str">
        <f>_xlfn.XLOOKUP(Vendas[[#This Row],[ID Vendedor]],Vendedores[ID],Vendedores[Setor])</f>
        <v>AB</v>
      </c>
      <c r="D3445" s="7" t="s">
        <v>37</v>
      </c>
      <c r="E3445" t="str">
        <f>_xlfn.XLOOKUP(Vendas[[#This Row],[ID Item Vendido]],Agregado[ID],Agregado[Produto])</f>
        <v>Composto de borracha para vedação rolo 10m</v>
      </c>
      <c r="F3445" s="39">
        <v>45411</v>
      </c>
      <c r="G3445" s="7">
        <v>8</v>
      </c>
      <c r="H3445" s="3">
        <f>_xlfn.XLOOKUP(Vendas[[#This Row],[ID Item Vendido]],Agregado[ID],Agregado[Revenda])</f>
        <v>51.2</v>
      </c>
      <c r="I3445" s="3">
        <f>Vendas[[#This Row],[Valor Unitário]]*Vendas[[#This Row],[Qnt Vendida]]</f>
        <v>409.6</v>
      </c>
      <c r="J3445" s="3">
        <f>Vendas[[#This Row],[Valor da Venda]]-(_xlfn.XLOOKUP(Vendas[[#This Row],[ID Item Vendido]],Agregado[ID],Agregado[Custo])*Vendas[[#This Row],[Qnt Vendida]])</f>
        <v>89.600000000000023</v>
      </c>
      <c r="K3445" s="70">
        <f>Vendas[[#This Row],[Lucro da Venda]]/Vendas[[#This Row],[Valor da Venda]]</f>
        <v>0.21875000000000006</v>
      </c>
      <c r="L3445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3445"/>
    </row>
    <row r="3446" spans="1:13" x14ac:dyDescent="0.3">
      <c r="A3446" s="7">
        <v>400249</v>
      </c>
      <c r="B3446" t="str">
        <f>_xlfn.XLOOKUP(Vendas[[#This Row],[ID Vendedor]],Vendedores[ID],Vendedores[Nome])</f>
        <v>Bruno</v>
      </c>
      <c r="C3446" s="7" t="str">
        <f>_xlfn.XLOOKUP(Vendas[[#This Row],[ID Vendedor]],Vendedores[ID],Vendedores[Setor])</f>
        <v>CM</v>
      </c>
      <c r="D3446" s="7" t="s">
        <v>22</v>
      </c>
      <c r="E3446" t="str">
        <f>_xlfn.XLOOKUP(Vendas[[#This Row],[ID Item Vendido]],Agregado[ID],Agregado[Produto])</f>
        <v>Painel MDP 2,75x1,83m</v>
      </c>
      <c r="F3446" s="39">
        <v>45412</v>
      </c>
      <c r="G3446" s="7">
        <v>20</v>
      </c>
      <c r="H3446" s="3">
        <f>_xlfn.XLOOKUP(Vendas[[#This Row],[ID Item Vendido]],Agregado[ID],Agregado[Revenda])</f>
        <v>119</v>
      </c>
      <c r="I3446" s="3">
        <f>Vendas[[#This Row],[Valor Unitário]]*Vendas[[#This Row],[Qnt Vendida]]</f>
        <v>2380</v>
      </c>
      <c r="J3446" s="3">
        <f>Vendas[[#This Row],[Valor da Venda]]-(_xlfn.XLOOKUP(Vendas[[#This Row],[ID Item Vendido]],Agregado[ID],Agregado[Custo])*Vendas[[#This Row],[Qnt Vendida]])</f>
        <v>480</v>
      </c>
      <c r="K3446" s="70">
        <f>Vendas[[#This Row],[Lucro da Venda]]/Vendas[[#This Row],[Valor da Venda]]</f>
        <v>0.20168067226890757</v>
      </c>
      <c r="L3446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446"/>
    </row>
    <row r="3447" spans="1:13" x14ac:dyDescent="0.3">
      <c r="A3447" s="7">
        <v>400244</v>
      </c>
      <c r="B3447" t="str">
        <f>_xlfn.XLOOKUP(Vendas[[#This Row],[ID Vendedor]],Vendedores[ID],Vendedores[Nome])</f>
        <v>Camila</v>
      </c>
      <c r="C3447" s="7" t="str">
        <f>_xlfn.XLOOKUP(Vendas[[#This Row],[ID Vendedor]],Vendedores[ID],Vendedores[Setor])</f>
        <v>AHD</v>
      </c>
      <c r="D3447" s="7" t="s">
        <v>18</v>
      </c>
      <c r="E3447" t="str">
        <f>_xlfn.XLOOKUP(Vendas[[#This Row],[ID Item Vendido]],Agregado[ID],Agregado[Produto])</f>
        <v>Peça forjada sob encomenda</v>
      </c>
      <c r="F3447" s="39">
        <v>45413</v>
      </c>
      <c r="G3447" s="7">
        <v>6</v>
      </c>
      <c r="H3447" s="3">
        <f>_xlfn.XLOOKUP(Vendas[[#This Row],[ID Item Vendido]],Agregado[ID],Agregado[Revenda])</f>
        <v>264.60000000000002</v>
      </c>
      <c r="I3447" s="3">
        <f>Vendas[[#This Row],[Valor Unitário]]*Vendas[[#This Row],[Qnt Vendida]]</f>
        <v>1587.6000000000001</v>
      </c>
      <c r="J3447" s="3">
        <f>Vendas[[#This Row],[Valor da Venda]]-(_xlfn.XLOOKUP(Vendas[[#This Row],[ID Item Vendido]],Agregado[ID],Agregado[Custo])*Vendas[[#This Row],[Qnt Vendida]])</f>
        <v>87.600000000000136</v>
      </c>
      <c r="K3447" s="70">
        <f>Vendas[[#This Row],[Lucro da Venda]]/Vendas[[#This Row],[Valor da Venda]]</f>
        <v>5.5177626606198113E-2</v>
      </c>
      <c r="L344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447"/>
    </row>
    <row r="3448" spans="1:13" x14ac:dyDescent="0.3">
      <c r="A3448" s="7">
        <v>400252</v>
      </c>
      <c r="B3448" t="str">
        <f>_xlfn.XLOOKUP(Vendas[[#This Row],[ID Vendedor]],Vendedores[ID],Vendedores[Nome])</f>
        <v>Renata</v>
      </c>
      <c r="C3448" s="7" t="str">
        <f>_xlfn.XLOOKUP(Vendas[[#This Row],[ID Vendedor]],Vendedores[ID],Vendedores[Setor])</f>
        <v>AB</v>
      </c>
      <c r="D3448" s="7" t="s">
        <v>37</v>
      </c>
      <c r="E3448" t="str">
        <f>_xlfn.XLOOKUP(Vendas[[#This Row],[ID Item Vendido]],Agregado[ID],Agregado[Produto])</f>
        <v>Composto de borracha para vedação rolo 10m</v>
      </c>
      <c r="F3448" s="39">
        <v>45413</v>
      </c>
      <c r="G3448" s="7">
        <v>23</v>
      </c>
      <c r="H3448" s="3">
        <f>_xlfn.XLOOKUP(Vendas[[#This Row],[ID Item Vendido]],Agregado[ID],Agregado[Revenda])</f>
        <v>51.2</v>
      </c>
      <c r="I3448" s="3">
        <f>Vendas[[#This Row],[Valor Unitário]]*Vendas[[#This Row],[Qnt Vendida]]</f>
        <v>1177.6000000000001</v>
      </c>
      <c r="J3448" s="3">
        <f>Vendas[[#This Row],[Valor da Venda]]-(_xlfn.XLOOKUP(Vendas[[#This Row],[ID Item Vendido]],Agregado[ID],Agregado[Custo])*Vendas[[#This Row],[Qnt Vendida]])</f>
        <v>257.60000000000014</v>
      </c>
      <c r="K3448" s="70">
        <f>Vendas[[#This Row],[Lucro da Venda]]/Vendas[[#This Row],[Valor da Venda]]</f>
        <v>0.21875000000000008</v>
      </c>
      <c r="L3448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3448"/>
    </row>
    <row r="3449" spans="1:13" x14ac:dyDescent="0.3">
      <c r="A3449" s="7">
        <v>400241</v>
      </c>
      <c r="B3449" t="str">
        <f>_xlfn.XLOOKUP(Vendas[[#This Row],[ID Vendedor]],Vendedores[ID],Vendedores[Nome])</f>
        <v>Rodrigo</v>
      </c>
      <c r="C3449" s="7" t="str">
        <f>_xlfn.XLOOKUP(Vendas[[#This Row],[ID Vendedor]],Vendedores[ID],Vendedores[Setor])</f>
        <v>FM</v>
      </c>
      <c r="D3449" s="7" t="s">
        <v>47</v>
      </c>
      <c r="E3449" t="str">
        <f>_xlfn.XLOOKUP(Vendas[[#This Row],[ID Item Vendido]],Agregado[ID],Agregado[Produto])</f>
        <v>Fio de arame galvanizado rolo 50m</v>
      </c>
      <c r="F3449" s="39">
        <v>45413</v>
      </c>
      <c r="G3449" s="7">
        <v>18</v>
      </c>
      <c r="H3449" s="3">
        <f>_xlfn.XLOOKUP(Vendas[[#This Row],[ID Item Vendido]],Agregado[ID],Agregado[Revenda])</f>
        <v>21.2</v>
      </c>
      <c r="I3449" s="3">
        <f>Vendas[[#This Row],[Valor Unitário]]*Vendas[[#This Row],[Qnt Vendida]]</f>
        <v>381.59999999999997</v>
      </c>
      <c r="J3449" s="3">
        <f>Vendas[[#This Row],[Valor da Venda]]-(_xlfn.XLOOKUP(Vendas[[#This Row],[ID Item Vendido]],Agregado[ID],Agregado[Custo])*Vendas[[#This Row],[Qnt Vendida]])</f>
        <v>57.599999999999966</v>
      </c>
      <c r="K3449" s="70">
        <f>Vendas[[#This Row],[Lucro da Venda]]/Vendas[[#This Row],[Valor da Venda]]</f>
        <v>0.15094339622641501</v>
      </c>
      <c r="L3449" s="3">
        <f>_xlfn.IFS(Vendas[[#This Row],[Margem de Lucro (%)]]&lt;15%,Vendas[[#This Row],[Valor da Venda]]*3%,Vendas[[#This Row],[Margem de Lucro (%)]]&lt;=20%,Vendas[[#This Row],[Valor da Venda]]*4.5%,TRUE,Vendas[[#This Row],[Valor da Venda]]*6%)</f>
        <v>17.171999999999997</v>
      </c>
      <c r="M3449"/>
    </row>
    <row r="3450" spans="1:13" x14ac:dyDescent="0.3">
      <c r="A3450" s="7">
        <v>400245</v>
      </c>
      <c r="B3450" t="str">
        <f>_xlfn.XLOOKUP(Vendas[[#This Row],[ID Vendedor]],Vendedores[ID],Vendedores[Nome])</f>
        <v>Thiago</v>
      </c>
      <c r="C3450" s="7" t="str">
        <f>_xlfn.XLOOKUP(Vendas[[#This Row],[ID Vendedor]],Vendedores[ID],Vendedores[Setor])</f>
        <v>AHD</v>
      </c>
      <c r="D3450" s="7" t="s">
        <v>28</v>
      </c>
      <c r="E3450" t="str">
        <f>_xlfn.XLOOKUP(Vendas[[#This Row],[ID Item Vendido]],Agregado[ID],Agregado[Produto])</f>
        <v>Peça usinada CNC</v>
      </c>
      <c r="F3450" s="39">
        <v>45414</v>
      </c>
      <c r="G3450" s="7">
        <v>8</v>
      </c>
      <c r="H3450" s="3">
        <f>_xlfn.XLOOKUP(Vendas[[#This Row],[ID Item Vendido]],Agregado[ID],Agregado[Revenda])</f>
        <v>192</v>
      </c>
      <c r="I3450" s="3">
        <f>Vendas[[#This Row],[Valor Unitário]]*Vendas[[#This Row],[Qnt Vendida]]</f>
        <v>1536</v>
      </c>
      <c r="J3450" s="3">
        <f>Vendas[[#This Row],[Valor da Venda]]-(_xlfn.XLOOKUP(Vendas[[#This Row],[ID Item Vendido]],Agregado[ID],Agregado[Custo])*Vendas[[#This Row],[Qnt Vendida]])</f>
        <v>336</v>
      </c>
      <c r="K3450" s="70">
        <f>Vendas[[#This Row],[Lucro da Venda]]/Vendas[[#This Row],[Valor da Venda]]</f>
        <v>0.21875</v>
      </c>
      <c r="L3450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3450"/>
    </row>
    <row r="3451" spans="1:13" x14ac:dyDescent="0.3">
      <c r="A3451" s="7">
        <v>400249</v>
      </c>
      <c r="B3451" t="str">
        <f>_xlfn.XLOOKUP(Vendas[[#This Row],[ID Vendedor]],Vendedores[ID],Vendedores[Nome])</f>
        <v>Bruno</v>
      </c>
      <c r="C3451" s="7" t="str">
        <f>_xlfn.XLOOKUP(Vendas[[#This Row],[ID Vendedor]],Vendedores[ID],Vendedores[Setor])</f>
        <v>CM</v>
      </c>
      <c r="D3451" s="7" t="s">
        <v>43</v>
      </c>
      <c r="E3451" t="str">
        <f>_xlfn.XLOOKUP(Vendas[[#This Row],[ID Item Vendido]],Agregado[ID],Agregado[Produto])</f>
        <v>Madeira Bruta (Tora)</v>
      </c>
      <c r="F3451" s="39">
        <v>45414</v>
      </c>
      <c r="G3451" s="7">
        <v>7</v>
      </c>
      <c r="H3451" s="3">
        <f>_xlfn.XLOOKUP(Vendas[[#This Row],[ID Item Vendido]],Agregado[ID],Agregado[Revenda])</f>
        <v>212</v>
      </c>
      <c r="I3451" s="3">
        <f>Vendas[[#This Row],[Valor Unitário]]*Vendas[[#This Row],[Qnt Vendida]]</f>
        <v>1484</v>
      </c>
      <c r="J3451" s="3">
        <f>Vendas[[#This Row],[Valor da Venda]]-(_xlfn.XLOOKUP(Vendas[[#This Row],[ID Item Vendido]],Agregado[ID],Agregado[Custo])*Vendas[[#This Row],[Qnt Vendida]])</f>
        <v>224</v>
      </c>
      <c r="K3451" s="70">
        <f>Vendas[[#This Row],[Lucro da Venda]]/Vendas[[#This Row],[Valor da Venda]]</f>
        <v>0.15094339622641509</v>
      </c>
      <c r="L3451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451"/>
    </row>
    <row r="3452" spans="1:13" x14ac:dyDescent="0.3">
      <c r="A3452" s="7">
        <v>400254</v>
      </c>
      <c r="B3452" t="str">
        <f>_xlfn.XLOOKUP(Vendas[[#This Row],[ID Vendedor]],Vendedores[ID],Vendedores[Nome])</f>
        <v>Beatriz</v>
      </c>
      <c r="C3452" s="7" t="str">
        <f>_xlfn.XLOOKUP(Vendas[[#This Row],[ID Vendedor]],Vendedores[ID],Vendedores[Setor])</f>
        <v>SC</v>
      </c>
      <c r="D3452" s="7" t="s">
        <v>42</v>
      </c>
      <c r="E3452" t="str">
        <f>_xlfn.XLOOKUP(Vendas[[#This Row],[ID Item Vendido]],Agregado[ID],Agregado[Produto])</f>
        <v>Container de ferro industrial</v>
      </c>
      <c r="F3452" s="39">
        <v>45414</v>
      </c>
      <c r="G3452" s="7">
        <v>1</v>
      </c>
      <c r="H3452" s="3">
        <f>_xlfn.XLOOKUP(Vendas[[#This Row],[ID Item Vendido]],Agregado[ID],Agregado[Revenda])</f>
        <v>830</v>
      </c>
      <c r="I3452" s="3">
        <f>Vendas[[#This Row],[Valor Unitário]]*Vendas[[#This Row],[Qnt Vendida]]</f>
        <v>830</v>
      </c>
      <c r="J3452" s="3">
        <f>Vendas[[#This Row],[Valor da Venda]]-(_xlfn.XLOOKUP(Vendas[[#This Row],[ID Item Vendido]],Agregado[ID],Agregado[Custo])*Vendas[[#This Row],[Qnt Vendida]])</f>
        <v>150</v>
      </c>
      <c r="K3452" s="70">
        <f>Vendas[[#This Row],[Lucro da Venda]]/Vendas[[#This Row],[Valor da Venda]]</f>
        <v>0.18072289156626506</v>
      </c>
      <c r="L345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452"/>
    </row>
    <row r="3453" spans="1:13" x14ac:dyDescent="0.3">
      <c r="A3453" s="7">
        <v>400246</v>
      </c>
      <c r="B3453" t="str">
        <f>_xlfn.XLOOKUP(Vendas[[#This Row],[ID Vendedor]],Vendedores[ID],Vendedores[Nome])</f>
        <v>Juliana</v>
      </c>
      <c r="C3453" s="7" t="str">
        <f>_xlfn.XLOOKUP(Vendas[[#This Row],[ID Vendedor]],Vendedores[ID],Vendedores[Setor])</f>
        <v>AHD</v>
      </c>
      <c r="D3453" s="7" t="s">
        <v>18</v>
      </c>
      <c r="E3453" t="str">
        <f>_xlfn.XLOOKUP(Vendas[[#This Row],[ID Item Vendido]],Agregado[ID],Agregado[Produto])</f>
        <v>Peça forjada sob encomenda</v>
      </c>
      <c r="F3453" s="39">
        <v>45415</v>
      </c>
      <c r="G3453" s="7">
        <v>3</v>
      </c>
      <c r="H3453" s="3">
        <f>_xlfn.XLOOKUP(Vendas[[#This Row],[ID Item Vendido]],Agregado[ID],Agregado[Revenda])</f>
        <v>264.60000000000002</v>
      </c>
      <c r="I3453" s="3">
        <f>Vendas[[#This Row],[Valor Unitário]]*Vendas[[#This Row],[Qnt Vendida]]</f>
        <v>793.80000000000007</v>
      </c>
      <c r="J3453" s="3">
        <f>Vendas[[#This Row],[Valor da Venda]]-(_xlfn.XLOOKUP(Vendas[[#This Row],[ID Item Vendido]],Agregado[ID],Agregado[Custo])*Vendas[[#This Row],[Qnt Vendida]])</f>
        <v>43.800000000000068</v>
      </c>
      <c r="K3453" s="70">
        <f>Vendas[[#This Row],[Lucro da Venda]]/Vendas[[#This Row],[Valor da Venda]]</f>
        <v>5.5177626606198113E-2</v>
      </c>
      <c r="L3453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3453"/>
    </row>
    <row r="3454" spans="1:13" x14ac:dyDescent="0.3">
      <c r="A3454" s="7">
        <v>400252</v>
      </c>
      <c r="B3454" t="str">
        <f>_xlfn.XLOOKUP(Vendas[[#This Row],[ID Vendedor]],Vendedores[ID],Vendedores[Nome])</f>
        <v>Renata</v>
      </c>
      <c r="C3454" s="7" t="str">
        <f>_xlfn.XLOOKUP(Vendas[[#This Row],[ID Vendedor]],Vendedores[ID],Vendedores[Setor])</f>
        <v>AB</v>
      </c>
      <c r="D3454" s="7" t="s">
        <v>24</v>
      </c>
      <c r="E3454" t="str">
        <f>_xlfn.XLOOKUP(Vendas[[#This Row],[ID Item Vendido]],Agregado[ID],Agregado[Produto])</f>
        <v>Resina plástica PET purificada saco de 25kg</v>
      </c>
      <c r="F3454" s="39">
        <v>45415</v>
      </c>
      <c r="G3454" s="7">
        <v>7</v>
      </c>
      <c r="H3454" s="3">
        <f>_xlfn.XLOOKUP(Vendas[[#This Row],[ID Item Vendido]],Agregado[ID],Agregado[Revenda])</f>
        <v>119</v>
      </c>
      <c r="I3454" s="3">
        <f>Vendas[[#This Row],[Valor Unitário]]*Vendas[[#This Row],[Qnt Vendida]]</f>
        <v>833</v>
      </c>
      <c r="J3454" s="3">
        <f>Vendas[[#This Row],[Valor da Venda]]-(_xlfn.XLOOKUP(Vendas[[#This Row],[ID Item Vendido]],Agregado[ID],Agregado[Custo])*Vendas[[#This Row],[Qnt Vendida]])</f>
        <v>238</v>
      </c>
      <c r="K3454" s="70">
        <f>Vendas[[#This Row],[Lucro da Venda]]/Vendas[[#This Row],[Valor da Venda]]</f>
        <v>0.2857142857142857</v>
      </c>
      <c r="L3454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3454"/>
    </row>
    <row r="3455" spans="1:13" x14ac:dyDescent="0.3">
      <c r="A3455" s="7">
        <v>400241</v>
      </c>
      <c r="B3455" t="str">
        <f>_xlfn.XLOOKUP(Vendas[[#This Row],[ID Vendedor]],Vendedores[ID],Vendedores[Nome])</f>
        <v>Rodrigo</v>
      </c>
      <c r="C3455" s="7" t="str">
        <f>_xlfn.XLOOKUP(Vendas[[#This Row],[ID Vendedor]],Vendedores[ID],Vendedores[Setor])</f>
        <v>FM</v>
      </c>
      <c r="D3455" s="7" t="s">
        <v>47</v>
      </c>
      <c r="E3455" t="str">
        <f>_xlfn.XLOOKUP(Vendas[[#This Row],[ID Item Vendido]],Agregado[ID],Agregado[Produto])</f>
        <v>Fio de arame galvanizado rolo 50m</v>
      </c>
      <c r="F3455" s="39">
        <v>45415</v>
      </c>
      <c r="G3455" s="7">
        <v>26</v>
      </c>
      <c r="H3455" s="3">
        <f>_xlfn.XLOOKUP(Vendas[[#This Row],[ID Item Vendido]],Agregado[ID],Agregado[Revenda])</f>
        <v>21.2</v>
      </c>
      <c r="I3455" s="3">
        <f>Vendas[[#This Row],[Valor Unitário]]*Vendas[[#This Row],[Qnt Vendida]]</f>
        <v>551.19999999999993</v>
      </c>
      <c r="J3455" s="3">
        <f>Vendas[[#This Row],[Valor da Venda]]-(_xlfn.XLOOKUP(Vendas[[#This Row],[ID Item Vendido]],Agregado[ID],Agregado[Custo])*Vendas[[#This Row],[Qnt Vendida]])</f>
        <v>83.199999999999932</v>
      </c>
      <c r="K3455" s="70">
        <f>Vendas[[#This Row],[Lucro da Venda]]/Vendas[[#This Row],[Valor da Venda]]</f>
        <v>0.15094339622641498</v>
      </c>
      <c r="L3455" s="3">
        <f>_xlfn.IFS(Vendas[[#This Row],[Margem de Lucro (%)]]&lt;15%,Vendas[[#This Row],[Valor da Venda]]*3%,Vendas[[#This Row],[Margem de Lucro (%)]]&lt;=20%,Vendas[[#This Row],[Valor da Venda]]*4.5%,TRUE,Vendas[[#This Row],[Valor da Venda]]*6%)</f>
        <v>24.803999999999995</v>
      </c>
      <c r="M3455"/>
    </row>
    <row r="3456" spans="1:13" x14ac:dyDescent="0.3">
      <c r="A3456" s="7">
        <v>400244</v>
      </c>
      <c r="B3456" t="str">
        <f>_xlfn.XLOOKUP(Vendas[[#This Row],[ID Vendedor]],Vendedores[ID],Vendedores[Nome])</f>
        <v>Camila</v>
      </c>
      <c r="C3456" s="7" t="str">
        <f>_xlfn.XLOOKUP(Vendas[[#This Row],[ID Vendedor]],Vendedores[ID],Vendedores[Setor])</f>
        <v>AHD</v>
      </c>
      <c r="D3456" s="7" t="s">
        <v>30</v>
      </c>
      <c r="E3456" t="str">
        <f>_xlfn.XLOOKUP(Vendas[[#This Row],[ID Item Vendido]],Agregado[ID],Agregado[Produto])</f>
        <v>Estrutura metálica soldada</v>
      </c>
      <c r="F3456" s="39">
        <v>45415</v>
      </c>
      <c r="G3456" s="7">
        <v>1</v>
      </c>
      <c r="H3456" s="3">
        <f>_xlfn.XLOOKUP(Vendas[[#This Row],[ID Item Vendido]],Agregado[ID],Agregado[Revenda])</f>
        <v>400</v>
      </c>
      <c r="I3456" s="3">
        <f>Vendas[[#This Row],[Valor Unitário]]*Vendas[[#This Row],[Qnt Vendida]]</f>
        <v>400</v>
      </c>
      <c r="J3456" s="3">
        <f>Vendas[[#This Row],[Valor da Venda]]-(_xlfn.XLOOKUP(Vendas[[#This Row],[ID Item Vendido]],Agregado[ID],Agregado[Custo])*Vendas[[#This Row],[Qnt Vendida]])</f>
        <v>80</v>
      </c>
      <c r="K3456" s="70">
        <f>Vendas[[#This Row],[Lucro da Venda]]/Vendas[[#This Row],[Valor da Venda]]</f>
        <v>0.2</v>
      </c>
      <c r="L3456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456"/>
    </row>
    <row r="3457" spans="1:13" x14ac:dyDescent="0.3">
      <c r="A3457" s="7">
        <v>400241</v>
      </c>
      <c r="B3457" t="str">
        <f>_xlfn.XLOOKUP(Vendas[[#This Row],[ID Vendedor]],Vendedores[ID],Vendedores[Nome])</f>
        <v>Rodrigo</v>
      </c>
      <c r="C3457" s="7" t="str">
        <f>_xlfn.XLOOKUP(Vendas[[#This Row],[ID Vendedor]],Vendedores[ID],Vendedores[Setor])</f>
        <v>FM</v>
      </c>
      <c r="D3457" s="7" t="s">
        <v>27</v>
      </c>
      <c r="E3457" t="str">
        <f>_xlfn.XLOOKUP(Vendas[[#This Row],[ID Item Vendido]],Agregado[ID],Agregado[Produto])</f>
        <v>Chapa de metal lisa 1x2m</v>
      </c>
      <c r="F3457" s="39">
        <v>45415</v>
      </c>
      <c r="G3457" s="7">
        <v>7</v>
      </c>
      <c r="H3457" s="3">
        <f>_xlfn.XLOOKUP(Vendas[[#This Row],[ID Item Vendido]],Agregado[ID],Agregado[Revenda])</f>
        <v>52</v>
      </c>
      <c r="I3457" s="3">
        <f>Vendas[[#This Row],[Valor Unitário]]*Vendas[[#This Row],[Qnt Vendida]]</f>
        <v>364</v>
      </c>
      <c r="J3457" s="3">
        <f>Vendas[[#This Row],[Valor da Venda]]-(_xlfn.XLOOKUP(Vendas[[#This Row],[ID Item Vendido]],Agregado[ID],Agregado[Custo])*Vendas[[#This Row],[Qnt Vendida]])</f>
        <v>49</v>
      </c>
      <c r="K3457" s="70">
        <f>Vendas[[#This Row],[Lucro da Venda]]/Vendas[[#This Row],[Valor da Venda]]</f>
        <v>0.13461538461538461</v>
      </c>
      <c r="L3457" s="3">
        <f>_xlfn.IFS(Vendas[[#This Row],[Margem de Lucro (%)]]&lt;15%,Vendas[[#This Row],[Valor da Venda]]*3%,Vendas[[#This Row],[Margem de Lucro (%)]]&lt;=20%,Vendas[[#This Row],[Valor da Venda]]*4.5%,TRUE,Vendas[[#This Row],[Valor da Venda]]*6%)</f>
        <v>10.92</v>
      </c>
      <c r="M3457"/>
    </row>
    <row r="3458" spans="1:13" x14ac:dyDescent="0.3">
      <c r="A3458" s="7">
        <v>400247</v>
      </c>
      <c r="B3458" t="str">
        <f>_xlfn.XLOOKUP(Vendas[[#This Row],[ID Vendedor]],Vendedores[ID],Vendedores[Nome])</f>
        <v>André</v>
      </c>
      <c r="C3458" s="7" t="str">
        <f>_xlfn.XLOOKUP(Vendas[[#This Row],[ID Vendedor]],Vendedores[ID],Vendedores[Setor])</f>
        <v>CM</v>
      </c>
      <c r="D3458" s="7" t="s">
        <v>43</v>
      </c>
      <c r="E3458" t="str">
        <f>_xlfn.XLOOKUP(Vendas[[#This Row],[ID Item Vendido]],Agregado[ID],Agregado[Produto])</f>
        <v>Madeira Bruta (Tora)</v>
      </c>
      <c r="F3458" s="39">
        <v>45416</v>
      </c>
      <c r="G3458" s="7">
        <v>7</v>
      </c>
      <c r="H3458" s="3">
        <f>_xlfn.XLOOKUP(Vendas[[#This Row],[ID Item Vendido]],Agregado[ID],Agregado[Revenda])</f>
        <v>212</v>
      </c>
      <c r="I3458" s="3">
        <f>Vendas[[#This Row],[Valor Unitário]]*Vendas[[#This Row],[Qnt Vendida]]</f>
        <v>1484</v>
      </c>
      <c r="J3458" s="3">
        <f>Vendas[[#This Row],[Valor da Venda]]-(_xlfn.XLOOKUP(Vendas[[#This Row],[ID Item Vendido]],Agregado[ID],Agregado[Custo])*Vendas[[#This Row],[Qnt Vendida]])</f>
        <v>224</v>
      </c>
      <c r="K3458" s="70">
        <f>Vendas[[#This Row],[Lucro da Venda]]/Vendas[[#This Row],[Valor da Venda]]</f>
        <v>0.15094339622641509</v>
      </c>
      <c r="L3458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458"/>
    </row>
    <row r="3459" spans="1:13" x14ac:dyDescent="0.3">
      <c r="A3459" s="7">
        <v>400254</v>
      </c>
      <c r="B3459" t="str">
        <f>_xlfn.XLOOKUP(Vendas[[#This Row],[ID Vendedor]],Vendedores[ID],Vendedores[Nome])</f>
        <v>Beatriz</v>
      </c>
      <c r="C3459" s="7" t="str">
        <f>_xlfn.XLOOKUP(Vendas[[#This Row],[ID Vendedor]],Vendedores[ID],Vendedores[Setor])</f>
        <v>SC</v>
      </c>
      <c r="D3459" s="7" t="s">
        <v>48</v>
      </c>
      <c r="E3459" t="str">
        <f>_xlfn.XLOOKUP(Vendas[[#This Row],[ID Item Vendido]],Agregado[ID],Agregado[Produto])</f>
        <v>Tambor metálico 200L</v>
      </c>
      <c r="F3459" s="39">
        <v>45416</v>
      </c>
      <c r="G3459" s="7">
        <v>6</v>
      </c>
      <c r="H3459" s="3">
        <f>_xlfn.XLOOKUP(Vendas[[#This Row],[ID Item Vendido]],Agregado[ID],Agregado[Revenda])</f>
        <v>144</v>
      </c>
      <c r="I3459" s="3">
        <f>Vendas[[#This Row],[Valor Unitário]]*Vendas[[#This Row],[Qnt Vendida]]</f>
        <v>864</v>
      </c>
      <c r="J3459" s="3">
        <f>Vendas[[#This Row],[Valor da Venda]]-(_xlfn.XLOOKUP(Vendas[[#This Row],[ID Item Vendido]],Agregado[ID],Agregado[Custo])*Vendas[[#This Row],[Qnt Vendida]])</f>
        <v>144</v>
      </c>
      <c r="K3459" s="70">
        <f>Vendas[[#This Row],[Lucro da Venda]]/Vendas[[#This Row],[Valor da Venda]]</f>
        <v>0.16666666666666666</v>
      </c>
      <c r="L3459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3459"/>
    </row>
    <row r="3460" spans="1:13" x14ac:dyDescent="0.3">
      <c r="A3460" s="7">
        <v>400244</v>
      </c>
      <c r="B3460" t="str">
        <f>_xlfn.XLOOKUP(Vendas[[#This Row],[ID Vendedor]],Vendedores[ID],Vendedores[Nome])</f>
        <v>Camila</v>
      </c>
      <c r="C3460" s="7" t="str">
        <f>_xlfn.XLOOKUP(Vendas[[#This Row],[ID Vendedor]],Vendedores[ID],Vendedores[Setor])</f>
        <v>AHD</v>
      </c>
      <c r="D3460" s="7" t="s">
        <v>44</v>
      </c>
      <c r="E3460" t="str">
        <f>_xlfn.XLOOKUP(Vendas[[#This Row],[ID Item Vendido]],Agregado[ID],Agregado[Produto])</f>
        <v>Liga metálica especial</v>
      </c>
      <c r="F3460" s="39">
        <v>45416</v>
      </c>
      <c r="G3460" s="7">
        <v>18</v>
      </c>
      <c r="H3460" s="3">
        <f>_xlfn.XLOOKUP(Vendas[[#This Row],[ID Item Vendido]],Agregado[ID],Agregado[Revenda])</f>
        <v>32.5</v>
      </c>
      <c r="I3460" s="3">
        <f>Vendas[[#This Row],[Valor Unitário]]*Vendas[[#This Row],[Qnt Vendida]]</f>
        <v>585</v>
      </c>
      <c r="J3460" s="3">
        <f>Vendas[[#This Row],[Valor da Venda]]-(_xlfn.XLOOKUP(Vendas[[#This Row],[ID Item Vendido]],Agregado[ID],Agregado[Custo])*Vendas[[#This Row],[Qnt Vendida]])</f>
        <v>135</v>
      </c>
      <c r="K3460" s="70">
        <f>Vendas[[#This Row],[Lucro da Venda]]/Vendas[[#This Row],[Valor da Venda]]</f>
        <v>0.23076923076923078</v>
      </c>
      <c r="L3460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3460"/>
    </row>
    <row r="3461" spans="1:13" x14ac:dyDescent="0.3">
      <c r="A3461" s="7">
        <v>400242</v>
      </c>
      <c r="B3461" t="str">
        <f>_xlfn.XLOOKUP(Vendas[[#This Row],[ID Vendedor]],Vendedores[ID],Vendedores[Nome])</f>
        <v>Fernanda</v>
      </c>
      <c r="C3461" s="7" t="str">
        <f>_xlfn.XLOOKUP(Vendas[[#This Row],[ID Vendedor]],Vendedores[ID],Vendedores[Setor])</f>
        <v>FM</v>
      </c>
      <c r="D3461" s="7" t="s">
        <v>31</v>
      </c>
      <c r="E3461" t="str">
        <f>_xlfn.XLOOKUP(Vendas[[#This Row],[ID Item Vendido]],Agregado[ID],Agregado[Produto])</f>
        <v>Tela de metal soldada rolo 2x25m</v>
      </c>
      <c r="F3461" s="39">
        <v>45416</v>
      </c>
      <c r="G3461" s="7">
        <v>13</v>
      </c>
      <c r="H3461" s="3">
        <f>_xlfn.XLOOKUP(Vendas[[#This Row],[ID Item Vendido]],Agregado[ID],Agregado[Revenda])</f>
        <v>43.7</v>
      </c>
      <c r="I3461" s="3">
        <f>Vendas[[#This Row],[Valor Unitário]]*Vendas[[#This Row],[Qnt Vendida]]</f>
        <v>568.1</v>
      </c>
      <c r="J3461" s="3">
        <f>Vendas[[#This Row],[Valor da Venda]]-(_xlfn.XLOOKUP(Vendas[[#This Row],[ID Item Vendido]],Agregado[ID],Agregado[Custo])*Vendas[[#This Row],[Qnt Vendida]])</f>
        <v>74.100000000000023</v>
      </c>
      <c r="K3461" s="70">
        <f>Vendas[[#This Row],[Lucro da Venda]]/Vendas[[#This Row],[Valor da Venda]]</f>
        <v>0.13043478260869568</v>
      </c>
      <c r="L3461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3461"/>
    </row>
    <row r="3462" spans="1:13" x14ac:dyDescent="0.3">
      <c r="A3462" s="7">
        <v>400248</v>
      </c>
      <c r="B3462" t="str">
        <f>_xlfn.XLOOKUP(Vendas[[#This Row],[ID Vendedor]],Vendedores[ID],Vendedores[Nome])</f>
        <v>Patrícia</v>
      </c>
      <c r="C3462" s="7" t="str">
        <f>_xlfn.XLOOKUP(Vendas[[#This Row],[ID Vendedor]],Vendedores[ID],Vendedores[Setor])</f>
        <v>CM</v>
      </c>
      <c r="D3462" s="7" t="s">
        <v>45</v>
      </c>
      <c r="E3462" t="str">
        <f>_xlfn.XLOOKUP(Vendas[[#This Row],[ID Item Vendido]],Agregado[ID],Agregado[Produto])</f>
        <v>Viga de madeira tratada 4m</v>
      </c>
      <c r="F3462" s="39">
        <v>45417</v>
      </c>
      <c r="G3462" s="7">
        <v>13</v>
      </c>
      <c r="H3462" s="3">
        <f>_xlfn.XLOOKUP(Vendas[[#This Row],[ID Item Vendido]],Agregado[ID],Agregado[Revenda])</f>
        <v>66</v>
      </c>
      <c r="I3462" s="3">
        <f>Vendas[[#This Row],[Valor Unitário]]*Vendas[[#This Row],[Qnt Vendida]]</f>
        <v>858</v>
      </c>
      <c r="J3462" s="3">
        <f>Vendas[[#This Row],[Valor da Venda]]-(_xlfn.XLOOKUP(Vendas[[#This Row],[ID Item Vendido]],Agregado[ID],Agregado[Custo])*Vendas[[#This Row],[Qnt Vendida]])</f>
        <v>143</v>
      </c>
      <c r="K3462" s="70">
        <f>Vendas[[#This Row],[Lucro da Venda]]/Vendas[[#This Row],[Valor da Venda]]</f>
        <v>0.16666666666666666</v>
      </c>
      <c r="L3462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3462"/>
    </row>
    <row r="3463" spans="1:13" x14ac:dyDescent="0.3">
      <c r="A3463" s="7">
        <v>400252</v>
      </c>
      <c r="B3463" t="str">
        <f>_xlfn.XLOOKUP(Vendas[[#This Row],[ID Vendedor]],Vendedores[ID],Vendedores[Nome])</f>
        <v>Renata</v>
      </c>
      <c r="C3463" s="7" t="str">
        <f>_xlfn.XLOOKUP(Vendas[[#This Row],[ID Vendedor]],Vendedores[ID],Vendedores[Setor])</f>
        <v>AB</v>
      </c>
      <c r="D3463" s="7" t="s">
        <v>37</v>
      </c>
      <c r="E3463" t="str">
        <f>_xlfn.XLOOKUP(Vendas[[#This Row],[ID Item Vendido]],Agregado[ID],Agregado[Produto])</f>
        <v>Composto de borracha para vedação rolo 10m</v>
      </c>
      <c r="F3463" s="39">
        <v>45417</v>
      </c>
      <c r="G3463" s="7">
        <v>4</v>
      </c>
      <c r="H3463" s="3">
        <f>_xlfn.XLOOKUP(Vendas[[#This Row],[ID Item Vendido]],Agregado[ID],Agregado[Revenda])</f>
        <v>51.2</v>
      </c>
      <c r="I3463" s="3">
        <f>Vendas[[#This Row],[Valor Unitário]]*Vendas[[#This Row],[Qnt Vendida]]</f>
        <v>204.8</v>
      </c>
      <c r="J3463" s="3">
        <f>Vendas[[#This Row],[Valor da Venda]]-(_xlfn.XLOOKUP(Vendas[[#This Row],[ID Item Vendido]],Agregado[ID],Agregado[Custo])*Vendas[[#This Row],[Qnt Vendida]])</f>
        <v>44.800000000000011</v>
      </c>
      <c r="K3463" s="70">
        <f>Vendas[[#This Row],[Lucro da Venda]]/Vendas[[#This Row],[Valor da Venda]]</f>
        <v>0.21875000000000006</v>
      </c>
      <c r="L3463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3463"/>
    </row>
    <row r="3464" spans="1:13" x14ac:dyDescent="0.3">
      <c r="A3464" s="7">
        <v>400253</v>
      </c>
      <c r="B3464" t="str">
        <f>_xlfn.XLOOKUP(Vendas[[#This Row],[ID Vendedor]],Vendedores[ID],Vendedores[Nome])</f>
        <v>Gustavo</v>
      </c>
      <c r="C3464" s="7" t="str">
        <f>_xlfn.XLOOKUP(Vendas[[#This Row],[ID Vendedor]],Vendedores[ID],Vendedores[Setor])</f>
        <v>SC</v>
      </c>
      <c r="D3464" s="7" t="s">
        <v>14</v>
      </c>
      <c r="E3464" t="str">
        <f>_xlfn.XLOOKUP(Vendas[[#This Row],[ID Item Vendido]],Agregado[ID],Agregado[Produto])</f>
        <v>Barril de plástico 200L</v>
      </c>
      <c r="F3464" s="39">
        <v>45418</v>
      </c>
      <c r="G3464" s="7">
        <v>13</v>
      </c>
      <c r="H3464" s="3">
        <f>_xlfn.XLOOKUP(Vendas[[#This Row],[ID Item Vendido]],Agregado[ID],Agregado[Revenda])</f>
        <v>114</v>
      </c>
      <c r="I3464" s="3">
        <f>Vendas[[#This Row],[Valor Unitário]]*Vendas[[#This Row],[Qnt Vendida]]</f>
        <v>1482</v>
      </c>
      <c r="J3464" s="3">
        <f>Vendas[[#This Row],[Valor da Venda]]-(_xlfn.XLOOKUP(Vendas[[#This Row],[ID Item Vendido]],Agregado[ID],Agregado[Custo])*Vendas[[#This Row],[Qnt Vendida]])</f>
        <v>247</v>
      </c>
      <c r="K3464" s="70">
        <f>Vendas[[#This Row],[Lucro da Venda]]/Vendas[[#This Row],[Valor da Venda]]</f>
        <v>0.16666666666666666</v>
      </c>
      <c r="L3464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3464"/>
    </row>
    <row r="3465" spans="1:13" x14ac:dyDescent="0.3">
      <c r="A3465" s="7">
        <v>400251</v>
      </c>
      <c r="B3465" t="str">
        <f>_xlfn.XLOOKUP(Vendas[[#This Row],[ID Vendedor]],Vendedores[ID],Vendedores[Nome])</f>
        <v>Diego</v>
      </c>
      <c r="C3465" s="7" t="str">
        <f>_xlfn.XLOOKUP(Vendas[[#This Row],[ID Vendedor]],Vendedores[ID],Vendedores[Setor])</f>
        <v>AB</v>
      </c>
      <c r="D3465" s="7" t="s">
        <v>39</v>
      </c>
      <c r="E3465" t="str">
        <f>_xlfn.XLOOKUP(Vendas[[#This Row],[ID Item Vendido]],Agregado[ID],Agregado[Produto])</f>
        <v>Filme plástico industrial rolo 50m</v>
      </c>
      <c r="F3465" s="39">
        <v>45418</v>
      </c>
      <c r="G3465" s="7">
        <v>26</v>
      </c>
      <c r="H3465" s="3">
        <f>_xlfn.XLOOKUP(Vendas[[#This Row],[ID Item Vendido]],Agregado[ID],Agregado[Revenda])</f>
        <v>37</v>
      </c>
      <c r="I3465" s="3">
        <f>Vendas[[#This Row],[Valor Unitário]]*Vendas[[#This Row],[Qnt Vendida]]</f>
        <v>962</v>
      </c>
      <c r="J3465" s="3">
        <f>Vendas[[#This Row],[Valor da Venda]]-(_xlfn.XLOOKUP(Vendas[[#This Row],[ID Item Vendido]],Agregado[ID],Agregado[Custo])*Vendas[[#This Row],[Qnt Vendida]])</f>
        <v>234</v>
      </c>
      <c r="K3465" s="70">
        <f>Vendas[[#This Row],[Lucro da Venda]]/Vendas[[#This Row],[Valor da Venda]]</f>
        <v>0.24324324324324326</v>
      </c>
      <c r="L3465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465"/>
    </row>
    <row r="3466" spans="1:13" x14ac:dyDescent="0.3">
      <c r="A3466" s="7">
        <v>400252</v>
      </c>
      <c r="B3466" t="str">
        <f>_xlfn.XLOOKUP(Vendas[[#This Row],[ID Vendedor]],Vendedores[ID],Vendedores[Nome])</f>
        <v>Renata</v>
      </c>
      <c r="C3466" s="7" t="str">
        <f>_xlfn.XLOOKUP(Vendas[[#This Row],[ID Vendedor]],Vendedores[ID],Vendedores[Setor])</f>
        <v>AB</v>
      </c>
      <c r="D3466" s="7" t="s">
        <v>37</v>
      </c>
      <c r="E3466" t="str">
        <f>_xlfn.XLOOKUP(Vendas[[#This Row],[ID Item Vendido]],Agregado[ID],Agregado[Produto])</f>
        <v>Composto de borracha para vedação rolo 10m</v>
      </c>
      <c r="F3466" s="39">
        <v>45418</v>
      </c>
      <c r="G3466" s="7">
        <v>17</v>
      </c>
      <c r="H3466" s="3">
        <f>_xlfn.XLOOKUP(Vendas[[#This Row],[ID Item Vendido]],Agregado[ID],Agregado[Revenda])</f>
        <v>51.2</v>
      </c>
      <c r="I3466" s="3">
        <f>Vendas[[#This Row],[Valor Unitário]]*Vendas[[#This Row],[Qnt Vendida]]</f>
        <v>870.40000000000009</v>
      </c>
      <c r="J3466" s="3">
        <f>Vendas[[#This Row],[Valor da Venda]]-(_xlfn.XLOOKUP(Vendas[[#This Row],[ID Item Vendido]],Agregado[ID],Agregado[Custo])*Vendas[[#This Row],[Qnt Vendida]])</f>
        <v>190.40000000000009</v>
      </c>
      <c r="K3466" s="70">
        <f>Vendas[[#This Row],[Lucro da Venda]]/Vendas[[#This Row],[Valor da Venda]]</f>
        <v>0.21875000000000008</v>
      </c>
      <c r="L3466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466"/>
    </row>
    <row r="3467" spans="1:13" x14ac:dyDescent="0.3">
      <c r="A3467" s="7">
        <v>400251</v>
      </c>
      <c r="B3467" t="str">
        <f>_xlfn.XLOOKUP(Vendas[[#This Row],[ID Vendedor]],Vendedores[ID],Vendedores[Nome])</f>
        <v>Diego</v>
      </c>
      <c r="C3467" s="7" t="str">
        <f>_xlfn.XLOOKUP(Vendas[[#This Row],[ID Vendedor]],Vendedores[ID],Vendedores[Setor])</f>
        <v>AB</v>
      </c>
      <c r="D3467" s="7" t="s">
        <v>36</v>
      </c>
      <c r="E3467" t="str">
        <f>_xlfn.XLOOKUP(Vendas[[#This Row],[ID Item Vendido]],Agregado[ID],Agregado[Produto])</f>
        <v>Borracha vulcanizada em manta</v>
      </c>
      <c r="F3467" s="39">
        <v>45418</v>
      </c>
      <c r="G3467" s="7">
        <v>84</v>
      </c>
      <c r="H3467" s="3">
        <f>_xlfn.XLOOKUP(Vendas[[#This Row],[ID Item Vendido]],Agregado[ID],Agregado[Revenda])</f>
        <v>7.8</v>
      </c>
      <c r="I3467" s="3">
        <f>Vendas[[#This Row],[Valor Unitário]]*Vendas[[#This Row],[Qnt Vendida]]</f>
        <v>655.19999999999993</v>
      </c>
      <c r="J3467" s="3">
        <f>Vendas[[#This Row],[Valor da Venda]]-(_xlfn.XLOOKUP(Vendas[[#This Row],[ID Item Vendido]],Agregado[ID],Agregado[Custo])*Vendas[[#This Row],[Qnt Vendida]])</f>
        <v>151.19999999999993</v>
      </c>
      <c r="K3467" s="70">
        <f>Vendas[[#This Row],[Lucro da Venda]]/Vendas[[#This Row],[Valor da Venda]]</f>
        <v>0.2307692307692307</v>
      </c>
      <c r="L3467" s="3">
        <f>_xlfn.IFS(Vendas[[#This Row],[Margem de Lucro (%)]]&lt;15%,Vendas[[#This Row],[Valor da Venda]]*3%,Vendas[[#This Row],[Margem de Lucro (%)]]&lt;=20%,Vendas[[#This Row],[Valor da Venda]]*4.5%,TRUE,Vendas[[#This Row],[Valor da Venda]]*6%)</f>
        <v>39.311999999999998</v>
      </c>
      <c r="M3467"/>
    </row>
    <row r="3468" spans="1:13" x14ac:dyDescent="0.3">
      <c r="A3468" s="7">
        <v>400242</v>
      </c>
      <c r="B3468" t="str">
        <f>_xlfn.XLOOKUP(Vendas[[#This Row],[ID Vendedor]],Vendedores[ID],Vendedores[Nome])</f>
        <v>Fernanda</v>
      </c>
      <c r="C3468" s="7" t="str">
        <f>_xlfn.XLOOKUP(Vendas[[#This Row],[ID Vendedor]],Vendedores[ID],Vendedores[Setor])</f>
        <v>FM</v>
      </c>
      <c r="D3468" s="7" t="s">
        <v>27</v>
      </c>
      <c r="E3468" t="str">
        <f>_xlfn.XLOOKUP(Vendas[[#This Row],[ID Item Vendido]],Agregado[ID],Agregado[Produto])</f>
        <v>Chapa de metal lisa 1x2m</v>
      </c>
      <c r="F3468" s="39">
        <v>45418</v>
      </c>
      <c r="G3468" s="7">
        <v>6</v>
      </c>
      <c r="H3468" s="3">
        <f>_xlfn.XLOOKUP(Vendas[[#This Row],[ID Item Vendido]],Agregado[ID],Agregado[Revenda])</f>
        <v>52</v>
      </c>
      <c r="I3468" s="3">
        <f>Vendas[[#This Row],[Valor Unitário]]*Vendas[[#This Row],[Qnt Vendida]]</f>
        <v>312</v>
      </c>
      <c r="J3468" s="3">
        <f>Vendas[[#This Row],[Valor da Venda]]-(_xlfn.XLOOKUP(Vendas[[#This Row],[ID Item Vendido]],Agregado[ID],Agregado[Custo])*Vendas[[#This Row],[Qnt Vendida]])</f>
        <v>42</v>
      </c>
      <c r="K3468" s="70">
        <f>Vendas[[#This Row],[Lucro da Venda]]/Vendas[[#This Row],[Valor da Venda]]</f>
        <v>0.13461538461538461</v>
      </c>
      <c r="L346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3468"/>
    </row>
    <row r="3469" spans="1:13" x14ac:dyDescent="0.3">
      <c r="A3469" s="7">
        <v>400246</v>
      </c>
      <c r="B3469" t="str">
        <f>_xlfn.XLOOKUP(Vendas[[#This Row],[ID Vendedor]],Vendedores[ID],Vendedores[Nome])</f>
        <v>Juliana</v>
      </c>
      <c r="C3469" s="7" t="str">
        <f>_xlfn.XLOOKUP(Vendas[[#This Row],[ID Vendedor]],Vendedores[ID],Vendedores[Setor])</f>
        <v>AHD</v>
      </c>
      <c r="D3469" s="7" t="s">
        <v>28</v>
      </c>
      <c r="E3469" t="str">
        <f>_xlfn.XLOOKUP(Vendas[[#This Row],[ID Item Vendido]],Agregado[ID],Agregado[Produto])</f>
        <v>Peça usinada CNC</v>
      </c>
      <c r="F3469" s="39">
        <v>45419</v>
      </c>
      <c r="G3469" s="7">
        <v>13</v>
      </c>
      <c r="H3469" s="3">
        <f>_xlfn.XLOOKUP(Vendas[[#This Row],[ID Item Vendido]],Agregado[ID],Agregado[Revenda])</f>
        <v>192</v>
      </c>
      <c r="I3469" s="3">
        <f>Vendas[[#This Row],[Valor Unitário]]*Vendas[[#This Row],[Qnt Vendida]]</f>
        <v>2496</v>
      </c>
      <c r="J3469" s="3">
        <f>Vendas[[#This Row],[Valor da Venda]]-(_xlfn.XLOOKUP(Vendas[[#This Row],[ID Item Vendido]],Agregado[ID],Agregado[Custo])*Vendas[[#This Row],[Qnt Vendida]])</f>
        <v>546</v>
      </c>
      <c r="K3469" s="70">
        <f>Vendas[[#This Row],[Lucro da Venda]]/Vendas[[#This Row],[Valor da Venda]]</f>
        <v>0.21875</v>
      </c>
      <c r="L3469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3469"/>
    </row>
    <row r="3470" spans="1:13" x14ac:dyDescent="0.3">
      <c r="A3470" s="7">
        <v>400250</v>
      </c>
      <c r="B3470" t="str">
        <f>_xlfn.XLOOKUP(Vendas[[#This Row],[ID Vendedor]],Vendedores[ID],Vendedores[Nome])</f>
        <v>Larissa</v>
      </c>
      <c r="C3470" s="7" t="str">
        <f>_xlfn.XLOOKUP(Vendas[[#This Row],[ID Vendedor]],Vendedores[ID],Vendedores[Setor])</f>
        <v>AB</v>
      </c>
      <c r="D3470" s="7" t="s">
        <v>39</v>
      </c>
      <c r="E3470" t="str">
        <f>_xlfn.XLOOKUP(Vendas[[#This Row],[ID Item Vendido]],Agregado[ID],Agregado[Produto])</f>
        <v>Filme plástico industrial rolo 50m</v>
      </c>
      <c r="F3470" s="39">
        <v>45419</v>
      </c>
      <c r="G3470" s="7">
        <v>23</v>
      </c>
      <c r="H3470" s="3">
        <f>_xlfn.XLOOKUP(Vendas[[#This Row],[ID Item Vendido]],Agregado[ID],Agregado[Revenda])</f>
        <v>37</v>
      </c>
      <c r="I3470" s="3">
        <f>Vendas[[#This Row],[Valor Unitário]]*Vendas[[#This Row],[Qnt Vendida]]</f>
        <v>851</v>
      </c>
      <c r="J3470" s="3">
        <f>Vendas[[#This Row],[Valor da Venda]]-(_xlfn.XLOOKUP(Vendas[[#This Row],[ID Item Vendido]],Agregado[ID],Agregado[Custo])*Vendas[[#This Row],[Qnt Vendida]])</f>
        <v>207</v>
      </c>
      <c r="K3470" s="70">
        <f>Vendas[[#This Row],[Lucro da Venda]]/Vendas[[#This Row],[Valor da Venda]]</f>
        <v>0.24324324324324326</v>
      </c>
      <c r="L3470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3470"/>
    </row>
    <row r="3471" spans="1:13" x14ac:dyDescent="0.3">
      <c r="A3471" s="7">
        <v>400252</v>
      </c>
      <c r="B3471" t="str">
        <f>_xlfn.XLOOKUP(Vendas[[#This Row],[ID Vendedor]],Vendedores[ID],Vendedores[Nome])</f>
        <v>Renata</v>
      </c>
      <c r="C3471" s="7" t="str">
        <f>_xlfn.XLOOKUP(Vendas[[#This Row],[ID Vendedor]],Vendedores[ID],Vendedores[Setor])</f>
        <v>AB</v>
      </c>
      <c r="D3471" s="7" t="s">
        <v>12</v>
      </c>
      <c r="E3471" t="str">
        <f>_xlfn.XLOOKUP(Vendas[[#This Row],[ID Item Vendido]],Agregado[ID],Agregado[Produto])</f>
        <v>Grânulo de plástico reciclado refinado</v>
      </c>
      <c r="F3471" s="39">
        <v>45419</v>
      </c>
      <c r="G3471" s="7">
        <v>139</v>
      </c>
      <c r="H3471" s="3">
        <f>_xlfn.XLOOKUP(Vendas[[#This Row],[ID Item Vendido]],Agregado[ID],Agregado[Revenda])</f>
        <v>4.7</v>
      </c>
      <c r="I3471" s="3">
        <f>Vendas[[#This Row],[Valor Unitário]]*Vendas[[#This Row],[Qnt Vendida]]</f>
        <v>653.30000000000007</v>
      </c>
      <c r="J3471" s="3">
        <f>Vendas[[#This Row],[Valor da Venda]]-(_xlfn.XLOOKUP(Vendas[[#This Row],[ID Item Vendido]],Agregado[ID],Agregado[Custo])*Vendas[[#This Row],[Qnt Vendida]])</f>
        <v>166.80000000000007</v>
      </c>
      <c r="K3471" s="70">
        <f>Vendas[[#This Row],[Lucro da Venda]]/Vendas[[#This Row],[Valor da Venda]]</f>
        <v>0.2553191489361703</v>
      </c>
      <c r="L3471" s="3">
        <f>_xlfn.IFS(Vendas[[#This Row],[Margem de Lucro (%)]]&lt;15%,Vendas[[#This Row],[Valor da Venda]]*3%,Vendas[[#This Row],[Margem de Lucro (%)]]&lt;=20%,Vendas[[#This Row],[Valor da Venda]]*4.5%,TRUE,Vendas[[#This Row],[Valor da Venda]]*6%)</f>
        <v>39.198</v>
      </c>
      <c r="M3471"/>
    </row>
    <row r="3472" spans="1:13" x14ac:dyDescent="0.3">
      <c r="A3472" s="7">
        <v>400250</v>
      </c>
      <c r="B3472" t="str">
        <f>_xlfn.XLOOKUP(Vendas[[#This Row],[ID Vendedor]],Vendedores[ID],Vendedores[Nome])</f>
        <v>Larissa</v>
      </c>
      <c r="C3472" s="7" t="str">
        <f>_xlfn.XLOOKUP(Vendas[[#This Row],[ID Vendedor]],Vendedores[ID],Vendedores[Setor])</f>
        <v>AB</v>
      </c>
      <c r="D3472" s="7" t="s">
        <v>12</v>
      </c>
      <c r="E3472" t="str">
        <f>_xlfn.XLOOKUP(Vendas[[#This Row],[ID Item Vendido]],Agregado[ID],Agregado[Produto])</f>
        <v>Grânulo de plástico reciclado refinado</v>
      </c>
      <c r="F3472" s="39">
        <v>45419</v>
      </c>
      <c r="G3472" s="7">
        <v>82</v>
      </c>
      <c r="H3472" s="3">
        <f>_xlfn.XLOOKUP(Vendas[[#This Row],[ID Item Vendido]],Agregado[ID],Agregado[Revenda])</f>
        <v>4.7</v>
      </c>
      <c r="I3472" s="3">
        <f>Vendas[[#This Row],[Valor Unitário]]*Vendas[[#This Row],[Qnt Vendida]]</f>
        <v>385.40000000000003</v>
      </c>
      <c r="J3472" s="3">
        <f>Vendas[[#This Row],[Valor da Venda]]-(_xlfn.XLOOKUP(Vendas[[#This Row],[ID Item Vendido]],Agregado[ID],Agregado[Custo])*Vendas[[#This Row],[Qnt Vendida]])</f>
        <v>98.400000000000034</v>
      </c>
      <c r="K3472" s="70">
        <f>Vendas[[#This Row],[Lucro da Venda]]/Vendas[[#This Row],[Valor da Venda]]</f>
        <v>0.2553191489361703</v>
      </c>
      <c r="L3472" s="3">
        <f>_xlfn.IFS(Vendas[[#This Row],[Margem de Lucro (%)]]&lt;15%,Vendas[[#This Row],[Valor da Venda]]*3%,Vendas[[#This Row],[Margem de Lucro (%)]]&lt;=20%,Vendas[[#This Row],[Valor da Venda]]*4.5%,TRUE,Vendas[[#This Row],[Valor da Venda]]*6%)</f>
        <v>23.124000000000002</v>
      </c>
      <c r="M3472"/>
    </row>
    <row r="3473" spans="1:13" x14ac:dyDescent="0.3">
      <c r="A3473" s="7">
        <v>400253</v>
      </c>
      <c r="B3473" t="str">
        <f>_xlfn.XLOOKUP(Vendas[[#This Row],[ID Vendedor]],Vendedores[ID],Vendedores[Nome])</f>
        <v>Gustavo</v>
      </c>
      <c r="C3473" s="7" t="str">
        <f>_xlfn.XLOOKUP(Vendas[[#This Row],[ID Vendedor]],Vendedores[ID],Vendedores[Setor])</f>
        <v>SC</v>
      </c>
      <c r="D3473" s="7" t="s">
        <v>48</v>
      </c>
      <c r="E3473" t="str">
        <f>_xlfn.XLOOKUP(Vendas[[#This Row],[ID Item Vendido]],Agregado[ID],Agregado[Produto])</f>
        <v>Tambor metálico 200L</v>
      </c>
      <c r="F3473" s="39">
        <v>45419</v>
      </c>
      <c r="G3473" s="7">
        <v>2</v>
      </c>
      <c r="H3473" s="3">
        <f>_xlfn.XLOOKUP(Vendas[[#This Row],[ID Item Vendido]],Agregado[ID],Agregado[Revenda])</f>
        <v>144</v>
      </c>
      <c r="I3473" s="3">
        <f>Vendas[[#This Row],[Valor Unitário]]*Vendas[[#This Row],[Qnt Vendida]]</f>
        <v>288</v>
      </c>
      <c r="J3473" s="3">
        <f>Vendas[[#This Row],[Valor da Venda]]-(_xlfn.XLOOKUP(Vendas[[#This Row],[ID Item Vendido]],Agregado[ID],Agregado[Custo])*Vendas[[#This Row],[Qnt Vendida]])</f>
        <v>48</v>
      </c>
      <c r="K3473" s="70">
        <f>Vendas[[#This Row],[Lucro da Venda]]/Vendas[[#This Row],[Valor da Venda]]</f>
        <v>0.16666666666666666</v>
      </c>
      <c r="L3473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3473"/>
    </row>
    <row r="3474" spans="1:13" x14ac:dyDescent="0.3">
      <c r="A3474" s="7">
        <v>400248</v>
      </c>
      <c r="B3474" t="str">
        <f>_xlfn.XLOOKUP(Vendas[[#This Row],[ID Vendedor]],Vendedores[ID],Vendedores[Nome])</f>
        <v>Patrícia</v>
      </c>
      <c r="C3474" s="7" t="str">
        <f>_xlfn.XLOOKUP(Vendas[[#This Row],[ID Vendedor]],Vendedores[ID],Vendedores[Setor])</f>
        <v>CM</v>
      </c>
      <c r="D3474" s="7" t="s">
        <v>45</v>
      </c>
      <c r="E3474" t="str">
        <f>_xlfn.XLOOKUP(Vendas[[#This Row],[ID Item Vendido]],Agregado[ID],Agregado[Produto])</f>
        <v>Viga de madeira tratada 4m</v>
      </c>
      <c r="F3474" s="39">
        <v>45420</v>
      </c>
      <c r="G3474" s="7">
        <v>17</v>
      </c>
      <c r="H3474" s="3">
        <f>_xlfn.XLOOKUP(Vendas[[#This Row],[ID Item Vendido]],Agregado[ID],Agregado[Revenda])</f>
        <v>66</v>
      </c>
      <c r="I3474" s="3">
        <f>Vendas[[#This Row],[Valor Unitário]]*Vendas[[#This Row],[Qnt Vendida]]</f>
        <v>1122</v>
      </c>
      <c r="J3474" s="3">
        <f>Vendas[[#This Row],[Valor da Venda]]-(_xlfn.XLOOKUP(Vendas[[#This Row],[ID Item Vendido]],Agregado[ID],Agregado[Custo])*Vendas[[#This Row],[Qnt Vendida]])</f>
        <v>187</v>
      </c>
      <c r="K3474" s="70">
        <f>Vendas[[#This Row],[Lucro da Venda]]/Vendas[[#This Row],[Valor da Venda]]</f>
        <v>0.16666666666666666</v>
      </c>
      <c r="L3474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3474"/>
    </row>
    <row r="3475" spans="1:13" x14ac:dyDescent="0.3">
      <c r="A3475" s="7">
        <v>400252</v>
      </c>
      <c r="B3475" t="str">
        <f>_xlfn.XLOOKUP(Vendas[[#This Row],[ID Vendedor]],Vendedores[ID],Vendedores[Nome])</f>
        <v>Renata</v>
      </c>
      <c r="C3475" s="7" t="str">
        <f>_xlfn.XLOOKUP(Vendas[[#This Row],[ID Vendedor]],Vendedores[ID],Vendedores[Setor])</f>
        <v>AB</v>
      </c>
      <c r="D3475" s="7" t="s">
        <v>37</v>
      </c>
      <c r="E3475" t="str">
        <f>_xlfn.XLOOKUP(Vendas[[#This Row],[ID Item Vendido]],Agregado[ID],Agregado[Produto])</f>
        <v>Composto de borracha para vedação rolo 10m</v>
      </c>
      <c r="F3475" s="39">
        <v>45420</v>
      </c>
      <c r="G3475" s="7">
        <v>16</v>
      </c>
      <c r="H3475" s="3">
        <f>_xlfn.XLOOKUP(Vendas[[#This Row],[ID Item Vendido]],Agregado[ID],Agregado[Revenda])</f>
        <v>51.2</v>
      </c>
      <c r="I3475" s="3">
        <f>Vendas[[#This Row],[Valor Unitário]]*Vendas[[#This Row],[Qnt Vendida]]</f>
        <v>819.2</v>
      </c>
      <c r="J3475" s="3">
        <f>Vendas[[#This Row],[Valor da Venda]]-(_xlfn.XLOOKUP(Vendas[[#This Row],[ID Item Vendido]],Agregado[ID],Agregado[Custo])*Vendas[[#This Row],[Qnt Vendida]])</f>
        <v>179.20000000000005</v>
      </c>
      <c r="K3475" s="70">
        <f>Vendas[[#This Row],[Lucro da Venda]]/Vendas[[#This Row],[Valor da Venda]]</f>
        <v>0.21875000000000006</v>
      </c>
      <c r="L3475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3475"/>
    </row>
    <row r="3476" spans="1:13" x14ac:dyDescent="0.3">
      <c r="A3476" s="7">
        <v>400250</v>
      </c>
      <c r="B3476" t="str">
        <f>_xlfn.XLOOKUP(Vendas[[#This Row],[ID Vendedor]],Vendedores[ID],Vendedores[Nome])</f>
        <v>Larissa</v>
      </c>
      <c r="C3476" s="7" t="str">
        <f>_xlfn.XLOOKUP(Vendas[[#This Row],[ID Vendedor]],Vendedores[ID],Vendedores[Setor])</f>
        <v>AB</v>
      </c>
      <c r="D3476" s="7" t="s">
        <v>12</v>
      </c>
      <c r="E3476" t="str">
        <f>_xlfn.XLOOKUP(Vendas[[#This Row],[ID Item Vendido]],Agregado[ID],Agregado[Produto])</f>
        <v>Grânulo de plástico reciclado refinado</v>
      </c>
      <c r="F3476" s="39">
        <v>45420</v>
      </c>
      <c r="G3476" s="7">
        <v>39</v>
      </c>
      <c r="H3476" s="3">
        <f>_xlfn.XLOOKUP(Vendas[[#This Row],[ID Item Vendido]],Agregado[ID],Agregado[Revenda])</f>
        <v>4.7</v>
      </c>
      <c r="I3476" s="3">
        <f>Vendas[[#This Row],[Valor Unitário]]*Vendas[[#This Row],[Qnt Vendida]]</f>
        <v>183.3</v>
      </c>
      <c r="J3476" s="3">
        <f>Vendas[[#This Row],[Valor da Venda]]-(_xlfn.XLOOKUP(Vendas[[#This Row],[ID Item Vendido]],Agregado[ID],Agregado[Custo])*Vendas[[#This Row],[Qnt Vendida]])</f>
        <v>46.800000000000011</v>
      </c>
      <c r="K3476" s="70">
        <f>Vendas[[#This Row],[Lucro da Venda]]/Vendas[[#This Row],[Valor da Venda]]</f>
        <v>0.25531914893617025</v>
      </c>
      <c r="L3476" s="3">
        <f>_xlfn.IFS(Vendas[[#This Row],[Margem de Lucro (%)]]&lt;15%,Vendas[[#This Row],[Valor da Venda]]*3%,Vendas[[#This Row],[Margem de Lucro (%)]]&lt;=20%,Vendas[[#This Row],[Valor da Venda]]*4.5%,TRUE,Vendas[[#This Row],[Valor da Venda]]*6%)</f>
        <v>10.998000000000001</v>
      </c>
      <c r="M3476"/>
    </row>
    <row r="3477" spans="1:13" x14ac:dyDescent="0.3">
      <c r="A3477" s="7">
        <v>400255</v>
      </c>
      <c r="B3477" t="str">
        <f>_xlfn.XLOOKUP(Vendas[[#This Row],[ID Vendedor]],Vendedores[ID],Vendedores[Nome])</f>
        <v>Carlos</v>
      </c>
      <c r="C3477" s="7" t="str">
        <f>_xlfn.XLOOKUP(Vendas[[#This Row],[ID Vendedor]],Vendedores[ID],Vendedores[Setor])</f>
        <v>SC</v>
      </c>
      <c r="D3477" s="7" t="s">
        <v>42</v>
      </c>
      <c r="E3477" t="str">
        <f>_xlfn.XLOOKUP(Vendas[[#This Row],[ID Item Vendido]],Agregado[ID],Agregado[Produto])</f>
        <v>Container de ferro industrial</v>
      </c>
      <c r="F3477" s="39">
        <v>45421</v>
      </c>
      <c r="G3477" s="7">
        <v>5</v>
      </c>
      <c r="H3477" s="3">
        <f>_xlfn.XLOOKUP(Vendas[[#This Row],[ID Item Vendido]],Agregado[ID],Agregado[Revenda])</f>
        <v>830</v>
      </c>
      <c r="I3477" s="3">
        <f>Vendas[[#This Row],[Valor Unitário]]*Vendas[[#This Row],[Qnt Vendida]]</f>
        <v>4150</v>
      </c>
      <c r="J3477" s="3">
        <f>Vendas[[#This Row],[Valor da Venda]]-(_xlfn.XLOOKUP(Vendas[[#This Row],[ID Item Vendido]],Agregado[ID],Agregado[Custo])*Vendas[[#This Row],[Qnt Vendida]])</f>
        <v>750</v>
      </c>
      <c r="K3477" s="70">
        <f>Vendas[[#This Row],[Lucro da Venda]]/Vendas[[#This Row],[Valor da Venda]]</f>
        <v>0.18072289156626506</v>
      </c>
      <c r="L3477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477"/>
    </row>
    <row r="3478" spans="1:13" x14ac:dyDescent="0.3">
      <c r="A3478" s="7">
        <v>400255</v>
      </c>
      <c r="B3478" t="str">
        <f>_xlfn.XLOOKUP(Vendas[[#This Row],[ID Vendedor]],Vendedores[ID],Vendedores[Nome])</f>
        <v>Carlos</v>
      </c>
      <c r="C3478" s="7" t="str">
        <f>_xlfn.XLOOKUP(Vendas[[#This Row],[ID Vendedor]],Vendedores[ID],Vendedores[Setor])</f>
        <v>SC</v>
      </c>
      <c r="D3478" s="7" t="s">
        <v>42</v>
      </c>
      <c r="E3478" t="str">
        <f>_xlfn.XLOOKUP(Vendas[[#This Row],[ID Item Vendido]],Agregado[ID],Agregado[Produto])</f>
        <v>Container de ferro industrial</v>
      </c>
      <c r="F3478" s="39">
        <v>45422</v>
      </c>
      <c r="G3478" s="7">
        <v>4</v>
      </c>
      <c r="H3478" s="3">
        <f>_xlfn.XLOOKUP(Vendas[[#This Row],[ID Item Vendido]],Agregado[ID],Agregado[Revenda])</f>
        <v>830</v>
      </c>
      <c r="I3478" s="3">
        <f>Vendas[[#This Row],[Valor Unitário]]*Vendas[[#This Row],[Qnt Vendida]]</f>
        <v>3320</v>
      </c>
      <c r="J3478" s="3">
        <f>Vendas[[#This Row],[Valor da Venda]]-(_xlfn.XLOOKUP(Vendas[[#This Row],[ID Item Vendido]],Agregado[ID],Agregado[Custo])*Vendas[[#This Row],[Qnt Vendida]])</f>
        <v>600</v>
      </c>
      <c r="K3478" s="70">
        <f>Vendas[[#This Row],[Lucro da Venda]]/Vendas[[#This Row],[Valor da Venda]]</f>
        <v>0.18072289156626506</v>
      </c>
      <c r="L347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478"/>
    </row>
    <row r="3479" spans="1:13" x14ac:dyDescent="0.3">
      <c r="A3479" s="7">
        <v>400254</v>
      </c>
      <c r="B3479" t="str">
        <f>_xlfn.XLOOKUP(Vendas[[#This Row],[ID Vendedor]],Vendedores[ID],Vendedores[Nome])</f>
        <v>Beatriz</v>
      </c>
      <c r="C3479" s="7" t="str">
        <f>_xlfn.XLOOKUP(Vendas[[#This Row],[ID Vendedor]],Vendedores[ID],Vendedores[Setor])</f>
        <v>SC</v>
      </c>
      <c r="D3479" s="7" t="s">
        <v>14</v>
      </c>
      <c r="E3479" t="str">
        <f>_xlfn.XLOOKUP(Vendas[[#This Row],[ID Item Vendido]],Agregado[ID],Agregado[Produto])</f>
        <v>Barril de plástico 200L</v>
      </c>
      <c r="F3479" s="39">
        <v>45423</v>
      </c>
      <c r="G3479" s="7">
        <v>16</v>
      </c>
      <c r="H3479" s="3">
        <f>_xlfn.XLOOKUP(Vendas[[#This Row],[ID Item Vendido]],Agregado[ID],Agregado[Revenda])</f>
        <v>114</v>
      </c>
      <c r="I3479" s="3">
        <f>Vendas[[#This Row],[Valor Unitário]]*Vendas[[#This Row],[Qnt Vendida]]</f>
        <v>1824</v>
      </c>
      <c r="J3479" s="3">
        <f>Vendas[[#This Row],[Valor da Venda]]-(_xlfn.XLOOKUP(Vendas[[#This Row],[ID Item Vendido]],Agregado[ID],Agregado[Custo])*Vendas[[#This Row],[Qnt Vendida]])</f>
        <v>304</v>
      </c>
      <c r="K3479" s="70">
        <f>Vendas[[#This Row],[Lucro da Venda]]/Vendas[[#This Row],[Valor da Venda]]</f>
        <v>0.16666666666666666</v>
      </c>
      <c r="L3479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3479"/>
    </row>
    <row r="3480" spans="1:13" x14ac:dyDescent="0.3">
      <c r="A3480" s="7">
        <v>400252</v>
      </c>
      <c r="B3480" t="str">
        <f>_xlfn.XLOOKUP(Vendas[[#This Row],[ID Vendedor]],Vendedores[ID],Vendedores[Nome])</f>
        <v>Renata</v>
      </c>
      <c r="C3480" s="7" t="str">
        <f>_xlfn.XLOOKUP(Vendas[[#This Row],[ID Vendedor]],Vendedores[ID],Vendedores[Setor])</f>
        <v>AB</v>
      </c>
      <c r="D3480" s="7" t="s">
        <v>39</v>
      </c>
      <c r="E3480" t="str">
        <f>_xlfn.XLOOKUP(Vendas[[#This Row],[ID Item Vendido]],Agregado[ID],Agregado[Produto])</f>
        <v>Filme plástico industrial rolo 50m</v>
      </c>
      <c r="F3480" s="39">
        <v>45423</v>
      </c>
      <c r="G3480" s="7">
        <v>29</v>
      </c>
      <c r="H3480" s="3">
        <f>_xlfn.XLOOKUP(Vendas[[#This Row],[ID Item Vendido]],Agregado[ID],Agregado[Revenda])</f>
        <v>37</v>
      </c>
      <c r="I3480" s="3">
        <f>Vendas[[#This Row],[Valor Unitário]]*Vendas[[#This Row],[Qnt Vendida]]</f>
        <v>1073</v>
      </c>
      <c r="J3480" s="3">
        <f>Vendas[[#This Row],[Valor da Venda]]-(_xlfn.XLOOKUP(Vendas[[#This Row],[ID Item Vendido]],Agregado[ID],Agregado[Custo])*Vendas[[#This Row],[Qnt Vendida]])</f>
        <v>261</v>
      </c>
      <c r="K3480" s="70">
        <f>Vendas[[#This Row],[Lucro da Venda]]/Vendas[[#This Row],[Valor da Venda]]</f>
        <v>0.24324324324324326</v>
      </c>
      <c r="L3480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3480"/>
    </row>
    <row r="3481" spans="1:13" x14ac:dyDescent="0.3">
      <c r="A3481" s="7">
        <v>400250</v>
      </c>
      <c r="B3481" t="str">
        <f>_xlfn.XLOOKUP(Vendas[[#This Row],[ID Vendedor]],Vendedores[ID],Vendedores[Nome])</f>
        <v>Larissa</v>
      </c>
      <c r="C3481" s="7" t="str">
        <f>_xlfn.XLOOKUP(Vendas[[#This Row],[ID Vendedor]],Vendedores[ID],Vendedores[Setor])</f>
        <v>AB</v>
      </c>
      <c r="D3481" s="7" t="s">
        <v>39</v>
      </c>
      <c r="E3481" t="str">
        <f>_xlfn.XLOOKUP(Vendas[[#This Row],[ID Item Vendido]],Agregado[ID],Agregado[Produto])</f>
        <v>Filme plástico industrial rolo 50m</v>
      </c>
      <c r="F3481" s="39">
        <v>45423</v>
      </c>
      <c r="G3481" s="7">
        <v>21</v>
      </c>
      <c r="H3481" s="3">
        <f>_xlfn.XLOOKUP(Vendas[[#This Row],[ID Item Vendido]],Agregado[ID],Agregado[Revenda])</f>
        <v>37</v>
      </c>
      <c r="I3481" s="3">
        <f>Vendas[[#This Row],[Valor Unitário]]*Vendas[[#This Row],[Qnt Vendida]]</f>
        <v>777</v>
      </c>
      <c r="J3481" s="3">
        <f>Vendas[[#This Row],[Valor da Venda]]-(_xlfn.XLOOKUP(Vendas[[#This Row],[ID Item Vendido]],Agregado[ID],Agregado[Custo])*Vendas[[#This Row],[Qnt Vendida]])</f>
        <v>189</v>
      </c>
      <c r="K3481" s="70">
        <f>Vendas[[#This Row],[Lucro da Venda]]/Vendas[[#This Row],[Valor da Venda]]</f>
        <v>0.24324324324324326</v>
      </c>
      <c r="L3481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3481"/>
    </row>
    <row r="3482" spans="1:13" x14ac:dyDescent="0.3">
      <c r="A3482" s="7">
        <v>400243</v>
      </c>
      <c r="B3482" t="str">
        <f>_xlfn.XLOOKUP(Vendas[[#This Row],[ID Vendedor]],Vendedores[ID],Vendedores[Nome])</f>
        <v>Marcelo</v>
      </c>
      <c r="C3482" s="7" t="str">
        <f>_xlfn.XLOOKUP(Vendas[[#This Row],[ID Vendedor]],Vendedores[ID],Vendedores[Setor])</f>
        <v>FM</v>
      </c>
      <c r="D3482" s="7" t="s">
        <v>6</v>
      </c>
      <c r="E3482" t="str">
        <f>_xlfn.XLOOKUP(Vendas[[#This Row],[ID Item Vendido]],Agregado[ID],Agregado[Produto])</f>
        <v>Parafuso comum 500un</v>
      </c>
      <c r="F3482" s="39">
        <v>45423</v>
      </c>
      <c r="G3482" s="7">
        <v>18</v>
      </c>
      <c r="H3482" s="3">
        <f>_xlfn.XLOOKUP(Vendas[[#This Row],[ID Item Vendido]],Agregado[ID],Agregado[Revenda])</f>
        <v>24.6</v>
      </c>
      <c r="I3482" s="3">
        <f>Vendas[[#This Row],[Valor Unitário]]*Vendas[[#This Row],[Qnt Vendida]]</f>
        <v>442.8</v>
      </c>
      <c r="J3482" s="3">
        <f>Vendas[[#This Row],[Valor da Venda]]-(_xlfn.XLOOKUP(Vendas[[#This Row],[ID Item Vendido]],Agregado[ID],Agregado[Custo])*Vendas[[#This Row],[Qnt Vendida]])</f>
        <v>46.800000000000011</v>
      </c>
      <c r="K3482" s="70">
        <f>Vendas[[#This Row],[Lucro da Venda]]/Vendas[[#This Row],[Valor da Venda]]</f>
        <v>0.10569105691056913</v>
      </c>
      <c r="L3482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3482"/>
    </row>
    <row r="3483" spans="1:13" x14ac:dyDescent="0.3">
      <c r="A3483" s="7">
        <v>400254</v>
      </c>
      <c r="B3483" t="str">
        <f>_xlfn.XLOOKUP(Vendas[[#This Row],[ID Vendedor]],Vendedores[ID],Vendedores[Nome])</f>
        <v>Beatriz</v>
      </c>
      <c r="C3483" s="7" t="str">
        <f>_xlfn.XLOOKUP(Vendas[[#This Row],[ID Vendedor]],Vendedores[ID],Vendedores[Setor])</f>
        <v>SC</v>
      </c>
      <c r="D3483" s="7" t="s">
        <v>42</v>
      </c>
      <c r="E3483" t="str">
        <f>_xlfn.XLOOKUP(Vendas[[#This Row],[ID Item Vendido]],Agregado[ID],Agregado[Produto])</f>
        <v>Container de ferro industrial</v>
      </c>
      <c r="F3483" s="39">
        <v>45424</v>
      </c>
      <c r="G3483" s="7">
        <v>3</v>
      </c>
      <c r="H3483" s="3">
        <f>_xlfn.XLOOKUP(Vendas[[#This Row],[ID Item Vendido]],Agregado[ID],Agregado[Revenda])</f>
        <v>830</v>
      </c>
      <c r="I3483" s="3">
        <f>Vendas[[#This Row],[Valor Unitário]]*Vendas[[#This Row],[Qnt Vendida]]</f>
        <v>2490</v>
      </c>
      <c r="J3483" s="3">
        <f>Vendas[[#This Row],[Valor da Venda]]-(_xlfn.XLOOKUP(Vendas[[#This Row],[ID Item Vendido]],Agregado[ID],Agregado[Custo])*Vendas[[#This Row],[Qnt Vendida]])</f>
        <v>450</v>
      </c>
      <c r="K3483" s="70">
        <f>Vendas[[#This Row],[Lucro da Venda]]/Vendas[[#This Row],[Valor da Venda]]</f>
        <v>0.18072289156626506</v>
      </c>
      <c r="L348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483"/>
    </row>
    <row r="3484" spans="1:13" x14ac:dyDescent="0.3">
      <c r="A3484" s="7">
        <v>400247</v>
      </c>
      <c r="B3484" t="str">
        <f>_xlfn.XLOOKUP(Vendas[[#This Row],[ID Vendedor]],Vendedores[ID],Vendedores[Nome])</f>
        <v>André</v>
      </c>
      <c r="C3484" s="7" t="str">
        <f>_xlfn.XLOOKUP(Vendas[[#This Row],[ID Vendedor]],Vendedores[ID],Vendedores[Setor])</f>
        <v>CM</v>
      </c>
      <c r="D3484" s="7" t="s">
        <v>32</v>
      </c>
      <c r="E3484" t="str">
        <f>_xlfn.XLOOKUP(Vendas[[#This Row],[ID Item Vendido]],Agregado[ID],Agregado[Produto])</f>
        <v>Tábua tratada e cortada 3m</v>
      </c>
      <c r="F3484" s="39">
        <v>45424</v>
      </c>
      <c r="G3484" s="7">
        <v>15</v>
      </c>
      <c r="H3484" s="3">
        <f>_xlfn.XLOOKUP(Vendas[[#This Row],[ID Item Vendido]],Agregado[ID],Agregado[Revenda])</f>
        <v>39</v>
      </c>
      <c r="I3484" s="3">
        <f>Vendas[[#This Row],[Valor Unitário]]*Vendas[[#This Row],[Qnt Vendida]]</f>
        <v>585</v>
      </c>
      <c r="J3484" s="3">
        <f>Vendas[[#This Row],[Valor da Venda]]-(_xlfn.XLOOKUP(Vendas[[#This Row],[ID Item Vendido]],Agregado[ID],Agregado[Custo])*Vendas[[#This Row],[Qnt Vendida]])</f>
        <v>105</v>
      </c>
      <c r="K3484" s="70">
        <f>Vendas[[#This Row],[Lucro da Venda]]/Vendas[[#This Row],[Valor da Venda]]</f>
        <v>0.17948717948717949</v>
      </c>
      <c r="L3484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3484"/>
    </row>
    <row r="3485" spans="1:13" x14ac:dyDescent="0.3">
      <c r="A3485" s="7">
        <v>400244</v>
      </c>
      <c r="B3485" t="str">
        <f>_xlfn.XLOOKUP(Vendas[[#This Row],[ID Vendedor]],Vendedores[ID],Vendedores[Nome])</f>
        <v>Camila</v>
      </c>
      <c r="C3485" s="7" t="str">
        <f>_xlfn.XLOOKUP(Vendas[[#This Row],[ID Vendedor]],Vendedores[ID],Vendedores[Setor])</f>
        <v>AHD</v>
      </c>
      <c r="D3485" s="7" t="s">
        <v>30</v>
      </c>
      <c r="E3485" t="str">
        <f>_xlfn.XLOOKUP(Vendas[[#This Row],[ID Item Vendido]],Agregado[ID],Agregado[Produto])</f>
        <v>Estrutura metálica soldada</v>
      </c>
      <c r="F3485" s="39">
        <v>45425</v>
      </c>
      <c r="G3485" s="7">
        <v>4</v>
      </c>
      <c r="H3485" s="3">
        <f>_xlfn.XLOOKUP(Vendas[[#This Row],[ID Item Vendido]],Agregado[ID],Agregado[Revenda])</f>
        <v>400</v>
      </c>
      <c r="I3485" s="3">
        <f>Vendas[[#This Row],[Valor Unitário]]*Vendas[[#This Row],[Qnt Vendida]]</f>
        <v>1600</v>
      </c>
      <c r="J3485" s="3">
        <f>Vendas[[#This Row],[Valor da Venda]]-(_xlfn.XLOOKUP(Vendas[[#This Row],[ID Item Vendido]],Agregado[ID],Agregado[Custo])*Vendas[[#This Row],[Qnt Vendida]])</f>
        <v>320</v>
      </c>
      <c r="K3485" s="70">
        <f>Vendas[[#This Row],[Lucro da Venda]]/Vendas[[#This Row],[Valor da Venda]]</f>
        <v>0.2</v>
      </c>
      <c r="L3485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485"/>
    </row>
    <row r="3486" spans="1:13" x14ac:dyDescent="0.3">
      <c r="A3486" s="7">
        <v>400244</v>
      </c>
      <c r="B3486" t="str">
        <f>_xlfn.XLOOKUP(Vendas[[#This Row],[ID Vendedor]],Vendedores[ID],Vendedores[Nome])</f>
        <v>Camila</v>
      </c>
      <c r="C3486" s="7" t="str">
        <f>_xlfn.XLOOKUP(Vendas[[#This Row],[ID Vendedor]],Vendedores[ID],Vendedores[Setor])</f>
        <v>AHD</v>
      </c>
      <c r="D3486" s="7" t="s">
        <v>18</v>
      </c>
      <c r="E3486" t="str">
        <f>_xlfn.XLOOKUP(Vendas[[#This Row],[ID Item Vendido]],Agregado[ID],Agregado[Produto])</f>
        <v>Peça forjada sob encomenda</v>
      </c>
      <c r="F3486" s="39">
        <v>45425</v>
      </c>
      <c r="G3486" s="7">
        <v>4</v>
      </c>
      <c r="H3486" s="3">
        <f>_xlfn.XLOOKUP(Vendas[[#This Row],[ID Item Vendido]],Agregado[ID],Agregado[Revenda])</f>
        <v>264.60000000000002</v>
      </c>
      <c r="I3486" s="3">
        <f>Vendas[[#This Row],[Valor Unitário]]*Vendas[[#This Row],[Qnt Vendida]]</f>
        <v>1058.4000000000001</v>
      </c>
      <c r="J3486" s="3">
        <f>Vendas[[#This Row],[Valor da Venda]]-(_xlfn.XLOOKUP(Vendas[[#This Row],[ID Item Vendido]],Agregado[ID],Agregado[Custo])*Vendas[[#This Row],[Qnt Vendida]])</f>
        <v>58.400000000000091</v>
      </c>
      <c r="K3486" s="70">
        <f>Vendas[[#This Row],[Lucro da Venda]]/Vendas[[#This Row],[Valor da Venda]]</f>
        <v>5.5177626606198113E-2</v>
      </c>
      <c r="L3486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486"/>
    </row>
    <row r="3487" spans="1:13" x14ac:dyDescent="0.3">
      <c r="A3487" s="7">
        <v>400251</v>
      </c>
      <c r="B3487" t="str">
        <f>_xlfn.XLOOKUP(Vendas[[#This Row],[ID Vendedor]],Vendedores[ID],Vendedores[Nome])</f>
        <v>Diego</v>
      </c>
      <c r="C3487" s="7" t="str">
        <f>_xlfn.XLOOKUP(Vendas[[#This Row],[ID Vendedor]],Vendedores[ID],Vendedores[Setor])</f>
        <v>AB</v>
      </c>
      <c r="D3487" s="7" t="s">
        <v>39</v>
      </c>
      <c r="E3487" t="str">
        <f>_xlfn.XLOOKUP(Vendas[[#This Row],[ID Item Vendido]],Agregado[ID],Agregado[Produto])</f>
        <v>Filme plástico industrial rolo 50m</v>
      </c>
      <c r="F3487" s="39">
        <v>45425</v>
      </c>
      <c r="G3487" s="7">
        <v>28</v>
      </c>
      <c r="H3487" s="3">
        <f>_xlfn.XLOOKUP(Vendas[[#This Row],[ID Item Vendido]],Agregado[ID],Agregado[Revenda])</f>
        <v>37</v>
      </c>
      <c r="I3487" s="3">
        <f>Vendas[[#This Row],[Valor Unitário]]*Vendas[[#This Row],[Qnt Vendida]]</f>
        <v>1036</v>
      </c>
      <c r="J3487" s="3">
        <f>Vendas[[#This Row],[Valor da Venda]]-(_xlfn.XLOOKUP(Vendas[[#This Row],[ID Item Vendido]],Agregado[ID],Agregado[Custo])*Vendas[[#This Row],[Qnt Vendida]])</f>
        <v>252</v>
      </c>
      <c r="K3487" s="70">
        <f>Vendas[[#This Row],[Lucro da Venda]]/Vendas[[#This Row],[Valor da Venda]]</f>
        <v>0.24324324324324326</v>
      </c>
      <c r="L3487" s="3">
        <f>_xlfn.IFS(Vendas[[#This Row],[Margem de Lucro (%)]]&lt;15%,Vendas[[#This Row],[Valor da Venda]]*3%,Vendas[[#This Row],[Margem de Lucro (%)]]&lt;=20%,Vendas[[#This Row],[Valor da Venda]]*4.5%,TRUE,Vendas[[#This Row],[Valor da Venda]]*6%)</f>
        <v>62.16</v>
      </c>
      <c r="M3487"/>
    </row>
    <row r="3488" spans="1:13" x14ac:dyDescent="0.3">
      <c r="A3488" s="7">
        <v>400247</v>
      </c>
      <c r="B3488" t="str">
        <f>_xlfn.XLOOKUP(Vendas[[#This Row],[ID Vendedor]],Vendedores[ID],Vendedores[Nome])</f>
        <v>André</v>
      </c>
      <c r="C3488" s="7" t="str">
        <f>_xlfn.XLOOKUP(Vendas[[#This Row],[ID Vendedor]],Vendedores[ID],Vendedores[Setor])</f>
        <v>CM</v>
      </c>
      <c r="D3488" s="7" t="s">
        <v>45</v>
      </c>
      <c r="E3488" t="str">
        <f>_xlfn.XLOOKUP(Vendas[[#This Row],[ID Item Vendido]],Agregado[ID],Agregado[Produto])</f>
        <v>Viga de madeira tratada 4m</v>
      </c>
      <c r="F3488" s="39">
        <v>45425</v>
      </c>
      <c r="G3488" s="7">
        <v>9</v>
      </c>
      <c r="H3488" s="3">
        <f>_xlfn.XLOOKUP(Vendas[[#This Row],[ID Item Vendido]],Agregado[ID],Agregado[Revenda])</f>
        <v>66</v>
      </c>
      <c r="I3488" s="3">
        <f>Vendas[[#This Row],[Valor Unitário]]*Vendas[[#This Row],[Qnt Vendida]]</f>
        <v>594</v>
      </c>
      <c r="J3488" s="3">
        <f>Vendas[[#This Row],[Valor da Venda]]-(_xlfn.XLOOKUP(Vendas[[#This Row],[ID Item Vendido]],Agregado[ID],Agregado[Custo])*Vendas[[#This Row],[Qnt Vendida]])</f>
        <v>99</v>
      </c>
      <c r="K3488" s="70">
        <f>Vendas[[#This Row],[Lucro da Venda]]/Vendas[[#This Row],[Valor da Venda]]</f>
        <v>0.16666666666666666</v>
      </c>
      <c r="L3488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3488"/>
    </row>
    <row r="3489" spans="1:13" x14ac:dyDescent="0.3">
      <c r="A3489" s="7">
        <v>400252</v>
      </c>
      <c r="B3489" t="str">
        <f>_xlfn.XLOOKUP(Vendas[[#This Row],[ID Vendedor]],Vendedores[ID],Vendedores[Nome])</f>
        <v>Renata</v>
      </c>
      <c r="C3489" s="7" t="str">
        <f>_xlfn.XLOOKUP(Vendas[[#This Row],[ID Vendedor]],Vendedores[ID],Vendedores[Setor])</f>
        <v>AB</v>
      </c>
      <c r="D3489" s="7" t="s">
        <v>39</v>
      </c>
      <c r="E3489" t="str">
        <f>_xlfn.XLOOKUP(Vendas[[#This Row],[ID Item Vendido]],Agregado[ID],Agregado[Produto])</f>
        <v>Filme plástico industrial rolo 50m</v>
      </c>
      <c r="F3489" s="39">
        <v>45426</v>
      </c>
      <c r="G3489" s="7">
        <v>25</v>
      </c>
      <c r="H3489" s="3">
        <f>_xlfn.XLOOKUP(Vendas[[#This Row],[ID Item Vendido]],Agregado[ID],Agregado[Revenda])</f>
        <v>37</v>
      </c>
      <c r="I3489" s="3">
        <f>Vendas[[#This Row],[Valor Unitário]]*Vendas[[#This Row],[Qnt Vendida]]</f>
        <v>925</v>
      </c>
      <c r="J3489" s="3">
        <f>Vendas[[#This Row],[Valor da Venda]]-(_xlfn.XLOOKUP(Vendas[[#This Row],[ID Item Vendido]],Agregado[ID],Agregado[Custo])*Vendas[[#This Row],[Qnt Vendida]])</f>
        <v>225</v>
      </c>
      <c r="K3489" s="70">
        <f>Vendas[[#This Row],[Lucro da Venda]]/Vendas[[#This Row],[Valor da Venda]]</f>
        <v>0.24324324324324326</v>
      </c>
      <c r="L3489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3489"/>
    </row>
    <row r="3490" spans="1:13" x14ac:dyDescent="0.3">
      <c r="A3490" s="7">
        <v>400253</v>
      </c>
      <c r="B3490" t="str">
        <f>_xlfn.XLOOKUP(Vendas[[#This Row],[ID Vendedor]],Vendedores[ID],Vendedores[Nome])</f>
        <v>Gustavo</v>
      </c>
      <c r="C3490" s="7" t="str">
        <f>_xlfn.XLOOKUP(Vendas[[#This Row],[ID Vendedor]],Vendedores[ID],Vendedores[Setor])</f>
        <v>SC</v>
      </c>
      <c r="D3490" s="7" t="s">
        <v>41</v>
      </c>
      <c r="E3490" t="str">
        <f>_xlfn.XLOOKUP(Vendas[[#This Row],[ID Item Vendido]],Agregado[ID],Agregado[Produto])</f>
        <v>Palete de madeira reforçado</v>
      </c>
      <c r="F3490" s="39">
        <v>45426</v>
      </c>
      <c r="G3490" s="7">
        <v>7</v>
      </c>
      <c r="H3490" s="3">
        <f>_xlfn.XLOOKUP(Vendas[[#This Row],[ID Item Vendido]],Agregado[ID],Agregado[Revenda])</f>
        <v>131</v>
      </c>
      <c r="I3490" s="3">
        <f>Vendas[[#This Row],[Valor Unitário]]*Vendas[[#This Row],[Qnt Vendida]]</f>
        <v>917</v>
      </c>
      <c r="J3490" s="3">
        <f>Vendas[[#This Row],[Valor da Venda]]-(_xlfn.XLOOKUP(Vendas[[#This Row],[ID Item Vendido]],Agregado[ID],Agregado[Custo])*Vendas[[#This Row],[Qnt Vendida]])</f>
        <v>147</v>
      </c>
      <c r="K3490" s="70">
        <f>Vendas[[#This Row],[Lucro da Venda]]/Vendas[[#This Row],[Valor da Venda]]</f>
        <v>0.16030534351145037</v>
      </c>
      <c r="L3490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3490"/>
    </row>
    <row r="3491" spans="1:13" x14ac:dyDescent="0.3">
      <c r="A3491" s="7">
        <v>400251</v>
      </c>
      <c r="B3491" t="str">
        <f>_xlfn.XLOOKUP(Vendas[[#This Row],[ID Vendedor]],Vendedores[ID],Vendedores[Nome])</f>
        <v>Diego</v>
      </c>
      <c r="C3491" s="7" t="str">
        <f>_xlfn.XLOOKUP(Vendas[[#This Row],[ID Vendedor]],Vendedores[ID],Vendedores[Setor])</f>
        <v>AB</v>
      </c>
      <c r="D3491" s="7" t="s">
        <v>37</v>
      </c>
      <c r="E3491" t="str">
        <f>_xlfn.XLOOKUP(Vendas[[#This Row],[ID Item Vendido]],Agregado[ID],Agregado[Produto])</f>
        <v>Composto de borracha para vedação rolo 10m</v>
      </c>
      <c r="F3491" s="39">
        <v>45426</v>
      </c>
      <c r="G3491" s="7">
        <v>11</v>
      </c>
      <c r="H3491" s="3">
        <f>_xlfn.XLOOKUP(Vendas[[#This Row],[ID Item Vendido]],Agregado[ID],Agregado[Revenda])</f>
        <v>51.2</v>
      </c>
      <c r="I3491" s="3">
        <f>Vendas[[#This Row],[Valor Unitário]]*Vendas[[#This Row],[Qnt Vendida]]</f>
        <v>563.20000000000005</v>
      </c>
      <c r="J3491" s="3">
        <f>Vendas[[#This Row],[Valor da Venda]]-(_xlfn.XLOOKUP(Vendas[[#This Row],[ID Item Vendido]],Agregado[ID],Agregado[Custo])*Vendas[[#This Row],[Qnt Vendida]])</f>
        <v>123.20000000000005</v>
      </c>
      <c r="K3491" s="70">
        <f>Vendas[[#This Row],[Lucro da Venda]]/Vendas[[#This Row],[Valor da Venda]]</f>
        <v>0.21875000000000006</v>
      </c>
      <c r="L3491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3491"/>
    </row>
    <row r="3492" spans="1:13" x14ac:dyDescent="0.3">
      <c r="A3492" s="7">
        <v>400242</v>
      </c>
      <c r="B3492" t="str">
        <f>_xlfn.XLOOKUP(Vendas[[#This Row],[ID Vendedor]],Vendedores[ID],Vendedores[Nome])</f>
        <v>Fernanda</v>
      </c>
      <c r="C3492" s="7" t="str">
        <f>_xlfn.XLOOKUP(Vendas[[#This Row],[ID Vendedor]],Vendedores[ID],Vendedores[Setor])</f>
        <v>FM</v>
      </c>
      <c r="D3492" s="7" t="s">
        <v>27</v>
      </c>
      <c r="E3492" t="str">
        <f>_xlfn.XLOOKUP(Vendas[[#This Row],[ID Item Vendido]],Agregado[ID],Agregado[Produto])</f>
        <v>Chapa de metal lisa 1x2m</v>
      </c>
      <c r="F3492" s="39">
        <v>45426</v>
      </c>
      <c r="G3492" s="7">
        <v>5</v>
      </c>
      <c r="H3492" s="3">
        <f>_xlfn.XLOOKUP(Vendas[[#This Row],[ID Item Vendido]],Agregado[ID],Agregado[Revenda])</f>
        <v>52</v>
      </c>
      <c r="I3492" s="3">
        <f>Vendas[[#This Row],[Valor Unitário]]*Vendas[[#This Row],[Qnt Vendida]]</f>
        <v>260</v>
      </c>
      <c r="J3492" s="3">
        <f>Vendas[[#This Row],[Valor da Venda]]-(_xlfn.XLOOKUP(Vendas[[#This Row],[ID Item Vendido]],Agregado[ID],Agregado[Custo])*Vendas[[#This Row],[Qnt Vendida]])</f>
        <v>35</v>
      </c>
      <c r="K3492" s="70">
        <f>Vendas[[#This Row],[Lucro da Venda]]/Vendas[[#This Row],[Valor da Venda]]</f>
        <v>0.13461538461538461</v>
      </c>
      <c r="L3492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3492"/>
    </row>
    <row r="3493" spans="1:13" x14ac:dyDescent="0.3">
      <c r="A3493" s="7">
        <v>400252</v>
      </c>
      <c r="B3493" t="str">
        <f>_xlfn.XLOOKUP(Vendas[[#This Row],[ID Vendedor]],Vendedores[ID],Vendedores[Nome])</f>
        <v>Renata</v>
      </c>
      <c r="C3493" s="7" t="str">
        <f>_xlfn.XLOOKUP(Vendas[[#This Row],[ID Vendedor]],Vendedores[ID],Vendedores[Setor])</f>
        <v>AB</v>
      </c>
      <c r="D3493" s="7" t="s">
        <v>39</v>
      </c>
      <c r="E3493" t="str">
        <f>_xlfn.XLOOKUP(Vendas[[#This Row],[ID Item Vendido]],Agregado[ID],Agregado[Produto])</f>
        <v>Filme plástico industrial rolo 50m</v>
      </c>
      <c r="F3493" s="39">
        <v>45426</v>
      </c>
      <c r="G3493" s="7">
        <v>7</v>
      </c>
      <c r="H3493" s="3">
        <f>_xlfn.XLOOKUP(Vendas[[#This Row],[ID Item Vendido]],Agregado[ID],Agregado[Revenda])</f>
        <v>37</v>
      </c>
      <c r="I3493" s="3">
        <f>Vendas[[#This Row],[Valor Unitário]]*Vendas[[#This Row],[Qnt Vendida]]</f>
        <v>259</v>
      </c>
      <c r="J3493" s="3">
        <f>Vendas[[#This Row],[Valor da Venda]]-(_xlfn.XLOOKUP(Vendas[[#This Row],[ID Item Vendido]],Agregado[ID],Agregado[Custo])*Vendas[[#This Row],[Qnt Vendida]])</f>
        <v>63</v>
      </c>
      <c r="K3493" s="70">
        <f>Vendas[[#This Row],[Lucro da Venda]]/Vendas[[#This Row],[Valor da Venda]]</f>
        <v>0.24324324324324326</v>
      </c>
      <c r="L3493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3493"/>
    </row>
    <row r="3494" spans="1:13" x14ac:dyDescent="0.3">
      <c r="A3494" s="7">
        <v>400245</v>
      </c>
      <c r="B3494" t="str">
        <f>_xlfn.XLOOKUP(Vendas[[#This Row],[ID Vendedor]],Vendedores[ID],Vendedores[Nome])</f>
        <v>Thiago</v>
      </c>
      <c r="C3494" s="7" t="str">
        <f>_xlfn.XLOOKUP(Vendas[[#This Row],[ID Vendedor]],Vendedores[ID],Vendedores[Setor])</f>
        <v>AHD</v>
      </c>
      <c r="D3494" s="7" t="s">
        <v>44</v>
      </c>
      <c r="E3494" t="str">
        <f>_xlfn.XLOOKUP(Vendas[[#This Row],[ID Item Vendido]],Agregado[ID],Agregado[Produto])</f>
        <v>Liga metálica especial</v>
      </c>
      <c r="F3494" s="39">
        <v>45426</v>
      </c>
      <c r="G3494" s="7">
        <v>6</v>
      </c>
      <c r="H3494" s="3">
        <f>_xlfn.XLOOKUP(Vendas[[#This Row],[ID Item Vendido]],Agregado[ID],Agregado[Revenda])</f>
        <v>32.5</v>
      </c>
      <c r="I3494" s="3">
        <f>Vendas[[#This Row],[Valor Unitário]]*Vendas[[#This Row],[Qnt Vendida]]</f>
        <v>195</v>
      </c>
      <c r="J3494" s="3">
        <f>Vendas[[#This Row],[Valor da Venda]]-(_xlfn.XLOOKUP(Vendas[[#This Row],[ID Item Vendido]],Agregado[ID],Agregado[Custo])*Vendas[[#This Row],[Qnt Vendida]])</f>
        <v>45</v>
      </c>
      <c r="K3494" s="70">
        <f>Vendas[[#This Row],[Lucro da Venda]]/Vendas[[#This Row],[Valor da Venda]]</f>
        <v>0.23076923076923078</v>
      </c>
      <c r="L3494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3494"/>
    </row>
    <row r="3495" spans="1:13" x14ac:dyDescent="0.3">
      <c r="A3495" s="7">
        <v>400252</v>
      </c>
      <c r="B3495" t="str">
        <f>_xlfn.XLOOKUP(Vendas[[#This Row],[ID Vendedor]],Vendedores[ID],Vendedores[Nome])</f>
        <v>Renata</v>
      </c>
      <c r="C3495" s="7" t="str">
        <f>_xlfn.XLOOKUP(Vendas[[#This Row],[ID Vendedor]],Vendedores[ID],Vendedores[Setor])</f>
        <v>AB</v>
      </c>
      <c r="D3495" s="7" t="s">
        <v>39</v>
      </c>
      <c r="E3495" t="str">
        <f>_xlfn.XLOOKUP(Vendas[[#This Row],[ID Item Vendido]],Agregado[ID],Agregado[Produto])</f>
        <v>Filme plástico industrial rolo 50m</v>
      </c>
      <c r="F3495" s="39">
        <v>45426</v>
      </c>
      <c r="G3495" s="7">
        <v>2</v>
      </c>
      <c r="H3495" s="3">
        <f>_xlfn.XLOOKUP(Vendas[[#This Row],[ID Item Vendido]],Agregado[ID],Agregado[Revenda])</f>
        <v>37</v>
      </c>
      <c r="I3495" s="3">
        <f>Vendas[[#This Row],[Valor Unitário]]*Vendas[[#This Row],[Qnt Vendida]]</f>
        <v>74</v>
      </c>
      <c r="J3495" s="3">
        <f>Vendas[[#This Row],[Valor da Venda]]-(_xlfn.XLOOKUP(Vendas[[#This Row],[ID Item Vendido]],Agregado[ID],Agregado[Custo])*Vendas[[#This Row],[Qnt Vendida]])</f>
        <v>18</v>
      </c>
      <c r="K3495" s="70">
        <f>Vendas[[#This Row],[Lucro da Venda]]/Vendas[[#This Row],[Valor da Venda]]</f>
        <v>0.24324324324324326</v>
      </c>
      <c r="L3495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3495"/>
    </row>
    <row r="3496" spans="1:13" x14ac:dyDescent="0.3">
      <c r="A3496" s="7">
        <v>400254</v>
      </c>
      <c r="B3496" t="str">
        <f>_xlfn.XLOOKUP(Vendas[[#This Row],[ID Vendedor]],Vendedores[ID],Vendedores[Nome])</f>
        <v>Beatriz</v>
      </c>
      <c r="C3496" s="7" t="str">
        <f>_xlfn.XLOOKUP(Vendas[[#This Row],[ID Vendedor]],Vendedores[ID],Vendedores[Setor])</f>
        <v>SC</v>
      </c>
      <c r="D3496" s="7" t="s">
        <v>14</v>
      </c>
      <c r="E3496" t="str">
        <f>_xlfn.XLOOKUP(Vendas[[#This Row],[ID Item Vendido]],Agregado[ID],Agregado[Produto])</f>
        <v>Barril de plástico 200L</v>
      </c>
      <c r="F3496" s="39">
        <v>45427</v>
      </c>
      <c r="G3496" s="7">
        <v>21</v>
      </c>
      <c r="H3496" s="3">
        <f>_xlfn.XLOOKUP(Vendas[[#This Row],[ID Item Vendido]],Agregado[ID],Agregado[Revenda])</f>
        <v>114</v>
      </c>
      <c r="I3496" s="3">
        <f>Vendas[[#This Row],[Valor Unitário]]*Vendas[[#This Row],[Qnt Vendida]]</f>
        <v>2394</v>
      </c>
      <c r="J3496" s="3">
        <f>Vendas[[#This Row],[Valor da Venda]]-(_xlfn.XLOOKUP(Vendas[[#This Row],[ID Item Vendido]],Agregado[ID],Agregado[Custo])*Vendas[[#This Row],[Qnt Vendida]])</f>
        <v>399</v>
      </c>
      <c r="K3496" s="70">
        <f>Vendas[[#This Row],[Lucro da Venda]]/Vendas[[#This Row],[Valor da Venda]]</f>
        <v>0.16666666666666666</v>
      </c>
      <c r="L3496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3496"/>
    </row>
    <row r="3497" spans="1:13" x14ac:dyDescent="0.3">
      <c r="A3497" s="7">
        <v>400250</v>
      </c>
      <c r="B3497" t="str">
        <f>_xlfn.XLOOKUP(Vendas[[#This Row],[ID Vendedor]],Vendedores[ID],Vendedores[Nome])</f>
        <v>Larissa</v>
      </c>
      <c r="C3497" s="7" t="str">
        <f>_xlfn.XLOOKUP(Vendas[[#This Row],[ID Vendedor]],Vendedores[ID],Vendedores[Setor])</f>
        <v>AB</v>
      </c>
      <c r="D3497" s="7" t="s">
        <v>24</v>
      </c>
      <c r="E3497" t="str">
        <f>_xlfn.XLOOKUP(Vendas[[#This Row],[ID Item Vendido]],Agregado[ID],Agregado[Produto])</f>
        <v>Resina plástica PET purificada saco de 25kg</v>
      </c>
      <c r="F3497" s="39">
        <v>45427</v>
      </c>
      <c r="G3497" s="7">
        <v>18</v>
      </c>
      <c r="H3497" s="3">
        <f>_xlfn.XLOOKUP(Vendas[[#This Row],[ID Item Vendido]],Agregado[ID],Agregado[Revenda])</f>
        <v>119</v>
      </c>
      <c r="I3497" s="3">
        <f>Vendas[[#This Row],[Valor Unitário]]*Vendas[[#This Row],[Qnt Vendida]]</f>
        <v>2142</v>
      </c>
      <c r="J3497" s="3">
        <f>Vendas[[#This Row],[Valor da Venda]]-(_xlfn.XLOOKUP(Vendas[[#This Row],[ID Item Vendido]],Agregado[ID],Agregado[Custo])*Vendas[[#This Row],[Qnt Vendida]])</f>
        <v>612</v>
      </c>
      <c r="K3497" s="70">
        <f>Vendas[[#This Row],[Lucro da Venda]]/Vendas[[#This Row],[Valor da Venda]]</f>
        <v>0.2857142857142857</v>
      </c>
      <c r="L3497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497"/>
    </row>
    <row r="3498" spans="1:13" x14ac:dyDescent="0.3">
      <c r="A3498" s="7">
        <v>400250</v>
      </c>
      <c r="B3498" t="str">
        <f>_xlfn.XLOOKUP(Vendas[[#This Row],[ID Vendedor]],Vendedores[ID],Vendedores[Nome])</f>
        <v>Larissa</v>
      </c>
      <c r="C3498" s="7" t="str">
        <f>_xlfn.XLOOKUP(Vendas[[#This Row],[ID Vendedor]],Vendedores[ID],Vendedores[Setor])</f>
        <v>AB</v>
      </c>
      <c r="D3498" s="7" t="s">
        <v>36</v>
      </c>
      <c r="E3498" t="str">
        <f>_xlfn.XLOOKUP(Vendas[[#This Row],[ID Item Vendido]],Agregado[ID],Agregado[Produto])</f>
        <v>Borracha vulcanizada em manta</v>
      </c>
      <c r="F3498" s="39">
        <v>45427</v>
      </c>
      <c r="G3498" s="7">
        <v>60</v>
      </c>
      <c r="H3498" s="3">
        <f>_xlfn.XLOOKUP(Vendas[[#This Row],[ID Item Vendido]],Agregado[ID],Agregado[Revenda])</f>
        <v>7.8</v>
      </c>
      <c r="I3498" s="3">
        <f>Vendas[[#This Row],[Valor Unitário]]*Vendas[[#This Row],[Qnt Vendida]]</f>
        <v>468</v>
      </c>
      <c r="J3498" s="3">
        <f>Vendas[[#This Row],[Valor da Venda]]-(_xlfn.XLOOKUP(Vendas[[#This Row],[ID Item Vendido]],Agregado[ID],Agregado[Custo])*Vendas[[#This Row],[Qnt Vendida]])</f>
        <v>108</v>
      </c>
      <c r="K3498" s="70">
        <f>Vendas[[#This Row],[Lucro da Venda]]/Vendas[[#This Row],[Valor da Venda]]</f>
        <v>0.23076923076923078</v>
      </c>
      <c r="L3498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3498"/>
    </row>
    <row r="3499" spans="1:13" x14ac:dyDescent="0.3">
      <c r="A3499" s="7">
        <v>400252</v>
      </c>
      <c r="B3499" t="str">
        <f>_xlfn.XLOOKUP(Vendas[[#This Row],[ID Vendedor]],Vendedores[ID],Vendedores[Nome])</f>
        <v>Renata</v>
      </c>
      <c r="C3499" s="7" t="str">
        <f>_xlfn.XLOOKUP(Vendas[[#This Row],[ID Vendedor]],Vendedores[ID],Vendedores[Setor])</f>
        <v>AB</v>
      </c>
      <c r="D3499" s="7" t="s">
        <v>37</v>
      </c>
      <c r="E3499" t="str">
        <f>_xlfn.XLOOKUP(Vendas[[#This Row],[ID Item Vendido]],Agregado[ID],Agregado[Produto])</f>
        <v>Composto de borracha para vedação rolo 10m</v>
      </c>
      <c r="F3499" s="39">
        <v>45428</v>
      </c>
      <c r="G3499" s="7">
        <v>14</v>
      </c>
      <c r="H3499" s="3">
        <f>_xlfn.XLOOKUP(Vendas[[#This Row],[ID Item Vendido]],Agregado[ID],Agregado[Revenda])</f>
        <v>51.2</v>
      </c>
      <c r="I3499" s="3">
        <f>Vendas[[#This Row],[Valor Unitário]]*Vendas[[#This Row],[Qnt Vendida]]</f>
        <v>716.80000000000007</v>
      </c>
      <c r="J3499" s="3">
        <f>Vendas[[#This Row],[Valor da Venda]]-(_xlfn.XLOOKUP(Vendas[[#This Row],[ID Item Vendido]],Agregado[ID],Agregado[Custo])*Vendas[[#This Row],[Qnt Vendida]])</f>
        <v>156.80000000000007</v>
      </c>
      <c r="K3499" s="70">
        <f>Vendas[[#This Row],[Lucro da Venda]]/Vendas[[#This Row],[Valor da Venda]]</f>
        <v>0.21875000000000008</v>
      </c>
      <c r="L3499" s="3">
        <f>_xlfn.IFS(Vendas[[#This Row],[Margem de Lucro (%)]]&lt;15%,Vendas[[#This Row],[Valor da Venda]]*3%,Vendas[[#This Row],[Margem de Lucro (%)]]&lt;=20%,Vendas[[#This Row],[Valor da Venda]]*4.5%,TRUE,Vendas[[#This Row],[Valor da Venda]]*6%)</f>
        <v>43.008000000000003</v>
      </c>
      <c r="M3499"/>
    </row>
    <row r="3500" spans="1:13" x14ac:dyDescent="0.3">
      <c r="A3500" s="7">
        <v>400241</v>
      </c>
      <c r="B3500" t="str">
        <f>_xlfn.XLOOKUP(Vendas[[#This Row],[ID Vendedor]],Vendedores[ID],Vendedores[Nome])</f>
        <v>Rodrigo</v>
      </c>
      <c r="C3500" s="7" t="str">
        <f>_xlfn.XLOOKUP(Vendas[[#This Row],[ID Vendedor]],Vendedores[ID],Vendedores[Setor])</f>
        <v>FM</v>
      </c>
      <c r="D3500" s="7" t="s">
        <v>6</v>
      </c>
      <c r="E3500" t="str">
        <f>_xlfn.XLOOKUP(Vendas[[#This Row],[ID Item Vendido]],Agregado[ID],Agregado[Produto])</f>
        <v>Parafuso comum 500un</v>
      </c>
      <c r="F3500" s="39">
        <v>45428</v>
      </c>
      <c r="G3500" s="7">
        <v>19</v>
      </c>
      <c r="H3500" s="3">
        <f>_xlfn.XLOOKUP(Vendas[[#This Row],[ID Item Vendido]],Agregado[ID],Agregado[Revenda])</f>
        <v>24.6</v>
      </c>
      <c r="I3500" s="3">
        <f>Vendas[[#This Row],[Valor Unitário]]*Vendas[[#This Row],[Qnt Vendida]]</f>
        <v>467.40000000000003</v>
      </c>
      <c r="J3500" s="3">
        <f>Vendas[[#This Row],[Valor da Venda]]-(_xlfn.XLOOKUP(Vendas[[#This Row],[ID Item Vendido]],Agregado[ID],Agregado[Custo])*Vendas[[#This Row],[Qnt Vendida]])</f>
        <v>49.400000000000034</v>
      </c>
      <c r="K3500" s="70">
        <f>Vendas[[#This Row],[Lucro da Venda]]/Vendas[[#This Row],[Valor da Venda]]</f>
        <v>0.10569105691056917</v>
      </c>
      <c r="L3500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3500"/>
    </row>
    <row r="3501" spans="1:13" x14ac:dyDescent="0.3">
      <c r="A3501" s="7">
        <v>400251</v>
      </c>
      <c r="B3501" t="str">
        <f>_xlfn.XLOOKUP(Vendas[[#This Row],[ID Vendedor]],Vendedores[ID],Vendedores[Nome])</f>
        <v>Diego</v>
      </c>
      <c r="C3501" s="7" t="str">
        <f>_xlfn.XLOOKUP(Vendas[[#This Row],[ID Vendedor]],Vendedores[ID],Vendedores[Setor])</f>
        <v>AB</v>
      </c>
      <c r="D3501" s="7" t="s">
        <v>12</v>
      </c>
      <c r="E3501" t="str">
        <f>_xlfn.XLOOKUP(Vendas[[#This Row],[ID Item Vendido]],Agregado[ID],Agregado[Produto])</f>
        <v>Grânulo de plástico reciclado refinado</v>
      </c>
      <c r="F3501" s="39">
        <v>45428</v>
      </c>
      <c r="G3501" s="7">
        <v>75</v>
      </c>
      <c r="H3501" s="3">
        <f>_xlfn.XLOOKUP(Vendas[[#This Row],[ID Item Vendido]],Agregado[ID],Agregado[Revenda])</f>
        <v>4.7</v>
      </c>
      <c r="I3501" s="3">
        <f>Vendas[[#This Row],[Valor Unitário]]*Vendas[[#This Row],[Qnt Vendida]]</f>
        <v>352.5</v>
      </c>
      <c r="J3501" s="3">
        <f>Vendas[[#This Row],[Valor da Venda]]-(_xlfn.XLOOKUP(Vendas[[#This Row],[ID Item Vendido]],Agregado[ID],Agregado[Custo])*Vendas[[#This Row],[Qnt Vendida]])</f>
        <v>90</v>
      </c>
      <c r="K3501" s="70">
        <f>Vendas[[#This Row],[Lucro da Venda]]/Vendas[[#This Row],[Valor da Venda]]</f>
        <v>0.25531914893617019</v>
      </c>
      <c r="L3501" s="3">
        <f>_xlfn.IFS(Vendas[[#This Row],[Margem de Lucro (%)]]&lt;15%,Vendas[[#This Row],[Valor da Venda]]*3%,Vendas[[#This Row],[Margem de Lucro (%)]]&lt;=20%,Vendas[[#This Row],[Valor da Venda]]*4.5%,TRUE,Vendas[[#This Row],[Valor da Venda]]*6%)</f>
        <v>21.15</v>
      </c>
      <c r="M3501"/>
    </row>
    <row r="3502" spans="1:13" x14ac:dyDescent="0.3">
      <c r="A3502" s="7">
        <v>400248</v>
      </c>
      <c r="B3502" t="str">
        <f>_xlfn.XLOOKUP(Vendas[[#This Row],[ID Vendedor]],Vendedores[ID],Vendedores[Nome])</f>
        <v>Patrícia</v>
      </c>
      <c r="C3502" s="7" t="str">
        <f>_xlfn.XLOOKUP(Vendas[[#This Row],[ID Vendedor]],Vendedores[ID],Vendedores[Setor])</f>
        <v>CM</v>
      </c>
      <c r="D3502" s="7" t="s">
        <v>32</v>
      </c>
      <c r="E3502" t="str">
        <f>_xlfn.XLOOKUP(Vendas[[#This Row],[ID Item Vendido]],Agregado[ID],Agregado[Produto])</f>
        <v>Tábua tratada e cortada 3m</v>
      </c>
      <c r="F3502" s="39">
        <v>45429</v>
      </c>
      <c r="G3502" s="7">
        <v>48</v>
      </c>
      <c r="H3502" s="3">
        <f>_xlfn.XLOOKUP(Vendas[[#This Row],[ID Item Vendido]],Agregado[ID],Agregado[Revenda])</f>
        <v>39</v>
      </c>
      <c r="I3502" s="3">
        <f>Vendas[[#This Row],[Valor Unitário]]*Vendas[[#This Row],[Qnt Vendida]]</f>
        <v>1872</v>
      </c>
      <c r="J3502" s="3">
        <f>Vendas[[#This Row],[Valor da Venda]]-(_xlfn.XLOOKUP(Vendas[[#This Row],[ID Item Vendido]],Agregado[ID],Agregado[Custo])*Vendas[[#This Row],[Qnt Vendida]])</f>
        <v>336</v>
      </c>
      <c r="K3502" s="70">
        <f>Vendas[[#This Row],[Lucro da Venda]]/Vendas[[#This Row],[Valor da Venda]]</f>
        <v>0.17948717948717949</v>
      </c>
      <c r="L3502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3502"/>
    </row>
    <row r="3503" spans="1:13" x14ac:dyDescent="0.3">
      <c r="A3503" s="7">
        <v>400255</v>
      </c>
      <c r="B3503" t="str">
        <f>_xlfn.XLOOKUP(Vendas[[#This Row],[ID Vendedor]],Vendedores[ID],Vendedores[Nome])</f>
        <v>Carlos</v>
      </c>
      <c r="C3503" s="7" t="str">
        <f>_xlfn.XLOOKUP(Vendas[[#This Row],[ID Vendedor]],Vendedores[ID],Vendedores[Setor])</f>
        <v>SC</v>
      </c>
      <c r="D3503" s="7" t="s">
        <v>42</v>
      </c>
      <c r="E3503" t="str">
        <f>_xlfn.XLOOKUP(Vendas[[#This Row],[ID Item Vendido]],Agregado[ID],Agregado[Produto])</f>
        <v>Container de ferro industrial</v>
      </c>
      <c r="F3503" s="39">
        <v>45429</v>
      </c>
      <c r="G3503" s="7">
        <v>2</v>
      </c>
      <c r="H3503" s="3">
        <f>_xlfn.XLOOKUP(Vendas[[#This Row],[ID Item Vendido]],Agregado[ID],Agregado[Revenda])</f>
        <v>830</v>
      </c>
      <c r="I3503" s="3">
        <f>Vendas[[#This Row],[Valor Unitário]]*Vendas[[#This Row],[Qnt Vendida]]</f>
        <v>1660</v>
      </c>
      <c r="J3503" s="3">
        <f>Vendas[[#This Row],[Valor da Venda]]-(_xlfn.XLOOKUP(Vendas[[#This Row],[ID Item Vendido]],Agregado[ID],Agregado[Custo])*Vendas[[#This Row],[Qnt Vendida]])</f>
        <v>300</v>
      </c>
      <c r="K3503" s="70">
        <f>Vendas[[#This Row],[Lucro da Venda]]/Vendas[[#This Row],[Valor da Venda]]</f>
        <v>0.18072289156626506</v>
      </c>
      <c r="L350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503"/>
    </row>
    <row r="3504" spans="1:13" x14ac:dyDescent="0.3">
      <c r="A3504" s="7">
        <v>400254</v>
      </c>
      <c r="B3504" t="str">
        <f>_xlfn.XLOOKUP(Vendas[[#This Row],[ID Vendedor]],Vendedores[ID],Vendedores[Nome])</f>
        <v>Beatriz</v>
      </c>
      <c r="C3504" s="7" t="str">
        <f>_xlfn.XLOOKUP(Vendas[[#This Row],[ID Vendedor]],Vendedores[ID],Vendedores[Setor])</f>
        <v>SC</v>
      </c>
      <c r="D3504" s="7" t="s">
        <v>48</v>
      </c>
      <c r="E3504" t="str">
        <f>_xlfn.XLOOKUP(Vendas[[#This Row],[ID Item Vendido]],Agregado[ID],Agregado[Produto])</f>
        <v>Tambor metálico 200L</v>
      </c>
      <c r="F3504" s="39">
        <v>45429</v>
      </c>
      <c r="G3504" s="7">
        <v>10</v>
      </c>
      <c r="H3504" s="3">
        <f>_xlfn.XLOOKUP(Vendas[[#This Row],[ID Item Vendido]],Agregado[ID],Agregado[Revenda])</f>
        <v>144</v>
      </c>
      <c r="I3504" s="3">
        <f>Vendas[[#This Row],[Valor Unitário]]*Vendas[[#This Row],[Qnt Vendida]]</f>
        <v>1440</v>
      </c>
      <c r="J3504" s="3">
        <f>Vendas[[#This Row],[Valor da Venda]]-(_xlfn.XLOOKUP(Vendas[[#This Row],[ID Item Vendido]],Agregado[ID],Agregado[Custo])*Vendas[[#This Row],[Qnt Vendida]])</f>
        <v>240</v>
      </c>
      <c r="K3504" s="70">
        <f>Vendas[[#This Row],[Lucro da Venda]]/Vendas[[#This Row],[Valor da Venda]]</f>
        <v>0.16666666666666666</v>
      </c>
      <c r="L3504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3504"/>
    </row>
    <row r="3505" spans="1:13" x14ac:dyDescent="0.3">
      <c r="A3505" s="7">
        <v>400245</v>
      </c>
      <c r="B3505" t="str">
        <f>_xlfn.XLOOKUP(Vendas[[#This Row],[ID Vendedor]],Vendedores[ID],Vendedores[Nome])</f>
        <v>Thiago</v>
      </c>
      <c r="C3505" s="7" t="str">
        <f>_xlfn.XLOOKUP(Vendas[[#This Row],[ID Vendedor]],Vendedores[ID],Vendedores[Setor])</f>
        <v>AHD</v>
      </c>
      <c r="D3505" s="7" t="s">
        <v>9</v>
      </c>
      <c r="E3505" t="str">
        <f>_xlfn.XLOOKUP(Vendas[[#This Row],[ID Item Vendido]],Agregado[ID],Agregado[Produto])</f>
        <v>Barra de aço simples</v>
      </c>
      <c r="F3505" s="39">
        <v>45429</v>
      </c>
      <c r="G3505" s="7">
        <v>29</v>
      </c>
      <c r="H3505" s="3">
        <f>_xlfn.XLOOKUP(Vendas[[#This Row],[ID Item Vendido]],Agregado[ID],Agregado[Revenda])</f>
        <v>6.7</v>
      </c>
      <c r="I3505" s="3">
        <f>Vendas[[#This Row],[Valor Unitário]]*Vendas[[#This Row],[Qnt Vendida]]</f>
        <v>194.3</v>
      </c>
      <c r="J3505" s="3">
        <f>Vendas[[#This Row],[Valor da Venda]]-(_xlfn.XLOOKUP(Vendas[[#This Row],[ID Item Vendido]],Agregado[ID],Agregado[Custo])*Vendas[[#This Row],[Qnt Vendida]])</f>
        <v>26.100000000000023</v>
      </c>
      <c r="K3505" s="70">
        <f>Vendas[[#This Row],[Lucro da Venda]]/Vendas[[#This Row],[Valor da Venda]]</f>
        <v>0.13432835820895533</v>
      </c>
      <c r="L3505" s="3">
        <f>_xlfn.IFS(Vendas[[#This Row],[Margem de Lucro (%)]]&lt;15%,Vendas[[#This Row],[Valor da Venda]]*3%,Vendas[[#This Row],[Margem de Lucro (%)]]&lt;=20%,Vendas[[#This Row],[Valor da Venda]]*4.5%,TRUE,Vendas[[#This Row],[Valor da Venda]]*6%)</f>
        <v>5.8289999999999997</v>
      </c>
      <c r="M3505"/>
    </row>
    <row r="3506" spans="1:13" x14ac:dyDescent="0.3">
      <c r="A3506" s="7">
        <v>400251</v>
      </c>
      <c r="B3506" t="str">
        <f>_xlfn.XLOOKUP(Vendas[[#This Row],[ID Vendedor]],Vendedores[ID],Vendedores[Nome])</f>
        <v>Diego</v>
      </c>
      <c r="C3506" s="7" t="str">
        <f>_xlfn.XLOOKUP(Vendas[[#This Row],[ID Vendedor]],Vendedores[ID],Vendedores[Setor])</f>
        <v>AB</v>
      </c>
      <c r="D3506" s="7" t="s">
        <v>12</v>
      </c>
      <c r="E3506" t="str">
        <f>_xlfn.XLOOKUP(Vendas[[#This Row],[ID Item Vendido]],Agregado[ID],Agregado[Produto])</f>
        <v>Grânulo de plástico reciclado refinado</v>
      </c>
      <c r="F3506" s="39">
        <v>45430</v>
      </c>
      <c r="G3506" s="7">
        <v>129</v>
      </c>
      <c r="H3506" s="3">
        <f>_xlfn.XLOOKUP(Vendas[[#This Row],[ID Item Vendido]],Agregado[ID],Agregado[Revenda])</f>
        <v>4.7</v>
      </c>
      <c r="I3506" s="3">
        <f>Vendas[[#This Row],[Valor Unitário]]*Vendas[[#This Row],[Qnt Vendida]]</f>
        <v>606.30000000000007</v>
      </c>
      <c r="J3506" s="3">
        <f>Vendas[[#This Row],[Valor da Venda]]-(_xlfn.XLOOKUP(Vendas[[#This Row],[ID Item Vendido]],Agregado[ID],Agregado[Custo])*Vendas[[#This Row],[Qnt Vendida]])</f>
        <v>154.80000000000007</v>
      </c>
      <c r="K3506" s="70">
        <f>Vendas[[#This Row],[Lucro da Venda]]/Vendas[[#This Row],[Valor da Venda]]</f>
        <v>0.2553191489361703</v>
      </c>
      <c r="L3506" s="3">
        <f>_xlfn.IFS(Vendas[[#This Row],[Margem de Lucro (%)]]&lt;15%,Vendas[[#This Row],[Valor da Venda]]*3%,Vendas[[#This Row],[Margem de Lucro (%)]]&lt;=20%,Vendas[[#This Row],[Valor da Venda]]*4.5%,TRUE,Vendas[[#This Row],[Valor da Venda]]*6%)</f>
        <v>36.378</v>
      </c>
      <c r="M3506"/>
    </row>
    <row r="3507" spans="1:13" x14ac:dyDescent="0.3">
      <c r="A3507" s="7">
        <v>400251</v>
      </c>
      <c r="B3507" t="str">
        <f>_xlfn.XLOOKUP(Vendas[[#This Row],[ID Vendedor]],Vendedores[ID],Vendedores[Nome])</f>
        <v>Diego</v>
      </c>
      <c r="C3507" s="7" t="str">
        <f>_xlfn.XLOOKUP(Vendas[[#This Row],[ID Vendedor]],Vendedores[ID],Vendedores[Setor])</f>
        <v>AB</v>
      </c>
      <c r="D3507" s="7" t="s">
        <v>36</v>
      </c>
      <c r="E3507" t="str">
        <f>_xlfn.XLOOKUP(Vendas[[#This Row],[ID Item Vendido]],Agregado[ID],Agregado[Produto])</f>
        <v>Borracha vulcanizada em manta</v>
      </c>
      <c r="F3507" s="39">
        <v>45430</v>
      </c>
      <c r="G3507" s="7">
        <v>77</v>
      </c>
      <c r="H3507" s="3">
        <f>_xlfn.XLOOKUP(Vendas[[#This Row],[ID Item Vendido]],Agregado[ID],Agregado[Revenda])</f>
        <v>7.8</v>
      </c>
      <c r="I3507" s="3">
        <f>Vendas[[#This Row],[Valor Unitário]]*Vendas[[#This Row],[Qnt Vendida]]</f>
        <v>600.6</v>
      </c>
      <c r="J3507" s="3">
        <f>Vendas[[#This Row],[Valor da Venda]]-(_xlfn.XLOOKUP(Vendas[[#This Row],[ID Item Vendido]],Agregado[ID],Agregado[Custo])*Vendas[[#This Row],[Qnt Vendida]])</f>
        <v>138.60000000000002</v>
      </c>
      <c r="K3507" s="70">
        <f>Vendas[[#This Row],[Lucro da Venda]]/Vendas[[#This Row],[Valor da Venda]]</f>
        <v>0.23076923076923081</v>
      </c>
      <c r="L3507" s="3">
        <f>_xlfn.IFS(Vendas[[#This Row],[Margem de Lucro (%)]]&lt;15%,Vendas[[#This Row],[Valor da Venda]]*3%,Vendas[[#This Row],[Margem de Lucro (%)]]&lt;=20%,Vendas[[#This Row],[Valor da Venda]]*4.5%,TRUE,Vendas[[#This Row],[Valor da Venda]]*6%)</f>
        <v>36.036000000000001</v>
      </c>
      <c r="M3507"/>
    </row>
    <row r="3508" spans="1:13" x14ac:dyDescent="0.3">
      <c r="A3508" s="7">
        <v>400252</v>
      </c>
      <c r="B3508" t="str">
        <f>_xlfn.XLOOKUP(Vendas[[#This Row],[ID Vendedor]],Vendedores[ID],Vendedores[Nome])</f>
        <v>Renata</v>
      </c>
      <c r="C3508" s="7" t="str">
        <f>_xlfn.XLOOKUP(Vendas[[#This Row],[ID Vendedor]],Vendedores[ID],Vendedores[Setor])</f>
        <v>AB</v>
      </c>
      <c r="D3508" s="7" t="s">
        <v>36</v>
      </c>
      <c r="E3508" t="str">
        <f>_xlfn.XLOOKUP(Vendas[[#This Row],[ID Item Vendido]],Agregado[ID],Agregado[Produto])</f>
        <v>Borracha vulcanizada em manta</v>
      </c>
      <c r="F3508" s="39">
        <v>45430</v>
      </c>
      <c r="G3508" s="7">
        <v>60</v>
      </c>
      <c r="H3508" s="3">
        <f>_xlfn.XLOOKUP(Vendas[[#This Row],[ID Item Vendido]],Agregado[ID],Agregado[Revenda])</f>
        <v>7.8</v>
      </c>
      <c r="I3508" s="3">
        <f>Vendas[[#This Row],[Valor Unitário]]*Vendas[[#This Row],[Qnt Vendida]]</f>
        <v>468</v>
      </c>
      <c r="J3508" s="3">
        <f>Vendas[[#This Row],[Valor da Venda]]-(_xlfn.XLOOKUP(Vendas[[#This Row],[ID Item Vendido]],Agregado[ID],Agregado[Custo])*Vendas[[#This Row],[Qnt Vendida]])</f>
        <v>108</v>
      </c>
      <c r="K3508" s="70">
        <f>Vendas[[#This Row],[Lucro da Venda]]/Vendas[[#This Row],[Valor da Venda]]</f>
        <v>0.23076923076923078</v>
      </c>
      <c r="L3508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3508"/>
    </row>
    <row r="3509" spans="1:13" x14ac:dyDescent="0.3">
      <c r="A3509" s="7">
        <v>400252</v>
      </c>
      <c r="B3509" t="str">
        <f>_xlfn.XLOOKUP(Vendas[[#This Row],[ID Vendedor]],Vendedores[ID],Vendedores[Nome])</f>
        <v>Renata</v>
      </c>
      <c r="C3509" s="7" t="str">
        <f>_xlfn.XLOOKUP(Vendas[[#This Row],[ID Vendedor]],Vendedores[ID],Vendedores[Setor])</f>
        <v>AB</v>
      </c>
      <c r="D3509" s="7" t="s">
        <v>12</v>
      </c>
      <c r="E3509" t="str">
        <f>_xlfn.XLOOKUP(Vendas[[#This Row],[ID Item Vendido]],Agregado[ID],Agregado[Produto])</f>
        <v>Grânulo de plástico reciclado refinado</v>
      </c>
      <c r="F3509" s="39">
        <v>45430</v>
      </c>
      <c r="G3509" s="7">
        <v>34</v>
      </c>
      <c r="H3509" s="3">
        <f>_xlfn.XLOOKUP(Vendas[[#This Row],[ID Item Vendido]],Agregado[ID],Agregado[Revenda])</f>
        <v>4.7</v>
      </c>
      <c r="I3509" s="3">
        <f>Vendas[[#This Row],[Valor Unitário]]*Vendas[[#This Row],[Qnt Vendida]]</f>
        <v>159.80000000000001</v>
      </c>
      <c r="J3509" s="3">
        <f>Vendas[[#This Row],[Valor da Venda]]-(_xlfn.XLOOKUP(Vendas[[#This Row],[ID Item Vendido]],Agregado[ID],Agregado[Custo])*Vendas[[#This Row],[Qnt Vendida]])</f>
        <v>40.800000000000011</v>
      </c>
      <c r="K3509" s="70">
        <f>Vendas[[#This Row],[Lucro da Venda]]/Vendas[[#This Row],[Valor da Venda]]</f>
        <v>0.25531914893617025</v>
      </c>
      <c r="L3509" s="3">
        <f>_xlfn.IFS(Vendas[[#This Row],[Margem de Lucro (%)]]&lt;15%,Vendas[[#This Row],[Valor da Venda]]*3%,Vendas[[#This Row],[Margem de Lucro (%)]]&lt;=20%,Vendas[[#This Row],[Valor da Venda]]*4.5%,TRUE,Vendas[[#This Row],[Valor da Venda]]*6%)</f>
        <v>9.588000000000001</v>
      </c>
      <c r="M3509"/>
    </row>
    <row r="3510" spans="1:13" x14ac:dyDescent="0.3">
      <c r="A3510" s="7">
        <v>400243</v>
      </c>
      <c r="B3510" t="str">
        <f>_xlfn.XLOOKUP(Vendas[[#This Row],[ID Vendedor]],Vendedores[ID],Vendedores[Nome])</f>
        <v>Marcelo</v>
      </c>
      <c r="C3510" s="7" t="str">
        <f>_xlfn.XLOOKUP(Vendas[[#This Row],[ID Vendedor]],Vendedores[ID],Vendedores[Setor])</f>
        <v>FM</v>
      </c>
      <c r="D3510" s="7" t="s">
        <v>47</v>
      </c>
      <c r="E3510" t="str">
        <f>_xlfn.XLOOKUP(Vendas[[#This Row],[ID Item Vendido]],Agregado[ID],Agregado[Produto])</f>
        <v>Fio de arame galvanizado rolo 50m</v>
      </c>
      <c r="F3510" s="39">
        <v>45431</v>
      </c>
      <c r="G3510" s="7">
        <v>36</v>
      </c>
      <c r="H3510" s="3">
        <f>_xlfn.XLOOKUP(Vendas[[#This Row],[ID Item Vendido]],Agregado[ID],Agregado[Revenda])</f>
        <v>21.2</v>
      </c>
      <c r="I3510" s="3">
        <f>Vendas[[#This Row],[Valor Unitário]]*Vendas[[#This Row],[Qnt Vendida]]</f>
        <v>763.19999999999993</v>
      </c>
      <c r="J3510" s="3">
        <f>Vendas[[#This Row],[Valor da Venda]]-(_xlfn.XLOOKUP(Vendas[[#This Row],[ID Item Vendido]],Agregado[ID],Agregado[Custo])*Vendas[[#This Row],[Qnt Vendida]])</f>
        <v>115.19999999999993</v>
      </c>
      <c r="K3510" s="70">
        <f>Vendas[[#This Row],[Lucro da Venda]]/Vendas[[#This Row],[Valor da Venda]]</f>
        <v>0.15094339622641501</v>
      </c>
      <c r="L3510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3510"/>
    </row>
    <row r="3511" spans="1:13" x14ac:dyDescent="0.3">
      <c r="A3511" s="7">
        <v>400248</v>
      </c>
      <c r="B3511" t="str">
        <f>_xlfn.XLOOKUP(Vendas[[#This Row],[ID Vendedor]],Vendedores[ID],Vendedores[Nome])</f>
        <v>Patrícia</v>
      </c>
      <c r="C3511" s="7" t="str">
        <f>_xlfn.XLOOKUP(Vendas[[#This Row],[ID Vendedor]],Vendedores[ID],Vendedores[Setor])</f>
        <v>CM</v>
      </c>
      <c r="D3511" s="7" t="s">
        <v>34</v>
      </c>
      <c r="E3511" t="str">
        <f>_xlfn.XLOOKUP(Vendas[[#This Row],[ID Item Vendido]],Agregado[ID],Agregado[Produto])</f>
        <v>Restos de madeira p/ MDP/OSB saco de 20kg</v>
      </c>
      <c r="F3511" s="39">
        <v>45431</v>
      </c>
      <c r="G3511" s="7">
        <v>17</v>
      </c>
      <c r="H3511" s="3">
        <f>_xlfn.XLOOKUP(Vendas[[#This Row],[ID Item Vendido]],Agregado[ID],Agregado[Revenda])</f>
        <v>13.8</v>
      </c>
      <c r="I3511" s="3">
        <f>Vendas[[#This Row],[Valor Unitário]]*Vendas[[#This Row],[Qnt Vendida]]</f>
        <v>234.60000000000002</v>
      </c>
      <c r="J3511" s="3">
        <f>Vendas[[#This Row],[Valor da Venda]]-(_xlfn.XLOOKUP(Vendas[[#This Row],[ID Item Vendido]],Agregado[ID],Agregado[Custo])*Vendas[[#This Row],[Qnt Vendida]])</f>
        <v>30.600000000000023</v>
      </c>
      <c r="K3511" s="70">
        <f>Vendas[[#This Row],[Lucro da Venda]]/Vendas[[#This Row],[Valor da Venda]]</f>
        <v>0.13043478260869573</v>
      </c>
      <c r="L3511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3511"/>
    </row>
    <row r="3512" spans="1:13" x14ac:dyDescent="0.3">
      <c r="A3512" s="7">
        <v>400255</v>
      </c>
      <c r="B3512" t="str">
        <f>_xlfn.XLOOKUP(Vendas[[#This Row],[ID Vendedor]],Vendedores[ID],Vendedores[Nome])</f>
        <v>Carlos</v>
      </c>
      <c r="C3512" s="7" t="str">
        <f>_xlfn.XLOOKUP(Vendas[[#This Row],[ID Vendedor]],Vendedores[ID],Vendedores[Setor])</f>
        <v>SC</v>
      </c>
      <c r="D3512" s="7" t="s">
        <v>42</v>
      </c>
      <c r="E3512" t="str">
        <f>_xlfn.XLOOKUP(Vendas[[#This Row],[ID Item Vendido]],Agregado[ID],Agregado[Produto])</f>
        <v>Container de ferro industrial</v>
      </c>
      <c r="F3512" s="39">
        <v>45432</v>
      </c>
      <c r="G3512" s="7">
        <v>6</v>
      </c>
      <c r="H3512" s="3">
        <f>_xlfn.XLOOKUP(Vendas[[#This Row],[ID Item Vendido]],Agregado[ID],Agregado[Revenda])</f>
        <v>830</v>
      </c>
      <c r="I3512" s="3">
        <f>Vendas[[#This Row],[Valor Unitário]]*Vendas[[#This Row],[Qnt Vendida]]</f>
        <v>4980</v>
      </c>
      <c r="J3512" s="3">
        <f>Vendas[[#This Row],[Valor da Venda]]-(_xlfn.XLOOKUP(Vendas[[#This Row],[ID Item Vendido]],Agregado[ID],Agregado[Custo])*Vendas[[#This Row],[Qnt Vendida]])</f>
        <v>900</v>
      </c>
      <c r="K3512" s="70">
        <f>Vendas[[#This Row],[Lucro da Venda]]/Vendas[[#This Row],[Valor da Venda]]</f>
        <v>0.18072289156626506</v>
      </c>
      <c r="L351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12"/>
    </row>
    <row r="3513" spans="1:13" x14ac:dyDescent="0.3">
      <c r="A3513" s="7">
        <v>400252</v>
      </c>
      <c r="B3513" t="str">
        <f>_xlfn.XLOOKUP(Vendas[[#This Row],[ID Vendedor]],Vendedores[ID],Vendedores[Nome])</f>
        <v>Renata</v>
      </c>
      <c r="C3513" s="7" t="str">
        <f>_xlfn.XLOOKUP(Vendas[[#This Row],[ID Vendedor]],Vendedores[ID],Vendedores[Setor])</f>
        <v>AB</v>
      </c>
      <c r="D3513" s="7" t="s">
        <v>12</v>
      </c>
      <c r="E3513" t="str">
        <f>_xlfn.XLOOKUP(Vendas[[#This Row],[ID Item Vendido]],Agregado[ID],Agregado[Produto])</f>
        <v>Grânulo de plástico reciclado refinado</v>
      </c>
      <c r="F3513" s="39">
        <v>45432</v>
      </c>
      <c r="G3513" s="7">
        <v>131</v>
      </c>
      <c r="H3513" s="3">
        <f>_xlfn.XLOOKUP(Vendas[[#This Row],[ID Item Vendido]],Agregado[ID],Agregado[Revenda])</f>
        <v>4.7</v>
      </c>
      <c r="I3513" s="3">
        <f>Vendas[[#This Row],[Valor Unitário]]*Vendas[[#This Row],[Qnt Vendida]]</f>
        <v>615.70000000000005</v>
      </c>
      <c r="J3513" s="3">
        <f>Vendas[[#This Row],[Valor da Venda]]-(_xlfn.XLOOKUP(Vendas[[#This Row],[ID Item Vendido]],Agregado[ID],Agregado[Custo])*Vendas[[#This Row],[Qnt Vendida]])</f>
        <v>157.20000000000005</v>
      </c>
      <c r="K3513" s="70">
        <f>Vendas[[#This Row],[Lucro da Venda]]/Vendas[[#This Row],[Valor da Venda]]</f>
        <v>0.25531914893617025</v>
      </c>
      <c r="L3513" s="3">
        <f>_xlfn.IFS(Vendas[[#This Row],[Margem de Lucro (%)]]&lt;15%,Vendas[[#This Row],[Valor da Venda]]*3%,Vendas[[#This Row],[Margem de Lucro (%)]]&lt;=20%,Vendas[[#This Row],[Valor da Venda]]*4.5%,TRUE,Vendas[[#This Row],[Valor da Venda]]*6%)</f>
        <v>36.942</v>
      </c>
      <c r="M3513"/>
    </row>
    <row r="3514" spans="1:13" x14ac:dyDescent="0.3">
      <c r="A3514" s="7">
        <v>400245</v>
      </c>
      <c r="B3514" t="str">
        <f>_xlfn.XLOOKUP(Vendas[[#This Row],[ID Vendedor]],Vendedores[ID],Vendedores[Nome])</f>
        <v>Thiago</v>
      </c>
      <c r="C3514" s="7" t="str">
        <f>_xlfn.XLOOKUP(Vendas[[#This Row],[ID Vendedor]],Vendedores[ID],Vendedores[Setor])</f>
        <v>AHD</v>
      </c>
      <c r="D3514" s="7" t="s">
        <v>30</v>
      </c>
      <c r="E3514" t="str">
        <f>_xlfn.XLOOKUP(Vendas[[#This Row],[ID Item Vendido]],Agregado[ID],Agregado[Produto])</f>
        <v>Estrutura metálica soldada</v>
      </c>
      <c r="F3514" s="39">
        <v>45432</v>
      </c>
      <c r="G3514" s="7">
        <v>1</v>
      </c>
      <c r="H3514" s="3">
        <f>_xlfn.XLOOKUP(Vendas[[#This Row],[ID Item Vendido]],Agregado[ID],Agregado[Revenda])</f>
        <v>400</v>
      </c>
      <c r="I3514" s="3">
        <f>Vendas[[#This Row],[Valor Unitário]]*Vendas[[#This Row],[Qnt Vendida]]</f>
        <v>400</v>
      </c>
      <c r="J3514" s="3">
        <f>Vendas[[#This Row],[Valor da Venda]]-(_xlfn.XLOOKUP(Vendas[[#This Row],[ID Item Vendido]],Agregado[ID],Agregado[Custo])*Vendas[[#This Row],[Qnt Vendida]])</f>
        <v>80</v>
      </c>
      <c r="K3514" s="70">
        <f>Vendas[[#This Row],[Lucro da Venda]]/Vendas[[#This Row],[Valor da Venda]]</f>
        <v>0.2</v>
      </c>
      <c r="L351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514"/>
    </row>
    <row r="3515" spans="1:13" x14ac:dyDescent="0.3">
      <c r="A3515" s="7">
        <v>400244</v>
      </c>
      <c r="B3515" t="str">
        <f>_xlfn.XLOOKUP(Vendas[[#This Row],[ID Vendedor]],Vendedores[ID],Vendedores[Nome])</f>
        <v>Camila</v>
      </c>
      <c r="C3515" s="7" t="str">
        <f>_xlfn.XLOOKUP(Vendas[[#This Row],[ID Vendedor]],Vendedores[ID],Vendedores[Setor])</f>
        <v>AHD</v>
      </c>
      <c r="D3515" s="7" t="s">
        <v>28</v>
      </c>
      <c r="E3515" t="str">
        <f>_xlfn.XLOOKUP(Vendas[[#This Row],[ID Item Vendido]],Agregado[ID],Agregado[Produto])</f>
        <v>Peça usinada CNC</v>
      </c>
      <c r="F3515" s="39">
        <v>45432</v>
      </c>
      <c r="G3515" s="7">
        <v>2</v>
      </c>
      <c r="H3515" s="3">
        <f>_xlfn.XLOOKUP(Vendas[[#This Row],[ID Item Vendido]],Agregado[ID],Agregado[Revenda])</f>
        <v>192</v>
      </c>
      <c r="I3515" s="3">
        <f>Vendas[[#This Row],[Valor Unitário]]*Vendas[[#This Row],[Qnt Vendida]]</f>
        <v>384</v>
      </c>
      <c r="J3515" s="3">
        <f>Vendas[[#This Row],[Valor da Venda]]-(_xlfn.XLOOKUP(Vendas[[#This Row],[ID Item Vendido]],Agregado[ID],Agregado[Custo])*Vendas[[#This Row],[Qnt Vendida]])</f>
        <v>84</v>
      </c>
      <c r="K3515" s="70">
        <f>Vendas[[#This Row],[Lucro da Venda]]/Vendas[[#This Row],[Valor da Venda]]</f>
        <v>0.21875</v>
      </c>
      <c r="L3515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515"/>
    </row>
    <row r="3516" spans="1:13" x14ac:dyDescent="0.3">
      <c r="A3516" s="7">
        <v>400254</v>
      </c>
      <c r="B3516" t="str">
        <f>_xlfn.XLOOKUP(Vendas[[#This Row],[ID Vendedor]],Vendedores[ID],Vendedores[Nome])</f>
        <v>Beatriz</v>
      </c>
      <c r="C3516" s="7" t="str">
        <f>_xlfn.XLOOKUP(Vendas[[#This Row],[ID Vendedor]],Vendedores[ID],Vendedores[Setor])</f>
        <v>SC</v>
      </c>
      <c r="D3516" s="7" t="s">
        <v>14</v>
      </c>
      <c r="E3516" t="str">
        <f>_xlfn.XLOOKUP(Vendas[[#This Row],[ID Item Vendido]],Agregado[ID],Agregado[Produto])</f>
        <v>Barril de plástico 200L</v>
      </c>
      <c r="F3516" s="39">
        <v>45433</v>
      </c>
      <c r="G3516" s="7">
        <v>17</v>
      </c>
      <c r="H3516" s="3">
        <f>_xlfn.XLOOKUP(Vendas[[#This Row],[ID Item Vendido]],Agregado[ID],Agregado[Revenda])</f>
        <v>114</v>
      </c>
      <c r="I3516" s="3">
        <f>Vendas[[#This Row],[Valor Unitário]]*Vendas[[#This Row],[Qnt Vendida]]</f>
        <v>1938</v>
      </c>
      <c r="J3516" s="3">
        <f>Vendas[[#This Row],[Valor da Venda]]-(_xlfn.XLOOKUP(Vendas[[#This Row],[ID Item Vendido]],Agregado[ID],Agregado[Custo])*Vendas[[#This Row],[Qnt Vendida]])</f>
        <v>323</v>
      </c>
      <c r="K3516" s="70">
        <f>Vendas[[#This Row],[Lucro da Venda]]/Vendas[[#This Row],[Valor da Venda]]</f>
        <v>0.16666666666666666</v>
      </c>
      <c r="L3516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3516"/>
    </row>
    <row r="3517" spans="1:13" x14ac:dyDescent="0.3">
      <c r="A3517" s="7">
        <v>400245</v>
      </c>
      <c r="B3517" t="str">
        <f>_xlfn.XLOOKUP(Vendas[[#This Row],[ID Vendedor]],Vendedores[ID],Vendedores[Nome])</f>
        <v>Thiago</v>
      </c>
      <c r="C3517" s="7" t="str">
        <f>_xlfn.XLOOKUP(Vendas[[#This Row],[ID Vendedor]],Vendedores[ID],Vendedores[Setor])</f>
        <v>AHD</v>
      </c>
      <c r="D3517" s="7" t="s">
        <v>44</v>
      </c>
      <c r="E3517" t="str">
        <f>_xlfn.XLOOKUP(Vendas[[#This Row],[ID Item Vendido]],Agregado[ID],Agregado[Produto])</f>
        <v>Liga metálica especial</v>
      </c>
      <c r="F3517" s="39">
        <v>45433</v>
      </c>
      <c r="G3517" s="7">
        <v>55</v>
      </c>
      <c r="H3517" s="3">
        <f>_xlfn.XLOOKUP(Vendas[[#This Row],[ID Item Vendido]],Agregado[ID],Agregado[Revenda])</f>
        <v>32.5</v>
      </c>
      <c r="I3517" s="3">
        <f>Vendas[[#This Row],[Valor Unitário]]*Vendas[[#This Row],[Qnt Vendida]]</f>
        <v>1787.5</v>
      </c>
      <c r="J3517" s="3">
        <f>Vendas[[#This Row],[Valor da Venda]]-(_xlfn.XLOOKUP(Vendas[[#This Row],[ID Item Vendido]],Agregado[ID],Agregado[Custo])*Vendas[[#This Row],[Qnt Vendida]])</f>
        <v>412.5</v>
      </c>
      <c r="K3517" s="70">
        <f>Vendas[[#This Row],[Lucro da Venda]]/Vendas[[#This Row],[Valor da Venda]]</f>
        <v>0.23076923076923078</v>
      </c>
      <c r="L3517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3517"/>
    </row>
    <row r="3518" spans="1:13" x14ac:dyDescent="0.3">
      <c r="A3518" s="7">
        <v>400246</v>
      </c>
      <c r="B3518" t="str">
        <f>_xlfn.XLOOKUP(Vendas[[#This Row],[ID Vendedor]],Vendedores[ID],Vendedores[Nome])</f>
        <v>Juliana</v>
      </c>
      <c r="C3518" s="7" t="str">
        <f>_xlfn.XLOOKUP(Vendas[[#This Row],[ID Vendedor]],Vendedores[ID],Vendedores[Setor])</f>
        <v>AHD</v>
      </c>
      <c r="D3518" s="7" t="s">
        <v>18</v>
      </c>
      <c r="E3518" t="str">
        <f>_xlfn.XLOOKUP(Vendas[[#This Row],[ID Item Vendido]],Agregado[ID],Agregado[Produto])</f>
        <v>Peça forjada sob encomenda</v>
      </c>
      <c r="F3518" s="39">
        <v>45433</v>
      </c>
      <c r="G3518" s="7">
        <v>2</v>
      </c>
      <c r="H3518" s="3">
        <f>_xlfn.XLOOKUP(Vendas[[#This Row],[ID Item Vendido]],Agregado[ID],Agregado[Revenda])</f>
        <v>264.60000000000002</v>
      </c>
      <c r="I3518" s="3">
        <f>Vendas[[#This Row],[Valor Unitário]]*Vendas[[#This Row],[Qnt Vendida]]</f>
        <v>529.20000000000005</v>
      </c>
      <c r="J3518" s="3">
        <f>Vendas[[#This Row],[Valor da Venda]]-(_xlfn.XLOOKUP(Vendas[[#This Row],[ID Item Vendido]],Agregado[ID],Agregado[Custo])*Vendas[[#This Row],[Qnt Vendida]])</f>
        <v>29.200000000000045</v>
      </c>
      <c r="K3518" s="70">
        <f>Vendas[[#This Row],[Lucro da Venda]]/Vendas[[#This Row],[Valor da Venda]]</f>
        <v>5.5177626606198113E-2</v>
      </c>
      <c r="L3518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3518"/>
    </row>
    <row r="3519" spans="1:13" x14ac:dyDescent="0.3">
      <c r="A3519" s="7">
        <v>400254</v>
      </c>
      <c r="B3519" t="str">
        <f>_xlfn.XLOOKUP(Vendas[[#This Row],[ID Vendedor]],Vendedores[ID],Vendedores[Nome])</f>
        <v>Beatriz</v>
      </c>
      <c r="C3519" s="7" t="str">
        <f>_xlfn.XLOOKUP(Vendas[[#This Row],[ID Vendedor]],Vendedores[ID],Vendedores[Setor])</f>
        <v>SC</v>
      </c>
      <c r="D3519" s="7" t="s">
        <v>41</v>
      </c>
      <c r="E3519" t="str">
        <f>_xlfn.XLOOKUP(Vendas[[#This Row],[ID Item Vendido]],Agregado[ID],Agregado[Produto])</f>
        <v>Palete de madeira reforçado</v>
      </c>
      <c r="F3519" s="39">
        <v>45434</v>
      </c>
      <c r="G3519" s="7">
        <v>6</v>
      </c>
      <c r="H3519" s="3">
        <f>_xlfn.XLOOKUP(Vendas[[#This Row],[ID Item Vendido]],Agregado[ID],Agregado[Revenda])</f>
        <v>131</v>
      </c>
      <c r="I3519" s="3">
        <f>Vendas[[#This Row],[Valor Unitário]]*Vendas[[#This Row],[Qnt Vendida]]</f>
        <v>786</v>
      </c>
      <c r="J3519" s="3">
        <f>Vendas[[#This Row],[Valor da Venda]]-(_xlfn.XLOOKUP(Vendas[[#This Row],[ID Item Vendido]],Agregado[ID],Agregado[Custo])*Vendas[[#This Row],[Qnt Vendida]])</f>
        <v>126</v>
      </c>
      <c r="K3519" s="70">
        <f>Vendas[[#This Row],[Lucro da Venda]]/Vendas[[#This Row],[Valor da Venda]]</f>
        <v>0.16030534351145037</v>
      </c>
      <c r="L3519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3519"/>
    </row>
    <row r="3520" spans="1:13" x14ac:dyDescent="0.3">
      <c r="A3520" s="7">
        <v>400245</v>
      </c>
      <c r="B3520" t="str">
        <f>_xlfn.XLOOKUP(Vendas[[#This Row],[ID Vendedor]],Vendedores[ID],Vendedores[Nome])</f>
        <v>Thiago</v>
      </c>
      <c r="C3520" s="7" t="str">
        <f>_xlfn.XLOOKUP(Vendas[[#This Row],[ID Vendedor]],Vendedores[ID],Vendedores[Setor])</f>
        <v>AHD</v>
      </c>
      <c r="D3520" s="7" t="s">
        <v>30</v>
      </c>
      <c r="E3520" t="str">
        <f>_xlfn.XLOOKUP(Vendas[[#This Row],[ID Item Vendido]],Agregado[ID],Agregado[Produto])</f>
        <v>Estrutura metálica soldada</v>
      </c>
      <c r="F3520" s="39">
        <v>45434</v>
      </c>
      <c r="G3520" s="7">
        <v>1</v>
      </c>
      <c r="H3520" s="3">
        <f>_xlfn.XLOOKUP(Vendas[[#This Row],[ID Item Vendido]],Agregado[ID],Agregado[Revenda])</f>
        <v>400</v>
      </c>
      <c r="I3520" s="3">
        <f>Vendas[[#This Row],[Valor Unitário]]*Vendas[[#This Row],[Qnt Vendida]]</f>
        <v>400</v>
      </c>
      <c r="J3520" s="3">
        <f>Vendas[[#This Row],[Valor da Venda]]-(_xlfn.XLOOKUP(Vendas[[#This Row],[ID Item Vendido]],Agregado[ID],Agregado[Custo])*Vendas[[#This Row],[Qnt Vendida]])</f>
        <v>80</v>
      </c>
      <c r="K3520" s="70">
        <f>Vendas[[#This Row],[Lucro da Venda]]/Vendas[[#This Row],[Valor da Venda]]</f>
        <v>0.2</v>
      </c>
      <c r="L3520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520"/>
    </row>
    <row r="3521" spans="1:13" x14ac:dyDescent="0.3">
      <c r="A3521" s="7">
        <v>400255</v>
      </c>
      <c r="B3521" t="str">
        <f>_xlfn.XLOOKUP(Vendas[[#This Row],[ID Vendedor]],Vendedores[ID],Vendedores[Nome])</f>
        <v>Carlos</v>
      </c>
      <c r="C3521" s="7" t="str">
        <f>_xlfn.XLOOKUP(Vendas[[#This Row],[ID Vendedor]],Vendedores[ID],Vendedores[Setor])</f>
        <v>SC</v>
      </c>
      <c r="D3521" s="7" t="s">
        <v>42</v>
      </c>
      <c r="E3521" t="str">
        <f>_xlfn.XLOOKUP(Vendas[[#This Row],[ID Item Vendido]],Agregado[ID],Agregado[Produto])</f>
        <v>Container de ferro industrial</v>
      </c>
      <c r="F3521" s="39">
        <v>45435</v>
      </c>
      <c r="G3521" s="7">
        <v>6</v>
      </c>
      <c r="H3521" s="3">
        <f>_xlfn.XLOOKUP(Vendas[[#This Row],[ID Item Vendido]],Agregado[ID],Agregado[Revenda])</f>
        <v>830</v>
      </c>
      <c r="I3521" s="3">
        <f>Vendas[[#This Row],[Valor Unitário]]*Vendas[[#This Row],[Qnt Vendida]]</f>
        <v>4980</v>
      </c>
      <c r="J3521" s="3">
        <f>Vendas[[#This Row],[Valor da Venda]]-(_xlfn.XLOOKUP(Vendas[[#This Row],[ID Item Vendido]],Agregado[ID],Agregado[Custo])*Vendas[[#This Row],[Qnt Vendida]])</f>
        <v>900</v>
      </c>
      <c r="K3521" s="70">
        <f>Vendas[[#This Row],[Lucro da Venda]]/Vendas[[#This Row],[Valor da Venda]]</f>
        <v>0.18072289156626506</v>
      </c>
      <c r="L352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21"/>
    </row>
    <row r="3522" spans="1:13" x14ac:dyDescent="0.3">
      <c r="A3522" s="7">
        <v>400254</v>
      </c>
      <c r="B3522" t="str">
        <f>_xlfn.XLOOKUP(Vendas[[#This Row],[ID Vendedor]],Vendedores[ID],Vendedores[Nome])</f>
        <v>Beatriz</v>
      </c>
      <c r="C3522" s="7" t="str">
        <f>_xlfn.XLOOKUP(Vendas[[#This Row],[ID Vendedor]],Vendedores[ID],Vendedores[Setor])</f>
        <v>SC</v>
      </c>
      <c r="D3522" s="7" t="s">
        <v>14</v>
      </c>
      <c r="E3522" t="str">
        <f>_xlfn.XLOOKUP(Vendas[[#This Row],[ID Item Vendido]],Agregado[ID],Agregado[Produto])</f>
        <v>Barril de plástico 200L</v>
      </c>
      <c r="F3522" s="39">
        <v>45435</v>
      </c>
      <c r="G3522" s="7">
        <v>15</v>
      </c>
      <c r="H3522" s="3">
        <f>_xlfn.XLOOKUP(Vendas[[#This Row],[ID Item Vendido]],Agregado[ID],Agregado[Revenda])</f>
        <v>114</v>
      </c>
      <c r="I3522" s="3">
        <f>Vendas[[#This Row],[Valor Unitário]]*Vendas[[#This Row],[Qnt Vendida]]</f>
        <v>1710</v>
      </c>
      <c r="J3522" s="3">
        <f>Vendas[[#This Row],[Valor da Venda]]-(_xlfn.XLOOKUP(Vendas[[#This Row],[ID Item Vendido]],Agregado[ID],Agregado[Custo])*Vendas[[#This Row],[Qnt Vendida]])</f>
        <v>285</v>
      </c>
      <c r="K3522" s="70">
        <f>Vendas[[#This Row],[Lucro da Venda]]/Vendas[[#This Row],[Valor da Venda]]</f>
        <v>0.16666666666666666</v>
      </c>
      <c r="L3522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3522"/>
    </row>
    <row r="3523" spans="1:13" x14ac:dyDescent="0.3">
      <c r="A3523" s="7">
        <v>400242</v>
      </c>
      <c r="B3523" t="str">
        <f>_xlfn.XLOOKUP(Vendas[[#This Row],[ID Vendedor]],Vendedores[ID],Vendedores[Nome])</f>
        <v>Fernanda</v>
      </c>
      <c r="C3523" s="7" t="str">
        <f>_xlfn.XLOOKUP(Vendas[[#This Row],[ID Vendedor]],Vendedores[ID],Vendedores[Setor])</f>
        <v>FM</v>
      </c>
      <c r="D3523" s="7" t="s">
        <v>47</v>
      </c>
      <c r="E3523" t="str">
        <f>_xlfn.XLOOKUP(Vendas[[#This Row],[ID Item Vendido]],Agregado[ID],Agregado[Produto])</f>
        <v>Fio de arame galvanizado rolo 50m</v>
      </c>
      <c r="F3523" s="39">
        <v>45435</v>
      </c>
      <c r="G3523" s="7">
        <v>20</v>
      </c>
      <c r="H3523" s="3">
        <f>_xlfn.XLOOKUP(Vendas[[#This Row],[ID Item Vendido]],Agregado[ID],Agregado[Revenda])</f>
        <v>21.2</v>
      </c>
      <c r="I3523" s="3">
        <f>Vendas[[#This Row],[Valor Unitário]]*Vendas[[#This Row],[Qnt Vendida]]</f>
        <v>424</v>
      </c>
      <c r="J3523" s="3">
        <f>Vendas[[#This Row],[Valor da Venda]]-(_xlfn.XLOOKUP(Vendas[[#This Row],[ID Item Vendido]],Agregado[ID],Agregado[Custo])*Vendas[[#This Row],[Qnt Vendida]])</f>
        <v>64</v>
      </c>
      <c r="K3523" s="70">
        <f>Vendas[[#This Row],[Lucro da Venda]]/Vendas[[#This Row],[Valor da Venda]]</f>
        <v>0.15094339622641509</v>
      </c>
      <c r="L3523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523"/>
    </row>
    <row r="3524" spans="1:13" x14ac:dyDescent="0.3">
      <c r="A3524" s="7">
        <v>400252</v>
      </c>
      <c r="B3524" t="str">
        <f>_xlfn.XLOOKUP(Vendas[[#This Row],[ID Vendedor]],Vendedores[ID],Vendedores[Nome])</f>
        <v>Renata</v>
      </c>
      <c r="C3524" s="7" t="str">
        <f>_xlfn.XLOOKUP(Vendas[[#This Row],[ID Vendedor]],Vendedores[ID],Vendedores[Setor])</f>
        <v>AB</v>
      </c>
      <c r="D3524" s="7" t="s">
        <v>36</v>
      </c>
      <c r="E3524" t="str">
        <f>_xlfn.XLOOKUP(Vendas[[#This Row],[ID Item Vendido]],Agregado[ID],Agregado[Produto])</f>
        <v>Borracha vulcanizada em manta</v>
      </c>
      <c r="F3524" s="39">
        <v>45435</v>
      </c>
      <c r="G3524" s="7">
        <v>15</v>
      </c>
      <c r="H3524" s="3">
        <f>_xlfn.XLOOKUP(Vendas[[#This Row],[ID Item Vendido]],Agregado[ID],Agregado[Revenda])</f>
        <v>7.8</v>
      </c>
      <c r="I3524" s="3">
        <f>Vendas[[#This Row],[Valor Unitário]]*Vendas[[#This Row],[Qnt Vendida]]</f>
        <v>117</v>
      </c>
      <c r="J3524" s="3">
        <f>Vendas[[#This Row],[Valor da Venda]]-(_xlfn.XLOOKUP(Vendas[[#This Row],[ID Item Vendido]],Agregado[ID],Agregado[Custo])*Vendas[[#This Row],[Qnt Vendida]])</f>
        <v>27</v>
      </c>
      <c r="K3524" s="70">
        <f>Vendas[[#This Row],[Lucro da Venda]]/Vendas[[#This Row],[Valor da Venda]]</f>
        <v>0.23076923076923078</v>
      </c>
      <c r="L3524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3524"/>
    </row>
    <row r="3525" spans="1:13" x14ac:dyDescent="0.3">
      <c r="A3525" s="7">
        <v>400243</v>
      </c>
      <c r="B3525" t="str">
        <f>_xlfn.XLOOKUP(Vendas[[#This Row],[ID Vendedor]],Vendedores[ID],Vendedores[Nome])</f>
        <v>Marcelo</v>
      </c>
      <c r="C3525" s="7" t="str">
        <f>_xlfn.XLOOKUP(Vendas[[#This Row],[ID Vendedor]],Vendedores[ID],Vendedores[Setor])</f>
        <v>FM</v>
      </c>
      <c r="D3525" s="7" t="s">
        <v>27</v>
      </c>
      <c r="E3525" t="str">
        <f>_xlfn.XLOOKUP(Vendas[[#This Row],[ID Item Vendido]],Agregado[ID],Agregado[Produto])</f>
        <v>Chapa de metal lisa 1x2m</v>
      </c>
      <c r="F3525" s="39">
        <v>45436</v>
      </c>
      <c r="G3525" s="7">
        <v>20</v>
      </c>
      <c r="H3525" s="3">
        <f>_xlfn.XLOOKUP(Vendas[[#This Row],[ID Item Vendido]],Agregado[ID],Agregado[Revenda])</f>
        <v>52</v>
      </c>
      <c r="I3525" s="3">
        <f>Vendas[[#This Row],[Valor Unitário]]*Vendas[[#This Row],[Qnt Vendida]]</f>
        <v>1040</v>
      </c>
      <c r="J3525" s="3">
        <f>Vendas[[#This Row],[Valor da Venda]]-(_xlfn.XLOOKUP(Vendas[[#This Row],[ID Item Vendido]],Agregado[ID],Agregado[Custo])*Vendas[[#This Row],[Qnt Vendida]])</f>
        <v>140</v>
      </c>
      <c r="K3525" s="70">
        <f>Vendas[[#This Row],[Lucro da Venda]]/Vendas[[#This Row],[Valor da Venda]]</f>
        <v>0.13461538461538461</v>
      </c>
      <c r="L3525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3525"/>
    </row>
    <row r="3526" spans="1:13" x14ac:dyDescent="0.3">
      <c r="A3526" s="7">
        <v>400254</v>
      </c>
      <c r="B3526" t="str">
        <f>_xlfn.XLOOKUP(Vendas[[#This Row],[ID Vendedor]],Vendedores[ID],Vendedores[Nome])</f>
        <v>Beatriz</v>
      </c>
      <c r="C3526" s="7" t="str">
        <f>_xlfn.XLOOKUP(Vendas[[#This Row],[ID Vendedor]],Vendedores[ID],Vendedores[Setor])</f>
        <v>SC</v>
      </c>
      <c r="D3526" s="7" t="s">
        <v>14</v>
      </c>
      <c r="E3526" t="str">
        <f>_xlfn.XLOOKUP(Vendas[[#This Row],[ID Item Vendido]],Agregado[ID],Agregado[Produto])</f>
        <v>Barril de plástico 200L</v>
      </c>
      <c r="F3526" s="39">
        <v>45436</v>
      </c>
      <c r="G3526" s="7">
        <v>3</v>
      </c>
      <c r="H3526" s="3">
        <f>_xlfn.XLOOKUP(Vendas[[#This Row],[ID Item Vendido]],Agregado[ID],Agregado[Revenda])</f>
        <v>114</v>
      </c>
      <c r="I3526" s="3">
        <f>Vendas[[#This Row],[Valor Unitário]]*Vendas[[#This Row],[Qnt Vendida]]</f>
        <v>342</v>
      </c>
      <c r="J3526" s="3">
        <f>Vendas[[#This Row],[Valor da Venda]]-(_xlfn.XLOOKUP(Vendas[[#This Row],[ID Item Vendido]],Agregado[ID],Agregado[Custo])*Vendas[[#This Row],[Qnt Vendida]])</f>
        <v>57</v>
      </c>
      <c r="K3526" s="70">
        <f>Vendas[[#This Row],[Lucro da Venda]]/Vendas[[#This Row],[Valor da Venda]]</f>
        <v>0.16666666666666666</v>
      </c>
      <c r="L3526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3526"/>
    </row>
    <row r="3527" spans="1:13" x14ac:dyDescent="0.3">
      <c r="A3527" s="7">
        <v>400245</v>
      </c>
      <c r="B3527" t="str">
        <f>_xlfn.XLOOKUP(Vendas[[#This Row],[ID Vendedor]],Vendedores[ID],Vendedores[Nome])</f>
        <v>Thiago</v>
      </c>
      <c r="C3527" s="7" t="str">
        <f>_xlfn.XLOOKUP(Vendas[[#This Row],[ID Vendedor]],Vendedores[ID],Vendedores[Setor])</f>
        <v>AHD</v>
      </c>
      <c r="D3527" s="7" t="s">
        <v>44</v>
      </c>
      <c r="E3527" t="str">
        <f>_xlfn.XLOOKUP(Vendas[[#This Row],[ID Item Vendido]],Agregado[ID],Agregado[Produto])</f>
        <v>Liga metálica especial</v>
      </c>
      <c r="F3527" s="39">
        <v>45436</v>
      </c>
      <c r="G3527" s="7">
        <v>9</v>
      </c>
      <c r="H3527" s="3">
        <f>_xlfn.XLOOKUP(Vendas[[#This Row],[ID Item Vendido]],Agregado[ID],Agregado[Revenda])</f>
        <v>32.5</v>
      </c>
      <c r="I3527" s="3">
        <f>Vendas[[#This Row],[Valor Unitário]]*Vendas[[#This Row],[Qnt Vendida]]</f>
        <v>292.5</v>
      </c>
      <c r="J3527" s="3">
        <f>Vendas[[#This Row],[Valor da Venda]]-(_xlfn.XLOOKUP(Vendas[[#This Row],[ID Item Vendido]],Agregado[ID],Agregado[Custo])*Vendas[[#This Row],[Qnt Vendida]])</f>
        <v>67.5</v>
      </c>
      <c r="K3527" s="70">
        <f>Vendas[[#This Row],[Lucro da Venda]]/Vendas[[#This Row],[Valor da Venda]]</f>
        <v>0.23076923076923078</v>
      </c>
      <c r="L3527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3527"/>
    </row>
    <row r="3528" spans="1:13" x14ac:dyDescent="0.3">
      <c r="A3528" s="7">
        <v>400254</v>
      </c>
      <c r="B3528" t="str">
        <f>_xlfn.XLOOKUP(Vendas[[#This Row],[ID Vendedor]],Vendedores[ID],Vendedores[Nome])</f>
        <v>Beatriz</v>
      </c>
      <c r="C3528" s="7" t="str">
        <f>_xlfn.XLOOKUP(Vendas[[#This Row],[ID Vendedor]],Vendedores[ID],Vendedores[Setor])</f>
        <v>SC</v>
      </c>
      <c r="D3528" s="7" t="s">
        <v>42</v>
      </c>
      <c r="E3528" t="str">
        <f>_xlfn.XLOOKUP(Vendas[[#This Row],[ID Item Vendido]],Agregado[ID],Agregado[Produto])</f>
        <v>Container de ferro industrial</v>
      </c>
      <c r="F3528" s="39">
        <v>45437</v>
      </c>
      <c r="G3528" s="7">
        <v>6</v>
      </c>
      <c r="H3528" s="3">
        <f>_xlfn.XLOOKUP(Vendas[[#This Row],[ID Item Vendido]],Agregado[ID],Agregado[Revenda])</f>
        <v>830</v>
      </c>
      <c r="I3528" s="3">
        <f>Vendas[[#This Row],[Valor Unitário]]*Vendas[[#This Row],[Qnt Vendida]]</f>
        <v>4980</v>
      </c>
      <c r="J3528" s="3">
        <f>Vendas[[#This Row],[Valor da Venda]]-(_xlfn.XLOOKUP(Vendas[[#This Row],[ID Item Vendido]],Agregado[ID],Agregado[Custo])*Vendas[[#This Row],[Qnt Vendida]])</f>
        <v>900</v>
      </c>
      <c r="K3528" s="70">
        <f>Vendas[[#This Row],[Lucro da Venda]]/Vendas[[#This Row],[Valor da Venda]]</f>
        <v>0.18072289156626506</v>
      </c>
      <c r="L3528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28"/>
    </row>
    <row r="3529" spans="1:13" x14ac:dyDescent="0.3">
      <c r="A3529" s="7">
        <v>400253</v>
      </c>
      <c r="B3529" t="str">
        <f>_xlfn.XLOOKUP(Vendas[[#This Row],[ID Vendedor]],Vendedores[ID],Vendedores[Nome])</f>
        <v>Gustavo</v>
      </c>
      <c r="C3529" s="7" t="str">
        <f>_xlfn.XLOOKUP(Vendas[[#This Row],[ID Vendedor]],Vendedores[ID],Vendedores[Setor])</f>
        <v>SC</v>
      </c>
      <c r="D3529" s="7" t="s">
        <v>14</v>
      </c>
      <c r="E3529" t="str">
        <f>_xlfn.XLOOKUP(Vendas[[#This Row],[ID Item Vendido]],Agregado[ID],Agregado[Produto])</f>
        <v>Barril de plástico 200L</v>
      </c>
      <c r="F3529" s="39">
        <v>45437</v>
      </c>
      <c r="G3529" s="7">
        <v>11</v>
      </c>
      <c r="H3529" s="3">
        <f>_xlfn.XLOOKUP(Vendas[[#This Row],[ID Item Vendido]],Agregado[ID],Agregado[Revenda])</f>
        <v>114</v>
      </c>
      <c r="I3529" s="3">
        <f>Vendas[[#This Row],[Valor Unitário]]*Vendas[[#This Row],[Qnt Vendida]]</f>
        <v>1254</v>
      </c>
      <c r="J3529" s="3">
        <f>Vendas[[#This Row],[Valor da Venda]]-(_xlfn.XLOOKUP(Vendas[[#This Row],[ID Item Vendido]],Agregado[ID],Agregado[Custo])*Vendas[[#This Row],[Qnt Vendida]])</f>
        <v>209</v>
      </c>
      <c r="K3529" s="70">
        <f>Vendas[[#This Row],[Lucro da Venda]]/Vendas[[#This Row],[Valor da Venda]]</f>
        <v>0.16666666666666666</v>
      </c>
      <c r="L352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529"/>
    </row>
    <row r="3530" spans="1:13" x14ac:dyDescent="0.3">
      <c r="A3530" s="7">
        <v>400252</v>
      </c>
      <c r="B3530" t="str">
        <f>_xlfn.XLOOKUP(Vendas[[#This Row],[ID Vendedor]],Vendedores[ID],Vendedores[Nome])</f>
        <v>Renata</v>
      </c>
      <c r="C3530" s="7" t="str">
        <f>_xlfn.XLOOKUP(Vendas[[#This Row],[ID Vendedor]],Vendedores[ID],Vendedores[Setor])</f>
        <v>AB</v>
      </c>
      <c r="D3530" s="7" t="s">
        <v>12</v>
      </c>
      <c r="E3530" t="str">
        <f>_xlfn.XLOOKUP(Vendas[[#This Row],[ID Item Vendido]],Agregado[ID],Agregado[Produto])</f>
        <v>Grânulo de plástico reciclado refinado</v>
      </c>
      <c r="F3530" s="39">
        <v>45437</v>
      </c>
      <c r="G3530" s="7">
        <v>127</v>
      </c>
      <c r="H3530" s="3">
        <f>_xlfn.XLOOKUP(Vendas[[#This Row],[ID Item Vendido]],Agregado[ID],Agregado[Revenda])</f>
        <v>4.7</v>
      </c>
      <c r="I3530" s="3">
        <f>Vendas[[#This Row],[Valor Unitário]]*Vendas[[#This Row],[Qnt Vendida]]</f>
        <v>596.9</v>
      </c>
      <c r="J3530" s="3">
        <f>Vendas[[#This Row],[Valor da Venda]]-(_xlfn.XLOOKUP(Vendas[[#This Row],[ID Item Vendido]],Agregado[ID],Agregado[Custo])*Vendas[[#This Row],[Qnt Vendida]])</f>
        <v>152.39999999999998</v>
      </c>
      <c r="K3530" s="70">
        <f>Vendas[[#This Row],[Lucro da Venda]]/Vendas[[#This Row],[Valor da Venda]]</f>
        <v>0.25531914893617019</v>
      </c>
      <c r="L3530" s="3">
        <f>_xlfn.IFS(Vendas[[#This Row],[Margem de Lucro (%)]]&lt;15%,Vendas[[#This Row],[Valor da Venda]]*3%,Vendas[[#This Row],[Margem de Lucro (%)]]&lt;=20%,Vendas[[#This Row],[Valor da Venda]]*4.5%,TRUE,Vendas[[#This Row],[Valor da Venda]]*6%)</f>
        <v>35.814</v>
      </c>
      <c r="M3530"/>
    </row>
    <row r="3531" spans="1:13" x14ac:dyDescent="0.3">
      <c r="A3531" s="7">
        <v>400242</v>
      </c>
      <c r="B3531" t="str">
        <f>_xlfn.XLOOKUP(Vendas[[#This Row],[ID Vendedor]],Vendedores[ID],Vendedores[Nome])</f>
        <v>Fernanda</v>
      </c>
      <c r="C3531" s="7" t="str">
        <f>_xlfn.XLOOKUP(Vendas[[#This Row],[ID Vendedor]],Vendedores[ID],Vendedores[Setor])</f>
        <v>FM</v>
      </c>
      <c r="D3531" s="7" t="s">
        <v>47</v>
      </c>
      <c r="E3531" t="str">
        <f>_xlfn.XLOOKUP(Vendas[[#This Row],[ID Item Vendido]],Agregado[ID],Agregado[Produto])</f>
        <v>Fio de arame galvanizado rolo 50m</v>
      </c>
      <c r="F3531" s="39">
        <v>45437</v>
      </c>
      <c r="G3531" s="7">
        <v>10</v>
      </c>
      <c r="H3531" s="3">
        <f>_xlfn.XLOOKUP(Vendas[[#This Row],[ID Item Vendido]],Agregado[ID],Agregado[Revenda])</f>
        <v>21.2</v>
      </c>
      <c r="I3531" s="3">
        <f>Vendas[[#This Row],[Valor Unitário]]*Vendas[[#This Row],[Qnt Vendida]]</f>
        <v>212</v>
      </c>
      <c r="J3531" s="3">
        <f>Vendas[[#This Row],[Valor da Venda]]-(_xlfn.XLOOKUP(Vendas[[#This Row],[ID Item Vendido]],Agregado[ID],Agregado[Custo])*Vendas[[#This Row],[Qnt Vendida]])</f>
        <v>32</v>
      </c>
      <c r="K3531" s="70">
        <f>Vendas[[#This Row],[Lucro da Venda]]/Vendas[[#This Row],[Valor da Venda]]</f>
        <v>0.15094339622641509</v>
      </c>
      <c r="L3531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3531"/>
    </row>
    <row r="3532" spans="1:13" x14ac:dyDescent="0.3">
      <c r="A3532" s="7">
        <v>400252</v>
      </c>
      <c r="B3532" t="str">
        <f>_xlfn.XLOOKUP(Vendas[[#This Row],[ID Vendedor]],Vendedores[ID],Vendedores[Nome])</f>
        <v>Renata</v>
      </c>
      <c r="C3532" s="7" t="str">
        <f>_xlfn.XLOOKUP(Vendas[[#This Row],[ID Vendedor]],Vendedores[ID],Vendedores[Setor])</f>
        <v>AB</v>
      </c>
      <c r="D3532" s="7" t="s">
        <v>24</v>
      </c>
      <c r="E3532" t="str">
        <f>_xlfn.XLOOKUP(Vendas[[#This Row],[ID Item Vendido]],Agregado[ID],Agregado[Produto])</f>
        <v>Resina plástica PET purificada saco de 25kg</v>
      </c>
      <c r="F3532" s="39">
        <v>45438</v>
      </c>
      <c r="G3532" s="7">
        <v>16</v>
      </c>
      <c r="H3532" s="3">
        <f>_xlfn.XLOOKUP(Vendas[[#This Row],[ID Item Vendido]],Agregado[ID],Agregado[Revenda])</f>
        <v>119</v>
      </c>
      <c r="I3532" s="3">
        <f>Vendas[[#This Row],[Valor Unitário]]*Vendas[[#This Row],[Qnt Vendida]]</f>
        <v>1904</v>
      </c>
      <c r="J3532" s="3">
        <f>Vendas[[#This Row],[Valor da Venda]]-(_xlfn.XLOOKUP(Vendas[[#This Row],[ID Item Vendido]],Agregado[ID],Agregado[Custo])*Vendas[[#This Row],[Qnt Vendida]])</f>
        <v>544</v>
      </c>
      <c r="K3532" s="70">
        <f>Vendas[[#This Row],[Lucro da Venda]]/Vendas[[#This Row],[Valor da Venda]]</f>
        <v>0.2857142857142857</v>
      </c>
      <c r="L3532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3532"/>
    </row>
    <row r="3533" spans="1:13" x14ac:dyDescent="0.3">
      <c r="A3533" s="7">
        <v>400251</v>
      </c>
      <c r="B3533" t="str">
        <f>_xlfn.XLOOKUP(Vendas[[#This Row],[ID Vendedor]],Vendedores[ID],Vendedores[Nome])</f>
        <v>Diego</v>
      </c>
      <c r="C3533" s="7" t="str">
        <f>_xlfn.XLOOKUP(Vendas[[#This Row],[ID Vendedor]],Vendedores[ID],Vendedores[Setor])</f>
        <v>AB</v>
      </c>
      <c r="D3533" s="7" t="s">
        <v>24</v>
      </c>
      <c r="E3533" t="str">
        <f>_xlfn.XLOOKUP(Vendas[[#This Row],[ID Item Vendido]],Agregado[ID],Agregado[Produto])</f>
        <v>Resina plástica PET purificada saco de 25kg</v>
      </c>
      <c r="F3533" s="39">
        <v>45439</v>
      </c>
      <c r="G3533" s="7">
        <v>15</v>
      </c>
      <c r="H3533" s="3">
        <f>_xlfn.XLOOKUP(Vendas[[#This Row],[ID Item Vendido]],Agregado[ID],Agregado[Revenda])</f>
        <v>119</v>
      </c>
      <c r="I3533" s="3">
        <f>Vendas[[#This Row],[Valor Unitário]]*Vendas[[#This Row],[Qnt Vendida]]</f>
        <v>1785</v>
      </c>
      <c r="J3533" s="3">
        <f>Vendas[[#This Row],[Valor da Venda]]-(_xlfn.XLOOKUP(Vendas[[#This Row],[ID Item Vendido]],Agregado[ID],Agregado[Custo])*Vendas[[#This Row],[Qnt Vendida]])</f>
        <v>510</v>
      </c>
      <c r="K3533" s="70">
        <f>Vendas[[#This Row],[Lucro da Venda]]/Vendas[[#This Row],[Valor da Venda]]</f>
        <v>0.2857142857142857</v>
      </c>
      <c r="L3533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3533"/>
    </row>
    <row r="3534" spans="1:13" x14ac:dyDescent="0.3">
      <c r="A3534" s="7">
        <v>400244</v>
      </c>
      <c r="B3534" t="str">
        <f>_xlfn.XLOOKUP(Vendas[[#This Row],[ID Vendedor]],Vendedores[ID],Vendedores[Nome])</f>
        <v>Camila</v>
      </c>
      <c r="C3534" s="7" t="str">
        <f>_xlfn.XLOOKUP(Vendas[[#This Row],[ID Vendedor]],Vendedores[ID],Vendedores[Setor])</f>
        <v>AHD</v>
      </c>
      <c r="D3534" s="7" t="s">
        <v>28</v>
      </c>
      <c r="E3534" t="str">
        <f>_xlfn.XLOOKUP(Vendas[[#This Row],[ID Item Vendido]],Agregado[ID],Agregado[Produto])</f>
        <v>Peça usinada CNC</v>
      </c>
      <c r="F3534" s="39">
        <v>45440</v>
      </c>
      <c r="G3534" s="7">
        <v>8</v>
      </c>
      <c r="H3534" s="3">
        <f>_xlfn.XLOOKUP(Vendas[[#This Row],[ID Item Vendido]],Agregado[ID],Agregado[Revenda])</f>
        <v>192</v>
      </c>
      <c r="I3534" s="3">
        <f>Vendas[[#This Row],[Valor Unitário]]*Vendas[[#This Row],[Qnt Vendida]]</f>
        <v>1536</v>
      </c>
      <c r="J3534" s="3">
        <f>Vendas[[#This Row],[Valor da Venda]]-(_xlfn.XLOOKUP(Vendas[[#This Row],[ID Item Vendido]],Agregado[ID],Agregado[Custo])*Vendas[[#This Row],[Qnt Vendida]])</f>
        <v>336</v>
      </c>
      <c r="K3534" s="70">
        <f>Vendas[[#This Row],[Lucro da Venda]]/Vendas[[#This Row],[Valor da Venda]]</f>
        <v>0.21875</v>
      </c>
      <c r="L3534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3534"/>
    </row>
    <row r="3535" spans="1:13" x14ac:dyDescent="0.3">
      <c r="A3535" s="7">
        <v>400248</v>
      </c>
      <c r="B3535" t="str">
        <f>_xlfn.XLOOKUP(Vendas[[#This Row],[ID Vendedor]],Vendedores[ID],Vendedores[Nome])</f>
        <v>Patrícia</v>
      </c>
      <c r="C3535" s="7" t="str">
        <f>_xlfn.XLOOKUP(Vendas[[#This Row],[ID Vendedor]],Vendedores[ID],Vendedores[Setor])</f>
        <v>CM</v>
      </c>
      <c r="D3535" s="7" t="s">
        <v>32</v>
      </c>
      <c r="E3535" t="str">
        <f>_xlfn.XLOOKUP(Vendas[[#This Row],[ID Item Vendido]],Agregado[ID],Agregado[Produto])</f>
        <v>Tábua tratada e cortada 3m</v>
      </c>
      <c r="F3535" s="39">
        <v>45440</v>
      </c>
      <c r="G3535" s="7">
        <v>8</v>
      </c>
      <c r="H3535" s="3">
        <f>_xlfn.XLOOKUP(Vendas[[#This Row],[ID Item Vendido]],Agregado[ID],Agregado[Revenda])</f>
        <v>39</v>
      </c>
      <c r="I3535" s="3">
        <f>Vendas[[#This Row],[Valor Unitário]]*Vendas[[#This Row],[Qnt Vendida]]</f>
        <v>312</v>
      </c>
      <c r="J3535" s="3">
        <f>Vendas[[#This Row],[Valor da Venda]]-(_xlfn.XLOOKUP(Vendas[[#This Row],[ID Item Vendido]],Agregado[ID],Agregado[Custo])*Vendas[[#This Row],[Qnt Vendida]])</f>
        <v>56</v>
      </c>
      <c r="K3535" s="70">
        <f>Vendas[[#This Row],[Lucro da Venda]]/Vendas[[#This Row],[Valor da Venda]]</f>
        <v>0.17948717948717949</v>
      </c>
      <c r="L3535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535"/>
    </row>
    <row r="3536" spans="1:13" x14ac:dyDescent="0.3">
      <c r="A3536" s="7">
        <v>400245</v>
      </c>
      <c r="B3536" t="str">
        <f>_xlfn.XLOOKUP(Vendas[[#This Row],[ID Vendedor]],Vendedores[ID],Vendedores[Nome])</f>
        <v>Thiago</v>
      </c>
      <c r="C3536" s="7" t="str">
        <f>_xlfn.XLOOKUP(Vendas[[#This Row],[ID Vendedor]],Vendedores[ID],Vendedores[Setor])</f>
        <v>AHD</v>
      </c>
      <c r="D3536" s="7" t="s">
        <v>9</v>
      </c>
      <c r="E3536" t="str">
        <f>_xlfn.XLOOKUP(Vendas[[#This Row],[ID Item Vendido]],Agregado[ID],Agregado[Produto])</f>
        <v>Barra de aço simples</v>
      </c>
      <c r="F3536" s="39">
        <v>45440</v>
      </c>
      <c r="G3536" s="7">
        <v>35</v>
      </c>
      <c r="H3536" s="3">
        <f>_xlfn.XLOOKUP(Vendas[[#This Row],[ID Item Vendido]],Agregado[ID],Agregado[Revenda])</f>
        <v>6.7</v>
      </c>
      <c r="I3536" s="3">
        <f>Vendas[[#This Row],[Valor Unitário]]*Vendas[[#This Row],[Qnt Vendida]]</f>
        <v>234.5</v>
      </c>
      <c r="J3536" s="3">
        <f>Vendas[[#This Row],[Valor da Venda]]-(_xlfn.XLOOKUP(Vendas[[#This Row],[ID Item Vendido]],Agregado[ID],Agregado[Custo])*Vendas[[#This Row],[Qnt Vendida]])</f>
        <v>31.5</v>
      </c>
      <c r="K3536" s="70">
        <f>Vendas[[#This Row],[Lucro da Venda]]/Vendas[[#This Row],[Valor da Venda]]</f>
        <v>0.13432835820895522</v>
      </c>
      <c r="L3536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3536"/>
    </row>
    <row r="3537" spans="1:13" x14ac:dyDescent="0.3">
      <c r="A3537" s="7">
        <v>400254</v>
      </c>
      <c r="B3537" t="str">
        <f>_xlfn.XLOOKUP(Vendas[[#This Row],[ID Vendedor]],Vendedores[ID],Vendedores[Nome])</f>
        <v>Beatriz</v>
      </c>
      <c r="C3537" s="7" t="str">
        <f>_xlfn.XLOOKUP(Vendas[[#This Row],[ID Vendedor]],Vendedores[ID],Vendedores[Setor])</f>
        <v>SC</v>
      </c>
      <c r="D3537" s="7" t="s">
        <v>48</v>
      </c>
      <c r="E3537" t="str">
        <f>_xlfn.XLOOKUP(Vendas[[#This Row],[ID Item Vendido]],Agregado[ID],Agregado[Produto])</f>
        <v>Tambor metálico 200L</v>
      </c>
      <c r="F3537" s="39">
        <v>45441</v>
      </c>
      <c r="G3537" s="7">
        <v>8</v>
      </c>
      <c r="H3537" s="3">
        <f>_xlfn.XLOOKUP(Vendas[[#This Row],[ID Item Vendido]],Agregado[ID],Agregado[Revenda])</f>
        <v>144</v>
      </c>
      <c r="I3537" s="3">
        <f>Vendas[[#This Row],[Valor Unitário]]*Vendas[[#This Row],[Qnt Vendida]]</f>
        <v>1152</v>
      </c>
      <c r="J3537" s="3">
        <f>Vendas[[#This Row],[Valor da Venda]]-(_xlfn.XLOOKUP(Vendas[[#This Row],[ID Item Vendido]],Agregado[ID],Agregado[Custo])*Vendas[[#This Row],[Qnt Vendida]])</f>
        <v>192</v>
      </c>
      <c r="K3537" s="70">
        <f>Vendas[[#This Row],[Lucro da Venda]]/Vendas[[#This Row],[Valor da Venda]]</f>
        <v>0.16666666666666666</v>
      </c>
      <c r="L3537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3537"/>
    </row>
    <row r="3538" spans="1:13" x14ac:dyDescent="0.3">
      <c r="A3538" s="7">
        <v>400253</v>
      </c>
      <c r="B3538" t="str">
        <f>_xlfn.XLOOKUP(Vendas[[#This Row],[ID Vendedor]],Vendedores[ID],Vendedores[Nome])</f>
        <v>Gustavo</v>
      </c>
      <c r="C3538" s="7" t="str">
        <f>_xlfn.XLOOKUP(Vendas[[#This Row],[ID Vendedor]],Vendedores[ID],Vendedores[Setor])</f>
        <v>SC</v>
      </c>
      <c r="D3538" s="7" t="s">
        <v>48</v>
      </c>
      <c r="E3538" t="str">
        <f>_xlfn.XLOOKUP(Vendas[[#This Row],[ID Item Vendido]],Agregado[ID],Agregado[Produto])</f>
        <v>Tambor metálico 200L</v>
      </c>
      <c r="F3538" s="39">
        <v>45441</v>
      </c>
      <c r="G3538" s="7">
        <v>6</v>
      </c>
      <c r="H3538" s="3">
        <f>_xlfn.XLOOKUP(Vendas[[#This Row],[ID Item Vendido]],Agregado[ID],Agregado[Revenda])</f>
        <v>144</v>
      </c>
      <c r="I3538" s="3">
        <f>Vendas[[#This Row],[Valor Unitário]]*Vendas[[#This Row],[Qnt Vendida]]</f>
        <v>864</v>
      </c>
      <c r="J3538" s="3">
        <f>Vendas[[#This Row],[Valor da Venda]]-(_xlfn.XLOOKUP(Vendas[[#This Row],[ID Item Vendido]],Agregado[ID],Agregado[Custo])*Vendas[[#This Row],[Qnt Vendida]])</f>
        <v>144</v>
      </c>
      <c r="K3538" s="70">
        <f>Vendas[[#This Row],[Lucro da Venda]]/Vendas[[#This Row],[Valor da Venda]]</f>
        <v>0.16666666666666666</v>
      </c>
      <c r="L3538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3538"/>
    </row>
    <row r="3539" spans="1:13" x14ac:dyDescent="0.3">
      <c r="A3539" s="7">
        <v>400242</v>
      </c>
      <c r="B3539" t="str">
        <f>_xlfn.XLOOKUP(Vendas[[#This Row],[ID Vendedor]],Vendedores[ID],Vendedores[Nome])</f>
        <v>Fernanda</v>
      </c>
      <c r="C3539" s="7" t="str">
        <f>_xlfn.XLOOKUP(Vendas[[#This Row],[ID Vendedor]],Vendedores[ID],Vendedores[Setor])</f>
        <v>FM</v>
      </c>
      <c r="D3539" s="7" t="s">
        <v>47</v>
      </c>
      <c r="E3539" t="str">
        <f>_xlfn.XLOOKUP(Vendas[[#This Row],[ID Item Vendido]],Agregado[ID],Agregado[Produto])</f>
        <v>Fio de arame galvanizado rolo 50m</v>
      </c>
      <c r="F3539" s="39">
        <v>45441</v>
      </c>
      <c r="G3539" s="7">
        <v>37</v>
      </c>
      <c r="H3539" s="3">
        <f>_xlfn.XLOOKUP(Vendas[[#This Row],[ID Item Vendido]],Agregado[ID],Agregado[Revenda])</f>
        <v>21.2</v>
      </c>
      <c r="I3539" s="3">
        <f>Vendas[[#This Row],[Valor Unitário]]*Vendas[[#This Row],[Qnt Vendida]]</f>
        <v>784.4</v>
      </c>
      <c r="J3539" s="3">
        <f>Vendas[[#This Row],[Valor da Venda]]-(_xlfn.XLOOKUP(Vendas[[#This Row],[ID Item Vendido]],Agregado[ID],Agregado[Custo])*Vendas[[#This Row],[Qnt Vendida]])</f>
        <v>118.39999999999998</v>
      </c>
      <c r="K3539" s="70">
        <f>Vendas[[#This Row],[Lucro da Venda]]/Vendas[[#This Row],[Valor da Venda]]</f>
        <v>0.15094339622641506</v>
      </c>
      <c r="L3539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3539"/>
    </row>
    <row r="3540" spans="1:13" x14ac:dyDescent="0.3">
      <c r="A3540" s="7">
        <v>400241</v>
      </c>
      <c r="B3540" t="str">
        <f>_xlfn.XLOOKUP(Vendas[[#This Row],[ID Vendedor]],Vendedores[ID],Vendedores[Nome])</f>
        <v>Rodrigo</v>
      </c>
      <c r="C3540" s="7" t="str">
        <f>_xlfn.XLOOKUP(Vendas[[#This Row],[ID Vendedor]],Vendedores[ID],Vendedores[Setor])</f>
        <v>FM</v>
      </c>
      <c r="D3540" s="7" t="s">
        <v>47</v>
      </c>
      <c r="E3540" t="str">
        <f>_xlfn.XLOOKUP(Vendas[[#This Row],[ID Item Vendido]],Agregado[ID],Agregado[Produto])</f>
        <v>Fio de arame galvanizado rolo 50m</v>
      </c>
      <c r="F3540" s="39">
        <v>45441</v>
      </c>
      <c r="G3540" s="7">
        <v>15</v>
      </c>
      <c r="H3540" s="3">
        <f>_xlfn.XLOOKUP(Vendas[[#This Row],[ID Item Vendido]],Agregado[ID],Agregado[Revenda])</f>
        <v>21.2</v>
      </c>
      <c r="I3540" s="3">
        <f>Vendas[[#This Row],[Valor Unitário]]*Vendas[[#This Row],[Qnt Vendida]]</f>
        <v>318</v>
      </c>
      <c r="J3540" s="3">
        <f>Vendas[[#This Row],[Valor da Venda]]-(_xlfn.XLOOKUP(Vendas[[#This Row],[ID Item Vendido]],Agregado[ID],Agregado[Custo])*Vendas[[#This Row],[Qnt Vendida]])</f>
        <v>48</v>
      </c>
      <c r="K3540" s="70">
        <f>Vendas[[#This Row],[Lucro da Venda]]/Vendas[[#This Row],[Valor da Venda]]</f>
        <v>0.15094339622641509</v>
      </c>
      <c r="L3540" s="3">
        <f>_xlfn.IFS(Vendas[[#This Row],[Margem de Lucro (%)]]&lt;15%,Vendas[[#This Row],[Valor da Venda]]*3%,Vendas[[#This Row],[Margem de Lucro (%)]]&lt;=20%,Vendas[[#This Row],[Valor da Venda]]*4.5%,TRUE,Vendas[[#This Row],[Valor da Venda]]*6%)</f>
        <v>14.309999999999999</v>
      </c>
      <c r="M3540"/>
    </row>
    <row r="3541" spans="1:13" x14ac:dyDescent="0.3">
      <c r="A3541" s="7">
        <v>400255</v>
      </c>
      <c r="B3541" t="str">
        <f>_xlfn.XLOOKUP(Vendas[[#This Row],[ID Vendedor]],Vendedores[ID],Vendedores[Nome])</f>
        <v>Carlos</v>
      </c>
      <c r="C3541" s="7" t="str">
        <f>_xlfn.XLOOKUP(Vendas[[#This Row],[ID Vendedor]],Vendedores[ID],Vendedores[Setor])</f>
        <v>SC</v>
      </c>
      <c r="D3541" s="7" t="s">
        <v>41</v>
      </c>
      <c r="E3541" t="str">
        <f>_xlfn.XLOOKUP(Vendas[[#This Row],[ID Item Vendido]],Agregado[ID],Agregado[Produto])</f>
        <v>Palete de madeira reforçado</v>
      </c>
      <c r="F3541" s="39">
        <v>45442</v>
      </c>
      <c r="G3541" s="7">
        <v>4</v>
      </c>
      <c r="H3541" s="3">
        <f>_xlfn.XLOOKUP(Vendas[[#This Row],[ID Item Vendido]],Agregado[ID],Agregado[Revenda])</f>
        <v>131</v>
      </c>
      <c r="I3541" s="3">
        <f>Vendas[[#This Row],[Valor Unitário]]*Vendas[[#This Row],[Qnt Vendida]]</f>
        <v>524</v>
      </c>
      <c r="J3541" s="3">
        <f>Vendas[[#This Row],[Valor da Venda]]-(_xlfn.XLOOKUP(Vendas[[#This Row],[ID Item Vendido]],Agregado[ID],Agregado[Custo])*Vendas[[#This Row],[Qnt Vendida]])</f>
        <v>84</v>
      </c>
      <c r="K3541" s="70">
        <f>Vendas[[#This Row],[Lucro da Venda]]/Vendas[[#This Row],[Valor da Venda]]</f>
        <v>0.16030534351145037</v>
      </c>
      <c r="L3541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3541"/>
    </row>
    <row r="3542" spans="1:13" x14ac:dyDescent="0.3">
      <c r="A3542" s="7">
        <v>400247</v>
      </c>
      <c r="B3542" t="str">
        <f>_xlfn.XLOOKUP(Vendas[[#This Row],[ID Vendedor]],Vendedores[ID],Vendedores[Nome])</f>
        <v>André</v>
      </c>
      <c r="C3542" s="7" t="str">
        <f>_xlfn.XLOOKUP(Vendas[[#This Row],[ID Vendedor]],Vendedores[ID],Vendedores[Setor])</f>
        <v>CM</v>
      </c>
      <c r="D3542" s="7" t="s">
        <v>34</v>
      </c>
      <c r="E3542" t="str">
        <f>_xlfn.XLOOKUP(Vendas[[#This Row],[ID Item Vendido]],Agregado[ID],Agregado[Produto])</f>
        <v>Restos de madeira p/ MDP/OSB saco de 20kg</v>
      </c>
      <c r="F3542" s="39">
        <v>45442</v>
      </c>
      <c r="G3542" s="7">
        <v>23</v>
      </c>
      <c r="H3542" s="3">
        <f>_xlfn.XLOOKUP(Vendas[[#This Row],[ID Item Vendido]],Agregado[ID],Agregado[Revenda])</f>
        <v>13.8</v>
      </c>
      <c r="I3542" s="3">
        <f>Vendas[[#This Row],[Valor Unitário]]*Vendas[[#This Row],[Qnt Vendida]]</f>
        <v>317.40000000000003</v>
      </c>
      <c r="J3542" s="3">
        <f>Vendas[[#This Row],[Valor da Venda]]-(_xlfn.XLOOKUP(Vendas[[#This Row],[ID Item Vendido]],Agregado[ID],Agregado[Custo])*Vendas[[#This Row],[Qnt Vendida]])</f>
        <v>41.400000000000034</v>
      </c>
      <c r="K3542" s="70">
        <f>Vendas[[#This Row],[Lucro da Venda]]/Vendas[[#This Row],[Valor da Venda]]</f>
        <v>0.13043478260869573</v>
      </c>
      <c r="L3542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3542"/>
    </row>
    <row r="3543" spans="1:13" x14ac:dyDescent="0.3">
      <c r="A3543" s="7">
        <v>400254</v>
      </c>
      <c r="B3543" t="str">
        <f>_xlfn.XLOOKUP(Vendas[[#This Row],[ID Vendedor]],Vendedores[ID],Vendedores[Nome])</f>
        <v>Beatriz</v>
      </c>
      <c r="C3543" s="7" t="str">
        <f>_xlfn.XLOOKUP(Vendas[[#This Row],[ID Vendedor]],Vendedores[ID],Vendedores[Setor])</f>
        <v>SC</v>
      </c>
      <c r="D3543" s="7" t="s">
        <v>42</v>
      </c>
      <c r="E3543" t="str">
        <f>_xlfn.XLOOKUP(Vendas[[#This Row],[ID Item Vendido]],Agregado[ID],Agregado[Produto])</f>
        <v>Container de ferro industrial</v>
      </c>
      <c r="F3543" s="39">
        <v>45443</v>
      </c>
      <c r="G3543" s="7">
        <v>6</v>
      </c>
      <c r="H3543" s="3">
        <f>_xlfn.XLOOKUP(Vendas[[#This Row],[ID Item Vendido]],Agregado[ID],Agregado[Revenda])</f>
        <v>830</v>
      </c>
      <c r="I3543" s="3">
        <f>Vendas[[#This Row],[Valor Unitário]]*Vendas[[#This Row],[Qnt Vendida]]</f>
        <v>4980</v>
      </c>
      <c r="J3543" s="3">
        <f>Vendas[[#This Row],[Valor da Venda]]-(_xlfn.XLOOKUP(Vendas[[#This Row],[ID Item Vendido]],Agregado[ID],Agregado[Custo])*Vendas[[#This Row],[Qnt Vendida]])</f>
        <v>900</v>
      </c>
      <c r="K3543" s="70">
        <f>Vendas[[#This Row],[Lucro da Venda]]/Vendas[[#This Row],[Valor da Venda]]</f>
        <v>0.18072289156626506</v>
      </c>
      <c r="L3543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43"/>
    </row>
    <row r="3544" spans="1:13" x14ac:dyDescent="0.3">
      <c r="A3544" s="7">
        <v>400247</v>
      </c>
      <c r="B3544" t="str">
        <f>_xlfn.XLOOKUP(Vendas[[#This Row],[ID Vendedor]],Vendedores[ID],Vendedores[Nome])</f>
        <v>André</v>
      </c>
      <c r="C3544" s="7" t="str">
        <f>_xlfn.XLOOKUP(Vendas[[#This Row],[ID Vendedor]],Vendedores[ID],Vendedores[Setor])</f>
        <v>CM</v>
      </c>
      <c r="D3544" s="7" t="s">
        <v>32</v>
      </c>
      <c r="E3544" t="str">
        <f>_xlfn.XLOOKUP(Vendas[[#This Row],[ID Item Vendido]],Agregado[ID],Agregado[Produto])</f>
        <v>Tábua tratada e cortada 3m</v>
      </c>
      <c r="F3544" s="39">
        <v>45443</v>
      </c>
      <c r="G3544" s="7">
        <v>27</v>
      </c>
      <c r="H3544" s="3">
        <f>_xlfn.XLOOKUP(Vendas[[#This Row],[ID Item Vendido]],Agregado[ID],Agregado[Revenda])</f>
        <v>39</v>
      </c>
      <c r="I3544" s="3">
        <f>Vendas[[#This Row],[Valor Unitário]]*Vendas[[#This Row],[Qnt Vendida]]</f>
        <v>1053</v>
      </c>
      <c r="J3544" s="3">
        <f>Vendas[[#This Row],[Valor da Venda]]-(_xlfn.XLOOKUP(Vendas[[#This Row],[ID Item Vendido]],Agregado[ID],Agregado[Custo])*Vendas[[#This Row],[Qnt Vendida]])</f>
        <v>189</v>
      </c>
      <c r="K3544" s="70">
        <f>Vendas[[#This Row],[Lucro da Venda]]/Vendas[[#This Row],[Valor da Venda]]</f>
        <v>0.17948717948717949</v>
      </c>
      <c r="L3544" s="3">
        <f>_xlfn.IFS(Vendas[[#This Row],[Margem de Lucro (%)]]&lt;15%,Vendas[[#This Row],[Valor da Venda]]*3%,Vendas[[#This Row],[Margem de Lucro (%)]]&lt;=20%,Vendas[[#This Row],[Valor da Venda]]*4.5%,TRUE,Vendas[[#This Row],[Valor da Venda]]*6%)</f>
        <v>47.384999999999998</v>
      </c>
      <c r="M3544"/>
    </row>
    <row r="3545" spans="1:13" x14ac:dyDescent="0.3">
      <c r="A3545" s="7">
        <v>400254</v>
      </c>
      <c r="B3545" t="str">
        <f>_xlfn.XLOOKUP(Vendas[[#This Row],[ID Vendedor]],Vendedores[ID],Vendedores[Nome])</f>
        <v>Beatriz</v>
      </c>
      <c r="C3545" s="7" t="str">
        <f>_xlfn.XLOOKUP(Vendas[[#This Row],[ID Vendedor]],Vendedores[ID],Vendedores[Setor])</f>
        <v>SC</v>
      </c>
      <c r="D3545" s="7" t="s">
        <v>48</v>
      </c>
      <c r="E3545" t="str">
        <f>_xlfn.XLOOKUP(Vendas[[#This Row],[ID Item Vendido]],Agregado[ID],Agregado[Produto])</f>
        <v>Tambor metálico 200L</v>
      </c>
      <c r="F3545" s="39">
        <v>45443</v>
      </c>
      <c r="G3545" s="7">
        <v>3</v>
      </c>
      <c r="H3545" s="3">
        <f>_xlfn.XLOOKUP(Vendas[[#This Row],[ID Item Vendido]],Agregado[ID],Agregado[Revenda])</f>
        <v>144</v>
      </c>
      <c r="I3545" s="3">
        <f>Vendas[[#This Row],[Valor Unitário]]*Vendas[[#This Row],[Qnt Vendida]]</f>
        <v>432</v>
      </c>
      <c r="J3545" s="3">
        <f>Vendas[[#This Row],[Valor da Venda]]-(_xlfn.XLOOKUP(Vendas[[#This Row],[ID Item Vendido]],Agregado[ID],Agregado[Custo])*Vendas[[#This Row],[Qnt Vendida]])</f>
        <v>72</v>
      </c>
      <c r="K3545" s="70">
        <f>Vendas[[#This Row],[Lucro da Venda]]/Vendas[[#This Row],[Valor da Venda]]</f>
        <v>0.16666666666666666</v>
      </c>
      <c r="L3545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3545"/>
    </row>
    <row r="3546" spans="1:13" x14ac:dyDescent="0.3">
      <c r="A3546" s="7">
        <v>400249</v>
      </c>
      <c r="B3546" t="str">
        <f>_xlfn.XLOOKUP(Vendas[[#This Row],[ID Vendedor]],Vendedores[ID],Vendedores[Nome])</f>
        <v>Bruno</v>
      </c>
      <c r="C3546" s="7" t="str">
        <f>_xlfn.XLOOKUP(Vendas[[#This Row],[ID Vendedor]],Vendedores[ID],Vendedores[Setor])</f>
        <v>CM</v>
      </c>
      <c r="D3546" s="7" t="s">
        <v>45</v>
      </c>
      <c r="E3546" t="str">
        <f>_xlfn.XLOOKUP(Vendas[[#This Row],[ID Item Vendido]],Agregado[ID],Agregado[Produto])</f>
        <v>Viga de madeira tratada 4m</v>
      </c>
      <c r="F3546" s="39">
        <v>45444</v>
      </c>
      <c r="G3546" s="7">
        <v>6</v>
      </c>
      <c r="H3546" s="3">
        <f>_xlfn.XLOOKUP(Vendas[[#This Row],[ID Item Vendido]],Agregado[ID],Agregado[Revenda])</f>
        <v>66</v>
      </c>
      <c r="I3546" s="3">
        <f>Vendas[[#This Row],[Valor Unitário]]*Vendas[[#This Row],[Qnt Vendida]]</f>
        <v>396</v>
      </c>
      <c r="J3546" s="3">
        <f>Vendas[[#This Row],[Valor da Venda]]-(_xlfn.XLOOKUP(Vendas[[#This Row],[ID Item Vendido]],Agregado[ID],Agregado[Custo])*Vendas[[#This Row],[Qnt Vendida]])</f>
        <v>66</v>
      </c>
      <c r="K3546" s="70">
        <f>Vendas[[#This Row],[Lucro da Venda]]/Vendas[[#This Row],[Valor da Venda]]</f>
        <v>0.16666666666666666</v>
      </c>
      <c r="L3546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3546"/>
    </row>
    <row r="3547" spans="1:13" x14ac:dyDescent="0.3">
      <c r="A3547" s="7">
        <v>400242</v>
      </c>
      <c r="B3547" t="str">
        <f>_xlfn.XLOOKUP(Vendas[[#This Row],[ID Vendedor]],Vendedores[ID],Vendedores[Nome])</f>
        <v>Fernanda</v>
      </c>
      <c r="C3547" s="7" t="str">
        <f>_xlfn.XLOOKUP(Vendas[[#This Row],[ID Vendedor]],Vendedores[ID],Vendedores[Setor])</f>
        <v>FM</v>
      </c>
      <c r="D3547" s="7" t="s">
        <v>6</v>
      </c>
      <c r="E3547" t="str">
        <f>_xlfn.XLOOKUP(Vendas[[#This Row],[ID Item Vendido]],Agregado[ID],Agregado[Produto])</f>
        <v>Parafuso comum 500un</v>
      </c>
      <c r="F3547" s="39">
        <v>45444</v>
      </c>
      <c r="G3547" s="7">
        <v>8</v>
      </c>
      <c r="H3547" s="3">
        <f>_xlfn.XLOOKUP(Vendas[[#This Row],[ID Item Vendido]],Agregado[ID],Agregado[Revenda])</f>
        <v>24.6</v>
      </c>
      <c r="I3547" s="3">
        <f>Vendas[[#This Row],[Valor Unitário]]*Vendas[[#This Row],[Qnt Vendida]]</f>
        <v>196.8</v>
      </c>
      <c r="J3547" s="3">
        <f>Vendas[[#This Row],[Valor da Venda]]-(_xlfn.XLOOKUP(Vendas[[#This Row],[ID Item Vendido]],Agregado[ID],Agregado[Custo])*Vendas[[#This Row],[Qnt Vendida]])</f>
        <v>20.800000000000011</v>
      </c>
      <c r="K3547" s="70">
        <f>Vendas[[#This Row],[Lucro da Venda]]/Vendas[[#This Row],[Valor da Venda]]</f>
        <v>0.10569105691056915</v>
      </c>
      <c r="L3547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3547"/>
    </row>
    <row r="3548" spans="1:13" x14ac:dyDescent="0.3">
      <c r="A3548" s="7">
        <v>400244</v>
      </c>
      <c r="B3548" t="str">
        <f>_xlfn.XLOOKUP(Vendas[[#This Row],[ID Vendedor]],Vendedores[ID],Vendedores[Nome])</f>
        <v>Camila</v>
      </c>
      <c r="C3548" s="7" t="str">
        <f>_xlfn.XLOOKUP(Vendas[[#This Row],[ID Vendedor]],Vendedores[ID],Vendedores[Setor])</f>
        <v>AHD</v>
      </c>
      <c r="D3548" s="7" t="s">
        <v>28</v>
      </c>
      <c r="E3548" t="str">
        <f>_xlfn.XLOOKUP(Vendas[[#This Row],[ID Item Vendido]],Agregado[ID],Agregado[Produto])</f>
        <v>Peça usinada CNC</v>
      </c>
      <c r="F3548" s="39">
        <v>45445</v>
      </c>
      <c r="G3548" s="7">
        <v>8</v>
      </c>
      <c r="H3548" s="3">
        <f>_xlfn.XLOOKUP(Vendas[[#This Row],[ID Item Vendido]],Agregado[ID],Agregado[Revenda])</f>
        <v>192</v>
      </c>
      <c r="I3548" s="3">
        <f>Vendas[[#This Row],[Valor Unitário]]*Vendas[[#This Row],[Qnt Vendida]]</f>
        <v>1536</v>
      </c>
      <c r="J3548" s="3">
        <f>Vendas[[#This Row],[Valor da Venda]]-(_xlfn.XLOOKUP(Vendas[[#This Row],[ID Item Vendido]],Agregado[ID],Agregado[Custo])*Vendas[[#This Row],[Qnt Vendida]])</f>
        <v>336</v>
      </c>
      <c r="K3548" s="70">
        <f>Vendas[[#This Row],[Lucro da Venda]]/Vendas[[#This Row],[Valor da Venda]]</f>
        <v>0.21875</v>
      </c>
      <c r="L3548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3548"/>
    </row>
    <row r="3549" spans="1:13" x14ac:dyDescent="0.3">
      <c r="A3549" s="7">
        <v>400251</v>
      </c>
      <c r="B3549" t="str">
        <f>_xlfn.XLOOKUP(Vendas[[#This Row],[ID Vendedor]],Vendedores[ID],Vendedores[Nome])</f>
        <v>Diego</v>
      </c>
      <c r="C3549" s="7" t="str">
        <f>_xlfn.XLOOKUP(Vendas[[#This Row],[ID Vendedor]],Vendedores[ID],Vendedores[Setor])</f>
        <v>AB</v>
      </c>
      <c r="D3549" s="7" t="s">
        <v>37</v>
      </c>
      <c r="E3549" t="str">
        <f>_xlfn.XLOOKUP(Vendas[[#This Row],[ID Item Vendido]],Agregado[ID],Agregado[Produto])</f>
        <v>Composto de borracha para vedação rolo 10m</v>
      </c>
      <c r="F3549" s="39">
        <v>45445</v>
      </c>
      <c r="G3549" s="7">
        <v>21</v>
      </c>
      <c r="H3549" s="3">
        <f>_xlfn.XLOOKUP(Vendas[[#This Row],[ID Item Vendido]],Agregado[ID],Agregado[Revenda])</f>
        <v>51.2</v>
      </c>
      <c r="I3549" s="3">
        <f>Vendas[[#This Row],[Valor Unitário]]*Vendas[[#This Row],[Qnt Vendida]]</f>
        <v>1075.2</v>
      </c>
      <c r="J3549" s="3">
        <f>Vendas[[#This Row],[Valor da Venda]]-(_xlfn.XLOOKUP(Vendas[[#This Row],[ID Item Vendido]],Agregado[ID],Agregado[Custo])*Vendas[[#This Row],[Qnt Vendida]])</f>
        <v>235.20000000000005</v>
      </c>
      <c r="K3549" s="70">
        <f>Vendas[[#This Row],[Lucro da Venda]]/Vendas[[#This Row],[Valor da Venda]]</f>
        <v>0.21875000000000003</v>
      </c>
      <c r="L3549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3549"/>
    </row>
    <row r="3550" spans="1:13" x14ac:dyDescent="0.3">
      <c r="A3550" s="7">
        <v>400244</v>
      </c>
      <c r="B3550" t="str">
        <f>_xlfn.XLOOKUP(Vendas[[#This Row],[ID Vendedor]],Vendedores[ID],Vendedores[Nome])</f>
        <v>Camila</v>
      </c>
      <c r="C3550" s="7" t="str">
        <f>_xlfn.XLOOKUP(Vendas[[#This Row],[ID Vendedor]],Vendedores[ID],Vendedores[Setor])</f>
        <v>AHD</v>
      </c>
      <c r="D3550" s="7" t="s">
        <v>28</v>
      </c>
      <c r="E3550" t="str">
        <f>_xlfn.XLOOKUP(Vendas[[#This Row],[ID Item Vendido]],Agregado[ID],Agregado[Produto])</f>
        <v>Peça usinada CNC</v>
      </c>
      <c r="F3550" s="39">
        <v>45446</v>
      </c>
      <c r="G3550" s="7">
        <v>11</v>
      </c>
      <c r="H3550" s="3">
        <f>_xlfn.XLOOKUP(Vendas[[#This Row],[ID Item Vendido]],Agregado[ID],Agregado[Revenda])</f>
        <v>192</v>
      </c>
      <c r="I3550" s="3">
        <f>Vendas[[#This Row],[Valor Unitário]]*Vendas[[#This Row],[Qnt Vendida]]</f>
        <v>2112</v>
      </c>
      <c r="J3550" s="3">
        <f>Vendas[[#This Row],[Valor da Venda]]-(_xlfn.XLOOKUP(Vendas[[#This Row],[ID Item Vendido]],Agregado[ID],Agregado[Custo])*Vendas[[#This Row],[Qnt Vendida]])</f>
        <v>462</v>
      </c>
      <c r="K3550" s="70">
        <f>Vendas[[#This Row],[Lucro da Venda]]/Vendas[[#This Row],[Valor da Venda]]</f>
        <v>0.21875</v>
      </c>
      <c r="L3550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3550"/>
    </row>
    <row r="3551" spans="1:13" x14ac:dyDescent="0.3">
      <c r="A3551" s="7">
        <v>400252</v>
      </c>
      <c r="B3551" t="str">
        <f>_xlfn.XLOOKUP(Vendas[[#This Row],[ID Vendedor]],Vendedores[ID],Vendedores[Nome])</f>
        <v>Renata</v>
      </c>
      <c r="C3551" s="7" t="str">
        <f>_xlfn.XLOOKUP(Vendas[[#This Row],[ID Vendedor]],Vendedores[ID],Vendedores[Setor])</f>
        <v>AB</v>
      </c>
      <c r="D3551" s="7" t="s">
        <v>36</v>
      </c>
      <c r="E3551" t="str">
        <f>_xlfn.XLOOKUP(Vendas[[#This Row],[ID Item Vendido]],Agregado[ID],Agregado[Produto])</f>
        <v>Borracha vulcanizada em manta</v>
      </c>
      <c r="F3551" s="39">
        <v>45446</v>
      </c>
      <c r="G3551" s="7">
        <v>42</v>
      </c>
      <c r="H3551" s="3">
        <f>_xlfn.XLOOKUP(Vendas[[#This Row],[ID Item Vendido]],Agregado[ID],Agregado[Revenda])</f>
        <v>7.8</v>
      </c>
      <c r="I3551" s="3">
        <f>Vendas[[#This Row],[Valor Unitário]]*Vendas[[#This Row],[Qnt Vendida]]</f>
        <v>327.59999999999997</v>
      </c>
      <c r="J3551" s="3">
        <f>Vendas[[#This Row],[Valor da Venda]]-(_xlfn.XLOOKUP(Vendas[[#This Row],[ID Item Vendido]],Agregado[ID],Agregado[Custo])*Vendas[[#This Row],[Qnt Vendida]])</f>
        <v>75.599999999999966</v>
      </c>
      <c r="K3551" s="70">
        <f>Vendas[[#This Row],[Lucro da Venda]]/Vendas[[#This Row],[Valor da Venda]]</f>
        <v>0.2307692307692307</v>
      </c>
      <c r="L3551" s="3">
        <f>_xlfn.IFS(Vendas[[#This Row],[Margem de Lucro (%)]]&lt;15%,Vendas[[#This Row],[Valor da Venda]]*3%,Vendas[[#This Row],[Margem de Lucro (%)]]&lt;=20%,Vendas[[#This Row],[Valor da Venda]]*4.5%,TRUE,Vendas[[#This Row],[Valor da Venda]]*6%)</f>
        <v>19.655999999999999</v>
      </c>
      <c r="M3551"/>
    </row>
    <row r="3552" spans="1:13" x14ac:dyDescent="0.3">
      <c r="A3552" s="7">
        <v>400254</v>
      </c>
      <c r="B3552" t="str">
        <f>_xlfn.XLOOKUP(Vendas[[#This Row],[ID Vendedor]],Vendedores[ID],Vendedores[Nome])</f>
        <v>Beatriz</v>
      </c>
      <c r="C3552" s="7" t="str">
        <f>_xlfn.XLOOKUP(Vendas[[#This Row],[ID Vendedor]],Vendedores[ID],Vendedores[Setor])</f>
        <v>SC</v>
      </c>
      <c r="D3552" s="7" t="s">
        <v>42</v>
      </c>
      <c r="E3552" t="str">
        <f>_xlfn.XLOOKUP(Vendas[[#This Row],[ID Item Vendido]],Agregado[ID],Agregado[Produto])</f>
        <v>Container de ferro industrial</v>
      </c>
      <c r="F3552" s="39">
        <v>45447</v>
      </c>
      <c r="G3552" s="7">
        <v>6</v>
      </c>
      <c r="H3552" s="3">
        <f>_xlfn.XLOOKUP(Vendas[[#This Row],[ID Item Vendido]],Agregado[ID],Agregado[Revenda])</f>
        <v>830</v>
      </c>
      <c r="I3552" s="3">
        <f>Vendas[[#This Row],[Valor Unitário]]*Vendas[[#This Row],[Qnt Vendida]]</f>
        <v>4980</v>
      </c>
      <c r="J3552" s="3">
        <f>Vendas[[#This Row],[Valor da Venda]]-(_xlfn.XLOOKUP(Vendas[[#This Row],[ID Item Vendido]],Agregado[ID],Agregado[Custo])*Vendas[[#This Row],[Qnt Vendida]])</f>
        <v>900</v>
      </c>
      <c r="K3552" s="70">
        <f>Vendas[[#This Row],[Lucro da Venda]]/Vendas[[#This Row],[Valor da Venda]]</f>
        <v>0.18072289156626506</v>
      </c>
      <c r="L355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52"/>
    </row>
    <row r="3553" spans="1:13" x14ac:dyDescent="0.3">
      <c r="A3553" s="7">
        <v>400251</v>
      </c>
      <c r="B3553" t="str">
        <f>_xlfn.XLOOKUP(Vendas[[#This Row],[ID Vendedor]],Vendedores[ID],Vendedores[Nome])</f>
        <v>Diego</v>
      </c>
      <c r="C3553" s="7" t="str">
        <f>_xlfn.XLOOKUP(Vendas[[#This Row],[ID Vendedor]],Vendedores[ID],Vendedores[Setor])</f>
        <v>AB</v>
      </c>
      <c r="D3553" s="7" t="s">
        <v>24</v>
      </c>
      <c r="E3553" t="str">
        <f>_xlfn.XLOOKUP(Vendas[[#This Row],[ID Item Vendido]],Agregado[ID],Agregado[Produto])</f>
        <v>Resina plástica PET purificada saco de 25kg</v>
      </c>
      <c r="F3553" s="39">
        <v>45447</v>
      </c>
      <c r="G3553" s="7">
        <v>20</v>
      </c>
      <c r="H3553" s="3">
        <f>_xlfn.XLOOKUP(Vendas[[#This Row],[ID Item Vendido]],Agregado[ID],Agregado[Revenda])</f>
        <v>119</v>
      </c>
      <c r="I3553" s="3">
        <f>Vendas[[#This Row],[Valor Unitário]]*Vendas[[#This Row],[Qnt Vendida]]</f>
        <v>2380</v>
      </c>
      <c r="J3553" s="3">
        <f>Vendas[[#This Row],[Valor da Venda]]-(_xlfn.XLOOKUP(Vendas[[#This Row],[ID Item Vendido]],Agregado[ID],Agregado[Custo])*Vendas[[#This Row],[Qnt Vendida]])</f>
        <v>680</v>
      </c>
      <c r="K3553" s="70">
        <f>Vendas[[#This Row],[Lucro da Venda]]/Vendas[[#This Row],[Valor da Venda]]</f>
        <v>0.2857142857142857</v>
      </c>
      <c r="L3553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553"/>
    </row>
    <row r="3554" spans="1:13" x14ac:dyDescent="0.3">
      <c r="A3554" s="7">
        <v>400254</v>
      </c>
      <c r="B3554" t="str">
        <f>_xlfn.XLOOKUP(Vendas[[#This Row],[ID Vendedor]],Vendedores[ID],Vendedores[Nome])</f>
        <v>Beatriz</v>
      </c>
      <c r="C3554" s="7" t="str">
        <f>_xlfn.XLOOKUP(Vendas[[#This Row],[ID Vendedor]],Vendedores[ID],Vendedores[Setor])</f>
        <v>SC</v>
      </c>
      <c r="D3554" s="7" t="s">
        <v>14</v>
      </c>
      <c r="E3554" t="str">
        <f>_xlfn.XLOOKUP(Vendas[[#This Row],[ID Item Vendido]],Agregado[ID],Agregado[Produto])</f>
        <v>Barril de plástico 200L</v>
      </c>
      <c r="F3554" s="39">
        <v>45447</v>
      </c>
      <c r="G3554" s="7">
        <v>11</v>
      </c>
      <c r="H3554" s="3">
        <f>_xlfn.XLOOKUP(Vendas[[#This Row],[ID Item Vendido]],Agregado[ID],Agregado[Revenda])</f>
        <v>114</v>
      </c>
      <c r="I3554" s="3">
        <f>Vendas[[#This Row],[Valor Unitário]]*Vendas[[#This Row],[Qnt Vendida]]</f>
        <v>1254</v>
      </c>
      <c r="J3554" s="3">
        <f>Vendas[[#This Row],[Valor da Venda]]-(_xlfn.XLOOKUP(Vendas[[#This Row],[ID Item Vendido]],Agregado[ID],Agregado[Custo])*Vendas[[#This Row],[Qnt Vendida]])</f>
        <v>209</v>
      </c>
      <c r="K3554" s="70">
        <f>Vendas[[#This Row],[Lucro da Venda]]/Vendas[[#This Row],[Valor da Venda]]</f>
        <v>0.16666666666666666</v>
      </c>
      <c r="L3554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554"/>
    </row>
    <row r="3555" spans="1:13" x14ac:dyDescent="0.3">
      <c r="A3555" s="7">
        <v>400241</v>
      </c>
      <c r="B3555" t="str">
        <f>_xlfn.XLOOKUP(Vendas[[#This Row],[ID Vendedor]],Vendedores[ID],Vendedores[Nome])</f>
        <v>Rodrigo</v>
      </c>
      <c r="C3555" s="7" t="str">
        <f>_xlfn.XLOOKUP(Vendas[[#This Row],[ID Vendedor]],Vendedores[ID],Vendedores[Setor])</f>
        <v>FM</v>
      </c>
      <c r="D3555" s="7" t="s">
        <v>47</v>
      </c>
      <c r="E3555" t="str">
        <f>_xlfn.XLOOKUP(Vendas[[#This Row],[ID Item Vendido]],Agregado[ID],Agregado[Produto])</f>
        <v>Fio de arame galvanizado rolo 50m</v>
      </c>
      <c r="F3555" s="39">
        <v>45447</v>
      </c>
      <c r="G3555" s="7">
        <v>19</v>
      </c>
      <c r="H3555" s="3">
        <f>_xlfn.XLOOKUP(Vendas[[#This Row],[ID Item Vendido]],Agregado[ID],Agregado[Revenda])</f>
        <v>21.2</v>
      </c>
      <c r="I3555" s="3">
        <f>Vendas[[#This Row],[Valor Unitário]]*Vendas[[#This Row],[Qnt Vendida]]</f>
        <v>402.8</v>
      </c>
      <c r="J3555" s="3">
        <f>Vendas[[#This Row],[Valor da Venda]]-(_xlfn.XLOOKUP(Vendas[[#This Row],[ID Item Vendido]],Agregado[ID],Agregado[Custo])*Vendas[[#This Row],[Qnt Vendida]])</f>
        <v>60.800000000000011</v>
      </c>
      <c r="K3555" s="70">
        <f>Vendas[[#This Row],[Lucro da Venda]]/Vendas[[#This Row],[Valor da Venda]]</f>
        <v>0.15094339622641512</v>
      </c>
      <c r="L3555" s="3">
        <f>_xlfn.IFS(Vendas[[#This Row],[Margem de Lucro (%)]]&lt;15%,Vendas[[#This Row],[Valor da Venda]]*3%,Vendas[[#This Row],[Margem de Lucro (%)]]&lt;=20%,Vendas[[#This Row],[Valor da Venda]]*4.5%,TRUE,Vendas[[#This Row],[Valor da Venda]]*6%)</f>
        <v>18.126000000000001</v>
      </c>
      <c r="M3555"/>
    </row>
    <row r="3556" spans="1:13" x14ac:dyDescent="0.3">
      <c r="A3556" s="7">
        <v>400248</v>
      </c>
      <c r="B3556" t="str">
        <f>_xlfn.XLOOKUP(Vendas[[#This Row],[ID Vendedor]],Vendedores[ID],Vendedores[Nome])</f>
        <v>Patrícia</v>
      </c>
      <c r="C3556" s="7" t="str">
        <f>_xlfn.XLOOKUP(Vendas[[#This Row],[ID Vendedor]],Vendedores[ID],Vendedores[Setor])</f>
        <v>CM</v>
      </c>
      <c r="D3556" s="7" t="s">
        <v>34</v>
      </c>
      <c r="E3556" t="str">
        <f>_xlfn.XLOOKUP(Vendas[[#This Row],[ID Item Vendido]],Agregado[ID],Agregado[Produto])</f>
        <v>Restos de madeira p/ MDP/OSB saco de 20kg</v>
      </c>
      <c r="F3556" s="39">
        <v>45447</v>
      </c>
      <c r="G3556" s="7">
        <v>25</v>
      </c>
      <c r="H3556" s="3">
        <f>_xlfn.XLOOKUP(Vendas[[#This Row],[ID Item Vendido]],Agregado[ID],Agregado[Revenda])</f>
        <v>13.8</v>
      </c>
      <c r="I3556" s="3">
        <f>Vendas[[#This Row],[Valor Unitário]]*Vendas[[#This Row],[Qnt Vendida]]</f>
        <v>345</v>
      </c>
      <c r="J3556" s="3">
        <f>Vendas[[#This Row],[Valor da Venda]]-(_xlfn.XLOOKUP(Vendas[[#This Row],[ID Item Vendido]],Agregado[ID],Agregado[Custo])*Vendas[[#This Row],[Qnt Vendida]])</f>
        <v>45</v>
      </c>
      <c r="K3556" s="70">
        <f>Vendas[[#This Row],[Lucro da Venda]]/Vendas[[#This Row],[Valor da Venda]]</f>
        <v>0.13043478260869565</v>
      </c>
      <c r="L3556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3556"/>
    </row>
    <row r="3557" spans="1:13" x14ac:dyDescent="0.3">
      <c r="A3557" s="7">
        <v>400246</v>
      </c>
      <c r="B3557" t="str">
        <f>_xlfn.XLOOKUP(Vendas[[#This Row],[ID Vendedor]],Vendedores[ID],Vendedores[Nome])</f>
        <v>Juliana</v>
      </c>
      <c r="C3557" s="7" t="str">
        <f>_xlfn.XLOOKUP(Vendas[[#This Row],[ID Vendedor]],Vendedores[ID],Vendedores[Setor])</f>
        <v>AHD</v>
      </c>
      <c r="D3557" s="7" t="s">
        <v>28</v>
      </c>
      <c r="E3557" t="str">
        <f>_xlfn.XLOOKUP(Vendas[[#This Row],[ID Item Vendido]],Agregado[ID],Agregado[Produto])</f>
        <v>Peça usinada CNC</v>
      </c>
      <c r="F3557" s="39">
        <v>45448</v>
      </c>
      <c r="G3557" s="7">
        <v>14</v>
      </c>
      <c r="H3557" s="3">
        <f>_xlfn.XLOOKUP(Vendas[[#This Row],[ID Item Vendido]],Agregado[ID],Agregado[Revenda])</f>
        <v>192</v>
      </c>
      <c r="I3557" s="3">
        <f>Vendas[[#This Row],[Valor Unitário]]*Vendas[[#This Row],[Qnt Vendida]]</f>
        <v>2688</v>
      </c>
      <c r="J3557" s="3">
        <f>Vendas[[#This Row],[Valor da Venda]]-(_xlfn.XLOOKUP(Vendas[[#This Row],[ID Item Vendido]],Agregado[ID],Agregado[Custo])*Vendas[[#This Row],[Qnt Vendida]])</f>
        <v>588</v>
      </c>
      <c r="K3557" s="70">
        <f>Vendas[[#This Row],[Lucro da Venda]]/Vendas[[#This Row],[Valor da Venda]]</f>
        <v>0.21875</v>
      </c>
      <c r="L3557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3557"/>
    </row>
    <row r="3558" spans="1:13" x14ac:dyDescent="0.3">
      <c r="A3558" s="7">
        <v>400249</v>
      </c>
      <c r="B3558" t="str">
        <f>_xlfn.XLOOKUP(Vendas[[#This Row],[ID Vendedor]],Vendedores[ID],Vendedores[Nome])</f>
        <v>Bruno</v>
      </c>
      <c r="C3558" s="7" t="str">
        <f>_xlfn.XLOOKUP(Vendas[[#This Row],[ID Vendedor]],Vendedores[ID],Vendedores[Setor])</f>
        <v>CM</v>
      </c>
      <c r="D3558" s="7" t="s">
        <v>22</v>
      </c>
      <c r="E3558" t="str">
        <f>_xlfn.XLOOKUP(Vendas[[#This Row],[ID Item Vendido]],Agregado[ID],Agregado[Produto])</f>
        <v>Painel MDP 2,75x1,83m</v>
      </c>
      <c r="F3558" s="39">
        <v>45448</v>
      </c>
      <c r="G3558" s="7">
        <v>19</v>
      </c>
      <c r="H3558" s="3">
        <f>_xlfn.XLOOKUP(Vendas[[#This Row],[ID Item Vendido]],Agregado[ID],Agregado[Revenda])</f>
        <v>119</v>
      </c>
      <c r="I3558" s="3">
        <f>Vendas[[#This Row],[Valor Unitário]]*Vendas[[#This Row],[Qnt Vendida]]</f>
        <v>2261</v>
      </c>
      <c r="J3558" s="3">
        <f>Vendas[[#This Row],[Valor da Venda]]-(_xlfn.XLOOKUP(Vendas[[#This Row],[ID Item Vendido]],Agregado[ID],Agregado[Custo])*Vendas[[#This Row],[Qnt Vendida]])</f>
        <v>456</v>
      </c>
      <c r="K3558" s="70">
        <f>Vendas[[#This Row],[Lucro da Venda]]/Vendas[[#This Row],[Valor da Venda]]</f>
        <v>0.20168067226890757</v>
      </c>
      <c r="L3558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3558"/>
    </row>
    <row r="3559" spans="1:13" x14ac:dyDescent="0.3">
      <c r="A3559" s="7">
        <v>400245</v>
      </c>
      <c r="B3559" t="str">
        <f>_xlfn.XLOOKUP(Vendas[[#This Row],[ID Vendedor]],Vendedores[ID],Vendedores[Nome])</f>
        <v>Thiago</v>
      </c>
      <c r="C3559" s="7" t="str">
        <f>_xlfn.XLOOKUP(Vendas[[#This Row],[ID Vendedor]],Vendedores[ID],Vendedores[Setor])</f>
        <v>AHD</v>
      </c>
      <c r="D3559" s="7" t="s">
        <v>18</v>
      </c>
      <c r="E3559" t="str">
        <f>_xlfn.XLOOKUP(Vendas[[#This Row],[ID Item Vendido]],Agregado[ID],Agregado[Produto])</f>
        <v>Peça forjada sob encomenda</v>
      </c>
      <c r="F3559" s="39">
        <v>45448</v>
      </c>
      <c r="G3559" s="7">
        <v>2</v>
      </c>
      <c r="H3559" s="3">
        <f>_xlfn.XLOOKUP(Vendas[[#This Row],[ID Item Vendido]],Agregado[ID],Agregado[Revenda])</f>
        <v>264.60000000000002</v>
      </c>
      <c r="I3559" s="3">
        <f>Vendas[[#This Row],[Valor Unitário]]*Vendas[[#This Row],[Qnt Vendida]]</f>
        <v>529.20000000000005</v>
      </c>
      <c r="J3559" s="3">
        <f>Vendas[[#This Row],[Valor da Venda]]-(_xlfn.XLOOKUP(Vendas[[#This Row],[ID Item Vendido]],Agregado[ID],Agregado[Custo])*Vendas[[#This Row],[Qnt Vendida]])</f>
        <v>29.200000000000045</v>
      </c>
      <c r="K3559" s="70">
        <f>Vendas[[#This Row],[Lucro da Venda]]/Vendas[[#This Row],[Valor da Venda]]</f>
        <v>5.5177626606198113E-2</v>
      </c>
      <c r="L355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3559"/>
    </row>
    <row r="3560" spans="1:13" x14ac:dyDescent="0.3">
      <c r="A3560" s="7">
        <v>400252</v>
      </c>
      <c r="B3560" t="str">
        <f>_xlfn.XLOOKUP(Vendas[[#This Row],[ID Vendedor]],Vendedores[ID],Vendedores[Nome])</f>
        <v>Renata</v>
      </c>
      <c r="C3560" s="7" t="str">
        <f>_xlfn.XLOOKUP(Vendas[[#This Row],[ID Vendedor]],Vendedores[ID],Vendedores[Setor])</f>
        <v>AB</v>
      </c>
      <c r="D3560" s="7" t="s">
        <v>12</v>
      </c>
      <c r="E3560" t="str">
        <f>_xlfn.XLOOKUP(Vendas[[#This Row],[ID Item Vendido]],Agregado[ID],Agregado[Produto])</f>
        <v>Grânulo de plástico reciclado refinado</v>
      </c>
      <c r="F3560" s="39">
        <v>45448</v>
      </c>
      <c r="G3560" s="7">
        <v>130</v>
      </c>
      <c r="H3560" s="3">
        <f>_xlfn.XLOOKUP(Vendas[[#This Row],[ID Item Vendido]],Agregado[ID],Agregado[Revenda])</f>
        <v>4.7</v>
      </c>
      <c r="I3560" s="3">
        <f>Vendas[[#This Row],[Valor Unitário]]*Vendas[[#This Row],[Qnt Vendida]]</f>
        <v>611</v>
      </c>
      <c r="J3560" s="3">
        <f>Vendas[[#This Row],[Valor da Venda]]-(_xlfn.XLOOKUP(Vendas[[#This Row],[ID Item Vendido]],Agregado[ID],Agregado[Custo])*Vendas[[#This Row],[Qnt Vendida]])</f>
        <v>156</v>
      </c>
      <c r="K3560" s="70">
        <f>Vendas[[#This Row],[Lucro da Venda]]/Vendas[[#This Row],[Valor da Venda]]</f>
        <v>0.25531914893617019</v>
      </c>
      <c r="L3560" s="3">
        <f>_xlfn.IFS(Vendas[[#This Row],[Margem de Lucro (%)]]&lt;15%,Vendas[[#This Row],[Valor da Venda]]*3%,Vendas[[#This Row],[Margem de Lucro (%)]]&lt;=20%,Vendas[[#This Row],[Valor da Venda]]*4.5%,TRUE,Vendas[[#This Row],[Valor da Venda]]*6%)</f>
        <v>36.659999999999997</v>
      </c>
      <c r="M3560"/>
    </row>
    <row r="3561" spans="1:13" x14ac:dyDescent="0.3">
      <c r="A3561" s="7">
        <v>400250</v>
      </c>
      <c r="B3561" t="str">
        <f>_xlfn.XLOOKUP(Vendas[[#This Row],[ID Vendedor]],Vendedores[ID],Vendedores[Nome])</f>
        <v>Larissa</v>
      </c>
      <c r="C3561" s="7" t="str">
        <f>_xlfn.XLOOKUP(Vendas[[#This Row],[ID Vendedor]],Vendedores[ID],Vendedores[Setor])</f>
        <v>AB</v>
      </c>
      <c r="D3561" s="7" t="s">
        <v>36</v>
      </c>
      <c r="E3561" t="str">
        <f>_xlfn.XLOOKUP(Vendas[[#This Row],[ID Item Vendido]],Agregado[ID],Agregado[Produto])</f>
        <v>Borracha vulcanizada em manta</v>
      </c>
      <c r="F3561" s="39">
        <v>45448</v>
      </c>
      <c r="G3561" s="7">
        <v>12</v>
      </c>
      <c r="H3561" s="3">
        <f>_xlfn.XLOOKUP(Vendas[[#This Row],[ID Item Vendido]],Agregado[ID],Agregado[Revenda])</f>
        <v>7.8</v>
      </c>
      <c r="I3561" s="3">
        <f>Vendas[[#This Row],[Valor Unitário]]*Vendas[[#This Row],[Qnt Vendida]]</f>
        <v>93.6</v>
      </c>
      <c r="J3561" s="3">
        <f>Vendas[[#This Row],[Valor da Venda]]-(_xlfn.XLOOKUP(Vendas[[#This Row],[ID Item Vendido]],Agregado[ID],Agregado[Custo])*Vendas[[#This Row],[Qnt Vendida]])</f>
        <v>21.599999999999994</v>
      </c>
      <c r="K3561" s="70">
        <f>Vendas[[#This Row],[Lucro da Venda]]/Vendas[[#This Row],[Valor da Venda]]</f>
        <v>0.23076923076923073</v>
      </c>
      <c r="L3561" s="3">
        <f>_xlfn.IFS(Vendas[[#This Row],[Margem de Lucro (%)]]&lt;15%,Vendas[[#This Row],[Valor da Venda]]*3%,Vendas[[#This Row],[Margem de Lucro (%)]]&lt;=20%,Vendas[[#This Row],[Valor da Venda]]*4.5%,TRUE,Vendas[[#This Row],[Valor da Venda]]*6%)</f>
        <v>5.6159999999999997</v>
      </c>
      <c r="M3561"/>
    </row>
    <row r="3562" spans="1:13" x14ac:dyDescent="0.3">
      <c r="A3562" s="7">
        <v>400247</v>
      </c>
      <c r="B3562" t="str">
        <f>_xlfn.XLOOKUP(Vendas[[#This Row],[ID Vendedor]],Vendedores[ID],Vendedores[Nome])</f>
        <v>André</v>
      </c>
      <c r="C3562" s="7" t="str">
        <f>_xlfn.XLOOKUP(Vendas[[#This Row],[ID Vendedor]],Vendedores[ID],Vendedores[Setor])</f>
        <v>CM</v>
      </c>
      <c r="D3562" s="7" t="s">
        <v>22</v>
      </c>
      <c r="E3562" t="str">
        <f>_xlfn.XLOOKUP(Vendas[[#This Row],[ID Item Vendido]],Agregado[ID],Agregado[Produto])</f>
        <v>Painel MDP 2,75x1,83m</v>
      </c>
      <c r="F3562" s="39">
        <v>45450</v>
      </c>
      <c r="G3562" s="7">
        <v>23</v>
      </c>
      <c r="H3562" s="3">
        <f>_xlfn.XLOOKUP(Vendas[[#This Row],[ID Item Vendido]],Agregado[ID],Agregado[Revenda])</f>
        <v>119</v>
      </c>
      <c r="I3562" s="3">
        <f>Vendas[[#This Row],[Valor Unitário]]*Vendas[[#This Row],[Qnt Vendida]]</f>
        <v>2737</v>
      </c>
      <c r="J3562" s="3">
        <f>Vendas[[#This Row],[Valor da Venda]]-(_xlfn.XLOOKUP(Vendas[[#This Row],[ID Item Vendido]],Agregado[ID],Agregado[Custo])*Vendas[[#This Row],[Qnt Vendida]])</f>
        <v>552</v>
      </c>
      <c r="K3562" s="70">
        <f>Vendas[[#This Row],[Lucro da Venda]]/Vendas[[#This Row],[Valor da Venda]]</f>
        <v>0.20168067226890757</v>
      </c>
      <c r="L3562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3562"/>
    </row>
    <row r="3563" spans="1:13" x14ac:dyDescent="0.3">
      <c r="A3563" s="7">
        <v>400242</v>
      </c>
      <c r="B3563" t="str">
        <f>_xlfn.XLOOKUP(Vendas[[#This Row],[ID Vendedor]],Vendedores[ID],Vendedores[Nome])</f>
        <v>Fernanda</v>
      </c>
      <c r="C3563" s="7" t="str">
        <f>_xlfn.XLOOKUP(Vendas[[#This Row],[ID Vendedor]],Vendedores[ID],Vendedores[Setor])</f>
        <v>FM</v>
      </c>
      <c r="D3563" s="7" t="s">
        <v>27</v>
      </c>
      <c r="E3563" t="str">
        <f>_xlfn.XLOOKUP(Vendas[[#This Row],[ID Item Vendido]],Agregado[ID],Agregado[Produto])</f>
        <v>Chapa de metal lisa 1x2m</v>
      </c>
      <c r="F3563" s="39">
        <v>45450</v>
      </c>
      <c r="G3563" s="7">
        <v>14</v>
      </c>
      <c r="H3563" s="3">
        <f>_xlfn.XLOOKUP(Vendas[[#This Row],[ID Item Vendido]],Agregado[ID],Agregado[Revenda])</f>
        <v>52</v>
      </c>
      <c r="I3563" s="3">
        <f>Vendas[[#This Row],[Valor Unitário]]*Vendas[[#This Row],[Qnt Vendida]]</f>
        <v>728</v>
      </c>
      <c r="J3563" s="3">
        <f>Vendas[[#This Row],[Valor da Venda]]-(_xlfn.XLOOKUP(Vendas[[#This Row],[ID Item Vendido]],Agregado[ID],Agregado[Custo])*Vendas[[#This Row],[Qnt Vendida]])</f>
        <v>98</v>
      </c>
      <c r="K3563" s="70">
        <f>Vendas[[#This Row],[Lucro da Venda]]/Vendas[[#This Row],[Valor da Venda]]</f>
        <v>0.13461538461538461</v>
      </c>
      <c r="L3563" s="3">
        <f>_xlfn.IFS(Vendas[[#This Row],[Margem de Lucro (%)]]&lt;15%,Vendas[[#This Row],[Valor da Venda]]*3%,Vendas[[#This Row],[Margem de Lucro (%)]]&lt;=20%,Vendas[[#This Row],[Valor da Venda]]*4.5%,TRUE,Vendas[[#This Row],[Valor da Venda]]*6%)</f>
        <v>21.84</v>
      </c>
      <c r="M3563"/>
    </row>
    <row r="3564" spans="1:13" x14ac:dyDescent="0.3">
      <c r="A3564" s="7">
        <v>400244</v>
      </c>
      <c r="B3564" t="str">
        <f>_xlfn.XLOOKUP(Vendas[[#This Row],[ID Vendedor]],Vendedores[ID],Vendedores[Nome])</f>
        <v>Camila</v>
      </c>
      <c r="C3564" s="7" t="str">
        <f>_xlfn.XLOOKUP(Vendas[[#This Row],[ID Vendedor]],Vendedores[ID],Vendedores[Setor])</f>
        <v>AHD</v>
      </c>
      <c r="D3564" s="7" t="s">
        <v>28</v>
      </c>
      <c r="E3564" t="str">
        <f>_xlfn.XLOOKUP(Vendas[[#This Row],[ID Item Vendido]],Agregado[ID],Agregado[Produto])</f>
        <v>Peça usinada CNC</v>
      </c>
      <c r="F3564" s="39">
        <v>45451</v>
      </c>
      <c r="G3564" s="7">
        <v>9</v>
      </c>
      <c r="H3564" s="3">
        <f>_xlfn.XLOOKUP(Vendas[[#This Row],[ID Item Vendido]],Agregado[ID],Agregado[Revenda])</f>
        <v>192</v>
      </c>
      <c r="I3564" s="3">
        <f>Vendas[[#This Row],[Valor Unitário]]*Vendas[[#This Row],[Qnt Vendida]]</f>
        <v>1728</v>
      </c>
      <c r="J3564" s="3">
        <f>Vendas[[#This Row],[Valor da Venda]]-(_xlfn.XLOOKUP(Vendas[[#This Row],[ID Item Vendido]],Agregado[ID],Agregado[Custo])*Vendas[[#This Row],[Qnt Vendida]])</f>
        <v>378</v>
      </c>
      <c r="K3564" s="70">
        <f>Vendas[[#This Row],[Lucro da Venda]]/Vendas[[#This Row],[Valor da Venda]]</f>
        <v>0.21875</v>
      </c>
      <c r="L3564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3564"/>
    </row>
    <row r="3565" spans="1:13" x14ac:dyDescent="0.3">
      <c r="A3565" s="7">
        <v>400252</v>
      </c>
      <c r="B3565" t="str">
        <f>_xlfn.XLOOKUP(Vendas[[#This Row],[ID Vendedor]],Vendedores[ID],Vendedores[Nome])</f>
        <v>Renata</v>
      </c>
      <c r="C3565" s="7" t="str">
        <f>_xlfn.XLOOKUP(Vendas[[#This Row],[ID Vendedor]],Vendedores[ID],Vendedores[Setor])</f>
        <v>AB</v>
      </c>
      <c r="D3565" s="7" t="s">
        <v>37</v>
      </c>
      <c r="E3565" t="str">
        <f>_xlfn.XLOOKUP(Vendas[[#This Row],[ID Item Vendido]],Agregado[ID],Agregado[Produto])</f>
        <v>Composto de borracha para vedação rolo 10m</v>
      </c>
      <c r="F3565" s="39">
        <v>45451</v>
      </c>
      <c r="G3565" s="7">
        <v>17</v>
      </c>
      <c r="H3565" s="3">
        <f>_xlfn.XLOOKUP(Vendas[[#This Row],[ID Item Vendido]],Agregado[ID],Agregado[Revenda])</f>
        <v>51.2</v>
      </c>
      <c r="I3565" s="3">
        <f>Vendas[[#This Row],[Valor Unitário]]*Vendas[[#This Row],[Qnt Vendida]]</f>
        <v>870.40000000000009</v>
      </c>
      <c r="J3565" s="3">
        <f>Vendas[[#This Row],[Valor da Venda]]-(_xlfn.XLOOKUP(Vendas[[#This Row],[ID Item Vendido]],Agregado[ID],Agregado[Custo])*Vendas[[#This Row],[Qnt Vendida]])</f>
        <v>190.40000000000009</v>
      </c>
      <c r="K3565" s="70">
        <f>Vendas[[#This Row],[Lucro da Venda]]/Vendas[[#This Row],[Valor da Venda]]</f>
        <v>0.21875000000000008</v>
      </c>
      <c r="L356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565"/>
    </row>
    <row r="3566" spans="1:13" x14ac:dyDescent="0.3">
      <c r="A3566" s="7">
        <v>400251</v>
      </c>
      <c r="B3566" t="str">
        <f>_xlfn.XLOOKUP(Vendas[[#This Row],[ID Vendedor]],Vendedores[ID],Vendedores[Nome])</f>
        <v>Diego</v>
      </c>
      <c r="C3566" s="7" t="str">
        <f>_xlfn.XLOOKUP(Vendas[[#This Row],[ID Vendedor]],Vendedores[ID],Vendedores[Setor])</f>
        <v>AB</v>
      </c>
      <c r="D3566" s="7" t="s">
        <v>12</v>
      </c>
      <c r="E3566" t="str">
        <f>_xlfn.XLOOKUP(Vendas[[#This Row],[ID Item Vendido]],Agregado[ID],Agregado[Produto])</f>
        <v>Grânulo de plástico reciclado refinado</v>
      </c>
      <c r="F3566" s="39">
        <v>45451</v>
      </c>
      <c r="G3566" s="7">
        <v>34</v>
      </c>
      <c r="H3566" s="3">
        <f>_xlfn.XLOOKUP(Vendas[[#This Row],[ID Item Vendido]],Agregado[ID],Agregado[Revenda])</f>
        <v>4.7</v>
      </c>
      <c r="I3566" s="3">
        <f>Vendas[[#This Row],[Valor Unitário]]*Vendas[[#This Row],[Qnt Vendida]]</f>
        <v>159.80000000000001</v>
      </c>
      <c r="J3566" s="3">
        <f>Vendas[[#This Row],[Valor da Venda]]-(_xlfn.XLOOKUP(Vendas[[#This Row],[ID Item Vendido]],Agregado[ID],Agregado[Custo])*Vendas[[#This Row],[Qnt Vendida]])</f>
        <v>40.800000000000011</v>
      </c>
      <c r="K3566" s="70">
        <f>Vendas[[#This Row],[Lucro da Venda]]/Vendas[[#This Row],[Valor da Venda]]</f>
        <v>0.25531914893617025</v>
      </c>
      <c r="L3566" s="3">
        <f>_xlfn.IFS(Vendas[[#This Row],[Margem de Lucro (%)]]&lt;15%,Vendas[[#This Row],[Valor da Venda]]*3%,Vendas[[#This Row],[Margem de Lucro (%)]]&lt;=20%,Vendas[[#This Row],[Valor da Venda]]*4.5%,TRUE,Vendas[[#This Row],[Valor da Venda]]*6%)</f>
        <v>9.588000000000001</v>
      </c>
      <c r="M3566"/>
    </row>
    <row r="3567" spans="1:13" x14ac:dyDescent="0.3">
      <c r="A3567" s="7">
        <v>400252</v>
      </c>
      <c r="B3567" t="str">
        <f>_xlfn.XLOOKUP(Vendas[[#This Row],[ID Vendedor]],Vendedores[ID],Vendedores[Nome])</f>
        <v>Renata</v>
      </c>
      <c r="C3567" s="7" t="str">
        <f>_xlfn.XLOOKUP(Vendas[[#This Row],[ID Vendedor]],Vendedores[ID],Vendedores[Setor])</f>
        <v>AB</v>
      </c>
      <c r="D3567" s="7" t="s">
        <v>37</v>
      </c>
      <c r="E3567" t="str">
        <f>_xlfn.XLOOKUP(Vendas[[#This Row],[ID Item Vendido]],Agregado[ID],Agregado[Produto])</f>
        <v>Composto de borracha para vedação rolo 10m</v>
      </c>
      <c r="F3567" s="39">
        <v>45452</v>
      </c>
      <c r="G3567" s="7">
        <v>12</v>
      </c>
      <c r="H3567" s="3">
        <f>_xlfn.XLOOKUP(Vendas[[#This Row],[ID Item Vendido]],Agregado[ID],Agregado[Revenda])</f>
        <v>51.2</v>
      </c>
      <c r="I3567" s="3">
        <f>Vendas[[#This Row],[Valor Unitário]]*Vendas[[#This Row],[Qnt Vendida]]</f>
        <v>614.40000000000009</v>
      </c>
      <c r="J3567" s="3">
        <f>Vendas[[#This Row],[Valor da Venda]]-(_xlfn.XLOOKUP(Vendas[[#This Row],[ID Item Vendido]],Agregado[ID],Agregado[Custo])*Vendas[[#This Row],[Qnt Vendida]])</f>
        <v>134.40000000000009</v>
      </c>
      <c r="K3567" s="70">
        <f>Vendas[[#This Row],[Lucro da Venda]]/Vendas[[#This Row],[Valor da Venda]]</f>
        <v>0.21875000000000011</v>
      </c>
      <c r="L3567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3567"/>
    </row>
    <row r="3568" spans="1:13" x14ac:dyDescent="0.3">
      <c r="A3568" s="7">
        <v>400241</v>
      </c>
      <c r="B3568" t="str">
        <f>_xlfn.XLOOKUP(Vendas[[#This Row],[ID Vendedor]],Vendedores[ID],Vendedores[Nome])</f>
        <v>Rodrigo</v>
      </c>
      <c r="C3568" s="7" t="str">
        <f>_xlfn.XLOOKUP(Vendas[[#This Row],[ID Vendedor]],Vendedores[ID],Vendedores[Setor])</f>
        <v>FM</v>
      </c>
      <c r="D3568" s="7" t="s">
        <v>31</v>
      </c>
      <c r="E3568" t="str">
        <f>_xlfn.XLOOKUP(Vendas[[#This Row],[ID Item Vendido]],Agregado[ID],Agregado[Produto])</f>
        <v>Tela de metal soldada rolo 2x25m</v>
      </c>
      <c r="F3568" s="39">
        <v>45453</v>
      </c>
      <c r="G3568" s="7">
        <v>6</v>
      </c>
      <c r="H3568" s="3">
        <f>_xlfn.XLOOKUP(Vendas[[#This Row],[ID Item Vendido]],Agregado[ID],Agregado[Revenda])</f>
        <v>43.7</v>
      </c>
      <c r="I3568" s="3">
        <f>Vendas[[#This Row],[Valor Unitário]]*Vendas[[#This Row],[Qnt Vendida]]</f>
        <v>262.20000000000005</v>
      </c>
      <c r="J3568" s="3">
        <f>Vendas[[#This Row],[Valor da Venda]]-(_xlfn.XLOOKUP(Vendas[[#This Row],[ID Item Vendido]],Agregado[ID],Agregado[Custo])*Vendas[[#This Row],[Qnt Vendida]])</f>
        <v>34.200000000000045</v>
      </c>
      <c r="K3568" s="70">
        <f>Vendas[[#This Row],[Lucro da Venda]]/Vendas[[#This Row],[Valor da Venda]]</f>
        <v>0.13043478260869582</v>
      </c>
      <c r="L3568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3568"/>
    </row>
    <row r="3569" spans="1:13" x14ac:dyDescent="0.3">
      <c r="A3569" s="7">
        <v>400252</v>
      </c>
      <c r="B3569" t="str">
        <f>_xlfn.XLOOKUP(Vendas[[#This Row],[ID Vendedor]],Vendedores[ID],Vendedores[Nome])</f>
        <v>Renata</v>
      </c>
      <c r="C3569" s="7" t="str">
        <f>_xlfn.XLOOKUP(Vendas[[#This Row],[ID Vendedor]],Vendedores[ID],Vendedores[Setor])</f>
        <v>AB</v>
      </c>
      <c r="D3569" s="7" t="s">
        <v>39</v>
      </c>
      <c r="E3569" t="str">
        <f>_xlfn.XLOOKUP(Vendas[[#This Row],[ID Item Vendido]],Agregado[ID],Agregado[Produto])</f>
        <v>Filme plástico industrial rolo 50m</v>
      </c>
      <c r="F3569" s="39">
        <v>45454</v>
      </c>
      <c r="G3569" s="7">
        <v>7</v>
      </c>
      <c r="H3569" s="3">
        <f>_xlfn.XLOOKUP(Vendas[[#This Row],[ID Item Vendido]],Agregado[ID],Agregado[Revenda])</f>
        <v>37</v>
      </c>
      <c r="I3569" s="3">
        <f>Vendas[[#This Row],[Valor Unitário]]*Vendas[[#This Row],[Qnt Vendida]]</f>
        <v>259</v>
      </c>
      <c r="J3569" s="3">
        <f>Vendas[[#This Row],[Valor da Venda]]-(_xlfn.XLOOKUP(Vendas[[#This Row],[ID Item Vendido]],Agregado[ID],Agregado[Custo])*Vendas[[#This Row],[Qnt Vendida]])</f>
        <v>63</v>
      </c>
      <c r="K3569" s="70">
        <f>Vendas[[#This Row],[Lucro da Venda]]/Vendas[[#This Row],[Valor da Venda]]</f>
        <v>0.24324324324324326</v>
      </c>
      <c r="L3569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3569"/>
    </row>
    <row r="3570" spans="1:13" x14ac:dyDescent="0.3">
      <c r="A3570" s="7">
        <v>400253</v>
      </c>
      <c r="B3570" t="str">
        <f>_xlfn.XLOOKUP(Vendas[[#This Row],[ID Vendedor]],Vendedores[ID],Vendedores[Nome])</f>
        <v>Gustavo</v>
      </c>
      <c r="C3570" s="7" t="str">
        <f>_xlfn.XLOOKUP(Vendas[[#This Row],[ID Vendedor]],Vendedores[ID],Vendedores[Setor])</f>
        <v>SC</v>
      </c>
      <c r="D3570" s="7" t="s">
        <v>42</v>
      </c>
      <c r="E3570" t="str">
        <f>_xlfn.XLOOKUP(Vendas[[#This Row],[ID Item Vendido]],Agregado[ID],Agregado[Produto])</f>
        <v>Container de ferro industrial</v>
      </c>
      <c r="F3570" s="39">
        <v>45455</v>
      </c>
      <c r="G3570" s="7">
        <v>6</v>
      </c>
      <c r="H3570" s="3">
        <f>_xlfn.XLOOKUP(Vendas[[#This Row],[ID Item Vendido]],Agregado[ID],Agregado[Revenda])</f>
        <v>830</v>
      </c>
      <c r="I3570" s="3">
        <f>Vendas[[#This Row],[Valor Unitário]]*Vendas[[#This Row],[Qnt Vendida]]</f>
        <v>4980</v>
      </c>
      <c r="J3570" s="3">
        <f>Vendas[[#This Row],[Valor da Venda]]-(_xlfn.XLOOKUP(Vendas[[#This Row],[ID Item Vendido]],Agregado[ID],Agregado[Custo])*Vendas[[#This Row],[Qnt Vendida]])</f>
        <v>900</v>
      </c>
      <c r="K3570" s="70">
        <f>Vendas[[#This Row],[Lucro da Venda]]/Vendas[[#This Row],[Valor da Venda]]</f>
        <v>0.18072289156626506</v>
      </c>
      <c r="L357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570"/>
    </row>
    <row r="3571" spans="1:13" x14ac:dyDescent="0.3">
      <c r="A3571" s="7">
        <v>400254</v>
      </c>
      <c r="B3571" t="str">
        <f>_xlfn.XLOOKUP(Vendas[[#This Row],[ID Vendedor]],Vendedores[ID],Vendedores[Nome])</f>
        <v>Beatriz</v>
      </c>
      <c r="C3571" s="7" t="str">
        <f>_xlfn.XLOOKUP(Vendas[[#This Row],[ID Vendedor]],Vendedores[ID],Vendedores[Setor])</f>
        <v>SC</v>
      </c>
      <c r="D3571" s="7" t="s">
        <v>48</v>
      </c>
      <c r="E3571" t="str">
        <f>_xlfn.XLOOKUP(Vendas[[#This Row],[ID Item Vendido]],Agregado[ID],Agregado[Produto])</f>
        <v>Tambor metálico 200L</v>
      </c>
      <c r="F3571" s="39">
        <v>45455</v>
      </c>
      <c r="G3571" s="7">
        <v>15</v>
      </c>
      <c r="H3571" s="3">
        <f>_xlfn.XLOOKUP(Vendas[[#This Row],[ID Item Vendido]],Agregado[ID],Agregado[Revenda])</f>
        <v>144</v>
      </c>
      <c r="I3571" s="3">
        <f>Vendas[[#This Row],[Valor Unitário]]*Vendas[[#This Row],[Qnt Vendida]]</f>
        <v>2160</v>
      </c>
      <c r="J3571" s="3">
        <f>Vendas[[#This Row],[Valor da Venda]]-(_xlfn.XLOOKUP(Vendas[[#This Row],[ID Item Vendido]],Agregado[ID],Agregado[Custo])*Vendas[[#This Row],[Qnt Vendida]])</f>
        <v>360</v>
      </c>
      <c r="K3571" s="70">
        <f>Vendas[[#This Row],[Lucro da Venda]]/Vendas[[#This Row],[Valor da Venda]]</f>
        <v>0.16666666666666666</v>
      </c>
      <c r="L3571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3571"/>
    </row>
    <row r="3572" spans="1:13" x14ac:dyDescent="0.3">
      <c r="A3572" s="7">
        <v>400247</v>
      </c>
      <c r="B3572" t="str">
        <f>_xlfn.XLOOKUP(Vendas[[#This Row],[ID Vendedor]],Vendedores[ID],Vendedores[Nome])</f>
        <v>André</v>
      </c>
      <c r="C3572" s="7" t="str">
        <f>_xlfn.XLOOKUP(Vendas[[#This Row],[ID Vendedor]],Vendedores[ID],Vendedores[Setor])</f>
        <v>CM</v>
      </c>
      <c r="D3572" s="7" t="s">
        <v>32</v>
      </c>
      <c r="E3572" t="str">
        <f>_xlfn.XLOOKUP(Vendas[[#This Row],[ID Item Vendido]],Agregado[ID],Agregado[Produto])</f>
        <v>Tábua tratada e cortada 3m</v>
      </c>
      <c r="F3572" s="39">
        <v>45456</v>
      </c>
      <c r="G3572" s="7">
        <v>18</v>
      </c>
      <c r="H3572" s="3">
        <f>_xlfn.XLOOKUP(Vendas[[#This Row],[ID Item Vendido]],Agregado[ID],Agregado[Revenda])</f>
        <v>39</v>
      </c>
      <c r="I3572" s="3">
        <f>Vendas[[#This Row],[Valor Unitário]]*Vendas[[#This Row],[Qnt Vendida]]</f>
        <v>702</v>
      </c>
      <c r="J3572" s="3">
        <f>Vendas[[#This Row],[Valor da Venda]]-(_xlfn.XLOOKUP(Vendas[[#This Row],[ID Item Vendido]],Agregado[ID],Agregado[Custo])*Vendas[[#This Row],[Qnt Vendida]])</f>
        <v>126</v>
      </c>
      <c r="K3572" s="70">
        <f>Vendas[[#This Row],[Lucro da Venda]]/Vendas[[#This Row],[Valor da Venda]]</f>
        <v>0.17948717948717949</v>
      </c>
      <c r="L3572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3572"/>
    </row>
    <row r="3573" spans="1:13" x14ac:dyDescent="0.3">
      <c r="A3573" s="7">
        <v>400242</v>
      </c>
      <c r="B3573" t="str">
        <f>_xlfn.XLOOKUP(Vendas[[#This Row],[ID Vendedor]],Vendedores[ID],Vendedores[Nome])</f>
        <v>Fernanda</v>
      </c>
      <c r="C3573" s="7" t="str">
        <f>_xlfn.XLOOKUP(Vendas[[#This Row],[ID Vendedor]],Vendedores[ID],Vendedores[Setor])</f>
        <v>FM</v>
      </c>
      <c r="D3573" s="7" t="s">
        <v>47</v>
      </c>
      <c r="E3573" t="str">
        <f>_xlfn.XLOOKUP(Vendas[[#This Row],[ID Item Vendido]],Agregado[ID],Agregado[Produto])</f>
        <v>Fio de arame galvanizado rolo 50m</v>
      </c>
      <c r="F3573" s="39">
        <v>45456</v>
      </c>
      <c r="G3573" s="7">
        <v>25</v>
      </c>
      <c r="H3573" s="3">
        <f>_xlfn.XLOOKUP(Vendas[[#This Row],[ID Item Vendido]],Agregado[ID],Agregado[Revenda])</f>
        <v>21.2</v>
      </c>
      <c r="I3573" s="3">
        <f>Vendas[[#This Row],[Valor Unitário]]*Vendas[[#This Row],[Qnt Vendida]]</f>
        <v>530</v>
      </c>
      <c r="J3573" s="3">
        <f>Vendas[[#This Row],[Valor da Venda]]-(_xlfn.XLOOKUP(Vendas[[#This Row],[ID Item Vendido]],Agregado[ID],Agregado[Custo])*Vendas[[#This Row],[Qnt Vendida]])</f>
        <v>80</v>
      </c>
      <c r="K3573" s="70">
        <f>Vendas[[#This Row],[Lucro da Venda]]/Vendas[[#This Row],[Valor da Venda]]</f>
        <v>0.15094339622641509</v>
      </c>
      <c r="L3573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3573"/>
    </row>
    <row r="3574" spans="1:13" x14ac:dyDescent="0.3">
      <c r="A3574" s="7">
        <v>400252</v>
      </c>
      <c r="B3574" t="str">
        <f>_xlfn.XLOOKUP(Vendas[[#This Row],[ID Vendedor]],Vendedores[ID],Vendedores[Nome])</f>
        <v>Renata</v>
      </c>
      <c r="C3574" s="7" t="str">
        <f>_xlfn.XLOOKUP(Vendas[[#This Row],[ID Vendedor]],Vendedores[ID],Vendedores[Setor])</f>
        <v>AB</v>
      </c>
      <c r="D3574" s="7" t="s">
        <v>37</v>
      </c>
      <c r="E3574" t="str">
        <f>_xlfn.XLOOKUP(Vendas[[#This Row],[ID Item Vendido]],Agregado[ID],Agregado[Produto])</f>
        <v>Composto de borracha para vedação rolo 10m</v>
      </c>
      <c r="F3574" s="39">
        <v>45457</v>
      </c>
      <c r="G3574" s="7">
        <v>4</v>
      </c>
      <c r="H3574" s="3">
        <f>_xlfn.XLOOKUP(Vendas[[#This Row],[ID Item Vendido]],Agregado[ID],Agregado[Revenda])</f>
        <v>51.2</v>
      </c>
      <c r="I3574" s="3">
        <f>Vendas[[#This Row],[Valor Unitário]]*Vendas[[#This Row],[Qnt Vendida]]</f>
        <v>204.8</v>
      </c>
      <c r="J3574" s="3">
        <f>Vendas[[#This Row],[Valor da Venda]]-(_xlfn.XLOOKUP(Vendas[[#This Row],[ID Item Vendido]],Agregado[ID],Agregado[Custo])*Vendas[[#This Row],[Qnt Vendida]])</f>
        <v>44.800000000000011</v>
      </c>
      <c r="K3574" s="70">
        <f>Vendas[[#This Row],[Lucro da Venda]]/Vendas[[#This Row],[Valor da Venda]]</f>
        <v>0.21875000000000006</v>
      </c>
      <c r="L3574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3574"/>
    </row>
    <row r="3575" spans="1:13" x14ac:dyDescent="0.3">
      <c r="A3575" s="7">
        <v>400248</v>
      </c>
      <c r="B3575" t="str">
        <f>_xlfn.XLOOKUP(Vendas[[#This Row],[ID Vendedor]],Vendedores[ID],Vendedores[Nome])</f>
        <v>Patrícia</v>
      </c>
      <c r="C3575" s="7" t="str">
        <f>_xlfn.XLOOKUP(Vendas[[#This Row],[ID Vendedor]],Vendedores[ID],Vendedores[Setor])</f>
        <v>CM</v>
      </c>
      <c r="D3575" s="7" t="s">
        <v>22</v>
      </c>
      <c r="E3575" t="str">
        <f>_xlfn.XLOOKUP(Vendas[[#This Row],[ID Item Vendido]],Agregado[ID],Agregado[Produto])</f>
        <v>Painel MDP 2,75x1,83m</v>
      </c>
      <c r="F3575" s="39">
        <v>45458</v>
      </c>
      <c r="G3575" s="7">
        <v>25</v>
      </c>
      <c r="H3575" s="3">
        <f>_xlfn.XLOOKUP(Vendas[[#This Row],[ID Item Vendido]],Agregado[ID],Agregado[Revenda])</f>
        <v>119</v>
      </c>
      <c r="I3575" s="3">
        <f>Vendas[[#This Row],[Valor Unitário]]*Vendas[[#This Row],[Qnt Vendida]]</f>
        <v>2975</v>
      </c>
      <c r="J3575" s="3">
        <f>Vendas[[#This Row],[Valor da Venda]]-(_xlfn.XLOOKUP(Vendas[[#This Row],[ID Item Vendido]],Agregado[ID],Agregado[Custo])*Vendas[[#This Row],[Qnt Vendida]])</f>
        <v>600</v>
      </c>
      <c r="K3575" s="70">
        <f>Vendas[[#This Row],[Lucro da Venda]]/Vendas[[#This Row],[Valor da Venda]]</f>
        <v>0.20168067226890757</v>
      </c>
      <c r="L3575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3575"/>
    </row>
    <row r="3576" spans="1:13" x14ac:dyDescent="0.3">
      <c r="A3576" s="7">
        <v>400248</v>
      </c>
      <c r="B3576" t="str">
        <f>_xlfn.XLOOKUP(Vendas[[#This Row],[ID Vendedor]],Vendedores[ID],Vendedores[Nome])</f>
        <v>Patrícia</v>
      </c>
      <c r="C3576" s="7" t="str">
        <f>_xlfn.XLOOKUP(Vendas[[#This Row],[ID Vendedor]],Vendedores[ID],Vendedores[Setor])</f>
        <v>CM</v>
      </c>
      <c r="D3576" s="7" t="s">
        <v>34</v>
      </c>
      <c r="E3576" t="str">
        <f>_xlfn.XLOOKUP(Vendas[[#This Row],[ID Item Vendido]],Agregado[ID],Agregado[Produto])</f>
        <v>Restos de madeira p/ MDP/OSB saco de 20kg</v>
      </c>
      <c r="F3576" s="39">
        <v>45458</v>
      </c>
      <c r="G3576" s="7">
        <v>19</v>
      </c>
      <c r="H3576" s="3">
        <f>_xlfn.XLOOKUP(Vendas[[#This Row],[ID Item Vendido]],Agregado[ID],Agregado[Revenda])</f>
        <v>13.8</v>
      </c>
      <c r="I3576" s="3">
        <f>Vendas[[#This Row],[Valor Unitário]]*Vendas[[#This Row],[Qnt Vendida]]</f>
        <v>262.2</v>
      </c>
      <c r="J3576" s="3">
        <f>Vendas[[#This Row],[Valor da Venda]]-(_xlfn.XLOOKUP(Vendas[[#This Row],[ID Item Vendido]],Agregado[ID],Agregado[Custo])*Vendas[[#This Row],[Qnt Vendida]])</f>
        <v>34.199999999999989</v>
      </c>
      <c r="K3576" s="70">
        <f>Vendas[[#This Row],[Lucro da Venda]]/Vendas[[#This Row],[Valor da Venda]]</f>
        <v>0.13043478260869562</v>
      </c>
      <c r="L3576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3576"/>
    </row>
    <row r="3577" spans="1:13" x14ac:dyDescent="0.3">
      <c r="A3577" s="7">
        <v>400254</v>
      </c>
      <c r="B3577" t="str">
        <f>_xlfn.XLOOKUP(Vendas[[#This Row],[ID Vendedor]],Vendedores[ID],Vendedores[Nome])</f>
        <v>Beatriz</v>
      </c>
      <c r="C3577" s="7" t="str">
        <f>_xlfn.XLOOKUP(Vendas[[#This Row],[ID Vendedor]],Vendedores[ID],Vendedores[Setor])</f>
        <v>SC</v>
      </c>
      <c r="D3577" s="7" t="s">
        <v>48</v>
      </c>
      <c r="E3577" t="str">
        <f>_xlfn.XLOOKUP(Vendas[[#This Row],[ID Item Vendido]],Agregado[ID],Agregado[Produto])</f>
        <v>Tambor metálico 200L</v>
      </c>
      <c r="F3577" s="39">
        <v>45460</v>
      </c>
      <c r="G3577" s="7">
        <v>20</v>
      </c>
      <c r="H3577" s="3">
        <f>_xlfn.XLOOKUP(Vendas[[#This Row],[ID Item Vendido]],Agregado[ID],Agregado[Revenda])</f>
        <v>144</v>
      </c>
      <c r="I3577" s="3">
        <f>Vendas[[#This Row],[Valor Unitário]]*Vendas[[#This Row],[Qnt Vendida]]</f>
        <v>2880</v>
      </c>
      <c r="J3577" s="3">
        <f>Vendas[[#This Row],[Valor da Venda]]-(_xlfn.XLOOKUP(Vendas[[#This Row],[ID Item Vendido]],Agregado[ID],Agregado[Custo])*Vendas[[#This Row],[Qnt Vendida]])</f>
        <v>480</v>
      </c>
      <c r="K3577" s="70">
        <f>Vendas[[#This Row],[Lucro da Venda]]/Vendas[[#This Row],[Valor da Venda]]</f>
        <v>0.16666666666666666</v>
      </c>
      <c r="L3577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3577"/>
    </row>
    <row r="3578" spans="1:13" x14ac:dyDescent="0.3">
      <c r="A3578" s="7">
        <v>400255</v>
      </c>
      <c r="B3578" t="str">
        <f>_xlfn.XLOOKUP(Vendas[[#This Row],[ID Vendedor]],Vendedores[ID],Vendedores[Nome])</f>
        <v>Carlos</v>
      </c>
      <c r="C3578" s="7" t="str">
        <f>_xlfn.XLOOKUP(Vendas[[#This Row],[ID Vendedor]],Vendedores[ID],Vendedores[Setor])</f>
        <v>SC</v>
      </c>
      <c r="D3578" s="7" t="s">
        <v>42</v>
      </c>
      <c r="E3578" t="str">
        <f>_xlfn.XLOOKUP(Vendas[[#This Row],[ID Item Vendido]],Agregado[ID],Agregado[Produto])</f>
        <v>Container de ferro industrial</v>
      </c>
      <c r="F3578" s="39">
        <v>45460</v>
      </c>
      <c r="G3578" s="7">
        <v>3</v>
      </c>
      <c r="H3578" s="3">
        <f>_xlfn.XLOOKUP(Vendas[[#This Row],[ID Item Vendido]],Agregado[ID],Agregado[Revenda])</f>
        <v>830</v>
      </c>
      <c r="I3578" s="3">
        <f>Vendas[[#This Row],[Valor Unitário]]*Vendas[[#This Row],[Qnt Vendida]]</f>
        <v>2490</v>
      </c>
      <c r="J3578" s="3">
        <f>Vendas[[#This Row],[Valor da Venda]]-(_xlfn.XLOOKUP(Vendas[[#This Row],[ID Item Vendido]],Agregado[ID],Agregado[Custo])*Vendas[[#This Row],[Qnt Vendida]])</f>
        <v>450</v>
      </c>
      <c r="K3578" s="70">
        <f>Vendas[[#This Row],[Lucro da Venda]]/Vendas[[#This Row],[Valor da Venda]]</f>
        <v>0.18072289156626506</v>
      </c>
      <c r="L3578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578"/>
    </row>
    <row r="3579" spans="1:13" x14ac:dyDescent="0.3">
      <c r="A3579" s="7">
        <v>400254</v>
      </c>
      <c r="B3579" t="str">
        <f>_xlfn.XLOOKUP(Vendas[[#This Row],[ID Vendedor]],Vendedores[ID],Vendedores[Nome])</f>
        <v>Beatriz</v>
      </c>
      <c r="C3579" s="7" t="str">
        <f>_xlfn.XLOOKUP(Vendas[[#This Row],[ID Vendedor]],Vendedores[ID],Vendedores[Setor])</f>
        <v>SC</v>
      </c>
      <c r="D3579" s="7" t="s">
        <v>14</v>
      </c>
      <c r="E3579" t="str">
        <f>_xlfn.XLOOKUP(Vendas[[#This Row],[ID Item Vendido]],Agregado[ID],Agregado[Produto])</f>
        <v>Barril de plástico 200L</v>
      </c>
      <c r="F3579" s="39">
        <v>45460</v>
      </c>
      <c r="G3579" s="7">
        <v>9</v>
      </c>
      <c r="H3579" s="3">
        <f>_xlfn.XLOOKUP(Vendas[[#This Row],[ID Item Vendido]],Agregado[ID],Agregado[Revenda])</f>
        <v>114</v>
      </c>
      <c r="I3579" s="3">
        <f>Vendas[[#This Row],[Valor Unitário]]*Vendas[[#This Row],[Qnt Vendida]]</f>
        <v>1026</v>
      </c>
      <c r="J3579" s="3">
        <f>Vendas[[#This Row],[Valor da Venda]]-(_xlfn.XLOOKUP(Vendas[[#This Row],[ID Item Vendido]],Agregado[ID],Agregado[Custo])*Vendas[[#This Row],[Qnt Vendida]])</f>
        <v>171</v>
      </c>
      <c r="K3579" s="70">
        <f>Vendas[[#This Row],[Lucro da Venda]]/Vendas[[#This Row],[Valor da Venda]]</f>
        <v>0.16666666666666666</v>
      </c>
      <c r="L3579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3579"/>
    </row>
    <row r="3580" spans="1:13" x14ac:dyDescent="0.3">
      <c r="A3580" s="7">
        <v>400241</v>
      </c>
      <c r="B3580" t="str">
        <f>_xlfn.XLOOKUP(Vendas[[#This Row],[ID Vendedor]],Vendedores[ID],Vendedores[Nome])</f>
        <v>Rodrigo</v>
      </c>
      <c r="C3580" s="7" t="str">
        <f>_xlfn.XLOOKUP(Vendas[[#This Row],[ID Vendedor]],Vendedores[ID],Vendedores[Setor])</f>
        <v>FM</v>
      </c>
      <c r="D3580" s="7" t="s">
        <v>47</v>
      </c>
      <c r="E3580" t="str">
        <f>_xlfn.XLOOKUP(Vendas[[#This Row],[ID Item Vendido]],Agregado[ID],Agregado[Produto])</f>
        <v>Fio de arame galvanizado rolo 50m</v>
      </c>
      <c r="F3580" s="39">
        <v>45460</v>
      </c>
      <c r="G3580" s="7">
        <v>7</v>
      </c>
      <c r="H3580" s="3">
        <f>_xlfn.XLOOKUP(Vendas[[#This Row],[ID Item Vendido]],Agregado[ID],Agregado[Revenda])</f>
        <v>21.2</v>
      </c>
      <c r="I3580" s="3">
        <f>Vendas[[#This Row],[Valor Unitário]]*Vendas[[#This Row],[Qnt Vendida]]</f>
        <v>148.4</v>
      </c>
      <c r="J3580" s="3">
        <f>Vendas[[#This Row],[Valor da Venda]]-(_xlfn.XLOOKUP(Vendas[[#This Row],[ID Item Vendido]],Agregado[ID],Agregado[Custo])*Vendas[[#This Row],[Qnt Vendida]])</f>
        <v>22.400000000000006</v>
      </c>
      <c r="K3580" s="70">
        <f>Vendas[[#This Row],[Lucro da Venda]]/Vendas[[#This Row],[Valor da Venda]]</f>
        <v>0.15094339622641512</v>
      </c>
      <c r="L3580" s="3">
        <f>_xlfn.IFS(Vendas[[#This Row],[Margem de Lucro (%)]]&lt;15%,Vendas[[#This Row],[Valor da Venda]]*3%,Vendas[[#This Row],[Margem de Lucro (%)]]&lt;=20%,Vendas[[#This Row],[Valor da Venda]]*4.5%,TRUE,Vendas[[#This Row],[Valor da Venda]]*6%)</f>
        <v>6.6779999999999999</v>
      </c>
      <c r="M3580"/>
    </row>
    <row r="3581" spans="1:13" x14ac:dyDescent="0.3">
      <c r="A3581" s="7">
        <v>400244</v>
      </c>
      <c r="B3581" t="str">
        <f>_xlfn.XLOOKUP(Vendas[[#This Row],[ID Vendedor]],Vendedores[ID],Vendedores[Nome])</f>
        <v>Camila</v>
      </c>
      <c r="C3581" s="7" t="str">
        <f>_xlfn.XLOOKUP(Vendas[[#This Row],[ID Vendedor]],Vendedores[ID],Vendedores[Setor])</f>
        <v>AHD</v>
      </c>
      <c r="D3581" s="7" t="s">
        <v>9</v>
      </c>
      <c r="E3581" t="str">
        <f>_xlfn.XLOOKUP(Vendas[[#This Row],[ID Item Vendido]],Agregado[ID],Agregado[Produto])</f>
        <v>Barra de aço simples</v>
      </c>
      <c r="F3581" s="39">
        <v>45461</v>
      </c>
      <c r="G3581" s="7">
        <v>88</v>
      </c>
      <c r="H3581" s="3">
        <f>_xlfn.XLOOKUP(Vendas[[#This Row],[ID Item Vendido]],Agregado[ID],Agregado[Revenda])</f>
        <v>6.7</v>
      </c>
      <c r="I3581" s="3">
        <f>Vendas[[#This Row],[Valor Unitário]]*Vendas[[#This Row],[Qnt Vendida]]</f>
        <v>589.6</v>
      </c>
      <c r="J3581" s="3">
        <f>Vendas[[#This Row],[Valor da Venda]]-(_xlfn.XLOOKUP(Vendas[[#This Row],[ID Item Vendido]],Agregado[ID],Agregado[Custo])*Vendas[[#This Row],[Qnt Vendida]])</f>
        <v>79.200000000000045</v>
      </c>
      <c r="K3581" s="70">
        <f>Vendas[[#This Row],[Lucro da Venda]]/Vendas[[#This Row],[Valor da Venda]]</f>
        <v>0.13432835820895531</v>
      </c>
      <c r="L3581" s="3">
        <f>_xlfn.IFS(Vendas[[#This Row],[Margem de Lucro (%)]]&lt;15%,Vendas[[#This Row],[Valor da Venda]]*3%,Vendas[[#This Row],[Margem de Lucro (%)]]&lt;=20%,Vendas[[#This Row],[Valor da Venda]]*4.5%,TRUE,Vendas[[#This Row],[Valor da Venda]]*6%)</f>
        <v>17.687999999999999</v>
      </c>
      <c r="M3581"/>
    </row>
    <row r="3582" spans="1:13" x14ac:dyDescent="0.3">
      <c r="A3582" s="7">
        <v>400242</v>
      </c>
      <c r="B3582" t="str">
        <f>_xlfn.XLOOKUP(Vendas[[#This Row],[ID Vendedor]],Vendedores[ID],Vendedores[Nome])</f>
        <v>Fernanda</v>
      </c>
      <c r="C3582" s="7" t="str">
        <f>_xlfn.XLOOKUP(Vendas[[#This Row],[ID Vendedor]],Vendedores[ID],Vendedores[Setor])</f>
        <v>FM</v>
      </c>
      <c r="D3582" s="7" t="s">
        <v>6</v>
      </c>
      <c r="E3582" t="str">
        <f>_xlfn.XLOOKUP(Vendas[[#This Row],[ID Item Vendido]],Agregado[ID],Agregado[Produto])</f>
        <v>Parafuso comum 500un</v>
      </c>
      <c r="F3582" s="39">
        <v>45461</v>
      </c>
      <c r="G3582" s="7">
        <v>21</v>
      </c>
      <c r="H3582" s="3">
        <f>_xlfn.XLOOKUP(Vendas[[#This Row],[ID Item Vendido]],Agregado[ID],Agregado[Revenda])</f>
        <v>24.6</v>
      </c>
      <c r="I3582" s="3">
        <f>Vendas[[#This Row],[Valor Unitário]]*Vendas[[#This Row],[Qnt Vendida]]</f>
        <v>516.6</v>
      </c>
      <c r="J3582" s="3">
        <f>Vendas[[#This Row],[Valor da Venda]]-(_xlfn.XLOOKUP(Vendas[[#This Row],[ID Item Vendido]],Agregado[ID],Agregado[Custo])*Vendas[[#This Row],[Qnt Vendida]])</f>
        <v>54.600000000000023</v>
      </c>
      <c r="K3582" s="70">
        <f>Vendas[[#This Row],[Lucro da Venda]]/Vendas[[#This Row],[Valor da Venda]]</f>
        <v>0.10569105691056914</v>
      </c>
      <c r="L3582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3582"/>
    </row>
    <row r="3583" spans="1:13" x14ac:dyDescent="0.3">
      <c r="A3583" s="7">
        <v>400250</v>
      </c>
      <c r="B3583" t="str">
        <f>_xlfn.XLOOKUP(Vendas[[#This Row],[ID Vendedor]],Vendedores[ID],Vendedores[Nome])</f>
        <v>Larissa</v>
      </c>
      <c r="C3583" s="7" t="str">
        <f>_xlfn.XLOOKUP(Vendas[[#This Row],[ID Vendedor]],Vendedores[ID],Vendedores[Setor])</f>
        <v>AB</v>
      </c>
      <c r="D3583" s="7" t="s">
        <v>12</v>
      </c>
      <c r="E3583" t="str">
        <f>_xlfn.XLOOKUP(Vendas[[#This Row],[ID Item Vendido]],Agregado[ID],Agregado[Produto])</f>
        <v>Grânulo de plástico reciclado refinado</v>
      </c>
      <c r="F3583" s="39">
        <v>45461</v>
      </c>
      <c r="G3583" s="7">
        <v>96</v>
      </c>
      <c r="H3583" s="3">
        <f>_xlfn.XLOOKUP(Vendas[[#This Row],[ID Item Vendido]],Agregado[ID],Agregado[Revenda])</f>
        <v>4.7</v>
      </c>
      <c r="I3583" s="3">
        <f>Vendas[[#This Row],[Valor Unitário]]*Vendas[[#This Row],[Qnt Vendida]]</f>
        <v>451.20000000000005</v>
      </c>
      <c r="J3583" s="3">
        <f>Vendas[[#This Row],[Valor da Venda]]-(_xlfn.XLOOKUP(Vendas[[#This Row],[ID Item Vendido]],Agregado[ID],Agregado[Custo])*Vendas[[#This Row],[Qnt Vendida]])</f>
        <v>115.20000000000005</v>
      </c>
      <c r="K3583" s="70">
        <f>Vendas[[#This Row],[Lucro da Venda]]/Vendas[[#This Row],[Valor da Venda]]</f>
        <v>0.2553191489361703</v>
      </c>
      <c r="L3583" s="3">
        <f>_xlfn.IFS(Vendas[[#This Row],[Margem de Lucro (%)]]&lt;15%,Vendas[[#This Row],[Valor da Venda]]*3%,Vendas[[#This Row],[Margem de Lucro (%)]]&lt;=20%,Vendas[[#This Row],[Valor da Venda]]*4.5%,TRUE,Vendas[[#This Row],[Valor da Venda]]*6%)</f>
        <v>27.072000000000003</v>
      </c>
      <c r="M3583"/>
    </row>
    <row r="3584" spans="1:13" x14ac:dyDescent="0.3">
      <c r="A3584" s="7">
        <v>400245</v>
      </c>
      <c r="B3584" t="str">
        <f>_xlfn.XLOOKUP(Vendas[[#This Row],[ID Vendedor]],Vendedores[ID],Vendedores[Nome])</f>
        <v>Thiago</v>
      </c>
      <c r="C3584" s="7" t="str">
        <f>_xlfn.XLOOKUP(Vendas[[#This Row],[ID Vendedor]],Vendedores[ID],Vendedores[Setor])</f>
        <v>AHD</v>
      </c>
      <c r="D3584" s="7" t="s">
        <v>9</v>
      </c>
      <c r="E3584" t="str">
        <f>_xlfn.XLOOKUP(Vendas[[#This Row],[ID Item Vendido]],Agregado[ID],Agregado[Produto])</f>
        <v>Barra de aço simples</v>
      </c>
      <c r="F3584" s="39">
        <v>45461</v>
      </c>
      <c r="G3584" s="7">
        <v>67</v>
      </c>
      <c r="H3584" s="3">
        <f>_xlfn.XLOOKUP(Vendas[[#This Row],[ID Item Vendido]],Agregado[ID],Agregado[Revenda])</f>
        <v>6.7</v>
      </c>
      <c r="I3584" s="3">
        <f>Vendas[[#This Row],[Valor Unitário]]*Vendas[[#This Row],[Qnt Vendida]]</f>
        <v>448.90000000000003</v>
      </c>
      <c r="J3584" s="3">
        <f>Vendas[[#This Row],[Valor da Venda]]-(_xlfn.XLOOKUP(Vendas[[#This Row],[ID Item Vendido]],Agregado[ID],Agregado[Custo])*Vendas[[#This Row],[Qnt Vendida]])</f>
        <v>60.300000000000068</v>
      </c>
      <c r="K3584" s="70">
        <f>Vendas[[#This Row],[Lucro da Venda]]/Vendas[[#This Row],[Valor da Venda]]</f>
        <v>0.13432835820895536</v>
      </c>
      <c r="L3584" s="3">
        <f>_xlfn.IFS(Vendas[[#This Row],[Margem de Lucro (%)]]&lt;15%,Vendas[[#This Row],[Valor da Venda]]*3%,Vendas[[#This Row],[Margem de Lucro (%)]]&lt;=20%,Vendas[[#This Row],[Valor da Venda]]*4.5%,TRUE,Vendas[[#This Row],[Valor da Venda]]*6%)</f>
        <v>13.467000000000001</v>
      </c>
      <c r="M3584"/>
    </row>
    <row r="3585" spans="1:13" x14ac:dyDescent="0.3">
      <c r="A3585" s="7">
        <v>400252</v>
      </c>
      <c r="B3585" t="str">
        <f>_xlfn.XLOOKUP(Vendas[[#This Row],[ID Vendedor]],Vendedores[ID],Vendedores[Nome])</f>
        <v>Renata</v>
      </c>
      <c r="C3585" s="7" t="str">
        <f>_xlfn.XLOOKUP(Vendas[[#This Row],[ID Vendedor]],Vendedores[ID],Vendedores[Setor])</f>
        <v>AB</v>
      </c>
      <c r="D3585" s="7" t="s">
        <v>37</v>
      </c>
      <c r="E3585" t="str">
        <f>_xlfn.XLOOKUP(Vendas[[#This Row],[ID Item Vendido]],Agregado[ID],Agregado[Produto])</f>
        <v>Composto de borracha para vedação rolo 10m</v>
      </c>
      <c r="F3585" s="39">
        <v>45461</v>
      </c>
      <c r="G3585" s="7">
        <v>7</v>
      </c>
      <c r="H3585" s="3">
        <f>_xlfn.XLOOKUP(Vendas[[#This Row],[ID Item Vendido]],Agregado[ID],Agregado[Revenda])</f>
        <v>51.2</v>
      </c>
      <c r="I3585" s="3">
        <f>Vendas[[#This Row],[Valor Unitário]]*Vendas[[#This Row],[Qnt Vendida]]</f>
        <v>358.40000000000003</v>
      </c>
      <c r="J3585" s="3">
        <f>Vendas[[#This Row],[Valor da Venda]]-(_xlfn.XLOOKUP(Vendas[[#This Row],[ID Item Vendido]],Agregado[ID],Agregado[Custo])*Vendas[[#This Row],[Qnt Vendida]])</f>
        <v>78.400000000000034</v>
      </c>
      <c r="K3585" s="70">
        <f>Vendas[[#This Row],[Lucro da Venda]]/Vendas[[#This Row],[Valor da Venda]]</f>
        <v>0.21875000000000008</v>
      </c>
      <c r="L3585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3585"/>
    </row>
    <row r="3586" spans="1:13" x14ac:dyDescent="0.3">
      <c r="A3586" s="7">
        <v>400252</v>
      </c>
      <c r="B3586" t="str">
        <f>_xlfn.XLOOKUP(Vendas[[#This Row],[ID Vendedor]],Vendedores[ID],Vendedores[Nome])</f>
        <v>Renata</v>
      </c>
      <c r="C3586" s="7" t="str">
        <f>_xlfn.XLOOKUP(Vendas[[#This Row],[ID Vendedor]],Vendedores[ID],Vendedores[Setor])</f>
        <v>AB</v>
      </c>
      <c r="D3586" s="7" t="s">
        <v>39</v>
      </c>
      <c r="E3586" t="str">
        <f>_xlfn.XLOOKUP(Vendas[[#This Row],[ID Item Vendido]],Agregado[ID],Agregado[Produto])</f>
        <v>Filme plástico industrial rolo 50m</v>
      </c>
      <c r="F3586" s="39">
        <v>45461</v>
      </c>
      <c r="G3586" s="7">
        <v>9</v>
      </c>
      <c r="H3586" s="3">
        <f>_xlfn.XLOOKUP(Vendas[[#This Row],[ID Item Vendido]],Agregado[ID],Agregado[Revenda])</f>
        <v>37</v>
      </c>
      <c r="I3586" s="3">
        <f>Vendas[[#This Row],[Valor Unitário]]*Vendas[[#This Row],[Qnt Vendida]]</f>
        <v>333</v>
      </c>
      <c r="J3586" s="3">
        <f>Vendas[[#This Row],[Valor da Venda]]-(_xlfn.XLOOKUP(Vendas[[#This Row],[ID Item Vendido]],Agregado[ID],Agregado[Custo])*Vendas[[#This Row],[Qnt Vendida]])</f>
        <v>81</v>
      </c>
      <c r="K3586" s="70">
        <f>Vendas[[#This Row],[Lucro da Venda]]/Vendas[[#This Row],[Valor da Venda]]</f>
        <v>0.24324324324324326</v>
      </c>
      <c r="L3586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3586"/>
    </row>
    <row r="3587" spans="1:13" x14ac:dyDescent="0.3">
      <c r="A3587" s="7">
        <v>400252</v>
      </c>
      <c r="B3587" t="str">
        <f>_xlfn.XLOOKUP(Vendas[[#This Row],[ID Vendedor]],Vendedores[ID],Vendedores[Nome])</f>
        <v>Renata</v>
      </c>
      <c r="C3587" s="7" t="str">
        <f>_xlfn.XLOOKUP(Vendas[[#This Row],[ID Vendedor]],Vendedores[ID],Vendedores[Setor])</f>
        <v>AB</v>
      </c>
      <c r="D3587" s="7" t="s">
        <v>39</v>
      </c>
      <c r="E3587" t="str">
        <f>_xlfn.XLOOKUP(Vendas[[#This Row],[ID Item Vendido]],Agregado[ID],Agregado[Produto])</f>
        <v>Filme plástico industrial rolo 50m</v>
      </c>
      <c r="F3587" s="39">
        <v>45461</v>
      </c>
      <c r="G3587" s="7">
        <v>2</v>
      </c>
      <c r="H3587" s="3">
        <f>_xlfn.XLOOKUP(Vendas[[#This Row],[ID Item Vendido]],Agregado[ID],Agregado[Revenda])</f>
        <v>37</v>
      </c>
      <c r="I3587" s="3">
        <f>Vendas[[#This Row],[Valor Unitário]]*Vendas[[#This Row],[Qnt Vendida]]</f>
        <v>74</v>
      </c>
      <c r="J3587" s="3">
        <f>Vendas[[#This Row],[Valor da Venda]]-(_xlfn.XLOOKUP(Vendas[[#This Row],[ID Item Vendido]],Agregado[ID],Agregado[Custo])*Vendas[[#This Row],[Qnt Vendida]])</f>
        <v>18</v>
      </c>
      <c r="K3587" s="70">
        <f>Vendas[[#This Row],[Lucro da Venda]]/Vendas[[#This Row],[Valor da Venda]]</f>
        <v>0.24324324324324326</v>
      </c>
      <c r="L3587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3587"/>
    </row>
    <row r="3588" spans="1:13" x14ac:dyDescent="0.3">
      <c r="A3588" s="7">
        <v>400241</v>
      </c>
      <c r="B3588" t="str">
        <f>_xlfn.XLOOKUP(Vendas[[#This Row],[ID Vendedor]],Vendedores[ID],Vendedores[Nome])</f>
        <v>Rodrigo</v>
      </c>
      <c r="C3588" s="7" t="str">
        <f>_xlfn.XLOOKUP(Vendas[[#This Row],[ID Vendedor]],Vendedores[ID],Vendedores[Setor])</f>
        <v>FM</v>
      </c>
      <c r="D3588" s="7" t="s">
        <v>27</v>
      </c>
      <c r="E3588" t="str">
        <f>_xlfn.XLOOKUP(Vendas[[#This Row],[ID Item Vendido]],Agregado[ID],Agregado[Produto])</f>
        <v>Chapa de metal lisa 1x2m</v>
      </c>
      <c r="F3588" s="39">
        <v>45462</v>
      </c>
      <c r="G3588" s="7">
        <v>24</v>
      </c>
      <c r="H3588" s="3">
        <f>_xlfn.XLOOKUP(Vendas[[#This Row],[ID Item Vendido]],Agregado[ID],Agregado[Revenda])</f>
        <v>52</v>
      </c>
      <c r="I3588" s="3">
        <f>Vendas[[#This Row],[Valor Unitário]]*Vendas[[#This Row],[Qnt Vendida]]</f>
        <v>1248</v>
      </c>
      <c r="J3588" s="3">
        <f>Vendas[[#This Row],[Valor da Venda]]-(_xlfn.XLOOKUP(Vendas[[#This Row],[ID Item Vendido]],Agregado[ID],Agregado[Custo])*Vendas[[#This Row],[Qnt Vendida]])</f>
        <v>168</v>
      </c>
      <c r="K3588" s="70">
        <f>Vendas[[#This Row],[Lucro da Venda]]/Vendas[[#This Row],[Valor da Venda]]</f>
        <v>0.13461538461538461</v>
      </c>
      <c r="L3588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3588"/>
    </row>
    <row r="3589" spans="1:13" x14ac:dyDescent="0.3">
      <c r="A3589" s="7">
        <v>400251</v>
      </c>
      <c r="B3589" t="str">
        <f>_xlfn.XLOOKUP(Vendas[[#This Row],[ID Vendedor]],Vendedores[ID],Vendedores[Nome])</f>
        <v>Diego</v>
      </c>
      <c r="C3589" s="7" t="str">
        <f>_xlfn.XLOOKUP(Vendas[[#This Row],[ID Vendedor]],Vendedores[ID],Vendedores[Setor])</f>
        <v>AB</v>
      </c>
      <c r="D3589" s="7" t="s">
        <v>39</v>
      </c>
      <c r="E3589" t="str">
        <f>_xlfn.XLOOKUP(Vendas[[#This Row],[ID Item Vendido]],Agregado[ID],Agregado[Produto])</f>
        <v>Filme plástico industrial rolo 50m</v>
      </c>
      <c r="F3589" s="39">
        <v>45462</v>
      </c>
      <c r="G3589" s="7">
        <v>24</v>
      </c>
      <c r="H3589" s="3">
        <f>_xlfn.XLOOKUP(Vendas[[#This Row],[ID Item Vendido]],Agregado[ID],Agregado[Revenda])</f>
        <v>37</v>
      </c>
      <c r="I3589" s="3">
        <f>Vendas[[#This Row],[Valor Unitário]]*Vendas[[#This Row],[Qnt Vendida]]</f>
        <v>888</v>
      </c>
      <c r="J3589" s="3">
        <f>Vendas[[#This Row],[Valor da Venda]]-(_xlfn.XLOOKUP(Vendas[[#This Row],[ID Item Vendido]],Agregado[ID],Agregado[Custo])*Vendas[[#This Row],[Qnt Vendida]])</f>
        <v>216</v>
      </c>
      <c r="K3589" s="70">
        <f>Vendas[[#This Row],[Lucro da Venda]]/Vendas[[#This Row],[Valor da Venda]]</f>
        <v>0.24324324324324326</v>
      </c>
      <c r="L3589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3589"/>
    </row>
    <row r="3590" spans="1:13" x14ac:dyDescent="0.3">
      <c r="A3590" s="7">
        <v>400242</v>
      </c>
      <c r="B3590" t="str">
        <f>_xlfn.XLOOKUP(Vendas[[#This Row],[ID Vendedor]],Vendedores[ID],Vendedores[Nome])</f>
        <v>Fernanda</v>
      </c>
      <c r="C3590" s="7" t="str">
        <f>_xlfn.XLOOKUP(Vendas[[#This Row],[ID Vendedor]],Vendedores[ID],Vendedores[Setor])</f>
        <v>FM</v>
      </c>
      <c r="D3590" s="7" t="s">
        <v>31</v>
      </c>
      <c r="E3590" t="str">
        <f>_xlfn.XLOOKUP(Vendas[[#This Row],[ID Item Vendido]],Agregado[ID],Agregado[Produto])</f>
        <v>Tela de metal soldada rolo 2x25m</v>
      </c>
      <c r="F3590" s="39">
        <v>45462</v>
      </c>
      <c r="G3590" s="7">
        <v>7</v>
      </c>
      <c r="H3590" s="3">
        <f>_xlfn.XLOOKUP(Vendas[[#This Row],[ID Item Vendido]],Agregado[ID],Agregado[Revenda])</f>
        <v>43.7</v>
      </c>
      <c r="I3590" s="3">
        <f>Vendas[[#This Row],[Valor Unitário]]*Vendas[[#This Row],[Qnt Vendida]]</f>
        <v>305.90000000000003</v>
      </c>
      <c r="J3590" s="3">
        <f>Vendas[[#This Row],[Valor da Venda]]-(_xlfn.XLOOKUP(Vendas[[#This Row],[ID Item Vendido]],Agregado[ID],Agregado[Custo])*Vendas[[#This Row],[Qnt Vendida]])</f>
        <v>39.900000000000034</v>
      </c>
      <c r="K3590" s="70">
        <f>Vendas[[#This Row],[Lucro da Venda]]/Vendas[[#This Row],[Valor da Venda]]</f>
        <v>0.13043478260869576</v>
      </c>
      <c r="L3590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3590"/>
    </row>
    <row r="3591" spans="1:13" x14ac:dyDescent="0.3">
      <c r="A3591" s="7">
        <v>400252</v>
      </c>
      <c r="B3591" t="str">
        <f>_xlfn.XLOOKUP(Vendas[[#This Row],[ID Vendedor]],Vendedores[ID],Vendedores[Nome])</f>
        <v>Renata</v>
      </c>
      <c r="C3591" s="7" t="str">
        <f>_xlfn.XLOOKUP(Vendas[[#This Row],[ID Vendedor]],Vendedores[ID],Vendedores[Setor])</f>
        <v>AB</v>
      </c>
      <c r="D3591" s="7" t="s">
        <v>24</v>
      </c>
      <c r="E3591" t="str">
        <f>_xlfn.XLOOKUP(Vendas[[#This Row],[ID Item Vendido]],Agregado[ID],Agregado[Produto])</f>
        <v>Resina plástica PET purificada saco de 25kg</v>
      </c>
      <c r="F3591" s="39">
        <v>45463</v>
      </c>
      <c r="G3591" s="7">
        <v>26</v>
      </c>
      <c r="H3591" s="3">
        <f>_xlfn.XLOOKUP(Vendas[[#This Row],[ID Item Vendido]],Agregado[ID],Agregado[Revenda])</f>
        <v>119</v>
      </c>
      <c r="I3591" s="3">
        <f>Vendas[[#This Row],[Valor Unitário]]*Vendas[[#This Row],[Qnt Vendida]]</f>
        <v>3094</v>
      </c>
      <c r="J3591" s="3">
        <f>Vendas[[#This Row],[Valor da Venda]]-(_xlfn.XLOOKUP(Vendas[[#This Row],[ID Item Vendido]],Agregado[ID],Agregado[Custo])*Vendas[[#This Row],[Qnt Vendida]])</f>
        <v>884</v>
      </c>
      <c r="K3591" s="70">
        <f>Vendas[[#This Row],[Lucro da Venda]]/Vendas[[#This Row],[Valor da Venda]]</f>
        <v>0.2857142857142857</v>
      </c>
      <c r="L3591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3591"/>
    </row>
    <row r="3592" spans="1:13" x14ac:dyDescent="0.3">
      <c r="A3592" s="7">
        <v>400252</v>
      </c>
      <c r="B3592" t="str">
        <f>_xlfn.XLOOKUP(Vendas[[#This Row],[ID Vendedor]],Vendedores[ID],Vendedores[Nome])</f>
        <v>Renata</v>
      </c>
      <c r="C3592" s="7" t="str">
        <f>_xlfn.XLOOKUP(Vendas[[#This Row],[ID Vendedor]],Vendedores[ID],Vendedores[Setor])</f>
        <v>AB</v>
      </c>
      <c r="D3592" s="7" t="s">
        <v>24</v>
      </c>
      <c r="E3592" t="str">
        <f>_xlfn.XLOOKUP(Vendas[[#This Row],[ID Item Vendido]],Agregado[ID],Agregado[Produto])</f>
        <v>Resina plástica PET purificada saco de 25kg</v>
      </c>
      <c r="F3592" s="39">
        <v>45463</v>
      </c>
      <c r="G3592" s="7">
        <v>10</v>
      </c>
      <c r="H3592" s="3">
        <f>_xlfn.XLOOKUP(Vendas[[#This Row],[ID Item Vendido]],Agregado[ID],Agregado[Revenda])</f>
        <v>119</v>
      </c>
      <c r="I3592" s="3">
        <f>Vendas[[#This Row],[Valor Unitário]]*Vendas[[#This Row],[Qnt Vendida]]</f>
        <v>1190</v>
      </c>
      <c r="J3592" s="3">
        <f>Vendas[[#This Row],[Valor da Venda]]-(_xlfn.XLOOKUP(Vendas[[#This Row],[ID Item Vendido]],Agregado[ID],Agregado[Custo])*Vendas[[#This Row],[Qnt Vendida]])</f>
        <v>340</v>
      </c>
      <c r="K3592" s="70">
        <f>Vendas[[#This Row],[Lucro da Venda]]/Vendas[[#This Row],[Valor da Venda]]</f>
        <v>0.2857142857142857</v>
      </c>
      <c r="L3592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3592"/>
    </row>
    <row r="3593" spans="1:13" x14ac:dyDescent="0.3">
      <c r="A3593" s="7">
        <v>400252</v>
      </c>
      <c r="B3593" t="str">
        <f>_xlfn.XLOOKUP(Vendas[[#This Row],[ID Vendedor]],Vendedores[ID],Vendedores[Nome])</f>
        <v>Renata</v>
      </c>
      <c r="C3593" s="7" t="str">
        <f>_xlfn.XLOOKUP(Vendas[[#This Row],[ID Vendedor]],Vendedores[ID],Vendedores[Setor])</f>
        <v>AB</v>
      </c>
      <c r="D3593" s="7" t="s">
        <v>36</v>
      </c>
      <c r="E3593" t="str">
        <f>_xlfn.XLOOKUP(Vendas[[#This Row],[ID Item Vendido]],Agregado[ID],Agregado[Produto])</f>
        <v>Borracha vulcanizada em manta</v>
      </c>
      <c r="F3593" s="39">
        <v>45463</v>
      </c>
      <c r="G3593" s="7">
        <v>83</v>
      </c>
      <c r="H3593" s="3">
        <f>_xlfn.XLOOKUP(Vendas[[#This Row],[ID Item Vendido]],Agregado[ID],Agregado[Revenda])</f>
        <v>7.8</v>
      </c>
      <c r="I3593" s="3">
        <f>Vendas[[#This Row],[Valor Unitário]]*Vendas[[#This Row],[Qnt Vendida]]</f>
        <v>647.4</v>
      </c>
      <c r="J3593" s="3">
        <f>Vendas[[#This Row],[Valor da Venda]]-(_xlfn.XLOOKUP(Vendas[[#This Row],[ID Item Vendido]],Agregado[ID],Agregado[Custo])*Vendas[[#This Row],[Qnt Vendida]])</f>
        <v>149.39999999999998</v>
      </c>
      <c r="K3593" s="70">
        <f>Vendas[[#This Row],[Lucro da Venda]]/Vendas[[#This Row],[Valor da Venda]]</f>
        <v>0.23076923076923075</v>
      </c>
      <c r="L3593" s="3">
        <f>_xlfn.IFS(Vendas[[#This Row],[Margem de Lucro (%)]]&lt;15%,Vendas[[#This Row],[Valor da Venda]]*3%,Vendas[[#This Row],[Margem de Lucro (%)]]&lt;=20%,Vendas[[#This Row],[Valor da Venda]]*4.5%,TRUE,Vendas[[#This Row],[Valor da Venda]]*6%)</f>
        <v>38.843999999999994</v>
      </c>
      <c r="M3593"/>
    </row>
    <row r="3594" spans="1:13" x14ac:dyDescent="0.3">
      <c r="A3594" s="7">
        <v>400242</v>
      </c>
      <c r="B3594" t="str">
        <f>_xlfn.XLOOKUP(Vendas[[#This Row],[ID Vendedor]],Vendedores[ID],Vendedores[Nome])</f>
        <v>Fernanda</v>
      </c>
      <c r="C3594" s="7" t="str">
        <f>_xlfn.XLOOKUP(Vendas[[#This Row],[ID Vendedor]],Vendedores[ID],Vendedores[Setor])</f>
        <v>FM</v>
      </c>
      <c r="D3594" s="7" t="s">
        <v>6</v>
      </c>
      <c r="E3594" t="str">
        <f>_xlfn.XLOOKUP(Vendas[[#This Row],[ID Item Vendido]],Agregado[ID],Agregado[Produto])</f>
        <v>Parafuso comum 500un</v>
      </c>
      <c r="F3594" s="39">
        <v>45463</v>
      </c>
      <c r="G3594" s="7">
        <v>22</v>
      </c>
      <c r="H3594" s="3">
        <f>_xlfn.XLOOKUP(Vendas[[#This Row],[ID Item Vendido]],Agregado[ID],Agregado[Revenda])</f>
        <v>24.6</v>
      </c>
      <c r="I3594" s="3">
        <f>Vendas[[#This Row],[Valor Unitário]]*Vendas[[#This Row],[Qnt Vendida]]</f>
        <v>541.20000000000005</v>
      </c>
      <c r="J3594" s="3">
        <f>Vendas[[#This Row],[Valor da Venda]]-(_xlfn.XLOOKUP(Vendas[[#This Row],[ID Item Vendido]],Agregado[ID],Agregado[Custo])*Vendas[[#This Row],[Qnt Vendida]])</f>
        <v>57.200000000000045</v>
      </c>
      <c r="K3594" s="70">
        <f>Vendas[[#This Row],[Lucro da Venda]]/Vendas[[#This Row],[Valor da Venda]]</f>
        <v>0.10569105691056918</v>
      </c>
      <c r="L3594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3594"/>
    </row>
    <row r="3595" spans="1:13" x14ac:dyDescent="0.3">
      <c r="A3595" s="7">
        <v>400243</v>
      </c>
      <c r="B3595" t="str">
        <f>_xlfn.XLOOKUP(Vendas[[#This Row],[ID Vendedor]],Vendedores[ID],Vendedores[Nome])</f>
        <v>Marcelo</v>
      </c>
      <c r="C3595" s="7" t="str">
        <f>_xlfn.XLOOKUP(Vendas[[#This Row],[ID Vendedor]],Vendedores[ID],Vendedores[Setor])</f>
        <v>FM</v>
      </c>
      <c r="D3595" s="7" t="s">
        <v>20</v>
      </c>
      <c r="E3595" t="str">
        <f>_xlfn.XLOOKUP(Vendas[[#This Row],[ID Item Vendido]],Agregado[ID],Agregado[Produto])</f>
        <v>Barra de aço simples</v>
      </c>
      <c r="F3595" s="39">
        <v>45463</v>
      </c>
      <c r="G3595" s="7">
        <v>111</v>
      </c>
      <c r="H3595" s="3">
        <f>_xlfn.XLOOKUP(Vendas[[#This Row],[ID Item Vendido]],Agregado[ID],Agregado[Revenda])</f>
        <v>4.8</v>
      </c>
      <c r="I3595" s="3">
        <f>Vendas[[#This Row],[Valor Unitário]]*Vendas[[#This Row],[Qnt Vendida]]</f>
        <v>532.79999999999995</v>
      </c>
      <c r="J3595" s="3">
        <f>Vendas[[#This Row],[Valor da Venda]]-(_xlfn.XLOOKUP(Vendas[[#This Row],[ID Item Vendido]],Agregado[ID],Agregado[Custo])*Vendas[[#This Row],[Qnt Vendida]])</f>
        <v>66.599999999999909</v>
      </c>
      <c r="K3595" s="70">
        <f>Vendas[[#This Row],[Lucro da Venda]]/Vendas[[#This Row],[Valor da Venda]]</f>
        <v>0.12499999999999983</v>
      </c>
      <c r="L3595" s="3">
        <f>_xlfn.IFS(Vendas[[#This Row],[Margem de Lucro (%)]]&lt;15%,Vendas[[#This Row],[Valor da Venda]]*3%,Vendas[[#This Row],[Margem de Lucro (%)]]&lt;=20%,Vendas[[#This Row],[Valor da Venda]]*4.5%,TRUE,Vendas[[#This Row],[Valor da Venda]]*6%)</f>
        <v>15.983999999999998</v>
      </c>
      <c r="M3595"/>
    </row>
    <row r="3596" spans="1:13" x14ac:dyDescent="0.3">
      <c r="A3596" s="7">
        <v>400244</v>
      </c>
      <c r="B3596" t="str">
        <f>_xlfn.XLOOKUP(Vendas[[#This Row],[ID Vendedor]],Vendedores[ID],Vendedores[Nome])</f>
        <v>Camila</v>
      </c>
      <c r="C3596" s="7" t="str">
        <f>_xlfn.XLOOKUP(Vendas[[#This Row],[ID Vendedor]],Vendedores[ID],Vendedores[Setor])</f>
        <v>AHD</v>
      </c>
      <c r="D3596" s="7" t="s">
        <v>30</v>
      </c>
      <c r="E3596" t="str">
        <f>_xlfn.XLOOKUP(Vendas[[#This Row],[ID Item Vendido]],Agregado[ID],Agregado[Produto])</f>
        <v>Estrutura metálica soldada</v>
      </c>
      <c r="F3596" s="39">
        <v>45463</v>
      </c>
      <c r="G3596" s="7">
        <v>1</v>
      </c>
      <c r="H3596" s="3">
        <f>_xlfn.XLOOKUP(Vendas[[#This Row],[ID Item Vendido]],Agregado[ID],Agregado[Revenda])</f>
        <v>400</v>
      </c>
      <c r="I3596" s="3">
        <f>Vendas[[#This Row],[Valor Unitário]]*Vendas[[#This Row],[Qnt Vendida]]</f>
        <v>400</v>
      </c>
      <c r="J3596" s="3">
        <f>Vendas[[#This Row],[Valor da Venda]]-(_xlfn.XLOOKUP(Vendas[[#This Row],[ID Item Vendido]],Agregado[ID],Agregado[Custo])*Vendas[[#This Row],[Qnt Vendida]])</f>
        <v>80</v>
      </c>
      <c r="K3596" s="70">
        <f>Vendas[[#This Row],[Lucro da Venda]]/Vendas[[#This Row],[Valor da Venda]]</f>
        <v>0.2</v>
      </c>
      <c r="L3596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3596"/>
    </row>
    <row r="3597" spans="1:13" x14ac:dyDescent="0.3">
      <c r="A3597" s="7">
        <v>400247</v>
      </c>
      <c r="B3597" t="str">
        <f>_xlfn.XLOOKUP(Vendas[[#This Row],[ID Vendedor]],Vendedores[ID],Vendedores[Nome])</f>
        <v>André</v>
      </c>
      <c r="C3597" s="7" t="str">
        <f>_xlfn.XLOOKUP(Vendas[[#This Row],[ID Vendedor]],Vendedores[ID],Vendedores[Setor])</f>
        <v>CM</v>
      </c>
      <c r="D3597" s="7" t="s">
        <v>34</v>
      </c>
      <c r="E3597" t="str">
        <f>_xlfn.XLOOKUP(Vendas[[#This Row],[ID Item Vendido]],Agregado[ID],Agregado[Produto])</f>
        <v>Restos de madeira p/ MDP/OSB saco de 20kg</v>
      </c>
      <c r="F3597" s="39">
        <v>45463</v>
      </c>
      <c r="G3597" s="7">
        <v>9</v>
      </c>
      <c r="H3597" s="3">
        <f>_xlfn.XLOOKUP(Vendas[[#This Row],[ID Item Vendido]],Agregado[ID],Agregado[Revenda])</f>
        <v>13.8</v>
      </c>
      <c r="I3597" s="3">
        <f>Vendas[[#This Row],[Valor Unitário]]*Vendas[[#This Row],[Qnt Vendida]]</f>
        <v>124.2</v>
      </c>
      <c r="J3597" s="3">
        <f>Vendas[[#This Row],[Valor da Venda]]-(_xlfn.XLOOKUP(Vendas[[#This Row],[ID Item Vendido]],Agregado[ID],Agregado[Custo])*Vendas[[#This Row],[Qnt Vendida]])</f>
        <v>16.200000000000003</v>
      </c>
      <c r="K3597" s="70">
        <f>Vendas[[#This Row],[Lucro da Venda]]/Vendas[[#This Row],[Valor da Venda]]</f>
        <v>0.13043478260869568</v>
      </c>
      <c r="L3597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3597"/>
    </row>
    <row r="3598" spans="1:13" x14ac:dyDescent="0.3">
      <c r="A3598" s="7">
        <v>400245</v>
      </c>
      <c r="B3598" t="str">
        <f>_xlfn.XLOOKUP(Vendas[[#This Row],[ID Vendedor]],Vendedores[ID],Vendedores[Nome])</f>
        <v>Thiago</v>
      </c>
      <c r="C3598" s="7" t="str">
        <f>_xlfn.XLOOKUP(Vendas[[#This Row],[ID Vendedor]],Vendedores[ID],Vendedores[Setor])</f>
        <v>AHD</v>
      </c>
      <c r="D3598" s="7" t="s">
        <v>18</v>
      </c>
      <c r="E3598" t="str">
        <f>_xlfn.XLOOKUP(Vendas[[#This Row],[ID Item Vendido]],Agregado[ID],Agregado[Produto])</f>
        <v>Peça forjada sob encomenda</v>
      </c>
      <c r="F3598" s="39">
        <v>45464</v>
      </c>
      <c r="G3598" s="7">
        <v>5</v>
      </c>
      <c r="H3598" s="3">
        <f>_xlfn.XLOOKUP(Vendas[[#This Row],[ID Item Vendido]],Agregado[ID],Agregado[Revenda])</f>
        <v>264.60000000000002</v>
      </c>
      <c r="I3598" s="3">
        <f>Vendas[[#This Row],[Valor Unitário]]*Vendas[[#This Row],[Qnt Vendida]]</f>
        <v>1323</v>
      </c>
      <c r="J3598" s="3">
        <f>Vendas[[#This Row],[Valor da Venda]]-(_xlfn.XLOOKUP(Vendas[[#This Row],[ID Item Vendido]],Agregado[ID],Agregado[Custo])*Vendas[[#This Row],[Qnt Vendida]])</f>
        <v>73</v>
      </c>
      <c r="K3598" s="70">
        <f>Vendas[[#This Row],[Lucro da Venda]]/Vendas[[#This Row],[Valor da Venda]]</f>
        <v>5.5177626606198037E-2</v>
      </c>
      <c r="L359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598"/>
    </row>
    <row r="3599" spans="1:13" x14ac:dyDescent="0.3">
      <c r="A3599" s="7">
        <v>400249</v>
      </c>
      <c r="B3599" t="str">
        <f>_xlfn.XLOOKUP(Vendas[[#This Row],[ID Vendedor]],Vendedores[ID],Vendedores[Nome])</f>
        <v>Bruno</v>
      </c>
      <c r="C3599" s="7" t="str">
        <f>_xlfn.XLOOKUP(Vendas[[#This Row],[ID Vendedor]],Vendedores[ID],Vendedores[Setor])</f>
        <v>CM</v>
      </c>
      <c r="D3599" s="7" t="s">
        <v>22</v>
      </c>
      <c r="E3599" t="str">
        <f>_xlfn.XLOOKUP(Vendas[[#This Row],[ID Item Vendido]],Agregado[ID],Agregado[Produto])</f>
        <v>Painel MDP 2,75x1,83m</v>
      </c>
      <c r="F3599" s="39">
        <v>45465</v>
      </c>
      <c r="G3599" s="7">
        <v>10</v>
      </c>
      <c r="H3599" s="3">
        <f>_xlfn.XLOOKUP(Vendas[[#This Row],[ID Item Vendido]],Agregado[ID],Agregado[Revenda])</f>
        <v>119</v>
      </c>
      <c r="I3599" s="3">
        <f>Vendas[[#This Row],[Valor Unitário]]*Vendas[[#This Row],[Qnt Vendida]]</f>
        <v>1190</v>
      </c>
      <c r="J3599" s="3">
        <f>Vendas[[#This Row],[Valor da Venda]]-(_xlfn.XLOOKUP(Vendas[[#This Row],[ID Item Vendido]],Agregado[ID],Agregado[Custo])*Vendas[[#This Row],[Qnt Vendida]])</f>
        <v>240</v>
      </c>
      <c r="K3599" s="70">
        <f>Vendas[[#This Row],[Lucro da Venda]]/Vendas[[#This Row],[Valor da Venda]]</f>
        <v>0.20168067226890757</v>
      </c>
      <c r="L3599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3599"/>
    </row>
    <row r="3600" spans="1:13" x14ac:dyDescent="0.3">
      <c r="A3600" s="7">
        <v>400247</v>
      </c>
      <c r="B3600" t="str">
        <f>_xlfn.XLOOKUP(Vendas[[#This Row],[ID Vendedor]],Vendedores[ID],Vendedores[Nome])</f>
        <v>André</v>
      </c>
      <c r="C3600" s="7" t="str">
        <f>_xlfn.XLOOKUP(Vendas[[#This Row],[ID Vendedor]],Vendedores[ID],Vendedores[Setor])</f>
        <v>CM</v>
      </c>
      <c r="D3600" s="7" t="s">
        <v>45</v>
      </c>
      <c r="E3600" t="str">
        <f>_xlfn.XLOOKUP(Vendas[[#This Row],[ID Item Vendido]],Agregado[ID],Agregado[Produto])</f>
        <v>Viga de madeira tratada 4m</v>
      </c>
      <c r="F3600" s="39">
        <v>45465</v>
      </c>
      <c r="G3600" s="7">
        <v>17</v>
      </c>
      <c r="H3600" s="3">
        <f>_xlfn.XLOOKUP(Vendas[[#This Row],[ID Item Vendido]],Agregado[ID],Agregado[Revenda])</f>
        <v>66</v>
      </c>
      <c r="I3600" s="3">
        <f>Vendas[[#This Row],[Valor Unitário]]*Vendas[[#This Row],[Qnt Vendida]]</f>
        <v>1122</v>
      </c>
      <c r="J3600" s="3">
        <f>Vendas[[#This Row],[Valor da Venda]]-(_xlfn.XLOOKUP(Vendas[[#This Row],[ID Item Vendido]],Agregado[ID],Agregado[Custo])*Vendas[[#This Row],[Qnt Vendida]])</f>
        <v>187</v>
      </c>
      <c r="K3600" s="70">
        <f>Vendas[[#This Row],[Lucro da Venda]]/Vendas[[#This Row],[Valor da Venda]]</f>
        <v>0.16666666666666666</v>
      </c>
      <c r="L3600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3600"/>
    </row>
    <row r="3601" spans="1:13" x14ac:dyDescent="0.3">
      <c r="A3601" s="7">
        <v>400246</v>
      </c>
      <c r="B3601" t="str">
        <f>_xlfn.XLOOKUP(Vendas[[#This Row],[ID Vendedor]],Vendedores[ID],Vendedores[Nome])</f>
        <v>Juliana</v>
      </c>
      <c r="C3601" s="7" t="str">
        <f>_xlfn.XLOOKUP(Vendas[[#This Row],[ID Vendedor]],Vendedores[ID],Vendedores[Setor])</f>
        <v>AHD</v>
      </c>
      <c r="D3601" s="7" t="s">
        <v>9</v>
      </c>
      <c r="E3601" t="str">
        <f>_xlfn.XLOOKUP(Vendas[[#This Row],[ID Item Vendido]],Agregado[ID],Agregado[Produto])</f>
        <v>Barra de aço simples</v>
      </c>
      <c r="F3601" s="39">
        <v>45465</v>
      </c>
      <c r="G3601" s="7">
        <v>107</v>
      </c>
      <c r="H3601" s="3">
        <f>_xlfn.XLOOKUP(Vendas[[#This Row],[ID Item Vendido]],Agregado[ID],Agregado[Revenda])</f>
        <v>6.7</v>
      </c>
      <c r="I3601" s="3">
        <f>Vendas[[#This Row],[Valor Unitário]]*Vendas[[#This Row],[Qnt Vendida]]</f>
        <v>716.9</v>
      </c>
      <c r="J3601" s="3">
        <f>Vendas[[#This Row],[Valor da Venda]]-(_xlfn.XLOOKUP(Vendas[[#This Row],[ID Item Vendido]],Agregado[ID],Agregado[Custo])*Vendas[[#This Row],[Qnt Vendida]])</f>
        <v>96.299999999999955</v>
      </c>
      <c r="K3601" s="70">
        <f>Vendas[[#This Row],[Lucro da Venda]]/Vendas[[#This Row],[Valor da Venda]]</f>
        <v>0.13432835820895517</v>
      </c>
      <c r="L3601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3601"/>
    </row>
    <row r="3602" spans="1:13" x14ac:dyDescent="0.3">
      <c r="A3602" s="7">
        <v>400244</v>
      </c>
      <c r="B3602" t="str">
        <f>_xlfn.XLOOKUP(Vendas[[#This Row],[ID Vendedor]],Vendedores[ID],Vendedores[Nome])</f>
        <v>Camila</v>
      </c>
      <c r="C3602" s="7" t="str">
        <f>_xlfn.XLOOKUP(Vendas[[#This Row],[ID Vendedor]],Vendedores[ID],Vendedores[Setor])</f>
        <v>AHD</v>
      </c>
      <c r="D3602" s="7" t="s">
        <v>44</v>
      </c>
      <c r="E3602" t="str">
        <f>_xlfn.XLOOKUP(Vendas[[#This Row],[ID Item Vendido]],Agregado[ID],Agregado[Produto])</f>
        <v>Liga metálica especial</v>
      </c>
      <c r="F3602" s="39">
        <v>45465</v>
      </c>
      <c r="G3602" s="7">
        <v>18</v>
      </c>
      <c r="H3602" s="3">
        <f>_xlfn.XLOOKUP(Vendas[[#This Row],[ID Item Vendido]],Agregado[ID],Agregado[Revenda])</f>
        <v>32.5</v>
      </c>
      <c r="I3602" s="3">
        <f>Vendas[[#This Row],[Valor Unitário]]*Vendas[[#This Row],[Qnt Vendida]]</f>
        <v>585</v>
      </c>
      <c r="J3602" s="3">
        <f>Vendas[[#This Row],[Valor da Venda]]-(_xlfn.XLOOKUP(Vendas[[#This Row],[ID Item Vendido]],Agregado[ID],Agregado[Custo])*Vendas[[#This Row],[Qnt Vendida]])</f>
        <v>135</v>
      </c>
      <c r="K3602" s="70">
        <f>Vendas[[#This Row],[Lucro da Venda]]/Vendas[[#This Row],[Valor da Venda]]</f>
        <v>0.23076923076923078</v>
      </c>
      <c r="L3602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3602"/>
    </row>
    <row r="3603" spans="1:13" x14ac:dyDescent="0.3">
      <c r="A3603" s="7">
        <v>400250</v>
      </c>
      <c r="B3603" t="str">
        <f>_xlfn.XLOOKUP(Vendas[[#This Row],[ID Vendedor]],Vendedores[ID],Vendedores[Nome])</f>
        <v>Larissa</v>
      </c>
      <c r="C3603" s="7" t="str">
        <f>_xlfn.XLOOKUP(Vendas[[#This Row],[ID Vendedor]],Vendedores[ID],Vendedores[Setor])</f>
        <v>AB</v>
      </c>
      <c r="D3603" s="7" t="s">
        <v>24</v>
      </c>
      <c r="E3603" t="str">
        <f>_xlfn.XLOOKUP(Vendas[[#This Row],[ID Item Vendido]],Agregado[ID],Agregado[Produto])</f>
        <v>Resina plástica PET purificada saco de 25kg</v>
      </c>
      <c r="F3603" s="39">
        <v>45465</v>
      </c>
      <c r="G3603" s="7">
        <v>3</v>
      </c>
      <c r="H3603" s="3">
        <f>_xlfn.XLOOKUP(Vendas[[#This Row],[ID Item Vendido]],Agregado[ID],Agregado[Revenda])</f>
        <v>119</v>
      </c>
      <c r="I3603" s="3">
        <f>Vendas[[#This Row],[Valor Unitário]]*Vendas[[#This Row],[Qnt Vendida]]</f>
        <v>357</v>
      </c>
      <c r="J3603" s="3">
        <f>Vendas[[#This Row],[Valor da Venda]]-(_xlfn.XLOOKUP(Vendas[[#This Row],[ID Item Vendido]],Agregado[ID],Agregado[Custo])*Vendas[[#This Row],[Qnt Vendida]])</f>
        <v>102</v>
      </c>
      <c r="K3603" s="70">
        <f>Vendas[[#This Row],[Lucro da Venda]]/Vendas[[#This Row],[Valor da Venda]]</f>
        <v>0.2857142857142857</v>
      </c>
      <c r="L3603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3603"/>
    </row>
    <row r="3604" spans="1:13" x14ac:dyDescent="0.3">
      <c r="A3604" s="7">
        <v>400245</v>
      </c>
      <c r="B3604" t="str">
        <f>_xlfn.XLOOKUP(Vendas[[#This Row],[ID Vendedor]],Vendedores[ID],Vendedores[Nome])</f>
        <v>Thiago</v>
      </c>
      <c r="C3604" s="7" t="str">
        <f>_xlfn.XLOOKUP(Vendas[[#This Row],[ID Vendedor]],Vendedores[ID],Vendedores[Setor])</f>
        <v>AHD</v>
      </c>
      <c r="D3604" s="7" t="s">
        <v>9</v>
      </c>
      <c r="E3604" t="str">
        <f>_xlfn.XLOOKUP(Vendas[[#This Row],[ID Item Vendido]],Agregado[ID],Agregado[Produto])</f>
        <v>Barra de aço simples</v>
      </c>
      <c r="F3604" s="39">
        <v>45466</v>
      </c>
      <c r="G3604" s="7">
        <v>76</v>
      </c>
      <c r="H3604" s="3">
        <f>_xlfn.XLOOKUP(Vendas[[#This Row],[ID Item Vendido]],Agregado[ID],Agregado[Revenda])</f>
        <v>6.7</v>
      </c>
      <c r="I3604" s="3">
        <f>Vendas[[#This Row],[Valor Unitário]]*Vendas[[#This Row],[Qnt Vendida]]</f>
        <v>509.2</v>
      </c>
      <c r="J3604" s="3">
        <f>Vendas[[#This Row],[Valor da Venda]]-(_xlfn.XLOOKUP(Vendas[[#This Row],[ID Item Vendido]],Agregado[ID],Agregado[Custo])*Vendas[[#This Row],[Qnt Vendida]])</f>
        <v>68.399999999999977</v>
      </c>
      <c r="K3604" s="70">
        <f>Vendas[[#This Row],[Lucro da Venda]]/Vendas[[#This Row],[Valor da Venda]]</f>
        <v>0.1343283582089552</v>
      </c>
      <c r="L3604" s="3">
        <f>_xlfn.IFS(Vendas[[#This Row],[Margem de Lucro (%)]]&lt;15%,Vendas[[#This Row],[Valor da Venda]]*3%,Vendas[[#This Row],[Margem de Lucro (%)]]&lt;=20%,Vendas[[#This Row],[Valor da Venda]]*4.5%,TRUE,Vendas[[#This Row],[Valor da Venda]]*6%)</f>
        <v>15.276</v>
      </c>
      <c r="M3604"/>
    </row>
    <row r="3605" spans="1:13" x14ac:dyDescent="0.3">
      <c r="A3605" s="7">
        <v>400250</v>
      </c>
      <c r="B3605" t="str">
        <f>_xlfn.XLOOKUP(Vendas[[#This Row],[ID Vendedor]],Vendedores[ID],Vendedores[Nome])</f>
        <v>Larissa</v>
      </c>
      <c r="C3605" s="7" t="str">
        <f>_xlfn.XLOOKUP(Vendas[[#This Row],[ID Vendedor]],Vendedores[ID],Vendedores[Setor])</f>
        <v>AB</v>
      </c>
      <c r="D3605" s="7" t="s">
        <v>12</v>
      </c>
      <c r="E3605" t="str">
        <f>_xlfn.XLOOKUP(Vendas[[#This Row],[ID Item Vendido]],Agregado[ID],Agregado[Produto])</f>
        <v>Grânulo de plástico reciclado refinado</v>
      </c>
      <c r="F3605" s="39">
        <v>45466</v>
      </c>
      <c r="G3605" s="7">
        <v>50</v>
      </c>
      <c r="H3605" s="3">
        <f>_xlfn.XLOOKUP(Vendas[[#This Row],[ID Item Vendido]],Agregado[ID],Agregado[Revenda])</f>
        <v>4.7</v>
      </c>
      <c r="I3605" s="3">
        <f>Vendas[[#This Row],[Valor Unitário]]*Vendas[[#This Row],[Qnt Vendida]]</f>
        <v>235</v>
      </c>
      <c r="J3605" s="3">
        <f>Vendas[[#This Row],[Valor da Venda]]-(_xlfn.XLOOKUP(Vendas[[#This Row],[ID Item Vendido]],Agregado[ID],Agregado[Custo])*Vendas[[#This Row],[Qnt Vendida]])</f>
        <v>60</v>
      </c>
      <c r="K3605" s="70">
        <f>Vendas[[#This Row],[Lucro da Venda]]/Vendas[[#This Row],[Valor da Venda]]</f>
        <v>0.25531914893617019</v>
      </c>
      <c r="L3605" s="3">
        <f>_xlfn.IFS(Vendas[[#This Row],[Margem de Lucro (%)]]&lt;15%,Vendas[[#This Row],[Valor da Venda]]*3%,Vendas[[#This Row],[Margem de Lucro (%)]]&lt;=20%,Vendas[[#This Row],[Valor da Venda]]*4.5%,TRUE,Vendas[[#This Row],[Valor da Venda]]*6%)</f>
        <v>14.1</v>
      </c>
      <c r="M3605"/>
    </row>
    <row r="3606" spans="1:13" x14ac:dyDescent="0.3">
      <c r="A3606" s="7">
        <v>400241</v>
      </c>
      <c r="B3606" t="str">
        <f>_xlfn.XLOOKUP(Vendas[[#This Row],[ID Vendedor]],Vendedores[ID],Vendedores[Nome])</f>
        <v>Rodrigo</v>
      </c>
      <c r="C3606" s="7" t="str">
        <f>_xlfn.XLOOKUP(Vendas[[#This Row],[ID Vendedor]],Vendedores[ID],Vendedores[Setor])</f>
        <v>FM</v>
      </c>
      <c r="D3606" s="7" t="s">
        <v>27</v>
      </c>
      <c r="E3606" t="str">
        <f>_xlfn.XLOOKUP(Vendas[[#This Row],[ID Item Vendido]],Agregado[ID],Agregado[Produto])</f>
        <v>Chapa de metal lisa 1x2m</v>
      </c>
      <c r="F3606" s="39">
        <v>45467</v>
      </c>
      <c r="G3606" s="7">
        <v>23</v>
      </c>
      <c r="H3606" s="3">
        <f>_xlfn.XLOOKUP(Vendas[[#This Row],[ID Item Vendido]],Agregado[ID],Agregado[Revenda])</f>
        <v>52</v>
      </c>
      <c r="I3606" s="3">
        <f>Vendas[[#This Row],[Valor Unitário]]*Vendas[[#This Row],[Qnt Vendida]]</f>
        <v>1196</v>
      </c>
      <c r="J3606" s="3">
        <f>Vendas[[#This Row],[Valor da Venda]]-(_xlfn.XLOOKUP(Vendas[[#This Row],[ID Item Vendido]],Agregado[ID],Agregado[Custo])*Vendas[[#This Row],[Qnt Vendida]])</f>
        <v>161</v>
      </c>
      <c r="K3606" s="70">
        <f>Vendas[[#This Row],[Lucro da Venda]]/Vendas[[#This Row],[Valor da Venda]]</f>
        <v>0.13461538461538461</v>
      </c>
      <c r="L3606" s="3">
        <f>_xlfn.IFS(Vendas[[#This Row],[Margem de Lucro (%)]]&lt;15%,Vendas[[#This Row],[Valor da Venda]]*3%,Vendas[[#This Row],[Margem de Lucro (%)]]&lt;=20%,Vendas[[#This Row],[Valor da Venda]]*4.5%,TRUE,Vendas[[#This Row],[Valor da Venda]]*6%)</f>
        <v>35.879999999999995</v>
      </c>
      <c r="M3606"/>
    </row>
    <row r="3607" spans="1:13" x14ac:dyDescent="0.3">
      <c r="A3607" s="7">
        <v>400247</v>
      </c>
      <c r="B3607" t="str">
        <f>_xlfn.XLOOKUP(Vendas[[#This Row],[ID Vendedor]],Vendedores[ID],Vendedores[Nome])</f>
        <v>André</v>
      </c>
      <c r="C3607" s="7" t="str">
        <f>_xlfn.XLOOKUP(Vendas[[#This Row],[ID Vendedor]],Vendedores[ID],Vendedores[Setor])</f>
        <v>CM</v>
      </c>
      <c r="D3607" s="7" t="s">
        <v>43</v>
      </c>
      <c r="E3607" t="str">
        <f>_xlfn.XLOOKUP(Vendas[[#This Row],[ID Item Vendido]],Agregado[ID],Agregado[Produto])</f>
        <v>Madeira Bruta (Tora)</v>
      </c>
      <c r="F3607" s="39">
        <v>45468</v>
      </c>
      <c r="G3607" s="7">
        <v>15</v>
      </c>
      <c r="H3607" s="3">
        <f>_xlfn.XLOOKUP(Vendas[[#This Row],[ID Item Vendido]],Agregado[ID],Agregado[Revenda])</f>
        <v>212</v>
      </c>
      <c r="I3607" s="3">
        <f>Vendas[[#This Row],[Valor Unitário]]*Vendas[[#This Row],[Qnt Vendida]]</f>
        <v>3180</v>
      </c>
      <c r="J3607" s="3">
        <f>Vendas[[#This Row],[Valor da Venda]]-(_xlfn.XLOOKUP(Vendas[[#This Row],[ID Item Vendido]],Agregado[ID],Agregado[Custo])*Vendas[[#This Row],[Qnt Vendida]])</f>
        <v>480</v>
      </c>
      <c r="K3607" s="70">
        <f>Vendas[[#This Row],[Lucro da Venda]]/Vendas[[#This Row],[Valor da Venda]]</f>
        <v>0.15094339622641509</v>
      </c>
      <c r="L3607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3607"/>
    </row>
    <row r="3608" spans="1:13" x14ac:dyDescent="0.3">
      <c r="A3608" s="7">
        <v>400245</v>
      </c>
      <c r="B3608" t="str">
        <f>_xlfn.XLOOKUP(Vendas[[#This Row],[ID Vendedor]],Vendedores[ID],Vendedores[Nome])</f>
        <v>Thiago</v>
      </c>
      <c r="C3608" s="7" t="str">
        <f>_xlfn.XLOOKUP(Vendas[[#This Row],[ID Vendedor]],Vendedores[ID],Vendedores[Setor])</f>
        <v>AHD</v>
      </c>
      <c r="D3608" s="7" t="s">
        <v>18</v>
      </c>
      <c r="E3608" t="str">
        <f>_xlfn.XLOOKUP(Vendas[[#This Row],[ID Item Vendido]],Agregado[ID],Agregado[Produto])</f>
        <v>Peça forjada sob encomenda</v>
      </c>
      <c r="F3608" s="39">
        <v>45468</v>
      </c>
      <c r="G3608" s="7">
        <v>6</v>
      </c>
      <c r="H3608" s="3">
        <f>_xlfn.XLOOKUP(Vendas[[#This Row],[ID Item Vendido]],Agregado[ID],Agregado[Revenda])</f>
        <v>264.60000000000002</v>
      </c>
      <c r="I3608" s="3">
        <f>Vendas[[#This Row],[Valor Unitário]]*Vendas[[#This Row],[Qnt Vendida]]</f>
        <v>1587.6000000000001</v>
      </c>
      <c r="J3608" s="3">
        <f>Vendas[[#This Row],[Valor da Venda]]-(_xlfn.XLOOKUP(Vendas[[#This Row],[ID Item Vendido]],Agregado[ID],Agregado[Custo])*Vendas[[#This Row],[Qnt Vendida]])</f>
        <v>87.600000000000136</v>
      </c>
      <c r="K3608" s="70">
        <f>Vendas[[#This Row],[Lucro da Venda]]/Vendas[[#This Row],[Valor da Venda]]</f>
        <v>5.5177626606198113E-2</v>
      </c>
      <c r="L3608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608"/>
    </row>
    <row r="3609" spans="1:13" x14ac:dyDescent="0.3">
      <c r="A3609" s="7">
        <v>400244</v>
      </c>
      <c r="B3609" t="str">
        <f>_xlfn.XLOOKUP(Vendas[[#This Row],[ID Vendedor]],Vendedores[ID],Vendedores[Nome])</f>
        <v>Camila</v>
      </c>
      <c r="C3609" s="7" t="str">
        <f>_xlfn.XLOOKUP(Vendas[[#This Row],[ID Vendedor]],Vendedores[ID],Vendedores[Setor])</f>
        <v>AHD</v>
      </c>
      <c r="D3609" s="7" t="s">
        <v>30</v>
      </c>
      <c r="E3609" t="str">
        <f>_xlfn.XLOOKUP(Vendas[[#This Row],[ID Item Vendido]],Agregado[ID],Agregado[Produto])</f>
        <v>Estrutura metálica soldada</v>
      </c>
      <c r="F3609" s="39">
        <v>45468</v>
      </c>
      <c r="G3609" s="7">
        <v>5</v>
      </c>
      <c r="H3609" s="3">
        <f>_xlfn.XLOOKUP(Vendas[[#This Row],[ID Item Vendido]],Agregado[ID],Agregado[Revenda])</f>
        <v>400</v>
      </c>
      <c r="I3609" s="3">
        <f>Vendas[[#This Row],[Valor Unitário]]*Vendas[[#This Row],[Qnt Vendida]]</f>
        <v>2000</v>
      </c>
      <c r="J3609" s="3">
        <f>Vendas[[#This Row],[Valor da Venda]]-(_xlfn.XLOOKUP(Vendas[[#This Row],[ID Item Vendido]],Agregado[ID],Agregado[Custo])*Vendas[[#This Row],[Qnt Vendida]])</f>
        <v>400</v>
      </c>
      <c r="K3609" s="70">
        <f>Vendas[[#This Row],[Lucro da Venda]]/Vendas[[#This Row],[Valor da Venda]]</f>
        <v>0.2</v>
      </c>
      <c r="L3609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609"/>
    </row>
    <row r="3610" spans="1:13" x14ac:dyDescent="0.3">
      <c r="A3610" s="7">
        <v>400246</v>
      </c>
      <c r="B3610" t="str">
        <f>_xlfn.XLOOKUP(Vendas[[#This Row],[ID Vendedor]],Vendedores[ID],Vendedores[Nome])</f>
        <v>Juliana</v>
      </c>
      <c r="C3610" s="7" t="str">
        <f>_xlfn.XLOOKUP(Vendas[[#This Row],[ID Vendedor]],Vendedores[ID],Vendedores[Setor])</f>
        <v>AHD</v>
      </c>
      <c r="D3610" s="7" t="s">
        <v>18</v>
      </c>
      <c r="E3610" t="str">
        <f>_xlfn.XLOOKUP(Vendas[[#This Row],[ID Item Vendido]],Agregado[ID],Agregado[Produto])</f>
        <v>Peça forjada sob encomenda</v>
      </c>
      <c r="F3610" s="39">
        <v>45468</v>
      </c>
      <c r="G3610" s="7">
        <v>5</v>
      </c>
      <c r="H3610" s="3">
        <f>_xlfn.XLOOKUP(Vendas[[#This Row],[ID Item Vendido]],Agregado[ID],Agregado[Revenda])</f>
        <v>264.60000000000002</v>
      </c>
      <c r="I3610" s="3">
        <f>Vendas[[#This Row],[Valor Unitário]]*Vendas[[#This Row],[Qnt Vendida]]</f>
        <v>1323</v>
      </c>
      <c r="J3610" s="3">
        <f>Vendas[[#This Row],[Valor da Venda]]-(_xlfn.XLOOKUP(Vendas[[#This Row],[ID Item Vendido]],Agregado[ID],Agregado[Custo])*Vendas[[#This Row],[Qnt Vendida]])</f>
        <v>73</v>
      </c>
      <c r="K3610" s="70">
        <f>Vendas[[#This Row],[Lucro da Venda]]/Vendas[[#This Row],[Valor da Venda]]</f>
        <v>5.5177626606198037E-2</v>
      </c>
      <c r="L3610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610"/>
    </row>
    <row r="3611" spans="1:13" x14ac:dyDescent="0.3">
      <c r="A3611" s="7">
        <v>400246</v>
      </c>
      <c r="B3611" t="str">
        <f>_xlfn.XLOOKUP(Vendas[[#This Row],[ID Vendedor]],Vendedores[ID],Vendedores[Nome])</f>
        <v>Juliana</v>
      </c>
      <c r="C3611" s="7" t="str">
        <f>_xlfn.XLOOKUP(Vendas[[#This Row],[ID Vendedor]],Vendedores[ID],Vendedores[Setor])</f>
        <v>AHD</v>
      </c>
      <c r="D3611" s="7" t="s">
        <v>9</v>
      </c>
      <c r="E3611" t="str">
        <f>_xlfn.XLOOKUP(Vendas[[#This Row],[ID Item Vendido]],Agregado[ID],Agregado[Produto])</f>
        <v>Barra de aço simples</v>
      </c>
      <c r="F3611" s="39">
        <v>45468</v>
      </c>
      <c r="G3611" s="7">
        <v>136</v>
      </c>
      <c r="H3611" s="3">
        <f>_xlfn.XLOOKUP(Vendas[[#This Row],[ID Item Vendido]],Agregado[ID],Agregado[Revenda])</f>
        <v>6.7</v>
      </c>
      <c r="I3611" s="3">
        <f>Vendas[[#This Row],[Valor Unitário]]*Vendas[[#This Row],[Qnt Vendida]]</f>
        <v>911.2</v>
      </c>
      <c r="J3611" s="3">
        <f>Vendas[[#This Row],[Valor da Venda]]-(_xlfn.XLOOKUP(Vendas[[#This Row],[ID Item Vendido]],Agregado[ID],Agregado[Custo])*Vendas[[#This Row],[Qnt Vendida]])</f>
        <v>122.40000000000009</v>
      </c>
      <c r="K3611" s="70">
        <f>Vendas[[#This Row],[Lucro da Venda]]/Vendas[[#This Row],[Valor da Venda]]</f>
        <v>0.13432835820895531</v>
      </c>
      <c r="L3611" s="3">
        <f>_xlfn.IFS(Vendas[[#This Row],[Margem de Lucro (%)]]&lt;15%,Vendas[[#This Row],[Valor da Venda]]*3%,Vendas[[#This Row],[Margem de Lucro (%)]]&lt;=20%,Vendas[[#This Row],[Valor da Venda]]*4.5%,TRUE,Vendas[[#This Row],[Valor da Venda]]*6%)</f>
        <v>27.336000000000002</v>
      </c>
      <c r="M3611"/>
    </row>
    <row r="3612" spans="1:13" x14ac:dyDescent="0.3">
      <c r="A3612" s="7">
        <v>400252</v>
      </c>
      <c r="B3612" t="str">
        <f>_xlfn.XLOOKUP(Vendas[[#This Row],[ID Vendedor]],Vendedores[ID],Vendedores[Nome])</f>
        <v>Renata</v>
      </c>
      <c r="C3612" s="7" t="str">
        <f>_xlfn.XLOOKUP(Vendas[[#This Row],[ID Vendedor]],Vendedores[ID],Vendedores[Setor])</f>
        <v>AB</v>
      </c>
      <c r="D3612" s="7" t="s">
        <v>39</v>
      </c>
      <c r="E3612" t="str">
        <f>_xlfn.XLOOKUP(Vendas[[#This Row],[ID Item Vendido]],Agregado[ID],Agregado[Produto])</f>
        <v>Filme plástico industrial rolo 50m</v>
      </c>
      <c r="F3612" s="39">
        <v>45468</v>
      </c>
      <c r="G3612" s="7">
        <v>3</v>
      </c>
      <c r="H3612" s="3">
        <f>_xlfn.XLOOKUP(Vendas[[#This Row],[ID Item Vendido]],Agregado[ID],Agregado[Revenda])</f>
        <v>37</v>
      </c>
      <c r="I3612" s="3">
        <f>Vendas[[#This Row],[Valor Unitário]]*Vendas[[#This Row],[Qnt Vendida]]</f>
        <v>111</v>
      </c>
      <c r="J3612" s="3">
        <f>Vendas[[#This Row],[Valor da Venda]]-(_xlfn.XLOOKUP(Vendas[[#This Row],[ID Item Vendido]],Agregado[ID],Agregado[Custo])*Vendas[[#This Row],[Qnt Vendida]])</f>
        <v>27</v>
      </c>
      <c r="K3612" s="70">
        <f>Vendas[[#This Row],[Lucro da Venda]]/Vendas[[#This Row],[Valor da Venda]]</f>
        <v>0.24324324324324326</v>
      </c>
      <c r="L3612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3612"/>
    </row>
    <row r="3613" spans="1:13" x14ac:dyDescent="0.3">
      <c r="A3613" s="7">
        <v>400248</v>
      </c>
      <c r="B3613" t="str">
        <f>_xlfn.XLOOKUP(Vendas[[#This Row],[ID Vendedor]],Vendedores[ID],Vendedores[Nome])</f>
        <v>Patrícia</v>
      </c>
      <c r="C3613" s="7" t="str">
        <f>_xlfn.XLOOKUP(Vendas[[#This Row],[ID Vendedor]],Vendedores[ID],Vendedores[Setor])</f>
        <v>CM</v>
      </c>
      <c r="D3613" s="7" t="s">
        <v>22</v>
      </c>
      <c r="E3613" t="str">
        <f>_xlfn.XLOOKUP(Vendas[[#This Row],[ID Item Vendido]],Agregado[ID],Agregado[Produto])</f>
        <v>Painel MDP 2,75x1,83m</v>
      </c>
      <c r="F3613" s="39">
        <v>45469</v>
      </c>
      <c r="G3613" s="7">
        <v>14</v>
      </c>
      <c r="H3613" s="3">
        <f>_xlfn.XLOOKUP(Vendas[[#This Row],[ID Item Vendido]],Agregado[ID],Agregado[Revenda])</f>
        <v>119</v>
      </c>
      <c r="I3613" s="3">
        <f>Vendas[[#This Row],[Valor Unitário]]*Vendas[[#This Row],[Qnt Vendida]]</f>
        <v>1666</v>
      </c>
      <c r="J3613" s="3">
        <f>Vendas[[#This Row],[Valor da Venda]]-(_xlfn.XLOOKUP(Vendas[[#This Row],[ID Item Vendido]],Agregado[ID],Agregado[Custo])*Vendas[[#This Row],[Qnt Vendida]])</f>
        <v>336</v>
      </c>
      <c r="K3613" s="70">
        <f>Vendas[[#This Row],[Lucro da Venda]]/Vendas[[#This Row],[Valor da Venda]]</f>
        <v>0.20168067226890757</v>
      </c>
      <c r="L3613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613"/>
    </row>
    <row r="3614" spans="1:13" x14ac:dyDescent="0.3">
      <c r="A3614" s="7">
        <v>400255</v>
      </c>
      <c r="B3614" t="str">
        <f>_xlfn.XLOOKUP(Vendas[[#This Row],[ID Vendedor]],Vendedores[ID],Vendedores[Nome])</f>
        <v>Carlos</v>
      </c>
      <c r="C3614" s="7" t="str">
        <f>_xlfn.XLOOKUP(Vendas[[#This Row],[ID Vendedor]],Vendedores[ID],Vendedores[Setor])</f>
        <v>SC</v>
      </c>
      <c r="D3614" s="7" t="s">
        <v>48</v>
      </c>
      <c r="E3614" t="str">
        <f>_xlfn.XLOOKUP(Vendas[[#This Row],[ID Item Vendido]],Agregado[ID],Agregado[Produto])</f>
        <v>Tambor metálico 200L</v>
      </c>
      <c r="F3614" s="39">
        <v>45469</v>
      </c>
      <c r="G3614" s="7">
        <v>10</v>
      </c>
      <c r="H3614" s="3">
        <f>_xlfn.XLOOKUP(Vendas[[#This Row],[ID Item Vendido]],Agregado[ID],Agregado[Revenda])</f>
        <v>144</v>
      </c>
      <c r="I3614" s="3">
        <f>Vendas[[#This Row],[Valor Unitário]]*Vendas[[#This Row],[Qnt Vendida]]</f>
        <v>1440</v>
      </c>
      <c r="J3614" s="3">
        <f>Vendas[[#This Row],[Valor da Venda]]-(_xlfn.XLOOKUP(Vendas[[#This Row],[ID Item Vendido]],Agregado[ID],Agregado[Custo])*Vendas[[#This Row],[Qnt Vendida]])</f>
        <v>240</v>
      </c>
      <c r="K3614" s="70">
        <f>Vendas[[#This Row],[Lucro da Venda]]/Vendas[[#This Row],[Valor da Venda]]</f>
        <v>0.16666666666666666</v>
      </c>
      <c r="L3614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3614"/>
    </row>
    <row r="3615" spans="1:13" x14ac:dyDescent="0.3">
      <c r="A3615" s="7">
        <v>400252</v>
      </c>
      <c r="B3615" t="str">
        <f>_xlfn.XLOOKUP(Vendas[[#This Row],[ID Vendedor]],Vendedores[ID],Vendedores[Nome])</f>
        <v>Renata</v>
      </c>
      <c r="C3615" s="7" t="str">
        <f>_xlfn.XLOOKUP(Vendas[[#This Row],[ID Vendedor]],Vendedores[ID],Vendedores[Setor])</f>
        <v>AB</v>
      </c>
      <c r="D3615" s="7" t="s">
        <v>37</v>
      </c>
      <c r="E3615" t="str">
        <f>_xlfn.XLOOKUP(Vendas[[#This Row],[ID Item Vendido]],Agregado[ID],Agregado[Produto])</f>
        <v>Composto de borracha para vedação rolo 10m</v>
      </c>
      <c r="F3615" s="39">
        <v>45469</v>
      </c>
      <c r="G3615" s="7">
        <v>24</v>
      </c>
      <c r="H3615" s="3">
        <f>_xlfn.XLOOKUP(Vendas[[#This Row],[ID Item Vendido]],Agregado[ID],Agregado[Revenda])</f>
        <v>51.2</v>
      </c>
      <c r="I3615" s="3">
        <f>Vendas[[#This Row],[Valor Unitário]]*Vendas[[#This Row],[Qnt Vendida]]</f>
        <v>1228.8000000000002</v>
      </c>
      <c r="J3615" s="3">
        <f>Vendas[[#This Row],[Valor da Venda]]-(_xlfn.XLOOKUP(Vendas[[#This Row],[ID Item Vendido]],Agregado[ID],Agregado[Custo])*Vendas[[#This Row],[Qnt Vendida]])</f>
        <v>268.80000000000018</v>
      </c>
      <c r="K3615" s="70">
        <f>Vendas[[#This Row],[Lucro da Venda]]/Vendas[[#This Row],[Valor da Venda]]</f>
        <v>0.21875000000000011</v>
      </c>
      <c r="L3615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3615"/>
    </row>
    <row r="3616" spans="1:13" x14ac:dyDescent="0.3">
      <c r="A3616" s="7">
        <v>400247</v>
      </c>
      <c r="B3616" t="str">
        <f>_xlfn.XLOOKUP(Vendas[[#This Row],[ID Vendedor]],Vendedores[ID],Vendedores[Nome])</f>
        <v>André</v>
      </c>
      <c r="C3616" s="7" t="str">
        <f>_xlfn.XLOOKUP(Vendas[[#This Row],[ID Vendedor]],Vendedores[ID],Vendedores[Setor])</f>
        <v>CM</v>
      </c>
      <c r="D3616" s="7" t="s">
        <v>34</v>
      </c>
      <c r="E3616" t="str">
        <f>_xlfn.XLOOKUP(Vendas[[#This Row],[ID Item Vendido]],Agregado[ID],Agregado[Produto])</f>
        <v>Restos de madeira p/ MDP/OSB saco de 20kg</v>
      </c>
      <c r="F3616" s="39">
        <v>45469</v>
      </c>
      <c r="G3616" s="7">
        <v>2</v>
      </c>
      <c r="H3616" s="3">
        <f>_xlfn.XLOOKUP(Vendas[[#This Row],[ID Item Vendido]],Agregado[ID],Agregado[Revenda])</f>
        <v>13.8</v>
      </c>
      <c r="I3616" s="3">
        <f>Vendas[[#This Row],[Valor Unitário]]*Vendas[[#This Row],[Qnt Vendida]]</f>
        <v>27.6</v>
      </c>
      <c r="J3616" s="3">
        <f>Vendas[[#This Row],[Valor da Venda]]-(_xlfn.XLOOKUP(Vendas[[#This Row],[ID Item Vendido]],Agregado[ID],Agregado[Custo])*Vendas[[#This Row],[Qnt Vendida]])</f>
        <v>3.6000000000000014</v>
      </c>
      <c r="K3616" s="70">
        <f>Vendas[[#This Row],[Lucro da Venda]]/Vendas[[#This Row],[Valor da Venda]]</f>
        <v>0.1304347826086957</v>
      </c>
      <c r="L3616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3616"/>
    </row>
    <row r="3617" spans="1:13" x14ac:dyDescent="0.3">
      <c r="A3617" s="7">
        <v>400248</v>
      </c>
      <c r="B3617" t="str">
        <f>_xlfn.XLOOKUP(Vendas[[#This Row],[ID Vendedor]],Vendedores[ID],Vendedores[Nome])</f>
        <v>Patrícia</v>
      </c>
      <c r="C3617" s="7" t="str">
        <f>_xlfn.XLOOKUP(Vendas[[#This Row],[ID Vendedor]],Vendedores[ID],Vendedores[Setor])</f>
        <v>CM</v>
      </c>
      <c r="D3617" s="7" t="s">
        <v>32</v>
      </c>
      <c r="E3617" t="str">
        <f>_xlfn.XLOOKUP(Vendas[[#This Row],[ID Item Vendido]],Agregado[ID],Agregado[Produto])</f>
        <v>Tábua tratada e cortada 3m</v>
      </c>
      <c r="F3617" s="39">
        <v>45471</v>
      </c>
      <c r="G3617" s="7">
        <v>44</v>
      </c>
      <c r="H3617" s="3">
        <f>_xlfn.XLOOKUP(Vendas[[#This Row],[ID Item Vendido]],Agregado[ID],Agregado[Revenda])</f>
        <v>39</v>
      </c>
      <c r="I3617" s="3">
        <f>Vendas[[#This Row],[Valor Unitário]]*Vendas[[#This Row],[Qnt Vendida]]</f>
        <v>1716</v>
      </c>
      <c r="J3617" s="3">
        <f>Vendas[[#This Row],[Valor da Venda]]-(_xlfn.XLOOKUP(Vendas[[#This Row],[ID Item Vendido]],Agregado[ID],Agregado[Custo])*Vendas[[#This Row],[Qnt Vendida]])</f>
        <v>308</v>
      </c>
      <c r="K3617" s="70">
        <f>Vendas[[#This Row],[Lucro da Venda]]/Vendas[[#This Row],[Valor da Venda]]</f>
        <v>0.17948717948717949</v>
      </c>
      <c r="L3617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3617"/>
    </row>
    <row r="3618" spans="1:13" x14ac:dyDescent="0.3">
      <c r="A3618" s="7">
        <v>400250</v>
      </c>
      <c r="B3618" t="str">
        <f>_xlfn.XLOOKUP(Vendas[[#This Row],[ID Vendedor]],Vendedores[ID],Vendedores[Nome])</f>
        <v>Larissa</v>
      </c>
      <c r="C3618" s="7" t="str">
        <f>_xlfn.XLOOKUP(Vendas[[#This Row],[ID Vendedor]],Vendedores[ID],Vendedores[Setor])</f>
        <v>AB</v>
      </c>
      <c r="D3618" s="7" t="s">
        <v>39</v>
      </c>
      <c r="E3618" t="str">
        <f>_xlfn.XLOOKUP(Vendas[[#This Row],[ID Item Vendido]],Agregado[ID],Agregado[Produto])</f>
        <v>Filme plástico industrial rolo 50m</v>
      </c>
      <c r="F3618" s="39">
        <v>45471</v>
      </c>
      <c r="G3618" s="7">
        <v>20</v>
      </c>
      <c r="H3618" s="3">
        <f>_xlfn.XLOOKUP(Vendas[[#This Row],[ID Item Vendido]],Agregado[ID],Agregado[Revenda])</f>
        <v>37</v>
      </c>
      <c r="I3618" s="3">
        <f>Vendas[[#This Row],[Valor Unitário]]*Vendas[[#This Row],[Qnt Vendida]]</f>
        <v>740</v>
      </c>
      <c r="J3618" s="3">
        <f>Vendas[[#This Row],[Valor da Venda]]-(_xlfn.XLOOKUP(Vendas[[#This Row],[ID Item Vendido]],Agregado[ID],Agregado[Custo])*Vendas[[#This Row],[Qnt Vendida]])</f>
        <v>180</v>
      </c>
      <c r="K3618" s="70">
        <f>Vendas[[#This Row],[Lucro da Venda]]/Vendas[[#This Row],[Valor da Venda]]</f>
        <v>0.24324324324324326</v>
      </c>
      <c r="L3618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3618"/>
    </row>
    <row r="3619" spans="1:13" x14ac:dyDescent="0.3">
      <c r="A3619" s="7">
        <v>400244</v>
      </c>
      <c r="B3619" t="str">
        <f>_xlfn.XLOOKUP(Vendas[[#This Row],[ID Vendedor]],Vendedores[ID],Vendedores[Nome])</f>
        <v>Camila</v>
      </c>
      <c r="C3619" s="7" t="str">
        <f>_xlfn.XLOOKUP(Vendas[[#This Row],[ID Vendedor]],Vendedores[ID],Vendedores[Setor])</f>
        <v>AHD</v>
      </c>
      <c r="D3619" s="7" t="s">
        <v>44</v>
      </c>
      <c r="E3619" t="str">
        <f>_xlfn.XLOOKUP(Vendas[[#This Row],[ID Item Vendido]],Agregado[ID],Agregado[Produto])</f>
        <v>Liga metálica especial</v>
      </c>
      <c r="F3619" s="39">
        <v>45471</v>
      </c>
      <c r="G3619" s="7">
        <v>22</v>
      </c>
      <c r="H3619" s="3">
        <f>_xlfn.XLOOKUP(Vendas[[#This Row],[ID Item Vendido]],Agregado[ID],Agregado[Revenda])</f>
        <v>32.5</v>
      </c>
      <c r="I3619" s="3">
        <f>Vendas[[#This Row],[Valor Unitário]]*Vendas[[#This Row],[Qnt Vendida]]</f>
        <v>715</v>
      </c>
      <c r="J3619" s="3">
        <f>Vendas[[#This Row],[Valor da Venda]]-(_xlfn.XLOOKUP(Vendas[[#This Row],[ID Item Vendido]],Agregado[ID],Agregado[Custo])*Vendas[[#This Row],[Qnt Vendida]])</f>
        <v>165</v>
      </c>
      <c r="K3619" s="70">
        <f>Vendas[[#This Row],[Lucro da Venda]]/Vendas[[#This Row],[Valor da Venda]]</f>
        <v>0.23076923076923078</v>
      </c>
      <c r="L3619" s="3">
        <f>_xlfn.IFS(Vendas[[#This Row],[Margem de Lucro (%)]]&lt;15%,Vendas[[#This Row],[Valor da Venda]]*3%,Vendas[[#This Row],[Margem de Lucro (%)]]&lt;=20%,Vendas[[#This Row],[Valor da Venda]]*4.5%,TRUE,Vendas[[#This Row],[Valor da Venda]]*6%)</f>
        <v>42.9</v>
      </c>
      <c r="M3619"/>
    </row>
    <row r="3620" spans="1:13" x14ac:dyDescent="0.3">
      <c r="A3620" s="7">
        <v>400252</v>
      </c>
      <c r="B3620" t="str">
        <f>_xlfn.XLOOKUP(Vendas[[#This Row],[ID Vendedor]],Vendedores[ID],Vendedores[Nome])</f>
        <v>Renata</v>
      </c>
      <c r="C3620" s="7" t="str">
        <f>_xlfn.XLOOKUP(Vendas[[#This Row],[ID Vendedor]],Vendedores[ID],Vendedores[Setor])</f>
        <v>AB</v>
      </c>
      <c r="D3620" s="7" t="s">
        <v>39</v>
      </c>
      <c r="E3620" t="str">
        <f>_xlfn.XLOOKUP(Vendas[[#This Row],[ID Item Vendido]],Agregado[ID],Agregado[Produto])</f>
        <v>Filme plástico industrial rolo 50m</v>
      </c>
      <c r="F3620" s="39">
        <v>45472</v>
      </c>
      <c r="G3620" s="7">
        <v>22</v>
      </c>
      <c r="H3620" s="3">
        <f>_xlfn.XLOOKUP(Vendas[[#This Row],[ID Item Vendido]],Agregado[ID],Agregado[Revenda])</f>
        <v>37</v>
      </c>
      <c r="I3620" s="3">
        <f>Vendas[[#This Row],[Valor Unitário]]*Vendas[[#This Row],[Qnt Vendida]]</f>
        <v>814</v>
      </c>
      <c r="J3620" s="3">
        <f>Vendas[[#This Row],[Valor da Venda]]-(_xlfn.XLOOKUP(Vendas[[#This Row],[ID Item Vendido]],Agregado[ID],Agregado[Custo])*Vendas[[#This Row],[Qnt Vendida]])</f>
        <v>198</v>
      </c>
      <c r="K3620" s="70">
        <f>Vendas[[#This Row],[Lucro da Venda]]/Vendas[[#This Row],[Valor da Venda]]</f>
        <v>0.24324324324324326</v>
      </c>
      <c r="L3620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3620"/>
    </row>
    <row r="3621" spans="1:13" x14ac:dyDescent="0.3">
      <c r="A3621" s="7">
        <v>400241</v>
      </c>
      <c r="B3621" t="str">
        <f>_xlfn.XLOOKUP(Vendas[[#This Row],[ID Vendedor]],Vendedores[ID],Vendedores[Nome])</f>
        <v>Rodrigo</v>
      </c>
      <c r="C3621" s="7" t="str">
        <f>_xlfn.XLOOKUP(Vendas[[#This Row],[ID Vendedor]],Vendedores[ID],Vendedores[Setor])</f>
        <v>FM</v>
      </c>
      <c r="D3621" s="7" t="s">
        <v>27</v>
      </c>
      <c r="E3621" t="str">
        <f>_xlfn.XLOOKUP(Vendas[[#This Row],[ID Item Vendido]],Agregado[ID],Agregado[Produto])</f>
        <v>Chapa de metal lisa 1x2m</v>
      </c>
      <c r="F3621" s="39">
        <v>45472</v>
      </c>
      <c r="G3621" s="7">
        <v>8</v>
      </c>
      <c r="H3621" s="3">
        <f>_xlfn.XLOOKUP(Vendas[[#This Row],[ID Item Vendido]],Agregado[ID],Agregado[Revenda])</f>
        <v>52</v>
      </c>
      <c r="I3621" s="3">
        <f>Vendas[[#This Row],[Valor Unitário]]*Vendas[[#This Row],[Qnt Vendida]]</f>
        <v>416</v>
      </c>
      <c r="J3621" s="3">
        <f>Vendas[[#This Row],[Valor da Venda]]-(_xlfn.XLOOKUP(Vendas[[#This Row],[ID Item Vendido]],Agregado[ID],Agregado[Custo])*Vendas[[#This Row],[Qnt Vendida]])</f>
        <v>56</v>
      </c>
      <c r="K3621" s="70">
        <f>Vendas[[#This Row],[Lucro da Venda]]/Vendas[[#This Row],[Valor da Venda]]</f>
        <v>0.13461538461538461</v>
      </c>
      <c r="L3621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3621"/>
    </row>
    <row r="3622" spans="1:13" x14ac:dyDescent="0.3">
      <c r="A3622" s="7">
        <v>400252</v>
      </c>
      <c r="B3622" t="str">
        <f>_xlfn.XLOOKUP(Vendas[[#This Row],[ID Vendedor]],Vendedores[ID],Vendedores[Nome])</f>
        <v>Renata</v>
      </c>
      <c r="C3622" s="7" t="str">
        <f>_xlfn.XLOOKUP(Vendas[[#This Row],[ID Vendedor]],Vendedores[ID],Vendedores[Setor])</f>
        <v>AB</v>
      </c>
      <c r="D3622" s="7" t="s">
        <v>24</v>
      </c>
      <c r="E3622" t="str">
        <f>_xlfn.XLOOKUP(Vendas[[#This Row],[ID Item Vendido]],Agregado[ID],Agregado[Produto])</f>
        <v>Resina plástica PET purificada saco de 25kg</v>
      </c>
      <c r="F3622" s="39">
        <v>45473</v>
      </c>
      <c r="G3622" s="7">
        <v>2</v>
      </c>
      <c r="H3622" s="3">
        <f>_xlfn.XLOOKUP(Vendas[[#This Row],[ID Item Vendido]],Agregado[ID],Agregado[Revenda])</f>
        <v>119</v>
      </c>
      <c r="I3622" s="3">
        <f>Vendas[[#This Row],[Valor Unitário]]*Vendas[[#This Row],[Qnt Vendida]]</f>
        <v>238</v>
      </c>
      <c r="J3622" s="3">
        <f>Vendas[[#This Row],[Valor da Venda]]-(_xlfn.XLOOKUP(Vendas[[#This Row],[ID Item Vendido]],Agregado[ID],Agregado[Custo])*Vendas[[#This Row],[Qnt Vendida]])</f>
        <v>68</v>
      </c>
      <c r="K3622" s="70">
        <f>Vendas[[#This Row],[Lucro da Venda]]/Vendas[[#This Row],[Valor da Venda]]</f>
        <v>0.2857142857142857</v>
      </c>
      <c r="L3622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3622"/>
    </row>
    <row r="3623" spans="1:13" x14ac:dyDescent="0.3">
      <c r="A3623" s="7">
        <v>400250</v>
      </c>
      <c r="B3623" t="str">
        <f>_xlfn.XLOOKUP(Vendas[[#This Row],[ID Vendedor]],Vendedores[ID],Vendedores[Nome])</f>
        <v>Larissa</v>
      </c>
      <c r="C3623" s="7" t="str">
        <f>_xlfn.XLOOKUP(Vendas[[#This Row],[ID Vendedor]],Vendedores[ID],Vendedores[Setor])</f>
        <v>AB</v>
      </c>
      <c r="D3623" s="7" t="s">
        <v>24</v>
      </c>
      <c r="E3623" t="str">
        <f>_xlfn.XLOOKUP(Vendas[[#This Row],[ID Item Vendido]],Agregado[ID],Agregado[Produto])</f>
        <v>Resina plástica PET purificada saco de 25kg</v>
      </c>
      <c r="F3623" s="39">
        <v>45475</v>
      </c>
      <c r="G3623" s="7">
        <v>29</v>
      </c>
      <c r="H3623" s="3">
        <f>_xlfn.XLOOKUP(Vendas[[#This Row],[ID Item Vendido]],Agregado[ID],Agregado[Revenda])</f>
        <v>119</v>
      </c>
      <c r="I3623" s="3">
        <f>Vendas[[#This Row],[Valor Unitário]]*Vendas[[#This Row],[Qnt Vendida]]</f>
        <v>3451</v>
      </c>
      <c r="J3623" s="3">
        <f>Vendas[[#This Row],[Valor da Venda]]-(_xlfn.XLOOKUP(Vendas[[#This Row],[ID Item Vendido]],Agregado[ID],Agregado[Custo])*Vendas[[#This Row],[Qnt Vendida]])</f>
        <v>986</v>
      </c>
      <c r="K3623" s="70">
        <f>Vendas[[#This Row],[Lucro da Venda]]/Vendas[[#This Row],[Valor da Venda]]</f>
        <v>0.2857142857142857</v>
      </c>
      <c r="L3623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3623"/>
    </row>
    <row r="3624" spans="1:13" x14ac:dyDescent="0.3">
      <c r="A3624" s="7">
        <v>400253</v>
      </c>
      <c r="B3624" t="str">
        <f>_xlfn.XLOOKUP(Vendas[[#This Row],[ID Vendedor]],Vendedores[ID],Vendedores[Nome])</f>
        <v>Gustavo</v>
      </c>
      <c r="C3624" s="7" t="str">
        <f>_xlfn.XLOOKUP(Vendas[[#This Row],[ID Vendedor]],Vendedores[ID],Vendedores[Setor])</f>
        <v>SC</v>
      </c>
      <c r="D3624" s="7" t="s">
        <v>42</v>
      </c>
      <c r="E3624" t="str">
        <f>_xlfn.XLOOKUP(Vendas[[#This Row],[ID Item Vendido]],Agregado[ID],Agregado[Produto])</f>
        <v>Container de ferro industrial</v>
      </c>
      <c r="F3624" s="39">
        <v>45475</v>
      </c>
      <c r="G3624" s="7">
        <v>3</v>
      </c>
      <c r="H3624" s="3">
        <f>_xlfn.XLOOKUP(Vendas[[#This Row],[ID Item Vendido]],Agregado[ID],Agregado[Revenda])</f>
        <v>830</v>
      </c>
      <c r="I3624" s="3">
        <f>Vendas[[#This Row],[Valor Unitário]]*Vendas[[#This Row],[Qnt Vendida]]</f>
        <v>2490</v>
      </c>
      <c r="J3624" s="3">
        <f>Vendas[[#This Row],[Valor da Venda]]-(_xlfn.XLOOKUP(Vendas[[#This Row],[ID Item Vendido]],Agregado[ID],Agregado[Custo])*Vendas[[#This Row],[Qnt Vendida]])</f>
        <v>450</v>
      </c>
      <c r="K3624" s="70">
        <f>Vendas[[#This Row],[Lucro da Venda]]/Vendas[[#This Row],[Valor da Venda]]</f>
        <v>0.18072289156626506</v>
      </c>
      <c r="L362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624"/>
    </row>
    <row r="3625" spans="1:13" x14ac:dyDescent="0.3">
      <c r="A3625" s="7">
        <v>400249</v>
      </c>
      <c r="B3625" t="str">
        <f>_xlfn.XLOOKUP(Vendas[[#This Row],[ID Vendedor]],Vendedores[ID],Vendedores[Nome])</f>
        <v>Bruno</v>
      </c>
      <c r="C3625" s="7" t="str">
        <f>_xlfn.XLOOKUP(Vendas[[#This Row],[ID Vendedor]],Vendedores[ID],Vendedores[Setor])</f>
        <v>CM</v>
      </c>
      <c r="D3625" s="7" t="s">
        <v>45</v>
      </c>
      <c r="E3625" t="str">
        <f>_xlfn.XLOOKUP(Vendas[[#This Row],[ID Item Vendido]],Agregado[ID],Agregado[Produto])</f>
        <v>Viga de madeira tratada 4m</v>
      </c>
      <c r="F3625" s="39">
        <v>45475</v>
      </c>
      <c r="G3625" s="7">
        <v>19</v>
      </c>
      <c r="H3625" s="3">
        <f>_xlfn.XLOOKUP(Vendas[[#This Row],[ID Item Vendido]],Agregado[ID],Agregado[Revenda])</f>
        <v>66</v>
      </c>
      <c r="I3625" s="3">
        <f>Vendas[[#This Row],[Valor Unitário]]*Vendas[[#This Row],[Qnt Vendida]]</f>
        <v>1254</v>
      </c>
      <c r="J3625" s="3">
        <f>Vendas[[#This Row],[Valor da Venda]]-(_xlfn.XLOOKUP(Vendas[[#This Row],[ID Item Vendido]],Agregado[ID],Agregado[Custo])*Vendas[[#This Row],[Qnt Vendida]])</f>
        <v>209</v>
      </c>
      <c r="K3625" s="70">
        <f>Vendas[[#This Row],[Lucro da Venda]]/Vendas[[#This Row],[Valor da Venda]]</f>
        <v>0.16666666666666666</v>
      </c>
      <c r="L362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625"/>
    </row>
    <row r="3626" spans="1:13" x14ac:dyDescent="0.3">
      <c r="A3626" s="7">
        <v>400255</v>
      </c>
      <c r="B3626" t="str">
        <f>_xlfn.XLOOKUP(Vendas[[#This Row],[ID Vendedor]],Vendedores[ID],Vendedores[Nome])</f>
        <v>Carlos</v>
      </c>
      <c r="C3626" s="7" t="str">
        <f>_xlfn.XLOOKUP(Vendas[[#This Row],[ID Vendedor]],Vendedores[ID],Vendedores[Setor])</f>
        <v>SC</v>
      </c>
      <c r="D3626" s="7" t="s">
        <v>14</v>
      </c>
      <c r="E3626" t="str">
        <f>_xlfn.XLOOKUP(Vendas[[#This Row],[ID Item Vendido]],Agregado[ID],Agregado[Produto])</f>
        <v>Barril de plástico 200L</v>
      </c>
      <c r="F3626" s="39">
        <v>45475</v>
      </c>
      <c r="G3626" s="7">
        <v>8</v>
      </c>
      <c r="H3626" s="3">
        <f>_xlfn.XLOOKUP(Vendas[[#This Row],[ID Item Vendido]],Agregado[ID],Agregado[Revenda])</f>
        <v>114</v>
      </c>
      <c r="I3626" s="3">
        <f>Vendas[[#This Row],[Valor Unitário]]*Vendas[[#This Row],[Qnt Vendida]]</f>
        <v>912</v>
      </c>
      <c r="J3626" s="3">
        <f>Vendas[[#This Row],[Valor da Venda]]-(_xlfn.XLOOKUP(Vendas[[#This Row],[ID Item Vendido]],Agregado[ID],Agregado[Custo])*Vendas[[#This Row],[Qnt Vendida]])</f>
        <v>152</v>
      </c>
      <c r="K3626" s="70">
        <f>Vendas[[#This Row],[Lucro da Venda]]/Vendas[[#This Row],[Valor da Venda]]</f>
        <v>0.16666666666666666</v>
      </c>
      <c r="L3626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3626"/>
    </row>
    <row r="3627" spans="1:13" x14ac:dyDescent="0.3">
      <c r="A3627" s="7">
        <v>400247</v>
      </c>
      <c r="B3627" t="str">
        <f>_xlfn.XLOOKUP(Vendas[[#This Row],[ID Vendedor]],Vendedores[ID],Vendedores[Nome])</f>
        <v>André</v>
      </c>
      <c r="C3627" s="7" t="str">
        <f>_xlfn.XLOOKUP(Vendas[[#This Row],[ID Vendedor]],Vendedores[ID],Vendedores[Setor])</f>
        <v>CM</v>
      </c>
      <c r="D3627" s="7" t="s">
        <v>22</v>
      </c>
      <c r="E3627" t="str">
        <f>_xlfn.XLOOKUP(Vendas[[#This Row],[ID Item Vendido]],Agregado[ID],Agregado[Produto])</f>
        <v>Painel MDP 2,75x1,83m</v>
      </c>
      <c r="F3627" s="39">
        <v>45475</v>
      </c>
      <c r="G3627" s="7">
        <v>4</v>
      </c>
      <c r="H3627" s="3">
        <f>_xlfn.XLOOKUP(Vendas[[#This Row],[ID Item Vendido]],Agregado[ID],Agregado[Revenda])</f>
        <v>119</v>
      </c>
      <c r="I3627" s="3">
        <f>Vendas[[#This Row],[Valor Unitário]]*Vendas[[#This Row],[Qnt Vendida]]</f>
        <v>476</v>
      </c>
      <c r="J3627" s="3">
        <f>Vendas[[#This Row],[Valor da Venda]]-(_xlfn.XLOOKUP(Vendas[[#This Row],[ID Item Vendido]],Agregado[ID],Agregado[Custo])*Vendas[[#This Row],[Qnt Vendida]])</f>
        <v>96</v>
      </c>
      <c r="K3627" s="70">
        <f>Vendas[[#This Row],[Lucro da Venda]]/Vendas[[#This Row],[Valor da Venda]]</f>
        <v>0.20168067226890757</v>
      </c>
      <c r="L3627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3627"/>
    </row>
    <row r="3628" spans="1:13" x14ac:dyDescent="0.3">
      <c r="A3628" s="7">
        <v>400252</v>
      </c>
      <c r="B3628" t="str">
        <f>_xlfn.XLOOKUP(Vendas[[#This Row],[ID Vendedor]],Vendedores[ID],Vendedores[Nome])</f>
        <v>Renata</v>
      </c>
      <c r="C3628" s="7" t="str">
        <f>_xlfn.XLOOKUP(Vendas[[#This Row],[ID Vendedor]],Vendedores[ID],Vendedores[Setor])</f>
        <v>AB</v>
      </c>
      <c r="D3628" s="7" t="s">
        <v>39</v>
      </c>
      <c r="E3628" t="str">
        <f>_xlfn.XLOOKUP(Vendas[[#This Row],[ID Item Vendido]],Agregado[ID],Agregado[Produto])</f>
        <v>Filme plástico industrial rolo 50m</v>
      </c>
      <c r="F3628" s="39">
        <v>45477</v>
      </c>
      <c r="G3628" s="7">
        <v>28</v>
      </c>
      <c r="H3628" s="3">
        <f>_xlfn.XLOOKUP(Vendas[[#This Row],[ID Item Vendido]],Agregado[ID],Agregado[Revenda])</f>
        <v>37</v>
      </c>
      <c r="I3628" s="3">
        <f>Vendas[[#This Row],[Valor Unitário]]*Vendas[[#This Row],[Qnt Vendida]]</f>
        <v>1036</v>
      </c>
      <c r="J3628" s="3">
        <f>Vendas[[#This Row],[Valor da Venda]]-(_xlfn.XLOOKUP(Vendas[[#This Row],[ID Item Vendido]],Agregado[ID],Agregado[Custo])*Vendas[[#This Row],[Qnt Vendida]])</f>
        <v>252</v>
      </c>
      <c r="K3628" s="70">
        <f>Vendas[[#This Row],[Lucro da Venda]]/Vendas[[#This Row],[Valor da Venda]]</f>
        <v>0.24324324324324326</v>
      </c>
      <c r="L3628" s="3">
        <f>_xlfn.IFS(Vendas[[#This Row],[Margem de Lucro (%)]]&lt;15%,Vendas[[#This Row],[Valor da Venda]]*3%,Vendas[[#This Row],[Margem de Lucro (%)]]&lt;=20%,Vendas[[#This Row],[Valor da Venda]]*4.5%,TRUE,Vendas[[#This Row],[Valor da Venda]]*6%)</f>
        <v>62.16</v>
      </c>
      <c r="M3628"/>
    </row>
    <row r="3629" spans="1:13" x14ac:dyDescent="0.3">
      <c r="A3629" s="7">
        <v>400251</v>
      </c>
      <c r="B3629" t="str">
        <f>_xlfn.XLOOKUP(Vendas[[#This Row],[ID Vendedor]],Vendedores[ID],Vendedores[Nome])</f>
        <v>Diego</v>
      </c>
      <c r="C3629" s="7" t="str">
        <f>_xlfn.XLOOKUP(Vendas[[#This Row],[ID Vendedor]],Vendedores[ID],Vendedores[Setor])</f>
        <v>AB</v>
      </c>
      <c r="D3629" s="7" t="s">
        <v>36</v>
      </c>
      <c r="E3629" t="str">
        <f>_xlfn.XLOOKUP(Vendas[[#This Row],[ID Item Vendido]],Agregado[ID],Agregado[Produto])</f>
        <v>Borracha vulcanizada em manta</v>
      </c>
      <c r="F3629" s="39">
        <v>45477</v>
      </c>
      <c r="G3629" s="7">
        <v>92</v>
      </c>
      <c r="H3629" s="3">
        <f>_xlfn.XLOOKUP(Vendas[[#This Row],[ID Item Vendido]],Agregado[ID],Agregado[Revenda])</f>
        <v>7.8</v>
      </c>
      <c r="I3629" s="3">
        <f>Vendas[[#This Row],[Valor Unitário]]*Vendas[[#This Row],[Qnt Vendida]]</f>
        <v>717.6</v>
      </c>
      <c r="J3629" s="3">
        <f>Vendas[[#This Row],[Valor da Venda]]-(_xlfn.XLOOKUP(Vendas[[#This Row],[ID Item Vendido]],Agregado[ID],Agregado[Custo])*Vendas[[#This Row],[Qnt Vendida]])</f>
        <v>165.60000000000002</v>
      </c>
      <c r="K3629" s="70">
        <f>Vendas[[#This Row],[Lucro da Venda]]/Vendas[[#This Row],[Valor da Venda]]</f>
        <v>0.23076923076923078</v>
      </c>
      <c r="L3629" s="3">
        <f>_xlfn.IFS(Vendas[[#This Row],[Margem de Lucro (%)]]&lt;15%,Vendas[[#This Row],[Valor da Venda]]*3%,Vendas[[#This Row],[Margem de Lucro (%)]]&lt;=20%,Vendas[[#This Row],[Valor da Venda]]*4.5%,TRUE,Vendas[[#This Row],[Valor da Venda]]*6%)</f>
        <v>43.055999999999997</v>
      </c>
      <c r="M3629"/>
    </row>
    <row r="3630" spans="1:13" x14ac:dyDescent="0.3">
      <c r="A3630" s="7">
        <v>400252</v>
      </c>
      <c r="B3630" t="str">
        <f>_xlfn.XLOOKUP(Vendas[[#This Row],[ID Vendedor]],Vendedores[ID],Vendedores[Nome])</f>
        <v>Renata</v>
      </c>
      <c r="C3630" s="7" t="str">
        <f>_xlfn.XLOOKUP(Vendas[[#This Row],[ID Vendedor]],Vendedores[ID],Vendedores[Setor])</f>
        <v>AB</v>
      </c>
      <c r="D3630" s="7" t="s">
        <v>24</v>
      </c>
      <c r="E3630" t="str">
        <f>_xlfn.XLOOKUP(Vendas[[#This Row],[ID Item Vendido]],Agregado[ID],Agregado[Produto])</f>
        <v>Resina plástica PET purificada saco de 25kg</v>
      </c>
      <c r="F3630" s="39">
        <v>45478</v>
      </c>
      <c r="G3630" s="7">
        <v>13</v>
      </c>
      <c r="H3630" s="3">
        <f>_xlfn.XLOOKUP(Vendas[[#This Row],[ID Item Vendido]],Agregado[ID],Agregado[Revenda])</f>
        <v>119</v>
      </c>
      <c r="I3630" s="3">
        <f>Vendas[[#This Row],[Valor Unitário]]*Vendas[[#This Row],[Qnt Vendida]]</f>
        <v>1547</v>
      </c>
      <c r="J3630" s="3">
        <f>Vendas[[#This Row],[Valor da Venda]]-(_xlfn.XLOOKUP(Vendas[[#This Row],[ID Item Vendido]],Agregado[ID],Agregado[Custo])*Vendas[[#This Row],[Qnt Vendida]])</f>
        <v>442</v>
      </c>
      <c r="K3630" s="70">
        <f>Vendas[[#This Row],[Lucro da Venda]]/Vendas[[#This Row],[Valor da Venda]]</f>
        <v>0.2857142857142857</v>
      </c>
      <c r="L3630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3630"/>
    </row>
    <row r="3631" spans="1:13" x14ac:dyDescent="0.3">
      <c r="A3631" s="7">
        <v>400248</v>
      </c>
      <c r="B3631" t="str">
        <f>_xlfn.XLOOKUP(Vendas[[#This Row],[ID Vendedor]],Vendedores[ID],Vendedores[Nome])</f>
        <v>Patrícia</v>
      </c>
      <c r="C3631" s="7" t="str">
        <f>_xlfn.XLOOKUP(Vendas[[#This Row],[ID Vendedor]],Vendedores[ID],Vendedores[Setor])</f>
        <v>CM</v>
      </c>
      <c r="D3631" s="7" t="s">
        <v>45</v>
      </c>
      <c r="E3631" t="str">
        <f>_xlfn.XLOOKUP(Vendas[[#This Row],[ID Item Vendido]],Agregado[ID],Agregado[Produto])</f>
        <v>Viga de madeira tratada 4m</v>
      </c>
      <c r="F3631" s="39">
        <v>45478</v>
      </c>
      <c r="G3631" s="7">
        <v>20</v>
      </c>
      <c r="H3631" s="3">
        <f>_xlfn.XLOOKUP(Vendas[[#This Row],[ID Item Vendido]],Agregado[ID],Agregado[Revenda])</f>
        <v>66</v>
      </c>
      <c r="I3631" s="3">
        <f>Vendas[[#This Row],[Valor Unitário]]*Vendas[[#This Row],[Qnt Vendida]]</f>
        <v>1320</v>
      </c>
      <c r="J3631" s="3">
        <f>Vendas[[#This Row],[Valor da Venda]]-(_xlfn.XLOOKUP(Vendas[[#This Row],[ID Item Vendido]],Agregado[ID],Agregado[Custo])*Vendas[[#This Row],[Qnt Vendida]])</f>
        <v>220</v>
      </c>
      <c r="K3631" s="70">
        <f>Vendas[[#This Row],[Lucro da Venda]]/Vendas[[#This Row],[Valor da Venda]]</f>
        <v>0.16666666666666666</v>
      </c>
      <c r="L3631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3631"/>
    </row>
    <row r="3632" spans="1:13" x14ac:dyDescent="0.3">
      <c r="A3632" s="7">
        <v>400244</v>
      </c>
      <c r="B3632" t="str">
        <f>_xlfn.XLOOKUP(Vendas[[#This Row],[ID Vendedor]],Vendedores[ID],Vendedores[Nome])</f>
        <v>Camila</v>
      </c>
      <c r="C3632" s="7" t="str">
        <f>_xlfn.XLOOKUP(Vendas[[#This Row],[ID Vendedor]],Vendedores[ID],Vendedores[Setor])</f>
        <v>AHD</v>
      </c>
      <c r="D3632" s="7" t="s">
        <v>9</v>
      </c>
      <c r="E3632" t="str">
        <f>_xlfn.XLOOKUP(Vendas[[#This Row],[ID Item Vendido]],Agregado[ID],Agregado[Produto])</f>
        <v>Barra de aço simples</v>
      </c>
      <c r="F3632" s="39">
        <v>45478</v>
      </c>
      <c r="G3632" s="7">
        <v>143</v>
      </c>
      <c r="H3632" s="3">
        <f>_xlfn.XLOOKUP(Vendas[[#This Row],[ID Item Vendido]],Agregado[ID],Agregado[Revenda])</f>
        <v>6.7</v>
      </c>
      <c r="I3632" s="3">
        <f>Vendas[[#This Row],[Valor Unitário]]*Vendas[[#This Row],[Qnt Vendida]]</f>
        <v>958.1</v>
      </c>
      <c r="J3632" s="3">
        <f>Vendas[[#This Row],[Valor da Venda]]-(_xlfn.XLOOKUP(Vendas[[#This Row],[ID Item Vendido]],Agregado[ID],Agregado[Custo])*Vendas[[#This Row],[Qnt Vendida]])</f>
        <v>128.70000000000005</v>
      </c>
      <c r="K3632" s="70">
        <f>Vendas[[#This Row],[Lucro da Venda]]/Vendas[[#This Row],[Valor da Venda]]</f>
        <v>0.13432835820895528</v>
      </c>
      <c r="L3632" s="3">
        <f>_xlfn.IFS(Vendas[[#This Row],[Margem de Lucro (%)]]&lt;15%,Vendas[[#This Row],[Valor da Venda]]*3%,Vendas[[#This Row],[Margem de Lucro (%)]]&lt;=20%,Vendas[[#This Row],[Valor da Venda]]*4.5%,TRUE,Vendas[[#This Row],[Valor da Venda]]*6%)</f>
        <v>28.742999999999999</v>
      </c>
      <c r="M3632"/>
    </row>
    <row r="3633" spans="1:13" x14ac:dyDescent="0.3">
      <c r="A3633" s="7">
        <v>400251</v>
      </c>
      <c r="B3633" t="str">
        <f>_xlfn.XLOOKUP(Vendas[[#This Row],[ID Vendedor]],Vendedores[ID],Vendedores[Nome])</f>
        <v>Diego</v>
      </c>
      <c r="C3633" s="7" t="str">
        <f>_xlfn.XLOOKUP(Vendas[[#This Row],[ID Vendedor]],Vendedores[ID],Vendedores[Setor])</f>
        <v>AB</v>
      </c>
      <c r="D3633" s="7" t="s">
        <v>24</v>
      </c>
      <c r="E3633" t="str">
        <f>_xlfn.XLOOKUP(Vendas[[#This Row],[ID Item Vendido]],Agregado[ID],Agregado[Produto])</f>
        <v>Resina plástica PET purificada saco de 25kg</v>
      </c>
      <c r="F3633" s="39">
        <v>45479</v>
      </c>
      <c r="G3633" s="7">
        <v>17</v>
      </c>
      <c r="H3633" s="3">
        <f>_xlfn.XLOOKUP(Vendas[[#This Row],[ID Item Vendido]],Agregado[ID],Agregado[Revenda])</f>
        <v>119</v>
      </c>
      <c r="I3633" s="3">
        <f>Vendas[[#This Row],[Valor Unitário]]*Vendas[[#This Row],[Qnt Vendida]]</f>
        <v>2023</v>
      </c>
      <c r="J3633" s="3">
        <f>Vendas[[#This Row],[Valor da Venda]]-(_xlfn.XLOOKUP(Vendas[[#This Row],[ID Item Vendido]],Agregado[ID],Agregado[Custo])*Vendas[[#This Row],[Qnt Vendida]])</f>
        <v>578</v>
      </c>
      <c r="K3633" s="70">
        <f>Vendas[[#This Row],[Lucro da Venda]]/Vendas[[#This Row],[Valor da Venda]]</f>
        <v>0.2857142857142857</v>
      </c>
      <c r="L3633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3633"/>
    </row>
    <row r="3634" spans="1:13" x14ac:dyDescent="0.3">
      <c r="A3634" s="7">
        <v>400249</v>
      </c>
      <c r="B3634" t="str">
        <f>_xlfn.XLOOKUP(Vendas[[#This Row],[ID Vendedor]],Vendedores[ID],Vendedores[Nome])</f>
        <v>Bruno</v>
      </c>
      <c r="C3634" s="7" t="str">
        <f>_xlfn.XLOOKUP(Vendas[[#This Row],[ID Vendedor]],Vendedores[ID],Vendedores[Setor])</f>
        <v>CM</v>
      </c>
      <c r="D3634" s="7" t="s">
        <v>22</v>
      </c>
      <c r="E3634" t="str">
        <f>_xlfn.XLOOKUP(Vendas[[#This Row],[ID Item Vendido]],Agregado[ID],Agregado[Produto])</f>
        <v>Painel MDP 2,75x1,83m</v>
      </c>
      <c r="F3634" s="39">
        <v>45479</v>
      </c>
      <c r="G3634" s="7">
        <v>10</v>
      </c>
      <c r="H3634" s="3">
        <f>_xlfn.XLOOKUP(Vendas[[#This Row],[ID Item Vendido]],Agregado[ID],Agregado[Revenda])</f>
        <v>119</v>
      </c>
      <c r="I3634" s="3">
        <f>Vendas[[#This Row],[Valor Unitário]]*Vendas[[#This Row],[Qnt Vendida]]</f>
        <v>1190</v>
      </c>
      <c r="J3634" s="3">
        <f>Vendas[[#This Row],[Valor da Venda]]-(_xlfn.XLOOKUP(Vendas[[#This Row],[ID Item Vendido]],Agregado[ID],Agregado[Custo])*Vendas[[#This Row],[Qnt Vendida]])</f>
        <v>240</v>
      </c>
      <c r="K3634" s="70">
        <f>Vendas[[#This Row],[Lucro da Venda]]/Vendas[[#This Row],[Valor da Venda]]</f>
        <v>0.20168067226890757</v>
      </c>
      <c r="L3634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3634"/>
    </row>
    <row r="3635" spans="1:13" x14ac:dyDescent="0.3">
      <c r="A3635" s="7">
        <v>400246</v>
      </c>
      <c r="B3635" t="str">
        <f>_xlfn.XLOOKUP(Vendas[[#This Row],[ID Vendedor]],Vendedores[ID],Vendedores[Nome])</f>
        <v>Juliana</v>
      </c>
      <c r="C3635" s="7" t="str">
        <f>_xlfn.XLOOKUP(Vendas[[#This Row],[ID Vendedor]],Vendedores[ID],Vendedores[Setor])</f>
        <v>AHD</v>
      </c>
      <c r="D3635" s="7" t="s">
        <v>44</v>
      </c>
      <c r="E3635" t="str">
        <f>_xlfn.XLOOKUP(Vendas[[#This Row],[ID Item Vendido]],Agregado[ID],Agregado[Produto])</f>
        <v>Liga metálica especial</v>
      </c>
      <c r="F3635" s="39">
        <v>45479</v>
      </c>
      <c r="G3635" s="7">
        <v>23</v>
      </c>
      <c r="H3635" s="3">
        <f>_xlfn.XLOOKUP(Vendas[[#This Row],[ID Item Vendido]],Agregado[ID],Agregado[Revenda])</f>
        <v>32.5</v>
      </c>
      <c r="I3635" s="3">
        <f>Vendas[[#This Row],[Valor Unitário]]*Vendas[[#This Row],[Qnt Vendida]]</f>
        <v>747.5</v>
      </c>
      <c r="J3635" s="3">
        <f>Vendas[[#This Row],[Valor da Venda]]-(_xlfn.XLOOKUP(Vendas[[#This Row],[ID Item Vendido]],Agregado[ID],Agregado[Custo])*Vendas[[#This Row],[Qnt Vendida]])</f>
        <v>172.5</v>
      </c>
      <c r="K3635" s="70">
        <f>Vendas[[#This Row],[Lucro da Venda]]/Vendas[[#This Row],[Valor da Venda]]</f>
        <v>0.23076923076923078</v>
      </c>
      <c r="L3635" s="3">
        <f>_xlfn.IFS(Vendas[[#This Row],[Margem de Lucro (%)]]&lt;15%,Vendas[[#This Row],[Valor da Venda]]*3%,Vendas[[#This Row],[Margem de Lucro (%)]]&lt;=20%,Vendas[[#This Row],[Valor da Venda]]*4.5%,TRUE,Vendas[[#This Row],[Valor da Venda]]*6%)</f>
        <v>44.85</v>
      </c>
      <c r="M3635"/>
    </row>
    <row r="3636" spans="1:13" x14ac:dyDescent="0.3">
      <c r="A3636" s="7">
        <v>400247</v>
      </c>
      <c r="B3636" t="str">
        <f>_xlfn.XLOOKUP(Vendas[[#This Row],[ID Vendedor]],Vendedores[ID],Vendedores[Nome])</f>
        <v>André</v>
      </c>
      <c r="C3636" s="7" t="str">
        <f>_xlfn.XLOOKUP(Vendas[[#This Row],[ID Vendedor]],Vendedores[ID],Vendedores[Setor])</f>
        <v>CM</v>
      </c>
      <c r="D3636" s="7" t="s">
        <v>34</v>
      </c>
      <c r="E3636" t="str">
        <f>_xlfn.XLOOKUP(Vendas[[#This Row],[ID Item Vendido]],Agregado[ID],Agregado[Produto])</f>
        <v>Restos de madeira p/ MDP/OSB saco de 20kg</v>
      </c>
      <c r="F3636" s="39">
        <v>45479</v>
      </c>
      <c r="G3636" s="7">
        <v>17</v>
      </c>
      <c r="H3636" s="3">
        <f>_xlfn.XLOOKUP(Vendas[[#This Row],[ID Item Vendido]],Agregado[ID],Agregado[Revenda])</f>
        <v>13.8</v>
      </c>
      <c r="I3636" s="3">
        <f>Vendas[[#This Row],[Valor Unitário]]*Vendas[[#This Row],[Qnt Vendida]]</f>
        <v>234.60000000000002</v>
      </c>
      <c r="J3636" s="3">
        <f>Vendas[[#This Row],[Valor da Venda]]-(_xlfn.XLOOKUP(Vendas[[#This Row],[ID Item Vendido]],Agregado[ID],Agregado[Custo])*Vendas[[#This Row],[Qnt Vendida]])</f>
        <v>30.600000000000023</v>
      </c>
      <c r="K3636" s="70">
        <f>Vendas[[#This Row],[Lucro da Venda]]/Vendas[[#This Row],[Valor da Venda]]</f>
        <v>0.13043478260869573</v>
      </c>
      <c r="L3636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3636"/>
    </row>
    <row r="3637" spans="1:13" x14ac:dyDescent="0.3">
      <c r="A3637" s="7">
        <v>400249</v>
      </c>
      <c r="B3637" t="str">
        <f>_xlfn.XLOOKUP(Vendas[[#This Row],[ID Vendedor]],Vendedores[ID],Vendedores[Nome])</f>
        <v>Bruno</v>
      </c>
      <c r="C3637" s="7" t="str">
        <f>_xlfn.XLOOKUP(Vendas[[#This Row],[ID Vendedor]],Vendedores[ID],Vendedores[Setor])</f>
        <v>CM</v>
      </c>
      <c r="D3637" s="7" t="s">
        <v>22</v>
      </c>
      <c r="E3637" t="str">
        <f>_xlfn.XLOOKUP(Vendas[[#This Row],[ID Item Vendido]],Agregado[ID],Agregado[Produto])</f>
        <v>Painel MDP 2,75x1,83m</v>
      </c>
      <c r="F3637" s="39">
        <v>45480</v>
      </c>
      <c r="G3637" s="7">
        <v>22</v>
      </c>
      <c r="H3637" s="3">
        <f>_xlfn.XLOOKUP(Vendas[[#This Row],[ID Item Vendido]],Agregado[ID],Agregado[Revenda])</f>
        <v>119</v>
      </c>
      <c r="I3637" s="3">
        <f>Vendas[[#This Row],[Valor Unitário]]*Vendas[[#This Row],[Qnt Vendida]]</f>
        <v>2618</v>
      </c>
      <c r="J3637" s="3">
        <f>Vendas[[#This Row],[Valor da Venda]]-(_xlfn.XLOOKUP(Vendas[[#This Row],[ID Item Vendido]],Agregado[ID],Agregado[Custo])*Vendas[[#This Row],[Qnt Vendida]])</f>
        <v>528</v>
      </c>
      <c r="K3637" s="70">
        <f>Vendas[[#This Row],[Lucro da Venda]]/Vendas[[#This Row],[Valor da Venda]]</f>
        <v>0.20168067226890757</v>
      </c>
      <c r="L3637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3637"/>
    </row>
    <row r="3638" spans="1:13" x14ac:dyDescent="0.3">
      <c r="A3638" s="7">
        <v>400252</v>
      </c>
      <c r="B3638" t="str">
        <f>_xlfn.XLOOKUP(Vendas[[#This Row],[ID Vendedor]],Vendedores[ID],Vendedores[Nome])</f>
        <v>Renata</v>
      </c>
      <c r="C3638" s="7" t="str">
        <f>_xlfn.XLOOKUP(Vendas[[#This Row],[ID Vendedor]],Vendedores[ID],Vendedores[Setor])</f>
        <v>AB</v>
      </c>
      <c r="D3638" s="7" t="s">
        <v>37</v>
      </c>
      <c r="E3638" t="str">
        <f>_xlfn.XLOOKUP(Vendas[[#This Row],[ID Item Vendido]],Agregado[ID],Agregado[Produto])</f>
        <v>Composto de borracha para vedação rolo 10m</v>
      </c>
      <c r="F3638" s="39">
        <v>45480</v>
      </c>
      <c r="G3638" s="7">
        <v>10</v>
      </c>
      <c r="H3638" s="3">
        <f>_xlfn.XLOOKUP(Vendas[[#This Row],[ID Item Vendido]],Agregado[ID],Agregado[Revenda])</f>
        <v>51.2</v>
      </c>
      <c r="I3638" s="3">
        <f>Vendas[[#This Row],[Valor Unitário]]*Vendas[[#This Row],[Qnt Vendida]]</f>
        <v>512</v>
      </c>
      <c r="J3638" s="3">
        <f>Vendas[[#This Row],[Valor da Venda]]-(_xlfn.XLOOKUP(Vendas[[#This Row],[ID Item Vendido]],Agregado[ID],Agregado[Custo])*Vendas[[#This Row],[Qnt Vendida]])</f>
        <v>112</v>
      </c>
      <c r="K3638" s="70">
        <f>Vendas[[#This Row],[Lucro da Venda]]/Vendas[[#This Row],[Valor da Venda]]</f>
        <v>0.21875</v>
      </c>
      <c r="L3638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3638"/>
    </row>
    <row r="3639" spans="1:13" x14ac:dyDescent="0.3">
      <c r="A3639" s="7">
        <v>400243</v>
      </c>
      <c r="B3639" t="str">
        <f>_xlfn.XLOOKUP(Vendas[[#This Row],[ID Vendedor]],Vendedores[ID],Vendedores[Nome])</f>
        <v>Marcelo</v>
      </c>
      <c r="C3639" s="7" t="str">
        <f>_xlfn.XLOOKUP(Vendas[[#This Row],[ID Vendedor]],Vendedores[ID],Vendedores[Setor])</f>
        <v>FM</v>
      </c>
      <c r="D3639" s="7" t="s">
        <v>20</v>
      </c>
      <c r="E3639" t="str">
        <f>_xlfn.XLOOKUP(Vendas[[#This Row],[ID Item Vendido]],Agregado[ID],Agregado[Produto])</f>
        <v>Barra de aço simples</v>
      </c>
      <c r="F3639" s="39">
        <v>45480</v>
      </c>
      <c r="G3639" s="7">
        <v>64</v>
      </c>
      <c r="H3639" s="3">
        <f>_xlfn.XLOOKUP(Vendas[[#This Row],[ID Item Vendido]],Agregado[ID],Agregado[Revenda])</f>
        <v>4.8</v>
      </c>
      <c r="I3639" s="3">
        <f>Vendas[[#This Row],[Valor Unitário]]*Vendas[[#This Row],[Qnt Vendida]]</f>
        <v>307.2</v>
      </c>
      <c r="J3639" s="3">
        <f>Vendas[[#This Row],[Valor da Venda]]-(_xlfn.XLOOKUP(Vendas[[#This Row],[ID Item Vendido]],Agregado[ID],Agregado[Custo])*Vendas[[#This Row],[Qnt Vendida]])</f>
        <v>38.399999999999977</v>
      </c>
      <c r="K3639" s="70">
        <f>Vendas[[#This Row],[Lucro da Venda]]/Vendas[[#This Row],[Valor da Venda]]</f>
        <v>0.12499999999999993</v>
      </c>
      <c r="L3639" s="3">
        <f>_xlfn.IFS(Vendas[[#This Row],[Margem de Lucro (%)]]&lt;15%,Vendas[[#This Row],[Valor da Venda]]*3%,Vendas[[#This Row],[Margem de Lucro (%)]]&lt;=20%,Vendas[[#This Row],[Valor da Venda]]*4.5%,TRUE,Vendas[[#This Row],[Valor da Venda]]*6%)</f>
        <v>9.2159999999999993</v>
      </c>
      <c r="M3639"/>
    </row>
    <row r="3640" spans="1:13" x14ac:dyDescent="0.3">
      <c r="A3640" s="7">
        <v>400246</v>
      </c>
      <c r="B3640" t="str">
        <f>_xlfn.XLOOKUP(Vendas[[#This Row],[ID Vendedor]],Vendedores[ID],Vendedores[Nome])</f>
        <v>Juliana</v>
      </c>
      <c r="C3640" s="7" t="str">
        <f>_xlfn.XLOOKUP(Vendas[[#This Row],[ID Vendedor]],Vendedores[ID],Vendedores[Setor])</f>
        <v>AHD</v>
      </c>
      <c r="D3640" s="7" t="s">
        <v>9</v>
      </c>
      <c r="E3640" t="str">
        <f>_xlfn.XLOOKUP(Vendas[[#This Row],[ID Item Vendido]],Agregado[ID],Agregado[Produto])</f>
        <v>Barra de aço simples</v>
      </c>
      <c r="F3640" s="39">
        <v>45480</v>
      </c>
      <c r="G3640" s="7">
        <v>45</v>
      </c>
      <c r="H3640" s="3">
        <f>_xlfn.XLOOKUP(Vendas[[#This Row],[ID Item Vendido]],Agregado[ID],Agregado[Revenda])</f>
        <v>6.7</v>
      </c>
      <c r="I3640" s="3">
        <f>Vendas[[#This Row],[Valor Unitário]]*Vendas[[#This Row],[Qnt Vendida]]</f>
        <v>301.5</v>
      </c>
      <c r="J3640" s="3">
        <f>Vendas[[#This Row],[Valor da Venda]]-(_xlfn.XLOOKUP(Vendas[[#This Row],[ID Item Vendido]],Agregado[ID],Agregado[Custo])*Vendas[[#This Row],[Qnt Vendida]])</f>
        <v>40.5</v>
      </c>
      <c r="K3640" s="70">
        <f>Vendas[[#This Row],[Lucro da Venda]]/Vendas[[#This Row],[Valor da Venda]]</f>
        <v>0.13432835820895522</v>
      </c>
      <c r="L3640" s="3">
        <f>_xlfn.IFS(Vendas[[#This Row],[Margem de Lucro (%)]]&lt;15%,Vendas[[#This Row],[Valor da Venda]]*3%,Vendas[[#This Row],[Margem de Lucro (%)]]&lt;=20%,Vendas[[#This Row],[Valor da Venda]]*4.5%,TRUE,Vendas[[#This Row],[Valor da Venda]]*6%)</f>
        <v>9.0449999999999999</v>
      </c>
      <c r="M3640"/>
    </row>
    <row r="3641" spans="1:13" x14ac:dyDescent="0.3">
      <c r="A3641" s="7">
        <v>400252</v>
      </c>
      <c r="B3641" t="str">
        <f>_xlfn.XLOOKUP(Vendas[[#This Row],[ID Vendedor]],Vendedores[ID],Vendedores[Nome])</f>
        <v>Renata</v>
      </c>
      <c r="C3641" s="7" t="str">
        <f>_xlfn.XLOOKUP(Vendas[[#This Row],[ID Vendedor]],Vendedores[ID],Vendedores[Setor])</f>
        <v>AB</v>
      </c>
      <c r="D3641" s="7" t="s">
        <v>37</v>
      </c>
      <c r="E3641" t="str">
        <f>_xlfn.XLOOKUP(Vendas[[#This Row],[ID Item Vendido]],Agregado[ID],Agregado[Produto])</f>
        <v>Composto de borracha para vedação rolo 10m</v>
      </c>
      <c r="F3641" s="39">
        <v>45480</v>
      </c>
      <c r="G3641" s="7">
        <v>2</v>
      </c>
      <c r="H3641" s="3">
        <f>_xlfn.XLOOKUP(Vendas[[#This Row],[ID Item Vendido]],Agregado[ID],Agregado[Revenda])</f>
        <v>51.2</v>
      </c>
      <c r="I3641" s="3">
        <f>Vendas[[#This Row],[Valor Unitário]]*Vendas[[#This Row],[Qnt Vendida]]</f>
        <v>102.4</v>
      </c>
      <c r="J3641" s="3">
        <f>Vendas[[#This Row],[Valor da Venda]]-(_xlfn.XLOOKUP(Vendas[[#This Row],[ID Item Vendido]],Agregado[ID],Agregado[Custo])*Vendas[[#This Row],[Qnt Vendida]])</f>
        <v>22.400000000000006</v>
      </c>
      <c r="K3641" s="70">
        <f>Vendas[[#This Row],[Lucro da Venda]]/Vendas[[#This Row],[Valor da Venda]]</f>
        <v>0.21875000000000006</v>
      </c>
      <c r="L3641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3641"/>
    </row>
    <row r="3642" spans="1:13" x14ac:dyDescent="0.3">
      <c r="A3642" s="7">
        <v>400245</v>
      </c>
      <c r="B3642" t="str">
        <f>_xlfn.XLOOKUP(Vendas[[#This Row],[ID Vendedor]],Vendedores[ID],Vendedores[Nome])</f>
        <v>Thiago</v>
      </c>
      <c r="C3642" s="7" t="str">
        <f>_xlfn.XLOOKUP(Vendas[[#This Row],[ID Vendedor]],Vendedores[ID],Vendedores[Setor])</f>
        <v>AHD</v>
      </c>
      <c r="D3642" s="7" t="s">
        <v>18</v>
      </c>
      <c r="E3642" t="str">
        <f>_xlfn.XLOOKUP(Vendas[[#This Row],[ID Item Vendido]],Agregado[ID],Agregado[Produto])</f>
        <v>Peça forjada sob encomenda</v>
      </c>
      <c r="F3642" s="39">
        <v>45481</v>
      </c>
      <c r="G3642" s="7">
        <v>6</v>
      </c>
      <c r="H3642" s="3">
        <f>_xlfn.XLOOKUP(Vendas[[#This Row],[ID Item Vendido]],Agregado[ID],Agregado[Revenda])</f>
        <v>264.60000000000002</v>
      </c>
      <c r="I3642" s="3">
        <f>Vendas[[#This Row],[Valor Unitário]]*Vendas[[#This Row],[Qnt Vendida]]</f>
        <v>1587.6000000000001</v>
      </c>
      <c r="J3642" s="3">
        <f>Vendas[[#This Row],[Valor da Venda]]-(_xlfn.XLOOKUP(Vendas[[#This Row],[ID Item Vendido]],Agregado[ID],Agregado[Custo])*Vendas[[#This Row],[Qnt Vendida]])</f>
        <v>87.600000000000136</v>
      </c>
      <c r="K3642" s="70">
        <f>Vendas[[#This Row],[Lucro da Venda]]/Vendas[[#This Row],[Valor da Venda]]</f>
        <v>5.5177626606198113E-2</v>
      </c>
      <c r="L364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642"/>
    </row>
    <row r="3643" spans="1:13" x14ac:dyDescent="0.3">
      <c r="A3643" s="7">
        <v>400246</v>
      </c>
      <c r="B3643" t="str">
        <f>_xlfn.XLOOKUP(Vendas[[#This Row],[ID Vendedor]],Vendedores[ID],Vendedores[Nome])</f>
        <v>Juliana</v>
      </c>
      <c r="C3643" s="7" t="str">
        <f>_xlfn.XLOOKUP(Vendas[[#This Row],[ID Vendedor]],Vendedores[ID],Vendedores[Setor])</f>
        <v>AHD</v>
      </c>
      <c r="D3643" s="7" t="s">
        <v>18</v>
      </c>
      <c r="E3643" t="str">
        <f>_xlfn.XLOOKUP(Vendas[[#This Row],[ID Item Vendido]],Agregado[ID],Agregado[Produto])</f>
        <v>Peça forjada sob encomenda</v>
      </c>
      <c r="F3643" s="39">
        <v>45481</v>
      </c>
      <c r="G3643" s="7">
        <v>5</v>
      </c>
      <c r="H3643" s="3">
        <f>_xlfn.XLOOKUP(Vendas[[#This Row],[ID Item Vendido]],Agregado[ID],Agregado[Revenda])</f>
        <v>264.60000000000002</v>
      </c>
      <c r="I3643" s="3">
        <f>Vendas[[#This Row],[Valor Unitário]]*Vendas[[#This Row],[Qnt Vendida]]</f>
        <v>1323</v>
      </c>
      <c r="J3643" s="3">
        <f>Vendas[[#This Row],[Valor da Venda]]-(_xlfn.XLOOKUP(Vendas[[#This Row],[ID Item Vendido]],Agregado[ID],Agregado[Custo])*Vendas[[#This Row],[Qnt Vendida]])</f>
        <v>73</v>
      </c>
      <c r="K3643" s="70">
        <f>Vendas[[#This Row],[Lucro da Venda]]/Vendas[[#This Row],[Valor da Venda]]</f>
        <v>5.5177626606198037E-2</v>
      </c>
      <c r="L3643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643"/>
    </row>
    <row r="3644" spans="1:13" x14ac:dyDescent="0.3">
      <c r="A3644" s="7">
        <v>400247</v>
      </c>
      <c r="B3644" t="str">
        <f>_xlfn.XLOOKUP(Vendas[[#This Row],[ID Vendedor]],Vendedores[ID],Vendedores[Nome])</f>
        <v>André</v>
      </c>
      <c r="C3644" s="7" t="str">
        <f>_xlfn.XLOOKUP(Vendas[[#This Row],[ID Vendedor]],Vendedores[ID],Vendedores[Setor])</f>
        <v>CM</v>
      </c>
      <c r="D3644" s="7" t="s">
        <v>45</v>
      </c>
      <c r="E3644" t="str">
        <f>_xlfn.XLOOKUP(Vendas[[#This Row],[ID Item Vendido]],Agregado[ID],Agregado[Produto])</f>
        <v>Viga de madeira tratada 4m</v>
      </c>
      <c r="F3644" s="39">
        <v>45481</v>
      </c>
      <c r="G3644" s="7">
        <v>16</v>
      </c>
      <c r="H3644" s="3">
        <f>_xlfn.XLOOKUP(Vendas[[#This Row],[ID Item Vendido]],Agregado[ID],Agregado[Revenda])</f>
        <v>66</v>
      </c>
      <c r="I3644" s="3">
        <f>Vendas[[#This Row],[Valor Unitário]]*Vendas[[#This Row],[Qnt Vendida]]</f>
        <v>1056</v>
      </c>
      <c r="J3644" s="3">
        <f>Vendas[[#This Row],[Valor da Venda]]-(_xlfn.XLOOKUP(Vendas[[#This Row],[ID Item Vendido]],Agregado[ID],Agregado[Custo])*Vendas[[#This Row],[Qnt Vendida]])</f>
        <v>176</v>
      </c>
      <c r="K3644" s="70">
        <f>Vendas[[#This Row],[Lucro da Venda]]/Vendas[[#This Row],[Valor da Venda]]</f>
        <v>0.16666666666666666</v>
      </c>
      <c r="L3644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3644"/>
    </row>
    <row r="3645" spans="1:13" x14ac:dyDescent="0.3">
      <c r="A3645" s="7">
        <v>400252</v>
      </c>
      <c r="B3645" t="str">
        <f>_xlfn.XLOOKUP(Vendas[[#This Row],[ID Vendedor]],Vendedores[ID],Vendedores[Nome])</f>
        <v>Renata</v>
      </c>
      <c r="C3645" s="7" t="str">
        <f>_xlfn.XLOOKUP(Vendas[[#This Row],[ID Vendedor]],Vendedores[ID],Vendedores[Setor])</f>
        <v>AB</v>
      </c>
      <c r="D3645" s="7" t="s">
        <v>36</v>
      </c>
      <c r="E3645" t="str">
        <f>_xlfn.XLOOKUP(Vendas[[#This Row],[ID Item Vendido]],Agregado[ID],Agregado[Produto])</f>
        <v>Borracha vulcanizada em manta</v>
      </c>
      <c r="F3645" s="39">
        <v>45481</v>
      </c>
      <c r="G3645" s="7">
        <v>92</v>
      </c>
      <c r="H3645" s="3">
        <f>_xlfn.XLOOKUP(Vendas[[#This Row],[ID Item Vendido]],Agregado[ID],Agregado[Revenda])</f>
        <v>7.8</v>
      </c>
      <c r="I3645" s="3">
        <f>Vendas[[#This Row],[Valor Unitário]]*Vendas[[#This Row],[Qnt Vendida]]</f>
        <v>717.6</v>
      </c>
      <c r="J3645" s="3">
        <f>Vendas[[#This Row],[Valor da Venda]]-(_xlfn.XLOOKUP(Vendas[[#This Row],[ID Item Vendido]],Agregado[ID],Agregado[Custo])*Vendas[[#This Row],[Qnt Vendida]])</f>
        <v>165.60000000000002</v>
      </c>
      <c r="K3645" s="70">
        <f>Vendas[[#This Row],[Lucro da Venda]]/Vendas[[#This Row],[Valor da Venda]]</f>
        <v>0.23076923076923078</v>
      </c>
      <c r="L3645" s="3">
        <f>_xlfn.IFS(Vendas[[#This Row],[Margem de Lucro (%)]]&lt;15%,Vendas[[#This Row],[Valor da Venda]]*3%,Vendas[[#This Row],[Margem de Lucro (%)]]&lt;=20%,Vendas[[#This Row],[Valor da Venda]]*4.5%,TRUE,Vendas[[#This Row],[Valor da Venda]]*6%)</f>
        <v>43.055999999999997</v>
      </c>
      <c r="M3645"/>
    </row>
    <row r="3646" spans="1:13" x14ac:dyDescent="0.3">
      <c r="A3646" s="7">
        <v>400243</v>
      </c>
      <c r="B3646" t="str">
        <f>_xlfn.XLOOKUP(Vendas[[#This Row],[ID Vendedor]],Vendedores[ID],Vendedores[Nome])</f>
        <v>Marcelo</v>
      </c>
      <c r="C3646" s="7" t="str">
        <f>_xlfn.XLOOKUP(Vendas[[#This Row],[ID Vendedor]],Vendedores[ID],Vendedores[Setor])</f>
        <v>FM</v>
      </c>
      <c r="D3646" s="7" t="s">
        <v>31</v>
      </c>
      <c r="E3646" t="str">
        <f>_xlfn.XLOOKUP(Vendas[[#This Row],[ID Item Vendido]],Agregado[ID],Agregado[Produto])</f>
        <v>Tela de metal soldada rolo 2x25m</v>
      </c>
      <c r="F3646" s="39">
        <v>45481</v>
      </c>
      <c r="G3646" s="7">
        <v>5</v>
      </c>
      <c r="H3646" s="3">
        <f>_xlfn.XLOOKUP(Vendas[[#This Row],[ID Item Vendido]],Agregado[ID],Agregado[Revenda])</f>
        <v>43.7</v>
      </c>
      <c r="I3646" s="3">
        <f>Vendas[[#This Row],[Valor Unitário]]*Vendas[[#This Row],[Qnt Vendida]]</f>
        <v>218.5</v>
      </c>
      <c r="J3646" s="3">
        <f>Vendas[[#This Row],[Valor da Venda]]-(_xlfn.XLOOKUP(Vendas[[#This Row],[ID Item Vendido]],Agregado[ID],Agregado[Custo])*Vendas[[#This Row],[Qnt Vendida]])</f>
        <v>28.5</v>
      </c>
      <c r="K3646" s="70">
        <f>Vendas[[#This Row],[Lucro da Venda]]/Vendas[[#This Row],[Valor da Venda]]</f>
        <v>0.13043478260869565</v>
      </c>
      <c r="L3646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3646"/>
    </row>
    <row r="3647" spans="1:13" x14ac:dyDescent="0.3">
      <c r="A3647" s="7">
        <v>400252</v>
      </c>
      <c r="B3647" t="str">
        <f>_xlfn.XLOOKUP(Vendas[[#This Row],[ID Vendedor]],Vendedores[ID],Vendedores[Nome])</f>
        <v>Renata</v>
      </c>
      <c r="C3647" s="7" t="str">
        <f>_xlfn.XLOOKUP(Vendas[[#This Row],[ID Vendedor]],Vendedores[ID],Vendedores[Setor])</f>
        <v>AB</v>
      </c>
      <c r="D3647" s="7" t="s">
        <v>37</v>
      </c>
      <c r="E3647" t="str">
        <f>_xlfn.XLOOKUP(Vendas[[#This Row],[ID Item Vendido]],Agregado[ID],Agregado[Produto])</f>
        <v>Composto de borracha para vedação rolo 10m</v>
      </c>
      <c r="F3647" s="39">
        <v>45482</v>
      </c>
      <c r="G3647" s="7">
        <v>20</v>
      </c>
      <c r="H3647" s="3">
        <f>_xlfn.XLOOKUP(Vendas[[#This Row],[ID Item Vendido]],Agregado[ID],Agregado[Revenda])</f>
        <v>51.2</v>
      </c>
      <c r="I3647" s="3">
        <f>Vendas[[#This Row],[Valor Unitário]]*Vendas[[#This Row],[Qnt Vendida]]</f>
        <v>1024</v>
      </c>
      <c r="J3647" s="3">
        <f>Vendas[[#This Row],[Valor da Venda]]-(_xlfn.XLOOKUP(Vendas[[#This Row],[ID Item Vendido]],Agregado[ID],Agregado[Custo])*Vendas[[#This Row],[Qnt Vendida]])</f>
        <v>224</v>
      </c>
      <c r="K3647" s="70">
        <f>Vendas[[#This Row],[Lucro da Venda]]/Vendas[[#This Row],[Valor da Venda]]</f>
        <v>0.21875</v>
      </c>
      <c r="L3647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3647"/>
    </row>
    <row r="3648" spans="1:13" x14ac:dyDescent="0.3">
      <c r="A3648" s="7">
        <v>400254</v>
      </c>
      <c r="B3648" t="str">
        <f>_xlfn.XLOOKUP(Vendas[[#This Row],[ID Vendedor]],Vendedores[ID],Vendedores[Nome])</f>
        <v>Beatriz</v>
      </c>
      <c r="C3648" s="7" t="str">
        <f>_xlfn.XLOOKUP(Vendas[[#This Row],[ID Vendedor]],Vendedores[ID],Vendedores[Setor])</f>
        <v>SC</v>
      </c>
      <c r="D3648" s="7" t="s">
        <v>14</v>
      </c>
      <c r="E3648" t="str">
        <f>_xlfn.XLOOKUP(Vendas[[#This Row],[ID Item Vendido]],Agregado[ID],Agregado[Produto])</f>
        <v>Barril de plástico 200L</v>
      </c>
      <c r="F3648" s="39">
        <v>45482</v>
      </c>
      <c r="G3648" s="7">
        <v>8</v>
      </c>
      <c r="H3648" s="3">
        <f>_xlfn.XLOOKUP(Vendas[[#This Row],[ID Item Vendido]],Agregado[ID],Agregado[Revenda])</f>
        <v>114</v>
      </c>
      <c r="I3648" s="3">
        <f>Vendas[[#This Row],[Valor Unitário]]*Vendas[[#This Row],[Qnt Vendida]]</f>
        <v>912</v>
      </c>
      <c r="J3648" s="3">
        <f>Vendas[[#This Row],[Valor da Venda]]-(_xlfn.XLOOKUP(Vendas[[#This Row],[ID Item Vendido]],Agregado[ID],Agregado[Custo])*Vendas[[#This Row],[Qnt Vendida]])</f>
        <v>152</v>
      </c>
      <c r="K3648" s="70">
        <f>Vendas[[#This Row],[Lucro da Venda]]/Vendas[[#This Row],[Valor da Venda]]</f>
        <v>0.16666666666666666</v>
      </c>
      <c r="L3648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3648"/>
    </row>
    <row r="3649" spans="1:13" x14ac:dyDescent="0.3">
      <c r="A3649" s="7">
        <v>400252</v>
      </c>
      <c r="B3649" t="str">
        <f>_xlfn.XLOOKUP(Vendas[[#This Row],[ID Vendedor]],Vendedores[ID],Vendedores[Nome])</f>
        <v>Renata</v>
      </c>
      <c r="C3649" s="7" t="str">
        <f>_xlfn.XLOOKUP(Vendas[[#This Row],[ID Vendedor]],Vendedores[ID],Vendedores[Setor])</f>
        <v>AB</v>
      </c>
      <c r="D3649" s="7" t="s">
        <v>39</v>
      </c>
      <c r="E3649" t="str">
        <f>_xlfn.XLOOKUP(Vendas[[#This Row],[ID Item Vendido]],Agregado[ID],Agregado[Produto])</f>
        <v>Filme plástico industrial rolo 50m</v>
      </c>
      <c r="F3649" s="39">
        <v>45482</v>
      </c>
      <c r="G3649" s="7">
        <v>17</v>
      </c>
      <c r="H3649" s="3">
        <f>_xlfn.XLOOKUP(Vendas[[#This Row],[ID Item Vendido]],Agregado[ID],Agregado[Revenda])</f>
        <v>37</v>
      </c>
      <c r="I3649" s="3">
        <f>Vendas[[#This Row],[Valor Unitário]]*Vendas[[#This Row],[Qnt Vendida]]</f>
        <v>629</v>
      </c>
      <c r="J3649" s="3">
        <f>Vendas[[#This Row],[Valor da Venda]]-(_xlfn.XLOOKUP(Vendas[[#This Row],[ID Item Vendido]],Agregado[ID],Agregado[Custo])*Vendas[[#This Row],[Qnt Vendida]])</f>
        <v>153</v>
      </c>
      <c r="K3649" s="70">
        <f>Vendas[[#This Row],[Lucro da Venda]]/Vendas[[#This Row],[Valor da Venda]]</f>
        <v>0.24324324324324326</v>
      </c>
      <c r="L3649" s="3">
        <f>_xlfn.IFS(Vendas[[#This Row],[Margem de Lucro (%)]]&lt;15%,Vendas[[#This Row],[Valor da Venda]]*3%,Vendas[[#This Row],[Margem de Lucro (%)]]&lt;=20%,Vendas[[#This Row],[Valor da Venda]]*4.5%,TRUE,Vendas[[#This Row],[Valor da Venda]]*6%)</f>
        <v>37.74</v>
      </c>
      <c r="M3649"/>
    </row>
    <row r="3650" spans="1:13" x14ac:dyDescent="0.3">
      <c r="A3650" s="7">
        <v>400250</v>
      </c>
      <c r="B3650" t="str">
        <f>_xlfn.XLOOKUP(Vendas[[#This Row],[ID Vendedor]],Vendedores[ID],Vendedores[Nome])</f>
        <v>Larissa</v>
      </c>
      <c r="C3650" s="7" t="str">
        <f>_xlfn.XLOOKUP(Vendas[[#This Row],[ID Vendedor]],Vendedores[ID],Vendedores[Setor])</f>
        <v>AB</v>
      </c>
      <c r="D3650" s="7" t="s">
        <v>12</v>
      </c>
      <c r="E3650" t="str">
        <f>_xlfn.XLOOKUP(Vendas[[#This Row],[ID Item Vendido]],Agregado[ID],Agregado[Produto])</f>
        <v>Grânulo de plástico reciclado refinado</v>
      </c>
      <c r="F3650" s="39">
        <v>45482</v>
      </c>
      <c r="G3650" s="7">
        <v>108</v>
      </c>
      <c r="H3650" s="3">
        <f>_xlfn.XLOOKUP(Vendas[[#This Row],[ID Item Vendido]],Agregado[ID],Agregado[Revenda])</f>
        <v>4.7</v>
      </c>
      <c r="I3650" s="3">
        <f>Vendas[[#This Row],[Valor Unitário]]*Vendas[[#This Row],[Qnt Vendida]]</f>
        <v>507.6</v>
      </c>
      <c r="J3650" s="3">
        <f>Vendas[[#This Row],[Valor da Venda]]-(_xlfn.XLOOKUP(Vendas[[#This Row],[ID Item Vendido]],Agregado[ID],Agregado[Custo])*Vendas[[#This Row],[Qnt Vendida]])</f>
        <v>129.60000000000002</v>
      </c>
      <c r="K3650" s="70">
        <f>Vendas[[#This Row],[Lucro da Venda]]/Vendas[[#This Row],[Valor da Venda]]</f>
        <v>0.25531914893617025</v>
      </c>
      <c r="L3650" s="3">
        <f>_xlfn.IFS(Vendas[[#This Row],[Margem de Lucro (%)]]&lt;15%,Vendas[[#This Row],[Valor da Venda]]*3%,Vendas[[#This Row],[Margem de Lucro (%)]]&lt;=20%,Vendas[[#This Row],[Valor da Venda]]*4.5%,TRUE,Vendas[[#This Row],[Valor da Venda]]*6%)</f>
        <v>30.456</v>
      </c>
      <c r="M3650"/>
    </row>
    <row r="3651" spans="1:13" x14ac:dyDescent="0.3">
      <c r="A3651" s="7">
        <v>400252</v>
      </c>
      <c r="B3651" t="str">
        <f>_xlfn.XLOOKUP(Vendas[[#This Row],[ID Vendedor]],Vendedores[ID],Vendedores[Nome])</f>
        <v>Renata</v>
      </c>
      <c r="C3651" s="7" t="str">
        <f>_xlfn.XLOOKUP(Vendas[[#This Row],[ID Vendedor]],Vendedores[ID],Vendedores[Setor])</f>
        <v>AB</v>
      </c>
      <c r="D3651" s="7" t="s">
        <v>12</v>
      </c>
      <c r="E3651" t="str">
        <f>_xlfn.XLOOKUP(Vendas[[#This Row],[ID Item Vendido]],Agregado[ID],Agregado[Produto])</f>
        <v>Grânulo de plástico reciclado refinado</v>
      </c>
      <c r="F3651" s="39">
        <v>45482</v>
      </c>
      <c r="G3651" s="7">
        <v>41</v>
      </c>
      <c r="H3651" s="3">
        <f>_xlfn.XLOOKUP(Vendas[[#This Row],[ID Item Vendido]],Agregado[ID],Agregado[Revenda])</f>
        <v>4.7</v>
      </c>
      <c r="I3651" s="3">
        <f>Vendas[[#This Row],[Valor Unitário]]*Vendas[[#This Row],[Qnt Vendida]]</f>
        <v>192.70000000000002</v>
      </c>
      <c r="J3651" s="3">
        <f>Vendas[[#This Row],[Valor da Venda]]-(_xlfn.XLOOKUP(Vendas[[#This Row],[ID Item Vendido]],Agregado[ID],Agregado[Custo])*Vendas[[#This Row],[Qnt Vendida]])</f>
        <v>49.200000000000017</v>
      </c>
      <c r="K3651" s="70">
        <f>Vendas[[#This Row],[Lucro da Venda]]/Vendas[[#This Row],[Valor da Venda]]</f>
        <v>0.2553191489361703</v>
      </c>
      <c r="L3651" s="3">
        <f>_xlfn.IFS(Vendas[[#This Row],[Margem de Lucro (%)]]&lt;15%,Vendas[[#This Row],[Valor da Venda]]*3%,Vendas[[#This Row],[Margem de Lucro (%)]]&lt;=20%,Vendas[[#This Row],[Valor da Venda]]*4.5%,TRUE,Vendas[[#This Row],[Valor da Venda]]*6%)</f>
        <v>11.562000000000001</v>
      </c>
      <c r="M3651"/>
    </row>
    <row r="3652" spans="1:13" x14ac:dyDescent="0.3">
      <c r="A3652" s="7">
        <v>400254</v>
      </c>
      <c r="B3652" t="str">
        <f>_xlfn.XLOOKUP(Vendas[[#This Row],[ID Vendedor]],Vendedores[ID],Vendedores[Nome])</f>
        <v>Beatriz</v>
      </c>
      <c r="C3652" s="7" t="str">
        <f>_xlfn.XLOOKUP(Vendas[[#This Row],[ID Vendedor]],Vendedores[ID],Vendedores[Setor])</f>
        <v>SC</v>
      </c>
      <c r="D3652" s="7" t="s">
        <v>42</v>
      </c>
      <c r="E3652" t="str">
        <f>_xlfn.XLOOKUP(Vendas[[#This Row],[ID Item Vendido]],Agregado[ID],Agregado[Produto])</f>
        <v>Container de ferro industrial</v>
      </c>
      <c r="F3652" s="39">
        <v>45483</v>
      </c>
      <c r="G3652" s="7">
        <v>2</v>
      </c>
      <c r="H3652" s="3">
        <f>_xlfn.XLOOKUP(Vendas[[#This Row],[ID Item Vendido]],Agregado[ID],Agregado[Revenda])</f>
        <v>830</v>
      </c>
      <c r="I3652" s="3">
        <f>Vendas[[#This Row],[Valor Unitário]]*Vendas[[#This Row],[Qnt Vendida]]</f>
        <v>1660</v>
      </c>
      <c r="J3652" s="3">
        <f>Vendas[[#This Row],[Valor da Venda]]-(_xlfn.XLOOKUP(Vendas[[#This Row],[ID Item Vendido]],Agregado[ID],Agregado[Custo])*Vendas[[#This Row],[Qnt Vendida]])</f>
        <v>300</v>
      </c>
      <c r="K3652" s="70">
        <f>Vendas[[#This Row],[Lucro da Venda]]/Vendas[[#This Row],[Valor da Venda]]</f>
        <v>0.18072289156626506</v>
      </c>
      <c r="L365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652"/>
    </row>
    <row r="3653" spans="1:13" x14ac:dyDescent="0.3">
      <c r="A3653" s="7">
        <v>400249</v>
      </c>
      <c r="B3653" t="str">
        <f>_xlfn.XLOOKUP(Vendas[[#This Row],[ID Vendedor]],Vendedores[ID],Vendedores[Nome])</f>
        <v>Bruno</v>
      </c>
      <c r="C3653" s="7" t="str">
        <f>_xlfn.XLOOKUP(Vendas[[#This Row],[ID Vendedor]],Vendedores[ID],Vendedores[Setor])</f>
        <v>CM</v>
      </c>
      <c r="D3653" s="7" t="s">
        <v>22</v>
      </c>
      <c r="E3653" t="str">
        <f>_xlfn.XLOOKUP(Vendas[[#This Row],[ID Item Vendido]],Agregado[ID],Agregado[Produto])</f>
        <v>Painel MDP 2,75x1,83m</v>
      </c>
      <c r="F3653" s="39">
        <v>45483</v>
      </c>
      <c r="G3653" s="7">
        <v>9</v>
      </c>
      <c r="H3653" s="3">
        <f>_xlfn.XLOOKUP(Vendas[[#This Row],[ID Item Vendido]],Agregado[ID],Agregado[Revenda])</f>
        <v>119</v>
      </c>
      <c r="I3653" s="3">
        <f>Vendas[[#This Row],[Valor Unitário]]*Vendas[[#This Row],[Qnt Vendida]]</f>
        <v>1071</v>
      </c>
      <c r="J3653" s="3">
        <f>Vendas[[#This Row],[Valor da Venda]]-(_xlfn.XLOOKUP(Vendas[[#This Row],[ID Item Vendido]],Agregado[ID],Agregado[Custo])*Vendas[[#This Row],[Qnt Vendida]])</f>
        <v>216</v>
      </c>
      <c r="K3653" s="70">
        <f>Vendas[[#This Row],[Lucro da Venda]]/Vendas[[#This Row],[Valor da Venda]]</f>
        <v>0.20168067226890757</v>
      </c>
      <c r="L3653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3653"/>
    </row>
    <row r="3654" spans="1:13" x14ac:dyDescent="0.3">
      <c r="A3654" s="7">
        <v>400247</v>
      </c>
      <c r="B3654" t="str">
        <f>_xlfn.XLOOKUP(Vendas[[#This Row],[ID Vendedor]],Vendedores[ID],Vendedores[Nome])</f>
        <v>André</v>
      </c>
      <c r="C3654" s="7" t="str">
        <f>_xlfn.XLOOKUP(Vendas[[#This Row],[ID Vendedor]],Vendedores[ID],Vendedores[Setor])</f>
        <v>CM</v>
      </c>
      <c r="D3654" s="7" t="s">
        <v>32</v>
      </c>
      <c r="E3654" t="str">
        <f>_xlfn.XLOOKUP(Vendas[[#This Row],[ID Item Vendido]],Agregado[ID],Agregado[Produto])</f>
        <v>Tábua tratada e cortada 3m</v>
      </c>
      <c r="F3654" s="39">
        <v>45483</v>
      </c>
      <c r="G3654" s="7">
        <v>21</v>
      </c>
      <c r="H3654" s="3">
        <f>_xlfn.XLOOKUP(Vendas[[#This Row],[ID Item Vendido]],Agregado[ID],Agregado[Revenda])</f>
        <v>39</v>
      </c>
      <c r="I3654" s="3">
        <f>Vendas[[#This Row],[Valor Unitário]]*Vendas[[#This Row],[Qnt Vendida]]</f>
        <v>819</v>
      </c>
      <c r="J3654" s="3">
        <f>Vendas[[#This Row],[Valor da Venda]]-(_xlfn.XLOOKUP(Vendas[[#This Row],[ID Item Vendido]],Agregado[ID],Agregado[Custo])*Vendas[[#This Row],[Qnt Vendida]])</f>
        <v>147</v>
      </c>
      <c r="K3654" s="70">
        <f>Vendas[[#This Row],[Lucro da Venda]]/Vendas[[#This Row],[Valor da Venda]]</f>
        <v>0.17948717948717949</v>
      </c>
      <c r="L3654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3654"/>
    </row>
    <row r="3655" spans="1:13" x14ac:dyDescent="0.3">
      <c r="A3655" s="7">
        <v>400248</v>
      </c>
      <c r="B3655" t="str">
        <f>_xlfn.XLOOKUP(Vendas[[#This Row],[ID Vendedor]],Vendedores[ID],Vendedores[Nome])</f>
        <v>Patrícia</v>
      </c>
      <c r="C3655" s="7" t="str">
        <f>_xlfn.XLOOKUP(Vendas[[#This Row],[ID Vendedor]],Vendedores[ID],Vendedores[Setor])</f>
        <v>CM</v>
      </c>
      <c r="D3655" s="7" t="s">
        <v>45</v>
      </c>
      <c r="E3655" t="str">
        <f>_xlfn.XLOOKUP(Vendas[[#This Row],[ID Item Vendido]],Agregado[ID],Agregado[Produto])</f>
        <v>Viga de madeira tratada 4m</v>
      </c>
      <c r="F3655" s="39">
        <v>45483</v>
      </c>
      <c r="G3655" s="7">
        <v>7</v>
      </c>
      <c r="H3655" s="3">
        <f>_xlfn.XLOOKUP(Vendas[[#This Row],[ID Item Vendido]],Agregado[ID],Agregado[Revenda])</f>
        <v>66</v>
      </c>
      <c r="I3655" s="3">
        <f>Vendas[[#This Row],[Valor Unitário]]*Vendas[[#This Row],[Qnt Vendida]]</f>
        <v>462</v>
      </c>
      <c r="J3655" s="3">
        <f>Vendas[[#This Row],[Valor da Venda]]-(_xlfn.XLOOKUP(Vendas[[#This Row],[ID Item Vendido]],Agregado[ID],Agregado[Custo])*Vendas[[#This Row],[Qnt Vendida]])</f>
        <v>77</v>
      </c>
      <c r="K3655" s="70">
        <f>Vendas[[#This Row],[Lucro da Venda]]/Vendas[[#This Row],[Valor da Venda]]</f>
        <v>0.16666666666666666</v>
      </c>
      <c r="L3655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3655"/>
    </row>
    <row r="3656" spans="1:13" x14ac:dyDescent="0.3">
      <c r="A3656" s="7">
        <v>400254</v>
      </c>
      <c r="B3656" t="str">
        <f>_xlfn.XLOOKUP(Vendas[[#This Row],[ID Vendedor]],Vendedores[ID],Vendedores[Nome])</f>
        <v>Beatriz</v>
      </c>
      <c r="C3656" s="7" t="str">
        <f>_xlfn.XLOOKUP(Vendas[[#This Row],[ID Vendedor]],Vendedores[ID],Vendedores[Setor])</f>
        <v>SC</v>
      </c>
      <c r="D3656" s="7" t="s">
        <v>48</v>
      </c>
      <c r="E3656" t="str">
        <f>_xlfn.XLOOKUP(Vendas[[#This Row],[ID Item Vendido]],Agregado[ID],Agregado[Produto])</f>
        <v>Tambor metálico 200L</v>
      </c>
      <c r="F3656" s="39">
        <v>45484</v>
      </c>
      <c r="G3656" s="7">
        <v>18</v>
      </c>
      <c r="H3656" s="3">
        <f>_xlfn.XLOOKUP(Vendas[[#This Row],[ID Item Vendido]],Agregado[ID],Agregado[Revenda])</f>
        <v>144</v>
      </c>
      <c r="I3656" s="3">
        <f>Vendas[[#This Row],[Valor Unitário]]*Vendas[[#This Row],[Qnt Vendida]]</f>
        <v>2592</v>
      </c>
      <c r="J3656" s="3">
        <f>Vendas[[#This Row],[Valor da Venda]]-(_xlfn.XLOOKUP(Vendas[[#This Row],[ID Item Vendido]],Agregado[ID],Agregado[Custo])*Vendas[[#This Row],[Qnt Vendida]])</f>
        <v>432</v>
      </c>
      <c r="K3656" s="70">
        <f>Vendas[[#This Row],[Lucro da Venda]]/Vendas[[#This Row],[Valor da Venda]]</f>
        <v>0.16666666666666666</v>
      </c>
      <c r="L3656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3656"/>
    </row>
    <row r="3657" spans="1:13" x14ac:dyDescent="0.3">
      <c r="A3657" s="7">
        <v>400249</v>
      </c>
      <c r="B3657" t="str">
        <f>_xlfn.XLOOKUP(Vendas[[#This Row],[ID Vendedor]],Vendedores[ID],Vendedores[Nome])</f>
        <v>Bruno</v>
      </c>
      <c r="C3657" s="7" t="str">
        <f>_xlfn.XLOOKUP(Vendas[[#This Row],[ID Vendedor]],Vendedores[ID],Vendedores[Setor])</f>
        <v>CM</v>
      </c>
      <c r="D3657" s="7" t="s">
        <v>43</v>
      </c>
      <c r="E3657" t="str">
        <f>_xlfn.XLOOKUP(Vendas[[#This Row],[ID Item Vendido]],Agregado[ID],Agregado[Produto])</f>
        <v>Madeira Bruta (Tora)</v>
      </c>
      <c r="F3657" s="39">
        <v>45484</v>
      </c>
      <c r="G3657" s="7">
        <v>7</v>
      </c>
      <c r="H3657" s="3">
        <f>_xlfn.XLOOKUP(Vendas[[#This Row],[ID Item Vendido]],Agregado[ID],Agregado[Revenda])</f>
        <v>212</v>
      </c>
      <c r="I3657" s="3">
        <f>Vendas[[#This Row],[Valor Unitário]]*Vendas[[#This Row],[Qnt Vendida]]</f>
        <v>1484</v>
      </c>
      <c r="J3657" s="3">
        <f>Vendas[[#This Row],[Valor da Venda]]-(_xlfn.XLOOKUP(Vendas[[#This Row],[ID Item Vendido]],Agregado[ID],Agregado[Custo])*Vendas[[#This Row],[Qnt Vendida]])</f>
        <v>224</v>
      </c>
      <c r="K3657" s="70">
        <f>Vendas[[#This Row],[Lucro da Venda]]/Vendas[[#This Row],[Valor da Venda]]</f>
        <v>0.15094339622641509</v>
      </c>
      <c r="L3657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657"/>
    </row>
    <row r="3658" spans="1:13" x14ac:dyDescent="0.3">
      <c r="A3658" s="7">
        <v>400246</v>
      </c>
      <c r="B3658" t="str">
        <f>_xlfn.XLOOKUP(Vendas[[#This Row],[ID Vendedor]],Vendedores[ID],Vendedores[Nome])</f>
        <v>Juliana</v>
      </c>
      <c r="C3658" s="7" t="str">
        <f>_xlfn.XLOOKUP(Vendas[[#This Row],[ID Vendedor]],Vendedores[ID],Vendedores[Setor])</f>
        <v>AHD</v>
      </c>
      <c r="D3658" s="7" t="s">
        <v>30</v>
      </c>
      <c r="E3658" t="str">
        <f>_xlfn.XLOOKUP(Vendas[[#This Row],[ID Item Vendido]],Agregado[ID],Agregado[Produto])</f>
        <v>Estrutura metálica soldada</v>
      </c>
      <c r="F3658" s="39">
        <v>45485</v>
      </c>
      <c r="G3658" s="7">
        <v>7</v>
      </c>
      <c r="H3658" s="3">
        <f>_xlfn.XLOOKUP(Vendas[[#This Row],[ID Item Vendido]],Agregado[ID],Agregado[Revenda])</f>
        <v>400</v>
      </c>
      <c r="I3658" s="3">
        <f>Vendas[[#This Row],[Valor Unitário]]*Vendas[[#This Row],[Qnt Vendida]]</f>
        <v>2800</v>
      </c>
      <c r="J3658" s="3">
        <f>Vendas[[#This Row],[Valor da Venda]]-(_xlfn.XLOOKUP(Vendas[[#This Row],[ID Item Vendido]],Agregado[ID],Agregado[Custo])*Vendas[[#This Row],[Qnt Vendida]])</f>
        <v>560</v>
      </c>
      <c r="K3658" s="70">
        <f>Vendas[[#This Row],[Lucro da Venda]]/Vendas[[#This Row],[Valor da Venda]]</f>
        <v>0.2</v>
      </c>
      <c r="L3658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3658"/>
    </row>
    <row r="3659" spans="1:13" x14ac:dyDescent="0.3">
      <c r="A3659" s="7">
        <v>400245</v>
      </c>
      <c r="B3659" t="str">
        <f>_xlfn.XLOOKUP(Vendas[[#This Row],[ID Vendedor]],Vendedores[ID],Vendedores[Nome])</f>
        <v>Thiago</v>
      </c>
      <c r="C3659" s="7" t="str">
        <f>_xlfn.XLOOKUP(Vendas[[#This Row],[ID Vendedor]],Vendedores[ID],Vendedores[Setor])</f>
        <v>AHD</v>
      </c>
      <c r="D3659" s="7" t="s">
        <v>30</v>
      </c>
      <c r="E3659" t="str">
        <f>_xlfn.XLOOKUP(Vendas[[#This Row],[ID Item Vendido]],Agregado[ID],Agregado[Produto])</f>
        <v>Estrutura metálica soldada</v>
      </c>
      <c r="F3659" s="39">
        <v>45485</v>
      </c>
      <c r="G3659" s="7">
        <v>3</v>
      </c>
      <c r="H3659" s="3">
        <f>_xlfn.XLOOKUP(Vendas[[#This Row],[ID Item Vendido]],Agregado[ID],Agregado[Revenda])</f>
        <v>400</v>
      </c>
      <c r="I3659" s="3">
        <f>Vendas[[#This Row],[Valor Unitário]]*Vendas[[#This Row],[Qnt Vendida]]</f>
        <v>1200</v>
      </c>
      <c r="J3659" s="3">
        <f>Vendas[[#This Row],[Valor da Venda]]-(_xlfn.XLOOKUP(Vendas[[#This Row],[ID Item Vendido]],Agregado[ID],Agregado[Custo])*Vendas[[#This Row],[Qnt Vendida]])</f>
        <v>240</v>
      </c>
      <c r="K3659" s="70">
        <f>Vendas[[#This Row],[Lucro da Venda]]/Vendas[[#This Row],[Valor da Venda]]</f>
        <v>0.2</v>
      </c>
      <c r="L3659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659"/>
    </row>
    <row r="3660" spans="1:13" x14ac:dyDescent="0.3">
      <c r="A3660" s="7">
        <v>400242</v>
      </c>
      <c r="B3660" t="str">
        <f>_xlfn.XLOOKUP(Vendas[[#This Row],[ID Vendedor]],Vendedores[ID],Vendedores[Nome])</f>
        <v>Fernanda</v>
      </c>
      <c r="C3660" s="7" t="str">
        <f>_xlfn.XLOOKUP(Vendas[[#This Row],[ID Vendedor]],Vendedores[ID],Vendedores[Setor])</f>
        <v>FM</v>
      </c>
      <c r="D3660" s="7" t="s">
        <v>47</v>
      </c>
      <c r="E3660" t="str">
        <f>_xlfn.XLOOKUP(Vendas[[#This Row],[ID Item Vendido]],Agregado[ID],Agregado[Produto])</f>
        <v>Fio de arame galvanizado rolo 50m</v>
      </c>
      <c r="F3660" s="39">
        <v>45485</v>
      </c>
      <c r="G3660" s="7">
        <v>34</v>
      </c>
      <c r="H3660" s="3">
        <f>_xlfn.XLOOKUP(Vendas[[#This Row],[ID Item Vendido]],Agregado[ID],Agregado[Revenda])</f>
        <v>21.2</v>
      </c>
      <c r="I3660" s="3">
        <f>Vendas[[#This Row],[Valor Unitário]]*Vendas[[#This Row],[Qnt Vendida]]</f>
        <v>720.8</v>
      </c>
      <c r="J3660" s="3">
        <f>Vendas[[#This Row],[Valor da Venda]]-(_xlfn.XLOOKUP(Vendas[[#This Row],[ID Item Vendido]],Agregado[ID],Agregado[Custo])*Vendas[[#This Row],[Qnt Vendida]])</f>
        <v>108.79999999999995</v>
      </c>
      <c r="K3660" s="70">
        <f>Vendas[[#This Row],[Lucro da Venda]]/Vendas[[#This Row],[Valor da Venda]]</f>
        <v>0.15094339622641503</v>
      </c>
      <c r="L3660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3660"/>
    </row>
    <row r="3661" spans="1:13" x14ac:dyDescent="0.3">
      <c r="A3661" s="7">
        <v>400252</v>
      </c>
      <c r="B3661" t="str">
        <f>_xlfn.XLOOKUP(Vendas[[#This Row],[ID Vendedor]],Vendedores[ID],Vendedores[Nome])</f>
        <v>Renata</v>
      </c>
      <c r="C3661" s="7" t="str">
        <f>_xlfn.XLOOKUP(Vendas[[#This Row],[ID Vendedor]],Vendedores[ID],Vendedores[Setor])</f>
        <v>AB</v>
      </c>
      <c r="D3661" s="7" t="s">
        <v>36</v>
      </c>
      <c r="E3661" t="str">
        <f>_xlfn.XLOOKUP(Vendas[[#This Row],[ID Item Vendido]],Agregado[ID],Agregado[Produto])</f>
        <v>Borracha vulcanizada em manta</v>
      </c>
      <c r="F3661" s="39">
        <v>45485</v>
      </c>
      <c r="G3661" s="7">
        <v>63</v>
      </c>
      <c r="H3661" s="3">
        <f>_xlfn.XLOOKUP(Vendas[[#This Row],[ID Item Vendido]],Agregado[ID],Agregado[Revenda])</f>
        <v>7.8</v>
      </c>
      <c r="I3661" s="3">
        <f>Vendas[[#This Row],[Valor Unitário]]*Vendas[[#This Row],[Qnt Vendida]]</f>
        <v>491.4</v>
      </c>
      <c r="J3661" s="3">
        <f>Vendas[[#This Row],[Valor da Venda]]-(_xlfn.XLOOKUP(Vendas[[#This Row],[ID Item Vendido]],Agregado[ID],Agregado[Custo])*Vendas[[#This Row],[Qnt Vendida]])</f>
        <v>113.39999999999998</v>
      </c>
      <c r="K3661" s="70">
        <f>Vendas[[#This Row],[Lucro da Venda]]/Vendas[[#This Row],[Valor da Venda]]</f>
        <v>0.23076923076923073</v>
      </c>
      <c r="L3661" s="3">
        <f>_xlfn.IFS(Vendas[[#This Row],[Margem de Lucro (%)]]&lt;15%,Vendas[[#This Row],[Valor da Venda]]*3%,Vendas[[#This Row],[Margem de Lucro (%)]]&lt;=20%,Vendas[[#This Row],[Valor da Venda]]*4.5%,TRUE,Vendas[[#This Row],[Valor da Venda]]*6%)</f>
        <v>29.483999999999998</v>
      </c>
      <c r="M3661"/>
    </row>
    <row r="3662" spans="1:13" x14ac:dyDescent="0.3">
      <c r="A3662" s="7">
        <v>400244</v>
      </c>
      <c r="B3662" t="str">
        <f>_xlfn.XLOOKUP(Vendas[[#This Row],[ID Vendedor]],Vendedores[ID],Vendedores[Nome])</f>
        <v>Camila</v>
      </c>
      <c r="C3662" s="7" t="str">
        <f>_xlfn.XLOOKUP(Vendas[[#This Row],[ID Vendedor]],Vendedores[ID],Vendedores[Setor])</f>
        <v>AHD</v>
      </c>
      <c r="D3662" s="7" t="s">
        <v>9</v>
      </c>
      <c r="E3662" t="str">
        <f>_xlfn.XLOOKUP(Vendas[[#This Row],[ID Item Vendido]],Agregado[ID],Agregado[Produto])</f>
        <v>Barra de aço simples</v>
      </c>
      <c r="F3662" s="39">
        <v>45485</v>
      </c>
      <c r="G3662" s="7">
        <v>38</v>
      </c>
      <c r="H3662" s="3">
        <f>_xlfn.XLOOKUP(Vendas[[#This Row],[ID Item Vendido]],Agregado[ID],Agregado[Revenda])</f>
        <v>6.7</v>
      </c>
      <c r="I3662" s="3">
        <f>Vendas[[#This Row],[Valor Unitário]]*Vendas[[#This Row],[Qnt Vendida]]</f>
        <v>254.6</v>
      </c>
      <c r="J3662" s="3">
        <f>Vendas[[#This Row],[Valor da Venda]]-(_xlfn.XLOOKUP(Vendas[[#This Row],[ID Item Vendido]],Agregado[ID],Agregado[Custo])*Vendas[[#This Row],[Qnt Vendida]])</f>
        <v>34.199999999999989</v>
      </c>
      <c r="K3662" s="70">
        <f>Vendas[[#This Row],[Lucro da Venda]]/Vendas[[#This Row],[Valor da Venda]]</f>
        <v>0.1343283582089552</v>
      </c>
      <c r="L3662" s="3">
        <f>_xlfn.IFS(Vendas[[#This Row],[Margem de Lucro (%)]]&lt;15%,Vendas[[#This Row],[Valor da Venda]]*3%,Vendas[[#This Row],[Margem de Lucro (%)]]&lt;=20%,Vendas[[#This Row],[Valor da Venda]]*4.5%,TRUE,Vendas[[#This Row],[Valor da Venda]]*6%)</f>
        <v>7.6379999999999999</v>
      </c>
      <c r="M3662"/>
    </row>
    <row r="3663" spans="1:13" x14ac:dyDescent="0.3">
      <c r="A3663" s="7">
        <v>400247</v>
      </c>
      <c r="B3663" t="str">
        <f>_xlfn.XLOOKUP(Vendas[[#This Row],[ID Vendedor]],Vendedores[ID],Vendedores[Nome])</f>
        <v>André</v>
      </c>
      <c r="C3663" s="7" t="str">
        <f>_xlfn.XLOOKUP(Vendas[[#This Row],[ID Vendedor]],Vendedores[ID],Vendedores[Setor])</f>
        <v>CM</v>
      </c>
      <c r="D3663" s="7" t="s">
        <v>45</v>
      </c>
      <c r="E3663" t="str">
        <f>_xlfn.XLOOKUP(Vendas[[#This Row],[ID Item Vendido]],Agregado[ID],Agregado[Produto])</f>
        <v>Viga de madeira tratada 4m</v>
      </c>
      <c r="F3663" s="39">
        <v>45487</v>
      </c>
      <c r="G3663" s="7">
        <v>12</v>
      </c>
      <c r="H3663" s="3">
        <f>_xlfn.XLOOKUP(Vendas[[#This Row],[ID Item Vendido]],Agregado[ID],Agregado[Revenda])</f>
        <v>66</v>
      </c>
      <c r="I3663" s="3">
        <f>Vendas[[#This Row],[Valor Unitário]]*Vendas[[#This Row],[Qnt Vendida]]</f>
        <v>792</v>
      </c>
      <c r="J3663" s="3">
        <f>Vendas[[#This Row],[Valor da Venda]]-(_xlfn.XLOOKUP(Vendas[[#This Row],[ID Item Vendido]],Agregado[ID],Agregado[Custo])*Vendas[[#This Row],[Qnt Vendida]])</f>
        <v>132</v>
      </c>
      <c r="K3663" s="70">
        <f>Vendas[[#This Row],[Lucro da Venda]]/Vendas[[#This Row],[Valor da Venda]]</f>
        <v>0.16666666666666666</v>
      </c>
      <c r="L3663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3663"/>
    </row>
    <row r="3664" spans="1:13" x14ac:dyDescent="0.3">
      <c r="A3664" s="7">
        <v>400246</v>
      </c>
      <c r="B3664" t="str">
        <f>_xlfn.XLOOKUP(Vendas[[#This Row],[ID Vendedor]],Vendedores[ID],Vendedores[Nome])</f>
        <v>Juliana</v>
      </c>
      <c r="C3664" s="7" t="str">
        <f>_xlfn.XLOOKUP(Vendas[[#This Row],[ID Vendedor]],Vendedores[ID],Vendedores[Setor])</f>
        <v>AHD</v>
      </c>
      <c r="D3664" s="7" t="s">
        <v>18</v>
      </c>
      <c r="E3664" t="str">
        <f>_xlfn.XLOOKUP(Vendas[[#This Row],[ID Item Vendido]],Agregado[ID],Agregado[Produto])</f>
        <v>Peça forjada sob encomenda</v>
      </c>
      <c r="F3664" s="39">
        <v>45487</v>
      </c>
      <c r="G3664" s="7">
        <v>1</v>
      </c>
      <c r="H3664" s="3">
        <f>_xlfn.XLOOKUP(Vendas[[#This Row],[ID Item Vendido]],Agregado[ID],Agregado[Revenda])</f>
        <v>264.60000000000002</v>
      </c>
      <c r="I3664" s="3">
        <f>Vendas[[#This Row],[Valor Unitário]]*Vendas[[#This Row],[Qnt Vendida]]</f>
        <v>264.60000000000002</v>
      </c>
      <c r="J3664" s="3">
        <f>Vendas[[#This Row],[Valor da Venda]]-(_xlfn.XLOOKUP(Vendas[[#This Row],[ID Item Vendido]],Agregado[ID],Agregado[Custo])*Vendas[[#This Row],[Qnt Vendida]])</f>
        <v>14.600000000000023</v>
      </c>
      <c r="K3664" s="70">
        <f>Vendas[[#This Row],[Lucro da Venda]]/Vendas[[#This Row],[Valor da Venda]]</f>
        <v>5.5177626606198113E-2</v>
      </c>
      <c r="L366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664"/>
    </row>
    <row r="3665" spans="1:13" x14ac:dyDescent="0.3">
      <c r="A3665" s="7">
        <v>400243</v>
      </c>
      <c r="B3665" t="str">
        <f>_xlfn.XLOOKUP(Vendas[[#This Row],[ID Vendedor]],Vendedores[ID],Vendedores[Nome])</f>
        <v>Marcelo</v>
      </c>
      <c r="C3665" s="7" t="str">
        <f>_xlfn.XLOOKUP(Vendas[[#This Row],[ID Vendedor]],Vendedores[ID],Vendedores[Setor])</f>
        <v>FM</v>
      </c>
      <c r="D3665" s="7" t="s">
        <v>31</v>
      </c>
      <c r="E3665" t="str">
        <f>_xlfn.XLOOKUP(Vendas[[#This Row],[ID Item Vendido]],Agregado[ID],Agregado[Produto])</f>
        <v>Tela de metal soldada rolo 2x25m</v>
      </c>
      <c r="F3665" s="39">
        <v>45487</v>
      </c>
      <c r="G3665" s="7">
        <v>9</v>
      </c>
      <c r="H3665" s="3">
        <f>_xlfn.XLOOKUP(Vendas[[#This Row],[ID Item Vendido]],Agregado[ID],Agregado[Revenda])</f>
        <v>43.7</v>
      </c>
      <c r="I3665" s="3">
        <f>Vendas[[#This Row],[Valor Unitário]]*Vendas[[#This Row],[Qnt Vendida]]</f>
        <v>393.3</v>
      </c>
      <c r="J3665" s="3">
        <f>Vendas[[#This Row],[Valor da Venda]]-(_xlfn.XLOOKUP(Vendas[[#This Row],[ID Item Vendido]],Agregado[ID],Agregado[Custo])*Vendas[[#This Row],[Qnt Vendida]])</f>
        <v>51.300000000000011</v>
      </c>
      <c r="K3665" s="70">
        <f>Vendas[[#This Row],[Lucro da Venda]]/Vendas[[#This Row],[Valor da Venda]]</f>
        <v>0.13043478260869568</v>
      </c>
      <c r="L3665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3665"/>
    </row>
    <row r="3666" spans="1:13" x14ac:dyDescent="0.3">
      <c r="A3666" s="7">
        <v>400252</v>
      </c>
      <c r="B3666" t="str">
        <f>_xlfn.XLOOKUP(Vendas[[#This Row],[ID Vendedor]],Vendedores[ID],Vendedores[Nome])</f>
        <v>Renata</v>
      </c>
      <c r="C3666" s="7" t="str">
        <f>_xlfn.XLOOKUP(Vendas[[#This Row],[ID Vendedor]],Vendedores[ID],Vendedores[Setor])</f>
        <v>AB</v>
      </c>
      <c r="D3666" s="7" t="s">
        <v>24</v>
      </c>
      <c r="E3666" t="str">
        <f>_xlfn.XLOOKUP(Vendas[[#This Row],[ID Item Vendido]],Agregado[ID],Agregado[Produto])</f>
        <v>Resina plástica PET purificada saco de 25kg</v>
      </c>
      <c r="F3666" s="39">
        <v>45488</v>
      </c>
      <c r="G3666" s="7">
        <v>22</v>
      </c>
      <c r="H3666" s="3">
        <f>_xlfn.XLOOKUP(Vendas[[#This Row],[ID Item Vendido]],Agregado[ID],Agregado[Revenda])</f>
        <v>119</v>
      </c>
      <c r="I3666" s="3">
        <f>Vendas[[#This Row],[Valor Unitário]]*Vendas[[#This Row],[Qnt Vendida]]</f>
        <v>2618</v>
      </c>
      <c r="J3666" s="3">
        <f>Vendas[[#This Row],[Valor da Venda]]-(_xlfn.XLOOKUP(Vendas[[#This Row],[ID Item Vendido]],Agregado[ID],Agregado[Custo])*Vendas[[#This Row],[Qnt Vendida]])</f>
        <v>748</v>
      </c>
      <c r="K3666" s="70">
        <f>Vendas[[#This Row],[Lucro da Venda]]/Vendas[[#This Row],[Valor da Venda]]</f>
        <v>0.2857142857142857</v>
      </c>
      <c r="L3666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3666"/>
    </row>
    <row r="3667" spans="1:13" x14ac:dyDescent="0.3">
      <c r="A3667" s="7">
        <v>400245</v>
      </c>
      <c r="B3667" t="str">
        <f>_xlfn.XLOOKUP(Vendas[[#This Row],[ID Vendedor]],Vendedores[ID],Vendedores[Nome])</f>
        <v>Thiago</v>
      </c>
      <c r="C3667" s="7" t="str">
        <f>_xlfn.XLOOKUP(Vendas[[#This Row],[ID Vendedor]],Vendedores[ID],Vendedores[Setor])</f>
        <v>AHD</v>
      </c>
      <c r="D3667" s="7" t="s">
        <v>18</v>
      </c>
      <c r="E3667" t="str">
        <f>_xlfn.XLOOKUP(Vendas[[#This Row],[ID Item Vendido]],Agregado[ID],Agregado[Produto])</f>
        <v>Peça forjada sob encomenda</v>
      </c>
      <c r="F3667" s="39">
        <v>45488</v>
      </c>
      <c r="G3667" s="7">
        <v>5</v>
      </c>
      <c r="H3667" s="3">
        <f>_xlfn.XLOOKUP(Vendas[[#This Row],[ID Item Vendido]],Agregado[ID],Agregado[Revenda])</f>
        <v>264.60000000000002</v>
      </c>
      <c r="I3667" s="3">
        <f>Vendas[[#This Row],[Valor Unitário]]*Vendas[[#This Row],[Qnt Vendida]]</f>
        <v>1323</v>
      </c>
      <c r="J3667" s="3">
        <f>Vendas[[#This Row],[Valor da Venda]]-(_xlfn.XLOOKUP(Vendas[[#This Row],[ID Item Vendido]],Agregado[ID],Agregado[Custo])*Vendas[[#This Row],[Qnt Vendida]])</f>
        <v>73</v>
      </c>
      <c r="K3667" s="70">
        <f>Vendas[[#This Row],[Lucro da Venda]]/Vendas[[#This Row],[Valor da Venda]]</f>
        <v>5.5177626606198037E-2</v>
      </c>
      <c r="L366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667"/>
    </row>
    <row r="3668" spans="1:13" x14ac:dyDescent="0.3">
      <c r="A3668" s="7">
        <v>400252</v>
      </c>
      <c r="B3668" t="str">
        <f>_xlfn.XLOOKUP(Vendas[[#This Row],[ID Vendedor]],Vendedores[ID],Vendedores[Nome])</f>
        <v>Renata</v>
      </c>
      <c r="C3668" s="7" t="str">
        <f>_xlfn.XLOOKUP(Vendas[[#This Row],[ID Vendedor]],Vendedores[ID],Vendedores[Setor])</f>
        <v>AB</v>
      </c>
      <c r="D3668" s="7" t="s">
        <v>12</v>
      </c>
      <c r="E3668" t="str">
        <f>_xlfn.XLOOKUP(Vendas[[#This Row],[ID Item Vendido]],Agregado[ID],Agregado[Produto])</f>
        <v>Grânulo de plástico reciclado refinado</v>
      </c>
      <c r="F3668" s="39">
        <v>45488</v>
      </c>
      <c r="G3668" s="7">
        <v>30</v>
      </c>
      <c r="H3668" s="3">
        <f>_xlfn.XLOOKUP(Vendas[[#This Row],[ID Item Vendido]],Agregado[ID],Agregado[Revenda])</f>
        <v>4.7</v>
      </c>
      <c r="I3668" s="3">
        <f>Vendas[[#This Row],[Valor Unitário]]*Vendas[[#This Row],[Qnt Vendida]]</f>
        <v>141</v>
      </c>
      <c r="J3668" s="3">
        <f>Vendas[[#This Row],[Valor da Venda]]-(_xlfn.XLOOKUP(Vendas[[#This Row],[ID Item Vendido]],Agregado[ID],Agregado[Custo])*Vendas[[#This Row],[Qnt Vendida]])</f>
        <v>36</v>
      </c>
      <c r="K3668" s="70">
        <f>Vendas[[#This Row],[Lucro da Venda]]/Vendas[[#This Row],[Valor da Venda]]</f>
        <v>0.25531914893617019</v>
      </c>
      <c r="L3668" s="3">
        <f>_xlfn.IFS(Vendas[[#This Row],[Margem de Lucro (%)]]&lt;15%,Vendas[[#This Row],[Valor da Venda]]*3%,Vendas[[#This Row],[Margem de Lucro (%)]]&lt;=20%,Vendas[[#This Row],[Valor da Venda]]*4.5%,TRUE,Vendas[[#This Row],[Valor da Venda]]*6%)</f>
        <v>8.4599999999999991</v>
      </c>
      <c r="M3668"/>
    </row>
    <row r="3669" spans="1:13" x14ac:dyDescent="0.3">
      <c r="A3669" s="7">
        <v>400255</v>
      </c>
      <c r="B3669" t="str">
        <f>_xlfn.XLOOKUP(Vendas[[#This Row],[ID Vendedor]],Vendedores[ID],Vendedores[Nome])</f>
        <v>Carlos</v>
      </c>
      <c r="C3669" s="7" t="str">
        <f>_xlfn.XLOOKUP(Vendas[[#This Row],[ID Vendedor]],Vendedores[ID],Vendedores[Setor])</f>
        <v>SC</v>
      </c>
      <c r="D3669" s="7" t="s">
        <v>14</v>
      </c>
      <c r="E3669" t="str">
        <f>_xlfn.XLOOKUP(Vendas[[#This Row],[ID Item Vendido]],Agregado[ID],Agregado[Produto])</f>
        <v>Barril de plástico 200L</v>
      </c>
      <c r="F3669" s="39">
        <v>45489</v>
      </c>
      <c r="G3669" s="7">
        <v>20</v>
      </c>
      <c r="H3669" s="3">
        <f>_xlfn.XLOOKUP(Vendas[[#This Row],[ID Item Vendido]],Agregado[ID],Agregado[Revenda])</f>
        <v>114</v>
      </c>
      <c r="I3669" s="3">
        <f>Vendas[[#This Row],[Valor Unitário]]*Vendas[[#This Row],[Qnt Vendida]]</f>
        <v>2280</v>
      </c>
      <c r="J3669" s="3">
        <f>Vendas[[#This Row],[Valor da Venda]]-(_xlfn.XLOOKUP(Vendas[[#This Row],[ID Item Vendido]],Agregado[ID],Agregado[Custo])*Vendas[[#This Row],[Qnt Vendida]])</f>
        <v>380</v>
      </c>
      <c r="K3669" s="70">
        <f>Vendas[[#This Row],[Lucro da Venda]]/Vendas[[#This Row],[Valor da Venda]]</f>
        <v>0.16666666666666666</v>
      </c>
      <c r="L3669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3669"/>
    </row>
    <row r="3670" spans="1:13" x14ac:dyDescent="0.3">
      <c r="A3670" s="7">
        <v>400255</v>
      </c>
      <c r="B3670" t="str">
        <f>_xlfn.XLOOKUP(Vendas[[#This Row],[ID Vendedor]],Vendedores[ID],Vendedores[Nome])</f>
        <v>Carlos</v>
      </c>
      <c r="C3670" s="7" t="str">
        <f>_xlfn.XLOOKUP(Vendas[[#This Row],[ID Vendedor]],Vendedores[ID],Vendedores[Setor])</f>
        <v>SC</v>
      </c>
      <c r="D3670" s="7" t="s">
        <v>25</v>
      </c>
      <c r="E3670" t="str">
        <f>_xlfn.XLOOKUP(Vendas[[#This Row],[ID Item Vendido]],Agregado[ID],Agregado[Produto])</f>
        <v>Palete de plástico</v>
      </c>
      <c r="F3670" s="39">
        <v>45489</v>
      </c>
      <c r="G3670" s="7">
        <v>5</v>
      </c>
      <c r="H3670" s="3">
        <f>_xlfn.XLOOKUP(Vendas[[#This Row],[ID Item Vendido]],Agregado[ID],Agregado[Revenda])</f>
        <v>70.8</v>
      </c>
      <c r="I3670" s="3">
        <f>Vendas[[#This Row],[Valor Unitário]]*Vendas[[#This Row],[Qnt Vendida]]</f>
        <v>354</v>
      </c>
      <c r="J3670" s="3">
        <f>Vendas[[#This Row],[Valor da Venda]]-(_xlfn.XLOOKUP(Vendas[[#This Row],[ID Item Vendido]],Agregado[ID],Agregado[Custo])*Vendas[[#This Row],[Qnt Vendida]])</f>
        <v>54</v>
      </c>
      <c r="K3670" s="70">
        <f>Vendas[[#This Row],[Lucro da Venda]]/Vendas[[#This Row],[Valor da Venda]]</f>
        <v>0.15254237288135594</v>
      </c>
      <c r="L3670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3670"/>
    </row>
    <row r="3671" spans="1:13" x14ac:dyDescent="0.3">
      <c r="A3671" s="7">
        <v>400248</v>
      </c>
      <c r="B3671" t="str">
        <f>_xlfn.XLOOKUP(Vendas[[#This Row],[ID Vendedor]],Vendedores[ID],Vendedores[Nome])</f>
        <v>Patrícia</v>
      </c>
      <c r="C3671" s="7" t="str">
        <f>_xlfn.XLOOKUP(Vendas[[#This Row],[ID Vendedor]],Vendedores[ID],Vendedores[Setor])</f>
        <v>CM</v>
      </c>
      <c r="D3671" s="7" t="s">
        <v>43</v>
      </c>
      <c r="E3671" t="str">
        <f>_xlfn.XLOOKUP(Vendas[[#This Row],[ID Item Vendido]],Agregado[ID],Agregado[Produto])</f>
        <v>Madeira Bruta (Tora)</v>
      </c>
      <c r="F3671" s="39">
        <v>45490</v>
      </c>
      <c r="G3671" s="7">
        <v>5</v>
      </c>
      <c r="H3671" s="3">
        <f>_xlfn.XLOOKUP(Vendas[[#This Row],[ID Item Vendido]],Agregado[ID],Agregado[Revenda])</f>
        <v>212</v>
      </c>
      <c r="I3671" s="3">
        <f>Vendas[[#This Row],[Valor Unitário]]*Vendas[[#This Row],[Qnt Vendida]]</f>
        <v>1060</v>
      </c>
      <c r="J3671" s="3">
        <f>Vendas[[#This Row],[Valor da Venda]]-(_xlfn.XLOOKUP(Vendas[[#This Row],[ID Item Vendido]],Agregado[ID],Agregado[Custo])*Vendas[[#This Row],[Qnt Vendida]])</f>
        <v>160</v>
      </c>
      <c r="K3671" s="70">
        <f>Vendas[[#This Row],[Lucro da Venda]]/Vendas[[#This Row],[Valor da Venda]]</f>
        <v>0.15094339622641509</v>
      </c>
      <c r="L3671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3671"/>
    </row>
    <row r="3672" spans="1:13" x14ac:dyDescent="0.3">
      <c r="A3672" s="7">
        <v>400252</v>
      </c>
      <c r="B3672" t="str">
        <f>_xlfn.XLOOKUP(Vendas[[#This Row],[ID Vendedor]],Vendedores[ID],Vendedores[Nome])</f>
        <v>Renata</v>
      </c>
      <c r="C3672" s="7" t="str">
        <f>_xlfn.XLOOKUP(Vendas[[#This Row],[ID Vendedor]],Vendedores[ID],Vendedores[Setor])</f>
        <v>AB</v>
      </c>
      <c r="D3672" s="7" t="s">
        <v>39</v>
      </c>
      <c r="E3672" t="str">
        <f>_xlfn.XLOOKUP(Vendas[[#This Row],[ID Item Vendido]],Agregado[ID],Agregado[Produto])</f>
        <v>Filme plástico industrial rolo 50m</v>
      </c>
      <c r="F3672" s="39">
        <v>45490</v>
      </c>
      <c r="G3672" s="7">
        <v>15</v>
      </c>
      <c r="H3672" s="3">
        <f>_xlfn.XLOOKUP(Vendas[[#This Row],[ID Item Vendido]],Agregado[ID],Agregado[Revenda])</f>
        <v>37</v>
      </c>
      <c r="I3672" s="3">
        <f>Vendas[[#This Row],[Valor Unitário]]*Vendas[[#This Row],[Qnt Vendida]]</f>
        <v>555</v>
      </c>
      <c r="J3672" s="3">
        <f>Vendas[[#This Row],[Valor da Venda]]-(_xlfn.XLOOKUP(Vendas[[#This Row],[ID Item Vendido]],Agregado[ID],Agregado[Custo])*Vendas[[#This Row],[Qnt Vendida]])</f>
        <v>135</v>
      </c>
      <c r="K3672" s="70">
        <f>Vendas[[#This Row],[Lucro da Venda]]/Vendas[[#This Row],[Valor da Venda]]</f>
        <v>0.24324324324324326</v>
      </c>
      <c r="L3672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3672"/>
    </row>
    <row r="3673" spans="1:13" x14ac:dyDescent="0.3">
      <c r="A3673" s="7">
        <v>400252</v>
      </c>
      <c r="B3673" t="str">
        <f>_xlfn.XLOOKUP(Vendas[[#This Row],[ID Vendedor]],Vendedores[ID],Vendedores[Nome])</f>
        <v>Renata</v>
      </c>
      <c r="C3673" s="7" t="str">
        <f>_xlfn.XLOOKUP(Vendas[[#This Row],[ID Vendedor]],Vendedores[ID],Vendedores[Setor])</f>
        <v>AB</v>
      </c>
      <c r="D3673" s="7" t="s">
        <v>39</v>
      </c>
      <c r="E3673" t="str">
        <f>_xlfn.XLOOKUP(Vendas[[#This Row],[ID Item Vendido]],Agregado[ID],Agregado[Produto])</f>
        <v>Filme plástico industrial rolo 50m</v>
      </c>
      <c r="F3673" s="39">
        <v>45490</v>
      </c>
      <c r="G3673" s="7">
        <v>4</v>
      </c>
      <c r="H3673" s="3">
        <f>_xlfn.XLOOKUP(Vendas[[#This Row],[ID Item Vendido]],Agregado[ID],Agregado[Revenda])</f>
        <v>37</v>
      </c>
      <c r="I3673" s="3">
        <f>Vendas[[#This Row],[Valor Unitário]]*Vendas[[#This Row],[Qnt Vendida]]</f>
        <v>148</v>
      </c>
      <c r="J3673" s="3">
        <f>Vendas[[#This Row],[Valor da Venda]]-(_xlfn.XLOOKUP(Vendas[[#This Row],[ID Item Vendido]],Agregado[ID],Agregado[Custo])*Vendas[[#This Row],[Qnt Vendida]])</f>
        <v>36</v>
      </c>
      <c r="K3673" s="70">
        <f>Vendas[[#This Row],[Lucro da Venda]]/Vendas[[#This Row],[Valor da Venda]]</f>
        <v>0.24324324324324326</v>
      </c>
      <c r="L3673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3673"/>
    </row>
    <row r="3674" spans="1:13" x14ac:dyDescent="0.3">
      <c r="A3674" s="7">
        <v>400246</v>
      </c>
      <c r="B3674" t="str">
        <f>_xlfn.XLOOKUP(Vendas[[#This Row],[ID Vendedor]],Vendedores[ID],Vendedores[Nome])</f>
        <v>Juliana</v>
      </c>
      <c r="C3674" s="7" t="str">
        <f>_xlfn.XLOOKUP(Vendas[[#This Row],[ID Vendedor]],Vendedores[ID],Vendedores[Setor])</f>
        <v>AHD</v>
      </c>
      <c r="D3674" s="7" t="s">
        <v>30</v>
      </c>
      <c r="E3674" t="str">
        <f>_xlfn.XLOOKUP(Vendas[[#This Row],[ID Item Vendido]],Agregado[ID],Agregado[Produto])</f>
        <v>Estrutura metálica soldada</v>
      </c>
      <c r="F3674" s="39">
        <v>45491</v>
      </c>
      <c r="G3674" s="7">
        <v>8</v>
      </c>
      <c r="H3674" s="3">
        <f>_xlfn.XLOOKUP(Vendas[[#This Row],[ID Item Vendido]],Agregado[ID],Agregado[Revenda])</f>
        <v>400</v>
      </c>
      <c r="I3674" s="3">
        <f>Vendas[[#This Row],[Valor Unitário]]*Vendas[[#This Row],[Qnt Vendida]]</f>
        <v>3200</v>
      </c>
      <c r="J3674" s="3">
        <f>Vendas[[#This Row],[Valor da Venda]]-(_xlfn.XLOOKUP(Vendas[[#This Row],[ID Item Vendido]],Agregado[ID],Agregado[Custo])*Vendas[[#This Row],[Qnt Vendida]])</f>
        <v>640</v>
      </c>
      <c r="K3674" s="70">
        <f>Vendas[[#This Row],[Lucro da Venda]]/Vendas[[#This Row],[Valor da Venda]]</f>
        <v>0.2</v>
      </c>
      <c r="L3674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3674"/>
    </row>
    <row r="3675" spans="1:13" x14ac:dyDescent="0.3">
      <c r="A3675" s="7">
        <v>400247</v>
      </c>
      <c r="B3675" t="str">
        <f>_xlfn.XLOOKUP(Vendas[[#This Row],[ID Vendedor]],Vendedores[ID],Vendedores[Nome])</f>
        <v>André</v>
      </c>
      <c r="C3675" s="7" t="str">
        <f>_xlfn.XLOOKUP(Vendas[[#This Row],[ID Vendedor]],Vendedores[ID],Vendedores[Setor])</f>
        <v>CM</v>
      </c>
      <c r="D3675" s="7" t="s">
        <v>22</v>
      </c>
      <c r="E3675" t="str">
        <f>_xlfn.XLOOKUP(Vendas[[#This Row],[ID Item Vendido]],Agregado[ID],Agregado[Produto])</f>
        <v>Painel MDP 2,75x1,83m</v>
      </c>
      <c r="F3675" s="39">
        <v>45491</v>
      </c>
      <c r="G3675" s="7">
        <v>18</v>
      </c>
      <c r="H3675" s="3">
        <f>_xlfn.XLOOKUP(Vendas[[#This Row],[ID Item Vendido]],Agregado[ID],Agregado[Revenda])</f>
        <v>119</v>
      </c>
      <c r="I3675" s="3">
        <f>Vendas[[#This Row],[Valor Unitário]]*Vendas[[#This Row],[Qnt Vendida]]</f>
        <v>2142</v>
      </c>
      <c r="J3675" s="3">
        <f>Vendas[[#This Row],[Valor da Venda]]-(_xlfn.XLOOKUP(Vendas[[#This Row],[ID Item Vendido]],Agregado[ID],Agregado[Custo])*Vendas[[#This Row],[Qnt Vendida]])</f>
        <v>432</v>
      </c>
      <c r="K3675" s="70">
        <f>Vendas[[#This Row],[Lucro da Venda]]/Vendas[[#This Row],[Valor da Venda]]</f>
        <v>0.20168067226890757</v>
      </c>
      <c r="L3675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675"/>
    </row>
    <row r="3676" spans="1:13" x14ac:dyDescent="0.3">
      <c r="A3676" s="7">
        <v>400254</v>
      </c>
      <c r="B3676" t="str">
        <f>_xlfn.XLOOKUP(Vendas[[#This Row],[ID Vendedor]],Vendedores[ID],Vendedores[Nome])</f>
        <v>Beatriz</v>
      </c>
      <c r="C3676" s="7" t="str">
        <f>_xlfn.XLOOKUP(Vendas[[#This Row],[ID Vendedor]],Vendedores[ID],Vendedores[Setor])</f>
        <v>SC</v>
      </c>
      <c r="D3676" s="7" t="s">
        <v>42</v>
      </c>
      <c r="E3676" t="str">
        <f>_xlfn.XLOOKUP(Vendas[[#This Row],[ID Item Vendido]],Agregado[ID],Agregado[Produto])</f>
        <v>Container de ferro industrial</v>
      </c>
      <c r="F3676" s="39">
        <v>45491</v>
      </c>
      <c r="G3676" s="7">
        <v>2</v>
      </c>
      <c r="H3676" s="3">
        <f>_xlfn.XLOOKUP(Vendas[[#This Row],[ID Item Vendido]],Agregado[ID],Agregado[Revenda])</f>
        <v>830</v>
      </c>
      <c r="I3676" s="3">
        <f>Vendas[[#This Row],[Valor Unitário]]*Vendas[[#This Row],[Qnt Vendida]]</f>
        <v>1660</v>
      </c>
      <c r="J3676" s="3">
        <f>Vendas[[#This Row],[Valor da Venda]]-(_xlfn.XLOOKUP(Vendas[[#This Row],[ID Item Vendido]],Agregado[ID],Agregado[Custo])*Vendas[[#This Row],[Qnt Vendida]])</f>
        <v>300</v>
      </c>
      <c r="K3676" s="70">
        <f>Vendas[[#This Row],[Lucro da Venda]]/Vendas[[#This Row],[Valor da Venda]]</f>
        <v>0.18072289156626506</v>
      </c>
      <c r="L3676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676"/>
    </row>
    <row r="3677" spans="1:13" x14ac:dyDescent="0.3">
      <c r="A3677" s="7">
        <v>400254</v>
      </c>
      <c r="B3677" t="str">
        <f>_xlfn.XLOOKUP(Vendas[[#This Row],[ID Vendedor]],Vendedores[ID],Vendedores[Nome])</f>
        <v>Beatriz</v>
      </c>
      <c r="C3677" s="7" t="str">
        <f>_xlfn.XLOOKUP(Vendas[[#This Row],[ID Vendedor]],Vendedores[ID],Vendedores[Setor])</f>
        <v>SC</v>
      </c>
      <c r="D3677" s="7" t="s">
        <v>48</v>
      </c>
      <c r="E3677" t="str">
        <f>_xlfn.XLOOKUP(Vendas[[#This Row],[ID Item Vendido]],Agregado[ID],Agregado[Produto])</f>
        <v>Tambor metálico 200L</v>
      </c>
      <c r="F3677" s="39">
        <v>45491</v>
      </c>
      <c r="G3677" s="7">
        <v>9</v>
      </c>
      <c r="H3677" s="3">
        <f>_xlfn.XLOOKUP(Vendas[[#This Row],[ID Item Vendido]],Agregado[ID],Agregado[Revenda])</f>
        <v>144</v>
      </c>
      <c r="I3677" s="3">
        <f>Vendas[[#This Row],[Valor Unitário]]*Vendas[[#This Row],[Qnt Vendida]]</f>
        <v>1296</v>
      </c>
      <c r="J3677" s="3">
        <f>Vendas[[#This Row],[Valor da Venda]]-(_xlfn.XLOOKUP(Vendas[[#This Row],[ID Item Vendido]],Agregado[ID],Agregado[Custo])*Vendas[[#This Row],[Qnt Vendida]])</f>
        <v>216</v>
      </c>
      <c r="K3677" s="70">
        <f>Vendas[[#This Row],[Lucro da Venda]]/Vendas[[#This Row],[Valor da Venda]]</f>
        <v>0.16666666666666666</v>
      </c>
      <c r="L3677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3677"/>
    </row>
    <row r="3678" spans="1:13" x14ac:dyDescent="0.3">
      <c r="A3678" s="7">
        <v>400244</v>
      </c>
      <c r="B3678" t="str">
        <f>_xlfn.XLOOKUP(Vendas[[#This Row],[ID Vendedor]],Vendedores[ID],Vendedores[Nome])</f>
        <v>Camila</v>
      </c>
      <c r="C3678" s="7" t="str">
        <f>_xlfn.XLOOKUP(Vendas[[#This Row],[ID Vendedor]],Vendedores[ID],Vendedores[Setor])</f>
        <v>AHD</v>
      </c>
      <c r="D3678" s="7" t="s">
        <v>44</v>
      </c>
      <c r="E3678" t="str">
        <f>_xlfn.XLOOKUP(Vendas[[#This Row],[ID Item Vendido]],Agregado[ID],Agregado[Produto])</f>
        <v>Liga metálica especial</v>
      </c>
      <c r="F3678" s="39">
        <v>45491</v>
      </c>
      <c r="G3678" s="7">
        <v>12</v>
      </c>
      <c r="H3678" s="3">
        <f>_xlfn.XLOOKUP(Vendas[[#This Row],[ID Item Vendido]],Agregado[ID],Agregado[Revenda])</f>
        <v>32.5</v>
      </c>
      <c r="I3678" s="3">
        <f>Vendas[[#This Row],[Valor Unitário]]*Vendas[[#This Row],[Qnt Vendida]]</f>
        <v>390</v>
      </c>
      <c r="J3678" s="3">
        <f>Vendas[[#This Row],[Valor da Venda]]-(_xlfn.XLOOKUP(Vendas[[#This Row],[ID Item Vendido]],Agregado[ID],Agregado[Custo])*Vendas[[#This Row],[Qnt Vendida]])</f>
        <v>90</v>
      </c>
      <c r="K3678" s="70">
        <f>Vendas[[#This Row],[Lucro da Venda]]/Vendas[[#This Row],[Valor da Venda]]</f>
        <v>0.23076923076923078</v>
      </c>
      <c r="L3678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3678"/>
    </row>
    <row r="3679" spans="1:13" x14ac:dyDescent="0.3">
      <c r="A3679" s="7">
        <v>400251</v>
      </c>
      <c r="B3679" t="str">
        <f>_xlfn.XLOOKUP(Vendas[[#This Row],[ID Vendedor]],Vendedores[ID],Vendedores[Nome])</f>
        <v>Diego</v>
      </c>
      <c r="C3679" s="7" t="str">
        <f>_xlfn.XLOOKUP(Vendas[[#This Row],[ID Vendedor]],Vendedores[ID],Vendedores[Setor])</f>
        <v>AB</v>
      </c>
      <c r="D3679" s="7" t="s">
        <v>39</v>
      </c>
      <c r="E3679" t="str">
        <f>_xlfn.XLOOKUP(Vendas[[#This Row],[ID Item Vendido]],Agregado[ID],Agregado[Produto])</f>
        <v>Filme plástico industrial rolo 50m</v>
      </c>
      <c r="F3679" s="39">
        <v>45492</v>
      </c>
      <c r="G3679" s="7">
        <v>27</v>
      </c>
      <c r="H3679" s="3">
        <f>_xlfn.XLOOKUP(Vendas[[#This Row],[ID Item Vendido]],Agregado[ID],Agregado[Revenda])</f>
        <v>37</v>
      </c>
      <c r="I3679" s="3">
        <f>Vendas[[#This Row],[Valor Unitário]]*Vendas[[#This Row],[Qnt Vendida]]</f>
        <v>999</v>
      </c>
      <c r="J3679" s="3">
        <f>Vendas[[#This Row],[Valor da Venda]]-(_xlfn.XLOOKUP(Vendas[[#This Row],[ID Item Vendido]],Agregado[ID],Agregado[Custo])*Vendas[[#This Row],[Qnt Vendida]])</f>
        <v>243</v>
      </c>
      <c r="K3679" s="70">
        <f>Vendas[[#This Row],[Lucro da Venda]]/Vendas[[#This Row],[Valor da Venda]]</f>
        <v>0.24324324324324326</v>
      </c>
      <c r="L3679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3679"/>
    </row>
    <row r="3680" spans="1:13" x14ac:dyDescent="0.3">
      <c r="A3680" s="7">
        <v>400243</v>
      </c>
      <c r="B3680" t="str">
        <f>_xlfn.XLOOKUP(Vendas[[#This Row],[ID Vendedor]],Vendedores[ID],Vendedores[Nome])</f>
        <v>Marcelo</v>
      </c>
      <c r="C3680" s="7" t="str">
        <f>_xlfn.XLOOKUP(Vendas[[#This Row],[ID Vendedor]],Vendedores[ID],Vendedores[Setor])</f>
        <v>FM</v>
      </c>
      <c r="D3680" s="7" t="s">
        <v>20</v>
      </c>
      <c r="E3680" t="str">
        <f>_xlfn.XLOOKUP(Vendas[[#This Row],[ID Item Vendido]],Agregado[ID],Agregado[Produto])</f>
        <v>Barra de aço simples</v>
      </c>
      <c r="F3680" s="39">
        <v>45492</v>
      </c>
      <c r="G3680" s="7">
        <v>86</v>
      </c>
      <c r="H3680" s="3">
        <f>_xlfn.XLOOKUP(Vendas[[#This Row],[ID Item Vendido]],Agregado[ID],Agregado[Revenda])</f>
        <v>4.8</v>
      </c>
      <c r="I3680" s="3">
        <f>Vendas[[#This Row],[Valor Unitário]]*Vendas[[#This Row],[Qnt Vendida]]</f>
        <v>412.8</v>
      </c>
      <c r="J3680" s="3">
        <f>Vendas[[#This Row],[Valor da Venda]]-(_xlfn.XLOOKUP(Vendas[[#This Row],[ID Item Vendido]],Agregado[ID],Agregado[Custo])*Vendas[[#This Row],[Qnt Vendida]])</f>
        <v>51.600000000000023</v>
      </c>
      <c r="K3680" s="70">
        <f>Vendas[[#This Row],[Lucro da Venda]]/Vendas[[#This Row],[Valor da Venda]]</f>
        <v>0.12500000000000006</v>
      </c>
      <c r="L3680" s="3">
        <f>_xlfn.IFS(Vendas[[#This Row],[Margem de Lucro (%)]]&lt;15%,Vendas[[#This Row],[Valor da Venda]]*3%,Vendas[[#This Row],[Margem de Lucro (%)]]&lt;=20%,Vendas[[#This Row],[Valor da Venda]]*4.5%,TRUE,Vendas[[#This Row],[Valor da Venda]]*6%)</f>
        <v>12.384</v>
      </c>
      <c r="M3680"/>
    </row>
    <row r="3681" spans="1:13" x14ac:dyDescent="0.3">
      <c r="A3681" s="7">
        <v>400252</v>
      </c>
      <c r="B3681" t="str">
        <f>_xlfn.XLOOKUP(Vendas[[#This Row],[ID Vendedor]],Vendedores[ID],Vendedores[Nome])</f>
        <v>Renata</v>
      </c>
      <c r="C3681" s="7" t="str">
        <f>_xlfn.XLOOKUP(Vendas[[#This Row],[ID Vendedor]],Vendedores[ID],Vendedores[Setor])</f>
        <v>AB</v>
      </c>
      <c r="D3681" s="7" t="s">
        <v>24</v>
      </c>
      <c r="E3681" t="str">
        <f>_xlfn.XLOOKUP(Vendas[[#This Row],[ID Item Vendido]],Agregado[ID],Agregado[Produto])</f>
        <v>Resina plástica PET purificada saco de 25kg</v>
      </c>
      <c r="F3681" s="39">
        <v>45493</v>
      </c>
      <c r="G3681" s="7">
        <v>29</v>
      </c>
      <c r="H3681" s="3">
        <f>_xlfn.XLOOKUP(Vendas[[#This Row],[ID Item Vendido]],Agregado[ID],Agregado[Revenda])</f>
        <v>119</v>
      </c>
      <c r="I3681" s="3">
        <f>Vendas[[#This Row],[Valor Unitário]]*Vendas[[#This Row],[Qnt Vendida]]</f>
        <v>3451</v>
      </c>
      <c r="J3681" s="3">
        <f>Vendas[[#This Row],[Valor da Venda]]-(_xlfn.XLOOKUP(Vendas[[#This Row],[ID Item Vendido]],Agregado[ID],Agregado[Custo])*Vendas[[#This Row],[Qnt Vendida]])</f>
        <v>986</v>
      </c>
      <c r="K3681" s="70">
        <f>Vendas[[#This Row],[Lucro da Venda]]/Vendas[[#This Row],[Valor da Venda]]</f>
        <v>0.2857142857142857</v>
      </c>
      <c r="L3681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3681"/>
    </row>
    <row r="3682" spans="1:13" x14ac:dyDescent="0.3">
      <c r="A3682" s="7">
        <v>400244</v>
      </c>
      <c r="B3682" t="str">
        <f>_xlfn.XLOOKUP(Vendas[[#This Row],[ID Vendedor]],Vendedores[ID],Vendedores[Nome])</f>
        <v>Camila</v>
      </c>
      <c r="C3682" s="7" t="str">
        <f>_xlfn.XLOOKUP(Vendas[[#This Row],[ID Vendedor]],Vendedores[ID],Vendedores[Setor])</f>
        <v>AHD</v>
      </c>
      <c r="D3682" s="7" t="s">
        <v>28</v>
      </c>
      <c r="E3682" t="str">
        <f>_xlfn.XLOOKUP(Vendas[[#This Row],[ID Item Vendido]],Agregado[ID],Agregado[Produto])</f>
        <v>Peça usinada CNC</v>
      </c>
      <c r="F3682" s="39">
        <v>45493</v>
      </c>
      <c r="G3682" s="7">
        <v>2</v>
      </c>
      <c r="H3682" s="3">
        <f>_xlfn.XLOOKUP(Vendas[[#This Row],[ID Item Vendido]],Agregado[ID],Agregado[Revenda])</f>
        <v>192</v>
      </c>
      <c r="I3682" s="3">
        <f>Vendas[[#This Row],[Valor Unitário]]*Vendas[[#This Row],[Qnt Vendida]]</f>
        <v>384</v>
      </c>
      <c r="J3682" s="3">
        <f>Vendas[[#This Row],[Valor da Venda]]-(_xlfn.XLOOKUP(Vendas[[#This Row],[ID Item Vendido]],Agregado[ID],Agregado[Custo])*Vendas[[#This Row],[Qnt Vendida]])</f>
        <v>84</v>
      </c>
      <c r="K3682" s="70">
        <f>Vendas[[#This Row],[Lucro da Venda]]/Vendas[[#This Row],[Valor da Venda]]</f>
        <v>0.21875</v>
      </c>
      <c r="L3682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682"/>
    </row>
    <row r="3683" spans="1:13" x14ac:dyDescent="0.3">
      <c r="A3683" s="7">
        <v>400248</v>
      </c>
      <c r="B3683" t="str">
        <f>_xlfn.XLOOKUP(Vendas[[#This Row],[ID Vendedor]],Vendedores[ID],Vendedores[Nome])</f>
        <v>Patrícia</v>
      </c>
      <c r="C3683" s="7" t="str">
        <f>_xlfn.XLOOKUP(Vendas[[#This Row],[ID Vendedor]],Vendedores[ID],Vendedores[Setor])</f>
        <v>CM</v>
      </c>
      <c r="D3683" s="7" t="s">
        <v>43</v>
      </c>
      <c r="E3683" t="str">
        <f>_xlfn.XLOOKUP(Vendas[[#This Row],[ID Item Vendido]],Agregado[ID],Agregado[Produto])</f>
        <v>Madeira Bruta (Tora)</v>
      </c>
      <c r="F3683" s="39">
        <v>45493</v>
      </c>
      <c r="G3683" s="7">
        <v>1</v>
      </c>
      <c r="H3683" s="3">
        <f>_xlfn.XLOOKUP(Vendas[[#This Row],[ID Item Vendido]],Agregado[ID],Agregado[Revenda])</f>
        <v>212</v>
      </c>
      <c r="I3683" s="3">
        <f>Vendas[[#This Row],[Valor Unitário]]*Vendas[[#This Row],[Qnt Vendida]]</f>
        <v>212</v>
      </c>
      <c r="J3683" s="3">
        <f>Vendas[[#This Row],[Valor da Venda]]-(_xlfn.XLOOKUP(Vendas[[#This Row],[ID Item Vendido]],Agregado[ID],Agregado[Custo])*Vendas[[#This Row],[Qnt Vendida]])</f>
        <v>32</v>
      </c>
      <c r="K3683" s="70">
        <f>Vendas[[#This Row],[Lucro da Venda]]/Vendas[[#This Row],[Valor da Venda]]</f>
        <v>0.15094339622641509</v>
      </c>
      <c r="L3683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3683"/>
    </row>
    <row r="3684" spans="1:13" x14ac:dyDescent="0.3">
      <c r="A3684" s="7">
        <v>400241</v>
      </c>
      <c r="B3684" t="str">
        <f>_xlfn.XLOOKUP(Vendas[[#This Row],[ID Vendedor]],Vendedores[ID],Vendedores[Nome])</f>
        <v>Rodrigo</v>
      </c>
      <c r="C3684" s="7" t="str">
        <f>_xlfn.XLOOKUP(Vendas[[#This Row],[ID Vendedor]],Vendedores[ID],Vendedores[Setor])</f>
        <v>FM</v>
      </c>
      <c r="D3684" s="7" t="s">
        <v>20</v>
      </c>
      <c r="E3684" t="str">
        <f>_xlfn.XLOOKUP(Vendas[[#This Row],[ID Item Vendido]],Agregado[ID],Agregado[Produto])</f>
        <v>Barra de aço simples</v>
      </c>
      <c r="F3684" s="39">
        <v>45493</v>
      </c>
      <c r="G3684" s="7">
        <v>24</v>
      </c>
      <c r="H3684" s="3">
        <f>_xlfn.XLOOKUP(Vendas[[#This Row],[ID Item Vendido]],Agregado[ID],Agregado[Revenda])</f>
        <v>4.8</v>
      </c>
      <c r="I3684" s="3">
        <f>Vendas[[#This Row],[Valor Unitário]]*Vendas[[#This Row],[Qnt Vendida]]</f>
        <v>115.19999999999999</v>
      </c>
      <c r="J3684" s="3">
        <f>Vendas[[#This Row],[Valor da Venda]]-(_xlfn.XLOOKUP(Vendas[[#This Row],[ID Item Vendido]],Agregado[ID],Agregado[Custo])*Vendas[[#This Row],[Qnt Vendida]])</f>
        <v>14.399999999999977</v>
      </c>
      <c r="K3684" s="70">
        <f>Vendas[[#This Row],[Lucro da Venda]]/Vendas[[#This Row],[Valor da Venda]]</f>
        <v>0.12499999999999982</v>
      </c>
      <c r="L3684" s="3">
        <f>_xlfn.IFS(Vendas[[#This Row],[Margem de Lucro (%)]]&lt;15%,Vendas[[#This Row],[Valor da Venda]]*3%,Vendas[[#This Row],[Margem de Lucro (%)]]&lt;=20%,Vendas[[#This Row],[Valor da Venda]]*4.5%,TRUE,Vendas[[#This Row],[Valor da Venda]]*6%)</f>
        <v>3.4559999999999995</v>
      </c>
      <c r="M3684"/>
    </row>
    <row r="3685" spans="1:13" x14ac:dyDescent="0.3">
      <c r="A3685" s="7">
        <v>400250</v>
      </c>
      <c r="B3685" t="str">
        <f>_xlfn.XLOOKUP(Vendas[[#This Row],[ID Vendedor]],Vendedores[ID],Vendedores[Nome])</f>
        <v>Larissa</v>
      </c>
      <c r="C3685" s="7" t="str">
        <f>_xlfn.XLOOKUP(Vendas[[#This Row],[ID Vendedor]],Vendedores[ID],Vendedores[Setor])</f>
        <v>AB</v>
      </c>
      <c r="D3685" s="7" t="s">
        <v>12</v>
      </c>
      <c r="E3685" t="str">
        <f>_xlfn.XLOOKUP(Vendas[[#This Row],[ID Item Vendido]],Agregado[ID],Agregado[Produto])</f>
        <v>Grânulo de plástico reciclado refinado</v>
      </c>
      <c r="F3685" s="39">
        <v>45493</v>
      </c>
      <c r="G3685" s="7">
        <v>14</v>
      </c>
      <c r="H3685" s="3">
        <f>_xlfn.XLOOKUP(Vendas[[#This Row],[ID Item Vendido]],Agregado[ID],Agregado[Revenda])</f>
        <v>4.7</v>
      </c>
      <c r="I3685" s="3">
        <f>Vendas[[#This Row],[Valor Unitário]]*Vendas[[#This Row],[Qnt Vendida]]</f>
        <v>65.8</v>
      </c>
      <c r="J3685" s="3">
        <f>Vendas[[#This Row],[Valor da Venda]]-(_xlfn.XLOOKUP(Vendas[[#This Row],[ID Item Vendido]],Agregado[ID],Agregado[Custo])*Vendas[[#This Row],[Qnt Vendida]])</f>
        <v>16.799999999999997</v>
      </c>
      <c r="K3685" s="70">
        <f>Vendas[[#This Row],[Lucro da Venda]]/Vendas[[#This Row],[Valor da Venda]]</f>
        <v>0.25531914893617019</v>
      </c>
      <c r="L3685" s="3">
        <f>_xlfn.IFS(Vendas[[#This Row],[Margem de Lucro (%)]]&lt;15%,Vendas[[#This Row],[Valor da Venda]]*3%,Vendas[[#This Row],[Margem de Lucro (%)]]&lt;=20%,Vendas[[#This Row],[Valor da Venda]]*4.5%,TRUE,Vendas[[#This Row],[Valor da Venda]]*6%)</f>
        <v>3.9479999999999995</v>
      </c>
      <c r="M3685"/>
    </row>
    <row r="3686" spans="1:13" x14ac:dyDescent="0.3">
      <c r="A3686" s="7">
        <v>400255</v>
      </c>
      <c r="B3686" t="str">
        <f>_xlfn.XLOOKUP(Vendas[[#This Row],[ID Vendedor]],Vendedores[ID],Vendedores[Nome])</f>
        <v>Carlos</v>
      </c>
      <c r="C3686" s="7" t="str">
        <f>_xlfn.XLOOKUP(Vendas[[#This Row],[ID Vendedor]],Vendedores[ID],Vendedores[Setor])</f>
        <v>SC</v>
      </c>
      <c r="D3686" s="7" t="s">
        <v>48</v>
      </c>
      <c r="E3686" t="str">
        <f>_xlfn.XLOOKUP(Vendas[[#This Row],[ID Item Vendido]],Agregado[ID],Agregado[Produto])</f>
        <v>Tambor metálico 200L</v>
      </c>
      <c r="F3686" s="39">
        <v>45494</v>
      </c>
      <c r="G3686" s="7">
        <v>20</v>
      </c>
      <c r="H3686" s="3">
        <f>_xlfn.XLOOKUP(Vendas[[#This Row],[ID Item Vendido]],Agregado[ID],Agregado[Revenda])</f>
        <v>144</v>
      </c>
      <c r="I3686" s="3">
        <f>Vendas[[#This Row],[Valor Unitário]]*Vendas[[#This Row],[Qnt Vendida]]</f>
        <v>2880</v>
      </c>
      <c r="J3686" s="3">
        <f>Vendas[[#This Row],[Valor da Venda]]-(_xlfn.XLOOKUP(Vendas[[#This Row],[ID Item Vendido]],Agregado[ID],Agregado[Custo])*Vendas[[#This Row],[Qnt Vendida]])</f>
        <v>480</v>
      </c>
      <c r="K3686" s="70">
        <f>Vendas[[#This Row],[Lucro da Venda]]/Vendas[[#This Row],[Valor da Venda]]</f>
        <v>0.16666666666666666</v>
      </c>
      <c r="L3686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3686"/>
    </row>
    <row r="3687" spans="1:13" x14ac:dyDescent="0.3">
      <c r="A3687" s="7">
        <v>400246</v>
      </c>
      <c r="B3687" t="str">
        <f>_xlfn.XLOOKUP(Vendas[[#This Row],[ID Vendedor]],Vendedores[ID],Vendedores[Nome])</f>
        <v>Juliana</v>
      </c>
      <c r="C3687" s="7" t="str">
        <f>_xlfn.XLOOKUP(Vendas[[#This Row],[ID Vendedor]],Vendedores[ID],Vendedores[Setor])</f>
        <v>AHD</v>
      </c>
      <c r="D3687" s="7" t="s">
        <v>18</v>
      </c>
      <c r="E3687" t="str">
        <f>_xlfn.XLOOKUP(Vendas[[#This Row],[ID Item Vendido]],Agregado[ID],Agregado[Produto])</f>
        <v>Peça forjada sob encomenda</v>
      </c>
      <c r="F3687" s="39">
        <v>45494</v>
      </c>
      <c r="G3687" s="7">
        <v>5</v>
      </c>
      <c r="H3687" s="3">
        <f>_xlfn.XLOOKUP(Vendas[[#This Row],[ID Item Vendido]],Agregado[ID],Agregado[Revenda])</f>
        <v>264.60000000000002</v>
      </c>
      <c r="I3687" s="3">
        <f>Vendas[[#This Row],[Valor Unitário]]*Vendas[[#This Row],[Qnt Vendida]]</f>
        <v>1323</v>
      </c>
      <c r="J3687" s="3">
        <f>Vendas[[#This Row],[Valor da Venda]]-(_xlfn.XLOOKUP(Vendas[[#This Row],[ID Item Vendido]],Agregado[ID],Agregado[Custo])*Vendas[[#This Row],[Qnt Vendida]])</f>
        <v>73</v>
      </c>
      <c r="K3687" s="70">
        <f>Vendas[[#This Row],[Lucro da Venda]]/Vendas[[#This Row],[Valor da Venda]]</f>
        <v>5.5177626606198037E-2</v>
      </c>
      <c r="L368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687"/>
    </row>
    <row r="3688" spans="1:13" x14ac:dyDescent="0.3">
      <c r="A3688" s="7">
        <v>400253</v>
      </c>
      <c r="B3688" t="str">
        <f>_xlfn.XLOOKUP(Vendas[[#This Row],[ID Vendedor]],Vendedores[ID],Vendedores[Nome])</f>
        <v>Gustavo</v>
      </c>
      <c r="C3688" s="7" t="str">
        <f>_xlfn.XLOOKUP(Vendas[[#This Row],[ID Vendedor]],Vendedores[ID],Vendedores[Setor])</f>
        <v>SC</v>
      </c>
      <c r="D3688" s="7" t="s">
        <v>14</v>
      </c>
      <c r="E3688" t="str">
        <f>_xlfn.XLOOKUP(Vendas[[#This Row],[ID Item Vendido]],Agregado[ID],Agregado[Produto])</f>
        <v>Barril de plástico 200L</v>
      </c>
      <c r="F3688" s="39">
        <v>45494</v>
      </c>
      <c r="G3688" s="7">
        <v>11</v>
      </c>
      <c r="H3688" s="3">
        <f>_xlfn.XLOOKUP(Vendas[[#This Row],[ID Item Vendido]],Agregado[ID],Agregado[Revenda])</f>
        <v>114</v>
      </c>
      <c r="I3688" s="3">
        <f>Vendas[[#This Row],[Valor Unitário]]*Vendas[[#This Row],[Qnt Vendida]]</f>
        <v>1254</v>
      </c>
      <c r="J3688" s="3">
        <f>Vendas[[#This Row],[Valor da Venda]]-(_xlfn.XLOOKUP(Vendas[[#This Row],[ID Item Vendido]],Agregado[ID],Agregado[Custo])*Vendas[[#This Row],[Qnt Vendida]])</f>
        <v>209</v>
      </c>
      <c r="K3688" s="70">
        <f>Vendas[[#This Row],[Lucro da Venda]]/Vendas[[#This Row],[Valor da Venda]]</f>
        <v>0.16666666666666666</v>
      </c>
      <c r="L3688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688"/>
    </row>
    <row r="3689" spans="1:13" x14ac:dyDescent="0.3">
      <c r="A3689" s="7">
        <v>400249</v>
      </c>
      <c r="B3689" t="str">
        <f>_xlfn.XLOOKUP(Vendas[[#This Row],[ID Vendedor]],Vendedores[ID],Vendedores[Nome])</f>
        <v>Bruno</v>
      </c>
      <c r="C3689" s="7" t="str">
        <f>_xlfn.XLOOKUP(Vendas[[#This Row],[ID Vendedor]],Vendedores[ID],Vendedores[Setor])</f>
        <v>CM</v>
      </c>
      <c r="D3689" s="7" t="s">
        <v>22</v>
      </c>
      <c r="E3689" t="str">
        <f>_xlfn.XLOOKUP(Vendas[[#This Row],[ID Item Vendido]],Agregado[ID],Agregado[Produto])</f>
        <v>Painel MDP 2,75x1,83m</v>
      </c>
      <c r="F3689" s="39">
        <v>45494</v>
      </c>
      <c r="G3689" s="7">
        <v>6</v>
      </c>
      <c r="H3689" s="3">
        <f>_xlfn.XLOOKUP(Vendas[[#This Row],[ID Item Vendido]],Agregado[ID],Agregado[Revenda])</f>
        <v>119</v>
      </c>
      <c r="I3689" s="3">
        <f>Vendas[[#This Row],[Valor Unitário]]*Vendas[[#This Row],[Qnt Vendida]]</f>
        <v>714</v>
      </c>
      <c r="J3689" s="3">
        <f>Vendas[[#This Row],[Valor da Venda]]-(_xlfn.XLOOKUP(Vendas[[#This Row],[ID Item Vendido]],Agregado[ID],Agregado[Custo])*Vendas[[#This Row],[Qnt Vendida]])</f>
        <v>144</v>
      </c>
      <c r="K3689" s="70">
        <f>Vendas[[#This Row],[Lucro da Venda]]/Vendas[[#This Row],[Valor da Venda]]</f>
        <v>0.20168067226890757</v>
      </c>
      <c r="L3689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689"/>
    </row>
    <row r="3690" spans="1:13" x14ac:dyDescent="0.3">
      <c r="A3690" s="7">
        <v>400250</v>
      </c>
      <c r="B3690" t="str">
        <f>_xlfn.XLOOKUP(Vendas[[#This Row],[ID Vendedor]],Vendedores[ID],Vendedores[Nome])</f>
        <v>Larissa</v>
      </c>
      <c r="C3690" s="7" t="str">
        <f>_xlfn.XLOOKUP(Vendas[[#This Row],[ID Vendedor]],Vendedores[ID],Vendedores[Setor])</f>
        <v>AB</v>
      </c>
      <c r="D3690" s="7" t="s">
        <v>36</v>
      </c>
      <c r="E3690" t="str">
        <f>_xlfn.XLOOKUP(Vendas[[#This Row],[ID Item Vendido]],Agregado[ID],Agregado[Produto])</f>
        <v>Borracha vulcanizada em manta</v>
      </c>
      <c r="F3690" s="39">
        <v>45494</v>
      </c>
      <c r="G3690" s="7">
        <v>16</v>
      </c>
      <c r="H3690" s="3">
        <f>_xlfn.XLOOKUP(Vendas[[#This Row],[ID Item Vendido]],Agregado[ID],Agregado[Revenda])</f>
        <v>7.8</v>
      </c>
      <c r="I3690" s="3">
        <f>Vendas[[#This Row],[Valor Unitário]]*Vendas[[#This Row],[Qnt Vendida]]</f>
        <v>124.8</v>
      </c>
      <c r="J3690" s="3">
        <f>Vendas[[#This Row],[Valor da Venda]]-(_xlfn.XLOOKUP(Vendas[[#This Row],[ID Item Vendido]],Agregado[ID],Agregado[Custo])*Vendas[[#This Row],[Qnt Vendida]])</f>
        <v>28.799999999999997</v>
      </c>
      <c r="K3690" s="70">
        <f>Vendas[[#This Row],[Lucro da Venda]]/Vendas[[#This Row],[Valor da Venda]]</f>
        <v>0.23076923076923075</v>
      </c>
      <c r="L3690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3690"/>
    </row>
    <row r="3691" spans="1:13" x14ac:dyDescent="0.3">
      <c r="A3691" s="7">
        <v>400251</v>
      </c>
      <c r="B3691" t="str">
        <f>_xlfn.XLOOKUP(Vendas[[#This Row],[ID Vendedor]],Vendedores[ID],Vendedores[Nome])</f>
        <v>Diego</v>
      </c>
      <c r="C3691" s="7" t="str">
        <f>_xlfn.XLOOKUP(Vendas[[#This Row],[ID Vendedor]],Vendedores[ID],Vendedores[Setor])</f>
        <v>AB</v>
      </c>
      <c r="D3691" s="7" t="s">
        <v>37</v>
      </c>
      <c r="E3691" t="str">
        <f>_xlfn.XLOOKUP(Vendas[[#This Row],[ID Item Vendido]],Agregado[ID],Agregado[Produto])</f>
        <v>Composto de borracha para vedação rolo 10m</v>
      </c>
      <c r="F3691" s="39">
        <v>45495</v>
      </c>
      <c r="G3691" s="7">
        <v>23</v>
      </c>
      <c r="H3691" s="3">
        <f>_xlfn.XLOOKUP(Vendas[[#This Row],[ID Item Vendido]],Agregado[ID],Agregado[Revenda])</f>
        <v>51.2</v>
      </c>
      <c r="I3691" s="3">
        <f>Vendas[[#This Row],[Valor Unitário]]*Vendas[[#This Row],[Qnt Vendida]]</f>
        <v>1177.6000000000001</v>
      </c>
      <c r="J3691" s="3">
        <f>Vendas[[#This Row],[Valor da Venda]]-(_xlfn.XLOOKUP(Vendas[[#This Row],[ID Item Vendido]],Agregado[ID],Agregado[Custo])*Vendas[[#This Row],[Qnt Vendida]])</f>
        <v>257.60000000000014</v>
      </c>
      <c r="K3691" s="70">
        <f>Vendas[[#This Row],[Lucro da Venda]]/Vendas[[#This Row],[Valor da Venda]]</f>
        <v>0.21875000000000008</v>
      </c>
      <c r="L3691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3691"/>
    </row>
    <row r="3692" spans="1:13" x14ac:dyDescent="0.3">
      <c r="A3692" s="7">
        <v>400253</v>
      </c>
      <c r="B3692" t="str">
        <f>_xlfn.XLOOKUP(Vendas[[#This Row],[ID Vendedor]],Vendedores[ID],Vendedores[Nome])</f>
        <v>Gustavo</v>
      </c>
      <c r="C3692" s="7" t="str">
        <f>_xlfn.XLOOKUP(Vendas[[#This Row],[ID Vendedor]],Vendedores[ID],Vendedores[Setor])</f>
        <v>SC</v>
      </c>
      <c r="D3692" s="7" t="s">
        <v>14</v>
      </c>
      <c r="E3692" t="str">
        <f>_xlfn.XLOOKUP(Vendas[[#This Row],[ID Item Vendido]],Agregado[ID],Agregado[Produto])</f>
        <v>Barril de plástico 200L</v>
      </c>
      <c r="F3692" s="39">
        <v>45495</v>
      </c>
      <c r="G3692" s="7">
        <v>9</v>
      </c>
      <c r="H3692" s="3">
        <f>_xlfn.XLOOKUP(Vendas[[#This Row],[ID Item Vendido]],Agregado[ID],Agregado[Revenda])</f>
        <v>114</v>
      </c>
      <c r="I3692" s="3">
        <f>Vendas[[#This Row],[Valor Unitário]]*Vendas[[#This Row],[Qnt Vendida]]</f>
        <v>1026</v>
      </c>
      <c r="J3692" s="3">
        <f>Vendas[[#This Row],[Valor da Venda]]-(_xlfn.XLOOKUP(Vendas[[#This Row],[ID Item Vendido]],Agregado[ID],Agregado[Custo])*Vendas[[#This Row],[Qnt Vendida]])</f>
        <v>171</v>
      </c>
      <c r="K3692" s="70">
        <f>Vendas[[#This Row],[Lucro da Venda]]/Vendas[[#This Row],[Valor da Venda]]</f>
        <v>0.16666666666666666</v>
      </c>
      <c r="L3692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3692"/>
    </row>
    <row r="3693" spans="1:13" x14ac:dyDescent="0.3">
      <c r="A3693" s="7">
        <v>400246</v>
      </c>
      <c r="B3693" t="str">
        <f>_xlfn.XLOOKUP(Vendas[[#This Row],[ID Vendedor]],Vendedores[ID],Vendedores[Nome])</f>
        <v>Juliana</v>
      </c>
      <c r="C3693" s="7" t="str">
        <f>_xlfn.XLOOKUP(Vendas[[#This Row],[ID Vendedor]],Vendedores[ID],Vendedores[Setor])</f>
        <v>AHD</v>
      </c>
      <c r="D3693" s="7" t="s">
        <v>9</v>
      </c>
      <c r="E3693" t="str">
        <f>_xlfn.XLOOKUP(Vendas[[#This Row],[ID Item Vendido]],Agregado[ID],Agregado[Produto])</f>
        <v>Barra de aço simples</v>
      </c>
      <c r="F3693" s="39">
        <v>45495</v>
      </c>
      <c r="G3693" s="7">
        <v>145</v>
      </c>
      <c r="H3693" s="3">
        <f>_xlfn.XLOOKUP(Vendas[[#This Row],[ID Item Vendido]],Agregado[ID],Agregado[Revenda])</f>
        <v>6.7</v>
      </c>
      <c r="I3693" s="3">
        <f>Vendas[[#This Row],[Valor Unitário]]*Vendas[[#This Row],[Qnt Vendida]]</f>
        <v>971.5</v>
      </c>
      <c r="J3693" s="3">
        <f>Vendas[[#This Row],[Valor da Venda]]-(_xlfn.XLOOKUP(Vendas[[#This Row],[ID Item Vendido]],Agregado[ID],Agregado[Custo])*Vendas[[#This Row],[Qnt Vendida]])</f>
        <v>130.5</v>
      </c>
      <c r="K3693" s="70">
        <f>Vendas[[#This Row],[Lucro da Venda]]/Vendas[[#This Row],[Valor da Venda]]</f>
        <v>0.13432835820895522</v>
      </c>
      <c r="L3693" s="3">
        <f>_xlfn.IFS(Vendas[[#This Row],[Margem de Lucro (%)]]&lt;15%,Vendas[[#This Row],[Valor da Venda]]*3%,Vendas[[#This Row],[Margem de Lucro (%)]]&lt;=20%,Vendas[[#This Row],[Valor da Venda]]*4.5%,TRUE,Vendas[[#This Row],[Valor da Venda]]*6%)</f>
        <v>29.145</v>
      </c>
      <c r="M3693"/>
    </row>
    <row r="3694" spans="1:13" x14ac:dyDescent="0.3">
      <c r="A3694" s="7">
        <v>400254</v>
      </c>
      <c r="B3694" t="str">
        <f>_xlfn.XLOOKUP(Vendas[[#This Row],[ID Vendedor]],Vendedores[ID],Vendedores[Nome])</f>
        <v>Beatriz</v>
      </c>
      <c r="C3694" s="7" t="str">
        <f>_xlfn.XLOOKUP(Vendas[[#This Row],[ID Vendedor]],Vendedores[ID],Vendedores[Setor])</f>
        <v>SC</v>
      </c>
      <c r="D3694" s="7" t="s">
        <v>48</v>
      </c>
      <c r="E3694" t="str">
        <f>_xlfn.XLOOKUP(Vendas[[#This Row],[ID Item Vendido]],Agregado[ID],Agregado[Produto])</f>
        <v>Tambor metálico 200L</v>
      </c>
      <c r="F3694" s="39">
        <v>45495</v>
      </c>
      <c r="G3694" s="7">
        <v>5</v>
      </c>
      <c r="H3694" s="3">
        <f>_xlfn.XLOOKUP(Vendas[[#This Row],[ID Item Vendido]],Agregado[ID],Agregado[Revenda])</f>
        <v>144</v>
      </c>
      <c r="I3694" s="3">
        <f>Vendas[[#This Row],[Valor Unitário]]*Vendas[[#This Row],[Qnt Vendida]]</f>
        <v>720</v>
      </c>
      <c r="J3694" s="3">
        <f>Vendas[[#This Row],[Valor da Venda]]-(_xlfn.XLOOKUP(Vendas[[#This Row],[ID Item Vendido]],Agregado[ID],Agregado[Custo])*Vendas[[#This Row],[Qnt Vendida]])</f>
        <v>120</v>
      </c>
      <c r="K3694" s="70">
        <f>Vendas[[#This Row],[Lucro da Venda]]/Vendas[[#This Row],[Valor da Venda]]</f>
        <v>0.16666666666666666</v>
      </c>
      <c r="L3694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3694"/>
    </row>
    <row r="3695" spans="1:13" x14ac:dyDescent="0.3">
      <c r="A3695" s="7">
        <v>400252</v>
      </c>
      <c r="B3695" t="str">
        <f>_xlfn.XLOOKUP(Vendas[[#This Row],[ID Vendedor]],Vendedores[ID],Vendedores[Nome])</f>
        <v>Renata</v>
      </c>
      <c r="C3695" s="7" t="str">
        <f>_xlfn.XLOOKUP(Vendas[[#This Row],[ID Vendedor]],Vendedores[ID],Vendedores[Setor])</f>
        <v>AB</v>
      </c>
      <c r="D3695" s="7" t="s">
        <v>37</v>
      </c>
      <c r="E3695" t="str">
        <f>_xlfn.XLOOKUP(Vendas[[#This Row],[ID Item Vendido]],Agregado[ID],Agregado[Produto])</f>
        <v>Composto de borracha para vedação rolo 10m</v>
      </c>
      <c r="F3695" s="39">
        <v>45495</v>
      </c>
      <c r="G3695" s="7">
        <v>5</v>
      </c>
      <c r="H3695" s="3">
        <f>_xlfn.XLOOKUP(Vendas[[#This Row],[ID Item Vendido]],Agregado[ID],Agregado[Revenda])</f>
        <v>51.2</v>
      </c>
      <c r="I3695" s="3">
        <f>Vendas[[#This Row],[Valor Unitário]]*Vendas[[#This Row],[Qnt Vendida]]</f>
        <v>256</v>
      </c>
      <c r="J3695" s="3">
        <f>Vendas[[#This Row],[Valor da Venda]]-(_xlfn.XLOOKUP(Vendas[[#This Row],[ID Item Vendido]],Agregado[ID],Agregado[Custo])*Vendas[[#This Row],[Qnt Vendida]])</f>
        <v>56</v>
      </c>
      <c r="K3695" s="70">
        <f>Vendas[[#This Row],[Lucro da Venda]]/Vendas[[#This Row],[Valor da Venda]]</f>
        <v>0.21875</v>
      </c>
      <c r="L3695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3695"/>
    </row>
    <row r="3696" spans="1:13" x14ac:dyDescent="0.3">
      <c r="A3696" s="7">
        <v>400250</v>
      </c>
      <c r="B3696" t="str">
        <f>_xlfn.XLOOKUP(Vendas[[#This Row],[ID Vendedor]],Vendedores[ID],Vendedores[Nome])</f>
        <v>Larissa</v>
      </c>
      <c r="C3696" s="7" t="str">
        <f>_xlfn.XLOOKUP(Vendas[[#This Row],[ID Vendedor]],Vendedores[ID],Vendedores[Setor])</f>
        <v>AB</v>
      </c>
      <c r="D3696" s="7" t="s">
        <v>24</v>
      </c>
      <c r="E3696" t="str">
        <f>_xlfn.XLOOKUP(Vendas[[#This Row],[ID Item Vendido]],Agregado[ID],Agregado[Produto])</f>
        <v>Resina plástica PET purificada saco de 25kg</v>
      </c>
      <c r="F3696" s="39">
        <v>45496</v>
      </c>
      <c r="G3696" s="7">
        <v>25</v>
      </c>
      <c r="H3696" s="3">
        <f>_xlfn.XLOOKUP(Vendas[[#This Row],[ID Item Vendido]],Agregado[ID],Agregado[Revenda])</f>
        <v>119</v>
      </c>
      <c r="I3696" s="3">
        <f>Vendas[[#This Row],[Valor Unitário]]*Vendas[[#This Row],[Qnt Vendida]]</f>
        <v>2975</v>
      </c>
      <c r="J3696" s="3">
        <f>Vendas[[#This Row],[Valor da Venda]]-(_xlfn.XLOOKUP(Vendas[[#This Row],[ID Item Vendido]],Agregado[ID],Agregado[Custo])*Vendas[[#This Row],[Qnt Vendida]])</f>
        <v>850</v>
      </c>
      <c r="K3696" s="70">
        <f>Vendas[[#This Row],[Lucro da Venda]]/Vendas[[#This Row],[Valor da Venda]]</f>
        <v>0.2857142857142857</v>
      </c>
      <c r="L3696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3696"/>
    </row>
    <row r="3697" spans="1:13" x14ac:dyDescent="0.3">
      <c r="A3697" s="7">
        <v>400253</v>
      </c>
      <c r="B3697" t="str">
        <f>_xlfn.XLOOKUP(Vendas[[#This Row],[ID Vendedor]],Vendedores[ID],Vendedores[Nome])</f>
        <v>Gustavo</v>
      </c>
      <c r="C3697" s="7" t="str">
        <f>_xlfn.XLOOKUP(Vendas[[#This Row],[ID Vendedor]],Vendedores[ID],Vendedores[Setor])</f>
        <v>SC</v>
      </c>
      <c r="D3697" s="7" t="s">
        <v>48</v>
      </c>
      <c r="E3697" t="str">
        <f>_xlfn.XLOOKUP(Vendas[[#This Row],[ID Item Vendido]],Agregado[ID],Agregado[Produto])</f>
        <v>Tambor metálico 200L</v>
      </c>
      <c r="F3697" s="39">
        <v>45496</v>
      </c>
      <c r="G3697" s="7">
        <v>15</v>
      </c>
      <c r="H3697" s="3">
        <f>_xlfn.XLOOKUP(Vendas[[#This Row],[ID Item Vendido]],Agregado[ID],Agregado[Revenda])</f>
        <v>144</v>
      </c>
      <c r="I3697" s="3">
        <f>Vendas[[#This Row],[Valor Unitário]]*Vendas[[#This Row],[Qnt Vendida]]</f>
        <v>2160</v>
      </c>
      <c r="J3697" s="3">
        <f>Vendas[[#This Row],[Valor da Venda]]-(_xlfn.XLOOKUP(Vendas[[#This Row],[ID Item Vendido]],Agregado[ID],Agregado[Custo])*Vendas[[#This Row],[Qnt Vendida]])</f>
        <v>360</v>
      </c>
      <c r="K3697" s="70">
        <f>Vendas[[#This Row],[Lucro da Venda]]/Vendas[[#This Row],[Valor da Venda]]</f>
        <v>0.16666666666666666</v>
      </c>
      <c r="L3697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3697"/>
    </row>
    <row r="3698" spans="1:13" x14ac:dyDescent="0.3">
      <c r="A3698" s="7">
        <v>400246</v>
      </c>
      <c r="B3698" t="str">
        <f>_xlfn.XLOOKUP(Vendas[[#This Row],[ID Vendedor]],Vendedores[ID],Vendedores[Nome])</f>
        <v>Juliana</v>
      </c>
      <c r="C3698" s="7" t="str">
        <f>_xlfn.XLOOKUP(Vendas[[#This Row],[ID Vendedor]],Vendedores[ID],Vendedores[Setor])</f>
        <v>AHD</v>
      </c>
      <c r="D3698" s="7" t="s">
        <v>9</v>
      </c>
      <c r="E3698" t="str">
        <f>_xlfn.XLOOKUP(Vendas[[#This Row],[ID Item Vendido]],Agregado[ID],Agregado[Produto])</f>
        <v>Barra de aço simples</v>
      </c>
      <c r="F3698" s="39">
        <v>45496</v>
      </c>
      <c r="G3698" s="7">
        <v>80</v>
      </c>
      <c r="H3698" s="3">
        <f>_xlfn.XLOOKUP(Vendas[[#This Row],[ID Item Vendido]],Agregado[ID],Agregado[Revenda])</f>
        <v>6.7</v>
      </c>
      <c r="I3698" s="3">
        <f>Vendas[[#This Row],[Valor Unitário]]*Vendas[[#This Row],[Qnt Vendida]]</f>
        <v>536</v>
      </c>
      <c r="J3698" s="3">
        <f>Vendas[[#This Row],[Valor da Venda]]-(_xlfn.XLOOKUP(Vendas[[#This Row],[ID Item Vendido]],Agregado[ID],Agregado[Custo])*Vendas[[#This Row],[Qnt Vendida]])</f>
        <v>72</v>
      </c>
      <c r="K3698" s="70">
        <f>Vendas[[#This Row],[Lucro da Venda]]/Vendas[[#This Row],[Valor da Venda]]</f>
        <v>0.13432835820895522</v>
      </c>
      <c r="L3698" s="3">
        <f>_xlfn.IFS(Vendas[[#This Row],[Margem de Lucro (%)]]&lt;15%,Vendas[[#This Row],[Valor da Venda]]*3%,Vendas[[#This Row],[Margem de Lucro (%)]]&lt;=20%,Vendas[[#This Row],[Valor da Venda]]*4.5%,TRUE,Vendas[[#This Row],[Valor da Venda]]*6%)</f>
        <v>16.079999999999998</v>
      </c>
      <c r="M3698"/>
    </row>
    <row r="3699" spans="1:13" x14ac:dyDescent="0.3">
      <c r="A3699" s="7">
        <v>400246</v>
      </c>
      <c r="B3699" t="str">
        <f>_xlfn.XLOOKUP(Vendas[[#This Row],[ID Vendedor]],Vendedores[ID],Vendedores[Nome])</f>
        <v>Juliana</v>
      </c>
      <c r="C3699" s="7" t="str">
        <f>_xlfn.XLOOKUP(Vendas[[#This Row],[ID Vendedor]],Vendedores[ID],Vendedores[Setor])</f>
        <v>AHD</v>
      </c>
      <c r="D3699" s="7" t="s">
        <v>28</v>
      </c>
      <c r="E3699" t="str">
        <f>_xlfn.XLOOKUP(Vendas[[#This Row],[ID Item Vendido]],Agregado[ID],Agregado[Produto])</f>
        <v>Peça usinada CNC</v>
      </c>
      <c r="F3699" s="39">
        <v>45497</v>
      </c>
      <c r="G3699" s="7">
        <v>14</v>
      </c>
      <c r="H3699" s="3">
        <f>_xlfn.XLOOKUP(Vendas[[#This Row],[ID Item Vendido]],Agregado[ID],Agregado[Revenda])</f>
        <v>192</v>
      </c>
      <c r="I3699" s="3">
        <f>Vendas[[#This Row],[Valor Unitário]]*Vendas[[#This Row],[Qnt Vendida]]</f>
        <v>2688</v>
      </c>
      <c r="J3699" s="3">
        <f>Vendas[[#This Row],[Valor da Venda]]-(_xlfn.XLOOKUP(Vendas[[#This Row],[ID Item Vendido]],Agregado[ID],Agregado[Custo])*Vendas[[#This Row],[Qnt Vendida]])</f>
        <v>588</v>
      </c>
      <c r="K3699" s="70">
        <f>Vendas[[#This Row],[Lucro da Venda]]/Vendas[[#This Row],[Valor da Venda]]</f>
        <v>0.21875</v>
      </c>
      <c r="L3699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3699"/>
    </row>
    <row r="3700" spans="1:13" x14ac:dyDescent="0.3">
      <c r="A3700" s="7">
        <v>400246</v>
      </c>
      <c r="B3700" t="str">
        <f>_xlfn.XLOOKUP(Vendas[[#This Row],[ID Vendedor]],Vendedores[ID],Vendedores[Nome])</f>
        <v>Juliana</v>
      </c>
      <c r="C3700" s="7" t="str">
        <f>_xlfn.XLOOKUP(Vendas[[#This Row],[ID Vendedor]],Vendedores[ID],Vendedores[Setor])</f>
        <v>AHD</v>
      </c>
      <c r="D3700" s="7" t="s">
        <v>28</v>
      </c>
      <c r="E3700" t="str">
        <f>_xlfn.XLOOKUP(Vendas[[#This Row],[ID Item Vendido]],Agregado[ID],Agregado[Produto])</f>
        <v>Peça usinada CNC</v>
      </c>
      <c r="F3700" s="39">
        <v>45497</v>
      </c>
      <c r="G3700" s="7">
        <v>7</v>
      </c>
      <c r="H3700" s="3">
        <f>_xlfn.XLOOKUP(Vendas[[#This Row],[ID Item Vendido]],Agregado[ID],Agregado[Revenda])</f>
        <v>192</v>
      </c>
      <c r="I3700" s="3">
        <f>Vendas[[#This Row],[Valor Unitário]]*Vendas[[#This Row],[Qnt Vendida]]</f>
        <v>1344</v>
      </c>
      <c r="J3700" s="3">
        <f>Vendas[[#This Row],[Valor da Venda]]-(_xlfn.XLOOKUP(Vendas[[#This Row],[ID Item Vendido]],Agregado[ID],Agregado[Custo])*Vendas[[#This Row],[Qnt Vendida]])</f>
        <v>294</v>
      </c>
      <c r="K3700" s="70">
        <f>Vendas[[#This Row],[Lucro da Venda]]/Vendas[[#This Row],[Valor da Venda]]</f>
        <v>0.21875</v>
      </c>
      <c r="L3700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3700"/>
    </row>
    <row r="3701" spans="1:13" x14ac:dyDescent="0.3">
      <c r="A3701" s="7">
        <v>400255</v>
      </c>
      <c r="B3701" t="str">
        <f>_xlfn.XLOOKUP(Vendas[[#This Row],[ID Vendedor]],Vendedores[ID],Vendedores[Nome])</f>
        <v>Carlos</v>
      </c>
      <c r="C3701" s="7" t="str">
        <f>_xlfn.XLOOKUP(Vendas[[#This Row],[ID Vendedor]],Vendedores[ID],Vendedores[Setor])</f>
        <v>SC</v>
      </c>
      <c r="D3701" s="7" t="s">
        <v>14</v>
      </c>
      <c r="E3701" t="str">
        <f>_xlfn.XLOOKUP(Vendas[[#This Row],[ID Item Vendido]],Agregado[ID],Agregado[Produto])</f>
        <v>Barril de plástico 200L</v>
      </c>
      <c r="F3701" s="39">
        <v>45498</v>
      </c>
      <c r="G3701" s="7">
        <v>25</v>
      </c>
      <c r="H3701" s="3">
        <f>_xlfn.XLOOKUP(Vendas[[#This Row],[ID Item Vendido]],Agregado[ID],Agregado[Revenda])</f>
        <v>114</v>
      </c>
      <c r="I3701" s="3">
        <f>Vendas[[#This Row],[Valor Unitário]]*Vendas[[#This Row],[Qnt Vendida]]</f>
        <v>2850</v>
      </c>
      <c r="J3701" s="3">
        <f>Vendas[[#This Row],[Valor da Venda]]-(_xlfn.XLOOKUP(Vendas[[#This Row],[ID Item Vendido]],Agregado[ID],Agregado[Custo])*Vendas[[#This Row],[Qnt Vendida]])</f>
        <v>475</v>
      </c>
      <c r="K3701" s="70">
        <f>Vendas[[#This Row],[Lucro da Venda]]/Vendas[[#This Row],[Valor da Venda]]</f>
        <v>0.16666666666666666</v>
      </c>
      <c r="L3701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3701"/>
    </row>
    <row r="3702" spans="1:13" x14ac:dyDescent="0.3">
      <c r="A3702" s="7">
        <v>400247</v>
      </c>
      <c r="B3702" t="str">
        <f>_xlfn.XLOOKUP(Vendas[[#This Row],[ID Vendedor]],Vendedores[ID],Vendedores[Nome])</f>
        <v>André</v>
      </c>
      <c r="C3702" s="7" t="str">
        <f>_xlfn.XLOOKUP(Vendas[[#This Row],[ID Vendedor]],Vendedores[ID],Vendedores[Setor])</f>
        <v>CM</v>
      </c>
      <c r="D3702" s="7" t="s">
        <v>22</v>
      </c>
      <c r="E3702" t="str">
        <f>_xlfn.XLOOKUP(Vendas[[#This Row],[ID Item Vendido]],Agregado[ID],Agregado[Produto])</f>
        <v>Painel MDP 2,75x1,83m</v>
      </c>
      <c r="F3702" s="39">
        <v>45498</v>
      </c>
      <c r="G3702" s="7">
        <v>15</v>
      </c>
      <c r="H3702" s="3">
        <f>_xlfn.XLOOKUP(Vendas[[#This Row],[ID Item Vendido]],Agregado[ID],Agregado[Revenda])</f>
        <v>119</v>
      </c>
      <c r="I3702" s="3">
        <f>Vendas[[#This Row],[Valor Unitário]]*Vendas[[#This Row],[Qnt Vendida]]</f>
        <v>1785</v>
      </c>
      <c r="J3702" s="3">
        <f>Vendas[[#This Row],[Valor da Venda]]-(_xlfn.XLOOKUP(Vendas[[#This Row],[ID Item Vendido]],Agregado[ID],Agregado[Custo])*Vendas[[#This Row],[Qnt Vendida]])</f>
        <v>360</v>
      </c>
      <c r="K3702" s="70">
        <f>Vendas[[#This Row],[Lucro da Venda]]/Vendas[[#This Row],[Valor da Venda]]</f>
        <v>0.20168067226890757</v>
      </c>
      <c r="L3702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3702"/>
    </row>
    <row r="3703" spans="1:13" x14ac:dyDescent="0.3">
      <c r="A3703" s="7">
        <v>400249</v>
      </c>
      <c r="B3703" t="str">
        <f>_xlfn.XLOOKUP(Vendas[[#This Row],[ID Vendedor]],Vendedores[ID],Vendedores[Nome])</f>
        <v>Bruno</v>
      </c>
      <c r="C3703" s="7" t="str">
        <f>_xlfn.XLOOKUP(Vendas[[#This Row],[ID Vendedor]],Vendedores[ID],Vendedores[Setor])</f>
        <v>CM</v>
      </c>
      <c r="D3703" s="7" t="s">
        <v>32</v>
      </c>
      <c r="E3703" t="str">
        <f>_xlfn.XLOOKUP(Vendas[[#This Row],[ID Item Vendido]],Agregado[ID],Agregado[Produto])</f>
        <v>Tábua tratada e cortada 3m</v>
      </c>
      <c r="F3703" s="39">
        <v>45498</v>
      </c>
      <c r="G3703" s="7">
        <v>26</v>
      </c>
      <c r="H3703" s="3">
        <f>_xlfn.XLOOKUP(Vendas[[#This Row],[ID Item Vendido]],Agregado[ID],Agregado[Revenda])</f>
        <v>39</v>
      </c>
      <c r="I3703" s="3">
        <f>Vendas[[#This Row],[Valor Unitário]]*Vendas[[#This Row],[Qnt Vendida]]</f>
        <v>1014</v>
      </c>
      <c r="J3703" s="3">
        <f>Vendas[[#This Row],[Valor da Venda]]-(_xlfn.XLOOKUP(Vendas[[#This Row],[ID Item Vendido]],Agregado[ID],Agregado[Custo])*Vendas[[#This Row],[Qnt Vendida]])</f>
        <v>182</v>
      </c>
      <c r="K3703" s="70">
        <f>Vendas[[#This Row],[Lucro da Venda]]/Vendas[[#This Row],[Valor da Venda]]</f>
        <v>0.17948717948717949</v>
      </c>
      <c r="L3703" s="3">
        <f>_xlfn.IFS(Vendas[[#This Row],[Margem de Lucro (%)]]&lt;15%,Vendas[[#This Row],[Valor da Venda]]*3%,Vendas[[#This Row],[Margem de Lucro (%)]]&lt;=20%,Vendas[[#This Row],[Valor da Venda]]*4.5%,TRUE,Vendas[[#This Row],[Valor da Venda]]*6%)</f>
        <v>45.629999999999995</v>
      </c>
      <c r="M3703"/>
    </row>
    <row r="3704" spans="1:13" x14ac:dyDescent="0.3">
      <c r="A3704" s="7">
        <v>400250</v>
      </c>
      <c r="B3704" t="str">
        <f>_xlfn.XLOOKUP(Vendas[[#This Row],[ID Vendedor]],Vendedores[ID],Vendedores[Nome])</f>
        <v>Larissa</v>
      </c>
      <c r="C3704" s="7" t="str">
        <f>_xlfn.XLOOKUP(Vendas[[#This Row],[ID Vendedor]],Vendedores[ID],Vendedores[Setor])</f>
        <v>AB</v>
      </c>
      <c r="D3704" s="7" t="s">
        <v>39</v>
      </c>
      <c r="E3704" t="str">
        <f>_xlfn.XLOOKUP(Vendas[[#This Row],[ID Item Vendido]],Agregado[ID],Agregado[Produto])</f>
        <v>Filme plástico industrial rolo 50m</v>
      </c>
      <c r="F3704" s="39">
        <v>45498</v>
      </c>
      <c r="G3704" s="7">
        <v>5</v>
      </c>
      <c r="H3704" s="3">
        <f>_xlfn.XLOOKUP(Vendas[[#This Row],[ID Item Vendido]],Agregado[ID],Agregado[Revenda])</f>
        <v>37</v>
      </c>
      <c r="I3704" s="3">
        <f>Vendas[[#This Row],[Valor Unitário]]*Vendas[[#This Row],[Qnt Vendida]]</f>
        <v>185</v>
      </c>
      <c r="J3704" s="3">
        <f>Vendas[[#This Row],[Valor da Venda]]-(_xlfn.XLOOKUP(Vendas[[#This Row],[ID Item Vendido]],Agregado[ID],Agregado[Custo])*Vendas[[#This Row],[Qnt Vendida]])</f>
        <v>45</v>
      </c>
      <c r="K3704" s="70">
        <f>Vendas[[#This Row],[Lucro da Venda]]/Vendas[[#This Row],[Valor da Venda]]</f>
        <v>0.24324324324324326</v>
      </c>
      <c r="L3704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3704"/>
    </row>
    <row r="3705" spans="1:13" x14ac:dyDescent="0.3">
      <c r="A3705" s="7">
        <v>400255</v>
      </c>
      <c r="B3705" t="str">
        <f>_xlfn.XLOOKUP(Vendas[[#This Row],[ID Vendedor]],Vendedores[ID],Vendedores[Nome])</f>
        <v>Carlos</v>
      </c>
      <c r="C3705" s="7" t="str">
        <f>_xlfn.XLOOKUP(Vendas[[#This Row],[ID Vendedor]],Vendedores[ID],Vendedores[Setor])</f>
        <v>SC</v>
      </c>
      <c r="D3705" s="7" t="s">
        <v>48</v>
      </c>
      <c r="E3705" t="str">
        <f>_xlfn.XLOOKUP(Vendas[[#This Row],[ID Item Vendido]],Agregado[ID],Agregado[Produto])</f>
        <v>Tambor metálico 200L</v>
      </c>
      <c r="F3705" s="39">
        <v>45499</v>
      </c>
      <c r="G3705" s="7">
        <v>12</v>
      </c>
      <c r="H3705" s="3">
        <f>_xlfn.XLOOKUP(Vendas[[#This Row],[ID Item Vendido]],Agregado[ID],Agregado[Revenda])</f>
        <v>144</v>
      </c>
      <c r="I3705" s="3">
        <f>Vendas[[#This Row],[Valor Unitário]]*Vendas[[#This Row],[Qnt Vendida]]</f>
        <v>1728</v>
      </c>
      <c r="J3705" s="3">
        <f>Vendas[[#This Row],[Valor da Venda]]-(_xlfn.XLOOKUP(Vendas[[#This Row],[ID Item Vendido]],Agregado[ID],Agregado[Custo])*Vendas[[#This Row],[Qnt Vendida]])</f>
        <v>288</v>
      </c>
      <c r="K3705" s="70">
        <f>Vendas[[#This Row],[Lucro da Venda]]/Vendas[[#This Row],[Valor da Venda]]</f>
        <v>0.16666666666666666</v>
      </c>
      <c r="L3705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3705"/>
    </row>
    <row r="3706" spans="1:13" x14ac:dyDescent="0.3">
      <c r="A3706" s="7">
        <v>400251</v>
      </c>
      <c r="B3706" t="str">
        <f>_xlfn.XLOOKUP(Vendas[[#This Row],[ID Vendedor]],Vendedores[ID],Vendedores[Nome])</f>
        <v>Diego</v>
      </c>
      <c r="C3706" s="7" t="str">
        <f>_xlfn.XLOOKUP(Vendas[[#This Row],[ID Vendedor]],Vendedores[ID],Vendedores[Setor])</f>
        <v>AB</v>
      </c>
      <c r="D3706" s="7" t="s">
        <v>12</v>
      </c>
      <c r="E3706" t="str">
        <f>_xlfn.XLOOKUP(Vendas[[#This Row],[ID Item Vendido]],Agregado[ID],Agregado[Produto])</f>
        <v>Grânulo de plástico reciclado refinado</v>
      </c>
      <c r="F3706" s="39">
        <v>45499</v>
      </c>
      <c r="G3706" s="7">
        <v>132</v>
      </c>
      <c r="H3706" s="3">
        <f>_xlfn.XLOOKUP(Vendas[[#This Row],[ID Item Vendido]],Agregado[ID],Agregado[Revenda])</f>
        <v>4.7</v>
      </c>
      <c r="I3706" s="3">
        <f>Vendas[[#This Row],[Valor Unitário]]*Vendas[[#This Row],[Qnt Vendida]]</f>
        <v>620.4</v>
      </c>
      <c r="J3706" s="3">
        <f>Vendas[[#This Row],[Valor da Venda]]-(_xlfn.XLOOKUP(Vendas[[#This Row],[ID Item Vendido]],Agregado[ID],Agregado[Custo])*Vendas[[#This Row],[Qnt Vendida]])</f>
        <v>158.39999999999998</v>
      </c>
      <c r="K3706" s="70">
        <f>Vendas[[#This Row],[Lucro da Venda]]/Vendas[[#This Row],[Valor da Venda]]</f>
        <v>0.25531914893617019</v>
      </c>
      <c r="L3706" s="3">
        <f>_xlfn.IFS(Vendas[[#This Row],[Margem de Lucro (%)]]&lt;15%,Vendas[[#This Row],[Valor da Venda]]*3%,Vendas[[#This Row],[Margem de Lucro (%)]]&lt;=20%,Vendas[[#This Row],[Valor da Venda]]*4.5%,TRUE,Vendas[[#This Row],[Valor da Venda]]*6%)</f>
        <v>37.223999999999997</v>
      </c>
      <c r="M3706"/>
    </row>
    <row r="3707" spans="1:13" x14ac:dyDescent="0.3">
      <c r="A3707" s="7">
        <v>400245</v>
      </c>
      <c r="B3707" t="str">
        <f>_xlfn.XLOOKUP(Vendas[[#This Row],[ID Vendedor]],Vendedores[ID],Vendedores[Nome])</f>
        <v>Thiago</v>
      </c>
      <c r="C3707" s="7" t="str">
        <f>_xlfn.XLOOKUP(Vendas[[#This Row],[ID Vendedor]],Vendedores[ID],Vendedores[Setor])</f>
        <v>AHD</v>
      </c>
      <c r="D3707" s="7" t="s">
        <v>28</v>
      </c>
      <c r="E3707" t="str">
        <f>_xlfn.XLOOKUP(Vendas[[#This Row],[ID Item Vendido]],Agregado[ID],Agregado[Produto])</f>
        <v>Peça usinada CNC</v>
      </c>
      <c r="F3707" s="39">
        <v>45499</v>
      </c>
      <c r="G3707" s="7">
        <v>2</v>
      </c>
      <c r="H3707" s="3">
        <f>_xlfn.XLOOKUP(Vendas[[#This Row],[ID Item Vendido]],Agregado[ID],Agregado[Revenda])</f>
        <v>192</v>
      </c>
      <c r="I3707" s="3">
        <f>Vendas[[#This Row],[Valor Unitário]]*Vendas[[#This Row],[Qnt Vendida]]</f>
        <v>384</v>
      </c>
      <c r="J3707" s="3">
        <f>Vendas[[#This Row],[Valor da Venda]]-(_xlfn.XLOOKUP(Vendas[[#This Row],[ID Item Vendido]],Agregado[ID],Agregado[Custo])*Vendas[[#This Row],[Qnt Vendida]])</f>
        <v>84</v>
      </c>
      <c r="K3707" s="70">
        <f>Vendas[[#This Row],[Lucro da Venda]]/Vendas[[#This Row],[Valor da Venda]]</f>
        <v>0.21875</v>
      </c>
      <c r="L3707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707"/>
    </row>
    <row r="3708" spans="1:13" x14ac:dyDescent="0.3">
      <c r="A3708" s="7">
        <v>400241</v>
      </c>
      <c r="B3708" t="str">
        <f>_xlfn.XLOOKUP(Vendas[[#This Row],[ID Vendedor]],Vendedores[ID],Vendedores[Nome])</f>
        <v>Rodrigo</v>
      </c>
      <c r="C3708" s="7" t="str">
        <f>_xlfn.XLOOKUP(Vendas[[#This Row],[ID Vendedor]],Vendedores[ID],Vendedores[Setor])</f>
        <v>FM</v>
      </c>
      <c r="D3708" s="7" t="s">
        <v>20</v>
      </c>
      <c r="E3708" t="str">
        <f>_xlfn.XLOOKUP(Vendas[[#This Row],[ID Item Vendido]],Agregado[ID],Agregado[Produto])</f>
        <v>Barra de aço simples</v>
      </c>
      <c r="F3708" s="39">
        <v>45499</v>
      </c>
      <c r="G3708" s="7">
        <v>55</v>
      </c>
      <c r="H3708" s="3">
        <f>_xlfn.XLOOKUP(Vendas[[#This Row],[ID Item Vendido]],Agregado[ID],Agregado[Revenda])</f>
        <v>4.8</v>
      </c>
      <c r="I3708" s="3">
        <f>Vendas[[#This Row],[Valor Unitário]]*Vendas[[#This Row],[Qnt Vendida]]</f>
        <v>264</v>
      </c>
      <c r="J3708" s="3">
        <f>Vendas[[#This Row],[Valor da Venda]]-(_xlfn.XLOOKUP(Vendas[[#This Row],[ID Item Vendido]],Agregado[ID],Agregado[Custo])*Vendas[[#This Row],[Qnt Vendida]])</f>
        <v>33</v>
      </c>
      <c r="K3708" s="70">
        <f>Vendas[[#This Row],[Lucro da Venda]]/Vendas[[#This Row],[Valor da Venda]]</f>
        <v>0.125</v>
      </c>
      <c r="L3708" s="3">
        <f>_xlfn.IFS(Vendas[[#This Row],[Margem de Lucro (%)]]&lt;15%,Vendas[[#This Row],[Valor da Venda]]*3%,Vendas[[#This Row],[Margem de Lucro (%)]]&lt;=20%,Vendas[[#This Row],[Valor da Venda]]*4.5%,TRUE,Vendas[[#This Row],[Valor da Venda]]*6%)</f>
        <v>7.92</v>
      </c>
      <c r="M3708"/>
    </row>
    <row r="3709" spans="1:13" x14ac:dyDescent="0.3">
      <c r="A3709" s="7">
        <v>400254</v>
      </c>
      <c r="B3709" t="str">
        <f>_xlfn.XLOOKUP(Vendas[[#This Row],[ID Vendedor]],Vendedores[ID],Vendedores[Nome])</f>
        <v>Beatriz</v>
      </c>
      <c r="C3709" s="7" t="str">
        <f>_xlfn.XLOOKUP(Vendas[[#This Row],[ID Vendedor]],Vendedores[ID],Vendedores[Setor])</f>
        <v>SC</v>
      </c>
      <c r="D3709" s="7" t="s">
        <v>48</v>
      </c>
      <c r="E3709" t="str">
        <f>_xlfn.XLOOKUP(Vendas[[#This Row],[ID Item Vendido]],Agregado[ID],Agregado[Produto])</f>
        <v>Tambor metálico 200L</v>
      </c>
      <c r="F3709" s="39">
        <v>45500</v>
      </c>
      <c r="G3709" s="7">
        <v>13</v>
      </c>
      <c r="H3709" s="3">
        <f>_xlfn.XLOOKUP(Vendas[[#This Row],[ID Item Vendido]],Agregado[ID],Agregado[Revenda])</f>
        <v>144</v>
      </c>
      <c r="I3709" s="3">
        <f>Vendas[[#This Row],[Valor Unitário]]*Vendas[[#This Row],[Qnt Vendida]]</f>
        <v>1872</v>
      </c>
      <c r="J3709" s="3">
        <f>Vendas[[#This Row],[Valor da Venda]]-(_xlfn.XLOOKUP(Vendas[[#This Row],[ID Item Vendido]],Agregado[ID],Agregado[Custo])*Vendas[[#This Row],[Qnt Vendida]])</f>
        <v>312</v>
      </c>
      <c r="K3709" s="70">
        <f>Vendas[[#This Row],[Lucro da Venda]]/Vendas[[#This Row],[Valor da Venda]]</f>
        <v>0.16666666666666666</v>
      </c>
      <c r="L3709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3709"/>
    </row>
    <row r="3710" spans="1:13" x14ac:dyDescent="0.3">
      <c r="A3710" s="7">
        <v>400250</v>
      </c>
      <c r="B3710" t="str">
        <f>_xlfn.XLOOKUP(Vendas[[#This Row],[ID Vendedor]],Vendedores[ID],Vendedores[Nome])</f>
        <v>Larissa</v>
      </c>
      <c r="C3710" s="7" t="str">
        <f>_xlfn.XLOOKUP(Vendas[[#This Row],[ID Vendedor]],Vendedores[ID],Vendedores[Setor])</f>
        <v>AB</v>
      </c>
      <c r="D3710" s="7" t="s">
        <v>36</v>
      </c>
      <c r="E3710" t="str">
        <f>_xlfn.XLOOKUP(Vendas[[#This Row],[ID Item Vendido]],Agregado[ID],Agregado[Produto])</f>
        <v>Borracha vulcanizada em manta</v>
      </c>
      <c r="F3710" s="39">
        <v>45500</v>
      </c>
      <c r="G3710" s="7">
        <v>22</v>
      </c>
      <c r="H3710" s="3">
        <f>_xlfn.XLOOKUP(Vendas[[#This Row],[ID Item Vendido]],Agregado[ID],Agregado[Revenda])</f>
        <v>7.8</v>
      </c>
      <c r="I3710" s="3">
        <f>Vendas[[#This Row],[Valor Unitário]]*Vendas[[#This Row],[Qnt Vendida]]</f>
        <v>171.6</v>
      </c>
      <c r="J3710" s="3">
        <f>Vendas[[#This Row],[Valor da Venda]]-(_xlfn.XLOOKUP(Vendas[[#This Row],[ID Item Vendido]],Agregado[ID],Agregado[Custo])*Vendas[[#This Row],[Qnt Vendida]])</f>
        <v>39.599999999999994</v>
      </c>
      <c r="K3710" s="70">
        <f>Vendas[[#This Row],[Lucro da Venda]]/Vendas[[#This Row],[Valor da Venda]]</f>
        <v>0.23076923076923075</v>
      </c>
      <c r="L3710" s="3">
        <f>_xlfn.IFS(Vendas[[#This Row],[Margem de Lucro (%)]]&lt;15%,Vendas[[#This Row],[Valor da Venda]]*3%,Vendas[[#This Row],[Margem de Lucro (%)]]&lt;=20%,Vendas[[#This Row],[Valor da Venda]]*4.5%,TRUE,Vendas[[#This Row],[Valor da Venda]]*6%)</f>
        <v>10.295999999999999</v>
      </c>
      <c r="M3710"/>
    </row>
    <row r="3711" spans="1:13" x14ac:dyDescent="0.3">
      <c r="A3711" s="7">
        <v>400246</v>
      </c>
      <c r="B3711" t="str">
        <f>_xlfn.XLOOKUP(Vendas[[#This Row],[ID Vendedor]],Vendedores[ID],Vendedores[Nome])</f>
        <v>Juliana</v>
      </c>
      <c r="C3711" s="7" t="str">
        <f>_xlfn.XLOOKUP(Vendas[[#This Row],[ID Vendedor]],Vendedores[ID],Vendedores[Setor])</f>
        <v>AHD</v>
      </c>
      <c r="D3711" s="7" t="s">
        <v>18</v>
      </c>
      <c r="E3711" t="str">
        <f>_xlfn.XLOOKUP(Vendas[[#This Row],[ID Item Vendido]],Agregado[ID],Agregado[Produto])</f>
        <v>Peça forjada sob encomenda</v>
      </c>
      <c r="F3711" s="39">
        <v>45501</v>
      </c>
      <c r="G3711" s="7">
        <v>4</v>
      </c>
      <c r="H3711" s="3">
        <f>_xlfn.XLOOKUP(Vendas[[#This Row],[ID Item Vendido]],Agregado[ID],Agregado[Revenda])</f>
        <v>264.60000000000002</v>
      </c>
      <c r="I3711" s="3">
        <f>Vendas[[#This Row],[Valor Unitário]]*Vendas[[#This Row],[Qnt Vendida]]</f>
        <v>1058.4000000000001</v>
      </c>
      <c r="J3711" s="3">
        <f>Vendas[[#This Row],[Valor da Venda]]-(_xlfn.XLOOKUP(Vendas[[#This Row],[ID Item Vendido]],Agregado[ID],Agregado[Custo])*Vendas[[#This Row],[Qnt Vendida]])</f>
        <v>58.400000000000091</v>
      </c>
      <c r="K3711" s="70">
        <f>Vendas[[#This Row],[Lucro da Venda]]/Vendas[[#This Row],[Valor da Venda]]</f>
        <v>5.5177626606198113E-2</v>
      </c>
      <c r="L371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711"/>
    </row>
    <row r="3712" spans="1:13" x14ac:dyDescent="0.3">
      <c r="A3712" s="7">
        <v>400254</v>
      </c>
      <c r="B3712" t="str">
        <f>_xlfn.XLOOKUP(Vendas[[#This Row],[ID Vendedor]],Vendedores[ID],Vendedores[Nome])</f>
        <v>Beatriz</v>
      </c>
      <c r="C3712" s="7" t="str">
        <f>_xlfn.XLOOKUP(Vendas[[#This Row],[ID Vendedor]],Vendedores[ID],Vendedores[Setor])</f>
        <v>SC</v>
      </c>
      <c r="D3712" s="7" t="s">
        <v>42</v>
      </c>
      <c r="E3712" t="str">
        <f>_xlfn.XLOOKUP(Vendas[[#This Row],[ID Item Vendido]],Agregado[ID],Agregado[Produto])</f>
        <v>Container de ferro industrial</v>
      </c>
      <c r="F3712" s="39">
        <v>45502</v>
      </c>
      <c r="G3712" s="7">
        <v>6</v>
      </c>
      <c r="H3712" s="3">
        <f>_xlfn.XLOOKUP(Vendas[[#This Row],[ID Item Vendido]],Agregado[ID],Agregado[Revenda])</f>
        <v>830</v>
      </c>
      <c r="I3712" s="3">
        <f>Vendas[[#This Row],[Valor Unitário]]*Vendas[[#This Row],[Qnt Vendida]]</f>
        <v>4980</v>
      </c>
      <c r="J3712" s="3">
        <f>Vendas[[#This Row],[Valor da Venda]]-(_xlfn.XLOOKUP(Vendas[[#This Row],[ID Item Vendido]],Agregado[ID],Agregado[Custo])*Vendas[[#This Row],[Qnt Vendida]])</f>
        <v>900</v>
      </c>
      <c r="K3712" s="70">
        <f>Vendas[[#This Row],[Lucro da Venda]]/Vendas[[#This Row],[Valor da Venda]]</f>
        <v>0.18072289156626506</v>
      </c>
      <c r="L3712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712"/>
    </row>
    <row r="3713" spans="1:13" x14ac:dyDescent="0.3">
      <c r="A3713" s="7">
        <v>400254</v>
      </c>
      <c r="B3713" t="str">
        <f>_xlfn.XLOOKUP(Vendas[[#This Row],[ID Vendedor]],Vendedores[ID],Vendedores[Nome])</f>
        <v>Beatriz</v>
      </c>
      <c r="C3713" s="7" t="str">
        <f>_xlfn.XLOOKUP(Vendas[[#This Row],[ID Vendedor]],Vendedores[ID],Vendedores[Setor])</f>
        <v>SC</v>
      </c>
      <c r="D3713" s="7" t="s">
        <v>48</v>
      </c>
      <c r="E3713" t="str">
        <f>_xlfn.XLOOKUP(Vendas[[#This Row],[ID Item Vendido]],Agregado[ID],Agregado[Produto])</f>
        <v>Tambor metálico 200L</v>
      </c>
      <c r="F3713" s="39">
        <v>45502</v>
      </c>
      <c r="G3713" s="7">
        <v>11</v>
      </c>
      <c r="H3713" s="3">
        <f>_xlfn.XLOOKUP(Vendas[[#This Row],[ID Item Vendido]],Agregado[ID],Agregado[Revenda])</f>
        <v>144</v>
      </c>
      <c r="I3713" s="3">
        <f>Vendas[[#This Row],[Valor Unitário]]*Vendas[[#This Row],[Qnt Vendida]]</f>
        <v>1584</v>
      </c>
      <c r="J3713" s="3">
        <f>Vendas[[#This Row],[Valor da Venda]]-(_xlfn.XLOOKUP(Vendas[[#This Row],[ID Item Vendido]],Agregado[ID],Agregado[Custo])*Vendas[[#This Row],[Qnt Vendida]])</f>
        <v>264</v>
      </c>
      <c r="K3713" s="70">
        <f>Vendas[[#This Row],[Lucro da Venda]]/Vendas[[#This Row],[Valor da Venda]]</f>
        <v>0.16666666666666666</v>
      </c>
      <c r="L3713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713"/>
    </row>
    <row r="3714" spans="1:13" x14ac:dyDescent="0.3">
      <c r="A3714" s="7">
        <v>400252</v>
      </c>
      <c r="B3714" t="str">
        <f>_xlfn.XLOOKUP(Vendas[[#This Row],[ID Vendedor]],Vendedores[ID],Vendedores[Nome])</f>
        <v>Renata</v>
      </c>
      <c r="C3714" s="7" t="str">
        <f>_xlfn.XLOOKUP(Vendas[[#This Row],[ID Vendedor]],Vendedores[ID],Vendedores[Setor])</f>
        <v>AB</v>
      </c>
      <c r="D3714" s="7" t="s">
        <v>39</v>
      </c>
      <c r="E3714" t="str">
        <f>_xlfn.XLOOKUP(Vendas[[#This Row],[ID Item Vendido]],Agregado[ID],Agregado[Produto])</f>
        <v>Filme plástico industrial rolo 50m</v>
      </c>
      <c r="F3714" s="39">
        <v>45502</v>
      </c>
      <c r="G3714" s="7">
        <v>22</v>
      </c>
      <c r="H3714" s="3">
        <f>_xlfn.XLOOKUP(Vendas[[#This Row],[ID Item Vendido]],Agregado[ID],Agregado[Revenda])</f>
        <v>37</v>
      </c>
      <c r="I3714" s="3">
        <f>Vendas[[#This Row],[Valor Unitário]]*Vendas[[#This Row],[Qnt Vendida]]</f>
        <v>814</v>
      </c>
      <c r="J3714" s="3">
        <f>Vendas[[#This Row],[Valor da Venda]]-(_xlfn.XLOOKUP(Vendas[[#This Row],[ID Item Vendido]],Agregado[ID],Agregado[Custo])*Vendas[[#This Row],[Qnt Vendida]])</f>
        <v>198</v>
      </c>
      <c r="K3714" s="70">
        <f>Vendas[[#This Row],[Lucro da Venda]]/Vendas[[#This Row],[Valor da Venda]]</f>
        <v>0.24324324324324326</v>
      </c>
      <c r="L3714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3714"/>
    </row>
    <row r="3715" spans="1:13" x14ac:dyDescent="0.3">
      <c r="A3715" s="7">
        <v>400254</v>
      </c>
      <c r="B3715" t="str">
        <f>_xlfn.XLOOKUP(Vendas[[#This Row],[ID Vendedor]],Vendedores[ID],Vendedores[Nome])</f>
        <v>Beatriz</v>
      </c>
      <c r="C3715" s="7" t="str">
        <f>_xlfn.XLOOKUP(Vendas[[#This Row],[ID Vendedor]],Vendedores[ID],Vendedores[Setor])</f>
        <v>SC</v>
      </c>
      <c r="D3715" s="7" t="s">
        <v>25</v>
      </c>
      <c r="E3715" t="str">
        <f>_xlfn.XLOOKUP(Vendas[[#This Row],[ID Item Vendido]],Agregado[ID],Agregado[Produto])</f>
        <v>Palete de plástico</v>
      </c>
      <c r="F3715" s="39">
        <v>45502</v>
      </c>
      <c r="G3715" s="7">
        <v>11</v>
      </c>
      <c r="H3715" s="3">
        <f>_xlfn.XLOOKUP(Vendas[[#This Row],[ID Item Vendido]],Agregado[ID],Agregado[Revenda])</f>
        <v>70.8</v>
      </c>
      <c r="I3715" s="3">
        <f>Vendas[[#This Row],[Valor Unitário]]*Vendas[[#This Row],[Qnt Vendida]]</f>
        <v>778.8</v>
      </c>
      <c r="J3715" s="3">
        <f>Vendas[[#This Row],[Valor da Venda]]-(_xlfn.XLOOKUP(Vendas[[#This Row],[ID Item Vendido]],Agregado[ID],Agregado[Custo])*Vendas[[#This Row],[Qnt Vendida]])</f>
        <v>118.79999999999995</v>
      </c>
      <c r="K3715" s="70">
        <f>Vendas[[#This Row],[Lucro da Venda]]/Vendas[[#This Row],[Valor da Venda]]</f>
        <v>0.15254237288135589</v>
      </c>
      <c r="L3715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3715"/>
    </row>
    <row r="3716" spans="1:13" x14ac:dyDescent="0.3">
      <c r="A3716" s="7">
        <v>400241</v>
      </c>
      <c r="B3716" t="str">
        <f>_xlfn.XLOOKUP(Vendas[[#This Row],[ID Vendedor]],Vendedores[ID],Vendedores[Nome])</f>
        <v>Rodrigo</v>
      </c>
      <c r="C3716" s="7" t="str">
        <f>_xlfn.XLOOKUP(Vendas[[#This Row],[ID Vendedor]],Vendedores[ID],Vendedores[Setor])</f>
        <v>FM</v>
      </c>
      <c r="D3716" s="7" t="s">
        <v>20</v>
      </c>
      <c r="E3716" t="str">
        <f>_xlfn.XLOOKUP(Vendas[[#This Row],[ID Item Vendido]],Agregado[ID],Agregado[Produto])</f>
        <v>Barra de aço simples</v>
      </c>
      <c r="F3716" s="39">
        <v>45502</v>
      </c>
      <c r="G3716" s="7">
        <v>156</v>
      </c>
      <c r="H3716" s="3">
        <f>_xlfn.XLOOKUP(Vendas[[#This Row],[ID Item Vendido]],Agregado[ID],Agregado[Revenda])</f>
        <v>4.8</v>
      </c>
      <c r="I3716" s="3">
        <f>Vendas[[#This Row],[Valor Unitário]]*Vendas[[#This Row],[Qnt Vendida]]</f>
        <v>748.8</v>
      </c>
      <c r="J3716" s="3">
        <f>Vendas[[#This Row],[Valor da Venda]]-(_xlfn.XLOOKUP(Vendas[[#This Row],[ID Item Vendido]],Agregado[ID],Agregado[Custo])*Vendas[[#This Row],[Qnt Vendida]])</f>
        <v>93.599999999999909</v>
      </c>
      <c r="K3716" s="70">
        <f>Vendas[[#This Row],[Lucro da Venda]]/Vendas[[#This Row],[Valor da Venda]]</f>
        <v>0.12499999999999989</v>
      </c>
      <c r="L3716" s="3">
        <f>_xlfn.IFS(Vendas[[#This Row],[Margem de Lucro (%)]]&lt;15%,Vendas[[#This Row],[Valor da Venda]]*3%,Vendas[[#This Row],[Margem de Lucro (%)]]&lt;=20%,Vendas[[#This Row],[Valor da Venda]]*4.5%,TRUE,Vendas[[#This Row],[Valor da Venda]]*6%)</f>
        <v>22.463999999999999</v>
      </c>
      <c r="M3716"/>
    </row>
    <row r="3717" spans="1:13" x14ac:dyDescent="0.3">
      <c r="A3717" s="7">
        <v>400250</v>
      </c>
      <c r="B3717" t="str">
        <f>_xlfn.XLOOKUP(Vendas[[#This Row],[ID Vendedor]],Vendedores[ID],Vendedores[Nome])</f>
        <v>Larissa</v>
      </c>
      <c r="C3717" s="7" t="str">
        <f>_xlfn.XLOOKUP(Vendas[[#This Row],[ID Vendedor]],Vendedores[ID],Vendedores[Setor])</f>
        <v>AB</v>
      </c>
      <c r="D3717" s="7" t="s">
        <v>24</v>
      </c>
      <c r="E3717" t="str">
        <f>_xlfn.XLOOKUP(Vendas[[#This Row],[ID Item Vendido]],Agregado[ID],Agregado[Produto])</f>
        <v>Resina plástica PET purificada saco de 25kg</v>
      </c>
      <c r="F3717" s="39">
        <v>45503</v>
      </c>
      <c r="G3717" s="7">
        <v>24</v>
      </c>
      <c r="H3717" s="3">
        <f>_xlfn.XLOOKUP(Vendas[[#This Row],[ID Item Vendido]],Agregado[ID],Agregado[Revenda])</f>
        <v>119</v>
      </c>
      <c r="I3717" s="3">
        <f>Vendas[[#This Row],[Valor Unitário]]*Vendas[[#This Row],[Qnt Vendida]]</f>
        <v>2856</v>
      </c>
      <c r="J3717" s="3">
        <f>Vendas[[#This Row],[Valor da Venda]]-(_xlfn.XLOOKUP(Vendas[[#This Row],[ID Item Vendido]],Agregado[ID],Agregado[Custo])*Vendas[[#This Row],[Qnt Vendida]])</f>
        <v>816</v>
      </c>
      <c r="K3717" s="70">
        <f>Vendas[[#This Row],[Lucro da Venda]]/Vendas[[#This Row],[Valor da Venda]]</f>
        <v>0.2857142857142857</v>
      </c>
      <c r="L3717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3717"/>
    </row>
    <row r="3718" spans="1:13" x14ac:dyDescent="0.3">
      <c r="A3718" s="7">
        <v>400248</v>
      </c>
      <c r="B3718" t="str">
        <f>_xlfn.XLOOKUP(Vendas[[#This Row],[ID Vendedor]],Vendedores[ID],Vendedores[Nome])</f>
        <v>Patrícia</v>
      </c>
      <c r="C3718" s="7" t="str">
        <f>_xlfn.XLOOKUP(Vendas[[#This Row],[ID Vendedor]],Vendedores[ID],Vendedores[Setor])</f>
        <v>CM</v>
      </c>
      <c r="D3718" s="7" t="s">
        <v>22</v>
      </c>
      <c r="E3718" t="str">
        <f>_xlfn.XLOOKUP(Vendas[[#This Row],[ID Item Vendido]],Agregado[ID],Agregado[Produto])</f>
        <v>Painel MDP 2,75x1,83m</v>
      </c>
      <c r="F3718" s="39">
        <v>45503</v>
      </c>
      <c r="G3718" s="7">
        <v>9</v>
      </c>
      <c r="H3718" s="3">
        <f>_xlfn.XLOOKUP(Vendas[[#This Row],[ID Item Vendido]],Agregado[ID],Agregado[Revenda])</f>
        <v>119</v>
      </c>
      <c r="I3718" s="3">
        <f>Vendas[[#This Row],[Valor Unitário]]*Vendas[[#This Row],[Qnt Vendida]]</f>
        <v>1071</v>
      </c>
      <c r="J3718" s="3">
        <f>Vendas[[#This Row],[Valor da Venda]]-(_xlfn.XLOOKUP(Vendas[[#This Row],[ID Item Vendido]],Agregado[ID],Agregado[Custo])*Vendas[[#This Row],[Qnt Vendida]])</f>
        <v>216</v>
      </c>
      <c r="K3718" s="70">
        <f>Vendas[[#This Row],[Lucro da Venda]]/Vendas[[#This Row],[Valor da Venda]]</f>
        <v>0.20168067226890757</v>
      </c>
      <c r="L3718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3718"/>
    </row>
    <row r="3719" spans="1:13" x14ac:dyDescent="0.3">
      <c r="A3719" s="7">
        <v>400254</v>
      </c>
      <c r="B3719" t="str">
        <f>_xlfn.XLOOKUP(Vendas[[#This Row],[ID Vendedor]],Vendedores[ID],Vendedores[Nome])</f>
        <v>Beatriz</v>
      </c>
      <c r="C3719" s="7" t="str">
        <f>_xlfn.XLOOKUP(Vendas[[#This Row],[ID Vendedor]],Vendedores[ID],Vendedores[Setor])</f>
        <v>SC</v>
      </c>
      <c r="D3719" s="7" t="s">
        <v>42</v>
      </c>
      <c r="E3719" t="str">
        <f>_xlfn.XLOOKUP(Vendas[[#This Row],[ID Item Vendido]],Agregado[ID],Agregado[Produto])</f>
        <v>Container de ferro industrial</v>
      </c>
      <c r="F3719" s="39">
        <v>45504</v>
      </c>
      <c r="G3719" s="7">
        <v>5</v>
      </c>
      <c r="H3719" s="3">
        <f>_xlfn.XLOOKUP(Vendas[[#This Row],[ID Item Vendido]],Agregado[ID],Agregado[Revenda])</f>
        <v>830</v>
      </c>
      <c r="I3719" s="3">
        <f>Vendas[[#This Row],[Valor Unitário]]*Vendas[[#This Row],[Qnt Vendida]]</f>
        <v>4150</v>
      </c>
      <c r="J3719" s="3">
        <f>Vendas[[#This Row],[Valor da Venda]]-(_xlfn.XLOOKUP(Vendas[[#This Row],[ID Item Vendido]],Agregado[ID],Agregado[Custo])*Vendas[[#This Row],[Qnt Vendida]])</f>
        <v>750</v>
      </c>
      <c r="K3719" s="70">
        <f>Vendas[[#This Row],[Lucro da Venda]]/Vendas[[#This Row],[Valor da Venda]]</f>
        <v>0.18072289156626506</v>
      </c>
      <c r="L3719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719"/>
    </row>
    <row r="3720" spans="1:13" x14ac:dyDescent="0.3">
      <c r="A3720" s="7">
        <v>400254</v>
      </c>
      <c r="B3720" t="str">
        <f>_xlfn.XLOOKUP(Vendas[[#This Row],[ID Vendedor]],Vendedores[ID],Vendedores[Nome])</f>
        <v>Beatriz</v>
      </c>
      <c r="C3720" s="7" t="str">
        <f>_xlfn.XLOOKUP(Vendas[[#This Row],[ID Vendedor]],Vendedores[ID],Vendedores[Setor])</f>
        <v>SC</v>
      </c>
      <c r="D3720" s="7" t="s">
        <v>14</v>
      </c>
      <c r="E3720" t="str">
        <f>_xlfn.XLOOKUP(Vendas[[#This Row],[ID Item Vendido]],Agregado[ID],Agregado[Produto])</f>
        <v>Barril de plástico 200L</v>
      </c>
      <c r="F3720" s="39">
        <v>45505</v>
      </c>
      <c r="G3720" s="7">
        <v>15</v>
      </c>
      <c r="H3720" s="3">
        <f>_xlfn.XLOOKUP(Vendas[[#This Row],[ID Item Vendido]],Agregado[ID],Agregado[Revenda])</f>
        <v>114</v>
      </c>
      <c r="I3720" s="3">
        <f>Vendas[[#This Row],[Valor Unitário]]*Vendas[[#This Row],[Qnt Vendida]]</f>
        <v>1710</v>
      </c>
      <c r="J3720" s="3">
        <f>Vendas[[#This Row],[Valor da Venda]]-(_xlfn.XLOOKUP(Vendas[[#This Row],[ID Item Vendido]],Agregado[ID],Agregado[Custo])*Vendas[[#This Row],[Qnt Vendida]])</f>
        <v>285</v>
      </c>
      <c r="K3720" s="70">
        <f>Vendas[[#This Row],[Lucro da Venda]]/Vendas[[#This Row],[Valor da Venda]]</f>
        <v>0.16666666666666666</v>
      </c>
      <c r="L3720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3720"/>
    </row>
    <row r="3721" spans="1:13" x14ac:dyDescent="0.3">
      <c r="A3721" s="7">
        <v>400249</v>
      </c>
      <c r="B3721" t="str">
        <f>_xlfn.XLOOKUP(Vendas[[#This Row],[ID Vendedor]],Vendedores[ID],Vendedores[Nome])</f>
        <v>Bruno</v>
      </c>
      <c r="C3721" s="7" t="str">
        <f>_xlfn.XLOOKUP(Vendas[[#This Row],[ID Vendedor]],Vendedores[ID],Vendedores[Setor])</f>
        <v>CM</v>
      </c>
      <c r="D3721" s="7" t="s">
        <v>43</v>
      </c>
      <c r="E3721" t="str">
        <f>_xlfn.XLOOKUP(Vendas[[#This Row],[ID Item Vendido]],Agregado[ID],Agregado[Produto])</f>
        <v>Madeira Bruta (Tora)</v>
      </c>
      <c r="F3721" s="39">
        <v>45505</v>
      </c>
      <c r="G3721" s="7">
        <v>5</v>
      </c>
      <c r="H3721" s="3">
        <f>_xlfn.XLOOKUP(Vendas[[#This Row],[ID Item Vendido]],Agregado[ID],Agregado[Revenda])</f>
        <v>212</v>
      </c>
      <c r="I3721" s="3">
        <f>Vendas[[#This Row],[Valor Unitário]]*Vendas[[#This Row],[Qnt Vendida]]</f>
        <v>1060</v>
      </c>
      <c r="J3721" s="3">
        <f>Vendas[[#This Row],[Valor da Venda]]-(_xlfn.XLOOKUP(Vendas[[#This Row],[ID Item Vendido]],Agregado[ID],Agregado[Custo])*Vendas[[#This Row],[Qnt Vendida]])</f>
        <v>160</v>
      </c>
      <c r="K3721" s="70">
        <f>Vendas[[#This Row],[Lucro da Venda]]/Vendas[[#This Row],[Valor da Venda]]</f>
        <v>0.15094339622641509</v>
      </c>
      <c r="L3721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3721"/>
    </row>
    <row r="3722" spans="1:13" x14ac:dyDescent="0.3">
      <c r="A3722" s="7">
        <v>400252</v>
      </c>
      <c r="B3722" t="str">
        <f>_xlfn.XLOOKUP(Vendas[[#This Row],[ID Vendedor]],Vendedores[ID],Vendedores[Nome])</f>
        <v>Renata</v>
      </c>
      <c r="C3722" s="7" t="str">
        <f>_xlfn.XLOOKUP(Vendas[[#This Row],[ID Vendedor]],Vendedores[ID],Vendedores[Setor])</f>
        <v>AB</v>
      </c>
      <c r="D3722" s="7" t="s">
        <v>37</v>
      </c>
      <c r="E3722" t="str">
        <f>_xlfn.XLOOKUP(Vendas[[#This Row],[ID Item Vendido]],Agregado[ID],Agregado[Produto])</f>
        <v>Composto de borracha para vedação rolo 10m</v>
      </c>
      <c r="F3722" s="39">
        <v>45505</v>
      </c>
      <c r="G3722" s="7">
        <v>3</v>
      </c>
      <c r="H3722" s="3">
        <f>_xlfn.XLOOKUP(Vendas[[#This Row],[ID Item Vendido]],Agregado[ID],Agregado[Revenda])</f>
        <v>51.2</v>
      </c>
      <c r="I3722" s="3">
        <f>Vendas[[#This Row],[Valor Unitário]]*Vendas[[#This Row],[Qnt Vendida]]</f>
        <v>153.60000000000002</v>
      </c>
      <c r="J3722" s="3">
        <f>Vendas[[#This Row],[Valor da Venda]]-(_xlfn.XLOOKUP(Vendas[[#This Row],[ID Item Vendido]],Agregado[ID],Agregado[Custo])*Vendas[[#This Row],[Qnt Vendida]])</f>
        <v>33.600000000000023</v>
      </c>
      <c r="K3722" s="70">
        <f>Vendas[[#This Row],[Lucro da Venda]]/Vendas[[#This Row],[Valor da Venda]]</f>
        <v>0.21875000000000011</v>
      </c>
      <c r="L3722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3722"/>
    </row>
    <row r="3723" spans="1:13" x14ac:dyDescent="0.3">
      <c r="A3723" s="7">
        <v>400246</v>
      </c>
      <c r="B3723" t="str">
        <f>_xlfn.XLOOKUP(Vendas[[#This Row],[ID Vendedor]],Vendedores[ID],Vendedores[Nome])</f>
        <v>Juliana</v>
      </c>
      <c r="C3723" s="7" t="str">
        <f>_xlfn.XLOOKUP(Vendas[[#This Row],[ID Vendedor]],Vendedores[ID],Vendedores[Setor])</f>
        <v>AHD</v>
      </c>
      <c r="D3723" s="7" t="s">
        <v>30</v>
      </c>
      <c r="E3723" t="str">
        <f>_xlfn.XLOOKUP(Vendas[[#This Row],[ID Item Vendido]],Agregado[ID],Agregado[Produto])</f>
        <v>Estrutura metálica soldada</v>
      </c>
      <c r="F3723" s="39">
        <v>45506</v>
      </c>
      <c r="G3723" s="7">
        <v>3</v>
      </c>
      <c r="H3723" s="3">
        <f>_xlfn.XLOOKUP(Vendas[[#This Row],[ID Item Vendido]],Agregado[ID],Agregado[Revenda])</f>
        <v>400</v>
      </c>
      <c r="I3723" s="3">
        <f>Vendas[[#This Row],[Valor Unitário]]*Vendas[[#This Row],[Qnt Vendida]]</f>
        <v>1200</v>
      </c>
      <c r="J3723" s="3">
        <f>Vendas[[#This Row],[Valor da Venda]]-(_xlfn.XLOOKUP(Vendas[[#This Row],[ID Item Vendido]],Agregado[ID],Agregado[Custo])*Vendas[[#This Row],[Qnt Vendida]])</f>
        <v>240</v>
      </c>
      <c r="K3723" s="70">
        <f>Vendas[[#This Row],[Lucro da Venda]]/Vendas[[#This Row],[Valor da Venda]]</f>
        <v>0.2</v>
      </c>
      <c r="L3723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723"/>
    </row>
    <row r="3724" spans="1:13" x14ac:dyDescent="0.3">
      <c r="A3724" s="7">
        <v>400241</v>
      </c>
      <c r="B3724" t="str">
        <f>_xlfn.XLOOKUP(Vendas[[#This Row],[ID Vendedor]],Vendedores[ID],Vendedores[Nome])</f>
        <v>Rodrigo</v>
      </c>
      <c r="C3724" s="7" t="str">
        <f>_xlfn.XLOOKUP(Vendas[[#This Row],[ID Vendedor]],Vendedores[ID],Vendedores[Setor])</f>
        <v>FM</v>
      </c>
      <c r="D3724" s="7" t="s">
        <v>20</v>
      </c>
      <c r="E3724" t="str">
        <f>_xlfn.XLOOKUP(Vendas[[#This Row],[ID Item Vendido]],Agregado[ID],Agregado[Produto])</f>
        <v>Barra de aço simples</v>
      </c>
      <c r="F3724" s="39">
        <v>45506</v>
      </c>
      <c r="G3724" s="7">
        <v>195</v>
      </c>
      <c r="H3724" s="3">
        <f>_xlfn.XLOOKUP(Vendas[[#This Row],[ID Item Vendido]],Agregado[ID],Agregado[Revenda])</f>
        <v>4.8</v>
      </c>
      <c r="I3724" s="3">
        <f>Vendas[[#This Row],[Valor Unitário]]*Vendas[[#This Row],[Qnt Vendida]]</f>
        <v>936</v>
      </c>
      <c r="J3724" s="3">
        <f>Vendas[[#This Row],[Valor da Venda]]-(_xlfn.XLOOKUP(Vendas[[#This Row],[ID Item Vendido]],Agregado[ID],Agregado[Custo])*Vendas[[#This Row],[Qnt Vendida]])</f>
        <v>117</v>
      </c>
      <c r="K3724" s="70">
        <f>Vendas[[#This Row],[Lucro da Venda]]/Vendas[[#This Row],[Valor da Venda]]</f>
        <v>0.125</v>
      </c>
      <c r="L3724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3724"/>
    </row>
    <row r="3725" spans="1:13" x14ac:dyDescent="0.3">
      <c r="A3725" s="7">
        <v>400254</v>
      </c>
      <c r="B3725" t="str">
        <f>_xlfn.XLOOKUP(Vendas[[#This Row],[ID Vendedor]],Vendedores[ID],Vendedores[Nome])</f>
        <v>Beatriz</v>
      </c>
      <c r="C3725" s="7" t="str">
        <f>_xlfn.XLOOKUP(Vendas[[#This Row],[ID Vendedor]],Vendedores[ID],Vendedores[Setor])</f>
        <v>SC</v>
      </c>
      <c r="D3725" s="7" t="s">
        <v>42</v>
      </c>
      <c r="E3725" t="str">
        <f>_xlfn.XLOOKUP(Vendas[[#This Row],[ID Item Vendido]],Agregado[ID],Agregado[Produto])</f>
        <v>Container de ferro industrial</v>
      </c>
      <c r="F3725" s="39">
        <v>45506</v>
      </c>
      <c r="G3725" s="7">
        <v>1</v>
      </c>
      <c r="H3725" s="3">
        <f>_xlfn.XLOOKUP(Vendas[[#This Row],[ID Item Vendido]],Agregado[ID],Agregado[Revenda])</f>
        <v>830</v>
      </c>
      <c r="I3725" s="3">
        <f>Vendas[[#This Row],[Valor Unitário]]*Vendas[[#This Row],[Qnt Vendida]]</f>
        <v>830</v>
      </c>
      <c r="J3725" s="3">
        <f>Vendas[[#This Row],[Valor da Venda]]-(_xlfn.XLOOKUP(Vendas[[#This Row],[ID Item Vendido]],Agregado[ID],Agregado[Custo])*Vendas[[#This Row],[Qnt Vendida]])</f>
        <v>150</v>
      </c>
      <c r="K3725" s="70">
        <f>Vendas[[#This Row],[Lucro da Venda]]/Vendas[[#This Row],[Valor da Venda]]</f>
        <v>0.18072289156626506</v>
      </c>
      <c r="L3725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725"/>
    </row>
    <row r="3726" spans="1:13" x14ac:dyDescent="0.3">
      <c r="A3726" s="7">
        <v>400252</v>
      </c>
      <c r="B3726" t="str">
        <f>_xlfn.XLOOKUP(Vendas[[#This Row],[ID Vendedor]],Vendedores[ID],Vendedores[Nome])</f>
        <v>Renata</v>
      </c>
      <c r="C3726" s="7" t="str">
        <f>_xlfn.XLOOKUP(Vendas[[#This Row],[ID Vendedor]],Vendedores[ID],Vendedores[Setor])</f>
        <v>AB</v>
      </c>
      <c r="D3726" s="7" t="s">
        <v>39</v>
      </c>
      <c r="E3726" t="str">
        <f>_xlfn.XLOOKUP(Vendas[[#This Row],[ID Item Vendido]],Agregado[ID],Agregado[Produto])</f>
        <v>Filme plástico industrial rolo 50m</v>
      </c>
      <c r="F3726" s="39">
        <v>45506</v>
      </c>
      <c r="G3726" s="7">
        <v>19</v>
      </c>
      <c r="H3726" s="3">
        <f>_xlfn.XLOOKUP(Vendas[[#This Row],[ID Item Vendido]],Agregado[ID],Agregado[Revenda])</f>
        <v>37</v>
      </c>
      <c r="I3726" s="3">
        <f>Vendas[[#This Row],[Valor Unitário]]*Vendas[[#This Row],[Qnt Vendida]]</f>
        <v>703</v>
      </c>
      <c r="J3726" s="3">
        <f>Vendas[[#This Row],[Valor da Venda]]-(_xlfn.XLOOKUP(Vendas[[#This Row],[ID Item Vendido]],Agregado[ID],Agregado[Custo])*Vendas[[#This Row],[Qnt Vendida]])</f>
        <v>171</v>
      </c>
      <c r="K3726" s="70">
        <f>Vendas[[#This Row],[Lucro da Venda]]/Vendas[[#This Row],[Valor da Venda]]</f>
        <v>0.24324324324324326</v>
      </c>
      <c r="L3726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3726"/>
    </row>
    <row r="3727" spans="1:13" x14ac:dyDescent="0.3">
      <c r="A3727" s="7">
        <v>400244</v>
      </c>
      <c r="B3727" t="str">
        <f>_xlfn.XLOOKUP(Vendas[[#This Row],[ID Vendedor]],Vendedores[ID],Vendedores[Nome])</f>
        <v>Camila</v>
      </c>
      <c r="C3727" s="7" t="str">
        <f>_xlfn.XLOOKUP(Vendas[[#This Row],[ID Vendedor]],Vendedores[ID],Vendedores[Setor])</f>
        <v>AHD</v>
      </c>
      <c r="D3727" s="7" t="s">
        <v>9</v>
      </c>
      <c r="E3727" t="str">
        <f>_xlfn.XLOOKUP(Vendas[[#This Row],[ID Item Vendido]],Agregado[ID],Agregado[Produto])</f>
        <v>Barra de aço simples</v>
      </c>
      <c r="F3727" s="39">
        <v>45506</v>
      </c>
      <c r="G3727" s="7">
        <v>98</v>
      </c>
      <c r="H3727" s="3">
        <f>_xlfn.XLOOKUP(Vendas[[#This Row],[ID Item Vendido]],Agregado[ID],Agregado[Revenda])</f>
        <v>6.7</v>
      </c>
      <c r="I3727" s="3">
        <f>Vendas[[#This Row],[Valor Unitário]]*Vendas[[#This Row],[Qnt Vendida]]</f>
        <v>656.6</v>
      </c>
      <c r="J3727" s="3">
        <f>Vendas[[#This Row],[Valor da Venda]]-(_xlfn.XLOOKUP(Vendas[[#This Row],[ID Item Vendido]],Agregado[ID],Agregado[Custo])*Vendas[[#This Row],[Qnt Vendida]])</f>
        <v>88.200000000000045</v>
      </c>
      <c r="K3727" s="70">
        <f>Vendas[[#This Row],[Lucro da Venda]]/Vendas[[#This Row],[Valor da Venda]]</f>
        <v>0.13432835820895528</v>
      </c>
      <c r="L3727" s="3">
        <f>_xlfn.IFS(Vendas[[#This Row],[Margem de Lucro (%)]]&lt;15%,Vendas[[#This Row],[Valor da Venda]]*3%,Vendas[[#This Row],[Margem de Lucro (%)]]&lt;=20%,Vendas[[#This Row],[Valor da Venda]]*4.5%,TRUE,Vendas[[#This Row],[Valor da Venda]]*6%)</f>
        <v>19.698</v>
      </c>
      <c r="M3727"/>
    </row>
    <row r="3728" spans="1:13" x14ac:dyDescent="0.3">
      <c r="A3728" s="7">
        <v>400250</v>
      </c>
      <c r="B3728" t="str">
        <f>_xlfn.XLOOKUP(Vendas[[#This Row],[ID Vendedor]],Vendedores[ID],Vendedores[Nome])</f>
        <v>Larissa</v>
      </c>
      <c r="C3728" s="7" t="str">
        <f>_xlfn.XLOOKUP(Vendas[[#This Row],[ID Vendedor]],Vendedores[ID],Vendedores[Setor])</f>
        <v>AB</v>
      </c>
      <c r="D3728" s="7" t="s">
        <v>36</v>
      </c>
      <c r="E3728" t="str">
        <f>_xlfn.XLOOKUP(Vendas[[#This Row],[ID Item Vendido]],Agregado[ID],Agregado[Produto])</f>
        <v>Borracha vulcanizada em manta</v>
      </c>
      <c r="F3728" s="39">
        <v>45506</v>
      </c>
      <c r="G3728" s="7">
        <v>24</v>
      </c>
      <c r="H3728" s="3">
        <f>_xlfn.XLOOKUP(Vendas[[#This Row],[ID Item Vendido]],Agregado[ID],Agregado[Revenda])</f>
        <v>7.8</v>
      </c>
      <c r="I3728" s="3">
        <f>Vendas[[#This Row],[Valor Unitário]]*Vendas[[#This Row],[Qnt Vendida]]</f>
        <v>187.2</v>
      </c>
      <c r="J3728" s="3">
        <f>Vendas[[#This Row],[Valor da Venda]]-(_xlfn.XLOOKUP(Vendas[[#This Row],[ID Item Vendido]],Agregado[ID],Agregado[Custo])*Vendas[[#This Row],[Qnt Vendida]])</f>
        <v>43.199999999999989</v>
      </c>
      <c r="K3728" s="70">
        <f>Vendas[[#This Row],[Lucro da Venda]]/Vendas[[#This Row],[Valor da Venda]]</f>
        <v>0.23076923076923073</v>
      </c>
      <c r="L3728" s="3">
        <f>_xlfn.IFS(Vendas[[#This Row],[Margem de Lucro (%)]]&lt;15%,Vendas[[#This Row],[Valor da Venda]]*3%,Vendas[[#This Row],[Margem de Lucro (%)]]&lt;=20%,Vendas[[#This Row],[Valor da Venda]]*4.5%,TRUE,Vendas[[#This Row],[Valor da Venda]]*6%)</f>
        <v>11.231999999999999</v>
      </c>
      <c r="M3728"/>
    </row>
    <row r="3729" spans="1:13" x14ac:dyDescent="0.3">
      <c r="A3729" s="7">
        <v>400252</v>
      </c>
      <c r="B3729" t="str">
        <f>_xlfn.XLOOKUP(Vendas[[#This Row],[ID Vendedor]],Vendedores[ID],Vendedores[Nome])</f>
        <v>Renata</v>
      </c>
      <c r="C3729" s="7" t="str">
        <f>_xlfn.XLOOKUP(Vendas[[#This Row],[ID Vendedor]],Vendedores[ID],Vendedores[Setor])</f>
        <v>AB</v>
      </c>
      <c r="D3729" s="7" t="s">
        <v>24</v>
      </c>
      <c r="E3729" t="str">
        <f>_xlfn.XLOOKUP(Vendas[[#This Row],[ID Item Vendido]],Agregado[ID],Agregado[Produto])</f>
        <v>Resina plástica PET purificada saco de 25kg</v>
      </c>
      <c r="F3729" s="39">
        <v>45507</v>
      </c>
      <c r="G3729" s="7">
        <v>20</v>
      </c>
      <c r="H3729" s="3">
        <f>_xlfn.XLOOKUP(Vendas[[#This Row],[ID Item Vendido]],Agregado[ID],Agregado[Revenda])</f>
        <v>119</v>
      </c>
      <c r="I3729" s="3">
        <f>Vendas[[#This Row],[Valor Unitário]]*Vendas[[#This Row],[Qnt Vendida]]</f>
        <v>2380</v>
      </c>
      <c r="J3729" s="3">
        <f>Vendas[[#This Row],[Valor da Venda]]-(_xlfn.XLOOKUP(Vendas[[#This Row],[ID Item Vendido]],Agregado[ID],Agregado[Custo])*Vendas[[#This Row],[Qnt Vendida]])</f>
        <v>680</v>
      </c>
      <c r="K3729" s="70">
        <f>Vendas[[#This Row],[Lucro da Venda]]/Vendas[[#This Row],[Valor da Venda]]</f>
        <v>0.2857142857142857</v>
      </c>
      <c r="L3729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729"/>
    </row>
    <row r="3730" spans="1:13" x14ac:dyDescent="0.3">
      <c r="A3730" s="7">
        <v>400248</v>
      </c>
      <c r="B3730" t="str">
        <f>_xlfn.XLOOKUP(Vendas[[#This Row],[ID Vendedor]],Vendedores[ID],Vendedores[Nome])</f>
        <v>Patrícia</v>
      </c>
      <c r="C3730" s="7" t="str">
        <f>_xlfn.XLOOKUP(Vendas[[#This Row],[ID Vendedor]],Vendedores[ID],Vendedores[Setor])</f>
        <v>CM</v>
      </c>
      <c r="D3730" s="7" t="s">
        <v>43</v>
      </c>
      <c r="E3730" t="str">
        <f>_xlfn.XLOOKUP(Vendas[[#This Row],[ID Item Vendido]],Agregado[ID],Agregado[Produto])</f>
        <v>Madeira Bruta (Tora)</v>
      </c>
      <c r="F3730" s="39">
        <v>45507</v>
      </c>
      <c r="G3730" s="7">
        <v>7</v>
      </c>
      <c r="H3730" s="3">
        <f>_xlfn.XLOOKUP(Vendas[[#This Row],[ID Item Vendido]],Agregado[ID],Agregado[Revenda])</f>
        <v>212</v>
      </c>
      <c r="I3730" s="3">
        <f>Vendas[[#This Row],[Valor Unitário]]*Vendas[[#This Row],[Qnt Vendida]]</f>
        <v>1484</v>
      </c>
      <c r="J3730" s="3">
        <f>Vendas[[#This Row],[Valor da Venda]]-(_xlfn.XLOOKUP(Vendas[[#This Row],[ID Item Vendido]],Agregado[ID],Agregado[Custo])*Vendas[[#This Row],[Qnt Vendida]])</f>
        <v>224</v>
      </c>
      <c r="K3730" s="70">
        <f>Vendas[[#This Row],[Lucro da Venda]]/Vendas[[#This Row],[Valor da Venda]]</f>
        <v>0.15094339622641509</v>
      </c>
      <c r="L3730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730"/>
    </row>
    <row r="3731" spans="1:13" x14ac:dyDescent="0.3">
      <c r="A3731" s="7">
        <v>400249</v>
      </c>
      <c r="B3731" t="str">
        <f>_xlfn.XLOOKUP(Vendas[[#This Row],[ID Vendedor]],Vendedores[ID],Vendedores[Nome])</f>
        <v>Bruno</v>
      </c>
      <c r="C3731" s="7" t="str">
        <f>_xlfn.XLOOKUP(Vendas[[#This Row],[ID Vendedor]],Vendedores[ID],Vendedores[Setor])</f>
        <v>CM</v>
      </c>
      <c r="D3731" s="7" t="s">
        <v>22</v>
      </c>
      <c r="E3731" t="str">
        <f>_xlfn.XLOOKUP(Vendas[[#This Row],[ID Item Vendido]],Agregado[ID],Agregado[Produto])</f>
        <v>Painel MDP 2,75x1,83m</v>
      </c>
      <c r="F3731" s="39">
        <v>45507</v>
      </c>
      <c r="G3731" s="7">
        <v>5</v>
      </c>
      <c r="H3731" s="3">
        <f>_xlfn.XLOOKUP(Vendas[[#This Row],[ID Item Vendido]],Agregado[ID],Agregado[Revenda])</f>
        <v>119</v>
      </c>
      <c r="I3731" s="3">
        <f>Vendas[[#This Row],[Valor Unitário]]*Vendas[[#This Row],[Qnt Vendida]]</f>
        <v>595</v>
      </c>
      <c r="J3731" s="3">
        <f>Vendas[[#This Row],[Valor da Venda]]-(_xlfn.XLOOKUP(Vendas[[#This Row],[ID Item Vendido]],Agregado[ID],Agregado[Custo])*Vendas[[#This Row],[Qnt Vendida]])</f>
        <v>120</v>
      </c>
      <c r="K3731" s="70">
        <f>Vendas[[#This Row],[Lucro da Venda]]/Vendas[[#This Row],[Valor da Venda]]</f>
        <v>0.20168067226890757</v>
      </c>
      <c r="L3731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3731"/>
    </row>
    <row r="3732" spans="1:13" x14ac:dyDescent="0.3">
      <c r="A3732" s="7">
        <v>400243</v>
      </c>
      <c r="B3732" t="str">
        <f>_xlfn.XLOOKUP(Vendas[[#This Row],[ID Vendedor]],Vendedores[ID],Vendedores[Nome])</f>
        <v>Marcelo</v>
      </c>
      <c r="C3732" s="7" t="str">
        <f>_xlfn.XLOOKUP(Vendas[[#This Row],[ID Vendedor]],Vendedores[ID],Vendedores[Setor])</f>
        <v>FM</v>
      </c>
      <c r="D3732" s="7" t="s">
        <v>20</v>
      </c>
      <c r="E3732" t="str">
        <f>_xlfn.XLOOKUP(Vendas[[#This Row],[ID Item Vendido]],Agregado[ID],Agregado[Produto])</f>
        <v>Barra de aço simples</v>
      </c>
      <c r="F3732" s="39">
        <v>45507</v>
      </c>
      <c r="G3732" s="7">
        <v>61</v>
      </c>
      <c r="H3732" s="3">
        <f>_xlfn.XLOOKUP(Vendas[[#This Row],[ID Item Vendido]],Agregado[ID],Agregado[Revenda])</f>
        <v>4.8</v>
      </c>
      <c r="I3732" s="3">
        <f>Vendas[[#This Row],[Valor Unitário]]*Vendas[[#This Row],[Qnt Vendida]]</f>
        <v>292.8</v>
      </c>
      <c r="J3732" s="3">
        <f>Vendas[[#This Row],[Valor da Venda]]-(_xlfn.XLOOKUP(Vendas[[#This Row],[ID Item Vendido]],Agregado[ID],Agregado[Custo])*Vendas[[#This Row],[Qnt Vendida]])</f>
        <v>36.600000000000023</v>
      </c>
      <c r="K3732" s="70">
        <f>Vendas[[#This Row],[Lucro da Venda]]/Vendas[[#This Row],[Valor da Venda]]</f>
        <v>0.12500000000000008</v>
      </c>
      <c r="L3732" s="3">
        <f>_xlfn.IFS(Vendas[[#This Row],[Margem de Lucro (%)]]&lt;15%,Vendas[[#This Row],[Valor da Venda]]*3%,Vendas[[#This Row],[Margem de Lucro (%)]]&lt;=20%,Vendas[[#This Row],[Valor da Venda]]*4.5%,TRUE,Vendas[[#This Row],[Valor da Venda]]*6%)</f>
        <v>8.7840000000000007</v>
      </c>
      <c r="M3732"/>
    </row>
    <row r="3733" spans="1:13" x14ac:dyDescent="0.3">
      <c r="A3733" s="7">
        <v>400242</v>
      </c>
      <c r="B3733" t="str">
        <f>_xlfn.XLOOKUP(Vendas[[#This Row],[ID Vendedor]],Vendedores[ID],Vendedores[Nome])</f>
        <v>Fernanda</v>
      </c>
      <c r="C3733" s="7" t="str">
        <f>_xlfn.XLOOKUP(Vendas[[#This Row],[ID Vendedor]],Vendedores[ID],Vendedores[Setor])</f>
        <v>FM</v>
      </c>
      <c r="D3733" s="7" t="s">
        <v>20</v>
      </c>
      <c r="E3733" t="str">
        <f>_xlfn.XLOOKUP(Vendas[[#This Row],[ID Item Vendido]],Agregado[ID],Agregado[Produto])</f>
        <v>Barra de aço simples</v>
      </c>
      <c r="F3733" s="39">
        <v>45508</v>
      </c>
      <c r="G3733" s="7">
        <v>126</v>
      </c>
      <c r="H3733" s="3">
        <f>_xlfn.XLOOKUP(Vendas[[#This Row],[ID Item Vendido]],Agregado[ID],Agregado[Revenda])</f>
        <v>4.8</v>
      </c>
      <c r="I3733" s="3">
        <f>Vendas[[#This Row],[Valor Unitário]]*Vendas[[#This Row],[Qnt Vendida]]</f>
        <v>604.79999999999995</v>
      </c>
      <c r="J3733" s="3">
        <f>Vendas[[#This Row],[Valor da Venda]]-(_xlfn.XLOOKUP(Vendas[[#This Row],[ID Item Vendido]],Agregado[ID],Agregado[Custo])*Vendas[[#This Row],[Qnt Vendida]])</f>
        <v>75.599999999999909</v>
      </c>
      <c r="K3733" s="70">
        <f>Vendas[[#This Row],[Lucro da Venda]]/Vendas[[#This Row],[Valor da Venda]]</f>
        <v>0.12499999999999986</v>
      </c>
      <c r="L3733" s="3">
        <f>_xlfn.IFS(Vendas[[#This Row],[Margem de Lucro (%)]]&lt;15%,Vendas[[#This Row],[Valor da Venda]]*3%,Vendas[[#This Row],[Margem de Lucro (%)]]&lt;=20%,Vendas[[#This Row],[Valor da Venda]]*4.5%,TRUE,Vendas[[#This Row],[Valor da Venda]]*6%)</f>
        <v>18.143999999999998</v>
      </c>
      <c r="M3733"/>
    </row>
    <row r="3734" spans="1:13" x14ac:dyDescent="0.3">
      <c r="A3734" s="7">
        <v>400246</v>
      </c>
      <c r="B3734" t="str">
        <f>_xlfn.XLOOKUP(Vendas[[#This Row],[ID Vendedor]],Vendedores[ID],Vendedores[Nome])</f>
        <v>Juliana</v>
      </c>
      <c r="C3734" s="7" t="str">
        <f>_xlfn.XLOOKUP(Vendas[[#This Row],[ID Vendedor]],Vendedores[ID],Vendedores[Setor])</f>
        <v>AHD</v>
      </c>
      <c r="D3734" s="7" t="s">
        <v>44</v>
      </c>
      <c r="E3734" t="str">
        <f>_xlfn.XLOOKUP(Vendas[[#This Row],[ID Item Vendido]],Agregado[ID],Agregado[Produto])</f>
        <v>Liga metálica especial</v>
      </c>
      <c r="F3734" s="39">
        <v>45508</v>
      </c>
      <c r="G3734" s="7">
        <v>11</v>
      </c>
      <c r="H3734" s="3">
        <f>_xlfn.XLOOKUP(Vendas[[#This Row],[ID Item Vendido]],Agregado[ID],Agregado[Revenda])</f>
        <v>32.5</v>
      </c>
      <c r="I3734" s="3">
        <f>Vendas[[#This Row],[Valor Unitário]]*Vendas[[#This Row],[Qnt Vendida]]</f>
        <v>357.5</v>
      </c>
      <c r="J3734" s="3">
        <f>Vendas[[#This Row],[Valor da Venda]]-(_xlfn.XLOOKUP(Vendas[[#This Row],[ID Item Vendido]],Agregado[ID],Agregado[Custo])*Vendas[[#This Row],[Qnt Vendida]])</f>
        <v>82.5</v>
      </c>
      <c r="K3734" s="70">
        <f>Vendas[[#This Row],[Lucro da Venda]]/Vendas[[#This Row],[Valor da Venda]]</f>
        <v>0.23076923076923078</v>
      </c>
      <c r="L3734" s="3">
        <f>_xlfn.IFS(Vendas[[#This Row],[Margem de Lucro (%)]]&lt;15%,Vendas[[#This Row],[Valor da Venda]]*3%,Vendas[[#This Row],[Margem de Lucro (%)]]&lt;=20%,Vendas[[#This Row],[Valor da Venda]]*4.5%,TRUE,Vendas[[#This Row],[Valor da Venda]]*6%)</f>
        <v>21.45</v>
      </c>
      <c r="M3734"/>
    </row>
    <row r="3735" spans="1:13" x14ac:dyDescent="0.3">
      <c r="A3735" s="7">
        <v>400250</v>
      </c>
      <c r="B3735" t="str">
        <f>_xlfn.XLOOKUP(Vendas[[#This Row],[ID Vendedor]],Vendedores[ID],Vendedores[Nome])</f>
        <v>Larissa</v>
      </c>
      <c r="C3735" s="7" t="str">
        <f>_xlfn.XLOOKUP(Vendas[[#This Row],[ID Vendedor]],Vendedores[ID],Vendedores[Setor])</f>
        <v>AB</v>
      </c>
      <c r="D3735" s="7" t="s">
        <v>12</v>
      </c>
      <c r="E3735" t="str">
        <f>_xlfn.XLOOKUP(Vendas[[#This Row],[ID Item Vendido]],Agregado[ID],Agregado[Produto])</f>
        <v>Grânulo de plástico reciclado refinado</v>
      </c>
      <c r="F3735" s="39">
        <v>45508</v>
      </c>
      <c r="G3735" s="7">
        <v>42</v>
      </c>
      <c r="H3735" s="3">
        <f>_xlfn.XLOOKUP(Vendas[[#This Row],[ID Item Vendido]],Agregado[ID],Agregado[Revenda])</f>
        <v>4.7</v>
      </c>
      <c r="I3735" s="3">
        <f>Vendas[[#This Row],[Valor Unitário]]*Vendas[[#This Row],[Qnt Vendida]]</f>
        <v>197.4</v>
      </c>
      <c r="J3735" s="3">
        <f>Vendas[[#This Row],[Valor da Venda]]-(_xlfn.XLOOKUP(Vendas[[#This Row],[ID Item Vendido]],Agregado[ID],Agregado[Custo])*Vendas[[#This Row],[Qnt Vendida]])</f>
        <v>50.400000000000006</v>
      </c>
      <c r="K3735" s="70">
        <f>Vendas[[#This Row],[Lucro da Venda]]/Vendas[[#This Row],[Valor da Venda]]</f>
        <v>0.25531914893617025</v>
      </c>
      <c r="L3735" s="3">
        <f>_xlfn.IFS(Vendas[[#This Row],[Margem de Lucro (%)]]&lt;15%,Vendas[[#This Row],[Valor da Venda]]*3%,Vendas[[#This Row],[Margem de Lucro (%)]]&lt;=20%,Vendas[[#This Row],[Valor da Venda]]*4.5%,TRUE,Vendas[[#This Row],[Valor da Venda]]*6%)</f>
        <v>11.843999999999999</v>
      </c>
      <c r="M3735"/>
    </row>
    <row r="3736" spans="1:13" x14ac:dyDescent="0.3">
      <c r="A3736" s="7">
        <v>400241</v>
      </c>
      <c r="B3736" t="str">
        <f>_xlfn.XLOOKUP(Vendas[[#This Row],[ID Vendedor]],Vendedores[ID],Vendedores[Nome])</f>
        <v>Rodrigo</v>
      </c>
      <c r="C3736" s="7" t="str">
        <f>_xlfn.XLOOKUP(Vendas[[#This Row],[ID Vendedor]],Vendedores[ID],Vendedores[Setor])</f>
        <v>FM</v>
      </c>
      <c r="D3736" s="7" t="s">
        <v>27</v>
      </c>
      <c r="E3736" t="str">
        <f>_xlfn.XLOOKUP(Vendas[[#This Row],[ID Item Vendido]],Agregado[ID],Agregado[Produto])</f>
        <v>Chapa de metal lisa 1x2m</v>
      </c>
      <c r="F3736" s="39">
        <v>45509</v>
      </c>
      <c r="G3736" s="7">
        <v>24</v>
      </c>
      <c r="H3736" s="3">
        <f>_xlfn.XLOOKUP(Vendas[[#This Row],[ID Item Vendido]],Agregado[ID],Agregado[Revenda])</f>
        <v>52</v>
      </c>
      <c r="I3736" s="3">
        <f>Vendas[[#This Row],[Valor Unitário]]*Vendas[[#This Row],[Qnt Vendida]]</f>
        <v>1248</v>
      </c>
      <c r="J3736" s="3">
        <f>Vendas[[#This Row],[Valor da Venda]]-(_xlfn.XLOOKUP(Vendas[[#This Row],[ID Item Vendido]],Agregado[ID],Agregado[Custo])*Vendas[[#This Row],[Qnt Vendida]])</f>
        <v>168</v>
      </c>
      <c r="K3736" s="70">
        <f>Vendas[[#This Row],[Lucro da Venda]]/Vendas[[#This Row],[Valor da Venda]]</f>
        <v>0.13461538461538461</v>
      </c>
      <c r="L3736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3736"/>
    </row>
    <row r="3737" spans="1:13" x14ac:dyDescent="0.3">
      <c r="A3737" s="7">
        <v>400254</v>
      </c>
      <c r="B3737" t="str">
        <f>_xlfn.XLOOKUP(Vendas[[#This Row],[ID Vendedor]],Vendedores[ID],Vendedores[Nome])</f>
        <v>Beatriz</v>
      </c>
      <c r="C3737" s="7" t="str">
        <f>_xlfn.XLOOKUP(Vendas[[#This Row],[ID Vendedor]],Vendedores[ID],Vendedores[Setor])</f>
        <v>SC</v>
      </c>
      <c r="D3737" s="7" t="s">
        <v>41</v>
      </c>
      <c r="E3737" t="str">
        <f>_xlfn.XLOOKUP(Vendas[[#This Row],[ID Item Vendido]],Agregado[ID],Agregado[Produto])</f>
        <v>Palete de madeira reforçado</v>
      </c>
      <c r="F3737" s="39">
        <v>45509</v>
      </c>
      <c r="G3737" s="7">
        <v>8</v>
      </c>
      <c r="H3737" s="3">
        <f>_xlfn.XLOOKUP(Vendas[[#This Row],[ID Item Vendido]],Agregado[ID],Agregado[Revenda])</f>
        <v>131</v>
      </c>
      <c r="I3737" s="3">
        <f>Vendas[[#This Row],[Valor Unitário]]*Vendas[[#This Row],[Qnt Vendida]]</f>
        <v>1048</v>
      </c>
      <c r="J3737" s="3">
        <f>Vendas[[#This Row],[Valor da Venda]]-(_xlfn.XLOOKUP(Vendas[[#This Row],[ID Item Vendido]],Agregado[ID],Agregado[Custo])*Vendas[[#This Row],[Qnt Vendida]])</f>
        <v>168</v>
      </c>
      <c r="K3737" s="70">
        <f>Vendas[[#This Row],[Lucro da Venda]]/Vendas[[#This Row],[Valor da Venda]]</f>
        <v>0.16030534351145037</v>
      </c>
      <c r="L3737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3737"/>
    </row>
    <row r="3738" spans="1:13" x14ac:dyDescent="0.3">
      <c r="A3738" s="7">
        <v>400250</v>
      </c>
      <c r="B3738" t="str">
        <f>_xlfn.XLOOKUP(Vendas[[#This Row],[ID Vendedor]],Vendedores[ID],Vendedores[Nome])</f>
        <v>Larissa</v>
      </c>
      <c r="C3738" s="7" t="str">
        <f>_xlfn.XLOOKUP(Vendas[[#This Row],[ID Vendedor]],Vendedores[ID],Vendedores[Setor])</f>
        <v>AB</v>
      </c>
      <c r="D3738" s="7" t="s">
        <v>37</v>
      </c>
      <c r="E3738" t="str">
        <f>_xlfn.XLOOKUP(Vendas[[#This Row],[ID Item Vendido]],Agregado[ID],Agregado[Produto])</f>
        <v>Composto de borracha para vedação rolo 10m</v>
      </c>
      <c r="F3738" s="39">
        <v>45509</v>
      </c>
      <c r="G3738" s="7">
        <v>13</v>
      </c>
      <c r="H3738" s="3">
        <f>_xlfn.XLOOKUP(Vendas[[#This Row],[ID Item Vendido]],Agregado[ID],Agregado[Revenda])</f>
        <v>51.2</v>
      </c>
      <c r="I3738" s="3">
        <f>Vendas[[#This Row],[Valor Unitário]]*Vendas[[#This Row],[Qnt Vendida]]</f>
        <v>665.6</v>
      </c>
      <c r="J3738" s="3">
        <f>Vendas[[#This Row],[Valor da Venda]]-(_xlfn.XLOOKUP(Vendas[[#This Row],[ID Item Vendido]],Agregado[ID],Agregado[Custo])*Vendas[[#This Row],[Qnt Vendida]])</f>
        <v>145.60000000000002</v>
      </c>
      <c r="K3738" s="70">
        <f>Vendas[[#This Row],[Lucro da Venda]]/Vendas[[#This Row],[Valor da Venda]]</f>
        <v>0.21875000000000003</v>
      </c>
      <c r="L3738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3738"/>
    </row>
    <row r="3739" spans="1:13" x14ac:dyDescent="0.3">
      <c r="A3739" s="7">
        <v>400252</v>
      </c>
      <c r="B3739" t="str">
        <f>_xlfn.XLOOKUP(Vendas[[#This Row],[ID Vendedor]],Vendedores[ID],Vendedores[Nome])</f>
        <v>Renata</v>
      </c>
      <c r="C3739" s="7" t="str">
        <f>_xlfn.XLOOKUP(Vendas[[#This Row],[ID Vendedor]],Vendedores[ID],Vendedores[Setor])</f>
        <v>AB</v>
      </c>
      <c r="D3739" s="7" t="s">
        <v>36</v>
      </c>
      <c r="E3739" t="str">
        <f>_xlfn.XLOOKUP(Vendas[[#This Row],[ID Item Vendido]],Agregado[ID],Agregado[Produto])</f>
        <v>Borracha vulcanizada em manta</v>
      </c>
      <c r="F3739" s="39">
        <v>45509</v>
      </c>
      <c r="G3739" s="7">
        <v>69</v>
      </c>
      <c r="H3739" s="3">
        <f>_xlfn.XLOOKUP(Vendas[[#This Row],[ID Item Vendido]],Agregado[ID],Agregado[Revenda])</f>
        <v>7.8</v>
      </c>
      <c r="I3739" s="3">
        <f>Vendas[[#This Row],[Valor Unitário]]*Vendas[[#This Row],[Qnt Vendida]]</f>
        <v>538.19999999999993</v>
      </c>
      <c r="J3739" s="3">
        <f>Vendas[[#This Row],[Valor da Venda]]-(_xlfn.XLOOKUP(Vendas[[#This Row],[ID Item Vendido]],Agregado[ID],Agregado[Custo])*Vendas[[#This Row],[Qnt Vendida]])</f>
        <v>124.19999999999993</v>
      </c>
      <c r="K3739" s="70">
        <f>Vendas[[#This Row],[Lucro da Venda]]/Vendas[[#This Row],[Valor da Venda]]</f>
        <v>0.23076923076923067</v>
      </c>
      <c r="L3739" s="3">
        <f>_xlfn.IFS(Vendas[[#This Row],[Margem de Lucro (%)]]&lt;15%,Vendas[[#This Row],[Valor da Venda]]*3%,Vendas[[#This Row],[Margem de Lucro (%)]]&lt;=20%,Vendas[[#This Row],[Valor da Venda]]*4.5%,TRUE,Vendas[[#This Row],[Valor da Venda]]*6%)</f>
        <v>32.291999999999994</v>
      </c>
      <c r="M3739"/>
    </row>
    <row r="3740" spans="1:13" x14ac:dyDescent="0.3">
      <c r="A3740" s="7">
        <v>400245</v>
      </c>
      <c r="B3740" t="str">
        <f>_xlfn.XLOOKUP(Vendas[[#This Row],[ID Vendedor]],Vendedores[ID],Vendedores[Nome])</f>
        <v>Thiago</v>
      </c>
      <c r="C3740" s="7" t="str">
        <f>_xlfn.XLOOKUP(Vendas[[#This Row],[ID Vendedor]],Vendedores[ID],Vendedores[Setor])</f>
        <v>AHD</v>
      </c>
      <c r="D3740" s="7" t="s">
        <v>44</v>
      </c>
      <c r="E3740" t="str">
        <f>_xlfn.XLOOKUP(Vendas[[#This Row],[ID Item Vendido]],Agregado[ID],Agregado[Produto])</f>
        <v>Liga metálica especial</v>
      </c>
      <c r="F3740" s="39">
        <v>45510</v>
      </c>
      <c r="G3740" s="7">
        <v>59</v>
      </c>
      <c r="H3740" s="3">
        <f>_xlfn.XLOOKUP(Vendas[[#This Row],[ID Item Vendido]],Agregado[ID],Agregado[Revenda])</f>
        <v>32.5</v>
      </c>
      <c r="I3740" s="3">
        <f>Vendas[[#This Row],[Valor Unitário]]*Vendas[[#This Row],[Qnt Vendida]]</f>
        <v>1917.5</v>
      </c>
      <c r="J3740" s="3">
        <f>Vendas[[#This Row],[Valor da Venda]]-(_xlfn.XLOOKUP(Vendas[[#This Row],[ID Item Vendido]],Agregado[ID],Agregado[Custo])*Vendas[[#This Row],[Qnt Vendida]])</f>
        <v>442.5</v>
      </c>
      <c r="K3740" s="70">
        <f>Vendas[[#This Row],[Lucro da Venda]]/Vendas[[#This Row],[Valor da Venda]]</f>
        <v>0.23076923076923078</v>
      </c>
      <c r="L3740" s="3">
        <f>_xlfn.IFS(Vendas[[#This Row],[Margem de Lucro (%)]]&lt;15%,Vendas[[#This Row],[Valor da Venda]]*3%,Vendas[[#This Row],[Margem de Lucro (%)]]&lt;=20%,Vendas[[#This Row],[Valor da Venda]]*4.5%,TRUE,Vendas[[#This Row],[Valor da Venda]]*6%)</f>
        <v>115.05</v>
      </c>
      <c r="M3740"/>
    </row>
    <row r="3741" spans="1:13" x14ac:dyDescent="0.3">
      <c r="A3741" s="7">
        <v>400254</v>
      </c>
      <c r="B3741" t="str">
        <f>_xlfn.XLOOKUP(Vendas[[#This Row],[ID Vendedor]],Vendedores[ID],Vendedores[Nome])</f>
        <v>Beatriz</v>
      </c>
      <c r="C3741" s="7" t="str">
        <f>_xlfn.XLOOKUP(Vendas[[#This Row],[ID Vendedor]],Vendedores[ID],Vendedores[Setor])</f>
        <v>SC</v>
      </c>
      <c r="D3741" s="7" t="s">
        <v>48</v>
      </c>
      <c r="E3741" t="str">
        <f>_xlfn.XLOOKUP(Vendas[[#This Row],[ID Item Vendido]],Agregado[ID],Agregado[Produto])</f>
        <v>Tambor metálico 200L</v>
      </c>
      <c r="F3741" s="39">
        <v>45510</v>
      </c>
      <c r="G3741" s="7">
        <v>13</v>
      </c>
      <c r="H3741" s="3">
        <f>_xlfn.XLOOKUP(Vendas[[#This Row],[ID Item Vendido]],Agregado[ID],Agregado[Revenda])</f>
        <v>144</v>
      </c>
      <c r="I3741" s="3">
        <f>Vendas[[#This Row],[Valor Unitário]]*Vendas[[#This Row],[Qnt Vendida]]</f>
        <v>1872</v>
      </c>
      <c r="J3741" s="3">
        <f>Vendas[[#This Row],[Valor da Venda]]-(_xlfn.XLOOKUP(Vendas[[#This Row],[ID Item Vendido]],Agregado[ID],Agregado[Custo])*Vendas[[#This Row],[Qnt Vendida]])</f>
        <v>312</v>
      </c>
      <c r="K3741" s="70">
        <f>Vendas[[#This Row],[Lucro da Venda]]/Vendas[[#This Row],[Valor da Venda]]</f>
        <v>0.16666666666666666</v>
      </c>
      <c r="L3741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3741"/>
    </row>
    <row r="3742" spans="1:13" x14ac:dyDescent="0.3">
      <c r="A3742" s="7">
        <v>400252</v>
      </c>
      <c r="B3742" t="str">
        <f>_xlfn.XLOOKUP(Vendas[[#This Row],[ID Vendedor]],Vendedores[ID],Vendedores[Nome])</f>
        <v>Renata</v>
      </c>
      <c r="C3742" s="7" t="str">
        <f>_xlfn.XLOOKUP(Vendas[[#This Row],[ID Vendedor]],Vendedores[ID],Vendedores[Setor])</f>
        <v>AB</v>
      </c>
      <c r="D3742" s="7" t="s">
        <v>12</v>
      </c>
      <c r="E3742" t="str">
        <f>_xlfn.XLOOKUP(Vendas[[#This Row],[ID Item Vendido]],Agregado[ID],Agregado[Produto])</f>
        <v>Grânulo de plástico reciclado refinado</v>
      </c>
      <c r="F3742" s="39">
        <v>45510</v>
      </c>
      <c r="G3742" s="7">
        <v>91</v>
      </c>
      <c r="H3742" s="3">
        <f>_xlfn.XLOOKUP(Vendas[[#This Row],[ID Item Vendido]],Agregado[ID],Agregado[Revenda])</f>
        <v>4.7</v>
      </c>
      <c r="I3742" s="3">
        <f>Vendas[[#This Row],[Valor Unitário]]*Vendas[[#This Row],[Qnt Vendida]]</f>
        <v>427.7</v>
      </c>
      <c r="J3742" s="3">
        <f>Vendas[[#This Row],[Valor da Venda]]-(_xlfn.XLOOKUP(Vendas[[#This Row],[ID Item Vendido]],Agregado[ID],Agregado[Custo])*Vendas[[#This Row],[Qnt Vendida]])</f>
        <v>109.19999999999999</v>
      </c>
      <c r="K3742" s="70">
        <f>Vendas[[#This Row],[Lucro da Venda]]/Vendas[[#This Row],[Valor da Venda]]</f>
        <v>0.25531914893617019</v>
      </c>
      <c r="L3742" s="3">
        <f>_xlfn.IFS(Vendas[[#This Row],[Margem de Lucro (%)]]&lt;15%,Vendas[[#This Row],[Valor da Venda]]*3%,Vendas[[#This Row],[Margem de Lucro (%)]]&lt;=20%,Vendas[[#This Row],[Valor da Venda]]*4.5%,TRUE,Vendas[[#This Row],[Valor da Venda]]*6%)</f>
        <v>25.661999999999999</v>
      </c>
      <c r="M3742"/>
    </row>
    <row r="3743" spans="1:13" x14ac:dyDescent="0.3">
      <c r="A3743" s="7">
        <v>400247</v>
      </c>
      <c r="B3743" t="str">
        <f>_xlfn.XLOOKUP(Vendas[[#This Row],[ID Vendedor]],Vendedores[ID],Vendedores[Nome])</f>
        <v>André</v>
      </c>
      <c r="C3743" s="7" t="str">
        <f>_xlfn.XLOOKUP(Vendas[[#This Row],[ID Vendedor]],Vendedores[ID],Vendedores[Setor])</f>
        <v>CM</v>
      </c>
      <c r="D3743" s="7" t="s">
        <v>32</v>
      </c>
      <c r="E3743" t="str">
        <f>_xlfn.XLOOKUP(Vendas[[#This Row],[ID Item Vendido]],Agregado[ID],Agregado[Produto])</f>
        <v>Tábua tratada e cortada 3m</v>
      </c>
      <c r="F3743" s="39">
        <v>45510</v>
      </c>
      <c r="G3743" s="7">
        <v>8</v>
      </c>
      <c r="H3743" s="3">
        <f>_xlfn.XLOOKUP(Vendas[[#This Row],[ID Item Vendido]],Agregado[ID],Agregado[Revenda])</f>
        <v>39</v>
      </c>
      <c r="I3743" s="3">
        <f>Vendas[[#This Row],[Valor Unitário]]*Vendas[[#This Row],[Qnt Vendida]]</f>
        <v>312</v>
      </c>
      <c r="J3743" s="3">
        <f>Vendas[[#This Row],[Valor da Venda]]-(_xlfn.XLOOKUP(Vendas[[#This Row],[ID Item Vendido]],Agregado[ID],Agregado[Custo])*Vendas[[#This Row],[Qnt Vendida]])</f>
        <v>56</v>
      </c>
      <c r="K3743" s="70">
        <f>Vendas[[#This Row],[Lucro da Venda]]/Vendas[[#This Row],[Valor da Venda]]</f>
        <v>0.17948717948717949</v>
      </c>
      <c r="L374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3743"/>
    </row>
    <row r="3744" spans="1:13" x14ac:dyDescent="0.3">
      <c r="A3744" s="7">
        <v>400252</v>
      </c>
      <c r="B3744" t="str">
        <f>_xlfn.XLOOKUP(Vendas[[#This Row],[ID Vendedor]],Vendedores[ID],Vendedores[Nome])</f>
        <v>Renata</v>
      </c>
      <c r="C3744" s="7" t="str">
        <f>_xlfn.XLOOKUP(Vendas[[#This Row],[ID Vendedor]],Vendedores[ID],Vendedores[Setor])</f>
        <v>AB</v>
      </c>
      <c r="D3744" s="7" t="s">
        <v>36</v>
      </c>
      <c r="E3744" t="str">
        <f>_xlfn.XLOOKUP(Vendas[[#This Row],[ID Item Vendido]],Agregado[ID],Agregado[Produto])</f>
        <v>Borracha vulcanizada em manta</v>
      </c>
      <c r="F3744" s="39">
        <v>45510</v>
      </c>
      <c r="G3744" s="7">
        <v>32</v>
      </c>
      <c r="H3744" s="3">
        <f>_xlfn.XLOOKUP(Vendas[[#This Row],[ID Item Vendido]],Agregado[ID],Agregado[Revenda])</f>
        <v>7.8</v>
      </c>
      <c r="I3744" s="3">
        <f>Vendas[[#This Row],[Valor Unitário]]*Vendas[[#This Row],[Qnt Vendida]]</f>
        <v>249.6</v>
      </c>
      <c r="J3744" s="3">
        <f>Vendas[[#This Row],[Valor da Venda]]-(_xlfn.XLOOKUP(Vendas[[#This Row],[ID Item Vendido]],Agregado[ID],Agregado[Custo])*Vendas[[#This Row],[Qnt Vendida]])</f>
        <v>57.599999999999994</v>
      </c>
      <c r="K3744" s="70">
        <f>Vendas[[#This Row],[Lucro da Venda]]/Vendas[[#This Row],[Valor da Venda]]</f>
        <v>0.23076923076923075</v>
      </c>
      <c r="L3744" s="3">
        <f>_xlfn.IFS(Vendas[[#This Row],[Margem de Lucro (%)]]&lt;15%,Vendas[[#This Row],[Valor da Venda]]*3%,Vendas[[#This Row],[Margem de Lucro (%)]]&lt;=20%,Vendas[[#This Row],[Valor da Venda]]*4.5%,TRUE,Vendas[[#This Row],[Valor da Venda]]*6%)</f>
        <v>14.975999999999999</v>
      </c>
      <c r="M3744"/>
    </row>
    <row r="3745" spans="1:13" x14ac:dyDescent="0.3">
      <c r="A3745" s="7">
        <v>400247</v>
      </c>
      <c r="B3745" t="str">
        <f>_xlfn.XLOOKUP(Vendas[[#This Row],[ID Vendedor]],Vendedores[ID],Vendedores[Nome])</f>
        <v>André</v>
      </c>
      <c r="C3745" s="7" t="str">
        <f>_xlfn.XLOOKUP(Vendas[[#This Row],[ID Vendedor]],Vendedores[ID],Vendedores[Setor])</f>
        <v>CM</v>
      </c>
      <c r="D3745" s="7" t="s">
        <v>22</v>
      </c>
      <c r="E3745" t="str">
        <f>_xlfn.XLOOKUP(Vendas[[#This Row],[ID Item Vendido]],Agregado[ID],Agregado[Produto])</f>
        <v>Painel MDP 2,75x1,83m</v>
      </c>
      <c r="F3745" s="39">
        <v>45511</v>
      </c>
      <c r="G3745" s="7">
        <v>18</v>
      </c>
      <c r="H3745" s="3">
        <f>_xlfn.XLOOKUP(Vendas[[#This Row],[ID Item Vendido]],Agregado[ID],Agregado[Revenda])</f>
        <v>119</v>
      </c>
      <c r="I3745" s="3">
        <f>Vendas[[#This Row],[Valor Unitário]]*Vendas[[#This Row],[Qnt Vendida]]</f>
        <v>2142</v>
      </c>
      <c r="J3745" s="3">
        <f>Vendas[[#This Row],[Valor da Venda]]-(_xlfn.XLOOKUP(Vendas[[#This Row],[ID Item Vendido]],Agregado[ID],Agregado[Custo])*Vendas[[#This Row],[Qnt Vendida]])</f>
        <v>432</v>
      </c>
      <c r="K3745" s="70">
        <f>Vendas[[#This Row],[Lucro da Venda]]/Vendas[[#This Row],[Valor da Venda]]</f>
        <v>0.20168067226890757</v>
      </c>
      <c r="L3745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745"/>
    </row>
    <row r="3746" spans="1:13" x14ac:dyDescent="0.3">
      <c r="A3746" s="7">
        <v>400255</v>
      </c>
      <c r="B3746" t="str">
        <f>_xlfn.XLOOKUP(Vendas[[#This Row],[ID Vendedor]],Vendedores[ID],Vendedores[Nome])</f>
        <v>Carlos</v>
      </c>
      <c r="C3746" s="7" t="str">
        <f>_xlfn.XLOOKUP(Vendas[[#This Row],[ID Vendedor]],Vendedores[ID],Vendedores[Setor])</f>
        <v>SC</v>
      </c>
      <c r="D3746" s="7" t="s">
        <v>48</v>
      </c>
      <c r="E3746" t="str">
        <f>_xlfn.XLOOKUP(Vendas[[#This Row],[ID Item Vendido]],Agregado[ID],Agregado[Produto])</f>
        <v>Tambor metálico 200L</v>
      </c>
      <c r="F3746" s="39">
        <v>45511</v>
      </c>
      <c r="G3746" s="7">
        <v>3</v>
      </c>
      <c r="H3746" s="3">
        <f>_xlfn.XLOOKUP(Vendas[[#This Row],[ID Item Vendido]],Agregado[ID],Agregado[Revenda])</f>
        <v>144</v>
      </c>
      <c r="I3746" s="3">
        <f>Vendas[[#This Row],[Valor Unitário]]*Vendas[[#This Row],[Qnt Vendida]]</f>
        <v>432</v>
      </c>
      <c r="J3746" s="3">
        <f>Vendas[[#This Row],[Valor da Venda]]-(_xlfn.XLOOKUP(Vendas[[#This Row],[ID Item Vendido]],Agregado[ID],Agregado[Custo])*Vendas[[#This Row],[Qnt Vendida]])</f>
        <v>72</v>
      </c>
      <c r="K3746" s="70">
        <f>Vendas[[#This Row],[Lucro da Venda]]/Vendas[[#This Row],[Valor da Venda]]</f>
        <v>0.16666666666666666</v>
      </c>
      <c r="L3746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3746"/>
    </row>
    <row r="3747" spans="1:13" x14ac:dyDescent="0.3">
      <c r="A3747" s="7">
        <v>400254</v>
      </c>
      <c r="B3747" t="str">
        <f>_xlfn.XLOOKUP(Vendas[[#This Row],[ID Vendedor]],Vendedores[ID],Vendedores[Nome])</f>
        <v>Beatriz</v>
      </c>
      <c r="C3747" s="7" t="str">
        <f>_xlfn.XLOOKUP(Vendas[[#This Row],[ID Vendedor]],Vendedores[ID],Vendedores[Setor])</f>
        <v>SC</v>
      </c>
      <c r="D3747" s="7" t="s">
        <v>48</v>
      </c>
      <c r="E3747" t="str">
        <f>_xlfn.XLOOKUP(Vendas[[#This Row],[ID Item Vendido]],Agregado[ID],Agregado[Produto])</f>
        <v>Tambor metálico 200L</v>
      </c>
      <c r="F3747" s="39">
        <v>45512</v>
      </c>
      <c r="G3747" s="7">
        <v>11</v>
      </c>
      <c r="H3747" s="3">
        <f>_xlfn.XLOOKUP(Vendas[[#This Row],[ID Item Vendido]],Agregado[ID],Agregado[Revenda])</f>
        <v>144</v>
      </c>
      <c r="I3747" s="3">
        <f>Vendas[[#This Row],[Valor Unitário]]*Vendas[[#This Row],[Qnt Vendida]]</f>
        <v>1584</v>
      </c>
      <c r="J3747" s="3">
        <f>Vendas[[#This Row],[Valor da Venda]]-(_xlfn.XLOOKUP(Vendas[[#This Row],[ID Item Vendido]],Agregado[ID],Agregado[Custo])*Vendas[[#This Row],[Qnt Vendida]])</f>
        <v>264</v>
      </c>
      <c r="K3747" s="70">
        <f>Vendas[[#This Row],[Lucro da Venda]]/Vendas[[#This Row],[Valor da Venda]]</f>
        <v>0.16666666666666666</v>
      </c>
      <c r="L3747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3747"/>
    </row>
    <row r="3748" spans="1:13" x14ac:dyDescent="0.3">
      <c r="A3748" s="7">
        <v>400248</v>
      </c>
      <c r="B3748" t="str">
        <f>_xlfn.XLOOKUP(Vendas[[#This Row],[ID Vendedor]],Vendedores[ID],Vendedores[Nome])</f>
        <v>Patrícia</v>
      </c>
      <c r="C3748" s="7" t="str">
        <f>_xlfn.XLOOKUP(Vendas[[#This Row],[ID Vendedor]],Vendedores[ID],Vendedores[Setor])</f>
        <v>CM</v>
      </c>
      <c r="D3748" s="7" t="s">
        <v>43</v>
      </c>
      <c r="E3748" t="str">
        <f>_xlfn.XLOOKUP(Vendas[[#This Row],[ID Item Vendido]],Agregado[ID],Agregado[Produto])</f>
        <v>Madeira Bruta (Tora)</v>
      </c>
      <c r="F3748" s="39">
        <v>45512</v>
      </c>
      <c r="G3748" s="7">
        <v>7</v>
      </c>
      <c r="H3748" s="3">
        <f>_xlfn.XLOOKUP(Vendas[[#This Row],[ID Item Vendido]],Agregado[ID],Agregado[Revenda])</f>
        <v>212</v>
      </c>
      <c r="I3748" s="3">
        <f>Vendas[[#This Row],[Valor Unitário]]*Vendas[[#This Row],[Qnt Vendida]]</f>
        <v>1484</v>
      </c>
      <c r="J3748" s="3">
        <f>Vendas[[#This Row],[Valor da Venda]]-(_xlfn.XLOOKUP(Vendas[[#This Row],[ID Item Vendido]],Agregado[ID],Agregado[Custo])*Vendas[[#This Row],[Qnt Vendida]])</f>
        <v>224</v>
      </c>
      <c r="K3748" s="70">
        <f>Vendas[[#This Row],[Lucro da Venda]]/Vendas[[#This Row],[Valor da Venda]]</f>
        <v>0.15094339622641509</v>
      </c>
      <c r="L3748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748"/>
    </row>
    <row r="3749" spans="1:13" x14ac:dyDescent="0.3">
      <c r="A3749" s="7">
        <v>400254</v>
      </c>
      <c r="B3749" t="str">
        <f>_xlfn.XLOOKUP(Vendas[[#This Row],[ID Vendedor]],Vendedores[ID],Vendedores[Nome])</f>
        <v>Beatriz</v>
      </c>
      <c r="C3749" s="7" t="str">
        <f>_xlfn.XLOOKUP(Vendas[[#This Row],[ID Vendedor]],Vendedores[ID],Vendedores[Setor])</f>
        <v>SC</v>
      </c>
      <c r="D3749" s="7" t="s">
        <v>48</v>
      </c>
      <c r="E3749" t="str">
        <f>_xlfn.XLOOKUP(Vendas[[#This Row],[ID Item Vendido]],Agregado[ID],Agregado[Produto])</f>
        <v>Tambor metálico 200L</v>
      </c>
      <c r="F3749" s="39">
        <v>45512</v>
      </c>
      <c r="G3749" s="7">
        <v>8</v>
      </c>
      <c r="H3749" s="3">
        <f>_xlfn.XLOOKUP(Vendas[[#This Row],[ID Item Vendido]],Agregado[ID],Agregado[Revenda])</f>
        <v>144</v>
      </c>
      <c r="I3749" s="3">
        <f>Vendas[[#This Row],[Valor Unitário]]*Vendas[[#This Row],[Qnt Vendida]]</f>
        <v>1152</v>
      </c>
      <c r="J3749" s="3">
        <f>Vendas[[#This Row],[Valor da Venda]]-(_xlfn.XLOOKUP(Vendas[[#This Row],[ID Item Vendido]],Agregado[ID],Agregado[Custo])*Vendas[[#This Row],[Qnt Vendida]])</f>
        <v>192</v>
      </c>
      <c r="K3749" s="70">
        <f>Vendas[[#This Row],[Lucro da Venda]]/Vendas[[#This Row],[Valor da Venda]]</f>
        <v>0.16666666666666666</v>
      </c>
      <c r="L3749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3749"/>
    </row>
    <row r="3750" spans="1:13" x14ac:dyDescent="0.3">
      <c r="A3750" s="7">
        <v>400253</v>
      </c>
      <c r="B3750" t="str">
        <f>_xlfn.XLOOKUP(Vendas[[#This Row],[ID Vendedor]],Vendedores[ID],Vendedores[Nome])</f>
        <v>Gustavo</v>
      </c>
      <c r="C3750" s="7" t="str">
        <f>_xlfn.XLOOKUP(Vendas[[#This Row],[ID Vendedor]],Vendedores[ID],Vendedores[Setor])</f>
        <v>SC</v>
      </c>
      <c r="D3750" s="7" t="s">
        <v>14</v>
      </c>
      <c r="E3750" t="str">
        <f>_xlfn.XLOOKUP(Vendas[[#This Row],[ID Item Vendido]],Agregado[ID],Agregado[Produto])</f>
        <v>Barril de plástico 200L</v>
      </c>
      <c r="F3750" s="39">
        <v>45512</v>
      </c>
      <c r="G3750" s="7">
        <v>7</v>
      </c>
      <c r="H3750" s="3">
        <f>_xlfn.XLOOKUP(Vendas[[#This Row],[ID Item Vendido]],Agregado[ID],Agregado[Revenda])</f>
        <v>114</v>
      </c>
      <c r="I3750" s="3">
        <f>Vendas[[#This Row],[Valor Unitário]]*Vendas[[#This Row],[Qnt Vendida]]</f>
        <v>798</v>
      </c>
      <c r="J3750" s="3">
        <f>Vendas[[#This Row],[Valor da Venda]]-(_xlfn.XLOOKUP(Vendas[[#This Row],[ID Item Vendido]],Agregado[ID],Agregado[Custo])*Vendas[[#This Row],[Qnt Vendida]])</f>
        <v>133</v>
      </c>
      <c r="K3750" s="70">
        <f>Vendas[[#This Row],[Lucro da Venda]]/Vendas[[#This Row],[Valor da Venda]]</f>
        <v>0.16666666666666666</v>
      </c>
      <c r="L3750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3750"/>
    </row>
    <row r="3751" spans="1:13" x14ac:dyDescent="0.3">
      <c r="A3751" s="7">
        <v>400252</v>
      </c>
      <c r="B3751" t="str">
        <f>_xlfn.XLOOKUP(Vendas[[#This Row],[ID Vendedor]],Vendedores[ID],Vendedores[Nome])</f>
        <v>Renata</v>
      </c>
      <c r="C3751" s="7" t="str">
        <f>_xlfn.XLOOKUP(Vendas[[#This Row],[ID Vendedor]],Vendedores[ID],Vendedores[Setor])</f>
        <v>AB</v>
      </c>
      <c r="D3751" s="7" t="s">
        <v>37</v>
      </c>
      <c r="E3751" t="str">
        <f>_xlfn.XLOOKUP(Vendas[[#This Row],[ID Item Vendido]],Agregado[ID],Agregado[Produto])</f>
        <v>Composto de borracha para vedação rolo 10m</v>
      </c>
      <c r="F3751" s="39">
        <v>45512</v>
      </c>
      <c r="G3751" s="7">
        <v>15</v>
      </c>
      <c r="H3751" s="3">
        <f>_xlfn.XLOOKUP(Vendas[[#This Row],[ID Item Vendido]],Agregado[ID],Agregado[Revenda])</f>
        <v>51.2</v>
      </c>
      <c r="I3751" s="3">
        <f>Vendas[[#This Row],[Valor Unitário]]*Vendas[[#This Row],[Qnt Vendida]]</f>
        <v>768</v>
      </c>
      <c r="J3751" s="3">
        <f>Vendas[[#This Row],[Valor da Venda]]-(_xlfn.XLOOKUP(Vendas[[#This Row],[ID Item Vendido]],Agregado[ID],Agregado[Custo])*Vendas[[#This Row],[Qnt Vendida]])</f>
        <v>168</v>
      </c>
      <c r="K3751" s="70">
        <f>Vendas[[#This Row],[Lucro da Venda]]/Vendas[[#This Row],[Valor da Venda]]</f>
        <v>0.21875</v>
      </c>
      <c r="L375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3751"/>
    </row>
    <row r="3752" spans="1:13" x14ac:dyDescent="0.3">
      <c r="A3752" s="7">
        <v>400243</v>
      </c>
      <c r="B3752" t="str">
        <f>_xlfn.XLOOKUP(Vendas[[#This Row],[ID Vendedor]],Vendedores[ID],Vendedores[Nome])</f>
        <v>Marcelo</v>
      </c>
      <c r="C3752" s="7" t="str">
        <f>_xlfn.XLOOKUP(Vendas[[#This Row],[ID Vendedor]],Vendedores[ID],Vendedores[Setor])</f>
        <v>FM</v>
      </c>
      <c r="D3752" s="7" t="s">
        <v>6</v>
      </c>
      <c r="E3752" t="str">
        <f>_xlfn.XLOOKUP(Vendas[[#This Row],[ID Item Vendido]],Agregado[ID],Agregado[Produto])</f>
        <v>Parafuso comum 500un</v>
      </c>
      <c r="F3752" s="39">
        <v>45512</v>
      </c>
      <c r="G3752" s="7">
        <v>9</v>
      </c>
      <c r="H3752" s="3">
        <f>_xlfn.XLOOKUP(Vendas[[#This Row],[ID Item Vendido]],Agregado[ID],Agregado[Revenda])</f>
        <v>24.6</v>
      </c>
      <c r="I3752" s="3">
        <f>Vendas[[#This Row],[Valor Unitário]]*Vendas[[#This Row],[Qnt Vendida]]</f>
        <v>221.4</v>
      </c>
      <c r="J3752" s="3">
        <f>Vendas[[#This Row],[Valor da Venda]]-(_xlfn.XLOOKUP(Vendas[[#This Row],[ID Item Vendido]],Agregado[ID],Agregado[Custo])*Vendas[[#This Row],[Qnt Vendida]])</f>
        <v>23.400000000000006</v>
      </c>
      <c r="K3752" s="70">
        <f>Vendas[[#This Row],[Lucro da Venda]]/Vendas[[#This Row],[Valor da Venda]]</f>
        <v>0.10569105691056913</v>
      </c>
      <c r="L3752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3752"/>
    </row>
    <row r="3753" spans="1:13" x14ac:dyDescent="0.3">
      <c r="A3753" s="7">
        <v>400254</v>
      </c>
      <c r="B3753" t="str">
        <f>_xlfn.XLOOKUP(Vendas[[#This Row],[ID Vendedor]],Vendedores[ID],Vendedores[Nome])</f>
        <v>Beatriz</v>
      </c>
      <c r="C3753" s="7" t="str">
        <f>_xlfn.XLOOKUP(Vendas[[#This Row],[ID Vendedor]],Vendedores[ID],Vendedores[Setor])</f>
        <v>SC</v>
      </c>
      <c r="D3753" s="7" t="s">
        <v>42</v>
      </c>
      <c r="E3753" t="str">
        <f>_xlfn.XLOOKUP(Vendas[[#This Row],[ID Item Vendido]],Agregado[ID],Agregado[Produto])</f>
        <v>Container de ferro industrial</v>
      </c>
      <c r="F3753" s="39">
        <v>45513</v>
      </c>
      <c r="G3753" s="7">
        <v>5</v>
      </c>
      <c r="H3753" s="3">
        <f>_xlfn.XLOOKUP(Vendas[[#This Row],[ID Item Vendido]],Agregado[ID],Agregado[Revenda])</f>
        <v>830</v>
      </c>
      <c r="I3753" s="3">
        <f>Vendas[[#This Row],[Valor Unitário]]*Vendas[[#This Row],[Qnt Vendida]]</f>
        <v>4150</v>
      </c>
      <c r="J3753" s="3">
        <f>Vendas[[#This Row],[Valor da Venda]]-(_xlfn.XLOOKUP(Vendas[[#This Row],[ID Item Vendido]],Agregado[ID],Agregado[Custo])*Vendas[[#This Row],[Qnt Vendida]])</f>
        <v>750</v>
      </c>
      <c r="K3753" s="70">
        <f>Vendas[[#This Row],[Lucro da Venda]]/Vendas[[#This Row],[Valor da Venda]]</f>
        <v>0.18072289156626506</v>
      </c>
      <c r="L375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3753"/>
    </row>
    <row r="3754" spans="1:13" x14ac:dyDescent="0.3">
      <c r="A3754" s="7">
        <v>400248</v>
      </c>
      <c r="B3754" t="str">
        <f>_xlfn.XLOOKUP(Vendas[[#This Row],[ID Vendedor]],Vendedores[ID],Vendedores[Nome])</f>
        <v>Patrícia</v>
      </c>
      <c r="C3754" s="7" t="str">
        <f>_xlfn.XLOOKUP(Vendas[[#This Row],[ID Vendedor]],Vendedores[ID],Vendedores[Setor])</f>
        <v>CM</v>
      </c>
      <c r="D3754" s="7" t="s">
        <v>32</v>
      </c>
      <c r="E3754" t="str">
        <f>_xlfn.XLOOKUP(Vendas[[#This Row],[ID Item Vendido]],Agregado[ID],Agregado[Produto])</f>
        <v>Tábua tratada e cortada 3m</v>
      </c>
      <c r="F3754" s="39">
        <v>45513</v>
      </c>
      <c r="G3754" s="7">
        <v>34</v>
      </c>
      <c r="H3754" s="3">
        <f>_xlfn.XLOOKUP(Vendas[[#This Row],[ID Item Vendido]],Agregado[ID],Agregado[Revenda])</f>
        <v>39</v>
      </c>
      <c r="I3754" s="3">
        <f>Vendas[[#This Row],[Valor Unitário]]*Vendas[[#This Row],[Qnt Vendida]]</f>
        <v>1326</v>
      </c>
      <c r="J3754" s="3">
        <f>Vendas[[#This Row],[Valor da Venda]]-(_xlfn.XLOOKUP(Vendas[[#This Row],[ID Item Vendido]],Agregado[ID],Agregado[Custo])*Vendas[[#This Row],[Qnt Vendida]])</f>
        <v>238</v>
      </c>
      <c r="K3754" s="70">
        <f>Vendas[[#This Row],[Lucro da Venda]]/Vendas[[#This Row],[Valor da Venda]]</f>
        <v>0.17948717948717949</v>
      </c>
      <c r="L3754" s="3">
        <f>_xlfn.IFS(Vendas[[#This Row],[Margem de Lucro (%)]]&lt;15%,Vendas[[#This Row],[Valor da Venda]]*3%,Vendas[[#This Row],[Margem de Lucro (%)]]&lt;=20%,Vendas[[#This Row],[Valor da Venda]]*4.5%,TRUE,Vendas[[#This Row],[Valor da Venda]]*6%)</f>
        <v>59.669999999999995</v>
      </c>
      <c r="M3754"/>
    </row>
    <row r="3755" spans="1:13" x14ac:dyDescent="0.3">
      <c r="A3755" s="7">
        <v>400253</v>
      </c>
      <c r="B3755" t="str">
        <f>_xlfn.XLOOKUP(Vendas[[#This Row],[ID Vendedor]],Vendedores[ID],Vendedores[Nome])</f>
        <v>Gustavo</v>
      </c>
      <c r="C3755" s="7" t="str">
        <f>_xlfn.XLOOKUP(Vendas[[#This Row],[ID Vendedor]],Vendedores[ID],Vendedores[Setor])</f>
        <v>SC</v>
      </c>
      <c r="D3755" s="7" t="s">
        <v>14</v>
      </c>
      <c r="E3755" t="str">
        <f>_xlfn.XLOOKUP(Vendas[[#This Row],[ID Item Vendido]],Agregado[ID],Agregado[Produto])</f>
        <v>Barril de plástico 200L</v>
      </c>
      <c r="F3755" s="39">
        <v>45513</v>
      </c>
      <c r="G3755" s="7">
        <v>2</v>
      </c>
      <c r="H3755" s="3">
        <f>_xlfn.XLOOKUP(Vendas[[#This Row],[ID Item Vendido]],Agregado[ID],Agregado[Revenda])</f>
        <v>114</v>
      </c>
      <c r="I3755" s="3">
        <f>Vendas[[#This Row],[Valor Unitário]]*Vendas[[#This Row],[Qnt Vendida]]</f>
        <v>228</v>
      </c>
      <c r="J3755" s="3">
        <f>Vendas[[#This Row],[Valor da Venda]]-(_xlfn.XLOOKUP(Vendas[[#This Row],[ID Item Vendido]],Agregado[ID],Agregado[Custo])*Vendas[[#This Row],[Qnt Vendida]])</f>
        <v>38</v>
      </c>
      <c r="K3755" s="70">
        <f>Vendas[[#This Row],[Lucro da Venda]]/Vendas[[#This Row],[Valor da Venda]]</f>
        <v>0.16666666666666666</v>
      </c>
      <c r="L3755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3755"/>
    </row>
    <row r="3756" spans="1:13" x14ac:dyDescent="0.3">
      <c r="A3756" s="7">
        <v>400248</v>
      </c>
      <c r="B3756" t="str">
        <f>_xlfn.XLOOKUP(Vendas[[#This Row],[ID Vendedor]],Vendedores[ID],Vendedores[Nome])</f>
        <v>Patrícia</v>
      </c>
      <c r="C3756" s="7" t="str">
        <f>_xlfn.XLOOKUP(Vendas[[#This Row],[ID Vendedor]],Vendedores[ID],Vendedores[Setor])</f>
        <v>CM</v>
      </c>
      <c r="D3756" s="7" t="s">
        <v>43</v>
      </c>
      <c r="E3756" t="str">
        <f>_xlfn.XLOOKUP(Vendas[[#This Row],[ID Item Vendido]],Agregado[ID],Agregado[Produto])</f>
        <v>Madeira Bruta (Tora)</v>
      </c>
      <c r="F3756" s="39">
        <v>45514</v>
      </c>
      <c r="G3756" s="7">
        <v>15</v>
      </c>
      <c r="H3756" s="3">
        <f>_xlfn.XLOOKUP(Vendas[[#This Row],[ID Item Vendido]],Agregado[ID],Agregado[Revenda])</f>
        <v>212</v>
      </c>
      <c r="I3756" s="3">
        <f>Vendas[[#This Row],[Valor Unitário]]*Vendas[[#This Row],[Qnt Vendida]]</f>
        <v>3180</v>
      </c>
      <c r="J3756" s="3">
        <f>Vendas[[#This Row],[Valor da Venda]]-(_xlfn.XLOOKUP(Vendas[[#This Row],[ID Item Vendido]],Agregado[ID],Agregado[Custo])*Vendas[[#This Row],[Qnt Vendida]])</f>
        <v>480</v>
      </c>
      <c r="K3756" s="70">
        <f>Vendas[[#This Row],[Lucro da Venda]]/Vendas[[#This Row],[Valor da Venda]]</f>
        <v>0.15094339622641509</v>
      </c>
      <c r="L3756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3756"/>
    </row>
    <row r="3757" spans="1:13" x14ac:dyDescent="0.3">
      <c r="A3757" s="7">
        <v>400253</v>
      </c>
      <c r="B3757" t="str">
        <f>_xlfn.XLOOKUP(Vendas[[#This Row],[ID Vendedor]],Vendedores[ID],Vendedores[Nome])</f>
        <v>Gustavo</v>
      </c>
      <c r="C3757" s="7" t="str">
        <f>_xlfn.XLOOKUP(Vendas[[#This Row],[ID Vendedor]],Vendedores[ID],Vendedores[Setor])</f>
        <v>SC</v>
      </c>
      <c r="D3757" s="7" t="s">
        <v>42</v>
      </c>
      <c r="E3757" t="str">
        <f>_xlfn.XLOOKUP(Vendas[[#This Row],[ID Item Vendido]],Agregado[ID],Agregado[Produto])</f>
        <v>Container de ferro industrial</v>
      </c>
      <c r="F3757" s="39">
        <v>45514</v>
      </c>
      <c r="G3757" s="7">
        <v>2</v>
      </c>
      <c r="H3757" s="3">
        <f>_xlfn.XLOOKUP(Vendas[[#This Row],[ID Item Vendido]],Agregado[ID],Agregado[Revenda])</f>
        <v>830</v>
      </c>
      <c r="I3757" s="3">
        <f>Vendas[[#This Row],[Valor Unitário]]*Vendas[[#This Row],[Qnt Vendida]]</f>
        <v>1660</v>
      </c>
      <c r="J3757" s="3">
        <f>Vendas[[#This Row],[Valor da Venda]]-(_xlfn.XLOOKUP(Vendas[[#This Row],[ID Item Vendido]],Agregado[ID],Agregado[Custo])*Vendas[[#This Row],[Qnt Vendida]])</f>
        <v>300</v>
      </c>
      <c r="K3757" s="70">
        <f>Vendas[[#This Row],[Lucro da Venda]]/Vendas[[#This Row],[Valor da Venda]]</f>
        <v>0.18072289156626506</v>
      </c>
      <c r="L375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757"/>
    </row>
    <row r="3758" spans="1:13" x14ac:dyDescent="0.3">
      <c r="A3758" s="7">
        <v>400252</v>
      </c>
      <c r="B3758" t="str">
        <f>_xlfn.XLOOKUP(Vendas[[#This Row],[ID Vendedor]],Vendedores[ID],Vendedores[Nome])</f>
        <v>Renata</v>
      </c>
      <c r="C3758" s="7" t="str">
        <f>_xlfn.XLOOKUP(Vendas[[#This Row],[ID Vendedor]],Vendedores[ID],Vendedores[Setor])</f>
        <v>AB</v>
      </c>
      <c r="D3758" s="7" t="s">
        <v>24</v>
      </c>
      <c r="E3758" t="str">
        <f>_xlfn.XLOOKUP(Vendas[[#This Row],[ID Item Vendido]],Agregado[ID],Agregado[Produto])</f>
        <v>Resina plástica PET purificada saco de 25kg</v>
      </c>
      <c r="F3758" s="39">
        <v>45514</v>
      </c>
      <c r="G3758" s="7">
        <v>7</v>
      </c>
      <c r="H3758" s="3">
        <f>_xlfn.XLOOKUP(Vendas[[#This Row],[ID Item Vendido]],Agregado[ID],Agregado[Revenda])</f>
        <v>119</v>
      </c>
      <c r="I3758" s="3">
        <f>Vendas[[#This Row],[Valor Unitário]]*Vendas[[#This Row],[Qnt Vendida]]</f>
        <v>833</v>
      </c>
      <c r="J3758" s="3">
        <f>Vendas[[#This Row],[Valor da Venda]]-(_xlfn.XLOOKUP(Vendas[[#This Row],[ID Item Vendido]],Agregado[ID],Agregado[Custo])*Vendas[[#This Row],[Qnt Vendida]])</f>
        <v>238</v>
      </c>
      <c r="K3758" s="70">
        <f>Vendas[[#This Row],[Lucro da Venda]]/Vendas[[#This Row],[Valor da Venda]]</f>
        <v>0.2857142857142857</v>
      </c>
      <c r="L3758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3758"/>
    </row>
    <row r="3759" spans="1:13" x14ac:dyDescent="0.3">
      <c r="A3759" s="7">
        <v>400252</v>
      </c>
      <c r="B3759" t="str">
        <f>_xlfn.XLOOKUP(Vendas[[#This Row],[ID Vendedor]],Vendedores[ID],Vendedores[Nome])</f>
        <v>Renata</v>
      </c>
      <c r="C3759" s="7" t="str">
        <f>_xlfn.XLOOKUP(Vendas[[#This Row],[ID Vendedor]],Vendedores[ID],Vendedores[Setor])</f>
        <v>AB</v>
      </c>
      <c r="D3759" s="7" t="s">
        <v>36</v>
      </c>
      <c r="E3759" t="str">
        <f>_xlfn.XLOOKUP(Vendas[[#This Row],[ID Item Vendido]],Agregado[ID],Agregado[Produto])</f>
        <v>Borracha vulcanizada em manta</v>
      </c>
      <c r="F3759" s="39">
        <v>45514</v>
      </c>
      <c r="G3759" s="7">
        <v>81</v>
      </c>
      <c r="H3759" s="3">
        <f>_xlfn.XLOOKUP(Vendas[[#This Row],[ID Item Vendido]],Agregado[ID],Agregado[Revenda])</f>
        <v>7.8</v>
      </c>
      <c r="I3759" s="3">
        <f>Vendas[[#This Row],[Valor Unitário]]*Vendas[[#This Row],[Qnt Vendida]]</f>
        <v>631.79999999999995</v>
      </c>
      <c r="J3759" s="3">
        <f>Vendas[[#This Row],[Valor da Venda]]-(_xlfn.XLOOKUP(Vendas[[#This Row],[ID Item Vendido]],Agregado[ID],Agregado[Custo])*Vendas[[#This Row],[Qnt Vendida]])</f>
        <v>145.79999999999995</v>
      </c>
      <c r="K3759" s="70">
        <f>Vendas[[#This Row],[Lucro da Venda]]/Vendas[[#This Row],[Valor da Venda]]</f>
        <v>0.23076923076923073</v>
      </c>
      <c r="L3759" s="3">
        <f>_xlfn.IFS(Vendas[[#This Row],[Margem de Lucro (%)]]&lt;15%,Vendas[[#This Row],[Valor da Venda]]*3%,Vendas[[#This Row],[Margem de Lucro (%)]]&lt;=20%,Vendas[[#This Row],[Valor da Venda]]*4.5%,TRUE,Vendas[[#This Row],[Valor da Venda]]*6%)</f>
        <v>37.907999999999994</v>
      </c>
      <c r="M3759"/>
    </row>
    <row r="3760" spans="1:13" x14ac:dyDescent="0.3">
      <c r="A3760" s="7">
        <v>400252</v>
      </c>
      <c r="B3760" t="str">
        <f>_xlfn.XLOOKUP(Vendas[[#This Row],[ID Vendedor]],Vendedores[ID],Vendedores[Nome])</f>
        <v>Renata</v>
      </c>
      <c r="C3760" s="7" t="str">
        <f>_xlfn.XLOOKUP(Vendas[[#This Row],[ID Vendedor]],Vendedores[ID],Vendedores[Setor])</f>
        <v>AB</v>
      </c>
      <c r="D3760" s="7" t="s">
        <v>36</v>
      </c>
      <c r="E3760" t="str">
        <f>_xlfn.XLOOKUP(Vendas[[#This Row],[ID Item Vendido]],Agregado[ID],Agregado[Produto])</f>
        <v>Borracha vulcanizada em manta</v>
      </c>
      <c r="F3760" s="39">
        <v>45514</v>
      </c>
      <c r="G3760" s="7">
        <v>46</v>
      </c>
      <c r="H3760" s="3">
        <f>_xlfn.XLOOKUP(Vendas[[#This Row],[ID Item Vendido]],Agregado[ID],Agregado[Revenda])</f>
        <v>7.8</v>
      </c>
      <c r="I3760" s="3">
        <f>Vendas[[#This Row],[Valor Unitário]]*Vendas[[#This Row],[Qnt Vendida]]</f>
        <v>358.8</v>
      </c>
      <c r="J3760" s="3">
        <f>Vendas[[#This Row],[Valor da Venda]]-(_xlfn.XLOOKUP(Vendas[[#This Row],[ID Item Vendido]],Agregado[ID],Agregado[Custo])*Vendas[[#This Row],[Qnt Vendida]])</f>
        <v>82.800000000000011</v>
      </c>
      <c r="K3760" s="70">
        <f>Vendas[[#This Row],[Lucro da Venda]]/Vendas[[#This Row],[Valor da Venda]]</f>
        <v>0.23076923076923078</v>
      </c>
      <c r="L3760" s="3">
        <f>_xlfn.IFS(Vendas[[#This Row],[Margem de Lucro (%)]]&lt;15%,Vendas[[#This Row],[Valor da Venda]]*3%,Vendas[[#This Row],[Margem de Lucro (%)]]&lt;=20%,Vendas[[#This Row],[Valor da Venda]]*4.5%,TRUE,Vendas[[#This Row],[Valor da Venda]]*6%)</f>
        <v>21.527999999999999</v>
      </c>
      <c r="M3760"/>
    </row>
    <row r="3761" spans="1:13" x14ac:dyDescent="0.3">
      <c r="A3761" s="7">
        <v>400242</v>
      </c>
      <c r="B3761" t="str">
        <f>_xlfn.XLOOKUP(Vendas[[#This Row],[ID Vendedor]],Vendedores[ID],Vendedores[Nome])</f>
        <v>Fernanda</v>
      </c>
      <c r="C3761" s="7" t="str">
        <f>_xlfn.XLOOKUP(Vendas[[#This Row],[ID Vendedor]],Vendedores[ID],Vendedores[Setor])</f>
        <v>FM</v>
      </c>
      <c r="D3761" s="7" t="s">
        <v>27</v>
      </c>
      <c r="E3761" t="str">
        <f>_xlfn.XLOOKUP(Vendas[[#This Row],[ID Item Vendido]],Agregado[ID],Agregado[Produto])</f>
        <v>Chapa de metal lisa 1x2m</v>
      </c>
      <c r="F3761" s="39">
        <v>45515</v>
      </c>
      <c r="G3761" s="7">
        <v>28</v>
      </c>
      <c r="H3761" s="3">
        <f>_xlfn.XLOOKUP(Vendas[[#This Row],[ID Item Vendido]],Agregado[ID],Agregado[Revenda])</f>
        <v>52</v>
      </c>
      <c r="I3761" s="3">
        <f>Vendas[[#This Row],[Valor Unitário]]*Vendas[[#This Row],[Qnt Vendida]]</f>
        <v>1456</v>
      </c>
      <c r="J3761" s="3">
        <f>Vendas[[#This Row],[Valor da Venda]]-(_xlfn.XLOOKUP(Vendas[[#This Row],[ID Item Vendido]],Agregado[ID],Agregado[Custo])*Vendas[[#This Row],[Qnt Vendida]])</f>
        <v>196</v>
      </c>
      <c r="K3761" s="70">
        <f>Vendas[[#This Row],[Lucro da Venda]]/Vendas[[#This Row],[Valor da Venda]]</f>
        <v>0.13461538461538461</v>
      </c>
      <c r="L3761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3761"/>
    </row>
    <row r="3762" spans="1:13" x14ac:dyDescent="0.3">
      <c r="A3762" s="7">
        <v>400254</v>
      </c>
      <c r="B3762" t="str">
        <f>_xlfn.XLOOKUP(Vendas[[#This Row],[ID Vendedor]],Vendedores[ID],Vendedores[Nome])</f>
        <v>Beatriz</v>
      </c>
      <c r="C3762" s="7" t="str">
        <f>_xlfn.XLOOKUP(Vendas[[#This Row],[ID Vendedor]],Vendedores[ID],Vendedores[Setor])</f>
        <v>SC</v>
      </c>
      <c r="D3762" s="7" t="s">
        <v>42</v>
      </c>
      <c r="E3762" t="str">
        <f>_xlfn.XLOOKUP(Vendas[[#This Row],[ID Item Vendido]],Agregado[ID],Agregado[Produto])</f>
        <v>Container de ferro industrial</v>
      </c>
      <c r="F3762" s="39">
        <v>45516</v>
      </c>
      <c r="G3762" s="7">
        <v>1</v>
      </c>
      <c r="H3762" s="3">
        <f>_xlfn.XLOOKUP(Vendas[[#This Row],[ID Item Vendido]],Agregado[ID],Agregado[Revenda])</f>
        <v>830</v>
      </c>
      <c r="I3762" s="3">
        <f>Vendas[[#This Row],[Valor Unitário]]*Vendas[[#This Row],[Qnt Vendida]]</f>
        <v>830</v>
      </c>
      <c r="J3762" s="3">
        <f>Vendas[[#This Row],[Valor da Venda]]-(_xlfn.XLOOKUP(Vendas[[#This Row],[ID Item Vendido]],Agregado[ID],Agregado[Custo])*Vendas[[#This Row],[Qnt Vendida]])</f>
        <v>150</v>
      </c>
      <c r="K3762" s="70">
        <f>Vendas[[#This Row],[Lucro da Venda]]/Vendas[[#This Row],[Valor da Venda]]</f>
        <v>0.18072289156626506</v>
      </c>
      <c r="L376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762"/>
    </row>
    <row r="3763" spans="1:13" x14ac:dyDescent="0.3">
      <c r="A3763" s="7">
        <v>400242</v>
      </c>
      <c r="B3763" t="str">
        <f>_xlfn.XLOOKUP(Vendas[[#This Row],[ID Vendedor]],Vendedores[ID],Vendedores[Nome])</f>
        <v>Fernanda</v>
      </c>
      <c r="C3763" s="7" t="str">
        <f>_xlfn.XLOOKUP(Vendas[[#This Row],[ID Vendedor]],Vendedores[ID],Vendedores[Setor])</f>
        <v>FM</v>
      </c>
      <c r="D3763" s="7" t="s">
        <v>20</v>
      </c>
      <c r="E3763" t="str">
        <f>_xlfn.XLOOKUP(Vendas[[#This Row],[ID Item Vendido]],Agregado[ID],Agregado[Produto])</f>
        <v>Barra de aço simples</v>
      </c>
      <c r="F3763" s="39">
        <v>45516</v>
      </c>
      <c r="G3763" s="7">
        <v>93</v>
      </c>
      <c r="H3763" s="3">
        <f>_xlfn.XLOOKUP(Vendas[[#This Row],[ID Item Vendido]],Agregado[ID],Agregado[Revenda])</f>
        <v>4.8</v>
      </c>
      <c r="I3763" s="3">
        <f>Vendas[[#This Row],[Valor Unitário]]*Vendas[[#This Row],[Qnt Vendida]]</f>
        <v>446.4</v>
      </c>
      <c r="J3763" s="3">
        <f>Vendas[[#This Row],[Valor da Venda]]-(_xlfn.XLOOKUP(Vendas[[#This Row],[ID Item Vendido]],Agregado[ID],Agregado[Custo])*Vendas[[#This Row],[Qnt Vendida]])</f>
        <v>55.799999999999955</v>
      </c>
      <c r="K3763" s="70">
        <f>Vendas[[#This Row],[Lucro da Venda]]/Vendas[[#This Row],[Valor da Venda]]</f>
        <v>0.1249999999999999</v>
      </c>
      <c r="L3763" s="3">
        <f>_xlfn.IFS(Vendas[[#This Row],[Margem de Lucro (%)]]&lt;15%,Vendas[[#This Row],[Valor da Venda]]*3%,Vendas[[#This Row],[Margem de Lucro (%)]]&lt;=20%,Vendas[[#This Row],[Valor da Venda]]*4.5%,TRUE,Vendas[[#This Row],[Valor da Venda]]*6%)</f>
        <v>13.391999999999999</v>
      </c>
      <c r="M3763"/>
    </row>
    <row r="3764" spans="1:13" x14ac:dyDescent="0.3">
      <c r="A3764" s="7">
        <v>400249</v>
      </c>
      <c r="B3764" t="str">
        <f>_xlfn.XLOOKUP(Vendas[[#This Row],[ID Vendedor]],Vendedores[ID],Vendedores[Nome])</f>
        <v>Bruno</v>
      </c>
      <c r="C3764" s="7" t="str">
        <f>_xlfn.XLOOKUP(Vendas[[#This Row],[ID Vendedor]],Vendedores[ID],Vendedores[Setor])</f>
        <v>CM</v>
      </c>
      <c r="D3764" s="7" t="s">
        <v>34</v>
      </c>
      <c r="E3764" t="str">
        <f>_xlfn.XLOOKUP(Vendas[[#This Row],[ID Item Vendido]],Agregado[ID],Agregado[Produto])</f>
        <v>Restos de madeira p/ MDP/OSB saco de 20kg</v>
      </c>
      <c r="F3764" s="39">
        <v>45516</v>
      </c>
      <c r="G3764" s="7">
        <v>18</v>
      </c>
      <c r="H3764" s="3">
        <f>_xlfn.XLOOKUP(Vendas[[#This Row],[ID Item Vendido]],Agregado[ID],Agregado[Revenda])</f>
        <v>13.8</v>
      </c>
      <c r="I3764" s="3">
        <f>Vendas[[#This Row],[Valor Unitário]]*Vendas[[#This Row],[Qnt Vendida]]</f>
        <v>248.4</v>
      </c>
      <c r="J3764" s="3">
        <f>Vendas[[#This Row],[Valor da Venda]]-(_xlfn.XLOOKUP(Vendas[[#This Row],[ID Item Vendido]],Agregado[ID],Agregado[Custo])*Vendas[[#This Row],[Qnt Vendida]])</f>
        <v>32.400000000000006</v>
      </c>
      <c r="K3764" s="70">
        <f>Vendas[[#This Row],[Lucro da Venda]]/Vendas[[#This Row],[Valor da Venda]]</f>
        <v>0.13043478260869568</v>
      </c>
      <c r="L3764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3764"/>
    </row>
    <row r="3765" spans="1:13" x14ac:dyDescent="0.3">
      <c r="A3765" s="7">
        <v>400248</v>
      </c>
      <c r="B3765" t="str">
        <f>_xlfn.XLOOKUP(Vendas[[#This Row],[ID Vendedor]],Vendedores[ID],Vendedores[Nome])</f>
        <v>Patrícia</v>
      </c>
      <c r="C3765" s="7" t="str">
        <f>_xlfn.XLOOKUP(Vendas[[#This Row],[ID Vendedor]],Vendedores[ID],Vendedores[Setor])</f>
        <v>CM</v>
      </c>
      <c r="D3765" s="7" t="s">
        <v>34</v>
      </c>
      <c r="E3765" t="str">
        <f>_xlfn.XLOOKUP(Vendas[[#This Row],[ID Item Vendido]],Agregado[ID],Agregado[Produto])</f>
        <v>Restos de madeira p/ MDP/OSB saco de 20kg</v>
      </c>
      <c r="F3765" s="39">
        <v>45516</v>
      </c>
      <c r="G3765" s="7">
        <v>13</v>
      </c>
      <c r="H3765" s="3">
        <f>_xlfn.XLOOKUP(Vendas[[#This Row],[ID Item Vendido]],Agregado[ID],Agregado[Revenda])</f>
        <v>13.8</v>
      </c>
      <c r="I3765" s="3">
        <f>Vendas[[#This Row],[Valor Unitário]]*Vendas[[#This Row],[Qnt Vendida]]</f>
        <v>179.4</v>
      </c>
      <c r="J3765" s="3">
        <f>Vendas[[#This Row],[Valor da Venda]]-(_xlfn.XLOOKUP(Vendas[[#This Row],[ID Item Vendido]],Agregado[ID],Agregado[Custo])*Vendas[[#This Row],[Qnt Vendida]])</f>
        <v>23.400000000000006</v>
      </c>
      <c r="K3765" s="70">
        <f>Vendas[[#This Row],[Lucro da Venda]]/Vendas[[#This Row],[Valor da Venda]]</f>
        <v>0.13043478260869568</v>
      </c>
      <c r="L3765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3765"/>
    </row>
    <row r="3766" spans="1:13" x14ac:dyDescent="0.3">
      <c r="A3766" s="7">
        <v>400241</v>
      </c>
      <c r="B3766" t="str">
        <f>_xlfn.XLOOKUP(Vendas[[#This Row],[ID Vendedor]],Vendedores[ID],Vendedores[Nome])</f>
        <v>Rodrigo</v>
      </c>
      <c r="C3766" s="7" t="str">
        <f>_xlfn.XLOOKUP(Vendas[[#This Row],[ID Vendedor]],Vendedores[ID],Vendedores[Setor])</f>
        <v>FM</v>
      </c>
      <c r="D3766" s="7" t="s">
        <v>47</v>
      </c>
      <c r="E3766" t="str">
        <f>_xlfn.XLOOKUP(Vendas[[#This Row],[ID Item Vendido]],Agregado[ID],Agregado[Produto])</f>
        <v>Fio de arame galvanizado rolo 50m</v>
      </c>
      <c r="F3766" s="39">
        <v>45517</v>
      </c>
      <c r="G3766" s="7">
        <v>17</v>
      </c>
      <c r="H3766" s="3">
        <f>_xlfn.XLOOKUP(Vendas[[#This Row],[ID Item Vendido]],Agregado[ID],Agregado[Revenda])</f>
        <v>21.2</v>
      </c>
      <c r="I3766" s="3">
        <f>Vendas[[#This Row],[Valor Unitário]]*Vendas[[#This Row],[Qnt Vendida]]</f>
        <v>360.4</v>
      </c>
      <c r="J3766" s="3">
        <f>Vendas[[#This Row],[Valor da Venda]]-(_xlfn.XLOOKUP(Vendas[[#This Row],[ID Item Vendido]],Agregado[ID],Agregado[Custo])*Vendas[[#This Row],[Qnt Vendida]])</f>
        <v>54.399999999999977</v>
      </c>
      <c r="K3766" s="70">
        <f>Vendas[[#This Row],[Lucro da Venda]]/Vendas[[#This Row],[Valor da Venda]]</f>
        <v>0.15094339622641503</v>
      </c>
      <c r="L3766" s="3">
        <f>_xlfn.IFS(Vendas[[#This Row],[Margem de Lucro (%)]]&lt;15%,Vendas[[#This Row],[Valor da Venda]]*3%,Vendas[[#This Row],[Margem de Lucro (%)]]&lt;=20%,Vendas[[#This Row],[Valor da Venda]]*4.5%,TRUE,Vendas[[#This Row],[Valor da Venda]]*6%)</f>
        <v>16.218</v>
      </c>
      <c r="M3766"/>
    </row>
    <row r="3767" spans="1:13" x14ac:dyDescent="0.3">
      <c r="A3767" s="7">
        <v>400245</v>
      </c>
      <c r="B3767" t="str">
        <f>_xlfn.XLOOKUP(Vendas[[#This Row],[ID Vendedor]],Vendedores[ID],Vendedores[Nome])</f>
        <v>Thiago</v>
      </c>
      <c r="C3767" s="7" t="str">
        <f>_xlfn.XLOOKUP(Vendas[[#This Row],[ID Vendedor]],Vendedores[ID],Vendedores[Setor])</f>
        <v>AHD</v>
      </c>
      <c r="D3767" s="7" t="s">
        <v>30</v>
      </c>
      <c r="E3767" t="str">
        <f>_xlfn.XLOOKUP(Vendas[[#This Row],[ID Item Vendido]],Agregado[ID],Agregado[Produto])</f>
        <v>Estrutura metálica soldada</v>
      </c>
      <c r="F3767" s="39">
        <v>45518</v>
      </c>
      <c r="G3767" s="7">
        <v>6</v>
      </c>
      <c r="H3767" s="3">
        <f>_xlfn.XLOOKUP(Vendas[[#This Row],[ID Item Vendido]],Agregado[ID],Agregado[Revenda])</f>
        <v>400</v>
      </c>
      <c r="I3767" s="3">
        <f>Vendas[[#This Row],[Valor Unitário]]*Vendas[[#This Row],[Qnt Vendida]]</f>
        <v>2400</v>
      </c>
      <c r="J3767" s="3">
        <f>Vendas[[#This Row],[Valor da Venda]]-(_xlfn.XLOOKUP(Vendas[[#This Row],[ID Item Vendido]],Agregado[ID],Agregado[Custo])*Vendas[[#This Row],[Qnt Vendida]])</f>
        <v>480</v>
      </c>
      <c r="K3767" s="70">
        <f>Vendas[[#This Row],[Lucro da Venda]]/Vendas[[#This Row],[Valor da Venda]]</f>
        <v>0.2</v>
      </c>
      <c r="L3767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3767"/>
    </row>
    <row r="3768" spans="1:13" x14ac:dyDescent="0.3">
      <c r="A3768" s="7">
        <v>400251</v>
      </c>
      <c r="B3768" t="str">
        <f>_xlfn.XLOOKUP(Vendas[[#This Row],[ID Vendedor]],Vendedores[ID],Vendedores[Nome])</f>
        <v>Diego</v>
      </c>
      <c r="C3768" s="7" t="str">
        <f>_xlfn.XLOOKUP(Vendas[[#This Row],[ID Vendedor]],Vendedores[ID],Vendedores[Setor])</f>
        <v>AB</v>
      </c>
      <c r="D3768" s="7" t="s">
        <v>39</v>
      </c>
      <c r="E3768" t="str">
        <f>_xlfn.XLOOKUP(Vendas[[#This Row],[ID Item Vendido]],Agregado[ID],Agregado[Produto])</f>
        <v>Filme plástico industrial rolo 50m</v>
      </c>
      <c r="F3768" s="39">
        <v>45518</v>
      </c>
      <c r="G3768" s="7">
        <v>3</v>
      </c>
      <c r="H3768" s="3">
        <f>_xlfn.XLOOKUP(Vendas[[#This Row],[ID Item Vendido]],Agregado[ID],Agregado[Revenda])</f>
        <v>37</v>
      </c>
      <c r="I3768" s="3">
        <f>Vendas[[#This Row],[Valor Unitário]]*Vendas[[#This Row],[Qnt Vendida]]</f>
        <v>111</v>
      </c>
      <c r="J3768" s="3">
        <f>Vendas[[#This Row],[Valor da Venda]]-(_xlfn.XLOOKUP(Vendas[[#This Row],[ID Item Vendido]],Agregado[ID],Agregado[Custo])*Vendas[[#This Row],[Qnt Vendida]])</f>
        <v>27</v>
      </c>
      <c r="K3768" s="70">
        <f>Vendas[[#This Row],[Lucro da Venda]]/Vendas[[#This Row],[Valor da Venda]]</f>
        <v>0.24324324324324326</v>
      </c>
      <c r="L3768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3768"/>
    </row>
    <row r="3769" spans="1:13" x14ac:dyDescent="0.3">
      <c r="A3769" s="7">
        <v>400247</v>
      </c>
      <c r="B3769" t="str">
        <f>_xlfn.XLOOKUP(Vendas[[#This Row],[ID Vendedor]],Vendedores[ID],Vendedores[Nome])</f>
        <v>André</v>
      </c>
      <c r="C3769" s="7" t="str">
        <f>_xlfn.XLOOKUP(Vendas[[#This Row],[ID Vendedor]],Vendedores[ID],Vendedores[Setor])</f>
        <v>CM</v>
      </c>
      <c r="D3769" s="7" t="s">
        <v>22</v>
      </c>
      <c r="E3769" t="str">
        <f>_xlfn.XLOOKUP(Vendas[[#This Row],[ID Item Vendido]],Agregado[ID],Agregado[Produto])</f>
        <v>Painel MDP 2,75x1,83m</v>
      </c>
      <c r="F3769" s="39">
        <v>45519</v>
      </c>
      <c r="G3769" s="7">
        <v>18</v>
      </c>
      <c r="H3769" s="3">
        <f>_xlfn.XLOOKUP(Vendas[[#This Row],[ID Item Vendido]],Agregado[ID],Agregado[Revenda])</f>
        <v>119</v>
      </c>
      <c r="I3769" s="3">
        <f>Vendas[[#This Row],[Valor Unitário]]*Vendas[[#This Row],[Qnt Vendida]]</f>
        <v>2142</v>
      </c>
      <c r="J3769" s="3">
        <f>Vendas[[#This Row],[Valor da Venda]]-(_xlfn.XLOOKUP(Vendas[[#This Row],[ID Item Vendido]],Agregado[ID],Agregado[Custo])*Vendas[[#This Row],[Qnt Vendida]])</f>
        <v>432</v>
      </c>
      <c r="K3769" s="70">
        <f>Vendas[[#This Row],[Lucro da Venda]]/Vendas[[#This Row],[Valor da Venda]]</f>
        <v>0.20168067226890757</v>
      </c>
      <c r="L3769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3769"/>
    </row>
    <row r="3770" spans="1:13" x14ac:dyDescent="0.3">
      <c r="A3770" s="7">
        <v>400248</v>
      </c>
      <c r="B3770" t="str">
        <f>_xlfn.XLOOKUP(Vendas[[#This Row],[ID Vendedor]],Vendedores[ID],Vendedores[Nome])</f>
        <v>Patrícia</v>
      </c>
      <c r="C3770" s="7" t="str">
        <f>_xlfn.XLOOKUP(Vendas[[#This Row],[ID Vendedor]],Vendedores[ID],Vendedores[Setor])</f>
        <v>CM</v>
      </c>
      <c r="D3770" s="7" t="s">
        <v>43</v>
      </c>
      <c r="E3770" t="str">
        <f>_xlfn.XLOOKUP(Vendas[[#This Row],[ID Item Vendido]],Agregado[ID],Agregado[Produto])</f>
        <v>Madeira Bruta (Tora)</v>
      </c>
      <c r="F3770" s="39">
        <v>45519</v>
      </c>
      <c r="G3770" s="7">
        <v>7</v>
      </c>
      <c r="H3770" s="3">
        <f>_xlfn.XLOOKUP(Vendas[[#This Row],[ID Item Vendido]],Agregado[ID],Agregado[Revenda])</f>
        <v>212</v>
      </c>
      <c r="I3770" s="3">
        <f>Vendas[[#This Row],[Valor Unitário]]*Vendas[[#This Row],[Qnt Vendida]]</f>
        <v>1484</v>
      </c>
      <c r="J3770" s="3">
        <f>Vendas[[#This Row],[Valor da Venda]]-(_xlfn.XLOOKUP(Vendas[[#This Row],[ID Item Vendido]],Agregado[ID],Agregado[Custo])*Vendas[[#This Row],[Qnt Vendida]])</f>
        <v>224</v>
      </c>
      <c r="K3770" s="70">
        <f>Vendas[[#This Row],[Lucro da Venda]]/Vendas[[#This Row],[Valor da Venda]]</f>
        <v>0.15094339622641509</v>
      </c>
      <c r="L3770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770"/>
    </row>
    <row r="3771" spans="1:13" x14ac:dyDescent="0.3">
      <c r="A3771" s="7">
        <v>400251</v>
      </c>
      <c r="B3771" t="str">
        <f>_xlfn.XLOOKUP(Vendas[[#This Row],[ID Vendedor]],Vendedores[ID],Vendedores[Nome])</f>
        <v>Diego</v>
      </c>
      <c r="C3771" s="7" t="str">
        <f>_xlfn.XLOOKUP(Vendas[[#This Row],[ID Vendedor]],Vendedores[ID],Vendedores[Setor])</f>
        <v>AB</v>
      </c>
      <c r="D3771" s="7" t="s">
        <v>24</v>
      </c>
      <c r="E3771" t="str">
        <f>_xlfn.XLOOKUP(Vendas[[#This Row],[ID Item Vendido]],Agregado[ID],Agregado[Produto])</f>
        <v>Resina plástica PET purificada saco de 25kg</v>
      </c>
      <c r="F3771" s="39">
        <v>45520</v>
      </c>
      <c r="G3771" s="7">
        <v>20</v>
      </c>
      <c r="H3771" s="3">
        <f>_xlfn.XLOOKUP(Vendas[[#This Row],[ID Item Vendido]],Agregado[ID],Agregado[Revenda])</f>
        <v>119</v>
      </c>
      <c r="I3771" s="3">
        <f>Vendas[[#This Row],[Valor Unitário]]*Vendas[[#This Row],[Qnt Vendida]]</f>
        <v>2380</v>
      </c>
      <c r="J3771" s="3">
        <f>Vendas[[#This Row],[Valor da Venda]]-(_xlfn.XLOOKUP(Vendas[[#This Row],[ID Item Vendido]],Agregado[ID],Agregado[Custo])*Vendas[[#This Row],[Qnt Vendida]])</f>
        <v>680</v>
      </c>
      <c r="K3771" s="70">
        <f>Vendas[[#This Row],[Lucro da Venda]]/Vendas[[#This Row],[Valor da Venda]]</f>
        <v>0.2857142857142857</v>
      </c>
      <c r="L3771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771"/>
    </row>
    <row r="3772" spans="1:13" x14ac:dyDescent="0.3">
      <c r="A3772" s="7">
        <v>400252</v>
      </c>
      <c r="B3772" t="str">
        <f>_xlfn.XLOOKUP(Vendas[[#This Row],[ID Vendedor]],Vendedores[ID],Vendedores[Nome])</f>
        <v>Renata</v>
      </c>
      <c r="C3772" s="7" t="str">
        <f>_xlfn.XLOOKUP(Vendas[[#This Row],[ID Vendedor]],Vendedores[ID],Vendedores[Setor])</f>
        <v>AB</v>
      </c>
      <c r="D3772" s="7" t="s">
        <v>37</v>
      </c>
      <c r="E3772" t="str">
        <f>_xlfn.XLOOKUP(Vendas[[#This Row],[ID Item Vendido]],Agregado[ID],Agregado[Produto])</f>
        <v>Composto de borracha para vedação rolo 10m</v>
      </c>
      <c r="F3772" s="39">
        <v>45520</v>
      </c>
      <c r="G3772" s="7">
        <v>22</v>
      </c>
      <c r="H3772" s="3">
        <f>_xlfn.XLOOKUP(Vendas[[#This Row],[ID Item Vendido]],Agregado[ID],Agregado[Revenda])</f>
        <v>51.2</v>
      </c>
      <c r="I3772" s="3">
        <f>Vendas[[#This Row],[Valor Unitário]]*Vendas[[#This Row],[Qnt Vendida]]</f>
        <v>1126.4000000000001</v>
      </c>
      <c r="J3772" s="3">
        <f>Vendas[[#This Row],[Valor da Venda]]-(_xlfn.XLOOKUP(Vendas[[#This Row],[ID Item Vendido]],Agregado[ID],Agregado[Custo])*Vendas[[#This Row],[Qnt Vendida]])</f>
        <v>246.40000000000009</v>
      </c>
      <c r="K3772" s="70">
        <f>Vendas[[#This Row],[Lucro da Venda]]/Vendas[[#This Row],[Valor da Venda]]</f>
        <v>0.21875000000000006</v>
      </c>
      <c r="L3772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3772"/>
    </row>
    <row r="3773" spans="1:13" x14ac:dyDescent="0.3">
      <c r="A3773" s="7">
        <v>400244</v>
      </c>
      <c r="B3773" t="str">
        <f>_xlfn.XLOOKUP(Vendas[[#This Row],[ID Vendedor]],Vendedores[ID],Vendedores[Nome])</f>
        <v>Camila</v>
      </c>
      <c r="C3773" s="7" t="str">
        <f>_xlfn.XLOOKUP(Vendas[[#This Row],[ID Vendedor]],Vendedores[ID],Vendedores[Setor])</f>
        <v>AHD</v>
      </c>
      <c r="D3773" s="7" t="s">
        <v>28</v>
      </c>
      <c r="E3773" t="str">
        <f>_xlfn.XLOOKUP(Vendas[[#This Row],[ID Item Vendido]],Agregado[ID],Agregado[Produto])</f>
        <v>Peça usinada CNC</v>
      </c>
      <c r="F3773" s="39">
        <v>45520</v>
      </c>
      <c r="G3773" s="7">
        <v>1</v>
      </c>
      <c r="H3773" s="3">
        <f>_xlfn.XLOOKUP(Vendas[[#This Row],[ID Item Vendido]],Agregado[ID],Agregado[Revenda])</f>
        <v>192</v>
      </c>
      <c r="I3773" s="3">
        <f>Vendas[[#This Row],[Valor Unitário]]*Vendas[[#This Row],[Qnt Vendida]]</f>
        <v>192</v>
      </c>
      <c r="J3773" s="3">
        <f>Vendas[[#This Row],[Valor da Venda]]-(_xlfn.XLOOKUP(Vendas[[#This Row],[ID Item Vendido]],Agregado[ID],Agregado[Custo])*Vendas[[#This Row],[Qnt Vendida]])</f>
        <v>42</v>
      </c>
      <c r="K3773" s="70">
        <f>Vendas[[#This Row],[Lucro da Venda]]/Vendas[[#This Row],[Valor da Venda]]</f>
        <v>0.21875</v>
      </c>
      <c r="L3773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3773"/>
    </row>
    <row r="3774" spans="1:13" x14ac:dyDescent="0.3">
      <c r="A3774" s="7">
        <v>400246</v>
      </c>
      <c r="B3774" t="str">
        <f>_xlfn.XLOOKUP(Vendas[[#This Row],[ID Vendedor]],Vendedores[ID],Vendedores[Nome])</f>
        <v>Juliana</v>
      </c>
      <c r="C3774" s="7" t="str">
        <f>_xlfn.XLOOKUP(Vendas[[#This Row],[ID Vendedor]],Vendedores[ID],Vendedores[Setor])</f>
        <v>AHD</v>
      </c>
      <c r="D3774" s="7" t="s">
        <v>28</v>
      </c>
      <c r="E3774" t="str">
        <f>_xlfn.XLOOKUP(Vendas[[#This Row],[ID Item Vendido]],Agregado[ID],Agregado[Produto])</f>
        <v>Peça usinada CNC</v>
      </c>
      <c r="F3774" s="39">
        <v>45522</v>
      </c>
      <c r="G3774" s="7">
        <v>11</v>
      </c>
      <c r="H3774" s="3">
        <f>_xlfn.XLOOKUP(Vendas[[#This Row],[ID Item Vendido]],Agregado[ID],Agregado[Revenda])</f>
        <v>192</v>
      </c>
      <c r="I3774" s="3">
        <f>Vendas[[#This Row],[Valor Unitário]]*Vendas[[#This Row],[Qnt Vendida]]</f>
        <v>2112</v>
      </c>
      <c r="J3774" s="3">
        <f>Vendas[[#This Row],[Valor da Venda]]-(_xlfn.XLOOKUP(Vendas[[#This Row],[ID Item Vendido]],Agregado[ID],Agregado[Custo])*Vendas[[#This Row],[Qnt Vendida]])</f>
        <v>462</v>
      </c>
      <c r="K3774" s="70">
        <f>Vendas[[#This Row],[Lucro da Venda]]/Vendas[[#This Row],[Valor da Venda]]</f>
        <v>0.21875</v>
      </c>
      <c r="L3774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3774"/>
    </row>
    <row r="3775" spans="1:13" x14ac:dyDescent="0.3">
      <c r="A3775" s="7">
        <v>400242</v>
      </c>
      <c r="B3775" t="str">
        <f>_xlfn.XLOOKUP(Vendas[[#This Row],[ID Vendedor]],Vendedores[ID],Vendedores[Nome])</f>
        <v>Fernanda</v>
      </c>
      <c r="C3775" s="7" t="str">
        <f>_xlfn.XLOOKUP(Vendas[[#This Row],[ID Vendedor]],Vendedores[ID],Vendedores[Setor])</f>
        <v>FM</v>
      </c>
      <c r="D3775" s="7" t="s">
        <v>31</v>
      </c>
      <c r="E3775" t="str">
        <f>_xlfn.XLOOKUP(Vendas[[#This Row],[ID Item Vendido]],Agregado[ID],Agregado[Produto])</f>
        <v>Tela de metal soldada rolo 2x25m</v>
      </c>
      <c r="F3775" s="39">
        <v>45522</v>
      </c>
      <c r="G3775" s="7">
        <v>15</v>
      </c>
      <c r="H3775" s="3">
        <f>_xlfn.XLOOKUP(Vendas[[#This Row],[ID Item Vendido]],Agregado[ID],Agregado[Revenda])</f>
        <v>43.7</v>
      </c>
      <c r="I3775" s="3">
        <f>Vendas[[#This Row],[Valor Unitário]]*Vendas[[#This Row],[Qnt Vendida]]</f>
        <v>655.5</v>
      </c>
      <c r="J3775" s="3">
        <f>Vendas[[#This Row],[Valor da Venda]]-(_xlfn.XLOOKUP(Vendas[[#This Row],[ID Item Vendido]],Agregado[ID],Agregado[Custo])*Vendas[[#This Row],[Qnt Vendida]])</f>
        <v>85.5</v>
      </c>
      <c r="K3775" s="70">
        <f>Vendas[[#This Row],[Lucro da Venda]]/Vendas[[#This Row],[Valor da Venda]]</f>
        <v>0.13043478260869565</v>
      </c>
      <c r="L3775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3775"/>
    </row>
    <row r="3776" spans="1:13" x14ac:dyDescent="0.3">
      <c r="A3776" s="7">
        <v>400251</v>
      </c>
      <c r="B3776" t="str">
        <f>_xlfn.XLOOKUP(Vendas[[#This Row],[ID Vendedor]],Vendedores[ID],Vendedores[Nome])</f>
        <v>Diego</v>
      </c>
      <c r="C3776" s="7" t="str">
        <f>_xlfn.XLOOKUP(Vendas[[#This Row],[ID Vendedor]],Vendedores[ID],Vendedores[Setor])</f>
        <v>AB</v>
      </c>
      <c r="D3776" s="7" t="s">
        <v>12</v>
      </c>
      <c r="E3776" t="str">
        <f>_xlfn.XLOOKUP(Vendas[[#This Row],[ID Item Vendido]],Agregado[ID],Agregado[Produto])</f>
        <v>Grânulo de plástico reciclado refinado</v>
      </c>
      <c r="F3776" s="39">
        <v>45522</v>
      </c>
      <c r="G3776" s="7">
        <v>98</v>
      </c>
      <c r="H3776" s="3">
        <f>_xlfn.XLOOKUP(Vendas[[#This Row],[ID Item Vendido]],Agregado[ID],Agregado[Revenda])</f>
        <v>4.7</v>
      </c>
      <c r="I3776" s="3">
        <f>Vendas[[#This Row],[Valor Unitário]]*Vendas[[#This Row],[Qnt Vendida]]</f>
        <v>460.6</v>
      </c>
      <c r="J3776" s="3">
        <f>Vendas[[#This Row],[Valor da Venda]]-(_xlfn.XLOOKUP(Vendas[[#This Row],[ID Item Vendido]],Agregado[ID],Agregado[Custo])*Vendas[[#This Row],[Qnt Vendida]])</f>
        <v>117.60000000000002</v>
      </c>
      <c r="K3776" s="70">
        <f>Vendas[[#This Row],[Lucro da Venda]]/Vendas[[#This Row],[Valor da Venda]]</f>
        <v>0.25531914893617025</v>
      </c>
      <c r="L3776" s="3">
        <f>_xlfn.IFS(Vendas[[#This Row],[Margem de Lucro (%)]]&lt;15%,Vendas[[#This Row],[Valor da Venda]]*3%,Vendas[[#This Row],[Margem de Lucro (%)]]&lt;=20%,Vendas[[#This Row],[Valor da Venda]]*4.5%,TRUE,Vendas[[#This Row],[Valor da Venda]]*6%)</f>
        <v>27.635999999999999</v>
      </c>
      <c r="M3776"/>
    </row>
    <row r="3777" spans="1:13" x14ac:dyDescent="0.3">
      <c r="A3777" s="7">
        <v>400247</v>
      </c>
      <c r="B3777" t="str">
        <f>_xlfn.XLOOKUP(Vendas[[#This Row],[ID Vendedor]],Vendedores[ID],Vendedores[Nome])</f>
        <v>André</v>
      </c>
      <c r="C3777" s="7" t="str">
        <f>_xlfn.XLOOKUP(Vendas[[#This Row],[ID Vendedor]],Vendedores[ID],Vendedores[Setor])</f>
        <v>CM</v>
      </c>
      <c r="D3777" s="7" t="s">
        <v>22</v>
      </c>
      <c r="E3777" t="str">
        <f>_xlfn.XLOOKUP(Vendas[[#This Row],[ID Item Vendido]],Agregado[ID],Agregado[Produto])</f>
        <v>Painel MDP 2,75x1,83m</v>
      </c>
      <c r="F3777" s="39">
        <v>45522</v>
      </c>
      <c r="G3777" s="7">
        <v>3</v>
      </c>
      <c r="H3777" s="3">
        <f>_xlfn.XLOOKUP(Vendas[[#This Row],[ID Item Vendido]],Agregado[ID],Agregado[Revenda])</f>
        <v>119</v>
      </c>
      <c r="I3777" s="3">
        <f>Vendas[[#This Row],[Valor Unitário]]*Vendas[[#This Row],[Qnt Vendida]]</f>
        <v>357</v>
      </c>
      <c r="J3777" s="3">
        <f>Vendas[[#This Row],[Valor da Venda]]-(_xlfn.XLOOKUP(Vendas[[#This Row],[ID Item Vendido]],Agregado[ID],Agregado[Custo])*Vendas[[#This Row],[Qnt Vendida]])</f>
        <v>72</v>
      </c>
      <c r="K3777" s="70">
        <f>Vendas[[#This Row],[Lucro da Venda]]/Vendas[[#This Row],[Valor da Venda]]</f>
        <v>0.20168067226890757</v>
      </c>
      <c r="L3777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3777"/>
    </row>
    <row r="3778" spans="1:13" x14ac:dyDescent="0.3">
      <c r="A3778" s="7">
        <v>400241</v>
      </c>
      <c r="B3778" t="str">
        <f>_xlfn.XLOOKUP(Vendas[[#This Row],[ID Vendedor]],Vendedores[ID],Vendedores[Nome])</f>
        <v>Rodrigo</v>
      </c>
      <c r="C3778" s="7" t="str">
        <f>_xlfn.XLOOKUP(Vendas[[#This Row],[ID Vendedor]],Vendedores[ID],Vendedores[Setor])</f>
        <v>FM</v>
      </c>
      <c r="D3778" s="7" t="s">
        <v>6</v>
      </c>
      <c r="E3778" t="str">
        <f>_xlfn.XLOOKUP(Vendas[[#This Row],[ID Item Vendido]],Agregado[ID],Agregado[Produto])</f>
        <v>Parafuso comum 500un</v>
      </c>
      <c r="F3778" s="39">
        <v>45522</v>
      </c>
      <c r="G3778" s="7">
        <v>11</v>
      </c>
      <c r="H3778" s="3">
        <f>_xlfn.XLOOKUP(Vendas[[#This Row],[ID Item Vendido]],Agregado[ID],Agregado[Revenda])</f>
        <v>24.6</v>
      </c>
      <c r="I3778" s="3">
        <f>Vendas[[#This Row],[Valor Unitário]]*Vendas[[#This Row],[Qnt Vendida]]</f>
        <v>270.60000000000002</v>
      </c>
      <c r="J3778" s="3">
        <f>Vendas[[#This Row],[Valor da Venda]]-(_xlfn.XLOOKUP(Vendas[[#This Row],[ID Item Vendido]],Agregado[ID],Agregado[Custo])*Vendas[[#This Row],[Qnt Vendida]])</f>
        <v>28.600000000000023</v>
      </c>
      <c r="K3778" s="70">
        <f>Vendas[[#This Row],[Lucro da Venda]]/Vendas[[#This Row],[Valor da Venda]]</f>
        <v>0.10569105691056918</v>
      </c>
      <c r="L3778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3778"/>
    </row>
    <row r="3779" spans="1:13" x14ac:dyDescent="0.3">
      <c r="A3779" s="7">
        <v>400242</v>
      </c>
      <c r="B3779" t="str">
        <f>_xlfn.XLOOKUP(Vendas[[#This Row],[ID Vendedor]],Vendedores[ID],Vendedores[Nome])</f>
        <v>Fernanda</v>
      </c>
      <c r="C3779" s="7" t="str">
        <f>_xlfn.XLOOKUP(Vendas[[#This Row],[ID Vendedor]],Vendedores[ID],Vendedores[Setor])</f>
        <v>FM</v>
      </c>
      <c r="D3779" s="7" t="s">
        <v>6</v>
      </c>
      <c r="E3779" t="str">
        <f>_xlfn.XLOOKUP(Vendas[[#This Row],[ID Item Vendido]],Agregado[ID],Agregado[Produto])</f>
        <v>Parafuso comum 500un</v>
      </c>
      <c r="F3779" s="39">
        <v>45522</v>
      </c>
      <c r="G3779" s="7">
        <v>6</v>
      </c>
      <c r="H3779" s="3">
        <f>_xlfn.XLOOKUP(Vendas[[#This Row],[ID Item Vendido]],Agregado[ID],Agregado[Revenda])</f>
        <v>24.6</v>
      </c>
      <c r="I3779" s="3">
        <f>Vendas[[#This Row],[Valor Unitário]]*Vendas[[#This Row],[Qnt Vendida]]</f>
        <v>147.60000000000002</v>
      </c>
      <c r="J3779" s="3">
        <f>Vendas[[#This Row],[Valor da Venda]]-(_xlfn.XLOOKUP(Vendas[[#This Row],[ID Item Vendido]],Agregado[ID],Agregado[Custo])*Vendas[[#This Row],[Qnt Vendida]])</f>
        <v>15.600000000000023</v>
      </c>
      <c r="K3779" s="70">
        <f>Vendas[[#This Row],[Lucro da Venda]]/Vendas[[#This Row],[Valor da Venda]]</f>
        <v>0.10569105691056924</v>
      </c>
      <c r="L3779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3779"/>
    </row>
    <row r="3780" spans="1:13" x14ac:dyDescent="0.3">
      <c r="A3780" s="7">
        <v>400248</v>
      </c>
      <c r="B3780" t="str">
        <f>_xlfn.XLOOKUP(Vendas[[#This Row],[ID Vendedor]],Vendedores[ID],Vendedores[Nome])</f>
        <v>Patrícia</v>
      </c>
      <c r="C3780" s="7" t="str">
        <f>_xlfn.XLOOKUP(Vendas[[#This Row],[ID Vendedor]],Vendedores[ID],Vendedores[Setor])</f>
        <v>CM</v>
      </c>
      <c r="D3780" s="7" t="s">
        <v>43</v>
      </c>
      <c r="E3780" t="str">
        <f>_xlfn.XLOOKUP(Vendas[[#This Row],[ID Item Vendido]],Agregado[ID],Agregado[Produto])</f>
        <v>Madeira Bruta (Tora)</v>
      </c>
      <c r="F3780" s="39">
        <v>45523</v>
      </c>
      <c r="G3780" s="7">
        <v>13</v>
      </c>
      <c r="H3780" s="3">
        <f>_xlfn.XLOOKUP(Vendas[[#This Row],[ID Item Vendido]],Agregado[ID],Agregado[Revenda])</f>
        <v>212</v>
      </c>
      <c r="I3780" s="3">
        <f>Vendas[[#This Row],[Valor Unitário]]*Vendas[[#This Row],[Qnt Vendida]]</f>
        <v>2756</v>
      </c>
      <c r="J3780" s="3">
        <f>Vendas[[#This Row],[Valor da Venda]]-(_xlfn.XLOOKUP(Vendas[[#This Row],[ID Item Vendido]],Agregado[ID],Agregado[Custo])*Vendas[[#This Row],[Qnt Vendida]])</f>
        <v>416</v>
      </c>
      <c r="K3780" s="70">
        <f>Vendas[[#This Row],[Lucro da Venda]]/Vendas[[#This Row],[Valor da Venda]]</f>
        <v>0.15094339622641509</v>
      </c>
      <c r="L3780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3780"/>
    </row>
    <row r="3781" spans="1:13" x14ac:dyDescent="0.3">
      <c r="A3781" s="7">
        <v>400244</v>
      </c>
      <c r="B3781" t="str">
        <f>_xlfn.XLOOKUP(Vendas[[#This Row],[ID Vendedor]],Vendedores[ID],Vendedores[Nome])</f>
        <v>Camila</v>
      </c>
      <c r="C3781" s="7" t="str">
        <f>_xlfn.XLOOKUP(Vendas[[#This Row],[ID Vendedor]],Vendedores[ID],Vendedores[Setor])</f>
        <v>AHD</v>
      </c>
      <c r="D3781" s="7" t="s">
        <v>44</v>
      </c>
      <c r="E3781" t="str">
        <f>_xlfn.XLOOKUP(Vendas[[#This Row],[ID Item Vendido]],Agregado[ID],Agregado[Produto])</f>
        <v>Liga metálica especial</v>
      </c>
      <c r="F3781" s="39">
        <v>45523</v>
      </c>
      <c r="G3781" s="7">
        <v>34</v>
      </c>
      <c r="H3781" s="3">
        <f>_xlfn.XLOOKUP(Vendas[[#This Row],[ID Item Vendido]],Agregado[ID],Agregado[Revenda])</f>
        <v>32.5</v>
      </c>
      <c r="I3781" s="3">
        <f>Vendas[[#This Row],[Valor Unitário]]*Vendas[[#This Row],[Qnt Vendida]]</f>
        <v>1105</v>
      </c>
      <c r="J3781" s="3">
        <f>Vendas[[#This Row],[Valor da Venda]]-(_xlfn.XLOOKUP(Vendas[[#This Row],[ID Item Vendido]],Agregado[ID],Agregado[Custo])*Vendas[[#This Row],[Qnt Vendida]])</f>
        <v>255</v>
      </c>
      <c r="K3781" s="70">
        <f>Vendas[[#This Row],[Lucro da Venda]]/Vendas[[#This Row],[Valor da Venda]]</f>
        <v>0.23076923076923078</v>
      </c>
      <c r="L3781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3781"/>
    </row>
    <row r="3782" spans="1:13" x14ac:dyDescent="0.3">
      <c r="A3782" s="7">
        <v>400241</v>
      </c>
      <c r="B3782" t="str">
        <f>_xlfn.XLOOKUP(Vendas[[#This Row],[ID Vendedor]],Vendedores[ID],Vendedores[Nome])</f>
        <v>Rodrigo</v>
      </c>
      <c r="C3782" s="7" t="str">
        <f>_xlfn.XLOOKUP(Vendas[[#This Row],[ID Vendedor]],Vendedores[ID],Vendedores[Setor])</f>
        <v>FM</v>
      </c>
      <c r="D3782" s="7" t="s">
        <v>47</v>
      </c>
      <c r="E3782" t="str">
        <f>_xlfn.XLOOKUP(Vendas[[#This Row],[ID Item Vendido]],Agregado[ID],Agregado[Produto])</f>
        <v>Fio de arame galvanizado rolo 50m</v>
      </c>
      <c r="F3782" s="39">
        <v>45523</v>
      </c>
      <c r="G3782" s="7">
        <v>33</v>
      </c>
      <c r="H3782" s="3">
        <f>_xlfn.XLOOKUP(Vendas[[#This Row],[ID Item Vendido]],Agregado[ID],Agregado[Revenda])</f>
        <v>21.2</v>
      </c>
      <c r="I3782" s="3">
        <f>Vendas[[#This Row],[Valor Unitário]]*Vendas[[#This Row],[Qnt Vendida]]</f>
        <v>699.6</v>
      </c>
      <c r="J3782" s="3">
        <f>Vendas[[#This Row],[Valor da Venda]]-(_xlfn.XLOOKUP(Vendas[[#This Row],[ID Item Vendido]],Agregado[ID],Agregado[Custo])*Vendas[[#This Row],[Qnt Vendida]])</f>
        <v>105.60000000000002</v>
      </c>
      <c r="K3782" s="70">
        <f>Vendas[[#This Row],[Lucro da Venda]]/Vendas[[#This Row],[Valor da Venda]]</f>
        <v>0.15094339622641512</v>
      </c>
      <c r="L3782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3782"/>
    </row>
    <row r="3783" spans="1:13" x14ac:dyDescent="0.3">
      <c r="A3783" s="7">
        <v>400251</v>
      </c>
      <c r="B3783" t="str">
        <f>_xlfn.XLOOKUP(Vendas[[#This Row],[ID Vendedor]],Vendedores[ID],Vendedores[Nome])</f>
        <v>Diego</v>
      </c>
      <c r="C3783" s="7" t="str">
        <f>_xlfn.XLOOKUP(Vendas[[#This Row],[ID Vendedor]],Vendedores[ID],Vendedores[Setor])</f>
        <v>AB</v>
      </c>
      <c r="D3783" s="7" t="s">
        <v>39</v>
      </c>
      <c r="E3783" t="str">
        <f>_xlfn.XLOOKUP(Vendas[[#This Row],[ID Item Vendido]],Agregado[ID],Agregado[Produto])</f>
        <v>Filme plástico industrial rolo 50m</v>
      </c>
      <c r="F3783" s="39">
        <v>45523</v>
      </c>
      <c r="G3783" s="7">
        <v>14</v>
      </c>
      <c r="H3783" s="3">
        <f>_xlfn.XLOOKUP(Vendas[[#This Row],[ID Item Vendido]],Agregado[ID],Agregado[Revenda])</f>
        <v>37</v>
      </c>
      <c r="I3783" s="3">
        <f>Vendas[[#This Row],[Valor Unitário]]*Vendas[[#This Row],[Qnt Vendida]]</f>
        <v>518</v>
      </c>
      <c r="J3783" s="3">
        <f>Vendas[[#This Row],[Valor da Venda]]-(_xlfn.XLOOKUP(Vendas[[#This Row],[ID Item Vendido]],Agregado[ID],Agregado[Custo])*Vendas[[#This Row],[Qnt Vendida]])</f>
        <v>126</v>
      </c>
      <c r="K3783" s="70">
        <f>Vendas[[#This Row],[Lucro da Venda]]/Vendas[[#This Row],[Valor da Venda]]</f>
        <v>0.24324324324324326</v>
      </c>
      <c r="L3783" s="3">
        <f>_xlfn.IFS(Vendas[[#This Row],[Margem de Lucro (%)]]&lt;15%,Vendas[[#This Row],[Valor da Venda]]*3%,Vendas[[#This Row],[Margem de Lucro (%)]]&lt;=20%,Vendas[[#This Row],[Valor da Venda]]*4.5%,TRUE,Vendas[[#This Row],[Valor da Venda]]*6%)</f>
        <v>31.08</v>
      </c>
      <c r="M3783"/>
    </row>
    <row r="3784" spans="1:13" x14ac:dyDescent="0.3">
      <c r="A3784" s="7">
        <v>400245</v>
      </c>
      <c r="B3784" t="str">
        <f>_xlfn.XLOOKUP(Vendas[[#This Row],[ID Vendedor]],Vendedores[ID],Vendedores[Nome])</f>
        <v>Thiago</v>
      </c>
      <c r="C3784" s="7" t="str">
        <f>_xlfn.XLOOKUP(Vendas[[#This Row],[ID Vendedor]],Vendedores[ID],Vendedores[Setor])</f>
        <v>AHD</v>
      </c>
      <c r="D3784" s="7" t="s">
        <v>18</v>
      </c>
      <c r="E3784" t="str">
        <f>_xlfn.XLOOKUP(Vendas[[#This Row],[ID Item Vendido]],Agregado[ID],Agregado[Produto])</f>
        <v>Peça forjada sob encomenda</v>
      </c>
      <c r="F3784" s="39">
        <v>45523</v>
      </c>
      <c r="G3784" s="7">
        <v>1</v>
      </c>
      <c r="H3784" s="3">
        <f>_xlfn.XLOOKUP(Vendas[[#This Row],[ID Item Vendido]],Agregado[ID],Agregado[Revenda])</f>
        <v>264.60000000000002</v>
      </c>
      <c r="I3784" s="3">
        <f>Vendas[[#This Row],[Valor Unitário]]*Vendas[[#This Row],[Qnt Vendida]]</f>
        <v>264.60000000000002</v>
      </c>
      <c r="J3784" s="3">
        <f>Vendas[[#This Row],[Valor da Venda]]-(_xlfn.XLOOKUP(Vendas[[#This Row],[ID Item Vendido]],Agregado[ID],Agregado[Custo])*Vendas[[#This Row],[Qnt Vendida]])</f>
        <v>14.600000000000023</v>
      </c>
      <c r="K3784" s="70">
        <f>Vendas[[#This Row],[Lucro da Venda]]/Vendas[[#This Row],[Valor da Venda]]</f>
        <v>5.5177626606198113E-2</v>
      </c>
      <c r="L378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784"/>
    </row>
    <row r="3785" spans="1:13" x14ac:dyDescent="0.3">
      <c r="A3785" s="7">
        <v>400244</v>
      </c>
      <c r="B3785" t="str">
        <f>_xlfn.XLOOKUP(Vendas[[#This Row],[ID Vendedor]],Vendedores[ID],Vendedores[Nome])</f>
        <v>Camila</v>
      </c>
      <c r="C3785" s="7" t="str">
        <f>_xlfn.XLOOKUP(Vendas[[#This Row],[ID Vendedor]],Vendedores[ID],Vendedores[Setor])</f>
        <v>AHD</v>
      </c>
      <c r="D3785" s="7" t="s">
        <v>44</v>
      </c>
      <c r="E3785" t="str">
        <f>_xlfn.XLOOKUP(Vendas[[#This Row],[ID Item Vendido]],Agregado[ID],Agregado[Produto])</f>
        <v>Liga metálica especial</v>
      </c>
      <c r="F3785" s="39">
        <v>45523</v>
      </c>
      <c r="G3785" s="7">
        <v>10</v>
      </c>
      <c r="H3785" s="3">
        <f>_xlfn.XLOOKUP(Vendas[[#This Row],[ID Item Vendido]],Agregado[ID],Agregado[Revenda])</f>
        <v>32.5</v>
      </c>
      <c r="I3785" s="3">
        <f>Vendas[[#This Row],[Valor Unitário]]*Vendas[[#This Row],[Qnt Vendida]]</f>
        <v>325</v>
      </c>
      <c r="J3785" s="3">
        <f>Vendas[[#This Row],[Valor da Venda]]-(_xlfn.XLOOKUP(Vendas[[#This Row],[ID Item Vendido]],Agregado[ID],Agregado[Custo])*Vendas[[#This Row],[Qnt Vendida]])</f>
        <v>75</v>
      </c>
      <c r="K3785" s="70">
        <f>Vendas[[#This Row],[Lucro da Venda]]/Vendas[[#This Row],[Valor da Venda]]</f>
        <v>0.23076923076923078</v>
      </c>
      <c r="L3785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3785"/>
    </row>
    <row r="3786" spans="1:13" x14ac:dyDescent="0.3">
      <c r="A3786" s="7">
        <v>400250</v>
      </c>
      <c r="B3786" t="str">
        <f>_xlfn.XLOOKUP(Vendas[[#This Row],[ID Vendedor]],Vendedores[ID],Vendedores[Nome])</f>
        <v>Larissa</v>
      </c>
      <c r="C3786" s="7" t="str">
        <f>_xlfn.XLOOKUP(Vendas[[#This Row],[ID Vendedor]],Vendedores[ID],Vendedores[Setor])</f>
        <v>AB</v>
      </c>
      <c r="D3786" s="7" t="s">
        <v>36</v>
      </c>
      <c r="E3786" t="str">
        <f>_xlfn.XLOOKUP(Vendas[[#This Row],[ID Item Vendido]],Agregado[ID],Agregado[Produto])</f>
        <v>Borracha vulcanizada em manta</v>
      </c>
      <c r="F3786" s="39">
        <v>45523</v>
      </c>
      <c r="G3786" s="7">
        <v>34</v>
      </c>
      <c r="H3786" s="3">
        <f>_xlfn.XLOOKUP(Vendas[[#This Row],[ID Item Vendido]],Agregado[ID],Agregado[Revenda])</f>
        <v>7.8</v>
      </c>
      <c r="I3786" s="3">
        <f>Vendas[[#This Row],[Valor Unitário]]*Vendas[[#This Row],[Qnt Vendida]]</f>
        <v>265.2</v>
      </c>
      <c r="J3786" s="3">
        <f>Vendas[[#This Row],[Valor da Venda]]-(_xlfn.XLOOKUP(Vendas[[#This Row],[ID Item Vendido]],Agregado[ID],Agregado[Custo])*Vendas[[#This Row],[Qnt Vendida]])</f>
        <v>61.199999999999989</v>
      </c>
      <c r="K3786" s="70">
        <f>Vendas[[#This Row],[Lucro da Venda]]/Vendas[[#This Row],[Valor da Venda]]</f>
        <v>0.23076923076923073</v>
      </c>
      <c r="L3786" s="3">
        <f>_xlfn.IFS(Vendas[[#This Row],[Margem de Lucro (%)]]&lt;15%,Vendas[[#This Row],[Valor da Venda]]*3%,Vendas[[#This Row],[Margem de Lucro (%)]]&lt;=20%,Vendas[[#This Row],[Valor da Venda]]*4.5%,TRUE,Vendas[[#This Row],[Valor da Venda]]*6%)</f>
        <v>15.911999999999999</v>
      </c>
      <c r="M3786"/>
    </row>
    <row r="3787" spans="1:13" x14ac:dyDescent="0.3">
      <c r="A3787" s="7">
        <v>400251</v>
      </c>
      <c r="B3787" t="str">
        <f>_xlfn.XLOOKUP(Vendas[[#This Row],[ID Vendedor]],Vendedores[ID],Vendedores[Nome])</f>
        <v>Diego</v>
      </c>
      <c r="C3787" s="7" t="str">
        <f>_xlfn.XLOOKUP(Vendas[[#This Row],[ID Vendedor]],Vendedores[ID],Vendedores[Setor])</f>
        <v>AB</v>
      </c>
      <c r="D3787" s="7" t="s">
        <v>37</v>
      </c>
      <c r="E3787" t="str">
        <f>_xlfn.XLOOKUP(Vendas[[#This Row],[ID Item Vendido]],Agregado[ID],Agregado[Produto])</f>
        <v>Composto de borracha para vedação rolo 10m</v>
      </c>
      <c r="F3787" s="39">
        <v>45524</v>
      </c>
      <c r="G3787" s="7">
        <v>20</v>
      </c>
      <c r="H3787" s="3">
        <f>_xlfn.XLOOKUP(Vendas[[#This Row],[ID Item Vendido]],Agregado[ID],Agregado[Revenda])</f>
        <v>51.2</v>
      </c>
      <c r="I3787" s="3">
        <f>Vendas[[#This Row],[Valor Unitário]]*Vendas[[#This Row],[Qnt Vendida]]</f>
        <v>1024</v>
      </c>
      <c r="J3787" s="3">
        <f>Vendas[[#This Row],[Valor da Venda]]-(_xlfn.XLOOKUP(Vendas[[#This Row],[ID Item Vendido]],Agregado[ID],Agregado[Custo])*Vendas[[#This Row],[Qnt Vendida]])</f>
        <v>224</v>
      </c>
      <c r="K3787" s="70">
        <f>Vendas[[#This Row],[Lucro da Venda]]/Vendas[[#This Row],[Valor da Venda]]</f>
        <v>0.21875</v>
      </c>
      <c r="L3787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3787"/>
    </row>
    <row r="3788" spans="1:13" x14ac:dyDescent="0.3">
      <c r="A3788" s="7">
        <v>400243</v>
      </c>
      <c r="B3788" t="str">
        <f>_xlfn.XLOOKUP(Vendas[[#This Row],[ID Vendedor]],Vendedores[ID],Vendedores[Nome])</f>
        <v>Marcelo</v>
      </c>
      <c r="C3788" s="7" t="str">
        <f>_xlfn.XLOOKUP(Vendas[[#This Row],[ID Vendedor]],Vendedores[ID],Vendedores[Setor])</f>
        <v>FM</v>
      </c>
      <c r="D3788" s="7" t="s">
        <v>47</v>
      </c>
      <c r="E3788" t="str">
        <f>_xlfn.XLOOKUP(Vendas[[#This Row],[ID Item Vendido]],Agregado[ID],Agregado[Produto])</f>
        <v>Fio de arame galvanizado rolo 50m</v>
      </c>
      <c r="F3788" s="39">
        <v>45524</v>
      </c>
      <c r="G3788" s="7">
        <v>30</v>
      </c>
      <c r="H3788" s="3">
        <f>_xlfn.XLOOKUP(Vendas[[#This Row],[ID Item Vendido]],Agregado[ID],Agregado[Revenda])</f>
        <v>21.2</v>
      </c>
      <c r="I3788" s="3">
        <f>Vendas[[#This Row],[Valor Unitário]]*Vendas[[#This Row],[Qnt Vendida]]</f>
        <v>636</v>
      </c>
      <c r="J3788" s="3">
        <f>Vendas[[#This Row],[Valor da Venda]]-(_xlfn.XLOOKUP(Vendas[[#This Row],[ID Item Vendido]],Agregado[ID],Agregado[Custo])*Vendas[[#This Row],[Qnt Vendida]])</f>
        <v>96</v>
      </c>
      <c r="K3788" s="70">
        <f>Vendas[[#This Row],[Lucro da Venda]]/Vendas[[#This Row],[Valor da Venda]]</f>
        <v>0.15094339622641509</v>
      </c>
      <c r="L3788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3788"/>
    </row>
    <row r="3789" spans="1:13" x14ac:dyDescent="0.3">
      <c r="A3789" s="7">
        <v>400254</v>
      </c>
      <c r="B3789" t="str">
        <f>_xlfn.XLOOKUP(Vendas[[#This Row],[ID Vendedor]],Vendedores[ID],Vendedores[Nome])</f>
        <v>Beatriz</v>
      </c>
      <c r="C3789" s="7" t="str">
        <f>_xlfn.XLOOKUP(Vendas[[#This Row],[ID Vendedor]],Vendedores[ID],Vendedores[Setor])</f>
        <v>SC</v>
      </c>
      <c r="D3789" s="7" t="s">
        <v>48</v>
      </c>
      <c r="E3789" t="str">
        <f>_xlfn.XLOOKUP(Vendas[[#This Row],[ID Item Vendido]],Agregado[ID],Agregado[Produto])</f>
        <v>Tambor metálico 200L</v>
      </c>
      <c r="F3789" s="39">
        <v>45524</v>
      </c>
      <c r="G3789" s="7">
        <v>4</v>
      </c>
      <c r="H3789" s="3">
        <f>_xlfn.XLOOKUP(Vendas[[#This Row],[ID Item Vendido]],Agregado[ID],Agregado[Revenda])</f>
        <v>144</v>
      </c>
      <c r="I3789" s="3">
        <f>Vendas[[#This Row],[Valor Unitário]]*Vendas[[#This Row],[Qnt Vendida]]</f>
        <v>576</v>
      </c>
      <c r="J3789" s="3">
        <f>Vendas[[#This Row],[Valor da Venda]]-(_xlfn.XLOOKUP(Vendas[[#This Row],[ID Item Vendido]],Agregado[ID],Agregado[Custo])*Vendas[[#This Row],[Qnt Vendida]])</f>
        <v>96</v>
      </c>
      <c r="K3789" s="70">
        <f>Vendas[[#This Row],[Lucro da Venda]]/Vendas[[#This Row],[Valor da Venda]]</f>
        <v>0.16666666666666666</v>
      </c>
      <c r="L3789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3789"/>
    </row>
    <row r="3790" spans="1:13" x14ac:dyDescent="0.3">
      <c r="A3790" s="7">
        <v>400242</v>
      </c>
      <c r="B3790" t="str">
        <f>_xlfn.XLOOKUP(Vendas[[#This Row],[ID Vendedor]],Vendedores[ID],Vendedores[Nome])</f>
        <v>Fernanda</v>
      </c>
      <c r="C3790" s="7" t="str">
        <f>_xlfn.XLOOKUP(Vendas[[#This Row],[ID Vendedor]],Vendedores[ID],Vendedores[Setor])</f>
        <v>FM</v>
      </c>
      <c r="D3790" s="7" t="s">
        <v>27</v>
      </c>
      <c r="E3790" t="str">
        <f>_xlfn.XLOOKUP(Vendas[[#This Row],[ID Item Vendido]],Agregado[ID],Agregado[Produto])</f>
        <v>Chapa de metal lisa 1x2m</v>
      </c>
      <c r="F3790" s="39">
        <v>45524</v>
      </c>
      <c r="G3790" s="7">
        <v>10</v>
      </c>
      <c r="H3790" s="3">
        <f>_xlfn.XLOOKUP(Vendas[[#This Row],[ID Item Vendido]],Agregado[ID],Agregado[Revenda])</f>
        <v>52</v>
      </c>
      <c r="I3790" s="3">
        <f>Vendas[[#This Row],[Valor Unitário]]*Vendas[[#This Row],[Qnt Vendida]]</f>
        <v>520</v>
      </c>
      <c r="J3790" s="3">
        <f>Vendas[[#This Row],[Valor da Venda]]-(_xlfn.XLOOKUP(Vendas[[#This Row],[ID Item Vendido]],Agregado[ID],Agregado[Custo])*Vendas[[#This Row],[Qnt Vendida]])</f>
        <v>70</v>
      </c>
      <c r="K3790" s="70">
        <f>Vendas[[#This Row],[Lucro da Venda]]/Vendas[[#This Row],[Valor da Venda]]</f>
        <v>0.13461538461538461</v>
      </c>
      <c r="L3790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3790"/>
    </row>
    <row r="3791" spans="1:13" x14ac:dyDescent="0.3">
      <c r="A3791" s="7">
        <v>400244</v>
      </c>
      <c r="B3791" t="str">
        <f>_xlfn.XLOOKUP(Vendas[[#This Row],[ID Vendedor]],Vendedores[ID],Vendedores[Nome])</f>
        <v>Camila</v>
      </c>
      <c r="C3791" s="7" t="str">
        <f>_xlfn.XLOOKUP(Vendas[[#This Row],[ID Vendedor]],Vendedores[ID],Vendedores[Setor])</f>
        <v>AHD</v>
      </c>
      <c r="D3791" s="7" t="s">
        <v>18</v>
      </c>
      <c r="E3791" t="str">
        <f>_xlfn.XLOOKUP(Vendas[[#This Row],[ID Item Vendido]],Agregado[ID],Agregado[Produto])</f>
        <v>Peça forjada sob encomenda</v>
      </c>
      <c r="F3791" s="39">
        <v>45525</v>
      </c>
      <c r="G3791" s="7">
        <v>5</v>
      </c>
      <c r="H3791" s="3">
        <f>_xlfn.XLOOKUP(Vendas[[#This Row],[ID Item Vendido]],Agregado[ID],Agregado[Revenda])</f>
        <v>264.60000000000002</v>
      </c>
      <c r="I3791" s="3">
        <f>Vendas[[#This Row],[Valor Unitário]]*Vendas[[#This Row],[Qnt Vendida]]</f>
        <v>1323</v>
      </c>
      <c r="J3791" s="3">
        <f>Vendas[[#This Row],[Valor da Venda]]-(_xlfn.XLOOKUP(Vendas[[#This Row],[ID Item Vendido]],Agregado[ID],Agregado[Custo])*Vendas[[#This Row],[Qnt Vendida]])</f>
        <v>73</v>
      </c>
      <c r="K3791" s="70">
        <f>Vendas[[#This Row],[Lucro da Venda]]/Vendas[[#This Row],[Valor da Venda]]</f>
        <v>5.5177626606198037E-2</v>
      </c>
      <c r="L379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791"/>
    </row>
    <row r="3792" spans="1:13" x14ac:dyDescent="0.3">
      <c r="A3792" s="7">
        <v>400244</v>
      </c>
      <c r="B3792" t="str">
        <f>_xlfn.XLOOKUP(Vendas[[#This Row],[ID Vendedor]],Vendedores[ID],Vendedores[Nome])</f>
        <v>Camila</v>
      </c>
      <c r="C3792" s="7" t="str">
        <f>_xlfn.XLOOKUP(Vendas[[#This Row],[ID Vendedor]],Vendedores[ID],Vendedores[Setor])</f>
        <v>AHD</v>
      </c>
      <c r="D3792" s="7" t="s">
        <v>44</v>
      </c>
      <c r="E3792" t="str">
        <f>_xlfn.XLOOKUP(Vendas[[#This Row],[ID Item Vendido]],Agregado[ID],Agregado[Produto])</f>
        <v>Liga metálica especial</v>
      </c>
      <c r="F3792" s="39">
        <v>45526</v>
      </c>
      <c r="G3792" s="7">
        <v>60</v>
      </c>
      <c r="H3792" s="3">
        <f>_xlfn.XLOOKUP(Vendas[[#This Row],[ID Item Vendido]],Agregado[ID],Agregado[Revenda])</f>
        <v>32.5</v>
      </c>
      <c r="I3792" s="3">
        <f>Vendas[[#This Row],[Valor Unitário]]*Vendas[[#This Row],[Qnt Vendida]]</f>
        <v>1950</v>
      </c>
      <c r="J3792" s="3">
        <f>Vendas[[#This Row],[Valor da Venda]]-(_xlfn.XLOOKUP(Vendas[[#This Row],[ID Item Vendido]],Agregado[ID],Agregado[Custo])*Vendas[[#This Row],[Qnt Vendida]])</f>
        <v>450</v>
      </c>
      <c r="K3792" s="70">
        <f>Vendas[[#This Row],[Lucro da Venda]]/Vendas[[#This Row],[Valor da Venda]]</f>
        <v>0.23076923076923078</v>
      </c>
      <c r="L3792" s="3">
        <f>_xlfn.IFS(Vendas[[#This Row],[Margem de Lucro (%)]]&lt;15%,Vendas[[#This Row],[Valor da Venda]]*3%,Vendas[[#This Row],[Margem de Lucro (%)]]&lt;=20%,Vendas[[#This Row],[Valor da Venda]]*4.5%,TRUE,Vendas[[#This Row],[Valor da Venda]]*6%)</f>
        <v>117</v>
      </c>
      <c r="M3792"/>
    </row>
    <row r="3793" spans="1:13" x14ac:dyDescent="0.3">
      <c r="A3793" s="7">
        <v>400250</v>
      </c>
      <c r="B3793" t="str">
        <f>_xlfn.XLOOKUP(Vendas[[#This Row],[ID Vendedor]],Vendedores[ID],Vendedores[Nome])</f>
        <v>Larissa</v>
      </c>
      <c r="C3793" s="7" t="str">
        <f>_xlfn.XLOOKUP(Vendas[[#This Row],[ID Vendedor]],Vendedores[ID],Vendedores[Setor])</f>
        <v>AB</v>
      </c>
      <c r="D3793" s="7" t="s">
        <v>39</v>
      </c>
      <c r="E3793" t="str">
        <f>_xlfn.XLOOKUP(Vendas[[#This Row],[ID Item Vendido]],Agregado[ID],Agregado[Produto])</f>
        <v>Filme plástico industrial rolo 50m</v>
      </c>
      <c r="F3793" s="39">
        <v>45526</v>
      </c>
      <c r="G3793" s="7">
        <v>20</v>
      </c>
      <c r="H3793" s="3">
        <f>_xlfn.XLOOKUP(Vendas[[#This Row],[ID Item Vendido]],Agregado[ID],Agregado[Revenda])</f>
        <v>37</v>
      </c>
      <c r="I3793" s="3">
        <f>Vendas[[#This Row],[Valor Unitário]]*Vendas[[#This Row],[Qnt Vendida]]</f>
        <v>740</v>
      </c>
      <c r="J3793" s="3">
        <f>Vendas[[#This Row],[Valor da Venda]]-(_xlfn.XLOOKUP(Vendas[[#This Row],[ID Item Vendido]],Agregado[ID],Agregado[Custo])*Vendas[[#This Row],[Qnt Vendida]])</f>
        <v>180</v>
      </c>
      <c r="K3793" s="70">
        <f>Vendas[[#This Row],[Lucro da Venda]]/Vendas[[#This Row],[Valor da Venda]]</f>
        <v>0.24324324324324326</v>
      </c>
      <c r="L3793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3793"/>
    </row>
    <row r="3794" spans="1:13" x14ac:dyDescent="0.3">
      <c r="A3794" s="7">
        <v>400251</v>
      </c>
      <c r="B3794" t="str">
        <f>_xlfn.XLOOKUP(Vendas[[#This Row],[ID Vendedor]],Vendedores[ID],Vendedores[Nome])</f>
        <v>Diego</v>
      </c>
      <c r="C3794" s="7" t="str">
        <f>_xlfn.XLOOKUP(Vendas[[#This Row],[ID Vendedor]],Vendedores[ID],Vendedores[Setor])</f>
        <v>AB</v>
      </c>
      <c r="D3794" s="7" t="s">
        <v>37</v>
      </c>
      <c r="E3794" t="str">
        <f>_xlfn.XLOOKUP(Vendas[[#This Row],[ID Item Vendido]],Agregado[ID],Agregado[Produto])</f>
        <v>Composto de borracha para vedação rolo 10m</v>
      </c>
      <c r="F3794" s="39">
        <v>45526</v>
      </c>
      <c r="G3794" s="7">
        <v>11</v>
      </c>
      <c r="H3794" s="3">
        <f>_xlfn.XLOOKUP(Vendas[[#This Row],[ID Item Vendido]],Agregado[ID],Agregado[Revenda])</f>
        <v>51.2</v>
      </c>
      <c r="I3794" s="3">
        <f>Vendas[[#This Row],[Valor Unitário]]*Vendas[[#This Row],[Qnt Vendida]]</f>
        <v>563.20000000000005</v>
      </c>
      <c r="J3794" s="3">
        <f>Vendas[[#This Row],[Valor da Venda]]-(_xlfn.XLOOKUP(Vendas[[#This Row],[ID Item Vendido]],Agregado[ID],Agregado[Custo])*Vendas[[#This Row],[Qnt Vendida]])</f>
        <v>123.20000000000005</v>
      </c>
      <c r="K3794" s="70">
        <f>Vendas[[#This Row],[Lucro da Venda]]/Vendas[[#This Row],[Valor da Venda]]</f>
        <v>0.21875000000000006</v>
      </c>
      <c r="L3794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3794"/>
    </row>
    <row r="3795" spans="1:13" x14ac:dyDescent="0.3">
      <c r="A3795" s="7">
        <v>400247</v>
      </c>
      <c r="B3795" t="str">
        <f>_xlfn.XLOOKUP(Vendas[[#This Row],[ID Vendedor]],Vendedores[ID],Vendedores[Nome])</f>
        <v>André</v>
      </c>
      <c r="C3795" s="7" t="str">
        <f>_xlfn.XLOOKUP(Vendas[[#This Row],[ID Vendedor]],Vendedores[ID],Vendedores[Setor])</f>
        <v>CM</v>
      </c>
      <c r="D3795" s="7" t="s">
        <v>32</v>
      </c>
      <c r="E3795" t="str">
        <f>_xlfn.XLOOKUP(Vendas[[#This Row],[ID Item Vendido]],Agregado[ID],Agregado[Produto])</f>
        <v>Tábua tratada e cortada 3m</v>
      </c>
      <c r="F3795" s="39">
        <v>45526</v>
      </c>
      <c r="G3795" s="7">
        <v>13</v>
      </c>
      <c r="H3795" s="3">
        <f>_xlfn.XLOOKUP(Vendas[[#This Row],[ID Item Vendido]],Agregado[ID],Agregado[Revenda])</f>
        <v>39</v>
      </c>
      <c r="I3795" s="3">
        <f>Vendas[[#This Row],[Valor Unitário]]*Vendas[[#This Row],[Qnt Vendida]]</f>
        <v>507</v>
      </c>
      <c r="J3795" s="3">
        <f>Vendas[[#This Row],[Valor da Venda]]-(_xlfn.XLOOKUP(Vendas[[#This Row],[ID Item Vendido]],Agregado[ID],Agregado[Custo])*Vendas[[#This Row],[Qnt Vendida]])</f>
        <v>91</v>
      </c>
      <c r="K3795" s="70">
        <f>Vendas[[#This Row],[Lucro da Venda]]/Vendas[[#This Row],[Valor da Venda]]</f>
        <v>0.17948717948717949</v>
      </c>
      <c r="L3795" s="3">
        <f>_xlfn.IFS(Vendas[[#This Row],[Margem de Lucro (%)]]&lt;15%,Vendas[[#This Row],[Valor da Venda]]*3%,Vendas[[#This Row],[Margem de Lucro (%)]]&lt;=20%,Vendas[[#This Row],[Valor da Venda]]*4.5%,TRUE,Vendas[[#This Row],[Valor da Venda]]*6%)</f>
        <v>22.814999999999998</v>
      </c>
      <c r="M3795"/>
    </row>
    <row r="3796" spans="1:13" x14ac:dyDescent="0.3">
      <c r="A3796" s="7">
        <v>400251</v>
      </c>
      <c r="B3796" t="str">
        <f>_xlfn.XLOOKUP(Vendas[[#This Row],[ID Vendedor]],Vendedores[ID],Vendedores[Nome])</f>
        <v>Diego</v>
      </c>
      <c r="C3796" s="7" t="str">
        <f>_xlfn.XLOOKUP(Vendas[[#This Row],[ID Vendedor]],Vendedores[ID],Vendedores[Setor])</f>
        <v>AB</v>
      </c>
      <c r="D3796" s="7" t="s">
        <v>24</v>
      </c>
      <c r="E3796" t="str">
        <f>_xlfn.XLOOKUP(Vendas[[#This Row],[ID Item Vendido]],Agregado[ID],Agregado[Produto])</f>
        <v>Resina plástica PET purificada saco de 25kg</v>
      </c>
      <c r="F3796" s="39">
        <v>45527</v>
      </c>
      <c r="G3796" s="7">
        <v>29</v>
      </c>
      <c r="H3796" s="3">
        <f>_xlfn.XLOOKUP(Vendas[[#This Row],[ID Item Vendido]],Agregado[ID],Agregado[Revenda])</f>
        <v>119</v>
      </c>
      <c r="I3796" s="3">
        <f>Vendas[[#This Row],[Valor Unitário]]*Vendas[[#This Row],[Qnt Vendida]]</f>
        <v>3451</v>
      </c>
      <c r="J3796" s="3">
        <f>Vendas[[#This Row],[Valor da Venda]]-(_xlfn.XLOOKUP(Vendas[[#This Row],[ID Item Vendido]],Agregado[ID],Agregado[Custo])*Vendas[[#This Row],[Qnt Vendida]])</f>
        <v>986</v>
      </c>
      <c r="K3796" s="70">
        <f>Vendas[[#This Row],[Lucro da Venda]]/Vendas[[#This Row],[Valor da Venda]]</f>
        <v>0.2857142857142857</v>
      </c>
      <c r="L3796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3796"/>
    </row>
    <row r="3797" spans="1:13" x14ac:dyDescent="0.3">
      <c r="A3797" s="7">
        <v>400246</v>
      </c>
      <c r="B3797" t="str">
        <f>_xlfn.XLOOKUP(Vendas[[#This Row],[ID Vendedor]],Vendedores[ID],Vendedores[Nome])</f>
        <v>Juliana</v>
      </c>
      <c r="C3797" s="7" t="str">
        <f>_xlfn.XLOOKUP(Vendas[[#This Row],[ID Vendedor]],Vendedores[ID],Vendedores[Setor])</f>
        <v>AHD</v>
      </c>
      <c r="D3797" s="7" t="s">
        <v>44</v>
      </c>
      <c r="E3797" t="str">
        <f>_xlfn.XLOOKUP(Vendas[[#This Row],[ID Item Vendido]],Agregado[ID],Agregado[Produto])</f>
        <v>Liga metálica especial</v>
      </c>
      <c r="F3797" s="39">
        <v>45527</v>
      </c>
      <c r="G3797" s="7">
        <v>44</v>
      </c>
      <c r="H3797" s="3">
        <f>_xlfn.XLOOKUP(Vendas[[#This Row],[ID Item Vendido]],Agregado[ID],Agregado[Revenda])</f>
        <v>32.5</v>
      </c>
      <c r="I3797" s="3">
        <f>Vendas[[#This Row],[Valor Unitário]]*Vendas[[#This Row],[Qnt Vendida]]</f>
        <v>1430</v>
      </c>
      <c r="J3797" s="3">
        <f>Vendas[[#This Row],[Valor da Venda]]-(_xlfn.XLOOKUP(Vendas[[#This Row],[ID Item Vendido]],Agregado[ID],Agregado[Custo])*Vendas[[#This Row],[Qnt Vendida]])</f>
        <v>330</v>
      </c>
      <c r="K3797" s="70">
        <f>Vendas[[#This Row],[Lucro da Venda]]/Vendas[[#This Row],[Valor da Venda]]</f>
        <v>0.23076923076923078</v>
      </c>
      <c r="L3797" s="3">
        <f>_xlfn.IFS(Vendas[[#This Row],[Margem de Lucro (%)]]&lt;15%,Vendas[[#This Row],[Valor da Venda]]*3%,Vendas[[#This Row],[Margem de Lucro (%)]]&lt;=20%,Vendas[[#This Row],[Valor da Venda]]*4.5%,TRUE,Vendas[[#This Row],[Valor da Venda]]*6%)</f>
        <v>85.8</v>
      </c>
      <c r="M3797"/>
    </row>
    <row r="3798" spans="1:13" x14ac:dyDescent="0.3">
      <c r="A3798" s="7">
        <v>400252</v>
      </c>
      <c r="B3798" t="str">
        <f>_xlfn.XLOOKUP(Vendas[[#This Row],[ID Vendedor]],Vendedores[ID],Vendedores[Nome])</f>
        <v>Renata</v>
      </c>
      <c r="C3798" s="7" t="str">
        <f>_xlfn.XLOOKUP(Vendas[[#This Row],[ID Vendedor]],Vendedores[ID],Vendedores[Setor])</f>
        <v>AB</v>
      </c>
      <c r="D3798" s="7" t="s">
        <v>24</v>
      </c>
      <c r="E3798" t="str">
        <f>_xlfn.XLOOKUP(Vendas[[#This Row],[ID Item Vendido]],Agregado[ID],Agregado[Produto])</f>
        <v>Resina plástica PET purificada saco de 25kg</v>
      </c>
      <c r="F3798" s="39">
        <v>45527</v>
      </c>
      <c r="G3798" s="7">
        <v>9</v>
      </c>
      <c r="H3798" s="3">
        <f>_xlfn.XLOOKUP(Vendas[[#This Row],[ID Item Vendido]],Agregado[ID],Agregado[Revenda])</f>
        <v>119</v>
      </c>
      <c r="I3798" s="3">
        <f>Vendas[[#This Row],[Valor Unitário]]*Vendas[[#This Row],[Qnt Vendida]]</f>
        <v>1071</v>
      </c>
      <c r="J3798" s="3">
        <f>Vendas[[#This Row],[Valor da Venda]]-(_xlfn.XLOOKUP(Vendas[[#This Row],[ID Item Vendido]],Agregado[ID],Agregado[Custo])*Vendas[[#This Row],[Qnt Vendida]])</f>
        <v>306</v>
      </c>
      <c r="K3798" s="70">
        <f>Vendas[[#This Row],[Lucro da Venda]]/Vendas[[#This Row],[Valor da Venda]]</f>
        <v>0.2857142857142857</v>
      </c>
      <c r="L3798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3798"/>
    </row>
    <row r="3799" spans="1:13" x14ac:dyDescent="0.3">
      <c r="A3799" s="7">
        <v>400252</v>
      </c>
      <c r="B3799" t="str">
        <f>_xlfn.XLOOKUP(Vendas[[#This Row],[ID Vendedor]],Vendedores[ID],Vendedores[Nome])</f>
        <v>Renata</v>
      </c>
      <c r="C3799" s="7" t="str">
        <f>_xlfn.XLOOKUP(Vendas[[#This Row],[ID Vendedor]],Vendedores[ID],Vendedores[Setor])</f>
        <v>AB</v>
      </c>
      <c r="D3799" s="7" t="s">
        <v>37</v>
      </c>
      <c r="E3799" t="str">
        <f>_xlfn.XLOOKUP(Vendas[[#This Row],[ID Item Vendido]],Agregado[ID],Agregado[Produto])</f>
        <v>Composto de borracha para vedação rolo 10m</v>
      </c>
      <c r="F3799" s="39">
        <v>45528</v>
      </c>
      <c r="G3799" s="7">
        <v>24</v>
      </c>
      <c r="H3799" s="3">
        <f>_xlfn.XLOOKUP(Vendas[[#This Row],[ID Item Vendido]],Agregado[ID],Agregado[Revenda])</f>
        <v>51.2</v>
      </c>
      <c r="I3799" s="3">
        <f>Vendas[[#This Row],[Valor Unitário]]*Vendas[[#This Row],[Qnt Vendida]]</f>
        <v>1228.8000000000002</v>
      </c>
      <c r="J3799" s="3">
        <f>Vendas[[#This Row],[Valor da Venda]]-(_xlfn.XLOOKUP(Vendas[[#This Row],[ID Item Vendido]],Agregado[ID],Agregado[Custo])*Vendas[[#This Row],[Qnt Vendida]])</f>
        <v>268.80000000000018</v>
      </c>
      <c r="K3799" s="70">
        <f>Vendas[[#This Row],[Lucro da Venda]]/Vendas[[#This Row],[Valor da Venda]]</f>
        <v>0.21875000000000011</v>
      </c>
      <c r="L3799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3799"/>
    </row>
    <row r="3800" spans="1:13" x14ac:dyDescent="0.3">
      <c r="A3800" s="7">
        <v>400250</v>
      </c>
      <c r="B3800" t="str">
        <f>_xlfn.XLOOKUP(Vendas[[#This Row],[ID Vendedor]],Vendedores[ID],Vendedores[Nome])</f>
        <v>Larissa</v>
      </c>
      <c r="C3800" s="7" t="str">
        <f>_xlfn.XLOOKUP(Vendas[[#This Row],[ID Vendedor]],Vendedores[ID],Vendedores[Setor])</f>
        <v>AB</v>
      </c>
      <c r="D3800" s="7" t="s">
        <v>36</v>
      </c>
      <c r="E3800" t="str">
        <f>_xlfn.XLOOKUP(Vendas[[#This Row],[ID Item Vendido]],Agregado[ID],Agregado[Produto])</f>
        <v>Borracha vulcanizada em manta</v>
      </c>
      <c r="F3800" s="39">
        <v>45528</v>
      </c>
      <c r="G3800" s="7">
        <v>36</v>
      </c>
      <c r="H3800" s="3">
        <f>_xlfn.XLOOKUP(Vendas[[#This Row],[ID Item Vendido]],Agregado[ID],Agregado[Revenda])</f>
        <v>7.8</v>
      </c>
      <c r="I3800" s="3">
        <f>Vendas[[#This Row],[Valor Unitário]]*Vendas[[#This Row],[Qnt Vendida]]</f>
        <v>280.8</v>
      </c>
      <c r="J3800" s="3">
        <f>Vendas[[#This Row],[Valor da Venda]]-(_xlfn.XLOOKUP(Vendas[[#This Row],[ID Item Vendido]],Agregado[ID],Agregado[Custo])*Vendas[[#This Row],[Qnt Vendida]])</f>
        <v>64.800000000000011</v>
      </c>
      <c r="K3800" s="70">
        <f>Vendas[[#This Row],[Lucro da Venda]]/Vendas[[#This Row],[Valor da Venda]]</f>
        <v>0.23076923076923081</v>
      </c>
      <c r="L3800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3800"/>
    </row>
    <row r="3801" spans="1:13" x14ac:dyDescent="0.3">
      <c r="A3801" s="7">
        <v>400243</v>
      </c>
      <c r="B3801" t="str">
        <f>_xlfn.XLOOKUP(Vendas[[#This Row],[ID Vendedor]],Vendedores[ID],Vendedores[Nome])</f>
        <v>Marcelo</v>
      </c>
      <c r="C3801" s="7" t="str">
        <f>_xlfn.XLOOKUP(Vendas[[#This Row],[ID Vendedor]],Vendedores[ID],Vendedores[Setor])</f>
        <v>FM</v>
      </c>
      <c r="D3801" s="7" t="s">
        <v>47</v>
      </c>
      <c r="E3801" t="str">
        <f>_xlfn.XLOOKUP(Vendas[[#This Row],[ID Item Vendido]],Agregado[ID],Agregado[Produto])</f>
        <v>Fio de arame galvanizado rolo 50m</v>
      </c>
      <c r="F3801" s="39">
        <v>45528</v>
      </c>
      <c r="G3801" s="7">
        <v>3</v>
      </c>
      <c r="H3801" s="3">
        <f>_xlfn.XLOOKUP(Vendas[[#This Row],[ID Item Vendido]],Agregado[ID],Agregado[Revenda])</f>
        <v>21.2</v>
      </c>
      <c r="I3801" s="3">
        <f>Vendas[[#This Row],[Valor Unitário]]*Vendas[[#This Row],[Qnt Vendida]]</f>
        <v>63.599999999999994</v>
      </c>
      <c r="J3801" s="3">
        <f>Vendas[[#This Row],[Valor da Venda]]-(_xlfn.XLOOKUP(Vendas[[#This Row],[ID Item Vendido]],Agregado[ID],Agregado[Custo])*Vendas[[#This Row],[Qnt Vendida]])</f>
        <v>9.5999999999999943</v>
      </c>
      <c r="K3801" s="70">
        <f>Vendas[[#This Row],[Lucro da Venda]]/Vendas[[#This Row],[Valor da Venda]]</f>
        <v>0.15094339622641501</v>
      </c>
      <c r="L3801" s="3">
        <f>_xlfn.IFS(Vendas[[#This Row],[Margem de Lucro (%)]]&lt;15%,Vendas[[#This Row],[Valor da Venda]]*3%,Vendas[[#This Row],[Margem de Lucro (%)]]&lt;=20%,Vendas[[#This Row],[Valor da Venda]]*4.5%,TRUE,Vendas[[#This Row],[Valor da Venda]]*6%)</f>
        <v>2.8619999999999997</v>
      </c>
      <c r="M3801"/>
    </row>
    <row r="3802" spans="1:13" x14ac:dyDescent="0.3">
      <c r="A3802" s="7">
        <v>400254</v>
      </c>
      <c r="B3802" t="str">
        <f>_xlfn.XLOOKUP(Vendas[[#This Row],[ID Vendedor]],Vendedores[ID],Vendedores[Nome])</f>
        <v>Beatriz</v>
      </c>
      <c r="C3802" s="7" t="str">
        <f>_xlfn.XLOOKUP(Vendas[[#This Row],[ID Vendedor]],Vendedores[ID],Vendedores[Setor])</f>
        <v>SC</v>
      </c>
      <c r="D3802" s="7" t="s">
        <v>42</v>
      </c>
      <c r="E3802" t="str">
        <f>_xlfn.XLOOKUP(Vendas[[#This Row],[ID Item Vendido]],Agregado[ID],Agregado[Produto])</f>
        <v>Container de ferro industrial</v>
      </c>
      <c r="F3802" s="39">
        <v>45529</v>
      </c>
      <c r="G3802" s="7">
        <v>2</v>
      </c>
      <c r="H3802" s="3">
        <f>_xlfn.XLOOKUP(Vendas[[#This Row],[ID Item Vendido]],Agregado[ID],Agregado[Revenda])</f>
        <v>830</v>
      </c>
      <c r="I3802" s="3">
        <f>Vendas[[#This Row],[Valor Unitário]]*Vendas[[#This Row],[Qnt Vendida]]</f>
        <v>1660</v>
      </c>
      <c r="J3802" s="3">
        <f>Vendas[[#This Row],[Valor da Venda]]-(_xlfn.XLOOKUP(Vendas[[#This Row],[ID Item Vendido]],Agregado[ID],Agregado[Custo])*Vendas[[#This Row],[Qnt Vendida]])</f>
        <v>300</v>
      </c>
      <c r="K3802" s="70">
        <f>Vendas[[#This Row],[Lucro da Venda]]/Vendas[[#This Row],[Valor da Venda]]</f>
        <v>0.18072289156626506</v>
      </c>
      <c r="L380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3802"/>
    </row>
    <row r="3803" spans="1:13" x14ac:dyDescent="0.3">
      <c r="A3803" s="7">
        <v>400248</v>
      </c>
      <c r="B3803" t="str">
        <f>_xlfn.XLOOKUP(Vendas[[#This Row],[ID Vendedor]],Vendedores[ID],Vendedores[Nome])</f>
        <v>Patrícia</v>
      </c>
      <c r="C3803" s="7" t="str">
        <f>_xlfn.XLOOKUP(Vendas[[#This Row],[ID Vendedor]],Vendedores[ID],Vendedores[Setor])</f>
        <v>CM</v>
      </c>
      <c r="D3803" s="7" t="s">
        <v>34</v>
      </c>
      <c r="E3803" t="str">
        <f>_xlfn.XLOOKUP(Vendas[[#This Row],[ID Item Vendido]],Agregado[ID],Agregado[Produto])</f>
        <v>Restos de madeira p/ MDP/OSB saco de 20kg</v>
      </c>
      <c r="F3803" s="39">
        <v>45529</v>
      </c>
      <c r="G3803" s="7">
        <v>27</v>
      </c>
      <c r="H3803" s="3">
        <f>_xlfn.XLOOKUP(Vendas[[#This Row],[ID Item Vendido]],Agregado[ID],Agregado[Revenda])</f>
        <v>13.8</v>
      </c>
      <c r="I3803" s="3">
        <f>Vendas[[#This Row],[Valor Unitário]]*Vendas[[#This Row],[Qnt Vendida]]</f>
        <v>372.6</v>
      </c>
      <c r="J3803" s="3">
        <f>Vendas[[#This Row],[Valor da Venda]]-(_xlfn.XLOOKUP(Vendas[[#This Row],[ID Item Vendido]],Agregado[ID],Agregado[Custo])*Vendas[[#This Row],[Qnt Vendida]])</f>
        <v>48.600000000000023</v>
      </c>
      <c r="K3803" s="70">
        <f>Vendas[[#This Row],[Lucro da Venda]]/Vendas[[#This Row],[Valor da Venda]]</f>
        <v>0.1304347826086957</v>
      </c>
      <c r="L3803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3803"/>
    </row>
    <row r="3804" spans="1:13" x14ac:dyDescent="0.3">
      <c r="A3804" s="7">
        <v>400248</v>
      </c>
      <c r="B3804" t="str">
        <f>_xlfn.XLOOKUP(Vendas[[#This Row],[ID Vendedor]],Vendedores[ID],Vendedores[Nome])</f>
        <v>Patrícia</v>
      </c>
      <c r="C3804" s="7" t="str">
        <f>_xlfn.XLOOKUP(Vendas[[#This Row],[ID Vendedor]],Vendedores[ID],Vendedores[Setor])</f>
        <v>CM</v>
      </c>
      <c r="D3804" s="7" t="s">
        <v>34</v>
      </c>
      <c r="E3804" t="str">
        <f>_xlfn.XLOOKUP(Vendas[[#This Row],[ID Item Vendido]],Agregado[ID],Agregado[Produto])</f>
        <v>Restos de madeira p/ MDP/OSB saco de 20kg</v>
      </c>
      <c r="F3804" s="39">
        <v>45529</v>
      </c>
      <c r="G3804" s="7">
        <v>4</v>
      </c>
      <c r="H3804" s="3">
        <f>_xlfn.XLOOKUP(Vendas[[#This Row],[ID Item Vendido]],Agregado[ID],Agregado[Revenda])</f>
        <v>13.8</v>
      </c>
      <c r="I3804" s="3">
        <f>Vendas[[#This Row],[Valor Unitário]]*Vendas[[#This Row],[Qnt Vendida]]</f>
        <v>55.2</v>
      </c>
      <c r="J3804" s="3">
        <f>Vendas[[#This Row],[Valor da Venda]]-(_xlfn.XLOOKUP(Vendas[[#This Row],[ID Item Vendido]],Agregado[ID],Agregado[Custo])*Vendas[[#This Row],[Qnt Vendida]])</f>
        <v>7.2000000000000028</v>
      </c>
      <c r="K3804" s="70">
        <f>Vendas[[#This Row],[Lucro da Venda]]/Vendas[[#This Row],[Valor da Venda]]</f>
        <v>0.1304347826086957</v>
      </c>
      <c r="L3804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3804"/>
    </row>
    <row r="3805" spans="1:13" x14ac:dyDescent="0.3">
      <c r="A3805" s="7">
        <v>400254</v>
      </c>
      <c r="B3805" t="str">
        <f>_xlfn.XLOOKUP(Vendas[[#This Row],[ID Vendedor]],Vendedores[ID],Vendedores[Nome])</f>
        <v>Beatriz</v>
      </c>
      <c r="C3805" s="7" t="str">
        <f>_xlfn.XLOOKUP(Vendas[[#This Row],[ID Vendedor]],Vendedores[ID],Vendedores[Setor])</f>
        <v>SC</v>
      </c>
      <c r="D3805" s="7" t="s">
        <v>14</v>
      </c>
      <c r="E3805" t="str">
        <f>_xlfn.XLOOKUP(Vendas[[#This Row],[ID Item Vendido]],Agregado[ID],Agregado[Produto])</f>
        <v>Barril de plástico 200L</v>
      </c>
      <c r="F3805" s="39">
        <v>45530</v>
      </c>
      <c r="G3805" s="7">
        <v>20</v>
      </c>
      <c r="H3805" s="3">
        <f>_xlfn.XLOOKUP(Vendas[[#This Row],[ID Item Vendido]],Agregado[ID],Agregado[Revenda])</f>
        <v>114</v>
      </c>
      <c r="I3805" s="3">
        <f>Vendas[[#This Row],[Valor Unitário]]*Vendas[[#This Row],[Qnt Vendida]]</f>
        <v>2280</v>
      </c>
      <c r="J3805" s="3">
        <f>Vendas[[#This Row],[Valor da Venda]]-(_xlfn.XLOOKUP(Vendas[[#This Row],[ID Item Vendido]],Agregado[ID],Agregado[Custo])*Vendas[[#This Row],[Qnt Vendida]])</f>
        <v>380</v>
      </c>
      <c r="K3805" s="70">
        <f>Vendas[[#This Row],[Lucro da Venda]]/Vendas[[#This Row],[Valor da Venda]]</f>
        <v>0.16666666666666666</v>
      </c>
      <c r="L3805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3805"/>
    </row>
    <row r="3806" spans="1:13" x14ac:dyDescent="0.3">
      <c r="A3806" s="7">
        <v>400253</v>
      </c>
      <c r="B3806" t="str">
        <f>_xlfn.XLOOKUP(Vendas[[#This Row],[ID Vendedor]],Vendedores[ID],Vendedores[Nome])</f>
        <v>Gustavo</v>
      </c>
      <c r="C3806" s="7" t="str">
        <f>_xlfn.XLOOKUP(Vendas[[#This Row],[ID Vendedor]],Vendedores[ID],Vendedores[Setor])</f>
        <v>SC</v>
      </c>
      <c r="D3806" s="7" t="s">
        <v>48</v>
      </c>
      <c r="E3806" t="str">
        <f>_xlfn.XLOOKUP(Vendas[[#This Row],[ID Item Vendido]],Agregado[ID],Agregado[Produto])</f>
        <v>Tambor metálico 200L</v>
      </c>
      <c r="F3806" s="39">
        <v>45530</v>
      </c>
      <c r="G3806" s="7">
        <v>6</v>
      </c>
      <c r="H3806" s="3">
        <f>_xlfn.XLOOKUP(Vendas[[#This Row],[ID Item Vendido]],Agregado[ID],Agregado[Revenda])</f>
        <v>144</v>
      </c>
      <c r="I3806" s="3">
        <f>Vendas[[#This Row],[Valor Unitário]]*Vendas[[#This Row],[Qnt Vendida]]</f>
        <v>864</v>
      </c>
      <c r="J3806" s="3">
        <f>Vendas[[#This Row],[Valor da Venda]]-(_xlfn.XLOOKUP(Vendas[[#This Row],[ID Item Vendido]],Agregado[ID],Agregado[Custo])*Vendas[[#This Row],[Qnt Vendida]])</f>
        <v>144</v>
      </c>
      <c r="K3806" s="70">
        <f>Vendas[[#This Row],[Lucro da Venda]]/Vendas[[#This Row],[Valor da Venda]]</f>
        <v>0.16666666666666666</v>
      </c>
      <c r="L3806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3806"/>
    </row>
    <row r="3807" spans="1:13" x14ac:dyDescent="0.3">
      <c r="A3807" s="7">
        <v>400244</v>
      </c>
      <c r="B3807" t="str">
        <f>_xlfn.XLOOKUP(Vendas[[#This Row],[ID Vendedor]],Vendedores[ID],Vendedores[Nome])</f>
        <v>Camila</v>
      </c>
      <c r="C3807" s="7" t="str">
        <f>_xlfn.XLOOKUP(Vendas[[#This Row],[ID Vendedor]],Vendedores[ID],Vendedores[Setor])</f>
        <v>AHD</v>
      </c>
      <c r="D3807" s="7" t="s">
        <v>9</v>
      </c>
      <c r="E3807" t="str">
        <f>_xlfn.XLOOKUP(Vendas[[#This Row],[ID Item Vendido]],Agregado[ID],Agregado[Produto])</f>
        <v>Barra de aço simples</v>
      </c>
      <c r="F3807" s="39">
        <v>45530</v>
      </c>
      <c r="G3807" s="7">
        <v>35</v>
      </c>
      <c r="H3807" s="3">
        <f>_xlfn.XLOOKUP(Vendas[[#This Row],[ID Item Vendido]],Agregado[ID],Agregado[Revenda])</f>
        <v>6.7</v>
      </c>
      <c r="I3807" s="3">
        <f>Vendas[[#This Row],[Valor Unitário]]*Vendas[[#This Row],[Qnt Vendida]]</f>
        <v>234.5</v>
      </c>
      <c r="J3807" s="3">
        <f>Vendas[[#This Row],[Valor da Venda]]-(_xlfn.XLOOKUP(Vendas[[#This Row],[ID Item Vendido]],Agregado[ID],Agregado[Custo])*Vendas[[#This Row],[Qnt Vendida]])</f>
        <v>31.5</v>
      </c>
      <c r="K3807" s="70">
        <f>Vendas[[#This Row],[Lucro da Venda]]/Vendas[[#This Row],[Valor da Venda]]</f>
        <v>0.13432835820895522</v>
      </c>
      <c r="L3807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3807"/>
    </row>
    <row r="3808" spans="1:13" x14ac:dyDescent="0.3">
      <c r="A3808" s="7">
        <v>400248</v>
      </c>
      <c r="B3808" t="str">
        <f>_xlfn.XLOOKUP(Vendas[[#This Row],[ID Vendedor]],Vendedores[ID],Vendedores[Nome])</f>
        <v>Patrícia</v>
      </c>
      <c r="C3808" s="7" t="str">
        <f>_xlfn.XLOOKUP(Vendas[[#This Row],[ID Vendedor]],Vendedores[ID],Vendedores[Setor])</f>
        <v>CM</v>
      </c>
      <c r="D3808" s="7" t="s">
        <v>43</v>
      </c>
      <c r="E3808" t="str">
        <f>_xlfn.XLOOKUP(Vendas[[#This Row],[ID Item Vendido]],Agregado[ID],Agregado[Produto])</f>
        <v>Madeira Bruta (Tora)</v>
      </c>
      <c r="F3808" s="39">
        <v>45531</v>
      </c>
      <c r="G3808" s="7">
        <v>6</v>
      </c>
      <c r="H3808" s="3">
        <f>_xlfn.XLOOKUP(Vendas[[#This Row],[ID Item Vendido]],Agregado[ID],Agregado[Revenda])</f>
        <v>212</v>
      </c>
      <c r="I3808" s="3">
        <f>Vendas[[#This Row],[Valor Unitário]]*Vendas[[#This Row],[Qnt Vendida]]</f>
        <v>1272</v>
      </c>
      <c r="J3808" s="3">
        <f>Vendas[[#This Row],[Valor da Venda]]-(_xlfn.XLOOKUP(Vendas[[#This Row],[ID Item Vendido]],Agregado[ID],Agregado[Custo])*Vendas[[#This Row],[Qnt Vendida]])</f>
        <v>192</v>
      </c>
      <c r="K3808" s="70">
        <f>Vendas[[#This Row],[Lucro da Venda]]/Vendas[[#This Row],[Valor da Venda]]</f>
        <v>0.15094339622641509</v>
      </c>
      <c r="L380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3808"/>
    </row>
    <row r="3809" spans="1:13" x14ac:dyDescent="0.3">
      <c r="A3809" s="7">
        <v>400254</v>
      </c>
      <c r="B3809" t="str">
        <f>_xlfn.XLOOKUP(Vendas[[#This Row],[ID Vendedor]],Vendedores[ID],Vendedores[Nome])</f>
        <v>Beatriz</v>
      </c>
      <c r="C3809" s="7" t="str">
        <f>_xlfn.XLOOKUP(Vendas[[#This Row],[ID Vendedor]],Vendedores[ID],Vendedores[Setor])</f>
        <v>SC</v>
      </c>
      <c r="D3809" s="7" t="s">
        <v>14</v>
      </c>
      <c r="E3809" t="str">
        <f>_xlfn.XLOOKUP(Vendas[[#This Row],[ID Item Vendido]],Agregado[ID],Agregado[Produto])</f>
        <v>Barril de plástico 200L</v>
      </c>
      <c r="F3809" s="39">
        <v>45532</v>
      </c>
      <c r="G3809" s="7">
        <v>9</v>
      </c>
      <c r="H3809" s="3">
        <f>_xlfn.XLOOKUP(Vendas[[#This Row],[ID Item Vendido]],Agregado[ID],Agregado[Revenda])</f>
        <v>114</v>
      </c>
      <c r="I3809" s="3">
        <f>Vendas[[#This Row],[Valor Unitário]]*Vendas[[#This Row],[Qnt Vendida]]</f>
        <v>1026</v>
      </c>
      <c r="J3809" s="3">
        <f>Vendas[[#This Row],[Valor da Venda]]-(_xlfn.XLOOKUP(Vendas[[#This Row],[ID Item Vendido]],Agregado[ID],Agregado[Custo])*Vendas[[#This Row],[Qnt Vendida]])</f>
        <v>171</v>
      </c>
      <c r="K3809" s="70">
        <f>Vendas[[#This Row],[Lucro da Venda]]/Vendas[[#This Row],[Valor da Venda]]</f>
        <v>0.16666666666666666</v>
      </c>
      <c r="L3809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3809"/>
    </row>
    <row r="3810" spans="1:13" x14ac:dyDescent="0.3">
      <c r="A3810" s="7">
        <v>400251</v>
      </c>
      <c r="B3810" t="str">
        <f>_xlfn.XLOOKUP(Vendas[[#This Row],[ID Vendedor]],Vendedores[ID],Vendedores[Nome])</f>
        <v>Diego</v>
      </c>
      <c r="C3810" s="7" t="str">
        <f>_xlfn.XLOOKUP(Vendas[[#This Row],[ID Vendedor]],Vendedores[ID],Vendedores[Setor])</f>
        <v>AB</v>
      </c>
      <c r="D3810" s="7" t="s">
        <v>39</v>
      </c>
      <c r="E3810" t="str">
        <f>_xlfn.XLOOKUP(Vendas[[#This Row],[ID Item Vendido]],Agregado[ID],Agregado[Produto])</f>
        <v>Filme plástico industrial rolo 50m</v>
      </c>
      <c r="F3810" s="39">
        <v>45532</v>
      </c>
      <c r="G3810" s="7">
        <v>22</v>
      </c>
      <c r="H3810" s="3">
        <f>_xlfn.XLOOKUP(Vendas[[#This Row],[ID Item Vendido]],Agregado[ID],Agregado[Revenda])</f>
        <v>37</v>
      </c>
      <c r="I3810" s="3">
        <f>Vendas[[#This Row],[Valor Unitário]]*Vendas[[#This Row],[Qnt Vendida]]</f>
        <v>814</v>
      </c>
      <c r="J3810" s="3">
        <f>Vendas[[#This Row],[Valor da Venda]]-(_xlfn.XLOOKUP(Vendas[[#This Row],[ID Item Vendido]],Agregado[ID],Agregado[Custo])*Vendas[[#This Row],[Qnt Vendida]])</f>
        <v>198</v>
      </c>
      <c r="K3810" s="70">
        <f>Vendas[[#This Row],[Lucro da Venda]]/Vendas[[#This Row],[Valor da Venda]]</f>
        <v>0.24324324324324326</v>
      </c>
      <c r="L3810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3810"/>
    </row>
    <row r="3811" spans="1:13" x14ac:dyDescent="0.3">
      <c r="A3811" s="7">
        <v>400252</v>
      </c>
      <c r="B3811" t="str">
        <f>_xlfn.XLOOKUP(Vendas[[#This Row],[ID Vendedor]],Vendedores[ID],Vendedores[Nome])</f>
        <v>Renata</v>
      </c>
      <c r="C3811" s="7" t="str">
        <f>_xlfn.XLOOKUP(Vendas[[#This Row],[ID Vendedor]],Vendedores[ID],Vendedores[Setor])</f>
        <v>AB</v>
      </c>
      <c r="D3811" s="7" t="s">
        <v>36</v>
      </c>
      <c r="E3811" t="str">
        <f>_xlfn.XLOOKUP(Vendas[[#This Row],[ID Item Vendido]],Agregado[ID],Agregado[Produto])</f>
        <v>Borracha vulcanizada em manta</v>
      </c>
      <c r="F3811" s="39">
        <v>45532</v>
      </c>
      <c r="G3811" s="7">
        <v>24</v>
      </c>
      <c r="H3811" s="3">
        <f>_xlfn.XLOOKUP(Vendas[[#This Row],[ID Item Vendido]],Agregado[ID],Agregado[Revenda])</f>
        <v>7.8</v>
      </c>
      <c r="I3811" s="3">
        <f>Vendas[[#This Row],[Valor Unitário]]*Vendas[[#This Row],[Qnt Vendida]]</f>
        <v>187.2</v>
      </c>
      <c r="J3811" s="3">
        <f>Vendas[[#This Row],[Valor da Venda]]-(_xlfn.XLOOKUP(Vendas[[#This Row],[ID Item Vendido]],Agregado[ID],Agregado[Custo])*Vendas[[#This Row],[Qnt Vendida]])</f>
        <v>43.199999999999989</v>
      </c>
      <c r="K3811" s="70">
        <f>Vendas[[#This Row],[Lucro da Venda]]/Vendas[[#This Row],[Valor da Venda]]</f>
        <v>0.23076923076923073</v>
      </c>
      <c r="L3811" s="3">
        <f>_xlfn.IFS(Vendas[[#This Row],[Margem de Lucro (%)]]&lt;15%,Vendas[[#This Row],[Valor da Venda]]*3%,Vendas[[#This Row],[Margem de Lucro (%)]]&lt;=20%,Vendas[[#This Row],[Valor da Venda]]*4.5%,TRUE,Vendas[[#This Row],[Valor da Venda]]*6%)</f>
        <v>11.231999999999999</v>
      </c>
      <c r="M3811"/>
    </row>
    <row r="3812" spans="1:13" x14ac:dyDescent="0.3">
      <c r="A3812" s="7">
        <v>400245</v>
      </c>
      <c r="B3812" t="str">
        <f>_xlfn.XLOOKUP(Vendas[[#This Row],[ID Vendedor]],Vendedores[ID],Vendedores[Nome])</f>
        <v>Thiago</v>
      </c>
      <c r="C3812" s="7" t="str">
        <f>_xlfn.XLOOKUP(Vendas[[#This Row],[ID Vendedor]],Vendedores[ID],Vendedores[Setor])</f>
        <v>AHD</v>
      </c>
      <c r="D3812" s="7" t="s">
        <v>9</v>
      </c>
      <c r="E3812" t="str">
        <f>_xlfn.XLOOKUP(Vendas[[#This Row],[ID Item Vendido]],Agregado[ID],Agregado[Produto])</f>
        <v>Barra de aço simples</v>
      </c>
      <c r="F3812" s="39">
        <v>45532</v>
      </c>
      <c r="G3812" s="7">
        <v>16</v>
      </c>
      <c r="H3812" s="3">
        <f>_xlfn.XLOOKUP(Vendas[[#This Row],[ID Item Vendido]],Agregado[ID],Agregado[Revenda])</f>
        <v>6.7</v>
      </c>
      <c r="I3812" s="3">
        <f>Vendas[[#This Row],[Valor Unitário]]*Vendas[[#This Row],[Qnt Vendida]]</f>
        <v>107.2</v>
      </c>
      <c r="J3812" s="3">
        <f>Vendas[[#This Row],[Valor da Venda]]-(_xlfn.XLOOKUP(Vendas[[#This Row],[ID Item Vendido]],Agregado[ID],Agregado[Custo])*Vendas[[#This Row],[Qnt Vendida]])</f>
        <v>14.400000000000006</v>
      </c>
      <c r="K3812" s="70">
        <f>Vendas[[#This Row],[Lucro da Venda]]/Vendas[[#This Row],[Valor da Venda]]</f>
        <v>0.13432835820895528</v>
      </c>
      <c r="L3812" s="3">
        <f>_xlfn.IFS(Vendas[[#This Row],[Margem de Lucro (%)]]&lt;15%,Vendas[[#This Row],[Valor da Venda]]*3%,Vendas[[#This Row],[Margem de Lucro (%)]]&lt;=20%,Vendas[[#This Row],[Valor da Venda]]*4.5%,TRUE,Vendas[[#This Row],[Valor da Venda]]*6%)</f>
        <v>3.2159999999999997</v>
      </c>
      <c r="M3812"/>
    </row>
    <row r="3813" spans="1:13" x14ac:dyDescent="0.3">
      <c r="A3813" s="7">
        <v>400243</v>
      </c>
      <c r="B3813" t="str">
        <f>_xlfn.XLOOKUP(Vendas[[#This Row],[ID Vendedor]],Vendedores[ID],Vendedores[Nome])</f>
        <v>Marcelo</v>
      </c>
      <c r="C3813" s="7" t="str">
        <f>_xlfn.XLOOKUP(Vendas[[#This Row],[ID Vendedor]],Vendedores[ID],Vendedores[Setor])</f>
        <v>FM</v>
      </c>
      <c r="D3813" s="7" t="s">
        <v>6</v>
      </c>
      <c r="E3813" t="str">
        <f>_xlfn.XLOOKUP(Vendas[[#This Row],[ID Item Vendido]],Agregado[ID],Agregado[Produto])</f>
        <v>Parafuso comum 500un</v>
      </c>
      <c r="F3813" s="39">
        <v>45533</v>
      </c>
      <c r="G3813" s="7">
        <v>25</v>
      </c>
      <c r="H3813" s="3">
        <f>_xlfn.XLOOKUP(Vendas[[#This Row],[ID Item Vendido]],Agregado[ID],Agregado[Revenda])</f>
        <v>24.6</v>
      </c>
      <c r="I3813" s="3">
        <f>Vendas[[#This Row],[Valor Unitário]]*Vendas[[#This Row],[Qnt Vendida]]</f>
        <v>615</v>
      </c>
      <c r="J3813" s="3">
        <f>Vendas[[#This Row],[Valor da Venda]]-(_xlfn.XLOOKUP(Vendas[[#This Row],[ID Item Vendido]],Agregado[ID],Agregado[Custo])*Vendas[[#This Row],[Qnt Vendida]])</f>
        <v>65</v>
      </c>
      <c r="K3813" s="70">
        <f>Vendas[[#This Row],[Lucro da Venda]]/Vendas[[#This Row],[Valor da Venda]]</f>
        <v>0.10569105691056911</v>
      </c>
      <c r="L3813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3813"/>
    </row>
    <row r="3814" spans="1:13" x14ac:dyDescent="0.3">
      <c r="A3814" s="7">
        <v>400252</v>
      </c>
      <c r="B3814" t="str">
        <f>_xlfn.XLOOKUP(Vendas[[#This Row],[ID Vendedor]],Vendedores[ID],Vendedores[Nome])</f>
        <v>Renata</v>
      </c>
      <c r="C3814" s="7" t="str">
        <f>_xlfn.XLOOKUP(Vendas[[#This Row],[ID Vendedor]],Vendedores[ID],Vendedores[Setor])</f>
        <v>AB</v>
      </c>
      <c r="D3814" s="7" t="s">
        <v>37</v>
      </c>
      <c r="E3814" t="str">
        <f>_xlfn.XLOOKUP(Vendas[[#This Row],[ID Item Vendido]],Agregado[ID],Agregado[Produto])</f>
        <v>Composto de borracha para vedação rolo 10m</v>
      </c>
      <c r="F3814" s="39">
        <v>45533</v>
      </c>
      <c r="G3814" s="7">
        <v>4</v>
      </c>
      <c r="H3814" s="3">
        <f>_xlfn.XLOOKUP(Vendas[[#This Row],[ID Item Vendido]],Agregado[ID],Agregado[Revenda])</f>
        <v>51.2</v>
      </c>
      <c r="I3814" s="3">
        <f>Vendas[[#This Row],[Valor Unitário]]*Vendas[[#This Row],[Qnt Vendida]]</f>
        <v>204.8</v>
      </c>
      <c r="J3814" s="3">
        <f>Vendas[[#This Row],[Valor da Venda]]-(_xlfn.XLOOKUP(Vendas[[#This Row],[ID Item Vendido]],Agregado[ID],Agregado[Custo])*Vendas[[#This Row],[Qnt Vendida]])</f>
        <v>44.800000000000011</v>
      </c>
      <c r="K3814" s="70">
        <f>Vendas[[#This Row],[Lucro da Venda]]/Vendas[[#This Row],[Valor da Venda]]</f>
        <v>0.21875000000000006</v>
      </c>
      <c r="L3814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3814"/>
    </row>
    <row r="3815" spans="1:13" x14ac:dyDescent="0.3">
      <c r="A3815" s="7">
        <v>400243</v>
      </c>
      <c r="B3815" t="str">
        <f>_xlfn.XLOOKUP(Vendas[[#This Row],[ID Vendedor]],Vendedores[ID],Vendedores[Nome])</f>
        <v>Marcelo</v>
      </c>
      <c r="C3815" s="7" t="str">
        <f>_xlfn.XLOOKUP(Vendas[[#This Row],[ID Vendedor]],Vendedores[ID],Vendedores[Setor])</f>
        <v>FM</v>
      </c>
      <c r="D3815" s="7" t="s">
        <v>31</v>
      </c>
      <c r="E3815" t="str">
        <f>_xlfn.XLOOKUP(Vendas[[#This Row],[ID Item Vendido]],Agregado[ID],Agregado[Produto])</f>
        <v>Tela de metal soldada rolo 2x25m</v>
      </c>
      <c r="F3815" s="39">
        <v>45533</v>
      </c>
      <c r="G3815" s="7">
        <v>4</v>
      </c>
      <c r="H3815" s="3">
        <f>_xlfn.XLOOKUP(Vendas[[#This Row],[ID Item Vendido]],Agregado[ID],Agregado[Revenda])</f>
        <v>43.7</v>
      </c>
      <c r="I3815" s="3">
        <f>Vendas[[#This Row],[Valor Unitário]]*Vendas[[#This Row],[Qnt Vendida]]</f>
        <v>174.8</v>
      </c>
      <c r="J3815" s="3">
        <f>Vendas[[#This Row],[Valor da Venda]]-(_xlfn.XLOOKUP(Vendas[[#This Row],[ID Item Vendido]],Agregado[ID],Agregado[Custo])*Vendas[[#This Row],[Qnt Vendida]])</f>
        <v>22.800000000000011</v>
      </c>
      <c r="K3815" s="70">
        <f>Vendas[[#This Row],[Lucro da Venda]]/Vendas[[#This Row],[Valor da Venda]]</f>
        <v>0.1304347826086957</v>
      </c>
      <c r="L3815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3815"/>
    </row>
    <row r="3816" spans="1:13" x14ac:dyDescent="0.3">
      <c r="A3816" s="7">
        <v>400254</v>
      </c>
      <c r="B3816" t="str">
        <f>_xlfn.XLOOKUP(Vendas[[#This Row],[ID Vendedor]],Vendedores[ID],Vendedores[Nome])</f>
        <v>Beatriz</v>
      </c>
      <c r="C3816" s="7" t="str">
        <f>_xlfn.XLOOKUP(Vendas[[#This Row],[ID Vendedor]],Vendedores[ID],Vendedores[Setor])</f>
        <v>SC</v>
      </c>
      <c r="D3816" s="7" t="s">
        <v>25</v>
      </c>
      <c r="E3816" t="str">
        <f>_xlfn.XLOOKUP(Vendas[[#This Row],[ID Item Vendido]],Agregado[ID],Agregado[Produto])</f>
        <v>Palete de plástico</v>
      </c>
      <c r="F3816" s="39">
        <v>45533</v>
      </c>
      <c r="G3816" s="7">
        <v>2</v>
      </c>
      <c r="H3816" s="3">
        <f>_xlfn.XLOOKUP(Vendas[[#This Row],[ID Item Vendido]],Agregado[ID],Agregado[Revenda])</f>
        <v>70.8</v>
      </c>
      <c r="I3816" s="3">
        <f>Vendas[[#This Row],[Valor Unitário]]*Vendas[[#This Row],[Qnt Vendida]]</f>
        <v>141.6</v>
      </c>
      <c r="J3816" s="3">
        <f>Vendas[[#This Row],[Valor da Venda]]-(_xlfn.XLOOKUP(Vendas[[#This Row],[ID Item Vendido]],Agregado[ID],Agregado[Custo])*Vendas[[#This Row],[Qnt Vendida]])</f>
        <v>21.599999999999994</v>
      </c>
      <c r="K3816" s="70">
        <f>Vendas[[#This Row],[Lucro da Venda]]/Vendas[[#This Row],[Valor da Venda]]</f>
        <v>0.15254237288135589</v>
      </c>
      <c r="L3816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3816"/>
    </row>
    <row r="3817" spans="1:13" x14ac:dyDescent="0.3">
      <c r="A3817" s="7">
        <v>400252</v>
      </c>
      <c r="B3817" t="str">
        <f>_xlfn.XLOOKUP(Vendas[[#This Row],[ID Vendedor]],Vendedores[ID],Vendedores[Nome])</f>
        <v>Renata</v>
      </c>
      <c r="C3817" s="7" t="str">
        <f>_xlfn.XLOOKUP(Vendas[[#This Row],[ID Vendedor]],Vendedores[ID],Vendedores[Setor])</f>
        <v>AB</v>
      </c>
      <c r="D3817" s="7" t="s">
        <v>12</v>
      </c>
      <c r="E3817" t="str">
        <f>_xlfn.XLOOKUP(Vendas[[#This Row],[ID Item Vendido]],Agregado[ID],Agregado[Produto])</f>
        <v>Grânulo de plástico reciclado refinado</v>
      </c>
      <c r="F3817" s="39">
        <v>45534</v>
      </c>
      <c r="G3817" s="7">
        <v>42</v>
      </c>
      <c r="H3817" s="3">
        <f>_xlfn.XLOOKUP(Vendas[[#This Row],[ID Item Vendido]],Agregado[ID],Agregado[Revenda])</f>
        <v>4.7</v>
      </c>
      <c r="I3817" s="3">
        <f>Vendas[[#This Row],[Valor Unitário]]*Vendas[[#This Row],[Qnt Vendida]]</f>
        <v>197.4</v>
      </c>
      <c r="J3817" s="3">
        <f>Vendas[[#This Row],[Valor da Venda]]-(_xlfn.XLOOKUP(Vendas[[#This Row],[ID Item Vendido]],Agregado[ID],Agregado[Custo])*Vendas[[#This Row],[Qnt Vendida]])</f>
        <v>50.400000000000006</v>
      </c>
      <c r="K3817" s="70">
        <f>Vendas[[#This Row],[Lucro da Venda]]/Vendas[[#This Row],[Valor da Venda]]</f>
        <v>0.25531914893617025</v>
      </c>
      <c r="L3817" s="3">
        <f>_xlfn.IFS(Vendas[[#This Row],[Margem de Lucro (%)]]&lt;15%,Vendas[[#This Row],[Valor da Venda]]*3%,Vendas[[#This Row],[Margem de Lucro (%)]]&lt;=20%,Vendas[[#This Row],[Valor da Venda]]*4.5%,TRUE,Vendas[[#This Row],[Valor da Venda]]*6%)</f>
        <v>11.843999999999999</v>
      </c>
      <c r="M3817"/>
    </row>
    <row r="3818" spans="1:13" x14ac:dyDescent="0.3">
      <c r="A3818" s="7">
        <v>400250</v>
      </c>
      <c r="B3818" t="str">
        <f>_xlfn.XLOOKUP(Vendas[[#This Row],[ID Vendedor]],Vendedores[ID],Vendedores[Nome])</f>
        <v>Larissa</v>
      </c>
      <c r="C3818" s="7" t="str">
        <f>_xlfn.XLOOKUP(Vendas[[#This Row],[ID Vendedor]],Vendedores[ID],Vendedores[Setor])</f>
        <v>AB</v>
      </c>
      <c r="D3818" s="7" t="s">
        <v>24</v>
      </c>
      <c r="E3818" t="str">
        <f>_xlfn.XLOOKUP(Vendas[[#This Row],[ID Item Vendido]],Agregado[ID],Agregado[Produto])</f>
        <v>Resina plástica PET purificada saco de 25kg</v>
      </c>
      <c r="F3818" s="39">
        <v>45535</v>
      </c>
      <c r="G3818" s="7">
        <v>26</v>
      </c>
      <c r="H3818" s="3">
        <f>_xlfn.XLOOKUP(Vendas[[#This Row],[ID Item Vendido]],Agregado[ID],Agregado[Revenda])</f>
        <v>119</v>
      </c>
      <c r="I3818" s="3">
        <f>Vendas[[#This Row],[Valor Unitário]]*Vendas[[#This Row],[Qnt Vendida]]</f>
        <v>3094</v>
      </c>
      <c r="J3818" s="3">
        <f>Vendas[[#This Row],[Valor da Venda]]-(_xlfn.XLOOKUP(Vendas[[#This Row],[ID Item Vendido]],Agregado[ID],Agregado[Custo])*Vendas[[#This Row],[Qnt Vendida]])</f>
        <v>884</v>
      </c>
      <c r="K3818" s="70">
        <f>Vendas[[#This Row],[Lucro da Venda]]/Vendas[[#This Row],[Valor da Venda]]</f>
        <v>0.2857142857142857</v>
      </c>
      <c r="L3818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3818"/>
    </row>
    <row r="3819" spans="1:13" x14ac:dyDescent="0.3">
      <c r="A3819" s="7">
        <v>400246</v>
      </c>
      <c r="B3819" t="str">
        <f>_xlfn.XLOOKUP(Vendas[[#This Row],[ID Vendedor]],Vendedores[ID],Vendedores[Nome])</f>
        <v>Juliana</v>
      </c>
      <c r="C3819" s="7" t="str">
        <f>_xlfn.XLOOKUP(Vendas[[#This Row],[ID Vendedor]],Vendedores[ID],Vendedores[Setor])</f>
        <v>AHD</v>
      </c>
      <c r="D3819" s="7" t="s">
        <v>44</v>
      </c>
      <c r="E3819" t="str">
        <f>_xlfn.XLOOKUP(Vendas[[#This Row],[ID Item Vendido]],Agregado[ID],Agregado[Produto])</f>
        <v>Liga metálica especial</v>
      </c>
      <c r="F3819" s="39">
        <v>45535</v>
      </c>
      <c r="G3819" s="7">
        <v>45</v>
      </c>
      <c r="H3819" s="3">
        <f>_xlfn.XLOOKUP(Vendas[[#This Row],[ID Item Vendido]],Agregado[ID],Agregado[Revenda])</f>
        <v>32.5</v>
      </c>
      <c r="I3819" s="3">
        <f>Vendas[[#This Row],[Valor Unitário]]*Vendas[[#This Row],[Qnt Vendida]]</f>
        <v>1462.5</v>
      </c>
      <c r="J3819" s="3">
        <f>Vendas[[#This Row],[Valor da Venda]]-(_xlfn.XLOOKUP(Vendas[[#This Row],[ID Item Vendido]],Agregado[ID],Agregado[Custo])*Vendas[[#This Row],[Qnt Vendida]])</f>
        <v>337.5</v>
      </c>
      <c r="K3819" s="70">
        <f>Vendas[[#This Row],[Lucro da Venda]]/Vendas[[#This Row],[Valor da Venda]]</f>
        <v>0.23076923076923078</v>
      </c>
      <c r="L3819" s="3">
        <f>_xlfn.IFS(Vendas[[#This Row],[Margem de Lucro (%)]]&lt;15%,Vendas[[#This Row],[Valor da Venda]]*3%,Vendas[[#This Row],[Margem de Lucro (%)]]&lt;=20%,Vendas[[#This Row],[Valor da Venda]]*4.5%,TRUE,Vendas[[#This Row],[Valor da Venda]]*6%)</f>
        <v>87.75</v>
      </c>
      <c r="M3819"/>
    </row>
    <row r="3820" spans="1:13" x14ac:dyDescent="0.3">
      <c r="A3820" s="7">
        <v>400246</v>
      </c>
      <c r="B3820" t="str">
        <f>_xlfn.XLOOKUP(Vendas[[#This Row],[ID Vendedor]],Vendedores[ID],Vendedores[Nome])</f>
        <v>Juliana</v>
      </c>
      <c r="C3820" s="7" t="str">
        <f>_xlfn.XLOOKUP(Vendas[[#This Row],[ID Vendedor]],Vendedores[ID],Vendedores[Setor])</f>
        <v>AHD</v>
      </c>
      <c r="D3820" s="7" t="s">
        <v>44</v>
      </c>
      <c r="E3820" t="str">
        <f>_xlfn.XLOOKUP(Vendas[[#This Row],[ID Item Vendido]],Agregado[ID],Agregado[Produto])</f>
        <v>Liga metálica especial</v>
      </c>
      <c r="F3820" s="39">
        <v>45535</v>
      </c>
      <c r="G3820" s="7">
        <v>34</v>
      </c>
      <c r="H3820" s="3">
        <f>_xlfn.XLOOKUP(Vendas[[#This Row],[ID Item Vendido]],Agregado[ID],Agregado[Revenda])</f>
        <v>32.5</v>
      </c>
      <c r="I3820" s="3">
        <f>Vendas[[#This Row],[Valor Unitário]]*Vendas[[#This Row],[Qnt Vendida]]</f>
        <v>1105</v>
      </c>
      <c r="J3820" s="3">
        <f>Vendas[[#This Row],[Valor da Venda]]-(_xlfn.XLOOKUP(Vendas[[#This Row],[ID Item Vendido]],Agregado[ID],Agregado[Custo])*Vendas[[#This Row],[Qnt Vendida]])</f>
        <v>255</v>
      </c>
      <c r="K3820" s="70">
        <f>Vendas[[#This Row],[Lucro da Venda]]/Vendas[[#This Row],[Valor da Venda]]</f>
        <v>0.23076923076923078</v>
      </c>
      <c r="L3820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3820"/>
    </row>
    <row r="3821" spans="1:13" x14ac:dyDescent="0.3">
      <c r="A3821" s="7">
        <v>400252</v>
      </c>
      <c r="B3821" t="str">
        <f>_xlfn.XLOOKUP(Vendas[[#This Row],[ID Vendedor]],Vendedores[ID],Vendedores[Nome])</f>
        <v>Renata</v>
      </c>
      <c r="C3821" s="7" t="str">
        <f>_xlfn.XLOOKUP(Vendas[[#This Row],[ID Vendedor]],Vendedores[ID],Vendedores[Setor])</f>
        <v>AB</v>
      </c>
      <c r="D3821" s="7" t="s">
        <v>37</v>
      </c>
      <c r="E3821" t="str">
        <f>_xlfn.XLOOKUP(Vendas[[#This Row],[ID Item Vendido]],Agregado[ID],Agregado[Produto])</f>
        <v>Composto de borracha para vedação rolo 10m</v>
      </c>
      <c r="F3821" s="39">
        <v>45535</v>
      </c>
      <c r="G3821" s="7">
        <v>17</v>
      </c>
      <c r="H3821" s="3">
        <f>_xlfn.XLOOKUP(Vendas[[#This Row],[ID Item Vendido]],Agregado[ID],Agregado[Revenda])</f>
        <v>51.2</v>
      </c>
      <c r="I3821" s="3">
        <f>Vendas[[#This Row],[Valor Unitário]]*Vendas[[#This Row],[Qnt Vendida]]</f>
        <v>870.40000000000009</v>
      </c>
      <c r="J3821" s="3">
        <f>Vendas[[#This Row],[Valor da Venda]]-(_xlfn.XLOOKUP(Vendas[[#This Row],[ID Item Vendido]],Agregado[ID],Agregado[Custo])*Vendas[[#This Row],[Qnt Vendida]])</f>
        <v>190.40000000000009</v>
      </c>
      <c r="K3821" s="70">
        <f>Vendas[[#This Row],[Lucro da Venda]]/Vendas[[#This Row],[Valor da Venda]]</f>
        <v>0.21875000000000008</v>
      </c>
      <c r="L3821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3821"/>
    </row>
    <row r="3822" spans="1:13" x14ac:dyDescent="0.3">
      <c r="A3822" s="7">
        <v>400250</v>
      </c>
      <c r="B3822" t="str">
        <f>_xlfn.XLOOKUP(Vendas[[#This Row],[ID Vendedor]],Vendedores[ID],Vendedores[Nome])</f>
        <v>Larissa</v>
      </c>
      <c r="C3822" s="7" t="str">
        <f>_xlfn.XLOOKUP(Vendas[[#This Row],[ID Vendedor]],Vendedores[ID],Vendedores[Setor])</f>
        <v>AB</v>
      </c>
      <c r="D3822" s="7" t="s">
        <v>37</v>
      </c>
      <c r="E3822" t="str">
        <f>_xlfn.XLOOKUP(Vendas[[#This Row],[ID Item Vendido]],Agregado[ID],Agregado[Produto])</f>
        <v>Composto de borracha para vedação rolo 10m</v>
      </c>
      <c r="F3822" s="39">
        <v>45535</v>
      </c>
      <c r="G3822" s="7">
        <v>11</v>
      </c>
      <c r="H3822" s="3">
        <f>_xlfn.XLOOKUP(Vendas[[#This Row],[ID Item Vendido]],Agregado[ID],Agregado[Revenda])</f>
        <v>51.2</v>
      </c>
      <c r="I3822" s="3">
        <f>Vendas[[#This Row],[Valor Unitário]]*Vendas[[#This Row],[Qnt Vendida]]</f>
        <v>563.20000000000005</v>
      </c>
      <c r="J3822" s="3">
        <f>Vendas[[#This Row],[Valor da Venda]]-(_xlfn.XLOOKUP(Vendas[[#This Row],[ID Item Vendido]],Agregado[ID],Agregado[Custo])*Vendas[[#This Row],[Qnt Vendida]])</f>
        <v>123.20000000000005</v>
      </c>
      <c r="K3822" s="70">
        <f>Vendas[[#This Row],[Lucro da Venda]]/Vendas[[#This Row],[Valor da Venda]]</f>
        <v>0.21875000000000006</v>
      </c>
      <c r="L3822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3822"/>
    </row>
    <row r="3823" spans="1:13" x14ac:dyDescent="0.3">
      <c r="A3823" s="7">
        <v>400252</v>
      </c>
      <c r="B3823" t="str">
        <f>_xlfn.XLOOKUP(Vendas[[#This Row],[ID Vendedor]],Vendedores[ID],Vendedores[Nome])</f>
        <v>Renata</v>
      </c>
      <c r="C3823" s="7" t="str">
        <f>_xlfn.XLOOKUP(Vendas[[#This Row],[ID Vendedor]],Vendedores[ID],Vendedores[Setor])</f>
        <v>AB</v>
      </c>
      <c r="D3823" s="7" t="s">
        <v>39</v>
      </c>
      <c r="E3823" t="str">
        <f>_xlfn.XLOOKUP(Vendas[[#This Row],[ID Item Vendido]],Agregado[ID],Agregado[Produto])</f>
        <v>Filme plástico industrial rolo 50m</v>
      </c>
      <c r="F3823" s="39">
        <v>45535</v>
      </c>
      <c r="G3823" s="7">
        <v>11</v>
      </c>
      <c r="H3823" s="3">
        <f>_xlfn.XLOOKUP(Vendas[[#This Row],[ID Item Vendido]],Agregado[ID],Agregado[Revenda])</f>
        <v>37</v>
      </c>
      <c r="I3823" s="3">
        <f>Vendas[[#This Row],[Valor Unitário]]*Vendas[[#This Row],[Qnt Vendida]]</f>
        <v>407</v>
      </c>
      <c r="J3823" s="3">
        <f>Vendas[[#This Row],[Valor da Venda]]-(_xlfn.XLOOKUP(Vendas[[#This Row],[ID Item Vendido]],Agregado[ID],Agregado[Custo])*Vendas[[#This Row],[Qnt Vendida]])</f>
        <v>99</v>
      </c>
      <c r="K3823" s="70">
        <f>Vendas[[#This Row],[Lucro da Venda]]/Vendas[[#This Row],[Valor da Venda]]</f>
        <v>0.24324324324324326</v>
      </c>
      <c r="L3823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3823"/>
    </row>
    <row r="3824" spans="1:13" x14ac:dyDescent="0.3">
      <c r="A3824" s="7">
        <v>400242</v>
      </c>
      <c r="B3824" t="str">
        <f>_xlfn.XLOOKUP(Vendas[[#This Row],[ID Vendedor]],Vendedores[ID],Vendedores[Nome])</f>
        <v>Fernanda</v>
      </c>
      <c r="C3824" s="7" t="str">
        <f>_xlfn.XLOOKUP(Vendas[[#This Row],[ID Vendedor]],Vendedores[ID],Vendedores[Setor])</f>
        <v>FM</v>
      </c>
      <c r="D3824" s="7" t="s">
        <v>27</v>
      </c>
      <c r="E3824" t="str">
        <f>_xlfn.XLOOKUP(Vendas[[#This Row],[ID Item Vendido]],Agregado[ID],Agregado[Produto])</f>
        <v>Chapa de metal lisa 1x2m</v>
      </c>
      <c r="F3824" s="39">
        <v>45536</v>
      </c>
      <c r="G3824" s="7">
        <v>30</v>
      </c>
      <c r="H3824" s="3">
        <f>_xlfn.XLOOKUP(Vendas[[#This Row],[ID Item Vendido]],Agregado[ID],Agregado[Revenda])</f>
        <v>52</v>
      </c>
      <c r="I3824" s="3">
        <f>Vendas[[#This Row],[Valor Unitário]]*Vendas[[#This Row],[Qnt Vendida]]</f>
        <v>1560</v>
      </c>
      <c r="J3824" s="3">
        <f>Vendas[[#This Row],[Valor da Venda]]-(_xlfn.XLOOKUP(Vendas[[#This Row],[ID Item Vendido]],Agregado[ID],Agregado[Custo])*Vendas[[#This Row],[Qnt Vendida]])</f>
        <v>210</v>
      </c>
      <c r="K3824" s="70">
        <f>Vendas[[#This Row],[Lucro da Venda]]/Vendas[[#This Row],[Valor da Venda]]</f>
        <v>0.13461538461538461</v>
      </c>
      <c r="L3824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3824"/>
    </row>
    <row r="3825" spans="1:13" x14ac:dyDescent="0.3">
      <c r="A3825" s="7">
        <v>400250</v>
      </c>
      <c r="B3825" t="str">
        <f>_xlfn.XLOOKUP(Vendas[[#This Row],[ID Vendedor]],Vendedores[ID],Vendedores[Nome])</f>
        <v>Larissa</v>
      </c>
      <c r="C3825" s="7" t="str">
        <f>_xlfn.XLOOKUP(Vendas[[#This Row],[ID Vendedor]],Vendedores[ID],Vendedores[Setor])</f>
        <v>AB</v>
      </c>
      <c r="D3825" s="7" t="s">
        <v>24</v>
      </c>
      <c r="E3825" t="str">
        <f>_xlfn.XLOOKUP(Vendas[[#This Row],[ID Item Vendido]],Agregado[ID],Agregado[Produto])</f>
        <v>Resina plástica PET purificada saco de 25kg</v>
      </c>
      <c r="F3825" s="39">
        <v>45537</v>
      </c>
      <c r="G3825" s="7">
        <v>14</v>
      </c>
      <c r="H3825" s="3">
        <f>_xlfn.XLOOKUP(Vendas[[#This Row],[ID Item Vendido]],Agregado[ID],Agregado[Revenda])</f>
        <v>119</v>
      </c>
      <c r="I3825" s="3">
        <f>Vendas[[#This Row],[Valor Unitário]]*Vendas[[#This Row],[Qnt Vendida]]</f>
        <v>1666</v>
      </c>
      <c r="J3825" s="3">
        <f>Vendas[[#This Row],[Valor da Venda]]-(_xlfn.XLOOKUP(Vendas[[#This Row],[ID Item Vendido]],Agregado[ID],Agregado[Custo])*Vendas[[#This Row],[Qnt Vendida]])</f>
        <v>476</v>
      </c>
      <c r="K3825" s="70">
        <f>Vendas[[#This Row],[Lucro da Venda]]/Vendas[[#This Row],[Valor da Venda]]</f>
        <v>0.2857142857142857</v>
      </c>
      <c r="L382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825"/>
    </row>
    <row r="3826" spans="1:13" x14ac:dyDescent="0.3">
      <c r="A3826" s="7">
        <v>400247</v>
      </c>
      <c r="B3826" t="str">
        <f>_xlfn.XLOOKUP(Vendas[[#This Row],[ID Vendedor]],Vendedores[ID],Vendedores[Nome])</f>
        <v>André</v>
      </c>
      <c r="C3826" s="7" t="str">
        <f>_xlfn.XLOOKUP(Vendas[[#This Row],[ID Vendedor]],Vendedores[ID],Vendedores[Setor])</f>
        <v>CM</v>
      </c>
      <c r="D3826" s="7" t="s">
        <v>43</v>
      </c>
      <c r="E3826" t="str">
        <f>_xlfn.XLOOKUP(Vendas[[#This Row],[ID Item Vendido]],Agregado[ID],Agregado[Produto])</f>
        <v>Madeira Bruta (Tora)</v>
      </c>
      <c r="F3826" s="39">
        <v>45537</v>
      </c>
      <c r="G3826" s="7">
        <v>7</v>
      </c>
      <c r="H3826" s="3">
        <f>_xlfn.XLOOKUP(Vendas[[#This Row],[ID Item Vendido]],Agregado[ID],Agregado[Revenda])</f>
        <v>212</v>
      </c>
      <c r="I3826" s="3">
        <f>Vendas[[#This Row],[Valor Unitário]]*Vendas[[#This Row],[Qnt Vendida]]</f>
        <v>1484</v>
      </c>
      <c r="J3826" s="3">
        <f>Vendas[[#This Row],[Valor da Venda]]-(_xlfn.XLOOKUP(Vendas[[#This Row],[ID Item Vendido]],Agregado[ID],Agregado[Custo])*Vendas[[#This Row],[Qnt Vendida]])</f>
        <v>224</v>
      </c>
      <c r="K3826" s="70">
        <f>Vendas[[#This Row],[Lucro da Venda]]/Vendas[[#This Row],[Valor da Venda]]</f>
        <v>0.15094339622641509</v>
      </c>
      <c r="L3826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3826"/>
    </row>
    <row r="3827" spans="1:13" x14ac:dyDescent="0.3">
      <c r="A3827" s="7">
        <v>400248</v>
      </c>
      <c r="B3827" t="str">
        <f>_xlfn.XLOOKUP(Vendas[[#This Row],[ID Vendedor]],Vendedores[ID],Vendedores[Nome])</f>
        <v>Patrícia</v>
      </c>
      <c r="C3827" s="7" t="str">
        <f>_xlfn.XLOOKUP(Vendas[[#This Row],[ID Vendedor]],Vendedores[ID],Vendedores[Setor])</f>
        <v>CM</v>
      </c>
      <c r="D3827" s="7" t="s">
        <v>43</v>
      </c>
      <c r="E3827" t="str">
        <f>_xlfn.XLOOKUP(Vendas[[#This Row],[ID Item Vendido]],Agregado[ID],Agregado[Produto])</f>
        <v>Madeira Bruta (Tora)</v>
      </c>
      <c r="F3827" s="39">
        <v>45537</v>
      </c>
      <c r="G3827" s="7">
        <v>6</v>
      </c>
      <c r="H3827" s="3">
        <f>_xlfn.XLOOKUP(Vendas[[#This Row],[ID Item Vendido]],Agregado[ID],Agregado[Revenda])</f>
        <v>212</v>
      </c>
      <c r="I3827" s="3">
        <f>Vendas[[#This Row],[Valor Unitário]]*Vendas[[#This Row],[Qnt Vendida]]</f>
        <v>1272</v>
      </c>
      <c r="J3827" s="3">
        <f>Vendas[[#This Row],[Valor da Venda]]-(_xlfn.XLOOKUP(Vendas[[#This Row],[ID Item Vendido]],Agregado[ID],Agregado[Custo])*Vendas[[#This Row],[Qnt Vendida]])</f>
        <v>192</v>
      </c>
      <c r="K3827" s="70">
        <f>Vendas[[#This Row],[Lucro da Venda]]/Vendas[[#This Row],[Valor da Venda]]</f>
        <v>0.15094339622641509</v>
      </c>
      <c r="L3827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3827"/>
    </row>
    <row r="3828" spans="1:13" x14ac:dyDescent="0.3">
      <c r="A3828" s="7">
        <v>400246</v>
      </c>
      <c r="B3828" t="str">
        <f>_xlfn.XLOOKUP(Vendas[[#This Row],[ID Vendedor]],Vendedores[ID],Vendedores[Nome])</f>
        <v>Juliana</v>
      </c>
      <c r="C3828" s="7" t="str">
        <f>_xlfn.XLOOKUP(Vendas[[#This Row],[ID Vendedor]],Vendedores[ID],Vendedores[Setor])</f>
        <v>AHD</v>
      </c>
      <c r="D3828" s="7" t="s">
        <v>44</v>
      </c>
      <c r="E3828" t="str">
        <f>_xlfn.XLOOKUP(Vendas[[#This Row],[ID Item Vendido]],Agregado[ID],Agregado[Produto])</f>
        <v>Liga metálica especial</v>
      </c>
      <c r="F3828" s="39">
        <v>45537</v>
      </c>
      <c r="G3828" s="7">
        <v>32</v>
      </c>
      <c r="H3828" s="3">
        <f>_xlfn.XLOOKUP(Vendas[[#This Row],[ID Item Vendido]],Agregado[ID],Agregado[Revenda])</f>
        <v>32.5</v>
      </c>
      <c r="I3828" s="3">
        <f>Vendas[[#This Row],[Valor Unitário]]*Vendas[[#This Row],[Qnt Vendida]]</f>
        <v>1040</v>
      </c>
      <c r="J3828" s="3">
        <f>Vendas[[#This Row],[Valor da Venda]]-(_xlfn.XLOOKUP(Vendas[[#This Row],[ID Item Vendido]],Agregado[ID],Agregado[Custo])*Vendas[[#This Row],[Qnt Vendida]])</f>
        <v>240</v>
      </c>
      <c r="K3828" s="70">
        <f>Vendas[[#This Row],[Lucro da Venda]]/Vendas[[#This Row],[Valor da Venda]]</f>
        <v>0.23076923076923078</v>
      </c>
      <c r="L3828" s="3">
        <f>_xlfn.IFS(Vendas[[#This Row],[Margem de Lucro (%)]]&lt;15%,Vendas[[#This Row],[Valor da Venda]]*3%,Vendas[[#This Row],[Margem de Lucro (%)]]&lt;=20%,Vendas[[#This Row],[Valor da Venda]]*4.5%,TRUE,Vendas[[#This Row],[Valor da Venda]]*6%)</f>
        <v>62.4</v>
      </c>
      <c r="M3828"/>
    </row>
    <row r="3829" spans="1:13" x14ac:dyDescent="0.3">
      <c r="A3829" s="7">
        <v>400242</v>
      </c>
      <c r="B3829" t="str">
        <f>_xlfn.XLOOKUP(Vendas[[#This Row],[ID Vendedor]],Vendedores[ID],Vendedores[Nome])</f>
        <v>Fernanda</v>
      </c>
      <c r="C3829" s="7" t="str">
        <f>_xlfn.XLOOKUP(Vendas[[#This Row],[ID Vendedor]],Vendedores[ID],Vendedores[Setor])</f>
        <v>FM</v>
      </c>
      <c r="D3829" s="7" t="s">
        <v>31</v>
      </c>
      <c r="E3829" t="str">
        <f>_xlfn.XLOOKUP(Vendas[[#This Row],[ID Item Vendido]],Agregado[ID],Agregado[Produto])</f>
        <v>Tela de metal soldada rolo 2x25m</v>
      </c>
      <c r="F3829" s="39">
        <v>45537</v>
      </c>
      <c r="G3829" s="7">
        <v>17</v>
      </c>
      <c r="H3829" s="3">
        <f>_xlfn.XLOOKUP(Vendas[[#This Row],[ID Item Vendido]],Agregado[ID],Agregado[Revenda])</f>
        <v>43.7</v>
      </c>
      <c r="I3829" s="3">
        <f>Vendas[[#This Row],[Valor Unitário]]*Vendas[[#This Row],[Qnt Vendida]]</f>
        <v>742.90000000000009</v>
      </c>
      <c r="J3829" s="3">
        <f>Vendas[[#This Row],[Valor da Venda]]-(_xlfn.XLOOKUP(Vendas[[#This Row],[ID Item Vendido]],Agregado[ID],Agregado[Custo])*Vendas[[#This Row],[Qnt Vendida]])</f>
        <v>96.900000000000091</v>
      </c>
      <c r="K3829" s="70">
        <f>Vendas[[#This Row],[Lucro da Venda]]/Vendas[[#This Row],[Valor da Venda]]</f>
        <v>0.13043478260869576</v>
      </c>
      <c r="L3829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3829"/>
    </row>
    <row r="3830" spans="1:13" x14ac:dyDescent="0.3">
      <c r="A3830" s="7">
        <v>400251</v>
      </c>
      <c r="B3830" t="str">
        <f>_xlfn.XLOOKUP(Vendas[[#This Row],[ID Vendedor]],Vendedores[ID],Vendedores[Nome])</f>
        <v>Diego</v>
      </c>
      <c r="C3830" s="7" t="str">
        <f>_xlfn.XLOOKUP(Vendas[[#This Row],[ID Vendedor]],Vendedores[ID],Vendedores[Setor])</f>
        <v>AB</v>
      </c>
      <c r="D3830" s="7" t="s">
        <v>24</v>
      </c>
      <c r="E3830" t="str">
        <f>_xlfn.XLOOKUP(Vendas[[#This Row],[ID Item Vendido]],Agregado[ID],Agregado[Produto])</f>
        <v>Resina plástica PET purificada saco de 25kg</v>
      </c>
      <c r="F3830" s="39">
        <v>45537</v>
      </c>
      <c r="G3830" s="7">
        <v>5</v>
      </c>
      <c r="H3830" s="3">
        <f>_xlfn.XLOOKUP(Vendas[[#This Row],[ID Item Vendido]],Agregado[ID],Agregado[Revenda])</f>
        <v>119</v>
      </c>
      <c r="I3830" s="3">
        <f>Vendas[[#This Row],[Valor Unitário]]*Vendas[[#This Row],[Qnt Vendida]]</f>
        <v>595</v>
      </c>
      <c r="J3830" s="3">
        <f>Vendas[[#This Row],[Valor da Venda]]-(_xlfn.XLOOKUP(Vendas[[#This Row],[ID Item Vendido]],Agregado[ID],Agregado[Custo])*Vendas[[#This Row],[Qnt Vendida]])</f>
        <v>170</v>
      </c>
      <c r="K3830" s="70">
        <f>Vendas[[#This Row],[Lucro da Venda]]/Vendas[[#This Row],[Valor da Venda]]</f>
        <v>0.2857142857142857</v>
      </c>
      <c r="L3830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3830"/>
    </row>
    <row r="3831" spans="1:13" x14ac:dyDescent="0.3">
      <c r="A3831" s="7">
        <v>400251</v>
      </c>
      <c r="B3831" t="str">
        <f>_xlfn.XLOOKUP(Vendas[[#This Row],[ID Vendedor]],Vendedores[ID],Vendedores[Nome])</f>
        <v>Diego</v>
      </c>
      <c r="C3831" s="7" t="str">
        <f>_xlfn.XLOOKUP(Vendas[[#This Row],[ID Vendedor]],Vendedores[ID],Vendedores[Setor])</f>
        <v>AB</v>
      </c>
      <c r="D3831" s="7" t="s">
        <v>24</v>
      </c>
      <c r="E3831" t="str">
        <f>_xlfn.XLOOKUP(Vendas[[#This Row],[ID Item Vendido]],Agregado[ID],Agregado[Produto])</f>
        <v>Resina plástica PET purificada saco de 25kg</v>
      </c>
      <c r="F3831" s="39">
        <v>45538</v>
      </c>
      <c r="G3831" s="7">
        <v>20</v>
      </c>
      <c r="H3831" s="3">
        <f>_xlfn.XLOOKUP(Vendas[[#This Row],[ID Item Vendido]],Agregado[ID],Agregado[Revenda])</f>
        <v>119</v>
      </c>
      <c r="I3831" s="3">
        <f>Vendas[[#This Row],[Valor Unitário]]*Vendas[[#This Row],[Qnt Vendida]]</f>
        <v>2380</v>
      </c>
      <c r="J3831" s="3">
        <f>Vendas[[#This Row],[Valor da Venda]]-(_xlfn.XLOOKUP(Vendas[[#This Row],[ID Item Vendido]],Agregado[ID],Agregado[Custo])*Vendas[[#This Row],[Qnt Vendida]])</f>
        <v>680</v>
      </c>
      <c r="K3831" s="70">
        <f>Vendas[[#This Row],[Lucro da Venda]]/Vendas[[#This Row],[Valor da Venda]]</f>
        <v>0.2857142857142857</v>
      </c>
      <c r="L3831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3831"/>
    </row>
    <row r="3832" spans="1:13" x14ac:dyDescent="0.3">
      <c r="A3832" s="7">
        <v>400252</v>
      </c>
      <c r="B3832" t="str">
        <f>_xlfn.XLOOKUP(Vendas[[#This Row],[ID Vendedor]],Vendedores[ID],Vendedores[Nome])</f>
        <v>Renata</v>
      </c>
      <c r="C3832" s="7" t="str">
        <f>_xlfn.XLOOKUP(Vendas[[#This Row],[ID Vendedor]],Vendedores[ID],Vendedores[Setor])</f>
        <v>AB</v>
      </c>
      <c r="D3832" s="7" t="s">
        <v>37</v>
      </c>
      <c r="E3832" t="str">
        <f>_xlfn.XLOOKUP(Vendas[[#This Row],[ID Item Vendido]],Agregado[ID],Agregado[Produto])</f>
        <v>Composto de borracha para vedação rolo 10m</v>
      </c>
      <c r="F3832" s="39">
        <v>45538</v>
      </c>
      <c r="G3832" s="7">
        <v>18</v>
      </c>
      <c r="H3832" s="3">
        <f>_xlfn.XLOOKUP(Vendas[[#This Row],[ID Item Vendido]],Agregado[ID],Agregado[Revenda])</f>
        <v>51.2</v>
      </c>
      <c r="I3832" s="3">
        <f>Vendas[[#This Row],[Valor Unitário]]*Vendas[[#This Row],[Qnt Vendida]]</f>
        <v>921.6</v>
      </c>
      <c r="J3832" s="3">
        <f>Vendas[[#This Row],[Valor da Venda]]-(_xlfn.XLOOKUP(Vendas[[#This Row],[ID Item Vendido]],Agregado[ID],Agregado[Custo])*Vendas[[#This Row],[Qnt Vendida]])</f>
        <v>201.60000000000002</v>
      </c>
      <c r="K3832" s="70">
        <f>Vendas[[#This Row],[Lucro da Venda]]/Vendas[[#This Row],[Valor da Venda]]</f>
        <v>0.21875000000000003</v>
      </c>
      <c r="L3832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3832"/>
    </row>
    <row r="3833" spans="1:13" x14ac:dyDescent="0.3">
      <c r="A3833" s="7">
        <v>400252</v>
      </c>
      <c r="B3833" t="str">
        <f>_xlfn.XLOOKUP(Vendas[[#This Row],[ID Vendedor]],Vendedores[ID],Vendedores[Nome])</f>
        <v>Renata</v>
      </c>
      <c r="C3833" s="7" t="str">
        <f>_xlfn.XLOOKUP(Vendas[[#This Row],[ID Vendedor]],Vendedores[ID],Vendedores[Setor])</f>
        <v>AB</v>
      </c>
      <c r="D3833" s="7" t="s">
        <v>36</v>
      </c>
      <c r="E3833" t="str">
        <f>_xlfn.XLOOKUP(Vendas[[#This Row],[ID Item Vendido]],Agregado[ID],Agregado[Produto])</f>
        <v>Borracha vulcanizada em manta</v>
      </c>
      <c r="F3833" s="39">
        <v>45538</v>
      </c>
      <c r="G3833" s="7">
        <v>96</v>
      </c>
      <c r="H3833" s="3">
        <f>_xlfn.XLOOKUP(Vendas[[#This Row],[ID Item Vendido]],Agregado[ID],Agregado[Revenda])</f>
        <v>7.8</v>
      </c>
      <c r="I3833" s="3">
        <f>Vendas[[#This Row],[Valor Unitário]]*Vendas[[#This Row],[Qnt Vendida]]</f>
        <v>748.8</v>
      </c>
      <c r="J3833" s="3">
        <f>Vendas[[#This Row],[Valor da Venda]]-(_xlfn.XLOOKUP(Vendas[[#This Row],[ID Item Vendido]],Agregado[ID],Agregado[Custo])*Vendas[[#This Row],[Qnt Vendida]])</f>
        <v>172.79999999999995</v>
      </c>
      <c r="K3833" s="70">
        <f>Vendas[[#This Row],[Lucro da Venda]]/Vendas[[#This Row],[Valor da Venda]]</f>
        <v>0.23076923076923073</v>
      </c>
      <c r="L3833" s="3">
        <f>_xlfn.IFS(Vendas[[#This Row],[Margem de Lucro (%)]]&lt;15%,Vendas[[#This Row],[Valor da Venda]]*3%,Vendas[[#This Row],[Margem de Lucro (%)]]&lt;=20%,Vendas[[#This Row],[Valor da Venda]]*4.5%,TRUE,Vendas[[#This Row],[Valor da Venda]]*6%)</f>
        <v>44.927999999999997</v>
      </c>
      <c r="M3833"/>
    </row>
    <row r="3834" spans="1:13" x14ac:dyDescent="0.3">
      <c r="A3834" s="7">
        <v>400254</v>
      </c>
      <c r="B3834" t="str">
        <f>_xlfn.XLOOKUP(Vendas[[#This Row],[ID Vendedor]],Vendedores[ID],Vendedores[Nome])</f>
        <v>Beatriz</v>
      </c>
      <c r="C3834" s="7" t="str">
        <f>_xlfn.XLOOKUP(Vendas[[#This Row],[ID Vendedor]],Vendedores[ID],Vendedores[Setor])</f>
        <v>SC</v>
      </c>
      <c r="D3834" s="7" t="s">
        <v>48</v>
      </c>
      <c r="E3834" t="str">
        <f>_xlfn.XLOOKUP(Vendas[[#This Row],[ID Item Vendido]],Agregado[ID],Agregado[Produto])</f>
        <v>Tambor metálico 200L</v>
      </c>
      <c r="F3834" s="39">
        <v>45538</v>
      </c>
      <c r="G3834" s="7">
        <v>2</v>
      </c>
      <c r="H3834" s="3">
        <f>_xlfn.XLOOKUP(Vendas[[#This Row],[ID Item Vendido]],Agregado[ID],Agregado[Revenda])</f>
        <v>144</v>
      </c>
      <c r="I3834" s="3">
        <f>Vendas[[#This Row],[Valor Unitário]]*Vendas[[#This Row],[Qnt Vendida]]</f>
        <v>288</v>
      </c>
      <c r="J3834" s="3">
        <f>Vendas[[#This Row],[Valor da Venda]]-(_xlfn.XLOOKUP(Vendas[[#This Row],[ID Item Vendido]],Agregado[ID],Agregado[Custo])*Vendas[[#This Row],[Qnt Vendida]])</f>
        <v>48</v>
      </c>
      <c r="K3834" s="70">
        <f>Vendas[[#This Row],[Lucro da Venda]]/Vendas[[#This Row],[Valor da Venda]]</f>
        <v>0.16666666666666666</v>
      </c>
      <c r="L3834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3834"/>
    </row>
    <row r="3835" spans="1:13" x14ac:dyDescent="0.3">
      <c r="A3835" s="7">
        <v>400246</v>
      </c>
      <c r="B3835" t="str">
        <f>_xlfn.XLOOKUP(Vendas[[#This Row],[ID Vendedor]],Vendedores[ID],Vendedores[Nome])</f>
        <v>Juliana</v>
      </c>
      <c r="C3835" s="7" t="str">
        <f>_xlfn.XLOOKUP(Vendas[[#This Row],[ID Vendedor]],Vendedores[ID],Vendedores[Setor])</f>
        <v>AHD</v>
      </c>
      <c r="D3835" s="7" t="s">
        <v>28</v>
      </c>
      <c r="E3835" t="str">
        <f>_xlfn.XLOOKUP(Vendas[[#This Row],[ID Item Vendido]],Agregado[ID],Agregado[Produto])</f>
        <v>Peça usinada CNC</v>
      </c>
      <c r="F3835" s="39">
        <v>45539</v>
      </c>
      <c r="G3835" s="7">
        <v>14</v>
      </c>
      <c r="H3835" s="3">
        <f>_xlfn.XLOOKUP(Vendas[[#This Row],[ID Item Vendido]],Agregado[ID],Agregado[Revenda])</f>
        <v>192</v>
      </c>
      <c r="I3835" s="3">
        <f>Vendas[[#This Row],[Valor Unitário]]*Vendas[[#This Row],[Qnt Vendida]]</f>
        <v>2688</v>
      </c>
      <c r="J3835" s="3">
        <f>Vendas[[#This Row],[Valor da Venda]]-(_xlfn.XLOOKUP(Vendas[[#This Row],[ID Item Vendido]],Agregado[ID],Agregado[Custo])*Vendas[[#This Row],[Qnt Vendida]])</f>
        <v>588</v>
      </c>
      <c r="K3835" s="70">
        <f>Vendas[[#This Row],[Lucro da Venda]]/Vendas[[#This Row],[Valor da Venda]]</f>
        <v>0.21875</v>
      </c>
      <c r="L3835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3835"/>
    </row>
    <row r="3836" spans="1:13" x14ac:dyDescent="0.3">
      <c r="A3836" s="7">
        <v>400245</v>
      </c>
      <c r="B3836" t="str">
        <f>_xlfn.XLOOKUP(Vendas[[#This Row],[ID Vendedor]],Vendedores[ID],Vendedores[Nome])</f>
        <v>Thiago</v>
      </c>
      <c r="C3836" s="7" t="str">
        <f>_xlfn.XLOOKUP(Vendas[[#This Row],[ID Vendedor]],Vendedores[ID],Vendedores[Setor])</f>
        <v>AHD</v>
      </c>
      <c r="D3836" s="7" t="s">
        <v>28</v>
      </c>
      <c r="E3836" t="str">
        <f>_xlfn.XLOOKUP(Vendas[[#This Row],[ID Item Vendido]],Agregado[ID],Agregado[Produto])</f>
        <v>Peça usinada CNC</v>
      </c>
      <c r="F3836" s="39">
        <v>45539</v>
      </c>
      <c r="G3836" s="7">
        <v>13</v>
      </c>
      <c r="H3836" s="3">
        <f>_xlfn.XLOOKUP(Vendas[[#This Row],[ID Item Vendido]],Agregado[ID],Agregado[Revenda])</f>
        <v>192</v>
      </c>
      <c r="I3836" s="3">
        <f>Vendas[[#This Row],[Valor Unitário]]*Vendas[[#This Row],[Qnt Vendida]]</f>
        <v>2496</v>
      </c>
      <c r="J3836" s="3">
        <f>Vendas[[#This Row],[Valor da Venda]]-(_xlfn.XLOOKUP(Vendas[[#This Row],[ID Item Vendido]],Agregado[ID],Agregado[Custo])*Vendas[[#This Row],[Qnt Vendida]])</f>
        <v>546</v>
      </c>
      <c r="K3836" s="70">
        <f>Vendas[[#This Row],[Lucro da Venda]]/Vendas[[#This Row],[Valor da Venda]]</f>
        <v>0.21875</v>
      </c>
      <c r="L3836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3836"/>
    </row>
    <row r="3837" spans="1:13" x14ac:dyDescent="0.3">
      <c r="A3837" s="7">
        <v>400246</v>
      </c>
      <c r="B3837" t="str">
        <f>_xlfn.XLOOKUP(Vendas[[#This Row],[ID Vendedor]],Vendedores[ID],Vendedores[Nome])</f>
        <v>Juliana</v>
      </c>
      <c r="C3837" s="7" t="str">
        <f>_xlfn.XLOOKUP(Vendas[[#This Row],[ID Vendedor]],Vendedores[ID],Vendedores[Setor])</f>
        <v>AHD</v>
      </c>
      <c r="D3837" s="7" t="s">
        <v>28</v>
      </c>
      <c r="E3837" t="str">
        <f>_xlfn.XLOOKUP(Vendas[[#This Row],[ID Item Vendido]],Agregado[ID],Agregado[Produto])</f>
        <v>Peça usinada CNC</v>
      </c>
      <c r="F3837" s="39">
        <v>45540</v>
      </c>
      <c r="G3837" s="7">
        <v>9</v>
      </c>
      <c r="H3837" s="3">
        <f>_xlfn.XLOOKUP(Vendas[[#This Row],[ID Item Vendido]],Agregado[ID],Agregado[Revenda])</f>
        <v>192</v>
      </c>
      <c r="I3837" s="3">
        <f>Vendas[[#This Row],[Valor Unitário]]*Vendas[[#This Row],[Qnt Vendida]]</f>
        <v>1728</v>
      </c>
      <c r="J3837" s="3">
        <f>Vendas[[#This Row],[Valor da Venda]]-(_xlfn.XLOOKUP(Vendas[[#This Row],[ID Item Vendido]],Agregado[ID],Agregado[Custo])*Vendas[[#This Row],[Qnt Vendida]])</f>
        <v>378</v>
      </c>
      <c r="K3837" s="70">
        <f>Vendas[[#This Row],[Lucro da Venda]]/Vendas[[#This Row],[Valor da Venda]]</f>
        <v>0.21875</v>
      </c>
      <c r="L3837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3837"/>
    </row>
    <row r="3838" spans="1:13" x14ac:dyDescent="0.3">
      <c r="A3838" s="7">
        <v>400245</v>
      </c>
      <c r="B3838" t="str">
        <f>_xlfn.XLOOKUP(Vendas[[#This Row],[ID Vendedor]],Vendedores[ID],Vendedores[Nome])</f>
        <v>Thiago</v>
      </c>
      <c r="C3838" s="7" t="str">
        <f>_xlfn.XLOOKUP(Vendas[[#This Row],[ID Vendedor]],Vendedores[ID],Vendedores[Setor])</f>
        <v>AHD</v>
      </c>
      <c r="D3838" s="7" t="s">
        <v>30</v>
      </c>
      <c r="E3838" t="str">
        <f>_xlfn.XLOOKUP(Vendas[[#This Row],[ID Item Vendido]],Agregado[ID],Agregado[Produto])</f>
        <v>Estrutura metálica soldada</v>
      </c>
      <c r="F3838" s="39">
        <v>45540</v>
      </c>
      <c r="G3838" s="7">
        <v>3</v>
      </c>
      <c r="H3838" s="3">
        <f>_xlfn.XLOOKUP(Vendas[[#This Row],[ID Item Vendido]],Agregado[ID],Agregado[Revenda])</f>
        <v>400</v>
      </c>
      <c r="I3838" s="3">
        <f>Vendas[[#This Row],[Valor Unitário]]*Vendas[[#This Row],[Qnt Vendida]]</f>
        <v>1200</v>
      </c>
      <c r="J3838" s="3">
        <f>Vendas[[#This Row],[Valor da Venda]]-(_xlfn.XLOOKUP(Vendas[[#This Row],[ID Item Vendido]],Agregado[ID],Agregado[Custo])*Vendas[[#This Row],[Qnt Vendida]])</f>
        <v>240</v>
      </c>
      <c r="K3838" s="70">
        <f>Vendas[[#This Row],[Lucro da Venda]]/Vendas[[#This Row],[Valor da Venda]]</f>
        <v>0.2</v>
      </c>
      <c r="L3838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838"/>
    </row>
    <row r="3839" spans="1:13" x14ac:dyDescent="0.3">
      <c r="A3839" s="7">
        <v>400252</v>
      </c>
      <c r="B3839" t="str">
        <f>_xlfn.XLOOKUP(Vendas[[#This Row],[ID Vendedor]],Vendedores[ID],Vendedores[Nome])</f>
        <v>Renata</v>
      </c>
      <c r="C3839" s="7" t="str">
        <f>_xlfn.XLOOKUP(Vendas[[#This Row],[ID Vendedor]],Vendedores[ID],Vendedores[Setor])</f>
        <v>AB</v>
      </c>
      <c r="D3839" s="7" t="s">
        <v>12</v>
      </c>
      <c r="E3839" t="str">
        <f>_xlfn.XLOOKUP(Vendas[[#This Row],[ID Item Vendido]],Agregado[ID],Agregado[Produto])</f>
        <v>Grânulo de plástico reciclado refinado</v>
      </c>
      <c r="F3839" s="39">
        <v>45540</v>
      </c>
      <c r="G3839" s="7">
        <v>150</v>
      </c>
      <c r="H3839" s="3">
        <f>_xlfn.XLOOKUP(Vendas[[#This Row],[ID Item Vendido]],Agregado[ID],Agregado[Revenda])</f>
        <v>4.7</v>
      </c>
      <c r="I3839" s="3">
        <f>Vendas[[#This Row],[Valor Unitário]]*Vendas[[#This Row],[Qnt Vendida]]</f>
        <v>705</v>
      </c>
      <c r="J3839" s="3">
        <f>Vendas[[#This Row],[Valor da Venda]]-(_xlfn.XLOOKUP(Vendas[[#This Row],[ID Item Vendido]],Agregado[ID],Agregado[Custo])*Vendas[[#This Row],[Qnt Vendida]])</f>
        <v>180</v>
      </c>
      <c r="K3839" s="70">
        <f>Vendas[[#This Row],[Lucro da Venda]]/Vendas[[#This Row],[Valor da Venda]]</f>
        <v>0.25531914893617019</v>
      </c>
      <c r="L3839" s="3">
        <f>_xlfn.IFS(Vendas[[#This Row],[Margem de Lucro (%)]]&lt;15%,Vendas[[#This Row],[Valor da Venda]]*3%,Vendas[[#This Row],[Margem de Lucro (%)]]&lt;=20%,Vendas[[#This Row],[Valor da Venda]]*4.5%,TRUE,Vendas[[#This Row],[Valor da Venda]]*6%)</f>
        <v>42.3</v>
      </c>
      <c r="M3839"/>
    </row>
    <row r="3840" spans="1:13" x14ac:dyDescent="0.3">
      <c r="A3840" s="7">
        <v>400254</v>
      </c>
      <c r="B3840" t="str">
        <f>_xlfn.XLOOKUP(Vendas[[#This Row],[ID Vendedor]],Vendedores[ID],Vendedores[Nome])</f>
        <v>Beatriz</v>
      </c>
      <c r="C3840" s="7" t="str">
        <f>_xlfn.XLOOKUP(Vendas[[#This Row],[ID Vendedor]],Vendedores[ID],Vendedores[Setor])</f>
        <v>SC</v>
      </c>
      <c r="D3840" s="7" t="s">
        <v>14</v>
      </c>
      <c r="E3840" t="str">
        <f>_xlfn.XLOOKUP(Vendas[[#This Row],[ID Item Vendido]],Agregado[ID],Agregado[Produto])</f>
        <v>Barril de plástico 200L</v>
      </c>
      <c r="F3840" s="39">
        <v>45541</v>
      </c>
      <c r="G3840" s="7">
        <v>11</v>
      </c>
      <c r="H3840" s="3">
        <f>_xlfn.XLOOKUP(Vendas[[#This Row],[ID Item Vendido]],Agregado[ID],Agregado[Revenda])</f>
        <v>114</v>
      </c>
      <c r="I3840" s="3">
        <f>Vendas[[#This Row],[Valor Unitário]]*Vendas[[#This Row],[Qnt Vendida]]</f>
        <v>1254</v>
      </c>
      <c r="J3840" s="3">
        <f>Vendas[[#This Row],[Valor da Venda]]-(_xlfn.XLOOKUP(Vendas[[#This Row],[ID Item Vendido]],Agregado[ID],Agregado[Custo])*Vendas[[#This Row],[Qnt Vendida]])</f>
        <v>209</v>
      </c>
      <c r="K3840" s="70">
        <f>Vendas[[#This Row],[Lucro da Venda]]/Vendas[[#This Row],[Valor da Venda]]</f>
        <v>0.16666666666666666</v>
      </c>
      <c r="L3840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840"/>
    </row>
    <row r="3841" spans="1:13" x14ac:dyDescent="0.3">
      <c r="A3841" s="7">
        <v>400253</v>
      </c>
      <c r="B3841" t="str">
        <f>_xlfn.XLOOKUP(Vendas[[#This Row],[ID Vendedor]],Vendedores[ID],Vendedores[Nome])</f>
        <v>Gustavo</v>
      </c>
      <c r="C3841" s="7" t="str">
        <f>_xlfn.XLOOKUP(Vendas[[#This Row],[ID Vendedor]],Vendedores[ID],Vendedores[Setor])</f>
        <v>SC</v>
      </c>
      <c r="D3841" s="7" t="s">
        <v>42</v>
      </c>
      <c r="E3841" t="str">
        <f>_xlfn.XLOOKUP(Vendas[[#This Row],[ID Item Vendido]],Agregado[ID],Agregado[Produto])</f>
        <v>Container de ferro industrial</v>
      </c>
      <c r="F3841" s="39">
        <v>45542</v>
      </c>
      <c r="G3841" s="7">
        <v>4</v>
      </c>
      <c r="H3841" s="3">
        <f>_xlfn.XLOOKUP(Vendas[[#This Row],[ID Item Vendido]],Agregado[ID],Agregado[Revenda])</f>
        <v>830</v>
      </c>
      <c r="I3841" s="3">
        <f>Vendas[[#This Row],[Valor Unitário]]*Vendas[[#This Row],[Qnt Vendida]]</f>
        <v>3320</v>
      </c>
      <c r="J3841" s="3">
        <f>Vendas[[#This Row],[Valor da Venda]]-(_xlfn.XLOOKUP(Vendas[[#This Row],[ID Item Vendido]],Agregado[ID],Agregado[Custo])*Vendas[[#This Row],[Qnt Vendida]])</f>
        <v>600</v>
      </c>
      <c r="K3841" s="70">
        <f>Vendas[[#This Row],[Lucro da Venda]]/Vendas[[#This Row],[Valor da Venda]]</f>
        <v>0.18072289156626506</v>
      </c>
      <c r="L384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841"/>
    </row>
    <row r="3842" spans="1:13" x14ac:dyDescent="0.3">
      <c r="A3842" s="7">
        <v>400246</v>
      </c>
      <c r="B3842" t="str">
        <f>_xlfn.XLOOKUP(Vendas[[#This Row],[ID Vendedor]],Vendedores[ID],Vendedores[Nome])</f>
        <v>Juliana</v>
      </c>
      <c r="C3842" s="7" t="str">
        <f>_xlfn.XLOOKUP(Vendas[[#This Row],[ID Vendedor]],Vendedores[ID],Vendedores[Setor])</f>
        <v>AHD</v>
      </c>
      <c r="D3842" s="7" t="s">
        <v>18</v>
      </c>
      <c r="E3842" t="str">
        <f>_xlfn.XLOOKUP(Vendas[[#This Row],[ID Item Vendido]],Agregado[ID],Agregado[Produto])</f>
        <v>Peça forjada sob encomenda</v>
      </c>
      <c r="F3842" s="39">
        <v>45542</v>
      </c>
      <c r="G3842" s="7">
        <v>5</v>
      </c>
      <c r="H3842" s="3">
        <f>_xlfn.XLOOKUP(Vendas[[#This Row],[ID Item Vendido]],Agregado[ID],Agregado[Revenda])</f>
        <v>264.60000000000002</v>
      </c>
      <c r="I3842" s="3">
        <f>Vendas[[#This Row],[Valor Unitário]]*Vendas[[#This Row],[Qnt Vendida]]</f>
        <v>1323</v>
      </c>
      <c r="J3842" s="3">
        <f>Vendas[[#This Row],[Valor da Venda]]-(_xlfn.XLOOKUP(Vendas[[#This Row],[ID Item Vendido]],Agregado[ID],Agregado[Custo])*Vendas[[#This Row],[Qnt Vendida]])</f>
        <v>73</v>
      </c>
      <c r="K3842" s="70">
        <f>Vendas[[#This Row],[Lucro da Venda]]/Vendas[[#This Row],[Valor da Venda]]</f>
        <v>5.5177626606198037E-2</v>
      </c>
      <c r="L3842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3842"/>
    </row>
    <row r="3843" spans="1:13" x14ac:dyDescent="0.3">
      <c r="A3843" s="7">
        <v>400244</v>
      </c>
      <c r="B3843" t="str">
        <f>_xlfn.XLOOKUP(Vendas[[#This Row],[ID Vendedor]],Vendedores[ID],Vendedores[Nome])</f>
        <v>Camila</v>
      </c>
      <c r="C3843" s="7" t="str">
        <f>_xlfn.XLOOKUP(Vendas[[#This Row],[ID Vendedor]],Vendedores[ID],Vendedores[Setor])</f>
        <v>AHD</v>
      </c>
      <c r="D3843" s="7" t="s">
        <v>44</v>
      </c>
      <c r="E3843" t="str">
        <f>_xlfn.XLOOKUP(Vendas[[#This Row],[ID Item Vendido]],Agregado[ID],Agregado[Produto])</f>
        <v>Liga metálica especial</v>
      </c>
      <c r="F3843" s="39">
        <v>45542</v>
      </c>
      <c r="G3843" s="7">
        <v>46</v>
      </c>
      <c r="H3843" s="3">
        <f>_xlfn.XLOOKUP(Vendas[[#This Row],[ID Item Vendido]],Agregado[ID],Agregado[Revenda])</f>
        <v>32.5</v>
      </c>
      <c r="I3843" s="3">
        <f>Vendas[[#This Row],[Valor Unitário]]*Vendas[[#This Row],[Qnt Vendida]]</f>
        <v>1495</v>
      </c>
      <c r="J3843" s="3">
        <f>Vendas[[#This Row],[Valor da Venda]]-(_xlfn.XLOOKUP(Vendas[[#This Row],[ID Item Vendido]],Agregado[ID],Agregado[Custo])*Vendas[[#This Row],[Qnt Vendida]])</f>
        <v>345</v>
      </c>
      <c r="K3843" s="70">
        <f>Vendas[[#This Row],[Lucro da Venda]]/Vendas[[#This Row],[Valor da Venda]]</f>
        <v>0.23076923076923078</v>
      </c>
      <c r="L3843" s="3">
        <f>_xlfn.IFS(Vendas[[#This Row],[Margem de Lucro (%)]]&lt;15%,Vendas[[#This Row],[Valor da Venda]]*3%,Vendas[[#This Row],[Margem de Lucro (%)]]&lt;=20%,Vendas[[#This Row],[Valor da Venda]]*4.5%,TRUE,Vendas[[#This Row],[Valor da Venda]]*6%)</f>
        <v>89.7</v>
      </c>
      <c r="M3843"/>
    </row>
    <row r="3844" spans="1:13" x14ac:dyDescent="0.3">
      <c r="A3844" s="7">
        <v>400251</v>
      </c>
      <c r="B3844" t="str">
        <f>_xlfn.XLOOKUP(Vendas[[#This Row],[ID Vendedor]],Vendedores[ID],Vendedores[Nome])</f>
        <v>Diego</v>
      </c>
      <c r="C3844" s="7" t="str">
        <f>_xlfn.XLOOKUP(Vendas[[#This Row],[ID Vendedor]],Vendedores[ID],Vendedores[Setor])</f>
        <v>AB</v>
      </c>
      <c r="D3844" s="7" t="s">
        <v>24</v>
      </c>
      <c r="E3844" t="str">
        <f>_xlfn.XLOOKUP(Vendas[[#This Row],[ID Item Vendido]],Agregado[ID],Agregado[Produto])</f>
        <v>Resina plástica PET purificada saco de 25kg</v>
      </c>
      <c r="F3844" s="39">
        <v>45542</v>
      </c>
      <c r="G3844" s="7">
        <v>2</v>
      </c>
      <c r="H3844" s="3">
        <f>_xlfn.XLOOKUP(Vendas[[#This Row],[ID Item Vendido]],Agregado[ID],Agregado[Revenda])</f>
        <v>119</v>
      </c>
      <c r="I3844" s="3">
        <f>Vendas[[#This Row],[Valor Unitário]]*Vendas[[#This Row],[Qnt Vendida]]</f>
        <v>238</v>
      </c>
      <c r="J3844" s="3">
        <f>Vendas[[#This Row],[Valor da Venda]]-(_xlfn.XLOOKUP(Vendas[[#This Row],[ID Item Vendido]],Agregado[ID],Agregado[Custo])*Vendas[[#This Row],[Qnt Vendida]])</f>
        <v>68</v>
      </c>
      <c r="K3844" s="70">
        <f>Vendas[[#This Row],[Lucro da Venda]]/Vendas[[#This Row],[Valor da Venda]]</f>
        <v>0.2857142857142857</v>
      </c>
      <c r="L3844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3844"/>
    </row>
    <row r="3845" spans="1:13" x14ac:dyDescent="0.3">
      <c r="A3845" s="7">
        <v>400252</v>
      </c>
      <c r="B3845" t="str">
        <f>_xlfn.XLOOKUP(Vendas[[#This Row],[ID Vendedor]],Vendedores[ID],Vendedores[Nome])</f>
        <v>Renata</v>
      </c>
      <c r="C3845" s="7" t="str">
        <f>_xlfn.XLOOKUP(Vendas[[#This Row],[ID Vendedor]],Vendedores[ID],Vendedores[Setor])</f>
        <v>AB</v>
      </c>
      <c r="D3845" s="7" t="s">
        <v>37</v>
      </c>
      <c r="E3845" t="str">
        <f>_xlfn.XLOOKUP(Vendas[[#This Row],[ID Item Vendido]],Agregado[ID],Agregado[Produto])</f>
        <v>Composto de borracha para vedação rolo 10m</v>
      </c>
      <c r="F3845" s="39">
        <v>45543</v>
      </c>
      <c r="G3845" s="7">
        <v>24</v>
      </c>
      <c r="H3845" s="3">
        <f>_xlfn.XLOOKUP(Vendas[[#This Row],[ID Item Vendido]],Agregado[ID],Agregado[Revenda])</f>
        <v>51.2</v>
      </c>
      <c r="I3845" s="3">
        <f>Vendas[[#This Row],[Valor Unitário]]*Vendas[[#This Row],[Qnt Vendida]]</f>
        <v>1228.8000000000002</v>
      </c>
      <c r="J3845" s="3">
        <f>Vendas[[#This Row],[Valor da Venda]]-(_xlfn.XLOOKUP(Vendas[[#This Row],[ID Item Vendido]],Agregado[ID],Agregado[Custo])*Vendas[[#This Row],[Qnt Vendida]])</f>
        <v>268.80000000000018</v>
      </c>
      <c r="K3845" s="70">
        <f>Vendas[[#This Row],[Lucro da Venda]]/Vendas[[#This Row],[Valor da Venda]]</f>
        <v>0.21875000000000011</v>
      </c>
      <c r="L3845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3845"/>
    </row>
    <row r="3846" spans="1:13" x14ac:dyDescent="0.3">
      <c r="A3846" s="7">
        <v>400248</v>
      </c>
      <c r="B3846" t="str">
        <f>_xlfn.XLOOKUP(Vendas[[#This Row],[ID Vendedor]],Vendedores[ID],Vendedores[Nome])</f>
        <v>Patrícia</v>
      </c>
      <c r="C3846" s="7" t="str">
        <f>_xlfn.XLOOKUP(Vendas[[#This Row],[ID Vendedor]],Vendedores[ID],Vendedores[Setor])</f>
        <v>CM</v>
      </c>
      <c r="D3846" s="7" t="s">
        <v>43</v>
      </c>
      <c r="E3846" t="str">
        <f>_xlfn.XLOOKUP(Vendas[[#This Row],[ID Item Vendido]],Agregado[ID],Agregado[Produto])</f>
        <v>Madeira Bruta (Tora)</v>
      </c>
      <c r="F3846" s="39">
        <v>45543</v>
      </c>
      <c r="G3846" s="7">
        <v>2</v>
      </c>
      <c r="H3846" s="3">
        <f>_xlfn.XLOOKUP(Vendas[[#This Row],[ID Item Vendido]],Agregado[ID],Agregado[Revenda])</f>
        <v>212</v>
      </c>
      <c r="I3846" s="3">
        <f>Vendas[[#This Row],[Valor Unitário]]*Vendas[[#This Row],[Qnt Vendida]]</f>
        <v>424</v>
      </c>
      <c r="J3846" s="3">
        <f>Vendas[[#This Row],[Valor da Venda]]-(_xlfn.XLOOKUP(Vendas[[#This Row],[ID Item Vendido]],Agregado[ID],Agregado[Custo])*Vendas[[#This Row],[Qnt Vendida]])</f>
        <v>64</v>
      </c>
      <c r="K3846" s="70">
        <f>Vendas[[#This Row],[Lucro da Venda]]/Vendas[[#This Row],[Valor da Venda]]</f>
        <v>0.15094339622641509</v>
      </c>
      <c r="L3846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3846"/>
    </row>
    <row r="3847" spans="1:13" x14ac:dyDescent="0.3">
      <c r="A3847" s="7">
        <v>400251</v>
      </c>
      <c r="B3847" t="str">
        <f>_xlfn.XLOOKUP(Vendas[[#This Row],[ID Vendedor]],Vendedores[ID],Vendedores[Nome])</f>
        <v>Diego</v>
      </c>
      <c r="C3847" s="7" t="str">
        <f>_xlfn.XLOOKUP(Vendas[[#This Row],[ID Vendedor]],Vendedores[ID],Vendedores[Setor])</f>
        <v>AB</v>
      </c>
      <c r="D3847" s="7" t="s">
        <v>37</v>
      </c>
      <c r="E3847" t="str">
        <f>_xlfn.XLOOKUP(Vendas[[#This Row],[ID Item Vendido]],Agregado[ID],Agregado[Produto])</f>
        <v>Composto de borracha para vedação rolo 10m</v>
      </c>
      <c r="F3847" s="39">
        <v>45543</v>
      </c>
      <c r="G3847" s="7">
        <v>5</v>
      </c>
      <c r="H3847" s="3">
        <f>_xlfn.XLOOKUP(Vendas[[#This Row],[ID Item Vendido]],Agregado[ID],Agregado[Revenda])</f>
        <v>51.2</v>
      </c>
      <c r="I3847" s="3">
        <f>Vendas[[#This Row],[Valor Unitário]]*Vendas[[#This Row],[Qnt Vendida]]</f>
        <v>256</v>
      </c>
      <c r="J3847" s="3">
        <f>Vendas[[#This Row],[Valor da Venda]]-(_xlfn.XLOOKUP(Vendas[[#This Row],[ID Item Vendido]],Agregado[ID],Agregado[Custo])*Vendas[[#This Row],[Qnt Vendida]])</f>
        <v>56</v>
      </c>
      <c r="K3847" s="70">
        <f>Vendas[[#This Row],[Lucro da Venda]]/Vendas[[#This Row],[Valor da Venda]]</f>
        <v>0.21875</v>
      </c>
      <c r="L3847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3847"/>
    </row>
    <row r="3848" spans="1:13" x14ac:dyDescent="0.3">
      <c r="A3848" s="7">
        <v>400242</v>
      </c>
      <c r="B3848" t="str">
        <f>_xlfn.XLOOKUP(Vendas[[#This Row],[ID Vendedor]],Vendedores[ID],Vendedores[Nome])</f>
        <v>Fernanda</v>
      </c>
      <c r="C3848" s="7" t="str">
        <f>_xlfn.XLOOKUP(Vendas[[#This Row],[ID Vendedor]],Vendedores[ID],Vendedores[Setor])</f>
        <v>FM</v>
      </c>
      <c r="D3848" s="7" t="s">
        <v>6</v>
      </c>
      <c r="E3848" t="str">
        <f>_xlfn.XLOOKUP(Vendas[[#This Row],[ID Item Vendido]],Agregado[ID],Agregado[Produto])</f>
        <v>Parafuso comum 500un</v>
      </c>
      <c r="F3848" s="39">
        <v>45543</v>
      </c>
      <c r="G3848" s="7">
        <v>6</v>
      </c>
      <c r="H3848" s="3">
        <f>_xlfn.XLOOKUP(Vendas[[#This Row],[ID Item Vendido]],Agregado[ID],Agregado[Revenda])</f>
        <v>24.6</v>
      </c>
      <c r="I3848" s="3">
        <f>Vendas[[#This Row],[Valor Unitário]]*Vendas[[#This Row],[Qnt Vendida]]</f>
        <v>147.60000000000002</v>
      </c>
      <c r="J3848" s="3">
        <f>Vendas[[#This Row],[Valor da Venda]]-(_xlfn.XLOOKUP(Vendas[[#This Row],[ID Item Vendido]],Agregado[ID],Agregado[Custo])*Vendas[[#This Row],[Qnt Vendida]])</f>
        <v>15.600000000000023</v>
      </c>
      <c r="K3848" s="70">
        <f>Vendas[[#This Row],[Lucro da Venda]]/Vendas[[#This Row],[Valor da Venda]]</f>
        <v>0.10569105691056924</v>
      </c>
      <c r="L3848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3848"/>
    </row>
    <row r="3849" spans="1:13" x14ac:dyDescent="0.3">
      <c r="A3849" s="7">
        <v>400254</v>
      </c>
      <c r="B3849" t="str">
        <f>_xlfn.XLOOKUP(Vendas[[#This Row],[ID Vendedor]],Vendedores[ID],Vendedores[Nome])</f>
        <v>Beatriz</v>
      </c>
      <c r="C3849" s="7" t="str">
        <f>_xlfn.XLOOKUP(Vendas[[#This Row],[ID Vendedor]],Vendedores[ID],Vendedores[Setor])</f>
        <v>SC</v>
      </c>
      <c r="D3849" s="7" t="s">
        <v>42</v>
      </c>
      <c r="E3849" t="str">
        <f>_xlfn.XLOOKUP(Vendas[[#This Row],[ID Item Vendido]],Agregado[ID],Agregado[Produto])</f>
        <v>Container de ferro industrial</v>
      </c>
      <c r="F3849" s="39">
        <v>45544</v>
      </c>
      <c r="G3849" s="7">
        <v>3</v>
      </c>
      <c r="H3849" s="3">
        <f>_xlfn.XLOOKUP(Vendas[[#This Row],[ID Item Vendido]],Agregado[ID],Agregado[Revenda])</f>
        <v>830</v>
      </c>
      <c r="I3849" s="3">
        <f>Vendas[[#This Row],[Valor Unitário]]*Vendas[[#This Row],[Qnt Vendida]]</f>
        <v>2490</v>
      </c>
      <c r="J3849" s="3">
        <f>Vendas[[#This Row],[Valor da Venda]]-(_xlfn.XLOOKUP(Vendas[[#This Row],[ID Item Vendido]],Agregado[ID],Agregado[Custo])*Vendas[[#This Row],[Qnt Vendida]])</f>
        <v>450</v>
      </c>
      <c r="K3849" s="70">
        <f>Vendas[[#This Row],[Lucro da Venda]]/Vendas[[#This Row],[Valor da Venda]]</f>
        <v>0.18072289156626506</v>
      </c>
      <c r="L384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849"/>
    </row>
    <row r="3850" spans="1:13" x14ac:dyDescent="0.3">
      <c r="A3850" s="7">
        <v>400246</v>
      </c>
      <c r="B3850" t="str">
        <f>_xlfn.XLOOKUP(Vendas[[#This Row],[ID Vendedor]],Vendedores[ID],Vendedores[Nome])</f>
        <v>Juliana</v>
      </c>
      <c r="C3850" s="7" t="str">
        <f>_xlfn.XLOOKUP(Vendas[[#This Row],[ID Vendedor]],Vendedores[ID],Vendedores[Setor])</f>
        <v>AHD</v>
      </c>
      <c r="D3850" s="7" t="s">
        <v>9</v>
      </c>
      <c r="E3850" t="str">
        <f>_xlfn.XLOOKUP(Vendas[[#This Row],[ID Item Vendido]],Agregado[ID],Agregado[Produto])</f>
        <v>Barra de aço simples</v>
      </c>
      <c r="F3850" s="39">
        <v>45544</v>
      </c>
      <c r="G3850" s="7">
        <v>98</v>
      </c>
      <c r="H3850" s="3">
        <f>_xlfn.XLOOKUP(Vendas[[#This Row],[ID Item Vendido]],Agregado[ID],Agregado[Revenda])</f>
        <v>6.7</v>
      </c>
      <c r="I3850" s="3">
        <f>Vendas[[#This Row],[Valor Unitário]]*Vendas[[#This Row],[Qnt Vendida]]</f>
        <v>656.6</v>
      </c>
      <c r="J3850" s="3">
        <f>Vendas[[#This Row],[Valor da Venda]]-(_xlfn.XLOOKUP(Vendas[[#This Row],[ID Item Vendido]],Agregado[ID],Agregado[Custo])*Vendas[[#This Row],[Qnt Vendida]])</f>
        <v>88.200000000000045</v>
      </c>
      <c r="K3850" s="70">
        <f>Vendas[[#This Row],[Lucro da Venda]]/Vendas[[#This Row],[Valor da Venda]]</f>
        <v>0.13432835820895528</v>
      </c>
      <c r="L3850" s="3">
        <f>_xlfn.IFS(Vendas[[#This Row],[Margem de Lucro (%)]]&lt;15%,Vendas[[#This Row],[Valor da Venda]]*3%,Vendas[[#This Row],[Margem de Lucro (%)]]&lt;=20%,Vendas[[#This Row],[Valor da Venda]]*4.5%,TRUE,Vendas[[#This Row],[Valor da Venda]]*6%)</f>
        <v>19.698</v>
      </c>
      <c r="M3850"/>
    </row>
    <row r="3851" spans="1:13" x14ac:dyDescent="0.3">
      <c r="A3851" s="7">
        <v>400243</v>
      </c>
      <c r="B3851" t="str">
        <f>_xlfn.XLOOKUP(Vendas[[#This Row],[ID Vendedor]],Vendedores[ID],Vendedores[Nome])</f>
        <v>Marcelo</v>
      </c>
      <c r="C3851" s="7" t="str">
        <f>_xlfn.XLOOKUP(Vendas[[#This Row],[ID Vendedor]],Vendedores[ID],Vendedores[Setor])</f>
        <v>FM</v>
      </c>
      <c r="D3851" s="7" t="s">
        <v>31</v>
      </c>
      <c r="E3851" t="str">
        <f>_xlfn.XLOOKUP(Vendas[[#This Row],[ID Item Vendido]],Agregado[ID],Agregado[Produto])</f>
        <v>Tela de metal soldada rolo 2x25m</v>
      </c>
      <c r="F3851" s="39">
        <v>45545</v>
      </c>
      <c r="G3851" s="7">
        <v>17</v>
      </c>
      <c r="H3851" s="3">
        <f>_xlfn.XLOOKUP(Vendas[[#This Row],[ID Item Vendido]],Agregado[ID],Agregado[Revenda])</f>
        <v>43.7</v>
      </c>
      <c r="I3851" s="3">
        <f>Vendas[[#This Row],[Valor Unitário]]*Vendas[[#This Row],[Qnt Vendida]]</f>
        <v>742.90000000000009</v>
      </c>
      <c r="J3851" s="3">
        <f>Vendas[[#This Row],[Valor da Venda]]-(_xlfn.XLOOKUP(Vendas[[#This Row],[ID Item Vendido]],Agregado[ID],Agregado[Custo])*Vendas[[#This Row],[Qnt Vendida]])</f>
        <v>96.900000000000091</v>
      </c>
      <c r="K3851" s="70">
        <f>Vendas[[#This Row],[Lucro da Venda]]/Vendas[[#This Row],[Valor da Venda]]</f>
        <v>0.13043478260869576</v>
      </c>
      <c r="L3851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3851"/>
    </row>
    <row r="3852" spans="1:13" x14ac:dyDescent="0.3">
      <c r="A3852" s="7">
        <v>400241</v>
      </c>
      <c r="B3852" t="str">
        <f>_xlfn.XLOOKUP(Vendas[[#This Row],[ID Vendedor]],Vendedores[ID],Vendedores[Nome])</f>
        <v>Rodrigo</v>
      </c>
      <c r="C3852" s="7" t="str">
        <f>_xlfn.XLOOKUP(Vendas[[#This Row],[ID Vendedor]],Vendedores[ID],Vendedores[Setor])</f>
        <v>FM</v>
      </c>
      <c r="D3852" s="7" t="s">
        <v>47</v>
      </c>
      <c r="E3852" t="str">
        <f>_xlfn.XLOOKUP(Vendas[[#This Row],[ID Item Vendido]],Agregado[ID],Agregado[Produto])</f>
        <v>Fio de arame galvanizado rolo 50m</v>
      </c>
      <c r="F3852" s="39">
        <v>45545</v>
      </c>
      <c r="G3852" s="7">
        <v>11</v>
      </c>
      <c r="H3852" s="3">
        <f>_xlfn.XLOOKUP(Vendas[[#This Row],[ID Item Vendido]],Agregado[ID],Agregado[Revenda])</f>
        <v>21.2</v>
      </c>
      <c r="I3852" s="3">
        <f>Vendas[[#This Row],[Valor Unitário]]*Vendas[[#This Row],[Qnt Vendida]]</f>
        <v>233.2</v>
      </c>
      <c r="J3852" s="3">
        <f>Vendas[[#This Row],[Valor da Venda]]-(_xlfn.XLOOKUP(Vendas[[#This Row],[ID Item Vendido]],Agregado[ID],Agregado[Custo])*Vendas[[#This Row],[Qnt Vendida]])</f>
        <v>35.199999999999989</v>
      </c>
      <c r="K3852" s="70">
        <f>Vendas[[#This Row],[Lucro da Venda]]/Vendas[[#This Row],[Valor da Venda]]</f>
        <v>0.15094339622641506</v>
      </c>
      <c r="L3852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3852"/>
    </row>
    <row r="3853" spans="1:13" x14ac:dyDescent="0.3">
      <c r="A3853" s="7">
        <v>400246</v>
      </c>
      <c r="B3853" t="str">
        <f>_xlfn.XLOOKUP(Vendas[[#This Row],[ID Vendedor]],Vendedores[ID],Vendedores[Nome])</f>
        <v>Juliana</v>
      </c>
      <c r="C3853" s="7" t="str">
        <f>_xlfn.XLOOKUP(Vendas[[#This Row],[ID Vendedor]],Vendedores[ID],Vendedores[Setor])</f>
        <v>AHD</v>
      </c>
      <c r="D3853" s="7" t="s">
        <v>30</v>
      </c>
      <c r="E3853" t="str">
        <f>_xlfn.XLOOKUP(Vendas[[#This Row],[ID Item Vendido]],Agregado[ID],Agregado[Produto])</f>
        <v>Estrutura metálica soldada</v>
      </c>
      <c r="F3853" s="39">
        <v>45546</v>
      </c>
      <c r="G3853" s="7">
        <v>8</v>
      </c>
      <c r="H3853" s="3">
        <f>_xlfn.XLOOKUP(Vendas[[#This Row],[ID Item Vendido]],Agregado[ID],Agregado[Revenda])</f>
        <v>400</v>
      </c>
      <c r="I3853" s="3">
        <f>Vendas[[#This Row],[Valor Unitário]]*Vendas[[#This Row],[Qnt Vendida]]</f>
        <v>3200</v>
      </c>
      <c r="J3853" s="3">
        <f>Vendas[[#This Row],[Valor da Venda]]-(_xlfn.XLOOKUP(Vendas[[#This Row],[ID Item Vendido]],Agregado[ID],Agregado[Custo])*Vendas[[#This Row],[Qnt Vendida]])</f>
        <v>640</v>
      </c>
      <c r="K3853" s="70">
        <f>Vendas[[#This Row],[Lucro da Venda]]/Vendas[[#This Row],[Valor da Venda]]</f>
        <v>0.2</v>
      </c>
      <c r="L385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3853"/>
    </row>
    <row r="3854" spans="1:13" x14ac:dyDescent="0.3">
      <c r="A3854" s="7">
        <v>400244</v>
      </c>
      <c r="B3854" t="str">
        <f>_xlfn.XLOOKUP(Vendas[[#This Row],[ID Vendedor]],Vendedores[ID],Vendedores[Nome])</f>
        <v>Camila</v>
      </c>
      <c r="C3854" s="7" t="str">
        <f>_xlfn.XLOOKUP(Vendas[[#This Row],[ID Vendedor]],Vendedores[ID],Vendedores[Setor])</f>
        <v>AHD</v>
      </c>
      <c r="D3854" s="7" t="s">
        <v>28</v>
      </c>
      <c r="E3854" t="str">
        <f>_xlfn.XLOOKUP(Vendas[[#This Row],[ID Item Vendido]],Agregado[ID],Agregado[Produto])</f>
        <v>Peça usinada CNC</v>
      </c>
      <c r="F3854" s="39">
        <v>45546</v>
      </c>
      <c r="G3854" s="7">
        <v>12</v>
      </c>
      <c r="H3854" s="3">
        <f>_xlfn.XLOOKUP(Vendas[[#This Row],[ID Item Vendido]],Agregado[ID],Agregado[Revenda])</f>
        <v>192</v>
      </c>
      <c r="I3854" s="3">
        <f>Vendas[[#This Row],[Valor Unitário]]*Vendas[[#This Row],[Qnt Vendida]]</f>
        <v>2304</v>
      </c>
      <c r="J3854" s="3">
        <f>Vendas[[#This Row],[Valor da Venda]]-(_xlfn.XLOOKUP(Vendas[[#This Row],[ID Item Vendido]],Agregado[ID],Agregado[Custo])*Vendas[[#This Row],[Qnt Vendida]])</f>
        <v>504</v>
      </c>
      <c r="K3854" s="70">
        <f>Vendas[[#This Row],[Lucro da Venda]]/Vendas[[#This Row],[Valor da Venda]]</f>
        <v>0.21875</v>
      </c>
      <c r="L3854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3854"/>
    </row>
    <row r="3855" spans="1:13" x14ac:dyDescent="0.3">
      <c r="A3855" s="7">
        <v>400252</v>
      </c>
      <c r="B3855" t="str">
        <f>_xlfn.XLOOKUP(Vendas[[#This Row],[ID Vendedor]],Vendedores[ID],Vendedores[Nome])</f>
        <v>Renata</v>
      </c>
      <c r="C3855" s="7" t="str">
        <f>_xlfn.XLOOKUP(Vendas[[#This Row],[ID Vendedor]],Vendedores[ID],Vendedores[Setor])</f>
        <v>AB</v>
      </c>
      <c r="D3855" s="7" t="s">
        <v>39</v>
      </c>
      <c r="E3855" t="str">
        <f>_xlfn.XLOOKUP(Vendas[[#This Row],[ID Item Vendido]],Agregado[ID],Agregado[Produto])</f>
        <v>Filme plástico industrial rolo 50m</v>
      </c>
      <c r="F3855" s="39">
        <v>45546</v>
      </c>
      <c r="G3855" s="7">
        <v>26</v>
      </c>
      <c r="H3855" s="3">
        <f>_xlfn.XLOOKUP(Vendas[[#This Row],[ID Item Vendido]],Agregado[ID],Agregado[Revenda])</f>
        <v>37</v>
      </c>
      <c r="I3855" s="3">
        <f>Vendas[[#This Row],[Valor Unitário]]*Vendas[[#This Row],[Qnt Vendida]]</f>
        <v>962</v>
      </c>
      <c r="J3855" s="3">
        <f>Vendas[[#This Row],[Valor da Venda]]-(_xlfn.XLOOKUP(Vendas[[#This Row],[ID Item Vendido]],Agregado[ID],Agregado[Custo])*Vendas[[#This Row],[Qnt Vendida]])</f>
        <v>234</v>
      </c>
      <c r="K3855" s="70">
        <f>Vendas[[#This Row],[Lucro da Venda]]/Vendas[[#This Row],[Valor da Venda]]</f>
        <v>0.24324324324324326</v>
      </c>
      <c r="L3855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855"/>
    </row>
    <row r="3856" spans="1:13" x14ac:dyDescent="0.3">
      <c r="A3856" s="7">
        <v>400252</v>
      </c>
      <c r="B3856" t="str">
        <f>_xlfn.XLOOKUP(Vendas[[#This Row],[ID Vendedor]],Vendedores[ID],Vendedores[Nome])</f>
        <v>Renata</v>
      </c>
      <c r="C3856" s="7" t="str">
        <f>_xlfn.XLOOKUP(Vendas[[#This Row],[ID Vendedor]],Vendedores[ID],Vendedores[Setor])</f>
        <v>AB</v>
      </c>
      <c r="D3856" s="7" t="s">
        <v>36</v>
      </c>
      <c r="E3856" t="str">
        <f>_xlfn.XLOOKUP(Vendas[[#This Row],[ID Item Vendido]],Agregado[ID],Agregado[Produto])</f>
        <v>Borracha vulcanizada em manta</v>
      </c>
      <c r="F3856" s="39">
        <v>45546</v>
      </c>
      <c r="G3856" s="7">
        <v>61</v>
      </c>
      <c r="H3856" s="3">
        <f>_xlfn.XLOOKUP(Vendas[[#This Row],[ID Item Vendido]],Agregado[ID],Agregado[Revenda])</f>
        <v>7.8</v>
      </c>
      <c r="I3856" s="3">
        <f>Vendas[[#This Row],[Valor Unitário]]*Vendas[[#This Row],[Qnt Vendida]]</f>
        <v>475.8</v>
      </c>
      <c r="J3856" s="3">
        <f>Vendas[[#This Row],[Valor da Venda]]-(_xlfn.XLOOKUP(Vendas[[#This Row],[ID Item Vendido]],Agregado[ID],Agregado[Custo])*Vendas[[#This Row],[Qnt Vendida]])</f>
        <v>109.80000000000001</v>
      </c>
      <c r="K3856" s="70">
        <f>Vendas[[#This Row],[Lucro da Venda]]/Vendas[[#This Row],[Valor da Venda]]</f>
        <v>0.23076923076923078</v>
      </c>
      <c r="L3856" s="3">
        <f>_xlfn.IFS(Vendas[[#This Row],[Margem de Lucro (%)]]&lt;15%,Vendas[[#This Row],[Valor da Venda]]*3%,Vendas[[#This Row],[Margem de Lucro (%)]]&lt;=20%,Vendas[[#This Row],[Valor da Venda]]*4.5%,TRUE,Vendas[[#This Row],[Valor da Venda]]*6%)</f>
        <v>28.547999999999998</v>
      </c>
      <c r="M3856"/>
    </row>
    <row r="3857" spans="1:13" x14ac:dyDescent="0.3">
      <c r="A3857" s="7">
        <v>400252</v>
      </c>
      <c r="B3857" t="str">
        <f>_xlfn.XLOOKUP(Vendas[[#This Row],[ID Vendedor]],Vendedores[ID],Vendedores[Nome])</f>
        <v>Renata</v>
      </c>
      <c r="C3857" s="7" t="str">
        <f>_xlfn.XLOOKUP(Vendas[[#This Row],[ID Vendedor]],Vendedores[ID],Vendedores[Setor])</f>
        <v>AB</v>
      </c>
      <c r="D3857" s="7" t="s">
        <v>36</v>
      </c>
      <c r="E3857" t="str">
        <f>_xlfn.XLOOKUP(Vendas[[#This Row],[ID Item Vendido]],Agregado[ID],Agregado[Produto])</f>
        <v>Borracha vulcanizada em manta</v>
      </c>
      <c r="F3857" s="39">
        <v>45547</v>
      </c>
      <c r="G3857" s="7">
        <v>89</v>
      </c>
      <c r="H3857" s="3">
        <f>_xlfn.XLOOKUP(Vendas[[#This Row],[ID Item Vendido]],Agregado[ID],Agregado[Revenda])</f>
        <v>7.8</v>
      </c>
      <c r="I3857" s="3">
        <f>Vendas[[#This Row],[Valor Unitário]]*Vendas[[#This Row],[Qnt Vendida]]</f>
        <v>694.19999999999993</v>
      </c>
      <c r="J3857" s="3">
        <f>Vendas[[#This Row],[Valor da Venda]]-(_xlfn.XLOOKUP(Vendas[[#This Row],[ID Item Vendido]],Agregado[ID],Agregado[Custo])*Vendas[[#This Row],[Qnt Vendida]])</f>
        <v>160.19999999999993</v>
      </c>
      <c r="K3857" s="70">
        <f>Vendas[[#This Row],[Lucro da Venda]]/Vendas[[#This Row],[Valor da Venda]]</f>
        <v>0.2307692307692307</v>
      </c>
      <c r="L3857" s="3">
        <f>_xlfn.IFS(Vendas[[#This Row],[Margem de Lucro (%)]]&lt;15%,Vendas[[#This Row],[Valor da Venda]]*3%,Vendas[[#This Row],[Margem de Lucro (%)]]&lt;=20%,Vendas[[#This Row],[Valor da Venda]]*4.5%,TRUE,Vendas[[#This Row],[Valor da Venda]]*6%)</f>
        <v>41.651999999999994</v>
      </c>
      <c r="M3857"/>
    </row>
    <row r="3858" spans="1:13" x14ac:dyDescent="0.3">
      <c r="A3858" s="7">
        <v>400243</v>
      </c>
      <c r="B3858" t="str">
        <f>_xlfn.XLOOKUP(Vendas[[#This Row],[ID Vendedor]],Vendedores[ID],Vendedores[Nome])</f>
        <v>Marcelo</v>
      </c>
      <c r="C3858" s="7" t="str">
        <f>_xlfn.XLOOKUP(Vendas[[#This Row],[ID Vendedor]],Vendedores[ID],Vendedores[Setor])</f>
        <v>FM</v>
      </c>
      <c r="D3858" s="7" t="s">
        <v>31</v>
      </c>
      <c r="E3858" t="str">
        <f>_xlfn.XLOOKUP(Vendas[[#This Row],[ID Item Vendido]],Agregado[ID],Agregado[Produto])</f>
        <v>Tela de metal soldada rolo 2x25m</v>
      </c>
      <c r="F3858" s="39">
        <v>45547</v>
      </c>
      <c r="G3858" s="7">
        <v>10</v>
      </c>
      <c r="H3858" s="3">
        <f>_xlfn.XLOOKUP(Vendas[[#This Row],[ID Item Vendido]],Agregado[ID],Agregado[Revenda])</f>
        <v>43.7</v>
      </c>
      <c r="I3858" s="3">
        <f>Vendas[[#This Row],[Valor Unitário]]*Vendas[[#This Row],[Qnt Vendida]]</f>
        <v>437</v>
      </c>
      <c r="J3858" s="3">
        <f>Vendas[[#This Row],[Valor da Venda]]-(_xlfn.XLOOKUP(Vendas[[#This Row],[ID Item Vendido]],Agregado[ID],Agregado[Custo])*Vendas[[#This Row],[Qnt Vendida]])</f>
        <v>57</v>
      </c>
      <c r="K3858" s="70">
        <f>Vendas[[#This Row],[Lucro da Venda]]/Vendas[[#This Row],[Valor da Venda]]</f>
        <v>0.13043478260869565</v>
      </c>
      <c r="L3858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3858"/>
    </row>
    <row r="3859" spans="1:13" x14ac:dyDescent="0.3">
      <c r="A3859" s="7">
        <v>400243</v>
      </c>
      <c r="B3859" t="str">
        <f>_xlfn.XLOOKUP(Vendas[[#This Row],[ID Vendedor]],Vendedores[ID],Vendedores[Nome])</f>
        <v>Marcelo</v>
      </c>
      <c r="C3859" s="7" t="str">
        <f>_xlfn.XLOOKUP(Vendas[[#This Row],[ID Vendedor]],Vendedores[ID],Vendedores[Setor])</f>
        <v>FM</v>
      </c>
      <c r="D3859" s="7" t="s">
        <v>47</v>
      </c>
      <c r="E3859" t="str">
        <f>_xlfn.XLOOKUP(Vendas[[#This Row],[ID Item Vendido]],Agregado[ID],Agregado[Produto])</f>
        <v>Fio de arame galvanizado rolo 50m</v>
      </c>
      <c r="F3859" s="39">
        <v>45547</v>
      </c>
      <c r="G3859" s="7">
        <v>12</v>
      </c>
      <c r="H3859" s="3">
        <f>_xlfn.XLOOKUP(Vendas[[#This Row],[ID Item Vendido]],Agregado[ID],Agregado[Revenda])</f>
        <v>21.2</v>
      </c>
      <c r="I3859" s="3">
        <f>Vendas[[#This Row],[Valor Unitário]]*Vendas[[#This Row],[Qnt Vendida]]</f>
        <v>254.39999999999998</v>
      </c>
      <c r="J3859" s="3">
        <f>Vendas[[#This Row],[Valor da Venda]]-(_xlfn.XLOOKUP(Vendas[[#This Row],[ID Item Vendido]],Agregado[ID],Agregado[Custo])*Vendas[[#This Row],[Qnt Vendida]])</f>
        <v>38.399999999999977</v>
      </c>
      <c r="K3859" s="70">
        <f>Vendas[[#This Row],[Lucro da Venda]]/Vendas[[#This Row],[Valor da Venda]]</f>
        <v>0.15094339622641501</v>
      </c>
      <c r="L3859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3859"/>
    </row>
    <row r="3860" spans="1:13" x14ac:dyDescent="0.3">
      <c r="A3860" s="7">
        <v>400246</v>
      </c>
      <c r="B3860" t="str">
        <f>_xlfn.XLOOKUP(Vendas[[#This Row],[ID Vendedor]],Vendedores[ID],Vendedores[Nome])</f>
        <v>Juliana</v>
      </c>
      <c r="C3860" s="7" t="str">
        <f>_xlfn.XLOOKUP(Vendas[[#This Row],[ID Vendedor]],Vendedores[ID],Vendedores[Setor])</f>
        <v>AHD</v>
      </c>
      <c r="D3860" s="7" t="s">
        <v>30</v>
      </c>
      <c r="E3860" t="str">
        <f>_xlfn.XLOOKUP(Vendas[[#This Row],[ID Item Vendido]],Agregado[ID],Agregado[Produto])</f>
        <v>Estrutura metálica soldada</v>
      </c>
      <c r="F3860" s="39">
        <v>45548</v>
      </c>
      <c r="G3860" s="7">
        <v>6</v>
      </c>
      <c r="H3860" s="3">
        <f>_xlfn.XLOOKUP(Vendas[[#This Row],[ID Item Vendido]],Agregado[ID],Agregado[Revenda])</f>
        <v>400</v>
      </c>
      <c r="I3860" s="3">
        <f>Vendas[[#This Row],[Valor Unitário]]*Vendas[[#This Row],[Qnt Vendida]]</f>
        <v>2400</v>
      </c>
      <c r="J3860" s="3">
        <f>Vendas[[#This Row],[Valor da Venda]]-(_xlfn.XLOOKUP(Vendas[[#This Row],[ID Item Vendido]],Agregado[ID],Agregado[Custo])*Vendas[[#This Row],[Qnt Vendida]])</f>
        <v>480</v>
      </c>
      <c r="K3860" s="70">
        <f>Vendas[[#This Row],[Lucro da Venda]]/Vendas[[#This Row],[Valor da Venda]]</f>
        <v>0.2</v>
      </c>
      <c r="L386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3860"/>
    </row>
    <row r="3861" spans="1:13" x14ac:dyDescent="0.3">
      <c r="A3861" s="7">
        <v>400244</v>
      </c>
      <c r="B3861" t="str">
        <f>_xlfn.XLOOKUP(Vendas[[#This Row],[ID Vendedor]],Vendedores[ID],Vendedores[Nome])</f>
        <v>Camila</v>
      </c>
      <c r="C3861" s="7" t="str">
        <f>_xlfn.XLOOKUP(Vendas[[#This Row],[ID Vendedor]],Vendedores[ID],Vendedores[Setor])</f>
        <v>AHD</v>
      </c>
      <c r="D3861" s="7" t="s">
        <v>44</v>
      </c>
      <c r="E3861" t="str">
        <f>_xlfn.XLOOKUP(Vendas[[#This Row],[ID Item Vendido]],Agregado[ID],Agregado[Produto])</f>
        <v>Liga metálica especial</v>
      </c>
      <c r="F3861" s="39">
        <v>45548</v>
      </c>
      <c r="G3861" s="7">
        <v>55</v>
      </c>
      <c r="H3861" s="3">
        <f>_xlfn.XLOOKUP(Vendas[[#This Row],[ID Item Vendido]],Agregado[ID],Agregado[Revenda])</f>
        <v>32.5</v>
      </c>
      <c r="I3861" s="3">
        <f>Vendas[[#This Row],[Valor Unitário]]*Vendas[[#This Row],[Qnt Vendida]]</f>
        <v>1787.5</v>
      </c>
      <c r="J3861" s="3">
        <f>Vendas[[#This Row],[Valor da Venda]]-(_xlfn.XLOOKUP(Vendas[[#This Row],[ID Item Vendido]],Agregado[ID],Agregado[Custo])*Vendas[[#This Row],[Qnt Vendida]])</f>
        <v>412.5</v>
      </c>
      <c r="K3861" s="70">
        <f>Vendas[[#This Row],[Lucro da Venda]]/Vendas[[#This Row],[Valor da Venda]]</f>
        <v>0.23076923076923078</v>
      </c>
      <c r="L3861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3861"/>
    </row>
    <row r="3862" spans="1:13" x14ac:dyDescent="0.3">
      <c r="A3862" s="7">
        <v>400250</v>
      </c>
      <c r="B3862" t="str">
        <f>_xlfn.XLOOKUP(Vendas[[#This Row],[ID Vendedor]],Vendedores[ID],Vendedores[Nome])</f>
        <v>Larissa</v>
      </c>
      <c r="C3862" s="7" t="str">
        <f>_xlfn.XLOOKUP(Vendas[[#This Row],[ID Vendedor]],Vendedores[ID],Vendedores[Setor])</f>
        <v>AB</v>
      </c>
      <c r="D3862" s="7" t="s">
        <v>36</v>
      </c>
      <c r="E3862" t="str">
        <f>_xlfn.XLOOKUP(Vendas[[#This Row],[ID Item Vendido]],Agregado[ID],Agregado[Produto])</f>
        <v>Borracha vulcanizada em manta</v>
      </c>
      <c r="F3862" s="39">
        <v>45548</v>
      </c>
      <c r="G3862" s="7">
        <v>89</v>
      </c>
      <c r="H3862" s="3">
        <f>_xlfn.XLOOKUP(Vendas[[#This Row],[ID Item Vendido]],Agregado[ID],Agregado[Revenda])</f>
        <v>7.8</v>
      </c>
      <c r="I3862" s="3">
        <f>Vendas[[#This Row],[Valor Unitário]]*Vendas[[#This Row],[Qnt Vendida]]</f>
        <v>694.19999999999993</v>
      </c>
      <c r="J3862" s="3">
        <f>Vendas[[#This Row],[Valor da Venda]]-(_xlfn.XLOOKUP(Vendas[[#This Row],[ID Item Vendido]],Agregado[ID],Agregado[Custo])*Vendas[[#This Row],[Qnt Vendida]])</f>
        <v>160.19999999999993</v>
      </c>
      <c r="K3862" s="70">
        <f>Vendas[[#This Row],[Lucro da Venda]]/Vendas[[#This Row],[Valor da Venda]]</f>
        <v>0.2307692307692307</v>
      </c>
      <c r="L3862" s="3">
        <f>_xlfn.IFS(Vendas[[#This Row],[Margem de Lucro (%)]]&lt;15%,Vendas[[#This Row],[Valor da Venda]]*3%,Vendas[[#This Row],[Margem de Lucro (%)]]&lt;=20%,Vendas[[#This Row],[Valor da Venda]]*4.5%,TRUE,Vendas[[#This Row],[Valor da Venda]]*6%)</f>
        <v>41.651999999999994</v>
      </c>
      <c r="M3862"/>
    </row>
    <row r="3863" spans="1:13" x14ac:dyDescent="0.3">
      <c r="A3863" s="7">
        <v>400245</v>
      </c>
      <c r="B3863" t="str">
        <f>_xlfn.XLOOKUP(Vendas[[#This Row],[ID Vendedor]],Vendedores[ID],Vendedores[Nome])</f>
        <v>Thiago</v>
      </c>
      <c r="C3863" s="7" t="str">
        <f>_xlfn.XLOOKUP(Vendas[[#This Row],[ID Vendedor]],Vendedores[ID],Vendedores[Setor])</f>
        <v>AHD</v>
      </c>
      <c r="D3863" s="7" t="s">
        <v>28</v>
      </c>
      <c r="E3863" t="str">
        <f>_xlfn.XLOOKUP(Vendas[[#This Row],[ID Item Vendido]],Agregado[ID],Agregado[Produto])</f>
        <v>Peça usinada CNC</v>
      </c>
      <c r="F3863" s="39">
        <v>45549</v>
      </c>
      <c r="G3863" s="7">
        <v>13</v>
      </c>
      <c r="H3863" s="3">
        <f>_xlfn.XLOOKUP(Vendas[[#This Row],[ID Item Vendido]],Agregado[ID],Agregado[Revenda])</f>
        <v>192</v>
      </c>
      <c r="I3863" s="3">
        <f>Vendas[[#This Row],[Valor Unitário]]*Vendas[[#This Row],[Qnt Vendida]]</f>
        <v>2496</v>
      </c>
      <c r="J3863" s="3">
        <f>Vendas[[#This Row],[Valor da Venda]]-(_xlfn.XLOOKUP(Vendas[[#This Row],[ID Item Vendido]],Agregado[ID],Agregado[Custo])*Vendas[[#This Row],[Qnt Vendida]])</f>
        <v>546</v>
      </c>
      <c r="K3863" s="70">
        <f>Vendas[[#This Row],[Lucro da Venda]]/Vendas[[#This Row],[Valor da Venda]]</f>
        <v>0.21875</v>
      </c>
      <c r="L3863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3863"/>
    </row>
    <row r="3864" spans="1:13" x14ac:dyDescent="0.3">
      <c r="A3864" s="7">
        <v>400252</v>
      </c>
      <c r="B3864" t="str">
        <f>_xlfn.XLOOKUP(Vendas[[#This Row],[ID Vendedor]],Vendedores[ID],Vendedores[Nome])</f>
        <v>Renata</v>
      </c>
      <c r="C3864" s="7" t="str">
        <f>_xlfn.XLOOKUP(Vendas[[#This Row],[ID Vendedor]],Vendedores[ID],Vendedores[Setor])</f>
        <v>AB</v>
      </c>
      <c r="D3864" s="7" t="s">
        <v>36</v>
      </c>
      <c r="E3864" t="str">
        <f>_xlfn.XLOOKUP(Vendas[[#This Row],[ID Item Vendido]],Agregado[ID],Agregado[Produto])</f>
        <v>Borracha vulcanizada em manta</v>
      </c>
      <c r="F3864" s="39">
        <v>45549</v>
      </c>
      <c r="G3864" s="7">
        <v>82</v>
      </c>
      <c r="H3864" s="3">
        <f>_xlfn.XLOOKUP(Vendas[[#This Row],[ID Item Vendido]],Agregado[ID],Agregado[Revenda])</f>
        <v>7.8</v>
      </c>
      <c r="I3864" s="3">
        <f>Vendas[[#This Row],[Valor Unitário]]*Vendas[[#This Row],[Qnt Vendida]]</f>
        <v>639.6</v>
      </c>
      <c r="J3864" s="3">
        <f>Vendas[[#This Row],[Valor da Venda]]-(_xlfn.XLOOKUP(Vendas[[#This Row],[ID Item Vendido]],Agregado[ID],Agregado[Custo])*Vendas[[#This Row],[Qnt Vendida]])</f>
        <v>147.60000000000002</v>
      </c>
      <c r="K3864" s="70">
        <f>Vendas[[#This Row],[Lucro da Venda]]/Vendas[[#This Row],[Valor da Venda]]</f>
        <v>0.23076923076923081</v>
      </c>
      <c r="L3864" s="3">
        <f>_xlfn.IFS(Vendas[[#This Row],[Margem de Lucro (%)]]&lt;15%,Vendas[[#This Row],[Valor da Venda]]*3%,Vendas[[#This Row],[Margem de Lucro (%)]]&lt;=20%,Vendas[[#This Row],[Valor da Venda]]*4.5%,TRUE,Vendas[[#This Row],[Valor da Venda]]*6%)</f>
        <v>38.375999999999998</v>
      </c>
      <c r="M3864"/>
    </row>
    <row r="3865" spans="1:13" x14ac:dyDescent="0.3">
      <c r="A3865" s="7">
        <v>400250</v>
      </c>
      <c r="B3865" t="str">
        <f>_xlfn.XLOOKUP(Vendas[[#This Row],[ID Vendedor]],Vendedores[ID],Vendedores[Nome])</f>
        <v>Larissa</v>
      </c>
      <c r="C3865" s="7" t="str">
        <f>_xlfn.XLOOKUP(Vendas[[#This Row],[ID Vendedor]],Vendedores[ID],Vendedores[Setor])</f>
        <v>AB</v>
      </c>
      <c r="D3865" s="7" t="s">
        <v>12</v>
      </c>
      <c r="E3865" t="str">
        <f>_xlfn.XLOOKUP(Vendas[[#This Row],[ID Item Vendido]],Agregado[ID],Agregado[Produto])</f>
        <v>Grânulo de plástico reciclado refinado</v>
      </c>
      <c r="F3865" s="39">
        <v>45549</v>
      </c>
      <c r="G3865" s="7">
        <v>34</v>
      </c>
      <c r="H3865" s="3">
        <f>_xlfn.XLOOKUP(Vendas[[#This Row],[ID Item Vendido]],Agregado[ID],Agregado[Revenda])</f>
        <v>4.7</v>
      </c>
      <c r="I3865" s="3">
        <f>Vendas[[#This Row],[Valor Unitário]]*Vendas[[#This Row],[Qnt Vendida]]</f>
        <v>159.80000000000001</v>
      </c>
      <c r="J3865" s="3">
        <f>Vendas[[#This Row],[Valor da Venda]]-(_xlfn.XLOOKUP(Vendas[[#This Row],[ID Item Vendido]],Agregado[ID],Agregado[Custo])*Vendas[[#This Row],[Qnt Vendida]])</f>
        <v>40.800000000000011</v>
      </c>
      <c r="K3865" s="70">
        <f>Vendas[[#This Row],[Lucro da Venda]]/Vendas[[#This Row],[Valor da Venda]]</f>
        <v>0.25531914893617025</v>
      </c>
      <c r="L3865" s="3">
        <f>_xlfn.IFS(Vendas[[#This Row],[Margem de Lucro (%)]]&lt;15%,Vendas[[#This Row],[Valor da Venda]]*3%,Vendas[[#This Row],[Margem de Lucro (%)]]&lt;=20%,Vendas[[#This Row],[Valor da Venda]]*4.5%,TRUE,Vendas[[#This Row],[Valor da Venda]]*6%)</f>
        <v>9.588000000000001</v>
      </c>
      <c r="M3865"/>
    </row>
    <row r="3866" spans="1:13" x14ac:dyDescent="0.3">
      <c r="A3866" s="7">
        <v>400248</v>
      </c>
      <c r="B3866" t="str">
        <f>_xlfn.XLOOKUP(Vendas[[#This Row],[ID Vendedor]],Vendedores[ID],Vendedores[Nome])</f>
        <v>Patrícia</v>
      </c>
      <c r="C3866" s="7" t="str">
        <f>_xlfn.XLOOKUP(Vendas[[#This Row],[ID Vendedor]],Vendedores[ID],Vendedores[Setor])</f>
        <v>CM</v>
      </c>
      <c r="D3866" s="7" t="s">
        <v>22</v>
      </c>
      <c r="E3866" t="str">
        <f>_xlfn.XLOOKUP(Vendas[[#This Row],[ID Item Vendido]],Agregado[ID],Agregado[Produto])</f>
        <v>Painel MDP 2,75x1,83m</v>
      </c>
      <c r="F3866" s="39">
        <v>45550</v>
      </c>
      <c r="G3866" s="7">
        <v>21</v>
      </c>
      <c r="H3866" s="3">
        <f>_xlfn.XLOOKUP(Vendas[[#This Row],[ID Item Vendido]],Agregado[ID],Agregado[Revenda])</f>
        <v>119</v>
      </c>
      <c r="I3866" s="3">
        <f>Vendas[[#This Row],[Valor Unitário]]*Vendas[[#This Row],[Qnt Vendida]]</f>
        <v>2499</v>
      </c>
      <c r="J3866" s="3">
        <f>Vendas[[#This Row],[Valor da Venda]]-(_xlfn.XLOOKUP(Vendas[[#This Row],[ID Item Vendido]],Agregado[ID],Agregado[Custo])*Vendas[[#This Row],[Qnt Vendida]])</f>
        <v>504</v>
      </c>
      <c r="K3866" s="70">
        <f>Vendas[[#This Row],[Lucro da Venda]]/Vendas[[#This Row],[Valor da Venda]]</f>
        <v>0.20168067226890757</v>
      </c>
      <c r="L3866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3866"/>
    </row>
    <row r="3867" spans="1:13" x14ac:dyDescent="0.3">
      <c r="A3867" s="7">
        <v>400248</v>
      </c>
      <c r="B3867" t="str">
        <f>_xlfn.XLOOKUP(Vendas[[#This Row],[ID Vendedor]],Vendedores[ID],Vendedores[Nome])</f>
        <v>Patrícia</v>
      </c>
      <c r="C3867" s="7" t="str">
        <f>_xlfn.XLOOKUP(Vendas[[#This Row],[ID Vendedor]],Vendedores[ID],Vendedores[Setor])</f>
        <v>CM</v>
      </c>
      <c r="D3867" s="7" t="s">
        <v>45</v>
      </c>
      <c r="E3867" t="str">
        <f>_xlfn.XLOOKUP(Vendas[[#This Row],[ID Item Vendido]],Agregado[ID],Agregado[Produto])</f>
        <v>Viga de madeira tratada 4m</v>
      </c>
      <c r="F3867" s="39">
        <v>45550</v>
      </c>
      <c r="G3867" s="7">
        <v>19</v>
      </c>
      <c r="H3867" s="3">
        <f>_xlfn.XLOOKUP(Vendas[[#This Row],[ID Item Vendido]],Agregado[ID],Agregado[Revenda])</f>
        <v>66</v>
      </c>
      <c r="I3867" s="3">
        <f>Vendas[[#This Row],[Valor Unitário]]*Vendas[[#This Row],[Qnt Vendida]]</f>
        <v>1254</v>
      </c>
      <c r="J3867" s="3">
        <f>Vendas[[#This Row],[Valor da Venda]]-(_xlfn.XLOOKUP(Vendas[[#This Row],[ID Item Vendido]],Agregado[ID],Agregado[Custo])*Vendas[[#This Row],[Qnt Vendida]])</f>
        <v>209</v>
      </c>
      <c r="K3867" s="70">
        <f>Vendas[[#This Row],[Lucro da Venda]]/Vendas[[#This Row],[Valor da Venda]]</f>
        <v>0.16666666666666666</v>
      </c>
      <c r="L3867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867"/>
    </row>
    <row r="3868" spans="1:13" x14ac:dyDescent="0.3">
      <c r="A3868" s="7">
        <v>400253</v>
      </c>
      <c r="B3868" t="str">
        <f>_xlfn.XLOOKUP(Vendas[[#This Row],[ID Vendedor]],Vendedores[ID],Vendedores[Nome])</f>
        <v>Gustavo</v>
      </c>
      <c r="C3868" s="7" t="str">
        <f>_xlfn.XLOOKUP(Vendas[[#This Row],[ID Vendedor]],Vendedores[ID],Vendedores[Setor])</f>
        <v>SC</v>
      </c>
      <c r="D3868" s="7" t="s">
        <v>41</v>
      </c>
      <c r="E3868" t="str">
        <f>_xlfn.XLOOKUP(Vendas[[#This Row],[ID Item Vendido]],Agregado[ID],Agregado[Produto])</f>
        <v>Palete de madeira reforçado</v>
      </c>
      <c r="F3868" s="39">
        <v>45550</v>
      </c>
      <c r="G3868" s="7">
        <v>2</v>
      </c>
      <c r="H3868" s="3">
        <f>_xlfn.XLOOKUP(Vendas[[#This Row],[ID Item Vendido]],Agregado[ID],Agregado[Revenda])</f>
        <v>131</v>
      </c>
      <c r="I3868" s="3">
        <f>Vendas[[#This Row],[Valor Unitário]]*Vendas[[#This Row],[Qnt Vendida]]</f>
        <v>262</v>
      </c>
      <c r="J3868" s="3">
        <f>Vendas[[#This Row],[Valor da Venda]]-(_xlfn.XLOOKUP(Vendas[[#This Row],[ID Item Vendido]],Agregado[ID],Agregado[Custo])*Vendas[[#This Row],[Qnt Vendida]])</f>
        <v>42</v>
      </c>
      <c r="K3868" s="70">
        <f>Vendas[[#This Row],[Lucro da Venda]]/Vendas[[#This Row],[Valor da Venda]]</f>
        <v>0.16030534351145037</v>
      </c>
      <c r="L3868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3868"/>
    </row>
    <row r="3869" spans="1:13" x14ac:dyDescent="0.3">
      <c r="A3869" s="7">
        <v>400243</v>
      </c>
      <c r="B3869" t="str">
        <f>_xlfn.XLOOKUP(Vendas[[#This Row],[ID Vendedor]],Vendedores[ID],Vendedores[Nome])</f>
        <v>Marcelo</v>
      </c>
      <c r="C3869" s="7" t="str">
        <f>_xlfn.XLOOKUP(Vendas[[#This Row],[ID Vendedor]],Vendedores[ID],Vendedores[Setor])</f>
        <v>FM</v>
      </c>
      <c r="D3869" s="7" t="s">
        <v>20</v>
      </c>
      <c r="E3869" t="str">
        <f>_xlfn.XLOOKUP(Vendas[[#This Row],[ID Item Vendido]],Agregado[ID],Agregado[Produto])</f>
        <v>Barra de aço simples</v>
      </c>
      <c r="F3869" s="39">
        <v>45550</v>
      </c>
      <c r="G3869" s="7">
        <v>20</v>
      </c>
      <c r="H3869" s="3">
        <f>_xlfn.XLOOKUP(Vendas[[#This Row],[ID Item Vendido]],Agregado[ID],Agregado[Revenda])</f>
        <v>4.8</v>
      </c>
      <c r="I3869" s="3">
        <f>Vendas[[#This Row],[Valor Unitário]]*Vendas[[#This Row],[Qnt Vendida]]</f>
        <v>96</v>
      </c>
      <c r="J3869" s="3">
        <f>Vendas[[#This Row],[Valor da Venda]]-(_xlfn.XLOOKUP(Vendas[[#This Row],[ID Item Vendido]],Agregado[ID],Agregado[Custo])*Vendas[[#This Row],[Qnt Vendida]])</f>
        <v>12</v>
      </c>
      <c r="K3869" s="70">
        <f>Vendas[[#This Row],[Lucro da Venda]]/Vendas[[#This Row],[Valor da Venda]]</f>
        <v>0.125</v>
      </c>
      <c r="L3869" s="3">
        <f>_xlfn.IFS(Vendas[[#This Row],[Margem de Lucro (%)]]&lt;15%,Vendas[[#This Row],[Valor da Venda]]*3%,Vendas[[#This Row],[Margem de Lucro (%)]]&lt;=20%,Vendas[[#This Row],[Valor da Venda]]*4.5%,TRUE,Vendas[[#This Row],[Valor da Venda]]*6%)</f>
        <v>2.88</v>
      </c>
      <c r="M3869"/>
    </row>
    <row r="3870" spans="1:13" x14ac:dyDescent="0.3">
      <c r="A3870" s="7">
        <v>400243</v>
      </c>
      <c r="B3870" t="str">
        <f>_xlfn.XLOOKUP(Vendas[[#This Row],[ID Vendedor]],Vendedores[ID],Vendedores[Nome])</f>
        <v>Marcelo</v>
      </c>
      <c r="C3870" s="7" t="str">
        <f>_xlfn.XLOOKUP(Vendas[[#This Row],[ID Vendedor]],Vendedores[ID],Vendedores[Setor])</f>
        <v>FM</v>
      </c>
      <c r="D3870" s="7" t="s">
        <v>6</v>
      </c>
      <c r="E3870" t="str">
        <f>_xlfn.XLOOKUP(Vendas[[#This Row],[ID Item Vendido]],Agregado[ID],Agregado[Produto])</f>
        <v>Parafuso comum 500un</v>
      </c>
      <c r="F3870" s="39">
        <v>45550</v>
      </c>
      <c r="G3870" s="7">
        <v>2</v>
      </c>
      <c r="H3870" s="3">
        <f>_xlfn.XLOOKUP(Vendas[[#This Row],[ID Item Vendido]],Agregado[ID],Agregado[Revenda])</f>
        <v>24.6</v>
      </c>
      <c r="I3870" s="3">
        <f>Vendas[[#This Row],[Valor Unitário]]*Vendas[[#This Row],[Qnt Vendida]]</f>
        <v>49.2</v>
      </c>
      <c r="J3870" s="3">
        <f>Vendas[[#This Row],[Valor da Venda]]-(_xlfn.XLOOKUP(Vendas[[#This Row],[ID Item Vendido]],Agregado[ID],Agregado[Custo])*Vendas[[#This Row],[Qnt Vendida]])</f>
        <v>5.2000000000000028</v>
      </c>
      <c r="K3870" s="70">
        <f>Vendas[[#This Row],[Lucro da Venda]]/Vendas[[#This Row],[Valor da Venda]]</f>
        <v>0.10569105691056915</v>
      </c>
      <c r="L3870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3870"/>
    </row>
    <row r="3871" spans="1:13" x14ac:dyDescent="0.3">
      <c r="A3871" s="7">
        <v>400248</v>
      </c>
      <c r="B3871" t="str">
        <f>_xlfn.XLOOKUP(Vendas[[#This Row],[ID Vendedor]],Vendedores[ID],Vendedores[Nome])</f>
        <v>Patrícia</v>
      </c>
      <c r="C3871" s="7" t="str">
        <f>_xlfn.XLOOKUP(Vendas[[#This Row],[ID Vendedor]],Vendedores[ID],Vendedores[Setor])</f>
        <v>CM</v>
      </c>
      <c r="D3871" s="7" t="s">
        <v>32</v>
      </c>
      <c r="E3871" t="str">
        <f>_xlfn.XLOOKUP(Vendas[[#This Row],[ID Item Vendido]],Agregado[ID],Agregado[Produto])</f>
        <v>Tábua tratada e cortada 3m</v>
      </c>
      <c r="F3871" s="39">
        <v>45551</v>
      </c>
      <c r="G3871" s="7">
        <v>36</v>
      </c>
      <c r="H3871" s="3">
        <f>_xlfn.XLOOKUP(Vendas[[#This Row],[ID Item Vendido]],Agregado[ID],Agregado[Revenda])</f>
        <v>39</v>
      </c>
      <c r="I3871" s="3">
        <f>Vendas[[#This Row],[Valor Unitário]]*Vendas[[#This Row],[Qnt Vendida]]</f>
        <v>1404</v>
      </c>
      <c r="J3871" s="3">
        <f>Vendas[[#This Row],[Valor da Venda]]-(_xlfn.XLOOKUP(Vendas[[#This Row],[ID Item Vendido]],Agregado[ID],Agregado[Custo])*Vendas[[#This Row],[Qnt Vendida]])</f>
        <v>252</v>
      </c>
      <c r="K3871" s="70">
        <f>Vendas[[#This Row],[Lucro da Venda]]/Vendas[[#This Row],[Valor da Venda]]</f>
        <v>0.17948717948717949</v>
      </c>
      <c r="L3871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3871"/>
    </row>
    <row r="3872" spans="1:13" x14ac:dyDescent="0.3">
      <c r="A3872" s="7">
        <v>400245</v>
      </c>
      <c r="B3872" t="str">
        <f>_xlfn.XLOOKUP(Vendas[[#This Row],[ID Vendedor]],Vendedores[ID],Vendedores[Nome])</f>
        <v>Thiago</v>
      </c>
      <c r="C3872" s="7" t="str">
        <f>_xlfn.XLOOKUP(Vendas[[#This Row],[ID Vendedor]],Vendedores[ID],Vendedores[Setor])</f>
        <v>AHD</v>
      </c>
      <c r="D3872" s="7" t="s">
        <v>28</v>
      </c>
      <c r="E3872" t="str">
        <f>_xlfn.XLOOKUP(Vendas[[#This Row],[ID Item Vendido]],Agregado[ID],Agregado[Produto])</f>
        <v>Peça usinada CNC</v>
      </c>
      <c r="F3872" s="39">
        <v>45551</v>
      </c>
      <c r="G3872" s="7">
        <v>5</v>
      </c>
      <c r="H3872" s="3">
        <f>_xlfn.XLOOKUP(Vendas[[#This Row],[ID Item Vendido]],Agregado[ID],Agregado[Revenda])</f>
        <v>192</v>
      </c>
      <c r="I3872" s="3">
        <f>Vendas[[#This Row],[Valor Unitário]]*Vendas[[#This Row],[Qnt Vendida]]</f>
        <v>960</v>
      </c>
      <c r="J3872" s="3">
        <f>Vendas[[#This Row],[Valor da Venda]]-(_xlfn.XLOOKUP(Vendas[[#This Row],[ID Item Vendido]],Agregado[ID],Agregado[Custo])*Vendas[[#This Row],[Qnt Vendida]])</f>
        <v>210</v>
      </c>
      <c r="K3872" s="70">
        <f>Vendas[[#This Row],[Lucro da Venda]]/Vendas[[#This Row],[Valor da Venda]]</f>
        <v>0.21875</v>
      </c>
      <c r="L3872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3872"/>
    </row>
    <row r="3873" spans="1:13" x14ac:dyDescent="0.3">
      <c r="A3873" s="7">
        <v>400245</v>
      </c>
      <c r="B3873" t="str">
        <f>_xlfn.XLOOKUP(Vendas[[#This Row],[ID Vendedor]],Vendedores[ID],Vendedores[Nome])</f>
        <v>Thiago</v>
      </c>
      <c r="C3873" s="7" t="str">
        <f>_xlfn.XLOOKUP(Vendas[[#This Row],[ID Vendedor]],Vendedores[ID],Vendedores[Setor])</f>
        <v>AHD</v>
      </c>
      <c r="D3873" s="7" t="s">
        <v>30</v>
      </c>
      <c r="E3873" t="str">
        <f>_xlfn.XLOOKUP(Vendas[[#This Row],[ID Item Vendido]],Agregado[ID],Agregado[Produto])</f>
        <v>Estrutura metálica soldada</v>
      </c>
      <c r="F3873" s="39">
        <v>45552</v>
      </c>
      <c r="G3873" s="7">
        <v>8</v>
      </c>
      <c r="H3873" s="3">
        <f>_xlfn.XLOOKUP(Vendas[[#This Row],[ID Item Vendido]],Agregado[ID],Agregado[Revenda])</f>
        <v>400</v>
      </c>
      <c r="I3873" s="3">
        <f>Vendas[[#This Row],[Valor Unitário]]*Vendas[[#This Row],[Qnt Vendida]]</f>
        <v>3200</v>
      </c>
      <c r="J3873" s="3">
        <f>Vendas[[#This Row],[Valor da Venda]]-(_xlfn.XLOOKUP(Vendas[[#This Row],[ID Item Vendido]],Agregado[ID],Agregado[Custo])*Vendas[[#This Row],[Qnt Vendida]])</f>
        <v>640</v>
      </c>
      <c r="K3873" s="70">
        <f>Vendas[[#This Row],[Lucro da Venda]]/Vendas[[#This Row],[Valor da Venda]]</f>
        <v>0.2</v>
      </c>
      <c r="L387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3873"/>
    </row>
    <row r="3874" spans="1:13" x14ac:dyDescent="0.3">
      <c r="A3874" s="7">
        <v>400247</v>
      </c>
      <c r="B3874" t="str">
        <f>_xlfn.XLOOKUP(Vendas[[#This Row],[ID Vendedor]],Vendedores[ID],Vendedores[Nome])</f>
        <v>André</v>
      </c>
      <c r="C3874" s="7" t="str">
        <f>_xlfn.XLOOKUP(Vendas[[#This Row],[ID Vendedor]],Vendedores[ID],Vendedores[Setor])</f>
        <v>CM</v>
      </c>
      <c r="D3874" s="7" t="s">
        <v>22</v>
      </c>
      <c r="E3874" t="str">
        <f>_xlfn.XLOOKUP(Vendas[[#This Row],[ID Item Vendido]],Agregado[ID],Agregado[Produto])</f>
        <v>Painel MDP 2,75x1,83m</v>
      </c>
      <c r="F3874" s="39">
        <v>45552</v>
      </c>
      <c r="G3874" s="7">
        <v>14</v>
      </c>
      <c r="H3874" s="3">
        <f>_xlfn.XLOOKUP(Vendas[[#This Row],[ID Item Vendido]],Agregado[ID],Agregado[Revenda])</f>
        <v>119</v>
      </c>
      <c r="I3874" s="3">
        <f>Vendas[[#This Row],[Valor Unitário]]*Vendas[[#This Row],[Qnt Vendida]]</f>
        <v>1666</v>
      </c>
      <c r="J3874" s="3">
        <f>Vendas[[#This Row],[Valor da Venda]]-(_xlfn.XLOOKUP(Vendas[[#This Row],[ID Item Vendido]],Agregado[ID],Agregado[Custo])*Vendas[[#This Row],[Qnt Vendida]])</f>
        <v>336</v>
      </c>
      <c r="K3874" s="70">
        <f>Vendas[[#This Row],[Lucro da Venda]]/Vendas[[#This Row],[Valor da Venda]]</f>
        <v>0.20168067226890757</v>
      </c>
      <c r="L3874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874"/>
    </row>
    <row r="3875" spans="1:13" x14ac:dyDescent="0.3">
      <c r="A3875" s="7">
        <v>400254</v>
      </c>
      <c r="B3875" t="str">
        <f>_xlfn.XLOOKUP(Vendas[[#This Row],[ID Vendedor]],Vendedores[ID],Vendedores[Nome])</f>
        <v>Beatriz</v>
      </c>
      <c r="C3875" s="7" t="str">
        <f>_xlfn.XLOOKUP(Vendas[[#This Row],[ID Vendedor]],Vendedores[ID],Vendedores[Setor])</f>
        <v>SC</v>
      </c>
      <c r="D3875" s="7" t="s">
        <v>14</v>
      </c>
      <c r="E3875" t="str">
        <f>_xlfn.XLOOKUP(Vendas[[#This Row],[ID Item Vendido]],Agregado[ID],Agregado[Produto])</f>
        <v>Barril de plástico 200L</v>
      </c>
      <c r="F3875" s="39">
        <v>45552</v>
      </c>
      <c r="G3875" s="7">
        <v>11</v>
      </c>
      <c r="H3875" s="3">
        <f>_xlfn.XLOOKUP(Vendas[[#This Row],[ID Item Vendido]],Agregado[ID],Agregado[Revenda])</f>
        <v>114</v>
      </c>
      <c r="I3875" s="3">
        <f>Vendas[[#This Row],[Valor Unitário]]*Vendas[[#This Row],[Qnt Vendida]]</f>
        <v>1254</v>
      </c>
      <c r="J3875" s="3">
        <f>Vendas[[#This Row],[Valor da Venda]]-(_xlfn.XLOOKUP(Vendas[[#This Row],[ID Item Vendido]],Agregado[ID],Agregado[Custo])*Vendas[[#This Row],[Qnt Vendida]])</f>
        <v>209</v>
      </c>
      <c r="K3875" s="70">
        <f>Vendas[[#This Row],[Lucro da Venda]]/Vendas[[#This Row],[Valor da Venda]]</f>
        <v>0.16666666666666666</v>
      </c>
      <c r="L387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875"/>
    </row>
    <row r="3876" spans="1:13" x14ac:dyDescent="0.3">
      <c r="A3876" s="7">
        <v>400242</v>
      </c>
      <c r="B3876" t="str">
        <f>_xlfn.XLOOKUP(Vendas[[#This Row],[ID Vendedor]],Vendedores[ID],Vendedores[Nome])</f>
        <v>Fernanda</v>
      </c>
      <c r="C3876" s="7" t="str">
        <f>_xlfn.XLOOKUP(Vendas[[#This Row],[ID Vendedor]],Vendedores[ID],Vendedores[Setor])</f>
        <v>FM</v>
      </c>
      <c r="D3876" s="7" t="s">
        <v>31</v>
      </c>
      <c r="E3876" t="str">
        <f>_xlfn.XLOOKUP(Vendas[[#This Row],[ID Item Vendido]],Agregado[ID],Agregado[Produto])</f>
        <v>Tela de metal soldada rolo 2x25m</v>
      </c>
      <c r="F3876" s="39">
        <v>45552</v>
      </c>
      <c r="G3876" s="7">
        <v>20</v>
      </c>
      <c r="H3876" s="3">
        <f>_xlfn.XLOOKUP(Vendas[[#This Row],[ID Item Vendido]],Agregado[ID],Agregado[Revenda])</f>
        <v>43.7</v>
      </c>
      <c r="I3876" s="3">
        <f>Vendas[[#This Row],[Valor Unitário]]*Vendas[[#This Row],[Qnt Vendida]]</f>
        <v>874</v>
      </c>
      <c r="J3876" s="3">
        <f>Vendas[[#This Row],[Valor da Venda]]-(_xlfn.XLOOKUP(Vendas[[#This Row],[ID Item Vendido]],Agregado[ID],Agregado[Custo])*Vendas[[#This Row],[Qnt Vendida]])</f>
        <v>114</v>
      </c>
      <c r="K3876" s="70">
        <f>Vendas[[#This Row],[Lucro da Venda]]/Vendas[[#This Row],[Valor da Venda]]</f>
        <v>0.13043478260869565</v>
      </c>
      <c r="L3876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3876"/>
    </row>
    <row r="3877" spans="1:13" x14ac:dyDescent="0.3">
      <c r="A3877" s="7">
        <v>400252</v>
      </c>
      <c r="B3877" t="str">
        <f>_xlfn.XLOOKUP(Vendas[[#This Row],[ID Vendedor]],Vendedores[ID],Vendedores[Nome])</f>
        <v>Renata</v>
      </c>
      <c r="C3877" s="7" t="str">
        <f>_xlfn.XLOOKUP(Vendas[[#This Row],[ID Vendedor]],Vendedores[ID],Vendedores[Setor])</f>
        <v>AB</v>
      </c>
      <c r="D3877" s="7" t="s">
        <v>12</v>
      </c>
      <c r="E3877" t="str">
        <f>_xlfn.XLOOKUP(Vendas[[#This Row],[ID Item Vendido]],Agregado[ID],Agregado[Produto])</f>
        <v>Grânulo de plástico reciclado refinado</v>
      </c>
      <c r="F3877" s="39">
        <v>45552</v>
      </c>
      <c r="G3877" s="7">
        <v>137</v>
      </c>
      <c r="H3877" s="3">
        <f>_xlfn.XLOOKUP(Vendas[[#This Row],[ID Item Vendido]],Agregado[ID],Agregado[Revenda])</f>
        <v>4.7</v>
      </c>
      <c r="I3877" s="3">
        <f>Vendas[[#This Row],[Valor Unitário]]*Vendas[[#This Row],[Qnt Vendida]]</f>
        <v>643.9</v>
      </c>
      <c r="J3877" s="3">
        <f>Vendas[[#This Row],[Valor da Venda]]-(_xlfn.XLOOKUP(Vendas[[#This Row],[ID Item Vendido]],Agregado[ID],Agregado[Custo])*Vendas[[#This Row],[Qnt Vendida]])</f>
        <v>164.39999999999998</v>
      </c>
      <c r="K3877" s="70">
        <f>Vendas[[#This Row],[Lucro da Venda]]/Vendas[[#This Row],[Valor da Venda]]</f>
        <v>0.25531914893617019</v>
      </c>
      <c r="L3877" s="3">
        <f>_xlfn.IFS(Vendas[[#This Row],[Margem de Lucro (%)]]&lt;15%,Vendas[[#This Row],[Valor da Venda]]*3%,Vendas[[#This Row],[Margem de Lucro (%)]]&lt;=20%,Vendas[[#This Row],[Valor da Venda]]*4.5%,TRUE,Vendas[[#This Row],[Valor da Venda]]*6%)</f>
        <v>38.634</v>
      </c>
      <c r="M3877"/>
    </row>
    <row r="3878" spans="1:13" x14ac:dyDescent="0.3">
      <c r="A3878" s="7">
        <v>400246</v>
      </c>
      <c r="B3878" t="str">
        <f>_xlfn.XLOOKUP(Vendas[[#This Row],[ID Vendedor]],Vendedores[ID],Vendedores[Nome])</f>
        <v>Juliana</v>
      </c>
      <c r="C3878" s="7" t="str">
        <f>_xlfn.XLOOKUP(Vendas[[#This Row],[ID Vendedor]],Vendedores[ID],Vendedores[Setor])</f>
        <v>AHD</v>
      </c>
      <c r="D3878" s="7" t="s">
        <v>30</v>
      </c>
      <c r="E3878" t="str">
        <f>_xlfn.XLOOKUP(Vendas[[#This Row],[ID Item Vendido]],Agregado[ID],Agregado[Produto])</f>
        <v>Estrutura metálica soldada</v>
      </c>
      <c r="F3878" s="39">
        <v>45553</v>
      </c>
      <c r="G3878" s="7">
        <v>3</v>
      </c>
      <c r="H3878" s="3">
        <f>_xlfn.XLOOKUP(Vendas[[#This Row],[ID Item Vendido]],Agregado[ID],Agregado[Revenda])</f>
        <v>400</v>
      </c>
      <c r="I3878" s="3">
        <f>Vendas[[#This Row],[Valor Unitário]]*Vendas[[#This Row],[Qnt Vendida]]</f>
        <v>1200</v>
      </c>
      <c r="J3878" s="3">
        <f>Vendas[[#This Row],[Valor da Venda]]-(_xlfn.XLOOKUP(Vendas[[#This Row],[ID Item Vendido]],Agregado[ID],Agregado[Custo])*Vendas[[#This Row],[Qnt Vendida]])</f>
        <v>240</v>
      </c>
      <c r="K3878" s="70">
        <f>Vendas[[#This Row],[Lucro da Venda]]/Vendas[[#This Row],[Valor da Venda]]</f>
        <v>0.2</v>
      </c>
      <c r="L3878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878"/>
    </row>
    <row r="3879" spans="1:13" x14ac:dyDescent="0.3">
      <c r="A3879" s="7">
        <v>400248</v>
      </c>
      <c r="B3879" t="str">
        <f>_xlfn.XLOOKUP(Vendas[[#This Row],[ID Vendedor]],Vendedores[ID],Vendedores[Nome])</f>
        <v>Patrícia</v>
      </c>
      <c r="C3879" s="7" t="str">
        <f>_xlfn.XLOOKUP(Vendas[[#This Row],[ID Vendedor]],Vendedores[ID],Vendedores[Setor])</f>
        <v>CM</v>
      </c>
      <c r="D3879" s="7" t="s">
        <v>45</v>
      </c>
      <c r="E3879" t="str">
        <f>_xlfn.XLOOKUP(Vendas[[#This Row],[ID Item Vendido]],Agregado[ID],Agregado[Produto])</f>
        <v>Viga de madeira tratada 4m</v>
      </c>
      <c r="F3879" s="39">
        <v>45553</v>
      </c>
      <c r="G3879" s="7">
        <v>17</v>
      </c>
      <c r="H3879" s="3">
        <f>_xlfn.XLOOKUP(Vendas[[#This Row],[ID Item Vendido]],Agregado[ID],Agregado[Revenda])</f>
        <v>66</v>
      </c>
      <c r="I3879" s="3">
        <f>Vendas[[#This Row],[Valor Unitário]]*Vendas[[#This Row],[Qnt Vendida]]</f>
        <v>1122</v>
      </c>
      <c r="J3879" s="3">
        <f>Vendas[[#This Row],[Valor da Venda]]-(_xlfn.XLOOKUP(Vendas[[#This Row],[ID Item Vendido]],Agregado[ID],Agregado[Custo])*Vendas[[#This Row],[Qnt Vendida]])</f>
        <v>187</v>
      </c>
      <c r="K3879" s="70">
        <f>Vendas[[#This Row],[Lucro da Venda]]/Vendas[[#This Row],[Valor da Venda]]</f>
        <v>0.16666666666666666</v>
      </c>
      <c r="L3879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3879"/>
    </row>
    <row r="3880" spans="1:13" x14ac:dyDescent="0.3">
      <c r="A3880" s="7">
        <v>400247</v>
      </c>
      <c r="B3880" t="str">
        <f>_xlfn.XLOOKUP(Vendas[[#This Row],[ID Vendedor]],Vendedores[ID],Vendedores[Nome])</f>
        <v>André</v>
      </c>
      <c r="C3880" s="7" t="str">
        <f>_xlfn.XLOOKUP(Vendas[[#This Row],[ID Vendedor]],Vendedores[ID],Vendedores[Setor])</f>
        <v>CM</v>
      </c>
      <c r="D3880" s="7" t="s">
        <v>34</v>
      </c>
      <c r="E3880" t="str">
        <f>_xlfn.XLOOKUP(Vendas[[#This Row],[ID Item Vendido]],Agregado[ID],Agregado[Produto])</f>
        <v>Restos de madeira p/ MDP/OSB saco de 20kg</v>
      </c>
      <c r="F3880" s="39">
        <v>45553</v>
      </c>
      <c r="G3880" s="7">
        <v>12</v>
      </c>
      <c r="H3880" s="3">
        <f>_xlfn.XLOOKUP(Vendas[[#This Row],[ID Item Vendido]],Agregado[ID],Agregado[Revenda])</f>
        <v>13.8</v>
      </c>
      <c r="I3880" s="3">
        <f>Vendas[[#This Row],[Valor Unitário]]*Vendas[[#This Row],[Qnt Vendida]]</f>
        <v>165.60000000000002</v>
      </c>
      <c r="J3880" s="3">
        <f>Vendas[[#This Row],[Valor da Venda]]-(_xlfn.XLOOKUP(Vendas[[#This Row],[ID Item Vendido]],Agregado[ID],Agregado[Custo])*Vendas[[#This Row],[Qnt Vendida]])</f>
        <v>21.600000000000023</v>
      </c>
      <c r="K3880" s="70">
        <f>Vendas[[#This Row],[Lucro da Venda]]/Vendas[[#This Row],[Valor da Venda]]</f>
        <v>0.13043478260869576</v>
      </c>
      <c r="L3880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3880"/>
    </row>
    <row r="3881" spans="1:13" x14ac:dyDescent="0.3">
      <c r="A3881" s="7">
        <v>400253</v>
      </c>
      <c r="B3881" t="str">
        <f>_xlfn.XLOOKUP(Vendas[[#This Row],[ID Vendedor]],Vendedores[ID],Vendedores[Nome])</f>
        <v>Gustavo</v>
      </c>
      <c r="C3881" s="7" t="str">
        <f>_xlfn.XLOOKUP(Vendas[[#This Row],[ID Vendedor]],Vendedores[ID],Vendedores[Setor])</f>
        <v>SC</v>
      </c>
      <c r="D3881" s="7" t="s">
        <v>42</v>
      </c>
      <c r="E3881" t="str">
        <f>_xlfn.XLOOKUP(Vendas[[#This Row],[ID Item Vendido]],Agregado[ID],Agregado[Produto])</f>
        <v>Container de ferro industrial</v>
      </c>
      <c r="F3881" s="39">
        <v>45554</v>
      </c>
      <c r="G3881" s="7">
        <v>1</v>
      </c>
      <c r="H3881" s="3">
        <f>_xlfn.XLOOKUP(Vendas[[#This Row],[ID Item Vendido]],Agregado[ID],Agregado[Revenda])</f>
        <v>830</v>
      </c>
      <c r="I3881" s="3">
        <f>Vendas[[#This Row],[Valor Unitário]]*Vendas[[#This Row],[Qnt Vendida]]</f>
        <v>830</v>
      </c>
      <c r="J3881" s="3">
        <f>Vendas[[#This Row],[Valor da Venda]]-(_xlfn.XLOOKUP(Vendas[[#This Row],[ID Item Vendido]],Agregado[ID],Agregado[Custo])*Vendas[[#This Row],[Qnt Vendida]])</f>
        <v>150</v>
      </c>
      <c r="K3881" s="70">
        <f>Vendas[[#This Row],[Lucro da Venda]]/Vendas[[#This Row],[Valor da Venda]]</f>
        <v>0.18072289156626506</v>
      </c>
      <c r="L3881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881"/>
    </row>
    <row r="3882" spans="1:13" x14ac:dyDescent="0.3">
      <c r="A3882" s="7">
        <v>400250</v>
      </c>
      <c r="B3882" t="str">
        <f>_xlfn.XLOOKUP(Vendas[[#This Row],[ID Vendedor]],Vendedores[ID],Vendedores[Nome])</f>
        <v>Larissa</v>
      </c>
      <c r="C3882" s="7" t="str">
        <f>_xlfn.XLOOKUP(Vendas[[#This Row],[ID Vendedor]],Vendedores[ID],Vendedores[Setor])</f>
        <v>AB</v>
      </c>
      <c r="D3882" s="7" t="s">
        <v>12</v>
      </c>
      <c r="E3882" t="str">
        <f>_xlfn.XLOOKUP(Vendas[[#This Row],[ID Item Vendido]],Agregado[ID],Agregado[Produto])</f>
        <v>Grânulo de plástico reciclado refinado</v>
      </c>
      <c r="F3882" s="39">
        <v>45554</v>
      </c>
      <c r="G3882" s="7">
        <v>137</v>
      </c>
      <c r="H3882" s="3">
        <f>_xlfn.XLOOKUP(Vendas[[#This Row],[ID Item Vendido]],Agregado[ID],Agregado[Revenda])</f>
        <v>4.7</v>
      </c>
      <c r="I3882" s="3">
        <f>Vendas[[#This Row],[Valor Unitário]]*Vendas[[#This Row],[Qnt Vendida]]</f>
        <v>643.9</v>
      </c>
      <c r="J3882" s="3">
        <f>Vendas[[#This Row],[Valor da Venda]]-(_xlfn.XLOOKUP(Vendas[[#This Row],[ID Item Vendido]],Agregado[ID],Agregado[Custo])*Vendas[[#This Row],[Qnt Vendida]])</f>
        <v>164.39999999999998</v>
      </c>
      <c r="K3882" s="70">
        <f>Vendas[[#This Row],[Lucro da Venda]]/Vendas[[#This Row],[Valor da Venda]]</f>
        <v>0.25531914893617019</v>
      </c>
      <c r="L3882" s="3">
        <f>_xlfn.IFS(Vendas[[#This Row],[Margem de Lucro (%)]]&lt;15%,Vendas[[#This Row],[Valor da Venda]]*3%,Vendas[[#This Row],[Margem de Lucro (%)]]&lt;=20%,Vendas[[#This Row],[Valor da Venda]]*4.5%,TRUE,Vendas[[#This Row],[Valor da Venda]]*6%)</f>
        <v>38.634</v>
      </c>
      <c r="M3882"/>
    </row>
    <row r="3883" spans="1:13" x14ac:dyDescent="0.3">
      <c r="A3883" s="7">
        <v>400246</v>
      </c>
      <c r="B3883" t="str">
        <f>_xlfn.XLOOKUP(Vendas[[#This Row],[ID Vendedor]],Vendedores[ID],Vendedores[Nome])</f>
        <v>Juliana</v>
      </c>
      <c r="C3883" s="7" t="str">
        <f>_xlfn.XLOOKUP(Vendas[[#This Row],[ID Vendedor]],Vendedores[ID],Vendedores[Setor])</f>
        <v>AHD</v>
      </c>
      <c r="D3883" s="7" t="s">
        <v>9</v>
      </c>
      <c r="E3883" t="str">
        <f>_xlfn.XLOOKUP(Vendas[[#This Row],[ID Item Vendido]],Agregado[ID],Agregado[Produto])</f>
        <v>Barra de aço simples</v>
      </c>
      <c r="F3883" s="39">
        <v>45554</v>
      </c>
      <c r="G3883" s="7">
        <v>19</v>
      </c>
      <c r="H3883" s="3">
        <f>_xlfn.XLOOKUP(Vendas[[#This Row],[ID Item Vendido]],Agregado[ID],Agregado[Revenda])</f>
        <v>6.7</v>
      </c>
      <c r="I3883" s="3">
        <f>Vendas[[#This Row],[Valor Unitário]]*Vendas[[#This Row],[Qnt Vendida]]</f>
        <v>127.3</v>
      </c>
      <c r="J3883" s="3">
        <f>Vendas[[#This Row],[Valor da Venda]]-(_xlfn.XLOOKUP(Vendas[[#This Row],[ID Item Vendido]],Agregado[ID],Agregado[Custo])*Vendas[[#This Row],[Qnt Vendida]])</f>
        <v>17.099999999999994</v>
      </c>
      <c r="K3883" s="70">
        <f>Vendas[[#This Row],[Lucro da Venda]]/Vendas[[#This Row],[Valor da Venda]]</f>
        <v>0.1343283582089552</v>
      </c>
      <c r="L3883" s="3">
        <f>_xlfn.IFS(Vendas[[#This Row],[Margem de Lucro (%)]]&lt;15%,Vendas[[#This Row],[Valor da Venda]]*3%,Vendas[[#This Row],[Margem de Lucro (%)]]&lt;=20%,Vendas[[#This Row],[Valor da Venda]]*4.5%,TRUE,Vendas[[#This Row],[Valor da Venda]]*6%)</f>
        <v>3.819</v>
      </c>
      <c r="M3883"/>
    </row>
    <row r="3884" spans="1:13" x14ac:dyDescent="0.3">
      <c r="A3884" s="7">
        <v>400254</v>
      </c>
      <c r="B3884" t="str">
        <f>_xlfn.XLOOKUP(Vendas[[#This Row],[ID Vendedor]],Vendedores[ID],Vendedores[Nome])</f>
        <v>Beatriz</v>
      </c>
      <c r="C3884" s="7" t="str">
        <f>_xlfn.XLOOKUP(Vendas[[#This Row],[ID Vendedor]],Vendedores[ID],Vendedores[Setor])</f>
        <v>SC</v>
      </c>
      <c r="D3884" s="7" t="s">
        <v>42</v>
      </c>
      <c r="E3884" t="str">
        <f>_xlfn.XLOOKUP(Vendas[[#This Row],[ID Item Vendido]],Agregado[ID],Agregado[Produto])</f>
        <v>Container de ferro industrial</v>
      </c>
      <c r="F3884" s="39">
        <v>45555</v>
      </c>
      <c r="G3884" s="7">
        <v>1</v>
      </c>
      <c r="H3884" s="3">
        <f>_xlfn.XLOOKUP(Vendas[[#This Row],[ID Item Vendido]],Agregado[ID],Agregado[Revenda])</f>
        <v>830</v>
      </c>
      <c r="I3884" s="3">
        <f>Vendas[[#This Row],[Valor Unitário]]*Vendas[[#This Row],[Qnt Vendida]]</f>
        <v>830</v>
      </c>
      <c r="J3884" s="3">
        <f>Vendas[[#This Row],[Valor da Venda]]-(_xlfn.XLOOKUP(Vendas[[#This Row],[ID Item Vendido]],Agregado[ID],Agregado[Custo])*Vendas[[#This Row],[Qnt Vendida]])</f>
        <v>150</v>
      </c>
      <c r="K3884" s="70">
        <f>Vendas[[#This Row],[Lucro da Venda]]/Vendas[[#This Row],[Valor da Venda]]</f>
        <v>0.18072289156626506</v>
      </c>
      <c r="L388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884"/>
    </row>
    <row r="3885" spans="1:13" x14ac:dyDescent="0.3">
      <c r="A3885" s="7">
        <v>400247</v>
      </c>
      <c r="B3885" t="str">
        <f>_xlfn.XLOOKUP(Vendas[[#This Row],[ID Vendedor]],Vendedores[ID],Vendedores[Nome])</f>
        <v>André</v>
      </c>
      <c r="C3885" s="7" t="str">
        <f>_xlfn.XLOOKUP(Vendas[[#This Row],[ID Vendedor]],Vendedores[ID],Vendedores[Setor])</f>
        <v>CM</v>
      </c>
      <c r="D3885" s="7" t="s">
        <v>32</v>
      </c>
      <c r="E3885" t="str">
        <f>_xlfn.XLOOKUP(Vendas[[#This Row],[ID Item Vendido]],Agregado[ID],Agregado[Produto])</f>
        <v>Tábua tratada e cortada 3m</v>
      </c>
      <c r="F3885" s="39">
        <v>45556</v>
      </c>
      <c r="G3885" s="7">
        <v>43</v>
      </c>
      <c r="H3885" s="3">
        <f>_xlfn.XLOOKUP(Vendas[[#This Row],[ID Item Vendido]],Agregado[ID],Agregado[Revenda])</f>
        <v>39</v>
      </c>
      <c r="I3885" s="3">
        <f>Vendas[[#This Row],[Valor Unitário]]*Vendas[[#This Row],[Qnt Vendida]]</f>
        <v>1677</v>
      </c>
      <c r="J3885" s="3">
        <f>Vendas[[#This Row],[Valor da Venda]]-(_xlfn.XLOOKUP(Vendas[[#This Row],[ID Item Vendido]],Agregado[ID],Agregado[Custo])*Vendas[[#This Row],[Qnt Vendida]])</f>
        <v>301</v>
      </c>
      <c r="K3885" s="70">
        <f>Vendas[[#This Row],[Lucro da Venda]]/Vendas[[#This Row],[Valor da Venda]]</f>
        <v>0.17948717948717949</v>
      </c>
      <c r="L3885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3885"/>
    </row>
    <row r="3886" spans="1:13" x14ac:dyDescent="0.3">
      <c r="A3886" s="7">
        <v>400242</v>
      </c>
      <c r="B3886" t="str">
        <f>_xlfn.XLOOKUP(Vendas[[#This Row],[ID Vendedor]],Vendedores[ID],Vendedores[Nome])</f>
        <v>Fernanda</v>
      </c>
      <c r="C3886" s="7" t="str">
        <f>_xlfn.XLOOKUP(Vendas[[#This Row],[ID Vendedor]],Vendedores[ID],Vendedores[Setor])</f>
        <v>FM</v>
      </c>
      <c r="D3886" s="7" t="s">
        <v>20</v>
      </c>
      <c r="E3886" t="str">
        <f>_xlfn.XLOOKUP(Vendas[[#This Row],[ID Item Vendido]],Agregado[ID],Agregado[Produto])</f>
        <v>Barra de aço simples</v>
      </c>
      <c r="F3886" s="39">
        <v>45556</v>
      </c>
      <c r="G3886" s="7">
        <v>111</v>
      </c>
      <c r="H3886" s="3">
        <f>_xlfn.XLOOKUP(Vendas[[#This Row],[ID Item Vendido]],Agregado[ID],Agregado[Revenda])</f>
        <v>4.8</v>
      </c>
      <c r="I3886" s="3">
        <f>Vendas[[#This Row],[Valor Unitário]]*Vendas[[#This Row],[Qnt Vendida]]</f>
        <v>532.79999999999995</v>
      </c>
      <c r="J3886" s="3">
        <f>Vendas[[#This Row],[Valor da Venda]]-(_xlfn.XLOOKUP(Vendas[[#This Row],[ID Item Vendido]],Agregado[ID],Agregado[Custo])*Vendas[[#This Row],[Qnt Vendida]])</f>
        <v>66.599999999999909</v>
      </c>
      <c r="K3886" s="70">
        <f>Vendas[[#This Row],[Lucro da Venda]]/Vendas[[#This Row],[Valor da Venda]]</f>
        <v>0.12499999999999983</v>
      </c>
      <c r="L3886" s="3">
        <f>_xlfn.IFS(Vendas[[#This Row],[Margem de Lucro (%)]]&lt;15%,Vendas[[#This Row],[Valor da Venda]]*3%,Vendas[[#This Row],[Margem de Lucro (%)]]&lt;=20%,Vendas[[#This Row],[Valor da Venda]]*4.5%,TRUE,Vendas[[#This Row],[Valor da Venda]]*6%)</f>
        <v>15.983999999999998</v>
      </c>
      <c r="M3886"/>
    </row>
    <row r="3887" spans="1:13" x14ac:dyDescent="0.3">
      <c r="A3887" s="7">
        <v>400248</v>
      </c>
      <c r="B3887" t="str">
        <f>_xlfn.XLOOKUP(Vendas[[#This Row],[ID Vendedor]],Vendedores[ID],Vendedores[Nome])</f>
        <v>Patrícia</v>
      </c>
      <c r="C3887" s="7" t="str">
        <f>_xlfn.XLOOKUP(Vendas[[#This Row],[ID Vendedor]],Vendedores[ID],Vendedores[Setor])</f>
        <v>CM</v>
      </c>
      <c r="D3887" s="7" t="s">
        <v>34</v>
      </c>
      <c r="E3887" t="str">
        <f>_xlfn.XLOOKUP(Vendas[[#This Row],[ID Item Vendido]],Agregado[ID],Agregado[Produto])</f>
        <v>Restos de madeira p/ MDP/OSB saco de 20kg</v>
      </c>
      <c r="F3887" s="39">
        <v>45556</v>
      </c>
      <c r="G3887" s="7">
        <v>26</v>
      </c>
      <c r="H3887" s="3">
        <f>_xlfn.XLOOKUP(Vendas[[#This Row],[ID Item Vendido]],Agregado[ID],Agregado[Revenda])</f>
        <v>13.8</v>
      </c>
      <c r="I3887" s="3">
        <f>Vendas[[#This Row],[Valor Unitário]]*Vendas[[#This Row],[Qnt Vendida]]</f>
        <v>358.8</v>
      </c>
      <c r="J3887" s="3">
        <f>Vendas[[#This Row],[Valor da Venda]]-(_xlfn.XLOOKUP(Vendas[[#This Row],[ID Item Vendido]],Agregado[ID],Agregado[Custo])*Vendas[[#This Row],[Qnt Vendida]])</f>
        <v>46.800000000000011</v>
      </c>
      <c r="K3887" s="70">
        <f>Vendas[[#This Row],[Lucro da Venda]]/Vendas[[#This Row],[Valor da Venda]]</f>
        <v>0.13043478260869568</v>
      </c>
      <c r="L3887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3887"/>
    </row>
    <row r="3888" spans="1:13" x14ac:dyDescent="0.3">
      <c r="A3888" s="7">
        <v>400251</v>
      </c>
      <c r="B3888" t="str">
        <f>_xlfn.XLOOKUP(Vendas[[#This Row],[ID Vendedor]],Vendedores[ID],Vendedores[Nome])</f>
        <v>Diego</v>
      </c>
      <c r="C3888" s="7" t="str">
        <f>_xlfn.XLOOKUP(Vendas[[#This Row],[ID Vendedor]],Vendedores[ID],Vendedores[Setor])</f>
        <v>AB</v>
      </c>
      <c r="D3888" s="7" t="s">
        <v>39</v>
      </c>
      <c r="E3888" t="str">
        <f>_xlfn.XLOOKUP(Vendas[[#This Row],[ID Item Vendido]],Agregado[ID],Agregado[Produto])</f>
        <v>Filme plástico industrial rolo 50m</v>
      </c>
      <c r="F3888" s="39">
        <v>45556</v>
      </c>
      <c r="G3888" s="7">
        <v>9</v>
      </c>
      <c r="H3888" s="3">
        <f>_xlfn.XLOOKUP(Vendas[[#This Row],[ID Item Vendido]],Agregado[ID],Agregado[Revenda])</f>
        <v>37</v>
      </c>
      <c r="I3888" s="3">
        <f>Vendas[[#This Row],[Valor Unitário]]*Vendas[[#This Row],[Qnt Vendida]]</f>
        <v>333</v>
      </c>
      <c r="J3888" s="3">
        <f>Vendas[[#This Row],[Valor da Venda]]-(_xlfn.XLOOKUP(Vendas[[#This Row],[ID Item Vendido]],Agregado[ID],Agregado[Custo])*Vendas[[#This Row],[Qnt Vendida]])</f>
        <v>81</v>
      </c>
      <c r="K3888" s="70">
        <f>Vendas[[#This Row],[Lucro da Venda]]/Vendas[[#This Row],[Valor da Venda]]</f>
        <v>0.24324324324324326</v>
      </c>
      <c r="L3888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3888"/>
    </row>
    <row r="3889" spans="1:13" x14ac:dyDescent="0.3">
      <c r="A3889" s="7">
        <v>400254</v>
      </c>
      <c r="B3889" t="str">
        <f>_xlfn.XLOOKUP(Vendas[[#This Row],[ID Vendedor]],Vendedores[ID],Vendedores[Nome])</f>
        <v>Beatriz</v>
      </c>
      <c r="C3889" s="7" t="str">
        <f>_xlfn.XLOOKUP(Vendas[[#This Row],[ID Vendedor]],Vendedores[ID],Vendedores[Setor])</f>
        <v>SC</v>
      </c>
      <c r="D3889" s="7" t="s">
        <v>41</v>
      </c>
      <c r="E3889" t="str">
        <f>_xlfn.XLOOKUP(Vendas[[#This Row],[ID Item Vendido]],Agregado[ID],Agregado[Produto])</f>
        <v>Palete de madeira reforçado</v>
      </c>
      <c r="F3889" s="39">
        <v>45556</v>
      </c>
      <c r="G3889" s="7">
        <v>2</v>
      </c>
      <c r="H3889" s="3">
        <f>_xlfn.XLOOKUP(Vendas[[#This Row],[ID Item Vendido]],Agregado[ID],Agregado[Revenda])</f>
        <v>131</v>
      </c>
      <c r="I3889" s="3">
        <f>Vendas[[#This Row],[Valor Unitário]]*Vendas[[#This Row],[Qnt Vendida]]</f>
        <v>262</v>
      </c>
      <c r="J3889" s="3">
        <f>Vendas[[#This Row],[Valor da Venda]]-(_xlfn.XLOOKUP(Vendas[[#This Row],[ID Item Vendido]],Agregado[ID],Agregado[Custo])*Vendas[[#This Row],[Qnt Vendida]])</f>
        <v>42</v>
      </c>
      <c r="K3889" s="70">
        <f>Vendas[[#This Row],[Lucro da Venda]]/Vendas[[#This Row],[Valor da Venda]]</f>
        <v>0.16030534351145037</v>
      </c>
      <c r="L3889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3889"/>
    </row>
    <row r="3890" spans="1:13" x14ac:dyDescent="0.3">
      <c r="A3890" s="7">
        <v>400244</v>
      </c>
      <c r="B3890" t="str">
        <f>_xlfn.XLOOKUP(Vendas[[#This Row],[ID Vendedor]],Vendedores[ID],Vendedores[Nome])</f>
        <v>Camila</v>
      </c>
      <c r="C3890" s="7" t="str">
        <f>_xlfn.XLOOKUP(Vendas[[#This Row],[ID Vendedor]],Vendedores[ID],Vendedores[Setor])</f>
        <v>AHD</v>
      </c>
      <c r="D3890" s="7" t="s">
        <v>30</v>
      </c>
      <c r="E3890" t="str">
        <f>_xlfn.XLOOKUP(Vendas[[#This Row],[ID Item Vendido]],Agregado[ID],Agregado[Produto])</f>
        <v>Estrutura metálica soldada</v>
      </c>
      <c r="F3890" s="39">
        <v>45557</v>
      </c>
      <c r="G3890" s="7">
        <v>3</v>
      </c>
      <c r="H3890" s="3">
        <f>_xlfn.XLOOKUP(Vendas[[#This Row],[ID Item Vendido]],Agregado[ID],Agregado[Revenda])</f>
        <v>400</v>
      </c>
      <c r="I3890" s="3">
        <f>Vendas[[#This Row],[Valor Unitário]]*Vendas[[#This Row],[Qnt Vendida]]</f>
        <v>1200</v>
      </c>
      <c r="J3890" s="3">
        <f>Vendas[[#This Row],[Valor da Venda]]-(_xlfn.XLOOKUP(Vendas[[#This Row],[ID Item Vendido]],Agregado[ID],Agregado[Custo])*Vendas[[#This Row],[Qnt Vendida]])</f>
        <v>240</v>
      </c>
      <c r="K3890" s="70">
        <f>Vendas[[#This Row],[Lucro da Venda]]/Vendas[[#This Row],[Valor da Venda]]</f>
        <v>0.2</v>
      </c>
      <c r="L3890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3890"/>
    </row>
    <row r="3891" spans="1:13" x14ac:dyDescent="0.3">
      <c r="A3891" s="7">
        <v>400255</v>
      </c>
      <c r="B3891" t="str">
        <f>_xlfn.XLOOKUP(Vendas[[#This Row],[ID Vendedor]],Vendedores[ID],Vendedores[Nome])</f>
        <v>Carlos</v>
      </c>
      <c r="C3891" s="7" t="str">
        <f>_xlfn.XLOOKUP(Vendas[[#This Row],[ID Vendedor]],Vendedores[ID],Vendedores[Setor])</f>
        <v>SC</v>
      </c>
      <c r="D3891" s="7" t="s">
        <v>48</v>
      </c>
      <c r="E3891" t="str">
        <f>_xlfn.XLOOKUP(Vendas[[#This Row],[ID Item Vendido]],Agregado[ID],Agregado[Produto])</f>
        <v>Tambor metálico 200L</v>
      </c>
      <c r="F3891" s="39">
        <v>45557</v>
      </c>
      <c r="G3891" s="7">
        <v>4</v>
      </c>
      <c r="H3891" s="3">
        <f>_xlfn.XLOOKUP(Vendas[[#This Row],[ID Item Vendido]],Agregado[ID],Agregado[Revenda])</f>
        <v>144</v>
      </c>
      <c r="I3891" s="3">
        <f>Vendas[[#This Row],[Valor Unitário]]*Vendas[[#This Row],[Qnt Vendida]]</f>
        <v>576</v>
      </c>
      <c r="J3891" s="3">
        <f>Vendas[[#This Row],[Valor da Venda]]-(_xlfn.XLOOKUP(Vendas[[#This Row],[ID Item Vendido]],Agregado[ID],Agregado[Custo])*Vendas[[#This Row],[Qnt Vendida]])</f>
        <v>96</v>
      </c>
      <c r="K3891" s="70">
        <f>Vendas[[#This Row],[Lucro da Venda]]/Vendas[[#This Row],[Valor da Venda]]</f>
        <v>0.16666666666666666</v>
      </c>
      <c r="L3891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3891"/>
    </row>
    <row r="3892" spans="1:13" x14ac:dyDescent="0.3">
      <c r="A3892" s="7">
        <v>400241</v>
      </c>
      <c r="B3892" t="str">
        <f>_xlfn.XLOOKUP(Vendas[[#This Row],[ID Vendedor]],Vendedores[ID],Vendedores[Nome])</f>
        <v>Rodrigo</v>
      </c>
      <c r="C3892" s="7" t="str">
        <f>_xlfn.XLOOKUP(Vendas[[#This Row],[ID Vendedor]],Vendedores[ID],Vendedores[Setor])</f>
        <v>FM</v>
      </c>
      <c r="D3892" s="7" t="s">
        <v>20</v>
      </c>
      <c r="E3892" t="str">
        <f>_xlfn.XLOOKUP(Vendas[[#This Row],[ID Item Vendido]],Agregado[ID],Agregado[Produto])</f>
        <v>Barra de aço simples</v>
      </c>
      <c r="F3892" s="39">
        <v>45557</v>
      </c>
      <c r="G3892" s="7">
        <v>117</v>
      </c>
      <c r="H3892" s="3">
        <f>_xlfn.XLOOKUP(Vendas[[#This Row],[ID Item Vendido]],Agregado[ID],Agregado[Revenda])</f>
        <v>4.8</v>
      </c>
      <c r="I3892" s="3">
        <f>Vendas[[#This Row],[Valor Unitário]]*Vendas[[#This Row],[Qnt Vendida]]</f>
        <v>561.6</v>
      </c>
      <c r="J3892" s="3">
        <f>Vendas[[#This Row],[Valor da Venda]]-(_xlfn.XLOOKUP(Vendas[[#This Row],[ID Item Vendido]],Agregado[ID],Agregado[Custo])*Vendas[[#This Row],[Qnt Vendida]])</f>
        <v>70.199999999999989</v>
      </c>
      <c r="K3892" s="70">
        <f>Vendas[[#This Row],[Lucro da Venda]]/Vendas[[#This Row],[Valor da Venda]]</f>
        <v>0.12499999999999997</v>
      </c>
      <c r="L3892" s="3">
        <f>_xlfn.IFS(Vendas[[#This Row],[Margem de Lucro (%)]]&lt;15%,Vendas[[#This Row],[Valor da Venda]]*3%,Vendas[[#This Row],[Margem de Lucro (%)]]&lt;=20%,Vendas[[#This Row],[Valor da Venda]]*4.5%,TRUE,Vendas[[#This Row],[Valor da Venda]]*6%)</f>
        <v>16.847999999999999</v>
      </c>
      <c r="M3892"/>
    </row>
    <row r="3893" spans="1:13" x14ac:dyDescent="0.3">
      <c r="A3893" s="7">
        <v>400246</v>
      </c>
      <c r="B3893" t="str">
        <f>_xlfn.XLOOKUP(Vendas[[#This Row],[ID Vendedor]],Vendedores[ID],Vendedores[Nome])</f>
        <v>Juliana</v>
      </c>
      <c r="C3893" s="7" t="str">
        <f>_xlfn.XLOOKUP(Vendas[[#This Row],[ID Vendedor]],Vendedores[ID],Vendedores[Setor])</f>
        <v>AHD</v>
      </c>
      <c r="D3893" s="7" t="s">
        <v>18</v>
      </c>
      <c r="E3893" t="str">
        <f>_xlfn.XLOOKUP(Vendas[[#This Row],[ID Item Vendido]],Agregado[ID],Agregado[Produto])</f>
        <v>Peça forjada sob encomenda</v>
      </c>
      <c r="F3893" s="39">
        <v>45557</v>
      </c>
      <c r="G3893" s="7">
        <v>1</v>
      </c>
      <c r="H3893" s="3">
        <f>_xlfn.XLOOKUP(Vendas[[#This Row],[ID Item Vendido]],Agregado[ID],Agregado[Revenda])</f>
        <v>264.60000000000002</v>
      </c>
      <c r="I3893" s="3">
        <f>Vendas[[#This Row],[Valor Unitário]]*Vendas[[#This Row],[Qnt Vendida]]</f>
        <v>264.60000000000002</v>
      </c>
      <c r="J3893" s="3">
        <f>Vendas[[#This Row],[Valor da Venda]]-(_xlfn.XLOOKUP(Vendas[[#This Row],[ID Item Vendido]],Agregado[ID],Agregado[Custo])*Vendas[[#This Row],[Qnt Vendida]])</f>
        <v>14.600000000000023</v>
      </c>
      <c r="K3893" s="70">
        <f>Vendas[[#This Row],[Lucro da Venda]]/Vendas[[#This Row],[Valor da Venda]]</f>
        <v>5.5177626606198113E-2</v>
      </c>
      <c r="L3893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893"/>
    </row>
    <row r="3894" spans="1:13" x14ac:dyDescent="0.3">
      <c r="A3894" s="7">
        <v>400243</v>
      </c>
      <c r="B3894" t="str">
        <f>_xlfn.XLOOKUP(Vendas[[#This Row],[ID Vendedor]],Vendedores[ID],Vendedores[Nome])</f>
        <v>Marcelo</v>
      </c>
      <c r="C3894" s="7" t="str">
        <f>_xlfn.XLOOKUP(Vendas[[#This Row],[ID Vendedor]],Vendedores[ID],Vendedores[Setor])</f>
        <v>FM</v>
      </c>
      <c r="D3894" s="7" t="s">
        <v>27</v>
      </c>
      <c r="E3894" t="str">
        <f>_xlfn.XLOOKUP(Vendas[[#This Row],[ID Item Vendido]],Agregado[ID],Agregado[Produto])</f>
        <v>Chapa de metal lisa 1x2m</v>
      </c>
      <c r="F3894" s="39">
        <v>45557</v>
      </c>
      <c r="G3894" s="7">
        <v>2</v>
      </c>
      <c r="H3894" s="3">
        <f>_xlfn.XLOOKUP(Vendas[[#This Row],[ID Item Vendido]],Agregado[ID],Agregado[Revenda])</f>
        <v>52</v>
      </c>
      <c r="I3894" s="3">
        <f>Vendas[[#This Row],[Valor Unitário]]*Vendas[[#This Row],[Qnt Vendida]]</f>
        <v>104</v>
      </c>
      <c r="J3894" s="3">
        <f>Vendas[[#This Row],[Valor da Venda]]-(_xlfn.XLOOKUP(Vendas[[#This Row],[ID Item Vendido]],Agregado[ID],Agregado[Custo])*Vendas[[#This Row],[Qnt Vendida]])</f>
        <v>14</v>
      </c>
      <c r="K3894" s="70">
        <f>Vendas[[#This Row],[Lucro da Venda]]/Vendas[[#This Row],[Valor da Venda]]</f>
        <v>0.13461538461538461</v>
      </c>
      <c r="L3894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3894"/>
    </row>
    <row r="3895" spans="1:13" x14ac:dyDescent="0.3">
      <c r="A3895" s="7">
        <v>400245</v>
      </c>
      <c r="B3895" t="str">
        <f>_xlfn.XLOOKUP(Vendas[[#This Row],[ID Vendedor]],Vendedores[ID],Vendedores[Nome])</f>
        <v>Thiago</v>
      </c>
      <c r="C3895" s="7" t="str">
        <f>_xlfn.XLOOKUP(Vendas[[#This Row],[ID Vendedor]],Vendedores[ID],Vendedores[Setor])</f>
        <v>AHD</v>
      </c>
      <c r="D3895" s="7" t="s">
        <v>44</v>
      </c>
      <c r="E3895" t="str">
        <f>_xlfn.XLOOKUP(Vendas[[#This Row],[ID Item Vendido]],Agregado[ID],Agregado[Produto])</f>
        <v>Liga metálica especial</v>
      </c>
      <c r="F3895" s="39">
        <v>45558</v>
      </c>
      <c r="G3895" s="7">
        <v>51</v>
      </c>
      <c r="H3895" s="3">
        <f>_xlfn.XLOOKUP(Vendas[[#This Row],[ID Item Vendido]],Agregado[ID],Agregado[Revenda])</f>
        <v>32.5</v>
      </c>
      <c r="I3895" s="3">
        <f>Vendas[[#This Row],[Valor Unitário]]*Vendas[[#This Row],[Qnt Vendida]]</f>
        <v>1657.5</v>
      </c>
      <c r="J3895" s="3">
        <f>Vendas[[#This Row],[Valor da Venda]]-(_xlfn.XLOOKUP(Vendas[[#This Row],[ID Item Vendido]],Agregado[ID],Agregado[Custo])*Vendas[[#This Row],[Qnt Vendida]])</f>
        <v>382.5</v>
      </c>
      <c r="K3895" s="70">
        <f>Vendas[[#This Row],[Lucro da Venda]]/Vendas[[#This Row],[Valor da Venda]]</f>
        <v>0.23076923076923078</v>
      </c>
      <c r="L3895" s="3">
        <f>_xlfn.IFS(Vendas[[#This Row],[Margem de Lucro (%)]]&lt;15%,Vendas[[#This Row],[Valor da Venda]]*3%,Vendas[[#This Row],[Margem de Lucro (%)]]&lt;=20%,Vendas[[#This Row],[Valor da Venda]]*4.5%,TRUE,Vendas[[#This Row],[Valor da Venda]]*6%)</f>
        <v>99.45</v>
      </c>
      <c r="M3895"/>
    </row>
    <row r="3896" spans="1:13" x14ac:dyDescent="0.3">
      <c r="A3896" s="7">
        <v>400242</v>
      </c>
      <c r="B3896" t="str">
        <f>_xlfn.XLOOKUP(Vendas[[#This Row],[ID Vendedor]],Vendedores[ID],Vendedores[Nome])</f>
        <v>Fernanda</v>
      </c>
      <c r="C3896" s="7" t="str">
        <f>_xlfn.XLOOKUP(Vendas[[#This Row],[ID Vendedor]],Vendedores[ID],Vendedores[Setor])</f>
        <v>FM</v>
      </c>
      <c r="D3896" s="7" t="s">
        <v>47</v>
      </c>
      <c r="E3896" t="str">
        <f>_xlfn.XLOOKUP(Vendas[[#This Row],[ID Item Vendido]],Agregado[ID],Agregado[Produto])</f>
        <v>Fio de arame galvanizado rolo 50m</v>
      </c>
      <c r="F3896" s="39">
        <v>45558</v>
      </c>
      <c r="G3896" s="7">
        <v>28</v>
      </c>
      <c r="H3896" s="3">
        <f>_xlfn.XLOOKUP(Vendas[[#This Row],[ID Item Vendido]],Agregado[ID],Agregado[Revenda])</f>
        <v>21.2</v>
      </c>
      <c r="I3896" s="3">
        <f>Vendas[[#This Row],[Valor Unitário]]*Vendas[[#This Row],[Qnt Vendida]]</f>
        <v>593.6</v>
      </c>
      <c r="J3896" s="3">
        <f>Vendas[[#This Row],[Valor da Venda]]-(_xlfn.XLOOKUP(Vendas[[#This Row],[ID Item Vendido]],Agregado[ID],Agregado[Custo])*Vendas[[#This Row],[Qnt Vendida]])</f>
        <v>89.600000000000023</v>
      </c>
      <c r="K3896" s="70">
        <f>Vendas[[#This Row],[Lucro da Venda]]/Vendas[[#This Row],[Valor da Venda]]</f>
        <v>0.15094339622641512</v>
      </c>
      <c r="L3896" s="3">
        <f>_xlfn.IFS(Vendas[[#This Row],[Margem de Lucro (%)]]&lt;15%,Vendas[[#This Row],[Valor da Venda]]*3%,Vendas[[#This Row],[Margem de Lucro (%)]]&lt;=20%,Vendas[[#This Row],[Valor da Venda]]*4.5%,TRUE,Vendas[[#This Row],[Valor da Venda]]*6%)</f>
        <v>26.712</v>
      </c>
      <c r="M3896"/>
    </row>
    <row r="3897" spans="1:13" x14ac:dyDescent="0.3">
      <c r="A3897" s="7">
        <v>400254</v>
      </c>
      <c r="B3897" t="str">
        <f>_xlfn.XLOOKUP(Vendas[[#This Row],[ID Vendedor]],Vendedores[ID],Vendedores[Nome])</f>
        <v>Beatriz</v>
      </c>
      <c r="C3897" s="7" t="str">
        <f>_xlfn.XLOOKUP(Vendas[[#This Row],[ID Vendedor]],Vendedores[ID],Vendedores[Setor])</f>
        <v>SC</v>
      </c>
      <c r="D3897" s="7" t="s">
        <v>42</v>
      </c>
      <c r="E3897" t="str">
        <f>_xlfn.XLOOKUP(Vendas[[#This Row],[ID Item Vendido]],Agregado[ID],Agregado[Produto])</f>
        <v>Container de ferro industrial</v>
      </c>
      <c r="F3897" s="39">
        <v>45559</v>
      </c>
      <c r="G3897" s="7">
        <v>3</v>
      </c>
      <c r="H3897" s="3">
        <f>_xlfn.XLOOKUP(Vendas[[#This Row],[ID Item Vendido]],Agregado[ID],Agregado[Revenda])</f>
        <v>830</v>
      </c>
      <c r="I3897" s="3">
        <f>Vendas[[#This Row],[Valor Unitário]]*Vendas[[#This Row],[Qnt Vendida]]</f>
        <v>2490</v>
      </c>
      <c r="J3897" s="3">
        <f>Vendas[[#This Row],[Valor da Venda]]-(_xlfn.XLOOKUP(Vendas[[#This Row],[ID Item Vendido]],Agregado[ID],Agregado[Custo])*Vendas[[#This Row],[Qnt Vendida]])</f>
        <v>450</v>
      </c>
      <c r="K3897" s="70">
        <f>Vendas[[#This Row],[Lucro da Venda]]/Vendas[[#This Row],[Valor da Venda]]</f>
        <v>0.18072289156626506</v>
      </c>
      <c r="L3897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3897"/>
    </row>
    <row r="3898" spans="1:13" x14ac:dyDescent="0.3">
      <c r="A3898" s="7">
        <v>400252</v>
      </c>
      <c r="B3898" t="str">
        <f>_xlfn.XLOOKUP(Vendas[[#This Row],[ID Vendedor]],Vendedores[ID],Vendedores[Nome])</f>
        <v>Renata</v>
      </c>
      <c r="C3898" s="7" t="str">
        <f>_xlfn.XLOOKUP(Vendas[[#This Row],[ID Vendedor]],Vendedores[ID],Vendedores[Setor])</f>
        <v>AB</v>
      </c>
      <c r="D3898" s="7" t="s">
        <v>24</v>
      </c>
      <c r="E3898" t="str">
        <f>_xlfn.XLOOKUP(Vendas[[#This Row],[ID Item Vendido]],Agregado[ID],Agregado[Produto])</f>
        <v>Resina plástica PET purificada saco de 25kg</v>
      </c>
      <c r="F3898" s="39">
        <v>45559</v>
      </c>
      <c r="G3898" s="7">
        <v>14</v>
      </c>
      <c r="H3898" s="3">
        <f>_xlfn.XLOOKUP(Vendas[[#This Row],[ID Item Vendido]],Agregado[ID],Agregado[Revenda])</f>
        <v>119</v>
      </c>
      <c r="I3898" s="3">
        <f>Vendas[[#This Row],[Valor Unitário]]*Vendas[[#This Row],[Qnt Vendida]]</f>
        <v>1666</v>
      </c>
      <c r="J3898" s="3">
        <f>Vendas[[#This Row],[Valor da Venda]]-(_xlfn.XLOOKUP(Vendas[[#This Row],[ID Item Vendido]],Agregado[ID],Agregado[Custo])*Vendas[[#This Row],[Qnt Vendida]])</f>
        <v>476</v>
      </c>
      <c r="K3898" s="70">
        <f>Vendas[[#This Row],[Lucro da Venda]]/Vendas[[#This Row],[Valor da Venda]]</f>
        <v>0.2857142857142857</v>
      </c>
      <c r="L3898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3898"/>
    </row>
    <row r="3899" spans="1:13" x14ac:dyDescent="0.3">
      <c r="A3899" s="7">
        <v>400249</v>
      </c>
      <c r="B3899" t="str">
        <f>_xlfn.XLOOKUP(Vendas[[#This Row],[ID Vendedor]],Vendedores[ID],Vendedores[Nome])</f>
        <v>Bruno</v>
      </c>
      <c r="C3899" s="7" t="str">
        <f>_xlfn.XLOOKUP(Vendas[[#This Row],[ID Vendedor]],Vendedores[ID],Vendedores[Setor])</f>
        <v>CM</v>
      </c>
      <c r="D3899" s="7" t="s">
        <v>43</v>
      </c>
      <c r="E3899" t="str">
        <f>_xlfn.XLOOKUP(Vendas[[#This Row],[ID Item Vendido]],Agregado[ID],Agregado[Produto])</f>
        <v>Madeira Bruta (Tora)</v>
      </c>
      <c r="F3899" s="39">
        <v>45559</v>
      </c>
      <c r="G3899" s="7">
        <v>3</v>
      </c>
      <c r="H3899" s="3">
        <f>_xlfn.XLOOKUP(Vendas[[#This Row],[ID Item Vendido]],Agregado[ID],Agregado[Revenda])</f>
        <v>212</v>
      </c>
      <c r="I3899" s="3">
        <f>Vendas[[#This Row],[Valor Unitário]]*Vendas[[#This Row],[Qnt Vendida]]</f>
        <v>636</v>
      </c>
      <c r="J3899" s="3">
        <f>Vendas[[#This Row],[Valor da Venda]]-(_xlfn.XLOOKUP(Vendas[[#This Row],[ID Item Vendido]],Agregado[ID],Agregado[Custo])*Vendas[[#This Row],[Qnt Vendida]])</f>
        <v>96</v>
      </c>
      <c r="K3899" s="70">
        <f>Vendas[[#This Row],[Lucro da Venda]]/Vendas[[#This Row],[Valor da Venda]]</f>
        <v>0.15094339622641509</v>
      </c>
      <c r="L3899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3899"/>
    </row>
    <row r="3900" spans="1:13" x14ac:dyDescent="0.3">
      <c r="A3900" s="7">
        <v>400242</v>
      </c>
      <c r="B3900" t="str">
        <f>_xlfn.XLOOKUP(Vendas[[#This Row],[ID Vendedor]],Vendedores[ID],Vendedores[Nome])</f>
        <v>Fernanda</v>
      </c>
      <c r="C3900" s="7" t="str">
        <f>_xlfn.XLOOKUP(Vendas[[#This Row],[ID Vendedor]],Vendedores[ID],Vendedores[Setor])</f>
        <v>FM</v>
      </c>
      <c r="D3900" s="7" t="s">
        <v>6</v>
      </c>
      <c r="E3900" t="str">
        <f>_xlfn.XLOOKUP(Vendas[[#This Row],[ID Item Vendido]],Agregado[ID],Agregado[Produto])</f>
        <v>Parafuso comum 500un</v>
      </c>
      <c r="F3900" s="39">
        <v>45559</v>
      </c>
      <c r="G3900" s="7">
        <v>9</v>
      </c>
      <c r="H3900" s="3">
        <f>_xlfn.XLOOKUP(Vendas[[#This Row],[ID Item Vendido]],Agregado[ID],Agregado[Revenda])</f>
        <v>24.6</v>
      </c>
      <c r="I3900" s="3">
        <f>Vendas[[#This Row],[Valor Unitário]]*Vendas[[#This Row],[Qnt Vendida]]</f>
        <v>221.4</v>
      </c>
      <c r="J3900" s="3">
        <f>Vendas[[#This Row],[Valor da Venda]]-(_xlfn.XLOOKUP(Vendas[[#This Row],[ID Item Vendido]],Agregado[ID],Agregado[Custo])*Vendas[[#This Row],[Qnt Vendida]])</f>
        <v>23.400000000000006</v>
      </c>
      <c r="K3900" s="70">
        <f>Vendas[[#This Row],[Lucro da Venda]]/Vendas[[#This Row],[Valor da Venda]]</f>
        <v>0.10569105691056913</v>
      </c>
      <c r="L3900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3900"/>
    </row>
    <row r="3901" spans="1:13" x14ac:dyDescent="0.3">
      <c r="A3901" s="7">
        <v>400252</v>
      </c>
      <c r="B3901" t="str">
        <f>_xlfn.XLOOKUP(Vendas[[#This Row],[ID Vendedor]],Vendedores[ID],Vendedores[Nome])</f>
        <v>Renata</v>
      </c>
      <c r="C3901" s="7" t="str">
        <f>_xlfn.XLOOKUP(Vendas[[#This Row],[ID Vendedor]],Vendedores[ID],Vendedores[Setor])</f>
        <v>AB</v>
      </c>
      <c r="D3901" s="7" t="s">
        <v>36</v>
      </c>
      <c r="E3901" t="str">
        <f>_xlfn.XLOOKUP(Vendas[[#This Row],[ID Item Vendido]],Agregado[ID],Agregado[Produto])</f>
        <v>Borracha vulcanizada em manta</v>
      </c>
      <c r="F3901" s="39">
        <v>45559</v>
      </c>
      <c r="G3901" s="7">
        <v>18</v>
      </c>
      <c r="H3901" s="3">
        <f>_xlfn.XLOOKUP(Vendas[[#This Row],[ID Item Vendido]],Agregado[ID],Agregado[Revenda])</f>
        <v>7.8</v>
      </c>
      <c r="I3901" s="3">
        <f>Vendas[[#This Row],[Valor Unitário]]*Vendas[[#This Row],[Qnt Vendida]]</f>
        <v>140.4</v>
      </c>
      <c r="J3901" s="3">
        <f>Vendas[[#This Row],[Valor da Venda]]-(_xlfn.XLOOKUP(Vendas[[#This Row],[ID Item Vendido]],Agregado[ID],Agregado[Custo])*Vendas[[#This Row],[Qnt Vendida]])</f>
        <v>32.400000000000006</v>
      </c>
      <c r="K3901" s="70">
        <f>Vendas[[#This Row],[Lucro da Venda]]/Vendas[[#This Row],[Valor da Venda]]</f>
        <v>0.23076923076923081</v>
      </c>
      <c r="L3901" s="3">
        <f>_xlfn.IFS(Vendas[[#This Row],[Margem de Lucro (%)]]&lt;15%,Vendas[[#This Row],[Valor da Venda]]*3%,Vendas[[#This Row],[Margem de Lucro (%)]]&lt;=20%,Vendas[[#This Row],[Valor da Venda]]*4.5%,TRUE,Vendas[[#This Row],[Valor da Venda]]*6%)</f>
        <v>8.4239999999999995</v>
      </c>
      <c r="M3901"/>
    </row>
    <row r="3902" spans="1:13" x14ac:dyDescent="0.3">
      <c r="A3902" s="7">
        <v>400252</v>
      </c>
      <c r="B3902" t="str">
        <f>_xlfn.XLOOKUP(Vendas[[#This Row],[ID Vendedor]],Vendedores[ID],Vendedores[Nome])</f>
        <v>Renata</v>
      </c>
      <c r="C3902" s="7" t="str">
        <f>_xlfn.XLOOKUP(Vendas[[#This Row],[ID Vendedor]],Vendedores[ID],Vendedores[Setor])</f>
        <v>AB</v>
      </c>
      <c r="D3902" s="7" t="s">
        <v>12</v>
      </c>
      <c r="E3902" t="str">
        <f>_xlfn.XLOOKUP(Vendas[[#This Row],[ID Item Vendido]],Agregado[ID],Agregado[Produto])</f>
        <v>Grânulo de plástico reciclado refinado</v>
      </c>
      <c r="F3902" s="39">
        <v>45559</v>
      </c>
      <c r="G3902" s="7">
        <v>21</v>
      </c>
      <c r="H3902" s="3">
        <f>_xlfn.XLOOKUP(Vendas[[#This Row],[ID Item Vendido]],Agregado[ID],Agregado[Revenda])</f>
        <v>4.7</v>
      </c>
      <c r="I3902" s="3">
        <f>Vendas[[#This Row],[Valor Unitário]]*Vendas[[#This Row],[Qnt Vendida]]</f>
        <v>98.7</v>
      </c>
      <c r="J3902" s="3">
        <f>Vendas[[#This Row],[Valor da Venda]]-(_xlfn.XLOOKUP(Vendas[[#This Row],[ID Item Vendido]],Agregado[ID],Agregado[Custo])*Vendas[[#This Row],[Qnt Vendida]])</f>
        <v>25.200000000000003</v>
      </c>
      <c r="K3902" s="70">
        <f>Vendas[[#This Row],[Lucro da Venda]]/Vendas[[#This Row],[Valor da Venda]]</f>
        <v>0.25531914893617025</v>
      </c>
      <c r="L3902" s="3">
        <f>_xlfn.IFS(Vendas[[#This Row],[Margem de Lucro (%)]]&lt;15%,Vendas[[#This Row],[Valor da Venda]]*3%,Vendas[[#This Row],[Margem de Lucro (%)]]&lt;=20%,Vendas[[#This Row],[Valor da Venda]]*4.5%,TRUE,Vendas[[#This Row],[Valor da Venda]]*6%)</f>
        <v>5.9219999999999997</v>
      </c>
      <c r="M3902"/>
    </row>
    <row r="3903" spans="1:13" x14ac:dyDescent="0.3">
      <c r="A3903" s="7">
        <v>400249</v>
      </c>
      <c r="B3903" t="str">
        <f>_xlfn.XLOOKUP(Vendas[[#This Row],[ID Vendedor]],Vendedores[ID],Vendedores[Nome])</f>
        <v>Bruno</v>
      </c>
      <c r="C3903" s="7" t="str">
        <f>_xlfn.XLOOKUP(Vendas[[#This Row],[ID Vendedor]],Vendedores[ID],Vendedores[Setor])</f>
        <v>CM</v>
      </c>
      <c r="D3903" s="7" t="s">
        <v>32</v>
      </c>
      <c r="E3903" t="str">
        <f>_xlfn.XLOOKUP(Vendas[[#This Row],[ID Item Vendido]],Agregado[ID],Agregado[Produto])</f>
        <v>Tábua tratada e cortada 3m</v>
      </c>
      <c r="F3903" s="39">
        <v>45560</v>
      </c>
      <c r="G3903" s="7">
        <v>37</v>
      </c>
      <c r="H3903" s="3">
        <f>_xlfn.XLOOKUP(Vendas[[#This Row],[ID Item Vendido]],Agregado[ID],Agregado[Revenda])</f>
        <v>39</v>
      </c>
      <c r="I3903" s="3">
        <f>Vendas[[#This Row],[Valor Unitário]]*Vendas[[#This Row],[Qnt Vendida]]</f>
        <v>1443</v>
      </c>
      <c r="J3903" s="3">
        <f>Vendas[[#This Row],[Valor da Venda]]-(_xlfn.XLOOKUP(Vendas[[#This Row],[ID Item Vendido]],Agregado[ID],Agregado[Custo])*Vendas[[#This Row],[Qnt Vendida]])</f>
        <v>259</v>
      </c>
      <c r="K3903" s="70">
        <f>Vendas[[#This Row],[Lucro da Venda]]/Vendas[[#This Row],[Valor da Venda]]</f>
        <v>0.17948717948717949</v>
      </c>
      <c r="L3903" s="3">
        <f>_xlfn.IFS(Vendas[[#This Row],[Margem de Lucro (%)]]&lt;15%,Vendas[[#This Row],[Valor da Venda]]*3%,Vendas[[#This Row],[Margem de Lucro (%)]]&lt;=20%,Vendas[[#This Row],[Valor da Venda]]*4.5%,TRUE,Vendas[[#This Row],[Valor da Venda]]*6%)</f>
        <v>64.935000000000002</v>
      </c>
      <c r="M3903"/>
    </row>
    <row r="3904" spans="1:13" x14ac:dyDescent="0.3">
      <c r="A3904" s="7">
        <v>400255</v>
      </c>
      <c r="B3904" t="str">
        <f>_xlfn.XLOOKUP(Vendas[[#This Row],[ID Vendedor]],Vendedores[ID],Vendedores[Nome])</f>
        <v>Carlos</v>
      </c>
      <c r="C3904" s="7" t="str">
        <f>_xlfn.XLOOKUP(Vendas[[#This Row],[ID Vendedor]],Vendedores[ID],Vendedores[Setor])</f>
        <v>SC</v>
      </c>
      <c r="D3904" s="7" t="s">
        <v>48</v>
      </c>
      <c r="E3904" t="str">
        <f>_xlfn.XLOOKUP(Vendas[[#This Row],[ID Item Vendido]],Agregado[ID],Agregado[Produto])</f>
        <v>Tambor metálico 200L</v>
      </c>
      <c r="F3904" s="39">
        <v>45561</v>
      </c>
      <c r="G3904" s="7">
        <v>15</v>
      </c>
      <c r="H3904" s="3">
        <f>_xlfn.XLOOKUP(Vendas[[#This Row],[ID Item Vendido]],Agregado[ID],Agregado[Revenda])</f>
        <v>144</v>
      </c>
      <c r="I3904" s="3">
        <f>Vendas[[#This Row],[Valor Unitário]]*Vendas[[#This Row],[Qnt Vendida]]</f>
        <v>2160</v>
      </c>
      <c r="J3904" s="3">
        <f>Vendas[[#This Row],[Valor da Venda]]-(_xlfn.XLOOKUP(Vendas[[#This Row],[ID Item Vendido]],Agregado[ID],Agregado[Custo])*Vendas[[#This Row],[Qnt Vendida]])</f>
        <v>360</v>
      </c>
      <c r="K3904" s="70">
        <f>Vendas[[#This Row],[Lucro da Venda]]/Vendas[[#This Row],[Valor da Venda]]</f>
        <v>0.16666666666666666</v>
      </c>
      <c r="L3904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3904"/>
    </row>
    <row r="3905" spans="1:13" x14ac:dyDescent="0.3">
      <c r="A3905" s="7">
        <v>400242</v>
      </c>
      <c r="B3905" t="str">
        <f>_xlfn.XLOOKUP(Vendas[[#This Row],[ID Vendedor]],Vendedores[ID],Vendedores[Nome])</f>
        <v>Fernanda</v>
      </c>
      <c r="C3905" s="7" t="str">
        <f>_xlfn.XLOOKUP(Vendas[[#This Row],[ID Vendedor]],Vendedores[ID],Vendedores[Setor])</f>
        <v>FM</v>
      </c>
      <c r="D3905" s="7" t="s">
        <v>27</v>
      </c>
      <c r="E3905" t="str">
        <f>_xlfn.XLOOKUP(Vendas[[#This Row],[ID Item Vendido]],Agregado[ID],Agregado[Produto])</f>
        <v>Chapa de metal lisa 1x2m</v>
      </c>
      <c r="F3905" s="39">
        <v>45561</v>
      </c>
      <c r="G3905" s="7">
        <v>21</v>
      </c>
      <c r="H3905" s="3">
        <f>_xlfn.XLOOKUP(Vendas[[#This Row],[ID Item Vendido]],Agregado[ID],Agregado[Revenda])</f>
        <v>52</v>
      </c>
      <c r="I3905" s="3">
        <f>Vendas[[#This Row],[Valor Unitário]]*Vendas[[#This Row],[Qnt Vendida]]</f>
        <v>1092</v>
      </c>
      <c r="J3905" s="3">
        <f>Vendas[[#This Row],[Valor da Venda]]-(_xlfn.XLOOKUP(Vendas[[#This Row],[ID Item Vendido]],Agregado[ID],Agregado[Custo])*Vendas[[#This Row],[Qnt Vendida]])</f>
        <v>147</v>
      </c>
      <c r="K3905" s="70">
        <f>Vendas[[#This Row],[Lucro da Venda]]/Vendas[[#This Row],[Valor da Venda]]</f>
        <v>0.13461538461538461</v>
      </c>
      <c r="L3905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3905"/>
    </row>
    <row r="3906" spans="1:13" x14ac:dyDescent="0.3">
      <c r="A3906" s="7">
        <v>400241</v>
      </c>
      <c r="B3906" t="str">
        <f>_xlfn.XLOOKUP(Vendas[[#This Row],[ID Vendedor]],Vendedores[ID],Vendedores[Nome])</f>
        <v>Rodrigo</v>
      </c>
      <c r="C3906" s="7" t="str">
        <f>_xlfn.XLOOKUP(Vendas[[#This Row],[ID Vendedor]],Vendedores[ID],Vendedores[Setor])</f>
        <v>FM</v>
      </c>
      <c r="D3906" s="7" t="s">
        <v>20</v>
      </c>
      <c r="E3906" t="str">
        <f>_xlfn.XLOOKUP(Vendas[[#This Row],[ID Item Vendido]],Agregado[ID],Agregado[Produto])</f>
        <v>Barra de aço simples</v>
      </c>
      <c r="F3906" s="39">
        <v>45561</v>
      </c>
      <c r="G3906" s="7">
        <v>105</v>
      </c>
      <c r="H3906" s="3">
        <f>_xlfn.XLOOKUP(Vendas[[#This Row],[ID Item Vendido]],Agregado[ID],Agregado[Revenda])</f>
        <v>4.8</v>
      </c>
      <c r="I3906" s="3">
        <f>Vendas[[#This Row],[Valor Unitário]]*Vendas[[#This Row],[Qnt Vendida]]</f>
        <v>504</v>
      </c>
      <c r="J3906" s="3">
        <f>Vendas[[#This Row],[Valor da Venda]]-(_xlfn.XLOOKUP(Vendas[[#This Row],[ID Item Vendido]],Agregado[ID],Agregado[Custo])*Vendas[[#This Row],[Qnt Vendida]])</f>
        <v>63</v>
      </c>
      <c r="K3906" s="70">
        <f>Vendas[[#This Row],[Lucro da Venda]]/Vendas[[#This Row],[Valor da Venda]]</f>
        <v>0.125</v>
      </c>
      <c r="L3906" s="3">
        <f>_xlfn.IFS(Vendas[[#This Row],[Margem de Lucro (%)]]&lt;15%,Vendas[[#This Row],[Valor da Venda]]*3%,Vendas[[#This Row],[Margem de Lucro (%)]]&lt;=20%,Vendas[[#This Row],[Valor da Venda]]*4.5%,TRUE,Vendas[[#This Row],[Valor da Venda]]*6%)</f>
        <v>15.12</v>
      </c>
      <c r="M3906"/>
    </row>
    <row r="3907" spans="1:13" x14ac:dyDescent="0.3">
      <c r="A3907" s="7">
        <v>400243</v>
      </c>
      <c r="B3907" t="str">
        <f>_xlfn.XLOOKUP(Vendas[[#This Row],[ID Vendedor]],Vendedores[ID],Vendedores[Nome])</f>
        <v>Marcelo</v>
      </c>
      <c r="C3907" s="7" t="str">
        <f>_xlfn.XLOOKUP(Vendas[[#This Row],[ID Vendedor]],Vendedores[ID],Vendedores[Setor])</f>
        <v>FM</v>
      </c>
      <c r="D3907" s="7" t="s">
        <v>27</v>
      </c>
      <c r="E3907" t="str">
        <f>_xlfn.XLOOKUP(Vendas[[#This Row],[ID Item Vendido]],Agregado[ID],Agregado[Produto])</f>
        <v>Chapa de metal lisa 1x2m</v>
      </c>
      <c r="F3907" s="39">
        <v>45561</v>
      </c>
      <c r="G3907" s="7">
        <v>4</v>
      </c>
      <c r="H3907" s="3">
        <f>_xlfn.XLOOKUP(Vendas[[#This Row],[ID Item Vendido]],Agregado[ID],Agregado[Revenda])</f>
        <v>52</v>
      </c>
      <c r="I3907" s="3">
        <f>Vendas[[#This Row],[Valor Unitário]]*Vendas[[#This Row],[Qnt Vendida]]</f>
        <v>208</v>
      </c>
      <c r="J3907" s="3">
        <f>Vendas[[#This Row],[Valor da Venda]]-(_xlfn.XLOOKUP(Vendas[[#This Row],[ID Item Vendido]],Agregado[ID],Agregado[Custo])*Vendas[[#This Row],[Qnt Vendida]])</f>
        <v>28</v>
      </c>
      <c r="K3907" s="70">
        <f>Vendas[[#This Row],[Lucro da Venda]]/Vendas[[#This Row],[Valor da Venda]]</f>
        <v>0.13461538461538461</v>
      </c>
      <c r="L3907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3907"/>
    </row>
    <row r="3908" spans="1:13" x14ac:dyDescent="0.3">
      <c r="A3908" s="7">
        <v>400253</v>
      </c>
      <c r="B3908" t="str">
        <f>_xlfn.XLOOKUP(Vendas[[#This Row],[ID Vendedor]],Vendedores[ID],Vendedores[Nome])</f>
        <v>Gustavo</v>
      </c>
      <c r="C3908" s="7" t="str">
        <f>_xlfn.XLOOKUP(Vendas[[#This Row],[ID Vendedor]],Vendedores[ID],Vendedores[Setor])</f>
        <v>SC</v>
      </c>
      <c r="D3908" s="7" t="s">
        <v>14</v>
      </c>
      <c r="E3908" t="str">
        <f>_xlfn.XLOOKUP(Vendas[[#This Row],[ID Item Vendido]],Agregado[ID],Agregado[Produto])</f>
        <v>Barril de plástico 200L</v>
      </c>
      <c r="F3908" s="39">
        <v>45562</v>
      </c>
      <c r="G3908" s="7">
        <v>9</v>
      </c>
      <c r="H3908" s="3">
        <f>_xlfn.XLOOKUP(Vendas[[#This Row],[ID Item Vendido]],Agregado[ID],Agregado[Revenda])</f>
        <v>114</v>
      </c>
      <c r="I3908" s="3">
        <f>Vendas[[#This Row],[Valor Unitário]]*Vendas[[#This Row],[Qnt Vendida]]</f>
        <v>1026</v>
      </c>
      <c r="J3908" s="3">
        <f>Vendas[[#This Row],[Valor da Venda]]-(_xlfn.XLOOKUP(Vendas[[#This Row],[ID Item Vendido]],Agregado[ID],Agregado[Custo])*Vendas[[#This Row],[Qnt Vendida]])</f>
        <v>171</v>
      </c>
      <c r="K3908" s="70">
        <f>Vendas[[#This Row],[Lucro da Venda]]/Vendas[[#This Row],[Valor da Venda]]</f>
        <v>0.16666666666666666</v>
      </c>
      <c r="L3908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3908"/>
    </row>
    <row r="3909" spans="1:13" x14ac:dyDescent="0.3">
      <c r="A3909" s="7">
        <v>400248</v>
      </c>
      <c r="B3909" t="str">
        <f>_xlfn.XLOOKUP(Vendas[[#This Row],[ID Vendedor]],Vendedores[ID],Vendedores[Nome])</f>
        <v>Patrícia</v>
      </c>
      <c r="C3909" s="7" t="str">
        <f>_xlfn.XLOOKUP(Vendas[[#This Row],[ID Vendedor]],Vendedores[ID],Vendedores[Setor])</f>
        <v>CM</v>
      </c>
      <c r="D3909" s="7" t="s">
        <v>32</v>
      </c>
      <c r="E3909" t="str">
        <f>_xlfn.XLOOKUP(Vendas[[#This Row],[ID Item Vendido]],Agregado[ID],Agregado[Produto])</f>
        <v>Tábua tratada e cortada 3m</v>
      </c>
      <c r="F3909" s="39">
        <v>45562</v>
      </c>
      <c r="G3909" s="7">
        <v>23</v>
      </c>
      <c r="H3909" s="3">
        <f>_xlfn.XLOOKUP(Vendas[[#This Row],[ID Item Vendido]],Agregado[ID],Agregado[Revenda])</f>
        <v>39</v>
      </c>
      <c r="I3909" s="3">
        <f>Vendas[[#This Row],[Valor Unitário]]*Vendas[[#This Row],[Qnt Vendida]]</f>
        <v>897</v>
      </c>
      <c r="J3909" s="3">
        <f>Vendas[[#This Row],[Valor da Venda]]-(_xlfn.XLOOKUP(Vendas[[#This Row],[ID Item Vendido]],Agregado[ID],Agregado[Custo])*Vendas[[#This Row],[Qnt Vendida]])</f>
        <v>161</v>
      </c>
      <c r="K3909" s="70">
        <f>Vendas[[#This Row],[Lucro da Venda]]/Vendas[[#This Row],[Valor da Venda]]</f>
        <v>0.17948717948717949</v>
      </c>
      <c r="L3909" s="3">
        <f>_xlfn.IFS(Vendas[[#This Row],[Margem de Lucro (%)]]&lt;15%,Vendas[[#This Row],[Valor da Venda]]*3%,Vendas[[#This Row],[Margem de Lucro (%)]]&lt;=20%,Vendas[[#This Row],[Valor da Venda]]*4.5%,TRUE,Vendas[[#This Row],[Valor da Venda]]*6%)</f>
        <v>40.365000000000002</v>
      </c>
      <c r="M3909"/>
    </row>
    <row r="3910" spans="1:13" x14ac:dyDescent="0.3">
      <c r="A3910" s="7">
        <v>400250</v>
      </c>
      <c r="B3910" t="str">
        <f>_xlfn.XLOOKUP(Vendas[[#This Row],[ID Vendedor]],Vendedores[ID],Vendedores[Nome])</f>
        <v>Larissa</v>
      </c>
      <c r="C3910" s="7" t="str">
        <f>_xlfn.XLOOKUP(Vendas[[#This Row],[ID Vendedor]],Vendedores[ID],Vendedores[Setor])</f>
        <v>AB</v>
      </c>
      <c r="D3910" s="7" t="s">
        <v>36</v>
      </c>
      <c r="E3910" t="str">
        <f>_xlfn.XLOOKUP(Vendas[[#This Row],[ID Item Vendido]],Agregado[ID],Agregado[Produto])</f>
        <v>Borracha vulcanizada em manta</v>
      </c>
      <c r="F3910" s="39">
        <v>45562</v>
      </c>
      <c r="G3910" s="7">
        <v>60</v>
      </c>
      <c r="H3910" s="3">
        <f>_xlfn.XLOOKUP(Vendas[[#This Row],[ID Item Vendido]],Agregado[ID],Agregado[Revenda])</f>
        <v>7.8</v>
      </c>
      <c r="I3910" s="3">
        <f>Vendas[[#This Row],[Valor Unitário]]*Vendas[[#This Row],[Qnt Vendida]]</f>
        <v>468</v>
      </c>
      <c r="J3910" s="3">
        <f>Vendas[[#This Row],[Valor da Venda]]-(_xlfn.XLOOKUP(Vendas[[#This Row],[ID Item Vendido]],Agregado[ID],Agregado[Custo])*Vendas[[#This Row],[Qnt Vendida]])</f>
        <v>108</v>
      </c>
      <c r="K3910" s="70">
        <f>Vendas[[#This Row],[Lucro da Venda]]/Vendas[[#This Row],[Valor da Venda]]</f>
        <v>0.23076923076923078</v>
      </c>
      <c r="L3910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3910"/>
    </row>
    <row r="3911" spans="1:13" x14ac:dyDescent="0.3">
      <c r="A3911" s="7">
        <v>400248</v>
      </c>
      <c r="B3911" t="str">
        <f>_xlfn.XLOOKUP(Vendas[[#This Row],[ID Vendedor]],Vendedores[ID],Vendedores[Nome])</f>
        <v>Patrícia</v>
      </c>
      <c r="C3911" s="7" t="str">
        <f>_xlfn.XLOOKUP(Vendas[[#This Row],[ID Vendedor]],Vendedores[ID],Vendedores[Setor])</f>
        <v>CM</v>
      </c>
      <c r="D3911" s="7" t="s">
        <v>34</v>
      </c>
      <c r="E3911" t="str">
        <f>_xlfn.XLOOKUP(Vendas[[#This Row],[ID Item Vendido]],Agregado[ID],Agregado[Produto])</f>
        <v>Restos de madeira p/ MDP/OSB saco de 20kg</v>
      </c>
      <c r="F3911" s="39">
        <v>45562</v>
      </c>
      <c r="G3911" s="7">
        <v>24</v>
      </c>
      <c r="H3911" s="3">
        <f>_xlfn.XLOOKUP(Vendas[[#This Row],[ID Item Vendido]],Agregado[ID],Agregado[Revenda])</f>
        <v>13.8</v>
      </c>
      <c r="I3911" s="3">
        <f>Vendas[[#This Row],[Valor Unitário]]*Vendas[[#This Row],[Qnt Vendida]]</f>
        <v>331.20000000000005</v>
      </c>
      <c r="J3911" s="3">
        <f>Vendas[[#This Row],[Valor da Venda]]-(_xlfn.XLOOKUP(Vendas[[#This Row],[ID Item Vendido]],Agregado[ID],Agregado[Custo])*Vendas[[#This Row],[Qnt Vendida]])</f>
        <v>43.200000000000045</v>
      </c>
      <c r="K3911" s="70">
        <f>Vendas[[#This Row],[Lucro da Venda]]/Vendas[[#This Row],[Valor da Venda]]</f>
        <v>0.13043478260869576</v>
      </c>
      <c r="L3911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3911"/>
    </row>
    <row r="3912" spans="1:13" x14ac:dyDescent="0.3">
      <c r="A3912" s="7">
        <v>400252</v>
      </c>
      <c r="B3912" t="str">
        <f>_xlfn.XLOOKUP(Vendas[[#This Row],[ID Vendedor]],Vendedores[ID],Vendedores[Nome])</f>
        <v>Renata</v>
      </c>
      <c r="C3912" s="7" t="str">
        <f>_xlfn.XLOOKUP(Vendas[[#This Row],[ID Vendedor]],Vendedores[ID],Vendedores[Setor])</f>
        <v>AB</v>
      </c>
      <c r="D3912" s="7" t="s">
        <v>12</v>
      </c>
      <c r="E3912" t="str">
        <f>_xlfn.XLOOKUP(Vendas[[#This Row],[ID Item Vendido]],Agregado[ID],Agregado[Produto])</f>
        <v>Grânulo de plástico reciclado refinado</v>
      </c>
      <c r="F3912" s="39">
        <v>45562</v>
      </c>
      <c r="G3912" s="7">
        <v>32</v>
      </c>
      <c r="H3912" s="3">
        <f>_xlfn.XLOOKUP(Vendas[[#This Row],[ID Item Vendido]],Agregado[ID],Agregado[Revenda])</f>
        <v>4.7</v>
      </c>
      <c r="I3912" s="3">
        <f>Vendas[[#This Row],[Valor Unitário]]*Vendas[[#This Row],[Qnt Vendida]]</f>
        <v>150.4</v>
      </c>
      <c r="J3912" s="3">
        <f>Vendas[[#This Row],[Valor da Venda]]-(_xlfn.XLOOKUP(Vendas[[#This Row],[ID Item Vendido]],Agregado[ID],Agregado[Custo])*Vendas[[#This Row],[Qnt Vendida]])</f>
        <v>38.400000000000006</v>
      </c>
      <c r="K3912" s="70">
        <f>Vendas[[#This Row],[Lucro da Venda]]/Vendas[[#This Row],[Valor da Venda]]</f>
        <v>0.25531914893617025</v>
      </c>
      <c r="L3912" s="3">
        <f>_xlfn.IFS(Vendas[[#This Row],[Margem de Lucro (%)]]&lt;15%,Vendas[[#This Row],[Valor da Venda]]*3%,Vendas[[#This Row],[Margem de Lucro (%)]]&lt;=20%,Vendas[[#This Row],[Valor da Venda]]*4.5%,TRUE,Vendas[[#This Row],[Valor da Venda]]*6%)</f>
        <v>9.0239999999999991</v>
      </c>
      <c r="M3912"/>
    </row>
    <row r="3913" spans="1:13" x14ac:dyDescent="0.3">
      <c r="A3913" s="7">
        <v>400255</v>
      </c>
      <c r="B3913" t="str">
        <f>_xlfn.XLOOKUP(Vendas[[#This Row],[ID Vendedor]],Vendedores[ID],Vendedores[Nome])</f>
        <v>Carlos</v>
      </c>
      <c r="C3913" s="7" t="str">
        <f>_xlfn.XLOOKUP(Vendas[[#This Row],[ID Vendedor]],Vendedores[ID],Vendedores[Setor])</f>
        <v>SC</v>
      </c>
      <c r="D3913" s="7" t="s">
        <v>14</v>
      </c>
      <c r="E3913" t="str">
        <f>_xlfn.XLOOKUP(Vendas[[#This Row],[ID Item Vendido]],Agregado[ID],Agregado[Produto])</f>
        <v>Barril de plástico 200L</v>
      </c>
      <c r="F3913" s="39">
        <v>45563</v>
      </c>
      <c r="G3913" s="7">
        <v>20</v>
      </c>
      <c r="H3913" s="3">
        <f>_xlfn.XLOOKUP(Vendas[[#This Row],[ID Item Vendido]],Agregado[ID],Agregado[Revenda])</f>
        <v>114</v>
      </c>
      <c r="I3913" s="3">
        <f>Vendas[[#This Row],[Valor Unitário]]*Vendas[[#This Row],[Qnt Vendida]]</f>
        <v>2280</v>
      </c>
      <c r="J3913" s="3">
        <f>Vendas[[#This Row],[Valor da Venda]]-(_xlfn.XLOOKUP(Vendas[[#This Row],[ID Item Vendido]],Agregado[ID],Agregado[Custo])*Vendas[[#This Row],[Qnt Vendida]])</f>
        <v>380</v>
      </c>
      <c r="K3913" s="70">
        <f>Vendas[[#This Row],[Lucro da Venda]]/Vendas[[#This Row],[Valor da Venda]]</f>
        <v>0.16666666666666666</v>
      </c>
      <c r="L3913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3913"/>
    </row>
    <row r="3914" spans="1:13" x14ac:dyDescent="0.3">
      <c r="A3914" s="7">
        <v>400246</v>
      </c>
      <c r="B3914" t="str">
        <f>_xlfn.XLOOKUP(Vendas[[#This Row],[ID Vendedor]],Vendedores[ID],Vendedores[Nome])</f>
        <v>Juliana</v>
      </c>
      <c r="C3914" s="7" t="str">
        <f>_xlfn.XLOOKUP(Vendas[[#This Row],[ID Vendedor]],Vendedores[ID],Vendedores[Setor])</f>
        <v>AHD</v>
      </c>
      <c r="D3914" s="7" t="s">
        <v>18</v>
      </c>
      <c r="E3914" t="str">
        <f>_xlfn.XLOOKUP(Vendas[[#This Row],[ID Item Vendido]],Agregado[ID],Agregado[Produto])</f>
        <v>Peça forjada sob encomenda</v>
      </c>
      <c r="F3914" s="39">
        <v>45563</v>
      </c>
      <c r="G3914" s="7">
        <v>4</v>
      </c>
      <c r="H3914" s="3">
        <f>_xlfn.XLOOKUP(Vendas[[#This Row],[ID Item Vendido]],Agregado[ID],Agregado[Revenda])</f>
        <v>264.60000000000002</v>
      </c>
      <c r="I3914" s="3">
        <f>Vendas[[#This Row],[Valor Unitário]]*Vendas[[#This Row],[Qnt Vendida]]</f>
        <v>1058.4000000000001</v>
      </c>
      <c r="J3914" s="3">
        <f>Vendas[[#This Row],[Valor da Venda]]-(_xlfn.XLOOKUP(Vendas[[#This Row],[ID Item Vendido]],Agregado[ID],Agregado[Custo])*Vendas[[#This Row],[Qnt Vendida]])</f>
        <v>58.400000000000091</v>
      </c>
      <c r="K3914" s="70">
        <f>Vendas[[#This Row],[Lucro da Venda]]/Vendas[[#This Row],[Valor da Venda]]</f>
        <v>5.5177626606198113E-2</v>
      </c>
      <c r="L3914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3914"/>
    </row>
    <row r="3915" spans="1:13" x14ac:dyDescent="0.3">
      <c r="A3915" s="7">
        <v>400248</v>
      </c>
      <c r="B3915" t="str">
        <f>_xlfn.XLOOKUP(Vendas[[#This Row],[ID Vendedor]],Vendedores[ID],Vendedores[Nome])</f>
        <v>Patrícia</v>
      </c>
      <c r="C3915" s="7" t="str">
        <f>_xlfn.XLOOKUP(Vendas[[#This Row],[ID Vendedor]],Vendedores[ID],Vendedores[Setor])</f>
        <v>CM</v>
      </c>
      <c r="D3915" s="7" t="s">
        <v>45</v>
      </c>
      <c r="E3915" t="str">
        <f>_xlfn.XLOOKUP(Vendas[[#This Row],[ID Item Vendido]],Agregado[ID],Agregado[Produto])</f>
        <v>Viga de madeira tratada 4m</v>
      </c>
      <c r="F3915" s="39">
        <v>45563</v>
      </c>
      <c r="G3915" s="7">
        <v>12</v>
      </c>
      <c r="H3915" s="3">
        <f>_xlfn.XLOOKUP(Vendas[[#This Row],[ID Item Vendido]],Agregado[ID],Agregado[Revenda])</f>
        <v>66</v>
      </c>
      <c r="I3915" s="3">
        <f>Vendas[[#This Row],[Valor Unitário]]*Vendas[[#This Row],[Qnt Vendida]]</f>
        <v>792</v>
      </c>
      <c r="J3915" s="3">
        <f>Vendas[[#This Row],[Valor da Venda]]-(_xlfn.XLOOKUP(Vendas[[#This Row],[ID Item Vendido]],Agregado[ID],Agregado[Custo])*Vendas[[#This Row],[Qnt Vendida]])</f>
        <v>132</v>
      </c>
      <c r="K3915" s="70">
        <f>Vendas[[#This Row],[Lucro da Venda]]/Vendas[[#This Row],[Valor da Venda]]</f>
        <v>0.16666666666666666</v>
      </c>
      <c r="L3915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3915"/>
    </row>
    <row r="3916" spans="1:13" x14ac:dyDescent="0.3">
      <c r="A3916" s="7">
        <v>400243</v>
      </c>
      <c r="B3916" t="str">
        <f>_xlfn.XLOOKUP(Vendas[[#This Row],[ID Vendedor]],Vendedores[ID],Vendedores[Nome])</f>
        <v>Marcelo</v>
      </c>
      <c r="C3916" s="7" t="str">
        <f>_xlfn.XLOOKUP(Vendas[[#This Row],[ID Vendedor]],Vendedores[ID],Vendedores[Setor])</f>
        <v>FM</v>
      </c>
      <c r="D3916" s="7" t="s">
        <v>20</v>
      </c>
      <c r="E3916" t="str">
        <f>_xlfn.XLOOKUP(Vendas[[#This Row],[ID Item Vendido]],Agregado[ID],Agregado[Produto])</f>
        <v>Barra de aço simples</v>
      </c>
      <c r="F3916" s="39">
        <v>45563</v>
      </c>
      <c r="G3916" s="7">
        <v>147</v>
      </c>
      <c r="H3916" s="3">
        <f>_xlfn.XLOOKUP(Vendas[[#This Row],[ID Item Vendido]],Agregado[ID],Agregado[Revenda])</f>
        <v>4.8</v>
      </c>
      <c r="I3916" s="3">
        <f>Vendas[[#This Row],[Valor Unitário]]*Vendas[[#This Row],[Qnt Vendida]]</f>
        <v>705.6</v>
      </c>
      <c r="J3916" s="3">
        <f>Vendas[[#This Row],[Valor da Venda]]-(_xlfn.XLOOKUP(Vendas[[#This Row],[ID Item Vendido]],Agregado[ID],Agregado[Custo])*Vendas[[#This Row],[Qnt Vendida]])</f>
        <v>88.200000000000045</v>
      </c>
      <c r="K3916" s="70">
        <f>Vendas[[#This Row],[Lucro da Venda]]/Vendas[[#This Row],[Valor da Venda]]</f>
        <v>0.12500000000000006</v>
      </c>
      <c r="L3916" s="3">
        <f>_xlfn.IFS(Vendas[[#This Row],[Margem de Lucro (%)]]&lt;15%,Vendas[[#This Row],[Valor da Venda]]*3%,Vendas[[#This Row],[Margem de Lucro (%)]]&lt;=20%,Vendas[[#This Row],[Valor da Venda]]*4.5%,TRUE,Vendas[[#This Row],[Valor da Venda]]*6%)</f>
        <v>21.167999999999999</v>
      </c>
      <c r="M3916"/>
    </row>
    <row r="3917" spans="1:13" x14ac:dyDescent="0.3">
      <c r="A3917" s="7">
        <v>400252</v>
      </c>
      <c r="B3917" t="str">
        <f>_xlfn.XLOOKUP(Vendas[[#This Row],[ID Vendedor]],Vendedores[ID],Vendedores[Nome])</f>
        <v>Renata</v>
      </c>
      <c r="C3917" s="7" t="str">
        <f>_xlfn.XLOOKUP(Vendas[[#This Row],[ID Vendedor]],Vendedores[ID],Vendedores[Setor])</f>
        <v>AB</v>
      </c>
      <c r="D3917" s="7" t="s">
        <v>36</v>
      </c>
      <c r="E3917" t="str">
        <f>_xlfn.XLOOKUP(Vendas[[#This Row],[ID Item Vendido]],Agregado[ID],Agregado[Produto])</f>
        <v>Borracha vulcanizada em manta</v>
      </c>
      <c r="F3917" s="39">
        <v>45563</v>
      </c>
      <c r="G3917" s="7">
        <v>62</v>
      </c>
      <c r="H3917" s="3">
        <f>_xlfn.XLOOKUP(Vendas[[#This Row],[ID Item Vendido]],Agregado[ID],Agregado[Revenda])</f>
        <v>7.8</v>
      </c>
      <c r="I3917" s="3">
        <f>Vendas[[#This Row],[Valor Unitário]]*Vendas[[#This Row],[Qnt Vendida]]</f>
        <v>483.59999999999997</v>
      </c>
      <c r="J3917" s="3">
        <f>Vendas[[#This Row],[Valor da Venda]]-(_xlfn.XLOOKUP(Vendas[[#This Row],[ID Item Vendido]],Agregado[ID],Agregado[Custo])*Vendas[[#This Row],[Qnt Vendida]])</f>
        <v>111.59999999999997</v>
      </c>
      <c r="K3917" s="70">
        <f>Vendas[[#This Row],[Lucro da Venda]]/Vendas[[#This Row],[Valor da Venda]]</f>
        <v>0.23076923076923073</v>
      </c>
      <c r="L3917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3917"/>
    </row>
    <row r="3918" spans="1:13" x14ac:dyDescent="0.3">
      <c r="A3918" s="7">
        <v>400248</v>
      </c>
      <c r="B3918" t="str">
        <f>_xlfn.XLOOKUP(Vendas[[#This Row],[ID Vendedor]],Vendedores[ID],Vendedores[Nome])</f>
        <v>Patrícia</v>
      </c>
      <c r="C3918" s="7" t="str">
        <f>_xlfn.XLOOKUP(Vendas[[#This Row],[ID Vendedor]],Vendedores[ID],Vendedores[Setor])</f>
        <v>CM</v>
      </c>
      <c r="D3918" s="7" t="s">
        <v>43</v>
      </c>
      <c r="E3918" t="str">
        <f>_xlfn.XLOOKUP(Vendas[[#This Row],[ID Item Vendido]],Agregado[ID],Agregado[Produto])</f>
        <v>Madeira Bruta (Tora)</v>
      </c>
      <c r="F3918" s="39">
        <v>45564</v>
      </c>
      <c r="G3918" s="7">
        <v>13</v>
      </c>
      <c r="H3918" s="3">
        <f>_xlfn.XLOOKUP(Vendas[[#This Row],[ID Item Vendido]],Agregado[ID],Agregado[Revenda])</f>
        <v>212</v>
      </c>
      <c r="I3918" s="3">
        <f>Vendas[[#This Row],[Valor Unitário]]*Vendas[[#This Row],[Qnt Vendida]]</f>
        <v>2756</v>
      </c>
      <c r="J3918" s="3">
        <f>Vendas[[#This Row],[Valor da Venda]]-(_xlfn.XLOOKUP(Vendas[[#This Row],[ID Item Vendido]],Agregado[ID],Agregado[Custo])*Vendas[[#This Row],[Qnt Vendida]])</f>
        <v>416</v>
      </c>
      <c r="K3918" s="70">
        <f>Vendas[[#This Row],[Lucro da Venda]]/Vendas[[#This Row],[Valor da Venda]]</f>
        <v>0.15094339622641509</v>
      </c>
      <c r="L3918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3918"/>
    </row>
    <row r="3919" spans="1:13" x14ac:dyDescent="0.3">
      <c r="A3919" s="7">
        <v>400245</v>
      </c>
      <c r="B3919" t="str">
        <f>_xlfn.XLOOKUP(Vendas[[#This Row],[ID Vendedor]],Vendedores[ID],Vendedores[Nome])</f>
        <v>Thiago</v>
      </c>
      <c r="C3919" s="7" t="str">
        <f>_xlfn.XLOOKUP(Vendas[[#This Row],[ID Vendedor]],Vendedores[ID],Vendedores[Setor])</f>
        <v>AHD</v>
      </c>
      <c r="D3919" s="7" t="s">
        <v>9</v>
      </c>
      <c r="E3919" t="str">
        <f>_xlfn.XLOOKUP(Vendas[[#This Row],[ID Item Vendido]],Agregado[ID],Agregado[Produto])</f>
        <v>Barra de aço simples</v>
      </c>
      <c r="F3919" s="39">
        <v>45564</v>
      </c>
      <c r="G3919" s="7">
        <v>129</v>
      </c>
      <c r="H3919" s="3">
        <f>_xlfn.XLOOKUP(Vendas[[#This Row],[ID Item Vendido]],Agregado[ID],Agregado[Revenda])</f>
        <v>6.7</v>
      </c>
      <c r="I3919" s="3">
        <f>Vendas[[#This Row],[Valor Unitário]]*Vendas[[#This Row],[Qnt Vendida]]</f>
        <v>864.30000000000007</v>
      </c>
      <c r="J3919" s="3">
        <f>Vendas[[#This Row],[Valor da Venda]]-(_xlfn.XLOOKUP(Vendas[[#This Row],[ID Item Vendido]],Agregado[ID],Agregado[Custo])*Vendas[[#This Row],[Qnt Vendida]])</f>
        <v>116.10000000000014</v>
      </c>
      <c r="K3919" s="70">
        <f>Vendas[[#This Row],[Lucro da Venda]]/Vendas[[#This Row],[Valor da Venda]]</f>
        <v>0.13432835820895536</v>
      </c>
      <c r="L3919" s="3">
        <f>_xlfn.IFS(Vendas[[#This Row],[Margem de Lucro (%)]]&lt;15%,Vendas[[#This Row],[Valor da Venda]]*3%,Vendas[[#This Row],[Margem de Lucro (%)]]&lt;=20%,Vendas[[#This Row],[Valor da Venda]]*4.5%,TRUE,Vendas[[#This Row],[Valor da Venda]]*6%)</f>
        <v>25.929000000000002</v>
      </c>
      <c r="M3919"/>
    </row>
    <row r="3920" spans="1:13" x14ac:dyDescent="0.3">
      <c r="A3920" s="7">
        <v>400253</v>
      </c>
      <c r="B3920" t="str">
        <f>_xlfn.XLOOKUP(Vendas[[#This Row],[ID Vendedor]],Vendedores[ID],Vendedores[Nome])</f>
        <v>Gustavo</v>
      </c>
      <c r="C3920" s="7" t="str">
        <f>_xlfn.XLOOKUP(Vendas[[#This Row],[ID Vendedor]],Vendedores[ID],Vendedores[Setor])</f>
        <v>SC</v>
      </c>
      <c r="D3920" s="7" t="s">
        <v>42</v>
      </c>
      <c r="E3920" t="str">
        <f>_xlfn.XLOOKUP(Vendas[[#This Row],[ID Item Vendido]],Agregado[ID],Agregado[Produto])</f>
        <v>Container de ferro industrial</v>
      </c>
      <c r="F3920" s="39">
        <v>45565</v>
      </c>
      <c r="G3920" s="7">
        <v>6</v>
      </c>
      <c r="H3920" s="3">
        <f>_xlfn.XLOOKUP(Vendas[[#This Row],[ID Item Vendido]],Agregado[ID],Agregado[Revenda])</f>
        <v>830</v>
      </c>
      <c r="I3920" s="3">
        <f>Vendas[[#This Row],[Valor Unitário]]*Vendas[[#This Row],[Qnt Vendida]]</f>
        <v>4980</v>
      </c>
      <c r="J3920" s="3">
        <f>Vendas[[#This Row],[Valor da Venda]]-(_xlfn.XLOOKUP(Vendas[[#This Row],[ID Item Vendido]],Agregado[ID],Agregado[Custo])*Vendas[[#This Row],[Qnt Vendida]])</f>
        <v>900</v>
      </c>
      <c r="K3920" s="70">
        <f>Vendas[[#This Row],[Lucro da Venda]]/Vendas[[#This Row],[Valor da Venda]]</f>
        <v>0.18072289156626506</v>
      </c>
      <c r="L392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3920"/>
    </row>
    <row r="3921" spans="1:13" x14ac:dyDescent="0.3">
      <c r="A3921" s="7">
        <v>400245</v>
      </c>
      <c r="B3921" t="str">
        <f>_xlfn.XLOOKUP(Vendas[[#This Row],[ID Vendedor]],Vendedores[ID],Vendedores[Nome])</f>
        <v>Thiago</v>
      </c>
      <c r="C3921" s="7" t="str">
        <f>_xlfn.XLOOKUP(Vendas[[#This Row],[ID Vendedor]],Vendedores[ID],Vendedores[Setor])</f>
        <v>AHD</v>
      </c>
      <c r="D3921" s="7" t="s">
        <v>28</v>
      </c>
      <c r="E3921" t="str">
        <f>_xlfn.XLOOKUP(Vendas[[#This Row],[ID Item Vendido]],Agregado[ID],Agregado[Produto])</f>
        <v>Peça usinada CNC</v>
      </c>
      <c r="F3921" s="39">
        <v>45565</v>
      </c>
      <c r="G3921" s="7">
        <v>4</v>
      </c>
      <c r="H3921" s="3">
        <f>_xlfn.XLOOKUP(Vendas[[#This Row],[ID Item Vendido]],Agregado[ID],Agregado[Revenda])</f>
        <v>192</v>
      </c>
      <c r="I3921" s="3">
        <f>Vendas[[#This Row],[Valor Unitário]]*Vendas[[#This Row],[Qnt Vendida]]</f>
        <v>768</v>
      </c>
      <c r="J3921" s="3">
        <f>Vendas[[#This Row],[Valor da Venda]]-(_xlfn.XLOOKUP(Vendas[[#This Row],[ID Item Vendido]],Agregado[ID],Agregado[Custo])*Vendas[[#This Row],[Qnt Vendida]])</f>
        <v>168</v>
      </c>
      <c r="K3921" s="70">
        <f>Vendas[[#This Row],[Lucro da Venda]]/Vendas[[#This Row],[Valor da Venda]]</f>
        <v>0.21875</v>
      </c>
      <c r="L392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3921"/>
    </row>
    <row r="3922" spans="1:13" x14ac:dyDescent="0.3">
      <c r="A3922" s="7">
        <v>400246</v>
      </c>
      <c r="B3922" t="str">
        <f>_xlfn.XLOOKUP(Vendas[[#This Row],[ID Vendedor]],Vendedores[ID],Vendedores[Nome])</f>
        <v>Juliana</v>
      </c>
      <c r="C3922" s="7" t="str">
        <f>_xlfn.XLOOKUP(Vendas[[#This Row],[ID Vendedor]],Vendedores[ID],Vendedores[Setor])</f>
        <v>AHD</v>
      </c>
      <c r="D3922" s="7" t="s">
        <v>18</v>
      </c>
      <c r="E3922" t="str">
        <f>_xlfn.XLOOKUP(Vendas[[#This Row],[ID Item Vendido]],Agregado[ID],Agregado[Produto])</f>
        <v>Peça forjada sob encomenda</v>
      </c>
      <c r="F3922" s="39">
        <v>45565</v>
      </c>
      <c r="G3922" s="7">
        <v>1</v>
      </c>
      <c r="H3922" s="3">
        <f>_xlfn.XLOOKUP(Vendas[[#This Row],[ID Item Vendido]],Agregado[ID],Agregado[Revenda])</f>
        <v>264.60000000000002</v>
      </c>
      <c r="I3922" s="3">
        <f>Vendas[[#This Row],[Valor Unitário]]*Vendas[[#This Row],[Qnt Vendida]]</f>
        <v>264.60000000000002</v>
      </c>
      <c r="J3922" s="3">
        <f>Vendas[[#This Row],[Valor da Venda]]-(_xlfn.XLOOKUP(Vendas[[#This Row],[ID Item Vendido]],Agregado[ID],Agregado[Custo])*Vendas[[#This Row],[Qnt Vendida]])</f>
        <v>14.600000000000023</v>
      </c>
      <c r="K3922" s="70">
        <f>Vendas[[#This Row],[Lucro da Venda]]/Vendas[[#This Row],[Valor da Venda]]</f>
        <v>5.5177626606198113E-2</v>
      </c>
      <c r="L3922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922"/>
    </row>
    <row r="3923" spans="1:13" x14ac:dyDescent="0.3">
      <c r="A3923" s="7">
        <v>400248</v>
      </c>
      <c r="B3923" t="str">
        <f>_xlfn.XLOOKUP(Vendas[[#This Row],[ID Vendedor]],Vendedores[ID],Vendedores[Nome])</f>
        <v>Patrícia</v>
      </c>
      <c r="C3923" s="7" t="str">
        <f>_xlfn.XLOOKUP(Vendas[[#This Row],[ID Vendedor]],Vendedores[ID],Vendedores[Setor])</f>
        <v>CM</v>
      </c>
      <c r="D3923" s="7" t="s">
        <v>32</v>
      </c>
      <c r="E3923" t="str">
        <f>_xlfn.XLOOKUP(Vendas[[#This Row],[ID Item Vendido]],Agregado[ID],Agregado[Produto])</f>
        <v>Tábua tratada e cortada 3m</v>
      </c>
      <c r="F3923" s="39">
        <v>45565</v>
      </c>
      <c r="G3923" s="7">
        <v>4</v>
      </c>
      <c r="H3923" s="3">
        <f>_xlfn.XLOOKUP(Vendas[[#This Row],[ID Item Vendido]],Agregado[ID],Agregado[Revenda])</f>
        <v>39</v>
      </c>
      <c r="I3923" s="3">
        <f>Vendas[[#This Row],[Valor Unitário]]*Vendas[[#This Row],[Qnt Vendida]]</f>
        <v>156</v>
      </c>
      <c r="J3923" s="3">
        <f>Vendas[[#This Row],[Valor da Venda]]-(_xlfn.XLOOKUP(Vendas[[#This Row],[ID Item Vendido]],Agregado[ID],Agregado[Custo])*Vendas[[#This Row],[Qnt Vendida]])</f>
        <v>28</v>
      </c>
      <c r="K3923" s="70">
        <f>Vendas[[#This Row],[Lucro da Venda]]/Vendas[[#This Row],[Valor da Venda]]</f>
        <v>0.17948717948717949</v>
      </c>
      <c r="L3923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3923"/>
    </row>
    <row r="3924" spans="1:13" x14ac:dyDescent="0.3">
      <c r="A3924" s="7">
        <v>400253</v>
      </c>
      <c r="B3924" t="str">
        <f>_xlfn.XLOOKUP(Vendas[[#This Row],[ID Vendedor]],Vendedores[ID],Vendedores[Nome])</f>
        <v>Gustavo</v>
      </c>
      <c r="C3924" s="7" t="str">
        <f>_xlfn.XLOOKUP(Vendas[[#This Row],[ID Vendedor]],Vendedores[ID],Vendedores[Setor])</f>
        <v>SC</v>
      </c>
      <c r="D3924" s="7" t="s">
        <v>25</v>
      </c>
      <c r="E3924" t="str">
        <f>_xlfn.XLOOKUP(Vendas[[#This Row],[ID Item Vendido]],Agregado[ID],Agregado[Produto])</f>
        <v>Palete de plástico</v>
      </c>
      <c r="F3924" s="39">
        <v>45566</v>
      </c>
      <c r="G3924" s="7">
        <v>9</v>
      </c>
      <c r="H3924" s="3">
        <f>_xlfn.XLOOKUP(Vendas[[#This Row],[ID Item Vendido]],Agregado[ID],Agregado[Revenda])</f>
        <v>70.8</v>
      </c>
      <c r="I3924" s="3">
        <f>Vendas[[#This Row],[Valor Unitário]]*Vendas[[#This Row],[Qnt Vendida]]</f>
        <v>637.19999999999993</v>
      </c>
      <c r="J3924" s="3">
        <f>Vendas[[#This Row],[Valor da Venda]]-(_xlfn.XLOOKUP(Vendas[[#This Row],[ID Item Vendido]],Agregado[ID],Agregado[Custo])*Vendas[[#This Row],[Qnt Vendida]])</f>
        <v>97.199999999999932</v>
      </c>
      <c r="K3924" s="70">
        <f>Vendas[[#This Row],[Lucro da Venda]]/Vendas[[#This Row],[Valor da Venda]]</f>
        <v>0.15254237288135583</v>
      </c>
      <c r="L3924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3924"/>
    </row>
    <row r="3925" spans="1:13" x14ac:dyDescent="0.3">
      <c r="A3925" s="7">
        <v>400252</v>
      </c>
      <c r="B3925" t="str">
        <f>_xlfn.XLOOKUP(Vendas[[#This Row],[ID Vendedor]],Vendedores[ID],Vendedores[Nome])</f>
        <v>Renata</v>
      </c>
      <c r="C3925" s="7" t="str">
        <f>_xlfn.XLOOKUP(Vendas[[#This Row],[ID Vendedor]],Vendedores[ID],Vendedores[Setor])</f>
        <v>AB</v>
      </c>
      <c r="D3925" s="7" t="s">
        <v>37</v>
      </c>
      <c r="E3925" t="str">
        <f>_xlfn.XLOOKUP(Vendas[[#This Row],[ID Item Vendido]],Agregado[ID],Agregado[Produto])</f>
        <v>Composto de borracha para vedação rolo 10m</v>
      </c>
      <c r="F3925" s="39">
        <v>45566</v>
      </c>
      <c r="G3925" s="7">
        <v>12</v>
      </c>
      <c r="H3925" s="3">
        <f>_xlfn.XLOOKUP(Vendas[[#This Row],[ID Item Vendido]],Agregado[ID],Agregado[Revenda])</f>
        <v>51.2</v>
      </c>
      <c r="I3925" s="3">
        <f>Vendas[[#This Row],[Valor Unitário]]*Vendas[[#This Row],[Qnt Vendida]]</f>
        <v>614.40000000000009</v>
      </c>
      <c r="J3925" s="3">
        <f>Vendas[[#This Row],[Valor da Venda]]-(_xlfn.XLOOKUP(Vendas[[#This Row],[ID Item Vendido]],Agregado[ID],Agregado[Custo])*Vendas[[#This Row],[Qnt Vendida]])</f>
        <v>134.40000000000009</v>
      </c>
      <c r="K3925" s="70">
        <f>Vendas[[#This Row],[Lucro da Venda]]/Vendas[[#This Row],[Valor da Venda]]</f>
        <v>0.21875000000000011</v>
      </c>
      <c r="L3925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3925"/>
    </row>
    <row r="3926" spans="1:13" x14ac:dyDescent="0.3">
      <c r="A3926" s="7">
        <v>400252</v>
      </c>
      <c r="B3926" t="str">
        <f>_xlfn.XLOOKUP(Vendas[[#This Row],[ID Vendedor]],Vendedores[ID],Vendedores[Nome])</f>
        <v>Renata</v>
      </c>
      <c r="C3926" s="7" t="str">
        <f>_xlfn.XLOOKUP(Vendas[[#This Row],[ID Vendedor]],Vendedores[ID],Vendedores[Setor])</f>
        <v>AB</v>
      </c>
      <c r="D3926" s="7" t="s">
        <v>24</v>
      </c>
      <c r="E3926" t="str">
        <f>_xlfn.XLOOKUP(Vendas[[#This Row],[ID Item Vendido]],Agregado[ID],Agregado[Produto])</f>
        <v>Resina plástica PET purificada saco de 25kg</v>
      </c>
      <c r="F3926" s="39">
        <v>45567</v>
      </c>
      <c r="G3926" s="7">
        <v>24</v>
      </c>
      <c r="H3926" s="3">
        <f>_xlfn.XLOOKUP(Vendas[[#This Row],[ID Item Vendido]],Agregado[ID],Agregado[Revenda])</f>
        <v>119</v>
      </c>
      <c r="I3926" s="3">
        <f>Vendas[[#This Row],[Valor Unitário]]*Vendas[[#This Row],[Qnt Vendida]]</f>
        <v>2856</v>
      </c>
      <c r="J3926" s="3">
        <f>Vendas[[#This Row],[Valor da Venda]]-(_xlfn.XLOOKUP(Vendas[[#This Row],[ID Item Vendido]],Agregado[ID],Agregado[Custo])*Vendas[[#This Row],[Qnt Vendida]])</f>
        <v>816</v>
      </c>
      <c r="K3926" s="70">
        <f>Vendas[[#This Row],[Lucro da Venda]]/Vendas[[#This Row],[Valor da Venda]]</f>
        <v>0.2857142857142857</v>
      </c>
      <c r="L3926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3926"/>
    </row>
    <row r="3927" spans="1:13" x14ac:dyDescent="0.3">
      <c r="A3927" s="7">
        <v>400254</v>
      </c>
      <c r="B3927" t="str">
        <f>_xlfn.XLOOKUP(Vendas[[#This Row],[ID Vendedor]],Vendedores[ID],Vendedores[Nome])</f>
        <v>Beatriz</v>
      </c>
      <c r="C3927" s="7" t="str">
        <f>_xlfn.XLOOKUP(Vendas[[#This Row],[ID Vendedor]],Vendedores[ID],Vendedores[Setor])</f>
        <v>SC</v>
      </c>
      <c r="D3927" s="7" t="s">
        <v>48</v>
      </c>
      <c r="E3927" t="str">
        <f>_xlfn.XLOOKUP(Vendas[[#This Row],[ID Item Vendido]],Agregado[ID],Agregado[Produto])</f>
        <v>Tambor metálico 200L</v>
      </c>
      <c r="F3927" s="39">
        <v>45567</v>
      </c>
      <c r="G3927" s="7">
        <v>19</v>
      </c>
      <c r="H3927" s="3">
        <f>_xlfn.XLOOKUP(Vendas[[#This Row],[ID Item Vendido]],Agregado[ID],Agregado[Revenda])</f>
        <v>144</v>
      </c>
      <c r="I3927" s="3">
        <f>Vendas[[#This Row],[Valor Unitário]]*Vendas[[#This Row],[Qnt Vendida]]</f>
        <v>2736</v>
      </c>
      <c r="J3927" s="3">
        <f>Vendas[[#This Row],[Valor da Venda]]-(_xlfn.XLOOKUP(Vendas[[#This Row],[ID Item Vendido]],Agregado[ID],Agregado[Custo])*Vendas[[#This Row],[Qnt Vendida]])</f>
        <v>456</v>
      </c>
      <c r="K3927" s="70">
        <f>Vendas[[#This Row],[Lucro da Venda]]/Vendas[[#This Row],[Valor da Venda]]</f>
        <v>0.16666666666666666</v>
      </c>
      <c r="L392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3927"/>
    </row>
    <row r="3928" spans="1:13" x14ac:dyDescent="0.3">
      <c r="A3928" s="7">
        <v>400252</v>
      </c>
      <c r="B3928" t="str">
        <f>_xlfn.XLOOKUP(Vendas[[#This Row],[ID Vendedor]],Vendedores[ID],Vendedores[Nome])</f>
        <v>Renata</v>
      </c>
      <c r="C3928" s="7" t="str">
        <f>_xlfn.XLOOKUP(Vendas[[#This Row],[ID Vendedor]],Vendedores[ID],Vendedores[Setor])</f>
        <v>AB</v>
      </c>
      <c r="D3928" s="7" t="s">
        <v>39</v>
      </c>
      <c r="E3928" t="str">
        <f>_xlfn.XLOOKUP(Vendas[[#This Row],[ID Item Vendido]],Agregado[ID],Agregado[Produto])</f>
        <v>Filme plástico industrial rolo 50m</v>
      </c>
      <c r="F3928" s="39">
        <v>45568</v>
      </c>
      <c r="G3928" s="7">
        <v>18</v>
      </c>
      <c r="H3928" s="3">
        <f>_xlfn.XLOOKUP(Vendas[[#This Row],[ID Item Vendido]],Agregado[ID],Agregado[Revenda])</f>
        <v>37</v>
      </c>
      <c r="I3928" s="3">
        <f>Vendas[[#This Row],[Valor Unitário]]*Vendas[[#This Row],[Qnt Vendida]]</f>
        <v>666</v>
      </c>
      <c r="J3928" s="3">
        <f>Vendas[[#This Row],[Valor da Venda]]-(_xlfn.XLOOKUP(Vendas[[#This Row],[ID Item Vendido]],Agregado[ID],Agregado[Custo])*Vendas[[#This Row],[Qnt Vendida]])</f>
        <v>162</v>
      </c>
      <c r="K3928" s="70">
        <f>Vendas[[#This Row],[Lucro da Venda]]/Vendas[[#This Row],[Valor da Venda]]</f>
        <v>0.24324324324324326</v>
      </c>
      <c r="L3928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3928"/>
    </row>
    <row r="3929" spans="1:13" x14ac:dyDescent="0.3">
      <c r="A3929" s="7">
        <v>400251</v>
      </c>
      <c r="B3929" t="str">
        <f>_xlfn.XLOOKUP(Vendas[[#This Row],[ID Vendedor]],Vendedores[ID],Vendedores[Nome])</f>
        <v>Diego</v>
      </c>
      <c r="C3929" s="7" t="str">
        <f>_xlfn.XLOOKUP(Vendas[[#This Row],[ID Vendedor]],Vendedores[ID],Vendedores[Setor])</f>
        <v>AB</v>
      </c>
      <c r="D3929" s="7" t="s">
        <v>39</v>
      </c>
      <c r="E3929" t="str">
        <f>_xlfn.XLOOKUP(Vendas[[#This Row],[ID Item Vendido]],Agregado[ID],Agregado[Produto])</f>
        <v>Filme plástico industrial rolo 50m</v>
      </c>
      <c r="F3929" s="39">
        <v>45568</v>
      </c>
      <c r="G3929" s="7">
        <v>16</v>
      </c>
      <c r="H3929" s="3">
        <f>_xlfn.XLOOKUP(Vendas[[#This Row],[ID Item Vendido]],Agregado[ID],Agregado[Revenda])</f>
        <v>37</v>
      </c>
      <c r="I3929" s="3">
        <f>Vendas[[#This Row],[Valor Unitário]]*Vendas[[#This Row],[Qnt Vendida]]</f>
        <v>592</v>
      </c>
      <c r="J3929" s="3">
        <f>Vendas[[#This Row],[Valor da Venda]]-(_xlfn.XLOOKUP(Vendas[[#This Row],[ID Item Vendido]],Agregado[ID],Agregado[Custo])*Vendas[[#This Row],[Qnt Vendida]])</f>
        <v>144</v>
      </c>
      <c r="K3929" s="70">
        <f>Vendas[[#This Row],[Lucro da Venda]]/Vendas[[#This Row],[Valor da Venda]]</f>
        <v>0.24324324324324326</v>
      </c>
      <c r="L3929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3929"/>
    </row>
    <row r="3930" spans="1:13" x14ac:dyDescent="0.3">
      <c r="A3930" s="7">
        <v>400252</v>
      </c>
      <c r="B3930" t="str">
        <f>_xlfn.XLOOKUP(Vendas[[#This Row],[ID Vendedor]],Vendedores[ID],Vendedores[Nome])</f>
        <v>Renata</v>
      </c>
      <c r="C3930" s="7" t="str">
        <f>_xlfn.XLOOKUP(Vendas[[#This Row],[ID Vendedor]],Vendedores[ID],Vendedores[Setor])</f>
        <v>AB</v>
      </c>
      <c r="D3930" s="7" t="s">
        <v>36</v>
      </c>
      <c r="E3930" t="str">
        <f>_xlfn.XLOOKUP(Vendas[[#This Row],[ID Item Vendido]],Agregado[ID],Agregado[Produto])</f>
        <v>Borracha vulcanizada em manta</v>
      </c>
      <c r="F3930" s="39">
        <v>45568</v>
      </c>
      <c r="G3930" s="7">
        <v>17</v>
      </c>
      <c r="H3930" s="3">
        <f>_xlfn.XLOOKUP(Vendas[[#This Row],[ID Item Vendido]],Agregado[ID],Agregado[Revenda])</f>
        <v>7.8</v>
      </c>
      <c r="I3930" s="3">
        <f>Vendas[[#This Row],[Valor Unitário]]*Vendas[[#This Row],[Qnt Vendida]]</f>
        <v>132.6</v>
      </c>
      <c r="J3930" s="3">
        <f>Vendas[[#This Row],[Valor da Venda]]-(_xlfn.XLOOKUP(Vendas[[#This Row],[ID Item Vendido]],Agregado[ID],Agregado[Custo])*Vendas[[#This Row],[Qnt Vendida]])</f>
        <v>30.599999999999994</v>
      </c>
      <c r="K3930" s="70">
        <f>Vendas[[#This Row],[Lucro da Venda]]/Vendas[[#This Row],[Valor da Venda]]</f>
        <v>0.23076923076923073</v>
      </c>
      <c r="L3930" s="3">
        <f>_xlfn.IFS(Vendas[[#This Row],[Margem de Lucro (%)]]&lt;15%,Vendas[[#This Row],[Valor da Venda]]*3%,Vendas[[#This Row],[Margem de Lucro (%)]]&lt;=20%,Vendas[[#This Row],[Valor da Venda]]*4.5%,TRUE,Vendas[[#This Row],[Valor da Venda]]*6%)</f>
        <v>7.9559999999999995</v>
      </c>
      <c r="M3930"/>
    </row>
    <row r="3931" spans="1:13" x14ac:dyDescent="0.3">
      <c r="A3931" s="7">
        <v>400254</v>
      </c>
      <c r="B3931" t="str">
        <f>_xlfn.XLOOKUP(Vendas[[#This Row],[ID Vendedor]],Vendedores[ID],Vendedores[Nome])</f>
        <v>Beatriz</v>
      </c>
      <c r="C3931" s="7" t="str">
        <f>_xlfn.XLOOKUP(Vendas[[#This Row],[ID Vendedor]],Vendedores[ID],Vendedores[Setor])</f>
        <v>SC</v>
      </c>
      <c r="D3931" s="7" t="s">
        <v>42</v>
      </c>
      <c r="E3931" t="str">
        <f>_xlfn.XLOOKUP(Vendas[[#This Row],[ID Item Vendido]],Agregado[ID],Agregado[Produto])</f>
        <v>Container de ferro industrial</v>
      </c>
      <c r="F3931" s="39">
        <v>45569</v>
      </c>
      <c r="G3931" s="7">
        <v>4</v>
      </c>
      <c r="H3931" s="3">
        <f>_xlfn.XLOOKUP(Vendas[[#This Row],[ID Item Vendido]],Agregado[ID],Agregado[Revenda])</f>
        <v>830</v>
      </c>
      <c r="I3931" s="3">
        <f>Vendas[[#This Row],[Valor Unitário]]*Vendas[[#This Row],[Qnt Vendida]]</f>
        <v>3320</v>
      </c>
      <c r="J3931" s="3">
        <f>Vendas[[#This Row],[Valor da Venda]]-(_xlfn.XLOOKUP(Vendas[[#This Row],[ID Item Vendido]],Agregado[ID],Agregado[Custo])*Vendas[[#This Row],[Qnt Vendida]])</f>
        <v>600</v>
      </c>
      <c r="K3931" s="70">
        <f>Vendas[[#This Row],[Lucro da Venda]]/Vendas[[#This Row],[Valor da Venda]]</f>
        <v>0.18072289156626506</v>
      </c>
      <c r="L393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931"/>
    </row>
    <row r="3932" spans="1:13" x14ac:dyDescent="0.3">
      <c r="A3932" s="7">
        <v>400248</v>
      </c>
      <c r="B3932" t="str">
        <f>_xlfn.XLOOKUP(Vendas[[#This Row],[ID Vendedor]],Vendedores[ID],Vendedores[Nome])</f>
        <v>Patrícia</v>
      </c>
      <c r="C3932" s="7" t="str">
        <f>_xlfn.XLOOKUP(Vendas[[#This Row],[ID Vendedor]],Vendedores[ID],Vendedores[Setor])</f>
        <v>CM</v>
      </c>
      <c r="D3932" s="7" t="s">
        <v>22</v>
      </c>
      <c r="E3932" t="str">
        <f>_xlfn.XLOOKUP(Vendas[[#This Row],[ID Item Vendido]],Agregado[ID],Agregado[Produto])</f>
        <v>Painel MDP 2,75x1,83m</v>
      </c>
      <c r="F3932" s="39">
        <v>45569</v>
      </c>
      <c r="G3932" s="7">
        <v>8</v>
      </c>
      <c r="H3932" s="3">
        <f>_xlfn.XLOOKUP(Vendas[[#This Row],[ID Item Vendido]],Agregado[ID],Agregado[Revenda])</f>
        <v>119</v>
      </c>
      <c r="I3932" s="3">
        <f>Vendas[[#This Row],[Valor Unitário]]*Vendas[[#This Row],[Qnt Vendida]]</f>
        <v>952</v>
      </c>
      <c r="J3932" s="3">
        <f>Vendas[[#This Row],[Valor da Venda]]-(_xlfn.XLOOKUP(Vendas[[#This Row],[ID Item Vendido]],Agregado[ID],Agregado[Custo])*Vendas[[#This Row],[Qnt Vendida]])</f>
        <v>192</v>
      </c>
      <c r="K3932" s="70">
        <f>Vendas[[#This Row],[Lucro da Venda]]/Vendas[[#This Row],[Valor da Venda]]</f>
        <v>0.20168067226890757</v>
      </c>
      <c r="L3932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3932"/>
    </row>
    <row r="3933" spans="1:13" x14ac:dyDescent="0.3">
      <c r="A3933" s="7">
        <v>400250</v>
      </c>
      <c r="B3933" t="str">
        <f>_xlfn.XLOOKUP(Vendas[[#This Row],[ID Vendedor]],Vendedores[ID],Vendedores[Nome])</f>
        <v>Larissa</v>
      </c>
      <c r="C3933" s="7" t="str">
        <f>_xlfn.XLOOKUP(Vendas[[#This Row],[ID Vendedor]],Vendedores[ID],Vendedores[Setor])</f>
        <v>AB</v>
      </c>
      <c r="D3933" s="7" t="s">
        <v>39</v>
      </c>
      <c r="E3933" t="str">
        <f>_xlfn.XLOOKUP(Vendas[[#This Row],[ID Item Vendido]],Agregado[ID],Agregado[Produto])</f>
        <v>Filme plástico industrial rolo 50m</v>
      </c>
      <c r="F3933" s="39">
        <v>45570</v>
      </c>
      <c r="G3933" s="7">
        <v>27</v>
      </c>
      <c r="H3933" s="3">
        <f>_xlfn.XLOOKUP(Vendas[[#This Row],[ID Item Vendido]],Agregado[ID],Agregado[Revenda])</f>
        <v>37</v>
      </c>
      <c r="I3933" s="3">
        <f>Vendas[[#This Row],[Valor Unitário]]*Vendas[[#This Row],[Qnt Vendida]]</f>
        <v>999</v>
      </c>
      <c r="J3933" s="3">
        <f>Vendas[[#This Row],[Valor da Venda]]-(_xlfn.XLOOKUP(Vendas[[#This Row],[ID Item Vendido]],Agregado[ID],Agregado[Custo])*Vendas[[#This Row],[Qnt Vendida]])</f>
        <v>243</v>
      </c>
      <c r="K3933" s="70">
        <f>Vendas[[#This Row],[Lucro da Venda]]/Vendas[[#This Row],[Valor da Venda]]</f>
        <v>0.24324324324324326</v>
      </c>
      <c r="L3933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3933"/>
    </row>
    <row r="3934" spans="1:13" x14ac:dyDescent="0.3">
      <c r="A3934" s="7">
        <v>400242</v>
      </c>
      <c r="B3934" t="str">
        <f>_xlfn.XLOOKUP(Vendas[[#This Row],[ID Vendedor]],Vendedores[ID],Vendedores[Nome])</f>
        <v>Fernanda</v>
      </c>
      <c r="C3934" s="7" t="str">
        <f>_xlfn.XLOOKUP(Vendas[[#This Row],[ID Vendedor]],Vendedores[ID],Vendedores[Setor])</f>
        <v>FM</v>
      </c>
      <c r="D3934" s="7" t="s">
        <v>20</v>
      </c>
      <c r="E3934" t="str">
        <f>_xlfn.XLOOKUP(Vendas[[#This Row],[ID Item Vendido]],Agregado[ID],Agregado[Produto])</f>
        <v>Barra de aço simples</v>
      </c>
      <c r="F3934" s="39">
        <v>45570</v>
      </c>
      <c r="G3934" s="7">
        <v>168</v>
      </c>
      <c r="H3934" s="3">
        <f>_xlfn.XLOOKUP(Vendas[[#This Row],[ID Item Vendido]],Agregado[ID],Agregado[Revenda])</f>
        <v>4.8</v>
      </c>
      <c r="I3934" s="3">
        <f>Vendas[[#This Row],[Valor Unitário]]*Vendas[[#This Row],[Qnt Vendida]]</f>
        <v>806.4</v>
      </c>
      <c r="J3934" s="3">
        <f>Vendas[[#This Row],[Valor da Venda]]-(_xlfn.XLOOKUP(Vendas[[#This Row],[ID Item Vendido]],Agregado[ID],Agregado[Custo])*Vendas[[#This Row],[Qnt Vendida]])</f>
        <v>100.79999999999995</v>
      </c>
      <c r="K3934" s="70">
        <f>Vendas[[#This Row],[Lucro da Venda]]/Vendas[[#This Row],[Valor da Venda]]</f>
        <v>0.12499999999999994</v>
      </c>
      <c r="L3934" s="3">
        <f>_xlfn.IFS(Vendas[[#This Row],[Margem de Lucro (%)]]&lt;15%,Vendas[[#This Row],[Valor da Venda]]*3%,Vendas[[#This Row],[Margem de Lucro (%)]]&lt;=20%,Vendas[[#This Row],[Valor da Venda]]*4.5%,TRUE,Vendas[[#This Row],[Valor da Venda]]*6%)</f>
        <v>24.192</v>
      </c>
      <c r="M3934"/>
    </row>
    <row r="3935" spans="1:13" x14ac:dyDescent="0.3">
      <c r="A3935" s="7">
        <v>400245</v>
      </c>
      <c r="B3935" t="str">
        <f>_xlfn.XLOOKUP(Vendas[[#This Row],[ID Vendedor]],Vendedores[ID],Vendedores[Nome])</f>
        <v>Thiago</v>
      </c>
      <c r="C3935" s="7" t="str">
        <f>_xlfn.XLOOKUP(Vendas[[#This Row],[ID Vendedor]],Vendedores[ID],Vendedores[Setor])</f>
        <v>AHD</v>
      </c>
      <c r="D3935" s="7" t="s">
        <v>18</v>
      </c>
      <c r="E3935" t="str">
        <f>_xlfn.XLOOKUP(Vendas[[#This Row],[ID Item Vendido]],Agregado[ID],Agregado[Produto])</f>
        <v>Peça forjada sob encomenda</v>
      </c>
      <c r="F3935" s="39">
        <v>45570</v>
      </c>
      <c r="G3935" s="7">
        <v>1</v>
      </c>
      <c r="H3935" s="3">
        <f>_xlfn.XLOOKUP(Vendas[[#This Row],[ID Item Vendido]],Agregado[ID],Agregado[Revenda])</f>
        <v>264.60000000000002</v>
      </c>
      <c r="I3935" s="3">
        <f>Vendas[[#This Row],[Valor Unitário]]*Vendas[[#This Row],[Qnt Vendida]]</f>
        <v>264.60000000000002</v>
      </c>
      <c r="J3935" s="3">
        <f>Vendas[[#This Row],[Valor da Venda]]-(_xlfn.XLOOKUP(Vendas[[#This Row],[ID Item Vendido]],Agregado[ID],Agregado[Custo])*Vendas[[#This Row],[Qnt Vendida]])</f>
        <v>14.600000000000023</v>
      </c>
      <c r="K3935" s="70">
        <f>Vendas[[#This Row],[Lucro da Venda]]/Vendas[[#This Row],[Valor da Venda]]</f>
        <v>5.5177626606198113E-2</v>
      </c>
      <c r="L3935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3935"/>
    </row>
    <row r="3936" spans="1:13" x14ac:dyDescent="0.3">
      <c r="A3936" s="7">
        <v>400243</v>
      </c>
      <c r="B3936" t="str">
        <f>_xlfn.XLOOKUP(Vendas[[#This Row],[ID Vendedor]],Vendedores[ID],Vendedores[Nome])</f>
        <v>Marcelo</v>
      </c>
      <c r="C3936" s="7" t="str">
        <f>_xlfn.XLOOKUP(Vendas[[#This Row],[ID Vendedor]],Vendedores[ID],Vendedores[Setor])</f>
        <v>FM</v>
      </c>
      <c r="D3936" s="7" t="s">
        <v>27</v>
      </c>
      <c r="E3936" t="str">
        <f>_xlfn.XLOOKUP(Vendas[[#This Row],[ID Item Vendido]],Agregado[ID],Agregado[Produto])</f>
        <v>Chapa de metal lisa 1x2m</v>
      </c>
      <c r="F3936" s="39">
        <v>45571</v>
      </c>
      <c r="G3936" s="7">
        <v>14</v>
      </c>
      <c r="H3936" s="3">
        <f>_xlfn.XLOOKUP(Vendas[[#This Row],[ID Item Vendido]],Agregado[ID],Agregado[Revenda])</f>
        <v>52</v>
      </c>
      <c r="I3936" s="3">
        <f>Vendas[[#This Row],[Valor Unitário]]*Vendas[[#This Row],[Qnt Vendida]]</f>
        <v>728</v>
      </c>
      <c r="J3936" s="3">
        <f>Vendas[[#This Row],[Valor da Venda]]-(_xlfn.XLOOKUP(Vendas[[#This Row],[ID Item Vendido]],Agregado[ID],Agregado[Custo])*Vendas[[#This Row],[Qnt Vendida]])</f>
        <v>98</v>
      </c>
      <c r="K3936" s="70">
        <f>Vendas[[#This Row],[Lucro da Venda]]/Vendas[[#This Row],[Valor da Venda]]</f>
        <v>0.13461538461538461</v>
      </c>
      <c r="L3936" s="3">
        <f>_xlfn.IFS(Vendas[[#This Row],[Margem de Lucro (%)]]&lt;15%,Vendas[[#This Row],[Valor da Venda]]*3%,Vendas[[#This Row],[Margem de Lucro (%)]]&lt;=20%,Vendas[[#This Row],[Valor da Venda]]*4.5%,TRUE,Vendas[[#This Row],[Valor da Venda]]*6%)</f>
        <v>21.84</v>
      </c>
      <c r="M3936"/>
    </row>
    <row r="3937" spans="1:13" x14ac:dyDescent="0.3">
      <c r="A3937" s="7">
        <v>400255</v>
      </c>
      <c r="B3937" t="str">
        <f>_xlfn.XLOOKUP(Vendas[[#This Row],[ID Vendedor]],Vendedores[ID],Vendedores[Nome])</f>
        <v>Carlos</v>
      </c>
      <c r="C3937" s="7" t="str">
        <f>_xlfn.XLOOKUP(Vendas[[#This Row],[ID Vendedor]],Vendedores[ID],Vendedores[Setor])</f>
        <v>SC</v>
      </c>
      <c r="D3937" s="7" t="s">
        <v>48</v>
      </c>
      <c r="E3937" t="str">
        <f>_xlfn.XLOOKUP(Vendas[[#This Row],[ID Item Vendido]],Agregado[ID],Agregado[Produto])</f>
        <v>Tambor metálico 200L</v>
      </c>
      <c r="F3937" s="39">
        <v>45571</v>
      </c>
      <c r="G3937" s="7">
        <v>3</v>
      </c>
      <c r="H3937" s="3">
        <f>_xlfn.XLOOKUP(Vendas[[#This Row],[ID Item Vendido]],Agregado[ID],Agregado[Revenda])</f>
        <v>144</v>
      </c>
      <c r="I3937" s="3">
        <f>Vendas[[#This Row],[Valor Unitário]]*Vendas[[#This Row],[Qnt Vendida]]</f>
        <v>432</v>
      </c>
      <c r="J3937" s="3">
        <f>Vendas[[#This Row],[Valor da Venda]]-(_xlfn.XLOOKUP(Vendas[[#This Row],[ID Item Vendido]],Agregado[ID],Agregado[Custo])*Vendas[[#This Row],[Qnt Vendida]])</f>
        <v>72</v>
      </c>
      <c r="K3937" s="70">
        <f>Vendas[[#This Row],[Lucro da Venda]]/Vendas[[#This Row],[Valor da Venda]]</f>
        <v>0.16666666666666666</v>
      </c>
      <c r="L3937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3937"/>
    </row>
    <row r="3938" spans="1:13" x14ac:dyDescent="0.3">
      <c r="A3938" s="7">
        <v>400251</v>
      </c>
      <c r="B3938" t="str">
        <f>_xlfn.XLOOKUP(Vendas[[#This Row],[ID Vendedor]],Vendedores[ID],Vendedores[Nome])</f>
        <v>Diego</v>
      </c>
      <c r="C3938" s="7" t="str">
        <f>_xlfn.XLOOKUP(Vendas[[#This Row],[ID Vendedor]],Vendedores[ID],Vendedores[Setor])</f>
        <v>AB</v>
      </c>
      <c r="D3938" s="7" t="s">
        <v>24</v>
      </c>
      <c r="E3938" t="str">
        <f>_xlfn.XLOOKUP(Vendas[[#This Row],[ID Item Vendido]],Agregado[ID],Agregado[Produto])</f>
        <v>Resina plástica PET purificada saco de 25kg</v>
      </c>
      <c r="F3938" s="39">
        <v>45571</v>
      </c>
      <c r="G3938" s="7">
        <v>3</v>
      </c>
      <c r="H3938" s="3">
        <f>_xlfn.XLOOKUP(Vendas[[#This Row],[ID Item Vendido]],Agregado[ID],Agregado[Revenda])</f>
        <v>119</v>
      </c>
      <c r="I3938" s="3">
        <f>Vendas[[#This Row],[Valor Unitário]]*Vendas[[#This Row],[Qnt Vendida]]</f>
        <v>357</v>
      </c>
      <c r="J3938" s="3">
        <f>Vendas[[#This Row],[Valor da Venda]]-(_xlfn.XLOOKUP(Vendas[[#This Row],[ID Item Vendido]],Agregado[ID],Agregado[Custo])*Vendas[[#This Row],[Qnt Vendida]])</f>
        <v>102</v>
      </c>
      <c r="K3938" s="70">
        <f>Vendas[[#This Row],[Lucro da Venda]]/Vendas[[#This Row],[Valor da Venda]]</f>
        <v>0.2857142857142857</v>
      </c>
      <c r="L3938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3938"/>
    </row>
    <row r="3939" spans="1:13" x14ac:dyDescent="0.3">
      <c r="A3939" s="7">
        <v>400254</v>
      </c>
      <c r="B3939" t="str">
        <f>_xlfn.XLOOKUP(Vendas[[#This Row],[ID Vendedor]],Vendedores[ID],Vendedores[Nome])</f>
        <v>Beatriz</v>
      </c>
      <c r="C3939" s="7" t="str">
        <f>_xlfn.XLOOKUP(Vendas[[#This Row],[ID Vendedor]],Vendedores[ID],Vendedores[Setor])</f>
        <v>SC</v>
      </c>
      <c r="D3939" s="7" t="s">
        <v>14</v>
      </c>
      <c r="E3939" t="str">
        <f>_xlfn.XLOOKUP(Vendas[[#This Row],[ID Item Vendido]],Agregado[ID],Agregado[Produto])</f>
        <v>Barril de plástico 200L</v>
      </c>
      <c r="F3939" s="39">
        <v>45571</v>
      </c>
      <c r="G3939" s="7">
        <v>3</v>
      </c>
      <c r="H3939" s="3">
        <f>_xlfn.XLOOKUP(Vendas[[#This Row],[ID Item Vendido]],Agregado[ID],Agregado[Revenda])</f>
        <v>114</v>
      </c>
      <c r="I3939" s="3">
        <f>Vendas[[#This Row],[Valor Unitário]]*Vendas[[#This Row],[Qnt Vendida]]</f>
        <v>342</v>
      </c>
      <c r="J3939" s="3">
        <f>Vendas[[#This Row],[Valor da Venda]]-(_xlfn.XLOOKUP(Vendas[[#This Row],[ID Item Vendido]],Agregado[ID],Agregado[Custo])*Vendas[[#This Row],[Qnt Vendida]])</f>
        <v>57</v>
      </c>
      <c r="K3939" s="70">
        <f>Vendas[[#This Row],[Lucro da Venda]]/Vendas[[#This Row],[Valor da Venda]]</f>
        <v>0.16666666666666666</v>
      </c>
      <c r="L3939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3939"/>
    </row>
    <row r="3940" spans="1:13" x14ac:dyDescent="0.3">
      <c r="A3940" s="7">
        <v>400250</v>
      </c>
      <c r="B3940" t="str">
        <f>_xlfn.XLOOKUP(Vendas[[#This Row],[ID Vendedor]],Vendedores[ID],Vendedores[Nome])</f>
        <v>Larissa</v>
      </c>
      <c r="C3940" s="7" t="str">
        <f>_xlfn.XLOOKUP(Vendas[[#This Row],[ID Vendedor]],Vendedores[ID],Vendedores[Setor])</f>
        <v>AB</v>
      </c>
      <c r="D3940" s="7" t="s">
        <v>39</v>
      </c>
      <c r="E3940" t="str">
        <f>_xlfn.XLOOKUP(Vendas[[#This Row],[ID Item Vendido]],Agregado[ID],Agregado[Produto])</f>
        <v>Filme plástico industrial rolo 50m</v>
      </c>
      <c r="F3940" s="39">
        <v>45571</v>
      </c>
      <c r="G3940" s="7">
        <v>3</v>
      </c>
      <c r="H3940" s="3">
        <f>_xlfn.XLOOKUP(Vendas[[#This Row],[ID Item Vendido]],Agregado[ID],Agregado[Revenda])</f>
        <v>37</v>
      </c>
      <c r="I3940" s="3">
        <f>Vendas[[#This Row],[Valor Unitário]]*Vendas[[#This Row],[Qnt Vendida]]</f>
        <v>111</v>
      </c>
      <c r="J3940" s="3">
        <f>Vendas[[#This Row],[Valor da Venda]]-(_xlfn.XLOOKUP(Vendas[[#This Row],[ID Item Vendido]],Agregado[ID],Agregado[Custo])*Vendas[[#This Row],[Qnt Vendida]])</f>
        <v>27</v>
      </c>
      <c r="K3940" s="70">
        <f>Vendas[[#This Row],[Lucro da Venda]]/Vendas[[#This Row],[Valor da Venda]]</f>
        <v>0.24324324324324326</v>
      </c>
      <c r="L3940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3940"/>
    </row>
    <row r="3941" spans="1:13" x14ac:dyDescent="0.3">
      <c r="A3941" s="7">
        <v>400254</v>
      </c>
      <c r="B3941" t="str">
        <f>_xlfn.XLOOKUP(Vendas[[#This Row],[ID Vendedor]],Vendedores[ID],Vendedores[Nome])</f>
        <v>Beatriz</v>
      </c>
      <c r="C3941" s="7" t="str">
        <f>_xlfn.XLOOKUP(Vendas[[#This Row],[ID Vendedor]],Vendedores[ID],Vendedores[Setor])</f>
        <v>SC</v>
      </c>
      <c r="D3941" s="7" t="s">
        <v>25</v>
      </c>
      <c r="E3941" t="str">
        <f>_xlfn.XLOOKUP(Vendas[[#This Row],[ID Item Vendido]],Agregado[ID],Agregado[Produto])</f>
        <v>Palete de plástico</v>
      </c>
      <c r="F3941" s="39">
        <v>45571</v>
      </c>
      <c r="G3941" s="7">
        <v>1</v>
      </c>
      <c r="H3941" s="3">
        <f>_xlfn.XLOOKUP(Vendas[[#This Row],[ID Item Vendido]],Agregado[ID],Agregado[Revenda])</f>
        <v>70.8</v>
      </c>
      <c r="I3941" s="3">
        <f>Vendas[[#This Row],[Valor Unitário]]*Vendas[[#This Row],[Qnt Vendida]]</f>
        <v>70.8</v>
      </c>
      <c r="J3941" s="3">
        <f>Vendas[[#This Row],[Valor da Venda]]-(_xlfn.XLOOKUP(Vendas[[#This Row],[ID Item Vendido]],Agregado[ID],Agregado[Custo])*Vendas[[#This Row],[Qnt Vendida]])</f>
        <v>10.799999999999997</v>
      </c>
      <c r="K3941" s="70">
        <f>Vendas[[#This Row],[Lucro da Venda]]/Vendas[[#This Row],[Valor da Venda]]</f>
        <v>0.15254237288135589</v>
      </c>
      <c r="L3941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3941"/>
    </row>
    <row r="3942" spans="1:13" x14ac:dyDescent="0.3">
      <c r="A3942" s="7">
        <v>400246</v>
      </c>
      <c r="B3942" t="str">
        <f>_xlfn.XLOOKUP(Vendas[[#This Row],[ID Vendedor]],Vendedores[ID],Vendedores[Nome])</f>
        <v>Juliana</v>
      </c>
      <c r="C3942" s="7" t="str">
        <f>_xlfn.XLOOKUP(Vendas[[#This Row],[ID Vendedor]],Vendedores[ID],Vendedores[Setor])</f>
        <v>AHD</v>
      </c>
      <c r="D3942" s="7" t="s">
        <v>28</v>
      </c>
      <c r="E3942" t="str">
        <f>_xlfn.XLOOKUP(Vendas[[#This Row],[ID Item Vendido]],Agregado[ID],Agregado[Produto])</f>
        <v>Peça usinada CNC</v>
      </c>
      <c r="F3942" s="39">
        <v>45572</v>
      </c>
      <c r="G3942" s="7">
        <v>6</v>
      </c>
      <c r="H3942" s="3">
        <f>_xlfn.XLOOKUP(Vendas[[#This Row],[ID Item Vendido]],Agregado[ID],Agregado[Revenda])</f>
        <v>192</v>
      </c>
      <c r="I3942" s="3">
        <f>Vendas[[#This Row],[Valor Unitário]]*Vendas[[#This Row],[Qnt Vendida]]</f>
        <v>1152</v>
      </c>
      <c r="J3942" s="3">
        <f>Vendas[[#This Row],[Valor da Venda]]-(_xlfn.XLOOKUP(Vendas[[#This Row],[ID Item Vendido]],Agregado[ID],Agregado[Custo])*Vendas[[#This Row],[Qnt Vendida]])</f>
        <v>252</v>
      </c>
      <c r="K3942" s="70">
        <f>Vendas[[#This Row],[Lucro da Venda]]/Vendas[[#This Row],[Valor da Venda]]</f>
        <v>0.21875</v>
      </c>
      <c r="L3942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3942"/>
    </row>
    <row r="3943" spans="1:13" x14ac:dyDescent="0.3">
      <c r="A3943" s="7">
        <v>400250</v>
      </c>
      <c r="B3943" t="str">
        <f>_xlfn.XLOOKUP(Vendas[[#This Row],[ID Vendedor]],Vendedores[ID],Vendedores[Nome])</f>
        <v>Larissa</v>
      </c>
      <c r="C3943" s="7" t="str">
        <f>_xlfn.XLOOKUP(Vendas[[#This Row],[ID Vendedor]],Vendedores[ID],Vendedores[Setor])</f>
        <v>AB</v>
      </c>
      <c r="D3943" s="7" t="s">
        <v>12</v>
      </c>
      <c r="E3943" t="str">
        <f>_xlfn.XLOOKUP(Vendas[[#This Row],[ID Item Vendido]],Agregado[ID],Agregado[Produto])</f>
        <v>Grânulo de plástico reciclado refinado</v>
      </c>
      <c r="F3943" s="39">
        <v>45572</v>
      </c>
      <c r="G3943" s="7">
        <v>50</v>
      </c>
      <c r="H3943" s="3">
        <f>_xlfn.XLOOKUP(Vendas[[#This Row],[ID Item Vendido]],Agregado[ID],Agregado[Revenda])</f>
        <v>4.7</v>
      </c>
      <c r="I3943" s="3">
        <f>Vendas[[#This Row],[Valor Unitário]]*Vendas[[#This Row],[Qnt Vendida]]</f>
        <v>235</v>
      </c>
      <c r="J3943" s="3">
        <f>Vendas[[#This Row],[Valor da Venda]]-(_xlfn.XLOOKUP(Vendas[[#This Row],[ID Item Vendido]],Agregado[ID],Agregado[Custo])*Vendas[[#This Row],[Qnt Vendida]])</f>
        <v>60</v>
      </c>
      <c r="K3943" s="70">
        <f>Vendas[[#This Row],[Lucro da Venda]]/Vendas[[#This Row],[Valor da Venda]]</f>
        <v>0.25531914893617019</v>
      </c>
      <c r="L3943" s="3">
        <f>_xlfn.IFS(Vendas[[#This Row],[Margem de Lucro (%)]]&lt;15%,Vendas[[#This Row],[Valor da Venda]]*3%,Vendas[[#This Row],[Margem de Lucro (%)]]&lt;=20%,Vendas[[#This Row],[Valor da Venda]]*4.5%,TRUE,Vendas[[#This Row],[Valor da Venda]]*6%)</f>
        <v>14.1</v>
      </c>
      <c r="M3943"/>
    </row>
    <row r="3944" spans="1:13" x14ac:dyDescent="0.3">
      <c r="A3944" s="7">
        <v>400247</v>
      </c>
      <c r="B3944" t="str">
        <f>_xlfn.XLOOKUP(Vendas[[#This Row],[ID Vendedor]],Vendedores[ID],Vendedores[Nome])</f>
        <v>André</v>
      </c>
      <c r="C3944" s="7" t="str">
        <f>_xlfn.XLOOKUP(Vendas[[#This Row],[ID Vendedor]],Vendedores[ID],Vendedores[Setor])</f>
        <v>CM</v>
      </c>
      <c r="D3944" s="7" t="s">
        <v>43</v>
      </c>
      <c r="E3944" t="str">
        <f>_xlfn.XLOOKUP(Vendas[[#This Row],[ID Item Vendido]],Agregado[ID],Agregado[Produto])</f>
        <v>Madeira Bruta (Tora)</v>
      </c>
      <c r="F3944" s="39">
        <v>45572</v>
      </c>
      <c r="G3944" s="7">
        <v>1</v>
      </c>
      <c r="H3944" s="3">
        <f>_xlfn.XLOOKUP(Vendas[[#This Row],[ID Item Vendido]],Agregado[ID],Agregado[Revenda])</f>
        <v>212</v>
      </c>
      <c r="I3944" s="3">
        <f>Vendas[[#This Row],[Valor Unitário]]*Vendas[[#This Row],[Qnt Vendida]]</f>
        <v>212</v>
      </c>
      <c r="J3944" s="3">
        <f>Vendas[[#This Row],[Valor da Venda]]-(_xlfn.XLOOKUP(Vendas[[#This Row],[ID Item Vendido]],Agregado[ID],Agregado[Custo])*Vendas[[#This Row],[Qnt Vendida]])</f>
        <v>32</v>
      </c>
      <c r="K3944" s="70">
        <f>Vendas[[#This Row],[Lucro da Venda]]/Vendas[[#This Row],[Valor da Venda]]</f>
        <v>0.15094339622641509</v>
      </c>
      <c r="L3944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3944"/>
    </row>
    <row r="3945" spans="1:13" x14ac:dyDescent="0.3">
      <c r="A3945" s="7">
        <v>400254</v>
      </c>
      <c r="B3945" t="str">
        <f>_xlfn.XLOOKUP(Vendas[[#This Row],[ID Vendedor]],Vendedores[ID],Vendedores[Nome])</f>
        <v>Beatriz</v>
      </c>
      <c r="C3945" s="7" t="str">
        <f>_xlfn.XLOOKUP(Vendas[[#This Row],[ID Vendedor]],Vendedores[ID],Vendedores[Setor])</f>
        <v>SC</v>
      </c>
      <c r="D3945" s="7" t="s">
        <v>48</v>
      </c>
      <c r="E3945" t="str">
        <f>_xlfn.XLOOKUP(Vendas[[#This Row],[ID Item Vendido]],Agregado[ID],Agregado[Produto])</f>
        <v>Tambor metálico 200L</v>
      </c>
      <c r="F3945" s="39">
        <v>45573</v>
      </c>
      <c r="G3945" s="7">
        <v>4</v>
      </c>
      <c r="H3945" s="3">
        <f>_xlfn.XLOOKUP(Vendas[[#This Row],[ID Item Vendido]],Agregado[ID],Agregado[Revenda])</f>
        <v>144</v>
      </c>
      <c r="I3945" s="3">
        <f>Vendas[[#This Row],[Valor Unitário]]*Vendas[[#This Row],[Qnt Vendida]]</f>
        <v>576</v>
      </c>
      <c r="J3945" s="3">
        <f>Vendas[[#This Row],[Valor da Venda]]-(_xlfn.XLOOKUP(Vendas[[#This Row],[ID Item Vendido]],Agregado[ID],Agregado[Custo])*Vendas[[#This Row],[Qnt Vendida]])</f>
        <v>96</v>
      </c>
      <c r="K3945" s="70">
        <f>Vendas[[#This Row],[Lucro da Venda]]/Vendas[[#This Row],[Valor da Venda]]</f>
        <v>0.16666666666666666</v>
      </c>
      <c r="L3945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3945"/>
    </row>
    <row r="3946" spans="1:13" x14ac:dyDescent="0.3">
      <c r="A3946" s="7">
        <v>400244</v>
      </c>
      <c r="B3946" t="str">
        <f>_xlfn.XLOOKUP(Vendas[[#This Row],[ID Vendedor]],Vendedores[ID],Vendedores[Nome])</f>
        <v>Camila</v>
      </c>
      <c r="C3946" s="7" t="str">
        <f>_xlfn.XLOOKUP(Vendas[[#This Row],[ID Vendedor]],Vendedores[ID],Vendedores[Setor])</f>
        <v>AHD</v>
      </c>
      <c r="D3946" s="7" t="s">
        <v>28</v>
      </c>
      <c r="E3946" t="str">
        <f>_xlfn.XLOOKUP(Vendas[[#This Row],[ID Item Vendido]],Agregado[ID],Agregado[Produto])</f>
        <v>Peça usinada CNC</v>
      </c>
      <c r="F3946" s="39">
        <v>45573</v>
      </c>
      <c r="G3946" s="7">
        <v>2</v>
      </c>
      <c r="H3946" s="3">
        <f>_xlfn.XLOOKUP(Vendas[[#This Row],[ID Item Vendido]],Agregado[ID],Agregado[Revenda])</f>
        <v>192</v>
      </c>
      <c r="I3946" s="3">
        <f>Vendas[[#This Row],[Valor Unitário]]*Vendas[[#This Row],[Qnt Vendida]]</f>
        <v>384</v>
      </c>
      <c r="J3946" s="3">
        <f>Vendas[[#This Row],[Valor da Venda]]-(_xlfn.XLOOKUP(Vendas[[#This Row],[ID Item Vendido]],Agregado[ID],Agregado[Custo])*Vendas[[#This Row],[Qnt Vendida]])</f>
        <v>84</v>
      </c>
      <c r="K3946" s="70">
        <f>Vendas[[#This Row],[Lucro da Venda]]/Vendas[[#This Row],[Valor da Venda]]</f>
        <v>0.21875</v>
      </c>
      <c r="L3946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3946"/>
    </row>
    <row r="3947" spans="1:13" x14ac:dyDescent="0.3">
      <c r="A3947" s="7">
        <v>400250</v>
      </c>
      <c r="B3947" t="str">
        <f>_xlfn.XLOOKUP(Vendas[[#This Row],[ID Vendedor]],Vendedores[ID],Vendedores[Nome])</f>
        <v>Larissa</v>
      </c>
      <c r="C3947" s="7" t="str">
        <f>_xlfn.XLOOKUP(Vendas[[#This Row],[ID Vendedor]],Vendedores[ID],Vendedores[Setor])</f>
        <v>AB</v>
      </c>
      <c r="D3947" s="7" t="s">
        <v>12</v>
      </c>
      <c r="E3947" t="str">
        <f>_xlfn.XLOOKUP(Vendas[[#This Row],[ID Item Vendido]],Agregado[ID],Agregado[Produto])</f>
        <v>Grânulo de plástico reciclado refinado</v>
      </c>
      <c r="F3947" s="39">
        <v>45573</v>
      </c>
      <c r="G3947" s="7">
        <v>48</v>
      </c>
      <c r="H3947" s="3">
        <f>_xlfn.XLOOKUP(Vendas[[#This Row],[ID Item Vendido]],Agregado[ID],Agregado[Revenda])</f>
        <v>4.7</v>
      </c>
      <c r="I3947" s="3">
        <f>Vendas[[#This Row],[Valor Unitário]]*Vendas[[#This Row],[Qnt Vendida]]</f>
        <v>225.60000000000002</v>
      </c>
      <c r="J3947" s="3">
        <f>Vendas[[#This Row],[Valor da Venda]]-(_xlfn.XLOOKUP(Vendas[[#This Row],[ID Item Vendido]],Agregado[ID],Agregado[Custo])*Vendas[[#This Row],[Qnt Vendida]])</f>
        <v>57.600000000000023</v>
      </c>
      <c r="K3947" s="70">
        <f>Vendas[[#This Row],[Lucro da Venda]]/Vendas[[#This Row],[Valor da Venda]]</f>
        <v>0.2553191489361703</v>
      </c>
      <c r="L3947" s="3">
        <f>_xlfn.IFS(Vendas[[#This Row],[Margem de Lucro (%)]]&lt;15%,Vendas[[#This Row],[Valor da Venda]]*3%,Vendas[[#This Row],[Margem de Lucro (%)]]&lt;=20%,Vendas[[#This Row],[Valor da Venda]]*4.5%,TRUE,Vendas[[#This Row],[Valor da Venda]]*6%)</f>
        <v>13.536000000000001</v>
      </c>
      <c r="M3947"/>
    </row>
    <row r="3948" spans="1:13" x14ac:dyDescent="0.3">
      <c r="A3948" s="7">
        <v>400247</v>
      </c>
      <c r="B3948" t="str">
        <f>_xlfn.XLOOKUP(Vendas[[#This Row],[ID Vendedor]],Vendedores[ID],Vendedores[Nome])</f>
        <v>André</v>
      </c>
      <c r="C3948" s="7" t="str">
        <f>_xlfn.XLOOKUP(Vendas[[#This Row],[ID Vendedor]],Vendedores[ID],Vendedores[Setor])</f>
        <v>CM</v>
      </c>
      <c r="D3948" s="7" t="s">
        <v>43</v>
      </c>
      <c r="E3948" t="str">
        <f>_xlfn.XLOOKUP(Vendas[[#This Row],[ID Item Vendido]],Agregado[ID],Agregado[Produto])</f>
        <v>Madeira Bruta (Tora)</v>
      </c>
      <c r="F3948" s="39">
        <v>45574</v>
      </c>
      <c r="G3948" s="7">
        <v>6</v>
      </c>
      <c r="H3948" s="3">
        <f>_xlfn.XLOOKUP(Vendas[[#This Row],[ID Item Vendido]],Agregado[ID],Agregado[Revenda])</f>
        <v>212</v>
      </c>
      <c r="I3948" s="3">
        <f>Vendas[[#This Row],[Valor Unitário]]*Vendas[[#This Row],[Qnt Vendida]]</f>
        <v>1272</v>
      </c>
      <c r="J3948" s="3">
        <f>Vendas[[#This Row],[Valor da Venda]]-(_xlfn.XLOOKUP(Vendas[[#This Row],[ID Item Vendido]],Agregado[ID],Agregado[Custo])*Vendas[[#This Row],[Qnt Vendida]])</f>
        <v>192</v>
      </c>
      <c r="K3948" s="70">
        <f>Vendas[[#This Row],[Lucro da Venda]]/Vendas[[#This Row],[Valor da Venda]]</f>
        <v>0.15094339622641509</v>
      </c>
      <c r="L394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3948"/>
    </row>
    <row r="3949" spans="1:13" x14ac:dyDescent="0.3">
      <c r="A3949" s="7">
        <v>400242</v>
      </c>
      <c r="B3949" t="str">
        <f>_xlfn.XLOOKUP(Vendas[[#This Row],[ID Vendedor]],Vendedores[ID],Vendedores[Nome])</f>
        <v>Fernanda</v>
      </c>
      <c r="C3949" s="7" t="str">
        <f>_xlfn.XLOOKUP(Vendas[[#This Row],[ID Vendedor]],Vendedores[ID],Vendedores[Setor])</f>
        <v>FM</v>
      </c>
      <c r="D3949" s="7" t="s">
        <v>6</v>
      </c>
      <c r="E3949" t="str">
        <f>_xlfn.XLOOKUP(Vendas[[#This Row],[ID Item Vendido]],Agregado[ID],Agregado[Produto])</f>
        <v>Parafuso comum 500un</v>
      </c>
      <c r="F3949" s="39">
        <v>45574</v>
      </c>
      <c r="G3949" s="7">
        <v>17</v>
      </c>
      <c r="H3949" s="3">
        <f>_xlfn.XLOOKUP(Vendas[[#This Row],[ID Item Vendido]],Agregado[ID],Agregado[Revenda])</f>
        <v>24.6</v>
      </c>
      <c r="I3949" s="3">
        <f>Vendas[[#This Row],[Valor Unitário]]*Vendas[[#This Row],[Qnt Vendida]]</f>
        <v>418.20000000000005</v>
      </c>
      <c r="J3949" s="3">
        <f>Vendas[[#This Row],[Valor da Venda]]-(_xlfn.XLOOKUP(Vendas[[#This Row],[ID Item Vendido]],Agregado[ID],Agregado[Custo])*Vendas[[#This Row],[Qnt Vendida]])</f>
        <v>44.200000000000045</v>
      </c>
      <c r="K3949" s="70">
        <f>Vendas[[#This Row],[Lucro da Venda]]/Vendas[[#This Row],[Valor da Venda]]</f>
        <v>0.10569105691056921</v>
      </c>
      <c r="L3949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3949"/>
    </row>
    <row r="3950" spans="1:13" x14ac:dyDescent="0.3">
      <c r="A3950" s="7">
        <v>400254</v>
      </c>
      <c r="B3950" t="str">
        <f>_xlfn.XLOOKUP(Vendas[[#This Row],[ID Vendedor]],Vendedores[ID],Vendedores[Nome])</f>
        <v>Beatriz</v>
      </c>
      <c r="C3950" s="7" t="str">
        <f>_xlfn.XLOOKUP(Vendas[[#This Row],[ID Vendedor]],Vendedores[ID],Vendedores[Setor])</f>
        <v>SC</v>
      </c>
      <c r="D3950" s="7" t="s">
        <v>42</v>
      </c>
      <c r="E3950" t="str">
        <f>_xlfn.XLOOKUP(Vendas[[#This Row],[ID Item Vendido]],Agregado[ID],Agregado[Produto])</f>
        <v>Container de ferro industrial</v>
      </c>
      <c r="F3950" s="39">
        <v>45575</v>
      </c>
      <c r="G3950" s="7">
        <v>4</v>
      </c>
      <c r="H3950" s="3">
        <f>_xlfn.XLOOKUP(Vendas[[#This Row],[ID Item Vendido]],Agregado[ID],Agregado[Revenda])</f>
        <v>830</v>
      </c>
      <c r="I3950" s="3">
        <f>Vendas[[#This Row],[Valor Unitário]]*Vendas[[#This Row],[Qnt Vendida]]</f>
        <v>3320</v>
      </c>
      <c r="J3950" s="3">
        <f>Vendas[[#This Row],[Valor da Venda]]-(_xlfn.XLOOKUP(Vendas[[#This Row],[ID Item Vendido]],Agregado[ID],Agregado[Custo])*Vendas[[#This Row],[Qnt Vendida]])</f>
        <v>600</v>
      </c>
      <c r="K3950" s="70">
        <f>Vendas[[#This Row],[Lucro da Venda]]/Vendas[[#This Row],[Valor da Venda]]</f>
        <v>0.18072289156626506</v>
      </c>
      <c r="L3950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950"/>
    </row>
    <row r="3951" spans="1:13" x14ac:dyDescent="0.3">
      <c r="A3951" s="7">
        <v>400254</v>
      </c>
      <c r="B3951" t="str">
        <f>_xlfn.XLOOKUP(Vendas[[#This Row],[ID Vendedor]],Vendedores[ID],Vendedores[Nome])</f>
        <v>Beatriz</v>
      </c>
      <c r="C3951" s="7" t="str">
        <f>_xlfn.XLOOKUP(Vendas[[#This Row],[ID Vendedor]],Vendedores[ID],Vendedores[Setor])</f>
        <v>SC</v>
      </c>
      <c r="D3951" s="7" t="s">
        <v>14</v>
      </c>
      <c r="E3951" t="str">
        <f>_xlfn.XLOOKUP(Vendas[[#This Row],[ID Item Vendido]],Agregado[ID],Agregado[Produto])</f>
        <v>Barril de plástico 200L</v>
      </c>
      <c r="F3951" s="39">
        <v>45575</v>
      </c>
      <c r="G3951" s="7">
        <v>11</v>
      </c>
      <c r="H3951" s="3">
        <f>_xlfn.XLOOKUP(Vendas[[#This Row],[ID Item Vendido]],Agregado[ID],Agregado[Revenda])</f>
        <v>114</v>
      </c>
      <c r="I3951" s="3">
        <f>Vendas[[#This Row],[Valor Unitário]]*Vendas[[#This Row],[Qnt Vendida]]</f>
        <v>1254</v>
      </c>
      <c r="J3951" s="3">
        <f>Vendas[[#This Row],[Valor da Venda]]-(_xlfn.XLOOKUP(Vendas[[#This Row],[ID Item Vendido]],Agregado[ID],Agregado[Custo])*Vendas[[#This Row],[Qnt Vendida]])</f>
        <v>209</v>
      </c>
      <c r="K3951" s="70">
        <f>Vendas[[#This Row],[Lucro da Venda]]/Vendas[[#This Row],[Valor da Venda]]</f>
        <v>0.16666666666666666</v>
      </c>
      <c r="L3951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3951"/>
    </row>
    <row r="3952" spans="1:13" x14ac:dyDescent="0.3">
      <c r="A3952" s="7">
        <v>400243</v>
      </c>
      <c r="B3952" t="str">
        <f>_xlfn.XLOOKUP(Vendas[[#This Row],[ID Vendedor]],Vendedores[ID],Vendedores[Nome])</f>
        <v>Marcelo</v>
      </c>
      <c r="C3952" s="7" t="str">
        <f>_xlfn.XLOOKUP(Vendas[[#This Row],[ID Vendedor]],Vendedores[ID],Vendedores[Setor])</f>
        <v>FM</v>
      </c>
      <c r="D3952" s="7" t="s">
        <v>27</v>
      </c>
      <c r="E3952" t="str">
        <f>_xlfn.XLOOKUP(Vendas[[#This Row],[ID Item Vendido]],Agregado[ID],Agregado[Produto])</f>
        <v>Chapa de metal lisa 1x2m</v>
      </c>
      <c r="F3952" s="39">
        <v>45575</v>
      </c>
      <c r="G3952" s="7">
        <v>12</v>
      </c>
      <c r="H3952" s="3">
        <f>_xlfn.XLOOKUP(Vendas[[#This Row],[ID Item Vendido]],Agregado[ID],Agregado[Revenda])</f>
        <v>52</v>
      </c>
      <c r="I3952" s="3">
        <f>Vendas[[#This Row],[Valor Unitário]]*Vendas[[#This Row],[Qnt Vendida]]</f>
        <v>624</v>
      </c>
      <c r="J3952" s="3">
        <f>Vendas[[#This Row],[Valor da Venda]]-(_xlfn.XLOOKUP(Vendas[[#This Row],[ID Item Vendido]],Agregado[ID],Agregado[Custo])*Vendas[[#This Row],[Qnt Vendida]])</f>
        <v>84</v>
      </c>
      <c r="K3952" s="70">
        <f>Vendas[[#This Row],[Lucro da Venda]]/Vendas[[#This Row],[Valor da Venda]]</f>
        <v>0.13461538461538461</v>
      </c>
      <c r="L3952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3952"/>
    </row>
    <row r="3953" spans="1:13" x14ac:dyDescent="0.3">
      <c r="A3953" s="7">
        <v>400243</v>
      </c>
      <c r="B3953" t="str">
        <f>_xlfn.XLOOKUP(Vendas[[#This Row],[ID Vendedor]],Vendedores[ID],Vendedores[Nome])</f>
        <v>Marcelo</v>
      </c>
      <c r="C3953" s="7" t="str">
        <f>_xlfn.XLOOKUP(Vendas[[#This Row],[ID Vendedor]],Vendedores[ID],Vendedores[Setor])</f>
        <v>FM</v>
      </c>
      <c r="D3953" s="7" t="s">
        <v>31</v>
      </c>
      <c r="E3953" t="str">
        <f>_xlfn.XLOOKUP(Vendas[[#This Row],[ID Item Vendido]],Agregado[ID],Agregado[Produto])</f>
        <v>Tela de metal soldada rolo 2x25m</v>
      </c>
      <c r="F3953" s="39">
        <v>45575</v>
      </c>
      <c r="G3953" s="7">
        <v>13</v>
      </c>
      <c r="H3953" s="3">
        <f>_xlfn.XLOOKUP(Vendas[[#This Row],[ID Item Vendido]],Agregado[ID],Agregado[Revenda])</f>
        <v>43.7</v>
      </c>
      <c r="I3953" s="3">
        <f>Vendas[[#This Row],[Valor Unitário]]*Vendas[[#This Row],[Qnt Vendida]]</f>
        <v>568.1</v>
      </c>
      <c r="J3953" s="3">
        <f>Vendas[[#This Row],[Valor da Venda]]-(_xlfn.XLOOKUP(Vendas[[#This Row],[ID Item Vendido]],Agregado[ID],Agregado[Custo])*Vendas[[#This Row],[Qnt Vendida]])</f>
        <v>74.100000000000023</v>
      </c>
      <c r="K3953" s="70">
        <f>Vendas[[#This Row],[Lucro da Venda]]/Vendas[[#This Row],[Valor da Venda]]</f>
        <v>0.13043478260869568</v>
      </c>
      <c r="L3953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3953"/>
    </row>
    <row r="3954" spans="1:13" x14ac:dyDescent="0.3">
      <c r="A3954" s="7">
        <v>400250</v>
      </c>
      <c r="B3954" t="str">
        <f>_xlfn.XLOOKUP(Vendas[[#This Row],[ID Vendedor]],Vendedores[ID],Vendedores[Nome])</f>
        <v>Larissa</v>
      </c>
      <c r="C3954" s="7" t="str">
        <f>_xlfn.XLOOKUP(Vendas[[#This Row],[ID Vendedor]],Vendedores[ID],Vendedores[Setor])</f>
        <v>AB</v>
      </c>
      <c r="D3954" s="7" t="s">
        <v>12</v>
      </c>
      <c r="E3954" t="str">
        <f>_xlfn.XLOOKUP(Vendas[[#This Row],[ID Item Vendido]],Agregado[ID],Agregado[Produto])</f>
        <v>Grânulo de plástico reciclado refinado</v>
      </c>
      <c r="F3954" s="39">
        <v>45575</v>
      </c>
      <c r="G3954" s="7">
        <v>76</v>
      </c>
      <c r="H3954" s="3">
        <f>_xlfn.XLOOKUP(Vendas[[#This Row],[ID Item Vendido]],Agregado[ID],Agregado[Revenda])</f>
        <v>4.7</v>
      </c>
      <c r="I3954" s="3">
        <f>Vendas[[#This Row],[Valor Unitário]]*Vendas[[#This Row],[Qnt Vendida]]</f>
        <v>357.2</v>
      </c>
      <c r="J3954" s="3">
        <f>Vendas[[#This Row],[Valor da Venda]]-(_xlfn.XLOOKUP(Vendas[[#This Row],[ID Item Vendido]],Agregado[ID],Agregado[Custo])*Vendas[[#This Row],[Qnt Vendida]])</f>
        <v>91.199999999999989</v>
      </c>
      <c r="K3954" s="70">
        <f>Vendas[[#This Row],[Lucro da Venda]]/Vendas[[#This Row],[Valor da Venda]]</f>
        <v>0.25531914893617019</v>
      </c>
      <c r="L3954" s="3">
        <f>_xlfn.IFS(Vendas[[#This Row],[Margem de Lucro (%)]]&lt;15%,Vendas[[#This Row],[Valor da Venda]]*3%,Vendas[[#This Row],[Margem de Lucro (%)]]&lt;=20%,Vendas[[#This Row],[Valor da Venda]]*4.5%,TRUE,Vendas[[#This Row],[Valor da Venda]]*6%)</f>
        <v>21.431999999999999</v>
      </c>
      <c r="M3954"/>
    </row>
    <row r="3955" spans="1:13" x14ac:dyDescent="0.3">
      <c r="A3955" s="7">
        <v>400252</v>
      </c>
      <c r="B3955" t="str">
        <f>_xlfn.XLOOKUP(Vendas[[#This Row],[ID Vendedor]],Vendedores[ID],Vendedores[Nome])</f>
        <v>Renata</v>
      </c>
      <c r="C3955" s="7" t="str">
        <f>_xlfn.XLOOKUP(Vendas[[#This Row],[ID Vendedor]],Vendedores[ID],Vendedores[Setor])</f>
        <v>AB</v>
      </c>
      <c r="D3955" s="7" t="s">
        <v>24</v>
      </c>
      <c r="E3955" t="str">
        <f>_xlfn.XLOOKUP(Vendas[[#This Row],[ID Item Vendido]],Agregado[ID],Agregado[Produto])</f>
        <v>Resina plástica PET purificada saco de 25kg</v>
      </c>
      <c r="F3955" s="39">
        <v>45576</v>
      </c>
      <c r="G3955" s="7">
        <v>28</v>
      </c>
      <c r="H3955" s="3">
        <f>_xlfn.XLOOKUP(Vendas[[#This Row],[ID Item Vendido]],Agregado[ID],Agregado[Revenda])</f>
        <v>119</v>
      </c>
      <c r="I3955" s="3">
        <f>Vendas[[#This Row],[Valor Unitário]]*Vendas[[#This Row],[Qnt Vendida]]</f>
        <v>3332</v>
      </c>
      <c r="J3955" s="3">
        <f>Vendas[[#This Row],[Valor da Venda]]-(_xlfn.XLOOKUP(Vendas[[#This Row],[ID Item Vendido]],Agregado[ID],Agregado[Custo])*Vendas[[#This Row],[Qnt Vendida]])</f>
        <v>952</v>
      </c>
      <c r="K3955" s="70">
        <f>Vendas[[#This Row],[Lucro da Venda]]/Vendas[[#This Row],[Valor da Venda]]</f>
        <v>0.2857142857142857</v>
      </c>
      <c r="L3955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3955"/>
    </row>
    <row r="3956" spans="1:13" x14ac:dyDescent="0.3">
      <c r="A3956" s="7">
        <v>400245</v>
      </c>
      <c r="B3956" t="str">
        <f>_xlfn.XLOOKUP(Vendas[[#This Row],[ID Vendedor]],Vendedores[ID],Vendedores[Nome])</f>
        <v>Thiago</v>
      </c>
      <c r="C3956" s="7" t="str">
        <f>_xlfn.XLOOKUP(Vendas[[#This Row],[ID Vendedor]],Vendedores[ID],Vendedores[Setor])</f>
        <v>AHD</v>
      </c>
      <c r="D3956" s="7" t="s">
        <v>30</v>
      </c>
      <c r="E3956" t="str">
        <f>_xlfn.XLOOKUP(Vendas[[#This Row],[ID Item Vendido]],Agregado[ID],Agregado[Produto])</f>
        <v>Estrutura metálica soldada</v>
      </c>
      <c r="F3956" s="39">
        <v>45576</v>
      </c>
      <c r="G3956" s="7">
        <v>6</v>
      </c>
      <c r="H3956" s="3">
        <f>_xlfn.XLOOKUP(Vendas[[#This Row],[ID Item Vendido]],Agregado[ID],Agregado[Revenda])</f>
        <v>400</v>
      </c>
      <c r="I3956" s="3">
        <f>Vendas[[#This Row],[Valor Unitário]]*Vendas[[#This Row],[Qnt Vendida]]</f>
        <v>2400</v>
      </c>
      <c r="J3956" s="3">
        <f>Vendas[[#This Row],[Valor da Venda]]-(_xlfn.XLOOKUP(Vendas[[#This Row],[ID Item Vendido]],Agregado[ID],Agregado[Custo])*Vendas[[#This Row],[Qnt Vendida]])</f>
        <v>480</v>
      </c>
      <c r="K3956" s="70">
        <f>Vendas[[#This Row],[Lucro da Venda]]/Vendas[[#This Row],[Valor da Venda]]</f>
        <v>0.2</v>
      </c>
      <c r="L3956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3956"/>
    </row>
    <row r="3957" spans="1:13" x14ac:dyDescent="0.3">
      <c r="A3957" s="7">
        <v>400246</v>
      </c>
      <c r="B3957" t="str">
        <f>_xlfn.XLOOKUP(Vendas[[#This Row],[ID Vendedor]],Vendedores[ID],Vendedores[Nome])</f>
        <v>Juliana</v>
      </c>
      <c r="C3957" s="7" t="str">
        <f>_xlfn.XLOOKUP(Vendas[[#This Row],[ID Vendedor]],Vendedores[ID],Vendedores[Setor])</f>
        <v>AHD</v>
      </c>
      <c r="D3957" s="7" t="s">
        <v>9</v>
      </c>
      <c r="E3957" t="str">
        <f>_xlfn.XLOOKUP(Vendas[[#This Row],[ID Item Vendido]],Agregado[ID],Agregado[Produto])</f>
        <v>Barra de aço simples</v>
      </c>
      <c r="F3957" s="39">
        <v>45576</v>
      </c>
      <c r="G3957" s="7">
        <v>148</v>
      </c>
      <c r="H3957" s="3">
        <f>_xlfn.XLOOKUP(Vendas[[#This Row],[ID Item Vendido]],Agregado[ID],Agregado[Revenda])</f>
        <v>6.7</v>
      </c>
      <c r="I3957" s="3">
        <f>Vendas[[#This Row],[Valor Unitário]]*Vendas[[#This Row],[Qnt Vendida]]</f>
        <v>991.6</v>
      </c>
      <c r="J3957" s="3">
        <f>Vendas[[#This Row],[Valor da Venda]]-(_xlfn.XLOOKUP(Vendas[[#This Row],[ID Item Vendido]],Agregado[ID],Agregado[Custo])*Vendas[[#This Row],[Qnt Vendida]])</f>
        <v>133.20000000000005</v>
      </c>
      <c r="K3957" s="70">
        <f>Vendas[[#This Row],[Lucro da Venda]]/Vendas[[#This Row],[Valor da Venda]]</f>
        <v>0.13432835820895528</v>
      </c>
      <c r="L3957" s="3">
        <f>_xlfn.IFS(Vendas[[#This Row],[Margem de Lucro (%)]]&lt;15%,Vendas[[#This Row],[Valor da Venda]]*3%,Vendas[[#This Row],[Margem de Lucro (%)]]&lt;=20%,Vendas[[#This Row],[Valor da Venda]]*4.5%,TRUE,Vendas[[#This Row],[Valor da Venda]]*6%)</f>
        <v>29.748000000000001</v>
      </c>
      <c r="M3957"/>
    </row>
    <row r="3958" spans="1:13" x14ac:dyDescent="0.3">
      <c r="A3958" s="7">
        <v>400250</v>
      </c>
      <c r="B3958" t="str">
        <f>_xlfn.XLOOKUP(Vendas[[#This Row],[ID Vendedor]],Vendedores[ID],Vendedores[Nome])</f>
        <v>Larissa</v>
      </c>
      <c r="C3958" s="7" t="str">
        <f>_xlfn.XLOOKUP(Vendas[[#This Row],[ID Vendedor]],Vendedores[ID],Vendedores[Setor])</f>
        <v>AB</v>
      </c>
      <c r="D3958" s="7" t="s">
        <v>39</v>
      </c>
      <c r="E3958" t="str">
        <f>_xlfn.XLOOKUP(Vendas[[#This Row],[ID Item Vendido]],Agregado[ID],Agregado[Produto])</f>
        <v>Filme plástico industrial rolo 50m</v>
      </c>
      <c r="F3958" s="39">
        <v>45576</v>
      </c>
      <c r="G3958" s="7">
        <v>26</v>
      </c>
      <c r="H3958" s="3">
        <f>_xlfn.XLOOKUP(Vendas[[#This Row],[ID Item Vendido]],Agregado[ID],Agregado[Revenda])</f>
        <v>37</v>
      </c>
      <c r="I3958" s="3">
        <f>Vendas[[#This Row],[Valor Unitário]]*Vendas[[#This Row],[Qnt Vendida]]</f>
        <v>962</v>
      </c>
      <c r="J3958" s="3">
        <f>Vendas[[#This Row],[Valor da Venda]]-(_xlfn.XLOOKUP(Vendas[[#This Row],[ID Item Vendido]],Agregado[ID],Agregado[Custo])*Vendas[[#This Row],[Qnt Vendida]])</f>
        <v>234</v>
      </c>
      <c r="K3958" s="70">
        <f>Vendas[[#This Row],[Lucro da Venda]]/Vendas[[#This Row],[Valor da Venda]]</f>
        <v>0.24324324324324326</v>
      </c>
      <c r="L3958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3958"/>
    </row>
    <row r="3959" spans="1:13" x14ac:dyDescent="0.3">
      <c r="A3959" s="7">
        <v>400246</v>
      </c>
      <c r="B3959" t="str">
        <f>_xlfn.XLOOKUP(Vendas[[#This Row],[ID Vendedor]],Vendedores[ID],Vendedores[Nome])</f>
        <v>Juliana</v>
      </c>
      <c r="C3959" s="7" t="str">
        <f>_xlfn.XLOOKUP(Vendas[[#This Row],[ID Vendedor]],Vendedores[ID],Vendedores[Setor])</f>
        <v>AHD</v>
      </c>
      <c r="D3959" s="7" t="s">
        <v>9</v>
      </c>
      <c r="E3959" t="str">
        <f>_xlfn.XLOOKUP(Vendas[[#This Row],[ID Item Vendido]],Agregado[ID],Agregado[Produto])</f>
        <v>Barra de aço simples</v>
      </c>
      <c r="F3959" s="39">
        <v>45576</v>
      </c>
      <c r="G3959" s="7">
        <v>142</v>
      </c>
      <c r="H3959" s="3">
        <f>_xlfn.XLOOKUP(Vendas[[#This Row],[ID Item Vendido]],Agregado[ID],Agregado[Revenda])</f>
        <v>6.7</v>
      </c>
      <c r="I3959" s="3">
        <f>Vendas[[#This Row],[Valor Unitário]]*Vendas[[#This Row],[Qnt Vendida]]</f>
        <v>951.4</v>
      </c>
      <c r="J3959" s="3">
        <f>Vendas[[#This Row],[Valor da Venda]]-(_xlfn.XLOOKUP(Vendas[[#This Row],[ID Item Vendido]],Agregado[ID],Agregado[Custo])*Vendas[[#This Row],[Qnt Vendida]])</f>
        <v>127.79999999999995</v>
      </c>
      <c r="K3959" s="70">
        <f>Vendas[[#This Row],[Lucro da Venda]]/Vendas[[#This Row],[Valor da Venda]]</f>
        <v>0.13432835820895517</v>
      </c>
      <c r="L3959" s="3">
        <f>_xlfn.IFS(Vendas[[#This Row],[Margem de Lucro (%)]]&lt;15%,Vendas[[#This Row],[Valor da Venda]]*3%,Vendas[[#This Row],[Margem de Lucro (%)]]&lt;=20%,Vendas[[#This Row],[Valor da Venda]]*4.5%,TRUE,Vendas[[#This Row],[Valor da Venda]]*6%)</f>
        <v>28.541999999999998</v>
      </c>
      <c r="M3959"/>
    </row>
    <row r="3960" spans="1:13" x14ac:dyDescent="0.3">
      <c r="A3960" s="7">
        <v>400246</v>
      </c>
      <c r="B3960" t="str">
        <f>_xlfn.XLOOKUP(Vendas[[#This Row],[ID Vendedor]],Vendedores[ID],Vendedores[Nome])</f>
        <v>Juliana</v>
      </c>
      <c r="C3960" s="7" t="str">
        <f>_xlfn.XLOOKUP(Vendas[[#This Row],[ID Vendedor]],Vendedores[ID],Vendedores[Setor])</f>
        <v>AHD</v>
      </c>
      <c r="D3960" s="7" t="s">
        <v>28</v>
      </c>
      <c r="E3960" t="str">
        <f>_xlfn.XLOOKUP(Vendas[[#This Row],[ID Item Vendido]],Agregado[ID],Agregado[Produto])</f>
        <v>Peça usinada CNC</v>
      </c>
      <c r="F3960" s="39">
        <v>45576</v>
      </c>
      <c r="G3960" s="7">
        <v>3</v>
      </c>
      <c r="H3960" s="3">
        <f>_xlfn.XLOOKUP(Vendas[[#This Row],[ID Item Vendido]],Agregado[ID],Agregado[Revenda])</f>
        <v>192</v>
      </c>
      <c r="I3960" s="3">
        <f>Vendas[[#This Row],[Valor Unitário]]*Vendas[[#This Row],[Qnt Vendida]]</f>
        <v>576</v>
      </c>
      <c r="J3960" s="3">
        <f>Vendas[[#This Row],[Valor da Venda]]-(_xlfn.XLOOKUP(Vendas[[#This Row],[ID Item Vendido]],Agregado[ID],Agregado[Custo])*Vendas[[#This Row],[Qnt Vendida]])</f>
        <v>126</v>
      </c>
      <c r="K3960" s="70">
        <f>Vendas[[#This Row],[Lucro da Venda]]/Vendas[[#This Row],[Valor da Venda]]</f>
        <v>0.21875</v>
      </c>
      <c r="L3960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3960"/>
    </row>
    <row r="3961" spans="1:13" x14ac:dyDescent="0.3">
      <c r="A3961" s="7">
        <v>400255</v>
      </c>
      <c r="B3961" t="str">
        <f>_xlfn.XLOOKUP(Vendas[[#This Row],[ID Vendedor]],Vendedores[ID],Vendedores[Nome])</f>
        <v>Carlos</v>
      </c>
      <c r="C3961" s="7" t="str">
        <f>_xlfn.XLOOKUP(Vendas[[#This Row],[ID Vendedor]],Vendedores[ID],Vendedores[Setor])</f>
        <v>SC</v>
      </c>
      <c r="D3961" s="7" t="s">
        <v>25</v>
      </c>
      <c r="E3961" t="str">
        <f>_xlfn.XLOOKUP(Vendas[[#This Row],[ID Item Vendido]],Agregado[ID],Agregado[Produto])</f>
        <v>Palete de plástico</v>
      </c>
      <c r="F3961" s="39">
        <v>45576</v>
      </c>
      <c r="G3961" s="7">
        <v>4</v>
      </c>
      <c r="H3961" s="3">
        <f>_xlfn.XLOOKUP(Vendas[[#This Row],[ID Item Vendido]],Agregado[ID],Agregado[Revenda])</f>
        <v>70.8</v>
      </c>
      <c r="I3961" s="3">
        <f>Vendas[[#This Row],[Valor Unitário]]*Vendas[[#This Row],[Qnt Vendida]]</f>
        <v>283.2</v>
      </c>
      <c r="J3961" s="3">
        <f>Vendas[[#This Row],[Valor da Venda]]-(_xlfn.XLOOKUP(Vendas[[#This Row],[ID Item Vendido]],Agregado[ID],Agregado[Custo])*Vendas[[#This Row],[Qnt Vendida]])</f>
        <v>43.199999999999989</v>
      </c>
      <c r="K3961" s="70">
        <f>Vendas[[#This Row],[Lucro da Venda]]/Vendas[[#This Row],[Valor da Venda]]</f>
        <v>0.15254237288135589</v>
      </c>
      <c r="L3961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3961"/>
    </row>
    <row r="3962" spans="1:13" x14ac:dyDescent="0.3">
      <c r="A3962" s="7">
        <v>400252</v>
      </c>
      <c r="B3962" t="str">
        <f>_xlfn.XLOOKUP(Vendas[[#This Row],[ID Vendedor]],Vendedores[ID],Vendedores[Nome])</f>
        <v>Renata</v>
      </c>
      <c r="C3962" s="7" t="str">
        <f>_xlfn.XLOOKUP(Vendas[[#This Row],[ID Vendedor]],Vendedores[ID],Vendedores[Setor])</f>
        <v>AB</v>
      </c>
      <c r="D3962" s="7" t="s">
        <v>12</v>
      </c>
      <c r="E3962" t="str">
        <f>_xlfn.XLOOKUP(Vendas[[#This Row],[ID Item Vendido]],Agregado[ID],Agregado[Produto])</f>
        <v>Grânulo de plástico reciclado refinado</v>
      </c>
      <c r="F3962" s="39">
        <v>45577</v>
      </c>
      <c r="G3962" s="7">
        <v>95</v>
      </c>
      <c r="H3962" s="3">
        <f>_xlfn.XLOOKUP(Vendas[[#This Row],[ID Item Vendido]],Agregado[ID],Agregado[Revenda])</f>
        <v>4.7</v>
      </c>
      <c r="I3962" s="3">
        <f>Vendas[[#This Row],[Valor Unitário]]*Vendas[[#This Row],[Qnt Vendida]]</f>
        <v>446.5</v>
      </c>
      <c r="J3962" s="3">
        <f>Vendas[[#This Row],[Valor da Venda]]-(_xlfn.XLOOKUP(Vendas[[#This Row],[ID Item Vendido]],Agregado[ID],Agregado[Custo])*Vendas[[#This Row],[Qnt Vendida]])</f>
        <v>114</v>
      </c>
      <c r="K3962" s="70">
        <f>Vendas[[#This Row],[Lucro da Venda]]/Vendas[[#This Row],[Valor da Venda]]</f>
        <v>0.25531914893617019</v>
      </c>
      <c r="L3962" s="3">
        <f>_xlfn.IFS(Vendas[[#This Row],[Margem de Lucro (%)]]&lt;15%,Vendas[[#This Row],[Valor da Venda]]*3%,Vendas[[#This Row],[Margem de Lucro (%)]]&lt;=20%,Vendas[[#This Row],[Valor da Venda]]*4.5%,TRUE,Vendas[[#This Row],[Valor da Venda]]*6%)</f>
        <v>26.79</v>
      </c>
      <c r="M3962"/>
    </row>
    <row r="3963" spans="1:13" x14ac:dyDescent="0.3">
      <c r="A3963" s="7">
        <v>400250</v>
      </c>
      <c r="B3963" t="str">
        <f>_xlfn.XLOOKUP(Vendas[[#This Row],[ID Vendedor]],Vendedores[ID],Vendedores[Nome])</f>
        <v>Larissa</v>
      </c>
      <c r="C3963" s="7" t="str">
        <f>_xlfn.XLOOKUP(Vendas[[#This Row],[ID Vendedor]],Vendedores[ID],Vendedores[Setor])</f>
        <v>AB</v>
      </c>
      <c r="D3963" s="7" t="s">
        <v>39</v>
      </c>
      <c r="E3963" t="str">
        <f>_xlfn.XLOOKUP(Vendas[[#This Row],[ID Item Vendido]],Agregado[ID],Agregado[Produto])</f>
        <v>Filme plástico industrial rolo 50m</v>
      </c>
      <c r="F3963" s="39">
        <v>45577</v>
      </c>
      <c r="G3963" s="7">
        <v>12</v>
      </c>
      <c r="H3963" s="3">
        <f>_xlfn.XLOOKUP(Vendas[[#This Row],[ID Item Vendido]],Agregado[ID],Agregado[Revenda])</f>
        <v>37</v>
      </c>
      <c r="I3963" s="3">
        <f>Vendas[[#This Row],[Valor Unitário]]*Vendas[[#This Row],[Qnt Vendida]]</f>
        <v>444</v>
      </c>
      <c r="J3963" s="3">
        <f>Vendas[[#This Row],[Valor da Venda]]-(_xlfn.XLOOKUP(Vendas[[#This Row],[ID Item Vendido]],Agregado[ID],Agregado[Custo])*Vendas[[#This Row],[Qnt Vendida]])</f>
        <v>108</v>
      </c>
      <c r="K3963" s="70">
        <f>Vendas[[#This Row],[Lucro da Venda]]/Vendas[[#This Row],[Valor da Venda]]</f>
        <v>0.24324324324324326</v>
      </c>
      <c r="L3963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3963"/>
    </row>
    <row r="3964" spans="1:13" x14ac:dyDescent="0.3">
      <c r="A3964" s="7">
        <v>400254</v>
      </c>
      <c r="B3964" t="str">
        <f>_xlfn.XLOOKUP(Vendas[[#This Row],[ID Vendedor]],Vendedores[ID],Vendedores[Nome])</f>
        <v>Beatriz</v>
      </c>
      <c r="C3964" s="7" t="str">
        <f>_xlfn.XLOOKUP(Vendas[[#This Row],[ID Vendedor]],Vendedores[ID],Vendedores[Setor])</f>
        <v>SC</v>
      </c>
      <c r="D3964" s="7" t="s">
        <v>42</v>
      </c>
      <c r="E3964" t="str">
        <f>_xlfn.XLOOKUP(Vendas[[#This Row],[ID Item Vendido]],Agregado[ID],Agregado[Produto])</f>
        <v>Container de ferro industrial</v>
      </c>
      <c r="F3964" s="39">
        <v>45578</v>
      </c>
      <c r="G3964" s="7">
        <v>4</v>
      </c>
      <c r="H3964" s="3">
        <f>_xlfn.XLOOKUP(Vendas[[#This Row],[ID Item Vendido]],Agregado[ID],Agregado[Revenda])</f>
        <v>830</v>
      </c>
      <c r="I3964" s="3">
        <f>Vendas[[#This Row],[Valor Unitário]]*Vendas[[#This Row],[Qnt Vendida]]</f>
        <v>3320</v>
      </c>
      <c r="J3964" s="3">
        <f>Vendas[[#This Row],[Valor da Venda]]-(_xlfn.XLOOKUP(Vendas[[#This Row],[ID Item Vendido]],Agregado[ID],Agregado[Custo])*Vendas[[#This Row],[Qnt Vendida]])</f>
        <v>600</v>
      </c>
      <c r="K3964" s="70">
        <f>Vendas[[#This Row],[Lucro da Venda]]/Vendas[[#This Row],[Valor da Venda]]</f>
        <v>0.18072289156626506</v>
      </c>
      <c r="L3964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3964"/>
    </row>
    <row r="3965" spans="1:13" x14ac:dyDescent="0.3">
      <c r="A3965" s="7">
        <v>400247</v>
      </c>
      <c r="B3965" t="str">
        <f>_xlfn.XLOOKUP(Vendas[[#This Row],[ID Vendedor]],Vendedores[ID],Vendedores[Nome])</f>
        <v>André</v>
      </c>
      <c r="C3965" s="7" t="str">
        <f>_xlfn.XLOOKUP(Vendas[[#This Row],[ID Vendedor]],Vendedores[ID],Vendedores[Setor])</f>
        <v>CM</v>
      </c>
      <c r="D3965" s="7" t="s">
        <v>22</v>
      </c>
      <c r="E3965" t="str">
        <f>_xlfn.XLOOKUP(Vendas[[#This Row],[ID Item Vendido]],Agregado[ID],Agregado[Produto])</f>
        <v>Painel MDP 2,75x1,83m</v>
      </c>
      <c r="F3965" s="39">
        <v>45578</v>
      </c>
      <c r="G3965" s="7">
        <v>23</v>
      </c>
      <c r="H3965" s="3">
        <f>_xlfn.XLOOKUP(Vendas[[#This Row],[ID Item Vendido]],Agregado[ID],Agregado[Revenda])</f>
        <v>119</v>
      </c>
      <c r="I3965" s="3">
        <f>Vendas[[#This Row],[Valor Unitário]]*Vendas[[#This Row],[Qnt Vendida]]</f>
        <v>2737</v>
      </c>
      <c r="J3965" s="3">
        <f>Vendas[[#This Row],[Valor da Venda]]-(_xlfn.XLOOKUP(Vendas[[#This Row],[ID Item Vendido]],Agregado[ID],Agregado[Custo])*Vendas[[#This Row],[Qnt Vendida]])</f>
        <v>552</v>
      </c>
      <c r="K3965" s="70">
        <f>Vendas[[#This Row],[Lucro da Venda]]/Vendas[[#This Row],[Valor da Venda]]</f>
        <v>0.20168067226890757</v>
      </c>
      <c r="L3965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3965"/>
    </row>
    <row r="3966" spans="1:13" x14ac:dyDescent="0.3">
      <c r="A3966" s="7">
        <v>400252</v>
      </c>
      <c r="B3966" t="str">
        <f>_xlfn.XLOOKUP(Vendas[[#This Row],[ID Vendedor]],Vendedores[ID],Vendedores[Nome])</f>
        <v>Renata</v>
      </c>
      <c r="C3966" s="7" t="str">
        <f>_xlfn.XLOOKUP(Vendas[[#This Row],[ID Vendedor]],Vendedores[ID],Vendedores[Setor])</f>
        <v>AB</v>
      </c>
      <c r="D3966" s="7" t="s">
        <v>24</v>
      </c>
      <c r="E3966" t="str">
        <f>_xlfn.XLOOKUP(Vendas[[#This Row],[ID Item Vendido]],Agregado[ID],Agregado[Produto])</f>
        <v>Resina plástica PET purificada saco de 25kg</v>
      </c>
      <c r="F3966" s="39">
        <v>45578</v>
      </c>
      <c r="G3966" s="7">
        <v>6</v>
      </c>
      <c r="H3966" s="3">
        <f>_xlfn.XLOOKUP(Vendas[[#This Row],[ID Item Vendido]],Agregado[ID],Agregado[Revenda])</f>
        <v>119</v>
      </c>
      <c r="I3966" s="3">
        <f>Vendas[[#This Row],[Valor Unitário]]*Vendas[[#This Row],[Qnt Vendida]]</f>
        <v>714</v>
      </c>
      <c r="J3966" s="3">
        <f>Vendas[[#This Row],[Valor da Venda]]-(_xlfn.XLOOKUP(Vendas[[#This Row],[ID Item Vendido]],Agregado[ID],Agregado[Custo])*Vendas[[#This Row],[Qnt Vendida]])</f>
        <v>204</v>
      </c>
      <c r="K3966" s="70">
        <f>Vendas[[#This Row],[Lucro da Venda]]/Vendas[[#This Row],[Valor da Venda]]</f>
        <v>0.2857142857142857</v>
      </c>
      <c r="L3966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3966"/>
    </row>
    <row r="3967" spans="1:13" x14ac:dyDescent="0.3">
      <c r="A3967" s="7">
        <v>400247</v>
      </c>
      <c r="B3967" t="str">
        <f>_xlfn.XLOOKUP(Vendas[[#This Row],[ID Vendedor]],Vendedores[ID],Vendedores[Nome])</f>
        <v>André</v>
      </c>
      <c r="C3967" s="7" t="str">
        <f>_xlfn.XLOOKUP(Vendas[[#This Row],[ID Vendedor]],Vendedores[ID],Vendedores[Setor])</f>
        <v>CM</v>
      </c>
      <c r="D3967" s="7" t="s">
        <v>32</v>
      </c>
      <c r="E3967" t="str">
        <f>_xlfn.XLOOKUP(Vendas[[#This Row],[ID Item Vendido]],Agregado[ID],Agregado[Produto])</f>
        <v>Tábua tratada e cortada 3m</v>
      </c>
      <c r="F3967" s="39">
        <v>45579</v>
      </c>
      <c r="G3967" s="7">
        <v>25</v>
      </c>
      <c r="H3967" s="3">
        <f>_xlfn.XLOOKUP(Vendas[[#This Row],[ID Item Vendido]],Agregado[ID],Agregado[Revenda])</f>
        <v>39</v>
      </c>
      <c r="I3967" s="3">
        <f>Vendas[[#This Row],[Valor Unitário]]*Vendas[[#This Row],[Qnt Vendida]]</f>
        <v>975</v>
      </c>
      <c r="J3967" s="3">
        <f>Vendas[[#This Row],[Valor da Venda]]-(_xlfn.XLOOKUP(Vendas[[#This Row],[ID Item Vendido]],Agregado[ID],Agregado[Custo])*Vendas[[#This Row],[Qnt Vendida]])</f>
        <v>175</v>
      </c>
      <c r="K3967" s="70">
        <f>Vendas[[#This Row],[Lucro da Venda]]/Vendas[[#This Row],[Valor da Venda]]</f>
        <v>0.17948717948717949</v>
      </c>
      <c r="L3967" s="3">
        <f>_xlfn.IFS(Vendas[[#This Row],[Margem de Lucro (%)]]&lt;15%,Vendas[[#This Row],[Valor da Venda]]*3%,Vendas[[#This Row],[Margem de Lucro (%)]]&lt;=20%,Vendas[[#This Row],[Valor da Venda]]*4.5%,TRUE,Vendas[[#This Row],[Valor da Venda]]*6%)</f>
        <v>43.875</v>
      </c>
      <c r="M3967"/>
    </row>
    <row r="3968" spans="1:13" x14ac:dyDescent="0.3">
      <c r="A3968" s="7">
        <v>400249</v>
      </c>
      <c r="B3968" t="str">
        <f>_xlfn.XLOOKUP(Vendas[[#This Row],[ID Vendedor]],Vendedores[ID],Vendedores[Nome])</f>
        <v>Bruno</v>
      </c>
      <c r="C3968" s="7" t="str">
        <f>_xlfn.XLOOKUP(Vendas[[#This Row],[ID Vendedor]],Vendedores[ID],Vendedores[Setor])</f>
        <v>CM</v>
      </c>
      <c r="D3968" s="7" t="s">
        <v>34</v>
      </c>
      <c r="E3968" t="str">
        <f>_xlfn.XLOOKUP(Vendas[[#This Row],[ID Item Vendido]],Agregado[ID],Agregado[Produto])</f>
        <v>Restos de madeira p/ MDP/OSB saco de 20kg</v>
      </c>
      <c r="F3968" s="39">
        <v>45579</v>
      </c>
      <c r="G3968" s="7">
        <v>30</v>
      </c>
      <c r="H3968" s="3">
        <f>_xlfn.XLOOKUP(Vendas[[#This Row],[ID Item Vendido]],Agregado[ID],Agregado[Revenda])</f>
        <v>13.8</v>
      </c>
      <c r="I3968" s="3">
        <f>Vendas[[#This Row],[Valor Unitário]]*Vendas[[#This Row],[Qnt Vendida]]</f>
        <v>414</v>
      </c>
      <c r="J3968" s="3">
        <f>Vendas[[#This Row],[Valor da Venda]]-(_xlfn.XLOOKUP(Vendas[[#This Row],[ID Item Vendido]],Agregado[ID],Agregado[Custo])*Vendas[[#This Row],[Qnt Vendida]])</f>
        <v>54</v>
      </c>
      <c r="K3968" s="70">
        <f>Vendas[[#This Row],[Lucro da Venda]]/Vendas[[#This Row],[Valor da Venda]]</f>
        <v>0.13043478260869565</v>
      </c>
      <c r="L3968" s="3">
        <f>_xlfn.IFS(Vendas[[#This Row],[Margem de Lucro (%)]]&lt;15%,Vendas[[#This Row],[Valor da Venda]]*3%,Vendas[[#This Row],[Margem de Lucro (%)]]&lt;=20%,Vendas[[#This Row],[Valor da Venda]]*4.5%,TRUE,Vendas[[#This Row],[Valor da Venda]]*6%)</f>
        <v>12.42</v>
      </c>
      <c r="M3968"/>
    </row>
    <row r="3969" spans="1:13" x14ac:dyDescent="0.3">
      <c r="A3969" s="7">
        <v>400242</v>
      </c>
      <c r="B3969" t="str">
        <f>_xlfn.XLOOKUP(Vendas[[#This Row],[ID Vendedor]],Vendedores[ID],Vendedores[Nome])</f>
        <v>Fernanda</v>
      </c>
      <c r="C3969" s="7" t="str">
        <f>_xlfn.XLOOKUP(Vendas[[#This Row],[ID Vendedor]],Vendedores[ID],Vendedores[Setor])</f>
        <v>FM</v>
      </c>
      <c r="D3969" s="7" t="s">
        <v>27</v>
      </c>
      <c r="E3969" t="str">
        <f>_xlfn.XLOOKUP(Vendas[[#This Row],[ID Item Vendido]],Agregado[ID],Agregado[Produto])</f>
        <v>Chapa de metal lisa 1x2m</v>
      </c>
      <c r="F3969" s="39">
        <v>45580</v>
      </c>
      <c r="G3969" s="7">
        <v>30</v>
      </c>
      <c r="H3969" s="3">
        <f>_xlfn.XLOOKUP(Vendas[[#This Row],[ID Item Vendido]],Agregado[ID],Agregado[Revenda])</f>
        <v>52</v>
      </c>
      <c r="I3969" s="3">
        <f>Vendas[[#This Row],[Valor Unitário]]*Vendas[[#This Row],[Qnt Vendida]]</f>
        <v>1560</v>
      </c>
      <c r="J3969" s="3">
        <f>Vendas[[#This Row],[Valor da Venda]]-(_xlfn.XLOOKUP(Vendas[[#This Row],[ID Item Vendido]],Agregado[ID],Agregado[Custo])*Vendas[[#This Row],[Qnt Vendida]])</f>
        <v>210</v>
      </c>
      <c r="K3969" s="70">
        <f>Vendas[[#This Row],[Lucro da Venda]]/Vendas[[#This Row],[Valor da Venda]]</f>
        <v>0.13461538461538461</v>
      </c>
      <c r="L3969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3969"/>
    </row>
    <row r="3970" spans="1:13" x14ac:dyDescent="0.3">
      <c r="A3970" s="7">
        <v>400242</v>
      </c>
      <c r="B3970" t="str">
        <f>_xlfn.XLOOKUP(Vendas[[#This Row],[ID Vendedor]],Vendedores[ID],Vendedores[Nome])</f>
        <v>Fernanda</v>
      </c>
      <c r="C3970" s="7" t="str">
        <f>_xlfn.XLOOKUP(Vendas[[#This Row],[ID Vendedor]],Vendedores[ID],Vendedores[Setor])</f>
        <v>FM</v>
      </c>
      <c r="D3970" s="7" t="s">
        <v>27</v>
      </c>
      <c r="E3970" t="str">
        <f>_xlfn.XLOOKUP(Vendas[[#This Row],[ID Item Vendido]],Agregado[ID],Agregado[Produto])</f>
        <v>Chapa de metal lisa 1x2m</v>
      </c>
      <c r="F3970" s="39">
        <v>45580</v>
      </c>
      <c r="G3970" s="7">
        <v>27</v>
      </c>
      <c r="H3970" s="3">
        <f>_xlfn.XLOOKUP(Vendas[[#This Row],[ID Item Vendido]],Agregado[ID],Agregado[Revenda])</f>
        <v>52</v>
      </c>
      <c r="I3970" s="3">
        <f>Vendas[[#This Row],[Valor Unitário]]*Vendas[[#This Row],[Qnt Vendida]]</f>
        <v>1404</v>
      </c>
      <c r="J3970" s="3">
        <f>Vendas[[#This Row],[Valor da Venda]]-(_xlfn.XLOOKUP(Vendas[[#This Row],[ID Item Vendido]],Agregado[ID],Agregado[Custo])*Vendas[[#This Row],[Qnt Vendida]])</f>
        <v>189</v>
      </c>
      <c r="K3970" s="70">
        <f>Vendas[[#This Row],[Lucro da Venda]]/Vendas[[#This Row],[Valor da Venda]]</f>
        <v>0.13461538461538461</v>
      </c>
      <c r="L3970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3970"/>
    </row>
    <row r="3971" spans="1:13" x14ac:dyDescent="0.3">
      <c r="A3971" s="7">
        <v>400250</v>
      </c>
      <c r="B3971" t="str">
        <f>_xlfn.XLOOKUP(Vendas[[#This Row],[ID Vendedor]],Vendedores[ID],Vendedores[Nome])</f>
        <v>Larissa</v>
      </c>
      <c r="C3971" s="7" t="str">
        <f>_xlfn.XLOOKUP(Vendas[[#This Row],[ID Vendedor]],Vendedores[ID],Vendedores[Setor])</f>
        <v>AB</v>
      </c>
      <c r="D3971" s="7" t="s">
        <v>36</v>
      </c>
      <c r="E3971" t="str">
        <f>_xlfn.XLOOKUP(Vendas[[#This Row],[ID Item Vendido]],Agregado[ID],Agregado[Produto])</f>
        <v>Borracha vulcanizada em manta</v>
      </c>
      <c r="F3971" s="39">
        <v>45580</v>
      </c>
      <c r="G3971" s="7">
        <v>69</v>
      </c>
      <c r="H3971" s="3">
        <f>_xlfn.XLOOKUP(Vendas[[#This Row],[ID Item Vendido]],Agregado[ID],Agregado[Revenda])</f>
        <v>7.8</v>
      </c>
      <c r="I3971" s="3">
        <f>Vendas[[#This Row],[Valor Unitário]]*Vendas[[#This Row],[Qnt Vendida]]</f>
        <v>538.19999999999993</v>
      </c>
      <c r="J3971" s="3">
        <f>Vendas[[#This Row],[Valor da Venda]]-(_xlfn.XLOOKUP(Vendas[[#This Row],[ID Item Vendido]],Agregado[ID],Agregado[Custo])*Vendas[[#This Row],[Qnt Vendida]])</f>
        <v>124.19999999999993</v>
      </c>
      <c r="K3971" s="70">
        <f>Vendas[[#This Row],[Lucro da Venda]]/Vendas[[#This Row],[Valor da Venda]]</f>
        <v>0.23076923076923067</v>
      </c>
      <c r="L3971" s="3">
        <f>_xlfn.IFS(Vendas[[#This Row],[Margem de Lucro (%)]]&lt;15%,Vendas[[#This Row],[Valor da Venda]]*3%,Vendas[[#This Row],[Margem de Lucro (%)]]&lt;=20%,Vendas[[#This Row],[Valor da Venda]]*4.5%,TRUE,Vendas[[#This Row],[Valor da Venda]]*6%)</f>
        <v>32.291999999999994</v>
      </c>
      <c r="M3971"/>
    </row>
    <row r="3972" spans="1:13" x14ac:dyDescent="0.3">
      <c r="A3972" s="7">
        <v>400242</v>
      </c>
      <c r="B3972" t="str">
        <f>_xlfn.XLOOKUP(Vendas[[#This Row],[ID Vendedor]],Vendedores[ID],Vendedores[Nome])</f>
        <v>Fernanda</v>
      </c>
      <c r="C3972" s="7" t="str">
        <f>_xlfn.XLOOKUP(Vendas[[#This Row],[ID Vendedor]],Vendedores[ID],Vendedores[Setor])</f>
        <v>FM</v>
      </c>
      <c r="D3972" s="7" t="s">
        <v>27</v>
      </c>
      <c r="E3972" t="str">
        <f>_xlfn.XLOOKUP(Vendas[[#This Row],[ID Item Vendido]],Agregado[ID],Agregado[Produto])</f>
        <v>Chapa de metal lisa 1x2m</v>
      </c>
      <c r="F3972" s="39">
        <v>45581</v>
      </c>
      <c r="G3972" s="7">
        <v>28</v>
      </c>
      <c r="H3972" s="3">
        <f>_xlfn.XLOOKUP(Vendas[[#This Row],[ID Item Vendido]],Agregado[ID],Agregado[Revenda])</f>
        <v>52</v>
      </c>
      <c r="I3972" s="3">
        <f>Vendas[[#This Row],[Valor Unitário]]*Vendas[[#This Row],[Qnt Vendida]]</f>
        <v>1456</v>
      </c>
      <c r="J3972" s="3">
        <f>Vendas[[#This Row],[Valor da Venda]]-(_xlfn.XLOOKUP(Vendas[[#This Row],[ID Item Vendido]],Agregado[ID],Agregado[Custo])*Vendas[[#This Row],[Qnt Vendida]])</f>
        <v>196</v>
      </c>
      <c r="K3972" s="70">
        <f>Vendas[[#This Row],[Lucro da Venda]]/Vendas[[#This Row],[Valor da Venda]]</f>
        <v>0.13461538461538461</v>
      </c>
      <c r="L3972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3972"/>
    </row>
    <row r="3973" spans="1:13" x14ac:dyDescent="0.3">
      <c r="A3973" s="7">
        <v>400250</v>
      </c>
      <c r="B3973" t="str">
        <f>_xlfn.XLOOKUP(Vendas[[#This Row],[ID Vendedor]],Vendedores[ID],Vendedores[Nome])</f>
        <v>Larissa</v>
      </c>
      <c r="C3973" s="7" t="str">
        <f>_xlfn.XLOOKUP(Vendas[[#This Row],[ID Vendedor]],Vendedores[ID],Vendedores[Setor])</f>
        <v>AB</v>
      </c>
      <c r="D3973" s="7" t="s">
        <v>37</v>
      </c>
      <c r="E3973" t="str">
        <f>_xlfn.XLOOKUP(Vendas[[#This Row],[ID Item Vendido]],Agregado[ID],Agregado[Produto])</f>
        <v>Composto de borracha para vedação rolo 10m</v>
      </c>
      <c r="F3973" s="39">
        <v>45581</v>
      </c>
      <c r="G3973" s="7">
        <v>20</v>
      </c>
      <c r="H3973" s="3">
        <f>_xlfn.XLOOKUP(Vendas[[#This Row],[ID Item Vendido]],Agregado[ID],Agregado[Revenda])</f>
        <v>51.2</v>
      </c>
      <c r="I3973" s="3">
        <f>Vendas[[#This Row],[Valor Unitário]]*Vendas[[#This Row],[Qnt Vendida]]</f>
        <v>1024</v>
      </c>
      <c r="J3973" s="3">
        <f>Vendas[[#This Row],[Valor da Venda]]-(_xlfn.XLOOKUP(Vendas[[#This Row],[ID Item Vendido]],Agregado[ID],Agregado[Custo])*Vendas[[#This Row],[Qnt Vendida]])</f>
        <v>224</v>
      </c>
      <c r="K3973" s="70">
        <f>Vendas[[#This Row],[Lucro da Venda]]/Vendas[[#This Row],[Valor da Venda]]</f>
        <v>0.21875</v>
      </c>
      <c r="L3973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3973"/>
    </row>
    <row r="3974" spans="1:13" x14ac:dyDescent="0.3">
      <c r="A3974" s="7">
        <v>400252</v>
      </c>
      <c r="B3974" t="str">
        <f>_xlfn.XLOOKUP(Vendas[[#This Row],[ID Vendedor]],Vendedores[ID],Vendedores[Nome])</f>
        <v>Renata</v>
      </c>
      <c r="C3974" s="7" t="str">
        <f>_xlfn.XLOOKUP(Vendas[[#This Row],[ID Vendedor]],Vendedores[ID],Vendedores[Setor])</f>
        <v>AB</v>
      </c>
      <c r="D3974" s="7" t="s">
        <v>24</v>
      </c>
      <c r="E3974" t="str">
        <f>_xlfn.XLOOKUP(Vendas[[#This Row],[ID Item Vendido]],Agregado[ID],Agregado[Produto])</f>
        <v>Resina plástica PET purificada saco de 25kg</v>
      </c>
      <c r="F3974" s="39">
        <v>45582</v>
      </c>
      <c r="G3974" s="7">
        <v>27</v>
      </c>
      <c r="H3974" s="3">
        <f>_xlfn.XLOOKUP(Vendas[[#This Row],[ID Item Vendido]],Agregado[ID],Agregado[Revenda])</f>
        <v>119</v>
      </c>
      <c r="I3974" s="3">
        <f>Vendas[[#This Row],[Valor Unitário]]*Vendas[[#This Row],[Qnt Vendida]]</f>
        <v>3213</v>
      </c>
      <c r="J3974" s="3">
        <f>Vendas[[#This Row],[Valor da Venda]]-(_xlfn.XLOOKUP(Vendas[[#This Row],[ID Item Vendido]],Agregado[ID],Agregado[Custo])*Vendas[[#This Row],[Qnt Vendida]])</f>
        <v>918</v>
      </c>
      <c r="K3974" s="70">
        <f>Vendas[[#This Row],[Lucro da Venda]]/Vendas[[#This Row],[Valor da Venda]]</f>
        <v>0.2857142857142857</v>
      </c>
      <c r="L3974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3974"/>
    </row>
    <row r="3975" spans="1:13" x14ac:dyDescent="0.3">
      <c r="A3975" s="7">
        <v>400246</v>
      </c>
      <c r="B3975" t="str">
        <f>_xlfn.XLOOKUP(Vendas[[#This Row],[ID Vendedor]],Vendedores[ID],Vendedores[Nome])</f>
        <v>Juliana</v>
      </c>
      <c r="C3975" s="7" t="str">
        <f>_xlfn.XLOOKUP(Vendas[[#This Row],[ID Vendedor]],Vendedores[ID],Vendedores[Setor])</f>
        <v>AHD</v>
      </c>
      <c r="D3975" s="7" t="s">
        <v>18</v>
      </c>
      <c r="E3975" t="str">
        <f>_xlfn.XLOOKUP(Vendas[[#This Row],[ID Item Vendido]],Agregado[ID],Agregado[Produto])</f>
        <v>Peça forjada sob encomenda</v>
      </c>
      <c r="F3975" s="39">
        <v>45582</v>
      </c>
      <c r="G3975" s="7">
        <v>6</v>
      </c>
      <c r="H3975" s="3">
        <f>_xlfn.XLOOKUP(Vendas[[#This Row],[ID Item Vendido]],Agregado[ID],Agregado[Revenda])</f>
        <v>264.60000000000002</v>
      </c>
      <c r="I3975" s="3">
        <f>Vendas[[#This Row],[Valor Unitário]]*Vendas[[#This Row],[Qnt Vendida]]</f>
        <v>1587.6000000000001</v>
      </c>
      <c r="J3975" s="3">
        <f>Vendas[[#This Row],[Valor da Venda]]-(_xlfn.XLOOKUP(Vendas[[#This Row],[ID Item Vendido]],Agregado[ID],Agregado[Custo])*Vendas[[#This Row],[Qnt Vendida]])</f>
        <v>87.600000000000136</v>
      </c>
      <c r="K3975" s="70">
        <f>Vendas[[#This Row],[Lucro da Venda]]/Vendas[[#This Row],[Valor da Venda]]</f>
        <v>5.5177626606198113E-2</v>
      </c>
      <c r="L397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975"/>
    </row>
    <row r="3976" spans="1:13" x14ac:dyDescent="0.3">
      <c r="A3976" s="7">
        <v>400250</v>
      </c>
      <c r="B3976" t="str">
        <f>_xlfn.XLOOKUP(Vendas[[#This Row],[ID Vendedor]],Vendedores[ID],Vendedores[Nome])</f>
        <v>Larissa</v>
      </c>
      <c r="C3976" s="7" t="str">
        <f>_xlfn.XLOOKUP(Vendas[[#This Row],[ID Vendedor]],Vendedores[ID],Vendedores[Setor])</f>
        <v>AB</v>
      </c>
      <c r="D3976" s="7" t="s">
        <v>39</v>
      </c>
      <c r="E3976" t="str">
        <f>_xlfn.XLOOKUP(Vendas[[#This Row],[ID Item Vendido]],Agregado[ID],Agregado[Produto])</f>
        <v>Filme plástico industrial rolo 50m</v>
      </c>
      <c r="F3976" s="39">
        <v>45582</v>
      </c>
      <c r="G3976" s="7">
        <v>27</v>
      </c>
      <c r="H3976" s="3">
        <f>_xlfn.XLOOKUP(Vendas[[#This Row],[ID Item Vendido]],Agregado[ID],Agregado[Revenda])</f>
        <v>37</v>
      </c>
      <c r="I3976" s="3">
        <f>Vendas[[#This Row],[Valor Unitário]]*Vendas[[#This Row],[Qnt Vendida]]</f>
        <v>999</v>
      </c>
      <c r="J3976" s="3">
        <f>Vendas[[#This Row],[Valor da Venda]]-(_xlfn.XLOOKUP(Vendas[[#This Row],[ID Item Vendido]],Agregado[ID],Agregado[Custo])*Vendas[[#This Row],[Qnt Vendida]])</f>
        <v>243</v>
      </c>
      <c r="K3976" s="70">
        <f>Vendas[[#This Row],[Lucro da Venda]]/Vendas[[#This Row],[Valor da Venda]]</f>
        <v>0.24324324324324326</v>
      </c>
      <c r="L3976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3976"/>
    </row>
    <row r="3977" spans="1:13" x14ac:dyDescent="0.3">
      <c r="A3977" s="7">
        <v>400252</v>
      </c>
      <c r="B3977" t="str">
        <f>_xlfn.XLOOKUP(Vendas[[#This Row],[ID Vendedor]],Vendedores[ID],Vendedores[Nome])</f>
        <v>Renata</v>
      </c>
      <c r="C3977" s="7" t="str">
        <f>_xlfn.XLOOKUP(Vendas[[#This Row],[ID Vendedor]],Vendedores[ID],Vendedores[Setor])</f>
        <v>AB</v>
      </c>
      <c r="D3977" s="7" t="s">
        <v>24</v>
      </c>
      <c r="E3977" t="str">
        <f>_xlfn.XLOOKUP(Vendas[[#This Row],[ID Item Vendido]],Agregado[ID],Agregado[Produto])</f>
        <v>Resina plástica PET purificada saco de 25kg</v>
      </c>
      <c r="F3977" s="39">
        <v>45583</v>
      </c>
      <c r="G3977" s="7">
        <v>26</v>
      </c>
      <c r="H3977" s="3">
        <f>_xlfn.XLOOKUP(Vendas[[#This Row],[ID Item Vendido]],Agregado[ID],Agregado[Revenda])</f>
        <v>119</v>
      </c>
      <c r="I3977" s="3">
        <f>Vendas[[#This Row],[Valor Unitário]]*Vendas[[#This Row],[Qnt Vendida]]</f>
        <v>3094</v>
      </c>
      <c r="J3977" s="3">
        <f>Vendas[[#This Row],[Valor da Venda]]-(_xlfn.XLOOKUP(Vendas[[#This Row],[ID Item Vendido]],Agregado[ID],Agregado[Custo])*Vendas[[#This Row],[Qnt Vendida]])</f>
        <v>884</v>
      </c>
      <c r="K3977" s="70">
        <f>Vendas[[#This Row],[Lucro da Venda]]/Vendas[[#This Row],[Valor da Venda]]</f>
        <v>0.2857142857142857</v>
      </c>
      <c r="L3977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3977"/>
    </row>
    <row r="3978" spans="1:13" x14ac:dyDescent="0.3">
      <c r="A3978" s="7">
        <v>400249</v>
      </c>
      <c r="B3978" t="str">
        <f>_xlfn.XLOOKUP(Vendas[[#This Row],[ID Vendedor]],Vendedores[ID],Vendedores[Nome])</f>
        <v>Bruno</v>
      </c>
      <c r="C3978" s="7" t="str">
        <f>_xlfn.XLOOKUP(Vendas[[#This Row],[ID Vendedor]],Vendedores[ID],Vendedores[Setor])</f>
        <v>CM</v>
      </c>
      <c r="D3978" s="7" t="s">
        <v>43</v>
      </c>
      <c r="E3978" t="str">
        <f>_xlfn.XLOOKUP(Vendas[[#This Row],[ID Item Vendido]],Agregado[ID],Agregado[Produto])</f>
        <v>Madeira Bruta (Tora)</v>
      </c>
      <c r="F3978" s="39">
        <v>45583</v>
      </c>
      <c r="G3978" s="7">
        <v>6</v>
      </c>
      <c r="H3978" s="3">
        <f>_xlfn.XLOOKUP(Vendas[[#This Row],[ID Item Vendido]],Agregado[ID],Agregado[Revenda])</f>
        <v>212</v>
      </c>
      <c r="I3978" s="3">
        <f>Vendas[[#This Row],[Valor Unitário]]*Vendas[[#This Row],[Qnt Vendida]]</f>
        <v>1272</v>
      </c>
      <c r="J3978" s="3">
        <f>Vendas[[#This Row],[Valor da Venda]]-(_xlfn.XLOOKUP(Vendas[[#This Row],[ID Item Vendido]],Agregado[ID],Agregado[Custo])*Vendas[[#This Row],[Qnt Vendida]])</f>
        <v>192</v>
      </c>
      <c r="K3978" s="70">
        <f>Vendas[[#This Row],[Lucro da Venda]]/Vendas[[#This Row],[Valor da Venda]]</f>
        <v>0.15094339622641509</v>
      </c>
      <c r="L397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3978"/>
    </row>
    <row r="3979" spans="1:13" x14ac:dyDescent="0.3">
      <c r="A3979" s="7">
        <v>400249</v>
      </c>
      <c r="B3979" t="str">
        <f>_xlfn.XLOOKUP(Vendas[[#This Row],[ID Vendedor]],Vendedores[ID],Vendedores[Nome])</f>
        <v>Bruno</v>
      </c>
      <c r="C3979" s="7" t="str">
        <f>_xlfn.XLOOKUP(Vendas[[#This Row],[ID Vendedor]],Vendedores[ID],Vendedores[Setor])</f>
        <v>CM</v>
      </c>
      <c r="D3979" s="7" t="s">
        <v>45</v>
      </c>
      <c r="E3979" t="str">
        <f>_xlfn.XLOOKUP(Vendas[[#This Row],[ID Item Vendido]],Agregado[ID],Agregado[Produto])</f>
        <v>Viga de madeira tratada 4m</v>
      </c>
      <c r="F3979" s="39">
        <v>45583</v>
      </c>
      <c r="G3979" s="7">
        <v>13</v>
      </c>
      <c r="H3979" s="3">
        <f>_xlfn.XLOOKUP(Vendas[[#This Row],[ID Item Vendido]],Agregado[ID],Agregado[Revenda])</f>
        <v>66</v>
      </c>
      <c r="I3979" s="3">
        <f>Vendas[[#This Row],[Valor Unitário]]*Vendas[[#This Row],[Qnt Vendida]]</f>
        <v>858</v>
      </c>
      <c r="J3979" s="3">
        <f>Vendas[[#This Row],[Valor da Venda]]-(_xlfn.XLOOKUP(Vendas[[#This Row],[ID Item Vendido]],Agregado[ID],Agregado[Custo])*Vendas[[#This Row],[Qnt Vendida]])</f>
        <v>143</v>
      </c>
      <c r="K3979" s="70">
        <f>Vendas[[#This Row],[Lucro da Venda]]/Vendas[[#This Row],[Valor da Venda]]</f>
        <v>0.16666666666666666</v>
      </c>
      <c r="L3979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3979"/>
    </row>
    <row r="3980" spans="1:13" x14ac:dyDescent="0.3">
      <c r="A3980" s="7">
        <v>400254</v>
      </c>
      <c r="B3980" t="str">
        <f>_xlfn.XLOOKUP(Vendas[[#This Row],[ID Vendedor]],Vendedores[ID],Vendedores[Nome])</f>
        <v>Beatriz</v>
      </c>
      <c r="C3980" s="7" t="str">
        <f>_xlfn.XLOOKUP(Vendas[[#This Row],[ID Vendedor]],Vendedores[ID],Vendedores[Setor])</f>
        <v>SC</v>
      </c>
      <c r="D3980" s="7" t="s">
        <v>42</v>
      </c>
      <c r="E3980" t="str">
        <f>_xlfn.XLOOKUP(Vendas[[#This Row],[ID Item Vendido]],Agregado[ID],Agregado[Produto])</f>
        <v>Container de ferro industrial</v>
      </c>
      <c r="F3980" s="39">
        <v>45583</v>
      </c>
      <c r="G3980" s="7">
        <v>1</v>
      </c>
      <c r="H3980" s="3">
        <f>_xlfn.XLOOKUP(Vendas[[#This Row],[ID Item Vendido]],Agregado[ID],Agregado[Revenda])</f>
        <v>830</v>
      </c>
      <c r="I3980" s="3">
        <f>Vendas[[#This Row],[Valor Unitário]]*Vendas[[#This Row],[Qnt Vendida]]</f>
        <v>830</v>
      </c>
      <c r="J3980" s="3">
        <f>Vendas[[#This Row],[Valor da Venda]]-(_xlfn.XLOOKUP(Vendas[[#This Row],[ID Item Vendido]],Agregado[ID],Agregado[Custo])*Vendas[[#This Row],[Qnt Vendida]])</f>
        <v>150</v>
      </c>
      <c r="K3980" s="70">
        <f>Vendas[[#This Row],[Lucro da Venda]]/Vendas[[#This Row],[Valor da Venda]]</f>
        <v>0.18072289156626506</v>
      </c>
      <c r="L398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980"/>
    </row>
    <row r="3981" spans="1:13" x14ac:dyDescent="0.3">
      <c r="A3981" s="7">
        <v>400253</v>
      </c>
      <c r="B3981" t="str">
        <f>_xlfn.XLOOKUP(Vendas[[#This Row],[ID Vendedor]],Vendedores[ID],Vendedores[Nome])</f>
        <v>Gustavo</v>
      </c>
      <c r="C3981" s="7" t="str">
        <f>_xlfn.XLOOKUP(Vendas[[#This Row],[ID Vendedor]],Vendedores[ID],Vendedores[Setor])</f>
        <v>SC</v>
      </c>
      <c r="D3981" s="7" t="s">
        <v>42</v>
      </c>
      <c r="E3981" t="str">
        <f>_xlfn.XLOOKUP(Vendas[[#This Row],[ID Item Vendido]],Agregado[ID],Agregado[Produto])</f>
        <v>Container de ferro industrial</v>
      </c>
      <c r="F3981" s="39">
        <v>45583</v>
      </c>
      <c r="G3981" s="7">
        <v>1</v>
      </c>
      <c r="H3981" s="3">
        <f>_xlfn.XLOOKUP(Vendas[[#This Row],[ID Item Vendido]],Agregado[ID],Agregado[Revenda])</f>
        <v>830</v>
      </c>
      <c r="I3981" s="3">
        <f>Vendas[[#This Row],[Valor Unitário]]*Vendas[[#This Row],[Qnt Vendida]]</f>
        <v>830</v>
      </c>
      <c r="J3981" s="3">
        <f>Vendas[[#This Row],[Valor da Venda]]-(_xlfn.XLOOKUP(Vendas[[#This Row],[ID Item Vendido]],Agregado[ID],Agregado[Custo])*Vendas[[#This Row],[Qnt Vendida]])</f>
        <v>150</v>
      </c>
      <c r="K3981" s="70">
        <f>Vendas[[#This Row],[Lucro da Venda]]/Vendas[[#This Row],[Valor da Venda]]</f>
        <v>0.18072289156626506</v>
      </c>
      <c r="L3981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3981"/>
    </row>
    <row r="3982" spans="1:13" x14ac:dyDescent="0.3">
      <c r="A3982" s="7">
        <v>400250</v>
      </c>
      <c r="B3982" t="str">
        <f>_xlfn.XLOOKUP(Vendas[[#This Row],[ID Vendedor]],Vendedores[ID],Vendedores[Nome])</f>
        <v>Larissa</v>
      </c>
      <c r="C3982" s="7" t="str">
        <f>_xlfn.XLOOKUP(Vendas[[#This Row],[ID Vendedor]],Vendedores[ID],Vendedores[Setor])</f>
        <v>AB</v>
      </c>
      <c r="D3982" s="7" t="s">
        <v>12</v>
      </c>
      <c r="E3982" t="str">
        <f>_xlfn.XLOOKUP(Vendas[[#This Row],[ID Item Vendido]],Agregado[ID],Agregado[Produto])</f>
        <v>Grânulo de plástico reciclado refinado</v>
      </c>
      <c r="F3982" s="39">
        <v>45583</v>
      </c>
      <c r="G3982" s="7">
        <v>82</v>
      </c>
      <c r="H3982" s="3">
        <f>_xlfn.XLOOKUP(Vendas[[#This Row],[ID Item Vendido]],Agregado[ID],Agregado[Revenda])</f>
        <v>4.7</v>
      </c>
      <c r="I3982" s="3">
        <f>Vendas[[#This Row],[Valor Unitário]]*Vendas[[#This Row],[Qnt Vendida]]</f>
        <v>385.40000000000003</v>
      </c>
      <c r="J3982" s="3">
        <f>Vendas[[#This Row],[Valor da Venda]]-(_xlfn.XLOOKUP(Vendas[[#This Row],[ID Item Vendido]],Agregado[ID],Agregado[Custo])*Vendas[[#This Row],[Qnt Vendida]])</f>
        <v>98.400000000000034</v>
      </c>
      <c r="K3982" s="70">
        <f>Vendas[[#This Row],[Lucro da Venda]]/Vendas[[#This Row],[Valor da Venda]]</f>
        <v>0.2553191489361703</v>
      </c>
      <c r="L3982" s="3">
        <f>_xlfn.IFS(Vendas[[#This Row],[Margem de Lucro (%)]]&lt;15%,Vendas[[#This Row],[Valor da Venda]]*3%,Vendas[[#This Row],[Margem de Lucro (%)]]&lt;=20%,Vendas[[#This Row],[Valor da Venda]]*4.5%,TRUE,Vendas[[#This Row],[Valor da Venda]]*6%)</f>
        <v>23.124000000000002</v>
      </c>
      <c r="M3982"/>
    </row>
    <row r="3983" spans="1:13" x14ac:dyDescent="0.3">
      <c r="A3983" s="7">
        <v>400246</v>
      </c>
      <c r="B3983" t="str">
        <f>_xlfn.XLOOKUP(Vendas[[#This Row],[ID Vendedor]],Vendedores[ID],Vendedores[Nome])</f>
        <v>Juliana</v>
      </c>
      <c r="C3983" s="7" t="str">
        <f>_xlfn.XLOOKUP(Vendas[[#This Row],[ID Vendedor]],Vendedores[ID],Vendedores[Setor])</f>
        <v>AHD</v>
      </c>
      <c r="D3983" s="7" t="s">
        <v>30</v>
      </c>
      <c r="E3983" t="str">
        <f>_xlfn.XLOOKUP(Vendas[[#This Row],[ID Item Vendido]],Agregado[ID],Agregado[Produto])</f>
        <v>Estrutura metálica soldada</v>
      </c>
      <c r="F3983" s="39">
        <v>45584</v>
      </c>
      <c r="G3983" s="7">
        <v>5</v>
      </c>
      <c r="H3983" s="3">
        <f>_xlfn.XLOOKUP(Vendas[[#This Row],[ID Item Vendido]],Agregado[ID],Agregado[Revenda])</f>
        <v>400</v>
      </c>
      <c r="I3983" s="3">
        <f>Vendas[[#This Row],[Valor Unitário]]*Vendas[[#This Row],[Qnt Vendida]]</f>
        <v>2000</v>
      </c>
      <c r="J3983" s="3">
        <f>Vendas[[#This Row],[Valor da Venda]]-(_xlfn.XLOOKUP(Vendas[[#This Row],[ID Item Vendido]],Agregado[ID],Agregado[Custo])*Vendas[[#This Row],[Qnt Vendida]])</f>
        <v>400</v>
      </c>
      <c r="K3983" s="70">
        <f>Vendas[[#This Row],[Lucro da Venda]]/Vendas[[#This Row],[Valor da Venda]]</f>
        <v>0.2</v>
      </c>
      <c r="L3983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3983"/>
    </row>
    <row r="3984" spans="1:13" x14ac:dyDescent="0.3">
      <c r="A3984" s="7">
        <v>400252</v>
      </c>
      <c r="B3984" t="str">
        <f>_xlfn.XLOOKUP(Vendas[[#This Row],[ID Vendedor]],Vendedores[ID],Vendedores[Nome])</f>
        <v>Renata</v>
      </c>
      <c r="C3984" s="7" t="str">
        <f>_xlfn.XLOOKUP(Vendas[[#This Row],[ID Vendedor]],Vendedores[ID],Vendedores[Setor])</f>
        <v>AB</v>
      </c>
      <c r="D3984" s="7" t="s">
        <v>36</v>
      </c>
      <c r="E3984" t="str">
        <f>_xlfn.XLOOKUP(Vendas[[#This Row],[ID Item Vendido]],Agregado[ID],Agregado[Produto])</f>
        <v>Borracha vulcanizada em manta</v>
      </c>
      <c r="F3984" s="39">
        <v>45585</v>
      </c>
      <c r="G3984" s="7">
        <v>16</v>
      </c>
      <c r="H3984" s="3">
        <f>_xlfn.XLOOKUP(Vendas[[#This Row],[ID Item Vendido]],Agregado[ID],Agregado[Revenda])</f>
        <v>7.8</v>
      </c>
      <c r="I3984" s="3">
        <f>Vendas[[#This Row],[Valor Unitário]]*Vendas[[#This Row],[Qnt Vendida]]</f>
        <v>124.8</v>
      </c>
      <c r="J3984" s="3">
        <f>Vendas[[#This Row],[Valor da Venda]]-(_xlfn.XLOOKUP(Vendas[[#This Row],[ID Item Vendido]],Agregado[ID],Agregado[Custo])*Vendas[[#This Row],[Qnt Vendida]])</f>
        <v>28.799999999999997</v>
      </c>
      <c r="K3984" s="70">
        <f>Vendas[[#This Row],[Lucro da Venda]]/Vendas[[#This Row],[Valor da Venda]]</f>
        <v>0.23076923076923075</v>
      </c>
      <c r="L3984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3984"/>
    </row>
    <row r="3985" spans="1:13" x14ac:dyDescent="0.3">
      <c r="A3985" s="7">
        <v>400243</v>
      </c>
      <c r="B3985" t="str">
        <f>_xlfn.XLOOKUP(Vendas[[#This Row],[ID Vendedor]],Vendedores[ID],Vendedores[Nome])</f>
        <v>Marcelo</v>
      </c>
      <c r="C3985" s="7" t="str">
        <f>_xlfn.XLOOKUP(Vendas[[#This Row],[ID Vendedor]],Vendedores[ID],Vendedores[Setor])</f>
        <v>FM</v>
      </c>
      <c r="D3985" s="7" t="s">
        <v>20</v>
      </c>
      <c r="E3985" t="str">
        <f>_xlfn.XLOOKUP(Vendas[[#This Row],[ID Item Vendido]],Agregado[ID],Agregado[Produto])</f>
        <v>Barra de aço simples</v>
      </c>
      <c r="F3985" s="39">
        <v>45586</v>
      </c>
      <c r="G3985" s="7">
        <v>107</v>
      </c>
      <c r="H3985" s="3">
        <f>_xlfn.XLOOKUP(Vendas[[#This Row],[ID Item Vendido]],Agregado[ID],Agregado[Revenda])</f>
        <v>4.8</v>
      </c>
      <c r="I3985" s="3">
        <f>Vendas[[#This Row],[Valor Unitário]]*Vendas[[#This Row],[Qnt Vendida]]</f>
        <v>513.6</v>
      </c>
      <c r="J3985" s="3">
        <f>Vendas[[#This Row],[Valor da Venda]]-(_xlfn.XLOOKUP(Vendas[[#This Row],[ID Item Vendido]],Agregado[ID],Agregado[Custo])*Vendas[[#This Row],[Qnt Vendida]])</f>
        <v>64.199999999999989</v>
      </c>
      <c r="K3985" s="70">
        <f>Vendas[[#This Row],[Lucro da Venda]]/Vendas[[#This Row],[Valor da Venda]]</f>
        <v>0.12499999999999997</v>
      </c>
      <c r="L3985" s="3">
        <f>_xlfn.IFS(Vendas[[#This Row],[Margem de Lucro (%)]]&lt;15%,Vendas[[#This Row],[Valor da Venda]]*3%,Vendas[[#This Row],[Margem de Lucro (%)]]&lt;=20%,Vendas[[#This Row],[Valor da Venda]]*4.5%,TRUE,Vendas[[#This Row],[Valor da Venda]]*6%)</f>
        <v>15.407999999999999</v>
      </c>
      <c r="M3985"/>
    </row>
    <row r="3986" spans="1:13" x14ac:dyDescent="0.3">
      <c r="A3986" s="7">
        <v>400252</v>
      </c>
      <c r="B3986" t="str">
        <f>_xlfn.XLOOKUP(Vendas[[#This Row],[ID Vendedor]],Vendedores[ID],Vendedores[Nome])</f>
        <v>Renata</v>
      </c>
      <c r="C3986" s="7" t="str">
        <f>_xlfn.XLOOKUP(Vendas[[#This Row],[ID Vendedor]],Vendedores[ID],Vendedores[Setor])</f>
        <v>AB</v>
      </c>
      <c r="D3986" s="7" t="s">
        <v>12</v>
      </c>
      <c r="E3986" t="str">
        <f>_xlfn.XLOOKUP(Vendas[[#This Row],[ID Item Vendido]],Agregado[ID],Agregado[Produto])</f>
        <v>Grânulo de plástico reciclado refinado</v>
      </c>
      <c r="F3986" s="39">
        <v>45586</v>
      </c>
      <c r="G3986" s="7">
        <v>38</v>
      </c>
      <c r="H3986" s="3">
        <f>_xlfn.XLOOKUP(Vendas[[#This Row],[ID Item Vendido]],Agregado[ID],Agregado[Revenda])</f>
        <v>4.7</v>
      </c>
      <c r="I3986" s="3">
        <f>Vendas[[#This Row],[Valor Unitário]]*Vendas[[#This Row],[Qnt Vendida]]</f>
        <v>178.6</v>
      </c>
      <c r="J3986" s="3">
        <f>Vendas[[#This Row],[Valor da Venda]]-(_xlfn.XLOOKUP(Vendas[[#This Row],[ID Item Vendido]],Agregado[ID],Agregado[Custo])*Vendas[[#This Row],[Qnt Vendida]])</f>
        <v>45.599999999999994</v>
      </c>
      <c r="K3986" s="70">
        <f>Vendas[[#This Row],[Lucro da Venda]]/Vendas[[#This Row],[Valor da Venda]]</f>
        <v>0.25531914893617019</v>
      </c>
      <c r="L3986" s="3">
        <f>_xlfn.IFS(Vendas[[#This Row],[Margem de Lucro (%)]]&lt;15%,Vendas[[#This Row],[Valor da Venda]]*3%,Vendas[[#This Row],[Margem de Lucro (%)]]&lt;=20%,Vendas[[#This Row],[Valor da Venda]]*4.5%,TRUE,Vendas[[#This Row],[Valor da Venda]]*6%)</f>
        <v>10.715999999999999</v>
      </c>
      <c r="M3986"/>
    </row>
    <row r="3987" spans="1:13" x14ac:dyDescent="0.3">
      <c r="A3987" s="7">
        <v>400244</v>
      </c>
      <c r="B3987" t="str">
        <f>_xlfn.XLOOKUP(Vendas[[#This Row],[ID Vendedor]],Vendedores[ID],Vendedores[Nome])</f>
        <v>Camila</v>
      </c>
      <c r="C3987" s="7" t="str">
        <f>_xlfn.XLOOKUP(Vendas[[#This Row],[ID Vendedor]],Vendedores[ID],Vendedores[Setor])</f>
        <v>AHD</v>
      </c>
      <c r="D3987" s="7" t="s">
        <v>30</v>
      </c>
      <c r="E3987" t="str">
        <f>_xlfn.XLOOKUP(Vendas[[#This Row],[ID Item Vendido]],Agregado[ID],Agregado[Produto])</f>
        <v>Estrutura metálica soldada</v>
      </c>
      <c r="F3987" s="39">
        <v>45587</v>
      </c>
      <c r="G3987" s="7">
        <v>4</v>
      </c>
      <c r="H3987" s="3">
        <f>_xlfn.XLOOKUP(Vendas[[#This Row],[ID Item Vendido]],Agregado[ID],Agregado[Revenda])</f>
        <v>400</v>
      </c>
      <c r="I3987" s="3">
        <f>Vendas[[#This Row],[Valor Unitário]]*Vendas[[#This Row],[Qnt Vendida]]</f>
        <v>1600</v>
      </c>
      <c r="J3987" s="3">
        <f>Vendas[[#This Row],[Valor da Venda]]-(_xlfn.XLOOKUP(Vendas[[#This Row],[ID Item Vendido]],Agregado[ID],Agregado[Custo])*Vendas[[#This Row],[Qnt Vendida]])</f>
        <v>320</v>
      </c>
      <c r="K3987" s="70">
        <f>Vendas[[#This Row],[Lucro da Venda]]/Vendas[[#This Row],[Valor da Venda]]</f>
        <v>0.2</v>
      </c>
      <c r="L3987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3987"/>
    </row>
    <row r="3988" spans="1:13" x14ac:dyDescent="0.3">
      <c r="A3988" s="7">
        <v>400246</v>
      </c>
      <c r="B3988" t="str">
        <f>_xlfn.XLOOKUP(Vendas[[#This Row],[ID Vendedor]],Vendedores[ID],Vendedores[Nome])</f>
        <v>Juliana</v>
      </c>
      <c r="C3988" s="7" t="str">
        <f>_xlfn.XLOOKUP(Vendas[[#This Row],[ID Vendedor]],Vendedores[ID],Vendedores[Setor])</f>
        <v>AHD</v>
      </c>
      <c r="D3988" s="7" t="s">
        <v>28</v>
      </c>
      <c r="E3988" t="str">
        <f>_xlfn.XLOOKUP(Vendas[[#This Row],[ID Item Vendido]],Agregado[ID],Agregado[Produto])</f>
        <v>Peça usinada CNC</v>
      </c>
      <c r="F3988" s="39">
        <v>45587</v>
      </c>
      <c r="G3988" s="7">
        <v>6</v>
      </c>
      <c r="H3988" s="3">
        <f>_xlfn.XLOOKUP(Vendas[[#This Row],[ID Item Vendido]],Agregado[ID],Agregado[Revenda])</f>
        <v>192</v>
      </c>
      <c r="I3988" s="3">
        <f>Vendas[[#This Row],[Valor Unitário]]*Vendas[[#This Row],[Qnt Vendida]]</f>
        <v>1152</v>
      </c>
      <c r="J3988" s="3">
        <f>Vendas[[#This Row],[Valor da Venda]]-(_xlfn.XLOOKUP(Vendas[[#This Row],[ID Item Vendido]],Agregado[ID],Agregado[Custo])*Vendas[[#This Row],[Qnt Vendida]])</f>
        <v>252</v>
      </c>
      <c r="K3988" s="70">
        <f>Vendas[[#This Row],[Lucro da Venda]]/Vendas[[#This Row],[Valor da Venda]]</f>
        <v>0.21875</v>
      </c>
      <c r="L3988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3988"/>
    </row>
    <row r="3989" spans="1:13" x14ac:dyDescent="0.3">
      <c r="A3989" s="7">
        <v>400246</v>
      </c>
      <c r="B3989" t="str">
        <f>_xlfn.XLOOKUP(Vendas[[#This Row],[ID Vendedor]],Vendedores[ID],Vendedores[Nome])</f>
        <v>Juliana</v>
      </c>
      <c r="C3989" s="7" t="str">
        <f>_xlfn.XLOOKUP(Vendas[[#This Row],[ID Vendedor]],Vendedores[ID],Vendedores[Setor])</f>
        <v>AHD</v>
      </c>
      <c r="D3989" s="7" t="s">
        <v>44</v>
      </c>
      <c r="E3989" t="str">
        <f>_xlfn.XLOOKUP(Vendas[[#This Row],[ID Item Vendido]],Agregado[ID],Agregado[Produto])</f>
        <v>Liga metálica especial</v>
      </c>
      <c r="F3989" s="39">
        <v>45587</v>
      </c>
      <c r="G3989" s="7">
        <v>14</v>
      </c>
      <c r="H3989" s="3">
        <f>_xlfn.XLOOKUP(Vendas[[#This Row],[ID Item Vendido]],Agregado[ID],Agregado[Revenda])</f>
        <v>32.5</v>
      </c>
      <c r="I3989" s="3">
        <f>Vendas[[#This Row],[Valor Unitário]]*Vendas[[#This Row],[Qnt Vendida]]</f>
        <v>455</v>
      </c>
      <c r="J3989" s="3">
        <f>Vendas[[#This Row],[Valor da Venda]]-(_xlfn.XLOOKUP(Vendas[[#This Row],[ID Item Vendido]],Agregado[ID],Agregado[Custo])*Vendas[[#This Row],[Qnt Vendida]])</f>
        <v>105</v>
      </c>
      <c r="K3989" s="70">
        <f>Vendas[[#This Row],[Lucro da Venda]]/Vendas[[#This Row],[Valor da Venda]]</f>
        <v>0.23076923076923078</v>
      </c>
      <c r="L3989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3989"/>
    </row>
    <row r="3990" spans="1:13" x14ac:dyDescent="0.3">
      <c r="A3990" s="7">
        <v>400253</v>
      </c>
      <c r="B3990" t="str">
        <f>_xlfn.XLOOKUP(Vendas[[#This Row],[ID Vendedor]],Vendedores[ID],Vendedores[Nome])</f>
        <v>Gustavo</v>
      </c>
      <c r="C3990" s="7" t="str">
        <f>_xlfn.XLOOKUP(Vendas[[#This Row],[ID Vendedor]],Vendedores[ID],Vendedores[Setor])</f>
        <v>SC</v>
      </c>
      <c r="D3990" s="7" t="s">
        <v>25</v>
      </c>
      <c r="E3990" t="str">
        <f>_xlfn.XLOOKUP(Vendas[[#This Row],[ID Item Vendido]],Agregado[ID],Agregado[Produto])</f>
        <v>Palete de plástico</v>
      </c>
      <c r="F3990" s="39">
        <v>45587</v>
      </c>
      <c r="G3990" s="7">
        <v>5</v>
      </c>
      <c r="H3990" s="3">
        <f>_xlfn.XLOOKUP(Vendas[[#This Row],[ID Item Vendido]],Agregado[ID],Agregado[Revenda])</f>
        <v>70.8</v>
      </c>
      <c r="I3990" s="3">
        <f>Vendas[[#This Row],[Valor Unitário]]*Vendas[[#This Row],[Qnt Vendida]]</f>
        <v>354</v>
      </c>
      <c r="J3990" s="3">
        <f>Vendas[[#This Row],[Valor da Venda]]-(_xlfn.XLOOKUP(Vendas[[#This Row],[ID Item Vendido]],Agregado[ID],Agregado[Custo])*Vendas[[#This Row],[Qnt Vendida]])</f>
        <v>54</v>
      </c>
      <c r="K3990" s="70">
        <f>Vendas[[#This Row],[Lucro da Venda]]/Vendas[[#This Row],[Valor da Venda]]</f>
        <v>0.15254237288135594</v>
      </c>
      <c r="L3990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3990"/>
    </row>
    <row r="3991" spans="1:13" x14ac:dyDescent="0.3">
      <c r="A3991" s="7">
        <v>400254</v>
      </c>
      <c r="B3991" t="str">
        <f>_xlfn.XLOOKUP(Vendas[[#This Row],[ID Vendedor]],Vendedores[ID],Vendedores[Nome])</f>
        <v>Beatriz</v>
      </c>
      <c r="C3991" s="7" t="str">
        <f>_xlfn.XLOOKUP(Vendas[[#This Row],[ID Vendedor]],Vendedores[ID],Vendedores[Setor])</f>
        <v>SC</v>
      </c>
      <c r="D3991" s="7" t="s">
        <v>14</v>
      </c>
      <c r="E3991" t="str">
        <f>_xlfn.XLOOKUP(Vendas[[#This Row],[ID Item Vendido]],Agregado[ID],Agregado[Produto])</f>
        <v>Barril de plástico 200L</v>
      </c>
      <c r="F3991" s="39">
        <v>45588</v>
      </c>
      <c r="G3991" s="7">
        <v>25</v>
      </c>
      <c r="H3991" s="3">
        <f>_xlfn.XLOOKUP(Vendas[[#This Row],[ID Item Vendido]],Agregado[ID],Agregado[Revenda])</f>
        <v>114</v>
      </c>
      <c r="I3991" s="3">
        <f>Vendas[[#This Row],[Valor Unitário]]*Vendas[[#This Row],[Qnt Vendida]]</f>
        <v>2850</v>
      </c>
      <c r="J3991" s="3">
        <f>Vendas[[#This Row],[Valor da Venda]]-(_xlfn.XLOOKUP(Vendas[[#This Row],[ID Item Vendido]],Agregado[ID],Agregado[Custo])*Vendas[[#This Row],[Qnt Vendida]])</f>
        <v>475</v>
      </c>
      <c r="K3991" s="70">
        <f>Vendas[[#This Row],[Lucro da Venda]]/Vendas[[#This Row],[Valor da Venda]]</f>
        <v>0.16666666666666666</v>
      </c>
      <c r="L3991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3991"/>
    </row>
    <row r="3992" spans="1:13" x14ac:dyDescent="0.3">
      <c r="A3992" s="7">
        <v>400242</v>
      </c>
      <c r="B3992" t="str">
        <f>_xlfn.XLOOKUP(Vendas[[#This Row],[ID Vendedor]],Vendedores[ID],Vendedores[Nome])</f>
        <v>Fernanda</v>
      </c>
      <c r="C3992" s="7" t="str">
        <f>_xlfn.XLOOKUP(Vendas[[#This Row],[ID Vendedor]],Vendedores[ID],Vendedores[Setor])</f>
        <v>FM</v>
      </c>
      <c r="D3992" s="7" t="s">
        <v>31</v>
      </c>
      <c r="E3992" t="str">
        <f>_xlfn.XLOOKUP(Vendas[[#This Row],[ID Item Vendido]],Agregado[ID],Agregado[Produto])</f>
        <v>Tela de metal soldada rolo 2x25m</v>
      </c>
      <c r="F3992" s="39">
        <v>45588</v>
      </c>
      <c r="G3992" s="7">
        <v>3</v>
      </c>
      <c r="H3992" s="3">
        <f>_xlfn.XLOOKUP(Vendas[[#This Row],[ID Item Vendido]],Agregado[ID],Agregado[Revenda])</f>
        <v>43.7</v>
      </c>
      <c r="I3992" s="3">
        <f>Vendas[[#This Row],[Valor Unitário]]*Vendas[[#This Row],[Qnt Vendida]]</f>
        <v>131.10000000000002</v>
      </c>
      <c r="J3992" s="3">
        <f>Vendas[[#This Row],[Valor da Venda]]-(_xlfn.XLOOKUP(Vendas[[#This Row],[ID Item Vendido]],Agregado[ID],Agregado[Custo])*Vendas[[#This Row],[Qnt Vendida]])</f>
        <v>17.100000000000023</v>
      </c>
      <c r="K3992" s="70">
        <f>Vendas[[#This Row],[Lucro da Venda]]/Vendas[[#This Row],[Valor da Venda]]</f>
        <v>0.13043478260869582</v>
      </c>
      <c r="L3992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3992"/>
    </row>
    <row r="3993" spans="1:13" x14ac:dyDescent="0.3">
      <c r="A3993" s="7">
        <v>400252</v>
      </c>
      <c r="B3993" t="str">
        <f>_xlfn.XLOOKUP(Vendas[[#This Row],[ID Vendedor]],Vendedores[ID],Vendedores[Nome])</f>
        <v>Renata</v>
      </c>
      <c r="C3993" s="7" t="str">
        <f>_xlfn.XLOOKUP(Vendas[[#This Row],[ID Vendedor]],Vendedores[ID],Vendedores[Setor])</f>
        <v>AB</v>
      </c>
      <c r="D3993" s="7" t="s">
        <v>24</v>
      </c>
      <c r="E3993" t="str">
        <f>_xlfn.XLOOKUP(Vendas[[#This Row],[ID Item Vendido]],Agregado[ID],Agregado[Produto])</f>
        <v>Resina plástica PET purificada saco de 25kg</v>
      </c>
      <c r="F3993" s="39">
        <v>45589</v>
      </c>
      <c r="G3993" s="7">
        <v>23</v>
      </c>
      <c r="H3993" s="3">
        <f>_xlfn.XLOOKUP(Vendas[[#This Row],[ID Item Vendido]],Agregado[ID],Agregado[Revenda])</f>
        <v>119</v>
      </c>
      <c r="I3993" s="3">
        <f>Vendas[[#This Row],[Valor Unitário]]*Vendas[[#This Row],[Qnt Vendida]]</f>
        <v>2737</v>
      </c>
      <c r="J3993" s="3">
        <f>Vendas[[#This Row],[Valor da Venda]]-(_xlfn.XLOOKUP(Vendas[[#This Row],[ID Item Vendido]],Agregado[ID],Agregado[Custo])*Vendas[[#This Row],[Qnt Vendida]])</f>
        <v>782</v>
      </c>
      <c r="K3993" s="70">
        <f>Vendas[[#This Row],[Lucro da Venda]]/Vendas[[#This Row],[Valor da Venda]]</f>
        <v>0.2857142857142857</v>
      </c>
      <c r="L3993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3993"/>
    </row>
    <row r="3994" spans="1:13" x14ac:dyDescent="0.3">
      <c r="A3994" s="7">
        <v>400244</v>
      </c>
      <c r="B3994" t="str">
        <f>_xlfn.XLOOKUP(Vendas[[#This Row],[ID Vendedor]],Vendedores[ID],Vendedores[Nome])</f>
        <v>Camila</v>
      </c>
      <c r="C3994" s="7" t="str">
        <f>_xlfn.XLOOKUP(Vendas[[#This Row],[ID Vendedor]],Vendedores[ID],Vendedores[Setor])</f>
        <v>AHD</v>
      </c>
      <c r="D3994" s="7" t="s">
        <v>30</v>
      </c>
      <c r="E3994" t="str">
        <f>_xlfn.XLOOKUP(Vendas[[#This Row],[ID Item Vendido]],Agregado[ID],Agregado[Produto])</f>
        <v>Estrutura metálica soldada</v>
      </c>
      <c r="F3994" s="39">
        <v>45589</v>
      </c>
      <c r="G3994" s="7">
        <v>6</v>
      </c>
      <c r="H3994" s="3">
        <f>_xlfn.XLOOKUP(Vendas[[#This Row],[ID Item Vendido]],Agregado[ID],Agregado[Revenda])</f>
        <v>400</v>
      </c>
      <c r="I3994" s="3">
        <f>Vendas[[#This Row],[Valor Unitário]]*Vendas[[#This Row],[Qnt Vendida]]</f>
        <v>2400</v>
      </c>
      <c r="J3994" s="3">
        <f>Vendas[[#This Row],[Valor da Venda]]-(_xlfn.XLOOKUP(Vendas[[#This Row],[ID Item Vendido]],Agregado[ID],Agregado[Custo])*Vendas[[#This Row],[Qnt Vendida]])</f>
        <v>480</v>
      </c>
      <c r="K3994" s="70">
        <f>Vendas[[#This Row],[Lucro da Venda]]/Vendas[[#This Row],[Valor da Venda]]</f>
        <v>0.2</v>
      </c>
      <c r="L3994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3994"/>
    </row>
    <row r="3995" spans="1:13" x14ac:dyDescent="0.3">
      <c r="A3995" s="7">
        <v>400246</v>
      </c>
      <c r="B3995" t="str">
        <f>_xlfn.XLOOKUP(Vendas[[#This Row],[ID Vendedor]],Vendedores[ID],Vendedores[Nome])</f>
        <v>Juliana</v>
      </c>
      <c r="C3995" s="7" t="str">
        <f>_xlfn.XLOOKUP(Vendas[[#This Row],[ID Vendedor]],Vendedores[ID],Vendedores[Setor])</f>
        <v>AHD</v>
      </c>
      <c r="D3995" s="7" t="s">
        <v>18</v>
      </c>
      <c r="E3995" t="str">
        <f>_xlfn.XLOOKUP(Vendas[[#This Row],[ID Item Vendido]],Agregado[ID],Agregado[Produto])</f>
        <v>Peça forjada sob encomenda</v>
      </c>
      <c r="F3995" s="39">
        <v>45589</v>
      </c>
      <c r="G3995" s="7">
        <v>6</v>
      </c>
      <c r="H3995" s="3">
        <f>_xlfn.XLOOKUP(Vendas[[#This Row],[ID Item Vendido]],Agregado[ID],Agregado[Revenda])</f>
        <v>264.60000000000002</v>
      </c>
      <c r="I3995" s="3">
        <f>Vendas[[#This Row],[Valor Unitário]]*Vendas[[#This Row],[Qnt Vendida]]</f>
        <v>1587.6000000000001</v>
      </c>
      <c r="J3995" s="3">
        <f>Vendas[[#This Row],[Valor da Venda]]-(_xlfn.XLOOKUP(Vendas[[#This Row],[ID Item Vendido]],Agregado[ID],Agregado[Custo])*Vendas[[#This Row],[Qnt Vendida]])</f>
        <v>87.600000000000136</v>
      </c>
      <c r="K3995" s="70">
        <f>Vendas[[#This Row],[Lucro da Venda]]/Vendas[[#This Row],[Valor da Venda]]</f>
        <v>5.5177626606198113E-2</v>
      </c>
      <c r="L399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3995"/>
    </row>
    <row r="3996" spans="1:13" x14ac:dyDescent="0.3">
      <c r="A3996" s="7">
        <v>400253</v>
      </c>
      <c r="B3996" t="str">
        <f>_xlfn.XLOOKUP(Vendas[[#This Row],[ID Vendedor]],Vendedores[ID],Vendedores[Nome])</f>
        <v>Gustavo</v>
      </c>
      <c r="C3996" s="7" t="str">
        <f>_xlfn.XLOOKUP(Vendas[[#This Row],[ID Vendedor]],Vendedores[ID],Vendedores[Setor])</f>
        <v>SC</v>
      </c>
      <c r="D3996" s="7" t="s">
        <v>41</v>
      </c>
      <c r="E3996" t="str">
        <f>_xlfn.XLOOKUP(Vendas[[#This Row],[ID Item Vendido]],Agregado[ID],Agregado[Produto])</f>
        <v>Palete de madeira reforçado</v>
      </c>
      <c r="F3996" s="39">
        <v>45589</v>
      </c>
      <c r="G3996" s="7">
        <v>8</v>
      </c>
      <c r="H3996" s="3">
        <f>_xlfn.XLOOKUP(Vendas[[#This Row],[ID Item Vendido]],Agregado[ID],Agregado[Revenda])</f>
        <v>131</v>
      </c>
      <c r="I3996" s="3">
        <f>Vendas[[#This Row],[Valor Unitário]]*Vendas[[#This Row],[Qnt Vendida]]</f>
        <v>1048</v>
      </c>
      <c r="J3996" s="3">
        <f>Vendas[[#This Row],[Valor da Venda]]-(_xlfn.XLOOKUP(Vendas[[#This Row],[ID Item Vendido]],Agregado[ID],Agregado[Custo])*Vendas[[#This Row],[Qnt Vendida]])</f>
        <v>168</v>
      </c>
      <c r="K3996" s="70">
        <f>Vendas[[#This Row],[Lucro da Venda]]/Vendas[[#This Row],[Valor da Venda]]</f>
        <v>0.16030534351145037</v>
      </c>
      <c r="L3996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3996"/>
    </row>
    <row r="3997" spans="1:13" x14ac:dyDescent="0.3">
      <c r="A3997" s="7">
        <v>400254</v>
      </c>
      <c r="B3997" t="str">
        <f>_xlfn.XLOOKUP(Vendas[[#This Row],[ID Vendedor]],Vendedores[ID],Vendedores[Nome])</f>
        <v>Beatriz</v>
      </c>
      <c r="C3997" s="7" t="str">
        <f>_xlfn.XLOOKUP(Vendas[[#This Row],[ID Vendedor]],Vendedores[ID],Vendedores[Setor])</f>
        <v>SC</v>
      </c>
      <c r="D3997" s="7" t="s">
        <v>25</v>
      </c>
      <c r="E3997" t="str">
        <f>_xlfn.XLOOKUP(Vendas[[#This Row],[ID Item Vendido]],Agregado[ID],Agregado[Produto])</f>
        <v>Palete de plástico</v>
      </c>
      <c r="F3997" s="39">
        <v>45589</v>
      </c>
      <c r="G3997" s="7">
        <v>7</v>
      </c>
      <c r="H3997" s="3">
        <f>_xlfn.XLOOKUP(Vendas[[#This Row],[ID Item Vendido]],Agregado[ID],Agregado[Revenda])</f>
        <v>70.8</v>
      </c>
      <c r="I3997" s="3">
        <f>Vendas[[#This Row],[Valor Unitário]]*Vendas[[#This Row],[Qnt Vendida]]</f>
        <v>495.59999999999997</v>
      </c>
      <c r="J3997" s="3">
        <f>Vendas[[#This Row],[Valor da Venda]]-(_xlfn.XLOOKUP(Vendas[[#This Row],[ID Item Vendido]],Agregado[ID],Agregado[Custo])*Vendas[[#This Row],[Qnt Vendida]])</f>
        <v>75.599999999999966</v>
      </c>
      <c r="K3997" s="70">
        <f>Vendas[[#This Row],[Lucro da Venda]]/Vendas[[#This Row],[Valor da Venda]]</f>
        <v>0.15254237288135589</v>
      </c>
      <c r="L3997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3997"/>
    </row>
    <row r="3998" spans="1:13" x14ac:dyDescent="0.3">
      <c r="A3998" s="7">
        <v>400248</v>
      </c>
      <c r="B3998" t="str">
        <f>_xlfn.XLOOKUP(Vendas[[#This Row],[ID Vendedor]],Vendedores[ID],Vendedores[Nome])</f>
        <v>Patrícia</v>
      </c>
      <c r="C3998" s="7" t="str">
        <f>_xlfn.XLOOKUP(Vendas[[#This Row],[ID Vendedor]],Vendedores[ID],Vendedores[Setor])</f>
        <v>CM</v>
      </c>
      <c r="D3998" s="7" t="s">
        <v>34</v>
      </c>
      <c r="E3998" t="str">
        <f>_xlfn.XLOOKUP(Vendas[[#This Row],[ID Item Vendido]],Agregado[ID],Agregado[Produto])</f>
        <v>Restos de madeira p/ MDP/OSB saco de 20kg</v>
      </c>
      <c r="F3998" s="39">
        <v>45589</v>
      </c>
      <c r="G3998" s="7">
        <v>28</v>
      </c>
      <c r="H3998" s="3">
        <f>_xlfn.XLOOKUP(Vendas[[#This Row],[ID Item Vendido]],Agregado[ID],Agregado[Revenda])</f>
        <v>13.8</v>
      </c>
      <c r="I3998" s="3">
        <f>Vendas[[#This Row],[Valor Unitário]]*Vendas[[#This Row],[Qnt Vendida]]</f>
        <v>386.40000000000003</v>
      </c>
      <c r="J3998" s="3">
        <f>Vendas[[#This Row],[Valor da Venda]]-(_xlfn.XLOOKUP(Vendas[[#This Row],[ID Item Vendido]],Agregado[ID],Agregado[Custo])*Vendas[[#This Row],[Qnt Vendida]])</f>
        <v>50.400000000000034</v>
      </c>
      <c r="K3998" s="70">
        <f>Vendas[[#This Row],[Lucro da Venda]]/Vendas[[#This Row],[Valor da Venda]]</f>
        <v>0.13043478260869573</v>
      </c>
      <c r="L3998" s="3">
        <f>_xlfn.IFS(Vendas[[#This Row],[Margem de Lucro (%)]]&lt;15%,Vendas[[#This Row],[Valor da Venda]]*3%,Vendas[[#This Row],[Margem de Lucro (%)]]&lt;=20%,Vendas[[#This Row],[Valor da Venda]]*4.5%,TRUE,Vendas[[#This Row],[Valor da Venda]]*6%)</f>
        <v>11.592000000000001</v>
      </c>
      <c r="M3998"/>
    </row>
    <row r="3999" spans="1:13" x14ac:dyDescent="0.3">
      <c r="A3999" s="7">
        <v>400245</v>
      </c>
      <c r="B3999" t="str">
        <f>_xlfn.XLOOKUP(Vendas[[#This Row],[ID Vendedor]],Vendedores[ID],Vendedores[Nome])</f>
        <v>Thiago</v>
      </c>
      <c r="C3999" s="7" t="str">
        <f>_xlfn.XLOOKUP(Vendas[[#This Row],[ID Vendedor]],Vendedores[ID],Vendedores[Setor])</f>
        <v>AHD</v>
      </c>
      <c r="D3999" s="7" t="s">
        <v>18</v>
      </c>
      <c r="E3999" t="str">
        <f>_xlfn.XLOOKUP(Vendas[[#This Row],[ID Item Vendido]],Agregado[ID],Agregado[Produto])</f>
        <v>Peça forjada sob encomenda</v>
      </c>
      <c r="F3999" s="39">
        <v>45590</v>
      </c>
      <c r="G3999" s="7">
        <v>2</v>
      </c>
      <c r="H3999" s="3">
        <f>_xlfn.XLOOKUP(Vendas[[#This Row],[ID Item Vendido]],Agregado[ID],Agregado[Revenda])</f>
        <v>264.60000000000002</v>
      </c>
      <c r="I3999" s="3">
        <f>Vendas[[#This Row],[Valor Unitário]]*Vendas[[#This Row],[Qnt Vendida]]</f>
        <v>529.20000000000005</v>
      </c>
      <c r="J3999" s="3">
        <f>Vendas[[#This Row],[Valor da Venda]]-(_xlfn.XLOOKUP(Vendas[[#This Row],[ID Item Vendido]],Agregado[ID],Agregado[Custo])*Vendas[[#This Row],[Qnt Vendida]])</f>
        <v>29.200000000000045</v>
      </c>
      <c r="K3999" s="70">
        <f>Vendas[[#This Row],[Lucro da Venda]]/Vendas[[#This Row],[Valor da Venda]]</f>
        <v>5.5177626606198113E-2</v>
      </c>
      <c r="L3999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3999"/>
    </row>
    <row r="4000" spans="1:13" x14ac:dyDescent="0.3">
      <c r="A4000" s="7">
        <v>400252</v>
      </c>
      <c r="B4000" t="str">
        <f>_xlfn.XLOOKUP(Vendas[[#This Row],[ID Vendedor]],Vendedores[ID],Vendedores[Nome])</f>
        <v>Renata</v>
      </c>
      <c r="C4000" s="7" t="str">
        <f>_xlfn.XLOOKUP(Vendas[[#This Row],[ID Vendedor]],Vendedores[ID],Vendedores[Setor])</f>
        <v>AB</v>
      </c>
      <c r="D4000" s="7" t="s">
        <v>36</v>
      </c>
      <c r="E4000" t="str">
        <f>_xlfn.XLOOKUP(Vendas[[#This Row],[ID Item Vendido]],Agregado[ID],Agregado[Produto])</f>
        <v>Borracha vulcanizada em manta</v>
      </c>
      <c r="F4000" s="39">
        <v>45590</v>
      </c>
      <c r="G4000" s="7">
        <v>98</v>
      </c>
      <c r="H4000" s="3">
        <f>_xlfn.XLOOKUP(Vendas[[#This Row],[ID Item Vendido]],Agregado[ID],Agregado[Revenda])</f>
        <v>7.8</v>
      </c>
      <c r="I4000" s="3">
        <f>Vendas[[#This Row],[Valor Unitário]]*Vendas[[#This Row],[Qnt Vendida]]</f>
        <v>764.4</v>
      </c>
      <c r="J4000" s="3">
        <f>Vendas[[#This Row],[Valor da Venda]]-(_xlfn.XLOOKUP(Vendas[[#This Row],[ID Item Vendido]],Agregado[ID],Agregado[Custo])*Vendas[[#This Row],[Qnt Vendida]])</f>
        <v>176.39999999999998</v>
      </c>
      <c r="K4000" s="70">
        <f>Vendas[[#This Row],[Lucro da Venda]]/Vendas[[#This Row],[Valor da Venda]]</f>
        <v>0.23076923076923075</v>
      </c>
      <c r="L4000" s="3">
        <f>_xlfn.IFS(Vendas[[#This Row],[Margem de Lucro (%)]]&lt;15%,Vendas[[#This Row],[Valor da Venda]]*3%,Vendas[[#This Row],[Margem de Lucro (%)]]&lt;=20%,Vendas[[#This Row],[Valor da Venda]]*4.5%,TRUE,Vendas[[#This Row],[Valor da Venda]]*6%)</f>
        <v>45.863999999999997</v>
      </c>
      <c r="M4000"/>
    </row>
    <row r="4001" spans="1:13" x14ac:dyDescent="0.3">
      <c r="A4001" s="7">
        <v>400243</v>
      </c>
      <c r="B4001" t="str">
        <f>_xlfn.XLOOKUP(Vendas[[#This Row],[ID Vendedor]],Vendedores[ID],Vendedores[Nome])</f>
        <v>Marcelo</v>
      </c>
      <c r="C4001" s="7" t="str">
        <f>_xlfn.XLOOKUP(Vendas[[#This Row],[ID Vendedor]],Vendedores[ID],Vendedores[Setor])</f>
        <v>FM</v>
      </c>
      <c r="D4001" s="7" t="s">
        <v>20</v>
      </c>
      <c r="E4001" t="str">
        <f>_xlfn.XLOOKUP(Vendas[[#This Row],[ID Item Vendido]],Agregado[ID],Agregado[Produto])</f>
        <v>Barra de aço simples</v>
      </c>
      <c r="F4001" s="39">
        <v>45591</v>
      </c>
      <c r="G4001" s="7">
        <v>189</v>
      </c>
      <c r="H4001" s="3">
        <f>_xlfn.XLOOKUP(Vendas[[#This Row],[ID Item Vendido]],Agregado[ID],Agregado[Revenda])</f>
        <v>4.8</v>
      </c>
      <c r="I4001" s="3">
        <f>Vendas[[#This Row],[Valor Unitário]]*Vendas[[#This Row],[Qnt Vendida]]</f>
        <v>907.19999999999993</v>
      </c>
      <c r="J4001" s="3">
        <f>Vendas[[#This Row],[Valor da Venda]]-(_xlfn.XLOOKUP(Vendas[[#This Row],[ID Item Vendido]],Agregado[ID],Agregado[Custo])*Vendas[[#This Row],[Qnt Vendida]])</f>
        <v>113.39999999999986</v>
      </c>
      <c r="K4001" s="70">
        <f>Vendas[[#This Row],[Lucro da Venda]]/Vendas[[#This Row],[Valor da Venda]]</f>
        <v>0.12499999999999986</v>
      </c>
      <c r="L4001" s="3">
        <f>_xlfn.IFS(Vendas[[#This Row],[Margem de Lucro (%)]]&lt;15%,Vendas[[#This Row],[Valor da Venda]]*3%,Vendas[[#This Row],[Margem de Lucro (%)]]&lt;=20%,Vendas[[#This Row],[Valor da Venda]]*4.5%,TRUE,Vendas[[#This Row],[Valor da Venda]]*6%)</f>
        <v>27.215999999999998</v>
      </c>
      <c r="M4001"/>
    </row>
    <row r="4002" spans="1:13" x14ac:dyDescent="0.3">
      <c r="A4002" s="7">
        <v>400253</v>
      </c>
      <c r="B4002" t="str">
        <f>_xlfn.XLOOKUP(Vendas[[#This Row],[ID Vendedor]],Vendedores[ID],Vendedores[Nome])</f>
        <v>Gustavo</v>
      </c>
      <c r="C4002" s="7" t="str">
        <f>_xlfn.XLOOKUP(Vendas[[#This Row],[ID Vendedor]],Vendedores[ID],Vendedores[Setor])</f>
        <v>SC</v>
      </c>
      <c r="D4002" s="7" t="s">
        <v>48</v>
      </c>
      <c r="E4002" t="str">
        <f>_xlfn.XLOOKUP(Vendas[[#This Row],[ID Item Vendido]],Agregado[ID],Agregado[Produto])</f>
        <v>Tambor metálico 200L</v>
      </c>
      <c r="F4002" s="39">
        <v>45591</v>
      </c>
      <c r="G4002" s="7">
        <v>5</v>
      </c>
      <c r="H4002" s="3">
        <f>_xlfn.XLOOKUP(Vendas[[#This Row],[ID Item Vendido]],Agregado[ID],Agregado[Revenda])</f>
        <v>144</v>
      </c>
      <c r="I4002" s="3">
        <f>Vendas[[#This Row],[Valor Unitário]]*Vendas[[#This Row],[Qnt Vendida]]</f>
        <v>720</v>
      </c>
      <c r="J4002" s="3">
        <f>Vendas[[#This Row],[Valor da Venda]]-(_xlfn.XLOOKUP(Vendas[[#This Row],[ID Item Vendido]],Agregado[ID],Agregado[Custo])*Vendas[[#This Row],[Qnt Vendida]])</f>
        <v>120</v>
      </c>
      <c r="K4002" s="70">
        <f>Vendas[[#This Row],[Lucro da Venda]]/Vendas[[#This Row],[Valor da Venda]]</f>
        <v>0.16666666666666666</v>
      </c>
      <c r="L4002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4002"/>
    </row>
    <row r="4003" spans="1:13" x14ac:dyDescent="0.3">
      <c r="A4003" s="7">
        <v>400242</v>
      </c>
      <c r="B4003" t="str">
        <f>_xlfn.XLOOKUP(Vendas[[#This Row],[ID Vendedor]],Vendedores[ID],Vendedores[Nome])</f>
        <v>Fernanda</v>
      </c>
      <c r="C4003" s="7" t="str">
        <f>_xlfn.XLOOKUP(Vendas[[#This Row],[ID Vendedor]],Vendedores[ID],Vendedores[Setor])</f>
        <v>FM</v>
      </c>
      <c r="D4003" s="7" t="s">
        <v>20</v>
      </c>
      <c r="E4003" t="str">
        <f>_xlfn.XLOOKUP(Vendas[[#This Row],[ID Item Vendido]],Agregado[ID],Agregado[Produto])</f>
        <v>Barra de aço simples</v>
      </c>
      <c r="F4003" s="39">
        <v>45592</v>
      </c>
      <c r="G4003" s="7">
        <v>148</v>
      </c>
      <c r="H4003" s="3">
        <f>_xlfn.XLOOKUP(Vendas[[#This Row],[ID Item Vendido]],Agregado[ID],Agregado[Revenda])</f>
        <v>4.8</v>
      </c>
      <c r="I4003" s="3">
        <f>Vendas[[#This Row],[Valor Unitário]]*Vendas[[#This Row],[Qnt Vendida]]</f>
        <v>710.4</v>
      </c>
      <c r="J4003" s="3">
        <f>Vendas[[#This Row],[Valor da Venda]]-(_xlfn.XLOOKUP(Vendas[[#This Row],[ID Item Vendido]],Agregado[ID],Agregado[Custo])*Vendas[[#This Row],[Qnt Vendida]])</f>
        <v>88.799999999999955</v>
      </c>
      <c r="K4003" s="70">
        <f>Vendas[[#This Row],[Lucro da Venda]]/Vendas[[#This Row],[Valor da Venda]]</f>
        <v>0.12499999999999994</v>
      </c>
      <c r="L4003" s="3">
        <f>_xlfn.IFS(Vendas[[#This Row],[Margem de Lucro (%)]]&lt;15%,Vendas[[#This Row],[Valor da Venda]]*3%,Vendas[[#This Row],[Margem de Lucro (%)]]&lt;=20%,Vendas[[#This Row],[Valor da Venda]]*4.5%,TRUE,Vendas[[#This Row],[Valor da Venda]]*6%)</f>
        <v>21.311999999999998</v>
      </c>
      <c r="M4003"/>
    </row>
    <row r="4004" spans="1:13" x14ac:dyDescent="0.3">
      <c r="A4004" s="7">
        <v>400241</v>
      </c>
      <c r="B4004" t="str">
        <f>_xlfn.XLOOKUP(Vendas[[#This Row],[ID Vendedor]],Vendedores[ID],Vendedores[Nome])</f>
        <v>Rodrigo</v>
      </c>
      <c r="C4004" s="7" t="str">
        <f>_xlfn.XLOOKUP(Vendas[[#This Row],[ID Vendedor]],Vendedores[ID],Vendedores[Setor])</f>
        <v>FM</v>
      </c>
      <c r="D4004" s="7" t="s">
        <v>20</v>
      </c>
      <c r="E4004" t="str">
        <f>_xlfn.XLOOKUP(Vendas[[#This Row],[ID Item Vendido]],Agregado[ID],Agregado[Produto])</f>
        <v>Barra de aço simples</v>
      </c>
      <c r="F4004" s="39">
        <v>45592</v>
      </c>
      <c r="G4004" s="7">
        <v>144</v>
      </c>
      <c r="H4004" s="3">
        <f>_xlfn.XLOOKUP(Vendas[[#This Row],[ID Item Vendido]],Agregado[ID],Agregado[Revenda])</f>
        <v>4.8</v>
      </c>
      <c r="I4004" s="3">
        <f>Vendas[[#This Row],[Valor Unitário]]*Vendas[[#This Row],[Qnt Vendida]]</f>
        <v>691.19999999999993</v>
      </c>
      <c r="J4004" s="3">
        <f>Vendas[[#This Row],[Valor da Venda]]-(_xlfn.XLOOKUP(Vendas[[#This Row],[ID Item Vendido]],Agregado[ID],Agregado[Custo])*Vendas[[#This Row],[Qnt Vendida]])</f>
        <v>86.399999999999864</v>
      </c>
      <c r="K4004" s="70">
        <f>Vendas[[#This Row],[Lucro da Venda]]/Vendas[[#This Row],[Valor da Venda]]</f>
        <v>0.12499999999999982</v>
      </c>
      <c r="L4004" s="3">
        <f>_xlfn.IFS(Vendas[[#This Row],[Margem de Lucro (%)]]&lt;15%,Vendas[[#This Row],[Valor da Venda]]*3%,Vendas[[#This Row],[Margem de Lucro (%)]]&lt;=20%,Vendas[[#This Row],[Valor da Venda]]*4.5%,TRUE,Vendas[[#This Row],[Valor da Venda]]*6%)</f>
        <v>20.735999999999997</v>
      </c>
      <c r="M4004"/>
    </row>
    <row r="4005" spans="1:13" x14ac:dyDescent="0.3">
      <c r="A4005" s="7">
        <v>400246</v>
      </c>
      <c r="B4005" t="str">
        <f>_xlfn.XLOOKUP(Vendas[[#This Row],[ID Vendedor]],Vendedores[ID],Vendedores[Nome])</f>
        <v>Juliana</v>
      </c>
      <c r="C4005" s="7" t="str">
        <f>_xlfn.XLOOKUP(Vendas[[#This Row],[ID Vendedor]],Vendedores[ID],Vendedores[Setor])</f>
        <v>AHD</v>
      </c>
      <c r="D4005" s="7" t="s">
        <v>18</v>
      </c>
      <c r="E4005" t="str">
        <f>_xlfn.XLOOKUP(Vendas[[#This Row],[ID Item Vendido]],Agregado[ID],Agregado[Produto])</f>
        <v>Peça forjada sob encomenda</v>
      </c>
      <c r="F4005" s="39">
        <v>45593</v>
      </c>
      <c r="G4005" s="7">
        <v>6</v>
      </c>
      <c r="H4005" s="3">
        <f>_xlfn.XLOOKUP(Vendas[[#This Row],[ID Item Vendido]],Agregado[ID],Agregado[Revenda])</f>
        <v>264.60000000000002</v>
      </c>
      <c r="I4005" s="3">
        <f>Vendas[[#This Row],[Valor Unitário]]*Vendas[[#This Row],[Qnt Vendida]]</f>
        <v>1587.6000000000001</v>
      </c>
      <c r="J4005" s="3">
        <f>Vendas[[#This Row],[Valor da Venda]]-(_xlfn.XLOOKUP(Vendas[[#This Row],[ID Item Vendido]],Agregado[ID],Agregado[Custo])*Vendas[[#This Row],[Qnt Vendida]])</f>
        <v>87.600000000000136</v>
      </c>
      <c r="K4005" s="70">
        <f>Vendas[[#This Row],[Lucro da Venda]]/Vendas[[#This Row],[Valor da Venda]]</f>
        <v>5.5177626606198113E-2</v>
      </c>
      <c r="L400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005"/>
    </row>
    <row r="4006" spans="1:13" x14ac:dyDescent="0.3">
      <c r="A4006" s="7">
        <v>400246</v>
      </c>
      <c r="B4006" t="str">
        <f>_xlfn.XLOOKUP(Vendas[[#This Row],[ID Vendedor]],Vendedores[ID],Vendedores[Nome])</f>
        <v>Juliana</v>
      </c>
      <c r="C4006" s="7" t="str">
        <f>_xlfn.XLOOKUP(Vendas[[#This Row],[ID Vendedor]],Vendedores[ID],Vendedores[Setor])</f>
        <v>AHD</v>
      </c>
      <c r="D4006" s="7" t="s">
        <v>18</v>
      </c>
      <c r="E4006" t="str">
        <f>_xlfn.XLOOKUP(Vendas[[#This Row],[ID Item Vendido]],Agregado[ID],Agregado[Produto])</f>
        <v>Peça forjada sob encomenda</v>
      </c>
      <c r="F4006" s="39">
        <v>45593</v>
      </c>
      <c r="G4006" s="7">
        <v>3</v>
      </c>
      <c r="H4006" s="3">
        <f>_xlfn.XLOOKUP(Vendas[[#This Row],[ID Item Vendido]],Agregado[ID],Agregado[Revenda])</f>
        <v>264.60000000000002</v>
      </c>
      <c r="I4006" s="3">
        <f>Vendas[[#This Row],[Valor Unitário]]*Vendas[[#This Row],[Qnt Vendida]]</f>
        <v>793.80000000000007</v>
      </c>
      <c r="J4006" s="3">
        <f>Vendas[[#This Row],[Valor da Venda]]-(_xlfn.XLOOKUP(Vendas[[#This Row],[ID Item Vendido]],Agregado[ID],Agregado[Custo])*Vendas[[#This Row],[Qnt Vendida]])</f>
        <v>43.800000000000068</v>
      </c>
      <c r="K4006" s="70">
        <f>Vendas[[#This Row],[Lucro da Venda]]/Vendas[[#This Row],[Valor da Venda]]</f>
        <v>5.5177626606198113E-2</v>
      </c>
      <c r="L400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006"/>
    </row>
    <row r="4007" spans="1:13" x14ac:dyDescent="0.3">
      <c r="A4007" s="7">
        <v>400250</v>
      </c>
      <c r="B4007" t="str">
        <f>_xlfn.XLOOKUP(Vendas[[#This Row],[ID Vendedor]],Vendedores[ID],Vendedores[Nome])</f>
        <v>Larissa</v>
      </c>
      <c r="C4007" s="7" t="str">
        <f>_xlfn.XLOOKUP(Vendas[[#This Row],[ID Vendedor]],Vendedores[ID],Vendedores[Setor])</f>
        <v>AB</v>
      </c>
      <c r="D4007" s="7" t="s">
        <v>37</v>
      </c>
      <c r="E4007" t="str">
        <f>_xlfn.XLOOKUP(Vendas[[#This Row],[ID Item Vendido]],Agregado[ID],Agregado[Produto])</f>
        <v>Composto de borracha para vedação rolo 10m</v>
      </c>
      <c r="F4007" s="39">
        <v>45593</v>
      </c>
      <c r="G4007" s="7">
        <v>19</v>
      </c>
      <c r="H4007" s="3">
        <f>_xlfn.XLOOKUP(Vendas[[#This Row],[ID Item Vendido]],Agregado[ID],Agregado[Revenda])</f>
        <v>51.2</v>
      </c>
      <c r="I4007" s="3">
        <f>Vendas[[#This Row],[Valor Unitário]]*Vendas[[#This Row],[Qnt Vendida]]</f>
        <v>972.80000000000007</v>
      </c>
      <c r="J4007" s="3">
        <f>Vendas[[#This Row],[Valor da Venda]]-(_xlfn.XLOOKUP(Vendas[[#This Row],[ID Item Vendido]],Agregado[ID],Agregado[Custo])*Vendas[[#This Row],[Qnt Vendida]])</f>
        <v>212.80000000000007</v>
      </c>
      <c r="K4007" s="70">
        <f>Vendas[[#This Row],[Lucro da Venda]]/Vendas[[#This Row],[Valor da Venda]]</f>
        <v>0.21875000000000006</v>
      </c>
      <c r="L4007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4007"/>
    </row>
    <row r="4008" spans="1:13" x14ac:dyDescent="0.3">
      <c r="A4008" s="7">
        <v>400254</v>
      </c>
      <c r="B4008" t="str">
        <f>_xlfn.XLOOKUP(Vendas[[#This Row],[ID Vendedor]],Vendedores[ID],Vendedores[Nome])</f>
        <v>Beatriz</v>
      </c>
      <c r="C4008" s="7" t="str">
        <f>_xlfn.XLOOKUP(Vendas[[#This Row],[ID Vendedor]],Vendedores[ID],Vendedores[Setor])</f>
        <v>SC</v>
      </c>
      <c r="D4008" s="7" t="s">
        <v>48</v>
      </c>
      <c r="E4008" t="str">
        <f>_xlfn.XLOOKUP(Vendas[[#This Row],[ID Item Vendido]],Agregado[ID],Agregado[Produto])</f>
        <v>Tambor metálico 200L</v>
      </c>
      <c r="F4008" s="39">
        <v>45593</v>
      </c>
      <c r="G4008" s="7">
        <v>5</v>
      </c>
      <c r="H4008" s="3">
        <f>_xlfn.XLOOKUP(Vendas[[#This Row],[ID Item Vendido]],Agregado[ID],Agregado[Revenda])</f>
        <v>144</v>
      </c>
      <c r="I4008" s="3">
        <f>Vendas[[#This Row],[Valor Unitário]]*Vendas[[#This Row],[Qnt Vendida]]</f>
        <v>720</v>
      </c>
      <c r="J4008" s="3">
        <f>Vendas[[#This Row],[Valor da Venda]]-(_xlfn.XLOOKUP(Vendas[[#This Row],[ID Item Vendido]],Agregado[ID],Agregado[Custo])*Vendas[[#This Row],[Qnt Vendida]])</f>
        <v>120</v>
      </c>
      <c r="K4008" s="70">
        <f>Vendas[[#This Row],[Lucro da Venda]]/Vendas[[#This Row],[Valor da Venda]]</f>
        <v>0.16666666666666666</v>
      </c>
      <c r="L4008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4008"/>
    </row>
    <row r="4009" spans="1:13" x14ac:dyDescent="0.3">
      <c r="A4009" s="7">
        <v>400245</v>
      </c>
      <c r="B4009" t="str">
        <f>_xlfn.XLOOKUP(Vendas[[#This Row],[ID Vendedor]],Vendedores[ID],Vendedores[Nome])</f>
        <v>Thiago</v>
      </c>
      <c r="C4009" s="7" t="str">
        <f>_xlfn.XLOOKUP(Vendas[[#This Row],[ID Vendedor]],Vendedores[ID],Vendedores[Setor])</f>
        <v>AHD</v>
      </c>
      <c r="D4009" s="7" t="s">
        <v>9</v>
      </c>
      <c r="E4009" t="str">
        <f>_xlfn.XLOOKUP(Vendas[[#This Row],[ID Item Vendido]],Agregado[ID],Agregado[Produto])</f>
        <v>Barra de aço simples</v>
      </c>
      <c r="F4009" s="39">
        <v>45593</v>
      </c>
      <c r="G4009" s="7">
        <v>107</v>
      </c>
      <c r="H4009" s="3">
        <f>_xlfn.XLOOKUP(Vendas[[#This Row],[ID Item Vendido]],Agregado[ID],Agregado[Revenda])</f>
        <v>6.7</v>
      </c>
      <c r="I4009" s="3">
        <f>Vendas[[#This Row],[Valor Unitário]]*Vendas[[#This Row],[Qnt Vendida]]</f>
        <v>716.9</v>
      </c>
      <c r="J4009" s="3">
        <f>Vendas[[#This Row],[Valor da Venda]]-(_xlfn.XLOOKUP(Vendas[[#This Row],[ID Item Vendido]],Agregado[ID],Agregado[Custo])*Vendas[[#This Row],[Qnt Vendida]])</f>
        <v>96.299999999999955</v>
      </c>
      <c r="K4009" s="70">
        <f>Vendas[[#This Row],[Lucro da Venda]]/Vendas[[#This Row],[Valor da Venda]]</f>
        <v>0.13432835820895517</v>
      </c>
      <c r="L4009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4009"/>
    </row>
    <row r="4010" spans="1:13" x14ac:dyDescent="0.3">
      <c r="A4010" s="7">
        <v>400253</v>
      </c>
      <c r="B4010" t="str">
        <f>_xlfn.XLOOKUP(Vendas[[#This Row],[ID Vendedor]],Vendedores[ID],Vendedores[Nome])</f>
        <v>Gustavo</v>
      </c>
      <c r="C4010" s="7" t="str">
        <f>_xlfn.XLOOKUP(Vendas[[#This Row],[ID Vendedor]],Vendedores[ID],Vendedores[Setor])</f>
        <v>SC</v>
      </c>
      <c r="D4010" s="7" t="s">
        <v>48</v>
      </c>
      <c r="E4010" t="str">
        <f>_xlfn.XLOOKUP(Vendas[[#This Row],[ID Item Vendido]],Agregado[ID],Agregado[Produto])</f>
        <v>Tambor metálico 200L</v>
      </c>
      <c r="F4010" s="39">
        <v>45593</v>
      </c>
      <c r="G4010" s="7">
        <v>4</v>
      </c>
      <c r="H4010" s="3">
        <f>_xlfn.XLOOKUP(Vendas[[#This Row],[ID Item Vendido]],Agregado[ID],Agregado[Revenda])</f>
        <v>144</v>
      </c>
      <c r="I4010" s="3">
        <f>Vendas[[#This Row],[Valor Unitário]]*Vendas[[#This Row],[Qnt Vendida]]</f>
        <v>576</v>
      </c>
      <c r="J4010" s="3">
        <f>Vendas[[#This Row],[Valor da Venda]]-(_xlfn.XLOOKUP(Vendas[[#This Row],[ID Item Vendido]],Agregado[ID],Agregado[Custo])*Vendas[[#This Row],[Qnt Vendida]])</f>
        <v>96</v>
      </c>
      <c r="K4010" s="70">
        <f>Vendas[[#This Row],[Lucro da Venda]]/Vendas[[#This Row],[Valor da Venda]]</f>
        <v>0.16666666666666666</v>
      </c>
      <c r="L4010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4010"/>
    </row>
    <row r="4011" spans="1:13" x14ac:dyDescent="0.3">
      <c r="A4011" s="7">
        <v>400254</v>
      </c>
      <c r="B4011" t="str">
        <f>_xlfn.XLOOKUP(Vendas[[#This Row],[ID Vendedor]],Vendedores[ID],Vendedores[Nome])</f>
        <v>Beatriz</v>
      </c>
      <c r="C4011" s="7" t="str">
        <f>_xlfn.XLOOKUP(Vendas[[#This Row],[ID Vendedor]],Vendedores[ID],Vendedores[Setor])</f>
        <v>SC</v>
      </c>
      <c r="D4011" s="7" t="s">
        <v>48</v>
      </c>
      <c r="E4011" t="str">
        <f>_xlfn.XLOOKUP(Vendas[[#This Row],[ID Item Vendido]],Agregado[ID],Agregado[Produto])</f>
        <v>Tambor metálico 200L</v>
      </c>
      <c r="F4011" s="39">
        <v>45594</v>
      </c>
      <c r="G4011" s="7">
        <v>10</v>
      </c>
      <c r="H4011" s="3">
        <f>_xlfn.XLOOKUP(Vendas[[#This Row],[ID Item Vendido]],Agregado[ID],Agregado[Revenda])</f>
        <v>144</v>
      </c>
      <c r="I4011" s="3">
        <f>Vendas[[#This Row],[Valor Unitário]]*Vendas[[#This Row],[Qnt Vendida]]</f>
        <v>1440</v>
      </c>
      <c r="J4011" s="3">
        <f>Vendas[[#This Row],[Valor da Venda]]-(_xlfn.XLOOKUP(Vendas[[#This Row],[ID Item Vendido]],Agregado[ID],Agregado[Custo])*Vendas[[#This Row],[Qnt Vendida]])</f>
        <v>240</v>
      </c>
      <c r="K4011" s="70">
        <f>Vendas[[#This Row],[Lucro da Venda]]/Vendas[[#This Row],[Valor da Venda]]</f>
        <v>0.16666666666666666</v>
      </c>
      <c r="L4011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4011"/>
    </row>
    <row r="4012" spans="1:13" x14ac:dyDescent="0.3">
      <c r="A4012" s="7">
        <v>400255</v>
      </c>
      <c r="B4012" t="str">
        <f>_xlfn.XLOOKUP(Vendas[[#This Row],[ID Vendedor]],Vendedores[ID],Vendedores[Nome])</f>
        <v>Carlos</v>
      </c>
      <c r="C4012" s="7" t="str">
        <f>_xlfn.XLOOKUP(Vendas[[#This Row],[ID Vendedor]],Vendedores[ID],Vendedores[Setor])</f>
        <v>SC</v>
      </c>
      <c r="D4012" s="7" t="s">
        <v>14</v>
      </c>
      <c r="E4012" t="str">
        <f>_xlfn.XLOOKUP(Vendas[[#This Row],[ID Item Vendido]],Agregado[ID],Agregado[Produto])</f>
        <v>Barril de plástico 200L</v>
      </c>
      <c r="F4012" s="39">
        <v>45594</v>
      </c>
      <c r="G4012" s="7">
        <v>5</v>
      </c>
      <c r="H4012" s="3">
        <f>_xlfn.XLOOKUP(Vendas[[#This Row],[ID Item Vendido]],Agregado[ID],Agregado[Revenda])</f>
        <v>114</v>
      </c>
      <c r="I4012" s="3">
        <f>Vendas[[#This Row],[Valor Unitário]]*Vendas[[#This Row],[Qnt Vendida]]</f>
        <v>570</v>
      </c>
      <c r="J4012" s="3">
        <f>Vendas[[#This Row],[Valor da Venda]]-(_xlfn.XLOOKUP(Vendas[[#This Row],[ID Item Vendido]],Agregado[ID],Agregado[Custo])*Vendas[[#This Row],[Qnt Vendida]])</f>
        <v>95</v>
      </c>
      <c r="K4012" s="70">
        <f>Vendas[[#This Row],[Lucro da Venda]]/Vendas[[#This Row],[Valor da Venda]]</f>
        <v>0.16666666666666666</v>
      </c>
      <c r="L4012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4012"/>
    </row>
    <row r="4013" spans="1:13" x14ac:dyDescent="0.3">
      <c r="A4013" s="7">
        <v>400248</v>
      </c>
      <c r="B4013" t="str">
        <f>_xlfn.XLOOKUP(Vendas[[#This Row],[ID Vendedor]],Vendedores[ID],Vendedores[Nome])</f>
        <v>Patrícia</v>
      </c>
      <c r="C4013" s="7" t="str">
        <f>_xlfn.XLOOKUP(Vendas[[#This Row],[ID Vendedor]],Vendedores[ID],Vendedores[Setor])</f>
        <v>CM</v>
      </c>
      <c r="D4013" s="7" t="s">
        <v>32</v>
      </c>
      <c r="E4013" t="str">
        <f>_xlfn.XLOOKUP(Vendas[[#This Row],[ID Item Vendido]],Agregado[ID],Agregado[Produto])</f>
        <v>Tábua tratada e cortada 3m</v>
      </c>
      <c r="F4013" s="39">
        <v>45594</v>
      </c>
      <c r="G4013" s="7">
        <v>8</v>
      </c>
      <c r="H4013" s="3">
        <f>_xlfn.XLOOKUP(Vendas[[#This Row],[ID Item Vendido]],Agregado[ID],Agregado[Revenda])</f>
        <v>39</v>
      </c>
      <c r="I4013" s="3">
        <f>Vendas[[#This Row],[Valor Unitário]]*Vendas[[#This Row],[Qnt Vendida]]</f>
        <v>312</v>
      </c>
      <c r="J4013" s="3">
        <f>Vendas[[#This Row],[Valor da Venda]]-(_xlfn.XLOOKUP(Vendas[[#This Row],[ID Item Vendido]],Agregado[ID],Agregado[Custo])*Vendas[[#This Row],[Qnt Vendida]])</f>
        <v>56</v>
      </c>
      <c r="K4013" s="70">
        <f>Vendas[[#This Row],[Lucro da Venda]]/Vendas[[#This Row],[Valor da Venda]]</f>
        <v>0.17948717948717949</v>
      </c>
      <c r="L401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4013"/>
    </row>
    <row r="4014" spans="1:13" x14ac:dyDescent="0.3">
      <c r="A4014" s="7">
        <v>400243</v>
      </c>
      <c r="B4014" t="str">
        <f>_xlfn.XLOOKUP(Vendas[[#This Row],[ID Vendedor]],Vendedores[ID],Vendedores[Nome])</f>
        <v>Marcelo</v>
      </c>
      <c r="C4014" s="7" t="str">
        <f>_xlfn.XLOOKUP(Vendas[[#This Row],[ID Vendedor]],Vendedores[ID],Vendedores[Setor])</f>
        <v>FM</v>
      </c>
      <c r="D4014" s="7" t="s">
        <v>27</v>
      </c>
      <c r="E4014" t="str">
        <f>_xlfn.XLOOKUP(Vendas[[#This Row],[ID Item Vendido]],Agregado[ID],Agregado[Produto])</f>
        <v>Chapa de metal lisa 1x2m</v>
      </c>
      <c r="F4014" s="39">
        <v>45594</v>
      </c>
      <c r="G4014" s="7">
        <v>2</v>
      </c>
      <c r="H4014" s="3">
        <f>_xlfn.XLOOKUP(Vendas[[#This Row],[ID Item Vendido]],Agregado[ID],Agregado[Revenda])</f>
        <v>52</v>
      </c>
      <c r="I4014" s="3">
        <f>Vendas[[#This Row],[Valor Unitário]]*Vendas[[#This Row],[Qnt Vendida]]</f>
        <v>104</v>
      </c>
      <c r="J4014" s="3">
        <f>Vendas[[#This Row],[Valor da Venda]]-(_xlfn.XLOOKUP(Vendas[[#This Row],[ID Item Vendido]],Agregado[ID],Agregado[Custo])*Vendas[[#This Row],[Qnt Vendida]])</f>
        <v>14</v>
      </c>
      <c r="K4014" s="70">
        <f>Vendas[[#This Row],[Lucro da Venda]]/Vendas[[#This Row],[Valor da Venda]]</f>
        <v>0.13461538461538461</v>
      </c>
      <c r="L4014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4014"/>
    </row>
    <row r="4015" spans="1:13" x14ac:dyDescent="0.3">
      <c r="A4015" s="7">
        <v>400252</v>
      </c>
      <c r="B4015" t="str">
        <f>_xlfn.XLOOKUP(Vendas[[#This Row],[ID Vendedor]],Vendedores[ID],Vendedores[Nome])</f>
        <v>Renata</v>
      </c>
      <c r="C4015" s="7" t="str">
        <f>_xlfn.XLOOKUP(Vendas[[#This Row],[ID Vendedor]],Vendedores[ID],Vendedores[Setor])</f>
        <v>AB</v>
      </c>
      <c r="D4015" s="7" t="s">
        <v>37</v>
      </c>
      <c r="E4015" t="str">
        <f>_xlfn.XLOOKUP(Vendas[[#This Row],[ID Item Vendido]],Agregado[ID],Agregado[Produto])</f>
        <v>Composto de borracha para vedação rolo 10m</v>
      </c>
      <c r="F4015" s="39">
        <v>45595</v>
      </c>
      <c r="G4015" s="7">
        <v>21</v>
      </c>
      <c r="H4015" s="3">
        <f>_xlfn.XLOOKUP(Vendas[[#This Row],[ID Item Vendido]],Agregado[ID],Agregado[Revenda])</f>
        <v>51.2</v>
      </c>
      <c r="I4015" s="3">
        <f>Vendas[[#This Row],[Valor Unitário]]*Vendas[[#This Row],[Qnt Vendida]]</f>
        <v>1075.2</v>
      </c>
      <c r="J4015" s="3">
        <f>Vendas[[#This Row],[Valor da Venda]]-(_xlfn.XLOOKUP(Vendas[[#This Row],[ID Item Vendido]],Agregado[ID],Agregado[Custo])*Vendas[[#This Row],[Qnt Vendida]])</f>
        <v>235.20000000000005</v>
      </c>
      <c r="K4015" s="70">
        <f>Vendas[[#This Row],[Lucro da Venda]]/Vendas[[#This Row],[Valor da Venda]]</f>
        <v>0.21875000000000003</v>
      </c>
      <c r="L4015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4015"/>
    </row>
    <row r="4016" spans="1:13" x14ac:dyDescent="0.3">
      <c r="A4016" s="7">
        <v>400246</v>
      </c>
      <c r="B4016" t="str">
        <f>_xlfn.XLOOKUP(Vendas[[#This Row],[ID Vendedor]],Vendedores[ID],Vendedores[Nome])</f>
        <v>Juliana</v>
      </c>
      <c r="C4016" s="7" t="str">
        <f>_xlfn.XLOOKUP(Vendas[[#This Row],[ID Vendedor]],Vendedores[ID],Vendedores[Setor])</f>
        <v>AHD</v>
      </c>
      <c r="D4016" s="7" t="s">
        <v>30</v>
      </c>
      <c r="E4016" t="str">
        <f>_xlfn.XLOOKUP(Vendas[[#This Row],[ID Item Vendido]],Agregado[ID],Agregado[Produto])</f>
        <v>Estrutura metálica soldada</v>
      </c>
      <c r="F4016" s="39">
        <v>45595</v>
      </c>
      <c r="G4016" s="7">
        <v>1</v>
      </c>
      <c r="H4016" s="3">
        <f>_xlfn.XLOOKUP(Vendas[[#This Row],[ID Item Vendido]],Agregado[ID],Agregado[Revenda])</f>
        <v>400</v>
      </c>
      <c r="I4016" s="3">
        <f>Vendas[[#This Row],[Valor Unitário]]*Vendas[[#This Row],[Qnt Vendida]]</f>
        <v>400</v>
      </c>
      <c r="J4016" s="3">
        <f>Vendas[[#This Row],[Valor da Venda]]-(_xlfn.XLOOKUP(Vendas[[#This Row],[ID Item Vendido]],Agregado[ID],Agregado[Custo])*Vendas[[#This Row],[Qnt Vendida]])</f>
        <v>80</v>
      </c>
      <c r="K4016" s="70">
        <f>Vendas[[#This Row],[Lucro da Venda]]/Vendas[[#This Row],[Valor da Venda]]</f>
        <v>0.2</v>
      </c>
      <c r="L4016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4016"/>
    </row>
    <row r="4017" spans="1:13" x14ac:dyDescent="0.3">
      <c r="A4017" s="7">
        <v>400253</v>
      </c>
      <c r="B4017" t="str">
        <f>_xlfn.XLOOKUP(Vendas[[#This Row],[ID Vendedor]],Vendedores[ID],Vendedores[Nome])</f>
        <v>Gustavo</v>
      </c>
      <c r="C4017" s="7" t="str">
        <f>_xlfn.XLOOKUP(Vendas[[#This Row],[ID Vendedor]],Vendedores[ID],Vendedores[Setor])</f>
        <v>SC</v>
      </c>
      <c r="D4017" s="7" t="s">
        <v>48</v>
      </c>
      <c r="E4017" t="str">
        <f>_xlfn.XLOOKUP(Vendas[[#This Row],[ID Item Vendido]],Agregado[ID],Agregado[Produto])</f>
        <v>Tambor metálico 200L</v>
      </c>
      <c r="F4017" s="39">
        <v>45596</v>
      </c>
      <c r="G4017" s="7">
        <v>19</v>
      </c>
      <c r="H4017" s="3">
        <f>_xlfn.XLOOKUP(Vendas[[#This Row],[ID Item Vendido]],Agregado[ID],Agregado[Revenda])</f>
        <v>144</v>
      </c>
      <c r="I4017" s="3">
        <f>Vendas[[#This Row],[Valor Unitário]]*Vendas[[#This Row],[Qnt Vendida]]</f>
        <v>2736</v>
      </c>
      <c r="J4017" s="3">
        <f>Vendas[[#This Row],[Valor da Venda]]-(_xlfn.XLOOKUP(Vendas[[#This Row],[ID Item Vendido]],Agregado[ID],Agregado[Custo])*Vendas[[#This Row],[Qnt Vendida]])</f>
        <v>456</v>
      </c>
      <c r="K4017" s="70">
        <f>Vendas[[#This Row],[Lucro da Venda]]/Vendas[[#This Row],[Valor da Venda]]</f>
        <v>0.16666666666666666</v>
      </c>
      <c r="L401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017"/>
    </row>
    <row r="4018" spans="1:13" x14ac:dyDescent="0.3">
      <c r="A4018" s="7">
        <v>400247</v>
      </c>
      <c r="B4018" t="str">
        <f>_xlfn.XLOOKUP(Vendas[[#This Row],[ID Vendedor]],Vendedores[ID],Vendedores[Nome])</f>
        <v>André</v>
      </c>
      <c r="C4018" s="7" t="str">
        <f>_xlfn.XLOOKUP(Vendas[[#This Row],[ID Vendedor]],Vendedores[ID],Vendedores[Setor])</f>
        <v>CM</v>
      </c>
      <c r="D4018" s="7" t="s">
        <v>32</v>
      </c>
      <c r="E4018" t="str">
        <f>_xlfn.XLOOKUP(Vendas[[#This Row],[ID Item Vendido]],Agregado[ID],Agregado[Produto])</f>
        <v>Tábua tratada e cortada 3m</v>
      </c>
      <c r="F4018" s="39">
        <v>45596</v>
      </c>
      <c r="G4018" s="7">
        <v>45</v>
      </c>
      <c r="H4018" s="3">
        <f>_xlfn.XLOOKUP(Vendas[[#This Row],[ID Item Vendido]],Agregado[ID],Agregado[Revenda])</f>
        <v>39</v>
      </c>
      <c r="I4018" s="3">
        <f>Vendas[[#This Row],[Valor Unitário]]*Vendas[[#This Row],[Qnt Vendida]]</f>
        <v>1755</v>
      </c>
      <c r="J4018" s="3">
        <f>Vendas[[#This Row],[Valor da Venda]]-(_xlfn.XLOOKUP(Vendas[[#This Row],[ID Item Vendido]],Agregado[ID],Agregado[Custo])*Vendas[[#This Row],[Qnt Vendida]])</f>
        <v>315</v>
      </c>
      <c r="K4018" s="70">
        <f>Vendas[[#This Row],[Lucro da Venda]]/Vendas[[#This Row],[Valor da Venda]]</f>
        <v>0.17948717948717949</v>
      </c>
      <c r="L4018" s="3">
        <f>_xlfn.IFS(Vendas[[#This Row],[Margem de Lucro (%)]]&lt;15%,Vendas[[#This Row],[Valor da Venda]]*3%,Vendas[[#This Row],[Margem de Lucro (%)]]&lt;=20%,Vendas[[#This Row],[Valor da Venda]]*4.5%,TRUE,Vendas[[#This Row],[Valor da Venda]]*6%)</f>
        <v>78.974999999999994</v>
      </c>
      <c r="M4018"/>
    </row>
    <row r="4019" spans="1:13" x14ac:dyDescent="0.3">
      <c r="A4019" s="7">
        <v>400252</v>
      </c>
      <c r="B4019" t="str">
        <f>_xlfn.XLOOKUP(Vendas[[#This Row],[ID Vendedor]],Vendedores[ID],Vendedores[Nome])</f>
        <v>Renata</v>
      </c>
      <c r="C4019" s="7" t="str">
        <f>_xlfn.XLOOKUP(Vendas[[#This Row],[ID Vendedor]],Vendedores[ID],Vendedores[Setor])</f>
        <v>AB</v>
      </c>
      <c r="D4019" s="7" t="s">
        <v>24</v>
      </c>
      <c r="E4019" t="str">
        <f>_xlfn.XLOOKUP(Vendas[[#This Row],[ID Item Vendido]],Agregado[ID],Agregado[Produto])</f>
        <v>Resina plástica PET purificada saco de 25kg</v>
      </c>
      <c r="F4019" s="39">
        <v>45596</v>
      </c>
      <c r="G4019" s="7">
        <v>11</v>
      </c>
      <c r="H4019" s="3">
        <f>_xlfn.XLOOKUP(Vendas[[#This Row],[ID Item Vendido]],Agregado[ID],Agregado[Revenda])</f>
        <v>119</v>
      </c>
      <c r="I4019" s="3">
        <f>Vendas[[#This Row],[Valor Unitário]]*Vendas[[#This Row],[Qnt Vendida]]</f>
        <v>1309</v>
      </c>
      <c r="J4019" s="3">
        <f>Vendas[[#This Row],[Valor da Venda]]-(_xlfn.XLOOKUP(Vendas[[#This Row],[ID Item Vendido]],Agregado[ID],Agregado[Custo])*Vendas[[#This Row],[Qnt Vendida]])</f>
        <v>374</v>
      </c>
      <c r="K4019" s="70">
        <f>Vendas[[#This Row],[Lucro da Venda]]/Vendas[[#This Row],[Valor da Venda]]</f>
        <v>0.2857142857142857</v>
      </c>
      <c r="L4019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019"/>
    </row>
    <row r="4020" spans="1:13" x14ac:dyDescent="0.3">
      <c r="A4020" s="7">
        <v>400249</v>
      </c>
      <c r="B4020" t="str">
        <f>_xlfn.XLOOKUP(Vendas[[#This Row],[ID Vendedor]],Vendedores[ID],Vendedores[Nome])</f>
        <v>Bruno</v>
      </c>
      <c r="C4020" s="7" t="str">
        <f>_xlfn.XLOOKUP(Vendas[[#This Row],[ID Vendedor]],Vendedores[ID],Vendedores[Setor])</f>
        <v>CM</v>
      </c>
      <c r="D4020" s="7" t="s">
        <v>22</v>
      </c>
      <c r="E4020" t="str">
        <f>_xlfn.XLOOKUP(Vendas[[#This Row],[ID Item Vendido]],Agregado[ID],Agregado[Produto])</f>
        <v>Painel MDP 2,75x1,83m</v>
      </c>
      <c r="F4020" s="39">
        <v>45597</v>
      </c>
      <c r="G4020" s="7">
        <v>16</v>
      </c>
      <c r="H4020" s="3">
        <f>_xlfn.XLOOKUP(Vendas[[#This Row],[ID Item Vendido]],Agregado[ID],Agregado[Revenda])</f>
        <v>119</v>
      </c>
      <c r="I4020" s="3">
        <f>Vendas[[#This Row],[Valor Unitário]]*Vendas[[#This Row],[Qnt Vendida]]</f>
        <v>1904</v>
      </c>
      <c r="J4020" s="3">
        <f>Vendas[[#This Row],[Valor da Venda]]-(_xlfn.XLOOKUP(Vendas[[#This Row],[ID Item Vendido]],Agregado[ID],Agregado[Custo])*Vendas[[#This Row],[Qnt Vendida]])</f>
        <v>384</v>
      </c>
      <c r="K4020" s="70">
        <f>Vendas[[#This Row],[Lucro da Venda]]/Vendas[[#This Row],[Valor da Venda]]</f>
        <v>0.20168067226890757</v>
      </c>
      <c r="L4020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4020"/>
    </row>
    <row r="4021" spans="1:13" x14ac:dyDescent="0.3">
      <c r="A4021" s="7">
        <v>400241</v>
      </c>
      <c r="B4021" t="str">
        <f>_xlfn.XLOOKUP(Vendas[[#This Row],[ID Vendedor]],Vendedores[ID],Vendedores[Nome])</f>
        <v>Rodrigo</v>
      </c>
      <c r="C4021" s="7" t="str">
        <f>_xlfn.XLOOKUP(Vendas[[#This Row],[ID Vendedor]],Vendedores[ID],Vendedores[Setor])</f>
        <v>FM</v>
      </c>
      <c r="D4021" s="7" t="s">
        <v>31</v>
      </c>
      <c r="E4021" t="str">
        <f>_xlfn.XLOOKUP(Vendas[[#This Row],[ID Item Vendido]],Agregado[ID],Agregado[Produto])</f>
        <v>Tela de metal soldada rolo 2x25m</v>
      </c>
      <c r="F4021" s="39">
        <v>45597</v>
      </c>
      <c r="G4021" s="7">
        <v>10</v>
      </c>
      <c r="H4021" s="3">
        <f>_xlfn.XLOOKUP(Vendas[[#This Row],[ID Item Vendido]],Agregado[ID],Agregado[Revenda])</f>
        <v>43.7</v>
      </c>
      <c r="I4021" s="3">
        <f>Vendas[[#This Row],[Valor Unitário]]*Vendas[[#This Row],[Qnt Vendida]]</f>
        <v>437</v>
      </c>
      <c r="J4021" s="3">
        <f>Vendas[[#This Row],[Valor da Venda]]-(_xlfn.XLOOKUP(Vendas[[#This Row],[ID Item Vendido]],Agregado[ID],Agregado[Custo])*Vendas[[#This Row],[Qnt Vendida]])</f>
        <v>57</v>
      </c>
      <c r="K4021" s="70">
        <f>Vendas[[#This Row],[Lucro da Venda]]/Vendas[[#This Row],[Valor da Venda]]</f>
        <v>0.13043478260869565</v>
      </c>
      <c r="L4021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4021"/>
    </row>
    <row r="4022" spans="1:13" x14ac:dyDescent="0.3">
      <c r="A4022" s="7">
        <v>400252</v>
      </c>
      <c r="B4022" t="str">
        <f>_xlfn.XLOOKUP(Vendas[[#This Row],[ID Vendedor]],Vendedores[ID],Vendedores[Nome])</f>
        <v>Renata</v>
      </c>
      <c r="C4022" s="7" t="str">
        <f>_xlfn.XLOOKUP(Vendas[[#This Row],[ID Vendedor]],Vendedores[ID],Vendedores[Setor])</f>
        <v>AB</v>
      </c>
      <c r="D4022" s="7" t="s">
        <v>39</v>
      </c>
      <c r="E4022" t="str">
        <f>_xlfn.XLOOKUP(Vendas[[#This Row],[ID Item Vendido]],Agregado[ID],Agregado[Produto])</f>
        <v>Filme plástico industrial rolo 50m</v>
      </c>
      <c r="F4022" s="39">
        <v>45597</v>
      </c>
      <c r="G4022" s="7">
        <v>4</v>
      </c>
      <c r="H4022" s="3">
        <f>_xlfn.XLOOKUP(Vendas[[#This Row],[ID Item Vendido]],Agregado[ID],Agregado[Revenda])</f>
        <v>37</v>
      </c>
      <c r="I4022" s="3">
        <f>Vendas[[#This Row],[Valor Unitário]]*Vendas[[#This Row],[Qnt Vendida]]</f>
        <v>148</v>
      </c>
      <c r="J4022" s="3">
        <f>Vendas[[#This Row],[Valor da Venda]]-(_xlfn.XLOOKUP(Vendas[[#This Row],[ID Item Vendido]],Agregado[ID],Agregado[Custo])*Vendas[[#This Row],[Qnt Vendida]])</f>
        <v>36</v>
      </c>
      <c r="K4022" s="70">
        <f>Vendas[[#This Row],[Lucro da Venda]]/Vendas[[#This Row],[Valor da Venda]]</f>
        <v>0.24324324324324326</v>
      </c>
      <c r="L4022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4022"/>
    </row>
    <row r="4023" spans="1:13" x14ac:dyDescent="0.3">
      <c r="A4023" s="7">
        <v>400249</v>
      </c>
      <c r="B4023" t="str">
        <f>_xlfn.XLOOKUP(Vendas[[#This Row],[ID Vendedor]],Vendedores[ID],Vendedores[Nome])</f>
        <v>Bruno</v>
      </c>
      <c r="C4023" s="7" t="str">
        <f>_xlfn.XLOOKUP(Vendas[[#This Row],[ID Vendedor]],Vendedores[ID],Vendedores[Setor])</f>
        <v>CM</v>
      </c>
      <c r="D4023" s="7" t="s">
        <v>22</v>
      </c>
      <c r="E4023" t="str">
        <f>_xlfn.XLOOKUP(Vendas[[#This Row],[ID Item Vendido]],Agregado[ID],Agregado[Produto])</f>
        <v>Painel MDP 2,75x1,83m</v>
      </c>
      <c r="F4023" s="39">
        <v>45598</v>
      </c>
      <c r="G4023" s="7">
        <v>25</v>
      </c>
      <c r="H4023" s="3">
        <f>_xlfn.XLOOKUP(Vendas[[#This Row],[ID Item Vendido]],Agregado[ID],Agregado[Revenda])</f>
        <v>119</v>
      </c>
      <c r="I4023" s="3">
        <f>Vendas[[#This Row],[Valor Unitário]]*Vendas[[#This Row],[Qnt Vendida]]</f>
        <v>2975</v>
      </c>
      <c r="J4023" s="3">
        <f>Vendas[[#This Row],[Valor da Venda]]-(_xlfn.XLOOKUP(Vendas[[#This Row],[ID Item Vendido]],Agregado[ID],Agregado[Custo])*Vendas[[#This Row],[Qnt Vendida]])</f>
        <v>600</v>
      </c>
      <c r="K4023" s="70">
        <f>Vendas[[#This Row],[Lucro da Venda]]/Vendas[[#This Row],[Valor da Venda]]</f>
        <v>0.20168067226890757</v>
      </c>
      <c r="L4023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023"/>
    </row>
    <row r="4024" spans="1:13" x14ac:dyDescent="0.3">
      <c r="A4024" s="7">
        <v>400247</v>
      </c>
      <c r="B4024" t="str">
        <f>_xlfn.XLOOKUP(Vendas[[#This Row],[ID Vendedor]],Vendedores[ID],Vendedores[Nome])</f>
        <v>André</v>
      </c>
      <c r="C4024" s="7" t="str">
        <f>_xlfn.XLOOKUP(Vendas[[#This Row],[ID Vendedor]],Vendedores[ID],Vendedores[Setor])</f>
        <v>CM</v>
      </c>
      <c r="D4024" s="7" t="s">
        <v>32</v>
      </c>
      <c r="E4024" t="str">
        <f>_xlfn.XLOOKUP(Vendas[[#This Row],[ID Item Vendido]],Agregado[ID],Agregado[Produto])</f>
        <v>Tábua tratada e cortada 3m</v>
      </c>
      <c r="F4024" s="39">
        <v>45598</v>
      </c>
      <c r="G4024" s="7">
        <v>41</v>
      </c>
      <c r="H4024" s="3">
        <f>_xlfn.XLOOKUP(Vendas[[#This Row],[ID Item Vendido]],Agregado[ID],Agregado[Revenda])</f>
        <v>39</v>
      </c>
      <c r="I4024" s="3">
        <f>Vendas[[#This Row],[Valor Unitário]]*Vendas[[#This Row],[Qnt Vendida]]</f>
        <v>1599</v>
      </c>
      <c r="J4024" s="3">
        <f>Vendas[[#This Row],[Valor da Venda]]-(_xlfn.XLOOKUP(Vendas[[#This Row],[ID Item Vendido]],Agregado[ID],Agregado[Custo])*Vendas[[#This Row],[Qnt Vendida]])</f>
        <v>287</v>
      </c>
      <c r="K4024" s="70">
        <f>Vendas[[#This Row],[Lucro da Venda]]/Vendas[[#This Row],[Valor da Venda]]</f>
        <v>0.17948717948717949</v>
      </c>
      <c r="L4024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4024"/>
    </row>
    <row r="4025" spans="1:13" x14ac:dyDescent="0.3">
      <c r="A4025" s="7">
        <v>400248</v>
      </c>
      <c r="B4025" t="str">
        <f>_xlfn.XLOOKUP(Vendas[[#This Row],[ID Vendedor]],Vendedores[ID],Vendedores[Nome])</f>
        <v>Patrícia</v>
      </c>
      <c r="C4025" s="7" t="str">
        <f>_xlfn.XLOOKUP(Vendas[[#This Row],[ID Vendedor]],Vendedores[ID],Vendedores[Setor])</f>
        <v>CM</v>
      </c>
      <c r="D4025" s="7" t="s">
        <v>45</v>
      </c>
      <c r="E4025" t="str">
        <f>_xlfn.XLOOKUP(Vendas[[#This Row],[ID Item Vendido]],Agregado[ID],Agregado[Produto])</f>
        <v>Viga de madeira tratada 4m</v>
      </c>
      <c r="F4025" s="39">
        <v>45598</v>
      </c>
      <c r="G4025" s="7">
        <v>11</v>
      </c>
      <c r="H4025" s="3">
        <f>_xlfn.XLOOKUP(Vendas[[#This Row],[ID Item Vendido]],Agregado[ID],Agregado[Revenda])</f>
        <v>66</v>
      </c>
      <c r="I4025" s="3">
        <f>Vendas[[#This Row],[Valor Unitário]]*Vendas[[#This Row],[Qnt Vendida]]</f>
        <v>726</v>
      </c>
      <c r="J4025" s="3">
        <f>Vendas[[#This Row],[Valor da Venda]]-(_xlfn.XLOOKUP(Vendas[[#This Row],[ID Item Vendido]],Agregado[ID],Agregado[Custo])*Vendas[[#This Row],[Qnt Vendida]])</f>
        <v>121</v>
      </c>
      <c r="K4025" s="70">
        <f>Vendas[[#This Row],[Lucro da Venda]]/Vendas[[#This Row],[Valor da Venda]]</f>
        <v>0.16666666666666666</v>
      </c>
      <c r="L4025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4025"/>
    </row>
    <row r="4026" spans="1:13" x14ac:dyDescent="0.3">
      <c r="A4026" s="7">
        <v>400253</v>
      </c>
      <c r="B4026" t="str">
        <f>_xlfn.XLOOKUP(Vendas[[#This Row],[ID Vendedor]],Vendedores[ID],Vendedores[Nome])</f>
        <v>Gustavo</v>
      </c>
      <c r="C4026" s="7" t="str">
        <f>_xlfn.XLOOKUP(Vendas[[#This Row],[ID Vendedor]],Vendedores[ID],Vendedores[Setor])</f>
        <v>SC</v>
      </c>
      <c r="D4026" s="7" t="s">
        <v>14</v>
      </c>
      <c r="E4026" t="str">
        <f>_xlfn.XLOOKUP(Vendas[[#This Row],[ID Item Vendido]],Agregado[ID],Agregado[Produto])</f>
        <v>Barril de plástico 200L</v>
      </c>
      <c r="F4026" s="39">
        <v>45598</v>
      </c>
      <c r="G4026" s="7">
        <v>2</v>
      </c>
      <c r="H4026" s="3">
        <f>_xlfn.XLOOKUP(Vendas[[#This Row],[ID Item Vendido]],Agregado[ID],Agregado[Revenda])</f>
        <v>114</v>
      </c>
      <c r="I4026" s="3">
        <f>Vendas[[#This Row],[Valor Unitário]]*Vendas[[#This Row],[Qnt Vendida]]</f>
        <v>228</v>
      </c>
      <c r="J4026" s="3">
        <f>Vendas[[#This Row],[Valor da Venda]]-(_xlfn.XLOOKUP(Vendas[[#This Row],[ID Item Vendido]],Agregado[ID],Agregado[Custo])*Vendas[[#This Row],[Qnt Vendida]])</f>
        <v>38</v>
      </c>
      <c r="K4026" s="70">
        <f>Vendas[[#This Row],[Lucro da Venda]]/Vendas[[#This Row],[Valor da Venda]]</f>
        <v>0.16666666666666666</v>
      </c>
      <c r="L4026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4026"/>
    </row>
    <row r="4027" spans="1:13" x14ac:dyDescent="0.3">
      <c r="A4027" s="7">
        <v>400242</v>
      </c>
      <c r="B4027" t="str">
        <f>_xlfn.XLOOKUP(Vendas[[#This Row],[ID Vendedor]],Vendedores[ID],Vendedores[Nome])</f>
        <v>Fernanda</v>
      </c>
      <c r="C4027" s="7" t="str">
        <f>_xlfn.XLOOKUP(Vendas[[#This Row],[ID Vendedor]],Vendedores[ID],Vendedores[Setor])</f>
        <v>FM</v>
      </c>
      <c r="D4027" s="7" t="s">
        <v>27</v>
      </c>
      <c r="E4027" t="str">
        <f>_xlfn.XLOOKUP(Vendas[[#This Row],[ID Item Vendido]],Agregado[ID],Agregado[Produto])</f>
        <v>Chapa de metal lisa 1x2m</v>
      </c>
      <c r="F4027" s="39">
        <v>45599</v>
      </c>
      <c r="G4027" s="7">
        <v>17</v>
      </c>
      <c r="H4027" s="3">
        <f>_xlfn.XLOOKUP(Vendas[[#This Row],[ID Item Vendido]],Agregado[ID],Agregado[Revenda])</f>
        <v>52</v>
      </c>
      <c r="I4027" s="3">
        <f>Vendas[[#This Row],[Valor Unitário]]*Vendas[[#This Row],[Qnt Vendida]]</f>
        <v>884</v>
      </c>
      <c r="J4027" s="3">
        <f>Vendas[[#This Row],[Valor da Venda]]-(_xlfn.XLOOKUP(Vendas[[#This Row],[ID Item Vendido]],Agregado[ID],Agregado[Custo])*Vendas[[#This Row],[Qnt Vendida]])</f>
        <v>119</v>
      </c>
      <c r="K4027" s="70">
        <f>Vendas[[#This Row],[Lucro da Venda]]/Vendas[[#This Row],[Valor da Venda]]</f>
        <v>0.13461538461538461</v>
      </c>
      <c r="L4027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4027"/>
    </row>
    <row r="4028" spans="1:13" x14ac:dyDescent="0.3">
      <c r="A4028" s="7">
        <v>400250</v>
      </c>
      <c r="B4028" t="str">
        <f>_xlfn.XLOOKUP(Vendas[[#This Row],[ID Vendedor]],Vendedores[ID],Vendedores[Nome])</f>
        <v>Larissa</v>
      </c>
      <c r="C4028" s="7" t="str">
        <f>_xlfn.XLOOKUP(Vendas[[#This Row],[ID Vendedor]],Vendedores[ID],Vendedores[Setor])</f>
        <v>AB</v>
      </c>
      <c r="D4028" s="7" t="s">
        <v>37</v>
      </c>
      <c r="E4028" t="str">
        <f>_xlfn.XLOOKUP(Vendas[[#This Row],[ID Item Vendido]],Agregado[ID],Agregado[Produto])</f>
        <v>Composto de borracha para vedação rolo 10m</v>
      </c>
      <c r="F4028" s="39">
        <v>45599</v>
      </c>
      <c r="G4028" s="7">
        <v>14</v>
      </c>
      <c r="H4028" s="3">
        <f>_xlfn.XLOOKUP(Vendas[[#This Row],[ID Item Vendido]],Agregado[ID],Agregado[Revenda])</f>
        <v>51.2</v>
      </c>
      <c r="I4028" s="3">
        <f>Vendas[[#This Row],[Valor Unitário]]*Vendas[[#This Row],[Qnt Vendida]]</f>
        <v>716.80000000000007</v>
      </c>
      <c r="J4028" s="3">
        <f>Vendas[[#This Row],[Valor da Venda]]-(_xlfn.XLOOKUP(Vendas[[#This Row],[ID Item Vendido]],Agregado[ID],Agregado[Custo])*Vendas[[#This Row],[Qnt Vendida]])</f>
        <v>156.80000000000007</v>
      </c>
      <c r="K4028" s="70">
        <f>Vendas[[#This Row],[Lucro da Venda]]/Vendas[[#This Row],[Valor da Venda]]</f>
        <v>0.21875000000000008</v>
      </c>
      <c r="L4028" s="3">
        <f>_xlfn.IFS(Vendas[[#This Row],[Margem de Lucro (%)]]&lt;15%,Vendas[[#This Row],[Valor da Venda]]*3%,Vendas[[#This Row],[Margem de Lucro (%)]]&lt;=20%,Vendas[[#This Row],[Valor da Venda]]*4.5%,TRUE,Vendas[[#This Row],[Valor da Venda]]*6%)</f>
        <v>43.008000000000003</v>
      </c>
      <c r="M4028"/>
    </row>
    <row r="4029" spans="1:13" x14ac:dyDescent="0.3">
      <c r="A4029" s="7">
        <v>400250</v>
      </c>
      <c r="B4029" t="str">
        <f>_xlfn.XLOOKUP(Vendas[[#This Row],[ID Vendedor]],Vendedores[ID],Vendedores[Nome])</f>
        <v>Larissa</v>
      </c>
      <c r="C4029" s="7" t="str">
        <f>_xlfn.XLOOKUP(Vendas[[#This Row],[ID Vendedor]],Vendedores[ID],Vendedores[Setor])</f>
        <v>AB</v>
      </c>
      <c r="D4029" s="7" t="s">
        <v>12</v>
      </c>
      <c r="E4029" t="str">
        <f>_xlfn.XLOOKUP(Vendas[[#This Row],[ID Item Vendido]],Agregado[ID],Agregado[Produto])</f>
        <v>Grânulo de plástico reciclado refinado</v>
      </c>
      <c r="F4029" s="39">
        <v>45599</v>
      </c>
      <c r="G4029" s="7">
        <v>149</v>
      </c>
      <c r="H4029" s="3">
        <f>_xlfn.XLOOKUP(Vendas[[#This Row],[ID Item Vendido]],Agregado[ID],Agregado[Revenda])</f>
        <v>4.7</v>
      </c>
      <c r="I4029" s="3">
        <f>Vendas[[#This Row],[Valor Unitário]]*Vendas[[#This Row],[Qnt Vendida]]</f>
        <v>700.30000000000007</v>
      </c>
      <c r="J4029" s="3">
        <f>Vendas[[#This Row],[Valor da Venda]]-(_xlfn.XLOOKUP(Vendas[[#This Row],[ID Item Vendido]],Agregado[ID],Agregado[Custo])*Vendas[[#This Row],[Qnt Vendida]])</f>
        <v>178.80000000000007</v>
      </c>
      <c r="K4029" s="70">
        <f>Vendas[[#This Row],[Lucro da Venda]]/Vendas[[#This Row],[Valor da Venda]]</f>
        <v>0.2553191489361703</v>
      </c>
      <c r="L4029" s="3">
        <f>_xlfn.IFS(Vendas[[#This Row],[Margem de Lucro (%)]]&lt;15%,Vendas[[#This Row],[Valor da Venda]]*3%,Vendas[[#This Row],[Margem de Lucro (%)]]&lt;=20%,Vendas[[#This Row],[Valor da Venda]]*4.5%,TRUE,Vendas[[#This Row],[Valor da Venda]]*6%)</f>
        <v>42.018000000000001</v>
      </c>
      <c r="M4029"/>
    </row>
    <row r="4030" spans="1:13" x14ac:dyDescent="0.3">
      <c r="A4030" s="7">
        <v>400251</v>
      </c>
      <c r="B4030" t="str">
        <f>_xlfn.XLOOKUP(Vendas[[#This Row],[ID Vendedor]],Vendedores[ID],Vendedores[Nome])</f>
        <v>Diego</v>
      </c>
      <c r="C4030" s="7" t="str">
        <f>_xlfn.XLOOKUP(Vendas[[#This Row],[ID Vendedor]],Vendedores[ID],Vendedores[Setor])</f>
        <v>AB</v>
      </c>
      <c r="D4030" s="7" t="s">
        <v>39</v>
      </c>
      <c r="E4030" t="str">
        <f>_xlfn.XLOOKUP(Vendas[[#This Row],[ID Item Vendido]],Agregado[ID],Agregado[Produto])</f>
        <v>Filme plástico industrial rolo 50m</v>
      </c>
      <c r="F4030" s="39">
        <v>45600</v>
      </c>
      <c r="G4030" s="7">
        <v>29</v>
      </c>
      <c r="H4030" s="3">
        <f>_xlfn.XLOOKUP(Vendas[[#This Row],[ID Item Vendido]],Agregado[ID],Agregado[Revenda])</f>
        <v>37</v>
      </c>
      <c r="I4030" s="3">
        <f>Vendas[[#This Row],[Valor Unitário]]*Vendas[[#This Row],[Qnt Vendida]]</f>
        <v>1073</v>
      </c>
      <c r="J4030" s="3">
        <f>Vendas[[#This Row],[Valor da Venda]]-(_xlfn.XLOOKUP(Vendas[[#This Row],[ID Item Vendido]],Agregado[ID],Agregado[Custo])*Vendas[[#This Row],[Qnt Vendida]])</f>
        <v>261</v>
      </c>
      <c r="K4030" s="70">
        <f>Vendas[[#This Row],[Lucro da Venda]]/Vendas[[#This Row],[Valor da Venda]]</f>
        <v>0.24324324324324326</v>
      </c>
      <c r="L4030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030"/>
    </row>
    <row r="4031" spans="1:13" x14ac:dyDescent="0.3">
      <c r="A4031" s="7">
        <v>400241</v>
      </c>
      <c r="B4031" t="str">
        <f>_xlfn.XLOOKUP(Vendas[[#This Row],[ID Vendedor]],Vendedores[ID],Vendedores[Nome])</f>
        <v>Rodrigo</v>
      </c>
      <c r="C4031" s="7" t="str">
        <f>_xlfn.XLOOKUP(Vendas[[#This Row],[ID Vendedor]],Vendedores[ID],Vendedores[Setor])</f>
        <v>FM</v>
      </c>
      <c r="D4031" s="7" t="s">
        <v>27</v>
      </c>
      <c r="E4031" t="str">
        <f>_xlfn.XLOOKUP(Vendas[[#This Row],[ID Item Vendido]],Agregado[ID],Agregado[Produto])</f>
        <v>Chapa de metal lisa 1x2m</v>
      </c>
      <c r="F4031" s="39">
        <v>45600</v>
      </c>
      <c r="G4031" s="7">
        <v>11</v>
      </c>
      <c r="H4031" s="3">
        <f>_xlfn.XLOOKUP(Vendas[[#This Row],[ID Item Vendido]],Agregado[ID],Agregado[Revenda])</f>
        <v>52</v>
      </c>
      <c r="I4031" s="3">
        <f>Vendas[[#This Row],[Valor Unitário]]*Vendas[[#This Row],[Qnt Vendida]]</f>
        <v>572</v>
      </c>
      <c r="J4031" s="3">
        <f>Vendas[[#This Row],[Valor da Venda]]-(_xlfn.XLOOKUP(Vendas[[#This Row],[ID Item Vendido]],Agregado[ID],Agregado[Custo])*Vendas[[#This Row],[Qnt Vendida]])</f>
        <v>77</v>
      </c>
      <c r="K4031" s="70">
        <f>Vendas[[#This Row],[Lucro da Venda]]/Vendas[[#This Row],[Valor da Venda]]</f>
        <v>0.13461538461538461</v>
      </c>
      <c r="L4031" s="3">
        <f>_xlfn.IFS(Vendas[[#This Row],[Margem de Lucro (%)]]&lt;15%,Vendas[[#This Row],[Valor da Venda]]*3%,Vendas[[#This Row],[Margem de Lucro (%)]]&lt;=20%,Vendas[[#This Row],[Valor da Venda]]*4.5%,TRUE,Vendas[[#This Row],[Valor da Venda]]*6%)</f>
        <v>17.16</v>
      </c>
      <c r="M4031"/>
    </row>
    <row r="4032" spans="1:13" x14ac:dyDescent="0.3">
      <c r="A4032" s="7">
        <v>400252</v>
      </c>
      <c r="B4032" t="str">
        <f>_xlfn.XLOOKUP(Vendas[[#This Row],[ID Vendedor]],Vendedores[ID],Vendedores[Nome])</f>
        <v>Renata</v>
      </c>
      <c r="C4032" s="7" t="str">
        <f>_xlfn.XLOOKUP(Vendas[[#This Row],[ID Vendedor]],Vendedores[ID],Vendedores[Setor])</f>
        <v>AB</v>
      </c>
      <c r="D4032" s="7" t="s">
        <v>12</v>
      </c>
      <c r="E4032" t="str">
        <f>_xlfn.XLOOKUP(Vendas[[#This Row],[ID Item Vendido]],Agregado[ID],Agregado[Produto])</f>
        <v>Grânulo de plástico reciclado refinado</v>
      </c>
      <c r="F4032" s="39">
        <v>45600</v>
      </c>
      <c r="G4032" s="7">
        <v>46</v>
      </c>
      <c r="H4032" s="3">
        <f>_xlfn.XLOOKUP(Vendas[[#This Row],[ID Item Vendido]],Agregado[ID],Agregado[Revenda])</f>
        <v>4.7</v>
      </c>
      <c r="I4032" s="3">
        <f>Vendas[[#This Row],[Valor Unitário]]*Vendas[[#This Row],[Qnt Vendida]]</f>
        <v>216.20000000000002</v>
      </c>
      <c r="J4032" s="3">
        <f>Vendas[[#This Row],[Valor da Venda]]-(_xlfn.XLOOKUP(Vendas[[#This Row],[ID Item Vendido]],Agregado[ID],Agregado[Custo])*Vendas[[#This Row],[Qnt Vendida]])</f>
        <v>55.200000000000017</v>
      </c>
      <c r="K4032" s="70">
        <f>Vendas[[#This Row],[Lucro da Venda]]/Vendas[[#This Row],[Valor da Venda]]</f>
        <v>0.25531914893617025</v>
      </c>
      <c r="L4032" s="3">
        <f>_xlfn.IFS(Vendas[[#This Row],[Margem de Lucro (%)]]&lt;15%,Vendas[[#This Row],[Valor da Venda]]*3%,Vendas[[#This Row],[Margem de Lucro (%)]]&lt;=20%,Vendas[[#This Row],[Valor da Venda]]*4.5%,TRUE,Vendas[[#This Row],[Valor da Venda]]*6%)</f>
        <v>12.972000000000001</v>
      </c>
      <c r="M4032"/>
    </row>
    <row r="4033" spans="1:13" x14ac:dyDescent="0.3">
      <c r="A4033" s="7">
        <v>400248</v>
      </c>
      <c r="B4033" t="str">
        <f>_xlfn.XLOOKUP(Vendas[[#This Row],[ID Vendedor]],Vendedores[ID],Vendedores[Nome])</f>
        <v>Patrícia</v>
      </c>
      <c r="C4033" s="7" t="str">
        <f>_xlfn.XLOOKUP(Vendas[[#This Row],[ID Vendedor]],Vendedores[ID],Vendedores[Setor])</f>
        <v>CM</v>
      </c>
      <c r="D4033" s="7" t="s">
        <v>43</v>
      </c>
      <c r="E4033" t="str">
        <f>_xlfn.XLOOKUP(Vendas[[#This Row],[ID Item Vendido]],Agregado[ID],Agregado[Produto])</f>
        <v>Madeira Bruta (Tora)</v>
      </c>
      <c r="F4033" s="39">
        <v>45601</v>
      </c>
      <c r="G4033" s="7">
        <v>12</v>
      </c>
      <c r="H4033" s="3">
        <f>_xlfn.XLOOKUP(Vendas[[#This Row],[ID Item Vendido]],Agregado[ID],Agregado[Revenda])</f>
        <v>212</v>
      </c>
      <c r="I4033" s="3">
        <f>Vendas[[#This Row],[Valor Unitário]]*Vendas[[#This Row],[Qnt Vendida]]</f>
        <v>2544</v>
      </c>
      <c r="J4033" s="3">
        <f>Vendas[[#This Row],[Valor da Venda]]-(_xlfn.XLOOKUP(Vendas[[#This Row],[ID Item Vendido]],Agregado[ID],Agregado[Custo])*Vendas[[#This Row],[Qnt Vendida]])</f>
        <v>384</v>
      </c>
      <c r="K4033" s="70">
        <f>Vendas[[#This Row],[Lucro da Venda]]/Vendas[[#This Row],[Valor da Venda]]</f>
        <v>0.15094339622641509</v>
      </c>
      <c r="L4033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4033"/>
    </row>
    <row r="4034" spans="1:13" x14ac:dyDescent="0.3">
      <c r="A4034" s="7">
        <v>400252</v>
      </c>
      <c r="B4034" t="str">
        <f>_xlfn.XLOOKUP(Vendas[[#This Row],[ID Vendedor]],Vendedores[ID],Vendedores[Nome])</f>
        <v>Renata</v>
      </c>
      <c r="C4034" s="7" t="str">
        <f>_xlfn.XLOOKUP(Vendas[[#This Row],[ID Vendedor]],Vendedores[ID],Vendedores[Setor])</f>
        <v>AB</v>
      </c>
      <c r="D4034" s="7" t="s">
        <v>37</v>
      </c>
      <c r="E4034" t="str">
        <f>_xlfn.XLOOKUP(Vendas[[#This Row],[ID Item Vendido]],Agregado[ID],Agregado[Produto])</f>
        <v>Composto de borracha para vedação rolo 10m</v>
      </c>
      <c r="F4034" s="39">
        <v>45601</v>
      </c>
      <c r="G4034" s="7">
        <v>10</v>
      </c>
      <c r="H4034" s="3">
        <f>_xlfn.XLOOKUP(Vendas[[#This Row],[ID Item Vendido]],Agregado[ID],Agregado[Revenda])</f>
        <v>51.2</v>
      </c>
      <c r="I4034" s="3">
        <f>Vendas[[#This Row],[Valor Unitário]]*Vendas[[#This Row],[Qnt Vendida]]</f>
        <v>512</v>
      </c>
      <c r="J4034" s="3">
        <f>Vendas[[#This Row],[Valor da Venda]]-(_xlfn.XLOOKUP(Vendas[[#This Row],[ID Item Vendido]],Agregado[ID],Agregado[Custo])*Vendas[[#This Row],[Qnt Vendida]])</f>
        <v>112</v>
      </c>
      <c r="K4034" s="70">
        <f>Vendas[[#This Row],[Lucro da Venda]]/Vendas[[#This Row],[Valor da Venda]]</f>
        <v>0.21875</v>
      </c>
      <c r="L4034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4034"/>
    </row>
    <row r="4035" spans="1:13" x14ac:dyDescent="0.3">
      <c r="A4035" s="7">
        <v>400245</v>
      </c>
      <c r="B4035" t="str">
        <f>_xlfn.XLOOKUP(Vendas[[#This Row],[ID Vendedor]],Vendedores[ID],Vendedores[Nome])</f>
        <v>Thiago</v>
      </c>
      <c r="C4035" s="7" t="str">
        <f>_xlfn.XLOOKUP(Vendas[[#This Row],[ID Vendedor]],Vendedores[ID],Vendedores[Setor])</f>
        <v>AHD</v>
      </c>
      <c r="D4035" s="7" t="s">
        <v>44</v>
      </c>
      <c r="E4035" t="str">
        <f>_xlfn.XLOOKUP(Vendas[[#This Row],[ID Item Vendido]],Agregado[ID],Agregado[Produto])</f>
        <v>Liga metálica especial</v>
      </c>
      <c r="F4035" s="39">
        <v>45601</v>
      </c>
      <c r="G4035" s="7">
        <v>10</v>
      </c>
      <c r="H4035" s="3">
        <f>_xlfn.XLOOKUP(Vendas[[#This Row],[ID Item Vendido]],Agregado[ID],Agregado[Revenda])</f>
        <v>32.5</v>
      </c>
      <c r="I4035" s="3">
        <f>Vendas[[#This Row],[Valor Unitário]]*Vendas[[#This Row],[Qnt Vendida]]</f>
        <v>325</v>
      </c>
      <c r="J4035" s="3">
        <f>Vendas[[#This Row],[Valor da Venda]]-(_xlfn.XLOOKUP(Vendas[[#This Row],[ID Item Vendido]],Agregado[ID],Agregado[Custo])*Vendas[[#This Row],[Qnt Vendida]])</f>
        <v>75</v>
      </c>
      <c r="K4035" s="70">
        <f>Vendas[[#This Row],[Lucro da Venda]]/Vendas[[#This Row],[Valor da Venda]]</f>
        <v>0.23076923076923078</v>
      </c>
      <c r="L4035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4035"/>
    </row>
    <row r="4036" spans="1:13" x14ac:dyDescent="0.3">
      <c r="A4036" s="7">
        <v>400254</v>
      </c>
      <c r="B4036" t="str">
        <f>_xlfn.XLOOKUP(Vendas[[#This Row],[ID Vendedor]],Vendedores[ID],Vendedores[Nome])</f>
        <v>Beatriz</v>
      </c>
      <c r="C4036" s="7" t="str">
        <f>_xlfn.XLOOKUP(Vendas[[#This Row],[ID Vendedor]],Vendedores[ID],Vendedores[Setor])</f>
        <v>SC</v>
      </c>
      <c r="D4036" s="7" t="s">
        <v>42</v>
      </c>
      <c r="E4036" t="str">
        <f>_xlfn.XLOOKUP(Vendas[[#This Row],[ID Item Vendido]],Agregado[ID],Agregado[Produto])</f>
        <v>Container de ferro industrial</v>
      </c>
      <c r="F4036" s="39">
        <v>45602</v>
      </c>
      <c r="G4036" s="7">
        <v>5</v>
      </c>
      <c r="H4036" s="3">
        <f>_xlfn.XLOOKUP(Vendas[[#This Row],[ID Item Vendido]],Agregado[ID],Agregado[Revenda])</f>
        <v>830</v>
      </c>
      <c r="I4036" s="3">
        <f>Vendas[[#This Row],[Valor Unitário]]*Vendas[[#This Row],[Qnt Vendida]]</f>
        <v>4150</v>
      </c>
      <c r="J4036" s="3">
        <f>Vendas[[#This Row],[Valor da Venda]]-(_xlfn.XLOOKUP(Vendas[[#This Row],[ID Item Vendido]],Agregado[ID],Agregado[Custo])*Vendas[[#This Row],[Qnt Vendida]])</f>
        <v>750</v>
      </c>
      <c r="K4036" s="70">
        <f>Vendas[[#This Row],[Lucro da Venda]]/Vendas[[#This Row],[Valor da Venda]]</f>
        <v>0.18072289156626506</v>
      </c>
      <c r="L403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036"/>
    </row>
    <row r="4037" spans="1:13" x14ac:dyDescent="0.3">
      <c r="A4037" s="7">
        <v>400254</v>
      </c>
      <c r="B4037" t="str">
        <f>_xlfn.XLOOKUP(Vendas[[#This Row],[ID Vendedor]],Vendedores[ID],Vendedores[Nome])</f>
        <v>Beatriz</v>
      </c>
      <c r="C4037" s="7" t="str">
        <f>_xlfn.XLOOKUP(Vendas[[#This Row],[ID Vendedor]],Vendedores[ID],Vendedores[Setor])</f>
        <v>SC</v>
      </c>
      <c r="D4037" s="7" t="s">
        <v>14</v>
      </c>
      <c r="E4037" t="str">
        <f>_xlfn.XLOOKUP(Vendas[[#This Row],[ID Item Vendido]],Agregado[ID],Agregado[Produto])</f>
        <v>Barril de plástico 200L</v>
      </c>
      <c r="F4037" s="39">
        <v>45602</v>
      </c>
      <c r="G4037" s="7">
        <v>5</v>
      </c>
      <c r="H4037" s="3">
        <f>_xlfn.XLOOKUP(Vendas[[#This Row],[ID Item Vendido]],Agregado[ID],Agregado[Revenda])</f>
        <v>114</v>
      </c>
      <c r="I4037" s="3">
        <f>Vendas[[#This Row],[Valor Unitário]]*Vendas[[#This Row],[Qnt Vendida]]</f>
        <v>570</v>
      </c>
      <c r="J4037" s="3">
        <f>Vendas[[#This Row],[Valor da Venda]]-(_xlfn.XLOOKUP(Vendas[[#This Row],[ID Item Vendido]],Agregado[ID],Agregado[Custo])*Vendas[[#This Row],[Qnt Vendida]])</f>
        <v>95</v>
      </c>
      <c r="K4037" s="70">
        <f>Vendas[[#This Row],[Lucro da Venda]]/Vendas[[#This Row],[Valor da Venda]]</f>
        <v>0.16666666666666666</v>
      </c>
      <c r="L4037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4037"/>
    </row>
    <row r="4038" spans="1:13" x14ac:dyDescent="0.3">
      <c r="A4038" s="7">
        <v>400252</v>
      </c>
      <c r="B4038" t="str">
        <f>_xlfn.XLOOKUP(Vendas[[#This Row],[ID Vendedor]],Vendedores[ID],Vendedores[Nome])</f>
        <v>Renata</v>
      </c>
      <c r="C4038" s="7" t="str">
        <f>_xlfn.XLOOKUP(Vendas[[#This Row],[ID Vendedor]],Vendedores[ID],Vendedores[Setor])</f>
        <v>AB</v>
      </c>
      <c r="D4038" s="7" t="s">
        <v>37</v>
      </c>
      <c r="E4038" t="str">
        <f>_xlfn.XLOOKUP(Vendas[[#This Row],[ID Item Vendido]],Agregado[ID],Agregado[Produto])</f>
        <v>Composto de borracha para vedação rolo 10m</v>
      </c>
      <c r="F4038" s="39">
        <v>45603</v>
      </c>
      <c r="G4038" s="7">
        <v>19</v>
      </c>
      <c r="H4038" s="3">
        <f>_xlfn.XLOOKUP(Vendas[[#This Row],[ID Item Vendido]],Agregado[ID],Agregado[Revenda])</f>
        <v>51.2</v>
      </c>
      <c r="I4038" s="3">
        <f>Vendas[[#This Row],[Valor Unitário]]*Vendas[[#This Row],[Qnt Vendida]]</f>
        <v>972.80000000000007</v>
      </c>
      <c r="J4038" s="3">
        <f>Vendas[[#This Row],[Valor da Venda]]-(_xlfn.XLOOKUP(Vendas[[#This Row],[ID Item Vendido]],Agregado[ID],Agregado[Custo])*Vendas[[#This Row],[Qnt Vendida]])</f>
        <v>212.80000000000007</v>
      </c>
      <c r="K4038" s="70">
        <f>Vendas[[#This Row],[Lucro da Venda]]/Vendas[[#This Row],[Valor da Venda]]</f>
        <v>0.21875000000000006</v>
      </c>
      <c r="L4038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4038"/>
    </row>
    <row r="4039" spans="1:13" x14ac:dyDescent="0.3">
      <c r="A4039" s="7">
        <v>400247</v>
      </c>
      <c r="B4039" t="str">
        <f>_xlfn.XLOOKUP(Vendas[[#This Row],[ID Vendedor]],Vendedores[ID],Vendedores[Nome])</f>
        <v>André</v>
      </c>
      <c r="C4039" s="7" t="str">
        <f>_xlfn.XLOOKUP(Vendas[[#This Row],[ID Vendedor]],Vendedores[ID],Vendedores[Setor])</f>
        <v>CM</v>
      </c>
      <c r="D4039" s="7" t="s">
        <v>34</v>
      </c>
      <c r="E4039" t="str">
        <f>_xlfn.XLOOKUP(Vendas[[#This Row],[ID Item Vendido]],Agregado[ID],Agregado[Produto])</f>
        <v>Restos de madeira p/ MDP/OSB saco de 20kg</v>
      </c>
      <c r="F4039" s="39">
        <v>45603</v>
      </c>
      <c r="G4039" s="7">
        <v>16</v>
      </c>
      <c r="H4039" s="3">
        <f>_xlfn.XLOOKUP(Vendas[[#This Row],[ID Item Vendido]],Agregado[ID],Agregado[Revenda])</f>
        <v>13.8</v>
      </c>
      <c r="I4039" s="3">
        <f>Vendas[[#This Row],[Valor Unitário]]*Vendas[[#This Row],[Qnt Vendida]]</f>
        <v>220.8</v>
      </c>
      <c r="J4039" s="3">
        <f>Vendas[[#This Row],[Valor da Venda]]-(_xlfn.XLOOKUP(Vendas[[#This Row],[ID Item Vendido]],Agregado[ID],Agregado[Custo])*Vendas[[#This Row],[Qnt Vendida]])</f>
        <v>28.800000000000011</v>
      </c>
      <c r="K4039" s="70">
        <f>Vendas[[#This Row],[Lucro da Venda]]/Vendas[[#This Row],[Valor da Venda]]</f>
        <v>0.1304347826086957</v>
      </c>
      <c r="L4039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4039"/>
    </row>
    <row r="4040" spans="1:13" x14ac:dyDescent="0.3">
      <c r="A4040" s="7">
        <v>400245</v>
      </c>
      <c r="B4040" t="str">
        <f>_xlfn.XLOOKUP(Vendas[[#This Row],[ID Vendedor]],Vendedores[ID],Vendedores[Nome])</f>
        <v>Thiago</v>
      </c>
      <c r="C4040" s="7" t="str">
        <f>_xlfn.XLOOKUP(Vendas[[#This Row],[ID Vendedor]],Vendedores[ID],Vendedores[Setor])</f>
        <v>AHD</v>
      </c>
      <c r="D4040" s="7" t="s">
        <v>44</v>
      </c>
      <c r="E4040" t="str">
        <f>_xlfn.XLOOKUP(Vendas[[#This Row],[ID Item Vendido]],Agregado[ID],Agregado[Produto])</f>
        <v>Liga metálica especial</v>
      </c>
      <c r="F4040" s="39">
        <v>45604</v>
      </c>
      <c r="G4040" s="7">
        <v>28</v>
      </c>
      <c r="H4040" s="3">
        <f>_xlfn.XLOOKUP(Vendas[[#This Row],[ID Item Vendido]],Agregado[ID],Agregado[Revenda])</f>
        <v>32.5</v>
      </c>
      <c r="I4040" s="3">
        <f>Vendas[[#This Row],[Valor Unitário]]*Vendas[[#This Row],[Qnt Vendida]]</f>
        <v>910</v>
      </c>
      <c r="J4040" s="3">
        <f>Vendas[[#This Row],[Valor da Venda]]-(_xlfn.XLOOKUP(Vendas[[#This Row],[ID Item Vendido]],Agregado[ID],Agregado[Custo])*Vendas[[#This Row],[Qnt Vendida]])</f>
        <v>210</v>
      </c>
      <c r="K4040" s="70">
        <f>Vendas[[#This Row],[Lucro da Venda]]/Vendas[[#This Row],[Valor da Venda]]</f>
        <v>0.23076923076923078</v>
      </c>
      <c r="L4040" s="3">
        <f>_xlfn.IFS(Vendas[[#This Row],[Margem de Lucro (%)]]&lt;15%,Vendas[[#This Row],[Valor da Venda]]*3%,Vendas[[#This Row],[Margem de Lucro (%)]]&lt;=20%,Vendas[[#This Row],[Valor da Venda]]*4.5%,TRUE,Vendas[[#This Row],[Valor da Venda]]*6%)</f>
        <v>54.6</v>
      </c>
      <c r="M4040"/>
    </row>
    <row r="4041" spans="1:13" x14ac:dyDescent="0.3">
      <c r="A4041" s="7">
        <v>400244</v>
      </c>
      <c r="B4041" t="str">
        <f>_xlfn.XLOOKUP(Vendas[[#This Row],[ID Vendedor]],Vendedores[ID],Vendedores[Nome])</f>
        <v>Camila</v>
      </c>
      <c r="C4041" s="7" t="str">
        <f>_xlfn.XLOOKUP(Vendas[[#This Row],[ID Vendedor]],Vendedores[ID],Vendedores[Setor])</f>
        <v>AHD</v>
      </c>
      <c r="D4041" s="7" t="s">
        <v>44</v>
      </c>
      <c r="E4041" t="str">
        <f>_xlfn.XLOOKUP(Vendas[[#This Row],[ID Item Vendido]],Agregado[ID],Agregado[Produto])</f>
        <v>Liga metálica especial</v>
      </c>
      <c r="F4041" s="39">
        <v>45604</v>
      </c>
      <c r="G4041" s="7">
        <v>27</v>
      </c>
      <c r="H4041" s="3">
        <f>_xlfn.XLOOKUP(Vendas[[#This Row],[ID Item Vendido]],Agregado[ID],Agregado[Revenda])</f>
        <v>32.5</v>
      </c>
      <c r="I4041" s="3">
        <f>Vendas[[#This Row],[Valor Unitário]]*Vendas[[#This Row],[Qnt Vendida]]</f>
        <v>877.5</v>
      </c>
      <c r="J4041" s="3">
        <f>Vendas[[#This Row],[Valor da Venda]]-(_xlfn.XLOOKUP(Vendas[[#This Row],[ID Item Vendido]],Agregado[ID],Agregado[Custo])*Vendas[[#This Row],[Qnt Vendida]])</f>
        <v>202.5</v>
      </c>
      <c r="K4041" s="70">
        <f>Vendas[[#This Row],[Lucro da Venda]]/Vendas[[#This Row],[Valor da Venda]]</f>
        <v>0.23076923076923078</v>
      </c>
      <c r="L4041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4041"/>
    </row>
    <row r="4042" spans="1:13" x14ac:dyDescent="0.3">
      <c r="A4042" s="7">
        <v>400254</v>
      </c>
      <c r="B4042" t="str">
        <f>_xlfn.XLOOKUP(Vendas[[#This Row],[ID Vendedor]],Vendedores[ID],Vendedores[Nome])</f>
        <v>Beatriz</v>
      </c>
      <c r="C4042" s="7" t="str">
        <f>_xlfn.XLOOKUP(Vendas[[#This Row],[ID Vendedor]],Vendedores[ID],Vendedores[Setor])</f>
        <v>SC</v>
      </c>
      <c r="D4042" s="7" t="s">
        <v>25</v>
      </c>
      <c r="E4042" t="str">
        <f>_xlfn.XLOOKUP(Vendas[[#This Row],[ID Item Vendido]],Agregado[ID],Agregado[Produto])</f>
        <v>Palete de plástico</v>
      </c>
      <c r="F4042" s="39">
        <v>45604</v>
      </c>
      <c r="G4042" s="7">
        <v>10</v>
      </c>
      <c r="H4042" s="3">
        <f>_xlfn.XLOOKUP(Vendas[[#This Row],[ID Item Vendido]],Agregado[ID],Agregado[Revenda])</f>
        <v>70.8</v>
      </c>
      <c r="I4042" s="3">
        <f>Vendas[[#This Row],[Valor Unitário]]*Vendas[[#This Row],[Qnt Vendida]]</f>
        <v>708</v>
      </c>
      <c r="J4042" s="3">
        <f>Vendas[[#This Row],[Valor da Venda]]-(_xlfn.XLOOKUP(Vendas[[#This Row],[ID Item Vendido]],Agregado[ID],Agregado[Custo])*Vendas[[#This Row],[Qnt Vendida]])</f>
        <v>108</v>
      </c>
      <c r="K4042" s="70">
        <f>Vendas[[#This Row],[Lucro da Venda]]/Vendas[[#This Row],[Valor da Venda]]</f>
        <v>0.15254237288135594</v>
      </c>
      <c r="L4042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4042"/>
    </row>
    <row r="4043" spans="1:13" x14ac:dyDescent="0.3">
      <c r="A4043" s="7">
        <v>400249</v>
      </c>
      <c r="B4043" t="str">
        <f>_xlfn.XLOOKUP(Vendas[[#This Row],[ID Vendedor]],Vendedores[ID],Vendedores[Nome])</f>
        <v>Bruno</v>
      </c>
      <c r="C4043" s="7" t="str">
        <f>_xlfn.XLOOKUP(Vendas[[#This Row],[ID Vendedor]],Vendedores[ID],Vendedores[Setor])</f>
        <v>CM</v>
      </c>
      <c r="D4043" s="7" t="s">
        <v>32</v>
      </c>
      <c r="E4043" t="str">
        <f>_xlfn.XLOOKUP(Vendas[[#This Row],[ID Item Vendido]],Agregado[ID],Agregado[Produto])</f>
        <v>Tábua tratada e cortada 3m</v>
      </c>
      <c r="F4043" s="39">
        <v>45604</v>
      </c>
      <c r="G4043" s="7">
        <v>8</v>
      </c>
      <c r="H4043" s="3">
        <f>_xlfn.XLOOKUP(Vendas[[#This Row],[ID Item Vendido]],Agregado[ID],Agregado[Revenda])</f>
        <v>39</v>
      </c>
      <c r="I4043" s="3">
        <f>Vendas[[#This Row],[Valor Unitário]]*Vendas[[#This Row],[Qnt Vendida]]</f>
        <v>312</v>
      </c>
      <c r="J4043" s="3">
        <f>Vendas[[#This Row],[Valor da Venda]]-(_xlfn.XLOOKUP(Vendas[[#This Row],[ID Item Vendido]],Agregado[ID],Agregado[Custo])*Vendas[[#This Row],[Qnt Vendida]])</f>
        <v>56</v>
      </c>
      <c r="K4043" s="70">
        <f>Vendas[[#This Row],[Lucro da Venda]]/Vendas[[#This Row],[Valor da Venda]]</f>
        <v>0.17948717948717949</v>
      </c>
      <c r="L404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4043"/>
    </row>
    <row r="4044" spans="1:13" x14ac:dyDescent="0.3">
      <c r="A4044" s="7">
        <v>400252</v>
      </c>
      <c r="B4044" t="str">
        <f>_xlfn.XLOOKUP(Vendas[[#This Row],[ID Vendedor]],Vendedores[ID],Vendedores[Nome])</f>
        <v>Renata</v>
      </c>
      <c r="C4044" s="7" t="str">
        <f>_xlfn.XLOOKUP(Vendas[[#This Row],[ID Vendedor]],Vendedores[ID],Vendedores[Setor])</f>
        <v>AB</v>
      </c>
      <c r="D4044" s="7" t="s">
        <v>37</v>
      </c>
      <c r="E4044" t="str">
        <f>_xlfn.XLOOKUP(Vendas[[#This Row],[ID Item Vendido]],Agregado[ID],Agregado[Produto])</f>
        <v>Composto de borracha para vedação rolo 10m</v>
      </c>
      <c r="F4044" s="39">
        <v>45605</v>
      </c>
      <c r="G4044" s="7">
        <v>24</v>
      </c>
      <c r="H4044" s="3">
        <f>_xlfn.XLOOKUP(Vendas[[#This Row],[ID Item Vendido]],Agregado[ID],Agregado[Revenda])</f>
        <v>51.2</v>
      </c>
      <c r="I4044" s="3">
        <f>Vendas[[#This Row],[Valor Unitário]]*Vendas[[#This Row],[Qnt Vendida]]</f>
        <v>1228.8000000000002</v>
      </c>
      <c r="J4044" s="3">
        <f>Vendas[[#This Row],[Valor da Venda]]-(_xlfn.XLOOKUP(Vendas[[#This Row],[ID Item Vendido]],Agregado[ID],Agregado[Custo])*Vendas[[#This Row],[Qnt Vendida]])</f>
        <v>268.80000000000018</v>
      </c>
      <c r="K4044" s="70">
        <f>Vendas[[#This Row],[Lucro da Venda]]/Vendas[[#This Row],[Valor da Venda]]</f>
        <v>0.21875000000000011</v>
      </c>
      <c r="L4044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4044"/>
    </row>
    <row r="4045" spans="1:13" x14ac:dyDescent="0.3">
      <c r="A4045" s="7">
        <v>400252</v>
      </c>
      <c r="B4045" t="str">
        <f>_xlfn.XLOOKUP(Vendas[[#This Row],[ID Vendedor]],Vendedores[ID],Vendedores[Nome])</f>
        <v>Renata</v>
      </c>
      <c r="C4045" s="7" t="str">
        <f>_xlfn.XLOOKUP(Vendas[[#This Row],[ID Vendedor]],Vendedores[ID],Vendedores[Setor])</f>
        <v>AB</v>
      </c>
      <c r="D4045" s="7" t="s">
        <v>37</v>
      </c>
      <c r="E4045" t="str">
        <f>_xlfn.XLOOKUP(Vendas[[#This Row],[ID Item Vendido]],Agregado[ID],Agregado[Produto])</f>
        <v>Composto de borracha para vedação rolo 10m</v>
      </c>
      <c r="F4045" s="39">
        <v>45605</v>
      </c>
      <c r="G4045" s="7">
        <v>17</v>
      </c>
      <c r="H4045" s="3">
        <f>_xlfn.XLOOKUP(Vendas[[#This Row],[ID Item Vendido]],Agregado[ID],Agregado[Revenda])</f>
        <v>51.2</v>
      </c>
      <c r="I4045" s="3">
        <f>Vendas[[#This Row],[Valor Unitário]]*Vendas[[#This Row],[Qnt Vendida]]</f>
        <v>870.40000000000009</v>
      </c>
      <c r="J4045" s="3">
        <f>Vendas[[#This Row],[Valor da Venda]]-(_xlfn.XLOOKUP(Vendas[[#This Row],[ID Item Vendido]],Agregado[ID],Agregado[Custo])*Vendas[[#This Row],[Qnt Vendida]])</f>
        <v>190.40000000000009</v>
      </c>
      <c r="K4045" s="70">
        <f>Vendas[[#This Row],[Lucro da Venda]]/Vendas[[#This Row],[Valor da Venda]]</f>
        <v>0.21875000000000008</v>
      </c>
      <c r="L404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4045"/>
    </row>
    <row r="4046" spans="1:13" x14ac:dyDescent="0.3">
      <c r="A4046" s="7">
        <v>400241</v>
      </c>
      <c r="B4046" t="str">
        <f>_xlfn.XLOOKUP(Vendas[[#This Row],[ID Vendedor]],Vendedores[ID],Vendedores[Nome])</f>
        <v>Rodrigo</v>
      </c>
      <c r="C4046" s="7" t="str">
        <f>_xlfn.XLOOKUP(Vendas[[#This Row],[ID Vendedor]],Vendedores[ID],Vendedores[Setor])</f>
        <v>FM</v>
      </c>
      <c r="D4046" s="7" t="s">
        <v>47</v>
      </c>
      <c r="E4046" t="str">
        <f>_xlfn.XLOOKUP(Vendas[[#This Row],[ID Item Vendido]],Agregado[ID],Agregado[Produto])</f>
        <v>Fio de arame galvanizado rolo 50m</v>
      </c>
      <c r="F4046" s="39">
        <v>45605</v>
      </c>
      <c r="G4046" s="7">
        <v>29</v>
      </c>
      <c r="H4046" s="3">
        <f>_xlfn.XLOOKUP(Vendas[[#This Row],[ID Item Vendido]],Agregado[ID],Agregado[Revenda])</f>
        <v>21.2</v>
      </c>
      <c r="I4046" s="3">
        <f>Vendas[[#This Row],[Valor Unitário]]*Vendas[[#This Row],[Qnt Vendida]]</f>
        <v>614.79999999999995</v>
      </c>
      <c r="J4046" s="3">
        <f>Vendas[[#This Row],[Valor da Venda]]-(_xlfn.XLOOKUP(Vendas[[#This Row],[ID Item Vendido]],Agregado[ID],Agregado[Custo])*Vendas[[#This Row],[Qnt Vendida]])</f>
        <v>92.799999999999955</v>
      </c>
      <c r="K4046" s="70">
        <f>Vendas[[#This Row],[Lucro da Venda]]/Vendas[[#This Row],[Valor da Venda]]</f>
        <v>0.15094339622641503</v>
      </c>
      <c r="L4046" s="3">
        <f>_xlfn.IFS(Vendas[[#This Row],[Margem de Lucro (%)]]&lt;15%,Vendas[[#This Row],[Valor da Venda]]*3%,Vendas[[#This Row],[Margem de Lucro (%)]]&lt;=20%,Vendas[[#This Row],[Valor da Venda]]*4.5%,TRUE,Vendas[[#This Row],[Valor da Venda]]*6%)</f>
        <v>27.665999999999997</v>
      </c>
      <c r="M4046"/>
    </row>
    <row r="4047" spans="1:13" x14ac:dyDescent="0.3">
      <c r="A4047" s="7">
        <v>400254</v>
      </c>
      <c r="B4047" t="str">
        <f>_xlfn.XLOOKUP(Vendas[[#This Row],[ID Vendedor]],Vendedores[ID],Vendedores[Nome])</f>
        <v>Beatriz</v>
      </c>
      <c r="C4047" s="7" t="str">
        <f>_xlfn.XLOOKUP(Vendas[[#This Row],[ID Vendedor]],Vendedores[ID],Vendedores[Setor])</f>
        <v>SC</v>
      </c>
      <c r="D4047" s="7" t="s">
        <v>42</v>
      </c>
      <c r="E4047" t="str">
        <f>_xlfn.XLOOKUP(Vendas[[#This Row],[ID Item Vendido]],Agregado[ID],Agregado[Produto])</f>
        <v>Container de ferro industrial</v>
      </c>
      <c r="F4047" s="39">
        <v>45606</v>
      </c>
      <c r="G4047" s="7">
        <v>6</v>
      </c>
      <c r="H4047" s="3">
        <f>_xlfn.XLOOKUP(Vendas[[#This Row],[ID Item Vendido]],Agregado[ID],Agregado[Revenda])</f>
        <v>830</v>
      </c>
      <c r="I4047" s="3">
        <f>Vendas[[#This Row],[Valor Unitário]]*Vendas[[#This Row],[Qnt Vendida]]</f>
        <v>4980</v>
      </c>
      <c r="J4047" s="3">
        <f>Vendas[[#This Row],[Valor da Venda]]-(_xlfn.XLOOKUP(Vendas[[#This Row],[ID Item Vendido]],Agregado[ID],Agregado[Custo])*Vendas[[#This Row],[Qnt Vendida]])</f>
        <v>900</v>
      </c>
      <c r="K4047" s="70">
        <f>Vendas[[#This Row],[Lucro da Venda]]/Vendas[[#This Row],[Valor da Venda]]</f>
        <v>0.18072289156626506</v>
      </c>
      <c r="L4047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4047"/>
    </row>
    <row r="4048" spans="1:13" x14ac:dyDescent="0.3">
      <c r="A4048" s="7">
        <v>400248</v>
      </c>
      <c r="B4048" t="str">
        <f>_xlfn.XLOOKUP(Vendas[[#This Row],[ID Vendedor]],Vendedores[ID],Vendedores[Nome])</f>
        <v>Patrícia</v>
      </c>
      <c r="C4048" s="7" t="str">
        <f>_xlfn.XLOOKUP(Vendas[[#This Row],[ID Vendedor]],Vendedores[ID],Vendedores[Setor])</f>
        <v>CM</v>
      </c>
      <c r="D4048" s="7" t="s">
        <v>43</v>
      </c>
      <c r="E4048" t="str">
        <f>_xlfn.XLOOKUP(Vendas[[#This Row],[ID Item Vendido]],Agregado[ID],Agregado[Produto])</f>
        <v>Madeira Bruta (Tora)</v>
      </c>
      <c r="F4048" s="39">
        <v>45606</v>
      </c>
      <c r="G4048" s="7">
        <v>14</v>
      </c>
      <c r="H4048" s="3">
        <f>_xlfn.XLOOKUP(Vendas[[#This Row],[ID Item Vendido]],Agregado[ID],Agregado[Revenda])</f>
        <v>212</v>
      </c>
      <c r="I4048" s="3">
        <f>Vendas[[#This Row],[Valor Unitário]]*Vendas[[#This Row],[Qnt Vendida]]</f>
        <v>2968</v>
      </c>
      <c r="J4048" s="3">
        <f>Vendas[[#This Row],[Valor da Venda]]-(_xlfn.XLOOKUP(Vendas[[#This Row],[ID Item Vendido]],Agregado[ID],Agregado[Custo])*Vendas[[#This Row],[Qnt Vendida]])</f>
        <v>448</v>
      </c>
      <c r="K4048" s="70">
        <f>Vendas[[#This Row],[Lucro da Venda]]/Vendas[[#This Row],[Valor da Venda]]</f>
        <v>0.15094339622641509</v>
      </c>
      <c r="L4048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4048"/>
    </row>
    <row r="4049" spans="1:13" x14ac:dyDescent="0.3">
      <c r="A4049" s="7">
        <v>400253</v>
      </c>
      <c r="B4049" t="str">
        <f>_xlfn.XLOOKUP(Vendas[[#This Row],[ID Vendedor]],Vendedores[ID],Vendedores[Nome])</f>
        <v>Gustavo</v>
      </c>
      <c r="C4049" s="7" t="str">
        <f>_xlfn.XLOOKUP(Vendas[[#This Row],[ID Vendedor]],Vendedores[ID],Vendedores[Setor])</f>
        <v>SC</v>
      </c>
      <c r="D4049" s="7" t="s">
        <v>14</v>
      </c>
      <c r="E4049" t="str">
        <f>_xlfn.XLOOKUP(Vendas[[#This Row],[ID Item Vendido]],Agregado[ID],Agregado[Produto])</f>
        <v>Barril de plástico 200L</v>
      </c>
      <c r="F4049" s="39">
        <v>45606</v>
      </c>
      <c r="G4049" s="7">
        <v>12</v>
      </c>
      <c r="H4049" s="3">
        <f>_xlfn.XLOOKUP(Vendas[[#This Row],[ID Item Vendido]],Agregado[ID],Agregado[Revenda])</f>
        <v>114</v>
      </c>
      <c r="I4049" s="3">
        <f>Vendas[[#This Row],[Valor Unitário]]*Vendas[[#This Row],[Qnt Vendida]]</f>
        <v>1368</v>
      </c>
      <c r="J4049" s="3">
        <f>Vendas[[#This Row],[Valor da Venda]]-(_xlfn.XLOOKUP(Vendas[[#This Row],[ID Item Vendido]],Agregado[ID],Agregado[Custo])*Vendas[[#This Row],[Qnt Vendida]])</f>
        <v>228</v>
      </c>
      <c r="K4049" s="70">
        <f>Vendas[[#This Row],[Lucro da Venda]]/Vendas[[#This Row],[Valor da Venda]]</f>
        <v>0.16666666666666666</v>
      </c>
      <c r="L4049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4049"/>
    </row>
    <row r="4050" spans="1:13" x14ac:dyDescent="0.3">
      <c r="A4050" s="7">
        <v>400248</v>
      </c>
      <c r="B4050" t="str">
        <f>_xlfn.XLOOKUP(Vendas[[#This Row],[ID Vendedor]],Vendedores[ID],Vendedores[Nome])</f>
        <v>Patrícia</v>
      </c>
      <c r="C4050" s="7" t="str">
        <f>_xlfn.XLOOKUP(Vendas[[#This Row],[ID Vendedor]],Vendedores[ID],Vendedores[Setor])</f>
        <v>CM</v>
      </c>
      <c r="D4050" s="7" t="s">
        <v>32</v>
      </c>
      <c r="E4050" t="str">
        <f>_xlfn.XLOOKUP(Vendas[[#This Row],[ID Item Vendido]],Agregado[ID],Agregado[Produto])</f>
        <v>Tábua tratada e cortada 3m</v>
      </c>
      <c r="F4050" s="39">
        <v>45606</v>
      </c>
      <c r="G4050" s="7">
        <v>32</v>
      </c>
      <c r="H4050" s="3">
        <f>_xlfn.XLOOKUP(Vendas[[#This Row],[ID Item Vendido]],Agregado[ID],Agregado[Revenda])</f>
        <v>39</v>
      </c>
      <c r="I4050" s="3">
        <f>Vendas[[#This Row],[Valor Unitário]]*Vendas[[#This Row],[Qnt Vendida]]</f>
        <v>1248</v>
      </c>
      <c r="J4050" s="3">
        <f>Vendas[[#This Row],[Valor da Venda]]-(_xlfn.XLOOKUP(Vendas[[#This Row],[ID Item Vendido]],Agregado[ID],Agregado[Custo])*Vendas[[#This Row],[Qnt Vendida]])</f>
        <v>224</v>
      </c>
      <c r="K4050" s="70">
        <f>Vendas[[#This Row],[Lucro da Venda]]/Vendas[[#This Row],[Valor da Venda]]</f>
        <v>0.17948717948717949</v>
      </c>
      <c r="L4050" s="3">
        <f>_xlfn.IFS(Vendas[[#This Row],[Margem de Lucro (%)]]&lt;15%,Vendas[[#This Row],[Valor da Venda]]*3%,Vendas[[#This Row],[Margem de Lucro (%)]]&lt;=20%,Vendas[[#This Row],[Valor da Venda]]*4.5%,TRUE,Vendas[[#This Row],[Valor da Venda]]*6%)</f>
        <v>56.16</v>
      </c>
      <c r="M4050"/>
    </row>
    <row r="4051" spans="1:13" x14ac:dyDescent="0.3">
      <c r="A4051" s="7">
        <v>400246</v>
      </c>
      <c r="B4051" t="str">
        <f>_xlfn.XLOOKUP(Vendas[[#This Row],[ID Vendedor]],Vendedores[ID],Vendedores[Nome])</f>
        <v>Juliana</v>
      </c>
      <c r="C4051" s="7" t="str">
        <f>_xlfn.XLOOKUP(Vendas[[#This Row],[ID Vendedor]],Vendedores[ID],Vendedores[Setor])</f>
        <v>AHD</v>
      </c>
      <c r="D4051" s="7" t="s">
        <v>44</v>
      </c>
      <c r="E4051" t="str">
        <f>_xlfn.XLOOKUP(Vendas[[#This Row],[ID Item Vendido]],Agregado[ID],Agregado[Produto])</f>
        <v>Liga metálica especial</v>
      </c>
      <c r="F4051" s="39">
        <v>45606</v>
      </c>
      <c r="G4051" s="7">
        <v>13</v>
      </c>
      <c r="H4051" s="3">
        <f>_xlfn.XLOOKUP(Vendas[[#This Row],[ID Item Vendido]],Agregado[ID],Agregado[Revenda])</f>
        <v>32.5</v>
      </c>
      <c r="I4051" s="3">
        <f>Vendas[[#This Row],[Valor Unitário]]*Vendas[[#This Row],[Qnt Vendida]]</f>
        <v>422.5</v>
      </c>
      <c r="J4051" s="3">
        <f>Vendas[[#This Row],[Valor da Venda]]-(_xlfn.XLOOKUP(Vendas[[#This Row],[ID Item Vendido]],Agregado[ID],Agregado[Custo])*Vendas[[#This Row],[Qnt Vendida]])</f>
        <v>97.5</v>
      </c>
      <c r="K4051" s="70">
        <f>Vendas[[#This Row],[Lucro da Venda]]/Vendas[[#This Row],[Valor da Venda]]</f>
        <v>0.23076923076923078</v>
      </c>
      <c r="L4051" s="3">
        <f>_xlfn.IFS(Vendas[[#This Row],[Margem de Lucro (%)]]&lt;15%,Vendas[[#This Row],[Valor da Venda]]*3%,Vendas[[#This Row],[Margem de Lucro (%)]]&lt;=20%,Vendas[[#This Row],[Valor da Venda]]*4.5%,TRUE,Vendas[[#This Row],[Valor da Venda]]*6%)</f>
        <v>25.349999999999998</v>
      </c>
      <c r="M4051"/>
    </row>
    <row r="4052" spans="1:13" x14ac:dyDescent="0.3">
      <c r="A4052" s="7">
        <v>400249</v>
      </c>
      <c r="B4052" t="str">
        <f>_xlfn.XLOOKUP(Vendas[[#This Row],[ID Vendedor]],Vendedores[ID],Vendedores[Nome])</f>
        <v>Bruno</v>
      </c>
      <c r="C4052" s="7" t="str">
        <f>_xlfn.XLOOKUP(Vendas[[#This Row],[ID Vendedor]],Vendedores[ID],Vendedores[Setor])</f>
        <v>CM</v>
      </c>
      <c r="D4052" s="7" t="s">
        <v>32</v>
      </c>
      <c r="E4052" t="str">
        <f>_xlfn.XLOOKUP(Vendas[[#This Row],[ID Item Vendido]],Agregado[ID],Agregado[Produto])</f>
        <v>Tábua tratada e cortada 3m</v>
      </c>
      <c r="F4052" s="39">
        <v>45607</v>
      </c>
      <c r="G4052" s="7">
        <v>36</v>
      </c>
      <c r="H4052" s="3">
        <f>_xlfn.XLOOKUP(Vendas[[#This Row],[ID Item Vendido]],Agregado[ID],Agregado[Revenda])</f>
        <v>39</v>
      </c>
      <c r="I4052" s="3">
        <f>Vendas[[#This Row],[Valor Unitário]]*Vendas[[#This Row],[Qnt Vendida]]</f>
        <v>1404</v>
      </c>
      <c r="J4052" s="3">
        <f>Vendas[[#This Row],[Valor da Venda]]-(_xlfn.XLOOKUP(Vendas[[#This Row],[ID Item Vendido]],Agregado[ID],Agregado[Custo])*Vendas[[#This Row],[Qnt Vendida]])</f>
        <v>252</v>
      </c>
      <c r="K4052" s="70">
        <f>Vendas[[#This Row],[Lucro da Venda]]/Vendas[[#This Row],[Valor da Venda]]</f>
        <v>0.17948717948717949</v>
      </c>
      <c r="L4052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4052"/>
    </row>
    <row r="4053" spans="1:13" x14ac:dyDescent="0.3">
      <c r="A4053" s="7">
        <v>400244</v>
      </c>
      <c r="B4053" t="str">
        <f>_xlfn.XLOOKUP(Vendas[[#This Row],[ID Vendedor]],Vendedores[ID],Vendedores[Nome])</f>
        <v>Camila</v>
      </c>
      <c r="C4053" s="7" t="str">
        <f>_xlfn.XLOOKUP(Vendas[[#This Row],[ID Vendedor]],Vendedores[ID],Vendedores[Setor])</f>
        <v>AHD</v>
      </c>
      <c r="D4053" s="7" t="s">
        <v>9</v>
      </c>
      <c r="E4053" t="str">
        <f>_xlfn.XLOOKUP(Vendas[[#This Row],[ID Item Vendido]],Agregado[ID],Agregado[Produto])</f>
        <v>Barra de aço simples</v>
      </c>
      <c r="F4053" s="39">
        <v>45607</v>
      </c>
      <c r="G4053" s="7">
        <v>107</v>
      </c>
      <c r="H4053" s="3">
        <f>_xlfn.XLOOKUP(Vendas[[#This Row],[ID Item Vendido]],Agregado[ID],Agregado[Revenda])</f>
        <v>6.7</v>
      </c>
      <c r="I4053" s="3">
        <f>Vendas[[#This Row],[Valor Unitário]]*Vendas[[#This Row],[Qnt Vendida]]</f>
        <v>716.9</v>
      </c>
      <c r="J4053" s="3">
        <f>Vendas[[#This Row],[Valor da Venda]]-(_xlfn.XLOOKUP(Vendas[[#This Row],[ID Item Vendido]],Agregado[ID],Agregado[Custo])*Vendas[[#This Row],[Qnt Vendida]])</f>
        <v>96.299999999999955</v>
      </c>
      <c r="K4053" s="70">
        <f>Vendas[[#This Row],[Lucro da Venda]]/Vendas[[#This Row],[Valor da Venda]]</f>
        <v>0.13432835820895517</v>
      </c>
      <c r="L4053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4053"/>
    </row>
    <row r="4054" spans="1:13" x14ac:dyDescent="0.3">
      <c r="A4054" s="7">
        <v>400247</v>
      </c>
      <c r="B4054" t="str">
        <f>_xlfn.XLOOKUP(Vendas[[#This Row],[ID Vendedor]],Vendedores[ID],Vendedores[Nome])</f>
        <v>André</v>
      </c>
      <c r="C4054" s="7" t="str">
        <f>_xlfn.XLOOKUP(Vendas[[#This Row],[ID Vendedor]],Vendedores[ID],Vendedores[Setor])</f>
        <v>CM</v>
      </c>
      <c r="D4054" s="7" t="s">
        <v>34</v>
      </c>
      <c r="E4054" t="str">
        <f>_xlfn.XLOOKUP(Vendas[[#This Row],[ID Item Vendido]],Agregado[ID],Agregado[Produto])</f>
        <v>Restos de madeira p/ MDP/OSB saco de 20kg</v>
      </c>
      <c r="F4054" s="39">
        <v>45607</v>
      </c>
      <c r="G4054" s="7">
        <v>16</v>
      </c>
      <c r="H4054" s="3">
        <f>_xlfn.XLOOKUP(Vendas[[#This Row],[ID Item Vendido]],Agregado[ID],Agregado[Revenda])</f>
        <v>13.8</v>
      </c>
      <c r="I4054" s="3">
        <f>Vendas[[#This Row],[Valor Unitário]]*Vendas[[#This Row],[Qnt Vendida]]</f>
        <v>220.8</v>
      </c>
      <c r="J4054" s="3">
        <f>Vendas[[#This Row],[Valor da Venda]]-(_xlfn.XLOOKUP(Vendas[[#This Row],[ID Item Vendido]],Agregado[ID],Agregado[Custo])*Vendas[[#This Row],[Qnt Vendida]])</f>
        <v>28.800000000000011</v>
      </c>
      <c r="K4054" s="70">
        <f>Vendas[[#This Row],[Lucro da Venda]]/Vendas[[#This Row],[Valor da Venda]]</f>
        <v>0.1304347826086957</v>
      </c>
      <c r="L4054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4054"/>
    </row>
    <row r="4055" spans="1:13" x14ac:dyDescent="0.3">
      <c r="A4055" s="7">
        <v>400250</v>
      </c>
      <c r="B4055" t="str">
        <f>_xlfn.XLOOKUP(Vendas[[#This Row],[ID Vendedor]],Vendedores[ID],Vendedores[Nome])</f>
        <v>Larissa</v>
      </c>
      <c r="C4055" s="7" t="str">
        <f>_xlfn.XLOOKUP(Vendas[[#This Row],[ID Vendedor]],Vendedores[ID],Vendedores[Setor])</f>
        <v>AB</v>
      </c>
      <c r="D4055" s="7" t="s">
        <v>39</v>
      </c>
      <c r="E4055" t="str">
        <f>_xlfn.XLOOKUP(Vendas[[#This Row],[ID Item Vendido]],Agregado[ID],Agregado[Produto])</f>
        <v>Filme plástico industrial rolo 50m</v>
      </c>
      <c r="F4055" s="39">
        <v>45608</v>
      </c>
      <c r="G4055" s="7">
        <v>12</v>
      </c>
      <c r="H4055" s="3">
        <f>_xlfn.XLOOKUP(Vendas[[#This Row],[ID Item Vendido]],Agregado[ID],Agregado[Revenda])</f>
        <v>37</v>
      </c>
      <c r="I4055" s="3">
        <f>Vendas[[#This Row],[Valor Unitário]]*Vendas[[#This Row],[Qnt Vendida]]</f>
        <v>444</v>
      </c>
      <c r="J4055" s="3">
        <f>Vendas[[#This Row],[Valor da Venda]]-(_xlfn.XLOOKUP(Vendas[[#This Row],[ID Item Vendido]],Agregado[ID],Agregado[Custo])*Vendas[[#This Row],[Qnt Vendida]])</f>
        <v>108</v>
      </c>
      <c r="K4055" s="70">
        <f>Vendas[[#This Row],[Lucro da Venda]]/Vendas[[#This Row],[Valor da Venda]]</f>
        <v>0.24324324324324326</v>
      </c>
      <c r="L4055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4055"/>
    </row>
    <row r="4056" spans="1:13" x14ac:dyDescent="0.3">
      <c r="A4056" s="7">
        <v>400255</v>
      </c>
      <c r="B4056" t="str">
        <f>_xlfn.XLOOKUP(Vendas[[#This Row],[ID Vendedor]],Vendedores[ID],Vendedores[Nome])</f>
        <v>Carlos</v>
      </c>
      <c r="C4056" s="7" t="str">
        <f>_xlfn.XLOOKUP(Vendas[[#This Row],[ID Vendedor]],Vendedores[ID],Vendedores[Setor])</f>
        <v>SC</v>
      </c>
      <c r="D4056" s="7" t="s">
        <v>41</v>
      </c>
      <c r="E4056" t="str">
        <f>_xlfn.XLOOKUP(Vendas[[#This Row],[ID Item Vendido]],Agregado[ID],Agregado[Produto])</f>
        <v>Palete de madeira reforçado</v>
      </c>
      <c r="F4056" s="39">
        <v>45610</v>
      </c>
      <c r="G4056" s="7">
        <v>5</v>
      </c>
      <c r="H4056" s="3">
        <f>_xlfn.XLOOKUP(Vendas[[#This Row],[ID Item Vendido]],Agregado[ID],Agregado[Revenda])</f>
        <v>131</v>
      </c>
      <c r="I4056" s="3">
        <f>Vendas[[#This Row],[Valor Unitário]]*Vendas[[#This Row],[Qnt Vendida]]</f>
        <v>655</v>
      </c>
      <c r="J4056" s="3">
        <f>Vendas[[#This Row],[Valor da Venda]]-(_xlfn.XLOOKUP(Vendas[[#This Row],[ID Item Vendido]],Agregado[ID],Agregado[Custo])*Vendas[[#This Row],[Qnt Vendida]])</f>
        <v>105</v>
      </c>
      <c r="K4056" s="70">
        <f>Vendas[[#This Row],[Lucro da Venda]]/Vendas[[#This Row],[Valor da Venda]]</f>
        <v>0.16030534351145037</v>
      </c>
      <c r="L4056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4056"/>
    </row>
    <row r="4057" spans="1:13" x14ac:dyDescent="0.3">
      <c r="A4057" s="7">
        <v>400250</v>
      </c>
      <c r="B4057" t="str">
        <f>_xlfn.XLOOKUP(Vendas[[#This Row],[ID Vendedor]],Vendedores[ID],Vendedores[Nome])</f>
        <v>Larissa</v>
      </c>
      <c r="C4057" s="7" t="str">
        <f>_xlfn.XLOOKUP(Vendas[[#This Row],[ID Vendedor]],Vendedores[ID],Vendedores[Setor])</f>
        <v>AB</v>
      </c>
      <c r="D4057" s="7" t="s">
        <v>36</v>
      </c>
      <c r="E4057" t="str">
        <f>_xlfn.XLOOKUP(Vendas[[#This Row],[ID Item Vendido]],Agregado[ID],Agregado[Produto])</f>
        <v>Borracha vulcanizada em manta</v>
      </c>
      <c r="F4057" s="39">
        <v>45612</v>
      </c>
      <c r="G4057" s="7">
        <v>62</v>
      </c>
      <c r="H4057" s="3">
        <f>_xlfn.XLOOKUP(Vendas[[#This Row],[ID Item Vendido]],Agregado[ID],Agregado[Revenda])</f>
        <v>7.8</v>
      </c>
      <c r="I4057" s="3">
        <f>Vendas[[#This Row],[Valor Unitário]]*Vendas[[#This Row],[Qnt Vendida]]</f>
        <v>483.59999999999997</v>
      </c>
      <c r="J4057" s="3">
        <f>Vendas[[#This Row],[Valor da Venda]]-(_xlfn.XLOOKUP(Vendas[[#This Row],[ID Item Vendido]],Agregado[ID],Agregado[Custo])*Vendas[[#This Row],[Qnt Vendida]])</f>
        <v>111.59999999999997</v>
      </c>
      <c r="K4057" s="70">
        <f>Vendas[[#This Row],[Lucro da Venda]]/Vendas[[#This Row],[Valor da Venda]]</f>
        <v>0.23076923076923073</v>
      </c>
      <c r="L4057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4057"/>
    </row>
    <row r="4058" spans="1:13" x14ac:dyDescent="0.3">
      <c r="A4058" s="7">
        <v>400245</v>
      </c>
      <c r="B4058" t="str">
        <f>_xlfn.XLOOKUP(Vendas[[#This Row],[ID Vendedor]],Vendedores[ID],Vendedores[Nome])</f>
        <v>Thiago</v>
      </c>
      <c r="C4058" s="7" t="str">
        <f>_xlfn.XLOOKUP(Vendas[[#This Row],[ID Vendedor]],Vendedores[ID],Vendedores[Setor])</f>
        <v>AHD</v>
      </c>
      <c r="D4058" s="7" t="s">
        <v>9</v>
      </c>
      <c r="E4058" t="str">
        <f>_xlfn.XLOOKUP(Vendas[[#This Row],[ID Item Vendido]],Agregado[ID],Agregado[Produto])</f>
        <v>Barra de aço simples</v>
      </c>
      <c r="F4058" s="39">
        <v>45612</v>
      </c>
      <c r="G4058" s="7">
        <v>35</v>
      </c>
      <c r="H4058" s="3">
        <f>_xlfn.XLOOKUP(Vendas[[#This Row],[ID Item Vendido]],Agregado[ID],Agregado[Revenda])</f>
        <v>6.7</v>
      </c>
      <c r="I4058" s="3">
        <f>Vendas[[#This Row],[Valor Unitário]]*Vendas[[#This Row],[Qnt Vendida]]</f>
        <v>234.5</v>
      </c>
      <c r="J4058" s="3">
        <f>Vendas[[#This Row],[Valor da Venda]]-(_xlfn.XLOOKUP(Vendas[[#This Row],[ID Item Vendido]],Agregado[ID],Agregado[Custo])*Vendas[[#This Row],[Qnt Vendida]])</f>
        <v>31.5</v>
      </c>
      <c r="K4058" s="70">
        <f>Vendas[[#This Row],[Lucro da Venda]]/Vendas[[#This Row],[Valor da Venda]]</f>
        <v>0.13432835820895522</v>
      </c>
      <c r="L4058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4058"/>
    </row>
    <row r="4059" spans="1:13" x14ac:dyDescent="0.3">
      <c r="A4059" s="7">
        <v>400242</v>
      </c>
      <c r="B4059" t="str">
        <f>_xlfn.XLOOKUP(Vendas[[#This Row],[ID Vendedor]],Vendedores[ID],Vendedores[Nome])</f>
        <v>Fernanda</v>
      </c>
      <c r="C4059" s="7" t="str">
        <f>_xlfn.XLOOKUP(Vendas[[#This Row],[ID Vendedor]],Vendedores[ID],Vendedores[Setor])</f>
        <v>FM</v>
      </c>
      <c r="D4059" s="7" t="s">
        <v>31</v>
      </c>
      <c r="E4059" t="str">
        <f>_xlfn.XLOOKUP(Vendas[[#This Row],[ID Item Vendido]],Agregado[ID],Agregado[Produto])</f>
        <v>Tela de metal soldada rolo 2x25m</v>
      </c>
      <c r="F4059" s="39">
        <v>45612</v>
      </c>
      <c r="G4059" s="7">
        <v>5</v>
      </c>
      <c r="H4059" s="3">
        <f>_xlfn.XLOOKUP(Vendas[[#This Row],[ID Item Vendido]],Agregado[ID],Agregado[Revenda])</f>
        <v>43.7</v>
      </c>
      <c r="I4059" s="3">
        <f>Vendas[[#This Row],[Valor Unitário]]*Vendas[[#This Row],[Qnt Vendida]]</f>
        <v>218.5</v>
      </c>
      <c r="J4059" s="3">
        <f>Vendas[[#This Row],[Valor da Venda]]-(_xlfn.XLOOKUP(Vendas[[#This Row],[ID Item Vendido]],Agregado[ID],Agregado[Custo])*Vendas[[#This Row],[Qnt Vendida]])</f>
        <v>28.5</v>
      </c>
      <c r="K4059" s="70">
        <f>Vendas[[#This Row],[Lucro da Venda]]/Vendas[[#This Row],[Valor da Venda]]</f>
        <v>0.13043478260869565</v>
      </c>
      <c r="L4059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4059"/>
    </row>
    <row r="4060" spans="1:13" x14ac:dyDescent="0.3">
      <c r="A4060" s="7">
        <v>400254</v>
      </c>
      <c r="B4060" t="str">
        <f>_xlfn.XLOOKUP(Vendas[[#This Row],[ID Vendedor]],Vendedores[ID],Vendedores[Nome])</f>
        <v>Beatriz</v>
      </c>
      <c r="C4060" s="7" t="str">
        <f>_xlfn.XLOOKUP(Vendas[[#This Row],[ID Vendedor]],Vendedores[ID],Vendedores[Setor])</f>
        <v>SC</v>
      </c>
      <c r="D4060" s="7" t="s">
        <v>42</v>
      </c>
      <c r="E4060" t="str">
        <f>_xlfn.XLOOKUP(Vendas[[#This Row],[ID Item Vendido]],Agregado[ID],Agregado[Produto])</f>
        <v>Container de ferro industrial</v>
      </c>
      <c r="F4060" s="39">
        <v>45613</v>
      </c>
      <c r="G4060" s="7">
        <v>4</v>
      </c>
      <c r="H4060" s="3">
        <f>_xlfn.XLOOKUP(Vendas[[#This Row],[ID Item Vendido]],Agregado[ID],Agregado[Revenda])</f>
        <v>830</v>
      </c>
      <c r="I4060" s="3">
        <f>Vendas[[#This Row],[Valor Unitário]]*Vendas[[#This Row],[Qnt Vendida]]</f>
        <v>3320</v>
      </c>
      <c r="J4060" s="3">
        <f>Vendas[[#This Row],[Valor da Venda]]-(_xlfn.XLOOKUP(Vendas[[#This Row],[ID Item Vendido]],Agregado[ID],Agregado[Custo])*Vendas[[#This Row],[Qnt Vendida]])</f>
        <v>600</v>
      </c>
      <c r="K4060" s="70">
        <f>Vendas[[#This Row],[Lucro da Venda]]/Vendas[[#This Row],[Valor da Venda]]</f>
        <v>0.18072289156626506</v>
      </c>
      <c r="L4060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060"/>
    </row>
    <row r="4061" spans="1:13" x14ac:dyDescent="0.3">
      <c r="A4061" s="7">
        <v>400248</v>
      </c>
      <c r="B4061" t="str">
        <f>_xlfn.XLOOKUP(Vendas[[#This Row],[ID Vendedor]],Vendedores[ID],Vendedores[Nome])</f>
        <v>Patrícia</v>
      </c>
      <c r="C4061" s="7" t="str">
        <f>_xlfn.XLOOKUP(Vendas[[#This Row],[ID Vendedor]],Vendedores[ID],Vendedores[Setor])</f>
        <v>CM</v>
      </c>
      <c r="D4061" s="7" t="s">
        <v>22</v>
      </c>
      <c r="E4061" t="str">
        <f>_xlfn.XLOOKUP(Vendas[[#This Row],[ID Item Vendido]],Agregado[ID],Agregado[Produto])</f>
        <v>Painel MDP 2,75x1,83m</v>
      </c>
      <c r="F4061" s="39">
        <v>45613</v>
      </c>
      <c r="G4061" s="7">
        <v>18</v>
      </c>
      <c r="H4061" s="3">
        <f>_xlfn.XLOOKUP(Vendas[[#This Row],[ID Item Vendido]],Agregado[ID],Agregado[Revenda])</f>
        <v>119</v>
      </c>
      <c r="I4061" s="3">
        <f>Vendas[[#This Row],[Valor Unitário]]*Vendas[[#This Row],[Qnt Vendida]]</f>
        <v>2142</v>
      </c>
      <c r="J4061" s="3">
        <f>Vendas[[#This Row],[Valor da Venda]]-(_xlfn.XLOOKUP(Vendas[[#This Row],[ID Item Vendido]],Agregado[ID],Agregado[Custo])*Vendas[[#This Row],[Qnt Vendida]])</f>
        <v>432</v>
      </c>
      <c r="K4061" s="70">
        <f>Vendas[[#This Row],[Lucro da Venda]]/Vendas[[#This Row],[Valor da Venda]]</f>
        <v>0.20168067226890757</v>
      </c>
      <c r="L4061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4061"/>
    </row>
    <row r="4062" spans="1:13" x14ac:dyDescent="0.3">
      <c r="A4062" s="7">
        <v>400246</v>
      </c>
      <c r="B4062" t="str">
        <f>_xlfn.XLOOKUP(Vendas[[#This Row],[ID Vendedor]],Vendedores[ID],Vendedores[Nome])</f>
        <v>Juliana</v>
      </c>
      <c r="C4062" s="7" t="str">
        <f>_xlfn.XLOOKUP(Vendas[[#This Row],[ID Vendedor]],Vendedores[ID],Vendedores[Setor])</f>
        <v>AHD</v>
      </c>
      <c r="D4062" s="7" t="s">
        <v>30</v>
      </c>
      <c r="E4062" t="str">
        <f>_xlfn.XLOOKUP(Vendas[[#This Row],[ID Item Vendido]],Agregado[ID],Agregado[Produto])</f>
        <v>Estrutura metálica soldada</v>
      </c>
      <c r="F4062" s="39">
        <v>45613</v>
      </c>
      <c r="G4062" s="7">
        <v>2</v>
      </c>
      <c r="H4062" s="3">
        <f>_xlfn.XLOOKUP(Vendas[[#This Row],[ID Item Vendido]],Agregado[ID],Agregado[Revenda])</f>
        <v>400</v>
      </c>
      <c r="I4062" s="3">
        <f>Vendas[[#This Row],[Valor Unitário]]*Vendas[[#This Row],[Qnt Vendida]]</f>
        <v>800</v>
      </c>
      <c r="J4062" s="3">
        <f>Vendas[[#This Row],[Valor da Venda]]-(_xlfn.XLOOKUP(Vendas[[#This Row],[ID Item Vendido]],Agregado[ID],Agregado[Custo])*Vendas[[#This Row],[Qnt Vendida]])</f>
        <v>160</v>
      </c>
      <c r="K4062" s="70">
        <f>Vendas[[#This Row],[Lucro da Venda]]/Vendas[[#This Row],[Valor da Venda]]</f>
        <v>0.2</v>
      </c>
      <c r="L4062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062"/>
    </row>
    <row r="4063" spans="1:13" x14ac:dyDescent="0.3">
      <c r="A4063" s="7">
        <v>400252</v>
      </c>
      <c r="B4063" t="str">
        <f>_xlfn.XLOOKUP(Vendas[[#This Row],[ID Vendedor]],Vendedores[ID],Vendedores[Nome])</f>
        <v>Renata</v>
      </c>
      <c r="C4063" s="7" t="str">
        <f>_xlfn.XLOOKUP(Vendas[[#This Row],[ID Vendedor]],Vendedores[ID],Vendedores[Setor])</f>
        <v>AB</v>
      </c>
      <c r="D4063" s="7" t="s">
        <v>12</v>
      </c>
      <c r="E4063" t="str">
        <f>_xlfn.XLOOKUP(Vendas[[#This Row],[ID Item Vendido]],Agregado[ID],Agregado[Produto])</f>
        <v>Grânulo de plástico reciclado refinado</v>
      </c>
      <c r="F4063" s="39">
        <v>45613</v>
      </c>
      <c r="G4063" s="7">
        <v>126</v>
      </c>
      <c r="H4063" s="3">
        <f>_xlfn.XLOOKUP(Vendas[[#This Row],[ID Item Vendido]],Agregado[ID],Agregado[Revenda])</f>
        <v>4.7</v>
      </c>
      <c r="I4063" s="3">
        <f>Vendas[[#This Row],[Valor Unitário]]*Vendas[[#This Row],[Qnt Vendida]]</f>
        <v>592.20000000000005</v>
      </c>
      <c r="J4063" s="3">
        <f>Vendas[[#This Row],[Valor da Venda]]-(_xlfn.XLOOKUP(Vendas[[#This Row],[ID Item Vendido]],Agregado[ID],Agregado[Custo])*Vendas[[#This Row],[Qnt Vendida]])</f>
        <v>151.20000000000005</v>
      </c>
      <c r="K4063" s="70">
        <f>Vendas[[#This Row],[Lucro da Venda]]/Vendas[[#This Row],[Valor da Venda]]</f>
        <v>0.25531914893617025</v>
      </c>
      <c r="L4063" s="3">
        <f>_xlfn.IFS(Vendas[[#This Row],[Margem de Lucro (%)]]&lt;15%,Vendas[[#This Row],[Valor da Venda]]*3%,Vendas[[#This Row],[Margem de Lucro (%)]]&lt;=20%,Vendas[[#This Row],[Valor da Venda]]*4.5%,TRUE,Vendas[[#This Row],[Valor da Venda]]*6%)</f>
        <v>35.532000000000004</v>
      </c>
      <c r="M4063"/>
    </row>
    <row r="4064" spans="1:13" x14ac:dyDescent="0.3">
      <c r="A4064" s="7">
        <v>400252</v>
      </c>
      <c r="B4064" t="str">
        <f>_xlfn.XLOOKUP(Vendas[[#This Row],[ID Vendedor]],Vendedores[ID],Vendedores[Nome])</f>
        <v>Renata</v>
      </c>
      <c r="C4064" s="7" t="str">
        <f>_xlfn.XLOOKUP(Vendas[[#This Row],[ID Vendedor]],Vendedores[ID],Vendedores[Setor])</f>
        <v>AB</v>
      </c>
      <c r="D4064" s="7" t="s">
        <v>36</v>
      </c>
      <c r="E4064" t="str">
        <f>_xlfn.XLOOKUP(Vendas[[#This Row],[ID Item Vendido]],Agregado[ID],Agregado[Produto])</f>
        <v>Borracha vulcanizada em manta</v>
      </c>
      <c r="F4064" s="39">
        <v>45613</v>
      </c>
      <c r="G4064" s="7">
        <v>69</v>
      </c>
      <c r="H4064" s="3">
        <f>_xlfn.XLOOKUP(Vendas[[#This Row],[ID Item Vendido]],Agregado[ID],Agregado[Revenda])</f>
        <v>7.8</v>
      </c>
      <c r="I4064" s="3">
        <f>Vendas[[#This Row],[Valor Unitário]]*Vendas[[#This Row],[Qnt Vendida]]</f>
        <v>538.19999999999993</v>
      </c>
      <c r="J4064" s="3">
        <f>Vendas[[#This Row],[Valor da Venda]]-(_xlfn.XLOOKUP(Vendas[[#This Row],[ID Item Vendido]],Agregado[ID],Agregado[Custo])*Vendas[[#This Row],[Qnt Vendida]])</f>
        <v>124.19999999999993</v>
      </c>
      <c r="K4064" s="70">
        <f>Vendas[[#This Row],[Lucro da Venda]]/Vendas[[#This Row],[Valor da Venda]]</f>
        <v>0.23076923076923067</v>
      </c>
      <c r="L4064" s="3">
        <f>_xlfn.IFS(Vendas[[#This Row],[Margem de Lucro (%)]]&lt;15%,Vendas[[#This Row],[Valor da Venda]]*3%,Vendas[[#This Row],[Margem de Lucro (%)]]&lt;=20%,Vendas[[#This Row],[Valor da Venda]]*4.5%,TRUE,Vendas[[#This Row],[Valor da Venda]]*6%)</f>
        <v>32.291999999999994</v>
      </c>
      <c r="M4064"/>
    </row>
    <row r="4065" spans="1:13" x14ac:dyDescent="0.3">
      <c r="A4065" s="7">
        <v>400253</v>
      </c>
      <c r="B4065" t="str">
        <f>_xlfn.XLOOKUP(Vendas[[#This Row],[ID Vendedor]],Vendedores[ID],Vendedores[Nome])</f>
        <v>Gustavo</v>
      </c>
      <c r="C4065" s="7" t="str">
        <f>_xlfn.XLOOKUP(Vendas[[#This Row],[ID Vendedor]],Vendedores[ID],Vendedores[Setor])</f>
        <v>SC</v>
      </c>
      <c r="D4065" s="7" t="s">
        <v>48</v>
      </c>
      <c r="E4065" t="str">
        <f>_xlfn.XLOOKUP(Vendas[[#This Row],[ID Item Vendido]],Agregado[ID],Agregado[Produto])</f>
        <v>Tambor metálico 200L</v>
      </c>
      <c r="F4065" s="39">
        <v>45614</v>
      </c>
      <c r="G4065" s="7">
        <v>6</v>
      </c>
      <c r="H4065" s="3">
        <f>_xlfn.XLOOKUP(Vendas[[#This Row],[ID Item Vendido]],Agregado[ID],Agregado[Revenda])</f>
        <v>144</v>
      </c>
      <c r="I4065" s="3">
        <f>Vendas[[#This Row],[Valor Unitário]]*Vendas[[#This Row],[Qnt Vendida]]</f>
        <v>864</v>
      </c>
      <c r="J4065" s="3">
        <f>Vendas[[#This Row],[Valor da Venda]]-(_xlfn.XLOOKUP(Vendas[[#This Row],[ID Item Vendido]],Agregado[ID],Agregado[Custo])*Vendas[[#This Row],[Qnt Vendida]])</f>
        <v>144</v>
      </c>
      <c r="K4065" s="70">
        <f>Vendas[[#This Row],[Lucro da Venda]]/Vendas[[#This Row],[Valor da Venda]]</f>
        <v>0.16666666666666666</v>
      </c>
      <c r="L4065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4065"/>
    </row>
    <row r="4066" spans="1:13" x14ac:dyDescent="0.3">
      <c r="A4066" s="7">
        <v>400253</v>
      </c>
      <c r="B4066" t="str">
        <f>_xlfn.XLOOKUP(Vendas[[#This Row],[ID Vendedor]],Vendedores[ID],Vendedores[Nome])</f>
        <v>Gustavo</v>
      </c>
      <c r="C4066" s="7" t="str">
        <f>_xlfn.XLOOKUP(Vendas[[#This Row],[ID Vendedor]],Vendedores[ID],Vendedores[Setor])</f>
        <v>SC</v>
      </c>
      <c r="D4066" s="7" t="s">
        <v>48</v>
      </c>
      <c r="E4066" t="str">
        <f>_xlfn.XLOOKUP(Vendas[[#This Row],[ID Item Vendido]],Agregado[ID],Agregado[Produto])</f>
        <v>Tambor metálico 200L</v>
      </c>
      <c r="F4066" s="39">
        <v>45615</v>
      </c>
      <c r="G4066" s="7">
        <v>19</v>
      </c>
      <c r="H4066" s="3">
        <f>_xlfn.XLOOKUP(Vendas[[#This Row],[ID Item Vendido]],Agregado[ID],Agregado[Revenda])</f>
        <v>144</v>
      </c>
      <c r="I4066" s="3">
        <f>Vendas[[#This Row],[Valor Unitário]]*Vendas[[#This Row],[Qnt Vendida]]</f>
        <v>2736</v>
      </c>
      <c r="J4066" s="3">
        <f>Vendas[[#This Row],[Valor da Venda]]-(_xlfn.XLOOKUP(Vendas[[#This Row],[ID Item Vendido]],Agregado[ID],Agregado[Custo])*Vendas[[#This Row],[Qnt Vendida]])</f>
        <v>456</v>
      </c>
      <c r="K4066" s="70">
        <f>Vendas[[#This Row],[Lucro da Venda]]/Vendas[[#This Row],[Valor da Venda]]</f>
        <v>0.16666666666666666</v>
      </c>
      <c r="L4066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066"/>
    </row>
    <row r="4067" spans="1:13" x14ac:dyDescent="0.3">
      <c r="A4067" s="7">
        <v>400246</v>
      </c>
      <c r="B4067" t="str">
        <f>_xlfn.XLOOKUP(Vendas[[#This Row],[ID Vendedor]],Vendedores[ID],Vendedores[Nome])</f>
        <v>Juliana</v>
      </c>
      <c r="C4067" s="7" t="str">
        <f>_xlfn.XLOOKUP(Vendas[[#This Row],[ID Vendedor]],Vendedores[ID],Vendedores[Setor])</f>
        <v>AHD</v>
      </c>
      <c r="D4067" s="7" t="s">
        <v>30</v>
      </c>
      <c r="E4067" t="str">
        <f>_xlfn.XLOOKUP(Vendas[[#This Row],[ID Item Vendido]],Agregado[ID],Agregado[Produto])</f>
        <v>Estrutura metálica soldada</v>
      </c>
      <c r="F4067" s="39">
        <v>45615</v>
      </c>
      <c r="G4067" s="7">
        <v>5</v>
      </c>
      <c r="H4067" s="3">
        <f>_xlfn.XLOOKUP(Vendas[[#This Row],[ID Item Vendido]],Agregado[ID],Agregado[Revenda])</f>
        <v>400</v>
      </c>
      <c r="I4067" s="3">
        <f>Vendas[[#This Row],[Valor Unitário]]*Vendas[[#This Row],[Qnt Vendida]]</f>
        <v>2000</v>
      </c>
      <c r="J4067" s="3">
        <f>Vendas[[#This Row],[Valor da Venda]]-(_xlfn.XLOOKUP(Vendas[[#This Row],[ID Item Vendido]],Agregado[ID],Agregado[Custo])*Vendas[[#This Row],[Qnt Vendida]])</f>
        <v>400</v>
      </c>
      <c r="K4067" s="70">
        <f>Vendas[[#This Row],[Lucro da Venda]]/Vendas[[#This Row],[Valor da Venda]]</f>
        <v>0.2</v>
      </c>
      <c r="L4067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067"/>
    </row>
    <row r="4068" spans="1:13" x14ac:dyDescent="0.3">
      <c r="A4068" s="7">
        <v>400246</v>
      </c>
      <c r="B4068" t="str">
        <f>_xlfn.XLOOKUP(Vendas[[#This Row],[ID Vendedor]],Vendedores[ID],Vendedores[Nome])</f>
        <v>Juliana</v>
      </c>
      <c r="C4068" s="7" t="str">
        <f>_xlfn.XLOOKUP(Vendas[[#This Row],[ID Vendedor]],Vendedores[ID],Vendedores[Setor])</f>
        <v>AHD</v>
      </c>
      <c r="D4068" s="7" t="s">
        <v>18</v>
      </c>
      <c r="E4068" t="str">
        <f>_xlfn.XLOOKUP(Vendas[[#This Row],[ID Item Vendido]],Agregado[ID],Agregado[Produto])</f>
        <v>Peça forjada sob encomenda</v>
      </c>
      <c r="F4068" s="39">
        <v>45615</v>
      </c>
      <c r="G4068" s="7">
        <v>5</v>
      </c>
      <c r="H4068" s="3">
        <f>_xlfn.XLOOKUP(Vendas[[#This Row],[ID Item Vendido]],Agregado[ID],Agregado[Revenda])</f>
        <v>264.60000000000002</v>
      </c>
      <c r="I4068" s="3">
        <f>Vendas[[#This Row],[Valor Unitário]]*Vendas[[#This Row],[Qnt Vendida]]</f>
        <v>1323</v>
      </c>
      <c r="J4068" s="3">
        <f>Vendas[[#This Row],[Valor da Venda]]-(_xlfn.XLOOKUP(Vendas[[#This Row],[ID Item Vendido]],Agregado[ID],Agregado[Custo])*Vendas[[#This Row],[Qnt Vendida]])</f>
        <v>73</v>
      </c>
      <c r="K4068" s="70">
        <f>Vendas[[#This Row],[Lucro da Venda]]/Vendas[[#This Row],[Valor da Venda]]</f>
        <v>5.5177626606198037E-2</v>
      </c>
      <c r="L406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068"/>
    </row>
    <row r="4069" spans="1:13" x14ac:dyDescent="0.3">
      <c r="A4069" s="7">
        <v>400242</v>
      </c>
      <c r="B4069" t="str">
        <f>_xlfn.XLOOKUP(Vendas[[#This Row],[ID Vendedor]],Vendedores[ID],Vendedores[Nome])</f>
        <v>Fernanda</v>
      </c>
      <c r="C4069" s="7" t="str">
        <f>_xlfn.XLOOKUP(Vendas[[#This Row],[ID Vendedor]],Vendedores[ID],Vendedores[Setor])</f>
        <v>FM</v>
      </c>
      <c r="D4069" s="7" t="s">
        <v>47</v>
      </c>
      <c r="E4069" t="str">
        <f>_xlfn.XLOOKUP(Vendas[[#This Row],[ID Item Vendido]],Agregado[ID],Agregado[Produto])</f>
        <v>Fio de arame galvanizado rolo 50m</v>
      </c>
      <c r="F4069" s="39">
        <v>45615</v>
      </c>
      <c r="G4069" s="7">
        <v>24</v>
      </c>
      <c r="H4069" s="3">
        <f>_xlfn.XLOOKUP(Vendas[[#This Row],[ID Item Vendido]],Agregado[ID],Agregado[Revenda])</f>
        <v>21.2</v>
      </c>
      <c r="I4069" s="3">
        <f>Vendas[[#This Row],[Valor Unitário]]*Vendas[[#This Row],[Qnt Vendida]]</f>
        <v>508.79999999999995</v>
      </c>
      <c r="J4069" s="3">
        <f>Vendas[[#This Row],[Valor da Venda]]-(_xlfn.XLOOKUP(Vendas[[#This Row],[ID Item Vendido]],Agregado[ID],Agregado[Custo])*Vendas[[#This Row],[Qnt Vendida]])</f>
        <v>76.799999999999955</v>
      </c>
      <c r="K4069" s="70">
        <f>Vendas[[#This Row],[Lucro da Venda]]/Vendas[[#This Row],[Valor da Venda]]</f>
        <v>0.15094339622641501</v>
      </c>
      <c r="L4069" s="3">
        <f>_xlfn.IFS(Vendas[[#This Row],[Margem de Lucro (%)]]&lt;15%,Vendas[[#This Row],[Valor da Venda]]*3%,Vendas[[#This Row],[Margem de Lucro (%)]]&lt;=20%,Vendas[[#This Row],[Valor da Venda]]*4.5%,TRUE,Vendas[[#This Row],[Valor da Venda]]*6%)</f>
        <v>22.895999999999997</v>
      </c>
      <c r="M4069"/>
    </row>
    <row r="4070" spans="1:13" x14ac:dyDescent="0.3">
      <c r="A4070" s="7">
        <v>400253</v>
      </c>
      <c r="B4070" t="str">
        <f>_xlfn.XLOOKUP(Vendas[[#This Row],[ID Vendedor]],Vendedores[ID],Vendedores[Nome])</f>
        <v>Gustavo</v>
      </c>
      <c r="C4070" s="7" t="str">
        <f>_xlfn.XLOOKUP(Vendas[[#This Row],[ID Vendedor]],Vendedores[ID],Vendedores[Setor])</f>
        <v>SC</v>
      </c>
      <c r="D4070" s="7" t="s">
        <v>14</v>
      </c>
      <c r="E4070" t="str">
        <f>_xlfn.XLOOKUP(Vendas[[#This Row],[ID Item Vendido]],Agregado[ID],Agregado[Produto])</f>
        <v>Barril de plástico 200L</v>
      </c>
      <c r="F4070" s="39">
        <v>45616</v>
      </c>
      <c r="G4070" s="7">
        <v>18</v>
      </c>
      <c r="H4070" s="3">
        <f>_xlfn.XLOOKUP(Vendas[[#This Row],[ID Item Vendido]],Agregado[ID],Agregado[Revenda])</f>
        <v>114</v>
      </c>
      <c r="I4070" s="3">
        <f>Vendas[[#This Row],[Valor Unitário]]*Vendas[[#This Row],[Qnt Vendida]]</f>
        <v>2052</v>
      </c>
      <c r="J4070" s="3">
        <f>Vendas[[#This Row],[Valor da Venda]]-(_xlfn.XLOOKUP(Vendas[[#This Row],[ID Item Vendido]],Agregado[ID],Agregado[Custo])*Vendas[[#This Row],[Qnt Vendida]])</f>
        <v>342</v>
      </c>
      <c r="K4070" s="70">
        <f>Vendas[[#This Row],[Lucro da Venda]]/Vendas[[#This Row],[Valor da Venda]]</f>
        <v>0.16666666666666666</v>
      </c>
      <c r="L4070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4070"/>
    </row>
    <row r="4071" spans="1:13" x14ac:dyDescent="0.3">
      <c r="A4071" s="7">
        <v>400252</v>
      </c>
      <c r="B4071" t="str">
        <f>_xlfn.XLOOKUP(Vendas[[#This Row],[ID Vendedor]],Vendedores[ID],Vendedores[Nome])</f>
        <v>Renata</v>
      </c>
      <c r="C4071" s="7" t="str">
        <f>_xlfn.XLOOKUP(Vendas[[#This Row],[ID Vendedor]],Vendedores[ID],Vendedores[Setor])</f>
        <v>AB</v>
      </c>
      <c r="D4071" s="7" t="s">
        <v>24</v>
      </c>
      <c r="E4071" t="str">
        <f>_xlfn.XLOOKUP(Vendas[[#This Row],[ID Item Vendido]],Agregado[ID],Agregado[Produto])</f>
        <v>Resina plástica PET purificada saco de 25kg</v>
      </c>
      <c r="F4071" s="39">
        <v>45616</v>
      </c>
      <c r="G4071" s="7">
        <v>14</v>
      </c>
      <c r="H4071" s="3">
        <f>_xlfn.XLOOKUP(Vendas[[#This Row],[ID Item Vendido]],Agregado[ID],Agregado[Revenda])</f>
        <v>119</v>
      </c>
      <c r="I4071" s="3">
        <f>Vendas[[#This Row],[Valor Unitário]]*Vendas[[#This Row],[Qnt Vendida]]</f>
        <v>1666</v>
      </c>
      <c r="J4071" s="3">
        <f>Vendas[[#This Row],[Valor da Venda]]-(_xlfn.XLOOKUP(Vendas[[#This Row],[ID Item Vendido]],Agregado[ID],Agregado[Custo])*Vendas[[#This Row],[Qnt Vendida]])</f>
        <v>476</v>
      </c>
      <c r="K4071" s="70">
        <f>Vendas[[#This Row],[Lucro da Venda]]/Vendas[[#This Row],[Valor da Venda]]</f>
        <v>0.2857142857142857</v>
      </c>
      <c r="L4071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071"/>
    </row>
    <row r="4072" spans="1:13" x14ac:dyDescent="0.3">
      <c r="A4072" s="7">
        <v>400250</v>
      </c>
      <c r="B4072" t="str">
        <f>_xlfn.XLOOKUP(Vendas[[#This Row],[ID Vendedor]],Vendedores[ID],Vendedores[Nome])</f>
        <v>Larissa</v>
      </c>
      <c r="C4072" s="7" t="str">
        <f>_xlfn.XLOOKUP(Vendas[[#This Row],[ID Vendedor]],Vendedores[ID],Vendedores[Setor])</f>
        <v>AB</v>
      </c>
      <c r="D4072" s="7" t="s">
        <v>39</v>
      </c>
      <c r="E4072" t="str">
        <f>_xlfn.XLOOKUP(Vendas[[#This Row],[ID Item Vendido]],Agregado[ID],Agregado[Produto])</f>
        <v>Filme plástico industrial rolo 50m</v>
      </c>
      <c r="F4072" s="39">
        <v>45616</v>
      </c>
      <c r="G4072" s="7">
        <v>18</v>
      </c>
      <c r="H4072" s="3">
        <f>_xlfn.XLOOKUP(Vendas[[#This Row],[ID Item Vendido]],Agregado[ID],Agregado[Revenda])</f>
        <v>37</v>
      </c>
      <c r="I4072" s="3">
        <f>Vendas[[#This Row],[Valor Unitário]]*Vendas[[#This Row],[Qnt Vendida]]</f>
        <v>666</v>
      </c>
      <c r="J4072" s="3">
        <f>Vendas[[#This Row],[Valor da Venda]]-(_xlfn.XLOOKUP(Vendas[[#This Row],[ID Item Vendido]],Agregado[ID],Agregado[Custo])*Vendas[[#This Row],[Qnt Vendida]])</f>
        <v>162</v>
      </c>
      <c r="K4072" s="70">
        <f>Vendas[[#This Row],[Lucro da Venda]]/Vendas[[#This Row],[Valor da Venda]]</f>
        <v>0.24324324324324326</v>
      </c>
      <c r="L4072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4072"/>
    </row>
    <row r="4073" spans="1:13" x14ac:dyDescent="0.3">
      <c r="A4073" s="7">
        <v>400241</v>
      </c>
      <c r="B4073" t="str">
        <f>_xlfn.XLOOKUP(Vendas[[#This Row],[ID Vendedor]],Vendedores[ID],Vendedores[Nome])</f>
        <v>Rodrigo</v>
      </c>
      <c r="C4073" s="7" t="str">
        <f>_xlfn.XLOOKUP(Vendas[[#This Row],[ID Vendedor]],Vendedores[ID],Vendedores[Setor])</f>
        <v>FM</v>
      </c>
      <c r="D4073" s="7" t="s">
        <v>31</v>
      </c>
      <c r="E4073" t="str">
        <f>_xlfn.XLOOKUP(Vendas[[#This Row],[ID Item Vendido]],Agregado[ID],Agregado[Produto])</f>
        <v>Tela de metal soldada rolo 2x25m</v>
      </c>
      <c r="F4073" s="39">
        <v>45616</v>
      </c>
      <c r="G4073" s="7">
        <v>4</v>
      </c>
      <c r="H4073" s="3">
        <f>_xlfn.XLOOKUP(Vendas[[#This Row],[ID Item Vendido]],Agregado[ID],Agregado[Revenda])</f>
        <v>43.7</v>
      </c>
      <c r="I4073" s="3">
        <f>Vendas[[#This Row],[Valor Unitário]]*Vendas[[#This Row],[Qnt Vendida]]</f>
        <v>174.8</v>
      </c>
      <c r="J4073" s="3">
        <f>Vendas[[#This Row],[Valor da Venda]]-(_xlfn.XLOOKUP(Vendas[[#This Row],[ID Item Vendido]],Agregado[ID],Agregado[Custo])*Vendas[[#This Row],[Qnt Vendida]])</f>
        <v>22.800000000000011</v>
      </c>
      <c r="K4073" s="70">
        <f>Vendas[[#This Row],[Lucro da Venda]]/Vendas[[#This Row],[Valor da Venda]]</f>
        <v>0.1304347826086957</v>
      </c>
      <c r="L4073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4073"/>
    </row>
    <row r="4074" spans="1:13" x14ac:dyDescent="0.3">
      <c r="A4074" s="7">
        <v>400246</v>
      </c>
      <c r="B4074" t="str">
        <f>_xlfn.XLOOKUP(Vendas[[#This Row],[ID Vendedor]],Vendedores[ID],Vendedores[Nome])</f>
        <v>Juliana</v>
      </c>
      <c r="C4074" s="7" t="str">
        <f>_xlfn.XLOOKUP(Vendas[[#This Row],[ID Vendedor]],Vendedores[ID],Vendedores[Setor])</f>
        <v>AHD</v>
      </c>
      <c r="D4074" s="7" t="s">
        <v>44</v>
      </c>
      <c r="E4074" t="str">
        <f>_xlfn.XLOOKUP(Vendas[[#This Row],[ID Item Vendido]],Agregado[ID],Agregado[Produto])</f>
        <v>Liga metálica especial</v>
      </c>
      <c r="F4074" s="39">
        <v>45617</v>
      </c>
      <c r="G4074" s="7">
        <v>56</v>
      </c>
      <c r="H4074" s="3">
        <f>_xlfn.XLOOKUP(Vendas[[#This Row],[ID Item Vendido]],Agregado[ID],Agregado[Revenda])</f>
        <v>32.5</v>
      </c>
      <c r="I4074" s="3">
        <f>Vendas[[#This Row],[Valor Unitário]]*Vendas[[#This Row],[Qnt Vendida]]</f>
        <v>1820</v>
      </c>
      <c r="J4074" s="3">
        <f>Vendas[[#This Row],[Valor da Venda]]-(_xlfn.XLOOKUP(Vendas[[#This Row],[ID Item Vendido]],Agregado[ID],Agregado[Custo])*Vendas[[#This Row],[Qnt Vendida]])</f>
        <v>420</v>
      </c>
      <c r="K4074" s="70">
        <f>Vendas[[#This Row],[Lucro da Venda]]/Vendas[[#This Row],[Valor da Venda]]</f>
        <v>0.23076923076923078</v>
      </c>
      <c r="L4074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4074"/>
    </row>
    <row r="4075" spans="1:13" x14ac:dyDescent="0.3">
      <c r="A4075" s="7">
        <v>400247</v>
      </c>
      <c r="B4075" t="str">
        <f>_xlfn.XLOOKUP(Vendas[[#This Row],[ID Vendedor]],Vendedores[ID],Vendedores[Nome])</f>
        <v>André</v>
      </c>
      <c r="C4075" s="7" t="str">
        <f>_xlfn.XLOOKUP(Vendas[[#This Row],[ID Vendedor]],Vendedores[ID],Vendedores[Setor])</f>
        <v>CM</v>
      </c>
      <c r="D4075" s="7" t="s">
        <v>22</v>
      </c>
      <c r="E4075" t="str">
        <f>_xlfn.XLOOKUP(Vendas[[#This Row],[ID Item Vendido]],Agregado[ID],Agregado[Produto])</f>
        <v>Painel MDP 2,75x1,83m</v>
      </c>
      <c r="F4075" s="39">
        <v>45617</v>
      </c>
      <c r="G4075" s="7">
        <v>14</v>
      </c>
      <c r="H4075" s="3">
        <f>_xlfn.XLOOKUP(Vendas[[#This Row],[ID Item Vendido]],Agregado[ID],Agregado[Revenda])</f>
        <v>119</v>
      </c>
      <c r="I4075" s="3">
        <f>Vendas[[#This Row],[Valor Unitário]]*Vendas[[#This Row],[Qnt Vendida]]</f>
        <v>1666</v>
      </c>
      <c r="J4075" s="3">
        <f>Vendas[[#This Row],[Valor da Venda]]-(_xlfn.XLOOKUP(Vendas[[#This Row],[ID Item Vendido]],Agregado[ID],Agregado[Custo])*Vendas[[#This Row],[Qnt Vendida]])</f>
        <v>336</v>
      </c>
      <c r="K4075" s="70">
        <f>Vendas[[#This Row],[Lucro da Venda]]/Vendas[[#This Row],[Valor da Venda]]</f>
        <v>0.20168067226890757</v>
      </c>
      <c r="L407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075"/>
    </row>
    <row r="4076" spans="1:13" x14ac:dyDescent="0.3">
      <c r="A4076" s="7">
        <v>400250</v>
      </c>
      <c r="B4076" t="str">
        <f>_xlfn.XLOOKUP(Vendas[[#This Row],[ID Vendedor]],Vendedores[ID],Vendedores[Nome])</f>
        <v>Larissa</v>
      </c>
      <c r="C4076" s="7" t="str">
        <f>_xlfn.XLOOKUP(Vendas[[#This Row],[ID Vendedor]],Vendedores[ID],Vendedores[Setor])</f>
        <v>AB</v>
      </c>
      <c r="D4076" s="7" t="s">
        <v>24</v>
      </c>
      <c r="E4076" t="str">
        <f>_xlfn.XLOOKUP(Vendas[[#This Row],[ID Item Vendido]],Agregado[ID],Agregado[Produto])</f>
        <v>Resina plástica PET purificada saco de 25kg</v>
      </c>
      <c r="F4076" s="39">
        <v>45617</v>
      </c>
      <c r="G4076" s="7">
        <v>10</v>
      </c>
      <c r="H4076" s="3">
        <f>_xlfn.XLOOKUP(Vendas[[#This Row],[ID Item Vendido]],Agregado[ID],Agregado[Revenda])</f>
        <v>119</v>
      </c>
      <c r="I4076" s="3">
        <f>Vendas[[#This Row],[Valor Unitário]]*Vendas[[#This Row],[Qnt Vendida]]</f>
        <v>1190</v>
      </c>
      <c r="J4076" s="3">
        <f>Vendas[[#This Row],[Valor da Venda]]-(_xlfn.XLOOKUP(Vendas[[#This Row],[ID Item Vendido]],Agregado[ID],Agregado[Custo])*Vendas[[#This Row],[Qnt Vendida]])</f>
        <v>340</v>
      </c>
      <c r="K4076" s="70">
        <f>Vendas[[#This Row],[Lucro da Venda]]/Vendas[[#This Row],[Valor da Venda]]</f>
        <v>0.2857142857142857</v>
      </c>
      <c r="L4076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4076"/>
    </row>
    <row r="4077" spans="1:13" x14ac:dyDescent="0.3">
      <c r="A4077" s="7">
        <v>400254</v>
      </c>
      <c r="B4077" t="str">
        <f>_xlfn.XLOOKUP(Vendas[[#This Row],[ID Vendedor]],Vendedores[ID],Vendedores[Nome])</f>
        <v>Beatriz</v>
      </c>
      <c r="C4077" s="7" t="str">
        <f>_xlfn.XLOOKUP(Vendas[[#This Row],[ID Vendedor]],Vendedores[ID],Vendedores[Setor])</f>
        <v>SC</v>
      </c>
      <c r="D4077" s="7" t="s">
        <v>25</v>
      </c>
      <c r="E4077" t="str">
        <f>_xlfn.XLOOKUP(Vendas[[#This Row],[ID Item Vendido]],Agregado[ID],Agregado[Produto])</f>
        <v>Palete de plástico</v>
      </c>
      <c r="F4077" s="39">
        <v>45617</v>
      </c>
      <c r="G4077" s="7">
        <v>11</v>
      </c>
      <c r="H4077" s="3">
        <f>_xlfn.XLOOKUP(Vendas[[#This Row],[ID Item Vendido]],Agregado[ID],Agregado[Revenda])</f>
        <v>70.8</v>
      </c>
      <c r="I4077" s="3">
        <f>Vendas[[#This Row],[Valor Unitário]]*Vendas[[#This Row],[Qnt Vendida]]</f>
        <v>778.8</v>
      </c>
      <c r="J4077" s="3">
        <f>Vendas[[#This Row],[Valor da Venda]]-(_xlfn.XLOOKUP(Vendas[[#This Row],[ID Item Vendido]],Agregado[ID],Agregado[Custo])*Vendas[[#This Row],[Qnt Vendida]])</f>
        <v>118.79999999999995</v>
      </c>
      <c r="K4077" s="70">
        <f>Vendas[[#This Row],[Lucro da Venda]]/Vendas[[#This Row],[Valor da Venda]]</f>
        <v>0.15254237288135589</v>
      </c>
      <c r="L4077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4077"/>
    </row>
    <row r="4078" spans="1:13" x14ac:dyDescent="0.3">
      <c r="A4078" s="7">
        <v>400252</v>
      </c>
      <c r="B4078" t="str">
        <f>_xlfn.XLOOKUP(Vendas[[#This Row],[ID Vendedor]],Vendedores[ID],Vendedores[Nome])</f>
        <v>Renata</v>
      </c>
      <c r="C4078" s="7" t="str">
        <f>_xlfn.XLOOKUP(Vendas[[#This Row],[ID Vendedor]],Vendedores[ID],Vendedores[Setor])</f>
        <v>AB</v>
      </c>
      <c r="D4078" s="7" t="s">
        <v>12</v>
      </c>
      <c r="E4078" t="str">
        <f>_xlfn.XLOOKUP(Vendas[[#This Row],[ID Item Vendido]],Agregado[ID],Agregado[Produto])</f>
        <v>Grânulo de plástico reciclado refinado</v>
      </c>
      <c r="F4078" s="39">
        <v>45617</v>
      </c>
      <c r="G4078" s="7">
        <v>143</v>
      </c>
      <c r="H4078" s="3">
        <f>_xlfn.XLOOKUP(Vendas[[#This Row],[ID Item Vendido]],Agregado[ID],Agregado[Revenda])</f>
        <v>4.7</v>
      </c>
      <c r="I4078" s="3">
        <f>Vendas[[#This Row],[Valor Unitário]]*Vendas[[#This Row],[Qnt Vendida]]</f>
        <v>672.1</v>
      </c>
      <c r="J4078" s="3">
        <f>Vendas[[#This Row],[Valor da Venda]]-(_xlfn.XLOOKUP(Vendas[[#This Row],[ID Item Vendido]],Agregado[ID],Agregado[Custo])*Vendas[[#This Row],[Qnt Vendida]])</f>
        <v>171.60000000000002</v>
      </c>
      <c r="K4078" s="70">
        <f>Vendas[[#This Row],[Lucro da Venda]]/Vendas[[#This Row],[Valor da Venda]]</f>
        <v>0.25531914893617025</v>
      </c>
      <c r="L4078" s="3">
        <f>_xlfn.IFS(Vendas[[#This Row],[Margem de Lucro (%)]]&lt;15%,Vendas[[#This Row],[Valor da Venda]]*3%,Vendas[[#This Row],[Margem de Lucro (%)]]&lt;=20%,Vendas[[#This Row],[Valor da Venda]]*4.5%,TRUE,Vendas[[#This Row],[Valor da Venda]]*6%)</f>
        <v>40.326000000000001</v>
      </c>
      <c r="M4078"/>
    </row>
    <row r="4079" spans="1:13" x14ac:dyDescent="0.3">
      <c r="A4079" s="7">
        <v>400243</v>
      </c>
      <c r="B4079" t="str">
        <f>_xlfn.XLOOKUP(Vendas[[#This Row],[ID Vendedor]],Vendedores[ID],Vendedores[Nome])</f>
        <v>Marcelo</v>
      </c>
      <c r="C4079" s="7" t="str">
        <f>_xlfn.XLOOKUP(Vendas[[#This Row],[ID Vendedor]],Vendedores[ID],Vendedores[Setor])</f>
        <v>FM</v>
      </c>
      <c r="D4079" s="7" t="s">
        <v>27</v>
      </c>
      <c r="E4079" t="str">
        <f>_xlfn.XLOOKUP(Vendas[[#This Row],[ID Item Vendido]],Agregado[ID],Agregado[Produto])</f>
        <v>Chapa de metal lisa 1x2m</v>
      </c>
      <c r="F4079" s="39">
        <v>45617</v>
      </c>
      <c r="G4079" s="7">
        <v>10</v>
      </c>
      <c r="H4079" s="3">
        <f>_xlfn.XLOOKUP(Vendas[[#This Row],[ID Item Vendido]],Agregado[ID],Agregado[Revenda])</f>
        <v>52</v>
      </c>
      <c r="I4079" s="3">
        <f>Vendas[[#This Row],[Valor Unitário]]*Vendas[[#This Row],[Qnt Vendida]]</f>
        <v>520</v>
      </c>
      <c r="J4079" s="3">
        <f>Vendas[[#This Row],[Valor da Venda]]-(_xlfn.XLOOKUP(Vendas[[#This Row],[ID Item Vendido]],Agregado[ID],Agregado[Custo])*Vendas[[#This Row],[Qnt Vendida]])</f>
        <v>70</v>
      </c>
      <c r="K4079" s="70">
        <f>Vendas[[#This Row],[Lucro da Venda]]/Vendas[[#This Row],[Valor da Venda]]</f>
        <v>0.13461538461538461</v>
      </c>
      <c r="L4079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4079"/>
    </row>
    <row r="4080" spans="1:13" x14ac:dyDescent="0.3">
      <c r="A4080" s="7">
        <v>400247</v>
      </c>
      <c r="B4080" t="str">
        <f>_xlfn.XLOOKUP(Vendas[[#This Row],[ID Vendedor]],Vendedores[ID],Vendedores[Nome])</f>
        <v>André</v>
      </c>
      <c r="C4080" s="7" t="str">
        <f>_xlfn.XLOOKUP(Vendas[[#This Row],[ID Vendedor]],Vendedores[ID],Vendedores[Setor])</f>
        <v>CM</v>
      </c>
      <c r="D4080" s="7" t="s">
        <v>22</v>
      </c>
      <c r="E4080" t="str">
        <f>_xlfn.XLOOKUP(Vendas[[#This Row],[ID Item Vendido]],Agregado[ID],Agregado[Produto])</f>
        <v>Painel MDP 2,75x1,83m</v>
      </c>
      <c r="F4080" s="39">
        <v>45618</v>
      </c>
      <c r="G4080" s="7">
        <v>23</v>
      </c>
      <c r="H4080" s="3">
        <f>_xlfn.XLOOKUP(Vendas[[#This Row],[ID Item Vendido]],Agregado[ID],Agregado[Revenda])</f>
        <v>119</v>
      </c>
      <c r="I4080" s="3">
        <f>Vendas[[#This Row],[Valor Unitário]]*Vendas[[#This Row],[Qnt Vendida]]</f>
        <v>2737</v>
      </c>
      <c r="J4080" s="3">
        <f>Vendas[[#This Row],[Valor da Venda]]-(_xlfn.XLOOKUP(Vendas[[#This Row],[ID Item Vendido]],Agregado[ID],Agregado[Custo])*Vendas[[#This Row],[Qnt Vendida]])</f>
        <v>552</v>
      </c>
      <c r="K4080" s="70">
        <f>Vendas[[#This Row],[Lucro da Venda]]/Vendas[[#This Row],[Valor da Venda]]</f>
        <v>0.20168067226890757</v>
      </c>
      <c r="L4080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080"/>
    </row>
    <row r="4081" spans="1:13" x14ac:dyDescent="0.3">
      <c r="A4081" s="7">
        <v>400253</v>
      </c>
      <c r="B4081" t="str">
        <f>_xlfn.XLOOKUP(Vendas[[#This Row],[ID Vendedor]],Vendedores[ID],Vendedores[Nome])</f>
        <v>Gustavo</v>
      </c>
      <c r="C4081" s="7" t="str">
        <f>_xlfn.XLOOKUP(Vendas[[#This Row],[ID Vendedor]],Vendedores[ID],Vendedores[Setor])</f>
        <v>SC</v>
      </c>
      <c r="D4081" s="7" t="s">
        <v>41</v>
      </c>
      <c r="E4081" t="str">
        <f>_xlfn.XLOOKUP(Vendas[[#This Row],[ID Item Vendido]],Agregado[ID],Agregado[Produto])</f>
        <v>Palete de madeira reforçado</v>
      </c>
      <c r="F4081" s="39">
        <v>45618</v>
      </c>
      <c r="G4081" s="7">
        <v>3</v>
      </c>
      <c r="H4081" s="3">
        <f>_xlfn.XLOOKUP(Vendas[[#This Row],[ID Item Vendido]],Agregado[ID],Agregado[Revenda])</f>
        <v>131</v>
      </c>
      <c r="I4081" s="3">
        <f>Vendas[[#This Row],[Valor Unitário]]*Vendas[[#This Row],[Qnt Vendida]]</f>
        <v>393</v>
      </c>
      <c r="J4081" s="3">
        <f>Vendas[[#This Row],[Valor da Venda]]-(_xlfn.XLOOKUP(Vendas[[#This Row],[ID Item Vendido]],Agregado[ID],Agregado[Custo])*Vendas[[#This Row],[Qnt Vendida]])</f>
        <v>63</v>
      </c>
      <c r="K4081" s="70">
        <f>Vendas[[#This Row],[Lucro da Venda]]/Vendas[[#This Row],[Valor da Venda]]</f>
        <v>0.16030534351145037</v>
      </c>
      <c r="L4081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4081"/>
    </row>
    <row r="4082" spans="1:13" x14ac:dyDescent="0.3">
      <c r="A4082" s="7">
        <v>400243</v>
      </c>
      <c r="B4082" t="str">
        <f>_xlfn.XLOOKUP(Vendas[[#This Row],[ID Vendedor]],Vendedores[ID],Vendedores[Nome])</f>
        <v>Marcelo</v>
      </c>
      <c r="C4082" s="7" t="str">
        <f>_xlfn.XLOOKUP(Vendas[[#This Row],[ID Vendedor]],Vendedores[ID],Vendedores[Setor])</f>
        <v>FM</v>
      </c>
      <c r="D4082" s="7" t="s">
        <v>6</v>
      </c>
      <c r="E4082" t="str">
        <f>_xlfn.XLOOKUP(Vendas[[#This Row],[ID Item Vendido]],Agregado[ID],Agregado[Produto])</f>
        <v>Parafuso comum 500un</v>
      </c>
      <c r="F4082" s="39">
        <v>45618</v>
      </c>
      <c r="G4082" s="7">
        <v>5</v>
      </c>
      <c r="H4082" s="3">
        <f>_xlfn.XLOOKUP(Vendas[[#This Row],[ID Item Vendido]],Agregado[ID],Agregado[Revenda])</f>
        <v>24.6</v>
      </c>
      <c r="I4082" s="3">
        <f>Vendas[[#This Row],[Valor Unitário]]*Vendas[[#This Row],[Qnt Vendida]]</f>
        <v>123</v>
      </c>
      <c r="J4082" s="3">
        <f>Vendas[[#This Row],[Valor da Venda]]-(_xlfn.XLOOKUP(Vendas[[#This Row],[ID Item Vendido]],Agregado[ID],Agregado[Custo])*Vendas[[#This Row],[Qnt Vendida]])</f>
        <v>13</v>
      </c>
      <c r="K4082" s="70">
        <f>Vendas[[#This Row],[Lucro da Venda]]/Vendas[[#This Row],[Valor da Venda]]</f>
        <v>0.10569105691056911</v>
      </c>
      <c r="L4082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4082"/>
    </row>
    <row r="4083" spans="1:13" x14ac:dyDescent="0.3">
      <c r="A4083" s="7">
        <v>400250</v>
      </c>
      <c r="B4083" t="str">
        <f>_xlfn.XLOOKUP(Vendas[[#This Row],[ID Vendedor]],Vendedores[ID],Vendedores[Nome])</f>
        <v>Larissa</v>
      </c>
      <c r="C4083" s="7" t="str">
        <f>_xlfn.XLOOKUP(Vendas[[#This Row],[ID Vendedor]],Vendedores[ID],Vendedores[Setor])</f>
        <v>AB</v>
      </c>
      <c r="D4083" s="7" t="s">
        <v>24</v>
      </c>
      <c r="E4083" t="str">
        <f>_xlfn.XLOOKUP(Vendas[[#This Row],[ID Item Vendido]],Agregado[ID],Agregado[Produto])</f>
        <v>Resina plástica PET purificada saco de 25kg</v>
      </c>
      <c r="F4083" s="39">
        <v>45619</v>
      </c>
      <c r="G4083" s="7">
        <v>28</v>
      </c>
      <c r="H4083" s="3">
        <f>_xlfn.XLOOKUP(Vendas[[#This Row],[ID Item Vendido]],Agregado[ID],Agregado[Revenda])</f>
        <v>119</v>
      </c>
      <c r="I4083" s="3">
        <f>Vendas[[#This Row],[Valor Unitário]]*Vendas[[#This Row],[Qnt Vendida]]</f>
        <v>3332</v>
      </c>
      <c r="J4083" s="3">
        <f>Vendas[[#This Row],[Valor da Venda]]-(_xlfn.XLOOKUP(Vendas[[#This Row],[ID Item Vendido]],Agregado[ID],Agregado[Custo])*Vendas[[#This Row],[Qnt Vendida]])</f>
        <v>952</v>
      </c>
      <c r="K4083" s="70">
        <f>Vendas[[#This Row],[Lucro da Venda]]/Vendas[[#This Row],[Valor da Venda]]</f>
        <v>0.2857142857142857</v>
      </c>
      <c r="L4083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4083"/>
    </row>
    <row r="4084" spans="1:13" x14ac:dyDescent="0.3">
      <c r="A4084" s="7">
        <v>400244</v>
      </c>
      <c r="B4084" t="str">
        <f>_xlfn.XLOOKUP(Vendas[[#This Row],[ID Vendedor]],Vendedores[ID],Vendedores[Nome])</f>
        <v>Camila</v>
      </c>
      <c r="C4084" s="7" t="str">
        <f>_xlfn.XLOOKUP(Vendas[[#This Row],[ID Vendedor]],Vendedores[ID],Vendedores[Setor])</f>
        <v>AHD</v>
      </c>
      <c r="D4084" s="7" t="s">
        <v>30</v>
      </c>
      <c r="E4084" t="str">
        <f>_xlfn.XLOOKUP(Vendas[[#This Row],[ID Item Vendido]],Agregado[ID],Agregado[Produto])</f>
        <v>Estrutura metálica soldada</v>
      </c>
      <c r="F4084" s="39">
        <v>45619</v>
      </c>
      <c r="G4084" s="7">
        <v>5</v>
      </c>
      <c r="H4084" s="3">
        <f>_xlfn.XLOOKUP(Vendas[[#This Row],[ID Item Vendido]],Agregado[ID],Agregado[Revenda])</f>
        <v>400</v>
      </c>
      <c r="I4084" s="3">
        <f>Vendas[[#This Row],[Valor Unitário]]*Vendas[[#This Row],[Qnt Vendida]]</f>
        <v>2000</v>
      </c>
      <c r="J4084" s="3">
        <f>Vendas[[#This Row],[Valor da Venda]]-(_xlfn.XLOOKUP(Vendas[[#This Row],[ID Item Vendido]],Agregado[ID],Agregado[Custo])*Vendas[[#This Row],[Qnt Vendida]])</f>
        <v>400</v>
      </c>
      <c r="K4084" s="70">
        <f>Vendas[[#This Row],[Lucro da Venda]]/Vendas[[#This Row],[Valor da Venda]]</f>
        <v>0.2</v>
      </c>
      <c r="L408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084"/>
    </row>
    <row r="4085" spans="1:13" x14ac:dyDescent="0.3">
      <c r="A4085" s="7">
        <v>400247</v>
      </c>
      <c r="B4085" t="str">
        <f>_xlfn.XLOOKUP(Vendas[[#This Row],[ID Vendedor]],Vendedores[ID],Vendedores[Nome])</f>
        <v>André</v>
      </c>
      <c r="C4085" s="7" t="str">
        <f>_xlfn.XLOOKUP(Vendas[[#This Row],[ID Vendedor]],Vendedores[ID],Vendedores[Setor])</f>
        <v>CM</v>
      </c>
      <c r="D4085" s="7" t="s">
        <v>32</v>
      </c>
      <c r="E4085" t="str">
        <f>_xlfn.XLOOKUP(Vendas[[#This Row],[ID Item Vendido]],Agregado[ID],Agregado[Produto])</f>
        <v>Tábua tratada e cortada 3m</v>
      </c>
      <c r="F4085" s="39">
        <v>45619</v>
      </c>
      <c r="G4085" s="7">
        <v>3</v>
      </c>
      <c r="H4085" s="3">
        <f>_xlfn.XLOOKUP(Vendas[[#This Row],[ID Item Vendido]],Agregado[ID],Agregado[Revenda])</f>
        <v>39</v>
      </c>
      <c r="I4085" s="3">
        <f>Vendas[[#This Row],[Valor Unitário]]*Vendas[[#This Row],[Qnt Vendida]]</f>
        <v>117</v>
      </c>
      <c r="J4085" s="3">
        <f>Vendas[[#This Row],[Valor da Venda]]-(_xlfn.XLOOKUP(Vendas[[#This Row],[ID Item Vendido]],Agregado[ID],Agregado[Custo])*Vendas[[#This Row],[Qnt Vendida]])</f>
        <v>21</v>
      </c>
      <c r="K4085" s="70">
        <f>Vendas[[#This Row],[Lucro da Venda]]/Vendas[[#This Row],[Valor da Venda]]</f>
        <v>0.17948717948717949</v>
      </c>
      <c r="L4085" s="3">
        <f>_xlfn.IFS(Vendas[[#This Row],[Margem de Lucro (%)]]&lt;15%,Vendas[[#This Row],[Valor da Venda]]*3%,Vendas[[#This Row],[Margem de Lucro (%)]]&lt;=20%,Vendas[[#This Row],[Valor da Venda]]*4.5%,TRUE,Vendas[[#This Row],[Valor da Venda]]*6%)</f>
        <v>5.2649999999999997</v>
      </c>
      <c r="M4085"/>
    </row>
    <row r="4086" spans="1:13" x14ac:dyDescent="0.3">
      <c r="A4086" s="7">
        <v>400246</v>
      </c>
      <c r="B4086" t="str">
        <f>_xlfn.XLOOKUP(Vendas[[#This Row],[ID Vendedor]],Vendedores[ID],Vendedores[Nome])</f>
        <v>Juliana</v>
      </c>
      <c r="C4086" s="7" t="str">
        <f>_xlfn.XLOOKUP(Vendas[[#This Row],[ID Vendedor]],Vendedores[ID],Vendedores[Setor])</f>
        <v>AHD</v>
      </c>
      <c r="D4086" s="7" t="s">
        <v>44</v>
      </c>
      <c r="E4086" t="str">
        <f>_xlfn.XLOOKUP(Vendas[[#This Row],[ID Item Vendido]],Agregado[ID],Agregado[Produto])</f>
        <v>Liga metálica especial</v>
      </c>
      <c r="F4086" s="39">
        <v>45620</v>
      </c>
      <c r="G4086" s="7">
        <v>47</v>
      </c>
      <c r="H4086" s="3">
        <f>_xlfn.XLOOKUP(Vendas[[#This Row],[ID Item Vendido]],Agregado[ID],Agregado[Revenda])</f>
        <v>32.5</v>
      </c>
      <c r="I4086" s="3">
        <f>Vendas[[#This Row],[Valor Unitário]]*Vendas[[#This Row],[Qnt Vendida]]</f>
        <v>1527.5</v>
      </c>
      <c r="J4086" s="3">
        <f>Vendas[[#This Row],[Valor da Venda]]-(_xlfn.XLOOKUP(Vendas[[#This Row],[ID Item Vendido]],Agregado[ID],Agregado[Custo])*Vendas[[#This Row],[Qnt Vendida]])</f>
        <v>352.5</v>
      </c>
      <c r="K4086" s="70">
        <f>Vendas[[#This Row],[Lucro da Venda]]/Vendas[[#This Row],[Valor da Venda]]</f>
        <v>0.23076923076923078</v>
      </c>
      <c r="L4086" s="3">
        <f>_xlfn.IFS(Vendas[[#This Row],[Margem de Lucro (%)]]&lt;15%,Vendas[[#This Row],[Valor da Venda]]*3%,Vendas[[#This Row],[Margem de Lucro (%)]]&lt;=20%,Vendas[[#This Row],[Valor da Venda]]*4.5%,TRUE,Vendas[[#This Row],[Valor da Venda]]*6%)</f>
        <v>91.649999999999991</v>
      </c>
      <c r="M4086"/>
    </row>
    <row r="4087" spans="1:13" x14ac:dyDescent="0.3">
      <c r="A4087" s="7">
        <v>400247</v>
      </c>
      <c r="B4087" t="str">
        <f>_xlfn.XLOOKUP(Vendas[[#This Row],[ID Vendedor]],Vendedores[ID],Vendedores[Nome])</f>
        <v>André</v>
      </c>
      <c r="C4087" s="7" t="str">
        <f>_xlfn.XLOOKUP(Vendas[[#This Row],[ID Vendedor]],Vendedores[ID],Vendedores[Setor])</f>
        <v>CM</v>
      </c>
      <c r="D4087" s="7" t="s">
        <v>43</v>
      </c>
      <c r="E4087" t="str">
        <f>_xlfn.XLOOKUP(Vendas[[#This Row],[ID Item Vendido]],Agregado[ID],Agregado[Produto])</f>
        <v>Madeira Bruta (Tora)</v>
      </c>
      <c r="F4087" s="39">
        <v>45620</v>
      </c>
      <c r="G4087" s="7">
        <v>6</v>
      </c>
      <c r="H4087" s="3">
        <f>_xlfn.XLOOKUP(Vendas[[#This Row],[ID Item Vendido]],Agregado[ID],Agregado[Revenda])</f>
        <v>212</v>
      </c>
      <c r="I4087" s="3">
        <f>Vendas[[#This Row],[Valor Unitário]]*Vendas[[#This Row],[Qnt Vendida]]</f>
        <v>1272</v>
      </c>
      <c r="J4087" s="3">
        <f>Vendas[[#This Row],[Valor da Venda]]-(_xlfn.XLOOKUP(Vendas[[#This Row],[ID Item Vendido]],Agregado[ID],Agregado[Custo])*Vendas[[#This Row],[Qnt Vendida]])</f>
        <v>192</v>
      </c>
      <c r="K4087" s="70">
        <f>Vendas[[#This Row],[Lucro da Venda]]/Vendas[[#This Row],[Valor da Venda]]</f>
        <v>0.15094339622641509</v>
      </c>
      <c r="L4087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4087"/>
    </row>
    <row r="4088" spans="1:13" x14ac:dyDescent="0.3">
      <c r="A4088" s="7">
        <v>400245</v>
      </c>
      <c r="B4088" t="str">
        <f>_xlfn.XLOOKUP(Vendas[[#This Row],[ID Vendedor]],Vendedores[ID],Vendedores[Nome])</f>
        <v>Thiago</v>
      </c>
      <c r="C4088" s="7" t="str">
        <f>_xlfn.XLOOKUP(Vendas[[#This Row],[ID Vendedor]],Vendedores[ID],Vendedores[Setor])</f>
        <v>AHD</v>
      </c>
      <c r="D4088" s="7" t="s">
        <v>28</v>
      </c>
      <c r="E4088" t="str">
        <f>_xlfn.XLOOKUP(Vendas[[#This Row],[ID Item Vendido]],Agregado[ID],Agregado[Produto])</f>
        <v>Peça usinada CNC</v>
      </c>
      <c r="F4088" s="39">
        <v>45620</v>
      </c>
      <c r="G4088" s="7">
        <v>3</v>
      </c>
      <c r="H4088" s="3">
        <f>_xlfn.XLOOKUP(Vendas[[#This Row],[ID Item Vendido]],Agregado[ID],Agregado[Revenda])</f>
        <v>192</v>
      </c>
      <c r="I4088" s="3">
        <f>Vendas[[#This Row],[Valor Unitário]]*Vendas[[#This Row],[Qnt Vendida]]</f>
        <v>576</v>
      </c>
      <c r="J4088" s="3">
        <f>Vendas[[#This Row],[Valor da Venda]]-(_xlfn.XLOOKUP(Vendas[[#This Row],[ID Item Vendido]],Agregado[ID],Agregado[Custo])*Vendas[[#This Row],[Qnt Vendida]])</f>
        <v>126</v>
      </c>
      <c r="K4088" s="70">
        <f>Vendas[[#This Row],[Lucro da Venda]]/Vendas[[#This Row],[Valor da Venda]]</f>
        <v>0.21875</v>
      </c>
      <c r="L4088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4088"/>
    </row>
    <row r="4089" spans="1:13" x14ac:dyDescent="0.3">
      <c r="A4089" s="7">
        <v>400255</v>
      </c>
      <c r="B4089" t="str">
        <f>_xlfn.XLOOKUP(Vendas[[#This Row],[ID Vendedor]],Vendedores[ID],Vendedores[Nome])</f>
        <v>Carlos</v>
      </c>
      <c r="C4089" s="7" t="str">
        <f>_xlfn.XLOOKUP(Vendas[[#This Row],[ID Vendedor]],Vendedores[ID],Vendedores[Setor])</f>
        <v>SC</v>
      </c>
      <c r="D4089" s="7" t="s">
        <v>48</v>
      </c>
      <c r="E4089" t="str">
        <f>_xlfn.XLOOKUP(Vendas[[#This Row],[ID Item Vendido]],Agregado[ID],Agregado[Produto])</f>
        <v>Tambor metálico 200L</v>
      </c>
      <c r="F4089" s="39">
        <v>45621</v>
      </c>
      <c r="G4089" s="7">
        <v>15</v>
      </c>
      <c r="H4089" s="3">
        <f>_xlfn.XLOOKUP(Vendas[[#This Row],[ID Item Vendido]],Agregado[ID],Agregado[Revenda])</f>
        <v>144</v>
      </c>
      <c r="I4089" s="3">
        <f>Vendas[[#This Row],[Valor Unitário]]*Vendas[[#This Row],[Qnt Vendida]]</f>
        <v>2160</v>
      </c>
      <c r="J4089" s="3">
        <f>Vendas[[#This Row],[Valor da Venda]]-(_xlfn.XLOOKUP(Vendas[[#This Row],[ID Item Vendido]],Agregado[ID],Agregado[Custo])*Vendas[[#This Row],[Qnt Vendida]])</f>
        <v>360</v>
      </c>
      <c r="K4089" s="70">
        <f>Vendas[[#This Row],[Lucro da Venda]]/Vendas[[#This Row],[Valor da Venda]]</f>
        <v>0.16666666666666666</v>
      </c>
      <c r="L4089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4089"/>
    </row>
    <row r="4090" spans="1:13" x14ac:dyDescent="0.3">
      <c r="A4090" s="7">
        <v>400254</v>
      </c>
      <c r="B4090" t="str">
        <f>_xlfn.XLOOKUP(Vendas[[#This Row],[ID Vendedor]],Vendedores[ID],Vendedores[Nome])</f>
        <v>Beatriz</v>
      </c>
      <c r="C4090" s="7" t="str">
        <f>_xlfn.XLOOKUP(Vendas[[#This Row],[ID Vendedor]],Vendedores[ID],Vendedores[Setor])</f>
        <v>SC</v>
      </c>
      <c r="D4090" s="7" t="s">
        <v>14</v>
      </c>
      <c r="E4090" t="str">
        <f>_xlfn.XLOOKUP(Vendas[[#This Row],[ID Item Vendido]],Agregado[ID],Agregado[Produto])</f>
        <v>Barril de plástico 200L</v>
      </c>
      <c r="F4090" s="39">
        <v>45621</v>
      </c>
      <c r="G4090" s="7">
        <v>9</v>
      </c>
      <c r="H4090" s="3">
        <f>_xlfn.XLOOKUP(Vendas[[#This Row],[ID Item Vendido]],Agregado[ID],Agregado[Revenda])</f>
        <v>114</v>
      </c>
      <c r="I4090" s="3">
        <f>Vendas[[#This Row],[Valor Unitário]]*Vendas[[#This Row],[Qnt Vendida]]</f>
        <v>1026</v>
      </c>
      <c r="J4090" s="3">
        <f>Vendas[[#This Row],[Valor da Venda]]-(_xlfn.XLOOKUP(Vendas[[#This Row],[ID Item Vendido]],Agregado[ID],Agregado[Custo])*Vendas[[#This Row],[Qnt Vendida]])</f>
        <v>171</v>
      </c>
      <c r="K4090" s="70">
        <f>Vendas[[#This Row],[Lucro da Venda]]/Vendas[[#This Row],[Valor da Venda]]</f>
        <v>0.16666666666666666</v>
      </c>
      <c r="L4090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4090"/>
    </row>
    <row r="4091" spans="1:13" x14ac:dyDescent="0.3">
      <c r="A4091" s="7">
        <v>400244</v>
      </c>
      <c r="B4091" t="str">
        <f>_xlfn.XLOOKUP(Vendas[[#This Row],[ID Vendedor]],Vendedores[ID],Vendedores[Nome])</f>
        <v>Camila</v>
      </c>
      <c r="C4091" s="7" t="str">
        <f>_xlfn.XLOOKUP(Vendas[[#This Row],[ID Vendedor]],Vendedores[ID],Vendedores[Setor])</f>
        <v>AHD</v>
      </c>
      <c r="D4091" s="7" t="s">
        <v>18</v>
      </c>
      <c r="E4091" t="str">
        <f>_xlfn.XLOOKUP(Vendas[[#This Row],[ID Item Vendido]],Agregado[ID],Agregado[Produto])</f>
        <v>Peça forjada sob encomenda</v>
      </c>
      <c r="F4091" s="39">
        <v>45622</v>
      </c>
      <c r="G4091" s="7">
        <v>4</v>
      </c>
      <c r="H4091" s="3">
        <f>_xlfn.XLOOKUP(Vendas[[#This Row],[ID Item Vendido]],Agregado[ID],Agregado[Revenda])</f>
        <v>264.60000000000002</v>
      </c>
      <c r="I4091" s="3">
        <f>Vendas[[#This Row],[Valor Unitário]]*Vendas[[#This Row],[Qnt Vendida]]</f>
        <v>1058.4000000000001</v>
      </c>
      <c r="J4091" s="3">
        <f>Vendas[[#This Row],[Valor da Venda]]-(_xlfn.XLOOKUP(Vendas[[#This Row],[ID Item Vendido]],Agregado[ID],Agregado[Custo])*Vendas[[#This Row],[Qnt Vendida]])</f>
        <v>58.400000000000091</v>
      </c>
      <c r="K4091" s="70">
        <f>Vendas[[#This Row],[Lucro da Venda]]/Vendas[[#This Row],[Valor da Venda]]</f>
        <v>5.5177626606198113E-2</v>
      </c>
      <c r="L409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4091"/>
    </row>
    <row r="4092" spans="1:13" x14ac:dyDescent="0.3">
      <c r="A4092" s="7">
        <v>400246</v>
      </c>
      <c r="B4092" t="str">
        <f>_xlfn.XLOOKUP(Vendas[[#This Row],[ID Vendedor]],Vendedores[ID],Vendedores[Nome])</f>
        <v>Juliana</v>
      </c>
      <c r="C4092" s="7" t="str">
        <f>_xlfn.XLOOKUP(Vendas[[#This Row],[ID Vendedor]],Vendedores[ID],Vendedores[Setor])</f>
        <v>AHD</v>
      </c>
      <c r="D4092" s="7" t="s">
        <v>28</v>
      </c>
      <c r="E4092" t="str">
        <f>_xlfn.XLOOKUP(Vendas[[#This Row],[ID Item Vendido]],Agregado[ID],Agregado[Produto])</f>
        <v>Peça usinada CNC</v>
      </c>
      <c r="F4092" s="39">
        <v>45622</v>
      </c>
      <c r="G4092" s="7">
        <v>6</v>
      </c>
      <c r="H4092" s="3">
        <f>_xlfn.XLOOKUP(Vendas[[#This Row],[ID Item Vendido]],Agregado[ID],Agregado[Revenda])</f>
        <v>192</v>
      </c>
      <c r="I4092" s="3">
        <f>Vendas[[#This Row],[Valor Unitário]]*Vendas[[#This Row],[Qnt Vendida]]</f>
        <v>1152</v>
      </c>
      <c r="J4092" s="3">
        <f>Vendas[[#This Row],[Valor da Venda]]-(_xlfn.XLOOKUP(Vendas[[#This Row],[ID Item Vendido]],Agregado[ID],Agregado[Custo])*Vendas[[#This Row],[Qnt Vendida]])</f>
        <v>252</v>
      </c>
      <c r="K4092" s="70">
        <f>Vendas[[#This Row],[Lucro da Venda]]/Vendas[[#This Row],[Valor da Venda]]</f>
        <v>0.21875</v>
      </c>
      <c r="L4092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4092"/>
    </row>
    <row r="4093" spans="1:13" x14ac:dyDescent="0.3">
      <c r="A4093" s="7">
        <v>400255</v>
      </c>
      <c r="B4093" t="str">
        <f>_xlfn.XLOOKUP(Vendas[[#This Row],[ID Vendedor]],Vendedores[ID],Vendedores[Nome])</f>
        <v>Carlos</v>
      </c>
      <c r="C4093" s="7" t="str">
        <f>_xlfn.XLOOKUP(Vendas[[#This Row],[ID Vendedor]],Vendedores[ID],Vendedores[Setor])</f>
        <v>SC</v>
      </c>
      <c r="D4093" s="7" t="s">
        <v>25</v>
      </c>
      <c r="E4093" t="str">
        <f>_xlfn.XLOOKUP(Vendas[[#This Row],[ID Item Vendido]],Agregado[ID],Agregado[Produto])</f>
        <v>Palete de plástico</v>
      </c>
      <c r="F4093" s="39">
        <v>45622</v>
      </c>
      <c r="G4093" s="7">
        <v>5</v>
      </c>
      <c r="H4093" s="3">
        <f>_xlfn.XLOOKUP(Vendas[[#This Row],[ID Item Vendido]],Agregado[ID],Agregado[Revenda])</f>
        <v>70.8</v>
      </c>
      <c r="I4093" s="3">
        <f>Vendas[[#This Row],[Valor Unitário]]*Vendas[[#This Row],[Qnt Vendida]]</f>
        <v>354</v>
      </c>
      <c r="J4093" s="3">
        <f>Vendas[[#This Row],[Valor da Venda]]-(_xlfn.XLOOKUP(Vendas[[#This Row],[ID Item Vendido]],Agregado[ID],Agregado[Custo])*Vendas[[#This Row],[Qnt Vendida]])</f>
        <v>54</v>
      </c>
      <c r="K4093" s="70">
        <f>Vendas[[#This Row],[Lucro da Venda]]/Vendas[[#This Row],[Valor da Venda]]</f>
        <v>0.15254237288135594</v>
      </c>
      <c r="L4093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4093"/>
    </row>
    <row r="4094" spans="1:13" x14ac:dyDescent="0.3">
      <c r="A4094" s="7">
        <v>400250</v>
      </c>
      <c r="B4094" t="str">
        <f>_xlfn.XLOOKUP(Vendas[[#This Row],[ID Vendedor]],Vendedores[ID],Vendedores[Nome])</f>
        <v>Larissa</v>
      </c>
      <c r="C4094" s="7" t="str">
        <f>_xlfn.XLOOKUP(Vendas[[#This Row],[ID Vendedor]],Vendedores[ID],Vendedores[Setor])</f>
        <v>AB</v>
      </c>
      <c r="D4094" s="7" t="s">
        <v>12</v>
      </c>
      <c r="E4094" t="str">
        <f>_xlfn.XLOOKUP(Vendas[[#This Row],[ID Item Vendido]],Agregado[ID],Agregado[Produto])</f>
        <v>Grânulo de plástico reciclado refinado</v>
      </c>
      <c r="F4094" s="39">
        <v>45624</v>
      </c>
      <c r="G4094" s="7">
        <v>113</v>
      </c>
      <c r="H4094" s="3">
        <f>_xlfn.XLOOKUP(Vendas[[#This Row],[ID Item Vendido]],Agregado[ID],Agregado[Revenda])</f>
        <v>4.7</v>
      </c>
      <c r="I4094" s="3">
        <f>Vendas[[#This Row],[Valor Unitário]]*Vendas[[#This Row],[Qnt Vendida]]</f>
        <v>531.1</v>
      </c>
      <c r="J4094" s="3">
        <f>Vendas[[#This Row],[Valor da Venda]]-(_xlfn.XLOOKUP(Vendas[[#This Row],[ID Item Vendido]],Agregado[ID],Agregado[Custo])*Vendas[[#This Row],[Qnt Vendida]])</f>
        <v>135.60000000000002</v>
      </c>
      <c r="K4094" s="70">
        <f>Vendas[[#This Row],[Lucro da Venda]]/Vendas[[#This Row],[Valor da Venda]]</f>
        <v>0.25531914893617025</v>
      </c>
      <c r="L4094" s="3">
        <f>_xlfn.IFS(Vendas[[#This Row],[Margem de Lucro (%)]]&lt;15%,Vendas[[#This Row],[Valor da Venda]]*3%,Vendas[[#This Row],[Margem de Lucro (%)]]&lt;=20%,Vendas[[#This Row],[Valor da Venda]]*4.5%,TRUE,Vendas[[#This Row],[Valor da Venda]]*6%)</f>
        <v>31.866</v>
      </c>
      <c r="M4094"/>
    </row>
    <row r="4095" spans="1:13" x14ac:dyDescent="0.3">
      <c r="A4095" s="7">
        <v>400242</v>
      </c>
      <c r="B4095" t="str">
        <f>_xlfn.XLOOKUP(Vendas[[#This Row],[ID Vendedor]],Vendedores[ID],Vendedores[Nome])</f>
        <v>Fernanda</v>
      </c>
      <c r="C4095" s="7" t="str">
        <f>_xlfn.XLOOKUP(Vendas[[#This Row],[ID Vendedor]],Vendedores[ID],Vendedores[Setor])</f>
        <v>FM</v>
      </c>
      <c r="D4095" s="7" t="s">
        <v>31</v>
      </c>
      <c r="E4095" t="str">
        <f>_xlfn.XLOOKUP(Vendas[[#This Row],[ID Item Vendido]],Agregado[ID],Agregado[Produto])</f>
        <v>Tela de metal soldada rolo 2x25m</v>
      </c>
      <c r="F4095" s="39">
        <v>45624</v>
      </c>
      <c r="G4095" s="7">
        <v>10</v>
      </c>
      <c r="H4095" s="3">
        <f>_xlfn.XLOOKUP(Vendas[[#This Row],[ID Item Vendido]],Agregado[ID],Agregado[Revenda])</f>
        <v>43.7</v>
      </c>
      <c r="I4095" s="3">
        <f>Vendas[[#This Row],[Valor Unitário]]*Vendas[[#This Row],[Qnt Vendida]]</f>
        <v>437</v>
      </c>
      <c r="J4095" s="3">
        <f>Vendas[[#This Row],[Valor da Venda]]-(_xlfn.XLOOKUP(Vendas[[#This Row],[ID Item Vendido]],Agregado[ID],Agregado[Custo])*Vendas[[#This Row],[Qnt Vendida]])</f>
        <v>57</v>
      </c>
      <c r="K4095" s="70">
        <f>Vendas[[#This Row],[Lucro da Venda]]/Vendas[[#This Row],[Valor da Venda]]</f>
        <v>0.13043478260869565</v>
      </c>
      <c r="L4095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4095"/>
    </row>
    <row r="4096" spans="1:13" x14ac:dyDescent="0.3">
      <c r="A4096" s="7">
        <v>400255</v>
      </c>
      <c r="B4096" t="str">
        <f>_xlfn.XLOOKUP(Vendas[[#This Row],[ID Vendedor]],Vendedores[ID],Vendedores[Nome])</f>
        <v>Carlos</v>
      </c>
      <c r="C4096" s="7" t="str">
        <f>_xlfn.XLOOKUP(Vendas[[#This Row],[ID Vendedor]],Vendedores[ID],Vendedores[Setor])</f>
        <v>SC</v>
      </c>
      <c r="D4096" s="7" t="s">
        <v>48</v>
      </c>
      <c r="E4096" t="str">
        <f>_xlfn.XLOOKUP(Vendas[[#This Row],[ID Item Vendido]],Agregado[ID],Agregado[Produto])</f>
        <v>Tambor metálico 200L</v>
      </c>
      <c r="F4096" s="39">
        <v>45624</v>
      </c>
      <c r="G4096" s="7">
        <v>3</v>
      </c>
      <c r="H4096" s="3">
        <f>_xlfn.XLOOKUP(Vendas[[#This Row],[ID Item Vendido]],Agregado[ID],Agregado[Revenda])</f>
        <v>144</v>
      </c>
      <c r="I4096" s="3">
        <f>Vendas[[#This Row],[Valor Unitário]]*Vendas[[#This Row],[Qnt Vendida]]</f>
        <v>432</v>
      </c>
      <c r="J4096" s="3">
        <f>Vendas[[#This Row],[Valor da Venda]]-(_xlfn.XLOOKUP(Vendas[[#This Row],[ID Item Vendido]],Agregado[ID],Agregado[Custo])*Vendas[[#This Row],[Qnt Vendida]])</f>
        <v>72</v>
      </c>
      <c r="K4096" s="70">
        <f>Vendas[[#This Row],[Lucro da Venda]]/Vendas[[#This Row],[Valor da Venda]]</f>
        <v>0.16666666666666666</v>
      </c>
      <c r="L4096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4096"/>
    </row>
    <row r="4097" spans="1:13" x14ac:dyDescent="0.3">
      <c r="A4097" s="7">
        <v>400255</v>
      </c>
      <c r="B4097" t="str">
        <f>_xlfn.XLOOKUP(Vendas[[#This Row],[ID Vendedor]],Vendedores[ID],Vendedores[Nome])</f>
        <v>Carlos</v>
      </c>
      <c r="C4097" s="7" t="str">
        <f>_xlfn.XLOOKUP(Vendas[[#This Row],[ID Vendedor]],Vendedores[ID],Vendedores[Setor])</f>
        <v>SC</v>
      </c>
      <c r="D4097" s="7" t="s">
        <v>14</v>
      </c>
      <c r="E4097" t="str">
        <f>_xlfn.XLOOKUP(Vendas[[#This Row],[ID Item Vendido]],Agregado[ID],Agregado[Produto])</f>
        <v>Barril de plástico 200L</v>
      </c>
      <c r="F4097" s="39">
        <v>45624</v>
      </c>
      <c r="G4097" s="7">
        <v>3</v>
      </c>
      <c r="H4097" s="3">
        <f>_xlfn.XLOOKUP(Vendas[[#This Row],[ID Item Vendido]],Agregado[ID],Agregado[Revenda])</f>
        <v>114</v>
      </c>
      <c r="I4097" s="3">
        <f>Vendas[[#This Row],[Valor Unitário]]*Vendas[[#This Row],[Qnt Vendida]]</f>
        <v>342</v>
      </c>
      <c r="J4097" s="3">
        <f>Vendas[[#This Row],[Valor da Venda]]-(_xlfn.XLOOKUP(Vendas[[#This Row],[ID Item Vendido]],Agregado[ID],Agregado[Custo])*Vendas[[#This Row],[Qnt Vendida]])</f>
        <v>57</v>
      </c>
      <c r="K4097" s="70">
        <f>Vendas[[#This Row],[Lucro da Venda]]/Vendas[[#This Row],[Valor da Venda]]</f>
        <v>0.16666666666666666</v>
      </c>
      <c r="L4097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4097"/>
    </row>
    <row r="4098" spans="1:13" x14ac:dyDescent="0.3">
      <c r="A4098" s="7">
        <v>400254</v>
      </c>
      <c r="B4098" t="str">
        <f>_xlfn.XLOOKUP(Vendas[[#This Row],[ID Vendedor]],Vendedores[ID],Vendedores[Nome])</f>
        <v>Beatriz</v>
      </c>
      <c r="C4098" s="7" t="str">
        <f>_xlfn.XLOOKUP(Vendas[[#This Row],[ID Vendedor]],Vendedores[ID],Vendedores[Setor])</f>
        <v>SC</v>
      </c>
      <c r="D4098" s="7" t="s">
        <v>42</v>
      </c>
      <c r="E4098" t="str">
        <f>_xlfn.XLOOKUP(Vendas[[#This Row],[ID Item Vendido]],Agregado[ID],Agregado[Produto])</f>
        <v>Container de ferro industrial</v>
      </c>
      <c r="F4098" s="39">
        <v>45625</v>
      </c>
      <c r="G4098" s="7">
        <v>6</v>
      </c>
      <c r="H4098" s="3">
        <f>_xlfn.XLOOKUP(Vendas[[#This Row],[ID Item Vendido]],Agregado[ID],Agregado[Revenda])</f>
        <v>830</v>
      </c>
      <c r="I4098" s="3">
        <f>Vendas[[#This Row],[Valor Unitário]]*Vendas[[#This Row],[Qnt Vendida]]</f>
        <v>4980</v>
      </c>
      <c r="J4098" s="3">
        <f>Vendas[[#This Row],[Valor da Venda]]-(_xlfn.XLOOKUP(Vendas[[#This Row],[ID Item Vendido]],Agregado[ID],Agregado[Custo])*Vendas[[#This Row],[Qnt Vendida]])</f>
        <v>900</v>
      </c>
      <c r="K4098" s="70">
        <f>Vendas[[#This Row],[Lucro da Venda]]/Vendas[[#This Row],[Valor da Venda]]</f>
        <v>0.18072289156626506</v>
      </c>
      <c r="L4098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4098"/>
    </row>
    <row r="4099" spans="1:13" x14ac:dyDescent="0.3">
      <c r="A4099" s="7">
        <v>400246</v>
      </c>
      <c r="B4099" t="str">
        <f>_xlfn.XLOOKUP(Vendas[[#This Row],[ID Vendedor]],Vendedores[ID],Vendedores[Nome])</f>
        <v>Juliana</v>
      </c>
      <c r="C4099" s="7" t="str">
        <f>_xlfn.XLOOKUP(Vendas[[#This Row],[ID Vendedor]],Vendedores[ID],Vendedores[Setor])</f>
        <v>AHD</v>
      </c>
      <c r="D4099" s="7" t="s">
        <v>44</v>
      </c>
      <c r="E4099" t="str">
        <f>_xlfn.XLOOKUP(Vendas[[#This Row],[ID Item Vendido]],Agregado[ID],Agregado[Produto])</f>
        <v>Liga metálica especial</v>
      </c>
      <c r="F4099" s="39">
        <v>45625</v>
      </c>
      <c r="G4099" s="7">
        <v>55</v>
      </c>
      <c r="H4099" s="3">
        <f>_xlfn.XLOOKUP(Vendas[[#This Row],[ID Item Vendido]],Agregado[ID],Agregado[Revenda])</f>
        <v>32.5</v>
      </c>
      <c r="I4099" s="3">
        <f>Vendas[[#This Row],[Valor Unitário]]*Vendas[[#This Row],[Qnt Vendida]]</f>
        <v>1787.5</v>
      </c>
      <c r="J4099" s="3">
        <f>Vendas[[#This Row],[Valor da Venda]]-(_xlfn.XLOOKUP(Vendas[[#This Row],[ID Item Vendido]],Agregado[ID],Agregado[Custo])*Vendas[[#This Row],[Qnt Vendida]])</f>
        <v>412.5</v>
      </c>
      <c r="K4099" s="70">
        <f>Vendas[[#This Row],[Lucro da Venda]]/Vendas[[#This Row],[Valor da Venda]]</f>
        <v>0.23076923076923078</v>
      </c>
      <c r="L4099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4099"/>
    </row>
    <row r="4100" spans="1:13" x14ac:dyDescent="0.3">
      <c r="A4100" s="7">
        <v>400246</v>
      </c>
      <c r="B4100" t="str">
        <f>_xlfn.XLOOKUP(Vendas[[#This Row],[ID Vendedor]],Vendedores[ID],Vendedores[Nome])</f>
        <v>Juliana</v>
      </c>
      <c r="C4100" s="7" t="str">
        <f>_xlfn.XLOOKUP(Vendas[[#This Row],[ID Vendedor]],Vendedores[ID],Vendedores[Setor])</f>
        <v>AHD</v>
      </c>
      <c r="D4100" s="7" t="s">
        <v>30</v>
      </c>
      <c r="E4100" t="str">
        <f>_xlfn.XLOOKUP(Vendas[[#This Row],[ID Item Vendido]],Agregado[ID],Agregado[Produto])</f>
        <v>Estrutura metálica soldada</v>
      </c>
      <c r="F4100" s="39">
        <v>45625</v>
      </c>
      <c r="G4100" s="7">
        <v>2</v>
      </c>
      <c r="H4100" s="3">
        <f>_xlfn.XLOOKUP(Vendas[[#This Row],[ID Item Vendido]],Agregado[ID],Agregado[Revenda])</f>
        <v>400</v>
      </c>
      <c r="I4100" s="3">
        <f>Vendas[[#This Row],[Valor Unitário]]*Vendas[[#This Row],[Qnt Vendida]]</f>
        <v>800</v>
      </c>
      <c r="J4100" s="3">
        <f>Vendas[[#This Row],[Valor da Venda]]-(_xlfn.XLOOKUP(Vendas[[#This Row],[ID Item Vendido]],Agregado[ID],Agregado[Custo])*Vendas[[#This Row],[Qnt Vendida]])</f>
        <v>160</v>
      </c>
      <c r="K4100" s="70">
        <f>Vendas[[#This Row],[Lucro da Venda]]/Vendas[[#This Row],[Valor da Venda]]</f>
        <v>0.2</v>
      </c>
      <c r="L4100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100"/>
    </row>
    <row r="4101" spans="1:13" x14ac:dyDescent="0.3">
      <c r="A4101" s="7">
        <v>400250</v>
      </c>
      <c r="B4101" t="str">
        <f>_xlfn.XLOOKUP(Vendas[[#This Row],[ID Vendedor]],Vendedores[ID],Vendedores[Nome])</f>
        <v>Larissa</v>
      </c>
      <c r="C4101" s="7" t="str">
        <f>_xlfn.XLOOKUP(Vendas[[#This Row],[ID Vendedor]],Vendedores[ID],Vendedores[Setor])</f>
        <v>AB</v>
      </c>
      <c r="D4101" s="7" t="s">
        <v>39</v>
      </c>
      <c r="E4101" t="str">
        <f>_xlfn.XLOOKUP(Vendas[[#This Row],[ID Item Vendido]],Agregado[ID],Agregado[Produto])</f>
        <v>Filme plástico industrial rolo 50m</v>
      </c>
      <c r="F4101" s="39">
        <v>45625</v>
      </c>
      <c r="G4101" s="7">
        <v>11</v>
      </c>
      <c r="H4101" s="3">
        <f>_xlfn.XLOOKUP(Vendas[[#This Row],[ID Item Vendido]],Agregado[ID],Agregado[Revenda])</f>
        <v>37</v>
      </c>
      <c r="I4101" s="3">
        <f>Vendas[[#This Row],[Valor Unitário]]*Vendas[[#This Row],[Qnt Vendida]]</f>
        <v>407</v>
      </c>
      <c r="J4101" s="3">
        <f>Vendas[[#This Row],[Valor da Venda]]-(_xlfn.XLOOKUP(Vendas[[#This Row],[ID Item Vendido]],Agregado[ID],Agregado[Custo])*Vendas[[#This Row],[Qnt Vendida]])</f>
        <v>99</v>
      </c>
      <c r="K4101" s="70">
        <f>Vendas[[#This Row],[Lucro da Venda]]/Vendas[[#This Row],[Valor da Venda]]</f>
        <v>0.24324324324324326</v>
      </c>
      <c r="L4101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4101"/>
    </row>
    <row r="4102" spans="1:13" x14ac:dyDescent="0.3">
      <c r="A4102" s="7">
        <v>400251</v>
      </c>
      <c r="B4102" t="str">
        <f>_xlfn.XLOOKUP(Vendas[[#This Row],[ID Vendedor]],Vendedores[ID],Vendedores[Nome])</f>
        <v>Diego</v>
      </c>
      <c r="C4102" s="7" t="str">
        <f>_xlfn.XLOOKUP(Vendas[[#This Row],[ID Vendedor]],Vendedores[ID],Vendedores[Setor])</f>
        <v>AB</v>
      </c>
      <c r="D4102" s="7" t="s">
        <v>36</v>
      </c>
      <c r="E4102" t="str">
        <f>_xlfn.XLOOKUP(Vendas[[#This Row],[ID Item Vendido]],Agregado[ID],Agregado[Produto])</f>
        <v>Borracha vulcanizada em manta</v>
      </c>
      <c r="F4102" s="39">
        <v>45625</v>
      </c>
      <c r="G4102" s="7">
        <v>40</v>
      </c>
      <c r="H4102" s="3">
        <f>_xlfn.XLOOKUP(Vendas[[#This Row],[ID Item Vendido]],Agregado[ID],Agregado[Revenda])</f>
        <v>7.8</v>
      </c>
      <c r="I4102" s="3">
        <f>Vendas[[#This Row],[Valor Unitário]]*Vendas[[#This Row],[Qnt Vendida]]</f>
        <v>312</v>
      </c>
      <c r="J4102" s="3">
        <f>Vendas[[#This Row],[Valor da Venda]]-(_xlfn.XLOOKUP(Vendas[[#This Row],[ID Item Vendido]],Agregado[ID],Agregado[Custo])*Vendas[[#This Row],[Qnt Vendida]])</f>
        <v>72</v>
      </c>
      <c r="K4102" s="70">
        <f>Vendas[[#This Row],[Lucro da Venda]]/Vendas[[#This Row],[Valor da Venda]]</f>
        <v>0.23076923076923078</v>
      </c>
      <c r="L4102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4102"/>
    </row>
    <row r="4103" spans="1:13" x14ac:dyDescent="0.3">
      <c r="A4103" s="7">
        <v>400244</v>
      </c>
      <c r="B4103" t="str">
        <f>_xlfn.XLOOKUP(Vendas[[#This Row],[ID Vendedor]],Vendedores[ID],Vendedores[Nome])</f>
        <v>Camila</v>
      </c>
      <c r="C4103" s="7" t="str">
        <f>_xlfn.XLOOKUP(Vendas[[#This Row],[ID Vendedor]],Vendedores[ID],Vendedores[Setor])</f>
        <v>AHD</v>
      </c>
      <c r="D4103" s="7" t="s">
        <v>28</v>
      </c>
      <c r="E4103" t="str">
        <f>_xlfn.XLOOKUP(Vendas[[#This Row],[ID Item Vendido]],Agregado[ID],Agregado[Produto])</f>
        <v>Peça usinada CNC</v>
      </c>
      <c r="F4103" s="39">
        <v>45626</v>
      </c>
      <c r="G4103" s="7">
        <v>9</v>
      </c>
      <c r="H4103" s="3">
        <f>_xlfn.XLOOKUP(Vendas[[#This Row],[ID Item Vendido]],Agregado[ID],Agregado[Revenda])</f>
        <v>192</v>
      </c>
      <c r="I4103" s="3">
        <f>Vendas[[#This Row],[Valor Unitário]]*Vendas[[#This Row],[Qnt Vendida]]</f>
        <v>1728</v>
      </c>
      <c r="J4103" s="3">
        <f>Vendas[[#This Row],[Valor da Venda]]-(_xlfn.XLOOKUP(Vendas[[#This Row],[ID Item Vendido]],Agregado[ID],Agregado[Custo])*Vendas[[#This Row],[Qnt Vendida]])</f>
        <v>378</v>
      </c>
      <c r="K4103" s="70">
        <f>Vendas[[#This Row],[Lucro da Venda]]/Vendas[[#This Row],[Valor da Venda]]</f>
        <v>0.21875</v>
      </c>
      <c r="L4103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4103"/>
    </row>
    <row r="4104" spans="1:13" x14ac:dyDescent="0.3">
      <c r="A4104" s="7">
        <v>400248</v>
      </c>
      <c r="B4104" t="str">
        <f>_xlfn.XLOOKUP(Vendas[[#This Row],[ID Vendedor]],Vendedores[ID],Vendedores[Nome])</f>
        <v>Patrícia</v>
      </c>
      <c r="C4104" s="7" t="str">
        <f>_xlfn.XLOOKUP(Vendas[[#This Row],[ID Vendedor]],Vendedores[ID],Vendedores[Setor])</f>
        <v>CM</v>
      </c>
      <c r="D4104" s="7" t="s">
        <v>43</v>
      </c>
      <c r="E4104" t="str">
        <f>_xlfn.XLOOKUP(Vendas[[#This Row],[ID Item Vendido]],Agregado[ID],Agregado[Produto])</f>
        <v>Madeira Bruta (Tora)</v>
      </c>
      <c r="F4104" s="39">
        <v>45626</v>
      </c>
      <c r="G4104" s="7">
        <v>2</v>
      </c>
      <c r="H4104" s="3">
        <f>_xlfn.XLOOKUP(Vendas[[#This Row],[ID Item Vendido]],Agregado[ID],Agregado[Revenda])</f>
        <v>212</v>
      </c>
      <c r="I4104" s="3">
        <f>Vendas[[#This Row],[Valor Unitário]]*Vendas[[#This Row],[Qnt Vendida]]</f>
        <v>424</v>
      </c>
      <c r="J4104" s="3">
        <f>Vendas[[#This Row],[Valor da Venda]]-(_xlfn.XLOOKUP(Vendas[[#This Row],[ID Item Vendido]],Agregado[ID],Agregado[Custo])*Vendas[[#This Row],[Qnt Vendida]])</f>
        <v>64</v>
      </c>
      <c r="K4104" s="70">
        <f>Vendas[[#This Row],[Lucro da Venda]]/Vendas[[#This Row],[Valor da Venda]]</f>
        <v>0.15094339622641509</v>
      </c>
      <c r="L4104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4104"/>
    </row>
    <row r="4105" spans="1:13" x14ac:dyDescent="0.3">
      <c r="A4105" s="7">
        <v>400245</v>
      </c>
      <c r="B4105" t="str">
        <f>_xlfn.XLOOKUP(Vendas[[#This Row],[ID Vendedor]],Vendedores[ID],Vendedores[Nome])</f>
        <v>Thiago</v>
      </c>
      <c r="C4105" s="7" t="str">
        <f>_xlfn.XLOOKUP(Vendas[[#This Row],[ID Vendedor]],Vendedores[ID],Vendedores[Setor])</f>
        <v>AHD</v>
      </c>
      <c r="D4105" s="7" t="s">
        <v>28</v>
      </c>
      <c r="E4105" t="str">
        <f>_xlfn.XLOOKUP(Vendas[[#This Row],[ID Item Vendido]],Agregado[ID],Agregado[Produto])</f>
        <v>Peça usinada CNC</v>
      </c>
      <c r="F4105" s="39">
        <v>45626</v>
      </c>
      <c r="G4105" s="7">
        <v>1</v>
      </c>
      <c r="H4105" s="3">
        <f>_xlfn.XLOOKUP(Vendas[[#This Row],[ID Item Vendido]],Agregado[ID],Agregado[Revenda])</f>
        <v>192</v>
      </c>
      <c r="I4105" s="3">
        <f>Vendas[[#This Row],[Valor Unitário]]*Vendas[[#This Row],[Qnt Vendida]]</f>
        <v>192</v>
      </c>
      <c r="J4105" s="3">
        <f>Vendas[[#This Row],[Valor da Venda]]-(_xlfn.XLOOKUP(Vendas[[#This Row],[ID Item Vendido]],Agregado[ID],Agregado[Custo])*Vendas[[#This Row],[Qnt Vendida]])</f>
        <v>42</v>
      </c>
      <c r="K4105" s="70">
        <f>Vendas[[#This Row],[Lucro da Venda]]/Vendas[[#This Row],[Valor da Venda]]</f>
        <v>0.21875</v>
      </c>
      <c r="L4105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4105"/>
    </row>
    <row r="4106" spans="1:13" x14ac:dyDescent="0.3">
      <c r="A4106" s="7">
        <v>400247</v>
      </c>
      <c r="B4106" t="str">
        <f>_xlfn.XLOOKUP(Vendas[[#This Row],[ID Vendedor]],Vendedores[ID],Vendedores[Nome])</f>
        <v>André</v>
      </c>
      <c r="C4106" s="7" t="str">
        <f>_xlfn.XLOOKUP(Vendas[[#This Row],[ID Vendedor]],Vendedores[ID],Vendedores[Setor])</f>
        <v>CM</v>
      </c>
      <c r="D4106" s="7" t="s">
        <v>32</v>
      </c>
      <c r="E4106" t="str">
        <f>_xlfn.XLOOKUP(Vendas[[#This Row],[ID Item Vendido]],Agregado[ID],Agregado[Produto])</f>
        <v>Tábua tratada e cortada 3m</v>
      </c>
      <c r="F4106" s="39">
        <v>45627</v>
      </c>
      <c r="G4106" s="7">
        <v>49</v>
      </c>
      <c r="H4106" s="3">
        <f>_xlfn.XLOOKUP(Vendas[[#This Row],[ID Item Vendido]],Agregado[ID],Agregado[Revenda])</f>
        <v>39</v>
      </c>
      <c r="I4106" s="3">
        <f>Vendas[[#This Row],[Valor Unitário]]*Vendas[[#This Row],[Qnt Vendida]]</f>
        <v>1911</v>
      </c>
      <c r="J4106" s="3">
        <f>Vendas[[#This Row],[Valor da Venda]]-(_xlfn.XLOOKUP(Vendas[[#This Row],[ID Item Vendido]],Agregado[ID],Agregado[Custo])*Vendas[[#This Row],[Qnt Vendida]])</f>
        <v>343</v>
      </c>
      <c r="K4106" s="70">
        <f>Vendas[[#This Row],[Lucro da Venda]]/Vendas[[#This Row],[Valor da Venda]]</f>
        <v>0.17948717948717949</v>
      </c>
      <c r="L4106" s="3">
        <f>_xlfn.IFS(Vendas[[#This Row],[Margem de Lucro (%)]]&lt;15%,Vendas[[#This Row],[Valor da Venda]]*3%,Vendas[[#This Row],[Margem de Lucro (%)]]&lt;=20%,Vendas[[#This Row],[Valor da Venda]]*4.5%,TRUE,Vendas[[#This Row],[Valor da Venda]]*6%)</f>
        <v>85.99499999999999</v>
      </c>
      <c r="M4106"/>
    </row>
    <row r="4107" spans="1:13" x14ac:dyDescent="0.3">
      <c r="A4107" s="7">
        <v>400251</v>
      </c>
      <c r="B4107" t="str">
        <f>_xlfn.XLOOKUP(Vendas[[#This Row],[ID Vendedor]],Vendedores[ID],Vendedores[Nome])</f>
        <v>Diego</v>
      </c>
      <c r="C4107" s="7" t="str">
        <f>_xlfn.XLOOKUP(Vendas[[#This Row],[ID Vendedor]],Vendedores[ID],Vendedores[Setor])</f>
        <v>AB</v>
      </c>
      <c r="D4107" s="7" t="s">
        <v>39</v>
      </c>
      <c r="E4107" t="str">
        <f>_xlfn.XLOOKUP(Vendas[[#This Row],[ID Item Vendido]],Agregado[ID],Agregado[Produto])</f>
        <v>Filme plástico industrial rolo 50m</v>
      </c>
      <c r="F4107" s="39">
        <v>45627</v>
      </c>
      <c r="G4107" s="7">
        <v>17</v>
      </c>
      <c r="H4107" s="3">
        <f>_xlfn.XLOOKUP(Vendas[[#This Row],[ID Item Vendido]],Agregado[ID],Agregado[Revenda])</f>
        <v>37</v>
      </c>
      <c r="I4107" s="3">
        <f>Vendas[[#This Row],[Valor Unitário]]*Vendas[[#This Row],[Qnt Vendida]]</f>
        <v>629</v>
      </c>
      <c r="J4107" s="3">
        <f>Vendas[[#This Row],[Valor da Venda]]-(_xlfn.XLOOKUP(Vendas[[#This Row],[ID Item Vendido]],Agregado[ID],Agregado[Custo])*Vendas[[#This Row],[Qnt Vendida]])</f>
        <v>153</v>
      </c>
      <c r="K4107" s="70">
        <f>Vendas[[#This Row],[Lucro da Venda]]/Vendas[[#This Row],[Valor da Venda]]</f>
        <v>0.24324324324324326</v>
      </c>
      <c r="L4107" s="3">
        <f>_xlfn.IFS(Vendas[[#This Row],[Margem de Lucro (%)]]&lt;15%,Vendas[[#This Row],[Valor da Venda]]*3%,Vendas[[#This Row],[Margem de Lucro (%)]]&lt;=20%,Vendas[[#This Row],[Valor da Venda]]*4.5%,TRUE,Vendas[[#This Row],[Valor da Venda]]*6%)</f>
        <v>37.74</v>
      </c>
      <c r="M4107"/>
    </row>
    <row r="4108" spans="1:13" x14ac:dyDescent="0.3">
      <c r="A4108" s="7">
        <v>400255</v>
      </c>
      <c r="B4108" t="str">
        <f>_xlfn.XLOOKUP(Vendas[[#This Row],[ID Vendedor]],Vendedores[ID],Vendedores[Nome])</f>
        <v>Carlos</v>
      </c>
      <c r="C4108" s="7" t="str">
        <f>_xlfn.XLOOKUP(Vendas[[#This Row],[ID Vendedor]],Vendedores[ID],Vendedores[Setor])</f>
        <v>SC</v>
      </c>
      <c r="D4108" s="7" t="s">
        <v>14</v>
      </c>
      <c r="E4108" t="str">
        <f>_xlfn.XLOOKUP(Vendas[[#This Row],[ID Item Vendido]],Agregado[ID],Agregado[Produto])</f>
        <v>Barril de plástico 200L</v>
      </c>
      <c r="F4108" s="39">
        <v>45627</v>
      </c>
      <c r="G4108" s="7">
        <v>5</v>
      </c>
      <c r="H4108" s="3">
        <f>_xlfn.XLOOKUP(Vendas[[#This Row],[ID Item Vendido]],Agregado[ID],Agregado[Revenda])</f>
        <v>114</v>
      </c>
      <c r="I4108" s="3">
        <f>Vendas[[#This Row],[Valor Unitário]]*Vendas[[#This Row],[Qnt Vendida]]</f>
        <v>570</v>
      </c>
      <c r="J4108" s="3">
        <f>Vendas[[#This Row],[Valor da Venda]]-(_xlfn.XLOOKUP(Vendas[[#This Row],[ID Item Vendido]],Agregado[ID],Agregado[Custo])*Vendas[[#This Row],[Qnt Vendida]])</f>
        <v>95</v>
      </c>
      <c r="K4108" s="70">
        <f>Vendas[[#This Row],[Lucro da Venda]]/Vendas[[#This Row],[Valor da Venda]]</f>
        <v>0.16666666666666666</v>
      </c>
      <c r="L4108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4108"/>
    </row>
    <row r="4109" spans="1:13" x14ac:dyDescent="0.3">
      <c r="A4109" s="7">
        <v>400244</v>
      </c>
      <c r="B4109" t="str">
        <f>_xlfn.XLOOKUP(Vendas[[#This Row],[ID Vendedor]],Vendedores[ID],Vendedores[Nome])</f>
        <v>Camila</v>
      </c>
      <c r="C4109" s="7" t="str">
        <f>_xlfn.XLOOKUP(Vendas[[#This Row],[ID Vendedor]],Vendedores[ID],Vendedores[Setor])</f>
        <v>AHD</v>
      </c>
      <c r="D4109" s="7" t="s">
        <v>30</v>
      </c>
      <c r="E4109" t="str">
        <f>_xlfn.XLOOKUP(Vendas[[#This Row],[ID Item Vendido]],Agregado[ID],Agregado[Produto])</f>
        <v>Estrutura metálica soldada</v>
      </c>
      <c r="F4109" s="39">
        <v>45628</v>
      </c>
      <c r="G4109" s="7">
        <v>3</v>
      </c>
      <c r="H4109" s="3">
        <f>_xlfn.XLOOKUP(Vendas[[#This Row],[ID Item Vendido]],Agregado[ID],Agregado[Revenda])</f>
        <v>400</v>
      </c>
      <c r="I4109" s="3">
        <f>Vendas[[#This Row],[Valor Unitário]]*Vendas[[#This Row],[Qnt Vendida]]</f>
        <v>1200</v>
      </c>
      <c r="J4109" s="3">
        <f>Vendas[[#This Row],[Valor da Venda]]-(_xlfn.XLOOKUP(Vendas[[#This Row],[ID Item Vendido]],Agregado[ID],Agregado[Custo])*Vendas[[#This Row],[Qnt Vendida]])</f>
        <v>240</v>
      </c>
      <c r="K4109" s="70">
        <f>Vendas[[#This Row],[Lucro da Venda]]/Vendas[[#This Row],[Valor da Venda]]</f>
        <v>0.2</v>
      </c>
      <c r="L4109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109"/>
    </row>
    <row r="4110" spans="1:13" x14ac:dyDescent="0.3">
      <c r="A4110" s="7">
        <v>400246</v>
      </c>
      <c r="B4110" t="str">
        <f>_xlfn.XLOOKUP(Vendas[[#This Row],[ID Vendedor]],Vendedores[ID],Vendedores[Nome])</f>
        <v>Juliana</v>
      </c>
      <c r="C4110" s="7" t="str">
        <f>_xlfn.XLOOKUP(Vendas[[#This Row],[ID Vendedor]],Vendedores[ID],Vendedores[Setor])</f>
        <v>AHD</v>
      </c>
      <c r="D4110" s="7" t="s">
        <v>44</v>
      </c>
      <c r="E4110" t="str">
        <f>_xlfn.XLOOKUP(Vendas[[#This Row],[ID Item Vendido]],Agregado[ID],Agregado[Produto])</f>
        <v>Liga metálica especial</v>
      </c>
      <c r="F4110" s="39">
        <v>45628</v>
      </c>
      <c r="G4110" s="7">
        <v>19</v>
      </c>
      <c r="H4110" s="3">
        <f>_xlfn.XLOOKUP(Vendas[[#This Row],[ID Item Vendido]],Agregado[ID],Agregado[Revenda])</f>
        <v>32.5</v>
      </c>
      <c r="I4110" s="3">
        <f>Vendas[[#This Row],[Valor Unitário]]*Vendas[[#This Row],[Qnt Vendida]]</f>
        <v>617.5</v>
      </c>
      <c r="J4110" s="3">
        <f>Vendas[[#This Row],[Valor da Venda]]-(_xlfn.XLOOKUP(Vendas[[#This Row],[ID Item Vendido]],Agregado[ID],Agregado[Custo])*Vendas[[#This Row],[Qnt Vendida]])</f>
        <v>142.5</v>
      </c>
      <c r="K4110" s="70">
        <f>Vendas[[#This Row],[Lucro da Venda]]/Vendas[[#This Row],[Valor da Venda]]</f>
        <v>0.23076923076923078</v>
      </c>
      <c r="L4110" s="3">
        <f>_xlfn.IFS(Vendas[[#This Row],[Margem de Lucro (%)]]&lt;15%,Vendas[[#This Row],[Valor da Venda]]*3%,Vendas[[#This Row],[Margem de Lucro (%)]]&lt;=20%,Vendas[[#This Row],[Valor da Venda]]*4.5%,TRUE,Vendas[[#This Row],[Valor da Venda]]*6%)</f>
        <v>37.049999999999997</v>
      </c>
      <c r="M4110"/>
    </row>
    <row r="4111" spans="1:13" x14ac:dyDescent="0.3">
      <c r="A4111" s="7">
        <v>400251</v>
      </c>
      <c r="B4111" t="str">
        <f>_xlfn.XLOOKUP(Vendas[[#This Row],[ID Vendedor]],Vendedores[ID],Vendedores[Nome])</f>
        <v>Diego</v>
      </c>
      <c r="C4111" s="7" t="str">
        <f>_xlfn.XLOOKUP(Vendas[[#This Row],[ID Vendedor]],Vendedores[ID],Vendedores[Setor])</f>
        <v>AB</v>
      </c>
      <c r="D4111" s="7" t="s">
        <v>37</v>
      </c>
      <c r="E4111" t="str">
        <f>_xlfn.XLOOKUP(Vendas[[#This Row],[ID Item Vendido]],Agregado[ID],Agregado[Produto])</f>
        <v>Composto de borracha para vedação rolo 10m</v>
      </c>
      <c r="F4111" s="39">
        <v>45629</v>
      </c>
      <c r="G4111" s="7">
        <v>24</v>
      </c>
      <c r="H4111" s="3">
        <f>_xlfn.XLOOKUP(Vendas[[#This Row],[ID Item Vendido]],Agregado[ID],Agregado[Revenda])</f>
        <v>51.2</v>
      </c>
      <c r="I4111" s="3">
        <f>Vendas[[#This Row],[Valor Unitário]]*Vendas[[#This Row],[Qnt Vendida]]</f>
        <v>1228.8000000000002</v>
      </c>
      <c r="J4111" s="3">
        <f>Vendas[[#This Row],[Valor da Venda]]-(_xlfn.XLOOKUP(Vendas[[#This Row],[ID Item Vendido]],Agregado[ID],Agregado[Custo])*Vendas[[#This Row],[Qnt Vendida]])</f>
        <v>268.80000000000018</v>
      </c>
      <c r="K4111" s="70">
        <f>Vendas[[#This Row],[Lucro da Venda]]/Vendas[[#This Row],[Valor da Venda]]</f>
        <v>0.21875000000000011</v>
      </c>
      <c r="L4111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4111"/>
    </row>
    <row r="4112" spans="1:13" x14ac:dyDescent="0.3">
      <c r="A4112" s="7">
        <v>400251</v>
      </c>
      <c r="B4112" t="str">
        <f>_xlfn.XLOOKUP(Vendas[[#This Row],[ID Vendedor]],Vendedores[ID],Vendedores[Nome])</f>
        <v>Diego</v>
      </c>
      <c r="C4112" s="7" t="str">
        <f>_xlfn.XLOOKUP(Vendas[[#This Row],[ID Vendedor]],Vendedores[ID],Vendedores[Setor])</f>
        <v>AB</v>
      </c>
      <c r="D4112" s="7" t="s">
        <v>12</v>
      </c>
      <c r="E4112" t="str">
        <f>_xlfn.XLOOKUP(Vendas[[#This Row],[ID Item Vendido]],Agregado[ID],Agregado[Produto])</f>
        <v>Grânulo de plástico reciclado refinado</v>
      </c>
      <c r="F4112" s="39">
        <v>45629</v>
      </c>
      <c r="G4112" s="7">
        <v>143</v>
      </c>
      <c r="H4112" s="3">
        <f>_xlfn.XLOOKUP(Vendas[[#This Row],[ID Item Vendido]],Agregado[ID],Agregado[Revenda])</f>
        <v>4.7</v>
      </c>
      <c r="I4112" s="3">
        <f>Vendas[[#This Row],[Valor Unitário]]*Vendas[[#This Row],[Qnt Vendida]]</f>
        <v>672.1</v>
      </c>
      <c r="J4112" s="3">
        <f>Vendas[[#This Row],[Valor da Venda]]-(_xlfn.XLOOKUP(Vendas[[#This Row],[ID Item Vendido]],Agregado[ID],Agregado[Custo])*Vendas[[#This Row],[Qnt Vendida]])</f>
        <v>171.60000000000002</v>
      </c>
      <c r="K4112" s="70">
        <f>Vendas[[#This Row],[Lucro da Venda]]/Vendas[[#This Row],[Valor da Venda]]</f>
        <v>0.25531914893617025</v>
      </c>
      <c r="L4112" s="3">
        <f>_xlfn.IFS(Vendas[[#This Row],[Margem de Lucro (%)]]&lt;15%,Vendas[[#This Row],[Valor da Venda]]*3%,Vendas[[#This Row],[Margem de Lucro (%)]]&lt;=20%,Vendas[[#This Row],[Valor da Venda]]*4.5%,TRUE,Vendas[[#This Row],[Valor da Venda]]*6%)</f>
        <v>40.326000000000001</v>
      </c>
      <c r="M4112"/>
    </row>
    <row r="4113" spans="1:13" x14ac:dyDescent="0.3">
      <c r="A4113" s="7">
        <v>400254</v>
      </c>
      <c r="B4113" t="str">
        <f>_xlfn.XLOOKUP(Vendas[[#This Row],[ID Vendedor]],Vendedores[ID],Vendedores[Nome])</f>
        <v>Beatriz</v>
      </c>
      <c r="C4113" s="7" t="str">
        <f>_xlfn.XLOOKUP(Vendas[[#This Row],[ID Vendedor]],Vendedores[ID],Vendedores[Setor])</f>
        <v>SC</v>
      </c>
      <c r="D4113" s="7" t="s">
        <v>42</v>
      </c>
      <c r="E4113" t="str">
        <f>_xlfn.XLOOKUP(Vendas[[#This Row],[ID Item Vendido]],Agregado[ID],Agregado[Produto])</f>
        <v>Container de ferro industrial</v>
      </c>
      <c r="F4113" s="39">
        <v>45630</v>
      </c>
      <c r="G4113" s="7">
        <v>4</v>
      </c>
      <c r="H4113" s="3">
        <f>_xlfn.XLOOKUP(Vendas[[#This Row],[ID Item Vendido]],Agregado[ID],Agregado[Revenda])</f>
        <v>830</v>
      </c>
      <c r="I4113" s="3">
        <f>Vendas[[#This Row],[Valor Unitário]]*Vendas[[#This Row],[Qnt Vendida]]</f>
        <v>3320</v>
      </c>
      <c r="J4113" s="3">
        <f>Vendas[[#This Row],[Valor da Venda]]-(_xlfn.XLOOKUP(Vendas[[#This Row],[ID Item Vendido]],Agregado[ID],Agregado[Custo])*Vendas[[#This Row],[Qnt Vendida]])</f>
        <v>600</v>
      </c>
      <c r="K4113" s="70">
        <f>Vendas[[#This Row],[Lucro da Venda]]/Vendas[[#This Row],[Valor da Venda]]</f>
        <v>0.18072289156626506</v>
      </c>
      <c r="L4113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113"/>
    </row>
    <row r="4114" spans="1:13" x14ac:dyDescent="0.3">
      <c r="A4114" s="7">
        <v>400250</v>
      </c>
      <c r="B4114" t="str">
        <f>_xlfn.XLOOKUP(Vendas[[#This Row],[ID Vendedor]],Vendedores[ID],Vendedores[Nome])</f>
        <v>Larissa</v>
      </c>
      <c r="C4114" s="7" t="str">
        <f>_xlfn.XLOOKUP(Vendas[[#This Row],[ID Vendedor]],Vendedores[ID],Vendedores[Setor])</f>
        <v>AB</v>
      </c>
      <c r="D4114" s="7" t="s">
        <v>24</v>
      </c>
      <c r="E4114" t="str">
        <f>_xlfn.XLOOKUP(Vendas[[#This Row],[ID Item Vendido]],Agregado[ID],Agregado[Produto])</f>
        <v>Resina plástica PET purificada saco de 25kg</v>
      </c>
      <c r="F4114" s="39">
        <v>45631</v>
      </c>
      <c r="G4114" s="7">
        <v>29</v>
      </c>
      <c r="H4114" s="3">
        <f>_xlfn.XLOOKUP(Vendas[[#This Row],[ID Item Vendido]],Agregado[ID],Agregado[Revenda])</f>
        <v>119</v>
      </c>
      <c r="I4114" s="3">
        <f>Vendas[[#This Row],[Valor Unitário]]*Vendas[[#This Row],[Qnt Vendida]]</f>
        <v>3451</v>
      </c>
      <c r="J4114" s="3">
        <f>Vendas[[#This Row],[Valor da Venda]]-(_xlfn.XLOOKUP(Vendas[[#This Row],[ID Item Vendido]],Agregado[ID],Agregado[Custo])*Vendas[[#This Row],[Qnt Vendida]])</f>
        <v>986</v>
      </c>
      <c r="K4114" s="70">
        <f>Vendas[[#This Row],[Lucro da Venda]]/Vendas[[#This Row],[Valor da Venda]]</f>
        <v>0.2857142857142857</v>
      </c>
      <c r="L4114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4114"/>
    </row>
    <row r="4115" spans="1:13" x14ac:dyDescent="0.3">
      <c r="A4115" s="7">
        <v>400252</v>
      </c>
      <c r="B4115" t="str">
        <f>_xlfn.XLOOKUP(Vendas[[#This Row],[ID Vendedor]],Vendedores[ID],Vendedores[Nome])</f>
        <v>Renata</v>
      </c>
      <c r="C4115" s="7" t="str">
        <f>_xlfn.XLOOKUP(Vendas[[#This Row],[ID Vendedor]],Vendedores[ID],Vendedores[Setor])</f>
        <v>AB</v>
      </c>
      <c r="D4115" s="7" t="s">
        <v>12</v>
      </c>
      <c r="E4115" t="str">
        <f>_xlfn.XLOOKUP(Vendas[[#This Row],[ID Item Vendido]],Agregado[ID],Agregado[Produto])</f>
        <v>Grânulo de plástico reciclado refinado</v>
      </c>
      <c r="F4115" s="39">
        <v>45631</v>
      </c>
      <c r="G4115" s="7">
        <v>119</v>
      </c>
      <c r="H4115" s="3">
        <f>_xlfn.XLOOKUP(Vendas[[#This Row],[ID Item Vendido]],Agregado[ID],Agregado[Revenda])</f>
        <v>4.7</v>
      </c>
      <c r="I4115" s="3">
        <f>Vendas[[#This Row],[Valor Unitário]]*Vendas[[#This Row],[Qnt Vendida]]</f>
        <v>559.30000000000007</v>
      </c>
      <c r="J4115" s="3">
        <f>Vendas[[#This Row],[Valor da Venda]]-(_xlfn.XLOOKUP(Vendas[[#This Row],[ID Item Vendido]],Agregado[ID],Agregado[Custo])*Vendas[[#This Row],[Qnt Vendida]])</f>
        <v>142.80000000000007</v>
      </c>
      <c r="K4115" s="70">
        <f>Vendas[[#This Row],[Lucro da Venda]]/Vendas[[#This Row],[Valor da Venda]]</f>
        <v>0.2553191489361703</v>
      </c>
      <c r="L4115" s="3">
        <f>_xlfn.IFS(Vendas[[#This Row],[Margem de Lucro (%)]]&lt;15%,Vendas[[#This Row],[Valor da Venda]]*3%,Vendas[[#This Row],[Margem de Lucro (%)]]&lt;=20%,Vendas[[#This Row],[Valor da Venda]]*4.5%,TRUE,Vendas[[#This Row],[Valor da Venda]]*6%)</f>
        <v>33.558</v>
      </c>
      <c r="M4115"/>
    </row>
    <row r="4116" spans="1:13" x14ac:dyDescent="0.3">
      <c r="A4116" s="7">
        <v>400246</v>
      </c>
      <c r="B4116" t="str">
        <f>_xlfn.XLOOKUP(Vendas[[#This Row],[ID Vendedor]],Vendedores[ID],Vendedores[Nome])</f>
        <v>Juliana</v>
      </c>
      <c r="C4116" s="7" t="str">
        <f>_xlfn.XLOOKUP(Vendas[[#This Row],[ID Vendedor]],Vendedores[ID],Vendedores[Setor])</f>
        <v>AHD</v>
      </c>
      <c r="D4116" s="7" t="s">
        <v>28</v>
      </c>
      <c r="E4116" t="str">
        <f>_xlfn.XLOOKUP(Vendas[[#This Row],[ID Item Vendido]],Agregado[ID],Agregado[Produto])</f>
        <v>Peça usinada CNC</v>
      </c>
      <c r="F4116" s="39">
        <v>45631</v>
      </c>
      <c r="G4116" s="7">
        <v>2</v>
      </c>
      <c r="H4116" s="3">
        <f>_xlfn.XLOOKUP(Vendas[[#This Row],[ID Item Vendido]],Agregado[ID],Agregado[Revenda])</f>
        <v>192</v>
      </c>
      <c r="I4116" s="3">
        <f>Vendas[[#This Row],[Valor Unitário]]*Vendas[[#This Row],[Qnt Vendida]]</f>
        <v>384</v>
      </c>
      <c r="J4116" s="3">
        <f>Vendas[[#This Row],[Valor da Venda]]-(_xlfn.XLOOKUP(Vendas[[#This Row],[ID Item Vendido]],Agregado[ID],Agregado[Custo])*Vendas[[#This Row],[Qnt Vendida]])</f>
        <v>84</v>
      </c>
      <c r="K4116" s="70">
        <f>Vendas[[#This Row],[Lucro da Venda]]/Vendas[[#This Row],[Valor da Venda]]</f>
        <v>0.21875</v>
      </c>
      <c r="L4116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4116"/>
    </row>
    <row r="4117" spans="1:13" x14ac:dyDescent="0.3">
      <c r="A4117" s="7">
        <v>400253</v>
      </c>
      <c r="B4117" t="str">
        <f>_xlfn.XLOOKUP(Vendas[[#This Row],[ID Vendedor]],Vendedores[ID],Vendedores[Nome])</f>
        <v>Gustavo</v>
      </c>
      <c r="C4117" s="7" t="str">
        <f>_xlfn.XLOOKUP(Vendas[[#This Row],[ID Vendedor]],Vendedores[ID],Vendedores[Setor])</f>
        <v>SC</v>
      </c>
      <c r="D4117" s="7" t="s">
        <v>42</v>
      </c>
      <c r="E4117" t="str">
        <f>_xlfn.XLOOKUP(Vendas[[#This Row],[ID Item Vendido]],Agregado[ID],Agregado[Produto])</f>
        <v>Container de ferro industrial</v>
      </c>
      <c r="F4117" s="39">
        <v>45632</v>
      </c>
      <c r="G4117" s="7">
        <v>2</v>
      </c>
      <c r="H4117" s="3">
        <f>_xlfn.XLOOKUP(Vendas[[#This Row],[ID Item Vendido]],Agregado[ID],Agregado[Revenda])</f>
        <v>830</v>
      </c>
      <c r="I4117" s="3">
        <f>Vendas[[#This Row],[Valor Unitário]]*Vendas[[#This Row],[Qnt Vendida]]</f>
        <v>1660</v>
      </c>
      <c r="J4117" s="3">
        <f>Vendas[[#This Row],[Valor da Venda]]-(_xlfn.XLOOKUP(Vendas[[#This Row],[ID Item Vendido]],Agregado[ID],Agregado[Custo])*Vendas[[#This Row],[Qnt Vendida]])</f>
        <v>300</v>
      </c>
      <c r="K4117" s="70">
        <f>Vendas[[#This Row],[Lucro da Venda]]/Vendas[[#This Row],[Valor da Venda]]</f>
        <v>0.18072289156626506</v>
      </c>
      <c r="L411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117"/>
    </row>
    <row r="4118" spans="1:13" x14ac:dyDescent="0.3">
      <c r="A4118" s="7">
        <v>400252</v>
      </c>
      <c r="B4118" t="str">
        <f>_xlfn.XLOOKUP(Vendas[[#This Row],[ID Vendedor]],Vendedores[ID],Vendedores[Nome])</f>
        <v>Renata</v>
      </c>
      <c r="C4118" s="7" t="str">
        <f>_xlfn.XLOOKUP(Vendas[[#This Row],[ID Vendedor]],Vendedores[ID],Vendedores[Setor])</f>
        <v>AB</v>
      </c>
      <c r="D4118" s="7" t="s">
        <v>36</v>
      </c>
      <c r="E4118" t="str">
        <f>_xlfn.XLOOKUP(Vendas[[#This Row],[ID Item Vendido]],Agregado[ID],Agregado[Produto])</f>
        <v>Borracha vulcanizada em manta</v>
      </c>
      <c r="F4118" s="39">
        <v>45632</v>
      </c>
      <c r="G4118" s="7">
        <v>16</v>
      </c>
      <c r="H4118" s="3">
        <f>_xlfn.XLOOKUP(Vendas[[#This Row],[ID Item Vendido]],Agregado[ID],Agregado[Revenda])</f>
        <v>7.8</v>
      </c>
      <c r="I4118" s="3">
        <f>Vendas[[#This Row],[Valor Unitário]]*Vendas[[#This Row],[Qnt Vendida]]</f>
        <v>124.8</v>
      </c>
      <c r="J4118" s="3">
        <f>Vendas[[#This Row],[Valor da Venda]]-(_xlfn.XLOOKUP(Vendas[[#This Row],[ID Item Vendido]],Agregado[ID],Agregado[Custo])*Vendas[[#This Row],[Qnt Vendida]])</f>
        <v>28.799999999999997</v>
      </c>
      <c r="K4118" s="70">
        <f>Vendas[[#This Row],[Lucro da Venda]]/Vendas[[#This Row],[Valor da Venda]]</f>
        <v>0.23076923076923075</v>
      </c>
      <c r="L4118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4118"/>
    </row>
    <row r="4119" spans="1:13" x14ac:dyDescent="0.3">
      <c r="A4119" s="7">
        <v>400247</v>
      </c>
      <c r="B4119" t="str">
        <f>_xlfn.XLOOKUP(Vendas[[#This Row],[ID Vendedor]],Vendedores[ID],Vendedores[Nome])</f>
        <v>André</v>
      </c>
      <c r="C4119" s="7" t="str">
        <f>_xlfn.XLOOKUP(Vendas[[#This Row],[ID Vendedor]],Vendedores[ID],Vendedores[Setor])</f>
        <v>CM</v>
      </c>
      <c r="D4119" s="7" t="s">
        <v>22</v>
      </c>
      <c r="E4119" t="str">
        <f>_xlfn.XLOOKUP(Vendas[[#This Row],[ID Item Vendido]],Agregado[ID],Agregado[Produto])</f>
        <v>Painel MDP 2,75x1,83m</v>
      </c>
      <c r="F4119" s="39">
        <v>45633</v>
      </c>
      <c r="G4119" s="7">
        <v>12</v>
      </c>
      <c r="H4119" s="3">
        <f>_xlfn.XLOOKUP(Vendas[[#This Row],[ID Item Vendido]],Agregado[ID],Agregado[Revenda])</f>
        <v>119</v>
      </c>
      <c r="I4119" s="3">
        <f>Vendas[[#This Row],[Valor Unitário]]*Vendas[[#This Row],[Qnt Vendida]]</f>
        <v>1428</v>
      </c>
      <c r="J4119" s="3">
        <f>Vendas[[#This Row],[Valor da Venda]]-(_xlfn.XLOOKUP(Vendas[[#This Row],[ID Item Vendido]],Agregado[ID],Agregado[Custo])*Vendas[[#This Row],[Qnt Vendida]])</f>
        <v>288</v>
      </c>
      <c r="K4119" s="70">
        <f>Vendas[[#This Row],[Lucro da Venda]]/Vendas[[#This Row],[Valor da Venda]]</f>
        <v>0.20168067226890757</v>
      </c>
      <c r="L4119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119"/>
    </row>
    <row r="4120" spans="1:13" x14ac:dyDescent="0.3">
      <c r="A4120" s="7">
        <v>400244</v>
      </c>
      <c r="B4120" t="str">
        <f>_xlfn.XLOOKUP(Vendas[[#This Row],[ID Vendedor]],Vendedores[ID],Vendedores[Nome])</f>
        <v>Camila</v>
      </c>
      <c r="C4120" s="7" t="str">
        <f>_xlfn.XLOOKUP(Vendas[[#This Row],[ID Vendedor]],Vendedores[ID],Vendedores[Setor])</f>
        <v>AHD</v>
      </c>
      <c r="D4120" s="7" t="s">
        <v>9</v>
      </c>
      <c r="E4120" t="str">
        <f>_xlfn.XLOOKUP(Vendas[[#This Row],[ID Item Vendido]],Agregado[ID],Agregado[Produto])</f>
        <v>Barra de aço simples</v>
      </c>
      <c r="F4120" s="39">
        <v>45633</v>
      </c>
      <c r="G4120" s="7">
        <v>69</v>
      </c>
      <c r="H4120" s="3">
        <f>_xlfn.XLOOKUP(Vendas[[#This Row],[ID Item Vendido]],Agregado[ID],Agregado[Revenda])</f>
        <v>6.7</v>
      </c>
      <c r="I4120" s="3">
        <f>Vendas[[#This Row],[Valor Unitário]]*Vendas[[#This Row],[Qnt Vendida]]</f>
        <v>462.3</v>
      </c>
      <c r="J4120" s="3">
        <f>Vendas[[#This Row],[Valor da Venda]]-(_xlfn.XLOOKUP(Vendas[[#This Row],[ID Item Vendido]],Agregado[ID],Agregado[Custo])*Vendas[[#This Row],[Qnt Vendida]])</f>
        <v>62.100000000000023</v>
      </c>
      <c r="K4120" s="70">
        <f>Vendas[[#This Row],[Lucro da Venda]]/Vendas[[#This Row],[Valor da Venda]]</f>
        <v>0.13432835820895528</v>
      </c>
      <c r="L4120" s="3">
        <f>_xlfn.IFS(Vendas[[#This Row],[Margem de Lucro (%)]]&lt;15%,Vendas[[#This Row],[Valor da Venda]]*3%,Vendas[[#This Row],[Margem de Lucro (%)]]&lt;=20%,Vendas[[#This Row],[Valor da Venda]]*4.5%,TRUE,Vendas[[#This Row],[Valor da Venda]]*6%)</f>
        <v>13.869</v>
      </c>
      <c r="M4120"/>
    </row>
    <row r="4121" spans="1:13" x14ac:dyDescent="0.3">
      <c r="A4121" s="7">
        <v>400241</v>
      </c>
      <c r="B4121" t="str">
        <f>_xlfn.XLOOKUP(Vendas[[#This Row],[ID Vendedor]],Vendedores[ID],Vendedores[Nome])</f>
        <v>Rodrigo</v>
      </c>
      <c r="C4121" s="7" t="str">
        <f>_xlfn.XLOOKUP(Vendas[[#This Row],[ID Vendedor]],Vendedores[ID],Vendedores[Setor])</f>
        <v>FM</v>
      </c>
      <c r="D4121" s="7" t="s">
        <v>31</v>
      </c>
      <c r="E4121" t="str">
        <f>_xlfn.XLOOKUP(Vendas[[#This Row],[ID Item Vendido]],Agregado[ID],Agregado[Produto])</f>
        <v>Tela de metal soldada rolo 2x25m</v>
      </c>
      <c r="F4121" s="39">
        <v>45633</v>
      </c>
      <c r="G4121" s="7">
        <v>8</v>
      </c>
      <c r="H4121" s="3">
        <f>_xlfn.XLOOKUP(Vendas[[#This Row],[ID Item Vendido]],Agregado[ID],Agregado[Revenda])</f>
        <v>43.7</v>
      </c>
      <c r="I4121" s="3">
        <f>Vendas[[#This Row],[Valor Unitário]]*Vendas[[#This Row],[Qnt Vendida]]</f>
        <v>349.6</v>
      </c>
      <c r="J4121" s="3">
        <f>Vendas[[#This Row],[Valor da Venda]]-(_xlfn.XLOOKUP(Vendas[[#This Row],[ID Item Vendido]],Agregado[ID],Agregado[Custo])*Vendas[[#This Row],[Qnt Vendida]])</f>
        <v>45.600000000000023</v>
      </c>
      <c r="K4121" s="70">
        <f>Vendas[[#This Row],[Lucro da Venda]]/Vendas[[#This Row],[Valor da Venda]]</f>
        <v>0.1304347826086957</v>
      </c>
      <c r="L4121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4121"/>
    </row>
    <row r="4122" spans="1:13" x14ac:dyDescent="0.3">
      <c r="A4122" s="7">
        <v>400252</v>
      </c>
      <c r="B4122" t="str">
        <f>_xlfn.XLOOKUP(Vendas[[#This Row],[ID Vendedor]],Vendedores[ID],Vendedores[Nome])</f>
        <v>Renata</v>
      </c>
      <c r="C4122" s="7" t="str">
        <f>_xlfn.XLOOKUP(Vendas[[#This Row],[ID Vendedor]],Vendedores[ID],Vendedores[Setor])</f>
        <v>AB</v>
      </c>
      <c r="D4122" s="7" t="s">
        <v>12</v>
      </c>
      <c r="E4122" t="str">
        <f>_xlfn.XLOOKUP(Vendas[[#This Row],[ID Item Vendido]],Agregado[ID],Agregado[Produto])</f>
        <v>Grânulo de plástico reciclado refinado</v>
      </c>
      <c r="F4122" s="39">
        <v>45633</v>
      </c>
      <c r="G4122" s="7">
        <v>32</v>
      </c>
      <c r="H4122" s="3">
        <f>_xlfn.XLOOKUP(Vendas[[#This Row],[ID Item Vendido]],Agregado[ID],Agregado[Revenda])</f>
        <v>4.7</v>
      </c>
      <c r="I4122" s="3">
        <f>Vendas[[#This Row],[Valor Unitário]]*Vendas[[#This Row],[Qnt Vendida]]</f>
        <v>150.4</v>
      </c>
      <c r="J4122" s="3">
        <f>Vendas[[#This Row],[Valor da Venda]]-(_xlfn.XLOOKUP(Vendas[[#This Row],[ID Item Vendido]],Agregado[ID],Agregado[Custo])*Vendas[[#This Row],[Qnt Vendida]])</f>
        <v>38.400000000000006</v>
      </c>
      <c r="K4122" s="70">
        <f>Vendas[[#This Row],[Lucro da Venda]]/Vendas[[#This Row],[Valor da Venda]]</f>
        <v>0.25531914893617025</v>
      </c>
      <c r="L4122" s="3">
        <f>_xlfn.IFS(Vendas[[#This Row],[Margem de Lucro (%)]]&lt;15%,Vendas[[#This Row],[Valor da Venda]]*3%,Vendas[[#This Row],[Margem de Lucro (%)]]&lt;=20%,Vendas[[#This Row],[Valor da Venda]]*4.5%,TRUE,Vendas[[#This Row],[Valor da Venda]]*6%)</f>
        <v>9.0239999999999991</v>
      </c>
      <c r="M4122"/>
    </row>
    <row r="4123" spans="1:13" x14ac:dyDescent="0.3">
      <c r="A4123" s="7">
        <v>400250</v>
      </c>
      <c r="B4123" t="str">
        <f>_xlfn.XLOOKUP(Vendas[[#This Row],[ID Vendedor]],Vendedores[ID],Vendedores[Nome])</f>
        <v>Larissa</v>
      </c>
      <c r="C4123" s="7" t="str">
        <f>_xlfn.XLOOKUP(Vendas[[#This Row],[ID Vendedor]],Vendedores[ID],Vendedores[Setor])</f>
        <v>AB</v>
      </c>
      <c r="D4123" s="7" t="s">
        <v>24</v>
      </c>
      <c r="E4123" t="str">
        <f>_xlfn.XLOOKUP(Vendas[[#This Row],[ID Item Vendido]],Agregado[ID],Agregado[Produto])</f>
        <v>Resina plástica PET purificada saco de 25kg</v>
      </c>
      <c r="F4123" s="39">
        <v>45634</v>
      </c>
      <c r="G4123" s="7">
        <v>11</v>
      </c>
      <c r="H4123" s="3">
        <f>_xlfn.XLOOKUP(Vendas[[#This Row],[ID Item Vendido]],Agregado[ID],Agregado[Revenda])</f>
        <v>119</v>
      </c>
      <c r="I4123" s="3">
        <f>Vendas[[#This Row],[Valor Unitário]]*Vendas[[#This Row],[Qnt Vendida]]</f>
        <v>1309</v>
      </c>
      <c r="J4123" s="3">
        <f>Vendas[[#This Row],[Valor da Venda]]-(_xlfn.XLOOKUP(Vendas[[#This Row],[ID Item Vendido]],Agregado[ID],Agregado[Custo])*Vendas[[#This Row],[Qnt Vendida]])</f>
        <v>374</v>
      </c>
      <c r="K4123" s="70">
        <f>Vendas[[#This Row],[Lucro da Venda]]/Vendas[[#This Row],[Valor da Venda]]</f>
        <v>0.2857142857142857</v>
      </c>
      <c r="L4123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123"/>
    </row>
    <row r="4124" spans="1:13" x14ac:dyDescent="0.3">
      <c r="A4124" s="7">
        <v>400244</v>
      </c>
      <c r="B4124" t="str">
        <f>_xlfn.XLOOKUP(Vendas[[#This Row],[ID Vendedor]],Vendedores[ID],Vendedores[Nome])</f>
        <v>Camila</v>
      </c>
      <c r="C4124" s="7" t="str">
        <f>_xlfn.XLOOKUP(Vendas[[#This Row],[ID Vendedor]],Vendedores[ID],Vendedores[Setor])</f>
        <v>AHD</v>
      </c>
      <c r="D4124" s="7" t="s">
        <v>18</v>
      </c>
      <c r="E4124" t="str">
        <f>_xlfn.XLOOKUP(Vendas[[#This Row],[ID Item Vendido]],Agregado[ID],Agregado[Produto])</f>
        <v>Peça forjada sob encomenda</v>
      </c>
      <c r="F4124" s="39">
        <v>45634</v>
      </c>
      <c r="G4124" s="7">
        <v>2</v>
      </c>
      <c r="H4124" s="3">
        <f>_xlfn.XLOOKUP(Vendas[[#This Row],[ID Item Vendido]],Agregado[ID],Agregado[Revenda])</f>
        <v>264.60000000000002</v>
      </c>
      <c r="I4124" s="3">
        <f>Vendas[[#This Row],[Valor Unitário]]*Vendas[[#This Row],[Qnt Vendida]]</f>
        <v>529.20000000000005</v>
      </c>
      <c r="J4124" s="3">
        <f>Vendas[[#This Row],[Valor da Venda]]-(_xlfn.XLOOKUP(Vendas[[#This Row],[ID Item Vendido]],Agregado[ID],Agregado[Custo])*Vendas[[#This Row],[Qnt Vendida]])</f>
        <v>29.200000000000045</v>
      </c>
      <c r="K4124" s="70">
        <f>Vendas[[#This Row],[Lucro da Venda]]/Vendas[[#This Row],[Valor da Venda]]</f>
        <v>5.5177626606198113E-2</v>
      </c>
      <c r="L412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4124"/>
    </row>
    <row r="4125" spans="1:13" x14ac:dyDescent="0.3">
      <c r="A4125" s="7">
        <v>400246</v>
      </c>
      <c r="B4125" t="str">
        <f>_xlfn.XLOOKUP(Vendas[[#This Row],[ID Vendedor]],Vendedores[ID],Vendedores[Nome])</f>
        <v>Juliana</v>
      </c>
      <c r="C4125" s="7" t="str">
        <f>_xlfn.XLOOKUP(Vendas[[#This Row],[ID Vendedor]],Vendedores[ID],Vendedores[Setor])</f>
        <v>AHD</v>
      </c>
      <c r="D4125" s="7" t="s">
        <v>28</v>
      </c>
      <c r="E4125" t="str">
        <f>_xlfn.XLOOKUP(Vendas[[#This Row],[ID Item Vendido]],Agregado[ID],Agregado[Produto])</f>
        <v>Peça usinada CNC</v>
      </c>
      <c r="F4125" s="39">
        <v>45634</v>
      </c>
      <c r="G4125" s="7">
        <v>2</v>
      </c>
      <c r="H4125" s="3">
        <f>_xlfn.XLOOKUP(Vendas[[#This Row],[ID Item Vendido]],Agregado[ID],Agregado[Revenda])</f>
        <v>192</v>
      </c>
      <c r="I4125" s="3">
        <f>Vendas[[#This Row],[Valor Unitário]]*Vendas[[#This Row],[Qnt Vendida]]</f>
        <v>384</v>
      </c>
      <c r="J4125" s="3">
        <f>Vendas[[#This Row],[Valor da Venda]]-(_xlfn.XLOOKUP(Vendas[[#This Row],[ID Item Vendido]],Agregado[ID],Agregado[Custo])*Vendas[[#This Row],[Qnt Vendida]])</f>
        <v>84</v>
      </c>
      <c r="K4125" s="70">
        <f>Vendas[[#This Row],[Lucro da Venda]]/Vendas[[#This Row],[Valor da Venda]]</f>
        <v>0.21875</v>
      </c>
      <c r="L4125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4125"/>
    </row>
    <row r="4126" spans="1:13" x14ac:dyDescent="0.3">
      <c r="A4126" s="7">
        <v>400250</v>
      </c>
      <c r="B4126" t="str">
        <f>_xlfn.XLOOKUP(Vendas[[#This Row],[ID Vendedor]],Vendedores[ID],Vendedores[Nome])</f>
        <v>Larissa</v>
      </c>
      <c r="C4126" s="7" t="str">
        <f>_xlfn.XLOOKUP(Vendas[[#This Row],[ID Vendedor]],Vendedores[ID],Vendedores[Setor])</f>
        <v>AB</v>
      </c>
      <c r="D4126" s="7" t="s">
        <v>24</v>
      </c>
      <c r="E4126" t="str">
        <f>_xlfn.XLOOKUP(Vendas[[#This Row],[ID Item Vendido]],Agregado[ID],Agregado[Produto])</f>
        <v>Resina plástica PET purificada saco de 25kg</v>
      </c>
      <c r="F4126" s="39">
        <v>45635</v>
      </c>
      <c r="G4126" s="7">
        <v>23</v>
      </c>
      <c r="H4126" s="3">
        <f>_xlfn.XLOOKUP(Vendas[[#This Row],[ID Item Vendido]],Agregado[ID],Agregado[Revenda])</f>
        <v>119</v>
      </c>
      <c r="I4126" s="3">
        <f>Vendas[[#This Row],[Valor Unitário]]*Vendas[[#This Row],[Qnt Vendida]]</f>
        <v>2737</v>
      </c>
      <c r="J4126" s="3">
        <f>Vendas[[#This Row],[Valor da Venda]]-(_xlfn.XLOOKUP(Vendas[[#This Row],[ID Item Vendido]],Agregado[ID],Agregado[Custo])*Vendas[[#This Row],[Qnt Vendida]])</f>
        <v>782</v>
      </c>
      <c r="K4126" s="70">
        <f>Vendas[[#This Row],[Lucro da Venda]]/Vendas[[#This Row],[Valor da Venda]]</f>
        <v>0.2857142857142857</v>
      </c>
      <c r="L412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126"/>
    </row>
    <row r="4127" spans="1:13" x14ac:dyDescent="0.3">
      <c r="A4127" s="7">
        <v>400247</v>
      </c>
      <c r="B4127" t="str">
        <f>_xlfn.XLOOKUP(Vendas[[#This Row],[ID Vendedor]],Vendedores[ID],Vendedores[Nome])</f>
        <v>André</v>
      </c>
      <c r="C4127" s="7" t="str">
        <f>_xlfn.XLOOKUP(Vendas[[#This Row],[ID Vendedor]],Vendedores[ID],Vendedores[Setor])</f>
        <v>CM</v>
      </c>
      <c r="D4127" s="7" t="s">
        <v>32</v>
      </c>
      <c r="E4127" t="str">
        <f>_xlfn.XLOOKUP(Vendas[[#This Row],[ID Item Vendido]],Agregado[ID],Agregado[Produto])</f>
        <v>Tábua tratada e cortada 3m</v>
      </c>
      <c r="F4127" s="39">
        <v>45635</v>
      </c>
      <c r="G4127" s="7">
        <v>18</v>
      </c>
      <c r="H4127" s="3">
        <f>_xlfn.XLOOKUP(Vendas[[#This Row],[ID Item Vendido]],Agregado[ID],Agregado[Revenda])</f>
        <v>39</v>
      </c>
      <c r="I4127" s="3">
        <f>Vendas[[#This Row],[Valor Unitário]]*Vendas[[#This Row],[Qnt Vendida]]</f>
        <v>702</v>
      </c>
      <c r="J4127" s="3">
        <f>Vendas[[#This Row],[Valor da Venda]]-(_xlfn.XLOOKUP(Vendas[[#This Row],[ID Item Vendido]],Agregado[ID],Agregado[Custo])*Vendas[[#This Row],[Qnt Vendida]])</f>
        <v>126</v>
      </c>
      <c r="K4127" s="70">
        <f>Vendas[[#This Row],[Lucro da Venda]]/Vendas[[#This Row],[Valor da Venda]]</f>
        <v>0.17948717948717949</v>
      </c>
      <c r="L4127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4127"/>
    </row>
    <row r="4128" spans="1:13" x14ac:dyDescent="0.3">
      <c r="A4128" s="7">
        <v>400249</v>
      </c>
      <c r="B4128" t="str">
        <f>_xlfn.XLOOKUP(Vendas[[#This Row],[ID Vendedor]],Vendedores[ID],Vendedores[Nome])</f>
        <v>Bruno</v>
      </c>
      <c r="C4128" s="7" t="str">
        <f>_xlfn.XLOOKUP(Vendas[[#This Row],[ID Vendedor]],Vendedores[ID],Vendedores[Setor])</f>
        <v>CM</v>
      </c>
      <c r="D4128" s="7" t="s">
        <v>22</v>
      </c>
      <c r="E4128" t="str">
        <f>_xlfn.XLOOKUP(Vendas[[#This Row],[ID Item Vendido]],Agregado[ID],Agregado[Produto])</f>
        <v>Painel MDP 2,75x1,83m</v>
      </c>
      <c r="F4128" s="39">
        <v>45636</v>
      </c>
      <c r="G4128" s="7">
        <v>20</v>
      </c>
      <c r="H4128" s="3">
        <f>_xlfn.XLOOKUP(Vendas[[#This Row],[ID Item Vendido]],Agregado[ID],Agregado[Revenda])</f>
        <v>119</v>
      </c>
      <c r="I4128" s="3">
        <f>Vendas[[#This Row],[Valor Unitário]]*Vendas[[#This Row],[Qnt Vendida]]</f>
        <v>2380</v>
      </c>
      <c r="J4128" s="3">
        <f>Vendas[[#This Row],[Valor da Venda]]-(_xlfn.XLOOKUP(Vendas[[#This Row],[ID Item Vendido]],Agregado[ID],Agregado[Custo])*Vendas[[#This Row],[Qnt Vendida]])</f>
        <v>480</v>
      </c>
      <c r="K4128" s="70">
        <f>Vendas[[#This Row],[Lucro da Venda]]/Vendas[[#This Row],[Valor da Venda]]</f>
        <v>0.20168067226890757</v>
      </c>
      <c r="L4128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4128"/>
    </row>
    <row r="4129" spans="1:13" x14ac:dyDescent="0.3">
      <c r="A4129" s="7">
        <v>400251</v>
      </c>
      <c r="B4129" t="str">
        <f>_xlfn.XLOOKUP(Vendas[[#This Row],[ID Vendedor]],Vendedores[ID],Vendedores[Nome])</f>
        <v>Diego</v>
      </c>
      <c r="C4129" s="7" t="str">
        <f>_xlfn.XLOOKUP(Vendas[[#This Row],[ID Vendedor]],Vendedores[ID],Vendedores[Setor])</f>
        <v>AB</v>
      </c>
      <c r="D4129" s="7" t="s">
        <v>24</v>
      </c>
      <c r="E4129" t="str">
        <f>_xlfn.XLOOKUP(Vendas[[#This Row],[ID Item Vendido]],Agregado[ID],Agregado[Produto])</f>
        <v>Resina plástica PET purificada saco de 25kg</v>
      </c>
      <c r="F4129" s="39">
        <v>45636</v>
      </c>
      <c r="G4129" s="7">
        <v>9</v>
      </c>
      <c r="H4129" s="3">
        <f>_xlfn.XLOOKUP(Vendas[[#This Row],[ID Item Vendido]],Agregado[ID],Agregado[Revenda])</f>
        <v>119</v>
      </c>
      <c r="I4129" s="3">
        <f>Vendas[[#This Row],[Valor Unitário]]*Vendas[[#This Row],[Qnt Vendida]]</f>
        <v>1071</v>
      </c>
      <c r="J4129" s="3">
        <f>Vendas[[#This Row],[Valor da Venda]]-(_xlfn.XLOOKUP(Vendas[[#This Row],[ID Item Vendido]],Agregado[ID],Agregado[Custo])*Vendas[[#This Row],[Qnt Vendida]])</f>
        <v>306</v>
      </c>
      <c r="K4129" s="70">
        <f>Vendas[[#This Row],[Lucro da Venda]]/Vendas[[#This Row],[Valor da Venda]]</f>
        <v>0.2857142857142857</v>
      </c>
      <c r="L4129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4129"/>
    </row>
    <row r="4130" spans="1:13" x14ac:dyDescent="0.3">
      <c r="A4130" s="7">
        <v>400250</v>
      </c>
      <c r="B4130" t="str">
        <f>_xlfn.XLOOKUP(Vendas[[#This Row],[ID Vendedor]],Vendedores[ID],Vendedores[Nome])</f>
        <v>Larissa</v>
      </c>
      <c r="C4130" s="7" t="str">
        <f>_xlfn.XLOOKUP(Vendas[[#This Row],[ID Vendedor]],Vendedores[ID],Vendedores[Setor])</f>
        <v>AB</v>
      </c>
      <c r="D4130" s="7" t="s">
        <v>39</v>
      </c>
      <c r="E4130" t="str">
        <f>_xlfn.XLOOKUP(Vendas[[#This Row],[ID Item Vendido]],Agregado[ID],Agregado[Produto])</f>
        <v>Filme plástico industrial rolo 50m</v>
      </c>
      <c r="F4130" s="39">
        <v>45636</v>
      </c>
      <c r="G4130" s="7">
        <v>27</v>
      </c>
      <c r="H4130" s="3">
        <f>_xlfn.XLOOKUP(Vendas[[#This Row],[ID Item Vendido]],Agregado[ID],Agregado[Revenda])</f>
        <v>37</v>
      </c>
      <c r="I4130" s="3">
        <f>Vendas[[#This Row],[Valor Unitário]]*Vendas[[#This Row],[Qnt Vendida]]</f>
        <v>999</v>
      </c>
      <c r="J4130" s="3">
        <f>Vendas[[#This Row],[Valor da Venda]]-(_xlfn.XLOOKUP(Vendas[[#This Row],[ID Item Vendido]],Agregado[ID],Agregado[Custo])*Vendas[[#This Row],[Qnt Vendida]])</f>
        <v>243</v>
      </c>
      <c r="K4130" s="70">
        <f>Vendas[[#This Row],[Lucro da Venda]]/Vendas[[#This Row],[Valor da Venda]]</f>
        <v>0.24324324324324326</v>
      </c>
      <c r="L4130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4130"/>
    </row>
    <row r="4131" spans="1:13" x14ac:dyDescent="0.3">
      <c r="A4131" s="7">
        <v>400252</v>
      </c>
      <c r="B4131" t="str">
        <f>_xlfn.XLOOKUP(Vendas[[#This Row],[ID Vendedor]],Vendedores[ID],Vendedores[Nome])</f>
        <v>Renata</v>
      </c>
      <c r="C4131" s="7" t="str">
        <f>_xlfn.XLOOKUP(Vendas[[#This Row],[ID Vendedor]],Vendedores[ID],Vendedores[Setor])</f>
        <v>AB</v>
      </c>
      <c r="D4131" s="7" t="s">
        <v>39</v>
      </c>
      <c r="E4131" t="str">
        <f>_xlfn.XLOOKUP(Vendas[[#This Row],[ID Item Vendido]],Agregado[ID],Agregado[Produto])</f>
        <v>Filme plástico industrial rolo 50m</v>
      </c>
      <c r="F4131" s="39">
        <v>45636</v>
      </c>
      <c r="G4131" s="7">
        <v>12</v>
      </c>
      <c r="H4131" s="3">
        <f>_xlfn.XLOOKUP(Vendas[[#This Row],[ID Item Vendido]],Agregado[ID],Agregado[Revenda])</f>
        <v>37</v>
      </c>
      <c r="I4131" s="3">
        <f>Vendas[[#This Row],[Valor Unitário]]*Vendas[[#This Row],[Qnt Vendida]]</f>
        <v>444</v>
      </c>
      <c r="J4131" s="3">
        <f>Vendas[[#This Row],[Valor da Venda]]-(_xlfn.XLOOKUP(Vendas[[#This Row],[ID Item Vendido]],Agregado[ID],Agregado[Custo])*Vendas[[#This Row],[Qnt Vendida]])</f>
        <v>108</v>
      </c>
      <c r="K4131" s="70">
        <f>Vendas[[#This Row],[Lucro da Venda]]/Vendas[[#This Row],[Valor da Venda]]</f>
        <v>0.24324324324324326</v>
      </c>
      <c r="L4131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4131"/>
    </row>
    <row r="4132" spans="1:13" x14ac:dyDescent="0.3">
      <c r="A4132" s="7">
        <v>400242</v>
      </c>
      <c r="B4132" t="str">
        <f>_xlfn.XLOOKUP(Vendas[[#This Row],[ID Vendedor]],Vendedores[ID],Vendedores[Nome])</f>
        <v>Fernanda</v>
      </c>
      <c r="C4132" s="7" t="str">
        <f>_xlfn.XLOOKUP(Vendas[[#This Row],[ID Vendedor]],Vendedores[ID],Vendedores[Setor])</f>
        <v>FM</v>
      </c>
      <c r="D4132" s="7" t="s">
        <v>20</v>
      </c>
      <c r="E4132" t="str">
        <f>_xlfn.XLOOKUP(Vendas[[#This Row],[ID Item Vendido]],Agregado[ID],Agregado[Produto])</f>
        <v>Barra de aço simples</v>
      </c>
      <c r="F4132" s="39">
        <v>45636</v>
      </c>
      <c r="G4132" s="7">
        <v>75</v>
      </c>
      <c r="H4132" s="3">
        <f>_xlfn.XLOOKUP(Vendas[[#This Row],[ID Item Vendido]],Agregado[ID],Agregado[Revenda])</f>
        <v>4.8</v>
      </c>
      <c r="I4132" s="3">
        <f>Vendas[[#This Row],[Valor Unitário]]*Vendas[[#This Row],[Qnt Vendida]]</f>
        <v>360</v>
      </c>
      <c r="J4132" s="3">
        <f>Vendas[[#This Row],[Valor da Venda]]-(_xlfn.XLOOKUP(Vendas[[#This Row],[ID Item Vendido]],Agregado[ID],Agregado[Custo])*Vendas[[#This Row],[Qnt Vendida]])</f>
        <v>45</v>
      </c>
      <c r="K4132" s="70">
        <f>Vendas[[#This Row],[Lucro da Venda]]/Vendas[[#This Row],[Valor da Venda]]</f>
        <v>0.125</v>
      </c>
      <c r="L4132" s="3">
        <f>_xlfn.IFS(Vendas[[#This Row],[Margem de Lucro (%)]]&lt;15%,Vendas[[#This Row],[Valor da Venda]]*3%,Vendas[[#This Row],[Margem de Lucro (%)]]&lt;=20%,Vendas[[#This Row],[Valor da Venda]]*4.5%,TRUE,Vendas[[#This Row],[Valor da Venda]]*6%)</f>
        <v>10.799999999999999</v>
      </c>
      <c r="M4132"/>
    </row>
    <row r="4133" spans="1:13" x14ac:dyDescent="0.3">
      <c r="A4133" s="7">
        <v>400249</v>
      </c>
      <c r="B4133" t="str">
        <f>_xlfn.XLOOKUP(Vendas[[#This Row],[ID Vendedor]],Vendedores[ID],Vendedores[Nome])</f>
        <v>Bruno</v>
      </c>
      <c r="C4133" s="7" t="str">
        <f>_xlfn.XLOOKUP(Vendas[[#This Row],[ID Vendedor]],Vendedores[ID],Vendedores[Setor])</f>
        <v>CM</v>
      </c>
      <c r="D4133" s="7" t="s">
        <v>34</v>
      </c>
      <c r="E4133" t="str">
        <f>_xlfn.XLOOKUP(Vendas[[#This Row],[ID Item Vendido]],Agregado[ID],Agregado[Produto])</f>
        <v>Restos de madeira p/ MDP/OSB saco de 20kg</v>
      </c>
      <c r="F4133" s="39">
        <v>45636</v>
      </c>
      <c r="G4133" s="7">
        <v>24</v>
      </c>
      <c r="H4133" s="3">
        <f>_xlfn.XLOOKUP(Vendas[[#This Row],[ID Item Vendido]],Agregado[ID],Agregado[Revenda])</f>
        <v>13.8</v>
      </c>
      <c r="I4133" s="3">
        <f>Vendas[[#This Row],[Valor Unitário]]*Vendas[[#This Row],[Qnt Vendida]]</f>
        <v>331.20000000000005</v>
      </c>
      <c r="J4133" s="3">
        <f>Vendas[[#This Row],[Valor da Venda]]-(_xlfn.XLOOKUP(Vendas[[#This Row],[ID Item Vendido]],Agregado[ID],Agregado[Custo])*Vendas[[#This Row],[Qnt Vendida]])</f>
        <v>43.200000000000045</v>
      </c>
      <c r="K4133" s="70">
        <f>Vendas[[#This Row],[Lucro da Venda]]/Vendas[[#This Row],[Valor da Venda]]</f>
        <v>0.13043478260869576</v>
      </c>
      <c r="L4133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4133"/>
    </row>
    <row r="4134" spans="1:13" x14ac:dyDescent="0.3">
      <c r="A4134" s="7">
        <v>400248</v>
      </c>
      <c r="B4134" t="str">
        <f>_xlfn.XLOOKUP(Vendas[[#This Row],[ID Vendedor]],Vendedores[ID],Vendedores[Nome])</f>
        <v>Patrícia</v>
      </c>
      <c r="C4134" s="7" t="str">
        <f>_xlfn.XLOOKUP(Vendas[[#This Row],[ID Vendedor]],Vendedores[ID],Vendedores[Setor])</f>
        <v>CM</v>
      </c>
      <c r="D4134" s="7" t="s">
        <v>34</v>
      </c>
      <c r="E4134" t="str">
        <f>_xlfn.XLOOKUP(Vendas[[#This Row],[ID Item Vendido]],Agregado[ID],Agregado[Produto])</f>
        <v>Restos de madeira p/ MDP/OSB saco de 20kg</v>
      </c>
      <c r="F4134" s="39">
        <v>45636</v>
      </c>
      <c r="G4134" s="7">
        <v>6</v>
      </c>
      <c r="H4134" s="3">
        <f>_xlfn.XLOOKUP(Vendas[[#This Row],[ID Item Vendido]],Agregado[ID],Agregado[Revenda])</f>
        <v>13.8</v>
      </c>
      <c r="I4134" s="3">
        <f>Vendas[[#This Row],[Valor Unitário]]*Vendas[[#This Row],[Qnt Vendida]]</f>
        <v>82.800000000000011</v>
      </c>
      <c r="J4134" s="3">
        <f>Vendas[[#This Row],[Valor da Venda]]-(_xlfn.XLOOKUP(Vendas[[#This Row],[ID Item Vendido]],Agregado[ID],Agregado[Custo])*Vendas[[#This Row],[Qnt Vendida]])</f>
        <v>10.800000000000011</v>
      </c>
      <c r="K4134" s="70">
        <f>Vendas[[#This Row],[Lucro da Venda]]/Vendas[[#This Row],[Valor da Venda]]</f>
        <v>0.13043478260869576</v>
      </c>
      <c r="L4134" s="3">
        <f>_xlfn.IFS(Vendas[[#This Row],[Margem de Lucro (%)]]&lt;15%,Vendas[[#This Row],[Valor da Venda]]*3%,Vendas[[#This Row],[Margem de Lucro (%)]]&lt;=20%,Vendas[[#This Row],[Valor da Venda]]*4.5%,TRUE,Vendas[[#This Row],[Valor da Venda]]*6%)</f>
        <v>2.4840000000000004</v>
      </c>
      <c r="M4134"/>
    </row>
    <row r="4135" spans="1:13" x14ac:dyDescent="0.3">
      <c r="A4135" s="7">
        <v>400244</v>
      </c>
      <c r="B4135" t="str">
        <f>_xlfn.XLOOKUP(Vendas[[#This Row],[ID Vendedor]],Vendedores[ID],Vendedores[Nome])</f>
        <v>Camila</v>
      </c>
      <c r="C4135" s="7" t="str">
        <f>_xlfn.XLOOKUP(Vendas[[#This Row],[ID Vendedor]],Vendedores[ID],Vendedores[Setor])</f>
        <v>AHD</v>
      </c>
      <c r="D4135" s="7" t="s">
        <v>30</v>
      </c>
      <c r="E4135" t="str">
        <f>_xlfn.XLOOKUP(Vendas[[#This Row],[ID Item Vendido]],Agregado[ID],Agregado[Produto])</f>
        <v>Estrutura metálica soldada</v>
      </c>
      <c r="F4135" s="39">
        <v>45637</v>
      </c>
      <c r="G4135" s="7">
        <v>4</v>
      </c>
      <c r="H4135" s="3">
        <f>_xlfn.XLOOKUP(Vendas[[#This Row],[ID Item Vendido]],Agregado[ID],Agregado[Revenda])</f>
        <v>400</v>
      </c>
      <c r="I4135" s="3">
        <f>Vendas[[#This Row],[Valor Unitário]]*Vendas[[#This Row],[Qnt Vendida]]</f>
        <v>1600</v>
      </c>
      <c r="J4135" s="3">
        <f>Vendas[[#This Row],[Valor da Venda]]-(_xlfn.XLOOKUP(Vendas[[#This Row],[ID Item Vendido]],Agregado[ID],Agregado[Custo])*Vendas[[#This Row],[Qnt Vendida]])</f>
        <v>320</v>
      </c>
      <c r="K4135" s="70">
        <f>Vendas[[#This Row],[Lucro da Venda]]/Vendas[[#This Row],[Valor da Venda]]</f>
        <v>0.2</v>
      </c>
      <c r="L4135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4135"/>
    </row>
    <row r="4136" spans="1:13" x14ac:dyDescent="0.3">
      <c r="A4136" s="7">
        <v>400254</v>
      </c>
      <c r="B4136" t="str">
        <f>_xlfn.XLOOKUP(Vendas[[#This Row],[ID Vendedor]],Vendedores[ID],Vendedores[Nome])</f>
        <v>Beatriz</v>
      </c>
      <c r="C4136" s="7" t="str">
        <f>_xlfn.XLOOKUP(Vendas[[#This Row],[ID Vendedor]],Vendedores[ID],Vendedores[Setor])</f>
        <v>SC</v>
      </c>
      <c r="D4136" s="7" t="s">
        <v>48</v>
      </c>
      <c r="E4136" t="str">
        <f>_xlfn.XLOOKUP(Vendas[[#This Row],[ID Item Vendido]],Agregado[ID],Agregado[Produto])</f>
        <v>Tambor metálico 200L</v>
      </c>
      <c r="F4136" s="39">
        <v>45638</v>
      </c>
      <c r="G4136" s="7">
        <v>17</v>
      </c>
      <c r="H4136" s="3">
        <f>_xlfn.XLOOKUP(Vendas[[#This Row],[ID Item Vendido]],Agregado[ID],Agregado[Revenda])</f>
        <v>144</v>
      </c>
      <c r="I4136" s="3">
        <f>Vendas[[#This Row],[Valor Unitário]]*Vendas[[#This Row],[Qnt Vendida]]</f>
        <v>2448</v>
      </c>
      <c r="J4136" s="3">
        <f>Vendas[[#This Row],[Valor da Venda]]-(_xlfn.XLOOKUP(Vendas[[#This Row],[ID Item Vendido]],Agregado[ID],Agregado[Custo])*Vendas[[#This Row],[Qnt Vendida]])</f>
        <v>408</v>
      </c>
      <c r="K4136" s="70">
        <f>Vendas[[#This Row],[Lucro da Venda]]/Vendas[[#This Row],[Valor da Venda]]</f>
        <v>0.16666666666666666</v>
      </c>
      <c r="L4136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4136"/>
    </row>
    <row r="4137" spans="1:13" x14ac:dyDescent="0.3">
      <c r="A4137" s="7">
        <v>400254</v>
      </c>
      <c r="B4137" t="str">
        <f>_xlfn.XLOOKUP(Vendas[[#This Row],[ID Vendedor]],Vendedores[ID],Vendedores[Nome])</f>
        <v>Beatriz</v>
      </c>
      <c r="C4137" s="7" t="str">
        <f>_xlfn.XLOOKUP(Vendas[[#This Row],[ID Vendedor]],Vendedores[ID],Vendedores[Setor])</f>
        <v>SC</v>
      </c>
      <c r="D4137" s="7" t="s">
        <v>42</v>
      </c>
      <c r="E4137" t="str">
        <f>_xlfn.XLOOKUP(Vendas[[#This Row],[ID Item Vendido]],Agregado[ID],Agregado[Produto])</f>
        <v>Container de ferro industrial</v>
      </c>
      <c r="F4137" s="39">
        <v>45638</v>
      </c>
      <c r="G4137" s="7">
        <v>2</v>
      </c>
      <c r="H4137" s="3">
        <f>_xlfn.XLOOKUP(Vendas[[#This Row],[ID Item Vendido]],Agregado[ID],Agregado[Revenda])</f>
        <v>830</v>
      </c>
      <c r="I4137" s="3">
        <f>Vendas[[#This Row],[Valor Unitário]]*Vendas[[#This Row],[Qnt Vendida]]</f>
        <v>1660</v>
      </c>
      <c r="J4137" s="3">
        <f>Vendas[[#This Row],[Valor da Venda]]-(_xlfn.XLOOKUP(Vendas[[#This Row],[ID Item Vendido]],Agregado[ID],Agregado[Custo])*Vendas[[#This Row],[Qnt Vendida]])</f>
        <v>300</v>
      </c>
      <c r="K4137" s="70">
        <f>Vendas[[#This Row],[Lucro da Venda]]/Vendas[[#This Row],[Valor da Venda]]</f>
        <v>0.18072289156626506</v>
      </c>
      <c r="L413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137"/>
    </row>
    <row r="4138" spans="1:13" x14ac:dyDescent="0.3">
      <c r="A4138" s="7">
        <v>400252</v>
      </c>
      <c r="B4138" t="str">
        <f>_xlfn.XLOOKUP(Vendas[[#This Row],[ID Vendedor]],Vendedores[ID],Vendedores[Nome])</f>
        <v>Renata</v>
      </c>
      <c r="C4138" s="7" t="str">
        <f>_xlfn.XLOOKUP(Vendas[[#This Row],[ID Vendedor]],Vendedores[ID],Vendedores[Setor])</f>
        <v>AB</v>
      </c>
      <c r="D4138" s="7" t="s">
        <v>12</v>
      </c>
      <c r="E4138" t="str">
        <f>_xlfn.XLOOKUP(Vendas[[#This Row],[ID Item Vendido]],Agregado[ID],Agregado[Produto])</f>
        <v>Grânulo de plástico reciclado refinado</v>
      </c>
      <c r="F4138" s="39">
        <v>45638</v>
      </c>
      <c r="G4138" s="7">
        <v>97</v>
      </c>
      <c r="H4138" s="3">
        <f>_xlfn.XLOOKUP(Vendas[[#This Row],[ID Item Vendido]],Agregado[ID],Agregado[Revenda])</f>
        <v>4.7</v>
      </c>
      <c r="I4138" s="3">
        <f>Vendas[[#This Row],[Valor Unitário]]*Vendas[[#This Row],[Qnt Vendida]]</f>
        <v>455.90000000000003</v>
      </c>
      <c r="J4138" s="3">
        <f>Vendas[[#This Row],[Valor da Venda]]-(_xlfn.XLOOKUP(Vendas[[#This Row],[ID Item Vendido]],Agregado[ID],Agregado[Custo])*Vendas[[#This Row],[Qnt Vendida]])</f>
        <v>116.40000000000003</v>
      </c>
      <c r="K4138" s="70">
        <f>Vendas[[#This Row],[Lucro da Venda]]/Vendas[[#This Row],[Valor da Venda]]</f>
        <v>0.25531914893617025</v>
      </c>
      <c r="L4138" s="3">
        <f>_xlfn.IFS(Vendas[[#This Row],[Margem de Lucro (%)]]&lt;15%,Vendas[[#This Row],[Valor da Venda]]*3%,Vendas[[#This Row],[Margem de Lucro (%)]]&lt;=20%,Vendas[[#This Row],[Valor da Venda]]*4.5%,TRUE,Vendas[[#This Row],[Valor da Venda]]*6%)</f>
        <v>27.354000000000003</v>
      </c>
      <c r="M4138"/>
    </row>
    <row r="4139" spans="1:13" x14ac:dyDescent="0.3">
      <c r="A4139" s="7">
        <v>400246</v>
      </c>
      <c r="B4139" t="str">
        <f>_xlfn.XLOOKUP(Vendas[[#This Row],[ID Vendedor]],Vendedores[ID],Vendedores[Nome])</f>
        <v>Juliana</v>
      </c>
      <c r="C4139" s="7" t="str">
        <f>_xlfn.XLOOKUP(Vendas[[#This Row],[ID Vendedor]],Vendedores[ID],Vendedores[Setor])</f>
        <v>AHD</v>
      </c>
      <c r="D4139" s="7" t="s">
        <v>9</v>
      </c>
      <c r="E4139" t="str">
        <f>_xlfn.XLOOKUP(Vendas[[#This Row],[ID Item Vendido]],Agregado[ID],Agregado[Produto])</f>
        <v>Barra de aço simples</v>
      </c>
      <c r="F4139" s="39">
        <v>45638</v>
      </c>
      <c r="G4139" s="7">
        <v>42</v>
      </c>
      <c r="H4139" s="3">
        <f>_xlfn.XLOOKUP(Vendas[[#This Row],[ID Item Vendido]],Agregado[ID],Agregado[Revenda])</f>
        <v>6.7</v>
      </c>
      <c r="I4139" s="3">
        <f>Vendas[[#This Row],[Valor Unitário]]*Vendas[[#This Row],[Qnt Vendida]]</f>
        <v>281.40000000000003</v>
      </c>
      <c r="J4139" s="3">
        <f>Vendas[[#This Row],[Valor da Venda]]-(_xlfn.XLOOKUP(Vendas[[#This Row],[ID Item Vendido]],Agregado[ID],Agregado[Custo])*Vendas[[#This Row],[Qnt Vendida]])</f>
        <v>37.80000000000004</v>
      </c>
      <c r="K4139" s="70">
        <f>Vendas[[#This Row],[Lucro da Venda]]/Vendas[[#This Row],[Valor da Venda]]</f>
        <v>0.13432835820895536</v>
      </c>
      <c r="L4139" s="3">
        <f>_xlfn.IFS(Vendas[[#This Row],[Margem de Lucro (%)]]&lt;15%,Vendas[[#This Row],[Valor da Venda]]*3%,Vendas[[#This Row],[Margem de Lucro (%)]]&lt;=20%,Vendas[[#This Row],[Valor da Venda]]*4.5%,TRUE,Vendas[[#This Row],[Valor da Venda]]*6%)</f>
        <v>8.4420000000000002</v>
      </c>
      <c r="M4139"/>
    </row>
    <row r="4140" spans="1:13" x14ac:dyDescent="0.3">
      <c r="A4140" s="7">
        <v>400254</v>
      </c>
      <c r="B4140" t="str">
        <f>_xlfn.XLOOKUP(Vendas[[#This Row],[ID Vendedor]],Vendedores[ID],Vendedores[Nome])</f>
        <v>Beatriz</v>
      </c>
      <c r="C4140" s="7" t="str">
        <f>_xlfn.XLOOKUP(Vendas[[#This Row],[ID Vendedor]],Vendedores[ID],Vendedores[Setor])</f>
        <v>SC</v>
      </c>
      <c r="D4140" s="7" t="s">
        <v>42</v>
      </c>
      <c r="E4140" t="str">
        <f>_xlfn.XLOOKUP(Vendas[[#This Row],[ID Item Vendido]],Agregado[ID],Agregado[Produto])</f>
        <v>Container de ferro industrial</v>
      </c>
      <c r="F4140" s="39">
        <v>45639</v>
      </c>
      <c r="G4140" s="7">
        <v>1</v>
      </c>
      <c r="H4140" s="3">
        <f>_xlfn.XLOOKUP(Vendas[[#This Row],[ID Item Vendido]],Agregado[ID],Agregado[Revenda])</f>
        <v>830</v>
      </c>
      <c r="I4140" s="3">
        <f>Vendas[[#This Row],[Valor Unitário]]*Vendas[[#This Row],[Qnt Vendida]]</f>
        <v>830</v>
      </c>
      <c r="J4140" s="3">
        <f>Vendas[[#This Row],[Valor da Venda]]-(_xlfn.XLOOKUP(Vendas[[#This Row],[ID Item Vendido]],Agregado[ID],Agregado[Custo])*Vendas[[#This Row],[Qnt Vendida]])</f>
        <v>150</v>
      </c>
      <c r="K4140" s="70">
        <f>Vendas[[#This Row],[Lucro da Venda]]/Vendas[[#This Row],[Valor da Venda]]</f>
        <v>0.18072289156626506</v>
      </c>
      <c r="L414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140"/>
    </row>
    <row r="4141" spans="1:13" x14ac:dyDescent="0.3">
      <c r="A4141" s="7">
        <v>400252</v>
      </c>
      <c r="B4141" t="str">
        <f>_xlfn.XLOOKUP(Vendas[[#This Row],[ID Vendedor]],Vendedores[ID],Vendedores[Nome])</f>
        <v>Renata</v>
      </c>
      <c r="C4141" s="7" t="str">
        <f>_xlfn.XLOOKUP(Vendas[[#This Row],[ID Vendedor]],Vendedores[ID],Vendedores[Setor])</f>
        <v>AB</v>
      </c>
      <c r="D4141" s="7" t="s">
        <v>39</v>
      </c>
      <c r="E4141" t="str">
        <f>_xlfn.XLOOKUP(Vendas[[#This Row],[ID Item Vendido]],Agregado[ID],Agregado[Produto])</f>
        <v>Filme plástico industrial rolo 50m</v>
      </c>
      <c r="F4141" s="39">
        <v>45639</v>
      </c>
      <c r="G4141" s="7">
        <v>7</v>
      </c>
      <c r="H4141" s="3">
        <f>_xlfn.XLOOKUP(Vendas[[#This Row],[ID Item Vendido]],Agregado[ID],Agregado[Revenda])</f>
        <v>37</v>
      </c>
      <c r="I4141" s="3">
        <f>Vendas[[#This Row],[Valor Unitário]]*Vendas[[#This Row],[Qnt Vendida]]</f>
        <v>259</v>
      </c>
      <c r="J4141" s="3">
        <f>Vendas[[#This Row],[Valor da Venda]]-(_xlfn.XLOOKUP(Vendas[[#This Row],[ID Item Vendido]],Agregado[ID],Agregado[Custo])*Vendas[[#This Row],[Qnt Vendida]])</f>
        <v>63</v>
      </c>
      <c r="K4141" s="70">
        <f>Vendas[[#This Row],[Lucro da Venda]]/Vendas[[#This Row],[Valor da Venda]]</f>
        <v>0.24324324324324326</v>
      </c>
      <c r="L4141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4141"/>
    </row>
    <row r="4142" spans="1:13" x14ac:dyDescent="0.3">
      <c r="A4142" s="7">
        <v>400249</v>
      </c>
      <c r="B4142" t="str">
        <f>_xlfn.XLOOKUP(Vendas[[#This Row],[ID Vendedor]],Vendedores[ID],Vendedores[Nome])</f>
        <v>Bruno</v>
      </c>
      <c r="C4142" s="7" t="str">
        <f>_xlfn.XLOOKUP(Vendas[[#This Row],[ID Vendedor]],Vendedores[ID],Vendedores[Setor])</f>
        <v>CM</v>
      </c>
      <c r="D4142" s="7" t="s">
        <v>43</v>
      </c>
      <c r="E4142" t="str">
        <f>_xlfn.XLOOKUP(Vendas[[#This Row],[ID Item Vendido]],Agregado[ID],Agregado[Produto])</f>
        <v>Madeira Bruta (Tora)</v>
      </c>
      <c r="F4142" s="39">
        <v>45640</v>
      </c>
      <c r="G4142" s="7">
        <v>11</v>
      </c>
      <c r="H4142" s="3">
        <f>_xlfn.XLOOKUP(Vendas[[#This Row],[ID Item Vendido]],Agregado[ID],Agregado[Revenda])</f>
        <v>212</v>
      </c>
      <c r="I4142" s="3">
        <f>Vendas[[#This Row],[Valor Unitário]]*Vendas[[#This Row],[Qnt Vendida]]</f>
        <v>2332</v>
      </c>
      <c r="J4142" s="3">
        <f>Vendas[[#This Row],[Valor da Venda]]-(_xlfn.XLOOKUP(Vendas[[#This Row],[ID Item Vendido]],Agregado[ID],Agregado[Custo])*Vendas[[#This Row],[Qnt Vendida]])</f>
        <v>352</v>
      </c>
      <c r="K4142" s="70">
        <f>Vendas[[#This Row],[Lucro da Venda]]/Vendas[[#This Row],[Valor da Venda]]</f>
        <v>0.15094339622641509</v>
      </c>
      <c r="L4142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4142"/>
    </row>
    <row r="4143" spans="1:13" x14ac:dyDescent="0.3">
      <c r="A4143" s="7">
        <v>400247</v>
      </c>
      <c r="B4143" t="str">
        <f>_xlfn.XLOOKUP(Vendas[[#This Row],[ID Vendedor]],Vendedores[ID],Vendedores[Nome])</f>
        <v>André</v>
      </c>
      <c r="C4143" s="7" t="str">
        <f>_xlfn.XLOOKUP(Vendas[[#This Row],[ID Vendedor]],Vendedores[ID],Vendedores[Setor])</f>
        <v>CM</v>
      </c>
      <c r="D4143" s="7" t="s">
        <v>43</v>
      </c>
      <c r="E4143" t="str">
        <f>_xlfn.XLOOKUP(Vendas[[#This Row],[ID Item Vendido]],Agregado[ID],Agregado[Produto])</f>
        <v>Madeira Bruta (Tora)</v>
      </c>
      <c r="F4143" s="39">
        <v>45640</v>
      </c>
      <c r="G4143" s="7">
        <v>7</v>
      </c>
      <c r="H4143" s="3">
        <f>_xlfn.XLOOKUP(Vendas[[#This Row],[ID Item Vendido]],Agregado[ID],Agregado[Revenda])</f>
        <v>212</v>
      </c>
      <c r="I4143" s="3">
        <f>Vendas[[#This Row],[Valor Unitário]]*Vendas[[#This Row],[Qnt Vendida]]</f>
        <v>1484</v>
      </c>
      <c r="J4143" s="3">
        <f>Vendas[[#This Row],[Valor da Venda]]-(_xlfn.XLOOKUP(Vendas[[#This Row],[ID Item Vendido]],Agregado[ID],Agregado[Custo])*Vendas[[#This Row],[Qnt Vendida]])</f>
        <v>224</v>
      </c>
      <c r="K4143" s="70">
        <f>Vendas[[#This Row],[Lucro da Venda]]/Vendas[[#This Row],[Valor da Venda]]</f>
        <v>0.15094339622641509</v>
      </c>
      <c r="L4143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143"/>
    </row>
    <row r="4144" spans="1:13" x14ac:dyDescent="0.3">
      <c r="A4144" s="7">
        <v>400250</v>
      </c>
      <c r="B4144" t="str">
        <f>_xlfn.XLOOKUP(Vendas[[#This Row],[ID Vendedor]],Vendedores[ID],Vendedores[Nome])</f>
        <v>Larissa</v>
      </c>
      <c r="C4144" s="7" t="str">
        <f>_xlfn.XLOOKUP(Vendas[[#This Row],[ID Vendedor]],Vendedores[ID],Vendedores[Setor])</f>
        <v>AB</v>
      </c>
      <c r="D4144" s="7" t="s">
        <v>36</v>
      </c>
      <c r="E4144" t="str">
        <f>_xlfn.XLOOKUP(Vendas[[#This Row],[ID Item Vendido]],Agregado[ID],Agregado[Produto])</f>
        <v>Borracha vulcanizada em manta</v>
      </c>
      <c r="F4144" s="39">
        <v>45640</v>
      </c>
      <c r="G4144" s="7">
        <v>65</v>
      </c>
      <c r="H4144" s="3">
        <f>_xlfn.XLOOKUP(Vendas[[#This Row],[ID Item Vendido]],Agregado[ID],Agregado[Revenda])</f>
        <v>7.8</v>
      </c>
      <c r="I4144" s="3">
        <f>Vendas[[#This Row],[Valor Unitário]]*Vendas[[#This Row],[Qnt Vendida]]</f>
        <v>507</v>
      </c>
      <c r="J4144" s="3">
        <f>Vendas[[#This Row],[Valor da Venda]]-(_xlfn.XLOOKUP(Vendas[[#This Row],[ID Item Vendido]],Agregado[ID],Agregado[Custo])*Vendas[[#This Row],[Qnt Vendida]])</f>
        <v>117</v>
      </c>
      <c r="K4144" s="70">
        <f>Vendas[[#This Row],[Lucro da Venda]]/Vendas[[#This Row],[Valor da Venda]]</f>
        <v>0.23076923076923078</v>
      </c>
      <c r="L4144" s="3">
        <f>_xlfn.IFS(Vendas[[#This Row],[Margem de Lucro (%)]]&lt;15%,Vendas[[#This Row],[Valor da Venda]]*3%,Vendas[[#This Row],[Margem de Lucro (%)]]&lt;=20%,Vendas[[#This Row],[Valor da Venda]]*4.5%,TRUE,Vendas[[#This Row],[Valor da Venda]]*6%)</f>
        <v>30.419999999999998</v>
      </c>
      <c r="M4144"/>
    </row>
    <row r="4145" spans="1:13" x14ac:dyDescent="0.3">
      <c r="A4145" s="7">
        <v>400254</v>
      </c>
      <c r="B4145" t="str">
        <f>_xlfn.XLOOKUP(Vendas[[#This Row],[ID Vendedor]],Vendedores[ID],Vendedores[Nome])</f>
        <v>Beatriz</v>
      </c>
      <c r="C4145" s="7" t="str">
        <f>_xlfn.XLOOKUP(Vendas[[#This Row],[ID Vendedor]],Vendedores[ID],Vendedores[Setor])</f>
        <v>SC</v>
      </c>
      <c r="D4145" s="7" t="s">
        <v>14</v>
      </c>
      <c r="E4145" t="str">
        <f>_xlfn.XLOOKUP(Vendas[[#This Row],[ID Item Vendido]],Agregado[ID],Agregado[Produto])</f>
        <v>Barril de plástico 200L</v>
      </c>
      <c r="F4145" s="39">
        <v>45640</v>
      </c>
      <c r="G4145" s="7">
        <v>2</v>
      </c>
      <c r="H4145" s="3">
        <f>_xlfn.XLOOKUP(Vendas[[#This Row],[ID Item Vendido]],Agregado[ID],Agregado[Revenda])</f>
        <v>114</v>
      </c>
      <c r="I4145" s="3">
        <f>Vendas[[#This Row],[Valor Unitário]]*Vendas[[#This Row],[Qnt Vendida]]</f>
        <v>228</v>
      </c>
      <c r="J4145" s="3">
        <f>Vendas[[#This Row],[Valor da Venda]]-(_xlfn.XLOOKUP(Vendas[[#This Row],[ID Item Vendido]],Agregado[ID],Agregado[Custo])*Vendas[[#This Row],[Qnt Vendida]])</f>
        <v>38</v>
      </c>
      <c r="K4145" s="70">
        <f>Vendas[[#This Row],[Lucro da Venda]]/Vendas[[#This Row],[Valor da Venda]]</f>
        <v>0.16666666666666666</v>
      </c>
      <c r="L4145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4145"/>
    </row>
    <row r="4146" spans="1:13" x14ac:dyDescent="0.3">
      <c r="A4146" s="7">
        <v>400250</v>
      </c>
      <c r="B4146" t="str">
        <f>_xlfn.XLOOKUP(Vendas[[#This Row],[ID Vendedor]],Vendedores[ID],Vendedores[Nome])</f>
        <v>Larissa</v>
      </c>
      <c r="C4146" s="7" t="str">
        <f>_xlfn.XLOOKUP(Vendas[[#This Row],[ID Vendedor]],Vendedores[ID],Vendedores[Setor])</f>
        <v>AB</v>
      </c>
      <c r="D4146" s="7" t="s">
        <v>37</v>
      </c>
      <c r="E4146" t="str">
        <f>_xlfn.XLOOKUP(Vendas[[#This Row],[ID Item Vendido]],Agregado[ID],Agregado[Produto])</f>
        <v>Composto de borracha para vedação rolo 10m</v>
      </c>
      <c r="F4146" s="39">
        <v>45641</v>
      </c>
      <c r="G4146" s="7">
        <v>22</v>
      </c>
      <c r="H4146" s="3">
        <f>_xlfn.XLOOKUP(Vendas[[#This Row],[ID Item Vendido]],Agregado[ID],Agregado[Revenda])</f>
        <v>51.2</v>
      </c>
      <c r="I4146" s="3">
        <f>Vendas[[#This Row],[Valor Unitário]]*Vendas[[#This Row],[Qnt Vendida]]</f>
        <v>1126.4000000000001</v>
      </c>
      <c r="J4146" s="3">
        <f>Vendas[[#This Row],[Valor da Venda]]-(_xlfn.XLOOKUP(Vendas[[#This Row],[ID Item Vendido]],Agregado[ID],Agregado[Custo])*Vendas[[#This Row],[Qnt Vendida]])</f>
        <v>246.40000000000009</v>
      </c>
      <c r="K4146" s="70">
        <f>Vendas[[#This Row],[Lucro da Venda]]/Vendas[[#This Row],[Valor da Venda]]</f>
        <v>0.21875000000000006</v>
      </c>
      <c r="L4146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4146"/>
    </row>
    <row r="4147" spans="1:13" x14ac:dyDescent="0.3">
      <c r="A4147" s="7">
        <v>400242</v>
      </c>
      <c r="B4147" t="str">
        <f>_xlfn.XLOOKUP(Vendas[[#This Row],[ID Vendedor]],Vendedores[ID],Vendedores[Nome])</f>
        <v>Fernanda</v>
      </c>
      <c r="C4147" s="7" t="str">
        <f>_xlfn.XLOOKUP(Vendas[[#This Row],[ID Vendedor]],Vendedores[ID],Vendedores[Setor])</f>
        <v>FM</v>
      </c>
      <c r="D4147" s="7" t="s">
        <v>31</v>
      </c>
      <c r="E4147" t="str">
        <f>_xlfn.XLOOKUP(Vendas[[#This Row],[ID Item Vendido]],Agregado[ID],Agregado[Produto])</f>
        <v>Tela de metal soldada rolo 2x25m</v>
      </c>
      <c r="F4147" s="39">
        <v>45641</v>
      </c>
      <c r="G4147" s="7">
        <v>13</v>
      </c>
      <c r="H4147" s="3">
        <f>_xlfn.XLOOKUP(Vendas[[#This Row],[ID Item Vendido]],Agregado[ID],Agregado[Revenda])</f>
        <v>43.7</v>
      </c>
      <c r="I4147" s="3">
        <f>Vendas[[#This Row],[Valor Unitário]]*Vendas[[#This Row],[Qnt Vendida]]</f>
        <v>568.1</v>
      </c>
      <c r="J4147" s="3">
        <f>Vendas[[#This Row],[Valor da Venda]]-(_xlfn.XLOOKUP(Vendas[[#This Row],[ID Item Vendido]],Agregado[ID],Agregado[Custo])*Vendas[[#This Row],[Qnt Vendida]])</f>
        <v>74.100000000000023</v>
      </c>
      <c r="K4147" s="70">
        <f>Vendas[[#This Row],[Lucro da Venda]]/Vendas[[#This Row],[Valor da Venda]]</f>
        <v>0.13043478260869568</v>
      </c>
      <c r="L4147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4147"/>
    </row>
    <row r="4148" spans="1:13" x14ac:dyDescent="0.3">
      <c r="A4148" s="7">
        <v>400252</v>
      </c>
      <c r="B4148" t="str">
        <f>_xlfn.XLOOKUP(Vendas[[#This Row],[ID Vendedor]],Vendedores[ID],Vendedores[Nome])</f>
        <v>Renata</v>
      </c>
      <c r="C4148" s="7" t="str">
        <f>_xlfn.XLOOKUP(Vendas[[#This Row],[ID Vendedor]],Vendedores[ID],Vendedores[Setor])</f>
        <v>AB</v>
      </c>
      <c r="D4148" s="7" t="s">
        <v>12</v>
      </c>
      <c r="E4148" t="str">
        <f>_xlfn.XLOOKUP(Vendas[[#This Row],[ID Item Vendido]],Agregado[ID],Agregado[Produto])</f>
        <v>Grânulo de plástico reciclado refinado</v>
      </c>
      <c r="F4148" s="39">
        <v>45641</v>
      </c>
      <c r="G4148" s="7">
        <v>93</v>
      </c>
      <c r="H4148" s="3">
        <f>_xlfn.XLOOKUP(Vendas[[#This Row],[ID Item Vendido]],Agregado[ID],Agregado[Revenda])</f>
        <v>4.7</v>
      </c>
      <c r="I4148" s="3">
        <f>Vendas[[#This Row],[Valor Unitário]]*Vendas[[#This Row],[Qnt Vendida]]</f>
        <v>437.1</v>
      </c>
      <c r="J4148" s="3">
        <f>Vendas[[#This Row],[Valor da Venda]]-(_xlfn.XLOOKUP(Vendas[[#This Row],[ID Item Vendido]],Agregado[ID],Agregado[Custo])*Vendas[[#This Row],[Qnt Vendida]])</f>
        <v>111.60000000000002</v>
      </c>
      <c r="K4148" s="70">
        <f>Vendas[[#This Row],[Lucro da Venda]]/Vendas[[#This Row],[Valor da Venda]]</f>
        <v>0.25531914893617025</v>
      </c>
      <c r="L4148" s="3">
        <f>_xlfn.IFS(Vendas[[#This Row],[Margem de Lucro (%)]]&lt;15%,Vendas[[#This Row],[Valor da Venda]]*3%,Vendas[[#This Row],[Margem de Lucro (%)]]&lt;=20%,Vendas[[#This Row],[Valor da Venda]]*4.5%,TRUE,Vendas[[#This Row],[Valor da Venda]]*6%)</f>
        <v>26.225999999999999</v>
      </c>
      <c r="M4148"/>
    </row>
    <row r="4149" spans="1:13" x14ac:dyDescent="0.3">
      <c r="A4149" s="7">
        <v>400252</v>
      </c>
      <c r="B4149" t="str">
        <f>_xlfn.XLOOKUP(Vendas[[#This Row],[ID Vendedor]],Vendedores[ID],Vendedores[Nome])</f>
        <v>Renata</v>
      </c>
      <c r="C4149" s="7" t="str">
        <f>_xlfn.XLOOKUP(Vendas[[#This Row],[ID Vendedor]],Vendedores[ID],Vendedores[Setor])</f>
        <v>AB</v>
      </c>
      <c r="D4149" s="7" t="s">
        <v>12</v>
      </c>
      <c r="E4149" t="str">
        <f>_xlfn.XLOOKUP(Vendas[[#This Row],[ID Item Vendido]],Agregado[ID],Agregado[Produto])</f>
        <v>Grânulo de plástico reciclado refinado</v>
      </c>
      <c r="F4149" s="39">
        <v>45641</v>
      </c>
      <c r="G4149" s="7">
        <v>87</v>
      </c>
      <c r="H4149" s="3">
        <f>_xlfn.XLOOKUP(Vendas[[#This Row],[ID Item Vendido]],Agregado[ID],Agregado[Revenda])</f>
        <v>4.7</v>
      </c>
      <c r="I4149" s="3">
        <f>Vendas[[#This Row],[Valor Unitário]]*Vendas[[#This Row],[Qnt Vendida]]</f>
        <v>408.90000000000003</v>
      </c>
      <c r="J4149" s="3">
        <f>Vendas[[#This Row],[Valor da Venda]]-(_xlfn.XLOOKUP(Vendas[[#This Row],[ID Item Vendido]],Agregado[ID],Agregado[Custo])*Vendas[[#This Row],[Qnt Vendida]])</f>
        <v>104.40000000000003</v>
      </c>
      <c r="K4149" s="70">
        <f>Vendas[[#This Row],[Lucro da Venda]]/Vendas[[#This Row],[Valor da Venda]]</f>
        <v>0.25531914893617025</v>
      </c>
      <c r="L4149" s="3">
        <f>_xlfn.IFS(Vendas[[#This Row],[Margem de Lucro (%)]]&lt;15%,Vendas[[#This Row],[Valor da Venda]]*3%,Vendas[[#This Row],[Margem de Lucro (%)]]&lt;=20%,Vendas[[#This Row],[Valor da Venda]]*4.5%,TRUE,Vendas[[#This Row],[Valor da Venda]]*6%)</f>
        <v>24.534000000000002</v>
      </c>
      <c r="M4149"/>
    </row>
    <row r="4150" spans="1:13" x14ac:dyDescent="0.3">
      <c r="A4150" s="7">
        <v>400249</v>
      </c>
      <c r="B4150" t="str">
        <f>_xlfn.XLOOKUP(Vendas[[#This Row],[ID Vendedor]],Vendedores[ID],Vendedores[Nome])</f>
        <v>Bruno</v>
      </c>
      <c r="C4150" s="7" t="str">
        <f>_xlfn.XLOOKUP(Vendas[[#This Row],[ID Vendedor]],Vendedores[ID],Vendedores[Setor])</f>
        <v>CM</v>
      </c>
      <c r="D4150" s="7" t="s">
        <v>34</v>
      </c>
      <c r="E4150" t="str">
        <f>_xlfn.XLOOKUP(Vendas[[#This Row],[ID Item Vendido]],Agregado[ID],Agregado[Produto])</f>
        <v>Restos de madeira p/ MDP/OSB saco de 20kg</v>
      </c>
      <c r="F4150" s="39">
        <v>45641</v>
      </c>
      <c r="G4150" s="7">
        <v>29</v>
      </c>
      <c r="H4150" s="3">
        <f>_xlfn.XLOOKUP(Vendas[[#This Row],[ID Item Vendido]],Agregado[ID],Agregado[Revenda])</f>
        <v>13.8</v>
      </c>
      <c r="I4150" s="3">
        <f>Vendas[[#This Row],[Valor Unitário]]*Vendas[[#This Row],[Qnt Vendida]]</f>
        <v>400.20000000000005</v>
      </c>
      <c r="J4150" s="3">
        <f>Vendas[[#This Row],[Valor da Venda]]-(_xlfn.XLOOKUP(Vendas[[#This Row],[ID Item Vendido]],Agregado[ID],Agregado[Custo])*Vendas[[#This Row],[Qnt Vendida]])</f>
        <v>52.200000000000045</v>
      </c>
      <c r="K4150" s="70">
        <f>Vendas[[#This Row],[Lucro da Venda]]/Vendas[[#This Row],[Valor da Venda]]</f>
        <v>0.13043478260869576</v>
      </c>
      <c r="L4150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4150"/>
    </row>
    <row r="4151" spans="1:13" x14ac:dyDescent="0.3">
      <c r="A4151" s="7">
        <v>400246</v>
      </c>
      <c r="B4151" t="str">
        <f>_xlfn.XLOOKUP(Vendas[[#This Row],[ID Vendedor]],Vendedores[ID],Vendedores[Nome])</f>
        <v>Juliana</v>
      </c>
      <c r="C4151" s="7" t="str">
        <f>_xlfn.XLOOKUP(Vendas[[#This Row],[ID Vendedor]],Vendedores[ID],Vendedores[Setor])</f>
        <v>AHD</v>
      </c>
      <c r="D4151" s="7" t="s">
        <v>28</v>
      </c>
      <c r="E4151" t="str">
        <f>_xlfn.XLOOKUP(Vendas[[#This Row],[ID Item Vendido]],Agregado[ID],Agregado[Produto])</f>
        <v>Peça usinada CNC</v>
      </c>
      <c r="F4151" s="39">
        <v>45641</v>
      </c>
      <c r="G4151" s="7">
        <v>2</v>
      </c>
      <c r="H4151" s="3">
        <f>_xlfn.XLOOKUP(Vendas[[#This Row],[ID Item Vendido]],Agregado[ID],Agregado[Revenda])</f>
        <v>192</v>
      </c>
      <c r="I4151" s="3">
        <f>Vendas[[#This Row],[Valor Unitário]]*Vendas[[#This Row],[Qnt Vendida]]</f>
        <v>384</v>
      </c>
      <c r="J4151" s="3">
        <f>Vendas[[#This Row],[Valor da Venda]]-(_xlfn.XLOOKUP(Vendas[[#This Row],[ID Item Vendido]],Agregado[ID],Agregado[Custo])*Vendas[[#This Row],[Qnt Vendida]])</f>
        <v>84</v>
      </c>
      <c r="K4151" s="70">
        <f>Vendas[[#This Row],[Lucro da Venda]]/Vendas[[#This Row],[Valor da Venda]]</f>
        <v>0.21875</v>
      </c>
      <c r="L4151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4151"/>
    </row>
    <row r="4152" spans="1:13" x14ac:dyDescent="0.3">
      <c r="A4152" s="7">
        <v>400242</v>
      </c>
      <c r="B4152" t="str">
        <f>_xlfn.XLOOKUP(Vendas[[#This Row],[ID Vendedor]],Vendedores[ID],Vendedores[Nome])</f>
        <v>Fernanda</v>
      </c>
      <c r="C4152" s="7" t="str">
        <f>_xlfn.XLOOKUP(Vendas[[#This Row],[ID Vendedor]],Vendedores[ID],Vendedores[Setor])</f>
        <v>FM</v>
      </c>
      <c r="D4152" s="7" t="s">
        <v>27</v>
      </c>
      <c r="E4152" t="str">
        <f>_xlfn.XLOOKUP(Vendas[[#This Row],[ID Item Vendido]],Agregado[ID],Agregado[Produto])</f>
        <v>Chapa de metal lisa 1x2m</v>
      </c>
      <c r="F4152" s="39">
        <v>45642</v>
      </c>
      <c r="G4152" s="7">
        <v>29</v>
      </c>
      <c r="H4152" s="3">
        <f>_xlfn.XLOOKUP(Vendas[[#This Row],[ID Item Vendido]],Agregado[ID],Agregado[Revenda])</f>
        <v>52</v>
      </c>
      <c r="I4152" s="3">
        <f>Vendas[[#This Row],[Valor Unitário]]*Vendas[[#This Row],[Qnt Vendida]]</f>
        <v>1508</v>
      </c>
      <c r="J4152" s="3">
        <f>Vendas[[#This Row],[Valor da Venda]]-(_xlfn.XLOOKUP(Vendas[[#This Row],[ID Item Vendido]],Agregado[ID],Agregado[Custo])*Vendas[[#This Row],[Qnt Vendida]])</f>
        <v>203</v>
      </c>
      <c r="K4152" s="70">
        <f>Vendas[[#This Row],[Lucro da Venda]]/Vendas[[#This Row],[Valor da Venda]]</f>
        <v>0.13461538461538461</v>
      </c>
      <c r="L4152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4152"/>
    </row>
    <row r="4153" spans="1:13" x14ac:dyDescent="0.3">
      <c r="A4153" s="7">
        <v>400248</v>
      </c>
      <c r="B4153" t="str">
        <f>_xlfn.XLOOKUP(Vendas[[#This Row],[ID Vendedor]],Vendedores[ID],Vendedores[Nome])</f>
        <v>Patrícia</v>
      </c>
      <c r="C4153" s="7" t="str">
        <f>_xlfn.XLOOKUP(Vendas[[#This Row],[ID Vendedor]],Vendedores[ID],Vendedores[Setor])</f>
        <v>CM</v>
      </c>
      <c r="D4153" s="7" t="s">
        <v>43</v>
      </c>
      <c r="E4153" t="str">
        <f>_xlfn.XLOOKUP(Vendas[[#This Row],[ID Item Vendido]],Agregado[ID],Agregado[Produto])</f>
        <v>Madeira Bruta (Tora)</v>
      </c>
      <c r="F4153" s="39">
        <v>45642</v>
      </c>
      <c r="G4153" s="7">
        <v>7</v>
      </c>
      <c r="H4153" s="3">
        <f>_xlfn.XLOOKUP(Vendas[[#This Row],[ID Item Vendido]],Agregado[ID],Agregado[Revenda])</f>
        <v>212</v>
      </c>
      <c r="I4153" s="3">
        <f>Vendas[[#This Row],[Valor Unitário]]*Vendas[[#This Row],[Qnt Vendida]]</f>
        <v>1484</v>
      </c>
      <c r="J4153" s="3">
        <f>Vendas[[#This Row],[Valor da Venda]]-(_xlfn.XLOOKUP(Vendas[[#This Row],[ID Item Vendido]],Agregado[ID],Agregado[Custo])*Vendas[[#This Row],[Qnt Vendida]])</f>
        <v>224</v>
      </c>
      <c r="K4153" s="70">
        <f>Vendas[[#This Row],[Lucro da Venda]]/Vendas[[#This Row],[Valor da Venda]]</f>
        <v>0.15094339622641509</v>
      </c>
      <c r="L4153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153"/>
    </row>
    <row r="4154" spans="1:13" x14ac:dyDescent="0.3">
      <c r="A4154" s="7">
        <v>400246</v>
      </c>
      <c r="B4154" t="str">
        <f>_xlfn.XLOOKUP(Vendas[[#This Row],[ID Vendedor]],Vendedores[ID],Vendedores[Nome])</f>
        <v>Juliana</v>
      </c>
      <c r="C4154" s="7" t="str">
        <f>_xlfn.XLOOKUP(Vendas[[#This Row],[ID Vendedor]],Vendedores[ID],Vendedores[Setor])</f>
        <v>AHD</v>
      </c>
      <c r="D4154" s="7" t="s">
        <v>30</v>
      </c>
      <c r="E4154" t="str">
        <f>_xlfn.XLOOKUP(Vendas[[#This Row],[ID Item Vendido]],Agregado[ID],Agregado[Produto])</f>
        <v>Estrutura metálica soldada</v>
      </c>
      <c r="F4154" s="39">
        <v>45642</v>
      </c>
      <c r="G4154" s="7">
        <v>3</v>
      </c>
      <c r="H4154" s="3">
        <f>_xlfn.XLOOKUP(Vendas[[#This Row],[ID Item Vendido]],Agregado[ID],Agregado[Revenda])</f>
        <v>400</v>
      </c>
      <c r="I4154" s="3">
        <f>Vendas[[#This Row],[Valor Unitário]]*Vendas[[#This Row],[Qnt Vendida]]</f>
        <v>1200</v>
      </c>
      <c r="J4154" s="3">
        <f>Vendas[[#This Row],[Valor da Venda]]-(_xlfn.XLOOKUP(Vendas[[#This Row],[ID Item Vendido]],Agregado[ID],Agregado[Custo])*Vendas[[#This Row],[Qnt Vendida]])</f>
        <v>240</v>
      </c>
      <c r="K4154" s="70">
        <f>Vendas[[#This Row],[Lucro da Venda]]/Vendas[[#This Row],[Valor da Venda]]</f>
        <v>0.2</v>
      </c>
      <c r="L4154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154"/>
    </row>
    <row r="4155" spans="1:13" x14ac:dyDescent="0.3">
      <c r="A4155" s="7">
        <v>400253</v>
      </c>
      <c r="B4155" t="str">
        <f>_xlfn.XLOOKUP(Vendas[[#This Row],[ID Vendedor]],Vendedores[ID],Vendedores[Nome])</f>
        <v>Gustavo</v>
      </c>
      <c r="C4155" s="7" t="str">
        <f>_xlfn.XLOOKUP(Vendas[[#This Row],[ID Vendedor]],Vendedores[ID],Vendedores[Setor])</f>
        <v>SC</v>
      </c>
      <c r="D4155" s="7" t="s">
        <v>14</v>
      </c>
      <c r="E4155" t="str">
        <f>_xlfn.XLOOKUP(Vendas[[#This Row],[ID Item Vendido]],Agregado[ID],Agregado[Produto])</f>
        <v>Barril de plástico 200L</v>
      </c>
      <c r="F4155" s="39">
        <v>45642</v>
      </c>
      <c r="G4155" s="7">
        <v>3</v>
      </c>
      <c r="H4155" s="3">
        <f>_xlfn.XLOOKUP(Vendas[[#This Row],[ID Item Vendido]],Agregado[ID],Agregado[Revenda])</f>
        <v>114</v>
      </c>
      <c r="I4155" s="3">
        <f>Vendas[[#This Row],[Valor Unitário]]*Vendas[[#This Row],[Qnt Vendida]]</f>
        <v>342</v>
      </c>
      <c r="J4155" s="3">
        <f>Vendas[[#This Row],[Valor da Venda]]-(_xlfn.XLOOKUP(Vendas[[#This Row],[ID Item Vendido]],Agregado[ID],Agregado[Custo])*Vendas[[#This Row],[Qnt Vendida]])</f>
        <v>57</v>
      </c>
      <c r="K4155" s="70">
        <f>Vendas[[#This Row],[Lucro da Venda]]/Vendas[[#This Row],[Valor da Venda]]</f>
        <v>0.16666666666666666</v>
      </c>
      <c r="L4155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4155"/>
    </row>
    <row r="4156" spans="1:13" x14ac:dyDescent="0.3">
      <c r="A4156" s="7">
        <v>400241</v>
      </c>
      <c r="B4156" t="str">
        <f>_xlfn.XLOOKUP(Vendas[[#This Row],[ID Vendedor]],Vendedores[ID],Vendedores[Nome])</f>
        <v>Rodrigo</v>
      </c>
      <c r="C4156" s="7" t="str">
        <f>_xlfn.XLOOKUP(Vendas[[#This Row],[ID Vendedor]],Vendedores[ID],Vendedores[Setor])</f>
        <v>FM</v>
      </c>
      <c r="D4156" s="7" t="s">
        <v>47</v>
      </c>
      <c r="E4156" t="str">
        <f>_xlfn.XLOOKUP(Vendas[[#This Row],[ID Item Vendido]],Agregado[ID],Agregado[Produto])</f>
        <v>Fio de arame galvanizado rolo 50m</v>
      </c>
      <c r="F4156" s="39">
        <v>45642</v>
      </c>
      <c r="G4156" s="7">
        <v>13</v>
      </c>
      <c r="H4156" s="3">
        <f>_xlfn.XLOOKUP(Vendas[[#This Row],[ID Item Vendido]],Agregado[ID],Agregado[Revenda])</f>
        <v>21.2</v>
      </c>
      <c r="I4156" s="3">
        <f>Vendas[[#This Row],[Valor Unitário]]*Vendas[[#This Row],[Qnt Vendida]]</f>
        <v>275.59999999999997</v>
      </c>
      <c r="J4156" s="3">
        <f>Vendas[[#This Row],[Valor da Venda]]-(_xlfn.XLOOKUP(Vendas[[#This Row],[ID Item Vendido]],Agregado[ID],Agregado[Custo])*Vendas[[#This Row],[Qnt Vendida]])</f>
        <v>41.599999999999966</v>
      </c>
      <c r="K4156" s="70">
        <f>Vendas[[#This Row],[Lucro da Venda]]/Vendas[[#This Row],[Valor da Venda]]</f>
        <v>0.15094339622641498</v>
      </c>
      <c r="L4156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4156"/>
    </row>
    <row r="4157" spans="1:13" x14ac:dyDescent="0.3">
      <c r="A4157" s="7">
        <v>400246</v>
      </c>
      <c r="B4157" t="str">
        <f>_xlfn.XLOOKUP(Vendas[[#This Row],[ID Vendedor]],Vendedores[ID],Vendedores[Nome])</f>
        <v>Juliana</v>
      </c>
      <c r="C4157" s="7" t="str">
        <f>_xlfn.XLOOKUP(Vendas[[#This Row],[ID Vendedor]],Vendedores[ID],Vendedores[Setor])</f>
        <v>AHD</v>
      </c>
      <c r="D4157" s="7" t="s">
        <v>30</v>
      </c>
      <c r="E4157" t="str">
        <f>_xlfn.XLOOKUP(Vendas[[#This Row],[ID Item Vendido]],Agregado[ID],Agregado[Produto])</f>
        <v>Estrutura metálica soldada</v>
      </c>
      <c r="F4157" s="39">
        <v>45644</v>
      </c>
      <c r="G4157" s="7">
        <v>8</v>
      </c>
      <c r="H4157" s="3">
        <f>_xlfn.XLOOKUP(Vendas[[#This Row],[ID Item Vendido]],Agregado[ID],Agregado[Revenda])</f>
        <v>400</v>
      </c>
      <c r="I4157" s="3">
        <f>Vendas[[#This Row],[Valor Unitário]]*Vendas[[#This Row],[Qnt Vendida]]</f>
        <v>3200</v>
      </c>
      <c r="J4157" s="3">
        <f>Vendas[[#This Row],[Valor da Venda]]-(_xlfn.XLOOKUP(Vendas[[#This Row],[ID Item Vendido]],Agregado[ID],Agregado[Custo])*Vendas[[#This Row],[Qnt Vendida]])</f>
        <v>640</v>
      </c>
      <c r="K4157" s="70">
        <f>Vendas[[#This Row],[Lucro da Venda]]/Vendas[[#This Row],[Valor da Venda]]</f>
        <v>0.2</v>
      </c>
      <c r="L4157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157"/>
    </row>
    <row r="4158" spans="1:13" x14ac:dyDescent="0.3">
      <c r="A4158" s="7">
        <v>400244</v>
      </c>
      <c r="B4158" t="str">
        <f>_xlfn.XLOOKUP(Vendas[[#This Row],[ID Vendedor]],Vendedores[ID],Vendedores[Nome])</f>
        <v>Camila</v>
      </c>
      <c r="C4158" s="7" t="str">
        <f>_xlfn.XLOOKUP(Vendas[[#This Row],[ID Vendedor]],Vendedores[ID],Vendedores[Setor])</f>
        <v>AHD</v>
      </c>
      <c r="D4158" s="7" t="s">
        <v>28</v>
      </c>
      <c r="E4158" t="str">
        <f>_xlfn.XLOOKUP(Vendas[[#This Row],[ID Item Vendido]],Agregado[ID],Agregado[Produto])</f>
        <v>Peça usinada CNC</v>
      </c>
      <c r="F4158" s="39">
        <v>45645</v>
      </c>
      <c r="G4158" s="7">
        <v>13</v>
      </c>
      <c r="H4158" s="3">
        <f>_xlfn.XLOOKUP(Vendas[[#This Row],[ID Item Vendido]],Agregado[ID],Agregado[Revenda])</f>
        <v>192</v>
      </c>
      <c r="I4158" s="3">
        <f>Vendas[[#This Row],[Valor Unitário]]*Vendas[[#This Row],[Qnt Vendida]]</f>
        <v>2496</v>
      </c>
      <c r="J4158" s="3">
        <f>Vendas[[#This Row],[Valor da Venda]]-(_xlfn.XLOOKUP(Vendas[[#This Row],[ID Item Vendido]],Agregado[ID],Agregado[Custo])*Vendas[[#This Row],[Qnt Vendida]])</f>
        <v>546</v>
      </c>
      <c r="K4158" s="70">
        <f>Vendas[[#This Row],[Lucro da Venda]]/Vendas[[#This Row],[Valor da Venda]]</f>
        <v>0.21875</v>
      </c>
      <c r="L4158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4158"/>
    </row>
    <row r="4159" spans="1:13" x14ac:dyDescent="0.3">
      <c r="A4159" s="7">
        <v>400254</v>
      </c>
      <c r="B4159" t="str">
        <f>_xlfn.XLOOKUP(Vendas[[#This Row],[ID Vendedor]],Vendedores[ID],Vendedores[Nome])</f>
        <v>Beatriz</v>
      </c>
      <c r="C4159" s="7" t="str">
        <f>_xlfn.XLOOKUP(Vendas[[#This Row],[ID Vendedor]],Vendedores[ID],Vendedores[Setor])</f>
        <v>SC</v>
      </c>
      <c r="D4159" s="7" t="s">
        <v>14</v>
      </c>
      <c r="E4159" t="str">
        <f>_xlfn.XLOOKUP(Vendas[[#This Row],[ID Item Vendido]],Agregado[ID],Agregado[Produto])</f>
        <v>Barril de plástico 200L</v>
      </c>
      <c r="F4159" s="39">
        <v>45645</v>
      </c>
      <c r="G4159" s="7">
        <v>14</v>
      </c>
      <c r="H4159" s="3">
        <f>_xlfn.XLOOKUP(Vendas[[#This Row],[ID Item Vendido]],Agregado[ID],Agregado[Revenda])</f>
        <v>114</v>
      </c>
      <c r="I4159" s="3">
        <f>Vendas[[#This Row],[Valor Unitário]]*Vendas[[#This Row],[Qnt Vendida]]</f>
        <v>1596</v>
      </c>
      <c r="J4159" s="3">
        <f>Vendas[[#This Row],[Valor da Venda]]-(_xlfn.XLOOKUP(Vendas[[#This Row],[ID Item Vendido]],Agregado[ID],Agregado[Custo])*Vendas[[#This Row],[Qnt Vendida]])</f>
        <v>266</v>
      </c>
      <c r="K4159" s="70">
        <f>Vendas[[#This Row],[Lucro da Venda]]/Vendas[[#This Row],[Valor da Venda]]</f>
        <v>0.16666666666666666</v>
      </c>
      <c r="L4159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4159"/>
    </row>
    <row r="4160" spans="1:13" x14ac:dyDescent="0.3">
      <c r="A4160" s="7">
        <v>400243</v>
      </c>
      <c r="B4160" t="str">
        <f>_xlfn.XLOOKUP(Vendas[[#This Row],[ID Vendedor]],Vendedores[ID],Vendedores[Nome])</f>
        <v>Marcelo</v>
      </c>
      <c r="C4160" s="7" t="str">
        <f>_xlfn.XLOOKUP(Vendas[[#This Row],[ID Vendedor]],Vendedores[ID],Vendedores[Setor])</f>
        <v>FM</v>
      </c>
      <c r="D4160" s="7" t="s">
        <v>31</v>
      </c>
      <c r="E4160" t="str">
        <f>_xlfn.XLOOKUP(Vendas[[#This Row],[ID Item Vendido]],Agregado[ID],Agregado[Produto])</f>
        <v>Tela de metal soldada rolo 2x25m</v>
      </c>
      <c r="F4160" s="39">
        <v>45645</v>
      </c>
      <c r="G4160" s="7">
        <v>14</v>
      </c>
      <c r="H4160" s="3">
        <f>_xlfn.XLOOKUP(Vendas[[#This Row],[ID Item Vendido]],Agregado[ID],Agregado[Revenda])</f>
        <v>43.7</v>
      </c>
      <c r="I4160" s="3">
        <f>Vendas[[#This Row],[Valor Unitário]]*Vendas[[#This Row],[Qnt Vendida]]</f>
        <v>611.80000000000007</v>
      </c>
      <c r="J4160" s="3">
        <f>Vendas[[#This Row],[Valor da Venda]]-(_xlfn.XLOOKUP(Vendas[[#This Row],[ID Item Vendido]],Agregado[ID],Agregado[Custo])*Vendas[[#This Row],[Qnt Vendida]])</f>
        <v>79.800000000000068</v>
      </c>
      <c r="K4160" s="70">
        <f>Vendas[[#This Row],[Lucro da Venda]]/Vendas[[#This Row],[Valor da Venda]]</f>
        <v>0.13043478260869576</v>
      </c>
      <c r="L4160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4160"/>
    </row>
    <row r="4161" spans="1:13" x14ac:dyDescent="0.3">
      <c r="A4161" s="7">
        <v>400242</v>
      </c>
      <c r="B4161" t="str">
        <f>_xlfn.XLOOKUP(Vendas[[#This Row],[ID Vendedor]],Vendedores[ID],Vendedores[Nome])</f>
        <v>Fernanda</v>
      </c>
      <c r="C4161" s="7" t="str">
        <f>_xlfn.XLOOKUP(Vendas[[#This Row],[ID Vendedor]],Vendedores[ID],Vendedores[Setor])</f>
        <v>FM</v>
      </c>
      <c r="D4161" s="7" t="s">
        <v>20</v>
      </c>
      <c r="E4161" t="str">
        <f>_xlfn.XLOOKUP(Vendas[[#This Row],[ID Item Vendido]],Agregado[ID],Agregado[Produto])</f>
        <v>Barra de aço simples</v>
      </c>
      <c r="F4161" s="39">
        <v>45645</v>
      </c>
      <c r="G4161" s="7">
        <v>127</v>
      </c>
      <c r="H4161" s="3">
        <f>_xlfn.XLOOKUP(Vendas[[#This Row],[ID Item Vendido]],Agregado[ID],Agregado[Revenda])</f>
        <v>4.8</v>
      </c>
      <c r="I4161" s="3">
        <f>Vendas[[#This Row],[Valor Unitário]]*Vendas[[#This Row],[Qnt Vendida]]</f>
        <v>609.6</v>
      </c>
      <c r="J4161" s="3">
        <f>Vendas[[#This Row],[Valor da Venda]]-(_xlfn.XLOOKUP(Vendas[[#This Row],[ID Item Vendido]],Agregado[ID],Agregado[Custo])*Vendas[[#This Row],[Qnt Vendida]])</f>
        <v>76.200000000000045</v>
      </c>
      <c r="K4161" s="70">
        <f>Vendas[[#This Row],[Lucro da Venda]]/Vendas[[#This Row],[Valor da Venda]]</f>
        <v>0.12500000000000008</v>
      </c>
      <c r="L4161" s="3">
        <f>_xlfn.IFS(Vendas[[#This Row],[Margem de Lucro (%)]]&lt;15%,Vendas[[#This Row],[Valor da Venda]]*3%,Vendas[[#This Row],[Margem de Lucro (%)]]&lt;=20%,Vendas[[#This Row],[Valor da Venda]]*4.5%,TRUE,Vendas[[#This Row],[Valor da Venda]]*6%)</f>
        <v>18.288</v>
      </c>
      <c r="M4161"/>
    </row>
    <row r="4162" spans="1:13" x14ac:dyDescent="0.3">
      <c r="A4162" s="7">
        <v>400252</v>
      </c>
      <c r="B4162" t="str">
        <f>_xlfn.XLOOKUP(Vendas[[#This Row],[ID Vendedor]],Vendedores[ID],Vendedores[Nome])</f>
        <v>Renata</v>
      </c>
      <c r="C4162" s="7" t="str">
        <f>_xlfn.XLOOKUP(Vendas[[#This Row],[ID Vendedor]],Vendedores[ID],Vendedores[Setor])</f>
        <v>AB</v>
      </c>
      <c r="D4162" s="7" t="s">
        <v>12</v>
      </c>
      <c r="E4162" t="str">
        <f>_xlfn.XLOOKUP(Vendas[[#This Row],[ID Item Vendido]],Agregado[ID],Agregado[Produto])</f>
        <v>Grânulo de plástico reciclado refinado</v>
      </c>
      <c r="F4162" s="39">
        <v>45645</v>
      </c>
      <c r="G4162" s="7">
        <v>117</v>
      </c>
      <c r="H4162" s="3">
        <f>_xlfn.XLOOKUP(Vendas[[#This Row],[ID Item Vendido]],Agregado[ID],Agregado[Revenda])</f>
        <v>4.7</v>
      </c>
      <c r="I4162" s="3">
        <f>Vendas[[#This Row],[Valor Unitário]]*Vendas[[#This Row],[Qnt Vendida]]</f>
        <v>549.9</v>
      </c>
      <c r="J4162" s="3">
        <f>Vendas[[#This Row],[Valor da Venda]]-(_xlfn.XLOOKUP(Vendas[[#This Row],[ID Item Vendido]],Agregado[ID],Agregado[Custo])*Vendas[[#This Row],[Qnt Vendida]])</f>
        <v>140.39999999999998</v>
      </c>
      <c r="K4162" s="70">
        <f>Vendas[[#This Row],[Lucro da Venda]]/Vendas[[#This Row],[Valor da Venda]]</f>
        <v>0.25531914893617019</v>
      </c>
      <c r="L4162" s="3">
        <f>_xlfn.IFS(Vendas[[#This Row],[Margem de Lucro (%)]]&lt;15%,Vendas[[#This Row],[Valor da Venda]]*3%,Vendas[[#This Row],[Margem de Lucro (%)]]&lt;=20%,Vendas[[#This Row],[Valor da Venda]]*4.5%,TRUE,Vendas[[#This Row],[Valor da Venda]]*6%)</f>
        <v>32.994</v>
      </c>
      <c r="M4162"/>
    </row>
    <row r="4163" spans="1:13" x14ac:dyDescent="0.3">
      <c r="A4163" s="7">
        <v>400253</v>
      </c>
      <c r="B4163" t="str">
        <f>_xlfn.XLOOKUP(Vendas[[#This Row],[ID Vendedor]],Vendedores[ID],Vendedores[Nome])</f>
        <v>Gustavo</v>
      </c>
      <c r="C4163" s="7" t="str">
        <f>_xlfn.XLOOKUP(Vendas[[#This Row],[ID Vendedor]],Vendedores[ID],Vendedores[Setor])</f>
        <v>SC</v>
      </c>
      <c r="D4163" s="7" t="s">
        <v>41</v>
      </c>
      <c r="E4163" t="str">
        <f>_xlfn.XLOOKUP(Vendas[[#This Row],[ID Item Vendido]],Agregado[ID],Agregado[Produto])</f>
        <v>Palete de madeira reforçado</v>
      </c>
      <c r="F4163" s="39">
        <v>45645</v>
      </c>
      <c r="G4163" s="7">
        <v>3</v>
      </c>
      <c r="H4163" s="3">
        <f>_xlfn.XLOOKUP(Vendas[[#This Row],[ID Item Vendido]],Agregado[ID],Agregado[Revenda])</f>
        <v>131</v>
      </c>
      <c r="I4163" s="3">
        <f>Vendas[[#This Row],[Valor Unitário]]*Vendas[[#This Row],[Qnt Vendida]]</f>
        <v>393</v>
      </c>
      <c r="J4163" s="3">
        <f>Vendas[[#This Row],[Valor da Venda]]-(_xlfn.XLOOKUP(Vendas[[#This Row],[ID Item Vendido]],Agregado[ID],Agregado[Custo])*Vendas[[#This Row],[Qnt Vendida]])</f>
        <v>63</v>
      </c>
      <c r="K4163" s="70">
        <f>Vendas[[#This Row],[Lucro da Venda]]/Vendas[[#This Row],[Valor da Venda]]</f>
        <v>0.16030534351145037</v>
      </c>
      <c r="L4163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4163"/>
    </row>
    <row r="4164" spans="1:13" x14ac:dyDescent="0.3">
      <c r="A4164" s="7">
        <v>400254</v>
      </c>
      <c r="B4164" t="str">
        <f>_xlfn.XLOOKUP(Vendas[[#This Row],[ID Vendedor]],Vendedores[ID],Vendedores[Nome])</f>
        <v>Beatriz</v>
      </c>
      <c r="C4164" s="7" t="str">
        <f>_xlfn.XLOOKUP(Vendas[[#This Row],[ID Vendedor]],Vendedores[ID],Vendedores[Setor])</f>
        <v>SC</v>
      </c>
      <c r="D4164" s="7" t="s">
        <v>14</v>
      </c>
      <c r="E4164" t="str">
        <f>_xlfn.XLOOKUP(Vendas[[#This Row],[ID Item Vendido]],Agregado[ID],Agregado[Produto])</f>
        <v>Barril de plástico 200L</v>
      </c>
      <c r="F4164" s="39">
        <v>45645</v>
      </c>
      <c r="G4164" s="7">
        <v>3</v>
      </c>
      <c r="H4164" s="3">
        <f>_xlfn.XLOOKUP(Vendas[[#This Row],[ID Item Vendido]],Agregado[ID],Agregado[Revenda])</f>
        <v>114</v>
      </c>
      <c r="I4164" s="3">
        <f>Vendas[[#This Row],[Valor Unitário]]*Vendas[[#This Row],[Qnt Vendida]]</f>
        <v>342</v>
      </c>
      <c r="J4164" s="3">
        <f>Vendas[[#This Row],[Valor da Venda]]-(_xlfn.XLOOKUP(Vendas[[#This Row],[ID Item Vendido]],Agregado[ID],Agregado[Custo])*Vendas[[#This Row],[Qnt Vendida]])</f>
        <v>57</v>
      </c>
      <c r="K4164" s="70">
        <f>Vendas[[#This Row],[Lucro da Venda]]/Vendas[[#This Row],[Valor da Venda]]</f>
        <v>0.16666666666666666</v>
      </c>
      <c r="L4164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4164"/>
    </row>
    <row r="4165" spans="1:13" x14ac:dyDescent="0.3">
      <c r="A4165" s="7">
        <v>400252</v>
      </c>
      <c r="B4165" t="str">
        <f>_xlfn.XLOOKUP(Vendas[[#This Row],[ID Vendedor]],Vendedores[ID],Vendedores[Nome])</f>
        <v>Renata</v>
      </c>
      <c r="C4165" s="7" t="str">
        <f>_xlfn.XLOOKUP(Vendas[[#This Row],[ID Vendedor]],Vendedores[ID],Vendedores[Setor])</f>
        <v>AB</v>
      </c>
      <c r="D4165" s="7" t="s">
        <v>36</v>
      </c>
      <c r="E4165" t="str">
        <f>_xlfn.XLOOKUP(Vendas[[#This Row],[ID Item Vendido]],Agregado[ID],Agregado[Produto])</f>
        <v>Borracha vulcanizada em manta</v>
      </c>
      <c r="F4165" s="39">
        <v>45645</v>
      </c>
      <c r="G4165" s="7">
        <v>30</v>
      </c>
      <c r="H4165" s="3">
        <f>_xlfn.XLOOKUP(Vendas[[#This Row],[ID Item Vendido]],Agregado[ID],Agregado[Revenda])</f>
        <v>7.8</v>
      </c>
      <c r="I4165" s="3">
        <f>Vendas[[#This Row],[Valor Unitário]]*Vendas[[#This Row],[Qnt Vendida]]</f>
        <v>234</v>
      </c>
      <c r="J4165" s="3">
        <f>Vendas[[#This Row],[Valor da Venda]]-(_xlfn.XLOOKUP(Vendas[[#This Row],[ID Item Vendido]],Agregado[ID],Agregado[Custo])*Vendas[[#This Row],[Qnt Vendida]])</f>
        <v>54</v>
      </c>
      <c r="K4165" s="70">
        <f>Vendas[[#This Row],[Lucro da Venda]]/Vendas[[#This Row],[Valor da Venda]]</f>
        <v>0.23076923076923078</v>
      </c>
      <c r="L4165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4165"/>
    </row>
    <row r="4166" spans="1:13" x14ac:dyDescent="0.3">
      <c r="A4166" s="7">
        <v>400248</v>
      </c>
      <c r="B4166" t="str">
        <f>_xlfn.XLOOKUP(Vendas[[#This Row],[ID Vendedor]],Vendedores[ID],Vendedores[Nome])</f>
        <v>Patrícia</v>
      </c>
      <c r="C4166" s="7" t="str">
        <f>_xlfn.XLOOKUP(Vendas[[#This Row],[ID Vendedor]],Vendedores[ID],Vendedores[Setor])</f>
        <v>CM</v>
      </c>
      <c r="D4166" s="7" t="s">
        <v>32</v>
      </c>
      <c r="E4166" t="str">
        <f>_xlfn.XLOOKUP(Vendas[[#This Row],[ID Item Vendido]],Agregado[ID],Agregado[Produto])</f>
        <v>Tábua tratada e cortada 3m</v>
      </c>
      <c r="F4166" s="39">
        <v>45646</v>
      </c>
      <c r="G4166" s="7">
        <v>48</v>
      </c>
      <c r="H4166" s="3">
        <f>_xlfn.XLOOKUP(Vendas[[#This Row],[ID Item Vendido]],Agregado[ID],Agregado[Revenda])</f>
        <v>39</v>
      </c>
      <c r="I4166" s="3">
        <f>Vendas[[#This Row],[Valor Unitário]]*Vendas[[#This Row],[Qnt Vendida]]</f>
        <v>1872</v>
      </c>
      <c r="J4166" s="3">
        <f>Vendas[[#This Row],[Valor da Venda]]-(_xlfn.XLOOKUP(Vendas[[#This Row],[ID Item Vendido]],Agregado[ID],Agregado[Custo])*Vendas[[#This Row],[Qnt Vendida]])</f>
        <v>336</v>
      </c>
      <c r="K4166" s="70">
        <f>Vendas[[#This Row],[Lucro da Venda]]/Vendas[[#This Row],[Valor da Venda]]</f>
        <v>0.17948717948717949</v>
      </c>
      <c r="L4166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4166"/>
    </row>
    <row r="4167" spans="1:13" x14ac:dyDescent="0.3">
      <c r="A4167" s="7">
        <v>400254</v>
      </c>
      <c r="B4167" t="str">
        <f>_xlfn.XLOOKUP(Vendas[[#This Row],[ID Vendedor]],Vendedores[ID],Vendedores[Nome])</f>
        <v>Beatriz</v>
      </c>
      <c r="C4167" s="7" t="str">
        <f>_xlfn.XLOOKUP(Vendas[[#This Row],[ID Vendedor]],Vendedores[ID],Vendedores[Setor])</f>
        <v>SC</v>
      </c>
      <c r="D4167" s="7" t="s">
        <v>14</v>
      </c>
      <c r="E4167" t="str">
        <f>_xlfn.XLOOKUP(Vendas[[#This Row],[ID Item Vendido]],Agregado[ID],Agregado[Produto])</f>
        <v>Barril de plástico 200L</v>
      </c>
      <c r="F4167" s="39">
        <v>45646</v>
      </c>
      <c r="G4167" s="7">
        <v>7</v>
      </c>
      <c r="H4167" s="3">
        <f>_xlfn.XLOOKUP(Vendas[[#This Row],[ID Item Vendido]],Agregado[ID],Agregado[Revenda])</f>
        <v>114</v>
      </c>
      <c r="I4167" s="3">
        <f>Vendas[[#This Row],[Valor Unitário]]*Vendas[[#This Row],[Qnt Vendida]]</f>
        <v>798</v>
      </c>
      <c r="J4167" s="3">
        <f>Vendas[[#This Row],[Valor da Venda]]-(_xlfn.XLOOKUP(Vendas[[#This Row],[ID Item Vendido]],Agregado[ID],Agregado[Custo])*Vendas[[#This Row],[Qnt Vendida]])</f>
        <v>133</v>
      </c>
      <c r="K4167" s="70">
        <f>Vendas[[#This Row],[Lucro da Venda]]/Vendas[[#This Row],[Valor da Venda]]</f>
        <v>0.16666666666666666</v>
      </c>
      <c r="L4167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4167"/>
    </row>
    <row r="4168" spans="1:13" x14ac:dyDescent="0.3">
      <c r="A4168" s="7">
        <v>400252</v>
      </c>
      <c r="B4168" t="str">
        <f>_xlfn.XLOOKUP(Vendas[[#This Row],[ID Vendedor]],Vendedores[ID],Vendedores[Nome])</f>
        <v>Renata</v>
      </c>
      <c r="C4168" s="7" t="str">
        <f>_xlfn.XLOOKUP(Vendas[[#This Row],[ID Vendedor]],Vendedores[ID],Vendedores[Setor])</f>
        <v>AB</v>
      </c>
      <c r="D4168" s="7" t="s">
        <v>39</v>
      </c>
      <c r="E4168" t="str">
        <f>_xlfn.XLOOKUP(Vendas[[#This Row],[ID Item Vendido]],Agregado[ID],Agregado[Produto])</f>
        <v>Filme plástico industrial rolo 50m</v>
      </c>
      <c r="F4168" s="39">
        <v>45646</v>
      </c>
      <c r="G4168" s="7">
        <v>9</v>
      </c>
      <c r="H4168" s="3">
        <f>_xlfn.XLOOKUP(Vendas[[#This Row],[ID Item Vendido]],Agregado[ID],Agregado[Revenda])</f>
        <v>37</v>
      </c>
      <c r="I4168" s="3">
        <f>Vendas[[#This Row],[Valor Unitário]]*Vendas[[#This Row],[Qnt Vendida]]</f>
        <v>333</v>
      </c>
      <c r="J4168" s="3">
        <f>Vendas[[#This Row],[Valor da Venda]]-(_xlfn.XLOOKUP(Vendas[[#This Row],[ID Item Vendido]],Agregado[ID],Agregado[Custo])*Vendas[[#This Row],[Qnt Vendida]])</f>
        <v>81</v>
      </c>
      <c r="K4168" s="70">
        <f>Vendas[[#This Row],[Lucro da Venda]]/Vendas[[#This Row],[Valor da Venda]]</f>
        <v>0.24324324324324326</v>
      </c>
      <c r="L4168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4168"/>
    </row>
    <row r="4169" spans="1:13" x14ac:dyDescent="0.3">
      <c r="A4169" s="7">
        <v>400253</v>
      </c>
      <c r="B4169" t="str">
        <f>_xlfn.XLOOKUP(Vendas[[#This Row],[ID Vendedor]],Vendedores[ID],Vendedores[Nome])</f>
        <v>Gustavo</v>
      </c>
      <c r="C4169" s="7" t="str">
        <f>_xlfn.XLOOKUP(Vendas[[#This Row],[ID Vendedor]],Vendedores[ID],Vendedores[Setor])</f>
        <v>SC</v>
      </c>
      <c r="D4169" s="7" t="s">
        <v>42</v>
      </c>
      <c r="E4169" t="str">
        <f>_xlfn.XLOOKUP(Vendas[[#This Row],[ID Item Vendido]],Agregado[ID],Agregado[Produto])</f>
        <v>Container de ferro industrial</v>
      </c>
      <c r="F4169" s="39">
        <v>45647</v>
      </c>
      <c r="G4169" s="7">
        <v>4</v>
      </c>
      <c r="H4169" s="3">
        <f>_xlfn.XLOOKUP(Vendas[[#This Row],[ID Item Vendido]],Agregado[ID],Agregado[Revenda])</f>
        <v>830</v>
      </c>
      <c r="I4169" s="3">
        <f>Vendas[[#This Row],[Valor Unitário]]*Vendas[[#This Row],[Qnt Vendida]]</f>
        <v>3320</v>
      </c>
      <c r="J4169" s="3">
        <f>Vendas[[#This Row],[Valor da Venda]]-(_xlfn.XLOOKUP(Vendas[[#This Row],[ID Item Vendido]],Agregado[ID],Agregado[Custo])*Vendas[[#This Row],[Qnt Vendida]])</f>
        <v>600</v>
      </c>
      <c r="K4169" s="70">
        <f>Vendas[[#This Row],[Lucro da Venda]]/Vendas[[#This Row],[Valor da Venda]]</f>
        <v>0.18072289156626506</v>
      </c>
      <c r="L4169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169"/>
    </row>
    <row r="4170" spans="1:13" x14ac:dyDescent="0.3">
      <c r="A4170" s="7">
        <v>400246</v>
      </c>
      <c r="B4170" t="str">
        <f>_xlfn.XLOOKUP(Vendas[[#This Row],[ID Vendedor]],Vendedores[ID],Vendedores[Nome])</f>
        <v>Juliana</v>
      </c>
      <c r="C4170" s="7" t="str">
        <f>_xlfn.XLOOKUP(Vendas[[#This Row],[ID Vendedor]],Vendedores[ID],Vendedores[Setor])</f>
        <v>AHD</v>
      </c>
      <c r="D4170" s="7" t="s">
        <v>30</v>
      </c>
      <c r="E4170" t="str">
        <f>_xlfn.XLOOKUP(Vendas[[#This Row],[ID Item Vendido]],Agregado[ID],Agregado[Produto])</f>
        <v>Estrutura metálica soldada</v>
      </c>
      <c r="F4170" s="39">
        <v>45647</v>
      </c>
      <c r="G4170" s="7">
        <v>5</v>
      </c>
      <c r="H4170" s="3">
        <f>_xlfn.XLOOKUP(Vendas[[#This Row],[ID Item Vendido]],Agregado[ID],Agregado[Revenda])</f>
        <v>400</v>
      </c>
      <c r="I4170" s="3">
        <f>Vendas[[#This Row],[Valor Unitário]]*Vendas[[#This Row],[Qnt Vendida]]</f>
        <v>2000</v>
      </c>
      <c r="J4170" s="3">
        <f>Vendas[[#This Row],[Valor da Venda]]-(_xlfn.XLOOKUP(Vendas[[#This Row],[ID Item Vendido]],Agregado[ID],Agregado[Custo])*Vendas[[#This Row],[Qnt Vendida]])</f>
        <v>400</v>
      </c>
      <c r="K4170" s="70">
        <f>Vendas[[#This Row],[Lucro da Venda]]/Vendas[[#This Row],[Valor da Venda]]</f>
        <v>0.2</v>
      </c>
      <c r="L4170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170"/>
    </row>
    <row r="4171" spans="1:13" x14ac:dyDescent="0.3">
      <c r="A4171" s="7">
        <v>400253</v>
      </c>
      <c r="B4171" t="str">
        <f>_xlfn.XLOOKUP(Vendas[[#This Row],[ID Vendedor]],Vendedores[ID],Vendedores[Nome])</f>
        <v>Gustavo</v>
      </c>
      <c r="C4171" s="7" t="str">
        <f>_xlfn.XLOOKUP(Vendas[[#This Row],[ID Vendedor]],Vendedores[ID],Vendedores[Setor])</f>
        <v>SC</v>
      </c>
      <c r="D4171" s="7" t="s">
        <v>48</v>
      </c>
      <c r="E4171" t="str">
        <f>_xlfn.XLOOKUP(Vendas[[#This Row],[ID Item Vendido]],Agregado[ID],Agregado[Produto])</f>
        <v>Tambor metálico 200L</v>
      </c>
      <c r="F4171" s="39">
        <v>45647</v>
      </c>
      <c r="G4171" s="7">
        <v>12</v>
      </c>
      <c r="H4171" s="3">
        <f>_xlfn.XLOOKUP(Vendas[[#This Row],[ID Item Vendido]],Agregado[ID],Agregado[Revenda])</f>
        <v>144</v>
      </c>
      <c r="I4171" s="3">
        <f>Vendas[[#This Row],[Valor Unitário]]*Vendas[[#This Row],[Qnt Vendida]]</f>
        <v>1728</v>
      </c>
      <c r="J4171" s="3">
        <f>Vendas[[#This Row],[Valor da Venda]]-(_xlfn.XLOOKUP(Vendas[[#This Row],[ID Item Vendido]],Agregado[ID],Agregado[Custo])*Vendas[[#This Row],[Qnt Vendida]])</f>
        <v>288</v>
      </c>
      <c r="K4171" s="70">
        <f>Vendas[[#This Row],[Lucro da Venda]]/Vendas[[#This Row],[Valor da Venda]]</f>
        <v>0.16666666666666666</v>
      </c>
      <c r="L4171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4171"/>
    </row>
    <row r="4172" spans="1:13" x14ac:dyDescent="0.3">
      <c r="A4172" s="7">
        <v>400241</v>
      </c>
      <c r="B4172" t="str">
        <f>_xlfn.XLOOKUP(Vendas[[#This Row],[ID Vendedor]],Vendedores[ID],Vendedores[Nome])</f>
        <v>Rodrigo</v>
      </c>
      <c r="C4172" s="7" t="str">
        <f>_xlfn.XLOOKUP(Vendas[[#This Row],[ID Vendedor]],Vendedores[ID],Vendedores[Setor])</f>
        <v>FM</v>
      </c>
      <c r="D4172" s="7" t="s">
        <v>20</v>
      </c>
      <c r="E4172" t="str">
        <f>_xlfn.XLOOKUP(Vendas[[#This Row],[ID Item Vendido]],Agregado[ID],Agregado[Produto])</f>
        <v>Barra de aço simples</v>
      </c>
      <c r="F4172" s="39">
        <v>45647</v>
      </c>
      <c r="G4172" s="7">
        <v>196</v>
      </c>
      <c r="H4172" s="3">
        <f>_xlfn.XLOOKUP(Vendas[[#This Row],[ID Item Vendido]],Agregado[ID],Agregado[Revenda])</f>
        <v>4.8</v>
      </c>
      <c r="I4172" s="3">
        <f>Vendas[[#This Row],[Valor Unitário]]*Vendas[[#This Row],[Qnt Vendida]]</f>
        <v>940.8</v>
      </c>
      <c r="J4172" s="3">
        <f>Vendas[[#This Row],[Valor da Venda]]-(_xlfn.XLOOKUP(Vendas[[#This Row],[ID Item Vendido]],Agregado[ID],Agregado[Custo])*Vendas[[#This Row],[Qnt Vendida]])</f>
        <v>117.59999999999991</v>
      </c>
      <c r="K4172" s="70">
        <f>Vendas[[#This Row],[Lucro da Venda]]/Vendas[[#This Row],[Valor da Venda]]</f>
        <v>0.1249999999999999</v>
      </c>
      <c r="L4172" s="3">
        <f>_xlfn.IFS(Vendas[[#This Row],[Margem de Lucro (%)]]&lt;15%,Vendas[[#This Row],[Valor da Venda]]*3%,Vendas[[#This Row],[Margem de Lucro (%)]]&lt;=20%,Vendas[[#This Row],[Valor da Venda]]*4.5%,TRUE,Vendas[[#This Row],[Valor da Venda]]*6%)</f>
        <v>28.223999999999997</v>
      </c>
      <c r="M4172"/>
    </row>
    <row r="4173" spans="1:13" x14ac:dyDescent="0.3">
      <c r="A4173" s="7">
        <v>400251</v>
      </c>
      <c r="B4173" t="str">
        <f>_xlfn.XLOOKUP(Vendas[[#This Row],[ID Vendedor]],Vendedores[ID],Vendedores[Nome])</f>
        <v>Diego</v>
      </c>
      <c r="C4173" s="7" t="str">
        <f>_xlfn.XLOOKUP(Vendas[[#This Row],[ID Vendedor]],Vendedores[ID],Vendedores[Setor])</f>
        <v>AB</v>
      </c>
      <c r="D4173" s="7" t="s">
        <v>37</v>
      </c>
      <c r="E4173" t="str">
        <f>_xlfn.XLOOKUP(Vendas[[#This Row],[ID Item Vendido]],Agregado[ID],Agregado[Produto])</f>
        <v>Composto de borracha para vedação rolo 10m</v>
      </c>
      <c r="F4173" s="39">
        <v>45647</v>
      </c>
      <c r="G4173" s="7">
        <v>17</v>
      </c>
      <c r="H4173" s="3">
        <f>_xlfn.XLOOKUP(Vendas[[#This Row],[ID Item Vendido]],Agregado[ID],Agregado[Revenda])</f>
        <v>51.2</v>
      </c>
      <c r="I4173" s="3">
        <f>Vendas[[#This Row],[Valor Unitário]]*Vendas[[#This Row],[Qnt Vendida]]</f>
        <v>870.40000000000009</v>
      </c>
      <c r="J4173" s="3">
        <f>Vendas[[#This Row],[Valor da Venda]]-(_xlfn.XLOOKUP(Vendas[[#This Row],[ID Item Vendido]],Agregado[ID],Agregado[Custo])*Vendas[[#This Row],[Qnt Vendida]])</f>
        <v>190.40000000000009</v>
      </c>
      <c r="K4173" s="70">
        <f>Vendas[[#This Row],[Lucro da Venda]]/Vendas[[#This Row],[Valor da Venda]]</f>
        <v>0.21875000000000008</v>
      </c>
      <c r="L4173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4173"/>
    </row>
    <row r="4174" spans="1:13" x14ac:dyDescent="0.3">
      <c r="A4174" s="7">
        <v>400252</v>
      </c>
      <c r="B4174" t="str">
        <f>_xlfn.XLOOKUP(Vendas[[#This Row],[ID Vendedor]],Vendedores[ID],Vendedores[Nome])</f>
        <v>Renata</v>
      </c>
      <c r="C4174" s="7" t="str">
        <f>_xlfn.XLOOKUP(Vendas[[#This Row],[ID Vendedor]],Vendedores[ID],Vendedores[Setor])</f>
        <v>AB</v>
      </c>
      <c r="D4174" s="7" t="s">
        <v>39</v>
      </c>
      <c r="E4174" t="str">
        <f>_xlfn.XLOOKUP(Vendas[[#This Row],[ID Item Vendido]],Agregado[ID],Agregado[Produto])</f>
        <v>Filme plástico industrial rolo 50m</v>
      </c>
      <c r="F4174" s="39">
        <v>45647</v>
      </c>
      <c r="G4174" s="7">
        <v>18</v>
      </c>
      <c r="H4174" s="3">
        <f>_xlfn.XLOOKUP(Vendas[[#This Row],[ID Item Vendido]],Agregado[ID],Agregado[Revenda])</f>
        <v>37</v>
      </c>
      <c r="I4174" s="3">
        <f>Vendas[[#This Row],[Valor Unitário]]*Vendas[[#This Row],[Qnt Vendida]]</f>
        <v>666</v>
      </c>
      <c r="J4174" s="3">
        <f>Vendas[[#This Row],[Valor da Venda]]-(_xlfn.XLOOKUP(Vendas[[#This Row],[ID Item Vendido]],Agregado[ID],Agregado[Custo])*Vendas[[#This Row],[Qnt Vendida]])</f>
        <v>162</v>
      </c>
      <c r="K4174" s="70">
        <f>Vendas[[#This Row],[Lucro da Venda]]/Vendas[[#This Row],[Valor da Venda]]</f>
        <v>0.24324324324324326</v>
      </c>
      <c r="L4174" s="3">
        <f>_xlfn.IFS(Vendas[[#This Row],[Margem de Lucro (%)]]&lt;15%,Vendas[[#This Row],[Valor da Venda]]*3%,Vendas[[#This Row],[Margem de Lucro (%)]]&lt;=20%,Vendas[[#This Row],[Valor da Venda]]*4.5%,TRUE,Vendas[[#This Row],[Valor da Venda]]*6%)</f>
        <v>39.96</v>
      </c>
      <c r="M4174"/>
    </row>
    <row r="4175" spans="1:13" x14ac:dyDescent="0.3">
      <c r="A4175" s="7">
        <v>400248</v>
      </c>
      <c r="B4175" t="str">
        <f>_xlfn.XLOOKUP(Vendas[[#This Row],[ID Vendedor]],Vendedores[ID],Vendedores[Nome])</f>
        <v>Patrícia</v>
      </c>
      <c r="C4175" s="7" t="str">
        <f>_xlfn.XLOOKUP(Vendas[[#This Row],[ID Vendedor]],Vendedores[ID],Vendedores[Setor])</f>
        <v>CM</v>
      </c>
      <c r="D4175" s="7" t="s">
        <v>32</v>
      </c>
      <c r="E4175" t="str">
        <f>_xlfn.XLOOKUP(Vendas[[#This Row],[ID Item Vendido]],Agregado[ID],Agregado[Produto])</f>
        <v>Tábua tratada e cortada 3m</v>
      </c>
      <c r="F4175" s="39">
        <v>45647</v>
      </c>
      <c r="G4175" s="7">
        <v>14</v>
      </c>
      <c r="H4175" s="3">
        <f>_xlfn.XLOOKUP(Vendas[[#This Row],[ID Item Vendido]],Agregado[ID],Agregado[Revenda])</f>
        <v>39</v>
      </c>
      <c r="I4175" s="3">
        <f>Vendas[[#This Row],[Valor Unitário]]*Vendas[[#This Row],[Qnt Vendida]]</f>
        <v>546</v>
      </c>
      <c r="J4175" s="3">
        <f>Vendas[[#This Row],[Valor da Venda]]-(_xlfn.XLOOKUP(Vendas[[#This Row],[ID Item Vendido]],Agregado[ID],Agregado[Custo])*Vendas[[#This Row],[Qnt Vendida]])</f>
        <v>98</v>
      </c>
      <c r="K4175" s="70">
        <f>Vendas[[#This Row],[Lucro da Venda]]/Vendas[[#This Row],[Valor da Venda]]</f>
        <v>0.17948717948717949</v>
      </c>
      <c r="L4175" s="3">
        <f>_xlfn.IFS(Vendas[[#This Row],[Margem de Lucro (%)]]&lt;15%,Vendas[[#This Row],[Valor da Venda]]*3%,Vendas[[#This Row],[Margem de Lucro (%)]]&lt;=20%,Vendas[[#This Row],[Valor da Venda]]*4.5%,TRUE,Vendas[[#This Row],[Valor da Venda]]*6%)</f>
        <v>24.57</v>
      </c>
      <c r="M4175"/>
    </row>
    <row r="4176" spans="1:13" x14ac:dyDescent="0.3">
      <c r="A4176" s="7">
        <v>400246</v>
      </c>
      <c r="B4176" t="str">
        <f>_xlfn.XLOOKUP(Vendas[[#This Row],[ID Vendedor]],Vendedores[ID],Vendedores[Nome])</f>
        <v>Juliana</v>
      </c>
      <c r="C4176" s="7" t="str">
        <f>_xlfn.XLOOKUP(Vendas[[#This Row],[ID Vendedor]],Vendedores[ID],Vendedores[Setor])</f>
        <v>AHD</v>
      </c>
      <c r="D4176" s="7" t="s">
        <v>18</v>
      </c>
      <c r="E4176" t="str">
        <f>_xlfn.XLOOKUP(Vendas[[#This Row],[ID Item Vendido]],Agregado[ID],Agregado[Produto])</f>
        <v>Peça forjada sob encomenda</v>
      </c>
      <c r="F4176" s="39">
        <v>45647</v>
      </c>
      <c r="G4176" s="7">
        <v>1</v>
      </c>
      <c r="H4176" s="3">
        <f>_xlfn.XLOOKUP(Vendas[[#This Row],[ID Item Vendido]],Agregado[ID],Agregado[Revenda])</f>
        <v>264.60000000000002</v>
      </c>
      <c r="I4176" s="3">
        <f>Vendas[[#This Row],[Valor Unitário]]*Vendas[[#This Row],[Qnt Vendida]]</f>
        <v>264.60000000000002</v>
      </c>
      <c r="J4176" s="3">
        <f>Vendas[[#This Row],[Valor da Venda]]-(_xlfn.XLOOKUP(Vendas[[#This Row],[ID Item Vendido]],Agregado[ID],Agregado[Custo])*Vendas[[#This Row],[Qnt Vendida]])</f>
        <v>14.600000000000023</v>
      </c>
      <c r="K4176" s="70">
        <f>Vendas[[#This Row],[Lucro da Venda]]/Vendas[[#This Row],[Valor da Venda]]</f>
        <v>5.5177626606198113E-2</v>
      </c>
      <c r="L4176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4176"/>
    </row>
    <row r="4177" spans="1:13" x14ac:dyDescent="0.3">
      <c r="A4177" s="7">
        <v>400251</v>
      </c>
      <c r="B4177" t="str">
        <f>_xlfn.XLOOKUP(Vendas[[#This Row],[ID Vendedor]],Vendedores[ID],Vendedores[Nome])</f>
        <v>Diego</v>
      </c>
      <c r="C4177" s="7" t="str">
        <f>_xlfn.XLOOKUP(Vendas[[#This Row],[ID Vendedor]],Vendedores[ID],Vendedores[Setor])</f>
        <v>AB</v>
      </c>
      <c r="D4177" s="7" t="s">
        <v>12</v>
      </c>
      <c r="E4177" t="str">
        <f>_xlfn.XLOOKUP(Vendas[[#This Row],[ID Item Vendido]],Agregado[ID],Agregado[Produto])</f>
        <v>Grânulo de plástico reciclado refinado</v>
      </c>
      <c r="F4177" s="39">
        <v>45647</v>
      </c>
      <c r="G4177" s="7">
        <v>71</v>
      </c>
      <c r="H4177" s="3">
        <f>_xlfn.XLOOKUP(Vendas[[#This Row],[ID Item Vendido]],Agregado[ID],Agregado[Revenda])</f>
        <v>4.7</v>
      </c>
      <c r="I4177" s="3">
        <f>Vendas[[#This Row],[Valor Unitário]]*Vendas[[#This Row],[Qnt Vendida]]</f>
        <v>333.7</v>
      </c>
      <c r="J4177" s="3">
        <f>Vendas[[#This Row],[Valor da Venda]]-(_xlfn.XLOOKUP(Vendas[[#This Row],[ID Item Vendido]],Agregado[ID],Agregado[Custo])*Vendas[[#This Row],[Qnt Vendida]])</f>
        <v>85.199999999999989</v>
      </c>
      <c r="K4177" s="70">
        <f>Vendas[[#This Row],[Lucro da Venda]]/Vendas[[#This Row],[Valor da Venda]]</f>
        <v>0.25531914893617019</v>
      </c>
      <c r="L4177" s="3">
        <f>_xlfn.IFS(Vendas[[#This Row],[Margem de Lucro (%)]]&lt;15%,Vendas[[#This Row],[Valor da Venda]]*3%,Vendas[[#This Row],[Margem de Lucro (%)]]&lt;=20%,Vendas[[#This Row],[Valor da Venda]]*4.5%,TRUE,Vendas[[#This Row],[Valor da Venda]]*6%)</f>
        <v>20.021999999999998</v>
      </c>
      <c r="M4177"/>
    </row>
    <row r="4178" spans="1:13" x14ac:dyDescent="0.3">
      <c r="A4178" s="7">
        <v>400247</v>
      </c>
      <c r="B4178" t="str">
        <f>_xlfn.XLOOKUP(Vendas[[#This Row],[ID Vendedor]],Vendedores[ID],Vendedores[Nome])</f>
        <v>André</v>
      </c>
      <c r="C4178" s="7" t="str">
        <f>_xlfn.XLOOKUP(Vendas[[#This Row],[ID Vendedor]],Vendedores[ID],Vendedores[Setor])</f>
        <v>CM</v>
      </c>
      <c r="D4178" s="7" t="s">
        <v>34</v>
      </c>
      <c r="E4178" t="str">
        <f>_xlfn.XLOOKUP(Vendas[[#This Row],[ID Item Vendido]],Agregado[ID],Agregado[Produto])</f>
        <v>Restos de madeira p/ MDP/OSB saco de 20kg</v>
      </c>
      <c r="F4178" s="39">
        <v>45647</v>
      </c>
      <c r="G4178" s="7">
        <v>12</v>
      </c>
      <c r="H4178" s="3">
        <f>_xlfn.XLOOKUP(Vendas[[#This Row],[ID Item Vendido]],Agregado[ID],Agregado[Revenda])</f>
        <v>13.8</v>
      </c>
      <c r="I4178" s="3">
        <f>Vendas[[#This Row],[Valor Unitário]]*Vendas[[#This Row],[Qnt Vendida]]</f>
        <v>165.60000000000002</v>
      </c>
      <c r="J4178" s="3">
        <f>Vendas[[#This Row],[Valor da Venda]]-(_xlfn.XLOOKUP(Vendas[[#This Row],[ID Item Vendido]],Agregado[ID],Agregado[Custo])*Vendas[[#This Row],[Qnt Vendida]])</f>
        <v>21.600000000000023</v>
      </c>
      <c r="K4178" s="70">
        <f>Vendas[[#This Row],[Lucro da Venda]]/Vendas[[#This Row],[Valor da Venda]]</f>
        <v>0.13043478260869576</v>
      </c>
      <c r="L4178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4178"/>
    </row>
    <row r="4179" spans="1:13" x14ac:dyDescent="0.3">
      <c r="A4179" s="7">
        <v>400242</v>
      </c>
      <c r="B4179" t="str">
        <f>_xlfn.XLOOKUP(Vendas[[#This Row],[ID Vendedor]],Vendedores[ID],Vendedores[Nome])</f>
        <v>Fernanda</v>
      </c>
      <c r="C4179" s="7" t="str">
        <f>_xlfn.XLOOKUP(Vendas[[#This Row],[ID Vendedor]],Vendedores[ID],Vendedores[Setor])</f>
        <v>FM</v>
      </c>
      <c r="D4179" s="7" t="s">
        <v>47</v>
      </c>
      <c r="E4179" t="str">
        <f>_xlfn.XLOOKUP(Vendas[[#This Row],[ID Item Vendido]],Agregado[ID],Agregado[Produto])</f>
        <v>Fio de arame galvanizado rolo 50m</v>
      </c>
      <c r="F4179" s="39">
        <v>45647</v>
      </c>
      <c r="G4179" s="7">
        <v>6</v>
      </c>
      <c r="H4179" s="3">
        <f>_xlfn.XLOOKUP(Vendas[[#This Row],[ID Item Vendido]],Agregado[ID],Agregado[Revenda])</f>
        <v>21.2</v>
      </c>
      <c r="I4179" s="3">
        <f>Vendas[[#This Row],[Valor Unitário]]*Vendas[[#This Row],[Qnt Vendida]]</f>
        <v>127.19999999999999</v>
      </c>
      <c r="J4179" s="3">
        <f>Vendas[[#This Row],[Valor da Venda]]-(_xlfn.XLOOKUP(Vendas[[#This Row],[ID Item Vendido]],Agregado[ID],Agregado[Custo])*Vendas[[#This Row],[Qnt Vendida]])</f>
        <v>19.199999999999989</v>
      </c>
      <c r="K4179" s="70">
        <f>Vendas[[#This Row],[Lucro da Venda]]/Vendas[[#This Row],[Valor da Venda]]</f>
        <v>0.15094339622641501</v>
      </c>
      <c r="L4179" s="3">
        <f>_xlfn.IFS(Vendas[[#This Row],[Margem de Lucro (%)]]&lt;15%,Vendas[[#This Row],[Valor da Venda]]*3%,Vendas[[#This Row],[Margem de Lucro (%)]]&lt;=20%,Vendas[[#This Row],[Valor da Venda]]*4.5%,TRUE,Vendas[[#This Row],[Valor da Venda]]*6%)</f>
        <v>5.7239999999999993</v>
      </c>
      <c r="M4179"/>
    </row>
    <row r="4180" spans="1:13" x14ac:dyDescent="0.3">
      <c r="A4180" s="7">
        <v>400248</v>
      </c>
      <c r="B4180" t="str">
        <f>_xlfn.XLOOKUP(Vendas[[#This Row],[ID Vendedor]],Vendedores[ID],Vendedores[Nome])</f>
        <v>Patrícia</v>
      </c>
      <c r="C4180" s="7" t="str">
        <f>_xlfn.XLOOKUP(Vendas[[#This Row],[ID Vendedor]],Vendedores[ID],Vendedores[Setor])</f>
        <v>CM</v>
      </c>
      <c r="D4180" s="7" t="s">
        <v>22</v>
      </c>
      <c r="E4180" t="str">
        <f>_xlfn.XLOOKUP(Vendas[[#This Row],[ID Item Vendido]],Agregado[ID],Agregado[Produto])</f>
        <v>Painel MDP 2,75x1,83m</v>
      </c>
      <c r="F4180" s="39">
        <v>45648</v>
      </c>
      <c r="G4180" s="7">
        <v>25</v>
      </c>
      <c r="H4180" s="3">
        <f>_xlfn.XLOOKUP(Vendas[[#This Row],[ID Item Vendido]],Agregado[ID],Agregado[Revenda])</f>
        <v>119</v>
      </c>
      <c r="I4180" s="3">
        <f>Vendas[[#This Row],[Valor Unitário]]*Vendas[[#This Row],[Qnt Vendida]]</f>
        <v>2975</v>
      </c>
      <c r="J4180" s="3">
        <f>Vendas[[#This Row],[Valor da Venda]]-(_xlfn.XLOOKUP(Vendas[[#This Row],[ID Item Vendido]],Agregado[ID],Agregado[Custo])*Vendas[[#This Row],[Qnt Vendida]])</f>
        <v>600</v>
      </c>
      <c r="K4180" s="70">
        <f>Vendas[[#This Row],[Lucro da Venda]]/Vendas[[#This Row],[Valor da Venda]]</f>
        <v>0.20168067226890757</v>
      </c>
      <c r="L4180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180"/>
    </row>
    <row r="4181" spans="1:13" x14ac:dyDescent="0.3">
      <c r="A4181" s="7">
        <v>400248</v>
      </c>
      <c r="B4181" t="str">
        <f>_xlfn.XLOOKUP(Vendas[[#This Row],[ID Vendedor]],Vendedores[ID],Vendedores[Nome])</f>
        <v>Patrícia</v>
      </c>
      <c r="C4181" s="7" t="str">
        <f>_xlfn.XLOOKUP(Vendas[[#This Row],[ID Vendedor]],Vendedores[ID],Vendedores[Setor])</f>
        <v>CM</v>
      </c>
      <c r="D4181" s="7" t="s">
        <v>22</v>
      </c>
      <c r="E4181" t="str">
        <f>_xlfn.XLOOKUP(Vendas[[#This Row],[ID Item Vendido]],Agregado[ID],Agregado[Produto])</f>
        <v>Painel MDP 2,75x1,83m</v>
      </c>
      <c r="F4181" s="39">
        <v>45648</v>
      </c>
      <c r="G4181" s="7">
        <v>20</v>
      </c>
      <c r="H4181" s="3">
        <f>_xlfn.XLOOKUP(Vendas[[#This Row],[ID Item Vendido]],Agregado[ID],Agregado[Revenda])</f>
        <v>119</v>
      </c>
      <c r="I4181" s="3">
        <f>Vendas[[#This Row],[Valor Unitário]]*Vendas[[#This Row],[Qnt Vendida]]</f>
        <v>2380</v>
      </c>
      <c r="J4181" s="3">
        <f>Vendas[[#This Row],[Valor da Venda]]-(_xlfn.XLOOKUP(Vendas[[#This Row],[ID Item Vendido]],Agregado[ID],Agregado[Custo])*Vendas[[#This Row],[Qnt Vendida]])</f>
        <v>480</v>
      </c>
      <c r="K4181" s="70">
        <f>Vendas[[#This Row],[Lucro da Venda]]/Vendas[[#This Row],[Valor da Venda]]</f>
        <v>0.20168067226890757</v>
      </c>
      <c r="L4181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4181"/>
    </row>
    <row r="4182" spans="1:13" x14ac:dyDescent="0.3">
      <c r="A4182" s="7">
        <v>400244</v>
      </c>
      <c r="B4182" t="str">
        <f>_xlfn.XLOOKUP(Vendas[[#This Row],[ID Vendedor]],Vendedores[ID],Vendedores[Nome])</f>
        <v>Camila</v>
      </c>
      <c r="C4182" s="7" t="str">
        <f>_xlfn.XLOOKUP(Vendas[[#This Row],[ID Vendedor]],Vendedores[ID],Vendedores[Setor])</f>
        <v>AHD</v>
      </c>
      <c r="D4182" s="7" t="s">
        <v>30</v>
      </c>
      <c r="E4182" t="str">
        <f>_xlfn.XLOOKUP(Vendas[[#This Row],[ID Item Vendido]],Agregado[ID],Agregado[Produto])</f>
        <v>Estrutura metálica soldada</v>
      </c>
      <c r="F4182" s="39">
        <v>45648</v>
      </c>
      <c r="G4182" s="7">
        <v>4</v>
      </c>
      <c r="H4182" s="3">
        <f>_xlfn.XLOOKUP(Vendas[[#This Row],[ID Item Vendido]],Agregado[ID],Agregado[Revenda])</f>
        <v>400</v>
      </c>
      <c r="I4182" s="3">
        <f>Vendas[[#This Row],[Valor Unitário]]*Vendas[[#This Row],[Qnt Vendida]]</f>
        <v>1600</v>
      </c>
      <c r="J4182" s="3">
        <f>Vendas[[#This Row],[Valor da Venda]]-(_xlfn.XLOOKUP(Vendas[[#This Row],[ID Item Vendido]],Agregado[ID],Agregado[Custo])*Vendas[[#This Row],[Qnt Vendida]])</f>
        <v>320</v>
      </c>
      <c r="K4182" s="70">
        <f>Vendas[[#This Row],[Lucro da Venda]]/Vendas[[#This Row],[Valor da Venda]]</f>
        <v>0.2</v>
      </c>
      <c r="L4182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4182"/>
    </row>
    <row r="4183" spans="1:13" x14ac:dyDescent="0.3">
      <c r="A4183" s="7">
        <v>400242</v>
      </c>
      <c r="B4183" t="str">
        <f>_xlfn.XLOOKUP(Vendas[[#This Row],[ID Vendedor]],Vendedores[ID],Vendedores[Nome])</f>
        <v>Fernanda</v>
      </c>
      <c r="C4183" s="7" t="str">
        <f>_xlfn.XLOOKUP(Vendas[[#This Row],[ID Vendedor]],Vendedores[ID],Vendedores[Setor])</f>
        <v>FM</v>
      </c>
      <c r="D4183" s="7" t="s">
        <v>6</v>
      </c>
      <c r="E4183" t="str">
        <f>_xlfn.XLOOKUP(Vendas[[#This Row],[ID Item Vendido]],Agregado[ID],Agregado[Produto])</f>
        <v>Parafuso comum 500un</v>
      </c>
      <c r="F4183" s="39">
        <v>45648</v>
      </c>
      <c r="G4183" s="7">
        <v>6</v>
      </c>
      <c r="H4183" s="3">
        <f>_xlfn.XLOOKUP(Vendas[[#This Row],[ID Item Vendido]],Agregado[ID],Agregado[Revenda])</f>
        <v>24.6</v>
      </c>
      <c r="I4183" s="3">
        <f>Vendas[[#This Row],[Valor Unitário]]*Vendas[[#This Row],[Qnt Vendida]]</f>
        <v>147.60000000000002</v>
      </c>
      <c r="J4183" s="3">
        <f>Vendas[[#This Row],[Valor da Venda]]-(_xlfn.XLOOKUP(Vendas[[#This Row],[ID Item Vendido]],Agregado[ID],Agregado[Custo])*Vendas[[#This Row],[Qnt Vendida]])</f>
        <v>15.600000000000023</v>
      </c>
      <c r="K4183" s="70">
        <f>Vendas[[#This Row],[Lucro da Venda]]/Vendas[[#This Row],[Valor da Venda]]</f>
        <v>0.10569105691056924</v>
      </c>
      <c r="L4183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4183"/>
    </row>
    <row r="4184" spans="1:13" x14ac:dyDescent="0.3">
      <c r="A4184" s="7">
        <v>400244</v>
      </c>
      <c r="B4184" t="str">
        <f>_xlfn.XLOOKUP(Vendas[[#This Row],[ID Vendedor]],Vendedores[ID],Vendedores[Nome])</f>
        <v>Camila</v>
      </c>
      <c r="C4184" s="7" t="str">
        <f>_xlfn.XLOOKUP(Vendas[[#This Row],[ID Vendedor]],Vendedores[ID],Vendedores[Setor])</f>
        <v>AHD</v>
      </c>
      <c r="D4184" s="7" t="s">
        <v>30</v>
      </c>
      <c r="E4184" t="str">
        <f>_xlfn.XLOOKUP(Vendas[[#This Row],[ID Item Vendido]],Agregado[ID],Agregado[Produto])</f>
        <v>Estrutura metálica soldada</v>
      </c>
      <c r="F4184" s="39">
        <v>45649</v>
      </c>
      <c r="G4184" s="7">
        <v>3</v>
      </c>
      <c r="H4184" s="3">
        <f>_xlfn.XLOOKUP(Vendas[[#This Row],[ID Item Vendido]],Agregado[ID],Agregado[Revenda])</f>
        <v>400</v>
      </c>
      <c r="I4184" s="3">
        <f>Vendas[[#This Row],[Valor Unitário]]*Vendas[[#This Row],[Qnt Vendida]]</f>
        <v>1200</v>
      </c>
      <c r="J4184" s="3">
        <f>Vendas[[#This Row],[Valor da Venda]]-(_xlfn.XLOOKUP(Vendas[[#This Row],[ID Item Vendido]],Agregado[ID],Agregado[Custo])*Vendas[[#This Row],[Qnt Vendida]])</f>
        <v>240</v>
      </c>
      <c r="K4184" s="70">
        <f>Vendas[[#This Row],[Lucro da Venda]]/Vendas[[#This Row],[Valor da Venda]]</f>
        <v>0.2</v>
      </c>
      <c r="L4184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184"/>
    </row>
    <row r="4185" spans="1:13" x14ac:dyDescent="0.3">
      <c r="A4185" s="7">
        <v>400241</v>
      </c>
      <c r="B4185" t="str">
        <f>_xlfn.XLOOKUP(Vendas[[#This Row],[ID Vendedor]],Vendedores[ID],Vendedores[Nome])</f>
        <v>Rodrigo</v>
      </c>
      <c r="C4185" s="7" t="str">
        <f>_xlfn.XLOOKUP(Vendas[[#This Row],[ID Vendedor]],Vendedores[ID],Vendedores[Setor])</f>
        <v>FM</v>
      </c>
      <c r="D4185" s="7" t="s">
        <v>27</v>
      </c>
      <c r="E4185" t="str">
        <f>_xlfn.XLOOKUP(Vendas[[#This Row],[ID Item Vendido]],Agregado[ID],Agregado[Produto])</f>
        <v>Chapa de metal lisa 1x2m</v>
      </c>
      <c r="F4185" s="39">
        <v>45649</v>
      </c>
      <c r="G4185" s="7">
        <v>21</v>
      </c>
      <c r="H4185" s="3">
        <f>_xlfn.XLOOKUP(Vendas[[#This Row],[ID Item Vendido]],Agregado[ID],Agregado[Revenda])</f>
        <v>52</v>
      </c>
      <c r="I4185" s="3">
        <f>Vendas[[#This Row],[Valor Unitário]]*Vendas[[#This Row],[Qnt Vendida]]</f>
        <v>1092</v>
      </c>
      <c r="J4185" s="3">
        <f>Vendas[[#This Row],[Valor da Venda]]-(_xlfn.XLOOKUP(Vendas[[#This Row],[ID Item Vendido]],Agregado[ID],Agregado[Custo])*Vendas[[#This Row],[Qnt Vendida]])</f>
        <v>147</v>
      </c>
      <c r="K4185" s="70">
        <f>Vendas[[#This Row],[Lucro da Venda]]/Vendas[[#This Row],[Valor da Venda]]</f>
        <v>0.13461538461538461</v>
      </c>
      <c r="L4185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4185"/>
    </row>
    <row r="4186" spans="1:13" x14ac:dyDescent="0.3">
      <c r="A4186" s="7">
        <v>400245</v>
      </c>
      <c r="B4186" t="str">
        <f>_xlfn.XLOOKUP(Vendas[[#This Row],[ID Vendedor]],Vendedores[ID],Vendedores[Nome])</f>
        <v>Thiago</v>
      </c>
      <c r="C4186" s="7" t="str">
        <f>_xlfn.XLOOKUP(Vendas[[#This Row],[ID Vendedor]],Vendedores[ID],Vendedores[Setor])</f>
        <v>AHD</v>
      </c>
      <c r="D4186" s="7" t="s">
        <v>44</v>
      </c>
      <c r="E4186" t="str">
        <f>_xlfn.XLOOKUP(Vendas[[#This Row],[ID Item Vendido]],Agregado[ID],Agregado[Produto])</f>
        <v>Liga metálica especial</v>
      </c>
      <c r="F4186" s="39">
        <v>45649</v>
      </c>
      <c r="G4186" s="7">
        <v>29</v>
      </c>
      <c r="H4186" s="3">
        <f>_xlfn.XLOOKUP(Vendas[[#This Row],[ID Item Vendido]],Agregado[ID],Agregado[Revenda])</f>
        <v>32.5</v>
      </c>
      <c r="I4186" s="3">
        <f>Vendas[[#This Row],[Valor Unitário]]*Vendas[[#This Row],[Qnt Vendida]]</f>
        <v>942.5</v>
      </c>
      <c r="J4186" s="3">
        <f>Vendas[[#This Row],[Valor da Venda]]-(_xlfn.XLOOKUP(Vendas[[#This Row],[ID Item Vendido]],Agregado[ID],Agregado[Custo])*Vendas[[#This Row],[Qnt Vendida]])</f>
        <v>217.5</v>
      </c>
      <c r="K4186" s="70">
        <f>Vendas[[#This Row],[Lucro da Venda]]/Vendas[[#This Row],[Valor da Venda]]</f>
        <v>0.23076923076923078</v>
      </c>
      <c r="L4186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4186"/>
    </row>
    <row r="4187" spans="1:13" x14ac:dyDescent="0.3">
      <c r="A4187" s="7">
        <v>400249</v>
      </c>
      <c r="B4187" t="str">
        <f>_xlfn.XLOOKUP(Vendas[[#This Row],[ID Vendedor]],Vendedores[ID],Vendedores[Nome])</f>
        <v>Bruno</v>
      </c>
      <c r="C4187" s="7" t="str">
        <f>_xlfn.XLOOKUP(Vendas[[#This Row],[ID Vendedor]],Vendedores[ID],Vendedores[Setor])</f>
        <v>CM</v>
      </c>
      <c r="D4187" s="7" t="s">
        <v>43</v>
      </c>
      <c r="E4187" t="str">
        <f>_xlfn.XLOOKUP(Vendas[[#This Row],[ID Item Vendido]],Agregado[ID],Agregado[Produto])</f>
        <v>Madeira Bruta (Tora)</v>
      </c>
      <c r="F4187" s="39">
        <v>45650</v>
      </c>
      <c r="G4187" s="7">
        <v>9</v>
      </c>
      <c r="H4187" s="3">
        <f>_xlfn.XLOOKUP(Vendas[[#This Row],[ID Item Vendido]],Agregado[ID],Agregado[Revenda])</f>
        <v>212</v>
      </c>
      <c r="I4187" s="3">
        <f>Vendas[[#This Row],[Valor Unitário]]*Vendas[[#This Row],[Qnt Vendida]]</f>
        <v>1908</v>
      </c>
      <c r="J4187" s="3">
        <f>Vendas[[#This Row],[Valor da Venda]]-(_xlfn.XLOOKUP(Vendas[[#This Row],[ID Item Vendido]],Agregado[ID],Agregado[Custo])*Vendas[[#This Row],[Qnt Vendida]])</f>
        <v>288</v>
      </c>
      <c r="K4187" s="70">
        <f>Vendas[[#This Row],[Lucro da Venda]]/Vendas[[#This Row],[Valor da Venda]]</f>
        <v>0.15094339622641509</v>
      </c>
      <c r="L4187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4187"/>
    </row>
    <row r="4188" spans="1:13" x14ac:dyDescent="0.3">
      <c r="A4188" s="7">
        <v>400248</v>
      </c>
      <c r="B4188" t="str">
        <f>_xlfn.XLOOKUP(Vendas[[#This Row],[ID Vendedor]],Vendedores[ID],Vendedores[Nome])</f>
        <v>Patrícia</v>
      </c>
      <c r="C4188" s="7" t="str">
        <f>_xlfn.XLOOKUP(Vendas[[#This Row],[ID Vendedor]],Vendedores[ID],Vendedores[Setor])</f>
        <v>CM</v>
      </c>
      <c r="D4188" s="7" t="s">
        <v>22</v>
      </c>
      <c r="E4188" t="str">
        <f>_xlfn.XLOOKUP(Vendas[[#This Row],[ID Item Vendido]],Agregado[ID],Agregado[Produto])</f>
        <v>Painel MDP 2,75x1,83m</v>
      </c>
      <c r="F4188" s="39">
        <v>45650</v>
      </c>
      <c r="G4188" s="7">
        <v>9</v>
      </c>
      <c r="H4188" s="3">
        <f>_xlfn.XLOOKUP(Vendas[[#This Row],[ID Item Vendido]],Agregado[ID],Agregado[Revenda])</f>
        <v>119</v>
      </c>
      <c r="I4188" s="3">
        <f>Vendas[[#This Row],[Valor Unitário]]*Vendas[[#This Row],[Qnt Vendida]]</f>
        <v>1071</v>
      </c>
      <c r="J4188" s="3">
        <f>Vendas[[#This Row],[Valor da Venda]]-(_xlfn.XLOOKUP(Vendas[[#This Row],[ID Item Vendido]],Agregado[ID],Agregado[Custo])*Vendas[[#This Row],[Qnt Vendida]])</f>
        <v>216</v>
      </c>
      <c r="K4188" s="70">
        <f>Vendas[[#This Row],[Lucro da Venda]]/Vendas[[#This Row],[Valor da Venda]]</f>
        <v>0.20168067226890757</v>
      </c>
      <c r="L4188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4188"/>
    </row>
    <row r="4189" spans="1:13" x14ac:dyDescent="0.3">
      <c r="A4189" s="7">
        <v>400250</v>
      </c>
      <c r="B4189" t="str">
        <f>_xlfn.XLOOKUP(Vendas[[#This Row],[ID Vendedor]],Vendedores[ID],Vendedores[Nome])</f>
        <v>Larissa</v>
      </c>
      <c r="C4189" s="7" t="str">
        <f>_xlfn.XLOOKUP(Vendas[[#This Row],[ID Vendedor]],Vendedores[ID],Vendedores[Setor])</f>
        <v>AB</v>
      </c>
      <c r="D4189" s="7" t="s">
        <v>24</v>
      </c>
      <c r="E4189" t="str">
        <f>_xlfn.XLOOKUP(Vendas[[#This Row],[ID Item Vendido]],Agregado[ID],Agregado[Produto])</f>
        <v>Resina plástica PET purificada saco de 25kg</v>
      </c>
      <c r="F4189" s="39">
        <v>45651</v>
      </c>
      <c r="G4189" s="7">
        <v>23</v>
      </c>
      <c r="H4189" s="3">
        <f>_xlfn.XLOOKUP(Vendas[[#This Row],[ID Item Vendido]],Agregado[ID],Agregado[Revenda])</f>
        <v>119</v>
      </c>
      <c r="I4189" s="3">
        <f>Vendas[[#This Row],[Valor Unitário]]*Vendas[[#This Row],[Qnt Vendida]]</f>
        <v>2737</v>
      </c>
      <c r="J4189" s="3">
        <f>Vendas[[#This Row],[Valor da Venda]]-(_xlfn.XLOOKUP(Vendas[[#This Row],[ID Item Vendido]],Agregado[ID],Agregado[Custo])*Vendas[[#This Row],[Qnt Vendida]])</f>
        <v>782</v>
      </c>
      <c r="K4189" s="70">
        <f>Vendas[[#This Row],[Lucro da Venda]]/Vendas[[#This Row],[Valor da Venda]]</f>
        <v>0.2857142857142857</v>
      </c>
      <c r="L4189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189"/>
    </row>
    <row r="4190" spans="1:13" x14ac:dyDescent="0.3">
      <c r="A4190" s="7">
        <v>400249</v>
      </c>
      <c r="B4190" t="str">
        <f>_xlfn.XLOOKUP(Vendas[[#This Row],[ID Vendedor]],Vendedores[ID],Vendedores[Nome])</f>
        <v>Bruno</v>
      </c>
      <c r="C4190" s="7" t="str">
        <f>_xlfn.XLOOKUP(Vendas[[#This Row],[ID Vendedor]],Vendedores[ID],Vendedores[Setor])</f>
        <v>CM</v>
      </c>
      <c r="D4190" s="7" t="s">
        <v>43</v>
      </c>
      <c r="E4190" t="str">
        <f>_xlfn.XLOOKUP(Vendas[[#This Row],[ID Item Vendido]],Agregado[ID],Agregado[Produto])</f>
        <v>Madeira Bruta (Tora)</v>
      </c>
      <c r="F4190" s="39">
        <v>45651</v>
      </c>
      <c r="G4190" s="7">
        <v>11</v>
      </c>
      <c r="H4190" s="3">
        <f>_xlfn.XLOOKUP(Vendas[[#This Row],[ID Item Vendido]],Agregado[ID],Agregado[Revenda])</f>
        <v>212</v>
      </c>
      <c r="I4190" s="3">
        <f>Vendas[[#This Row],[Valor Unitário]]*Vendas[[#This Row],[Qnt Vendida]]</f>
        <v>2332</v>
      </c>
      <c r="J4190" s="3">
        <f>Vendas[[#This Row],[Valor da Venda]]-(_xlfn.XLOOKUP(Vendas[[#This Row],[ID Item Vendido]],Agregado[ID],Agregado[Custo])*Vendas[[#This Row],[Qnt Vendida]])</f>
        <v>352</v>
      </c>
      <c r="K4190" s="70">
        <f>Vendas[[#This Row],[Lucro da Venda]]/Vendas[[#This Row],[Valor da Venda]]</f>
        <v>0.15094339622641509</v>
      </c>
      <c r="L419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4190"/>
    </row>
    <row r="4191" spans="1:13" x14ac:dyDescent="0.3">
      <c r="A4191" s="7">
        <v>400254</v>
      </c>
      <c r="B4191" t="str">
        <f>_xlfn.XLOOKUP(Vendas[[#This Row],[ID Vendedor]],Vendedores[ID],Vendedores[Nome])</f>
        <v>Beatriz</v>
      </c>
      <c r="C4191" s="7" t="str">
        <f>_xlfn.XLOOKUP(Vendas[[#This Row],[ID Vendedor]],Vendedores[ID],Vendedores[Setor])</f>
        <v>SC</v>
      </c>
      <c r="D4191" s="7" t="s">
        <v>14</v>
      </c>
      <c r="E4191" t="str">
        <f>_xlfn.XLOOKUP(Vendas[[#This Row],[ID Item Vendido]],Agregado[ID],Agregado[Produto])</f>
        <v>Barril de plástico 200L</v>
      </c>
      <c r="F4191" s="39">
        <v>45651</v>
      </c>
      <c r="G4191" s="7">
        <v>20</v>
      </c>
      <c r="H4191" s="3">
        <f>_xlfn.XLOOKUP(Vendas[[#This Row],[ID Item Vendido]],Agregado[ID],Agregado[Revenda])</f>
        <v>114</v>
      </c>
      <c r="I4191" s="3">
        <f>Vendas[[#This Row],[Valor Unitário]]*Vendas[[#This Row],[Qnt Vendida]]</f>
        <v>2280</v>
      </c>
      <c r="J4191" s="3">
        <f>Vendas[[#This Row],[Valor da Venda]]-(_xlfn.XLOOKUP(Vendas[[#This Row],[ID Item Vendido]],Agregado[ID],Agregado[Custo])*Vendas[[#This Row],[Qnt Vendida]])</f>
        <v>380</v>
      </c>
      <c r="K4191" s="70">
        <f>Vendas[[#This Row],[Lucro da Venda]]/Vendas[[#This Row],[Valor da Venda]]</f>
        <v>0.16666666666666666</v>
      </c>
      <c r="L4191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4191"/>
    </row>
    <row r="4192" spans="1:13" x14ac:dyDescent="0.3">
      <c r="A4192" s="7">
        <v>400251</v>
      </c>
      <c r="B4192" t="str">
        <f>_xlfn.XLOOKUP(Vendas[[#This Row],[ID Vendedor]],Vendedores[ID],Vendedores[Nome])</f>
        <v>Diego</v>
      </c>
      <c r="C4192" s="7" t="str">
        <f>_xlfn.XLOOKUP(Vendas[[#This Row],[ID Vendedor]],Vendedores[ID],Vendedores[Setor])</f>
        <v>AB</v>
      </c>
      <c r="D4192" s="7" t="s">
        <v>24</v>
      </c>
      <c r="E4192" t="str">
        <f>_xlfn.XLOOKUP(Vendas[[#This Row],[ID Item Vendido]],Agregado[ID],Agregado[Produto])</f>
        <v>Resina plástica PET purificada saco de 25kg</v>
      </c>
      <c r="F4192" s="39">
        <v>45651</v>
      </c>
      <c r="G4192" s="7">
        <v>18</v>
      </c>
      <c r="H4192" s="3">
        <f>_xlfn.XLOOKUP(Vendas[[#This Row],[ID Item Vendido]],Agregado[ID],Agregado[Revenda])</f>
        <v>119</v>
      </c>
      <c r="I4192" s="3">
        <f>Vendas[[#This Row],[Valor Unitário]]*Vendas[[#This Row],[Qnt Vendida]]</f>
        <v>2142</v>
      </c>
      <c r="J4192" s="3">
        <f>Vendas[[#This Row],[Valor da Venda]]-(_xlfn.XLOOKUP(Vendas[[#This Row],[ID Item Vendido]],Agregado[ID],Agregado[Custo])*Vendas[[#This Row],[Qnt Vendida]])</f>
        <v>612</v>
      </c>
      <c r="K4192" s="70">
        <f>Vendas[[#This Row],[Lucro da Venda]]/Vendas[[#This Row],[Valor da Venda]]</f>
        <v>0.2857142857142857</v>
      </c>
      <c r="L4192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4192"/>
    </row>
    <row r="4193" spans="1:13" x14ac:dyDescent="0.3">
      <c r="A4193" s="7">
        <v>400248</v>
      </c>
      <c r="B4193" t="str">
        <f>_xlfn.XLOOKUP(Vendas[[#This Row],[ID Vendedor]],Vendedores[ID],Vendedores[Nome])</f>
        <v>Patrícia</v>
      </c>
      <c r="C4193" s="7" t="str">
        <f>_xlfn.XLOOKUP(Vendas[[#This Row],[ID Vendedor]],Vendedores[ID],Vendedores[Setor])</f>
        <v>CM</v>
      </c>
      <c r="D4193" s="7" t="s">
        <v>22</v>
      </c>
      <c r="E4193" t="str">
        <f>_xlfn.XLOOKUP(Vendas[[#This Row],[ID Item Vendido]],Agregado[ID],Agregado[Produto])</f>
        <v>Painel MDP 2,75x1,83m</v>
      </c>
      <c r="F4193" s="39">
        <v>45651</v>
      </c>
      <c r="G4193" s="7">
        <v>11</v>
      </c>
      <c r="H4193" s="3">
        <f>_xlfn.XLOOKUP(Vendas[[#This Row],[ID Item Vendido]],Agregado[ID],Agregado[Revenda])</f>
        <v>119</v>
      </c>
      <c r="I4193" s="3">
        <f>Vendas[[#This Row],[Valor Unitário]]*Vendas[[#This Row],[Qnt Vendida]]</f>
        <v>1309</v>
      </c>
      <c r="J4193" s="3">
        <f>Vendas[[#This Row],[Valor da Venda]]-(_xlfn.XLOOKUP(Vendas[[#This Row],[ID Item Vendido]],Agregado[ID],Agregado[Custo])*Vendas[[#This Row],[Qnt Vendida]])</f>
        <v>264</v>
      </c>
      <c r="K4193" s="70">
        <f>Vendas[[#This Row],[Lucro da Venda]]/Vendas[[#This Row],[Valor da Venda]]</f>
        <v>0.20168067226890757</v>
      </c>
      <c r="L4193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193"/>
    </row>
    <row r="4194" spans="1:13" x14ac:dyDescent="0.3">
      <c r="A4194" s="7">
        <v>400247</v>
      </c>
      <c r="B4194" t="str">
        <f>_xlfn.XLOOKUP(Vendas[[#This Row],[ID Vendedor]],Vendedores[ID],Vendedores[Nome])</f>
        <v>André</v>
      </c>
      <c r="C4194" s="7" t="str">
        <f>_xlfn.XLOOKUP(Vendas[[#This Row],[ID Vendedor]],Vendedores[ID],Vendedores[Setor])</f>
        <v>CM</v>
      </c>
      <c r="D4194" s="7" t="s">
        <v>22</v>
      </c>
      <c r="E4194" t="str">
        <f>_xlfn.XLOOKUP(Vendas[[#This Row],[ID Item Vendido]],Agregado[ID],Agregado[Produto])</f>
        <v>Painel MDP 2,75x1,83m</v>
      </c>
      <c r="F4194" s="39">
        <v>45651</v>
      </c>
      <c r="G4194" s="7">
        <v>9</v>
      </c>
      <c r="H4194" s="3">
        <f>_xlfn.XLOOKUP(Vendas[[#This Row],[ID Item Vendido]],Agregado[ID],Agregado[Revenda])</f>
        <v>119</v>
      </c>
      <c r="I4194" s="3">
        <f>Vendas[[#This Row],[Valor Unitário]]*Vendas[[#This Row],[Qnt Vendida]]</f>
        <v>1071</v>
      </c>
      <c r="J4194" s="3">
        <f>Vendas[[#This Row],[Valor da Venda]]-(_xlfn.XLOOKUP(Vendas[[#This Row],[ID Item Vendido]],Agregado[ID],Agregado[Custo])*Vendas[[#This Row],[Qnt Vendida]])</f>
        <v>216</v>
      </c>
      <c r="K4194" s="70">
        <f>Vendas[[#This Row],[Lucro da Venda]]/Vendas[[#This Row],[Valor da Venda]]</f>
        <v>0.20168067226890757</v>
      </c>
      <c r="L4194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4194"/>
    </row>
    <row r="4195" spans="1:13" x14ac:dyDescent="0.3">
      <c r="A4195" s="7">
        <v>400253</v>
      </c>
      <c r="B4195" t="str">
        <f>_xlfn.XLOOKUP(Vendas[[#This Row],[ID Vendedor]],Vendedores[ID],Vendedores[Nome])</f>
        <v>Gustavo</v>
      </c>
      <c r="C4195" s="7" t="str">
        <f>_xlfn.XLOOKUP(Vendas[[#This Row],[ID Vendedor]],Vendedores[ID],Vendedores[Setor])</f>
        <v>SC</v>
      </c>
      <c r="D4195" s="7" t="s">
        <v>14</v>
      </c>
      <c r="E4195" t="str">
        <f>_xlfn.XLOOKUP(Vendas[[#This Row],[ID Item Vendido]],Agregado[ID],Agregado[Produto])</f>
        <v>Barril de plástico 200L</v>
      </c>
      <c r="F4195" s="39">
        <v>45652</v>
      </c>
      <c r="G4195" s="7">
        <v>11</v>
      </c>
      <c r="H4195" s="3">
        <f>_xlfn.XLOOKUP(Vendas[[#This Row],[ID Item Vendido]],Agregado[ID],Agregado[Revenda])</f>
        <v>114</v>
      </c>
      <c r="I4195" s="3">
        <f>Vendas[[#This Row],[Valor Unitário]]*Vendas[[#This Row],[Qnt Vendida]]</f>
        <v>1254</v>
      </c>
      <c r="J4195" s="3">
        <f>Vendas[[#This Row],[Valor da Venda]]-(_xlfn.XLOOKUP(Vendas[[#This Row],[ID Item Vendido]],Agregado[ID],Agregado[Custo])*Vendas[[#This Row],[Qnt Vendida]])</f>
        <v>209</v>
      </c>
      <c r="K4195" s="70">
        <f>Vendas[[#This Row],[Lucro da Venda]]/Vendas[[#This Row],[Valor da Venda]]</f>
        <v>0.16666666666666666</v>
      </c>
      <c r="L419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4195"/>
    </row>
    <row r="4196" spans="1:13" x14ac:dyDescent="0.3">
      <c r="A4196" s="7">
        <v>400245</v>
      </c>
      <c r="B4196" t="str">
        <f>_xlfn.XLOOKUP(Vendas[[#This Row],[ID Vendedor]],Vendedores[ID],Vendedores[Nome])</f>
        <v>Thiago</v>
      </c>
      <c r="C4196" s="7" t="str">
        <f>_xlfn.XLOOKUP(Vendas[[#This Row],[ID Vendedor]],Vendedores[ID],Vendedores[Setor])</f>
        <v>AHD</v>
      </c>
      <c r="D4196" s="7" t="s">
        <v>18</v>
      </c>
      <c r="E4196" t="str">
        <f>_xlfn.XLOOKUP(Vendas[[#This Row],[ID Item Vendido]],Agregado[ID],Agregado[Produto])</f>
        <v>Peça forjada sob encomenda</v>
      </c>
      <c r="F4196" s="39">
        <v>45652</v>
      </c>
      <c r="G4196" s="7">
        <v>3</v>
      </c>
      <c r="H4196" s="3">
        <f>_xlfn.XLOOKUP(Vendas[[#This Row],[ID Item Vendido]],Agregado[ID],Agregado[Revenda])</f>
        <v>264.60000000000002</v>
      </c>
      <c r="I4196" s="3">
        <f>Vendas[[#This Row],[Valor Unitário]]*Vendas[[#This Row],[Qnt Vendida]]</f>
        <v>793.80000000000007</v>
      </c>
      <c r="J4196" s="3">
        <f>Vendas[[#This Row],[Valor da Venda]]-(_xlfn.XLOOKUP(Vendas[[#This Row],[ID Item Vendido]],Agregado[ID],Agregado[Custo])*Vendas[[#This Row],[Qnt Vendida]])</f>
        <v>43.800000000000068</v>
      </c>
      <c r="K4196" s="70">
        <f>Vendas[[#This Row],[Lucro da Venda]]/Vendas[[#This Row],[Valor da Venda]]</f>
        <v>5.5177626606198113E-2</v>
      </c>
      <c r="L419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196"/>
    </row>
    <row r="4197" spans="1:13" x14ac:dyDescent="0.3">
      <c r="A4197" s="7">
        <v>400243</v>
      </c>
      <c r="B4197" t="str">
        <f>_xlfn.XLOOKUP(Vendas[[#This Row],[ID Vendedor]],Vendedores[ID],Vendedores[Nome])</f>
        <v>Marcelo</v>
      </c>
      <c r="C4197" s="7" t="str">
        <f>_xlfn.XLOOKUP(Vendas[[#This Row],[ID Vendedor]],Vendedores[ID],Vendedores[Setor])</f>
        <v>FM</v>
      </c>
      <c r="D4197" s="7" t="s">
        <v>20</v>
      </c>
      <c r="E4197" t="str">
        <f>_xlfn.XLOOKUP(Vendas[[#This Row],[ID Item Vendido]],Agregado[ID],Agregado[Produto])</f>
        <v>Barra de aço simples</v>
      </c>
      <c r="F4197" s="39">
        <v>45652</v>
      </c>
      <c r="G4197" s="7">
        <v>156</v>
      </c>
      <c r="H4197" s="3">
        <f>_xlfn.XLOOKUP(Vendas[[#This Row],[ID Item Vendido]],Agregado[ID],Agregado[Revenda])</f>
        <v>4.8</v>
      </c>
      <c r="I4197" s="3">
        <f>Vendas[[#This Row],[Valor Unitário]]*Vendas[[#This Row],[Qnt Vendida]]</f>
        <v>748.8</v>
      </c>
      <c r="J4197" s="3">
        <f>Vendas[[#This Row],[Valor da Venda]]-(_xlfn.XLOOKUP(Vendas[[#This Row],[ID Item Vendido]],Agregado[ID],Agregado[Custo])*Vendas[[#This Row],[Qnt Vendida]])</f>
        <v>93.599999999999909</v>
      </c>
      <c r="K4197" s="70">
        <f>Vendas[[#This Row],[Lucro da Venda]]/Vendas[[#This Row],[Valor da Venda]]</f>
        <v>0.12499999999999989</v>
      </c>
      <c r="L4197" s="3">
        <f>_xlfn.IFS(Vendas[[#This Row],[Margem de Lucro (%)]]&lt;15%,Vendas[[#This Row],[Valor da Venda]]*3%,Vendas[[#This Row],[Margem de Lucro (%)]]&lt;=20%,Vendas[[#This Row],[Valor da Venda]]*4.5%,TRUE,Vendas[[#This Row],[Valor da Venda]]*6%)</f>
        <v>22.463999999999999</v>
      </c>
      <c r="M4197"/>
    </row>
    <row r="4198" spans="1:13" x14ac:dyDescent="0.3">
      <c r="A4198" s="7">
        <v>400243</v>
      </c>
      <c r="B4198" t="str">
        <f>_xlfn.XLOOKUP(Vendas[[#This Row],[ID Vendedor]],Vendedores[ID],Vendedores[Nome])</f>
        <v>Marcelo</v>
      </c>
      <c r="C4198" s="7" t="str">
        <f>_xlfn.XLOOKUP(Vendas[[#This Row],[ID Vendedor]],Vendedores[ID],Vendedores[Setor])</f>
        <v>FM</v>
      </c>
      <c r="D4198" s="7" t="s">
        <v>31</v>
      </c>
      <c r="E4198" t="str">
        <f>_xlfn.XLOOKUP(Vendas[[#This Row],[ID Item Vendido]],Agregado[ID],Agregado[Produto])</f>
        <v>Tela de metal soldada rolo 2x25m</v>
      </c>
      <c r="F4198" s="39">
        <v>45652</v>
      </c>
      <c r="G4198" s="7">
        <v>7</v>
      </c>
      <c r="H4198" s="3">
        <f>_xlfn.XLOOKUP(Vendas[[#This Row],[ID Item Vendido]],Agregado[ID],Agregado[Revenda])</f>
        <v>43.7</v>
      </c>
      <c r="I4198" s="3">
        <f>Vendas[[#This Row],[Valor Unitário]]*Vendas[[#This Row],[Qnt Vendida]]</f>
        <v>305.90000000000003</v>
      </c>
      <c r="J4198" s="3">
        <f>Vendas[[#This Row],[Valor da Venda]]-(_xlfn.XLOOKUP(Vendas[[#This Row],[ID Item Vendido]],Agregado[ID],Agregado[Custo])*Vendas[[#This Row],[Qnt Vendida]])</f>
        <v>39.900000000000034</v>
      </c>
      <c r="K4198" s="70">
        <f>Vendas[[#This Row],[Lucro da Venda]]/Vendas[[#This Row],[Valor da Venda]]</f>
        <v>0.13043478260869576</v>
      </c>
      <c r="L4198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4198"/>
    </row>
    <row r="4199" spans="1:13" x14ac:dyDescent="0.3">
      <c r="A4199" s="7">
        <v>400249</v>
      </c>
      <c r="B4199" t="str">
        <f>_xlfn.XLOOKUP(Vendas[[#This Row],[ID Vendedor]],Vendedores[ID],Vendedores[Nome])</f>
        <v>Bruno</v>
      </c>
      <c r="C4199" s="7" t="str">
        <f>_xlfn.XLOOKUP(Vendas[[#This Row],[ID Vendedor]],Vendedores[ID],Vendedores[Setor])</f>
        <v>CM</v>
      </c>
      <c r="D4199" s="7" t="s">
        <v>22</v>
      </c>
      <c r="E4199" t="str">
        <f>_xlfn.XLOOKUP(Vendas[[#This Row],[ID Item Vendido]],Agregado[ID],Agregado[Produto])</f>
        <v>Painel MDP 2,75x1,83m</v>
      </c>
      <c r="F4199" s="39">
        <v>45653</v>
      </c>
      <c r="G4199" s="7">
        <v>19</v>
      </c>
      <c r="H4199" s="3">
        <f>_xlfn.XLOOKUP(Vendas[[#This Row],[ID Item Vendido]],Agregado[ID],Agregado[Revenda])</f>
        <v>119</v>
      </c>
      <c r="I4199" s="3">
        <f>Vendas[[#This Row],[Valor Unitário]]*Vendas[[#This Row],[Qnt Vendida]]</f>
        <v>2261</v>
      </c>
      <c r="J4199" s="3">
        <f>Vendas[[#This Row],[Valor da Venda]]-(_xlfn.XLOOKUP(Vendas[[#This Row],[ID Item Vendido]],Agregado[ID],Agregado[Custo])*Vendas[[#This Row],[Qnt Vendida]])</f>
        <v>456</v>
      </c>
      <c r="K4199" s="70">
        <f>Vendas[[#This Row],[Lucro da Venda]]/Vendas[[#This Row],[Valor da Venda]]</f>
        <v>0.20168067226890757</v>
      </c>
      <c r="L4199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199"/>
    </row>
    <row r="4200" spans="1:13" x14ac:dyDescent="0.3">
      <c r="A4200" s="7">
        <v>400241</v>
      </c>
      <c r="B4200" t="str">
        <f>_xlfn.XLOOKUP(Vendas[[#This Row],[ID Vendedor]],Vendedores[ID],Vendedores[Nome])</f>
        <v>Rodrigo</v>
      </c>
      <c r="C4200" s="7" t="str">
        <f>_xlfn.XLOOKUP(Vendas[[#This Row],[ID Vendedor]],Vendedores[ID],Vendedores[Setor])</f>
        <v>FM</v>
      </c>
      <c r="D4200" s="7" t="s">
        <v>6</v>
      </c>
      <c r="E4200" t="str">
        <f>_xlfn.XLOOKUP(Vendas[[#This Row],[ID Item Vendido]],Agregado[ID],Agregado[Produto])</f>
        <v>Parafuso comum 500un</v>
      </c>
      <c r="F4200" s="39">
        <v>45653</v>
      </c>
      <c r="G4200" s="7">
        <v>22</v>
      </c>
      <c r="H4200" s="3">
        <f>_xlfn.XLOOKUP(Vendas[[#This Row],[ID Item Vendido]],Agregado[ID],Agregado[Revenda])</f>
        <v>24.6</v>
      </c>
      <c r="I4200" s="3">
        <f>Vendas[[#This Row],[Valor Unitário]]*Vendas[[#This Row],[Qnt Vendida]]</f>
        <v>541.20000000000005</v>
      </c>
      <c r="J4200" s="3">
        <f>Vendas[[#This Row],[Valor da Venda]]-(_xlfn.XLOOKUP(Vendas[[#This Row],[ID Item Vendido]],Agregado[ID],Agregado[Custo])*Vendas[[#This Row],[Qnt Vendida]])</f>
        <v>57.200000000000045</v>
      </c>
      <c r="K4200" s="70">
        <f>Vendas[[#This Row],[Lucro da Venda]]/Vendas[[#This Row],[Valor da Venda]]</f>
        <v>0.10569105691056918</v>
      </c>
      <c r="L4200" s="3">
        <f>_xlfn.IFS(Vendas[[#This Row],[Margem de Lucro (%)]]&lt;15%,Vendas[[#This Row],[Valor da Venda]]*3%,Vendas[[#This Row],[Margem de Lucro (%)]]&lt;=20%,Vendas[[#This Row],[Valor da Venda]]*4.5%,TRUE,Vendas[[#This Row],[Valor da Venda]]*6%)</f>
        <v>16.236000000000001</v>
      </c>
      <c r="M4200"/>
    </row>
    <row r="4201" spans="1:13" x14ac:dyDescent="0.3">
      <c r="A4201" s="7">
        <v>400250</v>
      </c>
      <c r="B4201" t="str">
        <f>_xlfn.XLOOKUP(Vendas[[#This Row],[ID Vendedor]],Vendedores[ID],Vendedores[Nome])</f>
        <v>Larissa</v>
      </c>
      <c r="C4201" s="7" t="str">
        <f>_xlfn.XLOOKUP(Vendas[[#This Row],[ID Vendedor]],Vendedores[ID],Vendedores[Setor])</f>
        <v>AB</v>
      </c>
      <c r="D4201" s="7" t="s">
        <v>12</v>
      </c>
      <c r="E4201" t="str">
        <f>_xlfn.XLOOKUP(Vendas[[#This Row],[ID Item Vendido]],Agregado[ID],Agregado[Produto])</f>
        <v>Grânulo de plástico reciclado refinado</v>
      </c>
      <c r="F4201" s="39">
        <v>45654</v>
      </c>
      <c r="G4201" s="7">
        <v>25</v>
      </c>
      <c r="H4201" s="3">
        <f>_xlfn.XLOOKUP(Vendas[[#This Row],[ID Item Vendido]],Agregado[ID],Agregado[Revenda])</f>
        <v>4.7</v>
      </c>
      <c r="I4201" s="3">
        <f>Vendas[[#This Row],[Valor Unitário]]*Vendas[[#This Row],[Qnt Vendida]]</f>
        <v>117.5</v>
      </c>
      <c r="J4201" s="3">
        <f>Vendas[[#This Row],[Valor da Venda]]-(_xlfn.XLOOKUP(Vendas[[#This Row],[ID Item Vendido]],Agregado[ID],Agregado[Custo])*Vendas[[#This Row],[Qnt Vendida]])</f>
        <v>30</v>
      </c>
      <c r="K4201" s="70">
        <f>Vendas[[#This Row],[Lucro da Venda]]/Vendas[[#This Row],[Valor da Venda]]</f>
        <v>0.25531914893617019</v>
      </c>
      <c r="L4201" s="3">
        <f>_xlfn.IFS(Vendas[[#This Row],[Margem de Lucro (%)]]&lt;15%,Vendas[[#This Row],[Valor da Venda]]*3%,Vendas[[#This Row],[Margem de Lucro (%)]]&lt;=20%,Vendas[[#This Row],[Valor da Venda]]*4.5%,TRUE,Vendas[[#This Row],[Valor da Venda]]*6%)</f>
        <v>7.05</v>
      </c>
      <c r="M4201"/>
    </row>
    <row r="4202" spans="1:13" x14ac:dyDescent="0.3">
      <c r="A4202" s="7">
        <v>400249</v>
      </c>
      <c r="B4202" t="str">
        <f>_xlfn.XLOOKUP(Vendas[[#This Row],[ID Vendedor]],Vendedores[ID],Vendedores[Nome])</f>
        <v>Bruno</v>
      </c>
      <c r="C4202" s="7" t="str">
        <f>_xlfn.XLOOKUP(Vendas[[#This Row],[ID Vendedor]],Vendedores[ID],Vendedores[Setor])</f>
        <v>CM</v>
      </c>
      <c r="D4202" s="7" t="s">
        <v>43</v>
      </c>
      <c r="E4202" t="str">
        <f>_xlfn.XLOOKUP(Vendas[[#This Row],[ID Item Vendido]],Agregado[ID],Agregado[Produto])</f>
        <v>Madeira Bruta (Tora)</v>
      </c>
      <c r="F4202" s="39">
        <v>45655</v>
      </c>
      <c r="G4202" s="7">
        <v>7</v>
      </c>
      <c r="H4202" s="3">
        <f>_xlfn.XLOOKUP(Vendas[[#This Row],[ID Item Vendido]],Agregado[ID],Agregado[Revenda])</f>
        <v>212</v>
      </c>
      <c r="I4202" s="3">
        <f>Vendas[[#This Row],[Valor Unitário]]*Vendas[[#This Row],[Qnt Vendida]]</f>
        <v>1484</v>
      </c>
      <c r="J4202" s="3">
        <f>Vendas[[#This Row],[Valor da Venda]]-(_xlfn.XLOOKUP(Vendas[[#This Row],[ID Item Vendido]],Agregado[ID],Agregado[Custo])*Vendas[[#This Row],[Qnt Vendida]])</f>
        <v>224</v>
      </c>
      <c r="K4202" s="70">
        <f>Vendas[[#This Row],[Lucro da Venda]]/Vendas[[#This Row],[Valor da Venda]]</f>
        <v>0.15094339622641509</v>
      </c>
      <c r="L4202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202"/>
    </row>
    <row r="4203" spans="1:13" x14ac:dyDescent="0.3">
      <c r="A4203" s="7">
        <v>400242</v>
      </c>
      <c r="B4203" t="str">
        <f>_xlfn.XLOOKUP(Vendas[[#This Row],[ID Vendedor]],Vendedores[ID],Vendedores[Nome])</f>
        <v>Fernanda</v>
      </c>
      <c r="C4203" s="7" t="str">
        <f>_xlfn.XLOOKUP(Vendas[[#This Row],[ID Vendedor]],Vendedores[ID],Vendedores[Setor])</f>
        <v>FM</v>
      </c>
      <c r="D4203" s="7" t="s">
        <v>20</v>
      </c>
      <c r="E4203" t="str">
        <f>_xlfn.XLOOKUP(Vendas[[#This Row],[ID Item Vendido]],Agregado[ID],Agregado[Produto])</f>
        <v>Barra de aço simples</v>
      </c>
      <c r="F4203" s="39">
        <v>45655</v>
      </c>
      <c r="G4203" s="7">
        <v>58</v>
      </c>
      <c r="H4203" s="3">
        <f>_xlfn.XLOOKUP(Vendas[[#This Row],[ID Item Vendido]],Agregado[ID],Agregado[Revenda])</f>
        <v>4.8</v>
      </c>
      <c r="I4203" s="3">
        <f>Vendas[[#This Row],[Valor Unitário]]*Vendas[[#This Row],[Qnt Vendida]]</f>
        <v>278.39999999999998</v>
      </c>
      <c r="J4203" s="3">
        <f>Vendas[[#This Row],[Valor da Venda]]-(_xlfn.XLOOKUP(Vendas[[#This Row],[ID Item Vendido]],Agregado[ID],Agregado[Custo])*Vendas[[#This Row],[Qnt Vendida]])</f>
        <v>34.799999999999955</v>
      </c>
      <c r="K4203" s="70">
        <f>Vendas[[#This Row],[Lucro da Venda]]/Vendas[[#This Row],[Valor da Venda]]</f>
        <v>0.12499999999999985</v>
      </c>
      <c r="L4203" s="3">
        <f>_xlfn.IFS(Vendas[[#This Row],[Margem de Lucro (%)]]&lt;15%,Vendas[[#This Row],[Valor da Venda]]*3%,Vendas[[#This Row],[Margem de Lucro (%)]]&lt;=20%,Vendas[[#This Row],[Valor da Venda]]*4.5%,TRUE,Vendas[[#This Row],[Valor da Venda]]*6%)</f>
        <v>8.3519999999999985</v>
      </c>
      <c r="M4203"/>
    </row>
    <row r="4204" spans="1:13" x14ac:dyDescent="0.3">
      <c r="A4204" s="7">
        <v>400247</v>
      </c>
      <c r="B4204" t="str">
        <f>_xlfn.XLOOKUP(Vendas[[#This Row],[ID Vendedor]],Vendedores[ID],Vendedores[Nome])</f>
        <v>André</v>
      </c>
      <c r="C4204" s="7" t="str">
        <f>_xlfn.XLOOKUP(Vendas[[#This Row],[ID Vendedor]],Vendedores[ID],Vendedores[Setor])</f>
        <v>CM</v>
      </c>
      <c r="D4204" s="7" t="s">
        <v>34</v>
      </c>
      <c r="E4204" t="str">
        <f>_xlfn.XLOOKUP(Vendas[[#This Row],[ID Item Vendido]],Agregado[ID],Agregado[Produto])</f>
        <v>Restos de madeira p/ MDP/OSB saco de 20kg</v>
      </c>
      <c r="F4204" s="39">
        <v>45655</v>
      </c>
      <c r="G4204" s="7">
        <v>17</v>
      </c>
      <c r="H4204" s="3">
        <f>_xlfn.XLOOKUP(Vendas[[#This Row],[ID Item Vendido]],Agregado[ID],Agregado[Revenda])</f>
        <v>13.8</v>
      </c>
      <c r="I4204" s="3">
        <f>Vendas[[#This Row],[Valor Unitário]]*Vendas[[#This Row],[Qnt Vendida]]</f>
        <v>234.60000000000002</v>
      </c>
      <c r="J4204" s="3">
        <f>Vendas[[#This Row],[Valor da Venda]]-(_xlfn.XLOOKUP(Vendas[[#This Row],[ID Item Vendido]],Agregado[ID],Agregado[Custo])*Vendas[[#This Row],[Qnt Vendida]])</f>
        <v>30.600000000000023</v>
      </c>
      <c r="K4204" s="70">
        <f>Vendas[[#This Row],[Lucro da Venda]]/Vendas[[#This Row],[Valor da Venda]]</f>
        <v>0.13043478260869573</v>
      </c>
      <c r="L4204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4204"/>
    </row>
    <row r="4205" spans="1:13" x14ac:dyDescent="0.3">
      <c r="A4205" s="7">
        <v>400254</v>
      </c>
      <c r="B4205" t="str">
        <f>_xlfn.XLOOKUP(Vendas[[#This Row],[ID Vendedor]],Vendedores[ID],Vendedores[Nome])</f>
        <v>Beatriz</v>
      </c>
      <c r="C4205" s="7" t="str">
        <f>_xlfn.XLOOKUP(Vendas[[#This Row],[ID Vendedor]],Vendedores[ID],Vendedores[Setor])</f>
        <v>SC</v>
      </c>
      <c r="D4205" s="7" t="s">
        <v>42</v>
      </c>
      <c r="E4205" t="str">
        <f>_xlfn.XLOOKUP(Vendas[[#This Row],[ID Item Vendido]],Agregado[ID],Agregado[Produto])</f>
        <v>Container de ferro industrial</v>
      </c>
      <c r="F4205" s="39">
        <v>45656</v>
      </c>
      <c r="G4205" s="7">
        <v>5</v>
      </c>
      <c r="H4205" s="3">
        <f>_xlfn.XLOOKUP(Vendas[[#This Row],[ID Item Vendido]],Agregado[ID],Agregado[Revenda])</f>
        <v>830</v>
      </c>
      <c r="I4205" s="3">
        <f>Vendas[[#This Row],[Valor Unitário]]*Vendas[[#This Row],[Qnt Vendida]]</f>
        <v>4150</v>
      </c>
      <c r="J4205" s="3">
        <f>Vendas[[#This Row],[Valor da Venda]]-(_xlfn.XLOOKUP(Vendas[[#This Row],[ID Item Vendido]],Agregado[ID],Agregado[Custo])*Vendas[[#This Row],[Qnt Vendida]])</f>
        <v>750</v>
      </c>
      <c r="K4205" s="70">
        <f>Vendas[[#This Row],[Lucro da Venda]]/Vendas[[#This Row],[Valor da Venda]]</f>
        <v>0.18072289156626506</v>
      </c>
      <c r="L420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205"/>
    </row>
    <row r="4206" spans="1:13" x14ac:dyDescent="0.3">
      <c r="A4206" s="7">
        <v>400252</v>
      </c>
      <c r="B4206" t="str">
        <f>_xlfn.XLOOKUP(Vendas[[#This Row],[ID Vendedor]],Vendedores[ID],Vendedores[Nome])</f>
        <v>Renata</v>
      </c>
      <c r="C4206" s="7" t="str">
        <f>_xlfn.XLOOKUP(Vendas[[#This Row],[ID Vendedor]],Vendedores[ID],Vendedores[Setor])</f>
        <v>AB</v>
      </c>
      <c r="D4206" s="7" t="s">
        <v>37</v>
      </c>
      <c r="E4206" t="str">
        <f>_xlfn.XLOOKUP(Vendas[[#This Row],[ID Item Vendido]],Agregado[ID],Agregado[Produto])</f>
        <v>Composto de borracha para vedação rolo 10m</v>
      </c>
      <c r="F4206" s="39">
        <v>45656</v>
      </c>
      <c r="G4206" s="7">
        <v>23</v>
      </c>
      <c r="H4206" s="3">
        <f>_xlfn.XLOOKUP(Vendas[[#This Row],[ID Item Vendido]],Agregado[ID],Agregado[Revenda])</f>
        <v>51.2</v>
      </c>
      <c r="I4206" s="3">
        <f>Vendas[[#This Row],[Valor Unitário]]*Vendas[[#This Row],[Qnt Vendida]]</f>
        <v>1177.6000000000001</v>
      </c>
      <c r="J4206" s="3">
        <f>Vendas[[#This Row],[Valor da Venda]]-(_xlfn.XLOOKUP(Vendas[[#This Row],[ID Item Vendido]],Agregado[ID],Agregado[Custo])*Vendas[[#This Row],[Qnt Vendida]])</f>
        <v>257.60000000000014</v>
      </c>
      <c r="K4206" s="70">
        <f>Vendas[[#This Row],[Lucro da Venda]]/Vendas[[#This Row],[Valor da Venda]]</f>
        <v>0.21875000000000008</v>
      </c>
      <c r="L4206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4206"/>
    </row>
    <row r="4207" spans="1:13" x14ac:dyDescent="0.3">
      <c r="A4207" s="7">
        <v>400252</v>
      </c>
      <c r="B4207" t="str">
        <f>_xlfn.XLOOKUP(Vendas[[#This Row],[ID Vendedor]],Vendedores[ID],Vendedores[Nome])</f>
        <v>Renata</v>
      </c>
      <c r="C4207" s="7" t="str">
        <f>_xlfn.XLOOKUP(Vendas[[#This Row],[ID Vendedor]],Vendedores[ID],Vendedores[Setor])</f>
        <v>AB</v>
      </c>
      <c r="D4207" s="7" t="s">
        <v>39</v>
      </c>
      <c r="E4207" t="str">
        <f>_xlfn.XLOOKUP(Vendas[[#This Row],[ID Item Vendido]],Agregado[ID],Agregado[Produto])</f>
        <v>Filme plástico industrial rolo 50m</v>
      </c>
      <c r="F4207" s="39">
        <v>45656</v>
      </c>
      <c r="G4207" s="7">
        <v>4</v>
      </c>
      <c r="H4207" s="3">
        <f>_xlfn.XLOOKUP(Vendas[[#This Row],[ID Item Vendido]],Agregado[ID],Agregado[Revenda])</f>
        <v>37</v>
      </c>
      <c r="I4207" s="3">
        <f>Vendas[[#This Row],[Valor Unitário]]*Vendas[[#This Row],[Qnt Vendida]]</f>
        <v>148</v>
      </c>
      <c r="J4207" s="3">
        <f>Vendas[[#This Row],[Valor da Venda]]-(_xlfn.XLOOKUP(Vendas[[#This Row],[ID Item Vendido]],Agregado[ID],Agregado[Custo])*Vendas[[#This Row],[Qnt Vendida]])</f>
        <v>36</v>
      </c>
      <c r="K4207" s="70">
        <f>Vendas[[#This Row],[Lucro da Venda]]/Vendas[[#This Row],[Valor da Venda]]</f>
        <v>0.24324324324324326</v>
      </c>
      <c r="L4207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4207"/>
    </row>
    <row r="4208" spans="1:13" x14ac:dyDescent="0.3">
      <c r="A4208" s="7">
        <v>400247</v>
      </c>
      <c r="B4208" t="str">
        <f>_xlfn.XLOOKUP(Vendas[[#This Row],[ID Vendedor]],Vendedores[ID],Vendedores[Nome])</f>
        <v>André</v>
      </c>
      <c r="C4208" s="7" t="str">
        <f>_xlfn.XLOOKUP(Vendas[[#This Row],[ID Vendedor]],Vendedores[ID],Vendedores[Setor])</f>
        <v>CM</v>
      </c>
      <c r="D4208" s="7" t="s">
        <v>45</v>
      </c>
      <c r="E4208" t="str">
        <f>_xlfn.XLOOKUP(Vendas[[#This Row],[ID Item Vendido]],Agregado[ID],Agregado[Produto])</f>
        <v>Viga de madeira tratada 4m</v>
      </c>
      <c r="F4208" s="39">
        <v>45656</v>
      </c>
      <c r="G4208" s="7">
        <v>2</v>
      </c>
      <c r="H4208" s="3">
        <f>_xlfn.XLOOKUP(Vendas[[#This Row],[ID Item Vendido]],Agregado[ID],Agregado[Revenda])</f>
        <v>66</v>
      </c>
      <c r="I4208" s="3">
        <f>Vendas[[#This Row],[Valor Unitário]]*Vendas[[#This Row],[Qnt Vendida]]</f>
        <v>132</v>
      </c>
      <c r="J4208" s="3">
        <f>Vendas[[#This Row],[Valor da Venda]]-(_xlfn.XLOOKUP(Vendas[[#This Row],[ID Item Vendido]],Agregado[ID],Agregado[Custo])*Vendas[[#This Row],[Qnt Vendida]])</f>
        <v>22</v>
      </c>
      <c r="K4208" s="70">
        <f>Vendas[[#This Row],[Lucro da Venda]]/Vendas[[#This Row],[Valor da Venda]]</f>
        <v>0.16666666666666666</v>
      </c>
      <c r="L4208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4208"/>
    </row>
    <row r="4209" spans="1:13" x14ac:dyDescent="0.3">
      <c r="A4209" s="7">
        <v>400252</v>
      </c>
      <c r="B4209" t="str">
        <f>_xlfn.XLOOKUP(Vendas[[#This Row],[ID Vendedor]],Vendedores[ID],Vendedores[Nome])</f>
        <v>Renata</v>
      </c>
      <c r="C4209" s="7" t="str">
        <f>_xlfn.XLOOKUP(Vendas[[#This Row],[ID Vendedor]],Vendedores[ID],Vendedores[Setor])</f>
        <v>AB</v>
      </c>
      <c r="D4209" s="7" t="s">
        <v>12</v>
      </c>
      <c r="E4209" t="str">
        <f>_xlfn.XLOOKUP(Vendas[[#This Row],[ID Item Vendido]],Agregado[ID],Agregado[Produto])</f>
        <v>Grânulo de plástico reciclado refinado</v>
      </c>
      <c r="F4209" s="39">
        <v>45656</v>
      </c>
      <c r="G4209" s="7">
        <v>11</v>
      </c>
      <c r="H4209" s="3">
        <f>_xlfn.XLOOKUP(Vendas[[#This Row],[ID Item Vendido]],Agregado[ID],Agregado[Revenda])</f>
        <v>4.7</v>
      </c>
      <c r="I4209" s="3">
        <f>Vendas[[#This Row],[Valor Unitário]]*Vendas[[#This Row],[Qnt Vendida]]</f>
        <v>51.7</v>
      </c>
      <c r="J4209" s="3">
        <f>Vendas[[#This Row],[Valor da Venda]]-(_xlfn.XLOOKUP(Vendas[[#This Row],[ID Item Vendido]],Agregado[ID],Agregado[Custo])*Vendas[[#This Row],[Qnt Vendida]])</f>
        <v>13.200000000000003</v>
      </c>
      <c r="K4209" s="70">
        <f>Vendas[[#This Row],[Lucro da Venda]]/Vendas[[#This Row],[Valor da Venda]]</f>
        <v>0.25531914893617025</v>
      </c>
      <c r="L4209" s="3">
        <f>_xlfn.IFS(Vendas[[#This Row],[Margem de Lucro (%)]]&lt;15%,Vendas[[#This Row],[Valor da Venda]]*3%,Vendas[[#This Row],[Margem de Lucro (%)]]&lt;=20%,Vendas[[#This Row],[Valor da Venda]]*4.5%,TRUE,Vendas[[#This Row],[Valor da Venda]]*6%)</f>
        <v>3.1019999999999999</v>
      </c>
      <c r="M4209"/>
    </row>
    <row r="4210" spans="1:13" x14ac:dyDescent="0.3">
      <c r="A4210" s="7">
        <v>400249</v>
      </c>
      <c r="B4210" t="str">
        <f>_xlfn.XLOOKUP(Vendas[[#This Row],[ID Vendedor]],Vendedores[ID],Vendedores[Nome])</f>
        <v>Bruno</v>
      </c>
      <c r="C4210" s="7" t="str">
        <f>_xlfn.XLOOKUP(Vendas[[#This Row],[ID Vendedor]],Vendedores[ID],Vendedores[Setor])</f>
        <v>CM</v>
      </c>
      <c r="D4210" s="7" t="s">
        <v>32</v>
      </c>
      <c r="E4210" t="str">
        <f>_xlfn.XLOOKUP(Vendas[[#This Row],[ID Item Vendido]],Agregado[ID],Agregado[Produto])</f>
        <v>Tábua tratada e cortada 3m</v>
      </c>
      <c r="F4210" s="39">
        <v>45657</v>
      </c>
      <c r="G4210" s="7">
        <v>31</v>
      </c>
      <c r="H4210" s="3">
        <f>_xlfn.XLOOKUP(Vendas[[#This Row],[ID Item Vendido]],Agregado[ID],Agregado[Revenda])</f>
        <v>39</v>
      </c>
      <c r="I4210" s="3">
        <f>Vendas[[#This Row],[Valor Unitário]]*Vendas[[#This Row],[Qnt Vendida]]</f>
        <v>1209</v>
      </c>
      <c r="J4210" s="3">
        <f>Vendas[[#This Row],[Valor da Venda]]-(_xlfn.XLOOKUP(Vendas[[#This Row],[ID Item Vendido]],Agregado[ID],Agregado[Custo])*Vendas[[#This Row],[Qnt Vendida]])</f>
        <v>217</v>
      </c>
      <c r="K4210" s="70">
        <f>Vendas[[#This Row],[Lucro da Venda]]/Vendas[[#This Row],[Valor da Venda]]</f>
        <v>0.17948717948717949</v>
      </c>
      <c r="L4210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4210"/>
    </row>
    <row r="4211" spans="1:13" x14ac:dyDescent="0.3">
      <c r="A4211" s="7">
        <v>400243</v>
      </c>
      <c r="B4211" t="str">
        <f>_xlfn.XLOOKUP(Vendas[[#This Row],[ID Vendedor]],Vendedores[ID],Vendedores[Nome])</f>
        <v>Marcelo</v>
      </c>
      <c r="C4211" s="7" t="str">
        <f>_xlfn.XLOOKUP(Vendas[[#This Row],[ID Vendedor]],Vendedores[ID],Vendedores[Setor])</f>
        <v>FM</v>
      </c>
      <c r="D4211" s="7" t="s">
        <v>20</v>
      </c>
      <c r="E4211" t="str">
        <f>_xlfn.XLOOKUP(Vendas[[#This Row],[ID Item Vendido]],Agregado[ID],Agregado[Produto])</f>
        <v>Barra de aço simples</v>
      </c>
      <c r="F4211" s="39">
        <v>45657</v>
      </c>
      <c r="G4211" s="7">
        <v>137</v>
      </c>
      <c r="H4211" s="3">
        <f>_xlfn.XLOOKUP(Vendas[[#This Row],[ID Item Vendido]],Agregado[ID],Agregado[Revenda])</f>
        <v>4.8</v>
      </c>
      <c r="I4211" s="3">
        <f>Vendas[[#This Row],[Valor Unitário]]*Vendas[[#This Row],[Qnt Vendida]]</f>
        <v>657.6</v>
      </c>
      <c r="J4211" s="3">
        <f>Vendas[[#This Row],[Valor da Venda]]-(_xlfn.XLOOKUP(Vendas[[#This Row],[ID Item Vendido]],Agregado[ID],Agregado[Custo])*Vendas[[#This Row],[Qnt Vendida]])</f>
        <v>82.200000000000045</v>
      </c>
      <c r="K4211" s="70">
        <f>Vendas[[#This Row],[Lucro da Venda]]/Vendas[[#This Row],[Valor da Venda]]</f>
        <v>0.12500000000000006</v>
      </c>
      <c r="L4211" s="3">
        <f>_xlfn.IFS(Vendas[[#This Row],[Margem de Lucro (%)]]&lt;15%,Vendas[[#This Row],[Valor da Venda]]*3%,Vendas[[#This Row],[Margem de Lucro (%)]]&lt;=20%,Vendas[[#This Row],[Valor da Venda]]*4.5%,TRUE,Vendas[[#This Row],[Valor da Venda]]*6%)</f>
        <v>19.728000000000002</v>
      </c>
      <c r="M4211"/>
    </row>
    <row r="4212" spans="1:13" x14ac:dyDescent="0.3">
      <c r="A4212" s="7">
        <v>400255</v>
      </c>
      <c r="B4212" t="str">
        <f>_xlfn.XLOOKUP(Vendas[[#This Row],[ID Vendedor]],Vendedores[ID],Vendedores[Nome])</f>
        <v>Carlos</v>
      </c>
      <c r="C4212" s="7" t="str">
        <f>_xlfn.XLOOKUP(Vendas[[#This Row],[ID Vendedor]],Vendedores[ID],Vendedores[Setor])</f>
        <v>SC</v>
      </c>
      <c r="D4212" s="7" t="s">
        <v>48</v>
      </c>
      <c r="E4212" t="str">
        <f>_xlfn.XLOOKUP(Vendas[[#This Row],[ID Item Vendido]],Agregado[ID],Agregado[Produto])</f>
        <v>Tambor metálico 200L</v>
      </c>
      <c r="F4212" s="39">
        <v>45657</v>
      </c>
      <c r="G4212" s="7">
        <v>4</v>
      </c>
      <c r="H4212" s="3">
        <f>_xlfn.XLOOKUP(Vendas[[#This Row],[ID Item Vendido]],Agregado[ID],Agregado[Revenda])</f>
        <v>144</v>
      </c>
      <c r="I4212" s="3">
        <f>Vendas[[#This Row],[Valor Unitário]]*Vendas[[#This Row],[Qnt Vendida]]</f>
        <v>576</v>
      </c>
      <c r="J4212" s="3">
        <f>Vendas[[#This Row],[Valor da Venda]]-(_xlfn.XLOOKUP(Vendas[[#This Row],[ID Item Vendido]],Agregado[ID],Agregado[Custo])*Vendas[[#This Row],[Qnt Vendida]])</f>
        <v>96</v>
      </c>
      <c r="K4212" s="70">
        <f>Vendas[[#This Row],[Lucro da Venda]]/Vendas[[#This Row],[Valor da Venda]]</f>
        <v>0.16666666666666666</v>
      </c>
      <c r="L4212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4212"/>
    </row>
    <row r="4213" spans="1:13" x14ac:dyDescent="0.3">
      <c r="A4213" s="7">
        <v>400251</v>
      </c>
      <c r="B4213" t="str">
        <f>_xlfn.XLOOKUP(Vendas[[#This Row],[ID Vendedor]],Vendedores[ID],Vendedores[Nome])</f>
        <v>Diego</v>
      </c>
      <c r="C4213" s="7" t="str">
        <f>_xlfn.XLOOKUP(Vendas[[#This Row],[ID Vendedor]],Vendedores[ID],Vendedores[Setor])</f>
        <v>AB</v>
      </c>
      <c r="D4213" s="7" t="s">
        <v>36</v>
      </c>
      <c r="E4213" t="str">
        <f>_xlfn.XLOOKUP(Vendas[[#This Row],[ID Item Vendido]],Agregado[ID],Agregado[Produto])</f>
        <v>Borracha vulcanizada em manta</v>
      </c>
      <c r="F4213" s="39">
        <v>45657</v>
      </c>
      <c r="G4213" s="7">
        <v>62</v>
      </c>
      <c r="H4213" s="3">
        <f>_xlfn.XLOOKUP(Vendas[[#This Row],[ID Item Vendido]],Agregado[ID],Agregado[Revenda])</f>
        <v>7.8</v>
      </c>
      <c r="I4213" s="3">
        <f>Vendas[[#This Row],[Valor Unitário]]*Vendas[[#This Row],[Qnt Vendida]]</f>
        <v>483.59999999999997</v>
      </c>
      <c r="J4213" s="3">
        <f>Vendas[[#This Row],[Valor da Venda]]-(_xlfn.XLOOKUP(Vendas[[#This Row],[ID Item Vendido]],Agregado[ID],Agregado[Custo])*Vendas[[#This Row],[Qnt Vendida]])</f>
        <v>111.59999999999997</v>
      </c>
      <c r="K4213" s="70">
        <f>Vendas[[#This Row],[Lucro da Venda]]/Vendas[[#This Row],[Valor da Venda]]</f>
        <v>0.23076923076923073</v>
      </c>
      <c r="L4213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4213"/>
    </row>
    <row r="4214" spans="1:13" x14ac:dyDescent="0.3">
      <c r="A4214" s="7">
        <v>400248</v>
      </c>
      <c r="B4214" t="str">
        <f>_xlfn.XLOOKUP(Vendas[[#This Row],[ID Vendedor]],Vendedores[ID],Vendedores[Nome])</f>
        <v>Patrícia</v>
      </c>
      <c r="C4214" s="7" t="str">
        <f>_xlfn.XLOOKUP(Vendas[[#This Row],[ID Vendedor]],Vendedores[ID],Vendedores[Setor])</f>
        <v>CM</v>
      </c>
      <c r="D4214" s="7" t="s">
        <v>45</v>
      </c>
      <c r="E4214" t="str">
        <f>_xlfn.XLOOKUP(Vendas[[#This Row],[ID Item Vendido]],Agregado[ID],Agregado[Produto])</f>
        <v>Viga de madeira tratada 4m</v>
      </c>
      <c r="F4214" s="39">
        <v>45658</v>
      </c>
      <c r="G4214" s="7">
        <v>10</v>
      </c>
      <c r="H4214" s="3">
        <f>_xlfn.XLOOKUP(Vendas[[#This Row],[ID Item Vendido]],Agregado[ID],Agregado[Revenda])</f>
        <v>66</v>
      </c>
      <c r="I4214" s="3">
        <f>Vendas[[#This Row],[Valor Unitário]]*Vendas[[#This Row],[Qnt Vendida]]</f>
        <v>660</v>
      </c>
      <c r="J4214" s="3">
        <f>Vendas[[#This Row],[Valor da Venda]]-(_xlfn.XLOOKUP(Vendas[[#This Row],[ID Item Vendido]],Agregado[ID],Agregado[Custo])*Vendas[[#This Row],[Qnt Vendida]])</f>
        <v>110</v>
      </c>
      <c r="K4214" s="70">
        <f>Vendas[[#This Row],[Lucro da Venda]]/Vendas[[#This Row],[Valor da Venda]]</f>
        <v>0.16666666666666666</v>
      </c>
      <c r="L4214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4214"/>
    </row>
    <row r="4215" spans="1:13" x14ac:dyDescent="0.3">
      <c r="A4215" s="7">
        <v>400242</v>
      </c>
      <c r="B4215" t="str">
        <f>_xlfn.XLOOKUP(Vendas[[#This Row],[ID Vendedor]],Vendedores[ID],Vendedores[Nome])</f>
        <v>Fernanda</v>
      </c>
      <c r="C4215" s="7" t="str">
        <f>_xlfn.XLOOKUP(Vendas[[#This Row],[ID Vendedor]],Vendedores[ID],Vendedores[Setor])</f>
        <v>FM</v>
      </c>
      <c r="D4215" s="7" t="s">
        <v>31</v>
      </c>
      <c r="E4215" t="str">
        <f>_xlfn.XLOOKUP(Vendas[[#This Row],[ID Item Vendido]],Agregado[ID],Agregado[Produto])</f>
        <v>Tela de metal soldada rolo 2x25m</v>
      </c>
      <c r="F4215" s="39">
        <v>45660</v>
      </c>
      <c r="G4215" s="7">
        <v>12</v>
      </c>
      <c r="H4215" s="3">
        <f>_xlfn.XLOOKUP(Vendas[[#This Row],[ID Item Vendido]],Agregado[ID],Agregado[Revenda])</f>
        <v>43.7</v>
      </c>
      <c r="I4215" s="3">
        <f>Vendas[[#This Row],[Valor Unitário]]*Vendas[[#This Row],[Qnt Vendida]]</f>
        <v>524.40000000000009</v>
      </c>
      <c r="J4215" s="3">
        <f>Vendas[[#This Row],[Valor da Venda]]-(_xlfn.XLOOKUP(Vendas[[#This Row],[ID Item Vendido]],Agregado[ID],Agregado[Custo])*Vendas[[#This Row],[Qnt Vendida]])</f>
        <v>68.400000000000091</v>
      </c>
      <c r="K4215" s="70">
        <f>Vendas[[#This Row],[Lucro da Venda]]/Vendas[[#This Row],[Valor da Venda]]</f>
        <v>0.13043478260869582</v>
      </c>
      <c r="L4215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4215"/>
    </row>
    <row r="4216" spans="1:13" x14ac:dyDescent="0.3">
      <c r="A4216" s="7">
        <v>400246</v>
      </c>
      <c r="B4216" t="str">
        <f>_xlfn.XLOOKUP(Vendas[[#This Row],[ID Vendedor]],Vendedores[ID],Vendedores[Nome])</f>
        <v>Juliana</v>
      </c>
      <c r="C4216" s="7" t="str">
        <f>_xlfn.XLOOKUP(Vendas[[#This Row],[ID Vendedor]],Vendedores[ID],Vendedores[Setor])</f>
        <v>AHD</v>
      </c>
      <c r="D4216" s="7" t="s">
        <v>28</v>
      </c>
      <c r="E4216" t="str">
        <f>_xlfn.XLOOKUP(Vendas[[#This Row],[ID Item Vendido]],Agregado[ID],Agregado[Produto])</f>
        <v>Peça usinada CNC</v>
      </c>
      <c r="F4216" s="39">
        <v>45662</v>
      </c>
      <c r="G4216" s="7">
        <v>14</v>
      </c>
      <c r="H4216" s="3">
        <f>_xlfn.XLOOKUP(Vendas[[#This Row],[ID Item Vendido]],Agregado[ID],Agregado[Revenda])</f>
        <v>192</v>
      </c>
      <c r="I4216" s="3">
        <f>Vendas[[#This Row],[Valor Unitário]]*Vendas[[#This Row],[Qnt Vendida]]</f>
        <v>2688</v>
      </c>
      <c r="J4216" s="3">
        <f>Vendas[[#This Row],[Valor da Venda]]-(_xlfn.XLOOKUP(Vendas[[#This Row],[ID Item Vendido]],Agregado[ID],Agregado[Custo])*Vendas[[#This Row],[Qnt Vendida]])</f>
        <v>588</v>
      </c>
      <c r="K4216" s="70">
        <f>Vendas[[#This Row],[Lucro da Venda]]/Vendas[[#This Row],[Valor da Venda]]</f>
        <v>0.21875</v>
      </c>
      <c r="L4216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4216"/>
    </row>
    <row r="4217" spans="1:13" x14ac:dyDescent="0.3">
      <c r="A4217" s="7">
        <v>400254</v>
      </c>
      <c r="B4217" t="str">
        <f>_xlfn.XLOOKUP(Vendas[[#This Row],[ID Vendedor]],Vendedores[ID],Vendedores[Nome])</f>
        <v>Beatriz</v>
      </c>
      <c r="C4217" s="7" t="str">
        <f>_xlfn.XLOOKUP(Vendas[[#This Row],[ID Vendedor]],Vendedores[ID],Vendedores[Setor])</f>
        <v>SC</v>
      </c>
      <c r="D4217" s="7" t="s">
        <v>14</v>
      </c>
      <c r="E4217" t="str">
        <f>_xlfn.XLOOKUP(Vendas[[#This Row],[ID Item Vendido]],Agregado[ID],Agregado[Produto])</f>
        <v>Barril de plástico 200L</v>
      </c>
      <c r="F4217" s="39">
        <v>45662</v>
      </c>
      <c r="G4217" s="7">
        <v>23</v>
      </c>
      <c r="H4217" s="3">
        <f>_xlfn.XLOOKUP(Vendas[[#This Row],[ID Item Vendido]],Agregado[ID],Agregado[Revenda])</f>
        <v>114</v>
      </c>
      <c r="I4217" s="3">
        <f>Vendas[[#This Row],[Valor Unitário]]*Vendas[[#This Row],[Qnt Vendida]]</f>
        <v>2622</v>
      </c>
      <c r="J4217" s="3">
        <f>Vendas[[#This Row],[Valor da Venda]]-(_xlfn.XLOOKUP(Vendas[[#This Row],[ID Item Vendido]],Agregado[ID],Agregado[Custo])*Vendas[[#This Row],[Qnt Vendida]])</f>
        <v>437</v>
      </c>
      <c r="K4217" s="70">
        <f>Vendas[[#This Row],[Lucro da Venda]]/Vendas[[#This Row],[Valor da Venda]]</f>
        <v>0.16666666666666666</v>
      </c>
      <c r="L4217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4217"/>
    </row>
    <row r="4218" spans="1:13" x14ac:dyDescent="0.3">
      <c r="A4218" s="7">
        <v>400246</v>
      </c>
      <c r="B4218" t="str">
        <f>_xlfn.XLOOKUP(Vendas[[#This Row],[ID Vendedor]],Vendedores[ID],Vendedores[Nome])</f>
        <v>Juliana</v>
      </c>
      <c r="C4218" s="7" t="str">
        <f>_xlfn.XLOOKUP(Vendas[[#This Row],[ID Vendedor]],Vendedores[ID],Vendedores[Setor])</f>
        <v>AHD</v>
      </c>
      <c r="D4218" s="7" t="s">
        <v>44</v>
      </c>
      <c r="E4218" t="str">
        <f>_xlfn.XLOOKUP(Vendas[[#This Row],[ID Item Vendido]],Agregado[ID],Agregado[Produto])</f>
        <v>Liga metálica especial</v>
      </c>
      <c r="F4218" s="39">
        <v>45662</v>
      </c>
      <c r="G4218" s="7">
        <v>43</v>
      </c>
      <c r="H4218" s="3">
        <f>_xlfn.XLOOKUP(Vendas[[#This Row],[ID Item Vendido]],Agregado[ID],Agregado[Revenda])</f>
        <v>32.5</v>
      </c>
      <c r="I4218" s="3">
        <f>Vendas[[#This Row],[Valor Unitário]]*Vendas[[#This Row],[Qnt Vendida]]</f>
        <v>1397.5</v>
      </c>
      <c r="J4218" s="3">
        <f>Vendas[[#This Row],[Valor da Venda]]-(_xlfn.XLOOKUP(Vendas[[#This Row],[ID Item Vendido]],Agregado[ID],Agregado[Custo])*Vendas[[#This Row],[Qnt Vendida]])</f>
        <v>322.5</v>
      </c>
      <c r="K4218" s="70">
        <f>Vendas[[#This Row],[Lucro da Venda]]/Vendas[[#This Row],[Valor da Venda]]</f>
        <v>0.23076923076923078</v>
      </c>
      <c r="L4218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4218"/>
    </row>
    <row r="4219" spans="1:13" x14ac:dyDescent="0.3">
      <c r="A4219" s="7">
        <v>400253</v>
      </c>
      <c r="B4219" t="str">
        <f>_xlfn.XLOOKUP(Vendas[[#This Row],[ID Vendedor]],Vendedores[ID],Vendedores[Nome])</f>
        <v>Gustavo</v>
      </c>
      <c r="C4219" s="7" t="str">
        <f>_xlfn.XLOOKUP(Vendas[[#This Row],[ID Vendedor]],Vendedores[ID],Vendedores[Setor])</f>
        <v>SC</v>
      </c>
      <c r="D4219" s="7" t="s">
        <v>48</v>
      </c>
      <c r="E4219" t="str">
        <f>_xlfn.XLOOKUP(Vendas[[#This Row],[ID Item Vendido]],Agregado[ID],Agregado[Produto])</f>
        <v>Tambor metálico 200L</v>
      </c>
      <c r="F4219" s="39">
        <v>45663</v>
      </c>
      <c r="G4219" s="7">
        <v>18</v>
      </c>
      <c r="H4219" s="3">
        <f>_xlfn.XLOOKUP(Vendas[[#This Row],[ID Item Vendido]],Agregado[ID],Agregado[Revenda])</f>
        <v>144</v>
      </c>
      <c r="I4219" s="3">
        <f>Vendas[[#This Row],[Valor Unitário]]*Vendas[[#This Row],[Qnt Vendida]]</f>
        <v>2592</v>
      </c>
      <c r="J4219" s="3">
        <f>Vendas[[#This Row],[Valor da Venda]]-(_xlfn.XLOOKUP(Vendas[[#This Row],[ID Item Vendido]],Agregado[ID],Agregado[Custo])*Vendas[[#This Row],[Qnt Vendida]])</f>
        <v>432</v>
      </c>
      <c r="K4219" s="70">
        <f>Vendas[[#This Row],[Lucro da Venda]]/Vendas[[#This Row],[Valor da Venda]]</f>
        <v>0.16666666666666666</v>
      </c>
      <c r="L4219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4219"/>
    </row>
    <row r="4220" spans="1:13" x14ac:dyDescent="0.3">
      <c r="A4220" s="7">
        <v>400255</v>
      </c>
      <c r="B4220" t="str">
        <f>_xlfn.XLOOKUP(Vendas[[#This Row],[ID Vendedor]],Vendedores[ID],Vendedores[Nome])</f>
        <v>Carlos</v>
      </c>
      <c r="C4220" s="7" t="str">
        <f>_xlfn.XLOOKUP(Vendas[[#This Row],[ID Vendedor]],Vendedores[ID],Vendedores[Setor])</f>
        <v>SC</v>
      </c>
      <c r="D4220" s="7" t="s">
        <v>42</v>
      </c>
      <c r="E4220" t="str">
        <f>_xlfn.XLOOKUP(Vendas[[#This Row],[ID Item Vendido]],Agregado[ID],Agregado[Produto])</f>
        <v>Container de ferro industrial</v>
      </c>
      <c r="F4220" s="39">
        <v>45663</v>
      </c>
      <c r="G4220" s="7">
        <v>1</v>
      </c>
      <c r="H4220" s="3">
        <f>_xlfn.XLOOKUP(Vendas[[#This Row],[ID Item Vendido]],Agregado[ID],Agregado[Revenda])</f>
        <v>830</v>
      </c>
      <c r="I4220" s="3">
        <f>Vendas[[#This Row],[Valor Unitário]]*Vendas[[#This Row],[Qnt Vendida]]</f>
        <v>830</v>
      </c>
      <c r="J4220" s="3">
        <f>Vendas[[#This Row],[Valor da Venda]]-(_xlfn.XLOOKUP(Vendas[[#This Row],[ID Item Vendido]],Agregado[ID],Agregado[Custo])*Vendas[[#This Row],[Qnt Vendida]])</f>
        <v>150</v>
      </c>
      <c r="K4220" s="70">
        <f>Vendas[[#This Row],[Lucro da Venda]]/Vendas[[#This Row],[Valor da Venda]]</f>
        <v>0.18072289156626506</v>
      </c>
      <c r="L422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220"/>
    </row>
    <row r="4221" spans="1:13" x14ac:dyDescent="0.3">
      <c r="A4221" s="7">
        <v>400245</v>
      </c>
      <c r="B4221" t="str">
        <f>_xlfn.XLOOKUP(Vendas[[#This Row],[ID Vendedor]],Vendedores[ID],Vendedores[Nome])</f>
        <v>Thiago</v>
      </c>
      <c r="C4221" s="7" t="str">
        <f>_xlfn.XLOOKUP(Vendas[[#This Row],[ID Vendedor]],Vendedores[ID],Vendedores[Setor])</f>
        <v>AHD</v>
      </c>
      <c r="D4221" s="7" t="s">
        <v>44</v>
      </c>
      <c r="E4221" t="str">
        <f>_xlfn.XLOOKUP(Vendas[[#This Row],[ID Item Vendido]],Agregado[ID],Agregado[Produto])</f>
        <v>Liga metálica especial</v>
      </c>
      <c r="F4221" s="39">
        <v>45664</v>
      </c>
      <c r="G4221" s="7">
        <v>46</v>
      </c>
      <c r="H4221" s="3">
        <f>_xlfn.XLOOKUP(Vendas[[#This Row],[ID Item Vendido]],Agregado[ID],Agregado[Revenda])</f>
        <v>32.5</v>
      </c>
      <c r="I4221" s="3">
        <f>Vendas[[#This Row],[Valor Unitário]]*Vendas[[#This Row],[Qnt Vendida]]</f>
        <v>1495</v>
      </c>
      <c r="J4221" s="3">
        <f>Vendas[[#This Row],[Valor da Venda]]-(_xlfn.XLOOKUP(Vendas[[#This Row],[ID Item Vendido]],Agregado[ID],Agregado[Custo])*Vendas[[#This Row],[Qnt Vendida]])</f>
        <v>345</v>
      </c>
      <c r="K4221" s="70">
        <f>Vendas[[#This Row],[Lucro da Venda]]/Vendas[[#This Row],[Valor da Venda]]</f>
        <v>0.23076923076923078</v>
      </c>
      <c r="L4221" s="3">
        <f>_xlfn.IFS(Vendas[[#This Row],[Margem de Lucro (%)]]&lt;15%,Vendas[[#This Row],[Valor da Venda]]*3%,Vendas[[#This Row],[Margem de Lucro (%)]]&lt;=20%,Vendas[[#This Row],[Valor da Venda]]*4.5%,TRUE,Vendas[[#This Row],[Valor da Venda]]*6%)</f>
        <v>89.7</v>
      </c>
      <c r="M4221"/>
    </row>
    <row r="4222" spans="1:13" x14ac:dyDescent="0.3">
      <c r="A4222" s="7">
        <v>400246</v>
      </c>
      <c r="B4222" t="str">
        <f>_xlfn.XLOOKUP(Vendas[[#This Row],[ID Vendedor]],Vendedores[ID],Vendedores[Nome])</f>
        <v>Juliana</v>
      </c>
      <c r="C4222" s="7" t="str">
        <f>_xlfn.XLOOKUP(Vendas[[#This Row],[ID Vendedor]],Vendedores[ID],Vendedores[Setor])</f>
        <v>AHD</v>
      </c>
      <c r="D4222" s="7" t="s">
        <v>44</v>
      </c>
      <c r="E4222" t="str">
        <f>_xlfn.XLOOKUP(Vendas[[#This Row],[ID Item Vendido]],Agregado[ID],Agregado[Produto])</f>
        <v>Liga metálica especial</v>
      </c>
      <c r="F4222" s="39">
        <v>45664</v>
      </c>
      <c r="G4222" s="7">
        <v>33</v>
      </c>
      <c r="H4222" s="3">
        <f>_xlfn.XLOOKUP(Vendas[[#This Row],[ID Item Vendido]],Agregado[ID],Agregado[Revenda])</f>
        <v>32.5</v>
      </c>
      <c r="I4222" s="3">
        <f>Vendas[[#This Row],[Valor Unitário]]*Vendas[[#This Row],[Qnt Vendida]]</f>
        <v>1072.5</v>
      </c>
      <c r="J4222" s="3">
        <f>Vendas[[#This Row],[Valor da Venda]]-(_xlfn.XLOOKUP(Vendas[[#This Row],[ID Item Vendido]],Agregado[ID],Agregado[Custo])*Vendas[[#This Row],[Qnt Vendida]])</f>
        <v>247.5</v>
      </c>
      <c r="K4222" s="70">
        <f>Vendas[[#This Row],[Lucro da Venda]]/Vendas[[#This Row],[Valor da Venda]]</f>
        <v>0.23076923076923078</v>
      </c>
      <c r="L4222" s="3">
        <f>_xlfn.IFS(Vendas[[#This Row],[Margem de Lucro (%)]]&lt;15%,Vendas[[#This Row],[Valor da Venda]]*3%,Vendas[[#This Row],[Margem de Lucro (%)]]&lt;=20%,Vendas[[#This Row],[Valor da Venda]]*4.5%,TRUE,Vendas[[#This Row],[Valor da Venda]]*6%)</f>
        <v>64.349999999999994</v>
      </c>
      <c r="M4222"/>
    </row>
    <row r="4223" spans="1:13" x14ac:dyDescent="0.3">
      <c r="A4223" s="7">
        <v>400244</v>
      </c>
      <c r="B4223" t="str">
        <f>_xlfn.XLOOKUP(Vendas[[#This Row],[ID Vendedor]],Vendedores[ID],Vendedores[Nome])</f>
        <v>Camila</v>
      </c>
      <c r="C4223" s="7" t="str">
        <f>_xlfn.XLOOKUP(Vendas[[#This Row],[ID Vendedor]],Vendedores[ID],Vendedores[Setor])</f>
        <v>AHD</v>
      </c>
      <c r="D4223" s="7" t="s">
        <v>44</v>
      </c>
      <c r="E4223" t="str">
        <f>_xlfn.XLOOKUP(Vendas[[#This Row],[ID Item Vendido]],Agregado[ID],Agregado[Produto])</f>
        <v>Liga metálica especial</v>
      </c>
      <c r="F4223" s="39">
        <v>45664</v>
      </c>
      <c r="G4223" s="7">
        <v>8</v>
      </c>
      <c r="H4223" s="3">
        <f>_xlfn.XLOOKUP(Vendas[[#This Row],[ID Item Vendido]],Agregado[ID],Agregado[Revenda])</f>
        <v>32.5</v>
      </c>
      <c r="I4223" s="3">
        <f>Vendas[[#This Row],[Valor Unitário]]*Vendas[[#This Row],[Qnt Vendida]]</f>
        <v>260</v>
      </c>
      <c r="J4223" s="3">
        <f>Vendas[[#This Row],[Valor da Venda]]-(_xlfn.XLOOKUP(Vendas[[#This Row],[ID Item Vendido]],Agregado[ID],Agregado[Custo])*Vendas[[#This Row],[Qnt Vendida]])</f>
        <v>60</v>
      </c>
      <c r="K4223" s="70">
        <f>Vendas[[#This Row],[Lucro da Venda]]/Vendas[[#This Row],[Valor da Venda]]</f>
        <v>0.23076923076923078</v>
      </c>
      <c r="L4223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4223"/>
    </row>
    <row r="4224" spans="1:13" x14ac:dyDescent="0.3">
      <c r="A4224" s="7">
        <v>400254</v>
      </c>
      <c r="B4224" t="str">
        <f>_xlfn.XLOOKUP(Vendas[[#This Row],[ID Vendedor]],Vendedores[ID],Vendedores[Nome])</f>
        <v>Beatriz</v>
      </c>
      <c r="C4224" s="7" t="str">
        <f>_xlfn.XLOOKUP(Vendas[[#This Row],[ID Vendedor]],Vendedores[ID],Vendedores[Setor])</f>
        <v>SC</v>
      </c>
      <c r="D4224" s="7" t="s">
        <v>42</v>
      </c>
      <c r="E4224" t="str">
        <f>_xlfn.XLOOKUP(Vendas[[#This Row],[ID Item Vendido]],Agregado[ID],Agregado[Produto])</f>
        <v>Container de ferro industrial</v>
      </c>
      <c r="F4224" s="39">
        <v>45665</v>
      </c>
      <c r="G4224" s="7">
        <v>5</v>
      </c>
      <c r="H4224" s="3">
        <f>_xlfn.XLOOKUP(Vendas[[#This Row],[ID Item Vendido]],Agregado[ID],Agregado[Revenda])</f>
        <v>830</v>
      </c>
      <c r="I4224" s="3">
        <f>Vendas[[#This Row],[Valor Unitário]]*Vendas[[#This Row],[Qnt Vendida]]</f>
        <v>4150</v>
      </c>
      <c r="J4224" s="3">
        <f>Vendas[[#This Row],[Valor da Venda]]-(_xlfn.XLOOKUP(Vendas[[#This Row],[ID Item Vendido]],Agregado[ID],Agregado[Custo])*Vendas[[#This Row],[Qnt Vendida]])</f>
        <v>750</v>
      </c>
      <c r="K4224" s="70">
        <f>Vendas[[#This Row],[Lucro da Venda]]/Vendas[[#This Row],[Valor da Venda]]</f>
        <v>0.18072289156626506</v>
      </c>
      <c r="L4224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224"/>
    </row>
    <row r="4225" spans="1:13" x14ac:dyDescent="0.3">
      <c r="A4225" s="7">
        <v>400254</v>
      </c>
      <c r="B4225" t="str">
        <f>_xlfn.XLOOKUP(Vendas[[#This Row],[ID Vendedor]],Vendedores[ID],Vendedores[Nome])</f>
        <v>Beatriz</v>
      </c>
      <c r="C4225" s="7" t="str">
        <f>_xlfn.XLOOKUP(Vendas[[#This Row],[ID Vendedor]],Vendedores[ID],Vendedores[Setor])</f>
        <v>SC</v>
      </c>
      <c r="D4225" s="7" t="s">
        <v>42</v>
      </c>
      <c r="E4225" t="str">
        <f>_xlfn.XLOOKUP(Vendas[[#This Row],[ID Item Vendido]],Agregado[ID],Agregado[Produto])</f>
        <v>Container de ferro industrial</v>
      </c>
      <c r="F4225" s="39">
        <v>45665</v>
      </c>
      <c r="G4225" s="7">
        <v>2</v>
      </c>
      <c r="H4225" s="3">
        <f>_xlfn.XLOOKUP(Vendas[[#This Row],[ID Item Vendido]],Agregado[ID],Agregado[Revenda])</f>
        <v>830</v>
      </c>
      <c r="I4225" s="3">
        <f>Vendas[[#This Row],[Valor Unitário]]*Vendas[[#This Row],[Qnt Vendida]]</f>
        <v>1660</v>
      </c>
      <c r="J4225" s="3">
        <f>Vendas[[#This Row],[Valor da Venda]]-(_xlfn.XLOOKUP(Vendas[[#This Row],[ID Item Vendido]],Agregado[ID],Agregado[Custo])*Vendas[[#This Row],[Qnt Vendida]])</f>
        <v>300</v>
      </c>
      <c r="K4225" s="70">
        <f>Vendas[[#This Row],[Lucro da Venda]]/Vendas[[#This Row],[Valor da Venda]]</f>
        <v>0.18072289156626506</v>
      </c>
      <c r="L4225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225"/>
    </row>
    <row r="4226" spans="1:13" x14ac:dyDescent="0.3">
      <c r="A4226" s="7">
        <v>400249</v>
      </c>
      <c r="B4226" t="str">
        <f>_xlfn.XLOOKUP(Vendas[[#This Row],[ID Vendedor]],Vendedores[ID],Vendedores[Nome])</f>
        <v>Bruno</v>
      </c>
      <c r="C4226" s="7" t="str">
        <f>_xlfn.XLOOKUP(Vendas[[#This Row],[ID Vendedor]],Vendedores[ID],Vendedores[Setor])</f>
        <v>CM</v>
      </c>
      <c r="D4226" s="7" t="s">
        <v>34</v>
      </c>
      <c r="E4226" t="str">
        <f>_xlfn.XLOOKUP(Vendas[[#This Row],[ID Item Vendido]],Agregado[ID],Agregado[Produto])</f>
        <v>Restos de madeira p/ MDP/OSB saco de 20kg</v>
      </c>
      <c r="F4226" s="39">
        <v>45665</v>
      </c>
      <c r="G4226" s="7">
        <v>10</v>
      </c>
      <c r="H4226" s="3">
        <f>_xlfn.XLOOKUP(Vendas[[#This Row],[ID Item Vendido]],Agregado[ID],Agregado[Revenda])</f>
        <v>13.8</v>
      </c>
      <c r="I4226" s="3">
        <f>Vendas[[#This Row],[Valor Unitário]]*Vendas[[#This Row],[Qnt Vendida]]</f>
        <v>138</v>
      </c>
      <c r="J4226" s="3">
        <f>Vendas[[#This Row],[Valor da Venda]]-(_xlfn.XLOOKUP(Vendas[[#This Row],[ID Item Vendido]],Agregado[ID],Agregado[Custo])*Vendas[[#This Row],[Qnt Vendida]])</f>
        <v>18</v>
      </c>
      <c r="K4226" s="70">
        <f>Vendas[[#This Row],[Lucro da Venda]]/Vendas[[#This Row],[Valor da Venda]]</f>
        <v>0.13043478260869565</v>
      </c>
      <c r="L4226" s="3">
        <f>_xlfn.IFS(Vendas[[#This Row],[Margem de Lucro (%)]]&lt;15%,Vendas[[#This Row],[Valor da Venda]]*3%,Vendas[[#This Row],[Margem de Lucro (%)]]&lt;=20%,Vendas[[#This Row],[Valor da Venda]]*4.5%,TRUE,Vendas[[#This Row],[Valor da Venda]]*6%)</f>
        <v>4.1399999999999997</v>
      </c>
      <c r="M4226"/>
    </row>
    <row r="4227" spans="1:13" x14ac:dyDescent="0.3">
      <c r="A4227" s="7">
        <v>400247</v>
      </c>
      <c r="B4227" t="str">
        <f>_xlfn.XLOOKUP(Vendas[[#This Row],[ID Vendedor]],Vendedores[ID],Vendedores[Nome])</f>
        <v>André</v>
      </c>
      <c r="C4227" s="7" t="str">
        <f>_xlfn.XLOOKUP(Vendas[[#This Row],[ID Vendedor]],Vendedores[ID],Vendedores[Setor])</f>
        <v>CM</v>
      </c>
      <c r="D4227" s="7" t="s">
        <v>22</v>
      </c>
      <c r="E4227" t="str">
        <f>_xlfn.XLOOKUP(Vendas[[#This Row],[ID Item Vendido]],Agregado[ID],Agregado[Produto])</f>
        <v>Painel MDP 2,75x1,83m</v>
      </c>
      <c r="F4227" s="39">
        <v>45666</v>
      </c>
      <c r="G4227" s="7">
        <v>25</v>
      </c>
      <c r="H4227" s="3">
        <f>_xlfn.XLOOKUP(Vendas[[#This Row],[ID Item Vendido]],Agregado[ID],Agregado[Revenda])</f>
        <v>119</v>
      </c>
      <c r="I4227" s="3">
        <f>Vendas[[#This Row],[Valor Unitário]]*Vendas[[#This Row],[Qnt Vendida]]</f>
        <v>2975</v>
      </c>
      <c r="J4227" s="3">
        <f>Vendas[[#This Row],[Valor da Venda]]-(_xlfn.XLOOKUP(Vendas[[#This Row],[ID Item Vendido]],Agregado[ID],Agregado[Custo])*Vendas[[#This Row],[Qnt Vendida]])</f>
        <v>600</v>
      </c>
      <c r="K4227" s="70">
        <f>Vendas[[#This Row],[Lucro da Venda]]/Vendas[[#This Row],[Valor da Venda]]</f>
        <v>0.20168067226890757</v>
      </c>
      <c r="L4227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227"/>
    </row>
    <row r="4228" spans="1:13" x14ac:dyDescent="0.3">
      <c r="A4228" s="7">
        <v>400250</v>
      </c>
      <c r="B4228" t="str">
        <f>_xlfn.XLOOKUP(Vendas[[#This Row],[ID Vendedor]],Vendedores[ID],Vendedores[Nome])</f>
        <v>Larissa</v>
      </c>
      <c r="C4228" s="7" t="str">
        <f>_xlfn.XLOOKUP(Vendas[[#This Row],[ID Vendedor]],Vendedores[ID],Vendedores[Setor])</f>
        <v>AB</v>
      </c>
      <c r="D4228" s="7" t="s">
        <v>24</v>
      </c>
      <c r="E4228" t="str">
        <f>_xlfn.XLOOKUP(Vendas[[#This Row],[ID Item Vendido]],Agregado[ID],Agregado[Produto])</f>
        <v>Resina plástica PET purificada saco de 25kg</v>
      </c>
      <c r="F4228" s="39">
        <v>45666</v>
      </c>
      <c r="G4228" s="7">
        <v>19</v>
      </c>
      <c r="H4228" s="3">
        <f>_xlfn.XLOOKUP(Vendas[[#This Row],[ID Item Vendido]],Agregado[ID],Agregado[Revenda])</f>
        <v>119</v>
      </c>
      <c r="I4228" s="3">
        <f>Vendas[[#This Row],[Valor Unitário]]*Vendas[[#This Row],[Qnt Vendida]]</f>
        <v>2261</v>
      </c>
      <c r="J4228" s="3">
        <f>Vendas[[#This Row],[Valor da Venda]]-(_xlfn.XLOOKUP(Vendas[[#This Row],[ID Item Vendido]],Agregado[ID],Agregado[Custo])*Vendas[[#This Row],[Qnt Vendida]])</f>
        <v>646</v>
      </c>
      <c r="K4228" s="70">
        <f>Vendas[[#This Row],[Lucro da Venda]]/Vendas[[#This Row],[Valor da Venda]]</f>
        <v>0.2857142857142857</v>
      </c>
      <c r="L4228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228"/>
    </row>
    <row r="4229" spans="1:13" x14ac:dyDescent="0.3">
      <c r="A4229" s="7">
        <v>400252</v>
      </c>
      <c r="B4229" t="str">
        <f>_xlfn.XLOOKUP(Vendas[[#This Row],[ID Vendedor]],Vendedores[ID],Vendedores[Nome])</f>
        <v>Renata</v>
      </c>
      <c r="C4229" s="7" t="str">
        <f>_xlfn.XLOOKUP(Vendas[[#This Row],[ID Vendedor]],Vendedores[ID],Vendedores[Setor])</f>
        <v>AB</v>
      </c>
      <c r="D4229" s="7" t="s">
        <v>36</v>
      </c>
      <c r="E4229" t="str">
        <f>_xlfn.XLOOKUP(Vendas[[#This Row],[ID Item Vendido]],Agregado[ID],Agregado[Produto])</f>
        <v>Borracha vulcanizada em manta</v>
      </c>
      <c r="F4229" s="39">
        <v>45666</v>
      </c>
      <c r="G4229" s="7">
        <v>85</v>
      </c>
      <c r="H4229" s="3">
        <f>_xlfn.XLOOKUP(Vendas[[#This Row],[ID Item Vendido]],Agregado[ID],Agregado[Revenda])</f>
        <v>7.8</v>
      </c>
      <c r="I4229" s="3">
        <f>Vendas[[#This Row],[Valor Unitário]]*Vendas[[#This Row],[Qnt Vendida]]</f>
        <v>663</v>
      </c>
      <c r="J4229" s="3">
        <f>Vendas[[#This Row],[Valor da Venda]]-(_xlfn.XLOOKUP(Vendas[[#This Row],[ID Item Vendido]],Agregado[ID],Agregado[Custo])*Vendas[[#This Row],[Qnt Vendida]])</f>
        <v>153</v>
      </c>
      <c r="K4229" s="70">
        <f>Vendas[[#This Row],[Lucro da Venda]]/Vendas[[#This Row],[Valor da Venda]]</f>
        <v>0.23076923076923078</v>
      </c>
      <c r="L4229" s="3">
        <f>_xlfn.IFS(Vendas[[#This Row],[Margem de Lucro (%)]]&lt;15%,Vendas[[#This Row],[Valor da Venda]]*3%,Vendas[[#This Row],[Margem de Lucro (%)]]&lt;=20%,Vendas[[#This Row],[Valor da Venda]]*4.5%,TRUE,Vendas[[#This Row],[Valor da Venda]]*6%)</f>
        <v>39.78</v>
      </c>
      <c r="M4229"/>
    </row>
    <row r="4230" spans="1:13" x14ac:dyDescent="0.3">
      <c r="A4230" s="7">
        <v>400250</v>
      </c>
      <c r="B4230" t="str">
        <f>_xlfn.XLOOKUP(Vendas[[#This Row],[ID Vendedor]],Vendedores[ID],Vendedores[Nome])</f>
        <v>Larissa</v>
      </c>
      <c r="C4230" s="7" t="str">
        <f>_xlfn.XLOOKUP(Vendas[[#This Row],[ID Vendedor]],Vendedores[ID],Vendedores[Setor])</f>
        <v>AB</v>
      </c>
      <c r="D4230" s="7" t="s">
        <v>24</v>
      </c>
      <c r="E4230" t="str">
        <f>_xlfn.XLOOKUP(Vendas[[#This Row],[ID Item Vendido]],Agregado[ID],Agregado[Produto])</f>
        <v>Resina plástica PET purificada saco de 25kg</v>
      </c>
      <c r="F4230" s="39">
        <v>45667</v>
      </c>
      <c r="G4230" s="7">
        <v>19</v>
      </c>
      <c r="H4230" s="3">
        <f>_xlfn.XLOOKUP(Vendas[[#This Row],[ID Item Vendido]],Agregado[ID],Agregado[Revenda])</f>
        <v>119</v>
      </c>
      <c r="I4230" s="3">
        <f>Vendas[[#This Row],[Valor Unitário]]*Vendas[[#This Row],[Qnt Vendida]]</f>
        <v>2261</v>
      </c>
      <c r="J4230" s="3">
        <f>Vendas[[#This Row],[Valor da Venda]]-(_xlfn.XLOOKUP(Vendas[[#This Row],[ID Item Vendido]],Agregado[ID],Agregado[Custo])*Vendas[[#This Row],[Qnt Vendida]])</f>
        <v>646</v>
      </c>
      <c r="K4230" s="70">
        <f>Vendas[[#This Row],[Lucro da Venda]]/Vendas[[#This Row],[Valor da Venda]]</f>
        <v>0.2857142857142857</v>
      </c>
      <c r="L4230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230"/>
    </row>
    <row r="4231" spans="1:13" x14ac:dyDescent="0.3">
      <c r="A4231" s="7">
        <v>400252</v>
      </c>
      <c r="B4231" t="str">
        <f>_xlfn.XLOOKUP(Vendas[[#This Row],[ID Vendedor]],Vendedores[ID],Vendedores[Nome])</f>
        <v>Renata</v>
      </c>
      <c r="C4231" s="7" t="str">
        <f>_xlfn.XLOOKUP(Vendas[[#This Row],[ID Vendedor]],Vendedores[ID],Vendedores[Setor])</f>
        <v>AB</v>
      </c>
      <c r="D4231" s="7" t="s">
        <v>12</v>
      </c>
      <c r="E4231" t="str">
        <f>_xlfn.XLOOKUP(Vendas[[#This Row],[ID Item Vendido]],Agregado[ID],Agregado[Produto])</f>
        <v>Grânulo de plástico reciclado refinado</v>
      </c>
      <c r="F4231" s="39">
        <v>45667</v>
      </c>
      <c r="G4231" s="7">
        <v>126</v>
      </c>
      <c r="H4231" s="3">
        <f>_xlfn.XLOOKUP(Vendas[[#This Row],[ID Item Vendido]],Agregado[ID],Agregado[Revenda])</f>
        <v>4.7</v>
      </c>
      <c r="I4231" s="3">
        <f>Vendas[[#This Row],[Valor Unitário]]*Vendas[[#This Row],[Qnt Vendida]]</f>
        <v>592.20000000000005</v>
      </c>
      <c r="J4231" s="3">
        <f>Vendas[[#This Row],[Valor da Venda]]-(_xlfn.XLOOKUP(Vendas[[#This Row],[ID Item Vendido]],Agregado[ID],Agregado[Custo])*Vendas[[#This Row],[Qnt Vendida]])</f>
        <v>151.20000000000005</v>
      </c>
      <c r="K4231" s="70">
        <f>Vendas[[#This Row],[Lucro da Venda]]/Vendas[[#This Row],[Valor da Venda]]</f>
        <v>0.25531914893617025</v>
      </c>
      <c r="L4231" s="3">
        <f>_xlfn.IFS(Vendas[[#This Row],[Margem de Lucro (%)]]&lt;15%,Vendas[[#This Row],[Valor da Venda]]*3%,Vendas[[#This Row],[Margem de Lucro (%)]]&lt;=20%,Vendas[[#This Row],[Valor da Venda]]*4.5%,TRUE,Vendas[[#This Row],[Valor da Venda]]*6%)</f>
        <v>35.532000000000004</v>
      </c>
      <c r="M4231"/>
    </row>
    <row r="4232" spans="1:13" x14ac:dyDescent="0.3">
      <c r="A4232" s="7">
        <v>400243</v>
      </c>
      <c r="B4232" t="str">
        <f>_xlfn.XLOOKUP(Vendas[[#This Row],[ID Vendedor]],Vendedores[ID],Vendedores[Nome])</f>
        <v>Marcelo</v>
      </c>
      <c r="C4232" s="7" t="str">
        <f>_xlfn.XLOOKUP(Vendas[[#This Row],[ID Vendedor]],Vendedores[ID],Vendedores[Setor])</f>
        <v>FM</v>
      </c>
      <c r="D4232" s="7" t="s">
        <v>20</v>
      </c>
      <c r="E4232" t="str">
        <f>_xlfn.XLOOKUP(Vendas[[#This Row],[ID Item Vendido]],Agregado[ID],Agregado[Produto])</f>
        <v>Barra de aço simples</v>
      </c>
      <c r="F4232" s="39">
        <v>45667</v>
      </c>
      <c r="G4232" s="7">
        <v>54</v>
      </c>
      <c r="H4232" s="3">
        <f>_xlfn.XLOOKUP(Vendas[[#This Row],[ID Item Vendido]],Agregado[ID],Agregado[Revenda])</f>
        <v>4.8</v>
      </c>
      <c r="I4232" s="3">
        <f>Vendas[[#This Row],[Valor Unitário]]*Vendas[[#This Row],[Qnt Vendida]]</f>
        <v>259.2</v>
      </c>
      <c r="J4232" s="3">
        <f>Vendas[[#This Row],[Valor da Venda]]-(_xlfn.XLOOKUP(Vendas[[#This Row],[ID Item Vendido]],Agregado[ID],Agregado[Custo])*Vendas[[#This Row],[Qnt Vendida]])</f>
        <v>32.399999999999977</v>
      </c>
      <c r="K4232" s="70">
        <f>Vendas[[#This Row],[Lucro da Venda]]/Vendas[[#This Row],[Valor da Venda]]</f>
        <v>0.12499999999999992</v>
      </c>
      <c r="L4232" s="3">
        <f>_xlfn.IFS(Vendas[[#This Row],[Margem de Lucro (%)]]&lt;15%,Vendas[[#This Row],[Valor da Venda]]*3%,Vendas[[#This Row],[Margem de Lucro (%)]]&lt;=20%,Vendas[[#This Row],[Valor da Venda]]*4.5%,TRUE,Vendas[[#This Row],[Valor da Venda]]*6%)</f>
        <v>7.7759999999999998</v>
      </c>
      <c r="M4232"/>
    </row>
    <row r="4233" spans="1:13" x14ac:dyDescent="0.3">
      <c r="A4233" s="7">
        <v>400252</v>
      </c>
      <c r="B4233" t="str">
        <f>_xlfn.XLOOKUP(Vendas[[#This Row],[ID Vendedor]],Vendedores[ID],Vendedores[Nome])</f>
        <v>Renata</v>
      </c>
      <c r="C4233" s="7" t="str">
        <f>_xlfn.XLOOKUP(Vendas[[#This Row],[ID Vendedor]],Vendedores[ID],Vendedores[Setor])</f>
        <v>AB</v>
      </c>
      <c r="D4233" s="7" t="s">
        <v>36</v>
      </c>
      <c r="E4233" t="str">
        <f>_xlfn.XLOOKUP(Vendas[[#This Row],[ID Item Vendido]],Agregado[ID],Agregado[Produto])</f>
        <v>Borracha vulcanizada em manta</v>
      </c>
      <c r="F4233" s="39">
        <v>45667</v>
      </c>
      <c r="G4233" s="7">
        <v>22</v>
      </c>
      <c r="H4233" s="3">
        <f>_xlfn.XLOOKUP(Vendas[[#This Row],[ID Item Vendido]],Agregado[ID],Agregado[Revenda])</f>
        <v>7.8</v>
      </c>
      <c r="I4233" s="3">
        <f>Vendas[[#This Row],[Valor Unitário]]*Vendas[[#This Row],[Qnt Vendida]]</f>
        <v>171.6</v>
      </c>
      <c r="J4233" s="3">
        <f>Vendas[[#This Row],[Valor da Venda]]-(_xlfn.XLOOKUP(Vendas[[#This Row],[ID Item Vendido]],Agregado[ID],Agregado[Custo])*Vendas[[#This Row],[Qnt Vendida]])</f>
        <v>39.599999999999994</v>
      </c>
      <c r="K4233" s="70">
        <f>Vendas[[#This Row],[Lucro da Venda]]/Vendas[[#This Row],[Valor da Venda]]</f>
        <v>0.23076923076923075</v>
      </c>
      <c r="L4233" s="3">
        <f>_xlfn.IFS(Vendas[[#This Row],[Margem de Lucro (%)]]&lt;15%,Vendas[[#This Row],[Valor da Venda]]*3%,Vendas[[#This Row],[Margem de Lucro (%)]]&lt;=20%,Vendas[[#This Row],[Valor da Venda]]*4.5%,TRUE,Vendas[[#This Row],[Valor da Venda]]*6%)</f>
        <v>10.295999999999999</v>
      </c>
      <c r="M4233"/>
    </row>
    <row r="4234" spans="1:13" x14ac:dyDescent="0.3">
      <c r="A4234" s="7">
        <v>400248</v>
      </c>
      <c r="B4234" t="str">
        <f>_xlfn.XLOOKUP(Vendas[[#This Row],[ID Vendedor]],Vendedores[ID],Vendedores[Nome])</f>
        <v>Patrícia</v>
      </c>
      <c r="C4234" s="7" t="str">
        <f>_xlfn.XLOOKUP(Vendas[[#This Row],[ID Vendedor]],Vendedores[ID],Vendedores[Setor])</f>
        <v>CM</v>
      </c>
      <c r="D4234" s="7" t="s">
        <v>45</v>
      </c>
      <c r="E4234" t="str">
        <f>_xlfn.XLOOKUP(Vendas[[#This Row],[ID Item Vendido]],Agregado[ID],Agregado[Produto])</f>
        <v>Viga de madeira tratada 4m</v>
      </c>
      <c r="F4234" s="39">
        <v>45668</v>
      </c>
      <c r="G4234" s="7">
        <v>12</v>
      </c>
      <c r="H4234" s="3">
        <f>_xlfn.XLOOKUP(Vendas[[#This Row],[ID Item Vendido]],Agregado[ID],Agregado[Revenda])</f>
        <v>66</v>
      </c>
      <c r="I4234" s="3">
        <f>Vendas[[#This Row],[Valor Unitário]]*Vendas[[#This Row],[Qnt Vendida]]</f>
        <v>792</v>
      </c>
      <c r="J4234" s="3">
        <f>Vendas[[#This Row],[Valor da Venda]]-(_xlfn.XLOOKUP(Vendas[[#This Row],[ID Item Vendido]],Agregado[ID],Agregado[Custo])*Vendas[[#This Row],[Qnt Vendida]])</f>
        <v>132</v>
      </c>
      <c r="K4234" s="70">
        <f>Vendas[[#This Row],[Lucro da Venda]]/Vendas[[#This Row],[Valor da Venda]]</f>
        <v>0.16666666666666666</v>
      </c>
      <c r="L4234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4234"/>
    </row>
    <row r="4235" spans="1:13" x14ac:dyDescent="0.3">
      <c r="A4235" s="7">
        <v>400251</v>
      </c>
      <c r="B4235" t="str">
        <f>_xlfn.XLOOKUP(Vendas[[#This Row],[ID Vendedor]],Vendedores[ID],Vendedores[Nome])</f>
        <v>Diego</v>
      </c>
      <c r="C4235" s="7" t="str">
        <f>_xlfn.XLOOKUP(Vendas[[#This Row],[ID Vendedor]],Vendedores[ID],Vendedores[Setor])</f>
        <v>AB</v>
      </c>
      <c r="D4235" s="7" t="s">
        <v>39</v>
      </c>
      <c r="E4235" t="str">
        <f>_xlfn.XLOOKUP(Vendas[[#This Row],[ID Item Vendido]],Agregado[ID],Agregado[Produto])</f>
        <v>Filme plástico industrial rolo 50m</v>
      </c>
      <c r="F4235" s="39">
        <v>45669</v>
      </c>
      <c r="G4235" s="7">
        <v>17</v>
      </c>
      <c r="H4235" s="3">
        <f>_xlfn.XLOOKUP(Vendas[[#This Row],[ID Item Vendido]],Agregado[ID],Agregado[Revenda])</f>
        <v>37</v>
      </c>
      <c r="I4235" s="3">
        <f>Vendas[[#This Row],[Valor Unitário]]*Vendas[[#This Row],[Qnt Vendida]]</f>
        <v>629</v>
      </c>
      <c r="J4235" s="3">
        <f>Vendas[[#This Row],[Valor da Venda]]-(_xlfn.XLOOKUP(Vendas[[#This Row],[ID Item Vendido]],Agregado[ID],Agregado[Custo])*Vendas[[#This Row],[Qnt Vendida]])</f>
        <v>153</v>
      </c>
      <c r="K4235" s="70">
        <f>Vendas[[#This Row],[Lucro da Venda]]/Vendas[[#This Row],[Valor da Venda]]</f>
        <v>0.24324324324324326</v>
      </c>
      <c r="L4235" s="3">
        <f>_xlfn.IFS(Vendas[[#This Row],[Margem de Lucro (%)]]&lt;15%,Vendas[[#This Row],[Valor da Venda]]*3%,Vendas[[#This Row],[Margem de Lucro (%)]]&lt;=20%,Vendas[[#This Row],[Valor da Venda]]*4.5%,TRUE,Vendas[[#This Row],[Valor da Venda]]*6%)</f>
        <v>37.74</v>
      </c>
      <c r="M4235"/>
    </row>
    <row r="4236" spans="1:13" x14ac:dyDescent="0.3">
      <c r="A4236" s="7">
        <v>400243</v>
      </c>
      <c r="B4236" t="str">
        <f>_xlfn.XLOOKUP(Vendas[[#This Row],[ID Vendedor]],Vendedores[ID],Vendedores[Nome])</f>
        <v>Marcelo</v>
      </c>
      <c r="C4236" s="7" t="str">
        <f>_xlfn.XLOOKUP(Vendas[[#This Row],[ID Vendedor]],Vendedores[ID],Vendedores[Setor])</f>
        <v>FM</v>
      </c>
      <c r="D4236" s="7" t="s">
        <v>27</v>
      </c>
      <c r="E4236" t="str">
        <f>_xlfn.XLOOKUP(Vendas[[#This Row],[ID Item Vendido]],Agregado[ID],Agregado[Produto])</f>
        <v>Chapa de metal lisa 1x2m</v>
      </c>
      <c r="F4236" s="39">
        <v>45669</v>
      </c>
      <c r="G4236" s="7">
        <v>6</v>
      </c>
      <c r="H4236" s="3">
        <f>_xlfn.XLOOKUP(Vendas[[#This Row],[ID Item Vendido]],Agregado[ID],Agregado[Revenda])</f>
        <v>52</v>
      </c>
      <c r="I4236" s="3">
        <f>Vendas[[#This Row],[Valor Unitário]]*Vendas[[#This Row],[Qnt Vendida]]</f>
        <v>312</v>
      </c>
      <c r="J4236" s="3">
        <f>Vendas[[#This Row],[Valor da Venda]]-(_xlfn.XLOOKUP(Vendas[[#This Row],[ID Item Vendido]],Agregado[ID],Agregado[Custo])*Vendas[[#This Row],[Qnt Vendida]])</f>
        <v>42</v>
      </c>
      <c r="K4236" s="70">
        <f>Vendas[[#This Row],[Lucro da Venda]]/Vendas[[#This Row],[Valor da Venda]]</f>
        <v>0.13461538461538461</v>
      </c>
      <c r="L4236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236"/>
    </row>
    <row r="4237" spans="1:13" x14ac:dyDescent="0.3">
      <c r="A4237" s="7">
        <v>400253</v>
      </c>
      <c r="B4237" t="str">
        <f>_xlfn.XLOOKUP(Vendas[[#This Row],[ID Vendedor]],Vendedores[ID],Vendedores[Nome])</f>
        <v>Gustavo</v>
      </c>
      <c r="C4237" s="7" t="str">
        <f>_xlfn.XLOOKUP(Vendas[[#This Row],[ID Vendedor]],Vendedores[ID],Vendedores[Setor])</f>
        <v>SC</v>
      </c>
      <c r="D4237" s="7" t="s">
        <v>48</v>
      </c>
      <c r="E4237" t="str">
        <f>_xlfn.XLOOKUP(Vendas[[#This Row],[ID Item Vendido]],Agregado[ID],Agregado[Produto])</f>
        <v>Tambor metálico 200L</v>
      </c>
      <c r="F4237" s="39">
        <v>45670</v>
      </c>
      <c r="G4237" s="7">
        <v>4</v>
      </c>
      <c r="H4237" s="3">
        <f>_xlfn.XLOOKUP(Vendas[[#This Row],[ID Item Vendido]],Agregado[ID],Agregado[Revenda])</f>
        <v>144</v>
      </c>
      <c r="I4237" s="3">
        <f>Vendas[[#This Row],[Valor Unitário]]*Vendas[[#This Row],[Qnt Vendida]]</f>
        <v>576</v>
      </c>
      <c r="J4237" s="3">
        <f>Vendas[[#This Row],[Valor da Venda]]-(_xlfn.XLOOKUP(Vendas[[#This Row],[ID Item Vendido]],Agregado[ID],Agregado[Custo])*Vendas[[#This Row],[Qnt Vendida]])</f>
        <v>96</v>
      </c>
      <c r="K4237" s="70">
        <f>Vendas[[#This Row],[Lucro da Venda]]/Vendas[[#This Row],[Valor da Venda]]</f>
        <v>0.16666666666666666</v>
      </c>
      <c r="L4237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4237"/>
    </row>
    <row r="4238" spans="1:13" x14ac:dyDescent="0.3">
      <c r="A4238" s="7">
        <v>400255</v>
      </c>
      <c r="B4238" t="str">
        <f>_xlfn.XLOOKUP(Vendas[[#This Row],[ID Vendedor]],Vendedores[ID],Vendedores[Nome])</f>
        <v>Carlos</v>
      </c>
      <c r="C4238" s="7" t="str">
        <f>_xlfn.XLOOKUP(Vendas[[#This Row],[ID Vendedor]],Vendedores[ID],Vendedores[Setor])</f>
        <v>SC</v>
      </c>
      <c r="D4238" s="7" t="s">
        <v>14</v>
      </c>
      <c r="E4238" t="str">
        <f>_xlfn.XLOOKUP(Vendas[[#This Row],[ID Item Vendido]],Agregado[ID],Agregado[Produto])</f>
        <v>Barril de plástico 200L</v>
      </c>
      <c r="F4238" s="39">
        <v>45670</v>
      </c>
      <c r="G4238" s="7">
        <v>2</v>
      </c>
      <c r="H4238" s="3">
        <f>_xlfn.XLOOKUP(Vendas[[#This Row],[ID Item Vendido]],Agregado[ID],Agregado[Revenda])</f>
        <v>114</v>
      </c>
      <c r="I4238" s="3">
        <f>Vendas[[#This Row],[Valor Unitário]]*Vendas[[#This Row],[Qnt Vendida]]</f>
        <v>228</v>
      </c>
      <c r="J4238" s="3">
        <f>Vendas[[#This Row],[Valor da Venda]]-(_xlfn.XLOOKUP(Vendas[[#This Row],[ID Item Vendido]],Agregado[ID],Agregado[Custo])*Vendas[[#This Row],[Qnt Vendida]])</f>
        <v>38</v>
      </c>
      <c r="K4238" s="70">
        <f>Vendas[[#This Row],[Lucro da Venda]]/Vendas[[#This Row],[Valor da Venda]]</f>
        <v>0.16666666666666666</v>
      </c>
      <c r="L4238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4238"/>
    </row>
    <row r="4239" spans="1:13" x14ac:dyDescent="0.3">
      <c r="A4239" s="7">
        <v>400241</v>
      </c>
      <c r="B4239" t="str">
        <f>_xlfn.XLOOKUP(Vendas[[#This Row],[ID Vendedor]],Vendedores[ID],Vendedores[Nome])</f>
        <v>Rodrigo</v>
      </c>
      <c r="C4239" s="7" t="str">
        <f>_xlfn.XLOOKUP(Vendas[[#This Row],[ID Vendedor]],Vendedores[ID],Vendedores[Setor])</f>
        <v>FM</v>
      </c>
      <c r="D4239" s="7" t="s">
        <v>47</v>
      </c>
      <c r="E4239" t="str">
        <f>_xlfn.XLOOKUP(Vendas[[#This Row],[ID Item Vendido]],Agregado[ID],Agregado[Produto])</f>
        <v>Fio de arame galvanizado rolo 50m</v>
      </c>
      <c r="F4239" s="39">
        <v>45672</v>
      </c>
      <c r="G4239" s="7">
        <v>17</v>
      </c>
      <c r="H4239" s="3">
        <f>_xlfn.XLOOKUP(Vendas[[#This Row],[ID Item Vendido]],Agregado[ID],Agregado[Revenda])</f>
        <v>21.2</v>
      </c>
      <c r="I4239" s="3">
        <f>Vendas[[#This Row],[Valor Unitário]]*Vendas[[#This Row],[Qnt Vendida]]</f>
        <v>360.4</v>
      </c>
      <c r="J4239" s="3">
        <f>Vendas[[#This Row],[Valor da Venda]]-(_xlfn.XLOOKUP(Vendas[[#This Row],[ID Item Vendido]],Agregado[ID],Agregado[Custo])*Vendas[[#This Row],[Qnt Vendida]])</f>
        <v>54.399999999999977</v>
      </c>
      <c r="K4239" s="70">
        <f>Vendas[[#This Row],[Lucro da Venda]]/Vendas[[#This Row],[Valor da Venda]]</f>
        <v>0.15094339622641503</v>
      </c>
      <c r="L4239" s="3">
        <f>_xlfn.IFS(Vendas[[#This Row],[Margem de Lucro (%)]]&lt;15%,Vendas[[#This Row],[Valor da Venda]]*3%,Vendas[[#This Row],[Margem de Lucro (%)]]&lt;=20%,Vendas[[#This Row],[Valor da Venda]]*4.5%,TRUE,Vendas[[#This Row],[Valor da Venda]]*6%)</f>
        <v>16.218</v>
      </c>
      <c r="M4239"/>
    </row>
    <row r="4240" spans="1:13" x14ac:dyDescent="0.3">
      <c r="A4240" s="7">
        <v>400252</v>
      </c>
      <c r="B4240" t="str">
        <f>_xlfn.XLOOKUP(Vendas[[#This Row],[ID Vendedor]],Vendedores[ID],Vendedores[Nome])</f>
        <v>Renata</v>
      </c>
      <c r="C4240" s="7" t="str">
        <f>_xlfn.XLOOKUP(Vendas[[#This Row],[ID Vendedor]],Vendedores[ID],Vendedores[Setor])</f>
        <v>AB</v>
      </c>
      <c r="D4240" s="7" t="s">
        <v>36</v>
      </c>
      <c r="E4240" t="str">
        <f>_xlfn.XLOOKUP(Vendas[[#This Row],[ID Item Vendido]],Agregado[ID],Agregado[Produto])</f>
        <v>Borracha vulcanizada em manta</v>
      </c>
      <c r="F4240" s="39">
        <v>45672</v>
      </c>
      <c r="G4240" s="7">
        <v>25</v>
      </c>
      <c r="H4240" s="3">
        <f>_xlfn.XLOOKUP(Vendas[[#This Row],[ID Item Vendido]],Agregado[ID],Agregado[Revenda])</f>
        <v>7.8</v>
      </c>
      <c r="I4240" s="3">
        <f>Vendas[[#This Row],[Valor Unitário]]*Vendas[[#This Row],[Qnt Vendida]]</f>
        <v>195</v>
      </c>
      <c r="J4240" s="3">
        <f>Vendas[[#This Row],[Valor da Venda]]-(_xlfn.XLOOKUP(Vendas[[#This Row],[ID Item Vendido]],Agregado[ID],Agregado[Custo])*Vendas[[#This Row],[Qnt Vendida]])</f>
        <v>45</v>
      </c>
      <c r="K4240" s="70">
        <f>Vendas[[#This Row],[Lucro da Venda]]/Vendas[[#This Row],[Valor da Venda]]</f>
        <v>0.23076923076923078</v>
      </c>
      <c r="L4240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4240"/>
    </row>
    <row r="4241" spans="1:13" x14ac:dyDescent="0.3">
      <c r="A4241" s="7">
        <v>400245</v>
      </c>
      <c r="B4241" t="str">
        <f>_xlfn.XLOOKUP(Vendas[[#This Row],[ID Vendedor]],Vendedores[ID],Vendedores[Nome])</f>
        <v>Thiago</v>
      </c>
      <c r="C4241" s="7" t="str">
        <f>_xlfn.XLOOKUP(Vendas[[#This Row],[ID Vendedor]],Vendedores[ID],Vendedores[Setor])</f>
        <v>AHD</v>
      </c>
      <c r="D4241" s="7" t="s">
        <v>30</v>
      </c>
      <c r="E4241" t="str">
        <f>_xlfn.XLOOKUP(Vendas[[#This Row],[ID Item Vendido]],Agregado[ID],Agregado[Produto])</f>
        <v>Estrutura metálica soldada</v>
      </c>
      <c r="F4241" s="39">
        <v>45673</v>
      </c>
      <c r="G4241" s="7">
        <v>5</v>
      </c>
      <c r="H4241" s="3">
        <f>_xlfn.XLOOKUP(Vendas[[#This Row],[ID Item Vendido]],Agregado[ID],Agregado[Revenda])</f>
        <v>400</v>
      </c>
      <c r="I4241" s="3">
        <f>Vendas[[#This Row],[Valor Unitário]]*Vendas[[#This Row],[Qnt Vendida]]</f>
        <v>2000</v>
      </c>
      <c r="J4241" s="3">
        <f>Vendas[[#This Row],[Valor da Venda]]-(_xlfn.XLOOKUP(Vendas[[#This Row],[ID Item Vendido]],Agregado[ID],Agregado[Custo])*Vendas[[#This Row],[Qnt Vendida]])</f>
        <v>400</v>
      </c>
      <c r="K4241" s="70">
        <f>Vendas[[#This Row],[Lucro da Venda]]/Vendas[[#This Row],[Valor da Venda]]</f>
        <v>0.2</v>
      </c>
      <c r="L424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241"/>
    </row>
    <row r="4242" spans="1:13" x14ac:dyDescent="0.3">
      <c r="A4242" s="7">
        <v>400244</v>
      </c>
      <c r="B4242" t="str">
        <f>_xlfn.XLOOKUP(Vendas[[#This Row],[ID Vendedor]],Vendedores[ID],Vendedores[Nome])</f>
        <v>Camila</v>
      </c>
      <c r="C4242" s="7" t="str">
        <f>_xlfn.XLOOKUP(Vendas[[#This Row],[ID Vendedor]],Vendedores[ID],Vendedores[Setor])</f>
        <v>AHD</v>
      </c>
      <c r="D4242" s="7" t="s">
        <v>44</v>
      </c>
      <c r="E4242" t="str">
        <f>_xlfn.XLOOKUP(Vendas[[#This Row],[ID Item Vendido]],Agregado[ID],Agregado[Produto])</f>
        <v>Liga metálica especial</v>
      </c>
      <c r="F4242" s="39">
        <v>45673</v>
      </c>
      <c r="G4242" s="7">
        <v>38</v>
      </c>
      <c r="H4242" s="3">
        <f>_xlfn.XLOOKUP(Vendas[[#This Row],[ID Item Vendido]],Agregado[ID],Agregado[Revenda])</f>
        <v>32.5</v>
      </c>
      <c r="I4242" s="3">
        <f>Vendas[[#This Row],[Valor Unitário]]*Vendas[[#This Row],[Qnt Vendida]]</f>
        <v>1235</v>
      </c>
      <c r="J4242" s="3">
        <f>Vendas[[#This Row],[Valor da Venda]]-(_xlfn.XLOOKUP(Vendas[[#This Row],[ID Item Vendido]],Agregado[ID],Agregado[Custo])*Vendas[[#This Row],[Qnt Vendida]])</f>
        <v>285</v>
      </c>
      <c r="K4242" s="70">
        <f>Vendas[[#This Row],[Lucro da Venda]]/Vendas[[#This Row],[Valor da Venda]]</f>
        <v>0.23076923076923078</v>
      </c>
      <c r="L4242" s="3">
        <f>_xlfn.IFS(Vendas[[#This Row],[Margem de Lucro (%)]]&lt;15%,Vendas[[#This Row],[Valor da Venda]]*3%,Vendas[[#This Row],[Margem de Lucro (%)]]&lt;=20%,Vendas[[#This Row],[Valor da Venda]]*4.5%,TRUE,Vendas[[#This Row],[Valor da Venda]]*6%)</f>
        <v>74.099999999999994</v>
      </c>
      <c r="M4242"/>
    </row>
    <row r="4243" spans="1:13" x14ac:dyDescent="0.3">
      <c r="A4243" s="7">
        <v>400248</v>
      </c>
      <c r="B4243" t="str">
        <f>_xlfn.XLOOKUP(Vendas[[#This Row],[ID Vendedor]],Vendedores[ID],Vendedores[Nome])</f>
        <v>Patrícia</v>
      </c>
      <c r="C4243" s="7" t="str">
        <f>_xlfn.XLOOKUP(Vendas[[#This Row],[ID Vendedor]],Vendedores[ID],Vendedores[Setor])</f>
        <v>CM</v>
      </c>
      <c r="D4243" s="7" t="s">
        <v>45</v>
      </c>
      <c r="E4243" t="str">
        <f>_xlfn.XLOOKUP(Vendas[[#This Row],[ID Item Vendido]],Agregado[ID],Agregado[Produto])</f>
        <v>Viga de madeira tratada 4m</v>
      </c>
      <c r="F4243" s="39">
        <v>45673</v>
      </c>
      <c r="G4243" s="7">
        <v>15</v>
      </c>
      <c r="H4243" s="3">
        <f>_xlfn.XLOOKUP(Vendas[[#This Row],[ID Item Vendido]],Agregado[ID],Agregado[Revenda])</f>
        <v>66</v>
      </c>
      <c r="I4243" s="3">
        <f>Vendas[[#This Row],[Valor Unitário]]*Vendas[[#This Row],[Qnt Vendida]]</f>
        <v>990</v>
      </c>
      <c r="J4243" s="3">
        <f>Vendas[[#This Row],[Valor da Venda]]-(_xlfn.XLOOKUP(Vendas[[#This Row],[ID Item Vendido]],Agregado[ID],Agregado[Custo])*Vendas[[#This Row],[Qnt Vendida]])</f>
        <v>165</v>
      </c>
      <c r="K4243" s="70">
        <f>Vendas[[#This Row],[Lucro da Venda]]/Vendas[[#This Row],[Valor da Venda]]</f>
        <v>0.16666666666666666</v>
      </c>
      <c r="L4243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4243"/>
    </row>
    <row r="4244" spans="1:13" x14ac:dyDescent="0.3">
      <c r="A4244" s="7">
        <v>400244</v>
      </c>
      <c r="B4244" t="str">
        <f>_xlfn.XLOOKUP(Vendas[[#This Row],[ID Vendedor]],Vendedores[ID],Vendedores[Nome])</f>
        <v>Camila</v>
      </c>
      <c r="C4244" s="7" t="str">
        <f>_xlfn.XLOOKUP(Vendas[[#This Row],[ID Vendedor]],Vendedores[ID],Vendedores[Setor])</f>
        <v>AHD</v>
      </c>
      <c r="D4244" s="7" t="s">
        <v>44</v>
      </c>
      <c r="E4244" t="str">
        <f>_xlfn.XLOOKUP(Vendas[[#This Row],[ID Item Vendido]],Agregado[ID],Agregado[Produto])</f>
        <v>Liga metálica especial</v>
      </c>
      <c r="F4244" s="39">
        <v>45673</v>
      </c>
      <c r="G4244" s="7">
        <v>26</v>
      </c>
      <c r="H4244" s="3">
        <f>_xlfn.XLOOKUP(Vendas[[#This Row],[ID Item Vendido]],Agregado[ID],Agregado[Revenda])</f>
        <v>32.5</v>
      </c>
      <c r="I4244" s="3">
        <f>Vendas[[#This Row],[Valor Unitário]]*Vendas[[#This Row],[Qnt Vendida]]</f>
        <v>845</v>
      </c>
      <c r="J4244" s="3">
        <f>Vendas[[#This Row],[Valor da Venda]]-(_xlfn.XLOOKUP(Vendas[[#This Row],[ID Item Vendido]],Agregado[ID],Agregado[Custo])*Vendas[[#This Row],[Qnt Vendida]])</f>
        <v>195</v>
      </c>
      <c r="K4244" s="70">
        <f>Vendas[[#This Row],[Lucro da Venda]]/Vendas[[#This Row],[Valor da Venda]]</f>
        <v>0.23076923076923078</v>
      </c>
      <c r="L4244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4244"/>
    </row>
    <row r="4245" spans="1:13" x14ac:dyDescent="0.3">
      <c r="A4245" s="7">
        <v>400251</v>
      </c>
      <c r="B4245" t="str">
        <f>_xlfn.XLOOKUP(Vendas[[#This Row],[ID Vendedor]],Vendedores[ID],Vendedores[Nome])</f>
        <v>Diego</v>
      </c>
      <c r="C4245" s="7" t="str">
        <f>_xlfn.XLOOKUP(Vendas[[#This Row],[ID Vendedor]],Vendedores[ID],Vendedores[Setor])</f>
        <v>AB</v>
      </c>
      <c r="D4245" s="7" t="s">
        <v>39</v>
      </c>
      <c r="E4245" t="str">
        <f>_xlfn.XLOOKUP(Vendas[[#This Row],[ID Item Vendido]],Agregado[ID],Agregado[Produto])</f>
        <v>Filme plástico industrial rolo 50m</v>
      </c>
      <c r="F4245" s="39">
        <v>45673</v>
      </c>
      <c r="G4245" s="7">
        <v>19</v>
      </c>
      <c r="H4245" s="3">
        <f>_xlfn.XLOOKUP(Vendas[[#This Row],[ID Item Vendido]],Agregado[ID],Agregado[Revenda])</f>
        <v>37</v>
      </c>
      <c r="I4245" s="3">
        <f>Vendas[[#This Row],[Valor Unitário]]*Vendas[[#This Row],[Qnt Vendida]]</f>
        <v>703</v>
      </c>
      <c r="J4245" s="3">
        <f>Vendas[[#This Row],[Valor da Venda]]-(_xlfn.XLOOKUP(Vendas[[#This Row],[ID Item Vendido]],Agregado[ID],Agregado[Custo])*Vendas[[#This Row],[Qnt Vendida]])</f>
        <v>171</v>
      </c>
      <c r="K4245" s="70">
        <f>Vendas[[#This Row],[Lucro da Venda]]/Vendas[[#This Row],[Valor da Venda]]</f>
        <v>0.24324324324324326</v>
      </c>
      <c r="L4245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4245"/>
    </row>
    <row r="4246" spans="1:13" x14ac:dyDescent="0.3">
      <c r="A4246" s="7">
        <v>400244</v>
      </c>
      <c r="B4246" t="str">
        <f>_xlfn.XLOOKUP(Vendas[[#This Row],[ID Vendedor]],Vendedores[ID],Vendedores[Nome])</f>
        <v>Camila</v>
      </c>
      <c r="C4246" s="7" t="str">
        <f>_xlfn.XLOOKUP(Vendas[[#This Row],[ID Vendedor]],Vendedores[ID],Vendedores[Setor])</f>
        <v>AHD</v>
      </c>
      <c r="D4246" s="7" t="s">
        <v>30</v>
      </c>
      <c r="E4246" t="str">
        <f>_xlfn.XLOOKUP(Vendas[[#This Row],[ID Item Vendido]],Agregado[ID],Agregado[Produto])</f>
        <v>Estrutura metálica soldada</v>
      </c>
      <c r="F4246" s="39">
        <v>45674</v>
      </c>
      <c r="G4246" s="7">
        <v>3</v>
      </c>
      <c r="H4246" s="3">
        <f>_xlfn.XLOOKUP(Vendas[[#This Row],[ID Item Vendido]],Agregado[ID],Agregado[Revenda])</f>
        <v>400</v>
      </c>
      <c r="I4246" s="3">
        <f>Vendas[[#This Row],[Valor Unitário]]*Vendas[[#This Row],[Qnt Vendida]]</f>
        <v>1200</v>
      </c>
      <c r="J4246" s="3">
        <f>Vendas[[#This Row],[Valor da Venda]]-(_xlfn.XLOOKUP(Vendas[[#This Row],[ID Item Vendido]],Agregado[ID],Agregado[Custo])*Vendas[[#This Row],[Qnt Vendida]])</f>
        <v>240</v>
      </c>
      <c r="K4246" s="70">
        <f>Vendas[[#This Row],[Lucro da Venda]]/Vendas[[#This Row],[Valor da Venda]]</f>
        <v>0.2</v>
      </c>
      <c r="L4246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246"/>
    </row>
    <row r="4247" spans="1:13" x14ac:dyDescent="0.3">
      <c r="A4247" s="7">
        <v>400249</v>
      </c>
      <c r="B4247" t="str">
        <f>_xlfn.XLOOKUP(Vendas[[#This Row],[ID Vendedor]],Vendedores[ID],Vendedores[Nome])</f>
        <v>Bruno</v>
      </c>
      <c r="C4247" s="7" t="str">
        <f>_xlfn.XLOOKUP(Vendas[[#This Row],[ID Vendedor]],Vendedores[ID],Vendedores[Setor])</f>
        <v>CM</v>
      </c>
      <c r="D4247" s="7" t="s">
        <v>45</v>
      </c>
      <c r="E4247" t="str">
        <f>_xlfn.XLOOKUP(Vendas[[#This Row],[ID Item Vendido]],Agregado[ID],Agregado[Produto])</f>
        <v>Viga de madeira tratada 4m</v>
      </c>
      <c r="F4247" s="39">
        <v>45674</v>
      </c>
      <c r="G4247" s="7">
        <v>15</v>
      </c>
      <c r="H4247" s="3">
        <f>_xlfn.XLOOKUP(Vendas[[#This Row],[ID Item Vendido]],Agregado[ID],Agregado[Revenda])</f>
        <v>66</v>
      </c>
      <c r="I4247" s="3">
        <f>Vendas[[#This Row],[Valor Unitário]]*Vendas[[#This Row],[Qnt Vendida]]</f>
        <v>990</v>
      </c>
      <c r="J4247" s="3">
        <f>Vendas[[#This Row],[Valor da Venda]]-(_xlfn.XLOOKUP(Vendas[[#This Row],[ID Item Vendido]],Agregado[ID],Agregado[Custo])*Vendas[[#This Row],[Qnt Vendida]])</f>
        <v>165</v>
      </c>
      <c r="K4247" s="70">
        <f>Vendas[[#This Row],[Lucro da Venda]]/Vendas[[#This Row],[Valor da Venda]]</f>
        <v>0.16666666666666666</v>
      </c>
      <c r="L4247" s="3">
        <f>_xlfn.IFS(Vendas[[#This Row],[Margem de Lucro (%)]]&lt;15%,Vendas[[#This Row],[Valor da Venda]]*3%,Vendas[[#This Row],[Margem de Lucro (%)]]&lt;=20%,Vendas[[#This Row],[Valor da Venda]]*4.5%,TRUE,Vendas[[#This Row],[Valor da Venda]]*6%)</f>
        <v>44.55</v>
      </c>
      <c r="M4247"/>
    </row>
    <row r="4248" spans="1:13" x14ac:dyDescent="0.3">
      <c r="A4248" s="7">
        <v>400251</v>
      </c>
      <c r="B4248" t="str">
        <f>_xlfn.XLOOKUP(Vendas[[#This Row],[ID Vendedor]],Vendedores[ID],Vendedores[Nome])</f>
        <v>Diego</v>
      </c>
      <c r="C4248" s="7" t="str">
        <f>_xlfn.XLOOKUP(Vendas[[#This Row],[ID Vendedor]],Vendedores[ID],Vendedores[Setor])</f>
        <v>AB</v>
      </c>
      <c r="D4248" s="7" t="s">
        <v>39</v>
      </c>
      <c r="E4248" t="str">
        <f>_xlfn.XLOOKUP(Vendas[[#This Row],[ID Item Vendido]],Agregado[ID],Agregado[Produto])</f>
        <v>Filme plástico industrial rolo 50m</v>
      </c>
      <c r="F4248" s="39">
        <v>45674</v>
      </c>
      <c r="G4248" s="7">
        <v>10</v>
      </c>
      <c r="H4248" s="3">
        <f>_xlfn.XLOOKUP(Vendas[[#This Row],[ID Item Vendido]],Agregado[ID],Agregado[Revenda])</f>
        <v>37</v>
      </c>
      <c r="I4248" s="3">
        <f>Vendas[[#This Row],[Valor Unitário]]*Vendas[[#This Row],[Qnt Vendida]]</f>
        <v>370</v>
      </c>
      <c r="J4248" s="3">
        <f>Vendas[[#This Row],[Valor da Venda]]-(_xlfn.XLOOKUP(Vendas[[#This Row],[ID Item Vendido]],Agregado[ID],Agregado[Custo])*Vendas[[#This Row],[Qnt Vendida]])</f>
        <v>90</v>
      </c>
      <c r="K4248" s="70">
        <f>Vendas[[#This Row],[Lucro da Venda]]/Vendas[[#This Row],[Valor da Venda]]</f>
        <v>0.24324324324324326</v>
      </c>
      <c r="L4248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4248"/>
    </row>
    <row r="4249" spans="1:13" x14ac:dyDescent="0.3">
      <c r="A4249" s="7">
        <v>400248</v>
      </c>
      <c r="B4249" t="str">
        <f>_xlfn.XLOOKUP(Vendas[[#This Row],[ID Vendedor]],Vendedores[ID],Vendedores[Nome])</f>
        <v>Patrícia</v>
      </c>
      <c r="C4249" s="7" t="str">
        <f>_xlfn.XLOOKUP(Vendas[[#This Row],[ID Vendedor]],Vendedores[ID],Vendedores[Setor])</f>
        <v>CM</v>
      </c>
      <c r="D4249" s="7" t="s">
        <v>34</v>
      </c>
      <c r="E4249" t="str">
        <f>_xlfn.XLOOKUP(Vendas[[#This Row],[ID Item Vendido]],Agregado[ID],Agregado[Produto])</f>
        <v>Restos de madeira p/ MDP/OSB saco de 20kg</v>
      </c>
      <c r="F4249" s="39">
        <v>45674</v>
      </c>
      <c r="G4249" s="7">
        <v>23</v>
      </c>
      <c r="H4249" s="3">
        <f>_xlfn.XLOOKUP(Vendas[[#This Row],[ID Item Vendido]],Agregado[ID],Agregado[Revenda])</f>
        <v>13.8</v>
      </c>
      <c r="I4249" s="3">
        <f>Vendas[[#This Row],[Valor Unitário]]*Vendas[[#This Row],[Qnt Vendida]]</f>
        <v>317.40000000000003</v>
      </c>
      <c r="J4249" s="3">
        <f>Vendas[[#This Row],[Valor da Venda]]-(_xlfn.XLOOKUP(Vendas[[#This Row],[ID Item Vendido]],Agregado[ID],Agregado[Custo])*Vendas[[#This Row],[Qnt Vendida]])</f>
        <v>41.400000000000034</v>
      </c>
      <c r="K4249" s="70">
        <f>Vendas[[#This Row],[Lucro da Venda]]/Vendas[[#This Row],[Valor da Venda]]</f>
        <v>0.13043478260869573</v>
      </c>
      <c r="L4249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4249"/>
    </row>
    <row r="4250" spans="1:13" x14ac:dyDescent="0.3">
      <c r="A4250" s="7">
        <v>400250</v>
      </c>
      <c r="B4250" t="str">
        <f>_xlfn.XLOOKUP(Vendas[[#This Row],[ID Vendedor]],Vendedores[ID],Vendedores[Nome])</f>
        <v>Larissa</v>
      </c>
      <c r="C4250" s="7" t="str">
        <f>_xlfn.XLOOKUP(Vendas[[#This Row],[ID Vendedor]],Vendedores[ID],Vendedores[Setor])</f>
        <v>AB</v>
      </c>
      <c r="D4250" s="7" t="s">
        <v>36</v>
      </c>
      <c r="E4250" t="str">
        <f>_xlfn.XLOOKUP(Vendas[[#This Row],[ID Item Vendido]],Agregado[ID],Agregado[Produto])</f>
        <v>Borracha vulcanizada em manta</v>
      </c>
      <c r="F4250" s="39">
        <v>45675</v>
      </c>
      <c r="G4250" s="7">
        <v>20</v>
      </c>
      <c r="H4250" s="3">
        <f>_xlfn.XLOOKUP(Vendas[[#This Row],[ID Item Vendido]],Agregado[ID],Agregado[Revenda])</f>
        <v>7.8</v>
      </c>
      <c r="I4250" s="3">
        <f>Vendas[[#This Row],[Valor Unitário]]*Vendas[[#This Row],[Qnt Vendida]]</f>
        <v>156</v>
      </c>
      <c r="J4250" s="3">
        <f>Vendas[[#This Row],[Valor da Venda]]-(_xlfn.XLOOKUP(Vendas[[#This Row],[ID Item Vendido]],Agregado[ID],Agregado[Custo])*Vendas[[#This Row],[Qnt Vendida]])</f>
        <v>36</v>
      </c>
      <c r="K4250" s="70">
        <f>Vendas[[#This Row],[Lucro da Venda]]/Vendas[[#This Row],[Valor da Venda]]</f>
        <v>0.23076923076923078</v>
      </c>
      <c r="L4250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250"/>
    </row>
    <row r="4251" spans="1:13" x14ac:dyDescent="0.3">
      <c r="A4251" s="7">
        <v>400244</v>
      </c>
      <c r="B4251" t="str">
        <f>_xlfn.XLOOKUP(Vendas[[#This Row],[ID Vendedor]],Vendedores[ID],Vendedores[Nome])</f>
        <v>Camila</v>
      </c>
      <c r="C4251" s="7" t="str">
        <f>_xlfn.XLOOKUP(Vendas[[#This Row],[ID Vendedor]],Vendedores[ID],Vendedores[Setor])</f>
        <v>AHD</v>
      </c>
      <c r="D4251" s="7" t="s">
        <v>30</v>
      </c>
      <c r="E4251" t="str">
        <f>_xlfn.XLOOKUP(Vendas[[#This Row],[ID Item Vendido]],Agregado[ID],Agregado[Produto])</f>
        <v>Estrutura metálica soldada</v>
      </c>
      <c r="F4251" s="39">
        <v>45676</v>
      </c>
      <c r="G4251" s="7">
        <v>6</v>
      </c>
      <c r="H4251" s="3">
        <f>_xlfn.XLOOKUP(Vendas[[#This Row],[ID Item Vendido]],Agregado[ID],Agregado[Revenda])</f>
        <v>400</v>
      </c>
      <c r="I4251" s="3">
        <f>Vendas[[#This Row],[Valor Unitário]]*Vendas[[#This Row],[Qnt Vendida]]</f>
        <v>2400</v>
      </c>
      <c r="J4251" s="3">
        <f>Vendas[[#This Row],[Valor da Venda]]-(_xlfn.XLOOKUP(Vendas[[#This Row],[ID Item Vendido]],Agregado[ID],Agregado[Custo])*Vendas[[#This Row],[Qnt Vendida]])</f>
        <v>480</v>
      </c>
      <c r="K4251" s="70">
        <f>Vendas[[#This Row],[Lucro da Venda]]/Vendas[[#This Row],[Valor da Venda]]</f>
        <v>0.2</v>
      </c>
      <c r="L4251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4251"/>
    </row>
    <row r="4252" spans="1:13" x14ac:dyDescent="0.3">
      <c r="A4252" s="7">
        <v>400253</v>
      </c>
      <c r="B4252" t="str">
        <f>_xlfn.XLOOKUP(Vendas[[#This Row],[ID Vendedor]],Vendedores[ID],Vendedores[Nome])</f>
        <v>Gustavo</v>
      </c>
      <c r="C4252" s="7" t="str">
        <f>_xlfn.XLOOKUP(Vendas[[#This Row],[ID Vendedor]],Vendedores[ID],Vendedores[Setor])</f>
        <v>SC</v>
      </c>
      <c r="D4252" s="7" t="s">
        <v>14</v>
      </c>
      <c r="E4252" t="str">
        <f>_xlfn.XLOOKUP(Vendas[[#This Row],[ID Item Vendido]],Agregado[ID],Agregado[Produto])</f>
        <v>Barril de plástico 200L</v>
      </c>
      <c r="F4252" s="39">
        <v>45676</v>
      </c>
      <c r="G4252" s="7">
        <v>8</v>
      </c>
      <c r="H4252" s="3">
        <f>_xlfn.XLOOKUP(Vendas[[#This Row],[ID Item Vendido]],Agregado[ID],Agregado[Revenda])</f>
        <v>114</v>
      </c>
      <c r="I4252" s="3">
        <f>Vendas[[#This Row],[Valor Unitário]]*Vendas[[#This Row],[Qnt Vendida]]</f>
        <v>912</v>
      </c>
      <c r="J4252" s="3">
        <f>Vendas[[#This Row],[Valor da Venda]]-(_xlfn.XLOOKUP(Vendas[[#This Row],[ID Item Vendido]],Agregado[ID],Agregado[Custo])*Vendas[[#This Row],[Qnt Vendida]])</f>
        <v>152</v>
      </c>
      <c r="K4252" s="70">
        <f>Vendas[[#This Row],[Lucro da Venda]]/Vendas[[#This Row],[Valor da Venda]]</f>
        <v>0.16666666666666666</v>
      </c>
      <c r="L4252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4252"/>
    </row>
    <row r="4253" spans="1:13" x14ac:dyDescent="0.3">
      <c r="A4253" s="7">
        <v>400246</v>
      </c>
      <c r="B4253" t="str">
        <f>_xlfn.XLOOKUP(Vendas[[#This Row],[ID Vendedor]],Vendedores[ID],Vendedores[Nome])</f>
        <v>Juliana</v>
      </c>
      <c r="C4253" s="7" t="str">
        <f>_xlfn.XLOOKUP(Vendas[[#This Row],[ID Vendedor]],Vendedores[ID],Vendedores[Setor])</f>
        <v>AHD</v>
      </c>
      <c r="D4253" s="7" t="s">
        <v>9</v>
      </c>
      <c r="E4253" t="str">
        <f>_xlfn.XLOOKUP(Vendas[[#This Row],[ID Item Vendido]],Agregado[ID],Agregado[Produto])</f>
        <v>Barra de aço simples</v>
      </c>
      <c r="F4253" s="39">
        <v>45676</v>
      </c>
      <c r="G4253" s="7">
        <v>123</v>
      </c>
      <c r="H4253" s="3">
        <f>_xlfn.XLOOKUP(Vendas[[#This Row],[ID Item Vendido]],Agregado[ID],Agregado[Revenda])</f>
        <v>6.7</v>
      </c>
      <c r="I4253" s="3">
        <f>Vendas[[#This Row],[Valor Unitário]]*Vendas[[#This Row],[Qnt Vendida]]</f>
        <v>824.1</v>
      </c>
      <c r="J4253" s="3">
        <f>Vendas[[#This Row],[Valor da Venda]]-(_xlfn.XLOOKUP(Vendas[[#This Row],[ID Item Vendido]],Agregado[ID],Agregado[Custo])*Vendas[[#This Row],[Qnt Vendida]])</f>
        <v>110.70000000000005</v>
      </c>
      <c r="K4253" s="70">
        <f>Vendas[[#This Row],[Lucro da Venda]]/Vendas[[#This Row],[Valor da Venda]]</f>
        <v>0.13432835820895528</v>
      </c>
      <c r="L4253" s="3">
        <f>_xlfn.IFS(Vendas[[#This Row],[Margem de Lucro (%)]]&lt;15%,Vendas[[#This Row],[Valor da Venda]]*3%,Vendas[[#This Row],[Margem de Lucro (%)]]&lt;=20%,Vendas[[#This Row],[Valor da Venda]]*4.5%,TRUE,Vendas[[#This Row],[Valor da Venda]]*6%)</f>
        <v>24.722999999999999</v>
      </c>
      <c r="M4253"/>
    </row>
    <row r="4254" spans="1:13" x14ac:dyDescent="0.3">
      <c r="A4254" s="7">
        <v>400244</v>
      </c>
      <c r="B4254" t="str">
        <f>_xlfn.XLOOKUP(Vendas[[#This Row],[ID Vendedor]],Vendedores[ID],Vendedores[Nome])</f>
        <v>Camila</v>
      </c>
      <c r="C4254" s="7" t="str">
        <f>_xlfn.XLOOKUP(Vendas[[#This Row],[ID Vendedor]],Vendedores[ID],Vendedores[Setor])</f>
        <v>AHD</v>
      </c>
      <c r="D4254" s="7" t="s">
        <v>30</v>
      </c>
      <c r="E4254" t="str">
        <f>_xlfn.XLOOKUP(Vendas[[#This Row],[ID Item Vendido]],Agregado[ID],Agregado[Produto])</f>
        <v>Estrutura metálica soldada</v>
      </c>
      <c r="F4254" s="39">
        <v>45677</v>
      </c>
      <c r="G4254" s="7">
        <v>5</v>
      </c>
      <c r="H4254" s="3">
        <f>_xlfn.XLOOKUP(Vendas[[#This Row],[ID Item Vendido]],Agregado[ID],Agregado[Revenda])</f>
        <v>400</v>
      </c>
      <c r="I4254" s="3">
        <f>Vendas[[#This Row],[Valor Unitário]]*Vendas[[#This Row],[Qnt Vendida]]</f>
        <v>2000</v>
      </c>
      <c r="J4254" s="3">
        <f>Vendas[[#This Row],[Valor da Venda]]-(_xlfn.XLOOKUP(Vendas[[#This Row],[ID Item Vendido]],Agregado[ID],Agregado[Custo])*Vendas[[#This Row],[Qnt Vendida]])</f>
        <v>400</v>
      </c>
      <c r="K4254" s="70">
        <f>Vendas[[#This Row],[Lucro da Venda]]/Vendas[[#This Row],[Valor da Venda]]</f>
        <v>0.2</v>
      </c>
      <c r="L425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254"/>
    </row>
    <row r="4255" spans="1:13" x14ac:dyDescent="0.3">
      <c r="A4255" s="7">
        <v>400247</v>
      </c>
      <c r="B4255" t="str">
        <f>_xlfn.XLOOKUP(Vendas[[#This Row],[ID Vendedor]],Vendedores[ID],Vendedores[Nome])</f>
        <v>André</v>
      </c>
      <c r="C4255" s="7" t="str">
        <f>_xlfn.XLOOKUP(Vendas[[#This Row],[ID Vendedor]],Vendedores[ID],Vendedores[Setor])</f>
        <v>CM</v>
      </c>
      <c r="D4255" s="7" t="s">
        <v>22</v>
      </c>
      <c r="E4255" t="str">
        <f>_xlfn.XLOOKUP(Vendas[[#This Row],[ID Item Vendido]],Agregado[ID],Agregado[Produto])</f>
        <v>Painel MDP 2,75x1,83m</v>
      </c>
      <c r="F4255" s="39">
        <v>45677</v>
      </c>
      <c r="G4255" s="7">
        <v>16</v>
      </c>
      <c r="H4255" s="3">
        <f>_xlfn.XLOOKUP(Vendas[[#This Row],[ID Item Vendido]],Agregado[ID],Agregado[Revenda])</f>
        <v>119</v>
      </c>
      <c r="I4255" s="3">
        <f>Vendas[[#This Row],[Valor Unitário]]*Vendas[[#This Row],[Qnt Vendida]]</f>
        <v>1904</v>
      </c>
      <c r="J4255" s="3">
        <f>Vendas[[#This Row],[Valor da Venda]]-(_xlfn.XLOOKUP(Vendas[[#This Row],[ID Item Vendido]],Agregado[ID],Agregado[Custo])*Vendas[[#This Row],[Qnt Vendida]])</f>
        <v>384</v>
      </c>
      <c r="K4255" s="70">
        <f>Vendas[[#This Row],[Lucro da Venda]]/Vendas[[#This Row],[Valor da Venda]]</f>
        <v>0.20168067226890757</v>
      </c>
      <c r="L4255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4255"/>
    </row>
    <row r="4256" spans="1:13" x14ac:dyDescent="0.3">
      <c r="A4256" s="7">
        <v>400244</v>
      </c>
      <c r="B4256" t="str">
        <f>_xlfn.XLOOKUP(Vendas[[#This Row],[ID Vendedor]],Vendedores[ID],Vendedores[Nome])</f>
        <v>Camila</v>
      </c>
      <c r="C4256" s="7" t="str">
        <f>_xlfn.XLOOKUP(Vendas[[#This Row],[ID Vendedor]],Vendedores[ID],Vendedores[Setor])</f>
        <v>AHD</v>
      </c>
      <c r="D4256" s="7" t="s">
        <v>18</v>
      </c>
      <c r="E4256" t="str">
        <f>_xlfn.XLOOKUP(Vendas[[#This Row],[ID Item Vendido]],Agregado[ID],Agregado[Produto])</f>
        <v>Peça forjada sob encomenda</v>
      </c>
      <c r="F4256" s="39">
        <v>45678</v>
      </c>
      <c r="G4256" s="7">
        <v>6</v>
      </c>
      <c r="H4256" s="3">
        <f>_xlfn.XLOOKUP(Vendas[[#This Row],[ID Item Vendido]],Agregado[ID],Agregado[Revenda])</f>
        <v>264.60000000000002</v>
      </c>
      <c r="I4256" s="3">
        <f>Vendas[[#This Row],[Valor Unitário]]*Vendas[[#This Row],[Qnt Vendida]]</f>
        <v>1587.6000000000001</v>
      </c>
      <c r="J4256" s="3">
        <f>Vendas[[#This Row],[Valor da Venda]]-(_xlfn.XLOOKUP(Vendas[[#This Row],[ID Item Vendido]],Agregado[ID],Agregado[Custo])*Vendas[[#This Row],[Qnt Vendida]])</f>
        <v>87.600000000000136</v>
      </c>
      <c r="K4256" s="70">
        <f>Vendas[[#This Row],[Lucro da Venda]]/Vendas[[#This Row],[Valor da Venda]]</f>
        <v>5.5177626606198113E-2</v>
      </c>
      <c r="L4256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256"/>
    </row>
    <row r="4257" spans="1:13" x14ac:dyDescent="0.3">
      <c r="A4257" s="7">
        <v>400247</v>
      </c>
      <c r="B4257" t="str">
        <f>_xlfn.XLOOKUP(Vendas[[#This Row],[ID Vendedor]],Vendedores[ID],Vendedores[Nome])</f>
        <v>André</v>
      </c>
      <c r="C4257" s="7" t="str">
        <f>_xlfn.XLOOKUP(Vendas[[#This Row],[ID Vendedor]],Vendedores[ID],Vendedores[Setor])</f>
        <v>CM</v>
      </c>
      <c r="D4257" s="7" t="s">
        <v>43</v>
      </c>
      <c r="E4257" t="str">
        <f>_xlfn.XLOOKUP(Vendas[[#This Row],[ID Item Vendido]],Agregado[ID],Agregado[Produto])</f>
        <v>Madeira Bruta (Tora)</v>
      </c>
      <c r="F4257" s="39">
        <v>45678</v>
      </c>
      <c r="G4257" s="7">
        <v>7</v>
      </c>
      <c r="H4257" s="3">
        <f>_xlfn.XLOOKUP(Vendas[[#This Row],[ID Item Vendido]],Agregado[ID],Agregado[Revenda])</f>
        <v>212</v>
      </c>
      <c r="I4257" s="3">
        <f>Vendas[[#This Row],[Valor Unitário]]*Vendas[[#This Row],[Qnt Vendida]]</f>
        <v>1484</v>
      </c>
      <c r="J4257" s="3">
        <f>Vendas[[#This Row],[Valor da Venda]]-(_xlfn.XLOOKUP(Vendas[[#This Row],[ID Item Vendido]],Agregado[ID],Agregado[Custo])*Vendas[[#This Row],[Qnt Vendida]])</f>
        <v>224</v>
      </c>
      <c r="K4257" s="70">
        <f>Vendas[[#This Row],[Lucro da Venda]]/Vendas[[#This Row],[Valor da Venda]]</f>
        <v>0.15094339622641509</v>
      </c>
      <c r="L4257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257"/>
    </row>
    <row r="4258" spans="1:13" x14ac:dyDescent="0.3">
      <c r="A4258" s="7">
        <v>400247</v>
      </c>
      <c r="B4258" t="str">
        <f>_xlfn.XLOOKUP(Vendas[[#This Row],[ID Vendedor]],Vendedores[ID],Vendedores[Nome])</f>
        <v>André</v>
      </c>
      <c r="C4258" s="7" t="str">
        <f>_xlfn.XLOOKUP(Vendas[[#This Row],[ID Vendedor]],Vendedores[ID],Vendedores[Setor])</f>
        <v>CM</v>
      </c>
      <c r="D4258" s="7" t="s">
        <v>32</v>
      </c>
      <c r="E4258" t="str">
        <f>_xlfn.XLOOKUP(Vendas[[#This Row],[ID Item Vendido]],Agregado[ID],Agregado[Produto])</f>
        <v>Tábua tratada e cortada 3m</v>
      </c>
      <c r="F4258" s="39">
        <v>45678</v>
      </c>
      <c r="G4258" s="7">
        <v>22</v>
      </c>
      <c r="H4258" s="3">
        <f>_xlfn.XLOOKUP(Vendas[[#This Row],[ID Item Vendido]],Agregado[ID],Agregado[Revenda])</f>
        <v>39</v>
      </c>
      <c r="I4258" s="3">
        <f>Vendas[[#This Row],[Valor Unitário]]*Vendas[[#This Row],[Qnt Vendida]]</f>
        <v>858</v>
      </c>
      <c r="J4258" s="3">
        <f>Vendas[[#This Row],[Valor da Venda]]-(_xlfn.XLOOKUP(Vendas[[#This Row],[ID Item Vendido]],Agregado[ID],Agregado[Custo])*Vendas[[#This Row],[Qnt Vendida]])</f>
        <v>154</v>
      </c>
      <c r="K4258" s="70">
        <f>Vendas[[#This Row],[Lucro da Venda]]/Vendas[[#This Row],[Valor da Venda]]</f>
        <v>0.17948717948717949</v>
      </c>
      <c r="L4258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4258"/>
    </row>
    <row r="4259" spans="1:13" x14ac:dyDescent="0.3">
      <c r="A4259" s="7">
        <v>400245</v>
      </c>
      <c r="B4259" t="str">
        <f>_xlfn.XLOOKUP(Vendas[[#This Row],[ID Vendedor]],Vendedores[ID],Vendedores[Nome])</f>
        <v>Thiago</v>
      </c>
      <c r="C4259" s="7" t="str">
        <f>_xlfn.XLOOKUP(Vendas[[#This Row],[ID Vendedor]],Vendedores[ID],Vendedores[Setor])</f>
        <v>AHD</v>
      </c>
      <c r="D4259" s="7" t="s">
        <v>30</v>
      </c>
      <c r="E4259" t="str">
        <f>_xlfn.XLOOKUP(Vendas[[#This Row],[ID Item Vendido]],Agregado[ID],Agregado[Produto])</f>
        <v>Estrutura metálica soldada</v>
      </c>
      <c r="F4259" s="39">
        <v>45678</v>
      </c>
      <c r="G4259" s="7">
        <v>2</v>
      </c>
      <c r="H4259" s="3">
        <f>_xlfn.XLOOKUP(Vendas[[#This Row],[ID Item Vendido]],Agregado[ID],Agregado[Revenda])</f>
        <v>400</v>
      </c>
      <c r="I4259" s="3">
        <f>Vendas[[#This Row],[Valor Unitário]]*Vendas[[#This Row],[Qnt Vendida]]</f>
        <v>800</v>
      </c>
      <c r="J4259" s="3">
        <f>Vendas[[#This Row],[Valor da Venda]]-(_xlfn.XLOOKUP(Vendas[[#This Row],[ID Item Vendido]],Agregado[ID],Agregado[Custo])*Vendas[[#This Row],[Qnt Vendida]])</f>
        <v>160</v>
      </c>
      <c r="K4259" s="70">
        <f>Vendas[[#This Row],[Lucro da Venda]]/Vendas[[#This Row],[Valor da Venda]]</f>
        <v>0.2</v>
      </c>
      <c r="L4259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259"/>
    </row>
    <row r="4260" spans="1:13" x14ac:dyDescent="0.3">
      <c r="A4260" s="7">
        <v>400254</v>
      </c>
      <c r="B4260" t="str">
        <f>_xlfn.XLOOKUP(Vendas[[#This Row],[ID Vendedor]],Vendedores[ID],Vendedores[Nome])</f>
        <v>Beatriz</v>
      </c>
      <c r="C4260" s="7" t="str">
        <f>_xlfn.XLOOKUP(Vendas[[#This Row],[ID Vendedor]],Vendedores[ID],Vendedores[Setor])</f>
        <v>SC</v>
      </c>
      <c r="D4260" s="7" t="s">
        <v>25</v>
      </c>
      <c r="E4260" t="str">
        <f>_xlfn.XLOOKUP(Vendas[[#This Row],[ID Item Vendido]],Agregado[ID],Agregado[Produto])</f>
        <v>Palete de plástico</v>
      </c>
      <c r="F4260" s="39">
        <v>45678</v>
      </c>
      <c r="G4260" s="7">
        <v>2</v>
      </c>
      <c r="H4260" s="3">
        <f>_xlfn.XLOOKUP(Vendas[[#This Row],[ID Item Vendido]],Agregado[ID],Agregado[Revenda])</f>
        <v>70.8</v>
      </c>
      <c r="I4260" s="3">
        <f>Vendas[[#This Row],[Valor Unitário]]*Vendas[[#This Row],[Qnt Vendida]]</f>
        <v>141.6</v>
      </c>
      <c r="J4260" s="3">
        <f>Vendas[[#This Row],[Valor da Venda]]-(_xlfn.XLOOKUP(Vendas[[#This Row],[ID Item Vendido]],Agregado[ID],Agregado[Custo])*Vendas[[#This Row],[Qnt Vendida]])</f>
        <v>21.599999999999994</v>
      </c>
      <c r="K4260" s="70">
        <f>Vendas[[#This Row],[Lucro da Venda]]/Vendas[[#This Row],[Valor da Venda]]</f>
        <v>0.15254237288135589</v>
      </c>
      <c r="L4260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4260"/>
    </row>
    <row r="4261" spans="1:13" x14ac:dyDescent="0.3">
      <c r="A4261" s="7">
        <v>400244</v>
      </c>
      <c r="B4261" t="str">
        <f>_xlfn.XLOOKUP(Vendas[[#This Row],[ID Vendedor]],Vendedores[ID],Vendedores[Nome])</f>
        <v>Camila</v>
      </c>
      <c r="C4261" s="7" t="str">
        <f>_xlfn.XLOOKUP(Vendas[[#This Row],[ID Vendedor]],Vendedores[ID],Vendedores[Setor])</f>
        <v>AHD</v>
      </c>
      <c r="D4261" s="7" t="s">
        <v>18</v>
      </c>
      <c r="E4261" t="str">
        <f>_xlfn.XLOOKUP(Vendas[[#This Row],[ID Item Vendido]],Agregado[ID],Agregado[Produto])</f>
        <v>Peça forjada sob encomenda</v>
      </c>
      <c r="F4261" s="39">
        <v>45679</v>
      </c>
      <c r="G4261" s="7">
        <v>6</v>
      </c>
      <c r="H4261" s="3">
        <f>_xlfn.XLOOKUP(Vendas[[#This Row],[ID Item Vendido]],Agregado[ID],Agregado[Revenda])</f>
        <v>264.60000000000002</v>
      </c>
      <c r="I4261" s="3">
        <f>Vendas[[#This Row],[Valor Unitário]]*Vendas[[#This Row],[Qnt Vendida]]</f>
        <v>1587.6000000000001</v>
      </c>
      <c r="J4261" s="3">
        <f>Vendas[[#This Row],[Valor da Venda]]-(_xlfn.XLOOKUP(Vendas[[#This Row],[ID Item Vendido]],Agregado[ID],Agregado[Custo])*Vendas[[#This Row],[Qnt Vendida]])</f>
        <v>87.600000000000136</v>
      </c>
      <c r="K4261" s="70">
        <f>Vendas[[#This Row],[Lucro da Venda]]/Vendas[[#This Row],[Valor da Venda]]</f>
        <v>5.5177626606198113E-2</v>
      </c>
      <c r="L426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261"/>
    </row>
    <row r="4262" spans="1:13" x14ac:dyDescent="0.3">
      <c r="A4262" s="7">
        <v>400249</v>
      </c>
      <c r="B4262" t="str">
        <f>_xlfn.XLOOKUP(Vendas[[#This Row],[ID Vendedor]],Vendedores[ID],Vendedores[Nome])</f>
        <v>Bruno</v>
      </c>
      <c r="C4262" s="7" t="str">
        <f>_xlfn.XLOOKUP(Vendas[[#This Row],[ID Vendedor]],Vendedores[ID],Vendedores[Setor])</f>
        <v>CM</v>
      </c>
      <c r="D4262" s="7" t="s">
        <v>32</v>
      </c>
      <c r="E4262" t="str">
        <f>_xlfn.XLOOKUP(Vendas[[#This Row],[ID Item Vendido]],Agregado[ID],Agregado[Produto])</f>
        <v>Tábua tratada e cortada 3m</v>
      </c>
      <c r="F4262" s="39">
        <v>45679</v>
      </c>
      <c r="G4262" s="7">
        <v>44</v>
      </c>
      <c r="H4262" s="3">
        <f>_xlfn.XLOOKUP(Vendas[[#This Row],[ID Item Vendido]],Agregado[ID],Agregado[Revenda])</f>
        <v>39</v>
      </c>
      <c r="I4262" s="3">
        <f>Vendas[[#This Row],[Valor Unitário]]*Vendas[[#This Row],[Qnt Vendida]]</f>
        <v>1716</v>
      </c>
      <c r="J4262" s="3">
        <f>Vendas[[#This Row],[Valor da Venda]]-(_xlfn.XLOOKUP(Vendas[[#This Row],[ID Item Vendido]],Agregado[ID],Agregado[Custo])*Vendas[[#This Row],[Qnt Vendida]])</f>
        <v>308</v>
      </c>
      <c r="K4262" s="70">
        <f>Vendas[[#This Row],[Lucro da Venda]]/Vendas[[#This Row],[Valor da Venda]]</f>
        <v>0.17948717948717949</v>
      </c>
      <c r="L4262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4262"/>
    </row>
    <row r="4263" spans="1:13" x14ac:dyDescent="0.3">
      <c r="A4263" s="7">
        <v>400252</v>
      </c>
      <c r="B4263" t="str">
        <f>_xlfn.XLOOKUP(Vendas[[#This Row],[ID Vendedor]],Vendedores[ID],Vendedores[Nome])</f>
        <v>Renata</v>
      </c>
      <c r="C4263" s="7" t="str">
        <f>_xlfn.XLOOKUP(Vendas[[#This Row],[ID Vendedor]],Vendedores[ID],Vendedores[Setor])</f>
        <v>AB</v>
      </c>
      <c r="D4263" s="7" t="s">
        <v>36</v>
      </c>
      <c r="E4263" t="str">
        <f>_xlfn.XLOOKUP(Vendas[[#This Row],[ID Item Vendido]],Agregado[ID],Agregado[Produto])</f>
        <v>Borracha vulcanizada em manta</v>
      </c>
      <c r="F4263" s="39">
        <v>45679</v>
      </c>
      <c r="G4263" s="7">
        <v>92</v>
      </c>
      <c r="H4263" s="3">
        <f>_xlfn.XLOOKUP(Vendas[[#This Row],[ID Item Vendido]],Agregado[ID],Agregado[Revenda])</f>
        <v>7.8</v>
      </c>
      <c r="I4263" s="3">
        <f>Vendas[[#This Row],[Valor Unitário]]*Vendas[[#This Row],[Qnt Vendida]]</f>
        <v>717.6</v>
      </c>
      <c r="J4263" s="3">
        <f>Vendas[[#This Row],[Valor da Venda]]-(_xlfn.XLOOKUP(Vendas[[#This Row],[ID Item Vendido]],Agregado[ID],Agregado[Custo])*Vendas[[#This Row],[Qnt Vendida]])</f>
        <v>165.60000000000002</v>
      </c>
      <c r="K4263" s="70">
        <f>Vendas[[#This Row],[Lucro da Venda]]/Vendas[[#This Row],[Valor da Venda]]</f>
        <v>0.23076923076923078</v>
      </c>
      <c r="L4263" s="3">
        <f>_xlfn.IFS(Vendas[[#This Row],[Margem de Lucro (%)]]&lt;15%,Vendas[[#This Row],[Valor da Venda]]*3%,Vendas[[#This Row],[Margem de Lucro (%)]]&lt;=20%,Vendas[[#This Row],[Valor da Venda]]*4.5%,TRUE,Vendas[[#This Row],[Valor da Venda]]*6%)</f>
        <v>43.055999999999997</v>
      </c>
      <c r="M4263"/>
    </row>
    <row r="4264" spans="1:13" x14ac:dyDescent="0.3">
      <c r="A4264" s="7">
        <v>400253</v>
      </c>
      <c r="B4264" t="str">
        <f>_xlfn.XLOOKUP(Vendas[[#This Row],[ID Vendedor]],Vendedores[ID],Vendedores[Nome])</f>
        <v>Gustavo</v>
      </c>
      <c r="C4264" s="7" t="str">
        <f>_xlfn.XLOOKUP(Vendas[[#This Row],[ID Vendedor]],Vendedores[ID],Vendedores[Setor])</f>
        <v>SC</v>
      </c>
      <c r="D4264" s="7" t="s">
        <v>25</v>
      </c>
      <c r="E4264" t="str">
        <f>_xlfn.XLOOKUP(Vendas[[#This Row],[ID Item Vendido]],Agregado[ID],Agregado[Produto])</f>
        <v>Palete de plástico</v>
      </c>
      <c r="F4264" s="39">
        <v>45679</v>
      </c>
      <c r="G4264" s="7">
        <v>2</v>
      </c>
      <c r="H4264" s="3">
        <f>_xlfn.XLOOKUP(Vendas[[#This Row],[ID Item Vendido]],Agregado[ID],Agregado[Revenda])</f>
        <v>70.8</v>
      </c>
      <c r="I4264" s="3">
        <f>Vendas[[#This Row],[Valor Unitário]]*Vendas[[#This Row],[Qnt Vendida]]</f>
        <v>141.6</v>
      </c>
      <c r="J4264" s="3">
        <f>Vendas[[#This Row],[Valor da Venda]]-(_xlfn.XLOOKUP(Vendas[[#This Row],[ID Item Vendido]],Agregado[ID],Agregado[Custo])*Vendas[[#This Row],[Qnt Vendida]])</f>
        <v>21.599999999999994</v>
      </c>
      <c r="K4264" s="70">
        <f>Vendas[[#This Row],[Lucro da Venda]]/Vendas[[#This Row],[Valor da Venda]]</f>
        <v>0.15254237288135589</v>
      </c>
      <c r="L4264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4264"/>
    </row>
    <row r="4265" spans="1:13" x14ac:dyDescent="0.3">
      <c r="A4265" s="7">
        <v>400255</v>
      </c>
      <c r="B4265" t="str">
        <f>_xlfn.XLOOKUP(Vendas[[#This Row],[ID Vendedor]],Vendedores[ID],Vendedores[Nome])</f>
        <v>Carlos</v>
      </c>
      <c r="C4265" s="7" t="str">
        <f>_xlfn.XLOOKUP(Vendas[[#This Row],[ID Vendedor]],Vendedores[ID],Vendedores[Setor])</f>
        <v>SC</v>
      </c>
      <c r="D4265" s="7" t="s">
        <v>14</v>
      </c>
      <c r="E4265" t="str">
        <f>_xlfn.XLOOKUP(Vendas[[#This Row],[ID Item Vendido]],Agregado[ID],Agregado[Produto])</f>
        <v>Barril de plástico 200L</v>
      </c>
      <c r="F4265" s="39">
        <v>45680</v>
      </c>
      <c r="G4265" s="7">
        <v>22</v>
      </c>
      <c r="H4265" s="3">
        <f>_xlfn.XLOOKUP(Vendas[[#This Row],[ID Item Vendido]],Agregado[ID],Agregado[Revenda])</f>
        <v>114</v>
      </c>
      <c r="I4265" s="3">
        <f>Vendas[[#This Row],[Valor Unitário]]*Vendas[[#This Row],[Qnt Vendida]]</f>
        <v>2508</v>
      </c>
      <c r="J4265" s="3">
        <f>Vendas[[#This Row],[Valor da Venda]]-(_xlfn.XLOOKUP(Vendas[[#This Row],[ID Item Vendido]],Agregado[ID],Agregado[Custo])*Vendas[[#This Row],[Qnt Vendida]])</f>
        <v>418</v>
      </c>
      <c r="K4265" s="70">
        <f>Vendas[[#This Row],[Lucro da Venda]]/Vendas[[#This Row],[Valor da Venda]]</f>
        <v>0.16666666666666666</v>
      </c>
      <c r="L4265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4265"/>
    </row>
    <row r="4266" spans="1:13" x14ac:dyDescent="0.3">
      <c r="A4266" s="7">
        <v>400248</v>
      </c>
      <c r="B4266" t="str">
        <f>_xlfn.XLOOKUP(Vendas[[#This Row],[ID Vendedor]],Vendedores[ID],Vendedores[Nome])</f>
        <v>Patrícia</v>
      </c>
      <c r="C4266" s="7" t="str">
        <f>_xlfn.XLOOKUP(Vendas[[#This Row],[ID Vendedor]],Vendedores[ID],Vendedores[Setor])</f>
        <v>CM</v>
      </c>
      <c r="D4266" s="7" t="s">
        <v>32</v>
      </c>
      <c r="E4266" t="str">
        <f>_xlfn.XLOOKUP(Vendas[[#This Row],[ID Item Vendido]],Agregado[ID],Agregado[Produto])</f>
        <v>Tábua tratada e cortada 3m</v>
      </c>
      <c r="F4266" s="39">
        <v>45680</v>
      </c>
      <c r="G4266" s="7">
        <v>17</v>
      </c>
      <c r="H4266" s="3">
        <f>_xlfn.XLOOKUP(Vendas[[#This Row],[ID Item Vendido]],Agregado[ID],Agregado[Revenda])</f>
        <v>39</v>
      </c>
      <c r="I4266" s="3">
        <f>Vendas[[#This Row],[Valor Unitário]]*Vendas[[#This Row],[Qnt Vendida]]</f>
        <v>663</v>
      </c>
      <c r="J4266" s="3">
        <f>Vendas[[#This Row],[Valor da Venda]]-(_xlfn.XLOOKUP(Vendas[[#This Row],[ID Item Vendido]],Agregado[ID],Agregado[Custo])*Vendas[[#This Row],[Qnt Vendida]])</f>
        <v>119</v>
      </c>
      <c r="K4266" s="70">
        <f>Vendas[[#This Row],[Lucro da Venda]]/Vendas[[#This Row],[Valor da Venda]]</f>
        <v>0.17948717948717949</v>
      </c>
      <c r="L4266" s="3">
        <f>_xlfn.IFS(Vendas[[#This Row],[Margem de Lucro (%)]]&lt;15%,Vendas[[#This Row],[Valor da Venda]]*3%,Vendas[[#This Row],[Margem de Lucro (%)]]&lt;=20%,Vendas[[#This Row],[Valor da Venda]]*4.5%,TRUE,Vendas[[#This Row],[Valor da Venda]]*6%)</f>
        <v>29.834999999999997</v>
      </c>
      <c r="M4266"/>
    </row>
    <row r="4267" spans="1:13" x14ac:dyDescent="0.3">
      <c r="A4267" s="7">
        <v>400251</v>
      </c>
      <c r="B4267" t="str">
        <f>_xlfn.XLOOKUP(Vendas[[#This Row],[ID Vendedor]],Vendedores[ID],Vendedores[Nome])</f>
        <v>Diego</v>
      </c>
      <c r="C4267" s="7" t="str">
        <f>_xlfn.XLOOKUP(Vendas[[#This Row],[ID Vendedor]],Vendedores[ID],Vendedores[Setor])</f>
        <v>AB</v>
      </c>
      <c r="D4267" s="7" t="s">
        <v>39</v>
      </c>
      <c r="E4267" t="str">
        <f>_xlfn.XLOOKUP(Vendas[[#This Row],[ID Item Vendido]],Agregado[ID],Agregado[Produto])</f>
        <v>Filme plástico industrial rolo 50m</v>
      </c>
      <c r="F4267" s="39">
        <v>45680</v>
      </c>
      <c r="G4267" s="7">
        <v>13</v>
      </c>
      <c r="H4267" s="3">
        <f>_xlfn.XLOOKUP(Vendas[[#This Row],[ID Item Vendido]],Agregado[ID],Agregado[Revenda])</f>
        <v>37</v>
      </c>
      <c r="I4267" s="3">
        <f>Vendas[[#This Row],[Valor Unitário]]*Vendas[[#This Row],[Qnt Vendida]]</f>
        <v>481</v>
      </c>
      <c r="J4267" s="3">
        <f>Vendas[[#This Row],[Valor da Venda]]-(_xlfn.XLOOKUP(Vendas[[#This Row],[ID Item Vendido]],Agregado[ID],Agregado[Custo])*Vendas[[#This Row],[Qnt Vendida]])</f>
        <v>117</v>
      </c>
      <c r="K4267" s="70">
        <f>Vendas[[#This Row],[Lucro da Venda]]/Vendas[[#This Row],[Valor da Venda]]</f>
        <v>0.24324324324324326</v>
      </c>
      <c r="L4267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4267"/>
    </row>
    <row r="4268" spans="1:13" x14ac:dyDescent="0.3">
      <c r="A4268" s="7">
        <v>400251</v>
      </c>
      <c r="B4268" t="str">
        <f>_xlfn.XLOOKUP(Vendas[[#This Row],[ID Vendedor]],Vendedores[ID],Vendedores[Nome])</f>
        <v>Diego</v>
      </c>
      <c r="C4268" s="7" t="str">
        <f>_xlfn.XLOOKUP(Vendas[[#This Row],[ID Vendedor]],Vendedores[ID],Vendedores[Setor])</f>
        <v>AB</v>
      </c>
      <c r="D4268" s="7" t="s">
        <v>36</v>
      </c>
      <c r="E4268" t="str">
        <f>_xlfn.XLOOKUP(Vendas[[#This Row],[ID Item Vendido]],Agregado[ID],Agregado[Produto])</f>
        <v>Borracha vulcanizada em manta</v>
      </c>
      <c r="F4268" s="39">
        <v>45680</v>
      </c>
      <c r="G4268" s="7">
        <v>47</v>
      </c>
      <c r="H4268" s="3">
        <f>_xlfn.XLOOKUP(Vendas[[#This Row],[ID Item Vendido]],Agregado[ID],Agregado[Revenda])</f>
        <v>7.8</v>
      </c>
      <c r="I4268" s="3">
        <f>Vendas[[#This Row],[Valor Unitário]]*Vendas[[#This Row],[Qnt Vendida]]</f>
        <v>366.59999999999997</v>
      </c>
      <c r="J4268" s="3">
        <f>Vendas[[#This Row],[Valor da Venda]]-(_xlfn.XLOOKUP(Vendas[[#This Row],[ID Item Vendido]],Agregado[ID],Agregado[Custo])*Vendas[[#This Row],[Qnt Vendida]])</f>
        <v>84.599999999999966</v>
      </c>
      <c r="K4268" s="70">
        <f>Vendas[[#This Row],[Lucro da Venda]]/Vendas[[#This Row],[Valor da Venda]]</f>
        <v>0.2307692307692307</v>
      </c>
      <c r="L4268" s="3">
        <f>_xlfn.IFS(Vendas[[#This Row],[Margem de Lucro (%)]]&lt;15%,Vendas[[#This Row],[Valor da Venda]]*3%,Vendas[[#This Row],[Margem de Lucro (%)]]&lt;=20%,Vendas[[#This Row],[Valor da Venda]]*4.5%,TRUE,Vendas[[#This Row],[Valor da Venda]]*6%)</f>
        <v>21.995999999999999</v>
      </c>
      <c r="M4268"/>
    </row>
    <row r="4269" spans="1:13" x14ac:dyDescent="0.3">
      <c r="A4269" s="7">
        <v>400242</v>
      </c>
      <c r="B4269" t="str">
        <f>_xlfn.XLOOKUP(Vendas[[#This Row],[ID Vendedor]],Vendedores[ID],Vendedores[Nome])</f>
        <v>Fernanda</v>
      </c>
      <c r="C4269" s="7" t="str">
        <f>_xlfn.XLOOKUP(Vendas[[#This Row],[ID Vendedor]],Vendedores[ID],Vendedores[Setor])</f>
        <v>FM</v>
      </c>
      <c r="D4269" s="7" t="s">
        <v>6</v>
      </c>
      <c r="E4269" t="str">
        <f>_xlfn.XLOOKUP(Vendas[[#This Row],[ID Item Vendido]],Agregado[ID],Agregado[Produto])</f>
        <v>Parafuso comum 500un</v>
      </c>
      <c r="F4269" s="39">
        <v>45680</v>
      </c>
      <c r="G4269" s="7">
        <v>14</v>
      </c>
      <c r="H4269" s="3">
        <f>_xlfn.XLOOKUP(Vendas[[#This Row],[ID Item Vendido]],Agregado[ID],Agregado[Revenda])</f>
        <v>24.6</v>
      </c>
      <c r="I4269" s="3">
        <f>Vendas[[#This Row],[Valor Unitário]]*Vendas[[#This Row],[Qnt Vendida]]</f>
        <v>344.40000000000003</v>
      </c>
      <c r="J4269" s="3">
        <f>Vendas[[#This Row],[Valor da Venda]]-(_xlfn.XLOOKUP(Vendas[[#This Row],[ID Item Vendido]],Agregado[ID],Agregado[Custo])*Vendas[[#This Row],[Qnt Vendida]])</f>
        <v>36.400000000000034</v>
      </c>
      <c r="K4269" s="70">
        <f>Vendas[[#This Row],[Lucro da Venda]]/Vendas[[#This Row],[Valor da Venda]]</f>
        <v>0.10569105691056919</v>
      </c>
      <c r="L4269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4269"/>
    </row>
    <row r="4270" spans="1:13" x14ac:dyDescent="0.3">
      <c r="A4270" s="7">
        <v>400246</v>
      </c>
      <c r="B4270" t="str">
        <f>_xlfn.XLOOKUP(Vendas[[#This Row],[ID Vendedor]],Vendedores[ID],Vendedores[Nome])</f>
        <v>Juliana</v>
      </c>
      <c r="C4270" s="7" t="str">
        <f>_xlfn.XLOOKUP(Vendas[[#This Row],[ID Vendedor]],Vendedores[ID],Vendedores[Setor])</f>
        <v>AHD</v>
      </c>
      <c r="D4270" s="7" t="s">
        <v>30</v>
      </c>
      <c r="E4270" t="str">
        <f>_xlfn.XLOOKUP(Vendas[[#This Row],[ID Item Vendido]],Agregado[ID],Agregado[Produto])</f>
        <v>Estrutura metálica soldada</v>
      </c>
      <c r="F4270" s="39">
        <v>45681</v>
      </c>
      <c r="G4270" s="7">
        <v>7</v>
      </c>
      <c r="H4270" s="3">
        <f>_xlfn.XLOOKUP(Vendas[[#This Row],[ID Item Vendido]],Agregado[ID],Agregado[Revenda])</f>
        <v>400</v>
      </c>
      <c r="I4270" s="3">
        <f>Vendas[[#This Row],[Valor Unitário]]*Vendas[[#This Row],[Qnt Vendida]]</f>
        <v>2800</v>
      </c>
      <c r="J4270" s="3">
        <f>Vendas[[#This Row],[Valor da Venda]]-(_xlfn.XLOOKUP(Vendas[[#This Row],[ID Item Vendido]],Agregado[ID],Agregado[Custo])*Vendas[[#This Row],[Qnt Vendida]])</f>
        <v>560</v>
      </c>
      <c r="K4270" s="70">
        <f>Vendas[[#This Row],[Lucro da Venda]]/Vendas[[#This Row],[Valor da Venda]]</f>
        <v>0.2</v>
      </c>
      <c r="L4270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4270"/>
    </row>
    <row r="4271" spans="1:13" x14ac:dyDescent="0.3">
      <c r="A4271" s="7">
        <v>400248</v>
      </c>
      <c r="B4271" t="str">
        <f>_xlfn.XLOOKUP(Vendas[[#This Row],[ID Vendedor]],Vendedores[ID],Vendedores[Nome])</f>
        <v>Patrícia</v>
      </c>
      <c r="C4271" s="7" t="str">
        <f>_xlfn.XLOOKUP(Vendas[[#This Row],[ID Vendedor]],Vendedores[ID],Vendedores[Setor])</f>
        <v>CM</v>
      </c>
      <c r="D4271" s="7" t="s">
        <v>43</v>
      </c>
      <c r="E4271" t="str">
        <f>_xlfn.XLOOKUP(Vendas[[#This Row],[ID Item Vendido]],Agregado[ID],Agregado[Produto])</f>
        <v>Madeira Bruta (Tora)</v>
      </c>
      <c r="F4271" s="39">
        <v>45681</v>
      </c>
      <c r="G4271" s="7">
        <v>12</v>
      </c>
      <c r="H4271" s="3">
        <f>_xlfn.XLOOKUP(Vendas[[#This Row],[ID Item Vendido]],Agregado[ID],Agregado[Revenda])</f>
        <v>212</v>
      </c>
      <c r="I4271" s="3">
        <f>Vendas[[#This Row],[Valor Unitário]]*Vendas[[#This Row],[Qnt Vendida]]</f>
        <v>2544</v>
      </c>
      <c r="J4271" s="3">
        <f>Vendas[[#This Row],[Valor da Venda]]-(_xlfn.XLOOKUP(Vendas[[#This Row],[ID Item Vendido]],Agregado[ID],Agregado[Custo])*Vendas[[#This Row],[Qnt Vendida]])</f>
        <v>384</v>
      </c>
      <c r="K4271" s="70">
        <f>Vendas[[#This Row],[Lucro da Venda]]/Vendas[[#This Row],[Valor da Venda]]</f>
        <v>0.15094339622641509</v>
      </c>
      <c r="L4271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4271"/>
    </row>
    <row r="4272" spans="1:13" x14ac:dyDescent="0.3">
      <c r="A4272" s="7">
        <v>400251</v>
      </c>
      <c r="B4272" t="str">
        <f>_xlfn.XLOOKUP(Vendas[[#This Row],[ID Vendedor]],Vendedores[ID],Vendedores[Nome])</f>
        <v>Diego</v>
      </c>
      <c r="C4272" s="7" t="str">
        <f>_xlfn.XLOOKUP(Vendas[[#This Row],[ID Vendedor]],Vendedores[ID],Vendedores[Setor])</f>
        <v>AB</v>
      </c>
      <c r="D4272" s="7" t="s">
        <v>12</v>
      </c>
      <c r="E4272" t="str">
        <f>_xlfn.XLOOKUP(Vendas[[#This Row],[ID Item Vendido]],Agregado[ID],Agregado[Produto])</f>
        <v>Grânulo de plástico reciclado refinado</v>
      </c>
      <c r="F4272" s="39">
        <v>45681</v>
      </c>
      <c r="G4272" s="7">
        <v>144</v>
      </c>
      <c r="H4272" s="3">
        <f>_xlfn.XLOOKUP(Vendas[[#This Row],[ID Item Vendido]],Agregado[ID],Agregado[Revenda])</f>
        <v>4.7</v>
      </c>
      <c r="I4272" s="3">
        <f>Vendas[[#This Row],[Valor Unitário]]*Vendas[[#This Row],[Qnt Vendida]]</f>
        <v>676.80000000000007</v>
      </c>
      <c r="J4272" s="3">
        <f>Vendas[[#This Row],[Valor da Venda]]-(_xlfn.XLOOKUP(Vendas[[#This Row],[ID Item Vendido]],Agregado[ID],Agregado[Custo])*Vendas[[#This Row],[Qnt Vendida]])</f>
        <v>172.80000000000007</v>
      </c>
      <c r="K4272" s="70">
        <f>Vendas[[#This Row],[Lucro da Venda]]/Vendas[[#This Row],[Valor da Venda]]</f>
        <v>0.2553191489361703</v>
      </c>
      <c r="L4272" s="3">
        <f>_xlfn.IFS(Vendas[[#This Row],[Margem de Lucro (%)]]&lt;15%,Vendas[[#This Row],[Valor da Venda]]*3%,Vendas[[#This Row],[Margem de Lucro (%)]]&lt;=20%,Vendas[[#This Row],[Valor da Venda]]*4.5%,TRUE,Vendas[[#This Row],[Valor da Venda]]*6%)</f>
        <v>40.608000000000004</v>
      </c>
      <c r="M4272"/>
    </row>
    <row r="4273" spans="1:13" x14ac:dyDescent="0.3">
      <c r="A4273" s="7">
        <v>400249</v>
      </c>
      <c r="B4273" t="str">
        <f>_xlfn.XLOOKUP(Vendas[[#This Row],[ID Vendedor]],Vendedores[ID],Vendedores[Nome])</f>
        <v>Bruno</v>
      </c>
      <c r="C4273" s="7" t="str">
        <f>_xlfn.XLOOKUP(Vendas[[#This Row],[ID Vendedor]],Vendedores[ID],Vendedores[Setor])</f>
        <v>CM</v>
      </c>
      <c r="D4273" s="7" t="s">
        <v>34</v>
      </c>
      <c r="E4273" t="str">
        <f>_xlfn.XLOOKUP(Vendas[[#This Row],[ID Item Vendido]],Agregado[ID],Agregado[Produto])</f>
        <v>Restos de madeira p/ MDP/OSB saco de 20kg</v>
      </c>
      <c r="F4273" s="39">
        <v>45681</v>
      </c>
      <c r="G4273" s="7">
        <v>22</v>
      </c>
      <c r="H4273" s="3">
        <f>_xlfn.XLOOKUP(Vendas[[#This Row],[ID Item Vendido]],Agregado[ID],Agregado[Revenda])</f>
        <v>13.8</v>
      </c>
      <c r="I4273" s="3">
        <f>Vendas[[#This Row],[Valor Unitário]]*Vendas[[#This Row],[Qnt Vendida]]</f>
        <v>303.60000000000002</v>
      </c>
      <c r="J4273" s="3">
        <f>Vendas[[#This Row],[Valor da Venda]]-(_xlfn.XLOOKUP(Vendas[[#This Row],[ID Item Vendido]],Agregado[ID],Agregado[Custo])*Vendas[[#This Row],[Qnt Vendida]])</f>
        <v>39.600000000000023</v>
      </c>
      <c r="K4273" s="70">
        <f>Vendas[[#This Row],[Lucro da Venda]]/Vendas[[#This Row],[Valor da Venda]]</f>
        <v>0.1304347826086957</v>
      </c>
      <c r="L4273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273"/>
    </row>
    <row r="4274" spans="1:13" x14ac:dyDescent="0.3">
      <c r="A4274" s="7">
        <v>400248</v>
      </c>
      <c r="B4274" t="str">
        <f>_xlfn.XLOOKUP(Vendas[[#This Row],[ID Vendedor]],Vendedores[ID],Vendedores[Nome])</f>
        <v>Patrícia</v>
      </c>
      <c r="C4274" s="7" t="str">
        <f>_xlfn.XLOOKUP(Vendas[[#This Row],[ID Vendedor]],Vendedores[ID],Vendedores[Setor])</f>
        <v>CM</v>
      </c>
      <c r="D4274" s="7" t="s">
        <v>43</v>
      </c>
      <c r="E4274" t="str">
        <f>_xlfn.XLOOKUP(Vendas[[#This Row],[ID Item Vendido]],Agregado[ID],Agregado[Produto])</f>
        <v>Madeira Bruta (Tora)</v>
      </c>
      <c r="F4274" s="39">
        <v>45682</v>
      </c>
      <c r="G4274" s="7">
        <v>9</v>
      </c>
      <c r="H4274" s="3">
        <f>_xlfn.XLOOKUP(Vendas[[#This Row],[ID Item Vendido]],Agregado[ID],Agregado[Revenda])</f>
        <v>212</v>
      </c>
      <c r="I4274" s="3">
        <f>Vendas[[#This Row],[Valor Unitário]]*Vendas[[#This Row],[Qnt Vendida]]</f>
        <v>1908</v>
      </c>
      <c r="J4274" s="3">
        <f>Vendas[[#This Row],[Valor da Venda]]-(_xlfn.XLOOKUP(Vendas[[#This Row],[ID Item Vendido]],Agregado[ID],Agregado[Custo])*Vendas[[#This Row],[Qnt Vendida]])</f>
        <v>288</v>
      </c>
      <c r="K4274" s="70">
        <f>Vendas[[#This Row],[Lucro da Venda]]/Vendas[[#This Row],[Valor da Venda]]</f>
        <v>0.15094339622641509</v>
      </c>
      <c r="L4274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4274"/>
    </row>
    <row r="4275" spans="1:13" x14ac:dyDescent="0.3">
      <c r="A4275" s="7">
        <v>400254</v>
      </c>
      <c r="B4275" t="str">
        <f>_xlfn.XLOOKUP(Vendas[[#This Row],[ID Vendedor]],Vendedores[ID],Vendedores[Nome])</f>
        <v>Beatriz</v>
      </c>
      <c r="C4275" s="7" t="str">
        <f>_xlfn.XLOOKUP(Vendas[[#This Row],[ID Vendedor]],Vendedores[ID],Vendedores[Setor])</f>
        <v>SC</v>
      </c>
      <c r="D4275" s="7" t="s">
        <v>41</v>
      </c>
      <c r="E4275" t="str">
        <f>_xlfn.XLOOKUP(Vendas[[#This Row],[ID Item Vendido]],Agregado[ID],Agregado[Produto])</f>
        <v>Palete de madeira reforçado</v>
      </c>
      <c r="F4275" s="39">
        <v>45682</v>
      </c>
      <c r="G4275" s="7">
        <v>7</v>
      </c>
      <c r="H4275" s="3">
        <f>_xlfn.XLOOKUP(Vendas[[#This Row],[ID Item Vendido]],Agregado[ID],Agregado[Revenda])</f>
        <v>131</v>
      </c>
      <c r="I4275" s="3">
        <f>Vendas[[#This Row],[Valor Unitário]]*Vendas[[#This Row],[Qnt Vendida]]</f>
        <v>917</v>
      </c>
      <c r="J4275" s="3">
        <f>Vendas[[#This Row],[Valor da Venda]]-(_xlfn.XLOOKUP(Vendas[[#This Row],[ID Item Vendido]],Agregado[ID],Agregado[Custo])*Vendas[[#This Row],[Qnt Vendida]])</f>
        <v>147</v>
      </c>
      <c r="K4275" s="70">
        <f>Vendas[[#This Row],[Lucro da Venda]]/Vendas[[#This Row],[Valor da Venda]]</f>
        <v>0.16030534351145037</v>
      </c>
      <c r="L4275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4275"/>
    </row>
    <row r="4276" spans="1:13" x14ac:dyDescent="0.3">
      <c r="A4276" s="7">
        <v>400250</v>
      </c>
      <c r="B4276" t="str">
        <f>_xlfn.XLOOKUP(Vendas[[#This Row],[ID Vendedor]],Vendedores[ID],Vendedores[Nome])</f>
        <v>Larissa</v>
      </c>
      <c r="C4276" s="7" t="str">
        <f>_xlfn.XLOOKUP(Vendas[[#This Row],[ID Vendedor]],Vendedores[ID],Vendedores[Setor])</f>
        <v>AB</v>
      </c>
      <c r="D4276" s="7" t="s">
        <v>24</v>
      </c>
      <c r="E4276" t="str">
        <f>_xlfn.XLOOKUP(Vendas[[#This Row],[ID Item Vendido]],Agregado[ID],Agregado[Produto])</f>
        <v>Resina plástica PET purificada saco de 25kg</v>
      </c>
      <c r="F4276" s="39">
        <v>45683</v>
      </c>
      <c r="G4276" s="7">
        <v>17</v>
      </c>
      <c r="H4276" s="3">
        <f>_xlfn.XLOOKUP(Vendas[[#This Row],[ID Item Vendido]],Agregado[ID],Agregado[Revenda])</f>
        <v>119</v>
      </c>
      <c r="I4276" s="3">
        <f>Vendas[[#This Row],[Valor Unitário]]*Vendas[[#This Row],[Qnt Vendida]]</f>
        <v>2023</v>
      </c>
      <c r="J4276" s="3">
        <f>Vendas[[#This Row],[Valor da Venda]]-(_xlfn.XLOOKUP(Vendas[[#This Row],[ID Item Vendido]],Agregado[ID],Agregado[Custo])*Vendas[[#This Row],[Qnt Vendida]])</f>
        <v>578</v>
      </c>
      <c r="K4276" s="70">
        <f>Vendas[[#This Row],[Lucro da Venda]]/Vendas[[#This Row],[Valor da Venda]]</f>
        <v>0.2857142857142857</v>
      </c>
      <c r="L427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4276"/>
    </row>
    <row r="4277" spans="1:13" x14ac:dyDescent="0.3">
      <c r="A4277" s="7">
        <v>400252</v>
      </c>
      <c r="B4277" t="str">
        <f>_xlfn.XLOOKUP(Vendas[[#This Row],[ID Vendedor]],Vendedores[ID],Vendedores[Nome])</f>
        <v>Renata</v>
      </c>
      <c r="C4277" s="7" t="str">
        <f>_xlfn.XLOOKUP(Vendas[[#This Row],[ID Vendedor]],Vendedores[ID],Vendedores[Setor])</f>
        <v>AB</v>
      </c>
      <c r="D4277" s="7" t="s">
        <v>24</v>
      </c>
      <c r="E4277" t="str">
        <f>_xlfn.XLOOKUP(Vendas[[#This Row],[ID Item Vendido]],Agregado[ID],Agregado[Produto])</f>
        <v>Resina plástica PET purificada saco de 25kg</v>
      </c>
      <c r="F4277" s="39">
        <v>45683</v>
      </c>
      <c r="G4277" s="7">
        <v>14</v>
      </c>
      <c r="H4277" s="3">
        <f>_xlfn.XLOOKUP(Vendas[[#This Row],[ID Item Vendido]],Agregado[ID],Agregado[Revenda])</f>
        <v>119</v>
      </c>
      <c r="I4277" s="3">
        <f>Vendas[[#This Row],[Valor Unitário]]*Vendas[[#This Row],[Qnt Vendida]]</f>
        <v>1666</v>
      </c>
      <c r="J4277" s="3">
        <f>Vendas[[#This Row],[Valor da Venda]]-(_xlfn.XLOOKUP(Vendas[[#This Row],[ID Item Vendido]],Agregado[ID],Agregado[Custo])*Vendas[[#This Row],[Qnt Vendida]])</f>
        <v>476</v>
      </c>
      <c r="K4277" s="70">
        <f>Vendas[[#This Row],[Lucro da Venda]]/Vendas[[#This Row],[Valor da Venda]]</f>
        <v>0.2857142857142857</v>
      </c>
      <c r="L4277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277"/>
    </row>
    <row r="4278" spans="1:13" x14ac:dyDescent="0.3">
      <c r="A4278" s="7">
        <v>400246</v>
      </c>
      <c r="B4278" t="str">
        <f>_xlfn.XLOOKUP(Vendas[[#This Row],[ID Vendedor]],Vendedores[ID],Vendedores[Nome])</f>
        <v>Juliana</v>
      </c>
      <c r="C4278" s="7" t="str">
        <f>_xlfn.XLOOKUP(Vendas[[#This Row],[ID Vendedor]],Vendedores[ID],Vendedores[Setor])</f>
        <v>AHD</v>
      </c>
      <c r="D4278" s="7" t="s">
        <v>30</v>
      </c>
      <c r="E4278" t="str">
        <f>_xlfn.XLOOKUP(Vendas[[#This Row],[ID Item Vendido]],Agregado[ID],Agregado[Produto])</f>
        <v>Estrutura metálica soldada</v>
      </c>
      <c r="F4278" s="39">
        <v>45684</v>
      </c>
      <c r="G4278" s="7">
        <v>2</v>
      </c>
      <c r="H4278" s="3">
        <f>_xlfn.XLOOKUP(Vendas[[#This Row],[ID Item Vendido]],Agregado[ID],Agregado[Revenda])</f>
        <v>400</v>
      </c>
      <c r="I4278" s="3">
        <f>Vendas[[#This Row],[Valor Unitário]]*Vendas[[#This Row],[Qnt Vendida]]</f>
        <v>800</v>
      </c>
      <c r="J4278" s="3">
        <f>Vendas[[#This Row],[Valor da Venda]]-(_xlfn.XLOOKUP(Vendas[[#This Row],[ID Item Vendido]],Agregado[ID],Agregado[Custo])*Vendas[[#This Row],[Qnt Vendida]])</f>
        <v>160</v>
      </c>
      <c r="K4278" s="70">
        <f>Vendas[[#This Row],[Lucro da Venda]]/Vendas[[#This Row],[Valor da Venda]]</f>
        <v>0.2</v>
      </c>
      <c r="L4278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278"/>
    </row>
    <row r="4279" spans="1:13" x14ac:dyDescent="0.3">
      <c r="A4279" s="7">
        <v>400251</v>
      </c>
      <c r="B4279" t="str">
        <f>_xlfn.XLOOKUP(Vendas[[#This Row],[ID Vendedor]],Vendedores[ID],Vendedores[Nome])</f>
        <v>Diego</v>
      </c>
      <c r="C4279" s="7" t="str">
        <f>_xlfn.XLOOKUP(Vendas[[#This Row],[ID Vendedor]],Vendedores[ID],Vendedores[Setor])</f>
        <v>AB</v>
      </c>
      <c r="D4279" s="7" t="s">
        <v>12</v>
      </c>
      <c r="E4279" t="str">
        <f>_xlfn.XLOOKUP(Vendas[[#This Row],[ID Item Vendido]],Agregado[ID],Agregado[Produto])</f>
        <v>Grânulo de plástico reciclado refinado</v>
      </c>
      <c r="F4279" s="39">
        <v>45684</v>
      </c>
      <c r="G4279" s="7">
        <v>133</v>
      </c>
      <c r="H4279" s="3">
        <f>_xlfn.XLOOKUP(Vendas[[#This Row],[ID Item Vendido]],Agregado[ID],Agregado[Revenda])</f>
        <v>4.7</v>
      </c>
      <c r="I4279" s="3">
        <f>Vendas[[#This Row],[Valor Unitário]]*Vendas[[#This Row],[Qnt Vendida]]</f>
        <v>625.1</v>
      </c>
      <c r="J4279" s="3">
        <f>Vendas[[#This Row],[Valor da Venda]]-(_xlfn.XLOOKUP(Vendas[[#This Row],[ID Item Vendido]],Agregado[ID],Agregado[Custo])*Vendas[[#This Row],[Qnt Vendida]])</f>
        <v>159.60000000000002</v>
      </c>
      <c r="K4279" s="70">
        <f>Vendas[[#This Row],[Lucro da Venda]]/Vendas[[#This Row],[Valor da Venda]]</f>
        <v>0.25531914893617025</v>
      </c>
      <c r="L4279" s="3">
        <f>_xlfn.IFS(Vendas[[#This Row],[Margem de Lucro (%)]]&lt;15%,Vendas[[#This Row],[Valor da Venda]]*3%,Vendas[[#This Row],[Margem de Lucro (%)]]&lt;=20%,Vendas[[#This Row],[Valor da Venda]]*4.5%,TRUE,Vendas[[#This Row],[Valor da Venda]]*6%)</f>
        <v>37.506</v>
      </c>
      <c r="M4279"/>
    </row>
    <row r="4280" spans="1:13" x14ac:dyDescent="0.3">
      <c r="A4280" s="7">
        <v>400241</v>
      </c>
      <c r="B4280" t="str">
        <f>_xlfn.XLOOKUP(Vendas[[#This Row],[ID Vendedor]],Vendedores[ID],Vendedores[Nome])</f>
        <v>Rodrigo</v>
      </c>
      <c r="C4280" s="7" t="str">
        <f>_xlfn.XLOOKUP(Vendas[[#This Row],[ID Vendedor]],Vendedores[ID],Vendedores[Setor])</f>
        <v>FM</v>
      </c>
      <c r="D4280" s="7" t="s">
        <v>31</v>
      </c>
      <c r="E4280" t="str">
        <f>_xlfn.XLOOKUP(Vendas[[#This Row],[ID Item Vendido]],Agregado[ID],Agregado[Produto])</f>
        <v>Tela de metal soldada rolo 2x25m</v>
      </c>
      <c r="F4280" s="39">
        <v>45684</v>
      </c>
      <c r="G4280" s="7">
        <v>14</v>
      </c>
      <c r="H4280" s="3">
        <f>_xlfn.XLOOKUP(Vendas[[#This Row],[ID Item Vendido]],Agregado[ID],Agregado[Revenda])</f>
        <v>43.7</v>
      </c>
      <c r="I4280" s="3">
        <f>Vendas[[#This Row],[Valor Unitário]]*Vendas[[#This Row],[Qnt Vendida]]</f>
        <v>611.80000000000007</v>
      </c>
      <c r="J4280" s="3">
        <f>Vendas[[#This Row],[Valor da Venda]]-(_xlfn.XLOOKUP(Vendas[[#This Row],[ID Item Vendido]],Agregado[ID],Agregado[Custo])*Vendas[[#This Row],[Qnt Vendida]])</f>
        <v>79.800000000000068</v>
      </c>
      <c r="K4280" s="70">
        <f>Vendas[[#This Row],[Lucro da Venda]]/Vendas[[#This Row],[Valor da Venda]]</f>
        <v>0.13043478260869576</v>
      </c>
      <c r="L4280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4280"/>
    </row>
    <row r="4281" spans="1:13" x14ac:dyDescent="0.3">
      <c r="A4281" s="7">
        <v>400254</v>
      </c>
      <c r="B4281" t="str">
        <f>_xlfn.XLOOKUP(Vendas[[#This Row],[ID Vendedor]],Vendedores[ID],Vendedores[Nome])</f>
        <v>Beatriz</v>
      </c>
      <c r="C4281" s="7" t="str">
        <f>_xlfn.XLOOKUP(Vendas[[#This Row],[ID Vendedor]],Vendedores[ID],Vendedores[Setor])</f>
        <v>SC</v>
      </c>
      <c r="D4281" s="7" t="s">
        <v>25</v>
      </c>
      <c r="E4281" t="str">
        <f>_xlfn.XLOOKUP(Vendas[[#This Row],[ID Item Vendido]],Agregado[ID],Agregado[Produto])</f>
        <v>Palete de plástico</v>
      </c>
      <c r="F4281" s="39">
        <v>45684</v>
      </c>
      <c r="G4281" s="7">
        <v>4</v>
      </c>
      <c r="H4281" s="3">
        <f>_xlfn.XLOOKUP(Vendas[[#This Row],[ID Item Vendido]],Agregado[ID],Agregado[Revenda])</f>
        <v>70.8</v>
      </c>
      <c r="I4281" s="3">
        <f>Vendas[[#This Row],[Valor Unitário]]*Vendas[[#This Row],[Qnt Vendida]]</f>
        <v>283.2</v>
      </c>
      <c r="J4281" s="3">
        <f>Vendas[[#This Row],[Valor da Venda]]-(_xlfn.XLOOKUP(Vendas[[#This Row],[ID Item Vendido]],Agregado[ID],Agregado[Custo])*Vendas[[#This Row],[Qnt Vendida]])</f>
        <v>43.199999999999989</v>
      </c>
      <c r="K4281" s="70">
        <f>Vendas[[#This Row],[Lucro da Venda]]/Vendas[[#This Row],[Valor da Venda]]</f>
        <v>0.15254237288135589</v>
      </c>
      <c r="L4281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4281"/>
    </row>
    <row r="4282" spans="1:13" x14ac:dyDescent="0.3">
      <c r="A4282" s="7">
        <v>400245</v>
      </c>
      <c r="B4282" t="str">
        <f>_xlfn.XLOOKUP(Vendas[[#This Row],[ID Vendedor]],Vendedores[ID],Vendedores[Nome])</f>
        <v>Thiago</v>
      </c>
      <c r="C4282" s="7" t="str">
        <f>_xlfn.XLOOKUP(Vendas[[#This Row],[ID Vendedor]],Vendedores[ID],Vendedores[Setor])</f>
        <v>AHD</v>
      </c>
      <c r="D4282" s="7" t="s">
        <v>28</v>
      </c>
      <c r="E4282" t="str">
        <f>_xlfn.XLOOKUP(Vendas[[#This Row],[ID Item Vendido]],Agregado[ID],Agregado[Produto])</f>
        <v>Peça usinada CNC</v>
      </c>
      <c r="F4282" s="39">
        <v>45684</v>
      </c>
      <c r="G4282" s="7">
        <v>1</v>
      </c>
      <c r="H4282" s="3">
        <f>_xlfn.XLOOKUP(Vendas[[#This Row],[ID Item Vendido]],Agregado[ID],Agregado[Revenda])</f>
        <v>192</v>
      </c>
      <c r="I4282" s="3">
        <f>Vendas[[#This Row],[Valor Unitário]]*Vendas[[#This Row],[Qnt Vendida]]</f>
        <v>192</v>
      </c>
      <c r="J4282" s="3">
        <f>Vendas[[#This Row],[Valor da Venda]]-(_xlfn.XLOOKUP(Vendas[[#This Row],[ID Item Vendido]],Agregado[ID],Agregado[Custo])*Vendas[[#This Row],[Qnt Vendida]])</f>
        <v>42</v>
      </c>
      <c r="K4282" s="70">
        <f>Vendas[[#This Row],[Lucro da Venda]]/Vendas[[#This Row],[Valor da Venda]]</f>
        <v>0.21875</v>
      </c>
      <c r="L4282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4282"/>
    </row>
    <row r="4283" spans="1:13" x14ac:dyDescent="0.3">
      <c r="A4283" s="7">
        <v>400248</v>
      </c>
      <c r="B4283" t="str">
        <f>_xlfn.XLOOKUP(Vendas[[#This Row],[ID Vendedor]],Vendedores[ID],Vendedores[Nome])</f>
        <v>Patrícia</v>
      </c>
      <c r="C4283" s="7" t="str">
        <f>_xlfn.XLOOKUP(Vendas[[#This Row],[ID Vendedor]],Vendedores[ID],Vendedores[Setor])</f>
        <v>CM</v>
      </c>
      <c r="D4283" s="7" t="s">
        <v>43</v>
      </c>
      <c r="E4283" t="str">
        <f>_xlfn.XLOOKUP(Vendas[[#This Row],[ID Item Vendido]],Agregado[ID],Agregado[Produto])</f>
        <v>Madeira Bruta (Tora)</v>
      </c>
      <c r="F4283" s="39">
        <v>45685</v>
      </c>
      <c r="G4283" s="7">
        <v>8</v>
      </c>
      <c r="H4283" s="3">
        <f>_xlfn.XLOOKUP(Vendas[[#This Row],[ID Item Vendido]],Agregado[ID],Agregado[Revenda])</f>
        <v>212</v>
      </c>
      <c r="I4283" s="3">
        <f>Vendas[[#This Row],[Valor Unitário]]*Vendas[[#This Row],[Qnt Vendida]]</f>
        <v>1696</v>
      </c>
      <c r="J4283" s="3">
        <f>Vendas[[#This Row],[Valor da Venda]]-(_xlfn.XLOOKUP(Vendas[[#This Row],[ID Item Vendido]],Agregado[ID],Agregado[Custo])*Vendas[[#This Row],[Qnt Vendida]])</f>
        <v>256</v>
      </c>
      <c r="K4283" s="70">
        <f>Vendas[[#This Row],[Lucro da Venda]]/Vendas[[#This Row],[Valor da Venda]]</f>
        <v>0.15094339622641509</v>
      </c>
      <c r="L4283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4283"/>
    </row>
    <row r="4284" spans="1:13" x14ac:dyDescent="0.3">
      <c r="A4284" s="7">
        <v>400246</v>
      </c>
      <c r="B4284" t="str">
        <f>_xlfn.XLOOKUP(Vendas[[#This Row],[ID Vendedor]],Vendedores[ID],Vendedores[Nome])</f>
        <v>Juliana</v>
      </c>
      <c r="C4284" s="7" t="str">
        <f>_xlfn.XLOOKUP(Vendas[[#This Row],[ID Vendedor]],Vendedores[ID],Vendedores[Setor])</f>
        <v>AHD</v>
      </c>
      <c r="D4284" s="7" t="s">
        <v>28</v>
      </c>
      <c r="E4284" t="str">
        <f>_xlfn.XLOOKUP(Vendas[[#This Row],[ID Item Vendido]],Agregado[ID],Agregado[Produto])</f>
        <v>Peça usinada CNC</v>
      </c>
      <c r="F4284" s="39">
        <v>45685</v>
      </c>
      <c r="G4284" s="7">
        <v>7</v>
      </c>
      <c r="H4284" s="3">
        <f>_xlfn.XLOOKUP(Vendas[[#This Row],[ID Item Vendido]],Agregado[ID],Agregado[Revenda])</f>
        <v>192</v>
      </c>
      <c r="I4284" s="3">
        <f>Vendas[[#This Row],[Valor Unitário]]*Vendas[[#This Row],[Qnt Vendida]]</f>
        <v>1344</v>
      </c>
      <c r="J4284" s="3">
        <f>Vendas[[#This Row],[Valor da Venda]]-(_xlfn.XLOOKUP(Vendas[[#This Row],[ID Item Vendido]],Agregado[ID],Agregado[Custo])*Vendas[[#This Row],[Qnt Vendida]])</f>
        <v>294</v>
      </c>
      <c r="K4284" s="70">
        <f>Vendas[[#This Row],[Lucro da Venda]]/Vendas[[#This Row],[Valor da Venda]]</f>
        <v>0.21875</v>
      </c>
      <c r="L4284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4284"/>
    </row>
    <row r="4285" spans="1:13" x14ac:dyDescent="0.3">
      <c r="A4285" s="7">
        <v>400251</v>
      </c>
      <c r="B4285" t="str">
        <f>_xlfn.XLOOKUP(Vendas[[#This Row],[ID Vendedor]],Vendedores[ID],Vendedores[Nome])</f>
        <v>Diego</v>
      </c>
      <c r="C4285" s="7" t="str">
        <f>_xlfn.XLOOKUP(Vendas[[#This Row],[ID Vendedor]],Vendedores[ID],Vendedores[Setor])</f>
        <v>AB</v>
      </c>
      <c r="D4285" s="7" t="s">
        <v>36</v>
      </c>
      <c r="E4285" t="str">
        <f>_xlfn.XLOOKUP(Vendas[[#This Row],[ID Item Vendido]],Agregado[ID],Agregado[Produto])</f>
        <v>Borracha vulcanizada em manta</v>
      </c>
      <c r="F4285" s="39">
        <v>45685</v>
      </c>
      <c r="G4285" s="7">
        <v>32</v>
      </c>
      <c r="H4285" s="3">
        <f>_xlfn.XLOOKUP(Vendas[[#This Row],[ID Item Vendido]],Agregado[ID],Agregado[Revenda])</f>
        <v>7.8</v>
      </c>
      <c r="I4285" s="3">
        <f>Vendas[[#This Row],[Valor Unitário]]*Vendas[[#This Row],[Qnt Vendida]]</f>
        <v>249.6</v>
      </c>
      <c r="J4285" s="3">
        <f>Vendas[[#This Row],[Valor da Venda]]-(_xlfn.XLOOKUP(Vendas[[#This Row],[ID Item Vendido]],Agregado[ID],Agregado[Custo])*Vendas[[#This Row],[Qnt Vendida]])</f>
        <v>57.599999999999994</v>
      </c>
      <c r="K4285" s="70">
        <f>Vendas[[#This Row],[Lucro da Venda]]/Vendas[[#This Row],[Valor da Venda]]</f>
        <v>0.23076923076923075</v>
      </c>
      <c r="L4285" s="3">
        <f>_xlfn.IFS(Vendas[[#This Row],[Margem de Lucro (%)]]&lt;15%,Vendas[[#This Row],[Valor da Venda]]*3%,Vendas[[#This Row],[Margem de Lucro (%)]]&lt;=20%,Vendas[[#This Row],[Valor da Venda]]*4.5%,TRUE,Vendas[[#This Row],[Valor da Venda]]*6%)</f>
        <v>14.975999999999999</v>
      </c>
      <c r="M4285"/>
    </row>
    <row r="4286" spans="1:13" x14ac:dyDescent="0.3">
      <c r="A4286" s="7">
        <v>400242</v>
      </c>
      <c r="B4286" t="str">
        <f>_xlfn.XLOOKUP(Vendas[[#This Row],[ID Vendedor]],Vendedores[ID],Vendedores[Nome])</f>
        <v>Fernanda</v>
      </c>
      <c r="C4286" s="7" t="str">
        <f>_xlfn.XLOOKUP(Vendas[[#This Row],[ID Vendedor]],Vendedores[ID],Vendedores[Setor])</f>
        <v>FM</v>
      </c>
      <c r="D4286" s="7" t="s">
        <v>47</v>
      </c>
      <c r="E4286" t="str">
        <f>_xlfn.XLOOKUP(Vendas[[#This Row],[ID Item Vendido]],Agregado[ID],Agregado[Produto])</f>
        <v>Fio de arame galvanizado rolo 50m</v>
      </c>
      <c r="F4286" s="39">
        <v>45685</v>
      </c>
      <c r="G4286" s="7">
        <v>4</v>
      </c>
      <c r="H4286" s="3">
        <f>_xlfn.XLOOKUP(Vendas[[#This Row],[ID Item Vendido]],Agregado[ID],Agregado[Revenda])</f>
        <v>21.2</v>
      </c>
      <c r="I4286" s="3">
        <f>Vendas[[#This Row],[Valor Unitário]]*Vendas[[#This Row],[Qnt Vendida]]</f>
        <v>84.8</v>
      </c>
      <c r="J4286" s="3">
        <f>Vendas[[#This Row],[Valor da Venda]]-(_xlfn.XLOOKUP(Vendas[[#This Row],[ID Item Vendido]],Agregado[ID],Agregado[Custo])*Vendas[[#This Row],[Qnt Vendida]])</f>
        <v>12.799999999999997</v>
      </c>
      <c r="K4286" s="70">
        <f>Vendas[[#This Row],[Lucro da Venda]]/Vendas[[#This Row],[Valor da Venda]]</f>
        <v>0.15094339622641506</v>
      </c>
      <c r="L4286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4286"/>
    </row>
    <row r="4287" spans="1:13" x14ac:dyDescent="0.3">
      <c r="A4287" s="7">
        <v>400244</v>
      </c>
      <c r="B4287" t="str">
        <f>_xlfn.XLOOKUP(Vendas[[#This Row],[ID Vendedor]],Vendedores[ID],Vendedores[Nome])</f>
        <v>Camila</v>
      </c>
      <c r="C4287" s="7" t="str">
        <f>_xlfn.XLOOKUP(Vendas[[#This Row],[ID Vendedor]],Vendedores[ID],Vendedores[Setor])</f>
        <v>AHD</v>
      </c>
      <c r="D4287" s="7" t="s">
        <v>44</v>
      </c>
      <c r="E4287" t="str">
        <f>_xlfn.XLOOKUP(Vendas[[#This Row],[ID Item Vendido]],Agregado[ID],Agregado[Produto])</f>
        <v>Liga metálica especial</v>
      </c>
      <c r="F4287" s="39">
        <v>45686</v>
      </c>
      <c r="G4287" s="7">
        <v>51</v>
      </c>
      <c r="H4287" s="3">
        <f>_xlfn.XLOOKUP(Vendas[[#This Row],[ID Item Vendido]],Agregado[ID],Agregado[Revenda])</f>
        <v>32.5</v>
      </c>
      <c r="I4287" s="3">
        <f>Vendas[[#This Row],[Valor Unitário]]*Vendas[[#This Row],[Qnt Vendida]]</f>
        <v>1657.5</v>
      </c>
      <c r="J4287" s="3">
        <f>Vendas[[#This Row],[Valor da Venda]]-(_xlfn.XLOOKUP(Vendas[[#This Row],[ID Item Vendido]],Agregado[ID],Agregado[Custo])*Vendas[[#This Row],[Qnt Vendida]])</f>
        <v>382.5</v>
      </c>
      <c r="K4287" s="70">
        <f>Vendas[[#This Row],[Lucro da Venda]]/Vendas[[#This Row],[Valor da Venda]]</f>
        <v>0.23076923076923078</v>
      </c>
      <c r="L4287" s="3">
        <f>_xlfn.IFS(Vendas[[#This Row],[Margem de Lucro (%)]]&lt;15%,Vendas[[#This Row],[Valor da Venda]]*3%,Vendas[[#This Row],[Margem de Lucro (%)]]&lt;=20%,Vendas[[#This Row],[Valor da Venda]]*4.5%,TRUE,Vendas[[#This Row],[Valor da Venda]]*6%)</f>
        <v>99.45</v>
      </c>
      <c r="M4287"/>
    </row>
    <row r="4288" spans="1:13" x14ac:dyDescent="0.3">
      <c r="A4288" s="7">
        <v>400248</v>
      </c>
      <c r="B4288" t="str">
        <f>_xlfn.XLOOKUP(Vendas[[#This Row],[ID Vendedor]],Vendedores[ID],Vendedores[Nome])</f>
        <v>Patrícia</v>
      </c>
      <c r="C4288" s="7" t="str">
        <f>_xlfn.XLOOKUP(Vendas[[#This Row],[ID Vendedor]],Vendedores[ID],Vendedores[Setor])</f>
        <v>CM</v>
      </c>
      <c r="D4288" s="7" t="s">
        <v>32</v>
      </c>
      <c r="E4288" t="str">
        <f>_xlfn.XLOOKUP(Vendas[[#This Row],[ID Item Vendido]],Agregado[ID],Agregado[Produto])</f>
        <v>Tábua tratada e cortada 3m</v>
      </c>
      <c r="F4288" s="39">
        <v>45686</v>
      </c>
      <c r="G4288" s="7">
        <v>4</v>
      </c>
      <c r="H4288" s="3">
        <f>_xlfn.XLOOKUP(Vendas[[#This Row],[ID Item Vendido]],Agregado[ID],Agregado[Revenda])</f>
        <v>39</v>
      </c>
      <c r="I4288" s="3">
        <f>Vendas[[#This Row],[Valor Unitário]]*Vendas[[#This Row],[Qnt Vendida]]</f>
        <v>156</v>
      </c>
      <c r="J4288" s="3">
        <f>Vendas[[#This Row],[Valor da Venda]]-(_xlfn.XLOOKUP(Vendas[[#This Row],[ID Item Vendido]],Agregado[ID],Agregado[Custo])*Vendas[[#This Row],[Qnt Vendida]])</f>
        <v>28</v>
      </c>
      <c r="K4288" s="70">
        <f>Vendas[[#This Row],[Lucro da Venda]]/Vendas[[#This Row],[Valor da Venda]]</f>
        <v>0.17948717948717949</v>
      </c>
      <c r="L4288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4288"/>
    </row>
    <row r="4289" spans="1:13" x14ac:dyDescent="0.3">
      <c r="A4289" s="7">
        <v>400249</v>
      </c>
      <c r="B4289" t="str">
        <f>_xlfn.XLOOKUP(Vendas[[#This Row],[ID Vendedor]],Vendedores[ID],Vendedores[Nome])</f>
        <v>Bruno</v>
      </c>
      <c r="C4289" s="7" t="str">
        <f>_xlfn.XLOOKUP(Vendas[[#This Row],[ID Vendedor]],Vendedores[ID],Vendedores[Setor])</f>
        <v>CM</v>
      </c>
      <c r="D4289" s="7" t="s">
        <v>45</v>
      </c>
      <c r="E4289" t="str">
        <f>_xlfn.XLOOKUP(Vendas[[#This Row],[ID Item Vendido]],Agregado[ID],Agregado[Produto])</f>
        <v>Viga de madeira tratada 4m</v>
      </c>
      <c r="F4289" s="39">
        <v>45687</v>
      </c>
      <c r="G4289" s="7">
        <v>16</v>
      </c>
      <c r="H4289" s="3">
        <f>_xlfn.XLOOKUP(Vendas[[#This Row],[ID Item Vendido]],Agregado[ID],Agregado[Revenda])</f>
        <v>66</v>
      </c>
      <c r="I4289" s="3">
        <f>Vendas[[#This Row],[Valor Unitário]]*Vendas[[#This Row],[Qnt Vendida]]</f>
        <v>1056</v>
      </c>
      <c r="J4289" s="3">
        <f>Vendas[[#This Row],[Valor da Venda]]-(_xlfn.XLOOKUP(Vendas[[#This Row],[ID Item Vendido]],Agregado[ID],Agregado[Custo])*Vendas[[#This Row],[Qnt Vendida]])</f>
        <v>176</v>
      </c>
      <c r="K4289" s="70">
        <f>Vendas[[#This Row],[Lucro da Venda]]/Vendas[[#This Row],[Valor da Venda]]</f>
        <v>0.16666666666666666</v>
      </c>
      <c r="L4289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4289"/>
    </row>
    <row r="4290" spans="1:13" x14ac:dyDescent="0.3">
      <c r="A4290" s="7">
        <v>400242</v>
      </c>
      <c r="B4290" t="str">
        <f>_xlfn.XLOOKUP(Vendas[[#This Row],[ID Vendedor]],Vendedores[ID],Vendedores[Nome])</f>
        <v>Fernanda</v>
      </c>
      <c r="C4290" s="7" t="str">
        <f>_xlfn.XLOOKUP(Vendas[[#This Row],[ID Vendedor]],Vendedores[ID],Vendedores[Setor])</f>
        <v>FM</v>
      </c>
      <c r="D4290" s="7" t="s">
        <v>31</v>
      </c>
      <c r="E4290" t="str">
        <f>_xlfn.XLOOKUP(Vendas[[#This Row],[ID Item Vendido]],Agregado[ID],Agregado[Produto])</f>
        <v>Tela de metal soldada rolo 2x25m</v>
      </c>
      <c r="F4290" s="39">
        <v>45687</v>
      </c>
      <c r="G4290" s="7">
        <v>18</v>
      </c>
      <c r="H4290" s="3">
        <f>_xlfn.XLOOKUP(Vendas[[#This Row],[ID Item Vendido]],Agregado[ID],Agregado[Revenda])</f>
        <v>43.7</v>
      </c>
      <c r="I4290" s="3">
        <f>Vendas[[#This Row],[Valor Unitário]]*Vendas[[#This Row],[Qnt Vendida]]</f>
        <v>786.6</v>
      </c>
      <c r="J4290" s="3">
        <f>Vendas[[#This Row],[Valor da Venda]]-(_xlfn.XLOOKUP(Vendas[[#This Row],[ID Item Vendido]],Agregado[ID],Agregado[Custo])*Vendas[[#This Row],[Qnt Vendida]])</f>
        <v>102.60000000000002</v>
      </c>
      <c r="K4290" s="70">
        <f>Vendas[[#This Row],[Lucro da Venda]]/Vendas[[#This Row],[Valor da Venda]]</f>
        <v>0.13043478260869568</v>
      </c>
      <c r="L4290" s="3">
        <f>_xlfn.IFS(Vendas[[#This Row],[Margem de Lucro (%)]]&lt;15%,Vendas[[#This Row],[Valor da Venda]]*3%,Vendas[[#This Row],[Margem de Lucro (%)]]&lt;=20%,Vendas[[#This Row],[Valor da Venda]]*4.5%,TRUE,Vendas[[#This Row],[Valor da Venda]]*6%)</f>
        <v>23.597999999999999</v>
      </c>
      <c r="M4290"/>
    </row>
    <row r="4291" spans="1:13" x14ac:dyDescent="0.3">
      <c r="A4291" s="7">
        <v>400244</v>
      </c>
      <c r="B4291" t="str">
        <f>_xlfn.XLOOKUP(Vendas[[#This Row],[ID Vendedor]],Vendedores[ID],Vendedores[Nome])</f>
        <v>Camila</v>
      </c>
      <c r="C4291" s="7" t="str">
        <f>_xlfn.XLOOKUP(Vendas[[#This Row],[ID Vendedor]],Vendedores[ID],Vendedores[Setor])</f>
        <v>AHD</v>
      </c>
      <c r="D4291" s="7" t="s">
        <v>9</v>
      </c>
      <c r="E4291" t="str">
        <f>_xlfn.XLOOKUP(Vendas[[#This Row],[ID Item Vendido]],Agregado[ID],Agregado[Produto])</f>
        <v>Barra de aço simples</v>
      </c>
      <c r="F4291" s="39">
        <v>45687</v>
      </c>
      <c r="G4291" s="7">
        <v>42</v>
      </c>
      <c r="H4291" s="3">
        <f>_xlfn.XLOOKUP(Vendas[[#This Row],[ID Item Vendido]],Agregado[ID],Agregado[Revenda])</f>
        <v>6.7</v>
      </c>
      <c r="I4291" s="3">
        <f>Vendas[[#This Row],[Valor Unitário]]*Vendas[[#This Row],[Qnt Vendida]]</f>
        <v>281.40000000000003</v>
      </c>
      <c r="J4291" s="3">
        <f>Vendas[[#This Row],[Valor da Venda]]-(_xlfn.XLOOKUP(Vendas[[#This Row],[ID Item Vendido]],Agregado[ID],Agregado[Custo])*Vendas[[#This Row],[Qnt Vendida]])</f>
        <v>37.80000000000004</v>
      </c>
      <c r="K4291" s="70">
        <f>Vendas[[#This Row],[Lucro da Venda]]/Vendas[[#This Row],[Valor da Venda]]</f>
        <v>0.13432835820895536</v>
      </c>
      <c r="L4291" s="3">
        <f>_xlfn.IFS(Vendas[[#This Row],[Margem de Lucro (%)]]&lt;15%,Vendas[[#This Row],[Valor da Venda]]*3%,Vendas[[#This Row],[Margem de Lucro (%)]]&lt;=20%,Vendas[[#This Row],[Valor da Venda]]*4.5%,TRUE,Vendas[[#This Row],[Valor da Venda]]*6%)</f>
        <v>8.4420000000000002</v>
      </c>
      <c r="M4291"/>
    </row>
    <row r="4292" spans="1:13" x14ac:dyDescent="0.3">
      <c r="A4292" s="7">
        <v>400255</v>
      </c>
      <c r="B4292" t="str">
        <f>_xlfn.XLOOKUP(Vendas[[#This Row],[ID Vendedor]],Vendedores[ID],Vendedores[Nome])</f>
        <v>Carlos</v>
      </c>
      <c r="C4292" s="7" t="str">
        <f>_xlfn.XLOOKUP(Vendas[[#This Row],[ID Vendedor]],Vendedores[ID],Vendedores[Setor])</f>
        <v>SC</v>
      </c>
      <c r="D4292" s="7" t="s">
        <v>48</v>
      </c>
      <c r="E4292" t="str">
        <f>_xlfn.XLOOKUP(Vendas[[#This Row],[ID Item Vendido]],Agregado[ID],Agregado[Produto])</f>
        <v>Tambor metálico 200L</v>
      </c>
      <c r="F4292" s="39">
        <v>45688</v>
      </c>
      <c r="G4292" s="7">
        <v>20</v>
      </c>
      <c r="H4292" s="3">
        <f>_xlfn.XLOOKUP(Vendas[[#This Row],[ID Item Vendido]],Agregado[ID],Agregado[Revenda])</f>
        <v>144</v>
      </c>
      <c r="I4292" s="3">
        <f>Vendas[[#This Row],[Valor Unitário]]*Vendas[[#This Row],[Qnt Vendida]]</f>
        <v>2880</v>
      </c>
      <c r="J4292" s="3">
        <f>Vendas[[#This Row],[Valor da Venda]]-(_xlfn.XLOOKUP(Vendas[[#This Row],[ID Item Vendido]],Agregado[ID],Agregado[Custo])*Vendas[[#This Row],[Qnt Vendida]])</f>
        <v>480</v>
      </c>
      <c r="K4292" s="70">
        <f>Vendas[[#This Row],[Lucro da Venda]]/Vendas[[#This Row],[Valor da Venda]]</f>
        <v>0.16666666666666666</v>
      </c>
      <c r="L4292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4292"/>
    </row>
    <row r="4293" spans="1:13" x14ac:dyDescent="0.3">
      <c r="A4293" s="7">
        <v>400250</v>
      </c>
      <c r="B4293" t="str">
        <f>_xlfn.XLOOKUP(Vendas[[#This Row],[ID Vendedor]],Vendedores[ID],Vendedores[Nome])</f>
        <v>Larissa</v>
      </c>
      <c r="C4293" s="7" t="str">
        <f>_xlfn.XLOOKUP(Vendas[[#This Row],[ID Vendedor]],Vendedores[ID],Vendedores[Setor])</f>
        <v>AB</v>
      </c>
      <c r="D4293" s="7" t="s">
        <v>39</v>
      </c>
      <c r="E4293" t="str">
        <f>_xlfn.XLOOKUP(Vendas[[#This Row],[ID Item Vendido]],Agregado[ID],Agregado[Produto])</f>
        <v>Filme plástico industrial rolo 50m</v>
      </c>
      <c r="F4293" s="39">
        <v>45688</v>
      </c>
      <c r="G4293" s="7">
        <v>21</v>
      </c>
      <c r="H4293" s="3">
        <f>_xlfn.XLOOKUP(Vendas[[#This Row],[ID Item Vendido]],Agregado[ID],Agregado[Revenda])</f>
        <v>37</v>
      </c>
      <c r="I4293" s="3">
        <f>Vendas[[#This Row],[Valor Unitário]]*Vendas[[#This Row],[Qnt Vendida]]</f>
        <v>777</v>
      </c>
      <c r="J4293" s="3">
        <f>Vendas[[#This Row],[Valor da Venda]]-(_xlfn.XLOOKUP(Vendas[[#This Row],[ID Item Vendido]],Agregado[ID],Agregado[Custo])*Vendas[[#This Row],[Qnt Vendida]])</f>
        <v>189</v>
      </c>
      <c r="K4293" s="70">
        <f>Vendas[[#This Row],[Lucro da Venda]]/Vendas[[#This Row],[Valor da Venda]]</f>
        <v>0.24324324324324326</v>
      </c>
      <c r="L4293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4293"/>
    </row>
    <row r="4294" spans="1:13" x14ac:dyDescent="0.3">
      <c r="A4294" s="7">
        <v>400242</v>
      </c>
      <c r="B4294" t="str">
        <f>_xlfn.XLOOKUP(Vendas[[#This Row],[ID Vendedor]],Vendedores[ID],Vendedores[Nome])</f>
        <v>Fernanda</v>
      </c>
      <c r="C4294" s="7" t="str">
        <f>_xlfn.XLOOKUP(Vendas[[#This Row],[ID Vendedor]],Vendedores[ID],Vendedores[Setor])</f>
        <v>FM</v>
      </c>
      <c r="D4294" s="7" t="s">
        <v>6</v>
      </c>
      <c r="E4294" t="str">
        <f>_xlfn.XLOOKUP(Vendas[[#This Row],[ID Item Vendido]],Agregado[ID],Agregado[Produto])</f>
        <v>Parafuso comum 500un</v>
      </c>
      <c r="F4294" s="39">
        <v>45688</v>
      </c>
      <c r="G4294" s="7">
        <v>21</v>
      </c>
      <c r="H4294" s="3">
        <f>_xlfn.XLOOKUP(Vendas[[#This Row],[ID Item Vendido]],Agregado[ID],Agregado[Revenda])</f>
        <v>24.6</v>
      </c>
      <c r="I4294" s="3">
        <f>Vendas[[#This Row],[Valor Unitário]]*Vendas[[#This Row],[Qnt Vendida]]</f>
        <v>516.6</v>
      </c>
      <c r="J4294" s="3">
        <f>Vendas[[#This Row],[Valor da Venda]]-(_xlfn.XLOOKUP(Vendas[[#This Row],[ID Item Vendido]],Agregado[ID],Agregado[Custo])*Vendas[[#This Row],[Qnt Vendida]])</f>
        <v>54.600000000000023</v>
      </c>
      <c r="K4294" s="70">
        <f>Vendas[[#This Row],[Lucro da Venda]]/Vendas[[#This Row],[Valor da Venda]]</f>
        <v>0.10569105691056914</v>
      </c>
      <c r="L4294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4294"/>
    </row>
    <row r="4295" spans="1:13" x14ac:dyDescent="0.3">
      <c r="A4295" s="7">
        <v>400246</v>
      </c>
      <c r="B4295" t="str">
        <f>_xlfn.XLOOKUP(Vendas[[#This Row],[ID Vendedor]],Vendedores[ID],Vendedores[Nome])</f>
        <v>Juliana</v>
      </c>
      <c r="C4295" s="7" t="str">
        <f>_xlfn.XLOOKUP(Vendas[[#This Row],[ID Vendedor]],Vendedores[ID],Vendedores[Setor])</f>
        <v>AHD</v>
      </c>
      <c r="D4295" s="7" t="s">
        <v>9</v>
      </c>
      <c r="E4295" t="str">
        <f>_xlfn.XLOOKUP(Vendas[[#This Row],[ID Item Vendido]],Agregado[ID],Agregado[Produto])</f>
        <v>Barra de aço simples</v>
      </c>
      <c r="F4295" s="39">
        <v>45688</v>
      </c>
      <c r="G4295" s="7">
        <v>61</v>
      </c>
      <c r="H4295" s="3">
        <f>_xlfn.XLOOKUP(Vendas[[#This Row],[ID Item Vendido]],Agregado[ID],Agregado[Revenda])</f>
        <v>6.7</v>
      </c>
      <c r="I4295" s="3">
        <f>Vendas[[#This Row],[Valor Unitário]]*Vendas[[#This Row],[Qnt Vendida]]</f>
        <v>408.7</v>
      </c>
      <c r="J4295" s="3">
        <f>Vendas[[#This Row],[Valor da Venda]]-(_xlfn.XLOOKUP(Vendas[[#This Row],[ID Item Vendido]],Agregado[ID],Agregado[Custo])*Vendas[[#This Row],[Qnt Vendida]])</f>
        <v>54.899999999999977</v>
      </c>
      <c r="K4295" s="70">
        <f>Vendas[[#This Row],[Lucro da Venda]]/Vendas[[#This Row],[Valor da Venda]]</f>
        <v>0.13432835820895517</v>
      </c>
      <c r="L4295" s="3">
        <f>_xlfn.IFS(Vendas[[#This Row],[Margem de Lucro (%)]]&lt;15%,Vendas[[#This Row],[Valor da Venda]]*3%,Vendas[[#This Row],[Margem de Lucro (%)]]&lt;=20%,Vendas[[#This Row],[Valor da Venda]]*4.5%,TRUE,Vendas[[#This Row],[Valor da Venda]]*6%)</f>
        <v>12.260999999999999</v>
      </c>
      <c r="M4295"/>
    </row>
    <row r="4296" spans="1:13" x14ac:dyDescent="0.3">
      <c r="A4296" s="7">
        <v>400252</v>
      </c>
      <c r="B4296" t="str">
        <f>_xlfn.XLOOKUP(Vendas[[#This Row],[ID Vendedor]],Vendedores[ID],Vendedores[Nome])</f>
        <v>Renata</v>
      </c>
      <c r="C4296" s="7" t="str">
        <f>_xlfn.XLOOKUP(Vendas[[#This Row],[ID Vendedor]],Vendedores[ID],Vendedores[Setor])</f>
        <v>AB</v>
      </c>
      <c r="D4296" s="7" t="s">
        <v>12</v>
      </c>
      <c r="E4296" t="str">
        <f>_xlfn.XLOOKUP(Vendas[[#This Row],[ID Item Vendido]],Agregado[ID],Agregado[Produto])</f>
        <v>Grânulo de plástico reciclado refinado</v>
      </c>
      <c r="F4296" s="39">
        <v>45688</v>
      </c>
      <c r="G4296" s="7">
        <v>70</v>
      </c>
      <c r="H4296" s="3">
        <f>_xlfn.XLOOKUP(Vendas[[#This Row],[ID Item Vendido]],Agregado[ID],Agregado[Revenda])</f>
        <v>4.7</v>
      </c>
      <c r="I4296" s="3">
        <f>Vendas[[#This Row],[Valor Unitário]]*Vendas[[#This Row],[Qnt Vendida]]</f>
        <v>329</v>
      </c>
      <c r="J4296" s="3">
        <f>Vendas[[#This Row],[Valor da Venda]]-(_xlfn.XLOOKUP(Vendas[[#This Row],[ID Item Vendido]],Agregado[ID],Agregado[Custo])*Vendas[[#This Row],[Qnt Vendida]])</f>
        <v>84</v>
      </c>
      <c r="K4296" s="70">
        <f>Vendas[[#This Row],[Lucro da Venda]]/Vendas[[#This Row],[Valor da Venda]]</f>
        <v>0.25531914893617019</v>
      </c>
      <c r="L4296" s="3">
        <f>_xlfn.IFS(Vendas[[#This Row],[Margem de Lucro (%)]]&lt;15%,Vendas[[#This Row],[Valor da Venda]]*3%,Vendas[[#This Row],[Margem de Lucro (%)]]&lt;=20%,Vendas[[#This Row],[Valor da Venda]]*4.5%,TRUE,Vendas[[#This Row],[Valor da Venda]]*6%)</f>
        <v>19.739999999999998</v>
      </c>
      <c r="M4296"/>
    </row>
    <row r="4297" spans="1:13" x14ac:dyDescent="0.3">
      <c r="A4297" s="7">
        <v>400253</v>
      </c>
      <c r="B4297" t="str">
        <f>_xlfn.XLOOKUP(Vendas[[#This Row],[ID Vendedor]],Vendedores[ID],Vendedores[Nome])</f>
        <v>Gustavo</v>
      </c>
      <c r="C4297" s="7" t="str">
        <f>_xlfn.XLOOKUP(Vendas[[#This Row],[ID Vendedor]],Vendedores[ID],Vendedores[Setor])</f>
        <v>SC</v>
      </c>
      <c r="D4297" s="7" t="s">
        <v>14</v>
      </c>
      <c r="E4297" t="str">
        <f>_xlfn.XLOOKUP(Vendas[[#This Row],[ID Item Vendido]],Agregado[ID],Agregado[Produto])</f>
        <v>Barril de plástico 200L</v>
      </c>
      <c r="F4297" s="39">
        <v>45689</v>
      </c>
      <c r="G4297" s="7">
        <v>20</v>
      </c>
      <c r="H4297" s="3">
        <f>_xlfn.XLOOKUP(Vendas[[#This Row],[ID Item Vendido]],Agregado[ID],Agregado[Revenda])</f>
        <v>114</v>
      </c>
      <c r="I4297" s="3">
        <f>Vendas[[#This Row],[Valor Unitário]]*Vendas[[#This Row],[Qnt Vendida]]</f>
        <v>2280</v>
      </c>
      <c r="J4297" s="3">
        <f>Vendas[[#This Row],[Valor da Venda]]-(_xlfn.XLOOKUP(Vendas[[#This Row],[ID Item Vendido]],Agregado[ID],Agregado[Custo])*Vendas[[#This Row],[Qnt Vendida]])</f>
        <v>380</v>
      </c>
      <c r="K4297" s="70">
        <f>Vendas[[#This Row],[Lucro da Venda]]/Vendas[[#This Row],[Valor da Venda]]</f>
        <v>0.16666666666666666</v>
      </c>
      <c r="L4297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4297"/>
    </row>
    <row r="4298" spans="1:13" x14ac:dyDescent="0.3">
      <c r="A4298" s="7">
        <v>400251</v>
      </c>
      <c r="B4298" t="str">
        <f>_xlfn.XLOOKUP(Vendas[[#This Row],[ID Vendedor]],Vendedores[ID],Vendedores[Nome])</f>
        <v>Diego</v>
      </c>
      <c r="C4298" s="7" t="str">
        <f>_xlfn.XLOOKUP(Vendas[[#This Row],[ID Vendedor]],Vendedores[ID],Vendedores[Setor])</f>
        <v>AB</v>
      </c>
      <c r="D4298" s="7" t="s">
        <v>12</v>
      </c>
      <c r="E4298" t="str">
        <f>_xlfn.XLOOKUP(Vendas[[#This Row],[ID Item Vendido]],Agregado[ID],Agregado[Produto])</f>
        <v>Grânulo de plástico reciclado refinado</v>
      </c>
      <c r="F4298" s="39">
        <v>45690</v>
      </c>
      <c r="G4298" s="7">
        <v>102</v>
      </c>
      <c r="H4298" s="3">
        <f>_xlfn.XLOOKUP(Vendas[[#This Row],[ID Item Vendido]],Agregado[ID],Agregado[Revenda])</f>
        <v>4.7</v>
      </c>
      <c r="I4298" s="3">
        <f>Vendas[[#This Row],[Valor Unitário]]*Vendas[[#This Row],[Qnt Vendida]]</f>
        <v>479.40000000000003</v>
      </c>
      <c r="J4298" s="3">
        <f>Vendas[[#This Row],[Valor da Venda]]-(_xlfn.XLOOKUP(Vendas[[#This Row],[ID Item Vendido]],Agregado[ID],Agregado[Custo])*Vendas[[#This Row],[Qnt Vendida]])</f>
        <v>122.40000000000003</v>
      </c>
      <c r="K4298" s="70">
        <f>Vendas[[#This Row],[Lucro da Venda]]/Vendas[[#This Row],[Valor da Venda]]</f>
        <v>0.25531914893617025</v>
      </c>
      <c r="L4298" s="3">
        <f>_xlfn.IFS(Vendas[[#This Row],[Margem de Lucro (%)]]&lt;15%,Vendas[[#This Row],[Valor da Venda]]*3%,Vendas[[#This Row],[Margem de Lucro (%)]]&lt;=20%,Vendas[[#This Row],[Valor da Venda]]*4.5%,TRUE,Vendas[[#This Row],[Valor da Venda]]*6%)</f>
        <v>28.763999999999999</v>
      </c>
      <c r="M4298"/>
    </row>
    <row r="4299" spans="1:13" x14ac:dyDescent="0.3">
      <c r="A4299" s="7">
        <v>400254</v>
      </c>
      <c r="B4299" t="str">
        <f>_xlfn.XLOOKUP(Vendas[[#This Row],[ID Vendedor]],Vendedores[ID],Vendedores[Nome])</f>
        <v>Beatriz</v>
      </c>
      <c r="C4299" s="7" t="str">
        <f>_xlfn.XLOOKUP(Vendas[[#This Row],[ID Vendedor]],Vendedores[ID],Vendedores[Setor])</f>
        <v>SC</v>
      </c>
      <c r="D4299" s="7" t="s">
        <v>42</v>
      </c>
      <c r="E4299" t="str">
        <f>_xlfn.XLOOKUP(Vendas[[#This Row],[ID Item Vendido]],Agregado[ID],Agregado[Produto])</f>
        <v>Container de ferro industrial</v>
      </c>
      <c r="F4299" s="39">
        <v>45691</v>
      </c>
      <c r="G4299" s="7">
        <v>3</v>
      </c>
      <c r="H4299" s="3">
        <f>_xlfn.XLOOKUP(Vendas[[#This Row],[ID Item Vendido]],Agregado[ID],Agregado[Revenda])</f>
        <v>830</v>
      </c>
      <c r="I4299" s="3">
        <f>Vendas[[#This Row],[Valor Unitário]]*Vendas[[#This Row],[Qnt Vendida]]</f>
        <v>2490</v>
      </c>
      <c r="J4299" s="3">
        <f>Vendas[[#This Row],[Valor da Venda]]-(_xlfn.XLOOKUP(Vendas[[#This Row],[ID Item Vendido]],Agregado[ID],Agregado[Custo])*Vendas[[#This Row],[Qnt Vendida]])</f>
        <v>450</v>
      </c>
      <c r="K4299" s="70">
        <f>Vendas[[#This Row],[Lucro da Venda]]/Vendas[[#This Row],[Valor da Venda]]</f>
        <v>0.18072289156626506</v>
      </c>
      <c r="L429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299"/>
    </row>
    <row r="4300" spans="1:13" x14ac:dyDescent="0.3">
      <c r="A4300" s="7">
        <v>400252</v>
      </c>
      <c r="B4300" t="str">
        <f>_xlfn.XLOOKUP(Vendas[[#This Row],[ID Vendedor]],Vendedores[ID],Vendedores[Nome])</f>
        <v>Renata</v>
      </c>
      <c r="C4300" s="7" t="str">
        <f>_xlfn.XLOOKUP(Vendas[[#This Row],[ID Vendedor]],Vendedores[ID],Vendedores[Setor])</f>
        <v>AB</v>
      </c>
      <c r="D4300" s="7" t="s">
        <v>12</v>
      </c>
      <c r="E4300" t="str">
        <f>_xlfn.XLOOKUP(Vendas[[#This Row],[ID Item Vendido]],Agregado[ID],Agregado[Produto])</f>
        <v>Grânulo de plástico reciclado refinado</v>
      </c>
      <c r="F4300" s="39">
        <v>45691</v>
      </c>
      <c r="G4300" s="7">
        <v>118</v>
      </c>
      <c r="H4300" s="3">
        <f>_xlfn.XLOOKUP(Vendas[[#This Row],[ID Item Vendido]],Agregado[ID],Agregado[Revenda])</f>
        <v>4.7</v>
      </c>
      <c r="I4300" s="3">
        <f>Vendas[[#This Row],[Valor Unitário]]*Vendas[[#This Row],[Qnt Vendida]]</f>
        <v>554.6</v>
      </c>
      <c r="J4300" s="3">
        <f>Vendas[[#This Row],[Valor da Venda]]-(_xlfn.XLOOKUP(Vendas[[#This Row],[ID Item Vendido]],Agregado[ID],Agregado[Custo])*Vendas[[#This Row],[Qnt Vendida]])</f>
        <v>141.60000000000002</v>
      </c>
      <c r="K4300" s="70">
        <f>Vendas[[#This Row],[Lucro da Venda]]/Vendas[[#This Row],[Valor da Venda]]</f>
        <v>0.25531914893617025</v>
      </c>
      <c r="L4300" s="3">
        <f>_xlfn.IFS(Vendas[[#This Row],[Margem de Lucro (%)]]&lt;15%,Vendas[[#This Row],[Valor da Venda]]*3%,Vendas[[#This Row],[Margem de Lucro (%)]]&lt;=20%,Vendas[[#This Row],[Valor da Venda]]*4.5%,TRUE,Vendas[[#This Row],[Valor da Venda]]*6%)</f>
        <v>33.276000000000003</v>
      </c>
      <c r="M4300"/>
    </row>
    <row r="4301" spans="1:13" x14ac:dyDescent="0.3">
      <c r="A4301" s="7">
        <v>400242</v>
      </c>
      <c r="B4301" t="str">
        <f>_xlfn.XLOOKUP(Vendas[[#This Row],[ID Vendedor]],Vendedores[ID],Vendedores[Nome])</f>
        <v>Fernanda</v>
      </c>
      <c r="C4301" s="7" t="str">
        <f>_xlfn.XLOOKUP(Vendas[[#This Row],[ID Vendedor]],Vendedores[ID],Vendedores[Setor])</f>
        <v>FM</v>
      </c>
      <c r="D4301" s="7" t="s">
        <v>6</v>
      </c>
      <c r="E4301" t="str">
        <f>_xlfn.XLOOKUP(Vendas[[#This Row],[ID Item Vendido]],Agregado[ID],Agregado[Produto])</f>
        <v>Parafuso comum 500un</v>
      </c>
      <c r="F4301" s="39">
        <v>45691</v>
      </c>
      <c r="G4301" s="7">
        <v>18</v>
      </c>
      <c r="H4301" s="3">
        <f>_xlfn.XLOOKUP(Vendas[[#This Row],[ID Item Vendido]],Agregado[ID],Agregado[Revenda])</f>
        <v>24.6</v>
      </c>
      <c r="I4301" s="3">
        <f>Vendas[[#This Row],[Valor Unitário]]*Vendas[[#This Row],[Qnt Vendida]]</f>
        <v>442.8</v>
      </c>
      <c r="J4301" s="3">
        <f>Vendas[[#This Row],[Valor da Venda]]-(_xlfn.XLOOKUP(Vendas[[#This Row],[ID Item Vendido]],Agregado[ID],Agregado[Custo])*Vendas[[#This Row],[Qnt Vendida]])</f>
        <v>46.800000000000011</v>
      </c>
      <c r="K4301" s="70">
        <f>Vendas[[#This Row],[Lucro da Venda]]/Vendas[[#This Row],[Valor da Venda]]</f>
        <v>0.10569105691056913</v>
      </c>
      <c r="L4301" s="3">
        <f>_xlfn.IFS(Vendas[[#This Row],[Margem de Lucro (%)]]&lt;15%,Vendas[[#This Row],[Valor da Venda]]*3%,Vendas[[#This Row],[Margem de Lucro (%)]]&lt;=20%,Vendas[[#This Row],[Valor da Venda]]*4.5%,TRUE,Vendas[[#This Row],[Valor da Venda]]*6%)</f>
        <v>13.284000000000001</v>
      </c>
      <c r="M4301"/>
    </row>
    <row r="4302" spans="1:13" x14ac:dyDescent="0.3">
      <c r="A4302" s="7">
        <v>400252</v>
      </c>
      <c r="B4302" t="str">
        <f>_xlfn.XLOOKUP(Vendas[[#This Row],[ID Vendedor]],Vendedores[ID],Vendedores[Nome])</f>
        <v>Renata</v>
      </c>
      <c r="C4302" s="7" t="str">
        <f>_xlfn.XLOOKUP(Vendas[[#This Row],[ID Vendedor]],Vendedores[ID],Vendedores[Setor])</f>
        <v>AB</v>
      </c>
      <c r="D4302" s="7" t="s">
        <v>39</v>
      </c>
      <c r="E4302" t="str">
        <f>_xlfn.XLOOKUP(Vendas[[#This Row],[ID Item Vendido]],Agregado[ID],Agregado[Produto])</f>
        <v>Filme plástico industrial rolo 50m</v>
      </c>
      <c r="F4302" s="39">
        <v>45692</v>
      </c>
      <c r="G4302" s="7">
        <v>9</v>
      </c>
      <c r="H4302" s="3">
        <f>_xlfn.XLOOKUP(Vendas[[#This Row],[ID Item Vendido]],Agregado[ID],Agregado[Revenda])</f>
        <v>37</v>
      </c>
      <c r="I4302" s="3">
        <f>Vendas[[#This Row],[Valor Unitário]]*Vendas[[#This Row],[Qnt Vendida]]</f>
        <v>333</v>
      </c>
      <c r="J4302" s="3">
        <f>Vendas[[#This Row],[Valor da Venda]]-(_xlfn.XLOOKUP(Vendas[[#This Row],[ID Item Vendido]],Agregado[ID],Agregado[Custo])*Vendas[[#This Row],[Qnt Vendida]])</f>
        <v>81</v>
      </c>
      <c r="K4302" s="70">
        <f>Vendas[[#This Row],[Lucro da Venda]]/Vendas[[#This Row],[Valor da Venda]]</f>
        <v>0.24324324324324326</v>
      </c>
      <c r="L4302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4302"/>
    </row>
    <row r="4303" spans="1:13" x14ac:dyDescent="0.3">
      <c r="A4303" s="7">
        <v>400252</v>
      </c>
      <c r="B4303" t="str">
        <f>_xlfn.XLOOKUP(Vendas[[#This Row],[ID Vendedor]],Vendedores[ID],Vendedores[Nome])</f>
        <v>Renata</v>
      </c>
      <c r="C4303" s="7" t="str">
        <f>_xlfn.XLOOKUP(Vendas[[#This Row],[ID Vendedor]],Vendedores[ID],Vendedores[Setor])</f>
        <v>AB</v>
      </c>
      <c r="D4303" s="7" t="s">
        <v>36</v>
      </c>
      <c r="E4303" t="str">
        <f>_xlfn.XLOOKUP(Vendas[[#This Row],[ID Item Vendido]],Agregado[ID],Agregado[Produto])</f>
        <v>Borracha vulcanizada em manta</v>
      </c>
      <c r="F4303" s="39">
        <v>45692</v>
      </c>
      <c r="G4303" s="7">
        <v>19</v>
      </c>
      <c r="H4303" s="3">
        <f>_xlfn.XLOOKUP(Vendas[[#This Row],[ID Item Vendido]],Agregado[ID],Agregado[Revenda])</f>
        <v>7.8</v>
      </c>
      <c r="I4303" s="3">
        <f>Vendas[[#This Row],[Valor Unitário]]*Vendas[[#This Row],[Qnt Vendida]]</f>
        <v>148.19999999999999</v>
      </c>
      <c r="J4303" s="3">
        <f>Vendas[[#This Row],[Valor da Venda]]-(_xlfn.XLOOKUP(Vendas[[#This Row],[ID Item Vendido]],Agregado[ID],Agregado[Custo])*Vendas[[#This Row],[Qnt Vendida]])</f>
        <v>34.199999999999989</v>
      </c>
      <c r="K4303" s="70">
        <f>Vendas[[#This Row],[Lucro da Venda]]/Vendas[[#This Row],[Valor da Venda]]</f>
        <v>0.2307692307692307</v>
      </c>
      <c r="L4303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4303"/>
    </row>
    <row r="4304" spans="1:13" x14ac:dyDescent="0.3">
      <c r="A4304" s="7">
        <v>400254</v>
      </c>
      <c r="B4304" t="str">
        <f>_xlfn.XLOOKUP(Vendas[[#This Row],[ID Vendedor]],Vendedores[ID],Vendedores[Nome])</f>
        <v>Beatriz</v>
      </c>
      <c r="C4304" s="7" t="str">
        <f>_xlfn.XLOOKUP(Vendas[[#This Row],[ID Vendedor]],Vendedores[ID],Vendedores[Setor])</f>
        <v>SC</v>
      </c>
      <c r="D4304" s="7" t="s">
        <v>42</v>
      </c>
      <c r="E4304" t="str">
        <f>_xlfn.XLOOKUP(Vendas[[#This Row],[ID Item Vendido]],Agregado[ID],Agregado[Produto])</f>
        <v>Container de ferro industrial</v>
      </c>
      <c r="F4304" s="39">
        <v>45693</v>
      </c>
      <c r="G4304" s="7">
        <v>4</v>
      </c>
      <c r="H4304" s="3">
        <f>_xlfn.XLOOKUP(Vendas[[#This Row],[ID Item Vendido]],Agregado[ID],Agregado[Revenda])</f>
        <v>830</v>
      </c>
      <c r="I4304" s="3">
        <f>Vendas[[#This Row],[Valor Unitário]]*Vendas[[#This Row],[Qnt Vendida]]</f>
        <v>3320</v>
      </c>
      <c r="J4304" s="3">
        <f>Vendas[[#This Row],[Valor da Venda]]-(_xlfn.XLOOKUP(Vendas[[#This Row],[ID Item Vendido]],Agregado[ID],Agregado[Custo])*Vendas[[#This Row],[Qnt Vendida]])</f>
        <v>600</v>
      </c>
      <c r="K4304" s="70">
        <f>Vendas[[#This Row],[Lucro da Venda]]/Vendas[[#This Row],[Valor da Venda]]</f>
        <v>0.18072289156626506</v>
      </c>
      <c r="L4304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304"/>
    </row>
    <row r="4305" spans="1:13" x14ac:dyDescent="0.3">
      <c r="A4305" s="7">
        <v>400244</v>
      </c>
      <c r="B4305" t="str">
        <f>_xlfn.XLOOKUP(Vendas[[#This Row],[ID Vendedor]],Vendedores[ID],Vendedores[Nome])</f>
        <v>Camila</v>
      </c>
      <c r="C4305" s="7" t="str">
        <f>_xlfn.XLOOKUP(Vendas[[#This Row],[ID Vendedor]],Vendedores[ID],Vendedores[Setor])</f>
        <v>AHD</v>
      </c>
      <c r="D4305" s="7" t="s">
        <v>30</v>
      </c>
      <c r="E4305" t="str">
        <f>_xlfn.XLOOKUP(Vendas[[#This Row],[ID Item Vendido]],Agregado[ID],Agregado[Produto])</f>
        <v>Estrutura metálica soldada</v>
      </c>
      <c r="F4305" s="39">
        <v>45693</v>
      </c>
      <c r="G4305" s="7">
        <v>8</v>
      </c>
      <c r="H4305" s="3">
        <f>_xlfn.XLOOKUP(Vendas[[#This Row],[ID Item Vendido]],Agregado[ID],Agregado[Revenda])</f>
        <v>400</v>
      </c>
      <c r="I4305" s="3">
        <f>Vendas[[#This Row],[Valor Unitário]]*Vendas[[#This Row],[Qnt Vendida]]</f>
        <v>3200</v>
      </c>
      <c r="J4305" s="3">
        <f>Vendas[[#This Row],[Valor da Venda]]-(_xlfn.XLOOKUP(Vendas[[#This Row],[ID Item Vendido]],Agregado[ID],Agregado[Custo])*Vendas[[#This Row],[Qnt Vendida]])</f>
        <v>640</v>
      </c>
      <c r="K4305" s="70">
        <f>Vendas[[#This Row],[Lucro da Venda]]/Vendas[[#This Row],[Valor da Venda]]</f>
        <v>0.2</v>
      </c>
      <c r="L430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305"/>
    </row>
    <row r="4306" spans="1:13" x14ac:dyDescent="0.3">
      <c r="A4306" s="7">
        <v>400249</v>
      </c>
      <c r="B4306" t="str">
        <f>_xlfn.XLOOKUP(Vendas[[#This Row],[ID Vendedor]],Vendedores[ID],Vendedores[Nome])</f>
        <v>Bruno</v>
      </c>
      <c r="C4306" s="7" t="str">
        <f>_xlfn.XLOOKUP(Vendas[[#This Row],[ID Vendedor]],Vendedores[ID],Vendedores[Setor])</f>
        <v>CM</v>
      </c>
      <c r="D4306" s="7" t="s">
        <v>43</v>
      </c>
      <c r="E4306" t="str">
        <f>_xlfn.XLOOKUP(Vendas[[#This Row],[ID Item Vendido]],Agregado[ID],Agregado[Produto])</f>
        <v>Madeira Bruta (Tora)</v>
      </c>
      <c r="F4306" s="39">
        <v>45693</v>
      </c>
      <c r="G4306" s="7">
        <v>15</v>
      </c>
      <c r="H4306" s="3">
        <f>_xlfn.XLOOKUP(Vendas[[#This Row],[ID Item Vendido]],Agregado[ID],Agregado[Revenda])</f>
        <v>212</v>
      </c>
      <c r="I4306" s="3">
        <f>Vendas[[#This Row],[Valor Unitário]]*Vendas[[#This Row],[Qnt Vendida]]</f>
        <v>3180</v>
      </c>
      <c r="J4306" s="3">
        <f>Vendas[[#This Row],[Valor da Venda]]-(_xlfn.XLOOKUP(Vendas[[#This Row],[ID Item Vendido]],Agregado[ID],Agregado[Custo])*Vendas[[#This Row],[Qnt Vendida]])</f>
        <v>480</v>
      </c>
      <c r="K4306" s="70">
        <f>Vendas[[#This Row],[Lucro da Venda]]/Vendas[[#This Row],[Valor da Venda]]</f>
        <v>0.15094339622641509</v>
      </c>
      <c r="L4306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4306"/>
    </row>
    <row r="4307" spans="1:13" x14ac:dyDescent="0.3">
      <c r="A4307" s="7">
        <v>400253</v>
      </c>
      <c r="B4307" t="str">
        <f>_xlfn.XLOOKUP(Vendas[[#This Row],[ID Vendedor]],Vendedores[ID],Vendedores[Nome])</f>
        <v>Gustavo</v>
      </c>
      <c r="C4307" s="7" t="str">
        <f>_xlfn.XLOOKUP(Vendas[[#This Row],[ID Vendedor]],Vendedores[ID],Vendedores[Setor])</f>
        <v>SC</v>
      </c>
      <c r="D4307" s="7" t="s">
        <v>42</v>
      </c>
      <c r="E4307" t="str">
        <f>_xlfn.XLOOKUP(Vendas[[#This Row],[ID Item Vendido]],Agregado[ID],Agregado[Produto])</f>
        <v>Container de ferro industrial</v>
      </c>
      <c r="F4307" s="39">
        <v>45693</v>
      </c>
      <c r="G4307" s="7">
        <v>3</v>
      </c>
      <c r="H4307" s="3">
        <f>_xlfn.XLOOKUP(Vendas[[#This Row],[ID Item Vendido]],Agregado[ID],Agregado[Revenda])</f>
        <v>830</v>
      </c>
      <c r="I4307" s="3">
        <f>Vendas[[#This Row],[Valor Unitário]]*Vendas[[#This Row],[Qnt Vendida]]</f>
        <v>2490</v>
      </c>
      <c r="J4307" s="3">
        <f>Vendas[[#This Row],[Valor da Venda]]-(_xlfn.XLOOKUP(Vendas[[#This Row],[ID Item Vendido]],Agregado[ID],Agregado[Custo])*Vendas[[#This Row],[Qnt Vendida]])</f>
        <v>450</v>
      </c>
      <c r="K4307" s="70">
        <f>Vendas[[#This Row],[Lucro da Venda]]/Vendas[[#This Row],[Valor da Venda]]</f>
        <v>0.18072289156626506</v>
      </c>
      <c r="L4307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307"/>
    </row>
    <row r="4308" spans="1:13" x14ac:dyDescent="0.3">
      <c r="A4308" s="7">
        <v>400248</v>
      </c>
      <c r="B4308" t="str">
        <f>_xlfn.XLOOKUP(Vendas[[#This Row],[ID Vendedor]],Vendedores[ID],Vendedores[Nome])</f>
        <v>Patrícia</v>
      </c>
      <c r="C4308" s="7" t="str">
        <f>_xlfn.XLOOKUP(Vendas[[#This Row],[ID Vendedor]],Vendedores[ID],Vendedores[Setor])</f>
        <v>CM</v>
      </c>
      <c r="D4308" s="7" t="s">
        <v>43</v>
      </c>
      <c r="E4308" t="str">
        <f>_xlfn.XLOOKUP(Vendas[[#This Row],[ID Item Vendido]],Agregado[ID],Agregado[Produto])</f>
        <v>Madeira Bruta (Tora)</v>
      </c>
      <c r="F4308" s="39">
        <v>45693</v>
      </c>
      <c r="G4308" s="7">
        <v>6</v>
      </c>
      <c r="H4308" s="3">
        <f>_xlfn.XLOOKUP(Vendas[[#This Row],[ID Item Vendido]],Agregado[ID],Agregado[Revenda])</f>
        <v>212</v>
      </c>
      <c r="I4308" s="3">
        <f>Vendas[[#This Row],[Valor Unitário]]*Vendas[[#This Row],[Qnt Vendida]]</f>
        <v>1272</v>
      </c>
      <c r="J4308" s="3">
        <f>Vendas[[#This Row],[Valor da Venda]]-(_xlfn.XLOOKUP(Vendas[[#This Row],[ID Item Vendido]],Agregado[ID],Agregado[Custo])*Vendas[[#This Row],[Qnt Vendida]])</f>
        <v>192</v>
      </c>
      <c r="K4308" s="70">
        <f>Vendas[[#This Row],[Lucro da Venda]]/Vendas[[#This Row],[Valor da Venda]]</f>
        <v>0.15094339622641509</v>
      </c>
      <c r="L4308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4308"/>
    </row>
    <row r="4309" spans="1:13" x14ac:dyDescent="0.3">
      <c r="A4309" s="7">
        <v>400242</v>
      </c>
      <c r="B4309" t="str">
        <f>_xlfn.XLOOKUP(Vendas[[#This Row],[ID Vendedor]],Vendedores[ID],Vendedores[Nome])</f>
        <v>Fernanda</v>
      </c>
      <c r="C4309" s="7" t="str">
        <f>_xlfn.XLOOKUP(Vendas[[#This Row],[ID Vendedor]],Vendedores[ID],Vendedores[Setor])</f>
        <v>FM</v>
      </c>
      <c r="D4309" s="7" t="s">
        <v>31</v>
      </c>
      <c r="E4309" t="str">
        <f>_xlfn.XLOOKUP(Vendas[[#This Row],[ID Item Vendido]],Agregado[ID],Agregado[Produto])</f>
        <v>Tela de metal soldada rolo 2x25m</v>
      </c>
      <c r="F4309" s="39">
        <v>45693</v>
      </c>
      <c r="G4309" s="7">
        <v>20</v>
      </c>
      <c r="H4309" s="3">
        <f>_xlfn.XLOOKUP(Vendas[[#This Row],[ID Item Vendido]],Agregado[ID],Agregado[Revenda])</f>
        <v>43.7</v>
      </c>
      <c r="I4309" s="3">
        <f>Vendas[[#This Row],[Valor Unitário]]*Vendas[[#This Row],[Qnt Vendida]]</f>
        <v>874</v>
      </c>
      <c r="J4309" s="3">
        <f>Vendas[[#This Row],[Valor da Venda]]-(_xlfn.XLOOKUP(Vendas[[#This Row],[ID Item Vendido]],Agregado[ID],Agregado[Custo])*Vendas[[#This Row],[Qnt Vendida]])</f>
        <v>114</v>
      </c>
      <c r="K4309" s="70">
        <f>Vendas[[#This Row],[Lucro da Venda]]/Vendas[[#This Row],[Valor da Venda]]</f>
        <v>0.13043478260869565</v>
      </c>
      <c r="L4309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4309"/>
    </row>
    <row r="4310" spans="1:13" x14ac:dyDescent="0.3">
      <c r="A4310" s="7">
        <v>400246</v>
      </c>
      <c r="B4310" t="str">
        <f>_xlfn.XLOOKUP(Vendas[[#This Row],[ID Vendedor]],Vendedores[ID],Vendedores[Nome])</f>
        <v>Juliana</v>
      </c>
      <c r="C4310" s="7" t="str">
        <f>_xlfn.XLOOKUP(Vendas[[#This Row],[ID Vendedor]],Vendedores[ID],Vendedores[Setor])</f>
        <v>AHD</v>
      </c>
      <c r="D4310" s="7" t="s">
        <v>44</v>
      </c>
      <c r="E4310" t="str">
        <f>_xlfn.XLOOKUP(Vendas[[#This Row],[ID Item Vendido]],Agregado[ID],Agregado[Produto])</f>
        <v>Liga metálica especial</v>
      </c>
      <c r="F4310" s="39">
        <v>45693</v>
      </c>
      <c r="G4310" s="7">
        <v>25</v>
      </c>
      <c r="H4310" s="3">
        <f>_xlfn.XLOOKUP(Vendas[[#This Row],[ID Item Vendido]],Agregado[ID],Agregado[Revenda])</f>
        <v>32.5</v>
      </c>
      <c r="I4310" s="3">
        <f>Vendas[[#This Row],[Valor Unitário]]*Vendas[[#This Row],[Qnt Vendida]]</f>
        <v>812.5</v>
      </c>
      <c r="J4310" s="3">
        <f>Vendas[[#This Row],[Valor da Venda]]-(_xlfn.XLOOKUP(Vendas[[#This Row],[ID Item Vendido]],Agregado[ID],Agregado[Custo])*Vendas[[#This Row],[Qnt Vendida]])</f>
        <v>187.5</v>
      </c>
      <c r="K4310" s="70">
        <f>Vendas[[#This Row],[Lucro da Venda]]/Vendas[[#This Row],[Valor da Venda]]</f>
        <v>0.23076923076923078</v>
      </c>
      <c r="L4310" s="3">
        <f>_xlfn.IFS(Vendas[[#This Row],[Margem de Lucro (%)]]&lt;15%,Vendas[[#This Row],[Valor da Venda]]*3%,Vendas[[#This Row],[Margem de Lucro (%)]]&lt;=20%,Vendas[[#This Row],[Valor da Venda]]*4.5%,TRUE,Vendas[[#This Row],[Valor da Venda]]*6%)</f>
        <v>48.75</v>
      </c>
      <c r="M4310"/>
    </row>
    <row r="4311" spans="1:13" x14ac:dyDescent="0.3">
      <c r="A4311" s="7">
        <v>400242</v>
      </c>
      <c r="B4311" t="str">
        <f>_xlfn.XLOOKUP(Vendas[[#This Row],[ID Vendedor]],Vendedores[ID],Vendedores[Nome])</f>
        <v>Fernanda</v>
      </c>
      <c r="C4311" s="7" t="str">
        <f>_xlfn.XLOOKUP(Vendas[[#This Row],[ID Vendedor]],Vendedores[ID],Vendedores[Setor])</f>
        <v>FM</v>
      </c>
      <c r="D4311" s="7" t="s">
        <v>47</v>
      </c>
      <c r="E4311" t="str">
        <f>_xlfn.XLOOKUP(Vendas[[#This Row],[ID Item Vendido]],Agregado[ID],Agregado[Produto])</f>
        <v>Fio de arame galvanizado rolo 50m</v>
      </c>
      <c r="F4311" s="39">
        <v>45693</v>
      </c>
      <c r="G4311" s="7">
        <v>10</v>
      </c>
      <c r="H4311" s="3">
        <f>_xlfn.XLOOKUP(Vendas[[#This Row],[ID Item Vendido]],Agregado[ID],Agregado[Revenda])</f>
        <v>21.2</v>
      </c>
      <c r="I4311" s="3">
        <f>Vendas[[#This Row],[Valor Unitário]]*Vendas[[#This Row],[Qnt Vendida]]</f>
        <v>212</v>
      </c>
      <c r="J4311" s="3">
        <f>Vendas[[#This Row],[Valor da Venda]]-(_xlfn.XLOOKUP(Vendas[[#This Row],[ID Item Vendido]],Agregado[ID],Agregado[Custo])*Vendas[[#This Row],[Qnt Vendida]])</f>
        <v>32</v>
      </c>
      <c r="K4311" s="70">
        <f>Vendas[[#This Row],[Lucro da Venda]]/Vendas[[#This Row],[Valor da Venda]]</f>
        <v>0.15094339622641509</v>
      </c>
      <c r="L4311" s="3">
        <f>_xlfn.IFS(Vendas[[#This Row],[Margem de Lucro (%)]]&lt;15%,Vendas[[#This Row],[Valor da Venda]]*3%,Vendas[[#This Row],[Margem de Lucro (%)]]&lt;=20%,Vendas[[#This Row],[Valor da Venda]]*4.5%,TRUE,Vendas[[#This Row],[Valor da Venda]]*6%)</f>
        <v>9.5399999999999991</v>
      </c>
      <c r="M4311"/>
    </row>
    <row r="4312" spans="1:13" x14ac:dyDescent="0.3">
      <c r="A4312" s="7">
        <v>400254</v>
      </c>
      <c r="B4312" t="str">
        <f>_xlfn.XLOOKUP(Vendas[[#This Row],[ID Vendedor]],Vendedores[ID],Vendedores[Nome])</f>
        <v>Beatriz</v>
      </c>
      <c r="C4312" s="7" t="str">
        <f>_xlfn.XLOOKUP(Vendas[[#This Row],[ID Vendedor]],Vendedores[ID],Vendedores[Setor])</f>
        <v>SC</v>
      </c>
      <c r="D4312" s="7" t="s">
        <v>41</v>
      </c>
      <c r="E4312" t="str">
        <f>_xlfn.XLOOKUP(Vendas[[#This Row],[ID Item Vendido]],Agregado[ID],Agregado[Produto])</f>
        <v>Palete de madeira reforçado</v>
      </c>
      <c r="F4312" s="39">
        <v>45693</v>
      </c>
      <c r="G4312" s="7">
        <v>1</v>
      </c>
      <c r="H4312" s="3">
        <f>_xlfn.XLOOKUP(Vendas[[#This Row],[ID Item Vendido]],Agregado[ID],Agregado[Revenda])</f>
        <v>131</v>
      </c>
      <c r="I4312" s="3">
        <f>Vendas[[#This Row],[Valor Unitário]]*Vendas[[#This Row],[Qnt Vendida]]</f>
        <v>131</v>
      </c>
      <c r="J4312" s="3">
        <f>Vendas[[#This Row],[Valor da Venda]]-(_xlfn.XLOOKUP(Vendas[[#This Row],[ID Item Vendido]],Agregado[ID],Agregado[Custo])*Vendas[[#This Row],[Qnt Vendida]])</f>
        <v>21</v>
      </c>
      <c r="K4312" s="70">
        <f>Vendas[[#This Row],[Lucro da Venda]]/Vendas[[#This Row],[Valor da Venda]]</f>
        <v>0.16030534351145037</v>
      </c>
      <c r="L4312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4312"/>
    </row>
    <row r="4313" spans="1:13" x14ac:dyDescent="0.3">
      <c r="A4313" s="7">
        <v>400251</v>
      </c>
      <c r="B4313" t="str">
        <f>_xlfn.XLOOKUP(Vendas[[#This Row],[ID Vendedor]],Vendedores[ID],Vendedores[Nome])</f>
        <v>Diego</v>
      </c>
      <c r="C4313" s="7" t="str">
        <f>_xlfn.XLOOKUP(Vendas[[#This Row],[ID Vendedor]],Vendedores[ID],Vendedores[Setor])</f>
        <v>AB</v>
      </c>
      <c r="D4313" s="7" t="s">
        <v>24</v>
      </c>
      <c r="E4313" t="str">
        <f>_xlfn.XLOOKUP(Vendas[[#This Row],[ID Item Vendido]],Agregado[ID],Agregado[Produto])</f>
        <v>Resina plástica PET purificada saco de 25kg</v>
      </c>
      <c r="F4313" s="39">
        <v>45694</v>
      </c>
      <c r="G4313" s="7">
        <v>5</v>
      </c>
      <c r="H4313" s="3">
        <f>_xlfn.XLOOKUP(Vendas[[#This Row],[ID Item Vendido]],Agregado[ID],Agregado[Revenda])</f>
        <v>119</v>
      </c>
      <c r="I4313" s="3">
        <f>Vendas[[#This Row],[Valor Unitário]]*Vendas[[#This Row],[Qnt Vendida]]</f>
        <v>595</v>
      </c>
      <c r="J4313" s="3">
        <f>Vendas[[#This Row],[Valor da Venda]]-(_xlfn.XLOOKUP(Vendas[[#This Row],[ID Item Vendido]],Agregado[ID],Agregado[Custo])*Vendas[[#This Row],[Qnt Vendida]])</f>
        <v>170</v>
      </c>
      <c r="K4313" s="70">
        <f>Vendas[[#This Row],[Lucro da Venda]]/Vendas[[#This Row],[Valor da Venda]]</f>
        <v>0.2857142857142857</v>
      </c>
      <c r="L4313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4313"/>
    </row>
    <row r="4314" spans="1:13" x14ac:dyDescent="0.3">
      <c r="A4314" s="7">
        <v>400253</v>
      </c>
      <c r="B4314" t="str">
        <f>_xlfn.XLOOKUP(Vendas[[#This Row],[ID Vendedor]],Vendedores[ID],Vendedores[Nome])</f>
        <v>Gustavo</v>
      </c>
      <c r="C4314" s="7" t="str">
        <f>_xlfn.XLOOKUP(Vendas[[#This Row],[ID Vendedor]],Vendedores[ID],Vendedores[Setor])</f>
        <v>SC</v>
      </c>
      <c r="D4314" s="7" t="s">
        <v>42</v>
      </c>
      <c r="E4314" t="str">
        <f>_xlfn.XLOOKUP(Vendas[[#This Row],[ID Item Vendido]],Agregado[ID],Agregado[Produto])</f>
        <v>Container de ferro industrial</v>
      </c>
      <c r="F4314" s="39">
        <v>45695</v>
      </c>
      <c r="G4314" s="7">
        <v>1</v>
      </c>
      <c r="H4314" s="3">
        <f>_xlfn.XLOOKUP(Vendas[[#This Row],[ID Item Vendido]],Agregado[ID],Agregado[Revenda])</f>
        <v>830</v>
      </c>
      <c r="I4314" s="3">
        <f>Vendas[[#This Row],[Valor Unitário]]*Vendas[[#This Row],[Qnt Vendida]]</f>
        <v>830</v>
      </c>
      <c r="J4314" s="3">
        <f>Vendas[[#This Row],[Valor da Venda]]-(_xlfn.XLOOKUP(Vendas[[#This Row],[ID Item Vendido]],Agregado[ID],Agregado[Custo])*Vendas[[#This Row],[Qnt Vendida]])</f>
        <v>150</v>
      </c>
      <c r="K4314" s="70">
        <f>Vendas[[#This Row],[Lucro da Venda]]/Vendas[[#This Row],[Valor da Venda]]</f>
        <v>0.18072289156626506</v>
      </c>
      <c r="L4314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314"/>
    </row>
    <row r="4315" spans="1:13" x14ac:dyDescent="0.3">
      <c r="A4315" s="7">
        <v>400251</v>
      </c>
      <c r="B4315" t="str">
        <f>_xlfn.XLOOKUP(Vendas[[#This Row],[ID Vendedor]],Vendedores[ID],Vendedores[Nome])</f>
        <v>Diego</v>
      </c>
      <c r="C4315" s="7" t="str">
        <f>_xlfn.XLOOKUP(Vendas[[#This Row],[ID Vendedor]],Vendedores[ID],Vendedores[Setor])</f>
        <v>AB</v>
      </c>
      <c r="D4315" s="7" t="s">
        <v>37</v>
      </c>
      <c r="E4315" t="str">
        <f>_xlfn.XLOOKUP(Vendas[[#This Row],[ID Item Vendido]],Agregado[ID],Agregado[Produto])</f>
        <v>Composto de borracha para vedação rolo 10m</v>
      </c>
      <c r="F4315" s="39">
        <v>45695</v>
      </c>
      <c r="G4315" s="7">
        <v>6</v>
      </c>
      <c r="H4315" s="3">
        <f>_xlfn.XLOOKUP(Vendas[[#This Row],[ID Item Vendido]],Agregado[ID],Agregado[Revenda])</f>
        <v>51.2</v>
      </c>
      <c r="I4315" s="3">
        <f>Vendas[[#This Row],[Valor Unitário]]*Vendas[[#This Row],[Qnt Vendida]]</f>
        <v>307.20000000000005</v>
      </c>
      <c r="J4315" s="3">
        <f>Vendas[[#This Row],[Valor da Venda]]-(_xlfn.XLOOKUP(Vendas[[#This Row],[ID Item Vendido]],Agregado[ID],Agregado[Custo])*Vendas[[#This Row],[Qnt Vendida]])</f>
        <v>67.200000000000045</v>
      </c>
      <c r="K4315" s="70">
        <f>Vendas[[#This Row],[Lucro da Venda]]/Vendas[[#This Row],[Valor da Venda]]</f>
        <v>0.21875000000000011</v>
      </c>
      <c r="L4315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4315"/>
    </row>
    <row r="4316" spans="1:13" x14ac:dyDescent="0.3">
      <c r="A4316" s="7">
        <v>400252</v>
      </c>
      <c r="B4316" t="str">
        <f>_xlfn.XLOOKUP(Vendas[[#This Row],[ID Vendedor]],Vendedores[ID],Vendedores[Nome])</f>
        <v>Renata</v>
      </c>
      <c r="C4316" s="7" t="str">
        <f>_xlfn.XLOOKUP(Vendas[[#This Row],[ID Vendedor]],Vendedores[ID],Vendedores[Setor])</f>
        <v>AB</v>
      </c>
      <c r="D4316" s="7" t="s">
        <v>37</v>
      </c>
      <c r="E4316" t="str">
        <f>_xlfn.XLOOKUP(Vendas[[#This Row],[ID Item Vendido]],Agregado[ID],Agregado[Produto])</f>
        <v>Composto de borracha para vedação rolo 10m</v>
      </c>
      <c r="F4316" s="39">
        <v>45696</v>
      </c>
      <c r="G4316" s="7">
        <v>12</v>
      </c>
      <c r="H4316" s="3">
        <f>_xlfn.XLOOKUP(Vendas[[#This Row],[ID Item Vendido]],Agregado[ID],Agregado[Revenda])</f>
        <v>51.2</v>
      </c>
      <c r="I4316" s="3">
        <f>Vendas[[#This Row],[Valor Unitário]]*Vendas[[#This Row],[Qnt Vendida]]</f>
        <v>614.40000000000009</v>
      </c>
      <c r="J4316" s="3">
        <f>Vendas[[#This Row],[Valor da Venda]]-(_xlfn.XLOOKUP(Vendas[[#This Row],[ID Item Vendido]],Agregado[ID],Agregado[Custo])*Vendas[[#This Row],[Qnt Vendida]])</f>
        <v>134.40000000000009</v>
      </c>
      <c r="K4316" s="70">
        <f>Vendas[[#This Row],[Lucro da Venda]]/Vendas[[#This Row],[Valor da Venda]]</f>
        <v>0.21875000000000011</v>
      </c>
      <c r="L4316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4316"/>
    </row>
    <row r="4317" spans="1:13" x14ac:dyDescent="0.3">
      <c r="A4317" s="7">
        <v>400241</v>
      </c>
      <c r="B4317" t="str">
        <f>_xlfn.XLOOKUP(Vendas[[#This Row],[ID Vendedor]],Vendedores[ID],Vendedores[Nome])</f>
        <v>Rodrigo</v>
      </c>
      <c r="C4317" s="7" t="str">
        <f>_xlfn.XLOOKUP(Vendas[[#This Row],[ID Vendedor]],Vendedores[ID],Vendedores[Setor])</f>
        <v>FM</v>
      </c>
      <c r="D4317" s="7" t="s">
        <v>31</v>
      </c>
      <c r="E4317" t="str">
        <f>_xlfn.XLOOKUP(Vendas[[#This Row],[ID Item Vendido]],Agregado[ID],Agregado[Produto])</f>
        <v>Tela de metal soldada rolo 2x25m</v>
      </c>
      <c r="F4317" s="39">
        <v>45696</v>
      </c>
      <c r="G4317" s="7">
        <v>14</v>
      </c>
      <c r="H4317" s="3">
        <f>_xlfn.XLOOKUP(Vendas[[#This Row],[ID Item Vendido]],Agregado[ID],Agregado[Revenda])</f>
        <v>43.7</v>
      </c>
      <c r="I4317" s="3">
        <f>Vendas[[#This Row],[Valor Unitário]]*Vendas[[#This Row],[Qnt Vendida]]</f>
        <v>611.80000000000007</v>
      </c>
      <c r="J4317" s="3">
        <f>Vendas[[#This Row],[Valor da Venda]]-(_xlfn.XLOOKUP(Vendas[[#This Row],[ID Item Vendido]],Agregado[ID],Agregado[Custo])*Vendas[[#This Row],[Qnt Vendida]])</f>
        <v>79.800000000000068</v>
      </c>
      <c r="K4317" s="70">
        <f>Vendas[[#This Row],[Lucro da Venda]]/Vendas[[#This Row],[Valor da Venda]]</f>
        <v>0.13043478260869576</v>
      </c>
      <c r="L4317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4317"/>
    </row>
    <row r="4318" spans="1:13" x14ac:dyDescent="0.3">
      <c r="A4318" s="7">
        <v>400242</v>
      </c>
      <c r="B4318" t="str">
        <f>_xlfn.XLOOKUP(Vendas[[#This Row],[ID Vendedor]],Vendedores[ID],Vendedores[Nome])</f>
        <v>Fernanda</v>
      </c>
      <c r="C4318" s="7" t="str">
        <f>_xlfn.XLOOKUP(Vendas[[#This Row],[ID Vendedor]],Vendedores[ID],Vendedores[Setor])</f>
        <v>FM</v>
      </c>
      <c r="D4318" s="7" t="s">
        <v>6</v>
      </c>
      <c r="E4318" t="str">
        <f>_xlfn.XLOOKUP(Vendas[[#This Row],[ID Item Vendido]],Agregado[ID],Agregado[Produto])</f>
        <v>Parafuso comum 500un</v>
      </c>
      <c r="F4318" s="39">
        <v>45696</v>
      </c>
      <c r="G4318" s="7">
        <v>4</v>
      </c>
      <c r="H4318" s="3">
        <f>_xlfn.XLOOKUP(Vendas[[#This Row],[ID Item Vendido]],Agregado[ID],Agregado[Revenda])</f>
        <v>24.6</v>
      </c>
      <c r="I4318" s="3">
        <f>Vendas[[#This Row],[Valor Unitário]]*Vendas[[#This Row],[Qnt Vendida]]</f>
        <v>98.4</v>
      </c>
      <c r="J4318" s="3">
        <f>Vendas[[#This Row],[Valor da Venda]]-(_xlfn.XLOOKUP(Vendas[[#This Row],[ID Item Vendido]],Agregado[ID],Agregado[Custo])*Vendas[[#This Row],[Qnt Vendida]])</f>
        <v>10.400000000000006</v>
      </c>
      <c r="K4318" s="70">
        <f>Vendas[[#This Row],[Lucro da Venda]]/Vendas[[#This Row],[Valor da Venda]]</f>
        <v>0.10569105691056915</v>
      </c>
      <c r="L4318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4318"/>
    </row>
    <row r="4319" spans="1:13" x14ac:dyDescent="0.3">
      <c r="A4319" s="7">
        <v>400253</v>
      </c>
      <c r="B4319" t="str">
        <f>_xlfn.XLOOKUP(Vendas[[#This Row],[ID Vendedor]],Vendedores[ID],Vendedores[Nome])</f>
        <v>Gustavo</v>
      </c>
      <c r="C4319" s="7" t="str">
        <f>_xlfn.XLOOKUP(Vendas[[#This Row],[ID Vendedor]],Vendedores[ID],Vendedores[Setor])</f>
        <v>SC</v>
      </c>
      <c r="D4319" s="7" t="s">
        <v>42</v>
      </c>
      <c r="E4319" t="str">
        <f>_xlfn.XLOOKUP(Vendas[[#This Row],[ID Item Vendido]],Agregado[ID],Agregado[Produto])</f>
        <v>Container de ferro industrial</v>
      </c>
      <c r="F4319" s="39">
        <v>45697</v>
      </c>
      <c r="G4319" s="7">
        <v>4</v>
      </c>
      <c r="H4319" s="3">
        <f>_xlfn.XLOOKUP(Vendas[[#This Row],[ID Item Vendido]],Agregado[ID],Agregado[Revenda])</f>
        <v>830</v>
      </c>
      <c r="I4319" s="3">
        <f>Vendas[[#This Row],[Valor Unitário]]*Vendas[[#This Row],[Qnt Vendida]]</f>
        <v>3320</v>
      </c>
      <c r="J4319" s="3">
        <f>Vendas[[#This Row],[Valor da Venda]]-(_xlfn.XLOOKUP(Vendas[[#This Row],[ID Item Vendido]],Agregado[ID],Agregado[Custo])*Vendas[[#This Row],[Qnt Vendida]])</f>
        <v>600</v>
      </c>
      <c r="K4319" s="70">
        <f>Vendas[[#This Row],[Lucro da Venda]]/Vendas[[#This Row],[Valor da Venda]]</f>
        <v>0.18072289156626506</v>
      </c>
      <c r="L4319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319"/>
    </row>
    <row r="4320" spans="1:13" x14ac:dyDescent="0.3">
      <c r="A4320" s="7">
        <v>400242</v>
      </c>
      <c r="B4320" t="str">
        <f>_xlfn.XLOOKUP(Vendas[[#This Row],[ID Vendedor]],Vendedores[ID],Vendedores[Nome])</f>
        <v>Fernanda</v>
      </c>
      <c r="C4320" s="7" t="str">
        <f>_xlfn.XLOOKUP(Vendas[[#This Row],[ID Vendedor]],Vendedores[ID],Vendedores[Setor])</f>
        <v>FM</v>
      </c>
      <c r="D4320" s="7" t="s">
        <v>47</v>
      </c>
      <c r="E4320" t="str">
        <f>_xlfn.XLOOKUP(Vendas[[#This Row],[ID Item Vendido]],Agregado[ID],Agregado[Produto])</f>
        <v>Fio de arame galvanizado rolo 50m</v>
      </c>
      <c r="F4320" s="39">
        <v>45697</v>
      </c>
      <c r="G4320" s="7">
        <v>38</v>
      </c>
      <c r="H4320" s="3">
        <f>_xlfn.XLOOKUP(Vendas[[#This Row],[ID Item Vendido]],Agregado[ID],Agregado[Revenda])</f>
        <v>21.2</v>
      </c>
      <c r="I4320" s="3">
        <f>Vendas[[#This Row],[Valor Unitário]]*Vendas[[#This Row],[Qnt Vendida]]</f>
        <v>805.6</v>
      </c>
      <c r="J4320" s="3">
        <f>Vendas[[#This Row],[Valor da Venda]]-(_xlfn.XLOOKUP(Vendas[[#This Row],[ID Item Vendido]],Agregado[ID],Agregado[Custo])*Vendas[[#This Row],[Qnt Vendida]])</f>
        <v>121.60000000000002</v>
      </c>
      <c r="K4320" s="70">
        <f>Vendas[[#This Row],[Lucro da Venda]]/Vendas[[#This Row],[Valor da Venda]]</f>
        <v>0.15094339622641512</v>
      </c>
      <c r="L4320" s="3">
        <f>_xlfn.IFS(Vendas[[#This Row],[Margem de Lucro (%)]]&lt;15%,Vendas[[#This Row],[Valor da Venda]]*3%,Vendas[[#This Row],[Margem de Lucro (%)]]&lt;=20%,Vendas[[#This Row],[Valor da Venda]]*4.5%,TRUE,Vendas[[#This Row],[Valor da Venda]]*6%)</f>
        <v>36.252000000000002</v>
      </c>
      <c r="M4320"/>
    </row>
    <row r="4321" spans="1:13" x14ac:dyDescent="0.3">
      <c r="A4321" s="7">
        <v>400252</v>
      </c>
      <c r="B4321" t="str">
        <f>_xlfn.XLOOKUP(Vendas[[#This Row],[ID Vendedor]],Vendedores[ID],Vendedores[Nome])</f>
        <v>Renata</v>
      </c>
      <c r="C4321" s="7" t="str">
        <f>_xlfn.XLOOKUP(Vendas[[#This Row],[ID Vendedor]],Vendedores[ID],Vendedores[Setor])</f>
        <v>AB</v>
      </c>
      <c r="D4321" s="7" t="s">
        <v>36</v>
      </c>
      <c r="E4321" t="str">
        <f>_xlfn.XLOOKUP(Vendas[[#This Row],[ID Item Vendido]],Agregado[ID],Agregado[Produto])</f>
        <v>Borracha vulcanizada em manta</v>
      </c>
      <c r="F4321" s="39">
        <v>45697</v>
      </c>
      <c r="G4321" s="7">
        <v>80</v>
      </c>
      <c r="H4321" s="3">
        <f>_xlfn.XLOOKUP(Vendas[[#This Row],[ID Item Vendido]],Agregado[ID],Agregado[Revenda])</f>
        <v>7.8</v>
      </c>
      <c r="I4321" s="3">
        <f>Vendas[[#This Row],[Valor Unitário]]*Vendas[[#This Row],[Qnt Vendida]]</f>
        <v>624</v>
      </c>
      <c r="J4321" s="3">
        <f>Vendas[[#This Row],[Valor da Venda]]-(_xlfn.XLOOKUP(Vendas[[#This Row],[ID Item Vendido]],Agregado[ID],Agregado[Custo])*Vendas[[#This Row],[Qnt Vendida]])</f>
        <v>144</v>
      </c>
      <c r="K4321" s="70">
        <f>Vendas[[#This Row],[Lucro da Venda]]/Vendas[[#This Row],[Valor da Venda]]</f>
        <v>0.23076923076923078</v>
      </c>
      <c r="L4321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4321"/>
    </row>
    <row r="4322" spans="1:13" x14ac:dyDescent="0.3">
      <c r="A4322" s="7">
        <v>400252</v>
      </c>
      <c r="B4322" t="str">
        <f>_xlfn.XLOOKUP(Vendas[[#This Row],[ID Vendedor]],Vendedores[ID],Vendedores[Nome])</f>
        <v>Renata</v>
      </c>
      <c r="C4322" s="7" t="str">
        <f>_xlfn.XLOOKUP(Vendas[[#This Row],[ID Vendedor]],Vendedores[ID],Vendedores[Setor])</f>
        <v>AB</v>
      </c>
      <c r="D4322" s="7" t="s">
        <v>12</v>
      </c>
      <c r="E4322" t="str">
        <f>_xlfn.XLOOKUP(Vendas[[#This Row],[ID Item Vendido]],Agregado[ID],Agregado[Produto])</f>
        <v>Grânulo de plástico reciclado refinado</v>
      </c>
      <c r="F4322" s="39">
        <v>45697</v>
      </c>
      <c r="G4322" s="7">
        <v>91</v>
      </c>
      <c r="H4322" s="3">
        <f>_xlfn.XLOOKUP(Vendas[[#This Row],[ID Item Vendido]],Agregado[ID],Agregado[Revenda])</f>
        <v>4.7</v>
      </c>
      <c r="I4322" s="3">
        <f>Vendas[[#This Row],[Valor Unitário]]*Vendas[[#This Row],[Qnt Vendida]]</f>
        <v>427.7</v>
      </c>
      <c r="J4322" s="3">
        <f>Vendas[[#This Row],[Valor da Venda]]-(_xlfn.XLOOKUP(Vendas[[#This Row],[ID Item Vendido]],Agregado[ID],Agregado[Custo])*Vendas[[#This Row],[Qnt Vendida]])</f>
        <v>109.19999999999999</v>
      </c>
      <c r="K4322" s="70">
        <f>Vendas[[#This Row],[Lucro da Venda]]/Vendas[[#This Row],[Valor da Venda]]</f>
        <v>0.25531914893617019</v>
      </c>
      <c r="L4322" s="3">
        <f>_xlfn.IFS(Vendas[[#This Row],[Margem de Lucro (%)]]&lt;15%,Vendas[[#This Row],[Valor da Venda]]*3%,Vendas[[#This Row],[Margem de Lucro (%)]]&lt;=20%,Vendas[[#This Row],[Valor da Venda]]*4.5%,TRUE,Vendas[[#This Row],[Valor da Venda]]*6%)</f>
        <v>25.661999999999999</v>
      </c>
      <c r="M4322"/>
    </row>
    <row r="4323" spans="1:13" x14ac:dyDescent="0.3">
      <c r="A4323" s="7">
        <v>400248</v>
      </c>
      <c r="B4323" t="str">
        <f>_xlfn.XLOOKUP(Vendas[[#This Row],[ID Vendedor]],Vendedores[ID],Vendedores[Nome])</f>
        <v>Patrícia</v>
      </c>
      <c r="C4323" s="7" t="str">
        <f>_xlfn.XLOOKUP(Vendas[[#This Row],[ID Vendedor]],Vendedores[ID],Vendedores[Setor])</f>
        <v>CM</v>
      </c>
      <c r="D4323" s="7" t="s">
        <v>34</v>
      </c>
      <c r="E4323" t="str">
        <f>_xlfn.XLOOKUP(Vendas[[#This Row],[ID Item Vendido]],Agregado[ID],Agregado[Produto])</f>
        <v>Restos de madeira p/ MDP/OSB saco de 20kg</v>
      </c>
      <c r="F4323" s="39">
        <v>45697</v>
      </c>
      <c r="G4323" s="7">
        <v>15</v>
      </c>
      <c r="H4323" s="3">
        <f>_xlfn.XLOOKUP(Vendas[[#This Row],[ID Item Vendido]],Agregado[ID],Agregado[Revenda])</f>
        <v>13.8</v>
      </c>
      <c r="I4323" s="3">
        <f>Vendas[[#This Row],[Valor Unitário]]*Vendas[[#This Row],[Qnt Vendida]]</f>
        <v>207</v>
      </c>
      <c r="J4323" s="3">
        <f>Vendas[[#This Row],[Valor da Venda]]-(_xlfn.XLOOKUP(Vendas[[#This Row],[ID Item Vendido]],Agregado[ID],Agregado[Custo])*Vendas[[#This Row],[Qnt Vendida]])</f>
        <v>27</v>
      </c>
      <c r="K4323" s="70">
        <f>Vendas[[#This Row],[Lucro da Venda]]/Vendas[[#This Row],[Valor da Venda]]</f>
        <v>0.13043478260869565</v>
      </c>
      <c r="L4323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4323"/>
    </row>
    <row r="4324" spans="1:13" x14ac:dyDescent="0.3">
      <c r="A4324" s="7">
        <v>400243</v>
      </c>
      <c r="B4324" t="str">
        <f>_xlfn.XLOOKUP(Vendas[[#This Row],[ID Vendedor]],Vendedores[ID],Vendedores[Nome])</f>
        <v>Marcelo</v>
      </c>
      <c r="C4324" s="7" t="str">
        <f>_xlfn.XLOOKUP(Vendas[[#This Row],[ID Vendedor]],Vendedores[ID],Vendedores[Setor])</f>
        <v>FM</v>
      </c>
      <c r="D4324" s="7" t="s">
        <v>27</v>
      </c>
      <c r="E4324" t="str">
        <f>_xlfn.XLOOKUP(Vendas[[#This Row],[ID Item Vendido]],Agregado[ID],Agregado[Produto])</f>
        <v>Chapa de metal lisa 1x2m</v>
      </c>
      <c r="F4324" s="39">
        <v>45698</v>
      </c>
      <c r="G4324" s="7">
        <v>30</v>
      </c>
      <c r="H4324" s="3">
        <f>_xlfn.XLOOKUP(Vendas[[#This Row],[ID Item Vendido]],Agregado[ID],Agregado[Revenda])</f>
        <v>52</v>
      </c>
      <c r="I4324" s="3">
        <f>Vendas[[#This Row],[Valor Unitário]]*Vendas[[#This Row],[Qnt Vendida]]</f>
        <v>1560</v>
      </c>
      <c r="J4324" s="3">
        <f>Vendas[[#This Row],[Valor da Venda]]-(_xlfn.XLOOKUP(Vendas[[#This Row],[ID Item Vendido]],Agregado[ID],Agregado[Custo])*Vendas[[#This Row],[Qnt Vendida]])</f>
        <v>210</v>
      </c>
      <c r="K4324" s="70">
        <f>Vendas[[#This Row],[Lucro da Venda]]/Vendas[[#This Row],[Valor da Venda]]</f>
        <v>0.13461538461538461</v>
      </c>
      <c r="L4324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4324"/>
    </row>
    <row r="4325" spans="1:13" x14ac:dyDescent="0.3">
      <c r="A4325" s="7">
        <v>400252</v>
      </c>
      <c r="B4325" t="str">
        <f>_xlfn.XLOOKUP(Vendas[[#This Row],[ID Vendedor]],Vendedores[ID],Vendedores[Nome])</f>
        <v>Renata</v>
      </c>
      <c r="C4325" s="7" t="str">
        <f>_xlfn.XLOOKUP(Vendas[[#This Row],[ID Vendedor]],Vendedores[ID],Vendedores[Setor])</f>
        <v>AB</v>
      </c>
      <c r="D4325" s="7" t="s">
        <v>24</v>
      </c>
      <c r="E4325" t="str">
        <f>_xlfn.XLOOKUP(Vendas[[#This Row],[ID Item Vendido]],Agregado[ID],Agregado[Produto])</f>
        <v>Resina plástica PET purificada saco de 25kg</v>
      </c>
      <c r="F4325" s="39">
        <v>45698</v>
      </c>
      <c r="G4325" s="7">
        <v>9</v>
      </c>
      <c r="H4325" s="3">
        <f>_xlfn.XLOOKUP(Vendas[[#This Row],[ID Item Vendido]],Agregado[ID],Agregado[Revenda])</f>
        <v>119</v>
      </c>
      <c r="I4325" s="3">
        <f>Vendas[[#This Row],[Valor Unitário]]*Vendas[[#This Row],[Qnt Vendida]]</f>
        <v>1071</v>
      </c>
      <c r="J4325" s="3">
        <f>Vendas[[#This Row],[Valor da Venda]]-(_xlfn.XLOOKUP(Vendas[[#This Row],[ID Item Vendido]],Agregado[ID],Agregado[Custo])*Vendas[[#This Row],[Qnt Vendida]])</f>
        <v>306</v>
      </c>
      <c r="K4325" s="70">
        <f>Vendas[[#This Row],[Lucro da Venda]]/Vendas[[#This Row],[Valor da Venda]]</f>
        <v>0.2857142857142857</v>
      </c>
      <c r="L4325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4325"/>
    </row>
    <row r="4326" spans="1:13" x14ac:dyDescent="0.3">
      <c r="A4326" s="7">
        <v>400244</v>
      </c>
      <c r="B4326" t="str">
        <f>_xlfn.XLOOKUP(Vendas[[#This Row],[ID Vendedor]],Vendedores[ID],Vendedores[Nome])</f>
        <v>Camila</v>
      </c>
      <c r="C4326" s="7" t="str">
        <f>_xlfn.XLOOKUP(Vendas[[#This Row],[ID Vendedor]],Vendedores[ID],Vendedores[Setor])</f>
        <v>AHD</v>
      </c>
      <c r="D4326" s="7" t="s">
        <v>18</v>
      </c>
      <c r="E4326" t="str">
        <f>_xlfn.XLOOKUP(Vendas[[#This Row],[ID Item Vendido]],Agregado[ID],Agregado[Produto])</f>
        <v>Peça forjada sob encomenda</v>
      </c>
      <c r="F4326" s="39">
        <v>45698</v>
      </c>
      <c r="G4326" s="7">
        <v>2</v>
      </c>
      <c r="H4326" s="3">
        <f>_xlfn.XLOOKUP(Vendas[[#This Row],[ID Item Vendido]],Agregado[ID],Agregado[Revenda])</f>
        <v>264.60000000000002</v>
      </c>
      <c r="I4326" s="3">
        <f>Vendas[[#This Row],[Valor Unitário]]*Vendas[[#This Row],[Qnt Vendida]]</f>
        <v>529.20000000000005</v>
      </c>
      <c r="J4326" s="3">
        <f>Vendas[[#This Row],[Valor da Venda]]-(_xlfn.XLOOKUP(Vendas[[#This Row],[ID Item Vendido]],Agregado[ID],Agregado[Custo])*Vendas[[#This Row],[Qnt Vendida]])</f>
        <v>29.200000000000045</v>
      </c>
      <c r="K4326" s="70">
        <f>Vendas[[#This Row],[Lucro da Venda]]/Vendas[[#This Row],[Valor da Venda]]</f>
        <v>5.5177626606198113E-2</v>
      </c>
      <c r="L4326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4326"/>
    </row>
    <row r="4327" spans="1:13" x14ac:dyDescent="0.3">
      <c r="A4327" s="7">
        <v>400250</v>
      </c>
      <c r="B4327" t="str">
        <f>_xlfn.XLOOKUP(Vendas[[#This Row],[ID Vendedor]],Vendedores[ID],Vendedores[Nome])</f>
        <v>Larissa</v>
      </c>
      <c r="C4327" s="7" t="str">
        <f>_xlfn.XLOOKUP(Vendas[[#This Row],[ID Vendedor]],Vendedores[ID],Vendedores[Setor])</f>
        <v>AB</v>
      </c>
      <c r="D4327" s="7" t="s">
        <v>36</v>
      </c>
      <c r="E4327" t="str">
        <f>_xlfn.XLOOKUP(Vendas[[#This Row],[ID Item Vendido]],Agregado[ID],Agregado[Produto])</f>
        <v>Borracha vulcanizada em manta</v>
      </c>
      <c r="F4327" s="39">
        <v>45698</v>
      </c>
      <c r="G4327" s="7">
        <v>91</v>
      </c>
      <c r="H4327" s="3">
        <f>_xlfn.XLOOKUP(Vendas[[#This Row],[ID Item Vendido]],Agregado[ID],Agregado[Revenda])</f>
        <v>7.8</v>
      </c>
      <c r="I4327" s="3">
        <f>Vendas[[#This Row],[Valor Unitário]]*Vendas[[#This Row],[Qnt Vendida]]</f>
        <v>709.8</v>
      </c>
      <c r="J4327" s="3">
        <f>Vendas[[#This Row],[Valor da Venda]]-(_xlfn.XLOOKUP(Vendas[[#This Row],[ID Item Vendido]],Agregado[ID],Agregado[Custo])*Vendas[[#This Row],[Qnt Vendida]])</f>
        <v>163.79999999999995</v>
      </c>
      <c r="K4327" s="70">
        <f>Vendas[[#This Row],[Lucro da Venda]]/Vendas[[#This Row],[Valor da Venda]]</f>
        <v>0.23076923076923073</v>
      </c>
      <c r="L4327" s="3">
        <f>_xlfn.IFS(Vendas[[#This Row],[Margem de Lucro (%)]]&lt;15%,Vendas[[#This Row],[Valor da Venda]]*3%,Vendas[[#This Row],[Margem de Lucro (%)]]&lt;=20%,Vendas[[#This Row],[Valor da Venda]]*4.5%,TRUE,Vendas[[#This Row],[Valor da Venda]]*6%)</f>
        <v>42.587999999999994</v>
      </c>
      <c r="M4327"/>
    </row>
    <row r="4328" spans="1:13" x14ac:dyDescent="0.3">
      <c r="A4328" s="7">
        <v>400253</v>
      </c>
      <c r="B4328" t="str">
        <f>_xlfn.XLOOKUP(Vendas[[#This Row],[ID Vendedor]],Vendedores[ID],Vendedores[Nome])</f>
        <v>Gustavo</v>
      </c>
      <c r="C4328" s="7" t="str">
        <f>_xlfn.XLOOKUP(Vendas[[#This Row],[ID Vendedor]],Vendedores[ID],Vendedores[Setor])</f>
        <v>SC</v>
      </c>
      <c r="D4328" s="7" t="s">
        <v>14</v>
      </c>
      <c r="E4328" t="str">
        <f>_xlfn.XLOOKUP(Vendas[[#This Row],[ID Item Vendido]],Agregado[ID],Agregado[Produto])</f>
        <v>Barril de plástico 200L</v>
      </c>
      <c r="F4328" s="39">
        <v>45698</v>
      </c>
      <c r="G4328" s="7">
        <v>5</v>
      </c>
      <c r="H4328" s="3">
        <f>_xlfn.XLOOKUP(Vendas[[#This Row],[ID Item Vendido]],Agregado[ID],Agregado[Revenda])</f>
        <v>114</v>
      </c>
      <c r="I4328" s="3">
        <f>Vendas[[#This Row],[Valor Unitário]]*Vendas[[#This Row],[Qnt Vendida]]</f>
        <v>570</v>
      </c>
      <c r="J4328" s="3">
        <f>Vendas[[#This Row],[Valor da Venda]]-(_xlfn.XLOOKUP(Vendas[[#This Row],[ID Item Vendido]],Agregado[ID],Agregado[Custo])*Vendas[[#This Row],[Qnt Vendida]])</f>
        <v>95</v>
      </c>
      <c r="K4328" s="70">
        <f>Vendas[[#This Row],[Lucro da Venda]]/Vendas[[#This Row],[Valor da Venda]]</f>
        <v>0.16666666666666666</v>
      </c>
      <c r="L4328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4328"/>
    </row>
    <row r="4329" spans="1:13" x14ac:dyDescent="0.3">
      <c r="A4329" s="7">
        <v>400245</v>
      </c>
      <c r="B4329" t="str">
        <f>_xlfn.XLOOKUP(Vendas[[#This Row],[ID Vendedor]],Vendedores[ID],Vendedores[Nome])</f>
        <v>Thiago</v>
      </c>
      <c r="C4329" s="7" t="str">
        <f>_xlfn.XLOOKUP(Vendas[[#This Row],[ID Vendedor]],Vendedores[ID],Vendedores[Setor])</f>
        <v>AHD</v>
      </c>
      <c r="D4329" s="7" t="s">
        <v>30</v>
      </c>
      <c r="E4329" t="str">
        <f>_xlfn.XLOOKUP(Vendas[[#This Row],[ID Item Vendido]],Agregado[ID],Agregado[Produto])</f>
        <v>Estrutura metálica soldada</v>
      </c>
      <c r="F4329" s="39">
        <v>45699</v>
      </c>
      <c r="G4329" s="7">
        <v>8</v>
      </c>
      <c r="H4329" s="3">
        <f>_xlfn.XLOOKUP(Vendas[[#This Row],[ID Item Vendido]],Agregado[ID],Agregado[Revenda])</f>
        <v>400</v>
      </c>
      <c r="I4329" s="3">
        <f>Vendas[[#This Row],[Valor Unitário]]*Vendas[[#This Row],[Qnt Vendida]]</f>
        <v>3200</v>
      </c>
      <c r="J4329" s="3">
        <f>Vendas[[#This Row],[Valor da Venda]]-(_xlfn.XLOOKUP(Vendas[[#This Row],[ID Item Vendido]],Agregado[ID],Agregado[Custo])*Vendas[[#This Row],[Qnt Vendida]])</f>
        <v>640</v>
      </c>
      <c r="K4329" s="70">
        <f>Vendas[[#This Row],[Lucro da Venda]]/Vendas[[#This Row],[Valor da Venda]]</f>
        <v>0.2</v>
      </c>
      <c r="L4329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329"/>
    </row>
    <row r="4330" spans="1:13" x14ac:dyDescent="0.3">
      <c r="A4330" s="7">
        <v>400244</v>
      </c>
      <c r="B4330" t="str">
        <f>_xlfn.XLOOKUP(Vendas[[#This Row],[ID Vendedor]],Vendedores[ID],Vendedores[Nome])</f>
        <v>Camila</v>
      </c>
      <c r="C4330" s="7" t="str">
        <f>_xlfn.XLOOKUP(Vendas[[#This Row],[ID Vendedor]],Vendedores[ID],Vendedores[Setor])</f>
        <v>AHD</v>
      </c>
      <c r="D4330" s="7" t="s">
        <v>18</v>
      </c>
      <c r="E4330" t="str">
        <f>_xlfn.XLOOKUP(Vendas[[#This Row],[ID Item Vendido]],Agregado[ID],Agregado[Produto])</f>
        <v>Peça forjada sob encomenda</v>
      </c>
      <c r="F4330" s="39">
        <v>45699</v>
      </c>
      <c r="G4330" s="7">
        <v>5</v>
      </c>
      <c r="H4330" s="3">
        <f>_xlfn.XLOOKUP(Vendas[[#This Row],[ID Item Vendido]],Agregado[ID],Agregado[Revenda])</f>
        <v>264.60000000000002</v>
      </c>
      <c r="I4330" s="3">
        <f>Vendas[[#This Row],[Valor Unitário]]*Vendas[[#This Row],[Qnt Vendida]]</f>
        <v>1323</v>
      </c>
      <c r="J4330" s="3">
        <f>Vendas[[#This Row],[Valor da Venda]]-(_xlfn.XLOOKUP(Vendas[[#This Row],[ID Item Vendido]],Agregado[ID],Agregado[Custo])*Vendas[[#This Row],[Qnt Vendida]])</f>
        <v>73</v>
      </c>
      <c r="K4330" s="70">
        <f>Vendas[[#This Row],[Lucro da Venda]]/Vendas[[#This Row],[Valor da Venda]]</f>
        <v>5.5177626606198037E-2</v>
      </c>
      <c r="L4330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330"/>
    </row>
    <row r="4331" spans="1:13" x14ac:dyDescent="0.3">
      <c r="A4331" s="7">
        <v>400245</v>
      </c>
      <c r="B4331" t="str">
        <f>_xlfn.XLOOKUP(Vendas[[#This Row],[ID Vendedor]],Vendedores[ID],Vendedores[Nome])</f>
        <v>Thiago</v>
      </c>
      <c r="C4331" s="7" t="str">
        <f>_xlfn.XLOOKUP(Vendas[[#This Row],[ID Vendedor]],Vendedores[ID],Vendedores[Setor])</f>
        <v>AHD</v>
      </c>
      <c r="D4331" s="7" t="s">
        <v>44</v>
      </c>
      <c r="E4331" t="str">
        <f>_xlfn.XLOOKUP(Vendas[[#This Row],[ID Item Vendido]],Agregado[ID],Agregado[Produto])</f>
        <v>Liga metálica especial</v>
      </c>
      <c r="F4331" s="39">
        <v>45699</v>
      </c>
      <c r="G4331" s="7">
        <v>43</v>
      </c>
      <c r="H4331" s="3">
        <f>_xlfn.XLOOKUP(Vendas[[#This Row],[ID Item Vendido]],Agregado[ID],Agregado[Revenda])</f>
        <v>32.5</v>
      </c>
      <c r="I4331" s="3">
        <f>Vendas[[#This Row],[Valor Unitário]]*Vendas[[#This Row],[Qnt Vendida]]</f>
        <v>1397.5</v>
      </c>
      <c r="J4331" s="3">
        <f>Vendas[[#This Row],[Valor da Venda]]-(_xlfn.XLOOKUP(Vendas[[#This Row],[ID Item Vendido]],Agregado[ID],Agregado[Custo])*Vendas[[#This Row],[Qnt Vendida]])</f>
        <v>322.5</v>
      </c>
      <c r="K4331" s="70">
        <f>Vendas[[#This Row],[Lucro da Venda]]/Vendas[[#This Row],[Valor da Venda]]</f>
        <v>0.23076923076923078</v>
      </c>
      <c r="L4331" s="3">
        <f>_xlfn.IFS(Vendas[[#This Row],[Margem de Lucro (%)]]&lt;15%,Vendas[[#This Row],[Valor da Venda]]*3%,Vendas[[#This Row],[Margem de Lucro (%)]]&lt;=20%,Vendas[[#This Row],[Valor da Venda]]*4.5%,TRUE,Vendas[[#This Row],[Valor da Venda]]*6%)</f>
        <v>83.85</v>
      </c>
      <c r="M4331"/>
    </row>
    <row r="4332" spans="1:13" x14ac:dyDescent="0.3">
      <c r="A4332" s="7">
        <v>400255</v>
      </c>
      <c r="B4332" t="str">
        <f>_xlfn.XLOOKUP(Vendas[[#This Row],[ID Vendedor]],Vendedores[ID],Vendedores[Nome])</f>
        <v>Carlos</v>
      </c>
      <c r="C4332" s="7" t="str">
        <f>_xlfn.XLOOKUP(Vendas[[#This Row],[ID Vendedor]],Vendedores[ID],Vendedores[Setor])</f>
        <v>SC</v>
      </c>
      <c r="D4332" s="7" t="s">
        <v>48</v>
      </c>
      <c r="E4332" t="str">
        <f>_xlfn.XLOOKUP(Vendas[[#This Row],[ID Item Vendido]],Agregado[ID],Agregado[Produto])</f>
        <v>Tambor metálico 200L</v>
      </c>
      <c r="F4332" s="39">
        <v>45699</v>
      </c>
      <c r="G4332" s="7">
        <v>9</v>
      </c>
      <c r="H4332" s="3">
        <f>_xlfn.XLOOKUP(Vendas[[#This Row],[ID Item Vendido]],Agregado[ID],Agregado[Revenda])</f>
        <v>144</v>
      </c>
      <c r="I4332" s="3">
        <f>Vendas[[#This Row],[Valor Unitário]]*Vendas[[#This Row],[Qnt Vendida]]</f>
        <v>1296</v>
      </c>
      <c r="J4332" s="3">
        <f>Vendas[[#This Row],[Valor da Venda]]-(_xlfn.XLOOKUP(Vendas[[#This Row],[ID Item Vendido]],Agregado[ID],Agregado[Custo])*Vendas[[#This Row],[Qnt Vendida]])</f>
        <v>216</v>
      </c>
      <c r="K4332" s="70">
        <f>Vendas[[#This Row],[Lucro da Venda]]/Vendas[[#This Row],[Valor da Venda]]</f>
        <v>0.16666666666666666</v>
      </c>
      <c r="L4332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332"/>
    </row>
    <row r="4333" spans="1:13" x14ac:dyDescent="0.3">
      <c r="A4333" s="7">
        <v>400241</v>
      </c>
      <c r="B4333" t="str">
        <f>_xlfn.XLOOKUP(Vendas[[#This Row],[ID Vendedor]],Vendedores[ID],Vendedores[Nome])</f>
        <v>Rodrigo</v>
      </c>
      <c r="C4333" s="7" t="str">
        <f>_xlfn.XLOOKUP(Vendas[[#This Row],[ID Vendedor]],Vendedores[ID],Vendedores[Setor])</f>
        <v>FM</v>
      </c>
      <c r="D4333" s="7" t="s">
        <v>31</v>
      </c>
      <c r="E4333" t="str">
        <f>_xlfn.XLOOKUP(Vendas[[#This Row],[ID Item Vendido]],Agregado[ID],Agregado[Produto])</f>
        <v>Tela de metal soldada rolo 2x25m</v>
      </c>
      <c r="F4333" s="39">
        <v>45699</v>
      </c>
      <c r="G4333" s="7">
        <v>16</v>
      </c>
      <c r="H4333" s="3">
        <f>_xlfn.XLOOKUP(Vendas[[#This Row],[ID Item Vendido]],Agregado[ID],Agregado[Revenda])</f>
        <v>43.7</v>
      </c>
      <c r="I4333" s="3">
        <f>Vendas[[#This Row],[Valor Unitário]]*Vendas[[#This Row],[Qnt Vendida]]</f>
        <v>699.2</v>
      </c>
      <c r="J4333" s="3">
        <f>Vendas[[#This Row],[Valor da Venda]]-(_xlfn.XLOOKUP(Vendas[[#This Row],[ID Item Vendido]],Agregado[ID],Agregado[Custo])*Vendas[[#This Row],[Qnt Vendida]])</f>
        <v>91.200000000000045</v>
      </c>
      <c r="K4333" s="70">
        <f>Vendas[[#This Row],[Lucro da Venda]]/Vendas[[#This Row],[Valor da Venda]]</f>
        <v>0.1304347826086957</v>
      </c>
      <c r="L4333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4333"/>
    </row>
    <row r="4334" spans="1:13" x14ac:dyDescent="0.3">
      <c r="A4334" s="7">
        <v>400247</v>
      </c>
      <c r="B4334" t="str">
        <f>_xlfn.XLOOKUP(Vendas[[#This Row],[ID Vendedor]],Vendedores[ID],Vendedores[Nome])</f>
        <v>André</v>
      </c>
      <c r="C4334" s="7" t="str">
        <f>_xlfn.XLOOKUP(Vendas[[#This Row],[ID Vendedor]],Vendedores[ID],Vendedores[Setor])</f>
        <v>CM</v>
      </c>
      <c r="D4334" s="7" t="s">
        <v>45</v>
      </c>
      <c r="E4334" t="str">
        <f>_xlfn.XLOOKUP(Vendas[[#This Row],[ID Item Vendido]],Agregado[ID],Agregado[Produto])</f>
        <v>Viga de madeira tratada 4m</v>
      </c>
      <c r="F4334" s="39">
        <v>45699</v>
      </c>
      <c r="G4334" s="7">
        <v>6</v>
      </c>
      <c r="H4334" s="3">
        <f>_xlfn.XLOOKUP(Vendas[[#This Row],[ID Item Vendido]],Agregado[ID],Agregado[Revenda])</f>
        <v>66</v>
      </c>
      <c r="I4334" s="3">
        <f>Vendas[[#This Row],[Valor Unitário]]*Vendas[[#This Row],[Qnt Vendida]]</f>
        <v>396</v>
      </c>
      <c r="J4334" s="3">
        <f>Vendas[[#This Row],[Valor da Venda]]-(_xlfn.XLOOKUP(Vendas[[#This Row],[ID Item Vendido]],Agregado[ID],Agregado[Custo])*Vendas[[#This Row],[Qnt Vendida]])</f>
        <v>66</v>
      </c>
      <c r="K4334" s="70">
        <f>Vendas[[#This Row],[Lucro da Venda]]/Vendas[[#This Row],[Valor da Venda]]</f>
        <v>0.16666666666666666</v>
      </c>
      <c r="L4334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4334"/>
    </row>
    <row r="4335" spans="1:13" x14ac:dyDescent="0.3">
      <c r="A4335" s="7">
        <v>400255</v>
      </c>
      <c r="B4335" t="str">
        <f>_xlfn.XLOOKUP(Vendas[[#This Row],[ID Vendedor]],Vendedores[ID],Vendedores[Nome])</f>
        <v>Carlos</v>
      </c>
      <c r="C4335" s="7" t="str">
        <f>_xlfn.XLOOKUP(Vendas[[#This Row],[ID Vendedor]],Vendedores[ID],Vendedores[Setor])</f>
        <v>SC</v>
      </c>
      <c r="D4335" s="7" t="s">
        <v>14</v>
      </c>
      <c r="E4335" t="str">
        <f>_xlfn.XLOOKUP(Vendas[[#This Row],[ID Item Vendido]],Agregado[ID],Agregado[Produto])</f>
        <v>Barril de plástico 200L</v>
      </c>
      <c r="F4335" s="39">
        <v>45700</v>
      </c>
      <c r="G4335" s="7">
        <v>25</v>
      </c>
      <c r="H4335" s="3">
        <f>_xlfn.XLOOKUP(Vendas[[#This Row],[ID Item Vendido]],Agregado[ID],Agregado[Revenda])</f>
        <v>114</v>
      </c>
      <c r="I4335" s="3">
        <f>Vendas[[#This Row],[Valor Unitário]]*Vendas[[#This Row],[Qnt Vendida]]</f>
        <v>2850</v>
      </c>
      <c r="J4335" s="3">
        <f>Vendas[[#This Row],[Valor da Venda]]-(_xlfn.XLOOKUP(Vendas[[#This Row],[ID Item Vendido]],Agregado[ID],Agregado[Custo])*Vendas[[#This Row],[Qnt Vendida]])</f>
        <v>475</v>
      </c>
      <c r="K4335" s="70">
        <f>Vendas[[#This Row],[Lucro da Venda]]/Vendas[[#This Row],[Valor da Venda]]</f>
        <v>0.16666666666666666</v>
      </c>
      <c r="L4335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4335"/>
    </row>
    <row r="4336" spans="1:13" x14ac:dyDescent="0.3">
      <c r="A4336" s="7">
        <v>400248</v>
      </c>
      <c r="B4336" t="str">
        <f>_xlfn.XLOOKUP(Vendas[[#This Row],[ID Vendedor]],Vendedores[ID],Vendedores[Nome])</f>
        <v>Patrícia</v>
      </c>
      <c r="C4336" s="7" t="str">
        <f>_xlfn.XLOOKUP(Vendas[[#This Row],[ID Vendedor]],Vendedores[ID],Vendedores[Setor])</f>
        <v>CM</v>
      </c>
      <c r="D4336" s="7" t="s">
        <v>43</v>
      </c>
      <c r="E4336" t="str">
        <f>_xlfn.XLOOKUP(Vendas[[#This Row],[ID Item Vendido]],Agregado[ID],Agregado[Produto])</f>
        <v>Madeira Bruta (Tora)</v>
      </c>
      <c r="F4336" s="39">
        <v>45700</v>
      </c>
      <c r="G4336" s="7">
        <v>12</v>
      </c>
      <c r="H4336" s="3">
        <f>_xlfn.XLOOKUP(Vendas[[#This Row],[ID Item Vendido]],Agregado[ID],Agregado[Revenda])</f>
        <v>212</v>
      </c>
      <c r="I4336" s="3">
        <f>Vendas[[#This Row],[Valor Unitário]]*Vendas[[#This Row],[Qnt Vendida]]</f>
        <v>2544</v>
      </c>
      <c r="J4336" s="3">
        <f>Vendas[[#This Row],[Valor da Venda]]-(_xlfn.XLOOKUP(Vendas[[#This Row],[ID Item Vendido]],Agregado[ID],Agregado[Custo])*Vendas[[#This Row],[Qnt Vendida]])</f>
        <v>384</v>
      </c>
      <c r="K4336" s="70">
        <f>Vendas[[#This Row],[Lucro da Venda]]/Vendas[[#This Row],[Valor da Venda]]</f>
        <v>0.15094339622641509</v>
      </c>
      <c r="L4336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4336"/>
    </row>
    <row r="4337" spans="1:13" x14ac:dyDescent="0.3">
      <c r="A4337" s="7">
        <v>400254</v>
      </c>
      <c r="B4337" t="str">
        <f>_xlfn.XLOOKUP(Vendas[[#This Row],[ID Vendedor]],Vendedores[ID],Vendedores[Nome])</f>
        <v>Beatriz</v>
      </c>
      <c r="C4337" s="7" t="str">
        <f>_xlfn.XLOOKUP(Vendas[[#This Row],[ID Vendedor]],Vendedores[ID],Vendedores[Setor])</f>
        <v>SC</v>
      </c>
      <c r="D4337" s="7" t="s">
        <v>14</v>
      </c>
      <c r="E4337" t="str">
        <f>_xlfn.XLOOKUP(Vendas[[#This Row],[ID Item Vendido]],Agregado[ID],Agregado[Produto])</f>
        <v>Barril de plástico 200L</v>
      </c>
      <c r="F4337" s="39">
        <v>45701</v>
      </c>
      <c r="G4337" s="7">
        <v>10</v>
      </c>
      <c r="H4337" s="3">
        <f>_xlfn.XLOOKUP(Vendas[[#This Row],[ID Item Vendido]],Agregado[ID],Agregado[Revenda])</f>
        <v>114</v>
      </c>
      <c r="I4337" s="3">
        <f>Vendas[[#This Row],[Valor Unitário]]*Vendas[[#This Row],[Qnt Vendida]]</f>
        <v>1140</v>
      </c>
      <c r="J4337" s="3">
        <f>Vendas[[#This Row],[Valor da Venda]]-(_xlfn.XLOOKUP(Vendas[[#This Row],[ID Item Vendido]],Agregado[ID],Agregado[Custo])*Vendas[[#This Row],[Qnt Vendida]])</f>
        <v>190</v>
      </c>
      <c r="K4337" s="70">
        <f>Vendas[[#This Row],[Lucro da Venda]]/Vendas[[#This Row],[Valor da Venda]]</f>
        <v>0.16666666666666666</v>
      </c>
      <c r="L4337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4337"/>
    </row>
    <row r="4338" spans="1:13" x14ac:dyDescent="0.3">
      <c r="A4338" s="7">
        <v>400251</v>
      </c>
      <c r="B4338" t="str">
        <f>_xlfn.XLOOKUP(Vendas[[#This Row],[ID Vendedor]],Vendedores[ID],Vendedores[Nome])</f>
        <v>Diego</v>
      </c>
      <c r="C4338" s="7" t="str">
        <f>_xlfn.XLOOKUP(Vendas[[#This Row],[ID Vendedor]],Vendedores[ID],Vendedores[Setor])</f>
        <v>AB</v>
      </c>
      <c r="D4338" s="7" t="s">
        <v>12</v>
      </c>
      <c r="E4338" t="str">
        <f>_xlfn.XLOOKUP(Vendas[[#This Row],[ID Item Vendido]],Agregado[ID],Agregado[Produto])</f>
        <v>Grânulo de plástico reciclado refinado</v>
      </c>
      <c r="F4338" s="39">
        <v>45701</v>
      </c>
      <c r="G4338" s="7">
        <v>120</v>
      </c>
      <c r="H4338" s="3">
        <f>_xlfn.XLOOKUP(Vendas[[#This Row],[ID Item Vendido]],Agregado[ID],Agregado[Revenda])</f>
        <v>4.7</v>
      </c>
      <c r="I4338" s="3">
        <f>Vendas[[#This Row],[Valor Unitário]]*Vendas[[#This Row],[Qnt Vendida]]</f>
        <v>564</v>
      </c>
      <c r="J4338" s="3">
        <f>Vendas[[#This Row],[Valor da Venda]]-(_xlfn.XLOOKUP(Vendas[[#This Row],[ID Item Vendido]],Agregado[ID],Agregado[Custo])*Vendas[[#This Row],[Qnt Vendida]])</f>
        <v>144</v>
      </c>
      <c r="K4338" s="70">
        <f>Vendas[[#This Row],[Lucro da Venda]]/Vendas[[#This Row],[Valor da Venda]]</f>
        <v>0.25531914893617019</v>
      </c>
      <c r="L4338" s="3">
        <f>_xlfn.IFS(Vendas[[#This Row],[Margem de Lucro (%)]]&lt;15%,Vendas[[#This Row],[Valor da Venda]]*3%,Vendas[[#This Row],[Margem de Lucro (%)]]&lt;=20%,Vendas[[#This Row],[Valor da Venda]]*4.5%,TRUE,Vendas[[#This Row],[Valor da Venda]]*6%)</f>
        <v>33.839999999999996</v>
      </c>
      <c r="M4338"/>
    </row>
    <row r="4339" spans="1:13" x14ac:dyDescent="0.3">
      <c r="A4339" s="7">
        <v>400252</v>
      </c>
      <c r="B4339" t="str">
        <f>_xlfn.XLOOKUP(Vendas[[#This Row],[ID Vendedor]],Vendedores[ID],Vendedores[Nome])</f>
        <v>Renata</v>
      </c>
      <c r="C4339" s="7" t="str">
        <f>_xlfn.XLOOKUP(Vendas[[#This Row],[ID Vendedor]],Vendedores[ID],Vendedores[Setor])</f>
        <v>AB</v>
      </c>
      <c r="D4339" s="7" t="s">
        <v>12</v>
      </c>
      <c r="E4339" t="str">
        <f>_xlfn.XLOOKUP(Vendas[[#This Row],[ID Item Vendido]],Agregado[ID],Agregado[Produto])</f>
        <v>Grânulo de plástico reciclado refinado</v>
      </c>
      <c r="F4339" s="39">
        <v>45702</v>
      </c>
      <c r="G4339" s="7">
        <v>116</v>
      </c>
      <c r="H4339" s="3">
        <f>_xlfn.XLOOKUP(Vendas[[#This Row],[ID Item Vendido]],Agregado[ID],Agregado[Revenda])</f>
        <v>4.7</v>
      </c>
      <c r="I4339" s="3">
        <f>Vendas[[#This Row],[Valor Unitário]]*Vendas[[#This Row],[Qnt Vendida]]</f>
        <v>545.20000000000005</v>
      </c>
      <c r="J4339" s="3">
        <f>Vendas[[#This Row],[Valor da Venda]]-(_xlfn.XLOOKUP(Vendas[[#This Row],[ID Item Vendido]],Agregado[ID],Agregado[Custo])*Vendas[[#This Row],[Qnt Vendida]])</f>
        <v>139.20000000000005</v>
      </c>
      <c r="K4339" s="70">
        <f>Vendas[[#This Row],[Lucro da Venda]]/Vendas[[#This Row],[Valor da Venda]]</f>
        <v>0.25531914893617025</v>
      </c>
      <c r="L4339" s="3">
        <f>_xlfn.IFS(Vendas[[#This Row],[Margem de Lucro (%)]]&lt;15%,Vendas[[#This Row],[Valor da Venda]]*3%,Vendas[[#This Row],[Margem de Lucro (%)]]&lt;=20%,Vendas[[#This Row],[Valor da Venda]]*4.5%,TRUE,Vendas[[#This Row],[Valor da Venda]]*6%)</f>
        <v>32.712000000000003</v>
      </c>
      <c r="M4339"/>
    </row>
    <row r="4340" spans="1:13" x14ac:dyDescent="0.3">
      <c r="A4340" s="7">
        <v>400252</v>
      </c>
      <c r="B4340" t="str">
        <f>_xlfn.XLOOKUP(Vendas[[#This Row],[ID Vendedor]],Vendedores[ID],Vendedores[Nome])</f>
        <v>Renata</v>
      </c>
      <c r="C4340" s="7" t="str">
        <f>_xlfn.XLOOKUP(Vendas[[#This Row],[ID Vendedor]],Vendedores[ID],Vendedores[Setor])</f>
        <v>AB</v>
      </c>
      <c r="D4340" s="7" t="s">
        <v>12</v>
      </c>
      <c r="E4340" t="str">
        <f>_xlfn.XLOOKUP(Vendas[[#This Row],[ID Item Vendido]],Agregado[ID],Agregado[Produto])</f>
        <v>Grânulo de plástico reciclado refinado</v>
      </c>
      <c r="F4340" s="39">
        <v>45702</v>
      </c>
      <c r="G4340" s="7">
        <v>55</v>
      </c>
      <c r="H4340" s="3">
        <f>_xlfn.XLOOKUP(Vendas[[#This Row],[ID Item Vendido]],Agregado[ID],Agregado[Revenda])</f>
        <v>4.7</v>
      </c>
      <c r="I4340" s="3">
        <f>Vendas[[#This Row],[Valor Unitário]]*Vendas[[#This Row],[Qnt Vendida]]</f>
        <v>258.5</v>
      </c>
      <c r="J4340" s="3">
        <f>Vendas[[#This Row],[Valor da Venda]]-(_xlfn.XLOOKUP(Vendas[[#This Row],[ID Item Vendido]],Agregado[ID],Agregado[Custo])*Vendas[[#This Row],[Qnt Vendida]])</f>
        <v>66</v>
      </c>
      <c r="K4340" s="70">
        <f>Vendas[[#This Row],[Lucro da Venda]]/Vendas[[#This Row],[Valor da Venda]]</f>
        <v>0.25531914893617019</v>
      </c>
      <c r="L4340" s="3">
        <f>_xlfn.IFS(Vendas[[#This Row],[Margem de Lucro (%)]]&lt;15%,Vendas[[#This Row],[Valor da Venda]]*3%,Vendas[[#This Row],[Margem de Lucro (%)]]&lt;=20%,Vendas[[#This Row],[Valor da Venda]]*4.5%,TRUE,Vendas[[#This Row],[Valor da Venda]]*6%)</f>
        <v>15.51</v>
      </c>
      <c r="M4340"/>
    </row>
    <row r="4341" spans="1:13" x14ac:dyDescent="0.3">
      <c r="A4341" s="7">
        <v>400242</v>
      </c>
      <c r="B4341" t="str">
        <f>_xlfn.XLOOKUP(Vendas[[#This Row],[ID Vendedor]],Vendedores[ID],Vendedores[Nome])</f>
        <v>Fernanda</v>
      </c>
      <c r="C4341" s="7" t="str">
        <f>_xlfn.XLOOKUP(Vendas[[#This Row],[ID Vendedor]],Vendedores[ID],Vendedores[Setor])</f>
        <v>FM</v>
      </c>
      <c r="D4341" s="7" t="s">
        <v>47</v>
      </c>
      <c r="E4341" t="str">
        <f>_xlfn.XLOOKUP(Vendas[[#This Row],[ID Item Vendido]],Agregado[ID],Agregado[Produto])</f>
        <v>Fio de arame galvanizado rolo 50m</v>
      </c>
      <c r="F4341" s="39">
        <v>45702</v>
      </c>
      <c r="G4341" s="7">
        <v>8</v>
      </c>
      <c r="H4341" s="3">
        <f>_xlfn.XLOOKUP(Vendas[[#This Row],[ID Item Vendido]],Agregado[ID],Agregado[Revenda])</f>
        <v>21.2</v>
      </c>
      <c r="I4341" s="3">
        <f>Vendas[[#This Row],[Valor Unitário]]*Vendas[[#This Row],[Qnt Vendida]]</f>
        <v>169.6</v>
      </c>
      <c r="J4341" s="3">
        <f>Vendas[[#This Row],[Valor da Venda]]-(_xlfn.XLOOKUP(Vendas[[#This Row],[ID Item Vendido]],Agregado[ID],Agregado[Custo])*Vendas[[#This Row],[Qnt Vendida]])</f>
        <v>25.599999999999994</v>
      </c>
      <c r="K4341" s="70">
        <f>Vendas[[#This Row],[Lucro da Venda]]/Vendas[[#This Row],[Valor da Venda]]</f>
        <v>0.15094339622641506</v>
      </c>
      <c r="L4341" s="3">
        <f>_xlfn.IFS(Vendas[[#This Row],[Margem de Lucro (%)]]&lt;15%,Vendas[[#This Row],[Valor da Venda]]*3%,Vendas[[#This Row],[Margem de Lucro (%)]]&lt;=20%,Vendas[[#This Row],[Valor da Venda]]*4.5%,TRUE,Vendas[[#This Row],[Valor da Venda]]*6%)</f>
        <v>7.6319999999999997</v>
      </c>
      <c r="M4341"/>
    </row>
    <row r="4342" spans="1:13" x14ac:dyDescent="0.3">
      <c r="A4342" s="7">
        <v>400254</v>
      </c>
      <c r="B4342" t="str">
        <f>_xlfn.XLOOKUP(Vendas[[#This Row],[ID Vendedor]],Vendedores[ID],Vendedores[Nome])</f>
        <v>Beatriz</v>
      </c>
      <c r="C4342" s="7" t="str">
        <f>_xlfn.XLOOKUP(Vendas[[#This Row],[ID Vendedor]],Vendedores[ID],Vendedores[Setor])</f>
        <v>SC</v>
      </c>
      <c r="D4342" s="7" t="s">
        <v>42</v>
      </c>
      <c r="E4342" t="str">
        <f>_xlfn.XLOOKUP(Vendas[[#This Row],[ID Item Vendido]],Agregado[ID],Agregado[Produto])</f>
        <v>Container de ferro industrial</v>
      </c>
      <c r="F4342" s="39">
        <v>45703</v>
      </c>
      <c r="G4342" s="7">
        <v>2</v>
      </c>
      <c r="H4342" s="3">
        <f>_xlfn.XLOOKUP(Vendas[[#This Row],[ID Item Vendido]],Agregado[ID],Agregado[Revenda])</f>
        <v>830</v>
      </c>
      <c r="I4342" s="3">
        <f>Vendas[[#This Row],[Valor Unitário]]*Vendas[[#This Row],[Qnt Vendida]]</f>
        <v>1660</v>
      </c>
      <c r="J4342" s="3">
        <f>Vendas[[#This Row],[Valor da Venda]]-(_xlfn.XLOOKUP(Vendas[[#This Row],[ID Item Vendido]],Agregado[ID],Agregado[Custo])*Vendas[[#This Row],[Qnt Vendida]])</f>
        <v>300</v>
      </c>
      <c r="K4342" s="70">
        <f>Vendas[[#This Row],[Lucro da Venda]]/Vendas[[#This Row],[Valor da Venda]]</f>
        <v>0.18072289156626506</v>
      </c>
      <c r="L434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342"/>
    </row>
    <row r="4343" spans="1:13" x14ac:dyDescent="0.3">
      <c r="A4343" s="7">
        <v>400246</v>
      </c>
      <c r="B4343" t="str">
        <f>_xlfn.XLOOKUP(Vendas[[#This Row],[ID Vendedor]],Vendedores[ID],Vendedores[Nome])</f>
        <v>Juliana</v>
      </c>
      <c r="C4343" s="7" t="str">
        <f>_xlfn.XLOOKUP(Vendas[[#This Row],[ID Vendedor]],Vendedores[ID],Vendedores[Setor])</f>
        <v>AHD</v>
      </c>
      <c r="D4343" s="7" t="s">
        <v>44</v>
      </c>
      <c r="E4343" t="str">
        <f>_xlfn.XLOOKUP(Vendas[[#This Row],[ID Item Vendido]],Agregado[ID],Agregado[Produto])</f>
        <v>Liga metálica especial</v>
      </c>
      <c r="F4343" s="39">
        <v>45703</v>
      </c>
      <c r="G4343" s="7">
        <v>26</v>
      </c>
      <c r="H4343" s="3">
        <f>_xlfn.XLOOKUP(Vendas[[#This Row],[ID Item Vendido]],Agregado[ID],Agregado[Revenda])</f>
        <v>32.5</v>
      </c>
      <c r="I4343" s="3">
        <f>Vendas[[#This Row],[Valor Unitário]]*Vendas[[#This Row],[Qnt Vendida]]</f>
        <v>845</v>
      </c>
      <c r="J4343" s="3">
        <f>Vendas[[#This Row],[Valor da Venda]]-(_xlfn.XLOOKUP(Vendas[[#This Row],[ID Item Vendido]],Agregado[ID],Agregado[Custo])*Vendas[[#This Row],[Qnt Vendida]])</f>
        <v>195</v>
      </c>
      <c r="K4343" s="70">
        <f>Vendas[[#This Row],[Lucro da Venda]]/Vendas[[#This Row],[Valor da Venda]]</f>
        <v>0.23076923076923078</v>
      </c>
      <c r="L4343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4343"/>
    </row>
    <row r="4344" spans="1:13" x14ac:dyDescent="0.3">
      <c r="A4344" s="7">
        <v>400247</v>
      </c>
      <c r="B4344" t="str">
        <f>_xlfn.XLOOKUP(Vendas[[#This Row],[ID Vendedor]],Vendedores[ID],Vendedores[Nome])</f>
        <v>André</v>
      </c>
      <c r="C4344" s="7" t="str">
        <f>_xlfn.XLOOKUP(Vendas[[#This Row],[ID Vendedor]],Vendedores[ID],Vendedores[Setor])</f>
        <v>CM</v>
      </c>
      <c r="D4344" s="7" t="s">
        <v>45</v>
      </c>
      <c r="E4344" t="str">
        <f>_xlfn.XLOOKUP(Vendas[[#This Row],[ID Item Vendido]],Agregado[ID],Agregado[Produto])</f>
        <v>Viga de madeira tratada 4m</v>
      </c>
      <c r="F4344" s="39">
        <v>45703</v>
      </c>
      <c r="G4344" s="7">
        <v>7</v>
      </c>
      <c r="H4344" s="3">
        <f>_xlfn.XLOOKUP(Vendas[[#This Row],[ID Item Vendido]],Agregado[ID],Agregado[Revenda])</f>
        <v>66</v>
      </c>
      <c r="I4344" s="3">
        <f>Vendas[[#This Row],[Valor Unitário]]*Vendas[[#This Row],[Qnt Vendida]]</f>
        <v>462</v>
      </c>
      <c r="J4344" s="3">
        <f>Vendas[[#This Row],[Valor da Venda]]-(_xlfn.XLOOKUP(Vendas[[#This Row],[ID Item Vendido]],Agregado[ID],Agregado[Custo])*Vendas[[#This Row],[Qnt Vendida]])</f>
        <v>77</v>
      </c>
      <c r="K4344" s="70">
        <f>Vendas[[#This Row],[Lucro da Venda]]/Vendas[[#This Row],[Valor da Venda]]</f>
        <v>0.16666666666666666</v>
      </c>
      <c r="L4344" s="3">
        <f>_xlfn.IFS(Vendas[[#This Row],[Margem de Lucro (%)]]&lt;15%,Vendas[[#This Row],[Valor da Venda]]*3%,Vendas[[#This Row],[Margem de Lucro (%)]]&lt;=20%,Vendas[[#This Row],[Valor da Venda]]*4.5%,TRUE,Vendas[[#This Row],[Valor da Venda]]*6%)</f>
        <v>20.79</v>
      </c>
      <c r="M4344"/>
    </row>
    <row r="4345" spans="1:13" x14ac:dyDescent="0.3">
      <c r="A4345" s="7">
        <v>400243</v>
      </c>
      <c r="B4345" t="str">
        <f>_xlfn.XLOOKUP(Vendas[[#This Row],[ID Vendedor]],Vendedores[ID],Vendedores[Nome])</f>
        <v>Marcelo</v>
      </c>
      <c r="C4345" s="7" t="str">
        <f>_xlfn.XLOOKUP(Vendas[[#This Row],[ID Vendedor]],Vendedores[ID],Vendedores[Setor])</f>
        <v>FM</v>
      </c>
      <c r="D4345" s="7" t="s">
        <v>20</v>
      </c>
      <c r="E4345" t="str">
        <f>_xlfn.XLOOKUP(Vendas[[#This Row],[ID Item Vendido]],Agregado[ID],Agregado[Produto])</f>
        <v>Barra de aço simples</v>
      </c>
      <c r="F4345" s="39">
        <v>45703</v>
      </c>
      <c r="G4345" s="7">
        <v>34</v>
      </c>
      <c r="H4345" s="3">
        <f>_xlfn.XLOOKUP(Vendas[[#This Row],[ID Item Vendido]],Agregado[ID],Agregado[Revenda])</f>
        <v>4.8</v>
      </c>
      <c r="I4345" s="3">
        <f>Vendas[[#This Row],[Valor Unitário]]*Vendas[[#This Row],[Qnt Vendida]]</f>
        <v>163.19999999999999</v>
      </c>
      <c r="J4345" s="3">
        <f>Vendas[[#This Row],[Valor da Venda]]-(_xlfn.XLOOKUP(Vendas[[#This Row],[ID Item Vendido]],Agregado[ID],Agregado[Custo])*Vendas[[#This Row],[Qnt Vendida]])</f>
        <v>20.399999999999977</v>
      </c>
      <c r="K4345" s="70">
        <f>Vendas[[#This Row],[Lucro da Venda]]/Vendas[[#This Row],[Valor da Venda]]</f>
        <v>0.12499999999999988</v>
      </c>
      <c r="L4345" s="3">
        <f>_xlfn.IFS(Vendas[[#This Row],[Margem de Lucro (%)]]&lt;15%,Vendas[[#This Row],[Valor da Venda]]*3%,Vendas[[#This Row],[Margem de Lucro (%)]]&lt;=20%,Vendas[[#This Row],[Valor da Venda]]*4.5%,TRUE,Vendas[[#This Row],[Valor da Venda]]*6%)</f>
        <v>4.8959999999999999</v>
      </c>
      <c r="M4345"/>
    </row>
    <row r="4346" spans="1:13" x14ac:dyDescent="0.3">
      <c r="A4346" s="7">
        <v>400254</v>
      </c>
      <c r="B4346" t="str">
        <f>_xlfn.XLOOKUP(Vendas[[#This Row],[ID Vendedor]],Vendedores[ID],Vendedores[Nome])</f>
        <v>Beatriz</v>
      </c>
      <c r="C4346" s="7" t="str">
        <f>_xlfn.XLOOKUP(Vendas[[#This Row],[ID Vendedor]],Vendedores[ID],Vendedores[Setor])</f>
        <v>SC</v>
      </c>
      <c r="D4346" s="7" t="s">
        <v>42</v>
      </c>
      <c r="E4346" t="str">
        <f>_xlfn.XLOOKUP(Vendas[[#This Row],[ID Item Vendido]],Agregado[ID],Agregado[Produto])</f>
        <v>Container de ferro industrial</v>
      </c>
      <c r="F4346" s="39">
        <v>45704</v>
      </c>
      <c r="G4346" s="7">
        <v>6</v>
      </c>
      <c r="H4346" s="3">
        <f>_xlfn.XLOOKUP(Vendas[[#This Row],[ID Item Vendido]],Agregado[ID],Agregado[Revenda])</f>
        <v>830</v>
      </c>
      <c r="I4346" s="3">
        <f>Vendas[[#This Row],[Valor Unitário]]*Vendas[[#This Row],[Qnt Vendida]]</f>
        <v>4980</v>
      </c>
      <c r="J4346" s="3">
        <f>Vendas[[#This Row],[Valor da Venda]]-(_xlfn.XLOOKUP(Vendas[[#This Row],[ID Item Vendido]],Agregado[ID],Agregado[Custo])*Vendas[[#This Row],[Qnt Vendida]])</f>
        <v>900</v>
      </c>
      <c r="K4346" s="70">
        <f>Vendas[[#This Row],[Lucro da Venda]]/Vendas[[#This Row],[Valor da Venda]]</f>
        <v>0.18072289156626506</v>
      </c>
      <c r="L4346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4346"/>
    </row>
    <row r="4347" spans="1:13" x14ac:dyDescent="0.3">
      <c r="A4347" s="7">
        <v>400255</v>
      </c>
      <c r="B4347" t="str">
        <f>_xlfn.XLOOKUP(Vendas[[#This Row],[ID Vendedor]],Vendedores[ID],Vendedores[Nome])</f>
        <v>Carlos</v>
      </c>
      <c r="C4347" s="7" t="str">
        <f>_xlfn.XLOOKUP(Vendas[[#This Row],[ID Vendedor]],Vendedores[ID],Vendedores[Setor])</f>
        <v>SC</v>
      </c>
      <c r="D4347" s="7" t="s">
        <v>42</v>
      </c>
      <c r="E4347" t="str">
        <f>_xlfn.XLOOKUP(Vendas[[#This Row],[ID Item Vendido]],Agregado[ID],Agregado[Produto])</f>
        <v>Container de ferro industrial</v>
      </c>
      <c r="F4347" s="39">
        <v>45704</v>
      </c>
      <c r="G4347" s="7">
        <v>2</v>
      </c>
      <c r="H4347" s="3">
        <f>_xlfn.XLOOKUP(Vendas[[#This Row],[ID Item Vendido]],Agregado[ID],Agregado[Revenda])</f>
        <v>830</v>
      </c>
      <c r="I4347" s="3">
        <f>Vendas[[#This Row],[Valor Unitário]]*Vendas[[#This Row],[Qnt Vendida]]</f>
        <v>1660</v>
      </c>
      <c r="J4347" s="3">
        <f>Vendas[[#This Row],[Valor da Venda]]-(_xlfn.XLOOKUP(Vendas[[#This Row],[ID Item Vendido]],Agregado[ID],Agregado[Custo])*Vendas[[#This Row],[Qnt Vendida]])</f>
        <v>300</v>
      </c>
      <c r="K4347" s="70">
        <f>Vendas[[#This Row],[Lucro da Venda]]/Vendas[[#This Row],[Valor da Venda]]</f>
        <v>0.18072289156626506</v>
      </c>
      <c r="L4347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347"/>
    </row>
    <row r="4348" spans="1:13" x14ac:dyDescent="0.3">
      <c r="A4348" s="7">
        <v>400245</v>
      </c>
      <c r="B4348" t="str">
        <f>_xlfn.XLOOKUP(Vendas[[#This Row],[ID Vendedor]],Vendedores[ID],Vendedores[Nome])</f>
        <v>Thiago</v>
      </c>
      <c r="C4348" s="7" t="str">
        <f>_xlfn.XLOOKUP(Vendas[[#This Row],[ID Vendedor]],Vendedores[ID],Vendedores[Setor])</f>
        <v>AHD</v>
      </c>
      <c r="D4348" s="7" t="s">
        <v>44</v>
      </c>
      <c r="E4348" t="str">
        <f>_xlfn.XLOOKUP(Vendas[[#This Row],[ID Item Vendido]],Agregado[ID],Agregado[Produto])</f>
        <v>Liga metálica especial</v>
      </c>
      <c r="F4348" s="39">
        <v>45704</v>
      </c>
      <c r="G4348" s="7">
        <v>28</v>
      </c>
      <c r="H4348" s="3">
        <f>_xlfn.XLOOKUP(Vendas[[#This Row],[ID Item Vendido]],Agregado[ID],Agregado[Revenda])</f>
        <v>32.5</v>
      </c>
      <c r="I4348" s="3">
        <f>Vendas[[#This Row],[Valor Unitário]]*Vendas[[#This Row],[Qnt Vendida]]</f>
        <v>910</v>
      </c>
      <c r="J4348" s="3">
        <f>Vendas[[#This Row],[Valor da Venda]]-(_xlfn.XLOOKUP(Vendas[[#This Row],[ID Item Vendido]],Agregado[ID],Agregado[Custo])*Vendas[[#This Row],[Qnt Vendida]])</f>
        <v>210</v>
      </c>
      <c r="K4348" s="70">
        <f>Vendas[[#This Row],[Lucro da Venda]]/Vendas[[#This Row],[Valor da Venda]]</f>
        <v>0.23076923076923078</v>
      </c>
      <c r="L4348" s="3">
        <f>_xlfn.IFS(Vendas[[#This Row],[Margem de Lucro (%)]]&lt;15%,Vendas[[#This Row],[Valor da Venda]]*3%,Vendas[[#This Row],[Margem de Lucro (%)]]&lt;=20%,Vendas[[#This Row],[Valor da Venda]]*4.5%,TRUE,Vendas[[#This Row],[Valor da Venda]]*6%)</f>
        <v>54.6</v>
      </c>
      <c r="M4348"/>
    </row>
    <row r="4349" spans="1:13" x14ac:dyDescent="0.3">
      <c r="A4349" s="7">
        <v>400254</v>
      </c>
      <c r="B4349" t="str">
        <f>_xlfn.XLOOKUP(Vendas[[#This Row],[ID Vendedor]],Vendedores[ID],Vendedores[Nome])</f>
        <v>Beatriz</v>
      </c>
      <c r="C4349" s="7" t="str">
        <f>_xlfn.XLOOKUP(Vendas[[#This Row],[ID Vendedor]],Vendedores[ID],Vendedores[Setor])</f>
        <v>SC</v>
      </c>
      <c r="D4349" s="7" t="s">
        <v>42</v>
      </c>
      <c r="E4349" t="str">
        <f>_xlfn.XLOOKUP(Vendas[[#This Row],[ID Item Vendido]],Agregado[ID],Agregado[Produto])</f>
        <v>Container de ferro industrial</v>
      </c>
      <c r="F4349" s="39">
        <v>45704</v>
      </c>
      <c r="G4349" s="7">
        <v>1</v>
      </c>
      <c r="H4349" s="3">
        <f>_xlfn.XLOOKUP(Vendas[[#This Row],[ID Item Vendido]],Agregado[ID],Agregado[Revenda])</f>
        <v>830</v>
      </c>
      <c r="I4349" s="3">
        <f>Vendas[[#This Row],[Valor Unitário]]*Vendas[[#This Row],[Qnt Vendida]]</f>
        <v>830</v>
      </c>
      <c r="J4349" s="3">
        <f>Vendas[[#This Row],[Valor da Venda]]-(_xlfn.XLOOKUP(Vendas[[#This Row],[ID Item Vendido]],Agregado[ID],Agregado[Custo])*Vendas[[#This Row],[Qnt Vendida]])</f>
        <v>150</v>
      </c>
      <c r="K4349" s="70">
        <f>Vendas[[#This Row],[Lucro da Venda]]/Vendas[[#This Row],[Valor da Venda]]</f>
        <v>0.18072289156626506</v>
      </c>
      <c r="L434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349"/>
    </row>
    <row r="4350" spans="1:13" x14ac:dyDescent="0.3">
      <c r="A4350" s="7">
        <v>400246</v>
      </c>
      <c r="B4350" t="str">
        <f>_xlfn.XLOOKUP(Vendas[[#This Row],[ID Vendedor]],Vendedores[ID],Vendedores[Nome])</f>
        <v>Juliana</v>
      </c>
      <c r="C4350" s="7" t="str">
        <f>_xlfn.XLOOKUP(Vendas[[#This Row],[ID Vendedor]],Vendedores[ID],Vendedores[Setor])</f>
        <v>AHD</v>
      </c>
      <c r="D4350" s="7" t="s">
        <v>30</v>
      </c>
      <c r="E4350" t="str">
        <f>_xlfn.XLOOKUP(Vendas[[#This Row],[ID Item Vendido]],Agregado[ID],Agregado[Produto])</f>
        <v>Estrutura metálica soldada</v>
      </c>
      <c r="F4350" s="39">
        <v>45705</v>
      </c>
      <c r="G4350" s="7">
        <v>8</v>
      </c>
      <c r="H4350" s="3">
        <f>_xlfn.XLOOKUP(Vendas[[#This Row],[ID Item Vendido]],Agregado[ID],Agregado[Revenda])</f>
        <v>400</v>
      </c>
      <c r="I4350" s="3">
        <f>Vendas[[#This Row],[Valor Unitário]]*Vendas[[#This Row],[Qnt Vendida]]</f>
        <v>3200</v>
      </c>
      <c r="J4350" s="3">
        <f>Vendas[[#This Row],[Valor da Venda]]-(_xlfn.XLOOKUP(Vendas[[#This Row],[ID Item Vendido]],Agregado[ID],Agregado[Custo])*Vendas[[#This Row],[Qnt Vendida]])</f>
        <v>640</v>
      </c>
      <c r="K4350" s="70">
        <f>Vendas[[#This Row],[Lucro da Venda]]/Vendas[[#This Row],[Valor da Venda]]</f>
        <v>0.2</v>
      </c>
      <c r="L4350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350"/>
    </row>
    <row r="4351" spans="1:13" x14ac:dyDescent="0.3">
      <c r="A4351" s="7">
        <v>400244</v>
      </c>
      <c r="B4351" t="str">
        <f>_xlfn.XLOOKUP(Vendas[[#This Row],[ID Vendedor]],Vendedores[ID],Vendedores[Nome])</f>
        <v>Camila</v>
      </c>
      <c r="C4351" s="7" t="str">
        <f>_xlfn.XLOOKUP(Vendas[[#This Row],[ID Vendedor]],Vendedores[ID],Vendedores[Setor])</f>
        <v>AHD</v>
      </c>
      <c r="D4351" s="7" t="s">
        <v>44</v>
      </c>
      <c r="E4351" t="str">
        <f>_xlfn.XLOOKUP(Vendas[[#This Row],[ID Item Vendido]],Agregado[ID],Agregado[Produto])</f>
        <v>Liga metálica especial</v>
      </c>
      <c r="F4351" s="39">
        <v>45705</v>
      </c>
      <c r="G4351" s="7">
        <v>26</v>
      </c>
      <c r="H4351" s="3">
        <f>_xlfn.XLOOKUP(Vendas[[#This Row],[ID Item Vendido]],Agregado[ID],Agregado[Revenda])</f>
        <v>32.5</v>
      </c>
      <c r="I4351" s="3">
        <f>Vendas[[#This Row],[Valor Unitário]]*Vendas[[#This Row],[Qnt Vendida]]</f>
        <v>845</v>
      </c>
      <c r="J4351" s="3">
        <f>Vendas[[#This Row],[Valor da Venda]]-(_xlfn.XLOOKUP(Vendas[[#This Row],[ID Item Vendido]],Agregado[ID],Agregado[Custo])*Vendas[[#This Row],[Qnt Vendida]])</f>
        <v>195</v>
      </c>
      <c r="K4351" s="70">
        <f>Vendas[[#This Row],[Lucro da Venda]]/Vendas[[#This Row],[Valor da Venda]]</f>
        <v>0.23076923076923078</v>
      </c>
      <c r="L4351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4351"/>
    </row>
    <row r="4352" spans="1:13" x14ac:dyDescent="0.3">
      <c r="A4352" s="7">
        <v>400248</v>
      </c>
      <c r="B4352" t="str">
        <f>_xlfn.XLOOKUP(Vendas[[#This Row],[ID Vendedor]],Vendedores[ID],Vendedores[Nome])</f>
        <v>Patrícia</v>
      </c>
      <c r="C4352" s="7" t="str">
        <f>_xlfn.XLOOKUP(Vendas[[#This Row],[ID Vendedor]],Vendedores[ID],Vendedores[Setor])</f>
        <v>CM</v>
      </c>
      <c r="D4352" s="7" t="s">
        <v>34</v>
      </c>
      <c r="E4352" t="str">
        <f>_xlfn.XLOOKUP(Vendas[[#This Row],[ID Item Vendido]],Agregado[ID],Agregado[Produto])</f>
        <v>Restos de madeira p/ MDP/OSB saco de 20kg</v>
      </c>
      <c r="F4352" s="39">
        <v>45705</v>
      </c>
      <c r="G4352" s="7">
        <v>21</v>
      </c>
      <c r="H4352" s="3">
        <f>_xlfn.XLOOKUP(Vendas[[#This Row],[ID Item Vendido]],Agregado[ID],Agregado[Revenda])</f>
        <v>13.8</v>
      </c>
      <c r="I4352" s="3">
        <f>Vendas[[#This Row],[Valor Unitário]]*Vendas[[#This Row],[Qnt Vendida]]</f>
        <v>289.8</v>
      </c>
      <c r="J4352" s="3">
        <f>Vendas[[#This Row],[Valor da Venda]]-(_xlfn.XLOOKUP(Vendas[[#This Row],[ID Item Vendido]],Agregado[ID],Agregado[Custo])*Vendas[[#This Row],[Qnt Vendida]])</f>
        <v>37.800000000000011</v>
      </c>
      <c r="K4352" s="70">
        <f>Vendas[[#This Row],[Lucro da Venda]]/Vendas[[#This Row],[Valor da Venda]]</f>
        <v>0.13043478260869568</v>
      </c>
      <c r="L4352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4352"/>
    </row>
    <row r="4353" spans="1:13" x14ac:dyDescent="0.3">
      <c r="A4353" s="7">
        <v>400242</v>
      </c>
      <c r="B4353" t="str">
        <f>_xlfn.XLOOKUP(Vendas[[#This Row],[ID Vendedor]],Vendedores[ID],Vendedores[Nome])</f>
        <v>Fernanda</v>
      </c>
      <c r="C4353" s="7" t="str">
        <f>_xlfn.XLOOKUP(Vendas[[#This Row],[ID Vendedor]],Vendedores[ID],Vendedores[Setor])</f>
        <v>FM</v>
      </c>
      <c r="D4353" s="7" t="s">
        <v>47</v>
      </c>
      <c r="E4353" t="str">
        <f>_xlfn.XLOOKUP(Vendas[[#This Row],[ID Item Vendido]],Agregado[ID],Agregado[Produto])</f>
        <v>Fio de arame galvanizado rolo 50m</v>
      </c>
      <c r="F4353" s="39">
        <v>45705</v>
      </c>
      <c r="G4353" s="7">
        <v>12</v>
      </c>
      <c r="H4353" s="3">
        <f>_xlfn.XLOOKUP(Vendas[[#This Row],[ID Item Vendido]],Agregado[ID],Agregado[Revenda])</f>
        <v>21.2</v>
      </c>
      <c r="I4353" s="3">
        <f>Vendas[[#This Row],[Valor Unitário]]*Vendas[[#This Row],[Qnt Vendida]]</f>
        <v>254.39999999999998</v>
      </c>
      <c r="J4353" s="3">
        <f>Vendas[[#This Row],[Valor da Venda]]-(_xlfn.XLOOKUP(Vendas[[#This Row],[ID Item Vendido]],Agregado[ID],Agregado[Custo])*Vendas[[#This Row],[Qnt Vendida]])</f>
        <v>38.399999999999977</v>
      </c>
      <c r="K4353" s="70">
        <f>Vendas[[#This Row],[Lucro da Venda]]/Vendas[[#This Row],[Valor da Venda]]</f>
        <v>0.15094339622641501</v>
      </c>
      <c r="L4353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4353"/>
    </row>
    <row r="4354" spans="1:13" x14ac:dyDescent="0.3">
      <c r="A4354" s="7">
        <v>400247</v>
      </c>
      <c r="B4354" t="str">
        <f>_xlfn.XLOOKUP(Vendas[[#This Row],[ID Vendedor]],Vendedores[ID],Vendedores[Nome])</f>
        <v>André</v>
      </c>
      <c r="C4354" s="7" t="str">
        <f>_xlfn.XLOOKUP(Vendas[[#This Row],[ID Vendedor]],Vendedores[ID],Vendedores[Setor])</f>
        <v>CM</v>
      </c>
      <c r="D4354" s="7" t="s">
        <v>22</v>
      </c>
      <c r="E4354" t="str">
        <f>_xlfn.XLOOKUP(Vendas[[#This Row],[ID Item Vendido]],Agregado[ID],Agregado[Produto])</f>
        <v>Painel MDP 2,75x1,83m</v>
      </c>
      <c r="F4354" s="39">
        <v>45705</v>
      </c>
      <c r="G4354" s="7">
        <v>2</v>
      </c>
      <c r="H4354" s="3">
        <f>_xlfn.XLOOKUP(Vendas[[#This Row],[ID Item Vendido]],Agregado[ID],Agregado[Revenda])</f>
        <v>119</v>
      </c>
      <c r="I4354" s="3">
        <f>Vendas[[#This Row],[Valor Unitário]]*Vendas[[#This Row],[Qnt Vendida]]</f>
        <v>238</v>
      </c>
      <c r="J4354" s="3">
        <f>Vendas[[#This Row],[Valor da Venda]]-(_xlfn.XLOOKUP(Vendas[[#This Row],[ID Item Vendido]],Agregado[ID],Agregado[Custo])*Vendas[[#This Row],[Qnt Vendida]])</f>
        <v>48</v>
      </c>
      <c r="K4354" s="70">
        <f>Vendas[[#This Row],[Lucro da Venda]]/Vendas[[#This Row],[Valor da Venda]]</f>
        <v>0.20168067226890757</v>
      </c>
      <c r="L4354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4354"/>
    </row>
    <row r="4355" spans="1:13" x14ac:dyDescent="0.3">
      <c r="A4355" s="7">
        <v>400252</v>
      </c>
      <c r="B4355" t="str">
        <f>_xlfn.XLOOKUP(Vendas[[#This Row],[ID Vendedor]],Vendedores[ID],Vendedores[Nome])</f>
        <v>Renata</v>
      </c>
      <c r="C4355" s="7" t="str">
        <f>_xlfn.XLOOKUP(Vendas[[#This Row],[ID Vendedor]],Vendedores[ID],Vendedores[Setor])</f>
        <v>AB</v>
      </c>
      <c r="D4355" s="7" t="s">
        <v>39</v>
      </c>
      <c r="E4355" t="str">
        <f>_xlfn.XLOOKUP(Vendas[[#This Row],[ID Item Vendido]],Agregado[ID],Agregado[Produto])</f>
        <v>Filme plástico industrial rolo 50m</v>
      </c>
      <c r="F4355" s="39">
        <v>45706</v>
      </c>
      <c r="G4355" s="7">
        <v>29</v>
      </c>
      <c r="H4355" s="3">
        <f>_xlfn.XLOOKUP(Vendas[[#This Row],[ID Item Vendido]],Agregado[ID],Agregado[Revenda])</f>
        <v>37</v>
      </c>
      <c r="I4355" s="3">
        <f>Vendas[[#This Row],[Valor Unitário]]*Vendas[[#This Row],[Qnt Vendida]]</f>
        <v>1073</v>
      </c>
      <c r="J4355" s="3">
        <f>Vendas[[#This Row],[Valor da Venda]]-(_xlfn.XLOOKUP(Vendas[[#This Row],[ID Item Vendido]],Agregado[ID],Agregado[Custo])*Vendas[[#This Row],[Qnt Vendida]])</f>
        <v>261</v>
      </c>
      <c r="K4355" s="70">
        <f>Vendas[[#This Row],[Lucro da Venda]]/Vendas[[#This Row],[Valor da Venda]]</f>
        <v>0.24324324324324326</v>
      </c>
      <c r="L4355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355"/>
    </row>
    <row r="4356" spans="1:13" x14ac:dyDescent="0.3">
      <c r="A4356" s="7">
        <v>400250</v>
      </c>
      <c r="B4356" t="str">
        <f>_xlfn.XLOOKUP(Vendas[[#This Row],[ID Vendedor]],Vendedores[ID],Vendedores[Nome])</f>
        <v>Larissa</v>
      </c>
      <c r="C4356" s="7" t="str">
        <f>_xlfn.XLOOKUP(Vendas[[#This Row],[ID Vendedor]],Vendedores[ID],Vendedores[Setor])</f>
        <v>AB</v>
      </c>
      <c r="D4356" s="7" t="s">
        <v>39</v>
      </c>
      <c r="E4356" t="str">
        <f>_xlfn.XLOOKUP(Vendas[[#This Row],[ID Item Vendido]],Agregado[ID],Agregado[Produto])</f>
        <v>Filme plástico industrial rolo 50m</v>
      </c>
      <c r="F4356" s="39">
        <v>45706</v>
      </c>
      <c r="G4356" s="7">
        <v>22</v>
      </c>
      <c r="H4356" s="3">
        <f>_xlfn.XLOOKUP(Vendas[[#This Row],[ID Item Vendido]],Agregado[ID],Agregado[Revenda])</f>
        <v>37</v>
      </c>
      <c r="I4356" s="3">
        <f>Vendas[[#This Row],[Valor Unitário]]*Vendas[[#This Row],[Qnt Vendida]]</f>
        <v>814</v>
      </c>
      <c r="J4356" s="3">
        <f>Vendas[[#This Row],[Valor da Venda]]-(_xlfn.XLOOKUP(Vendas[[#This Row],[ID Item Vendido]],Agregado[ID],Agregado[Custo])*Vendas[[#This Row],[Qnt Vendida]])</f>
        <v>198</v>
      </c>
      <c r="K4356" s="70">
        <f>Vendas[[#This Row],[Lucro da Venda]]/Vendas[[#This Row],[Valor da Venda]]</f>
        <v>0.24324324324324326</v>
      </c>
      <c r="L4356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4356"/>
    </row>
    <row r="4357" spans="1:13" x14ac:dyDescent="0.3">
      <c r="A4357" s="7">
        <v>400242</v>
      </c>
      <c r="B4357" t="str">
        <f>_xlfn.XLOOKUP(Vendas[[#This Row],[ID Vendedor]],Vendedores[ID],Vendedores[Nome])</f>
        <v>Fernanda</v>
      </c>
      <c r="C4357" s="7" t="str">
        <f>_xlfn.XLOOKUP(Vendas[[#This Row],[ID Vendedor]],Vendedores[ID],Vendedores[Setor])</f>
        <v>FM</v>
      </c>
      <c r="D4357" s="7" t="s">
        <v>47</v>
      </c>
      <c r="E4357" t="str">
        <f>_xlfn.XLOOKUP(Vendas[[#This Row],[ID Item Vendido]],Agregado[ID],Agregado[Produto])</f>
        <v>Fio de arame galvanizado rolo 50m</v>
      </c>
      <c r="F4357" s="39">
        <v>45706</v>
      </c>
      <c r="G4357" s="7">
        <v>20</v>
      </c>
      <c r="H4357" s="3">
        <f>_xlfn.XLOOKUP(Vendas[[#This Row],[ID Item Vendido]],Agregado[ID],Agregado[Revenda])</f>
        <v>21.2</v>
      </c>
      <c r="I4357" s="3">
        <f>Vendas[[#This Row],[Valor Unitário]]*Vendas[[#This Row],[Qnt Vendida]]</f>
        <v>424</v>
      </c>
      <c r="J4357" s="3">
        <f>Vendas[[#This Row],[Valor da Venda]]-(_xlfn.XLOOKUP(Vendas[[#This Row],[ID Item Vendido]],Agregado[ID],Agregado[Custo])*Vendas[[#This Row],[Qnt Vendida]])</f>
        <v>64</v>
      </c>
      <c r="K4357" s="70">
        <f>Vendas[[#This Row],[Lucro da Venda]]/Vendas[[#This Row],[Valor da Venda]]</f>
        <v>0.15094339622641509</v>
      </c>
      <c r="L4357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4357"/>
    </row>
    <row r="4358" spans="1:13" x14ac:dyDescent="0.3">
      <c r="A4358" s="7">
        <v>400242</v>
      </c>
      <c r="B4358" t="str">
        <f>_xlfn.XLOOKUP(Vendas[[#This Row],[ID Vendedor]],Vendedores[ID],Vendedores[Nome])</f>
        <v>Fernanda</v>
      </c>
      <c r="C4358" s="7" t="str">
        <f>_xlfn.XLOOKUP(Vendas[[#This Row],[ID Vendedor]],Vendedores[ID],Vendedores[Setor])</f>
        <v>FM</v>
      </c>
      <c r="D4358" s="7" t="s">
        <v>31</v>
      </c>
      <c r="E4358" t="str">
        <f>_xlfn.XLOOKUP(Vendas[[#This Row],[ID Item Vendido]],Agregado[ID],Agregado[Produto])</f>
        <v>Tela de metal soldada rolo 2x25m</v>
      </c>
      <c r="F4358" s="39">
        <v>45707</v>
      </c>
      <c r="G4358" s="7">
        <v>16</v>
      </c>
      <c r="H4358" s="3">
        <f>_xlfn.XLOOKUP(Vendas[[#This Row],[ID Item Vendido]],Agregado[ID],Agregado[Revenda])</f>
        <v>43.7</v>
      </c>
      <c r="I4358" s="3">
        <f>Vendas[[#This Row],[Valor Unitário]]*Vendas[[#This Row],[Qnt Vendida]]</f>
        <v>699.2</v>
      </c>
      <c r="J4358" s="3">
        <f>Vendas[[#This Row],[Valor da Venda]]-(_xlfn.XLOOKUP(Vendas[[#This Row],[ID Item Vendido]],Agregado[ID],Agregado[Custo])*Vendas[[#This Row],[Qnt Vendida]])</f>
        <v>91.200000000000045</v>
      </c>
      <c r="K4358" s="70">
        <f>Vendas[[#This Row],[Lucro da Venda]]/Vendas[[#This Row],[Valor da Venda]]</f>
        <v>0.1304347826086957</v>
      </c>
      <c r="L4358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4358"/>
    </row>
    <row r="4359" spans="1:13" x14ac:dyDescent="0.3">
      <c r="A4359" s="7">
        <v>400246</v>
      </c>
      <c r="B4359" t="str">
        <f>_xlfn.XLOOKUP(Vendas[[#This Row],[ID Vendedor]],Vendedores[ID],Vendedores[Nome])</f>
        <v>Juliana</v>
      </c>
      <c r="C4359" s="7" t="str">
        <f>_xlfn.XLOOKUP(Vendas[[#This Row],[ID Vendedor]],Vendedores[ID],Vendedores[Setor])</f>
        <v>AHD</v>
      </c>
      <c r="D4359" s="7" t="s">
        <v>9</v>
      </c>
      <c r="E4359" t="str">
        <f>_xlfn.XLOOKUP(Vendas[[#This Row],[ID Item Vendido]],Agregado[ID],Agregado[Produto])</f>
        <v>Barra de aço simples</v>
      </c>
      <c r="F4359" s="39">
        <v>45707</v>
      </c>
      <c r="G4359" s="7">
        <v>24</v>
      </c>
      <c r="H4359" s="3">
        <f>_xlfn.XLOOKUP(Vendas[[#This Row],[ID Item Vendido]],Agregado[ID],Agregado[Revenda])</f>
        <v>6.7</v>
      </c>
      <c r="I4359" s="3">
        <f>Vendas[[#This Row],[Valor Unitário]]*Vendas[[#This Row],[Qnt Vendida]]</f>
        <v>160.80000000000001</v>
      </c>
      <c r="J4359" s="3">
        <f>Vendas[[#This Row],[Valor da Venda]]-(_xlfn.XLOOKUP(Vendas[[#This Row],[ID Item Vendido]],Agregado[ID],Agregado[Custo])*Vendas[[#This Row],[Qnt Vendida]])</f>
        <v>21.600000000000023</v>
      </c>
      <c r="K4359" s="70">
        <f>Vendas[[#This Row],[Lucro da Venda]]/Vendas[[#This Row],[Valor da Venda]]</f>
        <v>0.13432835820895536</v>
      </c>
      <c r="L4359" s="3">
        <f>_xlfn.IFS(Vendas[[#This Row],[Margem de Lucro (%)]]&lt;15%,Vendas[[#This Row],[Valor da Venda]]*3%,Vendas[[#This Row],[Margem de Lucro (%)]]&lt;=20%,Vendas[[#This Row],[Valor da Venda]]*4.5%,TRUE,Vendas[[#This Row],[Valor da Venda]]*6%)</f>
        <v>4.8239999999999998</v>
      </c>
      <c r="M4359"/>
    </row>
    <row r="4360" spans="1:13" x14ac:dyDescent="0.3">
      <c r="A4360" s="7">
        <v>400246</v>
      </c>
      <c r="B4360" t="str">
        <f>_xlfn.XLOOKUP(Vendas[[#This Row],[ID Vendedor]],Vendedores[ID],Vendedores[Nome])</f>
        <v>Juliana</v>
      </c>
      <c r="C4360" s="7" t="str">
        <f>_xlfn.XLOOKUP(Vendas[[#This Row],[ID Vendedor]],Vendedores[ID],Vendedores[Setor])</f>
        <v>AHD</v>
      </c>
      <c r="D4360" s="7" t="s">
        <v>28</v>
      </c>
      <c r="E4360" t="str">
        <f>_xlfn.XLOOKUP(Vendas[[#This Row],[ID Item Vendido]],Agregado[ID],Agregado[Produto])</f>
        <v>Peça usinada CNC</v>
      </c>
      <c r="F4360" s="39">
        <v>45708</v>
      </c>
      <c r="G4360" s="7">
        <v>15</v>
      </c>
      <c r="H4360" s="3">
        <f>_xlfn.XLOOKUP(Vendas[[#This Row],[ID Item Vendido]],Agregado[ID],Agregado[Revenda])</f>
        <v>192</v>
      </c>
      <c r="I4360" s="3">
        <f>Vendas[[#This Row],[Valor Unitário]]*Vendas[[#This Row],[Qnt Vendida]]</f>
        <v>2880</v>
      </c>
      <c r="J4360" s="3">
        <f>Vendas[[#This Row],[Valor da Venda]]-(_xlfn.XLOOKUP(Vendas[[#This Row],[ID Item Vendido]],Agregado[ID],Agregado[Custo])*Vendas[[#This Row],[Qnt Vendida]])</f>
        <v>630</v>
      </c>
      <c r="K4360" s="70">
        <f>Vendas[[#This Row],[Lucro da Venda]]/Vendas[[#This Row],[Valor da Venda]]</f>
        <v>0.21875</v>
      </c>
      <c r="L4360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4360"/>
    </row>
    <row r="4361" spans="1:13" x14ac:dyDescent="0.3">
      <c r="A4361" s="7">
        <v>400246</v>
      </c>
      <c r="B4361" t="str">
        <f>_xlfn.XLOOKUP(Vendas[[#This Row],[ID Vendedor]],Vendedores[ID],Vendedores[Nome])</f>
        <v>Juliana</v>
      </c>
      <c r="C4361" s="7" t="str">
        <f>_xlfn.XLOOKUP(Vendas[[#This Row],[ID Vendedor]],Vendedores[ID],Vendedores[Setor])</f>
        <v>AHD</v>
      </c>
      <c r="D4361" s="7" t="s">
        <v>28</v>
      </c>
      <c r="E4361" t="str">
        <f>_xlfn.XLOOKUP(Vendas[[#This Row],[ID Item Vendido]],Agregado[ID],Agregado[Produto])</f>
        <v>Peça usinada CNC</v>
      </c>
      <c r="F4361" s="39">
        <v>45708</v>
      </c>
      <c r="G4361" s="7">
        <v>13</v>
      </c>
      <c r="H4361" s="3">
        <f>_xlfn.XLOOKUP(Vendas[[#This Row],[ID Item Vendido]],Agregado[ID],Agregado[Revenda])</f>
        <v>192</v>
      </c>
      <c r="I4361" s="3">
        <f>Vendas[[#This Row],[Valor Unitário]]*Vendas[[#This Row],[Qnt Vendida]]</f>
        <v>2496</v>
      </c>
      <c r="J4361" s="3">
        <f>Vendas[[#This Row],[Valor da Venda]]-(_xlfn.XLOOKUP(Vendas[[#This Row],[ID Item Vendido]],Agregado[ID],Agregado[Custo])*Vendas[[#This Row],[Qnt Vendida]])</f>
        <v>546</v>
      </c>
      <c r="K4361" s="70">
        <f>Vendas[[#This Row],[Lucro da Venda]]/Vendas[[#This Row],[Valor da Venda]]</f>
        <v>0.21875</v>
      </c>
      <c r="L4361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4361"/>
    </row>
    <row r="4362" spans="1:13" x14ac:dyDescent="0.3">
      <c r="A4362" s="7">
        <v>400253</v>
      </c>
      <c r="B4362" t="str">
        <f>_xlfn.XLOOKUP(Vendas[[#This Row],[ID Vendedor]],Vendedores[ID],Vendedores[Nome])</f>
        <v>Gustavo</v>
      </c>
      <c r="C4362" s="7" t="str">
        <f>_xlfn.XLOOKUP(Vendas[[#This Row],[ID Vendedor]],Vendedores[ID],Vendedores[Setor])</f>
        <v>SC</v>
      </c>
      <c r="D4362" s="7" t="s">
        <v>48</v>
      </c>
      <c r="E4362" t="str">
        <f>_xlfn.XLOOKUP(Vendas[[#This Row],[ID Item Vendido]],Agregado[ID],Agregado[Produto])</f>
        <v>Tambor metálico 200L</v>
      </c>
      <c r="F4362" s="39">
        <v>45708</v>
      </c>
      <c r="G4362" s="7">
        <v>8</v>
      </c>
      <c r="H4362" s="3">
        <f>_xlfn.XLOOKUP(Vendas[[#This Row],[ID Item Vendido]],Agregado[ID],Agregado[Revenda])</f>
        <v>144</v>
      </c>
      <c r="I4362" s="3">
        <f>Vendas[[#This Row],[Valor Unitário]]*Vendas[[#This Row],[Qnt Vendida]]</f>
        <v>1152</v>
      </c>
      <c r="J4362" s="3">
        <f>Vendas[[#This Row],[Valor da Venda]]-(_xlfn.XLOOKUP(Vendas[[#This Row],[ID Item Vendido]],Agregado[ID],Agregado[Custo])*Vendas[[#This Row],[Qnt Vendida]])</f>
        <v>192</v>
      </c>
      <c r="K4362" s="70">
        <f>Vendas[[#This Row],[Lucro da Venda]]/Vendas[[#This Row],[Valor da Venda]]</f>
        <v>0.16666666666666666</v>
      </c>
      <c r="L4362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4362"/>
    </row>
    <row r="4363" spans="1:13" x14ac:dyDescent="0.3">
      <c r="A4363" s="7">
        <v>400244</v>
      </c>
      <c r="B4363" t="str">
        <f>_xlfn.XLOOKUP(Vendas[[#This Row],[ID Vendedor]],Vendedores[ID],Vendedores[Nome])</f>
        <v>Camila</v>
      </c>
      <c r="C4363" s="7" t="str">
        <f>_xlfn.XLOOKUP(Vendas[[#This Row],[ID Vendedor]],Vendedores[ID],Vendedores[Setor])</f>
        <v>AHD</v>
      </c>
      <c r="D4363" s="7" t="s">
        <v>28</v>
      </c>
      <c r="E4363" t="str">
        <f>_xlfn.XLOOKUP(Vendas[[#This Row],[ID Item Vendido]],Agregado[ID],Agregado[Produto])</f>
        <v>Peça usinada CNC</v>
      </c>
      <c r="F4363" s="39">
        <v>45708</v>
      </c>
      <c r="G4363" s="7">
        <v>3</v>
      </c>
      <c r="H4363" s="3">
        <f>_xlfn.XLOOKUP(Vendas[[#This Row],[ID Item Vendido]],Agregado[ID],Agregado[Revenda])</f>
        <v>192</v>
      </c>
      <c r="I4363" s="3">
        <f>Vendas[[#This Row],[Valor Unitário]]*Vendas[[#This Row],[Qnt Vendida]]</f>
        <v>576</v>
      </c>
      <c r="J4363" s="3">
        <f>Vendas[[#This Row],[Valor da Venda]]-(_xlfn.XLOOKUP(Vendas[[#This Row],[ID Item Vendido]],Agregado[ID],Agregado[Custo])*Vendas[[#This Row],[Qnt Vendida]])</f>
        <v>126</v>
      </c>
      <c r="K4363" s="70">
        <f>Vendas[[#This Row],[Lucro da Venda]]/Vendas[[#This Row],[Valor da Venda]]</f>
        <v>0.21875</v>
      </c>
      <c r="L4363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4363"/>
    </row>
    <row r="4364" spans="1:13" x14ac:dyDescent="0.3">
      <c r="A4364" s="7">
        <v>400252</v>
      </c>
      <c r="B4364" t="str">
        <f>_xlfn.XLOOKUP(Vendas[[#This Row],[ID Vendedor]],Vendedores[ID],Vendedores[Nome])</f>
        <v>Renata</v>
      </c>
      <c r="C4364" s="7" t="str">
        <f>_xlfn.XLOOKUP(Vendas[[#This Row],[ID Vendedor]],Vendedores[ID],Vendedores[Setor])</f>
        <v>AB</v>
      </c>
      <c r="D4364" s="7" t="s">
        <v>36</v>
      </c>
      <c r="E4364" t="str">
        <f>_xlfn.XLOOKUP(Vendas[[#This Row],[ID Item Vendido]],Agregado[ID],Agregado[Produto])</f>
        <v>Borracha vulcanizada em manta</v>
      </c>
      <c r="F4364" s="39">
        <v>45708</v>
      </c>
      <c r="G4364" s="7">
        <v>50</v>
      </c>
      <c r="H4364" s="3">
        <f>_xlfn.XLOOKUP(Vendas[[#This Row],[ID Item Vendido]],Agregado[ID],Agregado[Revenda])</f>
        <v>7.8</v>
      </c>
      <c r="I4364" s="3">
        <f>Vendas[[#This Row],[Valor Unitário]]*Vendas[[#This Row],[Qnt Vendida]]</f>
        <v>390</v>
      </c>
      <c r="J4364" s="3">
        <f>Vendas[[#This Row],[Valor da Venda]]-(_xlfn.XLOOKUP(Vendas[[#This Row],[ID Item Vendido]],Agregado[ID],Agregado[Custo])*Vendas[[#This Row],[Qnt Vendida]])</f>
        <v>90</v>
      </c>
      <c r="K4364" s="70">
        <f>Vendas[[#This Row],[Lucro da Venda]]/Vendas[[#This Row],[Valor da Venda]]</f>
        <v>0.23076923076923078</v>
      </c>
      <c r="L4364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4364"/>
    </row>
    <row r="4365" spans="1:13" x14ac:dyDescent="0.3">
      <c r="A4365" s="7">
        <v>400243</v>
      </c>
      <c r="B4365" t="str">
        <f>_xlfn.XLOOKUP(Vendas[[#This Row],[ID Vendedor]],Vendedores[ID],Vendedores[Nome])</f>
        <v>Marcelo</v>
      </c>
      <c r="C4365" s="7" t="str">
        <f>_xlfn.XLOOKUP(Vendas[[#This Row],[ID Vendedor]],Vendedores[ID],Vendedores[Setor])</f>
        <v>FM</v>
      </c>
      <c r="D4365" s="7" t="s">
        <v>6</v>
      </c>
      <c r="E4365" t="str">
        <f>_xlfn.XLOOKUP(Vendas[[#This Row],[ID Item Vendido]],Agregado[ID],Agregado[Produto])</f>
        <v>Parafuso comum 500un</v>
      </c>
      <c r="F4365" s="39">
        <v>45708</v>
      </c>
      <c r="G4365" s="7">
        <v>9</v>
      </c>
      <c r="H4365" s="3">
        <f>_xlfn.XLOOKUP(Vendas[[#This Row],[ID Item Vendido]],Agregado[ID],Agregado[Revenda])</f>
        <v>24.6</v>
      </c>
      <c r="I4365" s="3">
        <f>Vendas[[#This Row],[Valor Unitário]]*Vendas[[#This Row],[Qnt Vendida]]</f>
        <v>221.4</v>
      </c>
      <c r="J4365" s="3">
        <f>Vendas[[#This Row],[Valor da Venda]]-(_xlfn.XLOOKUP(Vendas[[#This Row],[ID Item Vendido]],Agregado[ID],Agregado[Custo])*Vendas[[#This Row],[Qnt Vendida]])</f>
        <v>23.400000000000006</v>
      </c>
      <c r="K4365" s="70">
        <f>Vendas[[#This Row],[Lucro da Venda]]/Vendas[[#This Row],[Valor da Venda]]</f>
        <v>0.10569105691056913</v>
      </c>
      <c r="L4365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4365"/>
    </row>
    <row r="4366" spans="1:13" x14ac:dyDescent="0.3">
      <c r="A4366" s="7">
        <v>400252</v>
      </c>
      <c r="B4366" t="str">
        <f>_xlfn.XLOOKUP(Vendas[[#This Row],[ID Vendedor]],Vendedores[ID],Vendedores[Nome])</f>
        <v>Renata</v>
      </c>
      <c r="C4366" s="7" t="str">
        <f>_xlfn.XLOOKUP(Vendas[[#This Row],[ID Vendedor]],Vendedores[ID],Vendedores[Setor])</f>
        <v>AB</v>
      </c>
      <c r="D4366" s="7" t="s">
        <v>37</v>
      </c>
      <c r="E4366" t="str">
        <f>_xlfn.XLOOKUP(Vendas[[#This Row],[ID Item Vendido]],Agregado[ID],Agregado[Produto])</f>
        <v>Composto de borracha para vedação rolo 10m</v>
      </c>
      <c r="F4366" s="39">
        <v>45708</v>
      </c>
      <c r="G4366" s="7">
        <v>3</v>
      </c>
      <c r="H4366" s="3">
        <f>_xlfn.XLOOKUP(Vendas[[#This Row],[ID Item Vendido]],Agregado[ID],Agregado[Revenda])</f>
        <v>51.2</v>
      </c>
      <c r="I4366" s="3">
        <f>Vendas[[#This Row],[Valor Unitário]]*Vendas[[#This Row],[Qnt Vendida]]</f>
        <v>153.60000000000002</v>
      </c>
      <c r="J4366" s="3">
        <f>Vendas[[#This Row],[Valor da Venda]]-(_xlfn.XLOOKUP(Vendas[[#This Row],[ID Item Vendido]],Agregado[ID],Agregado[Custo])*Vendas[[#This Row],[Qnt Vendida]])</f>
        <v>33.600000000000023</v>
      </c>
      <c r="K4366" s="70">
        <f>Vendas[[#This Row],[Lucro da Venda]]/Vendas[[#This Row],[Valor da Venda]]</f>
        <v>0.21875000000000011</v>
      </c>
      <c r="L4366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4366"/>
    </row>
    <row r="4367" spans="1:13" x14ac:dyDescent="0.3">
      <c r="A4367" s="7">
        <v>400252</v>
      </c>
      <c r="B4367" t="str">
        <f>_xlfn.XLOOKUP(Vendas[[#This Row],[ID Vendedor]],Vendedores[ID],Vendedores[Nome])</f>
        <v>Renata</v>
      </c>
      <c r="C4367" s="7" t="str">
        <f>_xlfn.XLOOKUP(Vendas[[#This Row],[ID Vendedor]],Vendedores[ID],Vendedores[Setor])</f>
        <v>AB</v>
      </c>
      <c r="D4367" s="7" t="s">
        <v>24</v>
      </c>
      <c r="E4367" t="str">
        <f>_xlfn.XLOOKUP(Vendas[[#This Row],[ID Item Vendido]],Agregado[ID],Agregado[Produto])</f>
        <v>Resina plástica PET purificada saco de 25kg</v>
      </c>
      <c r="F4367" s="39">
        <v>45709</v>
      </c>
      <c r="G4367" s="7">
        <v>19</v>
      </c>
      <c r="H4367" s="3">
        <f>_xlfn.XLOOKUP(Vendas[[#This Row],[ID Item Vendido]],Agregado[ID],Agregado[Revenda])</f>
        <v>119</v>
      </c>
      <c r="I4367" s="3">
        <f>Vendas[[#This Row],[Valor Unitário]]*Vendas[[#This Row],[Qnt Vendida]]</f>
        <v>2261</v>
      </c>
      <c r="J4367" s="3">
        <f>Vendas[[#This Row],[Valor da Venda]]-(_xlfn.XLOOKUP(Vendas[[#This Row],[ID Item Vendido]],Agregado[ID],Agregado[Custo])*Vendas[[#This Row],[Qnt Vendida]])</f>
        <v>646</v>
      </c>
      <c r="K4367" s="70">
        <f>Vendas[[#This Row],[Lucro da Venda]]/Vendas[[#This Row],[Valor da Venda]]</f>
        <v>0.2857142857142857</v>
      </c>
      <c r="L4367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367"/>
    </row>
    <row r="4368" spans="1:13" x14ac:dyDescent="0.3">
      <c r="A4368" s="7">
        <v>400244</v>
      </c>
      <c r="B4368" t="str">
        <f>_xlfn.XLOOKUP(Vendas[[#This Row],[ID Vendedor]],Vendedores[ID],Vendedores[Nome])</f>
        <v>Camila</v>
      </c>
      <c r="C4368" s="7" t="str">
        <f>_xlfn.XLOOKUP(Vendas[[#This Row],[ID Vendedor]],Vendedores[ID],Vendedores[Setor])</f>
        <v>AHD</v>
      </c>
      <c r="D4368" s="7" t="s">
        <v>9</v>
      </c>
      <c r="E4368" t="str">
        <f>_xlfn.XLOOKUP(Vendas[[#This Row],[ID Item Vendido]],Agregado[ID],Agregado[Produto])</f>
        <v>Barra de aço simples</v>
      </c>
      <c r="F4368" s="39">
        <v>45709</v>
      </c>
      <c r="G4368" s="7">
        <v>68</v>
      </c>
      <c r="H4368" s="3">
        <f>_xlfn.XLOOKUP(Vendas[[#This Row],[ID Item Vendido]],Agregado[ID],Agregado[Revenda])</f>
        <v>6.7</v>
      </c>
      <c r="I4368" s="3">
        <f>Vendas[[#This Row],[Valor Unitário]]*Vendas[[#This Row],[Qnt Vendida]]</f>
        <v>455.6</v>
      </c>
      <c r="J4368" s="3">
        <f>Vendas[[#This Row],[Valor da Venda]]-(_xlfn.XLOOKUP(Vendas[[#This Row],[ID Item Vendido]],Agregado[ID],Agregado[Custo])*Vendas[[#This Row],[Qnt Vendida]])</f>
        <v>61.200000000000045</v>
      </c>
      <c r="K4368" s="70">
        <f>Vendas[[#This Row],[Lucro da Venda]]/Vendas[[#This Row],[Valor da Venda]]</f>
        <v>0.13432835820895531</v>
      </c>
      <c r="L4368" s="3">
        <f>_xlfn.IFS(Vendas[[#This Row],[Margem de Lucro (%)]]&lt;15%,Vendas[[#This Row],[Valor da Venda]]*3%,Vendas[[#This Row],[Margem de Lucro (%)]]&lt;=20%,Vendas[[#This Row],[Valor da Venda]]*4.5%,TRUE,Vendas[[#This Row],[Valor da Venda]]*6%)</f>
        <v>13.668000000000001</v>
      </c>
      <c r="M4368"/>
    </row>
    <row r="4369" spans="1:13" x14ac:dyDescent="0.3">
      <c r="A4369" s="7">
        <v>400250</v>
      </c>
      <c r="B4369" t="str">
        <f>_xlfn.XLOOKUP(Vendas[[#This Row],[ID Vendedor]],Vendedores[ID],Vendedores[Nome])</f>
        <v>Larissa</v>
      </c>
      <c r="C4369" s="7" t="str">
        <f>_xlfn.XLOOKUP(Vendas[[#This Row],[ID Vendedor]],Vendedores[ID],Vendedores[Setor])</f>
        <v>AB</v>
      </c>
      <c r="D4369" s="7" t="s">
        <v>24</v>
      </c>
      <c r="E4369" t="str">
        <f>_xlfn.XLOOKUP(Vendas[[#This Row],[ID Item Vendido]],Agregado[ID],Agregado[Produto])</f>
        <v>Resina plástica PET purificada saco de 25kg</v>
      </c>
      <c r="F4369" s="39">
        <v>45710</v>
      </c>
      <c r="G4369" s="7">
        <v>7</v>
      </c>
      <c r="H4369" s="3">
        <f>_xlfn.XLOOKUP(Vendas[[#This Row],[ID Item Vendido]],Agregado[ID],Agregado[Revenda])</f>
        <v>119</v>
      </c>
      <c r="I4369" s="3">
        <f>Vendas[[#This Row],[Valor Unitário]]*Vendas[[#This Row],[Qnt Vendida]]</f>
        <v>833</v>
      </c>
      <c r="J4369" s="3">
        <f>Vendas[[#This Row],[Valor da Venda]]-(_xlfn.XLOOKUP(Vendas[[#This Row],[ID Item Vendido]],Agregado[ID],Agregado[Custo])*Vendas[[#This Row],[Qnt Vendida]])</f>
        <v>238</v>
      </c>
      <c r="K4369" s="70">
        <f>Vendas[[#This Row],[Lucro da Venda]]/Vendas[[#This Row],[Valor da Venda]]</f>
        <v>0.2857142857142857</v>
      </c>
      <c r="L4369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4369"/>
    </row>
    <row r="4370" spans="1:13" x14ac:dyDescent="0.3">
      <c r="A4370" s="7">
        <v>400247</v>
      </c>
      <c r="B4370" t="str">
        <f>_xlfn.XLOOKUP(Vendas[[#This Row],[ID Vendedor]],Vendedores[ID],Vendedores[Nome])</f>
        <v>André</v>
      </c>
      <c r="C4370" s="7" t="str">
        <f>_xlfn.XLOOKUP(Vendas[[#This Row],[ID Vendedor]],Vendedores[ID],Vendedores[Setor])</f>
        <v>CM</v>
      </c>
      <c r="D4370" s="7" t="s">
        <v>45</v>
      </c>
      <c r="E4370" t="str">
        <f>_xlfn.XLOOKUP(Vendas[[#This Row],[ID Item Vendido]],Agregado[ID],Agregado[Produto])</f>
        <v>Viga de madeira tratada 4m</v>
      </c>
      <c r="F4370" s="39">
        <v>45710</v>
      </c>
      <c r="G4370" s="7">
        <v>10</v>
      </c>
      <c r="H4370" s="3">
        <f>_xlfn.XLOOKUP(Vendas[[#This Row],[ID Item Vendido]],Agregado[ID],Agregado[Revenda])</f>
        <v>66</v>
      </c>
      <c r="I4370" s="3">
        <f>Vendas[[#This Row],[Valor Unitário]]*Vendas[[#This Row],[Qnt Vendida]]</f>
        <v>660</v>
      </c>
      <c r="J4370" s="3">
        <f>Vendas[[#This Row],[Valor da Venda]]-(_xlfn.XLOOKUP(Vendas[[#This Row],[ID Item Vendido]],Agregado[ID],Agregado[Custo])*Vendas[[#This Row],[Qnt Vendida]])</f>
        <v>110</v>
      </c>
      <c r="K4370" s="70">
        <f>Vendas[[#This Row],[Lucro da Venda]]/Vendas[[#This Row],[Valor da Venda]]</f>
        <v>0.16666666666666666</v>
      </c>
      <c r="L4370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4370"/>
    </row>
    <row r="4371" spans="1:13" x14ac:dyDescent="0.3">
      <c r="A4371" s="7">
        <v>400250</v>
      </c>
      <c r="B4371" t="str">
        <f>_xlfn.XLOOKUP(Vendas[[#This Row],[ID Vendedor]],Vendedores[ID],Vendedores[Nome])</f>
        <v>Larissa</v>
      </c>
      <c r="C4371" s="7" t="str">
        <f>_xlfn.XLOOKUP(Vendas[[#This Row],[ID Vendedor]],Vendedores[ID],Vendedores[Setor])</f>
        <v>AB</v>
      </c>
      <c r="D4371" s="7" t="s">
        <v>12</v>
      </c>
      <c r="E4371" t="str">
        <f>_xlfn.XLOOKUP(Vendas[[#This Row],[ID Item Vendido]],Agregado[ID],Agregado[Produto])</f>
        <v>Grânulo de plástico reciclado refinado</v>
      </c>
      <c r="F4371" s="39">
        <v>45710</v>
      </c>
      <c r="G4371" s="7">
        <v>120</v>
      </c>
      <c r="H4371" s="3">
        <f>_xlfn.XLOOKUP(Vendas[[#This Row],[ID Item Vendido]],Agregado[ID],Agregado[Revenda])</f>
        <v>4.7</v>
      </c>
      <c r="I4371" s="3">
        <f>Vendas[[#This Row],[Valor Unitário]]*Vendas[[#This Row],[Qnt Vendida]]</f>
        <v>564</v>
      </c>
      <c r="J4371" s="3">
        <f>Vendas[[#This Row],[Valor da Venda]]-(_xlfn.XLOOKUP(Vendas[[#This Row],[ID Item Vendido]],Agregado[ID],Agregado[Custo])*Vendas[[#This Row],[Qnt Vendida]])</f>
        <v>144</v>
      </c>
      <c r="K4371" s="70">
        <f>Vendas[[#This Row],[Lucro da Venda]]/Vendas[[#This Row],[Valor da Venda]]</f>
        <v>0.25531914893617019</v>
      </c>
      <c r="L4371" s="3">
        <f>_xlfn.IFS(Vendas[[#This Row],[Margem de Lucro (%)]]&lt;15%,Vendas[[#This Row],[Valor da Venda]]*3%,Vendas[[#This Row],[Margem de Lucro (%)]]&lt;=20%,Vendas[[#This Row],[Valor da Venda]]*4.5%,TRUE,Vendas[[#This Row],[Valor da Venda]]*6%)</f>
        <v>33.839999999999996</v>
      </c>
      <c r="M4371"/>
    </row>
    <row r="4372" spans="1:13" x14ac:dyDescent="0.3">
      <c r="A4372" s="7">
        <v>400245</v>
      </c>
      <c r="B4372" t="str">
        <f>_xlfn.XLOOKUP(Vendas[[#This Row],[ID Vendedor]],Vendedores[ID],Vendedores[Nome])</f>
        <v>Thiago</v>
      </c>
      <c r="C4372" s="7" t="str">
        <f>_xlfn.XLOOKUP(Vendas[[#This Row],[ID Vendedor]],Vendedores[ID],Vendedores[Setor])</f>
        <v>AHD</v>
      </c>
      <c r="D4372" s="7" t="s">
        <v>18</v>
      </c>
      <c r="E4372" t="str">
        <f>_xlfn.XLOOKUP(Vendas[[#This Row],[ID Item Vendido]],Agregado[ID],Agregado[Produto])</f>
        <v>Peça forjada sob encomenda</v>
      </c>
      <c r="F4372" s="39">
        <v>45711</v>
      </c>
      <c r="G4372" s="7">
        <v>4</v>
      </c>
      <c r="H4372" s="3">
        <f>_xlfn.XLOOKUP(Vendas[[#This Row],[ID Item Vendido]],Agregado[ID],Agregado[Revenda])</f>
        <v>264.60000000000002</v>
      </c>
      <c r="I4372" s="3">
        <f>Vendas[[#This Row],[Valor Unitário]]*Vendas[[#This Row],[Qnt Vendida]]</f>
        <v>1058.4000000000001</v>
      </c>
      <c r="J4372" s="3">
        <f>Vendas[[#This Row],[Valor da Venda]]-(_xlfn.XLOOKUP(Vendas[[#This Row],[ID Item Vendido]],Agregado[ID],Agregado[Custo])*Vendas[[#This Row],[Qnt Vendida]])</f>
        <v>58.400000000000091</v>
      </c>
      <c r="K4372" s="70">
        <f>Vendas[[#This Row],[Lucro da Venda]]/Vendas[[#This Row],[Valor da Venda]]</f>
        <v>5.5177626606198113E-2</v>
      </c>
      <c r="L4372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4372"/>
    </row>
    <row r="4373" spans="1:13" x14ac:dyDescent="0.3">
      <c r="A4373" s="7">
        <v>400252</v>
      </c>
      <c r="B4373" t="str">
        <f>_xlfn.XLOOKUP(Vendas[[#This Row],[ID Vendedor]],Vendedores[ID],Vendedores[Nome])</f>
        <v>Renata</v>
      </c>
      <c r="C4373" s="7" t="str">
        <f>_xlfn.XLOOKUP(Vendas[[#This Row],[ID Vendedor]],Vendedores[ID],Vendedores[Setor])</f>
        <v>AB</v>
      </c>
      <c r="D4373" s="7" t="s">
        <v>37</v>
      </c>
      <c r="E4373" t="str">
        <f>_xlfn.XLOOKUP(Vendas[[#This Row],[ID Item Vendido]],Agregado[ID],Agregado[Produto])</f>
        <v>Composto de borracha para vedação rolo 10m</v>
      </c>
      <c r="F4373" s="39">
        <v>45712</v>
      </c>
      <c r="G4373" s="7">
        <v>13</v>
      </c>
      <c r="H4373" s="3">
        <f>_xlfn.XLOOKUP(Vendas[[#This Row],[ID Item Vendido]],Agregado[ID],Agregado[Revenda])</f>
        <v>51.2</v>
      </c>
      <c r="I4373" s="3">
        <f>Vendas[[#This Row],[Valor Unitário]]*Vendas[[#This Row],[Qnt Vendida]]</f>
        <v>665.6</v>
      </c>
      <c r="J4373" s="3">
        <f>Vendas[[#This Row],[Valor da Venda]]-(_xlfn.XLOOKUP(Vendas[[#This Row],[ID Item Vendido]],Agregado[ID],Agregado[Custo])*Vendas[[#This Row],[Qnt Vendida]])</f>
        <v>145.60000000000002</v>
      </c>
      <c r="K4373" s="70">
        <f>Vendas[[#This Row],[Lucro da Venda]]/Vendas[[#This Row],[Valor da Venda]]</f>
        <v>0.21875000000000003</v>
      </c>
      <c r="L4373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4373"/>
    </row>
    <row r="4374" spans="1:13" x14ac:dyDescent="0.3">
      <c r="A4374" s="7">
        <v>400251</v>
      </c>
      <c r="B4374" t="str">
        <f>_xlfn.XLOOKUP(Vendas[[#This Row],[ID Vendedor]],Vendedores[ID],Vendedores[Nome])</f>
        <v>Diego</v>
      </c>
      <c r="C4374" s="7" t="str">
        <f>_xlfn.XLOOKUP(Vendas[[#This Row],[ID Vendedor]],Vendedores[ID],Vendedores[Setor])</f>
        <v>AB</v>
      </c>
      <c r="D4374" s="7" t="s">
        <v>37</v>
      </c>
      <c r="E4374" t="str">
        <f>_xlfn.XLOOKUP(Vendas[[#This Row],[ID Item Vendido]],Agregado[ID],Agregado[Produto])</f>
        <v>Composto de borracha para vedação rolo 10m</v>
      </c>
      <c r="F4374" s="39">
        <v>45713</v>
      </c>
      <c r="G4374" s="7">
        <v>9</v>
      </c>
      <c r="H4374" s="3">
        <f>_xlfn.XLOOKUP(Vendas[[#This Row],[ID Item Vendido]],Agregado[ID],Agregado[Revenda])</f>
        <v>51.2</v>
      </c>
      <c r="I4374" s="3">
        <f>Vendas[[#This Row],[Valor Unitário]]*Vendas[[#This Row],[Qnt Vendida]]</f>
        <v>460.8</v>
      </c>
      <c r="J4374" s="3">
        <f>Vendas[[#This Row],[Valor da Venda]]-(_xlfn.XLOOKUP(Vendas[[#This Row],[ID Item Vendido]],Agregado[ID],Agregado[Custo])*Vendas[[#This Row],[Qnt Vendida]])</f>
        <v>100.80000000000001</v>
      </c>
      <c r="K4374" s="70">
        <f>Vendas[[#This Row],[Lucro da Venda]]/Vendas[[#This Row],[Valor da Venda]]</f>
        <v>0.21875000000000003</v>
      </c>
      <c r="L4374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4374"/>
    </row>
    <row r="4375" spans="1:13" x14ac:dyDescent="0.3">
      <c r="A4375" s="7">
        <v>400255</v>
      </c>
      <c r="B4375" t="str">
        <f>_xlfn.XLOOKUP(Vendas[[#This Row],[ID Vendedor]],Vendedores[ID],Vendedores[Nome])</f>
        <v>Carlos</v>
      </c>
      <c r="C4375" s="7" t="str">
        <f>_xlfn.XLOOKUP(Vendas[[#This Row],[ID Vendedor]],Vendedores[ID],Vendedores[Setor])</f>
        <v>SC</v>
      </c>
      <c r="D4375" s="7" t="s">
        <v>48</v>
      </c>
      <c r="E4375" t="str">
        <f>_xlfn.XLOOKUP(Vendas[[#This Row],[ID Item Vendido]],Agregado[ID],Agregado[Produto])</f>
        <v>Tambor metálico 200L</v>
      </c>
      <c r="F4375" s="39">
        <v>45714</v>
      </c>
      <c r="G4375" s="7">
        <v>9</v>
      </c>
      <c r="H4375" s="3">
        <f>_xlfn.XLOOKUP(Vendas[[#This Row],[ID Item Vendido]],Agregado[ID],Agregado[Revenda])</f>
        <v>144</v>
      </c>
      <c r="I4375" s="3">
        <f>Vendas[[#This Row],[Valor Unitário]]*Vendas[[#This Row],[Qnt Vendida]]</f>
        <v>1296</v>
      </c>
      <c r="J4375" s="3">
        <f>Vendas[[#This Row],[Valor da Venda]]-(_xlfn.XLOOKUP(Vendas[[#This Row],[ID Item Vendido]],Agregado[ID],Agregado[Custo])*Vendas[[#This Row],[Qnt Vendida]])</f>
        <v>216</v>
      </c>
      <c r="K4375" s="70">
        <f>Vendas[[#This Row],[Lucro da Venda]]/Vendas[[#This Row],[Valor da Venda]]</f>
        <v>0.16666666666666666</v>
      </c>
      <c r="L4375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375"/>
    </row>
    <row r="4376" spans="1:13" x14ac:dyDescent="0.3">
      <c r="A4376" s="7">
        <v>400249</v>
      </c>
      <c r="B4376" t="str">
        <f>_xlfn.XLOOKUP(Vendas[[#This Row],[ID Vendedor]],Vendedores[ID],Vendedores[Nome])</f>
        <v>Bruno</v>
      </c>
      <c r="C4376" s="7" t="str">
        <f>_xlfn.XLOOKUP(Vendas[[#This Row],[ID Vendedor]],Vendedores[ID],Vendedores[Setor])</f>
        <v>CM</v>
      </c>
      <c r="D4376" s="7" t="s">
        <v>32</v>
      </c>
      <c r="E4376" t="str">
        <f>_xlfn.XLOOKUP(Vendas[[#This Row],[ID Item Vendido]],Agregado[ID],Agregado[Produto])</f>
        <v>Tábua tratada e cortada 3m</v>
      </c>
      <c r="F4376" s="39">
        <v>45714</v>
      </c>
      <c r="G4376" s="7">
        <v>28</v>
      </c>
      <c r="H4376" s="3">
        <f>_xlfn.XLOOKUP(Vendas[[#This Row],[ID Item Vendido]],Agregado[ID],Agregado[Revenda])</f>
        <v>39</v>
      </c>
      <c r="I4376" s="3">
        <f>Vendas[[#This Row],[Valor Unitário]]*Vendas[[#This Row],[Qnt Vendida]]</f>
        <v>1092</v>
      </c>
      <c r="J4376" s="3">
        <f>Vendas[[#This Row],[Valor da Venda]]-(_xlfn.XLOOKUP(Vendas[[#This Row],[ID Item Vendido]],Agregado[ID],Agregado[Custo])*Vendas[[#This Row],[Qnt Vendida]])</f>
        <v>196</v>
      </c>
      <c r="K4376" s="70">
        <f>Vendas[[#This Row],[Lucro da Venda]]/Vendas[[#This Row],[Valor da Venda]]</f>
        <v>0.17948717948717949</v>
      </c>
      <c r="L4376" s="3">
        <f>_xlfn.IFS(Vendas[[#This Row],[Margem de Lucro (%)]]&lt;15%,Vendas[[#This Row],[Valor da Venda]]*3%,Vendas[[#This Row],[Margem de Lucro (%)]]&lt;=20%,Vendas[[#This Row],[Valor da Venda]]*4.5%,TRUE,Vendas[[#This Row],[Valor da Venda]]*6%)</f>
        <v>49.14</v>
      </c>
      <c r="M4376"/>
    </row>
    <row r="4377" spans="1:13" x14ac:dyDescent="0.3">
      <c r="A4377" s="7">
        <v>400244</v>
      </c>
      <c r="B4377" t="str">
        <f>_xlfn.XLOOKUP(Vendas[[#This Row],[ID Vendedor]],Vendedores[ID],Vendedores[Nome])</f>
        <v>Camila</v>
      </c>
      <c r="C4377" s="7" t="str">
        <f>_xlfn.XLOOKUP(Vendas[[#This Row],[ID Vendedor]],Vendedores[ID],Vendedores[Setor])</f>
        <v>AHD</v>
      </c>
      <c r="D4377" s="7" t="s">
        <v>9</v>
      </c>
      <c r="E4377" t="str">
        <f>_xlfn.XLOOKUP(Vendas[[#This Row],[ID Item Vendido]],Agregado[ID],Agregado[Produto])</f>
        <v>Barra de aço simples</v>
      </c>
      <c r="F4377" s="39">
        <v>45714</v>
      </c>
      <c r="G4377" s="7">
        <v>143</v>
      </c>
      <c r="H4377" s="3">
        <f>_xlfn.XLOOKUP(Vendas[[#This Row],[ID Item Vendido]],Agregado[ID],Agregado[Revenda])</f>
        <v>6.7</v>
      </c>
      <c r="I4377" s="3">
        <f>Vendas[[#This Row],[Valor Unitário]]*Vendas[[#This Row],[Qnt Vendida]]</f>
        <v>958.1</v>
      </c>
      <c r="J4377" s="3">
        <f>Vendas[[#This Row],[Valor da Venda]]-(_xlfn.XLOOKUP(Vendas[[#This Row],[ID Item Vendido]],Agregado[ID],Agregado[Custo])*Vendas[[#This Row],[Qnt Vendida]])</f>
        <v>128.70000000000005</v>
      </c>
      <c r="K4377" s="70">
        <f>Vendas[[#This Row],[Lucro da Venda]]/Vendas[[#This Row],[Valor da Venda]]</f>
        <v>0.13432835820895528</v>
      </c>
      <c r="L4377" s="3">
        <f>_xlfn.IFS(Vendas[[#This Row],[Margem de Lucro (%)]]&lt;15%,Vendas[[#This Row],[Valor da Venda]]*3%,Vendas[[#This Row],[Margem de Lucro (%)]]&lt;=20%,Vendas[[#This Row],[Valor da Venda]]*4.5%,TRUE,Vendas[[#This Row],[Valor da Venda]]*6%)</f>
        <v>28.742999999999999</v>
      </c>
      <c r="M4377"/>
    </row>
    <row r="4378" spans="1:13" x14ac:dyDescent="0.3">
      <c r="A4378" s="7">
        <v>400251</v>
      </c>
      <c r="B4378" t="str">
        <f>_xlfn.XLOOKUP(Vendas[[#This Row],[ID Vendedor]],Vendedores[ID],Vendedores[Nome])</f>
        <v>Diego</v>
      </c>
      <c r="C4378" s="7" t="str">
        <f>_xlfn.XLOOKUP(Vendas[[#This Row],[ID Vendedor]],Vendedores[ID],Vendedores[Setor])</f>
        <v>AB</v>
      </c>
      <c r="D4378" s="7" t="s">
        <v>39</v>
      </c>
      <c r="E4378" t="str">
        <f>_xlfn.XLOOKUP(Vendas[[#This Row],[ID Item Vendido]],Agregado[ID],Agregado[Produto])</f>
        <v>Filme plástico industrial rolo 50m</v>
      </c>
      <c r="F4378" s="39">
        <v>45714</v>
      </c>
      <c r="G4378" s="7">
        <v>15</v>
      </c>
      <c r="H4378" s="3">
        <f>_xlfn.XLOOKUP(Vendas[[#This Row],[ID Item Vendido]],Agregado[ID],Agregado[Revenda])</f>
        <v>37</v>
      </c>
      <c r="I4378" s="3">
        <f>Vendas[[#This Row],[Valor Unitário]]*Vendas[[#This Row],[Qnt Vendida]]</f>
        <v>555</v>
      </c>
      <c r="J4378" s="3">
        <f>Vendas[[#This Row],[Valor da Venda]]-(_xlfn.XLOOKUP(Vendas[[#This Row],[ID Item Vendido]],Agregado[ID],Agregado[Custo])*Vendas[[#This Row],[Qnt Vendida]])</f>
        <v>135</v>
      </c>
      <c r="K4378" s="70">
        <f>Vendas[[#This Row],[Lucro da Venda]]/Vendas[[#This Row],[Valor da Venda]]</f>
        <v>0.24324324324324326</v>
      </c>
      <c r="L4378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4378"/>
    </row>
    <row r="4379" spans="1:13" x14ac:dyDescent="0.3">
      <c r="A4379" s="7">
        <v>400243</v>
      </c>
      <c r="B4379" t="str">
        <f>_xlfn.XLOOKUP(Vendas[[#This Row],[ID Vendedor]],Vendedores[ID],Vendedores[Nome])</f>
        <v>Marcelo</v>
      </c>
      <c r="C4379" s="7" t="str">
        <f>_xlfn.XLOOKUP(Vendas[[#This Row],[ID Vendedor]],Vendedores[ID],Vendedores[Setor])</f>
        <v>FM</v>
      </c>
      <c r="D4379" s="7" t="s">
        <v>47</v>
      </c>
      <c r="E4379" t="str">
        <f>_xlfn.XLOOKUP(Vendas[[#This Row],[ID Item Vendido]],Agregado[ID],Agregado[Produto])</f>
        <v>Fio de arame galvanizado rolo 50m</v>
      </c>
      <c r="F4379" s="39">
        <v>45714</v>
      </c>
      <c r="G4379" s="7">
        <v>4</v>
      </c>
      <c r="H4379" s="3">
        <f>_xlfn.XLOOKUP(Vendas[[#This Row],[ID Item Vendido]],Agregado[ID],Agregado[Revenda])</f>
        <v>21.2</v>
      </c>
      <c r="I4379" s="3">
        <f>Vendas[[#This Row],[Valor Unitário]]*Vendas[[#This Row],[Qnt Vendida]]</f>
        <v>84.8</v>
      </c>
      <c r="J4379" s="3">
        <f>Vendas[[#This Row],[Valor da Venda]]-(_xlfn.XLOOKUP(Vendas[[#This Row],[ID Item Vendido]],Agregado[ID],Agregado[Custo])*Vendas[[#This Row],[Qnt Vendida]])</f>
        <v>12.799999999999997</v>
      </c>
      <c r="K4379" s="70">
        <f>Vendas[[#This Row],[Lucro da Venda]]/Vendas[[#This Row],[Valor da Venda]]</f>
        <v>0.15094339622641506</v>
      </c>
      <c r="L4379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4379"/>
    </row>
    <row r="4380" spans="1:13" x14ac:dyDescent="0.3">
      <c r="A4380" s="7">
        <v>400244</v>
      </c>
      <c r="B4380" t="str">
        <f>_xlfn.XLOOKUP(Vendas[[#This Row],[ID Vendedor]],Vendedores[ID],Vendedores[Nome])</f>
        <v>Camila</v>
      </c>
      <c r="C4380" s="7" t="str">
        <f>_xlfn.XLOOKUP(Vendas[[#This Row],[ID Vendedor]],Vendedores[ID],Vendedores[Setor])</f>
        <v>AHD</v>
      </c>
      <c r="D4380" s="7" t="s">
        <v>18</v>
      </c>
      <c r="E4380" t="str">
        <f>_xlfn.XLOOKUP(Vendas[[#This Row],[ID Item Vendido]],Agregado[ID],Agregado[Produto])</f>
        <v>Peça forjada sob encomenda</v>
      </c>
      <c r="F4380" s="39">
        <v>45715</v>
      </c>
      <c r="G4380" s="7">
        <v>6</v>
      </c>
      <c r="H4380" s="3">
        <f>_xlfn.XLOOKUP(Vendas[[#This Row],[ID Item Vendido]],Agregado[ID],Agregado[Revenda])</f>
        <v>264.60000000000002</v>
      </c>
      <c r="I4380" s="3">
        <f>Vendas[[#This Row],[Valor Unitário]]*Vendas[[#This Row],[Qnt Vendida]]</f>
        <v>1587.6000000000001</v>
      </c>
      <c r="J4380" s="3">
        <f>Vendas[[#This Row],[Valor da Venda]]-(_xlfn.XLOOKUP(Vendas[[#This Row],[ID Item Vendido]],Agregado[ID],Agregado[Custo])*Vendas[[#This Row],[Qnt Vendida]])</f>
        <v>87.600000000000136</v>
      </c>
      <c r="K4380" s="70">
        <f>Vendas[[#This Row],[Lucro da Venda]]/Vendas[[#This Row],[Valor da Venda]]</f>
        <v>5.5177626606198113E-2</v>
      </c>
      <c r="L4380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380"/>
    </row>
    <row r="4381" spans="1:13" x14ac:dyDescent="0.3">
      <c r="A4381" s="7">
        <v>400242</v>
      </c>
      <c r="B4381" t="str">
        <f>_xlfn.XLOOKUP(Vendas[[#This Row],[ID Vendedor]],Vendedores[ID],Vendedores[Nome])</f>
        <v>Fernanda</v>
      </c>
      <c r="C4381" s="7" t="str">
        <f>_xlfn.XLOOKUP(Vendas[[#This Row],[ID Vendedor]],Vendedores[ID],Vendedores[Setor])</f>
        <v>FM</v>
      </c>
      <c r="D4381" s="7" t="s">
        <v>47</v>
      </c>
      <c r="E4381" t="str">
        <f>_xlfn.XLOOKUP(Vendas[[#This Row],[ID Item Vendido]],Agregado[ID],Agregado[Produto])</f>
        <v>Fio de arame galvanizado rolo 50m</v>
      </c>
      <c r="F4381" s="39">
        <v>45715</v>
      </c>
      <c r="G4381" s="7">
        <v>6</v>
      </c>
      <c r="H4381" s="3">
        <f>_xlfn.XLOOKUP(Vendas[[#This Row],[ID Item Vendido]],Agregado[ID],Agregado[Revenda])</f>
        <v>21.2</v>
      </c>
      <c r="I4381" s="3">
        <f>Vendas[[#This Row],[Valor Unitário]]*Vendas[[#This Row],[Qnt Vendida]]</f>
        <v>127.19999999999999</v>
      </c>
      <c r="J4381" s="3">
        <f>Vendas[[#This Row],[Valor da Venda]]-(_xlfn.XLOOKUP(Vendas[[#This Row],[ID Item Vendido]],Agregado[ID],Agregado[Custo])*Vendas[[#This Row],[Qnt Vendida]])</f>
        <v>19.199999999999989</v>
      </c>
      <c r="K4381" s="70">
        <f>Vendas[[#This Row],[Lucro da Venda]]/Vendas[[#This Row],[Valor da Venda]]</f>
        <v>0.15094339622641501</v>
      </c>
      <c r="L4381" s="3">
        <f>_xlfn.IFS(Vendas[[#This Row],[Margem de Lucro (%)]]&lt;15%,Vendas[[#This Row],[Valor da Venda]]*3%,Vendas[[#This Row],[Margem de Lucro (%)]]&lt;=20%,Vendas[[#This Row],[Valor da Venda]]*4.5%,TRUE,Vendas[[#This Row],[Valor da Venda]]*6%)</f>
        <v>5.7239999999999993</v>
      </c>
      <c r="M4381"/>
    </row>
    <row r="4382" spans="1:13" x14ac:dyDescent="0.3">
      <c r="A4382" s="7">
        <v>400244</v>
      </c>
      <c r="B4382" t="str">
        <f>_xlfn.XLOOKUP(Vendas[[#This Row],[ID Vendedor]],Vendedores[ID],Vendedores[Nome])</f>
        <v>Camila</v>
      </c>
      <c r="C4382" s="7" t="str">
        <f>_xlfn.XLOOKUP(Vendas[[#This Row],[ID Vendedor]],Vendedores[ID],Vendedores[Setor])</f>
        <v>AHD</v>
      </c>
      <c r="D4382" s="7" t="s">
        <v>18</v>
      </c>
      <c r="E4382" t="str">
        <f>_xlfn.XLOOKUP(Vendas[[#This Row],[ID Item Vendido]],Agregado[ID],Agregado[Produto])</f>
        <v>Peça forjada sob encomenda</v>
      </c>
      <c r="F4382" s="39">
        <v>45716</v>
      </c>
      <c r="G4382" s="7">
        <v>3</v>
      </c>
      <c r="H4382" s="3">
        <f>_xlfn.XLOOKUP(Vendas[[#This Row],[ID Item Vendido]],Agregado[ID],Agregado[Revenda])</f>
        <v>264.60000000000002</v>
      </c>
      <c r="I4382" s="3">
        <f>Vendas[[#This Row],[Valor Unitário]]*Vendas[[#This Row],[Qnt Vendida]]</f>
        <v>793.80000000000007</v>
      </c>
      <c r="J4382" s="3">
        <f>Vendas[[#This Row],[Valor da Venda]]-(_xlfn.XLOOKUP(Vendas[[#This Row],[ID Item Vendido]],Agregado[ID],Agregado[Custo])*Vendas[[#This Row],[Qnt Vendida]])</f>
        <v>43.800000000000068</v>
      </c>
      <c r="K4382" s="70">
        <f>Vendas[[#This Row],[Lucro da Venda]]/Vendas[[#This Row],[Valor da Venda]]</f>
        <v>5.5177626606198113E-2</v>
      </c>
      <c r="L4382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382"/>
    </row>
    <row r="4383" spans="1:13" x14ac:dyDescent="0.3">
      <c r="A4383" s="7">
        <v>400252</v>
      </c>
      <c r="B4383" t="str">
        <f>_xlfn.XLOOKUP(Vendas[[#This Row],[ID Vendedor]],Vendedores[ID],Vendedores[Nome])</f>
        <v>Renata</v>
      </c>
      <c r="C4383" s="7" t="str">
        <f>_xlfn.XLOOKUP(Vendas[[#This Row],[ID Vendedor]],Vendedores[ID],Vendedores[Setor])</f>
        <v>AB</v>
      </c>
      <c r="D4383" s="7" t="s">
        <v>12</v>
      </c>
      <c r="E4383" t="str">
        <f>_xlfn.XLOOKUP(Vendas[[#This Row],[ID Item Vendido]],Agregado[ID],Agregado[Produto])</f>
        <v>Grânulo de plástico reciclado refinado</v>
      </c>
      <c r="F4383" s="39">
        <v>45716</v>
      </c>
      <c r="G4383" s="7">
        <v>120</v>
      </c>
      <c r="H4383" s="3">
        <f>_xlfn.XLOOKUP(Vendas[[#This Row],[ID Item Vendido]],Agregado[ID],Agregado[Revenda])</f>
        <v>4.7</v>
      </c>
      <c r="I4383" s="3">
        <f>Vendas[[#This Row],[Valor Unitário]]*Vendas[[#This Row],[Qnt Vendida]]</f>
        <v>564</v>
      </c>
      <c r="J4383" s="3">
        <f>Vendas[[#This Row],[Valor da Venda]]-(_xlfn.XLOOKUP(Vendas[[#This Row],[ID Item Vendido]],Agregado[ID],Agregado[Custo])*Vendas[[#This Row],[Qnt Vendida]])</f>
        <v>144</v>
      </c>
      <c r="K4383" s="70">
        <f>Vendas[[#This Row],[Lucro da Venda]]/Vendas[[#This Row],[Valor da Venda]]</f>
        <v>0.25531914893617019</v>
      </c>
      <c r="L4383" s="3">
        <f>_xlfn.IFS(Vendas[[#This Row],[Margem de Lucro (%)]]&lt;15%,Vendas[[#This Row],[Valor da Venda]]*3%,Vendas[[#This Row],[Margem de Lucro (%)]]&lt;=20%,Vendas[[#This Row],[Valor da Venda]]*4.5%,TRUE,Vendas[[#This Row],[Valor da Venda]]*6%)</f>
        <v>33.839999999999996</v>
      </c>
      <c r="M4383"/>
    </row>
    <row r="4384" spans="1:13" x14ac:dyDescent="0.3">
      <c r="A4384" s="7">
        <v>400248</v>
      </c>
      <c r="B4384" t="str">
        <f>_xlfn.XLOOKUP(Vendas[[#This Row],[ID Vendedor]],Vendedores[ID],Vendedores[Nome])</f>
        <v>Patrícia</v>
      </c>
      <c r="C4384" s="7" t="str">
        <f>_xlfn.XLOOKUP(Vendas[[#This Row],[ID Vendedor]],Vendedores[ID],Vendedores[Setor])</f>
        <v>CM</v>
      </c>
      <c r="D4384" s="7" t="s">
        <v>45</v>
      </c>
      <c r="E4384" t="str">
        <f>_xlfn.XLOOKUP(Vendas[[#This Row],[ID Item Vendido]],Agregado[ID],Agregado[Produto])</f>
        <v>Viga de madeira tratada 4m</v>
      </c>
      <c r="F4384" s="39">
        <v>45716</v>
      </c>
      <c r="G4384" s="7">
        <v>3</v>
      </c>
      <c r="H4384" s="3">
        <f>_xlfn.XLOOKUP(Vendas[[#This Row],[ID Item Vendido]],Agregado[ID],Agregado[Revenda])</f>
        <v>66</v>
      </c>
      <c r="I4384" s="3">
        <f>Vendas[[#This Row],[Valor Unitário]]*Vendas[[#This Row],[Qnt Vendida]]</f>
        <v>198</v>
      </c>
      <c r="J4384" s="3">
        <f>Vendas[[#This Row],[Valor da Venda]]-(_xlfn.XLOOKUP(Vendas[[#This Row],[ID Item Vendido]],Agregado[ID],Agregado[Custo])*Vendas[[#This Row],[Qnt Vendida]])</f>
        <v>33</v>
      </c>
      <c r="K4384" s="70">
        <f>Vendas[[#This Row],[Lucro da Venda]]/Vendas[[#This Row],[Valor da Venda]]</f>
        <v>0.16666666666666666</v>
      </c>
      <c r="L4384" s="3">
        <f>_xlfn.IFS(Vendas[[#This Row],[Margem de Lucro (%)]]&lt;15%,Vendas[[#This Row],[Valor da Venda]]*3%,Vendas[[#This Row],[Margem de Lucro (%)]]&lt;=20%,Vendas[[#This Row],[Valor da Venda]]*4.5%,TRUE,Vendas[[#This Row],[Valor da Venda]]*6%)</f>
        <v>8.91</v>
      </c>
      <c r="M4384"/>
    </row>
    <row r="4385" spans="1:13" x14ac:dyDescent="0.3">
      <c r="A4385" s="7">
        <v>400244</v>
      </c>
      <c r="B4385" t="str">
        <f>_xlfn.XLOOKUP(Vendas[[#This Row],[ID Vendedor]],Vendedores[ID],Vendedores[Nome])</f>
        <v>Camila</v>
      </c>
      <c r="C4385" s="7" t="str">
        <f>_xlfn.XLOOKUP(Vendas[[#This Row],[ID Vendedor]],Vendedores[ID],Vendedores[Setor])</f>
        <v>AHD</v>
      </c>
      <c r="D4385" s="7" t="s">
        <v>9</v>
      </c>
      <c r="E4385" t="str">
        <f>_xlfn.XLOOKUP(Vendas[[#This Row],[ID Item Vendido]],Agregado[ID],Agregado[Produto])</f>
        <v>Barra de aço simples</v>
      </c>
      <c r="F4385" s="39">
        <v>45717</v>
      </c>
      <c r="G4385" s="7">
        <v>107</v>
      </c>
      <c r="H4385" s="3">
        <f>_xlfn.XLOOKUP(Vendas[[#This Row],[ID Item Vendido]],Agregado[ID],Agregado[Revenda])</f>
        <v>6.7</v>
      </c>
      <c r="I4385" s="3">
        <f>Vendas[[#This Row],[Valor Unitário]]*Vendas[[#This Row],[Qnt Vendida]]</f>
        <v>716.9</v>
      </c>
      <c r="J4385" s="3">
        <f>Vendas[[#This Row],[Valor da Venda]]-(_xlfn.XLOOKUP(Vendas[[#This Row],[ID Item Vendido]],Agregado[ID],Agregado[Custo])*Vendas[[#This Row],[Qnt Vendida]])</f>
        <v>96.299999999999955</v>
      </c>
      <c r="K4385" s="70">
        <f>Vendas[[#This Row],[Lucro da Venda]]/Vendas[[#This Row],[Valor da Venda]]</f>
        <v>0.13432835820895517</v>
      </c>
      <c r="L4385" s="3">
        <f>_xlfn.IFS(Vendas[[#This Row],[Margem de Lucro (%)]]&lt;15%,Vendas[[#This Row],[Valor da Venda]]*3%,Vendas[[#This Row],[Margem de Lucro (%)]]&lt;=20%,Vendas[[#This Row],[Valor da Venda]]*4.5%,TRUE,Vendas[[#This Row],[Valor da Venda]]*6%)</f>
        <v>21.506999999999998</v>
      </c>
      <c r="M4385"/>
    </row>
    <row r="4386" spans="1:13" x14ac:dyDescent="0.3">
      <c r="A4386" s="7">
        <v>400244</v>
      </c>
      <c r="B4386" t="str">
        <f>_xlfn.XLOOKUP(Vendas[[#This Row],[ID Vendedor]],Vendedores[ID],Vendedores[Nome])</f>
        <v>Camila</v>
      </c>
      <c r="C4386" s="7" t="str">
        <f>_xlfn.XLOOKUP(Vendas[[#This Row],[ID Vendedor]],Vendedores[ID],Vendedores[Setor])</f>
        <v>AHD</v>
      </c>
      <c r="D4386" s="7" t="s">
        <v>44</v>
      </c>
      <c r="E4386" t="str">
        <f>_xlfn.XLOOKUP(Vendas[[#This Row],[ID Item Vendido]],Agregado[ID],Agregado[Produto])</f>
        <v>Liga metálica especial</v>
      </c>
      <c r="F4386" s="39">
        <v>45717</v>
      </c>
      <c r="G4386" s="7">
        <v>16</v>
      </c>
      <c r="H4386" s="3">
        <f>_xlfn.XLOOKUP(Vendas[[#This Row],[ID Item Vendido]],Agregado[ID],Agregado[Revenda])</f>
        <v>32.5</v>
      </c>
      <c r="I4386" s="3">
        <f>Vendas[[#This Row],[Valor Unitário]]*Vendas[[#This Row],[Qnt Vendida]]</f>
        <v>520</v>
      </c>
      <c r="J4386" s="3">
        <f>Vendas[[#This Row],[Valor da Venda]]-(_xlfn.XLOOKUP(Vendas[[#This Row],[ID Item Vendido]],Agregado[ID],Agregado[Custo])*Vendas[[#This Row],[Qnt Vendida]])</f>
        <v>120</v>
      </c>
      <c r="K4386" s="70">
        <f>Vendas[[#This Row],[Lucro da Venda]]/Vendas[[#This Row],[Valor da Venda]]</f>
        <v>0.23076923076923078</v>
      </c>
      <c r="L4386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4386"/>
    </row>
    <row r="4387" spans="1:13" x14ac:dyDescent="0.3">
      <c r="A4387" s="7">
        <v>400255</v>
      </c>
      <c r="B4387" t="str">
        <f>_xlfn.XLOOKUP(Vendas[[#This Row],[ID Vendedor]],Vendedores[ID],Vendedores[Nome])</f>
        <v>Carlos</v>
      </c>
      <c r="C4387" s="7" t="str">
        <f>_xlfn.XLOOKUP(Vendas[[#This Row],[ID Vendedor]],Vendedores[ID],Vendedores[Setor])</f>
        <v>SC</v>
      </c>
      <c r="D4387" s="7" t="s">
        <v>25</v>
      </c>
      <c r="E4387" t="str">
        <f>_xlfn.XLOOKUP(Vendas[[#This Row],[ID Item Vendido]],Agregado[ID],Agregado[Produto])</f>
        <v>Palete de plástico</v>
      </c>
      <c r="F4387" s="39">
        <v>45717</v>
      </c>
      <c r="G4387" s="7">
        <v>4</v>
      </c>
      <c r="H4387" s="3">
        <f>_xlfn.XLOOKUP(Vendas[[#This Row],[ID Item Vendido]],Agregado[ID],Agregado[Revenda])</f>
        <v>70.8</v>
      </c>
      <c r="I4387" s="3">
        <f>Vendas[[#This Row],[Valor Unitário]]*Vendas[[#This Row],[Qnt Vendida]]</f>
        <v>283.2</v>
      </c>
      <c r="J4387" s="3">
        <f>Vendas[[#This Row],[Valor da Venda]]-(_xlfn.XLOOKUP(Vendas[[#This Row],[ID Item Vendido]],Agregado[ID],Agregado[Custo])*Vendas[[#This Row],[Qnt Vendida]])</f>
        <v>43.199999999999989</v>
      </c>
      <c r="K4387" s="70">
        <f>Vendas[[#This Row],[Lucro da Venda]]/Vendas[[#This Row],[Valor da Venda]]</f>
        <v>0.15254237288135589</v>
      </c>
      <c r="L4387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4387"/>
    </row>
    <row r="4388" spans="1:13" x14ac:dyDescent="0.3">
      <c r="A4388" s="7">
        <v>400248</v>
      </c>
      <c r="B4388" t="str">
        <f>_xlfn.XLOOKUP(Vendas[[#This Row],[ID Vendedor]],Vendedores[ID],Vendedores[Nome])</f>
        <v>Patrícia</v>
      </c>
      <c r="C4388" s="7" t="str">
        <f>_xlfn.XLOOKUP(Vendas[[#This Row],[ID Vendedor]],Vendedores[ID],Vendedores[Setor])</f>
        <v>CM</v>
      </c>
      <c r="D4388" s="7" t="s">
        <v>22</v>
      </c>
      <c r="E4388" t="str">
        <f>_xlfn.XLOOKUP(Vendas[[#This Row],[ID Item Vendido]],Agregado[ID],Agregado[Produto])</f>
        <v>Painel MDP 2,75x1,83m</v>
      </c>
      <c r="F4388" s="39">
        <v>45717</v>
      </c>
      <c r="G4388" s="7">
        <v>2</v>
      </c>
      <c r="H4388" s="3">
        <f>_xlfn.XLOOKUP(Vendas[[#This Row],[ID Item Vendido]],Agregado[ID],Agregado[Revenda])</f>
        <v>119</v>
      </c>
      <c r="I4388" s="3">
        <f>Vendas[[#This Row],[Valor Unitário]]*Vendas[[#This Row],[Qnt Vendida]]</f>
        <v>238</v>
      </c>
      <c r="J4388" s="3">
        <f>Vendas[[#This Row],[Valor da Venda]]-(_xlfn.XLOOKUP(Vendas[[#This Row],[ID Item Vendido]],Agregado[ID],Agregado[Custo])*Vendas[[#This Row],[Qnt Vendida]])</f>
        <v>48</v>
      </c>
      <c r="K4388" s="70">
        <f>Vendas[[#This Row],[Lucro da Venda]]/Vendas[[#This Row],[Valor da Venda]]</f>
        <v>0.20168067226890757</v>
      </c>
      <c r="L4388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4388"/>
    </row>
    <row r="4389" spans="1:13" x14ac:dyDescent="0.3">
      <c r="A4389" s="7">
        <v>400244</v>
      </c>
      <c r="B4389" t="str">
        <f>_xlfn.XLOOKUP(Vendas[[#This Row],[ID Vendedor]],Vendedores[ID],Vendedores[Nome])</f>
        <v>Camila</v>
      </c>
      <c r="C4389" s="7" t="str">
        <f>_xlfn.XLOOKUP(Vendas[[#This Row],[ID Vendedor]],Vendedores[ID],Vendedores[Setor])</f>
        <v>AHD</v>
      </c>
      <c r="D4389" s="7" t="s">
        <v>30</v>
      </c>
      <c r="E4389" t="str">
        <f>_xlfn.XLOOKUP(Vendas[[#This Row],[ID Item Vendido]],Agregado[ID],Agregado[Produto])</f>
        <v>Estrutura metálica soldada</v>
      </c>
      <c r="F4389" s="39">
        <v>45718</v>
      </c>
      <c r="G4389" s="7">
        <v>8</v>
      </c>
      <c r="H4389" s="3">
        <f>_xlfn.XLOOKUP(Vendas[[#This Row],[ID Item Vendido]],Agregado[ID],Agregado[Revenda])</f>
        <v>400</v>
      </c>
      <c r="I4389" s="3">
        <f>Vendas[[#This Row],[Valor Unitário]]*Vendas[[#This Row],[Qnt Vendida]]</f>
        <v>3200</v>
      </c>
      <c r="J4389" s="3">
        <f>Vendas[[#This Row],[Valor da Venda]]-(_xlfn.XLOOKUP(Vendas[[#This Row],[ID Item Vendido]],Agregado[ID],Agregado[Custo])*Vendas[[#This Row],[Qnt Vendida]])</f>
        <v>640</v>
      </c>
      <c r="K4389" s="70">
        <f>Vendas[[#This Row],[Lucro da Venda]]/Vendas[[#This Row],[Valor da Venda]]</f>
        <v>0.2</v>
      </c>
      <c r="L4389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389"/>
    </row>
    <row r="4390" spans="1:13" x14ac:dyDescent="0.3">
      <c r="A4390" s="7">
        <v>400254</v>
      </c>
      <c r="B4390" t="str">
        <f>_xlfn.XLOOKUP(Vendas[[#This Row],[ID Vendedor]],Vendedores[ID],Vendedores[Nome])</f>
        <v>Beatriz</v>
      </c>
      <c r="C4390" s="7" t="str">
        <f>_xlfn.XLOOKUP(Vendas[[#This Row],[ID Vendedor]],Vendedores[ID],Vendedores[Setor])</f>
        <v>SC</v>
      </c>
      <c r="D4390" s="7" t="s">
        <v>14</v>
      </c>
      <c r="E4390" t="str">
        <f>_xlfn.XLOOKUP(Vendas[[#This Row],[ID Item Vendido]],Agregado[ID],Agregado[Produto])</f>
        <v>Barril de plástico 200L</v>
      </c>
      <c r="F4390" s="39">
        <v>45718</v>
      </c>
      <c r="G4390" s="7">
        <v>10</v>
      </c>
      <c r="H4390" s="3">
        <f>_xlfn.XLOOKUP(Vendas[[#This Row],[ID Item Vendido]],Agregado[ID],Agregado[Revenda])</f>
        <v>114</v>
      </c>
      <c r="I4390" s="3">
        <f>Vendas[[#This Row],[Valor Unitário]]*Vendas[[#This Row],[Qnt Vendida]]</f>
        <v>1140</v>
      </c>
      <c r="J4390" s="3">
        <f>Vendas[[#This Row],[Valor da Venda]]-(_xlfn.XLOOKUP(Vendas[[#This Row],[ID Item Vendido]],Agregado[ID],Agregado[Custo])*Vendas[[#This Row],[Qnt Vendida]])</f>
        <v>190</v>
      </c>
      <c r="K4390" s="70">
        <f>Vendas[[#This Row],[Lucro da Venda]]/Vendas[[#This Row],[Valor da Venda]]</f>
        <v>0.16666666666666666</v>
      </c>
      <c r="L4390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4390"/>
    </row>
    <row r="4391" spans="1:13" x14ac:dyDescent="0.3">
      <c r="A4391" s="7">
        <v>400250</v>
      </c>
      <c r="B4391" t="str">
        <f>_xlfn.XLOOKUP(Vendas[[#This Row],[ID Vendedor]],Vendedores[ID],Vendedores[Nome])</f>
        <v>Larissa</v>
      </c>
      <c r="C4391" s="7" t="str">
        <f>_xlfn.XLOOKUP(Vendas[[#This Row],[ID Vendedor]],Vendedores[ID],Vendedores[Setor])</f>
        <v>AB</v>
      </c>
      <c r="D4391" s="7" t="s">
        <v>36</v>
      </c>
      <c r="E4391" t="str">
        <f>_xlfn.XLOOKUP(Vendas[[#This Row],[ID Item Vendido]],Agregado[ID],Agregado[Produto])</f>
        <v>Borracha vulcanizada em manta</v>
      </c>
      <c r="F4391" s="39">
        <v>45718</v>
      </c>
      <c r="G4391" s="7">
        <v>51</v>
      </c>
      <c r="H4391" s="3">
        <f>_xlfn.XLOOKUP(Vendas[[#This Row],[ID Item Vendido]],Agregado[ID],Agregado[Revenda])</f>
        <v>7.8</v>
      </c>
      <c r="I4391" s="3">
        <f>Vendas[[#This Row],[Valor Unitário]]*Vendas[[#This Row],[Qnt Vendida]]</f>
        <v>397.8</v>
      </c>
      <c r="J4391" s="3">
        <f>Vendas[[#This Row],[Valor da Venda]]-(_xlfn.XLOOKUP(Vendas[[#This Row],[ID Item Vendido]],Agregado[ID],Agregado[Custo])*Vendas[[#This Row],[Qnt Vendida]])</f>
        <v>91.800000000000011</v>
      </c>
      <c r="K4391" s="70">
        <f>Vendas[[#This Row],[Lucro da Venda]]/Vendas[[#This Row],[Valor da Venda]]</f>
        <v>0.23076923076923078</v>
      </c>
      <c r="L4391" s="3">
        <f>_xlfn.IFS(Vendas[[#This Row],[Margem de Lucro (%)]]&lt;15%,Vendas[[#This Row],[Valor da Venda]]*3%,Vendas[[#This Row],[Margem de Lucro (%)]]&lt;=20%,Vendas[[#This Row],[Valor da Venda]]*4.5%,TRUE,Vendas[[#This Row],[Valor da Venda]]*6%)</f>
        <v>23.867999999999999</v>
      </c>
      <c r="M4391"/>
    </row>
    <row r="4392" spans="1:13" x14ac:dyDescent="0.3">
      <c r="A4392" s="7">
        <v>400251</v>
      </c>
      <c r="B4392" t="str">
        <f>_xlfn.XLOOKUP(Vendas[[#This Row],[ID Vendedor]],Vendedores[ID],Vendedores[Nome])</f>
        <v>Diego</v>
      </c>
      <c r="C4392" s="7" t="str">
        <f>_xlfn.XLOOKUP(Vendas[[#This Row],[ID Vendedor]],Vendedores[ID],Vendedores[Setor])</f>
        <v>AB</v>
      </c>
      <c r="D4392" s="7" t="s">
        <v>36</v>
      </c>
      <c r="E4392" t="str">
        <f>_xlfn.XLOOKUP(Vendas[[#This Row],[ID Item Vendido]],Agregado[ID],Agregado[Produto])</f>
        <v>Borracha vulcanizada em manta</v>
      </c>
      <c r="F4392" s="39">
        <v>45718</v>
      </c>
      <c r="G4392" s="7">
        <v>31</v>
      </c>
      <c r="H4392" s="3">
        <f>_xlfn.XLOOKUP(Vendas[[#This Row],[ID Item Vendido]],Agregado[ID],Agregado[Revenda])</f>
        <v>7.8</v>
      </c>
      <c r="I4392" s="3">
        <f>Vendas[[#This Row],[Valor Unitário]]*Vendas[[#This Row],[Qnt Vendida]]</f>
        <v>241.79999999999998</v>
      </c>
      <c r="J4392" s="3">
        <f>Vendas[[#This Row],[Valor da Venda]]-(_xlfn.XLOOKUP(Vendas[[#This Row],[ID Item Vendido]],Agregado[ID],Agregado[Custo])*Vendas[[#This Row],[Qnt Vendida]])</f>
        <v>55.799999999999983</v>
      </c>
      <c r="K4392" s="70">
        <f>Vendas[[#This Row],[Lucro da Venda]]/Vendas[[#This Row],[Valor da Venda]]</f>
        <v>0.23076923076923073</v>
      </c>
      <c r="L4392" s="3">
        <f>_xlfn.IFS(Vendas[[#This Row],[Margem de Lucro (%)]]&lt;15%,Vendas[[#This Row],[Valor da Venda]]*3%,Vendas[[#This Row],[Margem de Lucro (%)]]&lt;=20%,Vendas[[#This Row],[Valor da Venda]]*4.5%,TRUE,Vendas[[#This Row],[Valor da Venda]]*6%)</f>
        <v>14.507999999999999</v>
      </c>
      <c r="M4392"/>
    </row>
    <row r="4393" spans="1:13" x14ac:dyDescent="0.3">
      <c r="A4393" s="7">
        <v>400245</v>
      </c>
      <c r="B4393" t="str">
        <f>_xlfn.XLOOKUP(Vendas[[#This Row],[ID Vendedor]],Vendedores[ID],Vendedores[Nome])</f>
        <v>Thiago</v>
      </c>
      <c r="C4393" s="7" t="str">
        <f>_xlfn.XLOOKUP(Vendas[[#This Row],[ID Vendedor]],Vendedores[ID],Vendedores[Setor])</f>
        <v>AHD</v>
      </c>
      <c r="D4393" s="7" t="s">
        <v>30</v>
      </c>
      <c r="E4393" t="str">
        <f>_xlfn.XLOOKUP(Vendas[[#This Row],[ID Item Vendido]],Agregado[ID],Agregado[Produto])</f>
        <v>Estrutura metálica soldada</v>
      </c>
      <c r="F4393" s="39">
        <v>45719</v>
      </c>
      <c r="G4393" s="7">
        <v>3</v>
      </c>
      <c r="H4393" s="3">
        <f>_xlfn.XLOOKUP(Vendas[[#This Row],[ID Item Vendido]],Agregado[ID],Agregado[Revenda])</f>
        <v>400</v>
      </c>
      <c r="I4393" s="3">
        <f>Vendas[[#This Row],[Valor Unitário]]*Vendas[[#This Row],[Qnt Vendida]]</f>
        <v>1200</v>
      </c>
      <c r="J4393" s="3">
        <f>Vendas[[#This Row],[Valor da Venda]]-(_xlfn.XLOOKUP(Vendas[[#This Row],[ID Item Vendido]],Agregado[ID],Agregado[Custo])*Vendas[[#This Row],[Qnt Vendida]])</f>
        <v>240</v>
      </c>
      <c r="K4393" s="70">
        <f>Vendas[[#This Row],[Lucro da Venda]]/Vendas[[#This Row],[Valor da Venda]]</f>
        <v>0.2</v>
      </c>
      <c r="L4393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393"/>
    </row>
    <row r="4394" spans="1:13" x14ac:dyDescent="0.3">
      <c r="A4394" s="7">
        <v>400252</v>
      </c>
      <c r="B4394" t="str">
        <f>_xlfn.XLOOKUP(Vendas[[#This Row],[ID Vendedor]],Vendedores[ID],Vendedores[Nome])</f>
        <v>Renata</v>
      </c>
      <c r="C4394" s="7" t="str">
        <f>_xlfn.XLOOKUP(Vendas[[#This Row],[ID Vendedor]],Vendedores[ID],Vendedores[Setor])</f>
        <v>AB</v>
      </c>
      <c r="D4394" s="7" t="s">
        <v>37</v>
      </c>
      <c r="E4394" t="str">
        <f>_xlfn.XLOOKUP(Vendas[[#This Row],[ID Item Vendido]],Agregado[ID],Agregado[Produto])</f>
        <v>Composto de borracha para vedação rolo 10m</v>
      </c>
      <c r="F4394" s="39">
        <v>45719</v>
      </c>
      <c r="G4394" s="7">
        <v>19</v>
      </c>
      <c r="H4394" s="3">
        <f>_xlfn.XLOOKUP(Vendas[[#This Row],[ID Item Vendido]],Agregado[ID],Agregado[Revenda])</f>
        <v>51.2</v>
      </c>
      <c r="I4394" s="3">
        <f>Vendas[[#This Row],[Valor Unitário]]*Vendas[[#This Row],[Qnt Vendida]]</f>
        <v>972.80000000000007</v>
      </c>
      <c r="J4394" s="3">
        <f>Vendas[[#This Row],[Valor da Venda]]-(_xlfn.XLOOKUP(Vendas[[#This Row],[ID Item Vendido]],Agregado[ID],Agregado[Custo])*Vendas[[#This Row],[Qnt Vendida]])</f>
        <v>212.80000000000007</v>
      </c>
      <c r="K4394" s="70">
        <f>Vendas[[#This Row],[Lucro da Venda]]/Vendas[[#This Row],[Valor da Venda]]</f>
        <v>0.21875000000000006</v>
      </c>
      <c r="L4394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4394"/>
    </row>
    <row r="4395" spans="1:13" x14ac:dyDescent="0.3">
      <c r="A4395" s="7">
        <v>400253</v>
      </c>
      <c r="B4395" t="str">
        <f>_xlfn.XLOOKUP(Vendas[[#This Row],[ID Vendedor]],Vendedores[ID],Vendedores[Nome])</f>
        <v>Gustavo</v>
      </c>
      <c r="C4395" s="7" t="str">
        <f>_xlfn.XLOOKUP(Vendas[[#This Row],[ID Vendedor]],Vendedores[ID],Vendedores[Setor])</f>
        <v>SC</v>
      </c>
      <c r="D4395" s="7" t="s">
        <v>48</v>
      </c>
      <c r="E4395" t="str">
        <f>_xlfn.XLOOKUP(Vendas[[#This Row],[ID Item Vendido]],Agregado[ID],Agregado[Produto])</f>
        <v>Tambor metálico 200L</v>
      </c>
      <c r="F4395" s="39">
        <v>45719</v>
      </c>
      <c r="G4395" s="7">
        <v>4</v>
      </c>
      <c r="H4395" s="3">
        <f>_xlfn.XLOOKUP(Vendas[[#This Row],[ID Item Vendido]],Agregado[ID],Agregado[Revenda])</f>
        <v>144</v>
      </c>
      <c r="I4395" s="3">
        <f>Vendas[[#This Row],[Valor Unitário]]*Vendas[[#This Row],[Qnt Vendida]]</f>
        <v>576</v>
      </c>
      <c r="J4395" s="3">
        <f>Vendas[[#This Row],[Valor da Venda]]-(_xlfn.XLOOKUP(Vendas[[#This Row],[ID Item Vendido]],Agregado[ID],Agregado[Custo])*Vendas[[#This Row],[Qnt Vendida]])</f>
        <v>96</v>
      </c>
      <c r="K4395" s="70">
        <f>Vendas[[#This Row],[Lucro da Venda]]/Vendas[[#This Row],[Valor da Venda]]</f>
        <v>0.16666666666666666</v>
      </c>
      <c r="L4395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4395"/>
    </row>
    <row r="4396" spans="1:13" x14ac:dyDescent="0.3">
      <c r="A4396" s="7">
        <v>400252</v>
      </c>
      <c r="B4396" t="str">
        <f>_xlfn.XLOOKUP(Vendas[[#This Row],[ID Vendedor]],Vendedores[ID],Vendedores[Nome])</f>
        <v>Renata</v>
      </c>
      <c r="C4396" s="7" t="str">
        <f>_xlfn.XLOOKUP(Vendas[[#This Row],[ID Vendedor]],Vendedores[ID],Vendedores[Setor])</f>
        <v>AB</v>
      </c>
      <c r="D4396" s="7" t="s">
        <v>36</v>
      </c>
      <c r="E4396" t="str">
        <f>_xlfn.XLOOKUP(Vendas[[#This Row],[ID Item Vendido]],Agregado[ID],Agregado[Produto])</f>
        <v>Borracha vulcanizada em manta</v>
      </c>
      <c r="F4396" s="39">
        <v>45719</v>
      </c>
      <c r="G4396" s="7">
        <v>65</v>
      </c>
      <c r="H4396" s="3">
        <f>_xlfn.XLOOKUP(Vendas[[#This Row],[ID Item Vendido]],Agregado[ID],Agregado[Revenda])</f>
        <v>7.8</v>
      </c>
      <c r="I4396" s="3">
        <f>Vendas[[#This Row],[Valor Unitário]]*Vendas[[#This Row],[Qnt Vendida]]</f>
        <v>507</v>
      </c>
      <c r="J4396" s="3">
        <f>Vendas[[#This Row],[Valor da Venda]]-(_xlfn.XLOOKUP(Vendas[[#This Row],[ID Item Vendido]],Agregado[ID],Agregado[Custo])*Vendas[[#This Row],[Qnt Vendida]])</f>
        <v>117</v>
      </c>
      <c r="K4396" s="70">
        <f>Vendas[[#This Row],[Lucro da Venda]]/Vendas[[#This Row],[Valor da Venda]]</f>
        <v>0.23076923076923078</v>
      </c>
      <c r="L4396" s="3">
        <f>_xlfn.IFS(Vendas[[#This Row],[Margem de Lucro (%)]]&lt;15%,Vendas[[#This Row],[Valor da Venda]]*3%,Vendas[[#This Row],[Margem de Lucro (%)]]&lt;=20%,Vendas[[#This Row],[Valor da Venda]]*4.5%,TRUE,Vendas[[#This Row],[Valor da Venda]]*6%)</f>
        <v>30.419999999999998</v>
      </c>
      <c r="M4396"/>
    </row>
    <row r="4397" spans="1:13" x14ac:dyDescent="0.3">
      <c r="A4397" s="7">
        <v>400248</v>
      </c>
      <c r="B4397" t="str">
        <f>_xlfn.XLOOKUP(Vendas[[#This Row],[ID Vendedor]],Vendedores[ID],Vendedores[Nome])</f>
        <v>Patrícia</v>
      </c>
      <c r="C4397" s="7" t="str">
        <f>_xlfn.XLOOKUP(Vendas[[#This Row],[ID Vendedor]],Vendedores[ID],Vendedores[Setor])</f>
        <v>CM</v>
      </c>
      <c r="D4397" s="7" t="s">
        <v>22</v>
      </c>
      <c r="E4397" t="str">
        <f>_xlfn.XLOOKUP(Vendas[[#This Row],[ID Item Vendido]],Agregado[ID],Agregado[Produto])</f>
        <v>Painel MDP 2,75x1,83m</v>
      </c>
      <c r="F4397" s="39">
        <v>45720</v>
      </c>
      <c r="G4397" s="7">
        <v>17</v>
      </c>
      <c r="H4397" s="3">
        <f>_xlfn.XLOOKUP(Vendas[[#This Row],[ID Item Vendido]],Agregado[ID],Agregado[Revenda])</f>
        <v>119</v>
      </c>
      <c r="I4397" s="3">
        <f>Vendas[[#This Row],[Valor Unitário]]*Vendas[[#This Row],[Qnt Vendida]]</f>
        <v>2023</v>
      </c>
      <c r="J4397" s="3">
        <f>Vendas[[#This Row],[Valor da Venda]]-(_xlfn.XLOOKUP(Vendas[[#This Row],[ID Item Vendido]],Agregado[ID],Agregado[Custo])*Vendas[[#This Row],[Qnt Vendida]])</f>
        <v>408</v>
      </c>
      <c r="K4397" s="70">
        <f>Vendas[[#This Row],[Lucro da Venda]]/Vendas[[#This Row],[Valor da Venda]]</f>
        <v>0.20168067226890757</v>
      </c>
      <c r="L4397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4397"/>
    </row>
    <row r="4398" spans="1:13" x14ac:dyDescent="0.3">
      <c r="A4398" s="7">
        <v>400253</v>
      </c>
      <c r="B4398" t="str">
        <f>_xlfn.XLOOKUP(Vendas[[#This Row],[ID Vendedor]],Vendedores[ID],Vendedores[Nome])</f>
        <v>Gustavo</v>
      </c>
      <c r="C4398" s="7" t="str">
        <f>_xlfn.XLOOKUP(Vendas[[#This Row],[ID Vendedor]],Vendedores[ID],Vendedores[Setor])</f>
        <v>SC</v>
      </c>
      <c r="D4398" s="7" t="s">
        <v>25</v>
      </c>
      <c r="E4398" t="str">
        <f>_xlfn.XLOOKUP(Vendas[[#This Row],[ID Item Vendido]],Agregado[ID],Agregado[Produto])</f>
        <v>Palete de plástico</v>
      </c>
      <c r="F4398" s="39">
        <v>45721</v>
      </c>
      <c r="G4398" s="7">
        <v>11</v>
      </c>
      <c r="H4398" s="3">
        <f>_xlfn.XLOOKUP(Vendas[[#This Row],[ID Item Vendido]],Agregado[ID],Agregado[Revenda])</f>
        <v>70.8</v>
      </c>
      <c r="I4398" s="3">
        <f>Vendas[[#This Row],[Valor Unitário]]*Vendas[[#This Row],[Qnt Vendida]]</f>
        <v>778.8</v>
      </c>
      <c r="J4398" s="3">
        <f>Vendas[[#This Row],[Valor da Venda]]-(_xlfn.XLOOKUP(Vendas[[#This Row],[ID Item Vendido]],Agregado[ID],Agregado[Custo])*Vendas[[#This Row],[Qnt Vendida]])</f>
        <v>118.79999999999995</v>
      </c>
      <c r="K4398" s="70">
        <f>Vendas[[#This Row],[Lucro da Venda]]/Vendas[[#This Row],[Valor da Venda]]</f>
        <v>0.15254237288135589</v>
      </c>
      <c r="L4398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4398"/>
    </row>
    <row r="4399" spans="1:13" x14ac:dyDescent="0.3">
      <c r="A4399" s="7">
        <v>400242</v>
      </c>
      <c r="B4399" t="str">
        <f>_xlfn.XLOOKUP(Vendas[[#This Row],[ID Vendedor]],Vendedores[ID],Vendedores[Nome])</f>
        <v>Fernanda</v>
      </c>
      <c r="C4399" s="7" t="str">
        <f>_xlfn.XLOOKUP(Vendas[[#This Row],[ID Vendedor]],Vendedores[ID],Vendedores[Setor])</f>
        <v>FM</v>
      </c>
      <c r="D4399" s="7" t="s">
        <v>47</v>
      </c>
      <c r="E4399" t="str">
        <f>_xlfn.XLOOKUP(Vendas[[#This Row],[ID Item Vendido]],Agregado[ID],Agregado[Produto])</f>
        <v>Fio de arame galvanizado rolo 50m</v>
      </c>
      <c r="F4399" s="39">
        <v>45721</v>
      </c>
      <c r="G4399" s="7">
        <v>30</v>
      </c>
      <c r="H4399" s="3">
        <f>_xlfn.XLOOKUP(Vendas[[#This Row],[ID Item Vendido]],Agregado[ID],Agregado[Revenda])</f>
        <v>21.2</v>
      </c>
      <c r="I4399" s="3">
        <f>Vendas[[#This Row],[Valor Unitário]]*Vendas[[#This Row],[Qnt Vendida]]</f>
        <v>636</v>
      </c>
      <c r="J4399" s="3">
        <f>Vendas[[#This Row],[Valor da Venda]]-(_xlfn.XLOOKUP(Vendas[[#This Row],[ID Item Vendido]],Agregado[ID],Agregado[Custo])*Vendas[[#This Row],[Qnt Vendida]])</f>
        <v>96</v>
      </c>
      <c r="K4399" s="70">
        <f>Vendas[[#This Row],[Lucro da Venda]]/Vendas[[#This Row],[Valor da Venda]]</f>
        <v>0.15094339622641509</v>
      </c>
      <c r="L4399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4399"/>
    </row>
    <row r="4400" spans="1:13" x14ac:dyDescent="0.3">
      <c r="A4400" s="7">
        <v>400249</v>
      </c>
      <c r="B4400" t="str">
        <f>_xlfn.XLOOKUP(Vendas[[#This Row],[ID Vendedor]],Vendedores[ID],Vendedores[Nome])</f>
        <v>Bruno</v>
      </c>
      <c r="C4400" s="7" t="str">
        <f>_xlfn.XLOOKUP(Vendas[[#This Row],[ID Vendedor]],Vendedores[ID],Vendedores[Setor])</f>
        <v>CM</v>
      </c>
      <c r="D4400" s="7" t="s">
        <v>34</v>
      </c>
      <c r="E4400" t="str">
        <f>_xlfn.XLOOKUP(Vendas[[#This Row],[ID Item Vendido]],Agregado[ID],Agregado[Produto])</f>
        <v>Restos de madeira p/ MDP/OSB saco de 20kg</v>
      </c>
      <c r="F4400" s="39">
        <v>45721</v>
      </c>
      <c r="G4400" s="7">
        <v>24</v>
      </c>
      <c r="H4400" s="3">
        <f>_xlfn.XLOOKUP(Vendas[[#This Row],[ID Item Vendido]],Agregado[ID],Agregado[Revenda])</f>
        <v>13.8</v>
      </c>
      <c r="I4400" s="3">
        <f>Vendas[[#This Row],[Valor Unitário]]*Vendas[[#This Row],[Qnt Vendida]]</f>
        <v>331.20000000000005</v>
      </c>
      <c r="J4400" s="3">
        <f>Vendas[[#This Row],[Valor da Venda]]-(_xlfn.XLOOKUP(Vendas[[#This Row],[ID Item Vendido]],Agregado[ID],Agregado[Custo])*Vendas[[#This Row],[Qnt Vendida]])</f>
        <v>43.200000000000045</v>
      </c>
      <c r="K4400" s="70">
        <f>Vendas[[#This Row],[Lucro da Venda]]/Vendas[[#This Row],[Valor da Venda]]</f>
        <v>0.13043478260869576</v>
      </c>
      <c r="L4400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4400"/>
    </row>
    <row r="4401" spans="1:13" x14ac:dyDescent="0.3">
      <c r="A4401" s="7">
        <v>400250</v>
      </c>
      <c r="B4401" t="str">
        <f>_xlfn.XLOOKUP(Vendas[[#This Row],[ID Vendedor]],Vendedores[ID],Vendedores[Nome])</f>
        <v>Larissa</v>
      </c>
      <c r="C4401" s="7" t="str">
        <f>_xlfn.XLOOKUP(Vendas[[#This Row],[ID Vendedor]],Vendedores[ID],Vendedores[Setor])</f>
        <v>AB</v>
      </c>
      <c r="D4401" s="7" t="s">
        <v>36</v>
      </c>
      <c r="E4401" t="str">
        <f>_xlfn.XLOOKUP(Vendas[[#This Row],[ID Item Vendido]],Agregado[ID],Agregado[Produto])</f>
        <v>Borracha vulcanizada em manta</v>
      </c>
      <c r="F4401" s="39">
        <v>45722</v>
      </c>
      <c r="G4401" s="7">
        <v>93</v>
      </c>
      <c r="H4401" s="3">
        <f>_xlfn.XLOOKUP(Vendas[[#This Row],[ID Item Vendido]],Agregado[ID],Agregado[Revenda])</f>
        <v>7.8</v>
      </c>
      <c r="I4401" s="3">
        <f>Vendas[[#This Row],[Valor Unitário]]*Vendas[[#This Row],[Qnt Vendida]]</f>
        <v>725.4</v>
      </c>
      <c r="J4401" s="3">
        <f>Vendas[[#This Row],[Valor da Venda]]-(_xlfn.XLOOKUP(Vendas[[#This Row],[ID Item Vendido]],Agregado[ID],Agregado[Custo])*Vendas[[#This Row],[Qnt Vendida]])</f>
        <v>167.39999999999998</v>
      </c>
      <c r="K4401" s="70">
        <f>Vendas[[#This Row],[Lucro da Venda]]/Vendas[[#This Row],[Valor da Venda]]</f>
        <v>0.23076923076923075</v>
      </c>
      <c r="L4401" s="3">
        <f>_xlfn.IFS(Vendas[[#This Row],[Margem de Lucro (%)]]&lt;15%,Vendas[[#This Row],[Valor da Venda]]*3%,Vendas[[#This Row],[Margem de Lucro (%)]]&lt;=20%,Vendas[[#This Row],[Valor da Venda]]*4.5%,TRUE,Vendas[[#This Row],[Valor da Venda]]*6%)</f>
        <v>43.523999999999994</v>
      </c>
      <c r="M4401"/>
    </row>
    <row r="4402" spans="1:13" x14ac:dyDescent="0.3">
      <c r="A4402" s="7">
        <v>400246</v>
      </c>
      <c r="B4402" t="str">
        <f>_xlfn.XLOOKUP(Vendas[[#This Row],[ID Vendedor]],Vendedores[ID],Vendedores[Nome])</f>
        <v>Juliana</v>
      </c>
      <c r="C4402" s="7" t="str">
        <f>_xlfn.XLOOKUP(Vendas[[#This Row],[ID Vendedor]],Vendedores[ID],Vendedores[Setor])</f>
        <v>AHD</v>
      </c>
      <c r="D4402" s="7" t="s">
        <v>30</v>
      </c>
      <c r="E4402" t="str">
        <f>_xlfn.XLOOKUP(Vendas[[#This Row],[ID Item Vendido]],Agregado[ID],Agregado[Produto])</f>
        <v>Estrutura metálica soldada</v>
      </c>
      <c r="F4402" s="39">
        <v>45722</v>
      </c>
      <c r="G4402" s="7">
        <v>1</v>
      </c>
      <c r="H4402" s="3">
        <f>_xlfn.XLOOKUP(Vendas[[#This Row],[ID Item Vendido]],Agregado[ID],Agregado[Revenda])</f>
        <v>400</v>
      </c>
      <c r="I4402" s="3">
        <f>Vendas[[#This Row],[Valor Unitário]]*Vendas[[#This Row],[Qnt Vendida]]</f>
        <v>400</v>
      </c>
      <c r="J4402" s="3">
        <f>Vendas[[#This Row],[Valor da Venda]]-(_xlfn.XLOOKUP(Vendas[[#This Row],[ID Item Vendido]],Agregado[ID],Agregado[Custo])*Vendas[[#This Row],[Qnt Vendida]])</f>
        <v>80</v>
      </c>
      <c r="K4402" s="70">
        <f>Vendas[[#This Row],[Lucro da Venda]]/Vendas[[#This Row],[Valor da Venda]]</f>
        <v>0.2</v>
      </c>
      <c r="L4402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4402"/>
    </row>
    <row r="4403" spans="1:13" x14ac:dyDescent="0.3">
      <c r="A4403" s="7">
        <v>400251</v>
      </c>
      <c r="B4403" t="str">
        <f>_xlfn.XLOOKUP(Vendas[[#This Row],[ID Vendedor]],Vendedores[ID],Vendedores[Nome])</f>
        <v>Diego</v>
      </c>
      <c r="C4403" s="7" t="str">
        <f>_xlfn.XLOOKUP(Vendas[[#This Row],[ID Vendedor]],Vendedores[ID],Vendedores[Setor])</f>
        <v>AB</v>
      </c>
      <c r="D4403" s="7" t="s">
        <v>24</v>
      </c>
      <c r="E4403" t="str">
        <f>_xlfn.XLOOKUP(Vendas[[#This Row],[ID Item Vendido]],Agregado[ID],Agregado[Produto])</f>
        <v>Resina plástica PET purificada saco de 25kg</v>
      </c>
      <c r="F4403" s="39">
        <v>45723</v>
      </c>
      <c r="G4403" s="7">
        <v>27</v>
      </c>
      <c r="H4403" s="3">
        <f>_xlfn.XLOOKUP(Vendas[[#This Row],[ID Item Vendido]],Agregado[ID],Agregado[Revenda])</f>
        <v>119</v>
      </c>
      <c r="I4403" s="3">
        <f>Vendas[[#This Row],[Valor Unitário]]*Vendas[[#This Row],[Qnt Vendida]]</f>
        <v>3213</v>
      </c>
      <c r="J4403" s="3">
        <f>Vendas[[#This Row],[Valor da Venda]]-(_xlfn.XLOOKUP(Vendas[[#This Row],[ID Item Vendido]],Agregado[ID],Agregado[Custo])*Vendas[[#This Row],[Qnt Vendida]])</f>
        <v>918</v>
      </c>
      <c r="K4403" s="70">
        <f>Vendas[[#This Row],[Lucro da Venda]]/Vendas[[#This Row],[Valor da Venda]]</f>
        <v>0.2857142857142857</v>
      </c>
      <c r="L4403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4403"/>
    </row>
    <row r="4404" spans="1:13" x14ac:dyDescent="0.3">
      <c r="A4404" s="7">
        <v>400251</v>
      </c>
      <c r="B4404" t="str">
        <f>_xlfn.XLOOKUP(Vendas[[#This Row],[ID Vendedor]],Vendedores[ID],Vendedores[Nome])</f>
        <v>Diego</v>
      </c>
      <c r="C4404" s="7" t="str">
        <f>_xlfn.XLOOKUP(Vendas[[#This Row],[ID Vendedor]],Vendedores[ID],Vendedores[Setor])</f>
        <v>AB</v>
      </c>
      <c r="D4404" s="7" t="s">
        <v>24</v>
      </c>
      <c r="E4404" t="str">
        <f>_xlfn.XLOOKUP(Vendas[[#This Row],[ID Item Vendido]],Agregado[ID],Agregado[Produto])</f>
        <v>Resina plástica PET purificada saco de 25kg</v>
      </c>
      <c r="F4404" s="39">
        <v>45723</v>
      </c>
      <c r="G4404" s="7">
        <v>24</v>
      </c>
      <c r="H4404" s="3">
        <f>_xlfn.XLOOKUP(Vendas[[#This Row],[ID Item Vendido]],Agregado[ID],Agregado[Revenda])</f>
        <v>119</v>
      </c>
      <c r="I4404" s="3">
        <f>Vendas[[#This Row],[Valor Unitário]]*Vendas[[#This Row],[Qnt Vendida]]</f>
        <v>2856</v>
      </c>
      <c r="J4404" s="3">
        <f>Vendas[[#This Row],[Valor da Venda]]-(_xlfn.XLOOKUP(Vendas[[#This Row],[ID Item Vendido]],Agregado[ID],Agregado[Custo])*Vendas[[#This Row],[Qnt Vendida]])</f>
        <v>816</v>
      </c>
      <c r="K4404" s="70">
        <f>Vendas[[#This Row],[Lucro da Venda]]/Vendas[[#This Row],[Valor da Venda]]</f>
        <v>0.2857142857142857</v>
      </c>
      <c r="L4404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4404"/>
    </row>
    <row r="4405" spans="1:13" x14ac:dyDescent="0.3">
      <c r="A4405" s="7">
        <v>400241</v>
      </c>
      <c r="B4405" t="str">
        <f>_xlfn.XLOOKUP(Vendas[[#This Row],[ID Vendedor]],Vendedores[ID],Vendedores[Nome])</f>
        <v>Rodrigo</v>
      </c>
      <c r="C4405" s="7" t="str">
        <f>_xlfn.XLOOKUP(Vendas[[#This Row],[ID Vendedor]],Vendedores[ID],Vendedores[Setor])</f>
        <v>FM</v>
      </c>
      <c r="D4405" s="7" t="s">
        <v>27</v>
      </c>
      <c r="E4405" t="str">
        <f>_xlfn.XLOOKUP(Vendas[[#This Row],[ID Item Vendido]],Agregado[ID],Agregado[Produto])</f>
        <v>Chapa de metal lisa 1x2m</v>
      </c>
      <c r="F4405" s="39">
        <v>45723</v>
      </c>
      <c r="G4405" s="7">
        <v>30</v>
      </c>
      <c r="H4405" s="3">
        <f>_xlfn.XLOOKUP(Vendas[[#This Row],[ID Item Vendido]],Agregado[ID],Agregado[Revenda])</f>
        <v>52</v>
      </c>
      <c r="I4405" s="3">
        <f>Vendas[[#This Row],[Valor Unitário]]*Vendas[[#This Row],[Qnt Vendida]]</f>
        <v>1560</v>
      </c>
      <c r="J4405" s="3">
        <f>Vendas[[#This Row],[Valor da Venda]]-(_xlfn.XLOOKUP(Vendas[[#This Row],[ID Item Vendido]],Agregado[ID],Agregado[Custo])*Vendas[[#This Row],[Qnt Vendida]])</f>
        <v>210</v>
      </c>
      <c r="K4405" s="70">
        <f>Vendas[[#This Row],[Lucro da Venda]]/Vendas[[#This Row],[Valor da Venda]]</f>
        <v>0.13461538461538461</v>
      </c>
      <c r="L4405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4405"/>
    </row>
    <row r="4406" spans="1:13" x14ac:dyDescent="0.3">
      <c r="A4406" s="7">
        <v>400247</v>
      </c>
      <c r="B4406" t="str">
        <f>_xlfn.XLOOKUP(Vendas[[#This Row],[ID Vendedor]],Vendedores[ID],Vendedores[Nome])</f>
        <v>André</v>
      </c>
      <c r="C4406" s="7" t="str">
        <f>_xlfn.XLOOKUP(Vendas[[#This Row],[ID Vendedor]],Vendedores[ID],Vendedores[Setor])</f>
        <v>CM</v>
      </c>
      <c r="D4406" s="7" t="s">
        <v>43</v>
      </c>
      <c r="E4406" t="str">
        <f>_xlfn.XLOOKUP(Vendas[[#This Row],[ID Item Vendido]],Agregado[ID],Agregado[Produto])</f>
        <v>Madeira Bruta (Tora)</v>
      </c>
      <c r="F4406" s="39">
        <v>45723</v>
      </c>
      <c r="G4406" s="7">
        <v>2</v>
      </c>
      <c r="H4406" s="3">
        <f>_xlfn.XLOOKUP(Vendas[[#This Row],[ID Item Vendido]],Agregado[ID],Agregado[Revenda])</f>
        <v>212</v>
      </c>
      <c r="I4406" s="3">
        <f>Vendas[[#This Row],[Valor Unitário]]*Vendas[[#This Row],[Qnt Vendida]]</f>
        <v>424</v>
      </c>
      <c r="J4406" s="3">
        <f>Vendas[[#This Row],[Valor da Venda]]-(_xlfn.XLOOKUP(Vendas[[#This Row],[ID Item Vendido]],Agregado[ID],Agregado[Custo])*Vendas[[#This Row],[Qnt Vendida]])</f>
        <v>64</v>
      </c>
      <c r="K4406" s="70">
        <f>Vendas[[#This Row],[Lucro da Venda]]/Vendas[[#This Row],[Valor da Venda]]</f>
        <v>0.15094339622641509</v>
      </c>
      <c r="L4406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4406"/>
    </row>
    <row r="4407" spans="1:13" x14ac:dyDescent="0.3">
      <c r="A4407" s="7">
        <v>400241</v>
      </c>
      <c r="B4407" t="str">
        <f>_xlfn.XLOOKUP(Vendas[[#This Row],[ID Vendedor]],Vendedores[ID],Vendedores[Nome])</f>
        <v>Rodrigo</v>
      </c>
      <c r="C4407" s="7" t="str">
        <f>_xlfn.XLOOKUP(Vendas[[#This Row],[ID Vendedor]],Vendedores[ID],Vendedores[Setor])</f>
        <v>FM</v>
      </c>
      <c r="D4407" s="7" t="s">
        <v>20</v>
      </c>
      <c r="E4407" t="str">
        <f>_xlfn.XLOOKUP(Vendas[[#This Row],[ID Item Vendido]],Agregado[ID],Agregado[Produto])</f>
        <v>Barra de aço simples</v>
      </c>
      <c r="F4407" s="39">
        <v>45724</v>
      </c>
      <c r="G4407" s="7">
        <v>188</v>
      </c>
      <c r="H4407" s="3">
        <f>_xlfn.XLOOKUP(Vendas[[#This Row],[ID Item Vendido]],Agregado[ID],Agregado[Revenda])</f>
        <v>4.8</v>
      </c>
      <c r="I4407" s="3">
        <f>Vendas[[#This Row],[Valor Unitário]]*Vendas[[#This Row],[Qnt Vendida]]</f>
        <v>902.4</v>
      </c>
      <c r="J4407" s="3">
        <f>Vendas[[#This Row],[Valor da Venda]]-(_xlfn.XLOOKUP(Vendas[[#This Row],[ID Item Vendido]],Agregado[ID],Agregado[Custo])*Vendas[[#This Row],[Qnt Vendida]])</f>
        <v>112.79999999999995</v>
      </c>
      <c r="K4407" s="70">
        <f>Vendas[[#This Row],[Lucro da Venda]]/Vendas[[#This Row],[Valor da Venda]]</f>
        <v>0.12499999999999996</v>
      </c>
      <c r="L4407" s="3">
        <f>_xlfn.IFS(Vendas[[#This Row],[Margem de Lucro (%)]]&lt;15%,Vendas[[#This Row],[Valor da Venda]]*3%,Vendas[[#This Row],[Margem de Lucro (%)]]&lt;=20%,Vendas[[#This Row],[Valor da Venda]]*4.5%,TRUE,Vendas[[#This Row],[Valor da Venda]]*6%)</f>
        <v>27.071999999999999</v>
      </c>
      <c r="M4407"/>
    </row>
    <row r="4408" spans="1:13" x14ac:dyDescent="0.3">
      <c r="A4408" s="7">
        <v>400247</v>
      </c>
      <c r="B4408" t="str">
        <f>_xlfn.XLOOKUP(Vendas[[#This Row],[ID Vendedor]],Vendedores[ID],Vendedores[Nome])</f>
        <v>André</v>
      </c>
      <c r="C4408" s="7" t="str">
        <f>_xlfn.XLOOKUP(Vendas[[#This Row],[ID Vendedor]],Vendedores[ID],Vendedores[Setor])</f>
        <v>CM</v>
      </c>
      <c r="D4408" s="7" t="s">
        <v>32</v>
      </c>
      <c r="E4408" t="str">
        <f>_xlfn.XLOOKUP(Vendas[[#This Row],[ID Item Vendido]],Agregado[ID],Agregado[Produto])</f>
        <v>Tábua tratada e cortada 3m</v>
      </c>
      <c r="F4408" s="39">
        <v>45724</v>
      </c>
      <c r="G4408" s="7">
        <v>22</v>
      </c>
      <c r="H4408" s="3">
        <f>_xlfn.XLOOKUP(Vendas[[#This Row],[ID Item Vendido]],Agregado[ID],Agregado[Revenda])</f>
        <v>39</v>
      </c>
      <c r="I4408" s="3">
        <f>Vendas[[#This Row],[Valor Unitário]]*Vendas[[#This Row],[Qnt Vendida]]</f>
        <v>858</v>
      </c>
      <c r="J4408" s="3">
        <f>Vendas[[#This Row],[Valor da Venda]]-(_xlfn.XLOOKUP(Vendas[[#This Row],[ID Item Vendido]],Agregado[ID],Agregado[Custo])*Vendas[[#This Row],[Qnt Vendida]])</f>
        <v>154</v>
      </c>
      <c r="K4408" s="70">
        <f>Vendas[[#This Row],[Lucro da Venda]]/Vendas[[#This Row],[Valor da Venda]]</f>
        <v>0.17948717948717949</v>
      </c>
      <c r="L4408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4408"/>
    </row>
    <row r="4409" spans="1:13" x14ac:dyDescent="0.3">
      <c r="A4409" s="7">
        <v>400243</v>
      </c>
      <c r="B4409" t="str">
        <f>_xlfn.XLOOKUP(Vendas[[#This Row],[ID Vendedor]],Vendedores[ID],Vendedores[Nome])</f>
        <v>Marcelo</v>
      </c>
      <c r="C4409" s="7" t="str">
        <f>_xlfn.XLOOKUP(Vendas[[#This Row],[ID Vendedor]],Vendedores[ID],Vendedores[Setor])</f>
        <v>FM</v>
      </c>
      <c r="D4409" s="7" t="s">
        <v>6</v>
      </c>
      <c r="E4409" t="str">
        <f>_xlfn.XLOOKUP(Vendas[[#This Row],[ID Item Vendido]],Agregado[ID],Agregado[Produto])</f>
        <v>Parafuso comum 500un</v>
      </c>
      <c r="F4409" s="39">
        <v>45724</v>
      </c>
      <c r="G4409" s="7">
        <v>10</v>
      </c>
      <c r="H4409" s="3">
        <f>_xlfn.XLOOKUP(Vendas[[#This Row],[ID Item Vendido]],Agregado[ID],Agregado[Revenda])</f>
        <v>24.6</v>
      </c>
      <c r="I4409" s="3">
        <f>Vendas[[#This Row],[Valor Unitário]]*Vendas[[#This Row],[Qnt Vendida]]</f>
        <v>246</v>
      </c>
      <c r="J4409" s="3">
        <f>Vendas[[#This Row],[Valor da Venda]]-(_xlfn.XLOOKUP(Vendas[[#This Row],[ID Item Vendido]],Agregado[ID],Agregado[Custo])*Vendas[[#This Row],[Qnt Vendida]])</f>
        <v>26</v>
      </c>
      <c r="K4409" s="70">
        <f>Vendas[[#This Row],[Lucro da Venda]]/Vendas[[#This Row],[Valor da Venda]]</f>
        <v>0.10569105691056911</v>
      </c>
      <c r="L4409" s="3">
        <f>_xlfn.IFS(Vendas[[#This Row],[Margem de Lucro (%)]]&lt;15%,Vendas[[#This Row],[Valor da Venda]]*3%,Vendas[[#This Row],[Margem de Lucro (%)]]&lt;=20%,Vendas[[#This Row],[Valor da Venda]]*4.5%,TRUE,Vendas[[#This Row],[Valor da Venda]]*6%)</f>
        <v>7.38</v>
      </c>
      <c r="M4409"/>
    </row>
    <row r="4410" spans="1:13" x14ac:dyDescent="0.3">
      <c r="A4410" s="7">
        <v>400247</v>
      </c>
      <c r="B4410" t="str">
        <f>_xlfn.XLOOKUP(Vendas[[#This Row],[ID Vendedor]],Vendedores[ID],Vendedores[Nome])</f>
        <v>André</v>
      </c>
      <c r="C4410" s="7" t="str">
        <f>_xlfn.XLOOKUP(Vendas[[#This Row],[ID Vendedor]],Vendedores[ID],Vendedores[Setor])</f>
        <v>CM</v>
      </c>
      <c r="D4410" s="7" t="s">
        <v>34</v>
      </c>
      <c r="E4410" t="str">
        <f>_xlfn.XLOOKUP(Vendas[[#This Row],[ID Item Vendido]],Agregado[ID],Agregado[Produto])</f>
        <v>Restos de madeira p/ MDP/OSB saco de 20kg</v>
      </c>
      <c r="F4410" s="39">
        <v>45724</v>
      </c>
      <c r="G4410" s="7">
        <v>14</v>
      </c>
      <c r="H4410" s="3">
        <f>_xlfn.XLOOKUP(Vendas[[#This Row],[ID Item Vendido]],Agregado[ID],Agregado[Revenda])</f>
        <v>13.8</v>
      </c>
      <c r="I4410" s="3">
        <f>Vendas[[#This Row],[Valor Unitário]]*Vendas[[#This Row],[Qnt Vendida]]</f>
        <v>193.20000000000002</v>
      </c>
      <c r="J4410" s="3">
        <f>Vendas[[#This Row],[Valor da Venda]]-(_xlfn.XLOOKUP(Vendas[[#This Row],[ID Item Vendido]],Agregado[ID],Agregado[Custo])*Vendas[[#This Row],[Qnt Vendida]])</f>
        <v>25.200000000000017</v>
      </c>
      <c r="K4410" s="70">
        <f>Vendas[[#This Row],[Lucro da Venda]]/Vendas[[#This Row],[Valor da Venda]]</f>
        <v>0.13043478260869573</v>
      </c>
      <c r="L4410" s="3">
        <f>_xlfn.IFS(Vendas[[#This Row],[Margem de Lucro (%)]]&lt;15%,Vendas[[#This Row],[Valor da Venda]]*3%,Vendas[[#This Row],[Margem de Lucro (%)]]&lt;=20%,Vendas[[#This Row],[Valor da Venda]]*4.5%,TRUE,Vendas[[#This Row],[Valor da Venda]]*6%)</f>
        <v>5.7960000000000003</v>
      </c>
      <c r="M4410"/>
    </row>
    <row r="4411" spans="1:13" x14ac:dyDescent="0.3">
      <c r="A4411" s="7">
        <v>400247</v>
      </c>
      <c r="B4411" t="str">
        <f>_xlfn.XLOOKUP(Vendas[[#This Row],[ID Vendedor]],Vendedores[ID],Vendedores[Nome])</f>
        <v>André</v>
      </c>
      <c r="C4411" s="7" t="str">
        <f>_xlfn.XLOOKUP(Vendas[[#This Row],[ID Vendedor]],Vendedores[ID],Vendedores[Setor])</f>
        <v>CM</v>
      </c>
      <c r="D4411" s="7" t="s">
        <v>34</v>
      </c>
      <c r="E4411" t="str">
        <f>_xlfn.XLOOKUP(Vendas[[#This Row],[ID Item Vendido]],Agregado[ID],Agregado[Produto])</f>
        <v>Restos de madeira p/ MDP/OSB saco de 20kg</v>
      </c>
      <c r="F4411" s="39">
        <v>45724</v>
      </c>
      <c r="G4411" s="7">
        <v>5</v>
      </c>
      <c r="H4411" s="3">
        <f>_xlfn.XLOOKUP(Vendas[[#This Row],[ID Item Vendido]],Agregado[ID],Agregado[Revenda])</f>
        <v>13.8</v>
      </c>
      <c r="I4411" s="3">
        <f>Vendas[[#This Row],[Valor Unitário]]*Vendas[[#This Row],[Qnt Vendida]]</f>
        <v>69</v>
      </c>
      <c r="J4411" s="3">
        <f>Vendas[[#This Row],[Valor da Venda]]-(_xlfn.XLOOKUP(Vendas[[#This Row],[ID Item Vendido]],Agregado[ID],Agregado[Custo])*Vendas[[#This Row],[Qnt Vendida]])</f>
        <v>9</v>
      </c>
      <c r="K4411" s="70">
        <f>Vendas[[#This Row],[Lucro da Venda]]/Vendas[[#This Row],[Valor da Venda]]</f>
        <v>0.13043478260869565</v>
      </c>
      <c r="L4411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4411"/>
    </row>
    <row r="4412" spans="1:13" x14ac:dyDescent="0.3">
      <c r="A4412" s="7">
        <v>400250</v>
      </c>
      <c r="B4412" t="str">
        <f>_xlfn.XLOOKUP(Vendas[[#This Row],[ID Vendedor]],Vendedores[ID],Vendedores[Nome])</f>
        <v>Larissa</v>
      </c>
      <c r="C4412" s="7" t="str">
        <f>_xlfn.XLOOKUP(Vendas[[#This Row],[ID Vendedor]],Vendedores[ID],Vendedores[Setor])</f>
        <v>AB</v>
      </c>
      <c r="D4412" s="7" t="s">
        <v>36</v>
      </c>
      <c r="E4412" t="str">
        <f>_xlfn.XLOOKUP(Vendas[[#This Row],[ID Item Vendido]],Agregado[ID],Agregado[Produto])</f>
        <v>Borracha vulcanizada em manta</v>
      </c>
      <c r="F4412" s="39">
        <v>45725</v>
      </c>
      <c r="G4412" s="7">
        <v>95</v>
      </c>
      <c r="H4412" s="3">
        <f>_xlfn.XLOOKUP(Vendas[[#This Row],[ID Item Vendido]],Agregado[ID],Agregado[Revenda])</f>
        <v>7.8</v>
      </c>
      <c r="I4412" s="3">
        <f>Vendas[[#This Row],[Valor Unitário]]*Vendas[[#This Row],[Qnt Vendida]]</f>
        <v>741</v>
      </c>
      <c r="J4412" s="3">
        <f>Vendas[[#This Row],[Valor da Venda]]-(_xlfn.XLOOKUP(Vendas[[#This Row],[ID Item Vendido]],Agregado[ID],Agregado[Custo])*Vendas[[#This Row],[Qnt Vendida]])</f>
        <v>171</v>
      </c>
      <c r="K4412" s="70">
        <f>Vendas[[#This Row],[Lucro da Venda]]/Vendas[[#This Row],[Valor da Venda]]</f>
        <v>0.23076923076923078</v>
      </c>
      <c r="L4412" s="3">
        <f>_xlfn.IFS(Vendas[[#This Row],[Margem de Lucro (%)]]&lt;15%,Vendas[[#This Row],[Valor da Venda]]*3%,Vendas[[#This Row],[Margem de Lucro (%)]]&lt;=20%,Vendas[[#This Row],[Valor da Venda]]*4.5%,TRUE,Vendas[[#This Row],[Valor da Venda]]*6%)</f>
        <v>44.46</v>
      </c>
      <c r="M4412"/>
    </row>
    <row r="4413" spans="1:13" x14ac:dyDescent="0.3">
      <c r="A4413" s="7">
        <v>400254</v>
      </c>
      <c r="B4413" t="str">
        <f>_xlfn.XLOOKUP(Vendas[[#This Row],[ID Vendedor]],Vendedores[ID],Vendedores[Nome])</f>
        <v>Beatriz</v>
      </c>
      <c r="C4413" s="7" t="str">
        <f>_xlfn.XLOOKUP(Vendas[[#This Row],[ID Vendedor]],Vendedores[ID],Vendedores[Setor])</f>
        <v>SC</v>
      </c>
      <c r="D4413" s="7" t="s">
        <v>42</v>
      </c>
      <c r="E4413" t="str">
        <f>_xlfn.XLOOKUP(Vendas[[#This Row],[ID Item Vendido]],Agregado[ID],Agregado[Produto])</f>
        <v>Container de ferro industrial</v>
      </c>
      <c r="F4413" s="39">
        <v>45726</v>
      </c>
      <c r="G4413" s="7">
        <v>2</v>
      </c>
      <c r="H4413" s="3">
        <f>_xlfn.XLOOKUP(Vendas[[#This Row],[ID Item Vendido]],Agregado[ID],Agregado[Revenda])</f>
        <v>830</v>
      </c>
      <c r="I4413" s="3">
        <f>Vendas[[#This Row],[Valor Unitário]]*Vendas[[#This Row],[Qnt Vendida]]</f>
        <v>1660</v>
      </c>
      <c r="J4413" s="3">
        <f>Vendas[[#This Row],[Valor da Venda]]-(_xlfn.XLOOKUP(Vendas[[#This Row],[ID Item Vendido]],Agregado[ID],Agregado[Custo])*Vendas[[#This Row],[Qnt Vendida]])</f>
        <v>300</v>
      </c>
      <c r="K4413" s="70">
        <f>Vendas[[#This Row],[Lucro da Venda]]/Vendas[[#This Row],[Valor da Venda]]</f>
        <v>0.18072289156626506</v>
      </c>
      <c r="L441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413"/>
    </row>
    <row r="4414" spans="1:13" x14ac:dyDescent="0.3">
      <c r="A4414" s="7">
        <v>400254</v>
      </c>
      <c r="B4414" t="str">
        <f>_xlfn.XLOOKUP(Vendas[[#This Row],[ID Vendedor]],Vendedores[ID],Vendedores[Nome])</f>
        <v>Beatriz</v>
      </c>
      <c r="C4414" s="7" t="str">
        <f>_xlfn.XLOOKUP(Vendas[[#This Row],[ID Vendedor]],Vendedores[ID],Vendedores[Setor])</f>
        <v>SC</v>
      </c>
      <c r="D4414" s="7" t="s">
        <v>48</v>
      </c>
      <c r="E4414" t="str">
        <f>_xlfn.XLOOKUP(Vendas[[#This Row],[ID Item Vendido]],Agregado[ID],Agregado[Produto])</f>
        <v>Tambor metálico 200L</v>
      </c>
      <c r="F4414" s="39">
        <v>45726</v>
      </c>
      <c r="G4414" s="7">
        <v>6</v>
      </c>
      <c r="H4414" s="3">
        <f>_xlfn.XLOOKUP(Vendas[[#This Row],[ID Item Vendido]],Agregado[ID],Agregado[Revenda])</f>
        <v>144</v>
      </c>
      <c r="I4414" s="3">
        <f>Vendas[[#This Row],[Valor Unitário]]*Vendas[[#This Row],[Qnt Vendida]]</f>
        <v>864</v>
      </c>
      <c r="J4414" s="3">
        <f>Vendas[[#This Row],[Valor da Venda]]-(_xlfn.XLOOKUP(Vendas[[#This Row],[ID Item Vendido]],Agregado[ID],Agregado[Custo])*Vendas[[#This Row],[Qnt Vendida]])</f>
        <v>144</v>
      </c>
      <c r="K4414" s="70">
        <f>Vendas[[#This Row],[Lucro da Venda]]/Vendas[[#This Row],[Valor da Venda]]</f>
        <v>0.16666666666666666</v>
      </c>
      <c r="L4414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4414"/>
    </row>
    <row r="4415" spans="1:13" x14ac:dyDescent="0.3">
      <c r="A4415" s="7">
        <v>400251</v>
      </c>
      <c r="B4415" t="str">
        <f>_xlfn.XLOOKUP(Vendas[[#This Row],[ID Vendedor]],Vendedores[ID],Vendedores[Nome])</f>
        <v>Diego</v>
      </c>
      <c r="C4415" s="7" t="str">
        <f>_xlfn.XLOOKUP(Vendas[[#This Row],[ID Vendedor]],Vendedores[ID],Vendedores[Setor])</f>
        <v>AB</v>
      </c>
      <c r="D4415" s="7" t="s">
        <v>36</v>
      </c>
      <c r="E4415" t="str">
        <f>_xlfn.XLOOKUP(Vendas[[#This Row],[ID Item Vendido]],Agregado[ID],Agregado[Produto])</f>
        <v>Borracha vulcanizada em manta</v>
      </c>
      <c r="F4415" s="39">
        <v>45726</v>
      </c>
      <c r="G4415" s="7">
        <v>95</v>
      </c>
      <c r="H4415" s="3">
        <f>_xlfn.XLOOKUP(Vendas[[#This Row],[ID Item Vendido]],Agregado[ID],Agregado[Revenda])</f>
        <v>7.8</v>
      </c>
      <c r="I4415" s="3">
        <f>Vendas[[#This Row],[Valor Unitário]]*Vendas[[#This Row],[Qnt Vendida]]</f>
        <v>741</v>
      </c>
      <c r="J4415" s="3">
        <f>Vendas[[#This Row],[Valor da Venda]]-(_xlfn.XLOOKUP(Vendas[[#This Row],[ID Item Vendido]],Agregado[ID],Agregado[Custo])*Vendas[[#This Row],[Qnt Vendida]])</f>
        <v>171</v>
      </c>
      <c r="K4415" s="70">
        <f>Vendas[[#This Row],[Lucro da Venda]]/Vendas[[#This Row],[Valor da Venda]]</f>
        <v>0.23076923076923078</v>
      </c>
      <c r="L4415" s="3">
        <f>_xlfn.IFS(Vendas[[#This Row],[Margem de Lucro (%)]]&lt;15%,Vendas[[#This Row],[Valor da Venda]]*3%,Vendas[[#This Row],[Margem de Lucro (%)]]&lt;=20%,Vendas[[#This Row],[Valor da Venda]]*4.5%,TRUE,Vendas[[#This Row],[Valor da Venda]]*6%)</f>
        <v>44.46</v>
      </c>
      <c r="M4415"/>
    </row>
    <row r="4416" spans="1:13" x14ac:dyDescent="0.3">
      <c r="A4416" s="7">
        <v>400252</v>
      </c>
      <c r="B4416" t="str">
        <f>_xlfn.XLOOKUP(Vendas[[#This Row],[ID Vendedor]],Vendedores[ID],Vendedores[Nome])</f>
        <v>Renata</v>
      </c>
      <c r="C4416" s="7" t="str">
        <f>_xlfn.XLOOKUP(Vendas[[#This Row],[ID Vendedor]],Vendedores[ID],Vendedores[Setor])</f>
        <v>AB</v>
      </c>
      <c r="D4416" s="7" t="s">
        <v>36</v>
      </c>
      <c r="E4416" t="str">
        <f>_xlfn.XLOOKUP(Vendas[[#This Row],[ID Item Vendido]],Agregado[ID],Agregado[Produto])</f>
        <v>Borracha vulcanizada em manta</v>
      </c>
      <c r="F4416" s="39">
        <v>45727</v>
      </c>
      <c r="G4416" s="7">
        <v>90</v>
      </c>
      <c r="H4416" s="3">
        <f>_xlfn.XLOOKUP(Vendas[[#This Row],[ID Item Vendido]],Agregado[ID],Agregado[Revenda])</f>
        <v>7.8</v>
      </c>
      <c r="I4416" s="3">
        <f>Vendas[[#This Row],[Valor Unitário]]*Vendas[[#This Row],[Qnt Vendida]]</f>
        <v>702</v>
      </c>
      <c r="J4416" s="3">
        <f>Vendas[[#This Row],[Valor da Venda]]-(_xlfn.XLOOKUP(Vendas[[#This Row],[ID Item Vendido]],Agregado[ID],Agregado[Custo])*Vendas[[#This Row],[Qnt Vendida]])</f>
        <v>162</v>
      </c>
      <c r="K4416" s="70">
        <f>Vendas[[#This Row],[Lucro da Venda]]/Vendas[[#This Row],[Valor da Venda]]</f>
        <v>0.23076923076923078</v>
      </c>
      <c r="L4416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4416"/>
    </row>
    <row r="4417" spans="1:13" x14ac:dyDescent="0.3">
      <c r="A4417" s="7">
        <v>400246</v>
      </c>
      <c r="B4417" t="str">
        <f>_xlfn.XLOOKUP(Vendas[[#This Row],[ID Vendedor]],Vendedores[ID],Vendedores[Nome])</f>
        <v>Juliana</v>
      </c>
      <c r="C4417" s="7" t="str">
        <f>_xlfn.XLOOKUP(Vendas[[#This Row],[ID Vendedor]],Vendedores[ID],Vendedores[Setor])</f>
        <v>AHD</v>
      </c>
      <c r="D4417" s="7" t="s">
        <v>44</v>
      </c>
      <c r="E4417" t="str">
        <f>_xlfn.XLOOKUP(Vendas[[#This Row],[ID Item Vendido]],Agregado[ID],Agregado[Produto])</f>
        <v>Liga metálica especial</v>
      </c>
      <c r="F4417" s="39">
        <v>45728</v>
      </c>
      <c r="G4417" s="7">
        <v>41</v>
      </c>
      <c r="H4417" s="3">
        <f>_xlfn.XLOOKUP(Vendas[[#This Row],[ID Item Vendido]],Agregado[ID],Agregado[Revenda])</f>
        <v>32.5</v>
      </c>
      <c r="I4417" s="3">
        <f>Vendas[[#This Row],[Valor Unitário]]*Vendas[[#This Row],[Qnt Vendida]]</f>
        <v>1332.5</v>
      </c>
      <c r="J4417" s="3">
        <f>Vendas[[#This Row],[Valor da Venda]]-(_xlfn.XLOOKUP(Vendas[[#This Row],[ID Item Vendido]],Agregado[ID],Agregado[Custo])*Vendas[[#This Row],[Qnt Vendida]])</f>
        <v>307.5</v>
      </c>
      <c r="K4417" s="70">
        <f>Vendas[[#This Row],[Lucro da Venda]]/Vendas[[#This Row],[Valor da Venda]]</f>
        <v>0.23076923076923078</v>
      </c>
      <c r="L4417" s="3">
        <f>_xlfn.IFS(Vendas[[#This Row],[Margem de Lucro (%)]]&lt;15%,Vendas[[#This Row],[Valor da Venda]]*3%,Vendas[[#This Row],[Margem de Lucro (%)]]&lt;=20%,Vendas[[#This Row],[Valor da Venda]]*4.5%,TRUE,Vendas[[#This Row],[Valor da Venda]]*6%)</f>
        <v>79.95</v>
      </c>
      <c r="M4417"/>
    </row>
    <row r="4418" spans="1:13" x14ac:dyDescent="0.3">
      <c r="A4418" s="7">
        <v>400251</v>
      </c>
      <c r="B4418" t="str">
        <f>_xlfn.XLOOKUP(Vendas[[#This Row],[ID Vendedor]],Vendedores[ID],Vendedores[Nome])</f>
        <v>Diego</v>
      </c>
      <c r="C4418" s="7" t="str">
        <f>_xlfn.XLOOKUP(Vendas[[#This Row],[ID Vendedor]],Vendedores[ID],Vendedores[Setor])</f>
        <v>AB</v>
      </c>
      <c r="D4418" s="7" t="s">
        <v>36</v>
      </c>
      <c r="E4418" t="str">
        <f>_xlfn.XLOOKUP(Vendas[[#This Row],[ID Item Vendido]],Agregado[ID],Agregado[Produto])</f>
        <v>Borracha vulcanizada em manta</v>
      </c>
      <c r="F4418" s="39">
        <v>45729</v>
      </c>
      <c r="G4418" s="7">
        <v>66</v>
      </c>
      <c r="H4418" s="3">
        <f>_xlfn.XLOOKUP(Vendas[[#This Row],[ID Item Vendido]],Agregado[ID],Agregado[Revenda])</f>
        <v>7.8</v>
      </c>
      <c r="I4418" s="3">
        <f>Vendas[[#This Row],[Valor Unitário]]*Vendas[[#This Row],[Qnt Vendida]]</f>
        <v>514.79999999999995</v>
      </c>
      <c r="J4418" s="3">
        <f>Vendas[[#This Row],[Valor da Venda]]-(_xlfn.XLOOKUP(Vendas[[#This Row],[ID Item Vendido]],Agregado[ID],Agregado[Custo])*Vendas[[#This Row],[Qnt Vendida]])</f>
        <v>118.79999999999995</v>
      </c>
      <c r="K4418" s="70">
        <f>Vendas[[#This Row],[Lucro da Venda]]/Vendas[[#This Row],[Valor da Venda]]</f>
        <v>0.2307692307692307</v>
      </c>
      <c r="L4418" s="3">
        <f>_xlfn.IFS(Vendas[[#This Row],[Margem de Lucro (%)]]&lt;15%,Vendas[[#This Row],[Valor da Venda]]*3%,Vendas[[#This Row],[Margem de Lucro (%)]]&lt;=20%,Vendas[[#This Row],[Valor da Venda]]*4.5%,TRUE,Vendas[[#This Row],[Valor da Venda]]*6%)</f>
        <v>30.887999999999995</v>
      </c>
      <c r="M4418"/>
    </row>
    <row r="4419" spans="1:13" x14ac:dyDescent="0.3">
      <c r="A4419" s="7">
        <v>400252</v>
      </c>
      <c r="B4419" t="str">
        <f>_xlfn.XLOOKUP(Vendas[[#This Row],[ID Vendedor]],Vendedores[ID],Vendedores[Nome])</f>
        <v>Renata</v>
      </c>
      <c r="C4419" s="7" t="str">
        <f>_xlfn.XLOOKUP(Vendas[[#This Row],[ID Vendedor]],Vendedores[ID],Vendedores[Setor])</f>
        <v>AB</v>
      </c>
      <c r="D4419" s="7" t="s">
        <v>36</v>
      </c>
      <c r="E4419" t="str">
        <f>_xlfn.XLOOKUP(Vendas[[#This Row],[ID Item Vendido]],Agregado[ID],Agregado[Produto])</f>
        <v>Borracha vulcanizada em manta</v>
      </c>
      <c r="F4419" s="39">
        <v>45729</v>
      </c>
      <c r="G4419" s="7">
        <v>61</v>
      </c>
      <c r="H4419" s="3">
        <f>_xlfn.XLOOKUP(Vendas[[#This Row],[ID Item Vendido]],Agregado[ID],Agregado[Revenda])</f>
        <v>7.8</v>
      </c>
      <c r="I4419" s="3">
        <f>Vendas[[#This Row],[Valor Unitário]]*Vendas[[#This Row],[Qnt Vendida]]</f>
        <v>475.8</v>
      </c>
      <c r="J4419" s="3">
        <f>Vendas[[#This Row],[Valor da Venda]]-(_xlfn.XLOOKUP(Vendas[[#This Row],[ID Item Vendido]],Agregado[ID],Agregado[Custo])*Vendas[[#This Row],[Qnt Vendida]])</f>
        <v>109.80000000000001</v>
      </c>
      <c r="K4419" s="70">
        <f>Vendas[[#This Row],[Lucro da Venda]]/Vendas[[#This Row],[Valor da Venda]]</f>
        <v>0.23076923076923078</v>
      </c>
      <c r="L4419" s="3">
        <f>_xlfn.IFS(Vendas[[#This Row],[Margem de Lucro (%)]]&lt;15%,Vendas[[#This Row],[Valor da Venda]]*3%,Vendas[[#This Row],[Margem de Lucro (%)]]&lt;=20%,Vendas[[#This Row],[Valor da Venda]]*4.5%,TRUE,Vendas[[#This Row],[Valor da Venda]]*6%)</f>
        <v>28.547999999999998</v>
      </c>
      <c r="M4419"/>
    </row>
    <row r="4420" spans="1:13" x14ac:dyDescent="0.3">
      <c r="A4420" s="7">
        <v>400246</v>
      </c>
      <c r="B4420" t="str">
        <f>_xlfn.XLOOKUP(Vendas[[#This Row],[ID Vendedor]],Vendedores[ID],Vendedores[Nome])</f>
        <v>Juliana</v>
      </c>
      <c r="C4420" s="7" t="str">
        <f>_xlfn.XLOOKUP(Vendas[[#This Row],[ID Vendedor]],Vendedores[ID],Vendedores[Setor])</f>
        <v>AHD</v>
      </c>
      <c r="D4420" s="7" t="s">
        <v>30</v>
      </c>
      <c r="E4420" t="str">
        <f>_xlfn.XLOOKUP(Vendas[[#This Row],[ID Item Vendido]],Agregado[ID],Agregado[Produto])</f>
        <v>Estrutura metálica soldada</v>
      </c>
      <c r="F4420" s="39">
        <v>45729</v>
      </c>
      <c r="G4420" s="7">
        <v>1</v>
      </c>
      <c r="H4420" s="3">
        <f>_xlfn.XLOOKUP(Vendas[[#This Row],[ID Item Vendido]],Agregado[ID],Agregado[Revenda])</f>
        <v>400</v>
      </c>
      <c r="I4420" s="3">
        <f>Vendas[[#This Row],[Valor Unitário]]*Vendas[[#This Row],[Qnt Vendida]]</f>
        <v>400</v>
      </c>
      <c r="J4420" s="3">
        <f>Vendas[[#This Row],[Valor da Venda]]-(_xlfn.XLOOKUP(Vendas[[#This Row],[ID Item Vendido]],Agregado[ID],Agregado[Custo])*Vendas[[#This Row],[Qnt Vendida]])</f>
        <v>80</v>
      </c>
      <c r="K4420" s="70">
        <f>Vendas[[#This Row],[Lucro da Venda]]/Vendas[[#This Row],[Valor da Venda]]</f>
        <v>0.2</v>
      </c>
      <c r="L4420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4420"/>
    </row>
    <row r="4421" spans="1:13" x14ac:dyDescent="0.3">
      <c r="A4421" s="7">
        <v>400244</v>
      </c>
      <c r="B4421" t="str">
        <f>_xlfn.XLOOKUP(Vendas[[#This Row],[ID Vendedor]],Vendedores[ID],Vendedores[Nome])</f>
        <v>Camila</v>
      </c>
      <c r="C4421" s="7" t="str">
        <f>_xlfn.XLOOKUP(Vendas[[#This Row],[ID Vendedor]],Vendedores[ID],Vendedores[Setor])</f>
        <v>AHD</v>
      </c>
      <c r="D4421" s="7" t="s">
        <v>18</v>
      </c>
      <c r="E4421" t="str">
        <f>_xlfn.XLOOKUP(Vendas[[#This Row],[ID Item Vendido]],Agregado[ID],Agregado[Produto])</f>
        <v>Peça forjada sob encomenda</v>
      </c>
      <c r="F4421" s="39">
        <v>45730</v>
      </c>
      <c r="G4421" s="7">
        <v>6</v>
      </c>
      <c r="H4421" s="3">
        <f>_xlfn.XLOOKUP(Vendas[[#This Row],[ID Item Vendido]],Agregado[ID],Agregado[Revenda])</f>
        <v>264.60000000000002</v>
      </c>
      <c r="I4421" s="3">
        <f>Vendas[[#This Row],[Valor Unitário]]*Vendas[[#This Row],[Qnt Vendida]]</f>
        <v>1587.6000000000001</v>
      </c>
      <c r="J4421" s="3">
        <f>Vendas[[#This Row],[Valor da Venda]]-(_xlfn.XLOOKUP(Vendas[[#This Row],[ID Item Vendido]],Agregado[ID],Agregado[Custo])*Vendas[[#This Row],[Qnt Vendida]])</f>
        <v>87.600000000000136</v>
      </c>
      <c r="K4421" s="70">
        <f>Vendas[[#This Row],[Lucro da Venda]]/Vendas[[#This Row],[Valor da Venda]]</f>
        <v>5.5177626606198113E-2</v>
      </c>
      <c r="L442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421"/>
    </row>
    <row r="4422" spans="1:13" x14ac:dyDescent="0.3">
      <c r="A4422" s="7">
        <v>400246</v>
      </c>
      <c r="B4422" t="str">
        <f>_xlfn.XLOOKUP(Vendas[[#This Row],[ID Vendedor]],Vendedores[ID],Vendedores[Nome])</f>
        <v>Juliana</v>
      </c>
      <c r="C4422" s="7" t="str">
        <f>_xlfn.XLOOKUP(Vendas[[#This Row],[ID Vendedor]],Vendedores[ID],Vendedores[Setor])</f>
        <v>AHD</v>
      </c>
      <c r="D4422" s="7" t="s">
        <v>28</v>
      </c>
      <c r="E4422" t="str">
        <f>_xlfn.XLOOKUP(Vendas[[#This Row],[ID Item Vendido]],Agregado[ID],Agregado[Produto])</f>
        <v>Peça usinada CNC</v>
      </c>
      <c r="F4422" s="39">
        <v>45730</v>
      </c>
      <c r="G4422" s="7">
        <v>8</v>
      </c>
      <c r="H4422" s="3">
        <f>_xlfn.XLOOKUP(Vendas[[#This Row],[ID Item Vendido]],Agregado[ID],Agregado[Revenda])</f>
        <v>192</v>
      </c>
      <c r="I4422" s="3">
        <f>Vendas[[#This Row],[Valor Unitário]]*Vendas[[#This Row],[Qnt Vendida]]</f>
        <v>1536</v>
      </c>
      <c r="J4422" s="3">
        <f>Vendas[[#This Row],[Valor da Venda]]-(_xlfn.XLOOKUP(Vendas[[#This Row],[ID Item Vendido]],Agregado[ID],Agregado[Custo])*Vendas[[#This Row],[Qnt Vendida]])</f>
        <v>336</v>
      </c>
      <c r="K4422" s="70">
        <f>Vendas[[#This Row],[Lucro da Venda]]/Vendas[[#This Row],[Valor da Venda]]</f>
        <v>0.21875</v>
      </c>
      <c r="L4422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4422"/>
    </row>
    <row r="4423" spans="1:13" x14ac:dyDescent="0.3">
      <c r="A4423" s="7">
        <v>400253</v>
      </c>
      <c r="B4423" t="str">
        <f>_xlfn.XLOOKUP(Vendas[[#This Row],[ID Vendedor]],Vendedores[ID],Vendedores[Nome])</f>
        <v>Gustavo</v>
      </c>
      <c r="C4423" s="7" t="str">
        <f>_xlfn.XLOOKUP(Vendas[[#This Row],[ID Vendedor]],Vendedores[ID],Vendedores[Setor])</f>
        <v>SC</v>
      </c>
      <c r="D4423" s="7" t="s">
        <v>14</v>
      </c>
      <c r="E4423" t="str">
        <f>_xlfn.XLOOKUP(Vendas[[#This Row],[ID Item Vendido]],Agregado[ID],Agregado[Produto])</f>
        <v>Barril de plástico 200L</v>
      </c>
      <c r="F4423" s="39">
        <v>45730</v>
      </c>
      <c r="G4423" s="7">
        <v>12</v>
      </c>
      <c r="H4423" s="3">
        <f>_xlfn.XLOOKUP(Vendas[[#This Row],[ID Item Vendido]],Agregado[ID],Agregado[Revenda])</f>
        <v>114</v>
      </c>
      <c r="I4423" s="3">
        <f>Vendas[[#This Row],[Valor Unitário]]*Vendas[[#This Row],[Qnt Vendida]]</f>
        <v>1368</v>
      </c>
      <c r="J4423" s="3">
        <f>Vendas[[#This Row],[Valor da Venda]]-(_xlfn.XLOOKUP(Vendas[[#This Row],[ID Item Vendido]],Agregado[ID],Agregado[Custo])*Vendas[[#This Row],[Qnt Vendida]])</f>
        <v>228</v>
      </c>
      <c r="K4423" s="70">
        <f>Vendas[[#This Row],[Lucro da Venda]]/Vendas[[#This Row],[Valor da Venda]]</f>
        <v>0.16666666666666666</v>
      </c>
      <c r="L4423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4423"/>
    </row>
    <row r="4424" spans="1:13" x14ac:dyDescent="0.3">
      <c r="A4424" s="7">
        <v>400252</v>
      </c>
      <c r="B4424" t="str">
        <f>_xlfn.XLOOKUP(Vendas[[#This Row],[ID Vendedor]],Vendedores[ID],Vendedores[Nome])</f>
        <v>Renata</v>
      </c>
      <c r="C4424" s="7" t="str">
        <f>_xlfn.XLOOKUP(Vendas[[#This Row],[ID Vendedor]],Vendedores[ID],Vendedores[Setor])</f>
        <v>AB</v>
      </c>
      <c r="D4424" s="7" t="s">
        <v>37</v>
      </c>
      <c r="E4424" t="str">
        <f>_xlfn.XLOOKUP(Vendas[[#This Row],[ID Item Vendido]],Agregado[ID],Agregado[Produto])</f>
        <v>Composto de borracha para vedação rolo 10m</v>
      </c>
      <c r="F4424" s="39">
        <v>45731</v>
      </c>
      <c r="G4424" s="7">
        <v>15</v>
      </c>
      <c r="H4424" s="3">
        <f>_xlfn.XLOOKUP(Vendas[[#This Row],[ID Item Vendido]],Agregado[ID],Agregado[Revenda])</f>
        <v>51.2</v>
      </c>
      <c r="I4424" s="3">
        <f>Vendas[[#This Row],[Valor Unitário]]*Vendas[[#This Row],[Qnt Vendida]]</f>
        <v>768</v>
      </c>
      <c r="J4424" s="3">
        <f>Vendas[[#This Row],[Valor da Venda]]-(_xlfn.XLOOKUP(Vendas[[#This Row],[ID Item Vendido]],Agregado[ID],Agregado[Custo])*Vendas[[#This Row],[Qnt Vendida]])</f>
        <v>168</v>
      </c>
      <c r="K4424" s="70">
        <f>Vendas[[#This Row],[Lucro da Venda]]/Vendas[[#This Row],[Valor da Venda]]</f>
        <v>0.21875</v>
      </c>
      <c r="L4424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4424"/>
    </row>
    <row r="4425" spans="1:13" x14ac:dyDescent="0.3">
      <c r="A4425" s="7">
        <v>400246</v>
      </c>
      <c r="B4425" t="str">
        <f>_xlfn.XLOOKUP(Vendas[[#This Row],[ID Vendedor]],Vendedores[ID],Vendedores[Nome])</f>
        <v>Juliana</v>
      </c>
      <c r="C4425" s="7" t="str">
        <f>_xlfn.XLOOKUP(Vendas[[#This Row],[ID Vendedor]],Vendedores[ID],Vendedores[Setor])</f>
        <v>AHD</v>
      </c>
      <c r="D4425" s="7" t="s">
        <v>30</v>
      </c>
      <c r="E4425" t="str">
        <f>_xlfn.XLOOKUP(Vendas[[#This Row],[ID Item Vendido]],Agregado[ID],Agregado[Produto])</f>
        <v>Estrutura metálica soldada</v>
      </c>
      <c r="F4425" s="39">
        <v>45732</v>
      </c>
      <c r="G4425" s="7">
        <v>6</v>
      </c>
      <c r="H4425" s="3">
        <f>_xlfn.XLOOKUP(Vendas[[#This Row],[ID Item Vendido]],Agregado[ID],Agregado[Revenda])</f>
        <v>400</v>
      </c>
      <c r="I4425" s="3">
        <f>Vendas[[#This Row],[Valor Unitário]]*Vendas[[#This Row],[Qnt Vendida]]</f>
        <v>2400</v>
      </c>
      <c r="J4425" s="3">
        <f>Vendas[[#This Row],[Valor da Venda]]-(_xlfn.XLOOKUP(Vendas[[#This Row],[ID Item Vendido]],Agregado[ID],Agregado[Custo])*Vendas[[#This Row],[Qnt Vendida]])</f>
        <v>480</v>
      </c>
      <c r="K4425" s="70">
        <f>Vendas[[#This Row],[Lucro da Venda]]/Vendas[[#This Row],[Valor da Venda]]</f>
        <v>0.2</v>
      </c>
      <c r="L4425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4425"/>
    </row>
    <row r="4426" spans="1:13" x14ac:dyDescent="0.3">
      <c r="A4426" s="7">
        <v>400255</v>
      </c>
      <c r="B4426" t="str">
        <f>_xlfn.XLOOKUP(Vendas[[#This Row],[ID Vendedor]],Vendedores[ID],Vendedores[Nome])</f>
        <v>Carlos</v>
      </c>
      <c r="C4426" s="7" t="str">
        <f>_xlfn.XLOOKUP(Vendas[[#This Row],[ID Vendedor]],Vendedores[ID],Vendedores[Setor])</f>
        <v>SC</v>
      </c>
      <c r="D4426" s="7" t="s">
        <v>48</v>
      </c>
      <c r="E4426" t="str">
        <f>_xlfn.XLOOKUP(Vendas[[#This Row],[ID Item Vendido]],Agregado[ID],Agregado[Produto])</f>
        <v>Tambor metálico 200L</v>
      </c>
      <c r="F4426" s="39">
        <v>45732</v>
      </c>
      <c r="G4426" s="7">
        <v>9</v>
      </c>
      <c r="H4426" s="3">
        <f>_xlfn.XLOOKUP(Vendas[[#This Row],[ID Item Vendido]],Agregado[ID],Agregado[Revenda])</f>
        <v>144</v>
      </c>
      <c r="I4426" s="3">
        <f>Vendas[[#This Row],[Valor Unitário]]*Vendas[[#This Row],[Qnt Vendida]]</f>
        <v>1296</v>
      </c>
      <c r="J4426" s="3">
        <f>Vendas[[#This Row],[Valor da Venda]]-(_xlfn.XLOOKUP(Vendas[[#This Row],[ID Item Vendido]],Agregado[ID],Agregado[Custo])*Vendas[[#This Row],[Qnt Vendida]])</f>
        <v>216</v>
      </c>
      <c r="K4426" s="70">
        <f>Vendas[[#This Row],[Lucro da Venda]]/Vendas[[#This Row],[Valor da Venda]]</f>
        <v>0.16666666666666666</v>
      </c>
      <c r="L4426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426"/>
    </row>
    <row r="4427" spans="1:13" x14ac:dyDescent="0.3">
      <c r="A4427" s="7">
        <v>400248</v>
      </c>
      <c r="B4427" t="str">
        <f>_xlfn.XLOOKUP(Vendas[[#This Row],[ID Vendedor]],Vendedores[ID],Vendedores[Nome])</f>
        <v>Patrícia</v>
      </c>
      <c r="C4427" s="7" t="str">
        <f>_xlfn.XLOOKUP(Vendas[[#This Row],[ID Vendedor]],Vendedores[ID],Vendedores[Setor])</f>
        <v>CM</v>
      </c>
      <c r="D4427" s="7" t="s">
        <v>43</v>
      </c>
      <c r="E4427" t="str">
        <f>_xlfn.XLOOKUP(Vendas[[#This Row],[ID Item Vendido]],Agregado[ID],Agregado[Produto])</f>
        <v>Madeira Bruta (Tora)</v>
      </c>
      <c r="F4427" s="39">
        <v>45732</v>
      </c>
      <c r="G4427" s="7">
        <v>6</v>
      </c>
      <c r="H4427" s="3">
        <f>_xlfn.XLOOKUP(Vendas[[#This Row],[ID Item Vendido]],Agregado[ID],Agregado[Revenda])</f>
        <v>212</v>
      </c>
      <c r="I4427" s="3">
        <f>Vendas[[#This Row],[Valor Unitário]]*Vendas[[#This Row],[Qnt Vendida]]</f>
        <v>1272</v>
      </c>
      <c r="J4427" s="3">
        <f>Vendas[[#This Row],[Valor da Venda]]-(_xlfn.XLOOKUP(Vendas[[#This Row],[ID Item Vendido]],Agregado[ID],Agregado[Custo])*Vendas[[#This Row],[Qnt Vendida]])</f>
        <v>192</v>
      </c>
      <c r="K4427" s="70">
        <f>Vendas[[#This Row],[Lucro da Venda]]/Vendas[[#This Row],[Valor da Venda]]</f>
        <v>0.15094339622641509</v>
      </c>
      <c r="L4427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4427"/>
    </row>
    <row r="4428" spans="1:13" x14ac:dyDescent="0.3">
      <c r="A4428" s="7">
        <v>400248</v>
      </c>
      <c r="B4428" t="str">
        <f>_xlfn.XLOOKUP(Vendas[[#This Row],[ID Vendedor]],Vendedores[ID],Vendedores[Nome])</f>
        <v>Patrícia</v>
      </c>
      <c r="C4428" s="7" t="str">
        <f>_xlfn.XLOOKUP(Vendas[[#This Row],[ID Vendedor]],Vendedores[ID],Vendedores[Setor])</f>
        <v>CM</v>
      </c>
      <c r="D4428" s="7" t="s">
        <v>43</v>
      </c>
      <c r="E4428" t="str">
        <f>_xlfn.XLOOKUP(Vendas[[#This Row],[ID Item Vendido]],Agregado[ID],Agregado[Produto])</f>
        <v>Madeira Bruta (Tora)</v>
      </c>
      <c r="F4428" s="39">
        <v>45732</v>
      </c>
      <c r="G4428" s="7">
        <v>5</v>
      </c>
      <c r="H4428" s="3">
        <f>_xlfn.XLOOKUP(Vendas[[#This Row],[ID Item Vendido]],Agregado[ID],Agregado[Revenda])</f>
        <v>212</v>
      </c>
      <c r="I4428" s="3">
        <f>Vendas[[#This Row],[Valor Unitário]]*Vendas[[#This Row],[Qnt Vendida]]</f>
        <v>1060</v>
      </c>
      <c r="J4428" s="3">
        <f>Vendas[[#This Row],[Valor da Venda]]-(_xlfn.XLOOKUP(Vendas[[#This Row],[ID Item Vendido]],Agregado[ID],Agregado[Custo])*Vendas[[#This Row],[Qnt Vendida]])</f>
        <v>160</v>
      </c>
      <c r="K4428" s="70">
        <f>Vendas[[#This Row],[Lucro da Venda]]/Vendas[[#This Row],[Valor da Venda]]</f>
        <v>0.15094339622641509</v>
      </c>
      <c r="L4428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4428"/>
    </row>
    <row r="4429" spans="1:13" x14ac:dyDescent="0.3">
      <c r="A4429" s="7">
        <v>400244</v>
      </c>
      <c r="B4429" t="str">
        <f>_xlfn.XLOOKUP(Vendas[[#This Row],[ID Vendedor]],Vendedores[ID],Vendedores[Nome])</f>
        <v>Camila</v>
      </c>
      <c r="C4429" s="7" t="str">
        <f>_xlfn.XLOOKUP(Vendas[[#This Row],[ID Vendedor]],Vendedores[ID],Vendedores[Setor])</f>
        <v>AHD</v>
      </c>
      <c r="D4429" s="7" t="s">
        <v>9</v>
      </c>
      <c r="E4429" t="str">
        <f>_xlfn.XLOOKUP(Vendas[[#This Row],[ID Item Vendido]],Agregado[ID],Agregado[Produto])</f>
        <v>Barra de aço simples</v>
      </c>
      <c r="F4429" s="39">
        <v>45732</v>
      </c>
      <c r="G4429" s="7">
        <v>103</v>
      </c>
      <c r="H4429" s="3">
        <f>_xlfn.XLOOKUP(Vendas[[#This Row],[ID Item Vendido]],Agregado[ID],Agregado[Revenda])</f>
        <v>6.7</v>
      </c>
      <c r="I4429" s="3">
        <f>Vendas[[#This Row],[Valor Unitário]]*Vendas[[#This Row],[Qnt Vendida]]</f>
        <v>690.1</v>
      </c>
      <c r="J4429" s="3">
        <f>Vendas[[#This Row],[Valor da Venda]]-(_xlfn.XLOOKUP(Vendas[[#This Row],[ID Item Vendido]],Agregado[ID],Agregado[Custo])*Vendas[[#This Row],[Qnt Vendida]])</f>
        <v>92.700000000000045</v>
      </c>
      <c r="K4429" s="70">
        <f>Vendas[[#This Row],[Lucro da Venda]]/Vendas[[#This Row],[Valor da Venda]]</f>
        <v>0.13432835820895528</v>
      </c>
      <c r="L4429" s="3">
        <f>_xlfn.IFS(Vendas[[#This Row],[Margem de Lucro (%)]]&lt;15%,Vendas[[#This Row],[Valor da Venda]]*3%,Vendas[[#This Row],[Margem de Lucro (%)]]&lt;=20%,Vendas[[#This Row],[Valor da Venda]]*4.5%,TRUE,Vendas[[#This Row],[Valor da Venda]]*6%)</f>
        <v>20.702999999999999</v>
      </c>
      <c r="M4429"/>
    </row>
    <row r="4430" spans="1:13" x14ac:dyDescent="0.3">
      <c r="A4430" s="7">
        <v>400250</v>
      </c>
      <c r="B4430" t="str">
        <f>_xlfn.XLOOKUP(Vendas[[#This Row],[ID Vendedor]],Vendedores[ID],Vendedores[Nome])</f>
        <v>Larissa</v>
      </c>
      <c r="C4430" s="7" t="str">
        <f>_xlfn.XLOOKUP(Vendas[[#This Row],[ID Vendedor]],Vendedores[ID],Vendedores[Setor])</f>
        <v>AB</v>
      </c>
      <c r="D4430" s="7" t="s">
        <v>37</v>
      </c>
      <c r="E4430" t="str">
        <f>_xlfn.XLOOKUP(Vendas[[#This Row],[ID Item Vendido]],Agregado[ID],Agregado[Produto])</f>
        <v>Composto de borracha para vedação rolo 10m</v>
      </c>
      <c r="F4430" s="39">
        <v>45732</v>
      </c>
      <c r="G4430" s="7">
        <v>13</v>
      </c>
      <c r="H4430" s="3">
        <f>_xlfn.XLOOKUP(Vendas[[#This Row],[ID Item Vendido]],Agregado[ID],Agregado[Revenda])</f>
        <v>51.2</v>
      </c>
      <c r="I4430" s="3">
        <f>Vendas[[#This Row],[Valor Unitário]]*Vendas[[#This Row],[Qnt Vendida]]</f>
        <v>665.6</v>
      </c>
      <c r="J4430" s="3">
        <f>Vendas[[#This Row],[Valor da Venda]]-(_xlfn.XLOOKUP(Vendas[[#This Row],[ID Item Vendido]],Agregado[ID],Agregado[Custo])*Vendas[[#This Row],[Qnt Vendida]])</f>
        <v>145.60000000000002</v>
      </c>
      <c r="K4430" s="70">
        <f>Vendas[[#This Row],[Lucro da Venda]]/Vendas[[#This Row],[Valor da Venda]]</f>
        <v>0.21875000000000003</v>
      </c>
      <c r="L4430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4430"/>
    </row>
    <row r="4431" spans="1:13" x14ac:dyDescent="0.3">
      <c r="A4431" s="7">
        <v>400251</v>
      </c>
      <c r="B4431" t="str">
        <f>_xlfn.XLOOKUP(Vendas[[#This Row],[ID Vendedor]],Vendedores[ID],Vendedores[Nome])</f>
        <v>Diego</v>
      </c>
      <c r="C4431" s="7" t="str">
        <f>_xlfn.XLOOKUP(Vendas[[#This Row],[ID Vendedor]],Vendedores[ID],Vendedores[Setor])</f>
        <v>AB</v>
      </c>
      <c r="D4431" s="7" t="s">
        <v>24</v>
      </c>
      <c r="E4431" t="str">
        <f>_xlfn.XLOOKUP(Vendas[[#This Row],[ID Item Vendido]],Agregado[ID],Agregado[Produto])</f>
        <v>Resina plástica PET purificada saco de 25kg</v>
      </c>
      <c r="F4431" s="39">
        <v>45732</v>
      </c>
      <c r="G4431" s="7">
        <v>3</v>
      </c>
      <c r="H4431" s="3">
        <f>_xlfn.XLOOKUP(Vendas[[#This Row],[ID Item Vendido]],Agregado[ID],Agregado[Revenda])</f>
        <v>119</v>
      </c>
      <c r="I4431" s="3">
        <f>Vendas[[#This Row],[Valor Unitário]]*Vendas[[#This Row],[Qnt Vendida]]</f>
        <v>357</v>
      </c>
      <c r="J4431" s="3">
        <f>Vendas[[#This Row],[Valor da Venda]]-(_xlfn.XLOOKUP(Vendas[[#This Row],[ID Item Vendido]],Agregado[ID],Agregado[Custo])*Vendas[[#This Row],[Qnt Vendida]])</f>
        <v>102</v>
      </c>
      <c r="K4431" s="70">
        <f>Vendas[[#This Row],[Lucro da Venda]]/Vendas[[#This Row],[Valor da Venda]]</f>
        <v>0.2857142857142857</v>
      </c>
      <c r="L4431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4431"/>
    </row>
    <row r="4432" spans="1:13" x14ac:dyDescent="0.3">
      <c r="A4432" s="7">
        <v>400248</v>
      </c>
      <c r="B4432" t="str">
        <f>_xlfn.XLOOKUP(Vendas[[#This Row],[ID Vendedor]],Vendedores[ID],Vendedores[Nome])</f>
        <v>Patrícia</v>
      </c>
      <c r="C4432" s="7" t="str">
        <f>_xlfn.XLOOKUP(Vendas[[#This Row],[ID Vendedor]],Vendedores[ID],Vendedores[Setor])</f>
        <v>CM</v>
      </c>
      <c r="D4432" s="7" t="s">
        <v>32</v>
      </c>
      <c r="E4432" t="str">
        <f>_xlfn.XLOOKUP(Vendas[[#This Row],[ID Item Vendido]],Agregado[ID],Agregado[Produto])</f>
        <v>Tábua tratada e cortada 3m</v>
      </c>
      <c r="F4432" s="39">
        <v>45733</v>
      </c>
      <c r="G4432" s="7">
        <v>44</v>
      </c>
      <c r="H4432" s="3">
        <f>_xlfn.XLOOKUP(Vendas[[#This Row],[ID Item Vendido]],Agregado[ID],Agregado[Revenda])</f>
        <v>39</v>
      </c>
      <c r="I4432" s="3">
        <f>Vendas[[#This Row],[Valor Unitário]]*Vendas[[#This Row],[Qnt Vendida]]</f>
        <v>1716</v>
      </c>
      <c r="J4432" s="3">
        <f>Vendas[[#This Row],[Valor da Venda]]-(_xlfn.XLOOKUP(Vendas[[#This Row],[ID Item Vendido]],Agregado[ID],Agregado[Custo])*Vendas[[#This Row],[Qnt Vendida]])</f>
        <v>308</v>
      </c>
      <c r="K4432" s="70">
        <f>Vendas[[#This Row],[Lucro da Venda]]/Vendas[[#This Row],[Valor da Venda]]</f>
        <v>0.17948717948717949</v>
      </c>
      <c r="L4432" s="3">
        <f>_xlfn.IFS(Vendas[[#This Row],[Margem de Lucro (%)]]&lt;15%,Vendas[[#This Row],[Valor da Venda]]*3%,Vendas[[#This Row],[Margem de Lucro (%)]]&lt;=20%,Vendas[[#This Row],[Valor da Venda]]*4.5%,TRUE,Vendas[[#This Row],[Valor da Venda]]*6%)</f>
        <v>77.22</v>
      </c>
      <c r="M4432"/>
    </row>
    <row r="4433" spans="1:13" x14ac:dyDescent="0.3">
      <c r="A4433" s="7">
        <v>400245</v>
      </c>
      <c r="B4433" t="str">
        <f>_xlfn.XLOOKUP(Vendas[[#This Row],[ID Vendedor]],Vendedores[ID],Vendedores[Nome])</f>
        <v>Thiago</v>
      </c>
      <c r="C4433" s="7" t="str">
        <f>_xlfn.XLOOKUP(Vendas[[#This Row],[ID Vendedor]],Vendedores[ID],Vendedores[Setor])</f>
        <v>AHD</v>
      </c>
      <c r="D4433" s="7" t="s">
        <v>30</v>
      </c>
      <c r="E4433" t="str">
        <f>_xlfn.XLOOKUP(Vendas[[#This Row],[ID Item Vendido]],Agregado[ID],Agregado[Produto])</f>
        <v>Estrutura metálica soldada</v>
      </c>
      <c r="F4433" s="39">
        <v>45734</v>
      </c>
      <c r="G4433" s="7">
        <v>6</v>
      </c>
      <c r="H4433" s="3">
        <f>_xlfn.XLOOKUP(Vendas[[#This Row],[ID Item Vendido]],Agregado[ID],Agregado[Revenda])</f>
        <v>400</v>
      </c>
      <c r="I4433" s="3">
        <f>Vendas[[#This Row],[Valor Unitário]]*Vendas[[#This Row],[Qnt Vendida]]</f>
        <v>2400</v>
      </c>
      <c r="J4433" s="3">
        <f>Vendas[[#This Row],[Valor da Venda]]-(_xlfn.XLOOKUP(Vendas[[#This Row],[ID Item Vendido]],Agregado[ID],Agregado[Custo])*Vendas[[#This Row],[Qnt Vendida]])</f>
        <v>480</v>
      </c>
      <c r="K4433" s="70">
        <f>Vendas[[#This Row],[Lucro da Venda]]/Vendas[[#This Row],[Valor da Venda]]</f>
        <v>0.2</v>
      </c>
      <c r="L4433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4433"/>
    </row>
    <row r="4434" spans="1:13" x14ac:dyDescent="0.3">
      <c r="A4434" s="7">
        <v>400254</v>
      </c>
      <c r="B4434" t="str">
        <f>_xlfn.XLOOKUP(Vendas[[#This Row],[ID Vendedor]],Vendedores[ID],Vendedores[Nome])</f>
        <v>Beatriz</v>
      </c>
      <c r="C4434" s="7" t="str">
        <f>_xlfn.XLOOKUP(Vendas[[#This Row],[ID Vendedor]],Vendedores[ID],Vendedores[Setor])</f>
        <v>SC</v>
      </c>
      <c r="D4434" s="7" t="s">
        <v>25</v>
      </c>
      <c r="E4434" t="str">
        <f>_xlfn.XLOOKUP(Vendas[[#This Row],[ID Item Vendido]],Agregado[ID],Agregado[Produto])</f>
        <v>Palete de plástico</v>
      </c>
      <c r="F4434" s="39">
        <v>45734</v>
      </c>
      <c r="G4434" s="7">
        <v>7</v>
      </c>
      <c r="H4434" s="3">
        <f>_xlfn.XLOOKUP(Vendas[[#This Row],[ID Item Vendido]],Agregado[ID],Agregado[Revenda])</f>
        <v>70.8</v>
      </c>
      <c r="I4434" s="3">
        <f>Vendas[[#This Row],[Valor Unitário]]*Vendas[[#This Row],[Qnt Vendida]]</f>
        <v>495.59999999999997</v>
      </c>
      <c r="J4434" s="3">
        <f>Vendas[[#This Row],[Valor da Venda]]-(_xlfn.XLOOKUP(Vendas[[#This Row],[ID Item Vendido]],Agregado[ID],Agregado[Custo])*Vendas[[#This Row],[Qnt Vendida]])</f>
        <v>75.599999999999966</v>
      </c>
      <c r="K4434" s="70">
        <f>Vendas[[#This Row],[Lucro da Venda]]/Vendas[[#This Row],[Valor da Venda]]</f>
        <v>0.15254237288135589</v>
      </c>
      <c r="L4434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4434"/>
    </row>
    <row r="4435" spans="1:13" x14ac:dyDescent="0.3">
      <c r="A4435" s="7">
        <v>400243</v>
      </c>
      <c r="B4435" t="str">
        <f>_xlfn.XLOOKUP(Vendas[[#This Row],[ID Vendedor]],Vendedores[ID],Vendedores[Nome])</f>
        <v>Marcelo</v>
      </c>
      <c r="C4435" s="7" t="str">
        <f>_xlfn.XLOOKUP(Vendas[[#This Row],[ID Vendedor]],Vendedores[ID],Vendedores[Setor])</f>
        <v>FM</v>
      </c>
      <c r="D4435" s="7" t="s">
        <v>20</v>
      </c>
      <c r="E4435" t="str">
        <f>_xlfn.XLOOKUP(Vendas[[#This Row],[ID Item Vendido]],Agregado[ID],Agregado[Produto])</f>
        <v>Barra de aço simples</v>
      </c>
      <c r="F4435" s="39">
        <v>45735</v>
      </c>
      <c r="G4435" s="7">
        <v>95</v>
      </c>
      <c r="H4435" s="3">
        <f>_xlfn.XLOOKUP(Vendas[[#This Row],[ID Item Vendido]],Agregado[ID],Agregado[Revenda])</f>
        <v>4.8</v>
      </c>
      <c r="I4435" s="3">
        <f>Vendas[[#This Row],[Valor Unitário]]*Vendas[[#This Row],[Qnt Vendida]]</f>
        <v>456</v>
      </c>
      <c r="J4435" s="3">
        <f>Vendas[[#This Row],[Valor da Venda]]-(_xlfn.XLOOKUP(Vendas[[#This Row],[ID Item Vendido]],Agregado[ID],Agregado[Custo])*Vendas[[#This Row],[Qnt Vendida]])</f>
        <v>57</v>
      </c>
      <c r="K4435" s="70">
        <f>Vendas[[#This Row],[Lucro da Venda]]/Vendas[[#This Row],[Valor da Venda]]</f>
        <v>0.125</v>
      </c>
      <c r="L4435" s="3">
        <f>_xlfn.IFS(Vendas[[#This Row],[Margem de Lucro (%)]]&lt;15%,Vendas[[#This Row],[Valor da Venda]]*3%,Vendas[[#This Row],[Margem de Lucro (%)]]&lt;=20%,Vendas[[#This Row],[Valor da Venda]]*4.5%,TRUE,Vendas[[#This Row],[Valor da Venda]]*6%)</f>
        <v>13.68</v>
      </c>
      <c r="M4435"/>
    </row>
    <row r="4436" spans="1:13" x14ac:dyDescent="0.3">
      <c r="A4436" s="7">
        <v>400243</v>
      </c>
      <c r="B4436" t="str">
        <f>_xlfn.XLOOKUP(Vendas[[#This Row],[ID Vendedor]],Vendedores[ID],Vendedores[Nome])</f>
        <v>Marcelo</v>
      </c>
      <c r="C4436" s="7" t="str">
        <f>_xlfn.XLOOKUP(Vendas[[#This Row],[ID Vendedor]],Vendedores[ID],Vendedores[Setor])</f>
        <v>FM</v>
      </c>
      <c r="D4436" s="7" t="s">
        <v>6</v>
      </c>
      <c r="E4436" t="str">
        <f>_xlfn.XLOOKUP(Vendas[[#This Row],[ID Item Vendido]],Agregado[ID],Agregado[Produto])</f>
        <v>Parafuso comum 500un</v>
      </c>
      <c r="F4436" s="39">
        <v>45735</v>
      </c>
      <c r="G4436" s="7">
        <v>14</v>
      </c>
      <c r="H4436" s="3">
        <f>_xlfn.XLOOKUP(Vendas[[#This Row],[ID Item Vendido]],Agregado[ID],Agregado[Revenda])</f>
        <v>24.6</v>
      </c>
      <c r="I4436" s="3">
        <f>Vendas[[#This Row],[Valor Unitário]]*Vendas[[#This Row],[Qnt Vendida]]</f>
        <v>344.40000000000003</v>
      </c>
      <c r="J4436" s="3">
        <f>Vendas[[#This Row],[Valor da Venda]]-(_xlfn.XLOOKUP(Vendas[[#This Row],[ID Item Vendido]],Agregado[ID],Agregado[Custo])*Vendas[[#This Row],[Qnt Vendida]])</f>
        <v>36.400000000000034</v>
      </c>
      <c r="K4436" s="70">
        <f>Vendas[[#This Row],[Lucro da Venda]]/Vendas[[#This Row],[Valor da Venda]]</f>
        <v>0.10569105691056919</v>
      </c>
      <c r="L4436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4436"/>
    </row>
    <row r="4437" spans="1:13" x14ac:dyDescent="0.3">
      <c r="A4437" s="7">
        <v>400253</v>
      </c>
      <c r="B4437" t="str">
        <f>_xlfn.XLOOKUP(Vendas[[#This Row],[ID Vendedor]],Vendedores[ID],Vendedores[Nome])</f>
        <v>Gustavo</v>
      </c>
      <c r="C4437" s="7" t="str">
        <f>_xlfn.XLOOKUP(Vendas[[#This Row],[ID Vendedor]],Vendedores[ID],Vendedores[Setor])</f>
        <v>SC</v>
      </c>
      <c r="D4437" s="7" t="s">
        <v>25</v>
      </c>
      <c r="E4437" t="str">
        <f>_xlfn.XLOOKUP(Vendas[[#This Row],[ID Item Vendido]],Agregado[ID],Agregado[Produto])</f>
        <v>Palete de plástico</v>
      </c>
      <c r="F4437" s="39">
        <v>45736</v>
      </c>
      <c r="G4437" s="7">
        <v>7</v>
      </c>
      <c r="H4437" s="3">
        <f>_xlfn.XLOOKUP(Vendas[[#This Row],[ID Item Vendido]],Agregado[ID],Agregado[Revenda])</f>
        <v>70.8</v>
      </c>
      <c r="I4437" s="3">
        <f>Vendas[[#This Row],[Valor Unitário]]*Vendas[[#This Row],[Qnt Vendida]]</f>
        <v>495.59999999999997</v>
      </c>
      <c r="J4437" s="3">
        <f>Vendas[[#This Row],[Valor da Venda]]-(_xlfn.XLOOKUP(Vendas[[#This Row],[ID Item Vendido]],Agregado[ID],Agregado[Custo])*Vendas[[#This Row],[Qnt Vendida]])</f>
        <v>75.599999999999966</v>
      </c>
      <c r="K4437" s="70">
        <f>Vendas[[#This Row],[Lucro da Venda]]/Vendas[[#This Row],[Valor da Venda]]</f>
        <v>0.15254237288135589</v>
      </c>
      <c r="L4437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4437"/>
    </row>
    <row r="4438" spans="1:13" x14ac:dyDescent="0.3">
      <c r="A4438" s="7">
        <v>400254</v>
      </c>
      <c r="B4438" t="str">
        <f>_xlfn.XLOOKUP(Vendas[[#This Row],[ID Vendedor]],Vendedores[ID],Vendedores[Nome])</f>
        <v>Beatriz</v>
      </c>
      <c r="C4438" s="7" t="str">
        <f>_xlfn.XLOOKUP(Vendas[[#This Row],[ID Vendedor]],Vendedores[ID],Vendedores[Setor])</f>
        <v>SC</v>
      </c>
      <c r="D4438" s="7" t="s">
        <v>41</v>
      </c>
      <c r="E4438" t="str">
        <f>_xlfn.XLOOKUP(Vendas[[#This Row],[ID Item Vendido]],Agregado[ID],Agregado[Produto])</f>
        <v>Palete de madeira reforçado</v>
      </c>
      <c r="F4438" s="39">
        <v>45737</v>
      </c>
      <c r="G4438" s="7">
        <v>8</v>
      </c>
      <c r="H4438" s="3">
        <f>_xlfn.XLOOKUP(Vendas[[#This Row],[ID Item Vendido]],Agregado[ID],Agregado[Revenda])</f>
        <v>131</v>
      </c>
      <c r="I4438" s="3">
        <f>Vendas[[#This Row],[Valor Unitário]]*Vendas[[#This Row],[Qnt Vendida]]</f>
        <v>1048</v>
      </c>
      <c r="J4438" s="3">
        <f>Vendas[[#This Row],[Valor da Venda]]-(_xlfn.XLOOKUP(Vendas[[#This Row],[ID Item Vendido]],Agregado[ID],Agregado[Custo])*Vendas[[#This Row],[Qnt Vendida]])</f>
        <v>168</v>
      </c>
      <c r="K4438" s="70">
        <f>Vendas[[#This Row],[Lucro da Venda]]/Vendas[[#This Row],[Valor da Venda]]</f>
        <v>0.16030534351145037</v>
      </c>
      <c r="L4438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4438"/>
    </row>
    <row r="4439" spans="1:13" x14ac:dyDescent="0.3">
      <c r="A4439" s="7">
        <v>400252</v>
      </c>
      <c r="B4439" t="str">
        <f>_xlfn.XLOOKUP(Vendas[[#This Row],[ID Vendedor]],Vendedores[ID],Vendedores[Nome])</f>
        <v>Renata</v>
      </c>
      <c r="C4439" s="7" t="str">
        <f>_xlfn.XLOOKUP(Vendas[[#This Row],[ID Vendedor]],Vendedores[ID],Vendedores[Setor])</f>
        <v>AB</v>
      </c>
      <c r="D4439" s="7" t="s">
        <v>37</v>
      </c>
      <c r="E4439" t="str">
        <f>_xlfn.XLOOKUP(Vendas[[#This Row],[ID Item Vendido]],Agregado[ID],Agregado[Produto])</f>
        <v>Composto de borracha para vedação rolo 10m</v>
      </c>
      <c r="F4439" s="39">
        <v>45737</v>
      </c>
      <c r="G4439" s="7">
        <v>16</v>
      </c>
      <c r="H4439" s="3">
        <f>_xlfn.XLOOKUP(Vendas[[#This Row],[ID Item Vendido]],Agregado[ID],Agregado[Revenda])</f>
        <v>51.2</v>
      </c>
      <c r="I4439" s="3">
        <f>Vendas[[#This Row],[Valor Unitário]]*Vendas[[#This Row],[Qnt Vendida]]</f>
        <v>819.2</v>
      </c>
      <c r="J4439" s="3">
        <f>Vendas[[#This Row],[Valor da Venda]]-(_xlfn.XLOOKUP(Vendas[[#This Row],[ID Item Vendido]],Agregado[ID],Agregado[Custo])*Vendas[[#This Row],[Qnt Vendida]])</f>
        <v>179.20000000000005</v>
      </c>
      <c r="K4439" s="70">
        <f>Vendas[[#This Row],[Lucro da Venda]]/Vendas[[#This Row],[Valor da Venda]]</f>
        <v>0.21875000000000006</v>
      </c>
      <c r="L4439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4439"/>
    </row>
    <row r="4440" spans="1:13" x14ac:dyDescent="0.3">
      <c r="A4440" s="7">
        <v>400241</v>
      </c>
      <c r="B4440" t="str">
        <f>_xlfn.XLOOKUP(Vendas[[#This Row],[ID Vendedor]],Vendedores[ID],Vendedores[Nome])</f>
        <v>Rodrigo</v>
      </c>
      <c r="C4440" s="7" t="str">
        <f>_xlfn.XLOOKUP(Vendas[[#This Row],[ID Vendedor]],Vendedores[ID],Vendedores[Setor])</f>
        <v>FM</v>
      </c>
      <c r="D4440" s="7" t="s">
        <v>20</v>
      </c>
      <c r="E4440" t="str">
        <f>_xlfn.XLOOKUP(Vendas[[#This Row],[ID Item Vendido]],Agregado[ID],Agregado[Produto])</f>
        <v>Barra de aço simples</v>
      </c>
      <c r="F4440" s="39">
        <v>45737</v>
      </c>
      <c r="G4440" s="7">
        <v>153</v>
      </c>
      <c r="H4440" s="3">
        <f>_xlfn.XLOOKUP(Vendas[[#This Row],[ID Item Vendido]],Agregado[ID],Agregado[Revenda])</f>
        <v>4.8</v>
      </c>
      <c r="I4440" s="3">
        <f>Vendas[[#This Row],[Valor Unitário]]*Vendas[[#This Row],[Qnt Vendida]]</f>
        <v>734.4</v>
      </c>
      <c r="J4440" s="3">
        <f>Vendas[[#This Row],[Valor da Venda]]-(_xlfn.XLOOKUP(Vendas[[#This Row],[ID Item Vendido]],Agregado[ID],Agregado[Custo])*Vendas[[#This Row],[Qnt Vendida]])</f>
        <v>91.799999999999955</v>
      </c>
      <c r="K4440" s="70">
        <f>Vendas[[#This Row],[Lucro da Venda]]/Vendas[[#This Row],[Valor da Venda]]</f>
        <v>0.12499999999999994</v>
      </c>
      <c r="L4440" s="3">
        <f>_xlfn.IFS(Vendas[[#This Row],[Margem de Lucro (%)]]&lt;15%,Vendas[[#This Row],[Valor da Venda]]*3%,Vendas[[#This Row],[Margem de Lucro (%)]]&lt;=20%,Vendas[[#This Row],[Valor da Venda]]*4.5%,TRUE,Vendas[[#This Row],[Valor da Venda]]*6%)</f>
        <v>22.032</v>
      </c>
      <c r="M4440"/>
    </row>
    <row r="4441" spans="1:13" x14ac:dyDescent="0.3">
      <c r="A4441" s="7">
        <v>400255</v>
      </c>
      <c r="B4441" t="str">
        <f>_xlfn.XLOOKUP(Vendas[[#This Row],[ID Vendedor]],Vendedores[ID],Vendedores[Nome])</f>
        <v>Carlos</v>
      </c>
      <c r="C4441" s="7" t="str">
        <f>_xlfn.XLOOKUP(Vendas[[#This Row],[ID Vendedor]],Vendedores[ID],Vendedores[Setor])</f>
        <v>SC</v>
      </c>
      <c r="D4441" s="7" t="s">
        <v>25</v>
      </c>
      <c r="E4441" t="str">
        <f>_xlfn.XLOOKUP(Vendas[[#This Row],[ID Item Vendido]],Agregado[ID],Agregado[Produto])</f>
        <v>Palete de plástico</v>
      </c>
      <c r="F4441" s="39">
        <v>45737</v>
      </c>
      <c r="G4441" s="7">
        <v>1</v>
      </c>
      <c r="H4441" s="3">
        <f>_xlfn.XLOOKUP(Vendas[[#This Row],[ID Item Vendido]],Agregado[ID],Agregado[Revenda])</f>
        <v>70.8</v>
      </c>
      <c r="I4441" s="3">
        <f>Vendas[[#This Row],[Valor Unitário]]*Vendas[[#This Row],[Qnt Vendida]]</f>
        <v>70.8</v>
      </c>
      <c r="J4441" s="3">
        <f>Vendas[[#This Row],[Valor da Venda]]-(_xlfn.XLOOKUP(Vendas[[#This Row],[ID Item Vendido]],Agregado[ID],Agregado[Custo])*Vendas[[#This Row],[Qnt Vendida]])</f>
        <v>10.799999999999997</v>
      </c>
      <c r="K4441" s="70">
        <f>Vendas[[#This Row],[Lucro da Venda]]/Vendas[[#This Row],[Valor da Venda]]</f>
        <v>0.15254237288135589</v>
      </c>
      <c r="L4441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4441"/>
    </row>
    <row r="4442" spans="1:13" x14ac:dyDescent="0.3">
      <c r="A4442" s="7">
        <v>400247</v>
      </c>
      <c r="B4442" t="str">
        <f>_xlfn.XLOOKUP(Vendas[[#This Row],[ID Vendedor]],Vendedores[ID],Vendedores[Nome])</f>
        <v>André</v>
      </c>
      <c r="C4442" s="7" t="str">
        <f>_xlfn.XLOOKUP(Vendas[[#This Row],[ID Vendedor]],Vendedores[ID],Vendedores[Setor])</f>
        <v>CM</v>
      </c>
      <c r="D4442" s="7" t="s">
        <v>22</v>
      </c>
      <c r="E4442" t="str">
        <f>_xlfn.XLOOKUP(Vendas[[#This Row],[ID Item Vendido]],Agregado[ID],Agregado[Produto])</f>
        <v>Painel MDP 2,75x1,83m</v>
      </c>
      <c r="F4442" s="39">
        <v>45738</v>
      </c>
      <c r="G4442" s="7">
        <v>10</v>
      </c>
      <c r="H4442" s="3">
        <f>_xlfn.XLOOKUP(Vendas[[#This Row],[ID Item Vendido]],Agregado[ID],Agregado[Revenda])</f>
        <v>119</v>
      </c>
      <c r="I4442" s="3">
        <f>Vendas[[#This Row],[Valor Unitário]]*Vendas[[#This Row],[Qnt Vendida]]</f>
        <v>1190</v>
      </c>
      <c r="J4442" s="3">
        <f>Vendas[[#This Row],[Valor da Venda]]-(_xlfn.XLOOKUP(Vendas[[#This Row],[ID Item Vendido]],Agregado[ID],Agregado[Custo])*Vendas[[#This Row],[Qnt Vendida]])</f>
        <v>240</v>
      </c>
      <c r="K4442" s="70">
        <f>Vendas[[#This Row],[Lucro da Venda]]/Vendas[[#This Row],[Valor da Venda]]</f>
        <v>0.20168067226890757</v>
      </c>
      <c r="L4442" s="3">
        <f>_xlfn.IFS(Vendas[[#This Row],[Margem de Lucro (%)]]&lt;15%,Vendas[[#This Row],[Valor da Venda]]*3%,Vendas[[#This Row],[Margem de Lucro (%)]]&lt;=20%,Vendas[[#This Row],[Valor da Venda]]*4.5%,TRUE,Vendas[[#This Row],[Valor da Venda]]*6%)</f>
        <v>71.399999999999991</v>
      </c>
      <c r="M4442"/>
    </row>
    <row r="4443" spans="1:13" x14ac:dyDescent="0.3">
      <c r="A4443" s="7">
        <v>400252</v>
      </c>
      <c r="B4443" t="str">
        <f>_xlfn.XLOOKUP(Vendas[[#This Row],[ID Vendedor]],Vendedores[ID],Vendedores[Nome])</f>
        <v>Renata</v>
      </c>
      <c r="C4443" s="7" t="str">
        <f>_xlfn.XLOOKUP(Vendas[[#This Row],[ID Vendedor]],Vendedores[ID],Vendedores[Setor])</f>
        <v>AB</v>
      </c>
      <c r="D4443" s="7" t="s">
        <v>39</v>
      </c>
      <c r="E4443" t="str">
        <f>_xlfn.XLOOKUP(Vendas[[#This Row],[ID Item Vendido]],Agregado[ID],Agregado[Produto])</f>
        <v>Filme plástico industrial rolo 50m</v>
      </c>
      <c r="F4443" s="39">
        <v>45738</v>
      </c>
      <c r="G4443" s="7">
        <v>28</v>
      </c>
      <c r="H4443" s="3">
        <f>_xlfn.XLOOKUP(Vendas[[#This Row],[ID Item Vendido]],Agregado[ID],Agregado[Revenda])</f>
        <v>37</v>
      </c>
      <c r="I4443" s="3">
        <f>Vendas[[#This Row],[Valor Unitário]]*Vendas[[#This Row],[Qnt Vendida]]</f>
        <v>1036</v>
      </c>
      <c r="J4443" s="3">
        <f>Vendas[[#This Row],[Valor da Venda]]-(_xlfn.XLOOKUP(Vendas[[#This Row],[ID Item Vendido]],Agregado[ID],Agregado[Custo])*Vendas[[#This Row],[Qnt Vendida]])</f>
        <v>252</v>
      </c>
      <c r="K4443" s="70">
        <f>Vendas[[#This Row],[Lucro da Venda]]/Vendas[[#This Row],[Valor da Venda]]</f>
        <v>0.24324324324324326</v>
      </c>
      <c r="L4443" s="3">
        <f>_xlfn.IFS(Vendas[[#This Row],[Margem de Lucro (%)]]&lt;15%,Vendas[[#This Row],[Valor da Venda]]*3%,Vendas[[#This Row],[Margem de Lucro (%)]]&lt;=20%,Vendas[[#This Row],[Valor da Venda]]*4.5%,TRUE,Vendas[[#This Row],[Valor da Venda]]*6%)</f>
        <v>62.16</v>
      </c>
      <c r="M4443"/>
    </row>
    <row r="4444" spans="1:13" x14ac:dyDescent="0.3">
      <c r="A4444" s="7">
        <v>400253</v>
      </c>
      <c r="B4444" t="str">
        <f>_xlfn.XLOOKUP(Vendas[[#This Row],[ID Vendedor]],Vendedores[ID],Vendedores[Nome])</f>
        <v>Gustavo</v>
      </c>
      <c r="C4444" s="7" t="str">
        <f>_xlfn.XLOOKUP(Vendas[[#This Row],[ID Vendedor]],Vendedores[ID],Vendedores[Setor])</f>
        <v>SC</v>
      </c>
      <c r="D4444" s="7" t="s">
        <v>25</v>
      </c>
      <c r="E4444" t="str">
        <f>_xlfn.XLOOKUP(Vendas[[#This Row],[ID Item Vendido]],Agregado[ID],Agregado[Produto])</f>
        <v>Palete de plástico</v>
      </c>
      <c r="F4444" s="39">
        <v>45740</v>
      </c>
      <c r="G4444" s="7">
        <v>9</v>
      </c>
      <c r="H4444" s="3">
        <f>_xlfn.XLOOKUP(Vendas[[#This Row],[ID Item Vendido]],Agregado[ID],Agregado[Revenda])</f>
        <v>70.8</v>
      </c>
      <c r="I4444" s="3">
        <f>Vendas[[#This Row],[Valor Unitário]]*Vendas[[#This Row],[Qnt Vendida]]</f>
        <v>637.19999999999993</v>
      </c>
      <c r="J4444" s="3">
        <f>Vendas[[#This Row],[Valor da Venda]]-(_xlfn.XLOOKUP(Vendas[[#This Row],[ID Item Vendido]],Agregado[ID],Agregado[Custo])*Vendas[[#This Row],[Qnt Vendida]])</f>
        <v>97.199999999999932</v>
      </c>
      <c r="K4444" s="70">
        <f>Vendas[[#This Row],[Lucro da Venda]]/Vendas[[#This Row],[Valor da Venda]]</f>
        <v>0.15254237288135583</v>
      </c>
      <c r="L4444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4444"/>
    </row>
    <row r="4445" spans="1:13" x14ac:dyDescent="0.3">
      <c r="A4445" s="7">
        <v>400246</v>
      </c>
      <c r="B4445" t="str">
        <f>_xlfn.XLOOKUP(Vendas[[#This Row],[ID Vendedor]],Vendedores[ID],Vendedores[Nome])</f>
        <v>Juliana</v>
      </c>
      <c r="C4445" s="7" t="str">
        <f>_xlfn.XLOOKUP(Vendas[[#This Row],[ID Vendedor]],Vendedores[ID],Vendedores[Setor])</f>
        <v>AHD</v>
      </c>
      <c r="D4445" s="7" t="s">
        <v>44</v>
      </c>
      <c r="E4445" t="str">
        <f>_xlfn.XLOOKUP(Vendas[[#This Row],[ID Item Vendido]],Agregado[ID],Agregado[Produto])</f>
        <v>Liga metálica especial</v>
      </c>
      <c r="F4445" s="39">
        <v>45741</v>
      </c>
      <c r="G4445" s="7">
        <v>21</v>
      </c>
      <c r="H4445" s="3">
        <f>_xlfn.XLOOKUP(Vendas[[#This Row],[ID Item Vendido]],Agregado[ID],Agregado[Revenda])</f>
        <v>32.5</v>
      </c>
      <c r="I4445" s="3">
        <f>Vendas[[#This Row],[Valor Unitário]]*Vendas[[#This Row],[Qnt Vendida]]</f>
        <v>682.5</v>
      </c>
      <c r="J4445" s="3">
        <f>Vendas[[#This Row],[Valor da Venda]]-(_xlfn.XLOOKUP(Vendas[[#This Row],[ID Item Vendido]],Agregado[ID],Agregado[Custo])*Vendas[[#This Row],[Qnt Vendida]])</f>
        <v>157.5</v>
      </c>
      <c r="K4445" s="70">
        <f>Vendas[[#This Row],[Lucro da Venda]]/Vendas[[#This Row],[Valor da Venda]]</f>
        <v>0.23076923076923078</v>
      </c>
      <c r="L4445" s="3">
        <f>_xlfn.IFS(Vendas[[#This Row],[Margem de Lucro (%)]]&lt;15%,Vendas[[#This Row],[Valor da Venda]]*3%,Vendas[[#This Row],[Margem de Lucro (%)]]&lt;=20%,Vendas[[#This Row],[Valor da Venda]]*4.5%,TRUE,Vendas[[#This Row],[Valor da Venda]]*6%)</f>
        <v>40.949999999999996</v>
      </c>
      <c r="M4445"/>
    </row>
    <row r="4446" spans="1:13" x14ac:dyDescent="0.3">
      <c r="A4446" s="7">
        <v>400254</v>
      </c>
      <c r="B4446" t="str">
        <f>_xlfn.XLOOKUP(Vendas[[#This Row],[ID Vendedor]],Vendedores[ID],Vendedores[Nome])</f>
        <v>Beatriz</v>
      </c>
      <c r="C4446" s="7" t="str">
        <f>_xlfn.XLOOKUP(Vendas[[#This Row],[ID Vendedor]],Vendedores[ID],Vendedores[Setor])</f>
        <v>SC</v>
      </c>
      <c r="D4446" s="7" t="s">
        <v>14</v>
      </c>
      <c r="E4446" t="str">
        <f>_xlfn.XLOOKUP(Vendas[[#This Row],[ID Item Vendido]],Agregado[ID],Agregado[Produto])</f>
        <v>Barril de plástico 200L</v>
      </c>
      <c r="F4446" s="39">
        <v>45742</v>
      </c>
      <c r="G4446" s="7">
        <v>10</v>
      </c>
      <c r="H4446" s="3">
        <f>_xlfn.XLOOKUP(Vendas[[#This Row],[ID Item Vendido]],Agregado[ID],Agregado[Revenda])</f>
        <v>114</v>
      </c>
      <c r="I4446" s="3">
        <f>Vendas[[#This Row],[Valor Unitário]]*Vendas[[#This Row],[Qnt Vendida]]</f>
        <v>1140</v>
      </c>
      <c r="J4446" s="3">
        <f>Vendas[[#This Row],[Valor da Venda]]-(_xlfn.XLOOKUP(Vendas[[#This Row],[ID Item Vendido]],Agregado[ID],Agregado[Custo])*Vendas[[#This Row],[Qnt Vendida]])</f>
        <v>190</v>
      </c>
      <c r="K4446" s="70">
        <f>Vendas[[#This Row],[Lucro da Venda]]/Vendas[[#This Row],[Valor da Venda]]</f>
        <v>0.16666666666666666</v>
      </c>
      <c r="L4446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4446"/>
    </row>
    <row r="4447" spans="1:13" x14ac:dyDescent="0.3">
      <c r="A4447" s="7">
        <v>400244</v>
      </c>
      <c r="B4447" t="str">
        <f>_xlfn.XLOOKUP(Vendas[[#This Row],[ID Vendedor]],Vendedores[ID],Vendedores[Nome])</f>
        <v>Camila</v>
      </c>
      <c r="C4447" s="7" t="str">
        <f>_xlfn.XLOOKUP(Vendas[[#This Row],[ID Vendedor]],Vendedores[ID],Vendedores[Setor])</f>
        <v>AHD</v>
      </c>
      <c r="D4447" s="7" t="s">
        <v>9</v>
      </c>
      <c r="E4447" t="str">
        <f>_xlfn.XLOOKUP(Vendas[[#This Row],[ID Item Vendido]],Agregado[ID],Agregado[Produto])</f>
        <v>Barra de aço simples</v>
      </c>
      <c r="F4447" s="39">
        <v>45742</v>
      </c>
      <c r="G4447" s="7">
        <v>47</v>
      </c>
      <c r="H4447" s="3">
        <f>_xlfn.XLOOKUP(Vendas[[#This Row],[ID Item Vendido]],Agregado[ID],Agregado[Revenda])</f>
        <v>6.7</v>
      </c>
      <c r="I4447" s="3">
        <f>Vendas[[#This Row],[Valor Unitário]]*Vendas[[#This Row],[Qnt Vendida]]</f>
        <v>314.90000000000003</v>
      </c>
      <c r="J4447" s="3">
        <f>Vendas[[#This Row],[Valor da Venda]]-(_xlfn.XLOOKUP(Vendas[[#This Row],[ID Item Vendido]],Agregado[ID],Agregado[Custo])*Vendas[[#This Row],[Qnt Vendida]])</f>
        <v>42.300000000000068</v>
      </c>
      <c r="K4447" s="70">
        <f>Vendas[[#This Row],[Lucro da Venda]]/Vendas[[#This Row],[Valor da Venda]]</f>
        <v>0.13432835820895542</v>
      </c>
      <c r="L4447" s="3">
        <f>_xlfn.IFS(Vendas[[#This Row],[Margem de Lucro (%)]]&lt;15%,Vendas[[#This Row],[Valor da Venda]]*3%,Vendas[[#This Row],[Margem de Lucro (%)]]&lt;=20%,Vendas[[#This Row],[Valor da Venda]]*4.5%,TRUE,Vendas[[#This Row],[Valor da Venda]]*6%)</f>
        <v>9.447000000000001</v>
      </c>
      <c r="M4447"/>
    </row>
    <row r="4448" spans="1:13" x14ac:dyDescent="0.3">
      <c r="A4448" s="7">
        <v>400242</v>
      </c>
      <c r="B4448" t="str">
        <f>_xlfn.XLOOKUP(Vendas[[#This Row],[ID Vendedor]],Vendedores[ID],Vendedores[Nome])</f>
        <v>Fernanda</v>
      </c>
      <c r="C4448" s="7" t="str">
        <f>_xlfn.XLOOKUP(Vendas[[#This Row],[ID Vendedor]],Vendedores[ID],Vendedores[Setor])</f>
        <v>FM</v>
      </c>
      <c r="D4448" s="7" t="s">
        <v>20</v>
      </c>
      <c r="E4448" t="str">
        <f>_xlfn.XLOOKUP(Vendas[[#This Row],[ID Item Vendido]],Agregado[ID],Agregado[Produto])</f>
        <v>Barra de aço simples</v>
      </c>
      <c r="F4448" s="39">
        <v>45742</v>
      </c>
      <c r="G4448" s="7">
        <v>28</v>
      </c>
      <c r="H4448" s="3">
        <f>_xlfn.XLOOKUP(Vendas[[#This Row],[ID Item Vendido]],Agregado[ID],Agregado[Revenda])</f>
        <v>4.8</v>
      </c>
      <c r="I4448" s="3">
        <f>Vendas[[#This Row],[Valor Unitário]]*Vendas[[#This Row],[Qnt Vendida]]</f>
        <v>134.4</v>
      </c>
      <c r="J4448" s="3">
        <f>Vendas[[#This Row],[Valor da Venda]]-(_xlfn.XLOOKUP(Vendas[[#This Row],[ID Item Vendido]],Agregado[ID],Agregado[Custo])*Vendas[[#This Row],[Qnt Vendida]])</f>
        <v>16.799999999999997</v>
      </c>
      <c r="K4448" s="70">
        <f>Vendas[[#This Row],[Lucro da Venda]]/Vendas[[#This Row],[Valor da Venda]]</f>
        <v>0.12499999999999997</v>
      </c>
      <c r="L4448" s="3">
        <f>_xlfn.IFS(Vendas[[#This Row],[Margem de Lucro (%)]]&lt;15%,Vendas[[#This Row],[Valor da Venda]]*3%,Vendas[[#This Row],[Margem de Lucro (%)]]&lt;=20%,Vendas[[#This Row],[Valor da Venda]]*4.5%,TRUE,Vendas[[#This Row],[Valor da Venda]]*6%)</f>
        <v>4.032</v>
      </c>
      <c r="M4448"/>
    </row>
    <row r="4449" spans="1:13" x14ac:dyDescent="0.3">
      <c r="A4449" s="7">
        <v>400244</v>
      </c>
      <c r="B4449" t="str">
        <f>_xlfn.XLOOKUP(Vendas[[#This Row],[ID Vendedor]],Vendedores[ID],Vendedores[Nome])</f>
        <v>Camila</v>
      </c>
      <c r="C4449" s="7" t="str">
        <f>_xlfn.XLOOKUP(Vendas[[#This Row],[ID Vendedor]],Vendedores[ID],Vendedores[Setor])</f>
        <v>AHD</v>
      </c>
      <c r="D4449" s="7" t="s">
        <v>44</v>
      </c>
      <c r="E4449" t="str">
        <f>_xlfn.XLOOKUP(Vendas[[#This Row],[ID Item Vendido]],Agregado[ID],Agregado[Produto])</f>
        <v>Liga metálica especial</v>
      </c>
      <c r="F4449" s="39">
        <v>45743</v>
      </c>
      <c r="G4449" s="7">
        <v>26</v>
      </c>
      <c r="H4449" s="3">
        <f>_xlfn.XLOOKUP(Vendas[[#This Row],[ID Item Vendido]],Agregado[ID],Agregado[Revenda])</f>
        <v>32.5</v>
      </c>
      <c r="I4449" s="3">
        <f>Vendas[[#This Row],[Valor Unitário]]*Vendas[[#This Row],[Qnt Vendida]]</f>
        <v>845</v>
      </c>
      <c r="J4449" s="3">
        <f>Vendas[[#This Row],[Valor da Venda]]-(_xlfn.XLOOKUP(Vendas[[#This Row],[ID Item Vendido]],Agregado[ID],Agregado[Custo])*Vendas[[#This Row],[Qnt Vendida]])</f>
        <v>195</v>
      </c>
      <c r="K4449" s="70">
        <f>Vendas[[#This Row],[Lucro da Venda]]/Vendas[[#This Row],[Valor da Venda]]</f>
        <v>0.23076923076923078</v>
      </c>
      <c r="L4449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4449"/>
    </row>
    <row r="4450" spans="1:13" x14ac:dyDescent="0.3">
      <c r="A4450" s="7">
        <v>400244</v>
      </c>
      <c r="B4450" t="str">
        <f>_xlfn.XLOOKUP(Vendas[[#This Row],[ID Vendedor]],Vendedores[ID],Vendedores[Nome])</f>
        <v>Camila</v>
      </c>
      <c r="C4450" s="7" t="str">
        <f>_xlfn.XLOOKUP(Vendas[[#This Row],[ID Vendedor]],Vendedores[ID],Vendedores[Setor])</f>
        <v>AHD</v>
      </c>
      <c r="D4450" s="7" t="s">
        <v>18</v>
      </c>
      <c r="E4450" t="str">
        <f>_xlfn.XLOOKUP(Vendas[[#This Row],[ID Item Vendido]],Agregado[ID],Agregado[Produto])</f>
        <v>Peça forjada sob encomenda</v>
      </c>
      <c r="F4450" s="39">
        <v>45743</v>
      </c>
      <c r="G4450" s="7">
        <v>2</v>
      </c>
      <c r="H4450" s="3">
        <f>_xlfn.XLOOKUP(Vendas[[#This Row],[ID Item Vendido]],Agregado[ID],Agregado[Revenda])</f>
        <v>264.60000000000002</v>
      </c>
      <c r="I4450" s="3">
        <f>Vendas[[#This Row],[Valor Unitário]]*Vendas[[#This Row],[Qnt Vendida]]</f>
        <v>529.20000000000005</v>
      </c>
      <c r="J4450" s="3">
        <f>Vendas[[#This Row],[Valor da Venda]]-(_xlfn.XLOOKUP(Vendas[[#This Row],[ID Item Vendido]],Agregado[ID],Agregado[Custo])*Vendas[[#This Row],[Qnt Vendida]])</f>
        <v>29.200000000000045</v>
      </c>
      <c r="K4450" s="70">
        <f>Vendas[[#This Row],[Lucro da Venda]]/Vendas[[#This Row],[Valor da Venda]]</f>
        <v>5.5177626606198113E-2</v>
      </c>
      <c r="L4450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4450"/>
    </row>
    <row r="4451" spans="1:13" x14ac:dyDescent="0.3">
      <c r="A4451" s="7">
        <v>400248</v>
      </c>
      <c r="B4451" t="str">
        <f>_xlfn.XLOOKUP(Vendas[[#This Row],[ID Vendedor]],Vendedores[ID],Vendedores[Nome])</f>
        <v>Patrícia</v>
      </c>
      <c r="C4451" s="7" t="str">
        <f>_xlfn.XLOOKUP(Vendas[[#This Row],[ID Vendedor]],Vendedores[ID],Vendedores[Setor])</f>
        <v>CM</v>
      </c>
      <c r="D4451" s="7" t="s">
        <v>32</v>
      </c>
      <c r="E4451" t="str">
        <f>_xlfn.XLOOKUP(Vendas[[#This Row],[ID Item Vendido]],Agregado[ID],Agregado[Produto])</f>
        <v>Tábua tratada e cortada 3m</v>
      </c>
      <c r="F4451" s="39">
        <v>45743</v>
      </c>
      <c r="G4451" s="7">
        <v>17</v>
      </c>
      <c r="H4451" s="3">
        <f>_xlfn.XLOOKUP(Vendas[[#This Row],[ID Item Vendido]],Agregado[ID],Agregado[Revenda])</f>
        <v>39</v>
      </c>
      <c r="I4451" s="3">
        <f>Vendas[[#This Row],[Valor Unitário]]*Vendas[[#This Row],[Qnt Vendida]]</f>
        <v>663</v>
      </c>
      <c r="J4451" s="3">
        <f>Vendas[[#This Row],[Valor da Venda]]-(_xlfn.XLOOKUP(Vendas[[#This Row],[ID Item Vendido]],Agregado[ID],Agregado[Custo])*Vendas[[#This Row],[Qnt Vendida]])</f>
        <v>119</v>
      </c>
      <c r="K4451" s="70">
        <f>Vendas[[#This Row],[Lucro da Venda]]/Vendas[[#This Row],[Valor da Venda]]</f>
        <v>0.17948717948717949</v>
      </c>
      <c r="L4451" s="3">
        <f>_xlfn.IFS(Vendas[[#This Row],[Margem de Lucro (%)]]&lt;15%,Vendas[[#This Row],[Valor da Venda]]*3%,Vendas[[#This Row],[Margem de Lucro (%)]]&lt;=20%,Vendas[[#This Row],[Valor da Venda]]*4.5%,TRUE,Vendas[[#This Row],[Valor da Venda]]*6%)</f>
        <v>29.834999999999997</v>
      </c>
      <c r="M4451"/>
    </row>
    <row r="4452" spans="1:13" x14ac:dyDescent="0.3">
      <c r="A4452" s="7">
        <v>400248</v>
      </c>
      <c r="B4452" t="str">
        <f>_xlfn.XLOOKUP(Vendas[[#This Row],[ID Vendedor]],Vendedores[ID],Vendedores[Nome])</f>
        <v>Patrícia</v>
      </c>
      <c r="C4452" s="7" t="str">
        <f>_xlfn.XLOOKUP(Vendas[[#This Row],[ID Vendedor]],Vendedores[ID],Vendedores[Setor])</f>
        <v>CM</v>
      </c>
      <c r="D4452" s="7" t="s">
        <v>34</v>
      </c>
      <c r="E4452" t="str">
        <f>_xlfn.XLOOKUP(Vendas[[#This Row],[ID Item Vendido]],Agregado[ID],Agregado[Produto])</f>
        <v>Restos de madeira p/ MDP/OSB saco de 20kg</v>
      </c>
      <c r="F4452" s="39">
        <v>45743</v>
      </c>
      <c r="G4452" s="7">
        <v>7</v>
      </c>
      <c r="H4452" s="3">
        <f>_xlfn.XLOOKUP(Vendas[[#This Row],[ID Item Vendido]],Agregado[ID],Agregado[Revenda])</f>
        <v>13.8</v>
      </c>
      <c r="I4452" s="3">
        <f>Vendas[[#This Row],[Valor Unitário]]*Vendas[[#This Row],[Qnt Vendida]]</f>
        <v>96.600000000000009</v>
      </c>
      <c r="J4452" s="3">
        <f>Vendas[[#This Row],[Valor da Venda]]-(_xlfn.XLOOKUP(Vendas[[#This Row],[ID Item Vendido]],Agregado[ID],Agregado[Custo])*Vendas[[#This Row],[Qnt Vendida]])</f>
        <v>12.600000000000009</v>
      </c>
      <c r="K4452" s="70">
        <f>Vendas[[#This Row],[Lucro da Venda]]/Vendas[[#This Row],[Valor da Venda]]</f>
        <v>0.13043478260869573</v>
      </c>
      <c r="L4452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4452"/>
    </row>
    <row r="4453" spans="1:13" x14ac:dyDescent="0.3">
      <c r="A4453" s="7">
        <v>400246</v>
      </c>
      <c r="B4453" t="str">
        <f>_xlfn.XLOOKUP(Vendas[[#This Row],[ID Vendedor]],Vendedores[ID],Vendedores[Nome])</f>
        <v>Juliana</v>
      </c>
      <c r="C4453" s="7" t="str">
        <f>_xlfn.XLOOKUP(Vendas[[#This Row],[ID Vendedor]],Vendedores[ID],Vendedores[Setor])</f>
        <v>AHD</v>
      </c>
      <c r="D4453" s="7" t="s">
        <v>9</v>
      </c>
      <c r="E4453" t="str">
        <f>_xlfn.XLOOKUP(Vendas[[#This Row],[ID Item Vendido]],Agregado[ID],Agregado[Produto])</f>
        <v>Barra de aço simples</v>
      </c>
      <c r="F4453" s="39">
        <v>45744</v>
      </c>
      <c r="G4453" s="7">
        <v>110</v>
      </c>
      <c r="H4453" s="3">
        <f>_xlfn.XLOOKUP(Vendas[[#This Row],[ID Item Vendido]],Agregado[ID],Agregado[Revenda])</f>
        <v>6.7</v>
      </c>
      <c r="I4453" s="3">
        <f>Vendas[[#This Row],[Valor Unitário]]*Vendas[[#This Row],[Qnt Vendida]]</f>
        <v>737</v>
      </c>
      <c r="J4453" s="3">
        <f>Vendas[[#This Row],[Valor da Venda]]-(_xlfn.XLOOKUP(Vendas[[#This Row],[ID Item Vendido]],Agregado[ID],Agregado[Custo])*Vendas[[#This Row],[Qnt Vendida]])</f>
        <v>99</v>
      </c>
      <c r="K4453" s="70">
        <f>Vendas[[#This Row],[Lucro da Venda]]/Vendas[[#This Row],[Valor da Venda]]</f>
        <v>0.13432835820895522</v>
      </c>
      <c r="L4453" s="3">
        <f>_xlfn.IFS(Vendas[[#This Row],[Margem de Lucro (%)]]&lt;15%,Vendas[[#This Row],[Valor da Venda]]*3%,Vendas[[#This Row],[Margem de Lucro (%)]]&lt;=20%,Vendas[[#This Row],[Valor da Venda]]*4.5%,TRUE,Vendas[[#This Row],[Valor da Venda]]*6%)</f>
        <v>22.11</v>
      </c>
      <c r="M4453"/>
    </row>
    <row r="4454" spans="1:13" x14ac:dyDescent="0.3">
      <c r="A4454" s="7">
        <v>400244</v>
      </c>
      <c r="B4454" t="str">
        <f>_xlfn.XLOOKUP(Vendas[[#This Row],[ID Vendedor]],Vendedores[ID],Vendedores[Nome])</f>
        <v>Camila</v>
      </c>
      <c r="C4454" s="7" t="str">
        <f>_xlfn.XLOOKUP(Vendas[[#This Row],[ID Vendedor]],Vendedores[ID],Vendedores[Setor])</f>
        <v>AHD</v>
      </c>
      <c r="D4454" s="7" t="s">
        <v>9</v>
      </c>
      <c r="E4454" t="str">
        <f>_xlfn.XLOOKUP(Vendas[[#This Row],[ID Item Vendido]],Agregado[ID],Agregado[Produto])</f>
        <v>Barra de aço simples</v>
      </c>
      <c r="F4454" s="39">
        <v>45744</v>
      </c>
      <c r="G4454" s="7">
        <v>73</v>
      </c>
      <c r="H4454" s="3">
        <f>_xlfn.XLOOKUP(Vendas[[#This Row],[ID Item Vendido]],Agregado[ID],Agregado[Revenda])</f>
        <v>6.7</v>
      </c>
      <c r="I4454" s="3">
        <f>Vendas[[#This Row],[Valor Unitário]]*Vendas[[#This Row],[Qnt Vendida]]</f>
        <v>489.1</v>
      </c>
      <c r="J4454" s="3">
        <f>Vendas[[#This Row],[Valor da Venda]]-(_xlfn.XLOOKUP(Vendas[[#This Row],[ID Item Vendido]],Agregado[ID],Agregado[Custo])*Vendas[[#This Row],[Qnt Vendida]])</f>
        <v>65.700000000000045</v>
      </c>
      <c r="K4454" s="70">
        <f>Vendas[[#This Row],[Lucro da Venda]]/Vendas[[#This Row],[Valor da Venda]]</f>
        <v>0.13432835820895531</v>
      </c>
      <c r="L4454" s="3">
        <f>_xlfn.IFS(Vendas[[#This Row],[Margem de Lucro (%)]]&lt;15%,Vendas[[#This Row],[Valor da Venda]]*3%,Vendas[[#This Row],[Margem de Lucro (%)]]&lt;=20%,Vendas[[#This Row],[Valor da Venda]]*4.5%,TRUE,Vendas[[#This Row],[Valor da Venda]]*6%)</f>
        <v>14.673</v>
      </c>
      <c r="M4454"/>
    </row>
    <row r="4455" spans="1:13" x14ac:dyDescent="0.3">
      <c r="A4455" s="7">
        <v>400246</v>
      </c>
      <c r="B4455" t="str">
        <f>_xlfn.XLOOKUP(Vendas[[#This Row],[ID Vendedor]],Vendedores[ID],Vendedores[Nome])</f>
        <v>Juliana</v>
      </c>
      <c r="C4455" s="7" t="str">
        <f>_xlfn.XLOOKUP(Vendas[[#This Row],[ID Vendedor]],Vendedores[ID],Vendedores[Setor])</f>
        <v>AHD</v>
      </c>
      <c r="D4455" s="7" t="s">
        <v>18</v>
      </c>
      <c r="E4455" t="str">
        <f>_xlfn.XLOOKUP(Vendas[[#This Row],[ID Item Vendido]],Agregado[ID],Agregado[Produto])</f>
        <v>Peça forjada sob encomenda</v>
      </c>
      <c r="F4455" s="39">
        <v>45745</v>
      </c>
      <c r="G4455" s="7">
        <v>6</v>
      </c>
      <c r="H4455" s="3">
        <f>_xlfn.XLOOKUP(Vendas[[#This Row],[ID Item Vendido]],Agregado[ID],Agregado[Revenda])</f>
        <v>264.60000000000002</v>
      </c>
      <c r="I4455" s="3">
        <f>Vendas[[#This Row],[Valor Unitário]]*Vendas[[#This Row],[Qnt Vendida]]</f>
        <v>1587.6000000000001</v>
      </c>
      <c r="J4455" s="3">
        <f>Vendas[[#This Row],[Valor da Venda]]-(_xlfn.XLOOKUP(Vendas[[#This Row],[ID Item Vendido]],Agregado[ID],Agregado[Custo])*Vendas[[#This Row],[Qnt Vendida]])</f>
        <v>87.600000000000136</v>
      </c>
      <c r="K4455" s="70">
        <f>Vendas[[#This Row],[Lucro da Venda]]/Vendas[[#This Row],[Valor da Venda]]</f>
        <v>5.5177626606198113E-2</v>
      </c>
      <c r="L4455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455"/>
    </row>
    <row r="4456" spans="1:13" x14ac:dyDescent="0.3">
      <c r="A4456" s="7">
        <v>400251</v>
      </c>
      <c r="B4456" t="str">
        <f>_xlfn.XLOOKUP(Vendas[[#This Row],[ID Vendedor]],Vendedores[ID],Vendedores[Nome])</f>
        <v>Diego</v>
      </c>
      <c r="C4456" s="7" t="str">
        <f>_xlfn.XLOOKUP(Vendas[[#This Row],[ID Vendedor]],Vendedores[ID],Vendedores[Setor])</f>
        <v>AB</v>
      </c>
      <c r="D4456" s="7" t="s">
        <v>39</v>
      </c>
      <c r="E4456" t="str">
        <f>_xlfn.XLOOKUP(Vendas[[#This Row],[ID Item Vendido]],Agregado[ID],Agregado[Produto])</f>
        <v>Filme plástico industrial rolo 50m</v>
      </c>
      <c r="F4456" s="39">
        <v>45745</v>
      </c>
      <c r="G4456" s="7">
        <v>21</v>
      </c>
      <c r="H4456" s="3">
        <f>_xlfn.XLOOKUP(Vendas[[#This Row],[ID Item Vendido]],Agregado[ID],Agregado[Revenda])</f>
        <v>37</v>
      </c>
      <c r="I4456" s="3">
        <f>Vendas[[#This Row],[Valor Unitário]]*Vendas[[#This Row],[Qnt Vendida]]</f>
        <v>777</v>
      </c>
      <c r="J4456" s="3">
        <f>Vendas[[#This Row],[Valor da Venda]]-(_xlfn.XLOOKUP(Vendas[[#This Row],[ID Item Vendido]],Agregado[ID],Agregado[Custo])*Vendas[[#This Row],[Qnt Vendida]])</f>
        <v>189</v>
      </c>
      <c r="K4456" s="70">
        <f>Vendas[[#This Row],[Lucro da Venda]]/Vendas[[#This Row],[Valor da Venda]]</f>
        <v>0.24324324324324326</v>
      </c>
      <c r="L4456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4456"/>
    </row>
    <row r="4457" spans="1:13" x14ac:dyDescent="0.3">
      <c r="A4457" s="7">
        <v>400252</v>
      </c>
      <c r="B4457" t="str">
        <f>_xlfn.XLOOKUP(Vendas[[#This Row],[ID Vendedor]],Vendedores[ID],Vendedores[Nome])</f>
        <v>Renata</v>
      </c>
      <c r="C4457" s="7" t="str">
        <f>_xlfn.XLOOKUP(Vendas[[#This Row],[ID Vendedor]],Vendedores[ID],Vendedores[Setor])</f>
        <v>AB</v>
      </c>
      <c r="D4457" s="7" t="s">
        <v>12</v>
      </c>
      <c r="E4457" t="str">
        <f>_xlfn.XLOOKUP(Vendas[[#This Row],[ID Item Vendido]],Agregado[ID],Agregado[Produto])</f>
        <v>Grânulo de plástico reciclado refinado</v>
      </c>
      <c r="F4457" s="39">
        <v>45745</v>
      </c>
      <c r="G4457" s="7">
        <v>140</v>
      </c>
      <c r="H4457" s="3">
        <f>_xlfn.XLOOKUP(Vendas[[#This Row],[ID Item Vendido]],Agregado[ID],Agregado[Revenda])</f>
        <v>4.7</v>
      </c>
      <c r="I4457" s="3">
        <f>Vendas[[#This Row],[Valor Unitário]]*Vendas[[#This Row],[Qnt Vendida]]</f>
        <v>658</v>
      </c>
      <c r="J4457" s="3">
        <f>Vendas[[#This Row],[Valor da Venda]]-(_xlfn.XLOOKUP(Vendas[[#This Row],[ID Item Vendido]],Agregado[ID],Agregado[Custo])*Vendas[[#This Row],[Qnt Vendida]])</f>
        <v>168</v>
      </c>
      <c r="K4457" s="70">
        <f>Vendas[[#This Row],[Lucro da Venda]]/Vendas[[#This Row],[Valor da Venda]]</f>
        <v>0.25531914893617019</v>
      </c>
      <c r="L4457" s="3">
        <f>_xlfn.IFS(Vendas[[#This Row],[Margem de Lucro (%)]]&lt;15%,Vendas[[#This Row],[Valor da Venda]]*3%,Vendas[[#This Row],[Margem de Lucro (%)]]&lt;=20%,Vendas[[#This Row],[Valor da Venda]]*4.5%,TRUE,Vendas[[#This Row],[Valor da Venda]]*6%)</f>
        <v>39.479999999999997</v>
      </c>
      <c r="M4457"/>
    </row>
    <row r="4458" spans="1:13" x14ac:dyDescent="0.3">
      <c r="A4458" s="7">
        <v>400250</v>
      </c>
      <c r="B4458" t="str">
        <f>_xlfn.XLOOKUP(Vendas[[#This Row],[ID Vendedor]],Vendedores[ID],Vendedores[Nome])</f>
        <v>Larissa</v>
      </c>
      <c r="C4458" s="7" t="str">
        <f>_xlfn.XLOOKUP(Vendas[[#This Row],[ID Vendedor]],Vendedores[ID],Vendedores[Setor])</f>
        <v>AB</v>
      </c>
      <c r="D4458" s="7" t="s">
        <v>36</v>
      </c>
      <c r="E4458" t="str">
        <f>_xlfn.XLOOKUP(Vendas[[#This Row],[ID Item Vendido]],Agregado[ID],Agregado[Produto])</f>
        <v>Borracha vulcanizada em manta</v>
      </c>
      <c r="F4458" s="39">
        <v>45745</v>
      </c>
      <c r="G4458" s="7">
        <v>26</v>
      </c>
      <c r="H4458" s="3">
        <f>_xlfn.XLOOKUP(Vendas[[#This Row],[ID Item Vendido]],Agregado[ID],Agregado[Revenda])</f>
        <v>7.8</v>
      </c>
      <c r="I4458" s="3">
        <f>Vendas[[#This Row],[Valor Unitário]]*Vendas[[#This Row],[Qnt Vendida]]</f>
        <v>202.79999999999998</v>
      </c>
      <c r="J4458" s="3">
        <f>Vendas[[#This Row],[Valor da Venda]]-(_xlfn.XLOOKUP(Vendas[[#This Row],[ID Item Vendido]],Agregado[ID],Agregado[Custo])*Vendas[[#This Row],[Qnt Vendida]])</f>
        <v>46.799999999999983</v>
      </c>
      <c r="K4458" s="70">
        <f>Vendas[[#This Row],[Lucro da Venda]]/Vendas[[#This Row],[Valor da Venda]]</f>
        <v>0.2307692307692307</v>
      </c>
      <c r="L4458" s="3">
        <f>_xlfn.IFS(Vendas[[#This Row],[Margem de Lucro (%)]]&lt;15%,Vendas[[#This Row],[Valor da Venda]]*3%,Vendas[[#This Row],[Margem de Lucro (%)]]&lt;=20%,Vendas[[#This Row],[Valor da Venda]]*4.5%,TRUE,Vendas[[#This Row],[Valor da Venda]]*6%)</f>
        <v>12.167999999999999</v>
      </c>
      <c r="M4458"/>
    </row>
    <row r="4459" spans="1:13" x14ac:dyDescent="0.3">
      <c r="A4459" s="7">
        <v>400246</v>
      </c>
      <c r="B4459" t="str">
        <f>_xlfn.XLOOKUP(Vendas[[#This Row],[ID Vendedor]],Vendedores[ID],Vendedores[Nome])</f>
        <v>Juliana</v>
      </c>
      <c r="C4459" s="7" t="str">
        <f>_xlfn.XLOOKUP(Vendas[[#This Row],[ID Vendedor]],Vendedores[ID],Vendedores[Setor])</f>
        <v>AHD</v>
      </c>
      <c r="D4459" s="7" t="s">
        <v>28</v>
      </c>
      <c r="E4459" t="str">
        <f>_xlfn.XLOOKUP(Vendas[[#This Row],[ID Item Vendido]],Agregado[ID],Agregado[Produto])</f>
        <v>Peça usinada CNC</v>
      </c>
      <c r="F4459" s="39">
        <v>45746</v>
      </c>
      <c r="G4459" s="7">
        <v>4</v>
      </c>
      <c r="H4459" s="3">
        <f>_xlfn.XLOOKUP(Vendas[[#This Row],[ID Item Vendido]],Agregado[ID],Agregado[Revenda])</f>
        <v>192</v>
      </c>
      <c r="I4459" s="3">
        <f>Vendas[[#This Row],[Valor Unitário]]*Vendas[[#This Row],[Qnt Vendida]]</f>
        <v>768</v>
      </c>
      <c r="J4459" s="3">
        <f>Vendas[[#This Row],[Valor da Venda]]-(_xlfn.XLOOKUP(Vendas[[#This Row],[ID Item Vendido]],Agregado[ID],Agregado[Custo])*Vendas[[#This Row],[Qnt Vendida]])</f>
        <v>168</v>
      </c>
      <c r="K4459" s="70">
        <f>Vendas[[#This Row],[Lucro da Venda]]/Vendas[[#This Row],[Valor da Venda]]</f>
        <v>0.21875</v>
      </c>
      <c r="L4459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4459"/>
    </row>
    <row r="4460" spans="1:13" x14ac:dyDescent="0.3">
      <c r="A4460" s="7">
        <v>400248</v>
      </c>
      <c r="B4460" t="str">
        <f>_xlfn.XLOOKUP(Vendas[[#This Row],[ID Vendedor]],Vendedores[ID],Vendedores[Nome])</f>
        <v>Patrícia</v>
      </c>
      <c r="C4460" s="7" t="str">
        <f>_xlfn.XLOOKUP(Vendas[[#This Row],[ID Vendedor]],Vendedores[ID],Vendedores[Setor])</f>
        <v>CM</v>
      </c>
      <c r="D4460" s="7" t="s">
        <v>45</v>
      </c>
      <c r="E4460" t="str">
        <f>_xlfn.XLOOKUP(Vendas[[#This Row],[ID Item Vendido]],Agregado[ID],Agregado[Produto])</f>
        <v>Viga de madeira tratada 4m</v>
      </c>
      <c r="F4460" s="39">
        <v>45746</v>
      </c>
      <c r="G4460" s="7">
        <v>9</v>
      </c>
      <c r="H4460" s="3">
        <f>_xlfn.XLOOKUP(Vendas[[#This Row],[ID Item Vendido]],Agregado[ID],Agregado[Revenda])</f>
        <v>66</v>
      </c>
      <c r="I4460" s="3">
        <f>Vendas[[#This Row],[Valor Unitário]]*Vendas[[#This Row],[Qnt Vendida]]</f>
        <v>594</v>
      </c>
      <c r="J4460" s="3">
        <f>Vendas[[#This Row],[Valor da Venda]]-(_xlfn.XLOOKUP(Vendas[[#This Row],[ID Item Vendido]],Agregado[ID],Agregado[Custo])*Vendas[[#This Row],[Qnt Vendida]])</f>
        <v>99</v>
      </c>
      <c r="K4460" s="70">
        <f>Vendas[[#This Row],[Lucro da Venda]]/Vendas[[#This Row],[Valor da Venda]]</f>
        <v>0.16666666666666666</v>
      </c>
      <c r="L4460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4460"/>
    </row>
    <row r="4461" spans="1:13" x14ac:dyDescent="0.3">
      <c r="A4461" s="7">
        <v>400241</v>
      </c>
      <c r="B4461" t="str">
        <f>_xlfn.XLOOKUP(Vendas[[#This Row],[ID Vendedor]],Vendedores[ID],Vendedores[Nome])</f>
        <v>Rodrigo</v>
      </c>
      <c r="C4461" s="7" t="str">
        <f>_xlfn.XLOOKUP(Vendas[[#This Row],[ID Vendedor]],Vendedores[ID],Vendedores[Setor])</f>
        <v>FM</v>
      </c>
      <c r="D4461" s="7" t="s">
        <v>20</v>
      </c>
      <c r="E4461" t="str">
        <f>_xlfn.XLOOKUP(Vendas[[#This Row],[ID Item Vendido]],Agregado[ID],Agregado[Produto])</f>
        <v>Barra de aço simples</v>
      </c>
      <c r="F4461" s="39">
        <v>45746</v>
      </c>
      <c r="G4461" s="7">
        <v>115</v>
      </c>
      <c r="H4461" s="3">
        <f>_xlfn.XLOOKUP(Vendas[[#This Row],[ID Item Vendido]],Agregado[ID],Agregado[Revenda])</f>
        <v>4.8</v>
      </c>
      <c r="I4461" s="3">
        <f>Vendas[[#This Row],[Valor Unitário]]*Vendas[[#This Row],[Qnt Vendida]]</f>
        <v>552</v>
      </c>
      <c r="J4461" s="3">
        <f>Vendas[[#This Row],[Valor da Venda]]-(_xlfn.XLOOKUP(Vendas[[#This Row],[ID Item Vendido]],Agregado[ID],Agregado[Custo])*Vendas[[#This Row],[Qnt Vendida]])</f>
        <v>69</v>
      </c>
      <c r="K4461" s="70">
        <f>Vendas[[#This Row],[Lucro da Venda]]/Vendas[[#This Row],[Valor da Venda]]</f>
        <v>0.125</v>
      </c>
      <c r="L4461" s="3">
        <f>_xlfn.IFS(Vendas[[#This Row],[Margem de Lucro (%)]]&lt;15%,Vendas[[#This Row],[Valor da Venda]]*3%,Vendas[[#This Row],[Margem de Lucro (%)]]&lt;=20%,Vendas[[#This Row],[Valor da Venda]]*4.5%,TRUE,Vendas[[#This Row],[Valor da Venda]]*6%)</f>
        <v>16.559999999999999</v>
      </c>
      <c r="M4461"/>
    </row>
    <row r="4462" spans="1:13" x14ac:dyDescent="0.3">
      <c r="A4462" s="7">
        <v>400250</v>
      </c>
      <c r="B4462" t="str">
        <f>_xlfn.XLOOKUP(Vendas[[#This Row],[ID Vendedor]],Vendedores[ID],Vendedores[Nome])</f>
        <v>Larissa</v>
      </c>
      <c r="C4462" s="7" t="str">
        <f>_xlfn.XLOOKUP(Vendas[[#This Row],[ID Vendedor]],Vendedores[ID],Vendedores[Setor])</f>
        <v>AB</v>
      </c>
      <c r="D4462" s="7" t="s">
        <v>36</v>
      </c>
      <c r="E4462" t="str">
        <f>_xlfn.XLOOKUP(Vendas[[#This Row],[ID Item Vendido]],Agregado[ID],Agregado[Produto])</f>
        <v>Borracha vulcanizada em manta</v>
      </c>
      <c r="F4462" s="39">
        <v>45746</v>
      </c>
      <c r="G4462" s="7">
        <v>50</v>
      </c>
      <c r="H4462" s="3">
        <f>_xlfn.XLOOKUP(Vendas[[#This Row],[ID Item Vendido]],Agregado[ID],Agregado[Revenda])</f>
        <v>7.8</v>
      </c>
      <c r="I4462" s="3">
        <f>Vendas[[#This Row],[Valor Unitário]]*Vendas[[#This Row],[Qnt Vendida]]</f>
        <v>390</v>
      </c>
      <c r="J4462" s="3">
        <f>Vendas[[#This Row],[Valor da Venda]]-(_xlfn.XLOOKUP(Vendas[[#This Row],[ID Item Vendido]],Agregado[ID],Agregado[Custo])*Vendas[[#This Row],[Qnt Vendida]])</f>
        <v>90</v>
      </c>
      <c r="K4462" s="70">
        <f>Vendas[[#This Row],[Lucro da Venda]]/Vendas[[#This Row],[Valor da Venda]]</f>
        <v>0.23076923076923078</v>
      </c>
      <c r="L4462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4462"/>
    </row>
    <row r="4463" spans="1:13" x14ac:dyDescent="0.3">
      <c r="A4463" s="7">
        <v>400252</v>
      </c>
      <c r="B4463" t="str">
        <f>_xlfn.XLOOKUP(Vendas[[#This Row],[ID Vendedor]],Vendedores[ID],Vendedores[Nome])</f>
        <v>Renata</v>
      </c>
      <c r="C4463" s="7" t="str">
        <f>_xlfn.XLOOKUP(Vendas[[#This Row],[ID Vendedor]],Vendedores[ID],Vendedores[Setor])</f>
        <v>AB</v>
      </c>
      <c r="D4463" s="7" t="s">
        <v>37</v>
      </c>
      <c r="E4463" t="str">
        <f>_xlfn.XLOOKUP(Vendas[[#This Row],[ID Item Vendido]],Agregado[ID],Agregado[Produto])</f>
        <v>Composto de borracha para vedação rolo 10m</v>
      </c>
      <c r="F4463" s="39">
        <v>45746</v>
      </c>
      <c r="G4463" s="7">
        <v>3</v>
      </c>
      <c r="H4463" s="3">
        <f>_xlfn.XLOOKUP(Vendas[[#This Row],[ID Item Vendido]],Agregado[ID],Agregado[Revenda])</f>
        <v>51.2</v>
      </c>
      <c r="I4463" s="3">
        <f>Vendas[[#This Row],[Valor Unitário]]*Vendas[[#This Row],[Qnt Vendida]]</f>
        <v>153.60000000000002</v>
      </c>
      <c r="J4463" s="3">
        <f>Vendas[[#This Row],[Valor da Venda]]-(_xlfn.XLOOKUP(Vendas[[#This Row],[ID Item Vendido]],Agregado[ID],Agregado[Custo])*Vendas[[#This Row],[Qnt Vendida]])</f>
        <v>33.600000000000023</v>
      </c>
      <c r="K4463" s="70">
        <f>Vendas[[#This Row],[Lucro da Venda]]/Vendas[[#This Row],[Valor da Venda]]</f>
        <v>0.21875000000000011</v>
      </c>
      <c r="L4463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  <c r="M4463"/>
    </row>
    <row r="4464" spans="1:13" x14ac:dyDescent="0.3">
      <c r="A4464" s="7">
        <v>400249</v>
      </c>
      <c r="B4464" t="str">
        <f>_xlfn.XLOOKUP(Vendas[[#This Row],[ID Vendedor]],Vendedores[ID],Vendedores[Nome])</f>
        <v>Bruno</v>
      </c>
      <c r="C4464" s="7" t="str">
        <f>_xlfn.XLOOKUP(Vendas[[#This Row],[ID Vendedor]],Vendedores[ID],Vendedores[Setor])</f>
        <v>CM</v>
      </c>
      <c r="D4464" s="7" t="s">
        <v>34</v>
      </c>
      <c r="E4464" t="str">
        <f>_xlfn.XLOOKUP(Vendas[[#This Row],[ID Item Vendido]],Agregado[ID],Agregado[Produto])</f>
        <v>Restos de madeira p/ MDP/OSB saco de 20kg</v>
      </c>
      <c r="F4464" s="39">
        <v>45747</v>
      </c>
      <c r="G4464" s="7">
        <v>9</v>
      </c>
      <c r="H4464" s="3">
        <f>_xlfn.XLOOKUP(Vendas[[#This Row],[ID Item Vendido]],Agregado[ID],Agregado[Revenda])</f>
        <v>13.8</v>
      </c>
      <c r="I4464" s="3">
        <f>Vendas[[#This Row],[Valor Unitário]]*Vendas[[#This Row],[Qnt Vendida]]</f>
        <v>124.2</v>
      </c>
      <c r="J4464" s="3">
        <f>Vendas[[#This Row],[Valor da Venda]]-(_xlfn.XLOOKUP(Vendas[[#This Row],[ID Item Vendido]],Agregado[ID],Agregado[Custo])*Vendas[[#This Row],[Qnt Vendida]])</f>
        <v>16.200000000000003</v>
      </c>
      <c r="K4464" s="70">
        <f>Vendas[[#This Row],[Lucro da Venda]]/Vendas[[#This Row],[Valor da Venda]]</f>
        <v>0.13043478260869568</v>
      </c>
      <c r="L4464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4464"/>
    </row>
    <row r="4465" spans="1:13" x14ac:dyDescent="0.3">
      <c r="A4465" s="7">
        <v>400246</v>
      </c>
      <c r="B4465" t="str">
        <f>_xlfn.XLOOKUP(Vendas[[#This Row],[ID Vendedor]],Vendedores[ID],Vendedores[Nome])</f>
        <v>Juliana</v>
      </c>
      <c r="C4465" s="7" t="str">
        <f>_xlfn.XLOOKUP(Vendas[[#This Row],[ID Vendedor]],Vendedores[ID],Vendedores[Setor])</f>
        <v>AHD</v>
      </c>
      <c r="D4465" s="7" t="s">
        <v>30</v>
      </c>
      <c r="E4465" t="str">
        <f>_xlfn.XLOOKUP(Vendas[[#This Row],[ID Item Vendido]],Agregado[ID],Agregado[Produto])</f>
        <v>Estrutura metálica soldada</v>
      </c>
      <c r="F4465" s="39">
        <v>45748</v>
      </c>
      <c r="G4465" s="7">
        <v>8</v>
      </c>
      <c r="H4465" s="3">
        <f>_xlfn.XLOOKUP(Vendas[[#This Row],[ID Item Vendido]],Agregado[ID],Agregado[Revenda])</f>
        <v>400</v>
      </c>
      <c r="I4465" s="3">
        <f>Vendas[[#This Row],[Valor Unitário]]*Vendas[[#This Row],[Qnt Vendida]]</f>
        <v>3200</v>
      </c>
      <c r="J4465" s="3">
        <f>Vendas[[#This Row],[Valor da Venda]]-(_xlfn.XLOOKUP(Vendas[[#This Row],[ID Item Vendido]],Agregado[ID],Agregado[Custo])*Vendas[[#This Row],[Qnt Vendida]])</f>
        <v>640</v>
      </c>
      <c r="K4465" s="70">
        <f>Vendas[[#This Row],[Lucro da Venda]]/Vendas[[#This Row],[Valor da Venda]]</f>
        <v>0.2</v>
      </c>
      <c r="L446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465"/>
    </row>
    <row r="4466" spans="1:13" x14ac:dyDescent="0.3">
      <c r="A4466" s="7">
        <v>400254</v>
      </c>
      <c r="B4466" t="str">
        <f>_xlfn.XLOOKUP(Vendas[[#This Row],[ID Vendedor]],Vendedores[ID],Vendedores[Nome])</f>
        <v>Beatriz</v>
      </c>
      <c r="C4466" s="7" t="str">
        <f>_xlfn.XLOOKUP(Vendas[[#This Row],[ID Vendedor]],Vendedores[ID],Vendedores[Setor])</f>
        <v>SC</v>
      </c>
      <c r="D4466" s="7" t="s">
        <v>25</v>
      </c>
      <c r="E4466" t="str">
        <f>_xlfn.XLOOKUP(Vendas[[#This Row],[ID Item Vendido]],Agregado[ID],Agregado[Produto])</f>
        <v>Palete de plástico</v>
      </c>
      <c r="F4466" s="39">
        <v>45748</v>
      </c>
      <c r="G4466" s="7">
        <v>4</v>
      </c>
      <c r="H4466" s="3">
        <f>_xlfn.XLOOKUP(Vendas[[#This Row],[ID Item Vendido]],Agregado[ID],Agregado[Revenda])</f>
        <v>70.8</v>
      </c>
      <c r="I4466" s="3">
        <f>Vendas[[#This Row],[Valor Unitário]]*Vendas[[#This Row],[Qnt Vendida]]</f>
        <v>283.2</v>
      </c>
      <c r="J4466" s="3">
        <f>Vendas[[#This Row],[Valor da Venda]]-(_xlfn.XLOOKUP(Vendas[[#This Row],[ID Item Vendido]],Agregado[ID],Agregado[Custo])*Vendas[[#This Row],[Qnt Vendida]])</f>
        <v>43.199999999999989</v>
      </c>
      <c r="K4466" s="70">
        <f>Vendas[[#This Row],[Lucro da Venda]]/Vendas[[#This Row],[Valor da Venda]]</f>
        <v>0.15254237288135589</v>
      </c>
      <c r="L4466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4466"/>
    </row>
    <row r="4467" spans="1:13" x14ac:dyDescent="0.3">
      <c r="A4467" s="7">
        <v>400252</v>
      </c>
      <c r="B4467" t="str">
        <f>_xlfn.XLOOKUP(Vendas[[#This Row],[ID Vendedor]],Vendedores[ID],Vendedores[Nome])</f>
        <v>Renata</v>
      </c>
      <c r="C4467" s="7" t="str">
        <f>_xlfn.XLOOKUP(Vendas[[#This Row],[ID Vendedor]],Vendedores[ID],Vendedores[Setor])</f>
        <v>AB</v>
      </c>
      <c r="D4467" s="7" t="s">
        <v>12</v>
      </c>
      <c r="E4467" t="str">
        <f>_xlfn.XLOOKUP(Vendas[[#This Row],[ID Item Vendido]],Agregado[ID],Agregado[Produto])</f>
        <v>Grânulo de plástico reciclado refinado</v>
      </c>
      <c r="F4467" s="39">
        <v>45748</v>
      </c>
      <c r="G4467" s="7">
        <v>48</v>
      </c>
      <c r="H4467" s="3">
        <f>_xlfn.XLOOKUP(Vendas[[#This Row],[ID Item Vendido]],Agregado[ID],Agregado[Revenda])</f>
        <v>4.7</v>
      </c>
      <c r="I4467" s="3">
        <f>Vendas[[#This Row],[Valor Unitário]]*Vendas[[#This Row],[Qnt Vendida]]</f>
        <v>225.60000000000002</v>
      </c>
      <c r="J4467" s="3">
        <f>Vendas[[#This Row],[Valor da Venda]]-(_xlfn.XLOOKUP(Vendas[[#This Row],[ID Item Vendido]],Agregado[ID],Agregado[Custo])*Vendas[[#This Row],[Qnt Vendida]])</f>
        <v>57.600000000000023</v>
      </c>
      <c r="K4467" s="70">
        <f>Vendas[[#This Row],[Lucro da Venda]]/Vendas[[#This Row],[Valor da Venda]]</f>
        <v>0.2553191489361703</v>
      </c>
      <c r="L4467" s="3">
        <f>_xlfn.IFS(Vendas[[#This Row],[Margem de Lucro (%)]]&lt;15%,Vendas[[#This Row],[Valor da Venda]]*3%,Vendas[[#This Row],[Margem de Lucro (%)]]&lt;=20%,Vendas[[#This Row],[Valor da Venda]]*4.5%,TRUE,Vendas[[#This Row],[Valor da Venda]]*6%)</f>
        <v>13.536000000000001</v>
      </c>
      <c r="M4467"/>
    </row>
    <row r="4468" spans="1:13" x14ac:dyDescent="0.3">
      <c r="A4468" s="7">
        <v>400249</v>
      </c>
      <c r="B4468" t="str">
        <f>_xlfn.XLOOKUP(Vendas[[#This Row],[ID Vendedor]],Vendedores[ID],Vendedores[Nome])</f>
        <v>Bruno</v>
      </c>
      <c r="C4468" s="7" t="str">
        <f>_xlfn.XLOOKUP(Vendas[[#This Row],[ID Vendedor]],Vendedores[ID],Vendedores[Setor])</f>
        <v>CM</v>
      </c>
      <c r="D4468" s="7" t="s">
        <v>43</v>
      </c>
      <c r="E4468" t="str">
        <f>_xlfn.XLOOKUP(Vendas[[#This Row],[ID Item Vendido]],Agregado[ID],Agregado[Produto])</f>
        <v>Madeira Bruta (Tora)</v>
      </c>
      <c r="F4468" s="39">
        <v>45750</v>
      </c>
      <c r="G4468" s="7">
        <v>15</v>
      </c>
      <c r="H4468" s="3">
        <f>_xlfn.XLOOKUP(Vendas[[#This Row],[ID Item Vendido]],Agregado[ID],Agregado[Revenda])</f>
        <v>212</v>
      </c>
      <c r="I4468" s="3">
        <f>Vendas[[#This Row],[Valor Unitário]]*Vendas[[#This Row],[Qnt Vendida]]</f>
        <v>3180</v>
      </c>
      <c r="J4468" s="3">
        <f>Vendas[[#This Row],[Valor da Venda]]-(_xlfn.XLOOKUP(Vendas[[#This Row],[ID Item Vendido]],Agregado[ID],Agregado[Custo])*Vendas[[#This Row],[Qnt Vendida]])</f>
        <v>480</v>
      </c>
      <c r="K4468" s="70">
        <f>Vendas[[#This Row],[Lucro da Venda]]/Vendas[[#This Row],[Valor da Venda]]</f>
        <v>0.15094339622641509</v>
      </c>
      <c r="L4468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4468"/>
    </row>
    <row r="4469" spans="1:13" x14ac:dyDescent="0.3">
      <c r="A4469" s="7">
        <v>400246</v>
      </c>
      <c r="B4469" t="str">
        <f>_xlfn.XLOOKUP(Vendas[[#This Row],[ID Vendedor]],Vendedores[ID],Vendedores[Nome])</f>
        <v>Juliana</v>
      </c>
      <c r="C4469" s="7" t="str">
        <f>_xlfn.XLOOKUP(Vendas[[#This Row],[ID Vendedor]],Vendedores[ID],Vendedores[Setor])</f>
        <v>AHD</v>
      </c>
      <c r="D4469" s="7" t="s">
        <v>18</v>
      </c>
      <c r="E4469" t="str">
        <f>_xlfn.XLOOKUP(Vendas[[#This Row],[ID Item Vendido]],Agregado[ID],Agregado[Produto])</f>
        <v>Peça forjada sob encomenda</v>
      </c>
      <c r="F4469" s="39">
        <v>45750</v>
      </c>
      <c r="G4469" s="7">
        <v>3</v>
      </c>
      <c r="H4469" s="3">
        <f>_xlfn.XLOOKUP(Vendas[[#This Row],[ID Item Vendido]],Agregado[ID],Agregado[Revenda])</f>
        <v>264.60000000000002</v>
      </c>
      <c r="I4469" s="3">
        <f>Vendas[[#This Row],[Valor Unitário]]*Vendas[[#This Row],[Qnt Vendida]]</f>
        <v>793.80000000000007</v>
      </c>
      <c r="J4469" s="3">
        <f>Vendas[[#This Row],[Valor da Venda]]-(_xlfn.XLOOKUP(Vendas[[#This Row],[ID Item Vendido]],Agregado[ID],Agregado[Custo])*Vendas[[#This Row],[Qnt Vendida]])</f>
        <v>43.800000000000068</v>
      </c>
      <c r="K4469" s="70">
        <f>Vendas[[#This Row],[Lucro da Venda]]/Vendas[[#This Row],[Valor da Venda]]</f>
        <v>5.5177626606198113E-2</v>
      </c>
      <c r="L446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469"/>
    </row>
    <row r="4470" spans="1:13" x14ac:dyDescent="0.3">
      <c r="A4470" s="7">
        <v>400248</v>
      </c>
      <c r="B4470" t="str">
        <f>_xlfn.XLOOKUP(Vendas[[#This Row],[ID Vendedor]],Vendedores[ID],Vendedores[Nome])</f>
        <v>Patrícia</v>
      </c>
      <c r="C4470" s="7" t="str">
        <f>_xlfn.XLOOKUP(Vendas[[#This Row],[ID Vendedor]],Vendedores[ID],Vendedores[Setor])</f>
        <v>CM</v>
      </c>
      <c r="D4470" s="7" t="s">
        <v>22</v>
      </c>
      <c r="E4470" t="str">
        <f>_xlfn.XLOOKUP(Vendas[[#This Row],[ID Item Vendido]],Agregado[ID],Agregado[Produto])</f>
        <v>Painel MDP 2,75x1,83m</v>
      </c>
      <c r="F4470" s="39">
        <v>45750</v>
      </c>
      <c r="G4470" s="7">
        <v>7</v>
      </c>
      <c r="H4470" s="3">
        <f>_xlfn.XLOOKUP(Vendas[[#This Row],[ID Item Vendido]],Agregado[ID],Agregado[Revenda])</f>
        <v>119</v>
      </c>
      <c r="I4470" s="3">
        <f>Vendas[[#This Row],[Valor Unitário]]*Vendas[[#This Row],[Qnt Vendida]]</f>
        <v>833</v>
      </c>
      <c r="J4470" s="3">
        <f>Vendas[[#This Row],[Valor da Venda]]-(_xlfn.XLOOKUP(Vendas[[#This Row],[ID Item Vendido]],Agregado[ID],Agregado[Custo])*Vendas[[#This Row],[Qnt Vendida]])</f>
        <v>168</v>
      </c>
      <c r="K4470" s="70">
        <f>Vendas[[#This Row],[Lucro da Venda]]/Vendas[[#This Row],[Valor da Venda]]</f>
        <v>0.20168067226890757</v>
      </c>
      <c r="L4470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4470"/>
    </row>
    <row r="4471" spans="1:13" x14ac:dyDescent="0.3">
      <c r="A4471" s="7">
        <v>400243</v>
      </c>
      <c r="B4471" t="str">
        <f>_xlfn.XLOOKUP(Vendas[[#This Row],[ID Vendedor]],Vendedores[ID],Vendedores[Nome])</f>
        <v>Marcelo</v>
      </c>
      <c r="C4471" s="7" t="str">
        <f>_xlfn.XLOOKUP(Vendas[[#This Row],[ID Vendedor]],Vendedores[ID],Vendedores[Setor])</f>
        <v>FM</v>
      </c>
      <c r="D4471" s="7" t="s">
        <v>47</v>
      </c>
      <c r="E4471" t="str">
        <f>_xlfn.XLOOKUP(Vendas[[#This Row],[ID Item Vendido]],Agregado[ID],Agregado[Produto])</f>
        <v>Fio de arame galvanizado rolo 50m</v>
      </c>
      <c r="F4471" s="39">
        <v>45750</v>
      </c>
      <c r="G4471" s="7">
        <v>12</v>
      </c>
      <c r="H4471" s="3">
        <f>_xlfn.XLOOKUP(Vendas[[#This Row],[ID Item Vendido]],Agregado[ID],Agregado[Revenda])</f>
        <v>21.2</v>
      </c>
      <c r="I4471" s="3">
        <f>Vendas[[#This Row],[Valor Unitário]]*Vendas[[#This Row],[Qnt Vendida]]</f>
        <v>254.39999999999998</v>
      </c>
      <c r="J4471" s="3">
        <f>Vendas[[#This Row],[Valor da Venda]]-(_xlfn.XLOOKUP(Vendas[[#This Row],[ID Item Vendido]],Agregado[ID],Agregado[Custo])*Vendas[[#This Row],[Qnt Vendida]])</f>
        <v>38.399999999999977</v>
      </c>
      <c r="K4471" s="70">
        <f>Vendas[[#This Row],[Lucro da Venda]]/Vendas[[#This Row],[Valor da Venda]]</f>
        <v>0.15094339622641501</v>
      </c>
      <c r="L4471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4471"/>
    </row>
    <row r="4472" spans="1:13" x14ac:dyDescent="0.3">
      <c r="A4472" s="7">
        <v>400247</v>
      </c>
      <c r="B4472" t="str">
        <f>_xlfn.XLOOKUP(Vendas[[#This Row],[ID Vendedor]],Vendedores[ID],Vendedores[Nome])</f>
        <v>André</v>
      </c>
      <c r="C4472" s="7" t="str">
        <f>_xlfn.XLOOKUP(Vendas[[#This Row],[ID Vendedor]],Vendedores[ID],Vendedores[Setor])</f>
        <v>CM</v>
      </c>
      <c r="D4472" s="7" t="s">
        <v>43</v>
      </c>
      <c r="E4472" t="str">
        <f>_xlfn.XLOOKUP(Vendas[[#This Row],[ID Item Vendido]],Agregado[ID],Agregado[Produto])</f>
        <v>Madeira Bruta (Tora)</v>
      </c>
      <c r="F4472" s="39">
        <v>45751</v>
      </c>
      <c r="G4472" s="7">
        <v>9</v>
      </c>
      <c r="H4472" s="3">
        <f>_xlfn.XLOOKUP(Vendas[[#This Row],[ID Item Vendido]],Agregado[ID],Agregado[Revenda])</f>
        <v>212</v>
      </c>
      <c r="I4472" s="3">
        <f>Vendas[[#This Row],[Valor Unitário]]*Vendas[[#This Row],[Qnt Vendida]]</f>
        <v>1908</v>
      </c>
      <c r="J4472" s="3">
        <f>Vendas[[#This Row],[Valor da Venda]]-(_xlfn.XLOOKUP(Vendas[[#This Row],[ID Item Vendido]],Agregado[ID],Agregado[Custo])*Vendas[[#This Row],[Qnt Vendida]])</f>
        <v>288</v>
      </c>
      <c r="K4472" s="70">
        <f>Vendas[[#This Row],[Lucro da Venda]]/Vendas[[#This Row],[Valor da Venda]]</f>
        <v>0.15094339622641509</v>
      </c>
      <c r="L4472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4472"/>
    </row>
    <row r="4473" spans="1:13" x14ac:dyDescent="0.3">
      <c r="A4473" s="7">
        <v>400251</v>
      </c>
      <c r="B4473" t="str">
        <f>_xlfn.XLOOKUP(Vendas[[#This Row],[ID Vendedor]],Vendedores[ID],Vendedores[Nome])</f>
        <v>Diego</v>
      </c>
      <c r="C4473" s="7" t="str">
        <f>_xlfn.XLOOKUP(Vendas[[#This Row],[ID Vendedor]],Vendedores[ID],Vendedores[Setor])</f>
        <v>AB</v>
      </c>
      <c r="D4473" s="7" t="s">
        <v>24</v>
      </c>
      <c r="E4473" t="str">
        <f>_xlfn.XLOOKUP(Vendas[[#This Row],[ID Item Vendido]],Agregado[ID],Agregado[Produto])</f>
        <v>Resina plástica PET purificada saco de 25kg</v>
      </c>
      <c r="F4473" s="39">
        <v>45751</v>
      </c>
      <c r="G4473" s="7">
        <v>3</v>
      </c>
      <c r="H4473" s="3">
        <f>_xlfn.XLOOKUP(Vendas[[#This Row],[ID Item Vendido]],Agregado[ID],Agregado[Revenda])</f>
        <v>119</v>
      </c>
      <c r="I4473" s="3">
        <f>Vendas[[#This Row],[Valor Unitário]]*Vendas[[#This Row],[Qnt Vendida]]</f>
        <v>357</v>
      </c>
      <c r="J4473" s="3">
        <f>Vendas[[#This Row],[Valor da Venda]]-(_xlfn.XLOOKUP(Vendas[[#This Row],[ID Item Vendido]],Agregado[ID],Agregado[Custo])*Vendas[[#This Row],[Qnt Vendida]])</f>
        <v>102</v>
      </c>
      <c r="K4473" s="70">
        <f>Vendas[[#This Row],[Lucro da Venda]]/Vendas[[#This Row],[Valor da Venda]]</f>
        <v>0.2857142857142857</v>
      </c>
      <c r="L4473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4473"/>
    </row>
    <row r="4474" spans="1:13" x14ac:dyDescent="0.3">
      <c r="A4474" s="7">
        <v>400250</v>
      </c>
      <c r="B4474" t="str">
        <f>_xlfn.XLOOKUP(Vendas[[#This Row],[ID Vendedor]],Vendedores[ID],Vendedores[Nome])</f>
        <v>Larissa</v>
      </c>
      <c r="C4474" s="7" t="str">
        <f>_xlfn.XLOOKUP(Vendas[[#This Row],[ID Vendedor]],Vendedores[ID],Vendedores[Setor])</f>
        <v>AB</v>
      </c>
      <c r="D4474" s="7" t="s">
        <v>36</v>
      </c>
      <c r="E4474" t="str">
        <f>_xlfn.XLOOKUP(Vendas[[#This Row],[ID Item Vendido]],Agregado[ID],Agregado[Produto])</f>
        <v>Borracha vulcanizada em manta</v>
      </c>
      <c r="F4474" s="39">
        <v>45751</v>
      </c>
      <c r="G4474" s="7">
        <v>39</v>
      </c>
      <c r="H4474" s="3">
        <f>_xlfn.XLOOKUP(Vendas[[#This Row],[ID Item Vendido]],Agregado[ID],Agregado[Revenda])</f>
        <v>7.8</v>
      </c>
      <c r="I4474" s="3">
        <f>Vendas[[#This Row],[Valor Unitário]]*Vendas[[#This Row],[Qnt Vendida]]</f>
        <v>304.2</v>
      </c>
      <c r="J4474" s="3">
        <f>Vendas[[#This Row],[Valor da Venda]]-(_xlfn.XLOOKUP(Vendas[[#This Row],[ID Item Vendido]],Agregado[ID],Agregado[Custo])*Vendas[[#This Row],[Qnt Vendida]])</f>
        <v>70.199999999999989</v>
      </c>
      <c r="K4474" s="70">
        <f>Vendas[[#This Row],[Lucro da Venda]]/Vendas[[#This Row],[Valor da Venda]]</f>
        <v>0.23076923076923075</v>
      </c>
      <c r="L4474" s="3">
        <f>_xlfn.IFS(Vendas[[#This Row],[Margem de Lucro (%)]]&lt;15%,Vendas[[#This Row],[Valor da Venda]]*3%,Vendas[[#This Row],[Margem de Lucro (%)]]&lt;=20%,Vendas[[#This Row],[Valor da Venda]]*4.5%,TRUE,Vendas[[#This Row],[Valor da Venda]]*6%)</f>
        <v>18.251999999999999</v>
      </c>
      <c r="M4474"/>
    </row>
    <row r="4475" spans="1:13" x14ac:dyDescent="0.3">
      <c r="A4475" s="7">
        <v>400250</v>
      </c>
      <c r="B4475" t="str">
        <f>_xlfn.XLOOKUP(Vendas[[#This Row],[ID Vendedor]],Vendedores[ID],Vendedores[Nome])</f>
        <v>Larissa</v>
      </c>
      <c r="C4475" s="7" t="str">
        <f>_xlfn.XLOOKUP(Vendas[[#This Row],[ID Vendedor]],Vendedores[ID],Vendedores[Setor])</f>
        <v>AB</v>
      </c>
      <c r="D4475" s="7" t="s">
        <v>37</v>
      </c>
      <c r="E4475" t="str">
        <f>_xlfn.XLOOKUP(Vendas[[#This Row],[ID Item Vendido]],Agregado[ID],Agregado[Produto])</f>
        <v>Composto de borracha para vedação rolo 10m</v>
      </c>
      <c r="F4475" s="39">
        <v>45752</v>
      </c>
      <c r="G4475" s="7">
        <v>23</v>
      </c>
      <c r="H4475" s="3">
        <f>_xlfn.XLOOKUP(Vendas[[#This Row],[ID Item Vendido]],Agregado[ID],Agregado[Revenda])</f>
        <v>51.2</v>
      </c>
      <c r="I4475" s="3">
        <f>Vendas[[#This Row],[Valor Unitário]]*Vendas[[#This Row],[Qnt Vendida]]</f>
        <v>1177.6000000000001</v>
      </c>
      <c r="J4475" s="3">
        <f>Vendas[[#This Row],[Valor da Venda]]-(_xlfn.XLOOKUP(Vendas[[#This Row],[ID Item Vendido]],Agregado[ID],Agregado[Custo])*Vendas[[#This Row],[Qnt Vendida]])</f>
        <v>257.60000000000014</v>
      </c>
      <c r="K4475" s="70">
        <f>Vendas[[#This Row],[Lucro da Venda]]/Vendas[[#This Row],[Valor da Venda]]</f>
        <v>0.21875000000000008</v>
      </c>
      <c r="L4475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4475"/>
    </row>
    <row r="4476" spans="1:13" x14ac:dyDescent="0.3">
      <c r="A4476" s="7">
        <v>400253</v>
      </c>
      <c r="B4476" t="str">
        <f>_xlfn.XLOOKUP(Vendas[[#This Row],[ID Vendedor]],Vendedores[ID],Vendedores[Nome])</f>
        <v>Gustavo</v>
      </c>
      <c r="C4476" s="7" t="str">
        <f>_xlfn.XLOOKUP(Vendas[[#This Row],[ID Vendedor]],Vendedores[ID],Vendedores[Setor])</f>
        <v>SC</v>
      </c>
      <c r="D4476" s="7" t="s">
        <v>42</v>
      </c>
      <c r="E4476" t="str">
        <f>_xlfn.XLOOKUP(Vendas[[#This Row],[ID Item Vendido]],Agregado[ID],Agregado[Produto])</f>
        <v>Container de ferro industrial</v>
      </c>
      <c r="F4476" s="39">
        <v>45752</v>
      </c>
      <c r="G4476" s="7">
        <v>1</v>
      </c>
      <c r="H4476" s="3">
        <f>_xlfn.XLOOKUP(Vendas[[#This Row],[ID Item Vendido]],Agregado[ID],Agregado[Revenda])</f>
        <v>830</v>
      </c>
      <c r="I4476" s="3">
        <f>Vendas[[#This Row],[Valor Unitário]]*Vendas[[#This Row],[Qnt Vendida]]</f>
        <v>830</v>
      </c>
      <c r="J4476" s="3">
        <f>Vendas[[#This Row],[Valor da Venda]]-(_xlfn.XLOOKUP(Vendas[[#This Row],[ID Item Vendido]],Agregado[ID],Agregado[Custo])*Vendas[[#This Row],[Qnt Vendida]])</f>
        <v>150</v>
      </c>
      <c r="K4476" s="70">
        <f>Vendas[[#This Row],[Lucro da Venda]]/Vendas[[#This Row],[Valor da Venda]]</f>
        <v>0.18072289156626506</v>
      </c>
      <c r="L447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476"/>
    </row>
    <row r="4477" spans="1:13" x14ac:dyDescent="0.3">
      <c r="A4477" s="7">
        <v>400248</v>
      </c>
      <c r="B4477" t="str">
        <f>_xlfn.XLOOKUP(Vendas[[#This Row],[ID Vendedor]],Vendedores[ID],Vendedores[Nome])</f>
        <v>Patrícia</v>
      </c>
      <c r="C4477" s="7" t="str">
        <f>_xlfn.XLOOKUP(Vendas[[#This Row],[ID Vendedor]],Vendedores[ID],Vendedores[Setor])</f>
        <v>CM</v>
      </c>
      <c r="D4477" s="7" t="s">
        <v>45</v>
      </c>
      <c r="E4477" t="str">
        <f>_xlfn.XLOOKUP(Vendas[[#This Row],[ID Item Vendido]],Agregado[ID],Agregado[Produto])</f>
        <v>Viga de madeira tratada 4m</v>
      </c>
      <c r="F4477" s="39">
        <v>45752</v>
      </c>
      <c r="G4477" s="7">
        <v>11</v>
      </c>
      <c r="H4477" s="3">
        <f>_xlfn.XLOOKUP(Vendas[[#This Row],[ID Item Vendido]],Agregado[ID],Agregado[Revenda])</f>
        <v>66</v>
      </c>
      <c r="I4477" s="3">
        <f>Vendas[[#This Row],[Valor Unitário]]*Vendas[[#This Row],[Qnt Vendida]]</f>
        <v>726</v>
      </c>
      <c r="J4477" s="3">
        <f>Vendas[[#This Row],[Valor da Venda]]-(_xlfn.XLOOKUP(Vendas[[#This Row],[ID Item Vendido]],Agregado[ID],Agregado[Custo])*Vendas[[#This Row],[Qnt Vendida]])</f>
        <v>121</v>
      </c>
      <c r="K4477" s="70">
        <f>Vendas[[#This Row],[Lucro da Venda]]/Vendas[[#This Row],[Valor da Venda]]</f>
        <v>0.16666666666666666</v>
      </c>
      <c r="L4477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4477"/>
    </row>
    <row r="4478" spans="1:13" x14ac:dyDescent="0.3">
      <c r="A4478" s="7">
        <v>400243</v>
      </c>
      <c r="B4478" t="str">
        <f>_xlfn.XLOOKUP(Vendas[[#This Row],[ID Vendedor]],Vendedores[ID],Vendedores[Nome])</f>
        <v>Marcelo</v>
      </c>
      <c r="C4478" s="7" t="str">
        <f>_xlfn.XLOOKUP(Vendas[[#This Row],[ID Vendedor]],Vendedores[ID],Vendedores[Setor])</f>
        <v>FM</v>
      </c>
      <c r="D4478" s="7" t="s">
        <v>27</v>
      </c>
      <c r="E4478" t="str">
        <f>_xlfn.XLOOKUP(Vendas[[#This Row],[ID Item Vendido]],Agregado[ID],Agregado[Produto])</f>
        <v>Chapa de metal lisa 1x2m</v>
      </c>
      <c r="F4478" s="39">
        <v>45753</v>
      </c>
      <c r="G4478" s="7">
        <v>6</v>
      </c>
      <c r="H4478" s="3">
        <f>_xlfn.XLOOKUP(Vendas[[#This Row],[ID Item Vendido]],Agregado[ID],Agregado[Revenda])</f>
        <v>52</v>
      </c>
      <c r="I4478" s="3">
        <f>Vendas[[#This Row],[Valor Unitário]]*Vendas[[#This Row],[Qnt Vendida]]</f>
        <v>312</v>
      </c>
      <c r="J4478" s="3">
        <f>Vendas[[#This Row],[Valor da Venda]]-(_xlfn.XLOOKUP(Vendas[[#This Row],[ID Item Vendido]],Agregado[ID],Agregado[Custo])*Vendas[[#This Row],[Qnt Vendida]])</f>
        <v>42</v>
      </c>
      <c r="K4478" s="70">
        <f>Vendas[[#This Row],[Lucro da Venda]]/Vendas[[#This Row],[Valor da Venda]]</f>
        <v>0.13461538461538461</v>
      </c>
      <c r="L447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478"/>
    </row>
    <row r="4479" spans="1:13" x14ac:dyDescent="0.3">
      <c r="A4479" s="7">
        <v>400250</v>
      </c>
      <c r="B4479" t="str">
        <f>_xlfn.XLOOKUP(Vendas[[#This Row],[ID Vendedor]],Vendedores[ID],Vendedores[Nome])</f>
        <v>Larissa</v>
      </c>
      <c r="C4479" s="7" t="str">
        <f>_xlfn.XLOOKUP(Vendas[[#This Row],[ID Vendedor]],Vendedores[ID],Vendedores[Setor])</f>
        <v>AB</v>
      </c>
      <c r="D4479" s="7" t="s">
        <v>24</v>
      </c>
      <c r="E4479" t="str">
        <f>_xlfn.XLOOKUP(Vendas[[#This Row],[ID Item Vendido]],Agregado[ID],Agregado[Produto])</f>
        <v>Resina plástica PET purificada saco de 25kg</v>
      </c>
      <c r="F4479" s="39">
        <v>45754</v>
      </c>
      <c r="G4479" s="7">
        <v>18</v>
      </c>
      <c r="H4479" s="3">
        <f>_xlfn.XLOOKUP(Vendas[[#This Row],[ID Item Vendido]],Agregado[ID],Agregado[Revenda])</f>
        <v>119</v>
      </c>
      <c r="I4479" s="3">
        <f>Vendas[[#This Row],[Valor Unitário]]*Vendas[[#This Row],[Qnt Vendida]]</f>
        <v>2142</v>
      </c>
      <c r="J4479" s="3">
        <f>Vendas[[#This Row],[Valor da Venda]]-(_xlfn.XLOOKUP(Vendas[[#This Row],[ID Item Vendido]],Agregado[ID],Agregado[Custo])*Vendas[[#This Row],[Qnt Vendida]])</f>
        <v>612</v>
      </c>
      <c r="K4479" s="70">
        <f>Vendas[[#This Row],[Lucro da Venda]]/Vendas[[#This Row],[Valor da Venda]]</f>
        <v>0.2857142857142857</v>
      </c>
      <c r="L4479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4479"/>
    </row>
    <row r="4480" spans="1:13" x14ac:dyDescent="0.3">
      <c r="A4480" s="7">
        <v>400253</v>
      </c>
      <c r="B4480" t="str">
        <f>_xlfn.XLOOKUP(Vendas[[#This Row],[ID Vendedor]],Vendedores[ID],Vendedores[Nome])</f>
        <v>Gustavo</v>
      </c>
      <c r="C4480" s="7" t="str">
        <f>_xlfn.XLOOKUP(Vendas[[#This Row],[ID Vendedor]],Vendedores[ID],Vendedores[Setor])</f>
        <v>SC</v>
      </c>
      <c r="D4480" s="7" t="s">
        <v>48</v>
      </c>
      <c r="E4480" t="str">
        <f>_xlfn.XLOOKUP(Vendas[[#This Row],[ID Item Vendido]],Agregado[ID],Agregado[Produto])</f>
        <v>Tambor metálico 200L</v>
      </c>
      <c r="F4480" s="39">
        <v>45754</v>
      </c>
      <c r="G4480" s="7">
        <v>9</v>
      </c>
      <c r="H4480" s="3">
        <f>_xlfn.XLOOKUP(Vendas[[#This Row],[ID Item Vendido]],Agregado[ID],Agregado[Revenda])</f>
        <v>144</v>
      </c>
      <c r="I4480" s="3">
        <f>Vendas[[#This Row],[Valor Unitário]]*Vendas[[#This Row],[Qnt Vendida]]</f>
        <v>1296</v>
      </c>
      <c r="J4480" s="3">
        <f>Vendas[[#This Row],[Valor da Venda]]-(_xlfn.XLOOKUP(Vendas[[#This Row],[ID Item Vendido]],Agregado[ID],Agregado[Custo])*Vendas[[#This Row],[Qnt Vendida]])</f>
        <v>216</v>
      </c>
      <c r="K4480" s="70">
        <f>Vendas[[#This Row],[Lucro da Venda]]/Vendas[[#This Row],[Valor da Venda]]</f>
        <v>0.16666666666666666</v>
      </c>
      <c r="L4480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480"/>
    </row>
    <row r="4481" spans="1:13" x14ac:dyDescent="0.3">
      <c r="A4481" s="7">
        <v>400246</v>
      </c>
      <c r="B4481" t="str">
        <f>_xlfn.XLOOKUP(Vendas[[#This Row],[ID Vendedor]],Vendedores[ID],Vendedores[Nome])</f>
        <v>Juliana</v>
      </c>
      <c r="C4481" s="7" t="str">
        <f>_xlfn.XLOOKUP(Vendas[[#This Row],[ID Vendedor]],Vendedores[ID],Vendedores[Setor])</f>
        <v>AHD</v>
      </c>
      <c r="D4481" s="7" t="s">
        <v>9</v>
      </c>
      <c r="E4481" t="str">
        <f>_xlfn.XLOOKUP(Vendas[[#This Row],[ID Item Vendido]],Agregado[ID],Agregado[Produto])</f>
        <v>Barra de aço simples</v>
      </c>
      <c r="F4481" s="39">
        <v>45754</v>
      </c>
      <c r="G4481" s="7">
        <v>131</v>
      </c>
      <c r="H4481" s="3">
        <f>_xlfn.XLOOKUP(Vendas[[#This Row],[ID Item Vendido]],Agregado[ID],Agregado[Revenda])</f>
        <v>6.7</v>
      </c>
      <c r="I4481" s="3">
        <f>Vendas[[#This Row],[Valor Unitário]]*Vendas[[#This Row],[Qnt Vendida]]</f>
        <v>877.7</v>
      </c>
      <c r="J4481" s="3">
        <f>Vendas[[#This Row],[Valor da Venda]]-(_xlfn.XLOOKUP(Vendas[[#This Row],[ID Item Vendido]],Agregado[ID],Agregado[Custo])*Vendas[[#This Row],[Qnt Vendida]])</f>
        <v>117.90000000000009</v>
      </c>
      <c r="K4481" s="70">
        <f>Vendas[[#This Row],[Lucro da Venda]]/Vendas[[#This Row],[Valor da Venda]]</f>
        <v>0.13432835820895533</v>
      </c>
      <c r="L4481" s="3">
        <f>_xlfn.IFS(Vendas[[#This Row],[Margem de Lucro (%)]]&lt;15%,Vendas[[#This Row],[Valor da Venda]]*3%,Vendas[[#This Row],[Margem de Lucro (%)]]&lt;=20%,Vendas[[#This Row],[Valor da Venda]]*4.5%,TRUE,Vendas[[#This Row],[Valor da Venda]]*6%)</f>
        <v>26.331</v>
      </c>
      <c r="M4481"/>
    </row>
    <row r="4482" spans="1:13" x14ac:dyDescent="0.3">
      <c r="A4482" s="7">
        <v>400254</v>
      </c>
      <c r="B4482" t="str">
        <f>_xlfn.XLOOKUP(Vendas[[#This Row],[ID Vendedor]],Vendedores[ID],Vendedores[Nome])</f>
        <v>Beatriz</v>
      </c>
      <c r="C4482" s="7" t="str">
        <f>_xlfn.XLOOKUP(Vendas[[#This Row],[ID Vendedor]],Vendedores[ID],Vendedores[Setor])</f>
        <v>SC</v>
      </c>
      <c r="D4482" s="7" t="s">
        <v>41</v>
      </c>
      <c r="E4482" t="str">
        <f>_xlfn.XLOOKUP(Vendas[[#This Row],[ID Item Vendido]],Agregado[ID],Agregado[Produto])</f>
        <v>Palete de madeira reforçado</v>
      </c>
      <c r="F4482" s="39">
        <v>45754</v>
      </c>
      <c r="G4482" s="7">
        <v>1</v>
      </c>
      <c r="H4482" s="3">
        <f>_xlfn.XLOOKUP(Vendas[[#This Row],[ID Item Vendido]],Agregado[ID],Agregado[Revenda])</f>
        <v>131</v>
      </c>
      <c r="I4482" s="3">
        <f>Vendas[[#This Row],[Valor Unitário]]*Vendas[[#This Row],[Qnt Vendida]]</f>
        <v>131</v>
      </c>
      <c r="J4482" s="3">
        <f>Vendas[[#This Row],[Valor da Venda]]-(_xlfn.XLOOKUP(Vendas[[#This Row],[ID Item Vendido]],Agregado[ID],Agregado[Custo])*Vendas[[#This Row],[Qnt Vendida]])</f>
        <v>21</v>
      </c>
      <c r="K4482" s="70">
        <f>Vendas[[#This Row],[Lucro da Venda]]/Vendas[[#This Row],[Valor da Venda]]</f>
        <v>0.16030534351145037</v>
      </c>
      <c r="L4482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4482"/>
    </row>
    <row r="4483" spans="1:13" x14ac:dyDescent="0.3">
      <c r="A4483" s="7">
        <v>400254</v>
      </c>
      <c r="B4483" t="str">
        <f>_xlfn.XLOOKUP(Vendas[[#This Row],[ID Vendedor]],Vendedores[ID],Vendedores[Nome])</f>
        <v>Beatriz</v>
      </c>
      <c r="C4483" s="7" t="str">
        <f>_xlfn.XLOOKUP(Vendas[[#This Row],[ID Vendedor]],Vendedores[ID],Vendedores[Setor])</f>
        <v>SC</v>
      </c>
      <c r="D4483" s="7" t="s">
        <v>14</v>
      </c>
      <c r="E4483" t="str">
        <f>_xlfn.XLOOKUP(Vendas[[#This Row],[ID Item Vendido]],Agregado[ID],Agregado[Produto])</f>
        <v>Barril de plástico 200L</v>
      </c>
      <c r="F4483" s="39">
        <v>45755</v>
      </c>
      <c r="G4483" s="7">
        <v>13</v>
      </c>
      <c r="H4483" s="3">
        <f>_xlfn.XLOOKUP(Vendas[[#This Row],[ID Item Vendido]],Agregado[ID],Agregado[Revenda])</f>
        <v>114</v>
      </c>
      <c r="I4483" s="3">
        <f>Vendas[[#This Row],[Valor Unitário]]*Vendas[[#This Row],[Qnt Vendida]]</f>
        <v>1482</v>
      </c>
      <c r="J4483" s="3">
        <f>Vendas[[#This Row],[Valor da Venda]]-(_xlfn.XLOOKUP(Vendas[[#This Row],[ID Item Vendido]],Agregado[ID],Agregado[Custo])*Vendas[[#This Row],[Qnt Vendida]])</f>
        <v>247</v>
      </c>
      <c r="K4483" s="70">
        <f>Vendas[[#This Row],[Lucro da Venda]]/Vendas[[#This Row],[Valor da Venda]]</f>
        <v>0.16666666666666666</v>
      </c>
      <c r="L4483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4483"/>
    </row>
    <row r="4484" spans="1:13" x14ac:dyDescent="0.3">
      <c r="A4484" s="7">
        <v>400242</v>
      </c>
      <c r="B4484" t="str">
        <f>_xlfn.XLOOKUP(Vendas[[#This Row],[ID Vendedor]],Vendedores[ID],Vendedores[Nome])</f>
        <v>Fernanda</v>
      </c>
      <c r="C4484" s="7" t="str">
        <f>_xlfn.XLOOKUP(Vendas[[#This Row],[ID Vendedor]],Vendedores[ID],Vendedores[Setor])</f>
        <v>FM</v>
      </c>
      <c r="D4484" s="7" t="s">
        <v>31</v>
      </c>
      <c r="E4484" t="str">
        <f>_xlfn.XLOOKUP(Vendas[[#This Row],[ID Item Vendido]],Agregado[ID],Agregado[Produto])</f>
        <v>Tela de metal soldada rolo 2x25m</v>
      </c>
      <c r="F4484" s="39">
        <v>45755</v>
      </c>
      <c r="G4484" s="7">
        <v>13</v>
      </c>
      <c r="H4484" s="3">
        <f>_xlfn.XLOOKUP(Vendas[[#This Row],[ID Item Vendido]],Agregado[ID],Agregado[Revenda])</f>
        <v>43.7</v>
      </c>
      <c r="I4484" s="3">
        <f>Vendas[[#This Row],[Valor Unitário]]*Vendas[[#This Row],[Qnt Vendida]]</f>
        <v>568.1</v>
      </c>
      <c r="J4484" s="3">
        <f>Vendas[[#This Row],[Valor da Venda]]-(_xlfn.XLOOKUP(Vendas[[#This Row],[ID Item Vendido]],Agregado[ID],Agregado[Custo])*Vendas[[#This Row],[Qnt Vendida]])</f>
        <v>74.100000000000023</v>
      </c>
      <c r="K4484" s="70">
        <f>Vendas[[#This Row],[Lucro da Venda]]/Vendas[[#This Row],[Valor da Venda]]</f>
        <v>0.13043478260869568</v>
      </c>
      <c r="L4484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4484"/>
    </row>
    <row r="4485" spans="1:13" x14ac:dyDescent="0.3">
      <c r="A4485" s="7">
        <v>400242</v>
      </c>
      <c r="B4485" t="str">
        <f>_xlfn.XLOOKUP(Vendas[[#This Row],[ID Vendedor]],Vendedores[ID],Vendedores[Nome])</f>
        <v>Fernanda</v>
      </c>
      <c r="C4485" s="7" t="str">
        <f>_xlfn.XLOOKUP(Vendas[[#This Row],[ID Vendedor]],Vendedores[ID],Vendedores[Setor])</f>
        <v>FM</v>
      </c>
      <c r="D4485" s="7" t="s">
        <v>47</v>
      </c>
      <c r="E4485" t="str">
        <f>_xlfn.XLOOKUP(Vendas[[#This Row],[ID Item Vendido]],Agregado[ID],Agregado[Produto])</f>
        <v>Fio de arame galvanizado rolo 50m</v>
      </c>
      <c r="F4485" s="39">
        <v>45755</v>
      </c>
      <c r="G4485" s="7">
        <v>22</v>
      </c>
      <c r="H4485" s="3">
        <f>_xlfn.XLOOKUP(Vendas[[#This Row],[ID Item Vendido]],Agregado[ID],Agregado[Revenda])</f>
        <v>21.2</v>
      </c>
      <c r="I4485" s="3">
        <f>Vendas[[#This Row],[Valor Unitário]]*Vendas[[#This Row],[Qnt Vendida]]</f>
        <v>466.4</v>
      </c>
      <c r="J4485" s="3">
        <f>Vendas[[#This Row],[Valor da Venda]]-(_xlfn.XLOOKUP(Vendas[[#This Row],[ID Item Vendido]],Agregado[ID],Agregado[Custo])*Vendas[[#This Row],[Qnt Vendida]])</f>
        <v>70.399999999999977</v>
      </c>
      <c r="K4485" s="70">
        <f>Vendas[[#This Row],[Lucro da Venda]]/Vendas[[#This Row],[Valor da Venda]]</f>
        <v>0.15094339622641506</v>
      </c>
      <c r="L4485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4485"/>
    </row>
    <row r="4486" spans="1:13" x14ac:dyDescent="0.3">
      <c r="A4486" s="7">
        <v>400255</v>
      </c>
      <c r="B4486" t="str">
        <f>_xlfn.XLOOKUP(Vendas[[#This Row],[ID Vendedor]],Vendedores[ID],Vendedores[Nome])</f>
        <v>Carlos</v>
      </c>
      <c r="C4486" s="7" t="str">
        <f>_xlfn.XLOOKUP(Vendas[[#This Row],[ID Vendedor]],Vendedores[ID],Vendedores[Setor])</f>
        <v>SC</v>
      </c>
      <c r="D4486" s="7" t="s">
        <v>14</v>
      </c>
      <c r="E4486" t="str">
        <f>_xlfn.XLOOKUP(Vendas[[#This Row],[ID Item Vendido]],Agregado[ID],Agregado[Produto])</f>
        <v>Barril de plástico 200L</v>
      </c>
      <c r="F4486" s="39">
        <v>45755</v>
      </c>
      <c r="G4486" s="7">
        <v>3</v>
      </c>
      <c r="H4486" s="3">
        <f>_xlfn.XLOOKUP(Vendas[[#This Row],[ID Item Vendido]],Agregado[ID],Agregado[Revenda])</f>
        <v>114</v>
      </c>
      <c r="I4486" s="3">
        <f>Vendas[[#This Row],[Valor Unitário]]*Vendas[[#This Row],[Qnt Vendida]]</f>
        <v>342</v>
      </c>
      <c r="J4486" s="3">
        <f>Vendas[[#This Row],[Valor da Venda]]-(_xlfn.XLOOKUP(Vendas[[#This Row],[ID Item Vendido]],Agregado[ID],Agregado[Custo])*Vendas[[#This Row],[Qnt Vendida]])</f>
        <v>57</v>
      </c>
      <c r="K4486" s="70">
        <f>Vendas[[#This Row],[Lucro da Venda]]/Vendas[[#This Row],[Valor da Venda]]</f>
        <v>0.16666666666666666</v>
      </c>
      <c r="L4486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4486"/>
    </row>
    <row r="4487" spans="1:13" x14ac:dyDescent="0.3">
      <c r="A4487" s="7">
        <v>400255</v>
      </c>
      <c r="B4487" t="str">
        <f>_xlfn.XLOOKUP(Vendas[[#This Row],[ID Vendedor]],Vendedores[ID],Vendedores[Nome])</f>
        <v>Carlos</v>
      </c>
      <c r="C4487" s="7" t="str">
        <f>_xlfn.XLOOKUP(Vendas[[#This Row],[ID Vendedor]],Vendedores[ID],Vendedores[Setor])</f>
        <v>SC</v>
      </c>
      <c r="D4487" s="7" t="s">
        <v>48</v>
      </c>
      <c r="E4487" t="str">
        <f>_xlfn.XLOOKUP(Vendas[[#This Row],[ID Item Vendido]],Agregado[ID],Agregado[Produto])</f>
        <v>Tambor metálico 200L</v>
      </c>
      <c r="F4487" s="39">
        <v>45756</v>
      </c>
      <c r="G4487" s="7">
        <v>9</v>
      </c>
      <c r="H4487" s="3">
        <f>_xlfn.XLOOKUP(Vendas[[#This Row],[ID Item Vendido]],Agregado[ID],Agregado[Revenda])</f>
        <v>144</v>
      </c>
      <c r="I4487" s="3">
        <f>Vendas[[#This Row],[Valor Unitário]]*Vendas[[#This Row],[Qnt Vendida]]</f>
        <v>1296</v>
      </c>
      <c r="J4487" s="3">
        <f>Vendas[[#This Row],[Valor da Venda]]-(_xlfn.XLOOKUP(Vendas[[#This Row],[ID Item Vendido]],Agregado[ID],Agregado[Custo])*Vendas[[#This Row],[Qnt Vendida]])</f>
        <v>216</v>
      </c>
      <c r="K4487" s="70">
        <f>Vendas[[#This Row],[Lucro da Venda]]/Vendas[[#This Row],[Valor da Venda]]</f>
        <v>0.16666666666666666</v>
      </c>
      <c r="L4487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487"/>
    </row>
    <row r="4488" spans="1:13" x14ac:dyDescent="0.3">
      <c r="A4488" s="7">
        <v>400247</v>
      </c>
      <c r="B4488" t="str">
        <f>_xlfn.XLOOKUP(Vendas[[#This Row],[ID Vendedor]],Vendedores[ID],Vendedores[Nome])</f>
        <v>André</v>
      </c>
      <c r="C4488" s="7" t="str">
        <f>_xlfn.XLOOKUP(Vendas[[#This Row],[ID Vendedor]],Vendedores[ID],Vendedores[Setor])</f>
        <v>CM</v>
      </c>
      <c r="D4488" s="7" t="s">
        <v>32</v>
      </c>
      <c r="E4488" t="str">
        <f>_xlfn.XLOOKUP(Vendas[[#This Row],[ID Item Vendido]],Agregado[ID],Agregado[Produto])</f>
        <v>Tábua tratada e cortada 3m</v>
      </c>
      <c r="F4488" s="39">
        <v>45756</v>
      </c>
      <c r="G4488" s="7">
        <v>20</v>
      </c>
      <c r="H4488" s="3">
        <f>_xlfn.XLOOKUP(Vendas[[#This Row],[ID Item Vendido]],Agregado[ID],Agregado[Revenda])</f>
        <v>39</v>
      </c>
      <c r="I4488" s="3">
        <f>Vendas[[#This Row],[Valor Unitário]]*Vendas[[#This Row],[Qnt Vendida]]</f>
        <v>780</v>
      </c>
      <c r="J4488" s="3">
        <f>Vendas[[#This Row],[Valor da Venda]]-(_xlfn.XLOOKUP(Vendas[[#This Row],[ID Item Vendido]],Agregado[ID],Agregado[Custo])*Vendas[[#This Row],[Qnt Vendida]])</f>
        <v>140</v>
      </c>
      <c r="K4488" s="70">
        <f>Vendas[[#This Row],[Lucro da Venda]]/Vendas[[#This Row],[Valor da Venda]]</f>
        <v>0.17948717948717949</v>
      </c>
      <c r="L4488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4488"/>
    </row>
    <row r="4489" spans="1:13" x14ac:dyDescent="0.3">
      <c r="A4489" s="7">
        <v>400254</v>
      </c>
      <c r="B4489" t="str">
        <f>_xlfn.XLOOKUP(Vendas[[#This Row],[ID Vendedor]],Vendedores[ID],Vendedores[Nome])</f>
        <v>Beatriz</v>
      </c>
      <c r="C4489" s="7" t="str">
        <f>_xlfn.XLOOKUP(Vendas[[#This Row],[ID Vendedor]],Vendedores[ID],Vendedores[Setor])</f>
        <v>SC</v>
      </c>
      <c r="D4489" s="7" t="s">
        <v>25</v>
      </c>
      <c r="E4489" t="str">
        <f>_xlfn.XLOOKUP(Vendas[[#This Row],[ID Item Vendido]],Agregado[ID],Agregado[Produto])</f>
        <v>Palete de plástico</v>
      </c>
      <c r="F4489" s="39">
        <v>45756</v>
      </c>
      <c r="G4489" s="7">
        <v>9</v>
      </c>
      <c r="H4489" s="3">
        <f>_xlfn.XLOOKUP(Vendas[[#This Row],[ID Item Vendido]],Agregado[ID],Agregado[Revenda])</f>
        <v>70.8</v>
      </c>
      <c r="I4489" s="3">
        <f>Vendas[[#This Row],[Valor Unitário]]*Vendas[[#This Row],[Qnt Vendida]]</f>
        <v>637.19999999999993</v>
      </c>
      <c r="J4489" s="3">
        <f>Vendas[[#This Row],[Valor da Venda]]-(_xlfn.XLOOKUP(Vendas[[#This Row],[ID Item Vendido]],Agregado[ID],Agregado[Custo])*Vendas[[#This Row],[Qnt Vendida]])</f>
        <v>97.199999999999932</v>
      </c>
      <c r="K4489" s="70">
        <f>Vendas[[#This Row],[Lucro da Venda]]/Vendas[[#This Row],[Valor da Venda]]</f>
        <v>0.15254237288135583</v>
      </c>
      <c r="L4489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4489"/>
    </row>
    <row r="4490" spans="1:13" x14ac:dyDescent="0.3">
      <c r="A4490" s="7">
        <v>400250</v>
      </c>
      <c r="B4490" t="str">
        <f>_xlfn.XLOOKUP(Vendas[[#This Row],[ID Vendedor]],Vendedores[ID],Vendedores[Nome])</f>
        <v>Larissa</v>
      </c>
      <c r="C4490" s="7" t="str">
        <f>_xlfn.XLOOKUP(Vendas[[#This Row],[ID Vendedor]],Vendedores[ID],Vendedores[Setor])</f>
        <v>AB</v>
      </c>
      <c r="D4490" s="7" t="s">
        <v>36</v>
      </c>
      <c r="E4490" t="str">
        <f>_xlfn.XLOOKUP(Vendas[[#This Row],[ID Item Vendido]],Agregado[ID],Agregado[Produto])</f>
        <v>Borracha vulcanizada em manta</v>
      </c>
      <c r="F4490" s="39">
        <v>45756</v>
      </c>
      <c r="G4490" s="7">
        <v>56</v>
      </c>
      <c r="H4490" s="3">
        <f>_xlfn.XLOOKUP(Vendas[[#This Row],[ID Item Vendido]],Agregado[ID],Agregado[Revenda])</f>
        <v>7.8</v>
      </c>
      <c r="I4490" s="3">
        <f>Vendas[[#This Row],[Valor Unitário]]*Vendas[[#This Row],[Qnt Vendida]]</f>
        <v>436.8</v>
      </c>
      <c r="J4490" s="3">
        <f>Vendas[[#This Row],[Valor da Venda]]-(_xlfn.XLOOKUP(Vendas[[#This Row],[ID Item Vendido]],Agregado[ID],Agregado[Custo])*Vendas[[#This Row],[Qnt Vendida]])</f>
        <v>100.80000000000001</v>
      </c>
      <c r="K4490" s="70">
        <f>Vendas[[#This Row],[Lucro da Venda]]/Vendas[[#This Row],[Valor da Venda]]</f>
        <v>0.23076923076923078</v>
      </c>
      <c r="L4490" s="3">
        <f>_xlfn.IFS(Vendas[[#This Row],[Margem de Lucro (%)]]&lt;15%,Vendas[[#This Row],[Valor da Venda]]*3%,Vendas[[#This Row],[Margem de Lucro (%)]]&lt;=20%,Vendas[[#This Row],[Valor da Venda]]*4.5%,TRUE,Vendas[[#This Row],[Valor da Venda]]*6%)</f>
        <v>26.207999999999998</v>
      </c>
      <c r="M4490"/>
    </row>
    <row r="4491" spans="1:13" x14ac:dyDescent="0.3">
      <c r="A4491" s="7">
        <v>400246</v>
      </c>
      <c r="B4491" t="str">
        <f>_xlfn.XLOOKUP(Vendas[[#This Row],[ID Vendedor]],Vendedores[ID],Vendedores[Nome])</f>
        <v>Juliana</v>
      </c>
      <c r="C4491" s="7" t="str">
        <f>_xlfn.XLOOKUP(Vendas[[#This Row],[ID Vendedor]],Vendedores[ID],Vendedores[Setor])</f>
        <v>AHD</v>
      </c>
      <c r="D4491" s="7" t="s">
        <v>9</v>
      </c>
      <c r="E4491" t="str">
        <f>_xlfn.XLOOKUP(Vendas[[#This Row],[ID Item Vendido]],Agregado[ID],Agregado[Produto])</f>
        <v>Barra de aço simples</v>
      </c>
      <c r="F4491" s="39">
        <v>45757</v>
      </c>
      <c r="G4491" s="7">
        <v>138</v>
      </c>
      <c r="H4491" s="3">
        <f>_xlfn.XLOOKUP(Vendas[[#This Row],[ID Item Vendido]],Agregado[ID],Agregado[Revenda])</f>
        <v>6.7</v>
      </c>
      <c r="I4491" s="3">
        <f>Vendas[[#This Row],[Valor Unitário]]*Vendas[[#This Row],[Qnt Vendida]]</f>
        <v>924.6</v>
      </c>
      <c r="J4491" s="3">
        <f>Vendas[[#This Row],[Valor da Venda]]-(_xlfn.XLOOKUP(Vendas[[#This Row],[ID Item Vendido]],Agregado[ID],Agregado[Custo])*Vendas[[#This Row],[Qnt Vendida]])</f>
        <v>124.20000000000005</v>
      </c>
      <c r="K4491" s="70">
        <f>Vendas[[#This Row],[Lucro da Venda]]/Vendas[[#This Row],[Valor da Venda]]</f>
        <v>0.13432835820895528</v>
      </c>
      <c r="L4491" s="3">
        <f>_xlfn.IFS(Vendas[[#This Row],[Margem de Lucro (%)]]&lt;15%,Vendas[[#This Row],[Valor da Venda]]*3%,Vendas[[#This Row],[Margem de Lucro (%)]]&lt;=20%,Vendas[[#This Row],[Valor da Venda]]*4.5%,TRUE,Vendas[[#This Row],[Valor da Venda]]*6%)</f>
        <v>27.738</v>
      </c>
      <c r="M4491"/>
    </row>
    <row r="4492" spans="1:13" x14ac:dyDescent="0.3">
      <c r="A4492" s="7">
        <v>400254</v>
      </c>
      <c r="B4492" t="str">
        <f>_xlfn.XLOOKUP(Vendas[[#This Row],[ID Vendedor]],Vendedores[ID],Vendedores[Nome])</f>
        <v>Beatriz</v>
      </c>
      <c r="C4492" s="7" t="str">
        <f>_xlfn.XLOOKUP(Vendas[[#This Row],[ID Vendedor]],Vendedores[ID],Vendedores[Setor])</f>
        <v>SC</v>
      </c>
      <c r="D4492" s="7" t="s">
        <v>42</v>
      </c>
      <c r="E4492" t="str">
        <f>_xlfn.XLOOKUP(Vendas[[#This Row],[ID Item Vendido]],Agregado[ID],Agregado[Produto])</f>
        <v>Container de ferro industrial</v>
      </c>
      <c r="F4492" s="39">
        <v>45757</v>
      </c>
      <c r="G4492" s="7">
        <v>1</v>
      </c>
      <c r="H4492" s="3">
        <f>_xlfn.XLOOKUP(Vendas[[#This Row],[ID Item Vendido]],Agregado[ID],Agregado[Revenda])</f>
        <v>830</v>
      </c>
      <c r="I4492" s="3">
        <f>Vendas[[#This Row],[Valor Unitário]]*Vendas[[#This Row],[Qnt Vendida]]</f>
        <v>830</v>
      </c>
      <c r="J4492" s="3">
        <f>Vendas[[#This Row],[Valor da Venda]]-(_xlfn.XLOOKUP(Vendas[[#This Row],[ID Item Vendido]],Agregado[ID],Agregado[Custo])*Vendas[[#This Row],[Qnt Vendida]])</f>
        <v>150</v>
      </c>
      <c r="K4492" s="70">
        <f>Vendas[[#This Row],[Lucro da Venda]]/Vendas[[#This Row],[Valor da Venda]]</f>
        <v>0.18072289156626506</v>
      </c>
      <c r="L449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492"/>
    </row>
    <row r="4493" spans="1:13" x14ac:dyDescent="0.3">
      <c r="A4493" s="7">
        <v>400246</v>
      </c>
      <c r="B4493" t="str">
        <f>_xlfn.XLOOKUP(Vendas[[#This Row],[ID Vendedor]],Vendedores[ID],Vendedores[Nome])</f>
        <v>Juliana</v>
      </c>
      <c r="C4493" s="7" t="str">
        <f>_xlfn.XLOOKUP(Vendas[[#This Row],[ID Vendedor]],Vendedores[ID],Vendedores[Setor])</f>
        <v>AHD</v>
      </c>
      <c r="D4493" s="7" t="s">
        <v>30</v>
      </c>
      <c r="E4493" t="str">
        <f>_xlfn.XLOOKUP(Vendas[[#This Row],[ID Item Vendido]],Agregado[ID],Agregado[Produto])</f>
        <v>Estrutura metálica soldada</v>
      </c>
      <c r="F4493" s="39">
        <v>45759</v>
      </c>
      <c r="G4493" s="7">
        <v>2</v>
      </c>
      <c r="H4493" s="3">
        <f>_xlfn.XLOOKUP(Vendas[[#This Row],[ID Item Vendido]],Agregado[ID],Agregado[Revenda])</f>
        <v>400</v>
      </c>
      <c r="I4493" s="3">
        <f>Vendas[[#This Row],[Valor Unitário]]*Vendas[[#This Row],[Qnt Vendida]]</f>
        <v>800</v>
      </c>
      <c r="J4493" s="3">
        <f>Vendas[[#This Row],[Valor da Venda]]-(_xlfn.XLOOKUP(Vendas[[#This Row],[ID Item Vendido]],Agregado[ID],Agregado[Custo])*Vendas[[#This Row],[Qnt Vendida]])</f>
        <v>160</v>
      </c>
      <c r="K4493" s="70">
        <f>Vendas[[#This Row],[Lucro da Venda]]/Vendas[[#This Row],[Valor da Venda]]</f>
        <v>0.2</v>
      </c>
      <c r="L4493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493"/>
    </row>
    <row r="4494" spans="1:13" x14ac:dyDescent="0.3">
      <c r="A4494" s="7">
        <v>400251</v>
      </c>
      <c r="B4494" t="str">
        <f>_xlfn.XLOOKUP(Vendas[[#This Row],[ID Vendedor]],Vendedores[ID],Vendedores[Nome])</f>
        <v>Diego</v>
      </c>
      <c r="C4494" s="7" t="str">
        <f>_xlfn.XLOOKUP(Vendas[[#This Row],[ID Vendedor]],Vendedores[ID],Vendedores[Setor])</f>
        <v>AB</v>
      </c>
      <c r="D4494" s="7" t="s">
        <v>37</v>
      </c>
      <c r="E4494" t="str">
        <f>_xlfn.XLOOKUP(Vendas[[#This Row],[ID Item Vendido]],Agregado[ID],Agregado[Produto])</f>
        <v>Composto de borracha para vedação rolo 10m</v>
      </c>
      <c r="F4494" s="39">
        <v>45759</v>
      </c>
      <c r="G4494" s="7">
        <v>13</v>
      </c>
      <c r="H4494" s="3">
        <f>_xlfn.XLOOKUP(Vendas[[#This Row],[ID Item Vendido]],Agregado[ID],Agregado[Revenda])</f>
        <v>51.2</v>
      </c>
      <c r="I4494" s="3">
        <f>Vendas[[#This Row],[Valor Unitário]]*Vendas[[#This Row],[Qnt Vendida]]</f>
        <v>665.6</v>
      </c>
      <c r="J4494" s="3">
        <f>Vendas[[#This Row],[Valor da Venda]]-(_xlfn.XLOOKUP(Vendas[[#This Row],[ID Item Vendido]],Agregado[ID],Agregado[Custo])*Vendas[[#This Row],[Qnt Vendida]])</f>
        <v>145.60000000000002</v>
      </c>
      <c r="K4494" s="70">
        <f>Vendas[[#This Row],[Lucro da Venda]]/Vendas[[#This Row],[Valor da Venda]]</f>
        <v>0.21875000000000003</v>
      </c>
      <c r="L4494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4494"/>
    </row>
    <row r="4495" spans="1:13" x14ac:dyDescent="0.3">
      <c r="A4495" s="7">
        <v>400242</v>
      </c>
      <c r="B4495" t="str">
        <f>_xlfn.XLOOKUP(Vendas[[#This Row],[ID Vendedor]],Vendedores[ID],Vendedores[Nome])</f>
        <v>Fernanda</v>
      </c>
      <c r="C4495" s="7" t="str">
        <f>_xlfn.XLOOKUP(Vendas[[#This Row],[ID Vendedor]],Vendedores[ID],Vendedores[Setor])</f>
        <v>FM</v>
      </c>
      <c r="D4495" s="7" t="s">
        <v>31</v>
      </c>
      <c r="E4495" t="str">
        <f>_xlfn.XLOOKUP(Vendas[[#This Row],[ID Item Vendido]],Agregado[ID],Agregado[Produto])</f>
        <v>Tela de metal soldada rolo 2x25m</v>
      </c>
      <c r="F4495" s="39">
        <v>45759</v>
      </c>
      <c r="G4495" s="7">
        <v>15</v>
      </c>
      <c r="H4495" s="3">
        <f>_xlfn.XLOOKUP(Vendas[[#This Row],[ID Item Vendido]],Agregado[ID],Agregado[Revenda])</f>
        <v>43.7</v>
      </c>
      <c r="I4495" s="3">
        <f>Vendas[[#This Row],[Valor Unitário]]*Vendas[[#This Row],[Qnt Vendida]]</f>
        <v>655.5</v>
      </c>
      <c r="J4495" s="3">
        <f>Vendas[[#This Row],[Valor da Venda]]-(_xlfn.XLOOKUP(Vendas[[#This Row],[ID Item Vendido]],Agregado[ID],Agregado[Custo])*Vendas[[#This Row],[Qnt Vendida]])</f>
        <v>85.5</v>
      </c>
      <c r="K4495" s="70">
        <f>Vendas[[#This Row],[Lucro da Venda]]/Vendas[[#This Row],[Valor da Venda]]</f>
        <v>0.13043478260869565</v>
      </c>
      <c r="L4495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4495"/>
    </row>
    <row r="4496" spans="1:13" x14ac:dyDescent="0.3">
      <c r="A4496" s="7">
        <v>400248</v>
      </c>
      <c r="B4496" t="str">
        <f>_xlfn.XLOOKUP(Vendas[[#This Row],[ID Vendedor]],Vendedores[ID],Vendedores[Nome])</f>
        <v>Patrícia</v>
      </c>
      <c r="C4496" s="7" t="str">
        <f>_xlfn.XLOOKUP(Vendas[[#This Row],[ID Vendedor]],Vendedores[ID],Vendedores[Setor])</f>
        <v>CM</v>
      </c>
      <c r="D4496" s="7" t="s">
        <v>34</v>
      </c>
      <c r="E4496" t="str">
        <f>_xlfn.XLOOKUP(Vendas[[#This Row],[ID Item Vendido]],Agregado[ID],Agregado[Produto])</f>
        <v>Restos de madeira p/ MDP/OSB saco de 20kg</v>
      </c>
      <c r="F4496" s="39">
        <v>45759</v>
      </c>
      <c r="G4496" s="7">
        <v>22</v>
      </c>
      <c r="H4496" s="3">
        <f>_xlfn.XLOOKUP(Vendas[[#This Row],[ID Item Vendido]],Agregado[ID],Agregado[Revenda])</f>
        <v>13.8</v>
      </c>
      <c r="I4496" s="3">
        <f>Vendas[[#This Row],[Valor Unitário]]*Vendas[[#This Row],[Qnt Vendida]]</f>
        <v>303.60000000000002</v>
      </c>
      <c r="J4496" s="3">
        <f>Vendas[[#This Row],[Valor da Venda]]-(_xlfn.XLOOKUP(Vendas[[#This Row],[ID Item Vendido]],Agregado[ID],Agregado[Custo])*Vendas[[#This Row],[Qnt Vendida]])</f>
        <v>39.600000000000023</v>
      </c>
      <c r="K4496" s="70">
        <f>Vendas[[#This Row],[Lucro da Venda]]/Vendas[[#This Row],[Valor da Venda]]</f>
        <v>0.1304347826086957</v>
      </c>
      <c r="L4496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496"/>
    </row>
    <row r="4497" spans="1:13" x14ac:dyDescent="0.3">
      <c r="A4497" s="7">
        <v>400242</v>
      </c>
      <c r="B4497" t="str">
        <f>_xlfn.XLOOKUP(Vendas[[#This Row],[ID Vendedor]],Vendedores[ID],Vendedores[Nome])</f>
        <v>Fernanda</v>
      </c>
      <c r="C4497" s="7" t="str">
        <f>_xlfn.XLOOKUP(Vendas[[#This Row],[ID Vendedor]],Vendedores[ID],Vendedores[Setor])</f>
        <v>FM</v>
      </c>
      <c r="D4497" s="7" t="s">
        <v>6</v>
      </c>
      <c r="E4497" t="str">
        <f>_xlfn.XLOOKUP(Vendas[[#This Row],[ID Item Vendido]],Agregado[ID],Agregado[Produto])</f>
        <v>Parafuso comum 500un</v>
      </c>
      <c r="F4497" s="39">
        <v>45759</v>
      </c>
      <c r="G4497" s="7">
        <v>6</v>
      </c>
      <c r="H4497" s="3">
        <f>_xlfn.XLOOKUP(Vendas[[#This Row],[ID Item Vendido]],Agregado[ID],Agregado[Revenda])</f>
        <v>24.6</v>
      </c>
      <c r="I4497" s="3">
        <f>Vendas[[#This Row],[Valor Unitário]]*Vendas[[#This Row],[Qnt Vendida]]</f>
        <v>147.60000000000002</v>
      </c>
      <c r="J4497" s="3">
        <f>Vendas[[#This Row],[Valor da Venda]]-(_xlfn.XLOOKUP(Vendas[[#This Row],[ID Item Vendido]],Agregado[ID],Agregado[Custo])*Vendas[[#This Row],[Qnt Vendida]])</f>
        <v>15.600000000000023</v>
      </c>
      <c r="K4497" s="70">
        <f>Vendas[[#This Row],[Lucro da Venda]]/Vendas[[#This Row],[Valor da Venda]]</f>
        <v>0.10569105691056924</v>
      </c>
      <c r="L4497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4497"/>
    </row>
    <row r="4498" spans="1:13" x14ac:dyDescent="0.3">
      <c r="A4498" s="7">
        <v>400244</v>
      </c>
      <c r="B4498" t="str">
        <f>_xlfn.XLOOKUP(Vendas[[#This Row],[ID Vendedor]],Vendedores[ID],Vendedores[Nome])</f>
        <v>Camila</v>
      </c>
      <c r="C4498" s="7" t="str">
        <f>_xlfn.XLOOKUP(Vendas[[#This Row],[ID Vendedor]],Vendedores[ID],Vendedores[Setor])</f>
        <v>AHD</v>
      </c>
      <c r="D4498" s="7" t="s">
        <v>28</v>
      </c>
      <c r="E4498" t="str">
        <f>_xlfn.XLOOKUP(Vendas[[#This Row],[ID Item Vendido]],Agregado[ID],Agregado[Produto])</f>
        <v>Peça usinada CNC</v>
      </c>
      <c r="F4498" s="39">
        <v>45760</v>
      </c>
      <c r="G4498" s="7">
        <v>12</v>
      </c>
      <c r="H4498" s="3">
        <f>_xlfn.XLOOKUP(Vendas[[#This Row],[ID Item Vendido]],Agregado[ID],Agregado[Revenda])</f>
        <v>192</v>
      </c>
      <c r="I4498" s="3">
        <f>Vendas[[#This Row],[Valor Unitário]]*Vendas[[#This Row],[Qnt Vendida]]</f>
        <v>2304</v>
      </c>
      <c r="J4498" s="3">
        <f>Vendas[[#This Row],[Valor da Venda]]-(_xlfn.XLOOKUP(Vendas[[#This Row],[ID Item Vendido]],Agregado[ID],Agregado[Custo])*Vendas[[#This Row],[Qnt Vendida]])</f>
        <v>504</v>
      </c>
      <c r="K4498" s="70">
        <f>Vendas[[#This Row],[Lucro da Venda]]/Vendas[[#This Row],[Valor da Venda]]</f>
        <v>0.21875</v>
      </c>
      <c r="L4498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4498"/>
    </row>
    <row r="4499" spans="1:13" x14ac:dyDescent="0.3">
      <c r="A4499" s="7">
        <v>400245</v>
      </c>
      <c r="B4499" t="str">
        <f>_xlfn.XLOOKUP(Vendas[[#This Row],[ID Vendedor]],Vendedores[ID],Vendedores[Nome])</f>
        <v>Thiago</v>
      </c>
      <c r="C4499" s="7" t="str">
        <f>_xlfn.XLOOKUP(Vendas[[#This Row],[ID Vendedor]],Vendedores[ID],Vendedores[Setor])</f>
        <v>AHD</v>
      </c>
      <c r="D4499" s="7" t="s">
        <v>30</v>
      </c>
      <c r="E4499" t="str">
        <f>_xlfn.XLOOKUP(Vendas[[#This Row],[ID Item Vendido]],Agregado[ID],Agregado[Produto])</f>
        <v>Estrutura metálica soldada</v>
      </c>
      <c r="F4499" s="39">
        <v>45760</v>
      </c>
      <c r="G4499" s="7">
        <v>5</v>
      </c>
      <c r="H4499" s="3">
        <f>_xlfn.XLOOKUP(Vendas[[#This Row],[ID Item Vendido]],Agregado[ID],Agregado[Revenda])</f>
        <v>400</v>
      </c>
      <c r="I4499" s="3">
        <f>Vendas[[#This Row],[Valor Unitário]]*Vendas[[#This Row],[Qnt Vendida]]</f>
        <v>2000</v>
      </c>
      <c r="J4499" s="3">
        <f>Vendas[[#This Row],[Valor da Venda]]-(_xlfn.XLOOKUP(Vendas[[#This Row],[ID Item Vendido]],Agregado[ID],Agregado[Custo])*Vendas[[#This Row],[Qnt Vendida]])</f>
        <v>400</v>
      </c>
      <c r="K4499" s="70">
        <f>Vendas[[#This Row],[Lucro da Venda]]/Vendas[[#This Row],[Valor da Venda]]</f>
        <v>0.2</v>
      </c>
      <c r="L4499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499"/>
    </row>
    <row r="4500" spans="1:13" x14ac:dyDescent="0.3">
      <c r="A4500" s="7">
        <v>400255</v>
      </c>
      <c r="B4500" t="str">
        <f>_xlfn.XLOOKUP(Vendas[[#This Row],[ID Vendedor]],Vendedores[ID],Vendedores[Nome])</f>
        <v>Carlos</v>
      </c>
      <c r="C4500" s="7" t="str">
        <f>_xlfn.XLOOKUP(Vendas[[#This Row],[ID Vendedor]],Vendedores[ID],Vendedores[Setor])</f>
        <v>SC</v>
      </c>
      <c r="D4500" s="7" t="s">
        <v>42</v>
      </c>
      <c r="E4500" t="str">
        <f>_xlfn.XLOOKUP(Vendas[[#This Row],[ID Item Vendido]],Agregado[ID],Agregado[Produto])</f>
        <v>Container de ferro industrial</v>
      </c>
      <c r="F4500" s="39">
        <v>45760</v>
      </c>
      <c r="G4500" s="7">
        <v>1</v>
      </c>
      <c r="H4500" s="3">
        <f>_xlfn.XLOOKUP(Vendas[[#This Row],[ID Item Vendido]],Agregado[ID],Agregado[Revenda])</f>
        <v>830</v>
      </c>
      <c r="I4500" s="3">
        <f>Vendas[[#This Row],[Valor Unitário]]*Vendas[[#This Row],[Qnt Vendida]]</f>
        <v>830</v>
      </c>
      <c r="J4500" s="3">
        <f>Vendas[[#This Row],[Valor da Venda]]-(_xlfn.XLOOKUP(Vendas[[#This Row],[ID Item Vendido]],Agregado[ID],Agregado[Custo])*Vendas[[#This Row],[Qnt Vendida]])</f>
        <v>150</v>
      </c>
      <c r="K4500" s="70">
        <f>Vendas[[#This Row],[Lucro da Venda]]/Vendas[[#This Row],[Valor da Venda]]</f>
        <v>0.18072289156626506</v>
      </c>
      <c r="L450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500"/>
    </row>
    <row r="4501" spans="1:13" x14ac:dyDescent="0.3">
      <c r="A4501" s="7">
        <v>400241</v>
      </c>
      <c r="B4501" t="str">
        <f>_xlfn.XLOOKUP(Vendas[[#This Row],[ID Vendedor]],Vendedores[ID],Vendedores[Nome])</f>
        <v>Rodrigo</v>
      </c>
      <c r="C4501" s="7" t="str">
        <f>_xlfn.XLOOKUP(Vendas[[#This Row],[ID Vendedor]],Vendedores[ID],Vendedores[Setor])</f>
        <v>FM</v>
      </c>
      <c r="D4501" s="7" t="s">
        <v>20</v>
      </c>
      <c r="E4501" t="str">
        <f>_xlfn.XLOOKUP(Vendas[[#This Row],[ID Item Vendido]],Agregado[ID],Agregado[Produto])</f>
        <v>Barra de aço simples</v>
      </c>
      <c r="F4501" s="39">
        <v>45760</v>
      </c>
      <c r="G4501" s="7">
        <v>82</v>
      </c>
      <c r="H4501" s="3">
        <f>_xlfn.XLOOKUP(Vendas[[#This Row],[ID Item Vendido]],Agregado[ID],Agregado[Revenda])</f>
        <v>4.8</v>
      </c>
      <c r="I4501" s="3">
        <f>Vendas[[#This Row],[Valor Unitário]]*Vendas[[#This Row],[Qnt Vendida]]</f>
        <v>393.59999999999997</v>
      </c>
      <c r="J4501" s="3">
        <f>Vendas[[#This Row],[Valor da Venda]]-(_xlfn.XLOOKUP(Vendas[[#This Row],[ID Item Vendido]],Agregado[ID],Agregado[Custo])*Vendas[[#This Row],[Qnt Vendida]])</f>
        <v>49.199999999999932</v>
      </c>
      <c r="K4501" s="70">
        <f>Vendas[[#This Row],[Lucro da Venda]]/Vendas[[#This Row],[Valor da Venda]]</f>
        <v>0.12499999999999983</v>
      </c>
      <c r="L4501" s="3">
        <f>_xlfn.IFS(Vendas[[#This Row],[Margem de Lucro (%)]]&lt;15%,Vendas[[#This Row],[Valor da Venda]]*3%,Vendas[[#This Row],[Margem de Lucro (%)]]&lt;=20%,Vendas[[#This Row],[Valor da Venda]]*4.5%,TRUE,Vendas[[#This Row],[Valor da Venda]]*6%)</f>
        <v>11.807999999999998</v>
      </c>
      <c r="M4501"/>
    </row>
    <row r="4502" spans="1:13" x14ac:dyDescent="0.3">
      <c r="A4502" s="7">
        <v>400252</v>
      </c>
      <c r="B4502" t="str">
        <f>_xlfn.XLOOKUP(Vendas[[#This Row],[ID Vendedor]],Vendedores[ID],Vendedores[Nome])</f>
        <v>Renata</v>
      </c>
      <c r="C4502" s="7" t="str">
        <f>_xlfn.XLOOKUP(Vendas[[#This Row],[ID Vendedor]],Vendedores[ID],Vendedores[Setor])</f>
        <v>AB</v>
      </c>
      <c r="D4502" s="7" t="s">
        <v>12</v>
      </c>
      <c r="E4502" t="str">
        <f>_xlfn.XLOOKUP(Vendas[[#This Row],[ID Item Vendido]],Agregado[ID],Agregado[Produto])</f>
        <v>Grânulo de plástico reciclado refinado</v>
      </c>
      <c r="F4502" s="39">
        <v>45760</v>
      </c>
      <c r="G4502" s="7">
        <v>15</v>
      </c>
      <c r="H4502" s="3">
        <f>_xlfn.XLOOKUP(Vendas[[#This Row],[ID Item Vendido]],Agregado[ID],Agregado[Revenda])</f>
        <v>4.7</v>
      </c>
      <c r="I4502" s="3">
        <f>Vendas[[#This Row],[Valor Unitário]]*Vendas[[#This Row],[Qnt Vendida]]</f>
        <v>70.5</v>
      </c>
      <c r="J4502" s="3">
        <f>Vendas[[#This Row],[Valor da Venda]]-(_xlfn.XLOOKUP(Vendas[[#This Row],[ID Item Vendido]],Agregado[ID],Agregado[Custo])*Vendas[[#This Row],[Qnt Vendida]])</f>
        <v>18</v>
      </c>
      <c r="K4502" s="70">
        <f>Vendas[[#This Row],[Lucro da Venda]]/Vendas[[#This Row],[Valor da Venda]]</f>
        <v>0.25531914893617019</v>
      </c>
      <c r="L4502" s="3">
        <f>_xlfn.IFS(Vendas[[#This Row],[Margem de Lucro (%)]]&lt;15%,Vendas[[#This Row],[Valor da Venda]]*3%,Vendas[[#This Row],[Margem de Lucro (%)]]&lt;=20%,Vendas[[#This Row],[Valor da Venda]]*4.5%,TRUE,Vendas[[#This Row],[Valor da Venda]]*6%)</f>
        <v>4.2299999999999995</v>
      </c>
      <c r="M4502"/>
    </row>
    <row r="4503" spans="1:13" x14ac:dyDescent="0.3">
      <c r="A4503" s="7">
        <v>400248</v>
      </c>
      <c r="B4503" t="str">
        <f>_xlfn.XLOOKUP(Vendas[[#This Row],[ID Vendedor]],Vendedores[ID],Vendedores[Nome])</f>
        <v>Patrícia</v>
      </c>
      <c r="C4503" s="7" t="str">
        <f>_xlfn.XLOOKUP(Vendas[[#This Row],[ID Vendedor]],Vendedores[ID],Vendedores[Setor])</f>
        <v>CM</v>
      </c>
      <c r="D4503" s="7" t="s">
        <v>43</v>
      </c>
      <c r="E4503" t="str">
        <f>_xlfn.XLOOKUP(Vendas[[#This Row],[ID Item Vendido]],Agregado[ID],Agregado[Produto])</f>
        <v>Madeira Bruta (Tora)</v>
      </c>
      <c r="F4503" s="39">
        <v>45761</v>
      </c>
      <c r="G4503" s="7">
        <v>10</v>
      </c>
      <c r="H4503" s="3">
        <f>_xlfn.XLOOKUP(Vendas[[#This Row],[ID Item Vendido]],Agregado[ID],Agregado[Revenda])</f>
        <v>212</v>
      </c>
      <c r="I4503" s="3">
        <f>Vendas[[#This Row],[Valor Unitário]]*Vendas[[#This Row],[Qnt Vendida]]</f>
        <v>2120</v>
      </c>
      <c r="J4503" s="3">
        <f>Vendas[[#This Row],[Valor da Venda]]-(_xlfn.XLOOKUP(Vendas[[#This Row],[ID Item Vendido]],Agregado[ID],Agregado[Custo])*Vendas[[#This Row],[Qnt Vendida]])</f>
        <v>320</v>
      </c>
      <c r="K4503" s="70">
        <f>Vendas[[#This Row],[Lucro da Venda]]/Vendas[[#This Row],[Valor da Venda]]</f>
        <v>0.15094339622641509</v>
      </c>
      <c r="L4503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4503"/>
    </row>
    <row r="4504" spans="1:13" x14ac:dyDescent="0.3">
      <c r="A4504" s="7">
        <v>400246</v>
      </c>
      <c r="B4504" t="str">
        <f>_xlfn.XLOOKUP(Vendas[[#This Row],[ID Vendedor]],Vendedores[ID],Vendedores[Nome])</f>
        <v>Juliana</v>
      </c>
      <c r="C4504" s="7" t="str">
        <f>_xlfn.XLOOKUP(Vendas[[#This Row],[ID Vendedor]],Vendedores[ID],Vendedores[Setor])</f>
        <v>AHD</v>
      </c>
      <c r="D4504" s="7" t="s">
        <v>18</v>
      </c>
      <c r="E4504" t="str">
        <f>_xlfn.XLOOKUP(Vendas[[#This Row],[ID Item Vendido]],Agregado[ID],Agregado[Produto])</f>
        <v>Peça forjada sob encomenda</v>
      </c>
      <c r="F4504" s="39">
        <v>45761</v>
      </c>
      <c r="G4504" s="7">
        <v>3</v>
      </c>
      <c r="H4504" s="3">
        <f>_xlfn.XLOOKUP(Vendas[[#This Row],[ID Item Vendido]],Agregado[ID],Agregado[Revenda])</f>
        <v>264.60000000000002</v>
      </c>
      <c r="I4504" s="3">
        <f>Vendas[[#This Row],[Valor Unitário]]*Vendas[[#This Row],[Qnt Vendida]]</f>
        <v>793.80000000000007</v>
      </c>
      <c r="J4504" s="3">
        <f>Vendas[[#This Row],[Valor da Venda]]-(_xlfn.XLOOKUP(Vendas[[#This Row],[ID Item Vendido]],Agregado[ID],Agregado[Custo])*Vendas[[#This Row],[Qnt Vendida]])</f>
        <v>43.800000000000068</v>
      </c>
      <c r="K4504" s="70">
        <f>Vendas[[#This Row],[Lucro da Venda]]/Vendas[[#This Row],[Valor da Venda]]</f>
        <v>5.5177626606198113E-2</v>
      </c>
      <c r="L450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504"/>
    </row>
    <row r="4505" spans="1:13" x14ac:dyDescent="0.3">
      <c r="A4505" s="7">
        <v>400254</v>
      </c>
      <c r="B4505" t="str">
        <f>_xlfn.XLOOKUP(Vendas[[#This Row],[ID Vendedor]],Vendedores[ID],Vendedores[Nome])</f>
        <v>Beatriz</v>
      </c>
      <c r="C4505" s="7" t="str">
        <f>_xlfn.XLOOKUP(Vendas[[#This Row],[ID Vendedor]],Vendedores[ID],Vendedores[Setor])</f>
        <v>SC</v>
      </c>
      <c r="D4505" s="7" t="s">
        <v>48</v>
      </c>
      <c r="E4505" t="str">
        <f>_xlfn.XLOOKUP(Vendas[[#This Row],[ID Item Vendido]],Agregado[ID],Agregado[Produto])</f>
        <v>Tambor metálico 200L</v>
      </c>
      <c r="F4505" s="39">
        <v>45761</v>
      </c>
      <c r="G4505" s="7">
        <v>6</v>
      </c>
      <c r="H4505" s="3">
        <f>_xlfn.XLOOKUP(Vendas[[#This Row],[ID Item Vendido]],Agregado[ID],Agregado[Revenda])</f>
        <v>144</v>
      </c>
      <c r="I4505" s="3">
        <f>Vendas[[#This Row],[Valor Unitário]]*Vendas[[#This Row],[Qnt Vendida]]</f>
        <v>864</v>
      </c>
      <c r="J4505" s="3">
        <f>Vendas[[#This Row],[Valor da Venda]]-(_xlfn.XLOOKUP(Vendas[[#This Row],[ID Item Vendido]],Agregado[ID],Agregado[Custo])*Vendas[[#This Row],[Qnt Vendida]])</f>
        <v>144</v>
      </c>
      <c r="K4505" s="70">
        <f>Vendas[[#This Row],[Lucro da Venda]]/Vendas[[#This Row],[Valor da Venda]]</f>
        <v>0.16666666666666666</v>
      </c>
      <c r="L4505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4505"/>
    </row>
    <row r="4506" spans="1:13" x14ac:dyDescent="0.3">
      <c r="A4506" s="7">
        <v>400243</v>
      </c>
      <c r="B4506" t="str">
        <f>_xlfn.XLOOKUP(Vendas[[#This Row],[ID Vendedor]],Vendedores[ID],Vendedores[Nome])</f>
        <v>Marcelo</v>
      </c>
      <c r="C4506" s="7" t="str">
        <f>_xlfn.XLOOKUP(Vendas[[#This Row],[ID Vendedor]],Vendedores[ID],Vendedores[Setor])</f>
        <v>FM</v>
      </c>
      <c r="D4506" s="7" t="s">
        <v>6</v>
      </c>
      <c r="E4506" t="str">
        <f>_xlfn.XLOOKUP(Vendas[[#This Row],[ID Item Vendido]],Agregado[ID],Agregado[Produto])</f>
        <v>Parafuso comum 500un</v>
      </c>
      <c r="F4506" s="39">
        <v>45761</v>
      </c>
      <c r="G4506" s="7">
        <v>25</v>
      </c>
      <c r="H4506" s="3">
        <f>_xlfn.XLOOKUP(Vendas[[#This Row],[ID Item Vendido]],Agregado[ID],Agregado[Revenda])</f>
        <v>24.6</v>
      </c>
      <c r="I4506" s="3">
        <f>Vendas[[#This Row],[Valor Unitário]]*Vendas[[#This Row],[Qnt Vendida]]</f>
        <v>615</v>
      </c>
      <c r="J4506" s="3">
        <f>Vendas[[#This Row],[Valor da Venda]]-(_xlfn.XLOOKUP(Vendas[[#This Row],[ID Item Vendido]],Agregado[ID],Agregado[Custo])*Vendas[[#This Row],[Qnt Vendida]])</f>
        <v>65</v>
      </c>
      <c r="K4506" s="70">
        <f>Vendas[[#This Row],[Lucro da Venda]]/Vendas[[#This Row],[Valor da Venda]]</f>
        <v>0.10569105691056911</v>
      </c>
      <c r="L4506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4506"/>
    </row>
    <row r="4507" spans="1:13" x14ac:dyDescent="0.3">
      <c r="A4507" s="7">
        <v>400242</v>
      </c>
      <c r="B4507" t="str">
        <f>_xlfn.XLOOKUP(Vendas[[#This Row],[ID Vendedor]],Vendedores[ID],Vendedores[Nome])</f>
        <v>Fernanda</v>
      </c>
      <c r="C4507" s="7" t="str">
        <f>_xlfn.XLOOKUP(Vendas[[#This Row],[ID Vendedor]],Vendedores[ID],Vendedores[Setor])</f>
        <v>FM</v>
      </c>
      <c r="D4507" s="7" t="s">
        <v>6</v>
      </c>
      <c r="E4507" t="str">
        <f>_xlfn.XLOOKUP(Vendas[[#This Row],[ID Item Vendido]],Agregado[ID],Agregado[Produto])</f>
        <v>Parafuso comum 500un</v>
      </c>
      <c r="F4507" s="39">
        <v>45761</v>
      </c>
      <c r="G4507" s="7">
        <v>11</v>
      </c>
      <c r="H4507" s="3">
        <f>_xlfn.XLOOKUP(Vendas[[#This Row],[ID Item Vendido]],Agregado[ID],Agregado[Revenda])</f>
        <v>24.6</v>
      </c>
      <c r="I4507" s="3">
        <f>Vendas[[#This Row],[Valor Unitário]]*Vendas[[#This Row],[Qnt Vendida]]</f>
        <v>270.60000000000002</v>
      </c>
      <c r="J4507" s="3">
        <f>Vendas[[#This Row],[Valor da Venda]]-(_xlfn.XLOOKUP(Vendas[[#This Row],[ID Item Vendido]],Agregado[ID],Agregado[Custo])*Vendas[[#This Row],[Qnt Vendida]])</f>
        <v>28.600000000000023</v>
      </c>
      <c r="K4507" s="70">
        <f>Vendas[[#This Row],[Lucro da Venda]]/Vendas[[#This Row],[Valor da Venda]]</f>
        <v>0.10569105691056918</v>
      </c>
      <c r="L4507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4507"/>
    </row>
    <row r="4508" spans="1:13" x14ac:dyDescent="0.3">
      <c r="A4508" s="7">
        <v>400252</v>
      </c>
      <c r="B4508" t="str">
        <f>_xlfn.XLOOKUP(Vendas[[#This Row],[ID Vendedor]],Vendedores[ID],Vendedores[Nome])</f>
        <v>Renata</v>
      </c>
      <c r="C4508" s="7" t="str">
        <f>_xlfn.XLOOKUP(Vendas[[#This Row],[ID Vendedor]],Vendedores[ID],Vendedores[Setor])</f>
        <v>AB</v>
      </c>
      <c r="D4508" s="7" t="s">
        <v>12</v>
      </c>
      <c r="E4508" t="str">
        <f>_xlfn.XLOOKUP(Vendas[[#This Row],[ID Item Vendido]],Agregado[ID],Agregado[Produto])</f>
        <v>Grânulo de plástico reciclado refinado</v>
      </c>
      <c r="F4508" s="39">
        <v>45761</v>
      </c>
      <c r="G4508" s="7">
        <v>45</v>
      </c>
      <c r="H4508" s="3">
        <f>_xlfn.XLOOKUP(Vendas[[#This Row],[ID Item Vendido]],Agregado[ID],Agregado[Revenda])</f>
        <v>4.7</v>
      </c>
      <c r="I4508" s="3">
        <f>Vendas[[#This Row],[Valor Unitário]]*Vendas[[#This Row],[Qnt Vendida]]</f>
        <v>211.5</v>
      </c>
      <c r="J4508" s="3">
        <f>Vendas[[#This Row],[Valor da Venda]]-(_xlfn.XLOOKUP(Vendas[[#This Row],[ID Item Vendido]],Agregado[ID],Agregado[Custo])*Vendas[[#This Row],[Qnt Vendida]])</f>
        <v>54</v>
      </c>
      <c r="K4508" s="70">
        <f>Vendas[[#This Row],[Lucro da Venda]]/Vendas[[#This Row],[Valor da Venda]]</f>
        <v>0.25531914893617019</v>
      </c>
      <c r="L4508" s="3">
        <f>_xlfn.IFS(Vendas[[#This Row],[Margem de Lucro (%)]]&lt;15%,Vendas[[#This Row],[Valor da Venda]]*3%,Vendas[[#This Row],[Margem de Lucro (%)]]&lt;=20%,Vendas[[#This Row],[Valor da Venda]]*4.5%,TRUE,Vendas[[#This Row],[Valor da Venda]]*6%)</f>
        <v>12.69</v>
      </c>
      <c r="M4508"/>
    </row>
    <row r="4509" spans="1:13" x14ac:dyDescent="0.3">
      <c r="A4509" s="7">
        <v>400255</v>
      </c>
      <c r="B4509" t="str">
        <f>_xlfn.XLOOKUP(Vendas[[#This Row],[ID Vendedor]],Vendedores[ID],Vendedores[Nome])</f>
        <v>Carlos</v>
      </c>
      <c r="C4509" s="7" t="str">
        <f>_xlfn.XLOOKUP(Vendas[[#This Row],[ID Vendedor]],Vendedores[ID],Vendedores[Setor])</f>
        <v>SC</v>
      </c>
      <c r="D4509" s="7" t="s">
        <v>14</v>
      </c>
      <c r="E4509" t="str">
        <f>_xlfn.XLOOKUP(Vendas[[#This Row],[ID Item Vendido]],Agregado[ID],Agregado[Produto])</f>
        <v>Barril de plástico 200L</v>
      </c>
      <c r="F4509" s="39">
        <v>45762</v>
      </c>
      <c r="G4509" s="7">
        <v>21</v>
      </c>
      <c r="H4509" s="3">
        <f>_xlfn.XLOOKUP(Vendas[[#This Row],[ID Item Vendido]],Agregado[ID],Agregado[Revenda])</f>
        <v>114</v>
      </c>
      <c r="I4509" s="3">
        <f>Vendas[[#This Row],[Valor Unitário]]*Vendas[[#This Row],[Qnt Vendida]]</f>
        <v>2394</v>
      </c>
      <c r="J4509" s="3">
        <f>Vendas[[#This Row],[Valor da Venda]]-(_xlfn.XLOOKUP(Vendas[[#This Row],[ID Item Vendido]],Agregado[ID],Agregado[Custo])*Vendas[[#This Row],[Qnt Vendida]])</f>
        <v>399</v>
      </c>
      <c r="K4509" s="70">
        <f>Vendas[[#This Row],[Lucro da Venda]]/Vendas[[#This Row],[Valor da Venda]]</f>
        <v>0.16666666666666666</v>
      </c>
      <c r="L4509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4509"/>
    </row>
    <row r="4510" spans="1:13" x14ac:dyDescent="0.3">
      <c r="A4510" s="7">
        <v>400247</v>
      </c>
      <c r="B4510" t="str">
        <f>_xlfn.XLOOKUP(Vendas[[#This Row],[ID Vendedor]],Vendedores[ID],Vendedores[Nome])</f>
        <v>André</v>
      </c>
      <c r="C4510" s="7" t="str">
        <f>_xlfn.XLOOKUP(Vendas[[#This Row],[ID Vendedor]],Vendedores[ID],Vendedores[Setor])</f>
        <v>CM</v>
      </c>
      <c r="D4510" s="7" t="s">
        <v>34</v>
      </c>
      <c r="E4510" t="str">
        <f>_xlfn.XLOOKUP(Vendas[[#This Row],[ID Item Vendido]],Agregado[ID],Agregado[Produto])</f>
        <v>Restos de madeira p/ MDP/OSB saco de 20kg</v>
      </c>
      <c r="F4510" s="39">
        <v>45762</v>
      </c>
      <c r="G4510" s="7">
        <v>22</v>
      </c>
      <c r="H4510" s="3">
        <f>_xlfn.XLOOKUP(Vendas[[#This Row],[ID Item Vendido]],Agregado[ID],Agregado[Revenda])</f>
        <v>13.8</v>
      </c>
      <c r="I4510" s="3">
        <f>Vendas[[#This Row],[Valor Unitário]]*Vendas[[#This Row],[Qnt Vendida]]</f>
        <v>303.60000000000002</v>
      </c>
      <c r="J4510" s="3">
        <f>Vendas[[#This Row],[Valor da Venda]]-(_xlfn.XLOOKUP(Vendas[[#This Row],[ID Item Vendido]],Agregado[ID],Agregado[Custo])*Vendas[[#This Row],[Qnt Vendida]])</f>
        <v>39.600000000000023</v>
      </c>
      <c r="K4510" s="70">
        <f>Vendas[[#This Row],[Lucro da Venda]]/Vendas[[#This Row],[Valor da Venda]]</f>
        <v>0.1304347826086957</v>
      </c>
      <c r="L4510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510"/>
    </row>
    <row r="4511" spans="1:13" x14ac:dyDescent="0.3">
      <c r="A4511" s="7">
        <v>400241</v>
      </c>
      <c r="B4511" t="str">
        <f>_xlfn.XLOOKUP(Vendas[[#This Row],[ID Vendedor]],Vendedores[ID],Vendedores[Nome])</f>
        <v>Rodrigo</v>
      </c>
      <c r="C4511" s="7" t="str">
        <f>_xlfn.XLOOKUP(Vendas[[#This Row],[ID Vendedor]],Vendedores[ID],Vendedores[Setor])</f>
        <v>FM</v>
      </c>
      <c r="D4511" s="7" t="s">
        <v>20</v>
      </c>
      <c r="E4511" t="str">
        <f>_xlfn.XLOOKUP(Vendas[[#This Row],[ID Item Vendido]],Agregado[ID],Agregado[Produto])</f>
        <v>Barra de aço simples</v>
      </c>
      <c r="F4511" s="39">
        <v>45762</v>
      </c>
      <c r="G4511" s="7">
        <v>46</v>
      </c>
      <c r="H4511" s="3">
        <f>_xlfn.XLOOKUP(Vendas[[#This Row],[ID Item Vendido]],Agregado[ID],Agregado[Revenda])</f>
        <v>4.8</v>
      </c>
      <c r="I4511" s="3">
        <f>Vendas[[#This Row],[Valor Unitário]]*Vendas[[#This Row],[Qnt Vendida]]</f>
        <v>220.79999999999998</v>
      </c>
      <c r="J4511" s="3">
        <f>Vendas[[#This Row],[Valor da Venda]]-(_xlfn.XLOOKUP(Vendas[[#This Row],[ID Item Vendido]],Agregado[ID],Agregado[Custo])*Vendas[[#This Row],[Qnt Vendida]])</f>
        <v>27.599999999999966</v>
      </c>
      <c r="K4511" s="70">
        <f>Vendas[[#This Row],[Lucro da Venda]]/Vendas[[#This Row],[Valor da Venda]]</f>
        <v>0.12499999999999986</v>
      </c>
      <c r="L4511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4511"/>
    </row>
    <row r="4512" spans="1:13" x14ac:dyDescent="0.3">
      <c r="A4512" s="7">
        <v>400242</v>
      </c>
      <c r="B4512" t="str">
        <f>_xlfn.XLOOKUP(Vendas[[#This Row],[ID Vendedor]],Vendedores[ID],Vendedores[Nome])</f>
        <v>Fernanda</v>
      </c>
      <c r="C4512" s="7" t="str">
        <f>_xlfn.XLOOKUP(Vendas[[#This Row],[ID Vendedor]],Vendedores[ID],Vendedores[Setor])</f>
        <v>FM</v>
      </c>
      <c r="D4512" s="7" t="s">
        <v>20</v>
      </c>
      <c r="E4512" t="str">
        <f>_xlfn.XLOOKUP(Vendas[[#This Row],[ID Item Vendido]],Agregado[ID],Agregado[Produto])</f>
        <v>Barra de aço simples</v>
      </c>
      <c r="F4512" s="39">
        <v>45763</v>
      </c>
      <c r="G4512" s="7">
        <v>168</v>
      </c>
      <c r="H4512" s="3">
        <f>_xlfn.XLOOKUP(Vendas[[#This Row],[ID Item Vendido]],Agregado[ID],Agregado[Revenda])</f>
        <v>4.8</v>
      </c>
      <c r="I4512" s="3">
        <f>Vendas[[#This Row],[Valor Unitário]]*Vendas[[#This Row],[Qnt Vendida]]</f>
        <v>806.4</v>
      </c>
      <c r="J4512" s="3">
        <f>Vendas[[#This Row],[Valor da Venda]]-(_xlfn.XLOOKUP(Vendas[[#This Row],[ID Item Vendido]],Agregado[ID],Agregado[Custo])*Vendas[[#This Row],[Qnt Vendida]])</f>
        <v>100.79999999999995</v>
      </c>
      <c r="K4512" s="70">
        <f>Vendas[[#This Row],[Lucro da Venda]]/Vendas[[#This Row],[Valor da Venda]]</f>
        <v>0.12499999999999994</v>
      </c>
      <c r="L4512" s="3">
        <f>_xlfn.IFS(Vendas[[#This Row],[Margem de Lucro (%)]]&lt;15%,Vendas[[#This Row],[Valor da Venda]]*3%,Vendas[[#This Row],[Margem de Lucro (%)]]&lt;=20%,Vendas[[#This Row],[Valor da Venda]]*4.5%,TRUE,Vendas[[#This Row],[Valor da Venda]]*6%)</f>
        <v>24.192</v>
      </c>
      <c r="M4512"/>
    </row>
    <row r="4513" spans="1:13" x14ac:dyDescent="0.3">
      <c r="A4513" s="7">
        <v>400253</v>
      </c>
      <c r="B4513" t="str">
        <f>_xlfn.XLOOKUP(Vendas[[#This Row],[ID Vendedor]],Vendedores[ID],Vendedores[Nome])</f>
        <v>Gustavo</v>
      </c>
      <c r="C4513" s="7" t="str">
        <f>_xlfn.XLOOKUP(Vendas[[#This Row],[ID Vendedor]],Vendedores[ID],Vendedores[Setor])</f>
        <v>SC</v>
      </c>
      <c r="D4513" s="7" t="s">
        <v>25</v>
      </c>
      <c r="E4513" t="str">
        <f>_xlfn.XLOOKUP(Vendas[[#This Row],[ID Item Vendido]],Agregado[ID],Agregado[Produto])</f>
        <v>Palete de plástico</v>
      </c>
      <c r="F4513" s="39">
        <v>45763</v>
      </c>
      <c r="G4513" s="7">
        <v>6</v>
      </c>
      <c r="H4513" s="3">
        <f>_xlfn.XLOOKUP(Vendas[[#This Row],[ID Item Vendido]],Agregado[ID],Agregado[Revenda])</f>
        <v>70.8</v>
      </c>
      <c r="I4513" s="3">
        <f>Vendas[[#This Row],[Valor Unitário]]*Vendas[[#This Row],[Qnt Vendida]]</f>
        <v>424.79999999999995</v>
      </c>
      <c r="J4513" s="3">
        <f>Vendas[[#This Row],[Valor da Venda]]-(_xlfn.XLOOKUP(Vendas[[#This Row],[ID Item Vendido]],Agregado[ID],Agregado[Custo])*Vendas[[#This Row],[Qnt Vendida]])</f>
        <v>64.799999999999955</v>
      </c>
      <c r="K4513" s="70">
        <f>Vendas[[#This Row],[Lucro da Venda]]/Vendas[[#This Row],[Valor da Venda]]</f>
        <v>0.15254237288135583</v>
      </c>
      <c r="L4513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4513"/>
    </row>
    <row r="4514" spans="1:13" x14ac:dyDescent="0.3">
      <c r="A4514" s="7">
        <v>400250</v>
      </c>
      <c r="B4514" t="str">
        <f>_xlfn.XLOOKUP(Vendas[[#This Row],[ID Vendedor]],Vendedores[ID],Vendedores[Nome])</f>
        <v>Larissa</v>
      </c>
      <c r="C4514" s="7" t="str">
        <f>_xlfn.XLOOKUP(Vendas[[#This Row],[ID Vendedor]],Vendedores[ID],Vendedores[Setor])</f>
        <v>AB</v>
      </c>
      <c r="D4514" s="7" t="s">
        <v>39</v>
      </c>
      <c r="E4514" t="str">
        <f>_xlfn.XLOOKUP(Vendas[[#This Row],[ID Item Vendido]],Agregado[ID],Agregado[Produto])</f>
        <v>Filme plástico industrial rolo 50m</v>
      </c>
      <c r="F4514" s="39">
        <v>45764</v>
      </c>
      <c r="G4514" s="7">
        <v>20</v>
      </c>
      <c r="H4514" s="3">
        <f>_xlfn.XLOOKUP(Vendas[[#This Row],[ID Item Vendido]],Agregado[ID],Agregado[Revenda])</f>
        <v>37</v>
      </c>
      <c r="I4514" s="3">
        <f>Vendas[[#This Row],[Valor Unitário]]*Vendas[[#This Row],[Qnt Vendida]]</f>
        <v>740</v>
      </c>
      <c r="J4514" s="3">
        <f>Vendas[[#This Row],[Valor da Venda]]-(_xlfn.XLOOKUP(Vendas[[#This Row],[ID Item Vendido]],Agregado[ID],Agregado[Custo])*Vendas[[#This Row],[Qnt Vendida]])</f>
        <v>180</v>
      </c>
      <c r="K4514" s="70">
        <f>Vendas[[#This Row],[Lucro da Venda]]/Vendas[[#This Row],[Valor da Venda]]</f>
        <v>0.24324324324324326</v>
      </c>
      <c r="L4514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4514"/>
    </row>
    <row r="4515" spans="1:13" x14ac:dyDescent="0.3">
      <c r="A4515" s="7">
        <v>400241</v>
      </c>
      <c r="B4515" t="str">
        <f>_xlfn.XLOOKUP(Vendas[[#This Row],[ID Vendedor]],Vendedores[ID],Vendedores[Nome])</f>
        <v>Rodrigo</v>
      </c>
      <c r="C4515" s="7" t="str">
        <f>_xlfn.XLOOKUP(Vendas[[#This Row],[ID Vendedor]],Vendedores[ID],Vendedores[Setor])</f>
        <v>FM</v>
      </c>
      <c r="D4515" s="7" t="s">
        <v>47</v>
      </c>
      <c r="E4515" t="str">
        <f>_xlfn.XLOOKUP(Vendas[[#This Row],[ID Item Vendido]],Agregado[ID],Agregado[Produto])</f>
        <v>Fio de arame galvanizado rolo 50m</v>
      </c>
      <c r="F4515" s="39">
        <v>45764</v>
      </c>
      <c r="G4515" s="7">
        <v>33</v>
      </c>
      <c r="H4515" s="3">
        <f>_xlfn.XLOOKUP(Vendas[[#This Row],[ID Item Vendido]],Agregado[ID],Agregado[Revenda])</f>
        <v>21.2</v>
      </c>
      <c r="I4515" s="3">
        <f>Vendas[[#This Row],[Valor Unitário]]*Vendas[[#This Row],[Qnt Vendida]]</f>
        <v>699.6</v>
      </c>
      <c r="J4515" s="3">
        <f>Vendas[[#This Row],[Valor da Venda]]-(_xlfn.XLOOKUP(Vendas[[#This Row],[ID Item Vendido]],Agregado[ID],Agregado[Custo])*Vendas[[#This Row],[Qnt Vendida]])</f>
        <v>105.60000000000002</v>
      </c>
      <c r="K4515" s="70">
        <f>Vendas[[#This Row],[Lucro da Venda]]/Vendas[[#This Row],[Valor da Venda]]</f>
        <v>0.15094339622641512</v>
      </c>
      <c r="L4515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4515"/>
    </row>
    <row r="4516" spans="1:13" x14ac:dyDescent="0.3">
      <c r="A4516" s="7">
        <v>400245</v>
      </c>
      <c r="B4516" t="str">
        <f>_xlfn.XLOOKUP(Vendas[[#This Row],[ID Vendedor]],Vendedores[ID],Vendedores[Nome])</f>
        <v>Thiago</v>
      </c>
      <c r="C4516" s="7" t="str">
        <f>_xlfn.XLOOKUP(Vendas[[#This Row],[ID Vendedor]],Vendedores[ID],Vendedores[Setor])</f>
        <v>AHD</v>
      </c>
      <c r="D4516" s="7" t="s">
        <v>9</v>
      </c>
      <c r="E4516" t="str">
        <f>_xlfn.XLOOKUP(Vendas[[#This Row],[ID Item Vendido]],Agregado[ID],Agregado[Produto])</f>
        <v>Barra de aço simples</v>
      </c>
      <c r="F4516" s="39">
        <v>45764</v>
      </c>
      <c r="G4516" s="7">
        <v>68</v>
      </c>
      <c r="H4516" s="3">
        <f>_xlfn.XLOOKUP(Vendas[[#This Row],[ID Item Vendido]],Agregado[ID],Agregado[Revenda])</f>
        <v>6.7</v>
      </c>
      <c r="I4516" s="3">
        <f>Vendas[[#This Row],[Valor Unitário]]*Vendas[[#This Row],[Qnt Vendida]]</f>
        <v>455.6</v>
      </c>
      <c r="J4516" s="3">
        <f>Vendas[[#This Row],[Valor da Venda]]-(_xlfn.XLOOKUP(Vendas[[#This Row],[ID Item Vendido]],Agregado[ID],Agregado[Custo])*Vendas[[#This Row],[Qnt Vendida]])</f>
        <v>61.200000000000045</v>
      </c>
      <c r="K4516" s="70">
        <f>Vendas[[#This Row],[Lucro da Venda]]/Vendas[[#This Row],[Valor da Venda]]</f>
        <v>0.13432835820895531</v>
      </c>
      <c r="L4516" s="3">
        <f>_xlfn.IFS(Vendas[[#This Row],[Margem de Lucro (%)]]&lt;15%,Vendas[[#This Row],[Valor da Venda]]*3%,Vendas[[#This Row],[Margem de Lucro (%)]]&lt;=20%,Vendas[[#This Row],[Valor da Venda]]*4.5%,TRUE,Vendas[[#This Row],[Valor da Venda]]*6%)</f>
        <v>13.668000000000001</v>
      </c>
      <c r="M4516"/>
    </row>
    <row r="4517" spans="1:13" x14ac:dyDescent="0.3">
      <c r="A4517" s="7">
        <v>400249</v>
      </c>
      <c r="B4517" t="str">
        <f>_xlfn.XLOOKUP(Vendas[[#This Row],[ID Vendedor]],Vendedores[ID],Vendedores[Nome])</f>
        <v>Bruno</v>
      </c>
      <c r="C4517" s="7" t="str">
        <f>_xlfn.XLOOKUP(Vendas[[#This Row],[ID Vendedor]],Vendedores[ID],Vendedores[Setor])</f>
        <v>CM</v>
      </c>
      <c r="D4517" s="7" t="s">
        <v>32</v>
      </c>
      <c r="E4517" t="str">
        <f>_xlfn.XLOOKUP(Vendas[[#This Row],[ID Item Vendido]],Agregado[ID],Agregado[Produto])</f>
        <v>Tábua tratada e cortada 3m</v>
      </c>
      <c r="F4517" s="39">
        <v>45764</v>
      </c>
      <c r="G4517" s="7">
        <v>4</v>
      </c>
      <c r="H4517" s="3">
        <f>_xlfn.XLOOKUP(Vendas[[#This Row],[ID Item Vendido]],Agregado[ID],Agregado[Revenda])</f>
        <v>39</v>
      </c>
      <c r="I4517" s="3">
        <f>Vendas[[#This Row],[Valor Unitário]]*Vendas[[#This Row],[Qnt Vendida]]</f>
        <v>156</v>
      </c>
      <c r="J4517" s="3">
        <f>Vendas[[#This Row],[Valor da Venda]]-(_xlfn.XLOOKUP(Vendas[[#This Row],[ID Item Vendido]],Agregado[ID],Agregado[Custo])*Vendas[[#This Row],[Qnt Vendida]])</f>
        <v>28</v>
      </c>
      <c r="K4517" s="70">
        <f>Vendas[[#This Row],[Lucro da Venda]]/Vendas[[#This Row],[Valor da Venda]]</f>
        <v>0.17948717948717949</v>
      </c>
      <c r="L4517" s="3">
        <f>_xlfn.IFS(Vendas[[#This Row],[Margem de Lucro (%)]]&lt;15%,Vendas[[#This Row],[Valor da Venda]]*3%,Vendas[[#This Row],[Margem de Lucro (%)]]&lt;=20%,Vendas[[#This Row],[Valor da Venda]]*4.5%,TRUE,Vendas[[#This Row],[Valor da Venda]]*6%)</f>
        <v>7.02</v>
      </c>
      <c r="M4517"/>
    </row>
    <row r="4518" spans="1:13" x14ac:dyDescent="0.3">
      <c r="A4518" s="7">
        <v>400254</v>
      </c>
      <c r="B4518" t="str">
        <f>_xlfn.XLOOKUP(Vendas[[#This Row],[ID Vendedor]],Vendedores[ID],Vendedores[Nome])</f>
        <v>Beatriz</v>
      </c>
      <c r="C4518" s="7" t="str">
        <f>_xlfn.XLOOKUP(Vendas[[#This Row],[ID Vendedor]],Vendedores[ID],Vendedores[Setor])</f>
        <v>SC</v>
      </c>
      <c r="D4518" s="7" t="s">
        <v>14</v>
      </c>
      <c r="E4518" t="str">
        <f>_xlfn.XLOOKUP(Vendas[[#This Row],[ID Item Vendido]],Agregado[ID],Agregado[Produto])</f>
        <v>Barril de plástico 200L</v>
      </c>
      <c r="F4518" s="39">
        <v>45765</v>
      </c>
      <c r="G4518" s="7">
        <v>12</v>
      </c>
      <c r="H4518" s="3">
        <f>_xlfn.XLOOKUP(Vendas[[#This Row],[ID Item Vendido]],Agregado[ID],Agregado[Revenda])</f>
        <v>114</v>
      </c>
      <c r="I4518" s="3">
        <f>Vendas[[#This Row],[Valor Unitário]]*Vendas[[#This Row],[Qnt Vendida]]</f>
        <v>1368</v>
      </c>
      <c r="J4518" s="3">
        <f>Vendas[[#This Row],[Valor da Venda]]-(_xlfn.XLOOKUP(Vendas[[#This Row],[ID Item Vendido]],Agregado[ID],Agregado[Custo])*Vendas[[#This Row],[Qnt Vendida]])</f>
        <v>228</v>
      </c>
      <c r="K4518" s="70">
        <f>Vendas[[#This Row],[Lucro da Venda]]/Vendas[[#This Row],[Valor da Venda]]</f>
        <v>0.16666666666666666</v>
      </c>
      <c r="L4518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4518"/>
    </row>
    <row r="4519" spans="1:13" x14ac:dyDescent="0.3">
      <c r="A4519" s="7">
        <v>400250</v>
      </c>
      <c r="B4519" t="str">
        <f>_xlfn.XLOOKUP(Vendas[[#This Row],[ID Vendedor]],Vendedores[ID],Vendedores[Nome])</f>
        <v>Larissa</v>
      </c>
      <c r="C4519" s="7" t="str">
        <f>_xlfn.XLOOKUP(Vendas[[#This Row],[ID Vendedor]],Vendedores[ID],Vendedores[Setor])</f>
        <v>AB</v>
      </c>
      <c r="D4519" s="7" t="s">
        <v>24</v>
      </c>
      <c r="E4519" t="str">
        <f>_xlfn.XLOOKUP(Vendas[[#This Row],[ID Item Vendido]],Agregado[ID],Agregado[Produto])</f>
        <v>Resina plástica PET purificada saco de 25kg</v>
      </c>
      <c r="F4519" s="39">
        <v>45765</v>
      </c>
      <c r="G4519" s="7">
        <v>11</v>
      </c>
      <c r="H4519" s="3">
        <f>_xlfn.XLOOKUP(Vendas[[#This Row],[ID Item Vendido]],Agregado[ID],Agregado[Revenda])</f>
        <v>119</v>
      </c>
      <c r="I4519" s="3">
        <f>Vendas[[#This Row],[Valor Unitário]]*Vendas[[#This Row],[Qnt Vendida]]</f>
        <v>1309</v>
      </c>
      <c r="J4519" s="3">
        <f>Vendas[[#This Row],[Valor da Venda]]-(_xlfn.XLOOKUP(Vendas[[#This Row],[ID Item Vendido]],Agregado[ID],Agregado[Custo])*Vendas[[#This Row],[Qnt Vendida]])</f>
        <v>374</v>
      </c>
      <c r="K4519" s="70">
        <f>Vendas[[#This Row],[Lucro da Venda]]/Vendas[[#This Row],[Valor da Venda]]</f>
        <v>0.2857142857142857</v>
      </c>
      <c r="L4519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519"/>
    </row>
    <row r="4520" spans="1:13" x14ac:dyDescent="0.3">
      <c r="A4520" s="7">
        <v>400246</v>
      </c>
      <c r="B4520" t="str">
        <f>_xlfn.XLOOKUP(Vendas[[#This Row],[ID Vendedor]],Vendedores[ID],Vendedores[Nome])</f>
        <v>Juliana</v>
      </c>
      <c r="C4520" s="7" t="str">
        <f>_xlfn.XLOOKUP(Vendas[[#This Row],[ID Vendedor]],Vendedores[ID],Vendedores[Setor])</f>
        <v>AHD</v>
      </c>
      <c r="D4520" s="7" t="s">
        <v>18</v>
      </c>
      <c r="E4520" t="str">
        <f>_xlfn.XLOOKUP(Vendas[[#This Row],[ID Item Vendido]],Agregado[ID],Agregado[Produto])</f>
        <v>Peça forjada sob encomenda</v>
      </c>
      <c r="F4520" s="39">
        <v>45765</v>
      </c>
      <c r="G4520" s="7">
        <v>3</v>
      </c>
      <c r="H4520" s="3">
        <f>_xlfn.XLOOKUP(Vendas[[#This Row],[ID Item Vendido]],Agregado[ID],Agregado[Revenda])</f>
        <v>264.60000000000002</v>
      </c>
      <c r="I4520" s="3">
        <f>Vendas[[#This Row],[Valor Unitário]]*Vendas[[#This Row],[Qnt Vendida]]</f>
        <v>793.80000000000007</v>
      </c>
      <c r="J4520" s="3">
        <f>Vendas[[#This Row],[Valor da Venda]]-(_xlfn.XLOOKUP(Vendas[[#This Row],[ID Item Vendido]],Agregado[ID],Agregado[Custo])*Vendas[[#This Row],[Qnt Vendida]])</f>
        <v>43.800000000000068</v>
      </c>
      <c r="K4520" s="70">
        <f>Vendas[[#This Row],[Lucro da Venda]]/Vendas[[#This Row],[Valor da Venda]]</f>
        <v>5.5177626606198113E-2</v>
      </c>
      <c r="L452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520"/>
    </row>
    <row r="4521" spans="1:13" x14ac:dyDescent="0.3">
      <c r="A4521" s="7">
        <v>400242</v>
      </c>
      <c r="B4521" t="str">
        <f>_xlfn.XLOOKUP(Vendas[[#This Row],[ID Vendedor]],Vendedores[ID],Vendedores[Nome])</f>
        <v>Fernanda</v>
      </c>
      <c r="C4521" s="7" t="str">
        <f>_xlfn.XLOOKUP(Vendas[[#This Row],[ID Vendedor]],Vendedores[ID],Vendedores[Setor])</f>
        <v>FM</v>
      </c>
      <c r="D4521" s="7" t="s">
        <v>47</v>
      </c>
      <c r="E4521" t="str">
        <f>_xlfn.XLOOKUP(Vendas[[#This Row],[ID Item Vendido]],Agregado[ID],Agregado[Produto])</f>
        <v>Fio de arame galvanizado rolo 50m</v>
      </c>
      <c r="F4521" s="39">
        <v>45765</v>
      </c>
      <c r="G4521" s="7">
        <v>14</v>
      </c>
      <c r="H4521" s="3">
        <f>_xlfn.XLOOKUP(Vendas[[#This Row],[ID Item Vendido]],Agregado[ID],Agregado[Revenda])</f>
        <v>21.2</v>
      </c>
      <c r="I4521" s="3">
        <f>Vendas[[#This Row],[Valor Unitário]]*Vendas[[#This Row],[Qnt Vendida]]</f>
        <v>296.8</v>
      </c>
      <c r="J4521" s="3">
        <f>Vendas[[#This Row],[Valor da Venda]]-(_xlfn.XLOOKUP(Vendas[[#This Row],[ID Item Vendido]],Agregado[ID],Agregado[Custo])*Vendas[[#This Row],[Qnt Vendida]])</f>
        <v>44.800000000000011</v>
      </c>
      <c r="K4521" s="70">
        <f>Vendas[[#This Row],[Lucro da Venda]]/Vendas[[#This Row],[Valor da Venda]]</f>
        <v>0.15094339622641512</v>
      </c>
      <c r="L4521" s="3">
        <f>_xlfn.IFS(Vendas[[#This Row],[Margem de Lucro (%)]]&lt;15%,Vendas[[#This Row],[Valor da Venda]]*3%,Vendas[[#This Row],[Margem de Lucro (%)]]&lt;=20%,Vendas[[#This Row],[Valor da Venda]]*4.5%,TRUE,Vendas[[#This Row],[Valor da Venda]]*6%)</f>
        <v>13.356</v>
      </c>
      <c r="M4521"/>
    </row>
    <row r="4522" spans="1:13" x14ac:dyDescent="0.3">
      <c r="A4522" s="7">
        <v>400246</v>
      </c>
      <c r="B4522" t="str">
        <f>_xlfn.XLOOKUP(Vendas[[#This Row],[ID Vendedor]],Vendedores[ID],Vendedores[Nome])</f>
        <v>Juliana</v>
      </c>
      <c r="C4522" s="7" t="str">
        <f>_xlfn.XLOOKUP(Vendas[[#This Row],[ID Vendedor]],Vendedores[ID],Vendedores[Setor])</f>
        <v>AHD</v>
      </c>
      <c r="D4522" s="7" t="s">
        <v>30</v>
      </c>
      <c r="E4522" t="str">
        <f>_xlfn.XLOOKUP(Vendas[[#This Row],[ID Item Vendido]],Agregado[ID],Agregado[Produto])</f>
        <v>Estrutura metálica soldada</v>
      </c>
      <c r="F4522" s="39">
        <v>45766</v>
      </c>
      <c r="G4522" s="7">
        <v>3</v>
      </c>
      <c r="H4522" s="3">
        <f>_xlfn.XLOOKUP(Vendas[[#This Row],[ID Item Vendido]],Agregado[ID],Agregado[Revenda])</f>
        <v>400</v>
      </c>
      <c r="I4522" s="3">
        <f>Vendas[[#This Row],[Valor Unitário]]*Vendas[[#This Row],[Qnt Vendida]]</f>
        <v>1200</v>
      </c>
      <c r="J4522" s="3">
        <f>Vendas[[#This Row],[Valor da Venda]]-(_xlfn.XLOOKUP(Vendas[[#This Row],[ID Item Vendido]],Agregado[ID],Agregado[Custo])*Vendas[[#This Row],[Qnt Vendida]])</f>
        <v>240</v>
      </c>
      <c r="K4522" s="70">
        <f>Vendas[[#This Row],[Lucro da Venda]]/Vendas[[#This Row],[Valor da Venda]]</f>
        <v>0.2</v>
      </c>
      <c r="L4522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522"/>
    </row>
    <row r="4523" spans="1:13" x14ac:dyDescent="0.3">
      <c r="A4523" s="7">
        <v>400252</v>
      </c>
      <c r="B4523" t="str">
        <f>_xlfn.XLOOKUP(Vendas[[#This Row],[ID Vendedor]],Vendedores[ID],Vendedores[Nome])</f>
        <v>Renata</v>
      </c>
      <c r="C4523" s="7" t="str">
        <f>_xlfn.XLOOKUP(Vendas[[#This Row],[ID Vendedor]],Vendedores[ID],Vendedores[Setor])</f>
        <v>AB</v>
      </c>
      <c r="D4523" s="7" t="s">
        <v>39</v>
      </c>
      <c r="E4523" t="str">
        <f>_xlfn.XLOOKUP(Vendas[[#This Row],[ID Item Vendido]],Agregado[ID],Agregado[Produto])</f>
        <v>Filme plástico industrial rolo 50m</v>
      </c>
      <c r="F4523" s="39">
        <v>45766</v>
      </c>
      <c r="G4523" s="7">
        <v>19</v>
      </c>
      <c r="H4523" s="3">
        <f>_xlfn.XLOOKUP(Vendas[[#This Row],[ID Item Vendido]],Agregado[ID],Agregado[Revenda])</f>
        <v>37</v>
      </c>
      <c r="I4523" s="3">
        <f>Vendas[[#This Row],[Valor Unitário]]*Vendas[[#This Row],[Qnt Vendida]]</f>
        <v>703</v>
      </c>
      <c r="J4523" s="3">
        <f>Vendas[[#This Row],[Valor da Venda]]-(_xlfn.XLOOKUP(Vendas[[#This Row],[ID Item Vendido]],Agregado[ID],Agregado[Custo])*Vendas[[#This Row],[Qnt Vendida]])</f>
        <v>171</v>
      </c>
      <c r="K4523" s="70">
        <f>Vendas[[#This Row],[Lucro da Venda]]/Vendas[[#This Row],[Valor da Venda]]</f>
        <v>0.24324324324324326</v>
      </c>
      <c r="L4523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4523"/>
    </row>
    <row r="4524" spans="1:13" x14ac:dyDescent="0.3">
      <c r="A4524" s="7">
        <v>400249</v>
      </c>
      <c r="B4524" t="str">
        <f>_xlfn.XLOOKUP(Vendas[[#This Row],[ID Vendedor]],Vendedores[ID],Vendedores[Nome])</f>
        <v>Bruno</v>
      </c>
      <c r="C4524" s="7" t="str">
        <f>_xlfn.XLOOKUP(Vendas[[#This Row],[ID Vendedor]],Vendedores[ID],Vendedores[Setor])</f>
        <v>CM</v>
      </c>
      <c r="D4524" s="7" t="s">
        <v>22</v>
      </c>
      <c r="E4524" t="str">
        <f>_xlfn.XLOOKUP(Vendas[[#This Row],[ID Item Vendido]],Agregado[ID],Agregado[Produto])</f>
        <v>Painel MDP 2,75x1,83m</v>
      </c>
      <c r="F4524" s="39">
        <v>45767</v>
      </c>
      <c r="G4524" s="7">
        <v>19</v>
      </c>
      <c r="H4524" s="3">
        <f>_xlfn.XLOOKUP(Vendas[[#This Row],[ID Item Vendido]],Agregado[ID],Agregado[Revenda])</f>
        <v>119</v>
      </c>
      <c r="I4524" s="3">
        <f>Vendas[[#This Row],[Valor Unitário]]*Vendas[[#This Row],[Qnt Vendida]]</f>
        <v>2261</v>
      </c>
      <c r="J4524" s="3">
        <f>Vendas[[#This Row],[Valor da Venda]]-(_xlfn.XLOOKUP(Vendas[[#This Row],[ID Item Vendido]],Agregado[ID],Agregado[Custo])*Vendas[[#This Row],[Qnt Vendida]])</f>
        <v>456</v>
      </c>
      <c r="K4524" s="70">
        <f>Vendas[[#This Row],[Lucro da Venda]]/Vendas[[#This Row],[Valor da Venda]]</f>
        <v>0.20168067226890757</v>
      </c>
      <c r="L4524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524"/>
    </row>
    <row r="4525" spans="1:13" x14ac:dyDescent="0.3">
      <c r="A4525" s="7">
        <v>400244</v>
      </c>
      <c r="B4525" t="str">
        <f>_xlfn.XLOOKUP(Vendas[[#This Row],[ID Vendedor]],Vendedores[ID],Vendedores[Nome])</f>
        <v>Camila</v>
      </c>
      <c r="C4525" s="7" t="str">
        <f>_xlfn.XLOOKUP(Vendas[[#This Row],[ID Vendedor]],Vendedores[ID],Vendedores[Setor])</f>
        <v>AHD</v>
      </c>
      <c r="D4525" s="7" t="s">
        <v>28</v>
      </c>
      <c r="E4525" t="str">
        <f>_xlfn.XLOOKUP(Vendas[[#This Row],[ID Item Vendido]],Agregado[ID],Agregado[Produto])</f>
        <v>Peça usinada CNC</v>
      </c>
      <c r="F4525" s="39">
        <v>45767</v>
      </c>
      <c r="G4525" s="7">
        <v>11</v>
      </c>
      <c r="H4525" s="3">
        <f>_xlfn.XLOOKUP(Vendas[[#This Row],[ID Item Vendido]],Agregado[ID],Agregado[Revenda])</f>
        <v>192</v>
      </c>
      <c r="I4525" s="3">
        <f>Vendas[[#This Row],[Valor Unitário]]*Vendas[[#This Row],[Qnt Vendida]]</f>
        <v>2112</v>
      </c>
      <c r="J4525" s="3">
        <f>Vendas[[#This Row],[Valor da Venda]]-(_xlfn.XLOOKUP(Vendas[[#This Row],[ID Item Vendido]],Agregado[ID],Agregado[Custo])*Vendas[[#This Row],[Qnt Vendida]])</f>
        <v>462</v>
      </c>
      <c r="K4525" s="70">
        <f>Vendas[[#This Row],[Lucro da Venda]]/Vendas[[#This Row],[Valor da Venda]]</f>
        <v>0.21875</v>
      </c>
      <c r="L4525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4525"/>
    </row>
    <row r="4526" spans="1:13" x14ac:dyDescent="0.3">
      <c r="A4526" s="7">
        <v>400241</v>
      </c>
      <c r="B4526" t="str">
        <f>_xlfn.XLOOKUP(Vendas[[#This Row],[ID Vendedor]],Vendedores[ID],Vendedores[Nome])</f>
        <v>Rodrigo</v>
      </c>
      <c r="C4526" s="7" t="str">
        <f>_xlfn.XLOOKUP(Vendas[[#This Row],[ID Vendedor]],Vendedores[ID],Vendedores[Setor])</f>
        <v>FM</v>
      </c>
      <c r="D4526" s="7" t="s">
        <v>6</v>
      </c>
      <c r="E4526" t="str">
        <f>_xlfn.XLOOKUP(Vendas[[#This Row],[ID Item Vendido]],Agregado[ID],Agregado[Produto])</f>
        <v>Parafuso comum 500un</v>
      </c>
      <c r="F4526" s="39">
        <v>45767</v>
      </c>
      <c r="G4526" s="7">
        <v>16</v>
      </c>
      <c r="H4526" s="3">
        <f>_xlfn.XLOOKUP(Vendas[[#This Row],[ID Item Vendido]],Agregado[ID],Agregado[Revenda])</f>
        <v>24.6</v>
      </c>
      <c r="I4526" s="3">
        <f>Vendas[[#This Row],[Valor Unitário]]*Vendas[[#This Row],[Qnt Vendida]]</f>
        <v>393.6</v>
      </c>
      <c r="J4526" s="3">
        <f>Vendas[[#This Row],[Valor da Venda]]-(_xlfn.XLOOKUP(Vendas[[#This Row],[ID Item Vendido]],Agregado[ID],Agregado[Custo])*Vendas[[#This Row],[Qnt Vendida]])</f>
        <v>41.600000000000023</v>
      </c>
      <c r="K4526" s="70">
        <f>Vendas[[#This Row],[Lucro da Venda]]/Vendas[[#This Row],[Valor da Venda]]</f>
        <v>0.10569105691056915</v>
      </c>
      <c r="L4526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4526"/>
    </row>
    <row r="4527" spans="1:13" x14ac:dyDescent="0.3">
      <c r="A4527" s="7">
        <v>400244</v>
      </c>
      <c r="B4527" t="str">
        <f>_xlfn.XLOOKUP(Vendas[[#This Row],[ID Vendedor]],Vendedores[ID],Vendedores[Nome])</f>
        <v>Camila</v>
      </c>
      <c r="C4527" s="7" t="str">
        <f>_xlfn.XLOOKUP(Vendas[[#This Row],[ID Vendedor]],Vendedores[ID],Vendedores[Setor])</f>
        <v>AHD</v>
      </c>
      <c r="D4527" s="7" t="s">
        <v>28</v>
      </c>
      <c r="E4527" t="str">
        <f>_xlfn.XLOOKUP(Vendas[[#This Row],[ID Item Vendido]],Agregado[ID],Agregado[Produto])</f>
        <v>Peça usinada CNC</v>
      </c>
      <c r="F4527" s="39">
        <v>45767</v>
      </c>
      <c r="G4527" s="7">
        <v>2</v>
      </c>
      <c r="H4527" s="3">
        <f>_xlfn.XLOOKUP(Vendas[[#This Row],[ID Item Vendido]],Agregado[ID],Agregado[Revenda])</f>
        <v>192</v>
      </c>
      <c r="I4527" s="3">
        <f>Vendas[[#This Row],[Valor Unitário]]*Vendas[[#This Row],[Qnt Vendida]]</f>
        <v>384</v>
      </c>
      <c r="J4527" s="3">
        <f>Vendas[[#This Row],[Valor da Venda]]-(_xlfn.XLOOKUP(Vendas[[#This Row],[ID Item Vendido]],Agregado[ID],Agregado[Custo])*Vendas[[#This Row],[Qnt Vendida]])</f>
        <v>84</v>
      </c>
      <c r="K4527" s="70">
        <f>Vendas[[#This Row],[Lucro da Venda]]/Vendas[[#This Row],[Valor da Venda]]</f>
        <v>0.21875</v>
      </c>
      <c r="L4527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4527"/>
    </row>
    <row r="4528" spans="1:13" x14ac:dyDescent="0.3">
      <c r="A4528" s="7">
        <v>400247</v>
      </c>
      <c r="B4528" t="str">
        <f>_xlfn.XLOOKUP(Vendas[[#This Row],[ID Vendedor]],Vendedores[ID],Vendedores[Nome])</f>
        <v>André</v>
      </c>
      <c r="C4528" s="7" t="str">
        <f>_xlfn.XLOOKUP(Vendas[[#This Row],[ID Vendedor]],Vendedores[ID],Vendedores[Setor])</f>
        <v>CM</v>
      </c>
      <c r="D4528" s="7" t="s">
        <v>34</v>
      </c>
      <c r="E4528" t="str">
        <f>_xlfn.XLOOKUP(Vendas[[#This Row],[ID Item Vendido]],Agregado[ID],Agregado[Produto])</f>
        <v>Restos de madeira p/ MDP/OSB saco de 20kg</v>
      </c>
      <c r="F4528" s="39">
        <v>45767</v>
      </c>
      <c r="G4528" s="7">
        <v>22</v>
      </c>
      <c r="H4528" s="3">
        <f>_xlfn.XLOOKUP(Vendas[[#This Row],[ID Item Vendido]],Agregado[ID],Agregado[Revenda])</f>
        <v>13.8</v>
      </c>
      <c r="I4528" s="3">
        <f>Vendas[[#This Row],[Valor Unitário]]*Vendas[[#This Row],[Qnt Vendida]]</f>
        <v>303.60000000000002</v>
      </c>
      <c r="J4528" s="3">
        <f>Vendas[[#This Row],[Valor da Venda]]-(_xlfn.XLOOKUP(Vendas[[#This Row],[ID Item Vendido]],Agregado[ID],Agregado[Custo])*Vendas[[#This Row],[Qnt Vendida]])</f>
        <v>39.600000000000023</v>
      </c>
      <c r="K4528" s="70">
        <f>Vendas[[#This Row],[Lucro da Venda]]/Vendas[[#This Row],[Valor da Venda]]</f>
        <v>0.1304347826086957</v>
      </c>
      <c r="L4528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528"/>
    </row>
    <row r="4529" spans="1:13" x14ac:dyDescent="0.3">
      <c r="A4529" s="7">
        <v>400244</v>
      </c>
      <c r="B4529" t="str">
        <f>_xlfn.XLOOKUP(Vendas[[#This Row],[ID Vendedor]],Vendedores[ID],Vendedores[Nome])</f>
        <v>Camila</v>
      </c>
      <c r="C4529" s="7" t="str">
        <f>_xlfn.XLOOKUP(Vendas[[#This Row],[ID Vendedor]],Vendedores[ID],Vendedores[Setor])</f>
        <v>AHD</v>
      </c>
      <c r="D4529" s="7" t="s">
        <v>44</v>
      </c>
      <c r="E4529" t="str">
        <f>_xlfn.XLOOKUP(Vendas[[#This Row],[ID Item Vendido]],Agregado[ID],Agregado[Produto])</f>
        <v>Liga metálica especial</v>
      </c>
      <c r="F4529" s="39">
        <v>45768</v>
      </c>
      <c r="G4529" s="7">
        <v>14</v>
      </c>
      <c r="H4529" s="3">
        <f>_xlfn.XLOOKUP(Vendas[[#This Row],[ID Item Vendido]],Agregado[ID],Agregado[Revenda])</f>
        <v>32.5</v>
      </c>
      <c r="I4529" s="3">
        <f>Vendas[[#This Row],[Valor Unitário]]*Vendas[[#This Row],[Qnt Vendida]]</f>
        <v>455</v>
      </c>
      <c r="J4529" s="3">
        <f>Vendas[[#This Row],[Valor da Venda]]-(_xlfn.XLOOKUP(Vendas[[#This Row],[ID Item Vendido]],Agregado[ID],Agregado[Custo])*Vendas[[#This Row],[Qnt Vendida]])</f>
        <v>105</v>
      </c>
      <c r="K4529" s="70">
        <f>Vendas[[#This Row],[Lucro da Venda]]/Vendas[[#This Row],[Valor da Venda]]</f>
        <v>0.23076923076923078</v>
      </c>
      <c r="L4529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4529"/>
    </row>
    <row r="4530" spans="1:13" x14ac:dyDescent="0.3">
      <c r="A4530" s="7">
        <v>400254</v>
      </c>
      <c r="B4530" t="str">
        <f>_xlfn.XLOOKUP(Vendas[[#This Row],[ID Vendedor]],Vendedores[ID],Vendedores[Nome])</f>
        <v>Beatriz</v>
      </c>
      <c r="C4530" s="7" t="str">
        <f>_xlfn.XLOOKUP(Vendas[[#This Row],[ID Vendedor]],Vendedores[ID],Vendedores[Setor])</f>
        <v>SC</v>
      </c>
      <c r="D4530" s="7" t="s">
        <v>25</v>
      </c>
      <c r="E4530" t="str">
        <f>_xlfn.XLOOKUP(Vendas[[#This Row],[ID Item Vendido]],Agregado[ID],Agregado[Produto])</f>
        <v>Palete de plástico</v>
      </c>
      <c r="F4530" s="39">
        <v>45769</v>
      </c>
      <c r="G4530" s="7">
        <v>9</v>
      </c>
      <c r="H4530" s="3">
        <f>_xlfn.XLOOKUP(Vendas[[#This Row],[ID Item Vendido]],Agregado[ID],Agregado[Revenda])</f>
        <v>70.8</v>
      </c>
      <c r="I4530" s="3">
        <f>Vendas[[#This Row],[Valor Unitário]]*Vendas[[#This Row],[Qnt Vendida]]</f>
        <v>637.19999999999993</v>
      </c>
      <c r="J4530" s="3">
        <f>Vendas[[#This Row],[Valor da Venda]]-(_xlfn.XLOOKUP(Vendas[[#This Row],[ID Item Vendido]],Agregado[ID],Agregado[Custo])*Vendas[[#This Row],[Qnt Vendida]])</f>
        <v>97.199999999999932</v>
      </c>
      <c r="K4530" s="70">
        <f>Vendas[[#This Row],[Lucro da Venda]]/Vendas[[#This Row],[Valor da Venda]]</f>
        <v>0.15254237288135583</v>
      </c>
      <c r="L4530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4530"/>
    </row>
    <row r="4531" spans="1:13" x14ac:dyDescent="0.3">
      <c r="A4531" s="7">
        <v>400246</v>
      </c>
      <c r="B4531" t="str">
        <f>_xlfn.XLOOKUP(Vendas[[#This Row],[ID Vendedor]],Vendedores[ID],Vendedores[Nome])</f>
        <v>Juliana</v>
      </c>
      <c r="C4531" s="7" t="str">
        <f>_xlfn.XLOOKUP(Vendas[[#This Row],[ID Vendedor]],Vendedores[ID],Vendedores[Setor])</f>
        <v>AHD</v>
      </c>
      <c r="D4531" s="7" t="s">
        <v>9</v>
      </c>
      <c r="E4531" t="str">
        <f>_xlfn.XLOOKUP(Vendas[[#This Row],[ID Item Vendido]],Agregado[ID],Agregado[Produto])</f>
        <v>Barra de aço simples</v>
      </c>
      <c r="F4531" s="39">
        <v>45769</v>
      </c>
      <c r="G4531" s="7">
        <v>89</v>
      </c>
      <c r="H4531" s="3">
        <f>_xlfn.XLOOKUP(Vendas[[#This Row],[ID Item Vendido]],Agregado[ID],Agregado[Revenda])</f>
        <v>6.7</v>
      </c>
      <c r="I4531" s="3">
        <f>Vendas[[#This Row],[Valor Unitário]]*Vendas[[#This Row],[Qnt Vendida]]</f>
        <v>596.30000000000007</v>
      </c>
      <c r="J4531" s="3">
        <f>Vendas[[#This Row],[Valor da Venda]]-(_xlfn.XLOOKUP(Vendas[[#This Row],[ID Item Vendido]],Agregado[ID],Agregado[Custo])*Vendas[[#This Row],[Qnt Vendida]])</f>
        <v>80.100000000000136</v>
      </c>
      <c r="K4531" s="70">
        <f>Vendas[[#This Row],[Lucro da Venda]]/Vendas[[#This Row],[Valor da Venda]]</f>
        <v>0.13432835820895545</v>
      </c>
      <c r="L4531" s="3">
        <f>_xlfn.IFS(Vendas[[#This Row],[Margem de Lucro (%)]]&lt;15%,Vendas[[#This Row],[Valor da Venda]]*3%,Vendas[[#This Row],[Margem de Lucro (%)]]&lt;=20%,Vendas[[#This Row],[Valor da Venda]]*4.5%,TRUE,Vendas[[#This Row],[Valor da Venda]]*6%)</f>
        <v>17.889000000000003</v>
      </c>
      <c r="M4531"/>
    </row>
    <row r="4532" spans="1:13" x14ac:dyDescent="0.3">
      <c r="A4532" s="7">
        <v>400249</v>
      </c>
      <c r="B4532" t="str">
        <f>_xlfn.XLOOKUP(Vendas[[#This Row],[ID Vendedor]],Vendedores[ID],Vendedores[Nome])</f>
        <v>Bruno</v>
      </c>
      <c r="C4532" s="7" t="str">
        <f>_xlfn.XLOOKUP(Vendas[[#This Row],[ID Vendedor]],Vendedores[ID],Vendedores[Setor])</f>
        <v>CM</v>
      </c>
      <c r="D4532" s="7" t="s">
        <v>32</v>
      </c>
      <c r="E4532" t="str">
        <f>_xlfn.XLOOKUP(Vendas[[#This Row],[ID Item Vendido]],Agregado[ID],Agregado[Produto])</f>
        <v>Tábua tratada e cortada 3m</v>
      </c>
      <c r="F4532" s="39">
        <v>45770</v>
      </c>
      <c r="G4532" s="7">
        <v>21</v>
      </c>
      <c r="H4532" s="3">
        <f>_xlfn.XLOOKUP(Vendas[[#This Row],[ID Item Vendido]],Agregado[ID],Agregado[Revenda])</f>
        <v>39</v>
      </c>
      <c r="I4532" s="3">
        <f>Vendas[[#This Row],[Valor Unitário]]*Vendas[[#This Row],[Qnt Vendida]]</f>
        <v>819</v>
      </c>
      <c r="J4532" s="3">
        <f>Vendas[[#This Row],[Valor da Venda]]-(_xlfn.XLOOKUP(Vendas[[#This Row],[ID Item Vendido]],Agregado[ID],Agregado[Custo])*Vendas[[#This Row],[Qnt Vendida]])</f>
        <v>147</v>
      </c>
      <c r="K4532" s="70">
        <f>Vendas[[#This Row],[Lucro da Venda]]/Vendas[[#This Row],[Valor da Venda]]</f>
        <v>0.17948717948717949</v>
      </c>
      <c r="L4532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4532"/>
    </row>
    <row r="4533" spans="1:13" x14ac:dyDescent="0.3">
      <c r="A4533" s="7">
        <v>400250</v>
      </c>
      <c r="B4533" t="str">
        <f>_xlfn.XLOOKUP(Vendas[[#This Row],[ID Vendedor]],Vendedores[ID],Vendedores[Nome])</f>
        <v>Larissa</v>
      </c>
      <c r="C4533" s="7" t="str">
        <f>_xlfn.XLOOKUP(Vendas[[#This Row],[ID Vendedor]],Vendedores[ID],Vendedores[Setor])</f>
        <v>AB</v>
      </c>
      <c r="D4533" s="7" t="s">
        <v>36</v>
      </c>
      <c r="E4533" t="str">
        <f>_xlfn.XLOOKUP(Vendas[[#This Row],[ID Item Vendido]],Agregado[ID],Agregado[Produto])</f>
        <v>Borracha vulcanizada em manta</v>
      </c>
      <c r="F4533" s="39">
        <v>45770</v>
      </c>
      <c r="G4533" s="7">
        <v>46</v>
      </c>
      <c r="H4533" s="3">
        <f>_xlfn.XLOOKUP(Vendas[[#This Row],[ID Item Vendido]],Agregado[ID],Agregado[Revenda])</f>
        <v>7.8</v>
      </c>
      <c r="I4533" s="3">
        <f>Vendas[[#This Row],[Valor Unitário]]*Vendas[[#This Row],[Qnt Vendida]]</f>
        <v>358.8</v>
      </c>
      <c r="J4533" s="3">
        <f>Vendas[[#This Row],[Valor da Venda]]-(_xlfn.XLOOKUP(Vendas[[#This Row],[ID Item Vendido]],Agregado[ID],Agregado[Custo])*Vendas[[#This Row],[Qnt Vendida]])</f>
        <v>82.800000000000011</v>
      </c>
      <c r="K4533" s="70">
        <f>Vendas[[#This Row],[Lucro da Venda]]/Vendas[[#This Row],[Valor da Venda]]</f>
        <v>0.23076923076923078</v>
      </c>
      <c r="L4533" s="3">
        <f>_xlfn.IFS(Vendas[[#This Row],[Margem de Lucro (%)]]&lt;15%,Vendas[[#This Row],[Valor da Venda]]*3%,Vendas[[#This Row],[Margem de Lucro (%)]]&lt;=20%,Vendas[[#This Row],[Valor da Venda]]*4.5%,TRUE,Vendas[[#This Row],[Valor da Venda]]*6%)</f>
        <v>21.527999999999999</v>
      </c>
      <c r="M4533"/>
    </row>
    <row r="4534" spans="1:13" x14ac:dyDescent="0.3">
      <c r="A4534" s="7">
        <v>400255</v>
      </c>
      <c r="B4534" t="str">
        <f>_xlfn.XLOOKUP(Vendas[[#This Row],[ID Vendedor]],Vendedores[ID],Vendedores[Nome])</f>
        <v>Carlos</v>
      </c>
      <c r="C4534" s="7" t="str">
        <f>_xlfn.XLOOKUP(Vendas[[#This Row],[ID Vendedor]],Vendedores[ID],Vendedores[Setor])</f>
        <v>SC</v>
      </c>
      <c r="D4534" s="7" t="s">
        <v>14</v>
      </c>
      <c r="E4534" t="str">
        <f>_xlfn.XLOOKUP(Vendas[[#This Row],[ID Item Vendido]],Agregado[ID],Agregado[Produto])</f>
        <v>Barril de plástico 200L</v>
      </c>
      <c r="F4534" s="39">
        <v>45771</v>
      </c>
      <c r="G4534" s="7">
        <v>18</v>
      </c>
      <c r="H4534" s="3">
        <f>_xlfn.XLOOKUP(Vendas[[#This Row],[ID Item Vendido]],Agregado[ID],Agregado[Revenda])</f>
        <v>114</v>
      </c>
      <c r="I4534" s="3">
        <f>Vendas[[#This Row],[Valor Unitário]]*Vendas[[#This Row],[Qnt Vendida]]</f>
        <v>2052</v>
      </c>
      <c r="J4534" s="3">
        <f>Vendas[[#This Row],[Valor da Venda]]-(_xlfn.XLOOKUP(Vendas[[#This Row],[ID Item Vendido]],Agregado[ID],Agregado[Custo])*Vendas[[#This Row],[Qnt Vendida]])</f>
        <v>342</v>
      </c>
      <c r="K4534" s="70">
        <f>Vendas[[#This Row],[Lucro da Venda]]/Vendas[[#This Row],[Valor da Venda]]</f>
        <v>0.16666666666666666</v>
      </c>
      <c r="L4534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4534"/>
    </row>
    <row r="4535" spans="1:13" x14ac:dyDescent="0.3">
      <c r="A4535" s="7">
        <v>400245</v>
      </c>
      <c r="B4535" t="str">
        <f>_xlfn.XLOOKUP(Vendas[[#This Row],[ID Vendedor]],Vendedores[ID],Vendedores[Nome])</f>
        <v>Thiago</v>
      </c>
      <c r="C4535" s="7" t="str">
        <f>_xlfn.XLOOKUP(Vendas[[#This Row],[ID Vendedor]],Vendedores[ID],Vendedores[Setor])</f>
        <v>AHD</v>
      </c>
      <c r="D4535" s="7" t="s">
        <v>28</v>
      </c>
      <c r="E4535" t="str">
        <f>_xlfn.XLOOKUP(Vendas[[#This Row],[ID Item Vendido]],Agregado[ID],Agregado[Produto])</f>
        <v>Peça usinada CNC</v>
      </c>
      <c r="F4535" s="39">
        <v>45771</v>
      </c>
      <c r="G4535" s="7">
        <v>7</v>
      </c>
      <c r="H4535" s="3">
        <f>_xlfn.XLOOKUP(Vendas[[#This Row],[ID Item Vendido]],Agregado[ID],Agregado[Revenda])</f>
        <v>192</v>
      </c>
      <c r="I4535" s="3">
        <f>Vendas[[#This Row],[Valor Unitário]]*Vendas[[#This Row],[Qnt Vendida]]</f>
        <v>1344</v>
      </c>
      <c r="J4535" s="3">
        <f>Vendas[[#This Row],[Valor da Venda]]-(_xlfn.XLOOKUP(Vendas[[#This Row],[ID Item Vendido]],Agregado[ID],Agregado[Custo])*Vendas[[#This Row],[Qnt Vendida]])</f>
        <v>294</v>
      </c>
      <c r="K4535" s="70">
        <f>Vendas[[#This Row],[Lucro da Venda]]/Vendas[[#This Row],[Valor da Venda]]</f>
        <v>0.21875</v>
      </c>
      <c r="L4535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4535"/>
    </row>
    <row r="4536" spans="1:13" x14ac:dyDescent="0.3">
      <c r="A4536" s="7">
        <v>400252</v>
      </c>
      <c r="B4536" t="str">
        <f>_xlfn.XLOOKUP(Vendas[[#This Row],[ID Vendedor]],Vendedores[ID],Vendedores[Nome])</f>
        <v>Renata</v>
      </c>
      <c r="C4536" s="7" t="str">
        <f>_xlfn.XLOOKUP(Vendas[[#This Row],[ID Vendedor]],Vendedores[ID],Vendedores[Setor])</f>
        <v>AB</v>
      </c>
      <c r="D4536" s="7" t="s">
        <v>39</v>
      </c>
      <c r="E4536" t="str">
        <f>_xlfn.XLOOKUP(Vendas[[#This Row],[ID Item Vendido]],Agregado[ID],Agregado[Produto])</f>
        <v>Filme plástico industrial rolo 50m</v>
      </c>
      <c r="F4536" s="39">
        <v>45771</v>
      </c>
      <c r="G4536" s="7">
        <v>27</v>
      </c>
      <c r="H4536" s="3">
        <f>_xlfn.XLOOKUP(Vendas[[#This Row],[ID Item Vendido]],Agregado[ID],Agregado[Revenda])</f>
        <v>37</v>
      </c>
      <c r="I4536" s="3">
        <f>Vendas[[#This Row],[Valor Unitário]]*Vendas[[#This Row],[Qnt Vendida]]</f>
        <v>999</v>
      </c>
      <c r="J4536" s="3">
        <f>Vendas[[#This Row],[Valor da Venda]]-(_xlfn.XLOOKUP(Vendas[[#This Row],[ID Item Vendido]],Agregado[ID],Agregado[Custo])*Vendas[[#This Row],[Qnt Vendida]])</f>
        <v>243</v>
      </c>
      <c r="K4536" s="70">
        <f>Vendas[[#This Row],[Lucro da Venda]]/Vendas[[#This Row],[Valor da Venda]]</f>
        <v>0.24324324324324326</v>
      </c>
      <c r="L4536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4536"/>
    </row>
    <row r="4537" spans="1:13" x14ac:dyDescent="0.3">
      <c r="A4537" s="7">
        <v>400244</v>
      </c>
      <c r="B4537" t="str">
        <f>_xlfn.XLOOKUP(Vendas[[#This Row],[ID Vendedor]],Vendedores[ID],Vendedores[Nome])</f>
        <v>Camila</v>
      </c>
      <c r="C4537" s="7" t="str">
        <f>_xlfn.XLOOKUP(Vendas[[#This Row],[ID Vendedor]],Vendedores[ID],Vendedores[Setor])</f>
        <v>AHD</v>
      </c>
      <c r="D4537" s="7" t="s">
        <v>9</v>
      </c>
      <c r="E4537" t="str">
        <f>_xlfn.XLOOKUP(Vendas[[#This Row],[ID Item Vendido]],Agregado[ID],Agregado[Produto])</f>
        <v>Barra de aço simples</v>
      </c>
      <c r="F4537" s="39">
        <v>45771</v>
      </c>
      <c r="G4537" s="7">
        <v>115</v>
      </c>
      <c r="H4537" s="3">
        <f>_xlfn.XLOOKUP(Vendas[[#This Row],[ID Item Vendido]],Agregado[ID],Agregado[Revenda])</f>
        <v>6.7</v>
      </c>
      <c r="I4537" s="3">
        <f>Vendas[[#This Row],[Valor Unitário]]*Vendas[[#This Row],[Qnt Vendida]]</f>
        <v>770.5</v>
      </c>
      <c r="J4537" s="3">
        <f>Vendas[[#This Row],[Valor da Venda]]-(_xlfn.XLOOKUP(Vendas[[#This Row],[ID Item Vendido]],Agregado[ID],Agregado[Custo])*Vendas[[#This Row],[Qnt Vendida]])</f>
        <v>103.5</v>
      </c>
      <c r="K4537" s="70">
        <f>Vendas[[#This Row],[Lucro da Venda]]/Vendas[[#This Row],[Valor da Venda]]</f>
        <v>0.13432835820895522</v>
      </c>
      <c r="L4537" s="3">
        <f>_xlfn.IFS(Vendas[[#This Row],[Margem de Lucro (%)]]&lt;15%,Vendas[[#This Row],[Valor da Venda]]*3%,Vendas[[#This Row],[Margem de Lucro (%)]]&lt;=20%,Vendas[[#This Row],[Valor da Venda]]*4.5%,TRUE,Vendas[[#This Row],[Valor da Venda]]*6%)</f>
        <v>23.114999999999998</v>
      </c>
      <c r="M4537"/>
    </row>
    <row r="4538" spans="1:13" x14ac:dyDescent="0.3">
      <c r="A4538" s="7">
        <v>400241</v>
      </c>
      <c r="B4538" t="str">
        <f>_xlfn.XLOOKUP(Vendas[[#This Row],[ID Vendedor]],Vendedores[ID],Vendedores[Nome])</f>
        <v>Rodrigo</v>
      </c>
      <c r="C4538" s="7" t="str">
        <f>_xlfn.XLOOKUP(Vendas[[#This Row],[ID Vendedor]],Vendedores[ID],Vendedores[Setor])</f>
        <v>FM</v>
      </c>
      <c r="D4538" s="7" t="s">
        <v>6</v>
      </c>
      <c r="E4538" t="str">
        <f>_xlfn.XLOOKUP(Vendas[[#This Row],[ID Item Vendido]],Agregado[ID],Agregado[Produto])</f>
        <v>Parafuso comum 500un</v>
      </c>
      <c r="F4538" s="39">
        <v>45771</v>
      </c>
      <c r="G4538" s="7">
        <v>15</v>
      </c>
      <c r="H4538" s="3">
        <f>_xlfn.XLOOKUP(Vendas[[#This Row],[ID Item Vendido]],Agregado[ID],Agregado[Revenda])</f>
        <v>24.6</v>
      </c>
      <c r="I4538" s="3">
        <f>Vendas[[#This Row],[Valor Unitário]]*Vendas[[#This Row],[Qnt Vendida]]</f>
        <v>369</v>
      </c>
      <c r="J4538" s="3">
        <f>Vendas[[#This Row],[Valor da Venda]]-(_xlfn.XLOOKUP(Vendas[[#This Row],[ID Item Vendido]],Agregado[ID],Agregado[Custo])*Vendas[[#This Row],[Qnt Vendida]])</f>
        <v>39</v>
      </c>
      <c r="K4538" s="70">
        <f>Vendas[[#This Row],[Lucro da Venda]]/Vendas[[#This Row],[Valor da Venda]]</f>
        <v>0.10569105691056911</v>
      </c>
      <c r="L4538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4538"/>
    </row>
    <row r="4539" spans="1:13" x14ac:dyDescent="0.3">
      <c r="A4539" s="7">
        <v>400255</v>
      </c>
      <c r="B4539" t="str">
        <f>_xlfn.XLOOKUP(Vendas[[#This Row],[ID Vendedor]],Vendedores[ID],Vendedores[Nome])</f>
        <v>Carlos</v>
      </c>
      <c r="C4539" s="7" t="str">
        <f>_xlfn.XLOOKUP(Vendas[[#This Row],[ID Vendedor]],Vendedores[ID],Vendedores[Setor])</f>
        <v>SC</v>
      </c>
      <c r="D4539" s="7" t="s">
        <v>25</v>
      </c>
      <c r="E4539" t="str">
        <f>_xlfn.XLOOKUP(Vendas[[#This Row],[ID Item Vendido]],Agregado[ID],Agregado[Produto])</f>
        <v>Palete de plástico</v>
      </c>
      <c r="F4539" s="39">
        <v>45771</v>
      </c>
      <c r="G4539" s="7">
        <v>3</v>
      </c>
      <c r="H4539" s="3">
        <f>_xlfn.XLOOKUP(Vendas[[#This Row],[ID Item Vendido]],Agregado[ID],Agregado[Revenda])</f>
        <v>70.8</v>
      </c>
      <c r="I4539" s="3">
        <f>Vendas[[#This Row],[Valor Unitário]]*Vendas[[#This Row],[Qnt Vendida]]</f>
        <v>212.39999999999998</v>
      </c>
      <c r="J4539" s="3">
        <f>Vendas[[#This Row],[Valor da Venda]]-(_xlfn.XLOOKUP(Vendas[[#This Row],[ID Item Vendido]],Agregado[ID],Agregado[Custo])*Vendas[[#This Row],[Qnt Vendida]])</f>
        <v>32.399999999999977</v>
      </c>
      <c r="K4539" s="70">
        <f>Vendas[[#This Row],[Lucro da Venda]]/Vendas[[#This Row],[Valor da Venda]]</f>
        <v>0.15254237288135583</v>
      </c>
      <c r="L4539" s="3">
        <f>_xlfn.IFS(Vendas[[#This Row],[Margem de Lucro (%)]]&lt;15%,Vendas[[#This Row],[Valor da Venda]]*3%,Vendas[[#This Row],[Margem de Lucro (%)]]&lt;=20%,Vendas[[#This Row],[Valor da Venda]]*4.5%,TRUE,Vendas[[#This Row],[Valor da Venda]]*6%)</f>
        <v>9.5579999999999981</v>
      </c>
      <c r="M4539"/>
    </row>
    <row r="4540" spans="1:13" x14ac:dyDescent="0.3">
      <c r="A4540" s="7">
        <v>400254</v>
      </c>
      <c r="B4540" t="str">
        <f>_xlfn.XLOOKUP(Vendas[[#This Row],[ID Vendedor]],Vendedores[ID],Vendedores[Nome])</f>
        <v>Beatriz</v>
      </c>
      <c r="C4540" s="7" t="str">
        <f>_xlfn.XLOOKUP(Vendas[[#This Row],[ID Vendedor]],Vendedores[ID],Vendedores[Setor])</f>
        <v>SC</v>
      </c>
      <c r="D4540" s="7" t="s">
        <v>42</v>
      </c>
      <c r="E4540" t="str">
        <f>_xlfn.XLOOKUP(Vendas[[#This Row],[ID Item Vendido]],Agregado[ID],Agregado[Produto])</f>
        <v>Container de ferro industrial</v>
      </c>
      <c r="F4540" s="39">
        <v>45772</v>
      </c>
      <c r="G4540" s="7">
        <v>6</v>
      </c>
      <c r="H4540" s="3">
        <f>_xlfn.XLOOKUP(Vendas[[#This Row],[ID Item Vendido]],Agregado[ID],Agregado[Revenda])</f>
        <v>830</v>
      </c>
      <c r="I4540" s="3">
        <f>Vendas[[#This Row],[Valor Unitário]]*Vendas[[#This Row],[Qnt Vendida]]</f>
        <v>4980</v>
      </c>
      <c r="J4540" s="3">
        <f>Vendas[[#This Row],[Valor da Venda]]-(_xlfn.XLOOKUP(Vendas[[#This Row],[ID Item Vendido]],Agregado[ID],Agregado[Custo])*Vendas[[#This Row],[Qnt Vendida]])</f>
        <v>900</v>
      </c>
      <c r="K4540" s="70">
        <f>Vendas[[#This Row],[Lucro da Venda]]/Vendas[[#This Row],[Valor da Venda]]</f>
        <v>0.18072289156626506</v>
      </c>
      <c r="L454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4540"/>
    </row>
    <row r="4541" spans="1:13" x14ac:dyDescent="0.3">
      <c r="A4541" s="7">
        <v>400246</v>
      </c>
      <c r="B4541" t="str">
        <f>_xlfn.XLOOKUP(Vendas[[#This Row],[ID Vendedor]],Vendedores[ID],Vendedores[Nome])</f>
        <v>Juliana</v>
      </c>
      <c r="C4541" s="7" t="str">
        <f>_xlfn.XLOOKUP(Vendas[[#This Row],[ID Vendedor]],Vendedores[ID],Vendedores[Setor])</f>
        <v>AHD</v>
      </c>
      <c r="D4541" s="7" t="s">
        <v>30</v>
      </c>
      <c r="E4541" t="str">
        <f>_xlfn.XLOOKUP(Vendas[[#This Row],[ID Item Vendido]],Agregado[ID],Agregado[Produto])</f>
        <v>Estrutura metálica soldada</v>
      </c>
      <c r="F4541" s="39">
        <v>45772</v>
      </c>
      <c r="G4541" s="7">
        <v>5</v>
      </c>
      <c r="H4541" s="3">
        <f>_xlfn.XLOOKUP(Vendas[[#This Row],[ID Item Vendido]],Agregado[ID],Agregado[Revenda])</f>
        <v>400</v>
      </c>
      <c r="I4541" s="3">
        <f>Vendas[[#This Row],[Valor Unitário]]*Vendas[[#This Row],[Qnt Vendida]]</f>
        <v>2000</v>
      </c>
      <c r="J4541" s="3">
        <f>Vendas[[#This Row],[Valor da Venda]]-(_xlfn.XLOOKUP(Vendas[[#This Row],[ID Item Vendido]],Agregado[ID],Agregado[Custo])*Vendas[[#This Row],[Qnt Vendida]])</f>
        <v>400</v>
      </c>
      <c r="K4541" s="70">
        <f>Vendas[[#This Row],[Lucro da Venda]]/Vendas[[#This Row],[Valor da Venda]]</f>
        <v>0.2</v>
      </c>
      <c r="L4541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541"/>
    </row>
    <row r="4542" spans="1:13" x14ac:dyDescent="0.3">
      <c r="A4542" s="7">
        <v>400254</v>
      </c>
      <c r="B4542" t="str">
        <f>_xlfn.XLOOKUP(Vendas[[#This Row],[ID Vendedor]],Vendedores[ID],Vendedores[Nome])</f>
        <v>Beatriz</v>
      </c>
      <c r="C4542" s="7" t="str">
        <f>_xlfn.XLOOKUP(Vendas[[#This Row],[ID Vendedor]],Vendedores[ID],Vendedores[Setor])</f>
        <v>SC</v>
      </c>
      <c r="D4542" s="7" t="s">
        <v>42</v>
      </c>
      <c r="E4542" t="str">
        <f>_xlfn.XLOOKUP(Vendas[[#This Row],[ID Item Vendido]],Agregado[ID],Agregado[Produto])</f>
        <v>Container de ferro industrial</v>
      </c>
      <c r="F4542" s="39">
        <v>45772</v>
      </c>
      <c r="G4542" s="7">
        <v>2</v>
      </c>
      <c r="H4542" s="3">
        <f>_xlfn.XLOOKUP(Vendas[[#This Row],[ID Item Vendido]],Agregado[ID],Agregado[Revenda])</f>
        <v>830</v>
      </c>
      <c r="I4542" s="3">
        <f>Vendas[[#This Row],[Valor Unitário]]*Vendas[[#This Row],[Qnt Vendida]]</f>
        <v>1660</v>
      </c>
      <c r="J4542" s="3">
        <f>Vendas[[#This Row],[Valor da Venda]]-(_xlfn.XLOOKUP(Vendas[[#This Row],[ID Item Vendido]],Agregado[ID],Agregado[Custo])*Vendas[[#This Row],[Qnt Vendida]])</f>
        <v>300</v>
      </c>
      <c r="K4542" s="70">
        <f>Vendas[[#This Row],[Lucro da Venda]]/Vendas[[#This Row],[Valor da Venda]]</f>
        <v>0.18072289156626506</v>
      </c>
      <c r="L454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542"/>
    </row>
    <row r="4543" spans="1:13" x14ac:dyDescent="0.3">
      <c r="A4543" s="7">
        <v>400252</v>
      </c>
      <c r="B4543" t="str">
        <f>_xlfn.XLOOKUP(Vendas[[#This Row],[ID Vendedor]],Vendedores[ID],Vendedores[Nome])</f>
        <v>Renata</v>
      </c>
      <c r="C4543" s="7" t="str">
        <f>_xlfn.XLOOKUP(Vendas[[#This Row],[ID Vendedor]],Vendedores[ID],Vendedores[Setor])</f>
        <v>AB</v>
      </c>
      <c r="D4543" s="7" t="s">
        <v>37</v>
      </c>
      <c r="E4543" t="str">
        <f>_xlfn.XLOOKUP(Vendas[[#This Row],[ID Item Vendido]],Agregado[ID],Agregado[Produto])</f>
        <v>Composto de borracha para vedação rolo 10m</v>
      </c>
      <c r="F4543" s="39">
        <v>45772</v>
      </c>
      <c r="G4543" s="7">
        <v>15</v>
      </c>
      <c r="H4543" s="3">
        <f>_xlfn.XLOOKUP(Vendas[[#This Row],[ID Item Vendido]],Agregado[ID],Agregado[Revenda])</f>
        <v>51.2</v>
      </c>
      <c r="I4543" s="3">
        <f>Vendas[[#This Row],[Valor Unitário]]*Vendas[[#This Row],[Qnt Vendida]]</f>
        <v>768</v>
      </c>
      <c r="J4543" s="3">
        <f>Vendas[[#This Row],[Valor da Venda]]-(_xlfn.XLOOKUP(Vendas[[#This Row],[ID Item Vendido]],Agregado[ID],Agregado[Custo])*Vendas[[#This Row],[Qnt Vendida]])</f>
        <v>168</v>
      </c>
      <c r="K4543" s="70">
        <f>Vendas[[#This Row],[Lucro da Venda]]/Vendas[[#This Row],[Valor da Venda]]</f>
        <v>0.21875</v>
      </c>
      <c r="L4543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4543"/>
    </row>
    <row r="4544" spans="1:13" x14ac:dyDescent="0.3">
      <c r="A4544" s="7">
        <v>400243</v>
      </c>
      <c r="B4544" t="str">
        <f>_xlfn.XLOOKUP(Vendas[[#This Row],[ID Vendedor]],Vendedores[ID],Vendedores[Nome])</f>
        <v>Marcelo</v>
      </c>
      <c r="C4544" s="7" t="str">
        <f>_xlfn.XLOOKUP(Vendas[[#This Row],[ID Vendedor]],Vendedores[ID],Vendedores[Setor])</f>
        <v>FM</v>
      </c>
      <c r="D4544" s="7" t="s">
        <v>6</v>
      </c>
      <c r="E4544" t="str">
        <f>_xlfn.XLOOKUP(Vendas[[#This Row],[ID Item Vendido]],Agregado[ID],Agregado[Produto])</f>
        <v>Parafuso comum 500un</v>
      </c>
      <c r="F4544" s="39">
        <v>45772</v>
      </c>
      <c r="G4544" s="7">
        <v>6</v>
      </c>
      <c r="H4544" s="3">
        <f>_xlfn.XLOOKUP(Vendas[[#This Row],[ID Item Vendido]],Agregado[ID],Agregado[Revenda])</f>
        <v>24.6</v>
      </c>
      <c r="I4544" s="3">
        <f>Vendas[[#This Row],[Valor Unitário]]*Vendas[[#This Row],[Qnt Vendida]]</f>
        <v>147.60000000000002</v>
      </c>
      <c r="J4544" s="3">
        <f>Vendas[[#This Row],[Valor da Venda]]-(_xlfn.XLOOKUP(Vendas[[#This Row],[ID Item Vendido]],Agregado[ID],Agregado[Custo])*Vendas[[#This Row],[Qnt Vendida]])</f>
        <v>15.600000000000023</v>
      </c>
      <c r="K4544" s="70">
        <f>Vendas[[#This Row],[Lucro da Venda]]/Vendas[[#This Row],[Valor da Venda]]</f>
        <v>0.10569105691056924</v>
      </c>
      <c r="L4544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4544"/>
    </row>
    <row r="4545" spans="1:13" x14ac:dyDescent="0.3">
      <c r="A4545" s="7">
        <v>400252</v>
      </c>
      <c r="B4545" t="str">
        <f>_xlfn.XLOOKUP(Vendas[[#This Row],[ID Vendedor]],Vendedores[ID],Vendedores[Nome])</f>
        <v>Renata</v>
      </c>
      <c r="C4545" s="7" t="str">
        <f>_xlfn.XLOOKUP(Vendas[[#This Row],[ID Vendedor]],Vendedores[ID],Vendedores[Setor])</f>
        <v>AB</v>
      </c>
      <c r="D4545" s="7" t="s">
        <v>12</v>
      </c>
      <c r="E4545" t="str">
        <f>_xlfn.XLOOKUP(Vendas[[#This Row],[ID Item Vendido]],Agregado[ID],Agregado[Produto])</f>
        <v>Grânulo de plástico reciclado refinado</v>
      </c>
      <c r="F4545" s="39">
        <v>45772</v>
      </c>
      <c r="G4545" s="7">
        <v>28</v>
      </c>
      <c r="H4545" s="3">
        <f>_xlfn.XLOOKUP(Vendas[[#This Row],[ID Item Vendido]],Agregado[ID],Agregado[Revenda])</f>
        <v>4.7</v>
      </c>
      <c r="I4545" s="3">
        <f>Vendas[[#This Row],[Valor Unitário]]*Vendas[[#This Row],[Qnt Vendida]]</f>
        <v>131.6</v>
      </c>
      <c r="J4545" s="3">
        <f>Vendas[[#This Row],[Valor da Venda]]-(_xlfn.XLOOKUP(Vendas[[#This Row],[ID Item Vendido]],Agregado[ID],Agregado[Custo])*Vendas[[#This Row],[Qnt Vendida]])</f>
        <v>33.599999999999994</v>
      </c>
      <c r="K4545" s="70">
        <f>Vendas[[#This Row],[Lucro da Venda]]/Vendas[[#This Row],[Valor da Venda]]</f>
        <v>0.25531914893617019</v>
      </c>
      <c r="L4545" s="3">
        <f>_xlfn.IFS(Vendas[[#This Row],[Margem de Lucro (%)]]&lt;15%,Vendas[[#This Row],[Valor da Venda]]*3%,Vendas[[#This Row],[Margem de Lucro (%)]]&lt;=20%,Vendas[[#This Row],[Valor da Venda]]*4.5%,TRUE,Vendas[[#This Row],[Valor da Venda]]*6%)</f>
        <v>7.895999999999999</v>
      </c>
      <c r="M4545"/>
    </row>
    <row r="4546" spans="1:13" x14ac:dyDescent="0.3">
      <c r="A4546" s="7">
        <v>400244</v>
      </c>
      <c r="B4546" t="str">
        <f>_xlfn.XLOOKUP(Vendas[[#This Row],[ID Vendedor]],Vendedores[ID],Vendedores[Nome])</f>
        <v>Camila</v>
      </c>
      <c r="C4546" s="7" t="str">
        <f>_xlfn.XLOOKUP(Vendas[[#This Row],[ID Vendedor]],Vendedores[ID],Vendedores[Setor])</f>
        <v>AHD</v>
      </c>
      <c r="D4546" s="7" t="s">
        <v>28</v>
      </c>
      <c r="E4546" t="str">
        <f>_xlfn.XLOOKUP(Vendas[[#This Row],[ID Item Vendido]],Agregado[ID],Agregado[Produto])</f>
        <v>Peça usinada CNC</v>
      </c>
      <c r="F4546" s="39">
        <v>45773</v>
      </c>
      <c r="G4546" s="7">
        <v>12</v>
      </c>
      <c r="H4546" s="3">
        <f>_xlfn.XLOOKUP(Vendas[[#This Row],[ID Item Vendido]],Agregado[ID],Agregado[Revenda])</f>
        <v>192</v>
      </c>
      <c r="I4546" s="3">
        <f>Vendas[[#This Row],[Valor Unitário]]*Vendas[[#This Row],[Qnt Vendida]]</f>
        <v>2304</v>
      </c>
      <c r="J4546" s="3">
        <f>Vendas[[#This Row],[Valor da Venda]]-(_xlfn.XLOOKUP(Vendas[[#This Row],[ID Item Vendido]],Agregado[ID],Agregado[Custo])*Vendas[[#This Row],[Qnt Vendida]])</f>
        <v>504</v>
      </c>
      <c r="K4546" s="70">
        <f>Vendas[[#This Row],[Lucro da Venda]]/Vendas[[#This Row],[Valor da Venda]]</f>
        <v>0.21875</v>
      </c>
      <c r="L4546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4546"/>
    </row>
    <row r="4547" spans="1:13" x14ac:dyDescent="0.3">
      <c r="A4547" s="7">
        <v>400252</v>
      </c>
      <c r="B4547" t="str">
        <f>_xlfn.XLOOKUP(Vendas[[#This Row],[ID Vendedor]],Vendedores[ID],Vendedores[Nome])</f>
        <v>Renata</v>
      </c>
      <c r="C4547" s="7" t="str">
        <f>_xlfn.XLOOKUP(Vendas[[#This Row],[ID Vendedor]],Vendedores[ID],Vendedores[Setor])</f>
        <v>AB</v>
      </c>
      <c r="D4547" s="7" t="s">
        <v>39</v>
      </c>
      <c r="E4547" t="str">
        <f>_xlfn.XLOOKUP(Vendas[[#This Row],[ID Item Vendido]],Agregado[ID],Agregado[Produto])</f>
        <v>Filme plástico industrial rolo 50m</v>
      </c>
      <c r="F4547" s="39">
        <v>45773</v>
      </c>
      <c r="G4547" s="7">
        <v>22</v>
      </c>
      <c r="H4547" s="3">
        <f>_xlfn.XLOOKUP(Vendas[[#This Row],[ID Item Vendido]],Agregado[ID],Agregado[Revenda])</f>
        <v>37</v>
      </c>
      <c r="I4547" s="3">
        <f>Vendas[[#This Row],[Valor Unitário]]*Vendas[[#This Row],[Qnt Vendida]]</f>
        <v>814</v>
      </c>
      <c r="J4547" s="3">
        <f>Vendas[[#This Row],[Valor da Venda]]-(_xlfn.XLOOKUP(Vendas[[#This Row],[ID Item Vendido]],Agregado[ID],Agregado[Custo])*Vendas[[#This Row],[Qnt Vendida]])</f>
        <v>198</v>
      </c>
      <c r="K4547" s="70">
        <f>Vendas[[#This Row],[Lucro da Venda]]/Vendas[[#This Row],[Valor da Venda]]</f>
        <v>0.24324324324324326</v>
      </c>
      <c r="L4547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4547"/>
    </row>
    <row r="4548" spans="1:13" x14ac:dyDescent="0.3">
      <c r="A4548" s="7">
        <v>400250</v>
      </c>
      <c r="B4548" t="str">
        <f>_xlfn.XLOOKUP(Vendas[[#This Row],[ID Vendedor]],Vendedores[ID],Vendedores[Nome])</f>
        <v>Larissa</v>
      </c>
      <c r="C4548" s="7" t="str">
        <f>_xlfn.XLOOKUP(Vendas[[#This Row],[ID Vendedor]],Vendedores[ID],Vendedores[Setor])</f>
        <v>AB</v>
      </c>
      <c r="D4548" s="7" t="s">
        <v>12</v>
      </c>
      <c r="E4548" t="str">
        <f>_xlfn.XLOOKUP(Vendas[[#This Row],[ID Item Vendido]],Agregado[ID],Agregado[Produto])</f>
        <v>Grânulo de plástico reciclado refinado</v>
      </c>
      <c r="F4548" s="39">
        <v>45773</v>
      </c>
      <c r="G4548" s="7">
        <v>146</v>
      </c>
      <c r="H4548" s="3">
        <f>_xlfn.XLOOKUP(Vendas[[#This Row],[ID Item Vendido]],Agregado[ID],Agregado[Revenda])</f>
        <v>4.7</v>
      </c>
      <c r="I4548" s="3">
        <f>Vendas[[#This Row],[Valor Unitário]]*Vendas[[#This Row],[Qnt Vendida]]</f>
        <v>686.2</v>
      </c>
      <c r="J4548" s="3">
        <f>Vendas[[#This Row],[Valor da Venda]]-(_xlfn.XLOOKUP(Vendas[[#This Row],[ID Item Vendido]],Agregado[ID],Agregado[Custo])*Vendas[[#This Row],[Qnt Vendida]])</f>
        <v>175.20000000000005</v>
      </c>
      <c r="K4548" s="70">
        <f>Vendas[[#This Row],[Lucro da Venda]]/Vendas[[#This Row],[Valor da Venda]]</f>
        <v>0.25531914893617025</v>
      </c>
      <c r="L4548" s="3">
        <f>_xlfn.IFS(Vendas[[#This Row],[Margem de Lucro (%)]]&lt;15%,Vendas[[#This Row],[Valor da Venda]]*3%,Vendas[[#This Row],[Margem de Lucro (%)]]&lt;=20%,Vendas[[#This Row],[Valor da Venda]]*4.5%,TRUE,Vendas[[#This Row],[Valor da Venda]]*6%)</f>
        <v>41.172000000000004</v>
      </c>
      <c r="M4548"/>
    </row>
    <row r="4549" spans="1:13" x14ac:dyDescent="0.3">
      <c r="A4549" s="7">
        <v>400251</v>
      </c>
      <c r="B4549" t="str">
        <f>_xlfn.XLOOKUP(Vendas[[#This Row],[ID Vendedor]],Vendedores[ID],Vendedores[Nome])</f>
        <v>Diego</v>
      </c>
      <c r="C4549" s="7" t="str">
        <f>_xlfn.XLOOKUP(Vendas[[#This Row],[ID Vendedor]],Vendedores[ID],Vendedores[Setor])</f>
        <v>AB</v>
      </c>
      <c r="D4549" s="7" t="s">
        <v>36</v>
      </c>
      <c r="E4549" t="str">
        <f>_xlfn.XLOOKUP(Vendas[[#This Row],[ID Item Vendido]],Agregado[ID],Agregado[Produto])</f>
        <v>Borracha vulcanizada em manta</v>
      </c>
      <c r="F4549" s="39">
        <v>45773</v>
      </c>
      <c r="G4549" s="7">
        <v>25</v>
      </c>
      <c r="H4549" s="3">
        <f>_xlfn.XLOOKUP(Vendas[[#This Row],[ID Item Vendido]],Agregado[ID],Agregado[Revenda])</f>
        <v>7.8</v>
      </c>
      <c r="I4549" s="3">
        <f>Vendas[[#This Row],[Valor Unitário]]*Vendas[[#This Row],[Qnt Vendida]]</f>
        <v>195</v>
      </c>
      <c r="J4549" s="3">
        <f>Vendas[[#This Row],[Valor da Venda]]-(_xlfn.XLOOKUP(Vendas[[#This Row],[ID Item Vendido]],Agregado[ID],Agregado[Custo])*Vendas[[#This Row],[Qnt Vendida]])</f>
        <v>45</v>
      </c>
      <c r="K4549" s="70">
        <f>Vendas[[#This Row],[Lucro da Venda]]/Vendas[[#This Row],[Valor da Venda]]</f>
        <v>0.23076923076923078</v>
      </c>
      <c r="L4549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4549"/>
    </row>
    <row r="4550" spans="1:13" x14ac:dyDescent="0.3">
      <c r="A4550" s="7">
        <v>400252</v>
      </c>
      <c r="B4550" t="str">
        <f>_xlfn.XLOOKUP(Vendas[[#This Row],[ID Vendedor]],Vendedores[ID],Vendedores[Nome])</f>
        <v>Renata</v>
      </c>
      <c r="C4550" s="7" t="str">
        <f>_xlfn.XLOOKUP(Vendas[[#This Row],[ID Vendedor]],Vendedores[ID],Vendedores[Setor])</f>
        <v>AB</v>
      </c>
      <c r="D4550" s="7" t="s">
        <v>37</v>
      </c>
      <c r="E4550" t="str">
        <f>_xlfn.XLOOKUP(Vendas[[#This Row],[ID Item Vendido]],Agregado[ID],Agregado[Produto])</f>
        <v>Composto de borracha para vedação rolo 10m</v>
      </c>
      <c r="F4550" s="39">
        <v>45774</v>
      </c>
      <c r="G4550" s="7">
        <v>24</v>
      </c>
      <c r="H4550" s="3">
        <f>_xlfn.XLOOKUP(Vendas[[#This Row],[ID Item Vendido]],Agregado[ID],Agregado[Revenda])</f>
        <v>51.2</v>
      </c>
      <c r="I4550" s="3">
        <f>Vendas[[#This Row],[Valor Unitário]]*Vendas[[#This Row],[Qnt Vendida]]</f>
        <v>1228.8000000000002</v>
      </c>
      <c r="J4550" s="3">
        <f>Vendas[[#This Row],[Valor da Venda]]-(_xlfn.XLOOKUP(Vendas[[#This Row],[ID Item Vendido]],Agregado[ID],Agregado[Custo])*Vendas[[#This Row],[Qnt Vendida]])</f>
        <v>268.80000000000018</v>
      </c>
      <c r="K4550" s="70">
        <f>Vendas[[#This Row],[Lucro da Venda]]/Vendas[[#This Row],[Valor da Venda]]</f>
        <v>0.21875000000000011</v>
      </c>
      <c r="L4550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4550"/>
    </row>
    <row r="4551" spans="1:13" x14ac:dyDescent="0.3">
      <c r="A4551" s="7">
        <v>400248</v>
      </c>
      <c r="B4551" t="str">
        <f>_xlfn.XLOOKUP(Vendas[[#This Row],[ID Vendedor]],Vendedores[ID],Vendedores[Nome])</f>
        <v>Patrícia</v>
      </c>
      <c r="C4551" s="7" t="str">
        <f>_xlfn.XLOOKUP(Vendas[[#This Row],[ID Vendedor]],Vendedores[ID],Vendedores[Setor])</f>
        <v>CM</v>
      </c>
      <c r="D4551" s="7" t="s">
        <v>43</v>
      </c>
      <c r="E4551" t="str">
        <f>_xlfn.XLOOKUP(Vendas[[#This Row],[ID Item Vendido]],Agregado[ID],Agregado[Produto])</f>
        <v>Madeira Bruta (Tora)</v>
      </c>
      <c r="F4551" s="39">
        <v>45774</v>
      </c>
      <c r="G4551" s="7">
        <v>4</v>
      </c>
      <c r="H4551" s="3">
        <f>_xlfn.XLOOKUP(Vendas[[#This Row],[ID Item Vendido]],Agregado[ID],Agregado[Revenda])</f>
        <v>212</v>
      </c>
      <c r="I4551" s="3">
        <f>Vendas[[#This Row],[Valor Unitário]]*Vendas[[#This Row],[Qnt Vendida]]</f>
        <v>848</v>
      </c>
      <c r="J4551" s="3">
        <f>Vendas[[#This Row],[Valor da Venda]]-(_xlfn.XLOOKUP(Vendas[[#This Row],[ID Item Vendido]],Agregado[ID],Agregado[Custo])*Vendas[[#This Row],[Qnt Vendida]])</f>
        <v>128</v>
      </c>
      <c r="K4551" s="70">
        <f>Vendas[[#This Row],[Lucro da Venda]]/Vendas[[#This Row],[Valor da Venda]]</f>
        <v>0.15094339622641509</v>
      </c>
      <c r="L4551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4551"/>
    </row>
    <row r="4552" spans="1:13" x14ac:dyDescent="0.3">
      <c r="A4552" s="7">
        <v>400254</v>
      </c>
      <c r="B4552" t="str">
        <f>_xlfn.XLOOKUP(Vendas[[#This Row],[ID Vendedor]],Vendedores[ID],Vendedores[Nome])</f>
        <v>Beatriz</v>
      </c>
      <c r="C4552" s="7" t="str">
        <f>_xlfn.XLOOKUP(Vendas[[#This Row],[ID Vendedor]],Vendedores[ID],Vendedores[Setor])</f>
        <v>SC</v>
      </c>
      <c r="D4552" s="7" t="s">
        <v>25</v>
      </c>
      <c r="E4552" t="str">
        <f>_xlfn.XLOOKUP(Vendas[[#This Row],[ID Item Vendido]],Agregado[ID],Agregado[Produto])</f>
        <v>Palete de plástico</v>
      </c>
      <c r="F4552" s="39">
        <v>45774</v>
      </c>
      <c r="G4552" s="7">
        <v>11</v>
      </c>
      <c r="H4552" s="3">
        <f>_xlfn.XLOOKUP(Vendas[[#This Row],[ID Item Vendido]],Agregado[ID],Agregado[Revenda])</f>
        <v>70.8</v>
      </c>
      <c r="I4552" s="3">
        <f>Vendas[[#This Row],[Valor Unitário]]*Vendas[[#This Row],[Qnt Vendida]]</f>
        <v>778.8</v>
      </c>
      <c r="J4552" s="3">
        <f>Vendas[[#This Row],[Valor da Venda]]-(_xlfn.XLOOKUP(Vendas[[#This Row],[ID Item Vendido]],Agregado[ID],Agregado[Custo])*Vendas[[#This Row],[Qnt Vendida]])</f>
        <v>118.79999999999995</v>
      </c>
      <c r="K4552" s="70">
        <f>Vendas[[#This Row],[Lucro da Venda]]/Vendas[[#This Row],[Valor da Venda]]</f>
        <v>0.15254237288135589</v>
      </c>
      <c r="L4552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4552"/>
    </row>
    <row r="4553" spans="1:13" x14ac:dyDescent="0.3">
      <c r="A4553" s="7">
        <v>400243</v>
      </c>
      <c r="B4553" t="str">
        <f>_xlfn.XLOOKUP(Vendas[[#This Row],[ID Vendedor]],Vendedores[ID],Vendedores[Nome])</f>
        <v>Marcelo</v>
      </c>
      <c r="C4553" s="7" t="str">
        <f>_xlfn.XLOOKUP(Vendas[[#This Row],[ID Vendedor]],Vendedores[ID],Vendedores[Setor])</f>
        <v>FM</v>
      </c>
      <c r="D4553" s="7" t="s">
        <v>31</v>
      </c>
      <c r="E4553" t="str">
        <f>_xlfn.XLOOKUP(Vendas[[#This Row],[ID Item Vendido]],Agregado[ID],Agregado[Produto])</f>
        <v>Tela de metal soldada rolo 2x25m</v>
      </c>
      <c r="F4553" s="39">
        <v>45774</v>
      </c>
      <c r="G4553" s="7">
        <v>11</v>
      </c>
      <c r="H4553" s="3">
        <f>_xlfn.XLOOKUP(Vendas[[#This Row],[ID Item Vendido]],Agregado[ID],Agregado[Revenda])</f>
        <v>43.7</v>
      </c>
      <c r="I4553" s="3">
        <f>Vendas[[#This Row],[Valor Unitário]]*Vendas[[#This Row],[Qnt Vendida]]</f>
        <v>480.70000000000005</v>
      </c>
      <c r="J4553" s="3">
        <f>Vendas[[#This Row],[Valor da Venda]]-(_xlfn.XLOOKUP(Vendas[[#This Row],[ID Item Vendido]],Agregado[ID],Agregado[Custo])*Vendas[[#This Row],[Qnt Vendida]])</f>
        <v>62.700000000000045</v>
      </c>
      <c r="K4553" s="70">
        <f>Vendas[[#This Row],[Lucro da Venda]]/Vendas[[#This Row],[Valor da Venda]]</f>
        <v>0.13043478260869573</v>
      </c>
      <c r="L4553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4553"/>
    </row>
    <row r="4554" spans="1:13" x14ac:dyDescent="0.3">
      <c r="A4554" s="7">
        <v>400244</v>
      </c>
      <c r="B4554" t="str">
        <f>_xlfn.XLOOKUP(Vendas[[#This Row],[ID Vendedor]],Vendedores[ID],Vendedores[Nome])</f>
        <v>Camila</v>
      </c>
      <c r="C4554" s="7" t="str">
        <f>_xlfn.XLOOKUP(Vendas[[#This Row],[ID Vendedor]],Vendedores[ID],Vendedores[Setor])</f>
        <v>AHD</v>
      </c>
      <c r="D4554" s="7" t="s">
        <v>9</v>
      </c>
      <c r="E4554" t="str">
        <f>_xlfn.XLOOKUP(Vendas[[#This Row],[ID Item Vendido]],Agregado[ID],Agregado[Produto])</f>
        <v>Barra de aço simples</v>
      </c>
      <c r="F4554" s="39">
        <v>45774</v>
      </c>
      <c r="G4554" s="7">
        <v>23</v>
      </c>
      <c r="H4554" s="3">
        <f>_xlfn.XLOOKUP(Vendas[[#This Row],[ID Item Vendido]],Agregado[ID],Agregado[Revenda])</f>
        <v>6.7</v>
      </c>
      <c r="I4554" s="3">
        <f>Vendas[[#This Row],[Valor Unitário]]*Vendas[[#This Row],[Qnt Vendida]]</f>
        <v>154.1</v>
      </c>
      <c r="J4554" s="3">
        <f>Vendas[[#This Row],[Valor da Venda]]-(_xlfn.XLOOKUP(Vendas[[#This Row],[ID Item Vendido]],Agregado[ID],Agregado[Custo])*Vendas[[#This Row],[Qnt Vendida]])</f>
        <v>20.699999999999989</v>
      </c>
      <c r="K4554" s="70">
        <f>Vendas[[#This Row],[Lucro da Venda]]/Vendas[[#This Row],[Valor da Venda]]</f>
        <v>0.13432835820895517</v>
      </c>
      <c r="L4554" s="3">
        <f>_xlfn.IFS(Vendas[[#This Row],[Margem de Lucro (%)]]&lt;15%,Vendas[[#This Row],[Valor da Venda]]*3%,Vendas[[#This Row],[Margem de Lucro (%)]]&lt;=20%,Vendas[[#This Row],[Valor da Venda]]*4.5%,TRUE,Vendas[[#This Row],[Valor da Venda]]*6%)</f>
        <v>4.6229999999999993</v>
      </c>
      <c r="M4554"/>
    </row>
    <row r="4555" spans="1:13" x14ac:dyDescent="0.3">
      <c r="A4555" s="7">
        <v>400244</v>
      </c>
      <c r="B4555" t="str">
        <f>_xlfn.XLOOKUP(Vendas[[#This Row],[ID Vendedor]],Vendedores[ID],Vendedores[Nome])</f>
        <v>Camila</v>
      </c>
      <c r="C4555" s="7" t="str">
        <f>_xlfn.XLOOKUP(Vendas[[#This Row],[ID Vendedor]],Vendedores[ID],Vendedores[Setor])</f>
        <v>AHD</v>
      </c>
      <c r="D4555" s="7" t="s">
        <v>9</v>
      </c>
      <c r="E4555" t="str">
        <f>_xlfn.XLOOKUP(Vendas[[#This Row],[ID Item Vendido]],Agregado[ID],Agregado[Produto])</f>
        <v>Barra de aço simples</v>
      </c>
      <c r="F4555" s="39">
        <v>45774</v>
      </c>
      <c r="G4555" s="7">
        <v>23</v>
      </c>
      <c r="H4555" s="3">
        <f>_xlfn.XLOOKUP(Vendas[[#This Row],[ID Item Vendido]],Agregado[ID],Agregado[Revenda])</f>
        <v>6.7</v>
      </c>
      <c r="I4555" s="3">
        <f>Vendas[[#This Row],[Valor Unitário]]*Vendas[[#This Row],[Qnt Vendida]]</f>
        <v>154.1</v>
      </c>
      <c r="J4555" s="3">
        <f>Vendas[[#This Row],[Valor da Venda]]-(_xlfn.XLOOKUP(Vendas[[#This Row],[ID Item Vendido]],Agregado[ID],Agregado[Custo])*Vendas[[#This Row],[Qnt Vendida]])</f>
        <v>20.699999999999989</v>
      </c>
      <c r="K4555" s="70">
        <f>Vendas[[#This Row],[Lucro da Venda]]/Vendas[[#This Row],[Valor da Venda]]</f>
        <v>0.13432835820895517</v>
      </c>
      <c r="L4555" s="3">
        <f>_xlfn.IFS(Vendas[[#This Row],[Margem de Lucro (%)]]&lt;15%,Vendas[[#This Row],[Valor da Venda]]*3%,Vendas[[#This Row],[Margem de Lucro (%)]]&lt;=20%,Vendas[[#This Row],[Valor da Venda]]*4.5%,TRUE,Vendas[[#This Row],[Valor da Venda]]*6%)</f>
        <v>4.6229999999999993</v>
      </c>
      <c r="M4555"/>
    </row>
    <row r="4556" spans="1:13" x14ac:dyDescent="0.3">
      <c r="A4556" s="7">
        <v>400243</v>
      </c>
      <c r="B4556" t="str">
        <f>_xlfn.XLOOKUP(Vendas[[#This Row],[ID Vendedor]],Vendedores[ID],Vendedores[Nome])</f>
        <v>Marcelo</v>
      </c>
      <c r="C4556" s="7" t="str">
        <f>_xlfn.XLOOKUP(Vendas[[#This Row],[ID Vendedor]],Vendedores[ID],Vendedores[Setor])</f>
        <v>FM</v>
      </c>
      <c r="D4556" s="7" t="s">
        <v>27</v>
      </c>
      <c r="E4556" t="str">
        <f>_xlfn.XLOOKUP(Vendas[[#This Row],[ID Item Vendido]],Agregado[ID],Agregado[Produto])</f>
        <v>Chapa de metal lisa 1x2m</v>
      </c>
      <c r="F4556" s="39">
        <v>45774</v>
      </c>
      <c r="G4556" s="7">
        <v>2</v>
      </c>
      <c r="H4556" s="3">
        <f>_xlfn.XLOOKUP(Vendas[[#This Row],[ID Item Vendido]],Agregado[ID],Agregado[Revenda])</f>
        <v>52</v>
      </c>
      <c r="I4556" s="3">
        <f>Vendas[[#This Row],[Valor Unitário]]*Vendas[[#This Row],[Qnt Vendida]]</f>
        <v>104</v>
      </c>
      <c r="J4556" s="3">
        <f>Vendas[[#This Row],[Valor da Venda]]-(_xlfn.XLOOKUP(Vendas[[#This Row],[ID Item Vendido]],Agregado[ID],Agregado[Custo])*Vendas[[#This Row],[Qnt Vendida]])</f>
        <v>14</v>
      </c>
      <c r="K4556" s="70">
        <f>Vendas[[#This Row],[Lucro da Venda]]/Vendas[[#This Row],[Valor da Venda]]</f>
        <v>0.13461538461538461</v>
      </c>
      <c r="L4556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4556"/>
    </row>
    <row r="4557" spans="1:13" x14ac:dyDescent="0.3">
      <c r="A4557" s="7">
        <v>400244</v>
      </c>
      <c r="B4557" t="str">
        <f>_xlfn.XLOOKUP(Vendas[[#This Row],[ID Vendedor]],Vendedores[ID],Vendedores[Nome])</f>
        <v>Camila</v>
      </c>
      <c r="C4557" s="7" t="str">
        <f>_xlfn.XLOOKUP(Vendas[[#This Row],[ID Vendedor]],Vendedores[ID],Vendedores[Setor])</f>
        <v>AHD</v>
      </c>
      <c r="D4557" s="7" t="s">
        <v>44</v>
      </c>
      <c r="E4557" t="str">
        <f>_xlfn.XLOOKUP(Vendas[[#This Row],[ID Item Vendido]],Agregado[ID],Agregado[Produto])</f>
        <v>Liga metálica especial</v>
      </c>
      <c r="F4557" s="39">
        <v>45775</v>
      </c>
      <c r="G4557" s="7">
        <v>37</v>
      </c>
      <c r="H4557" s="3">
        <f>_xlfn.XLOOKUP(Vendas[[#This Row],[ID Item Vendido]],Agregado[ID],Agregado[Revenda])</f>
        <v>32.5</v>
      </c>
      <c r="I4557" s="3">
        <f>Vendas[[#This Row],[Valor Unitário]]*Vendas[[#This Row],[Qnt Vendida]]</f>
        <v>1202.5</v>
      </c>
      <c r="J4557" s="3">
        <f>Vendas[[#This Row],[Valor da Venda]]-(_xlfn.XLOOKUP(Vendas[[#This Row],[ID Item Vendido]],Agregado[ID],Agregado[Custo])*Vendas[[#This Row],[Qnt Vendida]])</f>
        <v>277.5</v>
      </c>
      <c r="K4557" s="70">
        <f>Vendas[[#This Row],[Lucro da Venda]]/Vendas[[#This Row],[Valor da Venda]]</f>
        <v>0.23076923076923078</v>
      </c>
      <c r="L4557" s="3">
        <f>_xlfn.IFS(Vendas[[#This Row],[Margem de Lucro (%)]]&lt;15%,Vendas[[#This Row],[Valor da Venda]]*3%,Vendas[[#This Row],[Margem de Lucro (%)]]&lt;=20%,Vendas[[#This Row],[Valor da Venda]]*4.5%,TRUE,Vendas[[#This Row],[Valor da Venda]]*6%)</f>
        <v>72.149999999999991</v>
      </c>
      <c r="M4557"/>
    </row>
    <row r="4558" spans="1:13" x14ac:dyDescent="0.3">
      <c r="A4558" s="7">
        <v>400252</v>
      </c>
      <c r="B4558" t="str">
        <f>_xlfn.XLOOKUP(Vendas[[#This Row],[ID Vendedor]],Vendedores[ID],Vendedores[Nome])</f>
        <v>Renata</v>
      </c>
      <c r="C4558" s="7" t="str">
        <f>_xlfn.XLOOKUP(Vendas[[#This Row],[ID Vendedor]],Vendedores[ID],Vendedores[Setor])</f>
        <v>AB</v>
      </c>
      <c r="D4558" s="7" t="s">
        <v>39</v>
      </c>
      <c r="E4558" t="str">
        <f>_xlfn.XLOOKUP(Vendas[[#This Row],[ID Item Vendido]],Agregado[ID],Agregado[Produto])</f>
        <v>Filme plástico industrial rolo 50m</v>
      </c>
      <c r="F4558" s="39">
        <v>45775</v>
      </c>
      <c r="G4558" s="7">
        <v>22</v>
      </c>
      <c r="H4558" s="3">
        <f>_xlfn.XLOOKUP(Vendas[[#This Row],[ID Item Vendido]],Agregado[ID],Agregado[Revenda])</f>
        <v>37</v>
      </c>
      <c r="I4558" s="3">
        <f>Vendas[[#This Row],[Valor Unitário]]*Vendas[[#This Row],[Qnt Vendida]]</f>
        <v>814</v>
      </c>
      <c r="J4558" s="3">
        <f>Vendas[[#This Row],[Valor da Venda]]-(_xlfn.XLOOKUP(Vendas[[#This Row],[ID Item Vendido]],Agregado[ID],Agregado[Custo])*Vendas[[#This Row],[Qnt Vendida]])</f>
        <v>198</v>
      </c>
      <c r="K4558" s="70">
        <f>Vendas[[#This Row],[Lucro da Venda]]/Vendas[[#This Row],[Valor da Venda]]</f>
        <v>0.24324324324324326</v>
      </c>
      <c r="L4558" s="3">
        <f>_xlfn.IFS(Vendas[[#This Row],[Margem de Lucro (%)]]&lt;15%,Vendas[[#This Row],[Valor da Venda]]*3%,Vendas[[#This Row],[Margem de Lucro (%)]]&lt;=20%,Vendas[[#This Row],[Valor da Venda]]*4.5%,TRUE,Vendas[[#This Row],[Valor da Venda]]*6%)</f>
        <v>48.839999999999996</v>
      </c>
      <c r="M4558"/>
    </row>
    <row r="4559" spans="1:13" x14ac:dyDescent="0.3">
      <c r="A4559" s="7">
        <v>400252</v>
      </c>
      <c r="B4559" t="str">
        <f>_xlfn.XLOOKUP(Vendas[[#This Row],[ID Vendedor]],Vendedores[ID],Vendedores[Nome])</f>
        <v>Renata</v>
      </c>
      <c r="C4559" s="7" t="str">
        <f>_xlfn.XLOOKUP(Vendas[[#This Row],[ID Vendedor]],Vendedores[ID],Vendedores[Setor])</f>
        <v>AB</v>
      </c>
      <c r="D4559" s="7" t="s">
        <v>36</v>
      </c>
      <c r="E4559" t="str">
        <f>_xlfn.XLOOKUP(Vendas[[#This Row],[ID Item Vendido]],Agregado[ID],Agregado[Produto])</f>
        <v>Borracha vulcanizada em manta</v>
      </c>
      <c r="F4559" s="39">
        <v>45776</v>
      </c>
      <c r="G4559" s="7">
        <v>89</v>
      </c>
      <c r="H4559" s="3">
        <f>_xlfn.XLOOKUP(Vendas[[#This Row],[ID Item Vendido]],Agregado[ID],Agregado[Revenda])</f>
        <v>7.8</v>
      </c>
      <c r="I4559" s="3">
        <f>Vendas[[#This Row],[Valor Unitário]]*Vendas[[#This Row],[Qnt Vendida]]</f>
        <v>694.19999999999993</v>
      </c>
      <c r="J4559" s="3">
        <f>Vendas[[#This Row],[Valor da Venda]]-(_xlfn.XLOOKUP(Vendas[[#This Row],[ID Item Vendido]],Agregado[ID],Agregado[Custo])*Vendas[[#This Row],[Qnt Vendida]])</f>
        <v>160.19999999999993</v>
      </c>
      <c r="K4559" s="70">
        <f>Vendas[[#This Row],[Lucro da Venda]]/Vendas[[#This Row],[Valor da Venda]]</f>
        <v>0.2307692307692307</v>
      </c>
      <c r="L4559" s="3">
        <f>_xlfn.IFS(Vendas[[#This Row],[Margem de Lucro (%)]]&lt;15%,Vendas[[#This Row],[Valor da Venda]]*3%,Vendas[[#This Row],[Margem de Lucro (%)]]&lt;=20%,Vendas[[#This Row],[Valor da Venda]]*4.5%,TRUE,Vendas[[#This Row],[Valor da Venda]]*6%)</f>
        <v>41.651999999999994</v>
      </c>
      <c r="M4559"/>
    </row>
    <row r="4560" spans="1:13" x14ac:dyDescent="0.3">
      <c r="A4560" s="7">
        <v>400252</v>
      </c>
      <c r="B4560" t="str">
        <f>_xlfn.XLOOKUP(Vendas[[#This Row],[ID Vendedor]],Vendedores[ID],Vendedores[Nome])</f>
        <v>Renata</v>
      </c>
      <c r="C4560" s="7" t="str">
        <f>_xlfn.XLOOKUP(Vendas[[#This Row],[ID Vendedor]],Vendedores[ID],Vendedores[Setor])</f>
        <v>AB</v>
      </c>
      <c r="D4560" s="7" t="s">
        <v>37</v>
      </c>
      <c r="E4560" t="str">
        <f>_xlfn.XLOOKUP(Vendas[[#This Row],[ID Item Vendido]],Agregado[ID],Agregado[Produto])</f>
        <v>Composto de borracha para vedação rolo 10m</v>
      </c>
      <c r="F4560" s="39">
        <v>45776</v>
      </c>
      <c r="G4560" s="7">
        <v>2</v>
      </c>
      <c r="H4560" s="3">
        <f>_xlfn.XLOOKUP(Vendas[[#This Row],[ID Item Vendido]],Agregado[ID],Agregado[Revenda])</f>
        <v>51.2</v>
      </c>
      <c r="I4560" s="3">
        <f>Vendas[[#This Row],[Valor Unitário]]*Vendas[[#This Row],[Qnt Vendida]]</f>
        <v>102.4</v>
      </c>
      <c r="J4560" s="3">
        <f>Vendas[[#This Row],[Valor da Venda]]-(_xlfn.XLOOKUP(Vendas[[#This Row],[ID Item Vendido]],Agregado[ID],Agregado[Custo])*Vendas[[#This Row],[Qnt Vendida]])</f>
        <v>22.400000000000006</v>
      </c>
      <c r="K4560" s="70">
        <f>Vendas[[#This Row],[Lucro da Venda]]/Vendas[[#This Row],[Valor da Venda]]</f>
        <v>0.21875000000000006</v>
      </c>
      <c r="L4560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4560"/>
    </row>
    <row r="4561" spans="1:13" x14ac:dyDescent="0.3">
      <c r="A4561" s="7">
        <v>400253</v>
      </c>
      <c r="B4561" t="str">
        <f>_xlfn.XLOOKUP(Vendas[[#This Row],[ID Vendedor]],Vendedores[ID],Vendedores[Nome])</f>
        <v>Gustavo</v>
      </c>
      <c r="C4561" s="7" t="str">
        <f>_xlfn.XLOOKUP(Vendas[[#This Row],[ID Vendedor]],Vendedores[ID],Vendedores[Setor])</f>
        <v>SC</v>
      </c>
      <c r="D4561" s="7" t="s">
        <v>41</v>
      </c>
      <c r="E4561" t="str">
        <f>_xlfn.XLOOKUP(Vendas[[#This Row],[ID Item Vendido]],Agregado[ID],Agregado[Produto])</f>
        <v>Palete de madeira reforçado</v>
      </c>
      <c r="F4561" s="39">
        <v>45777</v>
      </c>
      <c r="G4561" s="7">
        <v>8</v>
      </c>
      <c r="H4561" s="3">
        <f>_xlfn.XLOOKUP(Vendas[[#This Row],[ID Item Vendido]],Agregado[ID],Agregado[Revenda])</f>
        <v>131</v>
      </c>
      <c r="I4561" s="3">
        <f>Vendas[[#This Row],[Valor Unitário]]*Vendas[[#This Row],[Qnt Vendida]]</f>
        <v>1048</v>
      </c>
      <c r="J4561" s="3">
        <f>Vendas[[#This Row],[Valor da Venda]]-(_xlfn.XLOOKUP(Vendas[[#This Row],[ID Item Vendido]],Agregado[ID],Agregado[Custo])*Vendas[[#This Row],[Qnt Vendida]])</f>
        <v>168</v>
      </c>
      <c r="K4561" s="70">
        <f>Vendas[[#This Row],[Lucro da Venda]]/Vendas[[#This Row],[Valor da Venda]]</f>
        <v>0.16030534351145037</v>
      </c>
      <c r="L4561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4561"/>
    </row>
    <row r="4562" spans="1:13" x14ac:dyDescent="0.3">
      <c r="A4562" s="7">
        <v>400255</v>
      </c>
      <c r="B4562" t="str">
        <f>_xlfn.XLOOKUP(Vendas[[#This Row],[ID Vendedor]],Vendedores[ID],Vendedores[Nome])</f>
        <v>Carlos</v>
      </c>
      <c r="C4562" s="7" t="str">
        <f>_xlfn.XLOOKUP(Vendas[[#This Row],[ID Vendedor]],Vendedores[ID],Vendedores[Setor])</f>
        <v>SC</v>
      </c>
      <c r="D4562" s="7" t="s">
        <v>25</v>
      </c>
      <c r="E4562" t="str">
        <f>_xlfn.XLOOKUP(Vendas[[#This Row],[ID Item Vendido]],Agregado[ID],Agregado[Produto])</f>
        <v>Palete de plástico</v>
      </c>
      <c r="F4562" s="39">
        <v>45777</v>
      </c>
      <c r="G4562" s="7">
        <v>12</v>
      </c>
      <c r="H4562" s="3">
        <f>_xlfn.XLOOKUP(Vendas[[#This Row],[ID Item Vendido]],Agregado[ID],Agregado[Revenda])</f>
        <v>70.8</v>
      </c>
      <c r="I4562" s="3">
        <f>Vendas[[#This Row],[Valor Unitário]]*Vendas[[#This Row],[Qnt Vendida]]</f>
        <v>849.59999999999991</v>
      </c>
      <c r="J4562" s="3">
        <f>Vendas[[#This Row],[Valor da Venda]]-(_xlfn.XLOOKUP(Vendas[[#This Row],[ID Item Vendido]],Agregado[ID],Agregado[Custo])*Vendas[[#This Row],[Qnt Vendida]])</f>
        <v>129.59999999999991</v>
      </c>
      <c r="K4562" s="70">
        <f>Vendas[[#This Row],[Lucro da Venda]]/Vendas[[#This Row],[Valor da Venda]]</f>
        <v>0.15254237288135583</v>
      </c>
      <c r="L4562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4562"/>
    </row>
    <row r="4563" spans="1:13" x14ac:dyDescent="0.3">
      <c r="A4563" s="7">
        <v>400253</v>
      </c>
      <c r="B4563" t="str">
        <f>_xlfn.XLOOKUP(Vendas[[#This Row],[ID Vendedor]],Vendedores[ID],Vendedores[Nome])</f>
        <v>Gustavo</v>
      </c>
      <c r="C4563" s="7" t="str">
        <f>_xlfn.XLOOKUP(Vendas[[#This Row],[ID Vendedor]],Vendedores[ID],Vendedores[Setor])</f>
        <v>SC</v>
      </c>
      <c r="D4563" s="7" t="s">
        <v>14</v>
      </c>
      <c r="E4563" t="str">
        <f>_xlfn.XLOOKUP(Vendas[[#This Row],[ID Item Vendido]],Agregado[ID],Agregado[Produto])</f>
        <v>Barril de plástico 200L</v>
      </c>
      <c r="F4563" s="39">
        <v>45777</v>
      </c>
      <c r="G4563" s="7">
        <v>7</v>
      </c>
      <c r="H4563" s="3">
        <f>_xlfn.XLOOKUP(Vendas[[#This Row],[ID Item Vendido]],Agregado[ID],Agregado[Revenda])</f>
        <v>114</v>
      </c>
      <c r="I4563" s="3">
        <f>Vendas[[#This Row],[Valor Unitário]]*Vendas[[#This Row],[Qnt Vendida]]</f>
        <v>798</v>
      </c>
      <c r="J4563" s="3">
        <f>Vendas[[#This Row],[Valor da Venda]]-(_xlfn.XLOOKUP(Vendas[[#This Row],[ID Item Vendido]],Agregado[ID],Agregado[Custo])*Vendas[[#This Row],[Qnt Vendida]])</f>
        <v>133</v>
      </c>
      <c r="K4563" s="70">
        <f>Vendas[[#This Row],[Lucro da Venda]]/Vendas[[#This Row],[Valor da Venda]]</f>
        <v>0.16666666666666666</v>
      </c>
      <c r="L4563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4563"/>
    </row>
    <row r="4564" spans="1:13" x14ac:dyDescent="0.3">
      <c r="A4564" s="7">
        <v>400253</v>
      </c>
      <c r="B4564" t="str">
        <f>_xlfn.XLOOKUP(Vendas[[#This Row],[ID Vendedor]],Vendedores[ID],Vendedores[Nome])</f>
        <v>Gustavo</v>
      </c>
      <c r="C4564" s="7" t="str">
        <f>_xlfn.XLOOKUP(Vendas[[#This Row],[ID Vendedor]],Vendedores[ID],Vendedores[Setor])</f>
        <v>SC</v>
      </c>
      <c r="D4564" s="7" t="s">
        <v>25</v>
      </c>
      <c r="E4564" t="str">
        <f>_xlfn.XLOOKUP(Vendas[[#This Row],[ID Item Vendido]],Agregado[ID],Agregado[Produto])</f>
        <v>Palete de plástico</v>
      </c>
      <c r="F4564" s="39">
        <v>45778</v>
      </c>
      <c r="G4564" s="7">
        <v>4</v>
      </c>
      <c r="H4564" s="3">
        <f>_xlfn.XLOOKUP(Vendas[[#This Row],[ID Item Vendido]],Agregado[ID],Agregado[Revenda])</f>
        <v>70.8</v>
      </c>
      <c r="I4564" s="3">
        <f>Vendas[[#This Row],[Valor Unitário]]*Vendas[[#This Row],[Qnt Vendida]]</f>
        <v>283.2</v>
      </c>
      <c r="J4564" s="3">
        <f>Vendas[[#This Row],[Valor da Venda]]-(_xlfn.XLOOKUP(Vendas[[#This Row],[ID Item Vendido]],Agregado[ID],Agregado[Custo])*Vendas[[#This Row],[Qnt Vendida]])</f>
        <v>43.199999999999989</v>
      </c>
      <c r="K4564" s="70">
        <f>Vendas[[#This Row],[Lucro da Venda]]/Vendas[[#This Row],[Valor da Venda]]</f>
        <v>0.15254237288135589</v>
      </c>
      <c r="L4564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4564"/>
    </row>
    <row r="4565" spans="1:13" x14ac:dyDescent="0.3">
      <c r="A4565" s="7">
        <v>400242</v>
      </c>
      <c r="B4565" t="str">
        <f>_xlfn.XLOOKUP(Vendas[[#This Row],[ID Vendedor]],Vendedores[ID],Vendedores[Nome])</f>
        <v>Fernanda</v>
      </c>
      <c r="C4565" s="7" t="str">
        <f>_xlfn.XLOOKUP(Vendas[[#This Row],[ID Vendedor]],Vendedores[ID],Vendedores[Setor])</f>
        <v>FM</v>
      </c>
      <c r="D4565" s="7" t="s">
        <v>6</v>
      </c>
      <c r="E4565" t="str">
        <f>_xlfn.XLOOKUP(Vendas[[#This Row],[ID Item Vendido]],Agregado[ID],Agregado[Produto])</f>
        <v>Parafuso comum 500un</v>
      </c>
      <c r="F4565" s="39">
        <v>45778</v>
      </c>
      <c r="G4565" s="7">
        <v>9</v>
      </c>
      <c r="H4565" s="3">
        <f>_xlfn.XLOOKUP(Vendas[[#This Row],[ID Item Vendido]],Agregado[ID],Agregado[Revenda])</f>
        <v>24.6</v>
      </c>
      <c r="I4565" s="3">
        <f>Vendas[[#This Row],[Valor Unitário]]*Vendas[[#This Row],[Qnt Vendida]]</f>
        <v>221.4</v>
      </c>
      <c r="J4565" s="3">
        <f>Vendas[[#This Row],[Valor da Venda]]-(_xlfn.XLOOKUP(Vendas[[#This Row],[ID Item Vendido]],Agregado[ID],Agregado[Custo])*Vendas[[#This Row],[Qnt Vendida]])</f>
        <v>23.400000000000006</v>
      </c>
      <c r="K4565" s="70">
        <f>Vendas[[#This Row],[Lucro da Venda]]/Vendas[[#This Row],[Valor da Venda]]</f>
        <v>0.10569105691056913</v>
      </c>
      <c r="L4565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4565"/>
    </row>
    <row r="4566" spans="1:13" x14ac:dyDescent="0.3">
      <c r="A4566" s="7">
        <v>400245</v>
      </c>
      <c r="B4566" t="str">
        <f>_xlfn.XLOOKUP(Vendas[[#This Row],[ID Vendedor]],Vendedores[ID],Vendedores[Nome])</f>
        <v>Thiago</v>
      </c>
      <c r="C4566" s="7" t="str">
        <f>_xlfn.XLOOKUP(Vendas[[#This Row],[ID Vendedor]],Vendedores[ID],Vendedores[Setor])</f>
        <v>AHD</v>
      </c>
      <c r="D4566" s="7" t="s">
        <v>9</v>
      </c>
      <c r="E4566" t="str">
        <f>_xlfn.XLOOKUP(Vendas[[#This Row],[ID Item Vendido]],Agregado[ID],Agregado[Produto])</f>
        <v>Barra de aço simples</v>
      </c>
      <c r="F4566" s="39">
        <v>45779</v>
      </c>
      <c r="G4566" s="7">
        <v>60</v>
      </c>
      <c r="H4566" s="3">
        <f>_xlfn.XLOOKUP(Vendas[[#This Row],[ID Item Vendido]],Agregado[ID],Agregado[Revenda])</f>
        <v>6.7</v>
      </c>
      <c r="I4566" s="3">
        <f>Vendas[[#This Row],[Valor Unitário]]*Vendas[[#This Row],[Qnt Vendida]]</f>
        <v>402</v>
      </c>
      <c r="J4566" s="3">
        <f>Vendas[[#This Row],[Valor da Venda]]-(_xlfn.XLOOKUP(Vendas[[#This Row],[ID Item Vendido]],Agregado[ID],Agregado[Custo])*Vendas[[#This Row],[Qnt Vendida]])</f>
        <v>54</v>
      </c>
      <c r="K4566" s="70">
        <f>Vendas[[#This Row],[Lucro da Venda]]/Vendas[[#This Row],[Valor da Venda]]</f>
        <v>0.13432835820895522</v>
      </c>
      <c r="L4566" s="3">
        <f>_xlfn.IFS(Vendas[[#This Row],[Margem de Lucro (%)]]&lt;15%,Vendas[[#This Row],[Valor da Venda]]*3%,Vendas[[#This Row],[Margem de Lucro (%)]]&lt;=20%,Vendas[[#This Row],[Valor da Venda]]*4.5%,TRUE,Vendas[[#This Row],[Valor da Venda]]*6%)</f>
        <v>12.059999999999999</v>
      </c>
      <c r="M4566"/>
    </row>
    <row r="4567" spans="1:13" x14ac:dyDescent="0.3">
      <c r="A4567" s="7">
        <v>400245</v>
      </c>
      <c r="B4567" t="str">
        <f>_xlfn.XLOOKUP(Vendas[[#This Row],[ID Vendedor]],Vendedores[ID],Vendedores[Nome])</f>
        <v>Thiago</v>
      </c>
      <c r="C4567" s="7" t="str">
        <f>_xlfn.XLOOKUP(Vendas[[#This Row],[ID Vendedor]],Vendedores[ID],Vendedores[Setor])</f>
        <v>AHD</v>
      </c>
      <c r="D4567" s="7" t="s">
        <v>9</v>
      </c>
      <c r="E4567" t="str">
        <f>_xlfn.XLOOKUP(Vendas[[#This Row],[ID Item Vendido]],Agregado[ID],Agregado[Produto])</f>
        <v>Barra de aço simples</v>
      </c>
      <c r="F4567" s="39">
        <v>45779</v>
      </c>
      <c r="G4567" s="7">
        <v>59</v>
      </c>
      <c r="H4567" s="3">
        <f>_xlfn.XLOOKUP(Vendas[[#This Row],[ID Item Vendido]],Agregado[ID],Agregado[Revenda])</f>
        <v>6.7</v>
      </c>
      <c r="I4567" s="3">
        <f>Vendas[[#This Row],[Valor Unitário]]*Vendas[[#This Row],[Qnt Vendida]]</f>
        <v>395.3</v>
      </c>
      <c r="J4567" s="3">
        <f>Vendas[[#This Row],[Valor da Venda]]-(_xlfn.XLOOKUP(Vendas[[#This Row],[ID Item Vendido]],Agregado[ID],Agregado[Custo])*Vendas[[#This Row],[Qnt Vendida]])</f>
        <v>53.100000000000023</v>
      </c>
      <c r="K4567" s="70">
        <f>Vendas[[#This Row],[Lucro da Venda]]/Vendas[[#This Row],[Valor da Venda]]</f>
        <v>0.13432835820895528</v>
      </c>
      <c r="L4567" s="3">
        <f>_xlfn.IFS(Vendas[[#This Row],[Margem de Lucro (%)]]&lt;15%,Vendas[[#This Row],[Valor da Venda]]*3%,Vendas[[#This Row],[Margem de Lucro (%)]]&lt;=20%,Vendas[[#This Row],[Valor da Venda]]*4.5%,TRUE,Vendas[[#This Row],[Valor da Venda]]*6%)</f>
        <v>11.859</v>
      </c>
      <c r="M4567"/>
    </row>
    <row r="4568" spans="1:13" x14ac:dyDescent="0.3">
      <c r="A4568" s="7">
        <v>400249</v>
      </c>
      <c r="B4568" t="str">
        <f>_xlfn.XLOOKUP(Vendas[[#This Row],[ID Vendedor]],Vendedores[ID],Vendedores[Nome])</f>
        <v>Bruno</v>
      </c>
      <c r="C4568" s="7" t="str">
        <f>_xlfn.XLOOKUP(Vendas[[#This Row],[ID Vendedor]],Vendedores[ID],Vendedores[Setor])</f>
        <v>CM</v>
      </c>
      <c r="D4568" s="7" t="s">
        <v>22</v>
      </c>
      <c r="E4568" t="str">
        <f>_xlfn.XLOOKUP(Vendas[[#This Row],[ID Item Vendido]],Agregado[ID],Agregado[Produto])</f>
        <v>Painel MDP 2,75x1,83m</v>
      </c>
      <c r="F4568" s="39">
        <v>45780</v>
      </c>
      <c r="G4568" s="7">
        <v>19</v>
      </c>
      <c r="H4568" s="3">
        <f>_xlfn.XLOOKUP(Vendas[[#This Row],[ID Item Vendido]],Agregado[ID],Agregado[Revenda])</f>
        <v>119</v>
      </c>
      <c r="I4568" s="3">
        <f>Vendas[[#This Row],[Valor Unitário]]*Vendas[[#This Row],[Qnt Vendida]]</f>
        <v>2261</v>
      </c>
      <c r="J4568" s="3">
        <f>Vendas[[#This Row],[Valor da Venda]]-(_xlfn.XLOOKUP(Vendas[[#This Row],[ID Item Vendido]],Agregado[ID],Agregado[Custo])*Vendas[[#This Row],[Qnt Vendida]])</f>
        <v>456</v>
      </c>
      <c r="K4568" s="70">
        <f>Vendas[[#This Row],[Lucro da Venda]]/Vendas[[#This Row],[Valor da Venda]]</f>
        <v>0.20168067226890757</v>
      </c>
      <c r="L4568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568"/>
    </row>
    <row r="4569" spans="1:13" x14ac:dyDescent="0.3">
      <c r="A4569" s="7">
        <v>400251</v>
      </c>
      <c r="B4569" t="str">
        <f>_xlfn.XLOOKUP(Vendas[[#This Row],[ID Vendedor]],Vendedores[ID],Vendedores[Nome])</f>
        <v>Diego</v>
      </c>
      <c r="C4569" s="7" t="str">
        <f>_xlfn.XLOOKUP(Vendas[[#This Row],[ID Vendedor]],Vendedores[ID],Vendedores[Setor])</f>
        <v>AB</v>
      </c>
      <c r="D4569" s="7" t="s">
        <v>36</v>
      </c>
      <c r="E4569" t="str">
        <f>_xlfn.XLOOKUP(Vendas[[#This Row],[ID Item Vendido]],Agregado[ID],Agregado[Produto])</f>
        <v>Borracha vulcanizada em manta</v>
      </c>
      <c r="F4569" s="39">
        <v>45780</v>
      </c>
      <c r="G4569" s="7">
        <v>64</v>
      </c>
      <c r="H4569" s="3">
        <f>_xlfn.XLOOKUP(Vendas[[#This Row],[ID Item Vendido]],Agregado[ID],Agregado[Revenda])</f>
        <v>7.8</v>
      </c>
      <c r="I4569" s="3">
        <f>Vendas[[#This Row],[Valor Unitário]]*Vendas[[#This Row],[Qnt Vendida]]</f>
        <v>499.2</v>
      </c>
      <c r="J4569" s="3">
        <f>Vendas[[#This Row],[Valor da Venda]]-(_xlfn.XLOOKUP(Vendas[[#This Row],[ID Item Vendido]],Agregado[ID],Agregado[Custo])*Vendas[[#This Row],[Qnt Vendida]])</f>
        <v>115.19999999999999</v>
      </c>
      <c r="K4569" s="70">
        <f>Vendas[[#This Row],[Lucro da Venda]]/Vendas[[#This Row],[Valor da Venda]]</f>
        <v>0.23076923076923075</v>
      </c>
      <c r="L4569" s="3">
        <f>_xlfn.IFS(Vendas[[#This Row],[Margem de Lucro (%)]]&lt;15%,Vendas[[#This Row],[Valor da Venda]]*3%,Vendas[[#This Row],[Margem de Lucro (%)]]&lt;=20%,Vendas[[#This Row],[Valor da Venda]]*4.5%,TRUE,Vendas[[#This Row],[Valor da Venda]]*6%)</f>
        <v>29.951999999999998</v>
      </c>
      <c r="M4569"/>
    </row>
    <row r="4570" spans="1:13" x14ac:dyDescent="0.3">
      <c r="A4570" s="7">
        <v>400254</v>
      </c>
      <c r="B4570" t="str">
        <f>_xlfn.XLOOKUP(Vendas[[#This Row],[ID Vendedor]],Vendedores[ID],Vendedores[Nome])</f>
        <v>Beatriz</v>
      </c>
      <c r="C4570" s="7" t="str">
        <f>_xlfn.XLOOKUP(Vendas[[#This Row],[ID Vendedor]],Vendedores[ID],Vendedores[Setor])</f>
        <v>SC</v>
      </c>
      <c r="D4570" s="7" t="s">
        <v>42</v>
      </c>
      <c r="E4570" t="str">
        <f>_xlfn.XLOOKUP(Vendas[[#This Row],[ID Item Vendido]],Agregado[ID],Agregado[Produto])</f>
        <v>Container de ferro industrial</v>
      </c>
      <c r="F4570" s="39">
        <v>45781</v>
      </c>
      <c r="G4570" s="7">
        <v>2</v>
      </c>
      <c r="H4570" s="3">
        <f>_xlfn.XLOOKUP(Vendas[[#This Row],[ID Item Vendido]],Agregado[ID],Agregado[Revenda])</f>
        <v>830</v>
      </c>
      <c r="I4570" s="3">
        <f>Vendas[[#This Row],[Valor Unitário]]*Vendas[[#This Row],[Qnt Vendida]]</f>
        <v>1660</v>
      </c>
      <c r="J4570" s="3">
        <f>Vendas[[#This Row],[Valor da Venda]]-(_xlfn.XLOOKUP(Vendas[[#This Row],[ID Item Vendido]],Agregado[ID],Agregado[Custo])*Vendas[[#This Row],[Qnt Vendida]])</f>
        <v>300</v>
      </c>
      <c r="K4570" s="70">
        <f>Vendas[[#This Row],[Lucro da Venda]]/Vendas[[#This Row],[Valor da Venda]]</f>
        <v>0.18072289156626506</v>
      </c>
      <c r="L4570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570"/>
    </row>
    <row r="4571" spans="1:13" x14ac:dyDescent="0.3">
      <c r="A4571" s="7">
        <v>400246</v>
      </c>
      <c r="B4571" t="str">
        <f>_xlfn.XLOOKUP(Vendas[[#This Row],[ID Vendedor]],Vendedores[ID],Vendedores[Nome])</f>
        <v>Juliana</v>
      </c>
      <c r="C4571" s="7" t="str">
        <f>_xlfn.XLOOKUP(Vendas[[#This Row],[ID Vendedor]],Vendedores[ID],Vendedores[Setor])</f>
        <v>AHD</v>
      </c>
      <c r="D4571" s="7" t="s">
        <v>28</v>
      </c>
      <c r="E4571" t="str">
        <f>_xlfn.XLOOKUP(Vendas[[#This Row],[ID Item Vendido]],Agregado[ID],Agregado[Produto])</f>
        <v>Peça usinada CNC</v>
      </c>
      <c r="F4571" s="39">
        <v>45781</v>
      </c>
      <c r="G4571" s="7">
        <v>7</v>
      </c>
      <c r="H4571" s="3">
        <f>_xlfn.XLOOKUP(Vendas[[#This Row],[ID Item Vendido]],Agregado[ID],Agregado[Revenda])</f>
        <v>192</v>
      </c>
      <c r="I4571" s="3">
        <f>Vendas[[#This Row],[Valor Unitário]]*Vendas[[#This Row],[Qnt Vendida]]</f>
        <v>1344</v>
      </c>
      <c r="J4571" s="3">
        <f>Vendas[[#This Row],[Valor da Venda]]-(_xlfn.XLOOKUP(Vendas[[#This Row],[ID Item Vendido]],Agregado[ID],Agregado[Custo])*Vendas[[#This Row],[Qnt Vendida]])</f>
        <v>294</v>
      </c>
      <c r="K4571" s="70">
        <f>Vendas[[#This Row],[Lucro da Venda]]/Vendas[[#This Row],[Valor da Venda]]</f>
        <v>0.21875</v>
      </c>
      <c r="L4571" s="3">
        <f>_xlfn.IFS(Vendas[[#This Row],[Margem de Lucro (%)]]&lt;15%,Vendas[[#This Row],[Valor da Venda]]*3%,Vendas[[#This Row],[Margem de Lucro (%)]]&lt;=20%,Vendas[[#This Row],[Valor da Venda]]*4.5%,TRUE,Vendas[[#This Row],[Valor da Venda]]*6%)</f>
        <v>80.64</v>
      </c>
      <c r="M4571"/>
    </row>
    <row r="4572" spans="1:13" x14ac:dyDescent="0.3">
      <c r="A4572" s="7">
        <v>400252</v>
      </c>
      <c r="B4572" t="str">
        <f>_xlfn.XLOOKUP(Vendas[[#This Row],[ID Vendedor]],Vendedores[ID],Vendedores[Nome])</f>
        <v>Renata</v>
      </c>
      <c r="C4572" s="7" t="str">
        <f>_xlfn.XLOOKUP(Vendas[[#This Row],[ID Vendedor]],Vendedores[ID],Vendedores[Setor])</f>
        <v>AB</v>
      </c>
      <c r="D4572" s="7" t="s">
        <v>12</v>
      </c>
      <c r="E4572" t="str">
        <f>_xlfn.XLOOKUP(Vendas[[#This Row],[ID Item Vendido]],Agregado[ID],Agregado[Produto])</f>
        <v>Grânulo de plástico reciclado refinado</v>
      </c>
      <c r="F4572" s="39">
        <v>45781</v>
      </c>
      <c r="G4572" s="7">
        <v>14</v>
      </c>
      <c r="H4572" s="3">
        <f>_xlfn.XLOOKUP(Vendas[[#This Row],[ID Item Vendido]],Agregado[ID],Agregado[Revenda])</f>
        <v>4.7</v>
      </c>
      <c r="I4572" s="3">
        <f>Vendas[[#This Row],[Valor Unitário]]*Vendas[[#This Row],[Qnt Vendida]]</f>
        <v>65.8</v>
      </c>
      <c r="J4572" s="3">
        <f>Vendas[[#This Row],[Valor da Venda]]-(_xlfn.XLOOKUP(Vendas[[#This Row],[ID Item Vendido]],Agregado[ID],Agregado[Custo])*Vendas[[#This Row],[Qnt Vendida]])</f>
        <v>16.799999999999997</v>
      </c>
      <c r="K4572" s="70">
        <f>Vendas[[#This Row],[Lucro da Venda]]/Vendas[[#This Row],[Valor da Venda]]</f>
        <v>0.25531914893617019</v>
      </c>
      <c r="L4572" s="3">
        <f>_xlfn.IFS(Vendas[[#This Row],[Margem de Lucro (%)]]&lt;15%,Vendas[[#This Row],[Valor da Venda]]*3%,Vendas[[#This Row],[Margem de Lucro (%)]]&lt;=20%,Vendas[[#This Row],[Valor da Venda]]*4.5%,TRUE,Vendas[[#This Row],[Valor da Venda]]*6%)</f>
        <v>3.9479999999999995</v>
      </c>
      <c r="M4572"/>
    </row>
    <row r="4573" spans="1:13" x14ac:dyDescent="0.3">
      <c r="A4573" s="7">
        <v>400252</v>
      </c>
      <c r="B4573" t="str">
        <f>_xlfn.XLOOKUP(Vendas[[#This Row],[ID Vendedor]],Vendedores[ID],Vendedores[Nome])</f>
        <v>Renata</v>
      </c>
      <c r="C4573" s="7" t="str">
        <f>_xlfn.XLOOKUP(Vendas[[#This Row],[ID Vendedor]],Vendedores[ID],Vendedores[Setor])</f>
        <v>AB</v>
      </c>
      <c r="D4573" s="7" t="s">
        <v>12</v>
      </c>
      <c r="E4573" t="str">
        <f>_xlfn.XLOOKUP(Vendas[[#This Row],[ID Item Vendido]],Agregado[ID],Agregado[Produto])</f>
        <v>Grânulo de plástico reciclado refinado</v>
      </c>
      <c r="F4573" s="39">
        <v>45782</v>
      </c>
      <c r="G4573" s="7">
        <v>142</v>
      </c>
      <c r="H4573" s="3">
        <f>_xlfn.XLOOKUP(Vendas[[#This Row],[ID Item Vendido]],Agregado[ID],Agregado[Revenda])</f>
        <v>4.7</v>
      </c>
      <c r="I4573" s="3">
        <f>Vendas[[#This Row],[Valor Unitário]]*Vendas[[#This Row],[Qnt Vendida]]</f>
        <v>667.4</v>
      </c>
      <c r="J4573" s="3">
        <f>Vendas[[#This Row],[Valor da Venda]]-(_xlfn.XLOOKUP(Vendas[[#This Row],[ID Item Vendido]],Agregado[ID],Agregado[Custo])*Vendas[[#This Row],[Qnt Vendida]])</f>
        <v>170.39999999999998</v>
      </c>
      <c r="K4573" s="70">
        <f>Vendas[[#This Row],[Lucro da Venda]]/Vendas[[#This Row],[Valor da Venda]]</f>
        <v>0.25531914893617019</v>
      </c>
      <c r="L4573" s="3">
        <f>_xlfn.IFS(Vendas[[#This Row],[Margem de Lucro (%)]]&lt;15%,Vendas[[#This Row],[Valor da Venda]]*3%,Vendas[[#This Row],[Margem de Lucro (%)]]&lt;=20%,Vendas[[#This Row],[Valor da Venda]]*4.5%,TRUE,Vendas[[#This Row],[Valor da Venda]]*6%)</f>
        <v>40.043999999999997</v>
      </c>
      <c r="M4573"/>
    </row>
    <row r="4574" spans="1:13" x14ac:dyDescent="0.3">
      <c r="A4574" s="7">
        <v>400241</v>
      </c>
      <c r="B4574" t="str">
        <f>_xlfn.XLOOKUP(Vendas[[#This Row],[ID Vendedor]],Vendedores[ID],Vendedores[Nome])</f>
        <v>Rodrigo</v>
      </c>
      <c r="C4574" s="7" t="str">
        <f>_xlfn.XLOOKUP(Vendas[[#This Row],[ID Vendedor]],Vendedores[ID],Vendedores[Setor])</f>
        <v>FM</v>
      </c>
      <c r="D4574" s="7" t="s">
        <v>31</v>
      </c>
      <c r="E4574" t="str">
        <f>_xlfn.XLOOKUP(Vendas[[#This Row],[ID Item Vendido]],Agregado[ID],Agregado[Produto])</f>
        <v>Tela de metal soldada rolo 2x25m</v>
      </c>
      <c r="F4574" s="39">
        <v>45782</v>
      </c>
      <c r="G4574" s="7">
        <v>14</v>
      </c>
      <c r="H4574" s="3">
        <f>_xlfn.XLOOKUP(Vendas[[#This Row],[ID Item Vendido]],Agregado[ID],Agregado[Revenda])</f>
        <v>43.7</v>
      </c>
      <c r="I4574" s="3">
        <f>Vendas[[#This Row],[Valor Unitário]]*Vendas[[#This Row],[Qnt Vendida]]</f>
        <v>611.80000000000007</v>
      </c>
      <c r="J4574" s="3">
        <f>Vendas[[#This Row],[Valor da Venda]]-(_xlfn.XLOOKUP(Vendas[[#This Row],[ID Item Vendido]],Agregado[ID],Agregado[Custo])*Vendas[[#This Row],[Qnt Vendida]])</f>
        <v>79.800000000000068</v>
      </c>
      <c r="K4574" s="70">
        <f>Vendas[[#This Row],[Lucro da Venda]]/Vendas[[#This Row],[Valor da Venda]]</f>
        <v>0.13043478260869576</v>
      </c>
      <c r="L4574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4574"/>
    </row>
    <row r="4575" spans="1:13" x14ac:dyDescent="0.3">
      <c r="A4575" s="7">
        <v>400247</v>
      </c>
      <c r="B4575" t="str">
        <f>_xlfn.XLOOKUP(Vendas[[#This Row],[ID Vendedor]],Vendedores[ID],Vendedores[Nome])</f>
        <v>André</v>
      </c>
      <c r="C4575" s="7" t="str">
        <f>_xlfn.XLOOKUP(Vendas[[#This Row],[ID Vendedor]],Vendedores[ID],Vendedores[Setor])</f>
        <v>CM</v>
      </c>
      <c r="D4575" s="7" t="s">
        <v>34</v>
      </c>
      <c r="E4575" t="str">
        <f>_xlfn.XLOOKUP(Vendas[[#This Row],[ID Item Vendido]],Agregado[ID],Agregado[Produto])</f>
        <v>Restos de madeira p/ MDP/OSB saco de 20kg</v>
      </c>
      <c r="F4575" s="39">
        <v>45782</v>
      </c>
      <c r="G4575" s="7">
        <v>15</v>
      </c>
      <c r="H4575" s="3">
        <f>_xlfn.XLOOKUP(Vendas[[#This Row],[ID Item Vendido]],Agregado[ID],Agregado[Revenda])</f>
        <v>13.8</v>
      </c>
      <c r="I4575" s="3">
        <f>Vendas[[#This Row],[Valor Unitário]]*Vendas[[#This Row],[Qnt Vendida]]</f>
        <v>207</v>
      </c>
      <c r="J4575" s="3">
        <f>Vendas[[#This Row],[Valor da Venda]]-(_xlfn.XLOOKUP(Vendas[[#This Row],[ID Item Vendido]],Agregado[ID],Agregado[Custo])*Vendas[[#This Row],[Qnt Vendida]])</f>
        <v>27</v>
      </c>
      <c r="K4575" s="70">
        <f>Vendas[[#This Row],[Lucro da Venda]]/Vendas[[#This Row],[Valor da Venda]]</f>
        <v>0.13043478260869565</v>
      </c>
      <c r="L4575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4575"/>
    </row>
    <row r="4576" spans="1:13" x14ac:dyDescent="0.3">
      <c r="A4576" s="7">
        <v>400249</v>
      </c>
      <c r="B4576" t="str">
        <f>_xlfn.XLOOKUP(Vendas[[#This Row],[ID Vendedor]],Vendedores[ID],Vendedores[Nome])</f>
        <v>Bruno</v>
      </c>
      <c r="C4576" s="7" t="str">
        <f>_xlfn.XLOOKUP(Vendas[[#This Row],[ID Vendedor]],Vendedores[ID],Vendedores[Setor])</f>
        <v>CM</v>
      </c>
      <c r="D4576" s="7" t="s">
        <v>32</v>
      </c>
      <c r="E4576" t="str">
        <f>_xlfn.XLOOKUP(Vendas[[#This Row],[ID Item Vendido]],Agregado[ID],Agregado[Produto])</f>
        <v>Tábua tratada e cortada 3m</v>
      </c>
      <c r="F4576" s="39">
        <v>45783</v>
      </c>
      <c r="G4576" s="7">
        <v>41</v>
      </c>
      <c r="H4576" s="3">
        <f>_xlfn.XLOOKUP(Vendas[[#This Row],[ID Item Vendido]],Agregado[ID],Agregado[Revenda])</f>
        <v>39</v>
      </c>
      <c r="I4576" s="3">
        <f>Vendas[[#This Row],[Valor Unitário]]*Vendas[[#This Row],[Qnt Vendida]]</f>
        <v>1599</v>
      </c>
      <c r="J4576" s="3">
        <f>Vendas[[#This Row],[Valor da Venda]]-(_xlfn.XLOOKUP(Vendas[[#This Row],[ID Item Vendido]],Agregado[ID],Agregado[Custo])*Vendas[[#This Row],[Qnt Vendida]])</f>
        <v>287</v>
      </c>
      <c r="K4576" s="70">
        <f>Vendas[[#This Row],[Lucro da Venda]]/Vendas[[#This Row],[Valor da Venda]]</f>
        <v>0.17948717948717949</v>
      </c>
      <c r="L4576" s="3">
        <f>_xlfn.IFS(Vendas[[#This Row],[Margem de Lucro (%)]]&lt;15%,Vendas[[#This Row],[Valor da Venda]]*3%,Vendas[[#This Row],[Margem de Lucro (%)]]&lt;=20%,Vendas[[#This Row],[Valor da Venda]]*4.5%,TRUE,Vendas[[#This Row],[Valor da Venda]]*6%)</f>
        <v>71.954999999999998</v>
      </c>
      <c r="M4576"/>
    </row>
    <row r="4577" spans="1:13" x14ac:dyDescent="0.3">
      <c r="A4577" s="7">
        <v>400242</v>
      </c>
      <c r="B4577" t="str">
        <f>_xlfn.XLOOKUP(Vendas[[#This Row],[ID Vendedor]],Vendedores[ID],Vendedores[Nome])</f>
        <v>Fernanda</v>
      </c>
      <c r="C4577" s="7" t="str">
        <f>_xlfn.XLOOKUP(Vendas[[#This Row],[ID Vendedor]],Vendedores[ID],Vendedores[Setor])</f>
        <v>FM</v>
      </c>
      <c r="D4577" s="7" t="s">
        <v>27</v>
      </c>
      <c r="E4577" t="str">
        <f>_xlfn.XLOOKUP(Vendas[[#This Row],[ID Item Vendido]],Agregado[ID],Agregado[Produto])</f>
        <v>Chapa de metal lisa 1x2m</v>
      </c>
      <c r="F4577" s="39">
        <v>45783</v>
      </c>
      <c r="G4577" s="7">
        <v>24</v>
      </c>
      <c r="H4577" s="3">
        <f>_xlfn.XLOOKUP(Vendas[[#This Row],[ID Item Vendido]],Agregado[ID],Agregado[Revenda])</f>
        <v>52</v>
      </c>
      <c r="I4577" s="3">
        <f>Vendas[[#This Row],[Valor Unitário]]*Vendas[[#This Row],[Qnt Vendida]]</f>
        <v>1248</v>
      </c>
      <c r="J4577" s="3">
        <f>Vendas[[#This Row],[Valor da Venda]]-(_xlfn.XLOOKUP(Vendas[[#This Row],[ID Item Vendido]],Agregado[ID],Agregado[Custo])*Vendas[[#This Row],[Qnt Vendida]])</f>
        <v>168</v>
      </c>
      <c r="K4577" s="70">
        <f>Vendas[[#This Row],[Lucro da Venda]]/Vendas[[#This Row],[Valor da Venda]]</f>
        <v>0.13461538461538461</v>
      </c>
      <c r="L4577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4577"/>
    </row>
    <row r="4578" spans="1:13" x14ac:dyDescent="0.3">
      <c r="A4578" s="7">
        <v>400250</v>
      </c>
      <c r="B4578" t="str">
        <f>_xlfn.XLOOKUP(Vendas[[#This Row],[ID Vendedor]],Vendedores[ID],Vendedores[Nome])</f>
        <v>Larissa</v>
      </c>
      <c r="C4578" s="7" t="str">
        <f>_xlfn.XLOOKUP(Vendas[[#This Row],[ID Vendedor]],Vendedores[ID],Vendedores[Setor])</f>
        <v>AB</v>
      </c>
      <c r="D4578" s="7" t="s">
        <v>39</v>
      </c>
      <c r="E4578" t="str">
        <f>_xlfn.XLOOKUP(Vendas[[#This Row],[ID Item Vendido]],Agregado[ID],Agregado[Produto])</f>
        <v>Filme plástico industrial rolo 50m</v>
      </c>
      <c r="F4578" s="39">
        <v>45783</v>
      </c>
      <c r="G4578" s="7">
        <v>9</v>
      </c>
      <c r="H4578" s="3">
        <f>_xlfn.XLOOKUP(Vendas[[#This Row],[ID Item Vendido]],Agregado[ID],Agregado[Revenda])</f>
        <v>37</v>
      </c>
      <c r="I4578" s="3">
        <f>Vendas[[#This Row],[Valor Unitário]]*Vendas[[#This Row],[Qnt Vendida]]</f>
        <v>333</v>
      </c>
      <c r="J4578" s="3">
        <f>Vendas[[#This Row],[Valor da Venda]]-(_xlfn.XLOOKUP(Vendas[[#This Row],[ID Item Vendido]],Agregado[ID],Agregado[Custo])*Vendas[[#This Row],[Qnt Vendida]])</f>
        <v>81</v>
      </c>
      <c r="K4578" s="70">
        <f>Vendas[[#This Row],[Lucro da Venda]]/Vendas[[#This Row],[Valor da Venda]]</f>
        <v>0.24324324324324326</v>
      </c>
      <c r="L4578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4578"/>
    </row>
    <row r="4579" spans="1:13" x14ac:dyDescent="0.3">
      <c r="A4579" s="7">
        <v>400252</v>
      </c>
      <c r="B4579" t="str">
        <f>_xlfn.XLOOKUP(Vendas[[#This Row],[ID Vendedor]],Vendedores[ID],Vendedores[Nome])</f>
        <v>Renata</v>
      </c>
      <c r="C4579" s="7" t="str">
        <f>_xlfn.XLOOKUP(Vendas[[#This Row],[ID Vendedor]],Vendedores[ID],Vendedores[Setor])</f>
        <v>AB</v>
      </c>
      <c r="D4579" s="7" t="s">
        <v>12</v>
      </c>
      <c r="E4579" t="str">
        <f>_xlfn.XLOOKUP(Vendas[[#This Row],[ID Item Vendido]],Agregado[ID],Agregado[Produto])</f>
        <v>Grânulo de plástico reciclado refinado</v>
      </c>
      <c r="F4579" s="39">
        <v>45784</v>
      </c>
      <c r="G4579" s="7">
        <v>78</v>
      </c>
      <c r="H4579" s="3">
        <f>_xlfn.XLOOKUP(Vendas[[#This Row],[ID Item Vendido]],Agregado[ID],Agregado[Revenda])</f>
        <v>4.7</v>
      </c>
      <c r="I4579" s="3">
        <f>Vendas[[#This Row],[Valor Unitário]]*Vendas[[#This Row],[Qnt Vendida]]</f>
        <v>366.6</v>
      </c>
      <c r="J4579" s="3">
        <f>Vendas[[#This Row],[Valor da Venda]]-(_xlfn.XLOOKUP(Vendas[[#This Row],[ID Item Vendido]],Agregado[ID],Agregado[Custo])*Vendas[[#This Row],[Qnt Vendida]])</f>
        <v>93.600000000000023</v>
      </c>
      <c r="K4579" s="70">
        <f>Vendas[[#This Row],[Lucro da Venda]]/Vendas[[#This Row],[Valor da Venda]]</f>
        <v>0.25531914893617025</v>
      </c>
      <c r="L4579" s="3">
        <f>_xlfn.IFS(Vendas[[#This Row],[Margem de Lucro (%)]]&lt;15%,Vendas[[#This Row],[Valor da Venda]]*3%,Vendas[[#This Row],[Margem de Lucro (%)]]&lt;=20%,Vendas[[#This Row],[Valor da Venda]]*4.5%,TRUE,Vendas[[#This Row],[Valor da Venda]]*6%)</f>
        <v>21.996000000000002</v>
      </c>
      <c r="M4579"/>
    </row>
    <row r="4580" spans="1:13" x14ac:dyDescent="0.3">
      <c r="A4580" s="7">
        <v>400249</v>
      </c>
      <c r="B4580" t="str">
        <f>_xlfn.XLOOKUP(Vendas[[#This Row],[ID Vendedor]],Vendedores[ID],Vendedores[Nome])</f>
        <v>Bruno</v>
      </c>
      <c r="C4580" s="7" t="str">
        <f>_xlfn.XLOOKUP(Vendas[[#This Row],[ID Vendedor]],Vendedores[ID],Vendedores[Setor])</f>
        <v>CM</v>
      </c>
      <c r="D4580" s="7" t="s">
        <v>32</v>
      </c>
      <c r="E4580" t="str">
        <f>_xlfn.XLOOKUP(Vendas[[#This Row],[ID Item Vendido]],Agregado[ID],Agregado[Produto])</f>
        <v>Tábua tratada e cortada 3m</v>
      </c>
      <c r="F4580" s="39">
        <v>45785</v>
      </c>
      <c r="G4580" s="7">
        <v>23</v>
      </c>
      <c r="H4580" s="3">
        <f>_xlfn.XLOOKUP(Vendas[[#This Row],[ID Item Vendido]],Agregado[ID],Agregado[Revenda])</f>
        <v>39</v>
      </c>
      <c r="I4580" s="3">
        <f>Vendas[[#This Row],[Valor Unitário]]*Vendas[[#This Row],[Qnt Vendida]]</f>
        <v>897</v>
      </c>
      <c r="J4580" s="3">
        <f>Vendas[[#This Row],[Valor da Venda]]-(_xlfn.XLOOKUP(Vendas[[#This Row],[ID Item Vendido]],Agregado[ID],Agregado[Custo])*Vendas[[#This Row],[Qnt Vendida]])</f>
        <v>161</v>
      </c>
      <c r="K4580" s="70">
        <f>Vendas[[#This Row],[Lucro da Venda]]/Vendas[[#This Row],[Valor da Venda]]</f>
        <v>0.17948717948717949</v>
      </c>
      <c r="L4580" s="3">
        <f>_xlfn.IFS(Vendas[[#This Row],[Margem de Lucro (%)]]&lt;15%,Vendas[[#This Row],[Valor da Venda]]*3%,Vendas[[#This Row],[Margem de Lucro (%)]]&lt;=20%,Vendas[[#This Row],[Valor da Venda]]*4.5%,TRUE,Vendas[[#This Row],[Valor da Venda]]*6%)</f>
        <v>40.365000000000002</v>
      </c>
      <c r="M4580"/>
    </row>
    <row r="4581" spans="1:13" x14ac:dyDescent="0.3">
      <c r="A4581" s="7">
        <v>400251</v>
      </c>
      <c r="B4581" t="str">
        <f>_xlfn.XLOOKUP(Vendas[[#This Row],[ID Vendedor]],Vendedores[ID],Vendedores[Nome])</f>
        <v>Diego</v>
      </c>
      <c r="C4581" s="7" t="str">
        <f>_xlfn.XLOOKUP(Vendas[[#This Row],[ID Vendedor]],Vendedores[ID],Vendedores[Setor])</f>
        <v>AB</v>
      </c>
      <c r="D4581" s="7" t="s">
        <v>36</v>
      </c>
      <c r="E4581" t="str">
        <f>_xlfn.XLOOKUP(Vendas[[#This Row],[ID Item Vendido]],Agregado[ID],Agregado[Produto])</f>
        <v>Borracha vulcanizada em manta</v>
      </c>
      <c r="F4581" s="39">
        <v>45785</v>
      </c>
      <c r="G4581" s="7">
        <v>11</v>
      </c>
      <c r="H4581" s="3">
        <f>_xlfn.XLOOKUP(Vendas[[#This Row],[ID Item Vendido]],Agregado[ID],Agregado[Revenda])</f>
        <v>7.8</v>
      </c>
      <c r="I4581" s="3">
        <f>Vendas[[#This Row],[Valor Unitário]]*Vendas[[#This Row],[Qnt Vendida]]</f>
        <v>85.8</v>
      </c>
      <c r="J4581" s="3">
        <f>Vendas[[#This Row],[Valor da Venda]]-(_xlfn.XLOOKUP(Vendas[[#This Row],[ID Item Vendido]],Agregado[ID],Agregado[Custo])*Vendas[[#This Row],[Qnt Vendida]])</f>
        <v>19.799999999999997</v>
      </c>
      <c r="K4581" s="70">
        <f>Vendas[[#This Row],[Lucro da Venda]]/Vendas[[#This Row],[Valor da Venda]]</f>
        <v>0.23076923076923075</v>
      </c>
      <c r="L4581" s="3">
        <f>_xlfn.IFS(Vendas[[#This Row],[Margem de Lucro (%)]]&lt;15%,Vendas[[#This Row],[Valor da Venda]]*3%,Vendas[[#This Row],[Margem de Lucro (%)]]&lt;=20%,Vendas[[#This Row],[Valor da Venda]]*4.5%,TRUE,Vendas[[#This Row],[Valor da Venda]]*6%)</f>
        <v>5.1479999999999997</v>
      </c>
      <c r="M4581"/>
    </row>
    <row r="4582" spans="1:13" x14ac:dyDescent="0.3">
      <c r="A4582" s="7">
        <v>400254</v>
      </c>
      <c r="B4582" t="str">
        <f>_xlfn.XLOOKUP(Vendas[[#This Row],[ID Vendedor]],Vendedores[ID],Vendedores[Nome])</f>
        <v>Beatriz</v>
      </c>
      <c r="C4582" s="7" t="str">
        <f>_xlfn.XLOOKUP(Vendas[[#This Row],[ID Vendedor]],Vendedores[ID],Vendedores[Setor])</f>
        <v>SC</v>
      </c>
      <c r="D4582" s="7" t="s">
        <v>14</v>
      </c>
      <c r="E4582" t="str">
        <f>_xlfn.XLOOKUP(Vendas[[#This Row],[ID Item Vendido]],Agregado[ID],Agregado[Produto])</f>
        <v>Barril de plástico 200L</v>
      </c>
      <c r="F4582" s="39">
        <v>45786</v>
      </c>
      <c r="G4582" s="7">
        <v>11</v>
      </c>
      <c r="H4582" s="3">
        <f>_xlfn.XLOOKUP(Vendas[[#This Row],[ID Item Vendido]],Agregado[ID],Agregado[Revenda])</f>
        <v>114</v>
      </c>
      <c r="I4582" s="3">
        <f>Vendas[[#This Row],[Valor Unitário]]*Vendas[[#This Row],[Qnt Vendida]]</f>
        <v>1254</v>
      </c>
      <c r="J4582" s="3">
        <f>Vendas[[#This Row],[Valor da Venda]]-(_xlfn.XLOOKUP(Vendas[[#This Row],[ID Item Vendido]],Agregado[ID],Agregado[Custo])*Vendas[[#This Row],[Qnt Vendida]])</f>
        <v>209</v>
      </c>
      <c r="K4582" s="70">
        <f>Vendas[[#This Row],[Lucro da Venda]]/Vendas[[#This Row],[Valor da Venda]]</f>
        <v>0.16666666666666666</v>
      </c>
      <c r="L4582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4582"/>
    </row>
    <row r="4583" spans="1:13" x14ac:dyDescent="0.3">
      <c r="A4583" s="7">
        <v>400246</v>
      </c>
      <c r="B4583" t="str">
        <f>_xlfn.XLOOKUP(Vendas[[#This Row],[ID Vendedor]],Vendedores[ID],Vendedores[Nome])</f>
        <v>Juliana</v>
      </c>
      <c r="C4583" s="7" t="str">
        <f>_xlfn.XLOOKUP(Vendas[[#This Row],[ID Vendedor]],Vendedores[ID],Vendedores[Setor])</f>
        <v>AHD</v>
      </c>
      <c r="D4583" s="7" t="s">
        <v>28</v>
      </c>
      <c r="E4583" t="str">
        <f>_xlfn.XLOOKUP(Vendas[[#This Row],[ID Item Vendido]],Agregado[ID],Agregado[Produto])</f>
        <v>Peça usinada CNC</v>
      </c>
      <c r="F4583" s="39">
        <v>45786</v>
      </c>
      <c r="G4583" s="7">
        <v>2</v>
      </c>
      <c r="H4583" s="3">
        <f>_xlfn.XLOOKUP(Vendas[[#This Row],[ID Item Vendido]],Agregado[ID],Agregado[Revenda])</f>
        <v>192</v>
      </c>
      <c r="I4583" s="3">
        <f>Vendas[[#This Row],[Valor Unitário]]*Vendas[[#This Row],[Qnt Vendida]]</f>
        <v>384</v>
      </c>
      <c r="J4583" s="3">
        <f>Vendas[[#This Row],[Valor da Venda]]-(_xlfn.XLOOKUP(Vendas[[#This Row],[ID Item Vendido]],Agregado[ID],Agregado[Custo])*Vendas[[#This Row],[Qnt Vendida]])</f>
        <v>84</v>
      </c>
      <c r="K4583" s="70">
        <f>Vendas[[#This Row],[Lucro da Venda]]/Vendas[[#This Row],[Valor da Venda]]</f>
        <v>0.21875</v>
      </c>
      <c r="L4583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4583"/>
    </row>
    <row r="4584" spans="1:13" x14ac:dyDescent="0.3">
      <c r="A4584" s="7">
        <v>400248</v>
      </c>
      <c r="B4584" t="str">
        <f>_xlfn.XLOOKUP(Vendas[[#This Row],[ID Vendedor]],Vendedores[ID],Vendedores[Nome])</f>
        <v>Patrícia</v>
      </c>
      <c r="C4584" s="7" t="str">
        <f>_xlfn.XLOOKUP(Vendas[[#This Row],[ID Vendedor]],Vendedores[ID],Vendedores[Setor])</f>
        <v>CM</v>
      </c>
      <c r="D4584" s="7" t="s">
        <v>34</v>
      </c>
      <c r="E4584" t="str">
        <f>_xlfn.XLOOKUP(Vendas[[#This Row],[ID Item Vendido]],Agregado[ID],Agregado[Produto])</f>
        <v>Restos de madeira p/ MDP/OSB saco de 20kg</v>
      </c>
      <c r="F4584" s="39">
        <v>45786</v>
      </c>
      <c r="G4584" s="7">
        <v>7</v>
      </c>
      <c r="H4584" s="3">
        <f>_xlfn.XLOOKUP(Vendas[[#This Row],[ID Item Vendido]],Agregado[ID],Agregado[Revenda])</f>
        <v>13.8</v>
      </c>
      <c r="I4584" s="3">
        <f>Vendas[[#This Row],[Valor Unitário]]*Vendas[[#This Row],[Qnt Vendida]]</f>
        <v>96.600000000000009</v>
      </c>
      <c r="J4584" s="3">
        <f>Vendas[[#This Row],[Valor da Venda]]-(_xlfn.XLOOKUP(Vendas[[#This Row],[ID Item Vendido]],Agregado[ID],Agregado[Custo])*Vendas[[#This Row],[Qnt Vendida]])</f>
        <v>12.600000000000009</v>
      </c>
      <c r="K4584" s="70">
        <f>Vendas[[#This Row],[Lucro da Venda]]/Vendas[[#This Row],[Valor da Venda]]</f>
        <v>0.13043478260869573</v>
      </c>
      <c r="L4584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4584"/>
    </row>
    <row r="4585" spans="1:13" x14ac:dyDescent="0.3">
      <c r="A4585" s="7">
        <v>400244</v>
      </c>
      <c r="B4585" t="str">
        <f>_xlfn.XLOOKUP(Vendas[[#This Row],[ID Vendedor]],Vendedores[ID],Vendedores[Nome])</f>
        <v>Camila</v>
      </c>
      <c r="C4585" s="7" t="str">
        <f>_xlfn.XLOOKUP(Vendas[[#This Row],[ID Vendedor]],Vendedores[ID],Vendedores[Setor])</f>
        <v>AHD</v>
      </c>
      <c r="D4585" s="7" t="s">
        <v>30</v>
      </c>
      <c r="E4585" t="str">
        <f>_xlfn.XLOOKUP(Vendas[[#This Row],[ID Item Vendido]],Agregado[ID],Agregado[Produto])</f>
        <v>Estrutura metálica soldada</v>
      </c>
      <c r="F4585" s="39">
        <v>45787</v>
      </c>
      <c r="G4585" s="7">
        <v>8</v>
      </c>
      <c r="H4585" s="3">
        <f>_xlfn.XLOOKUP(Vendas[[#This Row],[ID Item Vendido]],Agregado[ID],Agregado[Revenda])</f>
        <v>400</v>
      </c>
      <c r="I4585" s="3">
        <f>Vendas[[#This Row],[Valor Unitário]]*Vendas[[#This Row],[Qnt Vendida]]</f>
        <v>3200</v>
      </c>
      <c r="J4585" s="3">
        <f>Vendas[[#This Row],[Valor da Venda]]-(_xlfn.XLOOKUP(Vendas[[#This Row],[ID Item Vendido]],Agregado[ID],Agregado[Custo])*Vendas[[#This Row],[Qnt Vendida]])</f>
        <v>640</v>
      </c>
      <c r="K4585" s="70">
        <f>Vendas[[#This Row],[Lucro da Venda]]/Vendas[[#This Row],[Valor da Venda]]</f>
        <v>0.2</v>
      </c>
      <c r="L458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585"/>
    </row>
    <row r="4586" spans="1:13" x14ac:dyDescent="0.3">
      <c r="A4586" s="7">
        <v>400241</v>
      </c>
      <c r="B4586" t="str">
        <f>_xlfn.XLOOKUP(Vendas[[#This Row],[ID Vendedor]],Vendedores[ID],Vendedores[Nome])</f>
        <v>Rodrigo</v>
      </c>
      <c r="C4586" s="7" t="str">
        <f>_xlfn.XLOOKUP(Vendas[[#This Row],[ID Vendedor]],Vendedores[ID],Vendedores[Setor])</f>
        <v>FM</v>
      </c>
      <c r="D4586" s="7" t="s">
        <v>6</v>
      </c>
      <c r="E4586" t="str">
        <f>_xlfn.XLOOKUP(Vendas[[#This Row],[ID Item Vendido]],Agregado[ID],Agregado[Produto])</f>
        <v>Parafuso comum 500un</v>
      </c>
      <c r="F4586" s="39">
        <v>45787</v>
      </c>
      <c r="G4586" s="7">
        <v>13</v>
      </c>
      <c r="H4586" s="3">
        <f>_xlfn.XLOOKUP(Vendas[[#This Row],[ID Item Vendido]],Agregado[ID],Agregado[Revenda])</f>
        <v>24.6</v>
      </c>
      <c r="I4586" s="3">
        <f>Vendas[[#This Row],[Valor Unitário]]*Vendas[[#This Row],[Qnt Vendida]]</f>
        <v>319.8</v>
      </c>
      <c r="J4586" s="3">
        <f>Vendas[[#This Row],[Valor da Venda]]-(_xlfn.XLOOKUP(Vendas[[#This Row],[ID Item Vendido]],Agregado[ID],Agregado[Custo])*Vendas[[#This Row],[Qnt Vendida]])</f>
        <v>33.800000000000011</v>
      </c>
      <c r="K4586" s="70">
        <f>Vendas[[#This Row],[Lucro da Venda]]/Vendas[[#This Row],[Valor da Venda]]</f>
        <v>0.10569105691056914</v>
      </c>
      <c r="L4586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4586"/>
    </row>
    <row r="4587" spans="1:13" x14ac:dyDescent="0.3">
      <c r="A4587" s="7">
        <v>400252</v>
      </c>
      <c r="B4587" t="str">
        <f>_xlfn.XLOOKUP(Vendas[[#This Row],[ID Vendedor]],Vendedores[ID],Vendedores[Nome])</f>
        <v>Renata</v>
      </c>
      <c r="C4587" s="7" t="str">
        <f>_xlfn.XLOOKUP(Vendas[[#This Row],[ID Vendedor]],Vendedores[ID],Vendedores[Setor])</f>
        <v>AB</v>
      </c>
      <c r="D4587" s="7" t="s">
        <v>12</v>
      </c>
      <c r="E4587" t="str">
        <f>_xlfn.XLOOKUP(Vendas[[#This Row],[ID Item Vendido]],Agregado[ID],Agregado[Produto])</f>
        <v>Grânulo de plástico reciclado refinado</v>
      </c>
      <c r="F4587" s="39">
        <v>45787</v>
      </c>
      <c r="G4587" s="7">
        <v>65</v>
      </c>
      <c r="H4587" s="3">
        <f>_xlfn.XLOOKUP(Vendas[[#This Row],[ID Item Vendido]],Agregado[ID],Agregado[Revenda])</f>
        <v>4.7</v>
      </c>
      <c r="I4587" s="3">
        <f>Vendas[[#This Row],[Valor Unitário]]*Vendas[[#This Row],[Qnt Vendida]]</f>
        <v>305.5</v>
      </c>
      <c r="J4587" s="3">
        <f>Vendas[[#This Row],[Valor da Venda]]-(_xlfn.XLOOKUP(Vendas[[#This Row],[ID Item Vendido]],Agregado[ID],Agregado[Custo])*Vendas[[#This Row],[Qnt Vendida]])</f>
        <v>78</v>
      </c>
      <c r="K4587" s="70">
        <f>Vendas[[#This Row],[Lucro da Venda]]/Vendas[[#This Row],[Valor da Venda]]</f>
        <v>0.25531914893617019</v>
      </c>
      <c r="L4587" s="3">
        <f>_xlfn.IFS(Vendas[[#This Row],[Margem de Lucro (%)]]&lt;15%,Vendas[[#This Row],[Valor da Venda]]*3%,Vendas[[#This Row],[Margem de Lucro (%)]]&lt;=20%,Vendas[[#This Row],[Valor da Venda]]*4.5%,TRUE,Vendas[[#This Row],[Valor da Venda]]*6%)</f>
        <v>18.329999999999998</v>
      </c>
      <c r="M4587"/>
    </row>
    <row r="4588" spans="1:13" x14ac:dyDescent="0.3">
      <c r="A4588" s="7">
        <v>400246</v>
      </c>
      <c r="B4588" t="str">
        <f>_xlfn.XLOOKUP(Vendas[[#This Row],[ID Vendedor]],Vendedores[ID],Vendedores[Nome])</f>
        <v>Juliana</v>
      </c>
      <c r="C4588" s="7" t="str">
        <f>_xlfn.XLOOKUP(Vendas[[#This Row],[ID Vendedor]],Vendedores[ID],Vendedores[Setor])</f>
        <v>AHD</v>
      </c>
      <c r="D4588" s="7" t="s">
        <v>18</v>
      </c>
      <c r="E4588" t="str">
        <f>_xlfn.XLOOKUP(Vendas[[#This Row],[ID Item Vendido]],Agregado[ID],Agregado[Produto])</f>
        <v>Peça forjada sob encomenda</v>
      </c>
      <c r="F4588" s="39">
        <v>45788</v>
      </c>
      <c r="G4588" s="7">
        <v>4</v>
      </c>
      <c r="H4588" s="3">
        <f>_xlfn.XLOOKUP(Vendas[[#This Row],[ID Item Vendido]],Agregado[ID],Agregado[Revenda])</f>
        <v>264.60000000000002</v>
      </c>
      <c r="I4588" s="3">
        <f>Vendas[[#This Row],[Valor Unitário]]*Vendas[[#This Row],[Qnt Vendida]]</f>
        <v>1058.4000000000001</v>
      </c>
      <c r="J4588" s="3">
        <f>Vendas[[#This Row],[Valor da Venda]]-(_xlfn.XLOOKUP(Vendas[[#This Row],[ID Item Vendido]],Agregado[ID],Agregado[Custo])*Vendas[[#This Row],[Qnt Vendida]])</f>
        <v>58.400000000000091</v>
      </c>
      <c r="K4588" s="70">
        <f>Vendas[[#This Row],[Lucro da Venda]]/Vendas[[#This Row],[Valor da Venda]]</f>
        <v>5.5177626606198113E-2</v>
      </c>
      <c r="L4588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4588"/>
    </row>
    <row r="4589" spans="1:13" x14ac:dyDescent="0.3">
      <c r="A4589" s="7">
        <v>400246</v>
      </c>
      <c r="B4589" t="str">
        <f>_xlfn.XLOOKUP(Vendas[[#This Row],[ID Vendedor]],Vendedores[ID],Vendedores[Nome])</f>
        <v>Juliana</v>
      </c>
      <c r="C4589" s="7" t="str">
        <f>_xlfn.XLOOKUP(Vendas[[#This Row],[ID Vendedor]],Vendedores[ID],Vendedores[Setor])</f>
        <v>AHD</v>
      </c>
      <c r="D4589" s="7" t="s">
        <v>30</v>
      </c>
      <c r="E4589" t="str">
        <f>_xlfn.XLOOKUP(Vendas[[#This Row],[ID Item Vendido]],Agregado[ID],Agregado[Produto])</f>
        <v>Estrutura metálica soldada</v>
      </c>
      <c r="F4589" s="39">
        <v>45789</v>
      </c>
      <c r="G4589" s="7">
        <v>8</v>
      </c>
      <c r="H4589" s="3">
        <f>_xlfn.XLOOKUP(Vendas[[#This Row],[ID Item Vendido]],Agregado[ID],Agregado[Revenda])</f>
        <v>400</v>
      </c>
      <c r="I4589" s="3">
        <f>Vendas[[#This Row],[Valor Unitário]]*Vendas[[#This Row],[Qnt Vendida]]</f>
        <v>3200</v>
      </c>
      <c r="J4589" s="3">
        <f>Vendas[[#This Row],[Valor da Venda]]-(_xlfn.XLOOKUP(Vendas[[#This Row],[ID Item Vendido]],Agregado[ID],Agregado[Custo])*Vendas[[#This Row],[Qnt Vendida]])</f>
        <v>640</v>
      </c>
      <c r="K4589" s="70">
        <f>Vendas[[#This Row],[Lucro da Venda]]/Vendas[[#This Row],[Valor da Venda]]</f>
        <v>0.2</v>
      </c>
      <c r="L4589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589"/>
    </row>
    <row r="4590" spans="1:13" x14ac:dyDescent="0.3">
      <c r="A4590" s="7">
        <v>400252</v>
      </c>
      <c r="B4590" t="str">
        <f>_xlfn.XLOOKUP(Vendas[[#This Row],[ID Vendedor]],Vendedores[ID],Vendedores[Nome])</f>
        <v>Renata</v>
      </c>
      <c r="C4590" s="7" t="str">
        <f>_xlfn.XLOOKUP(Vendas[[#This Row],[ID Vendedor]],Vendedores[ID],Vendedores[Setor])</f>
        <v>AB</v>
      </c>
      <c r="D4590" s="7" t="s">
        <v>12</v>
      </c>
      <c r="E4590" t="str">
        <f>_xlfn.XLOOKUP(Vendas[[#This Row],[ID Item Vendido]],Agregado[ID],Agregado[Produto])</f>
        <v>Grânulo de plástico reciclado refinado</v>
      </c>
      <c r="F4590" s="39">
        <v>45789</v>
      </c>
      <c r="G4590" s="7">
        <v>64</v>
      </c>
      <c r="H4590" s="3">
        <f>_xlfn.XLOOKUP(Vendas[[#This Row],[ID Item Vendido]],Agregado[ID],Agregado[Revenda])</f>
        <v>4.7</v>
      </c>
      <c r="I4590" s="3">
        <f>Vendas[[#This Row],[Valor Unitário]]*Vendas[[#This Row],[Qnt Vendida]]</f>
        <v>300.8</v>
      </c>
      <c r="J4590" s="3">
        <f>Vendas[[#This Row],[Valor da Venda]]-(_xlfn.XLOOKUP(Vendas[[#This Row],[ID Item Vendido]],Agregado[ID],Agregado[Custo])*Vendas[[#This Row],[Qnt Vendida]])</f>
        <v>76.800000000000011</v>
      </c>
      <c r="K4590" s="70">
        <f>Vendas[[#This Row],[Lucro da Venda]]/Vendas[[#This Row],[Valor da Venda]]</f>
        <v>0.25531914893617025</v>
      </c>
      <c r="L4590" s="3">
        <f>_xlfn.IFS(Vendas[[#This Row],[Margem de Lucro (%)]]&lt;15%,Vendas[[#This Row],[Valor da Venda]]*3%,Vendas[[#This Row],[Margem de Lucro (%)]]&lt;=20%,Vendas[[#This Row],[Valor da Venda]]*4.5%,TRUE,Vendas[[#This Row],[Valor da Venda]]*6%)</f>
        <v>18.047999999999998</v>
      </c>
      <c r="M4590"/>
    </row>
    <row r="4591" spans="1:13" x14ac:dyDescent="0.3">
      <c r="A4591" s="7">
        <v>400254</v>
      </c>
      <c r="B4591" t="str">
        <f>_xlfn.XLOOKUP(Vendas[[#This Row],[ID Vendedor]],Vendedores[ID],Vendedores[Nome])</f>
        <v>Beatriz</v>
      </c>
      <c r="C4591" s="7" t="str">
        <f>_xlfn.XLOOKUP(Vendas[[#This Row],[ID Vendedor]],Vendedores[ID],Vendedores[Setor])</f>
        <v>SC</v>
      </c>
      <c r="D4591" s="7" t="s">
        <v>14</v>
      </c>
      <c r="E4591" t="str">
        <f>_xlfn.XLOOKUP(Vendas[[#This Row],[ID Item Vendido]],Agregado[ID],Agregado[Produto])</f>
        <v>Barril de plástico 200L</v>
      </c>
      <c r="F4591" s="39">
        <v>45789</v>
      </c>
      <c r="G4591" s="7">
        <v>2</v>
      </c>
      <c r="H4591" s="3">
        <f>_xlfn.XLOOKUP(Vendas[[#This Row],[ID Item Vendido]],Agregado[ID],Agregado[Revenda])</f>
        <v>114</v>
      </c>
      <c r="I4591" s="3">
        <f>Vendas[[#This Row],[Valor Unitário]]*Vendas[[#This Row],[Qnt Vendida]]</f>
        <v>228</v>
      </c>
      <c r="J4591" s="3">
        <f>Vendas[[#This Row],[Valor da Venda]]-(_xlfn.XLOOKUP(Vendas[[#This Row],[ID Item Vendido]],Agregado[ID],Agregado[Custo])*Vendas[[#This Row],[Qnt Vendida]])</f>
        <v>38</v>
      </c>
      <c r="K4591" s="70">
        <f>Vendas[[#This Row],[Lucro da Venda]]/Vendas[[#This Row],[Valor da Venda]]</f>
        <v>0.16666666666666666</v>
      </c>
      <c r="L4591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4591"/>
    </row>
    <row r="4592" spans="1:13" x14ac:dyDescent="0.3">
      <c r="A4592" s="7">
        <v>400250</v>
      </c>
      <c r="B4592" t="str">
        <f>_xlfn.XLOOKUP(Vendas[[#This Row],[ID Vendedor]],Vendedores[ID],Vendedores[Nome])</f>
        <v>Larissa</v>
      </c>
      <c r="C4592" s="7" t="str">
        <f>_xlfn.XLOOKUP(Vendas[[#This Row],[ID Vendedor]],Vendedores[ID],Vendedores[Setor])</f>
        <v>AB</v>
      </c>
      <c r="D4592" s="7" t="s">
        <v>39</v>
      </c>
      <c r="E4592" t="str">
        <f>_xlfn.XLOOKUP(Vendas[[#This Row],[ID Item Vendido]],Agregado[ID],Agregado[Produto])</f>
        <v>Filme plástico industrial rolo 50m</v>
      </c>
      <c r="F4592" s="39">
        <v>45789</v>
      </c>
      <c r="G4592" s="7">
        <v>6</v>
      </c>
      <c r="H4592" s="3">
        <f>_xlfn.XLOOKUP(Vendas[[#This Row],[ID Item Vendido]],Agregado[ID],Agregado[Revenda])</f>
        <v>37</v>
      </c>
      <c r="I4592" s="3">
        <f>Vendas[[#This Row],[Valor Unitário]]*Vendas[[#This Row],[Qnt Vendida]]</f>
        <v>222</v>
      </c>
      <c r="J4592" s="3">
        <f>Vendas[[#This Row],[Valor da Venda]]-(_xlfn.XLOOKUP(Vendas[[#This Row],[ID Item Vendido]],Agregado[ID],Agregado[Custo])*Vendas[[#This Row],[Qnt Vendida]])</f>
        <v>54</v>
      </c>
      <c r="K4592" s="70">
        <f>Vendas[[#This Row],[Lucro da Venda]]/Vendas[[#This Row],[Valor da Venda]]</f>
        <v>0.24324324324324326</v>
      </c>
      <c r="L4592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4592"/>
    </row>
    <row r="4593" spans="1:13" x14ac:dyDescent="0.3">
      <c r="A4593" s="7">
        <v>400254</v>
      </c>
      <c r="B4593" t="str">
        <f>_xlfn.XLOOKUP(Vendas[[#This Row],[ID Vendedor]],Vendedores[ID],Vendedores[Nome])</f>
        <v>Beatriz</v>
      </c>
      <c r="C4593" s="7" t="str">
        <f>_xlfn.XLOOKUP(Vendas[[#This Row],[ID Vendedor]],Vendedores[ID],Vendedores[Setor])</f>
        <v>SC</v>
      </c>
      <c r="D4593" s="7" t="s">
        <v>48</v>
      </c>
      <c r="E4593" t="str">
        <f>_xlfn.XLOOKUP(Vendas[[#This Row],[ID Item Vendido]],Agregado[ID],Agregado[Produto])</f>
        <v>Tambor metálico 200L</v>
      </c>
      <c r="F4593" s="39">
        <v>45790</v>
      </c>
      <c r="G4593" s="7">
        <v>20</v>
      </c>
      <c r="H4593" s="3">
        <f>_xlfn.XLOOKUP(Vendas[[#This Row],[ID Item Vendido]],Agregado[ID],Agregado[Revenda])</f>
        <v>144</v>
      </c>
      <c r="I4593" s="3">
        <f>Vendas[[#This Row],[Valor Unitário]]*Vendas[[#This Row],[Qnt Vendida]]</f>
        <v>2880</v>
      </c>
      <c r="J4593" s="3">
        <f>Vendas[[#This Row],[Valor da Venda]]-(_xlfn.XLOOKUP(Vendas[[#This Row],[ID Item Vendido]],Agregado[ID],Agregado[Custo])*Vendas[[#This Row],[Qnt Vendida]])</f>
        <v>480</v>
      </c>
      <c r="K4593" s="70">
        <f>Vendas[[#This Row],[Lucro da Venda]]/Vendas[[#This Row],[Valor da Venda]]</f>
        <v>0.16666666666666666</v>
      </c>
      <c r="L4593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4593"/>
    </row>
    <row r="4594" spans="1:13" x14ac:dyDescent="0.3">
      <c r="A4594" s="7">
        <v>400255</v>
      </c>
      <c r="B4594" t="str">
        <f>_xlfn.XLOOKUP(Vendas[[#This Row],[ID Vendedor]],Vendedores[ID],Vendedores[Nome])</f>
        <v>Carlos</v>
      </c>
      <c r="C4594" s="7" t="str">
        <f>_xlfn.XLOOKUP(Vendas[[#This Row],[ID Vendedor]],Vendedores[ID],Vendedores[Setor])</f>
        <v>SC</v>
      </c>
      <c r="D4594" s="7" t="s">
        <v>48</v>
      </c>
      <c r="E4594" t="str">
        <f>_xlfn.XLOOKUP(Vendas[[#This Row],[ID Item Vendido]],Agregado[ID],Agregado[Produto])</f>
        <v>Tambor metálico 200L</v>
      </c>
      <c r="F4594" s="39">
        <v>45791</v>
      </c>
      <c r="G4594" s="7">
        <v>5</v>
      </c>
      <c r="H4594" s="3">
        <f>_xlfn.XLOOKUP(Vendas[[#This Row],[ID Item Vendido]],Agregado[ID],Agregado[Revenda])</f>
        <v>144</v>
      </c>
      <c r="I4594" s="3">
        <f>Vendas[[#This Row],[Valor Unitário]]*Vendas[[#This Row],[Qnt Vendida]]</f>
        <v>720</v>
      </c>
      <c r="J4594" s="3">
        <f>Vendas[[#This Row],[Valor da Venda]]-(_xlfn.XLOOKUP(Vendas[[#This Row],[ID Item Vendido]],Agregado[ID],Agregado[Custo])*Vendas[[#This Row],[Qnt Vendida]])</f>
        <v>120</v>
      </c>
      <c r="K4594" s="70">
        <f>Vendas[[#This Row],[Lucro da Venda]]/Vendas[[#This Row],[Valor da Venda]]</f>
        <v>0.16666666666666666</v>
      </c>
      <c r="L4594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4594"/>
    </row>
    <row r="4595" spans="1:13" x14ac:dyDescent="0.3">
      <c r="A4595" s="7">
        <v>400242</v>
      </c>
      <c r="B4595" t="str">
        <f>_xlfn.XLOOKUP(Vendas[[#This Row],[ID Vendedor]],Vendedores[ID],Vendedores[Nome])</f>
        <v>Fernanda</v>
      </c>
      <c r="C4595" s="7" t="str">
        <f>_xlfn.XLOOKUP(Vendas[[#This Row],[ID Vendedor]],Vendedores[ID],Vendedores[Setor])</f>
        <v>FM</v>
      </c>
      <c r="D4595" s="7" t="s">
        <v>6</v>
      </c>
      <c r="E4595" t="str">
        <f>_xlfn.XLOOKUP(Vendas[[#This Row],[ID Item Vendido]],Agregado[ID],Agregado[Produto])</f>
        <v>Parafuso comum 500un</v>
      </c>
      <c r="F4595" s="39">
        <v>45792</v>
      </c>
      <c r="G4595" s="7">
        <v>17</v>
      </c>
      <c r="H4595" s="3">
        <f>_xlfn.XLOOKUP(Vendas[[#This Row],[ID Item Vendido]],Agregado[ID],Agregado[Revenda])</f>
        <v>24.6</v>
      </c>
      <c r="I4595" s="3">
        <f>Vendas[[#This Row],[Valor Unitário]]*Vendas[[#This Row],[Qnt Vendida]]</f>
        <v>418.20000000000005</v>
      </c>
      <c r="J4595" s="3">
        <f>Vendas[[#This Row],[Valor da Venda]]-(_xlfn.XLOOKUP(Vendas[[#This Row],[ID Item Vendido]],Agregado[ID],Agregado[Custo])*Vendas[[#This Row],[Qnt Vendida]])</f>
        <v>44.200000000000045</v>
      </c>
      <c r="K4595" s="70">
        <f>Vendas[[#This Row],[Lucro da Venda]]/Vendas[[#This Row],[Valor da Venda]]</f>
        <v>0.10569105691056921</v>
      </c>
      <c r="L4595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4595"/>
    </row>
    <row r="4596" spans="1:13" x14ac:dyDescent="0.3">
      <c r="A4596" s="7">
        <v>400252</v>
      </c>
      <c r="B4596" t="str">
        <f>_xlfn.XLOOKUP(Vendas[[#This Row],[ID Vendedor]],Vendedores[ID],Vendedores[Nome])</f>
        <v>Renata</v>
      </c>
      <c r="C4596" s="7" t="str">
        <f>_xlfn.XLOOKUP(Vendas[[#This Row],[ID Vendedor]],Vendedores[ID],Vendedores[Setor])</f>
        <v>AB</v>
      </c>
      <c r="D4596" s="7" t="s">
        <v>24</v>
      </c>
      <c r="E4596" t="str">
        <f>_xlfn.XLOOKUP(Vendas[[#This Row],[ID Item Vendido]],Agregado[ID],Agregado[Produto])</f>
        <v>Resina plástica PET purificada saco de 25kg</v>
      </c>
      <c r="F4596" s="39">
        <v>45793</v>
      </c>
      <c r="G4596" s="7">
        <v>15</v>
      </c>
      <c r="H4596" s="3">
        <f>_xlfn.XLOOKUP(Vendas[[#This Row],[ID Item Vendido]],Agregado[ID],Agregado[Revenda])</f>
        <v>119</v>
      </c>
      <c r="I4596" s="3">
        <f>Vendas[[#This Row],[Valor Unitário]]*Vendas[[#This Row],[Qnt Vendida]]</f>
        <v>1785</v>
      </c>
      <c r="J4596" s="3">
        <f>Vendas[[#This Row],[Valor da Venda]]-(_xlfn.XLOOKUP(Vendas[[#This Row],[ID Item Vendido]],Agregado[ID],Agregado[Custo])*Vendas[[#This Row],[Qnt Vendida]])</f>
        <v>510</v>
      </c>
      <c r="K4596" s="70">
        <f>Vendas[[#This Row],[Lucro da Venda]]/Vendas[[#This Row],[Valor da Venda]]</f>
        <v>0.2857142857142857</v>
      </c>
      <c r="L4596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4596"/>
    </row>
    <row r="4597" spans="1:13" x14ac:dyDescent="0.3">
      <c r="A4597" s="7">
        <v>400242</v>
      </c>
      <c r="B4597" t="str">
        <f>_xlfn.XLOOKUP(Vendas[[#This Row],[ID Vendedor]],Vendedores[ID],Vendedores[Nome])</f>
        <v>Fernanda</v>
      </c>
      <c r="C4597" s="7" t="str">
        <f>_xlfn.XLOOKUP(Vendas[[#This Row],[ID Vendedor]],Vendedores[ID],Vendedores[Setor])</f>
        <v>FM</v>
      </c>
      <c r="D4597" s="7" t="s">
        <v>20</v>
      </c>
      <c r="E4597" t="str">
        <f>_xlfn.XLOOKUP(Vendas[[#This Row],[ID Item Vendido]],Agregado[ID],Agregado[Produto])</f>
        <v>Barra de aço simples</v>
      </c>
      <c r="F4597" s="39">
        <v>45793</v>
      </c>
      <c r="G4597" s="7">
        <v>122</v>
      </c>
      <c r="H4597" s="3">
        <f>_xlfn.XLOOKUP(Vendas[[#This Row],[ID Item Vendido]],Agregado[ID],Agregado[Revenda])</f>
        <v>4.8</v>
      </c>
      <c r="I4597" s="3">
        <f>Vendas[[#This Row],[Valor Unitário]]*Vendas[[#This Row],[Qnt Vendida]]</f>
        <v>585.6</v>
      </c>
      <c r="J4597" s="3">
        <f>Vendas[[#This Row],[Valor da Venda]]-(_xlfn.XLOOKUP(Vendas[[#This Row],[ID Item Vendido]],Agregado[ID],Agregado[Custo])*Vendas[[#This Row],[Qnt Vendida]])</f>
        <v>73.200000000000045</v>
      </c>
      <c r="K4597" s="70">
        <f>Vendas[[#This Row],[Lucro da Venda]]/Vendas[[#This Row],[Valor da Venda]]</f>
        <v>0.12500000000000008</v>
      </c>
      <c r="L4597" s="3">
        <f>_xlfn.IFS(Vendas[[#This Row],[Margem de Lucro (%)]]&lt;15%,Vendas[[#This Row],[Valor da Venda]]*3%,Vendas[[#This Row],[Margem de Lucro (%)]]&lt;=20%,Vendas[[#This Row],[Valor da Venda]]*4.5%,TRUE,Vendas[[#This Row],[Valor da Venda]]*6%)</f>
        <v>17.568000000000001</v>
      </c>
      <c r="M4597"/>
    </row>
    <row r="4598" spans="1:13" x14ac:dyDescent="0.3">
      <c r="A4598" s="7">
        <v>400241</v>
      </c>
      <c r="B4598" t="str">
        <f>_xlfn.XLOOKUP(Vendas[[#This Row],[ID Vendedor]],Vendedores[ID],Vendedores[Nome])</f>
        <v>Rodrigo</v>
      </c>
      <c r="C4598" s="7" t="str">
        <f>_xlfn.XLOOKUP(Vendas[[#This Row],[ID Vendedor]],Vendedores[ID],Vendedores[Setor])</f>
        <v>FM</v>
      </c>
      <c r="D4598" s="7" t="s">
        <v>31</v>
      </c>
      <c r="E4598" t="str">
        <f>_xlfn.XLOOKUP(Vendas[[#This Row],[ID Item Vendido]],Agregado[ID],Agregado[Produto])</f>
        <v>Tela de metal soldada rolo 2x25m</v>
      </c>
      <c r="F4598" s="39">
        <v>45793</v>
      </c>
      <c r="G4598" s="7">
        <v>13</v>
      </c>
      <c r="H4598" s="3">
        <f>_xlfn.XLOOKUP(Vendas[[#This Row],[ID Item Vendido]],Agregado[ID],Agregado[Revenda])</f>
        <v>43.7</v>
      </c>
      <c r="I4598" s="3">
        <f>Vendas[[#This Row],[Valor Unitário]]*Vendas[[#This Row],[Qnt Vendida]]</f>
        <v>568.1</v>
      </c>
      <c r="J4598" s="3">
        <f>Vendas[[#This Row],[Valor da Venda]]-(_xlfn.XLOOKUP(Vendas[[#This Row],[ID Item Vendido]],Agregado[ID],Agregado[Custo])*Vendas[[#This Row],[Qnt Vendida]])</f>
        <v>74.100000000000023</v>
      </c>
      <c r="K4598" s="70">
        <f>Vendas[[#This Row],[Lucro da Venda]]/Vendas[[#This Row],[Valor da Venda]]</f>
        <v>0.13043478260869568</v>
      </c>
      <c r="L4598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4598"/>
    </row>
    <row r="4599" spans="1:13" x14ac:dyDescent="0.3">
      <c r="A4599" s="7">
        <v>400252</v>
      </c>
      <c r="B4599" t="str">
        <f>_xlfn.XLOOKUP(Vendas[[#This Row],[ID Vendedor]],Vendedores[ID],Vendedores[Nome])</f>
        <v>Renata</v>
      </c>
      <c r="C4599" s="7" t="str">
        <f>_xlfn.XLOOKUP(Vendas[[#This Row],[ID Vendedor]],Vendedores[ID],Vendedores[Setor])</f>
        <v>AB</v>
      </c>
      <c r="D4599" s="7" t="s">
        <v>36</v>
      </c>
      <c r="E4599" t="str">
        <f>_xlfn.XLOOKUP(Vendas[[#This Row],[ID Item Vendido]],Agregado[ID],Agregado[Produto])</f>
        <v>Borracha vulcanizada em manta</v>
      </c>
      <c r="F4599" s="39">
        <v>45793</v>
      </c>
      <c r="G4599" s="7">
        <v>59</v>
      </c>
      <c r="H4599" s="3">
        <f>_xlfn.XLOOKUP(Vendas[[#This Row],[ID Item Vendido]],Agregado[ID],Agregado[Revenda])</f>
        <v>7.8</v>
      </c>
      <c r="I4599" s="3">
        <f>Vendas[[#This Row],[Valor Unitário]]*Vendas[[#This Row],[Qnt Vendida]]</f>
        <v>460.2</v>
      </c>
      <c r="J4599" s="3">
        <f>Vendas[[#This Row],[Valor da Venda]]-(_xlfn.XLOOKUP(Vendas[[#This Row],[ID Item Vendido]],Agregado[ID],Agregado[Custo])*Vendas[[#This Row],[Qnt Vendida]])</f>
        <v>106.19999999999999</v>
      </c>
      <c r="K4599" s="70">
        <f>Vendas[[#This Row],[Lucro da Venda]]/Vendas[[#This Row],[Valor da Venda]]</f>
        <v>0.23076923076923075</v>
      </c>
      <c r="L4599" s="3">
        <f>_xlfn.IFS(Vendas[[#This Row],[Margem de Lucro (%)]]&lt;15%,Vendas[[#This Row],[Valor da Venda]]*3%,Vendas[[#This Row],[Margem de Lucro (%)]]&lt;=20%,Vendas[[#This Row],[Valor da Venda]]*4.5%,TRUE,Vendas[[#This Row],[Valor da Venda]]*6%)</f>
        <v>27.611999999999998</v>
      </c>
      <c r="M4599"/>
    </row>
    <row r="4600" spans="1:13" x14ac:dyDescent="0.3">
      <c r="A4600" s="7">
        <v>400243</v>
      </c>
      <c r="B4600" t="str">
        <f>_xlfn.XLOOKUP(Vendas[[#This Row],[ID Vendedor]],Vendedores[ID],Vendedores[Nome])</f>
        <v>Marcelo</v>
      </c>
      <c r="C4600" s="7" t="str">
        <f>_xlfn.XLOOKUP(Vendas[[#This Row],[ID Vendedor]],Vendedores[ID],Vendedores[Setor])</f>
        <v>FM</v>
      </c>
      <c r="D4600" s="7" t="s">
        <v>6</v>
      </c>
      <c r="E4600" t="str">
        <f>_xlfn.XLOOKUP(Vendas[[#This Row],[ID Item Vendido]],Agregado[ID],Agregado[Produto])</f>
        <v>Parafuso comum 500un</v>
      </c>
      <c r="F4600" s="39">
        <v>45793</v>
      </c>
      <c r="G4600" s="7">
        <v>16</v>
      </c>
      <c r="H4600" s="3">
        <f>_xlfn.XLOOKUP(Vendas[[#This Row],[ID Item Vendido]],Agregado[ID],Agregado[Revenda])</f>
        <v>24.6</v>
      </c>
      <c r="I4600" s="3">
        <f>Vendas[[#This Row],[Valor Unitário]]*Vendas[[#This Row],[Qnt Vendida]]</f>
        <v>393.6</v>
      </c>
      <c r="J4600" s="3">
        <f>Vendas[[#This Row],[Valor da Venda]]-(_xlfn.XLOOKUP(Vendas[[#This Row],[ID Item Vendido]],Agregado[ID],Agregado[Custo])*Vendas[[#This Row],[Qnt Vendida]])</f>
        <v>41.600000000000023</v>
      </c>
      <c r="K4600" s="70">
        <f>Vendas[[#This Row],[Lucro da Venda]]/Vendas[[#This Row],[Valor da Venda]]</f>
        <v>0.10569105691056915</v>
      </c>
      <c r="L4600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4600"/>
    </row>
    <row r="4601" spans="1:13" x14ac:dyDescent="0.3">
      <c r="A4601" s="7">
        <v>400249</v>
      </c>
      <c r="B4601" t="str">
        <f>_xlfn.XLOOKUP(Vendas[[#This Row],[ID Vendedor]],Vendedores[ID],Vendedores[Nome])</f>
        <v>Bruno</v>
      </c>
      <c r="C4601" s="7" t="str">
        <f>_xlfn.XLOOKUP(Vendas[[#This Row],[ID Vendedor]],Vendedores[ID],Vendedores[Setor])</f>
        <v>CM</v>
      </c>
      <c r="D4601" s="7" t="s">
        <v>34</v>
      </c>
      <c r="E4601" t="str">
        <f>_xlfn.XLOOKUP(Vendas[[#This Row],[ID Item Vendido]],Agregado[ID],Agregado[Produto])</f>
        <v>Restos de madeira p/ MDP/OSB saco de 20kg</v>
      </c>
      <c r="F4601" s="39">
        <v>45793</v>
      </c>
      <c r="G4601" s="7">
        <v>4</v>
      </c>
      <c r="H4601" s="3">
        <f>_xlfn.XLOOKUP(Vendas[[#This Row],[ID Item Vendido]],Agregado[ID],Agregado[Revenda])</f>
        <v>13.8</v>
      </c>
      <c r="I4601" s="3">
        <f>Vendas[[#This Row],[Valor Unitário]]*Vendas[[#This Row],[Qnt Vendida]]</f>
        <v>55.2</v>
      </c>
      <c r="J4601" s="3">
        <f>Vendas[[#This Row],[Valor da Venda]]-(_xlfn.XLOOKUP(Vendas[[#This Row],[ID Item Vendido]],Agregado[ID],Agregado[Custo])*Vendas[[#This Row],[Qnt Vendida]])</f>
        <v>7.2000000000000028</v>
      </c>
      <c r="K4601" s="70">
        <f>Vendas[[#This Row],[Lucro da Venda]]/Vendas[[#This Row],[Valor da Venda]]</f>
        <v>0.1304347826086957</v>
      </c>
      <c r="L4601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4601"/>
    </row>
    <row r="4602" spans="1:13" x14ac:dyDescent="0.3">
      <c r="A4602" s="7">
        <v>400243</v>
      </c>
      <c r="B4602" t="str">
        <f>_xlfn.XLOOKUP(Vendas[[#This Row],[ID Vendedor]],Vendedores[ID],Vendedores[Nome])</f>
        <v>Marcelo</v>
      </c>
      <c r="C4602" s="7" t="str">
        <f>_xlfn.XLOOKUP(Vendas[[#This Row],[ID Vendedor]],Vendedores[ID],Vendedores[Setor])</f>
        <v>FM</v>
      </c>
      <c r="D4602" s="7" t="s">
        <v>20</v>
      </c>
      <c r="E4602" t="str">
        <f>_xlfn.XLOOKUP(Vendas[[#This Row],[ID Item Vendido]],Agregado[ID],Agregado[Produto])</f>
        <v>Barra de aço simples</v>
      </c>
      <c r="F4602" s="39">
        <v>45794</v>
      </c>
      <c r="G4602" s="7">
        <v>130</v>
      </c>
      <c r="H4602" s="3">
        <f>_xlfn.XLOOKUP(Vendas[[#This Row],[ID Item Vendido]],Agregado[ID],Agregado[Revenda])</f>
        <v>4.8</v>
      </c>
      <c r="I4602" s="3">
        <f>Vendas[[#This Row],[Valor Unitário]]*Vendas[[#This Row],[Qnt Vendida]]</f>
        <v>624</v>
      </c>
      <c r="J4602" s="3">
        <f>Vendas[[#This Row],[Valor da Venda]]-(_xlfn.XLOOKUP(Vendas[[#This Row],[ID Item Vendido]],Agregado[ID],Agregado[Custo])*Vendas[[#This Row],[Qnt Vendida]])</f>
        <v>78</v>
      </c>
      <c r="K4602" s="70">
        <f>Vendas[[#This Row],[Lucro da Venda]]/Vendas[[#This Row],[Valor da Venda]]</f>
        <v>0.125</v>
      </c>
      <c r="L4602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4602"/>
    </row>
    <row r="4603" spans="1:13" x14ac:dyDescent="0.3">
      <c r="A4603" s="7">
        <v>400246</v>
      </c>
      <c r="B4603" t="str">
        <f>_xlfn.XLOOKUP(Vendas[[#This Row],[ID Vendedor]],Vendedores[ID],Vendedores[Nome])</f>
        <v>Juliana</v>
      </c>
      <c r="C4603" s="7" t="str">
        <f>_xlfn.XLOOKUP(Vendas[[#This Row],[ID Vendedor]],Vendedores[ID],Vendedores[Setor])</f>
        <v>AHD</v>
      </c>
      <c r="D4603" s="7" t="s">
        <v>9</v>
      </c>
      <c r="E4603" t="str">
        <f>_xlfn.XLOOKUP(Vendas[[#This Row],[ID Item Vendido]],Agregado[ID],Agregado[Produto])</f>
        <v>Barra de aço simples</v>
      </c>
      <c r="F4603" s="39">
        <v>45795</v>
      </c>
      <c r="G4603" s="7">
        <v>47</v>
      </c>
      <c r="H4603" s="3">
        <f>_xlfn.XLOOKUP(Vendas[[#This Row],[ID Item Vendido]],Agregado[ID],Agregado[Revenda])</f>
        <v>6.7</v>
      </c>
      <c r="I4603" s="3">
        <f>Vendas[[#This Row],[Valor Unitário]]*Vendas[[#This Row],[Qnt Vendida]]</f>
        <v>314.90000000000003</v>
      </c>
      <c r="J4603" s="3">
        <f>Vendas[[#This Row],[Valor da Venda]]-(_xlfn.XLOOKUP(Vendas[[#This Row],[ID Item Vendido]],Agregado[ID],Agregado[Custo])*Vendas[[#This Row],[Qnt Vendida]])</f>
        <v>42.300000000000068</v>
      </c>
      <c r="K4603" s="70">
        <f>Vendas[[#This Row],[Lucro da Venda]]/Vendas[[#This Row],[Valor da Venda]]</f>
        <v>0.13432835820895542</v>
      </c>
      <c r="L4603" s="3">
        <f>_xlfn.IFS(Vendas[[#This Row],[Margem de Lucro (%)]]&lt;15%,Vendas[[#This Row],[Valor da Venda]]*3%,Vendas[[#This Row],[Margem de Lucro (%)]]&lt;=20%,Vendas[[#This Row],[Valor da Venda]]*4.5%,TRUE,Vendas[[#This Row],[Valor da Venda]]*6%)</f>
        <v>9.447000000000001</v>
      </c>
      <c r="M4603"/>
    </row>
    <row r="4604" spans="1:13" x14ac:dyDescent="0.3">
      <c r="A4604" s="7">
        <v>400241</v>
      </c>
      <c r="B4604" t="str">
        <f>_xlfn.XLOOKUP(Vendas[[#This Row],[ID Vendedor]],Vendedores[ID],Vendedores[Nome])</f>
        <v>Rodrigo</v>
      </c>
      <c r="C4604" s="7" t="str">
        <f>_xlfn.XLOOKUP(Vendas[[#This Row],[ID Vendedor]],Vendedores[ID],Vendedores[Setor])</f>
        <v>FM</v>
      </c>
      <c r="D4604" s="7" t="s">
        <v>6</v>
      </c>
      <c r="E4604" t="str">
        <f>_xlfn.XLOOKUP(Vendas[[#This Row],[ID Item Vendido]],Agregado[ID],Agregado[Produto])</f>
        <v>Parafuso comum 500un</v>
      </c>
      <c r="F4604" s="39">
        <v>45795</v>
      </c>
      <c r="G4604" s="7">
        <v>5</v>
      </c>
      <c r="H4604" s="3">
        <f>_xlfn.XLOOKUP(Vendas[[#This Row],[ID Item Vendido]],Agregado[ID],Agregado[Revenda])</f>
        <v>24.6</v>
      </c>
      <c r="I4604" s="3">
        <f>Vendas[[#This Row],[Valor Unitário]]*Vendas[[#This Row],[Qnt Vendida]]</f>
        <v>123</v>
      </c>
      <c r="J4604" s="3">
        <f>Vendas[[#This Row],[Valor da Venda]]-(_xlfn.XLOOKUP(Vendas[[#This Row],[ID Item Vendido]],Agregado[ID],Agregado[Custo])*Vendas[[#This Row],[Qnt Vendida]])</f>
        <v>13</v>
      </c>
      <c r="K4604" s="70">
        <f>Vendas[[#This Row],[Lucro da Venda]]/Vendas[[#This Row],[Valor da Venda]]</f>
        <v>0.10569105691056911</v>
      </c>
      <c r="L4604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4604"/>
    </row>
    <row r="4605" spans="1:13" x14ac:dyDescent="0.3">
      <c r="A4605" s="7">
        <v>400247</v>
      </c>
      <c r="B4605" t="str">
        <f>_xlfn.XLOOKUP(Vendas[[#This Row],[ID Vendedor]],Vendedores[ID],Vendedores[Nome])</f>
        <v>André</v>
      </c>
      <c r="C4605" s="7" t="str">
        <f>_xlfn.XLOOKUP(Vendas[[#This Row],[ID Vendedor]],Vendedores[ID],Vendedores[Setor])</f>
        <v>CM</v>
      </c>
      <c r="D4605" s="7" t="s">
        <v>43</v>
      </c>
      <c r="E4605" t="str">
        <f>_xlfn.XLOOKUP(Vendas[[#This Row],[ID Item Vendido]],Agregado[ID],Agregado[Produto])</f>
        <v>Madeira Bruta (Tora)</v>
      </c>
      <c r="F4605" s="39">
        <v>45796</v>
      </c>
      <c r="G4605" s="7">
        <v>4</v>
      </c>
      <c r="H4605" s="3">
        <f>_xlfn.XLOOKUP(Vendas[[#This Row],[ID Item Vendido]],Agregado[ID],Agregado[Revenda])</f>
        <v>212</v>
      </c>
      <c r="I4605" s="3">
        <f>Vendas[[#This Row],[Valor Unitário]]*Vendas[[#This Row],[Qnt Vendida]]</f>
        <v>848</v>
      </c>
      <c r="J4605" s="3">
        <f>Vendas[[#This Row],[Valor da Venda]]-(_xlfn.XLOOKUP(Vendas[[#This Row],[ID Item Vendido]],Agregado[ID],Agregado[Custo])*Vendas[[#This Row],[Qnt Vendida]])</f>
        <v>128</v>
      </c>
      <c r="K4605" s="70">
        <f>Vendas[[#This Row],[Lucro da Venda]]/Vendas[[#This Row],[Valor da Venda]]</f>
        <v>0.15094339622641509</v>
      </c>
      <c r="L4605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4605"/>
    </row>
    <row r="4606" spans="1:13" x14ac:dyDescent="0.3">
      <c r="A4606" s="7">
        <v>400248</v>
      </c>
      <c r="B4606" t="str">
        <f>_xlfn.XLOOKUP(Vendas[[#This Row],[ID Vendedor]],Vendedores[ID],Vendedores[Nome])</f>
        <v>Patrícia</v>
      </c>
      <c r="C4606" s="7" t="str">
        <f>_xlfn.XLOOKUP(Vendas[[#This Row],[ID Vendedor]],Vendedores[ID],Vendedores[Setor])</f>
        <v>CM</v>
      </c>
      <c r="D4606" s="7" t="s">
        <v>22</v>
      </c>
      <c r="E4606" t="str">
        <f>_xlfn.XLOOKUP(Vendas[[#This Row],[ID Item Vendido]],Agregado[ID],Agregado[Produto])</f>
        <v>Painel MDP 2,75x1,83m</v>
      </c>
      <c r="F4606" s="39">
        <v>45796</v>
      </c>
      <c r="G4606" s="7">
        <v>7</v>
      </c>
      <c r="H4606" s="3">
        <f>_xlfn.XLOOKUP(Vendas[[#This Row],[ID Item Vendido]],Agregado[ID],Agregado[Revenda])</f>
        <v>119</v>
      </c>
      <c r="I4606" s="3">
        <f>Vendas[[#This Row],[Valor Unitário]]*Vendas[[#This Row],[Qnt Vendida]]</f>
        <v>833</v>
      </c>
      <c r="J4606" s="3">
        <f>Vendas[[#This Row],[Valor da Venda]]-(_xlfn.XLOOKUP(Vendas[[#This Row],[ID Item Vendido]],Agregado[ID],Agregado[Custo])*Vendas[[#This Row],[Qnt Vendida]])</f>
        <v>168</v>
      </c>
      <c r="K4606" s="70">
        <f>Vendas[[#This Row],[Lucro da Venda]]/Vendas[[#This Row],[Valor da Venda]]</f>
        <v>0.20168067226890757</v>
      </c>
      <c r="L4606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4606"/>
    </row>
    <row r="4607" spans="1:13" x14ac:dyDescent="0.3">
      <c r="A4607" s="7">
        <v>400241</v>
      </c>
      <c r="B4607" t="str">
        <f>_xlfn.XLOOKUP(Vendas[[#This Row],[ID Vendedor]],Vendedores[ID],Vendedores[Nome])</f>
        <v>Rodrigo</v>
      </c>
      <c r="C4607" s="7" t="str">
        <f>_xlfn.XLOOKUP(Vendas[[#This Row],[ID Vendedor]],Vendedores[ID],Vendedores[Setor])</f>
        <v>FM</v>
      </c>
      <c r="D4607" s="7" t="s">
        <v>47</v>
      </c>
      <c r="E4607" t="str">
        <f>_xlfn.XLOOKUP(Vendas[[#This Row],[ID Item Vendido]],Agregado[ID],Agregado[Produto])</f>
        <v>Fio de arame galvanizado rolo 50m</v>
      </c>
      <c r="F4607" s="39">
        <v>45796</v>
      </c>
      <c r="G4607" s="7">
        <v>35</v>
      </c>
      <c r="H4607" s="3">
        <f>_xlfn.XLOOKUP(Vendas[[#This Row],[ID Item Vendido]],Agregado[ID],Agregado[Revenda])</f>
        <v>21.2</v>
      </c>
      <c r="I4607" s="3">
        <f>Vendas[[#This Row],[Valor Unitário]]*Vendas[[#This Row],[Qnt Vendida]]</f>
        <v>742</v>
      </c>
      <c r="J4607" s="3">
        <f>Vendas[[#This Row],[Valor da Venda]]-(_xlfn.XLOOKUP(Vendas[[#This Row],[ID Item Vendido]],Agregado[ID],Agregado[Custo])*Vendas[[#This Row],[Qnt Vendida]])</f>
        <v>112</v>
      </c>
      <c r="K4607" s="70">
        <f>Vendas[[#This Row],[Lucro da Venda]]/Vendas[[#This Row],[Valor da Venda]]</f>
        <v>0.15094339622641509</v>
      </c>
      <c r="L4607" s="3">
        <f>_xlfn.IFS(Vendas[[#This Row],[Margem de Lucro (%)]]&lt;15%,Vendas[[#This Row],[Valor da Venda]]*3%,Vendas[[#This Row],[Margem de Lucro (%)]]&lt;=20%,Vendas[[#This Row],[Valor da Venda]]*4.5%,TRUE,Vendas[[#This Row],[Valor da Venda]]*6%)</f>
        <v>33.39</v>
      </c>
      <c r="M4607"/>
    </row>
    <row r="4608" spans="1:13" x14ac:dyDescent="0.3">
      <c r="A4608" s="7">
        <v>400248</v>
      </c>
      <c r="B4608" t="str">
        <f>_xlfn.XLOOKUP(Vendas[[#This Row],[ID Vendedor]],Vendedores[ID],Vendedores[Nome])</f>
        <v>Patrícia</v>
      </c>
      <c r="C4608" s="7" t="str">
        <f>_xlfn.XLOOKUP(Vendas[[#This Row],[ID Vendedor]],Vendedores[ID],Vendedores[Setor])</f>
        <v>CM</v>
      </c>
      <c r="D4608" s="7" t="s">
        <v>43</v>
      </c>
      <c r="E4608" t="str">
        <f>_xlfn.XLOOKUP(Vendas[[#This Row],[ID Item Vendido]],Agregado[ID],Agregado[Produto])</f>
        <v>Madeira Bruta (Tora)</v>
      </c>
      <c r="F4608" s="39">
        <v>45797</v>
      </c>
      <c r="G4608" s="7">
        <v>12</v>
      </c>
      <c r="H4608" s="3">
        <f>_xlfn.XLOOKUP(Vendas[[#This Row],[ID Item Vendido]],Agregado[ID],Agregado[Revenda])</f>
        <v>212</v>
      </c>
      <c r="I4608" s="3">
        <f>Vendas[[#This Row],[Valor Unitário]]*Vendas[[#This Row],[Qnt Vendida]]</f>
        <v>2544</v>
      </c>
      <c r="J4608" s="3">
        <f>Vendas[[#This Row],[Valor da Venda]]-(_xlfn.XLOOKUP(Vendas[[#This Row],[ID Item Vendido]],Agregado[ID],Agregado[Custo])*Vendas[[#This Row],[Qnt Vendida]])</f>
        <v>384</v>
      </c>
      <c r="K4608" s="70">
        <f>Vendas[[#This Row],[Lucro da Venda]]/Vendas[[#This Row],[Valor da Venda]]</f>
        <v>0.15094339622641509</v>
      </c>
      <c r="L4608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4608"/>
    </row>
    <row r="4609" spans="1:13" x14ac:dyDescent="0.3">
      <c r="A4609" s="7">
        <v>400248</v>
      </c>
      <c r="B4609" t="str">
        <f>_xlfn.XLOOKUP(Vendas[[#This Row],[ID Vendedor]],Vendedores[ID],Vendedores[Nome])</f>
        <v>Patrícia</v>
      </c>
      <c r="C4609" s="7" t="str">
        <f>_xlfn.XLOOKUP(Vendas[[#This Row],[ID Vendedor]],Vendedores[ID],Vendedores[Setor])</f>
        <v>CM</v>
      </c>
      <c r="D4609" s="7" t="s">
        <v>34</v>
      </c>
      <c r="E4609" t="str">
        <f>_xlfn.XLOOKUP(Vendas[[#This Row],[ID Item Vendido]],Agregado[ID],Agregado[Produto])</f>
        <v>Restos de madeira p/ MDP/OSB saco de 20kg</v>
      </c>
      <c r="F4609" s="39">
        <v>45797</v>
      </c>
      <c r="G4609" s="7">
        <v>28</v>
      </c>
      <c r="H4609" s="3">
        <f>_xlfn.XLOOKUP(Vendas[[#This Row],[ID Item Vendido]],Agregado[ID],Agregado[Revenda])</f>
        <v>13.8</v>
      </c>
      <c r="I4609" s="3">
        <f>Vendas[[#This Row],[Valor Unitário]]*Vendas[[#This Row],[Qnt Vendida]]</f>
        <v>386.40000000000003</v>
      </c>
      <c r="J4609" s="3">
        <f>Vendas[[#This Row],[Valor da Venda]]-(_xlfn.XLOOKUP(Vendas[[#This Row],[ID Item Vendido]],Agregado[ID],Agregado[Custo])*Vendas[[#This Row],[Qnt Vendida]])</f>
        <v>50.400000000000034</v>
      </c>
      <c r="K4609" s="70">
        <f>Vendas[[#This Row],[Lucro da Venda]]/Vendas[[#This Row],[Valor da Venda]]</f>
        <v>0.13043478260869573</v>
      </c>
      <c r="L4609" s="3">
        <f>_xlfn.IFS(Vendas[[#This Row],[Margem de Lucro (%)]]&lt;15%,Vendas[[#This Row],[Valor da Venda]]*3%,Vendas[[#This Row],[Margem de Lucro (%)]]&lt;=20%,Vendas[[#This Row],[Valor da Venda]]*4.5%,TRUE,Vendas[[#This Row],[Valor da Venda]]*6%)</f>
        <v>11.592000000000001</v>
      </c>
      <c r="M4609"/>
    </row>
    <row r="4610" spans="1:13" x14ac:dyDescent="0.3">
      <c r="A4610" s="7">
        <v>400247</v>
      </c>
      <c r="B4610" t="str">
        <f>_xlfn.XLOOKUP(Vendas[[#This Row],[ID Vendedor]],Vendedores[ID],Vendedores[Nome])</f>
        <v>André</v>
      </c>
      <c r="C4610" s="7" t="str">
        <f>_xlfn.XLOOKUP(Vendas[[#This Row],[ID Vendedor]],Vendedores[ID],Vendedores[Setor])</f>
        <v>CM</v>
      </c>
      <c r="D4610" s="7" t="s">
        <v>22</v>
      </c>
      <c r="E4610" t="str">
        <f>_xlfn.XLOOKUP(Vendas[[#This Row],[ID Item Vendido]],Agregado[ID],Agregado[Produto])</f>
        <v>Painel MDP 2,75x1,83m</v>
      </c>
      <c r="F4610" s="39">
        <v>45797</v>
      </c>
      <c r="G4610" s="7">
        <v>2</v>
      </c>
      <c r="H4610" s="3">
        <f>_xlfn.XLOOKUP(Vendas[[#This Row],[ID Item Vendido]],Agregado[ID],Agregado[Revenda])</f>
        <v>119</v>
      </c>
      <c r="I4610" s="3">
        <f>Vendas[[#This Row],[Valor Unitário]]*Vendas[[#This Row],[Qnt Vendida]]</f>
        <v>238</v>
      </c>
      <c r="J4610" s="3">
        <f>Vendas[[#This Row],[Valor da Venda]]-(_xlfn.XLOOKUP(Vendas[[#This Row],[ID Item Vendido]],Agregado[ID],Agregado[Custo])*Vendas[[#This Row],[Qnt Vendida]])</f>
        <v>48</v>
      </c>
      <c r="K4610" s="70">
        <f>Vendas[[#This Row],[Lucro da Venda]]/Vendas[[#This Row],[Valor da Venda]]</f>
        <v>0.20168067226890757</v>
      </c>
      <c r="L4610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4610"/>
    </row>
    <row r="4611" spans="1:13" x14ac:dyDescent="0.3">
      <c r="A4611" s="7">
        <v>400244</v>
      </c>
      <c r="B4611" t="str">
        <f>_xlfn.XLOOKUP(Vendas[[#This Row],[ID Vendedor]],Vendedores[ID],Vendedores[Nome])</f>
        <v>Camila</v>
      </c>
      <c r="C4611" s="7" t="str">
        <f>_xlfn.XLOOKUP(Vendas[[#This Row],[ID Vendedor]],Vendedores[ID],Vendedores[Setor])</f>
        <v>AHD</v>
      </c>
      <c r="D4611" s="7" t="s">
        <v>9</v>
      </c>
      <c r="E4611" t="str">
        <f>_xlfn.XLOOKUP(Vendas[[#This Row],[ID Item Vendido]],Agregado[ID],Agregado[Produto])</f>
        <v>Barra de aço simples</v>
      </c>
      <c r="F4611" s="39">
        <v>45797</v>
      </c>
      <c r="G4611" s="7">
        <v>33</v>
      </c>
      <c r="H4611" s="3">
        <f>_xlfn.XLOOKUP(Vendas[[#This Row],[ID Item Vendido]],Agregado[ID],Agregado[Revenda])</f>
        <v>6.7</v>
      </c>
      <c r="I4611" s="3">
        <f>Vendas[[#This Row],[Valor Unitário]]*Vendas[[#This Row],[Qnt Vendida]]</f>
        <v>221.1</v>
      </c>
      <c r="J4611" s="3">
        <f>Vendas[[#This Row],[Valor da Venda]]-(_xlfn.XLOOKUP(Vendas[[#This Row],[ID Item Vendido]],Agregado[ID],Agregado[Custo])*Vendas[[#This Row],[Qnt Vendida]])</f>
        <v>29.699999999999989</v>
      </c>
      <c r="K4611" s="70">
        <f>Vendas[[#This Row],[Lucro da Venda]]/Vendas[[#This Row],[Valor da Venda]]</f>
        <v>0.13432835820895517</v>
      </c>
      <c r="L4611" s="3">
        <f>_xlfn.IFS(Vendas[[#This Row],[Margem de Lucro (%)]]&lt;15%,Vendas[[#This Row],[Valor da Venda]]*3%,Vendas[[#This Row],[Margem de Lucro (%)]]&lt;=20%,Vendas[[#This Row],[Valor da Venda]]*4.5%,TRUE,Vendas[[#This Row],[Valor da Venda]]*6%)</f>
        <v>6.633</v>
      </c>
      <c r="M4611"/>
    </row>
    <row r="4612" spans="1:13" x14ac:dyDescent="0.3">
      <c r="A4612" s="7">
        <v>400253</v>
      </c>
      <c r="B4612" t="str">
        <f>_xlfn.XLOOKUP(Vendas[[#This Row],[ID Vendedor]],Vendedores[ID],Vendedores[Nome])</f>
        <v>Gustavo</v>
      </c>
      <c r="C4612" s="7" t="str">
        <f>_xlfn.XLOOKUP(Vendas[[#This Row],[ID Vendedor]],Vendedores[ID],Vendedores[Setor])</f>
        <v>SC</v>
      </c>
      <c r="D4612" s="7" t="s">
        <v>41</v>
      </c>
      <c r="E4612" t="str">
        <f>_xlfn.XLOOKUP(Vendas[[#This Row],[ID Item Vendido]],Agregado[ID],Agregado[Produto])</f>
        <v>Palete de madeira reforçado</v>
      </c>
      <c r="F4612" s="39">
        <v>45797</v>
      </c>
      <c r="G4612" s="7">
        <v>1</v>
      </c>
      <c r="H4612" s="3">
        <f>_xlfn.XLOOKUP(Vendas[[#This Row],[ID Item Vendido]],Agregado[ID],Agregado[Revenda])</f>
        <v>131</v>
      </c>
      <c r="I4612" s="3">
        <f>Vendas[[#This Row],[Valor Unitário]]*Vendas[[#This Row],[Qnt Vendida]]</f>
        <v>131</v>
      </c>
      <c r="J4612" s="3">
        <f>Vendas[[#This Row],[Valor da Venda]]-(_xlfn.XLOOKUP(Vendas[[#This Row],[ID Item Vendido]],Agregado[ID],Agregado[Custo])*Vendas[[#This Row],[Qnt Vendida]])</f>
        <v>21</v>
      </c>
      <c r="K4612" s="70">
        <f>Vendas[[#This Row],[Lucro da Venda]]/Vendas[[#This Row],[Valor da Venda]]</f>
        <v>0.16030534351145037</v>
      </c>
      <c r="L4612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4612"/>
    </row>
    <row r="4613" spans="1:13" x14ac:dyDescent="0.3">
      <c r="A4613" s="7">
        <v>400241</v>
      </c>
      <c r="B4613" t="str">
        <f>_xlfn.XLOOKUP(Vendas[[#This Row],[ID Vendedor]],Vendedores[ID],Vendedores[Nome])</f>
        <v>Rodrigo</v>
      </c>
      <c r="C4613" s="7" t="str">
        <f>_xlfn.XLOOKUP(Vendas[[#This Row],[ID Vendedor]],Vendedores[ID],Vendedores[Setor])</f>
        <v>FM</v>
      </c>
      <c r="D4613" s="7" t="s">
        <v>47</v>
      </c>
      <c r="E4613" t="str">
        <f>_xlfn.XLOOKUP(Vendas[[#This Row],[ID Item Vendido]],Agregado[ID],Agregado[Produto])</f>
        <v>Fio de arame galvanizado rolo 50m</v>
      </c>
      <c r="F4613" s="39">
        <v>45797</v>
      </c>
      <c r="G4613" s="7">
        <v>5</v>
      </c>
      <c r="H4613" s="3">
        <f>_xlfn.XLOOKUP(Vendas[[#This Row],[ID Item Vendido]],Agregado[ID],Agregado[Revenda])</f>
        <v>21.2</v>
      </c>
      <c r="I4613" s="3">
        <f>Vendas[[#This Row],[Valor Unitário]]*Vendas[[#This Row],[Qnt Vendida]]</f>
        <v>106</v>
      </c>
      <c r="J4613" s="3">
        <f>Vendas[[#This Row],[Valor da Venda]]-(_xlfn.XLOOKUP(Vendas[[#This Row],[ID Item Vendido]],Agregado[ID],Agregado[Custo])*Vendas[[#This Row],[Qnt Vendida]])</f>
        <v>16</v>
      </c>
      <c r="K4613" s="70">
        <f>Vendas[[#This Row],[Lucro da Venda]]/Vendas[[#This Row],[Valor da Venda]]</f>
        <v>0.15094339622641509</v>
      </c>
      <c r="L4613" s="3">
        <f>_xlfn.IFS(Vendas[[#This Row],[Margem de Lucro (%)]]&lt;15%,Vendas[[#This Row],[Valor da Venda]]*3%,Vendas[[#This Row],[Margem de Lucro (%)]]&lt;=20%,Vendas[[#This Row],[Valor da Venda]]*4.5%,TRUE,Vendas[[#This Row],[Valor da Venda]]*6%)</f>
        <v>4.7699999999999996</v>
      </c>
      <c r="M4613"/>
    </row>
    <row r="4614" spans="1:13" x14ac:dyDescent="0.3">
      <c r="A4614" s="7">
        <v>400252</v>
      </c>
      <c r="B4614" t="str">
        <f>_xlfn.XLOOKUP(Vendas[[#This Row],[ID Vendedor]],Vendedores[ID],Vendedores[Nome])</f>
        <v>Renata</v>
      </c>
      <c r="C4614" s="7" t="str">
        <f>_xlfn.XLOOKUP(Vendas[[#This Row],[ID Vendedor]],Vendedores[ID],Vendedores[Setor])</f>
        <v>AB</v>
      </c>
      <c r="D4614" s="7" t="s">
        <v>39</v>
      </c>
      <c r="E4614" t="str">
        <f>_xlfn.XLOOKUP(Vendas[[#This Row],[ID Item Vendido]],Agregado[ID],Agregado[Produto])</f>
        <v>Filme plástico industrial rolo 50m</v>
      </c>
      <c r="F4614" s="39">
        <v>45798</v>
      </c>
      <c r="G4614" s="7">
        <v>30</v>
      </c>
      <c r="H4614" s="3">
        <f>_xlfn.XLOOKUP(Vendas[[#This Row],[ID Item Vendido]],Agregado[ID],Agregado[Revenda])</f>
        <v>37</v>
      </c>
      <c r="I4614" s="3">
        <f>Vendas[[#This Row],[Valor Unitário]]*Vendas[[#This Row],[Qnt Vendida]]</f>
        <v>1110</v>
      </c>
      <c r="J4614" s="3">
        <f>Vendas[[#This Row],[Valor da Venda]]-(_xlfn.XLOOKUP(Vendas[[#This Row],[ID Item Vendido]],Agregado[ID],Agregado[Custo])*Vendas[[#This Row],[Qnt Vendida]])</f>
        <v>270</v>
      </c>
      <c r="K4614" s="70">
        <f>Vendas[[#This Row],[Lucro da Venda]]/Vendas[[#This Row],[Valor da Venda]]</f>
        <v>0.24324324324324326</v>
      </c>
      <c r="L4614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4614"/>
    </row>
    <row r="4615" spans="1:13" x14ac:dyDescent="0.3">
      <c r="A4615" s="7">
        <v>400246</v>
      </c>
      <c r="B4615" t="str">
        <f>_xlfn.XLOOKUP(Vendas[[#This Row],[ID Vendedor]],Vendedores[ID],Vendedores[Nome])</f>
        <v>Juliana</v>
      </c>
      <c r="C4615" s="7" t="str">
        <f>_xlfn.XLOOKUP(Vendas[[#This Row],[ID Vendedor]],Vendedores[ID],Vendedores[Setor])</f>
        <v>AHD</v>
      </c>
      <c r="D4615" s="7" t="s">
        <v>18</v>
      </c>
      <c r="E4615" t="str">
        <f>_xlfn.XLOOKUP(Vendas[[#This Row],[ID Item Vendido]],Agregado[ID],Agregado[Produto])</f>
        <v>Peça forjada sob encomenda</v>
      </c>
      <c r="F4615" s="39">
        <v>45798</v>
      </c>
      <c r="G4615" s="7">
        <v>2</v>
      </c>
      <c r="H4615" s="3">
        <f>_xlfn.XLOOKUP(Vendas[[#This Row],[ID Item Vendido]],Agregado[ID],Agregado[Revenda])</f>
        <v>264.60000000000002</v>
      </c>
      <c r="I4615" s="3">
        <f>Vendas[[#This Row],[Valor Unitário]]*Vendas[[#This Row],[Qnt Vendida]]</f>
        <v>529.20000000000005</v>
      </c>
      <c r="J4615" s="3">
        <f>Vendas[[#This Row],[Valor da Venda]]-(_xlfn.XLOOKUP(Vendas[[#This Row],[ID Item Vendido]],Agregado[ID],Agregado[Custo])*Vendas[[#This Row],[Qnt Vendida]])</f>
        <v>29.200000000000045</v>
      </c>
      <c r="K4615" s="70">
        <f>Vendas[[#This Row],[Lucro da Venda]]/Vendas[[#This Row],[Valor da Venda]]</f>
        <v>5.5177626606198113E-2</v>
      </c>
      <c r="L4615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4615"/>
    </row>
    <row r="4616" spans="1:13" x14ac:dyDescent="0.3">
      <c r="A4616" s="7">
        <v>400252</v>
      </c>
      <c r="B4616" t="str">
        <f>_xlfn.XLOOKUP(Vendas[[#This Row],[ID Vendedor]],Vendedores[ID],Vendedores[Nome])</f>
        <v>Renata</v>
      </c>
      <c r="C4616" s="7" t="str">
        <f>_xlfn.XLOOKUP(Vendas[[#This Row],[ID Vendedor]],Vendedores[ID],Vendedores[Setor])</f>
        <v>AB</v>
      </c>
      <c r="D4616" s="7" t="s">
        <v>12</v>
      </c>
      <c r="E4616" t="str">
        <f>_xlfn.XLOOKUP(Vendas[[#This Row],[ID Item Vendido]],Agregado[ID],Agregado[Produto])</f>
        <v>Grânulo de plástico reciclado refinado</v>
      </c>
      <c r="F4616" s="39">
        <v>45798</v>
      </c>
      <c r="G4616" s="7">
        <v>26</v>
      </c>
      <c r="H4616" s="3">
        <f>_xlfn.XLOOKUP(Vendas[[#This Row],[ID Item Vendido]],Agregado[ID],Agregado[Revenda])</f>
        <v>4.7</v>
      </c>
      <c r="I4616" s="3">
        <f>Vendas[[#This Row],[Valor Unitário]]*Vendas[[#This Row],[Qnt Vendida]]</f>
        <v>122.2</v>
      </c>
      <c r="J4616" s="3">
        <f>Vendas[[#This Row],[Valor da Venda]]-(_xlfn.XLOOKUP(Vendas[[#This Row],[ID Item Vendido]],Agregado[ID],Agregado[Custo])*Vendas[[#This Row],[Qnt Vendida]])</f>
        <v>31.200000000000003</v>
      </c>
      <c r="K4616" s="70">
        <f>Vendas[[#This Row],[Lucro da Venda]]/Vendas[[#This Row],[Valor da Venda]]</f>
        <v>0.25531914893617025</v>
      </c>
      <c r="L4616" s="3">
        <f>_xlfn.IFS(Vendas[[#This Row],[Margem de Lucro (%)]]&lt;15%,Vendas[[#This Row],[Valor da Venda]]*3%,Vendas[[#This Row],[Margem de Lucro (%)]]&lt;=20%,Vendas[[#This Row],[Valor da Venda]]*4.5%,TRUE,Vendas[[#This Row],[Valor da Venda]]*6%)</f>
        <v>7.3319999999999999</v>
      </c>
      <c r="M4616"/>
    </row>
    <row r="4617" spans="1:13" x14ac:dyDescent="0.3">
      <c r="A4617" s="7">
        <v>400248</v>
      </c>
      <c r="B4617" t="str">
        <f>_xlfn.XLOOKUP(Vendas[[#This Row],[ID Vendedor]],Vendedores[ID],Vendedores[Nome])</f>
        <v>Patrícia</v>
      </c>
      <c r="C4617" s="7" t="str">
        <f>_xlfn.XLOOKUP(Vendas[[#This Row],[ID Vendedor]],Vendedores[ID],Vendedores[Setor])</f>
        <v>CM</v>
      </c>
      <c r="D4617" s="7" t="s">
        <v>22</v>
      </c>
      <c r="E4617" t="str">
        <f>_xlfn.XLOOKUP(Vendas[[#This Row],[ID Item Vendido]],Agregado[ID],Agregado[Produto])</f>
        <v>Painel MDP 2,75x1,83m</v>
      </c>
      <c r="F4617" s="39">
        <v>45799</v>
      </c>
      <c r="G4617" s="7">
        <v>21</v>
      </c>
      <c r="H4617" s="3">
        <f>_xlfn.XLOOKUP(Vendas[[#This Row],[ID Item Vendido]],Agregado[ID],Agregado[Revenda])</f>
        <v>119</v>
      </c>
      <c r="I4617" s="3">
        <f>Vendas[[#This Row],[Valor Unitário]]*Vendas[[#This Row],[Qnt Vendida]]</f>
        <v>2499</v>
      </c>
      <c r="J4617" s="3">
        <f>Vendas[[#This Row],[Valor da Venda]]-(_xlfn.XLOOKUP(Vendas[[#This Row],[ID Item Vendido]],Agregado[ID],Agregado[Custo])*Vendas[[#This Row],[Qnt Vendida]])</f>
        <v>504</v>
      </c>
      <c r="K4617" s="70">
        <f>Vendas[[#This Row],[Lucro da Venda]]/Vendas[[#This Row],[Valor da Venda]]</f>
        <v>0.20168067226890757</v>
      </c>
      <c r="L4617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4617"/>
    </row>
    <row r="4618" spans="1:13" x14ac:dyDescent="0.3">
      <c r="A4618" s="7">
        <v>400244</v>
      </c>
      <c r="B4618" t="str">
        <f>_xlfn.XLOOKUP(Vendas[[#This Row],[ID Vendedor]],Vendedores[ID],Vendedores[Nome])</f>
        <v>Camila</v>
      </c>
      <c r="C4618" s="7" t="str">
        <f>_xlfn.XLOOKUP(Vendas[[#This Row],[ID Vendedor]],Vendedores[ID],Vendedores[Setor])</f>
        <v>AHD</v>
      </c>
      <c r="D4618" s="7" t="s">
        <v>44</v>
      </c>
      <c r="E4618" t="str">
        <f>_xlfn.XLOOKUP(Vendas[[#This Row],[ID Item Vendido]],Agregado[ID],Agregado[Produto])</f>
        <v>Liga metálica especial</v>
      </c>
      <c r="F4618" s="39">
        <v>45799</v>
      </c>
      <c r="G4618" s="7">
        <v>50</v>
      </c>
      <c r="H4618" s="3">
        <f>_xlfn.XLOOKUP(Vendas[[#This Row],[ID Item Vendido]],Agregado[ID],Agregado[Revenda])</f>
        <v>32.5</v>
      </c>
      <c r="I4618" s="3">
        <f>Vendas[[#This Row],[Valor Unitário]]*Vendas[[#This Row],[Qnt Vendida]]</f>
        <v>1625</v>
      </c>
      <c r="J4618" s="3">
        <f>Vendas[[#This Row],[Valor da Venda]]-(_xlfn.XLOOKUP(Vendas[[#This Row],[ID Item Vendido]],Agregado[ID],Agregado[Custo])*Vendas[[#This Row],[Qnt Vendida]])</f>
        <v>375</v>
      </c>
      <c r="K4618" s="70">
        <f>Vendas[[#This Row],[Lucro da Venda]]/Vendas[[#This Row],[Valor da Venda]]</f>
        <v>0.23076923076923078</v>
      </c>
      <c r="L4618" s="3">
        <f>_xlfn.IFS(Vendas[[#This Row],[Margem de Lucro (%)]]&lt;15%,Vendas[[#This Row],[Valor da Venda]]*3%,Vendas[[#This Row],[Margem de Lucro (%)]]&lt;=20%,Vendas[[#This Row],[Valor da Venda]]*4.5%,TRUE,Vendas[[#This Row],[Valor da Venda]]*6%)</f>
        <v>97.5</v>
      </c>
      <c r="M4618"/>
    </row>
    <row r="4619" spans="1:13" x14ac:dyDescent="0.3">
      <c r="A4619" s="7">
        <v>400244</v>
      </c>
      <c r="B4619" t="str">
        <f>_xlfn.XLOOKUP(Vendas[[#This Row],[ID Vendedor]],Vendedores[ID],Vendedores[Nome])</f>
        <v>Camila</v>
      </c>
      <c r="C4619" s="7" t="str">
        <f>_xlfn.XLOOKUP(Vendas[[#This Row],[ID Vendedor]],Vendedores[ID],Vendedores[Setor])</f>
        <v>AHD</v>
      </c>
      <c r="D4619" s="7" t="s">
        <v>18</v>
      </c>
      <c r="E4619" t="str">
        <f>_xlfn.XLOOKUP(Vendas[[#This Row],[ID Item Vendido]],Agregado[ID],Agregado[Produto])</f>
        <v>Peça forjada sob encomenda</v>
      </c>
      <c r="F4619" s="39">
        <v>45799</v>
      </c>
      <c r="G4619" s="7">
        <v>4</v>
      </c>
      <c r="H4619" s="3">
        <f>_xlfn.XLOOKUP(Vendas[[#This Row],[ID Item Vendido]],Agregado[ID],Agregado[Revenda])</f>
        <v>264.60000000000002</v>
      </c>
      <c r="I4619" s="3">
        <f>Vendas[[#This Row],[Valor Unitário]]*Vendas[[#This Row],[Qnt Vendida]]</f>
        <v>1058.4000000000001</v>
      </c>
      <c r="J4619" s="3">
        <f>Vendas[[#This Row],[Valor da Venda]]-(_xlfn.XLOOKUP(Vendas[[#This Row],[ID Item Vendido]],Agregado[ID],Agregado[Custo])*Vendas[[#This Row],[Qnt Vendida]])</f>
        <v>58.400000000000091</v>
      </c>
      <c r="K4619" s="70">
        <f>Vendas[[#This Row],[Lucro da Venda]]/Vendas[[#This Row],[Valor da Venda]]</f>
        <v>5.5177626606198113E-2</v>
      </c>
      <c r="L4619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4619"/>
    </row>
    <row r="4620" spans="1:13" x14ac:dyDescent="0.3">
      <c r="A4620" s="7">
        <v>400255</v>
      </c>
      <c r="B4620" t="str">
        <f>_xlfn.XLOOKUP(Vendas[[#This Row],[ID Vendedor]],Vendedores[ID],Vendedores[Nome])</f>
        <v>Carlos</v>
      </c>
      <c r="C4620" s="7" t="str">
        <f>_xlfn.XLOOKUP(Vendas[[#This Row],[ID Vendedor]],Vendedores[ID],Vendedores[Setor])</f>
        <v>SC</v>
      </c>
      <c r="D4620" s="7" t="s">
        <v>48</v>
      </c>
      <c r="E4620" t="str">
        <f>_xlfn.XLOOKUP(Vendas[[#This Row],[ID Item Vendido]],Agregado[ID],Agregado[Produto])</f>
        <v>Tambor metálico 200L</v>
      </c>
      <c r="F4620" s="39">
        <v>45799</v>
      </c>
      <c r="G4620" s="7">
        <v>8</v>
      </c>
      <c r="H4620" s="3">
        <f>_xlfn.XLOOKUP(Vendas[[#This Row],[ID Item Vendido]],Agregado[ID],Agregado[Revenda])</f>
        <v>144</v>
      </c>
      <c r="I4620" s="3">
        <f>Vendas[[#This Row],[Valor Unitário]]*Vendas[[#This Row],[Qnt Vendida]]</f>
        <v>1152</v>
      </c>
      <c r="J4620" s="3">
        <f>Vendas[[#This Row],[Valor da Venda]]-(_xlfn.XLOOKUP(Vendas[[#This Row],[ID Item Vendido]],Agregado[ID],Agregado[Custo])*Vendas[[#This Row],[Qnt Vendida]])</f>
        <v>192</v>
      </c>
      <c r="K4620" s="70">
        <f>Vendas[[#This Row],[Lucro da Venda]]/Vendas[[#This Row],[Valor da Venda]]</f>
        <v>0.16666666666666666</v>
      </c>
      <c r="L4620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4620"/>
    </row>
    <row r="4621" spans="1:13" x14ac:dyDescent="0.3">
      <c r="A4621" s="7">
        <v>400243</v>
      </c>
      <c r="B4621" t="str">
        <f>_xlfn.XLOOKUP(Vendas[[#This Row],[ID Vendedor]],Vendedores[ID],Vendedores[Nome])</f>
        <v>Marcelo</v>
      </c>
      <c r="C4621" s="7" t="str">
        <f>_xlfn.XLOOKUP(Vendas[[#This Row],[ID Vendedor]],Vendedores[ID],Vendedores[Setor])</f>
        <v>FM</v>
      </c>
      <c r="D4621" s="7" t="s">
        <v>6</v>
      </c>
      <c r="E4621" t="str">
        <f>_xlfn.XLOOKUP(Vendas[[#This Row],[ID Item Vendido]],Agregado[ID],Agregado[Produto])</f>
        <v>Parafuso comum 500un</v>
      </c>
      <c r="F4621" s="39">
        <v>45799</v>
      </c>
      <c r="G4621" s="7">
        <v>25</v>
      </c>
      <c r="H4621" s="3">
        <f>_xlfn.XLOOKUP(Vendas[[#This Row],[ID Item Vendido]],Agregado[ID],Agregado[Revenda])</f>
        <v>24.6</v>
      </c>
      <c r="I4621" s="3">
        <f>Vendas[[#This Row],[Valor Unitário]]*Vendas[[#This Row],[Qnt Vendida]]</f>
        <v>615</v>
      </c>
      <c r="J4621" s="3">
        <f>Vendas[[#This Row],[Valor da Venda]]-(_xlfn.XLOOKUP(Vendas[[#This Row],[ID Item Vendido]],Agregado[ID],Agregado[Custo])*Vendas[[#This Row],[Qnt Vendida]])</f>
        <v>65</v>
      </c>
      <c r="K4621" s="70">
        <f>Vendas[[#This Row],[Lucro da Venda]]/Vendas[[#This Row],[Valor da Venda]]</f>
        <v>0.10569105691056911</v>
      </c>
      <c r="L4621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4621"/>
    </row>
    <row r="4622" spans="1:13" x14ac:dyDescent="0.3">
      <c r="A4622" s="7">
        <v>400246</v>
      </c>
      <c r="B4622" t="str">
        <f>_xlfn.XLOOKUP(Vendas[[#This Row],[ID Vendedor]],Vendedores[ID],Vendedores[Nome])</f>
        <v>Juliana</v>
      </c>
      <c r="C4622" s="7" t="str">
        <f>_xlfn.XLOOKUP(Vendas[[#This Row],[ID Vendedor]],Vendedores[ID],Vendedores[Setor])</f>
        <v>AHD</v>
      </c>
      <c r="D4622" s="7" t="s">
        <v>28</v>
      </c>
      <c r="E4622" t="str">
        <f>_xlfn.XLOOKUP(Vendas[[#This Row],[ID Item Vendido]],Agregado[ID],Agregado[Produto])</f>
        <v>Peça usinada CNC</v>
      </c>
      <c r="F4622" s="39">
        <v>45799</v>
      </c>
      <c r="G4622" s="7">
        <v>3</v>
      </c>
      <c r="H4622" s="3">
        <f>_xlfn.XLOOKUP(Vendas[[#This Row],[ID Item Vendido]],Agregado[ID],Agregado[Revenda])</f>
        <v>192</v>
      </c>
      <c r="I4622" s="3">
        <f>Vendas[[#This Row],[Valor Unitário]]*Vendas[[#This Row],[Qnt Vendida]]</f>
        <v>576</v>
      </c>
      <c r="J4622" s="3">
        <f>Vendas[[#This Row],[Valor da Venda]]-(_xlfn.XLOOKUP(Vendas[[#This Row],[ID Item Vendido]],Agregado[ID],Agregado[Custo])*Vendas[[#This Row],[Qnt Vendida]])</f>
        <v>126</v>
      </c>
      <c r="K4622" s="70">
        <f>Vendas[[#This Row],[Lucro da Venda]]/Vendas[[#This Row],[Valor da Venda]]</f>
        <v>0.21875</v>
      </c>
      <c r="L4622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4622"/>
    </row>
    <row r="4623" spans="1:13" x14ac:dyDescent="0.3">
      <c r="A4623" s="7">
        <v>400242</v>
      </c>
      <c r="B4623" t="str">
        <f>_xlfn.XLOOKUP(Vendas[[#This Row],[ID Vendedor]],Vendedores[ID],Vendedores[Nome])</f>
        <v>Fernanda</v>
      </c>
      <c r="C4623" s="7" t="str">
        <f>_xlfn.XLOOKUP(Vendas[[#This Row],[ID Vendedor]],Vendedores[ID],Vendedores[Setor])</f>
        <v>FM</v>
      </c>
      <c r="D4623" s="7" t="s">
        <v>47</v>
      </c>
      <c r="E4623" t="str">
        <f>_xlfn.XLOOKUP(Vendas[[#This Row],[ID Item Vendido]],Agregado[ID],Agregado[Produto])</f>
        <v>Fio de arame galvanizado rolo 50m</v>
      </c>
      <c r="F4623" s="39">
        <v>45799</v>
      </c>
      <c r="G4623" s="7">
        <v>12</v>
      </c>
      <c r="H4623" s="3">
        <f>_xlfn.XLOOKUP(Vendas[[#This Row],[ID Item Vendido]],Agregado[ID],Agregado[Revenda])</f>
        <v>21.2</v>
      </c>
      <c r="I4623" s="3">
        <f>Vendas[[#This Row],[Valor Unitário]]*Vendas[[#This Row],[Qnt Vendida]]</f>
        <v>254.39999999999998</v>
      </c>
      <c r="J4623" s="3">
        <f>Vendas[[#This Row],[Valor da Venda]]-(_xlfn.XLOOKUP(Vendas[[#This Row],[ID Item Vendido]],Agregado[ID],Agregado[Custo])*Vendas[[#This Row],[Qnt Vendida]])</f>
        <v>38.399999999999977</v>
      </c>
      <c r="K4623" s="70">
        <f>Vendas[[#This Row],[Lucro da Venda]]/Vendas[[#This Row],[Valor da Venda]]</f>
        <v>0.15094339622641501</v>
      </c>
      <c r="L4623" s="3">
        <f>_xlfn.IFS(Vendas[[#This Row],[Margem de Lucro (%)]]&lt;15%,Vendas[[#This Row],[Valor da Venda]]*3%,Vendas[[#This Row],[Margem de Lucro (%)]]&lt;=20%,Vendas[[#This Row],[Valor da Venda]]*4.5%,TRUE,Vendas[[#This Row],[Valor da Venda]]*6%)</f>
        <v>11.447999999999999</v>
      </c>
      <c r="M4623"/>
    </row>
    <row r="4624" spans="1:13" x14ac:dyDescent="0.3">
      <c r="A4624" s="7">
        <v>400251</v>
      </c>
      <c r="B4624" t="str">
        <f>_xlfn.XLOOKUP(Vendas[[#This Row],[ID Vendedor]],Vendedores[ID],Vendedores[Nome])</f>
        <v>Diego</v>
      </c>
      <c r="C4624" s="7" t="str">
        <f>_xlfn.XLOOKUP(Vendas[[#This Row],[ID Vendedor]],Vendedores[ID],Vendedores[Setor])</f>
        <v>AB</v>
      </c>
      <c r="D4624" s="7" t="s">
        <v>39</v>
      </c>
      <c r="E4624" t="str">
        <f>_xlfn.XLOOKUP(Vendas[[#This Row],[ID Item Vendido]],Agregado[ID],Agregado[Produto])</f>
        <v>Filme plástico industrial rolo 50m</v>
      </c>
      <c r="F4624" s="39">
        <v>45800</v>
      </c>
      <c r="G4624" s="7">
        <v>11</v>
      </c>
      <c r="H4624" s="3">
        <f>_xlfn.XLOOKUP(Vendas[[#This Row],[ID Item Vendido]],Agregado[ID],Agregado[Revenda])</f>
        <v>37</v>
      </c>
      <c r="I4624" s="3">
        <f>Vendas[[#This Row],[Valor Unitário]]*Vendas[[#This Row],[Qnt Vendida]]</f>
        <v>407</v>
      </c>
      <c r="J4624" s="3">
        <f>Vendas[[#This Row],[Valor da Venda]]-(_xlfn.XLOOKUP(Vendas[[#This Row],[ID Item Vendido]],Agregado[ID],Agregado[Custo])*Vendas[[#This Row],[Qnt Vendida]])</f>
        <v>99</v>
      </c>
      <c r="K4624" s="70">
        <f>Vendas[[#This Row],[Lucro da Venda]]/Vendas[[#This Row],[Valor da Venda]]</f>
        <v>0.24324324324324326</v>
      </c>
      <c r="L4624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4624"/>
    </row>
    <row r="4625" spans="1:13" x14ac:dyDescent="0.3">
      <c r="A4625" s="7">
        <v>400247</v>
      </c>
      <c r="B4625" t="str">
        <f>_xlfn.XLOOKUP(Vendas[[#This Row],[ID Vendedor]],Vendedores[ID],Vendedores[Nome])</f>
        <v>André</v>
      </c>
      <c r="C4625" s="7" t="str">
        <f>_xlfn.XLOOKUP(Vendas[[#This Row],[ID Vendedor]],Vendedores[ID],Vendedores[Setor])</f>
        <v>CM</v>
      </c>
      <c r="D4625" s="7" t="s">
        <v>34</v>
      </c>
      <c r="E4625" t="str">
        <f>_xlfn.XLOOKUP(Vendas[[#This Row],[ID Item Vendido]],Agregado[ID],Agregado[Produto])</f>
        <v>Restos de madeira p/ MDP/OSB saco de 20kg</v>
      </c>
      <c r="F4625" s="39">
        <v>45800</v>
      </c>
      <c r="G4625" s="7">
        <v>23</v>
      </c>
      <c r="H4625" s="3">
        <f>_xlfn.XLOOKUP(Vendas[[#This Row],[ID Item Vendido]],Agregado[ID],Agregado[Revenda])</f>
        <v>13.8</v>
      </c>
      <c r="I4625" s="3">
        <f>Vendas[[#This Row],[Valor Unitário]]*Vendas[[#This Row],[Qnt Vendida]]</f>
        <v>317.40000000000003</v>
      </c>
      <c r="J4625" s="3">
        <f>Vendas[[#This Row],[Valor da Venda]]-(_xlfn.XLOOKUP(Vendas[[#This Row],[ID Item Vendido]],Agregado[ID],Agregado[Custo])*Vendas[[#This Row],[Qnt Vendida]])</f>
        <v>41.400000000000034</v>
      </c>
      <c r="K4625" s="70">
        <f>Vendas[[#This Row],[Lucro da Venda]]/Vendas[[#This Row],[Valor da Venda]]</f>
        <v>0.13043478260869573</v>
      </c>
      <c r="L4625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4625"/>
    </row>
    <row r="4626" spans="1:13" x14ac:dyDescent="0.3">
      <c r="A4626" s="7">
        <v>400251</v>
      </c>
      <c r="B4626" t="str">
        <f>_xlfn.XLOOKUP(Vendas[[#This Row],[ID Vendedor]],Vendedores[ID],Vendedores[Nome])</f>
        <v>Diego</v>
      </c>
      <c r="C4626" s="7" t="str">
        <f>_xlfn.XLOOKUP(Vendas[[#This Row],[ID Vendedor]],Vendedores[ID],Vendedores[Setor])</f>
        <v>AB</v>
      </c>
      <c r="D4626" s="7" t="s">
        <v>12</v>
      </c>
      <c r="E4626" t="str">
        <f>_xlfn.XLOOKUP(Vendas[[#This Row],[ID Item Vendido]],Agregado[ID],Agregado[Produto])</f>
        <v>Grânulo de plástico reciclado refinado</v>
      </c>
      <c r="F4626" s="39">
        <v>45800</v>
      </c>
      <c r="G4626" s="7">
        <v>32</v>
      </c>
      <c r="H4626" s="3">
        <f>_xlfn.XLOOKUP(Vendas[[#This Row],[ID Item Vendido]],Agregado[ID],Agregado[Revenda])</f>
        <v>4.7</v>
      </c>
      <c r="I4626" s="3">
        <f>Vendas[[#This Row],[Valor Unitário]]*Vendas[[#This Row],[Qnt Vendida]]</f>
        <v>150.4</v>
      </c>
      <c r="J4626" s="3">
        <f>Vendas[[#This Row],[Valor da Venda]]-(_xlfn.XLOOKUP(Vendas[[#This Row],[ID Item Vendido]],Agregado[ID],Agregado[Custo])*Vendas[[#This Row],[Qnt Vendida]])</f>
        <v>38.400000000000006</v>
      </c>
      <c r="K4626" s="70">
        <f>Vendas[[#This Row],[Lucro da Venda]]/Vendas[[#This Row],[Valor da Venda]]</f>
        <v>0.25531914893617025</v>
      </c>
      <c r="L4626" s="3">
        <f>_xlfn.IFS(Vendas[[#This Row],[Margem de Lucro (%)]]&lt;15%,Vendas[[#This Row],[Valor da Venda]]*3%,Vendas[[#This Row],[Margem de Lucro (%)]]&lt;=20%,Vendas[[#This Row],[Valor da Venda]]*4.5%,TRUE,Vendas[[#This Row],[Valor da Venda]]*6%)</f>
        <v>9.0239999999999991</v>
      </c>
      <c r="M4626"/>
    </row>
    <row r="4627" spans="1:13" x14ac:dyDescent="0.3">
      <c r="A4627" s="7">
        <v>400249</v>
      </c>
      <c r="B4627" t="str">
        <f>_xlfn.XLOOKUP(Vendas[[#This Row],[ID Vendedor]],Vendedores[ID],Vendedores[Nome])</f>
        <v>Bruno</v>
      </c>
      <c r="C4627" s="7" t="str">
        <f>_xlfn.XLOOKUP(Vendas[[#This Row],[ID Vendedor]],Vendedores[ID],Vendedores[Setor])</f>
        <v>CM</v>
      </c>
      <c r="D4627" s="7" t="s">
        <v>43</v>
      </c>
      <c r="E4627" t="str">
        <f>_xlfn.XLOOKUP(Vendas[[#This Row],[ID Item Vendido]],Agregado[ID],Agregado[Produto])</f>
        <v>Madeira Bruta (Tora)</v>
      </c>
      <c r="F4627" s="39">
        <v>45802</v>
      </c>
      <c r="G4627" s="7">
        <v>13</v>
      </c>
      <c r="H4627" s="3">
        <f>_xlfn.XLOOKUP(Vendas[[#This Row],[ID Item Vendido]],Agregado[ID],Agregado[Revenda])</f>
        <v>212</v>
      </c>
      <c r="I4627" s="3">
        <f>Vendas[[#This Row],[Valor Unitário]]*Vendas[[#This Row],[Qnt Vendida]]</f>
        <v>2756</v>
      </c>
      <c r="J4627" s="3">
        <f>Vendas[[#This Row],[Valor da Venda]]-(_xlfn.XLOOKUP(Vendas[[#This Row],[ID Item Vendido]],Agregado[ID],Agregado[Custo])*Vendas[[#This Row],[Qnt Vendida]])</f>
        <v>416</v>
      </c>
      <c r="K4627" s="70">
        <f>Vendas[[#This Row],[Lucro da Venda]]/Vendas[[#This Row],[Valor da Venda]]</f>
        <v>0.15094339622641509</v>
      </c>
      <c r="L4627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4627"/>
    </row>
    <row r="4628" spans="1:13" x14ac:dyDescent="0.3">
      <c r="A4628" s="7">
        <v>400254</v>
      </c>
      <c r="B4628" t="str">
        <f>_xlfn.XLOOKUP(Vendas[[#This Row],[ID Vendedor]],Vendedores[ID],Vendedores[Nome])</f>
        <v>Beatriz</v>
      </c>
      <c r="C4628" s="7" t="str">
        <f>_xlfn.XLOOKUP(Vendas[[#This Row],[ID Vendedor]],Vendedores[ID],Vendedores[Setor])</f>
        <v>SC</v>
      </c>
      <c r="D4628" s="7" t="s">
        <v>25</v>
      </c>
      <c r="E4628" t="str">
        <f>_xlfn.XLOOKUP(Vendas[[#This Row],[ID Item Vendido]],Agregado[ID],Agregado[Produto])</f>
        <v>Palete de plástico</v>
      </c>
      <c r="F4628" s="39">
        <v>45802</v>
      </c>
      <c r="G4628" s="7">
        <v>8</v>
      </c>
      <c r="H4628" s="3">
        <f>_xlfn.XLOOKUP(Vendas[[#This Row],[ID Item Vendido]],Agregado[ID],Agregado[Revenda])</f>
        <v>70.8</v>
      </c>
      <c r="I4628" s="3">
        <f>Vendas[[#This Row],[Valor Unitário]]*Vendas[[#This Row],[Qnt Vendida]]</f>
        <v>566.4</v>
      </c>
      <c r="J4628" s="3">
        <f>Vendas[[#This Row],[Valor da Venda]]-(_xlfn.XLOOKUP(Vendas[[#This Row],[ID Item Vendido]],Agregado[ID],Agregado[Custo])*Vendas[[#This Row],[Qnt Vendida]])</f>
        <v>86.399999999999977</v>
      </c>
      <c r="K4628" s="70">
        <f>Vendas[[#This Row],[Lucro da Venda]]/Vendas[[#This Row],[Valor da Venda]]</f>
        <v>0.15254237288135589</v>
      </c>
      <c r="L4628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4628"/>
    </row>
    <row r="4629" spans="1:13" x14ac:dyDescent="0.3">
      <c r="A4629" s="7">
        <v>400245</v>
      </c>
      <c r="B4629" t="str">
        <f>_xlfn.XLOOKUP(Vendas[[#This Row],[ID Vendedor]],Vendedores[ID],Vendedores[Nome])</f>
        <v>Thiago</v>
      </c>
      <c r="C4629" s="7" t="str">
        <f>_xlfn.XLOOKUP(Vendas[[#This Row],[ID Vendedor]],Vendedores[ID],Vendedores[Setor])</f>
        <v>AHD</v>
      </c>
      <c r="D4629" s="7" t="s">
        <v>9</v>
      </c>
      <c r="E4629" t="str">
        <f>_xlfn.XLOOKUP(Vendas[[#This Row],[ID Item Vendido]],Agregado[ID],Agregado[Produto])</f>
        <v>Barra de aço simples</v>
      </c>
      <c r="F4629" s="39">
        <v>45802</v>
      </c>
      <c r="G4629" s="7">
        <v>54</v>
      </c>
      <c r="H4629" s="3">
        <f>_xlfn.XLOOKUP(Vendas[[#This Row],[ID Item Vendido]],Agregado[ID],Agregado[Revenda])</f>
        <v>6.7</v>
      </c>
      <c r="I4629" s="3">
        <f>Vendas[[#This Row],[Valor Unitário]]*Vendas[[#This Row],[Qnt Vendida]]</f>
        <v>361.8</v>
      </c>
      <c r="J4629" s="3">
        <f>Vendas[[#This Row],[Valor da Venda]]-(_xlfn.XLOOKUP(Vendas[[#This Row],[ID Item Vendido]],Agregado[ID],Agregado[Custo])*Vendas[[#This Row],[Qnt Vendida]])</f>
        <v>48.600000000000023</v>
      </c>
      <c r="K4629" s="70">
        <f>Vendas[[#This Row],[Lucro da Venda]]/Vendas[[#This Row],[Valor da Venda]]</f>
        <v>0.13432835820895528</v>
      </c>
      <c r="L4629" s="3">
        <f>_xlfn.IFS(Vendas[[#This Row],[Margem de Lucro (%)]]&lt;15%,Vendas[[#This Row],[Valor da Venda]]*3%,Vendas[[#This Row],[Margem de Lucro (%)]]&lt;=20%,Vendas[[#This Row],[Valor da Venda]]*4.5%,TRUE,Vendas[[#This Row],[Valor da Venda]]*6%)</f>
        <v>10.853999999999999</v>
      </c>
      <c r="M4629"/>
    </row>
    <row r="4630" spans="1:13" x14ac:dyDescent="0.3">
      <c r="A4630" s="7">
        <v>400241</v>
      </c>
      <c r="B4630" t="str">
        <f>_xlfn.XLOOKUP(Vendas[[#This Row],[ID Vendedor]],Vendedores[ID],Vendedores[Nome])</f>
        <v>Rodrigo</v>
      </c>
      <c r="C4630" s="7" t="str">
        <f>_xlfn.XLOOKUP(Vendas[[#This Row],[ID Vendedor]],Vendedores[ID],Vendedores[Setor])</f>
        <v>FM</v>
      </c>
      <c r="D4630" s="7" t="s">
        <v>6</v>
      </c>
      <c r="E4630" t="str">
        <f>_xlfn.XLOOKUP(Vendas[[#This Row],[ID Item Vendido]],Agregado[ID],Agregado[Produto])</f>
        <v>Parafuso comum 500un</v>
      </c>
      <c r="F4630" s="39">
        <v>45802</v>
      </c>
      <c r="G4630" s="7">
        <v>4</v>
      </c>
      <c r="H4630" s="3">
        <f>_xlfn.XLOOKUP(Vendas[[#This Row],[ID Item Vendido]],Agregado[ID],Agregado[Revenda])</f>
        <v>24.6</v>
      </c>
      <c r="I4630" s="3">
        <f>Vendas[[#This Row],[Valor Unitário]]*Vendas[[#This Row],[Qnt Vendida]]</f>
        <v>98.4</v>
      </c>
      <c r="J4630" s="3">
        <f>Vendas[[#This Row],[Valor da Venda]]-(_xlfn.XLOOKUP(Vendas[[#This Row],[ID Item Vendido]],Agregado[ID],Agregado[Custo])*Vendas[[#This Row],[Qnt Vendida]])</f>
        <v>10.400000000000006</v>
      </c>
      <c r="K4630" s="70">
        <f>Vendas[[#This Row],[Lucro da Venda]]/Vendas[[#This Row],[Valor da Venda]]</f>
        <v>0.10569105691056915</v>
      </c>
      <c r="L4630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4630"/>
    </row>
    <row r="4631" spans="1:13" x14ac:dyDescent="0.3">
      <c r="A4631" s="7">
        <v>400246</v>
      </c>
      <c r="B4631" t="str">
        <f>_xlfn.XLOOKUP(Vendas[[#This Row],[ID Vendedor]],Vendedores[ID],Vendedores[Nome])</f>
        <v>Juliana</v>
      </c>
      <c r="C4631" s="7" t="str">
        <f>_xlfn.XLOOKUP(Vendas[[#This Row],[ID Vendedor]],Vendedores[ID],Vendedores[Setor])</f>
        <v>AHD</v>
      </c>
      <c r="D4631" s="7" t="s">
        <v>44</v>
      </c>
      <c r="E4631" t="str">
        <f>_xlfn.XLOOKUP(Vendas[[#This Row],[ID Item Vendido]],Agregado[ID],Agregado[Produto])</f>
        <v>Liga metálica especial</v>
      </c>
      <c r="F4631" s="39">
        <v>45804</v>
      </c>
      <c r="G4631" s="7">
        <v>37</v>
      </c>
      <c r="H4631" s="3">
        <f>_xlfn.XLOOKUP(Vendas[[#This Row],[ID Item Vendido]],Agregado[ID],Agregado[Revenda])</f>
        <v>32.5</v>
      </c>
      <c r="I4631" s="3">
        <f>Vendas[[#This Row],[Valor Unitário]]*Vendas[[#This Row],[Qnt Vendida]]</f>
        <v>1202.5</v>
      </c>
      <c r="J4631" s="3">
        <f>Vendas[[#This Row],[Valor da Venda]]-(_xlfn.XLOOKUP(Vendas[[#This Row],[ID Item Vendido]],Agregado[ID],Agregado[Custo])*Vendas[[#This Row],[Qnt Vendida]])</f>
        <v>277.5</v>
      </c>
      <c r="K4631" s="70">
        <f>Vendas[[#This Row],[Lucro da Venda]]/Vendas[[#This Row],[Valor da Venda]]</f>
        <v>0.23076923076923078</v>
      </c>
      <c r="L4631" s="3">
        <f>_xlfn.IFS(Vendas[[#This Row],[Margem de Lucro (%)]]&lt;15%,Vendas[[#This Row],[Valor da Venda]]*3%,Vendas[[#This Row],[Margem de Lucro (%)]]&lt;=20%,Vendas[[#This Row],[Valor da Venda]]*4.5%,TRUE,Vendas[[#This Row],[Valor da Venda]]*6%)</f>
        <v>72.149999999999991</v>
      </c>
      <c r="M4631"/>
    </row>
    <row r="4632" spans="1:13" x14ac:dyDescent="0.3">
      <c r="A4632" s="7">
        <v>400248</v>
      </c>
      <c r="B4632" t="str">
        <f>_xlfn.XLOOKUP(Vendas[[#This Row],[ID Vendedor]],Vendedores[ID],Vendedores[Nome])</f>
        <v>Patrícia</v>
      </c>
      <c r="C4632" s="7" t="str">
        <f>_xlfn.XLOOKUP(Vendas[[#This Row],[ID Vendedor]],Vendedores[ID],Vendedores[Setor])</f>
        <v>CM</v>
      </c>
      <c r="D4632" s="7" t="s">
        <v>45</v>
      </c>
      <c r="E4632" t="str">
        <f>_xlfn.XLOOKUP(Vendas[[#This Row],[ID Item Vendido]],Agregado[ID],Agregado[Produto])</f>
        <v>Viga de madeira tratada 4m</v>
      </c>
      <c r="F4632" s="39">
        <v>45804</v>
      </c>
      <c r="G4632" s="7">
        <v>17</v>
      </c>
      <c r="H4632" s="3">
        <f>_xlfn.XLOOKUP(Vendas[[#This Row],[ID Item Vendido]],Agregado[ID],Agregado[Revenda])</f>
        <v>66</v>
      </c>
      <c r="I4632" s="3">
        <f>Vendas[[#This Row],[Valor Unitário]]*Vendas[[#This Row],[Qnt Vendida]]</f>
        <v>1122</v>
      </c>
      <c r="J4632" s="3">
        <f>Vendas[[#This Row],[Valor da Venda]]-(_xlfn.XLOOKUP(Vendas[[#This Row],[ID Item Vendido]],Agregado[ID],Agregado[Custo])*Vendas[[#This Row],[Qnt Vendida]])</f>
        <v>187</v>
      </c>
      <c r="K4632" s="70">
        <f>Vendas[[#This Row],[Lucro da Venda]]/Vendas[[#This Row],[Valor da Venda]]</f>
        <v>0.16666666666666666</v>
      </c>
      <c r="L4632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4632"/>
    </row>
    <row r="4633" spans="1:13" x14ac:dyDescent="0.3">
      <c r="A4633" s="7">
        <v>400252</v>
      </c>
      <c r="B4633" t="str">
        <f>_xlfn.XLOOKUP(Vendas[[#This Row],[ID Vendedor]],Vendedores[ID],Vendedores[Nome])</f>
        <v>Renata</v>
      </c>
      <c r="C4633" s="7" t="str">
        <f>_xlfn.XLOOKUP(Vendas[[#This Row],[ID Vendedor]],Vendedores[ID],Vendedores[Setor])</f>
        <v>AB</v>
      </c>
      <c r="D4633" s="7" t="s">
        <v>36</v>
      </c>
      <c r="E4633" t="str">
        <f>_xlfn.XLOOKUP(Vendas[[#This Row],[ID Item Vendido]],Agregado[ID],Agregado[Produto])</f>
        <v>Borracha vulcanizada em manta</v>
      </c>
      <c r="F4633" s="39">
        <v>45804</v>
      </c>
      <c r="G4633" s="7">
        <v>82</v>
      </c>
      <c r="H4633" s="3">
        <f>_xlfn.XLOOKUP(Vendas[[#This Row],[ID Item Vendido]],Agregado[ID],Agregado[Revenda])</f>
        <v>7.8</v>
      </c>
      <c r="I4633" s="3">
        <f>Vendas[[#This Row],[Valor Unitário]]*Vendas[[#This Row],[Qnt Vendida]]</f>
        <v>639.6</v>
      </c>
      <c r="J4633" s="3">
        <f>Vendas[[#This Row],[Valor da Venda]]-(_xlfn.XLOOKUP(Vendas[[#This Row],[ID Item Vendido]],Agregado[ID],Agregado[Custo])*Vendas[[#This Row],[Qnt Vendida]])</f>
        <v>147.60000000000002</v>
      </c>
      <c r="K4633" s="70">
        <f>Vendas[[#This Row],[Lucro da Venda]]/Vendas[[#This Row],[Valor da Venda]]</f>
        <v>0.23076923076923081</v>
      </c>
      <c r="L4633" s="3">
        <f>_xlfn.IFS(Vendas[[#This Row],[Margem de Lucro (%)]]&lt;15%,Vendas[[#This Row],[Valor da Venda]]*3%,Vendas[[#This Row],[Margem de Lucro (%)]]&lt;=20%,Vendas[[#This Row],[Valor da Venda]]*4.5%,TRUE,Vendas[[#This Row],[Valor da Venda]]*6%)</f>
        <v>38.375999999999998</v>
      </c>
      <c r="M4633"/>
    </row>
    <row r="4634" spans="1:13" x14ac:dyDescent="0.3">
      <c r="A4634" s="7">
        <v>400242</v>
      </c>
      <c r="B4634" t="str">
        <f>_xlfn.XLOOKUP(Vendas[[#This Row],[ID Vendedor]],Vendedores[ID],Vendedores[Nome])</f>
        <v>Fernanda</v>
      </c>
      <c r="C4634" s="7" t="str">
        <f>_xlfn.XLOOKUP(Vendas[[#This Row],[ID Vendedor]],Vendedores[ID],Vendedores[Setor])</f>
        <v>FM</v>
      </c>
      <c r="D4634" s="7" t="s">
        <v>31</v>
      </c>
      <c r="E4634" t="str">
        <f>_xlfn.XLOOKUP(Vendas[[#This Row],[ID Item Vendido]],Agregado[ID],Agregado[Produto])</f>
        <v>Tela de metal soldada rolo 2x25m</v>
      </c>
      <c r="F4634" s="39">
        <v>45804</v>
      </c>
      <c r="G4634" s="7">
        <v>7</v>
      </c>
      <c r="H4634" s="3">
        <f>_xlfn.XLOOKUP(Vendas[[#This Row],[ID Item Vendido]],Agregado[ID],Agregado[Revenda])</f>
        <v>43.7</v>
      </c>
      <c r="I4634" s="3">
        <f>Vendas[[#This Row],[Valor Unitário]]*Vendas[[#This Row],[Qnt Vendida]]</f>
        <v>305.90000000000003</v>
      </c>
      <c r="J4634" s="3">
        <f>Vendas[[#This Row],[Valor da Venda]]-(_xlfn.XLOOKUP(Vendas[[#This Row],[ID Item Vendido]],Agregado[ID],Agregado[Custo])*Vendas[[#This Row],[Qnt Vendida]])</f>
        <v>39.900000000000034</v>
      </c>
      <c r="K4634" s="70">
        <f>Vendas[[#This Row],[Lucro da Venda]]/Vendas[[#This Row],[Valor da Venda]]</f>
        <v>0.13043478260869576</v>
      </c>
      <c r="L4634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4634"/>
    </row>
    <row r="4635" spans="1:13" x14ac:dyDescent="0.3">
      <c r="A4635" s="7">
        <v>400250</v>
      </c>
      <c r="B4635" t="str">
        <f>_xlfn.XLOOKUP(Vendas[[#This Row],[ID Vendedor]],Vendedores[ID],Vendedores[Nome])</f>
        <v>Larissa</v>
      </c>
      <c r="C4635" s="7" t="str">
        <f>_xlfn.XLOOKUP(Vendas[[#This Row],[ID Vendedor]],Vendedores[ID],Vendedores[Setor])</f>
        <v>AB</v>
      </c>
      <c r="D4635" s="7" t="s">
        <v>24</v>
      </c>
      <c r="E4635" t="str">
        <f>_xlfn.XLOOKUP(Vendas[[#This Row],[ID Item Vendido]],Agregado[ID],Agregado[Produto])</f>
        <v>Resina plástica PET purificada saco de 25kg</v>
      </c>
      <c r="F4635" s="39">
        <v>45805</v>
      </c>
      <c r="G4635" s="7">
        <v>23</v>
      </c>
      <c r="H4635" s="3">
        <f>_xlfn.XLOOKUP(Vendas[[#This Row],[ID Item Vendido]],Agregado[ID],Agregado[Revenda])</f>
        <v>119</v>
      </c>
      <c r="I4635" s="3">
        <f>Vendas[[#This Row],[Valor Unitário]]*Vendas[[#This Row],[Qnt Vendida]]</f>
        <v>2737</v>
      </c>
      <c r="J4635" s="3">
        <f>Vendas[[#This Row],[Valor da Venda]]-(_xlfn.XLOOKUP(Vendas[[#This Row],[ID Item Vendido]],Agregado[ID],Agregado[Custo])*Vendas[[#This Row],[Qnt Vendida]])</f>
        <v>782</v>
      </c>
      <c r="K4635" s="70">
        <f>Vendas[[#This Row],[Lucro da Venda]]/Vendas[[#This Row],[Valor da Venda]]</f>
        <v>0.2857142857142857</v>
      </c>
      <c r="L4635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635"/>
    </row>
    <row r="4636" spans="1:13" x14ac:dyDescent="0.3">
      <c r="A4636" s="7">
        <v>400246</v>
      </c>
      <c r="B4636" t="str">
        <f>_xlfn.XLOOKUP(Vendas[[#This Row],[ID Vendedor]],Vendedores[ID],Vendedores[Nome])</f>
        <v>Juliana</v>
      </c>
      <c r="C4636" s="7" t="str">
        <f>_xlfn.XLOOKUP(Vendas[[#This Row],[ID Vendedor]],Vendedores[ID],Vendedores[Setor])</f>
        <v>AHD</v>
      </c>
      <c r="D4636" s="7" t="s">
        <v>30</v>
      </c>
      <c r="E4636" t="str">
        <f>_xlfn.XLOOKUP(Vendas[[#This Row],[ID Item Vendido]],Agregado[ID],Agregado[Produto])</f>
        <v>Estrutura metálica soldada</v>
      </c>
      <c r="F4636" s="39">
        <v>45805</v>
      </c>
      <c r="G4636" s="7">
        <v>5</v>
      </c>
      <c r="H4636" s="3">
        <f>_xlfn.XLOOKUP(Vendas[[#This Row],[ID Item Vendido]],Agregado[ID],Agregado[Revenda])</f>
        <v>400</v>
      </c>
      <c r="I4636" s="3">
        <f>Vendas[[#This Row],[Valor Unitário]]*Vendas[[#This Row],[Qnt Vendida]]</f>
        <v>2000</v>
      </c>
      <c r="J4636" s="3">
        <f>Vendas[[#This Row],[Valor da Venda]]-(_xlfn.XLOOKUP(Vendas[[#This Row],[ID Item Vendido]],Agregado[ID],Agregado[Custo])*Vendas[[#This Row],[Qnt Vendida]])</f>
        <v>400</v>
      </c>
      <c r="K4636" s="70">
        <f>Vendas[[#This Row],[Lucro da Venda]]/Vendas[[#This Row],[Valor da Venda]]</f>
        <v>0.2</v>
      </c>
      <c r="L4636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636"/>
    </row>
    <row r="4637" spans="1:13" x14ac:dyDescent="0.3">
      <c r="A4637" s="7">
        <v>400252</v>
      </c>
      <c r="B4637" t="str">
        <f>_xlfn.XLOOKUP(Vendas[[#This Row],[ID Vendedor]],Vendedores[ID],Vendedores[Nome])</f>
        <v>Renata</v>
      </c>
      <c r="C4637" s="7" t="str">
        <f>_xlfn.XLOOKUP(Vendas[[#This Row],[ID Vendedor]],Vendedores[ID],Vendedores[Setor])</f>
        <v>AB</v>
      </c>
      <c r="D4637" s="7" t="s">
        <v>37</v>
      </c>
      <c r="E4637" t="str">
        <f>_xlfn.XLOOKUP(Vendas[[#This Row],[ID Item Vendido]],Agregado[ID],Agregado[Produto])</f>
        <v>Composto de borracha para vedação rolo 10m</v>
      </c>
      <c r="F4637" s="39">
        <v>45805</v>
      </c>
      <c r="G4637" s="7">
        <v>22</v>
      </c>
      <c r="H4637" s="3">
        <f>_xlfn.XLOOKUP(Vendas[[#This Row],[ID Item Vendido]],Agregado[ID],Agregado[Revenda])</f>
        <v>51.2</v>
      </c>
      <c r="I4637" s="3">
        <f>Vendas[[#This Row],[Valor Unitário]]*Vendas[[#This Row],[Qnt Vendida]]</f>
        <v>1126.4000000000001</v>
      </c>
      <c r="J4637" s="3">
        <f>Vendas[[#This Row],[Valor da Venda]]-(_xlfn.XLOOKUP(Vendas[[#This Row],[ID Item Vendido]],Agregado[ID],Agregado[Custo])*Vendas[[#This Row],[Qnt Vendida]])</f>
        <v>246.40000000000009</v>
      </c>
      <c r="K4637" s="70">
        <f>Vendas[[#This Row],[Lucro da Venda]]/Vendas[[#This Row],[Valor da Venda]]</f>
        <v>0.21875000000000006</v>
      </c>
      <c r="L4637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4637"/>
    </row>
    <row r="4638" spans="1:13" x14ac:dyDescent="0.3">
      <c r="A4638" s="7">
        <v>400244</v>
      </c>
      <c r="B4638" t="str">
        <f>_xlfn.XLOOKUP(Vendas[[#This Row],[ID Vendedor]],Vendedores[ID],Vendedores[Nome])</f>
        <v>Camila</v>
      </c>
      <c r="C4638" s="7" t="str">
        <f>_xlfn.XLOOKUP(Vendas[[#This Row],[ID Vendedor]],Vendedores[ID],Vendedores[Setor])</f>
        <v>AHD</v>
      </c>
      <c r="D4638" s="7" t="s">
        <v>9</v>
      </c>
      <c r="E4638" t="str">
        <f>_xlfn.XLOOKUP(Vendas[[#This Row],[ID Item Vendido]],Agregado[ID],Agregado[Produto])</f>
        <v>Barra de aço simples</v>
      </c>
      <c r="F4638" s="39">
        <v>45805</v>
      </c>
      <c r="G4638" s="7">
        <v>137</v>
      </c>
      <c r="H4638" s="3">
        <f>_xlfn.XLOOKUP(Vendas[[#This Row],[ID Item Vendido]],Agregado[ID],Agregado[Revenda])</f>
        <v>6.7</v>
      </c>
      <c r="I4638" s="3">
        <f>Vendas[[#This Row],[Valor Unitário]]*Vendas[[#This Row],[Qnt Vendida]]</f>
        <v>917.9</v>
      </c>
      <c r="J4638" s="3">
        <f>Vendas[[#This Row],[Valor da Venda]]-(_xlfn.XLOOKUP(Vendas[[#This Row],[ID Item Vendido]],Agregado[ID],Agregado[Custo])*Vendas[[#This Row],[Qnt Vendida]])</f>
        <v>123.29999999999995</v>
      </c>
      <c r="K4638" s="70">
        <f>Vendas[[#This Row],[Lucro da Venda]]/Vendas[[#This Row],[Valor da Venda]]</f>
        <v>0.13432835820895517</v>
      </c>
      <c r="L4638" s="3">
        <f>_xlfn.IFS(Vendas[[#This Row],[Margem de Lucro (%)]]&lt;15%,Vendas[[#This Row],[Valor da Venda]]*3%,Vendas[[#This Row],[Margem de Lucro (%)]]&lt;=20%,Vendas[[#This Row],[Valor da Venda]]*4.5%,TRUE,Vendas[[#This Row],[Valor da Venda]]*6%)</f>
        <v>27.536999999999999</v>
      </c>
      <c r="M4638"/>
    </row>
    <row r="4639" spans="1:13" x14ac:dyDescent="0.3">
      <c r="A4639" s="7">
        <v>400246</v>
      </c>
      <c r="B4639" t="str">
        <f>_xlfn.XLOOKUP(Vendas[[#This Row],[ID Vendedor]],Vendedores[ID],Vendedores[Nome])</f>
        <v>Juliana</v>
      </c>
      <c r="C4639" s="7" t="str">
        <f>_xlfn.XLOOKUP(Vendas[[#This Row],[ID Vendedor]],Vendedores[ID],Vendedores[Setor])</f>
        <v>AHD</v>
      </c>
      <c r="D4639" s="7" t="s">
        <v>44</v>
      </c>
      <c r="E4639" t="str">
        <f>_xlfn.XLOOKUP(Vendas[[#This Row],[ID Item Vendido]],Agregado[ID],Agregado[Produto])</f>
        <v>Liga metálica especial</v>
      </c>
      <c r="F4639" s="39">
        <v>45805</v>
      </c>
      <c r="G4639" s="7">
        <v>26</v>
      </c>
      <c r="H4639" s="3">
        <f>_xlfn.XLOOKUP(Vendas[[#This Row],[ID Item Vendido]],Agregado[ID],Agregado[Revenda])</f>
        <v>32.5</v>
      </c>
      <c r="I4639" s="3">
        <f>Vendas[[#This Row],[Valor Unitário]]*Vendas[[#This Row],[Qnt Vendida]]</f>
        <v>845</v>
      </c>
      <c r="J4639" s="3">
        <f>Vendas[[#This Row],[Valor da Venda]]-(_xlfn.XLOOKUP(Vendas[[#This Row],[ID Item Vendido]],Agregado[ID],Agregado[Custo])*Vendas[[#This Row],[Qnt Vendida]])</f>
        <v>195</v>
      </c>
      <c r="K4639" s="70">
        <f>Vendas[[#This Row],[Lucro da Venda]]/Vendas[[#This Row],[Valor da Venda]]</f>
        <v>0.23076923076923078</v>
      </c>
      <c r="L4639" s="3">
        <f>_xlfn.IFS(Vendas[[#This Row],[Margem de Lucro (%)]]&lt;15%,Vendas[[#This Row],[Valor da Venda]]*3%,Vendas[[#This Row],[Margem de Lucro (%)]]&lt;=20%,Vendas[[#This Row],[Valor da Venda]]*4.5%,TRUE,Vendas[[#This Row],[Valor da Venda]]*6%)</f>
        <v>50.699999999999996</v>
      </c>
      <c r="M4639"/>
    </row>
    <row r="4640" spans="1:13" x14ac:dyDescent="0.3">
      <c r="A4640" s="7">
        <v>400242</v>
      </c>
      <c r="B4640" t="str">
        <f>_xlfn.XLOOKUP(Vendas[[#This Row],[ID Vendedor]],Vendedores[ID],Vendedores[Nome])</f>
        <v>Fernanda</v>
      </c>
      <c r="C4640" s="7" t="str">
        <f>_xlfn.XLOOKUP(Vendas[[#This Row],[ID Vendedor]],Vendedores[ID],Vendedores[Setor])</f>
        <v>FM</v>
      </c>
      <c r="D4640" s="7" t="s">
        <v>47</v>
      </c>
      <c r="E4640" t="str">
        <f>_xlfn.XLOOKUP(Vendas[[#This Row],[ID Item Vendido]],Agregado[ID],Agregado[Produto])</f>
        <v>Fio de arame galvanizado rolo 50m</v>
      </c>
      <c r="F4640" s="39">
        <v>45805</v>
      </c>
      <c r="G4640" s="7">
        <v>38</v>
      </c>
      <c r="H4640" s="3">
        <f>_xlfn.XLOOKUP(Vendas[[#This Row],[ID Item Vendido]],Agregado[ID],Agregado[Revenda])</f>
        <v>21.2</v>
      </c>
      <c r="I4640" s="3">
        <f>Vendas[[#This Row],[Valor Unitário]]*Vendas[[#This Row],[Qnt Vendida]]</f>
        <v>805.6</v>
      </c>
      <c r="J4640" s="3">
        <f>Vendas[[#This Row],[Valor da Venda]]-(_xlfn.XLOOKUP(Vendas[[#This Row],[ID Item Vendido]],Agregado[ID],Agregado[Custo])*Vendas[[#This Row],[Qnt Vendida]])</f>
        <v>121.60000000000002</v>
      </c>
      <c r="K4640" s="70">
        <f>Vendas[[#This Row],[Lucro da Venda]]/Vendas[[#This Row],[Valor da Venda]]</f>
        <v>0.15094339622641512</v>
      </c>
      <c r="L4640" s="3">
        <f>_xlfn.IFS(Vendas[[#This Row],[Margem de Lucro (%)]]&lt;15%,Vendas[[#This Row],[Valor da Venda]]*3%,Vendas[[#This Row],[Margem de Lucro (%)]]&lt;=20%,Vendas[[#This Row],[Valor da Venda]]*4.5%,TRUE,Vendas[[#This Row],[Valor da Venda]]*6%)</f>
        <v>36.252000000000002</v>
      </c>
      <c r="M4640"/>
    </row>
    <row r="4641" spans="1:13" x14ac:dyDescent="0.3">
      <c r="A4641" s="7">
        <v>400252</v>
      </c>
      <c r="B4641" t="str">
        <f>_xlfn.XLOOKUP(Vendas[[#This Row],[ID Vendedor]],Vendedores[ID],Vendedores[Nome])</f>
        <v>Renata</v>
      </c>
      <c r="C4641" s="7" t="str">
        <f>_xlfn.XLOOKUP(Vendas[[#This Row],[ID Vendedor]],Vendedores[ID],Vendedores[Setor])</f>
        <v>AB</v>
      </c>
      <c r="D4641" s="7" t="s">
        <v>12</v>
      </c>
      <c r="E4641" t="str">
        <f>_xlfn.XLOOKUP(Vendas[[#This Row],[ID Item Vendido]],Agregado[ID],Agregado[Produto])</f>
        <v>Grânulo de plástico reciclado refinado</v>
      </c>
      <c r="F4641" s="39">
        <v>45805</v>
      </c>
      <c r="G4641" s="7">
        <v>139</v>
      </c>
      <c r="H4641" s="3">
        <f>_xlfn.XLOOKUP(Vendas[[#This Row],[ID Item Vendido]],Agregado[ID],Agregado[Revenda])</f>
        <v>4.7</v>
      </c>
      <c r="I4641" s="3">
        <f>Vendas[[#This Row],[Valor Unitário]]*Vendas[[#This Row],[Qnt Vendida]]</f>
        <v>653.30000000000007</v>
      </c>
      <c r="J4641" s="3">
        <f>Vendas[[#This Row],[Valor da Venda]]-(_xlfn.XLOOKUP(Vendas[[#This Row],[ID Item Vendido]],Agregado[ID],Agregado[Custo])*Vendas[[#This Row],[Qnt Vendida]])</f>
        <v>166.80000000000007</v>
      </c>
      <c r="K4641" s="70">
        <f>Vendas[[#This Row],[Lucro da Venda]]/Vendas[[#This Row],[Valor da Venda]]</f>
        <v>0.2553191489361703</v>
      </c>
      <c r="L4641" s="3">
        <f>_xlfn.IFS(Vendas[[#This Row],[Margem de Lucro (%)]]&lt;15%,Vendas[[#This Row],[Valor da Venda]]*3%,Vendas[[#This Row],[Margem de Lucro (%)]]&lt;=20%,Vendas[[#This Row],[Valor da Venda]]*4.5%,TRUE,Vendas[[#This Row],[Valor da Venda]]*6%)</f>
        <v>39.198</v>
      </c>
      <c r="M4641"/>
    </row>
    <row r="4642" spans="1:13" x14ac:dyDescent="0.3">
      <c r="A4642" s="7">
        <v>400250</v>
      </c>
      <c r="B4642" t="str">
        <f>_xlfn.XLOOKUP(Vendas[[#This Row],[ID Vendedor]],Vendedores[ID],Vendedores[Nome])</f>
        <v>Larissa</v>
      </c>
      <c r="C4642" s="7" t="str">
        <f>_xlfn.XLOOKUP(Vendas[[#This Row],[ID Vendedor]],Vendedores[ID],Vendedores[Setor])</f>
        <v>AB</v>
      </c>
      <c r="D4642" s="7" t="s">
        <v>36</v>
      </c>
      <c r="E4642" t="str">
        <f>_xlfn.XLOOKUP(Vendas[[#This Row],[ID Item Vendido]],Agregado[ID],Agregado[Produto])</f>
        <v>Borracha vulcanizada em manta</v>
      </c>
      <c r="F4642" s="39">
        <v>45805</v>
      </c>
      <c r="G4642" s="7">
        <v>68</v>
      </c>
      <c r="H4642" s="3">
        <f>_xlfn.XLOOKUP(Vendas[[#This Row],[ID Item Vendido]],Agregado[ID],Agregado[Revenda])</f>
        <v>7.8</v>
      </c>
      <c r="I4642" s="3">
        <f>Vendas[[#This Row],[Valor Unitário]]*Vendas[[#This Row],[Qnt Vendida]]</f>
        <v>530.4</v>
      </c>
      <c r="J4642" s="3">
        <f>Vendas[[#This Row],[Valor da Venda]]-(_xlfn.XLOOKUP(Vendas[[#This Row],[ID Item Vendido]],Agregado[ID],Agregado[Custo])*Vendas[[#This Row],[Qnt Vendida]])</f>
        <v>122.39999999999998</v>
      </c>
      <c r="K4642" s="70">
        <f>Vendas[[#This Row],[Lucro da Venda]]/Vendas[[#This Row],[Valor da Venda]]</f>
        <v>0.23076923076923073</v>
      </c>
      <c r="L4642" s="3">
        <f>_xlfn.IFS(Vendas[[#This Row],[Margem de Lucro (%)]]&lt;15%,Vendas[[#This Row],[Valor da Venda]]*3%,Vendas[[#This Row],[Margem de Lucro (%)]]&lt;=20%,Vendas[[#This Row],[Valor da Venda]]*4.5%,TRUE,Vendas[[#This Row],[Valor da Venda]]*6%)</f>
        <v>31.823999999999998</v>
      </c>
      <c r="M4642"/>
    </row>
    <row r="4643" spans="1:13" x14ac:dyDescent="0.3">
      <c r="A4643" s="7">
        <v>400242</v>
      </c>
      <c r="B4643" t="str">
        <f>_xlfn.XLOOKUP(Vendas[[#This Row],[ID Vendedor]],Vendedores[ID],Vendedores[Nome])</f>
        <v>Fernanda</v>
      </c>
      <c r="C4643" s="7" t="str">
        <f>_xlfn.XLOOKUP(Vendas[[#This Row],[ID Vendedor]],Vendedores[ID],Vendedores[Setor])</f>
        <v>FM</v>
      </c>
      <c r="D4643" s="7" t="s">
        <v>20</v>
      </c>
      <c r="E4643" t="str">
        <f>_xlfn.XLOOKUP(Vendas[[#This Row],[ID Item Vendido]],Agregado[ID],Agregado[Produto])</f>
        <v>Barra de aço simples</v>
      </c>
      <c r="F4643" s="39">
        <v>45805</v>
      </c>
      <c r="G4643" s="7">
        <v>82</v>
      </c>
      <c r="H4643" s="3">
        <f>_xlfn.XLOOKUP(Vendas[[#This Row],[ID Item Vendido]],Agregado[ID],Agregado[Revenda])</f>
        <v>4.8</v>
      </c>
      <c r="I4643" s="3">
        <f>Vendas[[#This Row],[Valor Unitário]]*Vendas[[#This Row],[Qnt Vendida]]</f>
        <v>393.59999999999997</v>
      </c>
      <c r="J4643" s="3">
        <f>Vendas[[#This Row],[Valor da Venda]]-(_xlfn.XLOOKUP(Vendas[[#This Row],[ID Item Vendido]],Agregado[ID],Agregado[Custo])*Vendas[[#This Row],[Qnt Vendida]])</f>
        <v>49.199999999999932</v>
      </c>
      <c r="K4643" s="70">
        <f>Vendas[[#This Row],[Lucro da Venda]]/Vendas[[#This Row],[Valor da Venda]]</f>
        <v>0.12499999999999983</v>
      </c>
      <c r="L4643" s="3">
        <f>_xlfn.IFS(Vendas[[#This Row],[Margem de Lucro (%)]]&lt;15%,Vendas[[#This Row],[Valor da Venda]]*3%,Vendas[[#This Row],[Margem de Lucro (%)]]&lt;=20%,Vendas[[#This Row],[Valor da Venda]]*4.5%,TRUE,Vendas[[#This Row],[Valor da Venda]]*6%)</f>
        <v>11.807999999999998</v>
      </c>
      <c r="M4643"/>
    </row>
    <row r="4644" spans="1:13" x14ac:dyDescent="0.3">
      <c r="A4644" s="7">
        <v>400255</v>
      </c>
      <c r="B4644" t="str">
        <f>_xlfn.XLOOKUP(Vendas[[#This Row],[ID Vendedor]],Vendedores[ID],Vendedores[Nome])</f>
        <v>Carlos</v>
      </c>
      <c r="C4644" s="7" t="str">
        <f>_xlfn.XLOOKUP(Vendas[[#This Row],[ID Vendedor]],Vendedores[ID],Vendedores[Setor])</f>
        <v>SC</v>
      </c>
      <c r="D4644" s="7" t="s">
        <v>25</v>
      </c>
      <c r="E4644" t="str">
        <f>_xlfn.XLOOKUP(Vendas[[#This Row],[ID Item Vendido]],Agregado[ID],Agregado[Produto])</f>
        <v>Palete de plástico</v>
      </c>
      <c r="F4644" s="39">
        <v>45805</v>
      </c>
      <c r="G4644" s="7">
        <v>3</v>
      </c>
      <c r="H4644" s="3">
        <f>_xlfn.XLOOKUP(Vendas[[#This Row],[ID Item Vendido]],Agregado[ID],Agregado[Revenda])</f>
        <v>70.8</v>
      </c>
      <c r="I4644" s="3">
        <f>Vendas[[#This Row],[Valor Unitário]]*Vendas[[#This Row],[Qnt Vendida]]</f>
        <v>212.39999999999998</v>
      </c>
      <c r="J4644" s="3">
        <f>Vendas[[#This Row],[Valor da Venda]]-(_xlfn.XLOOKUP(Vendas[[#This Row],[ID Item Vendido]],Agregado[ID],Agregado[Custo])*Vendas[[#This Row],[Qnt Vendida]])</f>
        <v>32.399999999999977</v>
      </c>
      <c r="K4644" s="70">
        <f>Vendas[[#This Row],[Lucro da Venda]]/Vendas[[#This Row],[Valor da Venda]]</f>
        <v>0.15254237288135583</v>
      </c>
      <c r="L4644" s="3">
        <f>_xlfn.IFS(Vendas[[#This Row],[Margem de Lucro (%)]]&lt;15%,Vendas[[#This Row],[Valor da Venda]]*3%,Vendas[[#This Row],[Margem de Lucro (%)]]&lt;=20%,Vendas[[#This Row],[Valor da Venda]]*4.5%,TRUE,Vendas[[#This Row],[Valor da Venda]]*6%)</f>
        <v>9.5579999999999981</v>
      </c>
      <c r="M4644"/>
    </row>
    <row r="4645" spans="1:13" x14ac:dyDescent="0.3">
      <c r="A4645" s="7">
        <v>400242</v>
      </c>
      <c r="B4645" t="str">
        <f>_xlfn.XLOOKUP(Vendas[[#This Row],[ID Vendedor]],Vendedores[ID],Vendedores[Nome])</f>
        <v>Fernanda</v>
      </c>
      <c r="C4645" s="7" t="str">
        <f>_xlfn.XLOOKUP(Vendas[[#This Row],[ID Vendedor]],Vendedores[ID],Vendedores[Setor])</f>
        <v>FM</v>
      </c>
      <c r="D4645" s="7" t="s">
        <v>27</v>
      </c>
      <c r="E4645" t="str">
        <f>_xlfn.XLOOKUP(Vendas[[#This Row],[ID Item Vendido]],Agregado[ID],Agregado[Produto])</f>
        <v>Chapa de metal lisa 1x2m</v>
      </c>
      <c r="F4645" s="39">
        <v>45806</v>
      </c>
      <c r="G4645" s="7">
        <v>15</v>
      </c>
      <c r="H4645" s="3">
        <f>_xlfn.XLOOKUP(Vendas[[#This Row],[ID Item Vendido]],Agregado[ID],Agregado[Revenda])</f>
        <v>52</v>
      </c>
      <c r="I4645" s="3">
        <f>Vendas[[#This Row],[Valor Unitário]]*Vendas[[#This Row],[Qnt Vendida]]</f>
        <v>780</v>
      </c>
      <c r="J4645" s="3">
        <f>Vendas[[#This Row],[Valor da Venda]]-(_xlfn.XLOOKUP(Vendas[[#This Row],[ID Item Vendido]],Agregado[ID],Agregado[Custo])*Vendas[[#This Row],[Qnt Vendida]])</f>
        <v>105</v>
      </c>
      <c r="K4645" s="70">
        <f>Vendas[[#This Row],[Lucro da Venda]]/Vendas[[#This Row],[Valor da Venda]]</f>
        <v>0.13461538461538461</v>
      </c>
      <c r="L4645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4645"/>
    </row>
    <row r="4646" spans="1:13" x14ac:dyDescent="0.3">
      <c r="A4646" s="7">
        <v>400242</v>
      </c>
      <c r="B4646" t="str">
        <f>_xlfn.XLOOKUP(Vendas[[#This Row],[ID Vendedor]],Vendedores[ID],Vendedores[Nome])</f>
        <v>Fernanda</v>
      </c>
      <c r="C4646" s="7" t="str">
        <f>_xlfn.XLOOKUP(Vendas[[#This Row],[ID Vendedor]],Vendedores[ID],Vendedores[Setor])</f>
        <v>FM</v>
      </c>
      <c r="D4646" s="7" t="s">
        <v>27</v>
      </c>
      <c r="E4646" t="str">
        <f>_xlfn.XLOOKUP(Vendas[[#This Row],[ID Item Vendido]],Agregado[ID],Agregado[Produto])</f>
        <v>Chapa de metal lisa 1x2m</v>
      </c>
      <c r="F4646" s="39">
        <v>45807</v>
      </c>
      <c r="G4646" s="7">
        <v>21</v>
      </c>
      <c r="H4646" s="3">
        <f>_xlfn.XLOOKUP(Vendas[[#This Row],[ID Item Vendido]],Agregado[ID],Agregado[Revenda])</f>
        <v>52</v>
      </c>
      <c r="I4646" s="3">
        <f>Vendas[[#This Row],[Valor Unitário]]*Vendas[[#This Row],[Qnt Vendida]]</f>
        <v>1092</v>
      </c>
      <c r="J4646" s="3">
        <f>Vendas[[#This Row],[Valor da Venda]]-(_xlfn.XLOOKUP(Vendas[[#This Row],[ID Item Vendido]],Agregado[ID],Agregado[Custo])*Vendas[[#This Row],[Qnt Vendida]])</f>
        <v>147</v>
      </c>
      <c r="K4646" s="70">
        <f>Vendas[[#This Row],[Lucro da Venda]]/Vendas[[#This Row],[Valor da Venda]]</f>
        <v>0.13461538461538461</v>
      </c>
      <c r="L4646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4646"/>
    </row>
    <row r="4647" spans="1:13" x14ac:dyDescent="0.3">
      <c r="A4647" s="7">
        <v>400246</v>
      </c>
      <c r="B4647" t="str">
        <f>_xlfn.XLOOKUP(Vendas[[#This Row],[ID Vendedor]],Vendedores[ID],Vendedores[Nome])</f>
        <v>Juliana</v>
      </c>
      <c r="C4647" s="7" t="str">
        <f>_xlfn.XLOOKUP(Vendas[[#This Row],[ID Vendedor]],Vendedores[ID],Vendedores[Setor])</f>
        <v>AHD</v>
      </c>
      <c r="D4647" s="7" t="s">
        <v>9</v>
      </c>
      <c r="E4647" t="str">
        <f>_xlfn.XLOOKUP(Vendas[[#This Row],[ID Item Vendido]],Agregado[ID],Agregado[Produto])</f>
        <v>Barra de aço simples</v>
      </c>
      <c r="F4647" s="39">
        <v>45807</v>
      </c>
      <c r="G4647" s="7">
        <v>15</v>
      </c>
      <c r="H4647" s="3">
        <f>_xlfn.XLOOKUP(Vendas[[#This Row],[ID Item Vendido]],Agregado[ID],Agregado[Revenda])</f>
        <v>6.7</v>
      </c>
      <c r="I4647" s="3">
        <f>Vendas[[#This Row],[Valor Unitário]]*Vendas[[#This Row],[Qnt Vendida]]</f>
        <v>100.5</v>
      </c>
      <c r="J4647" s="3">
        <f>Vendas[[#This Row],[Valor da Venda]]-(_xlfn.XLOOKUP(Vendas[[#This Row],[ID Item Vendido]],Agregado[ID],Agregado[Custo])*Vendas[[#This Row],[Qnt Vendida]])</f>
        <v>13.5</v>
      </c>
      <c r="K4647" s="70">
        <f>Vendas[[#This Row],[Lucro da Venda]]/Vendas[[#This Row],[Valor da Venda]]</f>
        <v>0.13432835820895522</v>
      </c>
      <c r="L4647" s="3">
        <f>_xlfn.IFS(Vendas[[#This Row],[Margem de Lucro (%)]]&lt;15%,Vendas[[#This Row],[Valor da Venda]]*3%,Vendas[[#This Row],[Margem de Lucro (%)]]&lt;=20%,Vendas[[#This Row],[Valor da Venda]]*4.5%,TRUE,Vendas[[#This Row],[Valor da Venda]]*6%)</f>
        <v>3.0149999999999997</v>
      </c>
      <c r="M4647"/>
    </row>
    <row r="4648" spans="1:13" x14ac:dyDescent="0.3">
      <c r="A4648" s="7">
        <v>400245</v>
      </c>
      <c r="B4648" t="str">
        <f>_xlfn.XLOOKUP(Vendas[[#This Row],[ID Vendedor]],Vendedores[ID],Vendedores[Nome])</f>
        <v>Thiago</v>
      </c>
      <c r="C4648" s="7" t="str">
        <f>_xlfn.XLOOKUP(Vendas[[#This Row],[ID Vendedor]],Vendedores[ID],Vendedores[Setor])</f>
        <v>AHD</v>
      </c>
      <c r="D4648" s="7" t="s">
        <v>28</v>
      </c>
      <c r="E4648" t="str">
        <f>_xlfn.XLOOKUP(Vendas[[#This Row],[ID Item Vendido]],Agregado[ID],Agregado[Produto])</f>
        <v>Peça usinada CNC</v>
      </c>
      <c r="F4648" s="39">
        <v>45809</v>
      </c>
      <c r="G4648" s="7">
        <v>11</v>
      </c>
      <c r="H4648" s="3">
        <f>_xlfn.XLOOKUP(Vendas[[#This Row],[ID Item Vendido]],Agregado[ID],Agregado[Revenda])</f>
        <v>192</v>
      </c>
      <c r="I4648" s="3">
        <f>Vendas[[#This Row],[Valor Unitário]]*Vendas[[#This Row],[Qnt Vendida]]</f>
        <v>2112</v>
      </c>
      <c r="J4648" s="3">
        <f>Vendas[[#This Row],[Valor da Venda]]-(_xlfn.XLOOKUP(Vendas[[#This Row],[ID Item Vendido]],Agregado[ID],Agregado[Custo])*Vendas[[#This Row],[Qnt Vendida]])</f>
        <v>462</v>
      </c>
      <c r="K4648" s="70">
        <f>Vendas[[#This Row],[Lucro da Venda]]/Vendas[[#This Row],[Valor da Venda]]</f>
        <v>0.21875</v>
      </c>
      <c r="L4648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4648"/>
    </row>
    <row r="4649" spans="1:13" x14ac:dyDescent="0.3">
      <c r="A4649" s="7">
        <v>400253</v>
      </c>
      <c r="B4649" t="str">
        <f>_xlfn.XLOOKUP(Vendas[[#This Row],[ID Vendedor]],Vendedores[ID],Vendedores[Nome])</f>
        <v>Gustavo</v>
      </c>
      <c r="C4649" s="7" t="str">
        <f>_xlfn.XLOOKUP(Vendas[[#This Row],[ID Vendedor]],Vendedores[ID],Vendedores[Setor])</f>
        <v>SC</v>
      </c>
      <c r="D4649" s="7" t="s">
        <v>48</v>
      </c>
      <c r="E4649" t="str">
        <f>_xlfn.XLOOKUP(Vendas[[#This Row],[ID Item Vendido]],Agregado[ID],Agregado[Produto])</f>
        <v>Tambor metálico 200L</v>
      </c>
      <c r="F4649" s="39">
        <v>45809</v>
      </c>
      <c r="G4649" s="7">
        <v>10</v>
      </c>
      <c r="H4649" s="3">
        <f>_xlfn.XLOOKUP(Vendas[[#This Row],[ID Item Vendido]],Agregado[ID],Agregado[Revenda])</f>
        <v>144</v>
      </c>
      <c r="I4649" s="3">
        <f>Vendas[[#This Row],[Valor Unitário]]*Vendas[[#This Row],[Qnt Vendida]]</f>
        <v>1440</v>
      </c>
      <c r="J4649" s="3">
        <f>Vendas[[#This Row],[Valor da Venda]]-(_xlfn.XLOOKUP(Vendas[[#This Row],[ID Item Vendido]],Agregado[ID],Agregado[Custo])*Vendas[[#This Row],[Qnt Vendida]])</f>
        <v>240</v>
      </c>
      <c r="K4649" s="70">
        <f>Vendas[[#This Row],[Lucro da Venda]]/Vendas[[#This Row],[Valor da Venda]]</f>
        <v>0.16666666666666666</v>
      </c>
      <c r="L4649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4649"/>
    </row>
    <row r="4650" spans="1:13" x14ac:dyDescent="0.3">
      <c r="A4650" s="7">
        <v>400250</v>
      </c>
      <c r="B4650" t="str">
        <f>_xlfn.XLOOKUP(Vendas[[#This Row],[ID Vendedor]],Vendedores[ID],Vendedores[Nome])</f>
        <v>Larissa</v>
      </c>
      <c r="C4650" s="7" t="str">
        <f>_xlfn.XLOOKUP(Vendas[[#This Row],[ID Vendedor]],Vendedores[ID],Vendedores[Setor])</f>
        <v>AB</v>
      </c>
      <c r="D4650" s="7" t="s">
        <v>39</v>
      </c>
      <c r="E4650" t="str">
        <f>_xlfn.XLOOKUP(Vendas[[#This Row],[ID Item Vendido]],Agregado[ID],Agregado[Produto])</f>
        <v>Filme plástico industrial rolo 50m</v>
      </c>
      <c r="F4650" s="39">
        <v>45809</v>
      </c>
      <c r="G4650" s="7">
        <v>25</v>
      </c>
      <c r="H4650" s="3">
        <f>_xlfn.XLOOKUP(Vendas[[#This Row],[ID Item Vendido]],Agregado[ID],Agregado[Revenda])</f>
        <v>37</v>
      </c>
      <c r="I4650" s="3">
        <f>Vendas[[#This Row],[Valor Unitário]]*Vendas[[#This Row],[Qnt Vendida]]</f>
        <v>925</v>
      </c>
      <c r="J4650" s="3">
        <f>Vendas[[#This Row],[Valor da Venda]]-(_xlfn.XLOOKUP(Vendas[[#This Row],[ID Item Vendido]],Agregado[ID],Agregado[Custo])*Vendas[[#This Row],[Qnt Vendida]])</f>
        <v>225</v>
      </c>
      <c r="K4650" s="70">
        <f>Vendas[[#This Row],[Lucro da Venda]]/Vendas[[#This Row],[Valor da Venda]]</f>
        <v>0.24324324324324326</v>
      </c>
      <c r="L4650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4650"/>
    </row>
    <row r="4651" spans="1:13" x14ac:dyDescent="0.3">
      <c r="A4651" s="7">
        <v>400255</v>
      </c>
      <c r="B4651" t="str">
        <f>_xlfn.XLOOKUP(Vendas[[#This Row],[ID Vendedor]],Vendedores[ID],Vendedores[Nome])</f>
        <v>Carlos</v>
      </c>
      <c r="C4651" s="7" t="str">
        <f>_xlfn.XLOOKUP(Vendas[[#This Row],[ID Vendedor]],Vendedores[ID],Vendedores[Setor])</f>
        <v>SC</v>
      </c>
      <c r="D4651" s="7" t="s">
        <v>41</v>
      </c>
      <c r="E4651" t="str">
        <f>_xlfn.XLOOKUP(Vendas[[#This Row],[ID Item Vendido]],Agregado[ID],Agregado[Produto])</f>
        <v>Palete de madeira reforçado</v>
      </c>
      <c r="F4651" s="39">
        <v>45809</v>
      </c>
      <c r="G4651" s="7">
        <v>7</v>
      </c>
      <c r="H4651" s="3">
        <f>_xlfn.XLOOKUP(Vendas[[#This Row],[ID Item Vendido]],Agregado[ID],Agregado[Revenda])</f>
        <v>131</v>
      </c>
      <c r="I4651" s="3">
        <f>Vendas[[#This Row],[Valor Unitário]]*Vendas[[#This Row],[Qnt Vendida]]</f>
        <v>917</v>
      </c>
      <c r="J4651" s="3">
        <f>Vendas[[#This Row],[Valor da Venda]]-(_xlfn.XLOOKUP(Vendas[[#This Row],[ID Item Vendido]],Agregado[ID],Agregado[Custo])*Vendas[[#This Row],[Qnt Vendida]])</f>
        <v>147</v>
      </c>
      <c r="K4651" s="70">
        <f>Vendas[[#This Row],[Lucro da Venda]]/Vendas[[#This Row],[Valor da Venda]]</f>
        <v>0.16030534351145037</v>
      </c>
      <c r="L4651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4651"/>
    </row>
    <row r="4652" spans="1:13" x14ac:dyDescent="0.3">
      <c r="A4652" s="7">
        <v>400242</v>
      </c>
      <c r="B4652" t="str">
        <f>_xlfn.XLOOKUP(Vendas[[#This Row],[ID Vendedor]],Vendedores[ID],Vendedores[Nome])</f>
        <v>Fernanda</v>
      </c>
      <c r="C4652" s="7" t="str">
        <f>_xlfn.XLOOKUP(Vendas[[#This Row],[ID Vendedor]],Vendedores[ID],Vendedores[Setor])</f>
        <v>FM</v>
      </c>
      <c r="D4652" s="7" t="s">
        <v>20</v>
      </c>
      <c r="E4652" t="str">
        <f>_xlfn.XLOOKUP(Vendas[[#This Row],[ID Item Vendido]],Agregado[ID],Agregado[Produto])</f>
        <v>Barra de aço simples</v>
      </c>
      <c r="F4652" s="39">
        <v>45809</v>
      </c>
      <c r="G4652" s="7">
        <v>108</v>
      </c>
      <c r="H4652" s="3">
        <f>_xlfn.XLOOKUP(Vendas[[#This Row],[ID Item Vendido]],Agregado[ID],Agregado[Revenda])</f>
        <v>4.8</v>
      </c>
      <c r="I4652" s="3">
        <f>Vendas[[#This Row],[Valor Unitário]]*Vendas[[#This Row],[Qnt Vendida]]</f>
        <v>518.4</v>
      </c>
      <c r="J4652" s="3">
        <f>Vendas[[#This Row],[Valor da Venda]]-(_xlfn.XLOOKUP(Vendas[[#This Row],[ID Item Vendido]],Agregado[ID],Agregado[Custo])*Vendas[[#This Row],[Qnt Vendida]])</f>
        <v>64.799999999999955</v>
      </c>
      <c r="K4652" s="70">
        <f>Vendas[[#This Row],[Lucro da Venda]]/Vendas[[#This Row],[Valor da Venda]]</f>
        <v>0.12499999999999992</v>
      </c>
      <c r="L4652" s="3">
        <f>_xlfn.IFS(Vendas[[#This Row],[Margem de Lucro (%)]]&lt;15%,Vendas[[#This Row],[Valor da Venda]]*3%,Vendas[[#This Row],[Margem de Lucro (%)]]&lt;=20%,Vendas[[#This Row],[Valor da Venda]]*4.5%,TRUE,Vendas[[#This Row],[Valor da Venda]]*6%)</f>
        <v>15.552</v>
      </c>
      <c r="M4652"/>
    </row>
    <row r="4653" spans="1:13" x14ac:dyDescent="0.3">
      <c r="A4653" s="7">
        <v>400241</v>
      </c>
      <c r="B4653" t="str">
        <f>_xlfn.XLOOKUP(Vendas[[#This Row],[ID Vendedor]],Vendedores[ID],Vendedores[Nome])</f>
        <v>Rodrigo</v>
      </c>
      <c r="C4653" s="7" t="str">
        <f>_xlfn.XLOOKUP(Vendas[[#This Row],[ID Vendedor]],Vendedores[ID],Vendedores[Setor])</f>
        <v>FM</v>
      </c>
      <c r="D4653" s="7" t="s">
        <v>6</v>
      </c>
      <c r="E4653" t="str">
        <f>_xlfn.XLOOKUP(Vendas[[#This Row],[ID Item Vendido]],Agregado[ID],Agregado[Produto])</f>
        <v>Parafuso comum 500un</v>
      </c>
      <c r="F4653" s="39">
        <v>45809</v>
      </c>
      <c r="G4653" s="7">
        <v>8</v>
      </c>
      <c r="H4653" s="3">
        <f>_xlfn.XLOOKUP(Vendas[[#This Row],[ID Item Vendido]],Agregado[ID],Agregado[Revenda])</f>
        <v>24.6</v>
      </c>
      <c r="I4653" s="3">
        <f>Vendas[[#This Row],[Valor Unitário]]*Vendas[[#This Row],[Qnt Vendida]]</f>
        <v>196.8</v>
      </c>
      <c r="J4653" s="3">
        <f>Vendas[[#This Row],[Valor da Venda]]-(_xlfn.XLOOKUP(Vendas[[#This Row],[ID Item Vendido]],Agregado[ID],Agregado[Custo])*Vendas[[#This Row],[Qnt Vendida]])</f>
        <v>20.800000000000011</v>
      </c>
      <c r="K4653" s="70">
        <f>Vendas[[#This Row],[Lucro da Venda]]/Vendas[[#This Row],[Valor da Venda]]</f>
        <v>0.10569105691056915</v>
      </c>
      <c r="L4653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4653"/>
    </row>
    <row r="4654" spans="1:13" x14ac:dyDescent="0.3">
      <c r="A4654" s="7">
        <v>400254</v>
      </c>
      <c r="B4654" t="str">
        <f>_xlfn.XLOOKUP(Vendas[[#This Row],[ID Vendedor]],Vendedores[ID],Vendedores[Nome])</f>
        <v>Beatriz</v>
      </c>
      <c r="C4654" s="7" t="str">
        <f>_xlfn.XLOOKUP(Vendas[[#This Row],[ID Vendedor]],Vendedores[ID],Vendedores[Setor])</f>
        <v>SC</v>
      </c>
      <c r="D4654" s="7" t="s">
        <v>48</v>
      </c>
      <c r="E4654" t="str">
        <f>_xlfn.XLOOKUP(Vendas[[#This Row],[ID Item Vendido]],Agregado[ID],Agregado[Produto])</f>
        <v>Tambor metálico 200L</v>
      </c>
      <c r="F4654" s="39">
        <v>45810</v>
      </c>
      <c r="G4654" s="7">
        <v>19</v>
      </c>
      <c r="H4654" s="3">
        <f>_xlfn.XLOOKUP(Vendas[[#This Row],[ID Item Vendido]],Agregado[ID],Agregado[Revenda])</f>
        <v>144</v>
      </c>
      <c r="I4654" s="3">
        <f>Vendas[[#This Row],[Valor Unitário]]*Vendas[[#This Row],[Qnt Vendida]]</f>
        <v>2736</v>
      </c>
      <c r="J4654" s="3">
        <f>Vendas[[#This Row],[Valor da Venda]]-(_xlfn.XLOOKUP(Vendas[[#This Row],[ID Item Vendido]],Agregado[ID],Agregado[Custo])*Vendas[[#This Row],[Qnt Vendida]])</f>
        <v>456</v>
      </c>
      <c r="K4654" s="70">
        <f>Vendas[[#This Row],[Lucro da Venda]]/Vendas[[#This Row],[Valor da Venda]]</f>
        <v>0.16666666666666666</v>
      </c>
      <c r="L4654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654"/>
    </row>
    <row r="4655" spans="1:13" x14ac:dyDescent="0.3">
      <c r="A4655" s="7">
        <v>400246</v>
      </c>
      <c r="B4655" t="str">
        <f>_xlfn.XLOOKUP(Vendas[[#This Row],[ID Vendedor]],Vendedores[ID],Vendedores[Nome])</f>
        <v>Juliana</v>
      </c>
      <c r="C4655" s="7" t="str">
        <f>_xlfn.XLOOKUP(Vendas[[#This Row],[ID Vendedor]],Vendedores[ID],Vendedores[Setor])</f>
        <v>AHD</v>
      </c>
      <c r="D4655" s="7" t="s">
        <v>44</v>
      </c>
      <c r="E4655" t="str">
        <f>_xlfn.XLOOKUP(Vendas[[#This Row],[ID Item Vendido]],Agregado[ID],Agregado[Produto])</f>
        <v>Liga metálica especial</v>
      </c>
      <c r="F4655" s="39">
        <v>45810</v>
      </c>
      <c r="G4655" s="7">
        <v>34</v>
      </c>
      <c r="H4655" s="3">
        <f>_xlfn.XLOOKUP(Vendas[[#This Row],[ID Item Vendido]],Agregado[ID],Agregado[Revenda])</f>
        <v>32.5</v>
      </c>
      <c r="I4655" s="3">
        <f>Vendas[[#This Row],[Valor Unitário]]*Vendas[[#This Row],[Qnt Vendida]]</f>
        <v>1105</v>
      </c>
      <c r="J4655" s="3">
        <f>Vendas[[#This Row],[Valor da Venda]]-(_xlfn.XLOOKUP(Vendas[[#This Row],[ID Item Vendido]],Agregado[ID],Agregado[Custo])*Vendas[[#This Row],[Qnt Vendida]])</f>
        <v>255</v>
      </c>
      <c r="K4655" s="70">
        <f>Vendas[[#This Row],[Lucro da Venda]]/Vendas[[#This Row],[Valor da Venda]]</f>
        <v>0.23076923076923078</v>
      </c>
      <c r="L4655" s="3">
        <f>_xlfn.IFS(Vendas[[#This Row],[Margem de Lucro (%)]]&lt;15%,Vendas[[#This Row],[Valor da Venda]]*3%,Vendas[[#This Row],[Margem de Lucro (%)]]&lt;=20%,Vendas[[#This Row],[Valor da Venda]]*4.5%,TRUE,Vendas[[#This Row],[Valor da Venda]]*6%)</f>
        <v>66.3</v>
      </c>
      <c r="M4655"/>
    </row>
    <row r="4656" spans="1:13" x14ac:dyDescent="0.3">
      <c r="A4656" s="7">
        <v>400242</v>
      </c>
      <c r="B4656" t="str">
        <f>_xlfn.XLOOKUP(Vendas[[#This Row],[ID Vendedor]],Vendedores[ID],Vendedores[Nome])</f>
        <v>Fernanda</v>
      </c>
      <c r="C4656" s="7" t="str">
        <f>_xlfn.XLOOKUP(Vendas[[#This Row],[ID Vendedor]],Vendedores[ID],Vendedores[Setor])</f>
        <v>FM</v>
      </c>
      <c r="D4656" s="7" t="s">
        <v>47</v>
      </c>
      <c r="E4656" t="str">
        <f>_xlfn.XLOOKUP(Vendas[[#This Row],[ID Item Vendido]],Agregado[ID],Agregado[Produto])</f>
        <v>Fio de arame galvanizado rolo 50m</v>
      </c>
      <c r="F4656" s="39">
        <v>45810</v>
      </c>
      <c r="G4656" s="7">
        <v>32</v>
      </c>
      <c r="H4656" s="3">
        <f>_xlfn.XLOOKUP(Vendas[[#This Row],[ID Item Vendido]],Agregado[ID],Agregado[Revenda])</f>
        <v>21.2</v>
      </c>
      <c r="I4656" s="3">
        <f>Vendas[[#This Row],[Valor Unitário]]*Vendas[[#This Row],[Qnt Vendida]]</f>
        <v>678.4</v>
      </c>
      <c r="J4656" s="3">
        <f>Vendas[[#This Row],[Valor da Venda]]-(_xlfn.XLOOKUP(Vendas[[#This Row],[ID Item Vendido]],Agregado[ID],Agregado[Custo])*Vendas[[#This Row],[Qnt Vendida]])</f>
        <v>102.39999999999998</v>
      </c>
      <c r="K4656" s="70">
        <f>Vendas[[#This Row],[Lucro da Venda]]/Vendas[[#This Row],[Valor da Venda]]</f>
        <v>0.15094339622641506</v>
      </c>
      <c r="L4656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4656"/>
    </row>
    <row r="4657" spans="1:13" x14ac:dyDescent="0.3">
      <c r="A4657" s="7">
        <v>400252</v>
      </c>
      <c r="B4657" t="str">
        <f>_xlfn.XLOOKUP(Vendas[[#This Row],[ID Vendedor]],Vendedores[ID],Vendedores[Nome])</f>
        <v>Renata</v>
      </c>
      <c r="C4657" s="7" t="str">
        <f>_xlfn.XLOOKUP(Vendas[[#This Row],[ID Vendedor]],Vendedores[ID],Vendedores[Setor])</f>
        <v>AB</v>
      </c>
      <c r="D4657" s="7" t="s">
        <v>37</v>
      </c>
      <c r="E4657" t="str">
        <f>_xlfn.XLOOKUP(Vendas[[#This Row],[ID Item Vendido]],Agregado[ID],Agregado[Produto])</f>
        <v>Composto de borracha para vedação rolo 10m</v>
      </c>
      <c r="F4657" s="39">
        <v>45810</v>
      </c>
      <c r="G4657" s="7">
        <v>7</v>
      </c>
      <c r="H4657" s="3">
        <f>_xlfn.XLOOKUP(Vendas[[#This Row],[ID Item Vendido]],Agregado[ID],Agregado[Revenda])</f>
        <v>51.2</v>
      </c>
      <c r="I4657" s="3">
        <f>Vendas[[#This Row],[Valor Unitário]]*Vendas[[#This Row],[Qnt Vendida]]</f>
        <v>358.40000000000003</v>
      </c>
      <c r="J4657" s="3">
        <f>Vendas[[#This Row],[Valor da Venda]]-(_xlfn.XLOOKUP(Vendas[[#This Row],[ID Item Vendido]],Agregado[ID],Agregado[Custo])*Vendas[[#This Row],[Qnt Vendida]])</f>
        <v>78.400000000000034</v>
      </c>
      <c r="K4657" s="70">
        <f>Vendas[[#This Row],[Lucro da Venda]]/Vendas[[#This Row],[Valor da Venda]]</f>
        <v>0.21875000000000008</v>
      </c>
      <c r="L4657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4657"/>
    </row>
    <row r="4658" spans="1:13" x14ac:dyDescent="0.3">
      <c r="A4658" s="7">
        <v>400252</v>
      </c>
      <c r="B4658" t="str">
        <f>_xlfn.XLOOKUP(Vendas[[#This Row],[ID Vendedor]],Vendedores[ID],Vendedores[Nome])</f>
        <v>Renata</v>
      </c>
      <c r="C4658" s="7" t="str">
        <f>_xlfn.XLOOKUP(Vendas[[#This Row],[ID Vendedor]],Vendedores[ID],Vendedores[Setor])</f>
        <v>AB</v>
      </c>
      <c r="D4658" s="7" t="s">
        <v>39</v>
      </c>
      <c r="E4658" t="str">
        <f>_xlfn.XLOOKUP(Vendas[[#This Row],[ID Item Vendido]],Agregado[ID],Agregado[Produto])</f>
        <v>Filme plástico industrial rolo 50m</v>
      </c>
      <c r="F4658" s="39">
        <v>45811</v>
      </c>
      <c r="G4658" s="7">
        <v>24</v>
      </c>
      <c r="H4658" s="3">
        <f>_xlfn.XLOOKUP(Vendas[[#This Row],[ID Item Vendido]],Agregado[ID],Agregado[Revenda])</f>
        <v>37</v>
      </c>
      <c r="I4658" s="3">
        <f>Vendas[[#This Row],[Valor Unitário]]*Vendas[[#This Row],[Qnt Vendida]]</f>
        <v>888</v>
      </c>
      <c r="J4658" s="3">
        <f>Vendas[[#This Row],[Valor da Venda]]-(_xlfn.XLOOKUP(Vendas[[#This Row],[ID Item Vendido]],Agregado[ID],Agregado[Custo])*Vendas[[#This Row],[Qnt Vendida]])</f>
        <v>216</v>
      </c>
      <c r="K4658" s="70">
        <f>Vendas[[#This Row],[Lucro da Venda]]/Vendas[[#This Row],[Valor da Venda]]</f>
        <v>0.24324324324324326</v>
      </c>
      <c r="L4658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4658"/>
    </row>
    <row r="4659" spans="1:13" x14ac:dyDescent="0.3">
      <c r="A4659" s="7">
        <v>400246</v>
      </c>
      <c r="B4659" t="str">
        <f>_xlfn.XLOOKUP(Vendas[[#This Row],[ID Vendedor]],Vendedores[ID],Vendedores[Nome])</f>
        <v>Juliana</v>
      </c>
      <c r="C4659" s="7" t="str">
        <f>_xlfn.XLOOKUP(Vendas[[#This Row],[ID Vendedor]],Vendedores[ID],Vendedores[Setor])</f>
        <v>AHD</v>
      </c>
      <c r="D4659" s="7" t="s">
        <v>28</v>
      </c>
      <c r="E4659" t="str">
        <f>_xlfn.XLOOKUP(Vendas[[#This Row],[ID Item Vendido]],Agregado[ID],Agregado[Produto])</f>
        <v>Peça usinada CNC</v>
      </c>
      <c r="F4659" s="39">
        <v>45812</v>
      </c>
      <c r="G4659" s="7">
        <v>14</v>
      </c>
      <c r="H4659" s="3">
        <f>_xlfn.XLOOKUP(Vendas[[#This Row],[ID Item Vendido]],Agregado[ID],Agregado[Revenda])</f>
        <v>192</v>
      </c>
      <c r="I4659" s="3">
        <f>Vendas[[#This Row],[Valor Unitário]]*Vendas[[#This Row],[Qnt Vendida]]</f>
        <v>2688</v>
      </c>
      <c r="J4659" s="3">
        <f>Vendas[[#This Row],[Valor da Venda]]-(_xlfn.XLOOKUP(Vendas[[#This Row],[ID Item Vendido]],Agregado[ID],Agregado[Custo])*Vendas[[#This Row],[Qnt Vendida]])</f>
        <v>588</v>
      </c>
      <c r="K4659" s="70">
        <f>Vendas[[#This Row],[Lucro da Venda]]/Vendas[[#This Row],[Valor da Venda]]</f>
        <v>0.21875</v>
      </c>
      <c r="L4659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4659"/>
    </row>
    <row r="4660" spans="1:13" x14ac:dyDescent="0.3">
      <c r="A4660" s="7">
        <v>400244</v>
      </c>
      <c r="B4660" t="str">
        <f>_xlfn.XLOOKUP(Vendas[[#This Row],[ID Vendedor]],Vendedores[ID],Vendedores[Nome])</f>
        <v>Camila</v>
      </c>
      <c r="C4660" s="7" t="str">
        <f>_xlfn.XLOOKUP(Vendas[[#This Row],[ID Vendedor]],Vendedores[ID],Vendedores[Setor])</f>
        <v>AHD</v>
      </c>
      <c r="D4660" s="7" t="s">
        <v>30</v>
      </c>
      <c r="E4660" t="str">
        <f>_xlfn.XLOOKUP(Vendas[[#This Row],[ID Item Vendido]],Agregado[ID],Agregado[Produto])</f>
        <v>Estrutura metálica soldada</v>
      </c>
      <c r="F4660" s="39">
        <v>45812</v>
      </c>
      <c r="G4660" s="7">
        <v>2</v>
      </c>
      <c r="H4660" s="3">
        <f>_xlfn.XLOOKUP(Vendas[[#This Row],[ID Item Vendido]],Agregado[ID],Agregado[Revenda])</f>
        <v>400</v>
      </c>
      <c r="I4660" s="3">
        <f>Vendas[[#This Row],[Valor Unitário]]*Vendas[[#This Row],[Qnt Vendida]]</f>
        <v>800</v>
      </c>
      <c r="J4660" s="3">
        <f>Vendas[[#This Row],[Valor da Venda]]-(_xlfn.XLOOKUP(Vendas[[#This Row],[ID Item Vendido]],Agregado[ID],Agregado[Custo])*Vendas[[#This Row],[Qnt Vendida]])</f>
        <v>160</v>
      </c>
      <c r="K4660" s="70">
        <f>Vendas[[#This Row],[Lucro da Venda]]/Vendas[[#This Row],[Valor da Venda]]</f>
        <v>0.2</v>
      </c>
      <c r="L4660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660"/>
    </row>
    <row r="4661" spans="1:13" x14ac:dyDescent="0.3">
      <c r="A4661" s="7">
        <v>400242</v>
      </c>
      <c r="B4661" t="str">
        <f>_xlfn.XLOOKUP(Vendas[[#This Row],[ID Vendedor]],Vendedores[ID],Vendedores[Nome])</f>
        <v>Fernanda</v>
      </c>
      <c r="C4661" s="7" t="str">
        <f>_xlfn.XLOOKUP(Vendas[[#This Row],[ID Vendedor]],Vendedores[ID],Vendedores[Setor])</f>
        <v>FM</v>
      </c>
      <c r="D4661" s="7" t="s">
        <v>20</v>
      </c>
      <c r="E4661" t="str">
        <f>_xlfn.XLOOKUP(Vendas[[#This Row],[ID Item Vendido]],Agregado[ID],Agregado[Produto])</f>
        <v>Barra de aço simples</v>
      </c>
      <c r="F4661" s="39">
        <v>45812</v>
      </c>
      <c r="G4661" s="7">
        <v>22</v>
      </c>
      <c r="H4661" s="3">
        <f>_xlfn.XLOOKUP(Vendas[[#This Row],[ID Item Vendido]],Agregado[ID],Agregado[Revenda])</f>
        <v>4.8</v>
      </c>
      <c r="I4661" s="3">
        <f>Vendas[[#This Row],[Valor Unitário]]*Vendas[[#This Row],[Qnt Vendida]]</f>
        <v>105.6</v>
      </c>
      <c r="J4661" s="3">
        <f>Vendas[[#This Row],[Valor da Venda]]-(_xlfn.XLOOKUP(Vendas[[#This Row],[ID Item Vendido]],Agregado[ID],Agregado[Custo])*Vendas[[#This Row],[Qnt Vendida]])</f>
        <v>13.199999999999989</v>
      </c>
      <c r="K4661" s="70">
        <f>Vendas[[#This Row],[Lucro da Venda]]/Vendas[[#This Row],[Valor da Venda]]</f>
        <v>0.1249999999999999</v>
      </c>
      <c r="L4661" s="3">
        <f>_xlfn.IFS(Vendas[[#This Row],[Margem de Lucro (%)]]&lt;15%,Vendas[[#This Row],[Valor da Venda]]*3%,Vendas[[#This Row],[Margem de Lucro (%)]]&lt;=20%,Vendas[[#This Row],[Valor da Venda]]*4.5%,TRUE,Vendas[[#This Row],[Valor da Venda]]*6%)</f>
        <v>3.1679999999999997</v>
      </c>
      <c r="M4661"/>
    </row>
    <row r="4662" spans="1:13" x14ac:dyDescent="0.3">
      <c r="A4662" s="7">
        <v>400246</v>
      </c>
      <c r="B4662" t="str">
        <f>_xlfn.XLOOKUP(Vendas[[#This Row],[ID Vendedor]],Vendedores[ID],Vendedores[Nome])</f>
        <v>Juliana</v>
      </c>
      <c r="C4662" s="7" t="str">
        <f>_xlfn.XLOOKUP(Vendas[[#This Row],[ID Vendedor]],Vendedores[ID],Vendedores[Setor])</f>
        <v>AHD</v>
      </c>
      <c r="D4662" s="7" t="s">
        <v>18</v>
      </c>
      <c r="E4662" t="str">
        <f>_xlfn.XLOOKUP(Vendas[[#This Row],[ID Item Vendido]],Agregado[ID],Agregado[Produto])</f>
        <v>Peça forjada sob encomenda</v>
      </c>
      <c r="F4662" s="39">
        <v>45813</v>
      </c>
      <c r="G4662" s="7">
        <v>6</v>
      </c>
      <c r="H4662" s="3">
        <f>_xlfn.XLOOKUP(Vendas[[#This Row],[ID Item Vendido]],Agregado[ID],Agregado[Revenda])</f>
        <v>264.60000000000002</v>
      </c>
      <c r="I4662" s="3">
        <f>Vendas[[#This Row],[Valor Unitário]]*Vendas[[#This Row],[Qnt Vendida]]</f>
        <v>1587.6000000000001</v>
      </c>
      <c r="J4662" s="3">
        <f>Vendas[[#This Row],[Valor da Venda]]-(_xlfn.XLOOKUP(Vendas[[#This Row],[ID Item Vendido]],Agregado[ID],Agregado[Custo])*Vendas[[#This Row],[Qnt Vendida]])</f>
        <v>87.600000000000136</v>
      </c>
      <c r="K4662" s="70">
        <f>Vendas[[#This Row],[Lucro da Venda]]/Vendas[[#This Row],[Valor da Venda]]</f>
        <v>5.5177626606198113E-2</v>
      </c>
      <c r="L4662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4662"/>
    </row>
    <row r="4663" spans="1:13" x14ac:dyDescent="0.3">
      <c r="A4663" s="7">
        <v>400245</v>
      </c>
      <c r="B4663" t="str">
        <f>_xlfn.XLOOKUP(Vendas[[#This Row],[ID Vendedor]],Vendedores[ID],Vendedores[Nome])</f>
        <v>Thiago</v>
      </c>
      <c r="C4663" s="7" t="str">
        <f>_xlfn.XLOOKUP(Vendas[[#This Row],[ID Vendedor]],Vendedores[ID],Vendedores[Setor])</f>
        <v>AHD</v>
      </c>
      <c r="D4663" s="7" t="s">
        <v>9</v>
      </c>
      <c r="E4663" t="str">
        <f>_xlfn.XLOOKUP(Vendas[[#This Row],[ID Item Vendido]],Agregado[ID],Agregado[Produto])</f>
        <v>Barra de aço simples</v>
      </c>
      <c r="F4663" s="39">
        <v>45813</v>
      </c>
      <c r="G4663" s="7">
        <v>104</v>
      </c>
      <c r="H4663" s="3">
        <f>_xlfn.XLOOKUP(Vendas[[#This Row],[ID Item Vendido]],Agregado[ID],Agregado[Revenda])</f>
        <v>6.7</v>
      </c>
      <c r="I4663" s="3">
        <f>Vendas[[#This Row],[Valor Unitário]]*Vendas[[#This Row],[Qnt Vendida]]</f>
        <v>696.80000000000007</v>
      </c>
      <c r="J4663" s="3">
        <f>Vendas[[#This Row],[Valor da Venda]]-(_xlfn.XLOOKUP(Vendas[[#This Row],[ID Item Vendido]],Agregado[ID],Agregado[Custo])*Vendas[[#This Row],[Qnt Vendida]])</f>
        <v>93.600000000000136</v>
      </c>
      <c r="K4663" s="70">
        <f>Vendas[[#This Row],[Lucro da Venda]]/Vendas[[#This Row],[Valor da Venda]]</f>
        <v>0.13432835820895542</v>
      </c>
      <c r="L4663" s="3">
        <f>_xlfn.IFS(Vendas[[#This Row],[Margem de Lucro (%)]]&lt;15%,Vendas[[#This Row],[Valor da Venda]]*3%,Vendas[[#This Row],[Margem de Lucro (%)]]&lt;=20%,Vendas[[#This Row],[Valor da Venda]]*4.5%,TRUE,Vendas[[#This Row],[Valor da Venda]]*6%)</f>
        <v>20.904</v>
      </c>
      <c r="M4663"/>
    </row>
    <row r="4664" spans="1:13" x14ac:dyDescent="0.3">
      <c r="A4664" s="7">
        <v>400241</v>
      </c>
      <c r="B4664" t="str">
        <f>_xlfn.XLOOKUP(Vendas[[#This Row],[ID Vendedor]],Vendedores[ID],Vendedores[Nome])</f>
        <v>Rodrigo</v>
      </c>
      <c r="C4664" s="7" t="str">
        <f>_xlfn.XLOOKUP(Vendas[[#This Row],[ID Vendedor]],Vendedores[ID],Vendedores[Setor])</f>
        <v>FM</v>
      </c>
      <c r="D4664" s="7" t="s">
        <v>31</v>
      </c>
      <c r="E4664" t="str">
        <f>_xlfn.XLOOKUP(Vendas[[#This Row],[ID Item Vendido]],Agregado[ID],Agregado[Produto])</f>
        <v>Tela de metal soldada rolo 2x25m</v>
      </c>
      <c r="F4664" s="39">
        <v>45813</v>
      </c>
      <c r="G4664" s="7">
        <v>10</v>
      </c>
      <c r="H4664" s="3">
        <f>_xlfn.XLOOKUP(Vendas[[#This Row],[ID Item Vendido]],Agregado[ID],Agregado[Revenda])</f>
        <v>43.7</v>
      </c>
      <c r="I4664" s="3">
        <f>Vendas[[#This Row],[Valor Unitário]]*Vendas[[#This Row],[Qnt Vendida]]</f>
        <v>437</v>
      </c>
      <c r="J4664" s="3">
        <f>Vendas[[#This Row],[Valor da Venda]]-(_xlfn.XLOOKUP(Vendas[[#This Row],[ID Item Vendido]],Agregado[ID],Agregado[Custo])*Vendas[[#This Row],[Qnt Vendida]])</f>
        <v>57</v>
      </c>
      <c r="K4664" s="70">
        <f>Vendas[[#This Row],[Lucro da Venda]]/Vendas[[#This Row],[Valor da Venda]]</f>
        <v>0.13043478260869565</v>
      </c>
      <c r="L4664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4664"/>
    </row>
    <row r="4665" spans="1:13" x14ac:dyDescent="0.3">
      <c r="A4665" s="7">
        <v>400255</v>
      </c>
      <c r="B4665" t="str">
        <f>_xlfn.XLOOKUP(Vendas[[#This Row],[ID Vendedor]],Vendedores[ID],Vendedores[Nome])</f>
        <v>Carlos</v>
      </c>
      <c r="C4665" s="7" t="str">
        <f>_xlfn.XLOOKUP(Vendas[[#This Row],[ID Vendedor]],Vendedores[ID],Vendedores[Setor])</f>
        <v>SC</v>
      </c>
      <c r="D4665" s="7" t="s">
        <v>14</v>
      </c>
      <c r="E4665" t="str">
        <f>_xlfn.XLOOKUP(Vendas[[#This Row],[ID Item Vendido]],Agregado[ID],Agregado[Produto])</f>
        <v>Barril de plástico 200L</v>
      </c>
      <c r="F4665" s="39">
        <v>45814</v>
      </c>
      <c r="G4665" s="7">
        <v>13</v>
      </c>
      <c r="H4665" s="3">
        <f>_xlfn.XLOOKUP(Vendas[[#This Row],[ID Item Vendido]],Agregado[ID],Agregado[Revenda])</f>
        <v>114</v>
      </c>
      <c r="I4665" s="3">
        <f>Vendas[[#This Row],[Valor Unitário]]*Vendas[[#This Row],[Qnt Vendida]]</f>
        <v>1482</v>
      </c>
      <c r="J4665" s="3">
        <f>Vendas[[#This Row],[Valor da Venda]]-(_xlfn.XLOOKUP(Vendas[[#This Row],[ID Item Vendido]],Agregado[ID],Agregado[Custo])*Vendas[[#This Row],[Qnt Vendida]])</f>
        <v>247</v>
      </c>
      <c r="K4665" s="70">
        <f>Vendas[[#This Row],[Lucro da Venda]]/Vendas[[#This Row],[Valor da Venda]]</f>
        <v>0.16666666666666666</v>
      </c>
      <c r="L4665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4665"/>
    </row>
    <row r="4666" spans="1:13" x14ac:dyDescent="0.3">
      <c r="A4666" s="7">
        <v>400241</v>
      </c>
      <c r="B4666" t="str">
        <f>_xlfn.XLOOKUP(Vendas[[#This Row],[ID Vendedor]],Vendedores[ID],Vendedores[Nome])</f>
        <v>Rodrigo</v>
      </c>
      <c r="C4666" s="7" t="str">
        <f>_xlfn.XLOOKUP(Vendas[[#This Row],[ID Vendedor]],Vendedores[ID],Vendedores[Setor])</f>
        <v>FM</v>
      </c>
      <c r="D4666" s="7" t="s">
        <v>47</v>
      </c>
      <c r="E4666" t="str">
        <f>_xlfn.XLOOKUP(Vendas[[#This Row],[ID Item Vendido]],Agregado[ID],Agregado[Produto])</f>
        <v>Fio de arame galvanizado rolo 50m</v>
      </c>
      <c r="F4666" s="39">
        <v>45814</v>
      </c>
      <c r="G4666" s="7">
        <v>16</v>
      </c>
      <c r="H4666" s="3">
        <f>_xlfn.XLOOKUP(Vendas[[#This Row],[ID Item Vendido]],Agregado[ID],Agregado[Revenda])</f>
        <v>21.2</v>
      </c>
      <c r="I4666" s="3">
        <f>Vendas[[#This Row],[Valor Unitário]]*Vendas[[#This Row],[Qnt Vendida]]</f>
        <v>339.2</v>
      </c>
      <c r="J4666" s="3">
        <f>Vendas[[#This Row],[Valor da Venda]]-(_xlfn.XLOOKUP(Vendas[[#This Row],[ID Item Vendido]],Agregado[ID],Agregado[Custo])*Vendas[[#This Row],[Qnt Vendida]])</f>
        <v>51.199999999999989</v>
      </c>
      <c r="K4666" s="70">
        <f>Vendas[[#This Row],[Lucro da Venda]]/Vendas[[#This Row],[Valor da Venda]]</f>
        <v>0.15094339622641506</v>
      </c>
      <c r="L4666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4666"/>
    </row>
    <row r="4667" spans="1:13" x14ac:dyDescent="0.3">
      <c r="A4667" s="7">
        <v>400255</v>
      </c>
      <c r="B4667" t="str">
        <f>_xlfn.XLOOKUP(Vendas[[#This Row],[ID Vendedor]],Vendedores[ID],Vendedores[Nome])</f>
        <v>Carlos</v>
      </c>
      <c r="C4667" s="7" t="str">
        <f>_xlfn.XLOOKUP(Vendas[[#This Row],[ID Vendedor]],Vendedores[ID],Vendedores[Setor])</f>
        <v>SC</v>
      </c>
      <c r="D4667" s="7" t="s">
        <v>48</v>
      </c>
      <c r="E4667" t="str">
        <f>_xlfn.XLOOKUP(Vendas[[#This Row],[ID Item Vendido]],Agregado[ID],Agregado[Produto])</f>
        <v>Tambor metálico 200L</v>
      </c>
      <c r="F4667" s="39">
        <v>45815</v>
      </c>
      <c r="G4667" s="7">
        <v>11</v>
      </c>
      <c r="H4667" s="3">
        <f>_xlfn.XLOOKUP(Vendas[[#This Row],[ID Item Vendido]],Agregado[ID],Agregado[Revenda])</f>
        <v>144</v>
      </c>
      <c r="I4667" s="3">
        <f>Vendas[[#This Row],[Valor Unitário]]*Vendas[[#This Row],[Qnt Vendida]]</f>
        <v>1584</v>
      </c>
      <c r="J4667" s="3">
        <f>Vendas[[#This Row],[Valor da Venda]]-(_xlfn.XLOOKUP(Vendas[[#This Row],[ID Item Vendido]],Agregado[ID],Agregado[Custo])*Vendas[[#This Row],[Qnt Vendida]])</f>
        <v>264</v>
      </c>
      <c r="K4667" s="70">
        <f>Vendas[[#This Row],[Lucro da Venda]]/Vendas[[#This Row],[Valor da Venda]]</f>
        <v>0.16666666666666666</v>
      </c>
      <c r="L4667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4667"/>
    </row>
    <row r="4668" spans="1:13" x14ac:dyDescent="0.3">
      <c r="A4668" s="7">
        <v>400254</v>
      </c>
      <c r="B4668" t="str">
        <f>_xlfn.XLOOKUP(Vendas[[#This Row],[ID Vendedor]],Vendedores[ID],Vendedores[Nome])</f>
        <v>Beatriz</v>
      </c>
      <c r="C4668" s="7" t="str">
        <f>_xlfn.XLOOKUP(Vendas[[#This Row],[ID Vendedor]],Vendedores[ID],Vendedores[Setor])</f>
        <v>SC</v>
      </c>
      <c r="D4668" s="7" t="s">
        <v>14</v>
      </c>
      <c r="E4668" t="str">
        <f>_xlfn.XLOOKUP(Vendas[[#This Row],[ID Item Vendido]],Agregado[ID],Agregado[Produto])</f>
        <v>Barril de plástico 200L</v>
      </c>
      <c r="F4668" s="39">
        <v>45816</v>
      </c>
      <c r="G4668" s="7">
        <v>20</v>
      </c>
      <c r="H4668" s="3">
        <f>_xlfn.XLOOKUP(Vendas[[#This Row],[ID Item Vendido]],Agregado[ID],Agregado[Revenda])</f>
        <v>114</v>
      </c>
      <c r="I4668" s="3">
        <f>Vendas[[#This Row],[Valor Unitário]]*Vendas[[#This Row],[Qnt Vendida]]</f>
        <v>2280</v>
      </c>
      <c r="J4668" s="3">
        <f>Vendas[[#This Row],[Valor da Venda]]-(_xlfn.XLOOKUP(Vendas[[#This Row],[ID Item Vendido]],Agregado[ID],Agregado[Custo])*Vendas[[#This Row],[Qnt Vendida]])</f>
        <v>380</v>
      </c>
      <c r="K4668" s="70">
        <f>Vendas[[#This Row],[Lucro da Venda]]/Vendas[[#This Row],[Valor da Venda]]</f>
        <v>0.16666666666666666</v>
      </c>
      <c r="L4668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4668"/>
    </row>
    <row r="4669" spans="1:13" x14ac:dyDescent="0.3">
      <c r="A4669" s="7">
        <v>400248</v>
      </c>
      <c r="B4669" t="str">
        <f>_xlfn.XLOOKUP(Vendas[[#This Row],[ID Vendedor]],Vendedores[ID],Vendedores[Nome])</f>
        <v>Patrícia</v>
      </c>
      <c r="C4669" s="7" t="str">
        <f>_xlfn.XLOOKUP(Vendas[[#This Row],[ID Vendedor]],Vendedores[ID],Vendedores[Setor])</f>
        <v>CM</v>
      </c>
      <c r="D4669" s="7" t="s">
        <v>43</v>
      </c>
      <c r="E4669" t="str">
        <f>_xlfn.XLOOKUP(Vendas[[#This Row],[ID Item Vendido]],Agregado[ID],Agregado[Produto])</f>
        <v>Madeira Bruta (Tora)</v>
      </c>
      <c r="F4669" s="39">
        <v>45816</v>
      </c>
      <c r="G4669" s="7">
        <v>7</v>
      </c>
      <c r="H4669" s="3">
        <f>_xlfn.XLOOKUP(Vendas[[#This Row],[ID Item Vendido]],Agregado[ID],Agregado[Revenda])</f>
        <v>212</v>
      </c>
      <c r="I4669" s="3">
        <f>Vendas[[#This Row],[Valor Unitário]]*Vendas[[#This Row],[Qnt Vendida]]</f>
        <v>1484</v>
      </c>
      <c r="J4669" s="3">
        <f>Vendas[[#This Row],[Valor da Venda]]-(_xlfn.XLOOKUP(Vendas[[#This Row],[ID Item Vendido]],Agregado[ID],Agregado[Custo])*Vendas[[#This Row],[Qnt Vendida]])</f>
        <v>224</v>
      </c>
      <c r="K4669" s="70">
        <f>Vendas[[#This Row],[Lucro da Venda]]/Vendas[[#This Row],[Valor da Venda]]</f>
        <v>0.15094339622641509</v>
      </c>
      <c r="L4669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669"/>
    </row>
    <row r="4670" spans="1:13" x14ac:dyDescent="0.3">
      <c r="A4670" s="7">
        <v>400248</v>
      </c>
      <c r="B4670" t="str">
        <f>_xlfn.XLOOKUP(Vendas[[#This Row],[ID Vendedor]],Vendedores[ID],Vendedores[Nome])</f>
        <v>Patrícia</v>
      </c>
      <c r="C4670" s="7" t="str">
        <f>_xlfn.XLOOKUP(Vendas[[#This Row],[ID Vendedor]],Vendedores[ID],Vendedores[Setor])</f>
        <v>CM</v>
      </c>
      <c r="D4670" s="7" t="s">
        <v>43</v>
      </c>
      <c r="E4670" t="str">
        <f>_xlfn.XLOOKUP(Vendas[[#This Row],[ID Item Vendido]],Agregado[ID],Agregado[Produto])</f>
        <v>Madeira Bruta (Tora)</v>
      </c>
      <c r="F4670" s="39">
        <v>45816</v>
      </c>
      <c r="G4670" s="7">
        <v>7</v>
      </c>
      <c r="H4670" s="3">
        <f>_xlfn.XLOOKUP(Vendas[[#This Row],[ID Item Vendido]],Agregado[ID],Agregado[Revenda])</f>
        <v>212</v>
      </c>
      <c r="I4670" s="3">
        <f>Vendas[[#This Row],[Valor Unitário]]*Vendas[[#This Row],[Qnt Vendida]]</f>
        <v>1484</v>
      </c>
      <c r="J4670" s="3">
        <f>Vendas[[#This Row],[Valor da Venda]]-(_xlfn.XLOOKUP(Vendas[[#This Row],[ID Item Vendido]],Agregado[ID],Agregado[Custo])*Vendas[[#This Row],[Qnt Vendida]])</f>
        <v>224</v>
      </c>
      <c r="K4670" s="70">
        <f>Vendas[[#This Row],[Lucro da Venda]]/Vendas[[#This Row],[Valor da Venda]]</f>
        <v>0.15094339622641509</v>
      </c>
      <c r="L4670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670"/>
    </row>
    <row r="4671" spans="1:13" x14ac:dyDescent="0.3">
      <c r="A4671" s="7">
        <v>400248</v>
      </c>
      <c r="B4671" t="str">
        <f>_xlfn.XLOOKUP(Vendas[[#This Row],[ID Vendedor]],Vendedores[ID],Vendedores[Nome])</f>
        <v>Patrícia</v>
      </c>
      <c r="C4671" s="7" t="str">
        <f>_xlfn.XLOOKUP(Vendas[[#This Row],[ID Vendedor]],Vendedores[ID],Vendedores[Setor])</f>
        <v>CM</v>
      </c>
      <c r="D4671" s="7" t="s">
        <v>45</v>
      </c>
      <c r="E4671" t="str">
        <f>_xlfn.XLOOKUP(Vendas[[#This Row],[ID Item Vendido]],Agregado[ID],Agregado[Produto])</f>
        <v>Viga de madeira tratada 4m</v>
      </c>
      <c r="F4671" s="39">
        <v>45816</v>
      </c>
      <c r="G4671" s="7">
        <v>14</v>
      </c>
      <c r="H4671" s="3">
        <f>_xlfn.XLOOKUP(Vendas[[#This Row],[ID Item Vendido]],Agregado[ID],Agregado[Revenda])</f>
        <v>66</v>
      </c>
      <c r="I4671" s="3">
        <f>Vendas[[#This Row],[Valor Unitário]]*Vendas[[#This Row],[Qnt Vendida]]</f>
        <v>924</v>
      </c>
      <c r="J4671" s="3">
        <f>Vendas[[#This Row],[Valor da Venda]]-(_xlfn.XLOOKUP(Vendas[[#This Row],[ID Item Vendido]],Agregado[ID],Agregado[Custo])*Vendas[[#This Row],[Qnt Vendida]])</f>
        <v>154</v>
      </c>
      <c r="K4671" s="70">
        <f>Vendas[[#This Row],[Lucro da Venda]]/Vendas[[#This Row],[Valor da Venda]]</f>
        <v>0.16666666666666666</v>
      </c>
      <c r="L4671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4671"/>
    </row>
    <row r="4672" spans="1:13" x14ac:dyDescent="0.3">
      <c r="A4672" s="7">
        <v>400243</v>
      </c>
      <c r="B4672" t="str">
        <f>_xlfn.XLOOKUP(Vendas[[#This Row],[ID Vendedor]],Vendedores[ID],Vendedores[Nome])</f>
        <v>Marcelo</v>
      </c>
      <c r="C4672" s="7" t="str">
        <f>_xlfn.XLOOKUP(Vendas[[#This Row],[ID Vendedor]],Vendedores[ID],Vendedores[Setor])</f>
        <v>FM</v>
      </c>
      <c r="D4672" s="7" t="s">
        <v>47</v>
      </c>
      <c r="E4672" t="str">
        <f>_xlfn.XLOOKUP(Vendas[[#This Row],[ID Item Vendido]],Agregado[ID],Agregado[Produto])</f>
        <v>Fio de arame galvanizado rolo 50m</v>
      </c>
      <c r="F4672" s="39">
        <v>45816</v>
      </c>
      <c r="G4672" s="7">
        <v>32</v>
      </c>
      <c r="H4672" s="3">
        <f>_xlfn.XLOOKUP(Vendas[[#This Row],[ID Item Vendido]],Agregado[ID],Agregado[Revenda])</f>
        <v>21.2</v>
      </c>
      <c r="I4672" s="3">
        <f>Vendas[[#This Row],[Valor Unitário]]*Vendas[[#This Row],[Qnt Vendida]]</f>
        <v>678.4</v>
      </c>
      <c r="J4672" s="3">
        <f>Vendas[[#This Row],[Valor da Venda]]-(_xlfn.XLOOKUP(Vendas[[#This Row],[ID Item Vendido]],Agregado[ID],Agregado[Custo])*Vendas[[#This Row],[Qnt Vendida]])</f>
        <v>102.39999999999998</v>
      </c>
      <c r="K4672" s="70">
        <f>Vendas[[#This Row],[Lucro da Venda]]/Vendas[[#This Row],[Valor da Venda]]</f>
        <v>0.15094339622641506</v>
      </c>
      <c r="L4672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4672"/>
    </row>
    <row r="4673" spans="1:13" x14ac:dyDescent="0.3">
      <c r="A4673" s="7">
        <v>400244</v>
      </c>
      <c r="B4673" t="str">
        <f>_xlfn.XLOOKUP(Vendas[[#This Row],[ID Vendedor]],Vendedores[ID],Vendedores[Nome])</f>
        <v>Camila</v>
      </c>
      <c r="C4673" s="7" t="str">
        <f>_xlfn.XLOOKUP(Vendas[[#This Row],[ID Vendedor]],Vendedores[ID],Vendedores[Setor])</f>
        <v>AHD</v>
      </c>
      <c r="D4673" s="7" t="s">
        <v>44</v>
      </c>
      <c r="E4673" t="str">
        <f>_xlfn.XLOOKUP(Vendas[[#This Row],[ID Item Vendido]],Agregado[ID],Agregado[Produto])</f>
        <v>Liga metálica especial</v>
      </c>
      <c r="F4673" s="39">
        <v>45816</v>
      </c>
      <c r="G4673" s="7">
        <v>17</v>
      </c>
      <c r="H4673" s="3">
        <f>_xlfn.XLOOKUP(Vendas[[#This Row],[ID Item Vendido]],Agregado[ID],Agregado[Revenda])</f>
        <v>32.5</v>
      </c>
      <c r="I4673" s="3">
        <f>Vendas[[#This Row],[Valor Unitário]]*Vendas[[#This Row],[Qnt Vendida]]</f>
        <v>552.5</v>
      </c>
      <c r="J4673" s="3">
        <f>Vendas[[#This Row],[Valor da Venda]]-(_xlfn.XLOOKUP(Vendas[[#This Row],[ID Item Vendido]],Agregado[ID],Agregado[Custo])*Vendas[[#This Row],[Qnt Vendida]])</f>
        <v>127.5</v>
      </c>
      <c r="K4673" s="70">
        <f>Vendas[[#This Row],[Lucro da Venda]]/Vendas[[#This Row],[Valor da Venda]]</f>
        <v>0.23076923076923078</v>
      </c>
      <c r="L4673" s="3">
        <f>_xlfn.IFS(Vendas[[#This Row],[Margem de Lucro (%)]]&lt;15%,Vendas[[#This Row],[Valor da Venda]]*3%,Vendas[[#This Row],[Margem de Lucro (%)]]&lt;=20%,Vendas[[#This Row],[Valor da Venda]]*4.5%,TRUE,Vendas[[#This Row],[Valor da Venda]]*6%)</f>
        <v>33.15</v>
      </c>
      <c r="M4673"/>
    </row>
    <row r="4674" spans="1:13" x14ac:dyDescent="0.3">
      <c r="A4674" s="7">
        <v>400242</v>
      </c>
      <c r="B4674" t="str">
        <f>_xlfn.XLOOKUP(Vendas[[#This Row],[ID Vendedor]],Vendedores[ID],Vendedores[Nome])</f>
        <v>Fernanda</v>
      </c>
      <c r="C4674" s="7" t="str">
        <f>_xlfn.XLOOKUP(Vendas[[#This Row],[ID Vendedor]],Vendedores[ID],Vendedores[Setor])</f>
        <v>FM</v>
      </c>
      <c r="D4674" s="7" t="s">
        <v>31</v>
      </c>
      <c r="E4674" t="str">
        <f>_xlfn.XLOOKUP(Vendas[[#This Row],[ID Item Vendido]],Agregado[ID],Agregado[Produto])</f>
        <v>Tela de metal soldada rolo 2x25m</v>
      </c>
      <c r="F4674" s="39">
        <v>45816</v>
      </c>
      <c r="G4674" s="7">
        <v>7</v>
      </c>
      <c r="H4674" s="3">
        <f>_xlfn.XLOOKUP(Vendas[[#This Row],[ID Item Vendido]],Agregado[ID],Agregado[Revenda])</f>
        <v>43.7</v>
      </c>
      <c r="I4674" s="3">
        <f>Vendas[[#This Row],[Valor Unitário]]*Vendas[[#This Row],[Qnt Vendida]]</f>
        <v>305.90000000000003</v>
      </c>
      <c r="J4674" s="3">
        <f>Vendas[[#This Row],[Valor da Venda]]-(_xlfn.XLOOKUP(Vendas[[#This Row],[ID Item Vendido]],Agregado[ID],Agregado[Custo])*Vendas[[#This Row],[Qnt Vendida]])</f>
        <v>39.900000000000034</v>
      </c>
      <c r="K4674" s="70">
        <f>Vendas[[#This Row],[Lucro da Venda]]/Vendas[[#This Row],[Valor da Venda]]</f>
        <v>0.13043478260869576</v>
      </c>
      <c r="L4674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4674"/>
    </row>
    <row r="4675" spans="1:13" x14ac:dyDescent="0.3">
      <c r="A4675" s="7">
        <v>400250</v>
      </c>
      <c r="B4675" t="str">
        <f>_xlfn.XLOOKUP(Vendas[[#This Row],[ID Vendedor]],Vendedores[ID],Vendedores[Nome])</f>
        <v>Larissa</v>
      </c>
      <c r="C4675" s="7" t="str">
        <f>_xlfn.XLOOKUP(Vendas[[#This Row],[ID Vendedor]],Vendedores[ID],Vendedores[Setor])</f>
        <v>AB</v>
      </c>
      <c r="D4675" s="7" t="s">
        <v>12</v>
      </c>
      <c r="E4675" t="str">
        <f>_xlfn.XLOOKUP(Vendas[[#This Row],[ID Item Vendido]],Agregado[ID],Agregado[Produto])</f>
        <v>Grânulo de plástico reciclado refinado</v>
      </c>
      <c r="F4675" s="39">
        <v>45816</v>
      </c>
      <c r="G4675" s="7">
        <v>32</v>
      </c>
      <c r="H4675" s="3">
        <f>_xlfn.XLOOKUP(Vendas[[#This Row],[ID Item Vendido]],Agregado[ID],Agregado[Revenda])</f>
        <v>4.7</v>
      </c>
      <c r="I4675" s="3">
        <f>Vendas[[#This Row],[Valor Unitário]]*Vendas[[#This Row],[Qnt Vendida]]</f>
        <v>150.4</v>
      </c>
      <c r="J4675" s="3">
        <f>Vendas[[#This Row],[Valor da Venda]]-(_xlfn.XLOOKUP(Vendas[[#This Row],[ID Item Vendido]],Agregado[ID],Agregado[Custo])*Vendas[[#This Row],[Qnt Vendida]])</f>
        <v>38.400000000000006</v>
      </c>
      <c r="K4675" s="70">
        <f>Vendas[[#This Row],[Lucro da Venda]]/Vendas[[#This Row],[Valor da Venda]]</f>
        <v>0.25531914893617025</v>
      </c>
      <c r="L4675" s="3">
        <f>_xlfn.IFS(Vendas[[#This Row],[Margem de Lucro (%)]]&lt;15%,Vendas[[#This Row],[Valor da Venda]]*3%,Vendas[[#This Row],[Margem de Lucro (%)]]&lt;=20%,Vendas[[#This Row],[Valor da Venda]]*4.5%,TRUE,Vendas[[#This Row],[Valor da Venda]]*6%)</f>
        <v>9.0239999999999991</v>
      </c>
      <c r="M4675"/>
    </row>
    <row r="4676" spans="1:13" x14ac:dyDescent="0.3">
      <c r="A4676" s="7">
        <v>400254</v>
      </c>
      <c r="B4676" t="str">
        <f>_xlfn.XLOOKUP(Vendas[[#This Row],[ID Vendedor]],Vendedores[ID],Vendedores[Nome])</f>
        <v>Beatriz</v>
      </c>
      <c r="C4676" s="7" t="str">
        <f>_xlfn.XLOOKUP(Vendas[[#This Row],[ID Vendedor]],Vendedores[ID],Vendedores[Setor])</f>
        <v>SC</v>
      </c>
      <c r="D4676" s="7" t="s">
        <v>25</v>
      </c>
      <c r="E4676" t="str">
        <f>_xlfn.XLOOKUP(Vendas[[#This Row],[ID Item Vendido]],Agregado[ID],Agregado[Produto])</f>
        <v>Palete de plástico</v>
      </c>
      <c r="F4676" s="39">
        <v>45817</v>
      </c>
      <c r="G4676" s="7">
        <v>12</v>
      </c>
      <c r="H4676" s="3">
        <f>_xlfn.XLOOKUP(Vendas[[#This Row],[ID Item Vendido]],Agregado[ID],Agregado[Revenda])</f>
        <v>70.8</v>
      </c>
      <c r="I4676" s="3">
        <f>Vendas[[#This Row],[Valor Unitário]]*Vendas[[#This Row],[Qnt Vendida]]</f>
        <v>849.59999999999991</v>
      </c>
      <c r="J4676" s="3">
        <f>Vendas[[#This Row],[Valor da Venda]]-(_xlfn.XLOOKUP(Vendas[[#This Row],[ID Item Vendido]],Agregado[ID],Agregado[Custo])*Vendas[[#This Row],[Qnt Vendida]])</f>
        <v>129.59999999999991</v>
      </c>
      <c r="K4676" s="70">
        <f>Vendas[[#This Row],[Lucro da Venda]]/Vendas[[#This Row],[Valor da Venda]]</f>
        <v>0.15254237288135583</v>
      </c>
      <c r="L4676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4676"/>
    </row>
    <row r="4677" spans="1:13" x14ac:dyDescent="0.3">
      <c r="A4677" s="7">
        <v>400252</v>
      </c>
      <c r="B4677" t="str">
        <f>_xlfn.XLOOKUP(Vendas[[#This Row],[ID Vendedor]],Vendedores[ID],Vendedores[Nome])</f>
        <v>Renata</v>
      </c>
      <c r="C4677" s="7" t="str">
        <f>_xlfn.XLOOKUP(Vendas[[#This Row],[ID Vendedor]],Vendedores[ID],Vendedores[Setor])</f>
        <v>AB</v>
      </c>
      <c r="D4677" s="7" t="s">
        <v>39</v>
      </c>
      <c r="E4677" t="str">
        <f>_xlfn.XLOOKUP(Vendas[[#This Row],[ID Item Vendido]],Agregado[ID],Agregado[Produto])</f>
        <v>Filme plástico industrial rolo 50m</v>
      </c>
      <c r="F4677" s="39">
        <v>45817</v>
      </c>
      <c r="G4677" s="7">
        <v>20</v>
      </c>
      <c r="H4677" s="3">
        <f>_xlfn.XLOOKUP(Vendas[[#This Row],[ID Item Vendido]],Agregado[ID],Agregado[Revenda])</f>
        <v>37</v>
      </c>
      <c r="I4677" s="3">
        <f>Vendas[[#This Row],[Valor Unitário]]*Vendas[[#This Row],[Qnt Vendida]]</f>
        <v>740</v>
      </c>
      <c r="J4677" s="3">
        <f>Vendas[[#This Row],[Valor da Venda]]-(_xlfn.XLOOKUP(Vendas[[#This Row],[ID Item Vendido]],Agregado[ID],Agregado[Custo])*Vendas[[#This Row],[Qnt Vendida]])</f>
        <v>180</v>
      </c>
      <c r="K4677" s="70">
        <f>Vendas[[#This Row],[Lucro da Venda]]/Vendas[[#This Row],[Valor da Venda]]</f>
        <v>0.24324324324324326</v>
      </c>
      <c r="L4677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4677"/>
    </row>
    <row r="4678" spans="1:13" x14ac:dyDescent="0.3">
      <c r="A4678" s="7">
        <v>400241</v>
      </c>
      <c r="B4678" t="str">
        <f>_xlfn.XLOOKUP(Vendas[[#This Row],[ID Vendedor]],Vendedores[ID],Vendedores[Nome])</f>
        <v>Rodrigo</v>
      </c>
      <c r="C4678" s="7" t="str">
        <f>_xlfn.XLOOKUP(Vendas[[#This Row],[ID Vendedor]],Vendedores[ID],Vendedores[Setor])</f>
        <v>FM</v>
      </c>
      <c r="D4678" s="7" t="s">
        <v>27</v>
      </c>
      <c r="E4678" t="str">
        <f>_xlfn.XLOOKUP(Vendas[[#This Row],[ID Item Vendido]],Agregado[ID],Agregado[Produto])</f>
        <v>Chapa de metal lisa 1x2m</v>
      </c>
      <c r="F4678" s="39">
        <v>45817</v>
      </c>
      <c r="G4678" s="7">
        <v>6</v>
      </c>
      <c r="H4678" s="3">
        <f>_xlfn.XLOOKUP(Vendas[[#This Row],[ID Item Vendido]],Agregado[ID],Agregado[Revenda])</f>
        <v>52</v>
      </c>
      <c r="I4678" s="3">
        <f>Vendas[[#This Row],[Valor Unitário]]*Vendas[[#This Row],[Qnt Vendida]]</f>
        <v>312</v>
      </c>
      <c r="J4678" s="3">
        <f>Vendas[[#This Row],[Valor da Venda]]-(_xlfn.XLOOKUP(Vendas[[#This Row],[ID Item Vendido]],Agregado[ID],Agregado[Custo])*Vendas[[#This Row],[Qnt Vendida]])</f>
        <v>42</v>
      </c>
      <c r="K4678" s="70">
        <f>Vendas[[#This Row],[Lucro da Venda]]/Vendas[[#This Row],[Valor da Venda]]</f>
        <v>0.13461538461538461</v>
      </c>
      <c r="L467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678"/>
    </row>
    <row r="4679" spans="1:13" x14ac:dyDescent="0.3">
      <c r="A4679" s="7">
        <v>400242</v>
      </c>
      <c r="B4679" t="str">
        <f>_xlfn.XLOOKUP(Vendas[[#This Row],[ID Vendedor]],Vendedores[ID],Vendedores[Nome])</f>
        <v>Fernanda</v>
      </c>
      <c r="C4679" s="7" t="str">
        <f>_xlfn.XLOOKUP(Vendas[[#This Row],[ID Vendedor]],Vendedores[ID],Vendedores[Setor])</f>
        <v>FM</v>
      </c>
      <c r="D4679" s="7" t="s">
        <v>27</v>
      </c>
      <c r="E4679" t="str">
        <f>_xlfn.XLOOKUP(Vendas[[#This Row],[ID Item Vendido]],Agregado[ID],Agregado[Produto])</f>
        <v>Chapa de metal lisa 1x2m</v>
      </c>
      <c r="F4679" s="39">
        <v>45818</v>
      </c>
      <c r="G4679" s="7">
        <v>29</v>
      </c>
      <c r="H4679" s="3">
        <f>_xlfn.XLOOKUP(Vendas[[#This Row],[ID Item Vendido]],Agregado[ID],Agregado[Revenda])</f>
        <v>52</v>
      </c>
      <c r="I4679" s="3">
        <f>Vendas[[#This Row],[Valor Unitário]]*Vendas[[#This Row],[Qnt Vendida]]</f>
        <v>1508</v>
      </c>
      <c r="J4679" s="3">
        <f>Vendas[[#This Row],[Valor da Venda]]-(_xlfn.XLOOKUP(Vendas[[#This Row],[ID Item Vendido]],Agregado[ID],Agregado[Custo])*Vendas[[#This Row],[Qnt Vendida]])</f>
        <v>203</v>
      </c>
      <c r="K4679" s="70">
        <f>Vendas[[#This Row],[Lucro da Venda]]/Vendas[[#This Row],[Valor da Venda]]</f>
        <v>0.13461538461538461</v>
      </c>
      <c r="L4679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4679"/>
    </row>
    <row r="4680" spans="1:13" x14ac:dyDescent="0.3">
      <c r="A4680" s="7">
        <v>400248</v>
      </c>
      <c r="B4680" t="str">
        <f>_xlfn.XLOOKUP(Vendas[[#This Row],[ID Vendedor]],Vendedores[ID],Vendedores[Nome])</f>
        <v>Patrícia</v>
      </c>
      <c r="C4680" s="7" t="str">
        <f>_xlfn.XLOOKUP(Vendas[[#This Row],[ID Vendedor]],Vendedores[ID],Vendedores[Setor])</f>
        <v>CM</v>
      </c>
      <c r="D4680" s="7" t="s">
        <v>22</v>
      </c>
      <c r="E4680" t="str">
        <f>_xlfn.XLOOKUP(Vendas[[#This Row],[ID Item Vendido]],Agregado[ID],Agregado[Produto])</f>
        <v>Painel MDP 2,75x1,83m</v>
      </c>
      <c r="F4680" s="39">
        <v>45818</v>
      </c>
      <c r="G4680" s="7">
        <v>11</v>
      </c>
      <c r="H4680" s="3">
        <f>_xlfn.XLOOKUP(Vendas[[#This Row],[ID Item Vendido]],Agregado[ID],Agregado[Revenda])</f>
        <v>119</v>
      </c>
      <c r="I4680" s="3">
        <f>Vendas[[#This Row],[Valor Unitário]]*Vendas[[#This Row],[Qnt Vendida]]</f>
        <v>1309</v>
      </c>
      <c r="J4680" s="3">
        <f>Vendas[[#This Row],[Valor da Venda]]-(_xlfn.XLOOKUP(Vendas[[#This Row],[ID Item Vendido]],Agregado[ID],Agregado[Custo])*Vendas[[#This Row],[Qnt Vendida]])</f>
        <v>264</v>
      </c>
      <c r="K4680" s="70">
        <f>Vendas[[#This Row],[Lucro da Venda]]/Vendas[[#This Row],[Valor da Venda]]</f>
        <v>0.20168067226890757</v>
      </c>
      <c r="L4680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680"/>
    </row>
    <row r="4681" spans="1:13" x14ac:dyDescent="0.3">
      <c r="A4681" s="7">
        <v>400252</v>
      </c>
      <c r="B4681" t="str">
        <f>_xlfn.XLOOKUP(Vendas[[#This Row],[ID Vendedor]],Vendedores[ID],Vendedores[Nome])</f>
        <v>Renata</v>
      </c>
      <c r="C4681" s="7" t="str">
        <f>_xlfn.XLOOKUP(Vendas[[#This Row],[ID Vendedor]],Vendedores[ID],Vendedores[Setor])</f>
        <v>AB</v>
      </c>
      <c r="D4681" s="7" t="s">
        <v>37</v>
      </c>
      <c r="E4681" t="str">
        <f>_xlfn.XLOOKUP(Vendas[[#This Row],[ID Item Vendido]],Agregado[ID],Agregado[Produto])</f>
        <v>Composto de borracha para vedação rolo 10m</v>
      </c>
      <c r="F4681" s="39">
        <v>45818</v>
      </c>
      <c r="G4681" s="7">
        <v>15</v>
      </c>
      <c r="H4681" s="3">
        <f>_xlfn.XLOOKUP(Vendas[[#This Row],[ID Item Vendido]],Agregado[ID],Agregado[Revenda])</f>
        <v>51.2</v>
      </c>
      <c r="I4681" s="3">
        <f>Vendas[[#This Row],[Valor Unitário]]*Vendas[[#This Row],[Qnt Vendida]]</f>
        <v>768</v>
      </c>
      <c r="J4681" s="3">
        <f>Vendas[[#This Row],[Valor da Venda]]-(_xlfn.XLOOKUP(Vendas[[#This Row],[ID Item Vendido]],Agregado[ID],Agregado[Custo])*Vendas[[#This Row],[Qnt Vendida]])</f>
        <v>168</v>
      </c>
      <c r="K4681" s="70">
        <f>Vendas[[#This Row],[Lucro da Venda]]/Vendas[[#This Row],[Valor da Venda]]</f>
        <v>0.21875</v>
      </c>
      <c r="L468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4681"/>
    </row>
    <row r="4682" spans="1:13" x14ac:dyDescent="0.3">
      <c r="A4682" s="7">
        <v>400250</v>
      </c>
      <c r="B4682" t="str">
        <f>_xlfn.XLOOKUP(Vendas[[#This Row],[ID Vendedor]],Vendedores[ID],Vendedores[Nome])</f>
        <v>Larissa</v>
      </c>
      <c r="C4682" s="7" t="str">
        <f>_xlfn.XLOOKUP(Vendas[[#This Row],[ID Vendedor]],Vendedores[ID],Vendedores[Setor])</f>
        <v>AB</v>
      </c>
      <c r="D4682" s="7" t="s">
        <v>24</v>
      </c>
      <c r="E4682" t="str">
        <f>_xlfn.XLOOKUP(Vendas[[#This Row],[ID Item Vendido]],Agregado[ID],Agregado[Produto])</f>
        <v>Resina plástica PET purificada saco de 25kg</v>
      </c>
      <c r="F4682" s="39">
        <v>45819</v>
      </c>
      <c r="G4682" s="7">
        <v>25</v>
      </c>
      <c r="H4682" s="3">
        <f>_xlfn.XLOOKUP(Vendas[[#This Row],[ID Item Vendido]],Agregado[ID],Agregado[Revenda])</f>
        <v>119</v>
      </c>
      <c r="I4682" s="3">
        <f>Vendas[[#This Row],[Valor Unitário]]*Vendas[[#This Row],[Qnt Vendida]]</f>
        <v>2975</v>
      </c>
      <c r="J4682" s="3">
        <f>Vendas[[#This Row],[Valor da Venda]]-(_xlfn.XLOOKUP(Vendas[[#This Row],[ID Item Vendido]],Agregado[ID],Agregado[Custo])*Vendas[[#This Row],[Qnt Vendida]])</f>
        <v>850</v>
      </c>
      <c r="K4682" s="70">
        <f>Vendas[[#This Row],[Lucro da Venda]]/Vendas[[#This Row],[Valor da Venda]]</f>
        <v>0.2857142857142857</v>
      </c>
      <c r="L4682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682"/>
    </row>
    <row r="4683" spans="1:13" x14ac:dyDescent="0.3">
      <c r="A4683" s="7">
        <v>400246</v>
      </c>
      <c r="B4683" t="str">
        <f>_xlfn.XLOOKUP(Vendas[[#This Row],[ID Vendedor]],Vendedores[ID],Vendedores[Nome])</f>
        <v>Juliana</v>
      </c>
      <c r="C4683" s="7" t="str">
        <f>_xlfn.XLOOKUP(Vendas[[#This Row],[ID Vendedor]],Vendedores[ID],Vendedores[Setor])</f>
        <v>AHD</v>
      </c>
      <c r="D4683" s="7" t="s">
        <v>28</v>
      </c>
      <c r="E4683" t="str">
        <f>_xlfn.XLOOKUP(Vendas[[#This Row],[ID Item Vendido]],Agregado[ID],Agregado[Produto])</f>
        <v>Peça usinada CNC</v>
      </c>
      <c r="F4683" s="39">
        <v>45819</v>
      </c>
      <c r="G4683" s="7">
        <v>13</v>
      </c>
      <c r="H4683" s="3">
        <f>_xlfn.XLOOKUP(Vendas[[#This Row],[ID Item Vendido]],Agregado[ID],Agregado[Revenda])</f>
        <v>192</v>
      </c>
      <c r="I4683" s="3">
        <f>Vendas[[#This Row],[Valor Unitário]]*Vendas[[#This Row],[Qnt Vendida]]</f>
        <v>2496</v>
      </c>
      <c r="J4683" s="3">
        <f>Vendas[[#This Row],[Valor da Venda]]-(_xlfn.XLOOKUP(Vendas[[#This Row],[ID Item Vendido]],Agregado[ID],Agregado[Custo])*Vendas[[#This Row],[Qnt Vendida]])</f>
        <v>546</v>
      </c>
      <c r="K4683" s="70">
        <f>Vendas[[#This Row],[Lucro da Venda]]/Vendas[[#This Row],[Valor da Venda]]</f>
        <v>0.21875</v>
      </c>
      <c r="L4683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4683"/>
    </row>
    <row r="4684" spans="1:13" x14ac:dyDescent="0.3">
      <c r="A4684" s="7">
        <v>400253</v>
      </c>
      <c r="B4684" t="str">
        <f>_xlfn.XLOOKUP(Vendas[[#This Row],[ID Vendedor]],Vendedores[ID],Vendedores[Nome])</f>
        <v>Gustavo</v>
      </c>
      <c r="C4684" s="7" t="str">
        <f>_xlfn.XLOOKUP(Vendas[[#This Row],[ID Vendedor]],Vendedores[ID],Vendedores[Setor])</f>
        <v>SC</v>
      </c>
      <c r="D4684" s="7" t="s">
        <v>14</v>
      </c>
      <c r="E4684" t="str">
        <f>_xlfn.XLOOKUP(Vendas[[#This Row],[ID Item Vendido]],Agregado[ID],Agregado[Produto])</f>
        <v>Barril de plástico 200L</v>
      </c>
      <c r="F4684" s="39">
        <v>45819</v>
      </c>
      <c r="G4684" s="7">
        <v>15</v>
      </c>
      <c r="H4684" s="3">
        <f>_xlfn.XLOOKUP(Vendas[[#This Row],[ID Item Vendido]],Agregado[ID],Agregado[Revenda])</f>
        <v>114</v>
      </c>
      <c r="I4684" s="3">
        <f>Vendas[[#This Row],[Valor Unitário]]*Vendas[[#This Row],[Qnt Vendida]]</f>
        <v>1710</v>
      </c>
      <c r="J4684" s="3">
        <f>Vendas[[#This Row],[Valor da Venda]]-(_xlfn.XLOOKUP(Vendas[[#This Row],[ID Item Vendido]],Agregado[ID],Agregado[Custo])*Vendas[[#This Row],[Qnt Vendida]])</f>
        <v>285</v>
      </c>
      <c r="K4684" s="70">
        <f>Vendas[[#This Row],[Lucro da Venda]]/Vendas[[#This Row],[Valor da Venda]]</f>
        <v>0.16666666666666666</v>
      </c>
      <c r="L4684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4684"/>
    </row>
    <row r="4685" spans="1:13" x14ac:dyDescent="0.3">
      <c r="A4685" s="7">
        <v>400243</v>
      </c>
      <c r="B4685" t="str">
        <f>_xlfn.XLOOKUP(Vendas[[#This Row],[ID Vendedor]],Vendedores[ID],Vendedores[Nome])</f>
        <v>Marcelo</v>
      </c>
      <c r="C4685" s="7" t="str">
        <f>_xlfn.XLOOKUP(Vendas[[#This Row],[ID Vendedor]],Vendedores[ID],Vendedores[Setor])</f>
        <v>FM</v>
      </c>
      <c r="D4685" s="7" t="s">
        <v>47</v>
      </c>
      <c r="E4685" t="str">
        <f>_xlfn.XLOOKUP(Vendas[[#This Row],[ID Item Vendido]],Agregado[ID],Agregado[Produto])</f>
        <v>Fio de arame galvanizado rolo 50m</v>
      </c>
      <c r="F4685" s="39">
        <v>45819</v>
      </c>
      <c r="G4685" s="7">
        <v>13</v>
      </c>
      <c r="H4685" s="3">
        <f>_xlfn.XLOOKUP(Vendas[[#This Row],[ID Item Vendido]],Agregado[ID],Agregado[Revenda])</f>
        <v>21.2</v>
      </c>
      <c r="I4685" s="3">
        <f>Vendas[[#This Row],[Valor Unitário]]*Vendas[[#This Row],[Qnt Vendida]]</f>
        <v>275.59999999999997</v>
      </c>
      <c r="J4685" s="3">
        <f>Vendas[[#This Row],[Valor da Venda]]-(_xlfn.XLOOKUP(Vendas[[#This Row],[ID Item Vendido]],Agregado[ID],Agregado[Custo])*Vendas[[#This Row],[Qnt Vendida]])</f>
        <v>41.599999999999966</v>
      </c>
      <c r="K4685" s="70">
        <f>Vendas[[#This Row],[Lucro da Venda]]/Vendas[[#This Row],[Valor da Venda]]</f>
        <v>0.15094339622641498</v>
      </c>
      <c r="L4685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4685"/>
    </row>
    <row r="4686" spans="1:13" x14ac:dyDescent="0.3">
      <c r="A4686" s="7">
        <v>400253</v>
      </c>
      <c r="B4686" t="str">
        <f>_xlfn.XLOOKUP(Vendas[[#This Row],[ID Vendedor]],Vendedores[ID],Vendedores[Nome])</f>
        <v>Gustavo</v>
      </c>
      <c r="C4686" s="7" t="str">
        <f>_xlfn.XLOOKUP(Vendas[[#This Row],[ID Vendedor]],Vendedores[ID],Vendedores[Setor])</f>
        <v>SC</v>
      </c>
      <c r="D4686" s="7" t="s">
        <v>48</v>
      </c>
      <c r="E4686" t="str">
        <f>_xlfn.XLOOKUP(Vendas[[#This Row],[ID Item Vendido]],Agregado[ID],Agregado[Produto])</f>
        <v>Tambor metálico 200L</v>
      </c>
      <c r="F4686" s="39">
        <v>45820</v>
      </c>
      <c r="G4686" s="7">
        <v>19</v>
      </c>
      <c r="H4686" s="3">
        <f>_xlfn.XLOOKUP(Vendas[[#This Row],[ID Item Vendido]],Agregado[ID],Agregado[Revenda])</f>
        <v>144</v>
      </c>
      <c r="I4686" s="3">
        <f>Vendas[[#This Row],[Valor Unitário]]*Vendas[[#This Row],[Qnt Vendida]]</f>
        <v>2736</v>
      </c>
      <c r="J4686" s="3">
        <f>Vendas[[#This Row],[Valor da Venda]]-(_xlfn.XLOOKUP(Vendas[[#This Row],[ID Item Vendido]],Agregado[ID],Agregado[Custo])*Vendas[[#This Row],[Qnt Vendida]])</f>
        <v>456</v>
      </c>
      <c r="K4686" s="70">
        <f>Vendas[[#This Row],[Lucro da Venda]]/Vendas[[#This Row],[Valor da Venda]]</f>
        <v>0.16666666666666666</v>
      </c>
      <c r="L4686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686"/>
    </row>
    <row r="4687" spans="1:13" x14ac:dyDescent="0.3">
      <c r="A4687" s="7">
        <v>400244</v>
      </c>
      <c r="B4687" t="str">
        <f>_xlfn.XLOOKUP(Vendas[[#This Row],[ID Vendedor]],Vendedores[ID],Vendedores[Nome])</f>
        <v>Camila</v>
      </c>
      <c r="C4687" s="7" t="str">
        <f>_xlfn.XLOOKUP(Vendas[[#This Row],[ID Vendedor]],Vendedores[ID],Vendedores[Setor])</f>
        <v>AHD</v>
      </c>
      <c r="D4687" s="7" t="s">
        <v>28</v>
      </c>
      <c r="E4687" t="str">
        <f>_xlfn.XLOOKUP(Vendas[[#This Row],[ID Item Vendido]],Agregado[ID],Agregado[Produto])</f>
        <v>Peça usinada CNC</v>
      </c>
      <c r="F4687" s="39">
        <v>45820</v>
      </c>
      <c r="G4687" s="7">
        <v>10</v>
      </c>
      <c r="H4687" s="3">
        <f>_xlfn.XLOOKUP(Vendas[[#This Row],[ID Item Vendido]],Agregado[ID],Agregado[Revenda])</f>
        <v>192</v>
      </c>
      <c r="I4687" s="3">
        <f>Vendas[[#This Row],[Valor Unitário]]*Vendas[[#This Row],[Qnt Vendida]]</f>
        <v>1920</v>
      </c>
      <c r="J4687" s="3">
        <f>Vendas[[#This Row],[Valor da Venda]]-(_xlfn.XLOOKUP(Vendas[[#This Row],[ID Item Vendido]],Agregado[ID],Agregado[Custo])*Vendas[[#This Row],[Qnt Vendida]])</f>
        <v>420</v>
      </c>
      <c r="K4687" s="70">
        <f>Vendas[[#This Row],[Lucro da Venda]]/Vendas[[#This Row],[Valor da Venda]]</f>
        <v>0.21875</v>
      </c>
      <c r="L4687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4687"/>
    </row>
    <row r="4688" spans="1:13" x14ac:dyDescent="0.3">
      <c r="A4688" s="7">
        <v>400247</v>
      </c>
      <c r="B4688" t="str">
        <f>_xlfn.XLOOKUP(Vendas[[#This Row],[ID Vendedor]],Vendedores[ID],Vendedores[Nome])</f>
        <v>André</v>
      </c>
      <c r="C4688" s="7" t="str">
        <f>_xlfn.XLOOKUP(Vendas[[#This Row],[ID Vendedor]],Vendedores[ID],Vendedores[Setor])</f>
        <v>CM</v>
      </c>
      <c r="D4688" s="7" t="s">
        <v>22</v>
      </c>
      <c r="E4688" t="str">
        <f>_xlfn.XLOOKUP(Vendas[[#This Row],[ID Item Vendido]],Agregado[ID],Agregado[Produto])</f>
        <v>Painel MDP 2,75x1,83m</v>
      </c>
      <c r="F4688" s="39">
        <v>45820</v>
      </c>
      <c r="G4688" s="7">
        <v>12</v>
      </c>
      <c r="H4688" s="3">
        <f>_xlfn.XLOOKUP(Vendas[[#This Row],[ID Item Vendido]],Agregado[ID],Agregado[Revenda])</f>
        <v>119</v>
      </c>
      <c r="I4688" s="3">
        <f>Vendas[[#This Row],[Valor Unitário]]*Vendas[[#This Row],[Qnt Vendida]]</f>
        <v>1428</v>
      </c>
      <c r="J4688" s="3">
        <f>Vendas[[#This Row],[Valor da Venda]]-(_xlfn.XLOOKUP(Vendas[[#This Row],[ID Item Vendido]],Agregado[ID],Agregado[Custo])*Vendas[[#This Row],[Qnt Vendida]])</f>
        <v>288</v>
      </c>
      <c r="K4688" s="70">
        <f>Vendas[[#This Row],[Lucro da Venda]]/Vendas[[#This Row],[Valor da Venda]]</f>
        <v>0.20168067226890757</v>
      </c>
      <c r="L4688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688"/>
    </row>
    <row r="4689" spans="1:13" x14ac:dyDescent="0.3">
      <c r="A4689" s="7">
        <v>400254</v>
      </c>
      <c r="B4689" t="str">
        <f>_xlfn.XLOOKUP(Vendas[[#This Row],[ID Vendedor]],Vendedores[ID],Vendedores[Nome])</f>
        <v>Beatriz</v>
      </c>
      <c r="C4689" s="7" t="str">
        <f>_xlfn.XLOOKUP(Vendas[[#This Row],[ID Vendedor]],Vendedores[ID],Vendedores[Setor])</f>
        <v>SC</v>
      </c>
      <c r="D4689" s="7" t="s">
        <v>48</v>
      </c>
      <c r="E4689" t="str">
        <f>_xlfn.XLOOKUP(Vendas[[#This Row],[ID Item Vendido]],Agregado[ID],Agregado[Produto])</f>
        <v>Tambor metálico 200L</v>
      </c>
      <c r="F4689" s="39">
        <v>45820</v>
      </c>
      <c r="G4689" s="7">
        <v>4</v>
      </c>
      <c r="H4689" s="3">
        <f>_xlfn.XLOOKUP(Vendas[[#This Row],[ID Item Vendido]],Agregado[ID],Agregado[Revenda])</f>
        <v>144</v>
      </c>
      <c r="I4689" s="3">
        <f>Vendas[[#This Row],[Valor Unitário]]*Vendas[[#This Row],[Qnt Vendida]]</f>
        <v>576</v>
      </c>
      <c r="J4689" s="3">
        <f>Vendas[[#This Row],[Valor da Venda]]-(_xlfn.XLOOKUP(Vendas[[#This Row],[ID Item Vendido]],Agregado[ID],Agregado[Custo])*Vendas[[#This Row],[Qnt Vendida]])</f>
        <v>96</v>
      </c>
      <c r="K4689" s="70">
        <f>Vendas[[#This Row],[Lucro da Venda]]/Vendas[[#This Row],[Valor da Venda]]</f>
        <v>0.16666666666666666</v>
      </c>
      <c r="L4689" s="3">
        <f>_xlfn.IFS(Vendas[[#This Row],[Margem de Lucro (%)]]&lt;15%,Vendas[[#This Row],[Valor da Venda]]*3%,Vendas[[#This Row],[Margem de Lucro (%)]]&lt;=20%,Vendas[[#This Row],[Valor da Venda]]*4.5%,TRUE,Vendas[[#This Row],[Valor da Venda]]*6%)</f>
        <v>25.919999999999998</v>
      </c>
      <c r="M4689"/>
    </row>
    <row r="4690" spans="1:13" x14ac:dyDescent="0.3">
      <c r="A4690" s="7">
        <v>400250</v>
      </c>
      <c r="B4690" t="str">
        <f>_xlfn.XLOOKUP(Vendas[[#This Row],[ID Vendedor]],Vendedores[ID],Vendedores[Nome])</f>
        <v>Larissa</v>
      </c>
      <c r="C4690" s="7" t="str">
        <f>_xlfn.XLOOKUP(Vendas[[#This Row],[ID Vendedor]],Vendedores[ID],Vendedores[Setor])</f>
        <v>AB</v>
      </c>
      <c r="D4690" s="7" t="s">
        <v>37</v>
      </c>
      <c r="E4690" t="str">
        <f>_xlfn.XLOOKUP(Vendas[[#This Row],[ID Item Vendido]],Agregado[ID],Agregado[Produto])</f>
        <v>Composto de borracha para vedação rolo 10m</v>
      </c>
      <c r="F4690" s="39">
        <v>45820</v>
      </c>
      <c r="G4690" s="7">
        <v>11</v>
      </c>
      <c r="H4690" s="3">
        <f>_xlfn.XLOOKUP(Vendas[[#This Row],[ID Item Vendido]],Agregado[ID],Agregado[Revenda])</f>
        <v>51.2</v>
      </c>
      <c r="I4690" s="3">
        <f>Vendas[[#This Row],[Valor Unitário]]*Vendas[[#This Row],[Qnt Vendida]]</f>
        <v>563.20000000000005</v>
      </c>
      <c r="J4690" s="3">
        <f>Vendas[[#This Row],[Valor da Venda]]-(_xlfn.XLOOKUP(Vendas[[#This Row],[ID Item Vendido]],Agregado[ID],Agregado[Custo])*Vendas[[#This Row],[Qnt Vendida]])</f>
        <v>123.20000000000005</v>
      </c>
      <c r="K4690" s="70">
        <f>Vendas[[#This Row],[Lucro da Venda]]/Vendas[[#This Row],[Valor da Venda]]</f>
        <v>0.21875000000000006</v>
      </c>
      <c r="L4690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4690"/>
    </row>
    <row r="4691" spans="1:13" x14ac:dyDescent="0.3">
      <c r="A4691" s="7">
        <v>400242</v>
      </c>
      <c r="B4691" t="str">
        <f>_xlfn.XLOOKUP(Vendas[[#This Row],[ID Vendedor]],Vendedores[ID],Vendedores[Nome])</f>
        <v>Fernanda</v>
      </c>
      <c r="C4691" s="7" t="str">
        <f>_xlfn.XLOOKUP(Vendas[[#This Row],[ID Vendedor]],Vendedores[ID],Vendedores[Setor])</f>
        <v>FM</v>
      </c>
      <c r="D4691" s="7" t="s">
        <v>27</v>
      </c>
      <c r="E4691" t="str">
        <f>_xlfn.XLOOKUP(Vendas[[#This Row],[ID Item Vendido]],Agregado[ID],Agregado[Produto])</f>
        <v>Chapa de metal lisa 1x2m</v>
      </c>
      <c r="F4691" s="39">
        <v>45820</v>
      </c>
      <c r="G4691" s="7">
        <v>4</v>
      </c>
      <c r="H4691" s="3">
        <f>_xlfn.XLOOKUP(Vendas[[#This Row],[ID Item Vendido]],Agregado[ID],Agregado[Revenda])</f>
        <v>52</v>
      </c>
      <c r="I4691" s="3">
        <f>Vendas[[#This Row],[Valor Unitário]]*Vendas[[#This Row],[Qnt Vendida]]</f>
        <v>208</v>
      </c>
      <c r="J4691" s="3">
        <f>Vendas[[#This Row],[Valor da Venda]]-(_xlfn.XLOOKUP(Vendas[[#This Row],[ID Item Vendido]],Agregado[ID],Agregado[Custo])*Vendas[[#This Row],[Qnt Vendida]])</f>
        <v>28</v>
      </c>
      <c r="K4691" s="70">
        <f>Vendas[[#This Row],[Lucro da Venda]]/Vendas[[#This Row],[Valor da Venda]]</f>
        <v>0.13461538461538461</v>
      </c>
      <c r="L4691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4691"/>
    </row>
    <row r="4692" spans="1:13" x14ac:dyDescent="0.3">
      <c r="A4692" s="7">
        <v>400252</v>
      </c>
      <c r="B4692" t="str">
        <f>_xlfn.XLOOKUP(Vendas[[#This Row],[ID Vendedor]],Vendedores[ID],Vendedores[Nome])</f>
        <v>Renata</v>
      </c>
      <c r="C4692" s="7" t="str">
        <f>_xlfn.XLOOKUP(Vendas[[#This Row],[ID Vendedor]],Vendedores[ID],Vendedores[Setor])</f>
        <v>AB</v>
      </c>
      <c r="D4692" s="7" t="s">
        <v>36</v>
      </c>
      <c r="E4692" t="str">
        <f>_xlfn.XLOOKUP(Vendas[[#This Row],[ID Item Vendido]],Agregado[ID],Agregado[Produto])</f>
        <v>Borracha vulcanizada em manta</v>
      </c>
      <c r="F4692" s="39">
        <v>45821</v>
      </c>
      <c r="G4692" s="7">
        <v>31</v>
      </c>
      <c r="H4692" s="3">
        <f>_xlfn.XLOOKUP(Vendas[[#This Row],[ID Item Vendido]],Agregado[ID],Agregado[Revenda])</f>
        <v>7.8</v>
      </c>
      <c r="I4692" s="3">
        <f>Vendas[[#This Row],[Valor Unitário]]*Vendas[[#This Row],[Qnt Vendida]]</f>
        <v>241.79999999999998</v>
      </c>
      <c r="J4692" s="3">
        <f>Vendas[[#This Row],[Valor da Venda]]-(_xlfn.XLOOKUP(Vendas[[#This Row],[ID Item Vendido]],Agregado[ID],Agregado[Custo])*Vendas[[#This Row],[Qnt Vendida]])</f>
        <v>55.799999999999983</v>
      </c>
      <c r="K4692" s="70">
        <f>Vendas[[#This Row],[Lucro da Venda]]/Vendas[[#This Row],[Valor da Venda]]</f>
        <v>0.23076923076923073</v>
      </c>
      <c r="L4692" s="3">
        <f>_xlfn.IFS(Vendas[[#This Row],[Margem de Lucro (%)]]&lt;15%,Vendas[[#This Row],[Valor da Venda]]*3%,Vendas[[#This Row],[Margem de Lucro (%)]]&lt;=20%,Vendas[[#This Row],[Valor da Venda]]*4.5%,TRUE,Vendas[[#This Row],[Valor da Venda]]*6%)</f>
        <v>14.507999999999999</v>
      </c>
      <c r="M4692"/>
    </row>
    <row r="4693" spans="1:13" x14ac:dyDescent="0.3">
      <c r="A4693" s="7">
        <v>400246</v>
      </c>
      <c r="B4693" t="str">
        <f>_xlfn.XLOOKUP(Vendas[[#This Row],[ID Vendedor]],Vendedores[ID],Vendedores[Nome])</f>
        <v>Juliana</v>
      </c>
      <c r="C4693" s="7" t="str">
        <f>_xlfn.XLOOKUP(Vendas[[#This Row],[ID Vendedor]],Vendedores[ID],Vendedores[Setor])</f>
        <v>AHD</v>
      </c>
      <c r="D4693" s="7" t="s">
        <v>28</v>
      </c>
      <c r="E4693" t="str">
        <f>_xlfn.XLOOKUP(Vendas[[#This Row],[ID Item Vendido]],Agregado[ID],Agregado[Produto])</f>
        <v>Peça usinada CNC</v>
      </c>
      <c r="F4693" s="39">
        <v>45822</v>
      </c>
      <c r="G4693" s="7">
        <v>5</v>
      </c>
      <c r="H4693" s="3">
        <f>_xlfn.XLOOKUP(Vendas[[#This Row],[ID Item Vendido]],Agregado[ID],Agregado[Revenda])</f>
        <v>192</v>
      </c>
      <c r="I4693" s="3">
        <f>Vendas[[#This Row],[Valor Unitário]]*Vendas[[#This Row],[Qnt Vendida]]</f>
        <v>960</v>
      </c>
      <c r="J4693" s="3">
        <f>Vendas[[#This Row],[Valor da Venda]]-(_xlfn.XLOOKUP(Vendas[[#This Row],[ID Item Vendido]],Agregado[ID],Agregado[Custo])*Vendas[[#This Row],[Qnt Vendida]])</f>
        <v>210</v>
      </c>
      <c r="K4693" s="70">
        <f>Vendas[[#This Row],[Lucro da Venda]]/Vendas[[#This Row],[Valor da Venda]]</f>
        <v>0.21875</v>
      </c>
      <c r="L4693" s="3">
        <f>_xlfn.IFS(Vendas[[#This Row],[Margem de Lucro (%)]]&lt;15%,Vendas[[#This Row],[Valor da Venda]]*3%,Vendas[[#This Row],[Margem de Lucro (%)]]&lt;=20%,Vendas[[#This Row],[Valor da Venda]]*4.5%,TRUE,Vendas[[#This Row],[Valor da Venda]]*6%)</f>
        <v>57.599999999999994</v>
      </c>
      <c r="M4693"/>
    </row>
    <row r="4694" spans="1:13" x14ac:dyDescent="0.3">
      <c r="A4694" s="7">
        <v>400243</v>
      </c>
      <c r="B4694" t="str">
        <f>_xlfn.XLOOKUP(Vendas[[#This Row],[ID Vendedor]],Vendedores[ID],Vendedores[Nome])</f>
        <v>Marcelo</v>
      </c>
      <c r="C4694" s="7" t="str">
        <f>_xlfn.XLOOKUP(Vendas[[#This Row],[ID Vendedor]],Vendedores[ID],Vendedores[Setor])</f>
        <v>FM</v>
      </c>
      <c r="D4694" s="7" t="s">
        <v>27</v>
      </c>
      <c r="E4694" t="str">
        <f>_xlfn.XLOOKUP(Vendas[[#This Row],[ID Item Vendido]],Agregado[ID],Agregado[Produto])</f>
        <v>Chapa de metal lisa 1x2m</v>
      </c>
      <c r="F4694" s="39">
        <v>45822</v>
      </c>
      <c r="G4694" s="7">
        <v>8</v>
      </c>
      <c r="H4694" s="3">
        <f>_xlfn.XLOOKUP(Vendas[[#This Row],[ID Item Vendido]],Agregado[ID],Agregado[Revenda])</f>
        <v>52</v>
      </c>
      <c r="I4694" s="3">
        <f>Vendas[[#This Row],[Valor Unitário]]*Vendas[[#This Row],[Qnt Vendida]]</f>
        <v>416</v>
      </c>
      <c r="J4694" s="3">
        <f>Vendas[[#This Row],[Valor da Venda]]-(_xlfn.XLOOKUP(Vendas[[#This Row],[ID Item Vendido]],Agregado[ID],Agregado[Custo])*Vendas[[#This Row],[Qnt Vendida]])</f>
        <v>56</v>
      </c>
      <c r="K4694" s="70">
        <f>Vendas[[#This Row],[Lucro da Venda]]/Vendas[[#This Row],[Valor da Venda]]</f>
        <v>0.13461538461538461</v>
      </c>
      <c r="L4694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4694"/>
    </row>
    <row r="4695" spans="1:13" x14ac:dyDescent="0.3">
      <c r="A4695" s="7">
        <v>400255</v>
      </c>
      <c r="B4695" t="str">
        <f>_xlfn.XLOOKUP(Vendas[[#This Row],[ID Vendedor]],Vendedores[ID],Vendedores[Nome])</f>
        <v>Carlos</v>
      </c>
      <c r="C4695" s="7" t="str">
        <f>_xlfn.XLOOKUP(Vendas[[#This Row],[ID Vendedor]],Vendedores[ID],Vendedores[Setor])</f>
        <v>SC</v>
      </c>
      <c r="D4695" s="7" t="s">
        <v>48</v>
      </c>
      <c r="E4695" t="str">
        <f>_xlfn.XLOOKUP(Vendas[[#This Row],[ID Item Vendido]],Agregado[ID],Agregado[Produto])</f>
        <v>Tambor metálico 200L</v>
      </c>
      <c r="F4695" s="39">
        <v>45823</v>
      </c>
      <c r="G4695" s="7">
        <v>17</v>
      </c>
      <c r="H4695" s="3">
        <f>_xlfn.XLOOKUP(Vendas[[#This Row],[ID Item Vendido]],Agregado[ID],Agregado[Revenda])</f>
        <v>144</v>
      </c>
      <c r="I4695" s="3">
        <f>Vendas[[#This Row],[Valor Unitário]]*Vendas[[#This Row],[Qnt Vendida]]</f>
        <v>2448</v>
      </c>
      <c r="J4695" s="3">
        <f>Vendas[[#This Row],[Valor da Venda]]-(_xlfn.XLOOKUP(Vendas[[#This Row],[ID Item Vendido]],Agregado[ID],Agregado[Custo])*Vendas[[#This Row],[Qnt Vendida]])</f>
        <v>408</v>
      </c>
      <c r="K4695" s="70">
        <f>Vendas[[#This Row],[Lucro da Venda]]/Vendas[[#This Row],[Valor da Venda]]</f>
        <v>0.16666666666666666</v>
      </c>
      <c r="L4695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4695"/>
    </row>
    <row r="4696" spans="1:13" x14ac:dyDescent="0.3">
      <c r="A4696" s="7">
        <v>400251</v>
      </c>
      <c r="B4696" t="str">
        <f>_xlfn.XLOOKUP(Vendas[[#This Row],[ID Vendedor]],Vendedores[ID],Vendedores[Nome])</f>
        <v>Diego</v>
      </c>
      <c r="C4696" s="7" t="str">
        <f>_xlfn.XLOOKUP(Vendas[[#This Row],[ID Vendedor]],Vendedores[ID],Vendedores[Setor])</f>
        <v>AB</v>
      </c>
      <c r="D4696" s="7" t="s">
        <v>37</v>
      </c>
      <c r="E4696" t="str">
        <f>_xlfn.XLOOKUP(Vendas[[#This Row],[ID Item Vendido]],Agregado[ID],Agregado[Produto])</f>
        <v>Composto de borracha para vedação rolo 10m</v>
      </c>
      <c r="F4696" s="39">
        <v>45823</v>
      </c>
      <c r="G4696" s="7">
        <v>22</v>
      </c>
      <c r="H4696" s="3">
        <f>_xlfn.XLOOKUP(Vendas[[#This Row],[ID Item Vendido]],Agregado[ID],Agregado[Revenda])</f>
        <v>51.2</v>
      </c>
      <c r="I4696" s="3">
        <f>Vendas[[#This Row],[Valor Unitário]]*Vendas[[#This Row],[Qnt Vendida]]</f>
        <v>1126.4000000000001</v>
      </c>
      <c r="J4696" s="3">
        <f>Vendas[[#This Row],[Valor da Venda]]-(_xlfn.XLOOKUP(Vendas[[#This Row],[ID Item Vendido]],Agregado[ID],Agregado[Custo])*Vendas[[#This Row],[Qnt Vendida]])</f>
        <v>246.40000000000009</v>
      </c>
      <c r="K4696" s="70">
        <f>Vendas[[#This Row],[Lucro da Venda]]/Vendas[[#This Row],[Valor da Venda]]</f>
        <v>0.21875000000000006</v>
      </c>
      <c r="L4696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4696"/>
    </row>
    <row r="4697" spans="1:13" x14ac:dyDescent="0.3">
      <c r="A4697" s="7">
        <v>400246</v>
      </c>
      <c r="B4697" t="str">
        <f>_xlfn.XLOOKUP(Vendas[[#This Row],[ID Vendedor]],Vendedores[ID],Vendedores[Nome])</f>
        <v>Juliana</v>
      </c>
      <c r="C4697" s="7" t="str">
        <f>_xlfn.XLOOKUP(Vendas[[#This Row],[ID Vendedor]],Vendedores[ID],Vendedores[Setor])</f>
        <v>AHD</v>
      </c>
      <c r="D4697" s="7" t="s">
        <v>30</v>
      </c>
      <c r="E4697" t="str">
        <f>_xlfn.XLOOKUP(Vendas[[#This Row],[ID Item Vendido]],Agregado[ID],Agregado[Produto])</f>
        <v>Estrutura metálica soldada</v>
      </c>
      <c r="F4697" s="39">
        <v>45825</v>
      </c>
      <c r="G4697" s="7">
        <v>7</v>
      </c>
      <c r="H4697" s="3">
        <f>_xlfn.XLOOKUP(Vendas[[#This Row],[ID Item Vendido]],Agregado[ID],Agregado[Revenda])</f>
        <v>400</v>
      </c>
      <c r="I4697" s="3">
        <f>Vendas[[#This Row],[Valor Unitário]]*Vendas[[#This Row],[Qnt Vendida]]</f>
        <v>2800</v>
      </c>
      <c r="J4697" s="3">
        <f>Vendas[[#This Row],[Valor da Venda]]-(_xlfn.XLOOKUP(Vendas[[#This Row],[ID Item Vendido]],Agregado[ID],Agregado[Custo])*Vendas[[#This Row],[Qnt Vendida]])</f>
        <v>560</v>
      </c>
      <c r="K4697" s="70">
        <f>Vendas[[#This Row],[Lucro da Venda]]/Vendas[[#This Row],[Valor da Venda]]</f>
        <v>0.2</v>
      </c>
      <c r="L4697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4697"/>
    </row>
    <row r="4698" spans="1:13" x14ac:dyDescent="0.3">
      <c r="A4698" s="7">
        <v>400244</v>
      </c>
      <c r="B4698" t="str">
        <f>_xlfn.XLOOKUP(Vendas[[#This Row],[ID Vendedor]],Vendedores[ID],Vendedores[Nome])</f>
        <v>Camila</v>
      </c>
      <c r="C4698" s="7" t="str">
        <f>_xlfn.XLOOKUP(Vendas[[#This Row],[ID Vendedor]],Vendedores[ID],Vendedores[Setor])</f>
        <v>AHD</v>
      </c>
      <c r="D4698" s="7" t="s">
        <v>28</v>
      </c>
      <c r="E4698" t="str">
        <f>_xlfn.XLOOKUP(Vendas[[#This Row],[ID Item Vendido]],Agregado[ID],Agregado[Produto])</f>
        <v>Peça usinada CNC</v>
      </c>
      <c r="F4698" s="39">
        <v>45825</v>
      </c>
      <c r="G4698" s="7">
        <v>12</v>
      </c>
      <c r="H4698" s="3">
        <f>_xlfn.XLOOKUP(Vendas[[#This Row],[ID Item Vendido]],Agregado[ID],Agregado[Revenda])</f>
        <v>192</v>
      </c>
      <c r="I4698" s="3">
        <f>Vendas[[#This Row],[Valor Unitário]]*Vendas[[#This Row],[Qnt Vendida]]</f>
        <v>2304</v>
      </c>
      <c r="J4698" s="3">
        <f>Vendas[[#This Row],[Valor da Venda]]-(_xlfn.XLOOKUP(Vendas[[#This Row],[ID Item Vendido]],Agregado[ID],Agregado[Custo])*Vendas[[#This Row],[Qnt Vendida]])</f>
        <v>504</v>
      </c>
      <c r="K4698" s="70">
        <f>Vendas[[#This Row],[Lucro da Venda]]/Vendas[[#This Row],[Valor da Venda]]</f>
        <v>0.21875</v>
      </c>
      <c r="L4698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4698"/>
    </row>
    <row r="4699" spans="1:13" x14ac:dyDescent="0.3">
      <c r="A4699" s="7">
        <v>400255</v>
      </c>
      <c r="B4699" t="str">
        <f>_xlfn.XLOOKUP(Vendas[[#This Row],[ID Vendedor]],Vendedores[ID],Vendedores[Nome])</f>
        <v>Carlos</v>
      </c>
      <c r="C4699" s="7" t="str">
        <f>_xlfn.XLOOKUP(Vendas[[#This Row],[ID Vendedor]],Vendedores[ID],Vendedores[Setor])</f>
        <v>SC</v>
      </c>
      <c r="D4699" s="7" t="s">
        <v>48</v>
      </c>
      <c r="E4699" t="str">
        <f>_xlfn.XLOOKUP(Vendas[[#This Row],[ID Item Vendido]],Agregado[ID],Agregado[Produto])</f>
        <v>Tambor metálico 200L</v>
      </c>
      <c r="F4699" s="39">
        <v>45826</v>
      </c>
      <c r="G4699" s="7">
        <v>19</v>
      </c>
      <c r="H4699" s="3">
        <f>_xlfn.XLOOKUP(Vendas[[#This Row],[ID Item Vendido]],Agregado[ID],Agregado[Revenda])</f>
        <v>144</v>
      </c>
      <c r="I4699" s="3">
        <f>Vendas[[#This Row],[Valor Unitário]]*Vendas[[#This Row],[Qnt Vendida]]</f>
        <v>2736</v>
      </c>
      <c r="J4699" s="3">
        <f>Vendas[[#This Row],[Valor da Venda]]-(_xlfn.XLOOKUP(Vendas[[#This Row],[ID Item Vendido]],Agregado[ID],Agregado[Custo])*Vendas[[#This Row],[Qnt Vendida]])</f>
        <v>456</v>
      </c>
      <c r="K4699" s="70">
        <f>Vendas[[#This Row],[Lucro da Venda]]/Vendas[[#This Row],[Valor da Venda]]</f>
        <v>0.16666666666666666</v>
      </c>
      <c r="L4699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699"/>
    </row>
    <row r="4700" spans="1:13" x14ac:dyDescent="0.3">
      <c r="A4700" s="7">
        <v>400253</v>
      </c>
      <c r="B4700" t="str">
        <f>_xlfn.XLOOKUP(Vendas[[#This Row],[ID Vendedor]],Vendedores[ID],Vendedores[Nome])</f>
        <v>Gustavo</v>
      </c>
      <c r="C4700" s="7" t="str">
        <f>_xlfn.XLOOKUP(Vendas[[#This Row],[ID Vendedor]],Vendedores[ID],Vendedores[Setor])</f>
        <v>SC</v>
      </c>
      <c r="D4700" s="7" t="s">
        <v>48</v>
      </c>
      <c r="E4700" t="str">
        <f>_xlfn.XLOOKUP(Vendas[[#This Row],[ID Item Vendido]],Agregado[ID],Agregado[Produto])</f>
        <v>Tambor metálico 200L</v>
      </c>
      <c r="F4700" s="39">
        <v>45826</v>
      </c>
      <c r="G4700" s="7">
        <v>19</v>
      </c>
      <c r="H4700" s="3">
        <f>_xlfn.XLOOKUP(Vendas[[#This Row],[ID Item Vendido]],Agregado[ID],Agregado[Revenda])</f>
        <v>144</v>
      </c>
      <c r="I4700" s="3">
        <f>Vendas[[#This Row],[Valor Unitário]]*Vendas[[#This Row],[Qnt Vendida]]</f>
        <v>2736</v>
      </c>
      <c r="J4700" s="3">
        <f>Vendas[[#This Row],[Valor da Venda]]-(_xlfn.XLOOKUP(Vendas[[#This Row],[ID Item Vendido]],Agregado[ID],Agregado[Custo])*Vendas[[#This Row],[Qnt Vendida]])</f>
        <v>456</v>
      </c>
      <c r="K4700" s="70">
        <f>Vendas[[#This Row],[Lucro da Venda]]/Vendas[[#This Row],[Valor da Venda]]</f>
        <v>0.16666666666666666</v>
      </c>
      <c r="L4700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700"/>
    </row>
    <row r="4701" spans="1:13" x14ac:dyDescent="0.3">
      <c r="A4701" s="7">
        <v>400254</v>
      </c>
      <c r="B4701" t="str">
        <f>_xlfn.XLOOKUP(Vendas[[#This Row],[ID Vendedor]],Vendedores[ID],Vendedores[Nome])</f>
        <v>Beatriz</v>
      </c>
      <c r="C4701" s="7" t="str">
        <f>_xlfn.XLOOKUP(Vendas[[#This Row],[ID Vendedor]],Vendedores[ID],Vendedores[Setor])</f>
        <v>SC</v>
      </c>
      <c r="D4701" s="7" t="s">
        <v>14</v>
      </c>
      <c r="E4701" t="str">
        <f>_xlfn.XLOOKUP(Vendas[[#This Row],[ID Item Vendido]],Agregado[ID],Agregado[Produto])</f>
        <v>Barril de plástico 200L</v>
      </c>
      <c r="F4701" s="39">
        <v>45826</v>
      </c>
      <c r="G4701" s="7">
        <v>23</v>
      </c>
      <c r="H4701" s="3">
        <f>_xlfn.XLOOKUP(Vendas[[#This Row],[ID Item Vendido]],Agregado[ID],Agregado[Revenda])</f>
        <v>114</v>
      </c>
      <c r="I4701" s="3">
        <f>Vendas[[#This Row],[Valor Unitário]]*Vendas[[#This Row],[Qnt Vendida]]</f>
        <v>2622</v>
      </c>
      <c r="J4701" s="3">
        <f>Vendas[[#This Row],[Valor da Venda]]-(_xlfn.XLOOKUP(Vendas[[#This Row],[ID Item Vendido]],Agregado[ID],Agregado[Custo])*Vendas[[#This Row],[Qnt Vendida]])</f>
        <v>437</v>
      </c>
      <c r="K4701" s="70">
        <f>Vendas[[#This Row],[Lucro da Venda]]/Vendas[[#This Row],[Valor da Venda]]</f>
        <v>0.16666666666666666</v>
      </c>
      <c r="L4701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4701"/>
    </row>
    <row r="4702" spans="1:13" x14ac:dyDescent="0.3">
      <c r="A4702" s="7">
        <v>400252</v>
      </c>
      <c r="B4702" t="str">
        <f>_xlfn.XLOOKUP(Vendas[[#This Row],[ID Vendedor]],Vendedores[ID],Vendedores[Nome])</f>
        <v>Renata</v>
      </c>
      <c r="C4702" s="7" t="str">
        <f>_xlfn.XLOOKUP(Vendas[[#This Row],[ID Vendedor]],Vendedores[ID],Vendedores[Setor])</f>
        <v>AB</v>
      </c>
      <c r="D4702" s="7" t="s">
        <v>37</v>
      </c>
      <c r="E4702" t="str">
        <f>_xlfn.XLOOKUP(Vendas[[#This Row],[ID Item Vendido]],Agregado[ID],Agregado[Produto])</f>
        <v>Composto de borracha para vedação rolo 10m</v>
      </c>
      <c r="F4702" s="39">
        <v>45827</v>
      </c>
      <c r="G4702" s="7">
        <v>12</v>
      </c>
      <c r="H4702" s="3">
        <f>_xlfn.XLOOKUP(Vendas[[#This Row],[ID Item Vendido]],Agregado[ID],Agregado[Revenda])</f>
        <v>51.2</v>
      </c>
      <c r="I4702" s="3">
        <f>Vendas[[#This Row],[Valor Unitário]]*Vendas[[#This Row],[Qnt Vendida]]</f>
        <v>614.40000000000009</v>
      </c>
      <c r="J4702" s="3">
        <f>Vendas[[#This Row],[Valor da Venda]]-(_xlfn.XLOOKUP(Vendas[[#This Row],[ID Item Vendido]],Agregado[ID],Agregado[Custo])*Vendas[[#This Row],[Qnt Vendida]])</f>
        <v>134.40000000000009</v>
      </c>
      <c r="K4702" s="70">
        <f>Vendas[[#This Row],[Lucro da Venda]]/Vendas[[#This Row],[Valor da Venda]]</f>
        <v>0.21875000000000011</v>
      </c>
      <c r="L4702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4702"/>
    </row>
    <row r="4703" spans="1:13" x14ac:dyDescent="0.3">
      <c r="A4703" s="7">
        <v>400254</v>
      </c>
      <c r="B4703" t="str">
        <f>_xlfn.XLOOKUP(Vendas[[#This Row],[ID Vendedor]],Vendedores[ID],Vendedores[Nome])</f>
        <v>Beatriz</v>
      </c>
      <c r="C4703" s="7" t="str">
        <f>_xlfn.XLOOKUP(Vendas[[#This Row],[ID Vendedor]],Vendedores[ID],Vendedores[Setor])</f>
        <v>SC</v>
      </c>
      <c r="D4703" s="7" t="s">
        <v>42</v>
      </c>
      <c r="E4703" t="str">
        <f>_xlfn.XLOOKUP(Vendas[[#This Row],[ID Item Vendido]],Agregado[ID],Agregado[Produto])</f>
        <v>Container de ferro industrial</v>
      </c>
      <c r="F4703" s="39">
        <v>45828</v>
      </c>
      <c r="G4703" s="7">
        <v>5</v>
      </c>
      <c r="H4703" s="3">
        <f>_xlfn.XLOOKUP(Vendas[[#This Row],[ID Item Vendido]],Agregado[ID],Agregado[Revenda])</f>
        <v>830</v>
      </c>
      <c r="I4703" s="3">
        <f>Vendas[[#This Row],[Valor Unitário]]*Vendas[[#This Row],[Qnt Vendida]]</f>
        <v>4150</v>
      </c>
      <c r="J4703" s="3">
        <f>Vendas[[#This Row],[Valor da Venda]]-(_xlfn.XLOOKUP(Vendas[[#This Row],[ID Item Vendido]],Agregado[ID],Agregado[Custo])*Vendas[[#This Row],[Qnt Vendida]])</f>
        <v>750</v>
      </c>
      <c r="K4703" s="70">
        <f>Vendas[[#This Row],[Lucro da Venda]]/Vendas[[#This Row],[Valor da Venda]]</f>
        <v>0.18072289156626506</v>
      </c>
      <c r="L470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703"/>
    </row>
    <row r="4704" spans="1:13" x14ac:dyDescent="0.3">
      <c r="A4704" s="7">
        <v>400250</v>
      </c>
      <c r="B4704" t="str">
        <f>_xlfn.XLOOKUP(Vendas[[#This Row],[ID Vendedor]],Vendedores[ID],Vendedores[Nome])</f>
        <v>Larissa</v>
      </c>
      <c r="C4704" s="7" t="str">
        <f>_xlfn.XLOOKUP(Vendas[[#This Row],[ID Vendedor]],Vendedores[ID],Vendedores[Setor])</f>
        <v>AB</v>
      </c>
      <c r="D4704" s="7" t="s">
        <v>36</v>
      </c>
      <c r="E4704" t="str">
        <f>_xlfn.XLOOKUP(Vendas[[#This Row],[ID Item Vendido]],Agregado[ID],Agregado[Produto])</f>
        <v>Borracha vulcanizada em manta</v>
      </c>
      <c r="F4704" s="39">
        <v>45828</v>
      </c>
      <c r="G4704" s="7">
        <v>19</v>
      </c>
      <c r="H4704" s="3">
        <f>_xlfn.XLOOKUP(Vendas[[#This Row],[ID Item Vendido]],Agregado[ID],Agregado[Revenda])</f>
        <v>7.8</v>
      </c>
      <c r="I4704" s="3">
        <f>Vendas[[#This Row],[Valor Unitário]]*Vendas[[#This Row],[Qnt Vendida]]</f>
        <v>148.19999999999999</v>
      </c>
      <c r="J4704" s="3">
        <f>Vendas[[#This Row],[Valor da Venda]]-(_xlfn.XLOOKUP(Vendas[[#This Row],[ID Item Vendido]],Agregado[ID],Agregado[Custo])*Vendas[[#This Row],[Qnt Vendida]])</f>
        <v>34.199999999999989</v>
      </c>
      <c r="K4704" s="70">
        <f>Vendas[[#This Row],[Lucro da Venda]]/Vendas[[#This Row],[Valor da Venda]]</f>
        <v>0.2307692307692307</v>
      </c>
      <c r="L4704" s="3">
        <f>_xlfn.IFS(Vendas[[#This Row],[Margem de Lucro (%)]]&lt;15%,Vendas[[#This Row],[Valor da Venda]]*3%,Vendas[[#This Row],[Margem de Lucro (%)]]&lt;=20%,Vendas[[#This Row],[Valor da Venda]]*4.5%,TRUE,Vendas[[#This Row],[Valor da Venda]]*6%)</f>
        <v>8.8919999999999995</v>
      </c>
      <c r="M4704"/>
    </row>
    <row r="4705" spans="1:13" x14ac:dyDescent="0.3">
      <c r="A4705" s="7">
        <v>400244</v>
      </c>
      <c r="B4705" t="str">
        <f>_xlfn.XLOOKUP(Vendas[[#This Row],[ID Vendedor]],Vendedores[ID],Vendedores[Nome])</f>
        <v>Camila</v>
      </c>
      <c r="C4705" s="7" t="str">
        <f>_xlfn.XLOOKUP(Vendas[[#This Row],[ID Vendedor]],Vendedores[ID],Vendedores[Setor])</f>
        <v>AHD</v>
      </c>
      <c r="D4705" s="7" t="s">
        <v>30</v>
      </c>
      <c r="E4705" t="str">
        <f>_xlfn.XLOOKUP(Vendas[[#This Row],[ID Item Vendido]],Agregado[ID],Agregado[Produto])</f>
        <v>Estrutura metálica soldada</v>
      </c>
      <c r="F4705" s="39">
        <v>45829</v>
      </c>
      <c r="G4705" s="7">
        <v>8</v>
      </c>
      <c r="H4705" s="3">
        <f>_xlfn.XLOOKUP(Vendas[[#This Row],[ID Item Vendido]],Agregado[ID],Agregado[Revenda])</f>
        <v>400</v>
      </c>
      <c r="I4705" s="3">
        <f>Vendas[[#This Row],[Valor Unitário]]*Vendas[[#This Row],[Qnt Vendida]]</f>
        <v>3200</v>
      </c>
      <c r="J4705" s="3">
        <f>Vendas[[#This Row],[Valor da Venda]]-(_xlfn.XLOOKUP(Vendas[[#This Row],[ID Item Vendido]],Agregado[ID],Agregado[Custo])*Vendas[[#This Row],[Qnt Vendida]])</f>
        <v>640</v>
      </c>
      <c r="K4705" s="70">
        <f>Vendas[[#This Row],[Lucro da Venda]]/Vendas[[#This Row],[Valor da Venda]]</f>
        <v>0.2</v>
      </c>
      <c r="L4705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705"/>
    </row>
    <row r="4706" spans="1:13" x14ac:dyDescent="0.3">
      <c r="A4706" s="7">
        <v>400243</v>
      </c>
      <c r="B4706" t="str">
        <f>_xlfn.XLOOKUP(Vendas[[#This Row],[ID Vendedor]],Vendedores[ID],Vendedores[Nome])</f>
        <v>Marcelo</v>
      </c>
      <c r="C4706" s="7" t="str">
        <f>_xlfn.XLOOKUP(Vendas[[#This Row],[ID Vendedor]],Vendedores[ID],Vendedores[Setor])</f>
        <v>FM</v>
      </c>
      <c r="D4706" s="7" t="s">
        <v>31</v>
      </c>
      <c r="E4706" t="str">
        <f>_xlfn.XLOOKUP(Vendas[[#This Row],[ID Item Vendido]],Agregado[ID],Agregado[Produto])</f>
        <v>Tela de metal soldada rolo 2x25m</v>
      </c>
      <c r="F4706" s="39">
        <v>45829</v>
      </c>
      <c r="G4706" s="7">
        <v>15</v>
      </c>
      <c r="H4706" s="3">
        <f>_xlfn.XLOOKUP(Vendas[[#This Row],[ID Item Vendido]],Agregado[ID],Agregado[Revenda])</f>
        <v>43.7</v>
      </c>
      <c r="I4706" s="3">
        <f>Vendas[[#This Row],[Valor Unitário]]*Vendas[[#This Row],[Qnt Vendida]]</f>
        <v>655.5</v>
      </c>
      <c r="J4706" s="3">
        <f>Vendas[[#This Row],[Valor da Venda]]-(_xlfn.XLOOKUP(Vendas[[#This Row],[ID Item Vendido]],Agregado[ID],Agregado[Custo])*Vendas[[#This Row],[Qnt Vendida]])</f>
        <v>85.5</v>
      </c>
      <c r="K4706" s="70">
        <f>Vendas[[#This Row],[Lucro da Venda]]/Vendas[[#This Row],[Valor da Venda]]</f>
        <v>0.13043478260869565</v>
      </c>
      <c r="L4706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4706"/>
    </row>
    <row r="4707" spans="1:13" x14ac:dyDescent="0.3">
      <c r="A4707" s="7">
        <v>400246</v>
      </c>
      <c r="B4707" t="str">
        <f>_xlfn.XLOOKUP(Vendas[[#This Row],[ID Vendedor]],Vendedores[ID],Vendedores[Nome])</f>
        <v>Juliana</v>
      </c>
      <c r="C4707" s="7" t="str">
        <f>_xlfn.XLOOKUP(Vendas[[#This Row],[ID Vendedor]],Vendedores[ID],Vendedores[Setor])</f>
        <v>AHD</v>
      </c>
      <c r="D4707" s="7" t="s">
        <v>18</v>
      </c>
      <c r="E4707" t="str">
        <f>_xlfn.XLOOKUP(Vendas[[#This Row],[ID Item Vendido]],Agregado[ID],Agregado[Produto])</f>
        <v>Peça forjada sob encomenda</v>
      </c>
      <c r="F4707" s="39">
        <v>45829</v>
      </c>
      <c r="G4707" s="7">
        <v>1</v>
      </c>
      <c r="H4707" s="3">
        <f>_xlfn.XLOOKUP(Vendas[[#This Row],[ID Item Vendido]],Agregado[ID],Agregado[Revenda])</f>
        <v>264.60000000000002</v>
      </c>
      <c r="I4707" s="3">
        <f>Vendas[[#This Row],[Valor Unitário]]*Vendas[[#This Row],[Qnt Vendida]]</f>
        <v>264.60000000000002</v>
      </c>
      <c r="J4707" s="3">
        <f>Vendas[[#This Row],[Valor da Venda]]-(_xlfn.XLOOKUP(Vendas[[#This Row],[ID Item Vendido]],Agregado[ID],Agregado[Custo])*Vendas[[#This Row],[Qnt Vendida]])</f>
        <v>14.600000000000023</v>
      </c>
      <c r="K4707" s="70">
        <f>Vendas[[#This Row],[Lucro da Venda]]/Vendas[[#This Row],[Valor da Venda]]</f>
        <v>5.5177626606198113E-2</v>
      </c>
      <c r="L4707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4707"/>
    </row>
    <row r="4708" spans="1:13" x14ac:dyDescent="0.3">
      <c r="A4708" s="7">
        <v>400244</v>
      </c>
      <c r="B4708" t="str">
        <f>_xlfn.XLOOKUP(Vendas[[#This Row],[ID Vendedor]],Vendedores[ID],Vendedores[Nome])</f>
        <v>Camila</v>
      </c>
      <c r="C4708" s="7" t="str">
        <f>_xlfn.XLOOKUP(Vendas[[#This Row],[ID Vendedor]],Vendedores[ID],Vendedores[Setor])</f>
        <v>AHD</v>
      </c>
      <c r="D4708" s="7" t="s">
        <v>28</v>
      </c>
      <c r="E4708" t="str">
        <f>_xlfn.XLOOKUP(Vendas[[#This Row],[ID Item Vendido]],Agregado[ID],Agregado[Produto])</f>
        <v>Peça usinada CNC</v>
      </c>
      <c r="F4708" s="39">
        <v>45831</v>
      </c>
      <c r="G4708" s="7">
        <v>6</v>
      </c>
      <c r="H4708" s="3">
        <f>_xlfn.XLOOKUP(Vendas[[#This Row],[ID Item Vendido]],Agregado[ID],Agregado[Revenda])</f>
        <v>192</v>
      </c>
      <c r="I4708" s="3">
        <f>Vendas[[#This Row],[Valor Unitário]]*Vendas[[#This Row],[Qnt Vendida]]</f>
        <v>1152</v>
      </c>
      <c r="J4708" s="3">
        <f>Vendas[[#This Row],[Valor da Venda]]-(_xlfn.XLOOKUP(Vendas[[#This Row],[ID Item Vendido]],Agregado[ID],Agregado[Custo])*Vendas[[#This Row],[Qnt Vendida]])</f>
        <v>252</v>
      </c>
      <c r="K4708" s="70">
        <f>Vendas[[#This Row],[Lucro da Venda]]/Vendas[[#This Row],[Valor da Venda]]</f>
        <v>0.21875</v>
      </c>
      <c r="L4708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4708"/>
    </row>
    <row r="4709" spans="1:13" x14ac:dyDescent="0.3">
      <c r="A4709" s="7">
        <v>400246</v>
      </c>
      <c r="B4709" t="str">
        <f>_xlfn.XLOOKUP(Vendas[[#This Row],[ID Vendedor]],Vendedores[ID],Vendedores[Nome])</f>
        <v>Juliana</v>
      </c>
      <c r="C4709" s="7" t="str">
        <f>_xlfn.XLOOKUP(Vendas[[#This Row],[ID Vendedor]],Vendedores[ID],Vendedores[Setor])</f>
        <v>AHD</v>
      </c>
      <c r="D4709" s="7" t="s">
        <v>18</v>
      </c>
      <c r="E4709" t="str">
        <f>_xlfn.XLOOKUP(Vendas[[#This Row],[ID Item Vendido]],Agregado[ID],Agregado[Produto])</f>
        <v>Peça forjada sob encomenda</v>
      </c>
      <c r="F4709" s="39">
        <v>45831</v>
      </c>
      <c r="G4709" s="7">
        <v>1</v>
      </c>
      <c r="H4709" s="3">
        <f>_xlfn.XLOOKUP(Vendas[[#This Row],[ID Item Vendido]],Agregado[ID],Agregado[Revenda])</f>
        <v>264.60000000000002</v>
      </c>
      <c r="I4709" s="3">
        <f>Vendas[[#This Row],[Valor Unitário]]*Vendas[[#This Row],[Qnt Vendida]]</f>
        <v>264.60000000000002</v>
      </c>
      <c r="J4709" s="3">
        <f>Vendas[[#This Row],[Valor da Venda]]-(_xlfn.XLOOKUP(Vendas[[#This Row],[ID Item Vendido]],Agregado[ID],Agregado[Custo])*Vendas[[#This Row],[Qnt Vendida]])</f>
        <v>14.600000000000023</v>
      </c>
      <c r="K4709" s="70">
        <f>Vendas[[#This Row],[Lucro da Venda]]/Vendas[[#This Row],[Valor da Venda]]</f>
        <v>5.5177626606198113E-2</v>
      </c>
      <c r="L4709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4709"/>
    </row>
    <row r="4710" spans="1:13" x14ac:dyDescent="0.3">
      <c r="A4710" s="7">
        <v>400248</v>
      </c>
      <c r="B4710" t="str">
        <f>_xlfn.XLOOKUP(Vendas[[#This Row],[ID Vendedor]],Vendedores[ID],Vendedores[Nome])</f>
        <v>Patrícia</v>
      </c>
      <c r="C4710" s="7" t="str">
        <f>_xlfn.XLOOKUP(Vendas[[#This Row],[ID Vendedor]],Vendedores[ID],Vendedores[Setor])</f>
        <v>CM</v>
      </c>
      <c r="D4710" s="7" t="s">
        <v>34</v>
      </c>
      <c r="E4710" t="str">
        <f>_xlfn.XLOOKUP(Vendas[[#This Row],[ID Item Vendido]],Agregado[ID],Agregado[Produto])</f>
        <v>Restos de madeira p/ MDP/OSB saco de 20kg</v>
      </c>
      <c r="F4710" s="39">
        <v>45831</v>
      </c>
      <c r="G4710" s="7">
        <v>3</v>
      </c>
      <c r="H4710" s="3">
        <f>_xlfn.XLOOKUP(Vendas[[#This Row],[ID Item Vendido]],Agregado[ID],Agregado[Revenda])</f>
        <v>13.8</v>
      </c>
      <c r="I4710" s="3">
        <f>Vendas[[#This Row],[Valor Unitário]]*Vendas[[#This Row],[Qnt Vendida]]</f>
        <v>41.400000000000006</v>
      </c>
      <c r="J4710" s="3">
        <f>Vendas[[#This Row],[Valor da Venda]]-(_xlfn.XLOOKUP(Vendas[[#This Row],[ID Item Vendido]],Agregado[ID],Agregado[Custo])*Vendas[[#This Row],[Qnt Vendida]])</f>
        <v>5.4000000000000057</v>
      </c>
      <c r="K4710" s="70">
        <f>Vendas[[#This Row],[Lucro da Venda]]/Vendas[[#This Row],[Valor da Venda]]</f>
        <v>0.13043478260869576</v>
      </c>
      <c r="L4710" s="3">
        <f>_xlfn.IFS(Vendas[[#This Row],[Margem de Lucro (%)]]&lt;15%,Vendas[[#This Row],[Valor da Venda]]*3%,Vendas[[#This Row],[Margem de Lucro (%)]]&lt;=20%,Vendas[[#This Row],[Valor da Venda]]*4.5%,TRUE,Vendas[[#This Row],[Valor da Venda]]*6%)</f>
        <v>1.2420000000000002</v>
      </c>
      <c r="M4710"/>
    </row>
    <row r="4711" spans="1:13" x14ac:dyDescent="0.3">
      <c r="A4711" s="7">
        <v>400243</v>
      </c>
      <c r="B4711" t="str">
        <f>_xlfn.XLOOKUP(Vendas[[#This Row],[ID Vendedor]],Vendedores[ID],Vendedores[Nome])</f>
        <v>Marcelo</v>
      </c>
      <c r="C4711" s="7" t="str">
        <f>_xlfn.XLOOKUP(Vendas[[#This Row],[ID Vendedor]],Vendedores[ID],Vendedores[Setor])</f>
        <v>FM</v>
      </c>
      <c r="D4711" s="7" t="s">
        <v>27</v>
      </c>
      <c r="E4711" t="str">
        <f>_xlfn.XLOOKUP(Vendas[[#This Row],[ID Item Vendido]],Agregado[ID],Agregado[Produto])</f>
        <v>Chapa de metal lisa 1x2m</v>
      </c>
      <c r="F4711" s="39">
        <v>45833</v>
      </c>
      <c r="G4711" s="7">
        <v>25</v>
      </c>
      <c r="H4711" s="3">
        <f>_xlfn.XLOOKUP(Vendas[[#This Row],[ID Item Vendido]],Agregado[ID],Agregado[Revenda])</f>
        <v>52</v>
      </c>
      <c r="I4711" s="3">
        <f>Vendas[[#This Row],[Valor Unitário]]*Vendas[[#This Row],[Qnt Vendida]]</f>
        <v>1300</v>
      </c>
      <c r="J4711" s="3">
        <f>Vendas[[#This Row],[Valor da Venda]]-(_xlfn.XLOOKUP(Vendas[[#This Row],[ID Item Vendido]],Agregado[ID],Agregado[Custo])*Vendas[[#This Row],[Qnt Vendida]])</f>
        <v>175</v>
      </c>
      <c r="K4711" s="70">
        <f>Vendas[[#This Row],[Lucro da Venda]]/Vendas[[#This Row],[Valor da Venda]]</f>
        <v>0.13461538461538461</v>
      </c>
      <c r="L4711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4711"/>
    </row>
    <row r="4712" spans="1:13" x14ac:dyDescent="0.3">
      <c r="A4712" s="7">
        <v>400253</v>
      </c>
      <c r="B4712" t="str">
        <f>_xlfn.XLOOKUP(Vendas[[#This Row],[ID Vendedor]],Vendedores[ID],Vendedores[Nome])</f>
        <v>Gustavo</v>
      </c>
      <c r="C4712" s="7" t="str">
        <f>_xlfn.XLOOKUP(Vendas[[#This Row],[ID Vendedor]],Vendedores[ID],Vendedores[Setor])</f>
        <v>SC</v>
      </c>
      <c r="D4712" s="7" t="s">
        <v>48</v>
      </c>
      <c r="E4712" t="str">
        <f>_xlfn.XLOOKUP(Vendas[[#This Row],[ID Item Vendido]],Agregado[ID],Agregado[Produto])</f>
        <v>Tambor metálico 200L</v>
      </c>
      <c r="F4712" s="39">
        <v>45833</v>
      </c>
      <c r="G4712" s="7">
        <v>7</v>
      </c>
      <c r="H4712" s="3">
        <f>_xlfn.XLOOKUP(Vendas[[#This Row],[ID Item Vendido]],Agregado[ID],Agregado[Revenda])</f>
        <v>144</v>
      </c>
      <c r="I4712" s="3">
        <f>Vendas[[#This Row],[Valor Unitário]]*Vendas[[#This Row],[Qnt Vendida]]</f>
        <v>1008</v>
      </c>
      <c r="J4712" s="3">
        <f>Vendas[[#This Row],[Valor da Venda]]-(_xlfn.XLOOKUP(Vendas[[#This Row],[ID Item Vendido]],Agregado[ID],Agregado[Custo])*Vendas[[#This Row],[Qnt Vendida]])</f>
        <v>168</v>
      </c>
      <c r="K4712" s="70">
        <f>Vendas[[#This Row],[Lucro da Venda]]/Vendas[[#This Row],[Valor da Venda]]</f>
        <v>0.16666666666666666</v>
      </c>
      <c r="L4712" s="3">
        <f>_xlfn.IFS(Vendas[[#This Row],[Margem de Lucro (%)]]&lt;15%,Vendas[[#This Row],[Valor da Venda]]*3%,Vendas[[#This Row],[Margem de Lucro (%)]]&lt;=20%,Vendas[[#This Row],[Valor da Venda]]*4.5%,TRUE,Vendas[[#This Row],[Valor da Venda]]*6%)</f>
        <v>45.36</v>
      </c>
      <c r="M4712"/>
    </row>
    <row r="4713" spans="1:13" x14ac:dyDescent="0.3">
      <c r="A4713" s="7">
        <v>400244</v>
      </c>
      <c r="B4713" t="str">
        <f>_xlfn.XLOOKUP(Vendas[[#This Row],[ID Vendedor]],Vendedores[ID],Vendedores[Nome])</f>
        <v>Camila</v>
      </c>
      <c r="C4713" s="7" t="str">
        <f>_xlfn.XLOOKUP(Vendas[[#This Row],[ID Vendedor]],Vendedores[ID],Vendedores[Setor])</f>
        <v>AHD</v>
      </c>
      <c r="D4713" s="7" t="s">
        <v>9</v>
      </c>
      <c r="E4713" t="str">
        <f>_xlfn.XLOOKUP(Vendas[[#This Row],[ID Item Vendido]],Agregado[ID],Agregado[Produto])</f>
        <v>Barra de aço simples</v>
      </c>
      <c r="F4713" s="39">
        <v>45833</v>
      </c>
      <c r="G4713" s="7">
        <v>90</v>
      </c>
      <c r="H4713" s="3">
        <f>_xlfn.XLOOKUP(Vendas[[#This Row],[ID Item Vendido]],Agregado[ID],Agregado[Revenda])</f>
        <v>6.7</v>
      </c>
      <c r="I4713" s="3">
        <f>Vendas[[#This Row],[Valor Unitário]]*Vendas[[#This Row],[Qnt Vendida]]</f>
        <v>603</v>
      </c>
      <c r="J4713" s="3">
        <f>Vendas[[#This Row],[Valor da Venda]]-(_xlfn.XLOOKUP(Vendas[[#This Row],[ID Item Vendido]],Agregado[ID],Agregado[Custo])*Vendas[[#This Row],[Qnt Vendida]])</f>
        <v>81</v>
      </c>
      <c r="K4713" s="70">
        <f>Vendas[[#This Row],[Lucro da Venda]]/Vendas[[#This Row],[Valor da Venda]]</f>
        <v>0.13432835820895522</v>
      </c>
      <c r="L4713" s="3">
        <f>_xlfn.IFS(Vendas[[#This Row],[Margem de Lucro (%)]]&lt;15%,Vendas[[#This Row],[Valor da Venda]]*3%,Vendas[[#This Row],[Margem de Lucro (%)]]&lt;=20%,Vendas[[#This Row],[Valor da Venda]]*4.5%,TRUE,Vendas[[#This Row],[Valor da Venda]]*6%)</f>
        <v>18.09</v>
      </c>
      <c r="M4713"/>
    </row>
    <row r="4714" spans="1:13" x14ac:dyDescent="0.3">
      <c r="A4714" s="7">
        <v>400249</v>
      </c>
      <c r="B4714" t="str">
        <f>_xlfn.XLOOKUP(Vendas[[#This Row],[ID Vendedor]],Vendedores[ID],Vendedores[Nome])</f>
        <v>Bruno</v>
      </c>
      <c r="C4714" s="7" t="str">
        <f>_xlfn.XLOOKUP(Vendas[[#This Row],[ID Vendedor]],Vendedores[ID],Vendedores[Setor])</f>
        <v>CM</v>
      </c>
      <c r="D4714" s="7" t="s">
        <v>45</v>
      </c>
      <c r="E4714" t="str">
        <f>_xlfn.XLOOKUP(Vendas[[#This Row],[ID Item Vendido]],Agregado[ID],Agregado[Produto])</f>
        <v>Viga de madeira tratada 4m</v>
      </c>
      <c r="F4714" s="39">
        <v>45834</v>
      </c>
      <c r="G4714" s="7">
        <v>8</v>
      </c>
      <c r="H4714" s="3">
        <f>_xlfn.XLOOKUP(Vendas[[#This Row],[ID Item Vendido]],Agregado[ID],Agregado[Revenda])</f>
        <v>66</v>
      </c>
      <c r="I4714" s="3">
        <f>Vendas[[#This Row],[Valor Unitário]]*Vendas[[#This Row],[Qnt Vendida]]</f>
        <v>528</v>
      </c>
      <c r="J4714" s="3">
        <f>Vendas[[#This Row],[Valor da Venda]]-(_xlfn.XLOOKUP(Vendas[[#This Row],[ID Item Vendido]],Agregado[ID],Agregado[Custo])*Vendas[[#This Row],[Qnt Vendida]])</f>
        <v>88</v>
      </c>
      <c r="K4714" s="70">
        <f>Vendas[[#This Row],[Lucro da Venda]]/Vendas[[#This Row],[Valor da Venda]]</f>
        <v>0.16666666666666666</v>
      </c>
      <c r="L4714" s="3">
        <f>_xlfn.IFS(Vendas[[#This Row],[Margem de Lucro (%)]]&lt;15%,Vendas[[#This Row],[Valor da Venda]]*3%,Vendas[[#This Row],[Margem de Lucro (%)]]&lt;=20%,Vendas[[#This Row],[Valor da Venda]]*4.5%,TRUE,Vendas[[#This Row],[Valor da Venda]]*6%)</f>
        <v>23.759999999999998</v>
      </c>
      <c r="M4714"/>
    </row>
    <row r="4715" spans="1:13" x14ac:dyDescent="0.3">
      <c r="A4715" s="7">
        <v>400248</v>
      </c>
      <c r="B4715" t="str">
        <f>_xlfn.XLOOKUP(Vendas[[#This Row],[ID Vendedor]],Vendedores[ID],Vendedores[Nome])</f>
        <v>Patrícia</v>
      </c>
      <c r="C4715" s="7" t="str">
        <f>_xlfn.XLOOKUP(Vendas[[#This Row],[ID Vendedor]],Vendedores[ID],Vendedores[Setor])</f>
        <v>CM</v>
      </c>
      <c r="D4715" s="7" t="s">
        <v>22</v>
      </c>
      <c r="E4715" t="str">
        <f>_xlfn.XLOOKUP(Vendas[[#This Row],[ID Item Vendido]],Agregado[ID],Agregado[Produto])</f>
        <v>Painel MDP 2,75x1,83m</v>
      </c>
      <c r="F4715" s="39">
        <v>45835</v>
      </c>
      <c r="G4715" s="7">
        <v>16</v>
      </c>
      <c r="H4715" s="3">
        <f>_xlfn.XLOOKUP(Vendas[[#This Row],[ID Item Vendido]],Agregado[ID],Agregado[Revenda])</f>
        <v>119</v>
      </c>
      <c r="I4715" s="3">
        <f>Vendas[[#This Row],[Valor Unitário]]*Vendas[[#This Row],[Qnt Vendida]]</f>
        <v>1904</v>
      </c>
      <c r="J4715" s="3">
        <f>Vendas[[#This Row],[Valor da Venda]]-(_xlfn.XLOOKUP(Vendas[[#This Row],[ID Item Vendido]],Agregado[ID],Agregado[Custo])*Vendas[[#This Row],[Qnt Vendida]])</f>
        <v>384</v>
      </c>
      <c r="K4715" s="70">
        <f>Vendas[[#This Row],[Lucro da Venda]]/Vendas[[#This Row],[Valor da Venda]]</f>
        <v>0.20168067226890757</v>
      </c>
      <c r="L4715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4715"/>
    </row>
    <row r="4716" spans="1:13" x14ac:dyDescent="0.3">
      <c r="A4716" s="7">
        <v>400252</v>
      </c>
      <c r="B4716" t="str">
        <f>_xlfn.XLOOKUP(Vendas[[#This Row],[ID Vendedor]],Vendedores[ID],Vendedores[Nome])</f>
        <v>Renata</v>
      </c>
      <c r="C4716" s="7" t="str">
        <f>_xlfn.XLOOKUP(Vendas[[#This Row],[ID Vendedor]],Vendedores[ID],Vendedores[Setor])</f>
        <v>AB</v>
      </c>
      <c r="D4716" s="7" t="s">
        <v>39</v>
      </c>
      <c r="E4716" t="str">
        <f>_xlfn.XLOOKUP(Vendas[[#This Row],[ID Item Vendido]],Agregado[ID],Agregado[Produto])</f>
        <v>Filme plástico industrial rolo 50m</v>
      </c>
      <c r="F4716" s="39">
        <v>45835</v>
      </c>
      <c r="G4716" s="7">
        <v>23</v>
      </c>
      <c r="H4716" s="3">
        <f>_xlfn.XLOOKUP(Vendas[[#This Row],[ID Item Vendido]],Agregado[ID],Agregado[Revenda])</f>
        <v>37</v>
      </c>
      <c r="I4716" s="3">
        <f>Vendas[[#This Row],[Valor Unitário]]*Vendas[[#This Row],[Qnt Vendida]]</f>
        <v>851</v>
      </c>
      <c r="J4716" s="3">
        <f>Vendas[[#This Row],[Valor da Venda]]-(_xlfn.XLOOKUP(Vendas[[#This Row],[ID Item Vendido]],Agregado[ID],Agregado[Custo])*Vendas[[#This Row],[Qnt Vendida]])</f>
        <v>207</v>
      </c>
      <c r="K4716" s="70">
        <f>Vendas[[#This Row],[Lucro da Venda]]/Vendas[[#This Row],[Valor da Venda]]</f>
        <v>0.24324324324324326</v>
      </c>
      <c r="L4716" s="3">
        <f>_xlfn.IFS(Vendas[[#This Row],[Margem de Lucro (%)]]&lt;15%,Vendas[[#This Row],[Valor da Venda]]*3%,Vendas[[#This Row],[Margem de Lucro (%)]]&lt;=20%,Vendas[[#This Row],[Valor da Venda]]*4.5%,TRUE,Vendas[[#This Row],[Valor da Venda]]*6%)</f>
        <v>51.059999999999995</v>
      </c>
      <c r="M4716"/>
    </row>
    <row r="4717" spans="1:13" x14ac:dyDescent="0.3">
      <c r="A4717" s="7">
        <v>400242</v>
      </c>
      <c r="B4717" t="str">
        <f>_xlfn.XLOOKUP(Vendas[[#This Row],[ID Vendedor]],Vendedores[ID],Vendedores[Nome])</f>
        <v>Fernanda</v>
      </c>
      <c r="C4717" s="7" t="str">
        <f>_xlfn.XLOOKUP(Vendas[[#This Row],[ID Vendedor]],Vendedores[ID],Vendedores[Setor])</f>
        <v>FM</v>
      </c>
      <c r="D4717" s="7" t="s">
        <v>20</v>
      </c>
      <c r="E4717" t="str">
        <f>_xlfn.XLOOKUP(Vendas[[#This Row],[ID Item Vendido]],Agregado[ID],Agregado[Produto])</f>
        <v>Barra de aço simples</v>
      </c>
      <c r="F4717" s="39">
        <v>45835</v>
      </c>
      <c r="G4717" s="7">
        <v>109</v>
      </c>
      <c r="H4717" s="3">
        <f>_xlfn.XLOOKUP(Vendas[[#This Row],[ID Item Vendido]],Agregado[ID],Agregado[Revenda])</f>
        <v>4.8</v>
      </c>
      <c r="I4717" s="3">
        <f>Vendas[[#This Row],[Valor Unitário]]*Vendas[[#This Row],[Qnt Vendida]]</f>
        <v>523.19999999999993</v>
      </c>
      <c r="J4717" s="3">
        <f>Vendas[[#This Row],[Valor da Venda]]-(_xlfn.XLOOKUP(Vendas[[#This Row],[ID Item Vendido]],Agregado[ID],Agregado[Custo])*Vendas[[#This Row],[Qnt Vendida]])</f>
        <v>65.39999999999992</v>
      </c>
      <c r="K4717" s="70">
        <f>Vendas[[#This Row],[Lucro da Venda]]/Vendas[[#This Row],[Valor da Venda]]</f>
        <v>0.12499999999999986</v>
      </c>
      <c r="L4717" s="3">
        <f>_xlfn.IFS(Vendas[[#This Row],[Margem de Lucro (%)]]&lt;15%,Vendas[[#This Row],[Valor da Venda]]*3%,Vendas[[#This Row],[Margem de Lucro (%)]]&lt;=20%,Vendas[[#This Row],[Valor da Venda]]*4.5%,TRUE,Vendas[[#This Row],[Valor da Venda]]*6%)</f>
        <v>15.695999999999998</v>
      </c>
      <c r="M4717"/>
    </row>
    <row r="4718" spans="1:13" x14ac:dyDescent="0.3">
      <c r="A4718" s="7">
        <v>400244</v>
      </c>
      <c r="B4718" t="str">
        <f>_xlfn.XLOOKUP(Vendas[[#This Row],[ID Vendedor]],Vendedores[ID],Vendedores[Nome])</f>
        <v>Camila</v>
      </c>
      <c r="C4718" s="7" t="str">
        <f>_xlfn.XLOOKUP(Vendas[[#This Row],[ID Vendedor]],Vendedores[ID],Vendedores[Setor])</f>
        <v>AHD</v>
      </c>
      <c r="D4718" s="7" t="s">
        <v>28</v>
      </c>
      <c r="E4718" t="str">
        <f>_xlfn.XLOOKUP(Vendas[[#This Row],[ID Item Vendido]],Agregado[ID],Agregado[Produto])</f>
        <v>Peça usinada CNC</v>
      </c>
      <c r="F4718" s="39">
        <v>45836</v>
      </c>
      <c r="G4718" s="7">
        <v>14</v>
      </c>
      <c r="H4718" s="3">
        <f>_xlfn.XLOOKUP(Vendas[[#This Row],[ID Item Vendido]],Agregado[ID],Agregado[Revenda])</f>
        <v>192</v>
      </c>
      <c r="I4718" s="3">
        <f>Vendas[[#This Row],[Valor Unitário]]*Vendas[[#This Row],[Qnt Vendida]]</f>
        <v>2688</v>
      </c>
      <c r="J4718" s="3">
        <f>Vendas[[#This Row],[Valor da Venda]]-(_xlfn.XLOOKUP(Vendas[[#This Row],[ID Item Vendido]],Agregado[ID],Agregado[Custo])*Vendas[[#This Row],[Qnt Vendida]])</f>
        <v>588</v>
      </c>
      <c r="K4718" s="70">
        <f>Vendas[[#This Row],[Lucro da Venda]]/Vendas[[#This Row],[Valor da Venda]]</f>
        <v>0.21875</v>
      </c>
      <c r="L4718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4718"/>
    </row>
    <row r="4719" spans="1:13" x14ac:dyDescent="0.3">
      <c r="A4719" s="7">
        <v>400253</v>
      </c>
      <c r="B4719" t="str">
        <f>_xlfn.XLOOKUP(Vendas[[#This Row],[ID Vendedor]],Vendedores[ID],Vendedores[Nome])</f>
        <v>Gustavo</v>
      </c>
      <c r="C4719" s="7" t="str">
        <f>_xlfn.XLOOKUP(Vendas[[#This Row],[ID Vendedor]],Vendedores[ID],Vendedores[Setor])</f>
        <v>SC</v>
      </c>
      <c r="D4719" s="7" t="s">
        <v>48</v>
      </c>
      <c r="E4719" t="str">
        <f>_xlfn.XLOOKUP(Vendas[[#This Row],[ID Item Vendido]],Agregado[ID],Agregado[Produto])</f>
        <v>Tambor metálico 200L</v>
      </c>
      <c r="F4719" s="39">
        <v>45836</v>
      </c>
      <c r="G4719" s="7">
        <v>16</v>
      </c>
      <c r="H4719" s="3">
        <f>_xlfn.XLOOKUP(Vendas[[#This Row],[ID Item Vendido]],Agregado[ID],Agregado[Revenda])</f>
        <v>144</v>
      </c>
      <c r="I4719" s="3">
        <f>Vendas[[#This Row],[Valor Unitário]]*Vendas[[#This Row],[Qnt Vendida]]</f>
        <v>2304</v>
      </c>
      <c r="J4719" s="3">
        <f>Vendas[[#This Row],[Valor da Venda]]-(_xlfn.XLOOKUP(Vendas[[#This Row],[ID Item Vendido]],Agregado[ID],Agregado[Custo])*Vendas[[#This Row],[Qnt Vendida]])</f>
        <v>384</v>
      </c>
      <c r="K4719" s="70">
        <f>Vendas[[#This Row],[Lucro da Venda]]/Vendas[[#This Row],[Valor da Venda]]</f>
        <v>0.16666666666666666</v>
      </c>
      <c r="L4719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4719"/>
    </row>
    <row r="4720" spans="1:13" x14ac:dyDescent="0.3">
      <c r="A4720" s="7">
        <v>400252</v>
      </c>
      <c r="B4720" t="str">
        <f>_xlfn.XLOOKUP(Vendas[[#This Row],[ID Vendedor]],Vendedores[ID],Vendedores[Nome])</f>
        <v>Renata</v>
      </c>
      <c r="C4720" s="7" t="str">
        <f>_xlfn.XLOOKUP(Vendas[[#This Row],[ID Vendedor]],Vendedores[ID],Vendedores[Setor])</f>
        <v>AB</v>
      </c>
      <c r="D4720" s="7" t="s">
        <v>37</v>
      </c>
      <c r="E4720" t="str">
        <f>_xlfn.XLOOKUP(Vendas[[#This Row],[ID Item Vendido]],Agregado[ID],Agregado[Produto])</f>
        <v>Composto de borracha para vedação rolo 10m</v>
      </c>
      <c r="F4720" s="39">
        <v>45836</v>
      </c>
      <c r="G4720" s="7">
        <v>23</v>
      </c>
      <c r="H4720" s="3">
        <f>_xlfn.XLOOKUP(Vendas[[#This Row],[ID Item Vendido]],Agregado[ID],Agregado[Revenda])</f>
        <v>51.2</v>
      </c>
      <c r="I4720" s="3">
        <f>Vendas[[#This Row],[Valor Unitário]]*Vendas[[#This Row],[Qnt Vendida]]</f>
        <v>1177.6000000000001</v>
      </c>
      <c r="J4720" s="3">
        <f>Vendas[[#This Row],[Valor da Venda]]-(_xlfn.XLOOKUP(Vendas[[#This Row],[ID Item Vendido]],Agregado[ID],Agregado[Custo])*Vendas[[#This Row],[Qnt Vendida]])</f>
        <v>257.60000000000014</v>
      </c>
      <c r="K4720" s="70">
        <f>Vendas[[#This Row],[Lucro da Venda]]/Vendas[[#This Row],[Valor da Venda]]</f>
        <v>0.21875000000000008</v>
      </c>
      <c r="L4720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4720"/>
    </row>
    <row r="4721" spans="1:13" x14ac:dyDescent="0.3">
      <c r="A4721" s="7">
        <v>400241</v>
      </c>
      <c r="B4721" t="str">
        <f>_xlfn.XLOOKUP(Vendas[[#This Row],[ID Vendedor]],Vendedores[ID],Vendedores[Nome])</f>
        <v>Rodrigo</v>
      </c>
      <c r="C4721" s="7" t="str">
        <f>_xlfn.XLOOKUP(Vendas[[#This Row],[ID Vendedor]],Vendedores[ID],Vendedores[Setor])</f>
        <v>FM</v>
      </c>
      <c r="D4721" s="7" t="s">
        <v>27</v>
      </c>
      <c r="E4721" t="str">
        <f>_xlfn.XLOOKUP(Vendas[[#This Row],[ID Item Vendido]],Agregado[ID],Agregado[Produto])</f>
        <v>Chapa de metal lisa 1x2m</v>
      </c>
      <c r="F4721" s="39">
        <v>45837</v>
      </c>
      <c r="G4721" s="7">
        <v>28</v>
      </c>
      <c r="H4721" s="3">
        <f>_xlfn.XLOOKUP(Vendas[[#This Row],[ID Item Vendido]],Agregado[ID],Agregado[Revenda])</f>
        <v>52</v>
      </c>
      <c r="I4721" s="3">
        <f>Vendas[[#This Row],[Valor Unitário]]*Vendas[[#This Row],[Qnt Vendida]]</f>
        <v>1456</v>
      </c>
      <c r="J4721" s="3">
        <f>Vendas[[#This Row],[Valor da Venda]]-(_xlfn.XLOOKUP(Vendas[[#This Row],[ID Item Vendido]],Agregado[ID],Agregado[Custo])*Vendas[[#This Row],[Qnt Vendida]])</f>
        <v>196</v>
      </c>
      <c r="K4721" s="70">
        <f>Vendas[[#This Row],[Lucro da Venda]]/Vendas[[#This Row],[Valor da Venda]]</f>
        <v>0.13461538461538461</v>
      </c>
      <c r="L4721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4721"/>
    </row>
    <row r="4722" spans="1:13" x14ac:dyDescent="0.3">
      <c r="A4722" s="7">
        <v>400246</v>
      </c>
      <c r="B4722" t="str">
        <f>_xlfn.XLOOKUP(Vendas[[#This Row],[ID Vendedor]],Vendedores[ID],Vendedores[Nome])</f>
        <v>Juliana</v>
      </c>
      <c r="C4722" s="7" t="str">
        <f>_xlfn.XLOOKUP(Vendas[[#This Row],[ID Vendedor]],Vendedores[ID],Vendedores[Setor])</f>
        <v>AHD</v>
      </c>
      <c r="D4722" s="7" t="s">
        <v>44</v>
      </c>
      <c r="E4722" t="str">
        <f>_xlfn.XLOOKUP(Vendas[[#This Row],[ID Item Vendido]],Agregado[ID],Agregado[Produto])</f>
        <v>Liga metálica especial</v>
      </c>
      <c r="F4722" s="39">
        <v>45837</v>
      </c>
      <c r="G4722" s="7">
        <v>10</v>
      </c>
      <c r="H4722" s="3">
        <f>_xlfn.XLOOKUP(Vendas[[#This Row],[ID Item Vendido]],Agregado[ID],Agregado[Revenda])</f>
        <v>32.5</v>
      </c>
      <c r="I4722" s="3">
        <f>Vendas[[#This Row],[Valor Unitário]]*Vendas[[#This Row],[Qnt Vendida]]</f>
        <v>325</v>
      </c>
      <c r="J4722" s="3">
        <f>Vendas[[#This Row],[Valor da Venda]]-(_xlfn.XLOOKUP(Vendas[[#This Row],[ID Item Vendido]],Agregado[ID],Agregado[Custo])*Vendas[[#This Row],[Qnt Vendida]])</f>
        <v>75</v>
      </c>
      <c r="K4722" s="70">
        <f>Vendas[[#This Row],[Lucro da Venda]]/Vendas[[#This Row],[Valor da Venda]]</f>
        <v>0.23076923076923078</v>
      </c>
      <c r="L4722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4722"/>
    </row>
    <row r="4723" spans="1:13" x14ac:dyDescent="0.3">
      <c r="A4723" s="7">
        <v>400253</v>
      </c>
      <c r="B4723" t="str">
        <f>_xlfn.XLOOKUP(Vendas[[#This Row],[ID Vendedor]],Vendedores[ID],Vendedores[Nome])</f>
        <v>Gustavo</v>
      </c>
      <c r="C4723" s="7" t="str">
        <f>_xlfn.XLOOKUP(Vendas[[#This Row],[ID Vendedor]],Vendedores[ID],Vendedores[Setor])</f>
        <v>SC</v>
      </c>
      <c r="D4723" s="7" t="s">
        <v>42</v>
      </c>
      <c r="E4723" t="str">
        <f>_xlfn.XLOOKUP(Vendas[[#This Row],[ID Item Vendido]],Agregado[ID],Agregado[Produto])</f>
        <v>Container de ferro industrial</v>
      </c>
      <c r="F4723" s="39">
        <v>45838</v>
      </c>
      <c r="G4723" s="7">
        <v>4</v>
      </c>
      <c r="H4723" s="3">
        <f>_xlfn.XLOOKUP(Vendas[[#This Row],[ID Item Vendido]],Agregado[ID],Agregado[Revenda])</f>
        <v>830</v>
      </c>
      <c r="I4723" s="3">
        <f>Vendas[[#This Row],[Valor Unitário]]*Vendas[[#This Row],[Qnt Vendida]]</f>
        <v>3320</v>
      </c>
      <c r="J4723" s="3">
        <f>Vendas[[#This Row],[Valor da Venda]]-(_xlfn.XLOOKUP(Vendas[[#This Row],[ID Item Vendido]],Agregado[ID],Agregado[Custo])*Vendas[[#This Row],[Qnt Vendida]])</f>
        <v>600</v>
      </c>
      <c r="K4723" s="70">
        <f>Vendas[[#This Row],[Lucro da Venda]]/Vendas[[#This Row],[Valor da Venda]]</f>
        <v>0.18072289156626506</v>
      </c>
      <c r="L4723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723"/>
    </row>
    <row r="4724" spans="1:13" x14ac:dyDescent="0.3">
      <c r="A4724" s="7">
        <v>400254</v>
      </c>
      <c r="B4724" t="str">
        <f>_xlfn.XLOOKUP(Vendas[[#This Row],[ID Vendedor]],Vendedores[ID],Vendedores[Nome])</f>
        <v>Beatriz</v>
      </c>
      <c r="C4724" s="7" t="str">
        <f>_xlfn.XLOOKUP(Vendas[[#This Row],[ID Vendedor]],Vendedores[ID],Vendedores[Setor])</f>
        <v>SC</v>
      </c>
      <c r="D4724" s="7" t="s">
        <v>42</v>
      </c>
      <c r="E4724" t="str">
        <f>_xlfn.XLOOKUP(Vendas[[#This Row],[ID Item Vendido]],Agregado[ID],Agregado[Produto])</f>
        <v>Container de ferro industrial</v>
      </c>
      <c r="F4724" s="39">
        <v>45838</v>
      </c>
      <c r="G4724" s="7">
        <v>3</v>
      </c>
      <c r="H4724" s="3">
        <f>_xlfn.XLOOKUP(Vendas[[#This Row],[ID Item Vendido]],Agregado[ID],Agregado[Revenda])</f>
        <v>830</v>
      </c>
      <c r="I4724" s="3">
        <f>Vendas[[#This Row],[Valor Unitário]]*Vendas[[#This Row],[Qnt Vendida]]</f>
        <v>2490</v>
      </c>
      <c r="J4724" s="3">
        <f>Vendas[[#This Row],[Valor da Venda]]-(_xlfn.XLOOKUP(Vendas[[#This Row],[ID Item Vendido]],Agregado[ID],Agregado[Custo])*Vendas[[#This Row],[Qnt Vendida]])</f>
        <v>450</v>
      </c>
      <c r="K4724" s="70">
        <f>Vendas[[#This Row],[Lucro da Venda]]/Vendas[[#This Row],[Valor da Venda]]</f>
        <v>0.18072289156626506</v>
      </c>
      <c r="L472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724"/>
    </row>
    <row r="4725" spans="1:13" x14ac:dyDescent="0.3">
      <c r="A4725" s="7">
        <v>400252</v>
      </c>
      <c r="B4725" t="str">
        <f>_xlfn.XLOOKUP(Vendas[[#This Row],[ID Vendedor]],Vendedores[ID],Vendedores[Nome])</f>
        <v>Renata</v>
      </c>
      <c r="C4725" s="7" t="str">
        <f>_xlfn.XLOOKUP(Vendas[[#This Row],[ID Vendedor]],Vendedores[ID],Vendedores[Setor])</f>
        <v>AB</v>
      </c>
      <c r="D4725" s="7" t="s">
        <v>37</v>
      </c>
      <c r="E4725" t="str">
        <f>_xlfn.XLOOKUP(Vendas[[#This Row],[ID Item Vendido]],Agregado[ID],Agregado[Produto])</f>
        <v>Composto de borracha para vedação rolo 10m</v>
      </c>
      <c r="F4725" s="39">
        <v>45838</v>
      </c>
      <c r="G4725" s="7">
        <v>17</v>
      </c>
      <c r="H4725" s="3">
        <f>_xlfn.XLOOKUP(Vendas[[#This Row],[ID Item Vendido]],Agregado[ID],Agregado[Revenda])</f>
        <v>51.2</v>
      </c>
      <c r="I4725" s="3">
        <f>Vendas[[#This Row],[Valor Unitário]]*Vendas[[#This Row],[Qnt Vendida]]</f>
        <v>870.40000000000009</v>
      </c>
      <c r="J4725" s="3">
        <f>Vendas[[#This Row],[Valor da Venda]]-(_xlfn.XLOOKUP(Vendas[[#This Row],[ID Item Vendido]],Agregado[ID],Agregado[Custo])*Vendas[[#This Row],[Qnt Vendida]])</f>
        <v>190.40000000000009</v>
      </c>
      <c r="K4725" s="70">
        <f>Vendas[[#This Row],[Lucro da Venda]]/Vendas[[#This Row],[Valor da Venda]]</f>
        <v>0.21875000000000008</v>
      </c>
      <c r="L472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4725"/>
    </row>
    <row r="4726" spans="1:13" x14ac:dyDescent="0.3">
      <c r="A4726" s="7">
        <v>400246</v>
      </c>
      <c r="B4726" t="str">
        <f>_xlfn.XLOOKUP(Vendas[[#This Row],[ID Vendedor]],Vendedores[ID],Vendedores[Nome])</f>
        <v>Juliana</v>
      </c>
      <c r="C4726" s="7" t="str">
        <f>_xlfn.XLOOKUP(Vendas[[#This Row],[ID Vendedor]],Vendedores[ID],Vendedores[Setor])</f>
        <v>AHD</v>
      </c>
      <c r="D4726" s="7" t="s">
        <v>18</v>
      </c>
      <c r="E4726" t="str">
        <f>_xlfn.XLOOKUP(Vendas[[#This Row],[ID Item Vendido]],Agregado[ID],Agregado[Produto])</f>
        <v>Peça forjada sob encomenda</v>
      </c>
      <c r="F4726" s="39">
        <v>45839</v>
      </c>
      <c r="G4726" s="7">
        <v>5</v>
      </c>
      <c r="H4726" s="3">
        <f>_xlfn.XLOOKUP(Vendas[[#This Row],[ID Item Vendido]],Agregado[ID],Agregado[Revenda])</f>
        <v>264.60000000000002</v>
      </c>
      <c r="I4726" s="3">
        <f>Vendas[[#This Row],[Valor Unitário]]*Vendas[[#This Row],[Qnt Vendida]]</f>
        <v>1323</v>
      </c>
      <c r="J4726" s="3">
        <f>Vendas[[#This Row],[Valor da Venda]]-(_xlfn.XLOOKUP(Vendas[[#This Row],[ID Item Vendido]],Agregado[ID],Agregado[Custo])*Vendas[[#This Row],[Qnt Vendida]])</f>
        <v>73</v>
      </c>
      <c r="K4726" s="70">
        <f>Vendas[[#This Row],[Lucro da Venda]]/Vendas[[#This Row],[Valor da Venda]]</f>
        <v>5.5177626606198037E-2</v>
      </c>
      <c r="L4726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726"/>
    </row>
    <row r="4727" spans="1:13" x14ac:dyDescent="0.3">
      <c r="A4727" s="7">
        <v>400254</v>
      </c>
      <c r="B4727" t="str">
        <f>_xlfn.XLOOKUP(Vendas[[#This Row],[ID Vendedor]],Vendedores[ID],Vendedores[Nome])</f>
        <v>Beatriz</v>
      </c>
      <c r="C4727" s="7" t="str">
        <f>_xlfn.XLOOKUP(Vendas[[#This Row],[ID Vendedor]],Vendedores[ID],Vendedores[Setor])</f>
        <v>SC</v>
      </c>
      <c r="D4727" s="7" t="s">
        <v>25</v>
      </c>
      <c r="E4727" t="str">
        <f>_xlfn.XLOOKUP(Vendas[[#This Row],[ID Item Vendido]],Agregado[ID],Agregado[Produto])</f>
        <v>Palete de plástico</v>
      </c>
      <c r="F4727" s="39">
        <v>45839</v>
      </c>
      <c r="G4727" s="7">
        <v>7</v>
      </c>
      <c r="H4727" s="3">
        <f>_xlfn.XLOOKUP(Vendas[[#This Row],[ID Item Vendido]],Agregado[ID],Agregado[Revenda])</f>
        <v>70.8</v>
      </c>
      <c r="I4727" s="3">
        <f>Vendas[[#This Row],[Valor Unitário]]*Vendas[[#This Row],[Qnt Vendida]]</f>
        <v>495.59999999999997</v>
      </c>
      <c r="J4727" s="3">
        <f>Vendas[[#This Row],[Valor da Venda]]-(_xlfn.XLOOKUP(Vendas[[#This Row],[ID Item Vendido]],Agregado[ID],Agregado[Custo])*Vendas[[#This Row],[Qnt Vendida]])</f>
        <v>75.599999999999966</v>
      </c>
      <c r="K4727" s="70">
        <f>Vendas[[#This Row],[Lucro da Venda]]/Vendas[[#This Row],[Valor da Venda]]</f>
        <v>0.15254237288135589</v>
      </c>
      <c r="L4727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4727"/>
    </row>
    <row r="4728" spans="1:13" x14ac:dyDescent="0.3">
      <c r="A4728" s="7">
        <v>400252</v>
      </c>
      <c r="B4728" t="str">
        <f>_xlfn.XLOOKUP(Vendas[[#This Row],[ID Vendedor]],Vendedores[ID],Vendedores[Nome])</f>
        <v>Renata</v>
      </c>
      <c r="C4728" s="7" t="str">
        <f>_xlfn.XLOOKUP(Vendas[[#This Row],[ID Vendedor]],Vendedores[ID],Vendedores[Setor])</f>
        <v>AB</v>
      </c>
      <c r="D4728" s="7" t="s">
        <v>12</v>
      </c>
      <c r="E4728" t="str">
        <f>_xlfn.XLOOKUP(Vendas[[#This Row],[ID Item Vendido]],Agregado[ID],Agregado[Produto])</f>
        <v>Grânulo de plástico reciclado refinado</v>
      </c>
      <c r="F4728" s="39">
        <v>45839</v>
      </c>
      <c r="G4728" s="7">
        <v>54</v>
      </c>
      <c r="H4728" s="3">
        <f>_xlfn.XLOOKUP(Vendas[[#This Row],[ID Item Vendido]],Agregado[ID],Agregado[Revenda])</f>
        <v>4.7</v>
      </c>
      <c r="I4728" s="3">
        <f>Vendas[[#This Row],[Valor Unitário]]*Vendas[[#This Row],[Qnt Vendida]]</f>
        <v>253.8</v>
      </c>
      <c r="J4728" s="3">
        <f>Vendas[[#This Row],[Valor da Venda]]-(_xlfn.XLOOKUP(Vendas[[#This Row],[ID Item Vendido]],Agregado[ID],Agregado[Custo])*Vendas[[#This Row],[Qnt Vendida]])</f>
        <v>64.800000000000011</v>
      </c>
      <c r="K4728" s="70">
        <f>Vendas[[#This Row],[Lucro da Venda]]/Vendas[[#This Row],[Valor da Venda]]</f>
        <v>0.25531914893617025</v>
      </c>
      <c r="L4728" s="3">
        <f>_xlfn.IFS(Vendas[[#This Row],[Margem de Lucro (%)]]&lt;15%,Vendas[[#This Row],[Valor da Venda]]*3%,Vendas[[#This Row],[Margem de Lucro (%)]]&lt;=20%,Vendas[[#This Row],[Valor da Venda]]*4.5%,TRUE,Vendas[[#This Row],[Valor da Venda]]*6%)</f>
        <v>15.228</v>
      </c>
      <c r="M4728"/>
    </row>
    <row r="4729" spans="1:13" x14ac:dyDescent="0.3">
      <c r="A4729" s="7">
        <v>400255</v>
      </c>
      <c r="B4729" t="str">
        <f>_xlfn.XLOOKUP(Vendas[[#This Row],[ID Vendedor]],Vendedores[ID],Vendedores[Nome])</f>
        <v>Carlos</v>
      </c>
      <c r="C4729" s="7" t="str">
        <f>_xlfn.XLOOKUP(Vendas[[#This Row],[ID Vendedor]],Vendedores[ID],Vendedores[Setor])</f>
        <v>SC</v>
      </c>
      <c r="D4729" s="7" t="s">
        <v>48</v>
      </c>
      <c r="E4729" t="str">
        <f>_xlfn.XLOOKUP(Vendas[[#This Row],[ID Item Vendido]],Agregado[ID],Agregado[Produto])</f>
        <v>Tambor metálico 200L</v>
      </c>
      <c r="F4729" s="39">
        <v>45840</v>
      </c>
      <c r="G4729" s="7">
        <v>8</v>
      </c>
      <c r="H4729" s="3">
        <f>_xlfn.XLOOKUP(Vendas[[#This Row],[ID Item Vendido]],Agregado[ID],Agregado[Revenda])</f>
        <v>144</v>
      </c>
      <c r="I4729" s="3">
        <f>Vendas[[#This Row],[Valor Unitário]]*Vendas[[#This Row],[Qnt Vendida]]</f>
        <v>1152</v>
      </c>
      <c r="J4729" s="3">
        <f>Vendas[[#This Row],[Valor da Venda]]-(_xlfn.XLOOKUP(Vendas[[#This Row],[ID Item Vendido]],Agregado[ID],Agregado[Custo])*Vendas[[#This Row],[Qnt Vendida]])</f>
        <v>192</v>
      </c>
      <c r="K4729" s="70">
        <f>Vendas[[#This Row],[Lucro da Venda]]/Vendas[[#This Row],[Valor da Venda]]</f>
        <v>0.16666666666666666</v>
      </c>
      <c r="L4729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4729"/>
    </row>
    <row r="4730" spans="1:13" x14ac:dyDescent="0.3">
      <c r="A4730" s="7">
        <v>400253</v>
      </c>
      <c r="B4730" t="str">
        <f>_xlfn.XLOOKUP(Vendas[[#This Row],[ID Vendedor]],Vendedores[ID],Vendedores[Nome])</f>
        <v>Gustavo</v>
      </c>
      <c r="C4730" s="7" t="str">
        <f>_xlfn.XLOOKUP(Vendas[[#This Row],[ID Vendedor]],Vendedores[ID],Vendedores[Setor])</f>
        <v>SC</v>
      </c>
      <c r="D4730" s="7" t="s">
        <v>41</v>
      </c>
      <c r="E4730" t="str">
        <f>_xlfn.XLOOKUP(Vendas[[#This Row],[ID Item Vendido]],Agregado[ID],Agregado[Produto])</f>
        <v>Palete de madeira reforçado</v>
      </c>
      <c r="F4730" s="39">
        <v>45840</v>
      </c>
      <c r="G4730" s="7">
        <v>7</v>
      </c>
      <c r="H4730" s="3">
        <f>_xlfn.XLOOKUP(Vendas[[#This Row],[ID Item Vendido]],Agregado[ID],Agregado[Revenda])</f>
        <v>131</v>
      </c>
      <c r="I4730" s="3">
        <f>Vendas[[#This Row],[Valor Unitário]]*Vendas[[#This Row],[Qnt Vendida]]</f>
        <v>917</v>
      </c>
      <c r="J4730" s="3">
        <f>Vendas[[#This Row],[Valor da Venda]]-(_xlfn.XLOOKUP(Vendas[[#This Row],[ID Item Vendido]],Agregado[ID],Agregado[Custo])*Vendas[[#This Row],[Qnt Vendida]])</f>
        <v>147</v>
      </c>
      <c r="K4730" s="70">
        <f>Vendas[[#This Row],[Lucro da Venda]]/Vendas[[#This Row],[Valor da Venda]]</f>
        <v>0.16030534351145037</v>
      </c>
      <c r="L4730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4730"/>
    </row>
    <row r="4731" spans="1:13" x14ac:dyDescent="0.3">
      <c r="A4731" s="7">
        <v>400254</v>
      </c>
      <c r="B4731" t="str">
        <f>_xlfn.XLOOKUP(Vendas[[#This Row],[ID Vendedor]],Vendedores[ID],Vendedores[Nome])</f>
        <v>Beatriz</v>
      </c>
      <c r="C4731" s="7" t="str">
        <f>_xlfn.XLOOKUP(Vendas[[#This Row],[ID Vendedor]],Vendedores[ID],Vendedores[Setor])</f>
        <v>SC</v>
      </c>
      <c r="D4731" s="7" t="s">
        <v>42</v>
      </c>
      <c r="E4731" t="str">
        <f>_xlfn.XLOOKUP(Vendas[[#This Row],[ID Item Vendido]],Agregado[ID],Agregado[Produto])</f>
        <v>Container de ferro industrial</v>
      </c>
      <c r="F4731" s="39">
        <v>45841</v>
      </c>
      <c r="G4731" s="7">
        <v>5</v>
      </c>
      <c r="H4731" s="3">
        <f>_xlfn.XLOOKUP(Vendas[[#This Row],[ID Item Vendido]],Agregado[ID],Agregado[Revenda])</f>
        <v>830</v>
      </c>
      <c r="I4731" s="3">
        <f>Vendas[[#This Row],[Valor Unitário]]*Vendas[[#This Row],[Qnt Vendida]]</f>
        <v>4150</v>
      </c>
      <c r="J4731" s="3">
        <f>Vendas[[#This Row],[Valor da Venda]]-(_xlfn.XLOOKUP(Vendas[[#This Row],[ID Item Vendido]],Agregado[ID],Agregado[Custo])*Vendas[[#This Row],[Qnt Vendida]])</f>
        <v>750</v>
      </c>
      <c r="K4731" s="70">
        <f>Vendas[[#This Row],[Lucro da Venda]]/Vendas[[#This Row],[Valor da Venda]]</f>
        <v>0.18072289156626506</v>
      </c>
      <c r="L473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731"/>
    </row>
    <row r="4732" spans="1:13" x14ac:dyDescent="0.3">
      <c r="A4732" s="7">
        <v>400253</v>
      </c>
      <c r="B4732" t="str">
        <f>_xlfn.XLOOKUP(Vendas[[#This Row],[ID Vendedor]],Vendedores[ID],Vendedores[Nome])</f>
        <v>Gustavo</v>
      </c>
      <c r="C4732" s="7" t="str">
        <f>_xlfn.XLOOKUP(Vendas[[#This Row],[ID Vendedor]],Vendedores[ID],Vendedores[Setor])</f>
        <v>SC</v>
      </c>
      <c r="D4732" s="7" t="s">
        <v>42</v>
      </c>
      <c r="E4732" t="str">
        <f>_xlfn.XLOOKUP(Vendas[[#This Row],[ID Item Vendido]],Agregado[ID],Agregado[Produto])</f>
        <v>Container de ferro industrial</v>
      </c>
      <c r="F4732" s="39">
        <v>45841</v>
      </c>
      <c r="G4732" s="7">
        <v>3</v>
      </c>
      <c r="H4732" s="3">
        <f>_xlfn.XLOOKUP(Vendas[[#This Row],[ID Item Vendido]],Agregado[ID],Agregado[Revenda])</f>
        <v>830</v>
      </c>
      <c r="I4732" s="3">
        <f>Vendas[[#This Row],[Valor Unitário]]*Vendas[[#This Row],[Qnt Vendida]]</f>
        <v>2490</v>
      </c>
      <c r="J4732" s="3">
        <f>Vendas[[#This Row],[Valor da Venda]]-(_xlfn.XLOOKUP(Vendas[[#This Row],[ID Item Vendido]],Agregado[ID],Agregado[Custo])*Vendas[[#This Row],[Qnt Vendida]])</f>
        <v>450</v>
      </c>
      <c r="K4732" s="70">
        <f>Vendas[[#This Row],[Lucro da Venda]]/Vendas[[#This Row],[Valor da Venda]]</f>
        <v>0.18072289156626506</v>
      </c>
      <c r="L4732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732"/>
    </row>
    <row r="4733" spans="1:13" x14ac:dyDescent="0.3">
      <c r="A4733" s="7">
        <v>400255</v>
      </c>
      <c r="B4733" t="str">
        <f>_xlfn.XLOOKUP(Vendas[[#This Row],[ID Vendedor]],Vendedores[ID],Vendedores[Nome])</f>
        <v>Carlos</v>
      </c>
      <c r="C4733" s="7" t="str">
        <f>_xlfn.XLOOKUP(Vendas[[#This Row],[ID Vendedor]],Vendedores[ID],Vendedores[Setor])</f>
        <v>SC</v>
      </c>
      <c r="D4733" s="7" t="s">
        <v>48</v>
      </c>
      <c r="E4733" t="str">
        <f>_xlfn.XLOOKUP(Vendas[[#This Row],[ID Item Vendido]],Agregado[ID],Agregado[Produto])</f>
        <v>Tambor metálico 200L</v>
      </c>
      <c r="F4733" s="39">
        <v>45841</v>
      </c>
      <c r="G4733" s="7">
        <v>17</v>
      </c>
      <c r="H4733" s="3">
        <f>_xlfn.XLOOKUP(Vendas[[#This Row],[ID Item Vendido]],Agregado[ID],Agregado[Revenda])</f>
        <v>144</v>
      </c>
      <c r="I4733" s="3">
        <f>Vendas[[#This Row],[Valor Unitário]]*Vendas[[#This Row],[Qnt Vendida]]</f>
        <v>2448</v>
      </c>
      <c r="J4733" s="3">
        <f>Vendas[[#This Row],[Valor da Venda]]-(_xlfn.XLOOKUP(Vendas[[#This Row],[ID Item Vendido]],Agregado[ID],Agregado[Custo])*Vendas[[#This Row],[Qnt Vendida]])</f>
        <v>408</v>
      </c>
      <c r="K4733" s="70">
        <f>Vendas[[#This Row],[Lucro da Venda]]/Vendas[[#This Row],[Valor da Venda]]</f>
        <v>0.16666666666666666</v>
      </c>
      <c r="L4733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4733"/>
    </row>
    <row r="4734" spans="1:13" x14ac:dyDescent="0.3">
      <c r="A4734" s="7">
        <v>400246</v>
      </c>
      <c r="B4734" t="str">
        <f>_xlfn.XLOOKUP(Vendas[[#This Row],[ID Vendedor]],Vendedores[ID],Vendedores[Nome])</f>
        <v>Juliana</v>
      </c>
      <c r="C4734" s="7" t="str">
        <f>_xlfn.XLOOKUP(Vendas[[#This Row],[ID Vendedor]],Vendedores[ID],Vendedores[Setor])</f>
        <v>AHD</v>
      </c>
      <c r="D4734" s="7" t="s">
        <v>18</v>
      </c>
      <c r="E4734" t="str">
        <f>_xlfn.XLOOKUP(Vendas[[#This Row],[ID Item Vendido]],Agregado[ID],Agregado[Produto])</f>
        <v>Peça forjada sob encomenda</v>
      </c>
      <c r="F4734" s="39">
        <v>45841</v>
      </c>
      <c r="G4734" s="7">
        <v>3</v>
      </c>
      <c r="H4734" s="3">
        <f>_xlfn.XLOOKUP(Vendas[[#This Row],[ID Item Vendido]],Agregado[ID],Agregado[Revenda])</f>
        <v>264.60000000000002</v>
      </c>
      <c r="I4734" s="3">
        <f>Vendas[[#This Row],[Valor Unitário]]*Vendas[[#This Row],[Qnt Vendida]]</f>
        <v>793.80000000000007</v>
      </c>
      <c r="J4734" s="3">
        <f>Vendas[[#This Row],[Valor da Venda]]-(_xlfn.XLOOKUP(Vendas[[#This Row],[ID Item Vendido]],Agregado[ID],Agregado[Custo])*Vendas[[#This Row],[Qnt Vendida]])</f>
        <v>43.800000000000068</v>
      </c>
      <c r="K4734" s="70">
        <f>Vendas[[#This Row],[Lucro da Venda]]/Vendas[[#This Row],[Valor da Venda]]</f>
        <v>5.5177626606198113E-2</v>
      </c>
      <c r="L473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734"/>
    </row>
    <row r="4735" spans="1:13" x14ac:dyDescent="0.3">
      <c r="A4735" s="7">
        <v>400248</v>
      </c>
      <c r="B4735" t="str">
        <f>_xlfn.XLOOKUP(Vendas[[#This Row],[ID Vendedor]],Vendedores[ID],Vendedores[Nome])</f>
        <v>Patrícia</v>
      </c>
      <c r="C4735" s="7" t="str">
        <f>_xlfn.XLOOKUP(Vendas[[#This Row],[ID Vendedor]],Vendedores[ID],Vendedores[Setor])</f>
        <v>CM</v>
      </c>
      <c r="D4735" s="7" t="s">
        <v>45</v>
      </c>
      <c r="E4735" t="str">
        <f>_xlfn.XLOOKUP(Vendas[[#This Row],[ID Item Vendido]],Agregado[ID],Agregado[Produto])</f>
        <v>Viga de madeira tratada 4m</v>
      </c>
      <c r="F4735" s="39">
        <v>45842</v>
      </c>
      <c r="G4735" s="7">
        <v>20</v>
      </c>
      <c r="H4735" s="3">
        <f>_xlfn.XLOOKUP(Vendas[[#This Row],[ID Item Vendido]],Agregado[ID],Agregado[Revenda])</f>
        <v>66</v>
      </c>
      <c r="I4735" s="3">
        <f>Vendas[[#This Row],[Valor Unitário]]*Vendas[[#This Row],[Qnt Vendida]]</f>
        <v>1320</v>
      </c>
      <c r="J4735" s="3">
        <f>Vendas[[#This Row],[Valor da Venda]]-(_xlfn.XLOOKUP(Vendas[[#This Row],[ID Item Vendido]],Agregado[ID],Agregado[Custo])*Vendas[[#This Row],[Qnt Vendida]])</f>
        <v>220</v>
      </c>
      <c r="K4735" s="70">
        <f>Vendas[[#This Row],[Lucro da Venda]]/Vendas[[#This Row],[Valor da Venda]]</f>
        <v>0.16666666666666666</v>
      </c>
      <c r="L4735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4735"/>
    </row>
    <row r="4736" spans="1:13" x14ac:dyDescent="0.3">
      <c r="A4736" s="7">
        <v>400242</v>
      </c>
      <c r="B4736" t="str">
        <f>_xlfn.XLOOKUP(Vendas[[#This Row],[ID Vendedor]],Vendedores[ID],Vendedores[Nome])</f>
        <v>Fernanda</v>
      </c>
      <c r="C4736" s="7" t="str">
        <f>_xlfn.XLOOKUP(Vendas[[#This Row],[ID Vendedor]],Vendedores[ID],Vendedores[Setor])</f>
        <v>FM</v>
      </c>
      <c r="D4736" s="7" t="s">
        <v>6</v>
      </c>
      <c r="E4736" t="str">
        <f>_xlfn.XLOOKUP(Vendas[[#This Row],[ID Item Vendido]],Agregado[ID],Agregado[Produto])</f>
        <v>Parafuso comum 500un</v>
      </c>
      <c r="F4736" s="39">
        <v>45844</v>
      </c>
      <c r="G4736" s="7">
        <v>15</v>
      </c>
      <c r="H4736" s="3">
        <f>_xlfn.XLOOKUP(Vendas[[#This Row],[ID Item Vendido]],Agregado[ID],Agregado[Revenda])</f>
        <v>24.6</v>
      </c>
      <c r="I4736" s="3">
        <f>Vendas[[#This Row],[Valor Unitário]]*Vendas[[#This Row],[Qnt Vendida]]</f>
        <v>369</v>
      </c>
      <c r="J4736" s="3">
        <f>Vendas[[#This Row],[Valor da Venda]]-(_xlfn.XLOOKUP(Vendas[[#This Row],[ID Item Vendido]],Agregado[ID],Agregado[Custo])*Vendas[[#This Row],[Qnt Vendida]])</f>
        <v>39</v>
      </c>
      <c r="K4736" s="70">
        <f>Vendas[[#This Row],[Lucro da Venda]]/Vendas[[#This Row],[Valor da Venda]]</f>
        <v>0.10569105691056911</v>
      </c>
      <c r="L4736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4736"/>
    </row>
    <row r="4737" spans="1:13" x14ac:dyDescent="0.3">
      <c r="A4737" s="7">
        <v>400248</v>
      </c>
      <c r="B4737" t="str">
        <f>_xlfn.XLOOKUP(Vendas[[#This Row],[ID Vendedor]],Vendedores[ID],Vendedores[Nome])</f>
        <v>Patrícia</v>
      </c>
      <c r="C4737" s="7" t="str">
        <f>_xlfn.XLOOKUP(Vendas[[#This Row],[ID Vendedor]],Vendedores[ID],Vendedores[Setor])</f>
        <v>CM</v>
      </c>
      <c r="D4737" s="7" t="s">
        <v>22</v>
      </c>
      <c r="E4737" t="str">
        <f>_xlfn.XLOOKUP(Vendas[[#This Row],[ID Item Vendido]],Agregado[ID],Agregado[Produto])</f>
        <v>Painel MDP 2,75x1,83m</v>
      </c>
      <c r="F4737" s="39">
        <v>45845</v>
      </c>
      <c r="G4737" s="7">
        <v>16</v>
      </c>
      <c r="H4737" s="3">
        <f>_xlfn.XLOOKUP(Vendas[[#This Row],[ID Item Vendido]],Agregado[ID],Agregado[Revenda])</f>
        <v>119</v>
      </c>
      <c r="I4737" s="3">
        <f>Vendas[[#This Row],[Valor Unitário]]*Vendas[[#This Row],[Qnt Vendida]]</f>
        <v>1904</v>
      </c>
      <c r="J4737" s="3">
        <f>Vendas[[#This Row],[Valor da Venda]]-(_xlfn.XLOOKUP(Vendas[[#This Row],[ID Item Vendido]],Agregado[ID],Agregado[Custo])*Vendas[[#This Row],[Qnt Vendida]])</f>
        <v>384</v>
      </c>
      <c r="K4737" s="70">
        <f>Vendas[[#This Row],[Lucro da Venda]]/Vendas[[#This Row],[Valor da Venda]]</f>
        <v>0.20168067226890757</v>
      </c>
      <c r="L4737" s="3">
        <f>_xlfn.IFS(Vendas[[#This Row],[Margem de Lucro (%)]]&lt;15%,Vendas[[#This Row],[Valor da Venda]]*3%,Vendas[[#This Row],[Margem de Lucro (%)]]&lt;=20%,Vendas[[#This Row],[Valor da Venda]]*4.5%,TRUE,Vendas[[#This Row],[Valor da Venda]]*6%)</f>
        <v>114.24</v>
      </c>
      <c r="M4737"/>
    </row>
    <row r="4738" spans="1:13" x14ac:dyDescent="0.3">
      <c r="A4738" s="7">
        <v>400247</v>
      </c>
      <c r="B4738" t="str">
        <f>_xlfn.XLOOKUP(Vendas[[#This Row],[ID Vendedor]],Vendedores[ID],Vendedores[Nome])</f>
        <v>André</v>
      </c>
      <c r="C4738" s="7" t="str">
        <f>_xlfn.XLOOKUP(Vendas[[#This Row],[ID Vendedor]],Vendedores[ID],Vendedores[Setor])</f>
        <v>CM</v>
      </c>
      <c r="D4738" s="7" t="s">
        <v>22</v>
      </c>
      <c r="E4738" t="str">
        <f>_xlfn.XLOOKUP(Vendas[[#This Row],[ID Item Vendido]],Agregado[ID],Agregado[Produto])</f>
        <v>Painel MDP 2,75x1,83m</v>
      </c>
      <c r="F4738" s="39">
        <v>45845</v>
      </c>
      <c r="G4738" s="7">
        <v>15</v>
      </c>
      <c r="H4738" s="3">
        <f>_xlfn.XLOOKUP(Vendas[[#This Row],[ID Item Vendido]],Agregado[ID],Agregado[Revenda])</f>
        <v>119</v>
      </c>
      <c r="I4738" s="3">
        <f>Vendas[[#This Row],[Valor Unitário]]*Vendas[[#This Row],[Qnt Vendida]]</f>
        <v>1785</v>
      </c>
      <c r="J4738" s="3">
        <f>Vendas[[#This Row],[Valor da Venda]]-(_xlfn.XLOOKUP(Vendas[[#This Row],[ID Item Vendido]],Agregado[ID],Agregado[Custo])*Vendas[[#This Row],[Qnt Vendida]])</f>
        <v>360</v>
      </c>
      <c r="K4738" s="70">
        <f>Vendas[[#This Row],[Lucro da Venda]]/Vendas[[#This Row],[Valor da Venda]]</f>
        <v>0.20168067226890757</v>
      </c>
      <c r="L4738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4738"/>
    </row>
    <row r="4739" spans="1:13" x14ac:dyDescent="0.3">
      <c r="A4739" s="7">
        <v>400255</v>
      </c>
      <c r="B4739" t="str">
        <f>_xlfn.XLOOKUP(Vendas[[#This Row],[ID Vendedor]],Vendedores[ID],Vendedores[Nome])</f>
        <v>Carlos</v>
      </c>
      <c r="C4739" s="7" t="str">
        <f>_xlfn.XLOOKUP(Vendas[[#This Row],[ID Vendedor]],Vendedores[ID],Vendedores[Setor])</f>
        <v>SC</v>
      </c>
      <c r="D4739" s="7" t="s">
        <v>14</v>
      </c>
      <c r="E4739" t="str">
        <f>_xlfn.XLOOKUP(Vendas[[#This Row],[ID Item Vendido]],Agregado[ID],Agregado[Produto])</f>
        <v>Barril de plástico 200L</v>
      </c>
      <c r="F4739" s="39">
        <v>45845</v>
      </c>
      <c r="G4739" s="7">
        <v>8</v>
      </c>
      <c r="H4739" s="3">
        <f>_xlfn.XLOOKUP(Vendas[[#This Row],[ID Item Vendido]],Agregado[ID],Agregado[Revenda])</f>
        <v>114</v>
      </c>
      <c r="I4739" s="3">
        <f>Vendas[[#This Row],[Valor Unitário]]*Vendas[[#This Row],[Qnt Vendida]]</f>
        <v>912</v>
      </c>
      <c r="J4739" s="3">
        <f>Vendas[[#This Row],[Valor da Venda]]-(_xlfn.XLOOKUP(Vendas[[#This Row],[ID Item Vendido]],Agregado[ID],Agregado[Custo])*Vendas[[#This Row],[Qnt Vendida]])</f>
        <v>152</v>
      </c>
      <c r="K4739" s="70">
        <f>Vendas[[#This Row],[Lucro da Venda]]/Vendas[[#This Row],[Valor da Venda]]</f>
        <v>0.16666666666666666</v>
      </c>
      <c r="L4739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4739"/>
    </row>
    <row r="4740" spans="1:13" x14ac:dyDescent="0.3">
      <c r="A4740" s="7">
        <v>400243</v>
      </c>
      <c r="B4740" t="str">
        <f>_xlfn.XLOOKUP(Vendas[[#This Row],[ID Vendedor]],Vendedores[ID],Vendedores[Nome])</f>
        <v>Marcelo</v>
      </c>
      <c r="C4740" s="7" t="str">
        <f>_xlfn.XLOOKUP(Vendas[[#This Row],[ID Vendedor]],Vendedores[ID],Vendedores[Setor])</f>
        <v>FM</v>
      </c>
      <c r="D4740" s="7" t="s">
        <v>47</v>
      </c>
      <c r="E4740" t="str">
        <f>_xlfn.XLOOKUP(Vendas[[#This Row],[ID Item Vendido]],Agregado[ID],Agregado[Produto])</f>
        <v>Fio de arame galvanizado rolo 50m</v>
      </c>
      <c r="F4740" s="39">
        <v>45845</v>
      </c>
      <c r="G4740" s="7">
        <v>23</v>
      </c>
      <c r="H4740" s="3">
        <f>_xlfn.XLOOKUP(Vendas[[#This Row],[ID Item Vendido]],Agregado[ID],Agregado[Revenda])</f>
        <v>21.2</v>
      </c>
      <c r="I4740" s="3">
        <f>Vendas[[#This Row],[Valor Unitário]]*Vendas[[#This Row],[Qnt Vendida]]</f>
        <v>487.59999999999997</v>
      </c>
      <c r="J4740" s="3">
        <f>Vendas[[#This Row],[Valor da Venda]]-(_xlfn.XLOOKUP(Vendas[[#This Row],[ID Item Vendido]],Agregado[ID],Agregado[Custo])*Vendas[[#This Row],[Qnt Vendida]])</f>
        <v>73.599999999999966</v>
      </c>
      <c r="K4740" s="70">
        <f>Vendas[[#This Row],[Lucro da Venda]]/Vendas[[#This Row],[Valor da Venda]]</f>
        <v>0.15094339622641503</v>
      </c>
      <c r="L4740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4740"/>
    </row>
    <row r="4741" spans="1:13" x14ac:dyDescent="0.3">
      <c r="A4741" s="7">
        <v>400243</v>
      </c>
      <c r="B4741" t="str">
        <f>_xlfn.XLOOKUP(Vendas[[#This Row],[ID Vendedor]],Vendedores[ID],Vendedores[Nome])</f>
        <v>Marcelo</v>
      </c>
      <c r="C4741" s="7" t="str">
        <f>_xlfn.XLOOKUP(Vendas[[#This Row],[ID Vendedor]],Vendedores[ID],Vendedores[Setor])</f>
        <v>FM</v>
      </c>
      <c r="D4741" s="7" t="s">
        <v>31</v>
      </c>
      <c r="E4741" t="str">
        <f>_xlfn.XLOOKUP(Vendas[[#This Row],[ID Item Vendido]],Agregado[ID],Agregado[Produto])</f>
        <v>Tela de metal soldada rolo 2x25m</v>
      </c>
      <c r="F4741" s="39">
        <v>45845</v>
      </c>
      <c r="G4741" s="7">
        <v>11</v>
      </c>
      <c r="H4741" s="3">
        <f>_xlfn.XLOOKUP(Vendas[[#This Row],[ID Item Vendido]],Agregado[ID],Agregado[Revenda])</f>
        <v>43.7</v>
      </c>
      <c r="I4741" s="3">
        <f>Vendas[[#This Row],[Valor Unitário]]*Vendas[[#This Row],[Qnt Vendida]]</f>
        <v>480.70000000000005</v>
      </c>
      <c r="J4741" s="3">
        <f>Vendas[[#This Row],[Valor da Venda]]-(_xlfn.XLOOKUP(Vendas[[#This Row],[ID Item Vendido]],Agregado[ID],Agregado[Custo])*Vendas[[#This Row],[Qnt Vendida]])</f>
        <v>62.700000000000045</v>
      </c>
      <c r="K4741" s="70">
        <f>Vendas[[#This Row],[Lucro da Venda]]/Vendas[[#This Row],[Valor da Venda]]</f>
        <v>0.13043478260869573</v>
      </c>
      <c r="L4741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4741"/>
    </row>
    <row r="4742" spans="1:13" x14ac:dyDescent="0.3">
      <c r="A4742" s="7">
        <v>400250</v>
      </c>
      <c r="B4742" t="str">
        <f>_xlfn.XLOOKUP(Vendas[[#This Row],[ID Vendedor]],Vendedores[ID],Vendedores[Nome])</f>
        <v>Larissa</v>
      </c>
      <c r="C4742" s="7" t="str">
        <f>_xlfn.XLOOKUP(Vendas[[#This Row],[ID Vendedor]],Vendedores[ID],Vendedores[Setor])</f>
        <v>AB</v>
      </c>
      <c r="D4742" s="7" t="s">
        <v>12</v>
      </c>
      <c r="E4742" t="str">
        <f>_xlfn.XLOOKUP(Vendas[[#This Row],[ID Item Vendido]],Agregado[ID],Agregado[Produto])</f>
        <v>Grânulo de plástico reciclado refinado</v>
      </c>
      <c r="F4742" s="39">
        <v>45845</v>
      </c>
      <c r="G4742" s="7">
        <v>49</v>
      </c>
      <c r="H4742" s="3">
        <f>_xlfn.XLOOKUP(Vendas[[#This Row],[ID Item Vendido]],Agregado[ID],Agregado[Revenda])</f>
        <v>4.7</v>
      </c>
      <c r="I4742" s="3">
        <f>Vendas[[#This Row],[Valor Unitário]]*Vendas[[#This Row],[Qnt Vendida]]</f>
        <v>230.3</v>
      </c>
      <c r="J4742" s="3">
        <f>Vendas[[#This Row],[Valor da Venda]]-(_xlfn.XLOOKUP(Vendas[[#This Row],[ID Item Vendido]],Agregado[ID],Agregado[Custo])*Vendas[[#This Row],[Qnt Vendida]])</f>
        <v>58.800000000000011</v>
      </c>
      <c r="K4742" s="70">
        <f>Vendas[[#This Row],[Lucro da Venda]]/Vendas[[#This Row],[Valor da Venda]]</f>
        <v>0.25531914893617025</v>
      </c>
      <c r="L4742" s="3">
        <f>_xlfn.IFS(Vendas[[#This Row],[Margem de Lucro (%)]]&lt;15%,Vendas[[#This Row],[Valor da Venda]]*3%,Vendas[[#This Row],[Margem de Lucro (%)]]&lt;=20%,Vendas[[#This Row],[Valor da Venda]]*4.5%,TRUE,Vendas[[#This Row],[Valor da Venda]]*6%)</f>
        <v>13.818</v>
      </c>
      <c r="M4742"/>
    </row>
    <row r="4743" spans="1:13" x14ac:dyDescent="0.3">
      <c r="A4743" s="7">
        <v>400250</v>
      </c>
      <c r="B4743" t="str">
        <f>_xlfn.XLOOKUP(Vendas[[#This Row],[ID Vendedor]],Vendedores[ID],Vendedores[Nome])</f>
        <v>Larissa</v>
      </c>
      <c r="C4743" s="7" t="str">
        <f>_xlfn.XLOOKUP(Vendas[[#This Row],[ID Vendedor]],Vendedores[ID],Vendedores[Setor])</f>
        <v>AB</v>
      </c>
      <c r="D4743" s="7" t="s">
        <v>37</v>
      </c>
      <c r="E4743" t="str">
        <f>_xlfn.XLOOKUP(Vendas[[#This Row],[ID Item Vendido]],Agregado[ID],Agregado[Produto])</f>
        <v>Composto de borracha para vedação rolo 10m</v>
      </c>
      <c r="F4743" s="39">
        <v>45846</v>
      </c>
      <c r="G4743" s="7">
        <v>23</v>
      </c>
      <c r="H4743" s="3">
        <f>_xlfn.XLOOKUP(Vendas[[#This Row],[ID Item Vendido]],Agregado[ID],Agregado[Revenda])</f>
        <v>51.2</v>
      </c>
      <c r="I4743" s="3">
        <f>Vendas[[#This Row],[Valor Unitário]]*Vendas[[#This Row],[Qnt Vendida]]</f>
        <v>1177.6000000000001</v>
      </c>
      <c r="J4743" s="3">
        <f>Vendas[[#This Row],[Valor da Venda]]-(_xlfn.XLOOKUP(Vendas[[#This Row],[ID Item Vendido]],Agregado[ID],Agregado[Custo])*Vendas[[#This Row],[Qnt Vendida]])</f>
        <v>257.60000000000014</v>
      </c>
      <c r="K4743" s="70">
        <f>Vendas[[#This Row],[Lucro da Venda]]/Vendas[[#This Row],[Valor da Venda]]</f>
        <v>0.21875000000000008</v>
      </c>
      <c r="L4743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4743"/>
    </row>
    <row r="4744" spans="1:13" x14ac:dyDescent="0.3">
      <c r="A4744" s="7">
        <v>400251</v>
      </c>
      <c r="B4744" t="str">
        <f>_xlfn.XLOOKUP(Vendas[[#This Row],[ID Vendedor]],Vendedores[ID],Vendedores[Nome])</f>
        <v>Diego</v>
      </c>
      <c r="C4744" s="7" t="str">
        <f>_xlfn.XLOOKUP(Vendas[[#This Row],[ID Vendedor]],Vendedores[ID],Vendedores[Setor])</f>
        <v>AB</v>
      </c>
      <c r="D4744" s="7" t="s">
        <v>37</v>
      </c>
      <c r="E4744" t="str">
        <f>_xlfn.XLOOKUP(Vendas[[#This Row],[ID Item Vendido]],Agregado[ID],Agregado[Produto])</f>
        <v>Composto de borracha para vedação rolo 10m</v>
      </c>
      <c r="F4744" s="39">
        <v>45846</v>
      </c>
      <c r="G4744" s="7">
        <v>18</v>
      </c>
      <c r="H4744" s="3">
        <f>_xlfn.XLOOKUP(Vendas[[#This Row],[ID Item Vendido]],Agregado[ID],Agregado[Revenda])</f>
        <v>51.2</v>
      </c>
      <c r="I4744" s="3">
        <f>Vendas[[#This Row],[Valor Unitário]]*Vendas[[#This Row],[Qnt Vendida]]</f>
        <v>921.6</v>
      </c>
      <c r="J4744" s="3">
        <f>Vendas[[#This Row],[Valor da Venda]]-(_xlfn.XLOOKUP(Vendas[[#This Row],[ID Item Vendido]],Agregado[ID],Agregado[Custo])*Vendas[[#This Row],[Qnt Vendida]])</f>
        <v>201.60000000000002</v>
      </c>
      <c r="K4744" s="70">
        <f>Vendas[[#This Row],[Lucro da Venda]]/Vendas[[#This Row],[Valor da Venda]]</f>
        <v>0.21875000000000003</v>
      </c>
      <c r="L4744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4744"/>
    </row>
    <row r="4745" spans="1:13" x14ac:dyDescent="0.3">
      <c r="A4745" s="7">
        <v>400252</v>
      </c>
      <c r="B4745" t="str">
        <f>_xlfn.XLOOKUP(Vendas[[#This Row],[ID Vendedor]],Vendedores[ID],Vendedores[Nome])</f>
        <v>Renata</v>
      </c>
      <c r="C4745" s="7" t="str">
        <f>_xlfn.XLOOKUP(Vendas[[#This Row],[ID Vendedor]],Vendedores[ID],Vendedores[Setor])</f>
        <v>AB</v>
      </c>
      <c r="D4745" s="7" t="s">
        <v>12</v>
      </c>
      <c r="E4745" t="str">
        <f>_xlfn.XLOOKUP(Vendas[[#This Row],[ID Item Vendido]],Agregado[ID],Agregado[Produto])</f>
        <v>Grânulo de plástico reciclado refinado</v>
      </c>
      <c r="F4745" s="39">
        <v>45846</v>
      </c>
      <c r="G4745" s="7">
        <v>122</v>
      </c>
      <c r="H4745" s="3">
        <f>_xlfn.XLOOKUP(Vendas[[#This Row],[ID Item Vendido]],Agregado[ID],Agregado[Revenda])</f>
        <v>4.7</v>
      </c>
      <c r="I4745" s="3">
        <f>Vendas[[#This Row],[Valor Unitário]]*Vendas[[#This Row],[Qnt Vendida]]</f>
        <v>573.4</v>
      </c>
      <c r="J4745" s="3">
        <f>Vendas[[#This Row],[Valor da Venda]]-(_xlfn.XLOOKUP(Vendas[[#This Row],[ID Item Vendido]],Agregado[ID],Agregado[Custo])*Vendas[[#This Row],[Qnt Vendida]])</f>
        <v>146.39999999999998</v>
      </c>
      <c r="K4745" s="70">
        <f>Vendas[[#This Row],[Lucro da Venda]]/Vendas[[#This Row],[Valor da Venda]]</f>
        <v>0.25531914893617019</v>
      </c>
      <c r="L4745" s="3">
        <f>_xlfn.IFS(Vendas[[#This Row],[Margem de Lucro (%)]]&lt;15%,Vendas[[#This Row],[Valor da Venda]]*3%,Vendas[[#This Row],[Margem de Lucro (%)]]&lt;=20%,Vendas[[#This Row],[Valor da Venda]]*4.5%,TRUE,Vendas[[#This Row],[Valor da Venda]]*6%)</f>
        <v>34.403999999999996</v>
      </c>
      <c r="M4745"/>
    </row>
    <row r="4746" spans="1:13" x14ac:dyDescent="0.3">
      <c r="A4746" s="7">
        <v>400245</v>
      </c>
      <c r="B4746" t="str">
        <f>_xlfn.XLOOKUP(Vendas[[#This Row],[ID Vendedor]],Vendedores[ID],Vendedores[Nome])</f>
        <v>Thiago</v>
      </c>
      <c r="C4746" s="7" t="str">
        <f>_xlfn.XLOOKUP(Vendas[[#This Row],[ID Vendedor]],Vendedores[ID],Vendedores[Setor])</f>
        <v>AHD</v>
      </c>
      <c r="D4746" s="7" t="s">
        <v>44</v>
      </c>
      <c r="E4746" t="str">
        <f>_xlfn.XLOOKUP(Vendas[[#This Row],[ID Item Vendido]],Agregado[ID],Agregado[Produto])</f>
        <v>Liga metálica especial</v>
      </c>
      <c r="F4746" s="39">
        <v>45847</v>
      </c>
      <c r="G4746" s="7">
        <v>29</v>
      </c>
      <c r="H4746" s="3">
        <f>_xlfn.XLOOKUP(Vendas[[#This Row],[ID Item Vendido]],Agregado[ID],Agregado[Revenda])</f>
        <v>32.5</v>
      </c>
      <c r="I4746" s="3">
        <f>Vendas[[#This Row],[Valor Unitário]]*Vendas[[#This Row],[Qnt Vendida]]</f>
        <v>942.5</v>
      </c>
      <c r="J4746" s="3">
        <f>Vendas[[#This Row],[Valor da Venda]]-(_xlfn.XLOOKUP(Vendas[[#This Row],[ID Item Vendido]],Agregado[ID],Agregado[Custo])*Vendas[[#This Row],[Qnt Vendida]])</f>
        <v>217.5</v>
      </c>
      <c r="K4746" s="70">
        <f>Vendas[[#This Row],[Lucro da Venda]]/Vendas[[#This Row],[Valor da Venda]]</f>
        <v>0.23076923076923078</v>
      </c>
      <c r="L4746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4746"/>
    </row>
    <row r="4747" spans="1:13" x14ac:dyDescent="0.3">
      <c r="A4747" s="7">
        <v>400253</v>
      </c>
      <c r="B4747" t="str">
        <f>_xlfn.XLOOKUP(Vendas[[#This Row],[ID Vendedor]],Vendedores[ID],Vendedores[Nome])</f>
        <v>Gustavo</v>
      </c>
      <c r="C4747" s="7" t="str">
        <f>_xlfn.XLOOKUP(Vendas[[#This Row],[ID Vendedor]],Vendedores[ID],Vendedores[Setor])</f>
        <v>SC</v>
      </c>
      <c r="D4747" s="7" t="s">
        <v>48</v>
      </c>
      <c r="E4747" t="str">
        <f>_xlfn.XLOOKUP(Vendas[[#This Row],[ID Item Vendido]],Agregado[ID],Agregado[Produto])</f>
        <v>Tambor metálico 200L</v>
      </c>
      <c r="F4747" s="39">
        <v>45848</v>
      </c>
      <c r="G4747" s="7">
        <v>12</v>
      </c>
      <c r="H4747" s="3">
        <f>_xlfn.XLOOKUP(Vendas[[#This Row],[ID Item Vendido]],Agregado[ID],Agregado[Revenda])</f>
        <v>144</v>
      </c>
      <c r="I4747" s="3">
        <f>Vendas[[#This Row],[Valor Unitário]]*Vendas[[#This Row],[Qnt Vendida]]</f>
        <v>1728</v>
      </c>
      <c r="J4747" s="3">
        <f>Vendas[[#This Row],[Valor da Venda]]-(_xlfn.XLOOKUP(Vendas[[#This Row],[ID Item Vendido]],Agregado[ID],Agregado[Custo])*Vendas[[#This Row],[Qnt Vendida]])</f>
        <v>288</v>
      </c>
      <c r="K4747" s="70">
        <f>Vendas[[#This Row],[Lucro da Venda]]/Vendas[[#This Row],[Valor da Venda]]</f>
        <v>0.16666666666666666</v>
      </c>
      <c r="L4747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4747"/>
    </row>
    <row r="4748" spans="1:13" x14ac:dyDescent="0.3">
      <c r="A4748" s="7">
        <v>400246</v>
      </c>
      <c r="B4748" t="str">
        <f>_xlfn.XLOOKUP(Vendas[[#This Row],[ID Vendedor]],Vendedores[ID],Vendedores[Nome])</f>
        <v>Juliana</v>
      </c>
      <c r="C4748" s="7" t="str">
        <f>_xlfn.XLOOKUP(Vendas[[#This Row],[ID Vendedor]],Vendedores[ID],Vendedores[Setor])</f>
        <v>AHD</v>
      </c>
      <c r="D4748" s="7" t="s">
        <v>30</v>
      </c>
      <c r="E4748" t="str">
        <f>_xlfn.XLOOKUP(Vendas[[#This Row],[ID Item Vendido]],Agregado[ID],Agregado[Produto])</f>
        <v>Estrutura metálica soldada</v>
      </c>
      <c r="F4748" s="39">
        <v>45849</v>
      </c>
      <c r="G4748" s="7">
        <v>2</v>
      </c>
      <c r="H4748" s="3">
        <f>_xlfn.XLOOKUP(Vendas[[#This Row],[ID Item Vendido]],Agregado[ID],Agregado[Revenda])</f>
        <v>400</v>
      </c>
      <c r="I4748" s="3">
        <f>Vendas[[#This Row],[Valor Unitário]]*Vendas[[#This Row],[Qnt Vendida]]</f>
        <v>800</v>
      </c>
      <c r="J4748" s="3">
        <f>Vendas[[#This Row],[Valor da Venda]]-(_xlfn.XLOOKUP(Vendas[[#This Row],[ID Item Vendido]],Agregado[ID],Agregado[Custo])*Vendas[[#This Row],[Qnt Vendida]])</f>
        <v>160</v>
      </c>
      <c r="K4748" s="70">
        <f>Vendas[[#This Row],[Lucro da Venda]]/Vendas[[#This Row],[Valor da Venda]]</f>
        <v>0.2</v>
      </c>
      <c r="L4748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4748"/>
    </row>
    <row r="4749" spans="1:13" x14ac:dyDescent="0.3">
      <c r="A4749" s="7">
        <v>400252</v>
      </c>
      <c r="B4749" t="str">
        <f>_xlfn.XLOOKUP(Vendas[[#This Row],[ID Vendedor]],Vendedores[ID],Vendedores[Nome])</f>
        <v>Renata</v>
      </c>
      <c r="C4749" s="7" t="str">
        <f>_xlfn.XLOOKUP(Vendas[[#This Row],[ID Vendedor]],Vendedores[ID],Vendedores[Setor])</f>
        <v>AB</v>
      </c>
      <c r="D4749" s="7" t="s">
        <v>39</v>
      </c>
      <c r="E4749" t="str">
        <f>_xlfn.XLOOKUP(Vendas[[#This Row],[ID Item Vendido]],Agregado[ID],Agregado[Produto])</f>
        <v>Filme plástico industrial rolo 50m</v>
      </c>
      <c r="F4749" s="39">
        <v>45849</v>
      </c>
      <c r="G4749" s="7">
        <v>10</v>
      </c>
      <c r="H4749" s="3">
        <f>_xlfn.XLOOKUP(Vendas[[#This Row],[ID Item Vendido]],Agregado[ID],Agregado[Revenda])</f>
        <v>37</v>
      </c>
      <c r="I4749" s="3">
        <f>Vendas[[#This Row],[Valor Unitário]]*Vendas[[#This Row],[Qnt Vendida]]</f>
        <v>370</v>
      </c>
      <c r="J4749" s="3">
        <f>Vendas[[#This Row],[Valor da Venda]]-(_xlfn.XLOOKUP(Vendas[[#This Row],[ID Item Vendido]],Agregado[ID],Agregado[Custo])*Vendas[[#This Row],[Qnt Vendida]])</f>
        <v>90</v>
      </c>
      <c r="K4749" s="70">
        <f>Vendas[[#This Row],[Lucro da Venda]]/Vendas[[#This Row],[Valor da Venda]]</f>
        <v>0.24324324324324326</v>
      </c>
      <c r="L4749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4749"/>
    </row>
    <row r="4750" spans="1:13" x14ac:dyDescent="0.3">
      <c r="A4750" s="7">
        <v>400248</v>
      </c>
      <c r="B4750" t="str">
        <f>_xlfn.XLOOKUP(Vendas[[#This Row],[ID Vendedor]],Vendedores[ID],Vendedores[Nome])</f>
        <v>Patrícia</v>
      </c>
      <c r="C4750" s="7" t="str">
        <f>_xlfn.XLOOKUP(Vendas[[#This Row],[ID Vendedor]],Vendedores[ID],Vendedores[Setor])</f>
        <v>CM</v>
      </c>
      <c r="D4750" s="7" t="s">
        <v>32</v>
      </c>
      <c r="E4750" t="str">
        <f>_xlfn.XLOOKUP(Vendas[[#This Row],[ID Item Vendido]],Agregado[ID],Agregado[Produto])</f>
        <v>Tábua tratada e cortada 3m</v>
      </c>
      <c r="F4750" s="39">
        <v>45850</v>
      </c>
      <c r="G4750" s="7">
        <v>39</v>
      </c>
      <c r="H4750" s="3">
        <f>_xlfn.XLOOKUP(Vendas[[#This Row],[ID Item Vendido]],Agregado[ID],Agregado[Revenda])</f>
        <v>39</v>
      </c>
      <c r="I4750" s="3">
        <f>Vendas[[#This Row],[Valor Unitário]]*Vendas[[#This Row],[Qnt Vendida]]</f>
        <v>1521</v>
      </c>
      <c r="J4750" s="3">
        <f>Vendas[[#This Row],[Valor da Venda]]-(_xlfn.XLOOKUP(Vendas[[#This Row],[ID Item Vendido]],Agregado[ID],Agregado[Custo])*Vendas[[#This Row],[Qnt Vendida]])</f>
        <v>273</v>
      </c>
      <c r="K4750" s="70">
        <f>Vendas[[#This Row],[Lucro da Venda]]/Vendas[[#This Row],[Valor da Venda]]</f>
        <v>0.17948717948717949</v>
      </c>
      <c r="L4750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4750"/>
    </row>
    <row r="4751" spans="1:13" x14ac:dyDescent="0.3">
      <c r="A4751" s="7">
        <v>400247</v>
      </c>
      <c r="B4751" t="str">
        <f>_xlfn.XLOOKUP(Vendas[[#This Row],[ID Vendedor]],Vendedores[ID],Vendedores[Nome])</f>
        <v>André</v>
      </c>
      <c r="C4751" s="7" t="str">
        <f>_xlfn.XLOOKUP(Vendas[[#This Row],[ID Vendedor]],Vendedores[ID],Vendedores[Setor])</f>
        <v>CM</v>
      </c>
      <c r="D4751" s="7" t="s">
        <v>22</v>
      </c>
      <c r="E4751" t="str">
        <f>_xlfn.XLOOKUP(Vendas[[#This Row],[ID Item Vendido]],Agregado[ID],Agregado[Produto])</f>
        <v>Painel MDP 2,75x1,83m</v>
      </c>
      <c r="F4751" s="39">
        <v>45850</v>
      </c>
      <c r="G4751" s="7">
        <v>12</v>
      </c>
      <c r="H4751" s="3">
        <f>_xlfn.XLOOKUP(Vendas[[#This Row],[ID Item Vendido]],Agregado[ID],Agregado[Revenda])</f>
        <v>119</v>
      </c>
      <c r="I4751" s="3">
        <f>Vendas[[#This Row],[Valor Unitário]]*Vendas[[#This Row],[Qnt Vendida]]</f>
        <v>1428</v>
      </c>
      <c r="J4751" s="3">
        <f>Vendas[[#This Row],[Valor da Venda]]-(_xlfn.XLOOKUP(Vendas[[#This Row],[ID Item Vendido]],Agregado[ID],Agregado[Custo])*Vendas[[#This Row],[Qnt Vendida]])</f>
        <v>288</v>
      </c>
      <c r="K4751" s="70">
        <f>Vendas[[#This Row],[Lucro da Venda]]/Vendas[[#This Row],[Valor da Venda]]</f>
        <v>0.20168067226890757</v>
      </c>
      <c r="L4751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751"/>
    </row>
    <row r="4752" spans="1:13" x14ac:dyDescent="0.3">
      <c r="A4752" s="7">
        <v>400242</v>
      </c>
      <c r="B4752" t="str">
        <f>_xlfn.XLOOKUP(Vendas[[#This Row],[ID Vendedor]],Vendedores[ID],Vendedores[Nome])</f>
        <v>Fernanda</v>
      </c>
      <c r="C4752" s="7" t="str">
        <f>_xlfn.XLOOKUP(Vendas[[#This Row],[ID Vendedor]],Vendedores[ID],Vendedores[Setor])</f>
        <v>FM</v>
      </c>
      <c r="D4752" s="7" t="s">
        <v>6</v>
      </c>
      <c r="E4752" t="str">
        <f>_xlfn.XLOOKUP(Vendas[[#This Row],[ID Item Vendido]],Agregado[ID],Agregado[Produto])</f>
        <v>Parafuso comum 500un</v>
      </c>
      <c r="F4752" s="39">
        <v>45850</v>
      </c>
      <c r="G4752" s="7">
        <v>7</v>
      </c>
      <c r="H4752" s="3">
        <f>_xlfn.XLOOKUP(Vendas[[#This Row],[ID Item Vendido]],Agregado[ID],Agregado[Revenda])</f>
        <v>24.6</v>
      </c>
      <c r="I4752" s="3">
        <f>Vendas[[#This Row],[Valor Unitário]]*Vendas[[#This Row],[Qnt Vendida]]</f>
        <v>172.20000000000002</v>
      </c>
      <c r="J4752" s="3">
        <f>Vendas[[#This Row],[Valor da Venda]]-(_xlfn.XLOOKUP(Vendas[[#This Row],[ID Item Vendido]],Agregado[ID],Agregado[Custo])*Vendas[[#This Row],[Qnt Vendida]])</f>
        <v>18.200000000000017</v>
      </c>
      <c r="K4752" s="70">
        <f>Vendas[[#This Row],[Lucro da Venda]]/Vendas[[#This Row],[Valor da Venda]]</f>
        <v>0.10569105691056919</v>
      </c>
      <c r="L4752" s="3">
        <f>_xlfn.IFS(Vendas[[#This Row],[Margem de Lucro (%)]]&lt;15%,Vendas[[#This Row],[Valor da Venda]]*3%,Vendas[[#This Row],[Margem de Lucro (%)]]&lt;=20%,Vendas[[#This Row],[Valor da Venda]]*4.5%,TRUE,Vendas[[#This Row],[Valor da Venda]]*6%)</f>
        <v>5.1660000000000004</v>
      </c>
      <c r="M4752"/>
    </row>
    <row r="4753" spans="1:13" x14ac:dyDescent="0.3">
      <c r="A4753" s="7">
        <v>400249</v>
      </c>
      <c r="B4753" t="str">
        <f>_xlfn.XLOOKUP(Vendas[[#This Row],[ID Vendedor]],Vendedores[ID],Vendedores[Nome])</f>
        <v>Bruno</v>
      </c>
      <c r="C4753" s="7" t="str">
        <f>_xlfn.XLOOKUP(Vendas[[#This Row],[ID Vendedor]],Vendedores[ID],Vendedores[Setor])</f>
        <v>CM</v>
      </c>
      <c r="D4753" s="7" t="s">
        <v>43</v>
      </c>
      <c r="E4753" t="str">
        <f>_xlfn.XLOOKUP(Vendas[[#This Row],[ID Item Vendido]],Agregado[ID],Agregado[Produto])</f>
        <v>Madeira Bruta (Tora)</v>
      </c>
      <c r="F4753" s="39">
        <v>45851</v>
      </c>
      <c r="G4753" s="7">
        <v>12</v>
      </c>
      <c r="H4753" s="3">
        <f>_xlfn.XLOOKUP(Vendas[[#This Row],[ID Item Vendido]],Agregado[ID],Agregado[Revenda])</f>
        <v>212</v>
      </c>
      <c r="I4753" s="3">
        <f>Vendas[[#This Row],[Valor Unitário]]*Vendas[[#This Row],[Qnt Vendida]]</f>
        <v>2544</v>
      </c>
      <c r="J4753" s="3">
        <f>Vendas[[#This Row],[Valor da Venda]]-(_xlfn.XLOOKUP(Vendas[[#This Row],[ID Item Vendido]],Agregado[ID],Agregado[Custo])*Vendas[[#This Row],[Qnt Vendida]])</f>
        <v>384</v>
      </c>
      <c r="K4753" s="70">
        <f>Vendas[[#This Row],[Lucro da Venda]]/Vendas[[#This Row],[Valor da Venda]]</f>
        <v>0.15094339622641509</v>
      </c>
      <c r="L4753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4753"/>
    </row>
    <row r="4754" spans="1:13" x14ac:dyDescent="0.3">
      <c r="A4754" s="7">
        <v>400254</v>
      </c>
      <c r="B4754" t="str">
        <f>_xlfn.XLOOKUP(Vendas[[#This Row],[ID Vendedor]],Vendedores[ID],Vendedores[Nome])</f>
        <v>Beatriz</v>
      </c>
      <c r="C4754" s="7" t="str">
        <f>_xlfn.XLOOKUP(Vendas[[#This Row],[ID Vendedor]],Vendedores[ID],Vendedores[Setor])</f>
        <v>SC</v>
      </c>
      <c r="D4754" s="7" t="s">
        <v>25</v>
      </c>
      <c r="E4754" t="str">
        <f>_xlfn.XLOOKUP(Vendas[[#This Row],[ID Item Vendido]],Agregado[ID],Agregado[Produto])</f>
        <v>Palete de plástico</v>
      </c>
      <c r="F4754" s="39">
        <v>45851</v>
      </c>
      <c r="G4754" s="7">
        <v>12</v>
      </c>
      <c r="H4754" s="3">
        <f>_xlfn.XLOOKUP(Vendas[[#This Row],[ID Item Vendido]],Agregado[ID],Agregado[Revenda])</f>
        <v>70.8</v>
      </c>
      <c r="I4754" s="3">
        <f>Vendas[[#This Row],[Valor Unitário]]*Vendas[[#This Row],[Qnt Vendida]]</f>
        <v>849.59999999999991</v>
      </c>
      <c r="J4754" s="3">
        <f>Vendas[[#This Row],[Valor da Venda]]-(_xlfn.XLOOKUP(Vendas[[#This Row],[ID Item Vendido]],Agregado[ID],Agregado[Custo])*Vendas[[#This Row],[Qnt Vendida]])</f>
        <v>129.59999999999991</v>
      </c>
      <c r="K4754" s="70">
        <f>Vendas[[#This Row],[Lucro da Venda]]/Vendas[[#This Row],[Valor da Venda]]</f>
        <v>0.15254237288135583</v>
      </c>
      <c r="L4754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4754"/>
    </row>
    <row r="4755" spans="1:13" x14ac:dyDescent="0.3">
      <c r="A4755" s="7">
        <v>400253</v>
      </c>
      <c r="B4755" t="str">
        <f>_xlfn.XLOOKUP(Vendas[[#This Row],[ID Vendedor]],Vendedores[ID],Vendedores[Nome])</f>
        <v>Gustavo</v>
      </c>
      <c r="C4755" s="7" t="str">
        <f>_xlfn.XLOOKUP(Vendas[[#This Row],[ID Vendedor]],Vendedores[ID],Vendedores[Setor])</f>
        <v>SC</v>
      </c>
      <c r="D4755" s="7" t="s">
        <v>48</v>
      </c>
      <c r="E4755" t="str">
        <f>_xlfn.XLOOKUP(Vendas[[#This Row],[ID Item Vendido]],Agregado[ID],Agregado[Produto])</f>
        <v>Tambor metálico 200L</v>
      </c>
      <c r="F4755" s="39">
        <v>45851</v>
      </c>
      <c r="G4755" s="7">
        <v>5</v>
      </c>
      <c r="H4755" s="3">
        <f>_xlfn.XLOOKUP(Vendas[[#This Row],[ID Item Vendido]],Agregado[ID],Agregado[Revenda])</f>
        <v>144</v>
      </c>
      <c r="I4755" s="3">
        <f>Vendas[[#This Row],[Valor Unitário]]*Vendas[[#This Row],[Qnt Vendida]]</f>
        <v>720</v>
      </c>
      <c r="J4755" s="3">
        <f>Vendas[[#This Row],[Valor da Venda]]-(_xlfn.XLOOKUP(Vendas[[#This Row],[ID Item Vendido]],Agregado[ID],Agregado[Custo])*Vendas[[#This Row],[Qnt Vendida]])</f>
        <v>120</v>
      </c>
      <c r="K4755" s="70">
        <f>Vendas[[#This Row],[Lucro da Venda]]/Vendas[[#This Row],[Valor da Venda]]</f>
        <v>0.16666666666666666</v>
      </c>
      <c r="L4755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4755"/>
    </row>
    <row r="4756" spans="1:13" x14ac:dyDescent="0.3">
      <c r="A4756" s="7">
        <v>400242</v>
      </c>
      <c r="B4756" t="str">
        <f>_xlfn.XLOOKUP(Vendas[[#This Row],[ID Vendedor]],Vendedores[ID],Vendedores[Nome])</f>
        <v>Fernanda</v>
      </c>
      <c r="C4756" s="7" t="str">
        <f>_xlfn.XLOOKUP(Vendas[[#This Row],[ID Vendedor]],Vendedores[ID],Vendedores[Setor])</f>
        <v>FM</v>
      </c>
      <c r="D4756" s="7" t="s">
        <v>47</v>
      </c>
      <c r="E4756" t="str">
        <f>_xlfn.XLOOKUP(Vendas[[#This Row],[ID Item Vendido]],Agregado[ID],Agregado[Produto])</f>
        <v>Fio de arame galvanizado rolo 50m</v>
      </c>
      <c r="F4756" s="39">
        <v>45851</v>
      </c>
      <c r="G4756" s="7">
        <v>11</v>
      </c>
      <c r="H4756" s="3">
        <f>_xlfn.XLOOKUP(Vendas[[#This Row],[ID Item Vendido]],Agregado[ID],Agregado[Revenda])</f>
        <v>21.2</v>
      </c>
      <c r="I4756" s="3">
        <f>Vendas[[#This Row],[Valor Unitário]]*Vendas[[#This Row],[Qnt Vendida]]</f>
        <v>233.2</v>
      </c>
      <c r="J4756" s="3">
        <f>Vendas[[#This Row],[Valor da Venda]]-(_xlfn.XLOOKUP(Vendas[[#This Row],[ID Item Vendido]],Agregado[ID],Agregado[Custo])*Vendas[[#This Row],[Qnt Vendida]])</f>
        <v>35.199999999999989</v>
      </c>
      <c r="K4756" s="70">
        <f>Vendas[[#This Row],[Lucro da Venda]]/Vendas[[#This Row],[Valor da Venda]]</f>
        <v>0.15094339622641506</v>
      </c>
      <c r="L4756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4756"/>
    </row>
    <row r="4757" spans="1:13" x14ac:dyDescent="0.3">
      <c r="A4757" s="7">
        <v>400249</v>
      </c>
      <c r="B4757" t="str">
        <f>_xlfn.XLOOKUP(Vendas[[#This Row],[ID Vendedor]],Vendedores[ID],Vendedores[Nome])</f>
        <v>Bruno</v>
      </c>
      <c r="C4757" s="7" t="str">
        <f>_xlfn.XLOOKUP(Vendas[[#This Row],[ID Vendedor]],Vendedores[ID],Vendedores[Setor])</f>
        <v>CM</v>
      </c>
      <c r="D4757" s="7" t="s">
        <v>22</v>
      </c>
      <c r="E4757" t="str">
        <f>_xlfn.XLOOKUP(Vendas[[#This Row],[ID Item Vendido]],Agregado[ID],Agregado[Produto])</f>
        <v>Painel MDP 2,75x1,83m</v>
      </c>
      <c r="F4757" s="39">
        <v>45852</v>
      </c>
      <c r="G4757" s="7">
        <v>13</v>
      </c>
      <c r="H4757" s="3">
        <f>_xlfn.XLOOKUP(Vendas[[#This Row],[ID Item Vendido]],Agregado[ID],Agregado[Revenda])</f>
        <v>119</v>
      </c>
      <c r="I4757" s="3">
        <f>Vendas[[#This Row],[Valor Unitário]]*Vendas[[#This Row],[Qnt Vendida]]</f>
        <v>1547</v>
      </c>
      <c r="J4757" s="3">
        <f>Vendas[[#This Row],[Valor da Venda]]-(_xlfn.XLOOKUP(Vendas[[#This Row],[ID Item Vendido]],Agregado[ID],Agregado[Custo])*Vendas[[#This Row],[Qnt Vendida]])</f>
        <v>312</v>
      </c>
      <c r="K4757" s="70">
        <f>Vendas[[#This Row],[Lucro da Venda]]/Vendas[[#This Row],[Valor da Venda]]</f>
        <v>0.20168067226890757</v>
      </c>
      <c r="L4757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4757"/>
    </row>
    <row r="4758" spans="1:13" x14ac:dyDescent="0.3">
      <c r="A4758" s="7">
        <v>400242</v>
      </c>
      <c r="B4758" t="str">
        <f>_xlfn.XLOOKUP(Vendas[[#This Row],[ID Vendedor]],Vendedores[ID],Vendedores[Nome])</f>
        <v>Fernanda</v>
      </c>
      <c r="C4758" s="7" t="str">
        <f>_xlfn.XLOOKUP(Vendas[[#This Row],[ID Vendedor]],Vendedores[ID],Vendedores[Setor])</f>
        <v>FM</v>
      </c>
      <c r="D4758" s="7" t="s">
        <v>6</v>
      </c>
      <c r="E4758" t="str">
        <f>_xlfn.XLOOKUP(Vendas[[#This Row],[ID Item Vendido]],Agregado[ID],Agregado[Produto])</f>
        <v>Parafuso comum 500un</v>
      </c>
      <c r="F4758" s="39">
        <v>45852</v>
      </c>
      <c r="G4758" s="7">
        <v>25</v>
      </c>
      <c r="H4758" s="3">
        <f>_xlfn.XLOOKUP(Vendas[[#This Row],[ID Item Vendido]],Agregado[ID],Agregado[Revenda])</f>
        <v>24.6</v>
      </c>
      <c r="I4758" s="3">
        <f>Vendas[[#This Row],[Valor Unitário]]*Vendas[[#This Row],[Qnt Vendida]]</f>
        <v>615</v>
      </c>
      <c r="J4758" s="3">
        <f>Vendas[[#This Row],[Valor da Venda]]-(_xlfn.XLOOKUP(Vendas[[#This Row],[ID Item Vendido]],Agregado[ID],Agregado[Custo])*Vendas[[#This Row],[Qnt Vendida]])</f>
        <v>65</v>
      </c>
      <c r="K4758" s="70">
        <f>Vendas[[#This Row],[Lucro da Venda]]/Vendas[[#This Row],[Valor da Venda]]</f>
        <v>0.10569105691056911</v>
      </c>
      <c r="L4758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4758"/>
    </row>
    <row r="4759" spans="1:13" x14ac:dyDescent="0.3">
      <c r="A4759" s="7">
        <v>400246</v>
      </c>
      <c r="B4759" t="str">
        <f>_xlfn.XLOOKUP(Vendas[[#This Row],[ID Vendedor]],Vendedores[ID],Vendedores[Nome])</f>
        <v>Juliana</v>
      </c>
      <c r="C4759" s="7" t="str">
        <f>_xlfn.XLOOKUP(Vendas[[#This Row],[ID Vendedor]],Vendedores[ID],Vendedores[Setor])</f>
        <v>AHD</v>
      </c>
      <c r="D4759" s="7" t="s">
        <v>9</v>
      </c>
      <c r="E4759" t="str">
        <f>_xlfn.XLOOKUP(Vendas[[#This Row],[ID Item Vendido]],Agregado[ID],Agregado[Produto])</f>
        <v>Barra de aço simples</v>
      </c>
      <c r="F4759" s="39">
        <v>45853</v>
      </c>
      <c r="G4759" s="7">
        <v>141</v>
      </c>
      <c r="H4759" s="3">
        <f>_xlfn.XLOOKUP(Vendas[[#This Row],[ID Item Vendido]],Agregado[ID],Agregado[Revenda])</f>
        <v>6.7</v>
      </c>
      <c r="I4759" s="3">
        <f>Vendas[[#This Row],[Valor Unitário]]*Vendas[[#This Row],[Qnt Vendida]]</f>
        <v>944.7</v>
      </c>
      <c r="J4759" s="3">
        <f>Vendas[[#This Row],[Valor da Venda]]-(_xlfn.XLOOKUP(Vendas[[#This Row],[ID Item Vendido]],Agregado[ID],Agregado[Custo])*Vendas[[#This Row],[Qnt Vendida]])</f>
        <v>126.90000000000009</v>
      </c>
      <c r="K4759" s="70">
        <f>Vendas[[#This Row],[Lucro da Venda]]/Vendas[[#This Row],[Valor da Venda]]</f>
        <v>0.13432835820895531</v>
      </c>
      <c r="L4759" s="3">
        <f>_xlfn.IFS(Vendas[[#This Row],[Margem de Lucro (%)]]&lt;15%,Vendas[[#This Row],[Valor da Venda]]*3%,Vendas[[#This Row],[Margem de Lucro (%)]]&lt;=20%,Vendas[[#This Row],[Valor da Venda]]*4.5%,TRUE,Vendas[[#This Row],[Valor da Venda]]*6%)</f>
        <v>28.341000000000001</v>
      </c>
      <c r="M4759"/>
    </row>
    <row r="4760" spans="1:13" x14ac:dyDescent="0.3">
      <c r="A4760" s="7">
        <v>400252</v>
      </c>
      <c r="B4760" t="str">
        <f>_xlfn.XLOOKUP(Vendas[[#This Row],[ID Vendedor]],Vendedores[ID],Vendedores[Nome])</f>
        <v>Renata</v>
      </c>
      <c r="C4760" s="7" t="str">
        <f>_xlfn.XLOOKUP(Vendas[[#This Row],[ID Vendedor]],Vendedores[ID],Vendedores[Setor])</f>
        <v>AB</v>
      </c>
      <c r="D4760" s="7" t="s">
        <v>12</v>
      </c>
      <c r="E4760" t="str">
        <f>_xlfn.XLOOKUP(Vendas[[#This Row],[ID Item Vendido]],Agregado[ID],Agregado[Produto])</f>
        <v>Grânulo de plástico reciclado refinado</v>
      </c>
      <c r="F4760" s="39">
        <v>45853</v>
      </c>
      <c r="G4760" s="7">
        <v>43</v>
      </c>
      <c r="H4760" s="3">
        <f>_xlfn.XLOOKUP(Vendas[[#This Row],[ID Item Vendido]],Agregado[ID],Agregado[Revenda])</f>
        <v>4.7</v>
      </c>
      <c r="I4760" s="3">
        <f>Vendas[[#This Row],[Valor Unitário]]*Vendas[[#This Row],[Qnt Vendida]]</f>
        <v>202.1</v>
      </c>
      <c r="J4760" s="3">
        <f>Vendas[[#This Row],[Valor da Venda]]-(_xlfn.XLOOKUP(Vendas[[#This Row],[ID Item Vendido]],Agregado[ID],Agregado[Custo])*Vendas[[#This Row],[Qnt Vendida]])</f>
        <v>51.599999999999994</v>
      </c>
      <c r="K4760" s="70">
        <f>Vendas[[#This Row],[Lucro da Venda]]/Vendas[[#This Row],[Valor da Venda]]</f>
        <v>0.25531914893617019</v>
      </c>
      <c r="L4760" s="3">
        <f>_xlfn.IFS(Vendas[[#This Row],[Margem de Lucro (%)]]&lt;15%,Vendas[[#This Row],[Valor da Venda]]*3%,Vendas[[#This Row],[Margem de Lucro (%)]]&lt;=20%,Vendas[[#This Row],[Valor da Venda]]*4.5%,TRUE,Vendas[[#This Row],[Valor da Venda]]*6%)</f>
        <v>12.125999999999999</v>
      </c>
      <c r="M4760"/>
    </row>
    <row r="4761" spans="1:13" x14ac:dyDescent="0.3">
      <c r="A4761" s="7">
        <v>400249</v>
      </c>
      <c r="B4761" t="str">
        <f>_xlfn.XLOOKUP(Vendas[[#This Row],[ID Vendedor]],Vendedores[ID],Vendedores[Nome])</f>
        <v>Bruno</v>
      </c>
      <c r="C4761" s="7" t="str">
        <f>_xlfn.XLOOKUP(Vendas[[#This Row],[ID Vendedor]],Vendedores[ID],Vendedores[Setor])</f>
        <v>CM</v>
      </c>
      <c r="D4761" s="7" t="s">
        <v>43</v>
      </c>
      <c r="E4761" t="str">
        <f>_xlfn.XLOOKUP(Vendas[[#This Row],[ID Item Vendido]],Agregado[ID],Agregado[Produto])</f>
        <v>Madeira Bruta (Tora)</v>
      </c>
      <c r="F4761" s="39">
        <v>45854</v>
      </c>
      <c r="G4761" s="7">
        <v>15</v>
      </c>
      <c r="H4761" s="3">
        <f>_xlfn.XLOOKUP(Vendas[[#This Row],[ID Item Vendido]],Agregado[ID],Agregado[Revenda])</f>
        <v>212</v>
      </c>
      <c r="I4761" s="3">
        <f>Vendas[[#This Row],[Valor Unitário]]*Vendas[[#This Row],[Qnt Vendida]]</f>
        <v>3180</v>
      </c>
      <c r="J4761" s="3">
        <f>Vendas[[#This Row],[Valor da Venda]]-(_xlfn.XLOOKUP(Vendas[[#This Row],[ID Item Vendido]],Agregado[ID],Agregado[Custo])*Vendas[[#This Row],[Qnt Vendida]])</f>
        <v>480</v>
      </c>
      <c r="K4761" s="70">
        <f>Vendas[[#This Row],[Lucro da Venda]]/Vendas[[#This Row],[Valor da Venda]]</f>
        <v>0.15094339622641509</v>
      </c>
      <c r="L4761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4761"/>
    </row>
    <row r="4762" spans="1:13" x14ac:dyDescent="0.3">
      <c r="A4762" s="7">
        <v>400244</v>
      </c>
      <c r="B4762" t="str">
        <f>_xlfn.XLOOKUP(Vendas[[#This Row],[ID Vendedor]],Vendedores[ID],Vendedores[Nome])</f>
        <v>Camila</v>
      </c>
      <c r="C4762" s="7" t="str">
        <f>_xlfn.XLOOKUP(Vendas[[#This Row],[ID Vendedor]],Vendedores[ID],Vendedores[Setor])</f>
        <v>AHD</v>
      </c>
      <c r="D4762" s="7" t="s">
        <v>44</v>
      </c>
      <c r="E4762" t="str">
        <f>_xlfn.XLOOKUP(Vendas[[#This Row],[ID Item Vendido]],Agregado[ID],Agregado[Produto])</f>
        <v>Liga metálica especial</v>
      </c>
      <c r="F4762" s="39">
        <v>45854</v>
      </c>
      <c r="G4762" s="7">
        <v>42</v>
      </c>
      <c r="H4762" s="3">
        <f>_xlfn.XLOOKUP(Vendas[[#This Row],[ID Item Vendido]],Agregado[ID],Agregado[Revenda])</f>
        <v>32.5</v>
      </c>
      <c r="I4762" s="3">
        <f>Vendas[[#This Row],[Valor Unitário]]*Vendas[[#This Row],[Qnt Vendida]]</f>
        <v>1365</v>
      </c>
      <c r="J4762" s="3">
        <f>Vendas[[#This Row],[Valor da Venda]]-(_xlfn.XLOOKUP(Vendas[[#This Row],[ID Item Vendido]],Agregado[ID],Agregado[Custo])*Vendas[[#This Row],[Qnt Vendida]])</f>
        <v>315</v>
      </c>
      <c r="K4762" s="70">
        <f>Vendas[[#This Row],[Lucro da Venda]]/Vendas[[#This Row],[Valor da Venda]]</f>
        <v>0.23076923076923078</v>
      </c>
      <c r="L4762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4762"/>
    </row>
    <row r="4763" spans="1:13" x14ac:dyDescent="0.3">
      <c r="A4763" s="7">
        <v>400246</v>
      </c>
      <c r="B4763" t="str">
        <f>_xlfn.XLOOKUP(Vendas[[#This Row],[ID Vendedor]],Vendedores[ID],Vendedores[Nome])</f>
        <v>Juliana</v>
      </c>
      <c r="C4763" s="7" t="str">
        <f>_xlfn.XLOOKUP(Vendas[[#This Row],[ID Vendedor]],Vendedores[ID],Vendedores[Setor])</f>
        <v>AHD</v>
      </c>
      <c r="D4763" s="7" t="s">
        <v>28</v>
      </c>
      <c r="E4763" t="str">
        <f>_xlfn.XLOOKUP(Vendas[[#This Row],[ID Item Vendido]],Agregado[ID],Agregado[Produto])</f>
        <v>Peça usinada CNC</v>
      </c>
      <c r="F4763" s="39">
        <v>45855</v>
      </c>
      <c r="G4763" s="7">
        <v>9</v>
      </c>
      <c r="H4763" s="3">
        <f>_xlfn.XLOOKUP(Vendas[[#This Row],[ID Item Vendido]],Agregado[ID],Agregado[Revenda])</f>
        <v>192</v>
      </c>
      <c r="I4763" s="3">
        <f>Vendas[[#This Row],[Valor Unitário]]*Vendas[[#This Row],[Qnt Vendida]]</f>
        <v>1728</v>
      </c>
      <c r="J4763" s="3">
        <f>Vendas[[#This Row],[Valor da Venda]]-(_xlfn.XLOOKUP(Vendas[[#This Row],[ID Item Vendido]],Agregado[ID],Agregado[Custo])*Vendas[[#This Row],[Qnt Vendida]])</f>
        <v>378</v>
      </c>
      <c r="K4763" s="70">
        <f>Vendas[[#This Row],[Lucro da Venda]]/Vendas[[#This Row],[Valor da Venda]]</f>
        <v>0.21875</v>
      </c>
      <c r="L4763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4763"/>
    </row>
    <row r="4764" spans="1:13" x14ac:dyDescent="0.3">
      <c r="A4764" s="7">
        <v>400250</v>
      </c>
      <c r="B4764" t="str">
        <f>_xlfn.XLOOKUP(Vendas[[#This Row],[ID Vendedor]],Vendedores[ID],Vendedores[Nome])</f>
        <v>Larissa</v>
      </c>
      <c r="C4764" s="7" t="str">
        <f>_xlfn.XLOOKUP(Vendas[[#This Row],[ID Vendedor]],Vendedores[ID],Vendedores[Setor])</f>
        <v>AB</v>
      </c>
      <c r="D4764" s="7" t="s">
        <v>24</v>
      </c>
      <c r="E4764" t="str">
        <f>_xlfn.XLOOKUP(Vendas[[#This Row],[ID Item Vendido]],Agregado[ID],Agregado[Produto])</f>
        <v>Resina plástica PET purificada saco de 25kg</v>
      </c>
      <c r="F4764" s="39">
        <v>45856</v>
      </c>
      <c r="G4764" s="7">
        <v>12</v>
      </c>
      <c r="H4764" s="3">
        <f>_xlfn.XLOOKUP(Vendas[[#This Row],[ID Item Vendido]],Agregado[ID],Agregado[Revenda])</f>
        <v>119</v>
      </c>
      <c r="I4764" s="3">
        <f>Vendas[[#This Row],[Valor Unitário]]*Vendas[[#This Row],[Qnt Vendida]]</f>
        <v>1428</v>
      </c>
      <c r="J4764" s="3">
        <f>Vendas[[#This Row],[Valor da Venda]]-(_xlfn.XLOOKUP(Vendas[[#This Row],[ID Item Vendido]],Agregado[ID],Agregado[Custo])*Vendas[[#This Row],[Qnt Vendida]])</f>
        <v>408</v>
      </c>
      <c r="K4764" s="70">
        <f>Vendas[[#This Row],[Lucro da Venda]]/Vendas[[#This Row],[Valor da Venda]]</f>
        <v>0.2857142857142857</v>
      </c>
      <c r="L4764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764"/>
    </row>
    <row r="4765" spans="1:13" x14ac:dyDescent="0.3">
      <c r="A4765" s="7">
        <v>400251</v>
      </c>
      <c r="B4765" t="str">
        <f>_xlfn.XLOOKUP(Vendas[[#This Row],[ID Vendedor]],Vendedores[ID],Vendedores[Nome])</f>
        <v>Diego</v>
      </c>
      <c r="C4765" s="7" t="str">
        <f>_xlfn.XLOOKUP(Vendas[[#This Row],[ID Vendedor]],Vendedores[ID],Vendedores[Setor])</f>
        <v>AB</v>
      </c>
      <c r="D4765" s="7" t="s">
        <v>39</v>
      </c>
      <c r="E4765" t="str">
        <f>_xlfn.XLOOKUP(Vendas[[#This Row],[ID Item Vendido]],Agregado[ID],Agregado[Produto])</f>
        <v>Filme plástico industrial rolo 50m</v>
      </c>
      <c r="F4765" s="39">
        <v>45856</v>
      </c>
      <c r="G4765" s="7">
        <v>24</v>
      </c>
      <c r="H4765" s="3">
        <f>_xlfn.XLOOKUP(Vendas[[#This Row],[ID Item Vendido]],Agregado[ID],Agregado[Revenda])</f>
        <v>37</v>
      </c>
      <c r="I4765" s="3">
        <f>Vendas[[#This Row],[Valor Unitário]]*Vendas[[#This Row],[Qnt Vendida]]</f>
        <v>888</v>
      </c>
      <c r="J4765" s="3">
        <f>Vendas[[#This Row],[Valor da Venda]]-(_xlfn.XLOOKUP(Vendas[[#This Row],[ID Item Vendido]],Agregado[ID],Agregado[Custo])*Vendas[[#This Row],[Qnt Vendida]])</f>
        <v>216</v>
      </c>
      <c r="K4765" s="70">
        <f>Vendas[[#This Row],[Lucro da Venda]]/Vendas[[#This Row],[Valor da Venda]]</f>
        <v>0.24324324324324326</v>
      </c>
      <c r="L4765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4765"/>
    </row>
    <row r="4766" spans="1:13" x14ac:dyDescent="0.3">
      <c r="A4766" s="7">
        <v>400251</v>
      </c>
      <c r="B4766" t="str">
        <f>_xlfn.XLOOKUP(Vendas[[#This Row],[ID Vendedor]],Vendedores[ID],Vendedores[Nome])</f>
        <v>Diego</v>
      </c>
      <c r="C4766" s="7" t="str">
        <f>_xlfn.XLOOKUP(Vendas[[#This Row],[ID Vendedor]],Vendedores[ID],Vendedores[Setor])</f>
        <v>AB</v>
      </c>
      <c r="D4766" s="7" t="s">
        <v>36</v>
      </c>
      <c r="E4766" t="str">
        <f>_xlfn.XLOOKUP(Vendas[[#This Row],[ID Item Vendido]],Agregado[ID],Agregado[Produto])</f>
        <v>Borracha vulcanizada em manta</v>
      </c>
      <c r="F4766" s="39">
        <v>45857</v>
      </c>
      <c r="G4766" s="7">
        <v>37</v>
      </c>
      <c r="H4766" s="3">
        <f>_xlfn.XLOOKUP(Vendas[[#This Row],[ID Item Vendido]],Agregado[ID],Agregado[Revenda])</f>
        <v>7.8</v>
      </c>
      <c r="I4766" s="3">
        <f>Vendas[[#This Row],[Valor Unitário]]*Vendas[[#This Row],[Qnt Vendida]]</f>
        <v>288.59999999999997</v>
      </c>
      <c r="J4766" s="3">
        <f>Vendas[[#This Row],[Valor da Venda]]-(_xlfn.XLOOKUP(Vendas[[#This Row],[ID Item Vendido]],Agregado[ID],Agregado[Custo])*Vendas[[#This Row],[Qnt Vendida]])</f>
        <v>66.599999999999966</v>
      </c>
      <c r="K4766" s="70">
        <f>Vendas[[#This Row],[Lucro da Venda]]/Vendas[[#This Row],[Valor da Venda]]</f>
        <v>0.23076923076923067</v>
      </c>
      <c r="L4766" s="3">
        <f>_xlfn.IFS(Vendas[[#This Row],[Margem de Lucro (%)]]&lt;15%,Vendas[[#This Row],[Valor da Venda]]*3%,Vendas[[#This Row],[Margem de Lucro (%)]]&lt;=20%,Vendas[[#This Row],[Valor da Venda]]*4.5%,TRUE,Vendas[[#This Row],[Valor da Venda]]*6%)</f>
        <v>17.315999999999999</v>
      </c>
      <c r="M4766"/>
    </row>
    <row r="4767" spans="1:13" x14ac:dyDescent="0.3">
      <c r="A4767" s="7">
        <v>400252</v>
      </c>
      <c r="B4767" t="str">
        <f>_xlfn.XLOOKUP(Vendas[[#This Row],[ID Vendedor]],Vendedores[ID],Vendedores[Nome])</f>
        <v>Renata</v>
      </c>
      <c r="C4767" s="7" t="str">
        <f>_xlfn.XLOOKUP(Vendas[[#This Row],[ID Vendedor]],Vendedores[ID],Vendedores[Setor])</f>
        <v>AB</v>
      </c>
      <c r="D4767" s="7" t="s">
        <v>12</v>
      </c>
      <c r="E4767" t="str">
        <f>_xlfn.XLOOKUP(Vendas[[#This Row],[ID Item Vendido]],Agregado[ID],Agregado[Produto])</f>
        <v>Grânulo de plástico reciclado refinado</v>
      </c>
      <c r="F4767" s="39">
        <v>45857</v>
      </c>
      <c r="G4767" s="7">
        <v>50</v>
      </c>
      <c r="H4767" s="3">
        <f>_xlfn.XLOOKUP(Vendas[[#This Row],[ID Item Vendido]],Agregado[ID],Agregado[Revenda])</f>
        <v>4.7</v>
      </c>
      <c r="I4767" s="3">
        <f>Vendas[[#This Row],[Valor Unitário]]*Vendas[[#This Row],[Qnt Vendida]]</f>
        <v>235</v>
      </c>
      <c r="J4767" s="3">
        <f>Vendas[[#This Row],[Valor da Venda]]-(_xlfn.XLOOKUP(Vendas[[#This Row],[ID Item Vendido]],Agregado[ID],Agregado[Custo])*Vendas[[#This Row],[Qnt Vendida]])</f>
        <v>60</v>
      </c>
      <c r="K4767" s="70">
        <f>Vendas[[#This Row],[Lucro da Venda]]/Vendas[[#This Row],[Valor da Venda]]</f>
        <v>0.25531914893617019</v>
      </c>
      <c r="L4767" s="3">
        <f>_xlfn.IFS(Vendas[[#This Row],[Margem de Lucro (%)]]&lt;15%,Vendas[[#This Row],[Valor da Venda]]*3%,Vendas[[#This Row],[Margem de Lucro (%)]]&lt;=20%,Vendas[[#This Row],[Valor da Venda]]*4.5%,TRUE,Vendas[[#This Row],[Valor da Venda]]*6%)</f>
        <v>14.1</v>
      </c>
      <c r="M4767"/>
    </row>
    <row r="4768" spans="1:13" x14ac:dyDescent="0.3">
      <c r="A4768" s="7">
        <v>400244</v>
      </c>
      <c r="B4768" t="str">
        <f>_xlfn.XLOOKUP(Vendas[[#This Row],[ID Vendedor]],Vendedores[ID],Vendedores[Nome])</f>
        <v>Camila</v>
      </c>
      <c r="C4768" s="7" t="str">
        <f>_xlfn.XLOOKUP(Vendas[[#This Row],[ID Vendedor]],Vendedores[ID],Vendedores[Setor])</f>
        <v>AHD</v>
      </c>
      <c r="D4768" s="7" t="s">
        <v>30</v>
      </c>
      <c r="E4768" t="str">
        <f>_xlfn.XLOOKUP(Vendas[[#This Row],[ID Item Vendido]],Agregado[ID],Agregado[Produto])</f>
        <v>Estrutura metálica soldada</v>
      </c>
      <c r="F4768" s="39">
        <v>45858</v>
      </c>
      <c r="G4768" s="7">
        <v>8</v>
      </c>
      <c r="H4768" s="3">
        <f>_xlfn.XLOOKUP(Vendas[[#This Row],[ID Item Vendido]],Agregado[ID],Agregado[Revenda])</f>
        <v>400</v>
      </c>
      <c r="I4768" s="3">
        <f>Vendas[[#This Row],[Valor Unitário]]*Vendas[[#This Row],[Qnt Vendida]]</f>
        <v>3200</v>
      </c>
      <c r="J4768" s="3">
        <f>Vendas[[#This Row],[Valor da Venda]]-(_xlfn.XLOOKUP(Vendas[[#This Row],[ID Item Vendido]],Agregado[ID],Agregado[Custo])*Vendas[[#This Row],[Qnt Vendida]])</f>
        <v>640</v>
      </c>
      <c r="K4768" s="70">
        <f>Vendas[[#This Row],[Lucro da Venda]]/Vendas[[#This Row],[Valor da Venda]]</f>
        <v>0.2</v>
      </c>
      <c r="L4768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768"/>
    </row>
    <row r="4769" spans="1:13" x14ac:dyDescent="0.3">
      <c r="A4769" s="7">
        <v>400254</v>
      </c>
      <c r="B4769" t="str">
        <f>_xlfn.XLOOKUP(Vendas[[#This Row],[ID Vendedor]],Vendedores[ID],Vendedores[Nome])</f>
        <v>Beatriz</v>
      </c>
      <c r="C4769" s="7" t="str">
        <f>_xlfn.XLOOKUP(Vendas[[#This Row],[ID Vendedor]],Vendedores[ID],Vendedores[Setor])</f>
        <v>SC</v>
      </c>
      <c r="D4769" s="7" t="s">
        <v>42</v>
      </c>
      <c r="E4769" t="str">
        <f>_xlfn.XLOOKUP(Vendas[[#This Row],[ID Item Vendido]],Agregado[ID],Agregado[Produto])</f>
        <v>Container de ferro industrial</v>
      </c>
      <c r="F4769" s="39">
        <v>45858</v>
      </c>
      <c r="G4769" s="7">
        <v>1</v>
      </c>
      <c r="H4769" s="3">
        <f>_xlfn.XLOOKUP(Vendas[[#This Row],[ID Item Vendido]],Agregado[ID],Agregado[Revenda])</f>
        <v>830</v>
      </c>
      <c r="I4769" s="3">
        <f>Vendas[[#This Row],[Valor Unitário]]*Vendas[[#This Row],[Qnt Vendida]]</f>
        <v>830</v>
      </c>
      <c r="J4769" s="3">
        <f>Vendas[[#This Row],[Valor da Venda]]-(_xlfn.XLOOKUP(Vendas[[#This Row],[ID Item Vendido]],Agregado[ID],Agregado[Custo])*Vendas[[#This Row],[Qnt Vendida]])</f>
        <v>150</v>
      </c>
      <c r="K4769" s="70">
        <f>Vendas[[#This Row],[Lucro da Venda]]/Vendas[[#This Row],[Valor da Venda]]</f>
        <v>0.18072289156626506</v>
      </c>
      <c r="L4769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769"/>
    </row>
    <row r="4770" spans="1:13" x14ac:dyDescent="0.3">
      <c r="A4770" s="7">
        <v>400246</v>
      </c>
      <c r="B4770" t="str">
        <f>_xlfn.XLOOKUP(Vendas[[#This Row],[ID Vendedor]],Vendedores[ID],Vendedores[Nome])</f>
        <v>Juliana</v>
      </c>
      <c r="C4770" s="7" t="str">
        <f>_xlfn.XLOOKUP(Vendas[[#This Row],[ID Vendedor]],Vendedores[ID],Vendedores[Setor])</f>
        <v>AHD</v>
      </c>
      <c r="D4770" s="7" t="s">
        <v>18</v>
      </c>
      <c r="E4770" t="str">
        <f>_xlfn.XLOOKUP(Vendas[[#This Row],[ID Item Vendido]],Agregado[ID],Agregado[Produto])</f>
        <v>Peça forjada sob encomenda</v>
      </c>
      <c r="F4770" s="39">
        <v>45859</v>
      </c>
      <c r="G4770" s="7">
        <v>5</v>
      </c>
      <c r="H4770" s="3">
        <f>_xlfn.XLOOKUP(Vendas[[#This Row],[ID Item Vendido]],Agregado[ID],Agregado[Revenda])</f>
        <v>264.60000000000002</v>
      </c>
      <c r="I4770" s="3">
        <f>Vendas[[#This Row],[Valor Unitário]]*Vendas[[#This Row],[Qnt Vendida]]</f>
        <v>1323</v>
      </c>
      <c r="J4770" s="3">
        <f>Vendas[[#This Row],[Valor da Venda]]-(_xlfn.XLOOKUP(Vendas[[#This Row],[ID Item Vendido]],Agregado[ID],Agregado[Custo])*Vendas[[#This Row],[Qnt Vendida]])</f>
        <v>73</v>
      </c>
      <c r="K4770" s="70">
        <f>Vendas[[#This Row],[Lucro da Venda]]/Vendas[[#This Row],[Valor da Venda]]</f>
        <v>5.5177626606198037E-2</v>
      </c>
      <c r="L4770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770"/>
    </row>
    <row r="4771" spans="1:13" x14ac:dyDescent="0.3">
      <c r="A4771" s="7">
        <v>400244</v>
      </c>
      <c r="B4771" t="str">
        <f>_xlfn.XLOOKUP(Vendas[[#This Row],[ID Vendedor]],Vendedores[ID],Vendedores[Nome])</f>
        <v>Camila</v>
      </c>
      <c r="C4771" s="7" t="str">
        <f>_xlfn.XLOOKUP(Vendas[[#This Row],[ID Vendedor]],Vendedores[ID],Vendedores[Setor])</f>
        <v>AHD</v>
      </c>
      <c r="D4771" s="7" t="s">
        <v>30</v>
      </c>
      <c r="E4771" t="str">
        <f>_xlfn.XLOOKUP(Vendas[[#This Row],[ID Item Vendido]],Agregado[ID],Agregado[Produto])</f>
        <v>Estrutura metálica soldada</v>
      </c>
      <c r="F4771" s="39">
        <v>45859</v>
      </c>
      <c r="G4771" s="7">
        <v>3</v>
      </c>
      <c r="H4771" s="3">
        <f>_xlfn.XLOOKUP(Vendas[[#This Row],[ID Item Vendido]],Agregado[ID],Agregado[Revenda])</f>
        <v>400</v>
      </c>
      <c r="I4771" s="3">
        <f>Vendas[[#This Row],[Valor Unitário]]*Vendas[[#This Row],[Qnt Vendida]]</f>
        <v>1200</v>
      </c>
      <c r="J4771" s="3">
        <f>Vendas[[#This Row],[Valor da Venda]]-(_xlfn.XLOOKUP(Vendas[[#This Row],[ID Item Vendido]],Agregado[ID],Agregado[Custo])*Vendas[[#This Row],[Qnt Vendida]])</f>
        <v>240</v>
      </c>
      <c r="K4771" s="70">
        <f>Vendas[[#This Row],[Lucro da Venda]]/Vendas[[#This Row],[Valor da Venda]]</f>
        <v>0.2</v>
      </c>
      <c r="L4771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4771"/>
    </row>
    <row r="4772" spans="1:13" x14ac:dyDescent="0.3">
      <c r="A4772" s="7">
        <v>400251</v>
      </c>
      <c r="B4772" t="str">
        <f>_xlfn.XLOOKUP(Vendas[[#This Row],[ID Vendedor]],Vendedores[ID],Vendedores[Nome])</f>
        <v>Diego</v>
      </c>
      <c r="C4772" s="7" t="str">
        <f>_xlfn.XLOOKUP(Vendas[[#This Row],[ID Vendedor]],Vendedores[ID],Vendedores[Setor])</f>
        <v>AB</v>
      </c>
      <c r="D4772" s="7" t="s">
        <v>37</v>
      </c>
      <c r="E4772" t="str">
        <f>_xlfn.XLOOKUP(Vendas[[#This Row],[ID Item Vendido]],Agregado[ID],Agregado[Produto])</f>
        <v>Composto de borracha para vedação rolo 10m</v>
      </c>
      <c r="F4772" s="39">
        <v>45859</v>
      </c>
      <c r="G4772" s="7">
        <v>21</v>
      </c>
      <c r="H4772" s="3">
        <f>_xlfn.XLOOKUP(Vendas[[#This Row],[ID Item Vendido]],Agregado[ID],Agregado[Revenda])</f>
        <v>51.2</v>
      </c>
      <c r="I4772" s="3">
        <f>Vendas[[#This Row],[Valor Unitário]]*Vendas[[#This Row],[Qnt Vendida]]</f>
        <v>1075.2</v>
      </c>
      <c r="J4772" s="3">
        <f>Vendas[[#This Row],[Valor da Venda]]-(_xlfn.XLOOKUP(Vendas[[#This Row],[ID Item Vendido]],Agregado[ID],Agregado[Custo])*Vendas[[#This Row],[Qnt Vendida]])</f>
        <v>235.20000000000005</v>
      </c>
      <c r="K4772" s="70">
        <f>Vendas[[#This Row],[Lucro da Venda]]/Vendas[[#This Row],[Valor da Venda]]</f>
        <v>0.21875000000000003</v>
      </c>
      <c r="L4772" s="3">
        <f>_xlfn.IFS(Vendas[[#This Row],[Margem de Lucro (%)]]&lt;15%,Vendas[[#This Row],[Valor da Venda]]*3%,Vendas[[#This Row],[Margem de Lucro (%)]]&lt;=20%,Vendas[[#This Row],[Valor da Venda]]*4.5%,TRUE,Vendas[[#This Row],[Valor da Venda]]*6%)</f>
        <v>64.512</v>
      </c>
      <c r="M4772"/>
    </row>
    <row r="4773" spans="1:13" x14ac:dyDescent="0.3">
      <c r="A4773" s="7">
        <v>400250</v>
      </c>
      <c r="B4773" t="str">
        <f>_xlfn.XLOOKUP(Vendas[[#This Row],[ID Vendedor]],Vendedores[ID],Vendedores[Nome])</f>
        <v>Larissa</v>
      </c>
      <c r="C4773" s="7" t="str">
        <f>_xlfn.XLOOKUP(Vendas[[#This Row],[ID Vendedor]],Vendedores[ID],Vendedores[Setor])</f>
        <v>AB</v>
      </c>
      <c r="D4773" s="7" t="s">
        <v>37</v>
      </c>
      <c r="E4773" t="str">
        <f>_xlfn.XLOOKUP(Vendas[[#This Row],[ID Item Vendido]],Agregado[ID],Agregado[Produto])</f>
        <v>Composto de borracha para vedação rolo 10m</v>
      </c>
      <c r="F4773" s="39">
        <v>45859</v>
      </c>
      <c r="G4773" s="7">
        <v>9</v>
      </c>
      <c r="H4773" s="3">
        <f>_xlfn.XLOOKUP(Vendas[[#This Row],[ID Item Vendido]],Agregado[ID],Agregado[Revenda])</f>
        <v>51.2</v>
      </c>
      <c r="I4773" s="3">
        <f>Vendas[[#This Row],[Valor Unitário]]*Vendas[[#This Row],[Qnt Vendida]]</f>
        <v>460.8</v>
      </c>
      <c r="J4773" s="3">
        <f>Vendas[[#This Row],[Valor da Venda]]-(_xlfn.XLOOKUP(Vendas[[#This Row],[ID Item Vendido]],Agregado[ID],Agregado[Custo])*Vendas[[#This Row],[Qnt Vendida]])</f>
        <v>100.80000000000001</v>
      </c>
      <c r="K4773" s="70">
        <f>Vendas[[#This Row],[Lucro da Venda]]/Vendas[[#This Row],[Valor da Venda]]</f>
        <v>0.21875000000000003</v>
      </c>
      <c r="L4773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4773"/>
    </row>
    <row r="4774" spans="1:13" x14ac:dyDescent="0.3">
      <c r="A4774" s="7">
        <v>400242</v>
      </c>
      <c r="B4774" t="str">
        <f>_xlfn.XLOOKUP(Vendas[[#This Row],[ID Vendedor]],Vendedores[ID],Vendedores[Nome])</f>
        <v>Fernanda</v>
      </c>
      <c r="C4774" s="7" t="str">
        <f>_xlfn.XLOOKUP(Vendas[[#This Row],[ID Vendedor]],Vendedores[ID],Vendedores[Setor])</f>
        <v>FM</v>
      </c>
      <c r="D4774" s="7" t="s">
        <v>47</v>
      </c>
      <c r="E4774" t="str">
        <f>_xlfn.XLOOKUP(Vendas[[#This Row],[ID Item Vendido]],Agregado[ID],Agregado[Produto])</f>
        <v>Fio de arame galvanizado rolo 50m</v>
      </c>
      <c r="F4774" s="39">
        <v>45859</v>
      </c>
      <c r="G4774" s="7">
        <v>17</v>
      </c>
      <c r="H4774" s="3">
        <f>_xlfn.XLOOKUP(Vendas[[#This Row],[ID Item Vendido]],Agregado[ID],Agregado[Revenda])</f>
        <v>21.2</v>
      </c>
      <c r="I4774" s="3">
        <f>Vendas[[#This Row],[Valor Unitário]]*Vendas[[#This Row],[Qnt Vendida]]</f>
        <v>360.4</v>
      </c>
      <c r="J4774" s="3">
        <f>Vendas[[#This Row],[Valor da Venda]]-(_xlfn.XLOOKUP(Vendas[[#This Row],[ID Item Vendido]],Agregado[ID],Agregado[Custo])*Vendas[[#This Row],[Qnt Vendida]])</f>
        <v>54.399999999999977</v>
      </c>
      <c r="K4774" s="70">
        <f>Vendas[[#This Row],[Lucro da Venda]]/Vendas[[#This Row],[Valor da Venda]]</f>
        <v>0.15094339622641503</v>
      </c>
      <c r="L4774" s="3">
        <f>_xlfn.IFS(Vendas[[#This Row],[Margem de Lucro (%)]]&lt;15%,Vendas[[#This Row],[Valor da Venda]]*3%,Vendas[[#This Row],[Margem de Lucro (%)]]&lt;=20%,Vendas[[#This Row],[Valor da Venda]]*4.5%,TRUE,Vendas[[#This Row],[Valor da Venda]]*6%)</f>
        <v>16.218</v>
      </c>
      <c r="M4774"/>
    </row>
    <row r="4775" spans="1:13" x14ac:dyDescent="0.3">
      <c r="A4775" s="7">
        <v>400242</v>
      </c>
      <c r="B4775" t="str">
        <f>_xlfn.XLOOKUP(Vendas[[#This Row],[ID Vendedor]],Vendedores[ID],Vendedores[Nome])</f>
        <v>Fernanda</v>
      </c>
      <c r="C4775" s="7" t="str">
        <f>_xlfn.XLOOKUP(Vendas[[#This Row],[ID Vendedor]],Vendedores[ID],Vendedores[Setor])</f>
        <v>FM</v>
      </c>
      <c r="D4775" s="7" t="s">
        <v>6</v>
      </c>
      <c r="E4775" t="str">
        <f>_xlfn.XLOOKUP(Vendas[[#This Row],[ID Item Vendido]],Agregado[ID],Agregado[Produto])</f>
        <v>Parafuso comum 500un</v>
      </c>
      <c r="F4775" s="39">
        <v>45859</v>
      </c>
      <c r="G4775" s="7">
        <v>9</v>
      </c>
      <c r="H4775" s="3">
        <f>_xlfn.XLOOKUP(Vendas[[#This Row],[ID Item Vendido]],Agregado[ID],Agregado[Revenda])</f>
        <v>24.6</v>
      </c>
      <c r="I4775" s="3">
        <f>Vendas[[#This Row],[Valor Unitário]]*Vendas[[#This Row],[Qnt Vendida]]</f>
        <v>221.4</v>
      </c>
      <c r="J4775" s="3">
        <f>Vendas[[#This Row],[Valor da Venda]]-(_xlfn.XLOOKUP(Vendas[[#This Row],[ID Item Vendido]],Agregado[ID],Agregado[Custo])*Vendas[[#This Row],[Qnt Vendida]])</f>
        <v>23.400000000000006</v>
      </c>
      <c r="K4775" s="70">
        <f>Vendas[[#This Row],[Lucro da Venda]]/Vendas[[#This Row],[Valor da Venda]]</f>
        <v>0.10569105691056913</v>
      </c>
      <c r="L4775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4775"/>
    </row>
    <row r="4776" spans="1:13" x14ac:dyDescent="0.3">
      <c r="A4776" s="7">
        <v>400243</v>
      </c>
      <c r="B4776" t="str">
        <f>_xlfn.XLOOKUP(Vendas[[#This Row],[ID Vendedor]],Vendedores[ID],Vendedores[Nome])</f>
        <v>Marcelo</v>
      </c>
      <c r="C4776" s="7" t="str">
        <f>_xlfn.XLOOKUP(Vendas[[#This Row],[ID Vendedor]],Vendedores[ID],Vendedores[Setor])</f>
        <v>FM</v>
      </c>
      <c r="D4776" s="7" t="s">
        <v>20</v>
      </c>
      <c r="E4776" t="str">
        <f>_xlfn.XLOOKUP(Vendas[[#This Row],[ID Item Vendido]],Agregado[ID],Agregado[Produto])</f>
        <v>Barra de aço simples</v>
      </c>
      <c r="F4776" s="39">
        <v>45860</v>
      </c>
      <c r="G4776" s="7">
        <v>181</v>
      </c>
      <c r="H4776" s="3">
        <f>_xlfn.XLOOKUP(Vendas[[#This Row],[ID Item Vendido]],Agregado[ID],Agregado[Revenda])</f>
        <v>4.8</v>
      </c>
      <c r="I4776" s="3">
        <f>Vendas[[#This Row],[Valor Unitário]]*Vendas[[#This Row],[Qnt Vendida]]</f>
        <v>868.8</v>
      </c>
      <c r="J4776" s="3">
        <f>Vendas[[#This Row],[Valor da Venda]]-(_xlfn.XLOOKUP(Vendas[[#This Row],[ID Item Vendido]],Agregado[ID],Agregado[Custo])*Vendas[[#This Row],[Qnt Vendida]])</f>
        <v>108.59999999999991</v>
      </c>
      <c r="K4776" s="70">
        <f>Vendas[[#This Row],[Lucro da Venda]]/Vendas[[#This Row],[Valor da Venda]]</f>
        <v>0.1249999999999999</v>
      </c>
      <c r="L4776" s="3">
        <f>_xlfn.IFS(Vendas[[#This Row],[Margem de Lucro (%)]]&lt;15%,Vendas[[#This Row],[Valor da Venda]]*3%,Vendas[[#This Row],[Margem de Lucro (%)]]&lt;=20%,Vendas[[#This Row],[Valor da Venda]]*4.5%,TRUE,Vendas[[#This Row],[Valor da Venda]]*6%)</f>
        <v>26.063999999999997</v>
      </c>
      <c r="M4776"/>
    </row>
    <row r="4777" spans="1:13" x14ac:dyDescent="0.3">
      <c r="A4777" s="7">
        <v>400242</v>
      </c>
      <c r="B4777" t="str">
        <f>_xlfn.XLOOKUP(Vendas[[#This Row],[ID Vendedor]],Vendedores[ID],Vendedores[Nome])</f>
        <v>Fernanda</v>
      </c>
      <c r="C4777" s="7" t="str">
        <f>_xlfn.XLOOKUP(Vendas[[#This Row],[ID Vendedor]],Vendedores[ID],Vendedores[Setor])</f>
        <v>FM</v>
      </c>
      <c r="D4777" s="7" t="s">
        <v>27</v>
      </c>
      <c r="E4777" t="str">
        <f>_xlfn.XLOOKUP(Vendas[[#This Row],[ID Item Vendido]],Agregado[ID],Agregado[Produto])</f>
        <v>Chapa de metal lisa 1x2m</v>
      </c>
      <c r="F4777" s="39">
        <v>45861</v>
      </c>
      <c r="G4777" s="7">
        <v>18</v>
      </c>
      <c r="H4777" s="3">
        <f>_xlfn.XLOOKUP(Vendas[[#This Row],[ID Item Vendido]],Agregado[ID],Agregado[Revenda])</f>
        <v>52</v>
      </c>
      <c r="I4777" s="3">
        <f>Vendas[[#This Row],[Valor Unitário]]*Vendas[[#This Row],[Qnt Vendida]]</f>
        <v>936</v>
      </c>
      <c r="J4777" s="3">
        <f>Vendas[[#This Row],[Valor da Venda]]-(_xlfn.XLOOKUP(Vendas[[#This Row],[ID Item Vendido]],Agregado[ID],Agregado[Custo])*Vendas[[#This Row],[Qnt Vendida]])</f>
        <v>126</v>
      </c>
      <c r="K4777" s="70">
        <f>Vendas[[#This Row],[Lucro da Venda]]/Vendas[[#This Row],[Valor da Venda]]</f>
        <v>0.13461538461538461</v>
      </c>
      <c r="L4777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4777"/>
    </row>
    <row r="4778" spans="1:13" x14ac:dyDescent="0.3">
      <c r="A4778" s="7">
        <v>400250</v>
      </c>
      <c r="B4778" t="str">
        <f>_xlfn.XLOOKUP(Vendas[[#This Row],[ID Vendedor]],Vendedores[ID],Vendedores[Nome])</f>
        <v>Larissa</v>
      </c>
      <c r="C4778" s="7" t="str">
        <f>_xlfn.XLOOKUP(Vendas[[#This Row],[ID Vendedor]],Vendedores[ID],Vendedores[Setor])</f>
        <v>AB</v>
      </c>
      <c r="D4778" s="7" t="s">
        <v>39</v>
      </c>
      <c r="E4778" t="str">
        <f>_xlfn.XLOOKUP(Vendas[[#This Row],[ID Item Vendido]],Agregado[ID],Agregado[Produto])</f>
        <v>Filme plástico industrial rolo 50m</v>
      </c>
      <c r="F4778" s="39">
        <v>45861</v>
      </c>
      <c r="G4778" s="7">
        <v>25</v>
      </c>
      <c r="H4778" s="3">
        <f>_xlfn.XLOOKUP(Vendas[[#This Row],[ID Item Vendido]],Agregado[ID],Agregado[Revenda])</f>
        <v>37</v>
      </c>
      <c r="I4778" s="3">
        <f>Vendas[[#This Row],[Valor Unitário]]*Vendas[[#This Row],[Qnt Vendida]]</f>
        <v>925</v>
      </c>
      <c r="J4778" s="3">
        <f>Vendas[[#This Row],[Valor da Venda]]-(_xlfn.XLOOKUP(Vendas[[#This Row],[ID Item Vendido]],Agregado[ID],Agregado[Custo])*Vendas[[#This Row],[Qnt Vendida]])</f>
        <v>225</v>
      </c>
      <c r="K4778" s="70">
        <f>Vendas[[#This Row],[Lucro da Venda]]/Vendas[[#This Row],[Valor da Venda]]</f>
        <v>0.24324324324324326</v>
      </c>
      <c r="L4778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4778"/>
    </row>
    <row r="4779" spans="1:13" x14ac:dyDescent="0.3">
      <c r="A4779" s="7">
        <v>400246</v>
      </c>
      <c r="B4779" t="str">
        <f>_xlfn.XLOOKUP(Vendas[[#This Row],[ID Vendedor]],Vendedores[ID],Vendedores[Nome])</f>
        <v>Juliana</v>
      </c>
      <c r="C4779" s="7" t="str">
        <f>_xlfn.XLOOKUP(Vendas[[#This Row],[ID Vendedor]],Vendedores[ID],Vendedores[Setor])</f>
        <v>AHD</v>
      </c>
      <c r="D4779" s="7" t="s">
        <v>44</v>
      </c>
      <c r="E4779" t="str">
        <f>_xlfn.XLOOKUP(Vendas[[#This Row],[ID Item Vendido]],Agregado[ID],Agregado[Produto])</f>
        <v>Liga metálica especial</v>
      </c>
      <c r="F4779" s="39">
        <v>45861</v>
      </c>
      <c r="G4779" s="7">
        <v>11</v>
      </c>
      <c r="H4779" s="3">
        <f>_xlfn.XLOOKUP(Vendas[[#This Row],[ID Item Vendido]],Agregado[ID],Agregado[Revenda])</f>
        <v>32.5</v>
      </c>
      <c r="I4779" s="3">
        <f>Vendas[[#This Row],[Valor Unitário]]*Vendas[[#This Row],[Qnt Vendida]]</f>
        <v>357.5</v>
      </c>
      <c r="J4779" s="3">
        <f>Vendas[[#This Row],[Valor da Venda]]-(_xlfn.XLOOKUP(Vendas[[#This Row],[ID Item Vendido]],Agregado[ID],Agregado[Custo])*Vendas[[#This Row],[Qnt Vendida]])</f>
        <v>82.5</v>
      </c>
      <c r="K4779" s="70">
        <f>Vendas[[#This Row],[Lucro da Venda]]/Vendas[[#This Row],[Valor da Venda]]</f>
        <v>0.23076923076923078</v>
      </c>
      <c r="L4779" s="3">
        <f>_xlfn.IFS(Vendas[[#This Row],[Margem de Lucro (%)]]&lt;15%,Vendas[[#This Row],[Valor da Venda]]*3%,Vendas[[#This Row],[Margem de Lucro (%)]]&lt;=20%,Vendas[[#This Row],[Valor da Venda]]*4.5%,TRUE,Vendas[[#This Row],[Valor da Venda]]*6%)</f>
        <v>21.45</v>
      </c>
      <c r="M4779"/>
    </row>
    <row r="4780" spans="1:13" x14ac:dyDescent="0.3">
      <c r="A4780" s="7">
        <v>400250</v>
      </c>
      <c r="B4780" t="str">
        <f>_xlfn.XLOOKUP(Vendas[[#This Row],[ID Vendedor]],Vendedores[ID],Vendedores[Nome])</f>
        <v>Larissa</v>
      </c>
      <c r="C4780" s="7" t="str">
        <f>_xlfn.XLOOKUP(Vendas[[#This Row],[ID Vendedor]],Vendedores[ID],Vendedores[Setor])</f>
        <v>AB</v>
      </c>
      <c r="D4780" s="7" t="s">
        <v>37</v>
      </c>
      <c r="E4780" t="str">
        <f>_xlfn.XLOOKUP(Vendas[[#This Row],[ID Item Vendido]],Agregado[ID],Agregado[Produto])</f>
        <v>Composto de borracha para vedação rolo 10m</v>
      </c>
      <c r="F4780" s="39">
        <v>45861</v>
      </c>
      <c r="G4780" s="7">
        <v>6</v>
      </c>
      <c r="H4780" s="3">
        <f>_xlfn.XLOOKUP(Vendas[[#This Row],[ID Item Vendido]],Agregado[ID],Agregado[Revenda])</f>
        <v>51.2</v>
      </c>
      <c r="I4780" s="3">
        <f>Vendas[[#This Row],[Valor Unitário]]*Vendas[[#This Row],[Qnt Vendida]]</f>
        <v>307.20000000000005</v>
      </c>
      <c r="J4780" s="3">
        <f>Vendas[[#This Row],[Valor da Venda]]-(_xlfn.XLOOKUP(Vendas[[#This Row],[ID Item Vendido]],Agregado[ID],Agregado[Custo])*Vendas[[#This Row],[Qnt Vendida]])</f>
        <v>67.200000000000045</v>
      </c>
      <c r="K4780" s="70">
        <f>Vendas[[#This Row],[Lucro da Venda]]/Vendas[[#This Row],[Valor da Venda]]</f>
        <v>0.21875000000000011</v>
      </c>
      <c r="L4780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4780"/>
    </row>
    <row r="4781" spans="1:13" x14ac:dyDescent="0.3">
      <c r="A4781" s="7">
        <v>400255</v>
      </c>
      <c r="B4781" t="str">
        <f>_xlfn.XLOOKUP(Vendas[[#This Row],[ID Vendedor]],Vendedores[ID],Vendedores[Nome])</f>
        <v>Carlos</v>
      </c>
      <c r="C4781" s="7" t="str">
        <f>_xlfn.XLOOKUP(Vendas[[#This Row],[ID Vendedor]],Vendedores[ID],Vendedores[Setor])</f>
        <v>SC</v>
      </c>
      <c r="D4781" s="7" t="s">
        <v>14</v>
      </c>
      <c r="E4781" t="str">
        <f>_xlfn.XLOOKUP(Vendas[[#This Row],[ID Item Vendido]],Agregado[ID],Agregado[Produto])</f>
        <v>Barril de plástico 200L</v>
      </c>
      <c r="F4781" s="39">
        <v>45861</v>
      </c>
      <c r="G4781" s="7">
        <v>2</v>
      </c>
      <c r="H4781" s="3">
        <f>_xlfn.XLOOKUP(Vendas[[#This Row],[ID Item Vendido]],Agregado[ID],Agregado[Revenda])</f>
        <v>114</v>
      </c>
      <c r="I4781" s="3">
        <f>Vendas[[#This Row],[Valor Unitário]]*Vendas[[#This Row],[Qnt Vendida]]</f>
        <v>228</v>
      </c>
      <c r="J4781" s="3">
        <f>Vendas[[#This Row],[Valor da Venda]]-(_xlfn.XLOOKUP(Vendas[[#This Row],[ID Item Vendido]],Agregado[ID],Agregado[Custo])*Vendas[[#This Row],[Qnt Vendida]])</f>
        <v>38</v>
      </c>
      <c r="K4781" s="70">
        <f>Vendas[[#This Row],[Lucro da Venda]]/Vendas[[#This Row],[Valor da Venda]]</f>
        <v>0.16666666666666666</v>
      </c>
      <c r="L4781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4781"/>
    </row>
    <row r="4782" spans="1:13" x14ac:dyDescent="0.3">
      <c r="A4782" s="7">
        <v>400252</v>
      </c>
      <c r="B4782" t="str">
        <f>_xlfn.XLOOKUP(Vendas[[#This Row],[ID Vendedor]],Vendedores[ID],Vendedores[Nome])</f>
        <v>Renata</v>
      </c>
      <c r="C4782" s="7" t="str">
        <f>_xlfn.XLOOKUP(Vendas[[#This Row],[ID Vendedor]],Vendedores[ID],Vendedores[Setor])</f>
        <v>AB</v>
      </c>
      <c r="D4782" s="7" t="s">
        <v>24</v>
      </c>
      <c r="E4782" t="str">
        <f>_xlfn.XLOOKUP(Vendas[[#This Row],[ID Item Vendido]],Agregado[ID],Agregado[Produto])</f>
        <v>Resina plástica PET purificada saco de 25kg</v>
      </c>
      <c r="F4782" s="39">
        <v>45862</v>
      </c>
      <c r="G4782" s="7">
        <v>25</v>
      </c>
      <c r="H4782" s="3">
        <f>_xlfn.XLOOKUP(Vendas[[#This Row],[ID Item Vendido]],Agregado[ID],Agregado[Revenda])</f>
        <v>119</v>
      </c>
      <c r="I4782" s="3">
        <f>Vendas[[#This Row],[Valor Unitário]]*Vendas[[#This Row],[Qnt Vendida]]</f>
        <v>2975</v>
      </c>
      <c r="J4782" s="3">
        <f>Vendas[[#This Row],[Valor da Venda]]-(_xlfn.XLOOKUP(Vendas[[#This Row],[ID Item Vendido]],Agregado[ID],Agregado[Custo])*Vendas[[#This Row],[Qnt Vendida]])</f>
        <v>850</v>
      </c>
      <c r="K4782" s="70">
        <f>Vendas[[#This Row],[Lucro da Venda]]/Vendas[[#This Row],[Valor da Venda]]</f>
        <v>0.2857142857142857</v>
      </c>
      <c r="L4782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782"/>
    </row>
    <row r="4783" spans="1:13" x14ac:dyDescent="0.3">
      <c r="A4783" s="7">
        <v>400254</v>
      </c>
      <c r="B4783" t="str">
        <f>_xlfn.XLOOKUP(Vendas[[#This Row],[ID Vendedor]],Vendedores[ID],Vendedores[Nome])</f>
        <v>Beatriz</v>
      </c>
      <c r="C4783" s="7" t="str">
        <f>_xlfn.XLOOKUP(Vendas[[#This Row],[ID Vendedor]],Vendedores[ID],Vendedores[Setor])</f>
        <v>SC</v>
      </c>
      <c r="D4783" s="7" t="s">
        <v>48</v>
      </c>
      <c r="E4783" t="str">
        <f>_xlfn.XLOOKUP(Vendas[[#This Row],[ID Item Vendido]],Agregado[ID],Agregado[Produto])</f>
        <v>Tambor metálico 200L</v>
      </c>
      <c r="F4783" s="39">
        <v>45862</v>
      </c>
      <c r="G4783" s="7">
        <v>12</v>
      </c>
      <c r="H4783" s="3">
        <f>_xlfn.XLOOKUP(Vendas[[#This Row],[ID Item Vendido]],Agregado[ID],Agregado[Revenda])</f>
        <v>144</v>
      </c>
      <c r="I4783" s="3">
        <f>Vendas[[#This Row],[Valor Unitário]]*Vendas[[#This Row],[Qnt Vendida]]</f>
        <v>1728</v>
      </c>
      <c r="J4783" s="3">
        <f>Vendas[[#This Row],[Valor da Venda]]-(_xlfn.XLOOKUP(Vendas[[#This Row],[ID Item Vendido]],Agregado[ID],Agregado[Custo])*Vendas[[#This Row],[Qnt Vendida]])</f>
        <v>288</v>
      </c>
      <c r="K4783" s="70">
        <f>Vendas[[#This Row],[Lucro da Venda]]/Vendas[[#This Row],[Valor da Venda]]</f>
        <v>0.16666666666666666</v>
      </c>
      <c r="L4783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4783"/>
    </row>
    <row r="4784" spans="1:13" x14ac:dyDescent="0.3">
      <c r="A4784" s="7">
        <v>400252</v>
      </c>
      <c r="B4784" t="str">
        <f>_xlfn.XLOOKUP(Vendas[[#This Row],[ID Vendedor]],Vendedores[ID],Vendedores[Nome])</f>
        <v>Renata</v>
      </c>
      <c r="C4784" s="7" t="str">
        <f>_xlfn.XLOOKUP(Vendas[[#This Row],[ID Vendedor]],Vendedores[ID],Vendedores[Setor])</f>
        <v>AB</v>
      </c>
      <c r="D4784" s="7" t="s">
        <v>12</v>
      </c>
      <c r="E4784" t="str">
        <f>_xlfn.XLOOKUP(Vendas[[#This Row],[ID Item Vendido]],Agregado[ID],Agregado[Produto])</f>
        <v>Grânulo de plástico reciclado refinado</v>
      </c>
      <c r="F4784" s="39">
        <v>45862</v>
      </c>
      <c r="G4784" s="7">
        <v>29</v>
      </c>
      <c r="H4784" s="3">
        <f>_xlfn.XLOOKUP(Vendas[[#This Row],[ID Item Vendido]],Agregado[ID],Agregado[Revenda])</f>
        <v>4.7</v>
      </c>
      <c r="I4784" s="3">
        <f>Vendas[[#This Row],[Valor Unitário]]*Vendas[[#This Row],[Qnt Vendida]]</f>
        <v>136.30000000000001</v>
      </c>
      <c r="J4784" s="3">
        <f>Vendas[[#This Row],[Valor da Venda]]-(_xlfn.XLOOKUP(Vendas[[#This Row],[ID Item Vendido]],Agregado[ID],Agregado[Custo])*Vendas[[#This Row],[Qnt Vendida]])</f>
        <v>34.800000000000011</v>
      </c>
      <c r="K4784" s="70">
        <f>Vendas[[#This Row],[Lucro da Venda]]/Vendas[[#This Row],[Valor da Venda]]</f>
        <v>0.25531914893617025</v>
      </c>
      <c r="L4784" s="3">
        <f>_xlfn.IFS(Vendas[[#This Row],[Margem de Lucro (%)]]&lt;15%,Vendas[[#This Row],[Valor da Venda]]*3%,Vendas[[#This Row],[Margem de Lucro (%)]]&lt;=20%,Vendas[[#This Row],[Valor da Venda]]*4.5%,TRUE,Vendas[[#This Row],[Valor da Venda]]*6%)</f>
        <v>8.1780000000000008</v>
      </c>
      <c r="M4784"/>
    </row>
    <row r="4785" spans="1:13" x14ac:dyDescent="0.3">
      <c r="A4785" s="7">
        <v>400254</v>
      </c>
      <c r="B4785" t="str">
        <f>_xlfn.XLOOKUP(Vendas[[#This Row],[ID Vendedor]],Vendedores[ID],Vendedores[Nome])</f>
        <v>Beatriz</v>
      </c>
      <c r="C4785" s="7" t="str">
        <f>_xlfn.XLOOKUP(Vendas[[#This Row],[ID Vendedor]],Vendedores[ID],Vendedores[Setor])</f>
        <v>SC</v>
      </c>
      <c r="D4785" s="7" t="s">
        <v>25</v>
      </c>
      <c r="E4785" t="str">
        <f>_xlfn.XLOOKUP(Vendas[[#This Row],[ID Item Vendido]],Agregado[ID],Agregado[Produto])</f>
        <v>Palete de plástico</v>
      </c>
      <c r="F4785" s="39">
        <v>45864</v>
      </c>
      <c r="G4785" s="7">
        <v>8</v>
      </c>
      <c r="H4785" s="3">
        <f>_xlfn.XLOOKUP(Vendas[[#This Row],[ID Item Vendido]],Agregado[ID],Agregado[Revenda])</f>
        <v>70.8</v>
      </c>
      <c r="I4785" s="3">
        <f>Vendas[[#This Row],[Valor Unitário]]*Vendas[[#This Row],[Qnt Vendida]]</f>
        <v>566.4</v>
      </c>
      <c r="J4785" s="3">
        <f>Vendas[[#This Row],[Valor da Venda]]-(_xlfn.XLOOKUP(Vendas[[#This Row],[ID Item Vendido]],Agregado[ID],Agregado[Custo])*Vendas[[#This Row],[Qnt Vendida]])</f>
        <v>86.399999999999977</v>
      </c>
      <c r="K4785" s="70">
        <f>Vendas[[#This Row],[Lucro da Venda]]/Vendas[[#This Row],[Valor da Venda]]</f>
        <v>0.15254237288135589</v>
      </c>
      <c r="L4785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4785"/>
    </row>
    <row r="4786" spans="1:13" x14ac:dyDescent="0.3">
      <c r="A4786" s="7">
        <v>400245</v>
      </c>
      <c r="B4786" t="str">
        <f>_xlfn.XLOOKUP(Vendas[[#This Row],[ID Vendedor]],Vendedores[ID],Vendedores[Nome])</f>
        <v>Thiago</v>
      </c>
      <c r="C4786" s="7" t="str">
        <f>_xlfn.XLOOKUP(Vendas[[#This Row],[ID Vendedor]],Vendedores[ID],Vendedores[Setor])</f>
        <v>AHD</v>
      </c>
      <c r="D4786" s="7" t="s">
        <v>44</v>
      </c>
      <c r="E4786" t="str">
        <f>_xlfn.XLOOKUP(Vendas[[#This Row],[ID Item Vendido]],Agregado[ID],Agregado[Produto])</f>
        <v>Liga metálica especial</v>
      </c>
      <c r="F4786" s="39">
        <v>45865</v>
      </c>
      <c r="G4786" s="7">
        <v>53</v>
      </c>
      <c r="H4786" s="3">
        <f>_xlfn.XLOOKUP(Vendas[[#This Row],[ID Item Vendido]],Agregado[ID],Agregado[Revenda])</f>
        <v>32.5</v>
      </c>
      <c r="I4786" s="3">
        <f>Vendas[[#This Row],[Valor Unitário]]*Vendas[[#This Row],[Qnt Vendida]]</f>
        <v>1722.5</v>
      </c>
      <c r="J4786" s="3">
        <f>Vendas[[#This Row],[Valor da Venda]]-(_xlfn.XLOOKUP(Vendas[[#This Row],[ID Item Vendido]],Agregado[ID],Agregado[Custo])*Vendas[[#This Row],[Qnt Vendida]])</f>
        <v>397.5</v>
      </c>
      <c r="K4786" s="70">
        <f>Vendas[[#This Row],[Lucro da Venda]]/Vendas[[#This Row],[Valor da Venda]]</f>
        <v>0.23076923076923078</v>
      </c>
      <c r="L4786" s="3">
        <f>_xlfn.IFS(Vendas[[#This Row],[Margem de Lucro (%)]]&lt;15%,Vendas[[#This Row],[Valor da Venda]]*3%,Vendas[[#This Row],[Margem de Lucro (%)]]&lt;=20%,Vendas[[#This Row],[Valor da Venda]]*4.5%,TRUE,Vendas[[#This Row],[Valor da Venda]]*6%)</f>
        <v>103.35</v>
      </c>
      <c r="M4786"/>
    </row>
    <row r="4787" spans="1:13" x14ac:dyDescent="0.3">
      <c r="A4787" s="7">
        <v>400247</v>
      </c>
      <c r="B4787" t="str">
        <f>_xlfn.XLOOKUP(Vendas[[#This Row],[ID Vendedor]],Vendedores[ID],Vendedores[Nome])</f>
        <v>André</v>
      </c>
      <c r="C4787" s="7" t="str">
        <f>_xlfn.XLOOKUP(Vendas[[#This Row],[ID Vendedor]],Vendedores[ID],Vendedores[Setor])</f>
        <v>CM</v>
      </c>
      <c r="D4787" s="7" t="s">
        <v>32</v>
      </c>
      <c r="E4787" t="str">
        <f>_xlfn.XLOOKUP(Vendas[[#This Row],[ID Item Vendido]],Agregado[ID],Agregado[Produto])</f>
        <v>Tábua tratada e cortada 3m</v>
      </c>
      <c r="F4787" s="39">
        <v>45865</v>
      </c>
      <c r="G4787" s="7">
        <v>40</v>
      </c>
      <c r="H4787" s="3">
        <f>_xlfn.XLOOKUP(Vendas[[#This Row],[ID Item Vendido]],Agregado[ID],Agregado[Revenda])</f>
        <v>39</v>
      </c>
      <c r="I4787" s="3">
        <f>Vendas[[#This Row],[Valor Unitário]]*Vendas[[#This Row],[Qnt Vendida]]</f>
        <v>1560</v>
      </c>
      <c r="J4787" s="3">
        <f>Vendas[[#This Row],[Valor da Venda]]-(_xlfn.XLOOKUP(Vendas[[#This Row],[ID Item Vendido]],Agregado[ID],Agregado[Custo])*Vendas[[#This Row],[Qnt Vendida]])</f>
        <v>280</v>
      </c>
      <c r="K4787" s="70">
        <f>Vendas[[#This Row],[Lucro da Venda]]/Vendas[[#This Row],[Valor da Venda]]</f>
        <v>0.17948717948717949</v>
      </c>
      <c r="L4787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4787"/>
    </row>
    <row r="4788" spans="1:13" x14ac:dyDescent="0.3">
      <c r="A4788" s="7">
        <v>400242</v>
      </c>
      <c r="B4788" t="str">
        <f>_xlfn.XLOOKUP(Vendas[[#This Row],[ID Vendedor]],Vendedores[ID],Vendedores[Nome])</f>
        <v>Fernanda</v>
      </c>
      <c r="C4788" s="7" t="str">
        <f>_xlfn.XLOOKUP(Vendas[[#This Row],[ID Vendedor]],Vendedores[ID],Vendedores[Setor])</f>
        <v>FM</v>
      </c>
      <c r="D4788" s="7" t="s">
        <v>6</v>
      </c>
      <c r="E4788" t="str">
        <f>_xlfn.XLOOKUP(Vendas[[#This Row],[ID Item Vendido]],Agregado[ID],Agregado[Produto])</f>
        <v>Parafuso comum 500un</v>
      </c>
      <c r="F4788" s="39">
        <v>45865</v>
      </c>
      <c r="G4788" s="7">
        <v>21</v>
      </c>
      <c r="H4788" s="3">
        <f>_xlfn.XLOOKUP(Vendas[[#This Row],[ID Item Vendido]],Agregado[ID],Agregado[Revenda])</f>
        <v>24.6</v>
      </c>
      <c r="I4788" s="3">
        <f>Vendas[[#This Row],[Valor Unitário]]*Vendas[[#This Row],[Qnt Vendida]]</f>
        <v>516.6</v>
      </c>
      <c r="J4788" s="3">
        <f>Vendas[[#This Row],[Valor da Venda]]-(_xlfn.XLOOKUP(Vendas[[#This Row],[ID Item Vendido]],Agregado[ID],Agregado[Custo])*Vendas[[#This Row],[Qnt Vendida]])</f>
        <v>54.600000000000023</v>
      </c>
      <c r="K4788" s="70">
        <f>Vendas[[#This Row],[Lucro da Venda]]/Vendas[[#This Row],[Valor da Venda]]</f>
        <v>0.10569105691056914</v>
      </c>
      <c r="L4788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4788"/>
    </row>
    <row r="4789" spans="1:13" x14ac:dyDescent="0.3">
      <c r="A4789" s="7">
        <v>400251</v>
      </c>
      <c r="B4789" t="str">
        <f>_xlfn.XLOOKUP(Vendas[[#This Row],[ID Vendedor]],Vendedores[ID],Vendedores[Nome])</f>
        <v>Diego</v>
      </c>
      <c r="C4789" s="7" t="str">
        <f>_xlfn.XLOOKUP(Vendas[[#This Row],[ID Vendedor]],Vendedores[ID],Vendedores[Setor])</f>
        <v>AB</v>
      </c>
      <c r="D4789" s="7" t="s">
        <v>24</v>
      </c>
      <c r="E4789" t="str">
        <f>_xlfn.XLOOKUP(Vendas[[#This Row],[ID Item Vendido]],Agregado[ID],Agregado[Produto])</f>
        <v>Resina plástica PET purificada saco de 25kg</v>
      </c>
      <c r="F4789" s="39">
        <v>45866</v>
      </c>
      <c r="G4789" s="7">
        <v>23</v>
      </c>
      <c r="H4789" s="3">
        <f>_xlfn.XLOOKUP(Vendas[[#This Row],[ID Item Vendido]],Agregado[ID],Agregado[Revenda])</f>
        <v>119</v>
      </c>
      <c r="I4789" s="3">
        <f>Vendas[[#This Row],[Valor Unitário]]*Vendas[[#This Row],[Qnt Vendida]]</f>
        <v>2737</v>
      </c>
      <c r="J4789" s="3">
        <f>Vendas[[#This Row],[Valor da Venda]]-(_xlfn.XLOOKUP(Vendas[[#This Row],[ID Item Vendido]],Agregado[ID],Agregado[Custo])*Vendas[[#This Row],[Qnt Vendida]])</f>
        <v>782</v>
      </c>
      <c r="K4789" s="70">
        <f>Vendas[[#This Row],[Lucro da Venda]]/Vendas[[#This Row],[Valor da Venda]]</f>
        <v>0.2857142857142857</v>
      </c>
      <c r="L4789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789"/>
    </row>
    <row r="4790" spans="1:13" x14ac:dyDescent="0.3">
      <c r="A4790" s="7">
        <v>400248</v>
      </c>
      <c r="B4790" t="str">
        <f>_xlfn.XLOOKUP(Vendas[[#This Row],[ID Vendedor]],Vendedores[ID],Vendedores[Nome])</f>
        <v>Patrícia</v>
      </c>
      <c r="C4790" s="7" t="str">
        <f>_xlfn.XLOOKUP(Vendas[[#This Row],[ID Vendedor]],Vendedores[ID],Vendedores[Setor])</f>
        <v>CM</v>
      </c>
      <c r="D4790" s="7" t="s">
        <v>43</v>
      </c>
      <c r="E4790" t="str">
        <f>_xlfn.XLOOKUP(Vendas[[#This Row],[ID Item Vendido]],Agregado[ID],Agregado[Produto])</f>
        <v>Madeira Bruta (Tora)</v>
      </c>
      <c r="F4790" s="39">
        <v>45866</v>
      </c>
      <c r="G4790" s="7">
        <v>11</v>
      </c>
      <c r="H4790" s="3">
        <f>_xlfn.XLOOKUP(Vendas[[#This Row],[ID Item Vendido]],Agregado[ID],Agregado[Revenda])</f>
        <v>212</v>
      </c>
      <c r="I4790" s="3">
        <f>Vendas[[#This Row],[Valor Unitário]]*Vendas[[#This Row],[Qnt Vendida]]</f>
        <v>2332</v>
      </c>
      <c r="J4790" s="3">
        <f>Vendas[[#This Row],[Valor da Venda]]-(_xlfn.XLOOKUP(Vendas[[#This Row],[ID Item Vendido]],Agregado[ID],Agregado[Custo])*Vendas[[#This Row],[Qnt Vendida]])</f>
        <v>352</v>
      </c>
      <c r="K4790" s="70">
        <f>Vendas[[#This Row],[Lucro da Venda]]/Vendas[[#This Row],[Valor da Venda]]</f>
        <v>0.15094339622641509</v>
      </c>
      <c r="L4790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4790"/>
    </row>
    <row r="4791" spans="1:13" x14ac:dyDescent="0.3">
      <c r="A4791" s="7">
        <v>400252</v>
      </c>
      <c r="B4791" t="str">
        <f>_xlfn.XLOOKUP(Vendas[[#This Row],[ID Vendedor]],Vendedores[ID],Vendedores[Nome])</f>
        <v>Renata</v>
      </c>
      <c r="C4791" s="7" t="str">
        <f>_xlfn.XLOOKUP(Vendas[[#This Row],[ID Vendedor]],Vendedores[ID],Vendedores[Setor])</f>
        <v>AB</v>
      </c>
      <c r="D4791" s="7" t="s">
        <v>24</v>
      </c>
      <c r="E4791" t="str">
        <f>_xlfn.XLOOKUP(Vendas[[#This Row],[ID Item Vendido]],Agregado[ID],Agregado[Produto])</f>
        <v>Resina plástica PET purificada saco de 25kg</v>
      </c>
      <c r="F4791" s="39">
        <v>45866</v>
      </c>
      <c r="G4791" s="7">
        <v>11</v>
      </c>
      <c r="H4791" s="3">
        <f>_xlfn.XLOOKUP(Vendas[[#This Row],[ID Item Vendido]],Agregado[ID],Agregado[Revenda])</f>
        <v>119</v>
      </c>
      <c r="I4791" s="3">
        <f>Vendas[[#This Row],[Valor Unitário]]*Vendas[[#This Row],[Qnt Vendida]]</f>
        <v>1309</v>
      </c>
      <c r="J4791" s="3">
        <f>Vendas[[#This Row],[Valor da Venda]]-(_xlfn.XLOOKUP(Vendas[[#This Row],[ID Item Vendido]],Agregado[ID],Agregado[Custo])*Vendas[[#This Row],[Qnt Vendida]])</f>
        <v>374</v>
      </c>
      <c r="K4791" s="70">
        <f>Vendas[[#This Row],[Lucro da Venda]]/Vendas[[#This Row],[Valor da Venda]]</f>
        <v>0.2857142857142857</v>
      </c>
      <c r="L4791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791"/>
    </row>
    <row r="4792" spans="1:13" x14ac:dyDescent="0.3">
      <c r="A4792" s="7">
        <v>400254</v>
      </c>
      <c r="B4792" t="str">
        <f>_xlfn.XLOOKUP(Vendas[[#This Row],[ID Vendedor]],Vendedores[ID],Vendedores[Nome])</f>
        <v>Beatriz</v>
      </c>
      <c r="C4792" s="7" t="str">
        <f>_xlfn.XLOOKUP(Vendas[[#This Row],[ID Vendedor]],Vendedores[ID],Vendedores[Setor])</f>
        <v>SC</v>
      </c>
      <c r="D4792" s="7" t="s">
        <v>25</v>
      </c>
      <c r="E4792" t="str">
        <f>_xlfn.XLOOKUP(Vendas[[#This Row],[ID Item Vendido]],Agregado[ID],Agregado[Produto])</f>
        <v>Palete de plástico</v>
      </c>
      <c r="F4792" s="39">
        <v>45866</v>
      </c>
      <c r="G4792" s="7">
        <v>3</v>
      </c>
      <c r="H4792" s="3">
        <f>_xlfn.XLOOKUP(Vendas[[#This Row],[ID Item Vendido]],Agregado[ID],Agregado[Revenda])</f>
        <v>70.8</v>
      </c>
      <c r="I4792" s="3">
        <f>Vendas[[#This Row],[Valor Unitário]]*Vendas[[#This Row],[Qnt Vendida]]</f>
        <v>212.39999999999998</v>
      </c>
      <c r="J4792" s="3">
        <f>Vendas[[#This Row],[Valor da Venda]]-(_xlfn.XLOOKUP(Vendas[[#This Row],[ID Item Vendido]],Agregado[ID],Agregado[Custo])*Vendas[[#This Row],[Qnt Vendida]])</f>
        <v>32.399999999999977</v>
      </c>
      <c r="K4792" s="70">
        <f>Vendas[[#This Row],[Lucro da Venda]]/Vendas[[#This Row],[Valor da Venda]]</f>
        <v>0.15254237288135583</v>
      </c>
      <c r="L4792" s="3">
        <f>_xlfn.IFS(Vendas[[#This Row],[Margem de Lucro (%)]]&lt;15%,Vendas[[#This Row],[Valor da Venda]]*3%,Vendas[[#This Row],[Margem de Lucro (%)]]&lt;=20%,Vendas[[#This Row],[Valor da Venda]]*4.5%,TRUE,Vendas[[#This Row],[Valor da Venda]]*6%)</f>
        <v>9.5579999999999981</v>
      </c>
      <c r="M4792"/>
    </row>
    <row r="4793" spans="1:13" x14ac:dyDescent="0.3">
      <c r="A4793" s="7">
        <v>400251</v>
      </c>
      <c r="B4793" t="str">
        <f>_xlfn.XLOOKUP(Vendas[[#This Row],[ID Vendedor]],Vendedores[ID],Vendedores[Nome])</f>
        <v>Diego</v>
      </c>
      <c r="C4793" s="7" t="str">
        <f>_xlfn.XLOOKUP(Vendas[[#This Row],[ID Vendedor]],Vendedores[ID],Vendedores[Setor])</f>
        <v>AB</v>
      </c>
      <c r="D4793" s="7" t="s">
        <v>24</v>
      </c>
      <c r="E4793" t="str">
        <f>_xlfn.XLOOKUP(Vendas[[#This Row],[ID Item Vendido]],Agregado[ID],Agregado[Produto])</f>
        <v>Resina plástica PET purificada saco de 25kg</v>
      </c>
      <c r="F4793" s="39">
        <v>45867</v>
      </c>
      <c r="G4793" s="7">
        <v>26</v>
      </c>
      <c r="H4793" s="3">
        <f>_xlfn.XLOOKUP(Vendas[[#This Row],[ID Item Vendido]],Agregado[ID],Agregado[Revenda])</f>
        <v>119</v>
      </c>
      <c r="I4793" s="3">
        <f>Vendas[[#This Row],[Valor Unitário]]*Vendas[[#This Row],[Qnt Vendida]]</f>
        <v>3094</v>
      </c>
      <c r="J4793" s="3">
        <f>Vendas[[#This Row],[Valor da Venda]]-(_xlfn.XLOOKUP(Vendas[[#This Row],[ID Item Vendido]],Agregado[ID],Agregado[Custo])*Vendas[[#This Row],[Qnt Vendida]])</f>
        <v>884</v>
      </c>
      <c r="K4793" s="70">
        <f>Vendas[[#This Row],[Lucro da Venda]]/Vendas[[#This Row],[Valor da Venda]]</f>
        <v>0.2857142857142857</v>
      </c>
      <c r="L4793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4793"/>
    </row>
    <row r="4794" spans="1:13" x14ac:dyDescent="0.3">
      <c r="A4794" s="7">
        <v>400255</v>
      </c>
      <c r="B4794" t="str">
        <f>_xlfn.XLOOKUP(Vendas[[#This Row],[ID Vendedor]],Vendedores[ID],Vendedores[Nome])</f>
        <v>Carlos</v>
      </c>
      <c r="C4794" s="7" t="str">
        <f>_xlfn.XLOOKUP(Vendas[[#This Row],[ID Vendedor]],Vendedores[ID],Vendedores[Setor])</f>
        <v>SC</v>
      </c>
      <c r="D4794" s="7" t="s">
        <v>14</v>
      </c>
      <c r="E4794" t="str">
        <f>_xlfn.XLOOKUP(Vendas[[#This Row],[ID Item Vendido]],Agregado[ID],Agregado[Produto])</f>
        <v>Barril de plástico 200L</v>
      </c>
      <c r="F4794" s="39">
        <v>45868</v>
      </c>
      <c r="G4794" s="7">
        <v>25</v>
      </c>
      <c r="H4794" s="3">
        <f>_xlfn.XLOOKUP(Vendas[[#This Row],[ID Item Vendido]],Agregado[ID],Agregado[Revenda])</f>
        <v>114</v>
      </c>
      <c r="I4794" s="3">
        <f>Vendas[[#This Row],[Valor Unitário]]*Vendas[[#This Row],[Qnt Vendida]]</f>
        <v>2850</v>
      </c>
      <c r="J4794" s="3">
        <f>Vendas[[#This Row],[Valor da Venda]]-(_xlfn.XLOOKUP(Vendas[[#This Row],[ID Item Vendido]],Agregado[ID],Agregado[Custo])*Vendas[[#This Row],[Qnt Vendida]])</f>
        <v>475</v>
      </c>
      <c r="K4794" s="70">
        <f>Vendas[[#This Row],[Lucro da Venda]]/Vendas[[#This Row],[Valor da Venda]]</f>
        <v>0.16666666666666666</v>
      </c>
      <c r="L4794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4794"/>
    </row>
    <row r="4795" spans="1:13" x14ac:dyDescent="0.3">
      <c r="A4795" s="7">
        <v>400243</v>
      </c>
      <c r="B4795" t="str">
        <f>_xlfn.XLOOKUP(Vendas[[#This Row],[ID Vendedor]],Vendedores[ID],Vendedores[Nome])</f>
        <v>Marcelo</v>
      </c>
      <c r="C4795" s="7" t="str">
        <f>_xlfn.XLOOKUP(Vendas[[#This Row],[ID Vendedor]],Vendedores[ID],Vendedores[Setor])</f>
        <v>FM</v>
      </c>
      <c r="D4795" s="7" t="s">
        <v>27</v>
      </c>
      <c r="E4795" t="str">
        <f>_xlfn.XLOOKUP(Vendas[[#This Row],[ID Item Vendido]],Agregado[ID],Agregado[Produto])</f>
        <v>Chapa de metal lisa 1x2m</v>
      </c>
      <c r="F4795" s="39">
        <v>45868</v>
      </c>
      <c r="G4795" s="7">
        <v>29</v>
      </c>
      <c r="H4795" s="3">
        <f>_xlfn.XLOOKUP(Vendas[[#This Row],[ID Item Vendido]],Agregado[ID],Agregado[Revenda])</f>
        <v>52</v>
      </c>
      <c r="I4795" s="3">
        <f>Vendas[[#This Row],[Valor Unitário]]*Vendas[[#This Row],[Qnt Vendida]]</f>
        <v>1508</v>
      </c>
      <c r="J4795" s="3">
        <f>Vendas[[#This Row],[Valor da Venda]]-(_xlfn.XLOOKUP(Vendas[[#This Row],[ID Item Vendido]],Agregado[ID],Agregado[Custo])*Vendas[[#This Row],[Qnt Vendida]])</f>
        <v>203</v>
      </c>
      <c r="K4795" s="70">
        <f>Vendas[[#This Row],[Lucro da Venda]]/Vendas[[#This Row],[Valor da Venda]]</f>
        <v>0.13461538461538461</v>
      </c>
      <c r="L4795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4795"/>
    </row>
    <row r="4796" spans="1:13" x14ac:dyDescent="0.3">
      <c r="A4796" s="7">
        <v>400242</v>
      </c>
      <c r="B4796" t="str">
        <f>_xlfn.XLOOKUP(Vendas[[#This Row],[ID Vendedor]],Vendedores[ID],Vendedores[Nome])</f>
        <v>Fernanda</v>
      </c>
      <c r="C4796" s="7" t="str">
        <f>_xlfn.XLOOKUP(Vendas[[#This Row],[ID Vendedor]],Vendedores[ID],Vendedores[Setor])</f>
        <v>FM</v>
      </c>
      <c r="D4796" s="7" t="s">
        <v>6</v>
      </c>
      <c r="E4796" t="str">
        <f>_xlfn.XLOOKUP(Vendas[[#This Row],[ID Item Vendido]],Agregado[ID],Agregado[Produto])</f>
        <v>Parafuso comum 500un</v>
      </c>
      <c r="F4796" s="39">
        <v>45868</v>
      </c>
      <c r="G4796" s="7">
        <v>17</v>
      </c>
      <c r="H4796" s="3">
        <f>_xlfn.XLOOKUP(Vendas[[#This Row],[ID Item Vendido]],Agregado[ID],Agregado[Revenda])</f>
        <v>24.6</v>
      </c>
      <c r="I4796" s="3">
        <f>Vendas[[#This Row],[Valor Unitário]]*Vendas[[#This Row],[Qnt Vendida]]</f>
        <v>418.20000000000005</v>
      </c>
      <c r="J4796" s="3">
        <f>Vendas[[#This Row],[Valor da Venda]]-(_xlfn.XLOOKUP(Vendas[[#This Row],[ID Item Vendido]],Agregado[ID],Agregado[Custo])*Vendas[[#This Row],[Qnt Vendida]])</f>
        <v>44.200000000000045</v>
      </c>
      <c r="K4796" s="70">
        <f>Vendas[[#This Row],[Lucro da Venda]]/Vendas[[#This Row],[Valor da Venda]]</f>
        <v>0.10569105691056921</v>
      </c>
      <c r="L4796" s="3">
        <f>_xlfn.IFS(Vendas[[#This Row],[Margem de Lucro (%)]]&lt;15%,Vendas[[#This Row],[Valor da Venda]]*3%,Vendas[[#This Row],[Margem de Lucro (%)]]&lt;=20%,Vendas[[#This Row],[Valor da Venda]]*4.5%,TRUE,Vendas[[#This Row],[Valor da Venda]]*6%)</f>
        <v>12.546000000000001</v>
      </c>
      <c r="M4796"/>
    </row>
    <row r="4797" spans="1:13" x14ac:dyDescent="0.3">
      <c r="A4797" s="7">
        <v>400252</v>
      </c>
      <c r="B4797" t="str">
        <f>_xlfn.XLOOKUP(Vendas[[#This Row],[ID Vendedor]],Vendedores[ID],Vendedores[Nome])</f>
        <v>Renata</v>
      </c>
      <c r="C4797" s="7" t="str">
        <f>_xlfn.XLOOKUP(Vendas[[#This Row],[ID Vendedor]],Vendedores[ID],Vendedores[Setor])</f>
        <v>AB</v>
      </c>
      <c r="D4797" s="7" t="s">
        <v>39</v>
      </c>
      <c r="E4797" t="str">
        <f>_xlfn.XLOOKUP(Vendas[[#This Row],[ID Item Vendido]],Agregado[ID],Agregado[Produto])</f>
        <v>Filme plástico industrial rolo 50m</v>
      </c>
      <c r="F4797" s="39">
        <v>45868</v>
      </c>
      <c r="G4797" s="7">
        <v>5</v>
      </c>
      <c r="H4797" s="3">
        <f>_xlfn.XLOOKUP(Vendas[[#This Row],[ID Item Vendido]],Agregado[ID],Agregado[Revenda])</f>
        <v>37</v>
      </c>
      <c r="I4797" s="3">
        <f>Vendas[[#This Row],[Valor Unitário]]*Vendas[[#This Row],[Qnt Vendida]]</f>
        <v>185</v>
      </c>
      <c r="J4797" s="3">
        <f>Vendas[[#This Row],[Valor da Venda]]-(_xlfn.XLOOKUP(Vendas[[#This Row],[ID Item Vendido]],Agregado[ID],Agregado[Custo])*Vendas[[#This Row],[Qnt Vendida]])</f>
        <v>45</v>
      </c>
      <c r="K4797" s="70">
        <f>Vendas[[#This Row],[Lucro da Venda]]/Vendas[[#This Row],[Valor da Venda]]</f>
        <v>0.24324324324324326</v>
      </c>
      <c r="L4797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4797"/>
    </row>
    <row r="4798" spans="1:13" x14ac:dyDescent="0.3">
      <c r="A4798" s="7">
        <v>400255</v>
      </c>
      <c r="B4798" t="str">
        <f>_xlfn.XLOOKUP(Vendas[[#This Row],[ID Vendedor]],Vendedores[ID],Vendedores[Nome])</f>
        <v>Carlos</v>
      </c>
      <c r="C4798" s="7" t="str">
        <f>_xlfn.XLOOKUP(Vendas[[#This Row],[ID Vendedor]],Vendedores[ID],Vendedores[Setor])</f>
        <v>SC</v>
      </c>
      <c r="D4798" s="7" t="s">
        <v>48</v>
      </c>
      <c r="E4798" t="str">
        <f>_xlfn.XLOOKUP(Vendas[[#This Row],[ID Item Vendido]],Agregado[ID],Agregado[Produto])</f>
        <v>Tambor metálico 200L</v>
      </c>
      <c r="F4798" s="39">
        <v>45869</v>
      </c>
      <c r="G4798" s="7">
        <v>10</v>
      </c>
      <c r="H4798" s="3">
        <f>_xlfn.XLOOKUP(Vendas[[#This Row],[ID Item Vendido]],Agregado[ID],Agregado[Revenda])</f>
        <v>144</v>
      </c>
      <c r="I4798" s="3">
        <f>Vendas[[#This Row],[Valor Unitário]]*Vendas[[#This Row],[Qnt Vendida]]</f>
        <v>1440</v>
      </c>
      <c r="J4798" s="3">
        <f>Vendas[[#This Row],[Valor da Venda]]-(_xlfn.XLOOKUP(Vendas[[#This Row],[ID Item Vendido]],Agregado[ID],Agregado[Custo])*Vendas[[#This Row],[Qnt Vendida]])</f>
        <v>240</v>
      </c>
      <c r="K4798" s="70">
        <f>Vendas[[#This Row],[Lucro da Venda]]/Vendas[[#This Row],[Valor da Venda]]</f>
        <v>0.16666666666666666</v>
      </c>
      <c r="L4798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4798"/>
    </row>
    <row r="4799" spans="1:13" x14ac:dyDescent="0.3">
      <c r="A4799" s="7">
        <v>400250</v>
      </c>
      <c r="B4799" t="str">
        <f>_xlfn.XLOOKUP(Vendas[[#This Row],[ID Vendedor]],Vendedores[ID],Vendedores[Nome])</f>
        <v>Larissa</v>
      </c>
      <c r="C4799" s="7" t="str">
        <f>_xlfn.XLOOKUP(Vendas[[#This Row],[ID Vendedor]],Vendedores[ID],Vendedores[Setor])</f>
        <v>AB</v>
      </c>
      <c r="D4799" s="7" t="s">
        <v>24</v>
      </c>
      <c r="E4799" t="str">
        <f>_xlfn.XLOOKUP(Vendas[[#This Row],[ID Item Vendido]],Agregado[ID],Agregado[Produto])</f>
        <v>Resina plástica PET purificada saco de 25kg</v>
      </c>
      <c r="F4799" s="39">
        <v>45869</v>
      </c>
      <c r="G4799" s="7">
        <v>12</v>
      </c>
      <c r="H4799" s="3">
        <f>_xlfn.XLOOKUP(Vendas[[#This Row],[ID Item Vendido]],Agregado[ID],Agregado[Revenda])</f>
        <v>119</v>
      </c>
      <c r="I4799" s="3">
        <f>Vendas[[#This Row],[Valor Unitário]]*Vendas[[#This Row],[Qnt Vendida]]</f>
        <v>1428</v>
      </c>
      <c r="J4799" s="3">
        <f>Vendas[[#This Row],[Valor da Venda]]-(_xlfn.XLOOKUP(Vendas[[#This Row],[ID Item Vendido]],Agregado[ID],Agregado[Custo])*Vendas[[#This Row],[Qnt Vendida]])</f>
        <v>408</v>
      </c>
      <c r="K4799" s="70">
        <f>Vendas[[#This Row],[Lucro da Venda]]/Vendas[[#This Row],[Valor da Venda]]</f>
        <v>0.2857142857142857</v>
      </c>
      <c r="L4799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799"/>
    </row>
    <row r="4800" spans="1:13" x14ac:dyDescent="0.3">
      <c r="A4800" s="7">
        <v>400246</v>
      </c>
      <c r="B4800" t="str">
        <f>_xlfn.XLOOKUP(Vendas[[#This Row],[ID Vendedor]],Vendedores[ID],Vendedores[Nome])</f>
        <v>Juliana</v>
      </c>
      <c r="C4800" s="7" t="str">
        <f>_xlfn.XLOOKUP(Vendas[[#This Row],[ID Vendedor]],Vendedores[ID],Vendedores[Setor])</f>
        <v>AHD</v>
      </c>
      <c r="D4800" s="7" t="s">
        <v>28</v>
      </c>
      <c r="E4800" t="str">
        <f>_xlfn.XLOOKUP(Vendas[[#This Row],[ID Item Vendido]],Agregado[ID],Agregado[Produto])</f>
        <v>Peça usinada CNC</v>
      </c>
      <c r="F4800" s="39">
        <v>45869</v>
      </c>
      <c r="G4800" s="7">
        <v>3</v>
      </c>
      <c r="H4800" s="3">
        <f>_xlfn.XLOOKUP(Vendas[[#This Row],[ID Item Vendido]],Agregado[ID],Agregado[Revenda])</f>
        <v>192</v>
      </c>
      <c r="I4800" s="3">
        <f>Vendas[[#This Row],[Valor Unitário]]*Vendas[[#This Row],[Qnt Vendida]]</f>
        <v>576</v>
      </c>
      <c r="J4800" s="3">
        <f>Vendas[[#This Row],[Valor da Venda]]-(_xlfn.XLOOKUP(Vendas[[#This Row],[ID Item Vendido]],Agregado[ID],Agregado[Custo])*Vendas[[#This Row],[Qnt Vendida]])</f>
        <v>126</v>
      </c>
      <c r="K4800" s="70">
        <f>Vendas[[#This Row],[Lucro da Venda]]/Vendas[[#This Row],[Valor da Venda]]</f>
        <v>0.21875</v>
      </c>
      <c r="L4800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4800"/>
    </row>
    <row r="4801" spans="1:13" x14ac:dyDescent="0.3">
      <c r="A4801" s="7">
        <v>400243</v>
      </c>
      <c r="B4801" t="str">
        <f>_xlfn.XLOOKUP(Vendas[[#This Row],[ID Vendedor]],Vendedores[ID],Vendedores[Nome])</f>
        <v>Marcelo</v>
      </c>
      <c r="C4801" s="7" t="str">
        <f>_xlfn.XLOOKUP(Vendas[[#This Row],[ID Vendedor]],Vendedores[ID],Vendedores[Setor])</f>
        <v>FM</v>
      </c>
      <c r="D4801" s="7" t="s">
        <v>31</v>
      </c>
      <c r="E4801" t="str">
        <f>_xlfn.XLOOKUP(Vendas[[#This Row],[ID Item Vendido]],Agregado[ID],Agregado[Produto])</f>
        <v>Tela de metal soldada rolo 2x25m</v>
      </c>
      <c r="F4801" s="39">
        <v>45869</v>
      </c>
      <c r="G4801" s="7">
        <v>10</v>
      </c>
      <c r="H4801" s="3">
        <f>_xlfn.XLOOKUP(Vendas[[#This Row],[ID Item Vendido]],Agregado[ID],Agregado[Revenda])</f>
        <v>43.7</v>
      </c>
      <c r="I4801" s="3">
        <f>Vendas[[#This Row],[Valor Unitário]]*Vendas[[#This Row],[Qnt Vendida]]</f>
        <v>437</v>
      </c>
      <c r="J4801" s="3">
        <f>Vendas[[#This Row],[Valor da Venda]]-(_xlfn.XLOOKUP(Vendas[[#This Row],[ID Item Vendido]],Agregado[ID],Agregado[Custo])*Vendas[[#This Row],[Qnt Vendida]])</f>
        <v>57</v>
      </c>
      <c r="K4801" s="70">
        <f>Vendas[[#This Row],[Lucro da Venda]]/Vendas[[#This Row],[Valor da Venda]]</f>
        <v>0.13043478260869565</v>
      </c>
      <c r="L4801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4801"/>
    </row>
    <row r="4802" spans="1:13" x14ac:dyDescent="0.3">
      <c r="A4802" s="7">
        <v>400252</v>
      </c>
      <c r="B4802" t="str">
        <f>_xlfn.XLOOKUP(Vendas[[#This Row],[ID Vendedor]],Vendedores[ID],Vendedores[Nome])</f>
        <v>Renata</v>
      </c>
      <c r="C4802" s="7" t="str">
        <f>_xlfn.XLOOKUP(Vendas[[#This Row],[ID Vendedor]],Vendedores[ID],Vendedores[Setor])</f>
        <v>AB</v>
      </c>
      <c r="D4802" s="7" t="s">
        <v>37</v>
      </c>
      <c r="E4802" t="str">
        <f>_xlfn.XLOOKUP(Vendas[[#This Row],[ID Item Vendido]],Agregado[ID],Agregado[Produto])</f>
        <v>Composto de borracha para vedação rolo 10m</v>
      </c>
      <c r="F4802" s="39">
        <v>45869</v>
      </c>
      <c r="G4802" s="7">
        <v>7</v>
      </c>
      <c r="H4802" s="3">
        <f>_xlfn.XLOOKUP(Vendas[[#This Row],[ID Item Vendido]],Agregado[ID],Agregado[Revenda])</f>
        <v>51.2</v>
      </c>
      <c r="I4802" s="3">
        <f>Vendas[[#This Row],[Valor Unitário]]*Vendas[[#This Row],[Qnt Vendida]]</f>
        <v>358.40000000000003</v>
      </c>
      <c r="J4802" s="3">
        <f>Vendas[[#This Row],[Valor da Venda]]-(_xlfn.XLOOKUP(Vendas[[#This Row],[ID Item Vendido]],Agregado[ID],Agregado[Custo])*Vendas[[#This Row],[Qnt Vendida]])</f>
        <v>78.400000000000034</v>
      </c>
      <c r="K4802" s="70">
        <f>Vendas[[#This Row],[Lucro da Venda]]/Vendas[[#This Row],[Valor da Venda]]</f>
        <v>0.21875000000000008</v>
      </c>
      <c r="L4802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4802"/>
    </row>
    <row r="4803" spans="1:13" x14ac:dyDescent="0.3">
      <c r="A4803" s="7">
        <v>400253</v>
      </c>
      <c r="B4803" t="str">
        <f>_xlfn.XLOOKUP(Vendas[[#This Row],[ID Vendedor]],Vendedores[ID],Vendedores[Nome])</f>
        <v>Gustavo</v>
      </c>
      <c r="C4803" s="7" t="str">
        <f>_xlfn.XLOOKUP(Vendas[[#This Row],[ID Vendedor]],Vendedores[ID],Vendedores[Setor])</f>
        <v>SC</v>
      </c>
      <c r="D4803" s="7" t="s">
        <v>42</v>
      </c>
      <c r="E4803" t="str">
        <f>_xlfn.XLOOKUP(Vendas[[#This Row],[ID Item Vendido]],Agregado[ID],Agregado[Produto])</f>
        <v>Container de ferro industrial</v>
      </c>
      <c r="F4803" s="39">
        <v>45870</v>
      </c>
      <c r="G4803" s="7">
        <v>3</v>
      </c>
      <c r="H4803" s="3">
        <f>_xlfn.XLOOKUP(Vendas[[#This Row],[ID Item Vendido]],Agregado[ID],Agregado[Revenda])</f>
        <v>830</v>
      </c>
      <c r="I4803" s="3">
        <f>Vendas[[#This Row],[Valor Unitário]]*Vendas[[#This Row],[Qnt Vendida]]</f>
        <v>2490</v>
      </c>
      <c r="J4803" s="3">
        <f>Vendas[[#This Row],[Valor da Venda]]-(_xlfn.XLOOKUP(Vendas[[#This Row],[ID Item Vendido]],Agregado[ID],Agregado[Custo])*Vendas[[#This Row],[Qnt Vendida]])</f>
        <v>450</v>
      </c>
      <c r="K4803" s="70">
        <f>Vendas[[#This Row],[Lucro da Venda]]/Vendas[[#This Row],[Valor da Venda]]</f>
        <v>0.18072289156626506</v>
      </c>
      <c r="L480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803"/>
    </row>
    <row r="4804" spans="1:13" x14ac:dyDescent="0.3">
      <c r="A4804" s="7">
        <v>400244</v>
      </c>
      <c r="B4804" t="str">
        <f>_xlfn.XLOOKUP(Vendas[[#This Row],[ID Vendedor]],Vendedores[ID],Vendedores[Nome])</f>
        <v>Camila</v>
      </c>
      <c r="C4804" s="7" t="str">
        <f>_xlfn.XLOOKUP(Vendas[[#This Row],[ID Vendedor]],Vendedores[ID],Vendedores[Setor])</f>
        <v>AHD</v>
      </c>
      <c r="D4804" s="7" t="s">
        <v>28</v>
      </c>
      <c r="E4804" t="str">
        <f>_xlfn.XLOOKUP(Vendas[[#This Row],[ID Item Vendido]],Agregado[ID],Agregado[Produto])</f>
        <v>Peça usinada CNC</v>
      </c>
      <c r="F4804" s="39">
        <v>45870</v>
      </c>
      <c r="G4804" s="7">
        <v>8</v>
      </c>
      <c r="H4804" s="3">
        <f>_xlfn.XLOOKUP(Vendas[[#This Row],[ID Item Vendido]],Agregado[ID],Agregado[Revenda])</f>
        <v>192</v>
      </c>
      <c r="I4804" s="3">
        <f>Vendas[[#This Row],[Valor Unitário]]*Vendas[[#This Row],[Qnt Vendida]]</f>
        <v>1536</v>
      </c>
      <c r="J4804" s="3">
        <f>Vendas[[#This Row],[Valor da Venda]]-(_xlfn.XLOOKUP(Vendas[[#This Row],[ID Item Vendido]],Agregado[ID],Agregado[Custo])*Vendas[[#This Row],[Qnt Vendida]])</f>
        <v>336</v>
      </c>
      <c r="K4804" s="70">
        <f>Vendas[[#This Row],[Lucro da Venda]]/Vendas[[#This Row],[Valor da Venda]]</f>
        <v>0.21875</v>
      </c>
      <c r="L4804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4804"/>
    </row>
    <row r="4805" spans="1:13" x14ac:dyDescent="0.3">
      <c r="A4805" s="7">
        <v>400248</v>
      </c>
      <c r="B4805" t="str">
        <f>_xlfn.XLOOKUP(Vendas[[#This Row],[ID Vendedor]],Vendedores[ID],Vendedores[Nome])</f>
        <v>Patrícia</v>
      </c>
      <c r="C4805" s="7" t="str">
        <f>_xlfn.XLOOKUP(Vendas[[#This Row],[ID Vendedor]],Vendedores[ID],Vendedores[Setor])</f>
        <v>CM</v>
      </c>
      <c r="D4805" s="7" t="s">
        <v>32</v>
      </c>
      <c r="E4805" t="str">
        <f>_xlfn.XLOOKUP(Vendas[[#This Row],[ID Item Vendido]],Agregado[ID],Agregado[Produto])</f>
        <v>Tábua tratada e cortada 3m</v>
      </c>
      <c r="F4805" s="39">
        <v>45870</v>
      </c>
      <c r="G4805" s="7">
        <v>36</v>
      </c>
      <c r="H4805" s="3">
        <f>_xlfn.XLOOKUP(Vendas[[#This Row],[ID Item Vendido]],Agregado[ID],Agregado[Revenda])</f>
        <v>39</v>
      </c>
      <c r="I4805" s="3">
        <f>Vendas[[#This Row],[Valor Unitário]]*Vendas[[#This Row],[Qnt Vendida]]</f>
        <v>1404</v>
      </c>
      <c r="J4805" s="3">
        <f>Vendas[[#This Row],[Valor da Venda]]-(_xlfn.XLOOKUP(Vendas[[#This Row],[ID Item Vendido]],Agregado[ID],Agregado[Custo])*Vendas[[#This Row],[Qnt Vendida]])</f>
        <v>252</v>
      </c>
      <c r="K4805" s="70">
        <f>Vendas[[#This Row],[Lucro da Venda]]/Vendas[[#This Row],[Valor da Venda]]</f>
        <v>0.17948717948717949</v>
      </c>
      <c r="L4805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4805"/>
    </row>
    <row r="4806" spans="1:13" x14ac:dyDescent="0.3">
      <c r="A4806" s="7">
        <v>400250</v>
      </c>
      <c r="B4806" t="str">
        <f>_xlfn.XLOOKUP(Vendas[[#This Row],[ID Vendedor]],Vendedores[ID],Vendedores[Nome])</f>
        <v>Larissa</v>
      </c>
      <c r="C4806" s="7" t="str">
        <f>_xlfn.XLOOKUP(Vendas[[#This Row],[ID Vendedor]],Vendedores[ID],Vendedores[Setor])</f>
        <v>AB</v>
      </c>
      <c r="D4806" s="7" t="s">
        <v>37</v>
      </c>
      <c r="E4806" t="str">
        <f>_xlfn.XLOOKUP(Vendas[[#This Row],[ID Item Vendido]],Agregado[ID],Agregado[Produto])</f>
        <v>Composto de borracha para vedação rolo 10m</v>
      </c>
      <c r="F4806" s="39">
        <v>45870</v>
      </c>
      <c r="G4806" s="7">
        <v>22</v>
      </c>
      <c r="H4806" s="3">
        <f>_xlfn.XLOOKUP(Vendas[[#This Row],[ID Item Vendido]],Agregado[ID],Agregado[Revenda])</f>
        <v>51.2</v>
      </c>
      <c r="I4806" s="3">
        <f>Vendas[[#This Row],[Valor Unitário]]*Vendas[[#This Row],[Qnt Vendida]]</f>
        <v>1126.4000000000001</v>
      </c>
      <c r="J4806" s="3">
        <f>Vendas[[#This Row],[Valor da Venda]]-(_xlfn.XLOOKUP(Vendas[[#This Row],[ID Item Vendido]],Agregado[ID],Agregado[Custo])*Vendas[[#This Row],[Qnt Vendida]])</f>
        <v>246.40000000000009</v>
      </c>
      <c r="K4806" s="70">
        <f>Vendas[[#This Row],[Lucro da Venda]]/Vendas[[#This Row],[Valor da Venda]]</f>
        <v>0.21875000000000006</v>
      </c>
      <c r="L4806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4806"/>
    </row>
    <row r="4807" spans="1:13" x14ac:dyDescent="0.3">
      <c r="A4807" s="7">
        <v>400242</v>
      </c>
      <c r="B4807" t="str">
        <f>_xlfn.XLOOKUP(Vendas[[#This Row],[ID Vendedor]],Vendedores[ID],Vendedores[Nome])</f>
        <v>Fernanda</v>
      </c>
      <c r="C4807" s="7" t="str">
        <f>_xlfn.XLOOKUP(Vendas[[#This Row],[ID Vendedor]],Vendedores[ID],Vendedores[Setor])</f>
        <v>FM</v>
      </c>
      <c r="D4807" s="7" t="s">
        <v>6</v>
      </c>
      <c r="E4807" t="str">
        <f>_xlfn.XLOOKUP(Vendas[[#This Row],[ID Item Vendido]],Agregado[ID],Agregado[Produto])</f>
        <v>Parafuso comum 500un</v>
      </c>
      <c r="F4807" s="39">
        <v>45870</v>
      </c>
      <c r="G4807" s="7">
        <v>6</v>
      </c>
      <c r="H4807" s="3">
        <f>_xlfn.XLOOKUP(Vendas[[#This Row],[ID Item Vendido]],Agregado[ID],Agregado[Revenda])</f>
        <v>24.6</v>
      </c>
      <c r="I4807" s="3">
        <f>Vendas[[#This Row],[Valor Unitário]]*Vendas[[#This Row],[Qnt Vendida]]</f>
        <v>147.60000000000002</v>
      </c>
      <c r="J4807" s="3">
        <f>Vendas[[#This Row],[Valor da Venda]]-(_xlfn.XLOOKUP(Vendas[[#This Row],[ID Item Vendido]],Agregado[ID],Agregado[Custo])*Vendas[[#This Row],[Qnt Vendida]])</f>
        <v>15.600000000000023</v>
      </c>
      <c r="K4807" s="70">
        <f>Vendas[[#This Row],[Lucro da Venda]]/Vendas[[#This Row],[Valor da Venda]]</f>
        <v>0.10569105691056924</v>
      </c>
      <c r="L4807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4807"/>
    </row>
    <row r="4808" spans="1:13" x14ac:dyDescent="0.3">
      <c r="A4808" s="7">
        <v>400244</v>
      </c>
      <c r="B4808" t="str">
        <f>_xlfn.XLOOKUP(Vendas[[#This Row],[ID Vendedor]],Vendedores[ID],Vendedores[Nome])</f>
        <v>Camila</v>
      </c>
      <c r="C4808" s="7" t="str">
        <f>_xlfn.XLOOKUP(Vendas[[#This Row],[ID Vendedor]],Vendedores[ID],Vendedores[Setor])</f>
        <v>AHD</v>
      </c>
      <c r="D4808" s="7" t="s">
        <v>28</v>
      </c>
      <c r="E4808" t="str">
        <f>_xlfn.XLOOKUP(Vendas[[#This Row],[ID Item Vendido]],Agregado[ID],Agregado[Produto])</f>
        <v>Peça usinada CNC</v>
      </c>
      <c r="F4808" s="39">
        <v>45871</v>
      </c>
      <c r="G4808" s="7">
        <v>14</v>
      </c>
      <c r="H4808" s="3">
        <f>_xlfn.XLOOKUP(Vendas[[#This Row],[ID Item Vendido]],Agregado[ID],Agregado[Revenda])</f>
        <v>192</v>
      </c>
      <c r="I4808" s="3">
        <f>Vendas[[#This Row],[Valor Unitário]]*Vendas[[#This Row],[Qnt Vendida]]</f>
        <v>2688</v>
      </c>
      <c r="J4808" s="3">
        <f>Vendas[[#This Row],[Valor da Venda]]-(_xlfn.XLOOKUP(Vendas[[#This Row],[ID Item Vendido]],Agregado[ID],Agregado[Custo])*Vendas[[#This Row],[Qnt Vendida]])</f>
        <v>588</v>
      </c>
      <c r="K4808" s="70">
        <f>Vendas[[#This Row],[Lucro da Venda]]/Vendas[[#This Row],[Valor da Venda]]</f>
        <v>0.21875</v>
      </c>
      <c r="L4808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4808"/>
    </row>
    <row r="4809" spans="1:13" x14ac:dyDescent="0.3">
      <c r="A4809" s="7">
        <v>400243</v>
      </c>
      <c r="B4809" t="str">
        <f>_xlfn.XLOOKUP(Vendas[[#This Row],[ID Vendedor]],Vendedores[ID],Vendedores[Nome])</f>
        <v>Marcelo</v>
      </c>
      <c r="C4809" s="7" t="str">
        <f>_xlfn.XLOOKUP(Vendas[[#This Row],[ID Vendedor]],Vendedores[ID],Vendedores[Setor])</f>
        <v>FM</v>
      </c>
      <c r="D4809" s="7" t="s">
        <v>6</v>
      </c>
      <c r="E4809" t="str">
        <f>_xlfn.XLOOKUP(Vendas[[#This Row],[ID Item Vendido]],Agregado[ID],Agregado[Produto])</f>
        <v>Parafuso comum 500un</v>
      </c>
      <c r="F4809" s="39">
        <v>45871</v>
      </c>
      <c r="G4809" s="7">
        <v>21</v>
      </c>
      <c r="H4809" s="3">
        <f>_xlfn.XLOOKUP(Vendas[[#This Row],[ID Item Vendido]],Agregado[ID],Agregado[Revenda])</f>
        <v>24.6</v>
      </c>
      <c r="I4809" s="3">
        <f>Vendas[[#This Row],[Valor Unitário]]*Vendas[[#This Row],[Qnt Vendida]]</f>
        <v>516.6</v>
      </c>
      <c r="J4809" s="3">
        <f>Vendas[[#This Row],[Valor da Venda]]-(_xlfn.XLOOKUP(Vendas[[#This Row],[ID Item Vendido]],Agregado[ID],Agregado[Custo])*Vendas[[#This Row],[Qnt Vendida]])</f>
        <v>54.600000000000023</v>
      </c>
      <c r="K4809" s="70">
        <f>Vendas[[#This Row],[Lucro da Venda]]/Vendas[[#This Row],[Valor da Venda]]</f>
        <v>0.10569105691056914</v>
      </c>
      <c r="L4809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4809"/>
    </row>
    <row r="4810" spans="1:13" x14ac:dyDescent="0.3">
      <c r="A4810" s="7">
        <v>400250</v>
      </c>
      <c r="B4810" t="str">
        <f>_xlfn.XLOOKUP(Vendas[[#This Row],[ID Vendedor]],Vendedores[ID],Vendedores[Nome])</f>
        <v>Larissa</v>
      </c>
      <c r="C4810" s="7" t="str">
        <f>_xlfn.XLOOKUP(Vendas[[#This Row],[ID Vendedor]],Vendedores[ID],Vendedores[Setor])</f>
        <v>AB</v>
      </c>
      <c r="D4810" s="7" t="s">
        <v>36</v>
      </c>
      <c r="E4810" t="str">
        <f>_xlfn.XLOOKUP(Vendas[[#This Row],[ID Item Vendido]],Agregado[ID],Agregado[Produto])</f>
        <v>Borracha vulcanizada em manta</v>
      </c>
      <c r="F4810" s="39">
        <v>45871</v>
      </c>
      <c r="G4810" s="7">
        <v>56</v>
      </c>
      <c r="H4810" s="3">
        <f>_xlfn.XLOOKUP(Vendas[[#This Row],[ID Item Vendido]],Agregado[ID],Agregado[Revenda])</f>
        <v>7.8</v>
      </c>
      <c r="I4810" s="3">
        <f>Vendas[[#This Row],[Valor Unitário]]*Vendas[[#This Row],[Qnt Vendida]]</f>
        <v>436.8</v>
      </c>
      <c r="J4810" s="3">
        <f>Vendas[[#This Row],[Valor da Venda]]-(_xlfn.XLOOKUP(Vendas[[#This Row],[ID Item Vendido]],Agregado[ID],Agregado[Custo])*Vendas[[#This Row],[Qnt Vendida]])</f>
        <v>100.80000000000001</v>
      </c>
      <c r="K4810" s="70">
        <f>Vendas[[#This Row],[Lucro da Venda]]/Vendas[[#This Row],[Valor da Venda]]</f>
        <v>0.23076923076923078</v>
      </c>
      <c r="L4810" s="3">
        <f>_xlfn.IFS(Vendas[[#This Row],[Margem de Lucro (%)]]&lt;15%,Vendas[[#This Row],[Valor da Venda]]*3%,Vendas[[#This Row],[Margem de Lucro (%)]]&lt;=20%,Vendas[[#This Row],[Valor da Venda]]*4.5%,TRUE,Vendas[[#This Row],[Valor da Venda]]*6%)</f>
        <v>26.207999999999998</v>
      </c>
      <c r="M4810"/>
    </row>
    <row r="4811" spans="1:13" x14ac:dyDescent="0.3">
      <c r="A4811" s="7">
        <v>400253</v>
      </c>
      <c r="B4811" t="str">
        <f>_xlfn.XLOOKUP(Vendas[[#This Row],[ID Vendedor]],Vendedores[ID],Vendedores[Nome])</f>
        <v>Gustavo</v>
      </c>
      <c r="C4811" s="7" t="str">
        <f>_xlfn.XLOOKUP(Vendas[[#This Row],[ID Vendedor]],Vendedores[ID],Vendedores[Setor])</f>
        <v>SC</v>
      </c>
      <c r="D4811" s="7" t="s">
        <v>48</v>
      </c>
      <c r="E4811" t="str">
        <f>_xlfn.XLOOKUP(Vendas[[#This Row],[ID Item Vendido]],Agregado[ID],Agregado[Produto])</f>
        <v>Tambor metálico 200L</v>
      </c>
      <c r="F4811" s="39">
        <v>45872</v>
      </c>
      <c r="G4811" s="7">
        <v>20</v>
      </c>
      <c r="H4811" s="3">
        <f>_xlfn.XLOOKUP(Vendas[[#This Row],[ID Item Vendido]],Agregado[ID],Agregado[Revenda])</f>
        <v>144</v>
      </c>
      <c r="I4811" s="3">
        <f>Vendas[[#This Row],[Valor Unitário]]*Vendas[[#This Row],[Qnt Vendida]]</f>
        <v>2880</v>
      </c>
      <c r="J4811" s="3">
        <f>Vendas[[#This Row],[Valor da Venda]]-(_xlfn.XLOOKUP(Vendas[[#This Row],[ID Item Vendido]],Agregado[ID],Agregado[Custo])*Vendas[[#This Row],[Qnt Vendida]])</f>
        <v>480</v>
      </c>
      <c r="K4811" s="70">
        <f>Vendas[[#This Row],[Lucro da Venda]]/Vendas[[#This Row],[Valor da Venda]]</f>
        <v>0.16666666666666666</v>
      </c>
      <c r="L4811" s="3">
        <f>_xlfn.IFS(Vendas[[#This Row],[Margem de Lucro (%)]]&lt;15%,Vendas[[#This Row],[Valor da Venda]]*3%,Vendas[[#This Row],[Margem de Lucro (%)]]&lt;=20%,Vendas[[#This Row],[Valor da Venda]]*4.5%,TRUE,Vendas[[#This Row],[Valor da Venda]]*6%)</f>
        <v>129.6</v>
      </c>
      <c r="M4811"/>
    </row>
    <row r="4812" spans="1:13" x14ac:dyDescent="0.3">
      <c r="A4812" s="7">
        <v>400251</v>
      </c>
      <c r="B4812" t="str">
        <f>_xlfn.XLOOKUP(Vendas[[#This Row],[ID Vendedor]],Vendedores[ID],Vendedores[Nome])</f>
        <v>Diego</v>
      </c>
      <c r="C4812" s="7" t="str">
        <f>_xlfn.XLOOKUP(Vendas[[#This Row],[ID Vendedor]],Vendedores[ID],Vendedores[Setor])</f>
        <v>AB</v>
      </c>
      <c r="D4812" s="7" t="s">
        <v>36</v>
      </c>
      <c r="E4812" t="str">
        <f>_xlfn.XLOOKUP(Vendas[[#This Row],[ID Item Vendido]],Agregado[ID],Agregado[Produto])</f>
        <v>Borracha vulcanizada em manta</v>
      </c>
      <c r="F4812" s="39">
        <v>45872</v>
      </c>
      <c r="G4812" s="7">
        <v>59</v>
      </c>
      <c r="H4812" s="3">
        <f>_xlfn.XLOOKUP(Vendas[[#This Row],[ID Item Vendido]],Agregado[ID],Agregado[Revenda])</f>
        <v>7.8</v>
      </c>
      <c r="I4812" s="3">
        <f>Vendas[[#This Row],[Valor Unitário]]*Vendas[[#This Row],[Qnt Vendida]]</f>
        <v>460.2</v>
      </c>
      <c r="J4812" s="3">
        <f>Vendas[[#This Row],[Valor da Venda]]-(_xlfn.XLOOKUP(Vendas[[#This Row],[ID Item Vendido]],Agregado[ID],Agregado[Custo])*Vendas[[#This Row],[Qnt Vendida]])</f>
        <v>106.19999999999999</v>
      </c>
      <c r="K4812" s="70">
        <f>Vendas[[#This Row],[Lucro da Venda]]/Vendas[[#This Row],[Valor da Venda]]</f>
        <v>0.23076923076923075</v>
      </c>
      <c r="L4812" s="3">
        <f>_xlfn.IFS(Vendas[[#This Row],[Margem de Lucro (%)]]&lt;15%,Vendas[[#This Row],[Valor da Venda]]*3%,Vendas[[#This Row],[Margem de Lucro (%)]]&lt;=20%,Vendas[[#This Row],[Valor da Venda]]*4.5%,TRUE,Vendas[[#This Row],[Valor da Venda]]*6%)</f>
        <v>27.611999999999998</v>
      </c>
      <c r="M4812"/>
    </row>
    <row r="4813" spans="1:13" x14ac:dyDescent="0.3">
      <c r="A4813" s="7">
        <v>400242</v>
      </c>
      <c r="B4813" t="str">
        <f>_xlfn.XLOOKUP(Vendas[[#This Row],[ID Vendedor]],Vendedores[ID],Vendedores[Nome])</f>
        <v>Fernanda</v>
      </c>
      <c r="C4813" s="7" t="str">
        <f>_xlfn.XLOOKUP(Vendas[[#This Row],[ID Vendedor]],Vendedores[ID],Vendedores[Setor])</f>
        <v>FM</v>
      </c>
      <c r="D4813" s="7" t="s">
        <v>31</v>
      </c>
      <c r="E4813" t="str">
        <f>_xlfn.XLOOKUP(Vendas[[#This Row],[ID Item Vendido]],Agregado[ID],Agregado[Produto])</f>
        <v>Tela de metal soldada rolo 2x25m</v>
      </c>
      <c r="F4813" s="39">
        <v>45872</v>
      </c>
      <c r="G4813" s="7">
        <v>6</v>
      </c>
      <c r="H4813" s="3">
        <f>_xlfn.XLOOKUP(Vendas[[#This Row],[ID Item Vendido]],Agregado[ID],Agregado[Revenda])</f>
        <v>43.7</v>
      </c>
      <c r="I4813" s="3">
        <f>Vendas[[#This Row],[Valor Unitário]]*Vendas[[#This Row],[Qnt Vendida]]</f>
        <v>262.20000000000005</v>
      </c>
      <c r="J4813" s="3">
        <f>Vendas[[#This Row],[Valor da Venda]]-(_xlfn.XLOOKUP(Vendas[[#This Row],[ID Item Vendido]],Agregado[ID],Agregado[Custo])*Vendas[[#This Row],[Qnt Vendida]])</f>
        <v>34.200000000000045</v>
      </c>
      <c r="K4813" s="70">
        <f>Vendas[[#This Row],[Lucro da Venda]]/Vendas[[#This Row],[Valor da Venda]]</f>
        <v>0.13043478260869582</v>
      </c>
      <c r="L4813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4813"/>
    </row>
    <row r="4814" spans="1:13" x14ac:dyDescent="0.3">
      <c r="A4814" s="7">
        <v>400248</v>
      </c>
      <c r="B4814" t="str">
        <f>_xlfn.XLOOKUP(Vendas[[#This Row],[ID Vendedor]],Vendedores[ID],Vendedores[Nome])</f>
        <v>Patrícia</v>
      </c>
      <c r="C4814" s="7" t="str">
        <f>_xlfn.XLOOKUP(Vendas[[#This Row],[ID Vendedor]],Vendedores[ID],Vendedores[Setor])</f>
        <v>CM</v>
      </c>
      <c r="D4814" s="7" t="s">
        <v>32</v>
      </c>
      <c r="E4814" t="str">
        <f>_xlfn.XLOOKUP(Vendas[[#This Row],[ID Item Vendido]],Agregado[ID],Agregado[Produto])</f>
        <v>Tábua tratada e cortada 3m</v>
      </c>
      <c r="F4814" s="39">
        <v>45872</v>
      </c>
      <c r="G4814" s="7">
        <v>5</v>
      </c>
      <c r="H4814" s="3">
        <f>_xlfn.XLOOKUP(Vendas[[#This Row],[ID Item Vendido]],Agregado[ID],Agregado[Revenda])</f>
        <v>39</v>
      </c>
      <c r="I4814" s="3">
        <f>Vendas[[#This Row],[Valor Unitário]]*Vendas[[#This Row],[Qnt Vendida]]</f>
        <v>195</v>
      </c>
      <c r="J4814" s="3">
        <f>Vendas[[#This Row],[Valor da Venda]]-(_xlfn.XLOOKUP(Vendas[[#This Row],[ID Item Vendido]],Agregado[ID],Agregado[Custo])*Vendas[[#This Row],[Qnt Vendida]])</f>
        <v>35</v>
      </c>
      <c r="K4814" s="70">
        <f>Vendas[[#This Row],[Lucro da Venda]]/Vendas[[#This Row],[Valor da Venda]]</f>
        <v>0.17948717948717949</v>
      </c>
      <c r="L4814" s="3">
        <f>_xlfn.IFS(Vendas[[#This Row],[Margem de Lucro (%)]]&lt;15%,Vendas[[#This Row],[Valor da Venda]]*3%,Vendas[[#This Row],[Margem de Lucro (%)]]&lt;=20%,Vendas[[#This Row],[Valor da Venda]]*4.5%,TRUE,Vendas[[#This Row],[Valor da Venda]]*6%)</f>
        <v>8.7750000000000004</v>
      </c>
      <c r="M4814"/>
    </row>
    <row r="4815" spans="1:13" x14ac:dyDescent="0.3">
      <c r="A4815" s="7">
        <v>400252</v>
      </c>
      <c r="B4815" t="str">
        <f>_xlfn.XLOOKUP(Vendas[[#This Row],[ID Vendedor]],Vendedores[ID],Vendedores[Nome])</f>
        <v>Renata</v>
      </c>
      <c r="C4815" s="7" t="str">
        <f>_xlfn.XLOOKUP(Vendas[[#This Row],[ID Vendedor]],Vendedores[ID],Vendedores[Setor])</f>
        <v>AB</v>
      </c>
      <c r="D4815" s="7" t="s">
        <v>37</v>
      </c>
      <c r="E4815" t="str">
        <f>_xlfn.XLOOKUP(Vendas[[#This Row],[ID Item Vendido]],Agregado[ID],Agregado[Produto])</f>
        <v>Composto de borracha para vedação rolo 10m</v>
      </c>
      <c r="F4815" s="39">
        <v>45873</v>
      </c>
      <c r="G4815" s="7">
        <v>17</v>
      </c>
      <c r="H4815" s="3">
        <f>_xlfn.XLOOKUP(Vendas[[#This Row],[ID Item Vendido]],Agregado[ID],Agregado[Revenda])</f>
        <v>51.2</v>
      </c>
      <c r="I4815" s="3">
        <f>Vendas[[#This Row],[Valor Unitário]]*Vendas[[#This Row],[Qnt Vendida]]</f>
        <v>870.40000000000009</v>
      </c>
      <c r="J4815" s="3">
        <f>Vendas[[#This Row],[Valor da Venda]]-(_xlfn.XLOOKUP(Vendas[[#This Row],[ID Item Vendido]],Agregado[ID],Agregado[Custo])*Vendas[[#This Row],[Qnt Vendida]])</f>
        <v>190.40000000000009</v>
      </c>
      <c r="K4815" s="70">
        <f>Vendas[[#This Row],[Lucro da Venda]]/Vendas[[#This Row],[Valor da Venda]]</f>
        <v>0.21875000000000008</v>
      </c>
      <c r="L481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4815"/>
    </row>
    <row r="4816" spans="1:13" x14ac:dyDescent="0.3">
      <c r="A4816" s="7">
        <v>400255</v>
      </c>
      <c r="B4816" t="str">
        <f>_xlfn.XLOOKUP(Vendas[[#This Row],[ID Vendedor]],Vendedores[ID],Vendedores[Nome])</f>
        <v>Carlos</v>
      </c>
      <c r="C4816" s="7" t="str">
        <f>_xlfn.XLOOKUP(Vendas[[#This Row],[ID Vendedor]],Vendedores[ID],Vendedores[Setor])</f>
        <v>SC</v>
      </c>
      <c r="D4816" s="7" t="s">
        <v>25</v>
      </c>
      <c r="E4816" t="str">
        <f>_xlfn.XLOOKUP(Vendas[[#This Row],[ID Item Vendido]],Agregado[ID],Agregado[Produto])</f>
        <v>Palete de plástico</v>
      </c>
      <c r="F4816" s="39">
        <v>45873</v>
      </c>
      <c r="G4816" s="7">
        <v>9</v>
      </c>
      <c r="H4816" s="3">
        <f>_xlfn.XLOOKUP(Vendas[[#This Row],[ID Item Vendido]],Agregado[ID],Agregado[Revenda])</f>
        <v>70.8</v>
      </c>
      <c r="I4816" s="3">
        <f>Vendas[[#This Row],[Valor Unitário]]*Vendas[[#This Row],[Qnt Vendida]]</f>
        <v>637.19999999999993</v>
      </c>
      <c r="J4816" s="3">
        <f>Vendas[[#This Row],[Valor da Venda]]-(_xlfn.XLOOKUP(Vendas[[#This Row],[ID Item Vendido]],Agregado[ID],Agregado[Custo])*Vendas[[#This Row],[Qnt Vendida]])</f>
        <v>97.199999999999932</v>
      </c>
      <c r="K4816" s="70">
        <f>Vendas[[#This Row],[Lucro da Venda]]/Vendas[[#This Row],[Valor da Venda]]</f>
        <v>0.15254237288135583</v>
      </c>
      <c r="L4816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4816"/>
    </row>
    <row r="4817" spans="1:13" x14ac:dyDescent="0.3">
      <c r="A4817" s="7">
        <v>400254</v>
      </c>
      <c r="B4817" t="str">
        <f>_xlfn.XLOOKUP(Vendas[[#This Row],[ID Vendedor]],Vendedores[ID],Vendedores[Nome])</f>
        <v>Beatriz</v>
      </c>
      <c r="C4817" s="7" t="str">
        <f>_xlfn.XLOOKUP(Vendas[[#This Row],[ID Vendedor]],Vendedores[ID],Vendedores[Setor])</f>
        <v>SC</v>
      </c>
      <c r="D4817" s="7" t="s">
        <v>48</v>
      </c>
      <c r="E4817" t="str">
        <f>_xlfn.XLOOKUP(Vendas[[#This Row],[ID Item Vendido]],Agregado[ID],Agregado[Produto])</f>
        <v>Tambor metálico 200L</v>
      </c>
      <c r="F4817" s="39">
        <v>45874</v>
      </c>
      <c r="G4817" s="7">
        <v>19</v>
      </c>
      <c r="H4817" s="3">
        <f>_xlfn.XLOOKUP(Vendas[[#This Row],[ID Item Vendido]],Agregado[ID],Agregado[Revenda])</f>
        <v>144</v>
      </c>
      <c r="I4817" s="3">
        <f>Vendas[[#This Row],[Valor Unitário]]*Vendas[[#This Row],[Qnt Vendida]]</f>
        <v>2736</v>
      </c>
      <c r="J4817" s="3">
        <f>Vendas[[#This Row],[Valor da Venda]]-(_xlfn.XLOOKUP(Vendas[[#This Row],[ID Item Vendido]],Agregado[ID],Agregado[Custo])*Vendas[[#This Row],[Qnt Vendida]])</f>
        <v>456</v>
      </c>
      <c r="K4817" s="70">
        <f>Vendas[[#This Row],[Lucro da Venda]]/Vendas[[#This Row],[Valor da Venda]]</f>
        <v>0.16666666666666666</v>
      </c>
      <c r="L481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4817"/>
    </row>
    <row r="4818" spans="1:13" x14ac:dyDescent="0.3">
      <c r="A4818" s="7">
        <v>400252</v>
      </c>
      <c r="B4818" t="str">
        <f>_xlfn.XLOOKUP(Vendas[[#This Row],[ID Vendedor]],Vendedores[ID],Vendedores[Nome])</f>
        <v>Renata</v>
      </c>
      <c r="C4818" s="7" t="str">
        <f>_xlfn.XLOOKUP(Vendas[[#This Row],[ID Vendedor]],Vendedores[ID],Vendedores[Setor])</f>
        <v>AB</v>
      </c>
      <c r="D4818" s="7" t="s">
        <v>36</v>
      </c>
      <c r="E4818" t="str">
        <f>_xlfn.XLOOKUP(Vendas[[#This Row],[ID Item Vendido]],Agregado[ID],Agregado[Produto])</f>
        <v>Borracha vulcanizada em manta</v>
      </c>
      <c r="F4818" s="39">
        <v>45874</v>
      </c>
      <c r="G4818" s="7">
        <v>99</v>
      </c>
      <c r="H4818" s="3">
        <f>_xlfn.XLOOKUP(Vendas[[#This Row],[ID Item Vendido]],Agregado[ID],Agregado[Revenda])</f>
        <v>7.8</v>
      </c>
      <c r="I4818" s="3">
        <f>Vendas[[#This Row],[Valor Unitário]]*Vendas[[#This Row],[Qnt Vendida]]</f>
        <v>772.19999999999993</v>
      </c>
      <c r="J4818" s="3">
        <f>Vendas[[#This Row],[Valor da Venda]]-(_xlfn.XLOOKUP(Vendas[[#This Row],[ID Item Vendido]],Agregado[ID],Agregado[Custo])*Vendas[[#This Row],[Qnt Vendida]])</f>
        <v>178.19999999999993</v>
      </c>
      <c r="K4818" s="70">
        <f>Vendas[[#This Row],[Lucro da Venda]]/Vendas[[#This Row],[Valor da Venda]]</f>
        <v>0.2307692307692307</v>
      </c>
      <c r="L4818" s="3">
        <f>_xlfn.IFS(Vendas[[#This Row],[Margem de Lucro (%)]]&lt;15%,Vendas[[#This Row],[Valor da Venda]]*3%,Vendas[[#This Row],[Margem de Lucro (%)]]&lt;=20%,Vendas[[#This Row],[Valor da Venda]]*4.5%,TRUE,Vendas[[#This Row],[Valor da Venda]]*6%)</f>
        <v>46.331999999999994</v>
      </c>
      <c r="M4818"/>
    </row>
    <row r="4819" spans="1:13" x14ac:dyDescent="0.3">
      <c r="A4819" s="7">
        <v>400248</v>
      </c>
      <c r="B4819" t="str">
        <f>_xlfn.XLOOKUP(Vendas[[#This Row],[ID Vendedor]],Vendedores[ID],Vendedores[Nome])</f>
        <v>Patrícia</v>
      </c>
      <c r="C4819" s="7" t="str">
        <f>_xlfn.XLOOKUP(Vendas[[#This Row],[ID Vendedor]],Vendedores[ID],Vendedores[Setor])</f>
        <v>CM</v>
      </c>
      <c r="D4819" s="7" t="s">
        <v>22</v>
      </c>
      <c r="E4819" t="str">
        <f>_xlfn.XLOOKUP(Vendas[[#This Row],[ID Item Vendido]],Agregado[ID],Agregado[Produto])</f>
        <v>Painel MDP 2,75x1,83m</v>
      </c>
      <c r="F4819" s="39">
        <v>45874</v>
      </c>
      <c r="G4819" s="7">
        <v>4</v>
      </c>
      <c r="H4819" s="3">
        <f>_xlfn.XLOOKUP(Vendas[[#This Row],[ID Item Vendido]],Agregado[ID],Agregado[Revenda])</f>
        <v>119</v>
      </c>
      <c r="I4819" s="3">
        <f>Vendas[[#This Row],[Valor Unitário]]*Vendas[[#This Row],[Qnt Vendida]]</f>
        <v>476</v>
      </c>
      <c r="J4819" s="3">
        <f>Vendas[[#This Row],[Valor da Venda]]-(_xlfn.XLOOKUP(Vendas[[#This Row],[ID Item Vendido]],Agregado[ID],Agregado[Custo])*Vendas[[#This Row],[Qnt Vendida]])</f>
        <v>96</v>
      </c>
      <c r="K4819" s="70">
        <f>Vendas[[#This Row],[Lucro da Venda]]/Vendas[[#This Row],[Valor da Venda]]</f>
        <v>0.20168067226890757</v>
      </c>
      <c r="L4819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4819"/>
    </row>
    <row r="4820" spans="1:13" x14ac:dyDescent="0.3">
      <c r="A4820" s="7">
        <v>400246</v>
      </c>
      <c r="B4820" t="str">
        <f>_xlfn.XLOOKUP(Vendas[[#This Row],[ID Vendedor]],Vendedores[ID],Vendedores[Nome])</f>
        <v>Juliana</v>
      </c>
      <c r="C4820" s="7" t="str">
        <f>_xlfn.XLOOKUP(Vendas[[#This Row],[ID Vendedor]],Vendedores[ID],Vendedores[Setor])</f>
        <v>AHD</v>
      </c>
      <c r="D4820" s="7" t="s">
        <v>18</v>
      </c>
      <c r="E4820" t="str">
        <f>_xlfn.XLOOKUP(Vendas[[#This Row],[ID Item Vendido]],Agregado[ID],Agregado[Produto])</f>
        <v>Peça forjada sob encomenda</v>
      </c>
      <c r="F4820" s="39">
        <v>45875</v>
      </c>
      <c r="G4820" s="7">
        <v>5</v>
      </c>
      <c r="H4820" s="3">
        <f>_xlfn.XLOOKUP(Vendas[[#This Row],[ID Item Vendido]],Agregado[ID],Agregado[Revenda])</f>
        <v>264.60000000000002</v>
      </c>
      <c r="I4820" s="3">
        <f>Vendas[[#This Row],[Valor Unitário]]*Vendas[[#This Row],[Qnt Vendida]]</f>
        <v>1323</v>
      </c>
      <c r="J4820" s="3">
        <f>Vendas[[#This Row],[Valor da Venda]]-(_xlfn.XLOOKUP(Vendas[[#This Row],[ID Item Vendido]],Agregado[ID],Agregado[Custo])*Vendas[[#This Row],[Qnt Vendida]])</f>
        <v>73</v>
      </c>
      <c r="K4820" s="70">
        <f>Vendas[[#This Row],[Lucro da Venda]]/Vendas[[#This Row],[Valor da Venda]]</f>
        <v>5.5177626606198037E-2</v>
      </c>
      <c r="L4820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820"/>
    </row>
    <row r="4821" spans="1:13" x14ac:dyDescent="0.3">
      <c r="A4821" s="7">
        <v>400247</v>
      </c>
      <c r="B4821" t="str">
        <f>_xlfn.XLOOKUP(Vendas[[#This Row],[ID Vendedor]],Vendedores[ID],Vendedores[Nome])</f>
        <v>André</v>
      </c>
      <c r="C4821" s="7" t="str">
        <f>_xlfn.XLOOKUP(Vendas[[#This Row],[ID Vendedor]],Vendedores[ID],Vendedores[Setor])</f>
        <v>CM</v>
      </c>
      <c r="D4821" s="7" t="s">
        <v>32</v>
      </c>
      <c r="E4821" t="str">
        <f>_xlfn.XLOOKUP(Vendas[[#This Row],[ID Item Vendido]],Agregado[ID],Agregado[Produto])</f>
        <v>Tábua tratada e cortada 3m</v>
      </c>
      <c r="F4821" s="39">
        <v>45875</v>
      </c>
      <c r="G4821" s="7">
        <v>38</v>
      </c>
      <c r="H4821" s="3">
        <f>_xlfn.XLOOKUP(Vendas[[#This Row],[ID Item Vendido]],Agregado[ID],Agregado[Revenda])</f>
        <v>39</v>
      </c>
      <c r="I4821" s="3">
        <f>Vendas[[#This Row],[Valor Unitário]]*Vendas[[#This Row],[Qnt Vendida]]</f>
        <v>1482</v>
      </c>
      <c r="J4821" s="3">
        <f>Vendas[[#This Row],[Valor da Venda]]-(_xlfn.XLOOKUP(Vendas[[#This Row],[ID Item Vendido]],Agregado[ID],Agregado[Custo])*Vendas[[#This Row],[Qnt Vendida]])</f>
        <v>266</v>
      </c>
      <c r="K4821" s="70">
        <f>Vendas[[#This Row],[Lucro da Venda]]/Vendas[[#This Row],[Valor da Venda]]</f>
        <v>0.17948717948717949</v>
      </c>
      <c r="L4821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4821"/>
    </row>
    <row r="4822" spans="1:13" x14ac:dyDescent="0.3">
      <c r="A4822" s="7">
        <v>400250</v>
      </c>
      <c r="B4822" t="str">
        <f>_xlfn.XLOOKUP(Vendas[[#This Row],[ID Vendedor]],Vendedores[ID],Vendedores[Nome])</f>
        <v>Larissa</v>
      </c>
      <c r="C4822" s="7" t="str">
        <f>_xlfn.XLOOKUP(Vendas[[#This Row],[ID Vendedor]],Vendedores[ID],Vendedores[Setor])</f>
        <v>AB</v>
      </c>
      <c r="D4822" s="7" t="s">
        <v>39</v>
      </c>
      <c r="E4822" t="str">
        <f>_xlfn.XLOOKUP(Vendas[[#This Row],[ID Item Vendido]],Agregado[ID],Agregado[Produto])</f>
        <v>Filme plástico industrial rolo 50m</v>
      </c>
      <c r="F4822" s="39">
        <v>45875</v>
      </c>
      <c r="G4822" s="7">
        <v>11</v>
      </c>
      <c r="H4822" s="3">
        <f>_xlfn.XLOOKUP(Vendas[[#This Row],[ID Item Vendido]],Agregado[ID],Agregado[Revenda])</f>
        <v>37</v>
      </c>
      <c r="I4822" s="3">
        <f>Vendas[[#This Row],[Valor Unitário]]*Vendas[[#This Row],[Qnt Vendida]]</f>
        <v>407</v>
      </c>
      <c r="J4822" s="3">
        <f>Vendas[[#This Row],[Valor da Venda]]-(_xlfn.XLOOKUP(Vendas[[#This Row],[ID Item Vendido]],Agregado[ID],Agregado[Custo])*Vendas[[#This Row],[Qnt Vendida]])</f>
        <v>99</v>
      </c>
      <c r="K4822" s="70">
        <f>Vendas[[#This Row],[Lucro da Venda]]/Vendas[[#This Row],[Valor da Venda]]</f>
        <v>0.24324324324324326</v>
      </c>
      <c r="L4822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4822"/>
    </row>
    <row r="4823" spans="1:13" x14ac:dyDescent="0.3">
      <c r="A4823" s="7">
        <v>400250</v>
      </c>
      <c r="B4823" t="str">
        <f>_xlfn.XLOOKUP(Vendas[[#This Row],[ID Vendedor]],Vendedores[ID],Vendedores[Nome])</f>
        <v>Larissa</v>
      </c>
      <c r="C4823" s="7" t="str">
        <f>_xlfn.XLOOKUP(Vendas[[#This Row],[ID Vendedor]],Vendedores[ID],Vendedores[Setor])</f>
        <v>AB</v>
      </c>
      <c r="D4823" s="7" t="s">
        <v>36</v>
      </c>
      <c r="E4823" t="str">
        <f>_xlfn.XLOOKUP(Vendas[[#This Row],[ID Item Vendido]],Agregado[ID],Agregado[Produto])</f>
        <v>Borracha vulcanizada em manta</v>
      </c>
      <c r="F4823" s="39">
        <v>45875</v>
      </c>
      <c r="G4823" s="7">
        <v>50</v>
      </c>
      <c r="H4823" s="3">
        <f>_xlfn.XLOOKUP(Vendas[[#This Row],[ID Item Vendido]],Agregado[ID],Agregado[Revenda])</f>
        <v>7.8</v>
      </c>
      <c r="I4823" s="3">
        <f>Vendas[[#This Row],[Valor Unitário]]*Vendas[[#This Row],[Qnt Vendida]]</f>
        <v>390</v>
      </c>
      <c r="J4823" s="3">
        <f>Vendas[[#This Row],[Valor da Venda]]-(_xlfn.XLOOKUP(Vendas[[#This Row],[ID Item Vendido]],Agregado[ID],Agregado[Custo])*Vendas[[#This Row],[Qnt Vendida]])</f>
        <v>90</v>
      </c>
      <c r="K4823" s="70">
        <f>Vendas[[#This Row],[Lucro da Venda]]/Vendas[[#This Row],[Valor da Venda]]</f>
        <v>0.23076923076923078</v>
      </c>
      <c r="L4823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4823"/>
    </row>
    <row r="4824" spans="1:13" x14ac:dyDescent="0.3">
      <c r="A4824" s="7">
        <v>400244</v>
      </c>
      <c r="B4824" t="str">
        <f>_xlfn.XLOOKUP(Vendas[[#This Row],[ID Vendedor]],Vendedores[ID],Vendedores[Nome])</f>
        <v>Camila</v>
      </c>
      <c r="C4824" s="7" t="str">
        <f>_xlfn.XLOOKUP(Vendas[[#This Row],[ID Vendedor]],Vendedores[ID],Vendedores[Setor])</f>
        <v>AHD</v>
      </c>
      <c r="D4824" s="7" t="s">
        <v>28</v>
      </c>
      <c r="E4824" t="str">
        <f>_xlfn.XLOOKUP(Vendas[[#This Row],[ID Item Vendido]],Agregado[ID],Agregado[Produto])</f>
        <v>Peça usinada CNC</v>
      </c>
      <c r="F4824" s="39">
        <v>45876</v>
      </c>
      <c r="G4824" s="7">
        <v>11</v>
      </c>
      <c r="H4824" s="3">
        <f>_xlfn.XLOOKUP(Vendas[[#This Row],[ID Item Vendido]],Agregado[ID],Agregado[Revenda])</f>
        <v>192</v>
      </c>
      <c r="I4824" s="3">
        <f>Vendas[[#This Row],[Valor Unitário]]*Vendas[[#This Row],[Qnt Vendida]]</f>
        <v>2112</v>
      </c>
      <c r="J4824" s="3">
        <f>Vendas[[#This Row],[Valor da Venda]]-(_xlfn.XLOOKUP(Vendas[[#This Row],[ID Item Vendido]],Agregado[ID],Agregado[Custo])*Vendas[[#This Row],[Qnt Vendida]])</f>
        <v>462</v>
      </c>
      <c r="K4824" s="70">
        <f>Vendas[[#This Row],[Lucro da Venda]]/Vendas[[#This Row],[Valor da Venda]]</f>
        <v>0.21875</v>
      </c>
      <c r="L4824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4824"/>
    </row>
    <row r="4825" spans="1:13" x14ac:dyDescent="0.3">
      <c r="A4825" s="7">
        <v>400246</v>
      </c>
      <c r="B4825" t="str">
        <f>_xlfn.XLOOKUP(Vendas[[#This Row],[ID Vendedor]],Vendedores[ID],Vendedores[Nome])</f>
        <v>Juliana</v>
      </c>
      <c r="C4825" s="7" t="str">
        <f>_xlfn.XLOOKUP(Vendas[[#This Row],[ID Vendedor]],Vendedores[ID],Vendedores[Setor])</f>
        <v>AHD</v>
      </c>
      <c r="D4825" s="7" t="s">
        <v>44</v>
      </c>
      <c r="E4825" t="str">
        <f>_xlfn.XLOOKUP(Vendas[[#This Row],[ID Item Vendido]],Agregado[ID],Agregado[Produto])</f>
        <v>Liga metálica especial</v>
      </c>
      <c r="F4825" s="39">
        <v>45876</v>
      </c>
      <c r="G4825" s="7">
        <v>55</v>
      </c>
      <c r="H4825" s="3">
        <f>_xlfn.XLOOKUP(Vendas[[#This Row],[ID Item Vendido]],Agregado[ID],Agregado[Revenda])</f>
        <v>32.5</v>
      </c>
      <c r="I4825" s="3">
        <f>Vendas[[#This Row],[Valor Unitário]]*Vendas[[#This Row],[Qnt Vendida]]</f>
        <v>1787.5</v>
      </c>
      <c r="J4825" s="3">
        <f>Vendas[[#This Row],[Valor da Venda]]-(_xlfn.XLOOKUP(Vendas[[#This Row],[ID Item Vendido]],Agregado[ID],Agregado[Custo])*Vendas[[#This Row],[Qnt Vendida]])</f>
        <v>412.5</v>
      </c>
      <c r="K4825" s="70">
        <f>Vendas[[#This Row],[Lucro da Venda]]/Vendas[[#This Row],[Valor da Venda]]</f>
        <v>0.23076923076923078</v>
      </c>
      <c r="L4825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4825"/>
    </row>
    <row r="4826" spans="1:13" x14ac:dyDescent="0.3">
      <c r="A4826" s="7">
        <v>400251</v>
      </c>
      <c r="B4826" t="str">
        <f>_xlfn.XLOOKUP(Vendas[[#This Row],[ID Vendedor]],Vendedores[ID],Vendedores[Nome])</f>
        <v>Diego</v>
      </c>
      <c r="C4826" s="7" t="str">
        <f>_xlfn.XLOOKUP(Vendas[[#This Row],[ID Vendedor]],Vendedores[ID],Vendedores[Setor])</f>
        <v>AB</v>
      </c>
      <c r="D4826" s="7" t="s">
        <v>37</v>
      </c>
      <c r="E4826" t="str">
        <f>_xlfn.XLOOKUP(Vendas[[#This Row],[ID Item Vendido]],Agregado[ID],Agregado[Produto])</f>
        <v>Composto de borracha para vedação rolo 10m</v>
      </c>
      <c r="F4826" s="39">
        <v>45876</v>
      </c>
      <c r="G4826" s="7">
        <v>18</v>
      </c>
      <c r="H4826" s="3">
        <f>_xlfn.XLOOKUP(Vendas[[#This Row],[ID Item Vendido]],Agregado[ID],Agregado[Revenda])</f>
        <v>51.2</v>
      </c>
      <c r="I4826" s="3">
        <f>Vendas[[#This Row],[Valor Unitário]]*Vendas[[#This Row],[Qnt Vendida]]</f>
        <v>921.6</v>
      </c>
      <c r="J4826" s="3">
        <f>Vendas[[#This Row],[Valor da Venda]]-(_xlfn.XLOOKUP(Vendas[[#This Row],[ID Item Vendido]],Agregado[ID],Agregado[Custo])*Vendas[[#This Row],[Qnt Vendida]])</f>
        <v>201.60000000000002</v>
      </c>
      <c r="K4826" s="70">
        <f>Vendas[[#This Row],[Lucro da Venda]]/Vendas[[#This Row],[Valor da Venda]]</f>
        <v>0.21875000000000003</v>
      </c>
      <c r="L4826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4826"/>
    </row>
    <row r="4827" spans="1:13" x14ac:dyDescent="0.3">
      <c r="A4827" s="7">
        <v>400251</v>
      </c>
      <c r="B4827" t="str">
        <f>_xlfn.XLOOKUP(Vendas[[#This Row],[ID Vendedor]],Vendedores[ID],Vendedores[Nome])</f>
        <v>Diego</v>
      </c>
      <c r="C4827" s="7" t="str">
        <f>_xlfn.XLOOKUP(Vendas[[#This Row],[ID Vendedor]],Vendedores[ID],Vendedores[Setor])</f>
        <v>AB</v>
      </c>
      <c r="D4827" s="7" t="s">
        <v>12</v>
      </c>
      <c r="E4827" t="str">
        <f>_xlfn.XLOOKUP(Vendas[[#This Row],[ID Item Vendido]],Agregado[ID],Agregado[Produto])</f>
        <v>Grânulo de plástico reciclado refinado</v>
      </c>
      <c r="F4827" s="39">
        <v>45876</v>
      </c>
      <c r="G4827" s="7">
        <v>40</v>
      </c>
      <c r="H4827" s="3">
        <f>_xlfn.XLOOKUP(Vendas[[#This Row],[ID Item Vendido]],Agregado[ID],Agregado[Revenda])</f>
        <v>4.7</v>
      </c>
      <c r="I4827" s="3">
        <f>Vendas[[#This Row],[Valor Unitário]]*Vendas[[#This Row],[Qnt Vendida]]</f>
        <v>188</v>
      </c>
      <c r="J4827" s="3">
        <f>Vendas[[#This Row],[Valor da Venda]]-(_xlfn.XLOOKUP(Vendas[[#This Row],[ID Item Vendido]],Agregado[ID],Agregado[Custo])*Vendas[[#This Row],[Qnt Vendida]])</f>
        <v>48</v>
      </c>
      <c r="K4827" s="70">
        <f>Vendas[[#This Row],[Lucro da Venda]]/Vendas[[#This Row],[Valor da Venda]]</f>
        <v>0.25531914893617019</v>
      </c>
      <c r="L4827" s="3">
        <f>_xlfn.IFS(Vendas[[#This Row],[Margem de Lucro (%)]]&lt;15%,Vendas[[#This Row],[Valor da Venda]]*3%,Vendas[[#This Row],[Margem de Lucro (%)]]&lt;=20%,Vendas[[#This Row],[Valor da Venda]]*4.5%,TRUE,Vendas[[#This Row],[Valor da Venda]]*6%)</f>
        <v>11.28</v>
      </c>
      <c r="M4827"/>
    </row>
    <row r="4828" spans="1:13" x14ac:dyDescent="0.3">
      <c r="A4828" s="7">
        <v>400243</v>
      </c>
      <c r="B4828" t="str">
        <f>_xlfn.XLOOKUP(Vendas[[#This Row],[ID Vendedor]],Vendedores[ID],Vendedores[Nome])</f>
        <v>Marcelo</v>
      </c>
      <c r="C4828" s="7" t="str">
        <f>_xlfn.XLOOKUP(Vendas[[#This Row],[ID Vendedor]],Vendedores[ID],Vendedores[Setor])</f>
        <v>FM</v>
      </c>
      <c r="D4828" s="7" t="s">
        <v>27</v>
      </c>
      <c r="E4828" t="str">
        <f>_xlfn.XLOOKUP(Vendas[[#This Row],[ID Item Vendido]],Agregado[ID],Agregado[Produto])</f>
        <v>Chapa de metal lisa 1x2m</v>
      </c>
      <c r="F4828" s="39">
        <v>45877</v>
      </c>
      <c r="G4828" s="7">
        <v>18</v>
      </c>
      <c r="H4828" s="3">
        <f>_xlfn.XLOOKUP(Vendas[[#This Row],[ID Item Vendido]],Agregado[ID],Agregado[Revenda])</f>
        <v>52</v>
      </c>
      <c r="I4828" s="3">
        <f>Vendas[[#This Row],[Valor Unitário]]*Vendas[[#This Row],[Qnt Vendida]]</f>
        <v>936</v>
      </c>
      <c r="J4828" s="3">
        <f>Vendas[[#This Row],[Valor da Venda]]-(_xlfn.XLOOKUP(Vendas[[#This Row],[ID Item Vendido]],Agregado[ID],Agregado[Custo])*Vendas[[#This Row],[Qnt Vendida]])</f>
        <v>126</v>
      </c>
      <c r="K4828" s="70">
        <f>Vendas[[#This Row],[Lucro da Venda]]/Vendas[[#This Row],[Valor da Venda]]</f>
        <v>0.13461538461538461</v>
      </c>
      <c r="L4828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4828"/>
    </row>
    <row r="4829" spans="1:13" x14ac:dyDescent="0.3">
      <c r="A4829" s="7">
        <v>400254</v>
      </c>
      <c r="B4829" t="str">
        <f>_xlfn.XLOOKUP(Vendas[[#This Row],[ID Vendedor]],Vendedores[ID],Vendedores[Nome])</f>
        <v>Beatriz</v>
      </c>
      <c r="C4829" s="7" t="str">
        <f>_xlfn.XLOOKUP(Vendas[[#This Row],[ID Vendedor]],Vendedores[ID],Vendedores[Setor])</f>
        <v>SC</v>
      </c>
      <c r="D4829" s="7" t="s">
        <v>14</v>
      </c>
      <c r="E4829" t="str">
        <f>_xlfn.XLOOKUP(Vendas[[#This Row],[ID Item Vendido]],Agregado[ID],Agregado[Produto])</f>
        <v>Barril de plástico 200L</v>
      </c>
      <c r="F4829" s="39">
        <v>45878</v>
      </c>
      <c r="G4829" s="7">
        <v>15</v>
      </c>
      <c r="H4829" s="3">
        <f>_xlfn.XLOOKUP(Vendas[[#This Row],[ID Item Vendido]],Agregado[ID],Agregado[Revenda])</f>
        <v>114</v>
      </c>
      <c r="I4829" s="3">
        <f>Vendas[[#This Row],[Valor Unitário]]*Vendas[[#This Row],[Qnt Vendida]]</f>
        <v>1710</v>
      </c>
      <c r="J4829" s="3">
        <f>Vendas[[#This Row],[Valor da Venda]]-(_xlfn.XLOOKUP(Vendas[[#This Row],[ID Item Vendido]],Agregado[ID],Agregado[Custo])*Vendas[[#This Row],[Qnt Vendida]])</f>
        <v>285</v>
      </c>
      <c r="K4829" s="70">
        <f>Vendas[[#This Row],[Lucro da Venda]]/Vendas[[#This Row],[Valor da Venda]]</f>
        <v>0.16666666666666666</v>
      </c>
      <c r="L4829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4829"/>
    </row>
    <row r="4830" spans="1:13" x14ac:dyDescent="0.3">
      <c r="A4830" s="7">
        <v>400242</v>
      </c>
      <c r="B4830" t="str">
        <f>_xlfn.XLOOKUP(Vendas[[#This Row],[ID Vendedor]],Vendedores[ID],Vendedores[Nome])</f>
        <v>Fernanda</v>
      </c>
      <c r="C4830" s="7" t="str">
        <f>_xlfn.XLOOKUP(Vendas[[#This Row],[ID Vendedor]],Vendedores[ID],Vendedores[Setor])</f>
        <v>FM</v>
      </c>
      <c r="D4830" s="7" t="s">
        <v>27</v>
      </c>
      <c r="E4830" t="str">
        <f>_xlfn.XLOOKUP(Vendas[[#This Row],[ID Item Vendido]],Agregado[ID],Agregado[Produto])</f>
        <v>Chapa de metal lisa 1x2m</v>
      </c>
      <c r="F4830" s="39">
        <v>45878</v>
      </c>
      <c r="G4830" s="7">
        <v>27</v>
      </c>
      <c r="H4830" s="3">
        <f>_xlfn.XLOOKUP(Vendas[[#This Row],[ID Item Vendido]],Agregado[ID],Agregado[Revenda])</f>
        <v>52</v>
      </c>
      <c r="I4830" s="3">
        <f>Vendas[[#This Row],[Valor Unitário]]*Vendas[[#This Row],[Qnt Vendida]]</f>
        <v>1404</v>
      </c>
      <c r="J4830" s="3">
        <f>Vendas[[#This Row],[Valor da Venda]]-(_xlfn.XLOOKUP(Vendas[[#This Row],[ID Item Vendido]],Agregado[ID],Agregado[Custo])*Vendas[[#This Row],[Qnt Vendida]])</f>
        <v>189</v>
      </c>
      <c r="K4830" s="70">
        <f>Vendas[[#This Row],[Lucro da Venda]]/Vendas[[#This Row],[Valor da Venda]]</f>
        <v>0.13461538461538461</v>
      </c>
      <c r="L4830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4830"/>
    </row>
    <row r="4831" spans="1:13" x14ac:dyDescent="0.3">
      <c r="A4831" s="7">
        <v>400248</v>
      </c>
      <c r="B4831" t="str">
        <f>_xlfn.XLOOKUP(Vendas[[#This Row],[ID Vendedor]],Vendedores[ID],Vendedores[Nome])</f>
        <v>Patrícia</v>
      </c>
      <c r="C4831" s="7" t="str">
        <f>_xlfn.XLOOKUP(Vendas[[#This Row],[ID Vendedor]],Vendedores[ID],Vendedores[Setor])</f>
        <v>CM</v>
      </c>
      <c r="D4831" s="7" t="s">
        <v>45</v>
      </c>
      <c r="E4831" t="str">
        <f>_xlfn.XLOOKUP(Vendas[[#This Row],[ID Item Vendido]],Agregado[ID],Agregado[Produto])</f>
        <v>Viga de madeira tratada 4m</v>
      </c>
      <c r="F4831" s="39">
        <v>45878</v>
      </c>
      <c r="G4831" s="7">
        <v>16</v>
      </c>
      <c r="H4831" s="3">
        <f>_xlfn.XLOOKUP(Vendas[[#This Row],[ID Item Vendido]],Agregado[ID],Agregado[Revenda])</f>
        <v>66</v>
      </c>
      <c r="I4831" s="3">
        <f>Vendas[[#This Row],[Valor Unitário]]*Vendas[[#This Row],[Qnt Vendida]]</f>
        <v>1056</v>
      </c>
      <c r="J4831" s="3">
        <f>Vendas[[#This Row],[Valor da Venda]]-(_xlfn.XLOOKUP(Vendas[[#This Row],[ID Item Vendido]],Agregado[ID],Agregado[Custo])*Vendas[[#This Row],[Qnt Vendida]])</f>
        <v>176</v>
      </c>
      <c r="K4831" s="70">
        <f>Vendas[[#This Row],[Lucro da Venda]]/Vendas[[#This Row],[Valor da Venda]]</f>
        <v>0.16666666666666666</v>
      </c>
      <c r="L4831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4831"/>
    </row>
    <row r="4832" spans="1:13" x14ac:dyDescent="0.3">
      <c r="A4832" s="7">
        <v>400245</v>
      </c>
      <c r="B4832" t="str">
        <f>_xlfn.XLOOKUP(Vendas[[#This Row],[ID Vendedor]],Vendedores[ID],Vendedores[Nome])</f>
        <v>Thiago</v>
      </c>
      <c r="C4832" s="7" t="str">
        <f>_xlfn.XLOOKUP(Vendas[[#This Row],[ID Vendedor]],Vendedores[ID],Vendedores[Setor])</f>
        <v>AHD</v>
      </c>
      <c r="D4832" s="7" t="s">
        <v>44</v>
      </c>
      <c r="E4832" t="str">
        <f>_xlfn.XLOOKUP(Vendas[[#This Row],[ID Item Vendido]],Agregado[ID],Agregado[Produto])</f>
        <v>Liga metálica especial</v>
      </c>
      <c r="F4832" s="39">
        <v>45879</v>
      </c>
      <c r="G4832" s="7">
        <v>48</v>
      </c>
      <c r="H4832" s="3">
        <f>_xlfn.XLOOKUP(Vendas[[#This Row],[ID Item Vendido]],Agregado[ID],Agregado[Revenda])</f>
        <v>32.5</v>
      </c>
      <c r="I4832" s="3">
        <f>Vendas[[#This Row],[Valor Unitário]]*Vendas[[#This Row],[Qnt Vendida]]</f>
        <v>1560</v>
      </c>
      <c r="J4832" s="3">
        <f>Vendas[[#This Row],[Valor da Venda]]-(_xlfn.XLOOKUP(Vendas[[#This Row],[ID Item Vendido]],Agregado[ID],Agregado[Custo])*Vendas[[#This Row],[Qnt Vendida]])</f>
        <v>360</v>
      </c>
      <c r="K4832" s="70">
        <f>Vendas[[#This Row],[Lucro da Venda]]/Vendas[[#This Row],[Valor da Venda]]</f>
        <v>0.23076923076923078</v>
      </c>
      <c r="L4832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4832"/>
    </row>
    <row r="4833" spans="1:13" x14ac:dyDescent="0.3">
      <c r="A4833" s="7">
        <v>400249</v>
      </c>
      <c r="B4833" t="str">
        <f>_xlfn.XLOOKUP(Vendas[[#This Row],[ID Vendedor]],Vendedores[ID],Vendedores[Nome])</f>
        <v>Bruno</v>
      </c>
      <c r="C4833" s="7" t="str">
        <f>_xlfn.XLOOKUP(Vendas[[#This Row],[ID Vendedor]],Vendedores[ID],Vendedores[Setor])</f>
        <v>CM</v>
      </c>
      <c r="D4833" s="7" t="s">
        <v>45</v>
      </c>
      <c r="E4833" t="str">
        <f>_xlfn.XLOOKUP(Vendas[[#This Row],[ID Item Vendido]],Agregado[ID],Agregado[Produto])</f>
        <v>Viga de madeira tratada 4m</v>
      </c>
      <c r="F4833" s="39">
        <v>45879</v>
      </c>
      <c r="G4833" s="7">
        <v>18</v>
      </c>
      <c r="H4833" s="3">
        <f>_xlfn.XLOOKUP(Vendas[[#This Row],[ID Item Vendido]],Agregado[ID],Agregado[Revenda])</f>
        <v>66</v>
      </c>
      <c r="I4833" s="3">
        <f>Vendas[[#This Row],[Valor Unitário]]*Vendas[[#This Row],[Qnt Vendida]]</f>
        <v>1188</v>
      </c>
      <c r="J4833" s="3">
        <f>Vendas[[#This Row],[Valor da Venda]]-(_xlfn.XLOOKUP(Vendas[[#This Row],[ID Item Vendido]],Agregado[ID],Agregado[Custo])*Vendas[[#This Row],[Qnt Vendida]])</f>
        <v>198</v>
      </c>
      <c r="K4833" s="70">
        <f>Vendas[[#This Row],[Lucro da Venda]]/Vendas[[#This Row],[Valor da Venda]]</f>
        <v>0.16666666666666666</v>
      </c>
      <c r="L4833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4833"/>
    </row>
    <row r="4834" spans="1:13" x14ac:dyDescent="0.3">
      <c r="A4834" s="7">
        <v>400246</v>
      </c>
      <c r="B4834" t="str">
        <f>_xlfn.XLOOKUP(Vendas[[#This Row],[ID Vendedor]],Vendedores[ID],Vendedores[Nome])</f>
        <v>Juliana</v>
      </c>
      <c r="C4834" s="7" t="str">
        <f>_xlfn.XLOOKUP(Vendas[[#This Row],[ID Vendedor]],Vendedores[ID],Vendedores[Setor])</f>
        <v>AHD</v>
      </c>
      <c r="D4834" s="7" t="s">
        <v>18</v>
      </c>
      <c r="E4834" t="str">
        <f>_xlfn.XLOOKUP(Vendas[[#This Row],[ID Item Vendido]],Agregado[ID],Agregado[Produto])</f>
        <v>Peça forjada sob encomenda</v>
      </c>
      <c r="F4834" s="39">
        <v>45879</v>
      </c>
      <c r="G4834" s="7">
        <v>1</v>
      </c>
      <c r="H4834" s="3">
        <f>_xlfn.XLOOKUP(Vendas[[#This Row],[ID Item Vendido]],Agregado[ID],Agregado[Revenda])</f>
        <v>264.60000000000002</v>
      </c>
      <c r="I4834" s="3">
        <f>Vendas[[#This Row],[Valor Unitário]]*Vendas[[#This Row],[Qnt Vendida]]</f>
        <v>264.60000000000002</v>
      </c>
      <c r="J4834" s="3">
        <f>Vendas[[#This Row],[Valor da Venda]]-(_xlfn.XLOOKUP(Vendas[[#This Row],[ID Item Vendido]],Agregado[ID],Agregado[Custo])*Vendas[[#This Row],[Qnt Vendida]])</f>
        <v>14.600000000000023</v>
      </c>
      <c r="K4834" s="70">
        <f>Vendas[[#This Row],[Lucro da Venda]]/Vendas[[#This Row],[Valor da Venda]]</f>
        <v>5.5177626606198113E-2</v>
      </c>
      <c r="L483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4834"/>
    </row>
    <row r="4835" spans="1:13" x14ac:dyDescent="0.3">
      <c r="A4835" s="7">
        <v>400255</v>
      </c>
      <c r="B4835" t="str">
        <f>_xlfn.XLOOKUP(Vendas[[#This Row],[ID Vendedor]],Vendedores[ID],Vendedores[Nome])</f>
        <v>Carlos</v>
      </c>
      <c r="C4835" s="7" t="str">
        <f>_xlfn.XLOOKUP(Vendas[[#This Row],[ID Vendedor]],Vendedores[ID],Vendedores[Setor])</f>
        <v>SC</v>
      </c>
      <c r="D4835" s="7" t="s">
        <v>48</v>
      </c>
      <c r="E4835" t="str">
        <f>_xlfn.XLOOKUP(Vendas[[#This Row],[ID Item Vendido]],Agregado[ID],Agregado[Produto])</f>
        <v>Tambor metálico 200L</v>
      </c>
      <c r="F4835" s="39">
        <v>45880</v>
      </c>
      <c r="G4835" s="7">
        <v>8</v>
      </c>
      <c r="H4835" s="3">
        <f>_xlfn.XLOOKUP(Vendas[[#This Row],[ID Item Vendido]],Agregado[ID],Agregado[Revenda])</f>
        <v>144</v>
      </c>
      <c r="I4835" s="3">
        <f>Vendas[[#This Row],[Valor Unitário]]*Vendas[[#This Row],[Qnt Vendida]]</f>
        <v>1152</v>
      </c>
      <c r="J4835" s="3">
        <f>Vendas[[#This Row],[Valor da Venda]]-(_xlfn.XLOOKUP(Vendas[[#This Row],[ID Item Vendido]],Agregado[ID],Agregado[Custo])*Vendas[[#This Row],[Qnt Vendida]])</f>
        <v>192</v>
      </c>
      <c r="K4835" s="70">
        <f>Vendas[[#This Row],[Lucro da Venda]]/Vendas[[#This Row],[Valor da Venda]]</f>
        <v>0.16666666666666666</v>
      </c>
      <c r="L4835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4835"/>
    </row>
    <row r="4836" spans="1:13" x14ac:dyDescent="0.3">
      <c r="A4836" s="7">
        <v>400247</v>
      </c>
      <c r="B4836" t="str">
        <f>_xlfn.XLOOKUP(Vendas[[#This Row],[ID Vendedor]],Vendedores[ID],Vendedores[Nome])</f>
        <v>André</v>
      </c>
      <c r="C4836" s="7" t="str">
        <f>_xlfn.XLOOKUP(Vendas[[#This Row],[ID Vendedor]],Vendedores[ID],Vendedores[Setor])</f>
        <v>CM</v>
      </c>
      <c r="D4836" s="7" t="s">
        <v>32</v>
      </c>
      <c r="E4836" t="str">
        <f>_xlfn.XLOOKUP(Vendas[[#This Row],[ID Item Vendido]],Agregado[ID],Agregado[Produto])</f>
        <v>Tábua tratada e cortada 3m</v>
      </c>
      <c r="F4836" s="39">
        <v>45880</v>
      </c>
      <c r="G4836" s="7">
        <v>23</v>
      </c>
      <c r="H4836" s="3">
        <f>_xlfn.XLOOKUP(Vendas[[#This Row],[ID Item Vendido]],Agregado[ID],Agregado[Revenda])</f>
        <v>39</v>
      </c>
      <c r="I4836" s="3">
        <f>Vendas[[#This Row],[Valor Unitário]]*Vendas[[#This Row],[Qnt Vendida]]</f>
        <v>897</v>
      </c>
      <c r="J4836" s="3">
        <f>Vendas[[#This Row],[Valor da Venda]]-(_xlfn.XLOOKUP(Vendas[[#This Row],[ID Item Vendido]],Agregado[ID],Agregado[Custo])*Vendas[[#This Row],[Qnt Vendida]])</f>
        <v>161</v>
      </c>
      <c r="K4836" s="70">
        <f>Vendas[[#This Row],[Lucro da Venda]]/Vendas[[#This Row],[Valor da Venda]]</f>
        <v>0.17948717948717949</v>
      </c>
      <c r="L4836" s="3">
        <f>_xlfn.IFS(Vendas[[#This Row],[Margem de Lucro (%)]]&lt;15%,Vendas[[#This Row],[Valor da Venda]]*3%,Vendas[[#This Row],[Margem de Lucro (%)]]&lt;=20%,Vendas[[#This Row],[Valor da Venda]]*4.5%,TRUE,Vendas[[#This Row],[Valor da Venda]]*6%)</f>
        <v>40.365000000000002</v>
      </c>
      <c r="M4836"/>
    </row>
    <row r="4837" spans="1:13" x14ac:dyDescent="0.3">
      <c r="A4837" s="7">
        <v>400254</v>
      </c>
      <c r="B4837" t="str">
        <f>_xlfn.XLOOKUP(Vendas[[#This Row],[ID Vendedor]],Vendedores[ID],Vendedores[Nome])</f>
        <v>Beatriz</v>
      </c>
      <c r="C4837" s="7" t="str">
        <f>_xlfn.XLOOKUP(Vendas[[#This Row],[ID Vendedor]],Vendedores[ID],Vendedores[Setor])</f>
        <v>SC</v>
      </c>
      <c r="D4837" s="7" t="s">
        <v>42</v>
      </c>
      <c r="E4837" t="str">
        <f>_xlfn.XLOOKUP(Vendas[[#This Row],[ID Item Vendido]],Agregado[ID],Agregado[Produto])</f>
        <v>Container de ferro industrial</v>
      </c>
      <c r="F4837" s="39">
        <v>45880</v>
      </c>
      <c r="G4837" s="7">
        <v>1</v>
      </c>
      <c r="H4837" s="3">
        <f>_xlfn.XLOOKUP(Vendas[[#This Row],[ID Item Vendido]],Agregado[ID],Agregado[Revenda])</f>
        <v>830</v>
      </c>
      <c r="I4837" s="3">
        <f>Vendas[[#This Row],[Valor Unitário]]*Vendas[[#This Row],[Qnt Vendida]]</f>
        <v>830</v>
      </c>
      <c r="J4837" s="3">
        <f>Vendas[[#This Row],[Valor da Venda]]-(_xlfn.XLOOKUP(Vendas[[#This Row],[ID Item Vendido]],Agregado[ID],Agregado[Custo])*Vendas[[#This Row],[Qnt Vendida]])</f>
        <v>150</v>
      </c>
      <c r="K4837" s="70">
        <f>Vendas[[#This Row],[Lucro da Venda]]/Vendas[[#This Row],[Valor da Venda]]</f>
        <v>0.18072289156626506</v>
      </c>
      <c r="L4837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4837"/>
    </row>
    <row r="4838" spans="1:13" x14ac:dyDescent="0.3">
      <c r="A4838" s="7">
        <v>400244</v>
      </c>
      <c r="B4838" t="str">
        <f>_xlfn.XLOOKUP(Vendas[[#This Row],[ID Vendedor]],Vendedores[ID],Vendedores[Nome])</f>
        <v>Camila</v>
      </c>
      <c r="C4838" s="7" t="str">
        <f>_xlfn.XLOOKUP(Vendas[[#This Row],[ID Vendedor]],Vendedores[ID],Vendedores[Setor])</f>
        <v>AHD</v>
      </c>
      <c r="D4838" s="7" t="s">
        <v>9</v>
      </c>
      <c r="E4838" t="str">
        <f>_xlfn.XLOOKUP(Vendas[[#This Row],[ID Item Vendido]],Agregado[ID],Agregado[Produto])</f>
        <v>Barra de aço simples</v>
      </c>
      <c r="F4838" s="39">
        <v>45880</v>
      </c>
      <c r="G4838" s="7">
        <v>115</v>
      </c>
      <c r="H4838" s="3">
        <f>_xlfn.XLOOKUP(Vendas[[#This Row],[ID Item Vendido]],Agregado[ID],Agregado[Revenda])</f>
        <v>6.7</v>
      </c>
      <c r="I4838" s="3">
        <f>Vendas[[#This Row],[Valor Unitário]]*Vendas[[#This Row],[Qnt Vendida]]</f>
        <v>770.5</v>
      </c>
      <c r="J4838" s="3">
        <f>Vendas[[#This Row],[Valor da Venda]]-(_xlfn.XLOOKUP(Vendas[[#This Row],[ID Item Vendido]],Agregado[ID],Agregado[Custo])*Vendas[[#This Row],[Qnt Vendida]])</f>
        <v>103.5</v>
      </c>
      <c r="K4838" s="70">
        <f>Vendas[[#This Row],[Lucro da Venda]]/Vendas[[#This Row],[Valor da Venda]]</f>
        <v>0.13432835820895522</v>
      </c>
      <c r="L4838" s="3">
        <f>_xlfn.IFS(Vendas[[#This Row],[Margem de Lucro (%)]]&lt;15%,Vendas[[#This Row],[Valor da Venda]]*3%,Vendas[[#This Row],[Margem de Lucro (%)]]&lt;=20%,Vendas[[#This Row],[Valor da Venda]]*4.5%,TRUE,Vendas[[#This Row],[Valor da Venda]]*6%)</f>
        <v>23.114999999999998</v>
      </c>
      <c r="M4838"/>
    </row>
    <row r="4839" spans="1:13" x14ac:dyDescent="0.3">
      <c r="A4839" s="7">
        <v>400244</v>
      </c>
      <c r="B4839" t="str">
        <f>_xlfn.XLOOKUP(Vendas[[#This Row],[ID Vendedor]],Vendedores[ID],Vendedores[Nome])</f>
        <v>Camila</v>
      </c>
      <c r="C4839" s="7" t="str">
        <f>_xlfn.XLOOKUP(Vendas[[#This Row],[ID Vendedor]],Vendedores[ID],Vendedores[Setor])</f>
        <v>AHD</v>
      </c>
      <c r="D4839" s="7" t="s">
        <v>9</v>
      </c>
      <c r="E4839" t="str">
        <f>_xlfn.XLOOKUP(Vendas[[#This Row],[ID Item Vendido]],Agregado[ID],Agregado[Produto])</f>
        <v>Barra de aço simples</v>
      </c>
      <c r="F4839" s="39">
        <v>45880</v>
      </c>
      <c r="G4839" s="7">
        <v>99</v>
      </c>
      <c r="H4839" s="3">
        <f>_xlfn.XLOOKUP(Vendas[[#This Row],[ID Item Vendido]],Agregado[ID],Agregado[Revenda])</f>
        <v>6.7</v>
      </c>
      <c r="I4839" s="3">
        <f>Vendas[[#This Row],[Valor Unitário]]*Vendas[[#This Row],[Qnt Vendida]]</f>
        <v>663.30000000000007</v>
      </c>
      <c r="J4839" s="3">
        <f>Vendas[[#This Row],[Valor da Venda]]-(_xlfn.XLOOKUP(Vendas[[#This Row],[ID Item Vendido]],Agregado[ID],Agregado[Custo])*Vendas[[#This Row],[Qnt Vendida]])</f>
        <v>89.100000000000136</v>
      </c>
      <c r="K4839" s="70">
        <f>Vendas[[#This Row],[Lucro da Venda]]/Vendas[[#This Row],[Valor da Venda]]</f>
        <v>0.13432835820895542</v>
      </c>
      <c r="L4839" s="3">
        <f>_xlfn.IFS(Vendas[[#This Row],[Margem de Lucro (%)]]&lt;15%,Vendas[[#This Row],[Valor da Venda]]*3%,Vendas[[#This Row],[Margem de Lucro (%)]]&lt;=20%,Vendas[[#This Row],[Valor da Venda]]*4.5%,TRUE,Vendas[[#This Row],[Valor da Venda]]*6%)</f>
        <v>19.899000000000001</v>
      </c>
      <c r="M4839"/>
    </row>
    <row r="4840" spans="1:13" x14ac:dyDescent="0.3">
      <c r="A4840" s="7">
        <v>400244</v>
      </c>
      <c r="B4840" t="str">
        <f>_xlfn.XLOOKUP(Vendas[[#This Row],[ID Vendedor]],Vendedores[ID],Vendedores[Nome])</f>
        <v>Camila</v>
      </c>
      <c r="C4840" s="7" t="str">
        <f>_xlfn.XLOOKUP(Vendas[[#This Row],[ID Vendedor]],Vendedores[ID],Vendedores[Setor])</f>
        <v>AHD</v>
      </c>
      <c r="D4840" s="7" t="s">
        <v>18</v>
      </c>
      <c r="E4840" t="str">
        <f>_xlfn.XLOOKUP(Vendas[[#This Row],[ID Item Vendido]],Agregado[ID],Agregado[Produto])</f>
        <v>Peça forjada sob encomenda</v>
      </c>
      <c r="F4840" s="39">
        <v>45880</v>
      </c>
      <c r="G4840" s="7">
        <v>1</v>
      </c>
      <c r="H4840" s="3">
        <f>_xlfn.XLOOKUP(Vendas[[#This Row],[ID Item Vendido]],Agregado[ID],Agregado[Revenda])</f>
        <v>264.60000000000002</v>
      </c>
      <c r="I4840" s="3">
        <f>Vendas[[#This Row],[Valor Unitário]]*Vendas[[#This Row],[Qnt Vendida]]</f>
        <v>264.60000000000002</v>
      </c>
      <c r="J4840" s="3">
        <f>Vendas[[#This Row],[Valor da Venda]]-(_xlfn.XLOOKUP(Vendas[[#This Row],[ID Item Vendido]],Agregado[ID],Agregado[Custo])*Vendas[[#This Row],[Qnt Vendida]])</f>
        <v>14.600000000000023</v>
      </c>
      <c r="K4840" s="70">
        <f>Vendas[[#This Row],[Lucro da Venda]]/Vendas[[#This Row],[Valor da Venda]]</f>
        <v>5.5177626606198113E-2</v>
      </c>
      <c r="L4840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4840"/>
    </row>
    <row r="4841" spans="1:13" x14ac:dyDescent="0.3">
      <c r="A4841" s="7">
        <v>400251</v>
      </c>
      <c r="B4841" t="str">
        <f>_xlfn.XLOOKUP(Vendas[[#This Row],[ID Vendedor]],Vendedores[ID],Vendedores[Nome])</f>
        <v>Diego</v>
      </c>
      <c r="C4841" s="7" t="str">
        <f>_xlfn.XLOOKUP(Vendas[[#This Row],[ID Vendedor]],Vendedores[ID],Vendedores[Setor])</f>
        <v>AB</v>
      </c>
      <c r="D4841" s="7" t="s">
        <v>36</v>
      </c>
      <c r="E4841" t="str">
        <f>_xlfn.XLOOKUP(Vendas[[#This Row],[ID Item Vendido]],Agregado[ID],Agregado[Produto])</f>
        <v>Borracha vulcanizada em manta</v>
      </c>
      <c r="F4841" s="39">
        <v>45881</v>
      </c>
      <c r="G4841" s="7">
        <v>29</v>
      </c>
      <c r="H4841" s="3">
        <f>_xlfn.XLOOKUP(Vendas[[#This Row],[ID Item Vendido]],Agregado[ID],Agregado[Revenda])</f>
        <v>7.8</v>
      </c>
      <c r="I4841" s="3">
        <f>Vendas[[#This Row],[Valor Unitário]]*Vendas[[#This Row],[Qnt Vendida]]</f>
        <v>226.2</v>
      </c>
      <c r="J4841" s="3">
        <f>Vendas[[#This Row],[Valor da Venda]]-(_xlfn.XLOOKUP(Vendas[[#This Row],[ID Item Vendido]],Agregado[ID],Agregado[Custo])*Vendas[[#This Row],[Qnt Vendida]])</f>
        <v>52.199999999999989</v>
      </c>
      <c r="K4841" s="70">
        <f>Vendas[[#This Row],[Lucro da Venda]]/Vendas[[#This Row],[Valor da Venda]]</f>
        <v>0.23076923076923073</v>
      </c>
      <c r="L4841" s="3">
        <f>_xlfn.IFS(Vendas[[#This Row],[Margem de Lucro (%)]]&lt;15%,Vendas[[#This Row],[Valor da Venda]]*3%,Vendas[[#This Row],[Margem de Lucro (%)]]&lt;=20%,Vendas[[#This Row],[Valor da Venda]]*4.5%,TRUE,Vendas[[#This Row],[Valor da Venda]]*6%)</f>
        <v>13.571999999999999</v>
      </c>
      <c r="M4841"/>
    </row>
    <row r="4842" spans="1:13" x14ac:dyDescent="0.3">
      <c r="A4842" s="7">
        <v>400253</v>
      </c>
      <c r="B4842" t="str">
        <f>_xlfn.XLOOKUP(Vendas[[#This Row],[ID Vendedor]],Vendedores[ID],Vendedores[Nome])</f>
        <v>Gustavo</v>
      </c>
      <c r="C4842" s="7" t="str">
        <f>_xlfn.XLOOKUP(Vendas[[#This Row],[ID Vendedor]],Vendedores[ID],Vendedores[Setor])</f>
        <v>SC</v>
      </c>
      <c r="D4842" s="7" t="s">
        <v>41</v>
      </c>
      <c r="E4842" t="str">
        <f>_xlfn.XLOOKUP(Vendas[[#This Row],[ID Item Vendido]],Agregado[ID],Agregado[Produto])</f>
        <v>Palete de madeira reforçado</v>
      </c>
      <c r="F4842" s="39">
        <v>45881</v>
      </c>
      <c r="G4842" s="7">
        <v>1</v>
      </c>
      <c r="H4842" s="3">
        <f>_xlfn.XLOOKUP(Vendas[[#This Row],[ID Item Vendido]],Agregado[ID],Agregado[Revenda])</f>
        <v>131</v>
      </c>
      <c r="I4842" s="3">
        <f>Vendas[[#This Row],[Valor Unitário]]*Vendas[[#This Row],[Qnt Vendida]]</f>
        <v>131</v>
      </c>
      <c r="J4842" s="3">
        <f>Vendas[[#This Row],[Valor da Venda]]-(_xlfn.XLOOKUP(Vendas[[#This Row],[ID Item Vendido]],Agregado[ID],Agregado[Custo])*Vendas[[#This Row],[Qnt Vendida]])</f>
        <v>21</v>
      </c>
      <c r="K4842" s="70">
        <f>Vendas[[#This Row],[Lucro da Venda]]/Vendas[[#This Row],[Valor da Venda]]</f>
        <v>0.16030534351145037</v>
      </c>
      <c r="L4842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4842"/>
    </row>
    <row r="4843" spans="1:13" x14ac:dyDescent="0.3">
      <c r="A4843" s="7">
        <v>400243</v>
      </c>
      <c r="B4843" t="str">
        <f>_xlfn.XLOOKUP(Vendas[[#This Row],[ID Vendedor]],Vendedores[ID],Vendedores[Nome])</f>
        <v>Marcelo</v>
      </c>
      <c r="C4843" s="7" t="str">
        <f>_xlfn.XLOOKUP(Vendas[[#This Row],[ID Vendedor]],Vendedores[ID],Vendedores[Setor])</f>
        <v>FM</v>
      </c>
      <c r="D4843" s="7" t="s">
        <v>31</v>
      </c>
      <c r="E4843" t="str">
        <f>_xlfn.XLOOKUP(Vendas[[#This Row],[ID Item Vendido]],Agregado[ID],Agregado[Produto])</f>
        <v>Tela de metal soldada rolo 2x25m</v>
      </c>
      <c r="F4843" s="39">
        <v>45882</v>
      </c>
      <c r="G4843" s="7">
        <v>3</v>
      </c>
      <c r="H4843" s="3">
        <f>_xlfn.XLOOKUP(Vendas[[#This Row],[ID Item Vendido]],Agregado[ID],Agregado[Revenda])</f>
        <v>43.7</v>
      </c>
      <c r="I4843" s="3">
        <f>Vendas[[#This Row],[Valor Unitário]]*Vendas[[#This Row],[Qnt Vendida]]</f>
        <v>131.10000000000002</v>
      </c>
      <c r="J4843" s="3">
        <f>Vendas[[#This Row],[Valor da Venda]]-(_xlfn.XLOOKUP(Vendas[[#This Row],[ID Item Vendido]],Agregado[ID],Agregado[Custo])*Vendas[[#This Row],[Qnt Vendida]])</f>
        <v>17.100000000000023</v>
      </c>
      <c r="K4843" s="70">
        <f>Vendas[[#This Row],[Lucro da Venda]]/Vendas[[#This Row],[Valor da Venda]]</f>
        <v>0.13043478260869582</v>
      </c>
      <c r="L4843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4843"/>
    </row>
    <row r="4844" spans="1:13" x14ac:dyDescent="0.3">
      <c r="A4844" s="7">
        <v>400250</v>
      </c>
      <c r="B4844" t="str">
        <f>_xlfn.XLOOKUP(Vendas[[#This Row],[ID Vendedor]],Vendedores[ID],Vendedores[Nome])</f>
        <v>Larissa</v>
      </c>
      <c r="C4844" s="7" t="str">
        <f>_xlfn.XLOOKUP(Vendas[[#This Row],[ID Vendedor]],Vendedores[ID],Vendedores[Setor])</f>
        <v>AB</v>
      </c>
      <c r="D4844" s="7" t="s">
        <v>36</v>
      </c>
      <c r="E4844" t="str">
        <f>_xlfn.XLOOKUP(Vendas[[#This Row],[ID Item Vendido]],Agregado[ID],Agregado[Produto])</f>
        <v>Borracha vulcanizada em manta</v>
      </c>
      <c r="F4844" s="39">
        <v>45883</v>
      </c>
      <c r="G4844" s="7">
        <v>55</v>
      </c>
      <c r="H4844" s="3">
        <f>_xlfn.XLOOKUP(Vendas[[#This Row],[ID Item Vendido]],Agregado[ID],Agregado[Revenda])</f>
        <v>7.8</v>
      </c>
      <c r="I4844" s="3">
        <f>Vendas[[#This Row],[Valor Unitário]]*Vendas[[#This Row],[Qnt Vendida]]</f>
        <v>429</v>
      </c>
      <c r="J4844" s="3">
        <f>Vendas[[#This Row],[Valor da Venda]]-(_xlfn.XLOOKUP(Vendas[[#This Row],[ID Item Vendido]],Agregado[ID],Agregado[Custo])*Vendas[[#This Row],[Qnt Vendida]])</f>
        <v>99</v>
      </c>
      <c r="K4844" s="70">
        <f>Vendas[[#This Row],[Lucro da Venda]]/Vendas[[#This Row],[Valor da Venda]]</f>
        <v>0.23076923076923078</v>
      </c>
      <c r="L4844" s="3">
        <f>_xlfn.IFS(Vendas[[#This Row],[Margem de Lucro (%)]]&lt;15%,Vendas[[#This Row],[Valor da Venda]]*3%,Vendas[[#This Row],[Margem de Lucro (%)]]&lt;=20%,Vendas[[#This Row],[Valor da Venda]]*4.5%,TRUE,Vendas[[#This Row],[Valor da Venda]]*6%)</f>
        <v>25.74</v>
      </c>
      <c r="M4844"/>
    </row>
    <row r="4845" spans="1:13" x14ac:dyDescent="0.3">
      <c r="A4845" s="7">
        <v>400250</v>
      </c>
      <c r="B4845" t="str">
        <f>_xlfn.XLOOKUP(Vendas[[#This Row],[ID Vendedor]],Vendedores[ID],Vendedores[Nome])</f>
        <v>Larissa</v>
      </c>
      <c r="C4845" s="7" t="str">
        <f>_xlfn.XLOOKUP(Vendas[[#This Row],[ID Vendedor]],Vendedores[ID],Vendedores[Setor])</f>
        <v>AB</v>
      </c>
      <c r="D4845" s="7" t="s">
        <v>37</v>
      </c>
      <c r="E4845" t="str">
        <f>_xlfn.XLOOKUP(Vendas[[#This Row],[ID Item Vendido]],Agregado[ID],Agregado[Produto])</f>
        <v>Composto de borracha para vedação rolo 10m</v>
      </c>
      <c r="F4845" s="39">
        <v>45883</v>
      </c>
      <c r="G4845" s="7">
        <v>8</v>
      </c>
      <c r="H4845" s="3">
        <f>_xlfn.XLOOKUP(Vendas[[#This Row],[ID Item Vendido]],Agregado[ID],Agregado[Revenda])</f>
        <v>51.2</v>
      </c>
      <c r="I4845" s="3">
        <f>Vendas[[#This Row],[Valor Unitário]]*Vendas[[#This Row],[Qnt Vendida]]</f>
        <v>409.6</v>
      </c>
      <c r="J4845" s="3">
        <f>Vendas[[#This Row],[Valor da Venda]]-(_xlfn.XLOOKUP(Vendas[[#This Row],[ID Item Vendido]],Agregado[ID],Agregado[Custo])*Vendas[[#This Row],[Qnt Vendida]])</f>
        <v>89.600000000000023</v>
      </c>
      <c r="K4845" s="70">
        <f>Vendas[[#This Row],[Lucro da Venda]]/Vendas[[#This Row],[Valor da Venda]]</f>
        <v>0.21875000000000006</v>
      </c>
      <c r="L4845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4845"/>
    </row>
    <row r="4846" spans="1:13" x14ac:dyDescent="0.3">
      <c r="A4846" s="7">
        <v>400243</v>
      </c>
      <c r="B4846" t="str">
        <f>_xlfn.XLOOKUP(Vendas[[#This Row],[ID Vendedor]],Vendedores[ID],Vendedores[Nome])</f>
        <v>Marcelo</v>
      </c>
      <c r="C4846" s="7" t="str">
        <f>_xlfn.XLOOKUP(Vendas[[#This Row],[ID Vendedor]],Vendedores[ID],Vendedores[Setor])</f>
        <v>FM</v>
      </c>
      <c r="D4846" s="7" t="s">
        <v>27</v>
      </c>
      <c r="E4846" t="str">
        <f>_xlfn.XLOOKUP(Vendas[[#This Row],[ID Item Vendido]],Agregado[ID],Agregado[Produto])</f>
        <v>Chapa de metal lisa 1x2m</v>
      </c>
      <c r="F4846" s="39">
        <v>45883</v>
      </c>
      <c r="G4846" s="7">
        <v>6</v>
      </c>
      <c r="H4846" s="3">
        <f>_xlfn.XLOOKUP(Vendas[[#This Row],[ID Item Vendido]],Agregado[ID],Agregado[Revenda])</f>
        <v>52</v>
      </c>
      <c r="I4846" s="3">
        <f>Vendas[[#This Row],[Valor Unitário]]*Vendas[[#This Row],[Qnt Vendida]]</f>
        <v>312</v>
      </c>
      <c r="J4846" s="3">
        <f>Vendas[[#This Row],[Valor da Venda]]-(_xlfn.XLOOKUP(Vendas[[#This Row],[ID Item Vendido]],Agregado[ID],Agregado[Custo])*Vendas[[#This Row],[Qnt Vendida]])</f>
        <v>42</v>
      </c>
      <c r="K4846" s="70">
        <f>Vendas[[#This Row],[Lucro da Venda]]/Vendas[[#This Row],[Valor da Venda]]</f>
        <v>0.13461538461538461</v>
      </c>
      <c r="L4846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846"/>
    </row>
    <row r="4847" spans="1:13" x14ac:dyDescent="0.3">
      <c r="A4847" s="7">
        <v>400253</v>
      </c>
      <c r="B4847" t="str">
        <f>_xlfn.XLOOKUP(Vendas[[#This Row],[ID Vendedor]],Vendedores[ID],Vendedores[Nome])</f>
        <v>Gustavo</v>
      </c>
      <c r="C4847" s="7" t="str">
        <f>_xlfn.XLOOKUP(Vendas[[#This Row],[ID Vendedor]],Vendedores[ID],Vendedores[Setor])</f>
        <v>SC</v>
      </c>
      <c r="D4847" s="7" t="s">
        <v>14</v>
      </c>
      <c r="E4847" t="str">
        <f>_xlfn.XLOOKUP(Vendas[[#This Row],[ID Item Vendido]],Agregado[ID],Agregado[Produto])</f>
        <v>Barril de plástico 200L</v>
      </c>
      <c r="F4847" s="39">
        <v>45884</v>
      </c>
      <c r="G4847" s="7">
        <v>14</v>
      </c>
      <c r="H4847" s="3">
        <f>_xlfn.XLOOKUP(Vendas[[#This Row],[ID Item Vendido]],Agregado[ID],Agregado[Revenda])</f>
        <v>114</v>
      </c>
      <c r="I4847" s="3">
        <f>Vendas[[#This Row],[Valor Unitário]]*Vendas[[#This Row],[Qnt Vendida]]</f>
        <v>1596</v>
      </c>
      <c r="J4847" s="3">
        <f>Vendas[[#This Row],[Valor da Venda]]-(_xlfn.XLOOKUP(Vendas[[#This Row],[ID Item Vendido]],Agregado[ID],Agregado[Custo])*Vendas[[#This Row],[Qnt Vendida]])</f>
        <v>266</v>
      </c>
      <c r="K4847" s="70">
        <f>Vendas[[#This Row],[Lucro da Venda]]/Vendas[[#This Row],[Valor da Venda]]</f>
        <v>0.16666666666666666</v>
      </c>
      <c r="L4847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4847"/>
    </row>
    <row r="4848" spans="1:13" x14ac:dyDescent="0.3">
      <c r="A4848" s="7">
        <v>400251</v>
      </c>
      <c r="B4848" t="str">
        <f>_xlfn.XLOOKUP(Vendas[[#This Row],[ID Vendedor]],Vendedores[ID],Vendedores[Nome])</f>
        <v>Diego</v>
      </c>
      <c r="C4848" s="7" t="str">
        <f>_xlfn.XLOOKUP(Vendas[[#This Row],[ID Vendedor]],Vendedores[ID],Vendedores[Setor])</f>
        <v>AB</v>
      </c>
      <c r="D4848" s="7" t="s">
        <v>39</v>
      </c>
      <c r="E4848" t="str">
        <f>_xlfn.XLOOKUP(Vendas[[#This Row],[ID Item Vendido]],Agregado[ID],Agregado[Produto])</f>
        <v>Filme plástico industrial rolo 50m</v>
      </c>
      <c r="F4848" s="39">
        <v>45884</v>
      </c>
      <c r="G4848" s="7">
        <v>29</v>
      </c>
      <c r="H4848" s="3">
        <f>_xlfn.XLOOKUP(Vendas[[#This Row],[ID Item Vendido]],Agregado[ID],Agregado[Revenda])</f>
        <v>37</v>
      </c>
      <c r="I4848" s="3">
        <f>Vendas[[#This Row],[Valor Unitário]]*Vendas[[#This Row],[Qnt Vendida]]</f>
        <v>1073</v>
      </c>
      <c r="J4848" s="3">
        <f>Vendas[[#This Row],[Valor da Venda]]-(_xlfn.XLOOKUP(Vendas[[#This Row],[ID Item Vendido]],Agregado[ID],Agregado[Custo])*Vendas[[#This Row],[Qnt Vendida]])</f>
        <v>261</v>
      </c>
      <c r="K4848" s="70">
        <f>Vendas[[#This Row],[Lucro da Venda]]/Vendas[[#This Row],[Valor da Venda]]</f>
        <v>0.24324324324324326</v>
      </c>
      <c r="L4848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848"/>
    </row>
    <row r="4849" spans="1:13" x14ac:dyDescent="0.3">
      <c r="A4849" s="7">
        <v>400248</v>
      </c>
      <c r="B4849" t="str">
        <f>_xlfn.XLOOKUP(Vendas[[#This Row],[ID Vendedor]],Vendedores[ID],Vendedores[Nome])</f>
        <v>Patrícia</v>
      </c>
      <c r="C4849" s="7" t="str">
        <f>_xlfn.XLOOKUP(Vendas[[#This Row],[ID Vendedor]],Vendedores[ID],Vendedores[Setor])</f>
        <v>CM</v>
      </c>
      <c r="D4849" s="7" t="s">
        <v>43</v>
      </c>
      <c r="E4849" t="str">
        <f>_xlfn.XLOOKUP(Vendas[[#This Row],[ID Item Vendido]],Agregado[ID],Agregado[Produto])</f>
        <v>Madeira Bruta (Tora)</v>
      </c>
      <c r="F4849" s="39">
        <v>45885</v>
      </c>
      <c r="G4849" s="7">
        <v>15</v>
      </c>
      <c r="H4849" s="3">
        <f>_xlfn.XLOOKUP(Vendas[[#This Row],[ID Item Vendido]],Agregado[ID],Agregado[Revenda])</f>
        <v>212</v>
      </c>
      <c r="I4849" s="3">
        <f>Vendas[[#This Row],[Valor Unitário]]*Vendas[[#This Row],[Qnt Vendida]]</f>
        <v>3180</v>
      </c>
      <c r="J4849" s="3">
        <f>Vendas[[#This Row],[Valor da Venda]]-(_xlfn.XLOOKUP(Vendas[[#This Row],[ID Item Vendido]],Agregado[ID],Agregado[Custo])*Vendas[[#This Row],[Qnt Vendida]])</f>
        <v>480</v>
      </c>
      <c r="K4849" s="70">
        <f>Vendas[[#This Row],[Lucro da Venda]]/Vendas[[#This Row],[Valor da Venda]]</f>
        <v>0.15094339622641509</v>
      </c>
      <c r="L4849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4849"/>
    </row>
    <row r="4850" spans="1:13" x14ac:dyDescent="0.3">
      <c r="A4850" s="7">
        <v>400247</v>
      </c>
      <c r="B4850" t="str">
        <f>_xlfn.XLOOKUP(Vendas[[#This Row],[ID Vendedor]],Vendedores[ID],Vendedores[Nome])</f>
        <v>André</v>
      </c>
      <c r="C4850" s="7" t="str">
        <f>_xlfn.XLOOKUP(Vendas[[#This Row],[ID Vendedor]],Vendedores[ID],Vendedores[Setor])</f>
        <v>CM</v>
      </c>
      <c r="D4850" s="7" t="s">
        <v>22</v>
      </c>
      <c r="E4850" t="str">
        <f>_xlfn.XLOOKUP(Vendas[[#This Row],[ID Item Vendido]],Agregado[ID],Agregado[Produto])</f>
        <v>Painel MDP 2,75x1,83m</v>
      </c>
      <c r="F4850" s="39">
        <v>45885</v>
      </c>
      <c r="G4850" s="7">
        <v>14</v>
      </c>
      <c r="H4850" s="3">
        <f>_xlfn.XLOOKUP(Vendas[[#This Row],[ID Item Vendido]],Agregado[ID],Agregado[Revenda])</f>
        <v>119</v>
      </c>
      <c r="I4850" s="3">
        <f>Vendas[[#This Row],[Valor Unitário]]*Vendas[[#This Row],[Qnt Vendida]]</f>
        <v>1666</v>
      </c>
      <c r="J4850" s="3">
        <f>Vendas[[#This Row],[Valor da Venda]]-(_xlfn.XLOOKUP(Vendas[[#This Row],[ID Item Vendido]],Agregado[ID],Agregado[Custo])*Vendas[[#This Row],[Qnt Vendida]])</f>
        <v>336</v>
      </c>
      <c r="K4850" s="70">
        <f>Vendas[[#This Row],[Lucro da Venda]]/Vendas[[#This Row],[Valor da Venda]]</f>
        <v>0.20168067226890757</v>
      </c>
      <c r="L4850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4850"/>
    </row>
    <row r="4851" spans="1:13" x14ac:dyDescent="0.3">
      <c r="A4851" s="7">
        <v>400242</v>
      </c>
      <c r="B4851" t="str">
        <f>_xlfn.XLOOKUP(Vendas[[#This Row],[ID Vendedor]],Vendedores[ID],Vendedores[Nome])</f>
        <v>Fernanda</v>
      </c>
      <c r="C4851" s="7" t="str">
        <f>_xlfn.XLOOKUP(Vendas[[#This Row],[ID Vendedor]],Vendedores[ID],Vendedores[Setor])</f>
        <v>FM</v>
      </c>
      <c r="D4851" s="7" t="s">
        <v>47</v>
      </c>
      <c r="E4851" t="str">
        <f>_xlfn.XLOOKUP(Vendas[[#This Row],[ID Item Vendido]],Agregado[ID],Agregado[Produto])</f>
        <v>Fio de arame galvanizado rolo 50m</v>
      </c>
      <c r="F4851" s="39">
        <v>45885</v>
      </c>
      <c r="G4851" s="7">
        <v>13</v>
      </c>
      <c r="H4851" s="3">
        <f>_xlfn.XLOOKUP(Vendas[[#This Row],[ID Item Vendido]],Agregado[ID],Agregado[Revenda])</f>
        <v>21.2</v>
      </c>
      <c r="I4851" s="3">
        <f>Vendas[[#This Row],[Valor Unitário]]*Vendas[[#This Row],[Qnt Vendida]]</f>
        <v>275.59999999999997</v>
      </c>
      <c r="J4851" s="3">
        <f>Vendas[[#This Row],[Valor da Venda]]-(_xlfn.XLOOKUP(Vendas[[#This Row],[ID Item Vendido]],Agregado[ID],Agregado[Custo])*Vendas[[#This Row],[Qnt Vendida]])</f>
        <v>41.599999999999966</v>
      </c>
      <c r="K4851" s="70">
        <f>Vendas[[#This Row],[Lucro da Venda]]/Vendas[[#This Row],[Valor da Venda]]</f>
        <v>0.15094339622641498</v>
      </c>
      <c r="L4851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4851"/>
    </row>
    <row r="4852" spans="1:13" x14ac:dyDescent="0.3">
      <c r="A4852" s="7">
        <v>400252</v>
      </c>
      <c r="B4852" t="str">
        <f>_xlfn.XLOOKUP(Vendas[[#This Row],[ID Vendedor]],Vendedores[ID],Vendedores[Nome])</f>
        <v>Renata</v>
      </c>
      <c r="C4852" s="7" t="str">
        <f>_xlfn.XLOOKUP(Vendas[[#This Row],[ID Vendedor]],Vendedores[ID],Vendedores[Setor])</f>
        <v>AB</v>
      </c>
      <c r="D4852" s="7" t="s">
        <v>36</v>
      </c>
      <c r="E4852" t="str">
        <f>_xlfn.XLOOKUP(Vendas[[#This Row],[ID Item Vendido]],Agregado[ID],Agregado[Produto])</f>
        <v>Borracha vulcanizada em manta</v>
      </c>
      <c r="F4852" s="39">
        <v>45885</v>
      </c>
      <c r="G4852" s="7">
        <v>29</v>
      </c>
      <c r="H4852" s="3">
        <f>_xlfn.XLOOKUP(Vendas[[#This Row],[ID Item Vendido]],Agregado[ID],Agregado[Revenda])</f>
        <v>7.8</v>
      </c>
      <c r="I4852" s="3">
        <f>Vendas[[#This Row],[Valor Unitário]]*Vendas[[#This Row],[Qnt Vendida]]</f>
        <v>226.2</v>
      </c>
      <c r="J4852" s="3">
        <f>Vendas[[#This Row],[Valor da Venda]]-(_xlfn.XLOOKUP(Vendas[[#This Row],[ID Item Vendido]],Agregado[ID],Agregado[Custo])*Vendas[[#This Row],[Qnt Vendida]])</f>
        <v>52.199999999999989</v>
      </c>
      <c r="K4852" s="70">
        <f>Vendas[[#This Row],[Lucro da Venda]]/Vendas[[#This Row],[Valor da Venda]]</f>
        <v>0.23076923076923073</v>
      </c>
      <c r="L4852" s="3">
        <f>_xlfn.IFS(Vendas[[#This Row],[Margem de Lucro (%)]]&lt;15%,Vendas[[#This Row],[Valor da Venda]]*3%,Vendas[[#This Row],[Margem de Lucro (%)]]&lt;=20%,Vendas[[#This Row],[Valor da Venda]]*4.5%,TRUE,Vendas[[#This Row],[Valor da Venda]]*6%)</f>
        <v>13.571999999999999</v>
      </c>
      <c r="M4852"/>
    </row>
    <row r="4853" spans="1:13" x14ac:dyDescent="0.3">
      <c r="A4853" s="7">
        <v>400248</v>
      </c>
      <c r="B4853" t="str">
        <f>_xlfn.XLOOKUP(Vendas[[#This Row],[ID Vendedor]],Vendedores[ID],Vendedores[Nome])</f>
        <v>Patrícia</v>
      </c>
      <c r="C4853" s="7" t="str">
        <f>_xlfn.XLOOKUP(Vendas[[#This Row],[ID Vendedor]],Vendedores[ID],Vendedores[Setor])</f>
        <v>CM</v>
      </c>
      <c r="D4853" s="7" t="s">
        <v>34</v>
      </c>
      <c r="E4853" t="str">
        <f>_xlfn.XLOOKUP(Vendas[[#This Row],[ID Item Vendido]],Agregado[ID],Agregado[Produto])</f>
        <v>Restos de madeira p/ MDP/OSB saco de 20kg</v>
      </c>
      <c r="F4853" s="39">
        <v>45885</v>
      </c>
      <c r="G4853" s="7">
        <v>2</v>
      </c>
      <c r="H4853" s="3">
        <f>_xlfn.XLOOKUP(Vendas[[#This Row],[ID Item Vendido]],Agregado[ID],Agregado[Revenda])</f>
        <v>13.8</v>
      </c>
      <c r="I4853" s="3">
        <f>Vendas[[#This Row],[Valor Unitário]]*Vendas[[#This Row],[Qnt Vendida]]</f>
        <v>27.6</v>
      </c>
      <c r="J4853" s="3">
        <f>Vendas[[#This Row],[Valor da Venda]]-(_xlfn.XLOOKUP(Vendas[[#This Row],[ID Item Vendido]],Agregado[ID],Agregado[Custo])*Vendas[[#This Row],[Qnt Vendida]])</f>
        <v>3.6000000000000014</v>
      </c>
      <c r="K4853" s="70">
        <f>Vendas[[#This Row],[Lucro da Venda]]/Vendas[[#This Row],[Valor da Venda]]</f>
        <v>0.1304347826086957</v>
      </c>
      <c r="L4853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4853"/>
    </row>
    <row r="4854" spans="1:13" x14ac:dyDescent="0.3">
      <c r="A4854" s="7">
        <v>400249</v>
      </c>
      <c r="B4854" t="str">
        <f>_xlfn.XLOOKUP(Vendas[[#This Row],[ID Vendedor]],Vendedores[ID],Vendedores[Nome])</f>
        <v>Bruno</v>
      </c>
      <c r="C4854" s="7" t="str">
        <f>_xlfn.XLOOKUP(Vendas[[#This Row],[ID Vendedor]],Vendedores[ID],Vendedores[Setor])</f>
        <v>CM</v>
      </c>
      <c r="D4854" s="7" t="s">
        <v>32</v>
      </c>
      <c r="E4854" t="str">
        <f>_xlfn.XLOOKUP(Vendas[[#This Row],[ID Item Vendido]],Agregado[ID],Agregado[Produto])</f>
        <v>Tábua tratada e cortada 3m</v>
      </c>
      <c r="F4854" s="39">
        <v>45886</v>
      </c>
      <c r="G4854" s="7">
        <v>37</v>
      </c>
      <c r="H4854" s="3">
        <f>_xlfn.XLOOKUP(Vendas[[#This Row],[ID Item Vendido]],Agregado[ID],Agregado[Revenda])</f>
        <v>39</v>
      </c>
      <c r="I4854" s="3">
        <f>Vendas[[#This Row],[Valor Unitário]]*Vendas[[#This Row],[Qnt Vendida]]</f>
        <v>1443</v>
      </c>
      <c r="J4854" s="3">
        <f>Vendas[[#This Row],[Valor da Venda]]-(_xlfn.XLOOKUP(Vendas[[#This Row],[ID Item Vendido]],Agregado[ID],Agregado[Custo])*Vendas[[#This Row],[Qnt Vendida]])</f>
        <v>259</v>
      </c>
      <c r="K4854" s="70">
        <f>Vendas[[#This Row],[Lucro da Venda]]/Vendas[[#This Row],[Valor da Venda]]</f>
        <v>0.17948717948717949</v>
      </c>
      <c r="L4854" s="3">
        <f>_xlfn.IFS(Vendas[[#This Row],[Margem de Lucro (%)]]&lt;15%,Vendas[[#This Row],[Valor da Venda]]*3%,Vendas[[#This Row],[Margem de Lucro (%)]]&lt;=20%,Vendas[[#This Row],[Valor da Venda]]*4.5%,TRUE,Vendas[[#This Row],[Valor da Venda]]*6%)</f>
        <v>64.935000000000002</v>
      </c>
      <c r="M4854"/>
    </row>
    <row r="4855" spans="1:13" x14ac:dyDescent="0.3">
      <c r="A4855" s="7">
        <v>400251</v>
      </c>
      <c r="B4855" t="str">
        <f>_xlfn.XLOOKUP(Vendas[[#This Row],[ID Vendedor]],Vendedores[ID],Vendedores[Nome])</f>
        <v>Diego</v>
      </c>
      <c r="C4855" s="7" t="str">
        <f>_xlfn.XLOOKUP(Vendas[[#This Row],[ID Vendedor]],Vendedores[ID],Vendedores[Setor])</f>
        <v>AB</v>
      </c>
      <c r="D4855" s="7" t="s">
        <v>12</v>
      </c>
      <c r="E4855" t="str">
        <f>_xlfn.XLOOKUP(Vendas[[#This Row],[ID Item Vendido]],Agregado[ID],Agregado[Produto])</f>
        <v>Grânulo de plástico reciclado refinado</v>
      </c>
      <c r="F4855" s="39">
        <v>45886</v>
      </c>
      <c r="G4855" s="7">
        <v>95</v>
      </c>
      <c r="H4855" s="3">
        <f>_xlfn.XLOOKUP(Vendas[[#This Row],[ID Item Vendido]],Agregado[ID],Agregado[Revenda])</f>
        <v>4.7</v>
      </c>
      <c r="I4855" s="3">
        <f>Vendas[[#This Row],[Valor Unitário]]*Vendas[[#This Row],[Qnt Vendida]]</f>
        <v>446.5</v>
      </c>
      <c r="J4855" s="3">
        <f>Vendas[[#This Row],[Valor da Venda]]-(_xlfn.XLOOKUP(Vendas[[#This Row],[ID Item Vendido]],Agregado[ID],Agregado[Custo])*Vendas[[#This Row],[Qnt Vendida]])</f>
        <v>114</v>
      </c>
      <c r="K4855" s="70">
        <f>Vendas[[#This Row],[Lucro da Venda]]/Vendas[[#This Row],[Valor da Venda]]</f>
        <v>0.25531914893617019</v>
      </c>
      <c r="L4855" s="3">
        <f>_xlfn.IFS(Vendas[[#This Row],[Margem de Lucro (%)]]&lt;15%,Vendas[[#This Row],[Valor da Venda]]*3%,Vendas[[#This Row],[Margem de Lucro (%)]]&lt;=20%,Vendas[[#This Row],[Valor da Venda]]*4.5%,TRUE,Vendas[[#This Row],[Valor da Venda]]*6%)</f>
        <v>26.79</v>
      </c>
      <c r="M4855"/>
    </row>
    <row r="4856" spans="1:13" x14ac:dyDescent="0.3">
      <c r="A4856" s="7">
        <v>400252</v>
      </c>
      <c r="B4856" t="str">
        <f>_xlfn.XLOOKUP(Vendas[[#This Row],[ID Vendedor]],Vendedores[ID],Vendedores[Nome])</f>
        <v>Renata</v>
      </c>
      <c r="C4856" s="7" t="str">
        <f>_xlfn.XLOOKUP(Vendas[[#This Row],[ID Vendedor]],Vendedores[ID],Vendedores[Setor])</f>
        <v>AB</v>
      </c>
      <c r="D4856" s="7" t="s">
        <v>12</v>
      </c>
      <c r="E4856" t="str">
        <f>_xlfn.XLOOKUP(Vendas[[#This Row],[ID Item Vendido]],Agregado[ID],Agregado[Produto])</f>
        <v>Grânulo de plástico reciclado refinado</v>
      </c>
      <c r="F4856" s="39">
        <v>45886</v>
      </c>
      <c r="G4856" s="7">
        <v>26</v>
      </c>
      <c r="H4856" s="3">
        <f>_xlfn.XLOOKUP(Vendas[[#This Row],[ID Item Vendido]],Agregado[ID],Agregado[Revenda])</f>
        <v>4.7</v>
      </c>
      <c r="I4856" s="3">
        <f>Vendas[[#This Row],[Valor Unitário]]*Vendas[[#This Row],[Qnt Vendida]]</f>
        <v>122.2</v>
      </c>
      <c r="J4856" s="3">
        <f>Vendas[[#This Row],[Valor da Venda]]-(_xlfn.XLOOKUP(Vendas[[#This Row],[ID Item Vendido]],Agregado[ID],Agregado[Custo])*Vendas[[#This Row],[Qnt Vendida]])</f>
        <v>31.200000000000003</v>
      </c>
      <c r="K4856" s="70">
        <f>Vendas[[#This Row],[Lucro da Venda]]/Vendas[[#This Row],[Valor da Venda]]</f>
        <v>0.25531914893617025</v>
      </c>
      <c r="L4856" s="3">
        <f>_xlfn.IFS(Vendas[[#This Row],[Margem de Lucro (%)]]&lt;15%,Vendas[[#This Row],[Valor da Venda]]*3%,Vendas[[#This Row],[Margem de Lucro (%)]]&lt;=20%,Vendas[[#This Row],[Valor da Venda]]*4.5%,TRUE,Vendas[[#This Row],[Valor da Venda]]*6%)</f>
        <v>7.3319999999999999</v>
      </c>
      <c r="M4856"/>
    </row>
    <row r="4857" spans="1:13" x14ac:dyDescent="0.3">
      <c r="A4857" s="7">
        <v>400246</v>
      </c>
      <c r="B4857" t="str">
        <f>_xlfn.XLOOKUP(Vendas[[#This Row],[ID Vendedor]],Vendedores[ID],Vendedores[Nome])</f>
        <v>Juliana</v>
      </c>
      <c r="C4857" s="7" t="str">
        <f>_xlfn.XLOOKUP(Vendas[[#This Row],[ID Vendedor]],Vendedores[ID],Vendedores[Setor])</f>
        <v>AHD</v>
      </c>
      <c r="D4857" s="7" t="s">
        <v>30</v>
      </c>
      <c r="E4857" t="str">
        <f>_xlfn.XLOOKUP(Vendas[[#This Row],[ID Item Vendido]],Agregado[ID],Agregado[Produto])</f>
        <v>Estrutura metálica soldada</v>
      </c>
      <c r="F4857" s="39">
        <v>45887</v>
      </c>
      <c r="G4857" s="7">
        <v>6</v>
      </c>
      <c r="H4857" s="3">
        <f>_xlfn.XLOOKUP(Vendas[[#This Row],[ID Item Vendido]],Agregado[ID],Agregado[Revenda])</f>
        <v>400</v>
      </c>
      <c r="I4857" s="3">
        <f>Vendas[[#This Row],[Valor Unitário]]*Vendas[[#This Row],[Qnt Vendida]]</f>
        <v>2400</v>
      </c>
      <c r="J4857" s="3">
        <f>Vendas[[#This Row],[Valor da Venda]]-(_xlfn.XLOOKUP(Vendas[[#This Row],[ID Item Vendido]],Agregado[ID],Agregado[Custo])*Vendas[[#This Row],[Qnt Vendida]])</f>
        <v>480</v>
      </c>
      <c r="K4857" s="70">
        <f>Vendas[[#This Row],[Lucro da Venda]]/Vendas[[#This Row],[Valor da Venda]]</f>
        <v>0.2</v>
      </c>
      <c r="L4857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4857"/>
    </row>
    <row r="4858" spans="1:13" x14ac:dyDescent="0.3">
      <c r="A4858" s="7">
        <v>400252</v>
      </c>
      <c r="B4858" t="str">
        <f>_xlfn.XLOOKUP(Vendas[[#This Row],[ID Vendedor]],Vendedores[ID],Vendedores[Nome])</f>
        <v>Renata</v>
      </c>
      <c r="C4858" s="7" t="str">
        <f>_xlfn.XLOOKUP(Vendas[[#This Row],[ID Vendedor]],Vendedores[ID],Vendedores[Setor])</f>
        <v>AB</v>
      </c>
      <c r="D4858" s="7" t="s">
        <v>36</v>
      </c>
      <c r="E4858" t="str">
        <f>_xlfn.XLOOKUP(Vendas[[#This Row],[ID Item Vendido]],Agregado[ID],Agregado[Produto])</f>
        <v>Borracha vulcanizada em manta</v>
      </c>
      <c r="F4858" s="39">
        <v>45887</v>
      </c>
      <c r="G4858" s="7">
        <v>38</v>
      </c>
      <c r="H4858" s="3">
        <f>_xlfn.XLOOKUP(Vendas[[#This Row],[ID Item Vendido]],Agregado[ID],Agregado[Revenda])</f>
        <v>7.8</v>
      </c>
      <c r="I4858" s="3">
        <f>Vendas[[#This Row],[Valor Unitário]]*Vendas[[#This Row],[Qnt Vendida]]</f>
        <v>296.39999999999998</v>
      </c>
      <c r="J4858" s="3">
        <f>Vendas[[#This Row],[Valor da Venda]]-(_xlfn.XLOOKUP(Vendas[[#This Row],[ID Item Vendido]],Agregado[ID],Agregado[Custo])*Vendas[[#This Row],[Qnt Vendida]])</f>
        <v>68.399999999999977</v>
      </c>
      <c r="K4858" s="70">
        <f>Vendas[[#This Row],[Lucro da Venda]]/Vendas[[#This Row],[Valor da Venda]]</f>
        <v>0.2307692307692307</v>
      </c>
      <c r="L4858" s="3">
        <f>_xlfn.IFS(Vendas[[#This Row],[Margem de Lucro (%)]]&lt;15%,Vendas[[#This Row],[Valor da Venda]]*3%,Vendas[[#This Row],[Margem de Lucro (%)]]&lt;=20%,Vendas[[#This Row],[Valor da Venda]]*4.5%,TRUE,Vendas[[#This Row],[Valor da Venda]]*6%)</f>
        <v>17.783999999999999</v>
      </c>
      <c r="M4858"/>
    </row>
    <row r="4859" spans="1:13" x14ac:dyDescent="0.3">
      <c r="A4859" s="7">
        <v>400253</v>
      </c>
      <c r="B4859" t="str">
        <f>_xlfn.XLOOKUP(Vendas[[#This Row],[ID Vendedor]],Vendedores[ID],Vendedores[Nome])</f>
        <v>Gustavo</v>
      </c>
      <c r="C4859" s="7" t="str">
        <f>_xlfn.XLOOKUP(Vendas[[#This Row],[ID Vendedor]],Vendedores[ID],Vendedores[Setor])</f>
        <v>SC</v>
      </c>
      <c r="D4859" s="7" t="s">
        <v>41</v>
      </c>
      <c r="E4859" t="str">
        <f>_xlfn.XLOOKUP(Vendas[[#This Row],[ID Item Vendido]],Agregado[ID],Agregado[Produto])</f>
        <v>Palete de madeira reforçado</v>
      </c>
      <c r="F4859" s="39">
        <v>45888</v>
      </c>
      <c r="G4859" s="7">
        <v>7</v>
      </c>
      <c r="H4859" s="3">
        <f>_xlfn.XLOOKUP(Vendas[[#This Row],[ID Item Vendido]],Agregado[ID],Agregado[Revenda])</f>
        <v>131</v>
      </c>
      <c r="I4859" s="3">
        <f>Vendas[[#This Row],[Valor Unitário]]*Vendas[[#This Row],[Qnt Vendida]]</f>
        <v>917</v>
      </c>
      <c r="J4859" s="3">
        <f>Vendas[[#This Row],[Valor da Venda]]-(_xlfn.XLOOKUP(Vendas[[#This Row],[ID Item Vendido]],Agregado[ID],Agregado[Custo])*Vendas[[#This Row],[Qnt Vendida]])</f>
        <v>147</v>
      </c>
      <c r="K4859" s="70">
        <f>Vendas[[#This Row],[Lucro da Venda]]/Vendas[[#This Row],[Valor da Venda]]</f>
        <v>0.16030534351145037</v>
      </c>
      <c r="L4859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4859"/>
    </row>
    <row r="4860" spans="1:13" x14ac:dyDescent="0.3">
      <c r="A4860" s="7">
        <v>400252</v>
      </c>
      <c r="B4860" t="str">
        <f>_xlfn.XLOOKUP(Vendas[[#This Row],[ID Vendedor]],Vendedores[ID],Vendedores[Nome])</f>
        <v>Renata</v>
      </c>
      <c r="C4860" s="7" t="str">
        <f>_xlfn.XLOOKUP(Vendas[[#This Row],[ID Vendedor]],Vendedores[ID],Vendedores[Setor])</f>
        <v>AB</v>
      </c>
      <c r="D4860" s="7" t="s">
        <v>36</v>
      </c>
      <c r="E4860" t="str">
        <f>_xlfn.XLOOKUP(Vendas[[#This Row],[ID Item Vendido]],Agregado[ID],Agregado[Produto])</f>
        <v>Borracha vulcanizada em manta</v>
      </c>
      <c r="F4860" s="39">
        <v>45888</v>
      </c>
      <c r="G4860" s="7">
        <v>96</v>
      </c>
      <c r="H4860" s="3">
        <f>_xlfn.XLOOKUP(Vendas[[#This Row],[ID Item Vendido]],Agregado[ID],Agregado[Revenda])</f>
        <v>7.8</v>
      </c>
      <c r="I4860" s="3">
        <f>Vendas[[#This Row],[Valor Unitário]]*Vendas[[#This Row],[Qnt Vendida]]</f>
        <v>748.8</v>
      </c>
      <c r="J4860" s="3">
        <f>Vendas[[#This Row],[Valor da Venda]]-(_xlfn.XLOOKUP(Vendas[[#This Row],[ID Item Vendido]],Agregado[ID],Agregado[Custo])*Vendas[[#This Row],[Qnt Vendida]])</f>
        <v>172.79999999999995</v>
      </c>
      <c r="K4860" s="70">
        <f>Vendas[[#This Row],[Lucro da Venda]]/Vendas[[#This Row],[Valor da Venda]]</f>
        <v>0.23076923076923073</v>
      </c>
      <c r="L4860" s="3">
        <f>_xlfn.IFS(Vendas[[#This Row],[Margem de Lucro (%)]]&lt;15%,Vendas[[#This Row],[Valor da Venda]]*3%,Vendas[[#This Row],[Margem de Lucro (%)]]&lt;=20%,Vendas[[#This Row],[Valor da Venda]]*4.5%,TRUE,Vendas[[#This Row],[Valor da Venda]]*6%)</f>
        <v>44.927999999999997</v>
      </c>
      <c r="M4860"/>
    </row>
    <row r="4861" spans="1:13" x14ac:dyDescent="0.3">
      <c r="A4861" s="7">
        <v>400248</v>
      </c>
      <c r="B4861" t="str">
        <f>_xlfn.XLOOKUP(Vendas[[#This Row],[ID Vendedor]],Vendedores[ID],Vendedores[Nome])</f>
        <v>Patrícia</v>
      </c>
      <c r="C4861" s="7" t="str">
        <f>_xlfn.XLOOKUP(Vendas[[#This Row],[ID Vendedor]],Vendedores[ID],Vendedores[Setor])</f>
        <v>CM</v>
      </c>
      <c r="D4861" s="7" t="s">
        <v>22</v>
      </c>
      <c r="E4861" t="str">
        <f>_xlfn.XLOOKUP(Vendas[[#This Row],[ID Item Vendido]],Agregado[ID],Agregado[Produto])</f>
        <v>Painel MDP 2,75x1,83m</v>
      </c>
      <c r="F4861" s="39">
        <v>45888</v>
      </c>
      <c r="G4861" s="7">
        <v>2</v>
      </c>
      <c r="H4861" s="3">
        <f>_xlfn.XLOOKUP(Vendas[[#This Row],[ID Item Vendido]],Agregado[ID],Agregado[Revenda])</f>
        <v>119</v>
      </c>
      <c r="I4861" s="3">
        <f>Vendas[[#This Row],[Valor Unitário]]*Vendas[[#This Row],[Qnt Vendida]]</f>
        <v>238</v>
      </c>
      <c r="J4861" s="3">
        <f>Vendas[[#This Row],[Valor da Venda]]-(_xlfn.XLOOKUP(Vendas[[#This Row],[ID Item Vendido]],Agregado[ID],Agregado[Custo])*Vendas[[#This Row],[Qnt Vendida]])</f>
        <v>48</v>
      </c>
      <c r="K4861" s="70">
        <f>Vendas[[#This Row],[Lucro da Venda]]/Vendas[[#This Row],[Valor da Venda]]</f>
        <v>0.20168067226890757</v>
      </c>
      <c r="L4861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4861"/>
    </row>
    <row r="4862" spans="1:13" x14ac:dyDescent="0.3">
      <c r="A4862" s="7">
        <v>400242</v>
      </c>
      <c r="B4862" t="str">
        <f>_xlfn.XLOOKUP(Vendas[[#This Row],[ID Vendedor]],Vendedores[ID],Vendedores[Nome])</f>
        <v>Fernanda</v>
      </c>
      <c r="C4862" s="7" t="str">
        <f>_xlfn.XLOOKUP(Vendas[[#This Row],[ID Vendedor]],Vendedores[ID],Vendedores[Setor])</f>
        <v>FM</v>
      </c>
      <c r="D4862" s="7" t="s">
        <v>20</v>
      </c>
      <c r="E4862" t="str">
        <f>_xlfn.XLOOKUP(Vendas[[#This Row],[ID Item Vendido]],Agregado[ID],Agregado[Produto])</f>
        <v>Barra de aço simples</v>
      </c>
      <c r="F4862" s="39">
        <v>45888</v>
      </c>
      <c r="G4862" s="7">
        <v>35</v>
      </c>
      <c r="H4862" s="3">
        <f>_xlfn.XLOOKUP(Vendas[[#This Row],[ID Item Vendido]],Agregado[ID],Agregado[Revenda])</f>
        <v>4.8</v>
      </c>
      <c r="I4862" s="3">
        <f>Vendas[[#This Row],[Valor Unitário]]*Vendas[[#This Row],[Qnt Vendida]]</f>
        <v>168</v>
      </c>
      <c r="J4862" s="3">
        <f>Vendas[[#This Row],[Valor da Venda]]-(_xlfn.XLOOKUP(Vendas[[#This Row],[ID Item Vendido]],Agregado[ID],Agregado[Custo])*Vendas[[#This Row],[Qnt Vendida]])</f>
        <v>21</v>
      </c>
      <c r="K4862" s="70">
        <f>Vendas[[#This Row],[Lucro da Venda]]/Vendas[[#This Row],[Valor da Venda]]</f>
        <v>0.125</v>
      </c>
      <c r="L4862" s="3">
        <f>_xlfn.IFS(Vendas[[#This Row],[Margem de Lucro (%)]]&lt;15%,Vendas[[#This Row],[Valor da Venda]]*3%,Vendas[[#This Row],[Margem de Lucro (%)]]&lt;=20%,Vendas[[#This Row],[Valor da Venda]]*4.5%,TRUE,Vendas[[#This Row],[Valor da Venda]]*6%)</f>
        <v>5.04</v>
      </c>
      <c r="M4862"/>
    </row>
    <row r="4863" spans="1:13" x14ac:dyDescent="0.3">
      <c r="A4863" s="7">
        <v>400254</v>
      </c>
      <c r="B4863" t="str">
        <f>_xlfn.XLOOKUP(Vendas[[#This Row],[ID Vendedor]],Vendedores[ID],Vendedores[Nome])</f>
        <v>Beatriz</v>
      </c>
      <c r="C4863" s="7" t="str">
        <f>_xlfn.XLOOKUP(Vendas[[#This Row],[ID Vendedor]],Vendedores[ID],Vendedores[Setor])</f>
        <v>SC</v>
      </c>
      <c r="D4863" s="7" t="s">
        <v>42</v>
      </c>
      <c r="E4863" t="str">
        <f>_xlfn.XLOOKUP(Vendas[[#This Row],[ID Item Vendido]],Agregado[ID],Agregado[Produto])</f>
        <v>Container de ferro industrial</v>
      </c>
      <c r="F4863" s="39">
        <v>45889</v>
      </c>
      <c r="G4863" s="7">
        <v>2</v>
      </c>
      <c r="H4863" s="3">
        <f>_xlfn.XLOOKUP(Vendas[[#This Row],[ID Item Vendido]],Agregado[ID],Agregado[Revenda])</f>
        <v>830</v>
      </c>
      <c r="I4863" s="3">
        <f>Vendas[[#This Row],[Valor Unitário]]*Vendas[[#This Row],[Qnt Vendida]]</f>
        <v>1660</v>
      </c>
      <c r="J4863" s="3">
        <f>Vendas[[#This Row],[Valor da Venda]]-(_xlfn.XLOOKUP(Vendas[[#This Row],[ID Item Vendido]],Agregado[ID],Agregado[Custo])*Vendas[[#This Row],[Qnt Vendida]])</f>
        <v>300</v>
      </c>
      <c r="K4863" s="70">
        <f>Vendas[[#This Row],[Lucro da Venda]]/Vendas[[#This Row],[Valor da Venda]]</f>
        <v>0.18072289156626506</v>
      </c>
      <c r="L4863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863"/>
    </row>
    <row r="4864" spans="1:13" x14ac:dyDescent="0.3">
      <c r="A4864" s="7">
        <v>400245</v>
      </c>
      <c r="B4864" t="str">
        <f>_xlfn.XLOOKUP(Vendas[[#This Row],[ID Vendedor]],Vendedores[ID],Vendedores[Nome])</f>
        <v>Thiago</v>
      </c>
      <c r="C4864" s="7" t="str">
        <f>_xlfn.XLOOKUP(Vendas[[#This Row],[ID Vendedor]],Vendedores[ID],Vendedores[Setor])</f>
        <v>AHD</v>
      </c>
      <c r="D4864" s="7" t="s">
        <v>18</v>
      </c>
      <c r="E4864" t="str">
        <f>_xlfn.XLOOKUP(Vendas[[#This Row],[ID Item Vendido]],Agregado[ID],Agregado[Produto])</f>
        <v>Peça forjada sob encomenda</v>
      </c>
      <c r="F4864" s="39">
        <v>45889</v>
      </c>
      <c r="G4864" s="7">
        <v>3</v>
      </c>
      <c r="H4864" s="3">
        <f>_xlfn.XLOOKUP(Vendas[[#This Row],[ID Item Vendido]],Agregado[ID],Agregado[Revenda])</f>
        <v>264.60000000000002</v>
      </c>
      <c r="I4864" s="3">
        <f>Vendas[[#This Row],[Valor Unitário]]*Vendas[[#This Row],[Qnt Vendida]]</f>
        <v>793.80000000000007</v>
      </c>
      <c r="J4864" s="3">
        <f>Vendas[[#This Row],[Valor da Venda]]-(_xlfn.XLOOKUP(Vendas[[#This Row],[ID Item Vendido]],Agregado[ID],Agregado[Custo])*Vendas[[#This Row],[Qnt Vendida]])</f>
        <v>43.800000000000068</v>
      </c>
      <c r="K4864" s="70">
        <f>Vendas[[#This Row],[Lucro da Venda]]/Vendas[[#This Row],[Valor da Venda]]</f>
        <v>5.5177626606198113E-2</v>
      </c>
      <c r="L486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4864"/>
    </row>
    <row r="4865" spans="1:13" x14ac:dyDescent="0.3">
      <c r="A4865" s="7">
        <v>400249</v>
      </c>
      <c r="B4865" t="str">
        <f>_xlfn.XLOOKUP(Vendas[[#This Row],[ID Vendedor]],Vendedores[ID],Vendedores[Nome])</f>
        <v>Bruno</v>
      </c>
      <c r="C4865" s="7" t="str">
        <f>_xlfn.XLOOKUP(Vendas[[#This Row],[ID Vendedor]],Vendedores[ID],Vendedores[Setor])</f>
        <v>CM</v>
      </c>
      <c r="D4865" s="7" t="s">
        <v>45</v>
      </c>
      <c r="E4865" t="str">
        <f>_xlfn.XLOOKUP(Vendas[[#This Row],[ID Item Vendido]],Agregado[ID],Agregado[Produto])</f>
        <v>Viga de madeira tratada 4m</v>
      </c>
      <c r="F4865" s="39">
        <v>45889</v>
      </c>
      <c r="G4865" s="7">
        <v>16</v>
      </c>
      <c r="H4865" s="3">
        <f>_xlfn.XLOOKUP(Vendas[[#This Row],[ID Item Vendido]],Agregado[ID],Agregado[Revenda])</f>
        <v>66</v>
      </c>
      <c r="I4865" s="3">
        <f>Vendas[[#This Row],[Valor Unitário]]*Vendas[[#This Row],[Qnt Vendida]]</f>
        <v>1056</v>
      </c>
      <c r="J4865" s="3">
        <f>Vendas[[#This Row],[Valor da Venda]]-(_xlfn.XLOOKUP(Vendas[[#This Row],[ID Item Vendido]],Agregado[ID],Agregado[Custo])*Vendas[[#This Row],[Qnt Vendida]])</f>
        <v>176</v>
      </c>
      <c r="K4865" s="70">
        <f>Vendas[[#This Row],[Lucro da Venda]]/Vendas[[#This Row],[Valor da Venda]]</f>
        <v>0.16666666666666666</v>
      </c>
      <c r="L4865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4865"/>
    </row>
    <row r="4866" spans="1:13" x14ac:dyDescent="0.3">
      <c r="A4866" s="7">
        <v>400253</v>
      </c>
      <c r="B4866" t="str">
        <f>_xlfn.XLOOKUP(Vendas[[#This Row],[ID Vendedor]],Vendedores[ID],Vendedores[Nome])</f>
        <v>Gustavo</v>
      </c>
      <c r="C4866" s="7" t="str">
        <f>_xlfn.XLOOKUP(Vendas[[#This Row],[ID Vendedor]],Vendedores[ID],Vendedores[Setor])</f>
        <v>SC</v>
      </c>
      <c r="D4866" s="7" t="s">
        <v>41</v>
      </c>
      <c r="E4866" t="str">
        <f>_xlfn.XLOOKUP(Vendas[[#This Row],[ID Item Vendido]],Agregado[ID],Agregado[Produto])</f>
        <v>Palete de madeira reforçado</v>
      </c>
      <c r="F4866" s="39">
        <v>45889</v>
      </c>
      <c r="G4866" s="7">
        <v>7</v>
      </c>
      <c r="H4866" s="3">
        <f>_xlfn.XLOOKUP(Vendas[[#This Row],[ID Item Vendido]],Agregado[ID],Agregado[Revenda])</f>
        <v>131</v>
      </c>
      <c r="I4866" s="3">
        <f>Vendas[[#This Row],[Valor Unitário]]*Vendas[[#This Row],[Qnt Vendida]]</f>
        <v>917</v>
      </c>
      <c r="J4866" s="3">
        <f>Vendas[[#This Row],[Valor da Venda]]-(_xlfn.XLOOKUP(Vendas[[#This Row],[ID Item Vendido]],Agregado[ID],Agregado[Custo])*Vendas[[#This Row],[Qnt Vendida]])</f>
        <v>147</v>
      </c>
      <c r="K4866" s="70">
        <f>Vendas[[#This Row],[Lucro da Venda]]/Vendas[[#This Row],[Valor da Venda]]</f>
        <v>0.16030534351145037</v>
      </c>
      <c r="L4866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4866"/>
    </row>
    <row r="4867" spans="1:13" x14ac:dyDescent="0.3">
      <c r="A4867" s="7">
        <v>400252</v>
      </c>
      <c r="B4867" t="str">
        <f>_xlfn.XLOOKUP(Vendas[[#This Row],[ID Vendedor]],Vendedores[ID],Vendedores[Nome])</f>
        <v>Renata</v>
      </c>
      <c r="C4867" s="7" t="str">
        <f>_xlfn.XLOOKUP(Vendas[[#This Row],[ID Vendedor]],Vendedores[ID],Vendedores[Setor])</f>
        <v>AB</v>
      </c>
      <c r="D4867" s="7" t="s">
        <v>39</v>
      </c>
      <c r="E4867" t="str">
        <f>_xlfn.XLOOKUP(Vendas[[#This Row],[ID Item Vendido]],Agregado[ID],Agregado[Produto])</f>
        <v>Filme plástico industrial rolo 50m</v>
      </c>
      <c r="F4867" s="39">
        <v>45889</v>
      </c>
      <c r="G4867" s="7">
        <v>21</v>
      </c>
      <c r="H4867" s="3">
        <f>_xlfn.XLOOKUP(Vendas[[#This Row],[ID Item Vendido]],Agregado[ID],Agregado[Revenda])</f>
        <v>37</v>
      </c>
      <c r="I4867" s="3">
        <f>Vendas[[#This Row],[Valor Unitário]]*Vendas[[#This Row],[Qnt Vendida]]</f>
        <v>777</v>
      </c>
      <c r="J4867" s="3">
        <f>Vendas[[#This Row],[Valor da Venda]]-(_xlfn.XLOOKUP(Vendas[[#This Row],[ID Item Vendido]],Agregado[ID],Agregado[Custo])*Vendas[[#This Row],[Qnt Vendida]])</f>
        <v>189</v>
      </c>
      <c r="K4867" s="70">
        <f>Vendas[[#This Row],[Lucro da Venda]]/Vendas[[#This Row],[Valor da Venda]]</f>
        <v>0.24324324324324326</v>
      </c>
      <c r="L4867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4867"/>
    </row>
    <row r="4868" spans="1:13" x14ac:dyDescent="0.3">
      <c r="A4868" s="7">
        <v>400255</v>
      </c>
      <c r="B4868" t="str">
        <f>_xlfn.XLOOKUP(Vendas[[#This Row],[ID Vendedor]],Vendedores[ID],Vendedores[Nome])</f>
        <v>Carlos</v>
      </c>
      <c r="C4868" s="7" t="str">
        <f>_xlfn.XLOOKUP(Vendas[[#This Row],[ID Vendedor]],Vendedores[ID],Vendedores[Setor])</f>
        <v>SC</v>
      </c>
      <c r="D4868" s="7" t="s">
        <v>25</v>
      </c>
      <c r="E4868" t="str">
        <f>_xlfn.XLOOKUP(Vendas[[#This Row],[ID Item Vendido]],Agregado[ID],Agregado[Produto])</f>
        <v>Palete de plástico</v>
      </c>
      <c r="F4868" s="39">
        <v>45889</v>
      </c>
      <c r="G4868" s="7">
        <v>10</v>
      </c>
      <c r="H4868" s="3">
        <f>_xlfn.XLOOKUP(Vendas[[#This Row],[ID Item Vendido]],Agregado[ID],Agregado[Revenda])</f>
        <v>70.8</v>
      </c>
      <c r="I4868" s="3">
        <f>Vendas[[#This Row],[Valor Unitário]]*Vendas[[#This Row],[Qnt Vendida]]</f>
        <v>708</v>
      </c>
      <c r="J4868" s="3">
        <f>Vendas[[#This Row],[Valor da Venda]]-(_xlfn.XLOOKUP(Vendas[[#This Row],[ID Item Vendido]],Agregado[ID],Agregado[Custo])*Vendas[[#This Row],[Qnt Vendida]])</f>
        <v>108</v>
      </c>
      <c r="K4868" s="70">
        <f>Vendas[[#This Row],[Lucro da Venda]]/Vendas[[#This Row],[Valor da Venda]]</f>
        <v>0.15254237288135594</v>
      </c>
      <c r="L4868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4868"/>
    </row>
    <row r="4869" spans="1:13" x14ac:dyDescent="0.3">
      <c r="A4869" s="7">
        <v>400247</v>
      </c>
      <c r="B4869" t="str">
        <f>_xlfn.XLOOKUP(Vendas[[#This Row],[ID Vendedor]],Vendedores[ID],Vendedores[Nome])</f>
        <v>André</v>
      </c>
      <c r="C4869" s="7" t="str">
        <f>_xlfn.XLOOKUP(Vendas[[#This Row],[ID Vendedor]],Vendedores[ID],Vendedores[Setor])</f>
        <v>CM</v>
      </c>
      <c r="D4869" s="7" t="s">
        <v>45</v>
      </c>
      <c r="E4869" t="str">
        <f>_xlfn.XLOOKUP(Vendas[[#This Row],[ID Item Vendido]],Agregado[ID],Agregado[Produto])</f>
        <v>Viga de madeira tratada 4m</v>
      </c>
      <c r="F4869" s="39">
        <v>45889</v>
      </c>
      <c r="G4869" s="7">
        <v>9</v>
      </c>
      <c r="H4869" s="3">
        <f>_xlfn.XLOOKUP(Vendas[[#This Row],[ID Item Vendido]],Agregado[ID],Agregado[Revenda])</f>
        <v>66</v>
      </c>
      <c r="I4869" s="3">
        <f>Vendas[[#This Row],[Valor Unitário]]*Vendas[[#This Row],[Qnt Vendida]]</f>
        <v>594</v>
      </c>
      <c r="J4869" s="3">
        <f>Vendas[[#This Row],[Valor da Venda]]-(_xlfn.XLOOKUP(Vendas[[#This Row],[ID Item Vendido]],Agregado[ID],Agregado[Custo])*Vendas[[#This Row],[Qnt Vendida]])</f>
        <v>99</v>
      </c>
      <c r="K4869" s="70">
        <f>Vendas[[#This Row],[Lucro da Venda]]/Vendas[[#This Row],[Valor da Venda]]</f>
        <v>0.16666666666666666</v>
      </c>
      <c r="L4869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4869"/>
    </row>
    <row r="4870" spans="1:13" x14ac:dyDescent="0.3">
      <c r="A4870" s="7">
        <v>400241</v>
      </c>
      <c r="B4870" t="str">
        <f>_xlfn.XLOOKUP(Vendas[[#This Row],[ID Vendedor]],Vendedores[ID],Vendedores[Nome])</f>
        <v>Rodrigo</v>
      </c>
      <c r="C4870" s="7" t="str">
        <f>_xlfn.XLOOKUP(Vendas[[#This Row],[ID Vendedor]],Vendedores[ID],Vendedores[Setor])</f>
        <v>FM</v>
      </c>
      <c r="D4870" s="7" t="s">
        <v>6</v>
      </c>
      <c r="E4870" t="str">
        <f>_xlfn.XLOOKUP(Vendas[[#This Row],[ID Item Vendido]],Agregado[ID],Agregado[Produto])</f>
        <v>Parafuso comum 500un</v>
      </c>
      <c r="F4870" s="39">
        <v>45889</v>
      </c>
      <c r="G4870" s="7">
        <v>15</v>
      </c>
      <c r="H4870" s="3">
        <f>_xlfn.XLOOKUP(Vendas[[#This Row],[ID Item Vendido]],Agregado[ID],Agregado[Revenda])</f>
        <v>24.6</v>
      </c>
      <c r="I4870" s="3">
        <f>Vendas[[#This Row],[Valor Unitário]]*Vendas[[#This Row],[Qnt Vendida]]</f>
        <v>369</v>
      </c>
      <c r="J4870" s="3">
        <f>Vendas[[#This Row],[Valor da Venda]]-(_xlfn.XLOOKUP(Vendas[[#This Row],[ID Item Vendido]],Agregado[ID],Agregado[Custo])*Vendas[[#This Row],[Qnt Vendida]])</f>
        <v>39</v>
      </c>
      <c r="K4870" s="70">
        <f>Vendas[[#This Row],[Lucro da Venda]]/Vendas[[#This Row],[Valor da Venda]]</f>
        <v>0.10569105691056911</v>
      </c>
      <c r="L4870" s="3">
        <f>_xlfn.IFS(Vendas[[#This Row],[Margem de Lucro (%)]]&lt;15%,Vendas[[#This Row],[Valor da Venda]]*3%,Vendas[[#This Row],[Margem de Lucro (%)]]&lt;=20%,Vendas[[#This Row],[Valor da Venda]]*4.5%,TRUE,Vendas[[#This Row],[Valor da Venda]]*6%)</f>
        <v>11.07</v>
      </c>
      <c r="M4870"/>
    </row>
    <row r="4871" spans="1:13" x14ac:dyDescent="0.3">
      <c r="A4871" s="7">
        <v>400251</v>
      </c>
      <c r="B4871" t="str">
        <f>_xlfn.XLOOKUP(Vendas[[#This Row],[ID Vendedor]],Vendedores[ID],Vendedores[Nome])</f>
        <v>Diego</v>
      </c>
      <c r="C4871" s="7" t="str">
        <f>_xlfn.XLOOKUP(Vendas[[#This Row],[ID Vendedor]],Vendedores[ID],Vendedores[Setor])</f>
        <v>AB</v>
      </c>
      <c r="D4871" s="7" t="s">
        <v>12</v>
      </c>
      <c r="E4871" t="str">
        <f>_xlfn.XLOOKUP(Vendas[[#This Row],[ID Item Vendido]],Agregado[ID],Agregado[Produto])</f>
        <v>Grânulo de plástico reciclado refinado</v>
      </c>
      <c r="F4871" s="39">
        <v>45889</v>
      </c>
      <c r="G4871" s="7">
        <v>63</v>
      </c>
      <c r="H4871" s="3">
        <f>_xlfn.XLOOKUP(Vendas[[#This Row],[ID Item Vendido]],Agregado[ID],Agregado[Revenda])</f>
        <v>4.7</v>
      </c>
      <c r="I4871" s="3">
        <f>Vendas[[#This Row],[Valor Unitário]]*Vendas[[#This Row],[Qnt Vendida]]</f>
        <v>296.10000000000002</v>
      </c>
      <c r="J4871" s="3">
        <f>Vendas[[#This Row],[Valor da Venda]]-(_xlfn.XLOOKUP(Vendas[[#This Row],[ID Item Vendido]],Agregado[ID],Agregado[Custo])*Vendas[[#This Row],[Qnt Vendida]])</f>
        <v>75.600000000000023</v>
      </c>
      <c r="K4871" s="70">
        <f>Vendas[[#This Row],[Lucro da Venda]]/Vendas[[#This Row],[Valor da Venda]]</f>
        <v>0.25531914893617025</v>
      </c>
      <c r="L4871" s="3">
        <f>_xlfn.IFS(Vendas[[#This Row],[Margem de Lucro (%)]]&lt;15%,Vendas[[#This Row],[Valor da Venda]]*3%,Vendas[[#This Row],[Margem de Lucro (%)]]&lt;=20%,Vendas[[#This Row],[Valor da Venda]]*4.5%,TRUE,Vendas[[#This Row],[Valor da Venda]]*6%)</f>
        <v>17.766000000000002</v>
      </c>
      <c r="M4871"/>
    </row>
    <row r="4872" spans="1:13" x14ac:dyDescent="0.3">
      <c r="A4872" s="7">
        <v>400252</v>
      </c>
      <c r="B4872" t="str">
        <f>_xlfn.XLOOKUP(Vendas[[#This Row],[ID Vendedor]],Vendedores[ID],Vendedores[Nome])</f>
        <v>Renata</v>
      </c>
      <c r="C4872" s="7" t="str">
        <f>_xlfn.XLOOKUP(Vendas[[#This Row],[ID Vendedor]],Vendedores[ID],Vendedores[Setor])</f>
        <v>AB</v>
      </c>
      <c r="D4872" s="7" t="s">
        <v>37</v>
      </c>
      <c r="E4872" t="str">
        <f>_xlfn.XLOOKUP(Vendas[[#This Row],[ID Item Vendido]],Agregado[ID],Agregado[Produto])</f>
        <v>Composto de borracha para vedação rolo 10m</v>
      </c>
      <c r="F4872" s="39">
        <v>45890</v>
      </c>
      <c r="G4872" s="7">
        <v>20</v>
      </c>
      <c r="H4872" s="3">
        <f>_xlfn.XLOOKUP(Vendas[[#This Row],[ID Item Vendido]],Agregado[ID],Agregado[Revenda])</f>
        <v>51.2</v>
      </c>
      <c r="I4872" s="3">
        <f>Vendas[[#This Row],[Valor Unitário]]*Vendas[[#This Row],[Qnt Vendida]]</f>
        <v>1024</v>
      </c>
      <c r="J4872" s="3">
        <f>Vendas[[#This Row],[Valor da Venda]]-(_xlfn.XLOOKUP(Vendas[[#This Row],[ID Item Vendido]],Agregado[ID],Agregado[Custo])*Vendas[[#This Row],[Qnt Vendida]])</f>
        <v>224</v>
      </c>
      <c r="K4872" s="70">
        <f>Vendas[[#This Row],[Lucro da Venda]]/Vendas[[#This Row],[Valor da Venda]]</f>
        <v>0.21875</v>
      </c>
      <c r="L4872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4872"/>
    </row>
    <row r="4873" spans="1:13" x14ac:dyDescent="0.3">
      <c r="A4873" s="7">
        <v>400241</v>
      </c>
      <c r="B4873" t="str">
        <f>_xlfn.XLOOKUP(Vendas[[#This Row],[ID Vendedor]],Vendedores[ID],Vendedores[Nome])</f>
        <v>Rodrigo</v>
      </c>
      <c r="C4873" s="7" t="str">
        <f>_xlfn.XLOOKUP(Vendas[[#This Row],[ID Vendedor]],Vendedores[ID],Vendedores[Setor])</f>
        <v>FM</v>
      </c>
      <c r="D4873" s="7" t="s">
        <v>20</v>
      </c>
      <c r="E4873" t="str">
        <f>_xlfn.XLOOKUP(Vendas[[#This Row],[ID Item Vendido]],Agregado[ID],Agregado[Produto])</f>
        <v>Barra de aço simples</v>
      </c>
      <c r="F4873" s="39">
        <v>45890</v>
      </c>
      <c r="G4873" s="7">
        <v>172</v>
      </c>
      <c r="H4873" s="3">
        <f>_xlfn.XLOOKUP(Vendas[[#This Row],[ID Item Vendido]],Agregado[ID],Agregado[Revenda])</f>
        <v>4.8</v>
      </c>
      <c r="I4873" s="3">
        <f>Vendas[[#This Row],[Valor Unitário]]*Vendas[[#This Row],[Qnt Vendida]]</f>
        <v>825.6</v>
      </c>
      <c r="J4873" s="3">
        <f>Vendas[[#This Row],[Valor da Venda]]-(_xlfn.XLOOKUP(Vendas[[#This Row],[ID Item Vendido]],Agregado[ID],Agregado[Custo])*Vendas[[#This Row],[Qnt Vendida]])</f>
        <v>103.20000000000005</v>
      </c>
      <c r="K4873" s="70">
        <f>Vendas[[#This Row],[Lucro da Venda]]/Vendas[[#This Row],[Valor da Venda]]</f>
        <v>0.12500000000000006</v>
      </c>
      <c r="L4873" s="3">
        <f>_xlfn.IFS(Vendas[[#This Row],[Margem de Lucro (%)]]&lt;15%,Vendas[[#This Row],[Valor da Venda]]*3%,Vendas[[#This Row],[Margem de Lucro (%)]]&lt;=20%,Vendas[[#This Row],[Valor da Venda]]*4.5%,TRUE,Vendas[[#This Row],[Valor da Venda]]*6%)</f>
        <v>24.768000000000001</v>
      </c>
      <c r="M4873"/>
    </row>
    <row r="4874" spans="1:13" x14ac:dyDescent="0.3">
      <c r="A4874" s="7">
        <v>400249</v>
      </c>
      <c r="B4874" t="str">
        <f>_xlfn.XLOOKUP(Vendas[[#This Row],[ID Vendedor]],Vendedores[ID],Vendedores[Nome])</f>
        <v>Bruno</v>
      </c>
      <c r="C4874" s="7" t="str">
        <f>_xlfn.XLOOKUP(Vendas[[#This Row],[ID Vendedor]],Vendedores[ID],Vendedores[Setor])</f>
        <v>CM</v>
      </c>
      <c r="D4874" s="7" t="s">
        <v>45</v>
      </c>
      <c r="E4874" t="str">
        <f>_xlfn.XLOOKUP(Vendas[[#This Row],[ID Item Vendido]],Agregado[ID],Agregado[Produto])</f>
        <v>Viga de madeira tratada 4m</v>
      </c>
      <c r="F4874" s="39">
        <v>45890</v>
      </c>
      <c r="G4874" s="7">
        <v>9</v>
      </c>
      <c r="H4874" s="3">
        <f>_xlfn.XLOOKUP(Vendas[[#This Row],[ID Item Vendido]],Agregado[ID],Agregado[Revenda])</f>
        <v>66</v>
      </c>
      <c r="I4874" s="3">
        <f>Vendas[[#This Row],[Valor Unitário]]*Vendas[[#This Row],[Qnt Vendida]]</f>
        <v>594</v>
      </c>
      <c r="J4874" s="3">
        <f>Vendas[[#This Row],[Valor da Venda]]-(_xlfn.XLOOKUP(Vendas[[#This Row],[ID Item Vendido]],Agregado[ID],Agregado[Custo])*Vendas[[#This Row],[Qnt Vendida]])</f>
        <v>99</v>
      </c>
      <c r="K4874" s="70">
        <f>Vendas[[#This Row],[Lucro da Venda]]/Vendas[[#This Row],[Valor da Venda]]</f>
        <v>0.16666666666666666</v>
      </c>
      <c r="L4874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4874"/>
    </row>
    <row r="4875" spans="1:13" x14ac:dyDescent="0.3">
      <c r="A4875" s="7">
        <v>400252</v>
      </c>
      <c r="B4875" t="str">
        <f>_xlfn.XLOOKUP(Vendas[[#This Row],[ID Vendedor]],Vendedores[ID],Vendedores[Nome])</f>
        <v>Renata</v>
      </c>
      <c r="C4875" s="7" t="str">
        <f>_xlfn.XLOOKUP(Vendas[[#This Row],[ID Vendedor]],Vendedores[ID],Vendedores[Setor])</f>
        <v>AB</v>
      </c>
      <c r="D4875" s="7" t="s">
        <v>39</v>
      </c>
      <c r="E4875" t="str">
        <f>_xlfn.XLOOKUP(Vendas[[#This Row],[ID Item Vendido]],Agregado[ID],Agregado[Produto])</f>
        <v>Filme plástico industrial rolo 50m</v>
      </c>
      <c r="F4875" s="39">
        <v>45890</v>
      </c>
      <c r="G4875" s="7">
        <v>4</v>
      </c>
      <c r="H4875" s="3">
        <f>_xlfn.XLOOKUP(Vendas[[#This Row],[ID Item Vendido]],Agregado[ID],Agregado[Revenda])</f>
        <v>37</v>
      </c>
      <c r="I4875" s="3">
        <f>Vendas[[#This Row],[Valor Unitário]]*Vendas[[#This Row],[Qnt Vendida]]</f>
        <v>148</v>
      </c>
      <c r="J4875" s="3">
        <f>Vendas[[#This Row],[Valor da Venda]]-(_xlfn.XLOOKUP(Vendas[[#This Row],[ID Item Vendido]],Agregado[ID],Agregado[Custo])*Vendas[[#This Row],[Qnt Vendida]])</f>
        <v>36</v>
      </c>
      <c r="K4875" s="70">
        <f>Vendas[[#This Row],[Lucro da Venda]]/Vendas[[#This Row],[Valor da Venda]]</f>
        <v>0.24324324324324326</v>
      </c>
      <c r="L4875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4875"/>
    </row>
    <row r="4876" spans="1:13" x14ac:dyDescent="0.3">
      <c r="A4876" s="7">
        <v>400251</v>
      </c>
      <c r="B4876" t="str">
        <f>_xlfn.XLOOKUP(Vendas[[#This Row],[ID Vendedor]],Vendedores[ID],Vendedores[Nome])</f>
        <v>Diego</v>
      </c>
      <c r="C4876" s="7" t="str">
        <f>_xlfn.XLOOKUP(Vendas[[#This Row],[ID Vendedor]],Vendedores[ID],Vendedores[Setor])</f>
        <v>AB</v>
      </c>
      <c r="D4876" s="7" t="s">
        <v>24</v>
      </c>
      <c r="E4876" t="str">
        <f>_xlfn.XLOOKUP(Vendas[[#This Row],[ID Item Vendido]],Agregado[ID],Agregado[Produto])</f>
        <v>Resina plástica PET purificada saco de 25kg</v>
      </c>
      <c r="F4876" s="39">
        <v>45891</v>
      </c>
      <c r="G4876" s="7">
        <v>21</v>
      </c>
      <c r="H4876" s="3">
        <f>_xlfn.XLOOKUP(Vendas[[#This Row],[ID Item Vendido]],Agregado[ID],Agregado[Revenda])</f>
        <v>119</v>
      </c>
      <c r="I4876" s="3">
        <f>Vendas[[#This Row],[Valor Unitário]]*Vendas[[#This Row],[Qnt Vendida]]</f>
        <v>2499</v>
      </c>
      <c r="J4876" s="3">
        <f>Vendas[[#This Row],[Valor da Venda]]-(_xlfn.XLOOKUP(Vendas[[#This Row],[ID Item Vendido]],Agregado[ID],Agregado[Custo])*Vendas[[#This Row],[Qnt Vendida]])</f>
        <v>714</v>
      </c>
      <c r="K4876" s="70">
        <f>Vendas[[#This Row],[Lucro da Venda]]/Vendas[[#This Row],[Valor da Venda]]</f>
        <v>0.2857142857142857</v>
      </c>
      <c r="L4876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4876"/>
    </row>
    <row r="4877" spans="1:13" x14ac:dyDescent="0.3">
      <c r="A4877" s="7">
        <v>400252</v>
      </c>
      <c r="B4877" t="str">
        <f>_xlfn.XLOOKUP(Vendas[[#This Row],[ID Vendedor]],Vendedores[ID],Vendedores[Nome])</f>
        <v>Renata</v>
      </c>
      <c r="C4877" s="7" t="str">
        <f>_xlfn.XLOOKUP(Vendas[[#This Row],[ID Vendedor]],Vendedores[ID],Vendedores[Setor])</f>
        <v>AB</v>
      </c>
      <c r="D4877" s="7" t="s">
        <v>24</v>
      </c>
      <c r="E4877" t="str">
        <f>_xlfn.XLOOKUP(Vendas[[#This Row],[ID Item Vendido]],Agregado[ID],Agregado[Produto])</f>
        <v>Resina plástica PET purificada saco de 25kg</v>
      </c>
      <c r="F4877" s="39">
        <v>45891</v>
      </c>
      <c r="G4877" s="7">
        <v>19</v>
      </c>
      <c r="H4877" s="3">
        <f>_xlfn.XLOOKUP(Vendas[[#This Row],[ID Item Vendido]],Agregado[ID],Agregado[Revenda])</f>
        <v>119</v>
      </c>
      <c r="I4877" s="3">
        <f>Vendas[[#This Row],[Valor Unitário]]*Vendas[[#This Row],[Qnt Vendida]]</f>
        <v>2261</v>
      </c>
      <c r="J4877" s="3">
        <f>Vendas[[#This Row],[Valor da Venda]]-(_xlfn.XLOOKUP(Vendas[[#This Row],[ID Item Vendido]],Agregado[ID],Agregado[Custo])*Vendas[[#This Row],[Qnt Vendida]])</f>
        <v>646</v>
      </c>
      <c r="K4877" s="70">
        <f>Vendas[[#This Row],[Lucro da Venda]]/Vendas[[#This Row],[Valor da Venda]]</f>
        <v>0.2857142857142857</v>
      </c>
      <c r="L4877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4877"/>
    </row>
    <row r="4878" spans="1:13" x14ac:dyDescent="0.3">
      <c r="A4878" s="7">
        <v>400246</v>
      </c>
      <c r="B4878" t="str">
        <f>_xlfn.XLOOKUP(Vendas[[#This Row],[ID Vendedor]],Vendedores[ID],Vendedores[Nome])</f>
        <v>Juliana</v>
      </c>
      <c r="C4878" s="7" t="str">
        <f>_xlfn.XLOOKUP(Vendas[[#This Row],[ID Vendedor]],Vendedores[ID],Vendedores[Setor])</f>
        <v>AHD</v>
      </c>
      <c r="D4878" s="7" t="s">
        <v>44</v>
      </c>
      <c r="E4878" t="str">
        <f>_xlfn.XLOOKUP(Vendas[[#This Row],[ID Item Vendido]],Agregado[ID],Agregado[Produto])</f>
        <v>Liga metálica especial</v>
      </c>
      <c r="F4878" s="39">
        <v>45891</v>
      </c>
      <c r="G4878" s="7">
        <v>42</v>
      </c>
      <c r="H4878" s="3">
        <f>_xlfn.XLOOKUP(Vendas[[#This Row],[ID Item Vendido]],Agregado[ID],Agregado[Revenda])</f>
        <v>32.5</v>
      </c>
      <c r="I4878" s="3">
        <f>Vendas[[#This Row],[Valor Unitário]]*Vendas[[#This Row],[Qnt Vendida]]</f>
        <v>1365</v>
      </c>
      <c r="J4878" s="3">
        <f>Vendas[[#This Row],[Valor da Venda]]-(_xlfn.XLOOKUP(Vendas[[#This Row],[ID Item Vendido]],Agregado[ID],Agregado[Custo])*Vendas[[#This Row],[Qnt Vendida]])</f>
        <v>315</v>
      </c>
      <c r="K4878" s="70">
        <f>Vendas[[#This Row],[Lucro da Venda]]/Vendas[[#This Row],[Valor da Venda]]</f>
        <v>0.23076923076923078</v>
      </c>
      <c r="L4878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4878"/>
    </row>
    <row r="4879" spans="1:13" x14ac:dyDescent="0.3">
      <c r="A4879" s="7">
        <v>400254</v>
      </c>
      <c r="B4879" t="str">
        <f>_xlfn.XLOOKUP(Vendas[[#This Row],[ID Vendedor]],Vendedores[ID],Vendedores[Nome])</f>
        <v>Beatriz</v>
      </c>
      <c r="C4879" s="7" t="str">
        <f>_xlfn.XLOOKUP(Vendas[[#This Row],[ID Vendedor]],Vendedores[ID],Vendedores[Setor])</f>
        <v>SC</v>
      </c>
      <c r="D4879" s="7" t="s">
        <v>14</v>
      </c>
      <c r="E4879" t="str">
        <f>_xlfn.XLOOKUP(Vendas[[#This Row],[ID Item Vendido]],Agregado[ID],Agregado[Produto])</f>
        <v>Barril de plástico 200L</v>
      </c>
      <c r="F4879" s="39">
        <v>45892</v>
      </c>
      <c r="G4879" s="7">
        <v>21</v>
      </c>
      <c r="H4879" s="3">
        <f>_xlfn.XLOOKUP(Vendas[[#This Row],[ID Item Vendido]],Agregado[ID],Agregado[Revenda])</f>
        <v>114</v>
      </c>
      <c r="I4879" s="3">
        <f>Vendas[[#This Row],[Valor Unitário]]*Vendas[[#This Row],[Qnt Vendida]]</f>
        <v>2394</v>
      </c>
      <c r="J4879" s="3">
        <f>Vendas[[#This Row],[Valor da Venda]]-(_xlfn.XLOOKUP(Vendas[[#This Row],[ID Item Vendido]],Agregado[ID],Agregado[Custo])*Vendas[[#This Row],[Qnt Vendida]])</f>
        <v>399</v>
      </c>
      <c r="K4879" s="70">
        <f>Vendas[[#This Row],[Lucro da Venda]]/Vendas[[#This Row],[Valor da Venda]]</f>
        <v>0.16666666666666666</v>
      </c>
      <c r="L4879" s="3">
        <f>_xlfn.IFS(Vendas[[#This Row],[Margem de Lucro (%)]]&lt;15%,Vendas[[#This Row],[Valor da Venda]]*3%,Vendas[[#This Row],[Margem de Lucro (%)]]&lt;=20%,Vendas[[#This Row],[Valor da Venda]]*4.5%,TRUE,Vendas[[#This Row],[Valor da Venda]]*6%)</f>
        <v>107.72999999999999</v>
      </c>
      <c r="M4879"/>
    </row>
    <row r="4880" spans="1:13" x14ac:dyDescent="0.3">
      <c r="A4880" s="7">
        <v>400241</v>
      </c>
      <c r="B4880" t="str">
        <f>_xlfn.XLOOKUP(Vendas[[#This Row],[ID Vendedor]],Vendedores[ID],Vendedores[Nome])</f>
        <v>Rodrigo</v>
      </c>
      <c r="C4880" s="7" t="str">
        <f>_xlfn.XLOOKUP(Vendas[[#This Row],[ID Vendedor]],Vendedores[ID],Vendedores[Setor])</f>
        <v>FM</v>
      </c>
      <c r="D4880" s="7" t="s">
        <v>27</v>
      </c>
      <c r="E4880" t="str">
        <f>_xlfn.XLOOKUP(Vendas[[#This Row],[ID Item Vendido]],Agregado[ID],Agregado[Produto])</f>
        <v>Chapa de metal lisa 1x2m</v>
      </c>
      <c r="F4880" s="39">
        <v>45892</v>
      </c>
      <c r="G4880" s="7">
        <v>30</v>
      </c>
      <c r="H4880" s="3">
        <f>_xlfn.XLOOKUP(Vendas[[#This Row],[ID Item Vendido]],Agregado[ID],Agregado[Revenda])</f>
        <v>52</v>
      </c>
      <c r="I4880" s="3">
        <f>Vendas[[#This Row],[Valor Unitário]]*Vendas[[#This Row],[Qnt Vendida]]</f>
        <v>1560</v>
      </c>
      <c r="J4880" s="3">
        <f>Vendas[[#This Row],[Valor da Venda]]-(_xlfn.XLOOKUP(Vendas[[#This Row],[ID Item Vendido]],Agregado[ID],Agregado[Custo])*Vendas[[#This Row],[Qnt Vendida]])</f>
        <v>210</v>
      </c>
      <c r="K4880" s="70">
        <f>Vendas[[#This Row],[Lucro da Venda]]/Vendas[[#This Row],[Valor da Venda]]</f>
        <v>0.13461538461538461</v>
      </c>
      <c r="L4880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4880"/>
    </row>
    <row r="4881" spans="1:13" x14ac:dyDescent="0.3">
      <c r="A4881" s="7">
        <v>400247</v>
      </c>
      <c r="B4881" t="str">
        <f>_xlfn.XLOOKUP(Vendas[[#This Row],[ID Vendedor]],Vendedores[ID],Vendedores[Nome])</f>
        <v>André</v>
      </c>
      <c r="C4881" s="7" t="str">
        <f>_xlfn.XLOOKUP(Vendas[[#This Row],[ID Vendedor]],Vendedores[ID],Vendedores[Setor])</f>
        <v>CM</v>
      </c>
      <c r="D4881" s="7" t="s">
        <v>22</v>
      </c>
      <c r="E4881" t="str">
        <f>_xlfn.XLOOKUP(Vendas[[#This Row],[ID Item Vendido]],Agregado[ID],Agregado[Produto])</f>
        <v>Painel MDP 2,75x1,83m</v>
      </c>
      <c r="F4881" s="39">
        <v>45892</v>
      </c>
      <c r="G4881" s="7">
        <v>6</v>
      </c>
      <c r="H4881" s="3">
        <f>_xlfn.XLOOKUP(Vendas[[#This Row],[ID Item Vendido]],Agregado[ID],Agregado[Revenda])</f>
        <v>119</v>
      </c>
      <c r="I4881" s="3">
        <f>Vendas[[#This Row],[Valor Unitário]]*Vendas[[#This Row],[Qnt Vendida]]</f>
        <v>714</v>
      </c>
      <c r="J4881" s="3">
        <f>Vendas[[#This Row],[Valor da Venda]]-(_xlfn.XLOOKUP(Vendas[[#This Row],[ID Item Vendido]],Agregado[ID],Agregado[Custo])*Vendas[[#This Row],[Qnt Vendida]])</f>
        <v>144</v>
      </c>
      <c r="K4881" s="70">
        <f>Vendas[[#This Row],[Lucro da Venda]]/Vendas[[#This Row],[Valor da Venda]]</f>
        <v>0.20168067226890757</v>
      </c>
      <c r="L4881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4881"/>
    </row>
    <row r="4882" spans="1:13" x14ac:dyDescent="0.3">
      <c r="A4882" s="7">
        <v>400252</v>
      </c>
      <c r="B4882" t="str">
        <f>_xlfn.XLOOKUP(Vendas[[#This Row],[ID Vendedor]],Vendedores[ID],Vendedores[Nome])</f>
        <v>Renata</v>
      </c>
      <c r="C4882" s="7" t="str">
        <f>_xlfn.XLOOKUP(Vendas[[#This Row],[ID Vendedor]],Vendedores[ID],Vendedores[Setor])</f>
        <v>AB</v>
      </c>
      <c r="D4882" s="7" t="s">
        <v>24</v>
      </c>
      <c r="E4882" t="str">
        <f>_xlfn.XLOOKUP(Vendas[[#This Row],[ID Item Vendido]],Agregado[ID],Agregado[Produto])</f>
        <v>Resina plástica PET purificada saco de 25kg</v>
      </c>
      <c r="F4882" s="39">
        <v>45893</v>
      </c>
      <c r="G4882" s="7">
        <v>29</v>
      </c>
      <c r="H4882" s="3">
        <f>_xlfn.XLOOKUP(Vendas[[#This Row],[ID Item Vendido]],Agregado[ID],Agregado[Revenda])</f>
        <v>119</v>
      </c>
      <c r="I4882" s="3">
        <f>Vendas[[#This Row],[Valor Unitário]]*Vendas[[#This Row],[Qnt Vendida]]</f>
        <v>3451</v>
      </c>
      <c r="J4882" s="3">
        <f>Vendas[[#This Row],[Valor da Venda]]-(_xlfn.XLOOKUP(Vendas[[#This Row],[ID Item Vendido]],Agregado[ID],Agregado[Custo])*Vendas[[#This Row],[Qnt Vendida]])</f>
        <v>986</v>
      </c>
      <c r="K4882" s="70">
        <f>Vendas[[#This Row],[Lucro da Venda]]/Vendas[[#This Row],[Valor da Venda]]</f>
        <v>0.2857142857142857</v>
      </c>
      <c r="L4882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4882"/>
    </row>
    <row r="4883" spans="1:13" x14ac:dyDescent="0.3">
      <c r="A4883" s="7">
        <v>400250</v>
      </c>
      <c r="B4883" t="str">
        <f>_xlfn.XLOOKUP(Vendas[[#This Row],[ID Vendedor]],Vendedores[ID],Vendedores[Nome])</f>
        <v>Larissa</v>
      </c>
      <c r="C4883" s="7" t="str">
        <f>_xlfn.XLOOKUP(Vendas[[#This Row],[ID Vendedor]],Vendedores[ID],Vendedores[Setor])</f>
        <v>AB</v>
      </c>
      <c r="D4883" s="7" t="s">
        <v>24</v>
      </c>
      <c r="E4883" t="str">
        <f>_xlfn.XLOOKUP(Vendas[[#This Row],[ID Item Vendido]],Agregado[ID],Agregado[Produto])</f>
        <v>Resina plástica PET purificada saco de 25kg</v>
      </c>
      <c r="F4883" s="39">
        <v>45893</v>
      </c>
      <c r="G4883" s="7">
        <v>17</v>
      </c>
      <c r="H4883" s="3">
        <f>_xlfn.XLOOKUP(Vendas[[#This Row],[ID Item Vendido]],Agregado[ID],Agregado[Revenda])</f>
        <v>119</v>
      </c>
      <c r="I4883" s="3">
        <f>Vendas[[#This Row],[Valor Unitário]]*Vendas[[#This Row],[Qnt Vendida]]</f>
        <v>2023</v>
      </c>
      <c r="J4883" s="3">
        <f>Vendas[[#This Row],[Valor da Venda]]-(_xlfn.XLOOKUP(Vendas[[#This Row],[ID Item Vendido]],Agregado[ID],Agregado[Custo])*Vendas[[#This Row],[Qnt Vendida]])</f>
        <v>578</v>
      </c>
      <c r="K4883" s="70">
        <f>Vendas[[#This Row],[Lucro da Venda]]/Vendas[[#This Row],[Valor da Venda]]</f>
        <v>0.2857142857142857</v>
      </c>
      <c r="L4883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4883"/>
    </row>
    <row r="4884" spans="1:13" x14ac:dyDescent="0.3">
      <c r="A4884" s="7">
        <v>400247</v>
      </c>
      <c r="B4884" t="str">
        <f>_xlfn.XLOOKUP(Vendas[[#This Row],[ID Vendedor]],Vendedores[ID],Vendedores[Nome])</f>
        <v>André</v>
      </c>
      <c r="C4884" s="7" t="str">
        <f>_xlfn.XLOOKUP(Vendas[[#This Row],[ID Vendedor]],Vendedores[ID],Vendedores[Setor])</f>
        <v>CM</v>
      </c>
      <c r="D4884" s="7" t="s">
        <v>34</v>
      </c>
      <c r="E4884" t="str">
        <f>_xlfn.XLOOKUP(Vendas[[#This Row],[ID Item Vendido]],Agregado[ID],Agregado[Produto])</f>
        <v>Restos de madeira p/ MDP/OSB saco de 20kg</v>
      </c>
      <c r="F4884" s="39">
        <v>45893</v>
      </c>
      <c r="G4884" s="7">
        <v>27</v>
      </c>
      <c r="H4884" s="3">
        <f>_xlfn.XLOOKUP(Vendas[[#This Row],[ID Item Vendido]],Agregado[ID],Agregado[Revenda])</f>
        <v>13.8</v>
      </c>
      <c r="I4884" s="3">
        <f>Vendas[[#This Row],[Valor Unitário]]*Vendas[[#This Row],[Qnt Vendida]]</f>
        <v>372.6</v>
      </c>
      <c r="J4884" s="3">
        <f>Vendas[[#This Row],[Valor da Venda]]-(_xlfn.XLOOKUP(Vendas[[#This Row],[ID Item Vendido]],Agregado[ID],Agregado[Custo])*Vendas[[#This Row],[Qnt Vendida]])</f>
        <v>48.600000000000023</v>
      </c>
      <c r="K4884" s="70">
        <f>Vendas[[#This Row],[Lucro da Venda]]/Vendas[[#This Row],[Valor da Venda]]</f>
        <v>0.1304347826086957</v>
      </c>
      <c r="L4884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4884"/>
    </row>
    <row r="4885" spans="1:13" x14ac:dyDescent="0.3">
      <c r="A4885" s="7">
        <v>400242</v>
      </c>
      <c r="B4885" t="str">
        <f>_xlfn.XLOOKUP(Vendas[[#This Row],[ID Vendedor]],Vendedores[ID],Vendedores[Nome])</f>
        <v>Fernanda</v>
      </c>
      <c r="C4885" s="7" t="str">
        <f>_xlfn.XLOOKUP(Vendas[[#This Row],[ID Vendedor]],Vendedores[ID],Vendedores[Setor])</f>
        <v>FM</v>
      </c>
      <c r="D4885" s="7" t="s">
        <v>27</v>
      </c>
      <c r="E4885" t="str">
        <f>_xlfn.XLOOKUP(Vendas[[#This Row],[ID Item Vendido]],Agregado[ID],Agregado[Produto])</f>
        <v>Chapa de metal lisa 1x2m</v>
      </c>
      <c r="F4885" s="39">
        <v>45893</v>
      </c>
      <c r="G4885" s="7">
        <v>3</v>
      </c>
      <c r="H4885" s="3">
        <f>_xlfn.XLOOKUP(Vendas[[#This Row],[ID Item Vendido]],Agregado[ID],Agregado[Revenda])</f>
        <v>52</v>
      </c>
      <c r="I4885" s="3">
        <f>Vendas[[#This Row],[Valor Unitário]]*Vendas[[#This Row],[Qnt Vendida]]</f>
        <v>156</v>
      </c>
      <c r="J4885" s="3">
        <f>Vendas[[#This Row],[Valor da Venda]]-(_xlfn.XLOOKUP(Vendas[[#This Row],[ID Item Vendido]],Agregado[ID],Agregado[Custo])*Vendas[[#This Row],[Qnt Vendida]])</f>
        <v>21</v>
      </c>
      <c r="K4885" s="70">
        <f>Vendas[[#This Row],[Lucro da Venda]]/Vendas[[#This Row],[Valor da Venda]]</f>
        <v>0.13461538461538461</v>
      </c>
      <c r="L4885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4885"/>
    </row>
    <row r="4886" spans="1:13" x14ac:dyDescent="0.3">
      <c r="A4886" s="7">
        <v>400248</v>
      </c>
      <c r="B4886" t="str">
        <f>_xlfn.XLOOKUP(Vendas[[#This Row],[ID Vendedor]],Vendedores[ID],Vendedores[Nome])</f>
        <v>Patrícia</v>
      </c>
      <c r="C4886" s="7" t="str">
        <f>_xlfn.XLOOKUP(Vendas[[#This Row],[ID Vendedor]],Vendedores[ID],Vendedores[Setor])</f>
        <v>CM</v>
      </c>
      <c r="D4886" s="7" t="s">
        <v>22</v>
      </c>
      <c r="E4886" t="str">
        <f>_xlfn.XLOOKUP(Vendas[[#This Row],[ID Item Vendido]],Agregado[ID],Agregado[Produto])</f>
        <v>Painel MDP 2,75x1,83m</v>
      </c>
      <c r="F4886" s="39">
        <v>45894</v>
      </c>
      <c r="G4886" s="7">
        <v>17</v>
      </c>
      <c r="H4886" s="3">
        <f>_xlfn.XLOOKUP(Vendas[[#This Row],[ID Item Vendido]],Agregado[ID],Agregado[Revenda])</f>
        <v>119</v>
      </c>
      <c r="I4886" s="3">
        <f>Vendas[[#This Row],[Valor Unitário]]*Vendas[[#This Row],[Qnt Vendida]]</f>
        <v>2023</v>
      </c>
      <c r="J4886" s="3">
        <f>Vendas[[#This Row],[Valor da Venda]]-(_xlfn.XLOOKUP(Vendas[[#This Row],[ID Item Vendido]],Agregado[ID],Agregado[Custo])*Vendas[[#This Row],[Qnt Vendida]])</f>
        <v>408</v>
      </c>
      <c r="K4886" s="70">
        <f>Vendas[[#This Row],[Lucro da Venda]]/Vendas[[#This Row],[Valor da Venda]]</f>
        <v>0.20168067226890757</v>
      </c>
      <c r="L488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4886"/>
    </row>
    <row r="4887" spans="1:13" x14ac:dyDescent="0.3">
      <c r="A4887" s="7">
        <v>400244</v>
      </c>
      <c r="B4887" t="str">
        <f>_xlfn.XLOOKUP(Vendas[[#This Row],[ID Vendedor]],Vendedores[ID],Vendedores[Nome])</f>
        <v>Camila</v>
      </c>
      <c r="C4887" s="7" t="str">
        <f>_xlfn.XLOOKUP(Vendas[[#This Row],[ID Vendedor]],Vendedores[ID],Vendedores[Setor])</f>
        <v>AHD</v>
      </c>
      <c r="D4887" s="7" t="s">
        <v>18</v>
      </c>
      <c r="E4887" t="str">
        <f>_xlfn.XLOOKUP(Vendas[[#This Row],[ID Item Vendido]],Agregado[ID],Agregado[Produto])</f>
        <v>Peça forjada sob encomenda</v>
      </c>
      <c r="F4887" s="39">
        <v>45894</v>
      </c>
      <c r="G4887" s="7">
        <v>5</v>
      </c>
      <c r="H4887" s="3">
        <f>_xlfn.XLOOKUP(Vendas[[#This Row],[ID Item Vendido]],Agregado[ID],Agregado[Revenda])</f>
        <v>264.60000000000002</v>
      </c>
      <c r="I4887" s="3">
        <f>Vendas[[#This Row],[Valor Unitário]]*Vendas[[#This Row],[Qnt Vendida]]</f>
        <v>1323</v>
      </c>
      <c r="J4887" s="3">
        <f>Vendas[[#This Row],[Valor da Venda]]-(_xlfn.XLOOKUP(Vendas[[#This Row],[ID Item Vendido]],Agregado[ID],Agregado[Custo])*Vendas[[#This Row],[Qnt Vendida]])</f>
        <v>73</v>
      </c>
      <c r="K4887" s="70">
        <f>Vendas[[#This Row],[Lucro da Venda]]/Vendas[[#This Row],[Valor da Venda]]</f>
        <v>5.5177626606198037E-2</v>
      </c>
      <c r="L488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887"/>
    </row>
    <row r="4888" spans="1:13" x14ac:dyDescent="0.3">
      <c r="A4888" s="7">
        <v>400246</v>
      </c>
      <c r="B4888" t="str">
        <f>_xlfn.XLOOKUP(Vendas[[#This Row],[ID Vendedor]],Vendedores[ID],Vendedores[Nome])</f>
        <v>Juliana</v>
      </c>
      <c r="C4888" s="7" t="str">
        <f>_xlfn.XLOOKUP(Vendas[[#This Row],[ID Vendedor]],Vendedores[ID],Vendedores[Setor])</f>
        <v>AHD</v>
      </c>
      <c r="D4888" s="7" t="s">
        <v>18</v>
      </c>
      <c r="E4888" t="str">
        <f>_xlfn.XLOOKUP(Vendas[[#This Row],[ID Item Vendido]],Agregado[ID],Agregado[Produto])</f>
        <v>Peça forjada sob encomenda</v>
      </c>
      <c r="F4888" s="39">
        <v>45895</v>
      </c>
      <c r="G4888" s="7">
        <v>5</v>
      </c>
      <c r="H4888" s="3">
        <f>_xlfn.XLOOKUP(Vendas[[#This Row],[ID Item Vendido]],Agregado[ID],Agregado[Revenda])</f>
        <v>264.60000000000002</v>
      </c>
      <c r="I4888" s="3">
        <f>Vendas[[#This Row],[Valor Unitário]]*Vendas[[#This Row],[Qnt Vendida]]</f>
        <v>1323</v>
      </c>
      <c r="J4888" s="3">
        <f>Vendas[[#This Row],[Valor da Venda]]-(_xlfn.XLOOKUP(Vendas[[#This Row],[ID Item Vendido]],Agregado[ID],Agregado[Custo])*Vendas[[#This Row],[Qnt Vendida]])</f>
        <v>73</v>
      </c>
      <c r="K4888" s="70">
        <f>Vendas[[#This Row],[Lucro da Venda]]/Vendas[[#This Row],[Valor da Venda]]</f>
        <v>5.5177626606198037E-2</v>
      </c>
      <c r="L4888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888"/>
    </row>
    <row r="4889" spans="1:13" x14ac:dyDescent="0.3">
      <c r="A4889" s="7">
        <v>400241</v>
      </c>
      <c r="B4889" t="str">
        <f>_xlfn.XLOOKUP(Vendas[[#This Row],[ID Vendedor]],Vendedores[ID],Vendedores[Nome])</f>
        <v>Rodrigo</v>
      </c>
      <c r="C4889" s="7" t="str">
        <f>_xlfn.XLOOKUP(Vendas[[#This Row],[ID Vendedor]],Vendedores[ID],Vendedores[Setor])</f>
        <v>FM</v>
      </c>
      <c r="D4889" s="7" t="s">
        <v>31</v>
      </c>
      <c r="E4889" t="str">
        <f>_xlfn.XLOOKUP(Vendas[[#This Row],[ID Item Vendido]],Agregado[ID],Agregado[Produto])</f>
        <v>Tela de metal soldada rolo 2x25m</v>
      </c>
      <c r="F4889" s="39">
        <v>45895</v>
      </c>
      <c r="G4889" s="7">
        <v>19</v>
      </c>
      <c r="H4889" s="3">
        <f>_xlfn.XLOOKUP(Vendas[[#This Row],[ID Item Vendido]],Agregado[ID],Agregado[Revenda])</f>
        <v>43.7</v>
      </c>
      <c r="I4889" s="3">
        <f>Vendas[[#This Row],[Valor Unitário]]*Vendas[[#This Row],[Qnt Vendida]]</f>
        <v>830.30000000000007</v>
      </c>
      <c r="J4889" s="3">
        <f>Vendas[[#This Row],[Valor da Venda]]-(_xlfn.XLOOKUP(Vendas[[#This Row],[ID Item Vendido]],Agregado[ID],Agregado[Custo])*Vendas[[#This Row],[Qnt Vendida]])</f>
        <v>108.30000000000007</v>
      </c>
      <c r="K4889" s="70">
        <f>Vendas[[#This Row],[Lucro da Venda]]/Vendas[[#This Row],[Valor da Venda]]</f>
        <v>0.13043478260869573</v>
      </c>
      <c r="L4889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4889"/>
    </row>
    <row r="4890" spans="1:13" x14ac:dyDescent="0.3">
      <c r="A4890" s="7">
        <v>400241</v>
      </c>
      <c r="B4890" t="str">
        <f>_xlfn.XLOOKUP(Vendas[[#This Row],[ID Vendedor]],Vendedores[ID],Vendedores[Nome])</f>
        <v>Rodrigo</v>
      </c>
      <c r="C4890" s="7" t="str">
        <f>_xlfn.XLOOKUP(Vendas[[#This Row],[ID Vendedor]],Vendedores[ID],Vendedores[Setor])</f>
        <v>FM</v>
      </c>
      <c r="D4890" s="7" t="s">
        <v>20</v>
      </c>
      <c r="E4890" t="str">
        <f>_xlfn.XLOOKUP(Vendas[[#This Row],[ID Item Vendido]],Agregado[ID],Agregado[Produto])</f>
        <v>Barra de aço simples</v>
      </c>
      <c r="F4890" s="39">
        <v>45896</v>
      </c>
      <c r="G4890" s="7">
        <v>150</v>
      </c>
      <c r="H4890" s="3">
        <f>_xlfn.XLOOKUP(Vendas[[#This Row],[ID Item Vendido]],Agregado[ID],Agregado[Revenda])</f>
        <v>4.8</v>
      </c>
      <c r="I4890" s="3">
        <f>Vendas[[#This Row],[Valor Unitário]]*Vendas[[#This Row],[Qnt Vendida]]</f>
        <v>720</v>
      </c>
      <c r="J4890" s="3">
        <f>Vendas[[#This Row],[Valor da Venda]]-(_xlfn.XLOOKUP(Vendas[[#This Row],[ID Item Vendido]],Agregado[ID],Agregado[Custo])*Vendas[[#This Row],[Qnt Vendida]])</f>
        <v>90</v>
      </c>
      <c r="K4890" s="70">
        <f>Vendas[[#This Row],[Lucro da Venda]]/Vendas[[#This Row],[Valor da Venda]]</f>
        <v>0.125</v>
      </c>
      <c r="L4890" s="3">
        <f>_xlfn.IFS(Vendas[[#This Row],[Margem de Lucro (%)]]&lt;15%,Vendas[[#This Row],[Valor da Venda]]*3%,Vendas[[#This Row],[Margem de Lucro (%)]]&lt;=20%,Vendas[[#This Row],[Valor da Venda]]*4.5%,TRUE,Vendas[[#This Row],[Valor da Venda]]*6%)</f>
        <v>21.599999999999998</v>
      </c>
      <c r="M4890"/>
    </row>
    <row r="4891" spans="1:13" x14ac:dyDescent="0.3">
      <c r="A4891" s="7">
        <v>400244</v>
      </c>
      <c r="B4891" t="str">
        <f>_xlfn.XLOOKUP(Vendas[[#This Row],[ID Vendedor]],Vendedores[ID],Vendedores[Nome])</f>
        <v>Camila</v>
      </c>
      <c r="C4891" s="7" t="str">
        <f>_xlfn.XLOOKUP(Vendas[[#This Row],[ID Vendedor]],Vendedores[ID],Vendedores[Setor])</f>
        <v>AHD</v>
      </c>
      <c r="D4891" s="7" t="s">
        <v>44</v>
      </c>
      <c r="E4891" t="str">
        <f>_xlfn.XLOOKUP(Vendas[[#This Row],[ID Item Vendido]],Agregado[ID],Agregado[Produto])</f>
        <v>Liga metálica especial</v>
      </c>
      <c r="F4891" s="39">
        <v>45897</v>
      </c>
      <c r="G4891" s="7">
        <v>36</v>
      </c>
      <c r="H4891" s="3">
        <f>_xlfn.XLOOKUP(Vendas[[#This Row],[ID Item Vendido]],Agregado[ID],Agregado[Revenda])</f>
        <v>32.5</v>
      </c>
      <c r="I4891" s="3">
        <f>Vendas[[#This Row],[Valor Unitário]]*Vendas[[#This Row],[Qnt Vendida]]</f>
        <v>1170</v>
      </c>
      <c r="J4891" s="3">
        <f>Vendas[[#This Row],[Valor da Venda]]-(_xlfn.XLOOKUP(Vendas[[#This Row],[ID Item Vendido]],Agregado[ID],Agregado[Custo])*Vendas[[#This Row],[Qnt Vendida]])</f>
        <v>270</v>
      </c>
      <c r="K4891" s="70">
        <f>Vendas[[#This Row],[Lucro da Venda]]/Vendas[[#This Row],[Valor da Venda]]</f>
        <v>0.23076923076923078</v>
      </c>
      <c r="L4891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4891"/>
    </row>
    <row r="4892" spans="1:13" x14ac:dyDescent="0.3">
      <c r="A4892" s="7">
        <v>400252</v>
      </c>
      <c r="B4892" t="str">
        <f>_xlfn.XLOOKUP(Vendas[[#This Row],[ID Vendedor]],Vendedores[ID],Vendedores[Nome])</f>
        <v>Renata</v>
      </c>
      <c r="C4892" s="7" t="str">
        <f>_xlfn.XLOOKUP(Vendas[[#This Row],[ID Vendedor]],Vendedores[ID],Vendedores[Setor])</f>
        <v>AB</v>
      </c>
      <c r="D4892" s="7" t="s">
        <v>37</v>
      </c>
      <c r="E4892" t="str">
        <f>_xlfn.XLOOKUP(Vendas[[#This Row],[ID Item Vendido]],Agregado[ID],Agregado[Produto])</f>
        <v>Composto de borracha para vedação rolo 10m</v>
      </c>
      <c r="F4892" s="39">
        <v>45897</v>
      </c>
      <c r="G4892" s="7">
        <v>17</v>
      </c>
      <c r="H4892" s="3">
        <f>_xlfn.XLOOKUP(Vendas[[#This Row],[ID Item Vendido]],Agregado[ID],Agregado[Revenda])</f>
        <v>51.2</v>
      </c>
      <c r="I4892" s="3">
        <f>Vendas[[#This Row],[Valor Unitário]]*Vendas[[#This Row],[Qnt Vendida]]</f>
        <v>870.40000000000009</v>
      </c>
      <c r="J4892" s="3">
        <f>Vendas[[#This Row],[Valor da Venda]]-(_xlfn.XLOOKUP(Vendas[[#This Row],[ID Item Vendido]],Agregado[ID],Agregado[Custo])*Vendas[[#This Row],[Qnt Vendida]])</f>
        <v>190.40000000000009</v>
      </c>
      <c r="K4892" s="70">
        <f>Vendas[[#This Row],[Lucro da Venda]]/Vendas[[#This Row],[Valor da Venda]]</f>
        <v>0.21875000000000008</v>
      </c>
      <c r="L4892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4892"/>
    </row>
    <row r="4893" spans="1:13" x14ac:dyDescent="0.3">
      <c r="A4893" s="7">
        <v>400250</v>
      </c>
      <c r="B4893" t="str">
        <f>_xlfn.XLOOKUP(Vendas[[#This Row],[ID Vendedor]],Vendedores[ID],Vendedores[Nome])</f>
        <v>Larissa</v>
      </c>
      <c r="C4893" s="7" t="str">
        <f>_xlfn.XLOOKUP(Vendas[[#This Row],[ID Vendedor]],Vendedores[ID],Vendedores[Setor])</f>
        <v>AB</v>
      </c>
      <c r="D4893" s="7" t="s">
        <v>12</v>
      </c>
      <c r="E4893" t="str">
        <f>_xlfn.XLOOKUP(Vendas[[#This Row],[ID Item Vendido]],Agregado[ID],Agregado[Produto])</f>
        <v>Grânulo de plástico reciclado refinado</v>
      </c>
      <c r="F4893" s="39">
        <v>45897</v>
      </c>
      <c r="G4893" s="7">
        <v>51</v>
      </c>
      <c r="H4893" s="3">
        <f>_xlfn.XLOOKUP(Vendas[[#This Row],[ID Item Vendido]],Agregado[ID],Agregado[Revenda])</f>
        <v>4.7</v>
      </c>
      <c r="I4893" s="3">
        <f>Vendas[[#This Row],[Valor Unitário]]*Vendas[[#This Row],[Qnt Vendida]]</f>
        <v>239.70000000000002</v>
      </c>
      <c r="J4893" s="3">
        <f>Vendas[[#This Row],[Valor da Venda]]-(_xlfn.XLOOKUP(Vendas[[#This Row],[ID Item Vendido]],Agregado[ID],Agregado[Custo])*Vendas[[#This Row],[Qnt Vendida]])</f>
        <v>61.200000000000017</v>
      </c>
      <c r="K4893" s="70">
        <f>Vendas[[#This Row],[Lucro da Venda]]/Vendas[[#This Row],[Valor da Venda]]</f>
        <v>0.25531914893617025</v>
      </c>
      <c r="L4893" s="3">
        <f>_xlfn.IFS(Vendas[[#This Row],[Margem de Lucro (%)]]&lt;15%,Vendas[[#This Row],[Valor da Venda]]*3%,Vendas[[#This Row],[Margem de Lucro (%)]]&lt;=20%,Vendas[[#This Row],[Valor da Venda]]*4.5%,TRUE,Vendas[[#This Row],[Valor da Venda]]*6%)</f>
        <v>14.382</v>
      </c>
      <c r="M4893"/>
    </row>
    <row r="4894" spans="1:13" x14ac:dyDescent="0.3">
      <c r="A4894" s="7">
        <v>400251</v>
      </c>
      <c r="B4894" t="str">
        <f>_xlfn.XLOOKUP(Vendas[[#This Row],[ID Vendedor]],Vendedores[ID],Vendedores[Nome])</f>
        <v>Diego</v>
      </c>
      <c r="C4894" s="7" t="str">
        <f>_xlfn.XLOOKUP(Vendas[[#This Row],[ID Vendedor]],Vendedores[ID],Vendedores[Setor])</f>
        <v>AB</v>
      </c>
      <c r="D4894" s="7" t="s">
        <v>36</v>
      </c>
      <c r="E4894" t="str">
        <f>_xlfn.XLOOKUP(Vendas[[#This Row],[ID Item Vendido]],Agregado[ID],Agregado[Produto])</f>
        <v>Borracha vulcanizada em manta</v>
      </c>
      <c r="F4894" s="39">
        <v>45898</v>
      </c>
      <c r="G4894" s="7">
        <v>97</v>
      </c>
      <c r="H4894" s="3">
        <f>_xlfn.XLOOKUP(Vendas[[#This Row],[ID Item Vendido]],Agregado[ID],Agregado[Revenda])</f>
        <v>7.8</v>
      </c>
      <c r="I4894" s="3">
        <f>Vendas[[#This Row],[Valor Unitário]]*Vendas[[#This Row],[Qnt Vendida]]</f>
        <v>756.6</v>
      </c>
      <c r="J4894" s="3">
        <f>Vendas[[#This Row],[Valor da Venda]]-(_xlfn.XLOOKUP(Vendas[[#This Row],[ID Item Vendido]],Agregado[ID],Agregado[Custo])*Vendas[[#This Row],[Qnt Vendida]])</f>
        <v>174.60000000000002</v>
      </c>
      <c r="K4894" s="70">
        <f>Vendas[[#This Row],[Lucro da Venda]]/Vendas[[#This Row],[Valor da Venda]]</f>
        <v>0.23076923076923078</v>
      </c>
      <c r="L4894" s="3">
        <f>_xlfn.IFS(Vendas[[#This Row],[Margem de Lucro (%)]]&lt;15%,Vendas[[#This Row],[Valor da Venda]]*3%,Vendas[[#This Row],[Margem de Lucro (%)]]&lt;=20%,Vendas[[#This Row],[Valor da Venda]]*4.5%,TRUE,Vendas[[#This Row],[Valor da Venda]]*6%)</f>
        <v>45.396000000000001</v>
      </c>
      <c r="M4894"/>
    </row>
    <row r="4895" spans="1:13" x14ac:dyDescent="0.3">
      <c r="A4895" s="7">
        <v>400253</v>
      </c>
      <c r="B4895" t="str">
        <f>_xlfn.XLOOKUP(Vendas[[#This Row],[ID Vendedor]],Vendedores[ID],Vendedores[Nome])</f>
        <v>Gustavo</v>
      </c>
      <c r="C4895" s="7" t="str">
        <f>_xlfn.XLOOKUP(Vendas[[#This Row],[ID Vendedor]],Vendedores[ID],Vendedores[Setor])</f>
        <v>SC</v>
      </c>
      <c r="D4895" s="7" t="s">
        <v>14</v>
      </c>
      <c r="E4895" t="str">
        <f>_xlfn.XLOOKUP(Vendas[[#This Row],[ID Item Vendido]],Agregado[ID],Agregado[Produto])</f>
        <v>Barril de plástico 200L</v>
      </c>
      <c r="F4895" s="39">
        <v>45898</v>
      </c>
      <c r="G4895" s="7">
        <v>4</v>
      </c>
      <c r="H4895" s="3">
        <f>_xlfn.XLOOKUP(Vendas[[#This Row],[ID Item Vendido]],Agregado[ID],Agregado[Revenda])</f>
        <v>114</v>
      </c>
      <c r="I4895" s="3">
        <f>Vendas[[#This Row],[Valor Unitário]]*Vendas[[#This Row],[Qnt Vendida]]</f>
        <v>456</v>
      </c>
      <c r="J4895" s="3">
        <f>Vendas[[#This Row],[Valor da Venda]]-(_xlfn.XLOOKUP(Vendas[[#This Row],[ID Item Vendido]],Agregado[ID],Agregado[Custo])*Vendas[[#This Row],[Qnt Vendida]])</f>
        <v>76</v>
      </c>
      <c r="K4895" s="70">
        <f>Vendas[[#This Row],[Lucro da Venda]]/Vendas[[#This Row],[Valor da Venda]]</f>
        <v>0.16666666666666666</v>
      </c>
      <c r="L4895" s="3">
        <f>_xlfn.IFS(Vendas[[#This Row],[Margem de Lucro (%)]]&lt;15%,Vendas[[#This Row],[Valor da Venda]]*3%,Vendas[[#This Row],[Margem de Lucro (%)]]&lt;=20%,Vendas[[#This Row],[Valor da Venda]]*4.5%,TRUE,Vendas[[#This Row],[Valor da Venda]]*6%)</f>
        <v>20.52</v>
      </c>
      <c r="M4895"/>
    </row>
    <row r="4896" spans="1:13" x14ac:dyDescent="0.3">
      <c r="A4896" s="7">
        <v>400253</v>
      </c>
      <c r="B4896" t="str">
        <f>_xlfn.XLOOKUP(Vendas[[#This Row],[ID Vendedor]],Vendedores[ID],Vendedores[Nome])</f>
        <v>Gustavo</v>
      </c>
      <c r="C4896" s="7" t="str">
        <f>_xlfn.XLOOKUP(Vendas[[#This Row],[ID Vendedor]],Vendedores[ID],Vendedores[Setor])</f>
        <v>SC</v>
      </c>
      <c r="D4896" s="7" t="s">
        <v>25</v>
      </c>
      <c r="E4896" t="str">
        <f>_xlfn.XLOOKUP(Vendas[[#This Row],[ID Item Vendido]],Agregado[ID],Agregado[Produto])</f>
        <v>Palete de plástico</v>
      </c>
      <c r="F4896" s="39">
        <v>45898</v>
      </c>
      <c r="G4896" s="7">
        <v>2</v>
      </c>
      <c r="H4896" s="3">
        <f>_xlfn.XLOOKUP(Vendas[[#This Row],[ID Item Vendido]],Agregado[ID],Agregado[Revenda])</f>
        <v>70.8</v>
      </c>
      <c r="I4896" s="3">
        <f>Vendas[[#This Row],[Valor Unitário]]*Vendas[[#This Row],[Qnt Vendida]]</f>
        <v>141.6</v>
      </c>
      <c r="J4896" s="3">
        <f>Vendas[[#This Row],[Valor da Venda]]-(_xlfn.XLOOKUP(Vendas[[#This Row],[ID Item Vendido]],Agregado[ID],Agregado[Custo])*Vendas[[#This Row],[Qnt Vendida]])</f>
        <v>21.599999999999994</v>
      </c>
      <c r="K4896" s="70">
        <f>Vendas[[#This Row],[Lucro da Venda]]/Vendas[[#This Row],[Valor da Venda]]</f>
        <v>0.15254237288135589</v>
      </c>
      <c r="L4896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4896"/>
    </row>
    <row r="4897" spans="1:13" x14ac:dyDescent="0.3">
      <c r="A4897" s="7">
        <v>400242</v>
      </c>
      <c r="B4897" t="str">
        <f>_xlfn.XLOOKUP(Vendas[[#This Row],[ID Vendedor]],Vendedores[ID],Vendedores[Nome])</f>
        <v>Fernanda</v>
      </c>
      <c r="C4897" s="7" t="str">
        <f>_xlfn.XLOOKUP(Vendas[[#This Row],[ID Vendedor]],Vendedores[ID],Vendedores[Setor])</f>
        <v>FM</v>
      </c>
      <c r="D4897" s="7" t="s">
        <v>6</v>
      </c>
      <c r="E4897" t="str">
        <f>_xlfn.XLOOKUP(Vendas[[#This Row],[ID Item Vendido]],Agregado[ID],Agregado[Produto])</f>
        <v>Parafuso comum 500un</v>
      </c>
      <c r="F4897" s="39">
        <v>45899</v>
      </c>
      <c r="G4897" s="7">
        <v>19</v>
      </c>
      <c r="H4897" s="3">
        <f>_xlfn.XLOOKUP(Vendas[[#This Row],[ID Item Vendido]],Agregado[ID],Agregado[Revenda])</f>
        <v>24.6</v>
      </c>
      <c r="I4897" s="3">
        <f>Vendas[[#This Row],[Valor Unitário]]*Vendas[[#This Row],[Qnt Vendida]]</f>
        <v>467.40000000000003</v>
      </c>
      <c r="J4897" s="3">
        <f>Vendas[[#This Row],[Valor da Venda]]-(_xlfn.XLOOKUP(Vendas[[#This Row],[ID Item Vendido]],Agregado[ID],Agregado[Custo])*Vendas[[#This Row],[Qnt Vendida]])</f>
        <v>49.400000000000034</v>
      </c>
      <c r="K4897" s="70">
        <f>Vendas[[#This Row],[Lucro da Venda]]/Vendas[[#This Row],[Valor da Venda]]</f>
        <v>0.10569105691056917</v>
      </c>
      <c r="L4897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4897"/>
    </row>
    <row r="4898" spans="1:13" x14ac:dyDescent="0.3">
      <c r="A4898" s="7">
        <v>400248</v>
      </c>
      <c r="B4898" t="str">
        <f>_xlfn.XLOOKUP(Vendas[[#This Row],[ID Vendedor]],Vendedores[ID],Vendedores[Nome])</f>
        <v>Patrícia</v>
      </c>
      <c r="C4898" s="7" t="str">
        <f>_xlfn.XLOOKUP(Vendas[[#This Row],[ID Vendedor]],Vendedores[ID],Vendedores[Setor])</f>
        <v>CM</v>
      </c>
      <c r="D4898" s="7" t="s">
        <v>22</v>
      </c>
      <c r="E4898" t="str">
        <f>_xlfn.XLOOKUP(Vendas[[#This Row],[ID Item Vendido]],Agregado[ID],Agregado[Produto])</f>
        <v>Painel MDP 2,75x1,83m</v>
      </c>
      <c r="F4898" s="39">
        <v>45900</v>
      </c>
      <c r="G4898" s="7">
        <v>8</v>
      </c>
      <c r="H4898" s="3">
        <f>_xlfn.XLOOKUP(Vendas[[#This Row],[ID Item Vendido]],Agregado[ID],Agregado[Revenda])</f>
        <v>119</v>
      </c>
      <c r="I4898" s="3">
        <f>Vendas[[#This Row],[Valor Unitário]]*Vendas[[#This Row],[Qnt Vendida]]</f>
        <v>952</v>
      </c>
      <c r="J4898" s="3">
        <f>Vendas[[#This Row],[Valor da Venda]]-(_xlfn.XLOOKUP(Vendas[[#This Row],[ID Item Vendido]],Agregado[ID],Agregado[Custo])*Vendas[[#This Row],[Qnt Vendida]])</f>
        <v>192</v>
      </c>
      <c r="K4898" s="70">
        <f>Vendas[[#This Row],[Lucro da Venda]]/Vendas[[#This Row],[Valor da Venda]]</f>
        <v>0.20168067226890757</v>
      </c>
      <c r="L4898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4898"/>
    </row>
    <row r="4899" spans="1:13" x14ac:dyDescent="0.3">
      <c r="A4899" s="7">
        <v>400254</v>
      </c>
      <c r="B4899" t="str">
        <f>_xlfn.XLOOKUP(Vendas[[#This Row],[ID Vendedor]],Vendedores[ID],Vendedores[Nome])</f>
        <v>Beatriz</v>
      </c>
      <c r="C4899" s="7" t="str">
        <f>_xlfn.XLOOKUP(Vendas[[#This Row],[ID Vendedor]],Vendedores[ID],Vendedores[Setor])</f>
        <v>SC</v>
      </c>
      <c r="D4899" s="7" t="s">
        <v>14</v>
      </c>
      <c r="E4899" t="str">
        <f>_xlfn.XLOOKUP(Vendas[[#This Row],[ID Item Vendido]],Agregado[ID],Agregado[Produto])</f>
        <v>Barril de plástico 200L</v>
      </c>
      <c r="F4899" s="39">
        <v>45900</v>
      </c>
      <c r="G4899" s="7">
        <v>7</v>
      </c>
      <c r="H4899" s="3">
        <f>_xlfn.XLOOKUP(Vendas[[#This Row],[ID Item Vendido]],Agregado[ID],Agregado[Revenda])</f>
        <v>114</v>
      </c>
      <c r="I4899" s="3">
        <f>Vendas[[#This Row],[Valor Unitário]]*Vendas[[#This Row],[Qnt Vendida]]</f>
        <v>798</v>
      </c>
      <c r="J4899" s="3">
        <f>Vendas[[#This Row],[Valor da Venda]]-(_xlfn.XLOOKUP(Vendas[[#This Row],[ID Item Vendido]],Agregado[ID],Agregado[Custo])*Vendas[[#This Row],[Qnt Vendida]])</f>
        <v>133</v>
      </c>
      <c r="K4899" s="70">
        <f>Vendas[[#This Row],[Lucro da Venda]]/Vendas[[#This Row],[Valor da Venda]]</f>
        <v>0.16666666666666666</v>
      </c>
      <c r="L4899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4899"/>
    </row>
    <row r="4900" spans="1:13" x14ac:dyDescent="0.3">
      <c r="A4900" s="7">
        <v>400250</v>
      </c>
      <c r="B4900" t="str">
        <f>_xlfn.XLOOKUP(Vendas[[#This Row],[ID Vendedor]],Vendedores[ID],Vendedores[Nome])</f>
        <v>Larissa</v>
      </c>
      <c r="C4900" s="7" t="str">
        <f>_xlfn.XLOOKUP(Vendas[[#This Row],[ID Vendedor]],Vendedores[ID],Vendedores[Setor])</f>
        <v>AB</v>
      </c>
      <c r="D4900" s="7" t="s">
        <v>39</v>
      </c>
      <c r="E4900" t="str">
        <f>_xlfn.XLOOKUP(Vendas[[#This Row],[ID Item Vendido]],Agregado[ID],Agregado[Produto])</f>
        <v>Filme plástico industrial rolo 50m</v>
      </c>
      <c r="F4900" s="39">
        <v>45901</v>
      </c>
      <c r="G4900" s="7">
        <v>6</v>
      </c>
      <c r="H4900" s="3">
        <f>_xlfn.XLOOKUP(Vendas[[#This Row],[ID Item Vendido]],Agregado[ID],Agregado[Revenda])</f>
        <v>37</v>
      </c>
      <c r="I4900" s="3">
        <f>Vendas[[#This Row],[Valor Unitário]]*Vendas[[#This Row],[Qnt Vendida]]</f>
        <v>222</v>
      </c>
      <c r="J4900" s="3">
        <f>Vendas[[#This Row],[Valor da Venda]]-(_xlfn.XLOOKUP(Vendas[[#This Row],[ID Item Vendido]],Agregado[ID],Agregado[Custo])*Vendas[[#This Row],[Qnt Vendida]])</f>
        <v>54</v>
      </c>
      <c r="K4900" s="70">
        <f>Vendas[[#This Row],[Lucro da Venda]]/Vendas[[#This Row],[Valor da Venda]]</f>
        <v>0.24324324324324326</v>
      </c>
      <c r="L4900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4900"/>
    </row>
    <row r="4901" spans="1:13" x14ac:dyDescent="0.3">
      <c r="A4901" s="7">
        <v>400249</v>
      </c>
      <c r="B4901" t="str">
        <f>_xlfn.XLOOKUP(Vendas[[#This Row],[ID Vendedor]],Vendedores[ID],Vendedores[Nome])</f>
        <v>Bruno</v>
      </c>
      <c r="C4901" s="7" t="str">
        <f>_xlfn.XLOOKUP(Vendas[[#This Row],[ID Vendedor]],Vendedores[ID],Vendedores[Setor])</f>
        <v>CM</v>
      </c>
      <c r="D4901" s="7" t="s">
        <v>34</v>
      </c>
      <c r="E4901" t="str">
        <f>_xlfn.XLOOKUP(Vendas[[#This Row],[ID Item Vendido]],Agregado[ID],Agregado[Produto])</f>
        <v>Restos de madeira p/ MDP/OSB saco de 20kg</v>
      </c>
      <c r="F4901" s="39">
        <v>45901</v>
      </c>
      <c r="G4901" s="7">
        <v>9</v>
      </c>
      <c r="H4901" s="3">
        <f>_xlfn.XLOOKUP(Vendas[[#This Row],[ID Item Vendido]],Agregado[ID],Agregado[Revenda])</f>
        <v>13.8</v>
      </c>
      <c r="I4901" s="3">
        <f>Vendas[[#This Row],[Valor Unitário]]*Vendas[[#This Row],[Qnt Vendida]]</f>
        <v>124.2</v>
      </c>
      <c r="J4901" s="3">
        <f>Vendas[[#This Row],[Valor da Venda]]-(_xlfn.XLOOKUP(Vendas[[#This Row],[ID Item Vendido]],Agregado[ID],Agregado[Custo])*Vendas[[#This Row],[Qnt Vendida]])</f>
        <v>16.200000000000003</v>
      </c>
      <c r="K4901" s="70">
        <f>Vendas[[#This Row],[Lucro da Venda]]/Vendas[[#This Row],[Valor da Venda]]</f>
        <v>0.13043478260869568</v>
      </c>
      <c r="L4901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4901"/>
    </row>
    <row r="4902" spans="1:13" x14ac:dyDescent="0.3">
      <c r="A4902" s="7">
        <v>400254</v>
      </c>
      <c r="B4902" t="str">
        <f>_xlfn.XLOOKUP(Vendas[[#This Row],[ID Vendedor]],Vendedores[ID],Vendedores[Nome])</f>
        <v>Beatriz</v>
      </c>
      <c r="C4902" s="7" t="str">
        <f>_xlfn.XLOOKUP(Vendas[[#This Row],[ID Vendedor]],Vendedores[ID],Vendedores[Setor])</f>
        <v>SC</v>
      </c>
      <c r="D4902" s="7" t="s">
        <v>42</v>
      </c>
      <c r="E4902" t="str">
        <f>_xlfn.XLOOKUP(Vendas[[#This Row],[ID Item Vendido]],Agregado[ID],Agregado[Produto])</f>
        <v>Container de ferro industrial</v>
      </c>
      <c r="F4902" s="39">
        <v>45902</v>
      </c>
      <c r="G4902" s="7">
        <v>2</v>
      </c>
      <c r="H4902" s="3">
        <f>_xlfn.XLOOKUP(Vendas[[#This Row],[ID Item Vendido]],Agregado[ID],Agregado[Revenda])</f>
        <v>830</v>
      </c>
      <c r="I4902" s="3">
        <f>Vendas[[#This Row],[Valor Unitário]]*Vendas[[#This Row],[Qnt Vendida]]</f>
        <v>1660</v>
      </c>
      <c r="J4902" s="3">
        <f>Vendas[[#This Row],[Valor da Venda]]-(_xlfn.XLOOKUP(Vendas[[#This Row],[ID Item Vendido]],Agregado[ID],Agregado[Custo])*Vendas[[#This Row],[Qnt Vendida]])</f>
        <v>300</v>
      </c>
      <c r="K4902" s="70">
        <f>Vendas[[#This Row],[Lucro da Venda]]/Vendas[[#This Row],[Valor da Venda]]</f>
        <v>0.18072289156626506</v>
      </c>
      <c r="L490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902"/>
    </row>
    <row r="4903" spans="1:13" x14ac:dyDescent="0.3">
      <c r="A4903" s="7">
        <v>400252</v>
      </c>
      <c r="B4903" t="str">
        <f>_xlfn.XLOOKUP(Vendas[[#This Row],[ID Vendedor]],Vendedores[ID],Vendedores[Nome])</f>
        <v>Renata</v>
      </c>
      <c r="C4903" s="7" t="str">
        <f>_xlfn.XLOOKUP(Vendas[[#This Row],[ID Vendedor]],Vendedores[ID],Vendedores[Setor])</f>
        <v>AB</v>
      </c>
      <c r="D4903" s="7" t="s">
        <v>37</v>
      </c>
      <c r="E4903" t="str">
        <f>_xlfn.XLOOKUP(Vendas[[#This Row],[ID Item Vendido]],Agregado[ID],Agregado[Produto])</f>
        <v>Composto de borracha para vedação rolo 10m</v>
      </c>
      <c r="F4903" s="39">
        <v>45902</v>
      </c>
      <c r="G4903" s="7">
        <v>9</v>
      </c>
      <c r="H4903" s="3">
        <f>_xlfn.XLOOKUP(Vendas[[#This Row],[ID Item Vendido]],Agregado[ID],Agregado[Revenda])</f>
        <v>51.2</v>
      </c>
      <c r="I4903" s="3">
        <f>Vendas[[#This Row],[Valor Unitário]]*Vendas[[#This Row],[Qnt Vendida]]</f>
        <v>460.8</v>
      </c>
      <c r="J4903" s="3">
        <f>Vendas[[#This Row],[Valor da Venda]]-(_xlfn.XLOOKUP(Vendas[[#This Row],[ID Item Vendido]],Agregado[ID],Agregado[Custo])*Vendas[[#This Row],[Qnt Vendida]])</f>
        <v>100.80000000000001</v>
      </c>
      <c r="K4903" s="70">
        <f>Vendas[[#This Row],[Lucro da Venda]]/Vendas[[#This Row],[Valor da Venda]]</f>
        <v>0.21875000000000003</v>
      </c>
      <c r="L4903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4903"/>
    </row>
    <row r="4904" spans="1:13" x14ac:dyDescent="0.3">
      <c r="A4904" s="7">
        <v>400246</v>
      </c>
      <c r="B4904" t="str">
        <f>_xlfn.XLOOKUP(Vendas[[#This Row],[ID Vendedor]],Vendedores[ID],Vendedores[Nome])</f>
        <v>Juliana</v>
      </c>
      <c r="C4904" s="7" t="str">
        <f>_xlfn.XLOOKUP(Vendas[[#This Row],[ID Vendedor]],Vendedores[ID],Vendedores[Setor])</f>
        <v>AHD</v>
      </c>
      <c r="D4904" s="7" t="s">
        <v>9</v>
      </c>
      <c r="E4904" t="str">
        <f>_xlfn.XLOOKUP(Vendas[[#This Row],[ID Item Vendido]],Agregado[ID],Agregado[Produto])</f>
        <v>Barra de aço simples</v>
      </c>
      <c r="F4904" s="39">
        <v>45903</v>
      </c>
      <c r="G4904" s="7">
        <v>60</v>
      </c>
      <c r="H4904" s="3">
        <f>_xlfn.XLOOKUP(Vendas[[#This Row],[ID Item Vendido]],Agregado[ID],Agregado[Revenda])</f>
        <v>6.7</v>
      </c>
      <c r="I4904" s="3">
        <f>Vendas[[#This Row],[Valor Unitário]]*Vendas[[#This Row],[Qnt Vendida]]</f>
        <v>402</v>
      </c>
      <c r="J4904" s="3">
        <f>Vendas[[#This Row],[Valor da Venda]]-(_xlfn.XLOOKUP(Vendas[[#This Row],[ID Item Vendido]],Agregado[ID],Agregado[Custo])*Vendas[[#This Row],[Qnt Vendida]])</f>
        <v>54</v>
      </c>
      <c r="K4904" s="70">
        <f>Vendas[[#This Row],[Lucro da Venda]]/Vendas[[#This Row],[Valor da Venda]]</f>
        <v>0.13432835820895522</v>
      </c>
      <c r="L4904" s="3">
        <f>_xlfn.IFS(Vendas[[#This Row],[Margem de Lucro (%)]]&lt;15%,Vendas[[#This Row],[Valor da Venda]]*3%,Vendas[[#This Row],[Margem de Lucro (%)]]&lt;=20%,Vendas[[#This Row],[Valor da Venda]]*4.5%,TRUE,Vendas[[#This Row],[Valor da Venda]]*6%)</f>
        <v>12.059999999999999</v>
      </c>
      <c r="M4904"/>
    </row>
    <row r="4905" spans="1:13" x14ac:dyDescent="0.3">
      <c r="A4905" s="7">
        <v>400248</v>
      </c>
      <c r="B4905" t="str">
        <f>_xlfn.XLOOKUP(Vendas[[#This Row],[ID Vendedor]],Vendedores[ID],Vendedores[Nome])</f>
        <v>Patrícia</v>
      </c>
      <c r="C4905" s="7" t="str">
        <f>_xlfn.XLOOKUP(Vendas[[#This Row],[ID Vendedor]],Vendedores[ID],Vendedores[Setor])</f>
        <v>CM</v>
      </c>
      <c r="D4905" s="7" t="s">
        <v>43</v>
      </c>
      <c r="E4905" t="str">
        <f>_xlfn.XLOOKUP(Vendas[[#This Row],[ID Item Vendido]],Agregado[ID],Agregado[Produto])</f>
        <v>Madeira Bruta (Tora)</v>
      </c>
      <c r="F4905" s="39">
        <v>45904</v>
      </c>
      <c r="G4905" s="7">
        <v>8</v>
      </c>
      <c r="H4905" s="3">
        <f>_xlfn.XLOOKUP(Vendas[[#This Row],[ID Item Vendido]],Agregado[ID],Agregado[Revenda])</f>
        <v>212</v>
      </c>
      <c r="I4905" s="3">
        <f>Vendas[[#This Row],[Valor Unitário]]*Vendas[[#This Row],[Qnt Vendida]]</f>
        <v>1696</v>
      </c>
      <c r="J4905" s="3">
        <f>Vendas[[#This Row],[Valor da Venda]]-(_xlfn.XLOOKUP(Vendas[[#This Row],[ID Item Vendido]],Agregado[ID],Agregado[Custo])*Vendas[[#This Row],[Qnt Vendida]])</f>
        <v>256</v>
      </c>
      <c r="K4905" s="70">
        <f>Vendas[[#This Row],[Lucro da Venda]]/Vendas[[#This Row],[Valor da Venda]]</f>
        <v>0.15094339622641509</v>
      </c>
      <c r="L4905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4905"/>
    </row>
    <row r="4906" spans="1:13" x14ac:dyDescent="0.3">
      <c r="A4906" s="7">
        <v>400254</v>
      </c>
      <c r="B4906" t="str">
        <f>_xlfn.XLOOKUP(Vendas[[#This Row],[ID Vendedor]],Vendedores[ID],Vendedores[Nome])</f>
        <v>Beatriz</v>
      </c>
      <c r="C4906" s="7" t="str">
        <f>_xlfn.XLOOKUP(Vendas[[#This Row],[ID Vendedor]],Vendedores[ID],Vendedores[Setor])</f>
        <v>SC</v>
      </c>
      <c r="D4906" s="7" t="s">
        <v>48</v>
      </c>
      <c r="E4906" t="str">
        <f>_xlfn.XLOOKUP(Vendas[[#This Row],[ID Item Vendido]],Agregado[ID],Agregado[Produto])</f>
        <v>Tambor metálico 200L</v>
      </c>
      <c r="F4906" s="39">
        <v>45904</v>
      </c>
      <c r="G4906" s="7">
        <v>9</v>
      </c>
      <c r="H4906" s="3">
        <f>_xlfn.XLOOKUP(Vendas[[#This Row],[ID Item Vendido]],Agregado[ID],Agregado[Revenda])</f>
        <v>144</v>
      </c>
      <c r="I4906" s="3">
        <f>Vendas[[#This Row],[Valor Unitário]]*Vendas[[#This Row],[Qnt Vendida]]</f>
        <v>1296</v>
      </c>
      <c r="J4906" s="3">
        <f>Vendas[[#This Row],[Valor da Venda]]-(_xlfn.XLOOKUP(Vendas[[#This Row],[ID Item Vendido]],Agregado[ID],Agregado[Custo])*Vendas[[#This Row],[Qnt Vendida]])</f>
        <v>216</v>
      </c>
      <c r="K4906" s="70">
        <f>Vendas[[#This Row],[Lucro da Venda]]/Vendas[[#This Row],[Valor da Venda]]</f>
        <v>0.16666666666666666</v>
      </c>
      <c r="L4906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4906"/>
    </row>
    <row r="4907" spans="1:13" x14ac:dyDescent="0.3">
      <c r="A4907" s="7">
        <v>400246</v>
      </c>
      <c r="B4907" t="str">
        <f>_xlfn.XLOOKUP(Vendas[[#This Row],[ID Vendedor]],Vendedores[ID],Vendedores[Nome])</f>
        <v>Juliana</v>
      </c>
      <c r="C4907" s="7" t="str">
        <f>_xlfn.XLOOKUP(Vendas[[#This Row],[ID Vendedor]],Vendedores[ID],Vendedores[Setor])</f>
        <v>AHD</v>
      </c>
      <c r="D4907" s="7" t="s">
        <v>18</v>
      </c>
      <c r="E4907" t="str">
        <f>_xlfn.XLOOKUP(Vendas[[#This Row],[ID Item Vendido]],Agregado[ID],Agregado[Produto])</f>
        <v>Peça forjada sob encomenda</v>
      </c>
      <c r="F4907" s="39">
        <v>45905</v>
      </c>
      <c r="G4907" s="7">
        <v>5</v>
      </c>
      <c r="H4907" s="3">
        <f>_xlfn.XLOOKUP(Vendas[[#This Row],[ID Item Vendido]],Agregado[ID],Agregado[Revenda])</f>
        <v>264.60000000000002</v>
      </c>
      <c r="I4907" s="3">
        <f>Vendas[[#This Row],[Valor Unitário]]*Vendas[[#This Row],[Qnt Vendida]]</f>
        <v>1323</v>
      </c>
      <c r="J4907" s="3">
        <f>Vendas[[#This Row],[Valor da Venda]]-(_xlfn.XLOOKUP(Vendas[[#This Row],[ID Item Vendido]],Agregado[ID],Agregado[Custo])*Vendas[[#This Row],[Qnt Vendida]])</f>
        <v>73</v>
      </c>
      <c r="K4907" s="70">
        <f>Vendas[[#This Row],[Lucro da Venda]]/Vendas[[#This Row],[Valor da Venda]]</f>
        <v>5.5177626606198037E-2</v>
      </c>
      <c r="L4907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4907"/>
    </row>
    <row r="4908" spans="1:13" x14ac:dyDescent="0.3">
      <c r="A4908" s="7">
        <v>400250</v>
      </c>
      <c r="B4908" t="str">
        <f>_xlfn.XLOOKUP(Vendas[[#This Row],[ID Vendedor]],Vendedores[ID],Vendedores[Nome])</f>
        <v>Larissa</v>
      </c>
      <c r="C4908" s="7" t="str">
        <f>_xlfn.XLOOKUP(Vendas[[#This Row],[ID Vendedor]],Vendedores[ID],Vendedores[Setor])</f>
        <v>AB</v>
      </c>
      <c r="D4908" s="7" t="s">
        <v>36</v>
      </c>
      <c r="E4908" t="str">
        <f>_xlfn.XLOOKUP(Vendas[[#This Row],[ID Item Vendido]],Agregado[ID],Agregado[Produto])</f>
        <v>Borracha vulcanizada em manta</v>
      </c>
      <c r="F4908" s="39">
        <v>45905</v>
      </c>
      <c r="G4908" s="7">
        <v>62</v>
      </c>
      <c r="H4908" s="3">
        <f>_xlfn.XLOOKUP(Vendas[[#This Row],[ID Item Vendido]],Agregado[ID],Agregado[Revenda])</f>
        <v>7.8</v>
      </c>
      <c r="I4908" s="3">
        <f>Vendas[[#This Row],[Valor Unitário]]*Vendas[[#This Row],[Qnt Vendida]]</f>
        <v>483.59999999999997</v>
      </c>
      <c r="J4908" s="3">
        <f>Vendas[[#This Row],[Valor da Venda]]-(_xlfn.XLOOKUP(Vendas[[#This Row],[ID Item Vendido]],Agregado[ID],Agregado[Custo])*Vendas[[#This Row],[Qnt Vendida]])</f>
        <v>111.59999999999997</v>
      </c>
      <c r="K4908" s="70">
        <f>Vendas[[#This Row],[Lucro da Venda]]/Vendas[[#This Row],[Valor da Venda]]</f>
        <v>0.23076923076923073</v>
      </c>
      <c r="L4908" s="3">
        <f>_xlfn.IFS(Vendas[[#This Row],[Margem de Lucro (%)]]&lt;15%,Vendas[[#This Row],[Valor da Venda]]*3%,Vendas[[#This Row],[Margem de Lucro (%)]]&lt;=20%,Vendas[[#This Row],[Valor da Venda]]*4.5%,TRUE,Vendas[[#This Row],[Valor da Venda]]*6%)</f>
        <v>29.015999999999998</v>
      </c>
      <c r="M4908"/>
    </row>
    <row r="4909" spans="1:13" x14ac:dyDescent="0.3">
      <c r="A4909" s="7">
        <v>400244</v>
      </c>
      <c r="B4909" t="str">
        <f>_xlfn.XLOOKUP(Vendas[[#This Row],[ID Vendedor]],Vendedores[ID],Vendedores[Nome])</f>
        <v>Camila</v>
      </c>
      <c r="C4909" s="7" t="str">
        <f>_xlfn.XLOOKUP(Vendas[[#This Row],[ID Vendedor]],Vendedores[ID],Vendedores[Setor])</f>
        <v>AHD</v>
      </c>
      <c r="D4909" s="7" t="s">
        <v>44</v>
      </c>
      <c r="E4909" t="str">
        <f>_xlfn.XLOOKUP(Vendas[[#This Row],[ID Item Vendido]],Agregado[ID],Agregado[Produto])</f>
        <v>Liga metálica especial</v>
      </c>
      <c r="F4909" s="39">
        <v>45906</v>
      </c>
      <c r="G4909" s="7">
        <v>35</v>
      </c>
      <c r="H4909" s="3">
        <f>_xlfn.XLOOKUP(Vendas[[#This Row],[ID Item Vendido]],Agregado[ID],Agregado[Revenda])</f>
        <v>32.5</v>
      </c>
      <c r="I4909" s="3">
        <f>Vendas[[#This Row],[Valor Unitário]]*Vendas[[#This Row],[Qnt Vendida]]</f>
        <v>1137.5</v>
      </c>
      <c r="J4909" s="3">
        <f>Vendas[[#This Row],[Valor da Venda]]-(_xlfn.XLOOKUP(Vendas[[#This Row],[ID Item Vendido]],Agregado[ID],Agregado[Custo])*Vendas[[#This Row],[Qnt Vendida]])</f>
        <v>262.5</v>
      </c>
      <c r="K4909" s="70">
        <f>Vendas[[#This Row],[Lucro da Venda]]/Vendas[[#This Row],[Valor da Venda]]</f>
        <v>0.23076923076923078</v>
      </c>
      <c r="L4909" s="3">
        <f>_xlfn.IFS(Vendas[[#This Row],[Margem de Lucro (%)]]&lt;15%,Vendas[[#This Row],[Valor da Venda]]*3%,Vendas[[#This Row],[Margem de Lucro (%)]]&lt;=20%,Vendas[[#This Row],[Valor da Venda]]*4.5%,TRUE,Vendas[[#This Row],[Valor da Venda]]*6%)</f>
        <v>68.25</v>
      </c>
      <c r="M4909"/>
    </row>
    <row r="4910" spans="1:13" x14ac:dyDescent="0.3">
      <c r="A4910" s="7">
        <v>400253</v>
      </c>
      <c r="B4910" t="str">
        <f>_xlfn.XLOOKUP(Vendas[[#This Row],[ID Vendedor]],Vendedores[ID],Vendedores[Nome])</f>
        <v>Gustavo</v>
      </c>
      <c r="C4910" s="7" t="str">
        <f>_xlfn.XLOOKUP(Vendas[[#This Row],[ID Vendedor]],Vendedores[ID],Vendedores[Setor])</f>
        <v>SC</v>
      </c>
      <c r="D4910" s="7" t="s">
        <v>14</v>
      </c>
      <c r="E4910" t="str">
        <f>_xlfn.XLOOKUP(Vendas[[#This Row],[ID Item Vendido]],Agregado[ID],Agregado[Produto])</f>
        <v>Barril de plástico 200L</v>
      </c>
      <c r="F4910" s="39">
        <v>45906</v>
      </c>
      <c r="G4910" s="7">
        <v>9</v>
      </c>
      <c r="H4910" s="3">
        <f>_xlfn.XLOOKUP(Vendas[[#This Row],[ID Item Vendido]],Agregado[ID],Agregado[Revenda])</f>
        <v>114</v>
      </c>
      <c r="I4910" s="3">
        <f>Vendas[[#This Row],[Valor Unitário]]*Vendas[[#This Row],[Qnt Vendida]]</f>
        <v>1026</v>
      </c>
      <c r="J4910" s="3">
        <f>Vendas[[#This Row],[Valor da Venda]]-(_xlfn.XLOOKUP(Vendas[[#This Row],[ID Item Vendido]],Agregado[ID],Agregado[Custo])*Vendas[[#This Row],[Qnt Vendida]])</f>
        <v>171</v>
      </c>
      <c r="K4910" s="70">
        <f>Vendas[[#This Row],[Lucro da Venda]]/Vendas[[#This Row],[Valor da Venda]]</f>
        <v>0.16666666666666666</v>
      </c>
      <c r="L4910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4910"/>
    </row>
    <row r="4911" spans="1:13" x14ac:dyDescent="0.3">
      <c r="A4911" s="7">
        <v>400245</v>
      </c>
      <c r="B4911" t="str">
        <f>_xlfn.XLOOKUP(Vendas[[#This Row],[ID Vendedor]],Vendedores[ID],Vendedores[Nome])</f>
        <v>Thiago</v>
      </c>
      <c r="C4911" s="7" t="str">
        <f>_xlfn.XLOOKUP(Vendas[[#This Row],[ID Vendedor]],Vendedores[ID],Vendedores[Setor])</f>
        <v>AHD</v>
      </c>
      <c r="D4911" s="7" t="s">
        <v>44</v>
      </c>
      <c r="E4911" t="str">
        <f>_xlfn.XLOOKUP(Vendas[[#This Row],[ID Item Vendido]],Agregado[ID],Agregado[Produto])</f>
        <v>Liga metálica especial</v>
      </c>
      <c r="F4911" s="39">
        <v>45906</v>
      </c>
      <c r="G4911" s="7">
        <v>30</v>
      </c>
      <c r="H4911" s="3">
        <f>_xlfn.XLOOKUP(Vendas[[#This Row],[ID Item Vendido]],Agregado[ID],Agregado[Revenda])</f>
        <v>32.5</v>
      </c>
      <c r="I4911" s="3">
        <f>Vendas[[#This Row],[Valor Unitário]]*Vendas[[#This Row],[Qnt Vendida]]</f>
        <v>975</v>
      </c>
      <c r="J4911" s="3">
        <f>Vendas[[#This Row],[Valor da Venda]]-(_xlfn.XLOOKUP(Vendas[[#This Row],[ID Item Vendido]],Agregado[ID],Agregado[Custo])*Vendas[[#This Row],[Qnt Vendida]])</f>
        <v>225</v>
      </c>
      <c r="K4911" s="70">
        <f>Vendas[[#This Row],[Lucro da Venda]]/Vendas[[#This Row],[Valor da Venda]]</f>
        <v>0.23076923076923078</v>
      </c>
      <c r="L4911" s="3">
        <f>_xlfn.IFS(Vendas[[#This Row],[Margem de Lucro (%)]]&lt;15%,Vendas[[#This Row],[Valor da Venda]]*3%,Vendas[[#This Row],[Margem de Lucro (%)]]&lt;=20%,Vendas[[#This Row],[Valor da Venda]]*4.5%,TRUE,Vendas[[#This Row],[Valor da Venda]]*6%)</f>
        <v>58.5</v>
      </c>
      <c r="M4911"/>
    </row>
    <row r="4912" spans="1:13" x14ac:dyDescent="0.3">
      <c r="A4912" s="7">
        <v>400251</v>
      </c>
      <c r="B4912" t="str">
        <f>_xlfn.XLOOKUP(Vendas[[#This Row],[ID Vendedor]],Vendedores[ID],Vendedores[Nome])</f>
        <v>Diego</v>
      </c>
      <c r="C4912" s="7" t="str">
        <f>_xlfn.XLOOKUP(Vendas[[#This Row],[ID Vendedor]],Vendedores[ID],Vendedores[Setor])</f>
        <v>AB</v>
      </c>
      <c r="D4912" s="7" t="s">
        <v>39</v>
      </c>
      <c r="E4912" t="str">
        <f>_xlfn.XLOOKUP(Vendas[[#This Row],[ID Item Vendido]],Agregado[ID],Agregado[Produto])</f>
        <v>Filme plástico industrial rolo 50m</v>
      </c>
      <c r="F4912" s="39">
        <v>45906</v>
      </c>
      <c r="G4912" s="7">
        <v>4</v>
      </c>
      <c r="H4912" s="3">
        <f>_xlfn.XLOOKUP(Vendas[[#This Row],[ID Item Vendido]],Agregado[ID],Agregado[Revenda])</f>
        <v>37</v>
      </c>
      <c r="I4912" s="3">
        <f>Vendas[[#This Row],[Valor Unitário]]*Vendas[[#This Row],[Qnt Vendida]]</f>
        <v>148</v>
      </c>
      <c r="J4912" s="3">
        <f>Vendas[[#This Row],[Valor da Venda]]-(_xlfn.XLOOKUP(Vendas[[#This Row],[ID Item Vendido]],Agregado[ID],Agregado[Custo])*Vendas[[#This Row],[Qnt Vendida]])</f>
        <v>36</v>
      </c>
      <c r="K4912" s="70">
        <f>Vendas[[#This Row],[Lucro da Venda]]/Vendas[[#This Row],[Valor da Venda]]</f>
        <v>0.24324324324324326</v>
      </c>
      <c r="L4912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4912"/>
    </row>
    <row r="4913" spans="1:13" x14ac:dyDescent="0.3">
      <c r="A4913" s="7">
        <v>400252</v>
      </c>
      <c r="B4913" t="str">
        <f>_xlfn.XLOOKUP(Vendas[[#This Row],[ID Vendedor]],Vendedores[ID],Vendedores[Nome])</f>
        <v>Renata</v>
      </c>
      <c r="C4913" s="7" t="str">
        <f>_xlfn.XLOOKUP(Vendas[[#This Row],[ID Vendedor]],Vendedores[ID],Vendedores[Setor])</f>
        <v>AB</v>
      </c>
      <c r="D4913" s="7" t="s">
        <v>39</v>
      </c>
      <c r="E4913" t="str">
        <f>_xlfn.XLOOKUP(Vendas[[#This Row],[ID Item Vendido]],Agregado[ID],Agregado[Produto])</f>
        <v>Filme plástico industrial rolo 50m</v>
      </c>
      <c r="F4913" s="39">
        <v>45907</v>
      </c>
      <c r="G4913" s="7">
        <v>29</v>
      </c>
      <c r="H4913" s="3">
        <f>_xlfn.XLOOKUP(Vendas[[#This Row],[ID Item Vendido]],Agregado[ID],Agregado[Revenda])</f>
        <v>37</v>
      </c>
      <c r="I4913" s="3">
        <f>Vendas[[#This Row],[Valor Unitário]]*Vendas[[#This Row],[Qnt Vendida]]</f>
        <v>1073</v>
      </c>
      <c r="J4913" s="3">
        <f>Vendas[[#This Row],[Valor da Venda]]-(_xlfn.XLOOKUP(Vendas[[#This Row],[ID Item Vendido]],Agregado[ID],Agregado[Custo])*Vendas[[#This Row],[Qnt Vendida]])</f>
        <v>261</v>
      </c>
      <c r="K4913" s="70">
        <f>Vendas[[#This Row],[Lucro da Venda]]/Vendas[[#This Row],[Valor da Venda]]</f>
        <v>0.24324324324324326</v>
      </c>
      <c r="L4913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913"/>
    </row>
    <row r="4914" spans="1:13" x14ac:dyDescent="0.3">
      <c r="A4914" s="7">
        <v>400250</v>
      </c>
      <c r="B4914" t="str">
        <f>_xlfn.XLOOKUP(Vendas[[#This Row],[ID Vendedor]],Vendedores[ID],Vendedores[Nome])</f>
        <v>Larissa</v>
      </c>
      <c r="C4914" s="7" t="str">
        <f>_xlfn.XLOOKUP(Vendas[[#This Row],[ID Vendedor]],Vendedores[ID],Vendedores[Setor])</f>
        <v>AB</v>
      </c>
      <c r="D4914" s="7" t="s">
        <v>12</v>
      </c>
      <c r="E4914" t="str">
        <f>_xlfn.XLOOKUP(Vendas[[#This Row],[ID Item Vendido]],Agregado[ID],Agregado[Produto])</f>
        <v>Grânulo de plástico reciclado refinado</v>
      </c>
      <c r="F4914" s="39">
        <v>45907</v>
      </c>
      <c r="G4914" s="7">
        <v>25</v>
      </c>
      <c r="H4914" s="3">
        <f>_xlfn.XLOOKUP(Vendas[[#This Row],[ID Item Vendido]],Agregado[ID],Agregado[Revenda])</f>
        <v>4.7</v>
      </c>
      <c r="I4914" s="3">
        <f>Vendas[[#This Row],[Valor Unitário]]*Vendas[[#This Row],[Qnt Vendida]]</f>
        <v>117.5</v>
      </c>
      <c r="J4914" s="3">
        <f>Vendas[[#This Row],[Valor da Venda]]-(_xlfn.XLOOKUP(Vendas[[#This Row],[ID Item Vendido]],Agregado[ID],Agregado[Custo])*Vendas[[#This Row],[Qnt Vendida]])</f>
        <v>30</v>
      </c>
      <c r="K4914" s="70">
        <f>Vendas[[#This Row],[Lucro da Venda]]/Vendas[[#This Row],[Valor da Venda]]</f>
        <v>0.25531914893617019</v>
      </c>
      <c r="L4914" s="3">
        <f>_xlfn.IFS(Vendas[[#This Row],[Margem de Lucro (%)]]&lt;15%,Vendas[[#This Row],[Valor da Venda]]*3%,Vendas[[#This Row],[Margem de Lucro (%)]]&lt;=20%,Vendas[[#This Row],[Valor da Venda]]*4.5%,TRUE,Vendas[[#This Row],[Valor da Venda]]*6%)</f>
        <v>7.05</v>
      </c>
      <c r="M4914"/>
    </row>
    <row r="4915" spans="1:13" x14ac:dyDescent="0.3">
      <c r="A4915" s="7">
        <v>400246</v>
      </c>
      <c r="B4915" t="str">
        <f>_xlfn.XLOOKUP(Vendas[[#This Row],[ID Vendedor]],Vendedores[ID],Vendedores[Nome])</f>
        <v>Juliana</v>
      </c>
      <c r="C4915" s="7" t="str">
        <f>_xlfn.XLOOKUP(Vendas[[#This Row],[ID Vendedor]],Vendedores[ID],Vendedores[Setor])</f>
        <v>AHD</v>
      </c>
      <c r="D4915" s="7" t="s">
        <v>44</v>
      </c>
      <c r="E4915" t="str">
        <f>_xlfn.XLOOKUP(Vendas[[#This Row],[ID Item Vendido]],Agregado[ID],Agregado[Produto])</f>
        <v>Liga metálica especial</v>
      </c>
      <c r="F4915" s="39">
        <v>45908</v>
      </c>
      <c r="G4915" s="7">
        <v>50</v>
      </c>
      <c r="H4915" s="3">
        <f>_xlfn.XLOOKUP(Vendas[[#This Row],[ID Item Vendido]],Agregado[ID],Agregado[Revenda])</f>
        <v>32.5</v>
      </c>
      <c r="I4915" s="3">
        <f>Vendas[[#This Row],[Valor Unitário]]*Vendas[[#This Row],[Qnt Vendida]]</f>
        <v>1625</v>
      </c>
      <c r="J4915" s="3">
        <f>Vendas[[#This Row],[Valor da Venda]]-(_xlfn.XLOOKUP(Vendas[[#This Row],[ID Item Vendido]],Agregado[ID],Agregado[Custo])*Vendas[[#This Row],[Qnt Vendida]])</f>
        <v>375</v>
      </c>
      <c r="K4915" s="70">
        <f>Vendas[[#This Row],[Lucro da Venda]]/Vendas[[#This Row],[Valor da Venda]]</f>
        <v>0.23076923076923078</v>
      </c>
      <c r="L4915" s="3">
        <f>_xlfn.IFS(Vendas[[#This Row],[Margem de Lucro (%)]]&lt;15%,Vendas[[#This Row],[Valor da Venda]]*3%,Vendas[[#This Row],[Margem de Lucro (%)]]&lt;=20%,Vendas[[#This Row],[Valor da Venda]]*4.5%,TRUE,Vendas[[#This Row],[Valor da Venda]]*6%)</f>
        <v>97.5</v>
      </c>
      <c r="M4915"/>
    </row>
    <row r="4916" spans="1:13" x14ac:dyDescent="0.3">
      <c r="A4916" s="7">
        <v>400249</v>
      </c>
      <c r="B4916" t="str">
        <f>_xlfn.XLOOKUP(Vendas[[#This Row],[ID Vendedor]],Vendedores[ID],Vendedores[Nome])</f>
        <v>Bruno</v>
      </c>
      <c r="C4916" s="7" t="str">
        <f>_xlfn.XLOOKUP(Vendas[[#This Row],[ID Vendedor]],Vendedores[ID],Vendedores[Setor])</f>
        <v>CM</v>
      </c>
      <c r="D4916" s="7" t="s">
        <v>32</v>
      </c>
      <c r="E4916" t="str">
        <f>_xlfn.XLOOKUP(Vendas[[#This Row],[ID Item Vendido]],Agregado[ID],Agregado[Produto])</f>
        <v>Tábua tratada e cortada 3m</v>
      </c>
      <c r="F4916" s="39">
        <v>45908</v>
      </c>
      <c r="G4916" s="7">
        <v>36</v>
      </c>
      <c r="H4916" s="3">
        <f>_xlfn.XLOOKUP(Vendas[[#This Row],[ID Item Vendido]],Agregado[ID],Agregado[Revenda])</f>
        <v>39</v>
      </c>
      <c r="I4916" s="3">
        <f>Vendas[[#This Row],[Valor Unitário]]*Vendas[[#This Row],[Qnt Vendida]]</f>
        <v>1404</v>
      </c>
      <c r="J4916" s="3">
        <f>Vendas[[#This Row],[Valor da Venda]]-(_xlfn.XLOOKUP(Vendas[[#This Row],[ID Item Vendido]],Agregado[ID],Agregado[Custo])*Vendas[[#This Row],[Qnt Vendida]])</f>
        <v>252</v>
      </c>
      <c r="K4916" s="70">
        <f>Vendas[[#This Row],[Lucro da Venda]]/Vendas[[#This Row],[Valor da Venda]]</f>
        <v>0.17948717948717949</v>
      </c>
      <c r="L4916" s="3">
        <f>_xlfn.IFS(Vendas[[#This Row],[Margem de Lucro (%)]]&lt;15%,Vendas[[#This Row],[Valor da Venda]]*3%,Vendas[[#This Row],[Margem de Lucro (%)]]&lt;=20%,Vendas[[#This Row],[Valor da Venda]]*4.5%,TRUE,Vendas[[#This Row],[Valor da Venda]]*6%)</f>
        <v>63.18</v>
      </c>
      <c r="M4916"/>
    </row>
    <row r="4917" spans="1:13" x14ac:dyDescent="0.3">
      <c r="A4917" s="7">
        <v>400244</v>
      </c>
      <c r="B4917" t="str">
        <f>_xlfn.XLOOKUP(Vendas[[#This Row],[ID Vendedor]],Vendedores[ID],Vendedores[Nome])</f>
        <v>Camila</v>
      </c>
      <c r="C4917" s="7" t="str">
        <f>_xlfn.XLOOKUP(Vendas[[#This Row],[ID Vendedor]],Vendedores[ID],Vendedores[Setor])</f>
        <v>AHD</v>
      </c>
      <c r="D4917" s="7" t="s">
        <v>28</v>
      </c>
      <c r="E4917" t="str">
        <f>_xlfn.XLOOKUP(Vendas[[#This Row],[ID Item Vendido]],Agregado[ID],Agregado[Produto])</f>
        <v>Peça usinada CNC</v>
      </c>
      <c r="F4917" s="39">
        <v>45908</v>
      </c>
      <c r="G4917" s="7">
        <v>6</v>
      </c>
      <c r="H4917" s="3">
        <f>_xlfn.XLOOKUP(Vendas[[#This Row],[ID Item Vendido]],Agregado[ID],Agregado[Revenda])</f>
        <v>192</v>
      </c>
      <c r="I4917" s="3">
        <f>Vendas[[#This Row],[Valor Unitário]]*Vendas[[#This Row],[Qnt Vendida]]</f>
        <v>1152</v>
      </c>
      <c r="J4917" s="3">
        <f>Vendas[[#This Row],[Valor da Venda]]-(_xlfn.XLOOKUP(Vendas[[#This Row],[ID Item Vendido]],Agregado[ID],Agregado[Custo])*Vendas[[#This Row],[Qnt Vendida]])</f>
        <v>252</v>
      </c>
      <c r="K4917" s="70">
        <f>Vendas[[#This Row],[Lucro da Venda]]/Vendas[[#This Row],[Valor da Venda]]</f>
        <v>0.21875</v>
      </c>
      <c r="L4917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4917"/>
    </row>
    <row r="4918" spans="1:13" x14ac:dyDescent="0.3">
      <c r="A4918" s="7">
        <v>400241</v>
      </c>
      <c r="B4918" t="str">
        <f>_xlfn.XLOOKUP(Vendas[[#This Row],[ID Vendedor]],Vendedores[ID],Vendedores[Nome])</f>
        <v>Rodrigo</v>
      </c>
      <c r="C4918" s="7" t="str">
        <f>_xlfn.XLOOKUP(Vendas[[#This Row],[ID Vendedor]],Vendedores[ID],Vendedores[Setor])</f>
        <v>FM</v>
      </c>
      <c r="D4918" s="7" t="s">
        <v>47</v>
      </c>
      <c r="E4918" t="str">
        <f>_xlfn.XLOOKUP(Vendas[[#This Row],[ID Item Vendido]],Agregado[ID],Agregado[Produto])</f>
        <v>Fio de arame galvanizado rolo 50m</v>
      </c>
      <c r="F4918" s="39">
        <v>45908</v>
      </c>
      <c r="G4918" s="7">
        <v>23</v>
      </c>
      <c r="H4918" s="3">
        <f>_xlfn.XLOOKUP(Vendas[[#This Row],[ID Item Vendido]],Agregado[ID],Agregado[Revenda])</f>
        <v>21.2</v>
      </c>
      <c r="I4918" s="3">
        <f>Vendas[[#This Row],[Valor Unitário]]*Vendas[[#This Row],[Qnt Vendida]]</f>
        <v>487.59999999999997</v>
      </c>
      <c r="J4918" s="3">
        <f>Vendas[[#This Row],[Valor da Venda]]-(_xlfn.XLOOKUP(Vendas[[#This Row],[ID Item Vendido]],Agregado[ID],Agregado[Custo])*Vendas[[#This Row],[Qnt Vendida]])</f>
        <v>73.599999999999966</v>
      </c>
      <c r="K4918" s="70">
        <f>Vendas[[#This Row],[Lucro da Venda]]/Vendas[[#This Row],[Valor da Venda]]</f>
        <v>0.15094339622641503</v>
      </c>
      <c r="L4918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4918"/>
    </row>
    <row r="4919" spans="1:13" x14ac:dyDescent="0.3">
      <c r="A4919" s="7">
        <v>400254</v>
      </c>
      <c r="B4919" t="str">
        <f>_xlfn.XLOOKUP(Vendas[[#This Row],[ID Vendedor]],Vendedores[ID],Vendedores[Nome])</f>
        <v>Beatriz</v>
      </c>
      <c r="C4919" s="7" t="str">
        <f>_xlfn.XLOOKUP(Vendas[[#This Row],[ID Vendedor]],Vendedores[ID],Vendedores[Setor])</f>
        <v>SC</v>
      </c>
      <c r="D4919" s="7" t="s">
        <v>14</v>
      </c>
      <c r="E4919" t="str">
        <f>_xlfn.XLOOKUP(Vendas[[#This Row],[ID Item Vendido]],Agregado[ID],Agregado[Produto])</f>
        <v>Barril de plástico 200L</v>
      </c>
      <c r="F4919" s="39">
        <v>45909</v>
      </c>
      <c r="G4919" s="7">
        <v>9</v>
      </c>
      <c r="H4919" s="3">
        <f>_xlfn.XLOOKUP(Vendas[[#This Row],[ID Item Vendido]],Agregado[ID],Agregado[Revenda])</f>
        <v>114</v>
      </c>
      <c r="I4919" s="3">
        <f>Vendas[[#This Row],[Valor Unitário]]*Vendas[[#This Row],[Qnt Vendida]]</f>
        <v>1026</v>
      </c>
      <c r="J4919" s="3">
        <f>Vendas[[#This Row],[Valor da Venda]]-(_xlfn.XLOOKUP(Vendas[[#This Row],[ID Item Vendido]],Agregado[ID],Agregado[Custo])*Vendas[[#This Row],[Qnt Vendida]])</f>
        <v>171</v>
      </c>
      <c r="K4919" s="70">
        <f>Vendas[[#This Row],[Lucro da Venda]]/Vendas[[#This Row],[Valor da Venda]]</f>
        <v>0.16666666666666666</v>
      </c>
      <c r="L4919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4919"/>
    </row>
    <row r="4920" spans="1:13" x14ac:dyDescent="0.3">
      <c r="A4920" s="7">
        <v>400251</v>
      </c>
      <c r="B4920" t="str">
        <f>_xlfn.XLOOKUP(Vendas[[#This Row],[ID Vendedor]],Vendedores[ID],Vendedores[Nome])</f>
        <v>Diego</v>
      </c>
      <c r="C4920" s="7" t="str">
        <f>_xlfn.XLOOKUP(Vendas[[#This Row],[ID Vendedor]],Vendedores[ID],Vendedores[Setor])</f>
        <v>AB</v>
      </c>
      <c r="D4920" s="7" t="s">
        <v>12</v>
      </c>
      <c r="E4920" t="str">
        <f>_xlfn.XLOOKUP(Vendas[[#This Row],[ID Item Vendido]],Agregado[ID],Agregado[Produto])</f>
        <v>Grânulo de plástico reciclado refinado</v>
      </c>
      <c r="F4920" s="39">
        <v>45909</v>
      </c>
      <c r="G4920" s="7">
        <v>51</v>
      </c>
      <c r="H4920" s="3">
        <f>_xlfn.XLOOKUP(Vendas[[#This Row],[ID Item Vendido]],Agregado[ID],Agregado[Revenda])</f>
        <v>4.7</v>
      </c>
      <c r="I4920" s="3">
        <f>Vendas[[#This Row],[Valor Unitário]]*Vendas[[#This Row],[Qnt Vendida]]</f>
        <v>239.70000000000002</v>
      </c>
      <c r="J4920" s="3">
        <f>Vendas[[#This Row],[Valor da Venda]]-(_xlfn.XLOOKUP(Vendas[[#This Row],[ID Item Vendido]],Agregado[ID],Agregado[Custo])*Vendas[[#This Row],[Qnt Vendida]])</f>
        <v>61.200000000000017</v>
      </c>
      <c r="K4920" s="70">
        <f>Vendas[[#This Row],[Lucro da Venda]]/Vendas[[#This Row],[Valor da Venda]]</f>
        <v>0.25531914893617025</v>
      </c>
      <c r="L4920" s="3">
        <f>_xlfn.IFS(Vendas[[#This Row],[Margem de Lucro (%)]]&lt;15%,Vendas[[#This Row],[Valor da Venda]]*3%,Vendas[[#This Row],[Margem de Lucro (%)]]&lt;=20%,Vendas[[#This Row],[Valor da Venda]]*4.5%,TRUE,Vendas[[#This Row],[Valor da Venda]]*6%)</f>
        <v>14.382</v>
      </c>
      <c r="M4920"/>
    </row>
    <row r="4921" spans="1:13" x14ac:dyDescent="0.3">
      <c r="A4921" s="7">
        <v>400241</v>
      </c>
      <c r="B4921" t="str">
        <f>_xlfn.XLOOKUP(Vendas[[#This Row],[ID Vendedor]],Vendedores[ID],Vendedores[Nome])</f>
        <v>Rodrigo</v>
      </c>
      <c r="C4921" s="7" t="str">
        <f>_xlfn.XLOOKUP(Vendas[[#This Row],[ID Vendedor]],Vendedores[ID],Vendedores[Setor])</f>
        <v>FM</v>
      </c>
      <c r="D4921" s="7" t="s">
        <v>20</v>
      </c>
      <c r="E4921" t="str">
        <f>_xlfn.XLOOKUP(Vendas[[#This Row],[ID Item Vendido]],Agregado[ID],Agregado[Produto])</f>
        <v>Barra de aço simples</v>
      </c>
      <c r="F4921" s="39">
        <v>45910</v>
      </c>
      <c r="G4921" s="7">
        <v>170</v>
      </c>
      <c r="H4921" s="3">
        <f>_xlfn.XLOOKUP(Vendas[[#This Row],[ID Item Vendido]],Agregado[ID],Agregado[Revenda])</f>
        <v>4.8</v>
      </c>
      <c r="I4921" s="3">
        <f>Vendas[[#This Row],[Valor Unitário]]*Vendas[[#This Row],[Qnt Vendida]]</f>
        <v>816</v>
      </c>
      <c r="J4921" s="3">
        <f>Vendas[[#This Row],[Valor da Venda]]-(_xlfn.XLOOKUP(Vendas[[#This Row],[ID Item Vendido]],Agregado[ID],Agregado[Custo])*Vendas[[#This Row],[Qnt Vendida]])</f>
        <v>102</v>
      </c>
      <c r="K4921" s="70">
        <f>Vendas[[#This Row],[Lucro da Venda]]/Vendas[[#This Row],[Valor da Venda]]</f>
        <v>0.125</v>
      </c>
      <c r="L4921" s="3">
        <f>_xlfn.IFS(Vendas[[#This Row],[Margem de Lucro (%)]]&lt;15%,Vendas[[#This Row],[Valor da Venda]]*3%,Vendas[[#This Row],[Margem de Lucro (%)]]&lt;=20%,Vendas[[#This Row],[Valor da Venda]]*4.5%,TRUE,Vendas[[#This Row],[Valor da Venda]]*6%)</f>
        <v>24.48</v>
      </c>
      <c r="M4921"/>
    </row>
    <row r="4922" spans="1:13" x14ac:dyDescent="0.3">
      <c r="A4922" s="7">
        <v>400241</v>
      </c>
      <c r="B4922" t="str">
        <f>_xlfn.XLOOKUP(Vendas[[#This Row],[ID Vendedor]],Vendedores[ID],Vendedores[Nome])</f>
        <v>Rodrigo</v>
      </c>
      <c r="C4922" s="7" t="str">
        <f>_xlfn.XLOOKUP(Vendas[[#This Row],[ID Vendedor]],Vendedores[ID],Vendedores[Setor])</f>
        <v>FM</v>
      </c>
      <c r="D4922" s="7" t="s">
        <v>27</v>
      </c>
      <c r="E4922" t="str">
        <f>_xlfn.XLOOKUP(Vendas[[#This Row],[ID Item Vendido]],Agregado[ID],Agregado[Produto])</f>
        <v>Chapa de metal lisa 1x2m</v>
      </c>
      <c r="F4922" s="39">
        <v>45911</v>
      </c>
      <c r="G4922" s="7">
        <v>28</v>
      </c>
      <c r="H4922" s="3">
        <f>_xlfn.XLOOKUP(Vendas[[#This Row],[ID Item Vendido]],Agregado[ID],Agregado[Revenda])</f>
        <v>52</v>
      </c>
      <c r="I4922" s="3">
        <f>Vendas[[#This Row],[Valor Unitário]]*Vendas[[#This Row],[Qnt Vendida]]</f>
        <v>1456</v>
      </c>
      <c r="J4922" s="3">
        <f>Vendas[[#This Row],[Valor da Venda]]-(_xlfn.XLOOKUP(Vendas[[#This Row],[ID Item Vendido]],Agregado[ID],Agregado[Custo])*Vendas[[#This Row],[Qnt Vendida]])</f>
        <v>196</v>
      </c>
      <c r="K4922" s="70">
        <f>Vendas[[#This Row],[Lucro da Venda]]/Vendas[[#This Row],[Valor da Venda]]</f>
        <v>0.13461538461538461</v>
      </c>
      <c r="L4922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4922"/>
    </row>
    <row r="4923" spans="1:13" x14ac:dyDescent="0.3">
      <c r="A4923" s="7">
        <v>400245</v>
      </c>
      <c r="B4923" t="str">
        <f>_xlfn.XLOOKUP(Vendas[[#This Row],[ID Vendedor]],Vendedores[ID],Vendedores[Nome])</f>
        <v>Thiago</v>
      </c>
      <c r="C4923" s="7" t="str">
        <f>_xlfn.XLOOKUP(Vendas[[#This Row],[ID Vendedor]],Vendedores[ID],Vendedores[Setor])</f>
        <v>AHD</v>
      </c>
      <c r="D4923" s="7" t="s">
        <v>44</v>
      </c>
      <c r="E4923" t="str">
        <f>_xlfn.XLOOKUP(Vendas[[#This Row],[ID Item Vendido]],Agregado[ID],Agregado[Produto])</f>
        <v>Liga metálica especial</v>
      </c>
      <c r="F4923" s="39">
        <v>45911</v>
      </c>
      <c r="G4923" s="7">
        <v>30</v>
      </c>
      <c r="H4923" s="3">
        <f>_xlfn.XLOOKUP(Vendas[[#This Row],[ID Item Vendido]],Agregado[ID],Agregado[Revenda])</f>
        <v>32.5</v>
      </c>
      <c r="I4923" s="3">
        <f>Vendas[[#This Row],[Valor Unitário]]*Vendas[[#This Row],[Qnt Vendida]]</f>
        <v>975</v>
      </c>
      <c r="J4923" s="3">
        <f>Vendas[[#This Row],[Valor da Venda]]-(_xlfn.XLOOKUP(Vendas[[#This Row],[ID Item Vendido]],Agregado[ID],Agregado[Custo])*Vendas[[#This Row],[Qnt Vendida]])</f>
        <v>225</v>
      </c>
      <c r="K4923" s="70">
        <f>Vendas[[#This Row],[Lucro da Venda]]/Vendas[[#This Row],[Valor da Venda]]</f>
        <v>0.23076923076923078</v>
      </c>
      <c r="L4923" s="3">
        <f>_xlfn.IFS(Vendas[[#This Row],[Margem de Lucro (%)]]&lt;15%,Vendas[[#This Row],[Valor da Venda]]*3%,Vendas[[#This Row],[Margem de Lucro (%)]]&lt;=20%,Vendas[[#This Row],[Valor da Venda]]*4.5%,TRUE,Vendas[[#This Row],[Valor da Venda]]*6%)</f>
        <v>58.5</v>
      </c>
      <c r="M4923"/>
    </row>
    <row r="4924" spans="1:13" x14ac:dyDescent="0.3">
      <c r="A4924" s="7">
        <v>400253</v>
      </c>
      <c r="B4924" t="str">
        <f>_xlfn.XLOOKUP(Vendas[[#This Row],[ID Vendedor]],Vendedores[ID],Vendedores[Nome])</f>
        <v>Gustavo</v>
      </c>
      <c r="C4924" s="7" t="str">
        <f>_xlfn.XLOOKUP(Vendas[[#This Row],[ID Vendedor]],Vendedores[ID],Vendedores[Setor])</f>
        <v>SC</v>
      </c>
      <c r="D4924" s="7" t="s">
        <v>42</v>
      </c>
      <c r="E4924" t="str">
        <f>_xlfn.XLOOKUP(Vendas[[#This Row],[ID Item Vendido]],Agregado[ID],Agregado[Produto])</f>
        <v>Container de ferro industrial</v>
      </c>
      <c r="F4924" s="39">
        <v>45912</v>
      </c>
      <c r="G4924" s="7">
        <v>3</v>
      </c>
      <c r="H4924" s="3">
        <f>_xlfn.XLOOKUP(Vendas[[#This Row],[ID Item Vendido]],Agregado[ID],Agregado[Revenda])</f>
        <v>830</v>
      </c>
      <c r="I4924" s="3">
        <f>Vendas[[#This Row],[Valor Unitário]]*Vendas[[#This Row],[Qnt Vendida]]</f>
        <v>2490</v>
      </c>
      <c r="J4924" s="3">
        <f>Vendas[[#This Row],[Valor da Venda]]-(_xlfn.XLOOKUP(Vendas[[#This Row],[ID Item Vendido]],Agregado[ID],Agregado[Custo])*Vendas[[#This Row],[Qnt Vendida]])</f>
        <v>450</v>
      </c>
      <c r="K4924" s="70">
        <f>Vendas[[#This Row],[Lucro da Venda]]/Vendas[[#This Row],[Valor da Venda]]</f>
        <v>0.18072289156626506</v>
      </c>
      <c r="L492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4924"/>
    </row>
    <row r="4925" spans="1:13" x14ac:dyDescent="0.3">
      <c r="A4925" s="7">
        <v>400249</v>
      </c>
      <c r="B4925" t="str">
        <f>_xlfn.XLOOKUP(Vendas[[#This Row],[ID Vendedor]],Vendedores[ID],Vendedores[Nome])</f>
        <v>Bruno</v>
      </c>
      <c r="C4925" s="7" t="str">
        <f>_xlfn.XLOOKUP(Vendas[[#This Row],[ID Vendedor]],Vendedores[ID],Vendedores[Setor])</f>
        <v>CM</v>
      </c>
      <c r="D4925" s="7" t="s">
        <v>43</v>
      </c>
      <c r="E4925" t="str">
        <f>_xlfn.XLOOKUP(Vendas[[#This Row],[ID Item Vendido]],Agregado[ID],Agregado[Produto])</f>
        <v>Madeira Bruta (Tora)</v>
      </c>
      <c r="F4925" s="39">
        <v>45912</v>
      </c>
      <c r="G4925" s="7">
        <v>7</v>
      </c>
      <c r="H4925" s="3">
        <f>_xlfn.XLOOKUP(Vendas[[#This Row],[ID Item Vendido]],Agregado[ID],Agregado[Revenda])</f>
        <v>212</v>
      </c>
      <c r="I4925" s="3">
        <f>Vendas[[#This Row],[Valor Unitário]]*Vendas[[#This Row],[Qnt Vendida]]</f>
        <v>1484</v>
      </c>
      <c r="J4925" s="3">
        <f>Vendas[[#This Row],[Valor da Venda]]-(_xlfn.XLOOKUP(Vendas[[#This Row],[ID Item Vendido]],Agregado[ID],Agregado[Custo])*Vendas[[#This Row],[Qnt Vendida]])</f>
        <v>224</v>
      </c>
      <c r="K4925" s="70">
        <f>Vendas[[#This Row],[Lucro da Venda]]/Vendas[[#This Row],[Valor da Venda]]</f>
        <v>0.15094339622641509</v>
      </c>
      <c r="L4925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4925"/>
    </row>
    <row r="4926" spans="1:13" x14ac:dyDescent="0.3">
      <c r="A4926" s="7">
        <v>400245</v>
      </c>
      <c r="B4926" t="str">
        <f>_xlfn.XLOOKUP(Vendas[[#This Row],[ID Vendedor]],Vendedores[ID],Vendedores[Nome])</f>
        <v>Thiago</v>
      </c>
      <c r="C4926" s="7" t="str">
        <f>_xlfn.XLOOKUP(Vendas[[#This Row],[ID Vendedor]],Vendedores[ID],Vendedores[Setor])</f>
        <v>AHD</v>
      </c>
      <c r="D4926" s="7" t="s">
        <v>44</v>
      </c>
      <c r="E4926" t="str">
        <f>_xlfn.XLOOKUP(Vendas[[#This Row],[ID Item Vendido]],Agregado[ID],Agregado[Produto])</f>
        <v>Liga metálica especial</v>
      </c>
      <c r="F4926" s="39">
        <v>45912</v>
      </c>
      <c r="G4926" s="7">
        <v>30</v>
      </c>
      <c r="H4926" s="3">
        <f>_xlfn.XLOOKUP(Vendas[[#This Row],[ID Item Vendido]],Agregado[ID],Agregado[Revenda])</f>
        <v>32.5</v>
      </c>
      <c r="I4926" s="3">
        <f>Vendas[[#This Row],[Valor Unitário]]*Vendas[[#This Row],[Qnt Vendida]]</f>
        <v>975</v>
      </c>
      <c r="J4926" s="3">
        <f>Vendas[[#This Row],[Valor da Venda]]-(_xlfn.XLOOKUP(Vendas[[#This Row],[ID Item Vendido]],Agregado[ID],Agregado[Custo])*Vendas[[#This Row],[Qnt Vendida]])</f>
        <v>225</v>
      </c>
      <c r="K4926" s="70">
        <f>Vendas[[#This Row],[Lucro da Venda]]/Vendas[[#This Row],[Valor da Venda]]</f>
        <v>0.23076923076923078</v>
      </c>
      <c r="L4926" s="3">
        <f>_xlfn.IFS(Vendas[[#This Row],[Margem de Lucro (%)]]&lt;15%,Vendas[[#This Row],[Valor da Venda]]*3%,Vendas[[#This Row],[Margem de Lucro (%)]]&lt;=20%,Vendas[[#This Row],[Valor da Venda]]*4.5%,TRUE,Vendas[[#This Row],[Valor da Venda]]*6%)</f>
        <v>58.5</v>
      </c>
      <c r="M4926"/>
    </row>
    <row r="4927" spans="1:13" x14ac:dyDescent="0.3">
      <c r="A4927" s="7">
        <v>400246</v>
      </c>
      <c r="B4927" t="str">
        <f>_xlfn.XLOOKUP(Vendas[[#This Row],[ID Vendedor]],Vendedores[ID],Vendedores[Nome])</f>
        <v>Juliana</v>
      </c>
      <c r="C4927" s="7" t="str">
        <f>_xlfn.XLOOKUP(Vendas[[#This Row],[ID Vendedor]],Vendedores[ID],Vendedores[Setor])</f>
        <v>AHD</v>
      </c>
      <c r="D4927" s="7" t="s">
        <v>9</v>
      </c>
      <c r="E4927" t="str">
        <f>_xlfn.XLOOKUP(Vendas[[#This Row],[ID Item Vendido]],Agregado[ID],Agregado[Produto])</f>
        <v>Barra de aço simples</v>
      </c>
      <c r="F4927" s="39">
        <v>45912</v>
      </c>
      <c r="G4927" s="7">
        <v>101</v>
      </c>
      <c r="H4927" s="3">
        <f>_xlfn.XLOOKUP(Vendas[[#This Row],[ID Item Vendido]],Agregado[ID],Agregado[Revenda])</f>
        <v>6.7</v>
      </c>
      <c r="I4927" s="3">
        <f>Vendas[[#This Row],[Valor Unitário]]*Vendas[[#This Row],[Qnt Vendida]]</f>
        <v>676.7</v>
      </c>
      <c r="J4927" s="3">
        <f>Vendas[[#This Row],[Valor da Venda]]-(_xlfn.XLOOKUP(Vendas[[#This Row],[ID Item Vendido]],Agregado[ID],Agregado[Custo])*Vendas[[#This Row],[Qnt Vendida]])</f>
        <v>90.900000000000091</v>
      </c>
      <c r="K4927" s="70">
        <f>Vendas[[#This Row],[Lucro da Venda]]/Vendas[[#This Row],[Valor da Venda]]</f>
        <v>0.13432835820895536</v>
      </c>
      <c r="L4927" s="3">
        <f>_xlfn.IFS(Vendas[[#This Row],[Margem de Lucro (%)]]&lt;15%,Vendas[[#This Row],[Valor da Venda]]*3%,Vendas[[#This Row],[Margem de Lucro (%)]]&lt;=20%,Vendas[[#This Row],[Valor da Venda]]*4.5%,TRUE,Vendas[[#This Row],[Valor da Venda]]*6%)</f>
        <v>20.301000000000002</v>
      </c>
      <c r="M4927"/>
    </row>
    <row r="4928" spans="1:13" x14ac:dyDescent="0.3">
      <c r="A4928" s="7">
        <v>400249</v>
      </c>
      <c r="B4928" t="str">
        <f>_xlfn.XLOOKUP(Vendas[[#This Row],[ID Vendedor]],Vendedores[ID],Vendedores[Nome])</f>
        <v>Bruno</v>
      </c>
      <c r="C4928" s="7" t="str">
        <f>_xlfn.XLOOKUP(Vendas[[#This Row],[ID Vendedor]],Vendedores[ID],Vendedores[Setor])</f>
        <v>CM</v>
      </c>
      <c r="D4928" s="7" t="s">
        <v>22</v>
      </c>
      <c r="E4928" t="str">
        <f>_xlfn.XLOOKUP(Vendas[[#This Row],[ID Item Vendido]],Agregado[ID],Agregado[Produto])</f>
        <v>Painel MDP 2,75x1,83m</v>
      </c>
      <c r="F4928" s="39">
        <v>45914</v>
      </c>
      <c r="G4928" s="7">
        <v>13</v>
      </c>
      <c r="H4928" s="3">
        <f>_xlfn.XLOOKUP(Vendas[[#This Row],[ID Item Vendido]],Agregado[ID],Agregado[Revenda])</f>
        <v>119</v>
      </c>
      <c r="I4928" s="3">
        <f>Vendas[[#This Row],[Valor Unitário]]*Vendas[[#This Row],[Qnt Vendida]]</f>
        <v>1547</v>
      </c>
      <c r="J4928" s="3">
        <f>Vendas[[#This Row],[Valor da Venda]]-(_xlfn.XLOOKUP(Vendas[[#This Row],[ID Item Vendido]],Agregado[ID],Agregado[Custo])*Vendas[[#This Row],[Qnt Vendida]])</f>
        <v>312</v>
      </c>
      <c r="K4928" s="70">
        <f>Vendas[[#This Row],[Lucro da Venda]]/Vendas[[#This Row],[Valor da Venda]]</f>
        <v>0.20168067226890757</v>
      </c>
      <c r="L4928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4928"/>
    </row>
    <row r="4929" spans="1:13" x14ac:dyDescent="0.3">
      <c r="A4929" s="7">
        <v>400250</v>
      </c>
      <c r="B4929" t="str">
        <f>_xlfn.XLOOKUP(Vendas[[#This Row],[ID Vendedor]],Vendedores[ID],Vendedores[Nome])</f>
        <v>Larissa</v>
      </c>
      <c r="C4929" s="7" t="str">
        <f>_xlfn.XLOOKUP(Vendas[[#This Row],[ID Vendedor]],Vendedores[ID],Vendedores[Setor])</f>
        <v>AB</v>
      </c>
      <c r="D4929" s="7" t="s">
        <v>39</v>
      </c>
      <c r="E4929" t="str">
        <f>_xlfn.XLOOKUP(Vendas[[#This Row],[ID Item Vendido]],Agregado[ID],Agregado[Produto])</f>
        <v>Filme plástico industrial rolo 50m</v>
      </c>
      <c r="F4929" s="39">
        <v>45914</v>
      </c>
      <c r="G4929" s="7">
        <v>29</v>
      </c>
      <c r="H4929" s="3">
        <f>_xlfn.XLOOKUP(Vendas[[#This Row],[ID Item Vendido]],Agregado[ID],Agregado[Revenda])</f>
        <v>37</v>
      </c>
      <c r="I4929" s="3">
        <f>Vendas[[#This Row],[Valor Unitário]]*Vendas[[#This Row],[Qnt Vendida]]</f>
        <v>1073</v>
      </c>
      <c r="J4929" s="3">
        <f>Vendas[[#This Row],[Valor da Venda]]-(_xlfn.XLOOKUP(Vendas[[#This Row],[ID Item Vendido]],Agregado[ID],Agregado[Custo])*Vendas[[#This Row],[Qnt Vendida]])</f>
        <v>261</v>
      </c>
      <c r="K4929" s="70">
        <f>Vendas[[#This Row],[Lucro da Venda]]/Vendas[[#This Row],[Valor da Venda]]</f>
        <v>0.24324324324324326</v>
      </c>
      <c r="L4929" s="3">
        <f>_xlfn.IFS(Vendas[[#This Row],[Margem de Lucro (%)]]&lt;15%,Vendas[[#This Row],[Valor da Venda]]*3%,Vendas[[#This Row],[Margem de Lucro (%)]]&lt;=20%,Vendas[[#This Row],[Valor da Venda]]*4.5%,TRUE,Vendas[[#This Row],[Valor da Venda]]*6%)</f>
        <v>64.38</v>
      </c>
      <c r="M4929"/>
    </row>
    <row r="4930" spans="1:13" x14ac:dyDescent="0.3">
      <c r="A4930" s="7">
        <v>400242</v>
      </c>
      <c r="B4930" t="str">
        <f>_xlfn.XLOOKUP(Vendas[[#This Row],[ID Vendedor]],Vendedores[ID],Vendedores[Nome])</f>
        <v>Fernanda</v>
      </c>
      <c r="C4930" s="7" t="str">
        <f>_xlfn.XLOOKUP(Vendas[[#This Row],[ID Vendedor]],Vendedores[ID],Vendedores[Setor])</f>
        <v>FM</v>
      </c>
      <c r="D4930" s="7" t="s">
        <v>27</v>
      </c>
      <c r="E4930" t="str">
        <f>_xlfn.XLOOKUP(Vendas[[#This Row],[ID Item Vendido]],Agregado[ID],Agregado[Produto])</f>
        <v>Chapa de metal lisa 1x2m</v>
      </c>
      <c r="F4930" s="39">
        <v>45914</v>
      </c>
      <c r="G4930" s="7">
        <v>10</v>
      </c>
      <c r="H4930" s="3">
        <f>_xlfn.XLOOKUP(Vendas[[#This Row],[ID Item Vendido]],Agregado[ID],Agregado[Revenda])</f>
        <v>52</v>
      </c>
      <c r="I4930" s="3">
        <f>Vendas[[#This Row],[Valor Unitário]]*Vendas[[#This Row],[Qnt Vendida]]</f>
        <v>520</v>
      </c>
      <c r="J4930" s="3">
        <f>Vendas[[#This Row],[Valor da Venda]]-(_xlfn.XLOOKUP(Vendas[[#This Row],[ID Item Vendido]],Agregado[ID],Agregado[Custo])*Vendas[[#This Row],[Qnt Vendida]])</f>
        <v>70</v>
      </c>
      <c r="K4930" s="70">
        <f>Vendas[[#This Row],[Lucro da Venda]]/Vendas[[#This Row],[Valor da Venda]]</f>
        <v>0.13461538461538461</v>
      </c>
      <c r="L4930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4930"/>
    </row>
    <row r="4931" spans="1:13" x14ac:dyDescent="0.3">
      <c r="A4931" s="7">
        <v>400247</v>
      </c>
      <c r="B4931" t="str">
        <f>_xlfn.XLOOKUP(Vendas[[#This Row],[ID Vendedor]],Vendedores[ID],Vendedores[Nome])</f>
        <v>André</v>
      </c>
      <c r="C4931" s="7" t="str">
        <f>_xlfn.XLOOKUP(Vendas[[#This Row],[ID Vendedor]],Vendedores[ID],Vendedores[Setor])</f>
        <v>CM</v>
      </c>
      <c r="D4931" s="7" t="s">
        <v>34</v>
      </c>
      <c r="E4931" t="str">
        <f>_xlfn.XLOOKUP(Vendas[[#This Row],[ID Item Vendido]],Agregado[ID],Agregado[Produto])</f>
        <v>Restos de madeira p/ MDP/OSB saco de 20kg</v>
      </c>
      <c r="F4931" s="39">
        <v>45914</v>
      </c>
      <c r="G4931" s="7">
        <v>23</v>
      </c>
      <c r="H4931" s="3">
        <f>_xlfn.XLOOKUP(Vendas[[#This Row],[ID Item Vendido]],Agregado[ID],Agregado[Revenda])</f>
        <v>13.8</v>
      </c>
      <c r="I4931" s="3">
        <f>Vendas[[#This Row],[Valor Unitário]]*Vendas[[#This Row],[Qnt Vendida]]</f>
        <v>317.40000000000003</v>
      </c>
      <c r="J4931" s="3">
        <f>Vendas[[#This Row],[Valor da Venda]]-(_xlfn.XLOOKUP(Vendas[[#This Row],[ID Item Vendido]],Agregado[ID],Agregado[Custo])*Vendas[[#This Row],[Qnt Vendida]])</f>
        <v>41.400000000000034</v>
      </c>
      <c r="K4931" s="70">
        <f>Vendas[[#This Row],[Lucro da Venda]]/Vendas[[#This Row],[Valor da Venda]]</f>
        <v>0.13043478260869573</v>
      </c>
      <c r="L4931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4931"/>
    </row>
    <row r="4932" spans="1:13" x14ac:dyDescent="0.3">
      <c r="A4932" s="7">
        <v>400252</v>
      </c>
      <c r="B4932" t="str">
        <f>_xlfn.XLOOKUP(Vendas[[#This Row],[ID Vendedor]],Vendedores[ID],Vendedores[Nome])</f>
        <v>Renata</v>
      </c>
      <c r="C4932" s="7" t="str">
        <f>_xlfn.XLOOKUP(Vendas[[#This Row],[ID Vendedor]],Vendedores[ID],Vendedores[Setor])</f>
        <v>AB</v>
      </c>
      <c r="D4932" s="7" t="s">
        <v>12</v>
      </c>
      <c r="E4932" t="str">
        <f>_xlfn.XLOOKUP(Vendas[[#This Row],[ID Item Vendido]],Agregado[ID],Agregado[Produto])</f>
        <v>Grânulo de plástico reciclado refinado</v>
      </c>
      <c r="F4932" s="39">
        <v>45914</v>
      </c>
      <c r="G4932" s="7">
        <v>61</v>
      </c>
      <c r="H4932" s="3">
        <f>_xlfn.XLOOKUP(Vendas[[#This Row],[ID Item Vendido]],Agregado[ID],Agregado[Revenda])</f>
        <v>4.7</v>
      </c>
      <c r="I4932" s="3">
        <f>Vendas[[#This Row],[Valor Unitário]]*Vendas[[#This Row],[Qnt Vendida]]</f>
        <v>286.7</v>
      </c>
      <c r="J4932" s="3">
        <f>Vendas[[#This Row],[Valor da Venda]]-(_xlfn.XLOOKUP(Vendas[[#This Row],[ID Item Vendido]],Agregado[ID],Agregado[Custo])*Vendas[[#This Row],[Qnt Vendida]])</f>
        <v>73.199999999999989</v>
      </c>
      <c r="K4932" s="70">
        <f>Vendas[[#This Row],[Lucro da Venda]]/Vendas[[#This Row],[Valor da Venda]]</f>
        <v>0.25531914893617019</v>
      </c>
      <c r="L4932" s="3">
        <f>_xlfn.IFS(Vendas[[#This Row],[Margem de Lucro (%)]]&lt;15%,Vendas[[#This Row],[Valor da Venda]]*3%,Vendas[[#This Row],[Margem de Lucro (%)]]&lt;=20%,Vendas[[#This Row],[Valor da Venda]]*4.5%,TRUE,Vendas[[#This Row],[Valor da Venda]]*6%)</f>
        <v>17.201999999999998</v>
      </c>
      <c r="M4932"/>
    </row>
    <row r="4933" spans="1:13" x14ac:dyDescent="0.3">
      <c r="A4933" s="7">
        <v>400246</v>
      </c>
      <c r="B4933" t="str">
        <f>_xlfn.XLOOKUP(Vendas[[#This Row],[ID Vendedor]],Vendedores[ID],Vendedores[Nome])</f>
        <v>Juliana</v>
      </c>
      <c r="C4933" s="7" t="str">
        <f>_xlfn.XLOOKUP(Vendas[[#This Row],[ID Vendedor]],Vendedores[ID],Vendedores[Setor])</f>
        <v>AHD</v>
      </c>
      <c r="D4933" s="7" t="s">
        <v>30</v>
      </c>
      <c r="E4933" t="str">
        <f>_xlfn.XLOOKUP(Vendas[[#This Row],[ID Item Vendido]],Agregado[ID],Agregado[Produto])</f>
        <v>Estrutura metálica soldada</v>
      </c>
      <c r="F4933" s="39">
        <v>45915</v>
      </c>
      <c r="G4933" s="7">
        <v>8</v>
      </c>
      <c r="H4933" s="3">
        <f>_xlfn.XLOOKUP(Vendas[[#This Row],[ID Item Vendido]],Agregado[ID],Agregado[Revenda])</f>
        <v>400</v>
      </c>
      <c r="I4933" s="3">
        <f>Vendas[[#This Row],[Valor Unitário]]*Vendas[[#This Row],[Qnt Vendida]]</f>
        <v>3200</v>
      </c>
      <c r="J4933" s="3">
        <f>Vendas[[#This Row],[Valor da Venda]]-(_xlfn.XLOOKUP(Vendas[[#This Row],[ID Item Vendido]],Agregado[ID],Agregado[Custo])*Vendas[[#This Row],[Qnt Vendida]])</f>
        <v>640</v>
      </c>
      <c r="K4933" s="70">
        <f>Vendas[[#This Row],[Lucro da Venda]]/Vendas[[#This Row],[Valor da Venda]]</f>
        <v>0.2</v>
      </c>
      <c r="L493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4933"/>
    </row>
    <row r="4934" spans="1:13" x14ac:dyDescent="0.3">
      <c r="A4934" s="7">
        <v>400249</v>
      </c>
      <c r="B4934" t="str">
        <f>_xlfn.XLOOKUP(Vendas[[#This Row],[ID Vendedor]],Vendedores[ID],Vendedores[Nome])</f>
        <v>Bruno</v>
      </c>
      <c r="C4934" s="7" t="str">
        <f>_xlfn.XLOOKUP(Vendas[[#This Row],[ID Vendedor]],Vendedores[ID],Vendedores[Setor])</f>
        <v>CM</v>
      </c>
      <c r="D4934" s="7" t="s">
        <v>45</v>
      </c>
      <c r="E4934" t="str">
        <f>_xlfn.XLOOKUP(Vendas[[#This Row],[ID Item Vendido]],Agregado[ID],Agregado[Produto])</f>
        <v>Viga de madeira tratada 4m</v>
      </c>
      <c r="F4934" s="39">
        <v>45915</v>
      </c>
      <c r="G4934" s="7">
        <v>16</v>
      </c>
      <c r="H4934" s="3">
        <f>_xlfn.XLOOKUP(Vendas[[#This Row],[ID Item Vendido]],Agregado[ID],Agregado[Revenda])</f>
        <v>66</v>
      </c>
      <c r="I4934" s="3">
        <f>Vendas[[#This Row],[Valor Unitário]]*Vendas[[#This Row],[Qnt Vendida]]</f>
        <v>1056</v>
      </c>
      <c r="J4934" s="3">
        <f>Vendas[[#This Row],[Valor da Venda]]-(_xlfn.XLOOKUP(Vendas[[#This Row],[ID Item Vendido]],Agregado[ID],Agregado[Custo])*Vendas[[#This Row],[Qnt Vendida]])</f>
        <v>176</v>
      </c>
      <c r="K4934" s="70">
        <f>Vendas[[#This Row],[Lucro da Venda]]/Vendas[[#This Row],[Valor da Venda]]</f>
        <v>0.16666666666666666</v>
      </c>
      <c r="L4934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4934"/>
    </row>
    <row r="4935" spans="1:13" x14ac:dyDescent="0.3">
      <c r="A4935" s="7">
        <v>400252</v>
      </c>
      <c r="B4935" t="str">
        <f>_xlfn.XLOOKUP(Vendas[[#This Row],[ID Vendedor]],Vendedores[ID],Vendedores[Nome])</f>
        <v>Renata</v>
      </c>
      <c r="C4935" s="7" t="str">
        <f>_xlfn.XLOOKUP(Vendas[[#This Row],[ID Vendedor]],Vendedores[ID],Vendedores[Setor])</f>
        <v>AB</v>
      </c>
      <c r="D4935" s="7" t="s">
        <v>39</v>
      </c>
      <c r="E4935" t="str">
        <f>_xlfn.XLOOKUP(Vendas[[#This Row],[ID Item Vendido]],Agregado[ID],Agregado[Produto])</f>
        <v>Filme plástico industrial rolo 50m</v>
      </c>
      <c r="F4935" s="39">
        <v>45915</v>
      </c>
      <c r="G4935" s="7">
        <v>24</v>
      </c>
      <c r="H4935" s="3">
        <f>_xlfn.XLOOKUP(Vendas[[#This Row],[ID Item Vendido]],Agregado[ID],Agregado[Revenda])</f>
        <v>37</v>
      </c>
      <c r="I4935" s="3">
        <f>Vendas[[#This Row],[Valor Unitário]]*Vendas[[#This Row],[Qnt Vendida]]</f>
        <v>888</v>
      </c>
      <c r="J4935" s="3">
        <f>Vendas[[#This Row],[Valor da Venda]]-(_xlfn.XLOOKUP(Vendas[[#This Row],[ID Item Vendido]],Agregado[ID],Agregado[Custo])*Vendas[[#This Row],[Qnt Vendida]])</f>
        <v>216</v>
      </c>
      <c r="K4935" s="70">
        <f>Vendas[[#This Row],[Lucro da Venda]]/Vendas[[#This Row],[Valor da Venda]]</f>
        <v>0.24324324324324326</v>
      </c>
      <c r="L4935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4935"/>
    </row>
    <row r="4936" spans="1:13" x14ac:dyDescent="0.3">
      <c r="A4936" s="7">
        <v>400246</v>
      </c>
      <c r="B4936" t="str">
        <f>_xlfn.XLOOKUP(Vendas[[#This Row],[ID Vendedor]],Vendedores[ID],Vendedores[Nome])</f>
        <v>Juliana</v>
      </c>
      <c r="C4936" s="7" t="str">
        <f>_xlfn.XLOOKUP(Vendas[[#This Row],[ID Vendedor]],Vendedores[ID],Vendedores[Setor])</f>
        <v>AHD</v>
      </c>
      <c r="D4936" s="7" t="s">
        <v>9</v>
      </c>
      <c r="E4936" t="str">
        <f>_xlfn.XLOOKUP(Vendas[[#This Row],[ID Item Vendido]],Agregado[ID],Agregado[Produto])</f>
        <v>Barra de aço simples</v>
      </c>
      <c r="F4936" s="39">
        <v>45915</v>
      </c>
      <c r="G4936" s="7">
        <v>96</v>
      </c>
      <c r="H4936" s="3">
        <f>_xlfn.XLOOKUP(Vendas[[#This Row],[ID Item Vendido]],Agregado[ID],Agregado[Revenda])</f>
        <v>6.7</v>
      </c>
      <c r="I4936" s="3">
        <f>Vendas[[#This Row],[Valor Unitário]]*Vendas[[#This Row],[Qnt Vendida]]</f>
        <v>643.20000000000005</v>
      </c>
      <c r="J4936" s="3">
        <f>Vendas[[#This Row],[Valor da Venda]]-(_xlfn.XLOOKUP(Vendas[[#This Row],[ID Item Vendido]],Agregado[ID],Agregado[Custo])*Vendas[[#This Row],[Qnt Vendida]])</f>
        <v>86.400000000000091</v>
      </c>
      <c r="K4936" s="70">
        <f>Vendas[[#This Row],[Lucro da Venda]]/Vendas[[#This Row],[Valor da Venda]]</f>
        <v>0.13432835820895536</v>
      </c>
      <c r="L4936" s="3">
        <f>_xlfn.IFS(Vendas[[#This Row],[Margem de Lucro (%)]]&lt;15%,Vendas[[#This Row],[Valor da Venda]]*3%,Vendas[[#This Row],[Margem de Lucro (%)]]&lt;=20%,Vendas[[#This Row],[Valor da Venda]]*4.5%,TRUE,Vendas[[#This Row],[Valor da Venda]]*6%)</f>
        <v>19.295999999999999</v>
      </c>
      <c r="M4936"/>
    </row>
    <row r="4937" spans="1:13" x14ac:dyDescent="0.3">
      <c r="A4937" s="7">
        <v>400250</v>
      </c>
      <c r="B4937" t="str">
        <f>_xlfn.XLOOKUP(Vendas[[#This Row],[ID Vendedor]],Vendedores[ID],Vendedores[Nome])</f>
        <v>Larissa</v>
      </c>
      <c r="C4937" s="7" t="str">
        <f>_xlfn.XLOOKUP(Vendas[[#This Row],[ID Vendedor]],Vendedores[ID],Vendedores[Setor])</f>
        <v>AB</v>
      </c>
      <c r="D4937" s="7" t="s">
        <v>36</v>
      </c>
      <c r="E4937" t="str">
        <f>_xlfn.XLOOKUP(Vendas[[#This Row],[ID Item Vendido]],Agregado[ID],Agregado[Produto])</f>
        <v>Borracha vulcanizada em manta</v>
      </c>
      <c r="F4937" s="39">
        <v>45915</v>
      </c>
      <c r="G4937" s="7">
        <v>23</v>
      </c>
      <c r="H4937" s="3">
        <f>_xlfn.XLOOKUP(Vendas[[#This Row],[ID Item Vendido]],Agregado[ID],Agregado[Revenda])</f>
        <v>7.8</v>
      </c>
      <c r="I4937" s="3">
        <f>Vendas[[#This Row],[Valor Unitário]]*Vendas[[#This Row],[Qnt Vendida]]</f>
        <v>179.4</v>
      </c>
      <c r="J4937" s="3">
        <f>Vendas[[#This Row],[Valor da Venda]]-(_xlfn.XLOOKUP(Vendas[[#This Row],[ID Item Vendido]],Agregado[ID],Agregado[Custo])*Vendas[[#This Row],[Qnt Vendida]])</f>
        <v>41.400000000000006</v>
      </c>
      <c r="K4937" s="70">
        <f>Vendas[[#This Row],[Lucro da Venda]]/Vendas[[#This Row],[Valor da Venda]]</f>
        <v>0.23076923076923078</v>
      </c>
      <c r="L4937" s="3">
        <f>_xlfn.IFS(Vendas[[#This Row],[Margem de Lucro (%)]]&lt;15%,Vendas[[#This Row],[Valor da Venda]]*3%,Vendas[[#This Row],[Margem de Lucro (%)]]&lt;=20%,Vendas[[#This Row],[Valor da Venda]]*4.5%,TRUE,Vendas[[#This Row],[Valor da Venda]]*6%)</f>
        <v>10.763999999999999</v>
      </c>
      <c r="M4937"/>
    </row>
    <row r="4938" spans="1:13" x14ac:dyDescent="0.3">
      <c r="A4938" s="7">
        <v>400255</v>
      </c>
      <c r="B4938" t="str">
        <f>_xlfn.XLOOKUP(Vendas[[#This Row],[ID Vendedor]],Vendedores[ID],Vendedores[Nome])</f>
        <v>Carlos</v>
      </c>
      <c r="C4938" s="7" t="str">
        <f>_xlfn.XLOOKUP(Vendas[[#This Row],[ID Vendedor]],Vendedores[ID],Vendedores[Setor])</f>
        <v>SC</v>
      </c>
      <c r="D4938" s="7" t="s">
        <v>14</v>
      </c>
      <c r="E4938" t="str">
        <f>_xlfn.XLOOKUP(Vendas[[#This Row],[ID Item Vendido]],Agregado[ID],Agregado[Produto])</f>
        <v>Barril de plástico 200L</v>
      </c>
      <c r="F4938" s="39">
        <v>45916</v>
      </c>
      <c r="G4938" s="7">
        <v>22</v>
      </c>
      <c r="H4938" s="3">
        <f>_xlfn.XLOOKUP(Vendas[[#This Row],[ID Item Vendido]],Agregado[ID],Agregado[Revenda])</f>
        <v>114</v>
      </c>
      <c r="I4938" s="3">
        <f>Vendas[[#This Row],[Valor Unitário]]*Vendas[[#This Row],[Qnt Vendida]]</f>
        <v>2508</v>
      </c>
      <c r="J4938" s="3">
        <f>Vendas[[#This Row],[Valor da Venda]]-(_xlfn.XLOOKUP(Vendas[[#This Row],[ID Item Vendido]],Agregado[ID],Agregado[Custo])*Vendas[[#This Row],[Qnt Vendida]])</f>
        <v>418</v>
      </c>
      <c r="K4938" s="70">
        <f>Vendas[[#This Row],[Lucro da Venda]]/Vendas[[#This Row],[Valor da Venda]]</f>
        <v>0.16666666666666666</v>
      </c>
      <c r="L4938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4938"/>
    </row>
    <row r="4939" spans="1:13" x14ac:dyDescent="0.3">
      <c r="A4939" s="7">
        <v>400253</v>
      </c>
      <c r="B4939" t="str">
        <f>_xlfn.XLOOKUP(Vendas[[#This Row],[ID Vendedor]],Vendedores[ID],Vendedores[Nome])</f>
        <v>Gustavo</v>
      </c>
      <c r="C4939" s="7" t="str">
        <f>_xlfn.XLOOKUP(Vendas[[#This Row],[ID Vendedor]],Vendedores[ID],Vendedores[Setor])</f>
        <v>SC</v>
      </c>
      <c r="D4939" s="7" t="s">
        <v>42</v>
      </c>
      <c r="E4939" t="str">
        <f>_xlfn.XLOOKUP(Vendas[[#This Row],[ID Item Vendido]],Agregado[ID],Agregado[Produto])</f>
        <v>Container de ferro industrial</v>
      </c>
      <c r="F4939" s="39">
        <v>45916</v>
      </c>
      <c r="G4939" s="7">
        <v>2</v>
      </c>
      <c r="H4939" s="3">
        <f>_xlfn.XLOOKUP(Vendas[[#This Row],[ID Item Vendido]],Agregado[ID],Agregado[Revenda])</f>
        <v>830</v>
      </c>
      <c r="I4939" s="3">
        <f>Vendas[[#This Row],[Valor Unitário]]*Vendas[[#This Row],[Qnt Vendida]]</f>
        <v>1660</v>
      </c>
      <c r="J4939" s="3">
        <f>Vendas[[#This Row],[Valor da Venda]]-(_xlfn.XLOOKUP(Vendas[[#This Row],[ID Item Vendido]],Agregado[ID],Agregado[Custo])*Vendas[[#This Row],[Qnt Vendida]])</f>
        <v>300</v>
      </c>
      <c r="K4939" s="70">
        <f>Vendas[[#This Row],[Lucro da Venda]]/Vendas[[#This Row],[Valor da Venda]]</f>
        <v>0.18072289156626506</v>
      </c>
      <c r="L4939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4939"/>
    </row>
    <row r="4940" spans="1:13" x14ac:dyDescent="0.3">
      <c r="A4940" s="7">
        <v>400251</v>
      </c>
      <c r="B4940" t="str">
        <f>_xlfn.XLOOKUP(Vendas[[#This Row],[ID Vendedor]],Vendedores[ID],Vendedores[Nome])</f>
        <v>Diego</v>
      </c>
      <c r="C4940" s="7" t="str">
        <f>_xlfn.XLOOKUP(Vendas[[#This Row],[ID Vendedor]],Vendedores[ID],Vendedores[Setor])</f>
        <v>AB</v>
      </c>
      <c r="D4940" s="7" t="s">
        <v>24</v>
      </c>
      <c r="E4940" t="str">
        <f>_xlfn.XLOOKUP(Vendas[[#This Row],[ID Item Vendido]],Agregado[ID],Agregado[Produto])</f>
        <v>Resina plástica PET purificada saco de 25kg</v>
      </c>
      <c r="F4940" s="39">
        <v>45916</v>
      </c>
      <c r="G4940" s="7">
        <v>12</v>
      </c>
      <c r="H4940" s="3">
        <f>_xlfn.XLOOKUP(Vendas[[#This Row],[ID Item Vendido]],Agregado[ID],Agregado[Revenda])</f>
        <v>119</v>
      </c>
      <c r="I4940" s="3">
        <f>Vendas[[#This Row],[Valor Unitário]]*Vendas[[#This Row],[Qnt Vendida]]</f>
        <v>1428</v>
      </c>
      <c r="J4940" s="3">
        <f>Vendas[[#This Row],[Valor da Venda]]-(_xlfn.XLOOKUP(Vendas[[#This Row],[ID Item Vendido]],Agregado[ID],Agregado[Custo])*Vendas[[#This Row],[Qnt Vendida]])</f>
        <v>408</v>
      </c>
      <c r="K4940" s="70">
        <f>Vendas[[#This Row],[Lucro da Venda]]/Vendas[[#This Row],[Valor da Venda]]</f>
        <v>0.2857142857142857</v>
      </c>
      <c r="L4940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4940"/>
    </row>
    <row r="4941" spans="1:13" x14ac:dyDescent="0.3">
      <c r="A4941" s="7">
        <v>400242</v>
      </c>
      <c r="B4941" t="str">
        <f>_xlfn.XLOOKUP(Vendas[[#This Row],[ID Vendedor]],Vendedores[ID],Vendedores[Nome])</f>
        <v>Fernanda</v>
      </c>
      <c r="C4941" s="7" t="str">
        <f>_xlfn.XLOOKUP(Vendas[[#This Row],[ID Vendedor]],Vendedores[ID],Vendedores[Setor])</f>
        <v>FM</v>
      </c>
      <c r="D4941" s="7" t="s">
        <v>20</v>
      </c>
      <c r="E4941" t="str">
        <f>_xlfn.XLOOKUP(Vendas[[#This Row],[ID Item Vendido]],Agregado[ID],Agregado[Produto])</f>
        <v>Barra de aço simples</v>
      </c>
      <c r="F4941" s="39">
        <v>45916</v>
      </c>
      <c r="G4941" s="7">
        <v>63</v>
      </c>
      <c r="H4941" s="3">
        <f>_xlfn.XLOOKUP(Vendas[[#This Row],[ID Item Vendido]],Agregado[ID],Agregado[Revenda])</f>
        <v>4.8</v>
      </c>
      <c r="I4941" s="3">
        <f>Vendas[[#This Row],[Valor Unitário]]*Vendas[[#This Row],[Qnt Vendida]]</f>
        <v>302.39999999999998</v>
      </c>
      <c r="J4941" s="3">
        <f>Vendas[[#This Row],[Valor da Venda]]-(_xlfn.XLOOKUP(Vendas[[#This Row],[ID Item Vendido]],Agregado[ID],Agregado[Custo])*Vendas[[#This Row],[Qnt Vendida]])</f>
        <v>37.799999999999955</v>
      </c>
      <c r="K4941" s="70">
        <f>Vendas[[#This Row],[Lucro da Venda]]/Vendas[[#This Row],[Valor da Venda]]</f>
        <v>0.12499999999999986</v>
      </c>
      <c r="L4941" s="3">
        <f>_xlfn.IFS(Vendas[[#This Row],[Margem de Lucro (%)]]&lt;15%,Vendas[[#This Row],[Valor da Venda]]*3%,Vendas[[#This Row],[Margem de Lucro (%)]]&lt;=20%,Vendas[[#This Row],[Valor da Venda]]*4.5%,TRUE,Vendas[[#This Row],[Valor da Venda]]*6%)</f>
        <v>9.0719999999999992</v>
      </c>
      <c r="M4941"/>
    </row>
    <row r="4942" spans="1:13" x14ac:dyDescent="0.3">
      <c r="A4942" s="7">
        <v>400254</v>
      </c>
      <c r="B4942" t="str">
        <f>_xlfn.XLOOKUP(Vendas[[#This Row],[ID Vendedor]],Vendedores[ID],Vendedores[Nome])</f>
        <v>Beatriz</v>
      </c>
      <c r="C4942" s="7" t="str">
        <f>_xlfn.XLOOKUP(Vendas[[#This Row],[ID Vendedor]],Vendedores[ID],Vendedores[Setor])</f>
        <v>SC</v>
      </c>
      <c r="D4942" s="7" t="s">
        <v>14</v>
      </c>
      <c r="E4942" t="str">
        <f>_xlfn.XLOOKUP(Vendas[[#This Row],[ID Item Vendido]],Agregado[ID],Agregado[Produto])</f>
        <v>Barril de plástico 200L</v>
      </c>
      <c r="F4942" s="39">
        <v>45918</v>
      </c>
      <c r="G4942" s="7">
        <v>25</v>
      </c>
      <c r="H4942" s="3">
        <f>_xlfn.XLOOKUP(Vendas[[#This Row],[ID Item Vendido]],Agregado[ID],Agregado[Revenda])</f>
        <v>114</v>
      </c>
      <c r="I4942" s="3">
        <f>Vendas[[#This Row],[Valor Unitário]]*Vendas[[#This Row],[Qnt Vendida]]</f>
        <v>2850</v>
      </c>
      <c r="J4942" s="3">
        <f>Vendas[[#This Row],[Valor da Venda]]-(_xlfn.XLOOKUP(Vendas[[#This Row],[ID Item Vendido]],Agregado[ID],Agregado[Custo])*Vendas[[#This Row],[Qnt Vendida]])</f>
        <v>475</v>
      </c>
      <c r="K4942" s="70">
        <f>Vendas[[#This Row],[Lucro da Venda]]/Vendas[[#This Row],[Valor da Venda]]</f>
        <v>0.16666666666666666</v>
      </c>
      <c r="L4942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4942"/>
    </row>
    <row r="4943" spans="1:13" x14ac:dyDescent="0.3">
      <c r="A4943" s="7">
        <v>400252</v>
      </c>
      <c r="B4943" t="str">
        <f>_xlfn.XLOOKUP(Vendas[[#This Row],[ID Vendedor]],Vendedores[ID],Vendedores[Nome])</f>
        <v>Renata</v>
      </c>
      <c r="C4943" s="7" t="str">
        <f>_xlfn.XLOOKUP(Vendas[[#This Row],[ID Vendedor]],Vendedores[ID],Vendedores[Setor])</f>
        <v>AB</v>
      </c>
      <c r="D4943" s="7" t="s">
        <v>39</v>
      </c>
      <c r="E4943" t="str">
        <f>_xlfn.XLOOKUP(Vendas[[#This Row],[ID Item Vendido]],Agregado[ID],Agregado[Produto])</f>
        <v>Filme plástico industrial rolo 50m</v>
      </c>
      <c r="F4943" s="39">
        <v>45918</v>
      </c>
      <c r="G4943" s="7">
        <v>6</v>
      </c>
      <c r="H4943" s="3">
        <f>_xlfn.XLOOKUP(Vendas[[#This Row],[ID Item Vendido]],Agregado[ID],Agregado[Revenda])</f>
        <v>37</v>
      </c>
      <c r="I4943" s="3">
        <f>Vendas[[#This Row],[Valor Unitário]]*Vendas[[#This Row],[Qnt Vendida]]</f>
        <v>222</v>
      </c>
      <c r="J4943" s="3">
        <f>Vendas[[#This Row],[Valor da Venda]]-(_xlfn.XLOOKUP(Vendas[[#This Row],[ID Item Vendido]],Agregado[ID],Agregado[Custo])*Vendas[[#This Row],[Qnt Vendida]])</f>
        <v>54</v>
      </c>
      <c r="K4943" s="70">
        <f>Vendas[[#This Row],[Lucro da Venda]]/Vendas[[#This Row],[Valor da Venda]]</f>
        <v>0.24324324324324326</v>
      </c>
      <c r="L4943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4943"/>
    </row>
    <row r="4944" spans="1:13" x14ac:dyDescent="0.3">
      <c r="A4944" s="7">
        <v>400247</v>
      </c>
      <c r="B4944" t="str">
        <f>_xlfn.XLOOKUP(Vendas[[#This Row],[ID Vendedor]],Vendedores[ID],Vendedores[Nome])</f>
        <v>André</v>
      </c>
      <c r="C4944" s="7" t="str">
        <f>_xlfn.XLOOKUP(Vendas[[#This Row],[ID Vendedor]],Vendedores[ID],Vendedores[Setor])</f>
        <v>CM</v>
      </c>
      <c r="D4944" s="7" t="s">
        <v>32</v>
      </c>
      <c r="E4944" t="str">
        <f>_xlfn.XLOOKUP(Vendas[[#This Row],[ID Item Vendido]],Agregado[ID],Agregado[Produto])</f>
        <v>Tábua tratada e cortada 3m</v>
      </c>
      <c r="F4944" s="39">
        <v>45920</v>
      </c>
      <c r="G4944" s="7">
        <v>35</v>
      </c>
      <c r="H4944" s="3">
        <f>_xlfn.XLOOKUP(Vendas[[#This Row],[ID Item Vendido]],Agregado[ID],Agregado[Revenda])</f>
        <v>39</v>
      </c>
      <c r="I4944" s="3">
        <f>Vendas[[#This Row],[Valor Unitário]]*Vendas[[#This Row],[Qnt Vendida]]</f>
        <v>1365</v>
      </c>
      <c r="J4944" s="3">
        <f>Vendas[[#This Row],[Valor da Venda]]-(_xlfn.XLOOKUP(Vendas[[#This Row],[ID Item Vendido]],Agregado[ID],Agregado[Custo])*Vendas[[#This Row],[Qnt Vendida]])</f>
        <v>245</v>
      </c>
      <c r="K4944" s="70">
        <f>Vendas[[#This Row],[Lucro da Venda]]/Vendas[[#This Row],[Valor da Venda]]</f>
        <v>0.17948717948717949</v>
      </c>
      <c r="L4944" s="3">
        <f>_xlfn.IFS(Vendas[[#This Row],[Margem de Lucro (%)]]&lt;15%,Vendas[[#This Row],[Valor da Venda]]*3%,Vendas[[#This Row],[Margem de Lucro (%)]]&lt;=20%,Vendas[[#This Row],[Valor da Venda]]*4.5%,TRUE,Vendas[[#This Row],[Valor da Venda]]*6%)</f>
        <v>61.424999999999997</v>
      </c>
      <c r="M4944"/>
    </row>
    <row r="4945" spans="1:13" x14ac:dyDescent="0.3">
      <c r="A4945" s="7">
        <v>400253</v>
      </c>
      <c r="B4945" t="str">
        <f>_xlfn.XLOOKUP(Vendas[[#This Row],[ID Vendedor]],Vendedores[ID],Vendedores[Nome])</f>
        <v>Gustavo</v>
      </c>
      <c r="C4945" s="7" t="str">
        <f>_xlfn.XLOOKUP(Vendas[[#This Row],[ID Vendedor]],Vendedores[ID],Vendedores[Setor])</f>
        <v>SC</v>
      </c>
      <c r="D4945" s="7" t="s">
        <v>42</v>
      </c>
      <c r="E4945" t="str">
        <f>_xlfn.XLOOKUP(Vendas[[#This Row],[ID Item Vendido]],Agregado[ID],Agregado[Produto])</f>
        <v>Container de ferro industrial</v>
      </c>
      <c r="F4945" s="39">
        <v>45921</v>
      </c>
      <c r="G4945" s="7">
        <v>5</v>
      </c>
      <c r="H4945" s="3">
        <f>_xlfn.XLOOKUP(Vendas[[#This Row],[ID Item Vendido]],Agregado[ID],Agregado[Revenda])</f>
        <v>830</v>
      </c>
      <c r="I4945" s="3">
        <f>Vendas[[#This Row],[Valor Unitário]]*Vendas[[#This Row],[Qnt Vendida]]</f>
        <v>4150</v>
      </c>
      <c r="J4945" s="3">
        <f>Vendas[[#This Row],[Valor da Venda]]-(_xlfn.XLOOKUP(Vendas[[#This Row],[ID Item Vendido]],Agregado[ID],Agregado[Custo])*Vendas[[#This Row],[Qnt Vendida]])</f>
        <v>750</v>
      </c>
      <c r="K4945" s="70">
        <f>Vendas[[#This Row],[Lucro da Venda]]/Vendas[[#This Row],[Valor da Venda]]</f>
        <v>0.18072289156626506</v>
      </c>
      <c r="L4945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4945"/>
    </row>
    <row r="4946" spans="1:13" x14ac:dyDescent="0.3">
      <c r="A4946" s="7">
        <v>400254</v>
      </c>
      <c r="B4946" t="str">
        <f>_xlfn.XLOOKUP(Vendas[[#This Row],[ID Vendedor]],Vendedores[ID],Vendedores[Nome])</f>
        <v>Beatriz</v>
      </c>
      <c r="C4946" s="7" t="str">
        <f>_xlfn.XLOOKUP(Vendas[[#This Row],[ID Vendedor]],Vendedores[ID],Vendedores[Setor])</f>
        <v>SC</v>
      </c>
      <c r="D4946" s="7" t="s">
        <v>14</v>
      </c>
      <c r="E4946" t="str">
        <f>_xlfn.XLOOKUP(Vendas[[#This Row],[ID Item Vendido]],Agregado[ID],Agregado[Produto])</f>
        <v>Barril de plástico 200L</v>
      </c>
      <c r="F4946" s="39">
        <v>45921</v>
      </c>
      <c r="G4946" s="7">
        <v>23</v>
      </c>
      <c r="H4946" s="3">
        <f>_xlfn.XLOOKUP(Vendas[[#This Row],[ID Item Vendido]],Agregado[ID],Agregado[Revenda])</f>
        <v>114</v>
      </c>
      <c r="I4946" s="3">
        <f>Vendas[[#This Row],[Valor Unitário]]*Vendas[[#This Row],[Qnt Vendida]]</f>
        <v>2622</v>
      </c>
      <c r="J4946" s="3">
        <f>Vendas[[#This Row],[Valor da Venda]]-(_xlfn.XLOOKUP(Vendas[[#This Row],[ID Item Vendido]],Agregado[ID],Agregado[Custo])*Vendas[[#This Row],[Qnt Vendida]])</f>
        <v>437</v>
      </c>
      <c r="K4946" s="70">
        <f>Vendas[[#This Row],[Lucro da Venda]]/Vendas[[#This Row],[Valor da Venda]]</f>
        <v>0.16666666666666666</v>
      </c>
      <c r="L4946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4946"/>
    </row>
    <row r="4947" spans="1:13" x14ac:dyDescent="0.3">
      <c r="A4947" s="7">
        <v>400243</v>
      </c>
      <c r="B4947" t="str">
        <f>_xlfn.XLOOKUP(Vendas[[#This Row],[ID Vendedor]],Vendedores[ID],Vendedores[Nome])</f>
        <v>Marcelo</v>
      </c>
      <c r="C4947" s="7" t="str">
        <f>_xlfn.XLOOKUP(Vendas[[#This Row],[ID Vendedor]],Vendedores[ID],Vendedores[Setor])</f>
        <v>FM</v>
      </c>
      <c r="D4947" s="7" t="s">
        <v>27</v>
      </c>
      <c r="E4947" t="str">
        <f>_xlfn.XLOOKUP(Vendas[[#This Row],[ID Item Vendido]],Agregado[ID],Agregado[Produto])</f>
        <v>Chapa de metal lisa 1x2m</v>
      </c>
      <c r="F4947" s="39">
        <v>45921</v>
      </c>
      <c r="G4947" s="7">
        <v>27</v>
      </c>
      <c r="H4947" s="3">
        <f>_xlfn.XLOOKUP(Vendas[[#This Row],[ID Item Vendido]],Agregado[ID],Agregado[Revenda])</f>
        <v>52</v>
      </c>
      <c r="I4947" s="3">
        <f>Vendas[[#This Row],[Valor Unitário]]*Vendas[[#This Row],[Qnt Vendida]]</f>
        <v>1404</v>
      </c>
      <c r="J4947" s="3">
        <f>Vendas[[#This Row],[Valor da Venda]]-(_xlfn.XLOOKUP(Vendas[[#This Row],[ID Item Vendido]],Agregado[ID],Agregado[Custo])*Vendas[[#This Row],[Qnt Vendida]])</f>
        <v>189</v>
      </c>
      <c r="K4947" s="70">
        <f>Vendas[[#This Row],[Lucro da Venda]]/Vendas[[#This Row],[Valor da Venda]]</f>
        <v>0.13461538461538461</v>
      </c>
      <c r="L4947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4947"/>
    </row>
    <row r="4948" spans="1:13" x14ac:dyDescent="0.3">
      <c r="A4948" s="7">
        <v>400247</v>
      </c>
      <c r="B4948" t="str">
        <f>_xlfn.XLOOKUP(Vendas[[#This Row],[ID Vendedor]],Vendedores[ID],Vendedores[Nome])</f>
        <v>André</v>
      </c>
      <c r="C4948" s="7" t="str">
        <f>_xlfn.XLOOKUP(Vendas[[#This Row],[ID Vendedor]],Vendedores[ID],Vendedores[Setor])</f>
        <v>CM</v>
      </c>
      <c r="D4948" s="7" t="s">
        <v>45</v>
      </c>
      <c r="E4948" t="str">
        <f>_xlfn.XLOOKUP(Vendas[[#This Row],[ID Item Vendido]],Agregado[ID],Agregado[Produto])</f>
        <v>Viga de madeira tratada 4m</v>
      </c>
      <c r="F4948" s="39">
        <v>45921</v>
      </c>
      <c r="G4948" s="7">
        <v>14</v>
      </c>
      <c r="H4948" s="3">
        <f>_xlfn.XLOOKUP(Vendas[[#This Row],[ID Item Vendido]],Agregado[ID],Agregado[Revenda])</f>
        <v>66</v>
      </c>
      <c r="I4948" s="3">
        <f>Vendas[[#This Row],[Valor Unitário]]*Vendas[[#This Row],[Qnt Vendida]]</f>
        <v>924</v>
      </c>
      <c r="J4948" s="3">
        <f>Vendas[[#This Row],[Valor da Venda]]-(_xlfn.XLOOKUP(Vendas[[#This Row],[ID Item Vendido]],Agregado[ID],Agregado[Custo])*Vendas[[#This Row],[Qnt Vendida]])</f>
        <v>154</v>
      </c>
      <c r="K4948" s="70">
        <f>Vendas[[#This Row],[Lucro da Venda]]/Vendas[[#This Row],[Valor da Venda]]</f>
        <v>0.16666666666666666</v>
      </c>
      <c r="L4948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4948"/>
    </row>
    <row r="4949" spans="1:13" x14ac:dyDescent="0.3">
      <c r="A4949" s="7">
        <v>400247</v>
      </c>
      <c r="B4949" t="str">
        <f>_xlfn.XLOOKUP(Vendas[[#This Row],[ID Vendedor]],Vendedores[ID],Vendedores[Nome])</f>
        <v>André</v>
      </c>
      <c r="C4949" s="7" t="str">
        <f>_xlfn.XLOOKUP(Vendas[[#This Row],[ID Vendedor]],Vendedores[ID],Vendedores[Setor])</f>
        <v>CM</v>
      </c>
      <c r="D4949" s="7" t="s">
        <v>34</v>
      </c>
      <c r="E4949" t="str">
        <f>_xlfn.XLOOKUP(Vendas[[#This Row],[ID Item Vendido]],Agregado[ID],Agregado[Produto])</f>
        <v>Restos de madeira p/ MDP/OSB saco de 20kg</v>
      </c>
      <c r="F4949" s="39">
        <v>45921</v>
      </c>
      <c r="G4949" s="7">
        <v>23</v>
      </c>
      <c r="H4949" s="3">
        <f>_xlfn.XLOOKUP(Vendas[[#This Row],[ID Item Vendido]],Agregado[ID],Agregado[Revenda])</f>
        <v>13.8</v>
      </c>
      <c r="I4949" s="3">
        <f>Vendas[[#This Row],[Valor Unitário]]*Vendas[[#This Row],[Qnt Vendida]]</f>
        <v>317.40000000000003</v>
      </c>
      <c r="J4949" s="3">
        <f>Vendas[[#This Row],[Valor da Venda]]-(_xlfn.XLOOKUP(Vendas[[#This Row],[ID Item Vendido]],Agregado[ID],Agregado[Custo])*Vendas[[#This Row],[Qnt Vendida]])</f>
        <v>41.400000000000034</v>
      </c>
      <c r="K4949" s="70">
        <f>Vendas[[#This Row],[Lucro da Venda]]/Vendas[[#This Row],[Valor da Venda]]</f>
        <v>0.13043478260869573</v>
      </c>
      <c r="L4949" s="3">
        <f>_xlfn.IFS(Vendas[[#This Row],[Margem de Lucro (%)]]&lt;15%,Vendas[[#This Row],[Valor da Venda]]*3%,Vendas[[#This Row],[Margem de Lucro (%)]]&lt;=20%,Vendas[[#This Row],[Valor da Venda]]*4.5%,TRUE,Vendas[[#This Row],[Valor da Venda]]*6%)</f>
        <v>9.5220000000000002</v>
      </c>
      <c r="M4949"/>
    </row>
    <row r="4950" spans="1:13" x14ac:dyDescent="0.3">
      <c r="A4950" s="7">
        <v>400249</v>
      </c>
      <c r="B4950" t="str">
        <f>_xlfn.XLOOKUP(Vendas[[#This Row],[ID Vendedor]],Vendedores[ID],Vendedores[Nome])</f>
        <v>Bruno</v>
      </c>
      <c r="C4950" s="7" t="str">
        <f>_xlfn.XLOOKUP(Vendas[[#This Row],[ID Vendedor]],Vendedores[ID],Vendedores[Setor])</f>
        <v>CM</v>
      </c>
      <c r="D4950" s="7" t="s">
        <v>34</v>
      </c>
      <c r="E4950" t="str">
        <f>_xlfn.XLOOKUP(Vendas[[#This Row],[ID Item Vendido]],Agregado[ID],Agregado[Produto])</f>
        <v>Restos de madeira p/ MDP/OSB saco de 20kg</v>
      </c>
      <c r="F4950" s="39">
        <v>45921</v>
      </c>
      <c r="G4950" s="7">
        <v>20</v>
      </c>
      <c r="H4950" s="3">
        <f>_xlfn.XLOOKUP(Vendas[[#This Row],[ID Item Vendido]],Agregado[ID],Agregado[Revenda])</f>
        <v>13.8</v>
      </c>
      <c r="I4950" s="3">
        <f>Vendas[[#This Row],[Valor Unitário]]*Vendas[[#This Row],[Qnt Vendida]]</f>
        <v>276</v>
      </c>
      <c r="J4950" s="3">
        <f>Vendas[[#This Row],[Valor da Venda]]-(_xlfn.XLOOKUP(Vendas[[#This Row],[ID Item Vendido]],Agregado[ID],Agregado[Custo])*Vendas[[#This Row],[Qnt Vendida]])</f>
        <v>36</v>
      </c>
      <c r="K4950" s="70">
        <f>Vendas[[#This Row],[Lucro da Venda]]/Vendas[[#This Row],[Valor da Venda]]</f>
        <v>0.13043478260869565</v>
      </c>
      <c r="L4950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4950"/>
    </row>
    <row r="4951" spans="1:13" x14ac:dyDescent="0.3">
      <c r="A4951" s="7">
        <v>400251</v>
      </c>
      <c r="B4951" t="str">
        <f>_xlfn.XLOOKUP(Vendas[[#This Row],[ID Vendedor]],Vendedores[ID],Vendedores[Nome])</f>
        <v>Diego</v>
      </c>
      <c r="C4951" s="7" t="str">
        <f>_xlfn.XLOOKUP(Vendas[[#This Row],[ID Vendedor]],Vendedores[ID],Vendedores[Setor])</f>
        <v>AB</v>
      </c>
      <c r="D4951" s="7" t="s">
        <v>24</v>
      </c>
      <c r="E4951" t="str">
        <f>_xlfn.XLOOKUP(Vendas[[#This Row],[ID Item Vendido]],Agregado[ID],Agregado[Produto])</f>
        <v>Resina plástica PET purificada saco de 25kg</v>
      </c>
      <c r="F4951" s="39">
        <v>45922</v>
      </c>
      <c r="G4951" s="7">
        <v>25</v>
      </c>
      <c r="H4951" s="3">
        <f>_xlfn.XLOOKUP(Vendas[[#This Row],[ID Item Vendido]],Agregado[ID],Agregado[Revenda])</f>
        <v>119</v>
      </c>
      <c r="I4951" s="3">
        <f>Vendas[[#This Row],[Valor Unitário]]*Vendas[[#This Row],[Qnt Vendida]]</f>
        <v>2975</v>
      </c>
      <c r="J4951" s="3">
        <f>Vendas[[#This Row],[Valor da Venda]]-(_xlfn.XLOOKUP(Vendas[[#This Row],[ID Item Vendido]],Agregado[ID],Agregado[Custo])*Vendas[[#This Row],[Qnt Vendida]])</f>
        <v>850</v>
      </c>
      <c r="K4951" s="70">
        <f>Vendas[[#This Row],[Lucro da Venda]]/Vendas[[#This Row],[Valor da Venda]]</f>
        <v>0.2857142857142857</v>
      </c>
      <c r="L4951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4951"/>
    </row>
    <row r="4952" spans="1:13" x14ac:dyDescent="0.3">
      <c r="A4952" s="7">
        <v>400248</v>
      </c>
      <c r="B4952" t="str">
        <f>_xlfn.XLOOKUP(Vendas[[#This Row],[ID Vendedor]],Vendedores[ID],Vendedores[Nome])</f>
        <v>Patrícia</v>
      </c>
      <c r="C4952" s="7" t="str">
        <f>_xlfn.XLOOKUP(Vendas[[#This Row],[ID Vendedor]],Vendedores[ID],Vendedores[Setor])</f>
        <v>CM</v>
      </c>
      <c r="D4952" s="7" t="s">
        <v>22</v>
      </c>
      <c r="E4952" t="str">
        <f>_xlfn.XLOOKUP(Vendas[[#This Row],[ID Item Vendido]],Agregado[ID],Agregado[Produto])</f>
        <v>Painel MDP 2,75x1,83m</v>
      </c>
      <c r="F4952" s="39">
        <v>45922</v>
      </c>
      <c r="G4952" s="7">
        <v>23</v>
      </c>
      <c r="H4952" s="3">
        <f>_xlfn.XLOOKUP(Vendas[[#This Row],[ID Item Vendido]],Agregado[ID],Agregado[Revenda])</f>
        <v>119</v>
      </c>
      <c r="I4952" s="3">
        <f>Vendas[[#This Row],[Valor Unitário]]*Vendas[[#This Row],[Qnt Vendida]]</f>
        <v>2737</v>
      </c>
      <c r="J4952" s="3">
        <f>Vendas[[#This Row],[Valor da Venda]]-(_xlfn.XLOOKUP(Vendas[[#This Row],[ID Item Vendido]],Agregado[ID],Agregado[Custo])*Vendas[[#This Row],[Qnt Vendida]])</f>
        <v>552</v>
      </c>
      <c r="K4952" s="70">
        <f>Vendas[[#This Row],[Lucro da Venda]]/Vendas[[#This Row],[Valor da Venda]]</f>
        <v>0.20168067226890757</v>
      </c>
      <c r="L4952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4952"/>
    </row>
    <row r="4953" spans="1:13" x14ac:dyDescent="0.3">
      <c r="A4953" s="7">
        <v>400251</v>
      </c>
      <c r="B4953" t="str">
        <f>_xlfn.XLOOKUP(Vendas[[#This Row],[ID Vendedor]],Vendedores[ID],Vendedores[Nome])</f>
        <v>Diego</v>
      </c>
      <c r="C4953" s="7" t="str">
        <f>_xlfn.XLOOKUP(Vendas[[#This Row],[ID Vendedor]],Vendedores[ID],Vendedores[Setor])</f>
        <v>AB</v>
      </c>
      <c r="D4953" s="7" t="s">
        <v>37</v>
      </c>
      <c r="E4953" t="str">
        <f>_xlfn.XLOOKUP(Vendas[[#This Row],[ID Item Vendido]],Agregado[ID],Agregado[Produto])</f>
        <v>Composto de borracha para vedação rolo 10m</v>
      </c>
      <c r="F4953" s="39">
        <v>45922</v>
      </c>
      <c r="G4953" s="7">
        <v>12</v>
      </c>
      <c r="H4953" s="3">
        <f>_xlfn.XLOOKUP(Vendas[[#This Row],[ID Item Vendido]],Agregado[ID],Agregado[Revenda])</f>
        <v>51.2</v>
      </c>
      <c r="I4953" s="3">
        <f>Vendas[[#This Row],[Valor Unitário]]*Vendas[[#This Row],[Qnt Vendida]]</f>
        <v>614.40000000000009</v>
      </c>
      <c r="J4953" s="3">
        <f>Vendas[[#This Row],[Valor da Venda]]-(_xlfn.XLOOKUP(Vendas[[#This Row],[ID Item Vendido]],Agregado[ID],Agregado[Custo])*Vendas[[#This Row],[Qnt Vendida]])</f>
        <v>134.40000000000009</v>
      </c>
      <c r="K4953" s="70">
        <f>Vendas[[#This Row],[Lucro da Venda]]/Vendas[[#This Row],[Valor da Venda]]</f>
        <v>0.21875000000000011</v>
      </c>
      <c r="L4953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4953"/>
    </row>
    <row r="4954" spans="1:13" x14ac:dyDescent="0.3">
      <c r="A4954" s="7">
        <v>400252</v>
      </c>
      <c r="B4954" t="str">
        <f>_xlfn.XLOOKUP(Vendas[[#This Row],[ID Vendedor]],Vendedores[ID],Vendedores[Nome])</f>
        <v>Renata</v>
      </c>
      <c r="C4954" s="7" t="str">
        <f>_xlfn.XLOOKUP(Vendas[[#This Row],[ID Vendedor]],Vendedores[ID],Vendedores[Setor])</f>
        <v>AB</v>
      </c>
      <c r="D4954" s="7" t="s">
        <v>39</v>
      </c>
      <c r="E4954" t="str">
        <f>_xlfn.XLOOKUP(Vendas[[#This Row],[ID Item Vendido]],Agregado[ID],Agregado[Produto])</f>
        <v>Filme plástico industrial rolo 50m</v>
      </c>
      <c r="F4954" s="39">
        <v>45922</v>
      </c>
      <c r="G4954" s="7">
        <v>12</v>
      </c>
      <c r="H4954" s="3">
        <f>_xlfn.XLOOKUP(Vendas[[#This Row],[ID Item Vendido]],Agregado[ID],Agregado[Revenda])</f>
        <v>37</v>
      </c>
      <c r="I4954" s="3">
        <f>Vendas[[#This Row],[Valor Unitário]]*Vendas[[#This Row],[Qnt Vendida]]</f>
        <v>444</v>
      </c>
      <c r="J4954" s="3">
        <f>Vendas[[#This Row],[Valor da Venda]]-(_xlfn.XLOOKUP(Vendas[[#This Row],[ID Item Vendido]],Agregado[ID],Agregado[Custo])*Vendas[[#This Row],[Qnt Vendida]])</f>
        <v>108</v>
      </c>
      <c r="K4954" s="70">
        <f>Vendas[[#This Row],[Lucro da Venda]]/Vendas[[#This Row],[Valor da Venda]]</f>
        <v>0.24324324324324326</v>
      </c>
      <c r="L4954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4954"/>
    </row>
    <row r="4955" spans="1:13" x14ac:dyDescent="0.3">
      <c r="A4955" s="7">
        <v>400244</v>
      </c>
      <c r="B4955" t="str">
        <f>_xlfn.XLOOKUP(Vendas[[#This Row],[ID Vendedor]],Vendedores[ID],Vendedores[Nome])</f>
        <v>Camila</v>
      </c>
      <c r="C4955" s="7" t="str">
        <f>_xlfn.XLOOKUP(Vendas[[#This Row],[ID Vendedor]],Vendedores[ID],Vendedores[Setor])</f>
        <v>AHD</v>
      </c>
      <c r="D4955" s="7" t="s">
        <v>30</v>
      </c>
      <c r="E4955" t="str">
        <f>_xlfn.XLOOKUP(Vendas[[#This Row],[ID Item Vendido]],Agregado[ID],Agregado[Produto])</f>
        <v>Estrutura metálica soldada</v>
      </c>
      <c r="F4955" s="39">
        <v>45922</v>
      </c>
      <c r="G4955" s="7">
        <v>1</v>
      </c>
      <c r="H4955" s="3">
        <f>_xlfn.XLOOKUP(Vendas[[#This Row],[ID Item Vendido]],Agregado[ID],Agregado[Revenda])</f>
        <v>400</v>
      </c>
      <c r="I4955" s="3">
        <f>Vendas[[#This Row],[Valor Unitário]]*Vendas[[#This Row],[Qnt Vendida]]</f>
        <v>400</v>
      </c>
      <c r="J4955" s="3">
        <f>Vendas[[#This Row],[Valor da Venda]]-(_xlfn.XLOOKUP(Vendas[[#This Row],[ID Item Vendido]],Agregado[ID],Agregado[Custo])*Vendas[[#This Row],[Qnt Vendida]])</f>
        <v>80</v>
      </c>
      <c r="K4955" s="70">
        <f>Vendas[[#This Row],[Lucro da Venda]]/Vendas[[#This Row],[Valor da Venda]]</f>
        <v>0.2</v>
      </c>
      <c r="L4955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4955"/>
    </row>
    <row r="4956" spans="1:13" x14ac:dyDescent="0.3">
      <c r="A4956" s="7">
        <v>400254</v>
      </c>
      <c r="B4956" t="str">
        <f>_xlfn.XLOOKUP(Vendas[[#This Row],[ID Vendedor]],Vendedores[ID],Vendedores[Nome])</f>
        <v>Beatriz</v>
      </c>
      <c r="C4956" s="7" t="str">
        <f>_xlfn.XLOOKUP(Vendas[[#This Row],[ID Vendedor]],Vendedores[ID],Vendedores[Setor])</f>
        <v>SC</v>
      </c>
      <c r="D4956" s="7" t="s">
        <v>14</v>
      </c>
      <c r="E4956" t="str">
        <f>_xlfn.XLOOKUP(Vendas[[#This Row],[ID Item Vendido]],Agregado[ID],Agregado[Produto])</f>
        <v>Barril de plástico 200L</v>
      </c>
      <c r="F4956" s="39">
        <v>45923</v>
      </c>
      <c r="G4956" s="7">
        <v>7</v>
      </c>
      <c r="H4956" s="3">
        <f>_xlfn.XLOOKUP(Vendas[[#This Row],[ID Item Vendido]],Agregado[ID],Agregado[Revenda])</f>
        <v>114</v>
      </c>
      <c r="I4956" s="3">
        <f>Vendas[[#This Row],[Valor Unitário]]*Vendas[[#This Row],[Qnt Vendida]]</f>
        <v>798</v>
      </c>
      <c r="J4956" s="3">
        <f>Vendas[[#This Row],[Valor da Venda]]-(_xlfn.XLOOKUP(Vendas[[#This Row],[ID Item Vendido]],Agregado[ID],Agregado[Custo])*Vendas[[#This Row],[Qnt Vendida]])</f>
        <v>133</v>
      </c>
      <c r="K4956" s="70">
        <f>Vendas[[#This Row],[Lucro da Venda]]/Vendas[[#This Row],[Valor da Venda]]</f>
        <v>0.16666666666666666</v>
      </c>
      <c r="L4956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4956"/>
    </row>
    <row r="4957" spans="1:13" x14ac:dyDescent="0.3">
      <c r="A4957" s="7">
        <v>400252</v>
      </c>
      <c r="B4957" t="str">
        <f>_xlfn.XLOOKUP(Vendas[[#This Row],[ID Vendedor]],Vendedores[ID],Vendedores[Nome])</f>
        <v>Renata</v>
      </c>
      <c r="C4957" s="7" t="str">
        <f>_xlfn.XLOOKUP(Vendas[[#This Row],[ID Vendedor]],Vendedores[ID],Vendedores[Setor])</f>
        <v>AB</v>
      </c>
      <c r="D4957" s="7" t="s">
        <v>36</v>
      </c>
      <c r="E4957" t="str">
        <f>_xlfn.XLOOKUP(Vendas[[#This Row],[ID Item Vendido]],Agregado[ID],Agregado[Produto])</f>
        <v>Borracha vulcanizada em manta</v>
      </c>
      <c r="F4957" s="39">
        <v>45923</v>
      </c>
      <c r="G4957" s="7">
        <v>80</v>
      </c>
      <c r="H4957" s="3">
        <f>_xlfn.XLOOKUP(Vendas[[#This Row],[ID Item Vendido]],Agregado[ID],Agregado[Revenda])</f>
        <v>7.8</v>
      </c>
      <c r="I4957" s="3">
        <f>Vendas[[#This Row],[Valor Unitário]]*Vendas[[#This Row],[Qnt Vendida]]</f>
        <v>624</v>
      </c>
      <c r="J4957" s="3">
        <f>Vendas[[#This Row],[Valor da Venda]]-(_xlfn.XLOOKUP(Vendas[[#This Row],[ID Item Vendido]],Agregado[ID],Agregado[Custo])*Vendas[[#This Row],[Qnt Vendida]])</f>
        <v>144</v>
      </c>
      <c r="K4957" s="70">
        <f>Vendas[[#This Row],[Lucro da Venda]]/Vendas[[#This Row],[Valor da Venda]]</f>
        <v>0.23076923076923078</v>
      </c>
      <c r="L4957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4957"/>
    </row>
    <row r="4958" spans="1:13" x14ac:dyDescent="0.3">
      <c r="A4958" s="7">
        <v>400250</v>
      </c>
      <c r="B4958" t="str">
        <f>_xlfn.XLOOKUP(Vendas[[#This Row],[ID Vendedor]],Vendedores[ID],Vendedores[Nome])</f>
        <v>Larissa</v>
      </c>
      <c r="C4958" s="7" t="str">
        <f>_xlfn.XLOOKUP(Vendas[[#This Row],[ID Vendedor]],Vendedores[ID],Vendedores[Setor])</f>
        <v>AB</v>
      </c>
      <c r="D4958" s="7" t="s">
        <v>36</v>
      </c>
      <c r="E4958" t="str">
        <f>_xlfn.XLOOKUP(Vendas[[#This Row],[ID Item Vendido]],Agregado[ID],Agregado[Produto])</f>
        <v>Borracha vulcanizada em manta</v>
      </c>
      <c r="F4958" s="39">
        <v>45923</v>
      </c>
      <c r="G4958" s="7">
        <v>78</v>
      </c>
      <c r="H4958" s="3">
        <f>_xlfn.XLOOKUP(Vendas[[#This Row],[ID Item Vendido]],Agregado[ID],Agregado[Revenda])</f>
        <v>7.8</v>
      </c>
      <c r="I4958" s="3">
        <f>Vendas[[#This Row],[Valor Unitário]]*Vendas[[#This Row],[Qnt Vendida]]</f>
        <v>608.4</v>
      </c>
      <c r="J4958" s="3">
        <f>Vendas[[#This Row],[Valor da Venda]]-(_xlfn.XLOOKUP(Vendas[[#This Row],[ID Item Vendido]],Agregado[ID],Agregado[Custo])*Vendas[[#This Row],[Qnt Vendida]])</f>
        <v>140.39999999999998</v>
      </c>
      <c r="K4958" s="70">
        <f>Vendas[[#This Row],[Lucro da Venda]]/Vendas[[#This Row],[Valor da Venda]]</f>
        <v>0.23076923076923075</v>
      </c>
      <c r="L4958" s="3">
        <f>_xlfn.IFS(Vendas[[#This Row],[Margem de Lucro (%)]]&lt;15%,Vendas[[#This Row],[Valor da Venda]]*3%,Vendas[[#This Row],[Margem de Lucro (%)]]&lt;=20%,Vendas[[#This Row],[Valor da Venda]]*4.5%,TRUE,Vendas[[#This Row],[Valor da Venda]]*6%)</f>
        <v>36.503999999999998</v>
      </c>
      <c r="M4958"/>
    </row>
    <row r="4959" spans="1:13" x14ac:dyDescent="0.3">
      <c r="A4959" s="7">
        <v>400248</v>
      </c>
      <c r="B4959" t="str">
        <f>_xlfn.XLOOKUP(Vendas[[#This Row],[ID Vendedor]],Vendedores[ID],Vendedores[Nome])</f>
        <v>Patrícia</v>
      </c>
      <c r="C4959" s="7" t="str">
        <f>_xlfn.XLOOKUP(Vendas[[#This Row],[ID Vendedor]],Vendedores[ID],Vendedores[Setor])</f>
        <v>CM</v>
      </c>
      <c r="D4959" s="7" t="s">
        <v>45</v>
      </c>
      <c r="E4959" t="str">
        <f>_xlfn.XLOOKUP(Vendas[[#This Row],[ID Item Vendido]],Agregado[ID],Agregado[Produto])</f>
        <v>Viga de madeira tratada 4m</v>
      </c>
      <c r="F4959" s="39">
        <v>45924</v>
      </c>
      <c r="G4959" s="7">
        <v>18</v>
      </c>
      <c r="H4959" s="3">
        <f>_xlfn.XLOOKUP(Vendas[[#This Row],[ID Item Vendido]],Agregado[ID],Agregado[Revenda])</f>
        <v>66</v>
      </c>
      <c r="I4959" s="3">
        <f>Vendas[[#This Row],[Valor Unitário]]*Vendas[[#This Row],[Qnt Vendida]]</f>
        <v>1188</v>
      </c>
      <c r="J4959" s="3">
        <f>Vendas[[#This Row],[Valor da Venda]]-(_xlfn.XLOOKUP(Vendas[[#This Row],[ID Item Vendido]],Agregado[ID],Agregado[Custo])*Vendas[[#This Row],[Qnt Vendida]])</f>
        <v>198</v>
      </c>
      <c r="K4959" s="70">
        <f>Vendas[[#This Row],[Lucro da Venda]]/Vendas[[#This Row],[Valor da Venda]]</f>
        <v>0.16666666666666666</v>
      </c>
      <c r="L4959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4959"/>
    </row>
    <row r="4960" spans="1:13" x14ac:dyDescent="0.3">
      <c r="A4960" s="7">
        <v>400254</v>
      </c>
      <c r="B4960" t="str">
        <f>_xlfn.XLOOKUP(Vendas[[#This Row],[ID Vendedor]],Vendedores[ID],Vendedores[Nome])</f>
        <v>Beatriz</v>
      </c>
      <c r="C4960" s="7" t="str">
        <f>_xlfn.XLOOKUP(Vendas[[#This Row],[ID Vendedor]],Vendedores[ID],Vendedores[Setor])</f>
        <v>SC</v>
      </c>
      <c r="D4960" s="7" t="s">
        <v>25</v>
      </c>
      <c r="E4960" t="str">
        <f>_xlfn.XLOOKUP(Vendas[[#This Row],[ID Item Vendido]],Agregado[ID],Agregado[Produto])</f>
        <v>Palete de plástico</v>
      </c>
      <c r="F4960" s="39">
        <v>45924</v>
      </c>
      <c r="G4960" s="7">
        <v>8</v>
      </c>
      <c r="H4960" s="3">
        <f>_xlfn.XLOOKUP(Vendas[[#This Row],[ID Item Vendido]],Agregado[ID],Agregado[Revenda])</f>
        <v>70.8</v>
      </c>
      <c r="I4960" s="3">
        <f>Vendas[[#This Row],[Valor Unitário]]*Vendas[[#This Row],[Qnt Vendida]]</f>
        <v>566.4</v>
      </c>
      <c r="J4960" s="3">
        <f>Vendas[[#This Row],[Valor da Venda]]-(_xlfn.XLOOKUP(Vendas[[#This Row],[ID Item Vendido]],Agregado[ID],Agregado[Custo])*Vendas[[#This Row],[Qnt Vendida]])</f>
        <v>86.399999999999977</v>
      </c>
      <c r="K4960" s="70">
        <f>Vendas[[#This Row],[Lucro da Venda]]/Vendas[[#This Row],[Valor da Venda]]</f>
        <v>0.15254237288135589</v>
      </c>
      <c r="L4960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4960"/>
    </row>
    <row r="4961" spans="1:13" x14ac:dyDescent="0.3">
      <c r="A4961" s="7">
        <v>400243</v>
      </c>
      <c r="B4961" t="str">
        <f>_xlfn.XLOOKUP(Vendas[[#This Row],[ID Vendedor]],Vendedores[ID],Vendedores[Nome])</f>
        <v>Marcelo</v>
      </c>
      <c r="C4961" s="7" t="str">
        <f>_xlfn.XLOOKUP(Vendas[[#This Row],[ID Vendedor]],Vendedores[ID],Vendedores[Setor])</f>
        <v>FM</v>
      </c>
      <c r="D4961" s="7" t="s">
        <v>27</v>
      </c>
      <c r="E4961" t="str">
        <f>_xlfn.XLOOKUP(Vendas[[#This Row],[ID Item Vendido]],Agregado[ID],Agregado[Produto])</f>
        <v>Chapa de metal lisa 1x2m</v>
      </c>
      <c r="F4961" s="39">
        <v>45924</v>
      </c>
      <c r="G4961" s="7">
        <v>6</v>
      </c>
      <c r="H4961" s="3">
        <f>_xlfn.XLOOKUP(Vendas[[#This Row],[ID Item Vendido]],Agregado[ID],Agregado[Revenda])</f>
        <v>52</v>
      </c>
      <c r="I4961" s="3">
        <f>Vendas[[#This Row],[Valor Unitário]]*Vendas[[#This Row],[Qnt Vendida]]</f>
        <v>312</v>
      </c>
      <c r="J4961" s="3">
        <f>Vendas[[#This Row],[Valor da Venda]]-(_xlfn.XLOOKUP(Vendas[[#This Row],[ID Item Vendido]],Agregado[ID],Agregado[Custo])*Vendas[[#This Row],[Qnt Vendida]])</f>
        <v>42</v>
      </c>
      <c r="K4961" s="70">
        <f>Vendas[[#This Row],[Lucro da Venda]]/Vendas[[#This Row],[Valor da Venda]]</f>
        <v>0.13461538461538461</v>
      </c>
      <c r="L4961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4961"/>
    </row>
    <row r="4962" spans="1:13" x14ac:dyDescent="0.3">
      <c r="A4962" s="7">
        <v>400255</v>
      </c>
      <c r="B4962" t="str">
        <f>_xlfn.XLOOKUP(Vendas[[#This Row],[ID Vendedor]],Vendedores[ID],Vendedores[Nome])</f>
        <v>Carlos</v>
      </c>
      <c r="C4962" s="7" t="str">
        <f>_xlfn.XLOOKUP(Vendas[[#This Row],[ID Vendedor]],Vendedores[ID],Vendedores[Setor])</f>
        <v>SC</v>
      </c>
      <c r="D4962" s="7" t="s">
        <v>42</v>
      </c>
      <c r="E4962" t="str">
        <f>_xlfn.XLOOKUP(Vendas[[#This Row],[ID Item Vendido]],Agregado[ID],Agregado[Produto])</f>
        <v>Container de ferro industrial</v>
      </c>
      <c r="F4962" s="39">
        <v>45925</v>
      </c>
      <c r="G4962" s="7">
        <v>4</v>
      </c>
      <c r="H4962" s="3">
        <f>_xlfn.XLOOKUP(Vendas[[#This Row],[ID Item Vendido]],Agregado[ID],Agregado[Revenda])</f>
        <v>830</v>
      </c>
      <c r="I4962" s="3">
        <f>Vendas[[#This Row],[Valor Unitário]]*Vendas[[#This Row],[Qnt Vendida]]</f>
        <v>3320</v>
      </c>
      <c r="J4962" s="3">
        <f>Vendas[[#This Row],[Valor da Venda]]-(_xlfn.XLOOKUP(Vendas[[#This Row],[ID Item Vendido]],Agregado[ID],Agregado[Custo])*Vendas[[#This Row],[Qnt Vendida]])</f>
        <v>600</v>
      </c>
      <c r="K4962" s="70">
        <f>Vendas[[#This Row],[Lucro da Venda]]/Vendas[[#This Row],[Valor da Venda]]</f>
        <v>0.18072289156626506</v>
      </c>
      <c r="L4962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962"/>
    </row>
    <row r="4963" spans="1:13" x14ac:dyDescent="0.3">
      <c r="A4963" s="7">
        <v>400253</v>
      </c>
      <c r="B4963" t="str">
        <f>_xlfn.XLOOKUP(Vendas[[#This Row],[ID Vendedor]],Vendedores[ID],Vendedores[Nome])</f>
        <v>Gustavo</v>
      </c>
      <c r="C4963" s="7" t="str">
        <f>_xlfn.XLOOKUP(Vendas[[#This Row],[ID Vendedor]],Vendedores[ID],Vendedores[Setor])</f>
        <v>SC</v>
      </c>
      <c r="D4963" s="7" t="s">
        <v>14</v>
      </c>
      <c r="E4963" t="str">
        <f>_xlfn.XLOOKUP(Vendas[[#This Row],[ID Item Vendido]],Agregado[ID],Agregado[Produto])</f>
        <v>Barril de plástico 200L</v>
      </c>
      <c r="F4963" s="39">
        <v>45925</v>
      </c>
      <c r="G4963" s="7">
        <v>6</v>
      </c>
      <c r="H4963" s="3">
        <f>_xlfn.XLOOKUP(Vendas[[#This Row],[ID Item Vendido]],Agregado[ID],Agregado[Revenda])</f>
        <v>114</v>
      </c>
      <c r="I4963" s="3">
        <f>Vendas[[#This Row],[Valor Unitário]]*Vendas[[#This Row],[Qnt Vendida]]</f>
        <v>684</v>
      </c>
      <c r="J4963" s="3">
        <f>Vendas[[#This Row],[Valor da Venda]]-(_xlfn.XLOOKUP(Vendas[[#This Row],[ID Item Vendido]],Agregado[ID],Agregado[Custo])*Vendas[[#This Row],[Qnt Vendida]])</f>
        <v>114</v>
      </c>
      <c r="K4963" s="70">
        <f>Vendas[[#This Row],[Lucro da Venda]]/Vendas[[#This Row],[Valor da Venda]]</f>
        <v>0.16666666666666666</v>
      </c>
      <c r="L4963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4963"/>
    </row>
    <row r="4964" spans="1:13" x14ac:dyDescent="0.3">
      <c r="A4964" s="7">
        <v>400245</v>
      </c>
      <c r="B4964" t="str">
        <f>_xlfn.XLOOKUP(Vendas[[#This Row],[ID Vendedor]],Vendedores[ID],Vendedores[Nome])</f>
        <v>Thiago</v>
      </c>
      <c r="C4964" s="7" t="str">
        <f>_xlfn.XLOOKUP(Vendas[[#This Row],[ID Vendedor]],Vendedores[ID],Vendedores[Setor])</f>
        <v>AHD</v>
      </c>
      <c r="D4964" s="7" t="s">
        <v>44</v>
      </c>
      <c r="E4964" t="str">
        <f>_xlfn.XLOOKUP(Vendas[[#This Row],[ID Item Vendido]],Agregado[ID],Agregado[Produto])</f>
        <v>Liga metálica especial</v>
      </c>
      <c r="F4964" s="39">
        <v>45926</v>
      </c>
      <c r="G4964" s="7">
        <v>36</v>
      </c>
      <c r="H4964" s="3">
        <f>_xlfn.XLOOKUP(Vendas[[#This Row],[ID Item Vendido]],Agregado[ID],Agregado[Revenda])</f>
        <v>32.5</v>
      </c>
      <c r="I4964" s="3">
        <f>Vendas[[#This Row],[Valor Unitário]]*Vendas[[#This Row],[Qnt Vendida]]</f>
        <v>1170</v>
      </c>
      <c r="J4964" s="3">
        <f>Vendas[[#This Row],[Valor da Venda]]-(_xlfn.XLOOKUP(Vendas[[#This Row],[ID Item Vendido]],Agregado[ID],Agregado[Custo])*Vendas[[#This Row],[Qnt Vendida]])</f>
        <v>270</v>
      </c>
      <c r="K4964" s="70">
        <f>Vendas[[#This Row],[Lucro da Venda]]/Vendas[[#This Row],[Valor da Venda]]</f>
        <v>0.23076923076923078</v>
      </c>
      <c r="L4964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4964"/>
    </row>
    <row r="4965" spans="1:13" x14ac:dyDescent="0.3">
      <c r="A4965" s="7">
        <v>400241</v>
      </c>
      <c r="B4965" t="str">
        <f>_xlfn.XLOOKUP(Vendas[[#This Row],[ID Vendedor]],Vendedores[ID],Vendedores[Nome])</f>
        <v>Rodrigo</v>
      </c>
      <c r="C4965" s="7" t="str">
        <f>_xlfn.XLOOKUP(Vendas[[#This Row],[ID Vendedor]],Vendedores[ID],Vendedores[Setor])</f>
        <v>FM</v>
      </c>
      <c r="D4965" s="7" t="s">
        <v>20</v>
      </c>
      <c r="E4965" t="str">
        <f>_xlfn.XLOOKUP(Vendas[[#This Row],[ID Item Vendido]],Agregado[ID],Agregado[Produto])</f>
        <v>Barra de aço simples</v>
      </c>
      <c r="F4965" s="39">
        <v>45926</v>
      </c>
      <c r="G4965" s="7">
        <v>174</v>
      </c>
      <c r="H4965" s="3">
        <f>_xlfn.XLOOKUP(Vendas[[#This Row],[ID Item Vendido]],Agregado[ID],Agregado[Revenda])</f>
        <v>4.8</v>
      </c>
      <c r="I4965" s="3">
        <f>Vendas[[#This Row],[Valor Unitário]]*Vendas[[#This Row],[Qnt Vendida]]</f>
        <v>835.19999999999993</v>
      </c>
      <c r="J4965" s="3">
        <f>Vendas[[#This Row],[Valor da Venda]]-(_xlfn.XLOOKUP(Vendas[[#This Row],[ID Item Vendido]],Agregado[ID],Agregado[Custo])*Vendas[[#This Row],[Qnt Vendida]])</f>
        <v>104.39999999999986</v>
      </c>
      <c r="K4965" s="70">
        <f>Vendas[[#This Row],[Lucro da Venda]]/Vendas[[#This Row],[Valor da Venda]]</f>
        <v>0.12499999999999985</v>
      </c>
      <c r="L4965" s="3">
        <f>_xlfn.IFS(Vendas[[#This Row],[Margem de Lucro (%)]]&lt;15%,Vendas[[#This Row],[Valor da Venda]]*3%,Vendas[[#This Row],[Margem de Lucro (%)]]&lt;=20%,Vendas[[#This Row],[Valor da Venda]]*4.5%,TRUE,Vendas[[#This Row],[Valor da Venda]]*6%)</f>
        <v>25.055999999999997</v>
      </c>
      <c r="M4965"/>
    </row>
    <row r="4966" spans="1:13" x14ac:dyDescent="0.3">
      <c r="A4966" s="7">
        <v>400253</v>
      </c>
      <c r="B4966" t="str">
        <f>_xlfn.XLOOKUP(Vendas[[#This Row],[ID Vendedor]],Vendedores[ID],Vendedores[Nome])</f>
        <v>Gustavo</v>
      </c>
      <c r="C4966" s="7" t="str">
        <f>_xlfn.XLOOKUP(Vendas[[#This Row],[ID Vendedor]],Vendedores[ID],Vendedores[Setor])</f>
        <v>SC</v>
      </c>
      <c r="D4966" s="7" t="s">
        <v>14</v>
      </c>
      <c r="E4966" t="str">
        <f>_xlfn.XLOOKUP(Vendas[[#This Row],[ID Item Vendido]],Agregado[ID],Agregado[Produto])</f>
        <v>Barril de plástico 200L</v>
      </c>
      <c r="F4966" s="39">
        <v>45926</v>
      </c>
      <c r="G4966" s="7">
        <v>7</v>
      </c>
      <c r="H4966" s="3">
        <f>_xlfn.XLOOKUP(Vendas[[#This Row],[ID Item Vendido]],Agregado[ID],Agregado[Revenda])</f>
        <v>114</v>
      </c>
      <c r="I4966" s="3">
        <f>Vendas[[#This Row],[Valor Unitário]]*Vendas[[#This Row],[Qnt Vendida]]</f>
        <v>798</v>
      </c>
      <c r="J4966" s="3">
        <f>Vendas[[#This Row],[Valor da Venda]]-(_xlfn.XLOOKUP(Vendas[[#This Row],[ID Item Vendido]],Agregado[ID],Agregado[Custo])*Vendas[[#This Row],[Qnt Vendida]])</f>
        <v>133</v>
      </c>
      <c r="K4966" s="70">
        <f>Vendas[[#This Row],[Lucro da Venda]]/Vendas[[#This Row],[Valor da Venda]]</f>
        <v>0.16666666666666666</v>
      </c>
      <c r="L4966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4966"/>
    </row>
    <row r="4967" spans="1:13" x14ac:dyDescent="0.3">
      <c r="A4967" s="7">
        <v>400248</v>
      </c>
      <c r="B4967" t="str">
        <f>_xlfn.XLOOKUP(Vendas[[#This Row],[ID Vendedor]],Vendedores[ID],Vendedores[Nome])</f>
        <v>Patrícia</v>
      </c>
      <c r="C4967" s="7" t="str">
        <f>_xlfn.XLOOKUP(Vendas[[#This Row],[ID Vendedor]],Vendedores[ID],Vendedores[Setor])</f>
        <v>CM</v>
      </c>
      <c r="D4967" s="7" t="s">
        <v>22</v>
      </c>
      <c r="E4967" t="str">
        <f>_xlfn.XLOOKUP(Vendas[[#This Row],[ID Item Vendido]],Agregado[ID],Agregado[Produto])</f>
        <v>Painel MDP 2,75x1,83m</v>
      </c>
      <c r="F4967" s="39">
        <v>45926</v>
      </c>
      <c r="G4967" s="7">
        <v>4</v>
      </c>
      <c r="H4967" s="3">
        <f>_xlfn.XLOOKUP(Vendas[[#This Row],[ID Item Vendido]],Agregado[ID],Agregado[Revenda])</f>
        <v>119</v>
      </c>
      <c r="I4967" s="3">
        <f>Vendas[[#This Row],[Valor Unitário]]*Vendas[[#This Row],[Qnt Vendida]]</f>
        <v>476</v>
      </c>
      <c r="J4967" s="3">
        <f>Vendas[[#This Row],[Valor da Venda]]-(_xlfn.XLOOKUP(Vendas[[#This Row],[ID Item Vendido]],Agregado[ID],Agregado[Custo])*Vendas[[#This Row],[Qnt Vendida]])</f>
        <v>96</v>
      </c>
      <c r="K4967" s="70">
        <f>Vendas[[#This Row],[Lucro da Venda]]/Vendas[[#This Row],[Valor da Venda]]</f>
        <v>0.20168067226890757</v>
      </c>
      <c r="L4967" s="3">
        <f>_xlfn.IFS(Vendas[[#This Row],[Margem de Lucro (%)]]&lt;15%,Vendas[[#This Row],[Valor da Venda]]*3%,Vendas[[#This Row],[Margem de Lucro (%)]]&lt;=20%,Vendas[[#This Row],[Valor da Venda]]*4.5%,TRUE,Vendas[[#This Row],[Valor da Venda]]*6%)</f>
        <v>28.56</v>
      </c>
      <c r="M4967"/>
    </row>
    <row r="4968" spans="1:13" x14ac:dyDescent="0.3">
      <c r="A4968" s="7">
        <v>400249</v>
      </c>
      <c r="B4968" t="str">
        <f>_xlfn.XLOOKUP(Vendas[[#This Row],[ID Vendedor]],Vendedores[ID],Vendedores[Nome])</f>
        <v>Bruno</v>
      </c>
      <c r="C4968" s="7" t="str">
        <f>_xlfn.XLOOKUP(Vendas[[#This Row],[ID Vendedor]],Vendedores[ID],Vendedores[Setor])</f>
        <v>CM</v>
      </c>
      <c r="D4968" s="7" t="s">
        <v>34</v>
      </c>
      <c r="E4968" t="str">
        <f>_xlfn.XLOOKUP(Vendas[[#This Row],[ID Item Vendido]],Agregado[ID],Agregado[Produto])</f>
        <v>Restos de madeira p/ MDP/OSB saco de 20kg</v>
      </c>
      <c r="F4968" s="39">
        <v>45926</v>
      </c>
      <c r="G4968" s="7">
        <v>21</v>
      </c>
      <c r="H4968" s="3">
        <f>_xlfn.XLOOKUP(Vendas[[#This Row],[ID Item Vendido]],Agregado[ID],Agregado[Revenda])</f>
        <v>13.8</v>
      </c>
      <c r="I4968" s="3">
        <f>Vendas[[#This Row],[Valor Unitário]]*Vendas[[#This Row],[Qnt Vendida]]</f>
        <v>289.8</v>
      </c>
      <c r="J4968" s="3">
        <f>Vendas[[#This Row],[Valor da Venda]]-(_xlfn.XLOOKUP(Vendas[[#This Row],[ID Item Vendido]],Agregado[ID],Agregado[Custo])*Vendas[[#This Row],[Qnt Vendida]])</f>
        <v>37.800000000000011</v>
      </c>
      <c r="K4968" s="70">
        <f>Vendas[[#This Row],[Lucro da Venda]]/Vendas[[#This Row],[Valor da Venda]]</f>
        <v>0.13043478260869568</v>
      </c>
      <c r="L4968" s="3">
        <f>_xlfn.IFS(Vendas[[#This Row],[Margem de Lucro (%)]]&lt;15%,Vendas[[#This Row],[Valor da Venda]]*3%,Vendas[[#This Row],[Margem de Lucro (%)]]&lt;=20%,Vendas[[#This Row],[Valor da Venda]]*4.5%,TRUE,Vendas[[#This Row],[Valor da Venda]]*6%)</f>
        <v>8.6940000000000008</v>
      </c>
      <c r="M4968"/>
    </row>
    <row r="4969" spans="1:13" x14ac:dyDescent="0.3">
      <c r="A4969" s="7">
        <v>400248</v>
      </c>
      <c r="B4969" t="str">
        <f>_xlfn.XLOOKUP(Vendas[[#This Row],[ID Vendedor]],Vendedores[ID],Vendedores[Nome])</f>
        <v>Patrícia</v>
      </c>
      <c r="C4969" s="7" t="str">
        <f>_xlfn.XLOOKUP(Vendas[[#This Row],[ID Vendedor]],Vendedores[ID],Vendedores[Setor])</f>
        <v>CM</v>
      </c>
      <c r="D4969" s="7" t="s">
        <v>34</v>
      </c>
      <c r="E4969" t="str">
        <f>_xlfn.XLOOKUP(Vendas[[#This Row],[ID Item Vendido]],Agregado[ID],Agregado[Produto])</f>
        <v>Restos de madeira p/ MDP/OSB saco de 20kg</v>
      </c>
      <c r="F4969" s="39">
        <v>45926</v>
      </c>
      <c r="G4969" s="7">
        <v>18</v>
      </c>
      <c r="H4969" s="3">
        <f>_xlfn.XLOOKUP(Vendas[[#This Row],[ID Item Vendido]],Agregado[ID],Agregado[Revenda])</f>
        <v>13.8</v>
      </c>
      <c r="I4969" s="3">
        <f>Vendas[[#This Row],[Valor Unitário]]*Vendas[[#This Row],[Qnt Vendida]]</f>
        <v>248.4</v>
      </c>
      <c r="J4969" s="3">
        <f>Vendas[[#This Row],[Valor da Venda]]-(_xlfn.XLOOKUP(Vendas[[#This Row],[ID Item Vendido]],Agregado[ID],Agregado[Custo])*Vendas[[#This Row],[Qnt Vendida]])</f>
        <v>32.400000000000006</v>
      </c>
      <c r="K4969" s="70">
        <f>Vendas[[#This Row],[Lucro da Venda]]/Vendas[[#This Row],[Valor da Venda]]</f>
        <v>0.13043478260869568</v>
      </c>
      <c r="L4969" s="3">
        <f>_xlfn.IFS(Vendas[[#This Row],[Margem de Lucro (%)]]&lt;15%,Vendas[[#This Row],[Valor da Venda]]*3%,Vendas[[#This Row],[Margem de Lucro (%)]]&lt;=20%,Vendas[[#This Row],[Valor da Venda]]*4.5%,TRUE,Vendas[[#This Row],[Valor da Venda]]*6%)</f>
        <v>7.452</v>
      </c>
      <c r="M4969"/>
    </row>
    <row r="4970" spans="1:13" x14ac:dyDescent="0.3">
      <c r="A4970" s="7">
        <v>400247</v>
      </c>
      <c r="B4970" t="str">
        <f>_xlfn.XLOOKUP(Vendas[[#This Row],[ID Vendedor]],Vendedores[ID],Vendedores[Nome])</f>
        <v>André</v>
      </c>
      <c r="C4970" s="7" t="str">
        <f>_xlfn.XLOOKUP(Vendas[[#This Row],[ID Vendedor]],Vendedores[ID],Vendedores[Setor])</f>
        <v>CM</v>
      </c>
      <c r="D4970" s="7" t="s">
        <v>32</v>
      </c>
      <c r="E4970" t="str">
        <f>_xlfn.XLOOKUP(Vendas[[#This Row],[ID Item Vendido]],Agregado[ID],Agregado[Produto])</f>
        <v>Tábua tratada e cortada 3m</v>
      </c>
      <c r="F4970" s="39">
        <v>45927</v>
      </c>
      <c r="G4970" s="7">
        <v>35</v>
      </c>
      <c r="H4970" s="3">
        <f>_xlfn.XLOOKUP(Vendas[[#This Row],[ID Item Vendido]],Agregado[ID],Agregado[Revenda])</f>
        <v>39</v>
      </c>
      <c r="I4970" s="3">
        <f>Vendas[[#This Row],[Valor Unitário]]*Vendas[[#This Row],[Qnt Vendida]]</f>
        <v>1365</v>
      </c>
      <c r="J4970" s="3">
        <f>Vendas[[#This Row],[Valor da Venda]]-(_xlfn.XLOOKUP(Vendas[[#This Row],[ID Item Vendido]],Agregado[ID],Agregado[Custo])*Vendas[[#This Row],[Qnt Vendida]])</f>
        <v>245</v>
      </c>
      <c r="K4970" s="70">
        <f>Vendas[[#This Row],[Lucro da Venda]]/Vendas[[#This Row],[Valor da Venda]]</f>
        <v>0.17948717948717949</v>
      </c>
      <c r="L4970" s="3">
        <f>_xlfn.IFS(Vendas[[#This Row],[Margem de Lucro (%)]]&lt;15%,Vendas[[#This Row],[Valor da Venda]]*3%,Vendas[[#This Row],[Margem de Lucro (%)]]&lt;=20%,Vendas[[#This Row],[Valor da Venda]]*4.5%,TRUE,Vendas[[#This Row],[Valor da Venda]]*6%)</f>
        <v>61.424999999999997</v>
      </c>
      <c r="M4970"/>
    </row>
    <row r="4971" spans="1:13" x14ac:dyDescent="0.3">
      <c r="A4971" s="7">
        <v>400244</v>
      </c>
      <c r="B4971" t="str">
        <f>_xlfn.XLOOKUP(Vendas[[#This Row],[ID Vendedor]],Vendedores[ID],Vendedores[Nome])</f>
        <v>Camila</v>
      </c>
      <c r="C4971" s="7" t="str">
        <f>_xlfn.XLOOKUP(Vendas[[#This Row],[ID Vendedor]],Vendedores[ID],Vendedores[Setor])</f>
        <v>AHD</v>
      </c>
      <c r="D4971" s="7" t="s">
        <v>9</v>
      </c>
      <c r="E4971" t="str">
        <f>_xlfn.XLOOKUP(Vendas[[#This Row],[ID Item Vendido]],Agregado[ID],Agregado[Produto])</f>
        <v>Barra de aço simples</v>
      </c>
      <c r="F4971" s="39">
        <v>45927</v>
      </c>
      <c r="G4971" s="7">
        <v>140</v>
      </c>
      <c r="H4971" s="3">
        <f>_xlfn.XLOOKUP(Vendas[[#This Row],[ID Item Vendido]],Agregado[ID],Agregado[Revenda])</f>
        <v>6.7</v>
      </c>
      <c r="I4971" s="3">
        <f>Vendas[[#This Row],[Valor Unitário]]*Vendas[[#This Row],[Qnt Vendida]]</f>
        <v>938</v>
      </c>
      <c r="J4971" s="3">
        <f>Vendas[[#This Row],[Valor da Venda]]-(_xlfn.XLOOKUP(Vendas[[#This Row],[ID Item Vendido]],Agregado[ID],Agregado[Custo])*Vendas[[#This Row],[Qnt Vendida]])</f>
        <v>126</v>
      </c>
      <c r="K4971" s="70">
        <f>Vendas[[#This Row],[Lucro da Venda]]/Vendas[[#This Row],[Valor da Venda]]</f>
        <v>0.13432835820895522</v>
      </c>
      <c r="L4971" s="3">
        <f>_xlfn.IFS(Vendas[[#This Row],[Margem de Lucro (%)]]&lt;15%,Vendas[[#This Row],[Valor da Venda]]*3%,Vendas[[#This Row],[Margem de Lucro (%)]]&lt;=20%,Vendas[[#This Row],[Valor da Venda]]*4.5%,TRUE,Vendas[[#This Row],[Valor da Venda]]*6%)</f>
        <v>28.14</v>
      </c>
      <c r="M4971"/>
    </row>
    <row r="4972" spans="1:13" x14ac:dyDescent="0.3">
      <c r="A4972" s="7">
        <v>400248</v>
      </c>
      <c r="B4972" t="str">
        <f>_xlfn.XLOOKUP(Vendas[[#This Row],[ID Vendedor]],Vendedores[ID],Vendedores[Nome])</f>
        <v>Patrícia</v>
      </c>
      <c r="C4972" s="7" t="str">
        <f>_xlfn.XLOOKUP(Vendas[[#This Row],[ID Vendedor]],Vendedores[ID],Vendedores[Setor])</f>
        <v>CM</v>
      </c>
      <c r="D4972" s="7" t="s">
        <v>45</v>
      </c>
      <c r="E4972" t="str">
        <f>_xlfn.XLOOKUP(Vendas[[#This Row],[ID Item Vendido]],Agregado[ID],Agregado[Produto])</f>
        <v>Viga de madeira tratada 4m</v>
      </c>
      <c r="F4972" s="39">
        <v>45927</v>
      </c>
      <c r="G4972" s="7">
        <v>11</v>
      </c>
      <c r="H4972" s="3">
        <f>_xlfn.XLOOKUP(Vendas[[#This Row],[ID Item Vendido]],Agregado[ID],Agregado[Revenda])</f>
        <v>66</v>
      </c>
      <c r="I4972" s="3">
        <f>Vendas[[#This Row],[Valor Unitário]]*Vendas[[#This Row],[Qnt Vendida]]</f>
        <v>726</v>
      </c>
      <c r="J4972" s="3">
        <f>Vendas[[#This Row],[Valor da Venda]]-(_xlfn.XLOOKUP(Vendas[[#This Row],[ID Item Vendido]],Agregado[ID],Agregado[Custo])*Vendas[[#This Row],[Qnt Vendida]])</f>
        <v>121</v>
      </c>
      <c r="K4972" s="70">
        <f>Vendas[[#This Row],[Lucro da Venda]]/Vendas[[#This Row],[Valor da Venda]]</f>
        <v>0.16666666666666666</v>
      </c>
      <c r="L4972" s="3">
        <f>_xlfn.IFS(Vendas[[#This Row],[Margem de Lucro (%)]]&lt;15%,Vendas[[#This Row],[Valor da Venda]]*3%,Vendas[[#This Row],[Margem de Lucro (%)]]&lt;=20%,Vendas[[#This Row],[Valor da Venda]]*4.5%,TRUE,Vendas[[#This Row],[Valor da Venda]]*6%)</f>
        <v>32.67</v>
      </c>
      <c r="M4972"/>
    </row>
    <row r="4973" spans="1:13" x14ac:dyDescent="0.3">
      <c r="A4973" s="7">
        <v>400250</v>
      </c>
      <c r="B4973" t="str">
        <f>_xlfn.XLOOKUP(Vendas[[#This Row],[ID Vendedor]],Vendedores[ID],Vendedores[Nome])</f>
        <v>Larissa</v>
      </c>
      <c r="C4973" s="7" t="str">
        <f>_xlfn.XLOOKUP(Vendas[[#This Row],[ID Vendedor]],Vendedores[ID],Vendedores[Setor])</f>
        <v>AB</v>
      </c>
      <c r="D4973" s="7" t="s">
        <v>36</v>
      </c>
      <c r="E4973" t="str">
        <f>_xlfn.XLOOKUP(Vendas[[#This Row],[ID Item Vendido]],Agregado[ID],Agregado[Produto])</f>
        <v>Borracha vulcanizada em manta</v>
      </c>
      <c r="F4973" s="39">
        <v>45927</v>
      </c>
      <c r="G4973" s="7">
        <v>57</v>
      </c>
      <c r="H4973" s="3">
        <f>_xlfn.XLOOKUP(Vendas[[#This Row],[ID Item Vendido]],Agregado[ID],Agregado[Revenda])</f>
        <v>7.8</v>
      </c>
      <c r="I4973" s="3">
        <f>Vendas[[#This Row],[Valor Unitário]]*Vendas[[#This Row],[Qnt Vendida]]</f>
        <v>444.59999999999997</v>
      </c>
      <c r="J4973" s="3">
        <f>Vendas[[#This Row],[Valor da Venda]]-(_xlfn.XLOOKUP(Vendas[[#This Row],[ID Item Vendido]],Agregado[ID],Agregado[Custo])*Vendas[[#This Row],[Qnt Vendida]])</f>
        <v>102.59999999999997</v>
      </c>
      <c r="K4973" s="70">
        <f>Vendas[[#This Row],[Lucro da Venda]]/Vendas[[#This Row],[Valor da Venda]]</f>
        <v>0.2307692307692307</v>
      </c>
      <c r="L4973" s="3">
        <f>_xlfn.IFS(Vendas[[#This Row],[Margem de Lucro (%)]]&lt;15%,Vendas[[#This Row],[Valor da Venda]]*3%,Vendas[[#This Row],[Margem de Lucro (%)]]&lt;=20%,Vendas[[#This Row],[Valor da Venda]]*4.5%,TRUE,Vendas[[#This Row],[Valor da Venda]]*6%)</f>
        <v>26.675999999999998</v>
      </c>
      <c r="M4973"/>
    </row>
    <row r="4974" spans="1:13" x14ac:dyDescent="0.3">
      <c r="A4974" s="7">
        <v>400241</v>
      </c>
      <c r="B4974" t="str">
        <f>_xlfn.XLOOKUP(Vendas[[#This Row],[ID Vendedor]],Vendedores[ID],Vendedores[Nome])</f>
        <v>Rodrigo</v>
      </c>
      <c r="C4974" s="7" t="str">
        <f>_xlfn.XLOOKUP(Vendas[[#This Row],[ID Vendedor]],Vendedores[ID],Vendedores[Setor])</f>
        <v>FM</v>
      </c>
      <c r="D4974" s="7" t="s">
        <v>31</v>
      </c>
      <c r="E4974" t="str">
        <f>_xlfn.XLOOKUP(Vendas[[#This Row],[ID Item Vendido]],Agregado[ID],Agregado[Produto])</f>
        <v>Tela de metal soldada rolo 2x25m</v>
      </c>
      <c r="F4974" s="39">
        <v>45928</v>
      </c>
      <c r="G4974" s="7">
        <v>14</v>
      </c>
      <c r="H4974" s="3">
        <f>_xlfn.XLOOKUP(Vendas[[#This Row],[ID Item Vendido]],Agregado[ID],Agregado[Revenda])</f>
        <v>43.7</v>
      </c>
      <c r="I4974" s="3">
        <f>Vendas[[#This Row],[Valor Unitário]]*Vendas[[#This Row],[Qnt Vendida]]</f>
        <v>611.80000000000007</v>
      </c>
      <c r="J4974" s="3">
        <f>Vendas[[#This Row],[Valor da Venda]]-(_xlfn.XLOOKUP(Vendas[[#This Row],[ID Item Vendido]],Agregado[ID],Agregado[Custo])*Vendas[[#This Row],[Qnt Vendida]])</f>
        <v>79.800000000000068</v>
      </c>
      <c r="K4974" s="70">
        <f>Vendas[[#This Row],[Lucro da Venda]]/Vendas[[#This Row],[Valor da Venda]]</f>
        <v>0.13043478260869576</v>
      </c>
      <c r="L4974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4974"/>
    </row>
    <row r="4975" spans="1:13" x14ac:dyDescent="0.3">
      <c r="A4975" s="7">
        <v>400249</v>
      </c>
      <c r="B4975" t="str">
        <f>_xlfn.XLOOKUP(Vendas[[#This Row],[ID Vendedor]],Vendedores[ID],Vendedores[Nome])</f>
        <v>Bruno</v>
      </c>
      <c r="C4975" s="7" t="str">
        <f>_xlfn.XLOOKUP(Vendas[[#This Row],[ID Vendedor]],Vendedores[ID],Vendedores[Setor])</f>
        <v>CM</v>
      </c>
      <c r="D4975" s="7" t="s">
        <v>34</v>
      </c>
      <c r="E4975" t="str">
        <f>_xlfn.XLOOKUP(Vendas[[#This Row],[ID Item Vendido]],Agregado[ID],Agregado[Produto])</f>
        <v>Restos de madeira p/ MDP/OSB saco de 20kg</v>
      </c>
      <c r="F4975" s="39">
        <v>45928</v>
      </c>
      <c r="G4975" s="7">
        <v>22</v>
      </c>
      <c r="H4975" s="3">
        <f>_xlfn.XLOOKUP(Vendas[[#This Row],[ID Item Vendido]],Agregado[ID],Agregado[Revenda])</f>
        <v>13.8</v>
      </c>
      <c r="I4975" s="3">
        <f>Vendas[[#This Row],[Valor Unitário]]*Vendas[[#This Row],[Qnt Vendida]]</f>
        <v>303.60000000000002</v>
      </c>
      <c r="J4975" s="3">
        <f>Vendas[[#This Row],[Valor da Venda]]-(_xlfn.XLOOKUP(Vendas[[#This Row],[ID Item Vendido]],Agregado[ID],Agregado[Custo])*Vendas[[#This Row],[Qnt Vendida]])</f>
        <v>39.600000000000023</v>
      </c>
      <c r="K4975" s="70">
        <f>Vendas[[#This Row],[Lucro da Venda]]/Vendas[[#This Row],[Valor da Venda]]</f>
        <v>0.1304347826086957</v>
      </c>
      <c r="L4975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4975"/>
    </row>
    <row r="4976" spans="1:13" x14ac:dyDescent="0.3">
      <c r="A4976" s="7">
        <v>400248</v>
      </c>
      <c r="B4976" t="str">
        <f>_xlfn.XLOOKUP(Vendas[[#This Row],[ID Vendedor]],Vendedores[ID],Vendedores[Nome])</f>
        <v>Patrícia</v>
      </c>
      <c r="C4976" s="7" t="str">
        <f>_xlfn.XLOOKUP(Vendas[[#This Row],[ID Vendedor]],Vendedores[ID],Vendedores[Setor])</f>
        <v>CM</v>
      </c>
      <c r="D4976" s="7" t="s">
        <v>22</v>
      </c>
      <c r="E4976" t="str">
        <f>_xlfn.XLOOKUP(Vendas[[#This Row],[ID Item Vendido]],Agregado[ID],Agregado[Produto])</f>
        <v>Painel MDP 2,75x1,83m</v>
      </c>
      <c r="F4976" s="39">
        <v>45929</v>
      </c>
      <c r="G4976" s="7">
        <v>11</v>
      </c>
      <c r="H4976" s="3">
        <f>_xlfn.XLOOKUP(Vendas[[#This Row],[ID Item Vendido]],Agregado[ID],Agregado[Revenda])</f>
        <v>119</v>
      </c>
      <c r="I4976" s="3">
        <f>Vendas[[#This Row],[Valor Unitário]]*Vendas[[#This Row],[Qnt Vendida]]</f>
        <v>1309</v>
      </c>
      <c r="J4976" s="3">
        <f>Vendas[[#This Row],[Valor da Venda]]-(_xlfn.XLOOKUP(Vendas[[#This Row],[ID Item Vendido]],Agregado[ID],Agregado[Custo])*Vendas[[#This Row],[Qnt Vendida]])</f>
        <v>264</v>
      </c>
      <c r="K4976" s="70">
        <f>Vendas[[#This Row],[Lucro da Venda]]/Vendas[[#This Row],[Valor da Venda]]</f>
        <v>0.20168067226890757</v>
      </c>
      <c r="L4976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4976"/>
    </row>
    <row r="4977" spans="1:13" x14ac:dyDescent="0.3">
      <c r="A4977" s="7">
        <v>400252</v>
      </c>
      <c r="B4977" t="str">
        <f>_xlfn.XLOOKUP(Vendas[[#This Row],[ID Vendedor]],Vendedores[ID],Vendedores[Nome])</f>
        <v>Renata</v>
      </c>
      <c r="C4977" s="7" t="str">
        <f>_xlfn.XLOOKUP(Vendas[[#This Row],[ID Vendedor]],Vendedores[ID],Vendedores[Setor])</f>
        <v>AB</v>
      </c>
      <c r="D4977" s="7" t="s">
        <v>37</v>
      </c>
      <c r="E4977" t="str">
        <f>_xlfn.XLOOKUP(Vendas[[#This Row],[ID Item Vendido]],Agregado[ID],Agregado[Produto])</f>
        <v>Composto de borracha para vedação rolo 10m</v>
      </c>
      <c r="F4977" s="39">
        <v>45929</v>
      </c>
      <c r="G4977" s="7">
        <v>24</v>
      </c>
      <c r="H4977" s="3">
        <f>_xlfn.XLOOKUP(Vendas[[#This Row],[ID Item Vendido]],Agregado[ID],Agregado[Revenda])</f>
        <v>51.2</v>
      </c>
      <c r="I4977" s="3">
        <f>Vendas[[#This Row],[Valor Unitário]]*Vendas[[#This Row],[Qnt Vendida]]</f>
        <v>1228.8000000000002</v>
      </c>
      <c r="J4977" s="3">
        <f>Vendas[[#This Row],[Valor da Venda]]-(_xlfn.XLOOKUP(Vendas[[#This Row],[ID Item Vendido]],Agregado[ID],Agregado[Custo])*Vendas[[#This Row],[Qnt Vendida]])</f>
        <v>268.80000000000018</v>
      </c>
      <c r="K4977" s="70">
        <f>Vendas[[#This Row],[Lucro da Venda]]/Vendas[[#This Row],[Valor da Venda]]</f>
        <v>0.21875000000000011</v>
      </c>
      <c r="L4977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4977"/>
    </row>
    <row r="4978" spans="1:13" x14ac:dyDescent="0.3">
      <c r="A4978" s="7">
        <v>400249</v>
      </c>
      <c r="B4978" t="str">
        <f>_xlfn.XLOOKUP(Vendas[[#This Row],[ID Vendedor]],Vendedores[ID],Vendedores[Nome])</f>
        <v>Bruno</v>
      </c>
      <c r="C4978" s="7" t="str">
        <f>_xlfn.XLOOKUP(Vendas[[#This Row],[ID Vendedor]],Vendedores[ID],Vendedores[Setor])</f>
        <v>CM</v>
      </c>
      <c r="D4978" s="7" t="s">
        <v>45</v>
      </c>
      <c r="E4978" t="str">
        <f>_xlfn.XLOOKUP(Vendas[[#This Row],[ID Item Vendido]],Agregado[ID],Agregado[Produto])</f>
        <v>Viga de madeira tratada 4m</v>
      </c>
      <c r="F4978" s="39">
        <v>45929</v>
      </c>
      <c r="G4978" s="7">
        <v>14</v>
      </c>
      <c r="H4978" s="3">
        <f>_xlfn.XLOOKUP(Vendas[[#This Row],[ID Item Vendido]],Agregado[ID],Agregado[Revenda])</f>
        <v>66</v>
      </c>
      <c r="I4978" s="3">
        <f>Vendas[[#This Row],[Valor Unitário]]*Vendas[[#This Row],[Qnt Vendida]]</f>
        <v>924</v>
      </c>
      <c r="J4978" s="3">
        <f>Vendas[[#This Row],[Valor da Venda]]-(_xlfn.XLOOKUP(Vendas[[#This Row],[ID Item Vendido]],Agregado[ID],Agregado[Custo])*Vendas[[#This Row],[Qnt Vendida]])</f>
        <v>154</v>
      </c>
      <c r="K4978" s="70">
        <f>Vendas[[#This Row],[Lucro da Venda]]/Vendas[[#This Row],[Valor da Venda]]</f>
        <v>0.16666666666666666</v>
      </c>
      <c r="L4978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4978"/>
    </row>
    <row r="4979" spans="1:13" x14ac:dyDescent="0.3">
      <c r="A4979" s="7">
        <v>400242</v>
      </c>
      <c r="B4979" t="str">
        <f>_xlfn.XLOOKUP(Vendas[[#This Row],[ID Vendedor]],Vendedores[ID],Vendedores[Nome])</f>
        <v>Fernanda</v>
      </c>
      <c r="C4979" s="7" t="str">
        <f>_xlfn.XLOOKUP(Vendas[[#This Row],[ID Vendedor]],Vendedores[ID],Vendedores[Setor])</f>
        <v>FM</v>
      </c>
      <c r="D4979" s="7" t="s">
        <v>20</v>
      </c>
      <c r="E4979" t="str">
        <f>_xlfn.XLOOKUP(Vendas[[#This Row],[ID Item Vendido]],Agregado[ID],Agregado[Produto])</f>
        <v>Barra de aço simples</v>
      </c>
      <c r="F4979" s="39">
        <v>45929</v>
      </c>
      <c r="G4979" s="7">
        <v>138</v>
      </c>
      <c r="H4979" s="3">
        <f>_xlfn.XLOOKUP(Vendas[[#This Row],[ID Item Vendido]],Agregado[ID],Agregado[Revenda])</f>
        <v>4.8</v>
      </c>
      <c r="I4979" s="3">
        <f>Vendas[[#This Row],[Valor Unitário]]*Vendas[[#This Row],[Qnt Vendida]]</f>
        <v>662.4</v>
      </c>
      <c r="J4979" s="3">
        <f>Vendas[[#This Row],[Valor da Venda]]-(_xlfn.XLOOKUP(Vendas[[#This Row],[ID Item Vendido]],Agregado[ID],Agregado[Custo])*Vendas[[#This Row],[Qnt Vendida]])</f>
        <v>82.799999999999955</v>
      </c>
      <c r="K4979" s="70">
        <f>Vendas[[#This Row],[Lucro da Venda]]/Vendas[[#This Row],[Valor da Venda]]</f>
        <v>0.12499999999999993</v>
      </c>
      <c r="L4979" s="3">
        <f>_xlfn.IFS(Vendas[[#This Row],[Margem de Lucro (%)]]&lt;15%,Vendas[[#This Row],[Valor da Venda]]*3%,Vendas[[#This Row],[Margem de Lucro (%)]]&lt;=20%,Vendas[[#This Row],[Valor da Venda]]*4.5%,TRUE,Vendas[[#This Row],[Valor da Venda]]*6%)</f>
        <v>19.872</v>
      </c>
      <c r="M4979"/>
    </row>
    <row r="4980" spans="1:13" x14ac:dyDescent="0.3">
      <c r="A4980" s="7">
        <v>400242</v>
      </c>
      <c r="B4980" t="str">
        <f>_xlfn.XLOOKUP(Vendas[[#This Row],[ID Vendedor]],Vendedores[ID],Vendedores[Nome])</f>
        <v>Fernanda</v>
      </c>
      <c r="C4980" s="7" t="str">
        <f>_xlfn.XLOOKUP(Vendas[[#This Row],[ID Vendedor]],Vendedores[ID],Vendedores[Setor])</f>
        <v>FM</v>
      </c>
      <c r="D4980" s="7" t="s">
        <v>47</v>
      </c>
      <c r="E4980" t="str">
        <f>_xlfn.XLOOKUP(Vendas[[#This Row],[ID Item Vendido]],Agregado[ID],Agregado[Produto])</f>
        <v>Fio de arame galvanizado rolo 50m</v>
      </c>
      <c r="F4980" s="39">
        <v>45929</v>
      </c>
      <c r="G4980" s="7">
        <v>9</v>
      </c>
      <c r="H4980" s="3">
        <f>_xlfn.XLOOKUP(Vendas[[#This Row],[ID Item Vendido]],Agregado[ID],Agregado[Revenda])</f>
        <v>21.2</v>
      </c>
      <c r="I4980" s="3">
        <f>Vendas[[#This Row],[Valor Unitário]]*Vendas[[#This Row],[Qnt Vendida]]</f>
        <v>190.79999999999998</v>
      </c>
      <c r="J4980" s="3">
        <f>Vendas[[#This Row],[Valor da Venda]]-(_xlfn.XLOOKUP(Vendas[[#This Row],[ID Item Vendido]],Agregado[ID],Agregado[Custo])*Vendas[[#This Row],[Qnt Vendida]])</f>
        <v>28.799999999999983</v>
      </c>
      <c r="K4980" s="70">
        <f>Vendas[[#This Row],[Lucro da Venda]]/Vendas[[#This Row],[Valor da Venda]]</f>
        <v>0.15094339622641501</v>
      </c>
      <c r="L4980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4980"/>
    </row>
    <row r="4981" spans="1:13" x14ac:dyDescent="0.3">
      <c r="A4981" s="7">
        <v>400244</v>
      </c>
      <c r="B4981" t="str">
        <f>_xlfn.XLOOKUP(Vendas[[#This Row],[ID Vendedor]],Vendedores[ID],Vendedores[Nome])</f>
        <v>Camila</v>
      </c>
      <c r="C4981" s="7" t="str">
        <f>_xlfn.XLOOKUP(Vendas[[#This Row],[ID Vendedor]],Vendedores[ID],Vendedores[Setor])</f>
        <v>AHD</v>
      </c>
      <c r="D4981" s="7" t="s">
        <v>30</v>
      </c>
      <c r="E4981" t="str">
        <f>_xlfn.XLOOKUP(Vendas[[#This Row],[ID Item Vendido]],Agregado[ID],Agregado[Produto])</f>
        <v>Estrutura metálica soldada</v>
      </c>
      <c r="F4981" s="39">
        <v>45930</v>
      </c>
      <c r="G4981" s="7">
        <v>4</v>
      </c>
      <c r="H4981" s="3">
        <f>_xlfn.XLOOKUP(Vendas[[#This Row],[ID Item Vendido]],Agregado[ID],Agregado[Revenda])</f>
        <v>400</v>
      </c>
      <c r="I4981" s="3">
        <f>Vendas[[#This Row],[Valor Unitário]]*Vendas[[#This Row],[Qnt Vendida]]</f>
        <v>1600</v>
      </c>
      <c r="J4981" s="3">
        <f>Vendas[[#This Row],[Valor da Venda]]-(_xlfn.XLOOKUP(Vendas[[#This Row],[ID Item Vendido]],Agregado[ID],Agregado[Custo])*Vendas[[#This Row],[Qnt Vendida]])</f>
        <v>320</v>
      </c>
      <c r="K4981" s="70">
        <f>Vendas[[#This Row],[Lucro da Venda]]/Vendas[[#This Row],[Valor da Venda]]</f>
        <v>0.2</v>
      </c>
      <c r="L4981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4981"/>
    </row>
    <row r="4982" spans="1:13" x14ac:dyDescent="0.3">
      <c r="A4982" s="7">
        <v>400254</v>
      </c>
      <c r="B4982" t="str">
        <f>_xlfn.XLOOKUP(Vendas[[#This Row],[ID Vendedor]],Vendedores[ID],Vendedores[Nome])</f>
        <v>Beatriz</v>
      </c>
      <c r="C4982" s="7" t="str">
        <f>_xlfn.XLOOKUP(Vendas[[#This Row],[ID Vendedor]],Vendedores[ID],Vendedores[Setor])</f>
        <v>SC</v>
      </c>
      <c r="D4982" s="7" t="s">
        <v>48</v>
      </c>
      <c r="E4982" t="str">
        <f>_xlfn.XLOOKUP(Vendas[[#This Row],[ID Item Vendido]],Agregado[ID],Agregado[Produto])</f>
        <v>Tambor metálico 200L</v>
      </c>
      <c r="F4982" s="39">
        <v>45930</v>
      </c>
      <c r="G4982" s="7">
        <v>8</v>
      </c>
      <c r="H4982" s="3">
        <f>_xlfn.XLOOKUP(Vendas[[#This Row],[ID Item Vendido]],Agregado[ID],Agregado[Revenda])</f>
        <v>144</v>
      </c>
      <c r="I4982" s="3">
        <f>Vendas[[#This Row],[Valor Unitário]]*Vendas[[#This Row],[Qnt Vendida]]</f>
        <v>1152</v>
      </c>
      <c r="J4982" s="3">
        <f>Vendas[[#This Row],[Valor da Venda]]-(_xlfn.XLOOKUP(Vendas[[#This Row],[ID Item Vendido]],Agregado[ID],Agregado[Custo])*Vendas[[#This Row],[Qnt Vendida]])</f>
        <v>192</v>
      </c>
      <c r="K4982" s="70">
        <f>Vendas[[#This Row],[Lucro da Venda]]/Vendas[[#This Row],[Valor da Venda]]</f>
        <v>0.16666666666666666</v>
      </c>
      <c r="L4982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4982"/>
    </row>
    <row r="4983" spans="1:13" x14ac:dyDescent="0.3">
      <c r="A4983" s="7">
        <v>400243</v>
      </c>
      <c r="B4983" t="str">
        <f>_xlfn.XLOOKUP(Vendas[[#This Row],[ID Vendedor]],Vendedores[ID],Vendedores[Nome])</f>
        <v>Marcelo</v>
      </c>
      <c r="C4983" s="7" t="str">
        <f>_xlfn.XLOOKUP(Vendas[[#This Row],[ID Vendedor]],Vendedores[ID],Vendedores[Setor])</f>
        <v>FM</v>
      </c>
      <c r="D4983" s="7" t="s">
        <v>31</v>
      </c>
      <c r="E4983" t="str">
        <f>_xlfn.XLOOKUP(Vendas[[#This Row],[ID Item Vendido]],Agregado[ID],Agregado[Produto])</f>
        <v>Tela de metal soldada rolo 2x25m</v>
      </c>
      <c r="F4983" s="39">
        <v>45930</v>
      </c>
      <c r="G4983" s="7">
        <v>6</v>
      </c>
      <c r="H4983" s="3">
        <f>_xlfn.XLOOKUP(Vendas[[#This Row],[ID Item Vendido]],Agregado[ID],Agregado[Revenda])</f>
        <v>43.7</v>
      </c>
      <c r="I4983" s="3">
        <f>Vendas[[#This Row],[Valor Unitário]]*Vendas[[#This Row],[Qnt Vendida]]</f>
        <v>262.20000000000005</v>
      </c>
      <c r="J4983" s="3">
        <f>Vendas[[#This Row],[Valor da Venda]]-(_xlfn.XLOOKUP(Vendas[[#This Row],[ID Item Vendido]],Agregado[ID],Agregado[Custo])*Vendas[[#This Row],[Qnt Vendida]])</f>
        <v>34.200000000000045</v>
      </c>
      <c r="K4983" s="70">
        <f>Vendas[[#This Row],[Lucro da Venda]]/Vendas[[#This Row],[Valor da Venda]]</f>
        <v>0.13043478260869582</v>
      </c>
      <c r="L4983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4983"/>
    </row>
    <row r="4984" spans="1:13" x14ac:dyDescent="0.3">
      <c r="A4984" s="7">
        <v>400246</v>
      </c>
      <c r="B4984" t="str">
        <f>_xlfn.XLOOKUP(Vendas[[#This Row],[ID Vendedor]],Vendedores[ID],Vendedores[Nome])</f>
        <v>Juliana</v>
      </c>
      <c r="C4984" s="7" t="str">
        <f>_xlfn.XLOOKUP(Vendas[[#This Row],[ID Vendedor]],Vendedores[ID],Vendedores[Setor])</f>
        <v>AHD</v>
      </c>
      <c r="D4984" s="7" t="s">
        <v>28</v>
      </c>
      <c r="E4984" t="str">
        <f>_xlfn.XLOOKUP(Vendas[[#This Row],[ID Item Vendido]],Agregado[ID],Agregado[Produto])</f>
        <v>Peça usinada CNC</v>
      </c>
      <c r="F4984" s="39">
        <v>45931</v>
      </c>
      <c r="G4984" s="7">
        <v>13</v>
      </c>
      <c r="H4984" s="3">
        <f>_xlfn.XLOOKUP(Vendas[[#This Row],[ID Item Vendido]],Agregado[ID],Agregado[Revenda])</f>
        <v>192</v>
      </c>
      <c r="I4984" s="3">
        <f>Vendas[[#This Row],[Valor Unitário]]*Vendas[[#This Row],[Qnt Vendida]]</f>
        <v>2496</v>
      </c>
      <c r="J4984" s="3">
        <f>Vendas[[#This Row],[Valor da Venda]]-(_xlfn.XLOOKUP(Vendas[[#This Row],[ID Item Vendido]],Agregado[ID],Agregado[Custo])*Vendas[[#This Row],[Qnt Vendida]])</f>
        <v>546</v>
      </c>
      <c r="K4984" s="70">
        <f>Vendas[[#This Row],[Lucro da Venda]]/Vendas[[#This Row],[Valor da Venda]]</f>
        <v>0.21875</v>
      </c>
      <c r="L4984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4984"/>
    </row>
    <row r="4985" spans="1:13" x14ac:dyDescent="0.3">
      <c r="A4985" s="7">
        <v>400248</v>
      </c>
      <c r="B4985" t="str">
        <f>_xlfn.XLOOKUP(Vendas[[#This Row],[ID Vendedor]],Vendedores[ID],Vendedores[Nome])</f>
        <v>Patrícia</v>
      </c>
      <c r="C4985" s="7" t="str">
        <f>_xlfn.XLOOKUP(Vendas[[#This Row],[ID Vendedor]],Vendedores[ID],Vendedores[Setor])</f>
        <v>CM</v>
      </c>
      <c r="D4985" s="7" t="s">
        <v>43</v>
      </c>
      <c r="E4985" t="str">
        <f>_xlfn.XLOOKUP(Vendas[[#This Row],[ID Item Vendido]],Agregado[ID],Agregado[Produto])</f>
        <v>Madeira Bruta (Tora)</v>
      </c>
      <c r="F4985" s="39">
        <v>45931</v>
      </c>
      <c r="G4985" s="7">
        <v>6</v>
      </c>
      <c r="H4985" s="3">
        <f>_xlfn.XLOOKUP(Vendas[[#This Row],[ID Item Vendido]],Agregado[ID],Agregado[Revenda])</f>
        <v>212</v>
      </c>
      <c r="I4985" s="3">
        <f>Vendas[[#This Row],[Valor Unitário]]*Vendas[[#This Row],[Qnt Vendida]]</f>
        <v>1272</v>
      </c>
      <c r="J4985" s="3">
        <f>Vendas[[#This Row],[Valor da Venda]]-(_xlfn.XLOOKUP(Vendas[[#This Row],[ID Item Vendido]],Agregado[ID],Agregado[Custo])*Vendas[[#This Row],[Qnt Vendida]])</f>
        <v>192</v>
      </c>
      <c r="K4985" s="70">
        <f>Vendas[[#This Row],[Lucro da Venda]]/Vendas[[#This Row],[Valor da Venda]]</f>
        <v>0.15094339622641509</v>
      </c>
      <c r="L4985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4985"/>
    </row>
    <row r="4986" spans="1:13" x14ac:dyDescent="0.3">
      <c r="A4986" s="7">
        <v>400242</v>
      </c>
      <c r="B4986" t="str">
        <f>_xlfn.XLOOKUP(Vendas[[#This Row],[ID Vendedor]],Vendedores[ID],Vendedores[Nome])</f>
        <v>Fernanda</v>
      </c>
      <c r="C4986" s="7" t="str">
        <f>_xlfn.XLOOKUP(Vendas[[#This Row],[ID Vendedor]],Vendedores[ID],Vendedores[Setor])</f>
        <v>FM</v>
      </c>
      <c r="D4986" s="7" t="s">
        <v>27</v>
      </c>
      <c r="E4986" t="str">
        <f>_xlfn.XLOOKUP(Vendas[[#This Row],[ID Item Vendido]],Agregado[ID],Agregado[Produto])</f>
        <v>Chapa de metal lisa 1x2m</v>
      </c>
      <c r="F4986" s="39">
        <v>45931</v>
      </c>
      <c r="G4986" s="7">
        <v>12</v>
      </c>
      <c r="H4986" s="3">
        <f>_xlfn.XLOOKUP(Vendas[[#This Row],[ID Item Vendido]],Agregado[ID],Agregado[Revenda])</f>
        <v>52</v>
      </c>
      <c r="I4986" s="3">
        <f>Vendas[[#This Row],[Valor Unitário]]*Vendas[[#This Row],[Qnt Vendida]]</f>
        <v>624</v>
      </c>
      <c r="J4986" s="3">
        <f>Vendas[[#This Row],[Valor da Venda]]-(_xlfn.XLOOKUP(Vendas[[#This Row],[ID Item Vendido]],Agregado[ID],Agregado[Custo])*Vendas[[#This Row],[Qnt Vendida]])</f>
        <v>84</v>
      </c>
      <c r="K4986" s="70">
        <f>Vendas[[#This Row],[Lucro da Venda]]/Vendas[[#This Row],[Valor da Venda]]</f>
        <v>0.13461538461538461</v>
      </c>
      <c r="L4986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4986"/>
    </row>
    <row r="4987" spans="1:13" x14ac:dyDescent="0.3">
      <c r="A4987" s="7">
        <v>400252</v>
      </c>
      <c r="B4987" t="str">
        <f>_xlfn.XLOOKUP(Vendas[[#This Row],[ID Vendedor]],Vendedores[ID],Vendedores[Nome])</f>
        <v>Renata</v>
      </c>
      <c r="C4987" s="7" t="str">
        <f>_xlfn.XLOOKUP(Vendas[[#This Row],[ID Vendedor]],Vendedores[ID],Vendedores[Setor])</f>
        <v>AB</v>
      </c>
      <c r="D4987" s="7" t="s">
        <v>36</v>
      </c>
      <c r="E4987" t="str">
        <f>_xlfn.XLOOKUP(Vendas[[#This Row],[ID Item Vendido]],Agregado[ID],Agregado[Produto])</f>
        <v>Borracha vulcanizada em manta</v>
      </c>
      <c r="F4987" s="39">
        <v>45931</v>
      </c>
      <c r="G4987" s="7">
        <v>40</v>
      </c>
      <c r="H4987" s="3">
        <f>_xlfn.XLOOKUP(Vendas[[#This Row],[ID Item Vendido]],Agregado[ID],Agregado[Revenda])</f>
        <v>7.8</v>
      </c>
      <c r="I4987" s="3">
        <f>Vendas[[#This Row],[Valor Unitário]]*Vendas[[#This Row],[Qnt Vendida]]</f>
        <v>312</v>
      </c>
      <c r="J4987" s="3">
        <f>Vendas[[#This Row],[Valor da Venda]]-(_xlfn.XLOOKUP(Vendas[[#This Row],[ID Item Vendido]],Agregado[ID],Agregado[Custo])*Vendas[[#This Row],[Qnt Vendida]])</f>
        <v>72</v>
      </c>
      <c r="K4987" s="70">
        <f>Vendas[[#This Row],[Lucro da Venda]]/Vendas[[#This Row],[Valor da Venda]]</f>
        <v>0.23076923076923078</v>
      </c>
      <c r="L4987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4987"/>
    </row>
    <row r="4988" spans="1:13" x14ac:dyDescent="0.3">
      <c r="A4988" s="7">
        <v>400254</v>
      </c>
      <c r="B4988" t="str">
        <f>_xlfn.XLOOKUP(Vendas[[#This Row],[ID Vendedor]],Vendedores[ID],Vendedores[Nome])</f>
        <v>Beatriz</v>
      </c>
      <c r="C4988" s="7" t="str">
        <f>_xlfn.XLOOKUP(Vendas[[#This Row],[ID Vendedor]],Vendedores[ID],Vendedores[Setor])</f>
        <v>SC</v>
      </c>
      <c r="D4988" s="7" t="s">
        <v>42</v>
      </c>
      <c r="E4988" t="str">
        <f>_xlfn.XLOOKUP(Vendas[[#This Row],[ID Item Vendido]],Agregado[ID],Agregado[Produto])</f>
        <v>Container de ferro industrial</v>
      </c>
      <c r="F4988" s="39">
        <v>45932</v>
      </c>
      <c r="G4988" s="7">
        <v>4</v>
      </c>
      <c r="H4988" s="3">
        <f>_xlfn.XLOOKUP(Vendas[[#This Row],[ID Item Vendido]],Agregado[ID],Agregado[Revenda])</f>
        <v>830</v>
      </c>
      <c r="I4988" s="3">
        <f>Vendas[[#This Row],[Valor Unitário]]*Vendas[[#This Row],[Qnt Vendida]]</f>
        <v>3320</v>
      </c>
      <c r="J4988" s="3">
        <f>Vendas[[#This Row],[Valor da Venda]]-(_xlfn.XLOOKUP(Vendas[[#This Row],[ID Item Vendido]],Agregado[ID],Agregado[Custo])*Vendas[[#This Row],[Qnt Vendida]])</f>
        <v>600</v>
      </c>
      <c r="K4988" s="70">
        <f>Vendas[[#This Row],[Lucro da Venda]]/Vendas[[#This Row],[Valor da Venda]]</f>
        <v>0.18072289156626506</v>
      </c>
      <c r="L498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4988"/>
    </row>
    <row r="4989" spans="1:13" x14ac:dyDescent="0.3">
      <c r="A4989" s="7">
        <v>400247</v>
      </c>
      <c r="B4989" t="str">
        <f>_xlfn.XLOOKUP(Vendas[[#This Row],[ID Vendedor]],Vendedores[ID],Vendedores[Nome])</f>
        <v>André</v>
      </c>
      <c r="C4989" s="7" t="str">
        <f>_xlfn.XLOOKUP(Vendas[[#This Row],[ID Vendedor]],Vendedores[ID],Vendedores[Setor])</f>
        <v>CM</v>
      </c>
      <c r="D4989" s="7" t="s">
        <v>43</v>
      </c>
      <c r="E4989" t="str">
        <f>_xlfn.XLOOKUP(Vendas[[#This Row],[ID Item Vendido]],Agregado[ID],Agregado[Produto])</f>
        <v>Madeira Bruta (Tora)</v>
      </c>
      <c r="F4989" s="39">
        <v>45932</v>
      </c>
      <c r="G4989" s="7">
        <v>11</v>
      </c>
      <c r="H4989" s="3">
        <f>_xlfn.XLOOKUP(Vendas[[#This Row],[ID Item Vendido]],Agregado[ID],Agregado[Revenda])</f>
        <v>212</v>
      </c>
      <c r="I4989" s="3">
        <f>Vendas[[#This Row],[Valor Unitário]]*Vendas[[#This Row],[Qnt Vendida]]</f>
        <v>2332</v>
      </c>
      <c r="J4989" s="3">
        <f>Vendas[[#This Row],[Valor da Venda]]-(_xlfn.XLOOKUP(Vendas[[#This Row],[ID Item Vendido]],Agregado[ID],Agregado[Custo])*Vendas[[#This Row],[Qnt Vendida]])</f>
        <v>352</v>
      </c>
      <c r="K4989" s="70">
        <f>Vendas[[#This Row],[Lucro da Venda]]/Vendas[[#This Row],[Valor da Venda]]</f>
        <v>0.15094339622641509</v>
      </c>
      <c r="L4989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4989"/>
    </row>
    <row r="4990" spans="1:13" x14ac:dyDescent="0.3">
      <c r="A4990" s="7">
        <v>400245</v>
      </c>
      <c r="B4990" t="str">
        <f>_xlfn.XLOOKUP(Vendas[[#This Row],[ID Vendedor]],Vendedores[ID],Vendedores[Nome])</f>
        <v>Thiago</v>
      </c>
      <c r="C4990" s="7" t="str">
        <f>_xlfn.XLOOKUP(Vendas[[#This Row],[ID Vendedor]],Vendedores[ID],Vendedores[Setor])</f>
        <v>AHD</v>
      </c>
      <c r="D4990" s="7" t="s">
        <v>30</v>
      </c>
      <c r="E4990" t="str">
        <f>_xlfn.XLOOKUP(Vendas[[#This Row],[ID Item Vendido]],Agregado[ID],Agregado[Produto])</f>
        <v>Estrutura metálica soldada</v>
      </c>
      <c r="F4990" s="39">
        <v>45932</v>
      </c>
      <c r="G4990" s="7">
        <v>5</v>
      </c>
      <c r="H4990" s="3">
        <f>_xlfn.XLOOKUP(Vendas[[#This Row],[ID Item Vendido]],Agregado[ID],Agregado[Revenda])</f>
        <v>400</v>
      </c>
      <c r="I4990" s="3">
        <f>Vendas[[#This Row],[Valor Unitário]]*Vendas[[#This Row],[Qnt Vendida]]</f>
        <v>2000</v>
      </c>
      <c r="J4990" s="3">
        <f>Vendas[[#This Row],[Valor da Venda]]-(_xlfn.XLOOKUP(Vendas[[#This Row],[ID Item Vendido]],Agregado[ID],Agregado[Custo])*Vendas[[#This Row],[Qnt Vendida]])</f>
        <v>400</v>
      </c>
      <c r="K4990" s="70">
        <f>Vendas[[#This Row],[Lucro da Venda]]/Vendas[[#This Row],[Valor da Venda]]</f>
        <v>0.2</v>
      </c>
      <c r="L4990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990"/>
    </row>
    <row r="4991" spans="1:13" x14ac:dyDescent="0.3">
      <c r="A4991" s="7">
        <v>400245</v>
      </c>
      <c r="B4991" t="str">
        <f>_xlfn.XLOOKUP(Vendas[[#This Row],[ID Vendedor]],Vendedores[ID],Vendedores[Nome])</f>
        <v>Thiago</v>
      </c>
      <c r="C4991" s="7" t="str">
        <f>_xlfn.XLOOKUP(Vendas[[#This Row],[ID Vendedor]],Vendedores[ID],Vendedores[Setor])</f>
        <v>AHD</v>
      </c>
      <c r="D4991" s="7" t="s">
        <v>28</v>
      </c>
      <c r="E4991" t="str">
        <f>_xlfn.XLOOKUP(Vendas[[#This Row],[ID Item Vendido]],Agregado[ID],Agregado[Produto])</f>
        <v>Peça usinada CNC</v>
      </c>
      <c r="F4991" s="39">
        <v>45932</v>
      </c>
      <c r="G4991" s="7">
        <v>4</v>
      </c>
      <c r="H4991" s="3">
        <f>_xlfn.XLOOKUP(Vendas[[#This Row],[ID Item Vendido]],Agregado[ID],Agregado[Revenda])</f>
        <v>192</v>
      </c>
      <c r="I4991" s="3">
        <f>Vendas[[#This Row],[Valor Unitário]]*Vendas[[#This Row],[Qnt Vendida]]</f>
        <v>768</v>
      </c>
      <c r="J4991" s="3">
        <f>Vendas[[#This Row],[Valor da Venda]]-(_xlfn.XLOOKUP(Vendas[[#This Row],[ID Item Vendido]],Agregado[ID],Agregado[Custo])*Vendas[[#This Row],[Qnt Vendida]])</f>
        <v>168</v>
      </c>
      <c r="K4991" s="70">
        <f>Vendas[[#This Row],[Lucro da Venda]]/Vendas[[#This Row],[Valor da Venda]]</f>
        <v>0.21875</v>
      </c>
      <c r="L499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4991"/>
    </row>
    <row r="4992" spans="1:13" x14ac:dyDescent="0.3">
      <c r="A4992" s="7">
        <v>400247</v>
      </c>
      <c r="B4992" t="str">
        <f>_xlfn.XLOOKUP(Vendas[[#This Row],[ID Vendedor]],Vendedores[ID],Vendedores[Nome])</f>
        <v>André</v>
      </c>
      <c r="C4992" s="7" t="str">
        <f>_xlfn.XLOOKUP(Vendas[[#This Row],[ID Vendedor]],Vendedores[ID],Vendedores[Setor])</f>
        <v>CM</v>
      </c>
      <c r="D4992" s="7" t="s">
        <v>34</v>
      </c>
      <c r="E4992" t="str">
        <f>_xlfn.XLOOKUP(Vendas[[#This Row],[ID Item Vendido]],Agregado[ID],Agregado[Produto])</f>
        <v>Restos de madeira p/ MDP/OSB saco de 20kg</v>
      </c>
      <c r="F4992" s="39">
        <v>45932</v>
      </c>
      <c r="G4992" s="7">
        <v>7</v>
      </c>
      <c r="H4992" s="3">
        <f>_xlfn.XLOOKUP(Vendas[[#This Row],[ID Item Vendido]],Agregado[ID],Agregado[Revenda])</f>
        <v>13.8</v>
      </c>
      <c r="I4992" s="3">
        <f>Vendas[[#This Row],[Valor Unitário]]*Vendas[[#This Row],[Qnt Vendida]]</f>
        <v>96.600000000000009</v>
      </c>
      <c r="J4992" s="3">
        <f>Vendas[[#This Row],[Valor da Venda]]-(_xlfn.XLOOKUP(Vendas[[#This Row],[ID Item Vendido]],Agregado[ID],Agregado[Custo])*Vendas[[#This Row],[Qnt Vendida]])</f>
        <v>12.600000000000009</v>
      </c>
      <c r="K4992" s="70">
        <f>Vendas[[#This Row],[Lucro da Venda]]/Vendas[[#This Row],[Valor da Venda]]</f>
        <v>0.13043478260869573</v>
      </c>
      <c r="L4992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4992"/>
    </row>
    <row r="4993" spans="1:13" x14ac:dyDescent="0.3">
      <c r="A4993" s="7">
        <v>400246</v>
      </c>
      <c r="B4993" t="str">
        <f>_xlfn.XLOOKUP(Vendas[[#This Row],[ID Vendedor]],Vendedores[ID],Vendedores[Nome])</f>
        <v>Juliana</v>
      </c>
      <c r="C4993" s="7" t="str">
        <f>_xlfn.XLOOKUP(Vendas[[#This Row],[ID Vendedor]],Vendedores[ID],Vendedores[Setor])</f>
        <v>AHD</v>
      </c>
      <c r="D4993" s="7" t="s">
        <v>30</v>
      </c>
      <c r="E4993" t="str">
        <f>_xlfn.XLOOKUP(Vendas[[#This Row],[ID Item Vendido]],Agregado[ID],Agregado[Produto])</f>
        <v>Estrutura metálica soldada</v>
      </c>
      <c r="F4993" s="39">
        <v>45933</v>
      </c>
      <c r="G4993" s="7">
        <v>5</v>
      </c>
      <c r="H4993" s="3">
        <f>_xlfn.XLOOKUP(Vendas[[#This Row],[ID Item Vendido]],Agregado[ID],Agregado[Revenda])</f>
        <v>400</v>
      </c>
      <c r="I4993" s="3">
        <f>Vendas[[#This Row],[Valor Unitário]]*Vendas[[#This Row],[Qnt Vendida]]</f>
        <v>2000</v>
      </c>
      <c r="J4993" s="3">
        <f>Vendas[[#This Row],[Valor da Venda]]-(_xlfn.XLOOKUP(Vendas[[#This Row],[ID Item Vendido]],Agregado[ID],Agregado[Custo])*Vendas[[#This Row],[Qnt Vendida]])</f>
        <v>400</v>
      </c>
      <c r="K4993" s="70">
        <f>Vendas[[#This Row],[Lucro da Venda]]/Vendas[[#This Row],[Valor da Venda]]</f>
        <v>0.2</v>
      </c>
      <c r="L4993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4993"/>
    </row>
    <row r="4994" spans="1:13" x14ac:dyDescent="0.3">
      <c r="A4994" s="7">
        <v>400254</v>
      </c>
      <c r="B4994" t="str">
        <f>_xlfn.XLOOKUP(Vendas[[#This Row],[ID Vendedor]],Vendedores[ID],Vendedores[Nome])</f>
        <v>Beatriz</v>
      </c>
      <c r="C4994" s="7" t="str">
        <f>_xlfn.XLOOKUP(Vendas[[#This Row],[ID Vendedor]],Vendedores[ID],Vendedores[Setor])</f>
        <v>SC</v>
      </c>
      <c r="D4994" s="7" t="s">
        <v>25</v>
      </c>
      <c r="E4994" t="str">
        <f>_xlfn.XLOOKUP(Vendas[[#This Row],[ID Item Vendido]],Agregado[ID],Agregado[Produto])</f>
        <v>Palete de plástico</v>
      </c>
      <c r="F4994" s="39">
        <v>45933</v>
      </c>
      <c r="G4994" s="7">
        <v>8</v>
      </c>
      <c r="H4994" s="3">
        <f>_xlfn.XLOOKUP(Vendas[[#This Row],[ID Item Vendido]],Agregado[ID],Agregado[Revenda])</f>
        <v>70.8</v>
      </c>
      <c r="I4994" s="3">
        <f>Vendas[[#This Row],[Valor Unitário]]*Vendas[[#This Row],[Qnt Vendida]]</f>
        <v>566.4</v>
      </c>
      <c r="J4994" s="3">
        <f>Vendas[[#This Row],[Valor da Venda]]-(_xlfn.XLOOKUP(Vendas[[#This Row],[ID Item Vendido]],Agregado[ID],Agregado[Custo])*Vendas[[#This Row],[Qnt Vendida]])</f>
        <v>86.399999999999977</v>
      </c>
      <c r="K4994" s="70">
        <f>Vendas[[#This Row],[Lucro da Venda]]/Vendas[[#This Row],[Valor da Venda]]</f>
        <v>0.15254237288135589</v>
      </c>
      <c r="L4994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4994"/>
    </row>
    <row r="4995" spans="1:13" x14ac:dyDescent="0.3">
      <c r="A4995" s="7">
        <v>400241</v>
      </c>
      <c r="B4995" t="str">
        <f>_xlfn.XLOOKUP(Vendas[[#This Row],[ID Vendedor]],Vendedores[ID],Vendedores[Nome])</f>
        <v>Rodrigo</v>
      </c>
      <c r="C4995" s="7" t="str">
        <f>_xlfn.XLOOKUP(Vendas[[#This Row],[ID Vendedor]],Vendedores[ID],Vendedores[Setor])</f>
        <v>FM</v>
      </c>
      <c r="D4995" s="7" t="s">
        <v>31</v>
      </c>
      <c r="E4995" t="str">
        <f>_xlfn.XLOOKUP(Vendas[[#This Row],[ID Item Vendido]],Agregado[ID],Agregado[Produto])</f>
        <v>Tela de metal soldada rolo 2x25m</v>
      </c>
      <c r="F4995" s="39">
        <v>45933</v>
      </c>
      <c r="G4995" s="7">
        <v>7</v>
      </c>
      <c r="H4995" s="3">
        <f>_xlfn.XLOOKUP(Vendas[[#This Row],[ID Item Vendido]],Agregado[ID],Agregado[Revenda])</f>
        <v>43.7</v>
      </c>
      <c r="I4995" s="3">
        <f>Vendas[[#This Row],[Valor Unitário]]*Vendas[[#This Row],[Qnt Vendida]]</f>
        <v>305.90000000000003</v>
      </c>
      <c r="J4995" s="3">
        <f>Vendas[[#This Row],[Valor da Venda]]-(_xlfn.XLOOKUP(Vendas[[#This Row],[ID Item Vendido]],Agregado[ID],Agregado[Custo])*Vendas[[#This Row],[Qnt Vendida]])</f>
        <v>39.900000000000034</v>
      </c>
      <c r="K4995" s="70">
        <f>Vendas[[#This Row],[Lucro da Venda]]/Vendas[[#This Row],[Valor da Venda]]</f>
        <v>0.13043478260869576</v>
      </c>
      <c r="L4995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4995"/>
    </row>
    <row r="4996" spans="1:13" x14ac:dyDescent="0.3">
      <c r="A4996" s="7">
        <v>400246</v>
      </c>
      <c r="B4996" t="str">
        <f>_xlfn.XLOOKUP(Vendas[[#This Row],[ID Vendedor]],Vendedores[ID],Vendedores[Nome])</f>
        <v>Juliana</v>
      </c>
      <c r="C4996" s="7" t="str">
        <f>_xlfn.XLOOKUP(Vendas[[#This Row],[ID Vendedor]],Vendedores[ID],Vendedores[Setor])</f>
        <v>AHD</v>
      </c>
      <c r="D4996" s="7" t="s">
        <v>9</v>
      </c>
      <c r="E4996" t="str">
        <f>_xlfn.XLOOKUP(Vendas[[#This Row],[ID Item Vendido]],Agregado[ID],Agregado[Produto])</f>
        <v>Barra de aço simples</v>
      </c>
      <c r="F4996" s="39">
        <v>45933</v>
      </c>
      <c r="G4996" s="7">
        <v>36</v>
      </c>
      <c r="H4996" s="3">
        <f>_xlfn.XLOOKUP(Vendas[[#This Row],[ID Item Vendido]],Agregado[ID],Agregado[Revenda])</f>
        <v>6.7</v>
      </c>
      <c r="I4996" s="3">
        <f>Vendas[[#This Row],[Valor Unitário]]*Vendas[[#This Row],[Qnt Vendida]]</f>
        <v>241.20000000000002</v>
      </c>
      <c r="J4996" s="3">
        <f>Vendas[[#This Row],[Valor da Venda]]-(_xlfn.XLOOKUP(Vendas[[#This Row],[ID Item Vendido]],Agregado[ID],Agregado[Custo])*Vendas[[#This Row],[Qnt Vendida]])</f>
        <v>32.400000000000034</v>
      </c>
      <c r="K4996" s="70">
        <f>Vendas[[#This Row],[Lucro da Venda]]/Vendas[[#This Row],[Valor da Venda]]</f>
        <v>0.13432835820895536</v>
      </c>
      <c r="L4996" s="3">
        <f>_xlfn.IFS(Vendas[[#This Row],[Margem de Lucro (%)]]&lt;15%,Vendas[[#This Row],[Valor da Venda]]*3%,Vendas[[#This Row],[Margem de Lucro (%)]]&lt;=20%,Vendas[[#This Row],[Valor da Venda]]*4.5%,TRUE,Vendas[[#This Row],[Valor da Venda]]*6%)</f>
        <v>7.2360000000000007</v>
      </c>
      <c r="M4996"/>
    </row>
    <row r="4997" spans="1:13" x14ac:dyDescent="0.3">
      <c r="A4997" s="7">
        <v>400243</v>
      </c>
      <c r="B4997" t="str">
        <f>_xlfn.XLOOKUP(Vendas[[#This Row],[ID Vendedor]],Vendedores[ID],Vendedores[Nome])</f>
        <v>Marcelo</v>
      </c>
      <c r="C4997" s="7" t="str">
        <f>_xlfn.XLOOKUP(Vendas[[#This Row],[ID Vendedor]],Vendedores[ID],Vendedores[Setor])</f>
        <v>FM</v>
      </c>
      <c r="D4997" s="7" t="s">
        <v>20</v>
      </c>
      <c r="E4997" t="str">
        <f>_xlfn.XLOOKUP(Vendas[[#This Row],[ID Item Vendido]],Agregado[ID],Agregado[Produto])</f>
        <v>Barra de aço simples</v>
      </c>
      <c r="F4997" s="39">
        <v>45934</v>
      </c>
      <c r="G4997" s="7">
        <v>166</v>
      </c>
      <c r="H4997" s="3">
        <f>_xlfn.XLOOKUP(Vendas[[#This Row],[ID Item Vendido]],Agregado[ID],Agregado[Revenda])</f>
        <v>4.8</v>
      </c>
      <c r="I4997" s="3">
        <f>Vendas[[#This Row],[Valor Unitário]]*Vendas[[#This Row],[Qnt Vendida]]</f>
        <v>796.8</v>
      </c>
      <c r="J4997" s="3">
        <f>Vendas[[#This Row],[Valor da Venda]]-(_xlfn.XLOOKUP(Vendas[[#This Row],[ID Item Vendido]],Agregado[ID],Agregado[Custo])*Vendas[[#This Row],[Qnt Vendida]])</f>
        <v>99.599999999999909</v>
      </c>
      <c r="K4997" s="70">
        <f>Vendas[[#This Row],[Lucro da Venda]]/Vendas[[#This Row],[Valor da Venda]]</f>
        <v>0.12499999999999989</v>
      </c>
      <c r="L4997" s="3">
        <f>_xlfn.IFS(Vendas[[#This Row],[Margem de Lucro (%)]]&lt;15%,Vendas[[#This Row],[Valor da Venda]]*3%,Vendas[[#This Row],[Margem de Lucro (%)]]&lt;=20%,Vendas[[#This Row],[Valor da Venda]]*4.5%,TRUE,Vendas[[#This Row],[Valor da Venda]]*6%)</f>
        <v>23.903999999999996</v>
      </c>
      <c r="M4997"/>
    </row>
    <row r="4998" spans="1:13" x14ac:dyDescent="0.3">
      <c r="A4998" s="7">
        <v>400250</v>
      </c>
      <c r="B4998" t="str">
        <f>_xlfn.XLOOKUP(Vendas[[#This Row],[ID Vendedor]],Vendedores[ID],Vendedores[Nome])</f>
        <v>Larissa</v>
      </c>
      <c r="C4998" s="7" t="str">
        <f>_xlfn.XLOOKUP(Vendas[[#This Row],[ID Vendedor]],Vendedores[ID],Vendedores[Setor])</f>
        <v>AB</v>
      </c>
      <c r="D4998" s="7" t="s">
        <v>24</v>
      </c>
      <c r="E4998" t="str">
        <f>_xlfn.XLOOKUP(Vendas[[#This Row],[ID Item Vendido]],Agregado[ID],Agregado[Produto])</f>
        <v>Resina plástica PET purificada saco de 25kg</v>
      </c>
      <c r="F4998" s="39">
        <v>45934</v>
      </c>
      <c r="G4998" s="7">
        <v>6</v>
      </c>
      <c r="H4998" s="3">
        <f>_xlfn.XLOOKUP(Vendas[[#This Row],[ID Item Vendido]],Agregado[ID],Agregado[Revenda])</f>
        <v>119</v>
      </c>
      <c r="I4998" s="3">
        <f>Vendas[[#This Row],[Valor Unitário]]*Vendas[[#This Row],[Qnt Vendida]]</f>
        <v>714</v>
      </c>
      <c r="J4998" s="3">
        <f>Vendas[[#This Row],[Valor da Venda]]-(_xlfn.XLOOKUP(Vendas[[#This Row],[ID Item Vendido]],Agregado[ID],Agregado[Custo])*Vendas[[#This Row],[Qnt Vendida]])</f>
        <v>204</v>
      </c>
      <c r="K4998" s="70">
        <f>Vendas[[#This Row],[Lucro da Venda]]/Vendas[[#This Row],[Valor da Venda]]</f>
        <v>0.2857142857142857</v>
      </c>
      <c r="L4998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4998"/>
    </row>
    <row r="4999" spans="1:13" x14ac:dyDescent="0.3">
      <c r="A4999" s="7">
        <v>400250</v>
      </c>
      <c r="B4999" t="str">
        <f>_xlfn.XLOOKUP(Vendas[[#This Row],[ID Vendedor]],Vendedores[ID],Vendedores[Nome])</f>
        <v>Larissa</v>
      </c>
      <c r="C4999" s="7" t="str">
        <f>_xlfn.XLOOKUP(Vendas[[#This Row],[ID Vendedor]],Vendedores[ID],Vendedores[Setor])</f>
        <v>AB</v>
      </c>
      <c r="D4999" s="7" t="s">
        <v>36</v>
      </c>
      <c r="E4999" t="str">
        <f>_xlfn.XLOOKUP(Vendas[[#This Row],[ID Item Vendido]],Agregado[ID],Agregado[Produto])</f>
        <v>Borracha vulcanizada em manta</v>
      </c>
      <c r="F4999" s="39">
        <v>45934</v>
      </c>
      <c r="G4999" s="7">
        <v>25</v>
      </c>
      <c r="H4999" s="3">
        <f>_xlfn.XLOOKUP(Vendas[[#This Row],[ID Item Vendido]],Agregado[ID],Agregado[Revenda])</f>
        <v>7.8</v>
      </c>
      <c r="I4999" s="3">
        <f>Vendas[[#This Row],[Valor Unitário]]*Vendas[[#This Row],[Qnt Vendida]]</f>
        <v>195</v>
      </c>
      <c r="J4999" s="3">
        <f>Vendas[[#This Row],[Valor da Venda]]-(_xlfn.XLOOKUP(Vendas[[#This Row],[ID Item Vendido]],Agregado[ID],Agregado[Custo])*Vendas[[#This Row],[Qnt Vendida]])</f>
        <v>45</v>
      </c>
      <c r="K4999" s="70">
        <f>Vendas[[#This Row],[Lucro da Venda]]/Vendas[[#This Row],[Valor da Venda]]</f>
        <v>0.23076923076923078</v>
      </c>
      <c r="L4999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4999"/>
    </row>
    <row r="5000" spans="1:13" x14ac:dyDescent="0.3">
      <c r="A5000" s="7">
        <v>400241</v>
      </c>
      <c r="B5000" t="str">
        <f>_xlfn.XLOOKUP(Vendas[[#This Row],[ID Vendedor]],Vendedores[ID],Vendedores[Nome])</f>
        <v>Rodrigo</v>
      </c>
      <c r="C5000" s="7" t="str">
        <f>_xlfn.XLOOKUP(Vendas[[#This Row],[ID Vendedor]],Vendedores[ID],Vendedores[Setor])</f>
        <v>FM</v>
      </c>
      <c r="D5000" s="7" t="s">
        <v>31</v>
      </c>
      <c r="E5000" t="str">
        <f>_xlfn.XLOOKUP(Vendas[[#This Row],[ID Item Vendido]],Agregado[ID],Agregado[Produto])</f>
        <v>Tela de metal soldada rolo 2x25m</v>
      </c>
      <c r="F5000" s="39">
        <v>45936</v>
      </c>
      <c r="G5000" s="7">
        <v>9</v>
      </c>
      <c r="H5000" s="3">
        <f>_xlfn.XLOOKUP(Vendas[[#This Row],[ID Item Vendido]],Agregado[ID],Agregado[Revenda])</f>
        <v>43.7</v>
      </c>
      <c r="I5000" s="3">
        <f>Vendas[[#This Row],[Valor Unitário]]*Vendas[[#This Row],[Qnt Vendida]]</f>
        <v>393.3</v>
      </c>
      <c r="J5000" s="3">
        <f>Vendas[[#This Row],[Valor da Venda]]-(_xlfn.XLOOKUP(Vendas[[#This Row],[ID Item Vendido]],Agregado[ID],Agregado[Custo])*Vendas[[#This Row],[Qnt Vendida]])</f>
        <v>51.300000000000011</v>
      </c>
      <c r="K5000" s="70">
        <f>Vendas[[#This Row],[Lucro da Venda]]/Vendas[[#This Row],[Valor da Venda]]</f>
        <v>0.13043478260869568</v>
      </c>
      <c r="L5000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5000"/>
    </row>
    <row r="5001" spans="1:13" x14ac:dyDescent="0.3">
      <c r="A5001" s="7">
        <v>400254</v>
      </c>
      <c r="B5001" t="str">
        <f>_xlfn.XLOOKUP(Vendas[[#This Row],[ID Vendedor]],Vendedores[ID],Vendedores[Nome])</f>
        <v>Beatriz</v>
      </c>
      <c r="C5001" s="7" t="str">
        <f>_xlfn.XLOOKUP(Vendas[[#This Row],[ID Vendedor]],Vendedores[ID],Vendedores[Setor])</f>
        <v>SC</v>
      </c>
      <c r="D5001" s="7" t="s">
        <v>41</v>
      </c>
      <c r="E5001" t="str">
        <f>_xlfn.XLOOKUP(Vendas[[#This Row],[ID Item Vendido]],Agregado[ID],Agregado[Produto])</f>
        <v>Palete de madeira reforçado</v>
      </c>
      <c r="F5001" s="39">
        <v>45936</v>
      </c>
      <c r="G5001" s="7">
        <v>2</v>
      </c>
      <c r="H5001" s="3">
        <f>_xlfn.XLOOKUP(Vendas[[#This Row],[ID Item Vendido]],Agregado[ID],Agregado[Revenda])</f>
        <v>131</v>
      </c>
      <c r="I5001" s="3">
        <f>Vendas[[#This Row],[Valor Unitário]]*Vendas[[#This Row],[Qnt Vendida]]</f>
        <v>262</v>
      </c>
      <c r="J5001" s="3">
        <f>Vendas[[#This Row],[Valor da Venda]]-(_xlfn.XLOOKUP(Vendas[[#This Row],[ID Item Vendido]],Agregado[ID],Agregado[Custo])*Vendas[[#This Row],[Qnt Vendida]])</f>
        <v>42</v>
      </c>
      <c r="K5001" s="70">
        <f>Vendas[[#This Row],[Lucro da Venda]]/Vendas[[#This Row],[Valor da Venda]]</f>
        <v>0.16030534351145037</v>
      </c>
      <c r="L5001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001"/>
    </row>
    <row r="5002" spans="1:13" x14ac:dyDescent="0.3">
      <c r="A5002" s="7">
        <v>400244</v>
      </c>
      <c r="B5002" t="str">
        <f>_xlfn.XLOOKUP(Vendas[[#This Row],[ID Vendedor]],Vendedores[ID],Vendedores[Nome])</f>
        <v>Camila</v>
      </c>
      <c r="C5002" s="7" t="str">
        <f>_xlfn.XLOOKUP(Vendas[[#This Row],[ID Vendedor]],Vendedores[ID],Vendedores[Setor])</f>
        <v>AHD</v>
      </c>
      <c r="D5002" s="7" t="s">
        <v>30</v>
      </c>
      <c r="E5002" t="str">
        <f>_xlfn.XLOOKUP(Vendas[[#This Row],[ID Item Vendido]],Agregado[ID],Agregado[Produto])</f>
        <v>Estrutura metálica soldada</v>
      </c>
      <c r="F5002" s="39">
        <v>45937</v>
      </c>
      <c r="G5002" s="7">
        <v>5</v>
      </c>
      <c r="H5002" s="3">
        <f>_xlfn.XLOOKUP(Vendas[[#This Row],[ID Item Vendido]],Agregado[ID],Agregado[Revenda])</f>
        <v>400</v>
      </c>
      <c r="I5002" s="3">
        <f>Vendas[[#This Row],[Valor Unitário]]*Vendas[[#This Row],[Qnt Vendida]]</f>
        <v>2000</v>
      </c>
      <c r="J5002" s="3">
        <f>Vendas[[#This Row],[Valor da Venda]]-(_xlfn.XLOOKUP(Vendas[[#This Row],[ID Item Vendido]],Agregado[ID],Agregado[Custo])*Vendas[[#This Row],[Qnt Vendida]])</f>
        <v>400</v>
      </c>
      <c r="K5002" s="70">
        <f>Vendas[[#This Row],[Lucro da Venda]]/Vendas[[#This Row],[Valor da Venda]]</f>
        <v>0.2</v>
      </c>
      <c r="L5002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002"/>
    </row>
    <row r="5003" spans="1:13" x14ac:dyDescent="0.3">
      <c r="A5003" s="7">
        <v>400241</v>
      </c>
      <c r="B5003" t="str">
        <f>_xlfn.XLOOKUP(Vendas[[#This Row],[ID Vendedor]],Vendedores[ID],Vendedores[Nome])</f>
        <v>Rodrigo</v>
      </c>
      <c r="C5003" s="7" t="str">
        <f>_xlfn.XLOOKUP(Vendas[[#This Row],[ID Vendedor]],Vendedores[ID],Vendedores[Setor])</f>
        <v>FM</v>
      </c>
      <c r="D5003" s="7" t="s">
        <v>27</v>
      </c>
      <c r="E5003" t="str">
        <f>_xlfn.XLOOKUP(Vendas[[#This Row],[ID Item Vendido]],Agregado[ID],Agregado[Produto])</f>
        <v>Chapa de metal lisa 1x2m</v>
      </c>
      <c r="F5003" s="39">
        <v>45937</v>
      </c>
      <c r="G5003" s="7">
        <v>26</v>
      </c>
      <c r="H5003" s="3">
        <f>_xlfn.XLOOKUP(Vendas[[#This Row],[ID Item Vendido]],Agregado[ID],Agregado[Revenda])</f>
        <v>52</v>
      </c>
      <c r="I5003" s="3">
        <f>Vendas[[#This Row],[Valor Unitário]]*Vendas[[#This Row],[Qnt Vendida]]</f>
        <v>1352</v>
      </c>
      <c r="J5003" s="3">
        <f>Vendas[[#This Row],[Valor da Venda]]-(_xlfn.XLOOKUP(Vendas[[#This Row],[ID Item Vendido]],Agregado[ID],Agregado[Custo])*Vendas[[#This Row],[Qnt Vendida]])</f>
        <v>182</v>
      </c>
      <c r="K5003" s="70">
        <f>Vendas[[#This Row],[Lucro da Venda]]/Vendas[[#This Row],[Valor da Venda]]</f>
        <v>0.13461538461538461</v>
      </c>
      <c r="L5003" s="3">
        <f>_xlfn.IFS(Vendas[[#This Row],[Margem de Lucro (%)]]&lt;15%,Vendas[[#This Row],[Valor da Venda]]*3%,Vendas[[#This Row],[Margem de Lucro (%)]]&lt;=20%,Vendas[[#This Row],[Valor da Venda]]*4.5%,TRUE,Vendas[[#This Row],[Valor da Venda]]*6%)</f>
        <v>40.559999999999995</v>
      </c>
      <c r="M5003"/>
    </row>
    <row r="5004" spans="1:13" x14ac:dyDescent="0.3">
      <c r="A5004" s="7">
        <v>400252</v>
      </c>
      <c r="B5004" t="str">
        <f>_xlfn.XLOOKUP(Vendas[[#This Row],[ID Vendedor]],Vendedores[ID],Vendedores[Nome])</f>
        <v>Renata</v>
      </c>
      <c r="C5004" s="7" t="str">
        <f>_xlfn.XLOOKUP(Vendas[[#This Row],[ID Vendedor]],Vendedores[ID],Vendedores[Setor])</f>
        <v>AB</v>
      </c>
      <c r="D5004" s="7" t="s">
        <v>37</v>
      </c>
      <c r="E5004" t="str">
        <f>_xlfn.XLOOKUP(Vendas[[#This Row],[ID Item Vendido]],Agregado[ID],Agregado[Produto])</f>
        <v>Composto de borracha para vedação rolo 10m</v>
      </c>
      <c r="F5004" s="39">
        <v>45937</v>
      </c>
      <c r="G5004" s="7">
        <v>18</v>
      </c>
      <c r="H5004" s="3">
        <f>_xlfn.XLOOKUP(Vendas[[#This Row],[ID Item Vendido]],Agregado[ID],Agregado[Revenda])</f>
        <v>51.2</v>
      </c>
      <c r="I5004" s="3">
        <f>Vendas[[#This Row],[Valor Unitário]]*Vendas[[#This Row],[Qnt Vendida]]</f>
        <v>921.6</v>
      </c>
      <c r="J5004" s="3">
        <f>Vendas[[#This Row],[Valor da Venda]]-(_xlfn.XLOOKUP(Vendas[[#This Row],[ID Item Vendido]],Agregado[ID],Agregado[Custo])*Vendas[[#This Row],[Qnt Vendida]])</f>
        <v>201.60000000000002</v>
      </c>
      <c r="K5004" s="70">
        <f>Vendas[[#This Row],[Lucro da Venda]]/Vendas[[#This Row],[Valor da Venda]]</f>
        <v>0.21875000000000003</v>
      </c>
      <c r="L5004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5004"/>
    </row>
    <row r="5005" spans="1:13" x14ac:dyDescent="0.3">
      <c r="A5005" s="7">
        <v>400254</v>
      </c>
      <c r="B5005" t="str">
        <f>_xlfn.XLOOKUP(Vendas[[#This Row],[ID Vendedor]],Vendedores[ID],Vendedores[Nome])</f>
        <v>Beatriz</v>
      </c>
      <c r="C5005" s="7" t="str">
        <f>_xlfn.XLOOKUP(Vendas[[#This Row],[ID Vendedor]],Vendedores[ID],Vendedores[Setor])</f>
        <v>SC</v>
      </c>
      <c r="D5005" s="7" t="s">
        <v>14</v>
      </c>
      <c r="E5005" t="str">
        <f>_xlfn.XLOOKUP(Vendas[[#This Row],[ID Item Vendido]],Agregado[ID],Agregado[Produto])</f>
        <v>Barril de plástico 200L</v>
      </c>
      <c r="F5005" s="39">
        <v>45937</v>
      </c>
      <c r="G5005" s="7">
        <v>7</v>
      </c>
      <c r="H5005" s="3">
        <f>_xlfn.XLOOKUP(Vendas[[#This Row],[ID Item Vendido]],Agregado[ID],Agregado[Revenda])</f>
        <v>114</v>
      </c>
      <c r="I5005" s="3">
        <f>Vendas[[#This Row],[Valor Unitário]]*Vendas[[#This Row],[Qnt Vendida]]</f>
        <v>798</v>
      </c>
      <c r="J5005" s="3">
        <f>Vendas[[#This Row],[Valor da Venda]]-(_xlfn.XLOOKUP(Vendas[[#This Row],[ID Item Vendido]],Agregado[ID],Agregado[Custo])*Vendas[[#This Row],[Qnt Vendida]])</f>
        <v>133</v>
      </c>
      <c r="K5005" s="70">
        <f>Vendas[[#This Row],[Lucro da Venda]]/Vendas[[#This Row],[Valor da Venda]]</f>
        <v>0.16666666666666666</v>
      </c>
      <c r="L5005" s="3">
        <f>_xlfn.IFS(Vendas[[#This Row],[Margem de Lucro (%)]]&lt;15%,Vendas[[#This Row],[Valor da Venda]]*3%,Vendas[[#This Row],[Margem de Lucro (%)]]&lt;=20%,Vendas[[#This Row],[Valor da Venda]]*4.5%,TRUE,Vendas[[#This Row],[Valor da Venda]]*6%)</f>
        <v>35.909999999999997</v>
      </c>
      <c r="M5005"/>
    </row>
    <row r="5006" spans="1:13" x14ac:dyDescent="0.3">
      <c r="A5006" s="7">
        <v>400252</v>
      </c>
      <c r="B5006" t="str">
        <f>_xlfn.XLOOKUP(Vendas[[#This Row],[ID Vendedor]],Vendedores[ID],Vendedores[Nome])</f>
        <v>Renata</v>
      </c>
      <c r="C5006" s="7" t="str">
        <f>_xlfn.XLOOKUP(Vendas[[#This Row],[ID Vendedor]],Vendedores[ID],Vendedores[Setor])</f>
        <v>AB</v>
      </c>
      <c r="D5006" s="7" t="s">
        <v>36</v>
      </c>
      <c r="E5006" t="str">
        <f>_xlfn.XLOOKUP(Vendas[[#This Row],[ID Item Vendido]],Agregado[ID],Agregado[Produto])</f>
        <v>Borracha vulcanizada em manta</v>
      </c>
      <c r="F5006" s="39">
        <v>45937</v>
      </c>
      <c r="G5006" s="7">
        <v>34</v>
      </c>
      <c r="H5006" s="3">
        <f>_xlfn.XLOOKUP(Vendas[[#This Row],[ID Item Vendido]],Agregado[ID],Agregado[Revenda])</f>
        <v>7.8</v>
      </c>
      <c r="I5006" s="3">
        <f>Vendas[[#This Row],[Valor Unitário]]*Vendas[[#This Row],[Qnt Vendida]]</f>
        <v>265.2</v>
      </c>
      <c r="J5006" s="3">
        <f>Vendas[[#This Row],[Valor da Venda]]-(_xlfn.XLOOKUP(Vendas[[#This Row],[ID Item Vendido]],Agregado[ID],Agregado[Custo])*Vendas[[#This Row],[Qnt Vendida]])</f>
        <v>61.199999999999989</v>
      </c>
      <c r="K5006" s="70">
        <f>Vendas[[#This Row],[Lucro da Venda]]/Vendas[[#This Row],[Valor da Venda]]</f>
        <v>0.23076923076923073</v>
      </c>
      <c r="L5006" s="3">
        <f>_xlfn.IFS(Vendas[[#This Row],[Margem de Lucro (%)]]&lt;15%,Vendas[[#This Row],[Valor da Venda]]*3%,Vendas[[#This Row],[Margem de Lucro (%)]]&lt;=20%,Vendas[[#This Row],[Valor da Venda]]*4.5%,TRUE,Vendas[[#This Row],[Valor da Venda]]*6%)</f>
        <v>15.911999999999999</v>
      </c>
      <c r="M5006"/>
    </row>
    <row r="5007" spans="1:13" x14ac:dyDescent="0.3">
      <c r="A5007" s="7">
        <v>400252</v>
      </c>
      <c r="B5007" t="str">
        <f>_xlfn.XLOOKUP(Vendas[[#This Row],[ID Vendedor]],Vendedores[ID],Vendedores[Nome])</f>
        <v>Renata</v>
      </c>
      <c r="C5007" s="7" t="str">
        <f>_xlfn.XLOOKUP(Vendas[[#This Row],[ID Vendedor]],Vendedores[ID],Vendedores[Setor])</f>
        <v>AB</v>
      </c>
      <c r="D5007" s="7" t="s">
        <v>37</v>
      </c>
      <c r="E5007" t="str">
        <f>_xlfn.XLOOKUP(Vendas[[#This Row],[ID Item Vendido]],Agregado[ID],Agregado[Produto])</f>
        <v>Composto de borracha para vedação rolo 10m</v>
      </c>
      <c r="F5007" s="39">
        <v>45938</v>
      </c>
      <c r="G5007" s="7">
        <v>22</v>
      </c>
      <c r="H5007" s="3">
        <f>_xlfn.XLOOKUP(Vendas[[#This Row],[ID Item Vendido]],Agregado[ID],Agregado[Revenda])</f>
        <v>51.2</v>
      </c>
      <c r="I5007" s="3">
        <f>Vendas[[#This Row],[Valor Unitário]]*Vendas[[#This Row],[Qnt Vendida]]</f>
        <v>1126.4000000000001</v>
      </c>
      <c r="J5007" s="3">
        <f>Vendas[[#This Row],[Valor da Venda]]-(_xlfn.XLOOKUP(Vendas[[#This Row],[ID Item Vendido]],Agregado[ID],Agregado[Custo])*Vendas[[#This Row],[Qnt Vendida]])</f>
        <v>246.40000000000009</v>
      </c>
      <c r="K5007" s="70">
        <f>Vendas[[#This Row],[Lucro da Venda]]/Vendas[[#This Row],[Valor da Venda]]</f>
        <v>0.21875000000000006</v>
      </c>
      <c r="L5007" s="3">
        <f>_xlfn.IFS(Vendas[[#This Row],[Margem de Lucro (%)]]&lt;15%,Vendas[[#This Row],[Valor da Venda]]*3%,Vendas[[#This Row],[Margem de Lucro (%)]]&lt;=20%,Vendas[[#This Row],[Valor da Venda]]*4.5%,TRUE,Vendas[[#This Row],[Valor da Venda]]*6%)</f>
        <v>67.584000000000003</v>
      </c>
      <c r="M5007"/>
    </row>
    <row r="5008" spans="1:13" x14ac:dyDescent="0.3">
      <c r="A5008" s="7">
        <v>400242</v>
      </c>
      <c r="B5008" t="str">
        <f>_xlfn.XLOOKUP(Vendas[[#This Row],[ID Vendedor]],Vendedores[ID],Vendedores[Nome])</f>
        <v>Fernanda</v>
      </c>
      <c r="C5008" s="7" t="str">
        <f>_xlfn.XLOOKUP(Vendas[[#This Row],[ID Vendedor]],Vendedores[ID],Vendedores[Setor])</f>
        <v>FM</v>
      </c>
      <c r="D5008" s="7" t="s">
        <v>47</v>
      </c>
      <c r="E5008" t="str">
        <f>_xlfn.XLOOKUP(Vendas[[#This Row],[ID Item Vendido]],Agregado[ID],Agregado[Produto])</f>
        <v>Fio de arame galvanizado rolo 50m</v>
      </c>
      <c r="F5008" s="39">
        <v>45938</v>
      </c>
      <c r="G5008" s="7">
        <v>33</v>
      </c>
      <c r="H5008" s="3">
        <f>_xlfn.XLOOKUP(Vendas[[#This Row],[ID Item Vendido]],Agregado[ID],Agregado[Revenda])</f>
        <v>21.2</v>
      </c>
      <c r="I5008" s="3">
        <f>Vendas[[#This Row],[Valor Unitário]]*Vendas[[#This Row],[Qnt Vendida]]</f>
        <v>699.6</v>
      </c>
      <c r="J5008" s="3">
        <f>Vendas[[#This Row],[Valor da Venda]]-(_xlfn.XLOOKUP(Vendas[[#This Row],[ID Item Vendido]],Agregado[ID],Agregado[Custo])*Vendas[[#This Row],[Qnt Vendida]])</f>
        <v>105.60000000000002</v>
      </c>
      <c r="K5008" s="70">
        <f>Vendas[[#This Row],[Lucro da Venda]]/Vendas[[#This Row],[Valor da Venda]]</f>
        <v>0.15094339622641512</v>
      </c>
      <c r="L5008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5008"/>
    </row>
    <row r="5009" spans="1:13" x14ac:dyDescent="0.3">
      <c r="A5009" s="7">
        <v>400252</v>
      </c>
      <c r="B5009" t="str">
        <f>_xlfn.XLOOKUP(Vendas[[#This Row],[ID Vendedor]],Vendedores[ID],Vendedores[Nome])</f>
        <v>Renata</v>
      </c>
      <c r="C5009" s="7" t="str">
        <f>_xlfn.XLOOKUP(Vendas[[#This Row],[ID Vendedor]],Vendedores[ID],Vendedores[Setor])</f>
        <v>AB</v>
      </c>
      <c r="D5009" s="7" t="s">
        <v>12</v>
      </c>
      <c r="E5009" t="str">
        <f>_xlfn.XLOOKUP(Vendas[[#This Row],[ID Item Vendido]],Agregado[ID],Agregado[Produto])</f>
        <v>Grânulo de plástico reciclado refinado</v>
      </c>
      <c r="F5009" s="39">
        <v>45938</v>
      </c>
      <c r="G5009" s="7">
        <v>102</v>
      </c>
      <c r="H5009" s="3">
        <f>_xlfn.XLOOKUP(Vendas[[#This Row],[ID Item Vendido]],Agregado[ID],Agregado[Revenda])</f>
        <v>4.7</v>
      </c>
      <c r="I5009" s="3">
        <f>Vendas[[#This Row],[Valor Unitário]]*Vendas[[#This Row],[Qnt Vendida]]</f>
        <v>479.40000000000003</v>
      </c>
      <c r="J5009" s="3">
        <f>Vendas[[#This Row],[Valor da Venda]]-(_xlfn.XLOOKUP(Vendas[[#This Row],[ID Item Vendido]],Agregado[ID],Agregado[Custo])*Vendas[[#This Row],[Qnt Vendida]])</f>
        <v>122.40000000000003</v>
      </c>
      <c r="K5009" s="70">
        <f>Vendas[[#This Row],[Lucro da Venda]]/Vendas[[#This Row],[Valor da Venda]]</f>
        <v>0.25531914893617025</v>
      </c>
      <c r="L5009" s="3">
        <f>_xlfn.IFS(Vendas[[#This Row],[Margem de Lucro (%)]]&lt;15%,Vendas[[#This Row],[Valor da Venda]]*3%,Vendas[[#This Row],[Margem de Lucro (%)]]&lt;=20%,Vendas[[#This Row],[Valor da Venda]]*4.5%,TRUE,Vendas[[#This Row],[Valor da Venda]]*6%)</f>
        <v>28.763999999999999</v>
      </c>
      <c r="M5009"/>
    </row>
    <row r="5010" spans="1:13" x14ac:dyDescent="0.3">
      <c r="A5010" s="7">
        <v>400242</v>
      </c>
      <c r="B5010" t="str">
        <f>_xlfn.XLOOKUP(Vendas[[#This Row],[ID Vendedor]],Vendedores[ID],Vendedores[Nome])</f>
        <v>Fernanda</v>
      </c>
      <c r="C5010" s="7" t="str">
        <f>_xlfn.XLOOKUP(Vendas[[#This Row],[ID Vendedor]],Vendedores[ID],Vendedores[Setor])</f>
        <v>FM</v>
      </c>
      <c r="D5010" s="7" t="s">
        <v>27</v>
      </c>
      <c r="E5010" t="str">
        <f>_xlfn.XLOOKUP(Vendas[[#This Row],[ID Item Vendido]],Agregado[ID],Agregado[Produto])</f>
        <v>Chapa de metal lisa 1x2m</v>
      </c>
      <c r="F5010" s="39">
        <v>45938</v>
      </c>
      <c r="G5010" s="7">
        <v>9</v>
      </c>
      <c r="H5010" s="3">
        <f>_xlfn.XLOOKUP(Vendas[[#This Row],[ID Item Vendido]],Agregado[ID],Agregado[Revenda])</f>
        <v>52</v>
      </c>
      <c r="I5010" s="3">
        <f>Vendas[[#This Row],[Valor Unitário]]*Vendas[[#This Row],[Qnt Vendida]]</f>
        <v>468</v>
      </c>
      <c r="J5010" s="3">
        <f>Vendas[[#This Row],[Valor da Venda]]-(_xlfn.XLOOKUP(Vendas[[#This Row],[ID Item Vendido]],Agregado[ID],Agregado[Custo])*Vendas[[#This Row],[Qnt Vendida]])</f>
        <v>63</v>
      </c>
      <c r="K5010" s="70">
        <f>Vendas[[#This Row],[Lucro da Venda]]/Vendas[[#This Row],[Valor da Venda]]</f>
        <v>0.13461538461538461</v>
      </c>
      <c r="L5010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010"/>
    </row>
    <row r="5011" spans="1:13" x14ac:dyDescent="0.3">
      <c r="A5011" s="7">
        <v>400242</v>
      </c>
      <c r="B5011" t="str">
        <f>_xlfn.XLOOKUP(Vendas[[#This Row],[ID Vendedor]],Vendedores[ID],Vendedores[Nome])</f>
        <v>Fernanda</v>
      </c>
      <c r="C5011" s="7" t="str">
        <f>_xlfn.XLOOKUP(Vendas[[#This Row],[ID Vendedor]],Vendedores[ID],Vendedores[Setor])</f>
        <v>FM</v>
      </c>
      <c r="D5011" s="7" t="s">
        <v>20</v>
      </c>
      <c r="E5011" t="str">
        <f>_xlfn.XLOOKUP(Vendas[[#This Row],[ID Item Vendido]],Agregado[ID],Agregado[Produto])</f>
        <v>Barra de aço simples</v>
      </c>
      <c r="F5011" s="39">
        <v>45938</v>
      </c>
      <c r="G5011" s="7">
        <v>60</v>
      </c>
      <c r="H5011" s="3">
        <f>_xlfn.XLOOKUP(Vendas[[#This Row],[ID Item Vendido]],Agregado[ID],Agregado[Revenda])</f>
        <v>4.8</v>
      </c>
      <c r="I5011" s="3">
        <f>Vendas[[#This Row],[Valor Unitário]]*Vendas[[#This Row],[Qnt Vendida]]</f>
        <v>288</v>
      </c>
      <c r="J5011" s="3">
        <f>Vendas[[#This Row],[Valor da Venda]]-(_xlfn.XLOOKUP(Vendas[[#This Row],[ID Item Vendido]],Agregado[ID],Agregado[Custo])*Vendas[[#This Row],[Qnt Vendida]])</f>
        <v>36</v>
      </c>
      <c r="K5011" s="70">
        <f>Vendas[[#This Row],[Lucro da Venda]]/Vendas[[#This Row],[Valor da Venda]]</f>
        <v>0.125</v>
      </c>
      <c r="L5011" s="3">
        <f>_xlfn.IFS(Vendas[[#This Row],[Margem de Lucro (%)]]&lt;15%,Vendas[[#This Row],[Valor da Venda]]*3%,Vendas[[#This Row],[Margem de Lucro (%)]]&lt;=20%,Vendas[[#This Row],[Valor da Venda]]*4.5%,TRUE,Vendas[[#This Row],[Valor da Venda]]*6%)</f>
        <v>8.64</v>
      </c>
      <c r="M5011"/>
    </row>
    <row r="5012" spans="1:13" x14ac:dyDescent="0.3">
      <c r="A5012" s="7">
        <v>400252</v>
      </c>
      <c r="B5012" t="str">
        <f>_xlfn.XLOOKUP(Vendas[[#This Row],[ID Vendedor]],Vendedores[ID],Vendedores[Nome])</f>
        <v>Renata</v>
      </c>
      <c r="C5012" s="7" t="str">
        <f>_xlfn.XLOOKUP(Vendas[[#This Row],[ID Vendedor]],Vendedores[ID],Vendedores[Setor])</f>
        <v>AB</v>
      </c>
      <c r="D5012" s="7" t="s">
        <v>24</v>
      </c>
      <c r="E5012" t="str">
        <f>_xlfn.XLOOKUP(Vendas[[#This Row],[ID Item Vendido]],Agregado[ID],Agregado[Produto])</f>
        <v>Resina plástica PET purificada saco de 25kg</v>
      </c>
      <c r="F5012" s="39">
        <v>45939</v>
      </c>
      <c r="G5012" s="7">
        <v>24</v>
      </c>
      <c r="H5012" s="3">
        <f>_xlfn.XLOOKUP(Vendas[[#This Row],[ID Item Vendido]],Agregado[ID],Agregado[Revenda])</f>
        <v>119</v>
      </c>
      <c r="I5012" s="3">
        <f>Vendas[[#This Row],[Valor Unitário]]*Vendas[[#This Row],[Qnt Vendida]]</f>
        <v>2856</v>
      </c>
      <c r="J5012" s="3">
        <f>Vendas[[#This Row],[Valor da Venda]]-(_xlfn.XLOOKUP(Vendas[[#This Row],[ID Item Vendido]],Agregado[ID],Agregado[Custo])*Vendas[[#This Row],[Qnt Vendida]])</f>
        <v>816</v>
      </c>
      <c r="K5012" s="70">
        <f>Vendas[[#This Row],[Lucro da Venda]]/Vendas[[#This Row],[Valor da Venda]]</f>
        <v>0.2857142857142857</v>
      </c>
      <c r="L5012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5012"/>
    </row>
    <row r="5013" spans="1:13" x14ac:dyDescent="0.3">
      <c r="A5013" s="7">
        <v>400249</v>
      </c>
      <c r="B5013" t="str">
        <f>_xlfn.XLOOKUP(Vendas[[#This Row],[ID Vendedor]],Vendedores[ID],Vendedores[Nome])</f>
        <v>Bruno</v>
      </c>
      <c r="C5013" s="7" t="str">
        <f>_xlfn.XLOOKUP(Vendas[[#This Row],[ID Vendedor]],Vendedores[ID],Vendedores[Setor])</f>
        <v>CM</v>
      </c>
      <c r="D5013" s="7" t="s">
        <v>34</v>
      </c>
      <c r="E5013" t="str">
        <f>_xlfn.XLOOKUP(Vendas[[#This Row],[ID Item Vendido]],Agregado[ID],Agregado[Produto])</f>
        <v>Restos de madeira p/ MDP/OSB saco de 20kg</v>
      </c>
      <c r="F5013" s="39">
        <v>45939</v>
      </c>
      <c r="G5013" s="7">
        <v>22</v>
      </c>
      <c r="H5013" s="3">
        <f>_xlfn.XLOOKUP(Vendas[[#This Row],[ID Item Vendido]],Agregado[ID],Agregado[Revenda])</f>
        <v>13.8</v>
      </c>
      <c r="I5013" s="3">
        <f>Vendas[[#This Row],[Valor Unitário]]*Vendas[[#This Row],[Qnt Vendida]]</f>
        <v>303.60000000000002</v>
      </c>
      <c r="J5013" s="3">
        <f>Vendas[[#This Row],[Valor da Venda]]-(_xlfn.XLOOKUP(Vendas[[#This Row],[ID Item Vendido]],Agregado[ID],Agregado[Custo])*Vendas[[#This Row],[Qnt Vendida]])</f>
        <v>39.600000000000023</v>
      </c>
      <c r="K5013" s="70">
        <f>Vendas[[#This Row],[Lucro da Venda]]/Vendas[[#This Row],[Valor da Venda]]</f>
        <v>0.1304347826086957</v>
      </c>
      <c r="L5013" s="3">
        <f>_xlfn.IFS(Vendas[[#This Row],[Margem de Lucro (%)]]&lt;15%,Vendas[[#This Row],[Valor da Venda]]*3%,Vendas[[#This Row],[Margem de Lucro (%)]]&lt;=20%,Vendas[[#This Row],[Valor da Venda]]*4.5%,TRUE,Vendas[[#This Row],[Valor da Venda]]*6%)</f>
        <v>9.1080000000000005</v>
      </c>
      <c r="M5013"/>
    </row>
    <row r="5014" spans="1:13" x14ac:dyDescent="0.3">
      <c r="A5014" s="7">
        <v>400244</v>
      </c>
      <c r="B5014" t="str">
        <f>_xlfn.XLOOKUP(Vendas[[#This Row],[ID Vendedor]],Vendedores[ID],Vendedores[Nome])</f>
        <v>Camila</v>
      </c>
      <c r="C5014" s="7" t="str">
        <f>_xlfn.XLOOKUP(Vendas[[#This Row],[ID Vendedor]],Vendedores[ID],Vendedores[Setor])</f>
        <v>AHD</v>
      </c>
      <c r="D5014" s="7" t="s">
        <v>44</v>
      </c>
      <c r="E5014" t="str">
        <f>_xlfn.XLOOKUP(Vendas[[#This Row],[ID Item Vendido]],Agregado[ID],Agregado[Produto])</f>
        <v>Liga metálica especial</v>
      </c>
      <c r="F5014" s="39">
        <v>45939</v>
      </c>
      <c r="G5014" s="7">
        <v>9</v>
      </c>
      <c r="H5014" s="3">
        <f>_xlfn.XLOOKUP(Vendas[[#This Row],[ID Item Vendido]],Agregado[ID],Agregado[Revenda])</f>
        <v>32.5</v>
      </c>
      <c r="I5014" s="3">
        <f>Vendas[[#This Row],[Valor Unitário]]*Vendas[[#This Row],[Qnt Vendida]]</f>
        <v>292.5</v>
      </c>
      <c r="J5014" s="3">
        <f>Vendas[[#This Row],[Valor da Venda]]-(_xlfn.XLOOKUP(Vendas[[#This Row],[ID Item Vendido]],Agregado[ID],Agregado[Custo])*Vendas[[#This Row],[Qnt Vendida]])</f>
        <v>67.5</v>
      </c>
      <c r="K5014" s="70">
        <f>Vendas[[#This Row],[Lucro da Venda]]/Vendas[[#This Row],[Valor da Venda]]</f>
        <v>0.23076923076923078</v>
      </c>
      <c r="L5014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5014"/>
    </row>
    <row r="5015" spans="1:13" x14ac:dyDescent="0.3">
      <c r="A5015" s="7">
        <v>400249</v>
      </c>
      <c r="B5015" t="str">
        <f>_xlfn.XLOOKUP(Vendas[[#This Row],[ID Vendedor]],Vendedores[ID],Vendedores[Nome])</f>
        <v>Bruno</v>
      </c>
      <c r="C5015" s="7" t="str">
        <f>_xlfn.XLOOKUP(Vendas[[#This Row],[ID Vendedor]],Vendedores[ID],Vendedores[Setor])</f>
        <v>CM</v>
      </c>
      <c r="D5015" s="7" t="s">
        <v>45</v>
      </c>
      <c r="E5015" t="str">
        <f>_xlfn.XLOOKUP(Vendas[[#This Row],[ID Item Vendido]],Agregado[ID],Agregado[Produto])</f>
        <v>Viga de madeira tratada 4m</v>
      </c>
      <c r="F5015" s="39">
        <v>45940</v>
      </c>
      <c r="G5015" s="7">
        <v>16</v>
      </c>
      <c r="H5015" s="3">
        <f>_xlfn.XLOOKUP(Vendas[[#This Row],[ID Item Vendido]],Agregado[ID],Agregado[Revenda])</f>
        <v>66</v>
      </c>
      <c r="I5015" s="3">
        <f>Vendas[[#This Row],[Valor Unitário]]*Vendas[[#This Row],[Qnt Vendida]]</f>
        <v>1056</v>
      </c>
      <c r="J5015" s="3">
        <f>Vendas[[#This Row],[Valor da Venda]]-(_xlfn.XLOOKUP(Vendas[[#This Row],[ID Item Vendido]],Agregado[ID],Agregado[Custo])*Vendas[[#This Row],[Qnt Vendida]])</f>
        <v>176</v>
      </c>
      <c r="K5015" s="70">
        <f>Vendas[[#This Row],[Lucro da Venda]]/Vendas[[#This Row],[Valor da Venda]]</f>
        <v>0.16666666666666666</v>
      </c>
      <c r="L5015" s="3">
        <f>_xlfn.IFS(Vendas[[#This Row],[Margem de Lucro (%)]]&lt;15%,Vendas[[#This Row],[Valor da Venda]]*3%,Vendas[[#This Row],[Margem de Lucro (%)]]&lt;=20%,Vendas[[#This Row],[Valor da Venda]]*4.5%,TRUE,Vendas[[#This Row],[Valor da Venda]]*6%)</f>
        <v>47.519999999999996</v>
      </c>
      <c r="M5015"/>
    </row>
    <row r="5016" spans="1:13" x14ac:dyDescent="0.3">
      <c r="A5016" s="7">
        <v>400246</v>
      </c>
      <c r="B5016" t="str">
        <f>_xlfn.XLOOKUP(Vendas[[#This Row],[ID Vendedor]],Vendedores[ID],Vendedores[Nome])</f>
        <v>Juliana</v>
      </c>
      <c r="C5016" s="7" t="str">
        <f>_xlfn.XLOOKUP(Vendas[[#This Row],[ID Vendedor]],Vendedores[ID],Vendedores[Setor])</f>
        <v>AHD</v>
      </c>
      <c r="D5016" s="7" t="s">
        <v>28</v>
      </c>
      <c r="E5016" t="str">
        <f>_xlfn.XLOOKUP(Vendas[[#This Row],[ID Item Vendido]],Agregado[ID],Agregado[Produto])</f>
        <v>Peça usinada CNC</v>
      </c>
      <c r="F5016" s="39">
        <v>45940</v>
      </c>
      <c r="G5016" s="7">
        <v>2</v>
      </c>
      <c r="H5016" s="3">
        <f>_xlfn.XLOOKUP(Vendas[[#This Row],[ID Item Vendido]],Agregado[ID],Agregado[Revenda])</f>
        <v>192</v>
      </c>
      <c r="I5016" s="3">
        <f>Vendas[[#This Row],[Valor Unitário]]*Vendas[[#This Row],[Qnt Vendida]]</f>
        <v>384</v>
      </c>
      <c r="J5016" s="3">
        <f>Vendas[[#This Row],[Valor da Venda]]-(_xlfn.XLOOKUP(Vendas[[#This Row],[ID Item Vendido]],Agregado[ID],Agregado[Custo])*Vendas[[#This Row],[Qnt Vendida]])</f>
        <v>84</v>
      </c>
      <c r="K5016" s="70">
        <f>Vendas[[#This Row],[Lucro da Venda]]/Vendas[[#This Row],[Valor da Venda]]</f>
        <v>0.21875</v>
      </c>
      <c r="L5016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5016"/>
    </row>
    <row r="5017" spans="1:13" x14ac:dyDescent="0.3">
      <c r="A5017" s="7">
        <v>400248</v>
      </c>
      <c r="B5017" t="str">
        <f>_xlfn.XLOOKUP(Vendas[[#This Row],[ID Vendedor]],Vendedores[ID],Vendedores[Nome])</f>
        <v>Patrícia</v>
      </c>
      <c r="C5017" s="7" t="str">
        <f>_xlfn.XLOOKUP(Vendas[[#This Row],[ID Vendedor]],Vendedores[ID],Vendedores[Setor])</f>
        <v>CM</v>
      </c>
      <c r="D5017" s="7" t="s">
        <v>34</v>
      </c>
      <c r="E5017" t="str">
        <f>_xlfn.XLOOKUP(Vendas[[#This Row],[ID Item Vendido]],Agregado[ID],Agregado[Produto])</f>
        <v>Restos de madeira p/ MDP/OSB saco de 20kg</v>
      </c>
      <c r="F5017" s="39">
        <v>45940</v>
      </c>
      <c r="G5017" s="7">
        <v>6</v>
      </c>
      <c r="H5017" s="3">
        <f>_xlfn.XLOOKUP(Vendas[[#This Row],[ID Item Vendido]],Agregado[ID],Agregado[Revenda])</f>
        <v>13.8</v>
      </c>
      <c r="I5017" s="3">
        <f>Vendas[[#This Row],[Valor Unitário]]*Vendas[[#This Row],[Qnt Vendida]]</f>
        <v>82.800000000000011</v>
      </c>
      <c r="J5017" s="3">
        <f>Vendas[[#This Row],[Valor da Venda]]-(_xlfn.XLOOKUP(Vendas[[#This Row],[ID Item Vendido]],Agregado[ID],Agregado[Custo])*Vendas[[#This Row],[Qnt Vendida]])</f>
        <v>10.800000000000011</v>
      </c>
      <c r="K5017" s="70">
        <f>Vendas[[#This Row],[Lucro da Venda]]/Vendas[[#This Row],[Valor da Venda]]</f>
        <v>0.13043478260869576</v>
      </c>
      <c r="L5017" s="3">
        <f>_xlfn.IFS(Vendas[[#This Row],[Margem de Lucro (%)]]&lt;15%,Vendas[[#This Row],[Valor da Venda]]*3%,Vendas[[#This Row],[Margem de Lucro (%)]]&lt;=20%,Vendas[[#This Row],[Valor da Venda]]*4.5%,TRUE,Vendas[[#This Row],[Valor da Venda]]*6%)</f>
        <v>2.4840000000000004</v>
      </c>
      <c r="M5017"/>
    </row>
    <row r="5018" spans="1:13" x14ac:dyDescent="0.3">
      <c r="A5018" s="7">
        <v>400244</v>
      </c>
      <c r="B5018" t="str">
        <f>_xlfn.XLOOKUP(Vendas[[#This Row],[ID Vendedor]],Vendedores[ID],Vendedores[Nome])</f>
        <v>Camila</v>
      </c>
      <c r="C5018" s="7" t="str">
        <f>_xlfn.XLOOKUP(Vendas[[#This Row],[ID Vendedor]],Vendedores[ID],Vendedores[Setor])</f>
        <v>AHD</v>
      </c>
      <c r="D5018" s="7" t="s">
        <v>44</v>
      </c>
      <c r="E5018" t="str">
        <f>_xlfn.XLOOKUP(Vendas[[#This Row],[ID Item Vendido]],Agregado[ID],Agregado[Produto])</f>
        <v>Liga metálica especial</v>
      </c>
      <c r="F5018" s="39">
        <v>45941</v>
      </c>
      <c r="G5018" s="7">
        <v>32</v>
      </c>
      <c r="H5018" s="3">
        <f>_xlfn.XLOOKUP(Vendas[[#This Row],[ID Item Vendido]],Agregado[ID],Agregado[Revenda])</f>
        <v>32.5</v>
      </c>
      <c r="I5018" s="3">
        <f>Vendas[[#This Row],[Valor Unitário]]*Vendas[[#This Row],[Qnt Vendida]]</f>
        <v>1040</v>
      </c>
      <c r="J5018" s="3">
        <f>Vendas[[#This Row],[Valor da Venda]]-(_xlfn.XLOOKUP(Vendas[[#This Row],[ID Item Vendido]],Agregado[ID],Agregado[Custo])*Vendas[[#This Row],[Qnt Vendida]])</f>
        <v>240</v>
      </c>
      <c r="K5018" s="70">
        <f>Vendas[[#This Row],[Lucro da Venda]]/Vendas[[#This Row],[Valor da Venda]]</f>
        <v>0.23076923076923078</v>
      </c>
      <c r="L5018" s="3">
        <f>_xlfn.IFS(Vendas[[#This Row],[Margem de Lucro (%)]]&lt;15%,Vendas[[#This Row],[Valor da Venda]]*3%,Vendas[[#This Row],[Margem de Lucro (%)]]&lt;=20%,Vendas[[#This Row],[Valor da Venda]]*4.5%,TRUE,Vendas[[#This Row],[Valor da Venda]]*6%)</f>
        <v>62.4</v>
      </c>
      <c r="M5018"/>
    </row>
    <row r="5019" spans="1:13" x14ac:dyDescent="0.3">
      <c r="A5019" s="7">
        <v>400252</v>
      </c>
      <c r="B5019" t="str">
        <f>_xlfn.XLOOKUP(Vendas[[#This Row],[ID Vendedor]],Vendedores[ID],Vendedores[Nome])</f>
        <v>Renata</v>
      </c>
      <c r="C5019" s="7" t="str">
        <f>_xlfn.XLOOKUP(Vendas[[#This Row],[ID Vendedor]],Vendedores[ID],Vendedores[Setor])</f>
        <v>AB</v>
      </c>
      <c r="D5019" s="7" t="s">
        <v>12</v>
      </c>
      <c r="E5019" t="str">
        <f>_xlfn.XLOOKUP(Vendas[[#This Row],[ID Item Vendido]],Agregado[ID],Agregado[Produto])</f>
        <v>Grânulo de plástico reciclado refinado</v>
      </c>
      <c r="F5019" s="39">
        <v>45941</v>
      </c>
      <c r="G5019" s="7">
        <v>135</v>
      </c>
      <c r="H5019" s="3">
        <f>_xlfn.XLOOKUP(Vendas[[#This Row],[ID Item Vendido]],Agregado[ID],Agregado[Revenda])</f>
        <v>4.7</v>
      </c>
      <c r="I5019" s="3">
        <f>Vendas[[#This Row],[Valor Unitário]]*Vendas[[#This Row],[Qnt Vendida]]</f>
        <v>634.5</v>
      </c>
      <c r="J5019" s="3">
        <f>Vendas[[#This Row],[Valor da Venda]]-(_xlfn.XLOOKUP(Vendas[[#This Row],[ID Item Vendido]],Agregado[ID],Agregado[Custo])*Vendas[[#This Row],[Qnt Vendida]])</f>
        <v>162</v>
      </c>
      <c r="K5019" s="70">
        <f>Vendas[[#This Row],[Lucro da Venda]]/Vendas[[#This Row],[Valor da Venda]]</f>
        <v>0.25531914893617019</v>
      </c>
      <c r="L5019" s="3">
        <f>_xlfn.IFS(Vendas[[#This Row],[Margem de Lucro (%)]]&lt;15%,Vendas[[#This Row],[Valor da Venda]]*3%,Vendas[[#This Row],[Margem de Lucro (%)]]&lt;=20%,Vendas[[#This Row],[Valor da Venda]]*4.5%,TRUE,Vendas[[#This Row],[Valor da Venda]]*6%)</f>
        <v>38.07</v>
      </c>
      <c r="M5019"/>
    </row>
    <row r="5020" spans="1:13" x14ac:dyDescent="0.3">
      <c r="A5020" s="7">
        <v>400246</v>
      </c>
      <c r="B5020" t="str">
        <f>_xlfn.XLOOKUP(Vendas[[#This Row],[ID Vendedor]],Vendedores[ID],Vendedores[Nome])</f>
        <v>Juliana</v>
      </c>
      <c r="C5020" s="7" t="str">
        <f>_xlfn.XLOOKUP(Vendas[[#This Row],[ID Vendedor]],Vendedores[ID],Vendedores[Setor])</f>
        <v>AHD</v>
      </c>
      <c r="D5020" s="7" t="s">
        <v>18</v>
      </c>
      <c r="E5020" t="str">
        <f>_xlfn.XLOOKUP(Vendas[[#This Row],[ID Item Vendido]],Agregado[ID],Agregado[Produto])</f>
        <v>Peça forjada sob encomenda</v>
      </c>
      <c r="F5020" s="39">
        <v>45941</v>
      </c>
      <c r="G5020" s="7">
        <v>1</v>
      </c>
      <c r="H5020" s="3">
        <f>_xlfn.XLOOKUP(Vendas[[#This Row],[ID Item Vendido]],Agregado[ID],Agregado[Revenda])</f>
        <v>264.60000000000002</v>
      </c>
      <c r="I5020" s="3">
        <f>Vendas[[#This Row],[Valor Unitário]]*Vendas[[#This Row],[Qnt Vendida]]</f>
        <v>264.60000000000002</v>
      </c>
      <c r="J5020" s="3">
        <f>Vendas[[#This Row],[Valor da Venda]]-(_xlfn.XLOOKUP(Vendas[[#This Row],[ID Item Vendido]],Agregado[ID],Agregado[Custo])*Vendas[[#This Row],[Qnt Vendida]])</f>
        <v>14.600000000000023</v>
      </c>
      <c r="K5020" s="70">
        <f>Vendas[[#This Row],[Lucro da Venda]]/Vendas[[#This Row],[Valor da Venda]]</f>
        <v>5.5177626606198113E-2</v>
      </c>
      <c r="L5020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020"/>
    </row>
    <row r="5021" spans="1:13" x14ac:dyDescent="0.3">
      <c r="A5021" s="7">
        <v>400252</v>
      </c>
      <c r="B5021" t="str">
        <f>_xlfn.XLOOKUP(Vendas[[#This Row],[ID Vendedor]],Vendedores[ID],Vendedores[Nome])</f>
        <v>Renata</v>
      </c>
      <c r="C5021" s="7" t="str">
        <f>_xlfn.XLOOKUP(Vendas[[#This Row],[ID Vendedor]],Vendedores[ID],Vendedores[Setor])</f>
        <v>AB</v>
      </c>
      <c r="D5021" s="7" t="s">
        <v>37</v>
      </c>
      <c r="E5021" t="str">
        <f>_xlfn.XLOOKUP(Vendas[[#This Row],[ID Item Vendido]],Agregado[ID],Agregado[Produto])</f>
        <v>Composto de borracha para vedação rolo 10m</v>
      </c>
      <c r="F5021" s="39">
        <v>45941</v>
      </c>
      <c r="G5021" s="7">
        <v>7</v>
      </c>
      <c r="H5021" s="3">
        <f>_xlfn.XLOOKUP(Vendas[[#This Row],[ID Item Vendido]],Agregado[ID],Agregado[Revenda])</f>
        <v>51.2</v>
      </c>
      <c r="I5021" s="3">
        <f>Vendas[[#This Row],[Valor Unitário]]*Vendas[[#This Row],[Qnt Vendida]]</f>
        <v>358.40000000000003</v>
      </c>
      <c r="J5021" s="3">
        <f>Vendas[[#This Row],[Valor da Venda]]-(_xlfn.XLOOKUP(Vendas[[#This Row],[ID Item Vendido]],Agregado[ID],Agregado[Custo])*Vendas[[#This Row],[Qnt Vendida]])</f>
        <v>78.400000000000034</v>
      </c>
      <c r="K5021" s="70">
        <f>Vendas[[#This Row],[Lucro da Venda]]/Vendas[[#This Row],[Valor da Venda]]</f>
        <v>0.21875000000000008</v>
      </c>
      <c r="L5021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5021"/>
    </row>
    <row r="5022" spans="1:13" x14ac:dyDescent="0.3">
      <c r="A5022" s="7">
        <v>400250</v>
      </c>
      <c r="B5022" t="str">
        <f>_xlfn.XLOOKUP(Vendas[[#This Row],[ID Vendedor]],Vendedores[ID],Vendedores[Nome])</f>
        <v>Larissa</v>
      </c>
      <c r="C5022" s="7" t="str">
        <f>_xlfn.XLOOKUP(Vendas[[#This Row],[ID Vendedor]],Vendedores[ID],Vendedores[Setor])</f>
        <v>AB</v>
      </c>
      <c r="D5022" s="7" t="s">
        <v>12</v>
      </c>
      <c r="E5022" t="str">
        <f>_xlfn.XLOOKUP(Vendas[[#This Row],[ID Item Vendido]],Agregado[ID],Agregado[Produto])</f>
        <v>Grânulo de plástico reciclado refinado</v>
      </c>
      <c r="F5022" s="39">
        <v>45941</v>
      </c>
      <c r="G5022" s="7">
        <v>73</v>
      </c>
      <c r="H5022" s="3">
        <f>_xlfn.XLOOKUP(Vendas[[#This Row],[ID Item Vendido]],Agregado[ID],Agregado[Revenda])</f>
        <v>4.7</v>
      </c>
      <c r="I5022" s="3">
        <f>Vendas[[#This Row],[Valor Unitário]]*Vendas[[#This Row],[Qnt Vendida]]</f>
        <v>343.1</v>
      </c>
      <c r="J5022" s="3">
        <f>Vendas[[#This Row],[Valor da Venda]]-(_xlfn.XLOOKUP(Vendas[[#This Row],[ID Item Vendido]],Agregado[ID],Agregado[Custo])*Vendas[[#This Row],[Qnt Vendida]])</f>
        <v>87.600000000000023</v>
      </c>
      <c r="K5022" s="70">
        <f>Vendas[[#This Row],[Lucro da Venda]]/Vendas[[#This Row],[Valor da Venda]]</f>
        <v>0.25531914893617025</v>
      </c>
      <c r="L5022" s="3">
        <f>_xlfn.IFS(Vendas[[#This Row],[Margem de Lucro (%)]]&lt;15%,Vendas[[#This Row],[Valor da Venda]]*3%,Vendas[[#This Row],[Margem de Lucro (%)]]&lt;=20%,Vendas[[#This Row],[Valor da Venda]]*4.5%,TRUE,Vendas[[#This Row],[Valor da Venda]]*6%)</f>
        <v>20.586000000000002</v>
      </c>
      <c r="M5022"/>
    </row>
    <row r="5023" spans="1:13" x14ac:dyDescent="0.3">
      <c r="A5023" s="7">
        <v>400241</v>
      </c>
      <c r="B5023" t="str">
        <f>_xlfn.XLOOKUP(Vendas[[#This Row],[ID Vendedor]],Vendedores[ID],Vendedores[Nome])</f>
        <v>Rodrigo</v>
      </c>
      <c r="C5023" s="7" t="str">
        <f>_xlfn.XLOOKUP(Vendas[[#This Row],[ID Vendedor]],Vendedores[ID],Vendedores[Setor])</f>
        <v>FM</v>
      </c>
      <c r="D5023" s="7" t="s">
        <v>6</v>
      </c>
      <c r="E5023" t="str">
        <f>_xlfn.XLOOKUP(Vendas[[#This Row],[ID Item Vendido]],Agregado[ID],Agregado[Produto])</f>
        <v>Parafuso comum 500un</v>
      </c>
      <c r="F5023" s="39">
        <v>45941</v>
      </c>
      <c r="G5023" s="7">
        <v>9</v>
      </c>
      <c r="H5023" s="3">
        <f>_xlfn.XLOOKUP(Vendas[[#This Row],[ID Item Vendido]],Agregado[ID],Agregado[Revenda])</f>
        <v>24.6</v>
      </c>
      <c r="I5023" s="3">
        <f>Vendas[[#This Row],[Valor Unitário]]*Vendas[[#This Row],[Qnt Vendida]]</f>
        <v>221.4</v>
      </c>
      <c r="J5023" s="3">
        <f>Vendas[[#This Row],[Valor da Venda]]-(_xlfn.XLOOKUP(Vendas[[#This Row],[ID Item Vendido]],Agregado[ID],Agregado[Custo])*Vendas[[#This Row],[Qnt Vendida]])</f>
        <v>23.400000000000006</v>
      </c>
      <c r="K5023" s="70">
        <f>Vendas[[#This Row],[Lucro da Venda]]/Vendas[[#This Row],[Valor da Venda]]</f>
        <v>0.10569105691056913</v>
      </c>
      <c r="L5023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5023"/>
    </row>
    <row r="5024" spans="1:13" x14ac:dyDescent="0.3">
      <c r="A5024" s="7">
        <v>400241</v>
      </c>
      <c r="B5024" t="str">
        <f>_xlfn.XLOOKUP(Vendas[[#This Row],[ID Vendedor]],Vendedores[ID],Vendedores[Nome])</f>
        <v>Rodrigo</v>
      </c>
      <c r="C5024" s="7" t="str">
        <f>_xlfn.XLOOKUP(Vendas[[#This Row],[ID Vendedor]],Vendedores[ID],Vendedores[Setor])</f>
        <v>FM</v>
      </c>
      <c r="D5024" s="7" t="s">
        <v>27</v>
      </c>
      <c r="E5024" t="str">
        <f>_xlfn.XLOOKUP(Vendas[[#This Row],[ID Item Vendido]],Agregado[ID],Agregado[Produto])</f>
        <v>Chapa de metal lisa 1x2m</v>
      </c>
      <c r="F5024" s="39">
        <v>45942</v>
      </c>
      <c r="G5024" s="7">
        <v>29</v>
      </c>
      <c r="H5024" s="3">
        <f>_xlfn.XLOOKUP(Vendas[[#This Row],[ID Item Vendido]],Agregado[ID],Agregado[Revenda])</f>
        <v>52</v>
      </c>
      <c r="I5024" s="3">
        <f>Vendas[[#This Row],[Valor Unitário]]*Vendas[[#This Row],[Qnt Vendida]]</f>
        <v>1508</v>
      </c>
      <c r="J5024" s="3">
        <f>Vendas[[#This Row],[Valor da Venda]]-(_xlfn.XLOOKUP(Vendas[[#This Row],[ID Item Vendido]],Agregado[ID],Agregado[Custo])*Vendas[[#This Row],[Qnt Vendida]])</f>
        <v>203</v>
      </c>
      <c r="K5024" s="70">
        <f>Vendas[[#This Row],[Lucro da Venda]]/Vendas[[#This Row],[Valor da Venda]]</f>
        <v>0.13461538461538461</v>
      </c>
      <c r="L5024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5024"/>
    </row>
    <row r="5025" spans="1:13" x14ac:dyDescent="0.3">
      <c r="A5025" s="7">
        <v>400242</v>
      </c>
      <c r="B5025" t="str">
        <f>_xlfn.XLOOKUP(Vendas[[#This Row],[ID Vendedor]],Vendedores[ID],Vendedores[Nome])</f>
        <v>Fernanda</v>
      </c>
      <c r="C5025" s="7" t="str">
        <f>_xlfn.XLOOKUP(Vendas[[#This Row],[ID Vendedor]],Vendedores[ID],Vendedores[Setor])</f>
        <v>FM</v>
      </c>
      <c r="D5025" s="7" t="s">
        <v>27</v>
      </c>
      <c r="E5025" t="str">
        <f>_xlfn.XLOOKUP(Vendas[[#This Row],[ID Item Vendido]],Agregado[ID],Agregado[Produto])</f>
        <v>Chapa de metal lisa 1x2m</v>
      </c>
      <c r="F5025" s="39">
        <v>45942</v>
      </c>
      <c r="G5025" s="7">
        <v>3</v>
      </c>
      <c r="H5025" s="3">
        <f>_xlfn.XLOOKUP(Vendas[[#This Row],[ID Item Vendido]],Agregado[ID],Agregado[Revenda])</f>
        <v>52</v>
      </c>
      <c r="I5025" s="3">
        <f>Vendas[[#This Row],[Valor Unitário]]*Vendas[[#This Row],[Qnt Vendida]]</f>
        <v>156</v>
      </c>
      <c r="J5025" s="3">
        <f>Vendas[[#This Row],[Valor da Venda]]-(_xlfn.XLOOKUP(Vendas[[#This Row],[ID Item Vendido]],Agregado[ID],Agregado[Custo])*Vendas[[#This Row],[Qnt Vendida]])</f>
        <v>21</v>
      </c>
      <c r="K5025" s="70">
        <f>Vendas[[#This Row],[Lucro da Venda]]/Vendas[[#This Row],[Valor da Venda]]</f>
        <v>0.13461538461538461</v>
      </c>
      <c r="L5025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025"/>
    </row>
    <row r="5026" spans="1:13" x14ac:dyDescent="0.3">
      <c r="A5026" s="7">
        <v>400249</v>
      </c>
      <c r="B5026" t="str">
        <f>_xlfn.XLOOKUP(Vendas[[#This Row],[ID Vendedor]],Vendedores[ID],Vendedores[Nome])</f>
        <v>Bruno</v>
      </c>
      <c r="C5026" s="7" t="str">
        <f>_xlfn.XLOOKUP(Vendas[[#This Row],[ID Vendedor]],Vendedores[ID],Vendedores[Setor])</f>
        <v>CM</v>
      </c>
      <c r="D5026" s="7" t="s">
        <v>43</v>
      </c>
      <c r="E5026" t="str">
        <f>_xlfn.XLOOKUP(Vendas[[#This Row],[ID Item Vendido]],Agregado[ID],Agregado[Produto])</f>
        <v>Madeira Bruta (Tora)</v>
      </c>
      <c r="F5026" s="39">
        <v>45944</v>
      </c>
      <c r="G5026" s="7">
        <v>6</v>
      </c>
      <c r="H5026" s="3">
        <f>_xlfn.XLOOKUP(Vendas[[#This Row],[ID Item Vendido]],Agregado[ID],Agregado[Revenda])</f>
        <v>212</v>
      </c>
      <c r="I5026" s="3">
        <f>Vendas[[#This Row],[Valor Unitário]]*Vendas[[#This Row],[Qnt Vendida]]</f>
        <v>1272</v>
      </c>
      <c r="J5026" s="3">
        <f>Vendas[[#This Row],[Valor da Venda]]-(_xlfn.XLOOKUP(Vendas[[#This Row],[ID Item Vendido]],Agregado[ID],Agregado[Custo])*Vendas[[#This Row],[Qnt Vendida]])</f>
        <v>192</v>
      </c>
      <c r="K5026" s="70">
        <f>Vendas[[#This Row],[Lucro da Venda]]/Vendas[[#This Row],[Valor da Venda]]</f>
        <v>0.15094339622641509</v>
      </c>
      <c r="L5026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5026"/>
    </row>
    <row r="5027" spans="1:13" x14ac:dyDescent="0.3">
      <c r="A5027" s="7">
        <v>400245</v>
      </c>
      <c r="B5027" t="str">
        <f>_xlfn.XLOOKUP(Vendas[[#This Row],[ID Vendedor]],Vendedores[ID],Vendedores[Nome])</f>
        <v>Thiago</v>
      </c>
      <c r="C5027" s="7" t="str">
        <f>_xlfn.XLOOKUP(Vendas[[#This Row],[ID Vendedor]],Vendedores[ID],Vendedores[Setor])</f>
        <v>AHD</v>
      </c>
      <c r="D5027" s="7" t="s">
        <v>44</v>
      </c>
      <c r="E5027" t="str">
        <f>_xlfn.XLOOKUP(Vendas[[#This Row],[ID Item Vendido]],Agregado[ID],Agregado[Produto])</f>
        <v>Liga metálica especial</v>
      </c>
      <c r="F5027" s="39">
        <v>45946</v>
      </c>
      <c r="G5027" s="7">
        <v>58</v>
      </c>
      <c r="H5027" s="3">
        <f>_xlfn.XLOOKUP(Vendas[[#This Row],[ID Item Vendido]],Agregado[ID],Agregado[Revenda])</f>
        <v>32.5</v>
      </c>
      <c r="I5027" s="3">
        <f>Vendas[[#This Row],[Valor Unitário]]*Vendas[[#This Row],[Qnt Vendida]]</f>
        <v>1885</v>
      </c>
      <c r="J5027" s="3">
        <f>Vendas[[#This Row],[Valor da Venda]]-(_xlfn.XLOOKUP(Vendas[[#This Row],[ID Item Vendido]],Agregado[ID],Agregado[Custo])*Vendas[[#This Row],[Qnt Vendida]])</f>
        <v>435</v>
      </c>
      <c r="K5027" s="70">
        <f>Vendas[[#This Row],[Lucro da Venda]]/Vendas[[#This Row],[Valor da Venda]]</f>
        <v>0.23076923076923078</v>
      </c>
      <c r="L5027" s="3">
        <f>_xlfn.IFS(Vendas[[#This Row],[Margem de Lucro (%)]]&lt;15%,Vendas[[#This Row],[Valor da Venda]]*3%,Vendas[[#This Row],[Margem de Lucro (%)]]&lt;=20%,Vendas[[#This Row],[Valor da Venda]]*4.5%,TRUE,Vendas[[#This Row],[Valor da Venda]]*6%)</f>
        <v>113.1</v>
      </c>
      <c r="M5027"/>
    </row>
    <row r="5028" spans="1:13" x14ac:dyDescent="0.3">
      <c r="A5028" s="7">
        <v>400249</v>
      </c>
      <c r="B5028" t="str">
        <f>_xlfn.XLOOKUP(Vendas[[#This Row],[ID Vendedor]],Vendedores[ID],Vendedores[Nome])</f>
        <v>Bruno</v>
      </c>
      <c r="C5028" s="7" t="str">
        <f>_xlfn.XLOOKUP(Vendas[[#This Row],[ID Vendedor]],Vendedores[ID],Vendedores[Setor])</f>
        <v>CM</v>
      </c>
      <c r="D5028" s="7" t="s">
        <v>22</v>
      </c>
      <c r="E5028" t="str">
        <f>_xlfn.XLOOKUP(Vendas[[#This Row],[ID Item Vendido]],Agregado[ID],Agregado[Produto])</f>
        <v>Painel MDP 2,75x1,83m</v>
      </c>
      <c r="F5028" s="39">
        <v>45946</v>
      </c>
      <c r="G5028" s="7">
        <v>15</v>
      </c>
      <c r="H5028" s="3">
        <f>_xlfn.XLOOKUP(Vendas[[#This Row],[ID Item Vendido]],Agregado[ID],Agregado[Revenda])</f>
        <v>119</v>
      </c>
      <c r="I5028" s="3">
        <f>Vendas[[#This Row],[Valor Unitário]]*Vendas[[#This Row],[Qnt Vendida]]</f>
        <v>1785</v>
      </c>
      <c r="J5028" s="3">
        <f>Vendas[[#This Row],[Valor da Venda]]-(_xlfn.XLOOKUP(Vendas[[#This Row],[ID Item Vendido]],Agregado[ID],Agregado[Custo])*Vendas[[#This Row],[Qnt Vendida]])</f>
        <v>360</v>
      </c>
      <c r="K5028" s="70">
        <f>Vendas[[#This Row],[Lucro da Venda]]/Vendas[[#This Row],[Valor da Venda]]</f>
        <v>0.20168067226890757</v>
      </c>
      <c r="L5028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5028"/>
    </row>
    <row r="5029" spans="1:13" x14ac:dyDescent="0.3">
      <c r="A5029" s="7">
        <v>400253</v>
      </c>
      <c r="B5029" t="str">
        <f>_xlfn.XLOOKUP(Vendas[[#This Row],[ID Vendedor]],Vendedores[ID],Vendedores[Nome])</f>
        <v>Gustavo</v>
      </c>
      <c r="C5029" s="7" t="str">
        <f>_xlfn.XLOOKUP(Vendas[[#This Row],[ID Vendedor]],Vendedores[ID],Vendedores[Setor])</f>
        <v>SC</v>
      </c>
      <c r="D5029" s="7" t="s">
        <v>41</v>
      </c>
      <c r="E5029" t="str">
        <f>_xlfn.XLOOKUP(Vendas[[#This Row],[ID Item Vendido]],Agregado[ID],Agregado[Produto])</f>
        <v>Palete de madeira reforçado</v>
      </c>
      <c r="F5029" s="39">
        <v>45946</v>
      </c>
      <c r="G5029" s="7">
        <v>2</v>
      </c>
      <c r="H5029" s="3">
        <f>_xlfn.XLOOKUP(Vendas[[#This Row],[ID Item Vendido]],Agregado[ID],Agregado[Revenda])</f>
        <v>131</v>
      </c>
      <c r="I5029" s="3">
        <f>Vendas[[#This Row],[Valor Unitário]]*Vendas[[#This Row],[Qnt Vendida]]</f>
        <v>262</v>
      </c>
      <c r="J5029" s="3">
        <f>Vendas[[#This Row],[Valor da Venda]]-(_xlfn.XLOOKUP(Vendas[[#This Row],[ID Item Vendido]],Agregado[ID],Agregado[Custo])*Vendas[[#This Row],[Qnt Vendida]])</f>
        <v>42</v>
      </c>
      <c r="K5029" s="70">
        <f>Vendas[[#This Row],[Lucro da Venda]]/Vendas[[#This Row],[Valor da Venda]]</f>
        <v>0.16030534351145037</v>
      </c>
      <c r="L5029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029"/>
    </row>
    <row r="5030" spans="1:13" x14ac:dyDescent="0.3">
      <c r="A5030" s="7">
        <v>400251</v>
      </c>
      <c r="B5030" t="str">
        <f>_xlfn.XLOOKUP(Vendas[[#This Row],[ID Vendedor]],Vendedores[ID],Vendedores[Nome])</f>
        <v>Diego</v>
      </c>
      <c r="C5030" s="7" t="str">
        <f>_xlfn.XLOOKUP(Vendas[[#This Row],[ID Vendedor]],Vendedores[ID],Vendedores[Setor])</f>
        <v>AB</v>
      </c>
      <c r="D5030" s="7" t="s">
        <v>24</v>
      </c>
      <c r="E5030" t="str">
        <f>_xlfn.XLOOKUP(Vendas[[#This Row],[ID Item Vendido]],Agregado[ID],Agregado[Produto])</f>
        <v>Resina plástica PET purificada saco de 25kg</v>
      </c>
      <c r="F5030" s="39">
        <v>45947</v>
      </c>
      <c r="G5030" s="7">
        <v>22</v>
      </c>
      <c r="H5030" s="3">
        <f>_xlfn.XLOOKUP(Vendas[[#This Row],[ID Item Vendido]],Agregado[ID],Agregado[Revenda])</f>
        <v>119</v>
      </c>
      <c r="I5030" s="3">
        <f>Vendas[[#This Row],[Valor Unitário]]*Vendas[[#This Row],[Qnt Vendida]]</f>
        <v>2618</v>
      </c>
      <c r="J5030" s="3">
        <f>Vendas[[#This Row],[Valor da Venda]]-(_xlfn.XLOOKUP(Vendas[[#This Row],[ID Item Vendido]],Agregado[ID],Agregado[Custo])*Vendas[[#This Row],[Qnt Vendida]])</f>
        <v>748</v>
      </c>
      <c r="K5030" s="70">
        <f>Vendas[[#This Row],[Lucro da Venda]]/Vendas[[#This Row],[Valor da Venda]]</f>
        <v>0.2857142857142857</v>
      </c>
      <c r="L5030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5030"/>
    </row>
    <row r="5031" spans="1:13" x14ac:dyDescent="0.3">
      <c r="A5031" s="7">
        <v>400244</v>
      </c>
      <c r="B5031" t="str">
        <f>_xlfn.XLOOKUP(Vendas[[#This Row],[ID Vendedor]],Vendedores[ID],Vendedores[Nome])</f>
        <v>Camila</v>
      </c>
      <c r="C5031" s="7" t="str">
        <f>_xlfn.XLOOKUP(Vendas[[#This Row],[ID Vendedor]],Vendedores[ID],Vendedores[Setor])</f>
        <v>AHD</v>
      </c>
      <c r="D5031" s="7" t="s">
        <v>18</v>
      </c>
      <c r="E5031" t="str">
        <f>_xlfn.XLOOKUP(Vendas[[#This Row],[ID Item Vendido]],Agregado[ID],Agregado[Produto])</f>
        <v>Peça forjada sob encomenda</v>
      </c>
      <c r="F5031" s="39">
        <v>45947</v>
      </c>
      <c r="G5031" s="7">
        <v>5</v>
      </c>
      <c r="H5031" s="3">
        <f>_xlfn.XLOOKUP(Vendas[[#This Row],[ID Item Vendido]],Agregado[ID],Agregado[Revenda])</f>
        <v>264.60000000000002</v>
      </c>
      <c r="I5031" s="3">
        <f>Vendas[[#This Row],[Valor Unitário]]*Vendas[[#This Row],[Qnt Vendida]]</f>
        <v>1323</v>
      </c>
      <c r="J5031" s="3">
        <f>Vendas[[#This Row],[Valor da Venda]]-(_xlfn.XLOOKUP(Vendas[[#This Row],[ID Item Vendido]],Agregado[ID],Agregado[Custo])*Vendas[[#This Row],[Qnt Vendida]])</f>
        <v>73</v>
      </c>
      <c r="K5031" s="70">
        <f>Vendas[[#This Row],[Lucro da Venda]]/Vendas[[#This Row],[Valor da Venda]]</f>
        <v>5.5177626606198037E-2</v>
      </c>
      <c r="L503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5031"/>
    </row>
    <row r="5032" spans="1:13" x14ac:dyDescent="0.3">
      <c r="A5032" s="7">
        <v>400253</v>
      </c>
      <c r="B5032" t="str">
        <f>_xlfn.XLOOKUP(Vendas[[#This Row],[ID Vendedor]],Vendedores[ID],Vendedores[Nome])</f>
        <v>Gustavo</v>
      </c>
      <c r="C5032" s="7" t="str">
        <f>_xlfn.XLOOKUP(Vendas[[#This Row],[ID Vendedor]],Vendedores[ID],Vendedores[Setor])</f>
        <v>SC</v>
      </c>
      <c r="D5032" s="7" t="s">
        <v>48</v>
      </c>
      <c r="E5032" t="str">
        <f>_xlfn.XLOOKUP(Vendas[[#This Row],[ID Item Vendido]],Agregado[ID],Agregado[Produto])</f>
        <v>Tambor metálico 200L</v>
      </c>
      <c r="F5032" s="39">
        <v>45947</v>
      </c>
      <c r="G5032" s="7">
        <v>12</v>
      </c>
      <c r="H5032" s="3">
        <f>_xlfn.XLOOKUP(Vendas[[#This Row],[ID Item Vendido]],Agregado[ID],Agregado[Revenda])</f>
        <v>144</v>
      </c>
      <c r="I5032" s="3">
        <f>Vendas[[#This Row],[Valor Unitário]]*Vendas[[#This Row],[Qnt Vendida]]</f>
        <v>1728</v>
      </c>
      <c r="J5032" s="3">
        <f>Vendas[[#This Row],[Valor da Venda]]-(_xlfn.XLOOKUP(Vendas[[#This Row],[ID Item Vendido]],Agregado[ID],Agregado[Custo])*Vendas[[#This Row],[Qnt Vendida]])</f>
        <v>288</v>
      </c>
      <c r="K5032" s="70">
        <f>Vendas[[#This Row],[Lucro da Venda]]/Vendas[[#This Row],[Valor da Venda]]</f>
        <v>0.16666666666666666</v>
      </c>
      <c r="L5032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032"/>
    </row>
    <row r="5033" spans="1:13" x14ac:dyDescent="0.3">
      <c r="A5033" s="7">
        <v>400254</v>
      </c>
      <c r="B5033" t="str">
        <f>_xlfn.XLOOKUP(Vendas[[#This Row],[ID Vendedor]],Vendedores[ID],Vendedores[Nome])</f>
        <v>Beatriz</v>
      </c>
      <c r="C5033" s="7" t="str">
        <f>_xlfn.XLOOKUP(Vendas[[#This Row],[ID Vendedor]],Vendedores[ID],Vendedores[Setor])</f>
        <v>SC</v>
      </c>
      <c r="D5033" s="7" t="s">
        <v>48</v>
      </c>
      <c r="E5033" t="str">
        <f>_xlfn.XLOOKUP(Vendas[[#This Row],[ID Item Vendido]],Agregado[ID],Agregado[Produto])</f>
        <v>Tambor metálico 200L</v>
      </c>
      <c r="F5033" s="39">
        <v>45947</v>
      </c>
      <c r="G5033" s="7">
        <v>10</v>
      </c>
      <c r="H5033" s="3">
        <f>_xlfn.XLOOKUP(Vendas[[#This Row],[ID Item Vendido]],Agregado[ID],Agregado[Revenda])</f>
        <v>144</v>
      </c>
      <c r="I5033" s="3">
        <f>Vendas[[#This Row],[Valor Unitário]]*Vendas[[#This Row],[Qnt Vendida]]</f>
        <v>1440</v>
      </c>
      <c r="J5033" s="3">
        <f>Vendas[[#This Row],[Valor da Venda]]-(_xlfn.XLOOKUP(Vendas[[#This Row],[ID Item Vendido]],Agregado[ID],Agregado[Custo])*Vendas[[#This Row],[Qnt Vendida]])</f>
        <v>240</v>
      </c>
      <c r="K5033" s="70">
        <f>Vendas[[#This Row],[Lucro da Venda]]/Vendas[[#This Row],[Valor da Venda]]</f>
        <v>0.16666666666666666</v>
      </c>
      <c r="L5033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5033"/>
    </row>
    <row r="5034" spans="1:13" x14ac:dyDescent="0.3">
      <c r="A5034" s="7">
        <v>400246</v>
      </c>
      <c r="B5034" t="str">
        <f>_xlfn.XLOOKUP(Vendas[[#This Row],[ID Vendedor]],Vendedores[ID],Vendedores[Nome])</f>
        <v>Juliana</v>
      </c>
      <c r="C5034" s="7" t="str">
        <f>_xlfn.XLOOKUP(Vendas[[#This Row],[ID Vendedor]],Vendedores[ID],Vendedores[Setor])</f>
        <v>AHD</v>
      </c>
      <c r="D5034" s="7" t="s">
        <v>44</v>
      </c>
      <c r="E5034" t="str">
        <f>_xlfn.XLOOKUP(Vendas[[#This Row],[ID Item Vendido]],Agregado[ID],Agregado[Produto])</f>
        <v>Liga metálica especial</v>
      </c>
      <c r="F5034" s="39">
        <v>45947</v>
      </c>
      <c r="G5034" s="7">
        <v>39</v>
      </c>
      <c r="H5034" s="3">
        <f>_xlfn.XLOOKUP(Vendas[[#This Row],[ID Item Vendido]],Agregado[ID],Agregado[Revenda])</f>
        <v>32.5</v>
      </c>
      <c r="I5034" s="3">
        <f>Vendas[[#This Row],[Valor Unitário]]*Vendas[[#This Row],[Qnt Vendida]]</f>
        <v>1267.5</v>
      </c>
      <c r="J5034" s="3">
        <f>Vendas[[#This Row],[Valor da Venda]]-(_xlfn.XLOOKUP(Vendas[[#This Row],[ID Item Vendido]],Agregado[ID],Agregado[Custo])*Vendas[[#This Row],[Qnt Vendida]])</f>
        <v>292.5</v>
      </c>
      <c r="K5034" s="70">
        <f>Vendas[[#This Row],[Lucro da Venda]]/Vendas[[#This Row],[Valor da Venda]]</f>
        <v>0.23076923076923078</v>
      </c>
      <c r="L5034" s="3">
        <f>_xlfn.IFS(Vendas[[#This Row],[Margem de Lucro (%)]]&lt;15%,Vendas[[#This Row],[Valor da Venda]]*3%,Vendas[[#This Row],[Margem de Lucro (%)]]&lt;=20%,Vendas[[#This Row],[Valor da Venda]]*4.5%,TRUE,Vendas[[#This Row],[Valor da Venda]]*6%)</f>
        <v>76.05</v>
      </c>
      <c r="M5034"/>
    </row>
    <row r="5035" spans="1:13" x14ac:dyDescent="0.3">
      <c r="A5035" s="7">
        <v>400255</v>
      </c>
      <c r="B5035" t="str">
        <f>_xlfn.XLOOKUP(Vendas[[#This Row],[ID Vendedor]],Vendedores[ID],Vendedores[Nome])</f>
        <v>Carlos</v>
      </c>
      <c r="C5035" s="7" t="str">
        <f>_xlfn.XLOOKUP(Vendas[[#This Row],[ID Vendedor]],Vendedores[ID],Vendedores[Setor])</f>
        <v>SC</v>
      </c>
      <c r="D5035" s="7" t="s">
        <v>41</v>
      </c>
      <c r="E5035" t="str">
        <f>_xlfn.XLOOKUP(Vendas[[#This Row],[ID Item Vendido]],Agregado[ID],Agregado[Produto])</f>
        <v>Palete de madeira reforçado</v>
      </c>
      <c r="F5035" s="39">
        <v>45947</v>
      </c>
      <c r="G5035" s="7">
        <v>4</v>
      </c>
      <c r="H5035" s="3">
        <f>_xlfn.XLOOKUP(Vendas[[#This Row],[ID Item Vendido]],Agregado[ID],Agregado[Revenda])</f>
        <v>131</v>
      </c>
      <c r="I5035" s="3">
        <f>Vendas[[#This Row],[Valor Unitário]]*Vendas[[#This Row],[Qnt Vendida]]</f>
        <v>524</v>
      </c>
      <c r="J5035" s="3">
        <f>Vendas[[#This Row],[Valor da Venda]]-(_xlfn.XLOOKUP(Vendas[[#This Row],[ID Item Vendido]],Agregado[ID],Agregado[Custo])*Vendas[[#This Row],[Qnt Vendida]])</f>
        <v>84</v>
      </c>
      <c r="K5035" s="70">
        <f>Vendas[[#This Row],[Lucro da Venda]]/Vendas[[#This Row],[Valor da Venda]]</f>
        <v>0.16030534351145037</v>
      </c>
      <c r="L5035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5035"/>
    </row>
    <row r="5036" spans="1:13" x14ac:dyDescent="0.3">
      <c r="A5036" s="7">
        <v>400252</v>
      </c>
      <c r="B5036" t="str">
        <f>_xlfn.XLOOKUP(Vendas[[#This Row],[ID Vendedor]],Vendedores[ID],Vendedores[Nome])</f>
        <v>Renata</v>
      </c>
      <c r="C5036" s="7" t="str">
        <f>_xlfn.XLOOKUP(Vendas[[#This Row],[ID Vendedor]],Vendedores[ID],Vendedores[Setor])</f>
        <v>AB</v>
      </c>
      <c r="D5036" s="7" t="s">
        <v>36</v>
      </c>
      <c r="E5036" t="str">
        <f>_xlfn.XLOOKUP(Vendas[[#This Row],[ID Item Vendido]],Agregado[ID],Agregado[Produto])</f>
        <v>Borracha vulcanizada em manta</v>
      </c>
      <c r="F5036" s="39">
        <v>45947</v>
      </c>
      <c r="G5036" s="7">
        <v>45</v>
      </c>
      <c r="H5036" s="3">
        <f>_xlfn.XLOOKUP(Vendas[[#This Row],[ID Item Vendido]],Agregado[ID],Agregado[Revenda])</f>
        <v>7.8</v>
      </c>
      <c r="I5036" s="3">
        <f>Vendas[[#This Row],[Valor Unitário]]*Vendas[[#This Row],[Qnt Vendida]]</f>
        <v>351</v>
      </c>
      <c r="J5036" s="3">
        <f>Vendas[[#This Row],[Valor da Venda]]-(_xlfn.XLOOKUP(Vendas[[#This Row],[ID Item Vendido]],Agregado[ID],Agregado[Custo])*Vendas[[#This Row],[Qnt Vendida]])</f>
        <v>81</v>
      </c>
      <c r="K5036" s="70">
        <f>Vendas[[#This Row],[Lucro da Venda]]/Vendas[[#This Row],[Valor da Venda]]</f>
        <v>0.23076923076923078</v>
      </c>
      <c r="L5036" s="3">
        <f>_xlfn.IFS(Vendas[[#This Row],[Margem de Lucro (%)]]&lt;15%,Vendas[[#This Row],[Valor da Venda]]*3%,Vendas[[#This Row],[Margem de Lucro (%)]]&lt;=20%,Vendas[[#This Row],[Valor da Venda]]*4.5%,TRUE,Vendas[[#This Row],[Valor da Venda]]*6%)</f>
        <v>21.06</v>
      </c>
      <c r="M5036"/>
    </row>
    <row r="5037" spans="1:13" x14ac:dyDescent="0.3">
      <c r="A5037" s="7">
        <v>400252</v>
      </c>
      <c r="B5037" t="str">
        <f>_xlfn.XLOOKUP(Vendas[[#This Row],[ID Vendedor]],Vendedores[ID],Vendedores[Nome])</f>
        <v>Renata</v>
      </c>
      <c r="C5037" s="7" t="str">
        <f>_xlfn.XLOOKUP(Vendas[[#This Row],[ID Vendedor]],Vendedores[ID],Vendedores[Setor])</f>
        <v>AB</v>
      </c>
      <c r="D5037" s="7" t="s">
        <v>24</v>
      </c>
      <c r="E5037" t="str">
        <f>_xlfn.XLOOKUP(Vendas[[#This Row],[ID Item Vendido]],Agregado[ID],Agregado[Produto])</f>
        <v>Resina plástica PET purificada saco de 25kg</v>
      </c>
      <c r="F5037" s="39">
        <v>45948</v>
      </c>
      <c r="G5037" s="7">
        <v>24</v>
      </c>
      <c r="H5037" s="3">
        <f>_xlfn.XLOOKUP(Vendas[[#This Row],[ID Item Vendido]],Agregado[ID],Agregado[Revenda])</f>
        <v>119</v>
      </c>
      <c r="I5037" s="3">
        <f>Vendas[[#This Row],[Valor Unitário]]*Vendas[[#This Row],[Qnt Vendida]]</f>
        <v>2856</v>
      </c>
      <c r="J5037" s="3">
        <f>Vendas[[#This Row],[Valor da Venda]]-(_xlfn.XLOOKUP(Vendas[[#This Row],[ID Item Vendido]],Agregado[ID],Agregado[Custo])*Vendas[[#This Row],[Qnt Vendida]])</f>
        <v>816</v>
      </c>
      <c r="K5037" s="70">
        <f>Vendas[[#This Row],[Lucro da Venda]]/Vendas[[#This Row],[Valor da Venda]]</f>
        <v>0.2857142857142857</v>
      </c>
      <c r="L5037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5037"/>
    </row>
    <row r="5038" spans="1:13" x14ac:dyDescent="0.3">
      <c r="A5038" s="7">
        <v>400255</v>
      </c>
      <c r="B5038" t="str">
        <f>_xlfn.XLOOKUP(Vendas[[#This Row],[ID Vendedor]],Vendedores[ID],Vendedores[Nome])</f>
        <v>Carlos</v>
      </c>
      <c r="C5038" s="7" t="str">
        <f>_xlfn.XLOOKUP(Vendas[[#This Row],[ID Vendedor]],Vendedores[ID],Vendedores[Setor])</f>
        <v>SC</v>
      </c>
      <c r="D5038" s="7" t="s">
        <v>42</v>
      </c>
      <c r="E5038" t="str">
        <f>_xlfn.XLOOKUP(Vendas[[#This Row],[ID Item Vendido]],Agregado[ID],Agregado[Produto])</f>
        <v>Container de ferro industrial</v>
      </c>
      <c r="F5038" s="39">
        <v>45948</v>
      </c>
      <c r="G5038" s="7">
        <v>2</v>
      </c>
      <c r="H5038" s="3">
        <f>_xlfn.XLOOKUP(Vendas[[#This Row],[ID Item Vendido]],Agregado[ID],Agregado[Revenda])</f>
        <v>830</v>
      </c>
      <c r="I5038" s="3">
        <f>Vendas[[#This Row],[Valor Unitário]]*Vendas[[#This Row],[Qnt Vendida]]</f>
        <v>1660</v>
      </c>
      <c r="J5038" s="3">
        <f>Vendas[[#This Row],[Valor da Venda]]-(_xlfn.XLOOKUP(Vendas[[#This Row],[ID Item Vendido]],Agregado[ID],Agregado[Custo])*Vendas[[#This Row],[Qnt Vendida]])</f>
        <v>300</v>
      </c>
      <c r="K5038" s="70">
        <f>Vendas[[#This Row],[Lucro da Venda]]/Vendas[[#This Row],[Valor da Venda]]</f>
        <v>0.18072289156626506</v>
      </c>
      <c r="L5038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038"/>
    </row>
    <row r="5039" spans="1:13" x14ac:dyDescent="0.3">
      <c r="A5039" s="7">
        <v>400248</v>
      </c>
      <c r="B5039" t="str">
        <f>_xlfn.XLOOKUP(Vendas[[#This Row],[ID Vendedor]],Vendedores[ID],Vendedores[Nome])</f>
        <v>Patrícia</v>
      </c>
      <c r="C5039" s="7" t="str">
        <f>_xlfn.XLOOKUP(Vendas[[#This Row],[ID Vendedor]],Vendedores[ID],Vendedores[Setor])</f>
        <v>CM</v>
      </c>
      <c r="D5039" s="7" t="s">
        <v>45</v>
      </c>
      <c r="E5039" t="str">
        <f>_xlfn.XLOOKUP(Vendas[[#This Row],[ID Item Vendido]],Agregado[ID],Agregado[Produto])</f>
        <v>Viga de madeira tratada 4m</v>
      </c>
      <c r="F5039" s="39">
        <v>45948</v>
      </c>
      <c r="G5039" s="7">
        <v>18</v>
      </c>
      <c r="H5039" s="3">
        <f>_xlfn.XLOOKUP(Vendas[[#This Row],[ID Item Vendido]],Agregado[ID],Agregado[Revenda])</f>
        <v>66</v>
      </c>
      <c r="I5039" s="3">
        <f>Vendas[[#This Row],[Valor Unitário]]*Vendas[[#This Row],[Qnt Vendida]]</f>
        <v>1188</v>
      </c>
      <c r="J5039" s="3">
        <f>Vendas[[#This Row],[Valor da Venda]]-(_xlfn.XLOOKUP(Vendas[[#This Row],[ID Item Vendido]],Agregado[ID],Agregado[Custo])*Vendas[[#This Row],[Qnt Vendida]])</f>
        <v>198</v>
      </c>
      <c r="K5039" s="70">
        <f>Vendas[[#This Row],[Lucro da Venda]]/Vendas[[#This Row],[Valor da Venda]]</f>
        <v>0.16666666666666666</v>
      </c>
      <c r="L5039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5039"/>
    </row>
    <row r="5040" spans="1:13" x14ac:dyDescent="0.3">
      <c r="A5040" s="7">
        <v>400241</v>
      </c>
      <c r="B5040" t="str">
        <f>_xlfn.XLOOKUP(Vendas[[#This Row],[ID Vendedor]],Vendedores[ID],Vendedores[Nome])</f>
        <v>Rodrigo</v>
      </c>
      <c r="C5040" s="7" t="str">
        <f>_xlfn.XLOOKUP(Vendas[[#This Row],[ID Vendedor]],Vendedores[ID],Vendedores[Setor])</f>
        <v>FM</v>
      </c>
      <c r="D5040" s="7" t="s">
        <v>20</v>
      </c>
      <c r="E5040" t="str">
        <f>_xlfn.XLOOKUP(Vendas[[#This Row],[ID Item Vendido]],Agregado[ID],Agregado[Produto])</f>
        <v>Barra de aço simples</v>
      </c>
      <c r="F5040" s="39">
        <v>45948</v>
      </c>
      <c r="G5040" s="7">
        <v>104</v>
      </c>
      <c r="H5040" s="3">
        <f>_xlfn.XLOOKUP(Vendas[[#This Row],[ID Item Vendido]],Agregado[ID],Agregado[Revenda])</f>
        <v>4.8</v>
      </c>
      <c r="I5040" s="3">
        <f>Vendas[[#This Row],[Valor Unitário]]*Vendas[[#This Row],[Qnt Vendida]]</f>
        <v>499.2</v>
      </c>
      <c r="J5040" s="3">
        <f>Vendas[[#This Row],[Valor da Venda]]-(_xlfn.XLOOKUP(Vendas[[#This Row],[ID Item Vendido]],Agregado[ID],Agregado[Custo])*Vendas[[#This Row],[Qnt Vendida]])</f>
        <v>62.399999999999977</v>
      </c>
      <c r="K5040" s="70">
        <f>Vendas[[#This Row],[Lucro da Venda]]/Vendas[[#This Row],[Valor da Venda]]</f>
        <v>0.12499999999999996</v>
      </c>
      <c r="L5040" s="3">
        <f>_xlfn.IFS(Vendas[[#This Row],[Margem de Lucro (%)]]&lt;15%,Vendas[[#This Row],[Valor da Venda]]*3%,Vendas[[#This Row],[Margem de Lucro (%)]]&lt;=20%,Vendas[[#This Row],[Valor da Venda]]*4.5%,TRUE,Vendas[[#This Row],[Valor da Venda]]*6%)</f>
        <v>14.975999999999999</v>
      </c>
      <c r="M5040"/>
    </row>
    <row r="5041" spans="1:13" x14ac:dyDescent="0.3">
      <c r="A5041" s="7">
        <v>400252</v>
      </c>
      <c r="B5041" t="str">
        <f>_xlfn.XLOOKUP(Vendas[[#This Row],[ID Vendedor]],Vendedores[ID],Vendedores[Nome])</f>
        <v>Renata</v>
      </c>
      <c r="C5041" s="7" t="str">
        <f>_xlfn.XLOOKUP(Vendas[[#This Row],[ID Vendedor]],Vendedores[ID],Vendedores[Setor])</f>
        <v>AB</v>
      </c>
      <c r="D5041" s="7" t="s">
        <v>39</v>
      </c>
      <c r="E5041" t="str">
        <f>_xlfn.XLOOKUP(Vendas[[#This Row],[ID Item Vendido]],Agregado[ID],Agregado[Produto])</f>
        <v>Filme plástico industrial rolo 50m</v>
      </c>
      <c r="F5041" s="39">
        <v>45948</v>
      </c>
      <c r="G5041" s="7">
        <v>5</v>
      </c>
      <c r="H5041" s="3">
        <f>_xlfn.XLOOKUP(Vendas[[#This Row],[ID Item Vendido]],Agregado[ID],Agregado[Revenda])</f>
        <v>37</v>
      </c>
      <c r="I5041" s="3">
        <f>Vendas[[#This Row],[Valor Unitário]]*Vendas[[#This Row],[Qnt Vendida]]</f>
        <v>185</v>
      </c>
      <c r="J5041" s="3">
        <f>Vendas[[#This Row],[Valor da Venda]]-(_xlfn.XLOOKUP(Vendas[[#This Row],[ID Item Vendido]],Agregado[ID],Agregado[Custo])*Vendas[[#This Row],[Qnt Vendida]])</f>
        <v>45</v>
      </c>
      <c r="K5041" s="70">
        <f>Vendas[[#This Row],[Lucro da Venda]]/Vendas[[#This Row],[Valor da Venda]]</f>
        <v>0.24324324324324326</v>
      </c>
      <c r="L5041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5041"/>
    </row>
    <row r="5042" spans="1:13" x14ac:dyDescent="0.3">
      <c r="A5042" s="7">
        <v>400250</v>
      </c>
      <c r="B5042" t="str">
        <f>_xlfn.XLOOKUP(Vendas[[#This Row],[ID Vendedor]],Vendedores[ID],Vendedores[Nome])</f>
        <v>Larissa</v>
      </c>
      <c r="C5042" s="7" t="str">
        <f>_xlfn.XLOOKUP(Vendas[[#This Row],[ID Vendedor]],Vendedores[ID],Vendedores[Setor])</f>
        <v>AB</v>
      </c>
      <c r="D5042" s="7" t="s">
        <v>39</v>
      </c>
      <c r="E5042" t="str">
        <f>_xlfn.XLOOKUP(Vendas[[#This Row],[ID Item Vendido]],Agregado[ID],Agregado[Produto])</f>
        <v>Filme plástico industrial rolo 50m</v>
      </c>
      <c r="F5042" s="39">
        <v>45949</v>
      </c>
      <c r="G5042" s="7">
        <v>17</v>
      </c>
      <c r="H5042" s="3">
        <f>_xlfn.XLOOKUP(Vendas[[#This Row],[ID Item Vendido]],Agregado[ID],Agregado[Revenda])</f>
        <v>37</v>
      </c>
      <c r="I5042" s="3">
        <f>Vendas[[#This Row],[Valor Unitário]]*Vendas[[#This Row],[Qnt Vendida]]</f>
        <v>629</v>
      </c>
      <c r="J5042" s="3">
        <f>Vendas[[#This Row],[Valor da Venda]]-(_xlfn.XLOOKUP(Vendas[[#This Row],[ID Item Vendido]],Agregado[ID],Agregado[Custo])*Vendas[[#This Row],[Qnt Vendida]])</f>
        <v>153</v>
      </c>
      <c r="K5042" s="70">
        <f>Vendas[[#This Row],[Lucro da Venda]]/Vendas[[#This Row],[Valor da Venda]]</f>
        <v>0.24324324324324326</v>
      </c>
      <c r="L5042" s="3">
        <f>_xlfn.IFS(Vendas[[#This Row],[Margem de Lucro (%)]]&lt;15%,Vendas[[#This Row],[Valor da Venda]]*3%,Vendas[[#This Row],[Margem de Lucro (%)]]&lt;=20%,Vendas[[#This Row],[Valor da Venda]]*4.5%,TRUE,Vendas[[#This Row],[Valor da Venda]]*6%)</f>
        <v>37.74</v>
      </c>
      <c r="M5042"/>
    </row>
    <row r="5043" spans="1:13" x14ac:dyDescent="0.3">
      <c r="A5043" s="7">
        <v>400252</v>
      </c>
      <c r="B5043" t="str">
        <f>_xlfn.XLOOKUP(Vendas[[#This Row],[ID Vendedor]],Vendedores[ID],Vendedores[Nome])</f>
        <v>Renata</v>
      </c>
      <c r="C5043" s="7" t="str">
        <f>_xlfn.XLOOKUP(Vendas[[#This Row],[ID Vendedor]],Vendedores[ID],Vendedores[Setor])</f>
        <v>AB</v>
      </c>
      <c r="D5043" s="7" t="s">
        <v>12</v>
      </c>
      <c r="E5043" t="str">
        <f>_xlfn.XLOOKUP(Vendas[[#This Row],[ID Item Vendido]],Agregado[ID],Agregado[Produto])</f>
        <v>Grânulo de plástico reciclado refinado</v>
      </c>
      <c r="F5043" s="39">
        <v>45949</v>
      </c>
      <c r="G5043" s="7">
        <v>84</v>
      </c>
      <c r="H5043" s="3">
        <f>_xlfn.XLOOKUP(Vendas[[#This Row],[ID Item Vendido]],Agregado[ID],Agregado[Revenda])</f>
        <v>4.7</v>
      </c>
      <c r="I5043" s="3">
        <f>Vendas[[#This Row],[Valor Unitário]]*Vendas[[#This Row],[Qnt Vendida]]</f>
        <v>394.8</v>
      </c>
      <c r="J5043" s="3">
        <f>Vendas[[#This Row],[Valor da Venda]]-(_xlfn.XLOOKUP(Vendas[[#This Row],[ID Item Vendido]],Agregado[ID],Agregado[Custo])*Vendas[[#This Row],[Qnt Vendida]])</f>
        <v>100.80000000000001</v>
      </c>
      <c r="K5043" s="70">
        <f>Vendas[[#This Row],[Lucro da Venda]]/Vendas[[#This Row],[Valor da Venda]]</f>
        <v>0.25531914893617025</v>
      </c>
      <c r="L5043" s="3">
        <f>_xlfn.IFS(Vendas[[#This Row],[Margem de Lucro (%)]]&lt;15%,Vendas[[#This Row],[Valor da Venda]]*3%,Vendas[[#This Row],[Margem de Lucro (%)]]&lt;=20%,Vendas[[#This Row],[Valor da Venda]]*4.5%,TRUE,Vendas[[#This Row],[Valor da Venda]]*6%)</f>
        <v>23.687999999999999</v>
      </c>
      <c r="M5043"/>
    </row>
    <row r="5044" spans="1:13" x14ac:dyDescent="0.3">
      <c r="A5044" s="7">
        <v>400246</v>
      </c>
      <c r="B5044" t="str">
        <f>_xlfn.XLOOKUP(Vendas[[#This Row],[ID Vendedor]],Vendedores[ID],Vendedores[Nome])</f>
        <v>Juliana</v>
      </c>
      <c r="C5044" s="7" t="str">
        <f>_xlfn.XLOOKUP(Vendas[[#This Row],[ID Vendedor]],Vendedores[ID],Vendedores[Setor])</f>
        <v>AHD</v>
      </c>
      <c r="D5044" s="7" t="s">
        <v>9</v>
      </c>
      <c r="E5044" t="str">
        <f>_xlfn.XLOOKUP(Vendas[[#This Row],[ID Item Vendido]],Agregado[ID],Agregado[Produto])</f>
        <v>Barra de aço simples</v>
      </c>
      <c r="F5044" s="39">
        <v>45949</v>
      </c>
      <c r="G5044" s="7">
        <v>32</v>
      </c>
      <c r="H5044" s="3">
        <f>_xlfn.XLOOKUP(Vendas[[#This Row],[ID Item Vendido]],Agregado[ID],Agregado[Revenda])</f>
        <v>6.7</v>
      </c>
      <c r="I5044" s="3">
        <f>Vendas[[#This Row],[Valor Unitário]]*Vendas[[#This Row],[Qnt Vendida]]</f>
        <v>214.4</v>
      </c>
      <c r="J5044" s="3">
        <f>Vendas[[#This Row],[Valor da Venda]]-(_xlfn.XLOOKUP(Vendas[[#This Row],[ID Item Vendido]],Agregado[ID],Agregado[Custo])*Vendas[[#This Row],[Qnt Vendida]])</f>
        <v>28.800000000000011</v>
      </c>
      <c r="K5044" s="70">
        <f>Vendas[[#This Row],[Lucro da Venda]]/Vendas[[#This Row],[Valor da Venda]]</f>
        <v>0.13432835820895528</v>
      </c>
      <c r="L5044" s="3">
        <f>_xlfn.IFS(Vendas[[#This Row],[Margem de Lucro (%)]]&lt;15%,Vendas[[#This Row],[Valor da Venda]]*3%,Vendas[[#This Row],[Margem de Lucro (%)]]&lt;=20%,Vendas[[#This Row],[Valor da Venda]]*4.5%,TRUE,Vendas[[#This Row],[Valor da Venda]]*6%)</f>
        <v>6.4319999999999995</v>
      </c>
      <c r="M5044"/>
    </row>
    <row r="5045" spans="1:13" x14ac:dyDescent="0.3">
      <c r="A5045" s="7">
        <v>400246</v>
      </c>
      <c r="B5045" t="str">
        <f>_xlfn.XLOOKUP(Vendas[[#This Row],[ID Vendedor]],Vendedores[ID],Vendedores[Nome])</f>
        <v>Juliana</v>
      </c>
      <c r="C5045" s="7" t="str">
        <f>_xlfn.XLOOKUP(Vendas[[#This Row],[ID Vendedor]],Vendedores[ID],Vendedores[Setor])</f>
        <v>AHD</v>
      </c>
      <c r="D5045" s="7" t="s">
        <v>28</v>
      </c>
      <c r="E5045" t="str">
        <f>_xlfn.XLOOKUP(Vendas[[#This Row],[ID Item Vendido]],Agregado[ID],Agregado[Produto])</f>
        <v>Peça usinada CNC</v>
      </c>
      <c r="F5045" s="39">
        <v>45950</v>
      </c>
      <c r="G5045" s="7">
        <v>6</v>
      </c>
      <c r="H5045" s="3">
        <f>_xlfn.XLOOKUP(Vendas[[#This Row],[ID Item Vendido]],Agregado[ID],Agregado[Revenda])</f>
        <v>192</v>
      </c>
      <c r="I5045" s="3">
        <f>Vendas[[#This Row],[Valor Unitário]]*Vendas[[#This Row],[Qnt Vendida]]</f>
        <v>1152</v>
      </c>
      <c r="J5045" s="3">
        <f>Vendas[[#This Row],[Valor da Venda]]-(_xlfn.XLOOKUP(Vendas[[#This Row],[ID Item Vendido]],Agregado[ID],Agregado[Custo])*Vendas[[#This Row],[Qnt Vendida]])</f>
        <v>252</v>
      </c>
      <c r="K5045" s="70">
        <f>Vendas[[#This Row],[Lucro da Venda]]/Vendas[[#This Row],[Valor da Venda]]</f>
        <v>0.21875</v>
      </c>
      <c r="L5045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5045"/>
    </row>
    <row r="5046" spans="1:13" x14ac:dyDescent="0.3">
      <c r="A5046" s="7">
        <v>400254</v>
      </c>
      <c r="B5046" t="str">
        <f>_xlfn.XLOOKUP(Vendas[[#This Row],[ID Vendedor]],Vendedores[ID],Vendedores[Nome])</f>
        <v>Beatriz</v>
      </c>
      <c r="C5046" s="7" t="str">
        <f>_xlfn.XLOOKUP(Vendas[[#This Row],[ID Vendedor]],Vendedores[ID],Vendedores[Setor])</f>
        <v>SC</v>
      </c>
      <c r="D5046" s="7" t="s">
        <v>41</v>
      </c>
      <c r="E5046" t="str">
        <f>_xlfn.XLOOKUP(Vendas[[#This Row],[ID Item Vendido]],Agregado[ID],Agregado[Produto])</f>
        <v>Palete de madeira reforçado</v>
      </c>
      <c r="F5046" s="39">
        <v>45950</v>
      </c>
      <c r="G5046" s="7">
        <v>5</v>
      </c>
      <c r="H5046" s="3">
        <f>_xlfn.XLOOKUP(Vendas[[#This Row],[ID Item Vendido]],Agregado[ID],Agregado[Revenda])</f>
        <v>131</v>
      </c>
      <c r="I5046" s="3">
        <f>Vendas[[#This Row],[Valor Unitário]]*Vendas[[#This Row],[Qnt Vendida]]</f>
        <v>655</v>
      </c>
      <c r="J5046" s="3">
        <f>Vendas[[#This Row],[Valor da Venda]]-(_xlfn.XLOOKUP(Vendas[[#This Row],[ID Item Vendido]],Agregado[ID],Agregado[Custo])*Vendas[[#This Row],[Qnt Vendida]])</f>
        <v>105</v>
      </c>
      <c r="K5046" s="70">
        <f>Vendas[[#This Row],[Lucro da Venda]]/Vendas[[#This Row],[Valor da Venda]]</f>
        <v>0.16030534351145037</v>
      </c>
      <c r="L5046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046"/>
    </row>
    <row r="5047" spans="1:13" x14ac:dyDescent="0.3">
      <c r="A5047" s="7">
        <v>400246</v>
      </c>
      <c r="B5047" t="str">
        <f>_xlfn.XLOOKUP(Vendas[[#This Row],[ID Vendedor]],Vendedores[ID],Vendedores[Nome])</f>
        <v>Juliana</v>
      </c>
      <c r="C5047" s="7" t="str">
        <f>_xlfn.XLOOKUP(Vendas[[#This Row],[ID Vendedor]],Vendedores[ID],Vendedores[Setor])</f>
        <v>AHD</v>
      </c>
      <c r="D5047" s="7" t="s">
        <v>28</v>
      </c>
      <c r="E5047" t="str">
        <f>_xlfn.XLOOKUP(Vendas[[#This Row],[ID Item Vendido]],Agregado[ID],Agregado[Produto])</f>
        <v>Peça usinada CNC</v>
      </c>
      <c r="F5047" s="39">
        <v>45951</v>
      </c>
      <c r="G5047" s="7">
        <v>12</v>
      </c>
      <c r="H5047" s="3">
        <f>_xlfn.XLOOKUP(Vendas[[#This Row],[ID Item Vendido]],Agregado[ID],Agregado[Revenda])</f>
        <v>192</v>
      </c>
      <c r="I5047" s="3">
        <f>Vendas[[#This Row],[Valor Unitário]]*Vendas[[#This Row],[Qnt Vendida]]</f>
        <v>2304</v>
      </c>
      <c r="J5047" s="3">
        <f>Vendas[[#This Row],[Valor da Venda]]-(_xlfn.XLOOKUP(Vendas[[#This Row],[ID Item Vendido]],Agregado[ID],Agregado[Custo])*Vendas[[#This Row],[Qnt Vendida]])</f>
        <v>504</v>
      </c>
      <c r="K5047" s="70">
        <f>Vendas[[#This Row],[Lucro da Venda]]/Vendas[[#This Row],[Valor da Venda]]</f>
        <v>0.21875</v>
      </c>
      <c r="L5047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5047"/>
    </row>
    <row r="5048" spans="1:13" x14ac:dyDescent="0.3">
      <c r="A5048" s="7">
        <v>400242</v>
      </c>
      <c r="B5048" t="str">
        <f>_xlfn.XLOOKUP(Vendas[[#This Row],[ID Vendedor]],Vendedores[ID],Vendedores[Nome])</f>
        <v>Fernanda</v>
      </c>
      <c r="C5048" s="7" t="str">
        <f>_xlfn.XLOOKUP(Vendas[[#This Row],[ID Vendedor]],Vendedores[ID],Vendedores[Setor])</f>
        <v>FM</v>
      </c>
      <c r="D5048" s="7" t="s">
        <v>27</v>
      </c>
      <c r="E5048" t="str">
        <f>_xlfn.XLOOKUP(Vendas[[#This Row],[ID Item Vendido]],Agregado[ID],Agregado[Produto])</f>
        <v>Chapa de metal lisa 1x2m</v>
      </c>
      <c r="F5048" s="39">
        <v>45951</v>
      </c>
      <c r="G5048" s="7">
        <v>6</v>
      </c>
      <c r="H5048" s="3">
        <f>_xlfn.XLOOKUP(Vendas[[#This Row],[ID Item Vendido]],Agregado[ID],Agregado[Revenda])</f>
        <v>52</v>
      </c>
      <c r="I5048" s="3">
        <f>Vendas[[#This Row],[Valor Unitário]]*Vendas[[#This Row],[Qnt Vendida]]</f>
        <v>312</v>
      </c>
      <c r="J5048" s="3">
        <f>Vendas[[#This Row],[Valor da Venda]]-(_xlfn.XLOOKUP(Vendas[[#This Row],[ID Item Vendido]],Agregado[ID],Agregado[Custo])*Vendas[[#This Row],[Qnt Vendida]])</f>
        <v>42</v>
      </c>
      <c r="K5048" s="70">
        <f>Vendas[[#This Row],[Lucro da Venda]]/Vendas[[#This Row],[Valor da Venda]]</f>
        <v>0.13461538461538461</v>
      </c>
      <c r="L504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5048"/>
    </row>
    <row r="5049" spans="1:13" x14ac:dyDescent="0.3">
      <c r="A5049" s="7">
        <v>400244</v>
      </c>
      <c r="B5049" t="str">
        <f>_xlfn.XLOOKUP(Vendas[[#This Row],[ID Vendedor]],Vendedores[ID],Vendedores[Nome])</f>
        <v>Camila</v>
      </c>
      <c r="C5049" s="7" t="str">
        <f>_xlfn.XLOOKUP(Vendas[[#This Row],[ID Vendedor]],Vendedores[ID],Vendedores[Setor])</f>
        <v>AHD</v>
      </c>
      <c r="D5049" s="7" t="s">
        <v>9</v>
      </c>
      <c r="E5049" t="str">
        <f>_xlfn.XLOOKUP(Vendas[[#This Row],[ID Item Vendido]],Agregado[ID],Agregado[Produto])</f>
        <v>Barra de aço simples</v>
      </c>
      <c r="F5049" s="39">
        <v>45952</v>
      </c>
      <c r="G5049" s="7">
        <v>127</v>
      </c>
      <c r="H5049" s="3">
        <f>_xlfn.XLOOKUP(Vendas[[#This Row],[ID Item Vendido]],Agregado[ID],Agregado[Revenda])</f>
        <v>6.7</v>
      </c>
      <c r="I5049" s="3">
        <f>Vendas[[#This Row],[Valor Unitário]]*Vendas[[#This Row],[Qnt Vendida]]</f>
        <v>850.9</v>
      </c>
      <c r="J5049" s="3">
        <f>Vendas[[#This Row],[Valor da Venda]]-(_xlfn.XLOOKUP(Vendas[[#This Row],[ID Item Vendido]],Agregado[ID],Agregado[Custo])*Vendas[[#This Row],[Qnt Vendida]])</f>
        <v>114.29999999999995</v>
      </c>
      <c r="K5049" s="70">
        <f>Vendas[[#This Row],[Lucro da Venda]]/Vendas[[#This Row],[Valor da Venda]]</f>
        <v>0.13432835820895517</v>
      </c>
      <c r="L5049" s="3">
        <f>_xlfn.IFS(Vendas[[#This Row],[Margem de Lucro (%)]]&lt;15%,Vendas[[#This Row],[Valor da Venda]]*3%,Vendas[[#This Row],[Margem de Lucro (%)]]&lt;=20%,Vendas[[#This Row],[Valor da Venda]]*4.5%,TRUE,Vendas[[#This Row],[Valor da Venda]]*6%)</f>
        <v>25.526999999999997</v>
      </c>
      <c r="M5049"/>
    </row>
    <row r="5050" spans="1:13" x14ac:dyDescent="0.3">
      <c r="A5050" s="7">
        <v>400242</v>
      </c>
      <c r="B5050" t="str">
        <f>_xlfn.XLOOKUP(Vendas[[#This Row],[ID Vendedor]],Vendedores[ID],Vendedores[Nome])</f>
        <v>Fernanda</v>
      </c>
      <c r="C5050" s="7" t="str">
        <f>_xlfn.XLOOKUP(Vendas[[#This Row],[ID Vendedor]],Vendedores[ID],Vendedores[Setor])</f>
        <v>FM</v>
      </c>
      <c r="D5050" s="7" t="s">
        <v>20</v>
      </c>
      <c r="E5050" t="str">
        <f>_xlfn.XLOOKUP(Vendas[[#This Row],[ID Item Vendido]],Agregado[ID],Agregado[Produto])</f>
        <v>Barra de aço simples</v>
      </c>
      <c r="F5050" s="39">
        <v>45952</v>
      </c>
      <c r="G5050" s="7">
        <v>77</v>
      </c>
      <c r="H5050" s="3">
        <f>_xlfn.XLOOKUP(Vendas[[#This Row],[ID Item Vendido]],Agregado[ID],Agregado[Revenda])</f>
        <v>4.8</v>
      </c>
      <c r="I5050" s="3">
        <f>Vendas[[#This Row],[Valor Unitário]]*Vendas[[#This Row],[Qnt Vendida]]</f>
        <v>369.59999999999997</v>
      </c>
      <c r="J5050" s="3">
        <f>Vendas[[#This Row],[Valor da Venda]]-(_xlfn.XLOOKUP(Vendas[[#This Row],[ID Item Vendido]],Agregado[ID],Agregado[Custo])*Vendas[[#This Row],[Qnt Vendida]])</f>
        <v>46.199999999999932</v>
      </c>
      <c r="K5050" s="70">
        <f>Vendas[[#This Row],[Lucro da Venda]]/Vendas[[#This Row],[Valor da Venda]]</f>
        <v>0.12499999999999983</v>
      </c>
      <c r="L5050" s="3">
        <f>_xlfn.IFS(Vendas[[#This Row],[Margem de Lucro (%)]]&lt;15%,Vendas[[#This Row],[Valor da Venda]]*3%,Vendas[[#This Row],[Margem de Lucro (%)]]&lt;=20%,Vendas[[#This Row],[Valor da Venda]]*4.5%,TRUE,Vendas[[#This Row],[Valor da Venda]]*6%)</f>
        <v>11.087999999999999</v>
      </c>
      <c r="M5050"/>
    </row>
    <row r="5051" spans="1:13" x14ac:dyDescent="0.3">
      <c r="A5051" s="7">
        <v>400251</v>
      </c>
      <c r="B5051" t="str">
        <f>_xlfn.XLOOKUP(Vendas[[#This Row],[ID Vendedor]],Vendedores[ID],Vendedores[Nome])</f>
        <v>Diego</v>
      </c>
      <c r="C5051" s="7" t="str">
        <f>_xlfn.XLOOKUP(Vendas[[#This Row],[ID Vendedor]],Vendedores[ID],Vendedores[Setor])</f>
        <v>AB</v>
      </c>
      <c r="D5051" s="7" t="s">
        <v>39</v>
      </c>
      <c r="E5051" t="str">
        <f>_xlfn.XLOOKUP(Vendas[[#This Row],[ID Item Vendido]],Agregado[ID],Agregado[Produto])</f>
        <v>Filme plástico industrial rolo 50m</v>
      </c>
      <c r="F5051" s="39">
        <v>45953</v>
      </c>
      <c r="G5051" s="7">
        <v>24</v>
      </c>
      <c r="H5051" s="3">
        <f>_xlfn.XLOOKUP(Vendas[[#This Row],[ID Item Vendido]],Agregado[ID],Agregado[Revenda])</f>
        <v>37</v>
      </c>
      <c r="I5051" s="3">
        <f>Vendas[[#This Row],[Valor Unitário]]*Vendas[[#This Row],[Qnt Vendida]]</f>
        <v>888</v>
      </c>
      <c r="J5051" s="3">
        <f>Vendas[[#This Row],[Valor da Venda]]-(_xlfn.XLOOKUP(Vendas[[#This Row],[ID Item Vendido]],Agregado[ID],Agregado[Custo])*Vendas[[#This Row],[Qnt Vendida]])</f>
        <v>216</v>
      </c>
      <c r="K5051" s="70">
        <f>Vendas[[#This Row],[Lucro da Venda]]/Vendas[[#This Row],[Valor da Venda]]</f>
        <v>0.24324324324324326</v>
      </c>
      <c r="L5051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5051"/>
    </row>
    <row r="5052" spans="1:13" x14ac:dyDescent="0.3">
      <c r="A5052" s="7">
        <v>400246</v>
      </c>
      <c r="B5052" t="str">
        <f>_xlfn.XLOOKUP(Vendas[[#This Row],[ID Vendedor]],Vendedores[ID],Vendedores[Nome])</f>
        <v>Juliana</v>
      </c>
      <c r="C5052" s="7" t="str">
        <f>_xlfn.XLOOKUP(Vendas[[#This Row],[ID Vendedor]],Vendedores[ID],Vendedores[Setor])</f>
        <v>AHD</v>
      </c>
      <c r="D5052" s="7" t="s">
        <v>44</v>
      </c>
      <c r="E5052" t="str">
        <f>_xlfn.XLOOKUP(Vendas[[#This Row],[ID Item Vendido]],Agregado[ID],Agregado[Produto])</f>
        <v>Liga metálica especial</v>
      </c>
      <c r="F5052" s="39">
        <v>45953</v>
      </c>
      <c r="G5052" s="7">
        <v>25</v>
      </c>
      <c r="H5052" s="3">
        <f>_xlfn.XLOOKUP(Vendas[[#This Row],[ID Item Vendido]],Agregado[ID],Agregado[Revenda])</f>
        <v>32.5</v>
      </c>
      <c r="I5052" s="3">
        <f>Vendas[[#This Row],[Valor Unitário]]*Vendas[[#This Row],[Qnt Vendida]]</f>
        <v>812.5</v>
      </c>
      <c r="J5052" s="3">
        <f>Vendas[[#This Row],[Valor da Venda]]-(_xlfn.XLOOKUP(Vendas[[#This Row],[ID Item Vendido]],Agregado[ID],Agregado[Custo])*Vendas[[#This Row],[Qnt Vendida]])</f>
        <v>187.5</v>
      </c>
      <c r="K5052" s="70">
        <f>Vendas[[#This Row],[Lucro da Venda]]/Vendas[[#This Row],[Valor da Venda]]</f>
        <v>0.23076923076923078</v>
      </c>
      <c r="L5052" s="3">
        <f>_xlfn.IFS(Vendas[[#This Row],[Margem de Lucro (%)]]&lt;15%,Vendas[[#This Row],[Valor da Venda]]*3%,Vendas[[#This Row],[Margem de Lucro (%)]]&lt;=20%,Vendas[[#This Row],[Valor da Venda]]*4.5%,TRUE,Vendas[[#This Row],[Valor da Venda]]*6%)</f>
        <v>48.75</v>
      </c>
      <c r="M5052"/>
    </row>
    <row r="5053" spans="1:13" x14ac:dyDescent="0.3">
      <c r="A5053" s="7">
        <v>400241</v>
      </c>
      <c r="B5053" t="str">
        <f>_xlfn.XLOOKUP(Vendas[[#This Row],[ID Vendedor]],Vendedores[ID],Vendedores[Nome])</f>
        <v>Rodrigo</v>
      </c>
      <c r="C5053" s="7" t="str">
        <f>_xlfn.XLOOKUP(Vendas[[#This Row],[ID Vendedor]],Vendedores[ID],Vendedores[Setor])</f>
        <v>FM</v>
      </c>
      <c r="D5053" s="7" t="s">
        <v>20</v>
      </c>
      <c r="E5053" t="str">
        <f>_xlfn.XLOOKUP(Vendas[[#This Row],[ID Item Vendido]],Agregado[ID],Agregado[Produto])</f>
        <v>Barra de aço simples</v>
      </c>
      <c r="F5053" s="39">
        <v>45953</v>
      </c>
      <c r="G5053" s="7">
        <v>144</v>
      </c>
      <c r="H5053" s="3">
        <f>_xlfn.XLOOKUP(Vendas[[#This Row],[ID Item Vendido]],Agregado[ID],Agregado[Revenda])</f>
        <v>4.8</v>
      </c>
      <c r="I5053" s="3">
        <f>Vendas[[#This Row],[Valor Unitário]]*Vendas[[#This Row],[Qnt Vendida]]</f>
        <v>691.19999999999993</v>
      </c>
      <c r="J5053" s="3">
        <f>Vendas[[#This Row],[Valor da Venda]]-(_xlfn.XLOOKUP(Vendas[[#This Row],[ID Item Vendido]],Agregado[ID],Agregado[Custo])*Vendas[[#This Row],[Qnt Vendida]])</f>
        <v>86.399999999999864</v>
      </c>
      <c r="K5053" s="70">
        <f>Vendas[[#This Row],[Lucro da Venda]]/Vendas[[#This Row],[Valor da Venda]]</f>
        <v>0.12499999999999982</v>
      </c>
      <c r="L5053" s="3">
        <f>_xlfn.IFS(Vendas[[#This Row],[Margem de Lucro (%)]]&lt;15%,Vendas[[#This Row],[Valor da Venda]]*3%,Vendas[[#This Row],[Margem de Lucro (%)]]&lt;=20%,Vendas[[#This Row],[Valor da Venda]]*4.5%,TRUE,Vendas[[#This Row],[Valor da Venda]]*6%)</f>
        <v>20.735999999999997</v>
      </c>
      <c r="M5053"/>
    </row>
    <row r="5054" spans="1:13" x14ac:dyDescent="0.3">
      <c r="A5054" s="7">
        <v>400246</v>
      </c>
      <c r="B5054" t="str">
        <f>_xlfn.XLOOKUP(Vendas[[#This Row],[ID Vendedor]],Vendedores[ID],Vendedores[Nome])</f>
        <v>Juliana</v>
      </c>
      <c r="C5054" s="7" t="str">
        <f>_xlfn.XLOOKUP(Vendas[[#This Row],[ID Vendedor]],Vendedores[ID],Vendedores[Setor])</f>
        <v>AHD</v>
      </c>
      <c r="D5054" s="7" t="s">
        <v>9</v>
      </c>
      <c r="E5054" t="str">
        <f>_xlfn.XLOOKUP(Vendas[[#This Row],[ID Item Vendido]],Agregado[ID],Agregado[Produto])</f>
        <v>Barra de aço simples</v>
      </c>
      <c r="F5054" s="39">
        <v>45953</v>
      </c>
      <c r="G5054" s="7">
        <v>59</v>
      </c>
      <c r="H5054" s="3">
        <f>_xlfn.XLOOKUP(Vendas[[#This Row],[ID Item Vendido]],Agregado[ID],Agregado[Revenda])</f>
        <v>6.7</v>
      </c>
      <c r="I5054" s="3">
        <f>Vendas[[#This Row],[Valor Unitário]]*Vendas[[#This Row],[Qnt Vendida]]</f>
        <v>395.3</v>
      </c>
      <c r="J5054" s="3">
        <f>Vendas[[#This Row],[Valor da Venda]]-(_xlfn.XLOOKUP(Vendas[[#This Row],[ID Item Vendido]],Agregado[ID],Agregado[Custo])*Vendas[[#This Row],[Qnt Vendida]])</f>
        <v>53.100000000000023</v>
      </c>
      <c r="K5054" s="70">
        <f>Vendas[[#This Row],[Lucro da Venda]]/Vendas[[#This Row],[Valor da Venda]]</f>
        <v>0.13432835820895528</v>
      </c>
      <c r="L5054" s="3">
        <f>_xlfn.IFS(Vendas[[#This Row],[Margem de Lucro (%)]]&lt;15%,Vendas[[#This Row],[Valor da Venda]]*3%,Vendas[[#This Row],[Margem de Lucro (%)]]&lt;=20%,Vendas[[#This Row],[Valor da Venda]]*4.5%,TRUE,Vendas[[#This Row],[Valor da Venda]]*6%)</f>
        <v>11.859</v>
      </c>
      <c r="M5054"/>
    </row>
    <row r="5055" spans="1:13" x14ac:dyDescent="0.3">
      <c r="A5055" s="7">
        <v>400243</v>
      </c>
      <c r="B5055" t="str">
        <f>_xlfn.XLOOKUP(Vendas[[#This Row],[ID Vendedor]],Vendedores[ID],Vendedores[Nome])</f>
        <v>Marcelo</v>
      </c>
      <c r="C5055" s="7" t="str">
        <f>_xlfn.XLOOKUP(Vendas[[#This Row],[ID Vendedor]],Vendedores[ID],Vendedores[Setor])</f>
        <v>FM</v>
      </c>
      <c r="D5055" s="7" t="s">
        <v>6</v>
      </c>
      <c r="E5055" t="str">
        <f>_xlfn.XLOOKUP(Vendas[[#This Row],[ID Item Vendido]],Agregado[ID],Agregado[Produto])</f>
        <v>Parafuso comum 500un</v>
      </c>
      <c r="F5055" s="39">
        <v>45954</v>
      </c>
      <c r="G5055" s="7">
        <v>13</v>
      </c>
      <c r="H5055" s="3">
        <f>_xlfn.XLOOKUP(Vendas[[#This Row],[ID Item Vendido]],Agregado[ID],Agregado[Revenda])</f>
        <v>24.6</v>
      </c>
      <c r="I5055" s="3">
        <f>Vendas[[#This Row],[Valor Unitário]]*Vendas[[#This Row],[Qnt Vendida]]</f>
        <v>319.8</v>
      </c>
      <c r="J5055" s="3">
        <f>Vendas[[#This Row],[Valor da Venda]]-(_xlfn.XLOOKUP(Vendas[[#This Row],[ID Item Vendido]],Agregado[ID],Agregado[Custo])*Vendas[[#This Row],[Qnt Vendida]])</f>
        <v>33.800000000000011</v>
      </c>
      <c r="K5055" s="70">
        <f>Vendas[[#This Row],[Lucro da Venda]]/Vendas[[#This Row],[Valor da Venda]]</f>
        <v>0.10569105691056914</v>
      </c>
      <c r="L5055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5055"/>
    </row>
    <row r="5056" spans="1:13" x14ac:dyDescent="0.3">
      <c r="A5056" s="7">
        <v>400253</v>
      </c>
      <c r="B5056" t="str">
        <f>_xlfn.XLOOKUP(Vendas[[#This Row],[ID Vendedor]],Vendedores[ID],Vendedores[Nome])</f>
        <v>Gustavo</v>
      </c>
      <c r="C5056" s="7" t="str">
        <f>_xlfn.XLOOKUP(Vendas[[#This Row],[ID Vendedor]],Vendedores[ID],Vendedores[Setor])</f>
        <v>SC</v>
      </c>
      <c r="D5056" s="7" t="s">
        <v>42</v>
      </c>
      <c r="E5056" t="str">
        <f>_xlfn.XLOOKUP(Vendas[[#This Row],[ID Item Vendido]],Agregado[ID],Agregado[Produto])</f>
        <v>Container de ferro industrial</v>
      </c>
      <c r="F5056" s="39">
        <v>45955</v>
      </c>
      <c r="G5056" s="7">
        <v>4</v>
      </c>
      <c r="H5056" s="3">
        <f>_xlfn.XLOOKUP(Vendas[[#This Row],[ID Item Vendido]],Agregado[ID],Agregado[Revenda])</f>
        <v>830</v>
      </c>
      <c r="I5056" s="3">
        <f>Vendas[[#This Row],[Valor Unitário]]*Vendas[[#This Row],[Qnt Vendida]]</f>
        <v>3320</v>
      </c>
      <c r="J5056" s="3">
        <f>Vendas[[#This Row],[Valor da Venda]]-(_xlfn.XLOOKUP(Vendas[[#This Row],[ID Item Vendido]],Agregado[ID],Agregado[Custo])*Vendas[[#This Row],[Qnt Vendida]])</f>
        <v>600</v>
      </c>
      <c r="K5056" s="70">
        <f>Vendas[[#This Row],[Lucro da Venda]]/Vendas[[#This Row],[Valor da Venda]]</f>
        <v>0.18072289156626506</v>
      </c>
      <c r="L5056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056"/>
    </row>
    <row r="5057" spans="1:13" x14ac:dyDescent="0.3">
      <c r="A5057" s="7">
        <v>400245</v>
      </c>
      <c r="B5057" t="str">
        <f>_xlfn.XLOOKUP(Vendas[[#This Row],[ID Vendedor]],Vendedores[ID],Vendedores[Nome])</f>
        <v>Thiago</v>
      </c>
      <c r="C5057" s="7" t="str">
        <f>_xlfn.XLOOKUP(Vendas[[#This Row],[ID Vendedor]],Vendedores[ID],Vendedores[Setor])</f>
        <v>AHD</v>
      </c>
      <c r="D5057" s="7" t="s">
        <v>44</v>
      </c>
      <c r="E5057" t="str">
        <f>_xlfn.XLOOKUP(Vendas[[#This Row],[ID Item Vendido]],Agregado[ID],Agregado[Produto])</f>
        <v>Liga metálica especial</v>
      </c>
      <c r="F5057" s="39">
        <v>45955</v>
      </c>
      <c r="G5057" s="7">
        <v>40</v>
      </c>
      <c r="H5057" s="3">
        <f>_xlfn.XLOOKUP(Vendas[[#This Row],[ID Item Vendido]],Agregado[ID],Agregado[Revenda])</f>
        <v>32.5</v>
      </c>
      <c r="I5057" s="3">
        <f>Vendas[[#This Row],[Valor Unitário]]*Vendas[[#This Row],[Qnt Vendida]]</f>
        <v>1300</v>
      </c>
      <c r="J5057" s="3">
        <f>Vendas[[#This Row],[Valor da Venda]]-(_xlfn.XLOOKUP(Vendas[[#This Row],[ID Item Vendido]],Agregado[ID],Agregado[Custo])*Vendas[[#This Row],[Qnt Vendida]])</f>
        <v>300</v>
      </c>
      <c r="K5057" s="70">
        <f>Vendas[[#This Row],[Lucro da Venda]]/Vendas[[#This Row],[Valor da Venda]]</f>
        <v>0.23076923076923078</v>
      </c>
      <c r="L5057" s="3">
        <f>_xlfn.IFS(Vendas[[#This Row],[Margem de Lucro (%)]]&lt;15%,Vendas[[#This Row],[Valor da Venda]]*3%,Vendas[[#This Row],[Margem de Lucro (%)]]&lt;=20%,Vendas[[#This Row],[Valor da Venda]]*4.5%,TRUE,Vendas[[#This Row],[Valor da Venda]]*6%)</f>
        <v>78</v>
      </c>
      <c r="M5057"/>
    </row>
    <row r="5058" spans="1:13" x14ac:dyDescent="0.3">
      <c r="A5058" s="7">
        <v>400242</v>
      </c>
      <c r="B5058" t="str">
        <f>_xlfn.XLOOKUP(Vendas[[#This Row],[ID Vendedor]],Vendedores[ID],Vendedores[Nome])</f>
        <v>Fernanda</v>
      </c>
      <c r="C5058" s="7" t="str">
        <f>_xlfn.XLOOKUP(Vendas[[#This Row],[ID Vendedor]],Vendedores[ID],Vendedores[Setor])</f>
        <v>FM</v>
      </c>
      <c r="D5058" s="7" t="s">
        <v>47</v>
      </c>
      <c r="E5058" t="str">
        <f>_xlfn.XLOOKUP(Vendas[[#This Row],[ID Item Vendido]],Agregado[ID],Agregado[Produto])</f>
        <v>Fio de arame galvanizado rolo 50m</v>
      </c>
      <c r="F5058" s="39">
        <v>45955</v>
      </c>
      <c r="G5058" s="7">
        <v>40</v>
      </c>
      <c r="H5058" s="3">
        <f>_xlfn.XLOOKUP(Vendas[[#This Row],[ID Item Vendido]],Agregado[ID],Agregado[Revenda])</f>
        <v>21.2</v>
      </c>
      <c r="I5058" s="3">
        <f>Vendas[[#This Row],[Valor Unitário]]*Vendas[[#This Row],[Qnt Vendida]]</f>
        <v>848</v>
      </c>
      <c r="J5058" s="3">
        <f>Vendas[[#This Row],[Valor da Venda]]-(_xlfn.XLOOKUP(Vendas[[#This Row],[ID Item Vendido]],Agregado[ID],Agregado[Custo])*Vendas[[#This Row],[Qnt Vendida]])</f>
        <v>128</v>
      </c>
      <c r="K5058" s="70">
        <f>Vendas[[#This Row],[Lucro da Venda]]/Vendas[[#This Row],[Valor da Venda]]</f>
        <v>0.15094339622641509</v>
      </c>
      <c r="L5058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058"/>
    </row>
    <row r="5059" spans="1:13" x14ac:dyDescent="0.3">
      <c r="A5059" s="7">
        <v>400250</v>
      </c>
      <c r="B5059" t="str">
        <f>_xlfn.XLOOKUP(Vendas[[#This Row],[ID Vendedor]],Vendedores[ID],Vendedores[Nome])</f>
        <v>Larissa</v>
      </c>
      <c r="C5059" s="7" t="str">
        <f>_xlfn.XLOOKUP(Vendas[[#This Row],[ID Vendedor]],Vendedores[ID],Vendedores[Setor])</f>
        <v>AB</v>
      </c>
      <c r="D5059" s="7" t="s">
        <v>12</v>
      </c>
      <c r="E5059" t="str">
        <f>_xlfn.XLOOKUP(Vendas[[#This Row],[ID Item Vendido]],Agregado[ID],Agregado[Produto])</f>
        <v>Grânulo de plástico reciclado refinado</v>
      </c>
      <c r="F5059" s="39">
        <v>45955</v>
      </c>
      <c r="G5059" s="7">
        <v>37</v>
      </c>
      <c r="H5059" s="3">
        <f>_xlfn.XLOOKUP(Vendas[[#This Row],[ID Item Vendido]],Agregado[ID],Agregado[Revenda])</f>
        <v>4.7</v>
      </c>
      <c r="I5059" s="3">
        <f>Vendas[[#This Row],[Valor Unitário]]*Vendas[[#This Row],[Qnt Vendida]]</f>
        <v>173.9</v>
      </c>
      <c r="J5059" s="3">
        <f>Vendas[[#This Row],[Valor da Venda]]-(_xlfn.XLOOKUP(Vendas[[#This Row],[ID Item Vendido]],Agregado[ID],Agregado[Custo])*Vendas[[#This Row],[Qnt Vendida]])</f>
        <v>44.400000000000006</v>
      </c>
      <c r="K5059" s="70">
        <f>Vendas[[#This Row],[Lucro da Venda]]/Vendas[[#This Row],[Valor da Venda]]</f>
        <v>0.25531914893617025</v>
      </c>
      <c r="L5059" s="3">
        <f>_xlfn.IFS(Vendas[[#This Row],[Margem de Lucro (%)]]&lt;15%,Vendas[[#This Row],[Valor da Venda]]*3%,Vendas[[#This Row],[Margem de Lucro (%)]]&lt;=20%,Vendas[[#This Row],[Valor da Venda]]*4.5%,TRUE,Vendas[[#This Row],[Valor da Venda]]*6%)</f>
        <v>10.433999999999999</v>
      </c>
      <c r="M5059"/>
    </row>
    <row r="5060" spans="1:13" x14ac:dyDescent="0.3">
      <c r="A5060" s="7">
        <v>400252</v>
      </c>
      <c r="B5060" t="str">
        <f>_xlfn.XLOOKUP(Vendas[[#This Row],[ID Vendedor]],Vendedores[ID],Vendedores[Nome])</f>
        <v>Renata</v>
      </c>
      <c r="C5060" s="7" t="str">
        <f>_xlfn.XLOOKUP(Vendas[[#This Row],[ID Vendedor]],Vendedores[ID],Vendedores[Setor])</f>
        <v>AB</v>
      </c>
      <c r="D5060" s="7" t="s">
        <v>36</v>
      </c>
      <c r="E5060" t="str">
        <f>_xlfn.XLOOKUP(Vendas[[#This Row],[ID Item Vendido]],Agregado[ID],Agregado[Produto])</f>
        <v>Borracha vulcanizada em manta</v>
      </c>
      <c r="F5060" s="39">
        <v>45956</v>
      </c>
      <c r="G5060" s="7">
        <v>60</v>
      </c>
      <c r="H5060" s="3">
        <f>_xlfn.XLOOKUP(Vendas[[#This Row],[ID Item Vendido]],Agregado[ID],Agregado[Revenda])</f>
        <v>7.8</v>
      </c>
      <c r="I5060" s="3">
        <f>Vendas[[#This Row],[Valor Unitário]]*Vendas[[#This Row],[Qnt Vendida]]</f>
        <v>468</v>
      </c>
      <c r="J5060" s="3">
        <f>Vendas[[#This Row],[Valor da Venda]]-(_xlfn.XLOOKUP(Vendas[[#This Row],[ID Item Vendido]],Agregado[ID],Agregado[Custo])*Vendas[[#This Row],[Qnt Vendida]])</f>
        <v>108</v>
      </c>
      <c r="K5060" s="70">
        <f>Vendas[[#This Row],[Lucro da Venda]]/Vendas[[#This Row],[Valor da Venda]]</f>
        <v>0.23076923076923078</v>
      </c>
      <c r="L5060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5060"/>
    </row>
    <row r="5061" spans="1:13" x14ac:dyDescent="0.3">
      <c r="A5061" s="7">
        <v>400249</v>
      </c>
      <c r="B5061" t="str">
        <f>_xlfn.XLOOKUP(Vendas[[#This Row],[ID Vendedor]],Vendedores[ID],Vendedores[Nome])</f>
        <v>Bruno</v>
      </c>
      <c r="C5061" s="7" t="str">
        <f>_xlfn.XLOOKUP(Vendas[[#This Row],[ID Vendedor]],Vendedores[ID],Vendedores[Setor])</f>
        <v>CM</v>
      </c>
      <c r="D5061" s="7" t="s">
        <v>34</v>
      </c>
      <c r="E5061" t="str">
        <f>_xlfn.XLOOKUP(Vendas[[#This Row],[ID Item Vendido]],Agregado[ID],Agregado[Produto])</f>
        <v>Restos de madeira p/ MDP/OSB saco de 20kg</v>
      </c>
      <c r="F5061" s="39">
        <v>45956</v>
      </c>
      <c r="G5061" s="7">
        <v>25</v>
      </c>
      <c r="H5061" s="3">
        <f>_xlfn.XLOOKUP(Vendas[[#This Row],[ID Item Vendido]],Agregado[ID],Agregado[Revenda])</f>
        <v>13.8</v>
      </c>
      <c r="I5061" s="3">
        <f>Vendas[[#This Row],[Valor Unitário]]*Vendas[[#This Row],[Qnt Vendida]]</f>
        <v>345</v>
      </c>
      <c r="J5061" s="3">
        <f>Vendas[[#This Row],[Valor da Venda]]-(_xlfn.XLOOKUP(Vendas[[#This Row],[ID Item Vendido]],Agregado[ID],Agregado[Custo])*Vendas[[#This Row],[Qnt Vendida]])</f>
        <v>45</v>
      </c>
      <c r="K5061" s="70">
        <f>Vendas[[#This Row],[Lucro da Venda]]/Vendas[[#This Row],[Valor da Venda]]</f>
        <v>0.13043478260869565</v>
      </c>
      <c r="L5061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5061"/>
    </row>
    <row r="5062" spans="1:13" x14ac:dyDescent="0.3">
      <c r="A5062" s="7">
        <v>400254</v>
      </c>
      <c r="B5062" t="str">
        <f>_xlfn.XLOOKUP(Vendas[[#This Row],[ID Vendedor]],Vendedores[ID],Vendedores[Nome])</f>
        <v>Beatriz</v>
      </c>
      <c r="C5062" s="7" t="str">
        <f>_xlfn.XLOOKUP(Vendas[[#This Row],[ID Vendedor]],Vendedores[ID],Vendedores[Setor])</f>
        <v>SC</v>
      </c>
      <c r="D5062" s="7" t="s">
        <v>41</v>
      </c>
      <c r="E5062" t="str">
        <f>_xlfn.XLOOKUP(Vendas[[#This Row],[ID Item Vendido]],Agregado[ID],Agregado[Produto])</f>
        <v>Palete de madeira reforçado</v>
      </c>
      <c r="F5062" s="39">
        <v>45956</v>
      </c>
      <c r="G5062" s="7">
        <v>1</v>
      </c>
      <c r="H5062" s="3">
        <f>_xlfn.XLOOKUP(Vendas[[#This Row],[ID Item Vendido]],Agregado[ID],Agregado[Revenda])</f>
        <v>131</v>
      </c>
      <c r="I5062" s="3">
        <f>Vendas[[#This Row],[Valor Unitário]]*Vendas[[#This Row],[Qnt Vendida]]</f>
        <v>131</v>
      </c>
      <c r="J5062" s="3">
        <f>Vendas[[#This Row],[Valor da Venda]]-(_xlfn.XLOOKUP(Vendas[[#This Row],[ID Item Vendido]],Agregado[ID],Agregado[Custo])*Vendas[[#This Row],[Qnt Vendida]])</f>
        <v>21</v>
      </c>
      <c r="K5062" s="70">
        <f>Vendas[[#This Row],[Lucro da Venda]]/Vendas[[#This Row],[Valor da Venda]]</f>
        <v>0.16030534351145037</v>
      </c>
      <c r="L5062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5062"/>
    </row>
    <row r="5063" spans="1:13" x14ac:dyDescent="0.3">
      <c r="A5063" s="7">
        <v>400247</v>
      </c>
      <c r="B5063" t="str">
        <f>_xlfn.XLOOKUP(Vendas[[#This Row],[ID Vendedor]],Vendedores[ID],Vendedores[Nome])</f>
        <v>André</v>
      </c>
      <c r="C5063" s="7" t="str">
        <f>_xlfn.XLOOKUP(Vendas[[#This Row],[ID Vendedor]],Vendedores[ID],Vendedores[Setor])</f>
        <v>CM</v>
      </c>
      <c r="D5063" s="7" t="s">
        <v>34</v>
      </c>
      <c r="E5063" t="str">
        <f>_xlfn.XLOOKUP(Vendas[[#This Row],[ID Item Vendido]],Agregado[ID],Agregado[Produto])</f>
        <v>Restos de madeira p/ MDP/OSB saco de 20kg</v>
      </c>
      <c r="F5063" s="39">
        <v>45956</v>
      </c>
      <c r="G5063" s="7">
        <v>5</v>
      </c>
      <c r="H5063" s="3">
        <f>_xlfn.XLOOKUP(Vendas[[#This Row],[ID Item Vendido]],Agregado[ID],Agregado[Revenda])</f>
        <v>13.8</v>
      </c>
      <c r="I5063" s="3">
        <f>Vendas[[#This Row],[Valor Unitário]]*Vendas[[#This Row],[Qnt Vendida]]</f>
        <v>69</v>
      </c>
      <c r="J5063" s="3">
        <f>Vendas[[#This Row],[Valor da Venda]]-(_xlfn.XLOOKUP(Vendas[[#This Row],[ID Item Vendido]],Agregado[ID],Agregado[Custo])*Vendas[[#This Row],[Qnt Vendida]])</f>
        <v>9</v>
      </c>
      <c r="K5063" s="70">
        <f>Vendas[[#This Row],[Lucro da Venda]]/Vendas[[#This Row],[Valor da Venda]]</f>
        <v>0.13043478260869565</v>
      </c>
      <c r="L5063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5063"/>
    </row>
    <row r="5064" spans="1:13" x14ac:dyDescent="0.3">
      <c r="A5064" s="7">
        <v>400245</v>
      </c>
      <c r="B5064" t="str">
        <f>_xlfn.XLOOKUP(Vendas[[#This Row],[ID Vendedor]],Vendedores[ID],Vendedores[Nome])</f>
        <v>Thiago</v>
      </c>
      <c r="C5064" s="7" t="str">
        <f>_xlfn.XLOOKUP(Vendas[[#This Row],[ID Vendedor]],Vendedores[ID],Vendedores[Setor])</f>
        <v>AHD</v>
      </c>
      <c r="D5064" s="7" t="s">
        <v>28</v>
      </c>
      <c r="E5064" t="str">
        <f>_xlfn.XLOOKUP(Vendas[[#This Row],[ID Item Vendido]],Agregado[ID],Agregado[Produto])</f>
        <v>Peça usinada CNC</v>
      </c>
      <c r="F5064" s="39">
        <v>45957</v>
      </c>
      <c r="G5064" s="7">
        <v>4</v>
      </c>
      <c r="H5064" s="3">
        <f>_xlfn.XLOOKUP(Vendas[[#This Row],[ID Item Vendido]],Agregado[ID],Agregado[Revenda])</f>
        <v>192</v>
      </c>
      <c r="I5064" s="3">
        <f>Vendas[[#This Row],[Valor Unitário]]*Vendas[[#This Row],[Qnt Vendida]]</f>
        <v>768</v>
      </c>
      <c r="J5064" s="3">
        <f>Vendas[[#This Row],[Valor da Venda]]-(_xlfn.XLOOKUP(Vendas[[#This Row],[ID Item Vendido]],Agregado[ID],Agregado[Custo])*Vendas[[#This Row],[Qnt Vendida]])</f>
        <v>168</v>
      </c>
      <c r="K5064" s="70">
        <f>Vendas[[#This Row],[Lucro da Venda]]/Vendas[[#This Row],[Valor da Venda]]</f>
        <v>0.21875</v>
      </c>
      <c r="L5064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064"/>
    </row>
    <row r="5065" spans="1:13" x14ac:dyDescent="0.3">
      <c r="A5065" s="7">
        <v>400251</v>
      </c>
      <c r="B5065" t="str">
        <f>_xlfn.XLOOKUP(Vendas[[#This Row],[ID Vendedor]],Vendedores[ID],Vendedores[Nome])</f>
        <v>Diego</v>
      </c>
      <c r="C5065" s="7" t="str">
        <f>_xlfn.XLOOKUP(Vendas[[#This Row],[ID Vendedor]],Vendedores[ID],Vendedores[Setor])</f>
        <v>AB</v>
      </c>
      <c r="D5065" s="7" t="s">
        <v>37</v>
      </c>
      <c r="E5065" t="str">
        <f>_xlfn.XLOOKUP(Vendas[[#This Row],[ID Item Vendido]],Agregado[ID],Agregado[Produto])</f>
        <v>Composto de borracha para vedação rolo 10m</v>
      </c>
      <c r="F5065" s="39">
        <v>45957</v>
      </c>
      <c r="G5065" s="7">
        <v>7</v>
      </c>
      <c r="H5065" s="3">
        <f>_xlfn.XLOOKUP(Vendas[[#This Row],[ID Item Vendido]],Agregado[ID],Agregado[Revenda])</f>
        <v>51.2</v>
      </c>
      <c r="I5065" s="3">
        <f>Vendas[[#This Row],[Valor Unitário]]*Vendas[[#This Row],[Qnt Vendida]]</f>
        <v>358.40000000000003</v>
      </c>
      <c r="J5065" s="3">
        <f>Vendas[[#This Row],[Valor da Venda]]-(_xlfn.XLOOKUP(Vendas[[#This Row],[ID Item Vendido]],Agregado[ID],Agregado[Custo])*Vendas[[#This Row],[Qnt Vendida]])</f>
        <v>78.400000000000034</v>
      </c>
      <c r="K5065" s="70">
        <f>Vendas[[#This Row],[Lucro da Venda]]/Vendas[[#This Row],[Valor da Venda]]</f>
        <v>0.21875000000000008</v>
      </c>
      <c r="L5065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5065"/>
    </row>
    <row r="5066" spans="1:13" x14ac:dyDescent="0.3">
      <c r="A5066" s="7">
        <v>400252</v>
      </c>
      <c r="B5066" t="str">
        <f>_xlfn.XLOOKUP(Vendas[[#This Row],[ID Vendedor]],Vendedores[ID],Vendedores[Nome])</f>
        <v>Renata</v>
      </c>
      <c r="C5066" s="7" t="str">
        <f>_xlfn.XLOOKUP(Vendas[[#This Row],[ID Vendedor]],Vendedores[ID],Vendedores[Setor])</f>
        <v>AB</v>
      </c>
      <c r="D5066" s="7" t="s">
        <v>12</v>
      </c>
      <c r="E5066" t="str">
        <f>_xlfn.XLOOKUP(Vendas[[#This Row],[ID Item Vendido]],Agregado[ID],Agregado[Produto])</f>
        <v>Grânulo de plástico reciclado refinado</v>
      </c>
      <c r="F5066" s="39">
        <v>45957</v>
      </c>
      <c r="G5066" s="7">
        <v>39</v>
      </c>
      <c r="H5066" s="3">
        <f>_xlfn.XLOOKUP(Vendas[[#This Row],[ID Item Vendido]],Agregado[ID],Agregado[Revenda])</f>
        <v>4.7</v>
      </c>
      <c r="I5066" s="3">
        <f>Vendas[[#This Row],[Valor Unitário]]*Vendas[[#This Row],[Qnt Vendida]]</f>
        <v>183.3</v>
      </c>
      <c r="J5066" s="3">
        <f>Vendas[[#This Row],[Valor da Venda]]-(_xlfn.XLOOKUP(Vendas[[#This Row],[ID Item Vendido]],Agregado[ID],Agregado[Custo])*Vendas[[#This Row],[Qnt Vendida]])</f>
        <v>46.800000000000011</v>
      </c>
      <c r="K5066" s="70">
        <f>Vendas[[#This Row],[Lucro da Venda]]/Vendas[[#This Row],[Valor da Venda]]</f>
        <v>0.25531914893617025</v>
      </c>
      <c r="L5066" s="3">
        <f>_xlfn.IFS(Vendas[[#This Row],[Margem de Lucro (%)]]&lt;15%,Vendas[[#This Row],[Valor da Venda]]*3%,Vendas[[#This Row],[Margem de Lucro (%)]]&lt;=20%,Vendas[[#This Row],[Valor da Venda]]*4.5%,TRUE,Vendas[[#This Row],[Valor da Venda]]*6%)</f>
        <v>10.998000000000001</v>
      </c>
      <c r="M5066"/>
    </row>
    <row r="5067" spans="1:13" x14ac:dyDescent="0.3">
      <c r="A5067" s="7">
        <v>400248</v>
      </c>
      <c r="B5067" t="str">
        <f>_xlfn.XLOOKUP(Vendas[[#This Row],[ID Vendedor]],Vendedores[ID],Vendedores[Nome])</f>
        <v>Patrícia</v>
      </c>
      <c r="C5067" s="7" t="str">
        <f>_xlfn.XLOOKUP(Vendas[[#This Row],[ID Vendedor]],Vendedores[ID],Vendedores[Setor])</f>
        <v>CM</v>
      </c>
      <c r="D5067" s="7" t="s">
        <v>22</v>
      </c>
      <c r="E5067" t="str">
        <f>_xlfn.XLOOKUP(Vendas[[#This Row],[ID Item Vendido]],Agregado[ID],Agregado[Produto])</f>
        <v>Painel MDP 2,75x1,83m</v>
      </c>
      <c r="F5067" s="39">
        <v>45958</v>
      </c>
      <c r="G5067" s="7">
        <v>6</v>
      </c>
      <c r="H5067" s="3">
        <f>_xlfn.XLOOKUP(Vendas[[#This Row],[ID Item Vendido]],Agregado[ID],Agregado[Revenda])</f>
        <v>119</v>
      </c>
      <c r="I5067" s="3">
        <f>Vendas[[#This Row],[Valor Unitário]]*Vendas[[#This Row],[Qnt Vendida]]</f>
        <v>714</v>
      </c>
      <c r="J5067" s="3">
        <f>Vendas[[#This Row],[Valor da Venda]]-(_xlfn.XLOOKUP(Vendas[[#This Row],[ID Item Vendido]],Agregado[ID],Agregado[Custo])*Vendas[[#This Row],[Qnt Vendida]])</f>
        <v>144</v>
      </c>
      <c r="K5067" s="70">
        <f>Vendas[[#This Row],[Lucro da Venda]]/Vendas[[#This Row],[Valor da Venda]]</f>
        <v>0.20168067226890757</v>
      </c>
      <c r="L5067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067"/>
    </row>
    <row r="5068" spans="1:13" x14ac:dyDescent="0.3">
      <c r="A5068" s="7">
        <v>400253</v>
      </c>
      <c r="B5068" t="str">
        <f>_xlfn.XLOOKUP(Vendas[[#This Row],[ID Vendedor]],Vendedores[ID],Vendedores[Nome])</f>
        <v>Gustavo</v>
      </c>
      <c r="C5068" s="7" t="str">
        <f>_xlfn.XLOOKUP(Vendas[[#This Row],[ID Vendedor]],Vendedores[ID],Vendedores[Setor])</f>
        <v>SC</v>
      </c>
      <c r="D5068" s="7" t="s">
        <v>25</v>
      </c>
      <c r="E5068" t="str">
        <f>_xlfn.XLOOKUP(Vendas[[#This Row],[ID Item Vendido]],Agregado[ID],Agregado[Produto])</f>
        <v>Palete de plástico</v>
      </c>
      <c r="F5068" s="39">
        <v>45958</v>
      </c>
      <c r="G5068" s="7">
        <v>10</v>
      </c>
      <c r="H5068" s="3">
        <f>_xlfn.XLOOKUP(Vendas[[#This Row],[ID Item Vendido]],Agregado[ID],Agregado[Revenda])</f>
        <v>70.8</v>
      </c>
      <c r="I5068" s="3">
        <f>Vendas[[#This Row],[Valor Unitário]]*Vendas[[#This Row],[Qnt Vendida]]</f>
        <v>708</v>
      </c>
      <c r="J5068" s="3">
        <f>Vendas[[#This Row],[Valor da Venda]]-(_xlfn.XLOOKUP(Vendas[[#This Row],[ID Item Vendido]],Agregado[ID],Agregado[Custo])*Vendas[[#This Row],[Qnt Vendida]])</f>
        <v>108</v>
      </c>
      <c r="K5068" s="70">
        <f>Vendas[[#This Row],[Lucro da Venda]]/Vendas[[#This Row],[Valor da Venda]]</f>
        <v>0.15254237288135594</v>
      </c>
      <c r="L5068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5068"/>
    </row>
    <row r="5069" spans="1:13" x14ac:dyDescent="0.3">
      <c r="A5069" s="7">
        <v>400254</v>
      </c>
      <c r="B5069" t="str">
        <f>_xlfn.XLOOKUP(Vendas[[#This Row],[ID Vendedor]],Vendedores[ID],Vendedores[Nome])</f>
        <v>Beatriz</v>
      </c>
      <c r="C5069" s="7" t="str">
        <f>_xlfn.XLOOKUP(Vendas[[#This Row],[ID Vendedor]],Vendedores[ID],Vendedores[Setor])</f>
        <v>SC</v>
      </c>
      <c r="D5069" s="7" t="s">
        <v>25</v>
      </c>
      <c r="E5069" t="str">
        <f>_xlfn.XLOOKUP(Vendas[[#This Row],[ID Item Vendido]],Agregado[ID],Agregado[Produto])</f>
        <v>Palete de plástico</v>
      </c>
      <c r="F5069" s="39">
        <v>45958</v>
      </c>
      <c r="G5069" s="7">
        <v>10</v>
      </c>
      <c r="H5069" s="3">
        <f>_xlfn.XLOOKUP(Vendas[[#This Row],[ID Item Vendido]],Agregado[ID],Agregado[Revenda])</f>
        <v>70.8</v>
      </c>
      <c r="I5069" s="3">
        <f>Vendas[[#This Row],[Valor Unitário]]*Vendas[[#This Row],[Qnt Vendida]]</f>
        <v>708</v>
      </c>
      <c r="J5069" s="3">
        <f>Vendas[[#This Row],[Valor da Venda]]-(_xlfn.XLOOKUP(Vendas[[#This Row],[ID Item Vendido]],Agregado[ID],Agregado[Custo])*Vendas[[#This Row],[Qnt Vendida]])</f>
        <v>108</v>
      </c>
      <c r="K5069" s="70">
        <f>Vendas[[#This Row],[Lucro da Venda]]/Vendas[[#This Row],[Valor da Venda]]</f>
        <v>0.15254237288135594</v>
      </c>
      <c r="L5069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5069"/>
    </row>
    <row r="5070" spans="1:13" x14ac:dyDescent="0.3">
      <c r="A5070" s="7">
        <v>400255</v>
      </c>
      <c r="B5070" t="str">
        <f>_xlfn.XLOOKUP(Vendas[[#This Row],[ID Vendedor]],Vendedores[ID],Vendedores[Nome])</f>
        <v>Carlos</v>
      </c>
      <c r="C5070" s="7" t="str">
        <f>_xlfn.XLOOKUP(Vendas[[#This Row],[ID Vendedor]],Vendedores[ID],Vendedores[Setor])</f>
        <v>SC</v>
      </c>
      <c r="D5070" s="7" t="s">
        <v>41</v>
      </c>
      <c r="E5070" t="str">
        <f>_xlfn.XLOOKUP(Vendas[[#This Row],[ID Item Vendido]],Agregado[ID],Agregado[Produto])</f>
        <v>Palete de madeira reforçado</v>
      </c>
      <c r="F5070" s="39">
        <v>45958</v>
      </c>
      <c r="G5070" s="7">
        <v>5</v>
      </c>
      <c r="H5070" s="3">
        <f>_xlfn.XLOOKUP(Vendas[[#This Row],[ID Item Vendido]],Agregado[ID],Agregado[Revenda])</f>
        <v>131</v>
      </c>
      <c r="I5070" s="3">
        <f>Vendas[[#This Row],[Valor Unitário]]*Vendas[[#This Row],[Qnt Vendida]]</f>
        <v>655</v>
      </c>
      <c r="J5070" s="3">
        <f>Vendas[[#This Row],[Valor da Venda]]-(_xlfn.XLOOKUP(Vendas[[#This Row],[ID Item Vendido]],Agregado[ID],Agregado[Custo])*Vendas[[#This Row],[Qnt Vendida]])</f>
        <v>105</v>
      </c>
      <c r="K5070" s="70">
        <f>Vendas[[#This Row],[Lucro da Venda]]/Vendas[[#This Row],[Valor da Venda]]</f>
        <v>0.16030534351145037</v>
      </c>
      <c r="L5070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070"/>
    </row>
    <row r="5071" spans="1:13" x14ac:dyDescent="0.3">
      <c r="A5071" s="7">
        <v>400254</v>
      </c>
      <c r="B5071" t="str">
        <f>_xlfn.XLOOKUP(Vendas[[#This Row],[ID Vendedor]],Vendedores[ID],Vendedores[Nome])</f>
        <v>Beatriz</v>
      </c>
      <c r="C5071" s="7" t="str">
        <f>_xlfn.XLOOKUP(Vendas[[#This Row],[ID Vendedor]],Vendedores[ID],Vendedores[Setor])</f>
        <v>SC</v>
      </c>
      <c r="D5071" s="7" t="s">
        <v>14</v>
      </c>
      <c r="E5071" t="str">
        <f>_xlfn.XLOOKUP(Vendas[[#This Row],[ID Item Vendido]],Agregado[ID],Agregado[Produto])</f>
        <v>Barril de plástico 200L</v>
      </c>
      <c r="F5071" s="39">
        <v>45959</v>
      </c>
      <c r="G5071" s="7">
        <v>12</v>
      </c>
      <c r="H5071" s="3">
        <f>_xlfn.XLOOKUP(Vendas[[#This Row],[ID Item Vendido]],Agregado[ID],Agregado[Revenda])</f>
        <v>114</v>
      </c>
      <c r="I5071" s="3">
        <f>Vendas[[#This Row],[Valor Unitário]]*Vendas[[#This Row],[Qnt Vendida]]</f>
        <v>1368</v>
      </c>
      <c r="J5071" s="3">
        <f>Vendas[[#This Row],[Valor da Venda]]-(_xlfn.XLOOKUP(Vendas[[#This Row],[ID Item Vendido]],Agregado[ID],Agregado[Custo])*Vendas[[#This Row],[Qnt Vendida]])</f>
        <v>228</v>
      </c>
      <c r="K5071" s="70">
        <f>Vendas[[#This Row],[Lucro da Venda]]/Vendas[[#This Row],[Valor da Venda]]</f>
        <v>0.16666666666666666</v>
      </c>
      <c r="L5071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5071"/>
    </row>
    <row r="5072" spans="1:13" x14ac:dyDescent="0.3">
      <c r="A5072" s="7">
        <v>400246</v>
      </c>
      <c r="B5072" t="str">
        <f>_xlfn.XLOOKUP(Vendas[[#This Row],[ID Vendedor]],Vendedores[ID],Vendedores[Nome])</f>
        <v>Juliana</v>
      </c>
      <c r="C5072" s="7" t="str">
        <f>_xlfn.XLOOKUP(Vendas[[#This Row],[ID Vendedor]],Vendedores[ID],Vendedores[Setor])</f>
        <v>AHD</v>
      </c>
      <c r="D5072" s="7" t="s">
        <v>18</v>
      </c>
      <c r="E5072" t="str">
        <f>_xlfn.XLOOKUP(Vendas[[#This Row],[ID Item Vendido]],Agregado[ID],Agregado[Produto])</f>
        <v>Peça forjada sob encomenda</v>
      </c>
      <c r="F5072" s="39">
        <v>45959</v>
      </c>
      <c r="G5072" s="7">
        <v>3</v>
      </c>
      <c r="H5072" s="3">
        <f>_xlfn.XLOOKUP(Vendas[[#This Row],[ID Item Vendido]],Agregado[ID],Agregado[Revenda])</f>
        <v>264.60000000000002</v>
      </c>
      <c r="I5072" s="3">
        <f>Vendas[[#This Row],[Valor Unitário]]*Vendas[[#This Row],[Qnt Vendida]]</f>
        <v>793.80000000000007</v>
      </c>
      <c r="J5072" s="3">
        <f>Vendas[[#This Row],[Valor da Venda]]-(_xlfn.XLOOKUP(Vendas[[#This Row],[ID Item Vendido]],Agregado[ID],Agregado[Custo])*Vendas[[#This Row],[Qnt Vendida]])</f>
        <v>43.800000000000068</v>
      </c>
      <c r="K5072" s="70">
        <f>Vendas[[#This Row],[Lucro da Venda]]/Vendas[[#This Row],[Valor da Venda]]</f>
        <v>5.5177626606198113E-2</v>
      </c>
      <c r="L5072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072"/>
    </row>
    <row r="5073" spans="1:13" x14ac:dyDescent="0.3">
      <c r="A5073" s="7">
        <v>400246</v>
      </c>
      <c r="B5073" t="str">
        <f>_xlfn.XLOOKUP(Vendas[[#This Row],[ID Vendedor]],Vendedores[ID],Vendedores[Nome])</f>
        <v>Juliana</v>
      </c>
      <c r="C5073" s="7" t="str">
        <f>_xlfn.XLOOKUP(Vendas[[#This Row],[ID Vendedor]],Vendedores[ID],Vendedores[Setor])</f>
        <v>AHD</v>
      </c>
      <c r="D5073" s="7" t="s">
        <v>9</v>
      </c>
      <c r="E5073" t="str">
        <f>_xlfn.XLOOKUP(Vendas[[#This Row],[ID Item Vendido]],Agregado[ID],Agregado[Produto])</f>
        <v>Barra de aço simples</v>
      </c>
      <c r="F5073" s="39">
        <v>45959</v>
      </c>
      <c r="G5073" s="7">
        <v>98</v>
      </c>
      <c r="H5073" s="3">
        <f>_xlfn.XLOOKUP(Vendas[[#This Row],[ID Item Vendido]],Agregado[ID],Agregado[Revenda])</f>
        <v>6.7</v>
      </c>
      <c r="I5073" s="3">
        <f>Vendas[[#This Row],[Valor Unitário]]*Vendas[[#This Row],[Qnt Vendida]]</f>
        <v>656.6</v>
      </c>
      <c r="J5073" s="3">
        <f>Vendas[[#This Row],[Valor da Venda]]-(_xlfn.XLOOKUP(Vendas[[#This Row],[ID Item Vendido]],Agregado[ID],Agregado[Custo])*Vendas[[#This Row],[Qnt Vendida]])</f>
        <v>88.200000000000045</v>
      </c>
      <c r="K5073" s="70">
        <f>Vendas[[#This Row],[Lucro da Venda]]/Vendas[[#This Row],[Valor da Venda]]</f>
        <v>0.13432835820895528</v>
      </c>
      <c r="L5073" s="3">
        <f>_xlfn.IFS(Vendas[[#This Row],[Margem de Lucro (%)]]&lt;15%,Vendas[[#This Row],[Valor da Venda]]*3%,Vendas[[#This Row],[Margem de Lucro (%)]]&lt;=20%,Vendas[[#This Row],[Valor da Venda]]*4.5%,TRUE,Vendas[[#This Row],[Valor da Venda]]*6%)</f>
        <v>19.698</v>
      </c>
      <c r="M5073"/>
    </row>
    <row r="5074" spans="1:13" x14ac:dyDescent="0.3">
      <c r="A5074" s="7">
        <v>400241</v>
      </c>
      <c r="B5074" t="str">
        <f>_xlfn.XLOOKUP(Vendas[[#This Row],[ID Vendedor]],Vendedores[ID],Vendedores[Nome])</f>
        <v>Rodrigo</v>
      </c>
      <c r="C5074" s="7" t="str">
        <f>_xlfn.XLOOKUP(Vendas[[#This Row],[ID Vendedor]],Vendedores[ID],Vendedores[Setor])</f>
        <v>FM</v>
      </c>
      <c r="D5074" s="7" t="s">
        <v>47</v>
      </c>
      <c r="E5074" t="str">
        <f>_xlfn.XLOOKUP(Vendas[[#This Row],[ID Item Vendido]],Agregado[ID],Agregado[Produto])</f>
        <v>Fio de arame galvanizado rolo 50m</v>
      </c>
      <c r="F5074" s="39">
        <v>45959</v>
      </c>
      <c r="G5074" s="7">
        <v>3</v>
      </c>
      <c r="H5074" s="3">
        <f>_xlfn.XLOOKUP(Vendas[[#This Row],[ID Item Vendido]],Agregado[ID],Agregado[Revenda])</f>
        <v>21.2</v>
      </c>
      <c r="I5074" s="3">
        <f>Vendas[[#This Row],[Valor Unitário]]*Vendas[[#This Row],[Qnt Vendida]]</f>
        <v>63.599999999999994</v>
      </c>
      <c r="J5074" s="3">
        <f>Vendas[[#This Row],[Valor da Venda]]-(_xlfn.XLOOKUP(Vendas[[#This Row],[ID Item Vendido]],Agregado[ID],Agregado[Custo])*Vendas[[#This Row],[Qnt Vendida]])</f>
        <v>9.5999999999999943</v>
      </c>
      <c r="K5074" s="70">
        <f>Vendas[[#This Row],[Lucro da Venda]]/Vendas[[#This Row],[Valor da Venda]]</f>
        <v>0.15094339622641501</v>
      </c>
      <c r="L5074" s="3">
        <f>_xlfn.IFS(Vendas[[#This Row],[Margem de Lucro (%)]]&lt;15%,Vendas[[#This Row],[Valor da Venda]]*3%,Vendas[[#This Row],[Margem de Lucro (%)]]&lt;=20%,Vendas[[#This Row],[Valor da Venda]]*4.5%,TRUE,Vendas[[#This Row],[Valor da Venda]]*6%)</f>
        <v>2.8619999999999997</v>
      </c>
      <c r="M5074"/>
    </row>
    <row r="5075" spans="1:13" x14ac:dyDescent="0.3">
      <c r="A5075" s="7">
        <v>400247</v>
      </c>
      <c r="B5075" t="str">
        <f>_xlfn.XLOOKUP(Vendas[[#This Row],[ID Vendedor]],Vendedores[ID],Vendedores[Nome])</f>
        <v>André</v>
      </c>
      <c r="C5075" s="7" t="str">
        <f>_xlfn.XLOOKUP(Vendas[[#This Row],[ID Vendedor]],Vendedores[ID],Vendedores[Setor])</f>
        <v>CM</v>
      </c>
      <c r="D5075" s="7" t="s">
        <v>34</v>
      </c>
      <c r="E5075" t="str">
        <f>_xlfn.XLOOKUP(Vendas[[#This Row],[ID Item Vendido]],Agregado[ID],Agregado[Produto])</f>
        <v>Restos de madeira p/ MDP/OSB saco de 20kg</v>
      </c>
      <c r="F5075" s="39">
        <v>45960</v>
      </c>
      <c r="G5075" s="7">
        <v>15</v>
      </c>
      <c r="H5075" s="3">
        <f>_xlfn.XLOOKUP(Vendas[[#This Row],[ID Item Vendido]],Agregado[ID],Agregado[Revenda])</f>
        <v>13.8</v>
      </c>
      <c r="I5075" s="3">
        <f>Vendas[[#This Row],[Valor Unitário]]*Vendas[[#This Row],[Qnt Vendida]]</f>
        <v>207</v>
      </c>
      <c r="J5075" s="3">
        <f>Vendas[[#This Row],[Valor da Venda]]-(_xlfn.XLOOKUP(Vendas[[#This Row],[ID Item Vendido]],Agregado[ID],Agregado[Custo])*Vendas[[#This Row],[Qnt Vendida]])</f>
        <v>27</v>
      </c>
      <c r="K5075" s="70">
        <f>Vendas[[#This Row],[Lucro da Venda]]/Vendas[[#This Row],[Valor da Venda]]</f>
        <v>0.13043478260869565</v>
      </c>
      <c r="L5075" s="3">
        <f>_xlfn.IFS(Vendas[[#This Row],[Margem de Lucro (%)]]&lt;15%,Vendas[[#This Row],[Valor da Venda]]*3%,Vendas[[#This Row],[Margem de Lucro (%)]]&lt;=20%,Vendas[[#This Row],[Valor da Venda]]*4.5%,TRUE,Vendas[[#This Row],[Valor da Venda]]*6%)</f>
        <v>6.21</v>
      </c>
      <c r="M5075"/>
    </row>
    <row r="5076" spans="1:13" x14ac:dyDescent="0.3">
      <c r="A5076" s="7">
        <v>400252</v>
      </c>
      <c r="B5076" t="str">
        <f>_xlfn.XLOOKUP(Vendas[[#This Row],[ID Vendedor]],Vendedores[ID],Vendedores[Nome])</f>
        <v>Renata</v>
      </c>
      <c r="C5076" s="7" t="str">
        <f>_xlfn.XLOOKUP(Vendas[[#This Row],[ID Vendedor]],Vendedores[ID],Vendedores[Setor])</f>
        <v>AB</v>
      </c>
      <c r="D5076" s="7" t="s">
        <v>24</v>
      </c>
      <c r="E5076" t="str">
        <f>_xlfn.XLOOKUP(Vendas[[#This Row],[ID Item Vendido]],Agregado[ID],Agregado[Produto])</f>
        <v>Resina plástica PET purificada saco de 25kg</v>
      </c>
      <c r="F5076" s="39">
        <v>45961</v>
      </c>
      <c r="G5076" s="7">
        <v>17</v>
      </c>
      <c r="H5076" s="3">
        <f>_xlfn.XLOOKUP(Vendas[[#This Row],[ID Item Vendido]],Agregado[ID],Agregado[Revenda])</f>
        <v>119</v>
      </c>
      <c r="I5076" s="3">
        <f>Vendas[[#This Row],[Valor Unitário]]*Vendas[[#This Row],[Qnt Vendida]]</f>
        <v>2023</v>
      </c>
      <c r="J5076" s="3">
        <f>Vendas[[#This Row],[Valor da Venda]]-(_xlfn.XLOOKUP(Vendas[[#This Row],[ID Item Vendido]],Agregado[ID],Agregado[Custo])*Vendas[[#This Row],[Qnt Vendida]])</f>
        <v>578</v>
      </c>
      <c r="K5076" s="70">
        <f>Vendas[[#This Row],[Lucro da Venda]]/Vendas[[#This Row],[Valor da Venda]]</f>
        <v>0.2857142857142857</v>
      </c>
      <c r="L5076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076"/>
    </row>
    <row r="5077" spans="1:13" x14ac:dyDescent="0.3">
      <c r="A5077" s="7">
        <v>400254</v>
      </c>
      <c r="B5077" t="str">
        <f>_xlfn.XLOOKUP(Vendas[[#This Row],[ID Vendedor]],Vendedores[ID],Vendedores[Nome])</f>
        <v>Beatriz</v>
      </c>
      <c r="C5077" s="7" t="str">
        <f>_xlfn.XLOOKUP(Vendas[[#This Row],[ID Vendedor]],Vendedores[ID],Vendedores[Setor])</f>
        <v>SC</v>
      </c>
      <c r="D5077" s="7" t="s">
        <v>25</v>
      </c>
      <c r="E5077" t="str">
        <f>_xlfn.XLOOKUP(Vendas[[#This Row],[ID Item Vendido]],Agregado[ID],Agregado[Produto])</f>
        <v>Palete de plástico</v>
      </c>
      <c r="F5077" s="39">
        <v>45961</v>
      </c>
      <c r="G5077" s="7">
        <v>12</v>
      </c>
      <c r="H5077" s="3">
        <f>_xlfn.XLOOKUP(Vendas[[#This Row],[ID Item Vendido]],Agregado[ID],Agregado[Revenda])</f>
        <v>70.8</v>
      </c>
      <c r="I5077" s="3">
        <f>Vendas[[#This Row],[Valor Unitário]]*Vendas[[#This Row],[Qnt Vendida]]</f>
        <v>849.59999999999991</v>
      </c>
      <c r="J5077" s="3">
        <f>Vendas[[#This Row],[Valor da Venda]]-(_xlfn.XLOOKUP(Vendas[[#This Row],[ID Item Vendido]],Agregado[ID],Agregado[Custo])*Vendas[[#This Row],[Qnt Vendida]])</f>
        <v>129.59999999999991</v>
      </c>
      <c r="K5077" s="70">
        <f>Vendas[[#This Row],[Lucro da Venda]]/Vendas[[#This Row],[Valor da Venda]]</f>
        <v>0.15254237288135583</v>
      </c>
      <c r="L5077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5077"/>
    </row>
    <row r="5078" spans="1:13" x14ac:dyDescent="0.3">
      <c r="A5078" s="7">
        <v>400254</v>
      </c>
      <c r="B5078" t="str">
        <f>_xlfn.XLOOKUP(Vendas[[#This Row],[ID Vendedor]],Vendedores[ID],Vendedores[Nome])</f>
        <v>Beatriz</v>
      </c>
      <c r="C5078" s="7" t="str">
        <f>_xlfn.XLOOKUP(Vendas[[#This Row],[ID Vendedor]],Vendedores[ID],Vendedores[Setor])</f>
        <v>SC</v>
      </c>
      <c r="D5078" s="7" t="s">
        <v>42</v>
      </c>
      <c r="E5078" t="str">
        <f>_xlfn.XLOOKUP(Vendas[[#This Row],[ID Item Vendido]],Agregado[ID],Agregado[Produto])</f>
        <v>Container de ferro industrial</v>
      </c>
      <c r="F5078" s="39">
        <v>45961</v>
      </c>
      <c r="G5078" s="7">
        <v>1</v>
      </c>
      <c r="H5078" s="3">
        <f>_xlfn.XLOOKUP(Vendas[[#This Row],[ID Item Vendido]],Agregado[ID],Agregado[Revenda])</f>
        <v>830</v>
      </c>
      <c r="I5078" s="3">
        <f>Vendas[[#This Row],[Valor Unitário]]*Vendas[[#This Row],[Qnt Vendida]]</f>
        <v>830</v>
      </c>
      <c r="J5078" s="3">
        <f>Vendas[[#This Row],[Valor da Venda]]-(_xlfn.XLOOKUP(Vendas[[#This Row],[ID Item Vendido]],Agregado[ID],Agregado[Custo])*Vendas[[#This Row],[Qnt Vendida]])</f>
        <v>150</v>
      </c>
      <c r="K5078" s="70">
        <f>Vendas[[#This Row],[Lucro da Venda]]/Vendas[[#This Row],[Valor da Venda]]</f>
        <v>0.18072289156626506</v>
      </c>
      <c r="L507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078"/>
    </row>
    <row r="5079" spans="1:13" x14ac:dyDescent="0.3">
      <c r="A5079" s="7">
        <v>400254</v>
      </c>
      <c r="B5079" t="str">
        <f>_xlfn.XLOOKUP(Vendas[[#This Row],[ID Vendedor]],Vendedores[ID],Vendedores[Nome])</f>
        <v>Beatriz</v>
      </c>
      <c r="C5079" s="7" t="str">
        <f>_xlfn.XLOOKUP(Vendas[[#This Row],[ID Vendedor]],Vendedores[ID],Vendedores[Setor])</f>
        <v>SC</v>
      </c>
      <c r="D5079" s="7" t="s">
        <v>25</v>
      </c>
      <c r="E5079" t="str">
        <f>_xlfn.XLOOKUP(Vendas[[#This Row],[ID Item Vendido]],Agregado[ID],Agregado[Produto])</f>
        <v>Palete de plástico</v>
      </c>
      <c r="F5079" s="39">
        <v>45961</v>
      </c>
      <c r="G5079" s="7">
        <v>6</v>
      </c>
      <c r="H5079" s="3">
        <f>_xlfn.XLOOKUP(Vendas[[#This Row],[ID Item Vendido]],Agregado[ID],Agregado[Revenda])</f>
        <v>70.8</v>
      </c>
      <c r="I5079" s="3">
        <f>Vendas[[#This Row],[Valor Unitário]]*Vendas[[#This Row],[Qnt Vendida]]</f>
        <v>424.79999999999995</v>
      </c>
      <c r="J5079" s="3">
        <f>Vendas[[#This Row],[Valor da Venda]]-(_xlfn.XLOOKUP(Vendas[[#This Row],[ID Item Vendido]],Agregado[ID],Agregado[Custo])*Vendas[[#This Row],[Qnt Vendida]])</f>
        <v>64.799999999999955</v>
      </c>
      <c r="K5079" s="70">
        <f>Vendas[[#This Row],[Lucro da Venda]]/Vendas[[#This Row],[Valor da Venda]]</f>
        <v>0.15254237288135583</v>
      </c>
      <c r="L5079" s="3">
        <f>_xlfn.IFS(Vendas[[#This Row],[Margem de Lucro (%)]]&lt;15%,Vendas[[#This Row],[Valor da Venda]]*3%,Vendas[[#This Row],[Margem de Lucro (%)]]&lt;=20%,Vendas[[#This Row],[Valor da Venda]]*4.5%,TRUE,Vendas[[#This Row],[Valor da Venda]]*6%)</f>
        <v>19.115999999999996</v>
      </c>
      <c r="M5079"/>
    </row>
    <row r="5080" spans="1:13" x14ac:dyDescent="0.3">
      <c r="A5080" s="7">
        <v>400241</v>
      </c>
      <c r="B5080" t="str">
        <f>_xlfn.XLOOKUP(Vendas[[#This Row],[ID Vendedor]],Vendedores[ID],Vendedores[Nome])</f>
        <v>Rodrigo</v>
      </c>
      <c r="C5080" s="7" t="str">
        <f>_xlfn.XLOOKUP(Vendas[[#This Row],[ID Vendedor]],Vendedores[ID],Vendedores[Setor])</f>
        <v>FM</v>
      </c>
      <c r="D5080" s="7" t="s">
        <v>20</v>
      </c>
      <c r="E5080" t="str">
        <f>_xlfn.XLOOKUP(Vendas[[#This Row],[ID Item Vendido]],Agregado[ID],Agregado[Produto])</f>
        <v>Barra de aço simples</v>
      </c>
      <c r="F5080" s="39">
        <v>45961</v>
      </c>
      <c r="G5080" s="7">
        <v>28</v>
      </c>
      <c r="H5080" s="3">
        <f>_xlfn.XLOOKUP(Vendas[[#This Row],[ID Item Vendido]],Agregado[ID],Agregado[Revenda])</f>
        <v>4.8</v>
      </c>
      <c r="I5080" s="3">
        <f>Vendas[[#This Row],[Valor Unitário]]*Vendas[[#This Row],[Qnt Vendida]]</f>
        <v>134.4</v>
      </c>
      <c r="J5080" s="3">
        <f>Vendas[[#This Row],[Valor da Venda]]-(_xlfn.XLOOKUP(Vendas[[#This Row],[ID Item Vendido]],Agregado[ID],Agregado[Custo])*Vendas[[#This Row],[Qnt Vendida]])</f>
        <v>16.799999999999997</v>
      </c>
      <c r="K5080" s="70">
        <f>Vendas[[#This Row],[Lucro da Venda]]/Vendas[[#This Row],[Valor da Venda]]</f>
        <v>0.12499999999999997</v>
      </c>
      <c r="L5080" s="3">
        <f>_xlfn.IFS(Vendas[[#This Row],[Margem de Lucro (%)]]&lt;15%,Vendas[[#This Row],[Valor da Venda]]*3%,Vendas[[#This Row],[Margem de Lucro (%)]]&lt;=20%,Vendas[[#This Row],[Valor da Venda]]*4.5%,TRUE,Vendas[[#This Row],[Valor da Venda]]*6%)</f>
        <v>4.032</v>
      </c>
      <c r="M5080"/>
    </row>
    <row r="5081" spans="1:13" x14ac:dyDescent="0.3">
      <c r="A5081" s="7">
        <v>400251</v>
      </c>
      <c r="B5081" t="str">
        <f>_xlfn.XLOOKUP(Vendas[[#This Row],[ID Vendedor]],Vendedores[ID],Vendedores[Nome])</f>
        <v>Diego</v>
      </c>
      <c r="C5081" s="7" t="str">
        <f>_xlfn.XLOOKUP(Vendas[[#This Row],[ID Vendedor]],Vendedores[ID],Vendedores[Setor])</f>
        <v>AB</v>
      </c>
      <c r="D5081" s="7" t="s">
        <v>24</v>
      </c>
      <c r="E5081" t="str">
        <f>_xlfn.XLOOKUP(Vendas[[#This Row],[ID Item Vendido]],Agregado[ID],Agregado[Produto])</f>
        <v>Resina plástica PET purificada saco de 25kg</v>
      </c>
      <c r="F5081" s="39">
        <v>45962</v>
      </c>
      <c r="G5081" s="7">
        <v>25</v>
      </c>
      <c r="H5081" s="3">
        <f>_xlfn.XLOOKUP(Vendas[[#This Row],[ID Item Vendido]],Agregado[ID],Agregado[Revenda])</f>
        <v>119</v>
      </c>
      <c r="I5081" s="3">
        <f>Vendas[[#This Row],[Valor Unitário]]*Vendas[[#This Row],[Qnt Vendida]]</f>
        <v>2975</v>
      </c>
      <c r="J5081" s="3">
        <f>Vendas[[#This Row],[Valor da Venda]]-(_xlfn.XLOOKUP(Vendas[[#This Row],[ID Item Vendido]],Agregado[ID],Agregado[Custo])*Vendas[[#This Row],[Qnt Vendida]])</f>
        <v>850</v>
      </c>
      <c r="K5081" s="70">
        <f>Vendas[[#This Row],[Lucro da Venda]]/Vendas[[#This Row],[Valor da Venda]]</f>
        <v>0.2857142857142857</v>
      </c>
      <c r="L5081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081"/>
    </row>
    <row r="5082" spans="1:13" x14ac:dyDescent="0.3">
      <c r="A5082" s="7">
        <v>400252</v>
      </c>
      <c r="B5082" t="str">
        <f>_xlfn.XLOOKUP(Vendas[[#This Row],[ID Vendedor]],Vendedores[ID],Vendedores[Nome])</f>
        <v>Renata</v>
      </c>
      <c r="C5082" s="7" t="str">
        <f>_xlfn.XLOOKUP(Vendas[[#This Row],[ID Vendedor]],Vendedores[ID],Vendedores[Setor])</f>
        <v>AB</v>
      </c>
      <c r="D5082" s="7" t="s">
        <v>24</v>
      </c>
      <c r="E5082" t="str">
        <f>_xlfn.XLOOKUP(Vendas[[#This Row],[ID Item Vendido]],Agregado[ID],Agregado[Produto])</f>
        <v>Resina plástica PET purificada saco de 25kg</v>
      </c>
      <c r="F5082" s="39">
        <v>45962</v>
      </c>
      <c r="G5082" s="7">
        <v>25</v>
      </c>
      <c r="H5082" s="3">
        <f>_xlfn.XLOOKUP(Vendas[[#This Row],[ID Item Vendido]],Agregado[ID],Agregado[Revenda])</f>
        <v>119</v>
      </c>
      <c r="I5082" s="3">
        <f>Vendas[[#This Row],[Valor Unitário]]*Vendas[[#This Row],[Qnt Vendida]]</f>
        <v>2975</v>
      </c>
      <c r="J5082" s="3">
        <f>Vendas[[#This Row],[Valor da Venda]]-(_xlfn.XLOOKUP(Vendas[[#This Row],[ID Item Vendido]],Agregado[ID],Agregado[Custo])*Vendas[[#This Row],[Qnt Vendida]])</f>
        <v>850</v>
      </c>
      <c r="K5082" s="70">
        <f>Vendas[[#This Row],[Lucro da Venda]]/Vendas[[#This Row],[Valor da Venda]]</f>
        <v>0.2857142857142857</v>
      </c>
      <c r="L5082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082"/>
    </row>
    <row r="5083" spans="1:13" x14ac:dyDescent="0.3">
      <c r="A5083" s="7">
        <v>400249</v>
      </c>
      <c r="B5083" t="str">
        <f>_xlfn.XLOOKUP(Vendas[[#This Row],[ID Vendedor]],Vendedores[ID],Vendedores[Nome])</f>
        <v>Bruno</v>
      </c>
      <c r="C5083" s="7" t="str">
        <f>_xlfn.XLOOKUP(Vendas[[#This Row],[ID Vendedor]],Vendedores[ID],Vendedores[Setor])</f>
        <v>CM</v>
      </c>
      <c r="D5083" s="7" t="s">
        <v>34</v>
      </c>
      <c r="E5083" t="str">
        <f>_xlfn.XLOOKUP(Vendas[[#This Row],[ID Item Vendido]],Agregado[ID],Agregado[Produto])</f>
        <v>Restos de madeira p/ MDP/OSB saco de 20kg</v>
      </c>
      <c r="F5083" s="39">
        <v>45962</v>
      </c>
      <c r="G5083" s="7">
        <v>19</v>
      </c>
      <c r="H5083" s="3">
        <f>_xlfn.XLOOKUP(Vendas[[#This Row],[ID Item Vendido]],Agregado[ID],Agregado[Revenda])</f>
        <v>13.8</v>
      </c>
      <c r="I5083" s="3">
        <f>Vendas[[#This Row],[Valor Unitário]]*Vendas[[#This Row],[Qnt Vendida]]</f>
        <v>262.2</v>
      </c>
      <c r="J5083" s="3">
        <f>Vendas[[#This Row],[Valor da Venda]]-(_xlfn.XLOOKUP(Vendas[[#This Row],[ID Item Vendido]],Agregado[ID],Agregado[Custo])*Vendas[[#This Row],[Qnt Vendida]])</f>
        <v>34.199999999999989</v>
      </c>
      <c r="K5083" s="70">
        <f>Vendas[[#This Row],[Lucro da Venda]]/Vendas[[#This Row],[Valor da Venda]]</f>
        <v>0.13043478260869562</v>
      </c>
      <c r="L5083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5083"/>
    </row>
    <row r="5084" spans="1:13" x14ac:dyDescent="0.3">
      <c r="A5084" s="7">
        <v>400251</v>
      </c>
      <c r="B5084" t="str">
        <f>_xlfn.XLOOKUP(Vendas[[#This Row],[ID Vendedor]],Vendedores[ID],Vendedores[Nome])</f>
        <v>Diego</v>
      </c>
      <c r="C5084" s="7" t="str">
        <f>_xlfn.XLOOKUP(Vendas[[#This Row],[ID Vendedor]],Vendedores[ID],Vendedores[Setor])</f>
        <v>AB</v>
      </c>
      <c r="D5084" s="7" t="s">
        <v>39</v>
      </c>
      <c r="E5084" t="str">
        <f>_xlfn.XLOOKUP(Vendas[[#This Row],[ID Item Vendido]],Agregado[ID],Agregado[Produto])</f>
        <v>Filme plástico industrial rolo 50m</v>
      </c>
      <c r="F5084" s="39">
        <v>45962</v>
      </c>
      <c r="G5084" s="7">
        <v>5</v>
      </c>
      <c r="H5084" s="3">
        <f>_xlfn.XLOOKUP(Vendas[[#This Row],[ID Item Vendido]],Agregado[ID],Agregado[Revenda])</f>
        <v>37</v>
      </c>
      <c r="I5084" s="3">
        <f>Vendas[[#This Row],[Valor Unitário]]*Vendas[[#This Row],[Qnt Vendida]]</f>
        <v>185</v>
      </c>
      <c r="J5084" s="3">
        <f>Vendas[[#This Row],[Valor da Venda]]-(_xlfn.XLOOKUP(Vendas[[#This Row],[ID Item Vendido]],Agregado[ID],Agregado[Custo])*Vendas[[#This Row],[Qnt Vendida]])</f>
        <v>45</v>
      </c>
      <c r="K5084" s="70">
        <f>Vendas[[#This Row],[Lucro da Venda]]/Vendas[[#This Row],[Valor da Venda]]</f>
        <v>0.24324324324324326</v>
      </c>
      <c r="L5084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5084"/>
    </row>
    <row r="5085" spans="1:13" x14ac:dyDescent="0.3">
      <c r="A5085" s="7">
        <v>400246</v>
      </c>
      <c r="B5085" t="str">
        <f>_xlfn.XLOOKUP(Vendas[[#This Row],[ID Vendedor]],Vendedores[ID],Vendedores[Nome])</f>
        <v>Juliana</v>
      </c>
      <c r="C5085" s="7" t="str">
        <f>_xlfn.XLOOKUP(Vendas[[#This Row],[ID Vendedor]],Vendedores[ID],Vendedores[Setor])</f>
        <v>AHD</v>
      </c>
      <c r="D5085" s="7" t="s">
        <v>28</v>
      </c>
      <c r="E5085" t="str">
        <f>_xlfn.XLOOKUP(Vendas[[#This Row],[ID Item Vendido]],Agregado[ID],Agregado[Produto])</f>
        <v>Peça usinada CNC</v>
      </c>
      <c r="F5085" s="39">
        <v>45963</v>
      </c>
      <c r="G5085" s="7">
        <v>9</v>
      </c>
      <c r="H5085" s="3">
        <f>_xlfn.XLOOKUP(Vendas[[#This Row],[ID Item Vendido]],Agregado[ID],Agregado[Revenda])</f>
        <v>192</v>
      </c>
      <c r="I5085" s="3">
        <f>Vendas[[#This Row],[Valor Unitário]]*Vendas[[#This Row],[Qnt Vendida]]</f>
        <v>1728</v>
      </c>
      <c r="J5085" s="3">
        <f>Vendas[[#This Row],[Valor da Venda]]-(_xlfn.XLOOKUP(Vendas[[#This Row],[ID Item Vendido]],Agregado[ID],Agregado[Custo])*Vendas[[#This Row],[Qnt Vendida]])</f>
        <v>378</v>
      </c>
      <c r="K5085" s="70">
        <f>Vendas[[#This Row],[Lucro da Venda]]/Vendas[[#This Row],[Valor da Venda]]</f>
        <v>0.21875</v>
      </c>
      <c r="L5085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5085"/>
    </row>
    <row r="5086" spans="1:13" x14ac:dyDescent="0.3">
      <c r="A5086" s="7">
        <v>400244</v>
      </c>
      <c r="B5086" t="str">
        <f>_xlfn.XLOOKUP(Vendas[[#This Row],[ID Vendedor]],Vendedores[ID],Vendedores[Nome])</f>
        <v>Camila</v>
      </c>
      <c r="C5086" s="7" t="str">
        <f>_xlfn.XLOOKUP(Vendas[[#This Row],[ID Vendedor]],Vendedores[ID],Vendedores[Setor])</f>
        <v>AHD</v>
      </c>
      <c r="D5086" s="7" t="s">
        <v>18</v>
      </c>
      <c r="E5086" t="str">
        <f>_xlfn.XLOOKUP(Vendas[[#This Row],[ID Item Vendido]],Agregado[ID],Agregado[Produto])</f>
        <v>Peça forjada sob encomenda</v>
      </c>
      <c r="F5086" s="39">
        <v>45963</v>
      </c>
      <c r="G5086" s="7">
        <v>3</v>
      </c>
      <c r="H5086" s="3">
        <f>_xlfn.XLOOKUP(Vendas[[#This Row],[ID Item Vendido]],Agregado[ID],Agregado[Revenda])</f>
        <v>264.60000000000002</v>
      </c>
      <c r="I5086" s="3">
        <f>Vendas[[#This Row],[Valor Unitário]]*Vendas[[#This Row],[Qnt Vendida]]</f>
        <v>793.80000000000007</v>
      </c>
      <c r="J5086" s="3">
        <f>Vendas[[#This Row],[Valor da Venda]]-(_xlfn.XLOOKUP(Vendas[[#This Row],[ID Item Vendido]],Agregado[ID],Agregado[Custo])*Vendas[[#This Row],[Qnt Vendida]])</f>
        <v>43.800000000000068</v>
      </c>
      <c r="K5086" s="70">
        <f>Vendas[[#This Row],[Lucro da Venda]]/Vendas[[#This Row],[Valor da Venda]]</f>
        <v>5.5177626606198113E-2</v>
      </c>
      <c r="L5086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086"/>
    </row>
    <row r="5087" spans="1:13" x14ac:dyDescent="0.3">
      <c r="A5087" s="7">
        <v>400250</v>
      </c>
      <c r="B5087" t="str">
        <f>_xlfn.XLOOKUP(Vendas[[#This Row],[ID Vendedor]],Vendedores[ID],Vendedores[Nome])</f>
        <v>Larissa</v>
      </c>
      <c r="C5087" s="7" t="str">
        <f>_xlfn.XLOOKUP(Vendas[[#This Row],[ID Vendedor]],Vendedores[ID],Vendedores[Setor])</f>
        <v>AB</v>
      </c>
      <c r="D5087" s="7" t="s">
        <v>39</v>
      </c>
      <c r="E5087" t="str">
        <f>_xlfn.XLOOKUP(Vendas[[#This Row],[ID Item Vendido]],Agregado[ID],Agregado[Produto])</f>
        <v>Filme plástico industrial rolo 50m</v>
      </c>
      <c r="F5087" s="39">
        <v>45963</v>
      </c>
      <c r="G5087" s="7">
        <v>5</v>
      </c>
      <c r="H5087" s="3">
        <f>_xlfn.XLOOKUP(Vendas[[#This Row],[ID Item Vendido]],Agregado[ID],Agregado[Revenda])</f>
        <v>37</v>
      </c>
      <c r="I5087" s="3">
        <f>Vendas[[#This Row],[Valor Unitário]]*Vendas[[#This Row],[Qnt Vendida]]</f>
        <v>185</v>
      </c>
      <c r="J5087" s="3">
        <f>Vendas[[#This Row],[Valor da Venda]]-(_xlfn.XLOOKUP(Vendas[[#This Row],[ID Item Vendido]],Agregado[ID],Agregado[Custo])*Vendas[[#This Row],[Qnt Vendida]])</f>
        <v>45</v>
      </c>
      <c r="K5087" s="70">
        <f>Vendas[[#This Row],[Lucro da Venda]]/Vendas[[#This Row],[Valor da Venda]]</f>
        <v>0.24324324324324326</v>
      </c>
      <c r="L5087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5087"/>
    </row>
    <row r="5088" spans="1:13" x14ac:dyDescent="0.3">
      <c r="A5088" s="7">
        <v>400246</v>
      </c>
      <c r="B5088" t="str">
        <f>_xlfn.XLOOKUP(Vendas[[#This Row],[ID Vendedor]],Vendedores[ID],Vendedores[Nome])</f>
        <v>Juliana</v>
      </c>
      <c r="C5088" s="7" t="str">
        <f>_xlfn.XLOOKUP(Vendas[[#This Row],[ID Vendedor]],Vendedores[ID],Vendedores[Setor])</f>
        <v>AHD</v>
      </c>
      <c r="D5088" s="7" t="s">
        <v>28</v>
      </c>
      <c r="E5088" t="str">
        <f>_xlfn.XLOOKUP(Vendas[[#This Row],[ID Item Vendido]],Agregado[ID],Agregado[Produto])</f>
        <v>Peça usinada CNC</v>
      </c>
      <c r="F5088" s="39">
        <v>45964</v>
      </c>
      <c r="G5088" s="7">
        <v>13</v>
      </c>
      <c r="H5088" s="3">
        <f>_xlfn.XLOOKUP(Vendas[[#This Row],[ID Item Vendido]],Agregado[ID],Agregado[Revenda])</f>
        <v>192</v>
      </c>
      <c r="I5088" s="3">
        <f>Vendas[[#This Row],[Valor Unitário]]*Vendas[[#This Row],[Qnt Vendida]]</f>
        <v>2496</v>
      </c>
      <c r="J5088" s="3">
        <f>Vendas[[#This Row],[Valor da Venda]]-(_xlfn.XLOOKUP(Vendas[[#This Row],[ID Item Vendido]],Agregado[ID],Agregado[Custo])*Vendas[[#This Row],[Qnt Vendida]])</f>
        <v>546</v>
      </c>
      <c r="K5088" s="70">
        <f>Vendas[[#This Row],[Lucro da Venda]]/Vendas[[#This Row],[Valor da Venda]]</f>
        <v>0.21875</v>
      </c>
      <c r="L5088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5088"/>
    </row>
    <row r="5089" spans="1:13" x14ac:dyDescent="0.3">
      <c r="A5089" s="7">
        <v>400253</v>
      </c>
      <c r="B5089" t="str">
        <f>_xlfn.XLOOKUP(Vendas[[#This Row],[ID Vendedor]],Vendedores[ID],Vendedores[Nome])</f>
        <v>Gustavo</v>
      </c>
      <c r="C5089" s="7" t="str">
        <f>_xlfn.XLOOKUP(Vendas[[#This Row],[ID Vendedor]],Vendedores[ID],Vendedores[Setor])</f>
        <v>SC</v>
      </c>
      <c r="D5089" s="7" t="s">
        <v>14</v>
      </c>
      <c r="E5089" t="str">
        <f>_xlfn.XLOOKUP(Vendas[[#This Row],[ID Item Vendido]],Agregado[ID],Agregado[Produto])</f>
        <v>Barril de plástico 200L</v>
      </c>
      <c r="F5089" s="39">
        <v>45964</v>
      </c>
      <c r="G5089" s="7">
        <v>15</v>
      </c>
      <c r="H5089" s="3">
        <f>_xlfn.XLOOKUP(Vendas[[#This Row],[ID Item Vendido]],Agregado[ID],Agregado[Revenda])</f>
        <v>114</v>
      </c>
      <c r="I5089" s="3">
        <f>Vendas[[#This Row],[Valor Unitário]]*Vendas[[#This Row],[Qnt Vendida]]</f>
        <v>1710</v>
      </c>
      <c r="J5089" s="3">
        <f>Vendas[[#This Row],[Valor da Venda]]-(_xlfn.XLOOKUP(Vendas[[#This Row],[ID Item Vendido]],Agregado[ID],Agregado[Custo])*Vendas[[#This Row],[Qnt Vendida]])</f>
        <v>285</v>
      </c>
      <c r="K5089" s="70">
        <f>Vendas[[#This Row],[Lucro da Venda]]/Vendas[[#This Row],[Valor da Venda]]</f>
        <v>0.16666666666666666</v>
      </c>
      <c r="L5089" s="3">
        <f>_xlfn.IFS(Vendas[[#This Row],[Margem de Lucro (%)]]&lt;15%,Vendas[[#This Row],[Valor da Venda]]*3%,Vendas[[#This Row],[Margem de Lucro (%)]]&lt;=20%,Vendas[[#This Row],[Valor da Venda]]*4.5%,TRUE,Vendas[[#This Row],[Valor da Venda]]*6%)</f>
        <v>76.95</v>
      </c>
      <c r="M5089"/>
    </row>
    <row r="5090" spans="1:13" x14ac:dyDescent="0.3">
      <c r="A5090" s="7">
        <v>400243</v>
      </c>
      <c r="B5090" t="str">
        <f>_xlfn.XLOOKUP(Vendas[[#This Row],[ID Vendedor]],Vendedores[ID],Vendedores[Nome])</f>
        <v>Marcelo</v>
      </c>
      <c r="C5090" s="7" t="str">
        <f>_xlfn.XLOOKUP(Vendas[[#This Row],[ID Vendedor]],Vendedores[ID],Vendedores[Setor])</f>
        <v>FM</v>
      </c>
      <c r="D5090" s="7" t="s">
        <v>6</v>
      </c>
      <c r="E5090" t="str">
        <f>_xlfn.XLOOKUP(Vendas[[#This Row],[ID Item Vendido]],Agregado[ID],Agregado[Produto])</f>
        <v>Parafuso comum 500un</v>
      </c>
      <c r="F5090" s="39">
        <v>45964</v>
      </c>
      <c r="G5090" s="7">
        <v>9</v>
      </c>
      <c r="H5090" s="3">
        <f>_xlfn.XLOOKUP(Vendas[[#This Row],[ID Item Vendido]],Agregado[ID],Agregado[Revenda])</f>
        <v>24.6</v>
      </c>
      <c r="I5090" s="3">
        <f>Vendas[[#This Row],[Valor Unitário]]*Vendas[[#This Row],[Qnt Vendida]]</f>
        <v>221.4</v>
      </c>
      <c r="J5090" s="3">
        <f>Vendas[[#This Row],[Valor da Venda]]-(_xlfn.XLOOKUP(Vendas[[#This Row],[ID Item Vendido]],Agregado[ID],Agregado[Custo])*Vendas[[#This Row],[Qnt Vendida]])</f>
        <v>23.400000000000006</v>
      </c>
      <c r="K5090" s="70">
        <f>Vendas[[#This Row],[Lucro da Venda]]/Vendas[[#This Row],[Valor da Venda]]</f>
        <v>0.10569105691056913</v>
      </c>
      <c r="L5090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5090"/>
    </row>
    <row r="5091" spans="1:13" x14ac:dyDescent="0.3">
      <c r="A5091" s="7">
        <v>400254</v>
      </c>
      <c r="B5091" t="str">
        <f>_xlfn.XLOOKUP(Vendas[[#This Row],[ID Vendedor]],Vendedores[ID],Vendedores[Nome])</f>
        <v>Beatriz</v>
      </c>
      <c r="C5091" s="7" t="str">
        <f>_xlfn.XLOOKUP(Vendas[[#This Row],[ID Vendedor]],Vendedores[ID],Vendedores[Setor])</f>
        <v>SC</v>
      </c>
      <c r="D5091" s="7" t="s">
        <v>42</v>
      </c>
      <c r="E5091" t="str">
        <f>_xlfn.XLOOKUP(Vendas[[#This Row],[ID Item Vendido]],Agregado[ID],Agregado[Produto])</f>
        <v>Container de ferro industrial</v>
      </c>
      <c r="F5091" s="39">
        <v>45965</v>
      </c>
      <c r="G5091" s="7">
        <v>5</v>
      </c>
      <c r="H5091" s="3">
        <f>_xlfn.XLOOKUP(Vendas[[#This Row],[ID Item Vendido]],Agregado[ID],Agregado[Revenda])</f>
        <v>830</v>
      </c>
      <c r="I5091" s="3">
        <f>Vendas[[#This Row],[Valor Unitário]]*Vendas[[#This Row],[Qnt Vendida]]</f>
        <v>4150</v>
      </c>
      <c r="J5091" s="3">
        <f>Vendas[[#This Row],[Valor da Venda]]-(_xlfn.XLOOKUP(Vendas[[#This Row],[ID Item Vendido]],Agregado[ID],Agregado[Custo])*Vendas[[#This Row],[Qnt Vendida]])</f>
        <v>750</v>
      </c>
      <c r="K5091" s="70">
        <f>Vendas[[#This Row],[Lucro da Venda]]/Vendas[[#This Row],[Valor da Venda]]</f>
        <v>0.18072289156626506</v>
      </c>
      <c r="L5091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091"/>
    </row>
    <row r="5092" spans="1:13" x14ac:dyDescent="0.3">
      <c r="A5092" s="7">
        <v>400252</v>
      </c>
      <c r="B5092" t="str">
        <f>_xlfn.XLOOKUP(Vendas[[#This Row],[ID Vendedor]],Vendedores[ID],Vendedores[Nome])</f>
        <v>Renata</v>
      </c>
      <c r="C5092" s="7" t="str">
        <f>_xlfn.XLOOKUP(Vendas[[#This Row],[ID Vendedor]],Vendedores[ID],Vendedores[Setor])</f>
        <v>AB</v>
      </c>
      <c r="D5092" s="7" t="s">
        <v>24</v>
      </c>
      <c r="E5092" t="str">
        <f>_xlfn.XLOOKUP(Vendas[[#This Row],[ID Item Vendido]],Agregado[ID],Agregado[Produto])</f>
        <v>Resina plástica PET purificada saco de 25kg</v>
      </c>
      <c r="F5092" s="39">
        <v>45965</v>
      </c>
      <c r="G5092" s="7">
        <v>17</v>
      </c>
      <c r="H5092" s="3">
        <f>_xlfn.XLOOKUP(Vendas[[#This Row],[ID Item Vendido]],Agregado[ID],Agregado[Revenda])</f>
        <v>119</v>
      </c>
      <c r="I5092" s="3">
        <f>Vendas[[#This Row],[Valor Unitário]]*Vendas[[#This Row],[Qnt Vendida]]</f>
        <v>2023</v>
      </c>
      <c r="J5092" s="3">
        <f>Vendas[[#This Row],[Valor da Venda]]-(_xlfn.XLOOKUP(Vendas[[#This Row],[ID Item Vendido]],Agregado[ID],Agregado[Custo])*Vendas[[#This Row],[Qnt Vendida]])</f>
        <v>578</v>
      </c>
      <c r="K5092" s="70">
        <f>Vendas[[#This Row],[Lucro da Venda]]/Vendas[[#This Row],[Valor da Venda]]</f>
        <v>0.2857142857142857</v>
      </c>
      <c r="L5092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092"/>
    </row>
    <row r="5093" spans="1:13" x14ac:dyDescent="0.3">
      <c r="A5093" s="7">
        <v>400251</v>
      </c>
      <c r="B5093" t="str">
        <f>_xlfn.XLOOKUP(Vendas[[#This Row],[ID Vendedor]],Vendedores[ID],Vendedores[Nome])</f>
        <v>Diego</v>
      </c>
      <c r="C5093" s="7" t="str">
        <f>_xlfn.XLOOKUP(Vendas[[#This Row],[ID Vendedor]],Vendedores[ID],Vendedores[Setor])</f>
        <v>AB</v>
      </c>
      <c r="D5093" s="7" t="s">
        <v>37</v>
      </c>
      <c r="E5093" t="str">
        <f>_xlfn.XLOOKUP(Vendas[[#This Row],[ID Item Vendido]],Agregado[ID],Agregado[Produto])</f>
        <v>Composto de borracha para vedação rolo 10m</v>
      </c>
      <c r="F5093" s="39">
        <v>45965</v>
      </c>
      <c r="G5093" s="7">
        <v>20</v>
      </c>
      <c r="H5093" s="3">
        <f>_xlfn.XLOOKUP(Vendas[[#This Row],[ID Item Vendido]],Agregado[ID],Agregado[Revenda])</f>
        <v>51.2</v>
      </c>
      <c r="I5093" s="3">
        <f>Vendas[[#This Row],[Valor Unitário]]*Vendas[[#This Row],[Qnt Vendida]]</f>
        <v>1024</v>
      </c>
      <c r="J5093" s="3">
        <f>Vendas[[#This Row],[Valor da Venda]]-(_xlfn.XLOOKUP(Vendas[[#This Row],[ID Item Vendido]],Agregado[ID],Agregado[Custo])*Vendas[[#This Row],[Qnt Vendida]])</f>
        <v>224</v>
      </c>
      <c r="K5093" s="70">
        <f>Vendas[[#This Row],[Lucro da Venda]]/Vendas[[#This Row],[Valor da Venda]]</f>
        <v>0.21875</v>
      </c>
      <c r="L5093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5093"/>
    </row>
    <row r="5094" spans="1:13" x14ac:dyDescent="0.3">
      <c r="A5094" s="7">
        <v>400244</v>
      </c>
      <c r="B5094" t="str">
        <f>_xlfn.XLOOKUP(Vendas[[#This Row],[ID Vendedor]],Vendedores[ID],Vendedores[Nome])</f>
        <v>Camila</v>
      </c>
      <c r="C5094" s="7" t="str">
        <f>_xlfn.XLOOKUP(Vendas[[#This Row],[ID Vendedor]],Vendedores[ID],Vendedores[Setor])</f>
        <v>AHD</v>
      </c>
      <c r="D5094" s="7" t="s">
        <v>9</v>
      </c>
      <c r="E5094" t="str">
        <f>_xlfn.XLOOKUP(Vendas[[#This Row],[ID Item Vendido]],Agregado[ID],Agregado[Produto])</f>
        <v>Barra de aço simples</v>
      </c>
      <c r="F5094" s="39">
        <v>45965</v>
      </c>
      <c r="G5094" s="7">
        <v>85</v>
      </c>
      <c r="H5094" s="3">
        <f>_xlfn.XLOOKUP(Vendas[[#This Row],[ID Item Vendido]],Agregado[ID],Agregado[Revenda])</f>
        <v>6.7</v>
      </c>
      <c r="I5094" s="3">
        <f>Vendas[[#This Row],[Valor Unitário]]*Vendas[[#This Row],[Qnt Vendida]]</f>
        <v>569.5</v>
      </c>
      <c r="J5094" s="3">
        <f>Vendas[[#This Row],[Valor da Venda]]-(_xlfn.XLOOKUP(Vendas[[#This Row],[ID Item Vendido]],Agregado[ID],Agregado[Custo])*Vendas[[#This Row],[Qnt Vendida]])</f>
        <v>76.5</v>
      </c>
      <c r="K5094" s="70">
        <f>Vendas[[#This Row],[Lucro da Venda]]/Vendas[[#This Row],[Valor da Venda]]</f>
        <v>0.13432835820895522</v>
      </c>
      <c r="L5094" s="3">
        <f>_xlfn.IFS(Vendas[[#This Row],[Margem de Lucro (%)]]&lt;15%,Vendas[[#This Row],[Valor da Venda]]*3%,Vendas[[#This Row],[Margem de Lucro (%)]]&lt;=20%,Vendas[[#This Row],[Valor da Venda]]*4.5%,TRUE,Vendas[[#This Row],[Valor da Venda]]*6%)</f>
        <v>17.085000000000001</v>
      </c>
      <c r="M5094"/>
    </row>
    <row r="5095" spans="1:13" x14ac:dyDescent="0.3">
      <c r="A5095" s="7">
        <v>400244</v>
      </c>
      <c r="B5095" t="str">
        <f>_xlfn.XLOOKUP(Vendas[[#This Row],[ID Vendedor]],Vendedores[ID],Vendedores[Nome])</f>
        <v>Camila</v>
      </c>
      <c r="C5095" s="7" t="str">
        <f>_xlfn.XLOOKUP(Vendas[[#This Row],[ID Vendedor]],Vendedores[ID],Vendedores[Setor])</f>
        <v>AHD</v>
      </c>
      <c r="D5095" s="7" t="s">
        <v>30</v>
      </c>
      <c r="E5095" t="str">
        <f>_xlfn.XLOOKUP(Vendas[[#This Row],[ID Item Vendido]],Agregado[ID],Agregado[Produto])</f>
        <v>Estrutura metálica soldada</v>
      </c>
      <c r="F5095" s="39">
        <v>45966</v>
      </c>
      <c r="G5095" s="7">
        <v>3</v>
      </c>
      <c r="H5095" s="3">
        <f>_xlfn.XLOOKUP(Vendas[[#This Row],[ID Item Vendido]],Agregado[ID],Agregado[Revenda])</f>
        <v>400</v>
      </c>
      <c r="I5095" s="3">
        <f>Vendas[[#This Row],[Valor Unitário]]*Vendas[[#This Row],[Qnt Vendida]]</f>
        <v>1200</v>
      </c>
      <c r="J5095" s="3">
        <f>Vendas[[#This Row],[Valor da Venda]]-(_xlfn.XLOOKUP(Vendas[[#This Row],[ID Item Vendido]],Agregado[ID],Agregado[Custo])*Vendas[[#This Row],[Qnt Vendida]])</f>
        <v>240</v>
      </c>
      <c r="K5095" s="70">
        <f>Vendas[[#This Row],[Lucro da Venda]]/Vendas[[#This Row],[Valor da Venda]]</f>
        <v>0.2</v>
      </c>
      <c r="L5095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5095"/>
    </row>
    <row r="5096" spans="1:13" x14ac:dyDescent="0.3">
      <c r="A5096" s="7">
        <v>400254</v>
      </c>
      <c r="B5096" t="str">
        <f>_xlfn.XLOOKUP(Vendas[[#This Row],[ID Vendedor]],Vendedores[ID],Vendedores[Nome])</f>
        <v>Beatriz</v>
      </c>
      <c r="C5096" s="7" t="str">
        <f>_xlfn.XLOOKUP(Vendas[[#This Row],[ID Vendedor]],Vendedores[ID],Vendedores[Setor])</f>
        <v>SC</v>
      </c>
      <c r="D5096" s="7" t="s">
        <v>42</v>
      </c>
      <c r="E5096" t="str">
        <f>_xlfn.XLOOKUP(Vendas[[#This Row],[ID Item Vendido]],Agregado[ID],Agregado[Produto])</f>
        <v>Container de ferro industrial</v>
      </c>
      <c r="F5096" s="39">
        <v>45966</v>
      </c>
      <c r="G5096" s="7">
        <v>1</v>
      </c>
      <c r="H5096" s="3">
        <f>_xlfn.XLOOKUP(Vendas[[#This Row],[ID Item Vendido]],Agregado[ID],Agregado[Revenda])</f>
        <v>830</v>
      </c>
      <c r="I5096" s="3">
        <f>Vendas[[#This Row],[Valor Unitário]]*Vendas[[#This Row],[Qnt Vendida]]</f>
        <v>830</v>
      </c>
      <c r="J5096" s="3">
        <f>Vendas[[#This Row],[Valor da Venda]]-(_xlfn.XLOOKUP(Vendas[[#This Row],[ID Item Vendido]],Agregado[ID],Agregado[Custo])*Vendas[[#This Row],[Qnt Vendida]])</f>
        <v>150</v>
      </c>
      <c r="K5096" s="70">
        <f>Vendas[[#This Row],[Lucro da Venda]]/Vendas[[#This Row],[Valor da Venda]]</f>
        <v>0.18072289156626506</v>
      </c>
      <c r="L509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096"/>
    </row>
    <row r="5097" spans="1:13" x14ac:dyDescent="0.3">
      <c r="A5097" s="7">
        <v>400244</v>
      </c>
      <c r="B5097" t="str">
        <f>_xlfn.XLOOKUP(Vendas[[#This Row],[ID Vendedor]],Vendedores[ID],Vendedores[Nome])</f>
        <v>Camila</v>
      </c>
      <c r="C5097" s="7" t="str">
        <f>_xlfn.XLOOKUP(Vendas[[#This Row],[ID Vendedor]],Vendedores[ID],Vendedores[Setor])</f>
        <v>AHD</v>
      </c>
      <c r="D5097" s="7" t="s">
        <v>44</v>
      </c>
      <c r="E5097" t="str">
        <f>_xlfn.XLOOKUP(Vendas[[#This Row],[ID Item Vendido]],Agregado[ID],Agregado[Produto])</f>
        <v>Liga metálica especial</v>
      </c>
      <c r="F5097" s="39">
        <v>45967</v>
      </c>
      <c r="G5097" s="7">
        <v>23</v>
      </c>
      <c r="H5097" s="3">
        <f>_xlfn.XLOOKUP(Vendas[[#This Row],[ID Item Vendido]],Agregado[ID],Agregado[Revenda])</f>
        <v>32.5</v>
      </c>
      <c r="I5097" s="3">
        <f>Vendas[[#This Row],[Valor Unitário]]*Vendas[[#This Row],[Qnt Vendida]]</f>
        <v>747.5</v>
      </c>
      <c r="J5097" s="3">
        <f>Vendas[[#This Row],[Valor da Venda]]-(_xlfn.XLOOKUP(Vendas[[#This Row],[ID Item Vendido]],Agregado[ID],Agregado[Custo])*Vendas[[#This Row],[Qnt Vendida]])</f>
        <v>172.5</v>
      </c>
      <c r="K5097" s="70">
        <f>Vendas[[#This Row],[Lucro da Venda]]/Vendas[[#This Row],[Valor da Venda]]</f>
        <v>0.23076923076923078</v>
      </c>
      <c r="L5097" s="3">
        <f>_xlfn.IFS(Vendas[[#This Row],[Margem de Lucro (%)]]&lt;15%,Vendas[[#This Row],[Valor da Venda]]*3%,Vendas[[#This Row],[Margem de Lucro (%)]]&lt;=20%,Vendas[[#This Row],[Valor da Venda]]*4.5%,TRUE,Vendas[[#This Row],[Valor da Venda]]*6%)</f>
        <v>44.85</v>
      </c>
      <c r="M5097"/>
    </row>
    <row r="5098" spans="1:13" x14ac:dyDescent="0.3">
      <c r="A5098" s="7">
        <v>400248</v>
      </c>
      <c r="B5098" t="str">
        <f>_xlfn.XLOOKUP(Vendas[[#This Row],[ID Vendedor]],Vendedores[ID],Vendedores[Nome])</f>
        <v>Patrícia</v>
      </c>
      <c r="C5098" s="7" t="str">
        <f>_xlfn.XLOOKUP(Vendas[[#This Row],[ID Vendedor]],Vendedores[ID],Vendedores[Setor])</f>
        <v>CM</v>
      </c>
      <c r="D5098" s="7" t="s">
        <v>22</v>
      </c>
      <c r="E5098" t="str">
        <f>_xlfn.XLOOKUP(Vendas[[#This Row],[ID Item Vendido]],Agregado[ID],Agregado[Produto])</f>
        <v>Painel MDP 2,75x1,83m</v>
      </c>
      <c r="F5098" s="39">
        <v>45968</v>
      </c>
      <c r="G5098" s="7">
        <v>13</v>
      </c>
      <c r="H5098" s="3">
        <f>_xlfn.XLOOKUP(Vendas[[#This Row],[ID Item Vendido]],Agregado[ID],Agregado[Revenda])</f>
        <v>119</v>
      </c>
      <c r="I5098" s="3">
        <f>Vendas[[#This Row],[Valor Unitário]]*Vendas[[#This Row],[Qnt Vendida]]</f>
        <v>1547</v>
      </c>
      <c r="J5098" s="3">
        <f>Vendas[[#This Row],[Valor da Venda]]-(_xlfn.XLOOKUP(Vendas[[#This Row],[ID Item Vendido]],Agregado[ID],Agregado[Custo])*Vendas[[#This Row],[Qnt Vendida]])</f>
        <v>312</v>
      </c>
      <c r="K5098" s="70">
        <f>Vendas[[#This Row],[Lucro da Venda]]/Vendas[[#This Row],[Valor da Venda]]</f>
        <v>0.20168067226890757</v>
      </c>
      <c r="L5098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098"/>
    </row>
    <row r="5099" spans="1:13" x14ac:dyDescent="0.3">
      <c r="A5099" s="7">
        <v>400251</v>
      </c>
      <c r="B5099" t="str">
        <f>_xlfn.XLOOKUP(Vendas[[#This Row],[ID Vendedor]],Vendedores[ID],Vendedores[Nome])</f>
        <v>Diego</v>
      </c>
      <c r="C5099" s="7" t="str">
        <f>_xlfn.XLOOKUP(Vendas[[#This Row],[ID Vendedor]],Vendedores[ID],Vendedores[Setor])</f>
        <v>AB</v>
      </c>
      <c r="D5099" s="7" t="s">
        <v>12</v>
      </c>
      <c r="E5099" t="str">
        <f>_xlfn.XLOOKUP(Vendas[[#This Row],[ID Item Vendido]],Agregado[ID],Agregado[Produto])</f>
        <v>Grânulo de plástico reciclado refinado</v>
      </c>
      <c r="F5099" s="39">
        <v>45968</v>
      </c>
      <c r="G5099" s="7">
        <v>121</v>
      </c>
      <c r="H5099" s="3">
        <f>_xlfn.XLOOKUP(Vendas[[#This Row],[ID Item Vendido]],Agregado[ID],Agregado[Revenda])</f>
        <v>4.7</v>
      </c>
      <c r="I5099" s="3">
        <f>Vendas[[#This Row],[Valor Unitário]]*Vendas[[#This Row],[Qnt Vendida]]</f>
        <v>568.70000000000005</v>
      </c>
      <c r="J5099" s="3">
        <f>Vendas[[#This Row],[Valor da Venda]]-(_xlfn.XLOOKUP(Vendas[[#This Row],[ID Item Vendido]],Agregado[ID],Agregado[Custo])*Vendas[[#This Row],[Qnt Vendida]])</f>
        <v>145.20000000000005</v>
      </c>
      <c r="K5099" s="70">
        <f>Vendas[[#This Row],[Lucro da Venda]]/Vendas[[#This Row],[Valor da Venda]]</f>
        <v>0.25531914893617025</v>
      </c>
      <c r="L5099" s="3">
        <f>_xlfn.IFS(Vendas[[#This Row],[Margem de Lucro (%)]]&lt;15%,Vendas[[#This Row],[Valor da Venda]]*3%,Vendas[[#This Row],[Margem de Lucro (%)]]&lt;=20%,Vendas[[#This Row],[Valor da Venda]]*4.5%,TRUE,Vendas[[#This Row],[Valor da Venda]]*6%)</f>
        <v>34.122</v>
      </c>
      <c r="M5099"/>
    </row>
    <row r="5100" spans="1:13" x14ac:dyDescent="0.3">
      <c r="A5100" s="7">
        <v>400248</v>
      </c>
      <c r="B5100" t="str">
        <f>_xlfn.XLOOKUP(Vendas[[#This Row],[ID Vendedor]],Vendedores[ID],Vendedores[Nome])</f>
        <v>Patrícia</v>
      </c>
      <c r="C5100" s="7" t="str">
        <f>_xlfn.XLOOKUP(Vendas[[#This Row],[ID Vendedor]],Vendedores[ID],Vendedores[Setor])</f>
        <v>CM</v>
      </c>
      <c r="D5100" s="7" t="s">
        <v>34</v>
      </c>
      <c r="E5100" t="str">
        <f>_xlfn.XLOOKUP(Vendas[[#This Row],[ID Item Vendido]],Agregado[ID],Agregado[Produto])</f>
        <v>Restos de madeira p/ MDP/OSB saco de 20kg</v>
      </c>
      <c r="F5100" s="39">
        <v>45969</v>
      </c>
      <c r="G5100" s="7">
        <v>4</v>
      </c>
      <c r="H5100" s="3">
        <f>_xlfn.XLOOKUP(Vendas[[#This Row],[ID Item Vendido]],Agregado[ID],Agregado[Revenda])</f>
        <v>13.8</v>
      </c>
      <c r="I5100" s="3">
        <f>Vendas[[#This Row],[Valor Unitário]]*Vendas[[#This Row],[Qnt Vendida]]</f>
        <v>55.2</v>
      </c>
      <c r="J5100" s="3">
        <f>Vendas[[#This Row],[Valor da Venda]]-(_xlfn.XLOOKUP(Vendas[[#This Row],[ID Item Vendido]],Agregado[ID],Agregado[Custo])*Vendas[[#This Row],[Qnt Vendida]])</f>
        <v>7.2000000000000028</v>
      </c>
      <c r="K5100" s="70">
        <f>Vendas[[#This Row],[Lucro da Venda]]/Vendas[[#This Row],[Valor da Venda]]</f>
        <v>0.1304347826086957</v>
      </c>
      <c r="L5100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5100"/>
    </row>
    <row r="5101" spans="1:13" x14ac:dyDescent="0.3">
      <c r="A5101" s="7">
        <v>400242</v>
      </c>
      <c r="B5101" t="str">
        <f>_xlfn.XLOOKUP(Vendas[[#This Row],[ID Vendedor]],Vendedores[ID],Vendedores[Nome])</f>
        <v>Fernanda</v>
      </c>
      <c r="C5101" s="7" t="str">
        <f>_xlfn.XLOOKUP(Vendas[[#This Row],[ID Vendedor]],Vendedores[ID],Vendedores[Setor])</f>
        <v>FM</v>
      </c>
      <c r="D5101" s="7" t="s">
        <v>31</v>
      </c>
      <c r="E5101" t="str">
        <f>_xlfn.XLOOKUP(Vendas[[#This Row],[ID Item Vendido]],Agregado[ID],Agregado[Produto])</f>
        <v>Tela de metal soldada rolo 2x25m</v>
      </c>
      <c r="F5101" s="39">
        <v>45970</v>
      </c>
      <c r="G5101" s="7">
        <v>14</v>
      </c>
      <c r="H5101" s="3">
        <f>_xlfn.XLOOKUP(Vendas[[#This Row],[ID Item Vendido]],Agregado[ID],Agregado[Revenda])</f>
        <v>43.7</v>
      </c>
      <c r="I5101" s="3">
        <f>Vendas[[#This Row],[Valor Unitário]]*Vendas[[#This Row],[Qnt Vendida]]</f>
        <v>611.80000000000007</v>
      </c>
      <c r="J5101" s="3">
        <f>Vendas[[#This Row],[Valor da Venda]]-(_xlfn.XLOOKUP(Vendas[[#This Row],[ID Item Vendido]],Agregado[ID],Agregado[Custo])*Vendas[[#This Row],[Qnt Vendida]])</f>
        <v>79.800000000000068</v>
      </c>
      <c r="K5101" s="70">
        <f>Vendas[[#This Row],[Lucro da Venda]]/Vendas[[#This Row],[Valor da Venda]]</f>
        <v>0.13043478260869576</v>
      </c>
      <c r="L5101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5101"/>
    </row>
    <row r="5102" spans="1:13" x14ac:dyDescent="0.3">
      <c r="A5102" s="7">
        <v>400248</v>
      </c>
      <c r="B5102" t="str">
        <f>_xlfn.XLOOKUP(Vendas[[#This Row],[ID Vendedor]],Vendedores[ID],Vendedores[Nome])</f>
        <v>Patrícia</v>
      </c>
      <c r="C5102" s="7" t="str">
        <f>_xlfn.XLOOKUP(Vendas[[#This Row],[ID Vendedor]],Vendedores[ID],Vendedores[Setor])</f>
        <v>CM</v>
      </c>
      <c r="D5102" s="7" t="s">
        <v>34</v>
      </c>
      <c r="E5102" t="str">
        <f>_xlfn.XLOOKUP(Vendas[[#This Row],[ID Item Vendido]],Agregado[ID],Agregado[Produto])</f>
        <v>Restos de madeira p/ MDP/OSB saco de 20kg</v>
      </c>
      <c r="F5102" s="39">
        <v>45970</v>
      </c>
      <c r="G5102" s="7">
        <v>29</v>
      </c>
      <c r="H5102" s="3">
        <f>_xlfn.XLOOKUP(Vendas[[#This Row],[ID Item Vendido]],Agregado[ID],Agregado[Revenda])</f>
        <v>13.8</v>
      </c>
      <c r="I5102" s="3">
        <f>Vendas[[#This Row],[Valor Unitário]]*Vendas[[#This Row],[Qnt Vendida]]</f>
        <v>400.20000000000005</v>
      </c>
      <c r="J5102" s="3">
        <f>Vendas[[#This Row],[Valor da Venda]]-(_xlfn.XLOOKUP(Vendas[[#This Row],[ID Item Vendido]],Agregado[ID],Agregado[Custo])*Vendas[[#This Row],[Qnt Vendida]])</f>
        <v>52.200000000000045</v>
      </c>
      <c r="K5102" s="70">
        <f>Vendas[[#This Row],[Lucro da Venda]]/Vendas[[#This Row],[Valor da Venda]]</f>
        <v>0.13043478260869576</v>
      </c>
      <c r="L5102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5102"/>
    </row>
    <row r="5103" spans="1:13" x14ac:dyDescent="0.3">
      <c r="A5103" s="7">
        <v>400254</v>
      </c>
      <c r="B5103" t="str">
        <f>_xlfn.XLOOKUP(Vendas[[#This Row],[ID Vendedor]],Vendedores[ID],Vendedores[Nome])</f>
        <v>Beatriz</v>
      </c>
      <c r="C5103" s="7" t="str">
        <f>_xlfn.XLOOKUP(Vendas[[#This Row],[ID Vendedor]],Vendedores[ID],Vendedores[Setor])</f>
        <v>SC</v>
      </c>
      <c r="D5103" s="7" t="s">
        <v>42</v>
      </c>
      <c r="E5103" t="str">
        <f>_xlfn.XLOOKUP(Vendas[[#This Row],[ID Item Vendido]],Agregado[ID],Agregado[Produto])</f>
        <v>Container de ferro industrial</v>
      </c>
      <c r="F5103" s="39">
        <v>45971</v>
      </c>
      <c r="G5103" s="7">
        <v>3</v>
      </c>
      <c r="H5103" s="3">
        <f>_xlfn.XLOOKUP(Vendas[[#This Row],[ID Item Vendido]],Agregado[ID],Agregado[Revenda])</f>
        <v>830</v>
      </c>
      <c r="I5103" s="3">
        <f>Vendas[[#This Row],[Valor Unitário]]*Vendas[[#This Row],[Qnt Vendida]]</f>
        <v>2490</v>
      </c>
      <c r="J5103" s="3">
        <f>Vendas[[#This Row],[Valor da Venda]]-(_xlfn.XLOOKUP(Vendas[[#This Row],[ID Item Vendido]],Agregado[ID],Agregado[Custo])*Vendas[[#This Row],[Qnt Vendida]])</f>
        <v>450</v>
      </c>
      <c r="K5103" s="70">
        <f>Vendas[[#This Row],[Lucro da Venda]]/Vendas[[#This Row],[Valor da Venda]]</f>
        <v>0.18072289156626506</v>
      </c>
      <c r="L510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103"/>
    </row>
    <row r="5104" spans="1:13" x14ac:dyDescent="0.3">
      <c r="A5104" s="7">
        <v>400253</v>
      </c>
      <c r="B5104" t="str">
        <f>_xlfn.XLOOKUP(Vendas[[#This Row],[ID Vendedor]],Vendedores[ID],Vendedores[Nome])</f>
        <v>Gustavo</v>
      </c>
      <c r="C5104" s="7" t="str">
        <f>_xlfn.XLOOKUP(Vendas[[#This Row],[ID Vendedor]],Vendedores[ID],Vendedores[Setor])</f>
        <v>SC</v>
      </c>
      <c r="D5104" s="7" t="s">
        <v>48</v>
      </c>
      <c r="E5104" t="str">
        <f>_xlfn.XLOOKUP(Vendas[[#This Row],[ID Item Vendido]],Agregado[ID],Agregado[Produto])</f>
        <v>Tambor metálico 200L</v>
      </c>
      <c r="F5104" s="39">
        <v>45972</v>
      </c>
      <c r="G5104" s="7">
        <v>18</v>
      </c>
      <c r="H5104" s="3">
        <f>_xlfn.XLOOKUP(Vendas[[#This Row],[ID Item Vendido]],Agregado[ID],Agregado[Revenda])</f>
        <v>144</v>
      </c>
      <c r="I5104" s="3">
        <f>Vendas[[#This Row],[Valor Unitário]]*Vendas[[#This Row],[Qnt Vendida]]</f>
        <v>2592</v>
      </c>
      <c r="J5104" s="3">
        <f>Vendas[[#This Row],[Valor da Venda]]-(_xlfn.XLOOKUP(Vendas[[#This Row],[ID Item Vendido]],Agregado[ID],Agregado[Custo])*Vendas[[#This Row],[Qnt Vendida]])</f>
        <v>432</v>
      </c>
      <c r="K5104" s="70">
        <f>Vendas[[#This Row],[Lucro da Venda]]/Vendas[[#This Row],[Valor da Venda]]</f>
        <v>0.16666666666666666</v>
      </c>
      <c r="L5104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104"/>
    </row>
    <row r="5105" spans="1:13" x14ac:dyDescent="0.3">
      <c r="A5105" s="7">
        <v>400252</v>
      </c>
      <c r="B5105" t="str">
        <f>_xlfn.XLOOKUP(Vendas[[#This Row],[ID Vendedor]],Vendedores[ID],Vendedores[Nome])</f>
        <v>Renata</v>
      </c>
      <c r="C5105" s="7" t="str">
        <f>_xlfn.XLOOKUP(Vendas[[#This Row],[ID Vendedor]],Vendedores[ID],Vendedores[Setor])</f>
        <v>AB</v>
      </c>
      <c r="D5105" s="7" t="s">
        <v>24</v>
      </c>
      <c r="E5105" t="str">
        <f>_xlfn.XLOOKUP(Vendas[[#This Row],[ID Item Vendido]],Agregado[ID],Agregado[Produto])</f>
        <v>Resina plástica PET purificada saco de 25kg</v>
      </c>
      <c r="F5105" s="39">
        <v>45972</v>
      </c>
      <c r="G5105" s="7">
        <v>14</v>
      </c>
      <c r="H5105" s="3">
        <f>_xlfn.XLOOKUP(Vendas[[#This Row],[ID Item Vendido]],Agregado[ID],Agregado[Revenda])</f>
        <v>119</v>
      </c>
      <c r="I5105" s="3">
        <f>Vendas[[#This Row],[Valor Unitário]]*Vendas[[#This Row],[Qnt Vendida]]</f>
        <v>1666</v>
      </c>
      <c r="J5105" s="3">
        <f>Vendas[[#This Row],[Valor da Venda]]-(_xlfn.XLOOKUP(Vendas[[#This Row],[ID Item Vendido]],Agregado[ID],Agregado[Custo])*Vendas[[#This Row],[Qnt Vendida]])</f>
        <v>476</v>
      </c>
      <c r="K5105" s="70">
        <f>Vendas[[#This Row],[Lucro da Venda]]/Vendas[[#This Row],[Valor da Venda]]</f>
        <v>0.2857142857142857</v>
      </c>
      <c r="L5105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5105"/>
    </row>
    <row r="5106" spans="1:13" x14ac:dyDescent="0.3">
      <c r="A5106" s="7">
        <v>400253</v>
      </c>
      <c r="B5106" t="str">
        <f>_xlfn.XLOOKUP(Vendas[[#This Row],[ID Vendedor]],Vendedores[ID],Vendedores[Nome])</f>
        <v>Gustavo</v>
      </c>
      <c r="C5106" s="7" t="str">
        <f>_xlfn.XLOOKUP(Vendas[[#This Row],[ID Vendedor]],Vendedores[ID],Vendedores[Setor])</f>
        <v>SC</v>
      </c>
      <c r="D5106" s="7" t="s">
        <v>41</v>
      </c>
      <c r="E5106" t="str">
        <f>_xlfn.XLOOKUP(Vendas[[#This Row],[ID Item Vendido]],Agregado[ID],Agregado[Produto])</f>
        <v>Palete de madeira reforçado</v>
      </c>
      <c r="F5106" s="39">
        <v>45972</v>
      </c>
      <c r="G5106" s="7">
        <v>6</v>
      </c>
      <c r="H5106" s="3">
        <f>_xlfn.XLOOKUP(Vendas[[#This Row],[ID Item Vendido]],Agregado[ID],Agregado[Revenda])</f>
        <v>131</v>
      </c>
      <c r="I5106" s="3">
        <f>Vendas[[#This Row],[Valor Unitário]]*Vendas[[#This Row],[Qnt Vendida]]</f>
        <v>786</v>
      </c>
      <c r="J5106" s="3">
        <f>Vendas[[#This Row],[Valor da Venda]]-(_xlfn.XLOOKUP(Vendas[[#This Row],[ID Item Vendido]],Agregado[ID],Agregado[Custo])*Vendas[[#This Row],[Qnt Vendida]])</f>
        <v>126</v>
      </c>
      <c r="K5106" s="70">
        <f>Vendas[[#This Row],[Lucro da Venda]]/Vendas[[#This Row],[Valor da Venda]]</f>
        <v>0.16030534351145037</v>
      </c>
      <c r="L5106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5106"/>
    </row>
    <row r="5107" spans="1:13" x14ac:dyDescent="0.3">
      <c r="A5107" s="7">
        <v>400252</v>
      </c>
      <c r="B5107" t="str">
        <f>_xlfn.XLOOKUP(Vendas[[#This Row],[ID Vendedor]],Vendedores[ID],Vendedores[Nome])</f>
        <v>Renata</v>
      </c>
      <c r="C5107" s="7" t="str">
        <f>_xlfn.XLOOKUP(Vendas[[#This Row],[ID Vendedor]],Vendedores[ID],Vendedores[Setor])</f>
        <v>AB</v>
      </c>
      <c r="D5107" s="7" t="s">
        <v>12</v>
      </c>
      <c r="E5107" t="str">
        <f>_xlfn.XLOOKUP(Vendas[[#This Row],[ID Item Vendido]],Agregado[ID],Agregado[Produto])</f>
        <v>Grânulo de plástico reciclado refinado</v>
      </c>
      <c r="F5107" s="39">
        <v>45972</v>
      </c>
      <c r="G5107" s="7">
        <v>139</v>
      </c>
      <c r="H5107" s="3">
        <f>_xlfn.XLOOKUP(Vendas[[#This Row],[ID Item Vendido]],Agregado[ID],Agregado[Revenda])</f>
        <v>4.7</v>
      </c>
      <c r="I5107" s="3">
        <f>Vendas[[#This Row],[Valor Unitário]]*Vendas[[#This Row],[Qnt Vendida]]</f>
        <v>653.30000000000007</v>
      </c>
      <c r="J5107" s="3">
        <f>Vendas[[#This Row],[Valor da Venda]]-(_xlfn.XLOOKUP(Vendas[[#This Row],[ID Item Vendido]],Agregado[ID],Agregado[Custo])*Vendas[[#This Row],[Qnt Vendida]])</f>
        <v>166.80000000000007</v>
      </c>
      <c r="K5107" s="70">
        <f>Vendas[[#This Row],[Lucro da Venda]]/Vendas[[#This Row],[Valor da Venda]]</f>
        <v>0.2553191489361703</v>
      </c>
      <c r="L5107" s="3">
        <f>_xlfn.IFS(Vendas[[#This Row],[Margem de Lucro (%)]]&lt;15%,Vendas[[#This Row],[Valor da Venda]]*3%,Vendas[[#This Row],[Margem de Lucro (%)]]&lt;=20%,Vendas[[#This Row],[Valor da Venda]]*4.5%,TRUE,Vendas[[#This Row],[Valor da Venda]]*6%)</f>
        <v>39.198</v>
      </c>
      <c r="M5107"/>
    </row>
    <row r="5108" spans="1:13" x14ac:dyDescent="0.3">
      <c r="A5108" s="7">
        <v>400242</v>
      </c>
      <c r="B5108" t="str">
        <f>_xlfn.XLOOKUP(Vendas[[#This Row],[ID Vendedor]],Vendedores[ID],Vendedores[Nome])</f>
        <v>Fernanda</v>
      </c>
      <c r="C5108" s="7" t="str">
        <f>_xlfn.XLOOKUP(Vendas[[#This Row],[ID Vendedor]],Vendedores[ID],Vendedores[Setor])</f>
        <v>FM</v>
      </c>
      <c r="D5108" s="7" t="s">
        <v>6</v>
      </c>
      <c r="E5108" t="str">
        <f>_xlfn.XLOOKUP(Vendas[[#This Row],[ID Item Vendido]],Agregado[ID],Agregado[Produto])</f>
        <v>Parafuso comum 500un</v>
      </c>
      <c r="F5108" s="39">
        <v>45972</v>
      </c>
      <c r="G5108" s="7">
        <v>14</v>
      </c>
      <c r="H5108" s="3">
        <f>_xlfn.XLOOKUP(Vendas[[#This Row],[ID Item Vendido]],Agregado[ID],Agregado[Revenda])</f>
        <v>24.6</v>
      </c>
      <c r="I5108" s="3">
        <f>Vendas[[#This Row],[Valor Unitário]]*Vendas[[#This Row],[Qnt Vendida]]</f>
        <v>344.40000000000003</v>
      </c>
      <c r="J5108" s="3">
        <f>Vendas[[#This Row],[Valor da Venda]]-(_xlfn.XLOOKUP(Vendas[[#This Row],[ID Item Vendido]],Agregado[ID],Agregado[Custo])*Vendas[[#This Row],[Qnt Vendida]])</f>
        <v>36.400000000000034</v>
      </c>
      <c r="K5108" s="70">
        <f>Vendas[[#This Row],[Lucro da Venda]]/Vendas[[#This Row],[Valor da Venda]]</f>
        <v>0.10569105691056919</v>
      </c>
      <c r="L5108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5108"/>
    </row>
    <row r="5109" spans="1:13" x14ac:dyDescent="0.3">
      <c r="A5109" s="7">
        <v>400254</v>
      </c>
      <c r="B5109" t="str">
        <f>_xlfn.XLOOKUP(Vendas[[#This Row],[ID Vendedor]],Vendedores[ID],Vendedores[Nome])</f>
        <v>Beatriz</v>
      </c>
      <c r="C5109" s="7" t="str">
        <f>_xlfn.XLOOKUP(Vendas[[#This Row],[ID Vendedor]],Vendedores[ID],Vendedores[Setor])</f>
        <v>SC</v>
      </c>
      <c r="D5109" s="7" t="s">
        <v>41</v>
      </c>
      <c r="E5109" t="str">
        <f>_xlfn.XLOOKUP(Vendas[[#This Row],[ID Item Vendido]],Agregado[ID],Agregado[Produto])</f>
        <v>Palete de madeira reforçado</v>
      </c>
      <c r="F5109" s="39">
        <v>45972</v>
      </c>
      <c r="G5109" s="7">
        <v>2</v>
      </c>
      <c r="H5109" s="3">
        <f>_xlfn.XLOOKUP(Vendas[[#This Row],[ID Item Vendido]],Agregado[ID],Agregado[Revenda])</f>
        <v>131</v>
      </c>
      <c r="I5109" s="3">
        <f>Vendas[[#This Row],[Valor Unitário]]*Vendas[[#This Row],[Qnt Vendida]]</f>
        <v>262</v>
      </c>
      <c r="J5109" s="3">
        <f>Vendas[[#This Row],[Valor da Venda]]-(_xlfn.XLOOKUP(Vendas[[#This Row],[ID Item Vendido]],Agregado[ID],Agregado[Custo])*Vendas[[#This Row],[Qnt Vendida]])</f>
        <v>42</v>
      </c>
      <c r="K5109" s="70">
        <f>Vendas[[#This Row],[Lucro da Venda]]/Vendas[[#This Row],[Valor da Venda]]</f>
        <v>0.16030534351145037</v>
      </c>
      <c r="L5109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109"/>
    </row>
    <row r="5110" spans="1:13" x14ac:dyDescent="0.3">
      <c r="A5110" s="7">
        <v>400248</v>
      </c>
      <c r="B5110" t="str">
        <f>_xlfn.XLOOKUP(Vendas[[#This Row],[ID Vendedor]],Vendedores[ID],Vendedores[Nome])</f>
        <v>Patrícia</v>
      </c>
      <c r="C5110" s="7" t="str">
        <f>_xlfn.XLOOKUP(Vendas[[#This Row],[ID Vendedor]],Vendedores[ID],Vendedores[Setor])</f>
        <v>CM</v>
      </c>
      <c r="D5110" s="7" t="s">
        <v>34</v>
      </c>
      <c r="E5110" t="str">
        <f>_xlfn.XLOOKUP(Vendas[[#This Row],[ID Item Vendido]],Agregado[ID],Agregado[Produto])</f>
        <v>Restos de madeira p/ MDP/OSB saco de 20kg</v>
      </c>
      <c r="F5110" s="39">
        <v>45972</v>
      </c>
      <c r="G5110" s="7">
        <v>4</v>
      </c>
      <c r="H5110" s="3">
        <f>_xlfn.XLOOKUP(Vendas[[#This Row],[ID Item Vendido]],Agregado[ID],Agregado[Revenda])</f>
        <v>13.8</v>
      </c>
      <c r="I5110" s="3">
        <f>Vendas[[#This Row],[Valor Unitário]]*Vendas[[#This Row],[Qnt Vendida]]</f>
        <v>55.2</v>
      </c>
      <c r="J5110" s="3">
        <f>Vendas[[#This Row],[Valor da Venda]]-(_xlfn.XLOOKUP(Vendas[[#This Row],[ID Item Vendido]],Agregado[ID],Agregado[Custo])*Vendas[[#This Row],[Qnt Vendida]])</f>
        <v>7.2000000000000028</v>
      </c>
      <c r="K5110" s="70">
        <f>Vendas[[#This Row],[Lucro da Venda]]/Vendas[[#This Row],[Valor da Venda]]</f>
        <v>0.1304347826086957</v>
      </c>
      <c r="L5110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5110"/>
    </row>
    <row r="5111" spans="1:13" x14ac:dyDescent="0.3">
      <c r="A5111" s="7">
        <v>400254</v>
      </c>
      <c r="B5111" t="str">
        <f>_xlfn.XLOOKUP(Vendas[[#This Row],[ID Vendedor]],Vendedores[ID],Vendedores[Nome])</f>
        <v>Beatriz</v>
      </c>
      <c r="C5111" s="7" t="str">
        <f>_xlfn.XLOOKUP(Vendas[[#This Row],[ID Vendedor]],Vendedores[ID],Vendedores[Setor])</f>
        <v>SC</v>
      </c>
      <c r="D5111" s="7" t="s">
        <v>14</v>
      </c>
      <c r="E5111" t="str">
        <f>_xlfn.XLOOKUP(Vendas[[#This Row],[ID Item Vendido]],Agregado[ID],Agregado[Produto])</f>
        <v>Barril de plástico 200L</v>
      </c>
      <c r="F5111" s="39">
        <v>45973</v>
      </c>
      <c r="G5111" s="7">
        <v>18</v>
      </c>
      <c r="H5111" s="3">
        <f>_xlfn.XLOOKUP(Vendas[[#This Row],[ID Item Vendido]],Agregado[ID],Agregado[Revenda])</f>
        <v>114</v>
      </c>
      <c r="I5111" s="3">
        <f>Vendas[[#This Row],[Valor Unitário]]*Vendas[[#This Row],[Qnt Vendida]]</f>
        <v>2052</v>
      </c>
      <c r="J5111" s="3">
        <f>Vendas[[#This Row],[Valor da Venda]]-(_xlfn.XLOOKUP(Vendas[[#This Row],[ID Item Vendido]],Agregado[ID],Agregado[Custo])*Vendas[[#This Row],[Qnt Vendida]])</f>
        <v>342</v>
      </c>
      <c r="K5111" s="70">
        <f>Vendas[[#This Row],[Lucro da Venda]]/Vendas[[#This Row],[Valor da Venda]]</f>
        <v>0.16666666666666666</v>
      </c>
      <c r="L5111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5111"/>
    </row>
    <row r="5112" spans="1:13" x14ac:dyDescent="0.3">
      <c r="A5112" s="7">
        <v>400255</v>
      </c>
      <c r="B5112" t="str">
        <f>_xlfn.XLOOKUP(Vendas[[#This Row],[ID Vendedor]],Vendedores[ID],Vendedores[Nome])</f>
        <v>Carlos</v>
      </c>
      <c r="C5112" s="7" t="str">
        <f>_xlfn.XLOOKUP(Vendas[[#This Row],[ID Vendedor]],Vendedores[ID],Vendedores[Setor])</f>
        <v>SC</v>
      </c>
      <c r="D5112" s="7" t="s">
        <v>42</v>
      </c>
      <c r="E5112" t="str">
        <f>_xlfn.XLOOKUP(Vendas[[#This Row],[ID Item Vendido]],Agregado[ID],Agregado[Produto])</f>
        <v>Container de ferro industrial</v>
      </c>
      <c r="F5112" s="39">
        <v>45973</v>
      </c>
      <c r="G5112" s="7">
        <v>2</v>
      </c>
      <c r="H5112" s="3">
        <f>_xlfn.XLOOKUP(Vendas[[#This Row],[ID Item Vendido]],Agregado[ID],Agregado[Revenda])</f>
        <v>830</v>
      </c>
      <c r="I5112" s="3">
        <f>Vendas[[#This Row],[Valor Unitário]]*Vendas[[#This Row],[Qnt Vendida]]</f>
        <v>1660</v>
      </c>
      <c r="J5112" s="3">
        <f>Vendas[[#This Row],[Valor da Venda]]-(_xlfn.XLOOKUP(Vendas[[#This Row],[ID Item Vendido]],Agregado[ID],Agregado[Custo])*Vendas[[#This Row],[Qnt Vendida]])</f>
        <v>300</v>
      </c>
      <c r="K5112" s="70">
        <f>Vendas[[#This Row],[Lucro da Venda]]/Vendas[[#This Row],[Valor da Venda]]</f>
        <v>0.18072289156626506</v>
      </c>
      <c r="L5112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112"/>
    </row>
    <row r="5113" spans="1:13" x14ac:dyDescent="0.3">
      <c r="A5113" s="7">
        <v>400252</v>
      </c>
      <c r="B5113" t="str">
        <f>_xlfn.XLOOKUP(Vendas[[#This Row],[ID Vendedor]],Vendedores[ID],Vendedores[Nome])</f>
        <v>Renata</v>
      </c>
      <c r="C5113" s="7" t="str">
        <f>_xlfn.XLOOKUP(Vendas[[#This Row],[ID Vendedor]],Vendedores[ID],Vendedores[Setor])</f>
        <v>AB</v>
      </c>
      <c r="D5113" s="7" t="s">
        <v>37</v>
      </c>
      <c r="E5113" t="str">
        <f>_xlfn.XLOOKUP(Vendas[[#This Row],[ID Item Vendido]],Agregado[ID],Agregado[Produto])</f>
        <v>Composto de borracha para vedação rolo 10m</v>
      </c>
      <c r="F5113" s="39">
        <v>45973</v>
      </c>
      <c r="G5113" s="7">
        <v>13</v>
      </c>
      <c r="H5113" s="3">
        <f>_xlfn.XLOOKUP(Vendas[[#This Row],[ID Item Vendido]],Agregado[ID],Agregado[Revenda])</f>
        <v>51.2</v>
      </c>
      <c r="I5113" s="3">
        <f>Vendas[[#This Row],[Valor Unitário]]*Vendas[[#This Row],[Qnt Vendida]]</f>
        <v>665.6</v>
      </c>
      <c r="J5113" s="3">
        <f>Vendas[[#This Row],[Valor da Venda]]-(_xlfn.XLOOKUP(Vendas[[#This Row],[ID Item Vendido]],Agregado[ID],Agregado[Custo])*Vendas[[#This Row],[Qnt Vendida]])</f>
        <v>145.60000000000002</v>
      </c>
      <c r="K5113" s="70">
        <f>Vendas[[#This Row],[Lucro da Venda]]/Vendas[[#This Row],[Valor da Venda]]</f>
        <v>0.21875000000000003</v>
      </c>
      <c r="L5113" s="3">
        <f>_xlfn.IFS(Vendas[[#This Row],[Margem de Lucro (%)]]&lt;15%,Vendas[[#This Row],[Valor da Venda]]*3%,Vendas[[#This Row],[Margem de Lucro (%)]]&lt;=20%,Vendas[[#This Row],[Valor da Venda]]*4.5%,TRUE,Vendas[[#This Row],[Valor da Venda]]*6%)</f>
        <v>39.936</v>
      </c>
      <c r="M5113"/>
    </row>
    <row r="5114" spans="1:13" x14ac:dyDescent="0.3">
      <c r="A5114" s="7">
        <v>400252</v>
      </c>
      <c r="B5114" t="str">
        <f>_xlfn.XLOOKUP(Vendas[[#This Row],[ID Vendedor]],Vendedores[ID],Vendedores[Nome])</f>
        <v>Renata</v>
      </c>
      <c r="C5114" s="7" t="str">
        <f>_xlfn.XLOOKUP(Vendas[[#This Row],[ID Vendedor]],Vendedores[ID],Vendedores[Setor])</f>
        <v>AB</v>
      </c>
      <c r="D5114" s="7" t="s">
        <v>39</v>
      </c>
      <c r="E5114" t="str">
        <f>_xlfn.XLOOKUP(Vendas[[#This Row],[ID Item Vendido]],Agregado[ID],Agregado[Produto])</f>
        <v>Filme plástico industrial rolo 50m</v>
      </c>
      <c r="F5114" s="39">
        <v>45973</v>
      </c>
      <c r="G5114" s="7">
        <v>15</v>
      </c>
      <c r="H5114" s="3">
        <f>_xlfn.XLOOKUP(Vendas[[#This Row],[ID Item Vendido]],Agregado[ID],Agregado[Revenda])</f>
        <v>37</v>
      </c>
      <c r="I5114" s="3">
        <f>Vendas[[#This Row],[Valor Unitário]]*Vendas[[#This Row],[Qnt Vendida]]</f>
        <v>555</v>
      </c>
      <c r="J5114" s="3">
        <f>Vendas[[#This Row],[Valor da Venda]]-(_xlfn.XLOOKUP(Vendas[[#This Row],[ID Item Vendido]],Agregado[ID],Agregado[Custo])*Vendas[[#This Row],[Qnt Vendida]])</f>
        <v>135</v>
      </c>
      <c r="K5114" s="70">
        <f>Vendas[[#This Row],[Lucro da Venda]]/Vendas[[#This Row],[Valor da Venda]]</f>
        <v>0.24324324324324326</v>
      </c>
      <c r="L5114" s="3">
        <f>_xlfn.IFS(Vendas[[#This Row],[Margem de Lucro (%)]]&lt;15%,Vendas[[#This Row],[Valor da Venda]]*3%,Vendas[[#This Row],[Margem de Lucro (%)]]&lt;=20%,Vendas[[#This Row],[Valor da Venda]]*4.5%,TRUE,Vendas[[#This Row],[Valor da Venda]]*6%)</f>
        <v>33.299999999999997</v>
      </c>
      <c r="M5114"/>
    </row>
    <row r="5115" spans="1:13" x14ac:dyDescent="0.3">
      <c r="A5115" s="7">
        <v>400252</v>
      </c>
      <c r="B5115" t="str">
        <f>_xlfn.XLOOKUP(Vendas[[#This Row],[ID Vendedor]],Vendedores[ID],Vendedores[Nome])</f>
        <v>Renata</v>
      </c>
      <c r="C5115" s="7" t="str">
        <f>_xlfn.XLOOKUP(Vendas[[#This Row],[ID Vendedor]],Vendedores[ID],Vendedores[Setor])</f>
        <v>AB</v>
      </c>
      <c r="D5115" s="7" t="s">
        <v>39</v>
      </c>
      <c r="E5115" t="str">
        <f>_xlfn.XLOOKUP(Vendas[[#This Row],[ID Item Vendido]],Agregado[ID],Agregado[Produto])</f>
        <v>Filme plástico industrial rolo 50m</v>
      </c>
      <c r="F5115" s="39">
        <v>45973</v>
      </c>
      <c r="G5115" s="7">
        <v>6</v>
      </c>
      <c r="H5115" s="3">
        <f>_xlfn.XLOOKUP(Vendas[[#This Row],[ID Item Vendido]],Agregado[ID],Agregado[Revenda])</f>
        <v>37</v>
      </c>
      <c r="I5115" s="3">
        <f>Vendas[[#This Row],[Valor Unitário]]*Vendas[[#This Row],[Qnt Vendida]]</f>
        <v>222</v>
      </c>
      <c r="J5115" s="3">
        <f>Vendas[[#This Row],[Valor da Venda]]-(_xlfn.XLOOKUP(Vendas[[#This Row],[ID Item Vendido]],Agregado[ID],Agregado[Custo])*Vendas[[#This Row],[Qnt Vendida]])</f>
        <v>54</v>
      </c>
      <c r="K5115" s="70">
        <f>Vendas[[#This Row],[Lucro da Venda]]/Vendas[[#This Row],[Valor da Venda]]</f>
        <v>0.24324324324324326</v>
      </c>
      <c r="L5115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5115"/>
    </row>
    <row r="5116" spans="1:13" x14ac:dyDescent="0.3">
      <c r="A5116" s="7">
        <v>400249</v>
      </c>
      <c r="B5116" t="str">
        <f>_xlfn.XLOOKUP(Vendas[[#This Row],[ID Vendedor]],Vendedores[ID],Vendedores[Nome])</f>
        <v>Bruno</v>
      </c>
      <c r="C5116" s="7" t="str">
        <f>_xlfn.XLOOKUP(Vendas[[#This Row],[ID Vendedor]],Vendedores[ID],Vendedores[Setor])</f>
        <v>CM</v>
      </c>
      <c r="D5116" s="7" t="s">
        <v>43</v>
      </c>
      <c r="E5116" t="str">
        <f>_xlfn.XLOOKUP(Vendas[[#This Row],[ID Item Vendido]],Agregado[ID],Agregado[Produto])</f>
        <v>Madeira Bruta (Tora)</v>
      </c>
      <c r="F5116" s="39">
        <v>45974</v>
      </c>
      <c r="G5116" s="7">
        <v>8</v>
      </c>
      <c r="H5116" s="3">
        <f>_xlfn.XLOOKUP(Vendas[[#This Row],[ID Item Vendido]],Agregado[ID],Agregado[Revenda])</f>
        <v>212</v>
      </c>
      <c r="I5116" s="3">
        <f>Vendas[[#This Row],[Valor Unitário]]*Vendas[[#This Row],[Qnt Vendida]]</f>
        <v>1696</v>
      </c>
      <c r="J5116" s="3">
        <f>Vendas[[#This Row],[Valor da Venda]]-(_xlfn.XLOOKUP(Vendas[[#This Row],[ID Item Vendido]],Agregado[ID],Agregado[Custo])*Vendas[[#This Row],[Qnt Vendida]])</f>
        <v>256</v>
      </c>
      <c r="K5116" s="70">
        <f>Vendas[[#This Row],[Lucro da Venda]]/Vendas[[#This Row],[Valor da Venda]]</f>
        <v>0.15094339622641509</v>
      </c>
      <c r="L5116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5116"/>
    </row>
    <row r="5117" spans="1:13" x14ac:dyDescent="0.3">
      <c r="A5117" s="7">
        <v>400251</v>
      </c>
      <c r="B5117" t="str">
        <f>_xlfn.XLOOKUP(Vendas[[#This Row],[ID Vendedor]],Vendedores[ID],Vendedores[Nome])</f>
        <v>Diego</v>
      </c>
      <c r="C5117" s="7" t="str">
        <f>_xlfn.XLOOKUP(Vendas[[#This Row],[ID Vendedor]],Vendedores[ID],Vendedores[Setor])</f>
        <v>AB</v>
      </c>
      <c r="D5117" s="7" t="s">
        <v>37</v>
      </c>
      <c r="E5117" t="str">
        <f>_xlfn.XLOOKUP(Vendas[[#This Row],[ID Item Vendido]],Agregado[ID],Agregado[Produto])</f>
        <v>Composto de borracha para vedação rolo 10m</v>
      </c>
      <c r="F5117" s="39">
        <v>45974</v>
      </c>
      <c r="G5117" s="7">
        <v>15</v>
      </c>
      <c r="H5117" s="3">
        <f>_xlfn.XLOOKUP(Vendas[[#This Row],[ID Item Vendido]],Agregado[ID],Agregado[Revenda])</f>
        <v>51.2</v>
      </c>
      <c r="I5117" s="3">
        <f>Vendas[[#This Row],[Valor Unitário]]*Vendas[[#This Row],[Qnt Vendida]]</f>
        <v>768</v>
      </c>
      <c r="J5117" s="3">
        <f>Vendas[[#This Row],[Valor da Venda]]-(_xlfn.XLOOKUP(Vendas[[#This Row],[ID Item Vendido]],Agregado[ID],Agregado[Custo])*Vendas[[#This Row],[Qnt Vendida]])</f>
        <v>168</v>
      </c>
      <c r="K5117" s="70">
        <f>Vendas[[#This Row],[Lucro da Venda]]/Vendas[[#This Row],[Valor da Venda]]</f>
        <v>0.21875</v>
      </c>
      <c r="L5117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117"/>
    </row>
    <row r="5118" spans="1:13" x14ac:dyDescent="0.3">
      <c r="A5118" s="7">
        <v>400254</v>
      </c>
      <c r="B5118" t="str">
        <f>_xlfn.XLOOKUP(Vendas[[#This Row],[ID Vendedor]],Vendedores[ID],Vendedores[Nome])</f>
        <v>Beatriz</v>
      </c>
      <c r="C5118" s="7" t="str">
        <f>_xlfn.XLOOKUP(Vendas[[#This Row],[ID Vendedor]],Vendedores[ID],Vendedores[Setor])</f>
        <v>SC</v>
      </c>
      <c r="D5118" s="7" t="s">
        <v>48</v>
      </c>
      <c r="E5118" t="str">
        <f>_xlfn.XLOOKUP(Vendas[[#This Row],[ID Item Vendido]],Agregado[ID],Agregado[Produto])</f>
        <v>Tambor metálico 200L</v>
      </c>
      <c r="F5118" s="39">
        <v>45975</v>
      </c>
      <c r="G5118" s="7">
        <v>15</v>
      </c>
      <c r="H5118" s="3">
        <f>_xlfn.XLOOKUP(Vendas[[#This Row],[ID Item Vendido]],Agregado[ID],Agregado[Revenda])</f>
        <v>144</v>
      </c>
      <c r="I5118" s="3">
        <f>Vendas[[#This Row],[Valor Unitário]]*Vendas[[#This Row],[Qnt Vendida]]</f>
        <v>2160</v>
      </c>
      <c r="J5118" s="3">
        <f>Vendas[[#This Row],[Valor da Venda]]-(_xlfn.XLOOKUP(Vendas[[#This Row],[ID Item Vendido]],Agregado[ID],Agregado[Custo])*Vendas[[#This Row],[Qnt Vendida]])</f>
        <v>360</v>
      </c>
      <c r="K5118" s="70">
        <f>Vendas[[#This Row],[Lucro da Venda]]/Vendas[[#This Row],[Valor da Venda]]</f>
        <v>0.16666666666666666</v>
      </c>
      <c r="L5118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5118"/>
    </row>
    <row r="5119" spans="1:13" x14ac:dyDescent="0.3">
      <c r="A5119" s="7">
        <v>400243</v>
      </c>
      <c r="B5119" t="str">
        <f>_xlfn.XLOOKUP(Vendas[[#This Row],[ID Vendedor]],Vendedores[ID],Vendedores[Nome])</f>
        <v>Marcelo</v>
      </c>
      <c r="C5119" s="7" t="str">
        <f>_xlfn.XLOOKUP(Vendas[[#This Row],[ID Vendedor]],Vendedores[ID],Vendedores[Setor])</f>
        <v>FM</v>
      </c>
      <c r="D5119" s="7" t="s">
        <v>47</v>
      </c>
      <c r="E5119" t="str">
        <f>_xlfn.XLOOKUP(Vendas[[#This Row],[ID Item Vendido]],Agregado[ID],Agregado[Produto])</f>
        <v>Fio de arame galvanizado rolo 50m</v>
      </c>
      <c r="F5119" s="39">
        <v>45975</v>
      </c>
      <c r="G5119" s="7">
        <v>40</v>
      </c>
      <c r="H5119" s="3">
        <f>_xlfn.XLOOKUP(Vendas[[#This Row],[ID Item Vendido]],Agregado[ID],Agregado[Revenda])</f>
        <v>21.2</v>
      </c>
      <c r="I5119" s="3">
        <f>Vendas[[#This Row],[Valor Unitário]]*Vendas[[#This Row],[Qnt Vendida]]</f>
        <v>848</v>
      </c>
      <c r="J5119" s="3">
        <f>Vendas[[#This Row],[Valor da Venda]]-(_xlfn.XLOOKUP(Vendas[[#This Row],[ID Item Vendido]],Agregado[ID],Agregado[Custo])*Vendas[[#This Row],[Qnt Vendida]])</f>
        <v>128</v>
      </c>
      <c r="K5119" s="70">
        <f>Vendas[[#This Row],[Lucro da Venda]]/Vendas[[#This Row],[Valor da Venda]]</f>
        <v>0.15094339622641509</v>
      </c>
      <c r="L5119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119"/>
    </row>
    <row r="5120" spans="1:13" x14ac:dyDescent="0.3">
      <c r="A5120" s="7">
        <v>400252</v>
      </c>
      <c r="B5120" t="str">
        <f>_xlfn.XLOOKUP(Vendas[[#This Row],[ID Vendedor]],Vendedores[ID],Vendedores[Nome])</f>
        <v>Renata</v>
      </c>
      <c r="C5120" s="7" t="str">
        <f>_xlfn.XLOOKUP(Vendas[[#This Row],[ID Vendedor]],Vendedores[ID],Vendedores[Setor])</f>
        <v>AB</v>
      </c>
      <c r="D5120" s="7" t="s">
        <v>12</v>
      </c>
      <c r="E5120" t="str">
        <f>_xlfn.XLOOKUP(Vendas[[#This Row],[ID Item Vendido]],Agregado[ID],Agregado[Produto])</f>
        <v>Grânulo de plástico reciclado refinado</v>
      </c>
      <c r="F5120" s="39">
        <v>45975</v>
      </c>
      <c r="G5120" s="7">
        <v>106</v>
      </c>
      <c r="H5120" s="3">
        <f>_xlfn.XLOOKUP(Vendas[[#This Row],[ID Item Vendido]],Agregado[ID],Agregado[Revenda])</f>
        <v>4.7</v>
      </c>
      <c r="I5120" s="3">
        <f>Vendas[[#This Row],[Valor Unitário]]*Vendas[[#This Row],[Qnt Vendida]]</f>
        <v>498.20000000000005</v>
      </c>
      <c r="J5120" s="3">
        <f>Vendas[[#This Row],[Valor da Venda]]-(_xlfn.XLOOKUP(Vendas[[#This Row],[ID Item Vendido]],Agregado[ID],Agregado[Custo])*Vendas[[#This Row],[Qnt Vendida]])</f>
        <v>127.20000000000005</v>
      </c>
      <c r="K5120" s="70">
        <f>Vendas[[#This Row],[Lucro da Venda]]/Vendas[[#This Row],[Valor da Venda]]</f>
        <v>0.2553191489361703</v>
      </c>
      <c r="L5120" s="3">
        <f>_xlfn.IFS(Vendas[[#This Row],[Margem de Lucro (%)]]&lt;15%,Vendas[[#This Row],[Valor da Venda]]*3%,Vendas[[#This Row],[Margem de Lucro (%)]]&lt;=20%,Vendas[[#This Row],[Valor da Venda]]*4.5%,TRUE,Vendas[[#This Row],[Valor da Venda]]*6%)</f>
        <v>29.892000000000003</v>
      </c>
      <c r="M5120"/>
    </row>
    <row r="5121" spans="1:13" x14ac:dyDescent="0.3">
      <c r="A5121" s="7">
        <v>400246</v>
      </c>
      <c r="B5121" t="str">
        <f>_xlfn.XLOOKUP(Vendas[[#This Row],[ID Vendedor]],Vendedores[ID],Vendedores[Nome])</f>
        <v>Juliana</v>
      </c>
      <c r="C5121" s="7" t="str">
        <f>_xlfn.XLOOKUP(Vendas[[#This Row],[ID Vendedor]],Vendedores[ID],Vendedores[Setor])</f>
        <v>AHD</v>
      </c>
      <c r="D5121" s="7" t="s">
        <v>28</v>
      </c>
      <c r="E5121" t="str">
        <f>_xlfn.XLOOKUP(Vendas[[#This Row],[ID Item Vendido]],Agregado[ID],Agregado[Produto])</f>
        <v>Peça usinada CNC</v>
      </c>
      <c r="F5121" s="39">
        <v>45976</v>
      </c>
      <c r="G5121" s="7">
        <v>15</v>
      </c>
      <c r="H5121" s="3">
        <f>_xlfn.XLOOKUP(Vendas[[#This Row],[ID Item Vendido]],Agregado[ID],Agregado[Revenda])</f>
        <v>192</v>
      </c>
      <c r="I5121" s="3">
        <f>Vendas[[#This Row],[Valor Unitário]]*Vendas[[#This Row],[Qnt Vendida]]</f>
        <v>2880</v>
      </c>
      <c r="J5121" s="3">
        <f>Vendas[[#This Row],[Valor da Venda]]-(_xlfn.XLOOKUP(Vendas[[#This Row],[ID Item Vendido]],Agregado[ID],Agregado[Custo])*Vendas[[#This Row],[Qnt Vendida]])</f>
        <v>630</v>
      </c>
      <c r="K5121" s="70">
        <f>Vendas[[#This Row],[Lucro da Venda]]/Vendas[[#This Row],[Valor da Venda]]</f>
        <v>0.21875</v>
      </c>
      <c r="L5121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5121"/>
    </row>
    <row r="5122" spans="1:13" x14ac:dyDescent="0.3">
      <c r="A5122" s="7">
        <v>400247</v>
      </c>
      <c r="B5122" t="str">
        <f>_xlfn.XLOOKUP(Vendas[[#This Row],[ID Vendedor]],Vendedores[ID],Vendedores[Nome])</f>
        <v>André</v>
      </c>
      <c r="C5122" s="7" t="str">
        <f>_xlfn.XLOOKUP(Vendas[[#This Row],[ID Vendedor]],Vendedores[ID],Vendedores[Setor])</f>
        <v>CM</v>
      </c>
      <c r="D5122" s="7" t="s">
        <v>32</v>
      </c>
      <c r="E5122" t="str">
        <f>_xlfn.XLOOKUP(Vendas[[#This Row],[ID Item Vendido]],Agregado[ID],Agregado[Produto])</f>
        <v>Tábua tratada e cortada 3m</v>
      </c>
      <c r="F5122" s="39">
        <v>45976</v>
      </c>
      <c r="G5122" s="7">
        <v>26</v>
      </c>
      <c r="H5122" s="3">
        <f>_xlfn.XLOOKUP(Vendas[[#This Row],[ID Item Vendido]],Agregado[ID],Agregado[Revenda])</f>
        <v>39</v>
      </c>
      <c r="I5122" s="3">
        <f>Vendas[[#This Row],[Valor Unitário]]*Vendas[[#This Row],[Qnt Vendida]]</f>
        <v>1014</v>
      </c>
      <c r="J5122" s="3">
        <f>Vendas[[#This Row],[Valor da Venda]]-(_xlfn.XLOOKUP(Vendas[[#This Row],[ID Item Vendido]],Agregado[ID],Agregado[Custo])*Vendas[[#This Row],[Qnt Vendida]])</f>
        <v>182</v>
      </c>
      <c r="K5122" s="70">
        <f>Vendas[[#This Row],[Lucro da Venda]]/Vendas[[#This Row],[Valor da Venda]]</f>
        <v>0.17948717948717949</v>
      </c>
      <c r="L5122" s="3">
        <f>_xlfn.IFS(Vendas[[#This Row],[Margem de Lucro (%)]]&lt;15%,Vendas[[#This Row],[Valor da Venda]]*3%,Vendas[[#This Row],[Margem de Lucro (%)]]&lt;=20%,Vendas[[#This Row],[Valor da Venda]]*4.5%,TRUE,Vendas[[#This Row],[Valor da Venda]]*6%)</f>
        <v>45.629999999999995</v>
      </c>
      <c r="M5122"/>
    </row>
    <row r="5123" spans="1:13" x14ac:dyDescent="0.3">
      <c r="A5123" s="7">
        <v>400247</v>
      </c>
      <c r="B5123" t="str">
        <f>_xlfn.XLOOKUP(Vendas[[#This Row],[ID Vendedor]],Vendedores[ID],Vendedores[Nome])</f>
        <v>André</v>
      </c>
      <c r="C5123" s="7" t="str">
        <f>_xlfn.XLOOKUP(Vendas[[#This Row],[ID Vendedor]],Vendedores[ID],Vendedores[Setor])</f>
        <v>CM</v>
      </c>
      <c r="D5123" s="7" t="s">
        <v>45</v>
      </c>
      <c r="E5123" t="str">
        <f>_xlfn.XLOOKUP(Vendas[[#This Row],[ID Item Vendido]],Agregado[ID],Agregado[Produto])</f>
        <v>Viga de madeira tratada 4m</v>
      </c>
      <c r="F5123" s="39">
        <v>45976</v>
      </c>
      <c r="G5123" s="7">
        <v>5</v>
      </c>
      <c r="H5123" s="3">
        <f>_xlfn.XLOOKUP(Vendas[[#This Row],[ID Item Vendido]],Agregado[ID],Agregado[Revenda])</f>
        <v>66</v>
      </c>
      <c r="I5123" s="3">
        <f>Vendas[[#This Row],[Valor Unitário]]*Vendas[[#This Row],[Qnt Vendida]]</f>
        <v>330</v>
      </c>
      <c r="J5123" s="3">
        <f>Vendas[[#This Row],[Valor da Venda]]-(_xlfn.XLOOKUP(Vendas[[#This Row],[ID Item Vendido]],Agregado[ID],Agregado[Custo])*Vendas[[#This Row],[Qnt Vendida]])</f>
        <v>55</v>
      </c>
      <c r="K5123" s="70">
        <f>Vendas[[#This Row],[Lucro da Venda]]/Vendas[[#This Row],[Valor da Venda]]</f>
        <v>0.16666666666666666</v>
      </c>
      <c r="L5123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5123"/>
    </row>
    <row r="5124" spans="1:13" x14ac:dyDescent="0.3">
      <c r="A5124" s="7">
        <v>400242</v>
      </c>
      <c r="B5124" t="str">
        <f>_xlfn.XLOOKUP(Vendas[[#This Row],[ID Vendedor]],Vendedores[ID],Vendedores[Nome])</f>
        <v>Fernanda</v>
      </c>
      <c r="C5124" s="7" t="str">
        <f>_xlfn.XLOOKUP(Vendas[[#This Row],[ID Vendedor]],Vendedores[ID],Vendedores[Setor])</f>
        <v>FM</v>
      </c>
      <c r="D5124" s="7" t="s">
        <v>20</v>
      </c>
      <c r="E5124" t="str">
        <f>_xlfn.XLOOKUP(Vendas[[#This Row],[ID Item Vendido]],Agregado[ID],Agregado[Produto])</f>
        <v>Barra de aço simples</v>
      </c>
      <c r="F5124" s="39">
        <v>45976</v>
      </c>
      <c r="G5124" s="7">
        <v>46</v>
      </c>
      <c r="H5124" s="3">
        <f>_xlfn.XLOOKUP(Vendas[[#This Row],[ID Item Vendido]],Agregado[ID],Agregado[Revenda])</f>
        <v>4.8</v>
      </c>
      <c r="I5124" s="3">
        <f>Vendas[[#This Row],[Valor Unitário]]*Vendas[[#This Row],[Qnt Vendida]]</f>
        <v>220.79999999999998</v>
      </c>
      <c r="J5124" s="3">
        <f>Vendas[[#This Row],[Valor da Venda]]-(_xlfn.XLOOKUP(Vendas[[#This Row],[ID Item Vendido]],Agregado[ID],Agregado[Custo])*Vendas[[#This Row],[Qnt Vendida]])</f>
        <v>27.599999999999966</v>
      </c>
      <c r="K5124" s="70">
        <f>Vendas[[#This Row],[Lucro da Venda]]/Vendas[[#This Row],[Valor da Venda]]</f>
        <v>0.12499999999999986</v>
      </c>
      <c r="L5124" s="3">
        <f>_xlfn.IFS(Vendas[[#This Row],[Margem de Lucro (%)]]&lt;15%,Vendas[[#This Row],[Valor da Venda]]*3%,Vendas[[#This Row],[Margem de Lucro (%)]]&lt;=20%,Vendas[[#This Row],[Valor da Venda]]*4.5%,TRUE,Vendas[[#This Row],[Valor da Venda]]*6%)</f>
        <v>6.6239999999999997</v>
      </c>
      <c r="M5124"/>
    </row>
    <row r="5125" spans="1:13" x14ac:dyDescent="0.3">
      <c r="A5125" s="7">
        <v>400245</v>
      </c>
      <c r="B5125" t="str">
        <f>_xlfn.XLOOKUP(Vendas[[#This Row],[ID Vendedor]],Vendedores[ID],Vendedores[Nome])</f>
        <v>Thiago</v>
      </c>
      <c r="C5125" s="7" t="str">
        <f>_xlfn.XLOOKUP(Vendas[[#This Row],[ID Vendedor]],Vendedores[ID],Vendedores[Setor])</f>
        <v>AHD</v>
      </c>
      <c r="D5125" s="7" t="s">
        <v>44</v>
      </c>
      <c r="E5125" t="str">
        <f>_xlfn.XLOOKUP(Vendas[[#This Row],[ID Item Vendido]],Agregado[ID],Agregado[Produto])</f>
        <v>Liga metálica especial</v>
      </c>
      <c r="F5125" s="39">
        <v>45977</v>
      </c>
      <c r="G5125" s="7">
        <v>39</v>
      </c>
      <c r="H5125" s="3">
        <f>_xlfn.XLOOKUP(Vendas[[#This Row],[ID Item Vendido]],Agregado[ID],Agregado[Revenda])</f>
        <v>32.5</v>
      </c>
      <c r="I5125" s="3">
        <f>Vendas[[#This Row],[Valor Unitário]]*Vendas[[#This Row],[Qnt Vendida]]</f>
        <v>1267.5</v>
      </c>
      <c r="J5125" s="3">
        <f>Vendas[[#This Row],[Valor da Venda]]-(_xlfn.XLOOKUP(Vendas[[#This Row],[ID Item Vendido]],Agregado[ID],Agregado[Custo])*Vendas[[#This Row],[Qnt Vendida]])</f>
        <v>292.5</v>
      </c>
      <c r="K5125" s="70">
        <f>Vendas[[#This Row],[Lucro da Venda]]/Vendas[[#This Row],[Valor da Venda]]</f>
        <v>0.23076923076923078</v>
      </c>
      <c r="L5125" s="3">
        <f>_xlfn.IFS(Vendas[[#This Row],[Margem de Lucro (%)]]&lt;15%,Vendas[[#This Row],[Valor da Venda]]*3%,Vendas[[#This Row],[Margem de Lucro (%)]]&lt;=20%,Vendas[[#This Row],[Valor da Venda]]*4.5%,TRUE,Vendas[[#This Row],[Valor da Venda]]*6%)</f>
        <v>76.05</v>
      </c>
      <c r="M5125"/>
    </row>
    <row r="5126" spans="1:13" x14ac:dyDescent="0.3">
      <c r="A5126" s="7">
        <v>400244</v>
      </c>
      <c r="B5126" t="str">
        <f>_xlfn.XLOOKUP(Vendas[[#This Row],[ID Vendedor]],Vendedores[ID],Vendedores[Nome])</f>
        <v>Camila</v>
      </c>
      <c r="C5126" s="7" t="str">
        <f>_xlfn.XLOOKUP(Vendas[[#This Row],[ID Vendedor]],Vendedores[ID],Vendedores[Setor])</f>
        <v>AHD</v>
      </c>
      <c r="D5126" s="7" t="s">
        <v>9</v>
      </c>
      <c r="E5126" t="str">
        <f>_xlfn.XLOOKUP(Vendas[[#This Row],[ID Item Vendido]],Agregado[ID],Agregado[Produto])</f>
        <v>Barra de aço simples</v>
      </c>
      <c r="F5126" s="39">
        <v>45977</v>
      </c>
      <c r="G5126" s="7">
        <v>35</v>
      </c>
      <c r="H5126" s="3">
        <f>_xlfn.XLOOKUP(Vendas[[#This Row],[ID Item Vendido]],Agregado[ID],Agregado[Revenda])</f>
        <v>6.7</v>
      </c>
      <c r="I5126" s="3">
        <f>Vendas[[#This Row],[Valor Unitário]]*Vendas[[#This Row],[Qnt Vendida]]</f>
        <v>234.5</v>
      </c>
      <c r="J5126" s="3">
        <f>Vendas[[#This Row],[Valor da Venda]]-(_xlfn.XLOOKUP(Vendas[[#This Row],[ID Item Vendido]],Agregado[ID],Agregado[Custo])*Vendas[[#This Row],[Qnt Vendida]])</f>
        <v>31.5</v>
      </c>
      <c r="K5126" s="70">
        <f>Vendas[[#This Row],[Lucro da Venda]]/Vendas[[#This Row],[Valor da Venda]]</f>
        <v>0.13432835820895522</v>
      </c>
      <c r="L5126" s="3">
        <f>_xlfn.IFS(Vendas[[#This Row],[Margem de Lucro (%)]]&lt;15%,Vendas[[#This Row],[Valor da Venda]]*3%,Vendas[[#This Row],[Margem de Lucro (%)]]&lt;=20%,Vendas[[#This Row],[Valor da Venda]]*4.5%,TRUE,Vendas[[#This Row],[Valor da Venda]]*6%)</f>
        <v>7.0350000000000001</v>
      </c>
      <c r="M5126"/>
    </row>
    <row r="5127" spans="1:13" x14ac:dyDescent="0.3">
      <c r="A5127" s="7">
        <v>400248</v>
      </c>
      <c r="B5127" t="str">
        <f>_xlfn.XLOOKUP(Vendas[[#This Row],[ID Vendedor]],Vendedores[ID],Vendedores[Nome])</f>
        <v>Patrícia</v>
      </c>
      <c r="C5127" s="7" t="str">
        <f>_xlfn.XLOOKUP(Vendas[[#This Row],[ID Vendedor]],Vendedores[ID],Vendedores[Setor])</f>
        <v>CM</v>
      </c>
      <c r="D5127" s="7" t="s">
        <v>34</v>
      </c>
      <c r="E5127" t="str">
        <f>_xlfn.XLOOKUP(Vendas[[#This Row],[ID Item Vendido]],Agregado[ID],Agregado[Produto])</f>
        <v>Restos de madeira p/ MDP/OSB saco de 20kg</v>
      </c>
      <c r="F5127" s="39">
        <v>45978</v>
      </c>
      <c r="G5127" s="7">
        <v>19</v>
      </c>
      <c r="H5127" s="3">
        <f>_xlfn.XLOOKUP(Vendas[[#This Row],[ID Item Vendido]],Agregado[ID],Agregado[Revenda])</f>
        <v>13.8</v>
      </c>
      <c r="I5127" s="3">
        <f>Vendas[[#This Row],[Valor Unitário]]*Vendas[[#This Row],[Qnt Vendida]]</f>
        <v>262.2</v>
      </c>
      <c r="J5127" s="3">
        <f>Vendas[[#This Row],[Valor da Venda]]-(_xlfn.XLOOKUP(Vendas[[#This Row],[ID Item Vendido]],Agregado[ID],Agregado[Custo])*Vendas[[#This Row],[Qnt Vendida]])</f>
        <v>34.199999999999989</v>
      </c>
      <c r="K5127" s="70">
        <f>Vendas[[#This Row],[Lucro da Venda]]/Vendas[[#This Row],[Valor da Venda]]</f>
        <v>0.13043478260869562</v>
      </c>
      <c r="L5127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5127"/>
    </row>
    <row r="5128" spans="1:13" x14ac:dyDescent="0.3">
      <c r="A5128" s="7">
        <v>400254</v>
      </c>
      <c r="B5128" t="str">
        <f>_xlfn.XLOOKUP(Vendas[[#This Row],[ID Vendedor]],Vendedores[ID],Vendedores[Nome])</f>
        <v>Beatriz</v>
      </c>
      <c r="C5128" s="7" t="str">
        <f>_xlfn.XLOOKUP(Vendas[[#This Row],[ID Vendedor]],Vendedores[ID],Vendedores[Setor])</f>
        <v>SC</v>
      </c>
      <c r="D5128" s="7" t="s">
        <v>14</v>
      </c>
      <c r="E5128" t="str">
        <f>_xlfn.XLOOKUP(Vendas[[#This Row],[ID Item Vendido]],Agregado[ID],Agregado[Produto])</f>
        <v>Barril de plástico 200L</v>
      </c>
      <c r="F5128" s="39">
        <v>45979</v>
      </c>
      <c r="G5128" s="7">
        <v>23</v>
      </c>
      <c r="H5128" s="3">
        <f>_xlfn.XLOOKUP(Vendas[[#This Row],[ID Item Vendido]],Agregado[ID],Agregado[Revenda])</f>
        <v>114</v>
      </c>
      <c r="I5128" s="3">
        <f>Vendas[[#This Row],[Valor Unitário]]*Vendas[[#This Row],[Qnt Vendida]]</f>
        <v>2622</v>
      </c>
      <c r="J5128" s="3">
        <f>Vendas[[#This Row],[Valor da Venda]]-(_xlfn.XLOOKUP(Vendas[[#This Row],[ID Item Vendido]],Agregado[ID],Agregado[Custo])*Vendas[[#This Row],[Qnt Vendida]])</f>
        <v>437</v>
      </c>
      <c r="K5128" s="70">
        <f>Vendas[[#This Row],[Lucro da Venda]]/Vendas[[#This Row],[Valor da Venda]]</f>
        <v>0.16666666666666666</v>
      </c>
      <c r="L5128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5128"/>
    </row>
    <row r="5129" spans="1:13" x14ac:dyDescent="0.3">
      <c r="A5129" s="7">
        <v>400252</v>
      </c>
      <c r="B5129" t="str">
        <f>_xlfn.XLOOKUP(Vendas[[#This Row],[ID Vendedor]],Vendedores[ID],Vendedores[Nome])</f>
        <v>Renata</v>
      </c>
      <c r="C5129" s="7" t="str">
        <f>_xlfn.XLOOKUP(Vendas[[#This Row],[ID Vendedor]],Vendedores[ID],Vendedores[Setor])</f>
        <v>AB</v>
      </c>
      <c r="D5129" s="7" t="s">
        <v>36</v>
      </c>
      <c r="E5129" t="str">
        <f>_xlfn.XLOOKUP(Vendas[[#This Row],[ID Item Vendido]],Agregado[ID],Agregado[Produto])</f>
        <v>Borracha vulcanizada em manta</v>
      </c>
      <c r="F5129" s="39">
        <v>45979</v>
      </c>
      <c r="G5129" s="7">
        <v>88</v>
      </c>
      <c r="H5129" s="3">
        <f>_xlfn.XLOOKUP(Vendas[[#This Row],[ID Item Vendido]],Agregado[ID],Agregado[Revenda])</f>
        <v>7.8</v>
      </c>
      <c r="I5129" s="3">
        <f>Vendas[[#This Row],[Valor Unitário]]*Vendas[[#This Row],[Qnt Vendida]]</f>
        <v>686.4</v>
      </c>
      <c r="J5129" s="3">
        <f>Vendas[[#This Row],[Valor da Venda]]-(_xlfn.XLOOKUP(Vendas[[#This Row],[ID Item Vendido]],Agregado[ID],Agregado[Custo])*Vendas[[#This Row],[Qnt Vendida]])</f>
        <v>158.39999999999998</v>
      </c>
      <c r="K5129" s="70">
        <f>Vendas[[#This Row],[Lucro da Venda]]/Vendas[[#This Row],[Valor da Venda]]</f>
        <v>0.23076923076923075</v>
      </c>
      <c r="L5129" s="3">
        <f>_xlfn.IFS(Vendas[[#This Row],[Margem de Lucro (%)]]&lt;15%,Vendas[[#This Row],[Valor da Venda]]*3%,Vendas[[#This Row],[Margem de Lucro (%)]]&lt;=20%,Vendas[[#This Row],[Valor da Venda]]*4.5%,TRUE,Vendas[[#This Row],[Valor da Venda]]*6%)</f>
        <v>41.183999999999997</v>
      </c>
      <c r="M5129"/>
    </row>
    <row r="5130" spans="1:13" x14ac:dyDescent="0.3">
      <c r="A5130" s="7">
        <v>400253</v>
      </c>
      <c r="B5130" t="str">
        <f>_xlfn.XLOOKUP(Vendas[[#This Row],[ID Vendedor]],Vendedores[ID],Vendedores[Nome])</f>
        <v>Gustavo</v>
      </c>
      <c r="C5130" s="7" t="str">
        <f>_xlfn.XLOOKUP(Vendas[[#This Row],[ID Vendedor]],Vendedores[ID],Vendedores[Setor])</f>
        <v>SC</v>
      </c>
      <c r="D5130" s="7" t="s">
        <v>14</v>
      </c>
      <c r="E5130" t="str">
        <f>_xlfn.XLOOKUP(Vendas[[#This Row],[ID Item Vendido]],Agregado[ID],Agregado[Produto])</f>
        <v>Barril de plástico 200L</v>
      </c>
      <c r="F5130" s="39">
        <v>45980</v>
      </c>
      <c r="G5130" s="7">
        <v>23</v>
      </c>
      <c r="H5130" s="3">
        <f>_xlfn.XLOOKUP(Vendas[[#This Row],[ID Item Vendido]],Agregado[ID],Agregado[Revenda])</f>
        <v>114</v>
      </c>
      <c r="I5130" s="3">
        <f>Vendas[[#This Row],[Valor Unitário]]*Vendas[[#This Row],[Qnt Vendida]]</f>
        <v>2622</v>
      </c>
      <c r="J5130" s="3">
        <f>Vendas[[#This Row],[Valor da Venda]]-(_xlfn.XLOOKUP(Vendas[[#This Row],[ID Item Vendido]],Agregado[ID],Agregado[Custo])*Vendas[[#This Row],[Qnt Vendida]])</f>
        <v>437</v>
      </c>
      <c r="K5130" s="70">
        <f>Vendas[[#This Row],[Lucro da Venda]]/Vendas[[#This Row],[Valor da Venda]]</f>
        <v>0.16666666666666666</v>
      </c>
      <c r="L5130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5130"/>
    </row>
    <row r="5131" spans="1:13" x14ac:dyDescent="0.3">
      <c r="A5131" s="7">
        <v>400255</v>
      </c>
      <c r="B5131" t="str">
        <f>_xlfn.XLOOKUP(Vendas[[#This Row],[ID Vendedor]],Vendedores[ID],Vendedores[Nome])</f>
        <v>Carlos</v>
      </c>
      <c r="C5131" s="7" t="str">
        <f>_xlfn.XLOOKUP(Vendas[[#This Row],[ID Vendedor]],Vendedores[ID],Vendedores[Setor])</f>
        <v>SC</v>
      </c>
      <c r="D5131" s="7" t="s">
        <v>14</v>
      </c>
      <c r="E5131" t="str">
        <f>_xlfn.XLOOKUP(Vendas[[#This Row],[ID Item Vendido]],Agregado[ID],Agregado[Produto])</f>
        <v>Barril de plástico 200L</v>
      </c>
      <c r="F5131" s="39">
        <v>45980</v>
      </c>
      <c r="G5131" s="7">
        <v>16</v>
      </c>
      <c r="H5131" s="3">
        <f>_xlfn.XLOOKUP(Vendas[[#This Row],[ID Item Vendido]],Agregado[ID],Agregado[Revenda])</f>
        <v>114</v>
      </c>
      <c r="I5131" s="3">
        <f>Vendas[[#This Row],[Valor Unitário]]*Vendas[[#This Row],[Qnt Vendida]]</f>
        <v>1824</v>
      </c>
      <c r="J5131" s="3">
        <f>Vendas[[#This Row],[Valor da Venda]]-(_xlfn.XLOOKUP(Vendas[[#This Row],[ID Item Vendido]],Agregado[ID],Agregado[Custo])*Vendas[[#This Row],[Qnt Vendida]])</f>
        <v>304</v>
      </c>
      <c r="K5131" s="70">
        <f>Vendas[[#This Row],[Lucro da Venda]]/Vendas[[#This Row],[Valor da Venda]]</f>
        <v>0.16666666666666666</v>
      </c>
      <c r="L5131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5131"/>
    </row>
    <row r="5132" spans="1:13" x14ac:dyDescent="0.3">
      <c r="A5132" s="7">
        <v>400248</v>
      </c>
      <c r="B5132" t="str">
        <f>_xlfn.XLOOKUP(Vendas[[#This Row],[ID Vendedor]],Vendedores[ID],Vendedores[Nome])</f>
        <v>Patrícia</v>
      </c>
      <c r="C5132" s="7" t="str">
        <f>_xlfn.XLOOKUP(Vendas[[#This Row],[ID Vendedor]],Vendedores[ID],Vendedores[Setor])</f>
        <v>CM</v>
      </c>
      <c r="D5132" s="7" t="s">
        <v>32</v>
      </c>
      <c r="E5132" t="str">
        <f>_xlfn.XLOOKUP(Vendas[[#This Row],[ID Item Vendido]],Agregado[ID],Agregado[Produto])</f>
        <v>Tábua tratada e cortada 3m</v>
      </c>
      <c r="F5132" s="39">
        <v>45980</v>
      </c>
      <c r="G5132" s="7">
        <v>31</v>
      </c>
      <c r="H5132" s="3">
        <f>_xlfn.XLOOKUP(Vendas[[#This Row],[ID Item Vendido]],Agregado[ID],Agregado[Revenda])</f>
        <v>39</v>
      </c>
      <c r="I5132" s="3">
        <f>Vendas[[#This Row],[Valor Unitário]]*Vendas[[#This Row],[Qnt Vendida]]</f>
        <v>1209</v>
      </c>
      <c r="J5132" s="3">
        <f>Vendas[[#This Row],[Valor da Venda]]-(_xlfn.XLOOKUP(Vendas[[#This Row],[ID Item Vendido]],Agregado[ID],Agregado[Custo])*Vendas[[#This Row],[Qnt Vendida]])</f>
        <v>217</v>
      </c>
      <c r="K5132" s="70">
        <f>Vendas[[#This Row],[Lucro da Venda]]/Vendas[[#This Row],[Valor da Venda]]</f>
        <v>0.17948717948717949</v>
      </c>
      <c r="L5132" s="3">
        <f>_xlfn.IFS(Vendas[[#This Row],[Margem de Lucro (%)]]&lt;15%,Vendas[[#This Row],[Valor da Venda]]*3%,Vendas[[#This Row],[Margem de Lucro (%)]]&lt;=20%,Vendas[[#This Row],[Valor da Venda]]*4.5%,TRUE,Vendas[[#This Row],[Valor da Venda]]*6%)</f>
        <v>54.405000000000001</v>
      </c>
      <c r="M5132"/>
    </row>
    <row r="5133" spans="1:13" x14ac:dyDescent="0.3">
      <c r="A5133" s="7">
        <v>400254</v>
      </c>
      <c r="B5133" t="str">
        <f>_xlfn.XLOOKUP(Vendas[[#This Row],[ID Vendedor]],Vendedores[ID],Vendedores[Nome])</f>
        <v>Beatriz</v>
      </c>
      <c r="C5133" s="7" t="str">
        <f>_xlfn.XLOOKUP(Vendas[[#This Row],[ID Vendedor]],Vendedores[ID],Vendedores[Setor])</f>
        <v>SC</v>
      </c>
      <c r="D5133" s="7" t="s">
        <v>25</v>
      </c>
      <c r="E5133" t="str">
        <f>_xlfn.XLOOKUP(Vendas[[#This Row],[ID Item Vendido]],Agregado[ID],Agregado[Produto])</f>
        <v>Palete de plástico</v>
      </c>
      <c r="F5133" s="39">
        <v>45980</v>
      </c>
      <c r="G5133" s="7">
        <v>11</v>
      </c>
      <c r="H5133" s="3">
        <f>_xlfn.XLOOKUP(Vendas[[#This Row],[ID Item Vendido]],Agregado[ID],Agregado[Revenda])</f>
        <v>70.8</v>
      </c>
      <c r="I5133" s="3">
        <f>Vendas[[#This Row],[Valor Unitário]]*Vendas[[#This Row],[Qnt Vendida]]</f>
        <v>778.8</v>
      </c>
      <c r="J5133" s="3">
        <f>Vendas[[#This Row],[Valor da Venda]]-(_xlfn.XLOOKUP(Vendas[[#This Row],[ID Item Vendido]],Agregado[ID],Agregado[Custo])*Vendas[[#This Row],[Qnt Vendida]])</f>
        <v>118.79999999999995</v>
      </c>
      <c r="K5133" s="70">
        <f>Vendas[[#This Row],[Lucro da Venda]]/Vendas[[#This Row],[Valor da Venda]]</f>
        <v>0.15254237288135589</v>
      </c>
      <c r="L5133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5133"/>
    </row>
    <row r="5134" spans="1:13" x14ac:dyDescent="0.3">
      <c r="A5134" s="7">
        <v>400248</v>
      </c>
      <c r="B5134" t="str">
        <f>_xlfn.XLOOKUP(Vendas[[#This Row],[ID Vendedor]],Vendedores[ID],Vendedores[Nome])</f>
        <v>Patrícia</v>
      </c>
      <c r="C5134" s="7" t="str">
        <f>_xlfn.XLOOKUP(Vendas[[#This Row],[ID Vendedor]],Vendedores[ID],Vendedores[Setor])</f>
        <v>CM</v>
      </c>
      <c r="D5134" s="7" t="s">
        <v>34</v>
      </c>
      <c r="E5134" t="str">
        <f>_xlfn.XLOOKUP(Vendas[[#This Row],[ID Item Vendido]],Agregado[ID],Agregado[Produto])</f>
        <v>Restos de madeira p/ MDP/OSB saco de 20kg</v>
      </c>
      <c r="F5134" s="39">
        <v>45980</v>
      </c>
      <c r="G5134" s="7">
        <v>4</v>
      </c>
      <c r="H5134" s="3">
        <f>_xlfn.XLOOKUP(Vendas[[#This Row],[ID Item Vendido]],Agregado[ID],Agregado[Revenda])</f>
        <v>13.8</v>
      </c>
      <c r="I5134" s="3">
        <f>Vendas[[#This Row],[Valor Unitário]]*Vendas[[#This Row],[Qnt Vendida]]</f>
        <v>55.2</v>
      </c>
      <c r="J5134" s="3">
        <f>Vendas[[#This Row],[Valor da Venda]]-(_xlfn.XLOOKUP(Vendas[[#This Row],[ID Item Vendido]],Agregado[ID],Agregado[Custo])*Vendas[[#This Row],[Qnt Vendida]])</f>
        <v>7.2000000000000028</v>
      </c>
      <c r="K5134" s="70">
        <f>Vendas[[#This Row],[Lucro da Venda]]/Vendas[[#This Row],[Valor da Venda]]</f>
        <v>0.1304347826086957</v>
      </c>
      <c r="L5134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5134"/>
    </row>
    <row r="5135" spans="1:13" x14ac:dyDescent="0.3">
      <c r="A5135" s="7">
        <v>400253</v>
      </c>
      <c r="B5135" t="str">
        <f>_xlfn.XLOOKUP(Vendas[[#This Row],[ID Vendedor]],Vendedores[ID],Vendedores[Nome])</f>
        <v>Gustavo</v>
      </c>
      <c r="C5135" s="7" t="str">
        <f>_xlfn.XLOOKUP(Vendas[[#This Row],[ID Vendedor]],Vendedores[ID],Vendedores[Setor])</f>
        <v>SC</v>
      </c>
      <c r="D5135" s="7" t="s">
        <v>42</v>
      </c>
      <c r="E5135" t="str">
        <f>_xlfn.XLOOKUP(Vendas[[#This Row],[ID Item Vendido]],Agregado[ID],Agregado[Produto])</f>
        <v>Container de ferro industrial</v>
      </c>
      <c r="F5135" s="39">
        <v>45981</v>
      </c>
      <c r="G5135" s="7">
        <v>4</v>
      </c>
      <c r="H5135" s="3">
        <f>_xlfn.XLOOKUP(Vendas[[#This Row],[ID Item Vendido]],Agregado[ID],Agregado[Revenda])</f>
        <v>830</v>
      </c>
      <c r="I5135" s="3">
        <f>Vendas[[#This Row],[Valor Unitário]]*Vendas[[#This Row],[Qnt Vendida]]</f>
        <v>3320</v>
      </c>
      <c r="J5135" s="3">
        <f>Vendas[[#This Row],[Valor da Venda]]-(_xlfn.XLOOKUP(Vendas[[#This Row],[ID Item Vendido]],Agregado[ID],Agregado[Custo])*Vendas[[#This Row],[Qnt Vendida]])</f>
        <v>600</v>
      </c>
      <c r="K5135" s="70">
        <f>Vendas[[#This Row],[Lucro da Venda]]/Vendas[[#This Row],[Valor da Venda]]</f>
        <v>0.18072289156626506</v>
      </c>
      <c r="L5135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135"/>
    </row>
    <row r="5136" spans="1:13" x14ac:dyDescent="0.3">
      <c r="A5136" s="7">
        <v>400244</v>
      </c>
      <c r="B5136" t="str">
        <f>_xlfn.XLOOKUP(Vendas[[#This Row],[ID Vendedor]],Vendedores[ID],Vendedores[Nome])</f>
        <v>Camila</v>
      </c>
      <c r="C5136" s="7" t="str">
        <f>_xlfn.XLOOKUP(Vendas[[#This Row],[ID Vendedor]],Vendedores[ID],Vendedores[Setor])</f>
        <v>AHD</v>
      </c>
      <c r="D5136" s="7" t="s">
        <v>30</v>
      </c>
      <c r="E5136" t="str">
        <f>_xlfn.XLOOKUP(Vendas[[#This Row],[ID Item Vendido]],Agregado[ID],Agregado[Produto])</f>
        <v>Estrutura metálica soldada</v>
      </c>
      <c r="F5136" s="39">
        <v>45981</v>
      </c>
      <c r="G5136" s="7">
        <v>2</v>
      </c>
      <c r="H5136" s="3">
        <f>_xlfn.XLOOKUP(Vendas[[#This Row],[ID Item Vendido]],Agregado[ID],Agregado[Revenda])</f>
        <v>400</v>
      </c>
      <c r="I5136" s="3">
        <f>Vendas[[#This Row],[Valor Unitário]]*Vendas[[#This Row],[Qnt Vendida]]</f>
        <v>800</v>
      </c>
      <c r="J5136" s="3">
        <f>Vendas[[#This Row],[Valor da Venda]]-(_xlfn.XLOOKUP(Vendas[[#This Row],[ID Item Vendido]],Agregado[ID],Agregado[Custo])*Vendas[[#This Row],[Qnt Vendida]])</f>
        <v>160</v>
      </c>
      <c r="K5136" s="70">
        <f>Vendas[[#This Row],[Lucro da Venda]]/Vendas[[#This Row],[Valor da Venda]]</f>
        <v>0.2</v>
      </c>
      <c r="L5136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5136"/>
    </row>
    <row r="5137" spans="1:13" x14ac:dyDescent="0.3">
      <c r="A5137" s="7">
        <v>400254</v>
      </c>
      <c r="B5137" t="str">
        <f>_xlfn.XLOOKUP(Vendas[[#This Row],[ID Vendedor]],Vendedores[ID],Vendedores[Nome])</f>
        <v>Beatriz</v>
      </c>
      <c r="C5137" s="7" t="str">
        <f>_xlfn.XLOOKUP(Vendas[[#This Row],[ID Vendedor]],Vendedores[ID],Vendedores[Setor])</f>
        <v>SC</v>
      </c>
      <c r="D5137" s="7" t="s">
        <v>14</v>
      </c>
      <c r="E5137" t="str">
        <f>_xlfn.XLOOKUP(Vendas[[#This Row],[ID Item Vendido]],Agregado[ID],Agregado[Produto])</f>
        <v>Barril de plástico 200L</v>
      </c>
      <c r="F5137" s="39">
        <v>45982</v>
      </c>
      <c r="G5137" s="7">
        <v>17</v>
      </c>
      <c r="H5137" s="3">
        <f>_xlfn.XLOOKUP(Vendas[[#This Row],[ID Item Vendido]],Agregado[ID],Agregado[Revenda])</f>
        <v>114</v>
      </c>
      <c r="I5137" s="3">
        <f>Vendas[[#This Row],[Valor Unitário]]*Vendas[[#This Row],[Qnt Vendida]]</f>
        <v>1938</v>
      </c>
      <c r="J5137" s="3">
        <f>Vendas[[#This Row],[Valor da Venda]]-(_xlfn.XLOOKUP(Vendas[[#This Row],[ID Item Vendido]],Agregado[ID],Agregado[Custo])*Vendas[[#This Row],[Qnt Vendida]])</f>
        <v>323</v>
      </c>
      <c r="K5137" s="70">
        <f>Vendas[[#This Row],[Lucro da Venda]]/Vendas[[#This Row],[Valor da Venda]]</f>
        <v>0.16666666666666666</v>
      </c>
      <c r="L5137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5137"/>
    </row>
    <row r="5138" spans="1:13" x14ac:dyDescent="0.3">
      <c r="A5138" s="7">
        <v>400253</v>
      </c>
      <c r="B5138" t="str">
        <f>_xlfn.XLOOKUP(Vendas[[#This Row],[ID Vendedor]],Vendedores[ID],Vendedores[Nome])</f>
        <v>Gustavo</v>
      </c>
      <c r="C5138" s="7" t="str">
        <f>_xlfn.XLOOKUP(Vendas[[#This Row],[ID Vendedor]],Vendedores[ID],Vendedores[Setor])</f>
        <v>SC</v>
      </c>
      <c r="D5138" s="7" t="s">
        <v>48</v>
      </c>
      <c r="E5138" t="str">
        <f>_xlfn.XLOOKUP(Vendas[[#This Row],[ID Item Vendido]],Agregado[ID],Agregado[Produto])</f>
        <v>Tambor metálico 200L</v>
      </c>
      <c r="F5138" s="39">
        <v>45982</v>
      </c>
      <c r="G5138" s="7">
        <v>13</v>
      </c>
      <c r="H5138" s="3">
        <f>_xlfn.XLOOKUP(Vendas[[#This Row],[ID Item Vendido]],Agregado[ID],Agregado[Revenda])</f>
        <v>144</v>
      </c>
      <c r="I5138" s="3">
        <f>Vendas[[#This Row],[Valor Unitário]]*Vendas[[#This Row],[Qnt Vendida]]</f>
        <v>1872</v>
      </c>
      <c r="J5138" s="3">
        <f>Vendas[[#This Row],[Valor da Venda]]-(_xlfn.XLOOKUP(Vendas[[#This Row],[ID Item Vendido]],Agregado[ID],Agregado[Custo])*Vendas[[#This Row],[Qnt Vendida]])</f>
        <v>312</v>
      </c>
      <c r="K5138" s="70">
        <f>Vendas[[#This Row],[Lucro da Venda]]/Vendas[[#This Row],[Valor da Venda]]</f>
        <v>0.16666666666666666</v>
      </c>
      <c r="L5138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5138"/>
    </row>
    <row r="5139" spans="1:13" x14ac:dyDescent="0.3">
      <c r="A5139" s="7">
        <v>400253</v>
      </c>
      <c r="B5139" t="str">
        <f>_xlfn.XLOOKUP(Vendas[[#This Row],[ID Vendedor]],Vendedores[ID],Vendedores[Nome])</f>
        <v>Gustavo</v>
      </c>
      <c r="C5139" s="7" t="str">
        <f>_xlfn.XLOOKUP(Vendas[[#This Row],[ID Vendedor]],Vendedores[ID],Vendedores[Setor])</f>
        <v>SC</v>
      </c>
      <c r="D5139" s="7" t="s">
        <v>14</v>
      </c>
      <c r="E5139" t="str">
        <f>_xlfn.XLOOKUP(Vendas[[#This Row],[ID Item Vendido]],Agregado[ID],Agregado[Produto])</f>
        <v>Barril de plástico 200L</v>
      </c>
      <c r="F5139" s="39">
        <v>45982</v>
      </c>
      <c r="G5139" s="7">
        <v>16</v>
      </c>
      <c r="H5139" s="3">
        <f>_xlfn.XLOOKUP(Vendas[[#This Row],[ID Item Vendido]],Agregado[ID],Agregado[Revenda])</f>
        <v>114</v>
      </c>
      <c r="I5139" s="3">
        <f>Vendas[[#This Row],[Valor Unitário]]*Vendas[[#This Row],[Qnt Vendida]]</f>
        <v>1824</v>
      </c>
      <c r="J5139" s="3">
        <f>Vendas[[#This Row],[Valor da Venda]]-(_xlfn.XLOOKUP(Vendas[[#This Row],[ID Item Vendido]],Agregado[ID],Agregado[Custo])*Vendas[[#This Row],[Qnt Vendida]])</f>
        <v>304</v>
      </c>
      <c r="K5139" s="70">
        <f>Vendas[[#This Row],[Lucro da Venda]]/Vendas[[#This Row],[Valor da Venda]]</f>
        <v>0.16666666666666666</v>
      </c>
      <c r="L5139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5139"/>
    </row>
    <row r="5140" spans="1:13" x14ac:dyDescent="0.3">
      <c r="A5140" s="7">
        <v>400252</v>
      </c>
      <c r="B5140" t="str">
        <f>_xlfn.XLOOKUP(Vendas[[#This Row],[ID Vendedor]],Vendedores[ID],Vendedores[Nome])</f>
        <v>Renata</v>
      </c>
      <c r="C5140" s="7" t="str">
        <f>_xlfn.XLOOKUP(Vendas[[#This Row],[ID Vendedor]],Vendedores[ID],Vendedores[Setor])</f>
        <v>AB</v>
      </c>
      <c r="D5140" s="7" t="s">
        <v>37</v>
      </c>
      <c r="E5140" t="str">
        <f>_xlfn.XLOOKUP(Vendas[[#This Row],[ID Item Vendido]],Agregado[ID],Agregado[Produto])</f>
        <v>Composto de borracha para vedação rolo 10m</v>
      </c>
      <c r="F5140" s="39">
        <v>45982</v>
      </c>
      <c r="G5140" s="7">
        <v>20</v>
      </c>
      <c r="H5140" s="3">
        <f>_xlfn.XLOOKUP(Vendas[[#This Row],[ID Item Vendido]],Agregado[ID],Agregado[Revenda])</f>
        <v>51.2</v>
      </c>
      <c r="I5140" s="3">
        <f>Vendas[[#This Row],[Valor Unitário]]*Vendas[[#This Row],[Qnt Vendida]]</f>
        <v>1024</v>
      </c>
      <c r="J5140" s="3">
        <f>Vendas[[#This Row],[Valor da Venda]]-(_xlfn.XLOOKUP(Vendas[[#This Row],[ID Item Vendido]],Agregado[ID],Agregado[Custo])*Vendas[[#This Row],[Qnt Vendida]])</f>
        <v>224</v>
      </c>
      <c r="K5140" s="70">
        <f>Vendas[[#This Row],[Lucro da Venda]]/Vendas[[#This Row],[Valor da Venda]]</f>
        <v>0.21875</v>
      </c>
      <c r="L5140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5140"/>
    </row>
    <row r="5141" spans="1:13" x14ac:dyDescent="0.3">
      <c r="A5141" s="7">
        <v>400250</v>
      </c>
      <c r="B5141" t="str">
        <f>_xlfn.XLOOKUP(Vendas[[#This Row],[ID Vendedor]],Vendedores[ID],Vendedores[Nome])</f>
        <v>Larissa</v>
      </c>
      <c r="C5141" s="7" t="str">
        <f>_xlfn.XLOOKUP(Vendas[[#This Row],[ID Vendedor]],Vendedores[ID],Vendedores[Setor])</f>
        <v>AB</v>
      </c>
      <c r="D5141" s="7" t="s">
        <v>24</v>
      </c>
      <c r="E5141" t="str">
        <f>_xlfn.XLOOKUP(Vendas[[#This Row],[ID Item Vendido]],Agregado[ID],Agregado[Produto])</f>
        <v>Resina plástica PET purificada saco de 25kg</v>
      </c>
      <c r="F5141" s="39">
        <v>45983</v>
      </c>
      <c r="G5141" s="7">
        <v>15</v>
      </c>
      <c r="H5141" s="3">
        <f>_xlfn.XLOOKUP(Vendas[[#This Row],[ID Item Vendido]],Agregado[ID],Agregado[Revenda])</f>
        <v>119</v>
      </c>
      <c r="I5141" s="3">
        <f>Vendas[[#This Row],[Valor Unitário]]*Vendas[[#This Row],[Qnt Vendida]]</f>
        <v>1785</v>
      </c>
      <c r="J5141" s="3">
        <f>Vendas[[#This Row],[Valor da Venda]]-(_xlfn.XLOOKUP(Vendas[[#This Row],[ID Item Vendido]],Agregado[ID],Agregado[Custo])*Vendas[[#This Row],[Qnt Vendida]])</f>
        <v>510</v>
      </c>
      <c r="K5141" s="70">
        <f>Vendas[[#This Row],[Lucro da Venda]]/Vendas[[#This Row],[Valor da Venda]]</f>
        <v>0.2857142857142857</v>
      </c>
      <c r="L5141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5141"/>
    </row>
    <row r="5142" spans="1:13" x14ac:dyDescent="0.3">
      <c r="A5142" s="7">
        <v>400254</v>
      </c>
      <c r="B5142" t="str">
        <f>_xlfn.XLOOKUP(Vendas[[#This Row],[ID Vendedor]],Vendedores[ID],Vendedores[Nome])</f>
        <v>Beatriz</v>
      </c>
      <c r="C5142" s="7" t="str">
        <f>_xlfn.XLOOKUP(Vendas[[#This Row],[ID Vendedor]],Vendedores[ID],Vendedores[Setor])</f>
        <v>SC</v>
      </c>
      <c r="D5142" s="7" t="s">
        <v>48</v>
      </c>
      <c r="E5142" t="str">
        <f>_xlfn.XLOOKUP(Vendas[[#This Row],[ID Item Vendido]],Agregado[ID],Agregado[Produto])</f>
        <v>Tambor metálico 200L</v>
      </c>
      <c r="F5142" s="39">
        <v>45983</v>
      </c>
      <c r="G5142" s="7">
        <v>12</v>
      </c>
      <c r="H5142" s="3">
        <f>_xlfn.XLOOKUP(Vendas[[#This Row],[ID Item Vendido]],Agregado[ID],Agregado[Revenda])</f>
        <v>144</v>
      </c>
      <c r="I5142" s="3">
        <f>Vendas[[#This Row],[Valor Unitário]]*Vendas[[#This Row],[Qnt Vendida]]</f>
        <v>1728</v>
      </c>
      <c r="J5142" s="3">
        <f>Vendas[[#This Row],[Valor da Venda]]-(_xlfn.XLOOKUP(Vendas[[#This Row],[ID Item Vendido]],Agregado[ID],Agregado[Custo])*Vendas[[#This Row],[Qnt Vendida]])</f>
        <v>288</v>
      </c>
      <c r="K5142" s="70">
        <f>Vendas[[#This Row],[Lucro da Venda]]/Vendas[[#This Row],[Valor da Venda]]</f>
        <v>0.16666666666666666</v>
      </c>
      <c r="L5142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142"/>
    </row>
    <row r="5143" spans="1:13" x14ac:dyDescent="0.3">
      <c r="A5143" s="7">
        <v>400250</v>
      </c>
      <c r="B5143" t="str">
        <f>_xlfn.XLOOKUP(Vendas[[#This Row],[ID Vendedor]],Vendedores[ID],Vendedores[Nome])</f>
        <v>Larissa</v>
      </c>
      <c r="C5143" s="7" t="str">
        <f>_xlfn.XLOOKUP(Vendas[[#This Row],[ID Vendedor]],Vendedores[ID],Vendedores[Setor])</f>
        <v>AB</v>
      </c>
      <c r="D5143" s="7" t="s">
        <v>37</v>
      </c>
      <c r="E5143" t="str">
        <f>_xlfn.XLOOKUP(Vendas[[#This Row],[ID Item Vendido]],Agregado[ID],Agregado[Produto])</f>
        <v>Composto de borracha para vedação rolo 10m</v>
      </c>
      <c r="F5143" s="39">
        <v>45983</v>
      </c>
      <c r="G5143" s="7">
        <v>24</v>
      </c>
      <c r="H5143" s="3">
        <f>_xlfn.XLOOKUP(Vendas[[#This Row],[ID Item Vendido]],Agregado[ID],Agregado[Revenda])</f>
        <v>51.2</v>
      </c>
      <c r="I5143" s="3">
        <f>Vendas[[#This Row],[Valor Unitário]]*Vendas[[#This Row],[Qnt Vendida]]</f>
        <v>1228.8000000000002</v>
      </c>
      <c r="J5143" s="3">
        <f>Vendas[[#This Row],[Valor da Venda]]-(_xlfn.XLOOKUP(Vendas[[#This Row],[ID Item Vendido]],Agregado[ID],Agregado[Custo])*Vendas[[#This Row],[Qnt Vendida]])</f>
        <v>268.80000000000018</v>
      </c>
      <c r="K5143" s="70">
        <f>Vendas[[#This Row],[Lucro da Venda]]/Vendas[[#This Row],[Valor da Venda]]</f>
        <v>0.21875000000000011</v>
      </c>
      <c r="L5143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5143"/>
    </row>
    <row r="5144" spans="1:13" x14ac:dyDescent="0.3">
      <c r="A5144" s="7">
        <v>400241</v>
      </c>
      <c r="B5144" t="str">
        <f>_xlfn.XLOOKUP(Vendas[[#This Row],[ID Vendedor]],Vendedores[ID],Vendedores[Nome])</f>
        <v>Rodrigo</v>
      </c>
      <c r="C5144" s="7" t="str">
        <f>_xlfn.XLOOKUP(Vendas[[#This Row],[ID Vendedor]],Vendedores[ID],Vendedores[Setor])</f>
        <v>FM</v>
      </c>
      <c r="D5144" s="7" t="s">
        <v>31</v>
      </c>
      <c r="E5144" t="str">
        <f>_xlfn.XLOOKUP(Vendas[[#This Row],[ID Item Vendido]],Agregado[ID],Agregado[Produto])</f>
        <v>Tela de metal soldada rolo 2x25m</v>
      </c>
      <c r="F5144" s="39">
        <v>45983</v>
      </c>
      <c r="G5144" s="7">
        <v>19</v>
      </c>
      <c r="H5144" s="3">
        <f>_xlfn.XLOOKUP(Vendas[[#This Row],[ID Item Vendido]],Agregado[ID],Agregado[Revenda])</f>
        <v>43.7</v>
      </c>
      <c r="I5144" s="3">
        <f>Vendas[[#This Row],[Valor Unitário]]*Vendas[[#This Row],[Qnt Vendida]]</f>
        <v>830.30000000000007</v>
      </c>
      <c r="J5144" s="3">
        <f>Vendas[[#This Row],[Valor da Venda]]-(_xlfn.XLOOKUP(Vendas[[#This Row],[ID Item Vendido]],Agregado[ID],Agregado[Custo])*Vendas[[#This Row],[Qnt Vendida]])</f>
        <v>108.30000000000007</v>
      </c>
      <c r="K5144" s="70">
        <f>Vendas[[#This Row],[Lucro da Venda]]/Vendas[[#This Row],[Valor da Venda]]</f>
        <v>0.13043478260869573</v>
      </c>
      <c r="L5144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5144"/>
    </row>
    <row r="5145" spans="1:13" x14ac:dyDescent="0.3">
      <c r="A5145" s="7">
        <v>400246</v>
      </c>
      <c r="B5145" t="str">
        <f>_xlfn.XLOOKUP(Vendas[[#This Row],[ID Vendedor]],Vendedores[ID],Vendedores[Nome])</f>
        <v>Juliana</v>
      </c>
      <c r="C5145" s="7" t="str">
        <f>_xlfn.XLOOKUP(Vendas[[#This Row],[ID Vendedor]],Vendedores[ID],Vendedores[Setor])</f>
        <v>AHD</v>
      </c>
      <c r="D5145" s="7" t="s">
        <v>18</v>
      </c>
      <c r="E5145" t="str">
        <f>_xlfn.XLOOKUP(Vendas[[#This Row],[ID Item Vendido]],Agregado[ID],Agregado[Produto])</f>
        <v>Peça forjada sob encomenda</v>
      </c>
      <c r="F5145" s="39">
        <v>45983</v>
      </c>
      <c r="G5145" s="7">
        <v>1</v>
      </c>
      <c r="H5145" s="3">
        <f>_xlfn.XLOOKUP(Vendas[[#This Row],[ID Item Vendido]],Agregado[ID],Agregado[Revenda])</f>
        <v>264.60000000000002</v>
      </c>
      <c r="I5145" s="3">
        <f>Vendas[[#This Row],[Valor Unitário]]*Vendas[[#This Row],[Qnt Vendida]]</f>
        <v>264.60000000000002</v>
      </c>
      <c r="J5145" s="3">
        <f>Vendas[[#This Row],[Valor da Venda]]-(_xlfn.XLOOKUP(Vendas[[#This Row],[ID Item Vendido]],Agregado[ID],Agregado[Custo])*Vendas[[#This Row],[Qnt Vendida]])</f>
        <v>14.600000000000023</v>
      </c>
      <c r="K5145" s="70">
        <f>Vendas[[#This Row],[Lucro da Venda]]/Vendas[[#This Row],[Valor da Venda]]</f>
        <v>5.5177626606198113E-2</v>
      </c>
      <c r="L5145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145"/>
    </row>
    <row r="5146" spans="1:13" x14ac:dyDescent="0.3">
      <c r="A5146" s="7">
        <v>400241</v>
      </c>
      <c r="B5146" t="str">
        <f>_xlfn.XLOOKUP(Vendas[[#This Row],[ID Vendedor]],Vendedores[ID],Vendedores[Nome])</f>
        <v>Rodrigo</v>
      </c>
      <c r="C5146" s="7" t="str">
        <f>_xlfn.XLOOKUP(Vendas[[#This Row],[ID Vendedor]],Vendedores[ID],Vendedores[Setor])</f>
        <v>FM</v>
      </c>
      <c r="D5146" s="7" t="s">
        <v>47</v>
      </c>
      <c r="E5146" t="str">
        <f>_xlfn.XLOOKUP(Vendas[[#This Row],[ID Item Vendido]],Agregado[ID],Agregado[Produto])</f>
        <v>Fio de arame galvanizado rolo 50m</v>
      </c>
      <c r="F5146" s="39">
        <v>45983</v>
      </c>
      <c r="G5146" s="7">
        <v>13</v>
      </c>
      <c r="H5146" s="3">
        <f>_xlfn.XLOOKUP(Vendas[[#This Row],[ID Item Vendido]],Agregado[ID],Agregado[Revenda])</f>
        <v>21.2</v>
      </c>
      <c r="I5146" s="3">
        <f>Vendas[[#This Row],[Valor Unitário]]*Vendas[[#This Row],[Qnt Vendida]]</f>
        <v>275.59999999999997</v>
      </c>
      <c r="J5146" s="3">
        <f>Vendas[[#This Row],[Valor da Venda]]-(_xlfn.XLOOKUP(Vendas[[#This Row],[ID Item Vendido]],Agregado[ID],Agregado[Custo])*Vendas[[#This Row],[Qnt Vendida]])</f>
        <v>41.599999999999966</v>
      </c>
      <c r="K5146" s="70">
        <f>Vendas[[#This Row],[Lucro da Venda]]/Vendas[[#This Row],[Valor da Venda]]</f>
        <v>0.15094339622641498</v>
      </c>
      <c r="L5146" s="3">
        <f>_xlfn.IFS(Vendas[[#This Row],[Margem de Lucro (%)]]&lt;15%,Vendas[[#This Row],[Valor da Venda]]*3%,Vendas[[#This Row],[Margem de Lucro (%)]]&lt;=20%,Vendas[[#This Row],[Valor da Venda]]*4.5%,TRUE,Vendas[[#This Row],[Valor da Venda]]*6%)</f>
        <v>12.401999999999997</v>
      </c>
      <c r="M5146"/>
    </row>
    <row r="5147" spans="1:13" x14ac:dyDescent="0.3">
      <c r="A5147" s="7">
        <v>400252</v>
      </c>
      <c r="B5147" t="str">
        <f>_xlfn.XLOOKUP(Vendas[[#This Row],[ID Vendedor]],Vendedores[ID],Vendedores[Nome])</f>
        <v>Renata</v>
      </c>
      <c r="C5147" s="7" t="str">
        <f>_xlfn.XLOOKUP(Vendas[[#This Row],[ID Vendedor]],Vendedores[ID],Vendedores[Setor])</f>
        <v>AB</v>
      </c>
      <c r="D5147" s="7" t="s">
        <v>12</v>
      </c>
      <c r="E5147" t="str">
        <f>_xlfn.XLOOKUP(Vendas[[#This Row],[ID Item Vendido]],Agregado[ID],Agregado[Produto])</f>
        <v>Grânulo de plástico reciclado refinado</v>
      </c>
      <c r="F5147" s="39">
        <v>45983</v>
      </c>
      <c r="G5147" s="7">
        <v>23</v>
      </c>
      <c r="H5147" s="3">
        <f>_xlfn.XLOOKUP(Vendas[[#This Row],[ID Item Vendido]],Agregado[ID],Agregado[Revenda])</f>
        <v>4.7</v>
      </c>
      <c r="I5147" s="3">
        <f>Vendas[[#This Row],[Valor Unitário]]*Vendas[[#This Row],[Qnt Vendida]]</f>
        <v>108.10000000000001</v>
      </c>
      <c r="J5147" s="3">
        <f>Vendas[[#This Row],[Valor da Venda]]-(_xlfn.XLOOKUP(Vendas[[#This Row],[ID Item Vendido]],Agregado[ID],Agregado[Custo])*Vendas[[#This Row],[Qnt Vendida]])</f>
        <v>27.600000000000009</v>
      </c>
      <c r="K5147" s="70">
        <f>Vendas[[#This Row],[Lucro da Venda]]/Vendas[[#This Row],[Valor da Venda]]</f>
        <v>0.25531914893617025</v>
      </c>
      <c r="L5147" s="3">
        <f>_xlfn.IFS(Vendas[[#This Row],[Margem de Lucro (%)]]&lt;15%,Vendas[[#This Row],[Valor da Venda]]*3%,Vendas[[#This Row],[Margem de Lucro (%)]]&lt;=20%,Vendas[[#This Row],[Valor da Venda]]*4.5%,TRUE,Vendas[[#This Row],[Valor da Venda]]*6%)</f>
        <v>6.4860000000000007</v>
      </c>
      <c r="M5147"/>
    </row>
    <row r="5148" spans="1:13" x14ac:dyDescent="0.3">
      <c r="A5148" s="7">
        <v>400249</v>
      </c>
      <c r="B5148" t="str">
        <f>_xlfn.XLOOKUP(Vendas[[#This Row],[ID Vendedor]],Vendedores[ID],Vendedores[Nome])</f>
        <v>Bruno</v>
      </c>
      <c r="C5148" s="7" t="str">
        <f>_xlfn.XLOOKUP(Vendas[[#This Row],[ID Vendedor]],Vendedores[ID],Vendedores[Setor])</f>
        <v>CM</v>
      </c>
      <c r="D5148" s="7" t="s">
        <v>34</v>
      </c>
      <c r="E5148" t="str">
        <f>_xlfn.XLOOKUP(Vendas[[#This Row],[ID Item Vendido]],Agregado[ID],Agregado[Produto])</f>
        <v>Restos de madeira p/ MDP/OSB saco de 20kg</v>
      </c>
      <c r="F5148" s="39">
        <v>45983</v>
      </c>
      <c r="G5148" s="7">
        <v>2</v>
      </c>
      <c r="H5148" s="3">
        <f>_xlfn.XLOOKUP(Vendas[[#This Row],[ID Item Vendido]],Agregado[ID],Agregado[Revenda])</f>
        <v>13.8</v>
      </c>
      <c r="I5148" s="3">
        <f>Vendas[[#This Row],[Valor Unitário]]*Vendas[[#This Row],[Qnt Vendida]]</f>
        <v>27.6</v>
      </c>
      <c r="J5148" s="3">
        <f>Vendas[[#This Row],[Valor da Venda]]-(_xlfn.XLOOKUP(Vendas[[#This Row],[ID Item Vendido]],Agregado[ID],Agregado[Custo])*Vendas[[#This Row],[Qnt Vendida]])</f>
        <v>3.6000000000000014</v>
      </c>
      <c r="K5148" s="70">
        <f>Vendas[[#This Row],[Lucro da Venda]]/Vendas[[#This Row],[Valor da Venda]]</f>
        <v>0.1304347826086957</v>
      </c>
      <c r="L5148" s="3">
        <f>_xlfn.IFS(Vendas[[#This Row],[Margem de Lucro (%)]]&lt;15%,Vendas[[#This Row],[Valor da Venda]]*3%,Vendas[[#This Row],[Margem de Lucro (%)]]&lt;=20%,Vendas[[#This Row],[Valor da Venda]]*4.5%,TRUE,Vendas[[#This Row],[Valor da Venda]]*6%)</f>
        <v>0.82799999999999996</v>
      </c>
      <c r="M5148"/>
    </row>
    <row r="5149" spans="1:13" x14ac:dyDescent="0.3">
      <c r="A5149" s="7">
        <v>400247</v>
      </c>
      <c r="B5149" t="str">
        <f>_xlfn.XLOOKUP(Vendas[[#This Row],[ID Vendedor]],Vendedores[ID],Vendedores[Nome])</f>
        <v>André</v>
      </c>
      <c r="C5149" s="7" t="str">
        <f>_xlfn.XLOOKUP(Vendas[[#This Row],[ID Vendedor]],Vendedores[ID],Vendedores[Setor])</f>
        <v>CM</v>
      </c>
      <c r="D5149" s="7" t="s">
        <v>45</v>
      </c>
      <c r="E5149" t="str">
        <f>_xlfn.XLOOKUP(Vendas[[#This Row],[ID Item Vendido]],Agregado[ID],Agregado[Produto])</f>
        <v>Viga de madeira tratada 4m</v>
      </c>
      <c r="F5149" s="39">
        <v>45984</v>
      </c>
      <c r="G5149" s="7">
        <v>20</v>
      </c>
      <c r="H5149" s="3">
        <f>_xlfn.XLOOKUP(Vendas[[#This Row],[ID Item Vendido]],Agregado[ID],Agregado[Revenda])</f>
        <v>66</v>
      </c>
      <c r="I5149" s="3">
        <f>Vendas[[#This Row],[Valor Unitário]]*Vendas[[#This Row],[Qnt Vendida]]</f>
        <v>1320</v>
      </c>
      <c r="J5149" s="3">
        <f>Vendas[[#This Row],[Valor da Venda]]-(_xlfn.XLOOKUP(Vendas[[#This Row],[ID Item Vendido]],Agregado[ID],Agregado[Custo])*Vendas[[#This Row],[Qnt Vendida]])</f>
        <v>220</v>
      </c>
      <c r="K5149" s="70">
        <f>Vendas[[#This Row],[Lucro da Venda]]/Vendas[[#This Row],[Valor da Venda]]</f>
        <v>0.16666666666666666</v>
      </c>
      <c r="L5149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5149"/>
    </row>
    <row r="5150" spans="1:13" x14ac:dyDescent="0.3">
      <c r="A5150" s="7">
        <v>400253</v>
      </c>
      <c r="B5150" t="str">
        <f>_xlfn.XLOOKUP(Vendas[[#This Row],[ID Vendedor]],Vendedores[ID],Vendedores[Nome])</f>
        <v>Gustavo</v>
      </c>
      <c r="C5150" s="7" t="str">
        <f>_xlfn.XLOOKUP(Vendas[[#This Row],[ID Vendedor]],Vendedores[ID],Vendedores[Setor])</f>
        <v>SC</v>
      </c>
      <c r="D5150" s="7" t="s">
        <v>14</v>
      </c>
      <c r="E5150" t="str">
        <f>_xlfn.XLOOKUP(Vendas[[#This Row],[ID Item Vendido]],Agregado[ID],Agregado[Produto])</f>
        <v>Barril de plástico 200L</v>
      </c>
      <c r="F5150" s="39">
        <v>45984</v>
      </c>
      <c r="G5150" s="7">
        <v>11</v>
      </c>
      <c r="H5150" s="3">
        <f>_xlfn.XLOOKUP(Vendas[[#This Row],[ID Item Vendido]],Agregado[ID],Agregado[Revenda])</f>
        <v>114</v>
      </c>
      <c r="I5150" s="3">
        <f>Vendas[[#This Row],[Valor Unitário]]*Vendas[[#This Row],[Qnt Vendida]]</f>
        <v>1254</v>
      </c>
      <c r="J5150" s="3">
        <f>Vendas[[#This Row],[Valor da Venda]]-(_xlfn.XLOOKUP(Vendas[[#This Row],[ID Item Vendido]],Agregado[ID],Agregado[Custo])*Vendas[[#This Row],[Qnt Vendida]])</f>
        <v>209</v>
      </c>
      <c r="K5150" s="70">
        <f>Vendas[[#This Row],[Lucro da Venda]]/Vendas[[#This Row],[Valor da Venda]]</f>
        <v>0.16666666666666666</v>
      </c>
      <c r="L5150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150"/>
    </row>
    <row r="5151" spans="1:13" x14ac:dyDescent="0.3">
      <c r="A5151" s="7">
        <v>400246</v>
      </c>
      <c r="B5151" t="str">
        <f>_xlfn.XLOOKUP(Vendas[[#This Row],[ID Vendedor]],Vendedores[ID],Vendedores[Nome])</f>
        <v>Juliana</v>
      </c>
      <c r="C5151" s="7" t="str">
        <f>_xlfn.XLOOKUP(Vendas[[#This Row],[ID Vendedor]],Vendedores[ID],Vendedores[Setor])</f>
        <v>AHD</v>
      </c>
      <c r="D5151" s="7" t="s">
        <v>9</v>
      </c>
      <c r="E5151" t="str">
        <f>_xlfn.XLOOKUP(Vendas[[#This Row],[ID Item Vendido]],Agregado[ID],Agregado[Produto])</f>
        <v>Barra de aço simples</v>
      </c>
      <c r="F5151" s="39">
        <v>45984</v>
      </c>
      <c r="G5151" s="7">
        <v>133</v>
      </c>
      <c r="H5151" s="3">
        <f>_xlfn.XLOOKUP(Vendas[[#This Row],[ID Item Vendido]],Agregado[ID],Agregado[Revenda])</f>
        <v>6.7</v>
      </c>
      <c r="I5151" s="3">
        <f>Vendas[[#This Row],[Valor Unitário]]*Vendas[[#This Row],[Qnt Vendida]]</f>
        <v>891.1</v>
      </c>
      <c r="J5151" s="3">
        <f>Vendas[[#This Row],[Valor da Venda]]-(_xlfn.XLOOKUP(Vendas[[#This Row],[ID Item Vendido]],Agregado[ID],Agregado[Custo])*Vendas[[#This Row],[Qnt Vendida]])</f>
        <v>119.70000000000005</v>
      </c>
      <c r="K5151" s="70">
        <f>Vendas[[#This Row],[Lucro da Venda]]/Vendas[[#This Row],[Valor da Venda]]</f>
        <v>0.13432835820895528</v>
      </c>
      <c r="L5151" s="3">
        <f>_xlfn.IFS(Vendas[[#This Row],[Margem de Lucro (%)]]&lt;15%,Vendas[[#This Row],[Valor da Venda]]*3%,Vendas[[#This Row],[Margem de Lucro (%)]]&lt;=20%,Vendas[[#This Row],[Valor da Venda]]*4.5%,TRUE,Vendas[[#This Row],[Valor da Venda]]*6%)</f>
        <v>26.733000000000001</v>
      </c>
      <c r="M5151"/>
    </row>
    <row r="5152" spans="1:13" x14ac:dyDescent="0.3">
      <c r="A5152" s="7">
        <v>400242</v>
      </c>
      <c r="B5152" t="str">
        <f>_xlfn.XLOOKUP(Vendas[[#This Row],[ID Vendedor]],Vendedores[ID],Vendedores[Nome])</f>
        <v>Fernanda</v>
      </c>
      <c r="C5152" s="7" t="str">
        <f>_xlfn.XLOOKUP(Vendas[[#This Row],[ID Vendedor]],Vendedores[ID],Vendedores[Setor])</f>
        <v>FM</v>
      </c>
      <c r="D5152" s="7" t="s">
        <v>27</v>
      </c>
      <c r="E5152" t="str">
        <f>_xlfn.XLOOKUP(Vendas[[#This Row],[ID Item Vendido]],Agregado[ID],Agregado[Produto])</f>
        <v>Chapa de metal lisa 1x2m</v>
      </c>
      <c r="F5152" s="39">
        <v>45985</v>
      </c>
      <c r="G5152" s="7">
        <v>20</v>
      </c>
      <c r="H5152" s="3">
        <f>_xlfn.XLOOKUP(Vendas[[#This Row],[ID Item Vendido]],Agregado[ID],Agregado[Revenda])</f>
        <v>52</v>
      </c>
      <c r="I5152" s="3">
        <f>Vendas[[#This Row],[Valor Unitário]]*Vendas[[#This Row],[Qnt Vendida]]</f>
        <v>1040</v>
      </c>
      <c r="J5152" s="3">
        <f>Vendas[[#This Row],[Valor da Venda]]-(_xlfn.XLOOKUP(Vendas[[#This Row],[ID Item Vendido]],Agregado[ID],Agregado[Custo])*Vendas[[#This Row],[Qnt Vendida]])</f>
        <v>140</v>
      </c>
      <c r="K5152" s="70">
        <f>Vendas[[#This Row],[Lucro da Venda]]/Vendas[[#This Row],[Valor da Venda]]</f>
        <v>0.13461538461538461</v>
      </c>
      <c r="L5152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5152"/>
    </row>
    <row r="5153" spans="1:13" x14ac:dyDescent="0.3">
      <c r="A5153" s="7">
        <v>400246</v>
      </c>
      <c r="B5153" t="str">
        <f>_xlfn.XLOOKUP(Vendas[[#This Row],[ID Vendedor]],Vendedores[ID],Vendedores[Nome])</f>
        <v>Juliana</v>
      </c>
      <c r="C5153" s="7" t="str">
        <f>_xlfn.XLOOKUP(Vendas[[#This Row],[ID Vendedor]],Vendedores[ID],Vendedores[Setor])</f>
        <v>AHD</v>
      </c>
      <c r="D5153" s="7" t="s">
        <v>44</v>
      </c>
      <c r="E5153" t="str">
        <f>_xlfn.XLOOKUP(Vendas[[#This Row],[ID Item Vendido]],Agregado[ID],Agregado[Produto])</f>
        <v>Liga metálica especial</v>
      </c>
      <c r="F5153" s="39">
        <v>45985</v>
      </c>
      <c r="G5153" s="7">
        <v>14</v>
      </c>
      <c r="H5153" s="3">
        <f>_xlfn.XLOOKUP(Vendas[[#This Row],[ID Item Vendido]],Agregado[ID],Agregado[Revenda])</f>
        <v>32.5</v>
      </c>
      <c r="I5153" s="3">
        <f>Vendas[[#This Row],[Valor Unitário]]*Vendas[[#This Row],[Qnt Vendida]]</f>
        <v>455</v>
      </c>
      <c r="J5153" s="3">
        <f>Vendas[[#This Row],[Valor da Venda]]-(_xlfn.XLOOKUP(Vendas[[#This Row],[ID Item Vendido]],Agregado[ID],Agregado[Custo])*Vendas[[#This Row],[Qnt Vendida]])</f>
        <v>105</v>
      </c>
      <c r="K5153" s="70">
        <f>Vendas[[#This Row],[Lucro da Venda]]/Vendas[[#This Row],[Valor da Venda]]</f>
        <v>0.23076923076923078</v>
      </c>
      <c r="L5153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5153"/>
    </row>
    <row r="5154" spans="1:13" x14ac:dyDescent="0.3">
      <c r="A5154" s="7">
        <v>400254</v>
      </c>
      <c r="B5154" t="str">
        <f>_xlfn.XLOOKUP(Vendas[[#This Row],[ID Vendedor]],Vendedores[ID],Vendedores[Nome])</f>
        <v>Beatriz</v>
      </c>
      <c r="C5154" s="7" t="str">
        <f>_xlfn.XLOOKUP(Vendas[[#This Row],[ID Vendedor]],Vendedores[ID],Vendedores[Setor])</f>
        <v>SC</v>
      </c>
      <c r="D5154" s="7" t="s">
        <v>48</v>
      </c>
      <c r="E5154" t="str">
        <f>_xlfn.XLOOKUP(Vendas[[#This Row],[ID Item Vendido]],Agregado[ID],Agregado[Produto])</f>
        <v>Tambor metálico 200L</v>
      </c>
      <c r="F5154" s="39">
        <v>45986</v>
      </c>
      <c r="G5154" s="7">
        <v>16</v>
      </c>
      <c r="H5154" s="3">
        <f>_xlfn.XLOOKUP(Vendas[[#This Row],[ID Item Vendido]],Agregado[ID],Agregado[Revenda])</f>
        <v>144</v>
      </c>
      <c r="I5154" s="3">
        <f>Vendas[[#This Row],[Valor Unitário]]*Vendas[[#This Row],[Qnt Vendida]]</f>
        <v>2304</v>
      </c>
      <c r="J5154" s="3">
        <f>Vendas[[#This Row],[Valor da Venda]]-(_xlfn.XLOOKUP(Vendas[[#This Row],[ID Item Vendido]],Agregado[ID],Agregado[Custo])*Vendas[[#This Row],[Qnt Vendida]])</f>
        <v>384</v>
      </c>
      <c r="K5154" s="70">
        <f>Vendas[[#This Row],[Lucro da Venda]]/Vendas[[#This Row],[Valor da Venda]]</f>
        <v>0.16666666666666666</v>
      </c>
      <c r="L5154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5154"/>
    </row>
    <row r="5155" spans="1:13" x14ac:dyDescent="0.3">
      <c r="A5155" s="7">
        <v>400245</v>
      </c>
      <c r="B5155" t="str">
        <f>_xlfn.XLOOKUP(Vendas[[#This Row],[ID Vendedor]],Vendedores[ID],Vendedores[Nome])</f>
        <v>Thiago</v>
      </c>
      <c r="C5155" s="7" t="str">
        <f>_xlfn.XLOOKUP(Vendas[[#This Row],[ID Vendedor]],Vendedores[ID],Vendedores[Setor])</f>
        <v>AHD</v>
      </c>
      <c r="D5155" s="7" t="s">
        <v>28</v>
      </c>
      <c r="E5155" t="str">
        <f>_xlfn.XLOOKUP(Vendas[[#This Row],[ID Item Vendido]],Agregado[ID],Agregado[Produto])</f>
        <v>Peça usinada CNC</v>
      </c>
      <c r="F5155" s="39">
        <v>45986</v>
      </c>
      <c r="G5155" s="7">
        <v>11</v>
      </c>
      <c r="H5155" s="3">
        <f>_xlfn.XLOOKUP(Vendas[[#This Row],[ID Item Vendido]],Agregado[ID],Agregado[Revenda])</f>
        <v>192</v>
      </c>
      <c r="I5155" s="3">
        <f>Vendas[[#This Row],[Valor Unitário]]*Vendas[[#This Row],[Qnt Vendida]]</f>
        <v>2112</v>
      </c>
      <c r="J5155" s="3">
        <f>Vendas[[#This Row],[Valor da Venda]]-(_xlfn.XLOOKUP(Vendas[[#This Row],[ID Item Vendido]],Agregado[ID],Agregado[Custo])*Vendas[[#This Row],[Qnt Vendida]])</f>
        <v>462</v>
      </c>
      <c r="K5155" s="70">
        <f>Vendas[[#This Row],[Lucro da Venda]]/Vendas[[#This Row],[Valor da Venda]]</f>
        <v>0.21875</v>
      </c>
      <c r="L5155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5155"/>
    </row>
    <row r="5156" spans="1:13" x14ac:dyDescent="0.3">
      <c r="A5156" s="7">
        <v>400250</v>
      </c>
      <c r="B5156" t="str">
        <f>_xlfn.XLOOKUP(Vendas[[#This Row],[ID Vendedor]],Vendedores[ID],Vendedores[Nome])</f>
        <v>Larissa</v>
      </c>
      <c r="C5156" s="7" t="str">
        <f>_xlfn.XLOOKUP(Vendas[[#This Row],[ID Vendedor]],Vendedores[ID],Vendedores[Setor])</f>
        <v>AB</v>
      </c>
      <c r="D5156" s="7" t="s">
        <v>36</v>
      </c>
      <c r="E5156" t="str">
        <f>_xlfn.XLOOKUP(Vendas[[#This Row],[ID Item Vendido]],Agregado[ID],Agregado[Produto])</f>
        <v>Borracha vulcanizada em manta</v>
      </c>
      <c r="F5156" s="39">
        <v>45986</v>
      </c>
      <c r="G5156" s="7">
        <v>81</v>
      </c>
      <c r="H5156" s="3">
        <f>_xlfn.XLOOKUP(Vendas[[#This Row],[ID Item Vendido]],Agregado[ID],Agregado[Revenda])</f>
        <v>7.8</v>
      </c>
      <c r="I5156" s="3">
        <f>Vendas[[#This Row],[Valor Unitário]]*Vendas[[#This Row],[Qnt Vendida]]</f>
        <v>631.79999999999995</v>
      </c>
      <c r="J5156" s="3">
        <f>Vendas[[#This Row],[Valor da Venda]]-(_xlfn.XLOOKUP(Vendas[[#This Row],[ID Item Vendido]],Agregado[ID],Agregado[Custo])*Vendas[[#This Row],[Qnt Vendida]])</f>
        <v>145.79999999999995</v>
      </c>
      <c r="K5156" s="70">
        <f>Vendas[[#This Row],[Lucro da Venda]]/Vendas[[#This Row],[Valor da Venda]]</f>
        <v>0.23076923076923073</v>
      </c>
      <c r="L5156" s="3">
        <f>_xlfn.IFS(Vendas[[#This Row],[Margem de Lucro (%)]]&lt;15%,Vendas[[#This Row],[Valor da Venda]]*3%,Vendas[[#This Row],[Margem de Lucro (%)]]&lt;=20%,Vendas[[#This Row],[Valor da Venda]]*4.5%,TRUE,Vendas[[#This Row],[Valor da Venda]]*6%)</f>
        <v>37.907999999999994</v>
      </c>
      <c r="M5156"/>
    </row>
    <row r="5157" spans="1:13" x14ac:dyDescent="0.3">
      <c r="A5157" s="7">
        <v>400246</v>
      </c>
      <c r="B5157" t="str">
        <f>_xlfn.XLOOKUP(Vendas[[#This Row],[ID Vendedor]],Vendedores[ID],Vendedores[Nome])</f>
        <v>Juliana</v>
      </c>
      <c r="C5157" s="7" t="str">
        <f>_xlfn.XLOOKUP(Vendas[[#This Row],[ID Vendedor]],Vendedores[ID],Vendedores[Setor])</f>
        <v>AHD</v>
      </c>
      <c r="D5157" s="7" t="s">
        <v>30</v>
      </c>
      <c r="E5157" t="str">
        <f>_xlfn.XLOOKUP(Vendas[[#This Row],[ID Item Vendido]],Agregado[ID],Agregado[Produto])</f>
        <v>Estrutura metálica soldada</v>
      </c>
      <c r="F5157" s="39">
        <v>45987</v>
      </c>
      <c r="G5157" s="7">
        <v>7</v>
      </c>
      <c r="H5157" s="3">
        <f>_xlfn.XLOOKUP(Vendas[[#This Row],[ID Item Vendido]],Agregado[ID],Agregado[Revenda])</f>
        <v>400</v>
      </c>
      <c r="I5157" s="3">
        <f>Vendas[[#This Row],[Valor Unitário]]*Vendas[[#This Row],[Qnt Vendida]]</f>
        <v>2800</v>
      </c>
      <c r="J5157" s="3">
        <f>Vendas[[#This Row],[Valor da Venda]]-(_xlfn.XLOOKUP(Vendas[[#This Row],[ID Item Vendido]],Agregado[ID],Agregado[Custo])*Vendas[[#This Row],[Qnt Vendida]])</f>
        <v>560</v>
      </c>
      <c r="K5157" s="70">
        <f>Vendas[[#This Row],[Lucro da Venda]]/Vendas[[#This Row],[Valor da Venda]]</f>
        <v>0.2</v>
      </c>
      <c r="L5157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157"/>
    </row>
    <row r="5158" spans="1:13" x14ac:dyDescent="0.3">
      <c r="A5158" s="7">
        <v>400244</v>
      </c>
      <c r="B5158" t="str">
        <f>_xlfn.XLOOKUP(Vendas[[#This Row],[ID Vendedor]],Vendedores[ID],Vendedores[Nome])</f>
        <v>Camila</v>
      </c>
      <c r="C5158" s="7" t="str">
        <f>_xlfn.XLOOKUP(Vendas[[#This Row],[ID Vendedor]],Vendedores[ID],Vendedores[Setor])</f>
        <v>AHD</v>
      </c>
      <c r="D5158" s="7" t="s">
        <v>30</v>
      </c>
      <c r="E5158" t="str">
        <f>_xlfn.XLOOKUP(Vendas[[#This Row],[ID Item Vendido]],Agregado[ID],Agregado[Produto])</f>
        <v>Estrutura metálica soldada</v>
      </c>
      <c r="F5158" s="39">
        <v>45988</v>
      </c>
      <c r="G5158" s="7">
        <v>8</v>
      </c>
      <c r="H5158" s="3">
        <f>_xlfn.XLOOKUP(Vendas[[#This Row],[ID Item Vendido]],Agregado[ID],Agregado[Revenda])</f>
        <v>400</v>
      </c>
      <c r="I5158" s="3">
        <f>Vendas[[#This Row],[Valor Unitário]]*Vendas[[#This Row],[Qnt Vendida]]</f>
        <v>3200</v>
      </c>
      <c r="J5158" s="3">
        <f>Vendas[[#This Row],[Valor da Venda]]-(_xlfn.XLOOKUP(Vendas[[#This Row],[ID Item Vendido]],Agregado[ID],Agregado[Custo])*Vendas[[#This Row],[Qnt Vendida]])</f>
        <v>640</v>
      </c>
      <c r="K5158" s="70">
        <f>Vendas[[#This Row],[Lucro da Venda]]/Vendas[[#This Row],[Valor da Venda]]</f>
        <v>0.2</v>
      </c>
      <c r="L5158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5158"/>
    </row>
    <row r="5159" spans="1:13" x14ac:dyDescent="0.3">
      <c r="A5159" s="7">
        <v>400250</v>
      </c>
      <c r="B5159" t="str">
        <f>_xlfn.XLOOKUP(Vendas[[#This Row],[ID Vendedor]],Vendedores[ID],Vendedores[Nome])</f>
        <v>Larissa</v>
      </c>
      <c r="C5159" s="7" t="str">
        <f>_xlfn.XLOOKUP(Vendas[[#This Row],[ID Vendedor]],Vendedores[ID],Vendedores[Setor])</f>
        <v>AB</v>
      </c>
      <c r="D5159" s="7" t="s">
        <v>39</v>
      </c>
      <c r="E5159" t="str">
        <f>_xlfn.XLOOKUP(Vendas[[#This Row],[ID Item Vendido]],Agregado[ID],Agregado[Produto])</f>
        <v>Filme plástico industrial rolo 50m</v>
      </c>
      <c r="F5159" s="39">
        <v>45988</v>
      </c>
      <c r="G5159" s="7">
        <v>20</v>
      </c>
      <c r="H5159" s="3">
        <f>_xlfn.XLOOKUP(Vendas[[#This Row],[ID Item Vendido]],Agregado[ID],Agregado[Revenda])</f>
        <v>37</v>
      </c>
      <c r="I5159" s="3">
        <f>Vendas[[#This Row],[Valor Unitário]]*Vendas[[#This Row],[Qnt Vendida]]</f>
        <v>740</v>
      </c>
      <c r="J5159" s="3">
        <f>Vendas[[#This Row],[Valor da Venda]]-(_xlfn.XLOOKUP(Vendas[[#This Row],[ID Item Vendido]],Agregado[ID],Agregado[Custo])*Vendas[[#This Row],[Qnt Vendida]])</f>
        <v>180</v>
      </c>
      <c r="K5159" s="70">
        <f>Vendas[[#This Row],[Lucro da Venda]]/Vendas[[#This Row],[Valor da Venda]]</f>
        <v>0.24324324324324326</v>
      </c>
      <c r="L5159" s="3">
        <f>_xlfn.IFS(Vendas[[#This Row],[Margem de Lucro (%)]]&lt;15%,Vendas[[#This Row],[Valor da Venda]]*3%,Vendas[[#This Row],[Margem de Lucro (%)]]&lt;=20%,Vendas[[#This Row],[Valor da Venda]]*4.5%,TRUE,Vendas[[#This Row],[Valor da Venda]]*6%)</f>
        <v>44.4</v>
      </c>
      <c r="M5159"/>
    </row>
    <row r="5160" spans="1:13" x14ac:dyDescent="0.3">
      <c r="A5160" s="7">
        <v>400250</v>
      </c>
      <c r="B5160" t="str">
        <f>_xlfn.XLOOKUP(Vendas[[#This Row],[ID Vendedor]],Vendedores[ID],Vendedores[Nome])</f>
        <v>Larissa</v>
      </c>
      <c r="C5160" s="7" t="str">
        <f>_xlfn.XLOOKUP(Vendas[[#This Row],[ID Vendedor]],Vendedores[ID],Vendedores[Setor])</f>
        <v>AB</v>
      </c>
      <c r="D5160" s="7" t="s">
        <v>39</v>
      </c>
      <c r="E5160" t="str">
        <f>_xlfn.XLOOKUP(Vendas[[#This Row],[ID Item Vendido]],Agregado[ID],Agregado[Produto])</f>
        <v>Filme plástico industrial rolo 50m</v>
      </c>
      <c r="F5160" s="39">
        <v>45988</v>
      </c>
      <c r="G5160" s="7">
        <v>16</v>
      </c>
      <c r="H5160" s="3">
        <f>_xlfn.XLOOKUP(Vendas[[#This Row],[ID Item Vendido]],Agregado[ID],Agregado[Revenda])</f>
        <v>37</v>
      </c>
      <c r="I5160" s="3">
        <f>Vendas[[#This Row],[Valor Unitário]]*Vendas[[#This Row],[Qnt Vendida]]</f>
        <v>592</v>
      </c>
      <c r="J5160" s="3">
        <f>Vendas[[#This Row],[Valor da Venda]]-(_xlfn.XLOOKUP(Vendas[[#This Row],[ID Item Vendido]],Agregado[ID],Agregado[Custo])*Vendas[[#This Row],[Qnt Vendida]])</f>
        <v>144</v>
      </c>
      <c r="K5160" s="70">
        <f>Vendas[[#This Row],[Lucro da Venda]]/Vendas[[#This Row],[Valor da Venda]]</f>
        <v>0.24324324324324326</v>
      </c>
      <c r="L5160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5160"/>
    </row>
    <row r="5161" spans="1:13" x14ac:dyDescent="0.3">
      <c r="A5161" s="7">
        <v>400252</v>
      </c>
      <c r="B5161" t="str">
        <f>_xlfn.XLOOKUP(Vendas[[#This Row],[ID Vendedor]],Vendedores[ID],Vendedores[Nome])</f>
        <v>Renata</v>
      </c>
      <c r="C5161" s="7" t="str">
        <f>_xlfn.XLOOKUP(Vendas[[#This Row],[ID Vendedor]],Vendedores[ID],Vendedores[Setor])</f>
        <v>AB</v>
      </c>
      <c r="D5161" s="7" t="s">
        <v>12</v>
      </c>
      <c r="E5161" t="str">
        <f>_xlfn.XLOOKUP(Vendas[[#This Row],[ID Item Vendido]],Agregado[ID],Agregado[Produto])</f>
        <v>Grânulo de plástico reciclado refinado</v>
      </c>
      <c r="F5161" s="39">
        <v>45988</v>
      </c>
      <c r="G5161" s="7">
        <v>51</v>
      </c>
      <c r="H5161" s="3">
        <f>_xlfn.XLOOKUP(Vendas[[#This Row],[ID Item Vendido]],Agregado[ID],Agregado[Revenda])</f>
        <v>4.7</v>
      </c>
      <c r="I5161" s="3">
        <f>Vendas[[#This Row],[Valor Unitário]]*Vendas[[#This Row],[Qnt Vendida]]</f>
        <v>239.70000000000002</v>
      </c>
      <c r="J5161" s="3">
        <f>Vendas[[#This Row],[Valor da Venda]]-(_xlfn.XLOOKUP(Vendas[[#This Row],[ID Item Vendido]],Agregado[ID],Agregado[Custo])*Vendas[[#This Row],[Qnt Vendida]])</f>
        <v>61.200000000000017</v>
      </c>
      <c r="K5161" s="70">
        <f>Vendas[[#This Row],[Lucro da Venda]]/Vendas[[#This Row],[Valor da Venda]]</f>
        <v>0.25531914893617025</v>
      </c>
      <c r="L5161" s="3">
        <f>_xlfn.IFS(Vendas[[#This Row],[Margem de Lucro (%)]]&lt;15%,Vendas[[#This Row],[Valor da Venda]]*3%,Vendas[[#This Row],[Margem de Lucro (%)]]&lt;=20%,Vendas[[#This Row],[Valor da Venda]]*4.5%,TRUE,Vendas[[#This Row],[Valor da Venda]]*6%)</f>
        <v>14.382</v>
      </c>
      <c r="M5161"/>
    </row>
    <row r="5162" spans="1:13" x14ac:dyDescent="0.3">
      <c r="A5162" s="7">
        <v>400254</v>
      </c>
      <c r="B5162" t="str">
        <f>_xlfn.XLOOKUP(Vendas[[#This Row],[ID Vendedor]],Vendedores[ID],Vendedores[Nome])</f>
        <v>Beatriz</v>
      </c>
      <c r="C5162" s="7" t="str">
        <f>_xlfn.XLOOKUP(Vendas[[#This Row],[ID Vendedor]],Vendedores[ID],Vendedores[Setor])</f>
        <v>SC</v>
      </c>
      <c r="D5162" s="7" t="s">
        <v>42</v>
      </c>
      <c r="E5162" t="str">
        <f>_xlfn.XLOOKUP(Vendas[[#This Row],[ID Item Vendido]],Agregado[ID],Agregado[Produto])</f>
        <v>Container de ferro industrial</v>
      </c>
      <c r="F5162" s="39">
        <v>45989</v>
      </c>
      <c r="G5162" s="7">
        <v>5</v>
      </c>
      <c r="H5162" s="3">
        <f>_xlfn.XLOOKUP(Vendas[[#This Row],[ID Item Vendido]],Agregado[ID],Agregado[Revenda])</f>
        <v>830</v>
      </c>
      <c r="I5162" s="3">
        <f>Vendas[[#This Row],[Valor Unitário]]*Vendas[[#This Row],[Qnt Vendida]]</f>
        <v>4150</v>
      </c>
      <c r="J5162" s="3">
        <f>Vendas[[#This Row],[Valor da Venda]]-(_xlfn.XLOOKUP(Vendas[[#This Row],[ID Item Vendido]],Agregado[ID],Agregado[Custo])*Vendas[[#This Row],[Qnt Vendida]])</f>
        <v>750</v>
      </c>
      <c r="K5162" s="70">
        <f>Vendas[[#This Row],[Lucro da Venda]]/Vendas[[#This Row],[Valor da Venda]]</f>
        <v>0.18072289156626506</v>
      </c>
      <c r="L5162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162"/>
    </row>
    <row r="5163" spans="1:13" x14ac:dyDescent="0.3">
      <c r="A5163" s="7">
        <v>400245</v>
      </c>
      <c r="B5163" t="str">
        <f>_xlfn.XLOOKUP(Vendas[[#This Row],[ID Vendedor]],Vendedores[ID],Vendedores[Nome])</f>
        <v>Thiago</v>
      </c>
      <c r="C5163" s="7" t="str">
        <f>_xlfn.XLOOKUP(Vendas[[#This Row],[ID Vendedor]],Vendedores[ID],Vendedores[Setor])</f>
        <v>AHD</v>
      </c>
      <c r="D5163" s="7" t="s">
        <v>28</v>
      </c>
      <c r="E5163" t="str">
        <f>_xlfn.XLOOKUP(Vendas[[#This Row],[ID Item Vendido]],Agregado[ID],Agregado[Produto])</f>
        <v>Peça usinada CNC</v>
      </c>
      <c r="F5163" s="39">
        <v>45989</v>
      </c>
      <c r="G5163" s="7">
        <v>11</v>
      </c>
      <c r="H5163" s="3">
        <f>_xlfn.XLOOKUP(Vendas[[#This Row],[ID Item Vendido]],Agregado[ID],Agregado[Revenda])</f>
        <v>192</v>
      </c>
      <c r="I5163" s="3">
        <f>Vendas[[#This Row],[Valor Unitário]]*Vendas[[#This Row],[Qnt Vendida]]</f>
        <v>2112</v>
      </c>
      <c r="J5163" s="3">
        <f>Vendas[[#This Row],[Valor da Venda]]-(_xlfn.XLOOKUP(Vendas[[#This Row],[ID Item Vendido]],Agregado[ID],Agregado[Custo])*Vendas[[#This Row],[Qnt Vendida]])</f>
        <v>462</v>
      </c>
      <c r="K5163" s="70">
        <f>Vendas[[#This Row],[Lucro da Venda]]/Vendas[[#This Row],[Valor da Venda]]</f>
        <v>0.21875</v>
      </c>
      <c r="L5163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5163"/>
    </row>
    <row r="5164" spans="1:13" x14ac:dyDescent="0.3">
      <c r="A5164" s="7">
        <v>400242</v>
      </c>
      <c r="B5164" t="str">
        <f>_xlfn.XLOOKUP(Vendas[[#This Row],[ID Vendedor]],Vendedores[ID],Vendedores[Nome])</f>
        <v>Fernanda</v>
      </c>
      <c r="C5164" s="7" t="str">
        <f>_xlfn.XLOOKUP(Vendas[[#This Row],[ID Vendedor]],Vendedores[ID],Vendedores[Setor])</f>
        <v>FM</v>
      </c>
      <c r="D5164" s="7" t="s">
        <v>27</v>
      </c>
      <c r="E5164" t="str">
        <f>_xlfn.XLOOKUP(Vendas[[#This Row],[ID Item Vendido]],Agregado[ID],Agregado[Produto])</f>
        <v>Chapa de metal lisa 1x2m</v>
      </c>
      <c r="F5164" s="39">
        <v>45989</v>
      </c>
      <c r="G5164" s="7">
        <v>19</v>
      </c>
      <c r="H5164" s="3">
        <f>_xlfn.XLOOKUP(Vendas[[#This Row],[ID Item Vendido]],Agregado[ID],Agregado[Revenda])</f>
        <v>52</v>
      </c>
      <c r="I5164" s="3">
        <f>Vendas[[#This Row],[Valor Unitário]]*Vendas[[#This Row],[Qnt Vendida]]</f>
        <v>988</v>
      </c>
      <c r="J5164" s="3">
        <f>Vendas[[#This Row],[Valor da Venda]]-(_xlfn.XLOOKUP(Vendas[[#This Row],[ID Item Vendido]],Agregado[ID],Agregado[Custo])*Vendas[[#This Row],[Qnt Vendida]])</f>
        <v>133</v>
      </c>
      <c r="K5164" s="70">
        <f>Vendas[[#This Row],[Lucro da Venda]]/Vendas[[#This Row],[Valor da Venda]]</f>
        <v>0.13461538461538461</v>
      </c>
      <c r="L5164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5164"/>
    </row>
    <row r="5165" spans="1:13" x14ac:dyDescent="0.3">
      <c r="A5165" s="7">
        <v>400246</v>
      </c>
      <c r="B5165" t="str">
        <f>_xlfn.XLOOKUP(Vendas[[#This Row],[ID Vendedor]],Vendedores[ID],Vendedores[Nome])</f>
        <v>Juliana</v>
      </c>
      <c r="C5165" s="7" t="str">
        <f>_xlfn.XLOOKUP(Vendas[[#This Row],[ID Vendedor]],Vendedores[ID],Vendedores[Setor])</f>
        <v>AHD</v>
      </c>
      <c r="D5165" s="7" t="s">
        <v>30</v>
      </c>
      <c r="E5165" t="str">
        <f>_xlfn.XLOOKUP(Vendas[[#This Row],[ID Item Vendido]],Agregado[ID],Agregado[Produto])</f>
        <v>Estrutura metálica soldada</v>
      </c>
      <c r="F5165" s="39">
        <v>45990</v>
      </c>
      <c r="G5165" s="7">
        <v>1</v>
      </c>
      <c r="H5165" s="3">
        <f>_xlfn.XLOOKUP(Vendas[[#This Row],[ID Item Vendido]],Agregado[ID],Agregado[Revenda])</f>
        <v>400</v>
      </c>
      <c r="I5165" s="3">
        <f>Vendas[[#This Row],[Valor Unitário]]*Vendas[[#This Row],[Qnt Vendida]]</f>
        <v>400</v>
      </c>
      <c r="J5165" s="3">
        <f>Vendas[[#This Row],[Valor da Venda]]-(_xlfn.XLOOKUP(Vendas[[#This Row],[ID Item Vendido]],Agregado[ID],Agregado[Custo])*Vendas[[#This Row],[Qnt Vendida]])</f>
        <v>80</v>
      </c>
      <c r="K5165" s="70">
        <f>Vendas[[#This Row],[Lucro da Venda]]/Vendas[[#This Row],[Valor da Venda]]</f>
        <v>0.2</v>
      </c>
      <c r="L5165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5165"/>
    </row>
    <row r="5166" spans="1:13" x14ac:dyDescent="0.3">
      <c r="A5166" s="7">
        <v>400247</v>
      </c>
      <c r="B5166" t="str">
        <f>_xlfn.XLOOKUP(Vendas[[#This Row],[ID Vendedor]],Vendedores[ID],Vendedores[Nome])</f>
        <v>André</v>
      </c>
      <c r="C5166" s="7" t="str">
        <f>_xlfn.XLOOKUP(Vendas[[#This Row],[ID Vendedor]],Vendedores[ID],Vendedores[Setor])</f>
        <v>CM</v>
      </c>
      <c r="D5166" s="7" t="s">
        <v>43</v>
      </c>
      <c r="E5166" t="str">
        <f>_xlfn.XLOOKUP(Vendas[[#This Row],[ID Item Vendido]],Agregado[ID],Agregado[Produto])</f>
        <v>Madeira Bruta (Tora)</v>
      </c>
      <c r="F5166" s="39">
        <v>45991</v>
      </c>
      <c r="G5166" s="7">
        <v>15</v>
      </c>
      <c r="H5166" s="3">
        <f>_xlfn.XLOOKUP(Vendas[[#This Row],[ID Item Vendido]],Agregado[ID],Agregado[Revenda])</f>
        <v>212</v>
      </c>
      <c r="I5166" s="3">
        <f>Vendas[[#This Row],[Valor Unitário]]*Vendas[[#This Row],[Qnt Vendida]]</f>
        <v>3180</v>
      </c>
      <c r="J5166" s="3">
        <f>Vendas[[#This Row],[Valor da Venda]]-(_xlfn.XLOOKUP(Vendas[[#This Row],[ID Item Vendido]],Agregado[ID],Agregado[Custo])*Vendas[[#This Row],[Qnt Vendida]])</f>
        <v>480</v>
      </c>
      <c r="K5166" s="70">
        <f>Vendas[[#This Row],[Lucro da Venda]]/Vendas[[#This Row],[Valor da Venda]]</f>
        <v>0.15094339622641509</v>
      </c>
      <c r="L5166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5166"/>
    </row>
    <row r="5167" spans="1:13" x14ac:dyDescent="0.3">
      <c r="A5167" s="7">
        <v>400249</v>
      </c>
      <c r="B5167" t="str">
        <f>_xlfn.XLOOKUP(Vendas[[#This Row],[ID Vendedor]],Vendedores[ID],Vendedores[Nome])</f>
        <v>Bruno</v>
      </c>
      <c r="C5167" s="7" t="str">
        <f>_xlfn.XLOOKUP(Vendas[[#This Row],[ID Vendedor]],Vendedores[ID],Vendedores[Setor])</f>
        <v>CM</v>
      </c>
      <c r="D5167" s="7" t="s">
        <v>43</v>
      </c>
      <c r="E5167" t="str">
        <f>_xlfn.XLOOKUP(Vendas[[#This Row],[ID Item Vendido]],Agregado[ID],Agregado[Produto])</f>
        <v>Madeira Bruta (Tora)</v>
      </c>
      <c r="F5167" s="39">
        <v>45991</v>
      </c>
      <c r="G5167" s="7">
        <v>14</v>
      </c>
      <c r="H5167" s="3">
        <f>_xlfn.XLOOKUP(Vendas[[#This Row],[ID Item Vendido]],Agregado[ID],Agregado[Revenda])</f>
        <v>212</v>
      </c>
      <c r="I5167" s="3">
        <f>Vendas[[#This Row],[Valor Unitário]]*Vendas[[#This Row],[Qnt Vendida]]</f>
        <v>2968</v>
      </c>
      <c r="J5167" s="3">
        <f>Vendas[[#This Row],[Valor da Venda]]-(_xlfn.XLOOKUP(Vendas[[#This Row],[ID Item Vendido]],Agregado[ID],Agregado[Custo])*Vendas[[#This Row],[Qnt Vendida]])</f>
        <v>448</v>
      </c>
      <c r="K5167" s="70">
        <f>Vendas[[#This Row],[Lucro da Venda]]/Vendas[[#This Row],[Valor da Venda]]</f>
        <v>0.15094339622641509</v>
      </c>
      <c r="L5167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5167"/>
    </row>
    <row r="5168" spans="1:13" x14ac:dyDescent="0.3">
      <c r="A5168" s="7">
        <v>400253</v>
      </c>
      <c r="B5168" t="str">
        <f>_xlfn.XLOOKUP(Vendas[[#This Row],[ID Vendedor]],Vendedores[ID],Vendedores[Nome])</f>
        <v>Gustavo</v>
      </c>
      <c r="C5168" s="7" t="str">
        <f>_xlfn.XLOOKUP(Vendas[[#This Row],[ID Vendedor]],Vendedores[ID],Vendedores[Setor])</f>
        <v>SC</v>
      </c>
      <c r="D5168" s="7" t="s">
        <v>42</v>
      </c>
      <c r="E5168" t="str">
        <f>_xlfn.XLOOKUP(Vendas[[#This Row],[ID Item Vendido]],Agregado[ID],Agregado[Produto])</f>
        <v>Container de ferro industrial</v>
      </c>
      <c r="F5168" s="39">
        <v>45991</v>
      </c>
      <c r="G5168" s="7">
        <v>1</v>
      </c>
      <c r="H5168" s="3">
        <f>_xlfn.XLOOKUP(Vendas[[#This Row],[ID Item Vendido]],Agregado[ID],Agregado[Revenda])</f>
        <v>830</v>
      </c>
      <c r="I5168" s="3">
        <f>Vendas[[#This Row],[Valor Unitário]]*Vendas[[#This Row],[Qnt Vendida]]</f>
        <v>830</v>
      </c>
      <c r="J5168" s="3">
        <f>Vendas[[#This Row],[Valor da Venda]]-(_xlfn.XLOOKUP(Vendas[[#This Row],[ID Item Vendido]],Agregado[ID],Agregado[Custo])*Vendas[[#This Row],[Qnt Vendida]])</f>
        <v>150</v>
      </c>
      <c r="K5168" s="70">
        <f>Vendas[[#This Row],[Lucro da Venda]]/Vendas[[#This Row],[Valor da Venda]]</f>
        <v>0.18072289156626506</v>
      </c>
      <c r="L516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168"/>
    </row>
    <row r="5169" spans="1:13" x14ac:dyDescent="0.3">
      <c r="A5169" s="7">
        <v>400241</v>
      </c>
      <c r="B5169" t="str">
        <f>_xlfn.XLOOKUP(Vendas[[#This Row],[ID Vendedor]],Vendedores[ID],Vendedores[Nome])</f>
        <v>Rodrigo</v>
      </c>
      <c r="C5169" s="7" t="str">
        <f>_xlfn.XLOOKUP(Vendas[[#This Row],[ID Vendedor]],Vendedores[ID],Vendedores[Setor])</f>
        <v>FM</v>
      </c>
      <c r="D5169" s="7" t="s">
        <v>31</v>
      </c>
      <c r="E5169" t="str">
        <f>_xlfn.XLOOKUP(Vendas[[#This Row],[ID Item Vendido]],Agregado[ID],Agregado[Produto])</f>
        <v>Tela de metal soldada rolo 2x25m</v>
      </c>
      <c r="F5169" s="39">
        <v>45991</v>
      </c>
      <c r="G5169" s="7">
        <v>5</v>
      </c>
      <c r="H5169" s="3">
        <f>_xlfn.XLOOKUP(Vendas[[#This Row],[ID Item Vendido]],Agregado[ID],Agregado[Revenda])</f>
        <v>43.7</v>
      </c>
      <c r="I5169" s="3">
        <f>Vendas[[#This Row],[Valor Unitário]]*Vendas[[#This Row],[Qnt Vendida]]</f>
        <v>218.5</v>
      </c>
      <c r="J5169" s="3">
        <f>Vendas[[#This Row],[Valor da Venda]]-(_xlfn.XLOOKUP(Vendas[[#This Row],[ID Item Vendido]],Agregado[ID],Agregado[Custo])*Vendas[[#This Row],[Qnt Vendida]])</f>
        <v>28.5</v>
      </c>
      <c r="K5169" s="70">
        <f>Vendas[[#This Row],[Lucro da Venda]]/Vendas[[#This Row],[Valor da Venda]]</f>
        <v>0.13043478260869565</v>
      </c>
      <c r="L5169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5169"/>
    </row>
    <row r="5170" spans="1:13" x14ac:dyDescent="0.3">
      <c r="A5170" s="7">
        <v>400249</v>
      </c>
      <c r="B5170" t="str">
        <f>_xlfn.XLOOKUP(Vendas[[#This Row],[ID Vendedor]],Vendedores[ID],Vendedores[Nome])</f>
        <v>Bruno</v>
      </c>
      <c r="C5170" s="7" t="str">
        <f>_xlfn.XLOOKUP(Vendas[[#This Row],[ID Vendedor]],Vendedores[ID],Vendedores[Setor])</f>
        <v>CM</v>
      </c>
      <c r="D5170" s="7" t="s">
        <v>22</v>
      </c>
      <c r="E5170" t="str">
        <f>_xlfn.XLOOKUP(Vendas[[#This Row],[ID Item Vendido]],Agregado[ID],Agregado[Produto])</f>
        <v>Painel MDP 2,75x1,83m</v>
      </c>
      <c r="F5170" s="39">
        <v>45992</v>
      </c>
      <c r="G5170" s="7">
        <v>18</v>
      </c>
      <c r="H5170" s="3">
        <f>_xlfn.XLOOKUP(Vendas[[#This Row],[ID Item Vendido]],Agregado[ID],Agregado[Revenda])</f>
        <v>119</v>
      </c>
      <c r="I5170" s="3">
        <f>Vendas[[#This Row],[Valor Unitário]]*Vendas[[#This Row],[Qnt Vendida]]</f>
        <v>2142</v>
      </c>
      <c r="J5170" s="3">
        <f>Vendas[[#This Row],[Valor da Venda]]-(_xlfn.XLOOKUP(Vendas[[#This Row],[ID Item Vendido]],Agregado[ID],Agregado[Custo])*Vendas[[#This Row],[Qnt Vendida]])</f>
        <v>432</v>
      </c>
      <c r="K5170" s="70">
        <f>Vendas[[#This Row],[Lucro da Venda]]/Vendas[[#This Row],[Valor da Venda]]</f>
        <v>0.20168067226890757</v>
      </c>
      <c r="L5170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5170"/>
    </row>
    <row r="5171" spans="1:13" x14ac:dyDescent="0.3">
      <c r="A5171" s="7">
        <v>400252</v>
      </c>
      <c r="B5171" t="str">
        <f>_xlfn.XLOOKUP(Vendas[[#This Row],[ID Vendedor]],Vendedores[ID],Vendedores[Nome])</f>
        <v>Renata</v>
      </c>
      <c r="C5171" s="7" t="str">
        <f>_xlfn.XLOOKUP(Vendas[[#This Row],[ID Vendedor]],Vendedores[ID],Vendedores[Setor])</f>
        <v>AB</v>
      </c>
      <c r="D5171" s="7" t="s">
        <v>37</v>
      </c>
      <c r="E5171" t="str">
        <f>_xlfn.XLOOKUP(Vendas[[#This Row],[ID Item Vendido]],Agregado[ID],Agregado[Produto])</f>
        <v>Composto de borracha para vedação rolo 10m</v>
      </c>
      <c r="F5171" s="39">
        <v>45992</v>
      </c>
      <c r="G5171" s="7">
        <v>18</v>
      </c>
      <c r="H5171" s="3">
        <f>_xlfn.XLOOKUP(Vendas[[#This Row],[ID Item Vendido]],Agregado[ID],Agregado[Revenda])</f>
        <v>51.2</v>
      </c>
      <c r="I5171" s="3">
        <f>Vendas[[#This Row],[Valor Unitário]]*Vendas[[#This Row],[Qnt Vendida]]</f>
        <v>921.6</v>
      </c>
      <c r="J5171" s="3">
        <f>Vendas[[#This Row],[Valor da Venda]]-(_xlfn.XLOOKUP(Vendas[[#This Row],[ID Item Vendido]],Agregado[ID],Agregado[Custo])*Vendas[[#This Row],[Qnt Vendida]])</f>
        <v>201.60000000000002</v>
      </c>
      <c r="K5171" s="70">
        <f>Vendas[[#This Row],[Lucro da Venda]]/Vendas[[#This Row],[Valor da Venda]]</f>
        <v>0.21875000000000003</v>
      </c>
      <c r="L5171" s="3">
        <f>_xlfn.IFS(Vendas[[#This Row],[Margem de Lucro (%)]]&lt;15%,Vendas[[#This Row],[Valor da Venda]]*3%,Vendas[[#This Row],[Margem de Lucro (%)]]&lt;=20%,Vendas[[#This Row],[Valor da Venda]]*4.5%,TRUE,Vendas[[#This Row],[Valor da Venda]]*6%)</f>
        <v>55.295999999999999</v>
      </c>
      <c r="M5171"/>
    </row>
    <row r="5172" spans="1:13" x14ac:dyDescent="0.3">
      <c r="A5172" s="7">
        <v>400242</v>
      </c>
      <c r="B5172" t="str">
        <f>_xlfn.XLOOKUP(Vendas[[#This Row],[ID Vendedor]],Vendedores[ID],Vendedores[Nome])</f>
        <v>Fernanda</v>
      </c>
      <c r="C5172" s="7" t="str">
        <f>_xlfn.XLOOKUP(Vendas[[#This Row],[ID Vendedor]],Vendedores[ID],Vendedores[Setor])</f>
        <v>FM</v>
      </c>
      <c r="D5172" s="7" t="s">
        <v>20</v>
      </c>
      <c r="E5172" t="str">
        <f>_xlfn.XLOOKUP(Vendas[[#This Row],[ID Item Vendido]],Agregado[ID],Agregado[Produto])</f>
        <v>Barra de aço simples</v>
      </c>
      <c r="F5172" s="39">
        <v>45992</v>
      </c>
      <c r="G5172" s="7">
        <v>102</v>
      </c>
      <c r="H5172" s="3">
        <f>_xlfn.XLOOKUP(Vendas[[#This Row],[ID Item Vendido]],Agregado[ID],Agregado[Revenda])</f>
        <v>4.8</v>
      </c>
      <c r="I5172" s="3">
        <f>Vendas[[#This Row],[Valor Unitário]]*Vendas[[#This Row],[Qnt Vendida]]</f>
        <v>489.59999999999997</v>
      </c>
      <c r="J5172" s="3">
        <f>Vendas[[#This Row],[Valor da Venda]]-(_xlfn.XLOOKUP(Vendas[[#This Row],[ID Item Vendido]],Agregado[ID],Agregado[Custo])*Vendas[[#This Row],[Qnt Vendida]])</f>
        <v>61.199999999999932</v>
      </c>
      <c r="K5172" s="70">
        <f>Vendas[[#This Row],[Lucro da Venda]]/Vendas[[#This Row],[Valor da Venda]]</f>
        <v>0.12499999999999988</v>
      </c>
      <c r="L5172" s="3">
        <f>_xlfn.IFS(Vendas[[#This Row],[Margem de Lucro (%)]]&lt;15%,Vendas[[#This Row],[Valor da Venda]]*3%,Vendas[[#This Row],[Margem de Lucro (%)]]&lt;=20%,Vendas[[#This Row],[Valor da Venda]]*4.5%,TRUE,Vendas[[#This Row],[Valor da Venda]]*6%)</f>
        <v>14.687999999999999</v>
      </c>
      <c r="M5172"/>
    </row>
    <row r="5173" spans="1:13" x14ac:dyDescent="0.3">
      <c r="A5173" s="7">
        <v>400242</v>
      </c>
      <c r="B5173" t="str">
        <f>_xlfn.XLOOKUP(Vendas[[#This Row],[ID Vendedor]],Vendedores[ID],Vendedores[Nome])</f>
        <v>Fernanda</v>
      </c>
      <c r="C5173" s="7" t="str">
        <f>_xlfn.XLOOKUP(Vendas[[#This Row],[ID Vendedor]],Vendedores[ID],Vendedores[Setor])</f>
        <v>FM</v>
      </c>
      <c r="D5173" s="7" t="s">
        <v>27</v>
      </c>
      <c r="E5173" t="str">
        <f>_xlfn.XLOOKUP(Vendas[[#This Row],[ID Item Vendido]],Agregado[ID],Agregado[Produto])</f>
        <v>Chapa de metal lisa 1x2m</v>
      </c>
      <c r="F5173" s="39">
        <v>45993</v>
      </c>
      <c r="G5173" s="7">
        <v>29</v>
      </c>
      <c r="H5173" s="3">
        <f>_xlfn.XLOOKUP(Vendas[[#This Row],[ID Item Vendido]],Agregado[ID],Agregado[Revenda])</f>
        <v>52</v>
      </c>
      <c r="I5173" s="3">
        <f>Vendas[[#This Row],[Valor Unitário]]*Vendas[[#This Row],[Qnt Vendida]]</f>
        <v>1508</v>
      </c>
      <c r="J5173" s="3">
        <f>Vendas[[#This Row],[Valor da Venda]]-(_xlfn.XLOOKUP(Vendas[[#This Row],[ID Item Vendido]],Agregado[ID],Agregado[Custo])*Vendas[[#This Row],[Qnt Vendida]])</f>
        <v>203</v>
      </c>
      <c r="K5173" s="70">
        <f>Vendas[[#This Row],[Lucro da Venda]]/Vendas[[#This Row],[Valor da Venda]]</f>
        <v>0.13461538461538461</v>
      </c>
      <c r="L5173" s="3">
        <f>_xlfn.IFS(Vendas[[#This Row],[Margem de Lucro (%)]]&lt;15%,Vendas[[#This Row],[Valor da Venda]]*3%,Vendas[[#This Row],[Margem de Lucro (%)]]&lt;=20%,Vendas[[#This Row],[Valor da Venda]]*4.5%,TRUE,Vendas[[#This Row],[Valor da Venda]]*6%)</f>
        <v>45.239999999999995</v>
      </c>
      <c r="M5173"/>
    </row>
    <row r="5174" spans="1:13" x14ac:dyDescent="0.3">
      <c r="A5174" s="7">
        <v>400252</v>
      </c>
      <c r="B5174" t="str">
        <f>_xlfn.XLOOKUP(Vendas[[#This Row],[ID Vendedor]],Vendedores[ID],Vendedores[Nome])</f>
        <v>Renata</v>
      </c>
      <c r="C5174" s="7" t="str">
        <f>_xlfn.XLOOKUP(Vendas[[#This Row],[ID Vendedor]],Vendedores[ID],Vendedores[Setor])</f>
        <v>AB</v>
      </c>
      <c r="D5174" s="7" t="s">
        <v>37</v>
      </c>
      <c r="E5174" t="str">
        <f>_xlfn.XLOOKUP(Vendas[[#This Row],[ID Item Vendido]],Agregado[ID],Agregado[Produto])</f>
        <v>Composto de borracha para vedação rolo 10m</v>
      </c>
      <c r="F5174" s="39">
        <v>45993</v>
      </c>
      <c r="G5174" s="7">
        <v>11</v>
      </c>
      <c r="H5174" s="3">
        <f>_xlfn.XLOOKUP(Vendas[[#This Row],[ID Item Vendido]],Agregado[ID],Agregado[Revenda])</f>
        <v>51.2</v>
      </c>
      <c r="I5174" s="3">
        <f>Vendas[[#This Row],[Valor Unitário]]*Vendas[[#This Row],[Qnt Vendida]]</f>
        <v>563.20000000000005</v>
      </c>
      <c r="J5174" s="3">
        <f>Vendas[[#This Row],[Valor da Venda]]-(_xlfn.XLOOKUP(Vendas[[#This Row],[ID Item Vendido]],Agregado[ID],Agregado[Custo])*Vendas[[#This Row],[Qnt Vendida]])</f>
        <v>123.20000000000005</v>
      </c>
      <c r="K5174" s="70">
        <f>Vendas[[#This Row],[Lucro da Venda]]/Vendas[[#This Row],[Valor da Venda]]</f>
        <v>0.21875000000000006</v>
      </c>
      <c r="L5174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5174"/>
    </row>
    <row r="5175" spans="1:13" x14ac:dyDescent="0.3">
      <c r="A5175" s="7">
        <v>400255</v>
      </c>
      <c r="B5175" t="str">
        <f>_xlfn.XLOOKUP(Vendas[[#This Row],[ID Vendedor]],Vendedores[ID],Vendedores[Nome])</f>
        <v>Carlos</v>
      </c>
      <c r="C5175" s="7" t="str">
        <f>_xlfn.XLOOKUP(Vendas[[#This Row],[ID Vendedor]],Vendedores[ID],Vendedores[Setor])</f>
        <v>SC</v>
      </c>
      <c r="D5175" s="7" t="s">
        <v>42</v>
      </c>
      <c r="E5175" t="str">
        <f>_xlfn.XLOOKUP(Vendas[[#This Row],[ID Item Vendido]],Agregado[ID],Agregado[Produto])</f>
        <v>Container de ferro industrial</v>
      </c>
      <c r="F5175" s="39">
        <v>45994</v>
      </c>
      <c r="G5175" s="7">
        <v>4</v>
      </c>
      <c r="H5175" s="3">
        <f>_xlfn.XLOOKUP(Vendas[[#This Row],[ID Item Vendido]],Agregado[ID],Agregado[Revenda])</f>
        <v>830</v>
      </c>
      <c r="I5175" s="3">
        <f>Vendas[[#This Row],[Valor Unitário]]*Vendas[[#This Row],[Qnt Vendida]]</f>
        <v>3320</v>
      </c>
      <c r="J5175" s="3">
        <f>Vendas[[#This Row],[Valor da Venda]]-(_xlfn.XLOOKUP(Vendas[[#This Row],[ID Item Vendido]],Agregado[ID],Agregado[Custo])*Vendas[[#This Row],[Qnt Vendida]])</f>
        <v>600</v>
      </c>
      <c r="K5175" s="70">
        <f>Vendas[[#This Row],[Lucro da Venda]]/Vendas[[#This Row],[Valor da Venda]]</f>
        <v>0.18072289156626506</v>
      </c>
      <c r="L5175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175"/>
    </row>
    <row r="5176" spans="1:13" x14ac:dyDescent="0.3">
      <c r="A5176" s="7">
        <v>400252</v>
      </c>
      <c r="B5176" t="str">
        <f>_xlfn.XLOOKUP(Vendas[[#This Row],[ID Vendedor]],Vendedores[ID],Vendedores[Nome])</f>
        <v>Renata</v>
      </c>
      <c r="C5176" s="7" t="str">
        <f>_xlfn.XLOOKUP(Vendas[[#This Row],[ID Vendedor]],Vendedores[ID],Vendedores[Setor])</f>
        <v>AB</v>
      </c>
      <c r="D5176" s="7" t="s">
        <v>24</v>
      </c>
      <c r="E5176" t="str">
        <f>_xlfn.XLOOKUP(Vendas[[#This Row],[ID Item Vendido]],Agregado[ID],Agregado[Produto])</f>
        <v>Resina plástica PET purificada saco de 25kg</v>
      </c>
      <c r="F5176" s="39">
        <v>45994</v>
      </c>
      <c r="G5176" s="7">
        <v>27</v>
      </c>
      <c r="H5176" s="3">
        <f>_xlfn.XLOOKUP(Vendas[[#This Row],[ID Item Vendido]],Agregado[ID],Agregado[Revenda])</f>
        <v>119</v>
      </c>
      <c r="I5176" s="3">
        <f>Vendas[[#This Row],[Valor Unitário]]*Vendas[[#This Row],[Qnt Vendida]]</f>
        <v>3213</v>
      </c>
      <c r="J5176" s="3">
        <f>Vendas[[#This Row],[Valor da Venda]]-(_xlfn.XLOOKUP(Vendas[[#This Row],[ID Item Vendido]],Agregado[ID],Agregado[Custo])*Vendas[[#This Row],[Qnt Vendida]])</f>
        <v>918</v>
      </c>
      <c r="K5176" s="70">
        <f>Vendas[[#This Row],[Lucro da Venda]]/Vendas[[#This Row],[Valor da Venda]]</f>
        <v>0.2857142857142857</v>
      </c>
      <c r="L5176" s="3">
        <f>_xlfn.IFS(Vendas[[#This Row],[Margem de Lucro (%)]]&lt;15%,Vendas[[#This Row],[Valor da Venda]]*3%,Vendas[[#This Row],[Margem de Lucro (%)]]&lt;=20%,Vendas[[#This Row],[Valor da Venda]]*4.5%,TRUE,Vendas[[#This Row],[Valor da Venda]]*6%)</f>
        <v>192.78</v>
      </c>
      <c r="M5176"/>
    </row>
    <row r="5177" spans="1:13" x14ac:dyDescent="0.3">
      <c r="A5177" s="7">
        <v>400248</v>
      </c>
      <c r="B5177" t="str">
        <f>_xlfn.XLOOKUP(Vendas[[#This Row],[ID Vendedor]],Vendedores[ID],Vendedores[Nome])</f>
        <v>Patrícia</v>
      </c>
      <c r="C5177" s="7" t="str">
        <f>_xlfn.XLOOKUP(Vendas[[#This Row],[ID Vendedor]],Vendedores[ID],Vendedores[Setor])</f>
        <v>CM</v>
      </c>
      <c r="D5177" s="7" t="s">
        <v>43</v>
      </c>
      <c r="E5177" t="str">
        <f>_xlfn.XLOOKUP(Vendas[[#This Row],[ID Item Vendido]],Agregado[ID],Agregado[Produto])</f>
        <v>Madeira Bruta (Tora)</v>
      </c>
      <c r="F5177" s="39">
        <v>45994</v>
      </c>
      <c r="G5177" s="7">
        <v>10</v>
      </c>
      <c r="H5177" s="3">
        <f>_xlfn.XLOOKUP(Vendas[[#This Row],[ID Item Vendido]],Agregado[ID],Agregado[Revenda])</f>
        <v>212</v>
      </c>
      <c r="I5177" s="3">
        <f>Vendas[[#This Row],[Valor Unitário]]*Vendas[[#This Row],[Qnt Vendida]]</f>
        <v>2120</v>
      </c>
      <c r="J5177" s="3">
        <f>Vendas[[#This Row],[Valor da Venda]]-(_xlfn.XLOOKUP(Vendas[[#This Row],[ID Item Vendido]],Agregado[ID],Agregado[Custo])*Vendas[[#This Row],[Qnt Vendida]])</f>
        <v>320</v>
      </c>
      <c r="K5177" s="70">
        <f>Vendas[[#This Row],[Lucro da Venda]]/Vendas[[#This Row],[Valor da Venda]]</f>
        <v>0.15094339622641509</v>
      </c>
      <c r="L5177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5177"/>
    </row>
    <row r="5178" spans="1:13" x14ac:dyDescent="0.3">
      <c r="A5178" s="7">
        <v>400244</v>
      </c>
      <c r="B5178" t="str">
        <f>_xlfn.XLOOKUP(Vendas[[#This Row],[ID Vendedor]],Vendedores[ID],Vendedores[Nome])</f>
        <v>Camila</v>
      </c>
      <c r="C5178" s="7" t="str">
        <f>_xlfn.XLOOKUP(Vendas[[#This Row],[ID Vendedor]],Vendedores[ID],Vendedores[Setor])</f>
        <v>AHD</v>
      </c>
      <c r="D5178" s="7" t="s">
        <v>44</v>
      </c>
      <c r="E5178" t="str">
        <f>_xlfn.XLOOKUP(Vendas[[#This Row],[ID Item Vendido]],Agregado[ID],Agregado[Produto])</f>
        <v>Liga metálica especial</v>
      </c>
      <c r="F5178" s="39">
        <v>45994</v>
      </c>
      <c r="G5178" s="7">
        <v>30</v>
      </c>
      <c r="H5178" s="3">
        <f>_xlfn.XLOOKUP(Vendas[[#This Row],[ID Item Vendido]],Agregado[ID],Agregado[Revenda])</f>
        <v>32.5</v>
      </c>
      <c r="I5178" s="3">
        <f>Vendas[[#This Row],[Valor Unitário]]*Vendas[[#This Row],[Qnt Vendida]]</f>
        <v>975</v>
      </c>
      <c r="J5178" s="3">
        <f>Vendas[[#This Row],[Valor da Venda]]-(_xlfn.XLOOKUP(Vendas[[#This Row],[ID Item Vendido]],Agregado[ID],Agregado[Custo])*Vendas[[#This Row],[Qnt Vendida]])</f>
        <v>225</v>
      </c>
      <c r="K5178" s="70">
        <f>Vendas[[#This Row],[Lucro da Venda]]/Vendas[[#This Row],[Valor da Venda]]</f>
        <v>0.23076923076923078</v>
      </c>
      <c r="L5178" s="3">
        <f>_xlfn.IFS(Vendas[[#This Row],[Margem de Lucro (%)]]&lt;15%,Vendas[[#This Row],[Valor da Venda]]*3%,Vendas[[#This Row],[Margem de Lucro (%)]]&lt;=20%,Vendas[[#This Row],[Valor da Venda]]*4.5%,TRUE,Vendas[[#This Row],[Valor da Venda]]*6%)</f>
        <v>58.5</v>
      </c>
      <c r="M5178"/>
    </row>
    <row r="5179" spans="1:13" x14ac:dyDescent="0.3">
      <c r="A5179" s="7">
        <v>400243</v>
      </c>
      <c r="B5179" t="str">
        <f>_xlfn.XLOOKUP(Vendas[[#This Row],[ID Vendedor]],Vendedores[ID],Vendedores[Nome])</f>
        <v>Marcelo</v>
      </c>
      <c r="C5179" s="7" t="str">
        <f>_xlfn.XLOOKUP(Vendas[[#This Row],[ID Vendedor]],Vendedores[ID],Vendedores[Setor])</f>
        <v>FM</v>
      </c>
      <c r="D5179" s="7" t="s">
        <v>20</v>
      </c>
      <c r="E5179" t="str">
        <f>_xlfn.XLOOKUP(Vendas[[#This Row],[ID Item Vendido]],Agregado[ID],Agregado[Produto])</f>
        <v>Barra de aço simples</v>
      </c>
      <c r="F5179" s="39">
        <v>45994</v>
      </c>
      <c r="G5179" s="7">
        <v>73</v>
      </c>
      <c r="H5179" s="3">
        <f>_xlfn.XLOOKUP(Vendas[[#This Row],[ID Item Vendido]],Agregado[ID],Agregado[Revenda])</f>
        <v>4.8</v>
      </c>
      <c r="I5179" s="3">
        <f>Vendas[[#This Row],[Valor Unitário]]*Vendas[[#This Row],[Qnt Vendida]]</f>
        <v>350.4</v>
      </c>
      <c r="J5179" s="3">
        <f>Vendas[[#This Row],[Valor da Venda]]-(_xlfn.XLOOKUP(Vendas[[#This Row],[ID Item Vendido]],Agregado[ID],Agregado[Custo])*Vendas[[#This Row],[Qnt Vendida]])</f>
        <v>43.799999999999955</v>
      </c>
      <c r="K5179" s="70">
        <f>Vendas[[#This Row],[Lucro da Venda]]/Vendas[[#This Row],[Valor da Venda]]</f>
        <v>0.12499999999999988</v>
      </c>
      <c r="L5179" s="3">
        <f>_xlfn.IFS(Vendas[[#This Row],[Margem de Lucro (%)]]&lt;15%,Vendas[[#This Row],[Valor da Venda]]*3%,Vendas[[#This Row],[Margem de Lucro (%)]]&lt;=20%,Vendas[[#This Row],[Valor da Venda]]*4.5%,TRUE,Vendas[[#This Row],[Valor da Venda]]*6%)</f>
        <v>10.511999999999999</v>
      </c>
      <c r="M5179"/>
    </row>
    <row r="5180" spans="1:13" x14ac:dyDescent="0.3">
      <c r="A5180" s="7">
        <v>400242</v>
      </c>
      <c r="B5180" t="str">
        <f>_xlfn.XLOOKUP(Vendas[[#This Row],[ID Vendedor]],Vendedores[ID],Vendedores[Nome])</f>
        <v>Fernanda</v>
      </c>
      <c r="C5180" s="7" t="str">
        <f>_xlfn.XLOOKUP(Vendas[[#This Row],[ID Vendedor]],Vendedores[ID],Vendedores[Setor])</f>
        <v>FM</v>
      </c>
      <c r="D5180" s="7" t="s">
        <v>6</v>
      </c>
      <c r="E5180" t="str">
        <f>_xlfn.XLOOKUP(Vendas[[#This Row],[ID Item Vendido]],Agregado[ID],Agregado[Produto])</f>
        <v>Parafuso comum 500un</v>
      </c>
      <c r="F5180" s="39">
        <v>45994</v>
      </c>
      <c r="G5180" s="7">
        <v>8</v>
      </c>
      <c r="H5180" s="3">
        <f>_xlfn.XLOOKUP(Vendas[[#This Row],[ID Item Vendido]],Agregado[ID],Agregado[Revenda])</f>
        <v>24.6</v>
      </c>
      <c r="I5180" s="3">
        <f>Vendas[[#This Row],[Valor Unitário]]*Vendas[[#This Row],[Qnt Vendida]]</f>
        <v>196.8</v>
      </c>
      <c r="J5180" s="3">
        <f>Vendas[[#This Row],[Valor da Venda]]-(_xlfn.XLOOKUP(Vendas[[#This Row],[ID Item Vendido]],Agregado[ID],Agregado[Custo])*Vendas[[#This Row],[Qnt Vendida]])</f>
        <v>20.800000000000011</v>
      </c>
      <c r="K5180" s="70">
        <f>Vendas[[#This Row],[Lucro da Venda]]/Vendas[[#This Row],[Valor da Venda]]</f>
        <v>0.10569105691056915</v>
      </c>
      <c r="L5180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5180"/>
    </row>
    <row r="5181" spans="1:13" x14ac:dyDescent="0.3">
      <c r="A5181" s="7">
        <v>400242</v>
      </c>
      <c r="B5181" t="str">
        <f>_xlfn.XLOOKUP(Vendas[[#This Row],[ID Vendedor]],Vendedores[ID],Vendedores[Nome])</f>
        <v>Fernanda</v>
      </c>
      <c r="C5181" s="7" t="str">
        <f>_xlfn.XLOOKUP(Vendas[[#This Row],[ID Vendedor]],Vendedores[ID],Vendedores[Setor])</f>
        <v>FM</v>
      </c>
      <c r="D5181" s="7" t="s">
        <v>20</v>
      </c>
      <c r="E5181" t="str">
        <f>_xlfn.XLOOKUP(Vendas[[#This Row],[ID Item Vendido]],Agregado[ID],Agregado[Produto])</f>
        <v>Barra de aço simples</v>
      </c>
      <c r="F5181" s="39">
        <v>45995</v>
      </c>
      <c r="G5181" s="7">
        <v>141</v>
      </c>
      <c r="H5181" s="3">
        <f>_xlfn.XLOOKUP(Vendas[[#This Row],[ID Item Vendido]],Agregado[ID],Agregado[Revenda])</f>
        <v>4.8</v>
      </c>
      <c r="I5181" s="3">
        <f>Vendas[[#This Row],[Valor Unitário]]*Vendas[[#This Row],[Qnt Vendida]]</f>
        <v>676.8</v>
      </c>
      <c r="J5181" s="3">
        <f>Vendas[[#This Row],[Valor da Venda]]-(_xlfn.XLOOKUP(Vendas[[#This Row],[ID Item Vendido]],Agregado[ID],Agregado[Custo])*Vendas[[#This Row],[Qnt Vendida]])</f>
        <v>84.599999999999909</v>
      </c>
      <c r="K5181" s="70">
        <f>Vendas[[#This Row],[Lucro da Venda]]/Vendas[[#This Row],[Valor da Venda]]</f>
        <v>0.12499999999999988</v>
      </c>
      <c r="L5181" s="3">
        <f>_xlfn.IFS(Vendas[[#This Row],[Margem de Lucro (%)]]&lt;15%,Vendas[[#This Row],[Valor da Venda]]*3%,Vendas[[#This Row],[Margem de Lucro (%)]]&lt;=20%,Vendas[[#This Row],[Valor da Venda]]*4.5%,TRUE,Vendas[[#This Row],[Valor da Venda]]*6%)</f>
        <v>20.303999999999998</v>
      </c>
      <c r="M5181"/>
    </row>
    <row r="5182" spans="1:13" x14ac:dyDescent="0.3">
      <c r="A5182" s="7">
        <v>400252</v>
      </c>
      <c r="B5182" t="str">
        <f>_xlfn.XLOOKUP(Vendas[[#This Row],[ID Vendedor]],Vendedores[ID],Vendedores[Nome])</f>
        <v>Renata</v>
      </c>
      <c r="C5182" s="7" t="str">
        <f>_xlfn.XLOOKUP(Vendas[[#This Row],[ID Vendedor]],Vendedores[ID],Vendedores[Setor])</f>
        <v>AB</v>
      </c>
      <c r="D5182" s="7" t="s">
        <v>37</v>
      </c>
      <c r="E5182" t="str">
        <f>_xlfn.XLOOKUP(Vendas[[#This Row],[ID Item Vendido]],Agregado[ID],Agregado[Produto])</f>
        <v>Composto de borracha para vedação rolo 10m</v>
      </c>
      <c r="F5182" s="39">
        <v>45996</v>
      </c>
      <c r="G5182" s="7">
        <v>15</v>
      </c>
      <c r="H5182" s="3">
        <f>_xlfn.XLOOKUP(Vendas[[#This Row],[ID Item Vendido]],Agregado[ID],Agregado[Revenda])</f>
        <v>51.2</v>
      </c>
      <c r="I5182" s="3">
        <f>Vendas[[#This Row],[Valor Unitário]]*Vendas[[#This Row],[Qnt Vendida]]</f>
        <v>768</v>
      </c>
      <c r="J5182" s="3">
        <f>Vendas[[#This Row],[Valor da Venda]]-(_xlfn.XLOOKUP(Vendas[[#This Row],[ID Item Vendido]],Agregado[ID],Agregado[Custo])*Vendas[[#This Row],[Qnt Vendida]])</f>
        <v>168</v>
      </c>
      <c r="K5182" s="70">
        <f>Vendas[[#This Row],[Lucro da Venda]]/Vendas[[#This Row],[Valor da Venda]]</f>
        <v>0.21875</v>
      </c>
      <c r="L5182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182"/>
    </row>
    <row r="5183" spans="1:13" x14ac:dyDescent="0.3">
      <c r="A5183" s="7">
        <v>400241</v>
      </c>
      <c r="B5183" t="str">
        <f>_xlfn.XLOOKUP(Vendas[[#This Row],[ID Vendedor]],Vendedores[ID],Vendedores[Nome])</f>
        <v>Rodrigo</v>
      </c>
      <c r="C5183" s="7" t="str">
        <f>_xlfn.XLOOKUP(Vendas[[#This Row],[ID Vendedor]],Vendedores[ID],Vendedores[Setor])</f>
        <v>FM</v>
      </c>
      <c r="D5183" s="7" t="s">
        <v>6</v>
      </c>
      <c r="E5183" t="str">
        <f>_xlfn.XLOOKUP(Vendas[[#This Row],[ID Item Vendido]],Agregado[ID],Agregado[Produto])</f>
        <v>Parafuso comum 500un</v>
      </c>
      <c r="F5183" s="39">
        <v>45996</v>
      </c>
      <c r="G5183" s="7">
        <v>16</v>
      </c>
      <c r="H5183" s="3">
        <f>_xlfn.XLOOKUP(Vendas[[#This Row],[ID Item Vendido]],Agregado[ID],Agregado[Revenda])</f>
        <v>24.6</v>
      </c>
      <c r="I5183" s="3">
        <f>Vendas[[#This Row],[Valor Unitário]]*Vendas[[#This Row],[Qnt Vendida]]</f>
        <v>393.6</v>
      </c>
      <c r="J5183" s="3">
        <f>Vendas[[#This Row],[Valor da Venda]]-(_xlfn.XLOOKUP(Vendas[[#This Row],[ID Item Vendido]],Agregado[ID],Agregado[Custo])*Vendas[[#This Row],[Qnt Vendida]])</f>
        <v>41.600000000000023</v>
      </c>
      <c r="K5183" s="70">
        <f>Vendas[[#This Row],[Lucro da Venda]]/Vendas[[#This Row],[Valor da Venda]]</f>
        <v>0.10569105691056915</v>
      </c>
      <c r="L5183" s="3">
        <f>_xlfn.IFS(Vendas[[#This Row],[Margem de Lucro (%)]]&lt;15%,Vendas[[#This Row],[Valor da Venda]]*3%,Vendas[[#This Row],[Margem de Lucro (%)]]&lt;=20%,Vendas[[#This Row],[Valor da Venda]]*4.5%,TRUE,Vendas[[#This Row],[Valor da Venda]]*6%)</f>
        <v>11.808</v>
      </c>
      <c r="M5183"/>
    </row>
    <row r="5184" spans="1:13" x14ac:dyDescent="0.3">
      <c r="A5184" s="7">
        <v>400242</v>
      </c>
      <c r="B5184" t="str">
        <f>_xlfn.XLOOKUP(Vendas[[#This Row],[ID Vendedor]],Vendedores[ID],Vendedores[Nome])</f>
        <v>Fernanda</v>
      </c>
      <c r="C5184" s="7" t="str">
        <f>_xlfn.XLOOKUP(Vendas[[#This Row],[ID Vendedor]],Vendedores[ID],Vendedores[Setor])</f>
        <v>FM</v>
      </c>
      <c r="D5184" s="7" t="s">
        <v>31</v>
      </c>
      <c r="E5184" t="str">
        <f>_xlfn.XLOOKUP(Vendas[[#This Row],[ID Item Vendido]],Agregado[ID],Agregado[Produto])</f>
        <v>Tela de metal soldada rolo 2x25m</v>
      </c>
      <c r="F5184" s="39">
        <v>45996</v>
      </c>
      <c r="G5184" s="7">
        <v>7</v>
      </c>
      <c r="H5184" s="3">
        <f>_xlfn.XLOOKUP(Vendas[[#This Row],[ID Item Vendido]],Agregado[ID],Agregado[Revenda])</f>
        <v>43.7</v>
      </c>
      <c r="I5184" s="3">
        <f>Vendas[[#This Row],[Valor Unitário]]*Vendas[[#This Row],[Qnt Vendida]]</f>
        <v>305.90000000000003</v>
      </c>
      <c r="J5184" s="3">
        <f>Vendas[[#This Row],[Valor da Venda]]-(_xlfn.XLOOKUP(Vendas[[#This Row],[ID Item Vendido]],Agregado[ID],Agregado[Custo])*Vendas[[#This Row],[Qnt Vendida]])</f>
        <v>39.900000000000034</v>
      </c>
      <c r="K5184" s="70">
        <f>Vendas[[#This Row],[Lucro da Venda]]/Vendas[[#This Row],[Valor da Venda]]</f>
        <v>0.13043478260869576</v>
      </c>
      <c r="L5184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5184"/>
    </row>
    <row r="5185" spans="1:13" x14ac:dyDescent="0.3">
      <c r="A5185" s="7">
        <v>400248</v>
      </c>
      <c r="B5185" t="str">
        <f>_xlfn.XLOOKUP(Vendas[[#This Row],[ID Vendedor]],Vendedores[ID],Vendedores[Nome])</f>
        <v>Patrícia</v>
      </c>
      <c r="C5185" s="7" t="str">
        <f>_xlfn.XLOOKUP(Vendas[[#This Row],[ID Vendedor]],Vendedores[ID],Vendedores[Setor])</f>
        <v>CM</v>
      </c>
      <c r="D5185" s="7" t="s">
        <v>43</v>
      </c>
      <c r="E5185" t="str">
        <f>_xlfn.XLOOKUP(Vendas[[#This Row],[ID Item Vendido]],Agregado[ID],Agregado[Produto])</f>
        <v>Madeira Bruta (Tora)</v>
      </c>
      <c r="F5185" s="39">
        <v>45997</v>
      </c>
      <c r="G5185" s="7">
        <v>14</v>
      </c>
      <c r="H5185" s="3">
        <f>_xlfn.XLOOKUP(Vendas[[#This Row],[ID Item Vendido]],Agregado[ID],Agregado[Revenda])</f>
        <v>212</v>
      </c>
      <c r="I5185" s="3">
        <f>Vendas[[#This Row],[Valor Unitário]]*Vendas[[#This Row],[Qnt Vendida]]</f>
        <v>2968</v>
      </c>
      <c r="J5185" s="3">
        <f>Vendas[[#This Row],[Valor da Venda]]-(_xlfn.XLOOKUP(Vendas[[#This Row],[ID Item Vendido]],Agregado[ID],Agregado[Custo])*Vendas[[#This Row],[Qnt Vendida]])</f>
        <v>448</v>
      </c>
      <c r="K5185" s="70">
        <f>Vendas[[#This Row],[Lucro da Venda]]/Vendas[[#This Row],[Valor da Venda]]</f>
        <v>0.15094339622641509</v>
      </c>
      <c r="L5185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5185"/>
    </row>
    <row r="5186" spans="1:13" x14ac:dyDescent="0.3">
      <c r="A5186" s="7">
        <v>400252</v>
      </c>
      <c r="B5186" t="str">
        <f>_xlfn.XLOOKUP(Vendas[[#This Row],[ID Vendedor]],Vendedores[ID],Vendedores[Nome])</f>
        <v>Renata</v>
      </c>
      <c r="C5186" s="7" t="str">
        <f>_xlfn.XLOOKUP(Vendas[[#This Row],[ID Vendedor]],Vendedores[ID],Vendedores[Setor])</f>
        <v>AB</v>
      </c>
      <c r="D5186" s="7" t="s">
        <v>37</v>
      </c>
      <c r="E5186" t="str">
        <f>_xlfn.XLOOKUP(Vendas[[#This Row],[ID Item Vendido]],Agregado[ID],Agregado[Produto])</f>
        <v>Composto de borracha para vedação rolo 10m</v>
      </c>
      <c r="F5186" s="39">
        <v>45997</v>
      </c>
      <c r="G5186" s="7">
        <v>23</v>
      </c>
      <c r="H5186" s="3">
        <f>_xlfn.XLOOKUP(Vendas[[#This Row],[ID Item Vendido]],Agregado[ID],Agregado[Revenda])</f>
        <v>51.2</v>
      </c>
      <c r="I5186" s="3">
        <f>Vendas[[#This Row],[Valor Unitário]]*Vendas[[#This Row],[Qnt Vendida]]</f>
        <v>1177.6000000000001</v>
      </c>
      <c r="J5186" s="3">
        <f>Vendas[[#This Row],[Valor da Venda]]-(_xlfn.XLOOKUP(Vendas[[#This Row],[ID Item Vendido]],Agregado[ID],Agregado[Custo])*Vendas[[#This Row],[Qnt Vendida]])</f>
        <v>257.60000000000014</v>
      </c>
      <c r="K5186" s="70">
        <f>Vendas[[#This Row],[Lucro da Venda]]/Vendas[[#This Row],[Valor da Venda]]</f>
        <v>0.21875000000000008</v>
      </c>
      <c r="L5186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186"/>
    </row>
    <row r="5187" spans="1:13" x14ac:dyDescent="0.3">
      <c r="A5187" s="7">
        <v>400252</v>
      </c>
      <c r="B5187" t="str">
        <f>_xlfn.XLOOKUP(Vendas[[#This Row],[ID Vendedor]],Vendedores[ID],Vendedores[Nome])</f>
        <v>Renata</v>
      </c>
      <c r="C5187" s="7" t="str">
        <f>_xlfn.XLOOKUP(Vendas[[#This Row],[ID Vendedor]],Vendedores[ID],Vendedores[Setor])</f>
        <v>AB</v>
      </c>
      <c r="D5187" s="7" t="s">
        <v>37</v>
      </c>
      <c r="E5187" t="str">
        <f>_xlfn.XLOOKUP(Vendas[[#This Row],[ID Item Vendido]],Agregado[ID],Agregado[Produto])</f>
        <v>Composto de borracha para vedação rolo 10m</v>
      </c>
      <c r="F5187" s="39">
        <v>45997</v>
      </c>
      <c r="G5187" s="7">
        <v>6</v>
      </c>
      <c r="H5187" s="3">
        <f>_xlfn.XLOOKUP(Vendas[[#This Row],[ID Item Vendido]],Agregado[ID],Agregado[Revenda])</f>
        <v>51.2</v>
      </c>
      <c r="I5187" s="3">
        <f>Vendas[[#This Row],[Valor Unitário]]*Vendas[[#This Row],[Qnt Vendida]]</f>
        <v>307.20000000000005</v>
      </c>
      <c r="J5187" s="3">
        <f>Vendas[[#This Row],[Valor da Venda]]-(_xlfn.XLOOKUP(Vendas[[#This Row],[ID Item Vendido]],Agregado[ID],Agregado[Custo])*Vendas[[#This Row],[Qnt Vendida]])</f>
        <v>67.200000000000045</v>
      </c>
      <c r="K5187" s="70">
        <f>Vendas[[#This Row],[Lucro da Venda]]/Vendas[[#This Row],[Valor da Venda]]</f>
        <v>0.21875000000000011</v>
      </c>
      <c r="L5187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5187"/>
    </row>
    <row r="5188" spans="1:13" x14ac:dyDescent="0.3">
      <c r="A5188" s="7">
        <v>400247</v>
      </c>
      <c r="B5188" t="str">
        <f>_xlfn.XLOOKUP(Vendas[[#This Row],[ID Vendedor]],Vendedores[ID],Vendedores[Nome])</f>
        <v>André</v>
      </c>
      <c r="C5188" s="7" t="str">
        <f>_xlfn.XLOOKUP(Vendas[[#This Row],[ID Vendedor]],Vendedores[ID],Vendedores[Setor])</f>
        <v>CM</v>
      </c>
      <c r="D5188" s="7" t="s">
        <v>43</v>
      </c>
      <c r="E5188" t="str">
        <f>_xlfn.XLOOKUP(Vendas[[#This Row],[ID Item Vendido]],Agregado[ID],Agregado[Produto])</f>
        <v>Madeira Bruta (Tora)</v>
      </c>
      <c r="F5188" s="39">
        <v>45998</v>
      </c>
      <c r="G5188" s="7">
        <v>15</v>
      </c>
      <c r="H5188" s="3">
        <f>_xlfn.XLOOKUP(Vendas[[#This Row],[ID Item Vendido]],Agregado[ID],Agregado[Revenda])</f>
        <v>212</v>
      </c>
      <c r="I5188" s="3">
        <f>Vendas[[#This Row],[Valor Unitário]]*Vendas[[#This Row],[Qnt Vendida]]</f>
        <v>3180</v>
      </c>
      <c r="J5188" s="3">
        <f>Vendas[[#This Row],[Valor da Venda]]-(_xlfn.XLOOKUP(Vendas[[#This Row],[ID Item Vendido]],Agregado[ID],Agregado[Custo])*Vendas[[#This Row],[Qnt Vendida]])</f>
        <v>480</v>
      </c>
      <c r="K5188" s="70">
        <f>Vendas[[#This Row],[Lucro da Venda]]/Vendas[[#This Row],[Valor da Venda]]</f>
        <v>0.15094339622641509</v>
      </c>
      <c r="L5188" s="3">
        <f>_xlfn.IFS(Vendas[[#This Row],[Margem de Lucro (%)]]&lt;15%,Vendas[[#This Row],[Valor da Venda]]*3%,Vendas[[#This Row],[Margem de Lucro (%)]]&lt;=20%,Vendas[[#This Row],[Valor da Venda]]*4.5%,TRUE,Vendas[[#This Row],[Valor da Venda]]*6%)</f>
        <v>143.1</v>
      </c>
      <c r="M5188"/>
    </row>
    <row r="5189" spans="1:13" x14ac:dyDescent="0.3">
      <c r="A5189" s="7">
        <v>400254</v>
      </c>
      <c r="B5189" t="str">
        <f>_xlfn.XLOOKUP(Vendas[[#This Row],[ID Vendedor]],Vendedores[ID],Vendedores[Nome])</f>
        <v>Beatriz</v>
      </c>
      <c r="C5189" s="7" t="str">
        <f>_xlfn.XLOOKUP(Vendas[[#This Row],[ID Vendedor]],Vendedores[ID],Vendedores[Setor])</f>
        <v>SC</v>
      </c>
      <c r="D5189" s="7" t="s">
        <v>48</v>
      </c>
      <c r="E5189" t="str">
        <f>_xlfn.XLOOKUP(Vendas[[#This Row],[ID Item Vendido]],Agregado[ID],Agregado[Produto])</f>
        <v>Tambor metálico 200L</v>
      </c>
      <c r="F5189" s="39">
        <v>45998</v>
      </c>
      <c r="G5189" s="7">
        <v>17</v>
      </c>
      <c r="H5189" s="3">
        <f>_xlfn.XLOOKUP(Vendas[[#This Row],[ID Item Vendido]],Agregado[ID],Agregado[Revenda])</f>
        <v>144</v>
      </c>
      <c r="I5189" s="3">
        <f>Vendas[[#This Row],[Valor Unitário]]*Vendas[[#This Row],[Qnt Vendida]]</f>
        <v>2448</v>
      </c>
      <c r="J5189" s="3">
        <f>Vendas[[#This Row],[Valor da Venda]]-(_xlfn.XLOOKUP(Vendas[[#This Row],[ID Item Vendido]],Agregado[ID],Agregado[Custo])*Vendas[[#This Row],[Qnt Vendida]])</f>
        <v>408</v>
      </c>
      <c r="K5189" s="70">
        <f>Vendas[[#This Row],[Lucro da Venda]]/Vendas[[#This Row],[Valor da Venda]]</f>
        <v>0.16666666666666666</v>
      </c>
      <c r="L5189" s="3">
        <f>_xlfn.IFS(Vendas[[#This Row],[Margem de Lucro (%)]]&lt;15%,Vendas[[#This Row],[Valor da Venda]]*3%,Vendas[[#This Row],[Margem de Lucro (%)]]&lt;=20%,Vendas[[#This Row],[Valor da Venda]]*4.5%,TRUE,Vendas[[#This Row],[Valor da Venda]]*6%)</f>
        <v>110.16</v>
      </c>
      <c r="M5189"/>
    </row>
    <row r="5190" spans="1:13" x14ac:dyDescent="0.3">
      <c r="A5190" s="7">
        <v>400242</v>
      </c>
      <c r="B5190" t="str">
        <f>_xlfn.XLOOKUP(Vendas[[#This Row],[ID Vendedor]],Vendedores[ID],Vendedores[Nome])</f>
        <v>Fernanda</v>
      </c>
      <c r="C5190" s="7" t="str">
        <f>_xlfn.XLOOKUP(Vendas[[#This Row],[ID Vendedor]],Vendedores[ID],Vendedores[Setor])</f>
        <v>FM</v>
      </c>
      <c r="D5190" s="7" t="s">
        <v>27</v>
      </c>
      <c r="E5190" t="str">
        <f>_xlfn.XLOOKUP(Vendas[[#This Row],[ID Item Vendido]],Agregado[ID],Agregado[Produto])</f>
        <v>Chapa de metal lisa 1x2m</v>
      </c>
      <c r="F5190" s="39">
        <v>45998</v>
      </c>
      <c r="G5190" s="7">
        <v>27</v>
      </c>
      <c r="H5190" s="3">
        <f>_xlfn.XLOOKUP(Vendas[[#This Row],[ID Item Vendido]],Agregado[ID],Agregado[Revenda])</f>
        <v>52</v>
      </c>
      <c r="I5190" s="3">
        <f>Vendas[[#This Row],[Valor Unitário]]*Vendas[[#This Row],[Qnt Vendida]]</f>
        <v>1404</v>
      </c>
      <c r="J5190" s="3">
        <f>Vendas[[#This Row],[Valor da Venda]]-(_xlfn.XLOOKUP(Vendas[[#This Row],[ID Item Vendido]],Agregado[ID],Agregado[Custo])*Vendas[[#This Row],[Qnt Vendida]])</f>
        <v>189</v>
      </c>
      <c r="K5190" s="70">
        <f>Vendas[[#This Row],[Lucro da Venda]]/Vendas[[#This Row],[Valor da Venda]]</f>
        <v>0.13461538461538461</v>
      </c>
      <c r="L5190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5190"/>
    </row>
    <row r="5191" spans="1:13" x14ac:dyDescent="0.3">
      <c r="A5191" s="7">
        <v>400249</v>
      </c>
      <c r="B5191" t="str">
        <f>_xlfn.XLOOKUP(Vendas[[#This Row],[ID Vendedor]],Vendedores[ID],Vendedores[Nome])</f>
        <v>Bruno</v>
      </c>
      <c r="C5191" s="7" t="str">
        <f>_xlfn.XLOOKUP(Vendas[[#This Row],[ID Vendedor]],Vendedores[ID],Vendedores[Setor])</f>
        <v>CM</v>
      </c>
      <c r="D5191" s="7" t="s">
        <v>34</v>
      </c>
      <c r="E5191" t="str">
        <f>_xlfn.XLOOKUP(Vendas[[#This Row],[ID Item Vendido]],Agregado[ID],Agregado[Produto])</f>
        <v>Restos de madeira p/ MDP/OSB saco de 20kg</v>
      </c>
      <c r="F5191" s="39">
        <v>45998</v>
      </c>
      <c r="G5191" s="7">
        <v>27</v>
      </c>
      <c r="H5191" s="3">
        <f>_xlfn.XLOOKUP(Vendas[[#This Row],[ID Item Vendido]],Agregado[ID],Agregado[Revenda])</f>
        <v>13.8</v>
      </c>
      <c r="I5191" s="3">
        <f>Vendas[[#This Row],[Valor Unitário]]*Vendas[[#This Row],[Qnt Vendida]]</f>
        <v>372.6</v>
      </c>
      <c r="J5191" s="3">
        <f>Vendas[[#This Row],[Valor da Venda]]-(_xlfn.XLOOKUP(Vendas[[#This Row],[ID Item Vendido]],Agregado[ID],Agregado[Custo])*Vendas[[#This Row],[Qnt Vendida]])</f>
        <v>48.600000000000023</v>
      </c>
      <c r="K5191" s="70">
        <f>Vendas[[#This Row],[Lucro da Venda]]/Vendas[[#This Row],[Valor da Venda]]</f>
        <v>0.1304347826086957</v>
      </c>
      <c r="L5191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5191"/>
    </row>
    <row r="5192" spans="1:13" x14ac:dyDescent="0.3">
      <c r="A5192" s="7">
        <v>400242</v>
      </c>
      <c r="B5192" t="str">
        <f>_xlfn.XLOOKUP(Vendas[[#This Row],[ID Vendedor]],Vendedores[ID],Vendedores[Nome])</f>
        <v>Fernanda</v>
      </c>
      <c r="C5192" s="7" t="str">
        <f>_xlfn.XLOOKUP(Vendas[[#This Row],[ID Vendedor]],Vendedores[ID],Vendedores[Setor])</f>
        <v>FM</v>
      </c>
      <c r="D5192" s="7" t="s">
        <v>6</v>
      </c>
      <c r="E5192" t="str">
        <f>_xlfn.XLOOKUP(Vendas[[#This Row],[ID Item Vendido]],Agregado[ID],Agregado[Produto])</f>
        <v>Parafuso comum 500un</v>
      </c>
      <c r="F5192" s="39">
        <v>45998</v>
      </c>
      <c r="G5192" s="7">
        <v>11</v>
      </c>
      <c r="H5192" s="3">
        <f>_xlfn.XLOOKUP(Vendas[[#This Row],[ID Item Vendido]],Agregado[ID],Agregado[Revenda])</f>
        <v>24.6</v>
      </c>
      <c r="I5192" s="3">
        <f>Vendas[[#This Row],[Valor Unitário]]*Vendas[[#This Row],[Qnt Vendida]]</f>
        <v>270.60000000000002</v>
      </c>
      <c r="J5192" s="3">
        <f>Vendas[[#This Row],[Valor da Venda]]-(_xlfn.XLOOKUP(Vendas[[#This Row],[ID Item Vendido]],Agregado[ID],Agregado[Custo])*Vendas[[#This Row],[Qnt Vendida]])</f>
        <v>28.600000000000023</v>
      </c>
      <c r="K5192" s="70">
        <f>Vendas[[#This Row],[Lucro da Venda]]/Vendas[[#This Row],[Valor da Venda]]</f>
        <v>0.10569105691056918</v>
      </c>
      <c r="L5192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5192"/>
    </row>
    <row r="5193" spans="1:13" x14ac:dyDescent="0.3">
      <c r="A5193" s="7">
        <v>400252</v>
      </c>
      <c r="B5193" t="str">
        <f>_xlfn.XLOOKUP(Vendas[[#This Row],[ID Vendedor]],Vendedores[ID],Vendedores[Nome])</f>
        <v>Renata</v>
      </c>
      <c r="C5193" s="7" t="str">
        <f>_xlfn.XLOOKUP(Vendas[[#This Row],[ID Vendedor]],Vendedores[ID],Vendedores[Setor])</f>
        <v>AB</v>
      </c>
      <c r="D5193" s="7" t="s">
        <v>37</v>
      </c>
      <c r="E5193" t="str">
        <f>_xlfn.XLOOKUP(Vendas[[#This Row],[ID Item Vendido]],Agregado[ID],Agregado[Produto])</f>
        <v>Composto de borracha para vedação rolo 10m</v>
      </c>
      <c r="F5193" s="39">
        <v>45999</v>
      </c>
      <c r="G5193" s="7">
        <v>25</v>
      </c>
      <c r="H5193" s="3">
        <f>_xlfn.XLOOKUP(Vendas[[#This Row],[ID Item Vendido]],Agregado[ID],Agregado[Revenda])</f>
        <v>51.2</v>
      </c>
      <c r="I5193" s="3">
        <f>Vendas[[#This Row],[Valor Unitário]]*Vendas[[#This Row],[Qnt Vendida]]</f>
        <v>1280</v>
      </c>
      <c r="J5193" s="3">
        <f>Vendas[[#This Row],[Valor da Venda]]-(_xlfn.XLOOKUP(Vendas[[#This Row],[ID Item Vendido]],Agregado[ID],Agregado[Custo])*Vendas[[#This Row],[Qnt Vendida]])</f>
        <v>280</v>
      </c>
      <c r="K5193" s="70">
        <f>Vendas[[#This Row],[Lucro da Venda]]/Vendas[[#This Row],[Valor da Venda]]</f>
        <v>0.21875</v>
      </c>
      <c r="L5193" s="3">
        <f>_xlfn.IFS(Vendas[[#This Row],[Margem de Lucro (%)]]&lt;15%,Vendas[[#This Row],[Valor da Venda]]*3%,Vendas[[#This Row],[Margem de Lucro (%)]]&lt;=20%,Vendas[[#This Row],[Valor da Venda]]*4.5%,TRUE,Vendas[[#This Row],[Valor da Venda]]*6%)</f>
        <v>76.8</v>
      </c>
      <c r="M5193"/>
    </row>
    <row r="5194" spans="1:13" x14ac:dyDescent="0.3">
      <c r="A5194" s="7">
        <v>400244</v>
      </c>
      <c r="B5194" t="str">
        <f>_xlfn.XLOOKUP(Vendas[[#This Row],[ID Vendedor]],Vendedores[ID],Vendedores[Nome])</f>
        <v>Camila</v>
      </c>
      <c r="C5194" s="7" t="str">
        <f>_xlfn.XLOOKUP(Vendas[[#This Row],[ID Vendedor]],Vendedores[ID],Vendedores[Setor])</f>
        <v>AHD</v>
      </c>
      <c r="D5194" s="7" t="s">
        <v>18</v>
      </c>
      <c r="E5194" t="str">
        <f>_xlfn.XLOOKUP(Vendas[[#This Row],[ID Item Vendido]],Agregado[ID],Agregado[Produto])</f>
        <v>Peça forjada sob encomenda</v>
      </c>
      <c r="F5194" s="39">
        <v>45999</v>
      </c>
      <c r="G5194" s="7">
        <v>3</v>
      </c>
      <c r="H5194" s="3">
        <f>_xlfn.XLOOKUP(Vendas[[#This Row],[ID Item Vendido]],Agregado[ID],Agregado[Revenda])</f>
        <v>264.60000000000002</v>
      </c>
      <c r="I5194" s="3">
        <f>Vendas[[#This Row],[Valor Unitário]]*Vendas[[#This Row],[Qnt Vendida]]</f>
        <v>793.80000000000007</v>
      </c>
      <c r="J5194" s="3">
        <f>Vendas[[#This Row],[Valor da Venda]]-(_xlfn.XLOOKUP(Vendas[[#This Row],[ID Item Vendido]],Agregado[ID],Agregado[Custo])*Vendas[[#This Row],[Qnt Vendida]])</f>
        <v>43.800000000000068</v>
      </c>
      <c r="K5194" s="70">
        <f>Vendas[[#This Row],[Lucro da Venda]]/Vendas[[#This Row],[Valor da Venda]]</f>
        <v>5.5177626606198113E-2</v>
      </c>
      <c r="L519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194"/>
    </row>
    <row r="5195" spans="1:13" x14ac:dyDescent="0.3">
      <c r="A5195" s="7">
        <v>400248</v>
      </c>
      <c r="B5195" t="str">
        <f>_xlfn.XLOOKUP(Vendas[[#This Row],[ID Vendedor]],Vendedores[ID],Vendedores[Nome])</f>
        <v>Patrícia</v>
      </c>
      <c r="C5195" s="7" t="str">
        <f>_xlfn.XLOOKUP(Vendas[[#This Row],[ID Vendedor]],Vendedores[ID],Vendedores[Setor])</f>
        <v>CM</v>
      </c>
      <c r="D5195" s="7" t="s">
        <v>45</v>
      </c>
      <c r="E5195" t="str">
        <f>_xlfn.XLOOKUP(Vendas[[#This Row],[ID Item Vendido]],Agregado[ID],Agregado[Produto])</f>
        <v>Viga de madeira tratada 4m</v>
      </c>
      <c r="F5195" s="39">
        <v>45999</v>
      </c>
      <c r="G5195" s="7">
        <v>10</v>
      </c>
      <c r="H5195" s="3">
        <f>_xlfn.XLOOKUP(Vendas[[#This Row],[ID Item Vendido]],Agregado[ID],Agregado[Revenda])</f>
        <v>66</v>
      </c>
      <c r="I5195" s="3">
        <f>Vendas[[#This Row],[Valor Unitário]]*Vendas[[#This Row],[Qnt Vendida]]</f>
        <v>660</v>
      </c>
      <c r="J5195" s="3">
        <f>Vendas[[#This Row],[Valor da Venda]]-(_xlfn.XLOOKUP(Vendas[[#This Row],[ID Item Vendido]],Agregado[ID],Agregado[Custo])*Vendas[[#This Row],[Qnt Vendida]])</f>
        <v>110</v>
      </c>
      <c r="K5195" s="70">
        <f>Vendas[[#This Row],[Lucro da Venda]]/Vendas[[#This Row],[Valor da Venda]]</f>
        <v>0.16666666666666666</v>
      </c>
      <c r="L5195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5195"/>
    </row>
    <row r="5196" spans="1:13" x14ac:dyDescent="0.3">
      <c r="A5196" s="7">
        <v>400252</v>
      </c>
      <c r="B5196" t="str">
        <f>_xlfn.XLOOKUP(Vendas[[#This Row],[ID Vendedor]],Vendedores[ID],Vendedores[Nome])</f>
        <v>Renata</v>
      </c>
      <c r="C5196" s="7" t="str">
        <f>_xlfn.XLOOKUP(Vendas[[#This Row],[ID Vendedor]],Vendedores[ID],Vendedores[Setor])</f>
        <v>AB</v>
      </c>
      <c r="D5196" s="7" t="s">
        <v>12</v>
      </c>
      <c r="E5196" t="str">
        <f>_xlfn.XLOOKUP(Vendas[[#This Row],[ID Item Vendido]],Agregado[ID],Agregado[Produto])</f>
        <v>Grânulo de plástico reciclado refinado</v>
      </c>
      <c r="F5196" s="39">
        <v>46000</v>
      </c>
      <c r="G5196" s="7">
        <v>67</v>
      </c>
      <c r="H5196" s="3">
        <f>_xlfn.XLOOKUP(Vendas[[#This Row],[ID Item Vendido]],Agregado[ID],Agregado[Revenda])</f>
        <v>4.7</v>
      </c>
      <c r="I5196" s="3">
        <f>Vendas[[#This Row],[Valor Unitário]]*Vendas[[#This Row],[Qnt Vendida]]</f>
        <v>314.90000000000003</v>
      </c>
      <c r="J5196" s="3">
        <f>Vendas[[#This Row],[Valor da Venda]]-(_xlfn.XLOOKUP(Vendas[[#This Row],[ID Item Vendido]],Agregado[ID],Agregado[Custo])*Vendas[[#This Row],[Qnt Vendida]])</f>
        <v>80.400000000000034</v>
      </c>
      <c r="K5196" s="70">
        <f>Vendas[[#This Row],[Lucro da Venda]]/Vendas[[#This Row],[Valor da Venda]]</f>
        <v>0.2553191489361703</v>
      </c>
      <c r="L5196" s="3">
        <f>_xlfn.IFS(Vendas[[#This Row],[Margem de Lucro (%)]]&lt;15%,Vendas[[#This Row],[Valor da Venda]]*3%,Vendas[[#This Row],[Margem de Lucro (%)]]&lt;=20%,Vendas[[#This Row],[Valor da Venda]]*4.5%,TRUE,Vendas[[#This Row],[Valor da Venda]]*6%)</f>
        <v>18.894000000000002</v>
      </c>
      <c r="M5196"/>
    </row>
    <row r="5197" spans="1:13" x14ac:dyDescent="0.3">
      <c r="A5197" s="7">
        <v>400252</v>
      </c>
      <c r="B5197" t="str">
        <f>_xlfn.XLOOKUP(Vendas[[#This Row],[ID Vendedor]],Vendedores[ID],Vendedores[Nome])</f>
        <v>Renata</v>
      </c>
      <c r="C5197" s="7" t="str">
        <f>_xlfn.XLOOKUP(Vendas[[#This Row],[ID Vendedor]],Vendedores[ID],Vendedores[Setor])</f>
        <v>AB</v>
      </c>
      <c r="D5197" s="7" t="s">
        <v>37</v>
      </c>
      <c r="E5197" t="str">
        <f>_xlfn.XLOOKUP(Vendas[[#This Row],[ID Item Vendido]],Agregado[ID],Agregado[Produto])</f>
        <v>Composto de borracha para vedação rolo 10m</v>
      </c>
      <c r="F5197" s="39">
        <v>46000</v>
      </c>
      <c r="G5197" s="7">
        <v>2</v>
      </c>
      <c r="H5197" s="3">
        <f>_xlfn.XLOOKUP(Vendas[[#This Row],[ID Item Vendido]],Agregado[ID],Agregado[Revenda])</f>
        <v>51.2</v>
      </c>
      <c r="I5197" s="3">
        <f>Vendas[[#This Row],[Valor Unitário]]*Vendas[[#This Row],[Qnt Vendida]]</f>
        <v>102.4</v>
      </c>
      <c r="J5197" s="3">
        <f>Vendas[[#This Row],[Valor da Venda]]-(_xlfn.XLOOKUP(Vendas[[#This Row],[ID Item Vendido]],Agregado[ID],Agregado[Custo])*Vendas[[#This Row],[Qnt Vendida]])</f>
        <v>22.400000000000006</v>
      </c>
      <c r="K5197" s="70">
        <f>Vendas[[#This Row],[Lucro da Venda]]/Vendas[[#This Row],[Valor da Venda]]</f>
        <v>0.21875000000000006</v>
      </c>
      <c r="L5197" s="3">
        <f>_xlfn.IFS(Vendas[[#This Row],[Margem de Lucro (%)]]&lt;15%,Vendas[[#This Row],[Valor da Venda]]*3%,Vendas[[#This Row],[Margem de Lucro (%)]]&lt;=20%,Vendas[[#This Row],[Valor da Venda]]*4.5%,TRUE,Vendas[[#This Row],[Valor da Venda]]*6%)</f>
        <v>6.1440000000000001</v>
      </c>
      <c r="M5197"/>
    </row>
    <row r="5198" spans="1:13" x14ac:dyDescent="0.3">
      <c r="A5198" s="7">
        <v>400251</v>
      </c>
      <c r="B5198" t="str">
        <f>_xlfn.XLOOKUP(Vendas[[#This Row],[ID Vendedor]],Vendedores[ID],Vendedores[Nome])</f>
        <v>Diego</v>
      </c>
      <c r="C5198" s="7" t="str">
        <f>_xlfn.XLOOKUP(Vendas[[#This Row],[ID Vendedor]],Vendedores[ID],Vendedores[Setor])</f>
        <v>AB</v>
      </c>
      <c r="D5198" s="7" t="s">
        <v>12</v>
      </c>
      <c r="E5198" t="str">
        <f>_xlfn.XLOOKUP(Vendas[[#This Row],[ID Item Vendido]],Agregado[ID],Agregado[Produto])</f>
        <v>Grânulo de plástico reciclado refinado</v>
      </c>
      <c r="F5198" s="39">
        <v>46001</v>
      </c>
      <c r="G5198" s="7">
        <v>76</v>
      </c>
      <c r="H5198" s="3">
        <f>_xlfn.XLOOKUP(Vendas[[#This Row],[ID Item Vendido]],Agregado[ID],Agregado[Revenda])</f>
        <v>4.7</v>
      </c>
      <c r="I5198" s="3">
        <f>Vendas[[#This Row],[Valor Unitário]]*Vendas[[#This Row],[Qnt Vendida]]</f>
        <v>357.2</v>
      </c>
      <c r="J5198" s="3">
        <f>Vendas[[#This Row],[Valor da Venda]]-(_xlfn.XLOOKUP(Vendas[[#This Row],[ID Item Vendido]],Agregado[ID],Agregado[Custo])*Vendas[[#This Row],[Qnt Vendida]])</f>
        <v>91.199999999999989</v>
      </c>
      <c r="K5198" s="70">
        <f>Vendas[[#This Row],[Lucro da Venda]]/Vendas[[#This Row],[Valor da Venda]]</f>
        <v>0.25531914893617019</v>
      </c>
      <c r="L5198" s="3">
        <f>_xlfn.IFS(Vendas[[#This Row],[Margem de Lucro (%)]]&lt;15%,Vendas[[#This Row],[Valor da Venda]]*3%,Vendas[[#This Row],[Margem de Lucro (%)]]&lt;=20%,Vendas[[#This Row],[Valor da Venda]]*4.5%,TRUE,Vendas[[#This Row],[Valor da Venda]]*6%)</f>
        <v>21.431999999999999</v>
      </c>
      <c r="M5198"/>
    </row>
    <row r="5199" spans="1:13" x14ac:dyDescent="0.3">
      <c r="A5199" s="7">
        <v>400252</v>
      </c>
      <c r="B5199" t="str">
        <f>_xlfn.XLOOKUP(Vendas[[#This Row],[ID Vendedor]],Vendedores[ID],Vendedores[Nome])</f>
        <v>Renata</v>
      </c>
      <c r="C5199" s="7" t="str">
        <f>_xlfn.XLOOKUP(Vendas[[#This Row],[ID Vendedor]],Vendedores[ID],Vendedores[Setor])</f>
        <v>AB</v>
      </c>
      <c r="D5199" s="7" t="s">
        <v>36</v>
      </c>
      <c r="E5199" t="str">
        <f>_xlfn.XLOOKUP(Vendas[[#This Row],[ID Item Vendido]],Agregado[ID],Agregado[Produto])</f>
        <v>Borracha vulcanizada em manta</v>
      </c>
      <c r="F5199" s="39">
        <v>46001</v>
      </c>
      <c r="G5199" s="7">
        <v>9</v>
      </c>
      <c r="H5199" s="3">
        <f>_xlfn.XLOOKUP(Vendas[[#This Row],[ID Item Vendido]],Agregado[ID],Agregado[Revenda])</f>
        <v>7.8</v>
      </c>
      <c r="I5199" s="3">
        <f>Vendas[[#This Row],[Valor Unitário]]*Vendas[[#This Row],[Qnt Vendida]]</f>
        <v>70.2</v>
      </c>
      <c r="J5199" s="3">
        <f>Vendas[[#This Row],[Valor da Venda]]-(_xlfn.XLOOKUP(Vendas[[#This Row],[ID Item Vendido]],Agregado[ID],Agregado[Custo])*Vendas[[#This Row],[Qnt Vendida]])</f>
        <v>16.200000000000003</v>
      </c>
      <c r="K5199" s="70">
        <f>Vendas[[#This Row],[Lucro da Venda]]/Vendas[[#This Row],[Valor da Venda]]</f>
        <v>0.23076923076923081</v>
      </c>
      <c r="L5199" s="3">
        <f>_xlfn.IFS(Vendas[[#This Row],[Margem de Lucro (%)]]&lt;15%,Vendas[[#This Row],[Valor da Venda]]*3%,Vendas[[#This Row],[Margem de Lucro (%)]]&lt;=20%,Vendas[[#This Row],[Valor da Venda]]*4.5%,TRUE,Vendas[[#This Row],[Valor da Venda]]*6%)</f>
        <v>4.2119999999999997</v>
      </c>
      <c r="M5199"/>
    </row>
    <row r="5200" spans="1:13" x14ac:dyDescent="0.3">
      <c r="A5200" s="7">
        <v>400246</v>
      </c>
      <c r="B5200" t="str">
        <f>_xlfn.XLOOKUP(Vendas[[#This Row],[ID Vendedor]],Vendedores[ID],Vendedores[Nome])</f>
        <v>Juliana</v>
      </c>
      <c r="C5200" s="7" t="str">
        <f>_xlfn.XLOOKUP(Vendas[[#This Row],[ID Vendedor]],Vendedores[ID],Vendedores[Setor])</f>
        <v>AHD</v>
      </c>
      <c r="D5200" s="7" t="s">
        <v>30</v>
      </c>
      <c r="E5200" t="str">
        <f>_xlfn.XLOOKUP(Vendas[[#This Row],[ID Item Vendido]],Agregado[ID],Agregado[Produto])</f>
        <v>Estrutura metálica soldada</v>
      </c>
      <c r="F5200" s="39">
        <v>46002</v>
      </c>
      <c r="G5200" s="7">
        <v>6</v>
      </c>
      <c r="H5200" s="3">
        <f>_xlfn.XLOOKUP(Vendas[[#This Row],[ID Item Vendido]],Agregado[ID],Agregado[Revenda])</f>
        <v>400</v>
      </c>
      <c r="I5200" s="3">
        <f>Vendas[[#This Row],[Valor Unitário]]*Vendas[[#This Row],[Qnt Vendida]]</f>
        <v>2400</v>
      </c>
      <c r="J5200" s="3">
        <f>Vendas[[#This Row],[Valor da Venda]]-(_xlfn.XLOOKUP(Vendas[[#This Row],[ID Item Vendido]],Agregado[ID],Agregado[Custo])*Vendas[[#This Row],[Qnt Vendida]])</f>
        <v>480</v>
      </c>
      <c r="K5200" s="70">
        <f>Vendas[[#This Row],[Lucro da Venda]]/Vendas[[#This Row],[Valor da Venda]]</f>
        <v>0.2</v>
      </c>
      <c r="L5200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5200"/>
    </row>
    <row r="5201" spans="1:13" x14ac:dyDescent="0.3">
      <c r="A5201" s="7">
        <v>400242</v>
      </c>
      <c r="B5201" t="str">
        <f>_xlfn.XLOOKUP(Vendas[[#This Row],[ID Vendedor]],Vendedores[ID],Vendedores[Nome])</f>
        <v>Fernanda</v>
      </c>
      <c r="C5201" s="7" t="str">
        <f>_xlfn.XLOOKUP(Vendas[[#This Row],[ID Vendedor]],Vendedores[ID],Vendedores[Setor])</f>
        <v>FM</v>
      </c>
      <c r="D5201" s="7" t="s">
        <v>47</v>
      </c>
      <c r="E5201" t="str">
        <f>_xlfn.XLOOKUP(Vendas[[#This Row],[ID Item Vendido]],Agregado[ID],Agregado[Produto])</f>
        <v>Fio de arame galvanizado rolo 50m</v>
      </c>
      <c r="F5201" s="39">
        <v>46002</v>
      </c>
      <c r="G5201" s="7">
        <v>20</v>
      </c>
      <c r="H5201" s="3">
        <f>_xlfn.XLOOKUP(Vendas[[#This Row],[ID Item Vendido]],Agregado[ID],Agregado[Revenda])</f>
        <v>21.2</v>
      </c>
      <c r="I5201" s="3">
        <f>Vendas[[#This Row],[Valor Unitário]]*Vendas[[#This Row],[Qnt Vendida]]</f>
        <v>424</v>
      </c>
      <c r="J5201" s="3">
        <f>Vendas[[#This Row],[Valor da Venda]]-(_xlfn.XLOOKUP(Vendas[[#This Row],[ID Item Vendido]],Agregado[ID],Agregado[Custo])*Vendas[[#This Row],[Qnt Vendida]])</f>
        <v>64</v>
      </c>
      <c r="K5201" s="70">
        <f>Vendas[[#This Row],[Lucro da Venda]]/Vendas[[#This Row],[Valor da Venda]]</f>
        <v>0.15094339622641509</v>
      </c>
      <c r="L5201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5201"/>
    </row>
    <row r="5202" spans="1:13" x14ac:dyDescent="0.3">
      <c r="A5202" s="7">
        <v>400249</v>
      </c>
      <c r="B5202" t="str">
        <f>_xlfn.XLOOKUP(Vendas[[#This Row],[ID Vendedor]],Vendedores[ID],Vendedores[Nome])</f>
        <v>Bruno</v>
      </c>
      <c r="C5202" s="7" t="str">
        <f>_xlfn.XLOOKUP(Vendas[[#This Row],[ID Vendedor]],Vendedores[ID],Vendedores[Setor])</f>
        <v>CM</v>
      </c>
      <c r="D5202" s="7" t="s">
        <v>32</v>
      </c>
      <c r="E5202" t="str">
        <f>_xlfn.XLOOKUP(Vendas[[#This Row],[ID Item Vendido]],Agregado[ID],Agregado[Produto])</f>
        <v>Tábua tratada e cortada 3m</v>
      </c>
      <c r="F5202" s="39">
        <v>46002</v>
      </c>
      <c r="G5202" s="7">
        <v>10</v>
      </c>
      <c r="H5202" s="3">
        <f>_xlfn.XLOOKUP(Vendas[[#This Row],[ID Item Vendido]],Agregado[ID],Agregado[Revenda])</f>
        <v>39</v>
      </c>
      <c r="I5202" s="3">
        <f>Vendas[[#This Row],[Valor Unitário]]*Vendas[[#This Row],[Qnt Vendida]]</f>
        <v>390</v>
      </c>
      <c r="J5202" s="3">
        <f>Vendas[[#This Row],[Valor da Venda]]-(_xlfn.XLOOKUP(Vendas[[#This Row],[ID Item Vendido]],Agregado[ID],Agregado[Custo])*Vendas[[#This Row],[Qnt Vendida]])</f>
        <v>70</v>
      </c>
      <c r="K5202" s="70">
        <f>Vendas[[#This Row],[Lucro da Venda]]/Vendas[[#This Row],[Valor da Venda]]</f>
        <v>0.17948717948717949</v>
      </c>
      <c r="L5202" s="3">
        <f>_xlfn.IFS(Vendas[[#This Row],[Margem de Lucro (%)]]&lt;15%,Vendas[[#This Row],[Valor da Venda]]*3%,Vendas[[#This Row],[Margem de Lucro (%)]]&lt;=20%,Vendas[[#This Row],[Valor da Venda]]*4.5%,TRUE,Vendas[[#This Row],[Valor da Venda]]*6%)</f>
        <v>17.55</v>
      </c>
      <c r="M5202"/>
    </row>
    <row r="5203" spans="1:13" x14ac:dyDescent="0.3">
      <c r="A5203" s="7">
        <v>400248</v>
      </c>
      <c r="B5203" t="str">
        <f>_xlfn.XLOOKUP(Vendas[[#This Row],[ID Vendedor]],Vendedores[ID],Vendedores[Nome])</f>
        <v>Patrícia</v>
      </c>
      <c r="C5203" s="7" t="str">
        <f>_xlfn.XLOOKUP(Vendas[[#This Row],[ID Vendedor]],Vendedores[ID],Vendedores[Setor])</f>
        <v>CM</v>
      </c>
      <c r="D5203" s="7" t="s">
        <v>22</v>
      </c>
      <c r="E5203" t="str">
        <f>_xlfn.XLOOKUP(Vendas[[#This Row],[ID Item Vendido]],Agregado[ID],Agregado[Produto])</f>
        <v>Painel MDP 2,75x1,83m</v>
      </c>
      <c r="F5203" s="39">
        <v>46003</v>
      </c>
      <c r="G5203" s="7">
        <v>13</v>
      </c>
      <c r="H5203" s="3">
        <f>_xlfn.XLOOKUP(Vendas[[#This Row],[ID Item Vendido]],Agregado[ID],Agregado[Revenda])</f>
        <v>119</v>
      </c>
      <c r="I5203" s="3">
        <f>Vendas[[#This Row],[Valor Unitário]]*Vendas[[#This Row],[Qnt Vendida]]</f>
        <v>1547</v>
      </c>
      <c r="J5203" s="3">
        <f>Vendas[[#This Row],[Valor da Venda]]-(_xlfn.XLOOKUP(Vendas[[#This Row],[ID Item Vendido]],Agregado[ID],Agregado[Custo])*Vendas[[#This Row],[Qnt Vendida]])</f>
        <v>312</v>
      </c>
      <c r="K5203" s="70">
        <f>Vendas[[#This Row],[Lucro da Venda]]/Vendas[[#This Row],[Valor da Venda]]</f>
        <v>0.20168067226890757</v>
      </c>
      <c r="L5203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203"/>
    </row>
    <row r="5204" spans="1:13" x14ac:dyDescent="0.3">
      <c r="A5204" s="7">
        <v>400248</v>
      </c>
      <c r="B5204" t="str">
        <f>_xlfn.XLOOKUP(Vendas[[#This Row],[ID Vendedor]],Vendedores[ID],Vendedores[Nome])</f>
        <v>Patrícia</v>
      </c>
      <c r="C5204" s="7" t="str">
        <f>_xlfn.XLOOKUP(Vendas[[#This Row],[ID Vendedor]],Vendedores[ID],Vendedores[Setor])</f>
        <v>CM</v>
      </c>
      <c r="D5204" s="7" t="s">
        <v>43</v>
      </c>
      <c r="E5204" t="str">
        <f>_xlfn.XLOOKUP(Vendas[[#This Row],[ID Item Vendido]],Agregado[ID],Agregado[Produto])</f>
        <v>Madeira Bruta (Tora)</v>
      </c>
      <c r="F5204" s="39">
        <v>46003</v>
      </c>
      <c r="G5204" s="7">
        <v>6</v>
      </c>
      <c r="H5204" s="3">
        <f>_xlfn.XLOOKUP(Vendas[[#This Row],[ID Item Vendido]],Agregado[ID],Agregado[Revenda])</f>
        <v>212</v>
      </c>
      <c r="I5204" s="3">
        <f>Vendas[[#This Row],[Valor Unitário]]*Vendas[[#This Row],[Qnt Vendida]]</f>
        <v>1272</v>
      </c>
      <c r="J5204" s="3">
        <f>Vendas[[#This Row],[Valor da Venda]]-(_xlfn.XLOOKUP(Vendas[[#This Row],[ID Item Vendido]],Agregado[ID],Agregado[Custo])*Vendas[[#This Row],[Qnt Vendida]])</f>
        <v>192</v>
      </c>
      <c r="K5204" s="70">
        <f>Vendas[[#This Row],[Lucro da Venda]]/Vendas[[#This Row],[Valor da Venda]]</f>
        <v>0.15094339622641509</v>
      </c>
      <c r="L5204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5204"/>
    </row>
    <row r="5205" spans="1:13" x14ac:dyDescent="0.3">
      <c r="A5205" s="7">
        <v>400252</v>
      </c>
      <c r="B5205" t="str">
        <f>_xlfn.XLOOKUP(Vendas[[#This Row],[ID Vendedor]],Vendedores[ID],Vendedores[Nome])</f>
        <v>Renata</v>
      </c>
      <c r="C5205" s="7" t="str">
        <f>_xlfn.XLOOKUP(Vendas[[#This Row],[ID Vendedor]],Vendedores[ID],Vendedores[Setor])</f>
        <v>AB</v>
      </c>
      <c r="D5205" s="7" t="s">
        <v>39</v>
      </c>
      <c r="E5205" t="str">
        <f>_xlfn.XLOOKUP(Vendas[[#This Row],[ID Item Vendido]],Agregado[ID],Agregado[Produto])</f>
        <v>Filme plástico industrial rolo 50m</v>
      </c>
      <c r="F5205" s="39">
        <v>46003</v>
      </c>
      <c r="G5205" s="7">
        <v>21</v>
      </c>
      <c r="H5205" s="3">
        <f>_xlfn.XLOOKUP(Vendas[[#This Row],[ID Item Vendido]],Agregado[ID],Agregado[Revenda])</f>
        <v>37</v>
      </c>
      <c r="I5205" s="3">
        <f>Vendas[[#This Row],[Valor Unitário]]*Vendas[[#This Row],[Qnt Vendida]]</f>
        <v>777</v>
      </c>
      <c r="J5205" s="3">
        <f>Vendas[[#This Row],[Valor da Venda]]-(_xlfn.XLOOKUP(Vendas[[#This Row],[ID Item Vendido]],Agregado[ID],Agregado[Custo])*Vendas[[#This Row],[Qnt Vendida]])</f>
        <v>189</v>
      </c>
      <c r="K5205" s="70">
        <f>Vendas[[#This Row],[Lucro da Venda]]/Vendas[[#This Row],[Valor da Venda]]</f>
        <v>0.24324324324324326</v>
      </c>
      <c r="L5205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5205"/>
    </row>
    <row r="5206" spans="1:13" x14ac:dyDescent="0.3">
      <c r="A5206" s="7">
        <v>400248</v>
      </c>
      <c r="B5206" t="str">
        <f>_xlfn.XLOOKUP(Vendas[[#This Row],[ID Vendedor]],Vendedores[ID],Vendedores[Nome])</f>
        <v>Patrícia</v>
      </c>
      <c r="C5206" s="7" t="str">
        <f>_xlfn.XLOOKUP(Vendas[[#This Row],[ID Vendedor]],Vendedores[ID],Vendedores[Setor])</f>
        <v>CM</v>
      </c>
      <c r="D5206" s="7" t="s">
        <v>43</v>
      </c>
      <c r="E5206" t="str">
        <f>_xlfn.XLOOKUP(Vendas[[#This Row],[ID Item Vendido]],Agregado[ID],Agregado[Produto])</f>
        <v>Madeira Bruta (Tora)</v>
      </c>
      <c r="F5206" s="39">
        <v>46005</v>
      </c>
      <c r="G5206" s="7">
        <v>3</v>
      </c>
      <c r="H5206" s="3">
        <f>_xlfn.XLOOKUP(Vendas[[#This Row],[ID Item Vendido]],Agregado[ID],Agregado[Revenda])</f>
        <v>212</v>
      </c>
      <c r="I5206" s="3">
        <f>Vendas[[#This Row],[Valor Unitário]]*Vendas[[#This Row],[Qnt Vendida]]</f>
        <v>636</v>
      </c>
      <c r="J5206" s="3">
        <f>Vendas[[#This Row],[Valor da Venda]]-(_xlfn.XLOOKUP(Vendas[[#This Row],[ID Item Vendido]],Agregado[ID],Agregado[Custo])*Vendas[[#This Row],[Qnt Vendida]])</f>
        <v>96</v>
      </c>
      <c r="K5206" s="70">
        <f>Vendas[[#This Row],[Lucro da Venda]]/Vendas[[#This Row],[Valor da Venda]]</f>
        <v>0.15094339622641509</v>
      </c>
      <c r="L5206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5206"/>
    </row>
    <row r="5207" spans="1:13" x14ac:dyDescent="0.3">
      <c r="A5207" s="7">
        <v>400242</v>
      </c>
      <c r="B5207" t="str">
        <f>_xlfn.XLOOKUP(Vendas[[#This Row],[ID Vendedor]],Vendedores[ID],Vendedores[Nome])</f>
        <v>Fernanda</v>
      </c>
      <c r="C5207" s="7" t="str">
        <f>_xlfn.XLOOKUP(Vendas[[#This Row],[ID Vendedor]],Vendedores[ID],Vendedores[Setor])</f>
        <v>FM</v>
      </c>
      <c r="D5207" s="7" t="s">
        <v>6</v>
      </c>
      <c r="E5207" t="str">
        <f>_xlfn.XLOOKUP(Vendas[[#This Row],[ID Item Vendido]],Agregado[ID],Agregado[Produto])</f>
        <v>Parafuso comum 500un</v>
      </c>
      <c r="F5207" s="39">
        <v>46005</v>
      </c>
      <c r="G5207" s="7">
        <v>25</v>
      </c>
      <c r="H5207" s="3">
        <f>_xlfn.XLOOKUP(Vendas[[#This Row],[ID Item Vendido]],Agregado[ID],Agregado[Revenda])</f>
        <v>24.6</v>
      </c>
      <c r="I5207" s="3">
        <f>Vendas[[#This Row],[Valor Unitário]]*Vendas[[#This Row],[Qnt Vendida]]</f>
        <v>615</v>
      </c>
      <c r="J5207" s="3">
        <f>Vendas[[#This Row],[Valor da Venda]]-(_xlfn.XLOOKUP(Vendas[[#This Row],[ID Item Vendido]],Agregado[ID],Agregado[Custo])*Vendas[[#This Row],[Qnt Vendida]])</f>
        <v>65</v>
      </c>
      <c r="K5207" s="70">
        <f>Vendas[[#This Row],[Lucro da Venda]]/Vendas[[#This Row],[Valor da Venda]]</f>
        <v>0.10569105691056911</v>
      </c>
      <c r="L5207" s="3">
        <f>_xlfn.IFS(Vendas[[#This Row],[Margem de Lucro (%)]]&lt;15%,Vendas[[#This Row],[Valor da Venda]]*3%,Vendas[[#This Row],[Margem de Lucro (%)]]&lt;=20%,Vendas[[#This Row],[Valor da Venda]]*4.5%,TRUE,Vendas[[#This Row],[Valor da Venda]]*6%)</f>
        <v>18.45</v>
      </c>
      <c r="M5207"/>
    </row>
    <row r="5208" spans="1:13" x14ac:dyDescent="0.3">
      <c r="A5208" s="7">
        <v>400253</v>
      </c>
      <c r="B5208" t="str">
        <f>_xlfn.XLOOKUP(Vendas[[#This Row],[ID Vendedor]],Vendedores[ID],Vendedores[Nome])</f>
        <v>Gustavo</v>
      </c>
      <c r="C5208" s="7" t="str">
        <f>_xlfn.XLOOKUP(Vendas[[#This Row],[ID Vendedor]],Vendedores[ID],Vendedores[Setor])</f>
        <v>SC</v>
      </c>
      <c r="D5208" s="7" t="s">
        <v>41</v>
      </c>
      <c r="E5208" t="str">
        <f>_xlfn.XLOOKUP(Vendas[[#This Row],[ID Item Vendido]],Agregado[ID],Agregado[Produto])</f>
        <v>Palete de madeira reforçado</v>
      </c>
      <c r="F5208" s="39">
        <v>46005</v>
      </c>
      <c r="G5208" s="7">
        <v>2</v>
      </c>
      <c r="H5208" s="3">
        <f>_xlfn.XLOOKUP(Vendas[[#This Row],[ID Item Vendido]],Agregado[ID],Agregado[Revenda])</f>
        <v>131</v>
      </c>
      <c r="I5208" s="3">
        <f>Vendas[[#This Row],[Valor Unitário]]*Vendas[[#This Row],[Qnt Vendida]]</f>
        <v>262</v>
      </c>
      <c r="J5208" s="3">
        <f>Vendas[[#This Row],[Valor da Venda]]-(_xlfn.XLOOKUP(Vendas[[#This Row],[ID Item Vendido]],Agregado[ID],Agregado[Custo])*Vendas[[#This Row],[Qnt Vendida]])</f>
        <v>42</v>
      </c>
      <c r="K5208" s="70">
        <f>Vendas[[#This Row],[Lucro da Venda]]/Vendas[[#This Row],[Valor da Venda]]</f>
        <v>0.16030534351145037</v>
      </c>
      <c r="L5208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208"/>
    </row>
    <row r="5209" spans="1:13" x14ac:dyDescent="0.3">
      <c r="A5209" s="7">
        <v>400253</v>
      </c>
      <c r="B5209" t="str">
        <f>_xlfn.XLOOKUP(Vendas[[#This Row],[ID Vendedor]],Vendedores[ID],Vendedores[Nome])</f>
        <v>Gustavo</v>
      </c>
      <c r="C5209" s="7" t="str">
        <f>_xlfn.XLOOKUP(Vendas[[#This Row],[ID Vendedor]],Vendedores[ID],Vendedores[Setor])</f>
        <v>SC</v>
      </c>
      <c r="D5209" s="7" t="s">
        <v>42</v>
      </c>
      <c r="E5209" t="str">
        <f>_xlfn.XLOOKUP(Vendas[[#This Row],[ID Item Vendido]],Agregado[ID],Agregado[Produto])</f>
        <v>Container de ferro industrial</v>
      </c>
      <c r="F5209" s="39">
        <v>46006</v>
      </c>
      <c r="G5209" s="7">
        <v>5</v>
      </c>
      <c r="H5209" s="3">
        <f>_xlfn.XLOOKUP(Vendas[[#This Row],[ID Item Vendido]],Agregado[ID],Agregado[Revenda])</f>
        <v>830</v>
      </c>
      <c r="I5209" s="3">
        <f>Vendas[[#This Row],[Valor Unitário]]*Vendas[[#This Row],[Qnt Vendida]]</f>
        <v>4150</v>
      </c>
      <c r="J5209" s="3">
        <f>Vendas[[#This Row],[Valor da Venda]]-(_xlfn.XLOOKUP(Vendas[[#This Row],[ID Item Vendido]],Agregado[ID],Agregado[Custo])*Vendas[[#This Row],[Qnt Vendida]])</f>
        <v>750</v>
      </c>
      <c r="K5209" s="70">
        <f>Vendas[[#This Row],[Lucro da Venda]]/Vendas[[#This Row],[Valor da Venda]]</f>
        <v>0.18072289156626506</v>
      </c>
      <c r="L5209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209"/>
    </row>
    <row r="5210" spans="1:13" x14ac:dyDescent="0.3">
      <c r="A5210" s="7">
        <v>400248</v>
      </c>
      <c r="B5210" t="str">
        <f>_xlfn.XLOOKUP(Vendas[[#This Row],[ID Vendedor]],Vendedores[ID],Vendedores[Nome])</f>
        <v>Patrícia</v>
      </c>
      <c r="C5210" s="7" t="str">
        <f>_xlfn.XLOOKUP(Vendas[[#This Row],[ID Vendedor]],Vendedores[ID],Vendedores[Setor])</f>
        <v>CM</v>
      </c>
      <c r="D5210" s="7" t="s">
        <v>43</v>
      </c>
      <c r="E5210" t="str">
        <f>_xlfn.XLOOKUP(Vendas[[#This Row],[ID Item Vendido]],Agregado[ID],Agregado[Produto])</f>
        <v>Madeira Bruta (Tora)</v>
      </c>
      <c r="F5210" s="39">
        <v>46006</v>
      </c>
      <c r="G5210" s="7">
        <v>8</v>
      </c>
      <c r="H5210" s="3">
        <f>_xlfn.XLOOKUP(Vendas[[#This Row],[ID Item Vendido]],Agregado[ID],Agregado[Revenda])</f>
        <v>212</v>
      </c>
      <c r="I5210" s="3">
        <f>Vendas[[#This Row],[Valor Unitário]]*Vendas[[#This Row],[Qnt Vendida]]</f>
        <v>1696</v>
      </c>
      <c r="J5210" s="3">
        <f>Vendas[[#This Row],[Valor da Venda]]-(_xlfn.XLOOKUP(Vendas[[#This Row],[ID Item Vendido]],Agregado[ID],Agregado[Custo])*Vendas[[#This Row],[Qnt Vendida]])</f>
        <v>256</v>
      </c>
      <c r="K5210" s="70">
        <f>Vendas[[#This Row],[Lucro da Venda]]/Vendas[[#This Row],[Valor da Venda]]</f>
        <v>0.15094339622641509</v>
      </c>
      <c r="L5210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5210"/>
    </row>
    <row r="5211" spans="1:13" x14ac:dyDescent="0.3">
      <c r="A5211" s="7">
        <v>400243</v>
      </c>
      <c r="B5211" t="str">
        <f>_xlfn.XLOOKUP(Vendas[[#This Row],[ID Vendedor]],Vendedores[ID],Vendedores[Nome])</f>
        <v>Marcelo</v>
      </c>
      <c r="C5211" s="7" t="str">
        <f>_xlfn.XLOOKUP(Vendas[[#This Row],[ID Vendedor]],Vendedores[ID],Vendedores[Setor])</f>
        <v>FM</v>
      </c>
      <c r="D5211" s="7" t="s">
        <v>47</v>
      </c>
      <c r="E5211" t="str">
        <f>_xlfn.XLOOKUP(Vendas[[#This Row],[ID Item Vendido]],Agregado[ID],Agregado[Produto])</f>
        <v>Fio de arame galvanizado rolo 50m</v>
      </c>
      <c r="F5211" s="39">
        <v>46006</v>
      </c>
      <c r="G5211" s="7">
        <v>22</v>
      </c>
      <c r="H5211" s="3">
        <f>_xlfn.XLOOKUP(Vendas[[#This Row],[ID Item Vendido]],Agregado[ID],Agregado[Revenda])</f>
        <v>21.2</v>
      </c>
      <c r="I5211" s="3">
        <f>Vendas[[#This Row],[Valor Unitário]]*Vendas[[#This Row],[Qnt Vendida]]</f>
        <v>466.4</v>
      </c>
      <c r="J5211" s="3">
        <f>Vendas[[#This Row],[Valor da Venda]]-(_xlfn.XLOOKUP(Vendas[[#This Row],[ID Item Vendido]],Agregado[ID],Agregado[Custo])*Vendas[[#This Row],[Qnt Vendida]])</f>
        <v>70.399999999999977</v>
      </c>
      <c r="K5211" s="70">
        <f>Vendas[[#This Row],[Lucro da Venda]]/Vendas[[#This Row],[Valor da Venda]]</f>
        <v>0.15094339622641506</v>
      </c>
      <c r="L5211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5211"/>
    </row>
    <row r="5212" spans="1:13" x14ac:dyDescent="0.3">
      <c r="A5212" s="7">
        <v>400243</v>
      </c>
      <c r="B5212" t="str">
        <f>_xlfn.XLOOKUP(Vendas[[#This Row],[ID Vendedor]],Vendedores[ID],Vendedores[Nome])</f>
        <v>Marcelo</v>
      </c>
      <c r="C5212" s="7" t="str">
        <f>_xlfn.XLOOKUP(Vendas[[#This Row],[ID Vendedor]],Vendedores[ID],Vendedores[Setor])</f>
        <v>FM</v>
      </c>
      <c r="D5212" s="7" t="s">
        <v>6</v>
      </c>
      <c r="E5212" t="str">
        <f>_xlfn.XLOOKUP(Vendas[[#This Row],[ID Item Vendido]],Agregado[ID],Agregado[Produto])</f>
        <v>Parafuso comum 500un</v>
      </c>
      <c r="F5212" s="39">
        <v>46006</v>
      </c>
      <c r="G5212" s="7">
        <v>14</v>
      </c>
      <c r="H5212" s="3">
        <f>_xlfn.XLOOKUP(Vendas[[#This Row],[ID Item Vendido]],Agregado[ID],Agregado[Revenda])</f>
        <v>24.6</v>
      </c>
      <c r="I5212" s="3">
        <f>Vendas[[#This Row],[Valor Unitário]]*Vendas[[#This Row],[Qnt Vendida]]</f>
        <v>344.40000000000003</v>
      </c>
      <c r="J5212" s="3">
        <f>Vendas[[#This Row],[Valor da Venda]]-(_xlfn.XLOOKUP(Vendas[[#This Row],[ID Item Vendido]],Agregado[ID],Agregado[Custo])*Vendas[[#This Row],[Qnt Vendida]])</f>
        <v>36.400000000000034</v>
      </c>
      <c r="K5212" s="70">
        <f>Vendas[[#This Row],[Lucro da Venda]]/Vendas[[#This Row],[Valor da Venda]]</f>
        <v>0.10569105691056919</v>
      </c>
      <c r="L5212" s="3">
        <f>_xlfn.IFS(Vendas[[#This Row],[Margem de Lucro (%)]]&lt;15%,Vendas[[#This Row],[Valor da Venda]]*3%,Vendas[[#This Row],[Margem de Lucro (%)]]&lt;=20%,Vendas[[#This Row],[Valor da Venda]]*4.5%,TRUE,Vendas[[#This Row],[Valor da Venda]]*6%)</f>
        <v>10.332000000000001</v>
      </c>
      <c r="M5212"/>
    </row>
    <row r="5213" spans="1:13" x14ac:dyDescent="0.3">
      <c r="A5213" s="7">
        <v>400252</v>
      </c>
      <c r="B5213" t="str">
        <f>_xlfn.XLOOKUP(Vendas[[#This Row],[ID Vendedor]],Vendedores[ID],Vendedores[Nome])</f>
        <v>Renata</v>
      </c>
      <c r="C5213" s="7" t="str">
        <f>_xlfn.XLOOKUP(Vendas[[#This Row],[ID Vendedor]],Vendedores[ID],Vendedores[Setor])</f>
        <v>AB</v>
      </c>
      <c r="D5213" s="7" t="s">
        <v>36</v>
      </c>
      <c r="E5213" t="str">
        <f>_xlfn.XLOOKUP(Vendas[[#This Row],[ID Item Vendido]],Agregado[ID],Agregado[Produto])</f>
        <v>Borracha vulcanizada em manta</v>
      </c>
      <c r="F5213" s="39">
        <v>46006</v>
      </c>
      <c r="G5213" s="7">
        <v>31</v>
      </c>
      <c r="H5213" s="3">
        <f>_xlfn.XLOOKUP(Vendas[[#This Row],[ID Item Vendido]],Agregado[ID],Agregado[Revenda])</f>
        <v>7.8</v>
      </c>
      <c r="I5213" s="3">
        <f>Vendas[[#This Row],[Valor Unitário]]*Vendas[[#This Row],[Qnt Vendida]]</f>
        <v>241.79999999999998</v>
      </c>
      <c r="J5213" s="3">
        <f>Vendas[[#This Row],[Valor da Venda]]-(_xlfn.XLOOKUP(Vendas[[#This Row],[ID Item Vendido]],Agregado[ID],Agregado[Custo])*Vendas[[#This Row],[Qnt Vendida]])</f>
        <v>55.799999999999983</v>
      </c>
      <c r="K5213" s="70">
        <f>Vendas[[#This Row],[Lucro da Venda]]/Vendas[[#This Row],[Valor da Venda]]</f>
        <v>0.23076923076923073</v>
      </c>
      <c r="L5213" s="3">
        <f>_xlfn.IFS(Vendas[[#This Row],[Margem de Lucro (%)]]&lt;15%,Vendas[[#This Row],[Valor da Venda]]*3%,Vendas[[#This Row],[Margem de Lucro (%)]]&lt;=20%,Vendas[[#This Row],[Valor da Venda]]*4.5%,TRUE,Vendas[[#This Row],[Valor da Venda]]*6%)</f>
        <v>14.507999999999999</v>
      </c>
      <c r="M5213"/>
    </row>
    <row r="5214" spans="1:13" x14ac:dyDescent="0.3">
      <c r="A5214" s="7">
        <v>400250</v>
      </c>
      <c r="B5214" t="str">
        <f>_xlfn.XLOOKUP(Vendas[[#This Row],[ID Vendedor]],Vendedores[ID],Vendedores[Nome])</f>
        <v>Larissa</v>
      </c>
      <c r="C5214" s="7" t="str">
        <f>_xlfn.XLOOKUP(Vendas[[#This Row],[ID Vendedor]],Vendedores[ID],Vendedores[Setor])</f>
        <v>AB</v>
      </c>
      <c r="D5214" s="7" t="s">
        <v>12</v>
      </c>
      <c r="E5214" t="str">
        <f>_xlfn.XLOOKUP(Vendas[[#This Row],[ID Item Vendido]],Agregado[ID],Agregado[Produto])</f>
        <v>Grânulo de plástico reciclado refinado</v>
      </c>
      <c r="F5214" s="39">
        <v>46006</v>
      </c>
      <c r="G5214" s="7">
        <v>31</v>
      </c>
      <c r="H5214" s="3">
        <f>_xlfn.XLOOKUP(Vendas[[#This Row],[ID Item Vendido]],Agregado[ID],Agregado[Revenda])</f>
        <v>4.7</v>
      </c>
      <c r="I5214" s="3">
        <f>Vendas[[#This Row],[Valor Unitário]]*Vendas[[#This Row],[Qnt Vendida]]</f>
        <v>145.70000000000002</v>
      </c>
      <c r="J5214" s="3">
        <f>Vendas[[#This Row],[Valor da Venda]]-(_xlfn.XLOOKUP(Vendas[[#This Row],[ID Item Vendido]],Agregado[ID],Agregado[Custo])*Vendas[[#This Row],[Qnt Vendida]])</f>
        <v>37.200000000000017</v>
      </c>
      <c r="K5214" s="70">
        <f>Vendas[[#This Row],[Lucro da Venda]]/Vendas[[#This Row],[Valor da Venda]]</f>
        <v>0.2553191489361703</v>
      </c>
      <c r="L5214" s="3">
        <f>_xlfn.IFS(Vendas[[#This Row],[Margem de Lucro (%)]]&lt;15%,Vendas[[#This Row],[Valor da Venda]]*3%,Vendas[[#This Row],[Margem de Lucro (%)]]&lt;=20%,Vendas[[#This Row],[Valor da Venda]]*4.5%,TRUE,Vendas[[#This Row],[Valor da Venda]]*6%)</f>
        <v>8.7420000000000009</v>
      </c>
      <c r="M5214"/>
    </row>
    <row r="5215" spans="1:13" x14ac:dyDescent="0.3">
      <c r="A5215" s="7">
        <v>400241</v>
      </c>
      <c r="B5215" t="str">
        <f>_xlfn.XLOOKUP(Vendas[[#This Row],[ID Vendedor]],Vendedores[ID],Vendedores[Nome])</f>
        <v>Rodrigo</v>
      </c>
      <c r="C5215" s="7" t="str">
        <f>_xlfn.XLOOKUP(Vendas[[#This Row],[ID Vendedor]],Vendedores[ID],Vendedores[Setor])</f>
        <v>FM</v>
      </c>
      <c r="D5215" s="7" t="s">
        <v>20</v>
      </c>
      <c r="E5215" t="str">
        <f>_xlfn.XLOOKUP(Vendas[[#This Row],[ID Item Vendido]],Agregado[ID],Agregado[Produto])</f>
        <v>Barra de aço simples</v>
      </c>
      <c r="F5215" s="39">
        <v>46006</v>
      </c>
      <c r="G5215" s="7">
        <v>21</v>
      </c>
      <c r="H5215" s="3">
        <f>_xlfn.XLOOKUP(Vendas[[#This Row],[ID Item Vendido]],Agregado[ID],Agregado[Revenda])</f>
        <v>4.8</v>
      </c>
      <c r="I5215" s="3">
        <f>Vendas[[#This Row],[Valor Unitário]]*Vendas[[#This Row],[Qnt Vendida]]</f>
        <v>100.8</v>
      </c>
      <c r="J5215" s="3">
        <f>Vendas[[#This Row],[Valor da Venda]]-(_xlfn.XLOOKUP(Vendas[[#This Row],[ID Item Vendido]],Agregado[ID],Agregado[Custo])*Vendas[[#This Row],[Qnt Vendida]])</f>
        <v>12.599999999999994</v>
      </c>
      <c r="K5215" s="70">
        <f>Vendas[[#This Row],[Lucro da Venda]]/Vendas[[#This Row],[Valor da Venda]]</f>
        <v>0.12499999999999994</v>
      </c>
      <c r="L5215" s="3">
        <f>_xlfn.IFS(Vendas[[#This Row],[Margem de Lucro (%)]]&lt;15%,Vendas[[#This Row],[Valor da Venda]]*3%,Vendas[[#This Row],[Margem de Lucro (%)]]&lt;=20%,Vendas[[#This Row],[Valor da Venda]]*4.5%,TRUE,Vendas[[#This Row],[Valor da Venda]]*6%)</f>
        <v>3.024</v>
      </c>
      <c r="M5215"/>
    </row>
    <row r="5216" spans="1:13" x14ac:dyDescent="0.3">
      <c r="A5216" s="7">
        <v>400248</v>
      </c>
      <c r="B5216" t="str">
        <f>_xlfn.XLOOKUP(Vendas[[#This Row],[ID Vendedor]],Vendedores[ID],Vendedores[Nome])</f>
        <v>Patrícia</v>
      </c>
      <c r="C5216" s="7" t="str">
        <f>_xlfn.XLOOKUP(Vendas[[#This Row],[ID Vendedor]],Vendedores[ID],Vendedores[Setor])</f>
        <v>CM</v>
      </c>
      <c r="D5216" s="7" t="s">
        <v>34</v>
      </c>
      <c r="E5216" t="str">
        <f>_xlfn.XLOOKUP(Vendas[[#This Row],[ID Item Vendido]],Agregado[ID],Agregado[Produto])</f>
        <v>Restos de madeira p/ MDP/OSB saco de 20kg</v>
      </c>
      <c r="F5216" s="39">
        <v>46006</v>
      </c>
      <c r="G5216" s="7">
        <v>7</v>
      </c>
      <c r="H5216" s="3">
        <f>_xlfn.XLOOKUP(Vendas[[#This Row],[ID Item Vendido]],Agregado[ID],Agregado[Revenda])</f>
        <v>13.8</v>
      </c>
      <c r="I5216" s="3">
        <f>Vendas[[#This Row],[Valor Unitário]]*Vendas[[#This Row],[Qnt Vendida]]</f>
        <v>96.600000000000009</v>
      </c>
      <c r="J5216" s="3">
        <f>Vendas[[#This Row],[Valor da Venda]]-(_xlfn.XLOOKUP(Vendas[[#This Row],[ID Item Vendido]],Agregado[ID],Agregado[Custo])*Vendas[[#This Row],[Qnt Vendida]])</f>
        <v>12.600000000000009</v>
      </c>
      <c r="K5216" s="70">
        <f>Vendas[[#This Row],[Lucro da Venda]]/Vendas[[#This Row],[Valor da Venda]]</f>
        <v>0.13043478260869573</v>
      </c>
      <c r="L5216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5216"/>
    </row>
    <row r="5217" spans="1:13" x14ac:dyDescent="0.3">
      <c r="A5217" s="7">
        <v>400254</v>
      </c>
      <c r="B5217" t="str">
        <f>_xlfn.XLOOKUP(Vendas[[#This Row],[ID Vendedor]],Vendedores[ID],Vendedores[Nome])</f>
        <v>Beatriz</v>
      </c>
      <c r="C5217" s="7" t="str">
        <f>_xlfn.XLOOKUP(Vendas[[#This Row],[ID Vendedor]],Vendedores[ID],Vendedores[Setor])</f>
        <v>SC</v>
      </c>
      <c r="D5217" s="7" t="s">
        <v>42</v>
      </c>
      <c r="E5217" t="str">
        <f>_xlfn.XLOOKUP(Vendas[[#This Row],[ID Item Vendido]],Agregado[ID],Agregado[Produto])</f>
        <v>Container de ferro industrial</v>
      </c>
      <c r="F5217" s="39">
        <v>46007</v>
      </c>
      <c r="G5217" s="7">
        <v>3</v>
      </c>
      <c r="H5217" s="3">
        <f>_xlfn.XLOOKUP(Vendas[[#This Row],[ID Item Vendido]],Agregado[ID],Agregado[Revenda])</f>
        <v>830</v>
      </c>
      <c r="I5217" s="3">
        <f>Vendas[[#This Row],[Valor Unitário]]*Vendas[[#This Row],[Qnt Vendida]]</f>
        <v>2490</v>
      </c>
      <c r="J5217" s="3">
        <f>Vendas[[#This Row],[Valor da Venda]]-(_xlfn.XLOOKUP(Vendas[[#This Row],[ID Item Vendido]],Agregado[ID],Agregado[Custo])*Vendas[[#This Row],[Qnt Vendida]])</f>
        <v>450</v>
      </c>
      <c r="K5217" s="70">
        <f>Vendas[[#This Row],[Lucro da Venda]]/Vendas[[#This Row],[Valor da Venda]]</f>
        <v>0.18072289156626506</v>
      </c>
      <c r="L5217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217"/>
    </row>
    <row r="5218" spans="1:13" x14ac:dyDescent="0.3">
      <c r="A5218" s="7">
        <v>400254</v>
      </c>
      <c r="B5218" t="str">
        <f>_xlfn.XLOOKUP(Vendas[[#This Row],[ID Vendedor]],Vendedores[ID],Vendedores[Nome])</f>
        <v>Beatriz</v>
      </c>
      <c r="C5218" s="7" t="str">
        <f>_xlfn.XLOOKUP(Vendas[[#This Row],[ID Vendedor]],Vendedores[ID],Vendedores[Setor])</f>
        <v>SC</v>
      </c>
      <c r="D5218" s="7" t="s">
        <v>48</v>
      </c>
      <c r="E5218" t="str">
        <f>_xlfn.XLOOKUP(Vendas[[#This Row],[ID Item Vendido]],Agregado[ID],Agregado[Produto])</f>
        <v>Tambor metálico 200L</v>
      </c>
      <c r="F5218" s="39">
        <v>46007</v>
      </c>
      <c r="G5218" s="7">
        <v>12</v>
      </c>
      <c r="H5218" s="3">
        <f>_xlfn.XLOOKUP(Vendas[[#This Row],[ID Item Vendido]],Agregado[ID],Agregado[Revenda])</f>
        <v>144</v>
      </c>
      <c r="I5218" s="3">
        <f>Vendas[[#This Row],[Valor Unitário]]*Vendas[[#This Row],[Qnt Vendida]]</f>
        <v>1728</v>
      </c>
      <c r="J5218" s="3">
        <f>Vendas[[#This Row],[Valor da Venda]]-(_xlfn.XLOOKUP(Vendas[[#This Row],[ID Item Vendido]],Agregado[ID],Agregado[Custo])*Vendas[[#This Row],[Qnt Vendida]])</f>
        <v>288</v>
      </c>
      <c r="K5218" s="70">
        <f>Vendas[[#This Row],[Lucro da Venda]]/Vendas[[#This Row],[Valor da Venda]]</f>
        <v>0.16666666666666666</v>
      </c>
      <c r="L5218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218"/>
    </row>
    <row r="5219" spans="1:13" x14ac:dyDescent="0.3">
      <c r="A5219" s="7">
        <v>400246</v>
      </c>
      <c r="B5219" t="str">
        <f>_xlfn.XLOOKUP(Vendas[[#This Row],[ID Vendedor]],Vendedores[ID],Vendedores[Nome])</f>
        <v>Juliana</v>
      </c>
      <c r="C5219" s="7" t="str">
        <f>_xlfn.XLOOKUP(Vendas[[#This Row],[ID Vendedor]],Vendedores[ID],Vendedores[Setor])</f>
        <v>AHD</v>
      </c>
      <c r="D5219" s="7" t="s">
        <v>28</v>
      </c>
      <c r="E5219" t="str">
        <f>_xlfn.XLOOKUP(Vendas[[#This Row],[ID Item Vendido]],Agregado[ID],Agregado[Produto])</f>
        <v>Peça usinada CNC</v>
      </c>
      <c r="F5219" s="39">
        <v>46007</v>
      </c>
      <c r="G5219" s="7">
        <v>8</v>
      </c>
      <c r="H5219" s="3">
        <f>_xlfn.XLOOKUP(Vendas[[#This Row],[ID Item Vendido]],Agregado[ID],Agregado[Revenda])</f>
        <v>192</v>
      </c>
      <c r="I5219" s="3">
        <f>Vendas[[#This Row],[Valor Unitário]]*Vendas[[#This Row],[Qnt Vendida]]</f>
        <v>1536</v>
      </c>
      <c r="J5219" s="3">
        <f>Vendas[[#This Row],[Valor da Venda]]-(_xlfn.XLOOKUP(Vendas[[#This Row],[ID Item Vendido]],Agregado[ID],Agregado[Custo])*Vendas[[#This Row],[Qnt Vendida]])</f>
        <v>336</v>
      </c>
      <c r="K5219" s="70">
        <f>Vendas[[#This Row],[Lucro da Venda]]/Vendas[[#This Row],[Valor da Venda]]</f>
        <v>0.21875</v>
      </c>
      <c r="L5219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5219"/>
    </row>
    <row r="5220" spans="1:13" x14ac:dyDescent="0.3">
      <c r="A5220" s="7">
        <v>400252</v>
      </c>
      <c r="B5220" t="str">
        <f>_xlfn.XLOOKUP(Vendas[[#This Row],[ID Vendedor]],Vendedores[ID],Vendedores[Nome])</f>
        <v>Renata</v>
      </c>
      <c r="C5220" s="7" t="str">
        <f>_xlfn.XLOOKUP(Vendas[[#This Row],[ID Vendedor]],Vendedores[ID],Vendedores[Setor])</f>
        <v>AB</v>
      </c>
      <c r="D5220" s="7" t="s">
        <v>36</v>
      </c>
      <c r="E5220" t="str">
        <f>_xlfn.XLOOKUP(Vendas[[#This Row],[ID Item Vendido]],Agregado[ID],Agregado[Produto])</f>
        <v>Borracha vulcanizada em manta</v>
      </c>
      <c r="F5220" s="39">
        <v>46007</v>
      </c>
      <c r="G5220" s="7">
        <v>87</v>
      </c>
      <c r="H5220" s="3">
        <f>_xlfn.XLOOKUP(Vendas[[#This Row],[ID Item Vendido]],Agregado[ID],Agregado[Revenda])</f>
        <v>7.8</v>
      </c>
      <c r="I5220" s="3">
        <f>Vendas[[#This Row],[Valor Unitário]]*Vendas[[#This Row],[Qnt Vendida]]</f>
        <v>678.6</v>
      </c>
      <c r="J5220" s="3">
        <f>Vendas[[#This Row],[Valor da Venda]]-(_xlfn.XLOOKUP(Vendas[[#This Row],[ID Item Vendido]],Agregado[ID],Agregado[Custo])*Vendas[[#This Row],[Qnt Vendida]])</f>
        <v>156.60000000000002</v>
      </c>
      <c r="K5220" s="70">
        <f>Vendas[[#This Row],[Lucro da Venda]]/Vendas[[#This Row],[Valor da Venda]]</f>
        <v>0.23076923076923078</v>
      </c>
      <c r="L5220" s="3">
        <f>_xlfn.IFS(Vendas[[#This Row],[Margem de Lucro (%)]]&lt;15%,Vendas[[#This Row],[Valor da Venda]]*3%,Vendas[[#This Row],[Margem de Lucro (%)]]&lt;=20%,Vendas[[#This Row],[Valor da Venda]]*4.5%,TRUE,Vendas[[#This Row],[Valor da Venda]]*6%)</f>
        <v>40.716000000000001</v>
      </c>
      <c r="M5220"/>
    </row>
    <row r="5221" spans="1:13" x14ac:dyDescent="0.3">
      <c r="A5221" s="7">
        <v>400246</v>
      </c>
      <c r="B5221" t="str">
        <f>_xlfn.XLOOKUP(Vendas[[#This Row],[ID Vendedor]],Vendedores[ID],Vendedores[Nome])</f>
        <v>Juliana</v>
      </c>
      <c r="C5221" s="7" t="str">
        <f>_xlfn.XLOOKUP(Vendas[[#This Row],[ID Vendedor]],Vendedores[ID],Vendedores[Setor])</f>
        <v>AHD</v>
      </c>
      <c r="D5221" s="7" t="s">
        <v>18</v>
      </c>
      <c r="E5221" t="str">
        <f>_xlfn.XLOOKUP(Vendas[[#This Row],[ID Item Vendido]],Agregado[ID],Agregado[Produto])</f>
        <v>Peça forjada sob encomenda</v>
      </c>
      <c r="F5221" s="39">
        <v>46007</v>
      </c>
      <c r="G5221" s="7">
        <v>1</v>
      </c>
      <c r="H5221" s="3">
        <f>_xlfn.XLOOKUP(Vendas[[#This Row],[ID Item Vendido]],Agregado[ID],Agregado[Revenda])</f>
        <v>264.60000000000002</v>
      </c>
      <c r="I5221" s="3">
        <f>Vendas[[#This Row],[Valor Unitário]]*Vendas[[#This Row],[Qnt Vendida]]</f>
        <v>264.60000000000002</v>
      </c>
      <c r="J5221" s="3">
        <f>Vendas[[#This Row],[Valor da Venda]]-(_xlfn.XLOOKUP(Vendas[[#This Row],[ID Item Vendido]],Agregado[ID],Agregado[Custo])*Vendas[[#This Row],[Qnt Vendida]])</f>
        <v>14.600000000000023</v>
      </c>
      <c r="K5221" s="70">
        <f>Vendas[[#This Row],[Lucro da Venda]]/Vendas[[#This Row],[Valor da Venda]]</f>
        <v>5.5177626606198113E-2</v>
      </c>
      <c r="L5221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221"/>
    </row>
    <row r="5222" spans="1:13" x14ac:dyDescent="0.3">
      <c r="A5222" s="7">
        <v>400248</v>
      </c>
      <c r="B5222" t="str">
        <f>_xlfn.XLOOKUP(Vendas[[#This Row],[ID Vendedor]],Vendedores[ID],Vendedores[Nome])</f>
        <v>Patrícia</v>
      </c>
      <c r="C5222" s="7" t="str">
        <f>_xlfn.XLOOKUP(Vendas[[#This Row],[ID Vendedor]],Vendedores[ID],Vendedores[Setor])</f>
        <v>CM</v>
      </c>
      <c r="D5222" s="7" t="s">
        <v>43</v>
      </c>
      <c r="E5222" t="str">
        <f>_xlfn.XLOOKUP(Vendas[[#This Row],[ID Item Vendido]],Agregado[ID],Agregado[Produto])</f>
        <v>Madeira Bruta (Tora)</v>
      </c>
      <c r="F5222" s="39">
        <v>46008</v>
      </c>
      <c r="G5222" s="7">
        <v>10</v>
      </c>
      <c r="H5222" s="3">
        <f>_xlfn.XLOOKUP(Vendas[[#This Row],[ID Item Vendido]],Agregado[ID],Agregado[Revenda])</f>
        <v>212</v>
      </c>
      <c r="I5222" s="3">
        <f>Vendas[[#This Row],[Valor Unitário]]*Vendas[[#This Row],[Qnt Vendida]]</f>
        <v>2120</v>
      </c>
      <c r="J5222" s="3">
        <f>Vendas[[#This Row],[Valor da Venda]]-(_xlfn.XLOOKUP(Vendas[[#This Row],[ID Item Vendido]],Agregado[ID],Agregado[Custo])*Vendas[[#This Row],[Qnt Vendida]])</f>
        <v>320</v>
      </c>
      <c r="K5222" s="70">
        <f>Vendas[[#This Row],[Lucro da Venda]]/Vendas[[#This Row],[Valor da Venda]]</f>
        <v>0.15094339622641509</v>
      </c>
      <c r="L5222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5222"/>
    </row>
    <row r="5223" spans="1:13" x14ac:dyDescent="0.3">
      <c r="A5223" s="7">
        <v>400254</v>
      </c>
      <c r="B5223" t="str">
        <f>_xlfn.XLOOKUP(Vendas[[#This Row],[ID Vendedor]],Vendedores[ID],Vendedores[Nome])</f>
        <v>Beatriz</v>
      </c>
      <c r="C5223" s="7" t="str">
        <f>_xlfn.XLOOKUP(Vendas[[#This Row],[ID Vendedor]],Vendedores[ID],Vendedores[Setor])</f>
        <v>SC</v>
      </c>
      <c r="D5223" s="7" t="s">
        <v>14</v>
      </c>
      <c r="E5223" t="str">
        <f>_xlfn.XLOOKUP(Vendas[[#This Row],[ID Item Vendido]],Agregado[ID],Agregado[Produto])</f>
        <v>Barril de plástico 200L</v>
      </c>
      <c r="F5223" s="39">
        <v>46008</v>
      </c>
      <c r="G5223" s="7">
        <v>16</v>
      </c>
      <c r="H5223" s="3">
        <f>_xlfn.XLOOKUP(Vendas[[#This Row],[ID Item Vendido]],Agregado[ID],Agregado[Revenda])</f>
        <v>114</v>
      </c>
      <c r="I5223" s="3">
        <f>Vendas[[#This Row],[Valor Unitário]]*Vendas[[#This Row],[Qnt Vendida]]</f>
        <v>1824</v>
      </c>
      <c r="J5223" s="3">
        <f>Vendas[[#This Row],[Valor da Venda]]-(_xlfn.XLOOKUP(Vendas[[#This Row],[ID Item Vendido]],Agregado[ID],Agregado[Custo])*Vendas[[#This Row],[Qnt Vendida]])</f>
        <v>304</v>
      </c>
      <c r="K5223" s="70">
        <f>Vendas[[#This Row],[Lucro da Venda]]/Vendas[[#This Row],[Valor da Venda]]</f>
        <v>0.16666666666666666</v>
      </c>
      <c r="L5223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5223"/>
    </row>
    <row r="5224" spans="1:13" x14ac:dyDescent="0.3">
      <c r="A5224" s="7">
        <v>400248</v>
      </c>
      <c r="B5224" t="str">
        <f>_xlfn.XLOOKUP(Vendas[[#This Row],[ID Vendedor]],Vendedores[ID],Vendedores[Nome])</f>
        <v>Patrícia</v>
      </c>
      <c r="C5224" s="7" t="str">
        <f>_xlfn.XLOOKUP(Vendas[[#This Row],[ID Vendedor]],Vendedores[ID],Vendedores[Setor])</f>
        <v>CM</v>
      </c>
      <c r="D5224" s="7" t="s">
        <v>22</v>
      </c>
      <c r="E5224" t="str">
        <f>_xlfn.XLOOKUP(Vendas[[#This Row],[ID Item Vendido]],Agregado[ID],Agregado[Produto])</f>
        <v>Painel MDP 2,75x1,83m</v>
      </c>
      <c r="F5224" s="39">
        <v>46008</v>
      </c>
      <c r="G5224" s="7">
        <v>13</v>
      </c>
      <c r="H5224" s="3">
        <f>_xlfn.XLOOKUP(Vendas[[#This Row],[ID Item Vendido]],Agregado[ID],Agregado[Revenda])</f>
        <v>119</v>
      </c>
      <c r="I5224" s="3">
        <f>Vendas[[#This Row],[Valor Unitário]]*Vendas[[#This Row],[Qnt Vendida]]</f>
        <v>1547</v>
      </c>
      <c r="J5224" s="3">
        <f>Vendas[[#This Row],[Valor da Venda]]-(_xlfn.XLOOKUP(Vendas[[#This Row],[ID Item Vendido]],Agregado[ID],Agregado[Custo])*Vendas[[#This Row],[Qnt Vendida]])</f>
        <v>312</v>
      </c>
      <c r="K5224" s="70">
        <f>Vendas[[#This Row],[Lucro da Venda]]/Vendas[[#This Row],[Valor da Venda]]</f>
        <v>0.20168067226890757</v>
      </c>
      <c r="L5224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224"/>
    </row>
    <row r="5225" spans="1:13" x14ac:dyDescent="0.3">
      <c r="A5225" s="7">
        <v>400249</v>
      </c>
      <c r="B5225" t="str">
        <f>_xlfn.XLOOKUP(Vendas[[#This Row],[ID Vendedor]],Vendedores[ID],Vendedores[Nome])</f>
        <v>Bruno</v>
      </c>
      <c r="C5225" s="7" t="str">
        <f>_xlfn.XLOOKUP(Vendas[[#This Row],[ID Vendedor]],Vendedores[ID],Vendedores[Setor])</f>
        <v>CM</v>
      </c>
      <c r="D5225" s="7" t="s">
        <v>32</v>
      </c>
      <c r="E5225" t="str">
        <f>_xlfn.XLOOKUP(Vendas[[#This Row],[ID Item Vendido]],Agregado[ID],Agregado[Produto])</f>
        <v>Tábua tratada e cortada 3m</v>
      </c>
      <c r="F5225" s="39">
        <v>46008</v>
      </c>
      <c r="G5225" s="7">
        <v>15</v>
      </c>
      <c r="H5225" s="3">
        <f>_xlfn.XLOOKUP(Vendas[[#This Row],[ID Item Vendido]],Agregado[ID],Agregado[Revenda])</f>
        <v>39</v>
      </c>
      <c r="I5225" s="3">
        <f>Vendas[[#This Row],[Valor Unitário]]*Vendas[[#This Row],[Qnt Vendida]]</f>
        <v>585</v>
      </c>
      <c r="J5225" s="3">
        <f>Vendas[[#This Row],[Valor da Venda]]-(_xlfn.XLOOKUP(Vendas[[#This Row],[ID Item Vendido]],Agregado[ID],Agregado[Custo])*Vendas[[#This Row],[Qnt Vendida]])</f>
        <v>105</v>
      </c>
      <c r="K5225" s="70">
        <f>Vendas[[#This Row],[Lucro da Venda]]/Vendas[[#This Row],[Valor da Venda]]</f>
        <v>0.17948717948717949</v>
      </c>
      <c r="L5225" s="3">
        <f>_xlfn.IFS(Vendas[[#This Row],[Margem de Lucro (%)]]&lt;15%,Vendas[[#This Row],[Valor da Venda]]*3%,Vendas[[#This Row],[Margem de Lucro (%)]]&lt;=20%,Vendas[[#This Row],[Valor da Venda]]*4.5%,TRUE,Vendas[[#This Row],[Valor da Venda]]*6%)</f>
        <v>26.324999999999999</v>
      </c>
      <c r="M5225"/>
    </row>
    <row r="5226" spans="1:13" x14ac:dyDescent="0.3">
      <c r="A5226" s="7">
        <v>400254</v>
      </c>
      <c r="B5226" t="str">
        <f>_xlfn.XLOOKUP(Vendas[[#This Row],[ID Vendedor]],Vendedores[ID],Vendedores[Nome])</f>
        <v>Beatriz</v>
      </c>
      <c r="C5226" s="7" t="str">
        <f>_xlfn.XLOOKUP(Vendas[[#This Row],[ID Vendedor]],Vendedores[ID],Vendedores[Setor])</f>
        <v>SC</v>
      </c>
      <c r="D5226" s="7" t="s">
        <v>25</v>
      </c>
      <c r="E5226" t="str">
        <f>_xlfn.XLOOKUP(Vendas[[#This Row],[ID Item Vendido]],Agregado[ID],Agregado[Produto])</f>
        <v>Palete de plástico</v>
      </c>
      <c r="F5226" s="39">
        <v>46008</v>
      </c>
      <c r="G5226" s="7">
        <v>1</v>
      </c>
      <c r="H5226" s="3">
        <f>_xlfn.XLOOKUP(Vendas[[#This Row],[ID Item Vendido]],Agregado[ID],Agregado[Revenda])</f>
        <v>70.8</v>
      </c>
      <c r="I5226" s="3">
        <f>Vendas[[#This Row],[Valor Unitário]]*Vendas[[#This Row],[Qnt Vendida]]</f>
        <v>70.8</v>
      </c>
      <c r="J5226" s="3">
        <f>Vendas[[#This Row],[Valor da Venda]]-(_xlfn.XLOOKUP(Vendas[[#This Row],[ID Item Vendido]],Agregado[ID],Agregado[Custo])*Vendas[[#This Row],[Qnt Vendida]])</f>
        <v>10.799999999999997</v>
      </c>
      <c r="K5226" s="70">
        <f>Vendas[[#This Row],[Lucro da Venda]]/Vendas[[#This Row],[Valor da Venda]]</f>
        <v>0.15254237288135589</v>
      </c>
      <c r="L5226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5226"/>
    </row>
    <row r="5227" spans="1:13" x14ac:dyDescent="0.3">
      <c r="A5227" s="7">
        <v>400249</v>
      </c>
      <c r="B5227" t="str">
        <f>_xlfn.XLOOKUP(Vendas[[#This Row],[ID Vendedor]],Vendedores[ID],Vendedores[Nome])</f>
        <v>Bruno</v>
      </c>
      <c r="C5227" s="7" t="str">
        <f>_xlfn.XLOOKUP(Vendas[[#This Row],[ID Vendedor]],Vendedores[ID],Vendedores[Setor])</f>
        <v>CM</v>
      </c>
      <c r="D5227" s="7" t="s">
        <v>22</v>
      </c>
      <c r="E5227" t="str">
        <f>_xlfn.XLOOKUP(Vendas[[#This Row],[ID Item Vendido]],Agregado[ID],Agregado[Produto])</f>
        <v>Painel MDP 2,75x1,83m</v>
      </c>
      <c r="F5227" s="39">
        <v>46009</v>
      </c>
      <c r="G5227" s="7">
        <v>22</v>
      </c>
      <c r="H5227" s="3">
        <f>_xlfn.XLOOKUP(Vendas[[#This Row],[ID Item Vendido]],Agregado[ID],Agregado[Revenda])</f>
        <v>119</v>
      </c>
      <c r="I5227" s="3">
        <f>Vendas[[#This Row],[Valor Unitário]]*Vendas[[#This Row],[Qnt Vendida]]</f>
        <v>2618</v>
      </c>
      <c r="J5227" s="3">
        <f>Vendas[[#This Row],[Valor da Venda]]-(_xlfn.XLOOKUP(Vendas[[#This Row],[ID Item Vendido]],Agregado[ID],Agregado[Custo])*Vendas[[#This Row],[Qnt Vendida]])</f>
        <v>528</v>
      </c>
      <c r="K5227" s="70">
        <f>Vendas[[#This Row],[Lucro da Venda]]/Vendas[[#This Row],[Valor da Venda]]</f>
        <v>0.20168067226890757</v>
      </c>
      <c r="L5227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5227"/>
    </row>
    <row r="5228" spans="1:13" x14ac:dyDescent="0.3">
      <c r="A5228" s="7">
        <v>400253</v>
      </c>
      <c r="B5228" t="str">
        <f>_xlfn.XLOOKUP(Vendas[[#This Row],[ID Vendedor]],Vendedores[ID],Vendedores[Nome])</f>
        <v>Gustavo</v>
      </c>
      <c r="C5228" s="7" t="str">
        <f>_xlfn.XLOOKUP(Vendas[[#This Row],[ID Vendedor]],Vendedores[ID],Vendedores[Setor])</f>
        <v>SC</v>
      </c>
      <c r="D5228" s="7" t="s">
        <v>42</v>
      </c>
      <c r="E5228" t="str">
        <f>_xlfn.XLOOKUP(Vendas[[#This Row],[ID Item Vendido]],Agregado[ID],Agregado[Produto])</f>
        <v>Container de ferro industrial</v>
      </c>
      <c r="F5228" s="39">
        <v>46009</v>
      </c>
      <c r="G5228" s="7">
        <v>2</v>
      </c>
      <c r="H5228" s="3">
        <f>_xlfn.XLOOKUP(Vendas[[#This Row],[ID Item Vendido]],Agregado[ID],Agregado[Revenda])</f>
        <v>830</v>
      </c>
      <c r="I5228" s="3">
        <f>Vendas[[#This Row],[Valor Unitário]]*Vendas[[#This Row],[Qnt Vendida]]</f>
        <v>1660</v>
      </c>
      <c r="J5228" s="3">
        <f>Vendas[[#This Row],[Valor da Venda]]-(_xlfn.XLOOKUP(Vendas[[#This Row],[ID Item Vendido]],Agregado[ID],Agregado[Custo])*Vendas[[#This Row],[Qnt Vendida]])</f>
        <v>300</v>
      </c>
      <c r="K5228" s="70">
        <f>Vendas[[#This Row],[Lucro da Venda]]/Vendas[[#This Row],[Valor da Venda]]</f>
        <v>0.18072289156626506</v>
      </c>
      <c r="L5228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228"/>
    </row>
    <row r="5229" spans="1:13" x14ac:dyDescent="0.3">
      <c r="A5229" s="7">
        <v>400249</v>
      </c>
      <c r="B5229" t="str">
        <f>_xlfn.XLOOKUP(Vendas[[#This Row],[ID Vendedor]],Vendedores[ID],Vendedores[Nome])</f>
        <v>Bruno</v>
      </c>
      <c r="C5229" s="7" t="str">
        <f>_xlfn.XLOOKUP(Vendas[[#This Row],[ID Vendedor]],Vendedores[ID],Vendedores[Setor])</f>
        <v>CM</v>
      </c>
      <c r="D5229" s="7" t="s">
        <v>32</v>
      </c>
      <c r="E5229" t="str">
        <f>_xlfn.XLOOKUP(Vendas[[#This Row],[ID Item Vendido]],Agregado[ID],Agregado[Produto])</f>
        <v>Tábua tratada e cortada 3m</v>
      </c>
      <c r="F5229" s="39">
        <v>46009</v>
      </c>
      <c r="G5229" s="7">
        <v>22</v>
      </c>
      <c r="H5229" s="3">
        <f>_xlfn.XLOOKUP(Vendas[[#This Row],[ID Item Vendido]],Agregado[ID],Agregado[Revenda])</f>
        <v>39</v>
      </c>
      <c r="I5229" s="3">
        <f>Vendas[[#This Row],[Valor Unitário]]*Vendas[[#This Row],[Qnt Vendida]]</f>
        <v>858</v>
      </c>
      <c r="J5229" s="3">
        <f>Vendas[[#This Row],[Valor da Venda]]-(_xlfn.XLOOKUP(Vendas[[#This Row],[ID Item Vendido]],Agregado[ID],Agregado[Custo])*Vendas[[#This Row],[Qnt Vendida]])</f>
        <v>154</v>
      </c>
      <c r="K5229" s="70">
        <f>Vendas[[#This Row],[Lucro da Venda]]/Vendas[[#This Row],[Valor da Venda]]</f>
        <v>0.17948717948717949</v>
      </c>
      <c r="L5229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5229"/>
    </row>
    <row r="5230" spans="1:13" x14ac:dyDescent="0.3">
      <c r="A5230" s="7">
        <v>400246</v>
      </c>
      <c r="B5230" t="str">
        <f>_xlfn.XLOOKUP(Vendas[[#This Row],[ID Vendedor]],Vendedores[ID],Vendedores[Nome])</f>
        <v>Juliana</v>
      </c>
      <c r="C5230" s="7" t="str">
        <f>_xlfn.XLOOKUP(Vendas[[#This Row],[ID Vendedor]],Vendedores[ID],Vendedores[Setor])</f>
        <v>AHD</v>
      </c>
      <c r="D5230" s="7" t="s">
        <v>44</v>
      </c>
      <c r="E5230" t="str">
        <f>_xlfn.XLOOKUP(Vendas[[#This Row],[ID Item Vendido]],Agregado[ID],Agregado[Produto])</f>
        <v>Liga metálica especial</v>
      </c>
      <c r="F5230" s="39">
        <v>46009</v>
      </c>
      <c r="G5230" s="7">
        <v>10</v>
      </c>
      <c r="H5230" s="3">
        <f>_xlfn.XLOOKUP(Vendas[[#This Row],[ID Item Vendido]],Agregado[ID],Agregado[Revenda])</f>
        <v>32.5</v>
      </c>
      <c r="I5230" s="3">
        <f>Vendas[[#This Row],[Valor Unitário]]*Vendas[[#This Row],[Qnt Vendida]]</f>
        <v>325</v>
      </c>
      <c r="J5230" s="3">
        <f>Vendas[[#This Row],[Valor da Venda]]-(_xlfn.XLOOKUP(Vendas[[#This Row],[ID Item Vendido]],Agregado[ID],Agregado[Custo])*Vendas[[#This Row],[Qnt Vendida]])</f>
        <v>75</v>
      </c>
      <c r="K5230" s="70">
        <f>Vendas[[#This Row],[Lucro da Venda]]/Vendas[[#This Row],[Valor da Venda]]</f>
        <v>0.23076923076923078</v>
      </c>
      <c r="L5230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5230"/>
    </row>
    <row r="5231" spans="1:13" x14ac:dyDescent="0.3">
      <c r="A5231" s="7">
        <v>400255</v>
      </c>
      <c r="B5231" t="str">
        <f>_xlfn.XLOOKUP(Vendas[[#This Row],[ID Vendedor]],Vendedores[ID],Vendedores[Nome])</f>
        <v>Carlos</v>
      </c>
      <c r="C5231" s="7" t="str">
        <f>_xlfn.XLOOKUP(Vendas[[#This Row],[ID Vendedor]],Vendedores[ID],Vendedores[Setor])</f>
        <v>SC</v>
      </c>
      <c r="D5231" s="7" t="s">
        <v>42</v>
      </c>
      <c r="E5231" t="str">
        <f>_xlfn.XLOOKUP(Vendas[[#This Row],[ID Item Vendido]],Agregado[ID],Agregado[Produto])</f>
        <v>Container de ferro industrial</v>
      </c>
      <c r="F5231" s="39">
        <v>46010</v>
      </c>
      <c r="G5231" s="7">
        <v>4</v>
      </c>
      <c r="H5231" s="3">
        <f>_xlfn.XLOOKUP(Vendas[[#This Row],[ID Item Vendido]],Agregado[ID],Agregado[Revenda])</f>
        <v>830</v>
      </c>
      <c r="I5231" s="3">
        <f>Vendas[[#This Row],[Valor Unitário]]*Vendas[[#This Row],[Qnt Vendida]]</f>
        <v>3320</v>
      </c>
      <c r="J5231" s="3">
        <f>Vendas[[#This Row],[Valor da Venda]]-(_xlfn.XLOOKUP(Vendas[[#This Row],[ID Item Vendido]],Agregado[ID],Agregado[Custo])*Vendas[[#This Row],[Qnt Vendida]])</f>
        <v>600</v>
      </c>
      <c r="K5231" s="70">
        <f>Vendas[[#This Row],[Lucro da Venda]]/Vendas[[#This Row],[Valor da Venda]]</f>
        <v>0.18072289156626506</v>
      </c>
      <c r="L5231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231"/>
    </row>
    <row r="5232" spans="1:13" x14ac:dyDescent="0.3">
      <c r="A5232" s="7">
        <v>400245</v>
      </c>
      <c r="B5232" t="str">
        <f>_xlfn.XLOOKUP(Vendas[[#This Row],[ID Vendedor]],Vendedores[ID],Vendedores[Nome])</f>
        <v>Thiago</v>
      </c>
      <c r="C5232" s="7" t="str">
        <f>_xlfn.XLOOKUP(Vendas[[#This Row],[ID Vendedor]],Vendedores[ID],Vendedores[Setor])</f>
        <v>AHD</v>
      </c>
      <c r="D5232" s="7" t="s">
        <v>9</v>
      </c>
      <c r="E5232" t="str">
        <f>_xlfn.XLOOKUP(Vendas[[#This Row],[ID Item Vendido]],Agregado[ID],Agregado[Produto])</f>
        <v>Barra de aço simples</v>
      </c>
      <c r="F5232" s="39">
        <v>46010</v>
      </c>
      <c r="G5232" s="7">
        <v>148</v>
      </c>
      <c r="H5232" s="3">
        <f>_xlfn.XLOOKUP(Vendas[[#This Row],[ID Item Vendido]],Agregado[ID],Agregado[Revenda])</f>
        <v>6.7</v>
      </c>
      <c r="I5232" s="3">
        <f>Vendas[[#This Row],[Valor Unitário]]*Vendas[[#This Row],[Qnt Vendida]]</f>
        <v>991.6</v>
      </c>
      <c r="J5232" s="3">
        <f>Vendas[[#This Row],[Valor da Venda]]-(_xlfn.XLOOKUP(Vendas[[#This Row],[ID Item Vendido]],Agregado[ID],Agregado[Custo])*Vendas[[#This Row],[Qnt Vendida]])</f>
        <v>133.20000000000005</v>
      </c>
      <c r="K5232" s="70">
        <f>Vendas[[#This Row],[Lucro da Venda]]/Vendas[[#This Row],[Valor da Venda]]</f>
        <v>0.13432835820895528</v>
      </c>
      <c r="L5232" s="3">
        <f>_xlfn.IFS(Vendas[[#This Row],[Margem de Lucro (%)]]&lt;15%,Vendas[[#This Row],[Valor da Venda]]*3%,Vendas[[#This Row],[Margem de Lucro (%)]]&lt;=20%,Vendas[[#This Row],[Valor da Venda]]*4.5%,TRUE,Vendas[[#This Row],[Valor da Venda]]*6%)</f>
        <v>29.748000000000001</v>
      </c>
      <c r="M5232"/>
    </row>
    <row r="5233" spans="1:13" x14ac:dyDescent="0.3">
      <c r="A5233" s="7">
        <v>400252</v>
      </c>
      <c r="B5233" t="str">
        <f>_xlfn.XLOOKUP(Vendas[[#This Row],[ID Vendedor]],Vendedores[ID],Vendedores[Nome])</f>
        <v>Renata</v>
      </c>
      <c r="C5233" s="7" t="str">
        <f>_xlfn.XLOOKUP(Vendas[[#This Row],[ID Vendedor]],Vendedores[ID],Vendedores[Setor])</f>
        <v>AB</v>
      </c>
      <c r="D5233" s="7" t="s">
        <v>39</v>
      </c>
      <c r="E5233" t="str">
        <f>_xlfn.XLOOKUP(Vendas[[#This Row],[ID Item Vendido]],Agregado[ID],Agregado[Produto])</f>
        <v>Filme plástico industrial rolo 50m</v>
      </c>
      <c r="F5233" s="39">
        <v>46010</v>
      </c>
      <c r="G5233" s="7">
        <v>11</v>
      </c>
      <c r="H5233" s="3">
        <f>_xlfn.XLOOKUP(Vendas[[#This Row],[ID Item Vendido]],Agregado[ID],Agregado[Revenda])</f>
        <v>37</v>
      </c>
      <c r="I5233" s="3">
        <f>Vendas[[#This Row],[Valor Unitário]]*Vendas[[#This Row],[Qnt Vendida]]</f>
        <v>407</v>
      </c>
      <c r="J5233" s="3">
        <f>Vendas[[#This Row],[Valor da Venda]]-(_xlfn.XLOOKUP(Vendas[[#This Row],[ID Item Vendido]],Agregado[ID],Agregado[Custo])*Vendas[[#This Row],[Qnt Vendida]])</f>
        <v>99</v>
      </c>
      <c r="K5233" s="70">
        <f>Vendas[[#This Row],[Lucro da Venda]]/Vendas[[#This Row],[Valor da Venda]]</f>
        <v>0.24324324324324326</v>
      </c>
      <c r="L5233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5233"/>
    </row>
    <row r="5234" spans="1:13" x14ac:dyDescent="0.3">
      <c r="A5234" s="7">
        <v>400250</v>
      </c>
      <c r="B5234" t="str">
        <f>_xlfn.XLOOKUP(Vendas[[#This Row],[ID Vendedor]],Vendedores[ID],Vendedores[Nome])</f>
        <v>Larissa</v>
      </c>
      <c r="C5234" s="7" t="str">
        <f>_xlfn.XLOOKUP(Vendas[[#This Row],[ID Vendedor]],Vendedores[ID],Vendedores[Setor])</f>
        <v>AB</v>
      </c>
      <c r="D5234" s="7" t="s">
        <v>39</v>
      </c>
      <c r="E5234" t="str">
        <f>_xlfn.XLOOKUP(Vendas[[#This Row],[ID Item Vendido]],Agregado[ID],Agregado[Produto])</f>
        <v>Filme plástico industrial rolo 50m</v>
      </c>
      <c r="F5234" s="39">
        <v>46010</v>
      </c>
      <c r="G5234" s="7">
        <v>8</v>
      </c>
      <c r="H5234" s="3">
        <f>_xlfn.XLOOKUP(Vendas[[#This Row],[ID Item Vendido]],Agregado[ID],Agregado[Revenda])</f>
        <v>37</v>
      </c>
      <c r="I5234" s="3">
        <f>Vendas[[#This Row],[Valor Unitário]]*Vendas[[#This Row],[Qnt Vendida]]</f>
        <v>296</v>
      </c>
      <c r="J5234" s="3">
        <f>Vendas[[#This Row],[Valor da Venda]]-(_xlfn.XLOOKUP(Vendas[[#This Row],[ID Item Vendido]],Agregado[ID],Agregado[Custo])*Vendas[[#This Row],[Qnt Vendida]])</f>
        <v>72</v>
      </c>
      <c r="K5234" s="70">
        <f>Vendas[[#This Row],[Lucro da Venda]]/Vendas[[#This Row],[Valor da Venda]]</f>
        <v>0.24324324324324326</v>
      </c>
      <c r="L5234" s="3">
        <f>_xlfn.IFS(Vendas[[#This Row],[Margem de Lucro (%)]]&lt;15%,Vendas[[#This Row],[Valor da Venda]]*3%,Vendas[[#This Row],[Margem de Lucro (%)]]&lt;=20%,Vendas[[#This Row],[Valor da Venda]]*4.5%,TRUE,Vendas[[#This Row],[Valor da Venda]]*6%)</f>
        <v>17.759999999999998</v>
      </c>
      <c r="M5234"/>
    </row>
    <row r="5235" spans="1:13" x14ac:dyDescent="0.3">
      <c r="A5235" s="7">
        <v>400246</v>
      </c>
      <c r="B5235" t="str">
        <f>_xlfn.XLOOKUP(Vendas[[#This Row],[ID Vendedor]],Vendedores[ID],Vendedores[Nome])</f>
        <v>Juliana</v>
      </c>
      <c r="C5235" s="7" t="str">
        <f>_xlfn.XLOOKUP(Vendas[[#This Row],[ID Vendedor]],Vendedores[ID],Vendedores[Setor])</f>
        <v>AHD</v>
      </c>
      <c r="D5235" s="7" t="s">
        <v>9</v>
      </c>
      <c r="E5235" t="str">
        <f>_xlfn.XLOOKUP(Vendas[[#This Row],[ID Item Vendido]],Agregado[ID],Agregado[Produto])</f>
        <v>Barra de aço simples</v>
      </c>
      <c r="F5235" s="39">
        <v>46012</v>
      </c>
      <c r="G5235" s="7">
        <v>108</v>
      </c>
      <c r="H5235" s="3">
        <f>_xlfn.XLOOKUP(Vendas[[#This Row],[ID Item Vendido]],Agregado[ID],Agregado[Revenda])</f>
        <v>6.7</v>
      </c>
      <c r="I5235" s="3">
        <f>Vendas[[#This Row],[Valor Unitário]]*Vendas[[#This Row],[Qnt Vendida]]</f>
        <v>723.6</v>
      </c>
      <c r="J5235" s="3">
        <f>Vendas[[#This Row],[Valor da Venda]]-(_xlfn.XLOOKUP(Vendas[[#This Row],[ID Item Vendido]],Agregado[ID],Agregado[Custo])*Vendas[[#This Row],[Qnt Vendida]])</f>
        <v>97.200000000000045</v>
      </c>
      <c r="K5235" s="70">
        <f>Vendas[[#This Row],[Lucro da Venda]]/Vendas[[#This Row],[Valor da Venda]]</f>
        <v>0.13432835820895528</v>
      </c>
      <c r="L5235" s="3">
        <f>_xlfn.IFS(Vendas[[#This Row],[Margem de Lucro (%)]]&lt;15%,Vendas[[#This Row],[Valor da Venda]]*3%,Vendas[[#This Row],[Margem de Lucro (%)]]&lt;=20%,Vendas[[#This Row],[Valor da Venda]]*4.5%,TRUE,Vendas[[#This Row],[Valor da Venda]]*6%)</f>
        <v>21.707999999999998</v>
      </c>
      <c r="M5235"/>
    </row>
    <row r="5236" spans="1:13" x14ac:dyDescent="0.3">
      <c r="A5236" s="7">
        <v>400241</v>
      </c>
      <c r="B5236" t="str">
        <f>_xlfn.XLOOKUP(Vendas[[#This Row],[ID Vendedor]],Vendedores[ID],Vendedores[Nome])</f>
        <v>Rodrigo</v>
      </c>
      <c r="C5236" s="7" t="str">
        <f>_xlfn.XLOOKUP(Vendas[[#This Row],[ID Vendedor]],Vendedores[ID],Vendedores[Setor])</f>
        <v>FM</v>
      </c>
      <c r="D5236" s="7" t="s">
        <v>31</v>
      </c>
      <c r="E5236" t="str">
        <f>_xlfn.XLOOKUP(Vendas[[#This Row],[ID Item Vendido]],Agregado[ID],Agregado[Produto])</f>
        <v>Tela de metal soldada rolo 2x25m</v>
      </c>
      <c r="F5236" s="39">
        <v>46012</v>
      </c>
      <c r="G5236" s="7">
        <v>13</v>
      </c>
      <c r="H5236" s="3">
        <f>_xlfn.XLOOKUP(Vendas[[#This Row],[ID Item Vendido]],Agregado[ID],Agregado[Revenda])</f>
        <v>43.7</v>
      </c>
      <c r="I5236" s="3">
        <f>Vendas[[#This Row],[Valor Unitário]]*Vendas[[#This Row],[Qnt Vendida]]</f>
        <v>568.1</v>
      </c>
      <c r="J5236" s="3">
        <f>Vendas[[#This Row],[Valor da Venda]]-(_xlfn.XLOOKUP(Vendas[[#This Row],[ID Item Vendido]],Agregado[ID],Agregado[Custo])*Vendas[[#This Row],[Qnt Vendida]])</f>
        <v>74.100000000000023</v>
      </c>
      <c r="K5236" s="70">
        <f>Vendas[[#This Row],[Lucro da Venda]]/Vendas[[#This Row],[Valor da Venda]]</f>
        <v>0.13043478260869568</v>
      </c>
      <c r="L5236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5236"/>
    </row>
    <row r="5237" spans="1:13" x14ac:dyDescent="0.3">
      <c r="A5237" s="7">
        <v>400252</v>
      </c>
      <c r="B5237" t="str">
        <f>_xlfn.XLOOKUP(Vendas[[#This Row],[ID Vendedor]],Vendedores[ID],Vendedores[Nome])</f>
        <v>Renata</v>
      </c>
      <c r="C5237" s="7" t="str">
        <f>_xlfn.XLOOKUP(Vendas[[#This Row],[ID Vendedor]],Vendedores[ID],Vendedores[Setor])</f>
        <v>AB</v>
      </c>
      <c r="D5237" s="7" t="s">
        <v>37</v>
      </c>
      <c r="E5237" t="str">
        <f>_xlfn.XLOOKUP(Vendas[[#This Row],[ID Item Vendido]],Agregado[ID],Agregado[Produto])</f>
        <v>Composto de borracha para vedação rolo 10m</v>
      </c>
      <c r="F5237" s="39">
        <v>46012</v>
      </c>
      <c r="G5237" s="7">
        <v>10</v>
      </c>
      <c r="H5237" s="3">
        <f>_xlfn.XLOOKUP(Vendas[[#This Row],[ID Item Vendido]],Agregado[ID],Agregado[Revenda])</f>
        <v>51.2</v>
      </c>
      <c r="I5237" s="3">
        <f>Vendas[[#This Row],[Valor Unitário]]*Vendas[[#This Row],[Qnt Vendida]]</f>
        <v>512</v>
      </c>
      <c r="J5237" s="3">
        <f>Vendas[[#This Row],[Valor da Venda]]-(_xlfn.XLOOKUP(Vendas[[#This Row],[ID Item Vendido]],Agregado[ID],Agregado[Custo])*Vendas[[#This Row],[Qnt Vendida]])</f>
        <v>112</v>
      </c>
      <c r="K5237" s="70">
        <f>Vendas[[#This Row],[Lucro da Venda]]/Vendas[[#This Row],[Valor da Venda]]</f>
        <v>0.21875</v>
      </c>
      <c r="L5237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5237"/>
    </row>
    <row r="5238" spans="1:13" x14ac:dyDescent="0.3">
      <c r="A5238" s="7">
        <v>400246</v>
      </c>
      <c r="B5238" t="str">
        <f>_xlfn.XLOOKUP(Vendas[[#This Row],[ID Vendedor]],Vendedores[ID],Vendedores[Nome])</f>
        <v>Juliana</v>
      </c>
      <c r="C5238" s="7" t="str">
        <f>_xlfn.XLOOKUP(Vendas[[#This Row],[ID Vendedor]],Vendedores[ID],Vendedores[Setor])</f>
        <v>AHD</v>
      </c>
      <c r="D5238" s="7" t="s">
        <v>28</v>
      </c>
      <c r="E5238" t="str">
        <f>_xlfn.XLOOKUP(Vendas[[#This Row],[ID Item Vendido]],Agregado[ID],Agregado[Produto])</f>
        <v>Peça usinada CNC</v>
      </c>
      <c r="F5238" s="39">
        <v>46013</v>
      </c>
      <c r="G5238" s="7">
        <v>15</v>
      </c>
      <c r="H5238" s="3">
        <f>_xlfn.XLOOKUP(Vendas[[#This Row],[ID Item Vendido]],Agregado[ID],Agregado[Revenda])</f>
        <v>192</v>
      </c>
      <c r="I5238" s="3">
        <f>Vendas[[#This Row],[Valor Unitário]]*Vendas[[#This Row],[Qnt Vendida]]</f>
        <v>2880</v>
      </c>
      <c r="J5238" s="3">
        <f>Vendas[[#This Row],[Valor da Venda]]-(_xlfn.XLOOKUP(Vendas[[#This Row],[ID Item Vendido]],Agregado[ID],Agregado[Custo])*Vendas[[#This Row],[Qnt Vendida]])</f>
        <v>630</v>
      </c>
      <c r="K5238" s="70">
        <f>Vendas[[#This Row],[Lucro da Venda]]/Vendas[[#This Row],[Valor da Venda]]</f>
        <v>0.21875</v>
      </c>
      <c r="L5238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5238"/>
    </row>
    <row r="5239" spans="1:13" x14ac:dyDescent="0.3">
      <c r="A5239" s="7">
        <v>400253</v>
      </c>
      <c r="B5239" t="str">
        <f>_xlfn.XLOOKUP(Vendas[[#This Row],[ID Vendedor]],Vendedores[ID],Vendedores[Nome])</f>
        <v>Gustavo</v>
      </c>
      <c r="C5239" s="7" t="str">
        <f>_xlfn.XLOOKUP(Vendas[[#This Row],[ID Vendedor]],Vendedores[ID],Vendedores[Setor])</f>
        <v>SC</v>
      </c>
      <c r="D5239" s="7" t="s">
        <v>14</v>
      </c>
      <c r="E5239" t="str">
        <f>_xlfn.XLOOKUP(Vendas[[#This Row],[ID Item Vendido]],Agregado[ID],Agregado[Produto])</f>
        <v>Barril de plástico 200L</v>
      </c>
      <c r="F5239" s="39">
        <v>46013</v>
      </c>
      <c r="G5239" s="7">
        <v>9</v>
      </c>
      <c r="H5239" s="3">
        <f>_xlfn.XLOOKUP(Vendas[[#This Row],[ID Item Vendido]],Agregado[ID],Agregado[Revenda])</f>
        <v>114</v>
      </c>
      <c r="I5239" s="3">
        <f>Vendas[[#This Row],[Valor Unitário]]*Vendas[[#This Row],[Qnt Vendida]]</f>
        <v>1026</v>
      </c>
      <c r="J5239" s="3">
        <f>Vendas[[#This Row],[Valor da Venda]]-(_xlfn.XLOOKUP(Vendas[[#This Row],[ID Item Vendido]],Agregado[ID],Agregado[Custo])*Vendas[[#This Row],[Qnt Vendida]])</f>
        <v>171</v>
      </c>
      <c r="K5239" s="70">
        <f>Vendas[[#This Row],[Lucro da Venda]]/Vendas[[#This Row],[Valor da Venda]]</f>
        <v>0.16666666666666666</v>
      </c>
      <c r="L5239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5239"/>
    </row>
    <row r="5240" spans="1:13" x14ac:dyDescent="0.3">
      <c r="A5240" s="7">
        <v>400255</v>
      </c>
      <c r="B5240" t="str">
        <f>_xlfn.XLOOKUP(Vendas[[#This Row],[ID Vendedor]],Vendedores[ID],Vendedores[Nome])</f>
        <v>Carlos</v>
      </c>
      <c r="C5240" s="7" t="str">
        <f>_xlfn.XLOOKUP(Vendas[[#This Row],[ID Vendedor]],Vendedores[ID],Vendedores[Setor])</f>
        <v>SC</v>
      </c>
      <c r="D5240" s="7" t="s">
        <v>41</v>
      </c>
      <c r="E5240" t="str">
        <f>_xlfn.XLOOKUP(Vendas[[#This Row],[ID Item Vendido]],Agregado[ID],Agregado[Produto])</f>
        <v>Palete de madeira reforçado</v>
      </c>
      <c r="F5240" s="39">
        <v>46013</v>
      </c>
      <c r="G5240" s="7">
        <v>7</v>
      </c>
      <c r="H5240" s="3">
        <f>_xlfn.XLOOKUP(Vendas[[#This Row],[ID Item Vendido]],Agregado[ID],Agregado[Revenda])</f>
        <v>131</v>
      </c>
      <c r="I5240" s="3">
        <f>Vendas[[#This Row],[Valor Unitário]]*Vendas[[#This Row],[Qnt Vendida]]</f>
        <v>917</v>
      </c>
      <c r="J5240" s="3">
        <f>Vendas[[#This Row],[Valor da Venda]]-(_xlfn.XLOOKUP(Vendas[[#This Row],[ID Item Vendido]],Agregado[ID],Agregado[Custo])*Vendas[[#This Row],[Qnt Vendida]])</f>
        <v>147</v>
      </c>
      <c r="K5240" s="70">
        <f>Vendas[[#This Row],[Lucro da Venda]]/Vendas[[#This Row],[Valor da Venda]]</f>
        <v>0.16030534351145037</v>
      </c>
      <c r="L5240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5240"/>
    </row>
    <row r="5241" spans="1:13" x14ac:dyDescent="0.3">
      <c r="A5241" s="7">
        <v>400246</v>
      </c>
      <c r="B5241" t="str">
        <f>_xlfn.XLOOKUP(Vendas[[#This Row],[ID Vendedor]],Vendedores[ID],Vendedores[Nome])</f>
        <v>Juliana</v>
      </c>
      <c r="C5241" s="7" t="str">
        <f>_xlfn.XLOOKUP(Vendas[[#This Row],[ID Vendedor]],Vendedores[ID],Vendedores[Setor])</f>
        <v>AHD</v>
      </c>
      <c r="D5241" s="7" t="s">
        <v>30</v>
      </c>
      <c r="E5241" t="str">
        <f>_xlfn.XLOOKUP(Vendas[[#This Row],[ID Item Vendido]],Agregado[ID],Agregado[Produto])</f>
        <v>Estrutura metálica soldada</v>
      </c>
      <c r="F5241" s="39">
        <v>46013</v>
      </c>
      <c r="G5241" s="7">
        <v>2</v>
      </c>
      <c r="H5241" s="3">
        <f>_xlfn.XLOOKUP(Vendas[[#This Row],[ID Item Vendido]],Agregado[ID],Agregado[Revenda])</f>
        <v>400</v>
      </c>
      <c r="I5241" s="3">
        <f>Vendas[[#This Row],[Valor Unitário]]*Vendas[[#This Row],[Qnt Vendida]]</f>
        <v>800</v>
      </c>
      <c r="J5241" s="3">
        <f>Vendas[[#This Row],[Valor da Venda]]-(_xlfn.XLOOKUP(Vendas[[#This Row],[ID Item Vendido]],Agregado[ID],Agregado[Custo])*Vendas[[#This Row],[Qnt Vendida]])</f>
        <v>160</v>
      </c>
      <c r="K5241" s="70">
        <f>Vendas[[#This Row],[Lucro da Venda]]/Vendas[[#This Row],[Valor da Venda]]</f>
        <v>0.2</v>
      </c>
      <c r="L5241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5241"/>
    </row>
    <row r="5242" spans="1:13" x14ac:dyDescent="0.3">
      <c r="A5242" s="7">
        <v>400252</v>
      </c>
      <c r="B5242" t="str">
        <f>_xlfn.XLOOKUP(Vendas[[#This Row],[ID Vendedor]],Vendedores[ID],Vendedores[Nome])</f>
        <v>Renata</v>
      </c>
      <c r="C5242" s="7" t="str">
        <f>_xlfn.XLOOKUP(Vendas[[#This Row],[ID Vendedor]],Vendedores[ID],Vendedores[Setor])</f>
        <v>AB</v>
      </c>
      <c r="D5242" s="7" t="s">
        <v>37</v>
      </c>
      <c r="E5242" t="str">
        <f>_xlfn.XLOOKUP(Vendas[[#This Row],[ID Item Vendido]],Agregado[ID],Agregado[Produto])</f>
        <v>Composto de borracha para vedação rolo 10m</v>
      </c>
      <c r="F5242" s="39">
        <v>46013</v>
      </c>
      <c r="G5242" s="7">
        <v>11</v>
      </c>
      <c r="H5242" s="3">
        <f>_xlfn.XLOOKUP(Vendas[[#This Row],[ID Item Vendido]],Agregado[ID],Agregado[Revenda])</f>
        <v>51.2</v>
      </c>
      <c r="I5242" s="3">
        <f>Vendas[[#This Row],[Valor Unitário]]*Vendas[[#This Row],[Qnt Vendida]]</f>
        <v>563.20000000000005</v>
      </c>
      <c r="J5242" s="3">
        <f>Vendas[[#This Row],[Valor da Venda]]-(_xlfn.XLOOKUP(Vendas[[#This Row],[ID Item Vendido]],Agregado[ID],Agregado[Custo])*Vendas[[#This Row],[Qnt Vendida]])</f>
        <v>123.20000000000005</v>
      </c>
      <c r="K5242" s="70">
        <f>Vendas[[#This Row],[Lucro da Venda]]/Vendas[[#This Row],[Valor da Venda]]</f>
        <v>0.21875000000000006</v>
      </c>
      <c r="L5242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5242"/>
    </row>
    <row r="5243" spans="1:13" x14ac:dyDescent="0.3">
      <c r="A5243" s="7">
        <v>400254</v>
      </c>
      <c r="B5243" t="str">
        <f>_xlfn.XLOOKUP(Vendas[[#This Row],[ID Vendedor]],Vendedores[ID],Vendedores[Nome])</f>
        <v>Beatriz</v>
      </c>
      <c r="C5243" s="7" t="str">
        <f>_xlfn.XLOOKUP(Vendas[[#This Row],[ID Vendedor]],Vendedores[ID],Vendedores[Setor])</f>
        <v>SC</v>
      </c>
      <c r="D5243" s="7" t="s">
        <v>48</v>
      </c>
      <c r="E5243" t="str">
        <f>_xlfn.XLOOKUP(Vendas[[#This Row],[ID Item Vendido]],Agregado[ID],Agregado[Produto])</f>
        <v>Tambor metálico 200L</v>
      </c>
      <c r="F5243" s="39">
        <v>46014</v>
      </c>
      <c r="G5243" s="7">
        <v>18</v>
      </c>
      <c r="H5243" s="3">
        <f>_xlfn.XLOOKUP(Vendas[[#This Row],[ID Item Vendido]],Agregado[ID],Agregado[Revenda])</f>
        <v>144</v>
      </c>
      <c r="I5243" s="3">
        <f>Vendas[[#This Row],[Valor Unitário]]*Vendas[[#This Row],[Qnt Vendida]]</f>
        <v>2592</v>
      </c>
      <c r="J5243" s="3">
        <f>Vendas[[#This Row],[Valor da Venda]]-(_xlfn.XLOOKUP(Vendas[[#This Row],[ID Item Vendido]],Agregado[ID],Agregado[Custo])*Vendas[[#This Row],[Qnt Vendida]])</f>
        <v>432</v>
      </c>
      <c r="K5243" s="70">
        <f>Vendas[[#This Row],[Lucro da Venda]]/Vendas[[#This Row],[Valor da Venda]]</f>
        <v>0.16666666666666666</v>
      </c>
      <c r="L5243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243"/>
    </row>
    <row r="5244" spans="1:13" x14ac:dyDescent="0.3">
      <c r="A5244" s="7">
        <v>400248</v>
      </c>
      <c r="B5244" t="str">
        <f>_xlfn.XLOOKUP(Vendas[[#This Row],[ID Vendedor]],Vendedores[ID],Vendedores[Nome])</f>
        <v>Patrícia</v>
      </c>
      <c r="C5244" s="7" t="str">
        <f>_xlfn.XLOOKUP(Vendas[[#This Row],[ID Vendedor]],Vendedores[ID],Vendedores[Setor])</f>
        <v>CM</v>
      </c>
      <c r="D5244" s="7" t="s">
        <v>43</v>
      </c>
      <c r="E5244" t="str">
        <f>_xlfn.XLOOKUP(Vendas[[#This Row],[ID Item Vendido]],Agregado[ID],Agregado[Produto])</f>
        <v>Madeira Bruta (Tora)</v>
      </c>
      <c r="F5244" s="39">
        <v>46014</v>
      </c>
      <c r="G5244" s="7">
        <v>6</v>
      </c>
      <c r="H5244" s="3">
        <f>_xlfn.XLOOKUP(Vendas[[#This Row],[ID Item Vendido]],Agregado[ID],Agregado[Revenda])</f>
        <v>212</v>
      </c>
      <c r="I5244" s="3">
        <f>Vendas[[#This Row],[Valor Unitário]]*Vendas[[#This Row],[Qnt Vendida]]</f>
        <v>1272</v>
      </c>
      <c r="J5244" s="3">
        <f>Vendas[[#This Row],[Valor da Venda]]-(_xlfn.XLOOKUP(Vendas[[#This Row],[ID Item Vendido]],Agregado[ID],Agregado[Custo])*Vendas[[#This Row],[Qnt Vendida]])</f>
        <v>192</v>
      </c>
      <c r="K5244" s="70">
        <f>Vendas[[#This Row],[Lucro da Venda]]/Vendas[[#This Row],[Valor da Venda]]</f>
        <v>0.15094339622641509</v>
      </c>
      <c r="L5244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5244"/>
    </row>
    <row r="5245" spans="1:13" x14ac:dyDescent="0.3">
      <c r="A5245" s="7">
        <v>400243</v>
      </c>
      <c r="B5245" t="str">
        <f>_xlfn.XLOOKUP(Vendas[[#This Row],[ID Vendedor]],Vendedores[ID],Vendedores[Nome])</f>
        <v>Marcelo</v>
      </c>
      <c r="C5245" s="7" t="str">
        <f>_xlfn.XLOOKUP(Vendas[[#This Row],[ID Vendedor]],Vendedores[ID],Vendedores[Setor])</f>
        <v>FM</v>
      </c>
      <c r="D5245" s="7" t="s">
        <v>47</v>
      </c>
      <c r="E5245" t="str">
        <f>_xlfn.XLOOKUP(Vendas[[#This Row],[ID Item Vendido]],Agregado[ID],Agregado[Produto])</f>
        <v>Fio de arame galvanizado rolo 50m</v>
      </c>
      <c r="F5245" s="39">
        <v>46015</v>
      </c>
      <c r="G5245" s="7">
        <v>36</v>
      </c>
      <c r="H5245" s="3">
        <f>_xlfn.XLOOKUP(Vendas[[#This Row],[ID Item Vendido]],Agregado[ID],Agregado[Revenda])</f>
        <v>21.2</v>
      </c>
      <c r="I5245" s="3">
        <f>Vendas[[#This Row],[Valor Unitário]]*Vendas[[#This Row],[Qnt Vendida]]</f>
        <v>763.19999999999993</v>
      </c>
      <c r="J5245" s="3">
        <f>Vendas[[#This Row],[Valor da Venda]]-(_xlfn.XLOOKUP(Vendas[[#This Row],[ID Item Vendido]],Agregado[ID],Agregado[Custo])*Vendas[[#This Row],[Qnt Vendida]])</f>
        <v>115.19999999999993</v>
      </c>
      <c r="K5245" s="70">
        <f>Vendas[[#This Row],[Lucro da Venda]]/Vendas[[#This Row],[Valor da Venda]]</f>
        <v>0.15094339622641501</v>
      </c>
      <c r="L5245" s="3">
        <f>_xlfn.IFS(Vendas[[#This Row],[Margem de Lucro (%)]]&lt;15%,Vendas[[#This Row],[Valor da Venda]]*3%,Vendas[[#This Row],[Margem de Lucro (%)]]&lt;=20%,Vendas[[#This Row],[Valor da Venda]]*4.5%,TRUE,Vendas[[#This Row],[Valor da Venda]]*6%)</f>
        <v>34.343999999999994</v>
      </c>
      <c r="M5245"/>
    </row>
    <row r="5246" spans="1:13" x14ac:dyDescent="0.3">
      <c r="A5246" s="7">
        <v>400250</v>
      </c>
      <c r="B5246" t="str">
        <f>_xlfn.XLOOKUP(Vendas[[#This Row],[ID Vendedor]],Vendedores[ID],Vendedores[Nome])</f>
        <v>Larissa</v>
      </c>
      <c r="C5246" s="7" t="str">
        <f>_xlfn.XLOOKUP(Vendas[[#This Row],[ID Vendedor]],Vendedores[ID],Vendedores[Setor])</f>
        <v>AB</v>
      </c>
      <c r="D5246" s="7" t="s">
        <v>37</v>
      </c>
      <c r="E5246" t="str">
        <f>_xlfn.XLOOKUP(Vendas[[#This Row],[ID Item Vendido]],Agregado[ID],Agregado[Produto])</f>
        <v>Composto de borracha para vedação rolo 10m</v>
      </c>
      <c r="F5246" s="39">
        <v>46015</v>
      </c>
      <c r="G5246" s="7">
        <v>11</v>
      </c>
      <c r="H5246" s="3">
        <f>_xlfn.XLOOKUP(Vendas[[#This Row],[ID Item Vendido]],Agregado[ID],Agregado[Revenda])</f>
        <v>51.2</v>
      </c>
      <c r="I5246" s="3">
        <f>Vendas[[#This Row],[Valor Unitário]]*Vendas[[#This Row],[Qnt Vendida]]</f>
        <v>563.20000000000005</v>
      </c>
      <c r="J5246" s="3">
        <f>Vendas[[#This Row],[Valor da Venda]]-(_xlfn.XLOOKUP(Vendas[[#This Row],[ID Item Vendido]],Agregado[ID],Agregado[Custo])*Vendas[[#This Row],[Qnt Vendida]])</f>
        <v>123.20000000000005</v>
      </c>
      <c r="K5246" s="70">
        <f>Vendas[[#This Row],[Lucro da Venda]]/Vendas[[#This Row],[Valor da Venda]]</f>
        <v>0.21875000000000006</v>
      </c>
      <c r="L5246" s="3">
        <f>_xlfn.IFS(Vendas[[#This Row],[Margem de Lucro (%)]]&lt;15%,Vendas[[#This Row],[Valor da Venda]]*3%,Vendas[[#This Row],[Margem de Lucro (%)]]&lt;=20%,Vendas[[#This Row],[Valor da Venda]]*4.5%,TRUE,Vendas[[#This Row],[Valor da Venda]]*6%)</f>
        <v>33.792000000000002</v>
      </c>
      <c r="M5246"/>
    </row>
    <row r="5247" spans="1:13" x14ac:dyDescent="0.3">
      <c r="A5247" s="7">
        <v>400251</v>
      </c>
      <c r="B5247" t="str">
        <f>_xlfn.XLOOKUP(Vendas[[#This Row],[ID Vendedor]],Vendedores[ID],Vendedores[Nome])</f>
        <v>Diego</v>
      </c>
      <c r="C5247" s="7" t="str">
        <f>_xlfn.XLOOKUP(Vendas[[#This Row],[ID Vendedor]],Vendedores[ID],Vendedores[Setor])</f>
        <v>AB</v>
      </c>
      <c r="D5247" s="7" t="s">
        <v>39</v>
      </c>
      <c r="E5247" t="str">
        <f>_xlfn.XLOOKUP(Vendas[[#This Row],[ID Item Vendido]],Agregado[ID],Agregado[Produto])</f>
        <v>Filme plástico industrial rolo 50m</v>
      </c>
      <c r="F5247" s="39">
        <v>46015</v>
      </c>
      <c r="G5247" s="7">
        <v>7</v>
      </c>
      <c r="H5247" s="3">
        <f>_xlfn.XLOOKUP(Vendas[[#This Row],[ID Item Vendido]],Agregado[ID],Agregado[Revenda])</f>
        <v>37</v>
      </c>
      <c r="I5247" s="3">
        <f>Vendas[[#This Row],[Valor Unitário]]*Vendas[[#This Row],[Qnt Vendida]]</f>
        <v>259</v>
      </c>
      <c r="J5247" s="3">
        <f>Vendas[[#This Row],[Valor da Venda]]-(_xlfn.XLOOKUP(Vendas[[#This Row],[ID Item Vendido]],Agregado[ID],Agregado[Custo])*Vendas[[#This Row],[Qnt Vendida]])</f>
        <v>63</v>
      </c>
      <c r="K5247" s="70">
        <f>Vendas[[#This Row],[Lucro da Venda]]/Vendas[[#This Row],[Valor da Venda]]</f>
        <v>0.24324324324324326</v>
      </c>
      <c r="L5247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5247"/>
    </row>
    <row r="5248" spans="1:13" x14ac:dyDescent="0.3">
      <c r="A5248" s="7">
        <v>400245</v>
      </c>
      <c r="B5248" t="str">
        <f>_xlfn.XLOOKUP(Vendas[[#This Row],[ID Vendedor]],Vendedores[ID],Vendedores[Nome])</f>
        <v>Thiago</v>
      </c>
      <c r="C5248" s="7" t="str">
        <f>_xlfn.XLOOKUP(Vendas[[#This Row],[ID Vendedor]],Vendedores[ID],Vendedores[Setor])</f>
        <v>AHD</v>
      </c>
      <c r="D5248" s="7" t="s">
        <v>28</v>
      </c>
      <c r="E5248" t="str">
        <f>_xlfn.XLOOKUP(Vendas[[#This Row],[ID Item Vendido]],Agregado[ID],Agregado[Produto])</f>
        <v>Peça usinada CNC</v>
      </c>
      <c r="F5248" s="39">
        <v>46016</v>
      </c>
      <c r="G5248" s="7">
        <v>15</v>
      </c>
      <c r="H5248" s="3">
        <f>_xlfn.XLOOKUP(Vendas[[#This Row],[ID Item Vendido]],Agregado[ID],Agregado[Revenda])</f>
        <v>192</v>
      </c>
      <c r="I5248" s="3">
        <f>Vendas[[#This Row],[Valor Unitário]]*Vendas[[#This Row],[Qnt Vendida]]</f>
        <v>2880</v>
      </c>
      <c r="J5248" s="3">
        <f>Vendas[[#This Row],[Valor da Venda]]-(_xlfn.XLOOKUP(Vendas[[#This Row],[ID Item Vendido]],Agregado[ID],Agregado[Custo])*Vendas[[#This Row],[Qnt Vendida]])</f>
        <v>630</v>
      </c>
      <c r="K5248" s="70">
        <f>Vendas[[#This Row],[Lucro da Venda]]/Vendas[[#This Row],[Valor da Venda]]</f>
        <v>0.21875</v>
      </c>
      <c r="L5248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5248"/>
    </row>
    <row r="5249" spans="1:13" x14ac:dyDescent="0.3">
      <c r="A5249" s="7">
        <v>400254</v>
      </c>
      <c r="B5249" t="str">
        <f>_xlfn.XLOOKUP(Vendas[[#This Row],[ID Vendedor]],Vendedores[ID],Vendedores[Nome])</f>
        <v>Beatriz</v>
      </c>
      <c r="C5249" s="7" t="str">
        <f>_xlfn.XLOOKUP(Vendas[[#This Row],[ID Vendedor]],Vendedores[ID],Vendedores[Setor])</f>
        <v>SC</v>
      </c>
      <c r="D5249" s="7" t="s">
        <v>14</v>
      </c>
      <c r="E5249" t="str">
        <f>_xlfn.XLOOKUP(Vendas[[#This Row],[ID Item Vendido]],Agregado[ID],Agregado[Produto])</f>
        <v>Barril de plástico 200L</v>
      </c>
      <c r="F5249" s="39">
        <v>46016</v>
      </c>
      <c r="G5249" s="7">
        <v>11</v>
      </c>
      <c r="H5249" s="3">
        <f>_xlfn.XLOOKUP(Vendas[[#This Row],[ID Item Vendido]],Agregado[ID],Agregado[Revenda])</f>
        <v>114</v>
      </c>
      <c r="I5249" s="3">
        <f>Vendas[[#This Row],[Valor Unitário]]*Vendas[[#This Row],[Qnt Vendida]]</f>
        <v>1254</v>
      </c>
      <c r="J5249" s="3">
        <f>Vendas[[#This Row],[Valor da Venda]]-(_xlfn.XLOOKUP(Vendas[[#This Row],[ID Item Vendido]],Agregado[ID],Agregado[Custo])*Vendas[[#This Row],[Qnt Vendida]])</f>
        <v>209</v>
      </c>
      <c r="K5249" s="70">
        <f>Vendas[[#This Row],[Lucro da Venda]]/Vendas[[#This Row],[Valor da Venda]]</f>
        <v>0.16666666666666666</v>
      </c>
      <c r="L5249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249"/>
    </row>
    <row r="5250" spans="1:13" x14ac:dyDescent="0.3">
      <c r="A5250" s="7">
        <v>400243</v>
      </c>
      <c r="B5250" t="str">
        <f>_xlfn.XLOOKUP(Vendas[[#This Row],[ID Vendedor]],Vendedores[ID],Vendedores[Nome])</f>
        <v>Marcelo</v>
      </c>
      <c r="C5250" s="7" t="str">
        <f>_xlfn.XLOOKUP(Vendas[[#This Row],[ID Vendedor]],Vendedores[ID],Vendedores[Setor])</f>
        <v>FM</v>
      </c>
      <c r="D5250" s="7" t="s">
        <v>27</v>
      </c>
      <c r="E5250" t="str">
        <f>_xlfn.XLOOKUP(Vendas[[#This Row],[ID Item Vendido]],Agregado[ID],Agregado[Produto])</f>
        <v>Chapa de metal lisa 1x2m</v>
      </c>
      <c r="F5250" s="39">
        <v>46016</v>
      </c>
      <c r="G5250" s="7">
        <v>21</v>
      </c>
      <c r="H5250" s="3">
        <f>_xlfn.XLOOKUP(Vendas[[#This Row],[ID Item Vendido]],Agregado[ID],Agregado[Revenda])</f>
        <v>52</v>
      </c>
      <c r="I5250" s="3">
        <f>Vendas[[#This Row],[Valor Unitário]]*Vendas[[#This Row],[Qnt Vendida]]</f>
        <v>1092</v>
      </c>
      <c r="J5250" s="3">
        <f>Vendas[[#This Row],[Valor da Venda]]-(_xlfn.XLOOKUP(Vendas[[#This Row],[ID Item Vendido]],Agregado[ID],Agregado[Custo])*Vendas[[#This Row],[Qnt Vendida]])</f>
        <v>147</v>
      </c>
      <c r="K5250" s="70">
        <f>Vendas[[#This Row],[Lucro da Venda]]/Vendas[[#This Row],[Valor da Venda]]</f>
        <v>0.13461538461538461</v>
      </c>
      <c r="L5250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5250"/>
    </row>
    <row r="5251" spans="1:13" x14ac:dyDescent="0.3">
      <c r="A5251" s="7">
        <v>400252</v>
      </c>
      <c r="B5251" t="str">
        <f>_xlfn.XLOOKUP(Vendas[[#This Row],[ID Vendedor]],Vendedores[ID],Vendedores[Nome])</f>
        <v>Renata</v>
      </c>
      <c r="C5251" s="7" t="str">
        <f>_xlfn.XLOOKUP(Vendas[[#This Row],[ID Vendedor]],Vendedores[ID],Vendedores[Setor])</f>
        <v>AB</v>
      </c>
      <c r="D5251" s="7" t="s">
        <v>37</v>
      </c>
      <c r="E5251" t="str">
        <f>_xlfn.XLOOKUP(Vendas[[#This Row],[ID Item Vendido]],Agregado[ID],Agregado[Produto])</f>
        <v>Composto de borracha para vedação rolo 10m</v>
      </c>
      <c r="F5251" s="39">
        <v>46016</v>
      </c>
      <c r="G5251" s="7">
        <v>15</v>
      </c>
      <c r="H5251" s="3">
        <f>_xlfn.XLOOKUP(Vendas[[#This Row],[ID Item Vendido]],Agregado[ID],Agregado[Revenda])</f>
        <v>51.2</v>
      </c>
      <c r="I5251" s="3">
        <f>Vendas[[#This Row],[Valor Unitário]]*Vendas[[#This Row],[Qnt Vendida]]</f>
        <v>768</v>
      </c>
      <c r="J5251" s="3">
        <f>Vendas[[#This Row],[Valor da Venda]]-(_xlfn.XLOOKUP(Vendas[[#This Row],[ID Item Vendido]],Agregado[ID],Agregado[Custo])*Vendas[[#This Row],[Qnt Vendida]])</f>
        <v>168</v>
      </c>
      <c r="K5251" s="70">
        <f>Vendas[[#This Row],[Lucro da Venda]]/Vendas[[#This Row],[Valor da Venda]]</f>
        <v>0.21875</v>
      </c>
      <c r="L525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251"/>
    </row>
    <row r="5252" spans="1:13" x14ac:dyDescent="0.3">
      <c r="A5252" s="7">
        <v>400242</v>
      </c>
      <c r="B5252" t="str">
        <f>_xlfn.XLOOKUP(Vendas[[#This Row],[ID Vendedor]],Vendedores[ID],Vendedores[Nome])</f>
        <v>Fernanda</v>
      </c>
      <c r="C5252" s="7" t="str">
        <f>_xlfn.XLOOKUP(Vendas[[#This Row],[ID Vendedor]],Vendedores[ID],Vendedores[Setor])</f>
        <v>FM</v>
      </c>
      <c r="D5252" s="7" t="s">
        <v>31</v>
      </c>
      <c r="E5252" t="str">
        <f>_xlfn.XLOOKUP(Vendas[[#This Row],[ID Item Vendido]],Agregado[ID],Agregado[Produto])</f>
        <v>Tela de metal soldada rolo 2x25m</v>
      </c>
      <c r="F5252" s="39">
        <v>46016</v>
      </c>
      <c r="G5252" s="7">
        <v>10</v>
      </c>
      <c r="H5252" s="3">
        <f>_xlfn.XLOOKUP(Vendas[[#This Row],[ID Item Vendido]],Agregado[ID],Agregado[Revenda])</f>
        <v>43.7</v>
      </c>
      <c r="I5252" s="3">
        <f>Vendas[[#This Row],[Valor Unitário]]*Vendas[[#This Row],[Qnt Vendida]]</f>
        <v>437</v>
      </c>
      <c r="J5252" s="3">
        <f>Vendas[[#This Row],[Valor da Venda]]-(_xlfn.XLOOKUP(Vendas[[#This Row],[ID Item Vendido]],Agregado[ID],Agregado[Custo])*Vendas[[#This Row],[Qnt Vendida]])</f>
        <v>57</v>
      </c>
      <c r="K5252" s="70">
        <f>Vendas[[#This Row],[Lucro da Venda]]/Vendas[[#This Row],[Valor da Venda]]</f>
        <v>0.13043478260869565</v>
      </c>
      <c r="L5252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5252"/>
    </row>
    <row r="5253" spans="1:13" x14ac:dyDescent="0.3">
      <c r="A5253" s="7">
        <v>400253</v>
      </c>
      <c r="B5253" t="str">
        <f>_xlfn.XLOOKUP(Vendas[[#This Row],[ID Vendedor]],Vendedores[ID],Vendedores[Nome])</f>
        <v>Gustavo</v>
      </c>
      <c r="C5253" s="7" t="str">
        <f>_xlfn.XLOOKUP(Vendas[[#This Row],[ID Vendedor]],Vendedores[ID],Vendedores[Setor])</f>
        <v>SC</v>
      </c>
      <c r="D5253" s="7" t="s">
        <v>14</v>
      </c>
      <c r="E5253" t="str">
        <f>_xlfn.XLOOKUP(Vendas[[#This Row],[ID Item Vendido]],Agregado[ID],Agregado[Produto])</f>
        <v>Barril de plástico 200L</v>
      </c>
      <c r="F5253" s="39">
        <v>46017</v>
      </c>
      <c r="G5253" s="7">
        <v>22</v>
      </c>
      <c r="H5253" s="3">
        <f>_xlfn.XLOOKUP(Vendas[[#This Row],[ID Item Vendido]],Agregado[ID],Agregado[Revenda])</f>
        <v>114</v>
      </c>
      <c r="I5253" s="3">
        <f>Vendas[[#This Row],[Valor Unitário]]*Vendas[[#This Row],[Qnt Vendida]]</f>
        <v>2508</v>
      </c>
      <c r="J5253" s="3">
        <f>Vendas[[#This Row],[Valor da Venda]]-(_xlfn.XLOOKUP(Vendas[[#This Row],[ID Item Vendido]],Agregado[ID],Agregado[Custo])*Vendas[[#This Row],[Qnt Vendida]])</f>
        <v>418</v>
      </c>
      <c r="K5253" s="70">
        <f>Vendas[[#This Row],[Lucro da Venda]]/Vendas[[#This Row],[Valor da Venda]]</f>
        <v>0.16666666666666666</v>
      </c>
      <c r="L5253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5253"/>
    </row>
    <row r="5254" spans="1:13" x14ac:dyDescent="0.3">
      <c r="A5254" s="7">
        <v>400243</v>
      </c>
      <c r="B5254" t="str">
        <f>_xlfn.XLOOKUP(Vendas[[#This Row],[ID Vendedor]],Vendedores[ID],Vendedores[Nome])</f>
        <v>Marcelo</v>
      </c>
      <c r="C5254" s="7" t="str">
        <f>_xlfn.XLOOKUP(Vendas[[#This Row],[ID Vendedor]],Vendedores[ID],Vendedores[Setor])</f>
        <v>FM</v>
      </c>
      <c r="D5254" s="7" t="s">
        <v>27</v>
      </c>
      <c r="E5254" t="str">
        <f>_xlfn.XLOOKUP(Vendas[[#This Row],[ID Item Vendido]],Agregado[ID],Agregado[Produto])</f>
        <v>Chapa de metal lisa 1x2m</v>
      </c>
      <c r="F5254" s="39">
        <v>46017</v>
      </c>
      <c r="G5254" s="7">
        <v>17</v>
      </c>
      <c r="H5254" s="3">
        <f>_xlfn.XLOOKUP(Vendas[[#This Row],[ID Item Vendido]],Agregado[ID],Agregado[Revenda])</f>
        <v>52</v>
      </c>
      <c r="I5254" s="3">
        <f>Vendas[[#This Row],[Valor Unitário]]*Vendas[[#This Row],[Qnt Vendida]]</f>
        <v>884</v>
      </c>
      <c r="J5254" s="3">
        <f>Vendas[[#This Row],[Valor da Venda]]-(_xlfn.XLOOKUP(Vendas[[#This Row],[ID Item Vendido]],Agregado[ID],Agregado[Custo])*Vendas[[#This Row],[Qnt Vendida]])</f>
        <v>119</v>
      </c>
      <c r="K5254" s="70">
        <f>Vendas[[#This Row],[Lucro da Venda]]/Vendas[[#This Row],[Valor da Venda]]</f>
        <v>0.13461538461538461</v>
      </c>
      <c r="L5254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5254"/>
    </row>
    <row r="5255" spans="1:13" x14ac:dyDescent="0.3">
      <c r="A5255" s="7">
        <v>400248</v>
      </c>
      <c r="B5255" t="str">
        <f>_xlfn.XLOOKUP(Vendas[[#This Row],[ID Vendedor]],Vendedores[ID],Vendedores[Nome])</f>
        <v>Patrícia</v>
      </c>
      <c r="C5255" s="7" t="str">
        <f>_xlfn.XLOOKUP(Vendas[[#This Row],[ID Vendedor]],Vendedores[ID],Vendedores[Setor])</f>
        <v>CM</v>
      </c>
      <c r="D5255" s="7" t="s">
        <v>45</v>
      </c>
      <c r="E5255" t="str">
        <f>_xlfn.XLOOKUP(Vendas[[#This Row],[ID Item Vendido]],Agregado[ID],Agregado[Produto])</f>
        <v>Viga de madeira tratada 4m</v>
      </c>
      <c r="F5255" s="39">
        <v>46017</v>
      </c>
      <c r="G5255" s="7">
        <v>12</v>
      </c>
      <c r="H5255" s="3">
        <f>_xlfn.XLOOKUP(Vendas[[#This Row],[ID Item Vendido]],Agregado[ID],Agregado[Revenda])</f>
        <v>66</v>
      </c>
      <c r="I5255" s="3">
        <f>Vendas[[#This Row],[Valor Unitário]]*Vendas[[#This Row],[Qnt Vendida]]</f>
        <v>792</v>
      </c>
      <c r="J5255" s="3">
        <f>Vendas[[#This Row],[Valor da Venda]]-(_xlfn.XLOOKUP(Vendas[[#This Row],[ID Item Vendido]],Agregado[ID],Agregado[Custo])*Vendas[[#This Row],[Qnt Vendida]])</f>
        <v>132</v>
      </c>
      <c r="K5255" s="70">
        <f>Vendas[[#This Row],[Lucro da Venda]]/Vendas[[#This Row],[Valor da Venda]]</f>
        <v>0.16666666666666666</v>
      </c>
      <c r="L5255" s="3">
        <f>_xlfn.IFS(Vendas[[#This Row],[Margem de Lucro (%)]]&lt;15%,Vendas[[#This Row],[Valor da Venda]]*3%,Vendas[[#This Row],[Margem de Lucro (%)]]&lt;=20%,Vendas[[#This Row],[Valor da Venda]]*4.5%,TRUE,Vendas[[#This Row],[Valor da Venda]]*6%)</f>
        <v>35.64</v>
      </c>
      <c r="M5255"/>
    </row>
    <row r="5256" spans="1:13" x14ac:dyDescent="0.3">
      <c r="A5256" s="7">
        <v>400243</v>
      </c>
      <c r="B5256" t="str">
        <f>_xlfn.XLOOKUP(Vendas[[#This Row],[ID Vendedor]],Vendedores[ID],Vendedores[Nome])</f>
        <v>Marcelo</v>
      </c>
      <c r="C5256" s="7" t="str">
        <f>_xlfn.XLOOKUP(Vendas[[#This Row],[ID Vendedor]],Vendedores[ID],Vendedores[Setor])</f>
        <v>FM</v>
      </c>
      <c r="D5256" s="7" t="s">
        <v>47</v>
      </c>
      <c r="E5256" t="str">
        <f>_xlfn.XLOOKUP(Vendas[[#This Row],[ID Item Vendido]],Agregado[ID],Agregado[Produto])</f>
        <v>Fio de arame galvanizado rolo 50m</v>
      </c>
      <c r="F5256" s="39">
        <v>46017</v>
      </c>
      <c r="G5256" s="7">
        <v>34</v>
      </c>
      <c r="H5256" s="3">
        <f>_xlfn.XLOOKUP(Vendas[[#This Row],[ID Item Vendido]],Agregado[ID],Agregado[Revenda])</f>
        <v>21.2</v>
      </c>
      <c r="I5256" s="3">
        <f>Vendas[[#This Row],[Valor Unitário]]*Vendas[[#This Row],[Qnt Vendida]]</f>
        <v>720.8</v>
      </c>
      <c r="J5256" s="3">
        <f>Vendas[[#This Row],[Valor da Venda]]-(_xlfn.XLOOKUP(Vendas[[#This Row],[ID Item Vendido]],Agregado[ID],Agregado[Custo])*Vendas[[#This Row],[Qnt Vendida]])</f>
        <v>108.79999999999995</v>
      </c>
      <c r="K5256" s="70">
        <f>Vendas[[#This Row],[Lucro da Venda]]/Vendas[[#This Row],[Valor da Venda]]</f>
        <v>0.15094339622641503</v>
      </c>
      <c r="L5256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5256"/>
    </row>
    <row r="5257" spans="1:13" x14ac:dyDescent="0.3">
      <c r="A5257" s="7">
        <v>400244</v>
      </c>
      <c r="B5257" t="str">
        <f>_xlfn.XLOOKUP(Vendas[[#This Row],[ID Vendedor]],Vendedores[ID],Vendedores[Nome])</f>
        <v>Camila</v>
      </c>
      <c r="C5257" s="7" t="str">
        <f>_xlfn.XLOOKUP(Vendas[[#This Row],[ID Vendedor]],Vendedores[ID],Vendedores[Setor])</f>
        <v>AHD</v>
      </c>
      <c r="D5257" s="7" t="s">
        <v>9</v>
      </c>
      <c r="E5257" t="str">
        <f>_xlfn.XLOOKUP(Vendas[[#This Row],[ID Item Vendido]],Agregado[ID],Agregado[Produto])</f>
        <v>Barra de aço simples</v>
      </c>
      <c r="F5257" s="39">
        <v>46017</v>
      </c>
      <c r="G5257" s="7">
        <v>21</v>
      </c>
      <c r="H5257" s="3">
        <f>_xlfn.XLOOKUP(Vendas[[#This Row],[ID Item Vendido]],Agregado[ID],Agregado[Revenda])</f>
        <v>6.7</v>
      </c>
      <c r="I5257" s="3">
        <f>Vendas[[#This Row],[Valor Unitário]]*Vendas[[#This Row],[Qnt Vendida]]</f>
        <v>140.70000000000002</v>
      </c>
      <c r="J5257" s="3">
        <f>Vendas[[#This Row],[Valor da Venda]]-(_xlfn.XLOOKUP(Vendas[[#This Row],[ID Item Vendido]],Agregado[ID],Agregado[Custo])*Vendas[[#This Row],[Qnt Vendida]])</f>
        <v>18.90000000000002</v>
      </c>
      <c r="K5257" s="70">
        <f>Vendas[[#This Row],[Lucro da Venda]]/Vendas[[#This Row],[Valor da Venda]]</f>
        <v>0.13432835820895536</v>
      </c>
      <c r="L5257" s="3">
        <f>_xlfn.IFS(Vendas[[#This Row],[Margem de Lucro (%)]]&lt;15%,Vendas[[#This Row],[Valor da Venda]]*3%,Vendas[[#This Row],[Margem de Lucro (%)]]&lt;=20%,Vendas[[#This Row],[Valor da Venda]]*4.5%,TRUE,Vendas[[#This Row],[Valor da Venda]]*6%)</f>
        <v>4.2210000000000001</v>
      </c>
      <c r="M5257"/>
    </row>
    <row r="5258" spans="1:13" x14ac:dyDescent="0.3">
      <c r="A5258" s="7">
        <v>400246</v>
      </c>
      <c r="B5258" t="str">
        <f>_xlfn.XLOOKUP(Vendas[[#This Row],[ID Vendedor]],Vendedores[ID],Vendedores[Nome])</f>
        <v>Juliana</v>
      </c>
      <c r="C5258" s="7" t="str">
        <f>_xlfn.XLOOKUP(Vendas[[#This Row],[ID Vendedor]],Vendedores[ID],Vendedores[Setor])</f>
        <v>AHD</v>
      </c>
      <c r="D5258" s="7" t="s">
        <v>28</v>
      </c>
      <c r="E5258" t="str">
        <f>_xlfn.XLOOKUP(Vendas[[#This Row],[ID Item Vendido]],Agregado[ID],Agregado[Produto])</f>
        <v>Peça usinada CNC</v>
      </c>
      <c r="F5258" s="39">
        <v>46018</v>
      </c>
      <c r="G5258" s="7">
        <v>11</v>
      </c>
      <c r="H5258" s="3">
        <f>_xlfn.XLOOKUP(Vendas[[#This Row],[ID Item Vendido]],Agregado[ID],Agregado[Revenda])</f>
        <v>192</v>
      </c>
      <c r="I5258" s="3">
        <f>Vendas[[#This Row],[Valor Unitário]]*Vendas[[#This Row],[Qnt Vendida]]</f>
        <v>2112</v>
      </c>
      <c r="J5258" s="3">
        <f>Vendas[[#This Row],[Valor da Venda]]-(_xlfn.XLOOKUP(Vendas[[#This Row],[ID Item Vendido]],Agregado[ID],Agregado[Custo])*Vendas[[#This Row],[Qnt Vendida]])</f>
        <v>462</v>
      </c>
      <c r="K5258" s="70">
        <f>Vendas[[#This Row],[Lucro da Venda]]/Vendas[[#This Row],[Valor da Venda]]</f>
        <v>0.21875</v>
      </c>
      <c r="L5258" s="3">
        <f>_xlfn.IFS(Vendas[[#This Row],[Margem de Lucro (%)]]&lt;15%,Vendas[[#This Row],[Valor da Venda]]*3%,Vendas[[#This Row],[Margem de Lucro (%)]]&lt;=20%,Vendas[[#This Row],[Valor da Venda]]*4.5%,TRUE,Vendas[[#This Row],[Valor da Venda]]*6%)</f>
        <v>126.72</v>
      </c>
      <c r="M5258"/>
    </row>
    <row r="5259" spans="1:13" x14ac:dyDescent="0.3">
      <c r="A5259" s="7">
        <v>400254</v>
      </c>
      <c r="B5259" t="str">
        <f>_xlfn.XLOOKUP(Vendas[[#This Row],[ID Vendedor]],Vendedores[ID],Vendedores[Nome])</f>
        <v>Beatriz</v>
      </c>
      <c r="C5259" s="7" t="str">
        <f>_xlfn.XLOOKUP(Vendas[[#This Row],[ID Vendedor]],Vendedores[ID],Vendedores[Setor])</f>
        <v>SC</v>
      </c>
      <c r="D5259" s="7" t="s">
        <v>42</v>
      </c>
      <c r="E5259" t="str">
        <f>_xlfn.XLOOKUP(Vendas[[#This Row],[ID Item Vendido]],Agregado[ID],Agregado[Produto])</f>
        <v>Container de ferro industrial</v>
      </c>
      <c r="F5259" s="39">
        <v>46018</v>
      </c>
      <c r="G5259" s="7">
        <v>2</v>
      </c>
      <c r="H5259" s="3">
        <f>_xlfn.XLOOKUP(Vendas[[#This Row],[ID Item Vendido]],Agregado[ID],Agregado[Revenda])</f>
        <v>830</v>
      </c>
      <c r="I5259" s="3">
        <f>Vendas[[#This Row],[Valor Unitário]]*Vendas[[#This Row],[Qnt Vendida]]</f>
        <v>1660</v>
      </c>
      <c r="J5259" s="3">
        <f>Vendas[[#This Row],[Valor da Venda]]-(_xlfn.XLOOKUP(Vendas[[#This Row],[ID Item Vendido]],Agregado[ID],Agregado[Custo])*Vendas[[#This Row],[Qnt Vendida]])</f>
        <v>300</v>
      </c>
      <c r="K5259" s="70">
        <f>Vendas[[#This Row],[Lucro da Venda]]/Vendas[[#This Row],[Valor da Venda]]</f>
        <v>0.18072289156626506</v>
      </c>
      <c r="L5259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259"/>
    </row>
    <row r="5260" spans="1:13" x14ac:dyDescent="0.3">
      <c r="A5260" s="7">
        <v>400246</v>
      </c>
      <c r="B5260" t="str">
        <f>_xlfn.XLOOKUP(Vendas[[#This Row],[ID Vendedor]],Vendedores[ID],Vendedores[Nome])</f>
        <v>Juliana</v>
      </c>
      <c r="C5260" s="7" t="str">
        <f>_xlfn.XLOOKUP(Vendas[[#This Row],[ID Vendedor]],Vendedores[ID],Vendedores[Setor])</f>
        <v>AHD</v>
      </c>
      <c r="D5260" s="7" t="s">
        <v>44</v>
      </c>
      <c r="E5260" t="str">
        <f>_xlfn.XLOOKUP(Vendas[[#This Row],[ID Item Vendido]],Agregado[ID],Agregado[Produto])</f>
        <v>Liga metálica especial</v>
      </c>
      <c r="F5260" s="39">
        <v>46018</v>
      </c>
      <c r="G5260" s="7">
        <v>15</v>
      </c>
      <c r="H5260" s="3">
        <f>_xlfn.XLOOKUP(Vendas[[#This Row],[ID Item Vendido]],Agregado[ID],Agregado[Revenda])</f>
        <v>32.5</v>
      </c>
      <c r="I5260" s="3">
        <f>Vendas[[#This Row],[Valor Unitário]]*Vendas[[#This Row],[Qnt Vendida]]</f>
        <v>487.5</v>
      </c>
      <c r="J5260" s="3">
        <f>Vendas[[#This Row],[Valor da Venda]]-(_xlfn.XLOOKUP(Vendas[[#This Row],[ID Item Vendido]],Agregado[ID],Agregado[Custo])*Vendas[[#This Row],[Qnt Vendida]])</f>
        <v>112.5</v>
      </c>
      <c r="K5260" s="70">
        <f>Vendas[[#This Row],[Lucro da Venda]]/Vendas[[#This Row],[Valor da Venda]]</f>
        <v>0.23076923076923078</v>
      </c>
      <c r="L5260" s="3">
        <f>_xlfn.IFS(Vendas[[#This Row],[Margem de Lucro (%)]]&lt;15%,Vendas[[#This Row],[Valor da Venda]]*3%,Vendas[[#This Row],[Margem de Lucro (%)]]&lt;=20%,Vendas[[#This Row],[Valor da Venda]]*4.5%,TRUE,Vendas[[#This Row],[Valor da Venda]]*6%)</f>
        <v>29.25</v>
      </c>
      <c r="M5260"/>
    </row>
    <row r="5261" spans="1:13" x14ac:dyDescent="0.3">
      <c r="A5261" s="7">
        <v>400252</v>
      </c>
      <c r="B5261" t="str">
        <f>_xlfn.XLOOKUP(Vendas[[#This Row],[ID Vendedor]],Vendedores[ID],Vendedores[Nome])</f>
        <v>Renata</v>
      </c>
      <c r="C5261" s="7" t="str">
        <f>_xlfn.XLOOKUP(Vendas[[#This Row],[ID Vendedor]],Vendedores[ID],Vendedores[Setor])</f>
        <v>AB</v>
      </c>
      <c r="D5261" s="7" t="s">
        <v>12</v>
      </c>
      <c r="E5261" t="str">
        <f>_xlfn.XLOOKUP(Vendas[[#This Row],[ID Item Vendido]],Agregado[ID],Agregado[Produto])</f>
        <v>Grânulo de plástico reciclado refinado</v>
      </c>
      <c r="F5261" s="39">
        <v>46018</v>
      </c>
      <c r="G5261" s="7">
        <v>74</v>
      </c>
      <c r="H5261" s="3">
        <f>_xlfn.XLOOKUP(Vendas[[#This Row],[ID Item Vendido]],Agregado[ID],Agregado[Revenda])</f>
        <v>4.7</v>
      </c>
      <c r="I5261" s="3">
        <f>Vendas[[#This Row],[Valor Unitário]]*Vendas[[#This Row],[Qnt Vendida]]</f>
        <v>347.8</v>
      </c>
      <c r="J5261" s="3">
        <f>Vendas[[#This Row],[Valor da Venda]]-(_xlfn.XLOOKUP(Vendas[[#This Row],[ID Item Vendido]],Agregado[ID],Agregado[Custo])*Vendas[[#This Row],[Qnt Vendida]])</f>
        <v>88.800000000000011</v>
      </c>
      <c r="K5261" s="70">
        <f>Vendas[[#This Row],[Lucro da Venda]]/Vendas[[#This Row],[Valor da Venda]]</f>
        <v>0.25531914893617025</v>
      </c>
      <c r="L5261" s="3">
        <f>_xlfn.IFS(Vendas[[#This Row],[Margem de Lucro (%)]]&lt;15%,Vendas[[#This Row],[Valor da Venda]]*3%,Vendas[[#This Row],[Margem de Lucro (%)]]&lt;=20%,Vendas[[#This Row],[Valor da Venda]]*4.5%,TRUE,Vendas[[#This Row],[Valor da Venda]]*6%)</f>
        <v>20.867999999999999</v>
      </c>
      <c r="M5261"/>
    </row>
    <row r="5262" spans="1:13" x14ac:dyDescent="0.3">
      <c r="A5262" s="7">
        <v>400242</v>
      </c>
      <c r="B5262" t="str">
        <f>_xlfn.XLOOKUP(Vendas[[#This Row],[ID Vendedor]],Vendedores[ID],Vendedores[Nome])</f>
        <v>Fernanda</v>
      </c>
      <c r="C5262" s="7" t="str">
        <f>_xlfn.XLOOKUP(Vendas[[#This Row],[ID Vendedor]],Vendedores[ID],Vendedores[Setor])</f>
        <v>FM</v>
      </c>
      <c r="D5262" s="7" t="s">
        <v>20</v>
      </c>
      <c r="E5262" t="str">
        <f>_xlfn.XLOOKUP(Vendas[[#This Row],[ID Item Vendido]],Agregado[ID],Agregado[Produto])</f>
        <v>Barra de aço simples</v>
      </c>
      <c r="F5262" s="39">
        <v>46018</v>
      </c>
      <c r="G5262" s="7">
        <v>59</v>
      </c>
      <c r="H5262" s="3">
        <f>_xlfn.XLOOKUP(Vendas[[#This Row],[ID Item Vendido]],Agregado[ID],Agregado[Revenda])</f>
        <v>4.8</v>
      </c>
      <c r="I5262" s="3">
        <f>Vendas[[#This Row],[Valor Unitário]]*Vendas[[#This Row],[Qnt Vendida]]</f>
        <v>283.2</v>
      </c>
      <c r="J5262" s="3">
        <f>Vendas[[#This Row],[Valor da Venda]]-(_xlfn.XLOOKUP(Vendas[[#This Row],[ID Item Vendido]],Agregado[ID],Agregado[Custo])*Vendas[[#This Row],[Qnt Vendida]])</f>
        <v>35.399999999999977</v>
      </c>
      <c r="K5262" s="70">
        <f>Vendas[[#This Row],[Lucro da Venda]]/Vendas[[#This Row],[Valor da Venda]]</f>
        <v>0.12499999999999993</v>
      </c>
      <c r="L5262" s="3">
        <f>_xlfn.IFS(Vendas[[#This Row],[Margem de Lucro (%)]]&lt;15%,Vendas[[#This Row],[Valor da Venda]]*3%,Vendas[[#This Row],[Margem de Lucro (%)]]&lt;=20%,Vendas[[#This Row],[Valor da Venda]]*4.5%,TRUE,Vendas[[#This Row],[Valor da Venda]]*6%)</f>
        <v>8.4959999999999987</v>
      </c>
      <c r="M5262"/>
    </row>
    <row r="5263" spans="1:13" x14ac:dyDescent="0.3">
      <c r="A5263" s="7">
        <v>400242</v>
      </c>
      <c r="B5263" t="str">
        <f>_xlfn.XLOOKUP(Vendas[[#This Row],[ID Vendedor]],Vendedores[ID],Vendedores[Nome])</f>
        <v>Fernanda</v>
      </c>
      <c r="C5263" s="7" t="str">
        <f>_xlfn.XLOOKUP(Vendas[[#This Row],[ID Vendedor]],Vendedores[ID],Vendedores[Setor])</f>
        <v>FM</v>
      </c>
      <c r="D5263" s="7" t="s">
        <v>6</v>
      </c>
      <c r="E5263" t="str">
        <f>_xlfn.XLOOKUP(Vendas[[#This Row],[ID Item Vendido]],Agregado[ID],Agregado[Produto])</f>
        <v>Parafuso comum 500un</v>
      </c>
      <c r="F5263" s="39">
        <v>46018</v>
      </c>
      <c r="G5263" s="7">
        <v>9</v>
      </c>
      <c r="H5263" s="3">
        <f>_xlfn.XLOOKUP(Vendas[[#This Row],[ID Item Vendido]],Agregado[ID],Agregado[Revenda])</f>
        <v>24.6</v>
      </c>
      <c r="I5263" s="3">
        <f>Vendas[[#This Row],[Valor Unitário]]*Vendas[[#This Row],[Qnt Vendida]]</f>
        <v>221.4</v>
      </c>
      <c r="J5263" s="3">
        <f>Vendas[[#This Row],[Valor da Venda]]-(_xlfn.XLOOKUP(Vendas[[#This Row],[ID Item Vendido]],Agregado[ID],Agregado[Custo])*Vendas[[#This Row],[Qnt Vendida]])</f>
        <v>23.400000000000006</v>
      </c>
      <c r="K5263" s="70">
        <f>Vendas[[#This Row],[Lucro da Venda]]/Vendas[[#This Row],[Valor da Venda]]</f>
        <v>0.10569105691056913</v>
      </c>
      <c r="L5263" s="3">
        <f>_xlfn.IFS(Vendas[[#This Row],[Margem de Lucro (%)]]&lt;15%,Vendas[[#This Row],[Valor da Venda]]*3%,Vendas[[#This Row],[Margem de Lucro (%)]]&lt;=20%,Vendas[[#This Row],[Valor da Venda]]*4.5%,TRUE,Vendas[[#This Row],[Valor da Venda]]*6%)</f>
        <v>6.6420000000000003</v>
      </c>
      <c r="M5263"/>
    </row>
    <row r="5264" spans="1:13" x14ac:dyDescent="0.3">
      <c r="A5264" s="7">
        <v>400244</v>
      </c>
      <c r="B5264" t="str">
        <f>_xlfn.XLOOKUP(Vendas[[#This Row],[ID Vendedor]],Vendedores[ID],Vendedores[Nome])</f>
        <v>Camila</v>
      </c>
      <c r="C5264" s="7" t="str">
        <f>_xlfn.XLOOKUP(Vendas[[#This Row],[ID Vendedor]],Vendedores[ID],Vendedores[Setor])</f>
        <v>AHD</v>
      </c>
      <c r="D5264" s="7" t="s">
        <v>18</v>
      </c>
      <c r="E5264" t="str">
        <f>_xlfn.XLOOKUP(Vendas[[#This Row],[ID Item Vendido]],Agregado[ID],Agregado[Produto])</f>
        <v>Peça forjada sob encomenda</v>
      </c>
      <c r="F5264" s="39">
        <v>46019</v>
      </c>
      <c r="G5264" s="7">
        <v>4</v>
      </c>
      <c r="H5264" s="3">
        <f>_xlfn.XLOOKUP(Vendas[[#This Row],[ID Item Vendido]],Agregado[ID],Agregado[Revenda])</f>
        <v>264.60000000000002</v>
      </c>
      <c r="I5264" s="3">
        <f>Vendas[[#This Row],[Valor Unitário]]*Vendas[[#This Row],[Qnt Vendida]]</f>
        <v>1058.4000000000001</v>
      </c>
      <c r="J5264" s="3">
        <f>Vendas[[#This Row],[Valor da Venda]]-(_xlfn.XLOOKUP(Vendas[[#This Row],[ID Item Vendido]],Agregado[ID],Agregado[Custo])*Vendas[[#This Row],[Qnt Vendida]])</f>
        <v>58.400000000000091</v>
      </c>
      <c r="K5264" s="70">
        <f>Vendas[[#This Row],[Lucro da Venda]]/Vendas[[#This Row],[Valor da Venda]]</f>
        <v>5.5177626606198113E-2</v>
      </c>
      <c r="L5264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264"/>
    </row>
    <row r="5265" spans="1:13" x14ac:dyDescent="0.3">
      <c r="A5265" s="7">
        <v>400251</v>
      </c>
      <c r="B5265" t="str">
        <f>_xlfn.XLOOKUP(Vendas[[#This Row],[ID Vendedor]],Vendedores[ID],Vendedores[Nome])</f>
        <v>Diego</v>
      </c>
      <c r="C5265" s="7" t="str">
        <f>_xlfn.XLOOKUP(Vendas[[#This Row],[ID Vendedor]],Vendedores[ID],Vendedores[Setor])</f>
        <v>AB</v>
      </c>
      <c r="D5265" s="7" t="s">
        <v>37</v>
      </c>
      <c r="E5265" t="str">
        <f>_xlfn.XLOOKUP(Vendas[[#This Row],[ID Item Vendido]],Agregado[ID],Agregado[Produto])</f>
        <v>Composto de borracha para vedação rolo 10m</v>
      </c>
      <c r="F5265" s="39">
        <v>46019</v>
      </c>
      <c r="G5265" s="7">
        <v>9</v>
      </c>
      <c r="H5265" s="3">
        <f>_xlfn.XLOOKUP(Vendas[[#This Row],[ID Item Vendido]],Agregado[ID],Agregado[Revenda])</f>
        <v>51.2</v>
      </c>
      <c r="I5265" s="3">
        <f>Vendas[[#This Row],[Valor Unitário]]*Vendas[[#This Row],[Qnt Vendida]]</f>
        <v>460.8</v>
      </c>
      <c r="J5265" s="3">
        <f>Vendas[[#This Row],[Valor da Venda]]-(_xlfn.XLOOKUP(Vendas[[#This Row],[ID Item Vendido]],Agregado[ID],Agregado[Custo])*Vendas[[#This Row],[Qnt Vendida]])</f>
        <v>100.80000000000001</v>
      </c>
      <c r="K5265" s="70">
        <f>Vendas[[#This Row],[Lucro da Venda]]/Vendas[[#This Row],[Valor da Venda]]</f>
        <v>0.21875000000000003</v>
      </c>
      <c r="L5265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5265"/>
    </row>
    <row r="5266" spans="1:13" x14ac:dyDescent="0.3">
      <c r="A5266" s="7">
        <v>400245</v>
      </c>
      <c r="B5266" t="str">
        <f>_xlfn.XLOOKUP(Vendas[[#This Row],[ID Vendedor]],Vendedores[ID],Vendedores[Nome])</f>
        <v>Thiago</v>
      </c>
      <c r="C5266" s="7" t="str">
        <f>_xlfn.XLOOKUP(Vendas[[#This Row],[ID Vendedor]],Vendedores[ID],Vendedores[Setor])</f>
        <v>AHD</v>
      </c>
      <c r="D5266" s="7" t="s">
        <v>28</v>
      </c>
      <c r="E5266" t="str">
        <f>_xlfn.XLOOKUP(Vendas[[#This Row],[ID Item Vendido]],Agregado[ID],Agregado[Produto])</f>
        <v>Peça usinada CNC</v>
      </c>
      <c r="F5266" s="39">
        <v>46020</v>
      </c>
      <c r="G5266" s="7">
        <v>6</v>
      </c>
      <c r="H5266" s="3">
        <f>_xlfn.XLOOKUP(Vendas[[#This Row],[ID Item Vendido]],Agregado[ID],Agregado[Revenda])</f>
        <v>192</v>
      </c>
      <c r="I5266" s="3">
        <f>Vendas[[#This Row],[Valor Unitário]]*Vendas[[#This Row],[Qnt Vendida]]</f>
        <v>1152</v>
      </c>
      <c r="J5266" s="3">
        <f>Vendas[[#This Row],[Valor da Venda]]-(_xlfn.XLOOKUP(Vendas[[#This Row],[ID Item Vendido]],Agregado[ID],Agregado[Custo])*Vendas[[#This Row],[Qnt Vendida]])</f>
        <v>252</v>
      </c>
      <c r="K5266" s="70">
        <f>Vendas[[#This Row],[Lucro da Venda]]/Vendas[[#This Row],[Valor da Venda]]</f>
        <v>0.21875</v>
      </c>
      <c r="L5266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5266"/>
    </row>
    <row r="5267" spans="1:13" x14ac:dyDescent="0.3">
      <c r="A5267" s="7">
        <v>400252</v>
      </c>
      <c r="B5267" t="str">
        <f>_xlfn.XLOOKUP(Vendas[[#This Row],[ID Vendedor]],Vendedores[ID],Vendedores[Nome])</f>
        <v>Renata</v>
      </c>
      <c r="C5267" s="7" t="str">
        <f>_xlfn.XLOOKUP(Vendas[[#This Row],[ID Vendedor]],Vendedores[ID],Vendedores[Setor])</f>
        <v>AB</v>
      </c>
      <c r="D5267" s="7" t="s">
        <v>36</v>
      </c>
      <c r="E5267" t="str">
        <f>_xlfn.XLOOKUP(Vendas[[#This Row],[ID Item Vendido]],Agregado[ID],Agregado[Produto])</f>
        <v>Borracha vulcanizada em manta</v>
      </c>
      <c r="F5267" s="39">
        <v>46020</v>
      </c>
      <c r="G5267" s="7">
        <v>94</v>
      </c>
      <c r="H5267" s="3">
        <f>_xlfn.XLOOKUP(Vendas[[#This Row],[ID Item Vendido]],Agregado[ID],Agregado[Revenda])</f>
        <v>7.8</v>
      </c>
      <c r="I5267" s="3">
        <f>Vendas[[#This Row],[Valor Unitário]]*Vendas[[#This Row],[Qnt Vendida]]</f>
        <v>733.19999999999993</v>
      </c>
      <c r="J5267" s="3">
        <f>Vendas[[#This Row],[Valor da Venda]]-(_xlfn.XLOOKUP(Vendas[[#This Row],[ID Item Vendido]],Agregado[ID],Agregado[Custo])*Vendas[[#This Row],[Qnt Vendida]])</f>
        <v>169.19999999999993</v>
      </c>
      <c r="K5267" s="70">
        <f>Vendas[[#This Row],[Lucro da Venda]]/Vendas[[#This Row],[Valor da Venda]]</f>
        <v>0.2307692307692307</v>
      </c>
      <c r="L5267" s="3">
        <f>_xlfn.IFS(Vendas[[#This Row],[Margem de Lucro (%)]]&lt;15%,Vendas[[#This Row],[Valor da Venda]]*3%,Vendas[[#This Row],[Margem de Lucro (%)]]&lt;=20%,Vendas[[#This Row],[Valor da Venda]]*4.5%,TRUE,Vendas[[#This Row],[Valor da Venda]]*6%)</f>
        <v>43.991999999999997</v>
      </c>
      <c r="M5267"/>
    </row>
    <row r="5268" spans="1:13" x14ac:dyDescent="0.3">
      <c r="A5268" s="7">
        <v>400252</v>
      </c>
      <c r="B5268" t="str">
        <f>_xlfn.XLOOKUP(Vendas[[#This Row],[ID Vendedor]],Vendedores[ID],Vendedores[Nome])</f>
        <v>Renata</v>
      </c>
      <c r="C5268" s="7" t="str">
        <f>_xlfn.XLOOKUP(Vendas[[#This Row],[ID Vendedor]],Vendedores[ID],Vendedores[Setor])</f>
        <v>AB</v>
      </c>
      <c r="D5268" s="7" t="s">
        <v>39</v>
      </c>
      <c r="E5268" t="str">
        <f>_xlfn.XLOOKUP(Vendas[[#This Row],[ID Item Vendido]],Agregado[ID],Agregado[Produto])</f>
        <v>Filme plástico industrial rolo 50m</v>
      </c>
      <c r="F5268" s="39">
        <v>46020</v>
      </c>
      <c r="G5268" s="7">
        <v>13</v>
      </c>
      <c r="H5268" s="3">
        <f>_xlfn.XLOOKUP(Vendas[[#This Row],[ID Item Vendido]],Agregado[ID],Agregado[Revenda])</f>
        <v>37</v>
      </c>
      <c r="I5268" s="3">
        <f>Vendas[[#This Row],[Valor Unitário]]*Vendas[[#This Row],[Qnt Vendida]]</f>
        <v>481</v>
      </c>
      <c r="J5268" s="3">
        <f>Vendas[[#This Row],[Valor da Venda]]-(_xlfn.XLOOKUP(Vendas[[#This Row],[ID Item Vendido]],Agregado[ID],Agregado[Custo])*Vendas[[#This Row],[Qnt Vendida]])</f>
        <v>117</v>
      </c>
      <c r="K5268" s="70">
        <f>Vendas[[#This Row],[Lucro da Venda]]/Vendas[[#This Row],[Valor da Venda]]</f>
        <v>0.24324324324324326</v>
      </c>
      <c r="L5268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5268"/>
    </row>
    <row r="5269" spans="1:13" x14ac:dyDescent="0.3">
      <c r="A5269" s="7">
        <v>400254</v>
      </c>
      <c r="B5269" t="str">
        <f>_xlfn.XLOOKUP(Vendas[[#This Row],[ID Vendedor]],Vendedores[ID],Vendedores[Nome])</f>
        <v>Beatriz</v>
      </c>
      <c r="C5269" s="7" t="str">
        <f>_xlfn.XLOOKUP(Vendas[[#This Row],[ID Vendedor]],Vendedores[ID],Vendedores[Setor])</f>
        <v>SC</v>
      </c>
      <c r="D5269" s="7" t="s">
        <v>48</v>
      </c>
      <c r="E5269" t="str">
        <f>_xlfn.XLOOKUP(Vendas[[#This Row],[ID Item Vendido]],Agregado[ID],Agregado[Produto])</f>
        <v>Tambor metálico 200L</v>
      </c>
      <c r="F5269" s="39">
        <v>46021</v>
      </c>
      <c r="G5269" s="7">
        <v>9</v>
      </c>
      <c r="H5269" s="3">
        <f>_xlfn.XLOOKUP(Vendas[[#This Row],[ID Item Vendido]],Agregado[ID],Agregado[Revenda])</f>
        <v>144</v>
      </c>
      <c r="I5269" s="3">
        <f>Vendas[[#This Row],[Valor Unitário]]*Vendas[[#This Row],[Qnt Vendida]]</f>
        <v>1296</v>
      </c>
      <c r="J5269" s="3">
        <f>Vendas[[#This Row],[Valor da Venda]]-(_xlfn.XLOOKUP(Vendas[[#This Row],[ID Item Vendido]],Agregado[ID],Agregado[Custo])*Vendas[[#This Row],[Qnt Vendida]])</f>
        <v>216</v>
      </c>
      <c r="K5269" s="70">
        <f>Vendas[[#This Row],[Lucro da Venda]]/Vendas[[#This Row],[Valor da Venda]]</f>
        <v>0.16666666666666666</v>
      </c>
      <c r="L5269" s="3">
        <f>_xlfn.IFS(Vendas[[#This Row],[Margem de Lucro (%)]]&lt;15%,Vendas[[#This Row],[Valor da Venda]]*3%,Vendas[[#This Row],[Margem de Lucro (%)]]&lt;=20%,Vendas[[#This Row],[Valor da Venda]]*4.5%,TRUE,Vendas[[#This Row],[Valor da Venda]]*6%)</f>
        <v>58.32</v>
      </c>
      <c r="M5269"/>
    </row>
    <row r="5270" spans="1:13" x14ac:dyDescent="0.3">
      <c r="A5270" s="7">
        <v>400242</v>
      </c>
      <c r="B5270" t="str">
        <f>_xlfn.XLOOKUP(Vendas[[#This Row],[ID Vendedor]],Vendedores[ID],Vendedores[Nome])</f>
        <v>Fernanda</v>
      </c>
      <c r="C5270" s="7" t="str">
        <f>_xlfn.XLOOKUP(Vendas[[#This Row],[ID Vendedor]],Vendedores[ID],Vendedores[Setor])</f>
        <v>FM</v>
      </c>
      <c r="D5270" s="7" t="s">
        <v>31</v>
      </c>
      <c r="E5270" t="str">
        <f>_xlfn.XLOOKUP(Vendas[[#This Row],[ID Item Vendido]],Agregado[ID],Agregado[Produto])</f>
        <v>Tela de metal soldada rolo 2x25m</v>
      </c>
      <c r="F5270" s="39">
        <v>46021</v>
      </c>
      <c r="G5270" s="7">
        <v>16</v>
      </c>
      <c r="H5270" s="3">
        <f>_xlfn.XLOOKUP(Vendas[[#This Row],[ID Item Vendido]],Agregado[ID],Agregado[Revenda])</f>
        <v>43.7</v>
      </c>
      <c r="I5270" s="3">
        <f>Vendas[[#This Row],[Valor Unitário]]*Vendas[[#This Row],[Qnt Vendida]]</f>
        <v>699.2</v>
      </c>
      <c r="J5270" s="3">
        <f>Vendas[[#This Row],[Valor da Venda]]-(_xlfn.XLOOKUP(Vendas[[#This Row],[ID Item Vendido]],Agregado[ID],Agregado[Custo])*Vendas[[#This Row],[Qnt Vendida]])</f>
        <v>91.200000000000045</v>
      </c>
      <c r="K5270" s="70">
        <f>Vendas[[#This Row],[Lucro da Venda]]/Vendas[[#This Row],[Valor da Venda]]</f>
        <v>0.1304347826086957</v>
      </c>
      <c r="L5270" s="3">
        <f>_xlfn.IFS(Vendas[[#This Row],[Margem de Lucro (%)]]&lt;15%,Vendas[[#This Row],[Valor da Venda]]*3%,Vendas[[#This Row],[Margem de Lucro (%)]]&lt;=20%,Vendas[[#This Row],[Valor da Venda]]*4.5%,TRUE,Vendas[[#This Row],[Valor da Venda]]*6%)</f>
        <v>20.975999999999999</v>
      </c>
      <c r="M5270"/>
    </row>
    <row r="5271" spans="1:13" x14ac:dyDescent="0.3">
      <c r="A5271" s="7">
        <v>400245</v>
      </c>
      <c r="B5271" t="str">
        <f>_xlfn.XLOOKUP(Vendas[[#This Row],[ID Vendedor]],Vendedores[ID],Vendedores[Nome])</f>
        <v>Thiago</v>
      </c>
      <c r="C5271" s="7" t="str">
        <f>_xlfn.XLOOKUP(Vendas[[#This Row],[ID Vendedor]],Vendedores[ID],Vendedores[Setor])</f>
        <v>AHD</v>
      </c>
      <c r="D5271" s="7" t="s">
        <v>18</v>
      </c>
      <c r="E5271" t="str">
        <f>_xlfn.XLOOKUP(Vendas[[#This Row],[ID Item Vendido]],Agregado[ID],Agregado[Produto])</f>
        <v>Peça forjada sob encomenda</v>
      </c>
      <c r="F5271" s="39">
        <v>46022</v>
      </c>
      <c r="G5271" s="7">
        <v>4</v>
      </c>
      <c r="H5271" s="3">
        <f>_xlfn.XLOOKUP(Vendas[[#This Row],[ID Item Vendido]],Agregado[ID],Agregado[Revenda])</f>
        <v>264.60000000000002</v>
      </c>
      <c r="I5271" s="3">
        <f>Vendas[[#This Row],[Valor Unitário]]*Vendas[[#This Row],[Qnt Vendida]]</f>
        <v>1058.4000000000001</v>
      </c>
      <c r="J5271" s="3">
        <f>Vendas[[#This Row],[Valor da Venda]]-(_xlfn.XLOOKUP(Vendas[[#This Row],[ID Item Vendido]],Agregado[ID],Agregado[Custo])*Vendas[[#This Row],[Qnt Vendida]])</f>
        <v>58.400000000000091</v>
      </c>
      <c r="K5271" s="70">
        <f>Vendas[[#This Row],[Lucro da Venda]]/Vendas[[#This Row],[Valor da Venda]]</f>
        <v>5.5177626606198113E-2</v>
      </c>
      <c r="L527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271"/>
    </row>
    <row r="5272" spans="1:13" x14ac:dyDescent="0.3">
      <c r="A5272" s="7">
        <v>400248</v>
      </c>
      <c r="B5272" t="str">
        <f>_xlfn.XLOOKUP(Vendas[[#This Row],[ID Vendedor]],Vendedores[ID],Vendedores[Nome])</f>
        <v>Patrícia</v>
      </c>
      <c r="C5272" s="7" t="str">
        <f>_xlfn.XLOOKUP(Vendas[[#This Row],[ID Vendedor]],Vendedores[ID],Vendedores[Setor])</f>
        <v>CM</v>
      </c>
      <c r="D5272" s="7" t="s">
        <v>45</v>
      </c>
      <c r="E5272" t="str">
        <f>_xlfn.XLOOKUP(Vendas[[#This Row],[ID Item Vendido]],Agregado[ID],Agregado[Produto])</f>
        <v>Viga de madeira tratada 4m</v>
      </c>
      <c r="F5272" s="39">
        <v>46022</v>
      </c>
      <c r="G5272" s="7">
        <v>13</v>
      </c>
      <c r="H5272" s="3">
        <f>_xlfn.XLOOKUP(Vendas[[#This Row],[ID Item Vendido]],Agregado[ID],Agregado[Revenda])</f>
        <v>66</v>
      </c>
      <c r="I5272" s="3">
        <f>Vendas[[#This Row],[Valor Unitário]]*Vendas[[#This Row],[Qnt Vendida]]</f>
        <v>858</v>
      </c>
      <c r="J5272" s="3">
        <f>Vendas[[#This Row],[Valor da Venda]]-(_xlfn.XLOOKUP(Vendas[[#This Row],[ID Item Vendido]],Agregado[ID],Agregado[Custo])*Vendas[[#This Row],[Qnt Vendida]])</f>
        <v>143</v>
      </c>
      <c r="K5272" s="70">
        <f>Vendas[[#This Row],[Lucro da Venda]]/Vendas[[#This Row],[Valor da Venda]]</f>
        <v>0.16666666666666666</v>
      </c>
      <c r="L5272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5272"/>
    </row>
    <row r="5273" spans="1:13" x14ac:dyDescent="0.3">
      <c r="A5273" s="7">
        <v>400252</v>
      </c>
      <c r="B5273" t="str">
        <f>_xlfn.XLOOKUP(Vendas[[#This Row],[ID Vendedor]],Vendedores[ID],Vendedores[Nome])</f>
        <v>Renata</v>
      </c>
      <c r="C5273" s="7" t="str">
        <f>_xlfn.XLOOKUP(Vendas[[#This Row],[ID Vendedor]],Vendedores[ID],Vendedores[Setor])</f>
        <v>AB</v>
      </c>
      <c r="D5273" s="7" t="s">
        <v>36</v>
      </c>
      <c r="E5273" t="str">
        <f>_xlfn.XLOOKUP(Vendas[[#This Row],[ID Item Vendido]],Agregado[ID],Agregado[Produto])</f>
        <v>Borracha vulcanizada em manta</v>
      </c>
      <c r="F5273" s="39">
        <v>46022</v>
      </c>
      <c r="G5273" s="7">
        <v>90</v>
      </c>
      <c r="H5273" s="3">
        <f>_xlfn.XLOOKUP(Vendas[[#This Row],[ID Item Vendido]],Agregado[ID],Agregado[Revenda])</f>
        <v>7.8</v>
      </c>
      <c r="I5273" s="3">
        <f>Vendas[[#This Row],[Valor Unitário]]*Vendas[[#This Row],[Qnt Vendida]]</f>
        <v>702</v>
      </c>
      <c r="J5273" s="3">
        <f>Vendas[[#This Row],[Valor da Venda]]-(_xlfn.XLOOKUP(Vendas[[#This Row],[ID Item Vendido]],Agregado[ID],Agregado[Custo])*Vendas[[#This Row],[Qnt Vendida]])</f>
        <v>162</v>
      </c>
      <c r="K5273" s="70">
        <f>Vendas[[#This Row],[Lucro da Venda]]/Vendas[[#This Row],[Valor da Venda]]</f>
        <v>0.23076923076923078</v>
      </c>
      <c r="L5273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5273"/>
    </row>
    <row r="5274" spans="1:13" x14ac:dyDescent="0.3">
      <c r="A5274" s="7">
        <v>400241</v>
      </c>
      <c r="B5274" t="str">
        <f>_xlfn.XLOOKUP(Vendas[[#This Row],[ID Vendedor]],Vendedores[ID],Vendedores[Nome])</f>
        <v>Rodrigo</v>
      </c>
      <c r="C5274" s="7" t="str">
        <f>_xlfn.XLOOKUP(Vendas[[#This Row],[ID Vendedor]],Vendedores[ID],Vendedores[Setor])</f>
        <v>FM</v>
      </c>
      <c r="D5274" s="7" t="s">
        <v>20</v>
      </c>
      <c r="E5274" t="str">
        <f>_xlfn.XLOOKUP(Vendas[[#This Row],[ID Item Vendido]],Agregado[ID],Agregado[Produto])</f>
        <v>Barra de aço simples</v>
      </c>
      <c r="F5274" s="39">
        <v>46022</v>
      </c>
      <c r="G5274" s="7">
        <v>79</v>
      </c>
      <c r="H5274" s="3">
        <f>_xlfn.XLOOKUP(Vendas[[#This Row],[ID Item Vendido]],Agregado[ID],Agregado[Revenda])</f>
        <v>4.8</v>
      </c>
      <c r="I5274" s="3">
        <f>Vendas[[#This Row],[Valor Unitário]]*Vendas[[#This Row],[Qnt Vendida]]</f>
        <v>379.2</v>
      </c>
      <c r="J5274" s="3">
        <f>Vendas[[#This Row],[Valor da Venda]]-(_xlfn.XLOOKUP(Vendas[[#This Row],[ID Item Vendido]],Agregado[ID],Agregado[Custo])*Vendas[[#This Row],[Qnt Vendida]])</f>
        <v>47.399999999999977</v>
      </c>
      <c r="K5274" s="70">
        <f>Vendas[[#This Row],[Lucro da Venda]]/Vendas[[#This Row],[Valor da Venda]]</f>
        <v>0.12499999999999994</v>
      </c>
      <c r="L5274" s="3">
        <f>_xlfn.IFS(Vendas[[#This Row],[Margem de Lucro (%)]]&lt;15%,Vendas[[#This Row],[Valor da Venda]]*3%,Vendas[[#This Row],[Margem de Lucro (%)]]&lt;=20%,Vendas[[#This Row],[Valor da Venda]]*4.5%,TRUE,Vendas[[#This Row],[Valor da Venda]]*6%)</f>
        <v>11.375999999999999</v>
      </c>
      <c r="M5274"/>
    </row>
    <row r="5275" spans="1:13" x14ac:dyDescent="0.3">
      <c r="A5275" s="7">
        <v>400252</v>
      </c>
      <c r="B5275" t="str">
        <f>_xlfn.XLOOKUP(Vendas[[#This Row],[ID Vendedor]],Vendedores[ID],Vendedores[Nome])</f>
        <v>Renata</v>
      </c>
      <c r="C5275" s="7" t="str">
        <f>_xlfn.XLOOKUP(Vendas[[#This Row],[ID Vendedor]],Vendedores[ID],Vendedores[Setor])</f>
        <v>AB</v>
      </c>
      <c r="D5275" s="7" t="s">
        <v>37</v>
      </c>
      <c r="E5275" t="str">
        <f>_xlfn.XLOOKUP(Vendas[[#This Row],[ID Item Vendido]],Agregado[ID],Agregado[Produto])</f>
        <v>Composto de borracha para vedação rolo 10m</v>
      </c>
      <c r="F5275" s="39">
        <v>46022</v>
      </c>
      <c r="G5275" s="7">
        <v>6</v>
      </c>
      <c r="H5275" s="3">
        <f>_xlfn.XLOOKUP(Vendas[[#This Row],[ID Item Vendido]],Agregado[ID],Agregado[Revenda])</f>
        <v>51.2</v>
      </c>
      <c r="I5275" s="3">
        <f>Vendas[[#This Row],[Valor Unitário]]*Vendas[[#This Row],[Qnt Vendida]]</f>
        <v>307.20000000000005</v>
      </c>
      <c r="J5275" s="3">
        <f>Vendas[[#This Row],[Valor da Venda]]-(_xlfn.XLOOKUP(Vendas[[#This Row],[ID Item Vendido]],Agregado[ID],Agregado[Custo])*Vendas[[#This Row],[Qnt Vendida]])</f>
        <v>67.200000000000045</v>
      </c>
      <c r="K5275" s="70">
        <f>Vendas[[#This Row],[Lucro da Venda]]/Vendas[[#This Row],[Valor da Venda]]</f>
        <v>0.21875000000000011</v>
      </c>
      <c r="L5275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5275"/>
    </row>
    <row r="5276" spans="1:13" x14ac:dyDescent="0.3">
      <c r="A5276" s="7">
        <v>400252</v>
      </c>
      <c r="B5276" t="str">
        <f>_xlfn.XLOOKUP(Vendas[[#This Row],[ID Vendedor]],Vendedores[ID],Vendedores[Nome])</f>
        <v>Renata</v>
      </c>
      <c r="C5276" s="7" t="str">
        <f>_xlfn.XLOOKUP(Vendas[[#This Row],[ID Vendedor]],Vendedores[ID],Vendedores[Setor])</f>
        <v>AB</v>
      </c>
      <c r="D5276" s="7" t="s">
        <v>24</v>
      </c>
      <c r="E5276" t="str">
        <f>_xlfn.XLOOKUP(Vendas[[#This Row],[ID Item Vendido]],Agregado[ID],Agregado[Produto])</f>
        <v>Resina plástica PET purificada saco de 25kg</v>
      </c>
      <c r="F5276" s="39">
        <v>46023</v>
      </c>
      <c r="G5276" s="7">
        <v>18</v>
      </c>
      <c r="H5276" s="3">
        <f>_xlfn.XLOOKUP(Vendas[[#This Row],[ID Item Vendido]],Agregado[ID],Agregado[Revenda])</f>
        <v>119</v>
      </c>
      <c r="I5276" s="3">
        <f>Vendas[[#This Row],[Valor Unitário]]*Vendas[[#This Row],[Qnt Vendida]]</f>
        <v>2142</v>
      </c>
      <c r="J5276" s="3">
        <f>Vendas[[#This Row],[Valor da Venda]]-(_xlfn.XLOOKUP(Vendas[[#This Row],[ID Item Vendido]],Agregado[ID],Agregado[Custo])*Vendas[[#This Row],[Qnt Vendida]])</f>
        <v>612</v>
      </c>
      <c r="K5276" s="70">
        <f>Vendas[[#This Row],[Lucro da Venda]]/Vendas[[#This Row],[Valor da Venda]]</f>
        <v>0.2857142857142857</v>
      </c>
      <c r="L5276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5276"/>
    </row>
    <row r="5277" spans="1:13" x14ac:dyDescent="0.3">
      <c r="A5277" s="7">
        <v>400248</v>
      </c>
      <c r="B5277" t="str">
        <f>_xlfn.XLOOKUP(Vendas[[#This Row],[ID Vendedor]],Vendedores[ID],Vendedores[Nome])</f>
        <v>Patrícia</v>
      </c>
      <c r="C5277" s="7" t="str">
        <f>_xlfn.XLOOKUP(Vendas[[#This Row],[ID Vendedor]],Vendedores[ID],Vendedores[Setor])</f>
        <v>CM</v>
      </c>
      <c r="D5277" s="7" t="s">
        <v>34</v>
      </c>
      <c r="E5277" t="str">
        <f>_xlfn.XLOOKUP(Vendas[[#This Row],[ID Item Vendido]],Agregado[ID],Agregado[Produto])</f>
        <v>Restos de madeira p/ MDP/OSB saco de 20kg</v>
      </c>
      <c r="F5277" s="39">
        <v>46023</v>
      </c>
      <c r="G5277" s="7">
        <v>13</v>
      </c>
      <c r="H5277" s="3">
        <f>_xlfn.XLOOKUP(Vendas[[#This Row],[ID Item Vendido]],Agregado[ID],Agregado[Revenda])</f>
        <v>13.8</v>
      </c>
      <c r="I5277" s="3">
        <f>Vendas[[#This Row],[Valor Unitário]]*Vendas[[#This Row],[Qnt Vendida]]</f>
        <v>179.4</v>
      </c>
      <c r="J5277" s="3">
        <f>Vendas[[#This Row],[Valor da Venda]]-(_xlfn.XLOOKUP(Vendas[[#This Row],[ID Item Vendido]],Agregado[ID],Agregado[Custo])*Vendas[[#This Row],[Qnt Vendida]])</f>
        <v>23.400000000000006</v>
      </c>
      <c r="K5277" s="70">
        <f>Vendas[[#This Row],[Lucro da Venda]]/Vendas[[#This Row],[Valor da Venda]]</f>
        <v>0.13043478260869568</v>
      </c>
      <c r="L5277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5277"/>
    </row>
    <row r="5278" spans="1:13" x14ac:dyDescent="0.3">
      <c r="A5278" s="7">
        <v>400254</v>
      </c>
      <c r="B5278" t="str">
        <f>_xlfn.XLOOKUP(Vendas[[#This Row],[ID Vendedor]],Vendedores[ID],Vendedores[Nome])</f>
        <v>Beatriz</v>
      </c>
      <c r="C5278" s="7" t="str">
        <f>_xlfn.XLOOKUP(Vendas[[#This Row],[ID Vendedor]],Vendedores[ID],Vendedores[Setor])</f>
        <v>SC</v>
      </c>
      <c r="D5278" s="7" t="s">
        <v>14</v>
      </c>
      <c r="E5278" t="str">
        <f>_xlfn.XLOOKUP(Vendas[[#This Row],[ID Item Vendido]],Agregado[ID],Agregado[Produto])</f>
        <v>Barril de plástico 200L</v>
      </c>
      <c r="F5278" s="39">
        <v>46024</v>
      </c>
      <c r="G5278" s="7">
        <v>23</v>
      </c>
      <c r="H5278" s="3">
        <f>_xlfn.XLOOKUP(Vendas[[#This Row],[ID Item Vendido]],Agregado[ID],Agregado[Revenda])</f>
        <v>114</v>
      </c>
      <c r="I5278" s="3">
        <f>Vendas[[#This Row],[Valor Unitário]]*Vendas[[#This Row],[Qnt Vendida]]</f>
        <v>2622</v>
      </c>
      <c r="J5278" s="3">
        <f>Vendas[[#This Row],[Valor da Venda]]-(_xlfn.XLOOKUP(Vendas[[#This Row],[ID Item Vendido]],Agregado[ID],Agregado[Custo])*Vendas[[#This Row],[Qnt Vendida]])</f>
        <v>437</v>
      </c>
      <c r="K5278" s="70">
        <f>Vendas[[#This Row],[Lucro da Venda]]/Vendas[[#This Row],[Valor da Venda]]</f>
        <v>0.16666666666666666</v>
      </c>
      <c r="L5278" s="3">
        <f>_xlfn.IFS(Vendas[[#This Row],[Margem de Lucro (%)]]&lt;15%,Vendas[[#This Row],[Valor da Venda]]*3%,Vendas[[#This Row],[Margem de Lucro (%)]]&lt;=20%,Vendas[[#This Row],[Valor da Venda]]*4.5%,TRUE,Vendas[[#This Row],[Valor da Venda]]*6%)</f>
        <v>117.99</v>
      </c>
      <c r="M5278"/>
    </row>
    <row r="5279" spans="1:13" x14ac:dyDescent="0.3">
      <c r="A5279" s="7">
        <v>400252</v>
      </c>
      <c r="B5279" t="str">
        <f>_xlfn.XLOOKUP(Vendas[[#This Row],[ID Vendedor]],Vendedores[ID],Vendedores[Nome])</f>
        <v>Renata</v>
      </c>
      <c r="C5279" s="7" t="str">
        <f>_xlfn.XLOOKUP(Vendas[[#This Row],[ID Vendedor]],Vendedores[ID],Vendedores[Setor])</f>
        <v>AB</v>
      </c>
      <c r="D5279" s="7" t="s">
        <v>12</v>
      </c>
      <c r="E5279" t="str">
        <f>_xlfn.XLOOKUP(Vendas[[#This Row],[ID Item Vendido]],Agregado[ID],Agregado[Produto])</f>
        <v>Grânulo de plástico reciclado refinado</v>
      </c>
      <c r="F5279" s="39">
        <v>46024</v>
      </c>
      <c r="G5279" s="7">
        <v>86</v>
      </c>
      <c r="H5279" s="3">
        <f>_xlfn.XLOOKUP(Vendas[[#This Row],[ID Item Vendido]],Agregado[ID],Agregado[Revenda])</f>
        <v>4.7</v>
      </c>
      <c r="I5279" s="3">
        <f>Vendas[[#This Row],[Valor Unitário]]*Vendas[[#This Row],[Qnt Vendida]]</f>
        <v>404.2</v>
      </c>
      <c r="J5279" s="3">
        <f>Vendas[[#This Row],[Valor da Venda]]-(_xlfn.XLOOKUP(Vendas[[#This Row],[ID Item Vendido]],Agregado[ID],Agregado[Custo])*Vendas[[#This Row],[Qnt Vendida]])</f>
        <v>103.19999999999999</v>
      </c>
      <c r="K5279" s="70">
        <f>Vendas[[#This Row],[Lucro da Venda]]/Vendas[[#This Row],[Valor da Venda]]</f>
        <v>0.25531914893617019</v>
      </c>
      <c r="L5279" s="3">
        <f>_xlfn.IFS(Vendas[[#This Row],[Margem de Lucro (%)]]&lt;15%,Vendas[[#This Row],[Valor da Venda]]*3%,Vendas[[#This Row],[Margem de Lucro (%)]]&lt;=20%,Vendas[[#This Row],[Valor da Venda]]*4.5%,TRUE,Vendas[[#This Row],[Valor da Venda]]*6%)</f>
        <v>24.251999999999999</v>
      </c>
      <c r="M5279"/>
    </row>
    <row r="5280" spans="1:13" x14ac:dyDescent="0.3">
      <c r="A5280" s="7">
        <v>400252</v>
      </c>
      <c r="B5280" t="str">
        <f>_xlfn.XLOOKUP(Vendas[[#This Row],[ID Vendedor]],Vendedores[ID],Vendedores[Nome])</f>
        <v>Renata</v>
      </c>
      <c r="C5280" s="7" t="str">
        <f>_xlfn.XLOOKUP(Vendas[[#This Row],[ID Vendedor]],Vendedores[ID],Vendedores[Setor])</f>
        <v>AB</v>
      </c>
      <c r="D5280" s="7" t="s">
        <v>37</v>
      </c>
      <c r="E5280" t="str">
        <f>_xlfn.XLOOKUP(Vendas[[#This Row],[ID Item Vendido]],Agregado[ID],Agregado[Produto])</f>
        <v>Composto de borracha para vedação rolo 10m</v>
      </c>
      <c r="F5280" s="39">
        <v>46024</v>
      </c>
      <c r="G5280" s="7">
        <v>7</v>
      </c>
      <c r="H5280" s="3">
        <f>_xlfn.XLOOKUP(Vendas[[#This Row],[ID Item Vendido]],Agregado[ID],Agregado[Revenda])</f>
        <v>51.2</v>
      </c>
      <c r="I5280" s="3">
        <f>Vendas[[#This Row],[Valor Unitário]]*Vendas[[#This Row],[Qnt Vendida]]</f>
        <v>358.40000000000003</v>
      </c>
      <c r="J5280" s="3">
        <f>Vendas[[#This Row],[Valor da Venda]]-(_xlfn.XLOOKUP(Vendas[[#This Row],[ID Item Vendido]],Agregado[ID],Agregado[Custo])*Vendas[[#This Row],[Qnt Vendida]])</f>
        <v>78.400000000000034</v>
      </c>
      <c r="K5280" s="70">
        <f>Vendas[[#This Row],[Lucro da Venda]]/Vendas[[#This Row],[Valor da Venda]]</f>
        <v>0.21875000000000008</v>
      </c>
      <c r="L5280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5280"/>
    </row>
    <row r="5281" spans="1:13" x14ac:dyDescent="0.3">
      <c r="A5281" s="7">
        <v>400242</v>
      </c>
      <c r="B5281" t="str">
        <f>_xlfn.XLOOKUP(Vendas[[#This Row],[ID Vendedor]],Vendedores[ID],Vendedores[Nome])</f>
        <v>Fernanda</v>
      </c>
      <c r="C5281" s="7" t="str">
        <f>_xlfn.XLOOKUP(Vendas[[#This Row],[ID Vendedor]],Vendedores[ID],Vendedores[Setor])</f>
        <v>FM</v>
      </c>
      <c r="D5281" s="7" t="s">
        <v>31</v>
      </c>
      <c r="E5281" t="str">
        <f>_xlfn.XLOOKUP(Vendas[[#This Row],[ID Item Vendido]],Agregado[ID],Agregado[Produto])</f>
        <v>Tela de metal soldada rolo 2x25m</v>
      </c>
      <c r="F5281" s="39">
        <v>46025</v>
      </c>
      <c r="G5281" s="7">
        <v>12</v>
      </c>
      <c r="H5281" s="3">
        <f>_xlfn.XLOOKUP(Vendas[[#This Row],[ID Item Vendido]],Agregado[ID],Agregado[Revenda])</f>
        <v>43.7</v>
      </c>
      <c r="I5281" s="3">
        <f>Vendas[[#This Row],[Valor Unitário]]*Vendas[[#This Row],[Qnt Vendida]]</f>
        <v>524.40000000000009</v>
      </c>
      <c r="J5281" s="3">
        <f>Vendas[[#This Row],[Valor da Venda]]-(_xlfn.XLOOKUP(Vendas[[#This Row],[ID Item Vendido]],Agregado[ID],Agregado[Custo])*Vendas[[#This Row],[Qnt Vendida]])</f>
        <v>68.400000000000091</v>
      </c>
      <c r="K5281" s="70">
        <f>Vendas[[#This Row],[Lucro da Venda]]/Vendas[[#This Row],[Valor da Venda]]</f>
        <v>0.13043478260869582</v>
      </c>
      <c r="L5281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5281"/>
    </row>
    <row r="5282" spans="1:13" x14ac:dyDescent="0.3">
      <c r="A5282" s="7">
        <v>400255</v>
      </c>
      <c r="B5282" t="str">
        <f>_xlfn.XLOOKUP(Vendas[[#This Row],[ID Vendedor]],Vendedores[ID],Vendedores[Nome])</f>
        <v>Carlos</v>
      </c>
      <c r="C5282" s="7" t="str">
        <f>_xlfn.XLOOKUP(Vendas[[#This Row],[ID Vendedor]],Vendedores[ID],Vendedores[Setor])</f>
        <v>SC</v>
      </c>
      <c r="D5282" s="7" t="s">
        <v>25</v>
      </c>
      <c r="E5282" t="str">
        <f>_xlfn.XLOOKUP(Vendas[[#This Row],[ID Item Vendido]],Agregado[ID],Agregado[Produto])</f>
        <v>Palete de plástico</v>
      </c>
      <c r="F5282" s="39">
        <v>46025</v>
      </c>
      <c r="G5282" s="7">
        <v>5</v>
      </c>
      <c r="H5282" s="3">
        <f>_xlfn.XLOOKUP(Vendas[[#This Row],[ID Item Vendido]],Agregado[ID],Agregado[Revenda])</f>
        <v>70.8</v>
      </c>
      <c r="I5282" s="3">
        <f>Vendas[[#This Row],[Valor Unitário]]*Vendas[[#This Row],[Qnt Vendida]]</f>
        <v>354</v>
      </c>
      <c r="J5282" s="3">
        <f>Vendas[[#This Row],[Valor da Venda]]-(_xlfn.XLOOKUP(Vendas[[#This Row],[ID Item Vendido]],Agregado[ID],Agregado[Custo])*Vendas[[#This Row],[Qnt Vendida]])</f>
        <v>54</v>
      </c>
      <c r="K5282" s="70">
        <f>Vendas[[#This Row],[Lucro da Venda]]/Vendas[[#This Row],[Valor da Venda]]</f>
        <v>0.15254237288135594</v>
      </c>
      <c r="L5282" s="3">
        <f>_xlfn.IFS(Vendas[[#This Row],[Margem de Lucro (%)]]&lt;15%,Vendas[[#This Row],[Valor da Venda]]*3%,Vendas[[#This Row],[Margem de Lucro (%)]]&lt;=20%,Vendas[[#This Row],[Valor da Venda]]*4.5%,TRUE,Vendas[[#This Row],[Valor da Venda]]*6%)</f>
        <v>15.93</v>
      </c>
      <c r="M5282"/>
    </row>
    <row r="5283" spans="1:13" x14ac:dyDescent="0.3">
      <c r="A5283" s="7">
        <v>400251</v>
      </c>
      <c r="B5283" t="str">
        <f>_xlfn.XLOOKUP(Vendas[[#This Row],[ID Vendedor]],Vendedores[ID],Vendedores[Nome])</f>
        <v>Diego</v>
      </c>
      <c r="C5283" s="7" t="str">
        <f>_xlfn.XLOOKUP(Vendas[[#This Row],[ID Vendedor]],Vendedores[ID],Vendedores[Setor])</f>
        <v>AB</v>
      </c>
      <c r="D5283" s="7" t="s">
        <v>37</v>
      </c>
      <c r="E5283" t="str">
        <f>_xlfn.XLOOKUP(Vendas[[#This Row],[ID Item Vendido]],Agregado[ID],Agregado[Produto])</f>
        <v>Composto de borracha para vedação rolo 10m</v>
      </c>
      <c r="F5283" s="39">
        <v>46025</v>
      </c>
      <c r="G5283" s="7">
        <v>4</v>
      </c>
      <c r="H5283" s="3">
        <f>_xlfn.XLOOKUP(Vendas[[#This Row],[ID Item Vendido]],Agregado[ID],Agregado[Revenda])</f>
        <v>51.2</v>
      </c>
      <c r="I5283" s="3">
        <f>Vendas[[#This Row],[Valor Unitário]]*Vendas[[#This Row],[Qnt Vendida]]</f>
        <v>204.8</v>
      </c>
      <c r="J5283" s="3">
        <f>Vendas[[#This Row],[Valor da Venda]]-(_xlfn.XLOOKUP(Vendas[[#This Row],[ID Item Vendido]],Agregado[ID],Agregado[Custo])*Vendas[[#This Row],[Qnt Vendida]])</f>
        <v>44.800000000000011</v>
      </c>
      <c r="K5283" s="70">
        <f>Vendas[[#This Row],[Lucro da Venda]]/Vendas[[#This Row],[Valor da Venda]]</f>
        <v>0.21875000000000006</v>
      </c>
      <c r="L5283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5283"/>
    </row>
    <row r="5284" spans="1:13" x14ac:dyDescent="0.3">
      <c r="A5284" s="7">
        <v>400251</v>
      </c>
      <c r="B5284" t="str">
        <f>_xlfn.XLOOKUP(Vendas[[#This Row],[ID Vendedor]],Vendedores[ID],Vendedores[Nome])</f>
        <v>Diego</v>
      </c>
      <c r="C5284" s="7" t="str">
        <f>_xlfn.XLOOKUP(Vendas[[#This Row],[ID Vendedor]],Vendedores[ID],Vendedores[Setor])</f>
        <v>AB</v>
      </c>
      <c r="D5284" s="7" t="s">
        <v>24</v>
      </c>
      <c r="E5284" t="str">
        <f>_xlfn.XLOOKUP(Vendas[[#This Row],[ID Item Vendido]],Agregado[ID],Agregado[Produto])</f>
        <v>Resina plástica PET purificada saco de 25kg</v>
      </c>
      <c r="F5284" s="39">
        <v>46026</v>
      </c>
      <c r="G5284" s="7">
        <v>23</v>
      </c>
      <c r="H5284" s="3">
        <f>_xlfn.XLOOKUP(Vendas[[#This Row],[ID Item Vendido]],Agregado[ID],Agregado[Revenda])</f>
        <v>119</v>
      </c>
      <c r="I5284" s="3">
        <f>Vendas[[#This Row],[Valor Unitário]]*Vendas[[#This Row],[Qnt Vendida]]</f>
        <v>2737</v>
      </c>
      <c r="J5284" s="3">
        <f>Vendas[[#This Row],[Valor da Venda]]-(_xlfn.XLOOKUP(Vendas[[#This Row],[ID Item Vendido]],Agregado[ID],Agregado[Custo])*Vendas[[#This Row],[Qnt Vendida]])</f>
        <v>782</v>
      </c>
      <c r="K5284" s="70">
        <f>Vendas[[#This Row],[Lucro da Venda]]/Vendas[[#This Row],[Valor da Venda]]</f>
        <v>0.2857142857142857</v>
      </c>
      <c r="L5284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284"/>
    </row>
    <row r="5285" spans="1:13" x14ac:dyDescent="0.3">
      <c r="A5285" s="7">
        <v>400250</v>
      </c>
      <c r="B5285" t="str">
        <f>_xlfn.XLOOKUP(Vendas[[#This Row],[ID Vendedor]],Vendedores[ID],Vendedores[Nome])</f>
        <v>Larissa</v>
      </c>
      <c r="C5285" s="7" t="str">
        <f>_xlfn.XLOOKUP(Vendas[[#This Row],[ID Vendedor]],Vendedores[ID],Vendedores[Setor])</f>
        <v>AB</v>
      </c>
      <c r="D5285" s="7" t="s">
        <v>24</v>
      </c>
      <c r="E5285" t="str">
        <f>_xlfn.XLOOKUP(Vendas[[#This Row],[ID Item Vendido]],Agregado[ID],Agregado[Produto])</f>
        <v>Resina plástica PET purificada saco de 25kg</v>
      </c>
      <c r="F5285" s="39">
        <v>46028</v>
      </c>
      <c r="G5285" s="7">
        <v>12</v>
      </c>
      <c r="H5285" s="3">
        <f>_xlfn.XLOOKUP(Vendas[[#This Row],[ID Item Vendido]],Agregado[ID],Agregado[Revenda])</f>
        <v>119</v>
      </c>
      <c r="I5285" s="3">
        <f>Vendas[[#This Row],[Valor Unitário]]*Vendas[[#This Row],[Qnt Vendida]]</f>
        <v>1428</v>
      </c>
      <c r="J5285" s="3">
        <f>Vendas[[#This Row],[Valor da Venda]]-(_xlfn.XLOOKUP(Vendas[[#This Row],[ID Item Vendido]],Agregado[ID],Agregado[Custo])*Vendas[[#This Row],[Qnt Vendida]])</f>
        <v>408</v>
      </c>
      <c r="K5285" s="70">
        <f>Vendas[[#This Row],[Lucro da Venda]]/Vendas[[#This Row],[Valor da Venda]]</f>
        <v>0.2857142857142857</v>
      </c>
      <c r="L5285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5285"/>
    </row>
    <row r="5286" spans="1:13" x14ac:dyDescent="0.3">
      <c r="A5286" s="7">
        <v>400246</v>
      </c>
      <c r="B5286" t="str">
        <f>_xlfn.XLOOKUP(Vendas[[#This Row],[ID Vendedor]],Vendedores[ID],Vendedores[Nome])</f>
        <v>Juliana</v>
      </c>
      <c r="C5286" s="7" t="str">
        <f>_xlfn.XLOOKUP(Vendas[[#This Row],[ID Vendedor]],Vendedores[ID],Vendedores[Setor])</f>
        <v>AHD</v>
      </c>
      <c r="D5286" s="7" t="s">
        <v>44</v>
      </c>
      <c r="E5286" t="str">
        <f>_xlfn.XLOOKUP(Vendas[[#This Row],[ID Item Vendido]],Agregado[ID],Agregado[Produto])</f>
        <v>Liga metálica especial</v>
      </c>
      <c r="F5286" s="39">
        <v>46028</v>
      </c>
      <c r="G5286" s="7">
        <v>28</v>
      </c>
      <c r="H5286" s="3">
        <f>_xlfn.XLOOKUP(Vendas[[#This Row],[ID Item Vendido]],Agregado[ID],Agregado[Revenda])</f>
        <v>32.5</v>
      </c>
      <c r="I5286" s="3">
        <f>Vendas[[#This Row],[Valor Unitário]]*Vendas[[#This Row],[Qnt Vendida]]</f>
        <v>910</v>
      </c>
      <c r="J5286" s="3">
        <f>Vendas[[#This Row],[Valor da Venda]]-(_xlfn.XLOOKUP(Vendas[[#This Row],[ID Item Vendido]],Agregado[ID],Agregado[Custo])*Vendas[[#This Row],[Qnt Vendida]])</f>
        <v>210</v>
      </c>
      <c r="K5286" s="70">
        <f>Vendas[[#This Row],[Lucro da Venda]]/Vendas[[#This Row],[Valor da Venda]]</f>
        <v>0.23076923076923078</v>
      </c>
      <c r="L5286" s="3">
        <f>_xlfn.IFS(Vendas[[#This Row],[Margem de Lucro (%)]]&lt;15%,Vendas[[#This Row],[Valor da Venda]]*3%,Vendas[[#This Row],[Margem de Lucro (%)]]&lt;=20%,Vendas[[#This Row],[Valor da Venda]]*4.5%,TRUE,Vendas[[#This Row],[Valor da Venda]]*6%)</f>
        <v>54.6</v>
      </c>
      <c r="M5286"/>
    </row>
    <row r="5287" spans="1:13" x14ac:dyDescent="0.3">
      <c r="A5287" s="7">
        <v>400251</v>
      </c>
      <c r="B5287" t="str">
        <f>_xlfn.XLOOKUP(Vendas[[#This Row],[ID Vendedor]],Vendedores[ID],Vendedores[Nome])</f>
        <v>Diego</v>
      </c>
      <c r="C5287" s="7" t="str">
        <f>_xlfn.XLOOKUP(Vendas[[#This Row],[ID Vendedor]],Vendedores[ID],Vendedores[Setor])</f>
        <v>AB</v>
      </c>
      <c r="D5287" s="7" t="s">
        <v>12</v>
      </c>
      <c r="E5287" t="str">
        <f>_xlfn.XLOOKUP(Vendas[[#This Row],[ID Item Vendido]],Agregado[ID],Agregado[Produto])</f>
        <v>Grânulo de plástico reciclado refinado</v>
      </c>
      <c r="F5287" s="39">
        <v>46028</v>
      </c>
      <c r="G5287" s="7">
        <v>107</v>
      </c>
      <c r="H5287" s="3">
        <f>_xlfn.XLOOKUP(Vendas[[#This Row],[ID Item Vendido]],Agregado[ID],Agregado[Revenda])</f>
        <v>4.7</v>
      </c>
      <c r="I5287" s="3">
        <f>Vendas[[#This Row],[Valor Unitário]]*Vendas[[#This Row],[Qnt Vendida]]</f>
        <v>502.90000000000003</v>
      </c>
      <c r="J5287" s="3">
        <f>Vendas[[#This Row],[Valor da Venda]]-(_xlfn.XLOOKUP(Vendas[[#This Row],[ID Item Vendido]],Agregado[ID],Agregado[Custo])*Vendas[[#This Row],[Qnt Vendida]])</f>
        <v>128.40000000000003</v>
      </c>
      <c r="K5287" s="70">
        <f>Vendas[[#This Row],[Lucro da Venda]]/Vendas[[#This Row],[Valor da Venda]]</f>
        <v>0.25531914893617025</v>
      </c>
      <c r="L5287" s="3">
        <f>_xlfn.IFS(Vendas[[#This Row],[Margem de Lucro (%)]]&lt;15%,Vendas[[#This Row],[Valor da Venda]]*3%,Vendas[[#This Row],[Margem de Lucro (%)]]&lt;=20%,Vendas[[#This Row],[Valor da Venda]]*4.5%,TRUE,Vendas[[#This Row],[Valor da Venda]]*6%)</f>
        <v>30.173999999999999</v>
      </c>
      <c r="M5287"/>
    </row>
    <row r="5288" spans="1:13" x14ac:dyDescent="0.3">
      <c r="A5288" s="7">
        <v>400241</v>
      </c>
      <c r="B5288" t="str">
        <f>_xlfn.XLOOKUP(Vendas[[#This Row],[ID Vendedor]],Vendedores[ID],Vendedores[Nome])</f>
        <v>Rodrigo</v>
      </c>
      <c r="C5288" s="7" t="str">
        <f>_xlfn.XLOOKUP(Vendas[[#This Row],[ID Vendedor]],Vendedores[ID],Vendedores[Setor])</f>
        <v>FM</v>
      </c>
      <c r="D5288" s="7" t="s">
        <v>27</v>
      </c>
      <c r="E5288" t="str">
        <f>_xlfn.XLOOKUP(Vendas[[#This Row],[ID Item Vendido]],Agregado[ID],Agregado[Produto])</f>
        <v>Chapa de metal lisa 1x2m</v>
      </c>
      <c r="F5288" s="39">
        <v>46028</v>
      </c>
      <c r="G5288" s="7">
        <v>8</v>
      </c>
      <c r="H5288" s="3">
        <f>_xlfn.XLOOKUP(Vendas[[#This Row],[ID Item Vendido]],Agregado[ID],Agregado[Revenda])</f>
        <v>52</v>
      </c>
      <c r="I5288" s="3">
        <f>Vendas[[#This Row],[Valor Unitário]]*Vendas[[#This Row],[Qnt Vendida]]</f>
        <v>416</v>
      </c>
      <c r="J5288" s="3">
        <f>Vendas[[#This Row],[Valor da Venda]]-(_xlfn.XLOOKUP(Vendas[[#This Row],[ID Item Vendido]],Agregado[ID],Agregado[Custo])*Vendas[[#This Row],[Qnt Vendida]])</f>
        <v>56</v>
      </c>
      <c r="K5288" s="70">
        <f>Vendas[[#This Row],[Lucro da Venda]]/Vendas[[#This Row],[Valor da Venda]]</f>
        <v>0.13461538461538461</v>
      </c>
      <c r="L5288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  <c r="M5288"/>
    </row>
    <row r="5289" spans="1:13" x14ac:dyDescent="0.3">
      <c r="A5289" s="7">
        <v>400252</v>
      </c>
      <c r="B5289" t="str">
        <f>_xlfn.XLOOKUP(Vendas[[#This Row],[ID Vendedor]],Vendedores[ID],Vendedores[Nome])</f>
        <v>Renata</v>
      </c>
      <c r="C5289" s="7" t="str">
        <f>_xlfn.XLOOKUP(Vendas[[#This Row],[ID Vendedor]],Vendedores[ID],Vendedores[Setor])</f>
        <v>AB</v>
      </c>
      <c r="D5289" s="7" t="s">
        <v>24</v>
      </c>
      <c r="E5289" t="str">
        <f>_xlfn.XLOOKUP(Vendas[[#This Row],[ID Item Vendido]],Agregado[ID],Agregado[Produto])</f>
        <v>Resina plástica PET purificada saco de 25kg</v>
      </c>
      <c r="F5289" s="39">
        <v>46029</v>
      </c>
      <c r="G5289" s="7">
        <v>21</v>
      </c>
      <c r="H5289" s="3">
        <f>_xlfn.XLOOKUP(Vendas[[#This Row],[ID Item Vendido]],Agregado[ID],Agregado[Revenda])</f>
        <v>119</v>
      </c>
      <c r="I5289" s="3">
        <f>Vendas[[#This Row],[Valor Unitário]]*Vendas[[#This Row],[Qnt Vendida]]</f>
        <v>2499</v>
      </c>
      <c r="J5289" s="3">
        <f>Vendas[[#This Row],[Valor da Venda]]-(_xlfn.XLOOKUP(Vendas[[#This Row],[ID Item Vendido]],Agregado[ID],Agregado[Custo])*Vendas[[#This Row],[Qnt Vendida]])</f>
        <v>714</v>
      </c>
      <c r="K5289" s="70">
        <f>Vendas[[#This Row],[Lucro da Venda]]/Vendas[[#This Row],[Valor da Venda]]</f>
        <v>0.2857142857142857</v>
      </c>
      <c r="L5289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5289"/>
    </row>
    <row r="5290" spans="1:13" x14ac:dyDescent="0.3">
      <c r="A5290" s="7">
        <v>400241</v>
      </c>
      <c r="B5290" t="str">
        <f>_xlfn.XLOOKUP(Vendas[[#This Row],[ID Vendedor]],Vendedores[ID],Vendedores[Nome])</f>
        <v>Rodrigo</v>
      </c>
      <c r="C5290" s="7" t="str">
        <f>_xlfn.XLOOKUP(Vendas[[#This Row],[ID Vendedor]],Vendedores[ID],Vendedores[Setor])</f>
        <v>FM</v>
      </c>
      <c r="D5290" s="7" t="s">
        <v>27</v>
      </c>
      <c r="E5290" t="str">
        <f>_xlfn.XLOOKUP(Vendas[[#This Row],[ID Item Vendido]],Agregado[ID],Agregado[Produto])</f>
        <v>Chapa de metal lisa 1x2m</v>
      </c>
      <c r="F5290" s="39">
        <v>46029</v>
      </c>
      <c r="G5290" s="7">
        <v>25</v>
      </c>
      <c r="H5290" s="3">
        <f>_xlfn.XLOOKUP(Vendas[[#This Row],[ID Item Vendido]],Agregado[ID],Agregado[Revenda])</f>
        <v>52</v>
      </c>
      <c r="I5290" s="3">
        <f>Vendas[[#This Row],[Valor Unitário]]*Vendas[[#This Row],[Qnt Vendida]]</f>
        <v>1300</v>
      </c>
      <c r="J5290" s="3">
        <f>Vendas[[#This Row],[Valor da Venda]]-(_xlfn.XLOOKUP(Vendas[[#This Row],[ID Item Vendido]],Agregado[ID],Agregado[Custo])*Vendas[[#This Row],[Qnt Vendida]])</f>
        <v>175</v>
      </c>
      <c r="K5290" s="70">
        <f>Vendas[[#This Row],[Lucro da Venda]]/Vendas[[#This Row],[Valor da Venda]]</f>
        <v>0.13461538461538461</v>
      </c>
      <c r="L5290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5290"/>
    </row>
    <row r="5291" spans="1:13" x14ac:dyDescent="0.3">
      <c r="A5291" s="7">
        <v>400242</v>
      </c>
      <c r="B5291" t="str">
        <f>_xlfn.XLOOKUP(Vendas[[#This Row],[ID Vendedor]],Vendedores[ID],Vendedores[Nome])</f>
        <v>Fernanda</v>
      </c>
      <c r="C5291" s="7" t="str">
        <f>_xlfn.XLOOKUP(Vendas[[#This Row],[ID Vendedor]],Vendedores[ID],Vendedores[Setor])</f>
        <v>FM</v>
      </c>
      <c r="D5291" s="7" t="s">
        <v>27</v>
      </c>
      <c r="E5291" t="str">
        <f>_xlfn.XLOOKUP(Vendas[[#This Row],[ID Item Vendido]],Agregado[ID],Agregado[Produto])</f>
        <v>Chapa de metal lisa 1x2m</v>
      </c>
      <c r="F5291" s="39">
        <v>46029</v>
      </c>
      <c r="G5291" s="7">
        <v>19</v>
      </c>
      <c r="H5291" s="3">
        <f>_xlfn.XLOOKUP(Vendas[[#This Row],[ID Item Vendido]],Agregado[ID],Agregado[Revenda])</f>
        <v>52</v>
      </c>
      <c r="I5291" s="3">
        <f>Vendas[[#This Row],[Valor Unitário]]*Vendas[[#This Row],[Qnt Vendida]]</f>
        <v>988</v>
      </c>
      <c r="J5291" s="3">
        <f>Vendas[[#This Row],[Valor da Venda]]-(_xlfn.XLOOKUP(Vendas[[#This Row],[ID Item Vendido]],Agregado[ID],Agregado[Custo])*Vendas[[#This Row],[Qnt Vendida]])</f>
        <v>133</v>
      </c>
      <c r="K5291" s="70">
        <f>Vendas[[#This Row],[Lucro da Venda]]/Vendas[[#This Row],[Valor da Venda]]</f>
        <v>0.13461538461538461</v>
      </c>
      <c r="L5291" s="3">
        <f>_xlfn.IFS(Vendas[[#This Row],[Margem de Lucro (%)]]&lt;15%,Vendas[[#This Row],[Valor da Venda]]*3%,Vendas[[#This Row],[Margem de Lucro (%)]]&lt;=20%,Vendas[[#This Row],[Valor da Venda]]*4.5%,TRUE,Vendas[[#This Row],[Valor da Venda]]*6%)</f>
        <v>29.64</v>
      </c>
      <c r="M5291"/>
    </row>
    <row r="5292" spans="1:13" x14ac:dyDescent="0.3">
      <c r="A5292" s="7">
        <v>400248</v>
      </c>
      <c r="B5292" t="str">
        <f>_xlfn.XLOOKUP(Vendas[[#This Row],[ID Vendedor]],Vendedores[ID],Vendedores[Nome])</f>
        <v>Patrícia</v>
      </c>
      <c r="C5292" s="7" t="str">
        <f>_xlfn.XLOOKUP(Vendas[[#This Row],[ID Vendedor]],Vendedores[ID],Vendedores[Setor])</f>
        <v>CM</v>
      </c>
      <c r="D5292" s="7" t="s">
        <v>34</v>
      </c>
      <c r="E5292" t="str">
        <f>_xlfn.XLOOKUP(Vendas[[#This Row],[ID Item Vendido]],Agregado[ID],Agregado[Produto])</f>
        <v>Restos de madeira p/ MDP/OSB saco de 20kg</v>
      </c>
      <c r="F5292" s="39">
        <v>46029</v>
      </c>
      <c r="G5292" s="7">
        <v>7</v>
      </c>
      <c r="H5292" s="3">
        <f>_xlfn.XLOOKUP(Vendas[[#This Row],[ID Item Vendido]],Agregado[ID],Agregado[Revenda])</f>
        <v>13.8</v>
      </c>
      <c r="I5292" s="3">
        <f>Vendas[[#This Row],[Valor Unitário]]*Vendas[[#This Row],[Qnt Vendida]]</f>
        <v>96.600000000000009</v>
      </c>
      <c r="J5292" s="3">
        <f>Vendas[[#This Row],[Valor da Venda]]-(_xlfn.XLOOKUP(Vendas[[#This Row],[ID Item Vendido]],Agregado[ID],Agregado[Custo])*Vendas[[#This Row],[Qnt Vendida]])</f>
        <v>12.600000000000009</v>
      </c>
      <c r="K5292" s="70">
        <f>Vendas[[#This Row],[Lucro da Venda]]/Vendas[[#This Row],[Valor da Venda]]</f>
        <v>0.13043478260869573</v>
      </c>
      <c r="L5292" s="3">
        <f>_xlfn.IFS(Vendas[[#This Row],[Margem de Lucro (%)]]&lt;15%,Vendas[[#This Row],[Valor da Venda]]*3%,Vendas[[#This Row],[Margem de Lucro (%)]]&lt;=20%,Vendas[[#This Row],[Valor da Venda]]*4.5%,TRUE,Vendas[[#This Row],[Valor da Venda]]*6%)</f>
        <v>2.8980000000000001</v>
      </c>
      <c r="M5292"/>
    </row>
    <row r="5293" spans="1:13" x14ac:dyDescent="0.3">
      <c r="A5293" s="7">
        <v>400249</v>
      </c>
      <c r="B5293" t="str">
        <f>_xlfn.XLOOKUP(Vendas[[#This Row],[ID Vendedor]],Vendedores[ID],Vendedores[Nome])</f>
        <v>Bruno</v>
      </c>
      <c r="C5293" s="7" t="str">
        <f>_xlfn.XLOOKUP(Vendas[[#This Row],[ID Vendedor]],Vendedores[ID],Vendedores[Setor])</f>
        <v>CM</v>
      </c>
      <c r="D5293" s="7" t="s">
        <v>22</v>
      </c>
      <c r="E5293" t="str">
        <f>_xlfn.XLOOKUP(Vendas[[#This Row],[ID Item Vendido]],Agregado[ID],Agregado[Produto])</f>
        <v>Painel MDP 2,75x1,83m</v>
      </c>
      <c r="F5293" s="39">
        <v>46030</v>
      </c>
      <c r="G5293" s="7">
        <v>23</v>
      </c>
      <c r="H5293" s="3">
        <f>_xlfn.XLOOKUP(Vendas[[#This Row],[ID Item Vendido]],Agregado[ID],Agregado[Revenda])</f>
        <v>119</v>
      </c>
      <c r="I5293" s="3">
        <f>Vendas[[#This Row],[Valor Unitário]]*Vendas[[#This Row],[Qnt Vendida]]</f>
        <v>2737</v>
      </c>
      <c r="J5293" s="3">
        <f>Vendas[[#This Row],[Valor da Venda]]-(_xlfn.XLOOKUP(Vendas[[#This Row],[ID Item Vendido]],Agregado[ID],Agregado[Custo])*Vendas[[#This Row],[Qnt Vendida]])</f>
        <v>552</v>
      </c>
      <c r="K5293" s="70">
        <f>Vendas[[#This Row],[Lucro da Venda]]/Vendas[[#This Row],[Valor da Venda]]</f>
        <v>0.20168067226890757</v>
      </c>
      <c r="L5293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293"/>
    </row>
    <row r="5294" spans="1:13" x14ac:dyDescent="0.3">
      <c r="A5294" s="7">
        <v>400244</v>
      </c>
      <c r="B5294" t="str">
        <f>_xlfn.XLOOKUP(Vendas[[#This Row],[ID Vendedor]],Vendedores[ID],Vendedores[Nome])</f>
        <v>Camila</v>
      </c>
      <c r="C5294" s="7" t="str">
        <f>_xlfn.XLOOKUP(Vendas[[#This Row],[ID Vendedor]],Vendedores[ID],Vendedores[Setor])</f>
        <v>AHD</v>
      </c>
      <c r="D5294" s="7" t="s">
        <v>30</v>
      </c>
      <c r="E5294" t="str">
        <f>_xlfn.XLOOKUP(Vendas[[#This Row],[ID Item Vendido]],Agregado[ID],Agregado[Produto])</f>
        <v>Estrutura metálica soldada</v>
      </c>
      <c r="F5294" s="39">
        <v>46030</v>
      </c>
      <c r="G5294" s="7">
        <v>5</v>
      </c>
      <c r="H5294" s="3">
        <f>_xlfn.XLOOKUP(Vendas[[#This Row],[ID Item Vendido]],Agregado[ID],Agregado[Revenda])</f>
        <v>400</v>
      </c>
      <c r="I5294" s="3">
        <f>Vendas[[#This Row],[Valor Unitário]]*Vendas[[#This Row],[Qnt Vendida]]</f>
        <v>2000</v>
      </c>
      <c r="J5294" s="3">
        <f>Vendas[[#This Row],[Valor da Venda]]-(_xlfn.XLOOKUP(Vendas[[#This Row],[ID Item Vendido]],Agregado[ID],Agregado[Custo])*Vendas[[#This Row],[Qnt Vendida]])</f>
        <v>400</v>
      </c>
      <c r="K5294" s="70">
        <f>Vendas[[#This Row],[Lucro da Venda]]/Vendas[[#This Row],[Valor da Venda]]</f>
        <v>0.2</v>
      </c>
      <c r="L5294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294"/>
    </row>
    <row r="5295" spans="1:13" x14ac:dyDescent="0.3">
      <c r="A5295" s="7">
        <v>400252</v>
      </c>
      <c r="B5295" t="str">
        <f>_xlfn.XLOOKUP(Vendas[[#This Row],[ID Vendedor]],Vendedores[ID],Vendedores[Nome])</f>
        <v>Renata</v>
      </c>
      <c r="C5295" s="7" t="str">
        <f>_xlfn.XLOOKUP(Vendas[[#This Row],[ID Vendedor]],Vendedores[ID],Vendedores[Setor])</f>
        <v>AB</v>
      </c>
      <c r="D5295" s="7" t="s">
        <v>24</v>
      </c>
      <c r="E5295" t="str">
        <f>_xlfn.XLOOKUP(Vendas[[#This Row],[ID Item Vendido]],Agregado[ID],Agregado[Produto])</f>
        <v>Resina plástica PET purificada saco de 25kg</v>
      </c>
      <c r="F5295" s="39">
        <v>46030</v>
      </c>
      <c r="G5295" s="7">
        <v>13</v>
      </c>
      <c r="H5295" s="3">
        <f>_xlfn.XLOOKUP(Vendas[[#This Row],[ID Item Vendido]],Agregado[ID],Agregado[Revenda])</f>
        <v>119</v>
      </c>
      <c r="I5295" s="3">
        <f>Vendas[[#This Row],[Valor Unitário]]*Vendas[[#This Row],[Qnt Vendida]]</f>
        <v>1547</v>
      </c>
      <c r="J5295" s="3">
        <f>Vendas[[#This Row],[Valor da Venda]]-(_xlfn.XLOOKUP(Vendas[[#This Row],[ID Item Vendido]],Agregado[ID],Agregado[Custo])*Vendas[[#This Row],[Qnt Vendida]])</f>
        <v>442</v>
      </c>
      <c r="K5295" s="70">
        <f>Vendas[[#This Row],[Lucro da Venda]]/Vendas[[#This Row],[Valor da Venda]]</f>
        <v>0.2857142857142857</v>
      </c>
      <c r="L5295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295"/>
    </row>
    <row r="5296" spans="1:13" x14ac:dyDescent="0.3">
      <c r="A5296" s="7">
        <v>400245</v>
      </c>
      <c r="B5296" t="str">
        <f>_xlfn.XLOOKUP(Vendas[[#This Row],[ID Vendedor]],Vendedores[ID],Vendedores[Nome])</f>
        <v>Thiago</v>
      </c>
      <c r="C5296" s="7" t="str">
        <f>_xlfn.XLOOKUP(Vendas[[#This Row],[ID Vendedor]],Vendedores[ID],Vendedores[Setor])</f>
        <v>AHD</v>
      </c>
      <c r="D5296" s="7" t="s">
        <v>28</v>
      </c>
      <c r="E5296" t="str">
        <f>_xlfn.XLOOKUP(Vendas[[#This Row],[ID Item Vendido]],Agregado[ID],Agregado[Produto])</f>
        <v>Peça usinada CNC</v>
      </c>
      <c r="F5296" s="39">
        <v>46030</v>
      </c>
      <c r="G5296" s="7">
        <v>6</v>
      </c>
      <c r="H5296" s="3">
        <f>_xlfn.XLOOKUP(Vendas[[#This Row],[ID Item Vendido]],Agregado[ID],Agregado[Revenda])</f>
        <v>192</v>
      </c>
      <c r="I5296" s="3">
        <f>Vendas[[#This Row],[Valor Unitário]]*Vendas[[#This Row],[Qnt Vendida]]</f>
        <v>1152</v>
      </c>
      <c r="J5296" s="3">
        <f>Vendas[[#This Row],[Valor da Venda]]-(_xlfn.XLOOKUP(Vendas[[#This Row],[ID Item Vendido]],Agregado[ID],Agregado[Custo])*Vendas[[#This Row],[Qnt Vendida]])</f>
        <v>252</v>
      </c>
      <c r="K5296" s="70">
        <f>Vendas[[#This Row],[Lucro da Venda]]/Vendas[[#This Row],[Valor da Venda]]</f>
        <v>0.21875</v>
      </c>
      <c r="L5296" s="3">
        <f>_xlfn.IFS(Vendas[[#This Row],[Margem de Lucro (%)]]&lt;15%,Vendas[[#This Row],[Valor da Venda]]*3%,Vendas[[#This Row],[Margem de Lucro (%)]]&lt;=20%,Vendas[[#This Row],[Valor da Venda]]*4.5%,TRUE,Vendas[[#This Row],[Valor da Venda]]*6%)</f>
        <v>69.12</v>
      </c>
      <c r="M5296"/>
    </row>
    <row r="5297" spans="1:13" x14ac:dyDescent="0.3">
      <c r="A5297" s="7">
        <v>400248</v>
      </c>
      <c r="B5297" t="str">
        <f>_xlfn.XLOOKUP(Vendas[[#This Row],[ID Vendedor]],Vendedores[ID],Vendedores[Nome])</f>
        <v>Patrícia</v>
      </c>
      <c r="C5297" s="7" t="str">
        <f>_xlfn.XLOOKUP(Vendas[[#This Row],[ID Vendedor]],Vendedores[ID],Vendedores[Setor])</f>
        <v>CM</v>
      </c>
      <c r="D5297" s="7" t="s">
        <v>45</v>
      </c>
      <c r="E5297" t="str">
        <f>_xlfn.XLOOKUP(Vendas[[#This Row],[ID Item Vendido]],Agregado[ID],Agregado[Produto])</f>
        <v>Viga de madeira tratada 4m</v>
      </c>
      <c r="F5297" s="39">
        <v>46030</v>
      </c>
      <c r="G5297" s="7">
        <v>4</v>
      </c>
      <c r="H5297" s="3">
        <f>_xlfn.XLOOKUP(Vendas[[#This Row],[ID Item Vendido]],Agregado[ID],Agregado[Revenda])</f>
        <v>66</v>
      </c>
      <c r="I5297" s="3">
        <f>Vendas[[#This Row],[Valor Unitário]]*Vendas[[#This Row],[Qnt Vendida]]</f>
        <v>264</v>
      </c>
      <c r="J5297" s="3">
        <f>Vendas[[#This Row],[Valor da Venda]]-(_xlfn.XLOOKUP(Vendas[[#This Row],[ID Item Vendido]],Agregado[ID],Agregado[Custo])*Vendas[[#This Row],[Qnt Vendida]])</f>
        <v>44</v>
      </c>
      <c r="K5297" s="70">
        <f>Vendas[[#This Row],[Lucro da Venda]]/Vendas[[#This Row],[Valor da Venda]]</f>
        <v>0.16666666666666666</v>
      </c>
      <c r="L5297" s="3">
        <f>_xlfn.IFS(Vendas[[#This Row],[Margem de Lucro (%)]]&lt;15%,Vendas[[#This Row],[Valor da Venda]]*3%,Vendas[[#This Row],[Margem de Lucro (%)]]&lt;=20%,Vendas[[#This Row],[Valor da Venda]]*4.5%,TRUE,Vendas[[#This Row],[Valor da Venda]]*6%)</f>
        <v>11.879999999999999</v>
      </c>
      <c r="M5297"/>
    </row>
    <row r="5298" spans="1:13" x14ac:dyDescent="0.3">
      <c r="A5298" s="7">
        <v>400253</v>
      </c>
      <c r="B5298" t="str">
        <f>_xlfn.XLOOKUP(Vendas[[#This Row],[ID Vendedor]],Vendedores[ID],Vendedores[Nome])</f>
        <v>Gustavo</v>
      </c>
      <c r="C5298" s="7" t="str">
        <f>_xlfn.XLOOKUP(Vendas[[#This Row],[ID Vendedor]],Vendedores[ID],Vendedores[Setor])</f>
        <v>SC</v>
      </c>
      <c r="D5298" s="7" t="s">
        <v>42</v>
      </c>
      <c r="E5298" t="str">
        <f>_xlfn.XLOOKUP(Vendas[[#This Row],[ID Item Vendido]],Agregado[ID],Agregado[Produto])</f>
        <v>Container de ferro industrial</v>
      </c>
      <c r="F5298" s="39">
        <v>46031</v>
      </c>
      <c r="G5298" s="7">
        <v>6</v>
      </c>
      <c r="H5298" s="3">
        <f>_xlfn.XLOOKUP(Vendas[[#This Row],[ID Item Vendido]],Agregado[ID],Agregado[Revenda])</f>
        <v>830</v>
      </c>
      <c r="I5298" s="3">
        <f>Vendas[[#This Row],[Valor Unitário]]*Vendas[[#This Row],[Qnt Vendida]]</f>
        <v>4980</v>
      </c>
      <c r="J5298" s="3">
        <f>Vendas[[#This Row],[Valor da Venda]]-(_xlfn.XLOOKUP(Vendas[[#This Row],[ID Item Vendido]],Agregado[ID],Agregado[Custo])*Vendas[[#This Row],[Qnt Vendida]])</f>
        <v>900</v>
      </c>
      <c r="K5298" s="70">
        <f>Vendas[[#This Row],[Lucro da Venda]]/Vendas[[#This Row],[Valor da Venda]]</f>
        <v>0.18072289156626506</v>
      </c>
      <c r="L5298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298"/>
    </row>
    <row r="5299" spans="1:13" x14ac:dyDescent="0.3">
      <c r="A5299" s="7">
        <v>400242</v>
      </c>
      <c r="B5299" t="str">
        <f>_xlfn.XLOOKUP(Vendas[[#This Row],[ID Vendedor]],Vendedores[ID],Vendedores[Nome])</f>
        <v>Fernanda</v>
      </c>
      <c r="C5299" s="7" t="str">
        <f>_xlfn.XLOOKUP(Vendas[[#This Row],[ID Vendedor]],Vendedores[ID],Vendedores[Setor])</f>
        <v>FM</v>
      </c>
      <c r="D5299" s="7" t="s">
        <v>47</v>
      </c>
      <c r="E5299" t="str">
        <f>_xlfn.XLOOKUP(Vendas[[#This Row],[ID Item Vendido]],Agregado[ID],Agregado[Produto])</f>
        <v>Fio de arame galvanizado rolo 50m</v>
      </c>
      <c r="F5299" s="39">
        <v>46031</v>
      </c>
      <c r="G5299" s="7">
        <v>22</v>
      </c>
      <c r="H5299" s="3">
        <f>_xlfn.XLOOKUP(Vendas[[#This Row],[ID Item Vendido]],Agregado[ID],Agregado[Revenda])</f>
        <v>21.2</v>
      </c>
      <c r="I5299" s="3">
        <f>Vendas[[#This Row],[Valor Unitário]]*Vendas[[#This Row],[Qnt Vendida]]</f>
        <v>466.4</v>
      </c>
      <c r="J5299" s="3">
        <f>Vendas[[#This Row],[Valor da Venda]]-(_xlfn.XLOOKUP(Vendas[[#This Row],[ID Item Vendido]],Agregado[ID],Agregado[Custo])*Vendas[[#This Row],[Qnt Vendida]])</f>
        <v>70.399999999999977</v>
      </c>
      <c r="K5299" s="70">
        <f>Vendas[[#This Row],[Lucro da Venda]]/Vendas[[#This Row],[Valor da Venda]]</f>
        <v>0.15094339622641506</v>
      </c>
      <c r="L5299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5299"/>
    </row>
    <row r="5300" spans="1:13" x14ac:dyDescent="0.3">
      <c r="A5300" s="7">
        <v>400242</v>
      </c>
      <c r="B5300" t="str">
        <f>_xlfn.XLOOKUP(Vendas[[#This Row],[ID Vendedor]],Vendedores[ID],Vendedores[Nome])</f>
        <v>Fernanda</v>
      </c>
      <c r="C5300" s="7" t="str">
        <f>_xlfn.XLOOKUP(Vendas[[#This Row],[ID Vendedor]],Vendedores[ID],Vendedores[Setor])</f>
        <v>FM</v>
      </c>
      <c r="D5300" s="7" t="s">
        <v>20</v>
      </c>
      <c r="E5300" t="str">
        <f>_xlfn.XLOOKUP(Vendas[[#This Row],[ID Item Vendido]],Agregado[ID],Agregado[Produto])</f>
        <v>Barra de aço simples</v>
      </c>
      <c r="F5300" s="39">
        <v>46031</v>
      </c>
      <c r="G5300" s="7">
        <v>93</v>
      </c>
      <c r="H5300" s="3">
        <f>_xlfn.XLOOKUP(Vendas[[#This Row],[ID Item Vendido]],Agregado[ID],Agregado[Revenda])</f>
        <v>4.8</v>
      </c>
      <c r="I5300" s="3">
        <f>Vendas[[#This Row],[Valor Unitário]]*Vendas[[#This Row],[Qnt Vendida]]</f>
        <v>446.4</v>
      </c>
      <c r="J5300" s="3">
        <f>Vendas[[#This Row],[Valor da Venda]]-(_xlfn.XLOOKUP(Vendas[[#This Row],[ID Item Vendido]],Agregado[ID],Agregado[Custo])*Vendas[[#This Row],[Qnt Vendida]])</f>
        <v>55.799999999999955</v>
      </c>
      <c r="K5300" s="70">
        <f>Vendas[[#This Row],[Lucro da Venda]]/Vendas[[#This Row],[Valor da Venda]]</f>
        <v>0.1249999999999999</v>
      </c>
      <c r="L5300" s="3">
        <f>_xlfn.IFS(Vendas[[#This Row],[Margem de Lucro (%)]]&lt;15%,Vendas[[#This Row],[Valor da Venda]]*3%,Vendas[[#This Row],[Margem de Lucro (%)]]&lt;=20%,Vendas[[#This Row],[Valor da Venda]]*4.5%,TRUE,Vendas[[#This Row],[Valor da Venda]]*6%)</f>
        <v>13.391999999999999</v>
      </c>
      <c r="M5300"/>
    </row>
    <row r="5301" spans="1:13" x14ac:dyDescent="0.3">
      <c r="A5301" s="7">
        <v>400252</v>
      </c>
      <c r="B5301" t="str">
        <f>_xlfn.XLOOKUP(Vendas[[#This Row],[ID Vendedor]],Vendedores[ID],Vendedores[Nome])</f>
        <v>Renata</v>
      </c>
      <c r="C5301" s="7" t="str">
        <f>_xlfn.XLOOKUP(Vendas[[#This Row],[ID Vendedor]],Vendedores[ID],Vendedores[Setor])</f>
        <v>AB</v>
      </c>
      <c r="D5301" s="7" t="s">
        <v>36</v>
      </c>
      <c r="E5301" t="str">
        <f>_xlfn.XLOOKUP(Vendas[[#This Row],[ID Item Vendido]],Agregado[ID],Agregado[Produto])</f>
        <v>Borracha vulcanizada em manta</v>
      </c>
      <c r="F5301" s="39">
        <v>46031</v>
      </c>
      <c r="G5301" s="7">
        <v>26</v>
      </c>
      <c r="H5301" s="3">
        <f>_xlfn.XLOOKUP(Vendas[[#This Row],[ID Item Vendido]],Agregado[ID],Agregado[Revenda])</f>
        <v>7.8</v>
      </c>
      <c r="I5301" s="3">
        <f>Vendas[[#This Row],[Valor Unitário]]*Vendas[[#This Row],[Qnt Vendida]]</f>
        <v>202.79999999999998</v>
      </c>
      <c r="J5301" s="3">
        <f>Vendas[[#This Row],[Valor da Venda]]-(_xlfn.XLOOKUP(Vendas[[#This Row],[ID Item Vendido]],Agregado[ID],Agregado[Custo])*Vendas[[#This Row],[Qnt Vendida]])</f>
        <v>46.799999999999983</v>
      </c>
      <c r="K5301" s="70">
        <f>Vendas[[#This Row],[Lucro da Venda]]/Vendas[[#This Row],[Valor da Venda]]</f>
        <v>0.2307692307692307</v>
      </c>
      <c r="L5301" s="3">
        <f>_xlfn.IFS(Vendas[[#This Row],[Margem de Lucro (%)]]&lt;15%,Vendas[[#This Row],[Valor da Venda]]*3%,Vendas[[#This Row],[Margem de Lucro (%)]]&lt;=20%,Vendas[[#This Row],[Valor da Venda]]*4.5%,TRUE,Vendas[[#This Row],[Valor da Venda]]*6%)</f>
        <v>12.167999999999999</v>
      </c>
      <c r="M5301"/>
    </row>
    <row r="5302" spans="1:13" x14ac:dyDescent="0.3">
      <c r="A5302" s="7">
        <v>400245</v>
      </c>
      <c r="B5302" t="str">
        <f>_xlfn.XLOOKUP(Vendas[[#This Row],[ID Vendedor]],Vendedores[ID],Vendedores[Nome])</f>
        <v>Thiago</v>
      </c>
      <c r="C5302" s="7" t="str">
        <f>_xlfn.XLOOKUP(Vendas[[#This Row],[ID Vendedor]],Vendedores[ID],Vendedores[Setor])</f>
        <v>AHD</v>
      </c>
      <c r="D5302" s="7" t="s">
        <v>18</v>
      </c>
      <c r="E5302" t="str">
        <f>_xlfn.XLOOKUP(Vendas[[#This Row],[ID Item Vendido]],Agregado[ID],Agregado[Produto])</f>
        <v>Peça forjada sob encomenda</v>
      </c>
      <c r="F5302" s="39">
        <v>46032</v>
      </c>
      <c r="G5302" s="7">
        <v>3</v>
      </c>
      <c r="H5302" s="3">
        <f>_xlfn.XLOOKUP(Vendas[[#This Row],[ID Item Vendido]],Agregado[ID],Agregado[Revenda])</f>
        <v>264.60000000000002</v>
      </c>
      <c r="I5302" s="3">
        <f>Vendas[[#This Row],[Valor Unitário]]*Vendas[[#This Row],[Qnt Vendida]]</f>
        <v>793.80000000000007</v>
      </c>
      <c r="J5302" s="3">
        <f>Vendas[[#This Row],[Valor da Venda]]-(_xlfn.XLOOKUP(Vendas[[#This Row],[ID Item Vendido]],Agregado[ID],Agregado[Custo])*Vendas[[#This Row],[Qnt Vendida]])</f>
        <v>43.800000000000068</v>
      </c>
      <c r="K5302" s="70">
        <f>Vendas[[#This Row],[Lucro da Venda]]/Vendas[[#This Row],[Valor da Venda]]</f>
        <v>5.5177626606198113E-2</v>
      </c>
      <c r="L5302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302"/>
    </row>
    <row r="5303" spans="1:13" x14ac:dyDescent="0.3">
      <c r="A5303" s="7">
        <v>400241</v>
      </c>
      <c r="B5303" t="str">
        <f>_xlfn.XLOOKUP(Vendas[[#This Row],[ID Vendedor]],Vendedores[ID],Vendedores[Nome])</f>
        <v>Rodrigo</v>
      </c>
      <c r="C5303" s="7" t="str">
        <f>_xlfn.XLOOKUP(Vendas[[#This Row],[ID Vendedor]],Vendedores[ID],Vendedores[Setor])</f>
        <v>FM</v>
      </c>
      <c r="D5303" s="7" t="s">
        <v>20</v>
      </c>
      <c r="E5303" t="str">
        <f>_xlfn.XLOOKUP(Vendas[[#This Row],[ID Item Vendido]],Agregado[ID],Agregado[Produto])</f>
        <v>Barra de aço simples</v>
      </c>
      <c r="F5303" s="39">
        <v>46032</v>
      </c>
      <c r="G5303" s="7">
        <v>98</v>
      </c>
      <c r="H5303" s="3">
        <f>_xlfn.XLOOKUP(Vendas[[#This Row],[ID Item Vendido]],Agregado[ID],Agregado[Revenda])</f>
        <v>4.8</v>
      </c>
      <c r="I5303" s="3">
        <f>Vendas[[#This Row],[Valor Unitário]]*Vendas[[#This Row],[Qnt Vendida]]</f>
        <v>470.4</v>
      </c>
      <c r="J5303" s="3">
        <f>Vendas[[#This Row],[Valor da Venda]]-(_xlfn.XLOOKUP(Vendas[[#This Row],[ID Item Vendido]],Agregado[ID],Agregado[Custo])*Vendas[[#This Row],[Qnt Vendida]])</f>
        <v>58.799999999999955</v>
      </c>
      <c r="K5303" s="70">
        <f>Vendas[[#This Row],[Lucro da Venda]]/Vendas[[#This Row],[Valor da Venda]]</f>
        <v>0.1249999999999999</v>
      </c>
      <c r="L5303" s="3">
        <f>_xlfn.IFS(Vendas[[#This Row],[Margem de Lucro (%)]]&lt;15%,Vendas[[#This Row],[Valor da Venda]]*3%,Vendas[[#This Row],[Margem de Lucro (%)]]&lt;=20%,Vendas[[#This Row],[Valor da Venda]]*4.5%,TRUE,Vendas[[#This Row],[Valor da Venda]]*6%)</f>
        <v>14.111999999999998</v>
      </c>
      <c r="M5303"/>
    </row>
    <row r="5304" spans="1:13" x14ac:dyDescent="0.3">
      <c r="A5304" s="7">
        <v>400242</v>
      </c>
      <c r="B5304" t="str">
        <f>_xlfn.XLOOKUP(Vendas[[#This Row],[ID Vendedor]],Vendedores[ID],Vendedores[Nome])</f>
        <v>Fernanda</v>
      </c>
      <c r="C5304" s="7" t="str">
        <f>_xlfn.XLOOKUP(Vendas[[#This Row],[ID Vendedor]],Vendedores[ID],Vendedores[Setor])</f>
        <v>FM</v>
      </c>
      <c r="D5304" s="7" t="s">
        <v>31</v>
      </c>
      <c r="E5304" t="str">
        <f>_xlfn.XLOOKUP(Vendas[[#This Row],[ID Item Vendido]],Agregado[ID],Agregado[Produto])</f>
        <v>Tela de metal soldada rolo 2x25m</v>
      </c>
      <c r="F5304" s="39">
        <v>46032</v>
      </c>
      <c r="G5304" s="7">
        <v>9</v>
      </c>
      <c r="H5304" s="3">
        <f>_xlfn.XLOOKUP(Vendas[[#This Row],[ID Item Vendido]],Agregado[ID],Agregado[Revenda])</f>
        <v>43.7</v>
      </c>
      <c r="I5304" s="3">
        <f>Vendas[[#This Row],[Valor Unitário]]*Vendas[[#This Row],[Qnt Vendida]]</f>
        <v>393.3</v>
      </c>
      <c r="J5304" s="3">
        <f>Vendas[[#This Row],[Valor da Venda]]-(_xlfn.XLOOKUP(Vendas[[#This Row],[ID Item Vendido]],Agregado[ID],Agregado[Custo])*Vendas[[#This Row],[Qnt Vendida]])</f>
        <v>51.300000000000011</v>
      </c>
      <c r="K5304" s="70">
        <f>Vendas[[#This Row],[Lucro da Venda]]/Vendas[[#This Row],[Valor da Venda]]</f>
        <v>0.13043478260869568</v>
      </c>
      <c r="L5304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5304"/>
    </row>
    <row r="5305" spans="1:13" x14ac:dyDescent="0.3">
      <c r="A5305" s="7">
        <v>400244</v>
      </c>
      <c r="B5305" t="str">
        <f>_xlfn.XLOOKUP(Vendas[[#This Row],[ID Vendedor]],Vendedores[ID],Vendedores[Nome])</f>
        <v>Camila</v>
      </c>
      <c r="C5305" s="7" t="str">
        <f>_xlfn.XLOOKUP(Vendas[[#This Row],[ID Vendedor]],Vendedores[ID],Vendedores[Setor])</f>
        <v>AHD</v>
      </c>
      <c r="D5305" s="7" t="s">
        <v>44</v>
      </c>
      <c r="E5305" t="str">
        <f>_xlfn.XLOOKUP(Vendas[[#This Row],[ID Item Vendido]],Agregado[ID],Agregado[Produto])</f>
        <v>Liga metálica especial</v>
      </c>
      <c r="F5305" s="39">
        <v>46033</v>
      </c>
      <c r="G5305" s="7">
        <v>57</v>
      </c>
      <c r="H5305" s="3">
        <f>_xlfn.XLOOKUP(Vendas[[#This Row],[ID Item Vendido]],Agregado[ID],Agregado[Revenda])</f>
        <v>32.5</v>
      </c>
      <c r="I5305" s="3">
        <f>Vendas[[#This Row],[Valor Unitário]]*Vendas[[#This Row],[Qnt Vendida]]</f>
        <v>1852.5</v>
      </c>
      <c r="J5305" s="3">
        <f>Vendas[[#This Row],[Valor da Venda]]-(_xlfn.XLOOKUP(Vendas[[#This Row],[ID Item Vendido]],Agregado[ID],Agregado[Custo])*Vendas[[#This Row],[Qnt Vendida]])</f>
        <v>427.5</v>
      </c>
      <c r="K5305" s="70">
        <f>Vendas[[#This Row],[Lucro da Venda]]/Vendas[[#This Row],[Valor da Venda]]</f>
        <v>0.23076923076923078</v>
      </c>
      <c r="L5305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5305"/>
    </row>
    <row r="5306" spans="1:13" x14ac:dyDescent="0.3">
      <c r="A5306" s="7">
        <v>400242</v>
      </c>
      <c r="B5306" t="str">
        <f>_xlfn.XLOOKUP(Vendas[[#This Row],[ID Vendedor]],Vendedores[ID],Vendedores[Nome])</f>
        <v>Fernanda</v>
      </c>
      <c r="C5306" s="7" t="str">
        <f>_xlfn.XLOOKUP(Vendas[[#This Row],[ID Vendedor]],Vendedores[ID],Vendedores[Setor])</f>
        <v>FM</v>
      </c>
      <c r="D5306" s="7" t="s">
        <v>20</v>
      </c>
      <c r="E5306" t="str">
        <f>_xlfn.XLOOKUP(Vendas[[#This Row],[ID Item Vendido]],Agregado[ID],Agregado[Produto])</f>
        <v>Barra de aço simples</v>
      </c>
      <c r="F5306" s="39">
        <v>46033</v>
      </c>
      <c r="G5306" s="7">
        <v>181</v>
      </c>
      <c r="H5306" s="3">
        <f>_xlfn.XLOOKUP(Vendas[[#This Row],[ID Item Vendido]],Agregado[ID],Agregado[Revenda])</f>
        <v>4.8</v>
      </c>
      <c r="I5306" s="3">
        <f>Vendas[[#This Row],[Valor Unitário]]*Vendas[[#This Row],[Qnt Vendida]]</f>
        <v>868.8</v>
      </c>
      <c r="J5306" s="3">
        <f>Vendas[[#This Row],[Valor da Venda]]-(_xlfn.XLOOKUP(Vendas[[#This Row],[ID Item Vendido]],Agregado[ID],Agregado[Custo])*Vendas[[#This Row],[Qnt Vendida]])</f>
        <v>108.59999999999991</v>
      </c>
      <c r="K5306" s="70">
        <f>Vendas[[#This Row],[Lucro da Venda]]/Vendas[[#This Row],[Valor da Venda]]</f>
        <v>0.1249999999999999</v>
      </c>
      <c r="L5306" s="3">
        <f>_xlfn.IFS(Vendas[[#This Row],[Margem de Lucro (%)]]&lt;15%,Vendas[[#This Row],[Valor da Venda]]*3%,Vendas[[#This Row],[Margem de Lucro (%)]]&lt;=20%,Vendas[[#This Row],[Valor da Venda]]*4.5%,TRUE,Vendas[[#This Row],[Valor da Venda]]*6%)</f>
        <v>26.063999999999997</v>
      </c>
      <c r="M5306"/>
    </row>
    <row r="5307" spans="1:13" x14ac:dyDescent="0.3">
      <c r="A5307" s="7">
        <v>400243</v>
      </c>
      <c r="B5307" t="str">
        <f>_xlfn.XLOOKUP(Vendas[[#This Row],[ID Vendedor]],Vendedores[ID],Vendedores[Nome])</f>
        <v>Marcelo</v>
      </c>
      <c r="C5307" s="7" t="str">
        <f>_xlfn.XLOOKUP(Vendas[[#This Row],[ID Vendedor]],Vendedores[ID],Vendedores[Setor])</f>
        <v>FM</v>
      </c>
      <c r="D5307" s="7" t="s">
        <v>20</v>
      </c>
      <c r="E5307" t="str">
        <f>_xlfn.XLOOKUP(Vendas[[#This Row],[ID Item Vendido]],Agregado[ID],Agregado[Produto])</f>
        <v>Barra de aço simples</v>
      </c>
      <c r="F5307" s="39">
        <v>46033</v>
      </c>
      <c r="G5307" s="7">
        <v>44</v>
      </c>
      <c r="H5307" s="3">
        <f>_xlfn.XLOOKUP(Vendas[[#This Row],[ID Item Vendido]],Agregado[ID],Agregado[Revenda])</f>
        <v>4.8</v>
      </c>
      <c r="I5307" s="3">
        <f>Vendas[[#This Row],[Valor Unitário]]*Vendas[[#This Row],[Qnt Vendida]]</f>
        <v>211.2</v>
      </c>
      <c r="J5307" s="3">
        <f>Vendas[[#This Row],[Valor da Venda]]-(_xlfn.XLOOKUP(Vendas[[#This Row],[ID Item Vendido]],Agregado[ID],Agregado[Custo])*Vendas[[#This Row],[Qnt Vendida]])</f>
        <v>26.399999999999977</v>
      </c>
      <c r="K5307" s="70">
        <f>Vendas[[#This Row],[Lucro da Venda]]/Vendas[[#This Row],[Valor da Venda]]</f>
        <v>0.1249999999999999</v>
      </c>
      <c r="L5307" s="3">
        <f>_xlfn.IFS(Vendas[[#This Row],[Margem de Lucro (%)]]&lt;15%,Vendas[[#This Row],[Valor da Venda]]*3%,Vendas[[#This Row],[Margem de Lucro (%)]]&lt;=20%,Vendas[[#This Row],[Valor da Venda]]*4.5%,TRUE,Vendas[[#This Row],[Valor da Venda]]*6%)</f>
        <v>6.3359999999999994</v>
      </c>
      <c r="M5307"/>
    </row>
    <row r="5308" spans="1:13" x14ac:dyDescent="0.3">
      <c r="A5308" s="7">
        <v>400251</v>
      </c>
      <c r="B5308" t="str">
        <f>_xlfn.XLOOKUP(Vendas[[#This Row],[ID Vendedor]],Vendedores[ID],Vendedores[Nome])</f>
        <v>Diego</v>
      </c>
      <c r="C5308" s="7" t="str">
        <f>_xlfn.XLOOKUP(Vendas[[#This Row],[ID Vendedor]],Vendedores[ID],Vendedores[Setor])</f>
        <v>AB</v>
      </c>
      <c r="D5308" s="7" t="s">
        <v>39</v>
      </c>
      <c r="E5308" t="str">
        <f>_xlfn.XLOOKUP(Vendas[[#This Row],[ID Item Vendido]],Agregado[ID],Agregado[Produto])</f>
        <v>Filme plástico industrial rolo 50m</v>
      </c>
      <c r="F5308" s="39">
        <v>46033</v>
      </c>
      <c r="G5308" s="7">
        <v>2</v>
      </c>
      <c r="H5308" s="3">
        <f>_xlfn.XLOOKUP(Vendas[[#This Row],[ID Item Vendido]],Agregado[ID],Agregado[Revenda])</f>
        <v>37</v>
      </c>
      <c r="I5308" s="3">
        <f>Vendas[[#This Row],[Valor Unitário]]*Vendas[[#This Row],[Qnt Vendida]]</f>
        <v>74</v>
      </c>
      <c r="J5308" s="3">
        <f>Vendas[[#This Row],[Valor da Venda]]-(_xlfn.XLOOKUP(Vendas[[#This Row],[ID Item Vendido]],Agregado[ID],Agregado[Custo])*Vendas[[#This Row],[Qnt Vendida]])</f>
        <v>18</v>
      </c>
      <c r="K5308" s="70">
        <f>Vendas[[#This Row],[Lucro da Venda]]/Vendas[[#This Row],[Valor da Venda]]</f>
        <v>0.24324324324324326</v>
      </c>
      <c r="L5308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5308"/>
    </row>
    <row r="5309" spans="1:13" x14ac:dyDescent="0.3">
      <c r="A5309" s="7">
        <v>400252</v>
      </c>
      <c r="B5309" t="str">
        <f>_xlfn.XLOOKUP(Vendas[[#This Row],[ID Vendedor]],Vendedores[ID],Vendedores[Nome])</f>
        <v>Renata</v>
      </c>
      <c r="C5309" s="7" t="str">
        <f>_xlfn.XLOOKUP(Vendas[[#This Row],[ID Vendedor]],Vendedores[ID],Vendedores[Setor])</f>
        <v>AB</v>
      </c>
      <c r="D5309" s="7" t="s">
        <v>36</v>
      </c>
      <c r="E5309" t="str">
        <f>_xlfn.XLOOKUP(Vendas[[#This Row],[ID Item Vendido]],Agregado[ID],Agregado[Produto])</f>
        <v>Borracha vulcanizada em manta</v>
      </c>
      <c r="F5309" s="39">
        <v>46034</v>
      </c>
      <c r="G5309" s="7">
        <v>67</v>
      </c>
      <c r="H5309" s="3">
        <f>_xlfn.XLOOKUP(Vendas[[#This Row],[ID Item Vendido]],Agregado[ID],Agregado[Revenda])</f>
        <v>7.8</v>
      </c>
      <c r="I5309" s="3">
        <f>Vendas[[#This Row],[Valor Unitário]]*Vendas[[#This Row],[Qnt Vendida]]</f>
        <v>522.6</v>
      </c>
      <c r="J5309" s="3">
        <f>Vendas[[#This Row],[Valor da Venda]]-(_xlfn.XLOOKUP(Vendas[[#This Row],[ID Item Vendido]],Agregado[ID],Agregado[Custo])*Vendas[[#This Row],[Qnt Vendida]])</f>
        <v>120.60000000000002</v>
      </c>
      <c r="K5309" s="70">
        <f>Vendas[[#This Row],[Lucro da Venda]]/Vendas[[#This Row],[Valor da Venda]]</f>
        <v>0.23076923076923081</v>
      </c>
      <c r="L5309" s="3">
        <f>_xlfn.IFS(Vendas[[#This Row],[Margem de Lucro (%)]]&lt;15%,Vendas[[#This Row],[Valor da Venda]]*3%,Vendas[[#This Row],[Margem de Lucro (%)]]&lt;=20%,Vendas[[#This Row],[Valor da Venda]]*4.5%,TRUE,Vendas[[#This Row],[Valor da Venda]]*6%)</f>
        <v>31.356000000000002</v>
      </c>
      <c r="M5309"/>
    </row>
    <row r="5310" spans="1:13" x14ac:dyDescent="0.3">
      <c r="A5310" s="7">
        <v>400252</v>
      </c>
      <c r="B5310" t="str">
        <f>_xlfn.XLOOKUP(Vendas[[#This Row],[ID Vendedor]],Vendedores[ID],Vendedores[Nome])</f>
        <v>Renata</v>
      </c>
      <c r="C5310" s="7" t="str">
        <f>_xlfn.XLOOKUP(Vendas[[#This Row],[ID Vendedor]],Vendedores[ID],Vendedores[Setor])</f>
        <v>AB</v>
      </c>
      <c r="D5310" s="7" t="s">
        <v>36</v>
      </c>
      <c r="E5310" t="str">
        <f>_xlfn.XLOOKUP(Vendas[[#This Row],[ID Item Vendido]],Agregado[ID],Agregado[Produto])</f>
        <v>Borracha vulcanizada em manta</v>
      </c>
      <c r="F5310" s="39">
        <v>46035</v>
      </c>
      <c r="G5310" s="7">
        <v>75</v>
      </c>
      <c r="H5310" s="3">
        <f>_xlfn.XLOOKUP(Vendas[[#This Row],[ID Item Vendido]],Agregado[ID],Agregado[Revenda])</f>
        <v>7.8</v>
      </c>
      <c r="I5310" s="3">
        <f>Vendas[[#This Row],[Valor Unitário]]*Vendas[[#This Row],[Qnt Vendida]]</f>
        <v>585</v>
      </c>
      <c r="J5310" s="3">
        <f>Vendas[[#This Row],[Valor da Venda]]-(_xlfn.XLOOKUP(Vendas[[#This Row],[ID Item Vendido]],Agregado[ID],Agregado[Custo])*Vendas[[#This Row],[Qnt Vendida]])</f>
        <v>135</v>
      </c>
      <c r="K5310" s="70">
        <f>Vendas[[#This Row],[Lucro da Venda]]/Vendas[[#This Row],[Valor da Venda]]</f>
        <v>0.23076923076923078</v>
      </c>
      <c r="L5310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310"/>
    </row>
    <row r="5311" spans="1:13" x14ac:dyDescent="0.3">
      <c r="A5311" s="7">
        <v>400254</v>
      </c>
      <c r="B5311" t="str">
        <f>_xlfn.XLOOKUP(Vendas[[#This Row],[ID Vendedor]],Vendedores[ID],Vendedores[Nome])</f>
        <v>Beatriz</v>
      </c>
      <c r="C5311" s="7" t="str">
        <f>_xlfn.XLOOKUP(Vendas[[#This Row],[ID Vendedor]],Vendedores[ID],Vendedores[Setor])</f>
        <v>SC</v>
      </c>
      <c r="D5311" s="7" t="s">
        <v>42</v>
      </c>
      <c r="E5311" t="str">
        <f>_xlfn.XLOOKUP(Vendas[[#This Row],[ID Item Vendido]],Agregado[ID],Agregado[Produto])</f>
        <v>Container de ferro industrial</v>
      </c>
      <c r="F5311" s="39">
        <v>46036</v>
      </c>
      <c r="G5311" s="7">
        <v>6</v>
      </c>
      <c r="H5311" s="3">
        <f>_xlfn.XLOOKUP(Vendas[[#This Row],[ID Item Vendido]],Agregado[ID],Agregado[Revenda])</f>
        <v>830</v>
      </c>
      <c r="I5311" s="3">
        <f>Vendas[[#This Row],[Valor Unitário]]*Vendas[[#This Row],[Qnt Vendida]]</f>
        <v>4980</v>
      </c>
      <c r="J5311" s="3">
        <f>Vendas[[#This Row],[Valor da Venda]]-(_xlfn.XLOOKUP(Vendas[[#This Row],[ID Item Vendido]],Agregado[ID],Agregado[Custo])*Vendas[[#This Row],[Qnt Vendida]])</f>
        <v>900</v>
      </c>
      <c r="K5311" s="70">
        <f>Vendas[[#This Row],[Lucro da Venda]]/Vendas[[#This Row],[Valor da Venda]]</f>
        <v>0.18072289156626506</v>
      </c>
      <c r="L531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311"/>
    </row>
    <row r="5312" spans="1:13" x14ac:dyDescent="0.3">
      <c r="A5312" s="7">
        <v>400255</v>
      </c>
      <c r="B5312" t="str">
        <f>_xlfn.XLOOKUP(Vendas[[#This Row],[ID Vendedor]],Vendedores[ID],Vendedores[Nome])</f>
        <v>Carlos</v>
      </c>
      <c r="C5312" s="7" t="str">
        <f>_xlfn.XLOOKUP(Vendas[[#This Row],[ID Vendedor]],Vendedores[ID],Vendedores[Setor])</f>
        <v>SC</v>
      </c>
      <c r="D5312" s="7" t="s">
        <v>14</v>
      </c>
      <c r="E5312" t="str">
        <f>_xlfn.XLOOKUP(Vendas[[#This Row],[ID Item Vendido]],Agregado[ID],Agregado[Produto])</f>
        <v>Barril de plástico 200L</v>
      </c>
      <c r="F5312" s="39">
        <v>46036</v>
      </c>
      <c r="G5312" s="7">
        <v>13</v>
      </c>
      <c r="H5312" s="3">
        <f>_xlfn.XLOOKUP(Vendas[[#This Row],[ID Item Vendido]],Agregado[ID],Agregado[Revenda])</f>
        <v>114</v>
      </c>
      <c r="I5312" s="3">
        <f>Vendas[[#This Row],[Valor Unitário]]*Vendas[[#This Row],[Qnt Vendida]]</f>
        <v>1482</v>
      </c>
      <c r="J5312" s="3">
        <f>Vendas[[#This Row],[Valor da Venda]]-(_xlfn.XLOOKUP(Vendas[[#This Row],[ID Item Vendido]],Agregado[ID],Agregado[Custo])*Vendas[[#This Row],[Qnt Vendida]])</f>
        <v>247</v>
      </c>
      <c r="K5312" s="70">
        <f>Vendas[[#This Row],[Lucro da Venda]]/Vendas[[#This Row],[Valor da Venda]]</f>
        <v>0.16666666666666666</v>
      </c>
      <c r="L5312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5312"/>
    </row>
    <row r="5313" spans="1:13" x14ac:dyDescent="0.3">
      <c r="A5313" s="7">
        <v>400252</v>
      </c>
      <c r="B5313" t="str">
        <f>_xlfn.XLOOKUP(Vendas[[#This Row],[ID Vendedor]],Vendedores[ID],Vendedores[Nome])</f>
        <v>Renata</v>
      </c>
      <c r="C5313" s="7" t="str">
        <f>_xlfn.XLOOKUP(Vendas[[#This Row],[ID Vendedor]],Vendedores[ID],Vendedores[Setor])</f>
        <v>AB</v>
      </c>
      <c r="D5313" s="7" t="s">
        <v>36</v>
      </c>
      <c r="E5313" t="str">
        <f>_xlfn.XLOOKUP(Vendas[[#This Row],[ID Item Vendido]],Agregado[ID],Agregado[Produto])</f>
        <v>Borracha vulcanizada em manta</v>
      </c>
      <c r="F5313" s="39">
        <v>46036</v>
      </c>
      <c r="G5313" s="7">
        <v>57</v>
      </c>
      <c r="H5313" s="3">
        <f>_xlfn.XLOOKUP(Vendas[[#This Row],[ID Item Vendido]],Agregado[ID],Agregado[Revenda])</f>
        <v>7.8</v>
      </c>
      <c r="I5313" s="3">
        <f>Vendas[[#This Row],[Valor Unitário]]*Vendas[[#This Row],[Qnt Vendida]]</f>
        <v>444.59999999999997</v>
      </c>
      <c r="J5313" s="3">
        <f>Vendas[[#This Row],[Valor da Venda]]-(_xlfn.XLOOKUP(Vendas[[#This Row],[ID Item Vendido]],Agregado[ID],Agregado[Custo])*Vendas[[#This Row],[Qnt Vendida]])</f>
        <v>102.59999999999997</v>
      </c>
      <c r="K5313" s="70">
        <f>Vendas[[#This Row],[Lucro da Venda]]/Vendas[[#This Row],[Valor da Venda]]</f>
        <v>0.2307692307692307</v>
      </c>
      <c r="L5313" s="3">
        <f>_xlfn.IFS(Vendas[[#This Row],[Margem de Lucro (%)]]&lt;15%,Vendas[[#This Row],[Valor da Venda]]*3%,Vendas[[#This Row],[Margem de Lucro (%)]]&lt;=20%,Vendas[[#This Row],[Valor da Venda]]*4.5%,TRUE,Vendas[[#This Row],[Valor da Venda]]*6%)</f>
        <v>26.675999999999998</v>
      </c>
      <c r="M5313"/>
    </row>
    <row r="5314" spans="1:13" x14ac:dyDescent="0.3">
      <c r="A5314" s="7">
        <v>400245</v>
      </c>
      <c r="B5314" t="str">
        <f>_xlfn.XLOOKUP(Vendas[[#This Row],[ID Vendedor]],Vendedores[ID],Vendedores[Nome])</f>
        <v>Thiago</v>
      </c>
      <c r="C5314" s="7" t="str">
        <f>_xlfn.XLOOKUP(Vendas[[#This Row],[ID Vendedor]],Vendedores[ID],Vendedores[Setor])</f>
        <v>AHD</v>
      </c>
      <c r="D5314" s="7" t="s">
        <v>18</v>
      </c>
      <c r="E5314" t="str">
        <f>_xlfn.XLOOKUP(Vendas[[#This Row],[ID Item Vendido]],Agregado[ID],Agregado[Produto])</f>
        <v>Peça forjada sob encomenda</v>
      </c>
      <c r="F5314" s="39">
        <v>46036</v>
      </c>
      <c r="G5314" s="7">
        <v>1</v>
      </c>
      <c r="H5314" s="3">
        <f>_xlfn.XLOOKUP(Vendas[[#This Row],[ID Item Vendido]],Agregado[ID],Agregado[Revenda])</f>
        <v>264.60000000000002</v>
      </c>
      <c r="I5314" s="3">
        <f>Vendas[[#This Row],[Valor Unitário]]*Vendas[[#This Row],[Qnt Vendida]]</f>
        <v>264.60000000000002</v>
      </c>
      <c r="J5314" s="3">
        <f>Vendas[[#This Row],[Valor da Venda]]-(_xlfn.XLOOKUP(Vendas[[#This Row],[ID Item Vendido]],Agregado[ID],Agregado[Custo])*Vendas[[#This Row],[Qnt Vendida]])</f>
        <v>14.600000000000023</v>
      </c>
      <c r="K5314" s="70">
        <f>Vendas[[#This Row],[Lucro da Venda]]/Vendas[[#This Row],[Valor da Venda]]</f>
        <v>5.5177626606198113E-2</v>
      </c>
      <c r="L5314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314"/>
    </row>
    <row r="5315" spans="1:13" x14ac:dyDescent="0.3">
      <c r="A5315" s="7">
        <v>400244</v>
      </c>
      <c r="B5315" t="str">
        <f>_xlfn.XLOOKUP(Vendas[[#This Row],[ID Vendedor]],Vendedores[ID],Vendedores[Nome])</f>
        <v>Camila</v>
      </c>
      <c r="C5315" s="7" t="str">
        <f>_xlfn.XLOOKUP(Vendas[[#This Row],[ID Vendedor]],Vendedores[ID],Vendedores[Setor])</f>
        <v>AHD</v>
      </c>
      <c r="D5315" s="7" t="s">
        <v>28</v>
      </c>
      <c r="E5315" t="str">
        <f>_xlfn.XLOOKUP(Vendas[[#This Row],[ID Item Vendido]],Agregado[ID],Agregado[Produto])</f>
        <v>Peça usinada CNC</v>
      </c>
      <c r="F5315" s="39">
        <v>46037</v>
      </c>
      <c r="G5315" s="7">
        <v>8</v>
      </c>
      <c r="H5315" s="3">
        <f>_xlfn.XLOOKUP(Vendas[[#This Row],[ID Item Vendido]],Agregado[ID],Agregado[Revenda])</f>
        <v>192</v>
      </c>
      <c r="I5315" s="3">
        <f>Vendas[[#This Row],[Valor Unitário]]*Vendas[[#This Row],[Qnt Vendida]]</f>
        <v>1536</v>
      </c>
      <c r="J5315" s="3">
        <f>Vendas[[#This Row],[Valor da Venda]]-(_xlfn.XLOOKUP(Vendas[[#This Row],[ID Item Vendido]],Agregado[ID],Agregado[Custo])*Vendas[[#This Row],[Qnt Vendida]])</f>
        <v>336</v>
      </c>
      <c r="K5315" s="70">
        <f>Vendas[[#This Row],[Lucro da Venda]]/Vendas[[#This Row],[Valor da Venda]]</f>
        <v>0.21875</v>
      </c>
      <c r="L5315" s="3">
        <f>_xlfn.IFS(Vendas[[#This Row],[Margem de Lucro (%)]]&lt;15%,Vendas[[#This Row],[Valor da Venda]]*3%,Vendas[[#This Row],[Margem de Lucro (%)]]&lt;=20%,Vendas[[#This Row],[Valor da Venda]]*4.5%,TRUE,Vendas[[#This Row],[Valor da Venda]]*6%)</f>
        <v>92.16</v>
      </c>
      <c r="M5315"/>
    </row>
    <row r="5316" spans="1:13" x14ac:dyDescent="0.3">
      <c r="A5316" s="7">
        <v>400249</v>
      </c>
      <c r="B5316" t="str">
        <f>_xlfn.XLOOKUP(Vendas[[#This Row],[ID Vendedor]],Vendedores[ID],Vendedores[Nome])</f>
        <v>Bruno</v>
      </c>
      <c r="C5316" s="7" t="str">
        <f>_xlfn.XLOOKUP(Vendas[[#This Row],[ID Vendedor]],Vendedores[ID],Vendedores[Setor])</f>
        <v>CM</v>
      </c>
      <c r="D5316" s="7" t="s">
        <v>22</v>
      </c>
      <c r="E5316" t="str">
        <f>_xlfn.XLOOKUP(Vendas[[#This Row],[ID Item Vendido]],Agregado[ID],Agregado[Produto])</f>
        <v>Painel MDP 2,75x1,83m</v>
      </c>
      <c r="F5316" s="39">
        <v>46037</v>
      </c>
      <c r="G5316" s="7">
        <v>12</v>
      </c>
      <c r="H5316" s="3">
        <f>_xlfn.XLOOKUP(Vendas[[#This Row],[ID Item Vendido]],Agregado[ID],Agregado[Revenda])</f>
        <v>119</v>
      </c>
      <c r="I5316" s="3">
        <f>Vendas[[#This Row],[Valor Unitário]]*Vendas[[#This Row],[Qnt Vendida]]</f>
        <v>1428</v>
      </c>
      <c r="J5316" s="3">
        <f>Vendas[[#This Row],[Valor da Venda]]-(_xlfn.XLOOKUP(Vendas[[#This Row],[ID Item Vendido]],Agregado[ID],Agregado[Custo])*Vendas[[#This Row],[Qnt Vendida]])</f>
        <v>288</v>
      </c>
      <c r="K5316" s="70">
        <f>Vendas[[#This Row],[Lucro da Venda]]/Vendas[[#This Row],[Valor da Venda]]</f>
        <v>0.20168067226890757</v>
      </c>
      <c r="L5316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5316"/>
    </row>
    <row r="5317" spans="1:13" x14ac:dyDescent="0.3">
      <c r="A5317" s="7">
        <v>400250</v>
      </c>
      <c r="B5317" t="str">
        <f>_xlfn.XLOOKUP(Vendas[[#This Row],[ID Vendedor]],Vendedores[ID],Vendedores[Nome])</f>
        <v>Larissa</v>
      </c>
      <c r="C5317" s="7" t="str">
        <f>_xlfn.XLOOKUP(Vendas[[#This Row],[ID Vendedor]],Vendedores[ID],Vendedores[Setor])</f>
        <v>AB</v>
      </c>
      <c r="D5317" s="7" t="s">
        <v>24</v>
      </c>
      <c r="E5317" t="str">
        <f>_xlfn.XLOOKUP(Vendas[[#This Row],[ID Item Vendido]],Agregado[ID],Agregado[Produto])</f>
        <v>Resina plástica PET purificada saco de 25kg</v>
      </c>
      <c r="F5317" s="39">
        <v>46038</v>
      </c>
      <c r="G5317" s="7">
        <v>22</v>
      </c>
      <c r="H5317" s="3">
        <f>_xlfn.XLOOKUP(Vendas[[#This Row],[ID Item Vendido]],Agregado[ID],Agregado[Revenda])</f>
        <v>119</v>
      </c>
      <c r="I5317" s="3">
        <f>Vendas[[#This Row],[Valor Unitário]]*Vendas[[#This Row],[Qnt Vendida]]</f>
        <v>2618</v>
      </c>
      <c r="J5317" s="3">
        <f>Vendas[[#This Row],[Valor da Venda]]-(_xlfn.XLOOKUP(Vendas[[#This Row],[ID Item Vendido]],Agregado[ID],Agregado[Custo])*Vendas[[#This Row],[Qnt Vendida]])</f>
        <v>748</v>
      </c>
      <c r="K5317" s="70">
        <f>Vendas[[#This Row],[Lucro da Venda]]/Vendas[[#This Row],[Valor da Venda]]</f>
        <v>0.2857142857142857</v>
      </c>
      <c r="L5317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5317"/>
    </row>
    <row r="5318" spans="1:13" x14ac:dyDescent="0.3">
      <c r="A5318" s="7">
        <v>400246</v>
      </c>
      <c r="B5318" t="str">
        <f>_xlfn.XLOOKUP(Vendas[[#This Row],[ID Vendedor]],Vendedores[ID],Vendedores[Nome])</f>
        <v>Juliana</v>
      </c>
      <c r="C5318" s="7" t="str">
        <f>_xlfn.XLOOKUP(Vendas[[#This Row],[ID Vendedor]],Vendedores[ID],Vendedores[Setor])</f>
        <v>AHD</v>
      </c>
      <c r="D5318" s="7" t="s">
        <v>28</v>
      </c>
      <c r="E5318" t="str">
        <f>_xlfn.XLOOKUP(Vendas[[#This Row],[ID Item Vendido]],Agregado[ID],Agregado[Produto])</f>
        <v>Peça usinada CNC</v>
      </c>
      <c r="F5318" s="39">
        <v>46038</v>
      </c>
      <c r="G5318" s="7">
        <v>13</v>
      </c>
      <c r="H5318" s="3">
        <f>_xlfn.XLOOKUP(Vendas[[#This Row],[ID Item Vendido]],Agregado[ID],Agregado[Revenda])</f>
        <v>192</v>
      </c>
      <c r="I5318" s="3">
        <f>Vendas[[#This Row],[Valor Unitário]]*Vendas[[#This Row],[Qnt Vendida]]</f>
        <v>2496</v>
      </c>
      <c r="J5318" s="3">
        <f>Vendas[[#This Row],[Valor da Venda]]-(_xlfn.XLOOKUP(Vendas[[#This Row],[ID Item Vendido]],Agregado[ID],Agregado[Custo])*Vendas[[#This Row],[Qnt Vendida]])</f>
        <v>546</v>
      </c>
      <c r="K5318" s="70">
        <f>Vendas[[#This Row],[Lucro da Venda]]/Vendas[[#This Row],[Valor da Venda]]</f>
        <v>0.21875</v>
      </c>
      <c r="L5318" s="3">
        <f>_xlfn.IFS(Vendas[[#This Row],[Margem de Lucro (%)]]&lt;15%,Vendas[[#This Row],[Valor da Venda]]*3%,Vendas[[#This Row],[Margem de Lucro (%)]]&lt;=20%,Vendas[[#This Row],[Valor da Venda]]*4.5%,TRUE,Vendas[[#This Row],[Valor da Venda]]*6%)</f>
        <v>149.76</v>
      </c>
      <c r="M5318"/>
    </row>
    <row r="5319" spans="1:13" x14ac:dyDescent="0.3">
      <c r="A5319" s="7">
        <v>400255</v>
      </c>
      <c r="B5319" t="str">
        <f>_xlfn.XLOOKUP(Vendas[[#This Row],[ID Vendedor]],Vendedores[ID],Vendedores[Nome])</f>
        <v>Carlos</v>
      </c>
      <c r="C5319" s="7" t="str">
        <f>_xlfn.XLOOKUP(Vendas[[#This Row],[ID Vendedor]],Vendedores[ID],Vendedores[Setor])</f>
        <v>SC</v>
      </c>
      <c r="D5319" s="7" t="s">
        <v>48</v>
      </c>
      <c r="E5319" t="str">
        <f>_xlfn.XLOOKUP(Vendas[[#This Row],[ID Item Vendido]],Agregado[ID],Agregado[Produto])</f>
        <v>Tambor metálico 200L</v>
      </c>
      <c r="F5319" s="39">
        <v>46038</v>
      </c>
      <c r="G5319" s="7">
        <v>8</v>
      </c>
      <c r="H5319" s="3">
        <f>_xlfn.XLOOKUP(Vendas[[#This Row],[ID Item Vendido]],Agregado[ID],Agregado[Revenda])</f>
        <v>144</v>
      </c>
      <c r="I5319" s="3">
        <f>Vendas[[#This Row],[Valor Unitário]]*Vendas[[#This Row],[Qnt Vendida]]</f>
        <v>1152</v>
      </c>
      <c r="J5319" s="3">
        <f>Vendas[[#This Row],[Valor da Venda]]-(_xlfn.XLOOKUP(Vendas[[#This Row],[ID Item Vendido]],Agregado[ID],Agregado[Custo])*Vendas[[#This Row],[Qnt Vendida]])</f>
        <v>192</v>
      </c>
      <c r="K5319" s="70">
        <f>Vendas[[#This Row],[Lucro da Venda]]/Vendas[[#This Row],[Valor da Venda]]</f>
        <v>0.16666666666666666</v>
      </c>
      <c r="L5319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5319"/>
    </row>
    <row r="5320" spans="1:13" x14ac:dyDescent="0.3">
      <c r="A5320" s="7">
        <v>400249</v>
      </c>
      <c r="B5320" t="str">
        <f>_xlfn.XLOOKUP(Vendas[[#This Row],[ID Vendedor]],Vendedores[ID],Vendedores[Nome])</f>
        <v>Bruno</v>
      </c>
      <c r="C5320" s="7" t="str">
        <f>_xlfn.XLOOKUP(Vendas[[#This Row],[ID Vendedor]],Vendedores[ID],Vendedores[Setor])</f>
        <v>CM</v>
      </c>
      <c r="D5320" s="7" t="s">
        <v>32</v>
      </c>
      <c r="E5320" t="str">
        <f>_xlfn.XLOOKUP(Vendas[[#This Row],[ID Item Vendido]],Agregado[ID],Agregado[Produto])</f>
        <v>Tábua tratada e cortada 3m</v>
      </c>
      <c r="F5320" s="39">
        <v>46038</v>
      </c>
      <c r="G5320" s="7">
        <v>19</v>
      </c>
      <c r="H5320" s="3">
        <f>_xlfn.XLOOKUP(Vendas[[#This Row],[ID Item Vendido]],Agregado[ID],Agregado[Revenda])</f>
        <v>39</v>
      </c>
      <c r="I5320" s="3">
        <f>Vendas[[#This Row],[Valor Unitário]]*Vendas[[#This Row],[Qnt Vendida]]</f>
        <v>741</v>
      </c>
      <c r="J5320" s="3">
        <f>Vendas[[#This Row],[Valor da Venda]]-(_xlfn.XLOOKUP(Vendas[[#This Row],[ID Item Vendido]],Agregado[ID],Agregado[Custo])*Vendas[[#This Row],[Qnt Vendida]])</f>
        <v>133</v>
      </c>
      <c r="K5320" s="70">
        <f>Vendas[[#This Row],[Lucro da Venda]]/Vendas[[#This Row],[Valor da Venda]]</f>
        <v>0.17948717948717949</v>
      </c>
      <c r="L5320" s="3">
        <f>_xlfn.IFS(Vendas[[#This Row],[Margem de Lucro (%)]]&lt;15%,Vendas[[#This Row],[Valor da Venda]]*3%,Vendas[[#This Row],[Margem de Lucro (%)]]&lt;=20%,Vendas[[#This Row],[Valor da Venda]]*4.5%,TRUE,Vendas[[#This Row],[Valor da Venda]]*6%)</f>
        <v>33.344999999999999</v>
      </c>
      <c r="M5320"/>
    </row>
    <row r="5321" spans="1:13" x14ac:dyDescent="0.3">
      <c r="A5321" s="7">
        <v>400243</v>
      </c>
      <c r="B5321" t="str">
        <f>_xlfn.XLOOKUP(Vendas[[#This Row],[ID Vendedor]],Vendedores[ID],Vendedores[Nome])</f>
        <v>Marcelo</v>
      </c>
      <c r="C5321" s="7" t="str">
        <f>_xlfn.XLOOKUP(Vendas[[#This Row],[ID Vendedor]],Vendedores[ID],Vendedores[Setor])</f>
        <v>FM</v>
      </c>
      <c r="D5321" s="7" t="s">
        <v>47</v>
      </c>
      <c r="E5321" t="str">
        <f>_xlfn.XLOOKUP(Vendas[[#This Row],[ID Item Vendido]],Agregado[ID],Agregado[Produto])</f>
        <v>Fio de arame galvanizado rolo 50m</v>
      </c>
      <c r="F5321" s="39">
        <v>46038</v>
      </c>
      <c r="G5321" s="7">
        <v>22</v>
      </c>
      <c r="H5321" s="3">
        <f>_xlfn.XLOOKUP(Vendas[[#This Row],[ID Item Vendido]],Agregado[ID],Agregado[Revenda])</f>
        <v>21.2</v>
      </c>
      <c r="I5321" s="3">
        <f>Vendas[[#This Row],[Valor Unitário]]*Vendas[[#This Row],[Qnt Vendida]]</f>
        <v>466.4</v>
      </c>
      <c r="J5321" s="3">
        <f>Vendas[[#This Row],[Valor da Venda]]-(_xlfn.XLOOKUP(Vendas[[#This Row],[ID Item Vendido]],Agregado[ID],Agregado[Custo])*Vendas[[#This Row],[Qnt Vendida]])</f>
        <v>70.399999999999977</v>
      </c>
      <c r="K5321" s="70">
        <f>Vendas[[#This Row],[Lucro da Venda]]/Vendas[[#This Row],[Valor da Venda]]</f>
        <v>0.15094339622641506</v>
      </c>
      <c r="L5321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5321"/>
    </row>
    <row r="5322" spans="1:13" x14ac:dyDescent="0.3">
      <c r="A5322" s="7">
        <v>400252</v>
      </c>
      <c r="B5322" t="str">
        <f>_xlfn.XLOOKUP(Vendas[[#This Row],[ID Vendedor]],Vendedores[ID],Vendedores[Nome])</f>
        <v>Renata</v>
      </c>
      <c r="C5322" s="7" t="str">
        <f>_xlfn.XLOOKUP(Vendas[[#This Row],[ID Vendedor]],Vendedores[ID],Vendedores[Setor])</f>
        <v>AB</v>
      </c>
      <c r="D5322" s="7" t="s">
        <v>37</v>
      </c>
      <c r="E5322" t="str">
        <f>_xlfn.XLOOKUP(Vendas[[#This Row],[ID Item Vendido]],Agregado[ID],Agregado[Produto])</f>
        <v>Composto de borracha para vedação rolo 10m</v>
      </c>
      <c r="F5322" s="39">
        <v>46038</v>
      </c>
      <c r="G5322" s="7">
        <v>8</v>
      </c>
      <c r="H5322" s="3">
        <f>_xlfn.XLOOKUP(Vendas[[#This Row],[ID Item Vendido]],Agregado[ID],Agregado[Revenda])</f>
        <v>51.2</v>
      </c>
      <c r="I5322" s="3">
        <f>Vendas[[#This Row],[Valor Unitário]]*Vendas[[#This Row],[Qnt Vendida]]</f>
        <v>409.6</v>
      </c>
      <c r="J5322" s="3">
        <f>Vendas[[#This Row],[Valor da Venda]]-(_xlfn.XLOOKUP(Vendas[[#This Row],[ID Item Vendido]],Agregado[ID],Agregado[Custo])*Vendas[[#This Row],[Qnt Vendida]])</f>
        <v>89.600000000000023</v>
      </c>
      <c r="K5322" s="70">
        <f>Vendas[[#This Row],[Lucro da Venda]]/Vendas[[#This Row],[Valor da Venda]]</f>
        <v>0.21875000000000006</v>
      </c>
      <c r="L5322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5322"/>
    </row>
    <row r="5323" spans="1:13" x14ac:dyDescent="0.3">
      <c r="A5323" s="7">
        <v>400253</v>
      </c>
      <c r="B5323" t="str">
        <f>_xlfn.XLOOKUP(Vendas[[#This Row],[ID Vendedor]],Vendedores[ID],Vendedores[Nome])</f>
        <v>Gustavo</v>
      </c>
      <c r="C5323" s="7" t="str">
        <f>_xlfn.XLOOKUP(Vendas[[#This Row],[ID Vendedor]],Vendedores[ID],Vendedores[Setor])</f>
        <v>SC</v>
      </c>
      <c r="D5323" s="7" t="s">
        <v>42</v>
      </c>
      <c r="E5323" t="str">
        <f>_xlfn.XLOOKUP(Vendas[[#This Row],[ID Item Vendido]],Agregado[ID],Agregado[Produto])</f>
        <v>Container de ferro industrial</v>
      </c>
      <c r="F5323" s="39">
        <v>46039</v>
      </c>
      <c r="G5323" s="7">
        <v>4</v>
      </c>
      <c r="H5323" s="3">
        <f>_xlfn.XLOOKUP(Vendas[[#This Row],[ID Item Vendido]],Agregado[ID],Agregado[Revenda])</f>
        <v>830</v>
      </c>
      <c r="I5323" s="3">
        <f>Vendas[[#This Row],[Valor Unitário]]*Vendas[[#This Row],[Qnt Vendida]]</f>
        <v>3320</v>
      </c>
      <c r="J5323" s="3">
        <f>Vendas[[#This Row],[Valor da Venda]]-(_xlfn.XLOOKUP(Vendas[[#This Row],[ID Item Vendido]],Agregado[ID],Agregado[Custo])*Vendas[[#This Row],[Qnt Vendida]])</f>
        <v>600</v>
      </c>
      <c r="K5323" s="70">
        <f>Vendas[[#This Row],[Lucro da Venda]]/Vendas[[#This Row],[Valor da Venda]]</f>
        <v>0.18072289156626506</v>
      </c>
      <c r="L5323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323"/>
    </row>
    <row r="5324" spans="1:13" x14ac:dyDescent="0.3">
      <c r="A5324" s="7">
        <v>400251</v>
      </c>
      <c r="B5324" t="str">
        <f>_xlfn.XLOOKUP(Vendas[[#This Row],[ID Vendedor]],Vendedores[ID],Vendedores[Nome])</f>
        <v>Diego</v>
      </c>
      <c r="C5324" s="7" t="str">
        <f>_xlfn.XLOOKUP(Vendas[[#This Row],[ID Vendedor]],Vendedores[ID],Vendedores[Setor])</f>
        <v>AB</v>
      </c>
      <c r="D5324" s="7" t="s">
        <v>37</v>
      </c>
      <c r="E5324" t="str">
        <f>_xlfn.XLOOKUP(Vendas[[#This Row],[ID Item Vendido]],Agregado[ID],Agregado[Produto])</f>
        <v>Composto de borracha para vedação rolo 10m</v>
      </c>
      <c r="F5324" s="39">
        <v>46039</v>
      </c>
      <c r="G5324" s="7">
        <v>17</v>
      </c>
      <c r="H5324" s="3">
        <f>_xlfn.XLOOKUP(Vendas[[#This Row],[ID Item Vendido]],Agregado[ID],Agregado[Revenda])</f>
        <v>51.2</v>
      </c>
      <c r="I5324" s="3">
        <f>Vendas[[#This Row],[Valor Unitário]]*Vendas[[#This Row],[Qnt Vendida]]</f>
        <v>870.40000000000009</v>
      </c>
      <c r="J5324" s="3">
        <f>Vendas[[#This Row],[Valor da Venda]]-(_xlfn.XLOOKUP(Vendas[[#This Row],[ID Item Vendido]],Agregado[ID],Agregado[Custo])*Vendas[[#This Row],[Qnt Vendida]])</f>
        <v>190.40000000000009</v>
      </c>
      <c r="K5324" s="70">
        <f>Vendas[[#This Row],[Lucro da Venda]]/Vendas[[#This Row],[Valor da Venda]]</f>
        <v>0.21875000000000008</v>
      </c>
      <c r="L5324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5324"/>
    </row>
    <row r="5325" spans="1:13" x14ac:dyDescent="0.3">
      <c r="A5325" s="7">
        <v>400241</v>
      </c>
      <c r="B5325" t="str">
        <f>_xlfn.XLOOKUP(Vendas[[#This Row],[ID Vendedor]],Vendedores[ID],Vendedores[Nome])</f>
        <v>Rodrigo</v>
      </c>
      <c r="C5325" s="7" t="str">
        <f>_xlfn.XLOOKUP(Vendas[[#This Row],[ID Vendedor]],Vendedores[ID],Vendedores[Setor])</f>
        <v>FM</v>
      </c>
      <c r="D5325" s="7" t="s">
        <v>47</v>
      </c>
      <c r="E5325" t="str">
        <f>_xlfn.XLOOKUP(Vendas[[#This Row],[ID Item Vendido]],Agregado[ID],Agregado[Produto])</f>
        <v>Fio de arame galvanizado rolo 50m</v>
      </c>
      <c r="F5325" s="39">
        <v>46039</v>
      </c>
      <c r="G5325" s="7">
        <v>34</v>
      </c>
      <c r="H5325" s="3">
        <f>_xlfn.XLOOKUP(Vendas[[#This Row],[ID Item Vendido]],Agregado[ID],Agregado[Revenda])</f>
        <v>21.2</v>
      </c>
      <c r="I5325" s="3">
        <f>Vendas[[#This Row],[Valor Unitário]]*Vendas[[#This Row],[Qnt Vendida]]</f>
        <v>720.8</v>
      </c>
      <c r="J5325" s="3">
        <f>Vendas[[#This Row],[Valor da Venda]]-(_xlfn.XLOOKUP(Vendas[[#This Row],[ID Item Vendido]],Agregado[ID],Agregado[Custo])*Vendas[[#This Row],[Qnt Vendida]])</f>
        <v>108.79999999999995</v>
      </c>
      <c r="K5325" s="70">
        <f>Vendas[[#This Row],[Lucro da Venda]]/Vendas[[#This Row],[Valor da Venda]]</f>
        <v>0.15094339622641503</v>
      </c>
      <c r="L5325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5325"/>
    </row>
    <row r="5326" spans="1:13" x14ac:dyDescent="0.3">
      <c r="A5326" s="7">
        <v>400241</v>
      </c>
      <c r="B5326" t="str">
        <f>_xlfn.XLOOKUP(Vendas[[#This Row],[ID Vendedor]],Vendedores[ID],Vendedores[Nome])</f>
        <v>Rodrigo</v>
      </c>
      <c r="C5326" s="7" t="str">
        <f>_xlfn.XLOOKUP(Vendas[[#This Row],[ID Vendedor]],Vendedores[ID],Vendedores[Setor])</f>
        <v>FM</v>
      </c>
      <c r="D5326" s="7" t="s">
        <v>20</v>
      </c>
      <c r="E5326" t="str">
        <f>_xlfn.XLOOKUP(Vendas[[#This Row],[ID Item Vendido]],Agregado[ID],Agregado[Produto])</f>
        <v>Barra de aço simples</v>
      </c>
      <c r="F5326" s="39">
        <v>46039</v>
      </c>
      <c r="G5326" s="7">
        <v>122</v>
      </c>
      <c r="H5326" s="3">
        <f>_xlfn.XLOOKUP(Vendas[[#This Row],[ID Item Vendido]],Agregado[ID],Agregado[Revenda])</f>
        <v>4.8</v>
      </c>
      <c r="I5326" s="3">
        <f>Vendas[[#This Row],[Valor Unitário]]*Vendas[[#This Row],[Qnt Vendida]]</f>
        <v>585.6</v>
      </c>
      <c r="J5326" s="3">
        <f>Vendas[[#This Row],[Valor da Venda]]-(_xlfn.XLOOKUP(Vendas[[#This Row],[ID Item Vendido]],Agregado[ID],Agregado[Custo])*Vendas[[#This Row],[Qnt Vendida]])</f>
        <v>73.200000000000045</v>
      </c>
      <c r="K5326" s="70">
        <f>Vendas[[#This Row],[Lucro da Venda]]/Vendas[[#This Row],[Valor da Venda]]</f>
        <v>0.12500000000000008</v>
      </c>
      <c r="L5326" s="3">
        <f>_xlfn.IFS(Vendas[[#This Row],[Margem de Lucro (%)]]&lt;15%,Vendas[[#This Row],[Valor da Venda]]*3%,Vendas[[#This Row],[Margem de Lucro (%)]]&lt;=20%,Vendas[[#This Row],[Valor da Venda]]*4.5%,TRUE,Vendas[[#This Row],[Valor da Venda]]*6%)</f>
        <v>17.568000000000001</v>
      </c>
      <c r="M5326"/>
    </row>
    <row r="5327" spans="1:13" x14ac:dyDescent="0.3">
      <c r="A5327" s="7">
        <v>400253</v>
      </c>
      <c r="B5327" t="str">
        <f>_xlfn.XLOOKUP(Vendas[[#This Row],[ID Vendedor]],Vendedores[ID],Vendedores[Nome])</f>
        <v>Gustavo</v>
      </c>
      <c r="C5327" s="7" t="str">
        <f>_xlfn.XLOOKUP(Vendas[[#This Row],[ID Vendedor]],Vendedores[ID],Vendedores[Setor])</f>
        <v>SC</v>
      </c>
      <c r="D5327" s="7" t="s">
        <v>48</v>
      </c>
      <c r="E5327" t="str">
        <f>_xlfn.XLOOKUP(Vendas[[#This Row],[ID Item Vendido]],Agregado[ID],Agregado[Produto])</f>
        <v>Tambor metálico 200L</v>
      </c>
      <c r="F5327" s="39">
        <v>46040</v>
      </c>
      <c r="G5327" s="7">
        <v>16</v>
      </c>
      <c r="H5327" s="3">
        <f>_xlfn.XLOOKUP(Vendas[[#This Row],[ID Item Vendido]],Agregado[ID],Agregado[Revenda])</f>
        <v>144</v>
      </c>
      <c r="I5327" s="3">
        <f>Vendas[[#This Row],[Valor Unitário]]*Vendas[[#This Row],[Qnt Vendida]]</f>
        <v>2304</v>
      </c>
      <c r="J5327" s="3">
        <f>Vendas[[#This Row],[Valor da Venda]]-(_xlfn.XLOOKUP(Vendas[[#This Row],[ID Item Vendido]],Agregado[ID],Agregado[Custo])*Vendas[[#This Row],[Qnt Vendida]])</f>
        <v>384</v>
      </c>
      <c r="K5327" s="70">
        <f>Vendas[[#This Row],[Lucro da Venda]]/Vendas[[#This Row],[Valor da Venda]]</f>
        <v>0.16666666666666666</v>
      </c>
      <c r="L5327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5327"/>
    </row>
    <row r="5328" spans="1:13" x14ac:dyDescent="0.3">
      <c r="A5328" s="7">
        <v>400249</v>
      </c>
      <c r="B5328" t="str">
        <f>_xlfn.XLOOKUP(Vendas[[#This Row],[ID Vendedor]],Vendedores[ID],Vendedores[Nome])</f>
        <v>Bruno</v>
      </c>
      <c r="C5328" s="7" t="str">
        <f>_xlfn.XLOOKUP(Vendas[[#This Row],[ID Vendedor]],Vendedores[ID],Vendedores[Setor])</f>
        <v>CM</v>
      </c>
      <c r="D5328" s="7" t="s">
        <v>43</v>
      </c>
      <c r="E5328" t="str">
        <f>_xlfn.XLOOKUP(Vendas[[#This Row],[ID Item Vendido]],Agregado[ID],Agregado[Produto])</f>
        <v>Madeira Bruta (Tora)</v>
      </c>
      <c r="F5328" s="39">
        <v>46041</v>
      </c>
      <c r="G5328" s="7">
        <v>13</v>
      </c>
      <c r="H5328" s="3">
        <f>_xlfn.XLOOKUP(Vendas[[#This Row],[ID Item Vendido]],Agregado[ID],Agregado[Revenda])</f>
        <v>212</v>
      </c>
      <c r="I5328" s="3">
        <f>Vendas[[#This Row],[Valor Unitário]]*Vendas[[#This Row],[Qnt Vendida]]</f>
        <v>2756</v>
      </c>
      <c r="J5328" s="3">
        <f>Vendas[[#This Row],[Valor da Venda]]-(_xlfn.XLOOKUP(Vendas[[#This Row],[ID Item Vendido]],Agregado[ID],Agregado[Custo])*Vendas[[#This Row],[Qnt Vendida]])</f>
        <v>416</v>
      </c>
      <c r="K5328" s="70">
        <f>Vendas[[#This Row],[Lucro da Venda]]/Vendas[[#This Row],[Valor da Venda]]</f>
        <v>0.15094339622641509</v>
      </c>
      <c r="L5328" s="3">
        <f>_xlfn.IFS(Vendas[[#This Row],[Margem de Lucro (%)]]&lt;15%,Vendas[[#This Row],[Valor da Venda]]*3%,Vendas[[#This Row],[Margem de Lucro (%)]]&lt;=20%,Vendas[[#This Row],[Valor da Venda]]*4.5%,TRUE,Vendas[[#This Row],[Valor da Venda]]*6%)</f>
        <v>124.02</v>
      </c>
      <c r="M5328"/>
    </row>
    <row r="5329" spans="1:13" x14ac:dyDescent="0.3">
      <c r="A5329" s="7">
        <v>400254</v>
      </c>
      <c r="B5329" t="str">
        <f>_xlfn.XLOOKUP(Vendas[[#This Row],[ID Vendedor]],Vendedores[ID],Vendedores[Nome])</f>
        <v>Beatriz</v>
      </c>
      <c r="C5329" s="7" t="str">
        <f>_xlfn.XLOOKUP(Vendas[[#This Row],[ID Vendedor]],Vendedores[ID],Vendedores[Setor])</f>
        <v>SC</v>
      </c>
      <c r="D5329" s="7" t="s">
        <v>14</v>
      </c>
      <c r="E5329" t="str">
        <f>_xlfn.XLOOKUP(Vendas[[#This Row],[ID Item Vendido]],Agregado[ID],Agregado[Produto])</f>
        <v>Barril de plástico 200L</v>
      </c>
      <c r="F5329" s="39">
        <v>46042</v>
      </c>
      <c r="G5329" s="7">
        <v>19</v>
      </c>
      <c r="H5329" s="3">
        <f>_xlfn.XLOOKUP(Vendas[[#This Row],[ID Item Vendido]],Agregado[ID],Agregado[Revenda])</f>
        <v>114</v>
      </c>
      <c r="I5329" s="3">
        <f>Vendas[[#This Row],[Valor Unitário]]*Vendas[[#This Row],[Qnt Vendida]]</f>
        <v>2166</v>
      </c>
      <c r="J5329" s="3">
        <f>Vendas[[#This Row],[Valor da Venda]]-(_xlfn.XLOOKUP(Vendas[[#This Row],[ID Item Vendido]],Agregado[ID],Agregado[Custo])*Vendas[[#This Row],[Qnt Vendida]])</f>
        <v>361</v>
      </c>
      <c r="K5329" s="70">
        <f>Vendas[[#This Row],[Lucro da Venda]]/Vendas[[#This Row],[Valor da Venda]]</f>
        <v>0.16666666666666666</v>
      </c>
      <c r="L5329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5329"/>
    </row>
    <row r="5330" spans="1:13" x14ac:dyDescent="0.3">
      <c r="A5330" s="7">
        <v>400246</v>
      </c>
      <c r="B5330" t="str">
        <f>_xlfn.XLOOKUP(Vendas[[#This Row],[ID Vendedor]],Vendedores[ID],Vendedores[Nome])</f>
        <v>Juliana</v>
      </c>
      <c r="C5330" s="7" t="str">
        <f>_xlfn.XLOOKUP(Vendas[[#This Row],[ID Vendedor]],Vendedores[ID],Vendedores[Setor])</f>
        <v>AHD</v>
      </c>
      <c r="D5330" s="7" t="s">
        <v>18</v>
      </c>
      <c r="E5330" t="str">
        <f>_xlfn.XLOOKUP(Vendas[[#This Row],[ID Item Vendido]],Agregado[ID],Agregado[Produto])</f>
        <v>Peça forjada sob encomenda</v>
      </c>
      <c r="F5330" s="39">
        <v>46042</v>
      </c>
      <c r="G5330" s="7">
        <v>3</v>
      </c>
      <c r="H5330" s="3">
        <f>_xlfn.XLOOKUP(Vendas[[#This Row],[ID Item Vendido]],Agregado[ID],Agregado[Revenda])</f>
        <v>264.60000000000002</v>
      </c>
      <c r="I5330" s="3">
        <f>Vendas[[#This Row],[Valor Unitário]]*Vendas[[#This Row],[Qnt Vendida]]</f>
        <v>793.80000000000007</v>
      </c>
      <c r="J5330" s="3">
        <f>Vendas[[#This Row],[Valor da Venda]]-(_xlfn.XLOOKUP(Vendas[[#This Row],[ID Item Vendido]],Agregado[ID],Agregado[Custo])*Vendas[[#This Row],[Qnt Vendida]])</f>
        <v>43.800000000000068</v>
      </c>
      <c r="K5330" s="70">
        <f>Vendas[[#This Row],[Lucro da Venda]]/Vendas[[#This Row],[Valor da Venda]]</f>
        <v>5.5177626606198113E-2</v>
      </c>
      <c r="L533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330"/>
    </row>
    <row r="5331" spans="1:13" x14ac:dyDescent="0.3">
      <c r="A5331" s="7">
        <v>400241</v>
      </c>
      <c r="B5331" t="str">
        <f>_xlfn.XLOOKUP(Vendas[[#This Row],[ID Vendedor]],Vendedores[ID],Vendedores[Nome])</f>
        <v>Rodrigo</v>
      </c>
      <c r="C5331" s="7" t="str">
        <f>_xlfn.XLOOKUP(Vendas[[#This Row],[ID Vendedor]],Vendedores[ID],Vendedores[Setor])</f>
        <v>FM</v>
      </c>
      <c r="D5331" s="7" t="s">
        <v>47</v>
      </c>
      <c r="E5331" t="str">
        <f>_xlfn.XLOOKUP(Vendas[[#This Row],[ID Item Vendido]],Agregado[ID],Agregado[Produto])</f>
        <v>Fio de arame galvanizado rolo 50m</v>
      </c>
      <c r="F5331" s="39">
        <v>46042</v>
      </c>
      <c r="G5331" s="7">
        <v>23</v>
      </c>
      <c r="H5331" s="3">
        <f>_xlfn.XLOOKUP(Vendas[[#This Row],[ID Item Vendido]],Agregado[ID],Agregado[Revenda])</f>
        <v>21.2</v>
      </c>
      <c r="I5331" s="3">
        <f>Vendas[[#This Row],[Valor Unitário]]*Vendas[[#This Row],[Qnt Vendida]]</f>
        <v>487.59999999999997</v>
      </c>
      <c r="J5331" s="3">
        <f>Vendas[[#This Row],[Valor da Venda]]-(_xlfn.XLOOKUP(Vendas[[#This Row],[ID Item Vendido]],Agregado[ID],Agregado[Custo])*Vendas[[#This Row],[Qnt Vendida]])</f>
        <v>73.599999999999966</v>
      </c>
      <c r="K5331" s="70">
        <f>Vendas[[#This Row],[Lucro da Venda]]/Vendas[[#This Row],[Valor da Venda]]</f>
        <v>0.15094339622641503</v>
      </c>
      <c r="L5331" s="3">
        <f>_xlfn.IFS(Vendas[[#This Row],[Margem de Lucro (%)]]&lt;15%,Vendas[[#This Row],[Valor da Venda]]*3%,Vendas[[#This Row],[Margem de Lucro (%)]]&lt;=20%,Vendas[[#This Row],[Valor da Venda]]*4.5%,TRUE,Vendas[[#This Row],[Valor da Venda]]*6%)</f>
        <v>21.941999999999997</v>
      </c>
      <c r="M5331"/>
    </row>
    <row r="5332" spans="1:13" x14ac:dyDescent="0.3">
      <c r="A5332" s="7">
        <v>400253</v>
      </c>
      <c r="B5332" t="str">
        <f>_xlfn.XLOOKUP(Vendas[[#This Row],[ID Vendedor]],Vendedores[ID],Vendedores[Nome])</f>
        <v>Gustavo</v>
      </c>
      <c r="C5332" s="7" t="str">
        <f>_xlfn.XLOOKUP(Vendas[[#This Row],[ID Vendedor]],Vendedores[ID],Vendedores[Setor])</f>
        <v>SC</v>
      </c>
      <c r="D5332" s="7" t="s">
        <v>14</v>
      </c>
      <c r="E5332" t="str">
        <f>_xlfn.XLOOKUP(Vendas[[#This Row],[ID Item Vendido]],Agregado[ID],Agregado[Produto])</f>
        <v>Barril de plástico 200L</v>
      </c>
      <c r="F5332" s="39">
        <v>46043</v>
      </c>
      <c r="G5332" s="7">
        <v>6</v>
      </c>
      <c r="H5332" s="3">
        <f>_xlfn.XLOOKUP(Vendas[[#This Row],[ID Item Vendido]],Agregado[ID],Agregado[Revenda])</f>
        <v>114</v>
      </c>
      <c r="I5332" s="3">
        <f>Vendas[[#This Row],[Valor Unitário]]*Vendas[[#This Row],[Qnt Vendida]]</f>
        <v>684</v>
      </c>
      <c r="J5332" s="3">
        <f>Vendas[[#This Row],[Valor da Venda]]-(_xlfn.XLOOKUP(Vendas[[#This Row],[ID Item Vendido]],Agregado[ID],Agregado[Custo])*Vendas[[#This Row],[Qnt Vendida]])</f>
        <v>114</v>
      </c>
      <c r="K5332" s="70">
        <f>Vendas[[#This Row],[Lucro da Venda]]/Vendas[[#This Row],[Valor da Venda]]</f>
        <v>0.16666666666666666</v>
      </c>
      <c r="L5332" s="3">
        <f>_xlfn.IFS(Vendas[[#This Row],[Margem de Lucro (%)]]&lt;15%,Vendas[[#This Row],[Valor da Venda]]*3%,Vendas[[#This Row],[Margem de Lucro (%)]]&lt;=20%,Vendas[[#This Row],[Valor da Venda]]*4.5%,TRUE,Vendas[[#This Row],[Valor da Venda]]*6%)</f>
        <v>30.779999999999998</v>
      </c>
      <c r="M5332"/>
    </row>
    <row r="5333" spans="1:13" x14ac:dyDescent="0.3">
      <c r="A5333" s="7">
        <v>400243</v>
      </c>
      <c r="B5333" t="str">
        <f>_xlfn.XLOOKUP(Vendas[[#This Row],[ID Vendedor]],Vendedores[ID],Vendedores[Nome])</f>
        <v>Marcelo</v>
      </c>
      <c r="C5333" s="7" t="str">
        <f>_xlfn.XLOOKUP(Vendas[[#This Row],[ID Vendedor]],Vendedores[ID],Vendedores[Setor])</f>
        <v>FM</v>
      </c>
      <c r="D5333" s="7" t="s">
        <v>6</v>
      </c>
      <c r="E5333" t="str">
        <f>_xlfn.XLOOKUP(Vendas[[#This Row],[ID Item Vendido]],Agregado[ID],Agregado[Produto])</f>
        <v>Parafuso comum 500un</v>
      </c>
      <c r="F5333" s="39">
        <v>46043</v>
      </c>
      <c r="G5333" s="7">
        <v>19</v>
      </c>
      <c r="H5333" s="3">
        <f>_xlfn.XLOOKUP(Vendas[[#This Row],[ID Item Vendido]],Agregado[ID],Agregado[Revenda])</f>
        <v>24.6</v>
      </c>
      <c r="I5333" s="3">
        <f>Vendas[[#This Row],[Valor Unitário]]*Vendas[[#This Row],[Qnt Vendida]]</f>
        <v>467.40000000000003</v>
      </c>
      <c r="J5333" s="3">
        <f>Vendas[[#This Row],[Valor da Venda]]-(_xlfn.XLOOKUP(Vendas[[#This Row],[ID Item Vendido]],Agregado[ID],Agregado[Custo])*Vendas[[#This Row],[Qnt Vendida]])</f>
        <v>49.400000000000034</v>
      </c>
      <c r="K5333" s="70">
        <f>Vendas[[#This Row],[Lucro da Venda]]/Vendas[[#This Row],[Valor da Venda]]</f>
        <v>0.10569105691056917</v>
      </c>
      <c r="L5333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5333"/>
    </row>
    <row r="5334" spans="1:13" x14ac:dyDescent="0.3">
      <c r="A5334" s="7">
        <v>400249</v>
      </c>
      <c r="B5334" t="str">
        <f>_xlfn.XLOOKUP(Vendas[[#This Row],[ID Vendedor]],Vendedores[ID],Vendedores[Nome])</f>
        <v>Bruno</v>
      </c>
      <c r="C5334" s="7" t="str">
        <f>_xlfn.XLOOKUP(Vendas[[#This Row],[ID Vendedor]],Vendedores[ID],Vendedores[Setor])</f>
        <v>CM</v>
      </c>
      <c r="D5334" s="7" t="s">
        <v>34</v>
      </c>
      <c r="E5334" t="str">
        <f>_xlfn.XLOOKUP(Vendas[[#This Row],[ID Item Vendido]],Agregado[ID],Agregado[Produto])</f>
        <v>Restos de madeira p/ MDP/OSB saco de 20kg</v>
      </c>
      <c r="F5334" s="39">
        <v>46044</v>
      </c>
      <c r="G5334" s="7">
        <v>14</v>
      </c>
      <c r="H5334" s="3">
        <f>_xlfn.XLOOKUP(Vendas[[#This Row],[ID Item Vendido]],Agregado[ID],Agregado[Revenda])</f>
        <v>13.8</v>
      </c>
      <c r="I5334" s="3">
        <f>Vendas[[#This Row],[Valor Unitário]]*Vendas[[#This Row],[Qnt Vendida]]</f>
        <v>193.20000000000002</v>
      </c>
      <c r="J5334" s="3">
        <f>Vendas[[#This Row],[Valor da Venda]]-(_xlfn.XLOOKUP(Vendas[[#This Row],[ID Item Vendido]],Agregado[ID],Agregado[Custo])*Vendas[[#This Row],[Qnt Vendida]])</f>
        <v>25.200000000000017</v>
      </c>
      <c r="K5334" s="70">
        <f>Vendas[[#This Row],[Lucro da Venda]]/Vendas[[#This Row],[Valor da Venda]]</f>
        <v>0.13043478260869573</v>
      </c>
      <c r="L5334" s="3">
        <f>_xlfn.IFS(Vendas[[#This Row],[Margem de Lucro (%)]]&lt;15%,Vendas[[#This Row],[Valor da Venda]]*3%,Vendas[[#This Row],[Margem de Lucro (%)]]&lt;=20%,Vendas[[#This Row],[Valor da Venda]]*4.5%,TRUE,Vendas[[#This Row],[Valor da Venda]]*6%)</f>
        <v>5.7960000000000003</v>
      </c>
      <c r="M5334"/>
    </row>
    <row r="5335" spans="1:13" x14ac:dyDescent="0.3">
      <c r="A5335" s="7">
        <v>400251</v>
      </c>
      <c r="B5335" t="str">
        <f>_xlfn.XLOOKUP(Vendas[[#This Row],[ID Vendedor]],Vendedores[ID],Vendedores[Nome])</f>
        <v>Diego</v>
      </c>
      <c r="C5335" s="7" t="str">
        <f>_xlfn.XLOOKUP(Vendas[[#This Row],[ID Vendedor]],Vendedores[ID],Vendedores[Setor])</f>
        <v>AB</v>
      </c>
      <c r="D5335" s="7" t="s">
        <v>24</v>
      </c>
      <c r="E5335" t="str">
        <f>_xlfn.XLOOKUP(Vendas[[#This Row],[ID Item Vendido]],Agregado[ID],Agregado[Produto])</f>
        <v>Resina plástica PET purificada saco de 25kg</v>
      </c>
      <c r="F5335" s="39">
        <v>46045</v>
      </c>
      <c r="G5335" s="7">
        <v>25</v>
      </c>
      <c r="H5335" s="3">
        <f>_xlfn.XLOOKUP(Vendas[[#This Row],[ID Item Vendido]],Agregado[ID],Agregado[Revenda])</f>
        <v>119</v>
      </c>
      <c r="I5335" s="3">
        <f>Vendas[[#This Row],[Valor Unitário]]*Vendas[[#This Row],[Qnt Vendida]]</f>
        <v>2975</v>
      </c>
      <c r="J5335" s="3">
        <f>Vendas[[#This Row],[Valor da Venda]]-(_xlfn.XLOOKUP(Vendas[[#This Row],[ID Item Vendido]],Agregado[ID],Agregado[Custo])*Vendas[[#This Row],[Qnt Vendida]])</f>
        <v>850</v>
      </c>
      <c r="K5335" s="70">
        <f>Vendas[[#This Row],[Lucro da Venda]]/Vendas[[#This Row],[Valor da Venda]]</f>
        <v>0.2857142857142857</v>
      </c>
      <c r="L5335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335"/>
    </row>
    <row r="5336" spans="1:13" x14ac:dyDescent="0.3">
      <c r="A5336" s="7">
        <v>400251</v>
      </c>
      <c r="B5336" t="str">
        <f>_xlfn.XLOOKUP(Vendas[[#This Row],[ID Vendedor]],Vendedores[ID],Vendedores[Nome])</f>
        <v>Diego</v>
      </c>
      <c r="C5336" s="7" t="str">
        <f>_xlfn.XLOOKUP(Vendas[[#This Row],[ID Vendedor]],Vendedores[ID],Vendedores[Setor])</f>
        <v>AB</v>
      </c>
      <c r="D5336" s="7" t="s">
        <v>37</v>
      </c>
      <c r="E5336" t="str">
        <f>_xlfn.XLOOKUP(Vendas[[#This Row],[ID Item Vendido]],Agregado[ID],Agregado[Produto])</f>
        <v>Composto de borracha para vedação rolo 10m</v>
      </c>
      <c r="F5336" s="39">
        <v>46045</v>
      </c>
      <c r="G5336" s="7">
        <v>7</v>
      </c>
      <c r="H5336" s="3">
        <f>_xlfn.XLOOKUP(Vendas[[#This Row],[ID Item Vendido]],Agregado[ID],Agregado[Revenda])</f>
        <v>51.2</v>
      </c>
      <c r="I5336" s="3">
        <f>Vendas[[#This Row],[Valor Unitário]]*Vendas[[#This Row],[Qnt Vendida]]</f>
        <v>358.40000000000003</v>
      </c>
      <c r="J5336" s="3">
        <f>Vendas[[#This Row],[Valor da Venda]]-(_xlfn.XLOOKUP(Vendas[[#This Row],[ID Item Vendido]],Agregado[ID],Agregado[Custo])*Vendas[[#This Row],[Qnt Vendida]])</f>
        <v>78.400000000000034</v>
      </c>
      <c r="K5336" s="70">
        <f>Vendas[[#This Row],[Lucro da Venda]]/Vendas[[#This Row],[Valor da Venda]]</f>
        <v>0.21875000000000008</v>
      </c>
      <c r="L5336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5336"/>
    </row>
    <row r="5337" spans="1:13" x14ac:dyDescent="0.3">
      <c r="A5337" s="7">
        <v>400254</v>
      </c>
      <c r="B5337" t="str">
        <f>_xlfn.XLOOKUP(Vendas[[#This Row],[ID Vendedor]],Vendedores[ID],Vendedores[Nome])</f>
        <v>Beatriz</v>
      </c>
      <c r="C5337" s="7" t="str">
        <f>_xlfn.XLOOKUP(Vendas[[#This Row],[ID Vendedor]],Vendedores[ID],Vendedores[Setor])</f>
        <v>SC</v>
      </c>
      <c r="D5337" s="7" t="s">
        <v>14</v>
      </c>
      <c r="E5337" t="str">
        <f>_xlfn.XLOOKUP(Vendas[[#This Row],[ID Item Vendido]],Agregado[ID],Agregado[Produto])</f>
        <v>Barril de plástico 200L</v>
      </c>
      <c r="F5337" s="39">
        <v>46046</v>
      </c>
      <c r="G5337" s="7">
        <v>14</v>
      </c>
      <c r="H5337" s="3">
        <f>_xlfn.XLOOKUP(Vendas[[#This Row],[ID Item Vendido]],Agregado[ID],Agregado[Revenda])</f>
        <v>114</v>
      </c>
      <c r="I5337" s="3">
        <f>Vendas[[#This Row],[Valor Unitário]]*Vendas[[#This Row],[Qnt Vendida]]</f>
        <v>1596</v>
      </c>
      <c r="J5337" s="3">
        <f>Vendas[[#This Row],[Valor da Venda]]-(_xlfn.XLOOKUP(Vendas[[#This Row],[ID Item Vendido]],Agregado[ID],Agregado[Custo])*Vendas[[#This Row],[Qnt Vendida]])</f>
        <v>266</v>
      </c>
      <c r="K5337" s="70">
        <f>Vendas[[#This Row],[Lucro da Venda]]/Vendas[[#This Row],[Valor da Venda]]</f>
        <v>0.16666666666666666</v>
      </c>
      <c r="L5337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5337"/>
    </row>
    <row r="5338" spans="1:13" x14ac:dyDescent="0.3">
      <c r="A5338" s="7">
        <v>400242</v>
      </c>
      <c r="B5338" t="str">
        <f>_xlfn.XLOOKUP(Vendas[[#This Row],[ID Vendedor]],Vendedores[ID],Vendedores[Nome])</f>
        <v>Fernanda</v>
      </c>
      <c r="C5338" s="7" t="str">
        <f>_xlfn.XLOOKUP(Vendas[[#This Row],[ID Vendedor]],Vendedores[ID],Vendedores[Setor])</f>
        <v>FM</v>
      </c>
      <c r="D5338" s="7" t="s">
        <v>20</v>
      </c>
      <c r="E5338" t="str">
        <f>_xlfn.XLOOKUP(Vendas[[#This Row],[ID Item Vendido]],Agregado[ID],Agregado[Produto])</f>
        <v>Barra de aço simples</v>
      </c>
      <c r="F5338" s="39">
        <v>46046</v>
      </c>
      <c r="G5338" s="7">
        <v>74</v>
      </c>
      <c r="H5338" s="3">
        <f>_xlfn.XLOOKUP(Vendas[[#This Row],[ID Item Vendido]],Agregado[ID],Agregado[Revenda])</f>
        <v>4.8</v>
      </c>
      <c r="I5338" s="3">
        <f>Vendas[[#This Row],[Valor Unitário]]*Vendas[[#This Row],[Qnt Vendida]]</f>
        <v>355.2</v>
      </c>
      <c r="J5338" s="3">
        <f>Vendas[[#This Row],[Valor da Venda]]-(_xlfn.XLOOKUP(Vendas[[#This Row],[ID Item Vendido]],Agregado[ID],Agregado[Custo])*Vendas[[#This Row],[Qnt Vendida]])</f>
        <v>44.399999999999977</v>
      </c>
      <c r="K5338" s="70">
        <f>Vendas[[#This Row],[Lucro da Venda]]/Vendas[[#This Row],[Valor da Venda]]</f>
        <v>0.12499999999999994</v>
      </c>
      <c r="L5338" s="3">
        <f>_xlfn.IFS(Vendas[[#This Row],[Margem de Lucro (%)]]&lt;15%,Vendas[[#This Row],[Valor da Venda]]*3%,Vendas[[#This Row],[Margem de Lucro (%)]]&lt;=20%,Vendas[[#This Row],[Valor da Venda]]*4.5%,TRUE,Vendas[[#This Row],[Valor da Venda]]*6%)</f>
        <v>10.655999999999999</v>
      </c>
      <c r="M5338"/>
    </row>
    <row r="5339" spans="1:13" x14ac:dyDescent="0.3">
      <c r="A5339" s="7">
        <v>400246</v>
      </c>
      <c r="B5339" t="str">
        <f>_xlfn.XLOOKUP(Vendas[[#This Row],[ID Vendedor]],Vendedores[ID],Vendedores[Nome])</f>
        <v>Juliana</v>
      </c>
      <c r="C5339" s="7" t="str">
        <f>_xlfn.XLOOKUP(Vendas[[#This Row],[ID Vendedor]],Vendedores[ID],Vendedores[Setor])</f>
        <v>AHD</v>
      </c>
      <c r="D5339" s="7" t="s">
        <v>9</v>
      </c>
      <c r="E5339" t="str">
        <f>_xlfn.XLOOKUP(Vendas[[#This Row],[ID Item Vendido]],Agregado[ID],Agregado[Produto])</f>
        <v>Barra de aço simples</v>
      </c>
      <c r="F5339" s="39">
        <v>46046</v>
      </c>
      <c r="G5339" s="7">
        <v>50</v>
      </c>
      <c r="H5339" s="3">
        <f>_xlfn.XLOOKUP(Vendas[[#This Row],[ID Item Vendido]],Agregado[ID],Agregado[Revenda])</f>
        <v>6.7</v>
      </c>
      <c r="I5339" s="3">
        <f>Vendas[[#This Row],[Valor Unitário]]*Vendas[[#This Row],[Qnt Vendida]]</f>
        <v>335</v>
      </c>
      <c r="J5339" s="3">
        <f>Vendas[[#This Row],[Valor da Venda]]-(_xlfn.XLOOKUP(Vendas[[#This Row],[ID Item Vendido]],Agregado[ID],Agregado[Custo])*Vendas[[#This Row],[Qnt Vendida]])</f>
        <v>45</v>
      </c>
      <c r="K5339" s="70">
        <f>Vendas[[#This Row],[Lucro da Venda]]/Vendas[[#This Row],[Valor da Venda]]</f>
        <v>0.13432835820895522</v>
      </c>
      <c r="L5339" s="3">
        <f>_xlfn.IFS(Vendas[[#This Row],[Margem de Lucro (%)]]&lt;15%,Vendas[[#This Row],[Valor da Venda]]*3%,Vendas[[#This Row],[Margem de Lucro (%)]]&lt;=20%,Vendas[[#This Row],[Valor da Venda]]*4.5%,TRUE,Vendas[[#This Row],[Valor da Venda]]*6%)</f>
        <v>10.049999999999999</v>
      </c>
      <c r="M5339"/>
    </row>
    <row r="5340" spans="1:13" x14ac:dyDescent="0.3">
      <c r="A5340" s="7">
        <v>400254</v>
      </c>
      <c r="B5340" t="str">
        <f>_xlfn.XLOOKUP(Vendas[[#This Row],[ID Vendedor]],Vendedores[ID],Vendedores[Nome])</f>
        <v>Beatriz</v>
      </c>
      <c r="C5340" s="7" t="str">
        <f>_xlfn.XLOOKUP(Vendas[[#This Row],[ID Vendedor]],Vendedores[ID],Vendedores[Setor])</f>
        <v>SC</v>
      </c>
      <c r="D5340" s="7" t="s">
        <v>42</v>
      </c>
      <c r="E5340" t="str">
        <f>_xlfn.XLOOKUP(Vendas[[#This Row],[ID Item Vendido]],Agregado[ID],Agregado[Produto])</f>
        <v>Container de ferro industrial</v>
      </c>
      <c r="F5340" s="39">
        <v>46047</v>
      </c>
      <c r="G5340" s="7">
        <v>6</v>
      </c>
      <c r="H5340" s="3">
        <f>_xlfn.XLOOKUP(Vendas[[#This Row],[ID Item Vendido]],Agregado[ID],Agregado[Revenda])</f>
        <v>830</v>
      </c>
      <c r="I5340" s="3">
        <f>Vendas[[#This Row],[Valor Unitário]]*Vendas[[#This Row],[Qnt Vendida]]</f>
        <v>4980</v>
      </c>
      <c r="J5340" s="3">
        <f>Vendas[[#This Row],[Valor da Venda]]-(_xlfn.XLOOKUP(Vendas[[#This Row],[ID Item Vendido]],Agregado[ID],Agregado[Custo])*Vendas[[#This Row],[Qnt Vendida]])</f>
        <v>900</v>
      </c>
      <c r="K5340" s="70">
        <f>Vendas[[#This Row],[Lucro da Venda]]/Vendas[[#This Row],[Valor da Venda]]</f>
        <v>0.18072289156626506</v>
      </c>
      <c r="L534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340"/>
    </row>
    <row r="5341" spans="1:13" x14ac:dyDescent="0.3">
      <c r="A5341" s="7">
        <v>400241</v>
      </c>
      <c r="B5341" t="str">
        <f>_xlfn.XLOOKUP(Vendas[[#This Row],[ID Vendedor]],Vendedores[ID],Vendedores[Nome])</f>
        <v>Rodrigo</v>
      </c>
      <c r="C5341" s="7" t="str">
        <f>_xlfn.XLOOKUP(Vendas[[#This Row],[ID Vendedor]],Vendedores[ID],Vendedores[Setor])</f>
        <v>FM</v>
      </c>
      <c r="D5341" s="7" t="s">
        <v>31</v>
      </c>
      <c r="E5341" t="str">
        <f>_xlfn.XLOOKUP(Vendas[[#This Row],[ID Item Vendido]],Agregado[ID],Agregado[Produto])</f>
        <v>Tela de metal soldada rolo 2x25m</v>
      </c>
      <c r="F5341" s="39">
        <v>46047</v>
      </c>
      <c r="G5341" s="7">
        <v>19</v>
      </c>
      <c r="H5341" s="3">
        <f>_xlfn.XLOOKUP(Vendas[[#This Row],[ID Item Vendido]],Agregado[ID],Agregado[Revenda])</f>
        <v>43.7</v>
      </c>
      <c r="I5341" s="3">
        <f>Vendas[[#This Row],[Valor Unitário]]*Vendas[[#This Row],[Qnt Vendida]]</f>
        <v>830.30000000000007</v>
      </c>
      <c r="J5341" s="3">
        <f>Vendas[[#This Row],[Valor da Venda]]-(_xlfn.XLOOKUP(Vendas[[#This Row],[ID Item Vendido]],Agregado[ID],Agregado[Custo])*Vendas[[#This Row],[Qnt Vendida]])</f>
        <v>108.30000000000007</v>
      </c>
      <c r="K5341" s="70">
        <f>Vendas[[#This Row],[Lucro da Venda]]/Vendas[[#This Row],[Valor da Venda]]</f>
        <v>0.13043478260869573</v>
      </c>
      <c r="L5341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5341"/>
    </row>
    <row r="5342" spans="1:13" x14ac:dyDescent="0.3">
      <c r="A5342" s="7">
        <v>400248</v>
      </c>
      <c r="B5342" t="str">
        <f>_xlfn.XLOOKUP(Vendas[[#This Row],[ID Vendedor]],Vendedores[ID],Vendedores[Nome])</f>
        <v>Patrícia</v>
      </c>
      <c r="C5342" s="7" t="str">
        <f>_xlfn.XLOOKUP(Vendas[[#This Row],[ID Vendedor]],Vendedores[ID],Vendedores[Setor])</f>
        <v>CM</v>
      </c>
      <c r="D5342" s="7" t="s">
        <v>32</v>
      </c>
      <c r="E5342" t="str">
        <f>_xlfn.XLOOKUP(Vendas[[#This Row],[ID Item Vendido]],Agregado[ID],Agregado[Produto])</f>
        <v>Tábua tratada e cortada 3m</v>
      </c>
      <c r="F5342" s="39">
        <v>46047</v>
      </c>
      <c r="G5342" s="7">
        <v>21</v>
      </c>
      <c r="H5342" s="3">
        <f>_xlfn.XLOOKUP(Vendas[[#This Row],[ID Item Vendido]],Agregado[ID],Agregado[Revenda])</f>
        <v>39</v>
      </c>
      <c r="I5342" s="3">
        <f>Vendas[[#This Row],[Valor Unitário]]*Vendas[[#This Row],[Qnt Vendida]]</f>
        <v>819</v>
      </c>
      <c r="J5342" s="3">
        <f>Vendas[[#This Row],[Valor da Venda]]-(_xlfn.XLOOKUP(Vendas[[#This Row],[ID Item Vendido]],Agregado[ID],Agregado[Custo])*Vendas[[#This Row],[Qnt Vendida]])</f>
        <v>147</v>
      </c>
      <c r="K5342" s="70">
        <f>Vendas[[#This Row],[Lucro da Venda]]/Vendas[[#This Row],[Valor da Venda]]</f>
        <v>0.17948717948717949</v>
      </c>
      <c r="L5342" s="3">
        <f>_xlfn.IFS(Vendas[[#This Row],[Margem de Lucro (%)]]&lt;15%,Vendas[[#This Row],[Valor da Venda]]*3%,Vendas[[#This Row],[Margem de Lucro (%)]]&lt;=20%,Vendas[[#This Row],[Valor da Venda]]*4.5%,TRUE,Vendas[[#This Row],[Valor da Venda]]*6%)</f>
        <v>36.854999999999997</v>
      </c>
      <c r="M5342"/>
    </row>
    <row r="5343" spans="1:13" x14ac:dyDescent="0.3">
      <c r="A5343" s="7">
        <v>400242</v>
      </c>
      <c r="B5343" t="str">
        <f>_xlfn.XLOOKUP(Vendas[[#This Row],[ID Vendedor]],Vendedores[ID],Vendedores[Nome])</f>
        <v>Fernanda</v>
      </c>
      <c r="C5343" s="7" t="str">
        <f>_xlfn.XLOOKUP(Vendas[[#This Row],[ID Vendedor]],Vendedores[ID],Vendedores[Setor])</f>
        <v>FM</v>
      </c>
      <c r="D5343" s="7" t="s">
        <v>20</v>
      </c>
      <c r="E5343" t="str">
        <f>_xlfn.XLOOKUP(Vendas[[#This Row],[ID Item Vendido]],Agregado[ID],Agregado[Produto])</f>
        <v>Barra de aço simples</v>
      </c>
      <c r="F5343" s="39">
        <v>46047</v>
      </c>
      <c r="G5343" s="7">
        <v>95</v>
      </c>
      <c r="H5343" s="3">
        <f>_xlfn.XLOOKUP(Vendas[[#This Row],[ID Item Vendido]],Agregado[ID],Agregado[Revenda])</f>
        <v>4.8</v>
      </c>
      <c r="I5343" s="3">
        <f>Vendas[[#This Row],[Valor Unitário]]*Vendas[[#This Row],[Qnt Vendida]]</f>
        <v>456</v>
      </c>
      <c r="J5343" s="3">
        <f>Vendas[[#This Row],[Valor da Venda]]-(_xlfn.XLOOKUP(Vendas[[#This Row],[ID Item Vendido]],Agregado[ID],Agregado[Custo])*Vendas[[#This Row],[Qnt Vendida]])</f>
        <v>57</v>
      </c>
      <c r="K5343" s="70">
        <f>Vendas[[#This Row],[Lucro da Venda]]/Vendas[[#This Row],[Valor da Venda]]</f>
        <v>0.125</v>
      </c>
      <c r="L5343" s="3">
        <f>_xlfn.IFS(Vendas[[#This Row],[Margem de Lucro (%)]]&lt;15%,Vendas[[#This Row],[Valor da Venda]]*3%,Vendas[[#This Row],[Margem de Lucro (%)]]&lt;=20%,Vendas[[#This Row],[Valor da Venda]]*4.5%,TRUE,Vendas[[#This Row],[Valor da Venda]]*6%)</f>
        <v>13.68</v>
      </c>
      <c r="M5343"/>
    </row>
    <row r="5344" spans="1:13" x14ac:dyDescent="0.3">
      <c r="A5344" s="7">
        <v>400244</v>
      </c>
      <c r="B5344" t="str">
        <f>_xlfn.XLOOKUP(Vendas[[#This Row],[ID Vendedor]],Vendedores[ID],Vendedores[Nome])</f>
        <v>Camila</v>
      </c>
      <c r="C5344" s="7" t="str">
        <f>_xlfn.XLOOKUP(Vendas[[#This Row],[ID Vendedor]],Vendedores[ID],Vendedores[Setor])</f>
        <v>AHD</v>
      </c>
      <c r="D5344" s="7" t="s">
        <v>44</v>
      </c>
      <c r="E5344" t="str">
        <f>_xlfn.XLOOKUP(Vendas[[#This Row],[ID Item Vendido]],Agregado[ID],Agregado[Produto])</f>
        <v>Liga metálica especial</v>
      </c>
      <c r="F5344" s="39">
        <v>46048</v>
      </c>
      <c r="G5344" s="7">
        <v>59</v>
      </c>
      <c r="H5344" s="3">
        <f>_xlfn.XLOOKUP(Vendas[[#This Row],[ID Item Vendido]],Agregado[ID],Agregado[Revenda])</f>
        <v>32.5</v>
      </c>
      <c r="I5344" s="3">
        <f>Vendas[[#This Row],[Valor Unitário]]*Vendas[[#This Row],[Qnt Vendida]]</f>
        <v>1917.5</v>
      </c>
      <c r="J5344" s="3">
        <f>Vendas[[#This Row],[Valor da Venda]]-(_xlfn.XLOOKUP(Vendas[[#This Row],[ID Item Vendido]],Agregado[ID],Agregado[Custo])*Vendas[[#This Row],[Qnt Vendida]])</f>
        <v>442.5</v>
      </c>
      <c r="K5344" s="70">
        <f>Vendas[[#This Row],[Lucro da Venda]]/Vendas[[#This Row],[Valor da Venda]]</f>
        <v>0.23076923076923078</v>
      </c>
      <c r="L5344" s="3">
        <f>_xlfn.IFS(Vendas[[#This Row],[Margem de Lucro (%)]]&lt;15%,Vendas[[#This Row],[Valor da Venda]]*3%,Vendas[[#This Row],[Margem de Lucro (%)]]&lt;=20%,Vendas[[#This Row],[Valor da Venda]]*4.5%,TRUE,Vendas[[#This Row],[Valor da Venda]]*6%)</f>
        <v>115.05</v>
      </c>
      <c r="M5344"/>
    </row>
    <row r="5345" spans="1:13" x14ac:dyDescent="0.3">
      <c r="A5345" s="7">
        <v>400249</v>
      </c>
      <c r="B5345" t="str">
        <f>_xlfn.XLOOKUP(Vendas[[#This Row],[ID Vendedor]],Vendedores[ID],Vendedores[Nome])</f>
        <v>Bruno</v>
      </c>
      <c r="C5345" s="7" t="str">
        <f>_xlfn.XLOOKUP(Vendas[[#This Row],[ID Vendedor]],Vendedores[ID],Vendedores[Setor])</f>
        <v>CM</v>
      </c>
      <c r="D5345" s="7" t="s">
        <v>22</v>
      </c>
      <c r="E5345" t="str">
        <f>_xlfn.XLOOKUP(Vendas[[#This Row],[ID Item Vendido]],Agregado[ID],Agregado[Produto])</f>
        <v>Painel MDP 2,75x1,83m</v>
      </c>
      <c r="F5345" s="39">
        <v>46048</v>
      </c>
      <c r="G5345" s="7">
        <v>13</v>
      </c>
      <c r="H5345" s="3">
        <f>_xlfn.XLOOKUP(Vendas[[#This Row],[ID Item Vendido]],Agregado[ID],Agregado[Revenda])</f>
        <v>119</v>
      </c>
      <c r="I5345" s="3">
        <f>Vendas[[#This Row],[Valor Unitário]]*Vendas[[#This Row],[Qnt Vendida]]</f>
        <v>1547</v>
      </c>
      <c r="J5345" s="3">
        <f>Vendas[[#This Row],[Valor da Venda]]-(_xlfn.XLOOKUP(Vendas[[#This Row],[ID Item Vendido]],Agregado[ID],Agregado[Custo])*Vendas[[#This Row],[Qnt Vendida]])</f>
        <v>312</v>
      </c>
      <c r="K5345" s="70">
        <f>Vendas[[#This Row],[Lucro da Venda]]/Vendas[[#This Row],[Valor da Venda]]</f>
        <v>0.20168067226890757</v>
      </c>
      <c r="L5345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345"/>
    </row>
    <row r="5346" spans="1:13" x14ac:dyDescent="0.3">
      <c r="A5346" s="7">
        <v>400250</v>
      </c>
      <c r="B5346" t="str">
        <f>_xlfn.XLOOKUP(Vendas[[#This Row],[ID Vendedor]],Vendedores[ID],Vendedores[Nome])</f>
        <v>Larissa</v>
      </c>
      <c r="C5346" s="7" t="str">
        <f>_xlfn.XLOOKUP(Vendas[[#This Row],[ID Vendedor]],Vendedores[ID],Vendedores[Setor])</f>
        <v>AB</v>
      </c>
      <c r="D5346" s="7" t="s">
        <v>36</v>
      </c>
      <c r="E5346" t="str">
        <f>_xlfn.XLOOKUP(Vendas[[#This Row],[ID Item Vendido]],Agregado[ID],Agregado[Produto])</f>
        <v>Borracha vulcanizada em manta</v>
      </c>
      <c r="F5346" s="39">
        <v>46048</v>
      </c>
      <c r="G5346" s="7">
        <v>43</v>
      </c>
      <c r="H5346" s="3">
        <f>_xlfn.XLOOKUP(Vendas[[#This Row],[ID Item Vendido]],Agregado[ID],Agregado[Revenda])</f>
        <v>7.8</v>
      </c>
      <c r="I5346" s="3">
        <f>Vendas[[#This Row],[Valor Unitário]]*Vendas[[#This Row],[Qnt Vendida]]</f>
        <v>335.4</v>
      </c>
      <c r="J5346" s="3">
        <f>Vendas[[#This Row],[Valor da Venda]]-(_xlfn.XLOOKUP(Vendas[[#This Row],[ID Item Vendido]],Agregado[ID],Agregado[Custo])*Vendas[[#This Row],[Qnt Vendida]])</f>
        <v>77.399999999999977</v>
      </c>
      <c r="K5346" s="70">
        <f>Vendas[[#This Row],[Lucro da Venda]]/Vendas[[#This Row],[Valor da Venda]]</f>
        <v>0.23076923076923073</v>
      </c>
      <c r="L5346" s="3">
        <f>_xlfn.IFS(Vendas[[#This Row],[Margem de Lucro (%)]]&lt;15%,Vendas[[#This Row],[Valor da Venda]]*3%,Vendas[[#This Row],[Margem de Lucro (%)]]&lt;=20%,Vendas[[#This Row],[Valor da Venda]]*4.5%,TRUE,Vendas[[#This Row],[Valor da Venda]]*6%)</f>
        <v>20.123999999999999</v>
      </c>
      <c r="M5346"/>
    </row>
    <row r="5347" spans="1:13" x14ac:dyDescent="0.3">
      <c r="A5347" s="7">
        <v>400242</v>
      </c>
      <c r="B5347" t="str">
        <f>_xlfn.XLOOKUP(Vendas[[#This Row],[ID Vendedor]],Vendedores[ID],Vendedores[Nome])</f>
        <v>Fernanda</v>
      </c>
      <c r="C5347" s="7" t="str">
        <f>_xlfn.XLOOKUP(Vendas[[#This Row],[ID Vendedor]],Vendedores[ID],Vendedores[Setor])</f>
        <v>FM</v>
      </c>
      <c r="D5347" s="7" t="s">
        <v>27</v>
      </c>
      <c r="E5347" t="str">
        <f>_xlfn.XLOOKUP(Vendas[[#This Row],[ID Item Vendido]],Agregado[ID],Agregado[Produto])</f>
        <v>Chapa de metal lisa 1x2m</v>
      </c>
      <c r="F5347" s="39">
        <v>46048</v>
      </c>
      <c r="G5347" s="7">
        <v>5</v>
      </c>
      <c r="H5347" s="3">
        <f>_xlfn.XLOOKUP(Vendas[[#This Row],[ID Item Vendido]],Agregado[ID],Agregado[Revenda])</f>
        <v>52</v>
      </c>
      <c r="I5347" s="3">
        <f>Vendas[[#This Row],[Valor Unitário]]*Vendas[[#This Row],[Qnt Vendida]]</f>
        <v>260</v>
      </c>
      <c r="J5347" s="3">
        <f>Vendas[[#This Row],[Valor da Venda]]-(_xlfn.XLOOKUP(Vendas[[#This Row],[ID Item Vendido]],Agregado[ID],Agregado[Custo])*Vendas[[#This Row],[Qnt Vendida]])</f>
        <v>35</v>
      </c>
      <c r="K5347" s="70">
        <f>Vendas[[#This Row],[Lucro da Venda]]/Vendas[[#This Row],[Valor da Venda]]</f>
        <v>0.13461538461538461</v>
      </c>
      <c r="L5347" s="3">
        <f>_xlfn.IFS(Vendas[[#This Row],[Margem de Lucro (%)]]&lt;15%,Vendas[[#This Row],[Valor da Venda]]*3%,Vendas[[#This Row],[Margem de Lucro (%)]]&lt;=20%,Vendas[[#This Row],[Valor da Venda]]*4.5%,TRUE,Vendas[[#This Row],[Valor da Venda]]*6%)</f>
        <v>7.8</v>
      </c>
      <c r="M5347"/>
    </row>
    <row r="5348" spans="1:13" x14ac:dyDescent="0.3">
      <c r="A5348" s="7">
        <v>400253</v>
      </c>
      <c r="B5348" t="str">
        <f>_xlfn.XLOOKUP(Vendas[[#This Row],[ID Vendedor]],Vendedores[ID],Vendedores[Nome])</f>
        <v>Gustavo</v>
      </c>
      <c r="C5348" s="7" t="str">
        <f>_xlfn.XLOOKUP(Vendas[[#This Row],[ID Vendedor]],Vendedores[ID],Vendedores[Setor])</f>
        <v>SC</v>
      </c>
      <c r="D5348" s="7" t="s">
        <v>48</v>
      </c>
      <c r="E5348" t="str">
        <f>_xlfn.XLOOKUP(Vendas[[#This Row],[ID Item Vendido]],Agregado[ID],Agregado[Produto])</f>
        <v>Tambor metálico 200L</v>
      </c>
      <c r="F5348" s="39">
        <v>46049</v>
      </c>
      <c r="G5348" s="7">
        <v>13</v>
      </c>
      <c r="H5348" s="3">
        <f>_xlfn.XLOOKUP(Vendas[[#This Row],[ID Item Vendido]],Agregado[ID],Agregado[Revenda])</f>
        <v>144</v>
      </c>
      <c r="I5348" s="3">
        <f>Vendas[[#This Row],[Valor Unitário]]*Vendas[[#This Row],[Qnt Vendida]]</f>
        <v>1872</v>
      </c>
      <c r="J5348" s="3">
        <f>Vendas[[#This Row],[Valor da Venda]]-(_xlfn.XLOOKUP(Vendas[[#This Row],[ID Item Vendido]],Agregado[ID],Agregado[Custo])*Vendas[[#This Row],[Qnt Vendida]])</f>
        <v>312</v>
      </c>
      <c r="K5348" s="70">
        <f>Vendas[[#This Row],[Lucro da Venda]]/Vendas[[#This Row],[Valor da Venda]]</f>
        <v>0.16666666666666666</v>
      </c>
      <c r="L5348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5348"/>
    </row>
    <row r="5349" spans="1:13" x14ac:dyDescent="0.3">
      <c r="A5349" s="7">
        <v>400242</v>
      </c>
      <c r="B5349" t="str">
        <f>_xlfn.XLOOKUP(Vendas[[#This Row],[ID Vendedor]],Vendedores[ID],Vendedores[Nome])</f>
        <v>Fernanda</v>
      </c>
      <c r="C5349" s="7" t="str">
        <f>_xlfn.XLOOKUP(Vendas[[#This Row],[ID Vendedor]],Vendedores[ID],Vendedores[Setor])</f>
        <v>FM</v>
      </c>
      <c r="D5349" s="7" t="s">
        <v>27</v>
      </c>
      <c r="E5349" t="str">
        <f>_xlfn.XLOOKUP(Vendas[[#This Row],[ID Item Vendido]],Agregado[ID],Agregado[Produto])</f>
        <v>Chapa de metal lisa 1x2m</v>
      </c>
      <c r="F5349" s="39">
        <v>46049</v>
      </c>
      <c r="G5349" s="7">
        <v>9</v>
      </c>
      <c r="H5349" s="3">
        <f>_xlfn.XLOOKUP(Vendas[[#This Row],[ID Item Vendido]],Agregado[ID],Agregado[Revenda])</f>
        <v>52</v>
      </c>
      <c r="I5349" s="3">
        <f>Vendas[[#This Row],[Valor Unitário]]*Vendas[[#This Row],[Qnt Vendida]]</f>
        <v>468</v>
      </c>
      <c r="J5349" s="3">
        <f>Vendas[[#This Row],[Valor da Venda]]-(_xlfn.XLOOKUP(Vendas[[#This Row],[ID Item Vendido]],Agregado[ID],Agregado[Custo])*Vendas[[#This Row],[Qnt Vendida]])</f>
        <v>63</v>
      </c>
      <c r="K5349" s="70">
        <f>Vendas[[#This Row],[Lucro da Venda]]/Vendas[[#This Row],[Valor da Venda]]</f>
        <v>0.13461538461538461</v>
      </c>
      <c r="L5349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349"/>
    </row>
    <row r="5350" spans="1:13" x14ac:dyDescent="0.3">
      <c r="A5350" s="7">
        <v>400241</v>
      </c>
      <c r="B5350" t="str">
        <f>_xlfn.XLOOKUP(Vendas[[#This Row],[ID Vendedor]],Vendedores[ID],Vendedores[Nome])</f>
        <v>Rodrigo</v>
      </c>
      <c r="C5350" s="7" t="str">
        <f>_xlfn.XLOOKUP(Vendas[[#This Row],[ID Vendedor]],Vendedores[ID],Vendedores[Setor])</f>
        <v>FM</v>
      </c>
      <c r="D5350" s="7" t="s">
        <v>20</v>
      </c>
      <c r="E5350" t="str">
        <f>_xlfn.XLOOKUP(Vendas[[#This Row],[ID Item Vendido]],Agregado[ID],Agregado[Produto])</f>
        <v>Barra de aço simples</v>
      </c>
      <c r="F5350" s="39">
        <v>46049</v>
      </c>
      <c r="G5350" s="7">
        <v>37</v>
      </c>
      <c r="H5350" s="3">
        <f>_xlfn.XLOOKUP(Vendas[[#This Row],[ID Item Vendido]],Agregado[ID],Agregado[Revenda])</f>
        <v>4.8</v>
      </c>
      <c r="I5350" s="3">
        <f>Vendas[[#This Row],[Valor Unitário]]*Vendas[[#This Row],[Qnt Vendida]]</f>
        <v>177.6</v>
      </c>
      <c r="J5350" s="3">
        <f>Vendas[[#This Row],[Valor da Venda]]-(_xlfn.XLOOKUP(Vendas[[#This Row],[ID Item Vendido]],Agregado[ID],Agregado[Custo])*Vendas[[#This Row],[Qnt Vendida]])</f>
        <v>22.199999999999989</v>
      </c>
      <c r="K5350" s="70">
        <f>Vendas[[#This Row],[Lucro da Venda]]/Vendas[[#This Row],[Valor da Venda]]</f>
        <v>0.12499999999999994</v>
      </c>
      <c r="L5350" s="3">
        <f>_xlfn.IFS(Vendas[[#This Row],[Margem de Lucro (%)]]&lt;15%,Vendas[[#This Row],[Valor da Venda]]*3%,Vendas[[#This Row],[Margem de Lucro (%)]]&lt;=20%,Vendas[[#This Row],[Valor da Venda]]*4.5%,TRUE,Vendas[[#This Row],[Valor da Venda]]*6%)</f>
        <v>5.3279999999999994</v>
      </c>
      <c r="M5350"/>
    </row>
    <row r="5351" spans="1:13" x14ac:dyDescent="0.3">
      <c r="A5351" s="7">
        <v>400252</v>
      </c>
      <c r="B5351" t="str">
        <f>_xlfn.XLOOKUP(Vendas[[#This Row],[ID Vendedor]],Vendedores[ID],Vendedores[Nome])</f>
        <v>Renata</v>
      </c>
      <c r="C5351" s="7" t="str">
        <f>_xlfn.XLOOKUP(Vendas[[#This Row],[ID Vendedor]],Vendedores[ID],Vendedores[Setor])</f>
        <v>AB</v>
      </c>
      <c r="D5351" s="7" t="s">
        <v>37</v>
      </c>
      <c r="E5351" t="str">
        <f>_xlfn.XLOOKUP(Vendas[[#This Row],[ID Item Vendido]],Agregado[ID],Agregado[Produto])</f>
        <v>Composto de borracha para vedação rolo 10m</v>
      </c>
      <c r="F5351" s="39">
        <v>46050</v>
      </c>
      <c r="G5351" s="7">
        <v>8</v>
      </c>
      <c r="H5351" s="3">
        <f>_xlfn.XLOOKUP(Vendas[[#This Row],[ID Item Vendido]],Agregado[ID],Agregado[Revenda])</f>
        <v>51.2</v>
      </c>
      <c r="I5351" s="3">
        <f>Vendas[[#This Row],[Valor Unitário]]*Vendas[[#This Row],[Qnt Vendida]]</f>
        <v>409.6</v>
      </c>
      <c r="J5351" s="3">
        <f>Vendas[[#This Row],[Valor da Venda]]-(_xlfn.XLOOKUP(Vendas[[#This Row],[ID Item Vendido]],Agregado[ID],Agregado[Custo])*Vendas[[#This Row],[Qnt Vendida]])</f>
        <v>89.600000000000023</v>
      </c>
      <c r="K5351" s="70">
        <f>Vendas[[#This Row],[Lucro da Venda]]/Vendas[[#This Row],[Valor da Venda]]</f>
        <v>0.21875000000000006</v>
      </c>
      <c r="L5351" s="3">
        <f>_xlfn.IFS(Vendas[[#This Row],[Margem de Lucro (%)]]&lt;15%,Vendas[[#This Row],[Valor da Venda]]*3%,Vendas[[#This Row],[Margem de Lucro (%)]]&lt;=20%,Vendas[[#This Row],[Valor da Venda]]*4.5%,TRUE,Vendas[[#This Row],[Valor da Venda]]*6%)</f>
        <v>24.576000000000001</v>
      </c>
      <c r="M5351"/>
    </row>
    <row r="5352" spans="1:13" x14ac:dyDescent="0.3">
      <c r="A5352" s="7">
        <v>400245</v>
      </c>
      <c r="B5352" t="str">
        <f>_xlfn.XLOOKUP(Vendas[[#This Row],[ID Vendedor]],Vendedores[ID],Vendedores[Nome])</f>
        <v>Thiago</v>
      </c>
      <c r="C5352" s="7" t="str">
        <f>_xlfn.XLOOKUP(Vendas[[#This Row],[ID Vendedor]],Vendedores[ID],Vendedores[Setor])</f>
        <v>AHD</v>
      </c>
      <c r="D5352" s="7" t="s">
        <v>9</v>
      </c>
      <c r="E5352" t="str">
        <f>_xlfn.XLOOKUP(Vendas[[#This Row],[ID Item Vendido]],Agregado[ID],Agregado[Produto])</f>
        <v>Barra de aço simples</v>
      </c>
      <c r="F5352" s="39">
        <v>46050</v>
      </c>
      <c r="G5352" s="7">
        <v>24</v>
      </c>
      <c r="H5352" s="3">
        <f>_xlfn.XLOOKUP(Vendas[[#This Row],[ID Item Vendido]],Agregado[ID],Agregado[Revenda])</f>
        <v>6.7</v>
      </c>
      <c r="I5352" s="3">
        <f>Vendas[[#This Row],[Valor Unitário]]*Vendas[[#This Row],[Qnt Vendida]]</f>
        <v>160.80000000000001</v>
      </c>
      <c r="J5352" s="3">
        <f>Vendas[[#This Row],[Valor da Venda]]-(_xlfn.XLOOKUP(Vendas[[#This Row],[ID Item Vendido]],Agregado[ID],Agregado[Custo])*Vendas[[#This Row],[Qnt Vendida]])</f>
        <v>21.600000000000023</v>
      </c>
      <c r="K5352" s="70">
        <f>Vendas[[#This Row],[Lucro da Venda]]/Vendas[[#This Row],[Valor da Venda]]</f>
        <v>0.13432835820895536</v>
      </c>
      <c r="L5352" s="3">
        <f>_xlfn.IFS(Vendas[[#This Row],[Margem de Lucro (%)]]&lt;15%,Vendas[[#This Row],[Valor da Venda]]*3%,Vendas[[#This Row],[Margem de Lucro (%)]]&lt;=20%,Vendas[[#This Row],[Valor da Venda]]*4.5%,TRUE,Vendas[[#This Row],[Valor da Venda]]*6%)</f>
        <v>4.8239999999999998</v>
      </c>
      <c r="M5352"/>
    </row>
    <row r="5353" spans="1:13" x14ac:dyDescent="0.3">
      <c r="A5353" s="7">
        <v>400241</v>
      </c>
      <c r="B5353" t="str">
        <f>_xlfn.XLOOKUP(Vendas[[#This Row],[ID Vendedor]],Vendedores[ID],Vendedores[Nome])</f>
        <v>Rodrigo</v>
      </c>
      <c r="C5353" s="7" t="str">
        <f>_xlfn.XLOOKUP(Vendas[[#This Row],[ID Vendedor]],Vendedores[ID],Vendedores[Setor])</f>
        <v>FM</v>
      </c>
      <c r="D5353" s="7" t="s">
        <v>31</v>
      </c>
      <c r="E5353" t="str">
        <f>_xlfn.XLOOKUP(Vendas[[#This Row],[ID Item Vendido]],Agregado[ID],Agregado[Produto])</f>
        <v>Tela de metal soldada rolo 2x25m</v>
      </c>
      <c r="F5353" s="39">
        <v>46051</v>
      </c>
      <c r="G5353" s="7">
        <v>12</v>
      </c>
      <c r="H5353" s="3">
        <f>_xlfn.XLOOKUP(Vendas[[#This Row],[ID Item Vendido]],Agregado[ID],Agregado[Revenda])</f>
        <v>43.7</v>
      </c>
      <c r="I5353" s="3">
        <f>Vendas[[#This Row],[Valor Unitário]]*Vendas[[#This Row],[Qnt Vendida]]</f>
        <v>524.40000000000009</v>
      </c>
      <c r="J5353" s="3">
        <f>Vendas[[#This Row],[Valor da Venda]]-(_xlfn.XLOOKUP(Vendas[[#This Row],[ID Item Vendido]],Agregado[ID],Agregado[Custo])*Vendas[[#This Row],[Qnt Vendida]])</f>
        <v>68.400000000000091</v>
      </c>
      <c r="K5353" s="70">
        <f>Vendas[[#This Row],[Lucro da Venda]]/Vendas[[#This Row],[Valor da Venda]]</f>
        <v>0.13043478260869582</v>
      </c>
      <c r="L5353" s="3">
        <f>_xlfn.IFS(Vendas[[#This Row],[Margem de Lucro (%)]]&lt;15%,Vendas[[#This Row],[Valor da Venda]]*3%,Vendas[[#This Row],[Margem de Lucro (%)]]&lt;=20%,Vendas[[#This Row],[Valor da Venda]]*4.5%,TRUE,Vendas[[#This Row],[Valor da Venda]]*6%)</f>
        <v>15.732000000000003</v>
      </c>
      <c r="M5353"/>
    </row>
    <row r="5354" spans="1:13" x14ac:dyDescent="0.3">
      <c r="A5354" s="7">
        <v>400248</v>
      </c>
      <c r="B5354" t="str">
        <f>_xlfn.XLOOKUP(Vendas[[#This Row],[ID Vendedor]],Vendedores[ID],Vendedores[Nome])</f>
        <v>Patrícia</v>
      </c>
      <c r="C5354" s="7" t="str">
        <f>_xlfn.XLOOKUP(Vendas[[#This Row],[ID Vendedor]],Vendedores[ID],Vendedores[Setor])</f>
        <v>CM</v>
      </c>
      <c r="D5354" s="7" t="s">
        <v>32</v>
      </c>
      <c r="E5354" t="str">
        <f>_xlfn.XLOOKUP(Vendas[[#This Row],[ID Item Vendido]],Agregado[ID],Agregado[Produto])</f>
        <v>Tábua tratada e cortada 3m</v>
      </c>
      <c r="F5354" s="39">
        <v>46051</v>
      </c>
      <c r="G5354" s="7">
        <v>8</v>
      </c>
      <c r="H5354" s="3">
        <f>_xlfn.XLOOKUP(Vendas[[#This Row],[ID Item Vendido]],Agregado[ID],Agregado[Revenda])</f>
        <v>39</v>
      </c>
      <c r="I5354" s="3">
        <f>Vendas[[#This Row],[Valor Unitário]]*Vendas[[#This Row],[Qnt Vendida]]</f>
        <v>312</v>
      </c>
      <c r="J5354" s="3">
        <f>Vendas[[#This Row],[Valor da Venda]]-(_xlfn.XLOOKUP(Vendas[[#This Row],[ID Item Vendido]],Agregado[ID],Agregado[Custo])*Vendas[[#This Row],[Qnt Vendida]])</f>
        <v>56</v>
      </c>
      <c r="K5354" s="70">
        <f>Vendas[[#This Row],[Lucro da Venda]]/Vendas[[#This Row],[Valor da Venda]]</f>
        <v>0.17948717948717949</v>
      </c>
      <c r="L5354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354"/>
    </row>
    <row r="5355" spans="1:13" x14ac:dyDescent="0.3">
      <c r="A5355" s="7">
        <v>400253</v>
      </c>
      <c r="B5355" t="str">
        <f>_xlfn.XLOOKUP(Vendas[[#This Row],[ID Vendedor]],Vendedores[ID],Vendedores[Nome])</f>
        <v>Gustavo</v>
      </c>
      <c r="C5355" s="7" t="str">
        <f>_xlfn.XLOOKUP(Vendas[[#This Row],[ID Vendedor]],Vendedores[ID],Vendedores[Setor])</f>
        <v>SC</v>
      </c>
      <c r="D5355" s="7" t="s">
        <v>14</v>
      </c>
      <c r="E5355" t="str">
        <f>_xlfn.XLOOKUP(Vendas[[#This Row],[ID Item Vendido]],Agregado[ID],Agregado[Produto])</f>
        <v>Barril de plástico 200L</v>
      </c>
      <c r="F5355" s="39">
        <v>46052</v>
      </c>
      <c r="G5355" s="7">
        <v>25</v>
      </c>
      <c r="H5355" s="3">
        <f>_xlfn.XLOOKUP(Vendas[[#This Row],[ID Item Vendido]],Agregado[ID],Agregado[Revenda])</f>
        <v>114</v>
      </c>
      <c r="I5355" s="3">
        <f>Vendas[[#This Row],[Valor Unitário]]*Vendas[[#This Row],[Qnt Vendida]]</f>
        <v>2850</v>
      </c>
      <c r="J5355" s="3">
        <f>Vendas[[#This Row],[Valor da Venda]]-(_xlfn.XLOOKUP(Vendas[[#This Row],[ID Item Vendido]],Agregado[ID],Agregado[Custo])*Vendas[[#This Row],[Qnt Vendida]])</f>
        <v>475</v>
      </c>
      <c r="K5355" s="70">
        <f>Vendas[[#This Row],[Lucro da Venda]]/Vendas[[#This Row],[Valor da Venda]]</f>
        <v>0.16666666666666666</v>
      </c>
      <c r="L5355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5355"/>
    </row>
    <row r="5356" spans="1:13" x14ac:dyDescent="0.3">
      <c r="A5356" s="7">
        <v>400252</v>
      </c>
      <c r="B5356" t="str">
        <f>_xlfn.XLOOKUP(Vendas[[#This Row],[ID Vendedor]],Vendedores[ID],Vendedores[Nome])</f>
        <v>Renata</v>
      </c>
      <c r="C5356" s="7" t="str">
        <f>_xlfn.XLOOKUP(Vendas[[#This Row],[ID Vendedor]],Vendedores[ID],Vendedores[Setor])</f>
        <v>AB</v>
      </c>
      <c r="D5356" s="7" t="s">
        <v>36</v>
      </c>
      <c r="E5356" t="str">
        <f>_xlfn.XLOOKUP(Vendas[[#This Row],[ID Item Vendido]],Agregado[ID],Agregado[Produto])</f>
        <v>Borracha vulcanizada em manta</v>
      </c>
      <c r="F5356" s="39">
        <v>46052</v>
      </c>
      <c r="G5356" s="7">
        <v>83</v>
      </c>
      <c r="H5356" s="3">
        <f>_xlfn.XLOOKUP(Vendas[[#This Row],[ID Item Vendido]],Agregado[ID],Agregado[Revenda])</f>
        <v>7.8</v>
      </c>
      <c r="I5356" s="3">
        <f>Vendas[[#This Row],[Valor Unitário]]*Vendas[[#This Row],[Qnt Vendida]]</f>
        <v>647.4</v>
      </c>
      <c r="J5356" s="3">
        <f>Vendas[[#This Row],[Valor da Venda]]-(_xlfn.XLOOKUP(Vendas[[#This Row],[ID Item Vendido]],Agregado[ID],Agregado[Custo])*Vendas[[#This Row],[Qnt Vendida]])</f>
        <v>149.39999999999998</v>
      </c>
      <c r="K5356" s="70">
        <f>Vendas[[#This Row],[Lucro da Venda]]/Vendas[[#This Row],[Valor da Venda]]</f>
        <v>0.23076923076923075</v>
      </c>
      <c r="L5356" s="3">
        <f>_xlfn.IFS(Vendas[[#This Row],[Margem de Lucro (%)]]&lt;15%,Vendas[[#This Row],[Valor da Venda]]*3%,Vendas[[#This Row],[Margem de Lucro (%)]]&lt;=20%,Vendas[[#This Row],[Valor da Venda]]*4.5%,TRUE,Vendas[[#This Row],[Valor da Venda]]*6%)</f>
        <v>38.843999999999994</v>
      </c>
      <c r="M5356"/>
    </row>
    <row r="5357" spans="1:13" x14ac:dyDescent="0.3">
      <c r="A5357" s="7">
        <v>400252</v>
      </c>
      <c r="B5357" t="str">
        <f>_xlfn.XLOOKUP(Vendas[[#This Row],[ID Vendedor]],Vendedores[ID],Vendedores[Nome])</f>
        <v>Renata</v>
      </c>
      <c r="C5357" s="7" t="str">
        <f>_xlfn.XLOOKUP(Vendas[[#This Row],[ID Vendedor]],Vendedores[ID],Vendedores[Setor])</f>
        <v>AB</v>
      </c>
      <c r="D5357" s="7" t="s">
        <v>24</v>
      </c>
      <c r="E5357" t="str">
        <f>_xlfn.XLOOKUP(Vendas[[#This Row],[ID Item Vendido]],Agregado[ID],Agregado[Produto])</f>
        <v>Resina plástica PET purificada saco de 25kg</v>
      </c>
      <c r="F5357" s="39">
        <v>46052</v>
      </c>
      <c r="G5357" s="7">
        <v>5</v>
      </c>
      <c r="H5357" s="3">
        <f>_xlfn.XLOOKUP(Vendas[[#This Row],[ID Item Vendido]],Agregado[ID],Agregado[Revenda])</f>
        <v>119</v>
      </c>
      <c r="I5357" s="3">
        <f>Vendas[[#This Row],[Valor Unitário]]*Vendas[[#This Row],[Qnt Vendida]]</f>
        <v>595</v>
      </c>
      <c r="J5357" s="3">
        <f>Vendas[[#This Row],[Valor da Venda]]-(_xlfn.XLOOKUP(Vendas[[#This Row],[ID Item Vendido]],Agregado[ID],Agregado[Custo])*Vendas[[#This Row],[Qnt Vendida]])</f>
        <v>170</v>
      </c>
      <c r="K5357" s="70">
        <f>Vendas[[#This Row],[Lucro da Venda]]/Vendas[[#This Row],[Valor da Venda]]</f>
        <v>0.2857142857142857</v>
      </c>
      <c r="L5357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5357"/>
    </row>
    <row r="5358" spans="1:13" x14ac:dyDescent="0.3">
      <c r="A5358" s="7">
        <v>400252</v>
      </c>
      <c r="B5358" t="str">
        <f>_xlfn.XLOOKUP(Vendas[[#This Row],[ID Vendedor]],Vendedores[ID],Vendedores[Nome])</f>
        <v>Renata</v>
      </c>
      <c r="C5358" s="7" t="str">
        <f>_xlfn.XLOOKUP(Vendas[[#This Row],[ID Vendedor]],Vendedores[ID],Vendedores[Setor])</f>
        <v>AB</v>
      </c>
      <c r="D5358" s="7" t="s">
        <v>12</v>
      </c>
      <c r="E5358" t="str">
        <f>_xlfn.XLOOKUP(Vendas[[#This Row],[ID Item Vendido]],Agregado[ID],Agregado[Produto])</f>
        <v>Grânulo de plástico reciclado refinado</v>
      </c>
      <c r="F5358" s="39">
        <v>46052</v>
      </c>
      <c r="G5358" s="7">
        <v>56</v>
      </c>
      <c r="H5358" s="3">
        <f>_xlfn.XLOOKUP(Vendas[[#This Row],[ID Item Vendido]],Agregado[ID],Agregado[Revenda])</f>
        <v>4.7</v>
      </c>
      <c r="I5358" s="3">
        <f>Vendas[[#This Row],[Valor Unitário]]*Vendas[[#This Row],[Qnt Vendida]]</f>
        <v>263.2</v>
      </c>
      <c r="J5358" s="3">
        <f>Vendas[[#This Row],[Valor da Venda]]-(_xlfn.XLOOKUP(Vendas[[#This Row],[ID Item Vendido]],Agregado[ID],Agregado[Custo])*Vendas[[#This Row],[Qnt Vendida]])</f>
        <v>67.199999999999989</v>
      </c>
      <c r="K5358" s="70">
        <f>Vendas[[#This Row],[Lucro da Venda]]/Vendas[[#This Row],[Valor da Venda]]</f>
        <v>0.25531914893617019</v>
      </c>
      <c r="L5358" s="3">
        <f>_xlfn.IFS(Vendas[[#This Row],[Margem de Lucro (%)]]&lt;15%,Vendas[[#This Row],[Valor da Venda]]*3%,Vendas[[#This Row],[Margem de Lucro (%)]]&lt;=20%,Vendas[[#This Row],[Valor da Venda]]*4.5%,TRUE,Vendas[[#This Row],[Valor da Venda]]*6%)</f>
        <v>15.791999999999998</v>
      </c>
      <c r="M5358"/>
    </row>
    <row r="5359" spans="1:13" x14ac:dyDescent="0.3">
      <c r="A5359" s="7">
        <v>400241</v>
      </c>
      <c r="B5359" t="str">
        <f>_xlfn.XLOOKUP(Vendas[[#This Row],[ID Vendedor]],Vendedores[ID],Vendedores[Nome])</f>
        <v>Rodrigo</v>
      </c>
      <c r="C5359" s="7" t="str">
        <f>_xlfn.XLOOKUP(Vendas[[#This Row],[ID Vendedor]],Vendedores[ID],Vendedores[Setor])</f>
        <v>FM</v>
      </c>
      <c r="D5359" s="7" t="s">
        <v>47</v>
      </c>
      <c r="E5359" t="str">
        <f>_xlfn.XLOOKUP(Vendas[[#This Row],[ID Item Vendido]],Agregado[ID],Agregado[Produto])</f>
        <v>Fio de arame galvanizado rolo 50m</v>
      </c>
      <c r="F5359" s="39">
        <v>46052</v>
      </c>
      <c r="G5359" s="7">
        <v>11</v>
      </c>
      <c r="H5359" s="3">
        <f>_xlfn.XLOOKUP(Vendas[[#This Row],[ID Item Vendido]],Agregado[ID],Agregado[Revenda])</f>
        <v>21.2</v>
      </c>
      <c r="I5359" s="3">
        <f>Vendas[[#This Row],[Valor Unitário]]*Vendas[[#This Row],[Qnt Vendida]]</f>
        <v>233.2</v>
      </c>
      <c r="J5359" s="3">
        <f>Vendas[[#This Row],[Valor da Venda]]-(_xlfn.XLOOKUP(Vendas[[#This Row],[ID Item Vendido]],Agregado[ID],Agregado[Custo])*Vendas[[#This Row],[Qnt Vendida]])</f>
        <v>35.199999999999989</v>
      </c>
      <c r="K5359" s="70">
        <f>Vendas[[#This Row],[Lucro da Venda]]/Vendas[[#This Row],[Valor da Venda]]</f>
        <v>0.15094339622641506</v>
      </c>
      <c r="L5359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5359"/>
    </row>
    <row r="5360" spans="1:13" x14ac:dyDescent="0.3">
      <c r="A5360" s="7">
        <v>400241</v>
      </c>
      <c r="B5360" t="str">
        <f>_xlfn.XLOOKUP(Vendas[[#This Row],[ID Vendedor]],Vendedores[ID],Vendedores[Nome])</f>
        <v>Rodrigo</v>
      </c>
      <c r="C5360" s="7" t="str">
        <f>_xlfn.XLOOKUP(Vendas[[#This Row],[ID Vendedor]],Vendedores[ID],Vendedores[Setor])</f>
        <v>FM</v>
      </c>
      <c r="D5360" s="7" t="s">
        <v>20</v>
      </c>
      <c r="E5360" t="str">
        <f>_xlfn.XLOOKUP(Vendas[[#This Row],[ID Item Vendido]],Agregado[ID],Agregado[Produto])</f>
        <v>Barra de aço simples</v>
      </c>
      <c r="F5360" s="39">
        <v>46052</v>
      </c>
      <c r="G5360" s="7">
        <v>42</v>
      </c>
      <c r="H5360" s="3">
        <f>_xlfn.XLOOKUP(Vendas[[#This Row],[ID Item Vendido]],Agregado[ID],Agregado[Revenda])</f>
        <v>4.8</v>
      </c>
      <c r="I5360" s="3">
        <f>Vendas[[#This Row],[Valor Unitário]]*Vendas[[#This Row],[Qnt Vendida]]</f>
        <v>201.6</v>
      </c>
      <c r="J5360" s="3">
        <f>Vendas[[#This Row],[Valor da Venda]]-(_xlfn.XLOOKUP(Vendas[[#This Row],[ID Item Vendido]],Agregado[ID],Agregado[Custo])*Vendas[[#This Row],[Qnt Vendida]])</f>
        <v>25.199999999999989</v>
      </c>
      <c r="K5360" s="70">
        <f>Vendas[[#This Row],[Lucro da Venda]]/Vendas[[#This Row],[Valor da Venda]]</f>
        <v>0.12499999999999994</v>
      </c>
      <c r="L5360" s="3">
        <f>_xlfn.IFS(Vendas[[#This Row],[Margem de Lucro (%)]]&lt;15%,Vendas[[#This Row],[Valor da Venda]]*3%,Vendas[[#This Row],[Margem de Lucro (%)]]&lt;=20%,Vendas[[#This Row],[Valor da Venda]]*4.5%,TRUE,Vendas[[#This Row],[Valor da Venda]]*6%)</f>
        <v>6.048</v>
      </c>
      <c r="M5360"/>
    </row>
    <row r="5361" spans="1:13" x14ac:dyDescent="0.3">
      <c r="A5361" s="7">
        <v>400254</v>
      </c>
      <c r="B5361" t="str">
        <f>_xlfn.XLOOKUP(Vendas[[#This Row],[ID Vendedor]],Vendedores[ID],Vendedores[Nome])</f>
        <v>Beatriz</v>
      </c>
      <c r="C5361" s="7" t="str">
        <f>_xlfn.XLOOKUP(Vendas[[#This Row],[ID Vendedor]],Vendedores[ID],Vendedores[Setor])</f>
        <v>SC</v>
      </c>
      <c r="D5361" s="7" t="s">
        <v>42</v>
      </c>
      <c r="E5361" t="str">
        <f>_xlfn.XLOOKUP(Vendas[[#This Row],[ID Item Vendido]],Agregado[ID],Agregado[Produto])</f>
        <v>Container de ferro industrial</v>
      </c>
      <c r="F5361" s="39">
        <v>46053</v>
      </c>
      <c r="G5361" s="7">
        <v>6</v>
      </c>
      <c r="H5361" s="3">
        <f>_xlfn.XLOOKUP(Vendas[[#This Row],[ID Item Vendido]],Agregado[ID],Agregado[Revenda])</f>
        <v>830</v>
      </c>
      <c r="I5361" s="3">
        <f>Vendas[[#This Row],[Valor Unitário]]*Vendas[[#This Row],[Qnt Vendida]]</f>
        <v>4980</v>
      </c>
      <c r="J5361" s="3">
        <f>Vendas[[#This Row],[Valor da Venda]]-(_xlfn.XLOOKUP(Vendas[[#This Row],[ID Item Vendido]],Agregado[ID],Agregado[Custo])*Vendas[[#This Row],[Qnt Vendida]])</f>
        <v>900</v>
      </c>
      <c r="K5361" s="70">
        <f>Vendas[[#This Row],[Lucro da Venda]]/Vendas[[#This Row],[Valor da Venda]]</f>
        <v>0.18072289156626506</v>
      </c>
      <c r="L5361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361"/>
    </row>
    <row r="5362" spans="1:13" x14ac:dyDescent="0.3">
      <c r="A5362" s="7">
        <v>400248</v>
      </c>
      <c r="B5362" t="str">
        <f>_xlfn.XLOOKUP(Vendas[[#This Row],[ID Vendedor]],Vendedores[ID],Vendedores[Nome])</f>
        <v>Patrícia</v>
      </c>
      <c r="C5362" s="7" t="str">
        <f>_xlfn.XLOOKUP(Vendas[[#This Row],[ID Vendedor]],Vendedores[ID],Vendedores[Setor])</f>
        <v>CM</v>
      </c>
      <c r="D5362" s="7" t="s">
        <v>22</v>
      </c>
      <c r="E5362" t="str">
        <f>_xlfn.XLOOKUP(Vendas[[#This Row],[ID Item Vendido]],Agregado[ID],Agregado[Produto])</f>
        <v>Painel MDP 2,75x1,83m</v>
      </c>
      <c r="F5362" s="39">
        <v>46053</v>
      </c>
      <c r="G5362" s="7">
        <v>23</v>
      </c>
      <c r="H5362" s="3">
        <f>_xlfn.XLOOKUP(Vendas[[#This Row],[ID Item Vendido]],Agregado[ID],Agregado[Revenda])</f>
        <v>119</v>
      </c>
      <c r="I5362" s="3">
        <f>Vendas[[#This Row],[Valor Unitário]]*Vendas[[#This Row],[Qnt Vendida]]</f>
        <v>2737</v>
      </c>
      <c r="J5362" s="3">
        <f>Vendas[[#This Row],[Valor da Venda]]-(_xlfn.XLOOKUP(Vendas[[#This Row],[ID Item Vendido]],Agregado[ID],Agregado[Custo])*Vendas[[#This Row],[Qnt Vendida]])</f>
        <v>552</v>
      </c>
      <c r="K5362" s="70">
        <f>Vendas[[#This Row],[Lucro da Venda]]/Vendas[[#This Row],[Valor da Venda]]</f>
        <v>0.20168067226890757</v>
      </c>
      <c r="L5362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362"/>
    </row>
    <row r="5363" spans="1:13" x14ac:dyDescent="0.3">
      <c r="A5363" s="7">
        <v>400242</v>
      </c>
      <c r="B5363" t="str">
        <f>_xlfn.XLOOKUP(Vendas[[#This Row],[ID Vendedor]],Vendedores[ID],Vendedores[Nome])</f>
        <v>Fernanda</v>
      </c>
      <c r="C5363" s="7" t="str">
        <f>_xlfn.XLOOKUP(Vendas[[#This Row],[ID Vendedor]],Vendedores[ID],Vendedores[Setor])</f>
        <v>FM</v>
      </c>
      <c r="D5363" s="7" t="s">
        <v>31</v>
      </c>
      <c r="E5363" t="str">
        <f>_xlfn.XLOOKUP(Vendas[[#This Row],[ID Item Vendido]],Agregado[ID],Agregado[Produto])</f>
        <v>Tela de metal soldada rolo 2x25m</v>
      </c>
      <c r="F5363" s="39">
        <v>46053</v>
      </c>
      <c r="G5363" s="7">
        <v>17</v>
      </c>
      <c r="H5363" s="3">
        <f>_xlfn.XLOOKUP(Vendas[[#This Row],[ID Item Vendido]],Agregado[ID],Agregado[Revenda])</f>
        <v>43.7</v>
      </c>
      <c r="I5363" s="3">
        <f>Vendas[[#This Row],[Valor Unitário]]*Vendas[[#This Row],[Qnt Vendida]]</f>
        <v>742.90000000000009</v>
      </c>
      <c r="J5363" s="3">
        <f>Vendas[[#This Row],[Valor da Venda]]-(_xlfn.XLOOKUP(Vendas[[#This Row],[ID Item Vendido]],Agregado[ID],Agregado[Custo])*Vendas[[#This Row],[Qnt Vendida]])</f>
        <v>96.900000000000091</v>
      </c>
      <c r="K5363" s="70">
        <f>Vendas[[#This Row],[Lucro da Venda]]/Vendas[[#This Row],[Valor da Venda]]</f>
        <v>0.13043478260869576</v>
      </c>
      <c r="L5363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5363"/>
    </row>
    <row r="5364" spans="1:13" x14ac:dyDescent="0.3">
      <c r="A5364" s="7">
        <v>400246</v>
      </c>
      <c r="B5364" t="str">
        <f>_xlfn.XLOOKUP(Vendas[[#This Row],[ID Vendedor]],Vendedores[ID],Vendedores[Nome])</f>
        <v>Juliana</v>
      </c>
      <c r="C5364" s="7" t="str">
        <f>_xlfn.XLOOKUP(Vendas[[#This Row],[ID Vendedor]],Vendedores[ID],Vendedores[Setor])</f>
        <v>AHD</v>
      </c>
      <c r="D5364" s="7" t="s">
        <v>9</v>
      </c>
      <c r="E5364" t="str">
        <f>_xlfn.XLOOKUP(Vendas[[#This Row],[ID Item Vendido]],Agregado[ID],Agregado[Produto])</f>
        <v>Barra de aço simples</v>
      </c>
      <c r="F5364" s="39">
        <v>46053</v>
      </c>
      <c r="G5364" s="7">
        <v>63</v>
      </c>
      <c r="H5364" s="3">
        <f>_xlfn.XLOOKUP(Vendas[[#This Row],[ID Item Vendido]],Agregado[ID],Agregado[Revenda])</f>
        <v>6.7</v>
      </c>
      <c r="I5364" s="3">
        <f>Vendas[[#This Row],[Valor Unitário]]*Vendas[[#This Row],[Qnt Vendida]]</f>
        <v>422.1</v>
      </c>
      <c r="J5364" s="3">
        <f>Vendas[[#This Row],[Valor da Venda]]-(_xlfn.XLOOKUP(Vendas[[#This Row],[ID Item Vendido]],Agregado[ID],Agregado[Custo])*Vendas[[#This Row],[Qnt Vendida]])</f>
        <v>56.700000000000045</v>
      </c>
      <c r="K5364" s="70">
        <f>Vendas[[#This Row],[Lucro da Venda]]/Vendas[[#This Row],[Valor da Venda]]</f>
        <v>0.13432835820895533</v>
      </c>
      <c r="L5364" s="3">
        <f>_xlfn.IFS(Vendas[[#This Row],[Margem de Lucro (%)]]&lt;15%,Vendas[[#This Row],[Valor da Venda]]*3%,Vendas[[#This Row],[Margem de Lucro (%)]]&lt;=20%,Vendas[[#This Row],[Valor da Venda]]*4.5%,TRUE,Vendas[[#This Row],[Valor da Venda]]*6%)</f>
        <v>12.663</v>
      </c>
      <c r="M5364"/>
    </row>
    <row r="5365" spans="1:13" x14ac:dyDescent="0.3">
      <c r="A5365" s="7">
        <v>400251</v>
      </c>
      <c r="B5365" t="str">
        <f>_xlfn.XLOOKUP(Vendas[[#This Row],[ID Vendedor]],Vendedores[ID],Vendedores[Nome])</f>
        <v>Diego</v>
      </c>
      <c r="C5365" s="7" t="str">
        <f>_xlfn.XLOOKUP(Vendas[[#This Row],[ID Vendedor]],Vendedores[ID],Vendedores[Setor])</f>
        <v>AB</v>
      </c>
      <c r="D5365" s="7" t="s">
        <v>12</v>
      </c>
      <c r="E5365" t="str">
        <f>_xlfn.XLOOKUP(Vendas[[#This Row],[ID Item Vendido]],Agregado[ID],Agregado[Produto])</f>
        <v>Grânulo de plástico reciclado refinado</v>
      </c>
      <c r="F5365" s="39">
        <v>46053</v>
      </c>
      <c r="G5365" s="7">
        <v>11</v>
      </c>
      <c r="H5365" s="3">
        <f>_xlfn.XLOOKUP(Vendas[[#This Row],[ID Item Vendido]],Agregado[ID],Agregado[Revenda])</f>
        <v>4.7</v>
      </c>
      <c r="I5365" s="3">
        <f>Vendas[[#This Row],[Valor Unitário]]*Vendas[[#This Row],[Qnt Vendida]]</f>
        <v>51.7</v>
      </c>
      <c r="J5365" s="3">
        <f>Vendas[[#This Row],[Valor da Venda]]-(_xlfn.XLOOKUP(Vendas[[#This Row],[ID Item Vendido]],Agregado[ID],Agregado[Custo])*Vendas[[#This Row],[Qnt Vendida]])</f>
        <v>13.200000000000003</v>
      </c>
      <c r="K5365" s="70">
        <f>Vendas[[#This Row],[Lucro da Venda]]/Vendas[[#This Row],[Valor da Venda]]</f>
        <v>0.25531914893617025</v>
      </c>
      <c r="L5365" s="3">
        <f>_xlfn.IFS(Vendas[[#This Row],[Margem de Lucro (%)]]&lt;15%,Vendas[[#This Row],[Valor da Venda]]*3%,Vendas[[#This Row],[Margem de Lucro (%)]]&lt;=20%,Vendas[[#This Row],[Valor da Venda]]*4.5%,TRUE,Vendas[[#This Row],[Valor da Venda]]*6%)</f>
        <v>3.1019999999999999</v>
      </c>
      <c r="M5365"/>
    </row>
    <row r="5366" spans="1:13" x14ac:dyDescent="0.3">
      <c r="A5366" s="7">
        <v>400246</v>
      </c>
      <c r="B5366" t="str">
        <f>_xlfn.XLOOKUP(Vendas[[#This Row],[ID Vendedor]],Vendedores[ID],Vendedores[Nome])</f>
        <v>Juliana</v>
      </c>
      <c r="C5366" s="7" t="str">
        <f>_xlfn.XLOOKUP(Vendas[[#This Row],[ID Vendedor]],Vendedores[ID],Vendedores[Setor])</f>
        <v>AHD</v>
      </c>
      <c r="D5366" s="7" t="s">
        <v>28</v>
      </c>
      <c r="E5366" t="str">
        <f>_xlfn.XLOOKUP(Vendas[[#This Row],[ID Item Vendido]],Agregado[ID],Agregado[Produto])</f>
        <v>Peça usinada CNC</v>
      </c>
      <c r="F5366" s="39">
        <v>46054</v>
      </c>
      <c r="G5366" s="7">
        <v>12</v>
      </c>
      <c r="H5366" s="3">
        <f>_xlfn.XLOOKUP(Vendas[[#This Row],[ID Item Vendido]],Agregado[ID],Agregado[Revenda])</f>
        <v>192</v>
      </c>
      <c r="I5366" s="3">
        <f>Vendas[[#This Row],[Valor Unitário]]*Vendas[[#This Row],[Qnt Vendida]]</f>
        <v>2304</v>
      </c>
      <c r="J5366" s="3">
        <f>Vendas[[#This Row],[Valor da Venda]]-(_xlfn.XLOOKUP(Vendas[[#This Row],[ID Item Vendido]],Agregado[ID],Agregado[Custo])*Vendas[[#This Row],[Qnt Vendida]])</f>
        <v>504</v>
      </c>
      <c r="K5366" s="70">
        <f>Vendas[[#This Row],[Lucro da Venda]]/Vendas[[#This Row],[Valor da Venda]]</f>
        <v>0.21875</v>
      </c>
      <c r="L5366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5366"/>
    </row>
    <row r="5367" spans="1:13" x14ac:dyDescent="0.3">
      <c r="A5367" s="7">
        <v>400250</v>
      </c>
      <c r="B5367" t="str">
        <f>_xlfn.XLOOKUP(Vendas[[#This Row],[ID Vendedor]],Vendedores[ID],Vendedores[Nome])</f>
        <v>Larissa</v>
      </c>
      <c r="C5367" s="7" t="str">
        <f>_xlfn.XLOOKUP(Vendas[[#This Row],[ID Vendedor]],Vendedores[ID],Vendedores[Setor])</f>
        <v>AB</v>
      </c>
      <c r="D5367" s="7" t="s">
        <v>39</v>
      </c>
      <c r="E5367" t="str">
        <f>_xlfn.XLOOKUP(Vendas[[#This Row],[ID Item Vendido]],Agregado[ID],Agregado[Produto])</f>
        <v>Filme plástico industrial rolo 50m</v>
      </c>
      <c r="F5367" s="39">
        <v>46054</v>
      </c>
      <c r="G5367" s="7">
        <v>30</v>
      </c>
      <c r="H5367" s="3">
        <f>_xlfn.XLOOKUP(Vendas[[#This Row],[ID Item Vendido]],Agregado[ID],Agregado[Revenda])</f>
        <v>37</v>
      </c>
      <c r="I5367" s="3">
        <f>Vendas[[#This Row],[Valor Unitário]]*Vendas[[#This Row],[Qnt Vendida]]</f>
        <v>1110</v>
      </c>
      <c r="J5367" s="3">
        <f>Vendas[[#This Row],[Valor da Venda]]-(_xlfn.XLOOKUP(Vendas[[#This Row],[ID Item Vendido]],Agregado[ID],Agregado[Custo])*Vendas[[#This Row],[Qnt Vendida]])</f>
        <v>270</v>
      </c>
      <c r="K5367" s="70">
        <f>Vendas[[#This Row],[Lucro da Venda]]/Vendas[[#This Row],[Valor da Venda]]</f>
        <v>0.24324324324324326</v>
      </c>
      <c r="L5367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5367"/>
    </row>
    <row r="5368" spans="1:13" x14ac:dyDescent="0.3">
      <c r="A5368" s="7">
        <v>400253</v>
      </c>
      <c r="B5368" t="str">
        <f>_xlfn.XLOOKUP(Vendas[[#This Row],[ID Vendedor]],Vendedores[ID],Vendedores[Nome])</f>
        <v>Gustavo</v>
      </c>
      <c r="C5368" s="7" t="str">
        <f>_xlfn.XLOOKUP(Vendas[[#This Row],[ID Vendedor]],Vendedores[ID],Vendedores[Setor])</f>
        <v>SC</v>
      </c>
      <c r="D5368" s="7" t="s">
        <v>14</v>
      </c>
      <c r="E5368" t="str">
        <f>_xlfn.XLOOKUP(Vendas[[#This Row],[ID Item Vendido]],Agregado[ID],Agregado[Produto])</f>
        <v>Barril de plástico 200L</v>
      </c>
      <c r="F5368" s="39">
        <v>46054</v>
      </c>
      <c r="G5368" s="7">
        <v>8</v>
      </c>
      <c r="H5368" s="3">
        <f>_xlfn.XLOOKUP(Vendas[[#This Row],[ID Item Vendido]],Agregado[ID],Agregado[Revenda])</f>
        <v>114</v>
      </c>
      <c r="I5368" s="3">
        <f>Vendas[[#This Row],[Valor Unitário]]*Vendas[[#This Row],[Qnt Vendida]]</f>
        <v>912</v>
      </c>
      <c r="J5368" s="3">
        <f>Vendas[[#This Row],[Valor da Venda]]-(_xlfn.XLOOKUP(Vendas[[#This Row],[ID Item Vendido]],Agregado[ID],Agregado[Custo])*Vendas[[#This Row],[Qnt Vendida]])</f>
        <v>152</v>
      </c>
      <c r="K5368" s="70">
        <f>Vendas[[#This Row],[Lucro da Venda]]/Vendas[[#This Row],[Valor da Venda]]</f>
        <v>0.16666666666666666</v>
      </c>
      <c r="L5368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5368"/>
    </row>
    <row r="5369" spans="1:13" x14ac:dyDescent="0.3">
      <c r="A5369" s="7">
        <v>400254</v>
      </c>
      <c r="B5369" t="str">
        <f>_xlfn.XLOOKUP(Vendas[[#This Row],[ID Vendedor]],Vendedores[ID],Vendedores[Nome])</f>
        <v>Beatriz</v>
      </c>
      <c r="C5369" s="7" t="str">
        <f>_xlfn.XLOOKUP(Vendas[[#This Row],[ID Vendedor]],Vendedores[ID],Vendedores[Setor])</f>
        <v>SC</v>
      </c>
      <c r="D5369" s="7" t="s">
        <v>25</v>
      </c>
      <c r="E5369" t="str">
        <f>_xlfn.XLOOKUP(Vendas[[#This Row],[ID Item Vendido]],Agregado[ID],Agregado[Produto])</f>
        <v>Palete de plástico</v>
      </c>
      <c r="F5369" s="39">
        <v>46054</v>
      </c>
      <c r="G5369" s="7">
        <v>11</v>
      </c>
      <c r="H5369" s="3">
        <f>_xlfn.XLOOKUP(Vendas[[#This Row],[ID Item Vendido]],Agregado[ID],Agregado[Revenda])</f>
        <v>70.8</v>
      </c>
      <c r="I5369" s="3">
        <f>Vendas[[#This Row],[Valor Unitário]]*Vendas[[#This Row],[Qnt Vendida]]</f>
        <v>778.8</v>
      </c>
      <c r="J5369" s="3">
        <f>Vendas[[#This Row],[Valor da Venda]]-(_xlfn.XLOOKUP(Vendas[[#This Row],[ID Item Vendido]],Agregado[ID],Agregado[Custo])*Vendas[[#This Row],[Qnt Vendida]])</f>
        <v>118.79999999999995</v>
      </c>
      <c r="K5369" s="70">
        <f>Vendas[[#This Row],[Lucro da Venda]]/Vendas[[#This Row],[Valor da Venda]]</f>
        <v>0.15254237288135589</v>
      </c>
      <c r="L5369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5369"/>
    </row>
    <row r="5370" spans="1:13" x14ac:dyDescent="0.3">
      <c r="A5370" s="7">
        <v>400243</v>
      </c>
      <c r="B5370" t="str">
        <f>_xlfn.XLOOKUP(Vendas[[#This Row],[ID Vendedor]],Vendedores[ID],Vendedores[Nome])</f>
        <v>Marcelo</v>
      </c>
      <c r="C5370" s="7" t="str">
        <f>_xlfn.XLOOKUP(Vendas[[#This Row],[ID Vendedor]],Vendedores[ID],Vendedores[Setor])</f>
        <v>FM</v>
      </c>
      <c r="D5370" s="7" t="s">
        <v>27</v>
      </c>
      <c r="E5370" t="str">
        <f>_xlfn.XLOOKUP(Vendas[[#This Row],[ID Item Vendido]],Agregado[ID],Agregado[Produto])</f>
        <v>Chapa de metal lisa 1x2m</v>
      </c>
      <c r="F5370" s="39">
        <v>46054</v>
      </c>
      <c r="G5370" s="7">
        <v>10</v>
      </c>
      <c r="H5370" s="3">
        <f>_xlfn.XLOOKUP(Vendas[[#This Row],[ID Item Vendido]],Agregado[ID],Agregado[Revenda])</f>
        <v>52</v>
      </c>
      <c r="I5370" s="3">
        <f>Vendas[[#This Row],[Valor Unitário]]*Vendas[[#This Row],[Qnt Vendida]]</f>
        <v>520</v>
      </c>
      <c r="J5370" s="3">
        <f>Vendas[[#This Row],[Valor da Venda]]-(_xlfn.XLOOKUP(Vendas[[#This Row],[ID Item Vendido]],Agregado[ID],Agregado[Custo])*Vendas[[#This Row],[Qnt Vendida]])</f>
        <v>70</v>
      </c>
      <c r="K5370" s="70">
        <f>Vendas[[#This Row],[Lucro da Venda]]/Vendas[[#This Row],[Valor da Venda]]</f>
        <v>0.13461538461538461</v>
      </c>
      <c r="L5370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5370"/>
    </row>
    <row r="5371" spans="1:13" x14ac:dyDescent="0.3">
      <c r="A5371" s="7">
        <v>400241</v>
      </c>
      <c r="B5371" t="str">
        <f>_xlfn.XLOOKUP(Vendas[[#This Row],[ID Vendedor]],Vendedores[ID],Vendedores[Nome])</f>
        <v>Rodrigo</v>
      </c>
      <c r="C5371" s="7" t="str">
        <f>_xlfn.XLOOKUP(Vendas[[#This Row],[ID Vendedor]],Vendedores[ID],Vendedores[Setor])</f>
        <v>FM</v>
      </c>
      <c r="D5371" s="7" t="s">
        <v>6</v>
      </c>
      <c r="E5371" t="str">
        <f>_xlfn.XLOOKUP(Vendas[[#This Row],[ID Item Vendido]],Agregado[ID],Agregado[Produto])</f>
        <v>Parafuso comum 500un</v>
      </c>
      <c r="F5371" s="39">
        <v>46054</v>
      </c>
      <c r="G5371" s="7">
        <v>2</v>
      </c>
      <c r="H5371" s="3">
        <f>_xlfn.XLOOKUP(Vendas[[#This Row],[ID Item Vendido]],Agregado[ID],Agregado[Revenda])</f>
        <v>24.6</v>
      </c>
      <c r="I5371" s="3">
        <f>Vendas[[#This Row],[Valor Unitário]]*Vendas[[#This Row],[Qnt Vendida]]</f>
        <v>49.2</v>
      </c>
      <c r="J5371" s="3">
        <f>Vendas[[#This Row],[Valor da Venda]]-(_xlfn.XLOOKUP(Vendas[[#This Row],[ID Item Vendido]],Agregado[ID],Agregado[Custo])*Vendas[[#This Row],[Qnt Vendida]])</f>
        <v>5.2000000000000028</v>
      </c>
      <c r="K5371" s="70">
        <f>Vendas[[#This Row],[Lucro da Venda]]/Vendas[[#This Row],[Valor da Venda]]</f>
        <v>0.10569105691056915</v>
      </c>
      <c r="L5371" s="3">
        <f>_xlfn.IFS(Vendas[[#This Row],[Margem de Lucro (%)]]&lt;15%,Vendas[[#This Row],[Valor da Venda]]*3%,Vendas[[#This Row],[Margem de Lucro (%)]]&lt;=20%,Vendas[[#This Row],[Valor da Venda]]*4.5%,TRUE,Vendas[[#This Row],[Valor da Venda]]*6%)</f>
        <v>1.476</v>
      </c>
      <c r="M5371"/>
    </row>
    <row r="5372" spans="1:13" x14ac:dyDescent="0.3">
      <c r="A5372" s="7">
        <v>400251</v>
      </c>
      <c r="B5372" t="str">
        <f>_xlfn.XLOOKUP(Vendas[[#This Row],[ID Vendedor]],Vendedores[ID],Vendedores[Nome])</f>
        <v>Diego</v>
      </c>
      <c r="C5372" s="7" t="str">
        <f>_xlfn.XLOOKUP(Vendas[[#This Row],[ID Vendedor]],Vendedores[ID],Vendedores[Setor])</f>
        <v>AB</v>
      </c>
      <c r="D5372" s="7" t="s">
        <v>39</v>
      </c>
      <c r="E5372" t="str">
        <f>_xlfn.XLOOKUP(Vendas[[#This Row],[ID Item Vendido]],Agregado[ID],Agregado[Produto])</f>
        <v>Filme plástico industrial rolo 50m</v>
      </c>
      <c r="F5372" s="39">
        <v>46055</v>
      </c>
      <c r="G5372" s="7">
        <v>27</v>
      </c>
      <c r="H5372" s="3">
        <f>_xlfn.XLOOKUP(Vendas[[#This Row],[ID Item Vendido]],Agregado[ID],Agregado[Revenda])</f>
        <v>37</v>
      </c>
      <c r="I5372" s="3">
        <f>Vendas[[#This Row],[Valor Unitário]]*Vendas[[#This Row],[Qnt Vendida]]</f>
        <v>999</v>
      </c>
      <c r="J5372" s="3">
        <f>Vendas[[#This Row],[Valor da Venda]]-(_xlfn.XLOOKUP(Vendas[[#This Row],[ID Item Vendido]],Agregado[ID],Agregado[Custo])*Vendas[[#This Row],[Qnt Vendida]])</f>
        <v>243</v>
      </c>
      <c r="K5372" s="70">
        <f>Vendas[[#This Row],[Lucro da Venda]]/Vendas[[#This Row],[Valor da Venda]]</f>
        <v>0.24324324324324326</v>
      </c>
      <c r="L5372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5372"/>
    </row>
    <row r="5373" spans="1:13" x14ac:dyDescent="0.3">
      <c r="A5373" s="7">
        <v>400250</v>
      </c>
      <c r="B5373" t="str">
        <f>_xlfn.XLOOKUP(Vendas[[#This Row],[ID Vendedor]],Vendedores[ID],Vendedores[Nome])</f>
        <v>Larissa</v>
      </c>
      <c r="C5373" s="7" t="str">
        <f>_xlfn.XLOOKUP(Vendas[[#This Row],[ID Vendedor]],Vendedores[ID],Vendedores[Setor])</f>
        <v>AB</v>
      </c>
      <c r="D5373" s="7" t="s">
        <v>36</v>
      </c>
      <c r="E5373" t="str">
        <f>_xlfn.XLOOKUP(Vendas[[#This Row],[ID Item Vendido]],Agregado[ID],Agregado[Produto])</f>
        <v>Borracha vulcanizada em manta</v>
      </c>
      <c r="F5373" s="39">
        <v>46055</v>
      </c>
      <c r="G5373" s="7">
        <v>31</v>
      </c>
      <c r="H5373" s="3">
        <f>_xlfn.XLOOKUP(Vendas[[#This Row],[ID Item Vendido]],Agregado[ID],Agregado[Revenda])</f>
        <v>7.8</v>
      </c>
      <c r="I5373" s="3">
        <f>Vendas[[#This Row],[Valor Unitário]]*Vendas[[#This Row],[Qnt Vendida]]</f>
        <v>241.79999999999998</v>
      </c>
      <c r="J5373" s="3">
        <f>Vendas[[#This Row],[Valor da Venda]]-(_xlfn.XLOOKUP(Vendas[[#This Row],[ID Item Vendido]],Agregado[ID],Agregado[Custo])*Vendas[[#This Row],[Qnt Vendida]])</f>
        <v>55.799999999999983</v>
      </c>
      <c r="K5373" s="70">
        <f>Vendas[[#This Row],[Lucro da Venda]]/Vendas[[#This Row],[Valor da Venda]]</f>
        <v>0.23076923076923073</v>
      </c>
      <c r="L5373" s="3">
        <f>_xlfn.IFS(Vendas[[#This Row],[Margem de Lucro (%)]]&lt;15%,Vendas[[#This Row],[Valor da Venda]]*3%,Vendas[[#This Row],[Margem de Lucro (%)]]&lt;=20%,Vendas[[#This Row],[Valor da Venda]]*4.5%,TRUE,Vendas[[#This Row],[Valor da Venda]]*6%)</f>
        <v>14.507999999999999</v>
      </c>
      <c r="M5373"/>
    </row>
    <row r="5374" spans="1:13" x14ac:dyDescent="0.3">
      <c r="A5374" s="7">
        <v>400252</v>
      </c>
      <c r="B5374" t="str">
        <f>_xlfn.XLOOKUP(Vendas[[#This Row],[ID Vendedor]],Vendedores[ID],Vendedores[Nome])</f>
        <v>Renata</v>
      </c>
      <c r="C5374" s="7" t="str">
        <f>_xlfn.XLOOKUP(Vendas[[#This Row],[ID Vendedor]],Vendedores[ID],Vendedores[Setor])</f>
        <v>AB</v>
      </c>
      <c r="D5374" s="7" t="s">
        <v>36</v>
      </c>
      <c r="E5374" t="str">
        <f>_xlfn.XLOOKUP(Vendas[[#This Row],[ID Item Vendido]],Agregado[ID],Agregado[Produto])</f>
        <v>Borracha vulcanizada em manta</v>
      </c>
      <c r="F5374" s="39">
        <v>46055</v>
      </c>
      <c r="G5374" s="7">
        <v>30</v>
      </c>
      <c r="H5374" s="3">
        <f>_xlfn.XLOOKUP(Vendas[[#This Row],[ID Item Vendido]],Agregado[ID],Agregado[Revenda])</f>
        <v>7.8</v>
      </c>
      <c r="I5374" s="3">
        <f>Vendas[[#This Row],[Valor Unitário]]*Vendas[[#This Row],[Qnt Vendida]]</f>
        <v>234</v>
      </c>
      <c r="J5374" s="3">
        <f>Vendas[[#This Row],[Valor da Venda]]-(_xlfn.XLOOKUP(Vendas[[#This Row],[ID Item Vendido]],Agregado[ID],Agregado[Custo])*Vendas[[#This Row],[Qnt Vendida]])</f>
        <v>54</v>
      </c>
      <c r="K5374" s="70">
        <f>Vendas[[#This Row],[Lucro da Venda]]/Vendas[[#This Row],[Valor da Venda]]</f>
        <v>0.23076923076923078</v>
      </c>
      <c r="L5374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374"/>
    </row>
    <row r="5375" spans="1:13" x14ac:dyDescent="0.3">
      <c r="A5375" s="7">
        <v>400241</v>
      </c>
      <c r="B5375" t="str">
        <f>_xlfn.XLOOKUP(Vendas[[#This Row],[ID Vendedor]],Vendedores[ID],Vendedores[Nome])</f>
        <v>Rodrigo</v>
      </c>
      <c r="C5375" s="7" t="str">
        <f>_xlfn.XLOOKUP(Vendas[[#This Row],[ID Vendedor]],Vendedores[ID],Vendedores[Setor])</f>
        <v>FM</v>
      </c>
      <c r="D5375" s="7" t="s">
        <v>27</v>
      </c>
      <c r="E5375" t="str">
        <f>_xlfn.XLOOKUP(Vendas[[#This Row],[ID Item Vendido]],Agregado[ID],Agregado[Produto])</f>
        <v>Chapa de metal lisa 1x2m</v>
      </c>
      <c r="F5375" s="39">
        <v>46055</v>
      </c>
      <c r="G5375" s="7">
        <v>3</v>
      </c>
      <c r="H5375" s="3">
        <f>_xlfn.XLOOKUP(Vendas[[#This Row],[ID Item Vendido]],Agregado[ID],Agregado[Revenda])</f>
        <v>52</v>
      </c>
      <c r="I5375" s="3">
        <f>Vendas[[#This Row],[Valor Unitário]]*Vendas[[#This Row],[Qnt Vendida]]</f>
        <v>156</v>
      </c>
      <c r="J5375" s="3">
        <f>Vendas[[#This Row],[Valor da Venda]]-(_xlfn.XLOOKUP(Vendas[[#This Row],[ID Item Vendido]],Agregado[ID],Agregado[Custo])*Vendas[[#This Row],[Qnt Vendida]])</f>
        <v>21</v>
      </c>
      <c r="K5375" s="70">
        <f>Vendas[[#This Row],[Lucro da Venda]]/Vendas[[#This Row],[Valor da Venda]]</f>
        <v>0.13461538461538461</v>
      </c>
      <c r="L5375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375"/>
    </row>
    <row r="5376" spans="1:13" x14ac:dyDescent="0.3">
      <c r="A5376" s="7">
        <v>400252</v>
      </c>
      <c r="B5376" t="str">
        <f>_xlfn.XLOOKUP(Vendas[[#This Row],[ID Vendedor]],Vendedores[ID],Vendedores[Nome])</f>
        <v>Renata</v>
      </c>
      <c r="C5376" s="7" t="str">
        <f>_xlfn.XLOOKUP(Vendas[[#This Row],[ID Vendedor]],Vendedores[ID],Vendedores[Setor])</f>
        <v>AB</v>
      </c>
      <c r="D5376" s="7" t="s">
        <v>24</v>
      </c>
      <c r="E5376" t="str">
        <f>_xlfn.XLOOKUP(Vendas[[#This Row],[ID Item Vendido]],Agregado[ID],Agregado[Produto])</f>
        <v>Resina plástica PET purificada saco de 25kg</v>
      </c>
      <c r="F5376" s="39">
        <v>46056</v>
      </c>
      <c r="G5376" s="7">
        <v>29</v>
      </c>
      <c r="H5376" s="3">
        <f>_xlfn.XLOOKUP(Vendas[[#This Row],[ID Item Vendido]],Agregado[ID],Agregado[Revenda])</f>
        <v>119</v>
      </c>
      <c r="I5376" s="3">
        <f>Vendas[[#This Row],[Valor Unitário]]*Vendas[[#This Row],[Qnt Vendida]]</f>
        <v>3451</v>
      </c>
      <c r="J5376" s="3">
        <f>Vendas[[#This Row],[Valor da Venda]]-(_xlfn.XLOOKUP(Vendas[[#This Row],[ID Item Vendido]],Agregado[ID],Agregado[Custo])*Vendas[[#This Row],[Qnt Vendida]])</f>
        <v>986</v>
      </c>
      <c r="K5376" s="70">
        <f>Vendas[[#This Row],[Lucro da Venda]]/Vendas[[#This Row],[Valor da Venda]]</f>
        <v>0.2857142857142857</v>
      </c>
      <c r="L5376" s="3">
        <f>_xlfn.IFS(Vendas[[#This Row],[Margem de Lucro (%)]]&lt;15%,Vendas[[#This Row],[Valor da Venda]]*3%,Vendas[[#This Row],[Margem de Lucro (%)]]&lt;=20%,Vendas[[#This Row],[Valor da Venda]]*4.5%,TRUE,Vendas[[#This Row],[Valor da Venda]]*6%)</f>
        <v>207.06</v>
      </c>
      <c r="M5376"/>
    </row>
    <row r="5377" spans="1:13" x14ac:dyDescent="0.3">
      <c r="A5377" s="7">
        <v>400254</v>
      </c>
      <c r="B5377" t="str">
        <f>_xlfn.XLOOKUP(Vendas[[#This Row],[ID Vendedor]],Vendedores[ID],Vendedores[Nome])</f>
        <v>Beatriz</v>
      </c>
      <c r="C5377" s="7" t="str">
        <f>_xlfn.XLOOKUP(Vendas[[#This Row],[ID Vendedor]],Vendedores[ID],Vendedores[Setor])</f>
        <v>SC</v>
      </c>
      <c r="D5377" s="7" t="s">
        <v>14</v>
      </c>
      <c r="E5377" t="str">
        <f>_xlfn.XLOOKUP(Vendas[[#This Row],[ID Item Vendido]],Agregado[ID],Agregado[Produto])</f>
        <v>Barril de plástico 200L</v>
      </c>
      <c r="F5377" s="39">
        <v>46056</v>
      </c>
      <c r="G5377" s="7">
        <v>22</v>
      </c>
      <c r="H5377" s="3">
        <f>_xlfn.XLOOKUP(Vendas[[#This Row],[ID Item Vendido]],Agregado[ID],Agregado[Revenda])</f>
        <v>114</v>
      </c>
      <c r="I5377" s="3">
        <f>Vendas[[#This Row],[Valor Unitário]]*Vendas[[#This Row],[Qnt Vendida]]</f>
        <v>2508</v>
      </c>
      <c r="J5377" s="3">
        <f>Vendas[[#This Row],[Valor da Venda]]-(_xlfn.XLOOKUP(Vendas[[#This Row],[ID Item Vendido]],Agregado[ID],Agregado[Custo])*Vendas[[#This Row],[Qnt Vendida]])</f>
        <v>418</v>
      </c>
      <c r="K5377" s="70">
        <f>Vendas[[#This Row],[Lucro da Venda]]/Vendas[[#This Row],[Valor da Venda]]</f>
        <v>0.16666666666666666</v>
      </c>
      <c r="L5377" s="3">
        <f>_xlfn.IFS(Vendas[[#This Row],[Margem de Lucro (%)]]&lt;15%,Vendas[[#This Row],[Valor da Venda]]*3%,Vendas[[#This Row],[Margem de Lucro (%)]]&lt;=20%,Vendas[[#This Row],[Valor da Venda]]*4.5%,TRUE,Vendas[[#This Row],[Valor da Venda]]*6%)</f>
        <v>112.86</v>
      </c>
      <c r="M5377"/>
    </row>
    <row r="5378" spans="1:13" x14ac:dyDescent="0.3">
      <c r="A5378" s="7">
        <v>400254</v>
      </c>
      <c r="B5378" t="str">
        <f>_xlfn.XLOOKUP(Vendas[[#This Row],[ID Vendedor]],Vendedores[ID],Vendedores[Nome])</f>
        <v>Beatriz</v>
      </c>
      <c r="C5378" s="7" t="str">
        <f>_xlfn.XLOOKUP(Vendas[[#This Row],[ID Vendedor]],Vendedores[ID],Vendedores[Setor])</f>
        <v>SC</v>
      </c>
      <c r="D5378" s="7" t="s">
        <v>48</v>
      </c>
      <c r="E5378" t="str">
        <f>_xlfn.XLOOKUP(Vendas[[#This Row],[ID Item Vendido]],Agregado[ID],Agregado[Produto])</f>
        <v>Tambor metálico 200L</v>
      </c>
      <c r="F5378" s="39">
        <v>46056</v>
      </c>
      <c r="G5378" s="7">
        <v>12</v>
      </c>
      <c r="H5378" s="3">
        <f>_xlfn.XLOOKUP(Vendas[[#This Row],[ID Item Vendido]],Agregado[ID],Agregado[Revenda])</f>
        <v>144</v>
      </c>
      <c r="I5378" s="3">
        <f>Vendas[[#This Row],[Valor Unitário]]*Vendas[[#This Row],[Qnt Vendida]]</f>
        <v>1728</v>
      </c>
      <c r="J5378" s="3">
        <f>Vendas[[#This Row],[Valor da Venda]]-(_xlfn.XLOOKUP(Vendas[[#This Row],[ID Item Vendido]],Agregado[ID],Agregado[Custo])*Vendas[[#This Row],[Qnt Vendida]])</f>
        <v>288</v>
      </c>
      <c r="K5378" s="70">
        <f>Vendas[[#This Row],[Lucro da Venda]]/Vendas[[#This Row],[Valor da Venda]]</f>
        <v>0.16666666666666666</v>
      </c>
      <c r="L5378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378"/>
    </row>
    <row r="5379" spans="1:13" x14ac:dyDescent="0.3">
      <c r="A5379" s="7">
        <v>400251</v>
      </c>
      <c r="B5379" t="str">
        <f>_xlfn.XLOOKUP(Vendas[[#This Row],[ID Vendedor]],Vendedores[ID],Vendedores[Nome])</f>
        <v>Diego</v>
      </c>
      <c r="C5379" s="7" t="str">
        <f>_xlfn.XLOOKUP(Vendas[[#This Row],[ID Vendedor]],Vendedores[ID],Vendedores[Setor])</f>
        <v>AB</v>
      </c>
      <c r="D5379" s="7" t="s">
        <v>39</v>
      </c>
      <c r="E5379" t="str">
        <f>_xlfn.XLOOKUP(Vendas[[#This Row],[ID Item Vendido]],Agregado[ID],Agregado[Produto])</f>
        <v>Filme plástico industrial rolo 50m</v>
      </c>
      <c r="F5379" s="39">
        <v>46056</v>
      </c>
      <c r="G5379" s="7">
        <v>25</v>
      </c>
      <c r="H5379" s="3">
        <f>_xlfn.XLOOKUP(Vendas[[#This Row],[ID Item Vendido]],Agregado[ID],Agregado[Revenda])</f>
        <v>37</v>
      </c>
      <c r="I5379" s="3">
        <f>Vendas[[#This Row],[Valor Unitário]]*Vendas[[#This Row],[Qnt Vendida]]</f>
        <v>925</v>
      </c>
      <c r="J5379" s="3">
        <f>Vendas[[#This Row],[Valor da Venda]]-(_xlfn.XLOOKUP(Vendas[[#This Row],[ID Item Vendido]],Agregado[ID],Agregado[Custo])*Vendas[[#This Row],[Qnt Vendida]])</f>
        <v>225</v>
      </c>
      <c r="K5379" s="70">
        <f>Vendas[[#This Row],[Lucro da Venda]]/Vendas[[#This Row],[Valor da Venda]]</f>
        <v>0.24324324324324326</v>
      </c>
      <c r="L5379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5379"/>
    </row>
    <row r="5380" spans="1:13" x14ac:dyDescent="0.3">
      <c r="A5380" s="7">
        <v>400246</v>
      </c>
      <c r="B5380" t="str">
        <f>_xlfn.XLOOKUP(Vendas[[#This Row],[ID Vendedor]],Vendedores[ID],Vendedores[Nome])</f>
        <v>Juliana</v>
      </c>
      <c r="C5380" s="7" t="str">
        <f>_xlfn.XLOOKUP(Vendas[[#This Row],[ID Vendedor]],Vendedores[ID],Vendedores[Setor])</f>
        <v>AHD</v>
      </c>
      <c r="D5380" s="7" t="s">
        <v>9</v>
      </c>
      <c r="E5380" t="str">
        <f>_xlfn.XLOOKUP(Vendas[[#This Row],[ID Item Vendido]],Agregado[ID],Agregado[Produto])</f>
        <v>Barra de aço simples</v>
      </c>
      <c r="F5380" s="39">
        <v>46056</v>
      </c>
      <c r="G5380" s="7">
        <v>112</v>
      </c>
      <c r="H5380" s="3">
        <f>_xlfn.XLOOKUP(Vendas[[#This Row],[ID Item Vendido]],Agregado[ID],Agregado[Revenda])</f>
        <v>6.7</v>
      </c>
      <c r="I5380" s="3">
        <f>Vendas[[#This Row],[Valor Unitário]]*Vendas[[#This Row],[Qnt Vendida]]</f>
        <v>750.4</v>
      </c>
      <c r="J5380" s="3">
        <f>Vendas[[#This Row],[Valor da Venda]]-(_xlfn.XLOOKUP(Vendas[[#This Row],[ID Item Vendido]],Agregado[ID],Agregado[Custo])*Vendas[[#This Row],[Qnt Vendida]])</f>
        <v>100.79999999999995</v>
      </c>
      <c r="K5380" s="70">
        <f>Vendas[[#This Row],[Lucro da Venda]]/Vendas[[#This Row],[Valor da Venda]]</f>
        <v>0.13432835820895517</v>
      </c>
      <c r="L5380" s="3">
        <f>_xlfn.IFS(Vendas[[#This Row],[Margem de Lucro (%)]]&lt;15%,Vendas[[#This Row],[Valor da Venda]]*3%,Vendas[[#This Row],[Margem de Lucro (%)]]&lt;=20%,Vendas[[#This Row],[Valor da Venda]]*4.5%,TRUE,Vendas[[#This Row],[Valor da Venda]]*6%)</f>
        <v>22.511999999999997</v>
      </c>
      <c r="M5380"/>
    </row>
    <row r="5381" spans="1:13" x14ac:dyDescent="0.3">
      <c r="A5381" s="7">
        <v>400251</v>
      </c>
      <c r="B5381" t="str">
        <f>_xlfn.XLOOKUP(Vendas[[#This Row],[ID Vendedor]],Vendedores[ID],Vendedores[Nome])</f>
        <v>Diego</v>
      </c>
      <c r="C5381" s="7" t="str">
        <f>_xlfn.XLOOKUP(Vendas[[#This Row],[ID Vendedor]],Vendedores[ID],Vendedores[Setor])</f>
        <v>AB</v>
      </c>
      <c r="D5381" s="7" t="s">
        <v>12</v>
      </c>
      <c r="E5381" t="str">
        <f>_xlfn.XLOOKUP(Vendas[[#This Row],[ID Item Vendido]],Agregado[ID],Agregado[Produto])</f>
        <v>Grânulo de plástico reciclado refinado</v>
      </c>
      <c r="F5381" s="39">
        <v>46056</v>
      </c>
      <c r="G5381" s="7">
        <v>100</v>
      </c>
      <c r="H5381" s="3">
        <f>_xlfn.XLOOKUP(Vendas[[#This Row],[ID Item Vendido]],Agregado[ID],Agregado[Revenda])</f>
        <v>4.7</v>
      </c>
      <c r="I5381" s="3">
        <f>Vendas[[#This Row],[Valor Unitário]]*Vendas[[#This Row],[Qnt Vendida]]</f>
        <v>470</v>
      </c>
      <c r="J5381" s="3">
        <f>Vendas[[#This Row],[Valor da Venda]]-(_xlfn.XLOOKUP(Vendas[[#This Row],[ID Item Vendido]],Agregado[ID],Agregado[Custo])*Vendas[[#This Row],[Qnt Vendida]])</f>
        <v>120</v>
      </c>
      <c r="K5381" s="70">
        <f>Vendas[[#This Row],[Lucro da Venda]]/Vendas[[#This Row],[Valor da Venda]]</f>
        <v>0.25531914893617019</v>
      </c>
      <c r="L5381" s="3">
        <f>_xlfn.IFS(Vendas[[#This Row],[Margem de Lucro (%)]]&lt;15%,Vendas[[#This Row],[Valor da Venda]]*3%,Vendas[[#This Row],[Margem de Lucro (%)]]&lt;=20%,Vendas[[#This Row],[Valor da Venda]]*4.5%,TRUE,Vendas[[#This Row],[Valor da Venda]]*6%)</f>
        <v>28.2</v>
      </c>
      <c r="M5381"/>
    </row>
    <row r="5382" spans="1:13" x14ac:dyDescent="0.3">
      <c r="A5382" s="7">
        <v>400247</v>
      </c>
      <c r="B5382" t="str">
        <f>_xlfn.XLOOKUP(Vendas[[#This Row],[ID Vendedor]],Vendedores[ID],Vendedores[Nome])</f>
        <v>André</v>
      </c>
      <c r="C5382" s="7" t="str">
        <f>_xlfn.XLOOKUP(Vendas[[#This Row],[ID Vendedor]],Vendedores[ID],Vendedores[Setor])</f>
        <v>CM</v>
      </c>
      <c r="D5382" s="7" t="s">
        <v>22</v>
      </c>
      <c r="E5382" t="str">
        <f>_xlfn.XLOOKUP(Vendas[[#This Row],[ID Item Vendido]],Agregado[ID],Agregado[Produto])</f>
        <v>Painel MDP 2,75x1,83m</v>
      </c>
      <c r="F5382" s="39">
        <v>46057</v>
      </c>
      <c r="G5382" s="7">
        <v>25</v>
      </c>
      <c r="H5382" s="3">
        <f>_xlfn.XLOOKUP(Vendas[[#This Row],[ID Item Vendido]],Agregado[ID],Agregado[Revenda])</f>
        <v>119</v>
      </c>
      <c r="I5382" s="3">
        <f>Vendas[[#This Row],[Valor Unitário]]*Vendas[[#This Row],[Qnt Vendida]]</f>
        <v>2975</v>
      </c>
      <c r="J5382" s="3">
        <f>Vendas[[#This Row],[Valor da Venda]]-(_xlfn.XLOOKUP(Vendas[[#This Row],[ID Item Vendido]],Agregado[ID],Agregado[Custo])*Vendas[[#This Row],[Qnt Vendida]])</f>
        <v>600</v>
      </c>
      <c r="K5382" s="70">
        <f>Vendas[[#This Row],[Lucro da Venda]]/Vendas[[#This Row],[Valor da Venda]]</f>
        <v>0.20168067226890757</v>
      </c>
      <c r="L5382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382"/>
    </row>
    <row r="5383" spans="1:13" x14ac:dyDescent="0.3">
      <c r="A5383" s="7">
        <v>400248</v>
      </c>
      <c r="B5383" t="str">
        <f>_xlfn.XLOOKUP(Vendas[[#This Row],[ID Vendedor]],Vendedores[ID],Vendedores[Nome])</f>
        <v>Patrícia</v>
      </c>
      <c r="C5383" s="7" t="str">
        <f>_xlfn.XLOOKUP(Vendas[[#This Row],[ID Vendedor]],Vendedores[ID],Vendedores[Setor])</f>
        <v>CM</v>
      </c>
      <c r="D5383" s="7" t="s">
        <v>43</v>
      </c>
      <c r="E5383" t="str">
        <f>_xlfn.XLOOKUP(Vendas[[#This Row],[ID Item Vendido]],Agregado[ID],Agregado[Produto])</f>
        <v>Madeira Bruta (Tora)</v>
      </c>
      <c r="F5383" s="39">
        <v>46057</v>
      </c>
      <c r="G5383" s="7">
        <v>8</v>
      </c>
      <c r="H5383" s="3">
        <f>_xlfn.XLOOKUP(Vendas[[#This Row],[ID Item Vendido]],Agregado[ID],Agregado[Revenda])</f>
        <v>212</v>
      </c>
      <c r="I5383" s="3">
        <f>Vendas[[#This Row],[Valor Unitário]]*Vendas[[#This Row],[Qnt Vendida]]</f>
        <v>1696</v>
      </c>
      <c r="J5383" s="3">
        <f>Vendas[[#This Row],[Valor da Venda]]-(_xlfn.XLOOKUP(Vendas[[#This Row],[ID Item Vendido]],Agregado[ID],Agregado[Custo])*Vendas[[#This Row],[Qnt Vendida]])</f>
        <v>256</v>
      </c>
      <c r="K5383" s="70">
        <f>Vendas[[#This Row],[Lucro da Venda]]/Vendas[[#This Row],[Valor da Venda]]</f>
        <v>0.15094339622641509</v>
      </c>
      <c r="L5383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5383"/>
    </row>
    <row r="5384" spans="1:13" x14ac:dyDescent="0.3">
      <c r="A5384" s="7">
        <v>400248</v>
      </c>
      <c r="B5384" t="str">
        <f>_xlfn.XLOOKUP(Vendas[[#This Row],[ID Vendedor]],Vendedores[ID],Vendedores[Nome])</f>
        <v>Patrícia</v>
      </c>
      <c r="C5384" s="7" t="str">
        <f>_xlfn.XLOOKUP(Vendas[[#This Row],[ID Vendedor]],Vendedores[ID],Vendedores[Setor])</f>
        <v>CM</v>
      </c>
      <c r="D5384" s="7" t="s">
        <v>22</v>
      </c>
      <c r="E5384" t="str">
        <f>_xlfn.XLOOKUP(Vendas[[#This Row],[ID Item Vendido]],Agregado[ID],Agregado[Produto])</f>
        <v>Painel MDP 2,75x1,83m</v>
      </c>
      <c r="F5384" s="39">
        <v>46057</v>
      </c>
      <c r="G5384" s="7">
        <v>13</v>
      </c>
      <c r="H5384" s="3">
        <f>_xlfn.XLOOKUP(Vendas[[#This Row],[ID Item Vendido]],Agregado[ID],Agregado[Revenda])</f>
        <v>119</v>
      </c>
      <c r="I5384" s="3">
        <f>Vendas[[#This Row],[Valor Unitário]]*Vendas[[#This Row],[Qnt Vendida]]</f>
        <v>1547</v>
      </c>
      <c r="J5384" s="3">
        <f>Vendas[[#This Row],[Valor da Venda]]-(_xlfn.XLOOKUP(Vendas[[#This Row],[ID Item Vendido]],Agregado[ID],Agregado[Custo])*Vendas[[#This Row],[Qnt Vendida]])</f>
        <v>312</v>
      </c>
      <c r="K5384" s="70">
        <f>Vendas[[#This Row],[Lucro da Venda]]/Vendas[[#This Row],[Valor da Venda]]</f>
        <v>0.20168067226890757</v>
      </c>
      <c r="L5384" s="3">
        <f>_xlfn.IFS(Vendas[[#This Row],[Margem de Lucro (%)]]&lt;15%,Vendas[[#This Row],[Valor da Venda]]*3%,Vendas[[#This Row],[Margem de Lucro (%)]]&lt;=20%,Vendas[[#This Row],[Valor da Venda]]*4.5%,TRUE,Vendas[[#This Row],[Valor da Venda]]*6%)</f>
        <v>92.82</v>
      </c>
      <c r="M5384"/>
    </row>
    <row r="5385" spans="1:13" x14ac:dyDescent="0.3">
      <c r="A5385" s="7">
        <v>400249</v>
      </c>
      <c r="B5385" t="str">
        <f>_xlfn.XLOOKUP(Vendas[[#This Row],[ID Vendedor]],Vendedores[ID],Vendedores[Nome])</f>
        <v>Bruno</v>
      </c>
      <c r="C5385" s="7" t="str">
        <f>_xlfn.XLOOKUP(Vendas[[#This Row],[ID Vendedor]],Vendedores[ID],Vendedores[Setor])</f>
        <v>CM</v>
      </c>
      <c r="D5385" s="7" t="s">
        <v>22</v>
      </c>
      <c r="E5385" t="str">
        <f>_xlfn.XLOOKUP(Vendas[[#This Row],[ID Item Vendido]],Agregado[ID],Agregado[Produto])</f>
        <v>Painel MDP 2,75x1,83m</v>
      </c>
      <c r="F5385" s="39">
        <v>46057</v>
      </c>
      <c r="G5385" s="7">
        <v>6</v>
      </c>
      <c r="H5385" s="3">
        <f>_xlfn.XLOOKUP(Vendas[[#This Row],[ID Item Vendido]],Agregado[ID],Agregado[Revenda])</f>
        <v>119</v>
      </c>
      <c r="I5385" s="3">
        <f>Vendas[[#This Row],[Valor Unitário]]*Vendas[[#This Row],[Qnt Vendida]]</f>
        <v>714</v>
      </c>
      <c r="J5385" s="3">
        <f>Vendas[[#This Row],[Valor da Venda]]-(_xlfn.XLOOKUP(Vendas[[#This Row],[ID Item Vendido]],Agregado[ID],Agregado[Custo])*Vendas[[#This Row],[Qnt Vendida]])</f>
        <v>144</v>
      </c>
      <c r="K5385" s="70">
        <f>Vendas[[#This Row],[Lucro da Venda]]/Vendas[[#This Row],[Valor da Venda]]</f>
        <v>0.20168067226890757</v>
      </c>
      <c r="L5385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385"/>
    </row>
    <row r="5386" spans="1:13" x14ac:dyDescent="0.3">
      <c r="A5386" s="7">
        <v>400247</v>
      </c>
      <c r="B5386" t="str">
        <f>_xlfn.XLOOKUP(Vendas[[#This Row],[ID Vendedor]],Vendedores[ID],Vendedores[Nome])</f>
        <v>André</v>
      </c>
      <c r="C5386" s="7" t="str">
        <f>_xlfn.XLOOKUP(Vendas[[#This Row],[ID Vendedor]],Vendedores[ID],Vendedores[Setor])</f>
        <v>CM</v>
      </c>
      <c r="D5386" s="7" t="s">
        <v>34</v>
      </c>
      <c r="E5386" t="str">
        <f>_xlfn.XLOOKUP(Vendas[[#This Row],[ID Item Vendido]],Agregado[ID],Agregado[Produto])</f>
        <v>Restos de madeira p/ MDP/OSB saco de 20kg</v>
      </c>
      <c r="F5386" s="39">
        <v>46057</v>
      </c>
      <c r="G5386" s="7">
        <v>29</v>
      </c>
      <c r="H5386" s="3">
        <f>_xlfn.XLOOKUP(Vendas[[#This Row],[ID Item Vendido]],Agregado[ID],Agregado[Revenda])</f>
        <v>13.8</v>
      </c>
      <c r="I5386" s="3">
        <f>Vendas[[#This Row],[Valor Unitário]]*Vendas[[#This Row],[Qnt Vendida]]</f>
        <v>400.20000000000005</v>
      </c>
      <c r="J5386" s="3">
        <f>Vendas[[#This Row],[Valor da Venda]]-(_xlfn.XLOOKUP(Vendas[[#This Row],[ID Item Vendido]],Agregado[ID],Agregado[Custo])*Vendas[[#This Row],[Qnt Vendida]])</f>
        <v>52.200000000000045</v>
      </c>
      <c r="K5386" s="70">
        <f>Vendas[[#This Row],[Lucro da Venda]]/Vendas[[#This Row],[Valor da Venda]]</f>
        <v>0.13043478260869576</v>
      </c>
      <c r="L5386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5386"/>
    </row>
    <row r="5387" spans="1:13" x14ac:dyDescent="0.3">
      <c r="A5387" s="7">
        <v>400247</v>
      </c>
      <c r="B5387" t="str">
        <f>_xlfn.XLOOKUP(Vendas[[#This Row],[ID Vendedor]],Vendedores[ID],Vendedores[Nome])</f>
        <v>André</v>
      </c>
      <c r="C5387" s="7" t="str">
        <f>_xlfn.XLOOKUP(Vendas[[#This Row],[ID Vendedor]],Vendedores[ID],Vendedores[Setor])</f>
        <v>CM</v>
      </c>
      <c r="D5387" s="7" t="s">
        <v>34</v>
      </c>
      <c r="E5387" t="str">
        <f>_xlfn.XLOOKUP(Vendas[[#This Row],[ID Item Vendido]],Agregado[ID],Agregado[Produto])</f>
        <v>Restos de madeira p/ MDP/OSB saco de 20kg</v>
      </c>
      <c r="F5387" s="39">
        <v>46057</v>
      </c>
      <c r="G5387" s="7">
        <v>19</v>
      </c>
      <c r="H5387" s="3">
        <f>_xlfn.XLOOKUP(Vendas[[#This Row],[ID Item Vendido]],Agregado[ID],Agregado[Revenda])</f>
        <v>13.8</v>
      </c>
      <c r="I5387" s="3">
        <f>Vendas[[#This Row],[Valor Unitário]]*Vendas[[#This Row],[Qnt Vendida]]</f>
        <v>262.2</v>
      </c>
      <c r="J5387" s="3">
        <f>Vendas[[#This Row],[Valor da Venda]]-(_xlfn.XLOOKUP(Vendas[[#This Row],[ID Item Vendido]],Agregado[ID],Agregado[Custo])*Vendas[[#This Row],[Qnt Vendida]])</f>
        <v>34.199999999999989</v>
      </c>
      <c r="K5387" s="70">
        <f>Vendas[[#This Row],[Lucro da Venda]]/Vendas[[#This Row],[Valor da Venda]]</f>
        <v>0.13043478260869562</v>
      </c>
      <c r="L5387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5387"/>
    </row>
    <row r="5388" spans="1:13" x14ac:dyDescent="0.3">
      <c r="A5388" s="7">
        <v>400244</v>
      </c>
      <c r="B5388" t="str">
        <f>_xlfn.XLOOKUP(Vendas[[#This Row],[ID Vendedor]],Vendedores[ID],Vendedores[Nome])</f>
        <v>Camila</v>
      </c>
      <c r="C5388" s="7" t="str">
        <f>_xlfn.XLOOKUP(Vendas[[#This Row],[ID Vendedor]],Vendedores[ID],Vendedores[Setor])</f>
        <v>AHD</v>
      </c>
      <c r="D5388" s="7" t="s">
        <v>44</v>
      </c>
      <c r="E5388" t="str">
        <f>_xlfn.XLOOKUP(Vendas[[#This Row],[ID Item Vendido]],Agregado[ID],Agregado[Produto])</f>
        <v>Liga metálica especial</v>
      </c>
      <c r="F5388" s="39">
        <v>46058</v>
      </c>
      <c r="G5388" s="7">
        <v>37</v>
      </c>
      <c r="H5388" s="3">
        <f>_xlfn.XLOOKUP(Vendas[[#This Row],[ID Item Vendido]],Agregado[ID],Agregado[Revenda])</f>
        <v>32.5</v>
      </c>
      <c r="I5388" s="3">
        <f>Vendas[[#This Row],[Valor Unitário]]*Vendas[[#This Row],[Qnt Vendida]]</f>
        <v>1202.5</v>
      </c>
      <c r="J5388" s="3">
        <f>Vendas[[#This Row],[Valor da Venda]]-(_xlfn.XLOOKUP(Vendas[[#This Row],[ID Item Vendido]],Agregado[ID],Agregado[Custo])*Vendas[[#This Row],[Qnt Vendida]])</f>
        <v>277.5</v>
      </c>
      <c r="K5388" s="70">
        <f>Vendas[[#This Row],[Lucro da Venda]]/Vendas[[#This Row],[Valor da Venda]]</f>
        <v>0.23076923076923078</v>
      </c>
      <c r="L5388" s="3">
        <f>_xlfn.IFS(Vendas[[#This Row],[Margem de Lucro (%)]]&lt;15%,Vendas[[#This Row],[Valor da Venda]]*3%,Vendas[[#This Row],[Margem de Lucro (%)]]&lt;=20%,Vendas[[#This Row],[Valor da Venda]]*4.5%,TRUE,Vendas[[#This Row],[Valor da Venda]]*6%)</f>
        <v>72.149999999999991</v>
      </c>
      <c r="M5388"/>
    </row>
    <row r="5389" spans="1:13" x14ac:dyDescent="0.3">
      <c r="A5389" s="7">
        <v>400246</v>
      </c>
      <c r="B5389" t="str">
        <f>_xlfn.XLOOKUP(Vendas[[#This Row],[ID Vendedor]],Vendedores[ID],Vendedores[Nome])</f>
        <v>Juliana</v>
      </c>
      <c r="C5389" s="7" t="str">
        <f>_xlfn.XLOOKUP(Vendas[[#This Row],[ID Vendedor]],Vendedores[ID],Vendedores[Setor])</f>
        <v>AHD</v>
      </c>
      <c r="D5389" s="7" t="s">
        <v>18</v>
      </c>
      <c r="E5389" t="str">
        <f>_xlfn.XLOOKUP(Vendas[[#This Row],[ID Item Vendido]],Agregado[ID],Agregado[Produto])</f>
        <v>Peça forjada sob encomenda</v>
      </c>
      <c r="F5389" s="39">
        <v>46058</v>
      </c>
      <c r="G5389" s="7">
        <v>3</v>
      </c>
      <c r="H5389" s="3">
        <f>_xlfn.XLOOKUP(Vendas[[#This Row],[ID Item Vendido]],Agregado[ID],Agregado[Revenda])</f>
        <v>264.60000000000002</v>
      </c>
      <c r="I5389" s="3">
        <f>Vendas[[#This Row],[Valor Unitário]]*Vendas[[#This Row],[Qnt Vendida]]</f>
        <v>793.80000000000007</v>
      </c>
      <c r="J5389" s="3">
        <f>Vendas[[#This Row],[Valor da Venda]]-(_xlfn.XLOOKUP(Vendas[[#This Row],[ID Item Vendido]],Agregado[ID],Agregado[Custo])*Vendas[[#This Row],[Qnt Vendida]])</f>
        <v>43.800000000000068</v>
      </c>
      <c r="K5389" s="70">
        <f>Vendas[[#This Row],[Lucro da Venda]]/Vendas[[#This Row],[Valor da Venda]]</f>
        <v>5.5177626606198113E-2</v>
      </c>
      <c r="L5389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389"/>
    </row>
    <row r="5390" spans="1:13" x14ac:dyDescent="0.3">
      <c r="A5390" s="7">
        <v>400253</v>
      </c>
      <c r="B5390" t="str">
        <f>_xlfn.XLOOKUP(Vendas[[#This Row],[ID Vendedor]],Vendedores[ID],Vendedores[Nome])</f>
        <v>Gustavo</v>
      </c>
      <c r="C5390" s="7" t="str">
        <f>_xlfn.XLOOKUP(Vendas[[#This Row],[ID Vendedor]],Vendedores[ID],Vendedores[Setor])</f>
        <v>SC</v>
      </c>
      <c r="D5390" s="7" t="s">
        <v>14</v>
      </c>
      <c r="E5390" t="str">
        <f>_xlfn.XLOOKUP(Vendas[[#This Row],[ID Item Vendido]],Agregado[ID],Agregado[Produto])</f>
        <v>Barril de plástico 200L</v>
      </c>
      <c r="F5390" s="39">
        <v>46059</v>
      </c>
      <c r="G5390" s="7">
        <v>24</v>
      </c>
      <c r="H5390" s="3">
        <f>_xlfn.XLOOKUP(Vendas[[#This Row],[ID Item Vendido]],Agregado[ID],Agregado[Revenda])</f>
        <v>114</v>
      </c>
      <c r="I5390" s="3">
        <f>Vendas[[#This Row],[Valor Unitário]]*Vendas[[#This Row],[Qnt Vendida]]</f>
        <v>2736</v>
      </c>
      <c r="J5390" s="3">
        <f>Vendas[[#This Row],[Valor da Venda]]-(_xlfn.XLOOKUP(Vendas[[#This Row],[ID Item Vendido]],Agregado[ID],Agregado[Custo])*Vendas[[#This Row],[Qnt Vendida]])</f>
        <v>456</v>
      </c>
      <c r="K5390" s="70">
        <f>Vendas[[#This Row],[Lucro da Venda]]/Vendas[[#This Row],[Valor da Venda]]</f>
        <v>0.16666666666666666</v>
      </c>
      <c r="L5390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5390"/>
    </row>
    <row r="5391" spans="1:13" x14ac:dyDescent="0.3">
      <c r="A5391" s="7">
        <v>400252</v>
      </c>
      <c r="B5391" t="str">
        <f>_xlfn.XLOOKUP(Vendas[[#This Row],[ID Vendedor]],Vendedores[ID],Vendedores[Nome])</f>
        <v>Renata</v>
      </c>
      <c r="C5391" s="7" t="str">
        <f>_xlfn.XLOOKUP(Vendas[[#This Row],[ID Vendedor]],Vendedores[ID],Vendedores[Setor])</f>
        <v>AB</v>
      </c>
      <c r="D5391" s="7" t="s">
        <v>12</v>
      </c>
      <c r="E5391" t="str">
        <f>_xlfn.XLOOKUP(Vendas[[#This Row],[ID Item Vendido]],Agregado[ID],Agregado[Produto])</f>
        <v>Grânulo de plástico reciclado refinado</v>
      </c>
      <c r="F5391" s="39">
        <v>46059</v>
      </c>
      <c r="G5391" s="7">
        <v>29</v>
      </c>
      <c r="H5391" s="3">
        <f>_xlfn.XLOOKUP(Vendas[[#This Row],[ID Item Vendido]],Agregado[ID],Agregado[Revenda])</f>
        <v>4.7</v>
      </c>
      <c r="I5391" s="3">
        <f>Vendas[[#This Row],[Valor Unitário]]*Vendas[[#This Row],[Qnt Vendida]]</f>
        <v>136.30000000000001</v>
      </c>
      <c r="J5391" s="3">
        <f>Vendas[[#This Row],[Valor da Venda]]-(_xlfn.XLOOKUP(Vendas[[#This Row],[ID Item Vendido]],Agregado[ID],Agregado[Custo])*Vendas[[#This Row],[Qnt Vendida]])</f>
        <v>34.800000000000011</v>
      </c>
      <c r="K5391" s="70">
        <f>Vendas[[#This Row],[Lucro da Venda]]/Vendas[[#This Row],[Valor da Venda]]</f>
        <v>0.25531914893617025</v>
      </c>
      <c r="L5391" s="3">
        <f>_xlfn.IFS(Vendas[[#This Row],[Margem de Lucro (%)]]&lt;15%,Vendas[[#This Row],[Valor da Venda]]*3%,Vendas[[#This Row],[Margem de Lucro (%)]]&lt;=20%,Vendas[[#This Row],[Valor da Venda]]*4.5%,TRUE,Vendas[[#This Row],[Valor da Venda]]*6%)</f>
        <v>8.1780000000000008</v>
      </c>
      <c r="M5391"/>
    </row>
    <row r="5392" spans="1:13" x14ac:dyDescent="0.3">
      <c r="A5392" s="7">
        <v>400250</v>
      </c>
      <c r="B5392" t="str">
        <f>_xlfn.XLOOKUP(Vendas[[#This Row],[ID Vendedor]],Vendedores[ID],Vendedores[Nome])</f>
        <v>Larissa</v>
      </c>
      <c r="C5392" s="7" t="str">
        <f>_xlfn.XLOOKUP(Vendas[[#This Row],[ID Vendedor]],Vendedores[ID],Vendedores[Setor])</f>
        <v>AB</v>
      </c>
      <c r="D5392" s="7" t="s">
        <v>39</v>
      </c>
      <c r="E5392" t="str">
        <f>_xlfn.XLOOKUP(Vendas[[#This Row],[ID Item Vendido]],Agregado[ID],Agregado[Produto])</f>
        <v>Filme plástico industrial rolo 50m</v>
      </c>
      <c r="F5392" s="39">
        <v>46060</v>
      </c>
      <c r="G5392" s="7">
        <v>7</v>
      </c>
      <c r="H5392" s="3">
        <f>_xlfn.XLOOKUP(Vendas[[#This Row],[ID Item Vendido]],Agregado[ID],Agregado[Revenda])</f>
        <v>37</v>
      </c>
      <c r="I5392" s="3">
        <f>Vendas[[#This Row],[Valor Unitário]]*Vendas[[#This Row],[Qnt Vendida]]</f>
        <v>259</v>
      </c>
      <c r="J5392" s="3">
        <f>Vendas[[#This Row],[Valor da Venda]]-(_xlfn.XLOOKUP(Vendas[[#This Row],[ID Item Vendido]],Agregado[ID],Agregado[Custo])*Vendas[[#This Row],[Qnt Vendida]])</f>
        <v>63</v>
      </c>
      <c r="K5392" s="70">
        <f>Vendas[[#This Row],[Lucro da Venda]]/Vendas[[#This Row],[Valor da Venda]]</f>
        <v>0.24324324324324326</v>
      </c>
      <c r="L5392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5392"/>
    </row>
    <row r="5393" spans="1:13" x14ac:dyDescent="0.3">
      <c r="A5393" s="7">
        <v>400248</v>
      </c>
      <c r="B5393" t="str">
        <f>_xlfn.XLOOKUP(Vendas[[#This Row],[ID Vendedor]],Vendedores[ID],Vendedores[Nome])</f>
        <v>Patrícia</v>
      </c>
      <c r="C5393" s="7" t="str">
        <f>_xlfn.XLOOKUP(Vendas[[#This Row],[ID Vendedor]],Vendedores[ID],Vendedores[Setor])</f>
        <v>CM</v>
      </c>
      <c r="D5393" s="7" t="s">
        <v>32</v>
      </c>
      <c r="E5393" t="str">
        <f>_xlfn.XLOOKUP(Vendas[[#This Row],[ID Item Vendido]],Agregado[ID],Agregado[Produto])</f>
        <v>Tábua tratada e cortada 3m</v>
      </c>
      <c r="F5393" s="39">
        <v>46061</v>
      </c>
      <c r="G5393" s="7">
        <v>22</v>
      </c>
      <c r="H5393" s="3">
        <f>_xlfn.XLOOKUP(Vendas[[#This Row],[ID Item Vendido]],Agregado[ID],Agregado[Revenda])</f>
        <v>39</v>
      </c>
      <c r="I5393" s="3">
        <f>Vendas[[#This Row],[Valor Unitário]]*Vendas[[#This Row],[Qnt Vendida]]</f>
        <v>858</v>
      </c>
      <c r="J5393" s="3">
        <f>Vendas[[#This Row],[Valor da Venda]]-(_xlfn.XLOOKUP(Vendas[[#This Row],[ID Item Vendido]],Agregado[ID],Agregado[Custo])*Vendas[[#This Row],[Qnt Vendida]])</f>
        <v>154</v>
      </c>
      <c r="K5393" s="70">
        <f>Vendas[[#This Row],[Lucro da Venda]]/Vendas[[#This Row],[Valor da Venda]]</f>
        <v>0.17948717948717949</v>
      </c>
      <c r="L5393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5393"/>
    </row>
    <row r="5394" spans="1:13" x14ac:dyDescent="0.3">
      <c r="A5394" s="7">
        <v>400245</v>
      </c>
      <c r="B5394" t="str">
        <f>_xlfn.XLOOKUP(Vendas[[#This Row],[ID Vendedor]],Vendedores[ID],Vendedores[Nome])</f>
        <v>Thiago</v>
      </c>
      <c r="C5394" s="7" t="str">
        <f>_xlfn.XLOOKUP(Vendas[[#This Row],[ID Vendedor]],Vendedores[ID],Vendedores[Setor])</f>
        <v>AHD</v>
      </c>
      <c r="D5394" s="7" t="s">
        <v>30</v>
      </c>
      <c r="E5394" t="str">
        <f>_xlfn.XLOOKUP(Vendas[[#This Row],[ID Item Vendido]],Agregado[ID],Agregado[Produto])</f>
        <v>Estrutura metálica soldada</v>
      </c>
      <c r="F5394" s="39">
        <v>46061</v>
      </c>
      <c r="G5394" s="7">
        <v>1</v>
      </c>
      <c r="H5394" s="3">
        <f>_xlfn.XLOOKUP(Vendas[[#This Row],[ID Item Vendido]],Agregado[ID],Agregado[Revenda])</f>
        <v>400</v>
      </c>
      <c r="I5394" s="3">
        <f>Vendas[[#This Row],[Valor Unitário]]*Vendas[[#This Row],[Qnt Vendida]]</f>
        <v>400</v>
      </c>
      <c r="J5394" s="3">
        <f>Vendas[[#This Row],[Valor da Venda]]-(_xlfn.XLOOKUP(Vendas[[#This Row],[ID Item Vendido]],Agregado[ID],Agregado[Custo])*Vendas[[#This Row],[Qnt Vendida]])</f>
        <v>80</v>
      </c>
      <c r="K5394" s="70">
        <f>Vendas[[#This Row],[Lucro da Venda]]/Vendas[[#This Row],[Valor da Venda]]</f>
        <v>0.2</v>
      </c>
      <c r="L539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5394"/>
    </row>
    <row r="5395" spans="1:13" x14ac:dyDescent="0.3">
      <c r="A5395" s="7">
        <v>400241</v>
      </c>
      <c r="B5395" t="str">
        <f>_xlfn.XLOOKUP(Vendas[[#This Row],[ID Vendedor]],Vendedores[ID],Vendedores[Nome])</f>
        <v>Rodrigo</v>
      </c>
      <c r="C5395" s="7" t="str">
        <f>_xlfn.XLOOKUP(Vendas[[#This Row],[ID Vendedor]],Vendedores[ID],Vendedores[Setor])</f>
        <v>FM</v>
      </c>
      <c r="D5395" s="7" t="s">
        <v>20</v>
      </c>
      <c r="E5395" t="str">
        <f>_xlfn.XLOOKUP(Vendas[[#This Row],[ID Item Vendido]],Agregado[ID],Agregado[Produto])</f>
        <v>Barra de aço simples</v>
      </c>
      <c r="F5395" s="39">
        <v>46061</v>
      </c>
      <c r="G5395" s="7">
        <v>83</v>
      </c>
      <c r="H5395" s="3">
        <f>_xlfn.XLOOKUP(Vendas[[#This Row],[ID Item Vendido]],Agregado[ID],Agregado[Revenda])</f>
        <v>4.8</v>
      </c>
      <c r="I5395" s="3">
        <f>Vendas[[#This Row],[Valor Unitário]]*Vendas[[#This Row],[Qnt Vendida]]</f>
        <v>398.4</v>
      </c>
      <c r="J5395" s="3">
        <f>Vendas[[#This Row],[Valor da Venda]]-(_xlfn.XLOOKUP(Vendas[[#This Row],[ID Item Vendido]],Agregado[ID],Agregado[Custo])*Vendas[[#This Row],[Qnt Vendida]])</f>
        <v>49.799999999999955</v>
      </c>
      <c r="K5395" s="70">
        <f>Vendas[[#This Row],[Lucro da Venda]]/Vendas[[#This Row],[Valor da Venda]]</f>
        <v>0.12499999999999989</v>
      </c>
      <c r="L5395" s="3">
        <f>_xlfn.IFS(Vendas[[#This Row],[Margem de Lucro (%)]]&lt;15%,Vendas[[#This Row],[Valor da Venda]]*3%,Vendas[[#This Row],[Margem de Lucro (%)]]&lt;=20%,Vendas[[#This Row],[Valor da Venda]]*4.5%,TRUE,Vendas[[#This Row],[Valor da Venda]]*6%)</f>
        <v>11.951999999999998</v>
      </c>
      <c r="M5395"/>
    </row>
    <row r="5396" spans="1:13" x14ac:dyDescent="0.3">
      <c r="A5396" s="7">
        <v>400253</v>
      </c>
      <c r="B5396" t="str">
        <f>_xlfn.XLOOKUP(Vendas[[#This Row],[ID Vendedor]],Vendedores[ID],Vendedores[Nome])</f>
        <v>Gustavo</v>
      </c>
      <c r="C5396" s="7" t="str">
        <f>_xlfn.XLOOKUP(Vendas[[#This Row],[ID Vendedor]],Vendedores[ID],Vendedores[Setor])</f>
        <v>SC</v>
      </c>
      <c r="D5396" s="7" t="s">
        <v>42</v>
      </c>
      <c r="E5396" t="str">
        <f>_xlfn.XLOOKUP(Vendas[[#This Row],[ID Item Vendido]],Agregado[ID],Agregado[Produto])</f>
        <v>Container de ferro industrial</v>
      </c>
      <c r="F5396" s="39">
        <v>46062</v>
      </c>
      <c r="G5396" s="7">
        <v>5</v>
      </c>
      <c r="H5396" s="3">
        <f>_xlfn.XLOOKUP(Vendas[[#This Row],[ID Item Vendido]],Agregado[ID],Agregado[Revenda])</f>
        <v>830</v>
      </c>
      <c r="I5396" s="3">
        <f>Vendas[[#This Row],[Valor Unitário]]*Vendas[[#This Row],[Qnt Vendida]]</f>
        <v>4150</v>
      </c>
      <c r="J5396" s="3">
        <f>Vendas[[#This Row],[Valor da Venda]]-(_xlfn.XLOOKUP(Vendas[[#This Row],[ID Item Vendido]],Agregado[ID],Agregado[Custo])*Vendas[[#This Row],[Qnt Vendida]])</f>
        <v>750</v>
      </c>
      <c r="K5396" s="70">
        <f>Vendas[[#This Row],[Lucro da Venda]]/Vendas[[#This Row],[Valor da Venda]]</f>
        <v>0.18072289156626506</v>
      </c>
      <c r="L5396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396"/>
    </row>
    <row r="5397" spans="1:13" x14ac:dyDescent="0.3">
      <c r="A5397" s="7">
        <v>400244</v>
      </c>
      <c r="B5397" t="str">
        <f>_xlfn.XLOOKUP(Vendas[[#This Row],[ID Vendedor]],Vendedores[ID],Vendedores[Nome])</f>
        <v>Camila</v>
      </c>
      <c r="C5397" s="7" t="str">
        <f>_xlfn.XLOOKUP(Vendas[[#This Row],[ID Vendedor]],Vendedores[ID],Vendedores[Setor])</f>
        <v>AHD</v>
      </c>
      <c r="D5397" s="7" t="s">
        <v>18</v>
      </c>
      <c r="E5397" t="str">
        <f>_xlfn.XLOOKUP(Vendas[[#This Row],[ID Item Vendido]],Agregado[ID],Agregado[Produto])</f>
        <v>Peça forjada sob encomenda</v>
      </c>
      <c r="F5397" s="39">
        <v>46062</v>
      </c>
      <c r="G5397" s="7">
        <v>4</v>
      </c>
      <c r="H5397" s="3">
        <f>_xlfn.XLOOKUP(Vendas[[#This Row],[ID Item Vendido]],Agregado[ID],Agregado[Revenda])</f>
        <v>264.60000000000002</v>
      </c>
      <c r="I5397" s="3">
        <f>Vendas[[#This Row],[Valor Unitário]]*Vendas[[#This Row],[Qnt Vendida]]</f>
        <v>1058.4000000000001</v>
      </c>
      <c r="J5397" s="3">
        <f>Vendas[[#This Row],[Valor da Venda]]-(_xlfn.XLOOKUP(Vendas[[#This Row],[ID Item Vendido]],Agregado[ID],Agregado[Custo])*Vendas[[#This Row],[Qnt Vendida]])</f>
        <v>58.400000000000091</v>
      </c>
      <c r="K5397" s="70">
        <f>Vendas[[#This Row],[Lucro da Venda]]/Vendas[[#This Row],[Valor da Venda]]</f>
        <v>5.5177626606198113E-2</v>
      </c>
      <c r="L5397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397"/>
    </row>
    <row r="5398" spans="1:13" x14ac:dyDescent="0.3">
      <c r="A5398" s="7">
        <v>400242</v>
      </c>
      <c r="B5398" t="str">
        <f>_xlfn.XLOOKUP(Vendas[[#This Row],[ID Vendedor]],Vendedores[ID],Vendedores[Nome])</f>
        <v>Fernanda</v>
      </c>
      <c r="C5398" s="7" t="str">
        <f>_xlfn.XLOOKUP(Vendas[[#This Row],[ID Vendedor]],Vendedores[ID],Vendedores[Setor])</f>
        <v>FM</v>
      </c>
      <c r="D5398" s="7" t="s">
        <v>31</v>
      </c>
      <c r="E5398" t="str">
        <f>_xlfn.XLOOKUP(Vendas[[#This Row],[ID Item Vendido]],Agregado[ID],Agregado[Produto])</f>
        <v>Tela de metal soldada rolo 2x25m</v>
      </c>
      <c r="F5398" s="39">
        <v>46062</v>
      </c>
      <c r="G5398" s="7">
        <v>9</v>
      </c>
      <c r="H5398" s="3">
        <f>_xlfn.XLOOKUP(Vendas[[#This Row],[ID Item Vendido]],Agregado[ID],Agregado[Revenda])</f>
        <v>43.7</v>
      </c>
      <c r="I5398" s="3">
        <f>Vendas[[#This Row],[Valor Unitário]]*Vendas[[#This Row],[Qnt Vendida]]</f>
        <v>393.3</v>
      </c>
      <c r="J5398" s="3">
        <f>Vendas[[#This Row],[Valor da Venda]]-(_xlfn.XLOOKUP(Vendas[[#This Row],[ID Item Vendido]],Agregado[ID],Agregado[Custo])*Vendas[[#This Row],[Qnt Vendida]])</f>
        <v>51.300000000000011</v>
      </c>
      <c r="K5398" s="70">
        <f>Vendas[[#This Row],[Lucro da Venda]]/Vendas[[#This Row],[Valor da Venda]]</f>
        <v>0.13043478260869568</v>
      </c>
      <c r="L5398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5398"/>
    </row>
    <row r="5399" spans="1:13" x14ac:dyDescent="0.3">
      <c r="A5399" s="7">
        <v>400250</v>
      </c>
      <c r="B5399" t="str">
        <f>_xlfn.XLOOKUP(Vendas[[#This Row],[ID Vendedor]],Vendedores[ID],Vendedores[Nome])</f>
        <v>Larissa</v>
      </c>
      <c r="C5399" s="7" t="str">
        <f>_xlfn.XLOOKUP(Vendas[[#This Row],[ID Vendedor]],Vendedores[ID],Vendedores[Setor])</f>
        <v>AB</v>
      </c>
      <c r="D5399" s="7" t="s">
        <v>39</v>
      </c>
      <c r="E5399" t="str">
        <f>_xlfn.XLOOKUP(Vendas[[#This Row],[ID Item Vendido]],Agregado[ID],Agregado[Produto])</f>
        <v>Filme plástico industrial rolo 50m</v>
      </c>
      <c r="F5399" s="39">
        <v>46062</v>
      </c>
      <c r="G5399" s="7">
        <v>5</v>
      </c>
      <c r="H5399" s="3">
        <f>_xlfn.XLOOKUP(Vendas[[#This Row],[ID Item Vendido]],Agregado[ID],Agregado[Revenda])</f>
        <v>37</v>
      </c>
      <c r="I5399" s="3">
        <f>Vendas[[#This Row],[Valor Unitário]]*Vendas[[#This Row],[Qnt Vendida]]</f>
        <v>185</v>
      </c>
      <c r="J5399" s="3">
        <f>Vendas[[#This Row],[Valor da Venda]]-(_xlfn.XLOOKUP(Vendas[[#This Row],[ID Item Vendido]],Agregado[ID],Agregado[Custo])*Vendas[[#This Row],[Qnt Vendida]])</f>
        <v>45</v>
      </c>
      <c r="K5399" s="70">
        <f>Vendas[[#This Row],[Lucro da Venda]]/Vendas[[#This Row],[Valor da Venda]]</f>
        <v>0.24324324324324326</v>
      </c>
      <c r="L5399" s="3">
        <f>_xlfn.IFS(Vendas[[#This Row],[Margem de Lucro (%)]]&lt;15%,Vendas[[#This Row],[Valor da Venda]]*3%,Vendas[[#This Row],[Margem de Lucro (%)]]&lt;=20%,Vendas[[#This Row],[Valor da Venda]]*4.5%,TRUE,Vendas[[#This Row],[Valor da Venda]]*6%)</f>
        <v>11.1</v>
      </c>
      <c r="M5399"/>
    </row>
    <row r="5400" spans="1:13" x14ac:dyDescent="0.3">
      <c r="A5400" s="7">
        <v>400248</v>
      </c>
      <c r="B5400" t="str">
        <f>_xlfn.XLOOKUP(Vendas[[#This Row],[ID Vendedor]],Vendedores[ID],Vendedores[Nome])</f>
        <v>Patrícia</v>
      </c>
      <c r="C5400" s="7" t="str">
        <f>_xlfn.XLOOKUP(Vendas[[#This Row],[ID Vendedor]],Vendedores[ID],Vendedores[Setor])</f>
        <v>CM</v>
      </c>
      <c r="D5400" s="7" t="s">
        <v>22</v>
      </c>
      <c r="E5400" t="str">
        <f>_xlfn.XLOOKUP(Vendas[[#This Row],[ID Item Vendido]],Agregado[ID],Agregado[Produto])</f>
        <v>Painel MDP 2,75x1,83m</v>
      </c>
      <c r="F5400" s="39">
        <v>46063</v>
      </c>
      <c r="G5400" s="7">
        <v>17</v>
      </c>
      <c r="H5400" s="3">
        <f>_xlfn.XLOOKUP(Vendas[[#This Row],[ID Item Vendido]],Agregado[ID],Agregado[Revenda])</f>
        <v>119</v>
      </c>
      <c r="I5400" s="3">
        <f>Vendas[[#This Row],[Valor Unitário]]*Vendas[[#This Row],[Qnt Vendida]]</f>
        <v>2023</v>
      </c>
      <c r="J5400" s="3">
        <f>Vendas[[#This Row],[Valor da Venda]]-(_xlfn.XLOOKUP(Vendas[[#This Row],[ID Item Vendido]],Agregado[ID],Agregado[Custo])*Vendas[[#This Row],[Qnt Vendida]])</f>
        <v>408</v>
      </c>
      <c r="K5400" s="70">
        <f>Vendas[[#This Row],[Lucro da Venda]]/Vendas[[#This Row],[Valor da Venda]]</f>
        <v>0.20168067226890757</v>
      </c>
      <c r="L5400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400"/>
    </row>
    <row r="5401" spans="1:13" x14ac:dyDescent="0.3">
      <c r="A5401" s="7">
        <v>400246</v>
      </c>
      <c r="B5401" t="str">
        <f>_xlfn.XLOOKUP(Vendas[[#This Row],[ID Vendedor]],Vendedores[ID],Vendedores[Nome])</f>
        <v>Juliana</v>
      </c>
      <c r="C5401" s="7" t="str">
        <f>_xlfn.XLOOKUP(Vendas[[#This Row],[ID Vendedor]],Vendedores[ID],Vendedores[Setor])</f>
        <v>AHD</v>
      </c>
      <c r="D5401" s="7" t="s">
        <v>44</v>
      </c>
      <c r="E5401" t="str">
        <f>_xlfn.XLOOKUP(Vendas[[#This Row],[ID Item Vendido]],Agregado[ID],Agregado[Produto])</f>
        <v>Liga metálica especial</v>
      </c>
      <c r="F5401" s="39">
        <v>46063</v>
      </c>
      <c r="G5401" s="7">
        <v>56</v>
      </c>
      <c r="H5401" s="3">
        <f>_xlfn.XLOOKUP(Vendas[[#This Row],[ID Item Vendido]],Agregado[ID],Agregado[Revenda])</f>
        <v>32.5</v>
      </c>
      <c r="I5401" s="3">
        <f>Vendas[[#This Row],[Valor Unitário]]*Vendas[[#This Row],[Qnt Vendida]]</f>
        <v>1820</v>
      </c>
      <c r="J5401" s="3">
        <f>Vendas[[#This Row],[Valor da Venda]]-(_xlfn.XLOOKUP(Vendas[[#This Row],[ID Item Vendido]],Agregado[ID],Agregado[Custo])*Vendas[[#This Row],[Qnt Vendida]])</f>
        <v>420</v>
      </c>
      <c r="K5401" s="70">
        <f>Vendas[[#This Row],[Lucro da Venda]]/Vendas[[#This Row],[Valor da Venda]]</f>
        <v>0.23076923076923078</v>
      </c>
      <c r="L5401" s="3">
        <f>_xlfn.IFS(Vendas[[#This Row],[Margem de Lucro (%)]]&lt;15%,Vendas[[#This Row],[Valor da Venda]]*3%,Vendas[[#This Row],[Margem de Lucro (%)]]&lt;=20%,Vendas[[#This Row],[Valor da Venda]]*4.5%,TRUE,Vendas[[#This Row],[Valor da Venda]]*6%)</f>
        <v>109.2</v>
      </c>
      <c r="M5401"/>
    </row>
    <row r="5402" spans="1:13" x14ac:dyDescent="0.3">
      <c r="A5402" s="7">
        <v>400253</v>
      </c>
      <c r="B5402" t="str">
        <f>_xlfn.XLOOKUP(Vendas[[#This Row],[ID Vendedor]],Vendedores[ID],Vendedores[Nome])</f>
        <v>Gustavo</v>
      </c>
      <c r="C5402" s="7" t="str">
        <f>_xlfn.XLOOKUP(Vendas[[#This Row],[ID Vendedor]],Vendedores[ID],Vendedores[Setor])</f>
        <v>SC</v>
      </c>
      <c r="D5402" s="7" t="s">
        <v>14</v>
      </c>
      <c r="E5402" t="str">
        <f>_xlfn.XLOOKUP(Vendas[[#This Row],[ID Item Vendido]],Agregado[ID],Agregado[Produto])</f>
        <v>Barril de plástico 200L</v>
      </c>
      <c r="F5402" s="39">
        <v>46063</v>
      </c>
      <c r="G5402" s="7">
        <v>14</v>
      </c>
      <c r="H5402" s="3">
        <f>_xlfn.XLOOKUP(Vendas[[#This Row],[ID Item Vendido]],Agregado[ID],Agregado[Revenda])</f>
        <v>114</v>
      </c>
      <c r="I5402" s="3">
        <f>Vendas[[#This Row],[Valor Unitário]]*Vendas[[#This Row],[Qnt Vendida]]</f>
        <v>1596</v>
      </c>
      <c r="J5402" s="3">
        <f>Vendas[[#This Row],[Valor da Venda]]-(_xlfn.XLOOKUP(Vendas[[#This Row],[ID Item Vendido]],Agregado[ID],Agregado[Custo])*Vendas[[#This Row],[Qnt Vendida]])</f>
        <v>266</v>
      </c>
      <c r="K5402" s="70">
        <f>Vendas[[#This Row],[Lucro da Venda]]/Vendas[[#This Row],[Valor da Venda]]</f>
        <v>0.16666666666666666</v>
      </c>
      <c r="L5402" s="3">
        <f>_xlfn.IFS(Vendas[[#This Row],[Margem de Lucro (%)]]&lt;15%,Vendas[[#This Row],[Valor da Venda]]*3%,Vendas[[#This Row],[Margem de Lucro (%)]]&lt;=20%,Vendas[[#This Row],[Valor da Venda]]*4.5%,TRUE,Vendas[[#This Row],[Valor da Venda]]*6%)</f>
        <v>71.819999999999993</v>
      </c>
      <c r="M5402"/>
    </row>
    <row r="5403" spans="1:13" x14ac:dyDescent="0.3">
      <c r="A5403" s="7">
        <v>400248</v>
      </c>
      <c r="B5403" t="str">
        <f>_xlfn.XLOOKUP(Vendas[[#This Row],[ID Vendedor]],Vendedores[ID],Vendedores[Nome])</f>
        <v>Patrícia</v>
      </c>
      <c r="C5403" s="7" t="str">
        <f>_xlfn.XLOOKUP(Vendas[[#This Row],[ID Vendedor]],Vendedores[ID],Vendedores[Setor])</f>
        <v>CM</v>
      </c>
      <c r="D5403" s="7" t="s">
        <v>43</v>
      </c>
      <c r="E5403" t="str">
        <f>_xlfn.XLOOKUP(Vendas[[#This Row],[ID Item Vendido]],Agregado[ID],Agregado[Produto])</f>
        <v>Madeira Bruta (Tora)</v>
      </c>
      <c r="F5403" s="39">
        <v>46063</v>
      </c>
      <c r="G5403" s="7">
        <v>6</v>
      </c>
      <c r="H5403" s="3">
        <f>_xlfn.XLOOKUP(Vendas[[#This Row],[ID Item Vendido]],Agregado[ID],Agregado[Revenda])</f>
        <v>212</v>
      </c>
      <c r="I5403" s="3">
        <f>Vendas[[#This Row],[Valor Unitário]]*Vendas[[#This Row],[Qnt Vendida]]</f>
        <v>1272</v>
      </c>
      <c r="J5403" s="3">
        <f>Vendas[[#This Row],[Valor da Venda]]-(_xlfn.XLOOKUP(Vendas[[#This Row],[ID Item Vendido]],Agregado[ID],Agregado[Custo])*Vendas[[#This Row],[Qnt Vendida]])</f>
        <v>192</v>
      </c>
      <c r="K5403" s="70">
        <f>Vendas[[#This Row],[Lucro da Venda]]/Vendas[[#This Row],[Valor da Venda]]</f>
        <v>0.15094339622641509</v>
      </c>
      <c r="L5403" s="3">
        <f>_xlfn.IFS(Vendas[[#This Row],[Margem de Lucro (%)]]&lt;15%,Vendas[[#This Row],[Valor da Venda]]*3%,Vendas[[#This Row],[Margem de Lucro (%)]]&lt;=20%,Vendas[[#This Row],[Valor da Venda]]*4.5%,TRUE,Vendas[[#This Row],[Valor da Venda]]*6%)</f>
        <v>57.239999999999995</v>
      </c>
      <c r="M5403"/>
    </row>
    <row r="5404" spans="1:13" x14ac:dyDescent="0.3">
      <c r="A5404" s="7">
        <v>400241</v>
      </c>
      <c r="B5404" t="str">
        <f>_xlfn.XLOOKUP(Vendas[[#This Row],[ID Vendedor]],Vendedores[ID],Vendedores[Nome])</f>
        <v>Rodrigo</v>
      </c>
      <c r="C5404" s="7" t="str">
        <f>_xlfn.XLOOKUP(Vendas[[#This Row],[ID Vendedor]],Vendedores[ID],Vendedores[Setor])</f>
        <v>FM</v>
      </c>
      <c r="D5404" s="7" t="s">
        <v>47</v>
      </c>
      <c r="E5404" t="str">
        <f>_xlfn.XLOOKUP(Vendas[[#This Row],[ID Item Vendido]],Agregado[ID],Agregado[Produto])</f>
        <v>Fio de arame galvanizado rolo 50m</v>
      </c>
      <c r="F5404" s="39">
        <v>46063</v>
      </c>
      <c r="G5404" s="7">
        <v>33</v>
      </c>
      <c r="H5404" s="3">
        <f>_xlfn.XLOOKUP(Vendas[[#This Row],[ID Item Vendido]],Agregado[ID],Agregado[Revenda])</f>
        <v>21.2</v>
      </c>
      <c r="I5404" s="3">
        <f>Vendas[[#This Row],[Valor Unitário]]*Vendas[[#This Row],[Qnt Vendida]]</f>
        <v>699.6</v>
      </c>
      <c r="J5404" s="3">
        <f>Vendas[[#This Row],[Valor da Venda]]-(_xlfn.XLOOKUP(Vendas[[#This Row],[ID Item Vendido]],Agregado[ID],Agregado[Custo])*Vendas[[#This Row],[Qnt Vendida]])</f>
        <v>105.60000000000002</v>
      </c>
      <c r="K5404" s="70">
        <f>Vendas[[#This Row],[Lucro da Venda]]/Vendas[[#This Row],[Valor da Venda]]</f>
        <v>0.15094339622641512</v>
      </c>
      <c r="L5404" s="3">
        <f>_xlfn.IFS(Vendas[[#This Row],[Margem de Lucro (%)]]&lt;15%,Vendas[[#This Row],[Valor da Venda]]*3%,Vendas[[#This Row],[Margem de Lucro (%)]]&lt;=20%,Vendas[[#This Row],[Valor da Venda]]*4.5%,TRUE,Vendas[[#This Row],[Valor da Venda]]*6%)</f>
        <v>31.481999999999999</v>
      </c>
      <c r="M5404"/>
    </row>
    <row r="5405" spans="1:13" x14ac:dyDescent="0.3">
      <c r="A5405" s="7">
        <v>400252</v>
      </c>
      <c r="B5405" t="str">
        <f>_xlfn.XLOOKUP(Vendas[[#This Row],[ID Vendedor]],Vendedores[ID],Vendedores[Nome])</f>
        <v>Renata</v>
      </c>
      <c r="C5405" s="7" t="str">
        <f>_xlfn.XLOOKUP(Vendas[[#This Row],[ID Vendedor]],Vendedores[ID],Vendedores[Setor])</f>
        <v>AB</v>
      </c>
      <c r="D5405" s="7" t="s">
        <v>36</v>
      </c>
      <c r="E5405" t="str">
        <f>_xlfn.XLOOKUP(Vendas[[#This Row],[ID Item Vendido]],Agregado[ID],Agregado[Produto])</f>
        <v>Borracha vulcanizada em manta</v>
      </c>
      <c r="F5405" s="39">
        <v>46063</v>
      </c>
      <c r="G5405" s="7">
        <v>69</v>
      </c>
      <c r="H5405" s="3">
        <f>_xlfn.XLOOKUP(Vendas[[#This Row],[ID Item Vendido]],Agregado[ID],Agregado[Revenda])</f>
        <v>7.8</v>
      </c>
      <c r="I5405" s="3">
        <f>Vendas[[#This Row],[Valor Unitário]]*Vendas[[#This Row],[Qnt Vendida]]</f>
        <v>538.19999999999993</v>
      </c>
      <c r="J5405" s="3">
        <f>Vendas[[#This Row],[Valor da Venda]]-(_xlfn.XLOOKUP(Vendas[[#This Row],[ID Item Vendido]],Agregado[ID],Agregado[Custo])*Vendas[[#This Row],[Qnt Vendida]])</f>
        <v>124.19999999999993</v>
      </c>
      <c r="K5405" s="70">
        <f>Vendas[[#This Row],[Lucro da Venda]]/Vendas[[#This Row],[Valor da Venda]]</f>
        <v>0.23076923076923067</v>
      </c>
      <c r="L5405" s="3">
        <f>_xlfn.IFS(Vendas[[#This Row],[Margem de Lucro (%)]]&lt;15%,Vendas[[#This Row],[Valor da Venda]]*3%,Vendas[[#This Row],[Margem de Lucro (%)]]&lt;=20%,Vendas[[#This Row],[Valor da Venda]]*4.5%,TRUE,Vendas[[#This Row],[Valor da Venda]]*6%)</f>
        <v>32.291999999999994</v>
      </c>
      <c r="M5405"/>
    </row>
    <row r="5406" spans="1:13" x14ac:dyDescent="0.3">
      <c r="A5406" s="7">
        <v>400254</v>
      </c>
      <c r="B5406" t="str">
        <f>_xlfn.XLOOKUP(Vendas[[#This Row],[ID Vendedor]],Vendedores[ID],Vendedores[Nome])</f>
        <v>Beatriz</v>
      </c>
      <c r="C5406" s="7" t="str">
        <f>_xlfn.XLOOKUP(Vendas[[#This Row],[ID Vendedor]],Vendedores[ID],Vendedores[Setor])</f>
        <v>SC</v>
      </c>
      <c r="D5406" s="7" t="s">
        <v>14</v>
      </c>
      <c r="E5406" t="str">
        <f>_xlfn.XLOOKUP(Vendas[[#This Row],[ID Item Vendido]],Agregado[ID],Agregado[Produto])</f>
        <v>Barril de plástico 200L</v>
      </c>
      <c r="F5406" s="39">
        <v>46064</v>
      </c>
      <c r="G5406" s="7">
        <v>20</v>
      </c>
      <c r="H5406" s="3">
        <f>_xlfn.XLOOKUP(Vendas[[#This Row],[ID Item Vendido]],Agregado[ID],Agregado[Revenda])</f>
        <v>114</v>
      </c>
      <c r="I5406" s="3">
        <f>Vendas[[#This Row],[Valor Unitário]]*Vendas[[#This Row],[Qnt Vendida]]</f>
        <v>2280</v>
      </c>
      <c r="J5406" s="3">
        <f>Vendas[[#This Row],[Valor da Venda]]-(_xlfn.XLOOKUP(Vendas[[#This Row],[ID Item Vendido]],Agregado[ID],Agregado[Custo])*Vendas[[#This Row],[Qnt Vendida]])</f>
        <v>380</v>
      </c>
      <c r="K5406" s="70">
        <f>Vendas[[#This Row],[Lucro da Venda]]/Vendas[[#This Row],[Valor da Venda]]</f>
        <v>0.16666666666666666</v>
      </c>
      <c r="L5406" s="3">
        <f>_xlfn.IFS(Vendas[[#This Row],[Margem de Lucro (%)]]&lt;15%,Vendas[[#This Row],[Valor da Venda]]*3%,Vendas[[#This Row],[Margem de Lucro (%)]]&lt;=20%,Vendas[[#This Row],[Valor da Venda]]*4.5%,TRUE,Vendas[[#This Row],[Valor da Venda]]*6%)</f>
        <v>102.6</v>
      </c>
      <c r="M5406"/>
    </row>
    <row r="5407" spans="1:13" x14ac:dyDescent="0.3">
      <c r="A5407" s="7">
        <v>400254</v>
      </c>
      <c r="B5407" t="str">
        <f>_xlfn.XLOOKUP(Vendas[[#This Row],[ID Vendedor]],Vendedores[ID],Vendedores[Nome])</f>
        <v>Beatriz</v>
      </c>
      <c r="C5407" s="7" t="str">
        <f>_xlfn.XLOOKUP(Vendas[[#This Row],[ID Vendedor]],Vendedores[ID],Vendedores[Setor])</f>
        <v>SC</v>
      </c>
      <c r="D5407" s="7" t="s">
        <v>25</v>
      </c>
      <c r="E5407" t="str">
        <f>_xlfn.XLOOKUP(Vendas[[#This Row],[ID Item Vendido]],Agregado[ID],Agregado[Produto])</f>
        <v>Palete de plástico</v>
      </c>
      <c r="F5407" s="39">
        <v>46064</v>
      </c>
      <c r="G5407" s="7">
        <v>10</v>
      </c>
      <c r="H5407" s="3">
        <f>_xlfn.XLOOKUP(Vendas[[#This Row],[ID Item Vendido]],Agregado[ID],Agregado[Revenda])</f>
        <v>70.8</v>
      </c>
      <c r="I5407" s="3">
        <f>Vendas[[#This Row],[Valor Unitário]]*Vendas[[#This Row],[Qnt Vendida]]</f>
        <v>708</v>
      </c>
      <c r="J5407" s="3">
        <f>Vendas[[#This Row],[Valor da Venda]]-(_xlfn.XLOOKUP(Vendas[[#This Row],[ID Item Vendido]],Agregado[ID],Agregado[Custo])*Vendas[[#This Row],[Qnt Vendida]])</f>
        <v>108</v>
      </c>
      <c r="K5407" s="70">
        <f>Vendas[[#This Row],[Lucro da Venda]]/Vendas[[#This Row],[Valor da Venda]]</f>
        <v>0.15254237288135594</v>
      </c>
      <c r="L5407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5407"/>
    </row>
    <row r="5408" spans="1:13" x14ac:dyDescent="0.3">
      <c r="A5408" s="7">
        <v>400250</v>
      </c>
      <c r="B5408" t="str">
        <f>_xlfn.XLOOKUP(Vendas[[#This Row],[ID Vendedor]],Vendedores[ID],Vendedores[Nome])</f>
        <v>Larissa</v>
      </c>
      <c r="C5408" s="7" t="str">
        <f>_xlfn.XLOOKUP(Vendas[[#This Row],[ID Vendedor]],Vendedores[ID],Vendedores[Setor])</f>
        <v>AB</v>
      </c>
      <c r="D5408" s="7" t="s">
        <v>36</v>
      </c>
      <c r="E5408" t="str">
        <f>_xlfn.XLOOKUP(Vendas[[#This Row],[ID Item Vendido]],Agregado[ID],Agregado[Produto])</f>
        <v>Borracha vulcanizada em manta</v>
      </c>
      <c r="F5408" s="39">
        <v>46064</v>
      </c>
      <c r="G5408" s="7">
        <v>67</v>
      </c>
      <c r="H5408" s="3">
        <f>_xlfn.XLOOKUP(Vendas[[#This Row],[ID Item Vendido]],Agregado[ID],Agregado[Revenda])</f>
        <v>7.8</v>
      </c>
      <c r="I5408" s="3">
        <f>Vendas[[#This Row],[Valor Unitário]]*Vendas[[#This Row],[Qnt Vendida]]</f>
        <v>522.6</v>
      </c>
      <c r="J5408" s="3">
        <f>Vendas[[#This Row],[Valor da Venda]]-(_xlfn.XLOOKUP(Vendas[[#This Row],[ID Item Vendido]],Agregado[ID],Agregado[Custo])*Vendas[[#This Row],[Qnt Vendida]])</f>
        <v>120.60000000000002</v>
      </c>
      <c r="K5408" s="70">
        <f>Vendas[[#This Row],[Lucro da Venda]]/Vendas[[#This Row],[Valor da Venda]]</f>
        <v>0.23076923076923081</v>
      </c>
      <c r="L5408" s="3">
        <f>_xlfn.IFS(Vendas[[#This Row],[Margem de Lucro (%)]]&lt;15%,Vendas[[#This Row],[Valor da Venda]]*3%,Vendas[[#This Row],[Margem de Lucro (%)]]&lt;=20%,Vendas[[#This Row],[Valor da Venda]]*4.5%,TRUE,Vendas[[#This Row],[Valor da Venda]]*6%)</f>
        <v>31.356000000000002</v>
      </c>
      <c r="M5408"/>
    </row>
    <row r="5409" spans="1:13" x14ac:dyDescent="0.3">
      <c r="A5409" s="7">
        <v>400243</v>
      </c>
      <c r="B5409" t="str">
        <f>_xlfn.XLOOKUP(Vendas[[#This Row],[ID Vendedor]],Vendedores[ID],Vendedores[Nome])</f>
        <v>Marcelo</v>
      </c>
      <c r="C5409" s="7" t="str">
        <f>_xlfn.XLOOKUP(Vendas[[#This Row],[ID Vendedor]],Vendedores[ID],Vendedores[Setor])</f>
        <v>FM</v>
      </c>
      <c r="D5409" s="7" t="s">
        <v>27</v>
      </c>
      <c r="E5409" t="str">
        <f>_xlfn.XLOOKUP(Vendas[[#This Row],[ID Item Vendido]],Agregado[ID],Agregado[Produto])</f>
        <v>Chapa de metal lisa 1x2m</v>
      </c>
      <c r="F5409" s="39">
        <v>46064</v>
      </c>
      <c r="G5409" s="7">
        <v>3</v>
      </c>
      <c r="H5409" s="3">
        <f>_xlfn.XLOOKUP(Vendas[[#This Row],[ID Item Vendido]],Agregado[ID],Agregado[Revenda])</f>
        <v>52</v>
      </c>
      <c r="I5409" s="3">
        <f>Vendas[[#This Row],[Valor Unitário]]*Vendas[[#This Row],[Qnt Vendida]]</f>
        <v>156</v>
      </c>
      <c r="J5409" s="3">
        <f>Vendas[[#This Row],[Valor da Venda]]-(_xlfn.XLOOKUP(Vendas[[#This Row],[ID Item Vendido]],Agregado[ID],Agregado[Custo])*Vendas[[#This Row],[Qnt Vendida]])</f>
        <v>21</v>
      </c>
      <c r="K5409" s="70">
        <f>Vendas[[#This Row],[Lucro da Venda]]/Vendas[[#This Row],[Valor da Venda]]</f>
        <v>0.13461538461538461</v>
      </c>
      <c r="L5409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409"/>
    </row>
    <row r="5410" spans="1:13" x14ac:dyDescent="0.3">
      <c r="A5410" s="7">
        <v>400254</v>
      </c>
      <c r="B5410" t="str">
        <f>_xlfn.XLOOKUP(Vendas[[#This Row],[ID Vendedor]],Vendedores[ID],Vendedores[Nome])</f>
        <v>Beatriz</v>
      </c>
      <c r="C5410" s="7" t="str">
        <f>_xlfn.XLOOKUP(Vendas[[#This Row],[ID Vendedor]],Vendedores[ID],Vendedores[Setor])</f>
        <v>SC</v>
      </c>
      <c r="D5410" s="7" t="s">
        <v>42</v>
      </c>
      <c r="E5410" t="str">
        <f>_xlfn.XLOOKUP(Vendas[[#This Row],[ID Item Vendido]],Agregado[ID],Agregado[Produto])</f>
        <v>Container de ferro industrial</v>
      </c>
      <c r="F5410" s="39">
        <v>46065</v>
      </c>
      <c r="G5410" s="7">
        <v>1</v>
      </c>
      <c r="H5410" s="3">
        <f>_xlfn.XLOOKUP(Vendas[[#This Row],[ID Item Vendido]],Agregado[ID],Agregado[Revenda])</f>
        <v>830</v>
      </c>
      <c r="I5410" s="3">
        <f>Vendas[[#This Row],[Valor Unitário]]*Vendas[[#This Row],[Qnt Vendida]]</f>
        <v>830</v>
      </c>
      <c r="J5410" s="3">
        <f>Vendas[[#This Row],[Valor da Venda]]-(_xlfn.XLOOKUP(Vendas[[#This Row],[ID Item Vendido]],Agregado[ID],Agregado[Custo])*Vendas[[#This Row],[Qnt Vendida]])</f>
        <v>150</v>
      </c>
      <c r="K5410" s="70">
        <f>Vendas[[#This Row],[Lucro da Venda]]/Vendas[[#This Row],[Valor da Venda]]</f>
        <v>0.18072289156626506</v>
      </c>
      <c r="L5410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410"/>
    </row>
    <row r="5411" spans="1:13" x14ac:dyDescent="0.3">
      <c r="A5411" s="7">
        <v>400245</v>
      </c>
      <c r="B5411" t="str">
        <f>_xlfn.XLOOKUP(Vendas[[#This Row],[ID Vendedor]],Vendedores[ID],Vendedores[Nome])</f>
        <v>Thiago</v>
      </c>
      <c r="C5411" s="7" t="str">
        <f>_xlfn.XLOOKUP(Vendas[[#This Row],[ID Vendedor]],Vendedores[ID],Vendedores[Setor])</f>
        <v>AHD</v>
      </c>
      <c r="D5411" s="7" t="s">
        <v>44</v>
      </c>
      <c r="E5411" t="str">
        <f>_xlfn.XLOOKUP(Vendas[[#This Row],[ID Item Vendido]],Agregado[ID],Agregado[Produto])</f>
        <v>Liga metálica especial</v>
      </c>
      <c r="F5411" s="39">
        <v>46065</v>
      </c>
      <c r="G5411" s="7">
        <v>24</v>
      </c>
      <c r="H5411" s="3">
        <f>_xlfn.XLOOKUP(Vendas[[#This Row],[ID Item Vendido]],Agregado[ID],Agregado[Revenda])</f>
        <v>32.5</v>
      </c>
      <c r="I5411" s="3">
        <f>Vendas[[#This Row],[Valor Unitário]]*Vendas[[#This Row],[Qnt Vendida]]</f>
        <v>780</v>
      </c>
      <c r="J5411" s="3">
        <f>Vendas[[#This Row],[Valor da Venda]]-(_xlfn.XLOOKUP(Vendas[[#This Row],[ID Item Vendido]],Agregado[ID],Agregado[Custo])*Vendas[[#This Row],[Qnt Vendida]])</f>
        <v>180</v>
      </c>
      <c r="K5411" s="70">
        <f>Vendas[[#This Row],[Lucro da Venda]]/Vendas[[#This Row],[Valor da Venda]]</f>
        <v>0.23076923076923078</v>
      </c>
      <c r="L5411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5411"/>
    </row>
    <row r="5412" spans="1:13" x14ac:dyDescent="0.3">
      <c r="A5412" s="7">
        <v>400250</v>
      </c>
      <c r="B5412" t="str">
        <f>_xlfn.XLOOKUP(Vendas[[#This Row],[ID Vendedor]],Vendedores[ID],Vendedores[Nome])</f>
        <v>Larissa</v>
      </c>
      <c r="C5412" s="7" t="str">
        <f>_xlfn.XLOOKUP(Vendas[[#This Row],[ID Vendedor]],Vendedores[ID],Vendedores[Setor])</f>
        <v>AB</v>
      </c>
      <c r="D5412" s="7" t="s">
        <v>24</v>
      </c>
      <c r="E5412" t="str">
        <f>_xlfn.XLOOKUP(Vendas[[#This Row],[ID Item Vendido]],Agregado[ID],Agregado[Produto])</f>
        <v>Resina plástica PET purificada saco de 25kg</v>
      </c>
      <c r="F5412" s="39">
        <v>46065</v>
      </c>
      <c r="G5412" s="7">
        <v>6</v>
      </c>
      <c r="H5412" s="3">
        <f>_xlfn.XLOOKUP(Vendas[[#This Row],[ID Item Vendido]],Agregado[ID],Agregado[Revenda])</f>
        <v>119</v>
      </c>
      <c r="I5412" s="3">
        <f>Vendas[[#This Row],[Valor Unitário]]*Vendas[[#This Row],[Qnt Vendida]]</f>
        <v>714</v>
      </c>
      <c r="J5412" s="3">
        <f>Vendas[[#This Row],[Valor da Venda]]-(_xlfn.XLOOKUP(Vendas[[#This Row],[ID Item Vendido]],Agregado[ID],Agregado[Custo])*Vendas[[#This Row],[Qnt Vendida]])</f>
        <v>204</v>
      </c>
      <c r="K5412" s="70">
        <f>Vendas[[#This Row],[Lucro da Venda]]/Vendas[[#This Row],[Valor da Venda]]</f>
        <v>0.2857142857142857</v>
      </c>
      <c r="L5412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412"/>
    </row>
    <row r="5413" spans="1:13" x14ac:dyDescent="0.3">
      <c r="A5413" s="7">
        <v>400243</v>
      </c>
      <c r="B5413" t="str">
        <f>_xlfn.XLOOKUP(Vendas[[#This Row],[ID Vendedor]],Vendedores[ID],Vendedores[Nome])</f>
        <v>Marcelo</v>
      </c>
      <c r="C5413" s="7" t="str">
        <f>_xlfn.XLOOKUP(Vendas[[#This Row],[ID Vendedor]],Vendedores[ID],Vendedores[Setor])</f>
        <v>FM</v>
      </c>
      <c r="D5413" s="7" t="s">
        <v>20</v>
      </c>
      <c r="E5413" t="str">
        <f>_xlfn.XLOOKUP(Vendas[[#This Row],[ID Item Vendido]],Agregado[ID],Agregado[Produto])</f>
        <v>Barra de aço simples</v>
      </c>
      <c r="F5413" s="39">
        <v>46065</v>
      </c>
      <c r="G5413" s="7">
        <v>130</v>
      </c>
      <c r="H5413" s="3">
        <f>_xlfn.XLOOKUP(Vendas[[#This Row],[ID Item Vendido]],Agregado[ID],Agregado[Revenda])</f>
        <v>4.8</v>
      </c>
      <c r="I5413" s="3">
        <f>Vendas[[#This Row],[Valor Unitário]]*Vendas[[#This Row],[Qnt Vendida]]</f>
        <v>624</v>
      </c>
      <c r="J5413" s="3">
        <f>Vendas[[#This Row],[Valor da Venda]]-(_xlfn.XLOOKUP(Vendas[[#This Row],[ID Item Vendido]],Agregado[ID],Agregado[Custo])*Vendas[[#This Row],[Qnt Vendida]])</f>
        <v>78</v>
      </c>
      <c r="K5413" s="70">
        <f>Vendas[[#This Row],[Lucro da Venda]]/Vendas[[#This Row],[Valor da Venda]]</f>
        <v>0.125</v>
      </c>
      <c r="L5413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5413"/>
    </row>
    <row r="5414" spans="1:13" x14ac:dyDescent="0.3">
      <c r="A5414" s="7">
        <v>400250</v>
      </c>
      <c r="B5414" t="str">
        <f>_xlfn.XLOOKUP(Vendas[[#This Row],[ID Vendedor]],Vendedores[ID],Vendedores[Nome])</f>
        <v>Larissa</v>
      </c>
      <c r="C5414" s="7" t="str">
        <f>_xlfn.XLOOKUP(Vendas[[#This Row],[ID Vendedor]],Vendedores[ID],Vendedores[Setor])</f>
        <v>AB</v>
      </c>
      <c r="D5414" s="7" t="s">
        <v>36</v>
      </c>
      <c r="E5414" t="str">
        <f>_xlfn.XLOOKUP(Vendas[[#This Row],[ID Item Vendido]],Agregado[ID],Agregado[Produto])</f>
        <v>Borracha vulcanizada em manta</v>
      </c>
      <c r="F5414" s="39">
        <v>46065</v>
      </c>
      <c r="G5414" s="7">
        <v>57</v>
      </c>
      <c r="H5414" s="3">
        <f>_xlfn.XLOOKUP(Vendas[[#This Row],[ID Item Vendido]],Agregado[ID],Agregado[Revenda])</f>
        <v>7.8</v>
      </c>
      <c r="I5414" s="3">
        <f>Vendas[[#This Row],[Valor Unitário]]*Vendas[[#This Row],[Qnt Vendida]]</f>
        <v>444.59999999999997</v>
      </c>
      <c r="J5414" s="3">
        <f>Vendas[[#This Row],[Valor da Venda]]-(_xlfn.XLOOKUP(Vendas[[#This Row],[ID Item Vendido]],Agregado[ID],Agregado[Custo])*Vendas[[#This Row],[Qnt Vendida]])</f>
        <v>102.59999999999997</v>
      </c>
      <c r="K5414" s="70">
        <f>Vendas[[#This Row],[Lucro da Venda]]/Vendas[[#This Row],[Valor da Venda]]</f>
        <v>0.2307692307692307</v>
      </c>
      <c r="L5414" s="3">
        <f>_xlfn.IFS(Vendas[[#This Row],[Margem de Lucro (%)]]&lt;15%,Vendas[[#This Row],[Valor da Venda]]*3%,Vendas[[#This Row],[Margem de Lucro (%)]]&lt;=20%,Vendas[[#This Row],[Valor da Venda]]*4.5%,TRUE,Vendas[[#This Row],[Valor da Venda]]*6%)</f>
        <v>26.675999999999998</v>
      </c>
      <c r="M5414"/>
    </row>
    <row r="5415" spans="1:13" x14ac:dyDescent="0.3">
      <c r="A5415" s="7">
        <v>400246</v>
      </c>
      <c r="B5415" t="str">
        <f>_xlfn.XLOOKUP(Vendas[[#This Row],[ID Vendedor]],Vendedores[ID],Vendedores[Nome])</f>
        <v>Juliana</v>
      </c>
      <c r="C5415" s="7" t="str">
        <f>_xlfn.XLOOKUP(Vendas[[#This Row],[ID Vendedor]],Vendedores[ID],Vendedores[Setor])</f>
        <v>AHD</v>
      </c>
      <c r="D5415" s="7" t="s">
        <v>28</v>
      </c>
      <c r="E5415" t="str">
        <f>_xlfn.XLOOKUP(Vendas[[#This Row],[ID Item Vendido]],Agregado[ID],Agregado[Produto])</f>
        <v>Peça usinada CNC</v>
      </c>
      <c r="F5415" s="39">
        <v>46065</v>
      </c>
      <c r="G5415" s="7">
        <v>1</v>
      </c>
      <c r="H5415" s="3">
        <f>_xlfn.XLOOKUP(Vendas[[#This Row],[ID Item Vendido]],Agregado[ID],Agregado[Revenda])</f>
        <v>192</v>
      </c>
      <c r="I5415" s="3">
        <f>Vendas[[#This Row],[Valor Unitário]]*Vendas[[#This Row],[Qnt Vendida]]</f>
        <v>192</v>
      </c>
      <c r="J5415" s="3">
        <f>Vendas[[#This Row],[Valor da Venda]]-(_xlfn.XLOOKUP(Vendas[[#This Row],[ID Item Vendido]],Agregado[ID],Agregado[Custo])*Vendas[[#This Row],[Qnt Vendida]])</f>
        <v>42</v>
      </c>
      <c r="K5415" s="70">
        <f>Vendas[[#This Row],[Lucro da Venda]]/Vendas[[#This Row],[Valor da Venda]]</f>
        <v>0.21875</v>
      </c>
      <c r="L5415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5415"/>
    </row>
    <row r="5416" spans="1:13" x14ac:dyDescent="0.3">
      <c r="A5416" s="7">
        <v>400246</v>
      </c>
      <c r="B5416" t="str">
        <f>_xlfn.XLOOKUP(Vendas[[#This Row],[ID Vendedor]],Vendedores[ID],Vendedores[Nome])</f>
        <v>Juliana</v>
      </c>
      <c r="C5416" s="7" t="str">
        <f>_xlfn.XLOOKUP(Vendas[[#This Row],[ID Vendedor]],Vendedores[ID],Vendedores[Setor])</f>
        <v>AHD</v>
      </c>
      <c r="D5416" s="7" t="s">
        <v>44</v>
      </c>
      <c r="E5416" t="str">
        <f>_xlfn.XLOOKUP(Vendas[[#This Row],[ID Item Vendido]],Agregado[ID],Agregado[Produto])</f>
        <v>Liga metálica especial</v>
      </c>
      <c r="F5416" s="39">
        <v>46067</v>
      </c>
      <c r="G5416" s="7">
        <v>16</v>
      </c>
      <c r="H5416" s="3">
        <f>_xlfn.XLOOKUP(Vendas[[#This Row],[ID Item Vendido]],Agregado[ID],Agregado[Revenda])</f>
        <v>32.5</v>
      </c>
      <c r="I5416" s="3">
        <f>Vendas[[#This Row],[Valor Unitário]]*Vendas[[#This Row],[Qnt Vendida]]</f>
        <v>520</v>
      </c>
      <c r="J5416" s="3">
        <f>Vendas[[#This Row],[Valor da Venda]]-(_xlfn.XLOOKUP(Vendas[[#This Row],[ID Item Vendido]],Agregado[ID],Agregado[Custo])*Vendas[[#This Row],[Qnt Vendida]])</f>
        <v>120</v>
      </c>
      <c r="K5416" s="70">
        <f>Vendas[[#This Row],[Lucro da Venda]]/Vendas[[#This Row],[Valor da Venda]]</f>
        <v>0.23076923076923078</v>
      </c>
      <c r="L5416" s="3">
        <f>_xlfn.IFS(Vendas[[#This Row],[Margem de Lucro (%)]]&lt;15%,Vendas[[#This Row],[Valor da Venda]]*3%,Vendas[[#This Row],[Margem de Lucro (%)]]&lt;=20%,Vendas[[#This Row],[Valor da Venda]]*4.5%,TRUE,Vendas[[#This Row],[Valor da Venda]]*6%)</f>
        <v>31.2</v>
      </c>
      <c r="M5416"/>
    </row>
    <row r="5417" spans="1:13" x14ac:dyDescent="0.3">
      <c r="A5417" s="7">
        <v>400243</v>
      </c>
      <c r="B5417" t="str">
        <f>_xlfn.XLOOKUP(Vendas[[#This Row],[ID Vendedor]],Vendedores[ID],Vendedores[Nome])</f>
        <v>Marcelo</v>
      </c>
      <c r="C5417" s="7" t="str">
        <f>_xlfn.XLOOKUP(Vendas[[#This Row],[ID Vendedor]],Vendedores[ID],Vendedores[Setor])</f>
        <v>FM</v>
      </c>
      <c r="D5417" s="7" t="s">
        <v>31</v>
      </c>
      <c r="E5417" t="str">
        <f>_xlfn.XLOOKUP(Vendas[[#This Row],[ID Item Vendido]],Agregado[ID],Agregado[Produto])</f>
        <v>Tela de metal soldada rolo 2x25m</v>
      </c>
      <c r="F5417" s="39">
        <v>46067</v>
      </c>
      <c r="G5417" s="7">
        <v>7</v>
      </c>
      <c r="H5417" s="3">
        <f>_xlfn.XLOOKUP(Vendas[[#This Row],[ID Item Vendido]],Agregado[ID],Agregado[Revenda])</f>
        <v>43.7</v>
      </c>
      <c r="I5417" s="3">
        <f>Vendas[[#This Row],[Valor Unitário]]*Vendas[[#This Row],[Qnt Vendida]]</f>
        <v>305.90000000000003</v>
      </c>
      <c r="J5417" s="3">
        <f>Vendas[[#This Row],[Valor da Venda]]-(_xlfn.XLOOKUP(Vendas[[#This Row],[ID Item Vendido]],Agregado[ID],Agregado[Custo])*Vendas[[#This Row],[Qnt Vendida]])</f>
        <v>39.900000000000034</v>
      </c>
      <c r="K5417" s="70">
        <f>Vendas[[#This Row],[Lucro da Venda]]/Vendas[[#This Row],[Valor da Venda]]</f>
        <v>0.13043478260869576</v>
      </c>
      <c r="L5417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5417"/>
    </row>
    <row r="5418" spans="1:13" x14ac:dyDescent="0.3">
      <c r="A5418" s="7">
        <v>400242</v>
      </c>
      <c r="B5418" t="str">
        <f>_xlfn.XLOOKUP(Vendas[[#This Row],[ID Vendedor]],Vendedores[ID],Vendedores[Nome])</f>
        <v>Fernanda</v>
      </c>
      <c r="C5418" s="7" t="str">
        <f>_xlfn.XLOOKUP(Vendas[[#This Row],[ID Vendedor]],Vendedores[ID],Vendedores[Setor])</f>
        <v>FM</v>
      </c>
      <c r="D5418" s="7" t="s">
        <v>47</v>
      </c>
      <c r="E5418" t="str">
        <f>_xlfn.XLOOKUP(Vendas[[#This Row],[ID Item Vendido]],Agregado[ID],Agregado[Produto])</f>
        <v>Fio de arame galvanizado rolo 50m</v>
      </c>
      <c r="F5418" s="39">
        <v>46068</v>
      </c>
      <c r="G5418" s="7">
        <v>22</v>
      </c>
      <c r="H5418" s="3">
        <f>_xlfn.XLOOKUP(Vendas[[#This Row],[ID Item Vendido]],Agregado[ID],Agregado[Revenda])</f>
        <v>21.2</v>
      </c>
      <c r="I5418" s="3">
        <f>Vendas[[#This Row],[Valor Unitário]]*Vendas[[#This Row],[Qnt Vendida]]</f>
        <v>466.4</v>
      </c>
      <c r="J5418" s="3">
        <f>Vendas[[#This Row],[Valor da Venda]]-(_xlfn.XLOOKUP(Vendas[[#This Row],[ID Item Vendido]],Agregado[ID],Agregado[Custo])*Vendas[[#This Row],[Qnt Vendida]])</f>
        <v>70.399999999999977</v>
      </c>
      <c r="K5418" s="70">
        <f>Vendas[[#This Row],[Lucro da Venda]]/Vendas[[#This Row],[Valor da Venda]]</f>
        <v>0.15094339622641506</v>
      </c>
      <c r="L5418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5418"/>
    </row>
    <row r="5419" spans="1:13" x14ac:dyDescent="0.3">
      <c r="A5419" s="7">
        <v>400251</v>
      </c>
      <c r="B5419" t="str">
        <f>_xlfn.XLOOKUP(Vendas[[#This Row],[ID Vendedor]],Vendedores[ID],Vendedores[Nome])</f>
        <v>Diego</v>
      </c>
      <c r="C5419" s="7" t="str">
        <f>_xlfn.XLOOKUP(Vendas[[#This Row],[ID Vendedor]],Vendedores[ID],Vendedores[Setor])</f>
        <v>AB</v>
      </c>
      <c r="D5419" s="7" t="s">
        <v>36</v>
      </c>
      <c r="E5419" t="str">
        <f>_xlfn.XLOOKUP(Vendas[[#This Row],[ID Item Vendido]],Agregado[ID],Agregado[Produto])</f>
        <v>Borracha vulcanizada em manta</v>
      </c>
      <c r="F5419" s="39">
        <v>46068</v>
      </c>
      <c r="G5419" s="7">
        <v>59</v>
      </c>
      <c r="H5419" s="3">
        <f>_xlfn.XLOOKUP(Vendas[[#This Row],[ID Item Vendido]],Agregado[ID],Agregado[Revenda])</f>
        <v>7.8</v>
      </c>
      <c r="I5419" s="3">
        <f>Vendas[[#This Row],[Valor Unitário]]*Vendas[[#This Row],[Qnt Vendida]]</f>
        <v>460.2</v>
      </c>
      <c r="J5419" s="3">
        <f>Vendas[[#This Row],[Valor da Venda]]-(_xlfn.XLOOKUP(Vendas[[#This Row],[ID Item Vendido]],Agregado[ID],Agregado[Custo])*Vendas[[#This Row],[Qnt Vendida]])</f>
        <v>106.19999999999999</v>
      </c>
      <c r="K5419" s="70">
        <f>Vendas[[#This Row],[Lucro da Venda]]/Vendas[[#This Row],[Valor da Venda]]</f>
        <v>0.23076923076923075</v>
      </c>
      <c r="L5419" s="3">
        <f>_xlfn.IFS(Vendas[[#This Row],[Margem de Lucro (%)]]&lt;15%,Vendas[[#This Row],[Valor da Venda]]*3%,Vendas[[#This Row],[Margem de Lucro (%)]]&lt;=20%,Vendas[[#This Row],[Valor da Venda]]*4.5%,TRUE,Vendas[[#This Row],[Valor da Venda]]*6%)</f>
        <v>27.611999999999998</v>
      </c>
      <c r="M5419"/>
    </row>
    <row r="5420" spans="1:13" x14ac:dyDescent="0.3">
      <c r="A5420" s="7">
        <v>400254</v>
      </c>
      <c r="B5420" t="str">
        <f>_xlfn.XLOOKUP(Vendas[[#This Row],[ID Vendedor]],Vendedores[ID],Vendedores[Nome])</f>
        <v>Beatriz</v>
      </c>
      <c r="C5420" s="7" t="str">
        <f>_xlfn.XLOOKUP(Vendas[[#This Row],[ID Vendedor]],Vendedores[ID],Vendedores[Setor])</f>
        <v>SC</v>
      </c>
      <c r="D5420" s="7" t="s">
        <v>41</v>
      </c>
      <c r="E5420" t="str">
        <f>_xlfn.XLOOKUP(Vendas[[#This Row],[ID Item Vendido]],Agregado[ID],Agregado[Produto])</f>
        <v>Palete de madeira reforçado</v>
      </c>
      <c r="F5420" s="39">
        <v>46069</v>
      </c>
      <c r="G5420" s="7">
        <v>4</v>
      </c>
      <c r="H5420" s="3">
        <f>_xlfn.XLOOKUP(Vendas[[#This Row],[ID Item Vendido]],Agregado[ID],Agregado[Revenda])</f>
        <v>131</v>
      </c>
      <c r="I5420" s="3">
        <f>Vendas[[#This Row],[Valor Unitário]]*Vendas[[#This Row],[Qnt Vendida]]</f>
        <v>524</v>
      </c>
      <c r="J5420" s="3">
        <f>Vendas[[#This Row],[Valor da Venda]]-(_xlfn.XLOOKUP(Vendas[[#This Row],[ID Item Vendido]],Agregado[ID],Agregado[Custo])*Vendas[[#This Row],[Qnt Vendida]])</f>
        <v>84</v>
      </c>
      <c r="K5420" s="70">
        <f>Vendas[[#This Row],[Lucro da Venda]]/Vendas[[#This Row],[Valor da Venda]]</f>
        <v>0.16030534351145037</v>
      </c>
      <c r="L5420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5420"/>
    </row>
    <row r="5421" spans="1:13" x14ac:dyDescent="0.3">
      <c r="A5421" s="7">
        <v>400252</v>
      </c>
      <c r="B5421" t="str">
        <f>_xlfn.XLOOKUP(Vendas[[#This Row],[ID Vendedor]],Vendedores[ID],Vendedores[Nome])</f>
        <v>Renata</v>
      </c>
      <c r="C5421" s="7" t="str">
        <f>_xlfn.XLOOKUP(Vendas[[#This Row],[ID Vendedor]],Vendedores[ID],Vendedores[Setor])</f>
        <v>AB</v>
      </c>
      <c r="D5421" s="7" t="s">
        <v>36</v>
      </c>
      <c r="E5421" t="str">
        <f>_xlfn.XLOOKUP(Vendas[[#This Row],[ID Item Vendido]],Agregado[ID],Agregado[Produto])</f>
        <v>Borracha vulcanizada em manta</v>
      </c>
      <c r="F5421" s="39">
        <v>46069</v>
      </c>
      <c r="G5421" s="7">
        <v>51</v>
      </c>
      <c r="H5421" s="3">
        <f>_xlfn.XLOOKUP(Vendas[[#This Row],[ID Item Vendido]],Agregado[ID],Agregado[Revenda])</f>
        <v>7.8</v>
      </c>
      <c r="I5421" s="3">
        <f>Vendas[[#This Row],[Valor Unitário]]*Vendas[[#This Row],[Qnt Vendida]]</f>
        <v>397.8</v>
      </c>
      <c r="J5421" s="3">
        <f>Vendas[[#This Row],[Valor da Venda]]-(_xlfn.XLOOKUP(Vendas[[#This Row],[ID Item Vendido]],Agregado[ID],Agregado[Custo])*Vendas[[#This Row],[Qnt Vendida]])</f>
        <v>91.800000000000011</v>
      </c>
      <c r="K5421" s="70">
        <f>Vendas[[#This Row],[Lucro da Venda]]/Vendas[[#This Row],[Valor da Venda]]</f>
        <v>0.23076923076923078</v>
      </c>
      <c r="L5421" s="3">
        <f>_xlfn.IFS(Vendas[[#This Row],[Margem de Lucro (%)]]&lt;15%,Vendas[[#This Row],[Valor da Venda]]*3%,Vendas[[#This Row],[Margem de Lucro (%)]]&lt;=20%,Vendas[[#This Row],[Valor da Venda]]*4.5%,TRUE,Vendas[[#This Row],[Valor da Venda]]*6%)</f>
        <v>23.867999999999999</v>
      </c>
      <c r="M5421"/>
    </row>
    <row r="5422" spans="1:13" x14ac:dyDescent="0.3">
      <c r="A5422" s="7">
        <v>400242</v>
      </c>
      <c r="B5422" t="str">
        <f>_xlfn.XLOOKUP(Vendas[[#This Row],[ID Vendedor]],Vendedores[ID],Vendedores[Nome])</f>
        <v>Fernanda</v>
      </c>
      <c r="C5422" s="7" t="str">
        <f>_xlfn.XLOOKUP(Vendas[[#This Row],[ID Vendedor]],Vendedores[ID],Vendedores[Setor])</f>
        <v>FM</v>
      </c>
      <c r="D5422" s="7" t="s">
        <v>6</v>
      </c>
      <c r="E5422" t="str">
        <f>_xlfn.XLOOKUP(Vendas[[#This Row],[ID Item Vendido]],Agregado[ID],Agregado[Produto])</f>
        <v>Parafuso comum 500un</v>
      </c>
      <c r="F5422" s="39">
        <v>46069</v>
      </c>
      <c r="G5422" s="7">
        <v>11</v>
      </c>
      <c r="H5422" s="3">
        <f>_xlfn.XLOOKUP(Vendas[[#This Row],[ID Item Vendido]],Agregado[ID],Agregado[Revenda])</f>
        <v>24.6</v>
      </c>
      <c r="I5422" s="3">
        <f>Vendas[[#This Row],[Valor Unitário]]*Vendas[[#This Row],[Qnt Vendida]]</f>
        <v>270.60000000000002</v>
      </c>
      <c r="J5422" s="3">
        <f>Vendas[[#This Row],[Valor da Venda]]-(_xlfn.XLOOKUP(Vendas[[#This Row],[ID Item Vendido]],Agregado[ID],Agregado[Custo])*Vendas[[#This Row],[Qnt Vendida]])</f>
        <v>28.600000000000023</v>
      </c>
      <c r="K5422" s="70">
        <f>Vendas[[#This Row],[Lucro da Venda]]/Vendas[[#This Row],[Valor da Venda]]</f>
        <v>0.10569105691056918</v>
      </c>
      <c r="L5422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5422"/>
    </row>
    <row r="5423" spans="1:13" x14ac:dyDescent="0.3">
      <c r="A5423" s="7">
        <v>400253</v>
      </c>
      <c r="B5423" t="str">
        <f>_xlfn.XLOOKUP(Vendas[[#This Row],[ID Vendedor]],Vendedores[ID],Vendedores[Nome])</f>
        <v>Gustavo</v>
      </c>
      <c r="C5423" s="7" t="str">
        <f>_xlfn.XLOOKUP(Vendas[[#This Row],[ID Vendedor]],Vendedores[ID],Vendedores[Setor])</f>
        <v>SC</v>
      </c>
      <c r="D5423" s="7" t="s">
        <v>48</v>
      </c>
      <c r="E5423" t="str">
        <f>_xlfn.XLOOKUP(Vendas[[#This Row],[ID Item Vendido]],Agregado[ID],Agregado[Produto])</f>
        <v>Tambor metálico 200L</v>
      </c>
      <c r="F5423" s="39">
        <v>46070</v>
      </c>
      <c r="G5423" s="7">
        <v>12</v>
      </c>
      <c r="H5423" s="3">
        <f>_xlfn.XLOOKUP(Vendas[[#This Row],[ID Item Vendido]],Agregado[ID],Agregado[Revenda])</f>
        <v>144</v>
      </c>
      <c r="I5423" s="3">
        <f>Vendas[[#This Row],[Valor Unitário]]*Vendas[[#This Row],[Qnt Vendida]]</f>
        <v>1728</v>
      </c>
      <c r="J5423" s="3">
        <f>Vendas[[#This Row],[Valor da Venda]]-(_xlfn.XLOOKUP(Vendas[[#This Row],[ID Item Vendido]],Agregado[ID],Agregado[Custo])*Vendas[[#This Row],[Qnt Vendida]])</f>
        <v>288</v>
      </c>
      <c r="K5423" s="70">
        <f>Vendas[[#This Row],[Lucro da Venda]]/Vendas[[#This Row],[Valor da Venda]]</f>
        <v>0.16666666666666666</v>
      </c>
      <c r="L5423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423"/>
    </row>
    <row r="5424" spans="1:13" x14ac:dyDescent="0.3">
      <c r="A5424" s="7">
        <v>400252</v>
      </c>
      <c r="B5424" t="str">
        <f>_xlfn.XLOOKUP(Vendas[[#This Row],[ID Vendedor]],Vendedores[ID],Vendedores[Nome])</f>
        <v>Renata</v>
      </c>
      <c r="C5424" s="7" t="str">
        <f>_xlfn.XLOOKUP(Vendas[[#This Row],[ID Vendedor]],Vendedores[ID],Vendedores[Setor])</f>
        <v>AB</v>
      </c>
      <c r="D5424" s="7" t="s">
        <v>12</v>
      </c>
      <c r="E5424" t="str">
        <f>_xlfn.XLOOKUP(Vendas[[#This Row],[ID Item Vendido]],Agregado[ID],Agregado[Produto])</f>
        <v>Grânulo de plástico reciclado refinado</v>
      </c>
      <c r="F5424" s="39">
        <v>46070</v>
      </c>
      <c r="G5424" s="7">
        <v>123</v>
      </c>
      <c r="H5424" s="3">
        <f>_xlfn.XLOOKUP(Vendas[[#This Row],[ID Item Vendido]],Agregado[ID],Agregado[Revenda])</f>
        <v>4.7</v>
      </c>
      <c r="I5424" s="3">
        <f>Vendas[[#This Row],[Valor Unitário]]*Vendas[[#This Row],[Qnt Vendida]]</f>
        <v>578.1</v>
      </c>
      <c r="J5424" s="3">
        <f>Vendas[[#This Row],[Valor da Venda]]-(_xlfn.XLOOKUP(Vendas[[#This Row],[ID Item Vendido]],Agregado[ID],Agregado[Custo])*Vendas[[#This Row],[Qnt Vendida]])</f>
        <v>147.60000000000002</v>
      </c>
      <c r="K5424" s="70">
        <f>Vendas[[#This Row],[Lucro da Venda]]/Vendas[[#This Row],[Valor da Venda]]</f>
        <v>0.25531914893617025</v>
      </c>
      <c r="L5424" s="3">
        <f>_xlfn.IFS(Vendas[[#This Row],[Margem de Lucro (%)]]&lt;15%,Vendas[[#This Row],[Valor da Venda]]*3%,Vendas[[#This Row],[Margem de Lucro (%)]]&lt;=20%,Vendas[[#This Row],[Valor da Venda]]*4.5%,TRUE,Vendas[[#This Row],[Valor da Venda]]*6%)</f>
        <v>34.686</v>
      </c>
      <c r="M5424"/>
    </row>
    <row r="5425" spans="1:13" x14ac:dyDescent="0.3">
      <c r="A5425" s="7">
        <v>400247</v>
      </c>
      <c r="B5425" t="str">
        <f>_xlfn.XLOOKUP(Vendas[[#This Row],[ID Vendedor]],Vendedores[ID],Vendedores[Nome])</f>
        <v>André</v>
      </c>
      <c r="C5425" s="7" t="str">
        <f>_xlfn.XLOOKUP(Vendas[[#This Row],[ID Vendedor]],Vendedores[ID],Vendedores[Setor])</f>
        <v>CM</v>
      </c>
      <c r="D5425" s="7" t="s">
        <v>43</v>
      </c>
      <c r="E5425" t="str">
        <f>_xlfn.XLOOKUP(Vendas[[#This Row],[ID Item Vendido]],Agregado[ID],Agregado[Produto])</f>
        <v>Madeira Bruta (Tora)</v>
      </c>
      <c r="F5425" s="39">
        <v>46071</v>
      </c>
      <c r="G5425" s="7">
        <v>12</v>
      </c>
      <c r="H5425" s="3">
        <f>_xlfn.XLOOKUP(Vendas[[#This Row],[ID Item Vendido]],Agregado[ID],Agregado[Revenda])</f>
        <v>212</v>
      </c>
      <c r="I5425" s="3">
        <f>Vendas[[#This Row],[Valor Unitário]]*Vendas[[#This Row],[Qnt Vendida]]</f>
        <v>2544</v>
      </c>
      <c r="J5425" s="3">
        <f>Vendas[[#This Row],[Valor da Venda]]-(_xlfn.XLOOKUP(Vendas[[#This Row],[ID Item Vendido]],Agregado[ID],Agregado[Custo])*Vendas[[#This Row],[Qnt Vendida]])</f>
        <v>384</v>
      </c>
      <c r="K5425" s="70">
        <f>Vendas[[#This Row],[Lucro da Venda]]/Vendas[[#This Row],[Valor da Venda]]</f>
        <v>0.15094339622641509</v>
      </c>
      <c r="L5425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5425"/>
    </row>
    <row r="5426" spans="1:13" x14ac:dyDescent="0.3">
      <c r="A5426" s="7">
        <v>400254</v>
      </c>
      <c r="B5426" t="str">
        <f>_xlfn.XLOOKUP(Vendas[[#This Row],[ID Vendedor]],Vendedores[ID],Vendedores[Nome])</f>
        <v>Beatriz</v>
      </c>
      <c r="C5426" s="7" t="str">
        <f>_xlfn.XLOOKUP(Vendas[[#This Row],[ID Vendedor]],Vendedores[ID],Vendedores[Setor])</f>
        <v>SC</v>
      </c>
      <c r="D5426" s="7" t="s">
        <v>25</v>
      </c>
      <c r="E5426" t="str">
        <f>_xlfn.XLOOKUP(Vendas[[#This Row],[ID Item Vendido]],Agregado[ID],Agregado[Produto])</f>
        <v>Palete de plástico</v>
      </c>
      <c r="F5426" s="39">
        <v>46071</v>
      </c>
      <c r="G5426" s="7">
        <v>11</v>
      </c>
      <c r="H5426" s="3">
        <f>_xlfn.XLOOKUP(Vendas[[#This Row],[ID Item Vendido]],Agregado[ID],Agregado[Revenda])</f>
        <v>70.8</v>
      </c>
      <c r="I5426" s="3">
        <f>Vendas[[#This Row],[Valor Unitário]]*Vendas[[#This Row],[Qnt Vendida]]</f>
        <v>778.8</v>
      </c>
      <c r="J5426" s="3">
        <f>Vendas[[#This Row],[Valor da Venda]]-(_xlfn.XLOOKUP(Vendas[[#This Row],[ID Item Vendido]],Agregado[ID],Agregado[Custo])*Vendas[[#This Row],[Qnt Vendida]])</f>
        <v>118.79999999999995</v>
      </c>
      <c r="K5426" s="70">
        <f>Vendas[[#This Row],[Lucro da Venda]]/Vendas[[#This Row],[Valor da Venda]]</f>
        <v>0.15254237288135589</v>
      </c>
      <c r="L5426" s="3">
        <f>_xlfn.IFS(Vendas[[#This Row],[Margem de Lucro (%)]]&lt;15%,Vendas[[#This Row],[Valor da Venda]]*3%,Vendas[[#This Row],[Margem de Lucro (%)]]&lt;=20%,Vendas[[#This Row],[Valor da Venda]]*4.5%,TRUE,Vendas[[#This Row],[Valor da Venda]]*6%)</f>
        <v>35.045999999999999</v>
      </c>
      <c r="M5426"/>
    </row>
    <row r="5427" spans="1:13" x14ac:dyDescent="0.3">
      <c r="A5427" s="7">
        <v>400253</v>
      </c>
      <c r="B5427" t="str">
        <f>_xlfn.XLOOKUP(Vendas[[#This Row],[ID Vendedor]],Vendedores[ID],Vendedores[Nome])</f>
        <v>Gustavo</v>
      </c>
      <c r="C5427" s="7" t="str">
        <f>_xlfn.XLOOKUP(Vendas[[#This Row],[ID Vendedor]],Vendedores[ID],Vendedores[Setor])</f>
        <v>SC</v>
      </c>
      <c r="D5427" s="7" t="s">
        <v>14</v>
      </c>
      <c r="E5427" t="str">
        <f>_xlfn.XLOOKUP(Vendas[[#This Row],[ID Item Vendido]],Agregado[ID],Agregado[Produto])</f>
        <v>Barril de plástico 200L</v>
      </c>
      <c r="F5427" s="39">
        <v>46071</v>
      </c>
      <c r="G5427" s="7">
        <v>2</v>
      </c>
      <c r="H5427" s="3">
        <f>_xlfn.XLOOKUP(Vendas[[#This Row],[ID Item Vendido]],Agregado[ID],Agregado[Revenda])</f>
        <v>114</v>
      </c>
      <c r="I5427" s="3">
        <f>Vendas[[#This Row],[Valor Unitário]]*Vendas[[#This Row],[Qnt Vendida]]</f>
        <v>228</v>
      </c>
      <c r="J5427" s="3">
        <f>Vendas[[#This Row],[Valor da Venda]]-(_xlfn.XLOOKUP(Vendas[[#This Row],[ID Item Vendido]],Agregado[ID],Agregado[Custo])*Vendas[[#This Row],[Qnt Vendida]])</f>
        <v>38</v>
      </c>
      <c r="K5427" s="70">
        <f>Vendas[[#This Row],[Lucro da Venda]]/Vendas[[#This Row],[Valor da Venda]]</f>
        <v>0.16666666666666666</v>
      </c>
      <c r="L5427" s="3">
        <f>_xlfn.IFS(Vendas[[#This Row],[Margem de Lucro (%)]]&lt;15%,Vendas[[#This Row],[Valor da Venda]]*3%,Vendas[[#This Row],[Margem de Lucro (%)]]&lt;=20%,Vendas[[#This Row],[Valor da Venda]]*4.5%,TRUE,Vendas[[#This Row],[Valor da Venda]]*6%)</f>
        <v>10.26</v>
      </c>
      <c r="M5427"/>
    </row>
    <row r="5428" spans="1:13" x14ac:dyDescent="0.3">
      <c r="A5428" s="7">
        <v>400253</v>
      </c>
      <c r="B5428" t="str">
        <f>_xlfn.XLOOKUP(Vendas[[#This Row],[ID Vendedor]],Vendedores[ID],Vendedores[Nome])</f>
        <v>Gustavo</v>
      </c>
      <c r="C5428" s="7" t="str">
        <f>_xlfn.XLOOKUP(Vendas[[#This Row],[ID Vendedor]],Vendedores[ID],Vendedores[Setor])</f>
        <v>SC</v>
      </c>
      <c r="D5428" s="7" t="s">
        <v>42</v>
      </c>
      <c r="E5428" t="str">
        <f>_xlfn.XLOOKUP(Vendas[[#This Row],[ID Item Vendido]],Agregado[ID],Agregado[Produto])</f>
        <v>Container de ferro industrial</v>
      </c>
      <c r="F5428" s="39">
        <v>46072</v>
      </c>
      <c r="G5428" s="7">
        <v>6</v>
      </c>
      <c r="H5428" s="3">
        <f>_xlfn.XLOOKUP(Vendas[[#This Row],[ID Item Vendido]],Agregado[ID],Agregado[Revenda])</f>
        <v>830</v>
      </c>
      <c r="I5428" s="3">
        <f>Vendas[[#This Row],[Valor Unitário]]*Vendas[[#This Row],[Qnt Vendida]]</f>
        <v>4980</v>
      </c>
      <c r="J5428" s="3">
        <f>Vendas[[#This Row],[Valor da Venda]]-(_xlfn.XLOOKUP(Vendas[[#This Row],[ID Item Vendido]],Agregado[ID],Agregado[Custo])*Vendas[[#This Row],[Qnt Vendida]])</f>
        <v>900</v>
      </c>
      <c r="K5428" s="70">
        <f>Vendas[[#This Row],[Lucro da Venda]]/Vendas[[#This Row],[Valor da Venda]]</f>
        <v>0.18072289156626506</v>
      </c>
      <c r="L5428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428"/>
    </row>
    <row r="5429" spans="1:13" x14ac:dyDescent="0.3">
      <c r="A5429" s="7">
        <v>400247</v>
      </c>
      <c r="B5429" t="str">
        <f>_xlfn.XLOOKUP(Vendas[[#This Row],[ID Vendedor]],Vendedores[ID],Vendedores[Nome])</f>
        <v>André</v>
      </c>
      <c r="C5429" s="7" t="str">
        <f>_xlfn.XLOOKUP(Vendas[[#This Row],[ID Vendedor]],Vendedores[ID],Vendedores[Setor])</f>
        <v>CM</v>
      </c>
      <c r="D5429" s="7" t="s">
        <v>45</v>
      </c>
      <c r="E5429" t="str">
        <f>_xlfn.XLOOKUP(Vendas[[#This Row],[ID Item Vendido]],Agregado[ID],Agregado[Produto])</f>
        <v>Viga de madeira tratada 4m</v>
      </c>
      <c r="F5429" s="39">
        <v>46072</v>
      </c>
      <c r="G5429" s="7">
        <v>10</v>
      </c>
      <c r="H5429" s="3">
        <f>_xlfn.XLOOKUP(Vendas[[#This Row],[ID Item Vendido]],Agregado[ID],Agregado[Revenda])</f>
        <v>66</v>
      </c>
      <c r="I5429" s="3">
        <f>Vendas[[#This Row],[Valor Unitário]]*Vendas[[#This Row],[Qnt Vendida]]</f>
        <v>660</v>
      </c>
      <c r="J5429" s="3">
        <f>Vendas[[#This Row],[Valor da Venda]]-(_xlfn.XLOOKUP(Vendas[[#This Row],[ID Item Vendido]],Agregado[ID],Agregado[Custo])*Vendas[[#This Row],[Qnt Vendida]])</f>
        <v>110</v>
      </c>
      <c r="K5429" s="70">
        <f>Vendas[[#This Row],[Lucro da Venda]]/Vendas[[#This Row],[Valor da Venda]]</f>
        <v>0.16666666666666666</v>
      </c>
      <c r="L5429" s="3">
        <f>_xlfn.IFS(Vendas[[#This Row],[Margem de Lucro (%)]]&lt;15%,Vendas[[#This Row],[Valor da Venda]]*3%,Vendas[[#This Row],[Margem de Lucro (%)]]&lt;=20%,Vendas[[#This Row],[Valor da Venda]]*4.5%,TRUE,Vendas[[#This Row],[Valor da Venda]]*6%)</f>
        <v>29.7</v>
      </c>
      <c r="M5429"/>
    </row>
    <row r="5430" spans="1:13" x14ac:dyDescent="0.3">
      <c r="A5430" s="7">
        <v>400245</v>
      </c>
      <c r="B5430" t="str">
        <f>_xlfn.XLOOKUP(Vendas[[#This Row],[ID Vendedor]],Vendedores[ID],Vendedores[Nome])</f>
        <v>Thiago</v>
      </c>
      <c r="C5430" s="7" t="str">
        <f>_xlfn.XLOOKUP(Vendas[[#This Row],[ID Vendedor]],Vendedores[ID],Vendedores[Setor])</f>
        <v>AHD</v>
      </c>
      <c r="D5430" s="7" t="s">
        <v>28</v>
      </c>
      <c r="E5430" t="str">
        <f>_xlfn.XLOOKUP(Vendas[[#This Row],[ID Item Vendido]],Agregado[ID],Agregado[Produto])</f>
        <v>Peça usinada CNC</v>
      </c>
      <c r="F5430" s="39">
        <v>46073</v>
      </c>
      <c r="G5430" s="7">
        <v>14</v>
      </c>
      <c r="H5430" s="3">
        <f>_xlfn.XLOOKUP(Vendas[[#This Row],[ID Item Vendido]],Agregado[ID],Agregado[Revenda])</f>
        <v>192</v>
      </c>
      <c r="I5430" s="3">
        <f>Vendas[[#This Row],[Valor Unitário]]*Vendas[[#This Row],[Qnt Vendida]]</f>
        <v>2688</v>
      </c>
      <c r="J5430" s="3">
        <f>Vendas[[#This Row],[Valor da Venda]]-(_xlfn.XLOOKUP(Vendas[[#This Row],[ID Item Vendido]],Agregado[ID],Agregado[Custo])*Vendas[[#This Row],[Qnt Vendida]])</f>
        <v>588</v>
      </c>
      <c r="K5430" s="70">
        <f>Vendas[[#This Row],[Lucro da Venda]]/Vendas[[#This Row],[Valor da Venda]]</f>
        <v>0.21875</v>
      </c>
      <c r="L5430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430"/>
    </row>
    <row r="5431" spans="1:13" x14ac:dyDescent="0.3">
      <c r="A5431" s="7">
        <v>400253</v>
      </c>
      <c r="B5431" t="str">
        <f>_xlfn.XLOOKUP(Vendas[[#This Row],[ID Vendedor]],Vendedores[ID],Vendedores[Nome])</f>
        <v>Gustavo</v>
      </c>
      <c r="C5431" s="7" t="str">
        <f>_xlfn.XLOOKUP(Vendas[[#This Row],[ID Vendedor]],Vendedores[ID],Vendedores[Setor])</f>
        <v>SC</v>
      </c>
      <c r="D5431" s="7" t="s">
        <v>42</v>
      </c>
      <c r="E5431" t="str">
        <f>_xlfn.XLOOKUP(Vendas[[#This Row],[ID Item Vendido]],Agregado[ID],Agregado[Produto])</f>
        <v>Container de ferro industrial</v>
      </c>
      <c r="F5431" s="39">
        <v>46073</v>
      </c>
      <c r="G5431" s="7">
        <v>1</v>
      </c>
      <c r="H5431" s="3">
        <f>_xlfn.XLOOKUP(Vendas[[#This Row],[ID Item Vendido]],Agregado[ID],Agregado[Revenda])</f>
        <v>830</v>
      </c>
      <c r="I5431" s="3">
        <f>Vendas[[#This Row],[Valor Unitário]]*Vendas[[#This Row],[Qnt Vendida]]</f>
        <v>830</v>
      </c>
      <c r="J5431" s="3">
        <f>Vendas[[#This Row],[Valor da Venda]]-(_xlfn.XLOOKUP(Vendas[[#This Row],[ID Item Vendido]],Agregado[ID],Agregado[Custo])*Vendas[[#This Row],[Qnt Vendida]])</f>
        <v>150</v>
      </c>
      <c r="K5431" s="70">
        <f>Vendas[[#This Row],[Lucro da Venda]]/Vendas[[#This Row],[Valor da Venda]]</f>
        <v>0.18072289156626506</v>
      </c>
      <c r="L5431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431"/>
    </row>
    <row r="5432" spans="1:13" x14ac:dyDescent="0.3">
      <c r="A5432" s="7">
        <v>400253</v>
      </c>
      <c r="B5432" t="str">
        <f>_xlfn.XLOOKUP(Vendas[[#This Row],[ID Vendedor]],Vendedores[ID],Vendedores[Nome])</f>
        <v>Gustavo</v>
      </c>
      <c r="C5432" s="7" t="str">
        <f>_xlfn.XLOOKUP(Vendas[[#This Row],[ID Vendedor]],Vendedores[ID],Vendedores[Setor])</f>
        <v>SC</v>
      </c>
      <c r="D5432" s="7" t="s">
        <v>42</v>
      </c>
      <c r="E5432" t="str">
        <f>_xlfn.XLOOKUP(Vendas[[#This Row],[ID Item Vendido]],Agregado[ID],Agregado[Produto])</f>
        <v>Container de ferro industrial</v>
      </c>
      <c r="F5432" s="39">
        <v>46073</v>
      </c>
      <c r="G5432" s="7">
        <v>1</v>
      </c>
      <c r="H5432" s="3">
        <f>_xlfn.XLOOKUP(Vendas[[#This Row],[ID Item Vendido]],Agregado[ID],Agregado[Revenda])</f>
        <v>830</v>
      </c>
      <c r="I5432" s="3">
        <f>Vendas[[#This Row],[Valor Unitário]]*Vendas[[#This Row],[Qnt Vendida]]</f>
        <v>830</v>
      </c>
      <c r="J5432" s="3">
        <f>Vendas[[#This Row],[Valor da Venda]]-(_xlfn.XLOOKUP(Vendas[[#This Row],[ID Item Vendido]],Agregado[ID],Agregado[Custo])*Vendas[[#This Row],[Qnt Vendida]])</f>
        <v>150</v>
      </c>
      <c r="K5432" s="70">
        <f>Vendas[[#This Row],[Lucro da Venda]]/Vendas[[#This Row],[Valor da Venda]]</f>
        <v>0.18072289156626506</v>
      </c>
      <c r="L5432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432"/>
    </row>
    <row r="5433" spans="1:13" x14ac:dyDescent="0.3">
      <c r="A5433" s="7">
        <v>400251</v>
      </c>
      <c r="B5433" t="str">
        <f>_xlfn.XLOOKUP(Vendas[[#This Row],[ID Vendedor]],Vendedores[ID],Vendedores[Nome])</f>
        <v>Diego</v>
      </c>
      <c r="C5433" s="7" t="str">
        <f>_xlfn.XLOOKUP(Vendas[[#This Row],[ID Vendedor]],Vendedores[ID],Vendedores[Setor])</f>
        <v>AB</v>
      </c>
      <c r="D5433" s="7" t="s">
        <v>12</v>
      </c>
      <c r="E5433" t="str">
        <f>_xlfn.XLOOKUP(Vendas[[#This Row],[ID Item Vendido]],Agregado[ID],Agregado[Produto])</f>
        <v>Grânulo de plástico reciclado refinado</v>
      </c>
      <c r="F5433" s="39">
        <v>46073</v>
      </c>
      <c r="G5433" s="7">
        <v>138</v>
      </c>
      <c r="H5433" s="3">
        <f>_xlfn.XLOOKUP(Vendas[[#This Row],[ID Item Vendido]],Agregado[ID],Agregado[Revenda])</f>
        <v>4.7</v>
      </c>
      <c r="I5433" s="3">
        <f>Vendas[[#This Row],[Valor Unitário]]*Vendas[[#This Row],[Qnt Vendida]]</f>
        <v>648.6</v>
      </c>
      <c r="J5433" s="3">
        <f>Vendas[[#This Row],[Valor da Venda]]-(_xlfn.XLOOKUP(Vendas[[#This Row],[ID Item Vendido]],Agregado[ID],Agregado[Custo])*Vendas[[#This Row],[Qnt Vendida]])</f>
        <v>165.60000000000002</v>
      </c>
      <c r="K5433" s="70">
        <f>Vendas[[#This Row],[Lucro da Venda]]/Vendas[[#This Row],[Valor da Venda]]</f>
        <v>0.25531914893617025</v>
      </c>
      <c r="L5433" s="3">
        <f>_xlfn.IFS(Vendas[[#This Row],[Margem de Lucro (%)]]&lt;15%,Vendas[[#This Row],[Valor da Venda]]*3%,Vendas[[#This Row],[Margem de Lucro (%)]]&lt;=20%,Vendas[[#This Row],[Valor da Venda]]*4.5%,TRUE,Vendas[[#This Row],[Valor da Venda]]*6%)</f>
        <v>38.915999999999997</v>
      </c>
      <c r="M5433"/>
    </row>
    <row r="5434" spans="1:13" x14ac:dyDescent="0.3">
      <c r="A5434" s="7">
        <v>400255</v>
      </c>
      <c r="B5434" t="str">
        <f>_xlfn.XLOOKUP(Vendas[[#This Row],[ID Vendedor]],Vendedores[ID],Vendedores[Nome])</f>
        <v>Carlos</v>
      </c>
      <c r="C5434" s="7" t="str">
        <f>_xlfn.XLOOKUP(Vendas[[#This Row],[ID Vendedor]],Vendedores[ID],Vendedores[Setor])</f>
        <v>SC</v>
      </c>
      <c r="D5434" s="7" t="s">
        <v>41</v>
      </c>
      <c r="E5434" t="str">
        <f>_xlfn.XLOOKUP(Vendas[[#This Row],[ID Item Vendido]],Agregado[ID],Agregado[Produto])</f>
        <v>Palete de madeira reforçado</v>
      </c>
      <c r="F5434" s="39">
        <v>46073</v>
      </c>
      <c r="G5434" s="7">
        <v>2</v>
      </c>
      <c r="H5434" s="3">
        <f>_xlfn.XLOOKUP(Vendas[[#This Row],[ID Item Vendido]],Agregado[ID],Agregado[Revenda])</f>
        <v>131</v>
      </c>
      <c r="I5434" s="3">
        <f>Vendas[[#This Row],[Valor Unitário]]*Vendas[[#This Row],[Qnt Vendida]]</f>
        <v>262</v>
      </c>
      <c r="J5434" s="3">
        <f>Vendas[[#This Row],[Valor da Venda]]-(_xlfn.XLOOKUP(Vendas[[#This Row],[ID Item Vendido]],Agregado[ID],Agregado[Custo])*Vendas[[#This Row],[Qnt Vendida]])</f>
        <v>42</v>
      </c>
      <c r="K5434" s="70">
        <f>Vendas[[#This Row],[Lucro da Venda]]/Vendas[[#This Row],[Valor da Venda]]</f>
        <v>0.16030534351145037</v>
      </c>
      <c r="L5434" s="3">
        <f>_xlfn.IFS(Vendas[[#This Row],[Margem de Lucro (%)]]&lt;15%,Vendas[[#This Row],[Valor da Venda]]*3%,Vendas[[#This Row],[Margem de Lucro (%)]]&lt;=20%,Vendas[[#This Row],[Valor da Venda]]*4.5%,TRUE,Vendas[[#This Row],[Valor da Venda]]*6%)</f>
        <v>11.79</v>
      </c>
      <c r="M5434"/>
    </row>
    <row r="5435" spans="1:13" x14ac:dyDescent="0.3">
      <c r="A5435" s="7">
        <v>400252</v>
      </c>
      <c r="B5435" t="str">
        <f>_xlfn.XLOOKUP(Vendas[[#This Row],[ID Vendedor]],Vendedores[ID],Vendedores[Nome])</f>
        <v>Renata</v>
      </c>
      <c r="C5435" s="7" t="str">
        <f>_xlfn.XLOOKUP(Vendas[[#This Row],[ID Vendedor]],Vendedores[ID],Vendedores[Setor])</f>
        <v>AB</v>
      </c>
      <c r="D5435" s="7" t="s">
        <v>37</v>
      </c>
      <c r="E5435" t="str">
        <f>_xlfn.XLOOKUP(Vendas[[#This Row],[ID Item Vendido]],Agregado[ID],Agregado[Produto])</f>
        <v>Composto de borracha para vedação rolo 10m</v>
      </c>
      <c r="F5435" s="39">
        <v>46073</v>
      </c>
      <c r="G5435" s="7">
        <v>4</v>
      </c>
      <c r="H5435" s="3">
        <f>_xlfn.XLOOKUP(Vendas[[#This Row],[ID Item Vendido]],Agregado[ID],Agregado[Revenda])</f>
        <v>51.2</v>
      </c>
      <c r="I5435" s="3">
        <f>Vendas[[#This Row],[Valor Unitário]]*Vendas[[#This Row],[Qnt Vendida]]</f>
        <v>204.8</v>
      </c>
      <c r="J5435" s="3">
        <f>Vendas[[#This Row],[Valor da Venda]]-(_xlfn.XLOOKUP(Vendas[[#This Row],[ID Item Vendido]],Agregado[ID],Agregado[Custo])*Vendas[[#This Row],[Qnt Vendida]])</f>
        <v>44.800000000000011</v>
      </c>
      <c r="K5435" s="70">
        <f>Vendas[[#This Row],[Lucro da Venda]]/Vendas[[#This Row],[Valor da Venda]]</f>
        <v>0.21875000000000006</v>
      </c>
      <c r="L5435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5435"/>
    </row>
    <row r="5436" spans="1:13" x14ac:dyDescent="0.3">
      <c r="A5436" s="7">
        <v>400254</v>
      </c>
      <c r="B5436" t="str">
        <f>_xlfn.XLOOKUP(Vendas[[#This Row],[ID Vendedor]],Vendedores[ID],Vendedores[Nome])</f>
        <v>Beatriz</v>
      </c>
      <c r="C5436" s="7" t="str">
        <f>_xlfn.XLOOKUP(Vendas[[#This Row],[ID Vendedor]],Vendedores[ID],Vendedores[Setor])</f>
        <v>SC</v>
      </c>
      <c r="D5436" s="7" t="s">
        <v>42</v>
      </c>
      <c r="E5436" t="str">
        <f>_xlfn.XLOOKUP(Vendas[[#This Row],[ID Item Vendido]],Agregado[ID],Agregado[Produto])</f>
        <v>Container de ferro industrial</v>
      </c>
      <c r="F5436" s="39">
        <v>46074</v>
      </c>
      <c r="G5436" s="7">
        <v>6</v>
      </c>
      <c r="H5436" s="3">
        <f>_xlfn.XLOOKUP(Vendas[[#This Row],[ID Item Vendido]],Agregado[ID],Agregado[Revenda])</f>
        <v>830</v>
      </c>
      <c r="I5436" s="3">
        <f>Vendas[[#This Row],[Valor Unitário]]*Vendas[[#This Row],[Qnt Vendida]]</f>
        <v>4980</v>
      </c>
      <c r="J5436" s="3">
        <f>Vendas[[#This Row],[Valor da Venda]]-(_xlfn.XLOOKUP(Vendas[[#This Row],[ID Item Vendido]],Agregado[ID],Agregado[Custo])*Vendas[[#This Row],[Qnt Vendida]])</f>
        <v>900</v>
      </c>
      <c r="K5436" s="70">
        <f>Vendas[[#This Row],[Lucro da Venda]]/Vendas[[#This Row],[Valor da Venda]]</f>
        <v>0.18072289156626506</v>
      </c>
      <c r="L5436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436"/>
    </row>
    <row r="5437" spans="1:13" x14ac:dyDescent="0.3">
      <c r="A5437" s="7">
        <v>400241</v>
      </c>
      <c r="B5437" t="str">
        <f>_xlfn.XLOOKUP(Vendas[[#This Row],[ID Vendedor]],Vendedores[ID],Vendedores[Nome])</f>
        <v>Rodrigo</v>
      </c>
      <c r="C5437" s="7" t="str">
        <f>_xlfn.XLOOKUP(Vendas[[#This Row],[ID Vendedor]],Vendedores[ID],Vendedores[Setor])</f>
        <v>FM</v>
      </c>
      <c r="D5437" s="7" t="s">
        <v>20</v>
      </c>
      <c r="E5437" t="str">
        <f>_xlfn.XLOOKUP(Vendas[[#This Row],[ID Item Vendido]],Agregado[ID],Agregado[Produto])</f>
        <v>Barra de aço simples</v>
      </c>
      <c r="F5437" s="39">
        <v>46074</v>
      </c>
      <c r="G5437" s="7">
        <v>54</v>
      </c>
      <c r="H5437" s="3">
        <f>_xlfn.XLOOKUP(Vendas[[#This Row],[ID Item Vendido]],Agregado[ID],Agregado[Revenda])</f>
        <v>4.8</v>
      </c>
      <c r="I5437" s="3">
        <f>Vendas[[#This Row],[Valor Unitário]]*Vendas[[#This Row],[Qnt Vendida]]</f>
        <v>259.2</v>
      </c>
      <c r="J5437" s="3">
        <f>Vendas[[#This Row],[Valor da Venda]]-(_xlfn.XLOOKUP(Vendas[[#This Row],[ID Item Vendido]],Agregado[ID],Agregado[Custo])*Vendas[[#This Row],[Qnt Vendida]])</f>
        <v>32.399999999999977</v>
      </c>
      <c r="K5437" s="70">
        <f>Vendas[[#This Row],[Lucro da Venda]]/Vendas[[#This Row],[Valor da Venda]]</f>
        <v>0.12499999999999992</v>
      </c>
      <c r="L5437" s="3">
        <f>_xlfn.IFS(Vendas[[#This Row],[Margem de Lucro (%)]]&lt;15%,Vendas[[#This Row],[Valor da Venda]]*3%,Vendas[[#This Row],[Margem de Lucro (%)]]&lt;=20%,Vendas[[#This Row],[Valor da Venda]]*4.5%,TRUE,Vendas[[#This Row],[Valor da Venda]]*6%)</f>
        <v>7.7759999999999998</v>
      </c>
      <c r="M5437"/>
    </row>
    <row r="5438" spans="1:13" x14ac:dyDescent="0.3">
      <c r="A5438" s="7">
        <v>400254</v>
      </c>
      <c r="B5438" t="str">
        <f>_xlfn.XLOOKUP(Vendas[[#This Row],[ID Vendedor]],Vendedores[ID],Vendedores[Nome])</f>
        <v>Beatriz</v>
      </c>
      <c r="C5438" s="7" t="str">
        <f>_xlfn.XLOOKUP(Vendas[[#This Row],[ID Vendedor]],Vendedores[ID],Vendedores[Setor])</f>
        <v>SC</v>
      </c>
      <c r="D5438" s="7" t="s">
        <v>14</v>
      </c>
      <c r="E5438" t="str">
        <f>_xlfn.XLOOKUP(Vendas[[#This Row],[ID Item Vendido]],Agregado[ID],Agregado[Produto])</f>
        <v>Barril de plástico 200L</v>
      </c>
      <c r="F5438" s="39">
        <v>46075</v>
      </c>
      <c r="G5438" s="7">
        <v>18</v>
      </c>
      <c r="H5438" s="3">
        <f>_xlfn.XLOOKUP(Vendas[[#This Row],[ID Item Vendido]],Agregado[ID],Agregado[Revenda])</f>
        <v>114</v>
      </c>
      <c r="I5438" s="3">
        <f>Vendas[[#This Row],[Valor Unitário]]*Vendas[[#This Row],[Qnt Vendida]]</f>
        <v>2052</v>
      </c>
      <c r="J5438" s="3">
        <f>Vendas[[#This Row],[Valor da Venda]]-(_xlfn.XLOOKUP(Vendas[[#This Row],[ID Item Vendido]],Agregado[ID],Agregado[Custo])*Vendas[[#This Row],[Qnt Vendida]])</f>
        <v>342</v>
      </c>
      <c r="K5438" s="70">
        <f>Vendas[[#This Row],[Lucro da Venda]]/Vendas[[#This Row],[Valor da Venda]]</f>
        <v>0.16666666666666666</v>
      </c>
      <c r="L5438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5438"/>
    </row>
    <row r="5439" spans="1:13" x14ac:dyDescent="0.3">
      <c r="A5439" s="7">
        <v>400245</v>
      </c>
      <c r="B5439" t="str">
        <f>_xlfn.XLOOKUP(Vendas[[#This Row],[ID Vendedor]],Vendedores[ID],Vendedores[Nome])</f>
        <v>Thiago</v>
      </c>
      <c r="C5439" s="7" t="str">
        <f>_xlfn.XLOOKUP(Vendas[[#This Row],[ID Vendedor]],Vendedores[ID],Vendedores[Setor])</f>
        <v>AHD</v>
      </c>
      <c r="D5439" s="7" t="s">
        <v>9</v>
      </c>
      <c r="E5439" t="str">
        <f>_xlfn.XLOOKUP(Vendas[[#This Row],[ID Item Vendido]],Agregado[ID],Agregado[Produto])</f>
        <v>Barra de aço simples</v>
      </c>
      <c r="F5439" s="39">
        <v>46075</v>
      </c>
      <c r="G5439" s="7">
        <v>96</v>
      </c>
      <c r="H5439" s="3">
        <f>_xlfn.XLOOKUP(Vendas[[#This Row],[ID Item Vendido]],Agregado[ID],Agregado[Revenda])</f>
        <v>6.7</v>
      </c>
      <c r="I5439" s="3">
        <f>Vendas[[#This Row],[Valor Unitário]]*Vendas[[#This Row],[Qnt Vendida]]</f>
        <v>643.20000000000005</v>
      </c>
      <c r="J5439" s="3">
        <f>Vendas[[#This Row],[Valor da Venda]]-(_xlfn.XLOOKUP(Vendas[[#This Row],[ID Item Vendido]],Agregado[ID],Agregado[Custo])*Vendas[[#This Row],[Qnt Vendida]])</f>
        <v>86.400000000000091</v>
      </c>
      <c r="K5439" s="70">
        <f>Vendas[[#This Row],[Lucro da Venda]]/Vendas[[#This Row],[Valor da Venda]]</f>
        <v>0.13432835820895536</v>
      </c>
      <c r="L5439" s="3">
        <f>_xlfn.IFS(Vendas[[#This Row],[Margem de Lucro (%)]]&lt;15%,Vendas[[#This Row],[Valor da Venda]]*3%,Vendas[[#This Row],[Margem de Lucro (%)]]&lt;=20%,Vendas[[#This Row],[Valor da Venda]]*4.5%,TRUE,Vendas[[#This Row],[Valor da Venda]]*6%)</f>
        <v>19.295999999999999</v>
      </c>
      <c r="M5439"/>
    </row>
    <row r="5440" spans="1:13" x14ac:dyDescent="0.3">
      <c r="A5440" s="7">
        <v>400245</v>
      </c>
      <c r="B5440" t="str">
        <f>_xlfn.XLOOKUP(Vendas[[#This Row],[ID Vendedor]],Vendedores[ID],Vendedores[Nome])</f>
        <v>Thiago</v>
      </c>
      <c r="C5440" s="7" t="str">
        <f>_xlfn.XLOOKUP(Vendas[[#This Row],[ID Vendedor]],Vendedores[ID],Vendedores[Setor])</f>
        <v>AHD</v>
      </c>
      <c r="D5440" s="7" t="s">
        <v>30</v>
      </c>
      <c r="E5440" t="str">
        <f>_xlfn.XLOOKUP(Vendas[[#This Row],[ID Item Vendido]],Agregado[ID],Agregado[Produto])</f>
        <v>Estrutura metálica soldada</v>
      </c>
      <c r="F5440" s="39">
        <v>46076</v>
      </c>
      <c r="G5440" s="7">
        <v>8</v>
      </c>
      <c r="H5440" s="3">
        <f>_xlfn.XLOOKUP(Vendas[[#This Row],[ID Item Vendido]],Agregado[ID],Agregado[Revenda])</f>
        <v>400</v>
      </c>
      <c r="I5440" s="3">
        <f>Vendas[[#This Row],[Valor Unitário]]*Vendas[[#This Row],[Qnt Vendida]]</f>
        <v>3200</v>
      </c>
      <c r="J5440" s="3">
        <f>Vendas[[#This Row],[Valor da Venda]]-(_xlfn.XLOOKUP(Vendas[[#This Row],[ID Item Vendido]],Agregado[ID],Agregado[Custo])*Vendas[[#This Row],[Qnt Vendida]])</f>
        <v>640</v>
      </c>
      <c r="K5440" s="70">
        <f>Vendas[[#This Row],[Lucro da Venda]]/Vendas[[#This Row],[Valor da Venda]]</f>
        <v>0.2</v>
      </c>
      <c r="L5440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5440"/>
    </row>
    <row r="5441" spans="1:13" x14ac:dyDescent="0.3">
      <c r="A5441" s="7">
        <v>400254</v>
      </c>
      <c r="B5441" t="str">
        <f>_xlfn.XLOOKUP(Vendas[[#This Row],[ID Vendedor]],Vendedores[ID],Vendedores[Nome])</f>
        <v>Beatriz</v>
      </c>
      <c r="C5441" s="7" t="str">
        <f>_xlfn.XLOOKUP(Vendas[[#This Row],[ID Vendedor]],Vendedores[ID],Vendedores[Setor])</f>
        <v>SC</v>
      </c>
      <c r="D5441" s="7" t="s">
        <v>42</v>
      </c>
      <c r="E5441" t="str">
        <f>_xlfn.XLOOKUP(Vendas[[#This Row],[ID Item Vendido]],Agregado[ID],Agregado[Produto])</f>
        <v>Container de ferro industrial</v>
      </c>
      <c r="F5441" s="39">
        <v>46076</v>
      </c>
      <c r="G5441" s="7">
        <v>3</v>
      </c>
      <c r="H5441" s="3">
        <f>_xlfn.XLOOKUP(Vendas[[#This Row],[ID Item Vendido]],Agregado[ID],Agregado[Revenda])</f>
        <v>830</v>
      </c>
      <c r="I5441" s="3">
        <f>Vendas[[#This Row],[Valor Unitário]]*Vendas[[#This Row],[Qnt Vendida]]</f>
        <v>2490</v>
      </c>
      <c r="J5441" s="3">
        <f>Vendas[[#This Row],[Valor da Venda]]-(_xlfn.XLOOKUP(Vendas[[#This Row],[ID Item Vendido]],Agregado[ID],Agregado[Custo])*Vendas[[#This Row],[Qnt Vendida]])</f>
        <v>450</v>
      </c>
      <c r="K5441" s="70">
        <f>Vendas[[#This Row],[Lucro da Venda]]/Vendas[[#This Row],[Valor da Venda]]</f>
        <v>0.18072289156626506</v>
      </c>
      <c r="L5441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441"/>
    </row>
    <row r="5442" spans="1:13" x14ac:dyDescent="0.3">
      <c r="A5442" s="7">
        <v>400246</v>
      </c>
      <c r="B5442" t="str">
        <f>_xlfn.XLOOKUP(Vendas[[#This Row],[ID Vendedor]],Vendedores[ID],Vendedores[Nome])</f>
        <v>Juliana</v>
      </c>
      <c r="C5442" s="7" t="str">
        <f>_xlfn.XLOOKUP(Vendas[[#This Row],[ID Vendedor]],Vendedores[ID],Vendedores[Setor])</f>
        <v>AHD</v>
      </c>
      <c r="D5442" s="7" t="s">
        <v>44</v>
      </c>
      <c r="E5442" t="str">
        <f>_xlfn.XLOOKUP(Vendas[[#This Row],[ID Item Vendido]],Agregado[ID],Agregado[Produto])</f>
        <v>Liga metálica especial</v>
      </c>
      <c r="F5442" s="39">
        <v>46076</v>
      </c>
      <c r="G5442" s="7">
        <v>49</v>
      </c>
      <c r="H5442" s="3">
        <f>_xlfn.XLOOKUP(Vendas[[#This Row],[ID Item Vendido]],Agregado[ID],Agregado[Revenda])</f>
        <v>32.5</v>
      </c>
      <c r="I5442" s="3">
        <f>Vendas[[#This Row],[Valor Unitário]]*Vendas[[#This Row],[Qnt Vendida]]</f>
        <v>1592.5</v>
      </c>
      <c r="J5442" s="3">
        <f>Vendas[[#This Row],[Valor da Venda]]-(_xlfn.XLOOKUP(Vendas[[#This Row],[ID Item Vendido]],Agregado[ID],Agregado[Custo])*Vendas[[#This Row],[Qnt Vendida]])</f>
        <v>367.5</v>
      </c>
      <c r="K5442" s="70">
        <f>Vendas[[#This Row],[Lucro da Venda]]/Vendas[[#This Row],[Valor da Venda]]</f>
        <v>0.23076923076923078</v>
      </c>
      <c r="L5442" s="3">
        <f>_xlfn.IFS(Vendas[[#This Row],[Margem de Lucro (%)]]&lt;15%,Vendas[[#This Row],[Valor da Venda]]*3%,Vendas[[#This Row],[Margem de Lucro (%)]]&lt;=20%,Vendas[[#This Row],[Valor da Venda]]*4.5%,TRUE,Vendas[[#This Row],[Valor da Venda]]*6%)</f>
        <v>95.55</v>
      </c>
      <c r="M5442"/>
    </row>
    <row r="5443" spans="1:13" x14ac:dyDescent="0.3">
      <c r="A5443" s="7">
        <v>400251</v>
      </c>
      <c r="B5443" t="str">
        <f>_xlfn.XLOOKUP(Vendas[[#This Row],[ID Vendedor]],Vendedores[ID],Vendedores[Nome])</f>
        <v>Diego</v>
      </c>
      <c r="C5443" s="7" t="str">
        <f>_xlfn.XLOOKUP(Vendas[[#This Row],[ID Vendedor]],Vendedores[ID],Vendedores[Setor])</f>
        <v>AB</v>
      </c>
      <c r="D5443" s="7" t="s">
        <v>39</v>
      </c>
      <c r="E5443" t="str">
        <f>_xlfn.XLOOKUP(Vendas[[#This Row],[ID Item Vendido]],Agregado[ID],Agregado[Produto])</f>
        <v>Filme plástico industrial rolo 50m</v>
      </c>
      <c r="F5443" s="39">
        <v>46076</v>
      </c>
      <c r="G5443" s="7">
        <v>19</v>
      </c>
      <c r="H5443" s="3">
        <f>_xlfn.XLOOKUP(Vendas[[#This Row],[ID Item Vendido]],Agregado[ID],Agregado[Revenda])</f>
        <v>37</v>
      </c>
      <c r="I5443" s="3">
        <f>Vendas[[#This Row],[Valor Unitário]]*Vendas[[#This Row],[Qnt Vendida]]</f>
        <v>703</v>
      </c>
      <c r="J5443" s="3">
        <f>Vendas[[#This Row],[Valor da Venda]]-(_xlfn.XLOOKUP(Vendas[[#This Row],[ID Item Vendido]],Agregado[ID],Agregado[Custo])*Vendas[[#This Row],[Qnt Vendida]])</f>
        <v>171</v>
      </c>
      <c r="K5443" s="70">
        <f>Vendas[[#This Row],[Lucro da Venda]]/Vendas[[#This Row],[Valor da Venda]]</f>
        <v>0.24324324324324326</v>
      </c>
      <c r="L5443" s="3">
        <f>_xlfn.IFS(Vendas[[#This Row],[Margem de Lucro (%)]]&lt;15%,Vendas[[#This Row],[Valor da Venda]]*3%,Vendas[[#This Row],[Margem de Lucro (%)]]&lt;=20%,Vendas[[#This Row],[Valor da Venda]]*4.5%,TRUE,Vendas[[#This Row],[Valor da Venda]]*6%)</f>
        <v>42.18</v>
      </c>
      <c r="M5443"/>
    </row>
    <row r="5444" spans="1:13" x14ac:dyDescent="0.3">
      <c r="A5444" s="7">
        <v>400252</v>
      </c>
      <c r="B5444" t="str">
        <f>_xlfn.XLOOKUP(Vendas[[#This Row],[ID Vendedor]],Vendedores[ID],Vendedores[Nome])</f>
        <v>Renata</v>
      </c>
      <c r="C5444" s="7" t="str">
        <f>_xlfn.XLOOKUP(Vendas[[#This Row],[ID Vendedor]],Vendedores[ID],Vendedores[Setor])</f>
        <v>AB</v>
      </c>
      <c r="D5444" s="7" t="s">
        <v>39</v>
      </c>
      <c r="E5444" t="str">
        <f>_xlfn.XLOOKUP(Vendas[[#This Row],[ID Item Vendido]],Agregado[ID],Agregado[Produto])</f>
        <v>Filme plástico industrial rolo 50m</v>
      </c>
      <c r="F5444" s="39">
        <v>46076</v>
      </c>
      <c r="G5444" s="7">
        <v>16</v>
      </c>
      <c r="H5444" s="3">
        <f>_xlfn.XLOOKUP(Vendas[[#This Row],[ID Item Vendido]],Agregado[ID],Agregado[Revenda])</f>
        <v>37</v>
      </c>
      <c r="I5444" s="3">
        <f>Vendas[[#This Row],[Valor Unitário]]*Vendas[[#This Row],[Qnt Vendida]]</f>
        <v>592</v>
      </c>
      <c r="J5444" s="3">
        <f>Vendas[[#This Row],[Valor da Venda]]-(_xlfn.XLOOKUP(Vendas[[#This Row],[ID Item Vendido]],Agregado[ID],Agregado[Custo])*Vendas[[#This Row],[Qnt Vendida]])</f>
        <v>144</v>
      </c>
      <c r="K5444" s="70">
        <f>Vendas[[#This Row],[Lucro da Venda]]/Vendas[[#This Row],[Valor da Venda]]</f>
        <v>0.24324324324324326</v>
      </c>
      <c r="L5444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5444"/>
    </row>
    <row r="5445" spans="1:13" x14ac:dyDescent="0.3">
      <c r="A5445" s="7">
        <v>400251</v>
      </c>
      <c r="B5445" t="str">
        <f>_xlfn.XLOOKUP(Vendas[[#This Row],[ID Vendedor]],Vendedores[ID],Vendedores[Nome])</f>
        <v>Diego</v>
      </c>
      <c r="C5445" s="7" t="str">
        <f>_xlfn.XLOOKUP(Vendas[[#This Row],[ID Vendedor]],Vendedores[ID],Vendedores[Setor])</f>
        <v>AB</v>
      </c>
      <c r="D5445" s="7" t="s">
        <v>24</v>
      </c>
      <c r="E5445" t="str">
        <f>_xlfn.XLOOKUP(Vendas[[#This Row],[ID Item Vendido]],Agregado[ID],Agregado[Produto])</f>
        <v>Resina plástica PET purificada saco de 25kg</v>
      </c>
      <c r="F5445" s="39">
        <v>46077</v>
      </c>
      <c r="G5445" s="7">
        <v>22</v>
      </c>
      <c r="H5445" s="3">
        <f>_xlfn.XLOOKUP(Vendas[[#This Row],[ID Item Vendido]],Agregado[ID],Agregado[Revenda])</f>
        <v>119</v>
      </c>
      <c r="I5445" s="3">
        <f>Vendas[[#This Row],[Valor Unitário]]*Vendas[[#This Row],[Qnt Vendida]]</f>
        <v>2618</v>
      </c>
      <c r="J5445" s="3">
        <f>Vendas[[#This Row],[Valor da Venda]]-(_xlfn.XLOOKUP(Vendas[[#This Row],[ID Item Vendido]],Agregado[ID],Agregado[Custo])*Vendas[[#This Row],[Qnt Vendida]])</f>
        <v>748</v>
      </c>
      <c r="K5445" s="70">
        <f>Vendas[[#This Row],[Lucro da Venda]]/Vendas[[#This Row],[Valor da Venda]]</f>
        <v>0.2857142857142857</v>
      </c>
      <c r="L5445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5445"/>
    </row>
    <row r="5446" spans="1:13" x14ac:dyDescent="0.3">
      <c r="A5446" s="7">
        <v>400252</v>
      </c>
      <c r="B5446" t="str">
        <f>_xlfn.XLOOKUP(Vendas[[#This Row],[ID Vendedor]],Vendedores[ID],Vendedores[Nome])</f>
        <v>Renata</v>
      </c>
      <c r="C5446" s="7" t="str">
        <f>_xlfn.XLOOKUP(Vendas[[#This Row],[ID Vendedor]],Vendedores[ID],Vendedores[Setor])</f>
        <v>AB</v>
      </c>
      <c r="D5446" s="7" t="s">
        <v>39</v>
      </c>
      <c r="E5446" t="str">
        <f>_xlfn.XLOOKUP(Vendas[[#This Row],[ID Item Vendido]],Agregado[ID],Agregado[Produto])</f>
        <v>Filme plástico industrial rolo 50m</v>
      </c>
      <c r="F5446" s="39">
        <v>46077</v>
      </c>
      <c r="G5446" s="7">
        <v>9</v>
      </c>
      <c r="H5446" s="3">
        <f>_xlfn.XLOOKUP(Vendas[[#This Row],[ID Item Vendido]],Agregado[ID],Agregado[Revenda])</f>
        <v>37</v>
      </c>
      <c r="I5446" s="3">
        <f>Vendas[[#This Row],[Valor Unitário]]*Vendas[[#This Row],[Qnt Vendida]]</f>
        <v>333</v>
      </c>
      <c r="J5446" s="3">
        <f>Vendas[[#This Row],[Valor da Venda]]-(_xlfn.XLOOKUP(Vendas[[#This Row],[ID Item Vendido]],Agregado[ID],Agregado[Custo])*Vendas[[#This Row],[Qnt Vendida]])</f>
        <v>81</v>
      </c>
      <c r="K5446" s="70">
        <f>Vendas[[#This Row],[Lucro da Venda]]/Vendas[[#This Row],[Valor da Venda]]</f>
        <v>0.24324324324324326</v>
      </c>
      <c r="L5446" s="3">
        <f>_xlfn.IFS(Vendas[[#This Row],[Margem de Lucro (%)]]&lt;15%,Vendas[[#This Row],[Valor da Venda]]*3%,Vendas[[#This Row],[Margem de Lucro (%)]]&lt;=20%,Vendas[[#This Row],[Valor da Venda]]*4.5%,TRUE,Vendas[[#This Row],[Valor da Venda]]*6%)</f>
        <v>19.98</v>
      </c>
      <c r="M5446"/>
    </row>
    <row r="5447" spans="1:13" x14ac:dyDescent="0.3">
      <c r="A5447" s="7">
        <v>400252</v>
      </c>
      <c r="B5447" t="str">
        <f>_xlfn.XLOOKUP(Vendas[[#This Row],[ID Vendedor]],Vendedores[ID],Vendedores[Nome])</f>
        <v>Renata</v>
      </c>
      <c r="C5447" s="7" t="str">
        <f>_xlfn.XLOOKUP(Vendas[[#This Row],[ID Vendedor]],Vendedores[ID],Vendedores[Setor])</f>
        <v>AB</v>
      </c>
      <c r="D5447" s="7" t="s">
        <v>39</v>
      </c>
      <c r="E5447" t="str">
        <f>_xlfn.XLOOKUP(Vendas[[#This Row],[ID Item Vendido]],Agregado[ID],Agregado[Produto])</f>
        <v>Filme plástico industrial rolo 50m</v>
      </c>
      <c r="F5447" s="39">
        <v>46077</v>
      </c>
      <c r="G5447" s="7">
        <v>2</v>
      </c>
      <c r="H5447" s="3">
        <f>_xlfn.XLOOKUP(Vendas[[#This Row],[ID Item Vendido]],Agregado[ID],Agregado[Revenda])</f>
        <v>37</v>
      </c>
      <c r="I5447" s="3">
        <f>Vendas[[#This Row],[Valor Unitário]]*Vendas[[#This Row],[Qnt Vendida]]</f>
        <v>74</v>
      </c>
      <c r="J5447" s="3">
        <f>Vendas[[#This Row],[Valor da Venda]]-(_xlfn.XLOOKUP(Vendas[[#This Row],[ID Item Vendido]],Agregado[ID],Agregado[Custo])*Vendas[[#This Row],[Qnt Vendida]])</f>
        <v>18</v>
      </c>
      <c r="K5447" s="70">
        <f>Vendas[[#This Row],[Lucro da Venda]]/Vendas[[#This Row],[Valor da Venda]]</f>
        <v>0.24324324324324326</v>
      </c>
      <c r="L5447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5447"/>
    </row>
    <row r="5448" spans="1:13" x14ac:dyDescent="0.3">
      <c r="A5448" s="7">
        <v>400254</v>
      </c>
      <c r="B5448" t="str">
        <f>_xlfn.XLOOKUP(Vendas[[#This Row],[ID Vendedor]],Vendedores[ID],Vendedores[Nome])</f>
        <v>Beatriz</v>
      </c>
      <c r="C5448" s="7" t="str">
        <f>_xlfn.XLOOKUP(Vendas[[#This Row],[ID Vendedor]],Vendedores[ID],Vendedores[Setor])</f>
        <v>SC</v>
      </c>
      <c r="D5448" s="7" t="s">
        <v>48</v>
      </c>
      <c r="E5448" t="str">
        <f>_xlfn.XLOOKUP(Vendas[[#This Row],[ID Item Vendido]],Agregado[ID],Agregado[Produto])</f>
        <v>Tambor metálico 200L</v>
      </c>
      <c r="F5448" s="39">
        <v>46078</v>
      </c>
      <c r="G5448" s="7">
        <v>15</v>
      </c>
      <c r="H5448" s="3">
        <f>_xlfn.XLOOKUP(Vendas[[#This Row],[ID Item Vendido]],Agregado[ID],Agregado[Revenda])</f>
        <v>144</v>
      </c>
      <c r="I5448" s="3">
        <f>Vendas[[#This Row],[Valor Unitário]]*Vendas[[#This Row],[Qnt Vendida]]</f>
        <v>2160</v>
      </c>
      <c r="J5448" s="3">
        <f>Vendas[[#This Row],[Valor da Venda]]-(_xlfn.XLOOKUP(Vendas[[#This Row],[ID Item Vendido]],Agregado[ID],Agregado[Custo])*Vendas[[#This Row],[Qnt Vendida]])</f>
        <v>360</v>
      </c>
      <c r="K5448" s="70">
        <f>Vendas[[#This Row],[Lucro da Venda]]/Vendas[[#This Row],[Valor da Venda]]</f>
        <v>0.16666666666666666</v>
      </c>
      <c r="L5448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5448"/>
    </row>
    <row r="5449" spans="1:13" x14ac:dyDescent="0.3">
      <c r="A5449" s="7">
        <v>400248</v>
      </c>
      <c r="B5449" t="str">
        <f>_xlfn.XLOOKUP(Vendas[[#This Row],[ID Vendedor]],Vendedores[ID],Vendedores[Nome])</f>
        <v>Patrícia</v>
      </c>
      <c r="C5449" s="7" t="str">
        <f>_xlfn.XLOOKUP(Vendas[[#This Row],[ID Vendedor]],Vendedores[ID],Vendedores[Setor])</f>
        <v>CM</v>
      </c>
      <c r="D5449" s="7" t="s">
        <v>45</v>
      </c>
      <c r="E5449" t="str">
        <f>_xlfn.XLOOKUP(Vendas[[#This Row],[ID Item Vendido]],Agregado[ID],Agregado[Produto])</f>
        <v>Viga de madeira tratada 4m</v>
      </c>
      <c r="F5449" s="39">
        <v>46078</v>
      </c>
      <c r="G5449" s="7">
        <v>9</v>
      </c>
      <c r="H5449" s="3">
        <f>_xlfn.XLOOKUP(Vendas[[#This Row],[ID Item Vendido]],Agregado[ID],Agregado[Revenda])</f>
        <v>66</v>
      </c>
      <c r="I5449" s="3">
        <f>Vendas[[#This Row],[Valor Unitário]]*Vendas[[#This Row],[Qnt Vendida]]</f>
        <v>594</v>
      </c>
      <c r="J5449" s="3">
        <f>Vendas[[#This Row],[Valor da Venda]]-(_xlfn.XLOOKUP(Vendas[[#This Row],[ID Item Vendido]],Agregado[ID],Agregado[Custo])*Vendas[[#This Row],[Qnt Vendida]])</f>
        <v>99</v>
      </c>
      <c r="K5449" s="70">
        <f>Vendas[[#This Row],[Lucro da Venda]]/Vendas[[#This Row],[Valor da Venda]]</f>
        <v>0.16666666666666666</v>
      </c>
      <c r="L5449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5449"/>
    </row>
    <row r="5450" spans="1:13" x14ac:dyDescent="0.3">
      <c r="A5450" s="7">
        <v>400245</v>
      </c>
      <c r="B5450" t="str">
        <f>_xlfn.XLOOKUP(Vendas[[#This Row],[ID Vendedor]],Vendedores[ID],Vendedores[Nome])</f>
        <v>Thiago</v>
      </c>
      <c r="C5450" s="7" t="str">
        <f>_xlfn.XLOOKUP(Vendas[[#This Row],[ID Vendedor]],Vendedores[ID],Vendedores[Setor])</f>
        <v>AHD</v>
      </c>
      <c r="D5450" s="7" t="s">
        <v>44</v>
      </c>
      <c r="E5450" t="str">
        <f>_xlfn.XLOOKUP(Vendas[[#This Row],[ID Item Vendido]],Agregado[ID],Agregado[Produto])</f>
        <v>Liga metálica especial</v>
      </c>
      <c r="F5450" s="39">
        <v>46078</v>
      </c>
      <c r="G5450" s="7">
        <v>10</v>
      </c>
      <c r="H5450" s="3">
        <f>_xlfn.XLOOKUP(Vendas[[#This Row],[ID Item Vendido]],Agregado[ID],Agregado[Revenda])</f>
        <v>32.5</v>
      </c>
      <c r="I5450" s="3">
        <f>Vendas[[#This Row],[Valor Unitário]]*Vendas[[#This Row],[Qnt Vendida]]</f>
        <v>325</v>
      </c>
      <c r="J5450" s="3">
        <f>Vendas[[#This Row],[Valor da Venda]]-(_xlfn.XLOOKUP(Vendas[[#This Row],[ID Item Vendido]],Agregado[ID],Agregado[Custo])*Vendas[[#This Row],[Qnt Vendida]])</f>
        <v>75</v>
      </c>
      <c r="K5450" s="70">
        <f>Vendas[[#This Row],[Lucro da Venda]]/Vendas[[#This Row],[Valor da Venda]]</f>
        <v>0.23076923076923078</v>
      </c>
      <c r="L5450" s="3">
        <f>_xlfn.IFS(Vendas[[#This Row],[Margem de Lucro (%)]]&lt;15%,Vendas[[#This Row],[Valor da Venda]]*3%,Vendas[[#This Row],[Margem de Lucro (%)]]&lt;=20%,Vendas[[#This Row],[Valor da Venda]]*4.5%,TRUE,Vendas[[#This Row],[Valor da Venda]]*6%)</f>
        <v>19.5</v>
      </c>
      <c r="M5450"/>
    </row>
    <row r="5451" spans="1:13" x14ac:dyDescent="0.3">
      <c r="A5451" s="7">
        <v>400250</v>
      </c>
      <c r="B5451" t="str">
        <f>_xlfn.XLOOKUP(Vendas[[#This Row],[ID Vendedor]],Vendedores[ID],Vendedores[Nome])</f>
        <v>Larissa</v>
      </c>
      <c r="C5451" s="7" t="str">
        <f>_xlfn.XLOOKUP(Vendas[[#This Row],[ID Vendedor]],Vendedores[ID],Vendedores[Setor])</f>
        <v>AB</v>
      </c>
      <c r="D5451" s="7" t="s">
        <v>37</v>
      </c>
      <c r="E5451" t="str">
        <f>_xlfn.XLOOKUP(Vendas[[#This Row],[ID Item Vendido]],Agregado[ID],Agregado[Produto])</f>
        <v>Composto de borracha para vedação rolo 10m</v>
      </c>
      <c r="F5451" s="39">
        <v>46078</v>
      </c>
      <c r="G5451" s="7">
        <v>5</v>
      </c>
      <c r="H5451" s="3">
        <f>_xlfn.XLOOKUP(Vendas[[#This Row],[ID Item Vendido]],Agregado[ID],Agregado[Revenda])</f>
        <v>51.2</v>
      </c>
      <c r="I5451" s="3">
        <f>Vendas[[#This Row],[Valor Unitário]]*Vendas[[#This Row],[Qnt Vendida]]</f>
        <v>256</v>
      </c>
      <c r="J5451" s="3">
        <f>Vendas[[#This Row],[Valor da Venda]]-(_xlfn.XLOOKUP(Vendas[[#This Row],[ID Item Vendido]],Agregado[ID],Agregado[Custo])*Vendas[[#This Row],[Qnt Vendida]])</f>
        <v>56</v>
      </c>
      <c r="K5451" s="70">
        <f>Vendas[[#This Row],[Lucro da Venda]]/Vendas[[#This Row],[Valor da Venda]]</f>
        <v>0.21875</v>
      </c>
      <c r="L5451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5451"/>
    </row>
    <row r="5452" spans="1:13" x14ac:dyDescent="0.3">
      <c r="A5452" s="7">
        <v>400247</v>
      </c>
      <c r="B5452" t="str">
        <f>_xlfn.XLOOKUP(Vendas[[#This Row],[ID Vendedor]],Vendedores[ID],Vendedores[Nome])</f>
        <v>André</v>
      </c>
      <c r="C5452" s="7" t="str">
        <f>_xlfn.XLOOKUP(Vendas[[#This Row],[ID Vendedor]],Vendedores[ID],Vendedores[Setor])</f>
        <v>CM</v>
      </c>
      <c r="D5452" s="7" t="s">
        <v>34</v>
      </c>
      <c r="E5452" t="str">
        <f>_xlfn.XLOOKUP(Vendas[[#This Row],[ID Item Vendido]],Agregado[ID],Agregado[Produto])</f>
        <v>Restos de madeira p/ MDP/OSB saco de 20kg</v>
      </c>
      <c r="F5452" s="39">
        <v>46079</v>
      </c>
      <c r="G5452" s="7">
        <v>24</v>
      </c>
      <c r="H5452" s="3">
        <f>_xlfn.XLOOKUP(Vendas[[#This Row],[ID Item Vendido]],Agregado[ID],Agregado[Revenda])</f>
        <v>13.8</v>
      </c>
      <c r="I5452" s="3">
        <f>Vendas[[#This Row],[Valor Unitário]]*Vendas[[#This Row],[Qnt Vendida]]</f>
        <v>331.20000000000005</v>
      </c>
      <c r="J5452" s="3">
        <f>Vendas[[#This Row],[Valor da Venda]]-(_xlfn.XLOOKUP(Vendas[[#This Row],[ID Item Vendido]],Agregado[ID],Agregado[Custo])*Vendas[[#This Row],[Qnt Vendida]])</f>
        <v>43.200000000000045</v>
      </c>
      <c r="K5452" s="70">
        <f>Vendas[[#This Row],[Lucro da Venda]]/Vendas[[#This Row],[Valor da Venda]]</f>
        <v>0.13043478260869576</v>
      </c>
      <c r="L5452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5452"/>
    </row>
    <row r="5453" spans="1:13" x14ac:dyDescent="0.3">
      <c r="A5453" s="7">
        <v>400251</v>
      </c>
      <c r="B5453" t="str">
        <f>_xlfn.XLOOKUP(Vendas[[#This Row],[ID Vendedor]],Vendedores[ID],Vendedores[Nome])</f>
        <v>Diego</v>
      </c>
      <c r="C5453" s="7" t="str">
        <f>_xlfn.XLOOKUP(Vendas[[#This Row],[ID Vendedor]],Vendedores[ID],Vendedores[Setor])</f>
        <v>AB</v>
      </c>
      <c r="D5453" s="7" t="s">
        <v>24</v>
      </c>
      <c r="E5453" t="str">
        <f>_xlfn.XLOOKUP(Vendas[[#This Row],[ID Item Vendido]],Agregado[ID],Agregado[Produto])</f>
        <v>Resina plástica PET purificada saco de 25kg</v>
      </c>
      <c r="F5453" s="39">
        <v>46080</v>
      </c>
      <c r="G5453" s="7">
        <v>14</v>
      </c>
      <c r="H5453" s="3">
        <f>_xlfn.XLOOKUP(Vendas[[#This Row],[ID Item Vendido]],Agregado[ID],Agregado[Revenda])</f>
        <v>119</v>
      </c>
      <c r="I5453" s="3">
        <f>Vendas[[#This Row],[Valor Unitário]]*Vendas[[#This Row],[Qnt Vendida]]</f>
        <v>1666</v>
      </c>
      <c r="J5453" s="3">
        <f>Vendas[[#This Row],[Valor da Venda]]-(_xlfn.XLOOKUP(Vendas[[#This Row],[ID Item Vendido]],Agregado[ID],Agregado[Custo])*Vendas[[#This Row],[Qnt Vendida]])</f>
        <v>476</v>
      </c>
      <c r="K5453" s="70">
        <f>Vendas[[#This Row],[Lucro da Venda]]/Vendas[[#This Row],[Valor da Venda]]</f>
        <v>0.2857142857142857</v>
      </c>
      <c r="L5453" s="3">
        <f>_xlfn.IFS(Vendas[[#This Row],[Margem de Lucro (%)]]&lt;15%,Vendas[[#This Row],[Valor da Venda]]*3%,Vendas[[#This Row],[Margem de Lucro (%)]]&lt;=20%,Vendas[[#This Row],[Valor da Venda]]*4.5%,TRUE,Vendas[[#This Row],[Valor da Venda]]*6%)</f>
        <v>99.96</v>
      </c>
      <c r="M5453"/>
    </row>
    <row r="5454" spans="1:13" x14ac:dyDescent="0.3">
      <c r="A5454" s="7">
        <v>400245</v>
      </c>
      <c r="B5454" t="str">
        <f>_xlfn.XLOOKUP(Vendas[[#This Row],[ID Vendedor]],Vendedores[ID],Vendedores[Nome])</f>
        <v>Thiago</v>
      </c>
      <c r="C5454" s="7" t="str">
        <f>_xlfn.XLOOKUP(Vendas[[#This Row],[ID Vendedor]],Vendedores[ID],Vendedores[Setor])</f>
        <v>AHD</v>
      </c>
      <c r="D5454" s="7" t="s">
        <v>30</v>
      </c>
      <c r="E5454" t="str">
        <f>_xlfn.XLOOKUP(Vendas[[#This Row],[ID Item Vendido]],Agregado[ID],Agregado[Produto])</f>
        <v>Estrutura metálica soldada</v>
      </c>
      <c r="F5454" s="39">
        <v>46080</v>
      </c>
      <c r="G5454" s="7">
        <v>2</v>
      </c>
      <c r="H5454" s="3">
        <f>_xlfn.XLOOKUP(Vendas[[#This Row],[ID Item Vendido]],Agregado[ID],Agregado[Revenda])</f>
        <v>400</v>
      </c>
      <c r="I5454" s="3">
        <f>Vendas[[#This Row],[Valor Unitário]]*Vendas[[#This Row],[Qnt Vendida]]</f>
        <v>800</v>
      </c>
      <c r="J5454" s="3">
        <f>Vendas[[#This Row],[Valor da Venda]]-(_xlfn.XLOOKUP(Vendas[[#This Row],[ID Item Vendido]],Agregado[ID],Agregado[Custo])*Vendas[[#This Row],[Qnt Vendida]])</f>
        <v>160</v>
      </c>
      <c r="K5454" s="70">
        <f>Vendas[[#This Row],[Lucro da Venda]]/Vendas[[#This Row],[Valor da Venda]]</f>
        <v>0.2</v>
      </c>
      <c r="L5454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5454"/>
    </row>
    <row r="5455" spans="1:13" x14ac:dyDescent="0.3">
      <c r="A5455" s="7">
        <v>400254</v>
      </c>
      <c r="B5455" t="str">
        <f>_xlfn.XLOOKUP(Vendas[[#This Row],[ID Vendedor]],Vendedores[ID],Vendedores[Nome])</f>
        <v>Beatriz</v>
      </c>
      <c r="C5455" s="7" t="str">
        <f>_xlfn.XLOOKUP(Vendas[[#This Row],[ID Vendedor]],Vendedores[ID],Vendedores[Setor])</f>
        <v>SC</v>
      </c>
      <c r="D5455" s="7" t="s">
        <v>25</v>
      </c>
      <c r="E5455" t="str">
        <f>_xlfn.XLOOKUP(Vendas[[#This Row],[ID Item Vendido]],Agregado[ID],Agregado[Produto])</f>
        <v>Palete de plástico</v>
      </c>
      <c r="F5455" s="39">
        <v>46080</v>
      </c>
      <c r="G5455" s="7">
        <v>9</v>
      </c>
      <c r="H5455" s="3">
        <f>_xlfn.XLOOKUP(Vendas[[#This Row],[ID Item Vendido]],Agregado[ID],Agregado[Revenda])</f>
        <v>70.8</v>
      </c>
      <c r="I5455" s="3">
        <f>Vendas[[#This Row],[Valor Unitário]]*Vendas[[#This Row],[Qnt Vendida]]</f>
        <v>637.19999999999993</v>
      </c>
      <c r="J5455" s="3">
        <f>Vendas[[#This Row],[Valor da Venda]]-(_xlfn.XLOOKUP(Vendas[[#This Row],[ID Item Vendido]],Agregado[ID],Agregado[Custo])*Vendas[[#This Row],[Qnt Vendida]])</f>
        <v>97.199999999999932</v>
      </c>
      <c r="K5455" s="70">
        <f>Vendas[[#This Row],[Lucro da Venda]]/Vendas[[#This Row],[Valor da Venda]]</f>
        <v>0.15254237288135583</v>
      </c>
      <c r="L5455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5455"/>
    </row>
    <row r="5456" spans="1:13" x14ac:dyDescent="0.3">
      <c r="A5456" s="7">
        <v>400242</v>
      </c>
      <c r="B5456" t="str">
        <f>_xlfn.XLOOKUP(Vendas[[#This Row],[ID Vendedor]],Vendedores[ID],Vendedores[Nome])</f>
        <v>Fernanda</v>
      </c>
      <c r="C5456" s="7" t="str">
        <f>_xlfn.XLOOKUP(Vendas[[#This Row],[ID Vendedor]],Vendedores[ID],Vendedores[Setor])</f>
        <v>FM</v>
      </c>
      <c r="D5456" s="7" t="s">
        <v>47</v>
      </c>
      <c r="E5456" t="str">
        <f>_xlfn.XLOOKUP(Vendas[[#This Row],[ID Item Vendido]],Agregado[ID],Agregado[Produto])</f>
        <v>Fio de arame galvanizado rolo 50m</v>
      </c>
      <c r="F5456" s="39">
        <v>46080</v>
      </c>
      <c r="G5456" s="7">
        <v>30</v>
      </c>
      <c r="H5456" s="3">
        <f>_xlfn.XLOOKUP(Vendas[[#This Row],[ID Item Vendido]],Agregado[ID],Agregado[Revenda])</f>
        <v>21.2</v>
      </c>
      <c r="I5456" s="3">
        <f>Vendas[[#This Row],[Valor Unitário]]*Vendas[[#This Row],[Qnt Vendida]]</f>
        <v>636</v>
      </c>
      <c r="J5456" s="3">
        <f>Vendas[[#This Row],[Valor da Venda]]-(_xlfn.XLOOKUP(Vendas[[#This Row],[ID Item Vendido]],Agregado[ID],Agregado[Custo])*Vendas[[#This Row],[Qnt Vendida]])</f>
        <v>96</v>
      </c>
      <c r="K5456" s="70">
        <f>Vendas[[#This Row],[Lucro da Venda]]/Vendas[[#This Row],[Valor da Venda]]</f>
        <v>0.15094339622641509</v>
      </c>
      <c r="L5456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5456"/>
    </row>
    <row r="5457" spans="1:13" x14ac:dyDescent="0.3">
      <c r="A5457" s="7">
        <v>400255</v>
      </c>
      <c r="B5457" t="str">
        <f>_xlfn.XLOOKUP(Vendas[[#This Row],[ID Vendedor]],Vendedores[ID],Vendedores[Nome])</f>
        <v>Carlos</v>
      </c>
      <c r="C5457" s="7" t="str">
        <f>_xlfn.XLOOKUP(Vendas[[#This Row],[ID Vendedor]],Vendedores[ID],Vendedores[Setor])</f>
        <v>SC</v>
      </c>
      <c r="D5457" s="7" t="s">
        <v>48</v>
      </c>
      <c r="E5457" t="str">
        <f>_xlfn.XLOOKUP(Vendas[[#This Row],[ID Item Vendido]],Agregado[ID],Agregado[Produto])</f>
        <v>Tambor metálico 200L</v>
      </c>
      <c r="F5457" s="39">
        <v>46081</v>
      </c>
      <c r="G5457" s="7">
        <v>14</v>
      </c>
      <c r="H5457" s="3">
        <f>_xlfn.XLOOKUP(Vendas[[#This Row],[ID Item Vendido]],Agregado[ID],Agregado[Revenda])</f>
        <v>144</v>
      </c>
      <c r="I5457" s="3">
        <f>Vendas[[#This Row],[Valor Unitário]]*Vendas[[#This Row],[Qnt Vendida]]</f>
        <v>2016</v>
      </c>
      <c r="J5457" s="3">
        <f>Vendas[[#This Row],[Valor da Venda]]-(_xlfn.XLOOKUP(Vendas[[#This Row],[ID Item Vendido]],Agregado[ID],Agregado[Custo])*Vendas[[#This Row],[Qnt Vendida]])</f>
        <v>336</v>
      </c>
      <c r="K5457" s="70">
        <f>Vendas[[#This Row],[Lucro da Venda]]/Vendas[[#This Row],[Valor da Venda]]</f>
        <v>0.16666666666666666</v>
      </c>
      <c r="L5457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5457"/>
    </row>
    <row r="5458" spans="1:13" x14ac:dyDescent="0.3">
      <c r="A5458" s="7">
        <v>400246</v>
      </c>
      <c r="B5458" t="str">
        <f>_xlfn.XLOOKUP(Vendas[[#This Row],[ID Vendedor]],Vendedores[ID],Vendedores[Nome])</f>
        <v>Juliana</v>
      </c>
      <c r="C5458" s="7" t="str">
        <f>_xlfn.XLOOKUP(Vendas[[#This Row],[ID Vendedor]],Vendedores[ID],Vendedores[Setor])</f>
        <v>AHD</v>
      </c>
      <c r="D5458" s="7" t="s">
        <v>44</v>
      </c>
      <c r="E5458" t="str">
        <f>_xlfn.XLOOKUP(Vendas[[#This Row],[ID Item Vendido]],Agregado[ID],Agregado[Produto])</f>
        <v>Liga metálica especial</v>
      </c>
      <c r="F5458" s="39">
        <v>46081</v>
      </c>
      <c r="G5458" s="7">
        <v>36</v>
      </c>
      <c r="H5458" s="3">
        <f>_xlfn.XLOOKUP(Vendas[[#This Row],[ID Item Vendido]],Agregado[ID],Agregado[Revenda])</f>
        <v>32.5</v>
      </c>
      <c r="I5458" s="3">
        <f>Vendas[[#This Row],[Valor Unitário]]*Vendas[[#This Row],[Qnt Vendida]]</f>
        <v>1170</v>
      </c>
      <c r="J5458" s="3">
        <f>Vendas[[#This Row],[Valor da Venda]]-(_xlfn.XLOOKUP(Vendas[[#This Row],[ID Item Vendido]],Agregado[ID],Agregado[Custo])*Vendas[[#This Row],[Qnt Vendida]])</f>
        <v>270</v>
      </c>
      <c r="K5458" s="70">
        <f>Vendas[[#This Row],[Lucro da Venda]]/Vendas[[#This Row],[Valor da Venda]]</f>
        <v>0.23076923076923078</v>
      </c>
      <c r="L5458" s="3">
        <f>_xlfn.IFS(Vendas[[#This Row],[Margem de Lucro (%)]]&lt;15%,Vendas[[#This Row],[Valor da Venda]]*3%,Vendas[[#This Row],[Margem de Lucro (%)]]&lt;=20%,Vendas[[#This Row],[Valor da Venda]]*4.5%,TRUE,Vendas[[#This Row],[Valor da Venda]]*6%)</f>
        <v>70.2</v>
      </c>
      <c r="M5458"/>
    </row>
    <row r="5459" spans="1:13" x14ac:dyDescent="0.3">
      <c r="A5459" s="7">
        <v>400252</v>
      </c>
      <c r="B5459" t="str">
        <f>_xlfn.XLOOKUP(Vendas[[#This Row],[ID Vendedor]],Vendedores[ID],Vendedores[Nome])</f>
        <v>Renata</v>
      </c>
      <c r="C5459" s="7" t="str">
        <f>_xlfn.XLOOKUP(Vendas[[#This Row],[ID Vendedor]],Vendedores[ID],Vendedores[Setor])</f>
        <v>AB</v>
      </c>
      <c r="D5459" s="7" t="s">
        <v>36</v>
      </c>
      <c r="E5459" t="str">
        <f>_xlfn.XLOOKUP(Vendas[[#This Row],[ID Item Vendido]],Agregado[ID],Agregado[Produto])</f>
        <v>Borracha vulcanizada em manta</v>
      </c>
      <c r="F5459" s="39">
        <v>46081</v>
      </c>
      <c r="G5459" s="7">
        <v>60</v>
      </c>
      <c r="H5459" s="3">
        <f>_xlfn.XLOOKUP(Vendas[[#This Row],[ID Item Vendido]],Agregado[ID],Agregado[Revenda])</f>
        <v>7.8</v>
      </c>
      <c r="I5459" s="3">
        <f>Vendas[[#This Row],[Valor Unitário]]*Vendas[[#This Row],[Qnt Vendida]]</f>
        <v>468</v>
      </c>
      <c r="J5459" s="3">
        <f>Vendas[[#This Row],[Valor da Venda]]-(_xlfn.XLOOKUP(Vendas[[#This Row],[ID Item Vendido]],Agregado[ID],Agregado[Custo])*Vendas[[#This Row],[Qnt Vendida]])</f>
        <v>108</v>
      </c>
      <c r="K5459" s="70">
        <f>Vendas[[#This Row],[Lucro da Venda]]/Vendas[[#This Row],[Valor da Venda]]</f>
        <v>0.23076923076923078</v>
      </c>
      <c r="L5459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5459"/>
    </row>
    <row r="5460" spans="1:13" x14ac:dyDescent="0.3">
      <c r="A5460" s="7">
        <v>400254</v>
      </c>
      <c r="B5460" t="str">
        <f>_xlfn.XLOOKUP(Vendas[[#This Row],[ID Vendedor]],Vendedores[ID],Vendedores[Nome])</f>
        <v>Beatriz</v>
      </c>
      <c r="C5460" s="7" t="str">
        <f>_xlfn.XLOOKUP(Vendas[[#This Row],[ID Vendedor]],Vendedores[ID],Vendedores[Setor])</f>
        <v>SC</v>
      </c>
      <c r="D5460" s="7" t="s">
        <v>25</v>
      </c>
      <c r="E5460" t="str">
        <f>_xlfn.XLOOKUP(Vendas[[#This Row],[ID Item Vendido]],Agregado[ID],Agregado[Produto])</f>
        <v>Palete de plástico</v>
      </c>
      <c r="F5460" s="39">
        <v>46081</v>
      </c>
      <c r="G5460" s="7">
        <v>3</v>
      </c>
      <c r="H5460" s="3">
        <f>_xlfn.XLOOKUP(Vendas[[#This Row],[ID Item Vendido]],Agregado[ID],Agregado[Revenda])</f>
        <v>70.8</v>
      </c>
      <c r="I5460" s="3">
        <f>Vendas[[#This Row],[Valor Unitário]]*Vendas[[#This Row],[Qnt Vendida]]</f>
        <v>212.39999999999998</v>
      </c>
      <c r="J5460" s="3">
        <f>Vendas[[#This Row],[Valor da Venda]]-(_xlfn.XLOOKUP(Vendas[[#This Row],[ID Item Vendido]],Agregado[ID],Agregado[Custo])*Vendas[[#This Row],[Qnt Vendida]])</f>
        <v>32.399999999999977</v>
      </c>
      <c r="K5460" s="70">
        <f>Vendas[[#This Row],[Lucro da Venda]]/Vendas[[#This Row],[Valor da Venda]]</f>
        <v>0.15254237288135583</v>
      </c>
      <c r="L5460" s="3">
        <f>_xlfn.IFS(Vendas[[#This Row],[Margem de Lucro (%)]]&lt;15%,Vendas[[#This Row],[Valor da Venda]]*3%,Vendas[[#This Row],[Margem de Lucro (%)]]&lt;=20%,Vendas[[#This Row],[Valor da Venda]]*4.5%,TRUE,Vendas[[#This Row],[Valor da Venda]]*6%)</f>
        <v>9.5579999999999981</v>
      </c>
      <c r="M5460"/>
    </row>
    <row r="5461" spans="1:13" x14ac:dyDescent="0.3">
      <c r="A5461" s="7">
        <v>400249</v>
      </c>
      <c r="B5461" t="str">
        <f>_xlfn.XLOOKUP(Vendas[[#This Row],[ID Vendedor]],Vendedores[ID],Vendedores[Nome])</f>
        <v>Bruno</v>
      </c>
      <c r="C5461" s="7" t="str">
        <f>_xlfn.XLOOKUP(Vendas[[#This Row],[ID Vendedor]],Vendedores[ID],Vendedores[Setor])</f>
        <v>CM</v>
      </c>
      <c r="D5461" s="7" t="s">
        <v>43</v>
      </c>
      <c r="E5461" t="str">
        <f>_xlfn.XLOOKUP(Vendas[[#This Row],[ID Item Vendido]],Agregado[ID],Agregado[Produto])</f>
        <v>Madeira Bruta (Tora)</v>
      </c>
      <c r="F5461" s="39">
        <v>46082</v>
      </c>
      <c r="G5461" s="7">
        <v>8</v>
      </c>
      <c r="H5461" s="3">
        <f>_xlfn.XLOOKUP(Vendas[[#This Row],[ID Item Vendido]],Agregado[ID],Agregado[Revenda])</f>
        <v>212</v>
      </c>
      <c r="I5461" s="3">
        <f>Vendas[[#This Row],[Valor Unitário]]*Vendas[[#This Row],[Qnt Vendida]]</f>
        <v>1696</v>
      </c>
      <c r="J5461" s="3">
        <f>Vendas[[#This Row],[Valor da Venda]]-(_xlfn.XLOOKUP(Vendas[[#This Row],[ID Item Vendido]],Agregado[ID],Agregado[Custo])*Vendas[[#This Row],[Qnt Vendida]])</f>
        <v>256</v>
      </c>
      <c r="K5461" s="70">
        <f>Vendas[[#This Row],[Lucro da Venda]]/Vendas[[#This Row],[Valor da Venda]]</f>
        <v>0.15094339622641509</v>
      </c>
      <c r="L5461" s="3">
        <f>_xlfn.IFS(Vendas[[#This Row],[Margem de Lucro (%)]]&lt;15%,Vendas[[#This Row],[Valor da Venda]]*3%,Vendas[[#This Row],[Margem de Lucro (%)]]&lt;=20%,Vendas[[#This Row],[Valor da Venda]]*4.5%,TRUE,Vendas[[#This Row],[Valor da Venda]]*6%)</f>
        <v>76.319999999999993</v>
      </c>
      <c r="M5461"/>
    </row>
    <row r="5462" spans="1:13" x14ac:dyDescent="0.3">
      <c r="A5462" s="7">
        <v>400243</v>
      </c>
      <c r="B5462" t="str">
        <f>_xlfn.XLOOKUP(Vendas[[#This Row],[ID Vendedor]],Vendedores[ID],Vendedores[Nome])</f>
        <v>Marcelo</v>
      </c>
      <c r="C5462" s="7" t="str">
        <f>_xlfn.XLOOKUP(Vendas[[#This Row],[ID Vendedor]],Vendedores[ID],Vendedores[Setor])</f>
        <v>FM</v>
      </c>
      <c r="D5462" s="7" t="s">
        <v>47</v>
      </c>
      <c r="E5462" t="str">
        <f>_xlfn.XLOOKUP(Vendas[[#This Row],[ID Item Vendido]],Agregado[ID],Agregado[Produto])</f>
        <v>Fio de arame galvanizado rolo 50m</v>
      </c>
      <c r="F5462" s="39">
        <v>46082</v>
      </c>
      <c r="G5462" s="7">
        <v>37</v>
      </c>
      <c r="H5462" s="3">
        <f>_xlfn.XLOOKUP(Vendas[[#This Row],[ID Item Vendido]],Agregado[ID],Agregado[Revenda])</f>
        <v>21.2</v>
      </c>
      <c r="I5462" s="3">
        <f>Vendas[[#This Row],[Valor Unitário]]*Vendas[[#This Row],[Qnt Vendida]]</f>
        <v>784.4</v>
      </c>
      <c r="J5462" s="3">
        <f>Vendas[[#This Row],[Valor da Venda]]-(_xlfn.XLOOKUP(Vendas[[#This Row],[ID Item Vendido]],Agregado[ID],Agregado[Custo])*Vendas[[#This Row],[Qnt Vendida]])</f>
        <v>118.39999999999998</v>
      </c>
      <c r="K5462" s="70">
        <f>Vendas[[#This Row],[Lucro da Venda]]/Vendas[[#This Row],[Valor da Venda]]</f>
        <v>0.15094339622641506</v>
      </c>
      <c r="L5462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5462"/>
    </row>
    <row r="5463" spans="1:13" x14ac:dyDescent="0.3">
      <c r="A5463" s="7">
        <v>400252</v>
      </c>
      <c r="B5463" t="str">
        <f>_xlfn.XLOOKUP(Vendas[[#This Row],[ID Vendedor]],Vendedores[ID],Vendedores[Nome])</f>
        <v>Renata</v>
      </c>
      <c r="C5463" s="7" t="str">
        <f>_xlfn.XLOOKUP(Vendas[[#This Row],[ID Vendedor]],Vendedores[ID],Vendedores[Setor])</f>
        <v>AB</v>
      </c>
      <c r="D5463" s="7" t="s">
        <v>36</v>
      </c>
      <c r="E5463" t="str">
        <f>_xlfn.XLOOKUP(Vendas[[#This Row],[ID Item Vendido]],Agregado[ID],Agregado[Produto])</f>
        <v>Borracha vulcanizada em manta</v>
      </c>
      <c r="F5463" s="39">
        <v>46082</v>
      </c>
      <c r="G5463" s="7">
        <v>48</v>
      </c>
      <c r="H5463" s="3">
        <f>_xlfn.XLOOKUP(Vendas[[#This Row],[ID Item Vendido]],Agregado[ID],Agregado[Revenda])</f>
        <v>7.8</v>
      </c>
      <c r="I5463" s="3">
        <f>Vendas[[#This Row],[Valor Unitário]]*Vendas[[#This Row],[Qnt Vendida]]</f>
        <v>374.4</v>
      </c>
      <c r="J5463" s="3">
        <f>Vendas[[#This Row],[Valor da Venda]]-(_xlfn.XLOOKUP(Vendas[[#This Row],[ID Item Vendido]],Agregado[ID],Agregado[Custo])*Vendas[[#This Row],[Qnt Vendida]])</f>
        <v>86.399999999999977</v>
      </c>
      <c r="K5463" s="70">
        <f>Vendas[[#This Row],[Lucro da Venda]]/Vendas[[#This Row],[Valor da Venda]]</f>
        <v>0.23076923076923073</v>
      </c>
      <c r="L5463" s="3">
        <f>_xlfn.IFS(Vendas[[#This Row],[Margem de Lucro (%)]]&lt;15%,Vendas[[#This Row],[Valor da Venda]]*3%,Vendas[[#This Row],[Margem de Lucro (%)]]&lt;=20%,Vendas[[#This Row],[Valor da Venda]]*4.5%,TRUE,Vendas[[#This Row],[Valor da Venda]]*6%)</f>
        <v>22.463999999999999</v>
      </c>
      <c r="M5463"/>
    </row>
    <row r="5464" spans="1:13" x14ac:dyDescent="0.3">
      <c r="A5464" s="7">
        <v>400250</v>
      </c>
      <c r="B5464" t="str">
        <f>_xlfn.XLOOKUP(Vendas[[#This Row],[ID Vendedor]],Vendedores[ID],Vendedores[Nome])</f>
        <v>Larissa</v>
      </c>
      <c r="C5464" s="7" t="str">
        <f>_xlfn.XLOOKUP(Vendas[[#This Row],[ID Vendedor]],Vendedores[ID],Vendedores[Setor])</f>
        <v>AB</v>
      </c>
      <c r="D5464" s="7" t="s">
        <v>24</v>
      </c>
      <c r="E5464" t="str">
        <f>_xlfn.XLOOKUP(Vendas[[#This Row],[ID Item Vendido]],Agregado[ID],Agregado[Produto])</f>
        <v>Resina plástica PET purificada saco de 25kg</v>
      </c>
      <c r="F5464" s="39">
        <v>46083</v>
      </c>
      <c r="G5464" s="7">
        <v>11</v>
      </c>
      <c r="H5464" s="3">
        <f>_xlfn.XLOOKUP(Vendas[[#This Row],[ID Item Vendido]],Agregado[ID],Agregado[Revenda])</f>
        <v>119</v>
      </c>
      <c r="I5464" s="3">
        <f>Vendas[[#This Row],[Valor Unitário]]*Vendas[[#This Row],[Qnt Vendida]]</f>
        <v>1309</v>
      </c>
      <c r="J5464" s="3">
        <f>Vendas[[#This Row],[Valor da Venda]]-(_xlfn.XLOOKUP(Vendas[[#This Row],[ID Item Vendido]],Agregado[ID],Agregado[Custo])*Vendas[[#This Row],[Qnt Vendida]])</f>
        <v>374</v>
      </c>
      <c r="K5464" s="70">
        <f>Vendas[[#This Row],[Lucro da Venda]]/Vendas[[#This Row],[Valor da Venda]]</f>
        <v>0.2857142857142857</v>
      </c>
      <c r="L5464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5464"/>
    </row>
    <row r="5465" spans="1:13" x14ac:dyDescent="0.3">
      <c r="A5465" s="7">
        <v>400242</v>
      </c>
      <c r="B5465" t="str">
        <f>_xlfn.XLOOKUP(Vendas[[#This Row],[ID Vendedor]],Vendedores[ID],Vendedores[Nome])</f>
        <v>Fernanda</v>
      </c>
      <c r="C5465" s="7" t="str">
        <f>_xlfn.XLOOKUP(Vendas[[#This Row],[ID Vendedor]],Vendedores[ID],Vendedores[Setor])</f>
        <v>FM</v>
      </c>
      <c r="D5465" s="7" t="s">
        <v>20</v>
      </c>
      <c r="E5465" t="str">
        <f>_xlfn.XLOOKUP(Vendas[[#This Row],[ID Item Vendido]],Agregado[ID],Agregado[Produto])</f>
        <v>Barra de aço simples</v>
      </c>
      <c r="F5465" s="39">
        <v>46084</v>
      </c>
      <c r="G5465" s="7">
        <v>187</v>
      </c>
      <c r="H5465" s="3">
        <f>_xlfn.XLOOKUP(Vendas[[#This Row],[ID Item Vendido]],Agregado[ID],Agregado[Revenda])</f>
        <v>4.8</v>
      </c>
      <c r="I5465" s="3">
        <f>Vendas[[#This Row],[Valor Unitário]]*Vendas[[#This Row],[Qnt Vendida]]</f>
        <v>897.6</v>
      </c>
      <c r="J5465" s="3">
        <f>Vendas[[#This Row],[Valor da Venda]]-(_xlfn.XLOOKUP(Vendas[[#This Row],[ID Item Vendido]],Agregado[ID],Agregado[Custo])*Vendas[[#This Row],[Qnt Vendida]])</f>
        <v>112.20000000000005</v>
      </c>
      <c r="K5465" s="70">
        <f>Vendas[[#This Row],[Lucro da Venda]]/Vendas[[#This Row],[Valor da Venda]]</f>
        <v>0.12500000000000006</v>
      </c>
      <c r="L5465" s="3">
        <f>_xlfn.IFS(Vendas[[#This Row],[Margem de Lucro (%)]]&lt;15%,Vendas[[#This Row],[Valor da Venda]]*3%,Vendas[[#This Row],[Margem de Lucro (%)]]&lt;=20%,Vendas[[#This Row],[Valor da Venda]]*4.5%,TRUE,Vendas[[#This Row],[Valor da Venda]]*6%)</f>
        <v>26.928000000000001</v>
      </c>
      <c r="M5465"/>
    </row>
    <row r="5466" spans="1:13" x14ac:dyDescent="0.3">
      <c r="A5466" s="7">
        <v>400246</v>
      </c>
      <c r="B5466" t="str">
        <f>_xlfn.XLOOKUP(Vendas[[#This Row],[ID Vendedor]],Vendedores[ID],Vendedores[Nome])</f>
        <v>Juliana</v>
      </c>
      <c r="C5466" s="7" t="str">
        <f>_xlfn.XLOOKUP(Vendas[[#This Row],[ID Vendedor]],Vendedores[ID],Vendedores[Setor])</f>
        <v>AHD</v>
      </c>
      <c r="D5466" s="7" t="s">
        <v>28</v>
      </c>
      <c r="E5466" t="str">
        <f>_xlfn.XLOOKUP(Vendas[[#This Row],[ID Item Vendido]],Agregado[ID],Agregado[Produto])</f>
        <v>Peça usinada CNC</v>
      </c>
      <c r="F5466" s="39">
        <v>46085</v>
      </c>
      <c r="G5466" s="7">
        <v>14</v>
      </c>
      <c r="H5466" s="3">
        <f>_xlfn.XLOOKUP(Vendas[[#This Row],[ID Item Vendido]],Agregado[ID],Agregado[Revenda])</f>
        <v>192</v>
      </c>
      <c r="I5466" s="3">
        <f>Vendas[[#This Row],[Valor Unitário]]*Vendas[[#This Row],[Qnt Vendida]]</f>
        <v>2688</v>
      </c>
      <c r="J5466" s="3">
        <f>Vendas[[#This Row],[Valor da Venda]]-(_xlfn.XLOOKUP(Vendas[[#This Row],[ID Item Vendido]],Agregado[ID],Agregado[Custo])*Vendas[[#This Row],[Qnt Vendida]])</f>
        <v>588</v>
      </c>
      <c r="K5466" s="70">
        <f>Vendas[[#This Row],[Lucro da Venda]]/Vendas[[#This Row],[Valor da Venda]]</f>
        <v>0.21875</v>
      </c>
      <c r="L5466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466"/>
    </row>
    <row r="5467" spans="1:13" x14ac:dyDescent="0.3">
      <c r="A5467" s="7">
        <v>400247</v>
      </c>
      <c r="B5467" t="str">
        <f>_xlfn.XLOOKUP(Vendas[[#This Row],[ID Vendedor]],Vendedores[ID],Vendedores[Nome])</f>
        <v>André</v>
      </c>
      <c r="C5467" s="7" t="str">
        <f>_xlfn.XLOOKUP(Vendas[[#This Row],[ID Vendedor]],Vendedores[ID],Vendedores[Setor])</f>
        <v>CM</v>
      </c>
      <c r="D5467" s="7" t="s">
        <v>32</v>
      </c>
      <c r="E5467" t="str">
        <f>_xlfn.XLOOKUP(Vendas[[#This Row],[ID Item Vendido]],Agregado[ID],Agregado[Produto])</f>
        <v>Tábua tratada e cortada 3m</v>
      </c>
      <c r="F5467" s="39">
        <v>46085</v>
      </c>
      <c r="G5467" s="7">
        <v>14</v>
      </c>
      <c r="H5467" s="3">
        <f>_xlfn.XLOOKUP(Vendas[[#This Row],[ID Item Vendido]],Agregado[ID],Agregado[Revenda])</f>
        <v>39</v>
      </c>
      <c r="I5467" s="3">
        <f>Vendas[[#This Row],[Valor Unitário]]*Vendas[[#This Row],[Qnt Vendida]]</f>
        <v>546</v>
      </c>
      <c r="J5467" s="3">
        <f>Vendas[[#This Row],[Valor da Venda]]-(_xlfn.XLOOKUP(Vendas[[#This Row],[ID Item Vendido]],Agregado[ID],Agregado[Custo])*Vendas[[#This Row],[Qnt Vendida]])</f>
        <v>98</v>
      </c>
      <c r="K5467" s="70">
        <f>Vendas[[#This Row],[Lucro da Venda]]/Vendas[[#This Row],[Valor da Venda]]</f>
        <v>0.17948717948717949</v>
      </c>
      <c r="L5467" s="3">
        <f>_xlfn.IFS(Vendas[[#This Row],[Margem de Lucro (%)]]&lt;15%,Vendas[[#This Row],[Valor da Venda]]*3%,Vendas[[#This Row],[Margem de Lucro (%)]]&lt;=20%,Vendas[[#This Row],[Valor da Venda]]*4.5%,TRUE,Vendas[[#This Row],[Valor da Venda]]*6%)</f>
        <v>24.57</v>
      </c>
      <c r="M5467"/>
    </row>
    <row r="5468" spans="1:13" x14ac:dyDescent="0.3">
      <c r="A5468" s="7">
        <v>400242</v>
      </c>
      <c r="B5468" t="str">
        <f>_xlfn.XLOOKUP(Vendas[[#This Row],[ID Vendedor]],Vendedores[ID],Vendedores[Nome])</f>
        <v>Fernanda</v>
      </c>
      <c r="C5468" s="7" t="str">
        <f>_xlfn.XLOOKUP(Vendas[[#This Row],[ID Vendedor]],Vendedores[ID],Vendedores[Setor])</f>
        <v>FM</v>
      </c>
      <c r="D5468" s="7" t="s">
        <v>20</v>
      </c>
      <c r="E5468" t="str">
        <f>_xlfn.XLOOKUP(Vendas[[#This Row],[ID Item Vendido]],Agregado[ID],Agregado[Produto])</f>
        <v>Barra de aço simples</v>
      </c>
      <c r="F5468" s="39">
        <v>46085</v>
      </c>
      <c r="G5468" s="7">
        <v>101</v>
      </c>
      <c r="H5468" s="3">
        <f>_xlfn.XLOOKUP(Vendas[[#This Row],[ID Item Vendido]],Agregado[ID],Agregado[Revenda])</f>
        <v>4.8</v>
      </c>
      <c r="I5468" s="3">
        <f>Vendas[[#This Row],[Valor Unitário]]*Vendas[[#This Row],[Qnt Vendida]]</f>
        <v>484.79999999999995</v>
      </c>
      <c r="J5468" s="3">
        <f>Vendas[[#This Row],[Valor da Venda]]-(_xlfn.XLOOKUP(Vendas[[#This Row],[ID Item Vendido]],Agregado[ID],Agregado[Custo])*Vendas[[#This Row],[Qnt Vendida]])</f>
        <v>60.599999999999909</v>
      </c>
      <c r="K5468" s="70">
        <f>Vendas[[#This Row],[Lucro da Venda]]/Vendas[[#This Row],[Valor da Venda]]</f>
        <v>0.12499999999999982</v>
      </c>
      <c r="L5468" s="3">
        <f>_xlfn.IFS(Vendas[[#This Row],[Margem de Lucro (%)]]&lt;15%,Vendas[[#This Row],[Valor da Venda]]*3%,Vendas[[#This Row],[Margem de Lucro (%)]]&lt;=20%,Vendas[[#This Row],[Valor da Venda]]*4.5%,TRUE,Vendas[[#This Row],[Valor da Venda]]*6%)</f>
        <v>14.543999999999999</v>
      </c>
      <c r="M5468"/>
    </row>
    <row r="5469" spans="1:13" x14ac:dyDescent="0.3">
      <c r="A5469" s="7">
        <v>400243</v>
      </c>
      <c r="B5469" t="str">
        <f>_xlfn.XLOOKUP(Vendas[[#This Row],[ID Vendedor]],Vendedores[ID],Vendedores[Nome])</f>
        <v>Marcelo</v>
      </c>
      <c r="C5469" s="7" t="str">
        <f>_xlfn.XLOOKUP(Vendas[[#This Row],[ID Vendedor]],Vendedores[ID],Vendedores[Setor])</f>
        <v>FM</v>
      </c>
      <c r="D5469" s="7" t="s">
        <v>31</v>
      </c>
      <c r="E5469" t="str">
        <f>_xlfn.XLOOKUP(Vendas[[#This Row],[ID Item Vendido]],Agregado[ID],Agregado[Produto])</f>
        <v>Tela de metal soldada rolo 2x25m</v>
      </c>
      <c r="F5469" s="39">
        <v>46085</v>
      </c>
      <c r="G5469" s="7">
        <v>3</v>
      </c>
      <c r="H5469" s="3">
        <f>_xlfn.XLOOKUP(Vendas[[#This Row],[ID Item Vendido]],Agregado[ID],Agregado[Revenda])</f>
        <v>43.7</v>
      </c>
      <c r="I5469" s="3">
        <f>Vendas[[#This Row],[Valor Unitário]]*Vendas[[#This Row],[Qnt Vendida]]</f>
        <v>131.10000000000002</v>
      </c>
      <c r="J5469" s="3">
        <f>Vendas[[#This Row],[Valor da Venda]]-(_xlfn.XLOOKUP(Vendas[[#This Row],[ID Item Vendido]],Agregado[ID],Agregado[Custo])*Vendas[[#This Row],[Qnt Vendida]])</f>
        <v>17.100000000000023</v>
      </c>
      <c r="K5469" s="70">
        <f>Vendas[[#This Row],[Lucro da Venda]]/Vendas[[#This Row],[Valor da Venda]]</f>
        <v>0.13043478260869582</v>
      </c>
      <c r="L5469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5469"/>
    </row>
    <row r="5470" spans="1:13" x14ac:dyDescent="0.3">
      <c r="A5470" s="7">
        <v>400244</v>
      </c>
      <c r="B5470" t="str">
        <f>_xlfn.XLOOKUP(Vendas[[#This Row],[ID Vendedor]],Vendedores[ID],Vendedores[Nome])</f>
        <v>Camila</v>
      </c>
      <c r="C5470" s="7" t="str">
        <f>_xlfn.XLOOKUP(Vendas[[#This Row],[ID Vendedor]],Vendedores[ID],Vendedores[Setor])</f>
        <v>AHD</v>
      </c>
      <c r="D5470" s="7" t="s">
        <v>28</v>
      </c>
      <c r="E5470" t="str">
        <f>_xlfn.XLOOKUP(Vendas[[#This Row],[ID Item Vendido]],Agregado[ID],Agregado[Produto])</f>
        <v>Peça usinada CNC</v>
      </c>
      <c r="F5470" s="39">
        <v>46086</v>
      </c>
      <c r="G5470" s="7">
        <v>14</v>
      </c>
      <c r="H5470" s="3">
        <f>_xlfn.XLOOKUP(Vendas[[#This Row],[ID Item Vendido]],Agregado[ID],Agregado[Revenda])</f>
        <v>192</v>
      </c>
      <c r="I5470" s="3">
        <f>Vendas[[#This Row],[Valor Unitário]]*Vendas[[#This Row],[Qnt Vendida]]</f>
        <v>2688</v>
      </c>
      <c r="J5470" s="3">
        <f>Vendas[[#This Row],[Valor da Venda]]-(_xlfn.XLOOKUP(Vendas[[#This Row],[ID Item Vendido]],Agregado[ID],Agregado[Custo])*Vendas[[#This Row],[Qnt Vendida]])</f>
        <v>588</v>
      </c>
      <c r="K5470" s="70">
        <f>Vendas[[#This Row],[Lucro da Venda]]/Vendas[[#This Row],[Valor da Venda]]</f>
        <v>0.21875</v>
      </c>
      <c r="L5470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470"/>
    </row>
    <row r="5471" spans="1:13" x14ac:dyDescent="0.3">
      <c r="A5471" s="7">
        <v>400252</v>
      </c>
      <c r="B5471" t="str">
        <f>_xlfn.XLOOKUP(Vendas[[#This Row],[ID Vendedor]],Vendedores[ID],Vendedores[Nome])</f>
        <v>Renata</v>
      </c>
      <c r="C5471" s="7" t="str">
        <f>_xlfn.XLOOKUP(Vendas[[#This Row],[ID Vendedor]],Vendedores[ID],Vendedores[Setor])</f>
        <v>AB</v>
      </c>
      <c r="D5471" s="7" t="s">
        <v>24</v>
      </c>
      <c r="E5471" t="str">
        <f>_xlfn.XLOOKUP(Vendas[[#This Row],[ID Item Vendido]],Agregado[ID],Agregado[Produto])</f>
        <v>Resina plástica PET purificada saco de 25kg</v>
      </c>
      <c r="F5471" s="39">
        <v>46086</v>
      </c>
      <c r="G5471" s="7">
        <v>17</v>
      </c>
      <c r="H5471" s="3">
        <f>_xlfn.XLOOKUP(Vendas[[#This Row],[ID Item Vendido]],Agregado[ID],Agregado[Revenda])</f>
        <v>119</v>
      </c>
      <c r="I5471" s="3">
        <f>Vendas[[#This Row],[Valor Unitário]]*Vendas[[#This Row],[Qnt Vendida]]</f>
        <v>2023</v>
      </c>
      <c r="J5471" s="3">
        <f>Vendas[[#This Row],[Valor da Venda]]-(_xlfn.XLOOKUP(Vendas[[#This Row],[ID Item Vendido]],Agregado[ID],Agregado[Custo])*Vendas[[#This Row],[Qnt Vendida]])</f>
        <v>578</v>
      </c>
      <c r="K5471" s="70">
        <f>Vendas[[#This Row],[Lucro da Venda]]/Vendas[[#This Row],[Valor da Venda]]</f>
        <v>0.2857142857142857</v>
      </c>
      <c r="L5471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471"/>
    </row>
    <row r="5472" spans="1:13" x14ac:dyDescent="0.3">
      <c r="A5472" s="7">
        <v>400252</v>
      </c>
      <c r="B5472" t="str">
        <f>_xlfn.XLOOKUP(Vendas[[#This Row],[ID Vendedor]],Vendedores[ID],Vendedores[Nome])</f>
        <v>Renata</v>
      </c>
      <c r="C5472" s="7" t="str">
        <f>_xlfn.XLOOKUP(Vendas[[#This Row],[ID Vendedor]],Vendedores[ID],Vendedores[Setor])</f>
        <v>AB</v>
      </c>
      <c r="D5472" s="7" t="s">
        <v>12</v>
      </c>
      <c r="E5472" t="str">
        <f>_xlfn.XLOOKUP(Vendas[[#This Row],[ID Item Vendido]],Agregado[ID],Agregado[Produto])</f>
        <v>Grânulo de plástico reciclado refinado</v>
      </c>
      <c r="F5472" s="39">
        <v>46086</v>
      </c>
      <c r="G5472" s="7">
        <v>91</v>
      </c>
      <c r="H5472" s="3">
        <f>_xlfn.XLOOKUP(Vendas[[#This Row],[ID Item Vendido]],Agregado[ID],Agregado[Revenda])</f>
        <v>4.7</v>
      </c>
      <c r="I5472" s="3">
        <f>Vendas[[#This Row],[Valor Unitário]]*Vendas[[#This Row],[Qnt Vendida]]</f>
        <v>427.7</v>
      </c>
      <c r="J5472" s="3">
        <f>Vendas[[#This Row],[Valor da Venda]]-(_xlfn.XLOOKUP(Vendas[[#This Row],[ID Item Vendido]],Agregado[ID],Agregado[Custo])*Vendas[[#This Row],[Qnt Vendida]])</f>
        <v>109.19999999999999</v>
      </c>
      <c r="K5472" s="70">
        <f>Vendas[[#This Row],[Lucro da Venda]]/Vendas[[#This Row],[Valor da Venda]]</f>
        <v>0.25531914893617019</v>
      </c>
      <c r="L5472" s="3">
        <f>_xlfn.IFS(Vendas[[#This Row],[Margem de Lucro (%)]]&lt;15%,Vendas[[#This Row],[Valor da Venda]]*3%,Vendas[[#This Row],[Margem de Lucro (%)]]&lt;=20%,Vendas[[#This Row],[Valor da Venda]]*4.5%,TRUE,Vendas[[#This Row],[Valor da Venda]]*6%)</f>
        <v>25.661999999999999</v>
      </c>
      <c r="M5472"/>
    </row>
    <row r="5473" spans="1:13" x14ac:dyDescent="0.3">
      <c r="A5473" s="7">
        <v>400252</v>
      </c>
      <c r="B5473" t="str">
        <f>_xlfn.XLOOKUP(Vendas[[#This Row],[ID Vendedor]],Vendedores[ID],Vendedores[Nome])</f>
        <v>Renata</v>
      </c>
      <c r="C5473" s="7" t="str">
        <f>_xlfn.XLOOKUP(Vendas[[#This Row],[ID Vendedor]],Vendedores[ID],Vendedores[Setor])</f>
        <v>AB</v>
      </c>
      <c r="D5473" s="7" t="s">
        <v>39</v>
      </c>
      <c r="E5473" t="str">
        <f>_xlfn.XLOOKUP(Vendas[[#This Row],[ID Item Vendido]],Agregado[ID],Agregado[Produto])</f>
        <v>Filme plástico industrial rolo 50m</v>
      </c>
      <c r="F5473" s="39">
        <v>46086</v>
      </c>
      <c r="G5473" s="7">
        <v>11</v>
      </c>
      <c r="H5473" s="3">
        <f>_xlfn.XLOOKUP(Vendas[[#This Row],[ID Item Vendido]],Agregado[ID],Agregado[Revenda])</f>
        <v>37</v>
      </c>
      <c r="I5473" s="3">
        <f>Vendas[[#This Row],[Valor Unitário]]*Vendas[[#This Row],[Qnt Vendida]]</f>
        <v>407</v>
      </c>
      <c r="J5473" s="3">
        <f>Vendas[[#This Row],[Valor da Venda]]-(_xlfn.XLOOKUP(Vendas[[#This Row],[ID Item Vendido]],Agregado[ID],Agregado[Custo])*Vendas[[#This Row],[Qnt Vendida]])</f>
        <v>99</v>
      </c>
      <c r="K5473" s="70">
        <f>Vendas[[#This Row],[Lucro da Venda]]/Vendas[[#This Row],[Valor da Venda]]</f>
        <v>0.24324324324324326</v>
      </c>
      <c r="L5473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5473"/>
    </row>
    <row r="5474" spans="1:13" x14ac:dyDescent="0.3">
      <c r="A5474" s="7">
        <v>400251</v>
      </c>
      <c r="B5474" t="str">
        <f>_xlfn.XLOOKUP(Vendas[[#This Row],[ID Vendedor]],Vendedores[ID],Vendedores[Nome])</f>
        <v>Diego</v>
      </c>
      <c r="C5474" s="7" t="str">
        <f>_xlfn.XLOOKUP(Vendas[[#This Row],[ID Vendedor]],Vendedores[ID],Vendedores[Setor])</f>
        <v>AB</v>
      </c>
      <c r="D5474" s="7" t="s">
        <v>12</v>
      </c>
      <c r="E5474" t="str">
        <f>_xlfn.XLOOKUP(Vendas[[#This Row],[ID Item Vendido]],Agregado[ID],Agregado[Produto])</f>
        <v>Grânulo de plástico reciclado refinado</v>
      </c>
      <c r="F5474" s="39">
        <v>46086</v>
      </c>
      <c r="G5474" s="7">
        <v>15</v>
      </c>
      <c r="H5474" s="3">
        <f>_xlfn.XLOOKUP(Vendas[[#This Row],[ID Item Vendido]],Agregado[ID],Agregado[Revenda])</f>
        <v>4.7</v>
      </c>
      <c r="I5474" s="3">
        <f>Vendas[[#This Row],[Valor Unitário]]*Vendas[[#This Row],[Qnt Vendida]]</f>
        <v>70.5</v>
      </c>
      <c r="J5474" s="3">
        <f>Vendas[[#This Row],[Valor da Venda]]-(_xlfn.XLOOKUP(Vendas[[#This Row],[ID Item Vendido]],Agregado[ID],Agregado[Custo])*Vendas[[#This Row],[Qnt Vendida]])</f>
        <v>18</v>
      </c>
      <c r="K5474" s="70">
        <f>Vendas[[#This Row],[Lucro da Venda]]/Vendas[[#This Row],[Valor da Venda]]</f>
        <v>0.25531914893617019</v>
      </c>
      <c r="L5474" s="3">
        <f>_xlfn.IFS(Vendas[[#This Row],[Margem de Lucro (%)]]&lt;15%,Vendas[[#This Row],[Valor da Venda]]*3%,Vendas[[#This Row],[Margem de Lucro (%)]]&lt;=20%,Vendas[[#This Row],[Valor da Venda]]*4.5%,TRUE,Vendas[[#This Row],[Valor da Venda]]*6%)</f>
        <v>4.2299999999999995</v>
      </c>
      <c r="M5474"/>
    </row>
    <row r="5475" spans="1:13" x14ac:dyDescent="0.3">
      <c r="A5475" s="7">
        <v>400252</v>
      </c>
      <c r="B5475" t="str">
        <f>_xlfn.XLOOKUP(Vendas[[#This Row],[ID Vendedor]],Vendedores[ID],Vendedores[Nome])</f>
        <v>Renata</v>
      </c>
      <c r="C5475" s="7" t="str">
        <f>_xlfn.XLOOKUP(Vendas[[#This Row],[ID Vendedor]],Vendedores[ID],Vendedores[Setor])</f>
        <v>AB</v>
      </c>
      <c r="D5475" s="7" t="s">
        <v>12</v>
      </c>
      <c r="E5475" t="str">
        <f>_xlfn.XLOOKUP(Vendas[[#This Row],[ID Item Vendido]],Agregado[ID],Agregado[Produto])</f>
        <v>Grânulo de plástico reciclado refinado</v>
      </c>
      <c r="F5475" s="39">
        <v>46087</v>
      </c>
      <c r="G5475" s="7">
        <v>123</v>
      </c>
      <c r="H5475" s="3">
        <f>_xlfn.XLOOKUP(Vendas[[#This Row],[ID Item Vendido]],Agregado[ID],Agregado[Revenda])</f>
        <v>4.7</v>
      </c>
      <c r="I5475" s="3">
        <f>Vendas[[#This Row],[Valor Unitário]]*Vendas[[#This Row],[Qnt Vendida]]</f>
        <v>578.1</v>
      </c>
      <c r="J5475" s="3">
        <f>Vendas[[#This Row],[Valor da Venda]]-(_xlfn.XLOOKUP(Vendas[[#This Row],[ID Item Vendido]],Agregado[ID],Agregado[Custo])*Vendas[[#This Row],[Qnt Vendida]])</f>
        <v>147.60000000000002</v>
      </c>
      <c r="K5475" s="70">
        <f>Vendas[[#This Row],[Lucro da Venda]]/Vendas[[#This Row],[Valor da Venda]]</f>
        <v>0.25531914893617025</v>
      </c>
      <c r="L5475" s="3">
        <f>_xlfn.IFS(Vendas[[#This Row],[Margem de Lucro (%)]]&lt;15%,Vendas[[#This Row],[Valor da Venda]]*3%,Vendas[[#This Row],[Margem de Lucro (%)]]&lt;=20%,Vendas[[#This Row],[Valor da Venda]]*4.5%,TRUE,Vendas[[#This Row],[Valor da Venda]]*6%)</f>
        <v>34.686</v>
      </c>
      <c r="M5475"/>
    </row>
    <row r="5476" spans="1:13" x14ac:dyDescent="0.3">
      <c r="A5476" s="7">
        <v>400251</v>
      </c>
      <c r="B5476" t="str">
        <f>_xlfn.XLOOKUP(Vendas[[#This Row],[ID Vendedor]],Vendedores[ID],Vendedores[Nome])</f>
        <v>Diego</v>
      </c>
      <c r="C5476" s="7" t="str">
        <f>_xlfn.XLOOKUP(Vendas[[#This Row],[ID Vendedor]],Vendedores[ID],Vendedores[Setor])</f>
        <v>AB</v>
      </c>
      <c r="D5476" s="7" t="s">
        <v>36</v>
      </c>
      <c r="E5476" t="str">
        <f>_xlfn.XLOOKUP(Vendas[[#This Row],[ID Item Vendido]],Agregado[ID],Agregado[Produto])</f>
        <v>Borracha vulcanizada em manta</v>
      </c>
      <c r="F5476" s="39">
        <v>46087</v>
      </c>
      <c r="G5476" s="7">
        <v>70</v>
      </c>
      <c r="H5476" s="3">
        <f>_xlfn.XLOOKUP(Vendas[[#This Row],[ID Item Vendido]],Agregado[ID],Agregado[Revenda])</f>
        <v>7.8</v>
      </c>
      <c r="I5476" s="3">
        <f>Vendas[[#This Row],[Valor Unitário]]*Vendas[[#This Row],[Qnt Vendida]]</f>
        <v>546</v>
      </c>
      <c r="J5476" s="3">
        <f>Vendas[[#This Row],[Valor da Venda]]-(_xlfn.XLOOKUP(Vendas[[#This Row],[ID Item Vendido]],Agregado[ID],Agregado[Custo])*Vendas[[#This Row],[Qnt Vendida]])</f>
        <v>126</v>
      </c>
      <c r="K5476" s="70">
        <f>Vendas[[#This Row],[Lucro da Venda]]/Vendas[[#This Row],[Valor da Venda]]</f>
        <v>0.23076923076923078</v>
      </c>
      <c r="L5476" s="3">
        <f>_xlfn.IFS(Vendas[[#This Row],[Margem de Lucro (%)]]&lt;15%,Vendas[[#This Row],[Valor da Venda]]*3%,Vendas[[#This Row],[Margem de Lucro (%)]]&lt;=20%,Vendas[[#This Row],[Valor da Venda]]*4.5%,TRUE,Vendas[[#This Row],[Valor da Venda]]*6%)</f>
        <v>32.76</v>
      </c>
      <c r="M5476"/>
    </row>
    <row r="5477" spans="1:13" x14ac:dyDescent="0.3">
      <c r="A5477" s="7">
        <v>400251</v>
      </c>
      <c r="B5477" t="str">
        <f>_xlfn.XLOOKUP(Vendas[[#This Row],[ID Vendedor]],Vendedores[ID],Vendedores[Nome])</f>
        <v>Diego</v>
      </c>
      <c r="C5477" s="7" t="str">
        <f>_xlfn.XLOOKUP(Vendas[[#This Row],[ID Vendedor]],Vendedores[ID],Vendedores[Setor])</f>
        <v>AB</v>
      </c>
      <c r="D5477" s="7" t="s">
        <v>24</v>
      </c>
      <c r="E5477" t="str">
        <f>_xlfn.XLOOKUP(Vendas[[#This Row],[ID Item Vendido]],Agregado[ID],Agregado[Produto])</f>
        <v>Resina plástica PET purificada saco de 25kg</v>
      </c>
      <c r="F5477" s="39">
        <v>46087</v>
      </c>
      <c r="G5477" s="7">
        <v>2</v>
      </c>
      <c r="H5477" s="3">
        <f>_xlfn.XLOOKUP(Vendas[[#This Row],[ID Item Vendido]],Agregado[ID],Agregado[Revenda])</f>
        <v>119</v>
      </c>
      <c r="I5477" s="3">
        <f>Vendas[[#This Row],[Valor Unitário]]*Vendas[[#This Row],[Qnt Vendida]]</f>
        <v>238</v>
      </c>
      <c r="J5477" s="3">
        <f>Vendas[[#This Row],[Valor da Venda]]-(_xlfn.XLOOKUP(Vendas[[#This Row],[ID Item Vendido]],Agregado[ID],Agregado[Custo])*Vendas[[#This Row],[Qnt Vendida]])</f>
        <v>68</v>
      </c>
      <c r="K5477" s="70">
        <f>Vendas[[#This Row],[Lucro da Venda]]/Vendas[[#This Row],[Valor da Venda]]</f>
        <v>0.2857142857142857</v>
      </c>
      <c r="L5477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5477"/>
    </row>
    <row r="5478" spans="1:13" x14ac:dyDescent="0.3">
      <c r="A5478" s="7">
        <v>400254</v>
      </c>
      <c r="B5478" t="str">
        <f>_xlfn.XLOOKUP(Vendas[[#This Row],[ID Vendedor]],Vendedores[ID],Vendedores[Nome])</f>
        <v>Beatriz</v>
      </c>
      <c r="C5478" s="7" t="str">
        <f>_xlfn.XLOOKUP(Vendas[[#This Row],[ID Vendedor]],Vendedores[ID],Vendedores[Setor])</f>
        <v>SC</v>
      </c>
      <c r="D5478" s="7" t="s">
        <v>48</v>
      </c>
      <c r="E5478" t="str">
        <f>_xlfn.XLOOKUP(Vendas[[#This Row],[ID Item Vendido]],Agregado[ID],Agregado[Produto])</f>
        <v>Tambor metálico 200L</v>
      </c>
      <c r="F5478" s="39">
        <v>46088</v>
      </c>
      <c r="G5478" s="7">
        <v>19</v>
      </c>
      <c r="H5478" s="3">
        <f>_xlfn.XLOOKUP(Vendas[[#This Row],[ID Item Vendido]],Agregado[ID],Agregado[Revenda])</f>
        <v>144</v>
      </c>
      <c r="I5478" s="3">
        <f>Vendas[[#This Row],[Valor Unitário]]*Vendas[[#This Row],[Qnt Vendida]]</f>
        <v>2736</v>
      </c>
      <c r="J5478" s="3">
        <f>Vendas[[#This Row],[Valor da Venda]]-(_xlfn.XLOOKUP(Vendas[[#This Row],[ID Item Vendido]],Agregado[ID],Agregado[Custo])*Vendas[[#This Row],[Qnt Vendida]])</f>
        <v>456</v>
      </c>
      <c r="K5478" s="70">
        <f>Vendas[[#This Row],[Lucro da Venda]]/Vendas[[#This Row],[Valor da Venda]]</f>
        <v>0.16666666666666666</v>
      </c>
      <c r="L5478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5478"/>
    </row>
    <row r="5479" spans="1:13" x14ac:dyDescent="0.3">
      <c r="A5479" s="7">
        <v>400254</v>
      </c>
      <c r="B5479" t="str">
        <f>_xlfn.XLOOKUP(Vendas[[#This Row],[ID Vendedor]],Vendedores[ID],Vendedores[Nome])</f>
        <v>Beatriz</v>
      </c>
      <c r="C5479" s="7" t="str">
        <f>_xlfn.XLOOKUP(Vendas[[#This Row],[ID Vendedor]],Vendedores[ID],Vendedores[Setor])</f>
        <v>SC</v>
      </c>
      <c r="D5479" s="7" t="s">
        <v>41</v>
      </c>
      <c r="E5479" t="str">
        <f>_xlfn.XLOOKUP(Vendas[[#This Row],[ID Item Vendido]],Agregado[ID],Agregado[Produto])</f>
        <v>Palete de madeira reforçado</v>
      </c>
      <c r="F5479" s="39">
        <v>46088</v>
      </c>
      <c r="G5479" s="7">
        <v>7</v>
      </c>
      <c r="H5479" s="3">
        <f>_xlfn.XLOOKUP(Vendas[[#This Row],[ID Item Vendido]],Agregado[ID],Agregado[Revenda])</f>
        <v>131</v>
      </c>
      <c r="I5479" s="3">
        <f>Vendas[[#This Row],[Valor Unitário]]*Vendas[[#This Row],[Qnt Vendida]]</f>
        <v>917</v>
      </c>
      <c r="J5479" s="3">
        <f>Vendas[[#This Row],[Valor da Venda]]-(_xlfn.XLOOKUP(Vendas[[#This Row],[ID Item Vendido]],Agregado[ID],Agregado[Custo])*Vendas[[#This Row],[Qnt Vendida]])</f>
        <v>147</v>
      </c>
      <c r="K5479" s="70">
        <f>Vendas[[#This Row],[Lucro da Venda]]/Vendas[[#This Row],[Valor da Venda]]</f>
        <v>0.16030534351145037</v>
      </c>
      <c r="L5479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5479"/>
    </row>
    <row r="5480" spans="1:13" x14ac:dyDescent="0.3">
      <c r="A5480" s="7">
        <v>400244</v>
      </c>
      <c r="B5480" t="str">
        <f>_xlfn.XLOOKUP(Vendas[[#This Row],[ID Vendedor]],Vendedores[ID],Vendedores[Nome])</f>
        <v>Camila</v>
      </c>
      <c r="C5480" s="7" t="str">
        <f>_xlfn.XLOOKUP(Vendas[[#This Row],[ID Vendedor]],Vendedores[ID],Vendedores[Setor])</f>
        <v>AHD</v>
      </c>
      <c r="D5480" s="7" t="s">
        <v>9</v>
      </c>
      <c r="E5480" t="str">
        <f>_xlfn.XLOOKUP(Vendas[[#This Row],[ID Item Vendido]],Agregado[ID],Agregado[Produto])</f>
        <v>Barra de aço simples</v>
      </c>
      <c r="F5480" s="39">
        <v>46088</v>
      </c>
      <c r="G5480" s="7">
        <v>84</v>
      </c>
      <c r="H5480" s="3">
        <f>_xlfn.XLOOKUP(Vendas[[#This Row],[ID Item Vendido]],Agregado[ID],Agregado[Revenda])</f>
        <v>6.7</v>
      </c>
      <c r="I5480" s="3">
        <f>Vendas[[#This Row],[Valor Unitário]]*Vendas[[#This Row],[Qnt Vendida]]</f>
        <v>562.80000000000007</v>
      </c>
      <c r="J5480" s="3">
        <f>Vendas[[#This Row],[Valor da Venda]]-(_xlfn.XLOOKUP(Vendas[[#This Row],[ID Item Vendido]],Agregado[ID],Agregado[Custo])*Vendas[[#This Row],[Qnt Vendida]])</f>
        <v>75.60000000000008</v>
      </c>
      <c r="K5480" s="70">
        <f>Vendas[[#This Row],[Lucro da Venda]]/Vendas[[#This Row],[Valor da Venda]]</f>
        <v>0.13432835820895536</v>
      </c>
      <c r="L5480" s="3">
        <f>_xlfn.IFS(Vendas[[#This Row],[Margem de Lucro (%)]]&lt;15%,Vendas[[#This Row],[Valor da Venda]]*3%,Vendas[[#This Row],[Margem de Lucro (%)]]&lt;=20%,Vendas[[#This Row],[Valor da Venda]]*4.5%,TRUE,Vendas[[#This Row],[Valor da Venda]]*6%)</f>
        <v>16.884</v>
      </c>
      <c r="M5480"/>
    </row>
    <row r="5481" spans="1:13" x14ac:dyDescent="0.3">
      <c r="A5481" s="7">
        <v>400250</v>
      </c>
      <c r="B5481" t="str">
        <f>_xlfn.XLOOKUP(Vendas[[#This Row],[ID Vendedor]],Vendedores[ID],Vendedores[Nome])</f>
        <v>Larissa</v>
      </c>
      <c r="C5481" s="7" t="str">
        <f>_xlfn.XLOOKUP(Vendas[[#This Row],[ID Vendedor]],Vendedores[ID],Vendedores[Setor])</f>
        <v>AB</v>
      </c>
      <c r="D5481" s="7" t="s">
        <v>39</v>
      </c>
      <c r="E5481" t="str">
        <f>_xlfn.XLOOKUP(Vendas[[#This Row],[ID Item Vendido]],Agregado[ID],Agregado[Produto])</f>
        <v>Filme plástico industrial rolo 50m</v>
      </c>
      <c r="F5481" s="39">
        <v>46088</v>
      </c>
      <c r="G5481" s="7">
        <v>11</v>
      </c>
      <c r="H5481" s="3">
        <f>_xlfn.XLOOKUP(Vendas[[#This Row],[ID Item Vendido]],Agregado[ID],Agregado[Revenda])</f>
        <v>37</v>
      </c>
      <c r="I5481" s="3">
        <f>Vendas[[#This Row],[Valor Unitário]]*Vendas[[#This Row],[Qnt Vendida]]</f>
        <v>407</v>
      </c>
      <c r="J5481" s="3">
        <f>Vendas[[#This Row],[Valor da Venda]]-(_xlfn.XLOOKUP(Vendas[[#This Row],[ID Item Vendido]],Agregado[ID],Agregado[Custo])*Vendas[[#This Row],[Qnt Vendida]])</f>
        <v>99</v>
      </c>
      <c r="K5481" s="70">
        <f>Vendas[[#This Row],[Lucro da Venda]]/Vendas[[#This Row],[Valor da Venda]]</f>
        <v>0.24324324324324326</v>
      </c>
      <c r="L5481" s="3">
        <f>_xlfn.IFS(Vendas[[#This Row],[Margem de Lucro (%)]]&lt;15%,Vendas[[#This Row],[Valor da Venda]]*3%,Vendas[[#This Row],[Margem de Lucro (%)]]&lt;=20%,Vendas[[#This Row],[Valor da Venda]]*4.5%,TRUE,Vendas[[#This Row],[Valor da Venda]]*6%)</f>
        <v>24.419999999999998</v>
      </c>
      <c r="M5481"/>
    </row>
    <row r="5482" spans="1:13" x14ac:dyDescent="0.3">
      <c r="A5482" s="7">
        <v>400246</v>
      </c>
      <c r="B5482" t="str">
        <f>_xlfn.XLOOKUP(Vendas[[#This Row],[ID Vendedor]],Vendedores[ID],Vendedores[Nome])</f>
        <v>Juliana</v>
      </c>
      <c r="C5482" s="7" t="str">
        <f>_xlfn.XLOOKUP(Vendas[[#This Row],[ID Vendedor]],Vendedores[ID],Vendedores[Setor])</f>
        <v>AHD</v>
      </c>
      <c r="D5482" s="7" t="s">
        <v>30</v>
      </c>
      <c r="E5482" t="str">
        <f>_xlfn.XLOOKUP(Vendas[[#This Row],[ID Item Vendido]],Agregado[ID],Agregado[Produto])</f>
        <v>Estrutura metálica soldada</v>
      </c>
      <c r="F5482" s="39">
        <v>46089</v>
      </c>
      <c r="G5482" s="7">
        <v>7</v>
      </c>
      <c r="H5482" s="3">
        <f>_xlfn.XLOOKUP(Vendas[[#This Row],[ID Item Vendido]],Agregado[ID],Agregado[Revenda])</f>
        <v>400</v>
      </c>
      <c r="I5482" s="3">
        <f>Vendas[[#This Row],[Valor Unitário]]*Vendas[[#This Row],[Qnt Vendida]]</f>
        <v>2800</v>
      </c>
      <c r="J5482" s="3">
        <f>Vendas[[#This Row],[Valor da Venda]]-(_xlfn.XLOOKUP(Vendas[[#This Row],[ID Item Vendido]],Agregado[ID],Agregado[Custo])*Vendas[[#This Row],[Qnt Vendida]])</f>
        <v>560</v>
      </c>
      <c r="K5482" s="70">
        <f>Vendas[[#This Row],[Lucro da Venda]]/Vendas[[#This Row],[Valor da Venda]]</f>
        <v>0.2</v>
      </c>
      <c r="L5482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482"/>
    </row>
    <row r="5483" spans="1:13" x14ac:dyDescent="0.3">
      <c r="A5483" s="7">
        <v>400246</v>
      </c>
      <c r="B5483" t="str">
        <f>_xlfn.XLOOKUP(Vendas[[#This Row],[ID Vendedor]],Vendedores[ID],Vendedores[Nome])</f>
        <v>Juliana</v>
      </c>
      <c r="C5483" s="7" t="str">
        <f>_xlfn.XLOOKUP(Vendas[[#This Row],[ID Vendedor]],Vendedores[ID],Vendedores[Setor])</f>
        <v>AHD</v>
      </c>
      <c r="D5483" s="7" t="s">
        <v>18</v>
      </c>
      <c r="E5483" t="str">
        <f>_xlfn.XLOOKUP(Vendas[[#This Row],[ID Item Vendido]],Agregado[ID],Agregado[Produto])</f>
        <v>Peça forjada sob encomenda</v>
      </c>
      <c r="F5483" s="39">
        <v>46089</v>
      </c>
      <c r="G5483" s="7">
        <v>6</v>
      </c>
      <c r="H5483" s="3">
        <f>_xlfn.XLOOKUP(Vendas[[#This Row],[ID Item Vendido]],Agregado[ID],Agregado[Revenda])</f>
        <v>264.60000000000002</v>
      </c>
      <c r="I5483" s="3">
        <f>Vendas[[#This Row],[Valor Unitário]]*Vendas[[#This Row],[Qnt Vendida]]</f>
        <v>1587.6000000000001</v>
      </c>
      <c r="J5483" s="3">
        <f>Vendas[[#This Row],[Valor da Venda]]-(_xlfn.XLOOKUP(Vendas[[#This Row],[ID Item Vendido]],Agregado[ID],Agregado[Custo])*Vendas[[#This Row],[Qnt Vendida]])</f>
        <v>87.600000000000136</v>
      </c>
      <c r="K5483" s="70">
        <f>Vendas[[#This Row],[Lucro da Venda]]/Vendas[[#This Row],[Valor da Venda]]</f>
        <v>5.5177626606198113E-2</v>
      </c>
      <c r="L5483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483"/>
    </row>
    <row r="5484" spans="1:13" x14ac:dyDescent="0.3">
      <c r="A5484" s="7">
        <v>400246</v>
      </c>
      <c r="B5484" t="str">
        <f>_xlfn.XLOOKUP(Vendas[[#This Row],[ID Vendedor]],Vendedores[ID],Vendedores[Nome])</f>
        <v>Juliana</v>
      </c>
      <c r="C5484" s="7" t="str">
        <f>_xlfn.XLOOKUP(Vendas[[#This Row],[ID Vendedor]],Vendedores[ID],Vendedores[Setor])</f>
        <v>AHD</v>
      </c>
      <c r="D5484" s="7" t="s">
        <v>18</v>
      </c>
      <c r="E5484" t="str">
        <f>_xlfn.XLOOKUP(Vendas[[#This Row],[ID Item Vendido]],Agregado[ID],Agregado[Produto])</f>
        <v>Peça forjada sob encomenda</v>
      </c>
      <c r="F5484" s="39">
        <v>46089</v>
      </c>
      <c r="G5484" s="7">
        <v>4</v>
      </c>
      <c r="H5484" s="3">
        <f>_xlfn.XLOOKUP(Vendas[[#This Row],[ID Item Vendido]],Agregado[ID],Agregado[Revenda])</f>
        <v>264.60000000000002</v>
      </c>
      <c r="I5484" s="3">
        <f>Vendas[[#This Row],[Valor Unitário]]*Vendas[[#This Row],[Qnt Vendida]]</f>
        <v>1058.4000000000001</v>
      </c>
      <c r="J5484" s="3">
        <f>Vendas[[#This Row],[Valor da Venda]]-(_xlfn.XLOOKUP(Vendas[[#This Row],[ID Item Vendido]],Agregado[ID],Agregado[Custo])*Vendas[[#This Row],[Qnt Vendida]])</f>
        <v>58.400000000000091</v>
      </c>
      <c r="K5484" s="70">
        <f>Vendas[[#This Row],[Lucro da Venda]]/Vendas[[#This Row],[Valor da Venda]]</f>
        <v>5.5177626606198113E-2</v>
      </c>
      <c r="L5484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484"/>
    </row>
    <row r="5485" spans="1:13" x14ac:dyDescent="0.3">
      <c r="A5485" s="7">
        <v>400254</v>
      </c>
      <c r="B5485" t="str">
        <f>_xlfn.XLOOKUP(Vendas[[#This Row],[ID Vendedor]],Vendedores[ID],Vendedores[Nome])</f>
        <v>Beatriz</v>
      </c>
      <c r="C5485" s="7" t="str">
        <f>_xlfn.XLOOKUP(Vendas[[#This Row],[ID Vendedor]],Vendedores[ID],Vendedores[Setor])</f>
        <v>SC</v>
      </c>
      <c r="D5485" s="7" t="s">
        <v>42</v>
      </c>
      <c r="E5485" t="str">
        <f>_xlfn.XLOOKUP(Vendas[[#This Row],[ID Item Vendido]],Agregado[ID],Agregado[Produto])</f>
        <v>Container de ferro industrial</v>
      </c>
      <c r="F5485" s="39">
        <v>46089</v>
      </c>
      <c r="G5485" s="7">
        <v>1</v>
      </c>
      <c r="H5485" s="3">
        <f>_xlfn.XLOOKUP(Vendas[[#This Row],[ID Item Vendido]],Agregado[ID],Agregado[Revenda])</f>
        <v>830</v>
      </c>
      <c r="I5485" s="3">
        <f>Vendas[[#This Row],[Valor Unitário]]*Vendas[[#This Row],[Qnt Vendida]]</f>
        <v>830</v>
      </c>
      <c r="J5485" s="3">
        <f>Vendas[[#This Row],[Valor da Venda]]-(_xlfn.XLOOKUP(Vendas[[#This Row],[ID Item Vendido]],Agregado[ID],Agregado[Custo])*Vendas[[#This Row],[Qnt Vendida]])</f>
        <v>150</v>
      </c>
      <c r="K5485" s="70">
        <f>Vendas[[#This Row],[Lucro da Venda]]/Vendas[[#This Row],[Valor da Venda]]</f>
        <v>0.18072289156626506</v>
      </c>
      <c r="L5485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485"/>
    </row>
    <row r="5486" spans="1:13" x14ac:dyDescent="0.3">
      <c r="A5486" s="7">
        <v>400252</v>
      </c>
      <c r="B5486" t="str">
        <f>_xlfn.XLOOKUP(Vendas[[#This Row],[ID Vendedor]],Vendedores[ID],Vendedores[Nome])</f>
        <v>Renata</v>
      </c>
      <c r="C5486" s="7" t="str">
        <f>_xlfn.XLOOKUP(Vendas[[#This Row],[ID Vendedor]],Vendedores[ID],Vendedores[Setor])</f>
        <v>AB</v>
      </c>
      <c r="D5486" s="7" t="s">
        <v>37</v>
      </c>
      <c r="E5486" t="str">
        <f>_xlfn.XLOOKUP(Vendas[[#This Row],[ID Item Vendido]],Agregado[ID],Agregado[Produto])</f>
        <v>Composto de borracha para vedação rolo 10m</v>
      </c>
      <c r="F5486" s="39">
        <v>46089</v>
      </c>
      <c r="G5486" s="7">
        <v>15</v>
      </c>
      <c r="H5486" s="3">
        <f>_xlfn.XLOOKUP(Vendas[[#This Row],[ID Item Vendido]],Agregado[ID],Agregado[Revenda])</f>
        <v>51.2</v>
      </c>
      <c r="I5486" s="3">
        <f>Vendas[[#This Row],[Valor Unitário]]*Vendas[[#This Row],[Qnt Vendida]]</f>
        <v>768</v>
      </c>
      <c r="J5486" s="3">
        <f>Vendas[[#This Row],[Valor da Venda]]-(_xlfn.XLOOKUP(Vendas[[#This Row],[ID Item Vendido]],Agregado[ID],Agregado[Custo])*Vendas[[#This Row],[Qnt Vendida]])</f>
        <v>168</v>
      </c>
      <c r="K5486" s="70">
        <f>Vendas[[#This Row],[Lucro da Venda]]/Vendas[[#This Row],[Valor da Venda]]</f>
        <v>0.21875</v>
      </c>
      <c r="L5486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486"/>
    </row>
    <row r="5487" spans="1:13" x14ac:dyDescent="0.3">
      <c r="A5487" s="7">
        <v>400248</v>
      </c>
      <c r="B5487" t="str">
        <f>_xlfn.XLOOKUP(Vendas[[#This Row],[ID Vendedor]],Vendedores[ID],Vendedores[Nome])</f>
        <v>Patrícia</v>
      </c>
      <c r="C5487" s="7" t="str">
        <f>_xlfn.XLOOKUP(Vendas[[#This Row],[ID Vendedor]],Vendedores[ID],Vendedores[Setor])</f>
        <v>CM</v>
      </c>
      <c r="D5487" s="7" t="s">
        <v>34</v>
      </c>
      <c r="E5487" t="str">
        <f>_xlfn.XLOOKUP(Vendas[[#This Row],[ID Item Vendido]],Agregado[ID],Agregado[Produto])</f>
        <v>Restos de madeira p/ MDP/OSB saco de 20kg</v>
      </c>
      <c r="F5487" s="39">
        <v>46089</v>
      </c>
      <c r="G5487" s="7">
        <v>5</v>
      </c>
      <c r="H5487" s="3">
        <f>_xlfn.XLOOKUP(Vendas[[#This Row],[ID Item Vendido]],Agregado[ID],Agregado[Revenda])</f>
        <v>13.8</v>
      </c>
      <c r="I5487" s="3">
        <f>Vendas[[#This Row],[Valor Unitário]]*Vendas[[#This Row],[Qnt Vendida]]</f>
        <v>69</v>
      </c>
      <c r="J5487" s="3">
        <f>Vendas[[#This Row],[Valor da Venda]]-(_xlfn.XLOOKUP(Vendas[[#This Row],[ID Item Vendido]],Agregado[ID],Agregado[Custo])*Vendas[[#This Row],[Qnt Vendida]])</f>
        <v>9</v>
      </c>
      <c r="K5487" s="70">
        <f>Vendas[[#This Row],[Lucro da Venda]]/Vendas[[#This Row],[Valor da Venda]]</f>
        <v>0.13043478260869565</v>
      </c>
      <c r="L5487" s="3">
        <f>_xlfn.IFS(Vendas[[#This Row],[Margem de Lucro (%)]]&lt;15%,Vendas[[#This Row],[Valor da Venda]]*3%,Vendas[[#This Row],[Margem de Lucro (%)]]&lt;=20%,Vendas[[#This Row],[Valor da Venda]]*4.5%,TRUE,Vendas[[#This Row],[Valor da Venda]]*6%)</f>
        <v>2.0699999999999998</v>
      </c>
      <c r="M5487"/>
    </row>
    <row r="5488" spans="1:13" x14ac:dyDescent="0.3">
      <c r="A5488" s="7">
        <v>400247</v>
      </c>
      <c r="B5488" t="str">
        <f>_xlfn.XLOOKUP(Vendas[[#This Row],[ID Vendedor]],Vendedores[ID],Vendedores[Nome])</f>
        <v>André</v>
      </c>
      <c r="C5488" s="7" t="str">
        <f>_xlfn.XLOOKUP(Vendas[[#This Row],[ID Vendedor]],Vendedores[ID],Vendedores[Setor])</f>
        <v>CM</v>
      </c>
      <c r="D5488" s="7" t="s">
        <v>32</v>
      </c>
      <c r="E5488" t="str">
        <f>_xlfn.XLOOKUP(Vendas[[#This Row],[ID Item Vendido]],Agregado[ID],Agregado[Produto])</f>
        <v>Tábua tratada e cortada 3m</v>
      </c>
      <c r="F5488" s="39">
        <v>46090</v>
      </c>
      <c r="G5488" s="7">
        <v>24</v>
      </c>
      <c r="H5488" s="3">
        <f>_xlfn.XLOOKUP(Vendas[[#This Row],[ID Item Vendido]],Agregado[ID],Agregado[Revenda])</f>
        <v>39</v>
      </c>
      <c r="I5488" s="3">
        <f>Vendas[[#This Row],[Valor Unitário]]*Vendas[[#This Row],[Qnt Vendida]]</f>
        <v>936</v>
      </c>
      <c r="J5488" s="3">
        <f>Vendas[[#This Row],[Valor da Venda]]-(_xlfn.XLOOKUP(Vendas[[#This Row],[ID Item Vendido]],Agregado[ID],Agregado[Custo])*Vendas[[#This Row],[Qnt Vendida]])</f>
        <v>168</v>
      </c>
      <c r="K5488" s="70">
        <f>Vendas[[#This Row],[Lucro da Venda]]/Vendas[[#This Row],[Valor da Venda]]</f>
        <v>0.17948717948717949</v>
      </c>
      <c r="L5488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5488"/>
    </row>
    <row r="5489" spans="1:13" x14ac:dyDescent="0.3">
      <c r="A5489" s="7">
        <v>400247</v>
      </c>
      <c r="B5489" t="str">
        <f>_xlfn.XLOOKUP(Vendas[[#This Row],[ID Vendedor]],Vendedores[ID],Vendedores[Nome])</f>
        <v>André</v>
      </c>
      <c r="C5489" s="7" t="str">
        <f>_xlfn.XLOOKUP(Vendas[[#This Row],[ID Vendedor]],Vendedores[ID],Vendedores[Setor])</f>
        <v>CM</v>
      </c>
      <c r="D5489" s="7" t="s">
        <v>22</v>
      </c>
      <c r="E5489" t="str">
        <f>_xlfn.XLOOKUP(Vendas[[#This Row],[ID Item Vendido]],Agregado[ID],Agregado[Produto])</f>
        <v>Painel MDP 2,75x1,83m</v>
      </c>
      <c r="F5489" s="39">
        <v>46090</v>
      </c>
      <c r="G5489" s="7">
        <v>6</v>
      </c>
      <c r="H5489" s="3">
        <f>_xlfn.XLOOKUP(Vendas[[#This Row],[ID Item Vendido]],Agregado[ID],Agregado[Revenda])</f>
        <v>119</v>
      </c>
      <c r="I5489" s="3">
        <f>Vendas[[#This Row],[Valor Unitário]]*Vendas[[#This Row],[Qnt Vendida]]</f>
        <v>714</v>
      </c>
      <c r="J5489" s="3">
        <f>Vendas[[#This Row],[Valor da Venda]]-(_xlfn.XLOOKUP(Vendas[[#This Row],[ID Item Vendido]],Agregado[ID],Agregado[Custo])*Vendas[[#This Row],[Qnt Vendida]])</f>
        <v>144</v>
      </c>
      <c r="K5489" s="70">
        <f>Vendas[[#This Row],[Lucro da Venda]]/Vendas[[#This Row],[Valor da Venda]]</f>
        <v>0.20168067226890757</v>
      </c>
      <c r="L5489" s="3">
        <f>_xlfn.IFS(Vendas[[#This Row],[Margem de Lucro (%)]]&lt;15%,Vendas[[#This Row],[Valor da Venda]]*3%,Vendas[[#This Row],[Margem de Lucro (%)]]&lt;=20%,Vendas[[#This Row],[Valor da Venda]]*4.5%,TRUE,Vendas[[#This Row],[Valor da Venda]]*6%)</f>
        <v>42.839999999999996</v>
      </c>
      <c r="M5489"/>
    </row>
    <row r="5490" spans="1:13" x14ac:dyDescent="0.3">
      <c r="A5490" s="7">
        <v>400252</v>
      </c>
      <c r="B5490" t="str">
        <f>_xlfn.XLOOKUP(Vendas[[#This Row],[ID Vendedor]],Vendedores[ID],Vendedores[Nome])</f>
        <v>Renata</v>
      </c>
      <c r="C5490" s="7" t="str">
        <f>_xlfn.XLOOKUP(Vendas[[#This Row],[ID Vendedor]],Vendedores[ID],Vendedores[Setor])</f>
        <v>AB</v>
      </c>
      <c r="D5490" s="7" t="s">
        <v>12</v>
      </c>
      <c r="E5490" t="str">
        <f>_xlfn.XLOOKUP(Vendas[[#This Row],[ID Item Vendido]],Agregado[ID],Agregado[Produto])</f>
        <v>Grânulo de plástico reciclado refinado</v>
      </c>
      <c r="F5490" s="39">
        <v>46091</v>
      </c>
      <c r="G5490" s="7">
        <v>67</v>
      </c>
      <c r="H5490" s="3">
        <f>_xlfn.XLOOKUP(Vendas[[#This Row],[ID Item Vendido]],Agregado[ID],Agregado[Revenda])</f>
        <v>4.7</v>
      </c>
      <c r="I5490" s="3">
        <f>Vendas[[#This Row],[Valor Unitário]]*Vendas[[#This Row],[Qnt Vendida]]</f>
        <v>314.90000000000003</v>
      </c>
      <c r="J5490" s="3">
        <f>Vendas[[#This Row],[Valor da Venda]]-(_xlfn.XLOOKUP(Vendas[[#This Row],[ID Item Vendido]],Agregado[ID],Agregado[Custo])*Vendas[[#This Row],[Qnt Vendida]])</f>
        <v>80.400000000000034</v>
      </c>
      <c r="K5490" s="70">
        <f>Vendas[[#This Row],[Lucro da Venda]]/Vendas[[#This Row],[Valor da Venda]]</f>
        <v>0.2553191489361703</v>
      </c>
      <c r="L5490" s="3">
        <f>_xlfn.IFS(Vendas[[#This Row],[Margem de Lucro (%)]]&lt;15%,Vendas[[#This Row],[Valor da Venda]]*3%,Vendas[[#This Row],[Margem de Lucro (%)]]&lt;=20%,Vendas[[#This Row],[Valor da Venda]]*4.5%,TRUE,Vendas[[#This Row],[Valor da Venda]]*6%)</f>
        <v>18.894000000000002</v>
      </c>
      <c r="M5490"/>
    </row>
    <row r="5491" spans="1:13" x14ac:dyDescent="0.3">
      <c r="A5491" s="7">
        <v>400243</v>
      </c>
      <c r="B5491" t="str">
        <f>_xlfn.XLOOKUP(Vendas[[#This Row],[ID Vendedor]],Vendedores[ID],Vendedores[Nome])</f>
        <v>Marcelo</v>
      </c>
      <c r="C5491" s="7" t="str">
        <f>_xlfn.XLOOKUP(Vendas[[#This Row],[ID Vendedor]],Vendedores[ID],Vendedores[Setor])</f>
        <v>FM</v>
      </c>
      <c r="D5491" s="7" t="s">
        <v>20</v>
      </c>
      <c r="E5491" t="str">
        <f>_xlfn.XLOOKUP(Vendas[[#This Row],[ID Item Vendido]],Agregado[ID],Agregado[Produto])</f>
        <v>Barra de aço simples</v>
      </c>
      <c r="F5491" s="39">
        <v>46092</v>
      </c>
      <c r="G5491" s="7">
        <v>187</v>
      </c>
      <c r="H5491" s="3">
        <f>_xlfn.XLOOKUP(Vendas[[#This Row],[ID Item Vendido]],Agregado[ID],Agregado[Revenda])</f>
        <v>4.8</v>
      </c>
      <c r="I5491" s="3">
        <f>Vendas[[#This Row],[Valor Unitário]]*Vendas[[#This Row],[Qnt Vendida]]</f>
        <v>897.6</v>
      </c>
      <c r="J5491" s="3">
        <f>Vendas[[#This Row],[Valor da Venda]]-(_xlfn.XLOOKUP(Vendas[[#This Row],[ID Item Vendido]],Agregado[ID],Agregado[Custo])*Vendas[[#This Row],[Qnt Vendida]])</f>
        <v>112.20000000000005</v>
      </c>
      <c r="K5491" s="70">
        <f>Vendas[[#This Row],[Lucro da Venda]]/Vendas[[#This Row],[Valor da Venda]]</f>
        <v>0.12500000000000006</v>
      </c>
      <c r="L5491" s="3">
        <f>_xlfn.IFS(Vendas[[#This Row],[Margem de Lucro (%)]]&lt;15%,Vendas[[#This Row],[Valor da Venda]]*3%,Vendas[[#This Row],[Margem de Lucro (%)]]&lt;=20%,Vendas[[#This Row],[Valor da Venda]]*4.5%,TRUE,Vendas[[#This Row],[Valor da Venda]]*6%)</f>
        <v>26.928000000000001</v>
      </c>
      <c r="M5491"/>
    </row>
    <row r="5492" spans="1:13" x14ac:dyDescent="0.3">
      <c r="A5492" s="7">
        <v>400241</v>
      </c>
      <c r="B5492" t="str">
        <f>_xlfn.XLOOKUP(Vendas[[#This Row],[ID Vendedor]],Vendedores[ID],Vendedores[Nome])</f>
        <v>Rodrigo</v>
      </c>
      <c r="C5492" s="7" t="str">
        <f>_xlfn.XLOOKUP(Vendas[[#This Row],[ID Vendedor]],Vendedores[ID],Vendedores[Setor])</f>
        <v>FM</v>
      </c>
      <c r="D5492" s="7" t="s">
        <v>31</v>
      </c>
      <c r="E5492" t="str">
        <f>_xlfn.XLOOKUP(Vendas[[#This Row],[ID Item Vendido]],Agregado[ID],Agregado[Produto])</f>
        <v>Tela de metal soldada rolo 2x25m</v>
      </c>
      <c r="F5492" s="39">
        <v>46092</v>
      </c>
      <c r="G5492" s="7">
        <v>20</v>
      </c>
      <c r="H5492" s="3">
        <f>_xlfn.XLOOKUP(Vendas[[#This Row],[ID Item Vendido]],Agregado[ID],Agregado[Revenda])</f>
        <v>43.7</v>
      </c>
      <c r="I5492" s="3">
        <f>Vendas[[#This Row],[Valor Unitário]]*Vendas[[#This Row],[Qnt Vendida]]</f>
        <v>874</v>
      </c>
      <c r="J5492" s="3">
        <f>Vendas[[#This Row],[Valor da Venda]]-(_xlfn.XLOOKUP(Vendas[[#This Row],[ID Item Vendido]],Agregado[ID],Agregado[Custo])*Vendas[[#This Row],[Qnt Vendida]])</f>
        <v>114</v>
      </c>
      <c r="K5492" s="70">
        <f>Vendas[[#This Row],[Lucro da Venda]]/Vendas[[#This Row],[Valor da Venda]]</f>
        <v>0.13043478260869565</v>
      </c>
      <c r="L5492" s="3">
        <f>_xlfn.IFS(Vendas[[#This Row],[Margem de Lucro (%)]]&lt;15%,Vendas[[#This Row],[Valor da Venda]]*3%,Vendas[[#This Row],[Margem de Lucro (%)]]&lt;=20%,Vendas[[#This Row],[Valor da Venda]]*4.5%,TRUE,Vendas[[#This Row],[Valor da Venda]]*6%)</f>
        <v>26.22</v>
      </c>
      <c r="M5492"/>
    </row>
    <row r="5493" spans="1:13" x14ac:dyDescent="0.3">
      <c r="A5493" s="7">
        <v>400241</v>
      </c>
      <c r="B5493" t="str">
        <f>_xlfn.XLOOKUP(Vendas[[#This Row],[ID Vendedor]],Vendedores[ID],Vendedores[Nome])</f>
        <v>Rodrigo</v>
      </c>
      <c r="C5493" s="7" t="str">
        <f>_xlfn.XLOOKUP(Vendas[[#This Row],[ID Vendedor]],Vendedores[ID],Vendedores[Setor])</f>
        <v>FM</v>
      </c>
      <c r="D5493" s="7" t="s">
        <v>31</v>
      </c>
      <c r="E5493" t="str">
        <f>_xlfn.XLOOKUP(Vendas[[#This Row],[ID Item Vendido]],Agregado[ID],Agregado[Produto])</f>
        <v>Tela de metal soldada rolo 2x25m</v>
      </c>
      <c r="F5493" s="39">
        <v>46092</v>
      </c>
      <c r="G5493" s="7">
        <v>11</v>
      </c>
      <c r="H5493" s="3">
        <f>_xlfn.XLOOKUP(Vendas[[#This Row],[ID Item Vendido]],Agregado[ID],Agregado[Revenda])</f>
        <v>43.7</v>
      </c>
      <c r="I5493" s="3">
        <f>Vendas[[#This Row],[Valor Unitário]]*Vendas[[#This Row],[Qnt Vendida]]</f>
        <v>480.70000000000005</v>
      </c>
      <c r="J5493" s="3">
        <f>Vendas[[#This Row],[Valor da Venda]]-(_xlfn.XLOOKUP(Vendas[[#This Row],[ID Item Vendido]],Agregado[ID],Agregado[Custo])*Vendas[[#This Row],[Qnt Vendida]])</f>
        <v>62.700000000000045</v>
      </c>
      <c r="K5493" s="70">
        <f>Vendas[[#This Row],[Lucro da Venda]]/Vendas[[#This Row],[Valor da Venda]]</f>
        <v>0.13043478260869573</v>
      </c>
      <c r="L5493" s="3">
        <f>_xlfn.IFS(Vendas[[#This Row],[Margem de Lucro (%)]]&lt;15%,Vendas[[#This Row],[Valor da Venda]]*3%,Vendas[[#This Row],[Margem de Lucro (%)]]&lt;=20%,Vendas[[#This Row],[Valor da Venda]]*4.5%,TRUE,Vendas[[#This Row],[Valor da Venda]]*6%)</f>
        <v>14.421000000000001</v>
      </c>
      <c r="M5493"/>
    </row>
    <row r="5494" spans="1:13" x14ac:dyDescent="0.3">
      <c r="A5494" s="7">
        <v>400254</v>
      </c>
      <c r="B5494" t="str">
        <f>_xlfn.XLOOKUP(Vendas[[#This Row],[ID Vendedor]],Vendedores[ID],Vendedores[Nome])</f>
        <v>Beatriz</v>
      </c>
      <c r="C5494" s="7" t="str">
        <f>_xlfn.XLOOKUP(Vendas[[#This Row],[ID Vendedor]],Vendedores[ID],Vendedores[Setor])</f>
        <v>SC</v>
      </c>
      <c r="D5494" s="7" t="s">
        <v>41</v>
      </c>
      <c r="E5494" t="str">
        <f>_xlfn.XLOOKUP(Vendas[[#This Row],[ID Item Vendido]],Agregado[ID],Agregado[Produto])</f>
        <v>Palete de madeira reforçado</v>
      </c>
      <c r="F5494" s="39">
        <v>46092</v>
      </c>
      <c r="G5494" s="7">
        <v>1</v>
      </c>
      <c r="H5494" s="3">
        <f>_xlfn.XLOOKUP(Vendas[[#This Row],[ID Item Vendido]],Agregado[ID],Agregado[Revenda])</f>
        <v>131</v>
      </c>
      <c r="I5494" s="3">
        <f>Vendas[[#This Row],[Valor Unitário]]*Vendas[[#This Row],[Qnt Vendida]]</f>
        <v>131</v>
      </c>
      <c r="J5494" s="3">
        <f>Vendas[[#This Row],[Valor da Venda]]-(_xlfn.XLOOKUP(Vendas[[#This Row],[ID Item Vendido]],Agregado[ID],Agregado[Custo])*Vendas[[#This Row],[Qnt Vendida]])</f>
        <v>21</v>
      </c>
      <c r="K5494" s="70">
        <f>Vendas[[#This Row],[Lucro da Venda]]/Vendas[[#This Row],[Valor da Venda]]</f>
        <v>0.16030534351145037</v>
      </c>
      <c r="L5494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5494"/>
    </row>
    <row r="5495" spans="1:13" x14ac:dyDescent="0.3">
      <c r="A5495" s="7">
        <v>400254</v>
      </c>
      <c r="B5495" t="str">
        <f>_xlfn.XLOOKUP(Vendas[[#This Row],[ID Vendedor]],Vendedores[ID],Vendedores[Nome])</f>
        <v>Beatriz</v>
      </c>
      <c r="C5495" s="7" t="str">
        <f>_xlfn.XLOOKUP(Vendas[[#This Row],[ID Vendedor]],Vendedores[ID],Vendedores[Setor])</f>
        <v>SC</v>
      </c>
      <c r="D5495" s="7" t="s">
        <v>48</v>
      </c>
      <c r="E5495" t="str">
        <f>_xlfn.XLOOKUP(Vendas[[#This Row],[ID Item Vendido]],Agregado[ID],Agregado[Produto])</f>
        <v>Tambor metálico 200L</v>
      </c>
      <c r="F5495" s="39">
        <v>46093</v>
      </c>
      <c r="G5495" s="7">
        <v>10</v>
      </c>
      <c r="H5495" s="3">
        <f>_xlfn.XLOOKUP(Vendas[[#This Row],[ID Item Vendido]],Agregado[ID],Agregado[Revenda])</f>
        <v>144</v>
      </c>
      <c r="I5495" s="3">
        <f>Vendas[[#This Row],[Valor Unitário]]*Vendas[[#This Row],[Qnt Vendida]]</f>
        <v>1440</v>
      </c>
      <c r="J5495" s="3">
        <f>Vendas[[#This Row],[Valor da Venda]]-(_xlfn.XLOOKUP(Vendas[[#This Row],[ID Item Vendido]],Agregado[ID],Agregado[Custo])*Vendas[[#This Row],[Qnt Vendida]])</f>
        <v>240</v>
      </c>
      <c r="K5495" s="70">
        <f>Vendas[[#This Row],[Lucro da Venda]]/Vendas[[#This Row],[Valor da Venda]]</f>
        <v>0.16666666666666666</v>
      </c>
      <c r="L5495" s="3">
        <f>_xlfn.IFS(Vendas[[#This Row],[Margem de Lucro (%)]]&lt;15%,Vendas[[#This Row],[Valor da Venda]]*3%,Vendas[[#This Row],[Margem de Lucro (%)]]&lt;=20%,Vendas[[#This Row],[Valor da Venda]]*4.5%,TRUE,Vendas[[#This Row],[Valor da Venda]]*6%)</f>
        <v>64.8</v>
      </c>
      <c r="M5495"/>
    </row>
    <row r="5496" spans="1:13" x14ac:dyDescent="0.3">
      <c r="A5496" s="7">
        <v>400242</v>
      </c>
      <c r="B5496" t="str">
        <f>_xlfn.XLOOKUP(Vendas[[#This Row],[ID Vendedor]],Vendedores[ID],Vendedores[Nome])</f>
        <v>Fernanda</v>
      </c>
      <c r="C5496" s="7" t="str">
        <f>_xlfn.XLOOKUP(Vendas[[#This Row],[ID Vendedor]],Vendedores[ID],Vendedores[Setor])</f>
        <v>FM</v>
      </c>
      <c r="D5496" s="7" t="s">
        <v>6</v>
      </c>
      <c r="E5496" t="str">
        <f>_xlfn.XLOOKUP(Vendas[[#This Row],[ID Item Vendido]],Agregado[ID],Agregado[Produto])</f>
        <v>Parafuso comum 500un</v>
      </c>
      <c r="F5496" s="39">
        <v>46093</v>
      </c>
      <c r="G5496" s="7">
        <v>23</v>
      </c>
      <c r="H5496" s="3">
        <f>_xlfn.XLOOKUP(Vendas[[#This Row],[ID Item Vendido]],Agregado[ID],Agregado[Revenda])</f>
        <v>24.6</v>
      </c>
      <c r="I5496" s="3">
        <f>Vendas[[#This Row],[Valor Unitário]]*Vendas[[#This Row],[Qnt Vendida]]</f>
        <v>565.80000000000007</v>
      </c>
      <c r="J5496" s="3">
        <f>Vendas[[#This Row],[Valor da Venda]]-(_xlfn.XLOOKUP(Vendas[[#This Row],[ID Item Vendido]],Agregado[ID],Agregado[Custo])*Vendas[[#This Row],[Qnt Vendida]])</f>
        <v>59.800000000000068</v>
      </c>
      <c r="K5496" s="70">
        <f>Vendas[[#This Row],[Lucro da Venda]]/Vendas[[#This Row],[Valor da Venda]]</f>
        <v>0.10569105691056921</v>
      </c>
      <c r="L5496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5496"/>
    </row>
    <row r="5497" spans="1:13" x14ac:dyDescent="0.3">
      <c r="A5497" s="7">
        <v>400249</v>
      </c>
      <c r="B5497" t="str">
        <f>_xlfn.XLOOKUP(Vendas[[#This Row],[ID Vendedor]],Vendedores[ID],Vendedores[Nome])</f>
        <v>Bruno</v>
      </c>
      <c r="C5497" s="7" t="str">
        <f>_xlfn.XLOOKUP(Vendas[[#This Row],[ID Vendedor]],Vendedores[ID],Vendedores[Setor])</f>
        <v>CM</v>
      </c>
      <c r="D5497" s="7" t="s">
        <v>34</v>
      </c>
      <c r="E5497" t="str">
        <f>_xlfn.XLOOKUP(Vendas[[#This Row],[ID Item Vendido]],Agregado[ID],Agregado[Produto])</f>
        <v>Restos de madeira p/ MDP/OSB saco de 20kg</v>
      </c>
      <c r="F5497" s="39">
        <v>46093</v>
      </c>
      <c r="G5497" s="7">
        <v>13</v>
      </c>
      <c r="H5497" s="3">
        <f>_xlfn.XLOOKUP(Vendas[[#This Row],[ID Item Vendido]],Agregado[ID],Agregado[Revenda])</f>
        <v>13.8</v>
      </c>
      <c r="I5497" s="3">
        <f>Vendas[[#This Row],[Valor Unitário]]*Vendas[[#This Row],[Qnt Vendida]]</f>
        <v>179.4</v>
      </c>
      <c r="J5497" s="3">
        <f>Vendas[[#This Row],[Valor da Venda]]-(_xlfn.XLOOKUP(Vendas[[#This Row],[ID Item Vendido]],Agregado[ID],Agregado[Custo])*Vendas[[#This Row],[Qnt Vendida]])</f>
        <v>23.400000000000006</v>
      </c>
      <c r="K5497" s="70">
        <f>Vendas[[#This Row],[Lucro da Venda]]/Vendas[[#This Row],[Valor da Venda]]</f>
        <v>0.13043478260869568</v>
      </c>
      <c r="L5497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5497"/>
    </row>
    <row r="5498" spans="1:13" x14ac:dyDescent="0.3">
      <c r="A5498" s="7">
        <v>400244</v>
      </c>
      <c r="B5498" t="str">
        <f>_xlfn.XLOOKUP(Vendas[[#This Row],[ID Vendedor]],Vendedores[ID],Vendedores[Nome])</f>
        <v>Camila</v>
      </c>
      <c r="C5498" s="7" t="str">
        <f>_xlfn.XLOOKUP(Vendas[[#This Row],[ID Vendedor]],Vendedores[ID],Vendedores[Setor])</f>
        <v>AHD</v>
      </c>
      <c r="D5498" s="7" t="s">
        <v>28</v>
      </c>
      <c r="E5498" t="str">
        <f>_xlfn.XLOOKUP(Vendas[[#This Row],[ID Item Vendido]],Agregado[ID],Agregado[Produto])</f>
        <v>Peça usinada CNC</v>
      </c>
      <c r="F5498" s="39">
        <v>46094</v>
      </c>
      <c r="G5498" s="7">
        <v>15</v>
      </c>
      <c r="H5498" s="3">
        <f>_xlfn.XLOOKUP(Vendas[[#This Row],[ID Item Vendido]],Agregado[ID],Agregado[Revenda])</f>
        <v>192</v>
      </c>
      <c r="I5498" s="3">
        <f>Vendas[[#This Row],[Valor Unitário]]*Vendas[[#This Row],[Qnt Vendida]]</f>
        <v>2880</v>
      </c>
      <c r="J5498" s="3">
        <f>Vendas[[#This Row],[Valor da Venda]]-(_xlfn.XLOOKUP(Vendas[[#This Row],[ID Item Vendido]],Agregado[ID],Agregado[Custo])*Vendas[[#This Row],[Qnt Vendida]])</f>
        <v>630</v>
      </c>
      <c r="K5498" s="70">
        <f>Vendas[[#This Row],[Lucro da Venda]]/Vendas[[#This Row],[Valor da Venda]]</f>
        <v>0.21875</v>
      </c>
      <c r="L5498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5498"/>
    </row>
    <row r="5499" spans="1:13" x14ac:dyDescent="0.3">
      <c r="A5499" s="7">
        <v>400248</v>
      </c>
      <c r="B5499" t="str">
        <f>_xlfn.XLOOKUP(Vendas[[#This Row],[ID Vendedor]],Vendedores[ID],Vendedores[Nome])</f>
        <v>Patrícia</v>
      </c>
      <c r="C5499" s="7" t="str">
        <f>_xlfn.XLOOKUP(Vendas[[#This Row],[ID Vendedor]],Vendedores[ID],Vendedores[Setor])</f>
        <v>CM</v>
      </c>
      <c r="D5499" s="7" t="s">
        <v>34</v>
      </c>
      <c r="E5499" t="str">
        <f>_xlfn.XLOOKUP(Vendas[[#This Row],[ID Item Vendido]],Agregado[ID],Agregado[Produto])</f>
        <v>Restos de madeira p/ MDP/OSB saco de 20kg</v>
      </c>
      <c r="F5499" s="39">
        <v>46094</v>
      </c>
      <c r="G5499" s="7">
        <v>24</v>
      </c>
      <c r="H5499" s="3">
        <f>_xlfn.XLOOKUP(Vendas[[#This Row],[ID Item Vendido]],Agregado[ID],Agregado[Revenda])</f>
        <v>13.8</v>
      </c>
      <c r="I5499" s="3">
        <f>Vendas[[#This Row],[Valor Unitário]]*Vendas[[#This Row],[Qnt Vendida]]</f>
        <v>331.20000000000005</v>
      </c>
      <c r="J5499" s="3">
        <f>Vendas[[#This Row],[Valor da Venda]]-(_xlfn.XLOOKUP(Vendas[[#This Row],[ID Item Vendido]],Agregado[ID],Agregado[Custo])*Vendas[[#This Row],[Qnt Vendida]])</f>
        <v>43.200000000000045</v>
      </c>
      <c r="K5499" s="70">
        <f>Vendas[[#This Row],[Lucro da Venda]]/Vendas[[#This Row],[Valor da Venda]]</f>
        <v>0.13043478260869576</v>
      </c>
      <c r="L5499" s="3">
        <f>_xlfn.IFS(Vendas[[#This Row],[Margem de Lucro (%)]]&lt;15%,Vendas[[#This Row],[Valor da Venda]]*3%,Vendas[[#This Row],[Margem de Lucro (%)]]&lt;=20%,Vendas[[#This Row],[Valor da Venda]]*4.5%,TRUE,Vendas[[#This Row],[Valor da Venda]]*6%)</f>
        <v>9.9360000000000017</v>
      </c>
      <c r="M5499"/>
    </row>
    <row r="5500" spans="1:13" x14ac:dyDescent="0.3">
      <c r="A5500" s="7">
        <v>400242</v>
      </c>
      <c r="B5500" t="str">
        <f>_xlfn.XLOOKUP(Vendas[[#This Row],[ID Vendedor]],Vendedores[ID],Vendedores[Nome])</f>
        <v>Fernanda</v>
      </c>
      <c r="C5500" s="7" t="str">
        <f>_xlfn.XLOOKUP(Vendas[[#This Row],[ID Vendedor]],Vendedores[ID],Vendedores[Setor])</f>
        <v>FM</v>
      </c>
      <c r="D5500" s="7" t="s">
        <v>47</v>
      </c>
      <c r="E5500" t="str">
        <f>_xlfn.XLOOKUP(Vendas[[#This Row],[ID Item Vendido]],Agregado[ID],Agregado[Produto])</f>
        <v>Fio de arame galvanizado rolo 50m</v>
      </c>
      <c r="F5500" s="39">
        <v>46095</v>
      </c>
      <c r="G5500" s="7">
        <v>28</v>
      </c>
      <c r="H5500" s="3">
        <f>_xlfn.XLOOKUP(Vendas[[#This Row],[ID Item Vendido]],Agregado[ID],Agregado[Revenda])</f>
        <v>21.2</v>
      </c>
      <c r="I5500" s="3">
        <f>Vendas[[#This Row],[Valor Unitário]]*Vendas[[#This Row],[Qnt Vendida]]</f>
        <v>593.6</v>
      </c>
      <c r="J5500" s="3">
        <f>Vendas[[#This Row],[Valor da Venda]]-(_xlfn.XLOOKUP(Vendas[[#This Row],[ID Item Vendido]],Agregado[ID],Agregado[Custo])*Vendas[[#This Row],[Qnt Vendida]])</f>
        <v>89.600000000000023</v>
      </c>
      <c r="K5500" s="70">
        <f>Vendas[[#This Row],[Lucro da Venda]]/Vendas[[#This Row],[Valor da Venda]]</f>
        <v>0.15094339622641512</v>
      </c>
      <c r="L5500" s="3">
        <f>_xlfn.IFS(Vendas[[#This Row],[Margem de Lucro (%)]]&lt;15%,Vendas[[#This Row],[Valor da Venda]]*3%,Vendas[[#This Row],[Margem de Lucro (%)]]&lt;=20%,Vendas[[#This Row],[Valor da Venda]]*4.5%,TRUE,Vendas[[#This Row],[Valor da Venda]]*6%)</f>
        <v>26.712</v>
      </c>
      <c r="M5500"/>
    </row>
    <row r="5501" spans="1:13" x14ac:dyDescent="0.3">
      <c r="A5501" s="7">
        <v>400243</v>
      </c>
      <c r="B5501" t="str">
        <f>_xlfn.XLOOKUP(Vendas[[#This Row],[ID Vendedor]],Vendedores[ID],Vendedores[Nome])</f>
        <v>Marcelo</v>
      </c>
      <c r="C5501" s="7" t="str">
        <f>_xlfn.XLOOKUP(Vendas[[#This Row],[ID Vendedor]],Vendedores[ID],Vendedores[Setor])</f>
        <v>FM</v>
      </c>
      <c r="D5501" s="7" t="s">
        <v>31</v>
      </c>
      <c r="E5501" t="str">
        <f>_xlfn.XLOOKUP(Vendas[[#This Row],[ID Item Vendido]],Agregado[ID],Agregado[Produto])</f>
        <v>Tela de metal soldada rolo 2x25m</v>
      </c>
      <c r="F5501" s="39">
        <v>46095</v>
      </c>
      <c r="G5501" s="7">
        <v>10</v>
      </c>
      <c r="H5501" s="3">
        <f>_xlfn.XLOOKUP(Vendas[[#This Row],[ID Item Vendido]],Agregado[ID],Agregado[Revenda])</f>
        <v>43.7</v>
      </c>
      <c r="I5501" s="3">
        <f>Vendas[[#This Row],[Valor Unitário]]*Vendas[[#This Row],[Qnt Vendida]]</f>
        <v>437</v>
      </c>
      <c r="J5501" s="3">
        <f>Vendas[[#This Row],[Valor da Venda]]-(_xlfn.XLOOKUP(Vendas[[#This Row],[ID Item Vendido]],Agregado[ID],Agregado[Custo])*Vendas[[#This Row],[Qnt Vendida]])</f>
        <v>57</v>
      </c>
      <c r="K5501" s="70">
        <f>Vendas[[#This Row],[Lucro da Venda]]/Vendas[[#This Row],[Valor da Venda]]</f>
        <v>0.13043478260869565</v>
      </c>
      <c r="L5501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5501"/>
    </row>
    <row r="5502" spans="1:13" x14ac:dyDescent="0.3">
      <c r="A5502" s="7">
        <v>400245</v>
      </c>
      <c r="B5502" t="str">
        <f>_xlfn.XLOOKUP(Vendas[[#This Row],[ID Vendedor]],Vendedores[ID],Vendedores[Nome])</f>
        <v>Thiago</v>
      </c>
      <c r="C5502" s="7" t="str">
        <f>_xlfn.XLOOKUP(Vendas[[#This Row],[ID Vendedor]],Vendedores[ID],Vendedores[Setor])</f>
        <v>AHD</v>
      </c>
      <c r="D5502" s="7" t="s">
        <v>30</v>
      </c>
      <c r="E5502" t="str">
        <f>_xlfn.XLOOKUP(Vendas[[#This Row],[ID Item Vendido]],Agregado[ID],Agregado[Produto])</f>
        <v>Estrutura metálica soldada</v>
      </c>
      <c r="F5502" s="39">
        <v>46096</v>
      </c>
      <c r="G5502" s="7">
        <v>8</v>
      </c>
      <c r="H5502" s="3">
        <f>_xlfn.XLOOKUP(Vendas[[#This Row],[ID Item Vendido]],Agregado[ID],Agregado[Revenda])</f>
        <v>400</v>
      </c>
      <c r="I5502" s="3">
        <f>Vendas[[#This Row],[Valor Unitário]]*Vendas[[#This Row],[Qnt Vendida]]</f>
        <v>3200</v>
      </c>
      <c r="J5502" s="3">
        <f>Vendas[[#This Row],[Valor da Venda]]-(_xlfn.XLOOKUP(Vendas[[#This Row],[ID Item Vendido]],Agregado[ID],Agregado[Custo])*Vendas[[#This Row],[Qnt Vendida]])</f>
        <v>640</v>
      </c>
      <c r="K5502" s="70">
        <f>Vendas[[#This Row],[Lucro da Venda]]/Vendas[[#This Row],[Valor da Venda]]</f>
        <v>0.2</v>
      </c>
      <c r="L5502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5502"/>
    </row>
    <row r="5503" spans="1:13" x14ac:dyDescent="0.3">
      <c r="A5503" s="7">
        <v>400246</v>
      </c>
      <c r="B5503" t="str">
        <f>_xlfn.XLOOKUP(Vendas[[#This Row],[ID Vendedor]],Vendedores[ID],Vendedores[Nome])</f>
        <v>Juliana</v>
      </c>
      <c r="C5503" s="7" t="str">
        <f>_xlfn.XLOOKUP(Vendas[[#This Row],[ID Vendedor]],Vendedores[ID],Vendedores[Setor])</f>
        <v>AHD</v>
      </c>
      <c r="D5503" s="7" t="s">
        <v>44</v>
      </c>
      <c r="E5503" t="str">
        <f>_xlfn.XLOOKUP(Vendas[[#This Row],[ID Item Vendido]],Agregado[ID],Agregado[Produto])</f>
        <v>Liga metálica especial</v>
      </c>
      <c r="F5503" s="39">
        <v>46096</v>
      </c>
      <c r="G5503" s="7">
        <v>52</v>
      </c>
      <c r="H5503" s="3">
        <f>_xlfn.XLOOKUP(Vendas[[#This Row],[ID Item Vendido]],Agregado[ID],Agregado[Revenda])</f>
        <v>32.5</v>
      </c>
      <c r="I5503" s="3">
        <f>Vendas[[#This Row],[Valor Unitário]]*Vendas[[#This Row],[Qnt Vendida]]</f>
        <v>1690</v>
      </c>
      <c r="J5503" s="3">
        <f>Vendas[[#This Row],[Valor da Venda]]-(_xlfn.XLOOKUP(Vendas[[#This Row],[ID Item Vendido]],Agregado[ID],Agregado[Custo])*Vendas[[#This Row],[Qnt Vendida]])</f>
        <v>390</v>
      </c>
      <c r="K5503" s="70">
        <f>Vendas[[#This Row],[Lucro da Venda]]/Vendas[[#This Row],[Valor da Venda]]</f>
        <v>0.23076923076923078</v>
      </c>
      <c r="L5503" s="3">
        <f>_xlfn.IFS(Vendas[[#This Row],[Margem de Lucro (%)]]&lt;15%,Vendas[[#This Row],[Valor da Venda]]*3%,Vendas[[#This Row],[Margem de Lucro (%)]]&lt;=20%,Vendas[[#This Row],[Valor da Venda]]*4.5%,TRUE,Vendas[[#This Row],[Valor da Venda]]*6%)</f>
        <v>101.39999999999999</v>
      </c>
      <c r="M5503"/>
    </row>
    <row r="5504" spans="1:13" x14ac:dyDescent="0.3">
      <c r="A5504" s="7">
        <v>400254</v>
      </c>
      <c r="B5504" t="str">
        <f>_xlfn.XLOOKUP(Vendas[[#This Row],[ID Vendedor]],Vendedores[ID],Vendedores[Nome])</f>
        <v>Beatriz</v>
      </c>
      <c r="C5504" s="7" t="str">
        <f>_xlfn.XLOOKUP(Vendas[[#This Row],[ID Vendedor]],Vendedores[ID],Vendedores[Setor])</f>
        <v>SC</v>
      </c>
      <c r="D5504" s="7" t="s">
        <v>48</v>
      </c>
      <c r="E5504" t="str">
        <f>_xlfn.XLOOKUP(Vendas[[#This Row],[ID Item Vendido]],Agregado[ID],Agregado[Produto])</f>
        <v>Tambor metálico 200L</v>
      </c>
      <c r="F5504" s="39">
        <v>46096</v>
      </c>
      <c r="G5504" s="7">
        <v>5</v>
      </c>
      <c r="H5504" s="3">
        <f>_xlfn.XLOOKUP(Vendas[[#This Row],[ID Item Vendido]],Agregado[ID],Agregado[Revenda])</f>
        <v>144</v>
      </c>
      <c r="I5504" s="3">
        <f>Vendas[[#This Row],[Valor Unitário]]*Vendas[[#This Row],[Qnt Vendida]]</f>
        <v>720</v>
      </c>
      <c r="J5504" s="3">
        <f>Vendas[[#This Row],[Valor da Venda]]-(_xlfn.XLOOKUP(Vendas[[#This Row],[ID Item Vendido]],Agregado[ID],Agregado[Custo])*Vendas[[#This Row],[Qnt Vendida]])</f>
        <v>120</v>
      </c>
      <c r="K5504" s="70">
        <f>Vendas[[#This Row],[Lucro da Venda]]/Vendas[[#This Row],[Valor da Venda]]</f>
        <v>0.16666666666666666</v>
      </c>
      <c r="L5504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5504"/>
    </row>
    <row r="5505" spans="1:13" x14ac:dyDescent="0.3">
      <c r="A5505" s="7">
        <v>400254</v>
      </c>
      <c r="B5505" t="str">
        <f>_xlfn.XLOOKUP(Vendas[[#This Row],[ID Vendedor]],Vendedores[ID],Vendedores[Nome])</f>
        <v>Beatriz</v>
      </c>
      <c r="C5505" s="7" t="str">
        <f>_xlfn.XLOOKUP(Vendas[[#This Row],[ID Vendedor]],Vendedores[ID],Vendedores[Setor])</f>
        <v>SC</v>
      </c>
      <c r="D5505" s="7" t="s">
        <v>14</v>
      </c>
      <c r="E5505" t="str">
        <f>_xlfn.XLOOKUP(Vendas[[#This Row],[ID Item Vendido]],Agregado[ID],Agregado[Produto])</f>
        <v>Barril de plástico 200L</v>
      </c>
      <c r="F5505" s="39">
        <v>46097</v>
      </c>
      <c r="G5505" s="7">
        <v>11</v>
      </c>
      <c r="H5505" s="3">
        <f>_xlfn.XLOOKUP(Vendas[[#This Row],[ID Item Vendido]],Agregado[ID],Agregado[Revenda])</f>
        <v>114</v>
      </c>
      <c r="I5505" s="3">
        <f>Vendas[[#This Row],[Valor Unitário]]*Vendas[[#This Row],[Qnt Vendida]]</f>
        <v>1254</v>
      </c>
      <c r="J5505" s="3">
        <f>Vendas[[#This Row],[Valor da Venda]]-(_xlfn.XLOOKUP(Vendas[[#This Row],[ID Item Vendido]],Agregado[ID],Agregado[Custo])*Vendas[[#This Row],[Qnt Vendida]])</f>
        <v>209</v>
      </c>
      <c r="K5505" s="70">
        <f>Vendas[[#This Row],[Lucro da Venda]]/Vendas[[#This Row],[Valor da Venda]]</f>
        <v>0.16666666666666666</v>
      </c>
      <c r="L5505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505"/>
    </row>
    <row r="5506" spans="1:13" x14ac:dyDescent="0.3">
      <c r="A5506" s="7">
        <v>400250</v>
      </c>
      <c r="B5506" t="str">
        <f>_xlfn.XLOOKUP(Vendas[[#This Row],[ID Vendedor]],Vendedores[ID],Vendedores[Nome])</f>
        <v>Larissa</v>
      </c>
      <c r="C5506" s="7" t="str">
        <f>_xlfn.XLOOKUP(Vendas[[#This Row],[ID Vendedor]],Vendedores[ID],Vendedores[Setor])</f>
        <v>AB</v>
      </c>
      <c r="D5506" s="7" t="s">
        <v>24</v>
      </c>
      <c r="E5506" t="str">
        <f>_xlfn.XLOOKUP(Vendas[[#This Row],[ID Item Vendido]],Agregado[ID],Agregado[Produto])</f>
        <v>Resina plástica PET purificada saco de 25kg</v>
      </c>
      <c r="F5506" s="39">
        <v>46098</v>
      </c>
      <c r="G5506" s="7">
        <v>28</v>
      </c>
      <c r="H5506" s="3">
        <f>_xlfn.XLOOKUP(Vendas[[#This Row],[ID Item Vendido]],Agregado[ID],Agregado[Revenda])</f>
        <v>119</v>
      </c>
      <c r="I5506" s="3">
        <f>Vendas[[#This Row],[Valor Unitário]]*Vendas[[#This Row],[Qnt Vendida]]</f>
        <v>3332</v>
      </c>
      <c r="J5506" s="3">
        <f>Vendas[[#This Row],[Valor da Venda]]-(_xlfn.XLOOKUP(Vendas[[#This Row],[ID Item Vendido]],Agregado[ID],Agregado[Custo])*Vendas[[#This Row],[Qnt Vendida]])</f>
        <v>952</v>
      </c>
      <c r="K5506" s="70">
        <f>Vendas[[#This Row],[Lucro da Venda]]/Vendas[[#This Row],[Valor da Venda]]</f>
        <v>0.2857142857142857</v>
      </c>
      <c r="L5506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5506"/>
    </row>
    <row r="5507" spans="1:13" x14ac:dyDescent="0.3">
      <c r="A5507" s="7">
        <v>400241</v>
      </c>
      <c r="B5507" t="str">
        <f>_xlfn.XLOOKUP(Vendas[[#This Row],[ID Vendedor]],Vendedores[ID],Vendedores[Nome])</f>
        <v>Rodrigo</v>
      </c>
      <c r="C5507" s="7" t="str">
        <f>_xlfn.XLOOKUP(Vendas[[#This Row],[ID Vendedor]],Vendedores[ID],Vendedores[Setor])</f>
        <v>FM</v>
      </c>
      <c r="D5507" s="7" t="s">
        <v>27</v>
      </c>
      <c r="E5507" t="str">
        <f>_xlfn.XLOOKUP(Vendas[[#This Row],[ID Item Vendido]],Agregado[ID],Agregado[Produto])</f>
        <v>Chapa de metal lisa 1x2m</v>
      </c>
      <c r="F5507" s="39">
        <v>46098</v>
      </c>
      <c r="G5507" s="7">
        <v>17</v>
      </c>
      <c r="H5507" s="3">
        <f>_xlfn.XLOOKUP(Vendas[[#This Row],[ID Item Vendido]],Agregado[ID],Agregado[Revenda])</f>
        <v>52</v>
      </c>
      <c r="I5507" s="3">
        <f>Vendas[[#This Row],[Valor Unitário]]*Vendas[[#This Row],[Qnt Vendida]]</f>
        <v>884</v>
      </c>
      <c r="J5507" s="3">
        <f>Vendas[[#This Row],[Valor da Venda]]-(_xlfn.XLOOKUP(Vendas[[#This Row],[ID Item Vendido]],Agregado[ID],Agregado[Custo])*Vendas[[#This Row],[Qnt Vendida]])</f>
        <v>119</v>
      </c>
      <c r="K5507" s="70">
        <f>Vendas[[#This Row],[Lucro da Venda]]/Vendas[[#This Row],[Valor da Venda]]</f>
        <v>0.13461538461538461</v>
      </c>
      <c r="L5507" s="3">
        <f>_xlfn.IFS(Vendas[[#This Row],[Margem de Lucro (%)]]&lt;15%,Vendas[[#This Row],[Valor da Venda]]*3%,Vendas[[#This Row],[Margem de Lucro (%)]]&lt;=20%,Vendas[[#This Row],[Valor da Venda]]*4.5%,TRUE,Vendas[[#This Row],[Valor da Venda]]*6%)</f>
        <v>26.52</v>
      </c>
      <c r="M5507"/>
    </row>
    <row r="5508" spans="1:13" x14ac:dyDescent="0.3">
      <c r="A5508" s="7">
        <v>400241</v>
      </c>
      <c r="B5508" t="str">
        <f>_xlfn.XLOOKUP(Vendas[[#This Row],[ID Vendedor]],Vendedores[ID],Vendedores[Nome])</f>
        <v>Rodrigo</v>
      </c>
      <c r="C5508" s="7" t="str">
        <f>_xlfn.XLOOKUP(Vendas[[#This Row],[ID Vendedor]],Vendedores[ID],Vendedores[Setor])</f>
        <v>FM</v>
      </c>
      <c r="D5508" s="7" t="s">
        <v>6</v>
      </c>
      <c r="E5508" t="str">
        <f>_xlfn.XLOOKUP(Vendas[[#This Row],[ID Item Vendido]],Agregado[ID],Agregado[Produto])</f>
        <v>Parafuso comum 500un</v>
      </c>
      <c r="F5508" s="39">
        <v>46098</v>
      </c>
      <c r="G5508" s="7">
        <v>19</v>
      </c>
      <c r="H5508" s="3">
        <f>_xlfn.XLOOKUP(Vendas[[#This Row],[ID Item Vendido]],Agregado[ID],Agregado[Revenda])</f>
        <v>24.6</v>
      </c>
      <c r="I5508" s="3">
        <f>Vendas[[#This Row],[Valor Unitário]]*Vendas[[#This Row],[Qnt Vendida]]</f>
        <v>467.40000000000003</v>
      </c>
      <c r="J5508" s="3">
        <f>Vendas[[#This Row],[Valor da Venda]]-(_xlfn.XLOOKUP(Vendas[[#This Row],[ID Item Vendido]],Agregado[ID],Agregado[Custo])*Vendas[[#This Row],[Qnt Vendida]])</f>
        <v>49.400000000000034</v>
      </c>
      <c r="K5508" s="70">
        <f>Vendas[[#This Row],[Lucro da Venda]]/Vendas[[#This Row],[Valor da Venda]]</f>
        <v>0.10569105691056917</v>
      </c>
      <c r="L5508" s="3">
        <f>_xlfn.IFS(Vendas[[#This Row],[Margem de Lucro (%)]]&lt;15%,Vendas[[#This Row],[Valor da Venda]]*3%,Vendas[[#This Row],[Margem de Lucro (%)]]&lt;=20%,Vendas[[#This Row],[Valor da Venda]]*4.5%,TRUE,Vendas[[#This Row],[Valor da Venda]]*6%)</f>
        <v>14.022</v>
      </c>
      <c r="M5508"/>
    </row>
    <row r="5509" spans="1:13" x14ac:dyDescent="0.3">
      <c r="A5509" s="7">
        <v>400252</v>
      </c>
      <c r="B5509" t="str">
        <f>_xlfn.XLOOKUP(Vendas[[#This Row],[ID Vendedor]],Vendedores[ID],Vendedores[Nome])</f>
        <v>Renata</v>
      </c>
      <c r="C5509" s="7" t="str">
        <f>_xlfn.XLOOKUP(Vendas[[#This Row],[ID Vendedor]],Vendedores[ID],Vendedores[Setor])</f>
        <v>AB</v>
      </c>
      <c r="D5509" s="7" t="s">
        <v>39</v>
      </c>
      <c r="E5509" t="str">
        <f>_xlfn.XLOOKUP(Vendas[[#This Row],[ID Item Vendido]],Agregado[ID],Agregado[Produto])</f>
        <v>Filme plástico industrial rolo 50m</v>
      </c>
      <c r="F5509" s="39">
        <v>46098</v>
      </c>
      <c r="G5509" s="7">
        <v>10</v>
      </c>
      <c r="H5509" s="3">
        <f>_xlfn.XLOOKUP(Vendas[[#This Row],[ID Item Vendido]],Agregado[ID],Agregado[Revenda])</f>
        <v>37</v>
      </c>
      <c r="I5509" s="3">
        <f>Vendas[[#This Row],[Valor Unitário]]*Vendas[[#This Row],[Qnt Vendida]]</f>
        <v>370</v>
      </c>
      <c r="J5509" s="3">
        <f>Vendas[[#This Row],[Valor da Venda]]-(_xlfn.XLOOKUP(Vendas[[#This Row],[ID Item Vendido]],Agregado[ID],Agregado[Custo])*Vendas[[#This Row],[Qnt Vendida]])</f>
        <v>90</v>
      </c>
      <c r="K5509" s="70">
        <f>Vendas[[#This Row],[Lucro da Venda]]/Vendas[[#This Row],[Valor da Venda]]</f>
        <v>0.24324324324324326</v>
      </c>
      <c r="L5509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5509"/>
    </row>
    <row r="5510" spans="1:13" x14ac:dyDescent="0.3">
      <c r="A5510" s="7">
        <v>400246</v>
      </c>
      <c r="B5510" t="str">
        <f>_xlfn.XLOOKUP(Vendas[[#This Row],[ID Vendedor]],Vendedores[ID],Vendedores[Nome])</f>
        <v>Juliana</v>
      </c>
      <c r="C5510" s="7" t="str">
        <f>_xlfn.XLOOKUP(Vendas[[#This Row],[ID Vendedor]],Vendedores[ID],Vendedores[Setor])</f>
        <v>AHD</v>
      </c>
      <c r="D5510" s="7" t="s">
        <v>18</v>
      </c>
      <c r="E5510" t="str">
        <f>_xlfn.XLOOKUP(Vendas[[#This Row],[ID Item Vendido]],Agregado[ID],Agregado[Produto])</f>
        <v>Peça forjada sob encomenda</v>
      </c>
      <c r="F5510" s="39">
        <v>46100</v>
      </c>
      <c r="G5510" s="7">
        <v>5</v>
      </c>
      <c r="H5510" s="3">
        <f>_xlfn.XLOOKUP(Vendas[[#This Row],[ID Item Vendido]],Agregado[ID],Agregado[Revenda])</f>
        <v>264.60000000000002</v>
      </c>
      <c r="I5510" s="3">
        <f>Vendas[[#This Row],[Valor Unitário]]*Vendas[[#This Row],[Qnt Vendida]]</f>
        <v>1323</v>
      </c>
      <c r="J5510" s="3">
        <f>Vendas[[#This Row],[Valor da Venda]]-(_xlfn.XLOOKUP(Vendas[[#This Row],[ID Item Vendido]],Agregado[ID],Agregado[Custo])*Vendas[[#This Row],[Qnt Vendida]])</f>
        <v>73</v>
      </c>
      <c r="K5510" s="70">
        <f>Vendas[[#This Row],[Lucro da Venda]]/Vendas[[#This Row],[Valor da Venda]]</f>
        <v>5.5177626606198037E-2</v>
      </c>
      <c r="L5510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5510"/>
    </row>
    <row r="5511" spans="1:13" x14ac:dyDescent="0.3">
      <c r="A5511" s="7">
        <v>400246</v>
      </c>
      <c r="B5511" t="str">
        <f>_xlfn.XLOOKUP(Vendas[[#This Row],[ID Vendedor]],Vendedores[ID],Vendedores[Nome])</f>
        <v>Juliana</v>
      </c>
      <c r="C5511" s="7" t="str">
        <f>_xlfn.XLOOKUP(Vendas[[#This Row],[ID Vendedor]],Vendedores[ID],Vendedores[Setor])</f>
        <v>AHD</v>
      </c>
      <c r="D5511" s="7" t="s">
        <v>30</v>
      </c>
      <c r="E5511" t="str">
        <f>_xlfn.XLOOKUP(Vendas[[#This Row],[ID Item Vendido]],Agregado[ID],Agregado[Produto])</f>
        <v>Estrutura metálica soldada</v>
      </c>
      <c r="F5511" s="39">
        <v>46100</v>
      </c>
      <c r="G5511" s="7">
        <v>4</v>
      </c>
      <c r="H5511" s="3">
        <f>_xlfn.XLOOKUP(Vendas[[#This Row],[ID Item Vendido]],Agregado[ID],Agregado[Revenda])</f>
        <v>400</v>
      </c>
      <c r="I5511" s="3">
        <f>Vendas[[#This Row],[Valor Unitário]]*Vendas[[#This Row],[Qnt Vendida]]</f>
        <v>1600</v>
      </c>
      <c r="J5511" s="3">
        <f>Vendas[[#This Row],[Valor da Venda]]-(_xlfn.XLOOKUP(Vendas[[#This Row],[ID Item Vendido]],Agregado[ID],Agregado[Custo])*Vendas[[#This Row],[Qnt Vendida]])</f>
        <v>320</v>
      </c>
      <c r="K5511" s="70">
        <f>Vendas[[#This Row],[Lucro da Venda]]/Vendas[[#This Row],[Valor da Venda]]</f>
        <v>0.2</v>
      </c>
      <c r="L5511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5511"/>
    </row>
    <row r="5512" spans="1:13" x14ac:dyDescent="0.3">
      <c r="A5512" s="7">
        <v>400242</v>
      </c>
      <c r="B5512" t="str">
        <f>_xlfn.XLOOKUP(Vendas[[#This Row],[ID Vendedor]],Vendedores[ID],Vendedores[Nome])</f>
        <v>Fernanda</v>
      </c>
      <c r="C5512" s="7" t="str">
        <f>_xlfn.XLOOKUP(Vendas[[#This Row],[ID Vendedor]],Vendedores[ID],Vendedores[Setor])</f>
        <v>FM</v>
      </c>
      <c r="D5512" s="7" t="s">
        <v>20</v>
      </c>
      <c r="E5512" t="str">
        <f>_xlfn.XLOOKUP(Vendas[[#This Row],[ID Item Vendido]],Agregado[ID],Agregado[Produto])</f>
        <v>Barra de aço simples</v>
      </c>
      <c r="F5512" s="39">
        <v>46100</v>
      </c>
      <c r="G5512" s="7">
        <v>68</v>
      </c>
      <c r="H5512" s="3">
        <f>_xlfn.XLOOKUP(Vendas[[#This Row],[ID Item Vendido]],Agregado[ID],Agregado[Revenda])</f>
        <v>4.8</v>
      </c>
      <c r="I5512" s="3">
        <f>Vendas[[#This Row],[Valor Unitário]]*Vendas[[#This Row],[Qnt Vendida]]</f>
        <v>326.39999999999998</v>
      </c>
      <c r="J5512" s="3">
        <f>Vendas[[#This Row],[Valor da Venda]]-(_xlfn.XLOOKUP(Vendas[[#This Row],[ID Item Vendido]],Agregado[ID],Agregado[Custo])*Vendas[[#This Row],[Qnt Vendida]])</f>
        <v>40.799999999999955</v>
      </c>
      <c r="K5512" s="70">
        <f>Vendas[[#This Row],[Lucro da Venda]]/Vendas[[#This Row],[Valor da Venda]]</f>
        <v>0.12499999999999988</v>
      </c>
      <c r="L5512" s="3">
        <f>_xlfn.IFS(Vendas[[#This Row],[Margem de Lucro (%)]]&lt;15%,Vendas[[#This Row],[Valor da Venda]]*3%,Vendas[[#This Row],[Margem de Lucro (%)]]&lt;=20%,Vendas[[#This Row],[Valor da Venda]]*4.5%,TRUE,Vendas[[#This Row],[Valor da Venda]]*6%)</f>
        <v>9.7919999999999998</v>
      </c>
      <c r="M5512"/>
    </row>
    <row r="5513" spans="1:13" x14ac:dyDescent="0.3">
      <c r="A5513" s="7">
        <v>400242</v>
      </c>
      <c r="B5513" t="str">
        <f>_xlfn.XLOOKUP(Vendas[[#This Row],[ID Vendedor]],Vendedores[ID],Vendedores[Nome])</f>
        <v>Fernanda</v>
      </c>
      <c r="C5513" s="7" t="str">
        <f>_xlfn.XLOOKUP(Vendas[[#This Row],[ID Vendedor]],Vendedores[ID],Vendedores[Setor])</f>
        <v>FM</v>
      </c>
      <c r="D5513" s="7" t="s">
        <v>27</v>
      </c>
      <c r="E5513" t="str">
        <f>_xlfn.XLOOKUP(Vendas[[#This Row],[ID Item Vendido]],Agregado[ID],Agregado[Produto])</f>
        <v>Chapa de metal lisa 1x2m</v>
      </c>
      <c r="F5513" s="39">
        <v>46100</v>
      </c>
      <c r="G5513" s="7">
        <v>2</v>
      </c>
      <c r="H5513" s="3">
        <f>_xlfn.XLOOKUP(Vendas[[#This Row],[ID Item Vendido]],Agregado[ID],Agregado[Revenda])</f>
        <v>52</v>
      </c>
      <c r="I5513" s="3">
        <f>Vendas[[#This Row],[Valor Unitário]]*Vendas[[#This Row],[Qnt Vendida]]</f>
        <v>104</v>
      </c>
      <c r="J5513" s="3">
        <f>Vendas[[#This Row],[Valor da Venda]]-(_xlfn.XLOOKUP(Vendas[[#This Row],[ID Item Vendido]],Agregado[ID],Agregado[Custo])*Vendas[[#This Row],[Qnt Vendida]])</f>
        <v>14</v>
      </c>
      <c r="K5513" s="70">
        <f>Vendas[[#This Row],[Lucro da Venda]]/Vendas[[#This Row],[Valor da Venda]]</f>
        <v>0.13461538461538461</v>
      </c>
      <c r="L5513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5513"/>
    </row>
    <row r="5514" spans="1:13" x14ac:dyDescent="0.3">
      <c r="A5514" s="7">
        <v>400253</v>
      </c>
      <c r="B5514" t="str">
        <f>_xlfn.XLOOKUP(Vendas[[#This Row],[ID Vendedor]],Vendedores[ID],Vendedores[Nome])</f>
        <v>Gustavo</v>
      </c>
      <c r="C5514" s="7" t="str">
        <f>_xlfn.XLOOKUP(Vendas[[#This Row],[ID Vendedor]],Vendedores[ID],Vendedores[Setor])</f>
        <v>SC</v>
      </c>
      <c r="D5514" s="7" t="s">
        <v>48</v>
      </c>
      <c r="E5514" t="str">
        <f>_xlfn.XLOOKUP(Vendas[[#This Row],[ID Item Vendido]],Agregado[ID],Agregado[Produto])</f>
        <v>Tambor metálico 200L</v>
      </c>
      <c r="F5514" s="39">
        <v>46101</v>
      </c>
      <c r="G5514" s="7">
        <v>18</v>
      </c>
      <c r="H5514" s="3">
        <f>_xlfn.XLOOKUP(Vendas[[#This Row],[ID Item Vendido]],Agregado[ID],Agregado[Revenda])</f>
        <v>144</v>
      </c>
      <c r="I5514" s="3">
        <f>Vendas[[#This Row],[Valor Unitário]]*Vendas[[#This Row],[Qnt Vendida]]</f>
        <v>2592</v>
      </c>
      <c r="J5514" s="3">
        <f>Vendas[[#This Row],[Valor da Venda]]-(_xlfn.XLOOKUP(Vendas[[#This Row],[ID Item Vendido]],Agregado[ID],Agregado[Custo])*Vendas[[#This Row],[Qnt Vendida]])</f>
        <v>432</v>
      </c>
      <c r="K5514" s="70">
        <f>Vendas[[#This Row],[Lucro da Venda]]/Vendas[[#This Row],[Valor da Venda]]</f>
        <v>0.16666666666666666</v>
      </c>
      <c r="L5514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514"/>
    </row>
    <row r="5515" spans="1:13" x14ac:dyDescent="0.3">
      <c r="A5515" s="7">
        <v>400245</v>
      </c>
      <c r="B5515" t="str">
        <f>_xlfn.XLOOKUP(Vendas[[#This Row],[ID Vendedor]],Vendedores[ID],Vendedores[Nome])</f>
        <v>Thiago</v>
      </c>
      <c r="C5515" s="7" t="str">
        <f>_xlfn.XLOOKUP(Vendas[[#This Row],[ID Vendedor]],Vendedores[ID],Vendedores[Setor])</f>
        <v>AHD</v>
      </c>
      <c r="D5515" s="7" t="s">
        <v>18</v>
      </c>
      <c r="E5515" t="str">
        <f>_xlfn.XLOOKUP(Vendas[[#This Row],[ID Item Vendido]],Agregado[ID],Agregado[Produto])</f>
        <v>Peça forjada sob encomenda</v>
      </c>
      <c r="F5515" s="39">
        <v>46101</v>
      </c>
      <c r="G5515" s="7">
        <v>3</v>
      </c>
      <c r="H5515" s="3">
        <f>_xlfn.XLOOKUP(Vendas[[#This Row],[ID Item Vendido]],Agregado[ID],Agregado[Revenda])</f>
        <v>264.60000000000002</v>
      </c>
      <c r="I5515" s="3">
        <f>Vendas[[#This Row],[Valor Unitário]]*Vendas[[#This Row],[Qnt Vendida]]</f>
        <v>793.80000000000007</v>
      </c>
      <c r="J5515" s="3">
        <f>Vendas[[#This Row],[Valor da Venda]]-(_xlfn.XLOOKUP(Vendas[[#This Row],[ID Item Vendido]],Agregado[ID],Agregado[Custo])*Vendas[[#This Row],[Qnt Vendida]])</f>
        <v>43.800000000000068</v>
      </c>
      <c r="K5515" s="70">
        <f>Vendas[[#This Row],[Lucro da Venda]]/Vendas[[#This Row],[Valor da Venda]]</f>
        <v>5.5177626606198113E-2</v>
      </c>
      <c r="L5515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515"/>
    </row>
    <row r="5516" spans="1:13" x14ac:dyDescent="0.3">
      <c r="A5516" s="7">
        <v>400252</v>
      </c>
      <c r="B5516" t="str">
        <f>_xlfn.XLOOKUP(Vendas[[#This Row],[ID Vendedor]],Vendedores[ID],Vendedores[Nome])</f>
        <v>Renata</v>
      </c>
      <c r="C5516" s="7" t="str">
        <f>_xlfn.XLOOKUP(Vendas[[#This Row],[ID Vendedor]],Vendedores[ID],Vendedores[Setor])</f>
        <v>AB</v>
      </c>
      <c r="D5516" s="7" t="s">
        <v>39</v>
      </c>
      <c r="E5516" t="str">
        <f>_xlfn.XLOOKUP(Vendas[[#This Row],[ID Item Vendido]],Agregado[ID],Agregado[Produto])</f>
        <v>Filme plástico industrial rolo 50m</v>
      </c>
      <c r="F5516" s="39">
        <v>46101</v>
      </c>
      <c r="G5516" s="7">
        <v>27</v>
      </c>
      <c r="H5516" s="3">
        <f>_xlfn.XLOOKUP(Vendas[[#This Row],[ID Item Vendido]],Agregado[ID],Agregado[Revenda])</f>
        <v>37</v>
      </c>
      <c r="I5516" s="3">
        <f>Vendas[[#This Row],[Valor Unitário]]*Vendas[[#This Row],[Qnt Vendida]]</f>
        <v>999</v>
      </c>
      <c r="J5516" s="3">
        <f>Vendas[[#This Row],[Valor da Venda]]-(_xlfn.XLOOKUP(Vendas[[#This Row],[ID Item Vendido]],Agregado[ID],Agregado[Custo])*Vendas[[#This Row],[Qnt Vendida]])</f>
        <v>243</v>
      </c>
      <c r="K5516" s="70">
        <f>Vendas[[#This Row],[Lucro da Venda]]/Vendas[[#This Row],[Valor da Venda]]</f>
        <v>0.24324324324324326</v>
      </c>
      <c r="L5516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5516"/>
    </row>
    <row r="5517" spans="1:13" x14ac:dyDescent="0.3">
      <c r="A5517" s="7">
        <v>400244</v>
      </c>
      <c r="B5517" t="str">
        <f>_xlfn.XLOOKUP(Vendas[[#This Row],[ID Vendedor]],Vendedores[ID],Vendedores[Nome])</f>
        <v>Camila</v>
      </c>
      <c r="C5517" s="7" t="str">
        <f>_xlfn.XLOOKUP(Vendas[[#This Row],[ID Vendedor]],Vendedores[ID],Vendedores[Setor])</f>
        <v>AHD</v>
      </c>
      <c r="D5517" s="7" t="s">
        <v>9</v>
      </c>
      <c r="E5517" t="str">
        <f>_xlfn.XLOOKUP(Vendas[[#This Row],[ID Item Vendido]],Agregado[ID],Agregado[Produto])</f>
        <v>Barra de aço simples</v>
      </c>
      <c r="F5517" s="39">
        <v>46101</v>
      </c>
      <c r="G5517" s="7">
        <v>131</v>
      </c>
      <c r="H5517" s="3">
        <f>_xlfn.XLOOKUP(Vendas[[#This Row],[ID Item Vendido]],Agregado[ID],Agregado[Revenda])</f>
        <v>6.7</v>
      </c>
      <c r="I5517" s="3">
        <f>Vendas[[#This Row],[Valor Unitário]]*Vendas[[#This Row],[Qnt Vendida]]</f>
        <v>877.7</v>
      </c>
      <c r="J5517" s="3">
        <f>Vendas[[#This Row],[Valor da Venda]]-(_xlfn.XLOOKUP(Vendas[[#This Row],[ID Item Vendido]],Agregado[ID],Agregado[Custo])*Vendas[[#This Row],[Qnt Vendida]])</f>
        <v>117.90000000000009</v>
      </c>
      <c r="K5517" s="70">
        <f>Vendas[[#This Row],[Lucro da Venda]]/Vendas[[#This Row],[Valor da Venda]]</f>
        <v>0.13432835820895533</v>
      </c>
      <c r="L5517" s="3">
        <f>_xlfn.IFS(Vendas[[#This Row],[Margem de Lucro (%)]]&lt;15%,Vendas[[#This Row],[Valor da Venda]]*3%,Vendas[[#This Row],[Margem de Lucro (%)]]&lt;=20%,Vendas[[#This Row],[Valor da Venda]]*4.5%,TRUE,Vendas[[#This Row],[Valor da Venda]]*6%)</f>
        <v>26.331</v>
      </c>
      <c r="M5517"/>
    </row>
    <row r="5518" spans="1:13" x14ac:dyDescent="0.3">
      <c r="A5518" s="7">
        <v>400246</v>
      </c>
      <c r="B5518" t="str">
        <f>_xlfn.XLOOKUP(Vendas[[#This Row],[ID Vendedor]],Vendedores[ID],Vendedores[Nome])</f>
        <v>Juliana</v>
      </c>
      <c r="C5518" s="7" t="str">
        <f>_xlfn.XLOOKUP(Vendas[[#This Row],[ID Vendedor]],Vendedores[ID],Vendedores[Setor])</f>
        <v>AHD</v>
      </c>
      <c r="D5518" s="7" t="s">
        <v>28</v>
      </c>
      <c r="E5518" t="str">
        <f>_xlfn.XLOOKUP(Vendas[[#This Row],[ID Item Vendido]],Agregado[ID],Agregado[Produto])</f>
        <v>Peça usinada CNC</v>
      </c>
      <c r="F5518" s="39">
        <v>46101</v>
      </c>
      <c r="G5518" s="7">
        <v>3</v>
      </c>
      <c r="H5518" s="3">
        <f>_xlfn.XLOOKUP(Vendas[[#This Row],[ID Item Vendido]],Agregado[ID],Agregado[Revenda])</f>
        <v>192</v>
      </c>
      <c r="I5518" s="3">
        <f>Vendas[[#This Row],[Valor Unitário]]*Vendas[[#This Row],[Qnt Vendida]]</f>
        <v>576</v>
      </c>
      <c r="J5518" s="3">
        <f>Vendas[[#This Row],[Valor da Venda]]-(_xlfn.XLOOKUP(Vendas[[#This Row],[ID Item Vendido]],Agregado[ID],Agregado[Custo])*Vendas[[#This Row],[Qnt Vendida]])</f>
        <v>126</v>
      </c>
      <c r="K5518" s="70">
        <f>Vendas[[#This Row],[Lucro da Venda]]/Vendas[[#This Row],[Valor da Venda]]</f>
        <v>0.21875</v>
      </c>
      <c r="L5518" s="3">
        <f>_xlfn.IFS(Vendas[[#This Row],[Margem de Lucro (%)]]&lt;15%,Vendas[[#This Row],[Valor da Venda]]*3%,Vendas[[#This Row],[Margem de Lucro (%)]]&lt;=20%,Vendas[[#This Row],[Valor da Venda]]*4.5%,TRUE,Vendas[[#This Row],[Valor da Venda]]*6%)</f>
        <v>34.56</v>
      </c>
      <c r="M5518"/>
    </row>
    <row r="5519" spans="1:13" x14ac:dyDescent="0.3">
      <c r="A5519" s="7">
        <v>400245</v>
      </c>
      <c r="B5519" t="str">
        <f>_xlfn.XLOOKUP(Vendas[[#This Row],[ID Vendedor]],Vendedores[ID],Vendedores[Nome])</f>
        <v>Thiago</v>
      </c>
      <c r="C5519" s="7" t="str">
        <f>_xlfn.XLOOKUP(Vendas[[#This Row],[ID Vendedor]],Vendedores[ID],Vendedores[Setor])</f>
        <v>AHD</v>
      </c>
      <c r="D5519" s="7" t="s">
        <v>44</v>
      </c>
      <c r="E5519" t="str">
        <f>_xlfn.XLOOKUP(Vendas[[#This Row],[ID Item Vendido]],Agregado[ID],Agregado[Produto])</f>
        <v>Liga metálica especial</v>
      </c>
      <c r="F5519" s="39">
        <v>46102</v>
      </c>
      <c r="G5519" s="7">
        <v>24</v>
      </c>
      <c r="H5519" s="3">
        <f>_xlfn.XLOOKUP(Vendas[[#This Row],[ID Item Vendido]],Agregado[ID],Agregado[Revenda])</f>
        <v>32.5</v>
      </c>
      <c r="I5519" s="3">
        <f>Vendas[[#This Row],[Valor Unitário]]*Vendas[[#This Row],[Qnt Vendida]]</f>
        <v>780</v>
      </c>
      <c r="J5519" s="3">
        <f>Vendas[[#This Row],[Valor da Venda]]-(_xlfn.XLOOKUP(Vendas[[#This Row],[ID Item Vendido]],Agregado[ID],Agregado[Custo])*Vendas[[#This Row],[Qnt Vendida]])</f>
        <v>180</v>
      </c>
      <c r="K5519" s="70">
        <f>Vendas[[#This Row],[Lucro da Venda]]/Vendas[[#This Row],[Valor da Venda]]</f>
        <v>0.23076923076923078</v>
      </c>
      <c r="L5519" s="3">
        <f>_xlfn.IFS(Vendas[[#This Row],[Margem de Lucro (%)]]&lt;15%,Vendas[[#This Row],[Valor da Venda]]*3%,Vendas[[#This Row],[Margem de Lucro (%)]]&lt;=20%,Vendas[[#This Row],[Valor da Venda]]*4.5%,TRUE,Vendas[[#This Row],[Valor da Venda]]*6%)</f>
        <v>46.8</v>
      </c>
      <c r="M5519"/>
    </row>
    <row r="5520" spans="1:13" x14ac:dyDescent="0.3">
      <c r="A5520" s="7">
        <v>400252</v>
      </c>
      <c r="B5520" t="str">
        <f>_xlfn.XLOOKUP(Vendas[[#This Row],[ID Vendedor]],Vendedores[ID],Vendedores[Nome])</f>
        <v>Renata</v>
      </c>
      <c r="C5520" s="7" t="str">
        <f>_xlfn.XLOOKUP(Vendas[[#This Row],[ID Vendedor]],Vendedores[ID],Vendedores[Setor])</f>
        <v>AB</v>
      </c>
      <c r="D5520" s="7" t="s">
        <v>36</v>
      </c>
      <c r="E5520" t="str">
        <f>_xlfn.XLOOKUP(Vendas[[#This Row],[ID Item Vendido]],Agregado[ID],Agregado[Produto])</f>
        <v>Borracha vulcanizada em manta</v>
      </c>
      <c r="F5520" s="39">
        <v>46102</v>
      </c>
      <c r="G5520" s="7">
        <v>34</v>
      </c>
      <c r="H5520" s="3">
        <f>_xlfn.XLOOKUP(Vendas[[#This Row],[ID Item Vendido]],Agregado[ID],Agregado[Revenda])</f>
        <v>7.8</v>
      </c>
      <c r="I5520" s="3">
        <f>Vendas[[#This Row],[Valor Unitário]]*Vendas[[#This Row],[Qnt Vendida]]</f>
        <v>265.2</v>
      </c>
      <c r="J5520" s="3">
        <f>Vendas[[#This Row],[Valor da Venda]]-(_xlfn.XLOOKUP(Vendas[[#This Row],[ID Item Vendido]],Agregado[ID],Agregado[Custo])*Vendas[[#This Row],[Qnt Vendida]])</f>
        <v>61.199999999999989</v>
      </c>
      <c r="K5520" s="70">
        <f>Vendas[[#This Row],[Lucro da Venda]]/Vendas[[#This Row],[Valor da Venda]]</f>
        <v>0.23076923076923073</v>
      </c>
      <c r="L5520" s="3">
        <f>_xlfn.IFS(Vendas[[#This Row],[Margem de Lucro (%)]]&lt;15%,Vendas[[#This Row],[Valor da Venda]]*3%,Vendas[[#This Row],[Margem de Lucro (%)]]&lt;=20%,Vendas[[#This Row],[Valor da Venda]]*4.5%,TRUE,Vendas[[#This Row],[Valor da Venda]]*6%)</f>
        <v>15.911999999999999</v>
      </c>
      <c r="M5520"/>
    </row>
    <row r="5521" spans="1:13" x14ac:dyDescent="0.3">
      <c r="A5521" s="7">
        <v>400244</v>
      </c>
      <c r="B5521" t="str">
        <f>_xlfn.XLOOKUP(Vendas[[#This Row],[ID Vendedor]],Vendedores[ID],Vendedores[Nome])</f>
        <v>Camila</v>
      </c>
      <c r="C5521" s="7" t="str">
        <f>_xlfn.XLOOKUP(Vendas[[#This Row],[ID Vendedor]],Vendedores[ID],Vendedores[Setor])</f>
        <v>AHD</v>
      </c>
      <c r="D5521" s="7" t="s">
        <v>9</v>
      </c>
      <c r="E5521" t="str">
        <f>_xlfn.XLOOKUP(Vendas[[#This Row],[ID Item Vendido]],Agregado[ID],Agregado[Produto])</f>
        <v>Barra de aço simples</v>
      </c>
      <c r="F5521" s="39">
        <v>46102</v>
      </c>
      <c r="G5521" s="7">
        <v>20</v>
      </c>
      <c r="H5521" s="3">
        <f>_xlfn.XLOOKUP(Vendas[[#This Row],[ID Item Vendido]],Agregado[ID],Agregado[Revenda])</f>
        <v>6.7</v>
      </c>
      <c r="I5521" s="3">
        <f>Vendas[[#This Row],[Valor Unitário]]*Vendas[[#This Row],[Qnt Vendida]]</f>
        <v>134</v>
      </c>
      <c r="J5521" s="3">
        <f>Vendas[[#This Row],[Valor da Venda]]-(_xlfn.XLOOKUP(Vendas[[#This Row],[ID Item Vendido]],Agregado[ID],Agregado[Custo])*Vendas[[#This Row],[Qnt Vendida]])</f>
        <v>18</v>
      </c>
      <c r="K5521" s="70">
        <f>Vendas[[#This Row],[Lucro da Venda]]/Vendas[[#This Row],[Valor da Venda]]</f>
        <v>0.13432835820895522</v>
      </c>
      <c r="L5521" s="3">
        <f>_xlfn.IFS(Vendas[[#This Row],[Margem de Lucro (%)]]&lt;15%,Vendas[[#This Row],[Valor da Venda]]*3%,Vendas[[#This Row],[Margem de Lucro (%)]]&lt;=20%,Vendas[[#This Row],[Valor da Venda]]*4.5%,TRUE,Vendas[[#This Row],[Valor da Venda]]*6%)</f>
        <v>4.0199999999999996</v>
      </c>
      <c r="M5521"/>
    </row>
    <row r="5522" spans="1:13" x14ac:dyDescent="0.3">
      <c r="A5522" s="7">
        <v>400253</v>
      </c>
      <c r="B5522" t="str">
        <f>_xlfn.XLOOKUP(Vendas[[#This Row],[ID Vendedor]],Vendedores[ID],Vendedores[Nome])</f>
        <v>Gustavo</v>
      </c>
      <c r="C5522" s="7" t="str">
        <f>_xlfn.XLOOKUP(Vendas[[#This Row],[ID Vendedor]],Vendedores[ID],Vendedores[Setor])</f>
        <v>SC</v>
      </c>
      <c r="D5522" s="7" t="s">
        <v>42</v>
      </c>
      <c r="E5522" t="str">
        <f>_xlfn.XLOOKUP(Vendas[[#This Row],[ID Item Vendido]],Agregado[ID],Agregado[Produto])</f>
        <v>Container de ferro industrial</v>
      </c>
      <c r="F5522" s="39">
        <v>46103</v>
      </c>
      <c r="G5522" s="7">
        <v>5</v>
      </c>
      <c r="H5522" s="3">
        <f>_xlfn.XLOOKUP(Vendas[[#This Row],[ID Item Vendido]],Agregado[ID],Agregado[Revenda])</f>
        <v>830</v>
      </c>
      <c r="I5522" s="3">
        <f>Vendas[[#This Row],[Valor Unitário]]*Vendas[[#This Row],[Qnt Vendida]]</f>
        <v>4150</v>
      </c>
      <c r="J5522" s="3">
        <f>Vendas[[#This Row],[Valor da Venda]]-(_xlfn.XLOOKUP(Vendas[[#This Row],[ID Item Vendido]],Agregado[ID],Agregado[Custo])*Vendas[[#This Row],[Qnt Vendida]])</f>
        <v>750</v>
      </c>
      <c r="K5522" s="70">
        <f>Vendas[[#This Row],[Lucro da Venda]]/Vendas[[#This Row],[Valor da Venda]]</f>
        <v>0.18072289156626506</v>
      </c>
      <c r="L5522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522"/>
    </row>
    <row r="5523" spans="1:13" x14ac:dyDescent="0.3">
      <c r="A5523" s="7">
        <v>400253</v>
      </c>
      <c r="B5523" t="str">
        <f>_xlfn.XLOOKUP(Vendas[[#This Row],[ID Vendedor]],Vendedores[ID],Vendedores[Nome])</f>
        <v>Gustavo</v>
      </c>
      <c r="C5523" s="7" t="str">
        <f>_xlfn.XLOOKUP(Vendas[[#This Row],[ID Vendedor]],Vendedores[ID],Vendedores[Setor])</f>
        <v>SC</v>
      </c>
      <c r="D5523" s="7" t="s">
        <v>14</v>
      </c>
      <c r="E5523" t="str">
        <f>_xlfn.XLOOKUP(Vendas[[#This Row],[ID Item Vendido]],Agregado[ID],Agregado[Produto])</f>
        <v>Barril de plástico 200L</v>
      </c>
      <c r="F5523" s="39">
        <v>46103</v>
      </c>
      <c r="G5523" s="7">
        <v>11</v>
      </c>
      <c r="H5523" s="3">
        <f>_xlfn.XLOOKUP(Vendas[[#This Row],[ID Item Vendido]],Agregado[ID],Agregado[Revenda])</f>
        <v>114</v>
      </c>
      <c r="I5523" s="3">
        <f>Vendas[[#This Row],[Valor Unitário]]*Vendas[[#This Row],[Qnt Vendida]]</f>
        <v>1254</v>
      </c>
      <c r="J5523" s="3">
        <f>Vendas[[#This Row],[Valor da Venda]]-(_xlfn.XLOOKUP(Vendas[[#This Row],[ID Item Vendido]],Agregado[ID],Agregado[Custo])*Vendas[[#This Row],[Qnt Vendida]])</f>
        <v>209</v>
      </c>
      <c r="K5523" s="70">
        <f>Vendas[[#This Row],[Lucro da Venda]]/Vendas[[#This Row],[Valor da Venda]]</f>
        <v>0.16666666666666666</v>
      </c>
      <c r="L5523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523"/>
    </row>
    <row r="5524" spans="1:13" x14ac:dyDescent="0.3">
      <c r="A5524" s="7">
        <v>400242</v>
      </c>
      <c r="B5524" t="str">
        <f>_xlfn.XLOOKUP(Vendas[[#This Row],[ID Vendedor]],Vendedores[ID],Vendedores[Nome])</f>
        <v>Fernanda</v>
      </c>
      <c r="C5524" s="7" t="str">
        <f>_xlfn.XLOOKUP(Vendas[[#This Row],[ID Vendedor]],Vendedores[ID],Vendedores[Setor])</f>
        <v>FM</v>
      </c>
      <c r="D5524" s="7" t="s">
        <v>20</v>
      </c>
      <c r="E5524" t="str">
        <f>_xlfn.XLOOKUP(Vendas[[#This Row],[ID Item Vendido]],Agregado[ID],Agregado[Produto])</f>
        <v>Barra de aço simples</v>
      </c>
      <c r="F5524" s="39">
        <v>46103</v>
      </c>
      <c r="G5524" s="7">
        <v>40</v>
      </c>
      <c r="H5524" s="3">
        <f>_xlfn.XLOOKUP(Vendas[[#This Row],[ID Item Vendido]],Agregado[ID],Agregado[Revenda])</f>
        <v>4.8</v>
      </c>
      <c r="I5524" s="3">
        <f>Vendas[[#This Row],[Valor Unitário]]*Vendas[[#This Row],[Qnt Vendida]]</f>
        <v>192</v>
      </c>
      <c r="J5524" s="3">
        <f>Vendas[[#This Row],[Valor da Venda]]-(_xlfn.XLOOKUP(Vendas[[#This Row],[ID Item Vendido]],Agregado[ID],Agregado[Custo])*Vendas[[#This Row],[Qnt Vendida]])</f>
        <v>24</v>
      </c>
      <c r="K5524" s="70">
        <f>Vendas[[#This Row],[Lucro da Venda]]/Vendas[[#This Row],[Valor da Venda]]</f>
        <v>0.125</v>
      </c>
      <c r="L5524" s="3">
        <f>_xlfn.IFS(Vendas[[#This Row],[Margem de Lucro (%)]]&lt;15%,Vendas[[#This Row],[Valor da Venda]]*3%,Vendas[[#This Row],[Margem de Lucro (%)]]&lt;=20%,Vendas[[#This Row],[Valor da Venda]]*4.5%,TRUE,Vendas[[#This Row],[Valor da Venda]]*6%)</f>
        <v>5.76</v>
      </c>
      <c r="M5524"/>
    </row>
    <row r="5525" spans="1:13" x14ac:dyDescent="0.3">
      <c r="A5525" s="7">
        <v>400246</v>
      </c>
      <c r="B5525" t="str">
        <f>_xlfn.XLOOKUP(Vendas[[#This Row],[ID Vendedor]],Vendedores[ID],Vendedores[Nome])</f>
        <v>Juliana</v>
      </c>
      <c r="C5525" s="7" t="str">
        <f>_xlfn.XLOOKUP(Vendas[[#This Row],[ID Vendedor]],Vendedores[ID],Vendedores[Setor])</f>
        <v>AHD</v>
      </c>
      <c r="D5525" s="7" t="s">
        <v>9</v>
      </c>
      <c r="E5525" t="str">
        <f>_xlfn.XLOOKUP(Vendas[[#This Row],[ID Item Vendido]],Agregado[ID],Agregado[Produto])</f>
        <v>Barra de aço simples</v>
      </c>
      <c r="F5525" s="39">
        <v>46104</v>
      </c>
      <c r="G5525" s="7">
        <v>81</v>
      </c>
      <c r="H5525" s="3">
        <f>_xlfn.XLOOKUP(Vendas[[#This Row],[ID Item Vendido]],Agregado[ID],Agregado[Revenda])</f>
        <v>6.7</v>
      </c>
      <c r="I5525" s="3">
        <f>Vendas[[#This Row],[Valor Unitário]]*Vendas[[#This Row],[Qnt Vendida]]</f>
        <v>542.70000000000005</v>
      </c>
      <c r="J5525" s="3">
        <f>Vendas[[#This Row],[Valor da Venda]]-(_xlfn.XLOOKUP(Vendas[[#This Row],[ID Item Vendido]],Agregado[ID],Agregado[Custo])*Vendas[[#This Row],[Qnt Vendida]])</f>
        <v>72.900000000000034</v>
      </c>
      <c r="K5525" s="70">
        <f>Vendas[[#This Row],[Lucro da Venda]]/Vendas[[#This Row],[Valor da Venda]]</f>
        <v>0.13432835820895528</v>
      </c>
      <c r="L5525" s="3">
        <f>_xlfn.IFS(Vendas[[#This Row],[Margem de Lucro (%)]]&lt;15%,Vendas[[#This Row],[Valor da Venda]]*3%,Vendas[[#This Row],[Margem de Lucro (%)]]&lt;=20%,Vendas[[#This Row],[Valor da Venda]]*4.5%,TRUE,Vendas[[#This Row],[Valor da Venda]]*6%)</f>
        <v>16.281000000000002</v>
      </c>
      <c r="M5525"/>
    </row>
    <row r="5526" spans="1:13" x14ac:dyDescent="0.3">
      <c r="A5526" s="7">
        <v>400242</v>
      </c>
      <c r="B5526" t="str">
        <f>_xlfn.XLOOKUP(Vendas[[#This Row],[ID Vendedor]],Vendedores[ID],Vendedores[Nome])</f>
        <v>Fernanda</v>
      </c>
      <c r="C5526" s="7" t="str">
        <f>_xlfn.XLOOKUP(Vendas[[#This Row],[ID Vendedor]],Vendedores[ID],Vendedores[Setor])</f>
        <v>FM</v>
      </c>
      <c r="D5526" s="7" t="s">
        <v>31</v>
      </c>
      <c r="E5526" t="str">
        <f>_xlfn.XLOOKUP(Vendas[[#This Row],[ID Item Vendido]],Agregado[ID],Agregado[Produto])</f>
        <v>Tela de metal soldada rolo 2x25m</v>
      </c>
      <c r="F5526" s="39">
        <v>46104</v>
      </c>
      <c r="G5526" s="7">
        <v>3</v>
      </c>
      <c r="H5526" s="3">
        <f>_xlfn.XLOOKUP(Vendas[[#This Row],[ID Item Vendido]],Agregado[ID],Agregado[Revenda])</f>
        <v>43.7</v>
      </c>
      <c r="I5526" s="3">
        <f>Vendas[[#This Row],[Valor Unitário]]*Vendas[[#This Row],[Qnt Vendida]]</f>
        <v>131.10000000000002</v>
      </c>
      <c r="J5526" s="3">
        <f>Vendas[[#This Row],[Valor da Venda]]-(_xlfn.XLOOKUP(Vendas[[#This Row],[ID Item Vendido]],Agregado[ID],Agregado[Custo])*Vendas[[#This Row],[Qnt Vendida]])</f>
        <v>17.100000000000023</v>
      </c>
      <c r="K5526" s="70">
        <f>Vendas[[#This Row],[Lucro da Venda]]/Vendas[[#This Row],[Valor da Venda]]</f>
        <v>0.13043478260869582</v>
      </c>
      <c r="L5526" s="3">
        <f>_xlfn.IFS(Vendas[[#This Row],[Margem de Lucro (%)]]&lt;15%,Vendas[[#This Row],[Valor da Venda]]*3%,Vendas[[#This Row],[Margem de Lucro (%)]]&lt;=20%,Vendas[[#This Row],[Valor da Venda]]*4.5%,TRUE,Vendas[[#This Row],[Valor da Venda]]*6%)</f>
        <v>3.9330000000000007</v>
      </c>
      <c r="M5526"/>
    </row>
    <row r="5527" spans="1:13" x14ac:dyDescent="0.3">
      <c r="A5527" s="7">
        <v>400242</v>
      </c>
      <c r="B5527" t="str">
        <f>_xlfn.XLOOKUP(Vendas[[#This Row],[ID Vendedor]],Vendedores[ID],Vendedores[Nome])</f>
        <v>Fernanda</v>
      </c>
      <c r="C5527" s="7" t="str">
        <f>_xlfn.XLOOKUP(Vendas[[#This Row],[ID Vendedor]],Vendedores[ID],Vendedores[Setor])</f>
        <v>FM</v>
      </c>
      <c r="D5527" s="7" t="s">
        <v>31</v>
      </c>
      <c r="E5527" t="str">
        <f>_xlfn.XLOOKUP(Vendas[[#This Row],[ID Item Vendido]],Agregado[ID],Agregado[Produto])</f>
        <v>Tela de metal soldada rolo 2x25m</v>
      </c>
      <c r="F5527" s="39">
        <v>46105</v>
      </c>
      <c r="G5527" s="7">
        <v>19</v>
      </c>
      <c r="H5527" s="3">
        <f>_xlfn.XLOOKUP(Vendas[[#This Row],[ID Item Vendido]],Agregado[ID],Agregado[Revenda])</f>
        <v>43.7</v>
      </c>
      <c r="I5527" s="3">
        <f>Vendas[[#This Row],[Valor Unitário]]*Vendas[[#This Row],[Qnt Vendida]]</f>
        <v>830.30000000000007</v>
      </c>
      <c r="J5527" s="3">
        <f>Vendas[[#This Row],[Valor da Venda]]-(_xlfn.XLOOKUP(Vendas[[#This Row],[ID Item Vendido]],Agregado[ID],Agregado[Custo])*Vendas[[#This Row],[Qnt Vendida]])</f>
        <v>108.30000000000007</v>
      </c>
      <c r="K5527" s="70">
        <f>Vendas[[#This Row],[Lucro da Venda]]/Vendas[[#This Row],[Valor da Venda]]</f>
        <v>0.13043478260869573</v>
      </c>
      <c r="L5527" s="3">
        <f>_xlfn.IFS(Vendas[[#This Row],[Margem de Lucro (%)]]&lt;15%,Vendas[[#This Row],[Valor da Venda]]*3%,Vendas[[#This Row],[Margem de Lucro (%)]]&lt;=20%,Vendas[[#This Row],[Valor da Venda]]*4.5%,TRUE,Vendas[[#This Row],[Valor da Venda]]*6%)</f>
        <v>24.909000000000002</v>
      </c>
      <c r="M5527"/>
    </row>
    <row r="5528" spans="1:13" x14ac:dyDescent="0.3">
      <c r="A5528" s="7">
        <v>400255</v>
      </c>
      <c r="B5528" t="str">
        <f>_xlfn.XLOOKUP(Vendas[[#This Row],[ID Vendedor]],Vendedores[ID],Vendedores[Nome])</f>
        <v>Carlos</v>
      </c>
      <c r="C5528" s="7" t="str">
        <f>_xlfn.XLOOKUP(Vendas[[#This Row],[ID Vendedor]],Vendedores[ID],Vendedores[Setor])</f>
        <v>SC</v>
      </c>
      <c r="D5528" s="7" t="s">
        <v>42</v>
      </c>
      <c r="E5528" t="str">
        <f>_xlfn.XLOOKUP(Vendas[[#This Row],[ID Item Vendido]],Agregado[ID],Agregado[Produto])</f>
        <v>Container de ferro industrial</v>
      </c>
      <c r="F5528" s="39">
        <v>46105</v>
      </c>
      <c r="G5528" s="7">
        <v>1</v>
      </c>
      <c r="H5528" s="3">
        <f>_xlfn.XLOOKUP(Vendas[[#This Row],[ID Item Vendido]],Agregado[ID],Agregado[Revenda])</f>
        <v>830</v>
      </c>
      <c r="I5528" s="3">
        <f>Vendas[[#This Row],[Valor Unitário]]*Vendas[[#This Row],[Qnt Vendida]]</f>
        <v>830</v>
      </c>
      <c r="J5528" s="3">
        <f>Vendas[[#This Row],[Valor da Venda]]-(_xlfn.XLOOKUP(Vendas[[#This Row],[ID Item Vendido]],Agregado[ID],Agregado[Custo])*Vendas[[#This Row],[Qnt Vendida]])</f>
        <v>150</v>
      </c>
      <c r="K5528" s="70">
        <f>Vendas[[#This Row],[Lucro da Venda]]/Vendas[[#This Row],[Valor da Venda]]</f>
        <v>0.18072289156626506</v>
      </c>
      <c r="L552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528"/>
    </row>
    <row r="5529" spans="1:13" x14ac:dyDescent="0.3">
      <c r="A5529" s="7">
        <v>400254</v>
      </c>
      <c r="B5529" t="str">
        <f>_xlfn.XLOOKUP(Vendas[[#This Row],[ID Vendedor]],Vendedores[ID],Vendedores[Nome])</f>
        <v>Beatriz</v>
      </c>
      <c r="C5529" s="7" t="str">
        <f>_xlfn.XLOOKUP(Vendas[[#This Row],[ID Vendedor]],Vendedores[ID],Vendedores[Setor])</f>
        <v>SC</v>
      </c>
      <c r="D5529" s="7" t="s">
        <v>42</v>
      </c>
      <c r="E5529" t="str">
        <f>_xlfn.XLOOKUP(Vendas[[#This Row],[ID Item Vendido]],Agregado[ID],Agregado[Produto])</f>
        <v>Container de ferro industrial</v>
      </c>
      <c r="F5529" s="39">
        <v>46106</v>
      </c>
      <c r="G5529" s="7">
        <v>6</v>
      </c>
      <c r="H5529" s="3">
        <f>_xlfn.XLOOKUP(Vendas[[#This Row],[ID Item Vendido]],Agregado[ID],Agregado[Revenda])</f>
        <v>830</v>
      </c>
      <c r="I5529" s="3">
        <f>Vendas[[#This Row],[Valor Unitário]]*Vendas[[#This Row],[Qnt Vendida]]</f>
        <v>4980</v>
      </c>
      <c r="J5529" s="3">
        <f>Vendas[[#This Row],[Valor da Venda]]-(_xlfn.XLOOKUP(Vendas[[#This Row],[ID Item Vendido]],Agregado[ID],Agregado[Custo])*Vendas[[#This Row],[Qnt Vendida]])</f>
        <v>900</v>
      </c>
      <c r="K5529" s="70">
        <f>Vendas[[#This Row],[Lucro da Venda]]/Vendas[[#This Row],[Valor da Venda]]</f>
        <v>0.18072289156626506</v>
      </c>
      <c r="L5529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529"/>
    </row>
    <row r="5530" spans="1:13" x14ac:dyDescent="0.3">
      <c r="A5530" s="7">
        <v>400246</v>
      </c>
      <c r="B5530" t="str">
        <f>_xlfn.XLOOKUP(Vendas[[#This Row],[ID Vendedor]],Vendedores[ID],Vendedores[Nome])</f>
        <v>Juliana</v>
      </c>
      <c r="C5530" s="7" t="str">
        <f>_xlfn.XLOOKUP(Vendas[[#This Row],[ID Vendedor]],Vendedores[ID],Vendedores[Setor])</f>
        <v>AHD</v>
      </c>
      <c r="D5530" s="7" t="s">
        <v>28</v>
      </c>
      <c r="E5530" t="str">
        <f>_xlfn.XLOOKUP(Vendas[[#This Row],[ID Item Vendido]],Agregado[ID],Agregado[Produto])</f>
        <v>Peça usinada CNC</v>
      </c>
      <c r="F5530" s="39">
        <v>46106</v>
      </c>
      <c r="G5530" s="7">
        <v>14</v>
      </c>
      <c r="H5530" s="3">
        <f>_xlfn.XLOOKUP(Vendas[[#This Row],[ID Item Vendido]],Agregado[ID],Agregado[Revenda])</f>
        <v>192</v>
      </c>
      <c r="I5530" s="3">
        <f>Vendas[[#This Row],[Valor Unitário]]*Vendas[[#This Row],[Qnt Vendida]]</f>
        <v>2688</v>
      </c>
      <c r="J5530" s="3">
        <f>Vendas[[#This Row],[Valor da Venda]]-(_xlfn.XLOOKUP(Vendas[[#This Row],[ID Item Vendido]],Agregado[ID],Agregado[Custo])*Vendas[[#This Row],[Qnt Vendida]])</f>
        <v>588</v>
      </c>
      <c r="K5530" s="70">
        <f>Vendas[[#This Row],[Lucro da Venda]]/Vendas[[#This Row],[Valor da Venda]]</f>
        <v>0.21875</v>
      </c>
      <c r="L5530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530"/>
    </row>
    <row r="5531" spans="1:13" x14ac:dyDescent="0.3">
      <c r="A5531" s="7">
        <v>400252</v>
      </c>
      <c r="B5531" t="str">
        <f>_xlfn.XLOOKUP(Vendas[[#This Row],[ID Vendedor]],Vendedores[ID],Vendedores[Nome])</f>
        <v>Renata</v>
      </c>
      <c r="C5531" s="7" t="str">
        <f>_xlfn.XLOOKUP(Vendas[[#This Row],[ID Vendedor]],Vendedores[ID],Vendedores[Setor])</f>
        <v>AB</v>
      </c>
      <c r="D5531" s="7" t="s">
        <v>37</v>
      </c>
      <c r="E5531" t="str">
        <f>_xlfn.XLOOKUP(Vendas[[#This Row],[ID Item Vendido]],Agregado[ID],Agregado[Produto])</f>
        <v>Composto de borracha para vedação rolo 10m</v>
      </c>
      <c r="F5531" s="39">
        <v>46106</v>
      </c>
      <c r="G5531" s="7">
        <v>23</v>
      </c>
      <c r="H5531" s="3">
        <f>_xlfn.XLOOKUP(Vendas[[#This Row],[ID Item Vendido]],Agregado[ID],Agregado[Revenda])</f>
        <v>51.2</v>
      </c>
      <c r="I5531" s="3">
        <f>Vendas[[#This Row],[Valor Unitário]]*Vendas[[#This Row],[Qnt Vendida]]</f>
        <v>1177.6000000000001</v>
      </c>
      <c r="J5531" s="3">
        <f>Vendas[[#This Row],[Valor da Venda]]-(_xlfn.XLOOKUP(Vendas[[#This Row],[ID Item Vendido]],Agregado[ID],Agregado[Custo])*Vendas[[#This Row],[Qnt Vendida]])</f>
        <v>257.60000000000014</v>
      </c>
      <c r="K5531" s="70">
        <f>Vendas[[#This Row],[Lucro da Venda]]/Vendas[[#This Row],[Valor da Venda]]</f>
        <v>0.21875000000000008</v>
      </c>
      <c r="L5531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531"/>
    </row>
    <row r="5532" spans="1:13" x14ac:dyDescent="0.3">
      <c r="A5532" s="7">
        <v>400248</v>
      </c>
      <c r="B5532" t="str">
        <f>_xlfn.XLOOKUP(Vendas[[#This Row],[ID Vendedor]],Vendedores[ID],Vendedores[Nome])</f>
        <v>Patrícia</v>
      </c>
      <c r="C5532" s="7" t="str">
        <f>_xlfn.XLOOKUP(Vendas[[#This Row],[ID Vendedor]],Vendedores[ID],Vendedores[Setor])</f>
        <v>CM</v>
      </c>
      <c r="D5532" s="7" t="s">
        <v>34</v>
      </c>
      <c r="E5532" t="str">
        <f>_xlfn.XLOOKUP(Vendas[[#This Row],[ID Item Vendido]],Agregado[ID],Agregado[Produto])</f>
        <v>Restos de madeira p/ MDP/OSB saco de 20kg</v>
      </c>
      <c r="F5532" s="39">
        <v>46107</v>
      </c>
      <c r="G5532" s="7">
        <v>12</v>
      </c>
      <c r="H5532" s="3">
        <f>_xlfn.XLOOKUP(Vendas[[#This Row],[ID Item Vendido]],Agregado[ID],Agregado[Revenda])</f>
        <v>13.8</v>
      </c>
      <c r="I5532" s="3">
        <f>Vendas[[#This Row],[Valor Unitário]]*Vendas[[#This Row],[Qnt Vendida]]</f>
        <v>165.60000000000002</v>
      </c>
      <c r="J5532" s="3">
        <f>Vendas[[#This Row],[Valor da Venda]]-(_xlfn.XLOOKUP(Vendas[[#This Row],[ID Item Vendido]],Agregado[ID],Agregado[Custo])*Vendas[[#This Row],[Qnt Vendida]])</f>
        <v>21.600000000000023</v>
      </c>
      <c r="K5532" s="70">
        <f>Vendas[[#This Row],[Lucro da Venda]]/Vendas[[#This Row],[Valor da Venda]]</f>
        <v>0.13043478260869576</v>
      </c>
      <c r="L5532" s="3">
        <f>_xlfn.IFS(Vendas[[#This Row],[Margem de Lucro (%)]]&lt;15%,Vendas[[#This Row],[Valor da Venda]]*3%,Vendas[[#This Row],[Margem de Lucro (%)]]&lt;=20%,Vendas[[#This Row],[Valor da Venda]]*4.5%,TRUE,Vendas[[#This Row],[Valor da Venda]]*6%)</f>
        <v>4.9680000000000009</v>
      </c>
      <c r="M5532"/>
    </row>
    <row r="5533" spans="1:13" x14ac:dyDescent="0.3">
      <c r="A5533" s="7">
        <v>400250</v>
      </c>
      <c r="B5533" t="str">
        <f>_xlfn.XLOOKUP(Vendas[[#This Row],[ID Vendedor]],Vendedores[ID],Vendedores[Nome])</f>
        <v>Larissa</v>
      </c>
      <c r="C5533" s="7" t="str">
        <f>_xlfn.XLOOKUP(Vendas[[#This Row],[ID Vendedor]],Vendedores[ID],Vendedores[Setor])</f>
        <v>AB</v>
      </c>
      <c r="D5533" s="7" t="s">
        <v>24</v>
      </c>
      <c r="E5533" t="str">
        <f>_xlfn.XLOOKUP(Vendas[[#This Row],[ID Item Vendido]],Agregado[ID],Agregado[Produto])</f>
        <v>Resina plástica PET purificada saco de 25kg</v>
      </c>
      <c r="F5533" s="39">
        <v>46108</v>
      </c>
      <c r="G5533" s="7">
        <v>23</v>
      </c>
      <c r="H5533" s="3">
        <f>_xlfn.XLOOKUP(Vendas[[#This Row],[ID Item Vendido]],Agregado[ID],Agregado[Revenda])</f>
        <v>119</v>
      </c>
      <c r="I5533" s="3">
        <f>Vendas[[#This Row],[Valor Unitário]]*Vendas[[#This Row],[Qnt Vendida]]</f>
        <v>2737</v>
      </c>
      <c r="J5533" s="3">
        <f>Vendas[[#This Row],[Valor da Venda]]-(_xlfn.XLOOKUP(Vendas[[#This Row],[ID Item Vendido]],Agregado[ID],Agregado[Custo])*Vendas[[#This Row],[Qnt Vendida]])</f>
        <v>782</v>
      </c>
      <c r="K5533" s="70">
        <f>Vendas[[#This Row],[Lucro da Venda]]/Vendas[[#This Row],[Valor da Venda]]</f>
        <v>0.2857142857142857</v>
      </c>
      <c r="L5533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533"/>
    </row>
    <row r="5534" spans="1:13" x14ac:dyDescent="0.3">
      <c r="A5534" s="7">
        <v>400244</v>
      </c>
      <c r="B5534" t="str">
        <f>_xlfn.XLOOKUP(Vendas[[#This Row],[ID Vendedor]],Vendedores[ID],Vendedores[Nome])</f>
        <v>Camila</v>
      </c>
      <c r="C5534" s="7" t="str">
        <f>_xlfn.XLOOKUP(Vendas[[#This Row],[ID Vendedor]],Vendedores[ID],Vendedores[Setor])</f>
        <v>AHD</v>
      </c>
      <c r="D5534" s="7" t="s">
        <v>28</v>
      </c>
      <c r="E5534" t="str">
        <f>_xlfn.XLOOKUP(Vendas[[#This Row],[ID Item Vendido]],Agregado[ID],Agregado[Produto])</f>
        <v>Peça usinada CNC</v>
      </c>
      <c r="F5534" s="39">
        <v>46108</v>
      </c>
      <c r="G5534" s="7">
        <v>10</v>
      </c>
      <c r="H5534" s="3">
        <f>_xlfn.XLOOKUP(Vendas[[#This Row],[ID Item Vendido]],Agregado[ID],Agregado[Revenda])</f>
        <v>192</v>
      </c>
      <c r="I5534" s="3">
        <f>Vendas[[#This Row],[Valor Unitário]]*Vendas[[#This Row],[Qnt Vendida]]</f>
        <v>1920</v>
      </c>
      <c r="J5534" s="3">
        <f>Vendas[[#This Row],[Valor da Venda]]-(_xlfn.XLOOKUP(Vendas[[#This Row],[ID Item Vendido]],Agregado[ID],Agregado[Custo])*Vendas[[#This Row],[Qnt Vendida]])</f>
        <v>420</v>
      </c>
      <c r="K5534" s="70">
        <f>Vendas[[#This Row],[Lucro da Venda]]/Vendas[[#This Row],[Valor da Venda]]</f>
        <v>0.21875</v>
      </c>
      <c r="L5534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5534"/>
    </row>
    <row r="5535" spans="1:13" x14ac:dyDescent="0.3">
      <c r="A5535" s="7">
        <v>400245</v>
      </c>
      <c r="B5535" t="str">
        <f>_xlfn.XLOOKUP(Vendas[[#This Row],[ID Vendedor]],Vendedores[ID],Vendedores[Nome])</f>
        <v>Thiago</v>
      </c>
      <c r="C5535" s="7" t="str">
        <f>_xlfn.XLOOKUP(Vendas[[#This Row],[ID Vendedor]],Vendedores[ID],Vendedores[Setor])</f>
        <v>AHD</v>
      </c>
      <c r="D5535" s="7" t="s">
        <v>44</v>
      </c>
      <c r="E5535" t="str">
        <f>_xlfn.XLOOKUP(Vendas[[#This Row],[ID Item Vendido]],Agregado[ID],Agregado[Produto])</f>
        <v>Liga metálica especial</v>
      </c>
      <c r="F5535" s="39">
        <v>46108</v>
      </c>
      <c r="G5535" s="7">
        <v>18</v>
      </c>
      <c r="H5535" s="3">
        <f>_xlfn.XLOOKUP(Vendas[[#This Row],[ID Item Vendido]],Agregado[ID],Agregado[Revenda])</f>
        <v>32.5</v>
      </c>
      <c r="I5535" s="3">
        <f>Vendas[[#This Row],[Valor Unitário]]*Vendas[[#This Row],[Qnt Vendida]]</f>
        <v>585</v>
      </c>
      <c r="J5535" s="3">
        <f>Vendas[[#This Row],[Valor da Venda]]-(_xlfn.XLOOKUP(Vendas[[#This Row],[ID Item Vendido]],Agregado[ID],Agregado[Custo])*Vendas[[#This Row],[Qnt Vendida]])</f>
        <v>135</v>
      </c>
      <c r="K5535" s="70">
        <f>Vendas[[#This Row],[Lucro da Venda]]/Vendas[[#This Row],[Valor da Venda]]</f>
        <v>0.23076923076923078</v>
      </c>
      <c r="L5535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535"/>
    </row>
    <row r="5536" spans="1:13" x14ac:dyDescent="0.3">
      <c r="A5536" s="7">
        <v>400246</v>
      </c>
      <c r="B5536" t="str">
        <f>_xlfn.XLOOKUP(Vendas[[#This Row],[ID Vendedor]],Vendedores[ID],Vendedores[Nome])</f>
        <v>Juliana</v>
      </c>
      <c r="C5536" s="7" t="str">
        <f>_xlfn.XLOOKUP(Vendas[[#This Row],[ID Vendedor]],Vendedores[ID],Vendedores[Setor])</f>
        <v>AHD</v>
      </c>
      <c r="D5536" s="7" t="s">
        <v>44</v>
      </c>
      <c r="E5536" t="str">
        <f>_xlfn.XLOOKUP(Vendas[[#This Row],[ID Item Vendido]],Agregado[ID],Agregado[Produto])</f>
        <v>Liga metálica especial</v>
      </c>
      <c r="F5536" s="39">
        <v>46109</v>
      </c>
      <c r="G5536" s="7">
        <v>29</v>
      </c>
      <c r="H5536" s="3">
        <f>_xlfn.XLOOKUP(Vendas[[#This Row],[ID Item Vendido]],Agregado[ID],Agregado[Revenda])</f>
        <v>32.5</v>
      </c>
      <c r="I5536" s="3">
        <f>Vendas[[#This Row],[Valor Unitário]]*Vendas[[#This Row],[Qnt Vendida]]</f>
        <v>942.5</v>
      </c>
      <c r="J5536" s="3">
        <f>Vendas[[#This Row],[Valor da Venda]]-(_xlfn.XLOOKUP(Vendas[[#This Row],[ID Item Vendido]],Agregado[ID],Agregado[Custo])*Vendas[[#This Row],[Qnt Vendida]])</f>
        <v>217.5</v>
      </c>
      <c r="K5536" s="70">
        <f>Vendas[[#This Row],[Lucro da Venda]]/Vendas[[#This Row],[Valor da Venda]]</f>
        <v>0.23076923076923078</v>
      </c>
      <c r="L5536" s="3">
        <f>_xlfn.IFS(Vendas[[#This Row],[Margem de Lucro (%)]]&lt;15%,Vendas[[#This Row],[Valor da Venda]]*3%,Vendas[[#This Row],[Margem de Lucro (%)]]&lt;=20%,Vendas[[#This Row],[Valor da Venda]]*4.5%,TRUE,Vendas[[#This Row],[Valor da Venda]]*6%)</f>
        <v>56.55</v>
      </c>
      <c r="M5536"/>
    </row>
    <row r="5537" spans="1:13" x14ac:dyDescent="0.3">
      <c r="A5537" s="7">
        <v>400251</v>
      </c>
      <c r="B5537" t="str">
        <f>_xlfn.XLOOKUP(Vendas[[#This Row],[ID Vendedor]],Vendedores[ID],Vendedores[Nome])</f>
        <v>Diego</v>
      </c>
      <c r="C5537" s="7" t="str">
        <f>_xlfn.XLOOKUP(Vendas[[#This Row],[ID Vendedor]],Vendedores[ID],Vendedores[Setor])</f>
        <v>AB</v>
      </c>
      <c r="D5537" s="7" t="s">
        <v>37</v>
      </c>
      <c r="E5537" t="str">
        <f>_xlfn.XLOOKUP(Vendas[[#This Row],[ID Item Vendido]],Agregado[ID],Agregado[Produto])</f>
        <v>Composto de borracha para vedação rolo 10m</v>
      </c>
      <c r="F5537" s="39">
        <v>46109</v>
      </c>
      <c r="G5537" s="7">
        <v>5</v>
      </c>
      <c r="H5537" s="3">
        <f>_xlfn.XLOOKUP(Vendas[[#This Row],[ID Item Vendido]],Agregado[ID],Agregado[Revenda])</f>
        <v>51.2</v>
      </c>
      <c r="I5537" s="3">
        <f>Vendas[[#This Row],[Valor Unitário]]*Vendas[[#This Row],[Qnt Vendida]]</f>
        <v>256</v>
      </c>
      <c r="J5537" s="3">
        <f>Vendas[[#This Row],[Valor da Venda]]-(_xlfn.XLOOKUP(Vendas[[#This Row],[ID Item Vendido]],Agregado[ID],Agregado[Custo])*Vendas[[#This Row],[Qnt Vendida]])</f>
        <v>56</v>
      </c>
      <c r="K5537" s="70">
        <f>Vendas[[#This Row],[Lucro da Venda]]/Vendas[[#This Row],[Valor da Venda]]</f>
        <v>0.21875</v>
      </c>
      <c r="L5537" s="3">
        <f>_xlfn.IFS(Vendas[[#This Row],[Margem de Lucro (%)]]&lt;15%,Vendas[[#This Row],[Valor da Venda]]*3%,Vendas[[#This Row],[Margem de Lucro (%)]]&lt;=20%,Vendas[[#This Row],[Valor da Venda]]*4.5%,TRUE,Vendas[[#This Row],[Valor da Venda]]*6%)</f>
        <v>15.36</v>
      </c>
      <c r="M5537"/>
    </row>
    <row r="5538" spans="1:13" x14ac:dyDescent="0.3">
      <c r="A5538" s="7">
        <v>400252</v>
      </c>
      <c r="B5538" t="str">
        <f>_xlfn.XLOOKUP(Vendas[[#This Row],[ID Vendedor]],Vendedores[ID],Vendedores[Nome])</f>
        <v>Renata</v>
      </c>
      <c r="C5538" s="7" t="str">
        <f>_xlfn.XLOOKUP(Vendas[[#This Row],[ID Vendedor]],Vendedores[ID],Vendedores[Setor])</f>
        <v>AB</v>
      </c>
      <c r="D5538" s="7" t="s">
        <v>24</v>
      </c>
      <c r="E5538" t="str">
        <f>_xlfn.XLOOKUP(Vendas[[#This Row],[ID Item Vendido]],Agregado[ID],Agregado[Produto])</f>
        <v>Resina plástica PET purificada saco de 25kg</v>
      </c>
      <c r="F5538" s="39">
        <v>46110</v>
      </c>
      <c r="G5538" s="7">
        <v>18</v>
      </c>
      <c r="H5538" s="3">
        <f>_xlfn.XLOOKUP(Vendas[[#This Row],[ID Item Vendido]],Agregado[ID],Agregado[Revenda])</f>
        <v>119</v>
      </c>
      <c r="I5538" s="3">
        <f>Vendas[[#This Row],[Valor Unitário]]*Vendas[[#This Row],[Qnt Vendida]]</f>
        <v>2142</v>
      </c>
      <c r="J5538" s="3">
        <f>Vendas[[#This Row],[Valor da Venda]]-(_xlfn.XLOOKUP(Vendas[[#This Row],[ID Item Vendido]],Agregado[ID],Agregado[Custo])*Vendas[[#This Row],[Qnt Vendida]])</f>
        <v>612</v>
      </c>
      <c r="K5538" s="70">
        <f>Vendas[[#This Row],[Lucro da Venda]]/Vendas[[#This Row],[Valor da Venda]]</f>
        <v>0.2857142857142857</v>
      </c>
      <c r="L5538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5538"/>
    </row>
    <row r="5539" spans="1:13" x14ac:dyDescent="0.3">
      <c r="A5539" s="7">
        <v>400244</v>
      </c>
      <c r="B5539" t="str">
        <f>_xlfn.XLOOKUP(Vendas[[#This Row],[ID Vendedor]],Vendedores[ID],Vendedores[Nome])</f>
        <v>Camila</v>
      </c>
      <c r="C5539" s="7" t="str">
        <f>_xlfn.XLOOKUP(Vendas[[#This Row],[ID Vendedor]],Vendedores[ID],Vendedores[Setor])</f>
        <v>AHD</v>
      </c>
      <c r="D5539" s="7" t="s">
        <v>44</v>
      </c>
      <c r="E5539" t="str">
        <f>_xlfn.XLOOKUP(Vendas[[#This Row],[ID Item Vendido]],Agregado[ID],Agregado[Produto])</f>
        <v>Liga metálica especial</v>
      </c>
      <c r="F5539" s="39">
        <v>46110</v>
      </c>
      <c r="G5539" s="7">
        <v>32</v>
      </c>
      <c r="H5539" s="3">
        <f>_xlfn.XLOOKUP(Vendas[[#This Row],[ID Item Vendido]],Agregado[ID],Agregado[Revenda])</f>
        <v>32.5</v>
      </c>
      <c r="I5539" s="3">
        <f>Vendas[[#This Row],[Valor Unitário]]*Vendas[[#This Row],[Qnt Vendida]]</f>
        <v>1040</v>
      </c>
      <c r="J5539" s="3">
        <f>Vendas[[#This Row],[Valor da Venda]]-(_xlfn.XLOOKUP(Vendas[[#This Row],[ID Item Vendido]],Agregado[ID],Agregado[Custo])*Vendas[[#This Row],[Qnt Vendida]])</f>
        <v>240</v>
      </c>
      <c r="K5539" s="70">
        <f>Vendas[[#This Row],[Lucro da Venda]]/Vendas[[#This Row],[Valor da Venda]]</f>
        <v>0.23076923076923078</v>
      </c>
      <c r="L5539" s="3">
        <f>_xlfn.IFS(Vendas[[#This Row],[Margem de Lucro (%)]]&lt;15%,Vendas[[#This Row],[Valor da Venda]]*3%,Vendas[[#This Row],[Margem de Lucro (%)]]&lt;=20%,Vendas[[#This Row],[Valor da Venda]]*4.5%,TRUE,Vendas[[#This Row],[Valor da Venda]]*6%)</f>
        <v>62.4</v>
      </c>
      <c r="M5539"/>
    </row>
    <row r="5540" spans="1:13" x14ac:dyDescent="0.3">
      <c r="A5540" s="7">
        <v>400247</v>
      </c>
      <c r="B5540" t="str">
        <f>_xlfn.XLOOKUP(Vendas[[#This Row],[ID Vendedor]],Vendedores[ID],Vendedores[Nome])</f>
        <v>André</v>
      </c>
      <c r="C5540" s="7" t="str">
        <f>_xlfn.XLOOKUP(Vendas[[#This Row],[ID Vendedor]],Vendedores[ID],Vendedores[Setor])</f>
        <v>CM</v>
      </c>
      <c r="D5540" s="7" t="s">
        <v>45</v>
      </c>
      <c r="E5540" t="str">
        <f>_xlfn.XLOOKUP(Vendas[[#This Row],[ID Item Vendido]],Agregado[ID],Agregado[Produto])</f>
        <v>Viga de madeira tratada 4m</v>
      </c>
      <c r="F5540" s="39">
        <v>46110</v>
      </c>
      <c r="G5540" s="7">
        <v>14</v>
      </c>
      <c r="H5540" s="3">
        <f>_xlfn.XLOOKUP(Vendas[[#This Row],[ID Item Vendido]],Agregado[ID],Agregado[Revenda])</f>
        <v>66</v>
      </c>
      <c r="I5540" s="3">
        <f>Vendas[[#This Row],[Valor Unitário]]*Vendas[[#This Row],[Qnt Vendida]]</f>
        <v>924</v>
      </c>
      <c r="J5540" s="3">
        <f>Vendas[[#This Row],[Valor da Venda]]-(_xlfn.XLOOKUP(Vendas[[#This Row],[ID Item Vendido]],Agregado[ID],Agregado[Custo])*Vendas[[#This Row],[Qnt Vendida]])</f>
        <v>154</v>
      </c>
      <c r="K5540" s="70">
        <f>Vendas[[#This Row],[Lucro da Venda]]/Vendas[[#This Row],[Valor da Venda]]</f>
        <v>0.16666666666666666</v>
      </c>
      <c r="L5540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5540"/>
    </row>
    <row r="5541" spans="1:13" x14ac:dyDescent="0.3">
      <c r="A5541" s="7">
        <v>400246</v>
      </c>
      <c r="B5541" t="str">
        <f>_xlfn.XLOOKUP(Vendas[[#This Row],[ID Vendedor]],Vendedores[ID],Vendedores[Nome])</f>
        <v>Juliana</v>
      </c>
      <c r="C5541" s="7" t="str">
        <f>_xlfn.XLOOKUP(Vendas[[#This Row],[ID Vendedor]],Vendedores[ID],Vendedores[Setor])</f>
        <v>AHD</v>
      </c>
      <c r="D5541" s="7" t="s">
        <v>18</v>
      </c>
      <c r="E5541" t="str">
        <f>_xlfn.XLOOKUP(Vendas[[#This Row],[ID Item Vendido]],Agregado[ID],Agregado[Produto])</f>
        <v>Peça forjada sob encomenda</v>
      </c>
      <c r="F5541" s="39">
        <v>46112</v>
      </c>
      <c r="G5541" s="7">
        <v>4</v>
      </c>
      <c r="H5541" s="3">
        <f>_xlfn.XLOOKUP(Vendas[[#This Row],[ID Item Vendido]],Agregado[ID],Agregado[Revenda])</f>
        <v>264.60000000000002</v>
      </c>
      <c r="I5541" s="3">
        <f>Vendas[[#This Row],[Valor Unitário]]*Vendas[[#This Row],[Qnt Vendida]]</f>
        <v>1058.4000000000001</v>
      </c>
      <c r="J5541" s="3">
        <f>Vendas[[#This Row],[Valor da Venda]]-(_xlfn.XLOOKUP(Vendas[[#This Row],[ID Item Vendido]],Agregado[ID],Agregado[Custo])*Vendas[[#This Row],[Qnt Vendida]])</f>
        <v>58.400000000000091</v>
      </c>
      <c r="K5541" s="70">
        <f>Vendas[[#This Row],[Lucro da Venda]]/Vendas[[#This Row],[Valor da Venda]]</f>
        <v>5.5177626606198113E-2</v>
      </c>
      <c r="L554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541"/>
    </row>
    <row r="5542" spans="1:13" x14ac:dyDescent="0.3">
      <c r="A5542" s="7">
        <v>400252</v>
      </c>
      <c r="B5542" t="str">
        <f>_xlfn.XLOOKUP(Vendas[[#This Row],[ID Vendedor]],Vendedores[ID],Vendedores[Nome])</f>
        <v>Renata</v>
      </c>
      <c r="C5542" s="7" t="str">
        <f>_xlfn.XLOOKUP(Vendas[[#This Row],[ID Vendedor]],Vendedores[ID],Vendedores[Setor])</f>
        <v>AB</v>
      </c>
      <c r="D5542" s="7" t="s">
        <v>39</v>
      </c>
      <c r="E5542" t="str">
        <f>_xlfn.XLOOKUP(Vendas[[#This Row],[ID Item Vendido]],Agregado[ID],Agregado[Produto])</f>
        <v>Filme plástico industrial rolo 50m</v>
      </c>
      <c r="F5542" s="39">
        <v>46113</v>
      </c>
      <c r="G5542" s="7">
        <v>16</v>
      </c>
      <c r="H5542" s="3">
        <f>_xlfn.XLOOKUP(Vendas[[#This Row],[ID Item Vendido]],Agregado[ID],Agregado[Revenda])</f>
        <v>37</v>
      </c>
      <c r="I5542" s="3">
        <f>Vendas[[#This Row],[Valor Unitário]]*Vendas[[#This Row],[Qnt Vendida]]</f>
        <v>592</v>
      </c>
      <c r="J5542" s="3">
        <f>Vendas[[#This Row],[Valor da Venda]]-(_xlfn.XLOOKUP(Vendas[[#This Row],[ID Item Vendido]],Agregado[ID],Agregado[Custo])*Vendas[[#This Row],[Qnt Vendida]])</f>
        <v>144</v>
      </c>
      <c r="K5542" s="70">
        <f>Vendas[[#This Row],[Lucro da Venda]]/Vendas[[#This Row],[Valor da Venda]]</f>
        <v>0.24324324324324326</v>
      </c>
      <c r="L5542" s="3">
        <f>_xlfn.IFS(Vendas[[#This Row],[Margem de Lucro (%)]]&lt;15%,Vendas[[#This Row],[Valor da Venda]]*3%,Vendas[[#This Row],[Margem de Lucro (%)]]&lt;=20%,Vendas[[#This Row],[Valor da Venda]]*4.5%,TRUE,Vendas[[#This Row],[Valor da Venda]]*6%)</f>
        <v>35.519999999999996</v>
      </c>
      <c r="M5542"/>
    </row>
    <row r="5543" spans="1:13" x14ac:dyDescent="0.3">
      <c r="A5543" s="7">
        <v>400250</v>
      </c>
      <c r="B5543" t="str">
        <f>_xlfn.XLOOKUP(Vendas[[#This Row],[ID Vendedor]],Vendedores[ID],Vendedores[Nome])</f>
        <v>Larissa</v>
      </c>
      <c r="C5543" s="7" t="str">
        <f>_xlfn.XLOOKUP(Vendas[[#This Row],[ID Vendedor]],Vendedores[ID],Vendedores[Setor])</f>
        <v>AB</v>
      </c>
      <c r="D5543" s="7" t="s">
        <v>12</v>
      </c>
      <c r="E5543" t="str">
        <f>_xlfn.XLOOKUP(Vendas[[#This Row],[ID Item Vendido]],Agregado[ID],Agregado[Produto])</f>
        <v>Grânulo de plástico reciclado refinado</v>
      </c>
      <c r="F5543" s="39">
        <v>46113</v>
      </c>
      <c r="G5543" s="7">
        <v>94</v>
      </c>
      <c r="H5543" s="3">
        <f>_xlfn.XLOOKUP(Vendas[[#This Row],[ID Item Vendido]],Agregado[ID],Agregado[Revenda])</f>
        <v>4.7</v>
      </c>
      <c r="I5543" s="3">
        <f>Vendas[[#This Row],[Valor Unitário]]*Vendas[[#This Row],[Qnt Vendida]]</f>
        <v>441.8</v>
      </c>
      <c r="J5543" s="3">
        <f>Vendas[[#This Row],[Valor da Venda]]-(_xlfn.XLOOKUP(Vendas[[#This Row],[ID Item Vendido]],Agregado[ID],Agregado[Custo])*Vendas[[#This Row],[Qnt Vendida]])</f>
        <v>112.80000000000001</v>
      </c>
      <c r="K5543" s="70">
        <f>Vendas[[#This Row],[Lucro da Venda]]/Vendas[[#This Row],[Valor da Venda]]</f>
        <v>0.25531914893617025</v>
      </c>
      <c r="L5543" s="3">
        <f>_xlfn.IFS(Vendas[[#This Row],[Margem de Lucro (%)]]&lt;15%,Vendas[[#This Row],[Valor da Venda]]*3%,Vendas[[#This Row],[Margem de Lucro (%)]]&lt;=20%,Vendas[[#This Row],[Valor da Venda]]*4.5%,TRUE,Vendas[[#This Row],[Valor da Venda]]*6%)</f>
        <v>26.507999999999999</v>
      </c>
      <c r="M5543"/>
    </row>
    <row r="5544" spans="1:13" x14ac:dyDescent="0.3">
      <c r="A5544" s="7">
        <v>400246</v>
      </c>
      <c r="B5544" t="str">
        <f>_xlfn.XLOOKUP(Vendas[[#This Row],[ID Vendedor]],Vendedores[ID],Vendedores[Nome])</f>
        <v>Juliana</v>
      </c>
      <c r="C5544" s="7" t="str">
        <f>_xlfn.XLOOKUP(Vendas[[#This Row],[ID Vendedor]],Vendedores[ID],Vendedores[Setor])</f>
        <v>AHD</v>
      </c>
      <c r="D5544" s="7" t="s">
        <v>30</v>
      </c>
      <c r="E5544" t="str">
        <f>_xlfn.XLOOKUP(Vendas[[#This Row],[ID Item Vendido]],Agregado[ID],Agregado[Produto])</f>
        <v>Estrutura metálica soldada</v>
      </c>
      <c r="F5544" s="39">
        <v>46113</v>
      </c>
      <c r="G5544" s="7">
        <v>1</v>
      </c>
      <c r="H5544" s="3">
        <f>_xlfn.XLOOKUP(Vendas[[#This Row],[ID Item Vendido]],Agregado[ID],Agregado[Revenda])</f>
        <v>400</v>
      </c>
      <c r="I5544" s="3">
        <f>Vendas[[#This Row],[Valor Unitário]]*Vendas[[#This Row],[Qnt Vendida]]</f>
        <v>400</v>
      </c>
      <c r="J5544" s="3">
        <f>Vendas[[#This Row],[Valor da Venda]]-(_xlfn.XLOOKUP(Vendas[[#This Row],[ID Item Vendido]],Agregado[ID],Agregado[Custo])*Vendas[[#This Row],[Qnt Vendida]])</f>
        <v>80</v>
      </c>
      <c r="K5544" s="70">
        <f>Vendas[[#This Row],[Lucro da Venda]]/Vendas[[#This Row],[Valor da Venda]]</f>
        <v>0.2</v>
      </c>
      <c r="L5544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5544"/>
    </row>
    <row r="5545" spans="1:13" x14ac:dyDescent="0.3">
      <c r="A5545" s="7">
        <v>400254</v>
      </c>
      <c r="B5545" t="str">
        <f>_xlfn.XLOOKUP(Vendas[[#This Row],[ID Vendedor]],Vendedores[ID],Vendedores[Nome])</f>
        <v>Beatriz</v>
      </c>
      <c r="C5545" s="7" t="str">
        <f>_xlfn.XLOOKUP(Vendas[[#This Row],[ID Vendedor]],Vendedores[ID],Vendedores[Setor])</f>
        <v>SC</v>
      </c>
      <c r="D5545" s="7" t="s">
        <v>42</v>
      </c>
      <c r="E5545" t="str">
        <f>_xlfn.XLOOKUP(Vendas[[#This Row],[ID Item Vendido]],Agregado[ID],Agregado[Produto])</f>
        <v>Container de ferro industrial</v>
      </c>
      <c r="F5545" s="39">
        <v>46114</v>
      </c>
      <c r="G5545" s="7">
        <v>6</v>
      </c>
      <c r="H5545" s="3">
        <f>_xlfn.XLOOKUP(Vendas[[#This Row],[ID Item Vendido]],Agregado[ID],Agregado[Revenda])</f>
        <v>830</v>
      </c>
      <c r="I5545" s="3">
        <f>Vendas[[#This Row],[Valor Unitário]]*Vendas[[#This Row],[Qnt Vendida]]</f>
        <v>4980</v>
      </c>
      <c r="J5545" s="3">
        <f>Vendas[[#This Row],[Valor da Venda]]-(_xlfn.XLOOKUP(Vendas[[#This Row],[ID Item Vendido]],Agregado[ID],Agregado[Custo])*Vendas[[#This Row],[Qnt Vendida]])</f>
        <v>900</v>
      </c>
      <c r="K5545" s="70">
        <f>Vendas[[#This Row],[Lucro da Venda]]/Vendas[[#This Row],[Valor da Venda]]</f>
        <v>0.18072289156626506</v>
      </c>
      <c r="L5545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545"/>
    </row>
    <row r="5546" spans="1:13" x14ac:dyDescent="0.3">
      <c r="A5546" s="7">
        <v>400242</v>
      </c>
      <c r="B5546" t="str">
        <f>_xlfn.XLOOKUP(Vendas[[#This Row],[ID Vendedor]],Vendedores[ID],Vendedores[Nome])</f>
        <v>Fernanda</v>
      </c>
      <c r="C5546" s="7" t="str">
        <f>_xlfn.XLOOKUP(Vendas[[#This Row],[ID Vendedor]],Vendedores[ID],Vendedores[Setor])</f>
        <v>FM</v>
      </c>
      <c r="D5546" s="7" t="s">
        <v>31</v>
      </c>
      <c r="E5546" t="str">
        <f>_xlfn.XLOOKUP(Vendas[[#This Row],[ID Item Vendido]],Agregado[ID],Agregado[Produto])</f>
        <v>Tela de metal soldada rolo 2x25m</v>
      </c>
      <c r="F5546" s="39">
        <v>46114</v>
      </c>
      <c r="G5546" s="7">
        <v>17</v>
      </c>
      <c r="H5546" s="3">
        <f>_xlfn.XLOOKUP(Vendas[[#This Row],[ID Item Vendido]],Agregado[ID],Agregado[Revenda])</f>
        <v>43.7</v>
      </c>
      <c r="I5546" s="3">
        <f>Vendas[[#This Row],[Valor Unitário]]*Vendas[[#This Row],[Qnt Vendida]]</f>
        <v>742.90000000000009</v>
      </c>
      <c r="J5546" s="3">
        <f>Vendas[[#This Row],[Valor da Venda]]-(_xlfn.XLOOKUP(Vendas[[#This Row],[ID Item Vendido]],Agregado[ID],Agregado[Custo])*Vendas[[#This Row],[Qnt Vendida]])</f>
        <v>96.900000000000091</v>
      </c>
      <c r="K5546" s="70">
        <f>Vendas[[#This Row],[Lucro da Venda]]/Vendas[[#This Row],[Valor da Venda]]</f>
        <v>0.13043478260869576</v>
      </c>
      <c r="L5546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5546"/>
    </row>
    <row r="5547" spans="1:13" x14ac:dyDescent="0.3">
      <c r="A5547" s="7">
        <v>400248</v>
      </c>
      <c r="B5547" t="str">
        <f>_xlfn.XLOOKUP(Vendas[[#This Row],[ID Vendedor]],Vendedores[ID],Vendedores[Nome])</f>
        <v>Patrícia</v>
      </c>
      <c r="C5547" s="7" t="str">
        <f>_xlfn.XLOOKUP(Vendas[[#This Row],[ID Vendedor]],Vendedores[ID],Vendedores[Setor])</f>
        <v>CM</v>
      </c>
      <c r="D5547" s="7" t="s">
        <v>43</v>
      </c>
      <c r="E5547" t="str">
        <f>_xlfn.XLOOKUP(Vendas[[#This Row],[ID Item Vendido]],Agregado[ID],Agregado[Produto])</f>
        <v>Madeira Bruta (Tora)</v>
      </c>
      <c r="F5547" s="39">
        <v>46114</v>
      </c>
      <c r="G5547" s="7">
        <v>2</v>
      </c>
      <c r="H5547" s="3">
        <f>_xlfn.XLOOKUP(Vendas[[#This Row],[ID Item Vendido]],Agregado[ID],Agregado[Revenda])</f>
        <v>212</v>
      </c>
      <c r="I5547" s="3">
        <f>Vendas[[#This Row],[Valor Unitário]]*Vendas[[#This Row],[Qnt Vendida]]</f>
        <v>424</v>
      </c>
      <c r="J5547" s="3">
        <f>Vendas[[#This Row],[Valor da Venda]]-(_xlfn.XLOOKUP(Vendas[[#This Row],[ID Item Vendido]],Agregado[ID],Agregado[Custo])*Vendas[[#This Row],[Qnt Vendida]])</f>
        <v>64</v>
      </c>
      <c r="K5547" s="70">
        <f>Vendas[[#This Row],[Lucro da Venda]]/Vendas[[#This Row],[Valor da Venda]]</f>
        <v>0.15094339622641509</v>
      </c>
      <c r="L5547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5547"/>
    </row>
    <row r="5548" spans="1:13" x14ac:dyDescent="0.3">
      <c r="A5548" s="7">
        <v>400248</v>
      </c>
      <c r="B5548" t="str">
        <f>_xlfn.XLOOKUP(Vendas[[#This Row],[ID Vendedor]],Vendedores[ID],Vendedores[Nome])</f>
        <v>Patrícia</v>
      </c>
      <c r="C5548" s="7" t="str">
        <f>_xlfn.XLOOKUP(Vendas[[#This Row],[ID Vendedor]],Vendedores[ID],Vendedores[Setor])</f>
        <v>CM</v>
      </c>
      <c r="D5548" s="7" t="s">
        <v>22</v>
      </c>
      <c r="E5548" t="str">
        <f>_xlfn.XLOOKUP(Vendas[[#This Row],[ID Item Vendido]],Agregado[ID],Agregado[Produto])</f>
        <v>Painel MDP 2,75x1,83m</v>
      </c>
      <c r="F5548" s="39">
        <v>46115</v>
      </c>
      <c r="G5548" s="7">
        <v>17</v>
      </c>
      <c r="H5548" s="3">
        <f>_xlfn.XLOOKUP(Vendas[[#This Row],[ID Item Vendido]],Agregado[ID],Agregado[Revenda])</f>
        <v>119</v>
      </c>
      <c r="I5548" s="3">
        <f>Vendas[[#This Row],[Valor Unitário]]*Vendas[[#This Row],[Qnt Vendida]]</f>
        <v>2023</v>
      </c>
      <c r="J5548" s="3">
        <f>Vendas[[#This Row],[Valor da Venda]]-(_xlfn.XLOOKUP(Vendas[[#This Row],[ID Item Vendido]],Agregado[ID],Agregado[Custo])*Vendas[[#This Row],[Qnt Vendida]])</f>
        <v>408</v>
      </c>
      <c r="K5548" s="70">
        <f>Vendas[[#This Row],[Lucro da Venda]]/Vendas[[#This Row],[Valor da Venda]]</f>
        <v>0.20168067226890757</v>
      </c>
      <c r="L5548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548"/>
    </row>
    <row r="5549" spans="1:13" x14ac:dyDescent="0.3">
      <c r="A5549" s="7">
        <v>400252</v>
      </c>
      <c r="B5549" t="str">
        <f>_xlfn.XLOOKUP(Vendas[[#This Row],[ID Vendedor]],Vendedores[ID],Vendedores[Nome])</f>
        <v>Renata</v>
      </c>
      <c r="C5549" s="7" t="str">
        <f>_xlfn.XLOOKUP(Vendas[[#This Row],[ID Vendedor]],Vendedores[ID],Vendedores[Setor])</f>
        <v>AB</v>
      </c>
      <c r="D5549" s="7" t="s">
        <v>24</v>
      </c>
      <c r="E5549" t="str">
        <f>_xlfn.XLOOKUP(Vendas[[#This Row],[ID Item Vendido]],Agregado[ID],Agregado[Produto])</f>
        <v>Resina plástica PET purificada saco de 25kg</v>
      </c>
      <c r="F5549" s="39">
        <v>46116</v>
      </c>
      <c r="G5549" s="7">
        <v>18</v>
      </c>
      <c r="H5549" s="3">
        <f>_xlfn.XLOOKUP(Vendas[[#This Row],[ID Item Vendido]],Agregado[ID],Agregado[Revenda])</f>
        <v>119</v>
      </c>
      <c r="I5549" s="3">
        <f>Vendas[[#This Row],[Valor Unitário]]*Vendas[[#This Row],[Qnt Vendida]]</f>
        <v>2142</v>
      </c>
      <c r="J5549" s="3">
        <f>Vendas[[#This Row],[Valor da Venda]]-(_xlfn.XLOOKUP(Vendas[[#This Row],[ID Item Vendido]],Agregado[ID],Agregado[Custo])*Vendas[[#This Row],[Qnt Vendida]])</f>
        <v>612</v>
      </c>
      <c r="K5549" s="70">
        <f>Vendas[[#This Row],[Lucro da Venda]]/Vendas[[#This Row],[Valor da Venda]]</f>
        <v>0.2857142857142857</v>
      </c>
      <c r="L5549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5549"/>
    </row>
    <row r="5550" spans="1:13" x14ac:dyDescent="0.3">
      <c r="A5550" s="7">
        <v>400250</v>
      </c>
      <c r="B5550" t="str">
        <f>_xlfn.XLOOKUP(Vendas[[#This Row],[ID Vendedor]],Vendedores[ID],Vendedores[Nome])</f>
        <v>Larissa</v>
      </c>
      <c r="C5550" s="7" t="str">
        <f>_xlfn.XLOOKUP(Vendas[[#This Row],[ID Vendedor]],Vendedores[ID],Vendedores[Setor])</f>
        <v>AB</v>
      </c>
      <c r="D5550" s="7" t="s">
        <v>37</v>
      </c>
      <c r="E5550" t="str">
        <f>_xlfn.XLOOKUP(Vendas[[#This Row],[ID Item Vendido]],Agregado[ID],Agregado[Produto])</f>
        <v>Composto de borracha para vedação rolo 10m</v>
      </c>
      <c r="F5550" s="39">
        <v>46117</v>
      </c>
      <c r="G5550" s="7">
        <v>12</v>
      </c>
      <c r="H5550" s="3">
        <f>_xlfn.XLOOKUP(Vendas[[#This Row],[ID Item Vendido]],Agregado[ID],Agregado[Revenda])</f>
        <v>51.2</v>
      </c>
      <c r="I5550" s="3">
        <f>Vendas[[#This Row],[Valor Unitário]]*Vendas[[#This Row],[Qnt Vendida]]</f>
        <v>614.40000000000009</v>
      </c>
      <c r="J5550" s="3">
        <f>Vendas[[#This Row],[Valor da Venda]]-(_xlfn.XLOOKUP(Vendas[[#This Row],[ID Item Vendido]],Agregado[ID],Agregado[Custo])*Vendas[[#This Row],[Qnt Vendida]])</f>
        <v>134.40000000000009</v>
      </c>
      <c r="K5550" s="70">
        <f>Vendas[[#This Row],[Lucro da Venda]]/Vendas[[#This Row],[Valor da Venda]]</f>
        <v>0.21875000000000011</v>
      </c>
      <c r="L5550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5550"/>
    </row>
    <row r="5551" spans="1:13" x14ac:dyDescent="0.3">
      <c r="A5551" s="7">
        <v>400251</v>
      </c>
      <c r="B5551" t="str">
        <f>_xlfn.XLOOKUP(Vendas[[#This Row],[ID Vendedor]],Vendedores[ID],Vendedores[Nome])</f>
        <v>Diego</v>
      </c>
      <c r="C5551" s="7" t="str">
        <f>_xlfn.XLOOKUP(Vendas[[#This Row],[ID Vendedor]],Vendedores[ID],Vendedores[Setor])</f>
        <v>AB</v>
      </c>
      <c r="D5551" s="7" t="s">
        <v>12</v>
      </c>
      <c r="E5551" t="str">
        <f>_xlfn.XLOOKUP(Vendas[[#This Row],[ID Item Vendido]],Agregado[ID],Agregado[Produto])</f>
        <v>Grânulo de plástico reciclado refinado</v>
      </c>
      <c r="F5551" s="39">
        <v>46117</v>
      </c>
      <c r="G5551" s="7">
        <v>70</v>
      </c>
      <c r="H5551" s="3">
        <f>_xlfn.XLOOKUP(Vendas[[#This Row],[ID Item Vendido]],Agregado[ID],Agregado[Revenda])</f>
        <v>4.7</v>
      </c>
      <c r="I5551" s="3">
        <f>Vendas[[#This Row],[Valor Unitário]]*Vendas[[#This Row],[Qnt Vendida]]</f>
        <v>329</v>
      </c>
      <c r="J5551" s="3">
        <f>Vendas[[#This Row],[Valor da Venda]]-(_xlfn.XLOOKUP(Vendas[[#This Row],[ID Item Vendido]],Agregado[ID],Agregado[Custo])*Vendas[[#This Row],[Qnt Vendida]])</f>
        <v>84</v>
      </c>
      <c r="K5551" s="70">
        <f>Vendas[[#This Row],[Lucro da Venda]]/Vendas[[#This Row],[Valor da Venda]]</f>
        <v>0.25531914893617019</v>
      </c>
      <c r="L5551" s="3">
        <f>_xlfn.IFS(Vendas[[#This Row],[Margem de Lucro (%)]]&lt;15%,Vendas[[#This Row],[Valor da Venda]]*3%,Vendas[[#This Row],[Margem de Lucro (%)]]&lt;=20%,Vendas[[#This Row],[Valor da Venda]]*4.5%,TRUE,Vendas[[#This Row],[Valor da Venda]]*6%)</f>
        <v>19.739999999999998</v>
      </c>
      <c r="M5551"/>
    </row>
    <row r="5552" spans="1:13" x14ac:dyDescent="0.3">
      <c r="A5552" s="7">
        <v>400242</v>
      </c>
      <c r="B5552" t="str">
        <f>_xlfn.XLOOKUP(Vendas[[#This Row],[ID Vendedor]],Vendedores[ID],Vendedores[Nome])</f>
        <v>Fernanda</v>
      </c>
      <c r="C5552" s="7" t="str">
        <f>_xlfn.XLOOKUP(Vendas[[#This Row],[ID Vendedor]],Vendedores[ID],Vendedores[Setor])</f>
        <v>FM</v>
      </c>
      <c r="D5552" s="7" t="s">
        <v>27</v>
      </c>
      <c r="E5552" t="str">
        <f>_xlfn.XLOOKUP(Vendas[[#This Row],[ID Item Vendido]],Agregado[ID],Agregado[Produto])</f>
        <v>Chapa de metal lisa 1x2m</v>
      </c>
      <c r="F5552" s="39">
        <v>46118</v>
      </c>
      <c r="G5552" s="7">
        <v>10</v>
      </c>
      <c r="H5552" s="3">
        <f>_xlfn.XLOOKUP(Vendas[[#This Row],[ID Item Vendido]],Agregado[ID],Agregado[Revenda])</f>
        <v>52</v>
      </c>
      <c r="I5552" s="3">
        <f>Vendas[[#This Row],[Valor Unitário]]*Vendas[[#This Row],[Qnt Vendida]]</f>
        <v>520</v>
      </c>
      <c r="J5552" s="3">
        <f>Vendas[[#This Row],[Valor da Venda]]-(_xlfn.XLOOKUP(Vendas[[#This Row],[ID Item Vendido]],Agregado[ID],Agregado[Custo])*Vendas[[#This Row],[Qnt Vendida]])</f>
        <v>70</v>
      </c>
      <c r="K5552" s="70">
        <f>Vendas[[#This Row],[Lucro da Venda]]/Vendas[[#This Row],[Valor da Venda]]</f>
        <v>0.13461538461538461</v>
      </c>
      <c r="L5552" s="3">
        <f>_xlfn.IFS(Vendas[[#This Row],[Margem de Lucro (%)]]&lt;15%,Vendas[[#This Row],[Valor da Venda]]*3%,Vendas[[#This Row],[Margem de Lucro (%)]]&lt;=20%,Vendas[[#This Row],[Valor da Venda]]*4.5%,TRUE,Vendas[[#This Row],[Valor da Venda]]*6%)</f>
        <v>15.6</v>
      </c>
      <c r="M5552"/>
    </row>
    <row r="5553" spans="1:13" x14ac:dyDescent="0.3">
      <c r="A5553" s="7">
        <v>400255</v>
      </c>
      <c r="B5553" t="str">
        <f>_xlfn.XLOOKUP(Vendas[[#This Row],[ID Vendedor]],Vendedores[ID],Vendedores[Nome])</f>
        <v>Carlos</v>
      </c>
      <c r="C5553" s="7" t="str">
        <f>_xlfn.XLOOKUP(Vendas[[#This Row],[ID Vendedor]],Vendedores[ID],Vendedores[Setor])</f>
        <v>SC</v>
      </c>
      <c r="D5553" s="7" t="s">
        <v>42</v>
      </c>
      <c r="E5553" t="str">
        <f>_xlfn.XLOOKUP(Vendas[[#This Row],[ID Item Vendido]],Agregado[ID],Agregado[Produto])</f>
        <v>Container de ferro industrial</v>
      </c>
      <c r="F5553" s="39">
        <v>46119</v>
      </c>
      <c r="G5553" s="7">
        <v>5</v>
      </c>
      <c r="H5553" s="3">
        <f>_xlfn.XLOOKUP(Vendas[[#This Row],[ID Item Vendido]],Agregado[ID],Agregado[Revenda])</f>
        <v>830</v>
      </c>
      <c r="I5553" s="3">
        <f>Vendas[[#This Row],[Valor Unitário]]*Vendas[[#This Row],[Qnt Vendida]]</f>
        <v>4150</v>
      </c>
      <c r="J5553" s="3">
        <f>Vendas[[#This Row],[Valor da Venda]]-(_xlfn.XLOOKUP(Vendas[[#This Row],[ID Item Vendido]],Agregado[ID],Agregado[Custo])*Vendas[[#This Row],[Qnt Vendida]])</f>
        <v>750</v>
      </c>
      <c r="K5553" s="70">
        <f>Vendas[[#This Row],[Lucro da Venda]]/Vendas[[#This Row],[Valor da Venda]]</f>
        <v>0.18072289156626506</v>
      </c>
      <c r="L555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553"/>
    </row>
    <row r="5554" spans="1:13" x14ac:dyDescent="0.3">
      <c r="A5554" s="7">
        <v>400246</v>
      </c>
      <c r="B5554" t="str">
        <f>_xlfn.XLOOKUP(Vendas[[#This Row],[ID Vendedor]],Vendedores[ID],Vendedores[Nome])</f>
        <v>Juliana</v>
      </c>
      <c r="C5554" s="7" t="str">
        <f>_xlfn.XLOOKUP(Vendas[[#This Row],[ID Vendedor]],Vendedores[ID],Vendedores[Setor])</f>
        <v>AHD</v>
      </c>
      <c r="D5554" s="7" t="s">
        <v>30</v>
      </c>
      <c r="E5554" t="str">
        <f>_xlfn.XLOOKUP(Vendas[[#This Row],[ID Item Vendido]],Agregado[ID],Agregado[Produto])</f>
        <v>Estrutura metálica soldada</v>
      </c>
      <c r="F5554" s="39">
        <v>46119</v>
      </c>
      <c r="G5554" s="7">
        <v>7</v>
      </c>
      <c r="H5554" s="3">
        <f>_xlfn.XLOOKUP(Vendas[[#This Row],[ID Item Vendido]],Agregado[ID],Agregado[Revenda])</f>
        <v>400</v>
      </c>
      <c r="I5554" s="3">
        <f>Vendas[[#This Row],[Valor Unitário]]*Vendas[[#This Row],[Qnt Vendida]]</f>
        <v>2800</v>
      </c>
      <c r="J5554" s="3">
        <f>Vendas[[#This Row],[Valor da Venda]]-(_xlfn.XLOOKUP(Vendas[[#This Row],[ID Item Vendido]],Agregado[ID],Agregado[Custo])*Vendas[[#This Row],[Qnt Vendida]])</f>
        <v>560</v>
      </c>
      <c r="K5554" s="70">
        <f>Vendas[[#This Row],[Lucro da Venda]]/Vendas[[#This Row],[Valor da Venda]]</f>
        <v>0.2</v>
      </c>
      <c r="L5554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554"/>
    </row>
    <row r="5555" spans="1:13" x14ac:dyDescent="0.3">
      <c r="A5555" s="7">
        <v>400244</v>
      </c>
      <c r="B5555" t="str">
        <f>_xlfn.XLOOKUP(Vendas[[#This Row],[ID Vendedor]],Vendedores[ID],Vendedores[Nome])</f>
        <v>Camila</v>
      </c>
      <c r="C5555" s="7" t="str">
        <f>_xlfn.XLOOKUP(Vendas[[#This Row],[ID Vendedor]],Vendedores[ID],Vendedores[Setor])</f>
        <v>AHD</v>
      </c>
      <c r="D5555" s="7" t="s">
        <v>44</v>
      </c>
      <c r="E5555" t="str">
        <f>_xlfn.XLOOKUP(Vendas[[#This Row],[ID Item Vendido]],Agregado[ID],Agregado[Produto])</f>
        <v>Liga metálica especial</v>
      </c>
      <c r="F5555" s="39">
        <v>46119</v>
      </c>
      <c r="G5555" s="7">
        <v>60</v>
      </c>
      <c r="H5555" s="3">
        <f>_xlfn.XLOOKUP(Vendas[[#This Row],[ID Item Vendido]],Agregado[ID],Agregado[Revenda])</f>
        <v>32.5</v>
      </c>
      <c r="I5555" s="3">
        <f>Vendas[[#This Row],[Valor Unitário]]*Vendas[[#This Row],[Qnt Vendida]]</f>
        <v>1950</v>
      </c>
      <c r="J5555" s="3">
        <f>Vendas[[#This Row],[Valor da Venda]]-(_xlfn.XLOOKUP(Vendas[[#This Row],[ID Item Vendido]],Agregado[ID],Agregado[Custo])*Vendas[[#This Row],[Qnt Vendida]])</f>
        <v>450</v>
      </c>
      <c r="K5555" s="70">
        <f>Vendas[[#This Row],[Lucro da Venda]]/Vendas[[#This Row],[Valor da Venda]]</f>
        <v>0.23076923076923078</v>
      </c>
      <c r="L5555" s="3">
        <f>_xlfn.IFS(Vendas[[#This Row],[Margem de Lucro (%)]]&lt;15%,Vendas[[#This Row],[Valor da Venda]]*3%,Vendas[[#This Row],[Margem de Lucro (%)]]&lt;=20%,Vendas[[#This Row],[Valor da Venda]]*4.5%,TRUE,Vendas[[#This Row],[Valor da Venda]]*6%)</f>
        <v>117</v>
      </c>
      <c r="M5555"/>
    </row>
    <row r="5556" spans="1:13" x14ac:dyDescent="0.3">
      <c r="A5556" s="7">
        <v>400253</v>
      </c>
      <c r="B5556" t="str">
        <f>_xlfn.XLOOKUP(Vendas[[#This Row],[ID Vendedor]],Vendedores[ID],Vendedores[Nome])</f>
        <v>Gustavo</v>
      </c>
      <c r="C5556" s="7" t="str">
        <f>_xlfn.XLOOKUP(Vendas[[#This Row],[ID Vendedor]],Vendedores[ID],Vendedores[Setor])</f>
        <v>SC</v>
      </c>
      <c r="D5556" s="7" t="s">
        <v>41</v>
      </c>
      <c r="E5556" t="str">
        <f>_xlfn.XLOOKUP(Vendas[[#This Row],[ID Item Vendido]],Agregado[ID],Agregado[Produto])</f>
        <v>Palete de madeira reforçado</v>
      </c>
      <c r="F5556" s="39">
        <v>46119</v>
      </c>
      <c r="G5556" s="7">
        <v>3</v>
      </c>
      <c r="H5556" s="3">
        <f>_xlfn.XLOOKUP(Vendas[[#This Row],[ID Item Vendido]],Agregado[ID],Agregado[Revenda])</f>
        <v>131</v>
      </c>
      <c r="I5556" s="3">
        <f>Vendas[[#This Row],[Valor Unitário]]*Vendas[[#This Row],[Qnt Vendida]]</f>
        <v>393</v>
      </c>
      <c r="J5556" s="3">
        <f>Vendas[[#This Row],[Valor da Venda]]-(_xlfn.XLOOKUP(Vendas[[#This Row],[ID Item Vendido]],Agregado[ID],Agregado[Custo])*Vendas[[#This Row],[Qnt Vendida]])</f>
        <v>63</v>
      </c>
      <c r="K5556" s="70">
        <f>Vendas[[#This Row],[Lucro da Venda]]/Vendas[[#This Row],[Valor da Venda]]</f>
        <v>0.16030534351145037</v>
      </c>
      <c r="L5556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5556"/>
    </row>
    <row r="5557" spans="1:13" x14ac:dyDescent="0.3">
      <c r="A5557" s="7">
        <v>400253</v>
      </c>
      <c r="B5557" t="str">
        <f>_xlfn.XLOOKUP(Vendas[[#This Row],[ID Vendedor]],Vendedores[ID],Vendedores[Nome])</f>
        <v>Gustavo</v>
      </c>
      <c r="C5557" s="7" t="str">
        <f>_xlfn.XLOOKUP(Vendas[[#This Row],[ID Vendedor]],Vendedores[ID],Vendedores[Setor])</f>
        <v>SC</v>
      </c>
      <c r="D5557" s="7" t="s">
        <v>48</v>
      </c>
      <c r="E5557" t="str">
        <f>_xlfn.XLOOKUP(Vendas[[#This Row],[ID Item Vendido]],Agregado[ID],Agregado[Produto])</f>
        <v>Tambor metálico 200L</v>
      </c>
      <c r="F5557" s="39">
        <v>46120</v>
      </c>
      <c r="G5557" s="7">
        <v>11</v>
      </c>
      <c r="H5557" s="3">
        <f>_xlfn.XLOOKUP(Vendas[[#This Row],[ID Item Vendido]],Agregado[ID],Agregado[Revenda])</f>
        <v>144</v>
      </c>
      <c r="I5557" s="3">
        <f>Vendas[[#This Row],[Valor Unitário]]*Vendas[[#This Row],[Qnt Vendida]]</f>
        <v>1584</v>
      </c>
      <c r="J5557" s="3">
        <f>Vendas[[#This Row],[Valor da Venda]]-(_xlfn.XLOOKUP(Vendas[[#This Row],[ID Item Vendido]],Agregado[ID],Agregado[Custo])*Vendas[[#This Row],[Qnt Vendida]])</f>
        <v>264</v>
      </c>
      <c r="K5557" s="70">
        <f>Vendas[[#This Row],[Lucro da Venda]]/Vendas[[#This Row],[Valor da Venda]]</f>
        <v>0.16666666666666666</v>
      </c>
      <c r="L5557" s="3">
        <f>_xlfn.IFS(Vendas[[#This Row],[Margem de Lucro (%)]]&lt;15%,Vendas[[#This Row],[Valor da Venda]]*3%,Vendas[[#This Row],[Margem de Lucro (%)]]&lt;=20%,Vendas[[#This Row],[Valor da Venda]]*4.5%,TRUE,Vendas[[#This Row],[Valor da Venda]]*6%)</f>
        <v>71.28</v>
      </c>
      <c r="M5557"/>
    </row>
    <row r="5558" spans="1:13" x14ac:dyDescent="0.3">
      <c r="A5558" s="7">
        <v>400252</v>
      </c>
      <c r="B5558" t="str">
        <f>_xlfn.XLOOKUP(Vendas[[#This Row],[ID Vendedor]],Vendedores[ID],Vendedores[Nome])</f>
        <v>Renata</v>
      </c>
      <c r="C5558" s="7" t="str">
        <f>_xlfn.XLOOKUP(Vendas[[#This Row],[ID Vendedor]],Vendedores[ID],Vendedores[Setor])</f>
        <v>AB</v>
      </c>
      <c r="D5558" s="7" t="s">
        <v>36</v>
      </c>
      <c r="E5558" t="str">
        <f>_xlfn.XLOOKUP(Vendas[[#This Row],[ID Item Vendido]],Agregado[ID],Agregado[Produto])</f>
        <v>Borracha vulcanizada em manta</v>
      </c>
      <c r="F5558" s="39">
        <v>46120</v>
      </c>
      <c r="G5558" s="7">
        <v>94</v>
      </c>
      <c r="H5558" s="3">
        <f>_xlfn.XLOOKUP(Vendas[[#This Row],[ID Item Vendido]],Agregado[ID],Agregado[Revenda])</f>
        <v>7.8</v>
      </c>
      <c r="I5558" s="3">
        <f>Vendas[[#This Row],[Valor Unitário]]*Vendas[[#This Row],[Qnt Vendida]]</f>
        <v>733.19999999999993</v>
      </c>
      <c r="J5558" s="3">
        <f>Vendas[[#This Row],[Valor da Venda]]-(_xlfn.XLOOKUP(Vendas[[#This Row],[ID Item Vendido]],Agregado[ID],Agregado[Custo])*Vendas[[#This Row],[Qnt Vendida]])</f>
        <v>169.19999999999993</v>
      </c>
      <c r="K5558" s="70">
        <f>Vendas[[#This Row],[Lucro da Venda]]/Vendas[[#This Row],[Valor da Venda]]</f>
        <v>0.2307692307692307</v>
      </c>
      <c r="L5558" s="3">
        <f>_xlfn.IFS(Vendas[[#This Row],[Margem de Lucro (%)]]&lt;15%,Vendas[[#This Row],[Valor da Venda]]*3%,Vendas[[#This Row],[Margem de Lucro (%)]]&lt;=20%,Vendas[[#This Row],[Valor da Venda]]*4.5%,TRUE,Vendas[[#This Row],[Valor da Venda]]*6%)</f>
        <v>43.991999999999997</v>
      </c>
      <c r="M5558"/>
    </row>
    <row r="5559" spans="1:13" x14ac:dyDescent="0.3">
      <c r="A5559" s="7">
        <v>400245</v>
      </c>
      <c r="B5559" t="str">
        <f>_xlfn.XLOOKUP(Vendas[[#This Row],[ID Vendedor]],Vendedores[ID],Vendedores[Nome])</f>
        <v>Thiago</v>
      </c>
      <c r="C5559" s="7" t="str">
        <f>_xlfn.XLOOKUP(Vendas[[#This Row],[ID Vendedor]],Vendedores[ID],Vendedores[Setor])</f>
        <v>AHD</v>
      </c>
      <c r="D5559" s="7" t="s">
        <v>18</v>
      </c>
      <c r="E5559" t="str">
        <f>_xlfn.XLOOKUP(Vendas[[#This Row],[ID Item Vendido]],Agregado[ID],Agregado[Produto])</f>
        <v>Peça forjada sob encomenda</v>
      </c>
      <c r="F5559" s="39">
        <v>46120</v>
      </c>
      <c r="G5559" s="7">
        <v>1</v>
      </c>
      <c r="H5559" s="3">
        <f>_xlfn.XLOOKUP(Vendas[[#This Row],[ID Item Vendido]],Agregado[ID],Agregado[Revenda])</f>
        <v>264.60000000000002</v>
      </c>
      <c r="I5559" s="3">
        <f>Vendas[[#This Row],[Valor Unitário]]*Vendas[[#This Row],[Qnt Vendida]]</f>
        <v>264.60000000000002</v>
      </c>
      <c r="J5559" s="3">
        <f>Vendas[[#This Row],[Valor da Venda]]-(_xlfn.XLOOKUP(Vendas[[#This Row],[ID Item Vendido]],Agregado[ID],Agregado[Custo])*Vendas[[#This Row],[Qnt Vendida]])</f>
        <v>14.600000000000023</v>
      </c>
      <c r="K5559" s="70">
        <f>Vendas[[#This Row],[Lucro da Venda]]/Vendas[[#This Row],[Valor da Venda]]</f>
        <v>5.5177626606198113E-2</v>
      </c>
      <c r="L5559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559"/>
    </row>
    <row r="5560" spans="1:13" x14ac:dyDescent="0.3">
      <c r="A5560" s="7">
        <v>400252</v>
      </c>
      <c r="B5560" t="str">
        <f>_xlfn.XLOOKUP(Vendas[[#This Row],[ID Vendedor]],Vendedores[ID],Vendedores[Nome])</f>
        <v>Renata</v>
      </c>
      <c r="C5560" s="7" t="str">
        <f>_xlfn.XLOOKUP(Vendas[[#This Row],[ID Vendedor]],Vendedores[ID],Vendedores[Setor])</f>
        <v>AB</v>
      </c>
      <c r="D5560" s="7" t="s">
        <v>39</v>
      </c>
      <c r="E5560" t="str">
        <f>_xlfn.XLOOKUP(Vendas[[#This Row],[ID Item Vendido]],Agregado[ID],Agregado[Produto])</f>
        <v>Filme plástico industrial rolo 50m</v>
      </c>
      <c r="F5560" s="39">
        <v>46120</v>
      </c>
      <c r="G5560" s="7">
        <v>10</v>
      </c>
      <c r="H5560" s="3">
        <f>_xlfn.XLOOKUP(Vendas[[#This Row],[ID Item Vendido]],Agregado[ID],Agregado[Revenda])</f>
        <v>37</v>
      </c>
      <c r="I5560" s="3">
        <f>Vendas[[#This Row],[Valor Unitário]]*Vendas[[#This Row],[Qnt Vendida]]</f>
        <v>370</v>
      </c>
      <c r="J5560" s="3">
        <f>Vendas[[#This Row],[Valor da Venda]]-(_xlfn.XLOOKUP(Vendas[[#This Row],[ID Item Vendido]],Agregado[ID],Agregado[Custo])*Vendas[[#This Row],[Qnt Vendida]])</f>
        <v>90</v>
      </c>
      <c r="K5560" s="70">
        <f>Vendas[[#This Row],[Lucro da Venda]]/Vendas[[#This Row],[Valor da Venda]]</f>
        <v>0.24324324324324326</v>
      </c>
      <c r="L5560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5560"/>
    </row>
    <row r="5561" spans="1:13" x14ac:dyDescent="0.3">
      <c r="A5561" s="7">
        <v>400250</v>
      </c>
      <c r="B5561" t="str">
        <f>_xlfn.XLOOKUP(Vendas[[#This Row],[ID Vendedor]],Vendedores[ID],Vendedores[Nome])</f>
        <v>Larissa</v>
      </c>
      <c r="C5561" s="7" t="str">
        <f>_xlfn.XLOOKUP(Vendas[[#This Row],[ID Vendedor]],Vendedores[ID],Vendedores[Setor])</f>
        <v>AB</v>
      </c>
      <c r="D5561" s="7" t="s">
        <v>39</v>
      </c>
      <c r="E5561" t="str">
        <f>_xlfn.XLOOKUP(Vendas[[#This Row],[ID Item Vendido]],Agregado[ID],Agregado[Produto])</f>
        <v>Filme plástico industrial rolo 50m</v>
      </c>
      <c r="F5561" s="39">
        <v>46120</v>
      </c>
      <c r="G5561" s="7">
        <v>3</v>
      </c>
      <c r="H5561" s="3">
        <f>_xlfn.XLOOKUP(Vendas[[#This Row],[ID Item Vendido]],Agregado[ID],Agregado[Revenda])</f>
        <v>37</v>
      </c>
      <c r="I5561" s="3">
        <f>Vendas[[#This Row],[Valor Unitário]]*Vendas[[#This Row],[Qnt Vendida]]</f>
        <v>111</v>
      </c>
      <c r="J5561" s="3">
        <f>Vendas[[#This Row],[Valor da Venda]]-(_xlfn.XLOOKUP(Vendas[[#This Row],[ID Item Vendido]],Agregado[ID],Agregado[Custo])*Vendas[[#This Row],[Qnt Vendida]])</f>
        <v>27</v>
      </c>
      <c r="K5561" s="70">
        <f>Vendas[[#This Row],[Lucro da Venda]]/Vendas[[#This Row],[Valor da Venda]]</f>
        <v>0.24324324324324326</v>
      </c>
      <c r="L5561" s="3">
        <f>_xlfn.IFS(Vendas[[#This Row],[Margem de Lucro (%)]]&lt;15%,Vendas[[#This Row],[Valor da Venda]]*3%,Vendas[[#This Row],[Margem de Lucro (%)]]&lt;=20%,Vendas[[#This Row],[Valor da Venda]]*4.5%,TRUE,Vendas[[#This Row],[Valor da Venda]]*6%)</f>
        <v>6.66</v>
      </c>
      <c r="M5561"/>
    </row>
    <row r="5562" spans="1:13" x14ac:dyDescent="0.3">
      <c r="A5562" s="7">
        <v>400255</v>
      </c>
      <c r="B5562" t="str">
        <f>_xlfn.XLOOKUP(Vendas[[#This Row],[ID Vendedor]],Vendedores[ID],Vendedores[Nome])</f>
        <v>Carlos</v>
      </c>
      <c r="C5562" s="7" t="str">
        <f>_xlfn.XLOOKUP(Vendas[[#This Row],[ID Vendedor]],Vendedores[ID],Vendedores[Setor])</f>
        <v>SC</v>
      </c>
      <c r="D5562" s="7" t="s">
        <v>48</v>
      </c>
      <c r="E5562" t="str">
        <f>_xlfn.XLOOKUP(Vendas[[#This Row],[ID Item Vendido]],Agregado[ID],Agregado[Produto])</f>
        <v>Tambor metálico 200L</v>
      </c>
      <c r="F5562" s="39">
        <v>46122</v>
      </c>
      <c r="G5562" s="7">
        <v>18</v>
      </c>
      <c r="H5562" s="3">
        <f>_xlfn.XLOOKUP(Vendas[[#This Row],[ID Item Vendido]],Agregado[ID],Agregado[Revenda])</f>
        <v>144</v>
      </c>
      <c r="I5562" s="3">
        <f>Vendas[[#This Row],[Valor Unitário]]*Vendas[[#This Row],[Qnt Vendida]]</f>
        <v>2592</v>
      </c>
      <c r="J5562" s="3">
        <f>Vendas[[#This Row],[Valor da Venda]]-(_xlfn.XLOOKUP(Vendas[[#This Row],[ID Item Vendido]],Agregado[ID],Agregado[Custo])*Vendas[[#This Row],[Qnt Vendida]])</f>
        <v>432</v>
      </c>
      <c r="K5562" s="70">
        <f>Vendas[[#This Row],[Lucro da Venda]]/Vendas[[#This Row],[Valor da Venda]]</f>
        <v>0.16666666666666666</v>
      </c>
      <c r="L5562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562"/>
    </row>
    <row r="5563" spans="1:13" x14ac:dyDescent="0.3">
      <c r="A5563" s="7">
        <v>400254</v>
      </c>
      <c r="B5563" t="str">
        <f>_xlfn.XLOOKUP(Vendas[[#This Row],[ID Vendedor]],Vendedores[ID],Vendedores[Nome])</f>
        <v>Beatriz</v>
      </c>
      <c r="C5563" s="7" t="str">
        <f>_xlfn.XLOOKUP(Vendas[[#This Row],[ID Vendedor]],Vendedores[ID],Vendedores[Setor])</f>
        <v>SC</v>
      </c>
      <c r="D5563" s="7" t="s">
        <v>41</v>
      </c>
      <c r="E5563" t="str">
        <f>_xlfn.XLOOKUP(Vendas[[#This Row],[ID Item Vendido]],Agregado[ID],Agregado[Produto])</f>
        <v>Palete de madeira reforçado</v>
      </c>
      <c r="F5563" s="39">
        <v>46122</v>
      </c>
      <c r="G5563" s="7">
        <v>5</v>
      </c>
      <c r="H5563" s="3">
        <f>_xlfn.XLOOKUP(Vendas[[#This Row],[ID Item Vendido]],Agregado[ID],Agregado[Revenda])</f>
        <v>131</v>
      </c>
      <c r="I5563" s="3">
        <f>Vendas[[#This Row],[Valor Unitário]]*Vendas[[#This Row],[Qnt Vendida]]</f>
        <v>655</v>
      </c>
      <c r="J5563" s="3">
        <f>Vendas[[#This Row],[Valor da Venda]]-(_xlfn.XLOOKUP(Vendas[[#This Row],[ID Item Vendido]],Agregado[ID],Agregado[Custo])*Vendas[[#This Row],[Qnt Vendida]])</f>
        <v>105</v>
      </c>
      <c r="K5563" s="70">
        <f>Vendas[[#This Row],[Lucro da Venda]]/Vendas[[#This Row],[Valor da Venda]]</f>
        <v>0.16030534351145037</v>
      </c>
      <c r="L5563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563"/>
    </row>
    <row r="5564" spans="1:13" x14ac:dyDescent="0.3">
      <c r="A5564" s="7">
        <v>400250</v>
      </c>
      <c r="B5564" t="str">
        <f>_xlfn.XLOOKUP(Vendas[[#This Row],[ID Vendedor]],Vendedores[ID],Vendedores[Nome])</f>
        <v>Larissa</v>
      </c>
      <c r="C5564" s="7" t="str">
        <f>_xlfn.XLOOKUP(Vendas[[#This Row],[ID Vendedor]],Vendedores[ID],Vendedores[Setor])</f>
        <v>AB</v>
      </c>
      <c r="D5564" s="7" t="s">
        <v>12</v>
      </c>
      <c r="E5564" t="str">
        <f>_xlfn.XLOOKUP(Vendas[[#This Row],[ID Item Vendido]],Agregado[ID],Agregado[Produto])</f>
        <v>Grânulo de plástico reciclado refinado</v>
      </c>
      <c r="F5564" s="39">
        <v>46122</v>
      </c>
      <c r="G5564" s="7">
        <v>54</v>
      </c>
      <c r="H5564" s="3">
        <f>_xlfn.XLOOKUP(Vendas[[#This Row],[ID Item Vendido]],Agregado[ID],Agregado[Revenda])</f>
        <v>4.7</v>
      </c>
      <c r="I5564" s="3">
        <f>Vendas[[#This Row],[Valor Unitário]]*Vendas[[#This Row],[Qnt Vendida]]</f>
        <v>253.8</v>
      </c>
      <c r="J5564" s="3">
        <f>Vendas[[#This Row],[Valor da Venda]]-(_xlfn.XLOOKUP(Vendas[[#This Row],[ID Item Vendido]],Agregado[ID],Agregado[Custo])*Vendas[[#This Row],[Qnt Vendida]])</f>
        <v>64.800000000000011</v>
      </c>
      <c r="K5564" s="70">
        <f>Vendas[[#This Row],[Lucro da Venda]]/Vendas[[#This Row],[Valor da Venda]]</f>
        <v>0.25531914893617025</v>
      </c>
      <c r="L5564" s="3">
        <f>_xlfn.IFS(Vendas[[#This Row],[Margem de Lucro (%)]]&lt;15%,Vendas[[#This Row],[Valor da Venda]]*3%,Vendas[[#This Row],[Margem de Lucro (%)]]&lt;=20%,Vendas[[#This Row],[Valor da Venda]]*4.5%,TRUE,Vendas[[#This Row],[Valor da Venda]]*6%)</f>
        <v>15.228</v>
      </c>
      <c r="M5564"/>
    </row>
    <row r="5565" spans="1:13" x14ac:dyDescent="0.3">
      <c r="A5565" s="7">
        <v>400248</v>
      </c>
      <c r="B5565" t="str">
        <f>_xlfn.XLOOKUP(Vendas[[#This Row],[ID Vendedor]],Vendedores[ID],Vendedores[Nome])</f>
        <v>Patrícia</v>
      </c>
      <c r="C5565" s="7" t="str">
        <f>_xlfn.XLOOKUP(Vendas[[#This Row],[ID Vendedor]],Vendedores[ID],Vendedores[Setor])</f>
        <v>CM</v>
      </c>
      <c r="D5565" s="7" t="s">
        <v>45</v>
      </c>
      <c r="E5565" t="str">
        <f>_xlfn.XLOOKUP(Vendas[[#This Row],[ID Item Vendido]],Agregado[ID],Agregado[Produto])</f>
        <v>Viga de madeira tratada 4m</v>
      </c>
      <c r="F5565" s="39">
        <v>46123</v>
      </c>
      <c r="G5565" s="7">
        <v>17</v>
      </c>
      <c r="H5565" s="3">
        <f>_xlfn.XLOOKUP(Vendas[[#This Row],[ID Item Vendido]],Agregado[ID],Agregado[Revenda])</f>
        <v>66</v>
      </c>
      <c r="I5565" s="3">
        <f>Vendas[[#This Row],[Valor Unitário]]*Vendas[[#This Row],[Qnt Vendida]]</f>
        <v>1122</v>
      </c>
      <c r="J5565" s="3">
        <f>Vendas[[#This Row],[Valor da Venda]]-(_xlfn.XLOOKUP(Vendas[[#This Row],[ID Item Vendido]],Agregado[ID],Agregado[Custo])*Vendas[[#This Row],[Qnt Vendida]])</f>
        <v>187</v>
      </c>
      <c r="K5565" s="70">
        <f>Vendas[[#This Row],[Lucro da Venda]]/Vendas[[#This Row],[Valor da Venda]]</f>
        <v>0.16666666666666666</v>
      </c>
      <c r="L5565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5565"/>
    </row>
    <row r="5566" spans="1:13" x14ac:dyDescent="0.3">
      <c r="A5566" s="7">
        <v>400254</v>
      </c>
      <c r="B5566" t="str">
        <f>_xlfn.XLOOKUP(Vendas[[#This Row],[ID Vendedor]],Vendedores[ID],Vendedores[Nome])</f>
        <v>Beatriz</v>
      </c>
      <c r="C5566" s="7" t="str">
        <f>_xlfn.XLOOKUP(Vendas[[#This Row],[ID Vendedor]],Vendedores[ID],Vendedores[Setor])</f>
        <v>SC</v>
      </c>
      <c r="D5566" s="7" t="s">
        <v>42</v>
      </c>
      <c r="E5566" t="str">
        <f>_xlfn.XLOOKUP(Vendas[[#This Row],[ID Item Vendido]],Agregado[ID],Agregado[Produto])</f>
        <v>Container de ferro industrial</v>
      </c>
      <c r="F5566" s="39">
        <v>46123</v>
      </c>
      <c r="G5566" s="7">
        <v>1</v>
      </c>
      <c r="H5566" s="3">
        <f>_xlfn.XLOOKUP(Vendas[[#This Row],[ID Item Vendido]],Agregado[ID],Agregado[Revenda])</f>
        <v>830</v>
      </c>
      <c r="I5566" s="3">
        <f>Vendas[[#This Row],[Valor Unitário]]*Vendas[[#This Row],[Qnt Vendida]]</f>
        <v>830</v>
      </c>
      <c r="J5566" s="3">
        <f>Vendas[[#This Row],[Valor da Venda]]-(_xlfn.XLOOKUP(Vendas[[#This Row],[ID Item Vendido]],Agregado[ID],Agregado[Custo])*Vendas[[#This Row],[Qnt Vendida]])</f>
        <v>150</v>
      </c>
      <c r="K5566" s="70">
        <f>Vendas[[#This Row],[Lucro da Venda]]/Vendas[[#This Row],[Valor da Venda]]</f>
        <v>0.18072289156626506</v>
      </c>
      <c r="L5566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566"/>
    </row>
    <row r="5567" spans="1:13" x14ac:dyDescent="0.3">
      <c r="A5567" s="7">
        <v>400245</v>
      </c>
      <c r="B5567" t="str">
        <f>_xlfn.XLOOKUP(Vendas[[#This Row],[ID Vendedor]],Vendedores[ID],Vendedores[Nome])</f>
        <v>Thiago</v>
      </c>
      <c r="C5567" s="7" t="str">
        <f>_xlfn.XLOOKUP(Vendas[[#This Row],[ID Vendedor]],Vendedores[ID],Vendedores[Setor])</f>
        <v>AHD</v>
      </c>
      <c r="D5567" s="7" t="s">
        <v>28</v>
      </c>
      <c r="E5567" t="str">
        <f>_xlfn.XLOOKUP(Vendas[[#This Row],[ID Item Vendido]],Agregado[ID],Agregado[Produto])</f>
        <v>Peça usinada CNC</v>
      </c>
      <c r="F5567" s="39">
        <v>46124</v>
      </c>
      <c r="G5567" s="7">
        <v>14</v>
      </c>
      <c r="H5567" s="3">
        <f>_xlfn.XLOOKUP(Vendas[[#This Row],[ID Item Vendido]],Agregado[ID],Agregado[Revenda])</f>
        <v>192</v>
      </c>
      <c r="I5567" s="3">
        <f>Vendas[[#This Row],[Valor Unitário]]*Vendas[[#This Row],[Qnt Vendida]]</f>
        <v>2688</v>
      </c>
      <c r="J5567" s="3">
        <f>Vendas[[#This Row],[Valor da Venda]]-(_xlfn.XLOOKUP(Vendas[[#This Row],[ID Item Vendido]],Agregado[ID],Agregado[Custo])*Vendas[[#This Row],[Qnt Vendida]])</f>
        <v>588</v>
      </c>
      <c r="K5567" s="70">
        <f>Vendas[[#This Row],[Lucro da Venda]]/Vendas[[#This Row],[Valor da Venda]]</f>
        <v>0.21875</v>
      </c>
      <c r="L5567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567"/>
    </row>
    <row r="5568" spans="1:13" x14ac:dyDescent="0.3">
      <c r="A5568" s="7">
        <v>400249</v>
      </c>
      <c r="B5568" t="str">
        <f>_xlfn.XLOOKUP(Vendas[[#This Row],[ID Vendedor]],Vendedores[ID],Vendedores[Nome])</f>
        <v>Bruno</v>
      </c>
      <c r="C5568" s="7" t="str">
        <f>_xlfn.XLOOKUP(Vendas[[#This Row],[ID Vendedor]],Vendedores[ID],Vendedores[Setor])</f>
        <v>CM</v>
      </c>
      <c r="D5568" s="7" t="s">
        <v>43</v>
      </c>
      <c r="E5568" t="str">
        <f>_xlfn.XLOOKUP(Vendas[[#This Row],[ID Item Vendido]],Agregado[ID],Agregado[Produto])</f>
        <v>Madeira Bruta (Tora)</v>
      </c>
      <c r="F5568" s="39">
        <v>46124</v>
      </c>
      <c r="G5568" s="7">
        <v>11</v>
      </c>
      <c r="H5568" s="3">
        <f>_xlfn.XLOOKUP(Vendas[[#This Row],[ID Item Vendido]],Agregado[ID],Agregado[Revenda])</f>
        <v>212</v>
      </c>
      <c r="I5568" s="3">
        <f>Vendas[[#This Row],[Valor Unitário]]*Vendas[[#This Row],[Qnt Vendida]]</f>
        <v>2332</v>
      </c>
      <c r="J5568" s="3">
        <f>Vendas[[#This Row],[Valor da Venda]]-(_xlfn.XLOOKUP(Vendas[[#This Row],[ID Item Vendido]],Agregado[ID],Agregado[Custo])*Vendas[[#This Row],[Qnt Vendida]])</f>
        <v>352</v>
      </c>
      <c r="K5568" s="70">
        <f>Vendas[[#This Row],[Lucro da Venda]]/Vendas[[#This Row],[Valor da Venda]]</f>
        <v>0.15094339622641509</v>
      </c>
      <c r="L5568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5568"/>
    </row>
    <row r="5569" spans="1:13" x14ac:dyDescent="0.3">
      <c r="A5569" s="7">
        <v>400246</v>
      </c>
      <c r="B5569" t="str">
        <f>_xlfn.XLOOKUP(Vendas[[#This Row],[ID Vendedor]],Vendedores[ID],Vendedores[Nome])</f>
        <v>Juliana</v>
      </c>
      <c r="C5569" s="7" t="str">
        <f>_xlfn.XLOOKUP(Vendas[[#This Row],[ID Vendedor]],Vendedores[ID],Vendedores[Setor])</f>
        <v>AHD</v>
      </c>
      <c r="D5569" s="7" t="s">
        <v>30</v>
      </c>
      <c r="E5569" t="str">
        <f>_xlfn.XLOOKUP(Vendas[[#This Row],[ID Item Vendido]],Agregado[ID],Agregado[Produto])</f>
        <v>Estrutura metálica soldada</v>
      </c>
      <c r="F5569" s="39">
        <v>46124</v>
      </c>
      <c r="G5569" s="7">
        <v>5</v>
      </c>
      <c r="H5569" s="3">
        <f>_xlfn.XLOOKUP(Vendas[[#This Row],[ID Item Vendido]],Agregado[ID],Agregado[Revenda])</f>
        <v>400</v>
      </c>
      <c r="I5569" s="3">
        <f>Vendas[[#This Row],[Valor Unitário]]*Vendas[[#This Row],[Qnt Vendida]]</f>
        <v>2000</v>
      </c>
      <c r="J5569" s="3">
        <f>Vendas[[#This Row],[Valor da Venda]]-(_xlfn.XLOOKUP(Vendas[[#This Row],[ID Item Vendido]],Agregado[ID],Agregado[Custo])*Vendas[[#This Row],[Qnt Vendida]])</f>
        <v>400</v>
      </c>
      <c r="K5569" s="70">
        <f>Vendas[[#This Row],[Lucro da Venda]]/Vendas[[#This Row],[Valor da Venda]]</f>
        <v>0.2</v>
      </c>
      <c r="L5569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569"/>
    </row>
    <row r="5570" spans="1:13" x14ac:dyDescent="0.3">
      <c r="A5570" s="7">
        <v>400252</v>
      </c>
      <c r="B5570" t="str">
        <f>_xlfn.XLOOKUP(Vendas[[#This Row],[ID Vendedor]],Vendedores[ID],Vendedores[Nome])</f>
        <v>Renata</v>
      </c>
      <c r="C5570" s="7" t="str">
        <f>_xlfn.XLOOKUP(Vendas[[#This Row],[ID Vendedor]],Vendedores[ID],Vendedores[Setor])</f>
        <v>AB</v>
      </c>
      <c r="D5570" s="7" t="s">
        <v>36</v>
      </c>
      <c r="E5570" t="str">
        <f>_xlfn.XLOOKUP(Vendas[[#This Row],[ID Item Vendido]],Agregado[ID],Agregado[Produto])</f>
        <v>Borracha vulcanizada em manta</v>
      </c>
      <c r="F5570" s="39">
        <v>46124</v>
      </c>
      <c r="G5570" s="7">
        <v>99</v>
      </c>
      <c r="H5570" s="3">
        <f>_xlfn.XLOOKUP(Vendas[[#This Row],[ID Item Vendido]],Agregado[ID],Agregado[Revenda])</f>
        <v>7.8</v>
      </c>
      <c r="I5570" s="3">
        <f>Vendas[[#This Row],[Valor Unitário]]*Vendas[[#This Row],[Qnt Vendida]]</f>
        <v>772.19999999999993</v>
      </c>
      <c r="J5570" s="3">
        <f>Vendas[[#This Row],[Valor da Venda]]-(_xlfn.XLOOKUP(Vendas[[#This Row],[ID Item Vendido]],Agregado[ID],Agregado[Custo])*Vendas[[#This Row],[Qnt Vendida]])</f>
        <v>178.19999999999993</v>
      </c>
      <c r="K5570" s="70">
        <f>Vendas[[#This Row],[Lucro da Venda]]/Vendas[[#This Row],[Valor da Venda]]</f>
        <v>0.2307692307692307</v>
      </c>
      <c r="L5570" s="3">
        <f>_xlfn.IFS(Vendas[[#This Row],[Margem de Lucro (%)]]&lt;15%,Vendas[[#This Row],[Valor da Venda]]*3%,Vendas[[#This Row],[Margem de Lucro (%)]]&lt;=20%,Vendas[[#This Row],[Valor da Venda]]*4.5%,TRUE,Vendas[[#This Row],[Valor da Venda]]*6%)</f>
        <v>46.331999999999994</v>
      </c>
      <c r="M5570"/>
    </row>
    <row r="5571" spans="1:13" x14ac:dyDescent="0.3">
      <c r="A5571" s="7">
        <v>400254</v>
      </c>
      <c r="B5571" t="str">
        <f>_xlfn.XLOOKUP(Vendas[[#This Row],[ID Vendedor]],Vendedores[ID],Vendedores[Nome])</f>
        <v>Beatriz</v>
      </c>
      <c r="C5571" s="7" t="str">
        <f>_xlfn.XLOOKUP(Vendas[[#This Row],[ID Vendedor]],Vendedores[ID],Vendedores[Setor])</f>
        <v>SC</v>
      </c>
      <c r="D5571" s="7" t="s">
        <v>14</v>
      </c>
      <c r="E5571" t="str">
        <f>_xlfn.XLOOKUP(Vendas[[#This Row],[ID Item Vendido]],Agregado[ID],Agregado[Produto])</f>
        <v>Barril de plástico 200L</v>
      </c>
      <c r="F5571" s="39">
        <v>46124</v>
      </c>
      <c r="G5571" s="7">
        <v>3</v>
      </c>
      <c r="H5571" s="3">
        <f>_xlfn.XLOOKUP(Vendas[[#This Row],[ID Item Vendido]],Agregado[ID],Agregado[Revenda])</f>
        <v>114</v>
      </c>
      <c r="I5571" s="3">
        <f>Vendas[[#This Row],[Valor Unitário]]*Vendas[[#This Row],[Qnt Vendida]]</f>
        <v>342</v>
      </c>
      <c r="J5571" s="3">
        <f>Vendas[[#This Row],[Valor da Venda]]-(_xlfn.XLOOKUP(Vendas[[#This Row],[ID Item Vendido]],Agregado[ID],Agregado[Custo])*Vendas[[#This Row],[Qnt Vendida]])</f>
        <v>57</v>
      </c>
      <c r="K5571" s="70">
        <f>Vendas[[#This Row],[Lucro da Venda]]/Vendas[[#This Row],[Valor da Venda]]</f>
        <v>0.16666666666666666</v>
      </c>
      <c r="L5571" s="3">
        <f>_xlfn.IFS(Vendas[[#This Row],[Margem de Lucro (%)]]&lt;15%,Vendas[[#This Row],[Valor da Venda]]*3%,Vendas[[#This Row],[Margem de Lucro (%)]]&lt;=20%,Vendas[[#This Row],[Valor da Venda]]*4.5%,TRUE,Vendas[[#This Row],[Valor da Venda]]*6%)</f>
        <v>15.389999999999999</v>
      </c>
      <c r="M5571"/>
    </row>
    <row r="5572" spans="1:13" x14ac:dyDescent="0.3">
      <c r="A5572" s="7">
        <v>400255</v>
      </c>
      <c r="B5572" t="str">
        <f>_xlfn.XLOOKUP(Vendas[[#This Row],[ID Vendedor]],Vendedores[ID],Vendedores[Nome])</f>
        <v>Carlos</v>
      </c>
      <c r="C5572" s="7" t="str">
        <f>_xlfn.XLOOKUP(Vendas[[#This Row],[ID Vendedor]],Vendedores[ID],Vendedores[Setor])</f>
        <v>SC</v>
      </c>
      <c r="D5572" s="7" t="s">
        <v>42</v>
      </c>
      <c r="E5572" t="str">
        <f>_xlfn.XLOOKUP(Vendas[[#This Row],[ID Item Vendido]],Agregado[ID],Agregado[Produto])</f>
        <v>Container de ferro industrial</v>
      </c>
      <c r="F5572" s="39">
        <v>46125</v>
      </c>
      <c r="G5572" s="7">
        <v>4</v>
      </c>
      <c r="H5572" s="3">
        <f>_xlfn.XLOOKUP(Vendas[[#This Row],[ID Item Vendido]],Agregado[ID],Agregado[Revenda])</f>
        <v>830</v>
      </c>
      <c r="I5572" s="3">
        <f>Vendas[[#This Row],[Valor Unitário]]*Vendas[[#This Row],[Qnt Vendida]]</f>
        <v>3320</v>
      </c>
      <c r="J5572" s="3">
        <f>Vendas[[#This Row],[Valor da Venda]]-(_xlfn.XLOOKUP(Vendas[[#This Row],[ID Item Vendido]],Agregado[ID],Agregado[Custo])*Vendas[[#This Row],[Qnt Vendida]])</f>
        <v>600</v>
      </c>
      <c r="K5572" s="70">
        <f>Vendas[[#This Row],[Lucro da Venda]]/Vendas[[#This Row],[Valor da Venda]]</f>
        <v>0.18072289156626506</v>
      </c>
      <c r="L5572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572"/>
    </row>
    <row r="5573" spans="1:13" x14ac:dyDescent="0.3">
      <c r="A5573" s="7">
        <v>400248</v>
      </c>
      <c r="B5573" t="str">
        <f>_xlfn.XLOOKUP(Vendas[[#This Row],[ID Vendedor]],Vendedores[ID],Vendedores[Nome])</f>
        <v>Patrícia</v>
      </c>
      <c r="C5573" s="7" t="str">
        <f>_xlfn.XLOOKUP(Vendas[[#This Row],[ID Vendedor]],Vendedores[ID],Vendedores[Setor])</f>
        <v>CM</v>
      </c>
      <c r="D5573" s="7" t="s">
        <v>34</v>
      </c>
      <c r="E5573" t="str">
        <f>_xlfn.XLOOKUP(Vendas[[#This Row],[ID Item Vendido]],Agregado[ID],Agregado[Produto])</f>
        <v>Restos de madeira p/ MDP/OSB saco de 20kg</v>
      </c>
      <c r="F5573" s="39">
        <v>46125</v>
      </c>
      <c r="G5573" s="7">
        <v>9</v>
      </c>
      <c r="H5573" s="3">
        <f>_xlfn.XLOOKUP(Vendas[[#This Row],[ID Item Vendido]],Agregado[ID],Agregado[Revenda])</f>
        <v>13.8</v>
      </c>
      <c r="I5573" s="3">
        <f>Vendas[[#This Row],[Valor Unitário]]*Vendas[[#This Row],[Qnt Vendida]]</f>
        <v>124.2</v>
      </c>
      <c r="J5573" s="3">
        <f>Vendas[[#This Row],[Valor da Venda]]-(_xlfn.XLOOKUP(Vendas[[#This Row],[ID Item Vendido]],Agregado[ID],Agregado[Custo])*Vendas[[#This Row],[Qnt Vendida]])</f>
        <v>16.200000000000003</v>
      </c>
      <c r="K5573" s="70">
        <f>Vendas[[#This Row],[Lucro da Venda]]/Vendas[[#This Row],[Valor da Venda]]</f>
        <v>0.13043478260869568</v>
      </c>
      <c r="L5573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5573"/>
    </row>
    <row r="5574" spans="1:13" x14ac:dyDescent="0.3">
      <c r="A5574" s="7">
        <v>400254</v>
      </c>
      <c r="B5574" t="str">
        <f>_xlfn.XLOOKUP(Vendas[[#This Row],[ID Vendedor]],Vendedores[ID],Vendedores[Nome])</f>
        <v>Beatriz</v>
      </c>
      <c r="C5574" s="7" t="str">
        <f>_xlfn.XLOOKUP(Vendas[[#This Row],[ID Vendedor]],Vendedores[ID],Vendedores[Setor])</f>
        <v>SC</v>
      </c>
      <c r="D5574" s="7" t="s">
        <v>42</v>
      </c>
      <c r="E5574" t="str">
        <f>_xlfn.XLOOKUP(Vendas[[#This Row],[ID Item Vendido]],Agregado[ID],Agregado[Produto])</f>
        <v>Container de ferro industrial</v>
      </c>
      <c r="F5574" s="39">
        <v>46126</v>
      </c>
      <c r="G5574" s="7">
        <v>6</v>
      </c>
      <c r="H5574" s="3">
        <f>_xlfn.XLOOKUP(Vendas[[#This Row],[ID Item Vendido]],Agregado[ID],Agregado[Revenda])</f>
        <v>830</v>
      </c>
      <c r="I5574" s="3">
        <f>Vendas[[#This Row],[Valor Unitário]]*Vendas[[#This Row],[Qnt Vendida]]</f>
        <v>4980</v>
      </c>
      <c r="J5574" s="3">
        <f>Vendas[[#This Row],[Valor da Venda]]-(_xlfn.XLOOKUP(Vendas[[#This Row],[ID Item Vendido]],Agregado[ID],Agregado[Custo])*Vendas[[#This Row],[Qnt Vendida]])</f>
        <v>900</v>
      </c>
      <c r="K5574" s="70">
        <f>Vendas[[#This Row],[Lucro da Venda]]/Vendas[[#This Row],[Valor da Venda]]</f>
        <v>0.18072289156626506</v>
      </c>
      <c r="L5574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574"/>
    </row>
    <row r="5575" spans="1:13" x14ac:dyDescent="0.3">
      <c r="A5575" s="7">
        <v>400244</v>
      </c>
      <c r="B5575" t="str">
        <f>_xlfn.XLOOKUP(Vendas[[#This Row],[ID Vendedor]],Vendedores[ID],Vendedores[Nome])</f>
        <v>Camila</v>
      </c>
      <c r="C5575" s="7" t="str">
        <f>_xlfn.XLOOKUP(Vendas[[#This Row],[ID Vendedor]],Vendedores[ID],Vendedores[Setor])</f>
        <v>AHD</v>
      </c>
      <c r="D5575" s="7" t="s">
        <v>44</v>
      </c>
      <c r="E5575" t="str">
        <f>_xlfn.XLOOKUP(Vendas[[#This Row],[ID Item Vendido]],Agregado[ID],Agregado[Produto])</f>
        <v>Liga metálica especial</v>
      </c>
      <c r="F5575" s="39">
        <v>46126</v>
      </c>
      <c r="G5575" s="7">
        <v>48</v>
      </c>
      <c r="H5575" s="3">
        <f>_xlfn.XLOOKUP(Vendas[[#This Row],[ID Item Vendido]],Agregado[ID],Agregado[Revenda])</f>
        <v>32.5</v>
      </c>
      <c r="I5575" s="3">
        <f>Vendas[[#This Row],[Valor Unitário]]*Vendas[[#This Row],[Qnt Vendida]]</f>
        <v>1560</v>
      </c>
      <c r="J5575" s="3">
        <f>Vendas[[#This Row],[Valor da Venda]]-(_xlfn.XLOOKUP(Vendas[[#This Row],[ID Item Vendido]],Agregado[ID],Agregado[Custo])*Vendas[[#This Row],[Qnt Vendida]])</f>
        <v>360</v>
      </c>
      <c r="K5575" s="70">
        <f>Vendas[[#This Row],[Lucro da Venda]]/Vendas[[#This Row],[Valor da Venda]]</f>
        <v>0.23076923076923078</v>
      </c>
      <c r="L5575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5575"/>
    </row>
    <row r="5576" spans="1:13" x14ac:dyDescent="0.3">
      <c r="A5576" s="7">
        <v>400241</v>
      </c>
      <c r="B5576" t="str">
        <f>_xlfn.XLOOKUP(Vendas[[#This Row],[ID Vendedor]],Vendedores[ID],Vendedores[Nome])</f>
        <v>Rodrigo</v>
      </c>
      <c r="C5576" s="7" t="str">
        <f>_xlfn.XLOOKUP(Vendas[[#This Row],[ID Vendedor]],Vendedores[ID],Vendedores[Setor])</f>
        <v>FM</v>
      </c>
      <c r="D5576" s="7" t="s">
        <v>47</v>
      </c>
      <c r="E5576" t="str">
        <f>_xlfn.XLOOKUP(Vendas[[#This Row],[ID Item Vendido]],Agregado[ID],Agregado[Produto])</f>
        <v>Fio de arame galvanizado rolo 50m</v>
      </c>
      <c r="F5576" s="39">
        <v>46126</v>
      </c>
      <c r="G5576" s="7">
        <v>35</v>
      </c>
      <c r="H5576" s="3">
        <f>_xlfn.XLOOKUP(Vendas[[#This Row],[ID Item Vendido]],Agregado[ID],Agregado[Revenda])</f>
        <v>21.2</v>
      </c>
      <c r="I5576" s="3">
        <f>Vendas[[#This Row],[Valor Unitário]]*Vendas[[#This Row],[Qnt Vendida]]</f>
        <v>742</v>
      </c>
      <c r="J5576" s="3">
        <f>Vendas[[#This Row],[Valor da Venda]]-(_xlfn.XLOOKUP(Vendas[[#This Row],[ID Item Vendido]],Agregado[ID],Agregado[Custo])*Vendas[[#This Row],[Qnt Vendida]])</f>
        <v>112</v>
      </c>
      <c r="K5576" s="70">
        <f>Vendas[[#This Row],[Lucro da Venda]]/Vendas[[#This Row],[Valor da Venda]]</f>
        <v>0.15094339622641509</v>
      </c>
      <c r="L5576" s="3">
        <f>_xlfn.IFS(Vendas[[#This Row],[Margem de Lucro (%)]]&lt;15%,Vendas[[#This Row],[Valor da Venda]]*3%,Vendas[[#This Row],[Margem de Lucro (%)]]&lt;=20%,Vendas[[#This Row],[Valor da Venda]]*4.5%,TRUE,Vendas[[#This Row],[Valor da Venda]]*6%)</f>
        <v>33.39</v>
      </c>
      <c r="M5576"/>
    </row>
    <row r="5577" spans="1:13" x14ac:dyDescent="0.3">
      <c r="A5577" s="7">
        <v>400246</v>
      </c>
      <c r="B5577" t="str">
        <f>_xlfn.XLOOKUP(Vendas[[#This Row],[ID Vendedor]],Vendedores[ID],Vendedores[Nome])</f>
        <v>Juliana</v>
      </c>
      <c r="C5577" s="7" t="str">
        <f>_xlfn.XLOOKUP(Vendas[[#This Row],[ID Vendedor]],Vendedores[ID],Vendedores[Setor])</f>
        <v>AHD</v>
      </c>
      <c r="D5577" s="7" t="s">
        <v>30</v>
      </c>
      <c r="E5577" t="str">
        <f>_xlfn.XLOOKUP(Vendas[[#This Row],[ID Item Vendido]],Agregado[ID],Agregado[Produto])</f>
        <v>Estrutura metálica soldada</v>
      </c>
      <c r="F5577" s="39">
        <v>46127</v>
      </c>
      <c r="G5577" s="7">
        <v>6</v>
      </c>
      <c r="H5577" s="3">
        <f>_xlfn.XLOOKUP(Vendas[[#This Row],[ID Item Vendido]],Agregado[ID],Agregado[Revenda])</f>
        <v>400</v>
      </c>
      <c r="I5577" s="3">
        <f>Vendas[[#This Row],[Valor Unitário]]*Vendas[[#This Row],[Qnt Vendida]]</f>
        <v>2400</v>
      </c>
      <c r="J5577" s="3">
        <f>Vendas[[#This Row],[Valor da Venda]]-(_xlfn.XLOOKUP(Vendas[[#This Row],[ID Item Vendido]],Agregado[ID],Agregado[Custo])*Vendas[[#This Row],[Qnt Vendida]])</f>
        <v>480</v>
      </c>
      <c r="K5577" s="70">
        <f>Vendas[[#This Row],[Lucro da Venda]]/Vendas[[#This Row],[Valor da Venda]]</f>
        <v>0.2</v>
      </c>
      <c r="L5577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5577"/>
    </row>
    <row r="5578" spans="1:13" x14ac:dyDescent="0.3">
      <c r="A5578" s="7">
        <v>400248</v>
      </c>
      <c r="B5578" t="str">
        <f>_xlfn.XLOOKUP(Vendas[[#This Row],[ID Vendedor]],Vendedores[ID],Vendedores[Nome])</f>
        <v>Patrícia</v>
      </c>
      <c r="C5578" s="7" t="str">
        <f>_xlfn.XLOOKUP(Vendas[[#This Row],[ID Vendedor]],Vendedores[ID],Vendedores[Setor])</f>
        <v>CM</v>
      </c>
      <c r="D5578" s="7" t="s">
        <v>45</v>
      </c>
      <c r="E5578" t="str">
        <f>_xlfn.XLOOKUP(Vendas[[#This Row],[ID Item Vendido]],Agregado[ID],Agregado[Produto])</f>
        <v>Viga de madeira tratada 4m</v>
      </c>
      <c r="F5578" s="39">
        <v>46127</v>
      </c>
      <c r="G5578" s="7">
        <v>14</v>
      </c>
      <c r="H5578" s="3">
        <f>_xlfn.XLOOKUP(Vendas[[#This Row],[ID Item Vendido]],Agregado[ID],Agregado[Revenda])</f>
        <v>66</v>
      </c>
      <c r="I5578" s="3">
        <f>Vendas[[#This Row],[Valor Unitário]]*Vendas[[#This Row],[Qnt Vendida]]</f>
        <v>924</v>
      </c>
      <c r="J5578" s="3">
        <f>Vendas[[#This Row],[Valor da Venda]]-(_xlfn.XLOOKUP(Vendas[[#This Row],[ID Item Vendido]],Agregado[ID],Agregado[Custo])*Vendas[[#This Row],[Qnt Vendida]])</f>
        <v>154</v>
      </c>
      <c r="K5578" s="70">
        <f>Vendas[[#This Row],[Lucro da Venda]]/Vendas[[#This Row],[Valor da Venda]]</f>
        <v>0.16666666666666666</v>
      </c>
      <c r="L5578" s="3">
        <f>_xlfn.IFS(Vendas[[#This Row],[Margem de Lucro (%)]]&lt;15%,Vendas[[#This Row],[Valor da Venda]]*3%,Vendas[[#This Row],[Margem de Lucro (%)]]&lt;=20%,Vendas[[#This Row],[Valor da Venda]]*4.5%,TRUE,Vendas[[#This Row],[Valor da Venda]]*6%)</f>
        <v>41.58</v>
      </c>
      <c r="M5578"/>
    </row>
    <row r="5579" spans="1:13" x14ac:dyDescent="0.3">
      <c r="A5579" s="7">
        <v>400243</v>
      </c>
      <c r="B5579" t="str">
        <f>_xlfn.XLOOKUP(Vendas[[#This Row],[ID Vendedor]],Vendedores[ID],Vendedores[Nome])</f>
        <v>Marcelo</v>
      </c>
      <c r="C5579" s="7" t="str">
        <f>_xlfn.XLOOKUP(Vendas[[#This Row],[ID Vendedor]],Vendedores[ID],Vendedores[Setor])</f>
        <v>FM</v>
      </c>
      <c r="D5579" s="7" t="s">
        <v>47</v>
      </c>
      <c r="E5579" t="str">
        <f>_xlfn.XLOOKUP(Vendas[[#This Row],[ID Item Vendido]],Agregado[ID],Agregado[Produto])</f>
        <v>Fio de arame galvanizado rolo 50m</v>
      </c>
      <c r="F5579" s="39">
        <v>46127</v>
      </c>
      <c r="G5579" s="7">
        <v>37</v>
      </c>
      <c r="H5579" s="3">
        <f>_xlfn.XLOOKUP(Vendas[[#This Row],[ID Item Vendido]],Agregado[ID],Agregado[Revenda])</f>
        <v>21.2</v>
      </c>
      <c r="I5579" s="3">
        <f>Vendas[[#This Row],[Valor Unitário]]*Vendas[[#This Row],[Qnt Vendida]]</f>
        <v>784.4</v>
      </c>
      <c r="J5579" s="3">
        <f>Vendas[[#This Row],[Valor da Venda]]-(_xlfn.XLOOKUP(Vendas[[#This Row],[ID Item Vendido]],Agregado[ID],Agregado[Custo])*Vendas[[#This Row],[Qnt Vendida]])</f>
        <v>118.39999999999998</v>
      </c>
      <c r="K5579" s="70">
        <f>Vendas[[#This Row],[Lucro da Venda]]/Vendas[[#This Row],[Valor da Venda]]</f>
        <v>0.15094339622641506</v>
      </c>
      <c r="L5579" s="3">
        <f>_xlfn.IFS(Vendas[[#This Row],[Margem de Lucro (%)]]&lt;15%,Vendas[[#This Row],[Valor da Venda]]*3%,Vendas[[#This Row],[Margem de Lucro (%)]]&lt;=20%,Vendas[[#This Row],[Valor da Venda]]*4.5%,TRUE,Vendas[[#This Row],[Valor da Venda]]*6%)</f>
        <v>35.297999999999995</v>
      </c>
      <c r="M5579"/>
    </row>
    <row r="5580" spans="1:13" x14ac:dyDescent="0.3">
      <c r="A5580" s="7">
        <v>400244</v>
      </c>
      <c r="B5580" t="str">
        <f>_xlfn.XLOOKUP(Vendas[[#This Row],[ID Vendedor]],Vendedores[ID],Vendedores[Nome])</f>
        <v>Camila</v>
      </c>
      <c r="C5580" s="7" t="str">
        <f>_xlfn.XLOOKUP(Vendas[[#This Row],[ID Vendedor]],Vendedores[ID],Vendedores[Setor])</f>
        <v>AHD</v>
      </c>
      <c r="D5580" s="7" t="s">
        <v>30</v>
      </c>
      <c r="E5580" t="str">
        <f>_xlfn.XLOOKUP(Vendas[[#This Row],[ID Item Vendido]],Agregado[ID],Agregado[Produto])</f>
        <v>Estrutura metálica soldada</v>
      </c>
      <c r="F5580" s="39">
        <v>46127</v>
      </c>
      <c r="G5580" s="7">
        <v>1</v>
      </c>
      <c r="H5580" s="3">
        <f>_xlfn.XLOOKUP(Vendas[[#This Row],[ID Item Vendido]],Agregado[ID],Agregado[Revenda])</f>
        <v>400</v>
      </c>
      <c r="I5580" s="3">
        <f>Vendas[[#This Row],[Valor Unitário]]*Vendas[[#This Row],[Qnt Vendida]]</f>
        <v>400</v>
      </c>
      <c r="J5580" s="3">
        <f>Vendas[[#This Row],[Valor da Venda]]-(_xlfn.XLOOKUP(Vendas[[#This Row],[ID Item Vendido]],Agregado[ID],Agregado[Custo])*Vendas[[#This Row],[Qnt Vendida]])</f>
        <v>80</v>
      </c>
      <c r="K5580" s="70">
        <f>Vendas[[#This Row],[Lucro da Venda]]/Vendas[[#This Row],[Valor da Venda]]</f>
        <v>0.2</v>
      </c>
      <c r="L5580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5580"/>
    </row>
    <row r="5581" spans="1:13" x14ac:dyDescent="0.3">
      <c r="A5581" s="7">
        <v>400252</v>
      </c>
      <c r="B5581" t="str">
        <f>_xlfn.XLOOKUP(Vendas[[#This Row],[ID Vendedor]],Vendedores[ID],Vendedores[Nome])</f>
        <v>Renata</v>
      </c>
      <c r="C5581" s="7" t="str">
        <f>_xlfn.XLOOKUP(Vendas[[#This Row],[ID Vendedor]],Vendedores[ID],Vendedores[Setor])</f>
        <v>AB</v>
      </c>
      <c r="D5581" s="7" t="s">
        <v>39</v>
      </c>
      <c r="E5581" t="str">
        <f>_xlfn.XLOOKUP(Vendas[[#This Row],[ID Item Vendido]],Agregado[ID],Agregado[Produto])</f>
        <v>Filme plástico industrial rolo 50m</v>
      </c>
      <c r="F5581" s="39">
        <v>46127</v>
      </c>
      <c r="G5581" s="7">
        <v>7</v>
      </c>
      <c r="H5581" s="3">
        <f>_xlfn.XLOOKUP(Vendas[[#This Row],[ID Item Vendido]],Agregado[ID],Agregado[Revenda])</f>
        <v>37</v>
      </c>
      <c r="I5581" s="3">
        <f>Vendas[[#This Row],[Valor Unitário]]*Vendas[[#This Row],[Qnt Vendida]]</f>
        <v>259</v>
      </c>
      <c r="J5581" s="3">
        <f>Vendas[[#This Row],[Valor da Venda]]-(_xlfn.XLOOKUP(Vendas[[#This Row],[ID Item Vendido]],Agregado[ID],Agregado[Custo])*Vendas[[#This Row],[Qnt Vendida]])</f>
        <v>63</v>
      </c>
      <c r="K5581" s="70">
        <f>Vendas[[#This Row],[Lucro da Venda]]/Vendas[[#This Row],[Valor da Venda]]</f>
        <v>0.24324324324324326</v>
      </c>
      <c r="L5581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5581"/>
    </row>
    <row r="5582" spans="1:13" x14ac:dyDescent="0.3">
      <c r="A5582" s="7">
        <v>400254</v>
      </c>
      <c r="B5582" t="str">
        <f>_xlfn.XLOOKUP(Vendas[[#This Row],[ID Vendedor]],Vendedores[ID],Vendedores[Nome])</f>
        <v>Beatriz</v>
      </c>
      <c r="C5582" s="7" t="str">
        <f>_xlfn.XLOOKUP(Vendas[[#This Row],[ID Vendedor]],Vendedores[ID],Vendedores[Setor])</f>
        <v>SC</v>
      </c>
      <c r="D5582" s="7" t="s">
        <v>48</v>
      </c>
      <c r="E5582" t="str">
        <f>_xlfn.XLOOKUP(Vendas[[#This Row],[ID Item Vendido]],Agregado[ID],Agregado[Produto])</f>
        <v>Tambor metálico 200L</v>
      </c>
      <c r="F5582" s="39">
        <v>46128</v>
      </c>
      <c r="G5582" s="7">
        <v>19</v>
      </c>
      <c r="H5582" s="3">
        <f>_xlfn.XLOOKUP(Vendas[[#This Row],[ID Item Vendido]],Agregado[ID],Agregado[Revenda])</f>
        <v>144</v>
      </c>
      <c r="I5582" s="3">
        <f>Vendas[[#This Row],[Valor Unitário]]*Vendas[[#This Row],[Qnt Vendida]]</f>
        <v>2736</v>
      </c>
      <c r="J5582" s="3">
        <f>Vendas[[#This Row],[Valor da Venda]]-(_xlfn.XLOOKUP(Vendas[[#This Row],[ID Item Vendido]],Agregado[ID],Agregado[Custo])*Vendas[[#This Row],[Qnt Vendida]])</f>
        <v>456</v>
      </c>
      <c r="K5582" s="70">
        <f>Vendas[[#This Row],[Lucro da Venda]]/Vendas[[#This Row],[Valor da Venda]]</f>
        <v>0.16666666666666666</v>
      </c>
      <c r="L5582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5582"/>
    </row>
    <row r="5583" spans="1:13" x14ac:dyDescent="0.3">
      <c r="A5583" s="7">
        <v>400243</v>
      </c>
      <c r="B5583" t="str">
        <f>_xlfn.XLOOKUP(Vendas[[#This Row],[ID Vendedor]],Vendedores[ID],Vendedores[Nome])</f>
        <v>Marcelo</v>
      </c>
      <c r="C5583" s="7" t="str">
        <f>_xlfn.XLOOKUP(Vendas[[#This Row],[ID Vendedor]],Vendedores[ID],Vendedores[Setor])</f>
        <v>FM</v>
      </c>
      <c r="D5583" s="7" t="s">
        <v>27</v>
      </c>
      <c r="E5583" t="str">
        <f>_xlfn.XLOOKUP(Vendas[[#This Row],[ID Item Vendido]],Agregado[ID],Agregado[Produto])</f>
        <v>Chapa de metal lisa 1x2m</v>
      </c>
      <c r="F5583" s="39">
        <v>46128</v>
      </c>
      <c r="G5583" s="7">
        <v>3</v>
      </c>
      <c r="H5583" s="3">
        <f>_xlfn.XLOOKUP(Vendas[[#This Row],[ID Item Vendido]],Agregado[ID],Agregado[Revenda])</f>
        <v>52</v>
      </c>
      <c r="I5583" s="3">
        <f>Vendas[[#This Row],[Valor Unitário]]*Vendas[[#This Row],[Qnt Vendida]]</f>
        <v>156</v>
      </c>
      <c r="J5583" s="3">
        <f>Vendas[[#This Row],[Valor da Venda]]-(_xlfn.XLOOKUP(Vendas[[#This Row],[ID Item Vendido]],Agregado[ID],Agregado[Custo])*Vendas[[#This Row],[Qnt Vendida]])</f>
        <v>21</v>
      </c>
      <c r="K5583" s="70">
        <f>Vendas[[#This Row],[Lucro da Venda]]/Vendas[[#This Row],[Valor da Venda]]</f>
        <v>0.13461538461538461</v>
      </c>
      <c r="L5583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583"/>
    </row>
    <row r="5584" spans="1:13" x14ac:dyDescent="0.3">
      <c r="A5584" s="7">
        <v>400245</v>
      </c>
      <c r="B5584" t="str">
        <f>_xlfn.XLOOKUP(Vendas[[#This Row],[ID Vendedor]],Vendedores[ID],Vendedores[Nome])</f>
        <v>Thiago</v>
      </c>
      <c r="C5584" s="7" t="str">
        <f>_xlfn.XLOOKUP(Vendas[[#This Row],[ID Vendedor]],Vendedores[ID],Vendedores[Setor])</f>
        <v>AHD</v>
      </c>
      <c r="D5584" s="7" t="s">
        <v>18</v>
      </c>
      <c r="E5584" t="str">
        <f>_xlfn.XLOOKUP(Vendas[[#This Row],[ID Item Vendido]],Agregado[ID],Agregado[Produto])</f>
        <v>Peça forjada sob encomenda</v>
      </c>
      <c r="F5584" s="39">
        <v>46129</v>
      </c>
      <c r="G5584" s="7">
        <v>4</v>
      </c>
      <c r="H5584" s="3">
        <f>_xlfn.XLOOKUP(Vendas[[#This Row],[ID Item Vendido]],Agregado[ID],Agregado[Revenda])</f>
        <v>264.60000000000002</v>
      </c>
      <c r="I5584" s="3">
        <f>Vendas[[#This Row],[Valor Unitário]]*Vendas[[#This Row],[Qnt Vendida]]</f>
        <v>1058.4000000000001</v>
      </c>
      <c r="J5584" s="3">
        <f>Vendas[[#This Row],[Valor da Venda]]-(_xlfn.XLOOKUP(Vendas[[#This Row],[ID Item Vendido]],Agregado[ID],Agregado[Custo])*Vendas[[#This Row],[Qnt Vendida]])</f>
        <v>58.400000000000091</v>
      </c>
      <c r="K5584" s="70">
        <f>Vendas[[#This Row],[Lucro da Venda]]/Vendas[[#This Row],[Valor da Venda]]</f>
        <v>5.5177626606198113E-2</v>
      </c>
      <c r="L5584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584"/>
    </row>
    <row r="5585" spans="1:13" x14ac:dyDescent="0.3">
      <c r="A5585" s="7">
        <v>400254</v>
      </c>
      <c r="B5585" t="str">
        <f>_xlfn.XLOOKUP(Vendas[[#This Row],[ID Vendedor]],Vendedores[ID],Vendedores[Nome])</f>
        <v>Beatriz</v>
      </c>
      <c r="C5585" s="7" t="str">
        <f>_xlfn.XLOOKUP(Vendas[[#This Row],[ID Vendedor]],Vendedores[ID],Vendedores[Setor])</f>
        <v>SC</v>
      </c>
      <c r="D5585" s="7" t="s">
        <v>14</v>
      </c>
      <c r="E5585" t="str">
        <f>_xlfn.XLOOKUP(Vendas[[#This Row],[ID Item Vendido]],Agregado[ID],Agregado[Produto])</f>
        <v>Barril de plástico 200L</v>
      </c>
      <c r="F5585" s="39">
        <v>46129</v>
      </c>
      <c r="G5585" s="7">
        <v>8</v>
      </c>
      <c r="H5585" s="3">
        <f>_xlfn.XLOOKUP(Vendas[[#This Row],[ID Item Vendido]],Agregado[ID],Agregado[Revenda])</f>
        <v>114</v>
      </c>
      <c r="I5585" s="3">
        <f>Vendas[[#This Row],[Valor Unitário]]*Vendas[[#This Row],[Qnt Vendida]]</f>
        <v>912</v>
      </c>
      <c r="J5585" s="3">
        <f>Vendas[[#This Row],[Valor da Venda]]-(_xlfn.XLOOKUP(Vendas[[#This Row],[ID Item Vendido]],Agregado[ID],Agregado[Custo])*Vendas[[#This Row],[Qnt Vendida]])</f>
        <v>152</v>
      </c>
      <c r="K5585" s="70">
        <f>Vendas[[#This Row],[Lucro da Venda]]/Vendas[[#This Row],[Valor da Venda]]</f>
        <v>0.16666666666666666</v>
      </c>
      <c r="L5585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5585"/>
    </row>
    <row r="5586" spans="1:13" x14ac:dyDescent="0.3">
      <c r="A5586" s="7">
        <v>400250</v>
      </c>
      <c r="B5586" t="str">
        <f>_xlfn.XLOOKUP(Vendas[[#This Row],[ID Vendedor]],Vendedores[ID],Vendedores[Nome])</f>
        <v>Larissa</v>
      </c>
      <c r="C5586" s="7" t="str">
        <f>_xlfn.XLOOKUP(Vendas[[#This Row],[ID Vendedor]],Vendedores[ID],Vendedores[Setor])</f>
        <v>AB</v>
      </c>
      <c r="D5586" s="7" t="s">
        <v>12</v>
      </c>
      <c r="E5586" t="str">
        <f>_xlfn.XLOOKUP(Vendas[[#This Row],[ID Item Vendido]],Agregado[ID],Agregado[Produto])</f>
        <v>Grânulo de plástico reciclado refinado</v>
      </c>
      <c r="F5586" s="39">
        <v>46129</v>
      </c>
      <c r="G5586" s="7">
        <v>77</v>
      </c>
      <c r="H5586" s="3">
        <f>_xlfn.XLOOKUP(Vendas[[#This Row],[ID Item Vendido]],Agregado[ID],Agregado[Revenda])</f>
        <v>4.7</v>
      </c>
      <c r="I5586" s="3">
        <f>Vendas[[#This Row],[Valor Unitário]]*Vendas[[#This Row],[Qnt Vendida]]</f>
        <v>361.90000000000003</v>
      </c>
      <c r="J5586" s="3">
        <f>Vendas[[#This Row],[Valor da Venda]]-(_xlfn.XLOOKUP(Vendas[[#This Row],[ID Item Vendido]],Agregado[ID],Agregado[Custo])*Vendas[[#This Row],[Qnt Vendida]])</f>
        <v>92.400000000000034</v>
      </c>
      <c r="K5586" s="70">
        <f>Vendas[[#This Row],[Lucro da Venda]]/Vendas[[#This Row],[Valor da Venda]]</f>
        <v>0.2553191489361703</v>
      </c>
      <c r="L5586" s="3">
        <f>_xlfn.IFS(Vendas[[#This Row],[Margem de Lucro (%)]]&lt;15%,Vendas[[#This Row],[Valor da Venda]]*3%,Vendas[[#This Row],[Margem de Lucro (%)]]&lt;=20%,Vendas[[#This Row],[Valor da Venda]]*4.5%,TRUE,Vendas[[#This Row],[Valor da Venda]]*6%)</f>
        <v>21.714000000000002</v>
      </c>
      <c r="M5586"/>
    </row>
    <row r="5587" spans="1:13" x14ac:dyDescent="0.3">
      <c r="A5587" s="7">
        <v>400242</v>
      </c>
      <c r="B5587" t="str">
        <f>_xlfn.XLOOKUP(Vendas[[#This Row],[ID Vendedor]],Vendedores[ID],Vendedores[Nome])</f>
        <v>Fernanda</v>
      </c>
      <c r="C5587" s="7" t="str">
        <f>_xlfn.XLOOKUP(Vendas[[#This Row],[ID Vendedor]],Vendedores[ID],Vendedores[Setor])</f>
        <v>FM</v>
      </c>
      <c r="D5587" s="7" t="s">
        <v>47</v>
      </c>
      <c r="E5587" t="str">
        <f>_xlfn.XLOOKUP(Vendas[[#This Row],[ID Item Vendido]],Agregado[ID],Agregado[Produto])</f>
        <v>Fio de arame galvanizado rolo 50m</v>
      </c>
      <c r="F5587" s="39">
        <v>46130</v>
      </c>
      <c r="G5587" s="7">
        <v>16</v>
      </c>
      <c r="H5587" s="3">
        <f>_xlfn.XLOOKUP(Vendas[[#This Row],[ID Item Vendido]],Agregado[ID],Agregado[Revenda])</f>
        <v>21.2</v>
      </c>
      <c r="I5587" s="3">
        <f>Vendas[[#This Row],[Valor Unitário]]*Vendas[[#This Row],[Qnt Vendida]]</f>
        <v>339.2</v>
      </c>
      <c r="J5587" s="3">
        <f>Vendas[[#This Row],[Valor da Venda]]-(_xlfn.XLOOKUP(Vendas[[#This Row],[ID Item Vendido]],Agregado[ID],Agregado[Custo])*Vendas[[#This Row],[Qnt Vendida]])</f>
        <v>51.199999999999989</v>
      </c>
      <c r="K5587" s="70">
        <f>Vendas[[#This Row],[Lucro da Venda]]/Vendas[[#This Row],[Valor da Venda]]</f>
        <v>0.15094339622641506</v>
      </c>
      <c r="L5587" s="3">
        <f>_xlfn.IFS(Vendas[[#This Row],[Margem de Lucro (%)]]&lt;15%,Vendas[[#This Row],[Valor da Venda]]*3%,Vendas[[#This Row],[Margem de Lucro (%)]]&lt;=20%,Vendas[[#This Row],[Valor da Venda]]*4.5%,TRUE,Vendas[[#This Row],[Valor da Venda]]*6%)</f>
        <v>15.263999999999999</v>
      </c>
      <c r="M5587"/>
    </row>
    <row r="5588" spans="1:13" x14ac:dyDescent="0.3">
      <c r="A5588" s="7">
        <v>400255</v>
      </c>
      <c r="B5588" t="str">
        <f>_xlfn.XLOOKUP(Vendas[[#This Row],[ID Vendedor]],Vendedores[ID],Vendedores[Nome])</f>
        <v>Carlos</v>
      </c>
      <c r="C5588" s="7" t="str">
        <f>_xlfn.XLOOKUP(Vendas[[#This Row],[ID Vendedor]],Vendedores[ID],Vendedores[Setor])</f>
        <v>SC</v>
      </c>
      <c r="D5588" s="7" t="s">
        <v>25</v>
      </c>
      <c r="E5588" t="str">
        <f>_xlfn.XLOOKUP(Vendas[[#This Row],[ID Item Vendido]],Agregado[ID],Agregado[Produto])</f>
        <v>Palete de plástico</v>
      </c>
      <c r="F5588" s="39">
        <v>46130</v>
      </c>
      <c r="G5588" s="7">
        <v>4</v>
      </c>
      <c r="H5588" s="3">
        <f>_xlfn.XLOOKUP(Vendas[[#This Row],[ID Item Vendido]],Agregado[ID],Agregado[Revenda])</f>
        <v>70.8</v>
      </c>
      <c r="I5588" s="3">
        <f>Vendas[[#This Row],[Valor Unitário]]*Vendas[[#This Row],[Qnt Vendida]]</f>
        <v>283.2</v>
      </c>
      <c r="J5588" s="3">
        <f>Vendas[[#This Row],[Valor da Venda]]-(_xlfn.XLOOKUP(Vendas[[#This Row],[ID Item Vendido]],Agregado[ID],Agregado[Custo])*Vendas[[#This Row],[Qnt Vendida]])</f>
        <v>43.199999999999989</v>
      </c>
      <c r="K5588" s="70">
        <f>Vendas[[#This Row],[Lucro da Venda]]/Vendas[[#This Row],[Valor da Venda]]</f>
        <v>0.15254237288135589</v>
      </c>
      <c r="L5588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5588"/>
    </row>
    <row r="5589" spans="1:13" x14ac:dyDescent="0.3">
      <c r="A5589" s="7">
        <v>400244</v>
      </c>
      <c r="B5589" t="str">
        <f>_xlfn.XLOOKUP(Vendas[[#This Row],[ID Vendedor]],Vendedores[ID],Vendedores[Nome])</f>
        <v>Camila</v>
      </c>
      <c r="C5589" s="7" t="str">
        <f>_xlfn.XLOOKUP(Vendas[[#This Row],[ID Vendedor]],Vendedores[ID],Vendedores[Setor])</f>
        <v>AHD</v>
      </c>
      <c r="D5589" s="7" t="s">
        <v>28</v>
      </c>
      <c r="E5589" t="str">
        <f>_xlfn.XLOOKUP(Vendas[[#This Row],[ID Item Vendido]],Agregado[ID],Agregado[Produto])</f>
        <v>Peça usinada CNC</v>
      </c>
      <c r="F5589" s="39">
        <v>46131</v>
      </c>
      <c r="G5589" s="7">
        <v>12</v>
      </c>
      <c r="H5589" s="3">
        <f>_xlfn.XLOOKUP(Vendas[[#This Row],[ID Item Vendido]],Agregado[ID],Agregado[Revenda])</f>
        <v>192</v>
      </c>
      <c r="I5589" s="3">
        <f>Vendas[[#This Row],[Valor Unitário]]*Vendas[[#This Row],[Qnt Vendida]]</f>
        <v>2304</v>
      </c>
      <c r="J5589" s="3">
        <f>Vendas[[#This Row],[Valor da Venda]]-(_xlfn.XLOOKUP(Vendas[[#This Row],[ID Item Vendido]],Agregado[ID],Agregado[Custo])*Vendas[[#This Row],[Qnt Vendida]])</f>
        <v>504</v>
      </c>
      <c r="K5589" s="70">
        <f>Vendas[[#This Row],[Lucro da Venda]]/Vendas[[#This Row],[Valor da Venda]]</f>
        <v>0.21875</v>
      </c>
      <c r="L5589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5589"/>
    </row>
    <row r="5590" spans="1:13" x14ac:dyDescent="0.3">
      <c r="A5590" s="7">
        <v>400245</v>
      </c>
      <c r="B5590" t="str">
        <f>_xlfn.XLOOKUP(Vendas[[#This Row],[ID Vendedor]],Vendedores[ID],Vendedores[Nome])</f>
        <v>Thiago</v>
      </c>
      <c r="C5590" s="7" t="str">
        <f>_xlfn.XLOOKUP(Vendas[[#This Row],[ID Vendedor]],Vendedores[ID],Vendedores[Setor])</f>
        <v>AHD</v>
      </c>
      <c r="D5590" s="7" t="s">
        <v>18</v>
      </c>
      <c r="E5590" t="str">
        <f>_xlfn.XLOOKUP(Vendas[[#This Row],[ID Item Vendido]],Agregado[ID],Agregado[Produto])</f>
        <v>Peça forjada sob encomenda</v>
      </c>
      <c r="F5590" s="39">
        <v>46131</v>
      </c>
      <c r="G5590" s="7">
        <v>4</v>
      </c>
      <c r="H5590" s="3">
        <f>_xlfn.XLOOKUP(Vendas[[#This Row],[ID Item Vendido]],Agregado[ID],Agregado[Revenda])</f>
        <v>264.60000000000002</v>
      </c>
      <c r="I5590" s="3">
        <f>Vendas[[#This Row],[Valor Unitário]]*Vendas[[#This Row],[Qnt Vendida]]</f>
        <v>1058.4000000000001</v>
      </c>
      <c r="J5590" s="3">
        <f>Vendas[[#This Row],[Valor da Venda]]-(_xlfn.XLOOKUP(Vendas[[#This Row],[ID Item Vendido]],Agregado[ID],Agregado[Custo])*Vendas[[#This Row],[Qnt Vendida]])</f>
        <v>58.400000000000091</v>
      </c>
      <c r="K5590" s="70">
        <f>Vendas[[#This Row],[Lucro da Venda]]/Vendas[[#This Row],[Valor da Venda]]</f>
        <v>5.5177626606198113E-2</v>
      </c>
      <c r="L5590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590"/>
    </row>
    <row r="5591" spans="1:13" x14ac:dyDescent="0.3">
      <c r="A5591" s="7">
        <v>400244</v>
      </c>
      <c r="B5591" t="str">
        <f>_xlfn.XLOOKUP(Vendas[[#This Row],[ID Vendedor]],Vendedores[ID],Vendedores[Nome])</f>
        <v>Camila</v>
      </c>
      <c r="C5591" s="7" t="str">
        <f>_xlfn.XLOOKUP(Vendas[[#This Row],[ID Vendedor]],Vendedores[ID],Vendedores[Setor])</f>
        <v>AHD</v>
      </c>
      <c r="D5591" s="7" t="s">
        <v>30</v>
      </c>
      <c r="E5591" t="str">
        <f>_xlfn.XLOOKUP(Vendas[[#This Row],[ID Item Vendido]],Agregado[ID],Agregado[Produto])</f>
        <v>Estrutura metálica soldada</v>
      </c>
      <c r="F5591" s="39">
        <v>46131</v>
      </c>
      <c r="G5591" s="7">
        <v>2</v>
      </c>
      <c r="H5591" s="3">
        <f>_xlfn.XLOOKUP(Vendas[[#This Row],[ID Item Vendido]],Agregado[ID],Agregado[Revenda])</f>
        <v>400</v>
      </c>
      <c r="I5591" s="3">
        <f>Vendas[[#This Row],[Valor Unitário]]*Vendas[[#This Row],[Qnt Vendida]]</f>
        <v>800</v>
      </c>
      <c r="J5591" s="3">
        <f>Vendas[[#This Row],[Valor da Venda]]-(_xlfn.XLOOKUP(Vendas[[#This Row],[ID Item Vendido]],Agregado[ID],Agregado[Custo])*Vendas[[#This Row],[Qnt Vendida]])</f>
        <v>160</v>
      </c>
      <c r="K5591" s="70">
        <f>Vendas[[#This Row],[Lucro da Venda]]/Vendas[[#This Row],[Valor da Venda]]</f>
        <v>0.2</v>
      </c>
      <c r="L5591" s="3">
        <f>_xlfn.IFS(Vendas[[#This Row],[Margem de Lucro (%)]]&lt;15%,Vendas[[#This Row],[Valor da Venda]]*3%,Vendas[[#This Row],[Margem de Lucro (%)]]&lt;=20%,Vendas[[#This Row],[Valor da Venda]]*4.5%,TRUE,Vendas[[#This Row],[Valor da Venda]]*6%)</f>
        <v>36</v>
      </c>
      <c r="M5591"/>
    </row>
    <row r="5592" spans="1:13" x14ac:dyDescent="0.3">
      <c r="A5592" s="7">
        <v>400248</v>
      </c>
      <c r="B5592" t="str">
        <f>_xlfn.XLOOKUP(Vendas[[#This Row],[ID Vendedor]],Vendedores[ID],Vendedores[Nome])</f>
        <v>Patrícia</v>
      </c>
      <c r="C5592" s="7" t="str">
        <f>_xlfn.XLOOKUP(Vendas[[#This Row],[ID Vendedor]],Vendedores[ID],Vendedores[Setor])</f>
        <v>CM</v>
      </c>
      <c r="D5592" s="7" t="s">
        <v>45</v>
      </c>
      <c r="E5592" t="str">
        <f>_xlfn.XLOOKUP(Vendas[[#This Row],[ID Item Vendido]],Agregado[ID],Agregado[Produto])</f>
        <v>Viga de madeira tratada 4m</v>
      </c>
      <c r="F5592" s="39">
        <v>46131</v>
      </c>
      <c r="G5592" s="7">
        <v>9</v>
      </c>
      <c r="H5592" s="3">
        <f>_xlfn.XLOOKUP(Vendas[[#This Row],[ID Item Vendido]],Agregado[ID],Agregado[Revenda])</f>
        <v>66</v>
      </c>
      <c r="I5592" s="3">
        <f>Vendas[[#This Row],[Valor Unitário]]*Vendas[[#This Row],[Qnt Vendida]]</f>
        <v>594</v>
      </c>
      <c r="J5592" s="3">
        <f>Vendas[[#This Row],[Valor da Venda]]-(_xlfn.XLOOKUP(Vendas[[#This Row],[ID Item Vendido]],Agregado[ID],Agregado[Custo])*Vendas[[#This Row],[Qnt Vendida]])</f>
        <v>99</v>
      </c>
      <c r="K5592" s="70">
        <f>Vendas[[#This Row],[Lucro da Venda]]/Vendas[[#This Row],[Valor da Venda]]</f>
        <v>0.16666666666666666</v>
      </c>
      <c r="L5592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5592"/>
    </row>
    <row r="5593" spans="1:13" x14ac:dyDescent="0.3">
      <c r="A5593" s="7">
        <v>400246</v>
      </c>
      <c r="B5593" t="str">
        <f>_xlfn.XLOOKUP(Vendas[[#This Row],[ID Vendedor]],Vendedores[ID],Vendedores[Nome])</f>
        <v>Juliana</v>
      </c>
      <c r="C5593" s="7" t="str">
        <f>_xlfn.XLOOKUP(Vendas[[#This Row],[ID Vendedor]],Vendedores[ID],Vendedores[Setor])</f>
        <v>AHD</v>
      </c>
      <c r="D5593" s="7" t="s">
        <v>18</v>
      </c>
      <c r="E5593" t="str">
        <f>_xlfn.XLOOKUP(Vendas[[#This Row],[ID Item Vendido]],Agregado[ID],Agregado[Produto])</f>
        <v>Peça forjada sob encomenda</v>
      </c>
      <c r="F5593" s="39">
        <v>46131</v>
      </c>
      <c r="G5593" s="7">
        <v>1</v>
      </c>
      <c r="H5593" s="3">
        <f>_xlfn.XLOOKUP(Vendas[[#This Row],[ID Item Vendido]],Agregado[ID],Agregado[Revenda])</f>
        <v>264.60000000000002</v>
      </c>
      <c r="I5593" s="3">
        <f>Vendas[[#This Row],[Valor Unitário]]*Vendas[[#This Row],[Qnt Vendida]]</f>
        <v>264.60000000000002</v>
      </c>
      <c r="J5593" s="3">
        <f>Vendas[[#This Row],[Valor da Venda]]-(_xlfn.XLOOKUP(Vendas[[#This Row],[ID Item Vendido]],Agregado[ID],Agregado[Custo])*Vendas[[#This Row],[Qnt Vendida]])</f>
        <v>14.600000000000023</v>
      </c>
      <c r="K5593" s="70">
        <f>Vendas[[#This Row],[Lucro da Venda]]/Vendas[[#This Row],[Valor da Venda]]</f>
        <v>5.5177626606198113E-2</v>
      </c>
      <c r="L5593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593"/>
    </row>
    <row r="5594" spans="1:13" x14ac:dyDescent="0.3">
      <c r="A5594" s="7">
        <v>400249</v>
      </c>
      <c r="B5594" t="str">
        <f>_xlfn.XLOOKUP(Vendas[[#This Row],[ID Vendedor]],Vendedores[ID],Vendedores[Nome])</f>
        <v>Bruno</v>
      </c>
      <c r="C5594" s="7" t="str">
        <f>_xlfn.XLOOKUP(Vendas[[#This Row],[ID Vendedor]],Vendedores[ID],Vendedores[Setor])</f>
        <v>CM</v>
      </c>
      <c r="D5594" s="7" t="s">
        <v>32</v>
      </c>
      <c r="E5594" t="str">
        <f>_xlfn.XLOOKUP(Vendas[[#This Row],[ID Item Vendido]],Agregado[ID],Agregado[Produto])</f>
        <v>Tábua tratada e cortada 3m</v>
      </c>
      <c r="F5594" s="39">
        <v>46132</v>
      </c>
      <c r="G5594" s="7">
        <v>18</v>
      </c>
      <c r="H5594" s="3">
        <f>_xlfn.XLOOKUP(Vendas[[#This Row],[ID Item Vendido]],Agregado[ID],Agregado[Revenda])</f>
        <v>39</v>
      </c>
      <c r="I5594" s="3">
        <f>Vendas[[#This Row],[Valor Unitário]]*Vendas[[#This Row],[Qnt Vendida]]</f>
        <v>702</v>
      </c>
      <c r="J5594" s="3">
        <f>Vendas[[#This Row],[Valor da Venda]]-(_xlfn.XLOOKUP(Vendas[[#This Row],[ID Item Vendido]],Agregado[ID],Agregado[Custo])*Vendas[[#This Row],[Qnt Vendida]])</f>
        <v>126</v>
      </c>
      <c r="K5594" s="70">
        <f>Vendas[[#This Row],[Lucro da Venda]]/Vendas[[#This Row],[Valor da Venda]]</f>
        <v>0.17948717948717949</v>
      </c>
      <c r="L5594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5594"/>
    </row>
    <row r="5595" spans="1:13" x14ac:dyDescent="0.3">
      <c r="A5595" s="7">
        <v>400246</v>
      </c>
      <c r="B5595" t="str">
        <f>_xlfn.XLOOKUP(Vendas[[#This Row],[ID Vendedor]],Vendedores[ID],Vendedores[Nome])</f>
        <v>Juliana</v>
      </c>
      <c r="C5595" s="7" t="str">
        <f>_xlfn.XLOOKUP(Vendas[[#This Row],[ID Vendedor]],Vendedores[ID],Vendedores[Setor])</f>
        <v>AHD</v>
      </c>
      <c r="D5595" s="7" t="s">
        <v>44</v>
      </c>
      <c r="E5595" t="str">
        <f>_xlfn.XLOOKUP(Vendas[[#This Row],[ID Item Vendido]],Agregado[ID],Agregado[Produto])</f>
        <v>Liga metálica especial</v>
      </c>
      <c r="F5595" s="39">
        <v>46132</v>
      </c>
      <c r="G5595" s="7">
        <v>14</v>
      </c>
      <c r="H5595" s="3">
        <f>_xlfn.XLOOKUP(Vendas[[#This Row],[ID Item Vendido]],Agregado[ID],Agregado[Revenda])</f>
        <v>32.5</v>
      </c>
      <c r="I5595" s="3">
        <f>Vendas[[#This Row],[Valor Unitário]]*Vendas[[#This Row],[Qnt Vendida]]</f>
        <v>455</v>
      </c>
      <c r="J5595" s="3">
        <f>Vendas[[#This Row],[Valor da Venda]]-(_xlfn.XLOOKUP(Vendas[[#This Row],[ID Item Vendido]],Agregado[ID],Agregado[Custo])*Vendas[[#This Row],[Qnt Vendida]])</f>
        <v>105</v>
      </c>
      <c r="K5595" s="70">
        <f>Vendas[[#This Row],[Lucro da Venda]]/Vendas[[#This Row],[Valor da Venda]]</f>
        <v>0.23076923076923078</v>
      </c>
      <c r="L5595" s="3">
        <f>_xlfn.IFS(Vendas[[#This Row],[Margem de Lucro (%)]]&lt;15%,Vendas[[#This Row],[Valor da Venda]]*3%,Vendas[[#This Row],[Margem de Lucro (%)]]&lt;=20%,Vendas[[#This Row],[Valor da Venda]]*4.5%,TRUE,Vendas[[#This Row],[Valor da Venda]]*6%)</f>
        <v>27.3</v>
      </c>
      <c r="M5595"/>
    </row>
    <row r="5596" spans="1:13" x14ac:dyDescent="0.3">
      <c r="A5596" s="7">
        <v>400251</v>
      </c>
      <c r="B5596" t="str">
        <f>_xlfn.XLOOKUP(Vendas[[#This Row],[ID Vendedor]],Vendedores[ID],Vendedores[Nome])</f>
        <v>Diego</v>
      </c>
      <c r="C5596" s="7" t="str">
        <f>_xlfn.XLOOKUP(Vendas[[#This Row],[ID Vendedor]],Vendedores[ID],Vendedores[Setor])</f>
        <v>AB</v>
      </c>
      <c r="D5596" s="7" t="s">
        <v>37</v>
      </c>
      <c r="E5596" t="str">
        <f>_xlfn.XLOOKUP(Vendas[[#This Row],[ID Item Vendido]],Agregado[ID],Agregado[Produto])</f>
        <v>Composto de borracha para vedação rolo 10m</v>
      </c>
      <c r="F5596" s="39">
        <v>46132</v>
      </c>
      <c r="G5596" s="7">
        <v>7</v>
      </c>
      <c r="H5596" s="3">
        <f>_xlfn.XLOOKUP(Vendas[[#This Row],[ID Item Vendido]],Agregado[ID],Agregado[Revenda])</f>
        <v>51.2</v>
      </c>
      <c r="I5596" s="3">
        <f>Vendas[[#This Row],[Valor Unitário]]*Vendas[[#This Row],[Qnt Vendida]]</f>
        <v>358.40000000000003</v>
      </c>
      <c r="J5596" s="3">
        <f>Vendas[[#This Row],[Valor da Venda]]-(_xlfn.XLOOKUP(Vendas[[#This Row],[ID Item Vendido]],Agregado[ID],Agregado[Custo])*Vendas[[#This Row],[Qnt Vendida]])</f>
        <v>78.400000000000034</v>
      </c>
      <c r="K5596" s="70">
        <f>Vendas[[#This Row],[Lucro da Venda]]/Vendas[[#This Row],[Valor da Venda]]</f>
        <v>0.21875000000000008</v>
      </c>
      <c r="L5596" s="3">
        <f>_xlfn.IFS(Vendas[[#This Row],[Margem de Lucro (%)]]&lt;15%,Vendas[[#This Row],[Valor da Venda]]*3%,Vendas[[#This Row],[Margem de Lucro (%)]]&lt;=20%,Vendas[[#This Row],[Valor da Venda]]*4.5%,TRUE,Vendas[[#This Row],[Valor da Venda]]*6%)</f>
        <v>21.504000000000001</v>
      </c>
      <c r="M5596"/>
    </row>
    <row r="5597" spans="1:13" x14ac:dyDescent="0.3">
      <c r="A5597" s="7">
        <v>400241</v>
      </c>
      <c r="B5597" t="str">
        <f>_xlfn.XLOOKUP(Vendas[[#This Row],[ID Vendedor]],Vendedores[ID],Vendedores[Nome])</f>
        <v>Rodrigo</v>
      </c>
      <c r="C5597" s="7" t="str">
        <f>_xlfn.XLOOKUP(Vendas[[#This Row],[ID Vendedor]],Vendedores[ID],Vendedores[Setor])</f>
        <v>FM</v>
      </c>
      <c r="D5597" s="7" t="s">
        <v>47</v>
      </c>
      <c r="E5597" t="str">
        <f>_xlfn.XLOOKUP(Vendas[[#This Row],[ID Item Vendido]],Agregado[ID],Agregado[Produto])</f>
        <v>Fio de arame galvanizado rolo 50m</v>
      </c>
      <c r="F5597" s="39">
        <v>46132</v>
      </c>
      <c r="G5597" s="7">
        <v>11</v>
      </c>
      <c r="H5597" s="3">
        <f>_xlfn.XLOOKUP(Vendas[[#This Row],[ID Item Vendido]],Agregado[ID],Agregado[Revenda])</f>
        <v>21.2</v>
      </c>
      <c r="I5597" s="3">
        <f>Vendas[[#This Row],[Valor Unitário]]*Vendas[[#This Row],[Qnt Vendida]]</f>
        <v>233.2</v>
      </c>
      <c r="J5597" s="3">
        <f>Vendas[[#This Row],[Valor da Venda]]-(_xlfn.XLOOKUP(Vendas[[#This Row],[ID Item Vendido]],Agregado[ID],Agregado[Custo])*Vendas[[#This Row],[Qnt Vendida]])</f>
        <v>35.199999999999989</v>
      </c>
      <c r="K5597" s="70">
        <f>Vendas[[#This Row],[Lucro da Venda]]/Vendas[[#This Row],[Valor da Venda]]</f>
        <v>0.15094339622641506</v>
      </c>
      <c r="L5597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5597"/>
    </row>
    <row r="5598" spans="1:13" x14ac:dyDescent="0.3">
      <c r="A5598" s="7">
        <v>400246</v>
      </c>
      <c r="B5598" t="str">
        <f>_xlfn.XLOOKUP(Vendas[[#This Row],[ID Vendedor]],Vendedores[ID],Vendedores[Nome])</f>
        <v>Juliana</v>
      </c>
      <c r="C5598" s="7" t="str">
        <f>_xlfn.XLOOKUP(Vendas[[#This Row],[ID Vendedor]],Vendedores[ID],Vendedores[Setor])</f>
        <v>AHD</v>
      </c>
      <c r="D5598" s="7" t="s">
        <v>28</v>
      </c>
      <c r="E5598" t="str">
        <f>_xlfn.XLOOKUP(Vendas[[#This Row],[ID Item Vendido]],Agregado[ID],Agregado[Produto])</f>
        <v>Peça usinada CNC</v>
      </c>
      <c r="F5598" s="39">
        <v>46132</v>
      </c>
      <c r="G5598" s="7">
        <v>1</v>
      </c>
      <c r="H5598" s="3">
        <f>_xlfn.XLOOKUP(Vendas[[#This Row],[ID Item Vendido]],Agregado[ID],Agregado[Revenda])</f>
        <v>192</v>
      </c>
      <c r="I5598" s="3">
        <f>Vendas[[#This Row],[Valor Unitário]]*Vendas[[#This Row],[Qnt Vendida]]</f>
        <v>192</v>
      </c>
      <c r="J5598" s="3">
        <f>Vendas[[#This Row],[Valor da Venda]]-(_xlfn.XLOOKUP(Vendas[[#This Row],[ID Item Vendido]],Agregado[ID],Agregado[Custo])*Vendas[[#This Row],[Qnt Vendida]])</f>
        <v>42</v>
      </c>
      <c r="K5598" s="70">
        <f>Vendas[[#This Row],[Lucro da Venda]]/Vendas[[#This Row],[Valor da Venda]]</f>
        <v>0.21875</v>
      </c>
      <c r="L5598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5598"/>
    </row>
    <row r="5599" spans="1:13" x14ac:dyDescent="0.3">
      <c r="A5599" s="7">
        <v>400248</v>
      </c>
      <c r="B5599" t="str">
        <f>_xlfn.XLOOKUP(Vendas[[#This Row],[ID Vendedor]],Vendedores[ID],Vendedores[Nome])</f>
        <v>Patrícia</v>
      </c>
      <c r="C5599" s="7" t="str">
        <f>_xlfn.XLOOKUP(Vendas[[#This Row],[ID Vendedor]],Vendedores[ID],Vendedores[Setor])</f>
        <v>CM</v>
      </c>
      <c r="D5599" s="7" t="s">
        <v>43</v>
      </c>
      <c r="E5599" t="str">
        <f>_xlfn.XLOOKUP(Vendas[[#This Row],[ID Item Vendido]],Agregado[ID],Agregado[Produto])</f>
        <v>Madeira Bruta (Tora)</v>
      </c>
      <c r="F5599" s="39">
        <v>46133</v>
      </c>
      <c r="G5599" s="7">
        <v>3</v>
      </c>
      <c r="H5599" s="3">
        <f>_xlfn.XLOOKUP(Vendas[[#This Row],[ID Item Vendido]],Agregado[ID],Agregado[Revenda])</f>
        <v>212</v>
      </c>
      <c r="I5599" s="3">
        <f>Vendas[[#This Row],[Valor Unitário]]*Vendas[[#This Row],[Qnt Vendida]]</f>
        <v>636</v>
      </c>
      <c r="J5599" s="3">
        <f>Vendas[[#This Row],[Valor da Venda]]-(_xlfn.XLOOKUP(Vendas[[#This Row],[ID Item Vendido]],Agregado[ID],Agregado[Custo])*Vendas[[#This Row],[Qnt Vendida]])</f>
        <v>96</v>
      </c>
      <c r="K5599" s="70">
        <f>Vendas[[#This Row],[Lucro da Venda]]/Vendas[[#This Row],[Valor da Venda]]</f>
        <v>0.15094339622641509</v>
      </c>
      <c r="L5599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5599"/>
    </row>
    <row r="5600" spans="1:13" x14ac:dyDescent="0.3">
      <c r="A5600" s="7">
        <v>400255</v>
      </c>
      <c r="B5600" t="str">
        <f>_xlfn.XLOOKUP(Vendas[[#This Row],[ID Vendedor]],Vendedores[ID],Vendedores[Nome])</f>
        <v>Carlos</v>
      </c>
      <c r="C5600" s="7" t="str">
        <f>_xlfn.XLOOKUP(Vendas[[#This Row],[ID Vendedor]],Vendedores[ID],Vendedores[Setor])</f>
        <v>SC</v>
      </c>
      <c r="D5600" s="7" t="s">
        <v>42</v>
      </c>
      <c r="E5600" t="str">
        <f>_xlfn.XLOOKUP(Vendas[[#This Row],[ID Item Vendido]],Agregado[ID],Agregado[Produto])</f>
        <v>Container de ferro industrial</v>
      </c>
      <c r="F5600" s="39">
        <v>46134</v>
      </c>
      <c r="G5600" s="7">
        <v>3</v>
      </c>
      <c r="H5600" s="3">
        <f>_xlfn.XLOOKUP(Vendas[[#This Row],[ID Item Vendido]],Agregado[ID],Agregado[Revenda])</f>
        <v>830</v>
      </c>
      <c r="I5600" s="3">
        <f>Vendas[[#This Row],[Valor Unitário]]*Vendas[[#This Row],[Qnt Vendida]]</f>
        <v>2490</v>
      </c>
      <c r="J5600" s="3">
        <f>Vendas[[#This Row],[Valor da Venda]]-(_xlfn.XLOOKUP(Vendas[[#This Row],[ID Item Vendido]],Agregado[ID],Agregado[Custo])*Vendas[[#This Row],[Qnt Vendida]])</f>
        <v>450</v>
      </c>
      <c r="K5600" s="70">
        <f>Vendas[[#This Row],[Lucro da Venda]]/Vendas[[#This Row],[Valor da Venda]]</f>
        <v>0.18072289156626506</v>
      </c>
      <c r="L5600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600"/>
    </row>
    <row r="5601" spans="1:13" x14ac:dyDescent="0.3">
      <c r="A5601" s="7">
        <v>400247</v>
      </c>
      <c r="B5601" t="str">
        <f>_xlfn.XLOOKUP(Vendas[[#This Row],[ID Vendedor]],Vendedores[ID],Vendedores[Nome])</f>
        <v>André</v>
      </c>
      <c r="C5601" s="7" t="str">
        <f>_xlfn.XLOOKUP(Vendas[[#This Row],[ID Vendedor]],Vendedores[ID],Vendedores[Setor])</f>
        <v>CM</v>
      </c>
      <c r="D5601" s="7" t="s">
        <v>22</v>
      </c>
      <c r="E5601" t="str">
        <f>_xlfn.XLOOKUP(Vendas[[#This Row],[ID Item Vendido]],Agregado[ID],Agregado[Produto])</f>
        <v>Painel MDP 2,75x1,83m</v>
      </c>
      <c r="F5601" s="39">
        <v>46134</v>
      </c>
      <c r="G5601" s="7">
        <v>19</v>
      </c>
      <c r="H5601" s="3">
        <f>_xlfn.XLOOKUP(Vendas[[#This Row],[ID Item Vendido]],Agregado[ID],Agregado[Revenda])</f>
        <v>119</v>
      </c>
      <c r="I5601" s="3">
        <f>Vendas[[#This Row],[Valor Unitário]]*Vendas[[#This Row],[Qnt Vendida]]</f>
        <v>2261</v>
      </c>
      <c r="J5601" s="3">
        <f>Vendas[[#This Row],[Valor da Venda]]-(_xlfn.XLOOKUP(Vendas[[#This Row],[ID Item Vendido]],Agregado[ID],Agregado[Custo])*Vendas[[#This Row],[Qnt Vendida]])</f>
        <v>456</v>
      </c>
      <c r="K5601" s="70">
        <f>Vendas[[#This Row],[Lucro da Venda]]/Vendas[[#This Row],[Valor da Venda]]</f>
        <v>0.20168067226890757</v>
      </c>
      <c r="L5601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5601"/>
    </row>
    <row r="5602" spans="1:13" x14ac:dyDescent="0.3">
      <c r="A5602" s="7">
        <v>400251</v>
      </c>
      <c r="B5602" t="str">
        <f>_xlfn.XLOOKUP(Vendas[[#This Row],[ID Vendedor]],Vendedores[ID],Vendedores[Nome])</f>
        <v>Diego</v>
      </c>
      <c r="C5602" s="7" t="str">
        <f>_xlfn.XLOOKUP(Vendas[[#This Row],[ID Vendedor]],Vendedores[ID],Vendedores[Setor])</f>
        <v>AB</v>
      </c>
      <c r="D5602" s="7" t="s">
        <v>37</v>
      </c>
      <c r="E5602" t="str">
        <f>_xlfn.XLOOKUP(Vendas[[#This Row],[ID Item Vendido]],Agregado[ID],Agregado[Produto])</f>
        <v>Composto de borracha para vedação rolo 10m</v>
      </c>
      <c r="F5602" s="39">
        <v>46134</v>
      </c>
      <c r="G5602" s="7">
        <v>23</v>
      </c>
      <c r="H5602" s="3">
        <f>_xlfn.XLOOKUP(Vendas[[#This Row],[ID Item Vendido]],Agregado[ID],Agregado[Revenda])</f>
        <v>51.2</v>
      </c>
      <c r="I5602" s="3">
        <f>Vendas[[#This Row],[Valor Unitário]]*Vendas[[#This Row],[Qnt Vendida]]</f>
        <v>1177.6000000000001</v>
      </c>
      <c r="J5602" s="3">
        <f>Vendas[[#This Row],[Valor da Venda]]-(_xlfn.XLOOKUP(Vendas[[#This Row],[ID Item Vendido]],Agregado[ID],Agregado[Custo])*Vendas[[#This Row],[Qnt Vendida]])</f>
        <v>257.60000000000014</v>
      </c>
      <c r="K5602" s="70">
        <f>Vendas[[#This Row],[Lucro da Venda]]/Vendas[[#This Row],[Valor da Venda]]</f>
        <v>0.21875000000000008</v>
      </c>
      <c r="L5602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602"/>
    </row>
    <row r="5603" spans="1:13" x14ac:dyDescent="0.3">
      <c r="A5603" s="7">
        <v>400244</v>
      </c>
      <c r="B5603" t="str">
        <f>_xlfn.XLOOKUP(Vendas[[#This Row],[ID Vendedor]],Vendedores[ID],Vendedores[Nome])</f>
        <v>Camila</v>
      </c>
      <c r="C5603" s="7" t="str">
        <f>_xlfn.XLOOKUP(Vendas[[#This Row],[ID Vendedor]],Vendedores[ID],Vendedores[Setor])</f>
        <v>AHD</v>
      </c>
      <c r="D5603" s="7" t="s">
        <v>18</v>
      </c>
      <c r="E5603" t="str">
        <f>_xlfn.XLOOKUP(Vendas[[#This Row],[ID Item Vendido]],Agregado[ID],Agregado[Produto])</f>
        <v>Peça forjada sob encomenda</v>
      </c>
      <c r="F5603" s="39">
        <v>46134</v>
      </c>
      <c r="G5603" s="7">
        <v>2</v>
      </c>
      <c r="H5603" s="3">
        <f>_xlfn.XLOOKUP(Vendas[[#This Row],[ID Item Vendido]],Agregado[ID],Agregado[Revenda])</f>
        <v>264.60000000000002</v>
      </c>
      <c r="I5603" s="3">
        <f>Vendas[[#This Row],[Valor Unitário]]*Vendas[[#This Row],[Qnt Vendida]]</f>
        <v>529.20000000000005</v>
      </c>
      <c r="J5603" s="3">
        <f>Vendas[[#This Row],[Valor da Venda]]-(_xlfn.XLOOKUP(Vendas[[#This Row],[ID Item Vendido]],Agregado[ID],Agregado[Custo])*Vendas[[#This Row],[Qnt Vendida]])</f>
        <v>29.200000000000045</v>
      </c>
      <c r="K5603" s="70">
        <f>Vendas[[#This Row],[Lucro da Venda]]/Vendas[[#This Row],[Valor da Venda]]</f>
        <v>5.5177626606198113E-2</v>
      </c>
      <c r="L5603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603"/>
    </row>
    <row r="5604" spans="1:13" x14ac:dyDescent="0.3">
      <c r="A5604" s="7">
        <v>400249</v>
      </c>
      <c r="B5604" t="str">
        <f>_xlfn.XLOOKUP(Vendas[[#This Row],[ID Vendedor]],Vendedores[ID],Vendedores[Nome])</f>
        <v>Bruno</v>
      </c>
      <c r="C5604" s="7" t="str">
        <f>_xlfn.XLOOKUP(Vendas[[#This Row],[ID Vendedor]],Vendedores[ID],Vendedores[Setor])</f>
        <v>CM</v>
      </c>
      <c r="D5604" s="7" t="s">
        <v>34</v>
      </c>
      <c r="E5604" t="str">
        <f>_xlfn.XLOOKUP(Vendas[[#This Row],[ID Item Vendido]],Agregado[ID],Agregado[Produto])</f>
        <v>Restos de madeira p/ MDP/OSB saco de 20kg</v>
      </c>
      <c r="F5604" s="39">
        <v>46134</v>
      </c>
      <c r="G5604" s="7">
        <v>20</v>
      </c>
      <c r="H5604" s="3">
        <f>_xlfn.XLOOKUP(Vendas[[#This Row],[ID Item Vendido]],Agregado[ID],Agregado[Revenda])</f>
        <v>13.8</v>
      </c>
      <c r="I5604" s="3">
        <f>Vendas[[#This Row],[Valor Unitário]]*Vendas[[#This Row],[Qnt Vendida]]</f>
        <v>276</v>
      </c>
      <c r="J5604" s="3">
        <f>Vendas[[#This Row],[Valor da Venda]]-(_xlfn.XLOOKUP(Vendas[[#This Row],[ID Item Vendido]],Agregado[ID],Agregado[Custo])*Vendas[[#This Row],[Qnt Vendida]])</f>
        <v>36</v>
      </c>
      <c r="K5604" s="70">
        <f>Vendas[[#This Row],[Lucro da Venda]]/Vendas[[#This Row],[Valor da Venda]]</f>
        <v>0.13043478260869565</v>
      </c>
      <c r="L5604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5604"/>
    </row>
    <row r="5605" spans="1:13" x14ac:dyDescent="0.3">
      <c r="A5605" s="7">
        <v>400244</v>
      </c>
      <c r="B5605" t="str">
        <f>_xlfn.XLOOKUP(Vendas[[#This Row],[ID Vendedor]],Vendedores[ID],Vendedores[Nome])</f>
        <v>Camila</v>
      </c>
      <c r="C5605" s="7" t="str">
        <f>_xlfn.XLOOKUP(Vendas[[#This Row],[ID Vendedor]],Vendedores[ID],Vendedores[Setor])</f>
        <v>AHD</v>
      </c>
      <c r="D5605" s="7" t="s">
        <v>28</v>
      </c>
      <c r="E5605" t="str">
        <f>_xlfn.XLOOKUP(Vendas[[#This Row],[ID Item Vendido]],Agregado[ID],Agregado[Produto])</f>
        <v>Peça usinada CNC</v>
      </c>
      <c r="F5605" s="39">
        <v>46136</v>
      </c>
      <c r="G5605" s="7">
        <v>9</v>
      </c>
      <c r="H5605" s="3">
        <f>_xlfn.XLOOKUP(Vendas[[#This Row],[ID Item Vendido]],Agregado[ID],Agregado[Revenda])</f>
        <v>192</v>
      </c>
      <c r="I5605" s="3">
        <f>Vendas[[#This Row],[Valor Unitário]]*Vendas[[#This Row],[Qnt Vendida]]</f>
        <v>1728</v>
      </c>
      <c r="J5605" s="3">
        <f>Vendas[[#This Row],[Valor da Venda]]-(_xlfn.XLOOKUP(Vendas[[#This Row],[ID Item Vendido]],Agregado[ID],Agregado[Custo])*Vendas[[#This Row],[Qnt Vendida]])</f>
        <v>378</v>
      </c>
      <c r="K5605" s="70">
        <f>Vendas[[#This Row],[Lucro da Venda]]/Vendas[[#This Row],[Valor da Venda]]</f>
        <v>0.21875</v>
      </c>
      <c r="L5605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5605"/>
    </row>
    <row r="5606" spans="1:13" x14ac:dyDescent="0.3">
      <c r="A5606" s="7">
        <v>400255</v>
      </c>
      <c r="B5606" t="str">
        <f>_xlfn.XLOOKUP(Vendas[[#This Row],[ID Vendedor]],Vendedores[ID],Vendedores[Nome])</f>
        <v>Carlos</v>
      </c>
      <c r="C5606" s="7" t="str">
        <f>_xlfn.XLOOKUP(Vendas[[#This Row],[ID Vendedor]],Vendedores[ID],Vendedores[Setor])</f>
        <v>SC</v>
      </c>
      <c r="D5606" s="7" t="s">
        <v>25</v>
      </c>
      <c r="E5606" t="str">
        <f>_xlfn.XLOOKUP(Vendas[[#This Row],[ID Item Vendido]],Agregado[ID],Agregado[Produto])</f>
        <v>Palete de plástico</v>
      </c>
      <c r="F5606" s="39">
        <v>46136</v>
      </c>
      <c r="G5606" s="7">
        <v>12</v>
      </c>
      <c r="H5606" s="3">
        <f>_xlfn.XLOOKUP(Vendas[[#This Row],[ID Item Vendido]],Agregado[ID],Agregado[Revenda])</f>
        <v>70.8</v>
      </c>
      <c r="I5606" s="3">
        <f>Vendas[[#This Row],[Valor Unitário]]*Vendas[[#This Row],[Qnt Vendida]]</f>
        <v>849.59999999999991</v>
      </c>
      <c r="J5606" s="3">
        <f>Vendas[[#This Row],[Valor da Venda]]-(_xlfn.XLOOKUP(Vendas[[#This Row],[ID Item Vendido]],Agregado[ID],Agregado[Custo])*Vendas[[#This Row],[Qnt Vendida]])</f>
        <v>129.59999999999991</v>
      </c>
      <c r="K5606" s="70">
        <f>Vendas[[#This Row],[Lucro da Venda]]/Vendas[[#This Row],[Valor da Venda]]</f>
        <v>0.15254237288135583</v>
      </c>
      <c r="L5606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5606"/>
    </row>
    <row r="5607" spans="1:13" x14ac:dyDescent="0.3">
      <c r="A5607" s="7">
        <v>400255</v>
      </c>
      <c r="B5607" t="str">
        <f>_xlfn.XLOOKUP(Vendas[[#This Row],[ID Vendedor]],Vendedores[ID],Vendedores[Nome])</f>
        <v>Carlos</v>
      </c>
      <c r="C5607" s="7" t="str">
        <f>_xlfn.XLOOKUP(Vendas[[#This Row],[ID Vendedor]],Vendedores[ID],Vendedores[Setor])</f>
        <v>SC</v>
      </c>
      <c r="D5607" s="7" t="s">
        <v>48</v>
      </c>
      <c r="E5607" t="str">
        <f>_xlfn.XLOOKUP(Vendas[[#This Row],[ID Item Vendido]],Agregado[ID],Agregado[Produto])</f>
        <v>Tambor metálico 200L</v>
      </c>
      <c r="F5607" s="39">
        <v>46137</v>
      </c>
      <c r="G5607" s="7">
        <v>19</v>
      </c>
      <c r="H5607" s="3">
        <f>_xlfn.XLOOKUP(Vendas[[#This Row],[ID Item Vendido]],Agregado[ID],Agregado[Revenda])</f>
        <v>144</v>
      </c>
      <c r="I5607" s="3">
        <f>Vendas[[#This Row],[Valor Unitário]]*Vendas[[#This Row],[Qnt Vendida]]</f>
        <v>2736</v>
      </c>
      <c r="J5607" s="3">
        <f>Vendas[[#This Row],[Valor da Venda]]-(_xlfn.XLOOKUP(Vendas[[#This Row],[ID Item Vendido]],Agregado[ID],Agregado[Custo])*Vendas[[#This Row],[Qnt Vendida]])</f>
        <v>456</v>
      </c>
      <c r="K5607" s="70">
        <f>Vendas[[#This Row],[Lucro da Venda]]/Vendas[[#This Row],[Valor da Venda]]</f>
        <v>0.16666666666666666</v>
      </c>
      <c r="L5607" s="3">
        <f>_xlfn.IFS(Vendas[[#This Row],[Margem de Lucro (%)]]&lt;15%,Vendas[[#This Row],[Valor da Venda]]*3%,Vendas[[#This Row],[Margem de Lucro (%)]]&lt;=20%,Vendas[[#This Row],[Valor da Venda]]*4.5%,TRUE,Vendas[[#This Row],[Valor da Venda]]*6%)</f>
        <v>123.11999999999999</v>
      </c>
      <c r="M5607"/>
    </row>
    <row r="5608" spans="1:13" x14ac:dyDescent="0.3">
      <c r="A5608" s="7">
        <v>400248</v>
      </c>
      <c r="B5608" t="str">
        <f>_xlfn.XLOOKUP(Vendas[[#This Row],[ID Vendedor]],Vendedores[ID],Vendedores[Nome])</f>
        <v>Patrícia</v>
      </c>
      <c r="C5608" s="7" t="str">
        <f>_xlfn.XLOOKUP(Vendas[[#This Row],[ID Vendedor]],Vendedores[ID],Vendedores[Setor])</f>
        <v>CM</v>
      </c>
      <c r="D5608" s="7" t="s">
        <v>45</v>
      </c>
      <c r="E5608" t="str">
        <f>_xlfn.XLOOKUP(Vendas[[#This Row],[ID Item Vendido]],Agregado[ID],Agregado[Produto])</f>
        <v>Viga de madeira tratada 4m</v>
      </c>
      <c r="F5608" s="39">
        <v>46137</v>
      </c>
      <c r="G5608" s="7">
        <v>20</v>
      </c>
      <c r="H5608" s="3">
        <f>_xlfn.XLOOKUP(Vendas[[#This Row],[ID Item Vendido]],Agregado[ID],Agregado[Revenda])</f>
        <v>66</v>
      </c>
      <c r="I5608" s="3">
        <f>Vendas[[#This Row],[Valor Unitário]]*Vendas[[#This Row],[Qnt Vendida]]</f>
        <v>1320</v>
      </c>
      <c r="J5608" s="3">
        <f>Vendas[[#This Row],[Valor da Venda]]-(_xlfn.XLOOKUP(Vendas[[#This Row],[ID Item Vendido]],Agregado[ID],Agregado[Custo])*Vendas[[#This Row],[Qnt Vendida]])</f>
        <v>220</v>
      </c>
      <c r="K5608" s="70">
        <f>Vendas[[#This Row],[Lucro da Venda]]/Vendas[[#This Row],[Valor da Venda]]</f>
        <v>0.16666666666666666</v>
      </c>
      <c r="L5608" s="3">
        <f>_xlfn.IFS(Vendas[[#This Row],[Margem de Lucro (%)]]&lt;15%,Vendas[[#This Row],[Valor da Venda]]*3%,Vendas[[#This Row],[Margem de Lucro (%)]]&lt;=20%,Vendas[[#This Row],[Valor da Venda]]*4.5%,TRUE,Vendas[[#This Row],[Valor da Venda]]*6%)</f>
        <v>59.4</v>
      </c>
      <c r="M5608"/>
    </row>
    <row r="5609" spans="1:13" x14ac:dyDescent="0.3">
      <c r="A5609" s="7">
        <v>400242</v>
      </c>
      <c r="B5609" t="str">
        <f>_xlfn.XLOOKUP(Vendas[[#This Row],[ID Vendedor]],Vendedores[ID],Vendedores[Nome])</f>
        <v>Fernanda</v>
      </c>
      <c r="C5609" s="7" t="str">
        <f>_xlfn.XLOOKUP(Vendas[[#This Row],[ID Vendedor]],Vendedores[ID],Vendedores[Setor])</f>
        <v>FM</v>
      </c>
      <c r="D5609" s="7" t="s">
        <v>47</v>
      </c>
      <c r="E5609" t="str">
        <f>_xlfn.XLOOKUP(Vendas[[#This Row],[ID Item Vendido]],Agregado[ID],Agregado[Produto])</f>
        <v>Fio de arame galvanizado rolo 50m</v>
      </c>
      <c r="F5609" s="39">
        <v>46137</v>
      </c>
      <c r="G5609" s="7">
        <v>28</v>
      </c>
      <c r="H5609" s="3">
        <f>_xlfn.XLOOKUP(Vendas[[#This Row],[ID Item Vendido]],Agregado[ID],Agregado[Revenda])</f>
        <v>21.2</v>
      </c>
      <c r="I5609" s="3">
        <f>Vendas[[#This Row],[Valor Unitário]]*Vendas[[#This Row],[Qnt Vendida]]</f>
        <v>593.6</v>
      </c>
      <c r="J5609" s="3">
        <f>Vendas[[#This Row],[Valor da Venda]]-(_xlfn.XLOOKUP(Vendas[[#This Row],[ID Item Vendido]],Agregado[ID],Agregado[Custo])*Vendas[[#This Row],[Qnt Vendida]])</f>
        <v>89.600000000000023</v>
      </c>
      <c r="K5609" s="70">
        <f>Vendas[[#This Row],[Lucro da Venda]]/Vendas[[#This Row],[Valor da Venda]]</f>
        <v>0.15094339622641512</v>
      </c>
      <c r="L5609" s="3">
        <f>_xlfn.IFS(Vendas[[#This Row],[Margem de Lucro (%)]]&lt;15%,Vendas[[#This Row],[Valor da Venda]]*3%,Vendas[[#This Row],[Margem de Lucro (%)]]&lt;=20%,Vendas[[#This Row],[Valor da Venda]]*4.5%,TRUE,Vendas[[#This Row],[Valor da Venda]]*6%)</f>
        <v>26.712</v>
      </c>
      <c r="M5609"/>
    </row>
    <row r="5610" spans="1:13" x14ac:dyDescent="0.3">
      <c r="A5610" s="7">
        <v>400250</v>
      </c>
      <c r="B5610" t="str">
        <f>_xlfn.XLOOKUP(Vendas[[#This Row],[ID Vendedor]],Vendedores[ID],Vendedores[Nome])</f>
        <v>Larissa</v>
      </c>
      <c r="C5610" s="7" t="str">
        <f>_xlfn.XLOOKUP(Vendas[[#This Row],[ID Vendedor]],Vendedores[ID],Vendedores[Setor])</f>
        <v>AB</v>
      </c>
      <c r="D5610" s="7" t="s">
        <v>36</v>
      </c>
      <c r="E5610" t="str">
        <f>_xlfn.XLOOKUP(Vendas[[#This Row],[ID Item Vendido]],Agregado[ID],Agregado[Produto])</f>
        <v>Borracha vulcanizada em manta</v>
      </c>
      <c r="F5610" s="39">
        <v>46137</v>
      </c>
      <c r="G5610" s="7">
        <v>28</v>
      </c>
      <c r="H5610" s="3">
        <f>_xlfn.XLOOKUP(Vendas[[#This Row],[ID Item Vendido]],Agregado[ID],Agregado[Revenda])</f>
        <v>7.8</v>
      </c>
      <c r="I5610" s="3">
        <f>Vendas[[#This Row],[Valor Unitário]]*Vendas[[#This Row],[Qnt Vendida]]</f>
        <v>218.4</v>
      </c>
      <c r="J5610" s="3">
        <f>Vendas[[#This Row],[Valor da Venda]]-(_xlfn.XLOOKUP(Vendas[[#This Row],[ID Item Vendido]],Agregado[ID],Agregado[Custo])*Vendas[[#This Row],[Qnt Vendida]])</f>
        <v>50.400000000000006</v>
      </c>
      <c r="K5610" s="70">
        <f>Vendas[[#This Row],[Lucro da Venda]]/Vendas[[#This Row],[Valor da Venda]]</f>
        <v>0.23076923076923078</v>
      </c>
      <c r="L5610" s="3">
        <f>_xlfn.IFS(Vendas[[#This Row],[Margem de Lucro (%)]]&lt;15%,Vendas[[#This Row],[Valor da Venda]]*3%,Vendas[[#This Row],[Margem de Lucro (%)]]&lt;=20%,Vendas[[#This Row],[Valor da Venda]]*4.5%,TRUE,Vendas[[#This Row],[Valor da Venda]]*6%)</f>
        <v>13.103999999999999</v>
      </c>
      <c r="M5610"/>
    </row>
    <row r="5611" spans="1:13" x14ac:dyDescent="0.3">
      <c r="A5611" s="7">
        <v>400252</v>
      </c>
      <c r="B5611" t="str">
        <f>_xlfn.XLOOKUP(Vendas[[#This Row],[ID Vendedor]],Vendedores[ID],Vendedores[Nome])</f>
        <v>Renata</v>
      </c>
      <c r="C5611" s="7" t="str">
        <f>_xlfn.XLOOKUP(Vendas[[#This Row],[ID Vendedor]],Vendedores[ID],Vendedores[Setor])</f>
        <v>AB</v>
      </c>
      <c r="D5611" s="7" t="s">
        <v>24</v>
      </c>
      <c r="E5611" t="str">
        <f>_xlfn.XLOOKUP(Vendas[[#This Row],[ID Item Vendido]],Agregado[ID],Agregado[Produto])</f>
        <v>Resina plástica PET purificada saco de 25kg</v>
      </c>
      <c r="F5611" s="39">
        <v>46138</v>
      </c>
      <c r="G5611" s="7">
        <v>19</v>
      </c>
      <c r="H5611" s="3">
        <f>_xlfn.XLOOKUP(Vendas[[#This Row],[ID Item Vendido]],Agregado[ID],Agregado[Revenda])</f>
        <v>119</v>
      </c>
      <c r="I5611" s="3">
        <f>Vendas[[#This Row],[Valor Unitário]]*Vendas[[#This Row],[Qnt Vendida]]</f>
        <v>2261</v>
      </c>
      <c r="J5611" s="3">
        <f>Vendas[[#This Row],[Valor da Venda]]-(_xlfn.XLOOKUP(Vendas[[#This Row],[ID Item Vendido]],Agregado[ID],Agregado[Custo])*Vendas[[#This Row],[Qnt Vendida]])</f>
        <v>646</v>
      </c>
      <c r="K5611" s="70">
        <f>Vendas[[#This Row],[Lucro da Venda]]/Vendas[[#This Row],[Valor da Venda]]</f>
        <v>0.2857142857142857</v>
      </c>
      <c r="L5611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5611"/>
    </row>
    <row r="5612" spans="1:13" x14ac:dyDescent="0.3">
      <c r="A5612" s="7">
        <v>400249</v>
      </c>
      <c r="B5612" t="str">
        <f>_xlfn.XLOOKUP(Vendas[[#This Row],[ID Vendedor]],Vendedores[ID],Vendedores[Nome])</f>
        <v>Bruno</v>
      </c>
      <c r="C5612" s="7" t="str">
        <f>_xlfn.XLOOKUP(Vendas[[#This Row],[ID Vendedor]],Vendedores[ID],Vendedores[Setor])</f>
        <v>CM</v>
      </c>
      <c r="D5612" s="7" t="s">
        <v>32</v>
      </c>
      <c r="E5612" t="str">
        <f>_xlfn.XLOOKUP(Vendas[[#This Row],[ID Item Vendido]],Agregado[ID],Agregado[Produto])</f>
        <v>Tábua tratada e cortada 3m</v>
      </c>
      <c r="F5612" s="39">
        <v>46138</v>
      </c>
      <c r="G5612" s="7">
        <v>39</v>
      </c>
      <c r="H5612" s="3">
        <f>_xlfn.XLOOKUP(Vendas[[#This Row],[ID Item Vendido]],Agregado[ID],Agregado[Revenda])</f>
        <v>39</v>
      </c>
      <c r="I5612" s="3">
        <f>Vendas[[#This Row],[Valor Unitário]]*Vendas[[#This Row],[Qnt Vendida]]</f>
        <v>1521</v>
      </c>
      <c r="J5612" s="3">
        <f>Vendas[[#This Row],[Valor da Venda]]-(_xlfn.XLOOKUP(Vendas[[#This Row],[ID Item Vendido]],Agregado[ID],Agregado[Custo])*Vendas[[#This Row],[Qnt Vendida]])</f>
        <v>273</v>
      </c>
      <c r="K5612" s="70">
        <f>Vendas[[#This Row],[Lucro da Venda]]/Vendas[[#This Row],[Valor da Venda]]</f>
        <v>0.17948717948717949</v>
      </c>
      <c r="L5612" s="3">
        <f>_xlfn.IFS(Vendas[[#This Row],[Margem de Lucro (%)]]&lt;15%,Vendas[[#This Row],[Valor da Venda]]*3%,Vendas[[#This Row],[Margem de Lucro (%)]]&lt;=20%,Vendas[[#This Row],[Valor da Venda]]*4.5%,TRUE,Vendas[[#This Row],[Valor da Venda]]*6%)</f>
        <v>68.444999999999993</v>
      </c>
      <c r="M5612"/>
    </row>
    <row r="5613" spans="1:13" x14ac:dyDescent="0.3">
      <c r="A5613" s="7">
        <v>400242</v>
      </c>
      <c r="B5613" t="str">
        <f>_xlfn.XLOOKUP(Vendas[[#This Row],[ID Vendedor]],Vendedores[ID],Vendedores[Nome])</f>
        <v>Fernanda</v>
      </c>
      <c r="C5613" s="7" t="str">
        <f>_xlfn.XLOOKUP(Vendas[[#This Row],[ID Vendedor]],Vendedores[ID],Vendedores[Setor])</f>
        <v>FM</v>
      </c>
      <c r="D5613" s="7" t="s">
        <v>27</v>
      </c>
      <c r="E5613" t="str">
        <f>_xlfn.XLOOKUP(Vendas[[#This Row],[ID Item Vendido]],Agregado[ID],Agregado[Produto])</f>
        <v>Chapa de metal lisa 1x2m</v>
      </c>
      <c r="F5613" s="39">
        <v>46138</v>
      </c>
      <c r="G5613" s="7">
        <v>22</v>
      </c>
      <c r="H5613" s="3">
        <f>_xlfn.XLOOKUP(Vendas[[#This Row],[ID Item Vendido]],Agregado[ID],Agregado[Revenda])</f>
        <v>52</v>
      </c>
      <c r="I5613" s="3">
        <f>Vendas[[#This Row],[Valor Unitário]]*Vendas[[#This Row],[Qnt Vendida]]</f>
        <v>1144</v>
      </c>
      <c r="J5613" s="3">
        <f>Vendas[[#This Row],[Valor da Venda]]-(_xlfn.XLOOKUP(Vendas[[#This Row],[ID Item Vendido]],Agregado[ID],Agregado[Custo])*Vendas[[#This Row],[Qnt Vendida]])</f>
        <v>154</v>
      </c>
      <c r="K5613" s="70">
        <f>Vendas[[#This Row],[Lucro da Venda]]/Vendas[[#This Row],[Valor da Venda]]</f>
        <v>0.13461538461538461</v>
      </c>
      <c r="L5613" s="3">
        <f>_xlfn.IFS(Vendas[[#This Row],[Margem de Lucro (%)]]&lt;15%,Vendas[[#This Row],[Valor da Venda]]*3%,Vendas[[#This Row],[Margem de Lucro (%)]]&lt;=20%,Vendas[[#This Row],[Valor da Venda]]*4.5%,TRUE,Vendas[[#This Row],[Valor da Venda]]*6%)</f>
        <v>34.32</v>
      </c>
      <c r="M5613"/>
    </row>
    <row r="5614" spans="1:13" x14ac:dyDescent="0.3">
      <c r="A5614" s="7">
        <v>400242</v>
      </c>
      <c r="B5614" t="str">
        <f>_xlfn.XLOOKUP(Vendas[[#This Row],[ID Vendedor]],Vendedores[ID],Vendedores[Nome])</f>
        <v>Fernanda</v>
      </c>
      <c r="C5614" s="7" t="str">
        <f>_xlfn.XLOOKUP(Vendas[[#This Row],[ID Vendedor]],Vendedores[ID],Vendedores[Setor])</f>
        <v>FM</v>
      </c>
      <c r="D5614" s="7" t="s">
        <v>47</v>
      </c>
      <c r="E5614" t="str">
        <f>_xlfn.XLOOKUP(Vendas[[#This Row],[ID Item Vendido]],Agregado[ID],Agregado[Produto])</f>
        <v>Fio de arame galvanizado rolo 50m</v>
      </c>
      <c r="F5614" s="39">
        <v>46138</v>
      </c>
      <c r="G5614" s="7">
        <v>8</v>
      </c>
      <c r="H5614" s="3">
        <f>_xlfn.XLOOKUP(Vendas[[#This Row],[ID Item Vendido]],Agregado[ID],Agregado[Revenda])</f>
        <v>21.2</v>
      </c>
      <c r="I5614" s="3">
        <f>Vendas[[#This Row],[Valor Unitário]]*Vendas[[#This Row],[Qnt Vendida]]</f>
        <v>169.6</v>
      </c>
      <c r="J5614" s="3">
        <f>Vendas[[#This Row],[Valor da Venda]]-(_xlfn.XLOOKUP(Vendas[[#This Row],[ID Item Vendido]],Agregado[ID],Agregado[Custo])*Vendas[[#This Row],[Qnt Vendida]])</f>
        <v>25.599999999999994</v>
      </c>
      <c r="K5614" s="70">
        <f>Vendas[[#This Row],[Lucro da Venda]]/Vendas[[#This Row],[Valor da Venda]]</f>
        <v>0.15094339622641506</v>
      </c>
      <c r="L5614" s="3">
        <f>_xlfn.IFS(Vendas[[#This Row],[Margem de Lucro (%)]]&lt;15%,Vendas[[#This Row],[Valor da Venda]]*3%,Vendas[[#This Row],[Margem de Lucro (%)]]&lt;=20%,Vendas[[#This Row],[Valor da Venda]]*4.5%,TRUE,Vendas[[#This Row],[Valor da Venda]]*6%)</f>
        <v>7.6319999999999997</v>
      </c>
      <c r="M5614"/>
    </row>
    <row r="5615" spans="1:13" x14ac:dyDescent="0.3">
      <c r="A5615" s="7">
        <v>400254</v>
      </c>
      <c r="B5615" t="str">
        <f>_xlfn.XLOOKUP(Vendas[[#This Row],[ID Vendedor]],Vendedores[ID],Vendedores[Nome])</f>
        <v>Beatriz</v>
      </c>
      <c r="C5615" s="7" t="str">
        <f>_xlfn.XLOOKUP(Vendas[[#This Row],[ID Vendedor]],Vendedores[ID],Vendedores[Setor])</f>
        <v>SC</v>
      </c>
      <c r="D5615" s="7" t="s">
        <v>48</v>
      </c>
      <c r="E5615" t="str">
        <f>_xlfn.XLOOKUP(Vendas[[#This Row],[ID Item Vendido]],Agregado[ID],Agregado[Produto])</f>
        <v>Tambor metálico 200L</v>
      </c>
      <c r="F5615" s="39">
        <v>46139</v>
      </c>
      <c r="G5615" s="7">
        <v>2</v>
      </c>
      <c r="H5615" s="3">
        <f>_xlfn.XLOOKUP(Vendas[[#This Row],[ID Item Vendido]],Agregado[ID],Agregado[Revenda])</f>
        <v>144</v>
      </c>
      <c r="I5615" s="3">
        <f>Vendas[[#This Row],[Valor Unitário]]*Vendas[[#This Row],[Qnt Vendida]]</f>
        <v>288</v>
      </c>
      <c r="J5615" s="3">
        <f>Vendas[[#This Row],[Valor da Venda]]-(_xlfn.XLOOKUP(Vendas[[#This Row],[ID Item Vendido]],Agregado[ID],Agregado[Custo])*Vendas[[#This Row],[Qnt Vendida]])</f>
        <v>48</v>
      </c>
      <c r="K5615" s="70">
        <f>Vendas[[#This Row],[Lucro da Venda]]/Vendas[[#This Row],[Valor da Venda]]</f>
        <v>0.16666666666666666</v>
      </c>
      <c r="L5615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5615"/>
    </row>
    <row r="5616" spans="1:13" x14ac:dyDescent="0.3">
      <c r="A5616" s="7">
        <v>400255</v>
      </c>
      <c r="B5616" t="str">
        <f>_xlfn.XLOOKUP(Vendas[[#This Row],[ID Vendedor]],Vendedores[ID],Vendedores[Nome])</f>
        <v>Carlos</v>
      </c>
      <c r="C5616" s="7" t="str">
        <f>_xlfn.XLOOKUP(Vendas[[#This Row],[ID Vendedor]],Vendedores[ID],Vendedores[Setor])</f>
        <v>SC</v>
      </c>
      <c r="D5616" s="7" t="s">
        <v>25</v>
      </c>
      <c r="E5616" t="str">
        <f>_xlfn.XLOOKUP(Vendas[[#This Row],[ID Item Vendido]],Agregado[ID],Agregado[Produto])</f>
        <v>Palete de plástico</v>
      </c>
      <c r="F5616" s="39">
        <v>46139</v>
      </c>
      <c r="G5616" s="7">
        <v>4</v>
      </c>
      <c r="H5616" s="3">
        <f>_xlfn.XLOOKUP(Vendas[[#This Row],[ID Item Vendido]],Agregado[ID],Agregado[Revenda])</f>
        <v>70.8</v>
      </c>
      <c r="I5616" s="3">
        <f>Vendas[[#This Row],[Valor Unitário]]*Vendas[[#This Row],[Qnt Vendida]]</f>
        <v>283.2</v>
      </c>
      <c r="J5616" s="3">
        <f>Vendas[[#This Row],[Valor da Venda]]-(_xlfn.XLOOKUP(Vendas[[#This Row],[ID Item Vendido]],Agregado[ID],Agregado[Custo])*Vendas[[#This Row],[Qnt Vendida]])</f>
        <v>43.199999999999989</v>
      </c>
      <c r="K5616" s="70">
        <f>Vendas[[#This Row],[Lucro da Venda]]/Vendas[[#This Row],[Valor da Venda]]</f>
        <v>0.15254237288135589</v>
      </c>
      <c r="L5616" s="3">
        <f>_xlfn.IFS(Vendas[[#This Row],[Margem de Lucro (%)]]&lt;15%,Vendas[[#This Row],[Valor da Venda]]*3%,Vendas[[#This Row],[Margem de Lucro (%)]]&lt;=20%,Vendas[[#This Row],[Valor da Venda]]*4.5%,TRUE,Vendas[[#This Row],[Valor da Venda]]*6%)</f>
        <v>12.744</v>
      </c>
      <c r="M5616"/>
    </row>
    <row r="5617" spans="1:13" x14ac:dyDescent="0.3">
      <c r="A5617" s="7">
        <v>400243</v>
      </c>
      <c r="B5617" t="str">
        <f>_xlfn.XLOOKUP(Vendas[[#This Row],[ID Vendedor]],Vendedores[ID],Vendedores[Nome])</f>
        <v>Marcelo</v>
      </c>
      <c r="C5617" s="7" t="str">
        <f>_xlfn.XLOOKUP(Vendas[[#This Row],[ID Vendedor]],Vendedores[ID],Vendedores[Setor])</f>
        <v>FM</v>
      </c>
      <c r="D5617" s="7" t="s">
        <v>31</v>
      </c>
      <c r="E5617" t="str">
        <f>_xlfn.XLOOKUP(Vendas[[#This Row],[ID Item Vendido]],Agregado[ID],Agregado[Produto])</f>
        <v>Tela de metal soldada rolo 2x25m</v>
      </c>
      <c r="F5617" s="39">
        <v>46139</v>
      </c>
      <c r="G5617" s="7">
        <v>5</v>
      </c>
      <c r="H5617" s="3">
        <f>_xlfn.XLOOKUP(Vendas[[#This Row],[ID Item Vendido]],Agregado[ID],Agregado[Revenda])</f>
        <v>43.7</v>
      </c>
      <c r="I5617" s="3">
        <f>Vendas[[#This Row],[Valor Unitário]]*Vendas[[#This Row],[Qnt Vendida]]</f>
        <v>218.5</v>
      </c>
      <c r="J5617" s="3">
        <f>Vendas[[#This Row],[Valor da Venda]]-(_xlfn.XLOOKUP(Vendas[[#This Row],[ID Item Vendido]],Agregado[ID],Agregado[Custo])*Vendas[[#This Row],[Qnt Vendida]])</f>
        <v>28.5</v>
      </c>
      <c r="K5617" s="70">
        <f>Vendas[[#This Row],[Lucro da Venda]]/Vendas[[#This Row],[Valor da Venda]]</f>
        <v>0.13043478260869565</v>
      </c>
      <c r="L5617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5617"/>
    </row>
    <row r="5618" spans="1:13" x14ac:dyDescent="0.3">
      <c r="A5618" s="7">
        <v>400253</v>
      </c>
      <c r="B5618" t="str">
        <f>_xlfn.XLOOKUP(Vendas[[#This Row],[ID Vendedor]],Vendedores[ID],Vendedores[Nome])</f>
        <v>Gustavo</v>
      </c>
      <c r="C5618" s="7" t="str">
        <f>_xlfn.XLOOKUP(Vendas[[#This Row],[ID Vendedor]],Vendedores[ID],Vendedores[Setor])</f>
        <v>SC</v>
      </c>
      <c r="D5618" s="7" t="s">
        <v>42</v>
      </c>
      <c r="E5618" t="str">
        <f>_xlfn.XLOOKUP(Vendas[[#This Row],[ID Item Vendido]],Agregado[ID],Agregado[Produto])</f>
        <v>Container de ferro industrial</v>
      </c>
      <c r="F5618" s="39">
        <v>46140</v>
      </c>
      <c r="G5618" s="7">
        <v>4</v>
      </c>
      <c r="H5618" s="3">
        <f>_xlfn.XLOOKUP(Vendas[[#This Row],[ID Item Vendido]],Agregado[ID],Agregado[Revenda])</f>
        <v>830</v>
      </c>
      <c r="I5618" s="3">
        <f>Vendas[[#This Row],[Valor Unitário]]*Vendas[[#This Row],[Qnt Vendida]]</f>
        <v>3320</v>
      </c>
      <c r="J5618" s="3">
        <f>Vendas[[#This Row],[Valor da Venda]]-(_xlfn.XLOOKUP(Vendas[[#This Row],[ID Item Vendido]],Agregado[ID],Agregado[Custo])*Vendas[[#This Row],[Qnt Vendida]])</f>
        <v>600</v>
      </c>
      <c r="K5618" s="70">
        <f>Vendas[[#This Row],[Lucro da Venda]]/Vendas[[#This Row],[Valor da Venda]]</f>
        <v>0.18072289156626506</v>
      </c>
      <c r="L5618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618"/>
    </row>
    <row r="5619" spans="1:13" x14ac:dyDescent="0.3">
      <c r="A5619" s="7">
        <v>400251</v>
      </c>
      <c r="B5619" t="str">
        <f>_xlfn.XLOOKUP(Vendas[[#This Row],[ID Vendedor]],Vendedores[ID],Vendedores[Nome])</f>
        <v>Diego</v>
      </c>
      <c r="C5619" s="7" t="str">
        <f>_xlfn.XLOOKUP(Vendas[[#This Row],[ID Vendedor]],Vendedores[ID],Vendedores[Setor])</f>
        <v>AB</v>
      </c>
      <c r="D5619" s="7" t="s">
        <v>37</v>
      </c>
      <c r="E5619" t="str">
        <f>_xlfn.XLOOKUP(Vendas[[#This Row],[ID Item Vendido]],Agregado[ID],Agregado[Produto])</f>
        <v>Composto de borracha para vedação rolo 10m</v>
      </c>
      <c r="F5619" s="39">
        <v>46140</v>
      </c>
      <c r="G5619" s="7">
        <v>15</v>
      </c>
      <c r="H5619" s="3">
        <f>_xlfn.XLOOKUP(Vendas[[#This Row],[ID Item Vendido]],Agregado[ID],Agregado[Revenda])</f>
        <v>51.2</v>
      </c>
      <c r="I5619" s="3">
        <f>Vendas[[#This Row],[Valor Unitário]]*Vendas[[#This Row],[Qnt Vendida]]</f>
        <v>768</v>
      </c>
      <c r="J5619" s="3">
        <f>Vendas[[#This Row],[Valor da Venda]]-(_xlfn.XLOOKUP(Vendas[[#This Row],[ID Item Vendido]],Agregado[ID],Agregado[Custo])*Vendas[[#This Row],[Qnt Vendida]])</f>
        <v>168</v>
      </c>
      <c r="K5619" s="70">
        <f>Vendas[[#This Row],[Lucro da Venda]]/Vendas[[#This Row],[Valor da Venda]]</f>
        <v>0.21875</v>
      </c>
      <c r="L5619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619"/>
    </row>
    <row r="5620" spans="1:13" x14ac:dyDescent="0.3">
      <c r="A5620" s="7">
        <v>400241</v>
      </c>
      <c r="B5620" t="str">
        <f>_xlfn.XLOOKUP(Vendas[[#This Row],[ID Vendedor]],Vendedores[ID],Vendedores[Nome])</f>
        <v>Rodrigo</v>
      </c>
      <c r="C5620" s="7" t="str">
        <f>_xlfn.XLOOKUP(Vendas[[#This Row],[ID Vendedor]],Vendedores[ID],Vendedores[Setor])</f>
        <v>FM</v>
      </c>
      <c r="D5620" s="7" t="s">
        <v>20</v>
      </c>
      <c r="E5620" t="str">
        <f>_xlfn.XLOOKUP(Vendas[[#This Row],[ID Item Vendido]],Agregado[ID],Agregado[Produto])</f>
        <v>Barra de aço simples</v>
      </c>
      <c r="F5620" s="39">
        <v>46140</v>
      </c>
      <c r="G5620" s="7">
        <v>74</v>
      </c>
      <c r="H5620" s="3">
        <f>_xlfn.XLOOKUP(Vendas[[#This Row],[ID Item Vendido]],Agregado[ID],Agregado[Revenda])</f>
        <v>4.8</v>
      </c>
      <c r="I5620" s="3">
        <f>Vendas[[#This Row],[Valor Unitário]]*Vendas[[#This Row],[Qnt Vendida]]</f>
        <v>355.2</v>
      </c>
      <c r="J5620" s="3">
        <f>Vendas[[#This Row],[Valor da Venda]]-(_xlfn.XLOOKUP(Vendas[[#This Row],[ID Item Vendido]],Agregado[ID],Agregado[Custo])*Vendas[[#This Row],[Qnt Vendida]])</f>
        <v>44.399999999999977</v>
      </c>
      <c r="K5620" s="70">
        <f>Vendas[[#This Row],[Lucro da Venda]]/Vendas[[#This Row],[Valor da Venda]]</f>
        <v>0.12499999999999994</v>
      </c>
      <c r="L5620" s="3">
        <f>_xlfn.IFS(Vendas[[#This Row],[Margem de Lucro (%)]]&lt;15%,Vendas[[#This Row],[Valor da Venda]]*3%,Vendas[[#This Row],[Margem de Lucro (%)]]&lt;=20%,Vendas[[#This Row],[Valor da Venda]]*4.5%,TRUE,Vendas[[#This Row],[Valor da Venda]]*6%)</f>
        <v>10.655999999999999</v>
      </c>
      <c r="M5620"/>
    </row>
    <row r="5621" spans="1:13" x14ac:dyDescent="0.3">
      <c r="A5621" s="7">
        <v>400246</v>
      </c>
      <c r="B5621" t="str">
        <f>_xlfn.XLOOKUP(Vendas[[#This Row],[ID Vendedor]],Vendedores[ID],Vendedores[Nome])</f>
        <v>Juliana</v>
      </c>
      <c r="C5621" s="7" t="str">
        <f>_xlfn.XLOOKUP(Vendas[[#This Row],[ID Vendedor]],Vendedores[ID],Vendedores[Setor])</f>
        <v>AHD</v>
      </c>
      <c r="D5621" s="7" t="s">
        <v>18</v>
      </c>
      <c r="E5621" t="str">
        <f>_xlfn.XLOOKUP(Vendas[[#This Row],[ID Item Vendido]],Agregado[ID],Agregado[Produto])</f>
        <v>Peça forjada sob encomenda</v>
      </c>
      <c r="F5621" s="39">
        <v>46141</v>
      </c>
      <c r="G5621" s="7">
        <v>6</v>
      </c>
      <c r="H5621" s="3">
        <f>_xlfn.XLOOKUP(Vendas[[#This Row],[ID Item Vendido]],Agregado[ID],Agregado[Revenda])</f>
        <v>264.60000000000002</v>
      </c>
      <c r="I5621" s="3">
        <f>Vendas[[#This Row],[Valor Unitário]]*Vendas[[#This Row],[Qnt Vendida]]</f>
        <v>1587.6000000000001</v>
      </c>
      <c r="J5621" s="3">
        <f>Vendas[[#This Row],[Valor da Venda]]-(_xlfn.XLOOKUP(Vendas[[#This Row],[ID Item Vendido]],Agregado[ID],Agregado[Custo])*Vendas[[#This Row],[Qnt Vendida]])</f>
        <v>87.600000000000136</v>
      </c>
      <c r="K5621" s="70">
        <f>Vendas[[#This Row],[Lucro da Venda]]/Vendas[[#This Row],[Valor da Venda]]</f>
        <v>5.5177626606198113E-2</v>
      </c>
      <c r="L562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621"/>
    </row>
    <row r="5622" spans="1:13" x14ac:dyDescent="0.3">
      <c r="A5622" s="7">
        <v>400251</v>
      </c>
      <c r="B5622" t="str">
        <f>_xlfn.XLOOKUP(Vendas[[#This Row],[ID Vendedor]],Vendedores[ID],Vendedores[Nome])</f>
        <v>Diego</v>
      </c>
      <c r="C5622" s="7" t="str">
        <f>_xlfn.XLOOKUP(Vendas[[#This Row],[ID Vendedor]],Vendedores[ID],Vendedores[Setor])</f>
        <v>AB</v>
      </c>
      <c r="D5622" s="7" t="s">
        <v>24</v>
      </c>
      <c r="E5622" t="str">
        <f>_xlfn.XLOOKUP(Vendas[[#This Row],[ID Item Vendido]],Agregado[ID],Agregado[Produto])</f>
        <v>Resina plástica PET purificada saco de 25kg</v>
      </c>
      <c r="F5622" s="39">
        <v>46141</v>
      </c>
      <c r="G5622" s="7">
        <v>20</v>
      </c>
      <c r="H5622" s="3">
        <f>_xlfn.XLOOKUP(Vendas[[#This Row],[ID Item Vendido]],Agregado[ID],Agregado[Revenda])</f>
        <v>119</v>
      </c>
      <c r="I5622" s="3">
        <f>Vendas[[#This Row],[Valor Unitário]]*Vendas[[#This Row],[Qnt Vendida]]</f>
        <v>2380</v>
      </c>
      <c r="J5622" s="3">
        <f>Vendas[[#This Row],[Valor da Venda]]-(_xlfn.XLOOKUP(Vendas[[#This Row],[ID Item Vendido]],Agregado[ID],Agregado[Custo])*Vendas[[#This Row],[Qnt Vendida]])</f>
        <v>680</v>
      </c>
      <c r="K5622" s="70">
        <f>Vendas[[#This Row],[Lucro da Venda]]/Vendas[[#This Row],[Valor da Venda]]</f>
        <v>0.2857142857142857</v>
      </c>
      <c r="L562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622"/>
    </row>
    <row r="5623" spans="1:13" x14ac:dyDescent="0.3">
      <c r="A5623" s="7">
        <v>400242</v>
      </c>
      <c r="B5623" t="str">
        <f>_xlfn.XLOOKUP(Vendas[[#This Row],[ID Vendedor]],Vendedores[ID],Vendedores[Nome])</f>
        <v>Fernanda</v>
      </c>
      <c r="C5623" s="7" t="str">
        <f>_xlfn.XLOOKUP(Vendas[[#This Row],[ID Vendedor]],Vendedores[ID],Vendedores[Setor])</f>
        <v>FM</v>
      </c>
      <c r="D5623" s="7" t="s">
        <v>27</v>
      </c>
      <c r="E5623" t="str">
        <f>_xlfn.XLOOKUP(Vendas[[#This Row],[ID Item Vendido]],Agregado[ID],Agregado[Produto])</f>
        <v>Chapa de metal lisa 1x2m</v>
      </c>
      <c r="F5623" s="39">
        <v>46141</v>
      </c>
      <c r="G5623" s="7">
        <v>18</v>
      </c>
      <c r="H5623" s="3">
        <f>_xlfn.XLOOKUP(Vendas[[#This Row],[ID Item Vendido]],Agregado[ID],Agregado[Revenda])</f>
        <v>52</v>
      </c>
      <c r="I5623" s="3">
        <f>Vendas[[#This Row],[Valor Unitário]]*Vendas[[#This Row],[Qnt Vendida]]</f>
        <v>936</v>
      </c>
      <c r="J5623" s="3">
        <f>Vendas[[#This Row],[Valor da Venda]]-(_xlfn.XLOOKUP(Vendas[[#This Row],[ID Item Vendido]],Agregado[ID],Agregado[Custo])*Vendas[[#This Row],[Qnt Vendida]])</f>
        <v>126</v>
      </c>
      <c r="K5623" s="70">
        <f>Vendas[[#This Row],[Lucro da Venda]]/Vendas[[#This Row],[Valor da Venda]]</f>
        <v>0.13461538461538461</v>
      </c>
      <c r="L5623" s="3">
        <f>_xlfn.IFS(Vendas[[#This Row],[Margem de Lucro (%)]]&lt;15%,Vendas[[#This Row],[Valor da Venda]]*3%,Vendas[[#This Row],[Margem de Lucro (%)]]&lt;=20%,Vendas[[#This Row],[Valor da Venda]]*4.5%,TRUE,Vendas[[#This Row],[Valor da Venda]]*6%)</f>
        <v>28.08</v>
      </c>
      <c r="M5623"/>
    </row>
    <row r="5624" spans="1:13" x14ac:dyDescent="0.3">
      <c r="A5624" s="7">
        <v>400252</v>
      </c>
      <c r="B5624" t="str">
        <f>_xlfn.XLOOKUP(Vendas[[#This Row],[ID Vendedor]],Vendedores[ID],Vendedores[Nome])</f>
        <v>Renata</v>
      </c>
      <c r="C5624" s="7" t="str">
        <f>_xlfn.XLOOKUP(Vendas[[#This Row],[ID Vendedor]],Vendedores[ID],Vendedores[Setor])</f>
        <v>AB</v>
      </c>
      <c r="D5624" s="7" t="s">
        <v>24</v>
      </c>
      <c r="E5624" t="str">
        <f>_xlfn.XLOOKUP(Vendas[[#This Row],[ID Item Vendido]],Agregado[ID],Agregado[Produto])</f>
        <v>Resina plástica PET purificada saco de 25kg</v>
      </c>
      <c r="F5624" s="39">
        <v>46141</v>
      </c>
      <c r="G5624" s="7">
        <v>7</v>
      </c>
      <c r="H5624" s="3">
        <f>_xlfn.XLOOKUP(Vendas[[#This Row],[ID Item Vendido]],Agregado[ID],Agregado[Revenda])</f>
        <v>119</v>
      </c>
      <c r="I5624" s="3">
        <f>Vendas[[#This Row],[Valor Unitário]]*Vendas[[#This Row],[Qnt Vendida]]</f>
        <v>833</v>
      </c>
      <c r="J5624" s="3">
        <f>Vendas[[#This Row],[Valor da Venda]]-(_xlfn.XLOOKUP(Vendas[[#This Row],[ID Item Vendido]],Agregado[ID],Agregado[Custo])*Vendas[[#This Row],[Qnt Vendida]])</f>
        <v>238</v>
      </c>
      <c r="K5624" s="70">
        <f>Vendas[[#This Row],[Lucro da Venda]]/Vendas[[#This Row],[Valor da Venda]]</f>
        <v>0.2857142857142857</v>
      </c>
      <c r="L5624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5624"/>
    </row>
    <row r="5625" spans="1:13" x14ac:dyDescent="0.3">
      <c r="A5625" s="7">
        <v>400242</v>
      </c>
      <c r="B5625" t="str">
        <f>_xlfn.XLOOKUP(Vendas[[#This Row],[ID Vendedor]],Vendedores[ID],Vendedores[Nome])</f>
        <v>Fernanda</v>
      </c>
      <c r="C5625" s="7" t="str">
        <f>_xlfn.XLOOKUP(Vendas[[#This Row],[ID Vendedor]],Vendedores[ID],Vendedores[Setor])</f>
        <v>FM</v>
      </c>
      <c r="D5625" s="7" t="s">
        <v>20</v>
      </c>
      <c r="E5625" t="str">
        <f>_xlfn.XLOOKUP(Vendas[[#This Row],[ID Item Vendido]],Agregado[ID],Agregado[Produto])</f>
        <v>Barra de aço simples</v>
      </c>
      <c r="F5625" s="39">
        <v>46141</v>
      </c>
      <c r="G5625" s="7">
        <v>142</v>
      </c>
      <c r="H5625" s="3">
        <f>_xlfn.XLOOKUP(Vendas[[#This Row],[ID Item Vendido]],Agregado[ID],Agregado[Revenda])</f>
        <v>4.8</v>
      </c>
      <c r="I5625" s="3">
        <f>Vendas[[#This Row],[Valor Unitário]]*Vendas[[#This Row],[Qnt Vendida]]</f>
        <v>681.6</v>
      </c>
      <c r="J5625" s="3">
        <f>Vendas[[#This Row],[Valor da Venda]]-(_xlfn.XLOOKUP(Vendas[[#This Row],[ID Item Vendido]],Agregado[ID],Agregado[Custo])*Vendas[[#This Row],[Qnt Vendida]])</f>
        <v>85.200000000000045</v>
      </c>
      <c r="K5625" s="70">
        <f>Vendas[[#This Row],[Lucro da Venda]]/Vendas[[#This Row],[Valor da Venda]]</f>
        <v>0.12500000000000006</v>
      </c>
      <c r="L5625" s="3">
        <f>_xlfn.IFS(Vendas[[#This Row],[Margem de Lucro (%)]]&lt;15%,Vendas[[#This Row],[Valor da Venda]]*3%,Vendas[[#This Row],[Margem de Lucro (%)]]&lt;=20%,Vendas[[#This Row],[Valor da Venda]]*4.5%,TRUE,Vendas[[#This Row],[Valor da Venda]]*6%)</f>
        <v>20.448</v>
      </c>
      <c r="M5625"/>
    </row>
    <row r="5626" spans="1:13" x14ac:dyDescent="0.3">
      <c r="A5626" s="7">
        <v>400250</v>
      </c>
      <c r="B5626" t="str">
        <f>_xlfn.XLOOKUP(Vendas[[#This Row],[ID Vendedor]],Vendedores[ID],Vendedores[Nome])</f>
        <v>Larissa</v>
      </c>
      <c r="C5626" s="7" t="str">
        <f>_xlfn.XLOOKUP(Vendas[[#This Row],[ID Vendedor]],Vendedores[ID],Vendedores[Setor])</f>
        <v>AB</v>
      </c>
      <c r="D5626" s="7" t="s">
        <v>37</v>
      </c>
      <c r="E5626" t="str">
        <f>_xlfn.XLOOKUP(Vendas[[#This Row],[ID Item Vendido]],Agregado[ID],Agregado[Produto])</f>
        <v>Composto de borracha para vedação rolo 10m</v>
      </c>
      <c r="F5626" s="39">
        <v>46141</v>
      </c>
      <c r="G5626" s="7">
        <v>10</v>
      </c>
      <c r="H5626" s="3">
        <f>_xlfn.XLOOKUP(Vendas[[#This Row],[ID Item Vendido]],Agregado[ID],Agregado[Revenda])</f>
        <v>51.2</v>
      </c>
      <c r="I5626" s="3">
        <f>Vendas[[#This Row],[Valor Unitário]]*Vendas[[#This Row],[Qnt Vendida]]</f>
        <v>512</v>
      </c>
      <c r="J5626" s="3">
        <f>Vendas[[#This Row],[Valor da Venda]]-(_xlfn.XLOOKUP(Vendas[[#This Row],[ID Item Vendido]],Agregado[ID],Agregado[Custo])*Vendas[[#This Row],[Qnt Vendida]])</f>
        <v>112</v>
      </c>
      <c r="K5626" s="70">
        <f>Vendas[[#This Row],[Lucro da Venda]]/Vendas[[#This Row],[Valor da Venda]]</f>
        <v>0.21875</v>
      </c>
      <c r="L5626" s="3">
        <f>_xlfn.IFS(Vendas[[#This Row],[Margem de Lucro (%)]]&lt;15%,Vendas[[#This Row],[Valor da Venda]]*3%,Vendas[[#This Row],[Margem de Lucro (%)]]&lt;=20%,Vendas[[#This Row],[Valor da Venda]]*4.5%,TRUE,Vendas[[#This Row],[Valor da Venda]]*6%)</f>
        <v>30.72</v>
      </c>
      <c r="M5626"/>
    </row>
    <row r="5627" spans="1:13" x14ac:dyDescent="0.3">
      <c r="A5627" s="7">
        <v>400252</v>
      </c>
      <c r="B5627" t="str">
        <f>_xlfn.XLOOKUP(Vendas[[#This Row],[ID Vendedor]],Vendedores[ID],Vendedores[Nome])</f>
        <v>Renata</v>
      </c>
      <c r="C5627" s="7" t="str">
        <f>_xlfn.XLOOKUP(Vendas[[#This Row],[ID Vendedor]],Vendedores[ID],Vendedores[Setor])</f>
        <v>AB</v>
      </c>
      <c r="D5627" s="7" t="s">
        <v>36</v>
      </c>
      <c r="E5627" t="str">
        <f>_xlfn.XLOOKUP(Vendas[[#This Row],[ID Item Vendido]],Agregado[ID],Agregado[Produto])</f>
        <v>Borracha vulcanizada em manta</v>
      </c>
      <c r="F5627" s="39">
        <v>46141</v>
      </c>
      <c r="G5627" s="7">
        <v>41</v>
      </c>
      <c r="H5627" s="3">
        <f>_xlfn.XLOOKUP(Vendas[[#This Row],[ID Item Vendido]],Agregado[ID],Agregado[Revenda])</f>
        <v>7.8</v>
      </c>
      <c r="I5627" s="3">
        <f>Vendas[[#This Row],[Valor Unitário]]*Vendas[[#This Row],[Qnt Vendida]]</f>
        <v>319.8</v>
      </c>
      <c r="J5627" s="3">
        <f>Vendas[[#This Row],[Valor da Venda]]-(_xlfn.XLOOKUP(Vendas[[#This Row],[ID Item Vendido]],Agregado[ID],Agregado[Custo])*Vendas[[#This Row],[Qnt Vendida]])</f>
        <v>73.800000000000011</v>
      </c>
      <c r="K5627" s="70">
        <f>Vendas[[#This Row],[Lucro da Venda]]/Vendas[[#This Row],[Valor da Venda]]</f>
        <v>0.23076923076923081</v>
      </c>
      <c r="L5627" s="3">
        <f>_xlfn.IFS(Vendas[[#This Row],[Margem de Lucro (%)]]&lt;15%,Vendas[[#This Row],[Valor da Venda]]*3%,Vendas[[#This Row],[Margem de Lucro (%)]]&lt;=20%,Vendas[[#This Row],[Valor da Venda]]*4.5%,TRUE,Vendas[[#This Row],[Valor da Venda]]*6%)</f>
        <v>19.187999999999999</v>
      </c>
      <c r="M5627"/>
    </row>
    <row r="5628" spans="1:13" x14ac:dyDescent="0.3">
      <c r="A5628" s="7">
        <v>400242</v>
      </c>
      <c r="B5628" t="str">
        <f>_xlfn.XLOOKUP(Vendas[[#This Row],[ID Vendedor]],Vendedores[ID],Vendedores[Nome])</f>
        <v>Fernanda</v>
      </c>
      <c r="C5628" s="7" t="str">
        <f>_xlfn.XLOOKUP(Vendas[[#This Row],[ID Vendedor]],Vendedores[ID],Vendedores[Setor])</f>
        <v>FM</v>
      </c>
      <c r="D5628" s="7" t="s">
        <v>47</v>
      </c>
      <c r="E5628" t="str">
        <f>_xlfn.XLOOKUP(Vendas[[#This Row],[ID Item Vendido]],Agregado[ID],Agregado[Produto])</f>
        <v>Fio de arame galvanizado rolo 50m</v>
      </c>
      <c r="F5628" s="39">
        <v>46141</v>
      </c>
      <c r="G5628" s="7">
        <v>11</v>
      </c>
      <c r="H5628" s="3">
        <f>_xlfn.XLOOKUP(Vendas[[#This Row],[ID Item Vendido]],Agregado[ID],Agregado[Revenda])</f>
        <v>21.2</v>
      </c>
      <c r="I5628" s="3">
        <f>Vendas[[#This Row],[Valor Unitário]]*Vendas[[#This Row],[Qnt Vendida]]</f>
        <v>233.2</v>
      </c>
      <c r="J5628" s="3">
        <f>Vendas[[#This Row],[Valor da Venda]]-(_xlfn.XLOOKUP(Vendas[[#This Row],[ID Item Vendido]],Agregado[ID],Agregado[Custo])*Vendas[[#This Row],[Qnt Vendida]])</f>
        <v>35.199999999999989</v>
      </c>
      <c r="K5628" s="70">
        <f>Vendas[[#This Row],[Lucro da Venda]]/Vendas[[#This Row],[Valor da Venda]]</f>
        <v>0.15094339622641506</v>
      </c>
      <c r="L5628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5628"/>
    </row>
    <row r="5629" spans="1:13" x14ac:dyDescent="0.3">
      <c r="A5629" s="7">
        <v>400242</v>
      </c>
      <c r="B5629" t="str">
        <f>_xlfn.XLOOKUP(Vendas[[#This Row],[ID Vendedor]],Vendedores[ID],Vendedores[Nome])</f>
        <v>Fernanda</v>
      </c>
      <c r="C5629" s="7" t="str">
        <f>_xlfn.XLOOKUP(Vendas[[#This Row],[ID Vendedor]],Vendedores[ID],Vendedores[Setor])</f>
        <v>FM</v>
      </c>
      <c r="D5629" s="7" t="s">
        <v>47</v>
      </c>
      <c r="E5629" t="str">
        <f>_xlfn.XLOOKUP(Vendas[[#This Row],[ID Item Vendido]],Agregado[ID],Agregado[Produto])</f>
        <v>Fio de arame galvanizado rolo 50m</v>
      </c>
      <c r="F5629" s="39">
        <v>46141</v>
      </c>
      <c r="G5629" s="7">
        <v>9</v>
      </c>
      <c r="H5629" s="3">
        <f>_xlfn.XLOOKUP(Vendas[[#This Row],[ID Item Vendido]],Agregado[ID],Agregado[Revenda])</f>
        <v>21.2</v>
      </c>
      <c r="I5629" s="3">
        <f>Vendas[[#This Row],[Valor Unitário]]*Vendas[[#This Row],[Qnt Vendida]]</f>
        <v>190.79999999999998</v>
      </c>
      <c r="J5629" s="3">
        <f>Vendas[[#This Row],[Valor da Venda]]-(_xlfn.XLOOKUP(Vendas[[#This Row],[ID Item Vendido]],Agregado[ID],Agregado[Custo])*Vendas[[#This Row],[Qnt Vendida]])</f>
        <v>28.799999999999983</v>
      </c>
      <c r="K5629" s="70">
        <f>Vendas[[#This Row],[Lucro da Venda]]/Vendas[[#This Row],[Valor da Venda]]</f>
        <v>0.15094339622641501</v>
      </c>
      <c r="L5629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5629"/>
    </row>
    <row r="5630" spans="1:13" x14ac:dyDescent="0.3">
      <c r="A5630" s="7">
        <v>400244</v>
      </c>
      <c r="B5630" t="str">
        <f>_xlfn.XLOOKUP(Vendas[[#This Row],[ID Vendedor]],Vendedores[ID],Vendedores[Nome])</f>
        <v>Camila</v>
      </c>
      <c r="C5630" s="7" t="str">
        <f>_xlfn.XLOOKUP(Vendas[[#This Row],[ID Vendedor]],Vendedores[ID],Vendedores[Setor])</f>
        <v>AHD</v>
      </c>
      <c r="D5630" s="7" t="s">
        <v>18</v>
      </c>
      <c r="E5630" t="str">
        <f>_xlfn.XLOOKUP(Vendas[[#This Row],[ID Item Vendido]],Agregado[ID],Agregado[Produto])</f>
        <v>Peça forjada sob encomenda</v>
      </c>
      <c r="F5630" s="39">
        <v>46142</v>
      </c>
      <c r="G5630" s="7">
        <v>3</v>
      </c>
      <c r="H5630" s="3">
        <f>_xlfn.XLOOKUP(Vendas[[#This Row],[ID Item Vendido]],Agregado[ID],Agregado[Revenda])</f>
        <v>264.60000000000002</v>
      </c>
      <c r="I5630" s="3">
        <f>Vendas[[#This Row],[Valor Unitário]]*Vendas[[#This Row],[Qnt Vendida]]</f>
        <v>793.80000000000007</v>
      </c>
      <c r="J5630" s="3">
        <f>Vendas[[#This Row],[Valor da Venda]]-(_xlfn.XLOOKUP(Vendas[[#This Row],[ID Item Vendido]],Agregado[ID],Agregado[Custo])*Vendas[[#This Row],[Qnt Vendida]])</f>
        <v>43.800000000000068</v>
      </c>
      <c r="K5630" s="70">
        <f>Vendas[[#This Row],[Lucro da Venda]]/Vendas[[#This Row],[Valor da Venda]]</f>
        <v>5.5177626606198113E-2</v>
      </c>
      <c r="L563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630"/>
    </row>
    <row r="5631" spans="1:13" x14ac:dyDescent="0.3">
      <c r="A5631" s="7">
        <v>400252</v>
      </c>
      <c r="B5631" t="str">
        <f>_xlfn.XLOOKUP(Vendas[[#This Row],[ID Vendedor]],Vendedores[ID],Vendedores[Nome])</f>
        <v>Renata</v>
      </c>
      <c r="C5631" s="7" t="str">
        <f>_xlfn.XLOOKUP(Vendas[[#This Row],[ID Vendedor]],Vendedores[ID],Vendedores[Setor])</f>
        <v>AB</v>
      </c>
      <c r="D5631" s="7" t="s">
        <v>39</v>
      </c>
      <c r="E5631" t="str">
        <f>_xlfn.XLOOKUP(Vendas[[#This Row],[ID Item Vendido]],Agregado[ID],Agregado[Produto])</f>
        <v>Filme plástico industrial rolo 50m</v>
      </c>
      <c r="F5631" s="39">
        <v>46142</v>
      </c>
      <c r="G5631" s="7">
        <v>27</v>
      </c>
      <c r="H5631" s="3">
        <f>_xlfn.XLOOKUP(Vendas[[#This Row],[ID Item Vendido]],Agregado[ID],Agregado[Revenda])</f>
        <v>37</v>
      </c>
      <c r="I5631" s="3">
        <f>Vendas[[#This Row],[Valor Unitário]]*Vendas[[#This Row],[Qnt Vendida]]</f>
        <v>999</v>
      </c>
      <c r="J5631" s="3">
        <f>Vendas[[#This Row],[Valor da Venda]]-(_xlfn.XLOOKUP(Vendas[[#This Row],[ID Item Vendido]],Agregado[ID],Agregado[Custo])*Vendas[[#This Row],[Qnt Vendida]])</f>
        <v>243</v>
      </c>
      <c r="K5631" s="70">
        <f>Vendas[[#This Row],[Lucro da Venda]]/Vendas[[#This Row],[Valor da Venda]]</f>
        <v>0.24324324324324326</v>
      </c>
      <c r="L5631" s="3">
        <f>_xlfn.IFS(Vendas[[#This Row],[Margem de Lucro (%)]]&lt;15%,Vendas[[#This Row],[Valor da Venda]]*3%,Vendas[[#This Row],[Margem de Lucro (%)]]&lt;=20%,Vendas[[#This Row],[Valor da Venda]]*4.5%,TRUE,Vendas[[#This Row],[Valor da Venda]]*6%)</f>
        <v>59.94</v>
      </c>
      <c r="M5631"/>
    </row>
    <row r="5632" spans="1:13" x14ac:dyDescent="0.3">
      <c r="A5632" s="7">
        <v>400241</v>
      </c>
      <c r="B5632" t="str">
        <f>_xlfn.XLOOKUP(Vendas[[#This Row],[ID Vendedor]],Vendedores[ID],Vendedores[Nome])</f>
        <v>Rodrigo</v>
      </c>
      <c r="C5632" s="7" t="str">
        <f>_xlfn.XLOOKUP(Vendas[[#This Row],[ID Vendedor]],Vendedores[ID],Vendedores[Setor])</f>
        <v>FM</v>
      </c>
      <c r="D5632" s="7" t="s">
        <v>47</v>
      </c>
      <c r="E5632" t="str">
        <f>_xlfn.XLOOKUP(Vendas[[#This Row],[ID Item Vendido]],Agregado[ID],Agregado[Produto])</f>
        <v>Fio de arame galvanizado rolo 50m</v>
      </c>
      <c r="F5632" s="39">
        <v>46142</v>
      </c>
      <c r="G5632" s="7">
        <v>22</v>
      </c>
      <c r="H5632" s="3">
        <f>_xlfn.XLOOKUP(Vendas[[#This Row],[ID Item Vendido]],Agregado[ID],Agregado[Revenda])</f>
        <v>21.2</v>
      </c>
      <c r="I5632" s="3">
        <f>Vendas[[#This Row],[Valor Unitário]]*Vendas[[#This Row],[Qnt Vendida]]</f>
        <v>466.4</v>
      </c>
      <c r="J5632" s="3">
        <f>Vendas[[#This Row],[Valor da Venda]]-(_xlfn.XLOOKUP(Vendas[[#This Row],[ID Item Vendido]],Agregado[ID],Agregado[Custo])*Vendas[[#This Row],[Qnt Vendida]])</f>
        <v>70.399999999999977</v>
      </c>
      <c r="K5632" s="70">
        <f>Vendas[[#This Row],[Lucro da Venda]]/Vendas[[#This Row],[Valor da Venda]]</f>
        <v>0.15094339622641506</v>
      </c>
      <c r="L5632" s="3">
        <f>_xlfn.IFS(Vendas[[#This Row],[Margem de Lucro (%)]]&lt;15%,Vendas[[#This Row],[Valor da Venda]]*3%,Vendas[[#This Row],[Margem de Lucro (%)]]&lt;=20%,Vendas[[#This Row],[Valor da Venda]]*4.5%,TRUE,Vendas[[#This Row],[Valor da Venda]]*6%)</f>
        <v>20.988</v>
      </c>
      <c r="M5632"/>
    </row>
    <row r="5633" spans="1:13" x14ac:dyDescent="0.3">
      <c r="A5633" s="7">
        <v>400247</v>
      </c>
      <c r="B5633" t="str">
        <f>_xlfn.XLOOKUP(Vendas[[#This Row],[ID Vendedor]],Vendedores[ID],Vendedores[Nome])</f>
        <v>André</v>
      </c>
      <c r="C5633" s="7" t="str">
        <f>_xlfn.XLOOKUP(Vendas[[#This Row],[ID Vendedor]],Vendedores[ID],Vendedores[Setor])</f>
        <v>CM</v>
      </c>
      <c r="D5633" s="7" t="s">
        <v>32</v>
      </c>
      <c r="E5633" t="str">
        <f>_xlfn.XLOOKUP(Vendas[[#This Row],[ID Item Vendido]],Agregado[ID],Agregado[Produto])</f>
        <v>Tábua tratada e cortada 3m</v>
      </c>
      <c r="F5633" s="39">
        <v>46142</v>
      </c>
      <c r="G5633" s="7">
        <v>8</v>
      </c>
      <c r="H5633" s="3">
        <f>_xlfn.XLOOKUP(Vendas[[#This Row],[ID Item Vendido]],Agregado[ID],Agregado[Revenda])</f>
        <v>39</v>
      </c>
      <c r="I5633" s="3">
        <f>Vendas[[#This Row],[Valor Unitário]]*Vendas[[#This Row],[Qnt Vendida]]</f>
        <v>312</v>
      </c>
      <c r="J5633" s="3">
        <f>Vendas[[#This Row],[Valor da Venda]]-(_xlfn.XLOOKUP(Vendas[[#This Row],[ID Item Vendido]],Agregado[ID],Agregado[Custo])*Vendas[[#This Row],[Qnt Vendida]])</f>
        <v>56</v>
      </c>
      <c r="K5633" s="70">
        <f>Vendas[[#This Row],[Lucro da Venda]]/Vendas[[#This Row],[Valor da Venda]]</f>
        <v>0.17948717948717949</v>
      </c>
      <c r="L5633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633"/>
    </row>
    <row r="5634" spans="1:13" x14ac:dyDescent="0.3">
      <c r="A5634" s="7">
        <v>400251</v>
      </c>
      <c r="B5634" t="str">
        <f>_xlfn.XLOOKUP(Vendas[[#This Row],[ID Vendedor]],Vendedores[ID],Vendedores[Nome])</f>
        <v>Diego</v>
      </c>
      <c r="C5634" s="7" t="str">
        <f>_xlfn.XLOOKUP(Vendas[[#This Row],[ID Vendedor]],Vendedores[ID],Vendedores[Setor])</f>
        <v>AB</v>
      </c>
      <c r="D5634" s="7" t="s">
        <v>24</v>
      </c>
      <c r="E5634" t="str">
        <f>_xlfn.XLOOKUP(Vendas[[#This Row],[ID Item Vendido]],Agregado[ID],Agregado[Produto])</f>
        <v>Resina plástica PET purificada saco de 25kg</v>
      </c>
      <c r="F5634" s="39">
        <v>46143</v>
      </c>
      <c r="G5634" s="7">
        <v>21</v>
      </c>
      <c r="H5634" s="3">
        <f>_xlfn.XLOOKUP(Vendas[[#This Row],[ID Item Vendido]],Agregado[ID],Agregado[Revenda])</f>
        <v>119</v>
      </c>
      <c r="I5634" s="3">
        <f>Vendas[[#This Row],[Valor Unitário]]*Vendas[[#This Row],[Qnt Vendida]]</f>
        <v>2499</v>
      </c>
      <c r="J5634" s="3">
        <f>Vendas[[#This Row],[Valor da Venda]]-(_xlfn.XLOOKUP(Vendas[[#This Row],[ID Item Vendido]],Agregado[ID],Agregado[Custo])*Vendas[[#This Row],[Qnt Vendida]])</f>
        <v>714</v>
      </c>
      <c r="K5634" s="70">
        <f>Vendas[[#This Row],[Lucro da Venda]]/Vendas[[#This Row],[Valor da Venda]]</f>
        <v>0.2857142857142857</v>
      </c>
      <c r="L5634" s="3">
        <f>_xlfn.IFS(Vendas[[#This Row],[Margem de Lucro (%)]]&lt;15%,Vendas[[#This Row],[Valor da Venda]]*3%,Vendas[[#This Row],[Margem de Lucro (%)]]&lt;=20%,Vendas[[#This Row],[Valor da Venda]]*4.5%,TRUE,Vendas[[#This Row],[Valor da Venda]]*6%)</f>
        <v>149.94</v>
      </c>
      <c r="M5634"/>
    </row>
    <row r="5635" spans="1:13" x14ac:dyDescent="0.3">
      <c r="A5635" s="7">
        <v>400246</v>
      </c>
      <c r="B5635" t="str">
        <f>_xlfn.XLOOKUP(Vendas[[#This Row],[ID Vendedor]],Vendedores[ID],Vendedores[Nome])</f>
        <v>Juliana</v>
      </c>
      <c r="C5635" s="7" t="str">
        <f>_xlfn.XLOOKUP(Vendas[[#This Row],[ID Vendedor]],Vendedores[ID],Vendedores[Setor])</f>
        <v>AHD</v>
      </c>
      <c r="D5635" s="7" t="s">
        <v>18</v>
      </c>
      <c r="E5635" t="str">
        <f>_xlfn.XLOOKUP(Vendas[[#This Row],[ID Item Vendido]],Agregado[ID],Agregado[Produto])</f>
        <v>Peça forjada sob encomenda</v>
      </c>
      <c r="F5635" s="39">
        <v>46143</v>
      </c>
      <c r="G5635" s="7">
        <v>2</v>
      </c>
      <c r="H5635" s="3">
        <f>_xlfn.XLOOKUP(Vendas[[#This Row],[ID Item Vendido]],Agregado[ID],Agregado[Revenda])</f>
        <v>264.60000000000002</v>
      </c>
      <c r="I5635" s="3">
        <f>Vendas[[#This Row],[Valor Unitário]]*Vendas[[#This Row],[Qnt Vendida]]</f>
        <v>529.20000000000005</v>
      </c>
      <c r="J5635" s="3">
        <f>Vendas[[#This Row],[Valor da Venda]]-(_xlfn.XLOOKUP(Vendas[[#This Row],[ID Item Vendido]],Agregado[ID],Agregado[Custo])*Vendas[[#This Row],[Qnt Vendida]])</f>
        <v>29.200000000000045</v>
      </c>
      <c r="K5635" s="70">
        <f>Vendas[[#This Row],[Lucro da Venda]]/Vendas[[#This Row],[Valor da Venda]]</f>
        <v>5.5177626606198113E-2</v>
      </c>
      <c r="L5635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635"/>
    </row>
    <row r="5636" spans="1:13" x14ac:dyDescent="0.3">
      <c r="A5636" s="7">
        <v>400254</v>
      </c>
      <c r="B5636" t="str">
        <f>_xlfn.XLOOKUP(Vendas[[#This Row],[ID Vendedor]],Vendedores[ID],Vendedores[Nome])</f>
        <v>Beatriz</v>
      </c>
      <c r="C5636" s="7" t="str">
        <f>_xlfn.XLOOKUP(Vendas[[#This Row],[ID Vendedor]],Vendedores[ID],Vendedores[Setor])</f>
        <v>SC</v>
      </c>
      <c r="D5636" s="7" t="s">
        <v>14</v>
      </c>
      <c r="E5636" t="str">
        <f>_xlfn.XLOOKUP(Vendas[[#This Row],[ID Item Vendido]],Agregado[ID],Agregado[Produto])</f>
        <v>Barril de plástico 200L</v>
      </c>
      <c r="F5636" s="39">
        <v>46144</v>
      </c>
      <c r="G5636" s="7">
        <v>17</v>
      </c>
      <c r="H5636" s="3">
        <f>_xlfn.XLOOKUP(Vendas[[#This Row],[ID Item Vendido]],Agregado[ID],Agregado[Revenda])</f>
        <v>114</v>
      </c>
      <c r="I5636" s="3">
        <f>Vendas[[#This Row],[Valor Unitário]]*Vendas[[#This Row],[Qnt Vendida]]</f>
        <v>1938</v>
      </c>
      <c r="J5636" s="3">
        <f>Vendas[[#This Row],[Valor da Venda]]-(_xlfn.XLOOKUP(Vendas[[#This Row],[ID Item Vendido]],Agregado[ID],Agregado[Custo])*Vendas[[#This Row],[Qnt Vendida]])</f>
        <v>323</v>
      </c>
      <c r="K5636" s="70">
        <f>Vendas[[#This Row],[Lucro da Venda]]/Vendas[[#This Row],[Valor da Venda]]</f>
        <v>0.16666666666666666</v>
      </c>
      <c r="L5636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5636"/>
    </row>
    <row r="5637" spans="1:13" x14ac:dyDescent="0.3">
      <c r="A5637" s="7">
        <v>400242</v>
      </c>
      <c r="B5637" t="str">
        <f>_xlfn.XLOOKUP(Vendas[[#This Row],[ID Vendedor]],Vendedores[ID],Vendedores[Nome])</f>
        <v>Fernanda</v>
      </c>
      <c r="C5637" s="7" t="str">
        <f>_xlfn.XLOOKUP(Vendas[[#This Row],[ID Vendedor]],Vendedores[ID],Vendedores[Setor])</f>
        <v>FM</v>
      </c>
      <c r="D5637" s="7" t="s">
        <v>31</v>
      </c>
      <c r="E5637" t="str">
        <f>_xlfn.XLOOKUP(Vendas[[#This Row],[ID Item Vendido]],Agregado[ID],Agregado[Produto])</f>
        <v>Tela de metal soldada rolo 2x25m</v>
      </c>
      <c r="F5637" s="39">
        <v>46144</v>
      </c>
      <c r="G5637" s="7">
        <v>7</v>
      </c>
      <c r="H5637" s="3">
        <f>_xlfn.XLOOKUP(Vendas[[#This Row],[ID Item Vendido]],Agregado[ID],Agregado[Revenda])</f>
        <v>43.7</v>
      </c>
      <c r="I5637" s="3">
        <f>Vendas[[#This Row],[Valor Unitário]]*Vendas[[#This Row],[Qnt Vendida]]</f>
        <v>305.90000000000003</v>
      </c>
      <c r="J5637" s="3">
        <f>Vendas[[#This Row],[Valor da Venda]]-(_xlfn.XLOOKUP(Vendas[[#This Row],[ID Item Vendido]],Agregado[ID],Agregado[Custo])*Vendas[[#This Row],[Qnt Vendida]])</f>
        <v>39.900000000000034</v>
      </c>
      <c r="K5637" s="70">
        <f>Vendas[[#This Row],[Lucro da Venda]]/Vendas[[#This Row],[Valor da Venda]]</f>
        <v>0.13043478260869576</v>
      </c>
      <c r="L5637" s="3">
        <f>_xlfn.IFS(Vendas[[#This Row],[Margem de Lucro (%)]]&lt;15%,Vendas[[#This Row],[Valor da Venda]]*3%,Vendas[[#This Row],[Margem de Lucro (%)]]&lt;=20%,Vendas[[#This Row],[Valor da Venda]]*4.5%,TRUE,Vendas[[#This Row],[Valor da Venda]]*6%)</f>
        <v>9.1770000000000014</v>
      </c>
      <c r="M5637"/>
    </row>
    <row r="5638" spans="1:13" x14ac:dyDescent="0.3">
      <c r="A5638" s="7">
        <v>400250</v>
      </c>
      <c r="B5638" t="str">
        <f>_xlfn.XLOOKUP(Vendas[[#This Row],[ID Vendedor]],Vendedores[ID],Vendedores[Nome])</f>
        <v>Larissa</v>
      </c>
      <c r="C5638" s="7" t="str">
        <f>_xlfn.XLOOKUP(Vendas[[#This Row],[ID Vendedor]],Vendedores[ID],Vendedores[Setor])</f>
        <v>AB</v>
      </c>
      <c r="D5638" s="7" t="s">
        <v>36</v>
      </c>
      <c r="E5638" t="str">
        <f>_xlfn.XLOOKUP(Vendas[[#This Row],[ID Item Vendido]],Agregado[ID],Agregado[Produto])</f>
        <v>Borracha vulcanizada em manta</v>
      </c>
      <c r="F5638" s="39">
        <v>46144</v>
      </c>
      <c r="G5638" s="7">
        <v>13</v>
      </c>
      <c r="H5638" s="3">
        <f>_xlfn.XLOOKUP(Vendas[[#This Row],[ID Item Vendido]],Agregado[ID],Agregado[Revenda])</f>
        <v>7.8</v>
      </c>
      <c r="I5638" s="3">
        <f>Vendas[[#This Row],[Valor Unitário]]*Vendas[[#This Row],[Qnt Vendida]]</f>
        <v>101.39999999999999</v>
      </c>
      <c r="J5638" s="3">
        <f>Vendas[[#This Row],[Valor da Venda]]-(_xlfn.XLOOKUP(Vendas[[#This Row],[ID Item Vendido]],Agregado[ID],Agregado[Custo])*Vendas[[#This Row],[Qnt Vendida]])</f>
        <v>23.399999999999991</v>
      </c>
      <c r="K5638" s="70">
        <f>Vendas[[#This Row],[Lucro da Venda]]/Vendas[[#This Row],[Valor da Venda]]</f>
        <v>0.2307692307692307</v>
      </c>
      <c r="L5638" s="3">
        <f>_xlfn.IFS(Vendas[[#This Row],[Margem de Lucro (%)]]&lt;15%,Vendas[[#This Row],[Valor da Venda]]*3%,Vendas[[#This Row],[Margem de Lucro (%)]]&lt;=20%,Vendas[[#This Row],[Valor da Venda]]*4.5%,TRUE,Vendas[[#This Row],[Valor da Venda]]*6%)</f>
        <v>6.0839999999999996</v>
      </c>
      <c r="M5638"/>
    </row>
    <row r="5639" spans="1:13" x14ac:dyDescent="0.3">
      <c r="A5639" s="7">
        <v>400253</v>
      </c>
      <c r="B5639" t="str">
        <f>_xlfn.XLOOKUP(Vendas[[#This Row],[ID Vendedor]],Vendedores[ID],Vendedores[Nome])</f>
        <v>Gustavo</v>
      </c>
      <c r="C5639" s="7" t="str">
        <f>_xlfn.XLOOKUP(Vendas[[#This Row],[ID Vendedor]],Vendedores[ID],Vendedores[Setor])</f>
        <v>SC</v>
      </c>
      <c r="D5639" s="7" t="s">
        <v>42</v>
      </c>
      <c r="E5639" t="str">
        <f>_xlfn.XLOOKUP(Vendas[[#This Row],[ID Item Vendido]],Agregado[ID],Agregado[Produto])</f>
        <v>Container de ferro industrial</v>
      </c>
      <c r="F5639" s="39">
        <v>46145</v>
      </c>
      <c r="G5639" s="7">
        <v>6</v>
      </c>
      <c r="H5639" s="3">
        <f>_xlfn.XLOOKUP(Vendas[[#This Row],[ID Item Vendido]],Agregado[ID],Agregado[Revenda])</f>
        <v>830</v>
      </c>
      <c r="I5639" s="3">
        <f>Vendas[[#This Row],[Valor Unitário]]*Vendas[[#This Row],[Qnt Vendida]]</f>
        <v>4980</v>
      </c>
      <c r="J5639" s="3">
        <f>Vendas[[#This Row],[Valor da Venda]]-(_xlfn.XLOOKUP(Vendas[[#This Row],[ID Item Vendido]],Agregado[ID],Agregado[Custo])*Vendas[[#This Row],[Qnt Vendida]])</f>
        <v>900</v>
      </c>
      <c r="K5639" s="70">
        <f>Vendas[[#This Row],[Lucro da Venda]]/Vendas[[#This Row],[Valor da Venda]]</f>
        <v>0.18072289156626506</v>
      </c>
      <c r="L5639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639"/>
    </row>
    <row r="5640" spans="1:13" x14ac:dyDescent="0.3">
      <c r="A5640" s="7">
        <v>400247</v>
      </c>
      <c r="B5640" t="str">
        <f>_xlfn.XLOOKUP(Vendas[[#This Row],[ID Vendedor]],Vendedores[ID],Vendedores[Nome])</f>
        <v>André</v>
      </c>
      <c r="C5640" s="7" t="str">
        <f>_xlfn.XLOOKUP(Vendas[[#This Row],[ID Vendedor]],Vendedores[ID],Vendedores[Setor])</f>
        <v>CM</v>
      </c>
      <c r="D5640" s="7" t="s">
        <v>22</v>
      </c>
      <c r="E5640" t="str">
        <f>_xlfn.XLOOKUP(Vendas[[#This Row],[ID Item Vendido]],Agregado[ID],Agregado[Produto])</f>
        <v>Painel MDP 2,75x1,83m</v>
      </c>
      <c r="F5640" s="39">
        <v>46145</v>
      </c>
      <c r="G5640" s="7">
        <v>25</v>
      </c>
      <c r="H5640" s="3">
        <f>_xlfn.XLOOKUP(Vendas[[#This Row],[ID Item Vendido]],Agregado[ID],Agregado[Revenda])</f>
        <v>119</v>
      </c>
      <c r="I5640" s="3">
        <f>Vendas[[#This Row],[Valor Unitário]]*Vendas[[#This Row],[Qnt Vendida]]</f>
        <v>2975</v>
      </c>
      <c r="J5640" s="3">
        <f>Vendas[[#This Row],[Valor da Venda]]-(_xlfn.XLOOKUP(Vendas[[#This Row],[ID Item Vendido]],Agregado[ID],Agregado[Custo])*Vendas[[#This Row],[Qnt Vendida]])</f>
        <v>600</v>
      </c>
      <c r="K5640" s="70">
        <f>Vendas[[#This Row],[Lucro da Venda]]/Vendas[[#This Row],[Valor da Venda]]</f>
        <v>0.20168067226890757</v>
      </c>
      <c r="L5640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640"/>
    </row>
    <row r="5641" spans="1:13" x14ac:dyDescent="0.3">
      <c r="A5641" s="7">
        <v>400252</v>
      </c>
      <c r="B5641" t="str">
        <f>_xlfn.XLOOKUP(Vendas[[#This Row],[ID Vendedor]],Vendedores[ID],Vendedores[Nome])</f>
        <v>Renata</v>
      </c>
      <c r="C5641" s="7" t="str">
        <f>_xlfn.XLOOKUP(Vendas[[#This Row],[ID Vendedor]],Vendedores[ID],Vendedores[Setor])</f>
        <v>AB</v>
      </c>
      <c r="D5641" s="7" t="s">
        <v>24</v>
      </c>
      <c r="E5641" t="str">
        <f>_xlfn.XLOOKUP(Vendas[[#This Row],[ID Item Vendido]],Agregado[ID],Agregado[Produto])</f>
        <v>Resina plástica PET purificada saco de 25kg</v>
      </c>
      <c r="F5641" s="39">
        <v>46146</v>
      </c>
      <c r="G5641" s="7">
        <v>17</v>
      </c>
      <c r="H5641" s="3">
        <f>_xlfn.XLOOKUP(Vendas[[#This Row],[ID Item Vendido]],Agregado[ID],Agregado[Revenda])</f>
        <v>119</v>
      </c>
      <c r="I5641" s="3">
        <f>Vendas[[#This Row],[Valor Unitário]]*Vendas[[#This Row],[Qnt Vendida]]</f>
        <v>2023</v>
      </c>
      <c r="J5641" s="3">
        <f>Vendas[[#This Row],[Valor da Venda]]-(_xlfn.XLOOKUP(Vendas[[#This Row],[ID Item Vendido]],Agregado[ID],Agregado[Custo])*Vendas[[#This Row],[Qnt Vendida]])</f>
        <v>578</v>
      </c>
      <c r="K5641" s="70">
        <f>Vendas[[#This Row],[Lucro da Venda]]/Vendas[[#This Row],[Valor da Venda]]</f>
        <v>0.2857142857142857</v>
      </c>
      <c r="L5641" s="3">
        <f>_xlfn.IFS(Vendas[[#This Row],[Margem de Lucro (%)]]&lt;15%,Vendas[[#This Row],[Valor da Venda]]*3%,Vendas[[#This Row],[Margem de Lucro (%)]]&lt;=20%,Vendas[[#This Row],[Valor da Venda]]*4.5%,TRUE,Vendas[[#This Row],[Valor da Venda]]*6%)</f>
        <v>121.38</v>
      </c>
      <c r="M5641"/>
    </row>
    <row r="5642" spans="1:13" x14ac:dyDescent="0.3">
      <c r="A5642" s="7">
        <v>400252</v>
      </c>
      <c r="B5642" t="str">
        <f>_xlfn.XLOOKUP(Vendas[[#This Row],[ID Vendedor]],Vendedores[ID],Vendedores[Nome])</f>
        <v>Renata</v>
      </c>
      <c r="C5642" s="7" t="str">
        <f>_xlfn.XLOOKUP(Vendas[[#This Row],[ID Vendedor]],Vendedores[ID],Vendedores[Setor])</f>
        <v>AB</v>
      </c>
      <c r="D5642" s="7" t="s">
        <v>39</v>
      </c>
      <c r="E5642" t="str">
        <f>_xlfn.XLOOKUP(Vendas[[#This Row],[ID Item Vendido]],Agregado[ID],Agregado[Produto])</f>
        <v>Filme plástico industrial rolo 50m</v>
      </c>
      <c r="F5642" s="39">
        <v>46146</v>
      </c>
      <c r="G5642" s="7">
        <v>25</v>
      </c>
      <c r="H5642" s="3">
        <f>_xlfn.XLOOKUP(Vendas[[#This Row],[ID Item Vendido]],Agregado[ID],Agregado[Revenda])</f>
        <v>37</v>
      </c>
      <c r="I5642" s="3">
        <f>Vendas[[#This Row],[Valor Unitário]]*Vendas[[#This Row],[Qnt Vendida]]</f>
        <v>925</v>
      </c>
      <c r="J5642" s="3">
        <f>Vendas[[#This Row],[Valor da Venda]]-(_xlfn.XLOOKUP(Vendas[[#This Row],[ID Item Vendido]],Agregado[ID],Agregado[Custo])*Vendas[[#This Row],[Qnt Vendida]])</f>
        <v>225</v>
      </c>
      <c r="K5642" s="70">
        <f>Vendas[[#This Row],[Lucro da Venda]]/Vendas[[#This Row],[Valor da Venda]]</f>
        <v>0.24324324324324326</v>
      </c>
      <c r="L5642" s="3">
        <f>_xlfn.IFS(Vendas[[#This Row],[Margem de Lucro (%)]]&lt;15%,Vendas[[#This Row],[Valor da Venda]]*3%,Vendas[[#This Row],[Margem de Lucro (%)]]&lt;=20%,Vendas[[#This Row],[Valor da Venda]]*4.5%,TRUE,Vendas[[#This Row],[Valor da Venda]]*6%)</f>
        <v>55.5</v>
      </c>
      <c r="M5642"/>
    </row>
    <row r="5643" spans="1:13" x14ac:dyDescent="0.3">
      <c r="A5643" s="7">
        <v>400249</v>
      </c>
      <c r="B5643" t="str">
        <f>_xlfn.XLOOKUP(Vendas[[#This Row],[ID Vendedor]],Vendedores[ID],Vendedores[Nome])</f>
        <v>Bruno</v>
      </c>
      <c r="C5643" s="7" t="str">
        <f>_xlfn.XLOOKUP(Vendas[[#This Row],[ID Vendedor]],Vendedores[ID],Vendedores[Setor])</f>
        <v>CM</v>
      </c>
      <c r="D5643" s="7" t="s">
        <v>22</v>
      </c>
      <c r="E5643" t="str">
        <f>_xlfn.XLOOKUP(Vendas[[#This Row],[ID Item Vendido]],Agregado[ID],Agregado[Produto])</f>
        <v>Painel MDP 2,75x1,83m</v>
      </c>
      <c r="F5643" s="39">
        <v>46146</v>
      </c>
      <c r="G5643" s="7">
        <v>5</v>
      </c>
      <c r="H5643" s="3">
        <f>_xlfn.XLOOKUP(Vendas[[#This Row],[ID Item Vendido]],Agregado[ID],Agregado[Revenda])</f>
        <v>119</v>
      </c>
      <c r="I5643" s="3">
        <f>Vendas[[#This Row],[Valor Unitário]]*Vendas[[#This Row],[Qnt Vendida]]</f>
        <v>595</v>
      </c>
      <c r="J5643" s="3">
        <f>Vendas[[#This Row],[Valor da Venda]]-(_xlfn.XLOOKUP(Vendas[[#This Row],[ID Item Vendido]],Agregado[ID],Agregado[Custo])*Vendas[[#This Row],[Qnt Vendida]])</f>
        <v>120</v>
      </c>
      <c r="K5643" s="70">
        <f>Vendas[[#This Row],[Lucro da Venda]]/Vendas[[#This Row],[Valor da Venda]]</f>
        <v>0.20168067226890757</v>
      </c>
      <c r="L5643" s="3">
        <f>_xlfn.IFS(Vendas[[#This Row],[Margem de Lucro (%)]]&lt;15%,Vendas[[#This Row],[Valor da Venda]]*3%,Vendas[[#This Row],[Margem de Lucro (%)]]&lt;=20%,Vendas[[#This Row],[Valor da Venda]]*4.5%,TRUE,Vendas[[#This Row],[Valor da Venda]]*6%)</f>
        <v>35.699999999999996</v>
      </c>
      <c r="M5643"/>
    </row>
    <row r="5644" spans="1:13" x14ac:dyDescent="0.3">
      <c r="A5644" s="7">
        <v>400246</v>
      </c>
      <c r="B5644" t="str">
        <f>_xlfn.XLOOKUP(Vendas[[#This Row],[ID Vendedor]],Vendedores[ID],Vendedores[Nome])</f>
        <v>Juliana</v>
      </c>
      <c r="C5644" s="7" t="str">
        <f>_xlfn.XLOOKUP(Vendas[[#This Row],[ID Vendedor]],Vendedores[ID],Vendedores[Setor])</f>
        <v>AHD</v>
      </c>
      <c r="D5644" s="7" t="s">
        <v>18</v>
      </c>
      <c r="E5644" t="str">
        <f>_xlfn.XLOOKUP(Vendas[[#This Row],[ID Item Vendido]],Agregado[ID],Agregado[Produto])</f>
        <v>Peça forjada sob encomenda</v>
      </c>
      <c r="F5644" s="39">
        <v>46147</v>
      </c>
      <c r="G5644" s="7">
        <v>5</v>
      </c>
      <c r="H5644" s="3">
        <f>_xlfn.XLOOKUP(Vendas[[#This Row],[ID Item Vendido]],Agregado[ID],Agregado[Revenda])</f>
        <v>264.60000000000002</v>
      </c>
      <c r="I5644" s="3">
        <f>Vendas[[#This Row],[Valor Unitário]]*Vendas[[#This Row],[Qnt Vendida]]</f>
        <v>1323</v>
      </c>
      <c r="J5644" s="3">
        <f>Vendas[[#This Row],[Valor da Venda]]-(_xlfn.XLOOKUP(Vendas[[#This Row],[ID Item Vendido]],Agregado[ID],Agregado[Custo])*Vendas[[#This Row],[Qnt Vendida]])</f>
        <v>73</v>
      </c>
      <c r="K5644" s="70">
        <f>Vendas[[#This Row],[Lucro da Venda]]/Vendas[[#This Row],[Valor da Venda]]</f>
        <v>5.5177626606198037E-2</v>
      </c>
      <c r="L5644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5644"/>
    </row>
    <row r="5645" spans="1:13" x14ac:dyDescent="0.3">
      <c r="A5645" s="7">
        <v>400254</v>
      </c>
      <c r="B5645" t="str">
        <f>_xlfn.XLOOKUP(Vendas[[#This Row],[ID Vendedor]],Vendedores[ID],Vendedores[Nome])</f>
        <v>Beatriz</v>
      </c>
      <c r="C5645" s="7" t="str">
        <f>_xlfn.XLOOKUP(Vendas[[#This Row],[ID Vendedor]],Vendedores[ID],Vendedores[Setor])</f>
        <v>SC</v>
      </c>
      <c r="D5645" s="7" t="s">
        <v>14</v>
      </c>
      <c r="E5645" t="str">
        <f>_xlfn.XLOOKUP(Vendas[[#This Row],[ID Item Vendido]],Agregado[ID],Agregado[Produto])</f>
        <v>Barril de plástico 200L</v>
      </c>
      <c r="F5645" s="39">
        <v>46147</v>
      </c>
      <c r="G5645" s="7">
        <v>16</v>
      </c>
      <c r="H5645" s="3">
        <f>_xlfn.XLOOKUP(Vendas[[#This Row],[ID Item Vendido]],Agregado[ID],Agregado[Revenda])</f>
        <v>114</v>
      </c>
      <c r="I5645" s="3">
        <f>Vendas[[#This Row],[Valor Unitário]]*Vendas[[#This Row],[Qnt Vendida]]</f>
        <v>1824</v>
      </c>
      <c r="J5645" s="3">
        <f>Vendas[[#This Row],[Valor da Venda]]-(_xlfn.XLOOKUP(Vendas[[#This Row],[ID Item Vendido]],Agregado[ID],Agregado[Custo])*Vendas[[#This Row],[Qnt Vendida]])</f>
        <v>304</v>
      </c>
      <c r="K5645" s="70">
        <f>Vendas[[#This Row],[Lucro da Venda]]/Vendas[[#This Row],[Valor da Venda]]</f>
        <v>0.16666666666666666</v>
      </c>
      <c r="L5645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5645"/>
    </row>
    <row r="5646" spans="1:13" x14ac:dyDescent="0.3">
      <c r="A5646" s="7">
        <v>400254</v>
      </c>
      <c r="B5646" t="str">
        <f>_xlfn.XLOOKUP(Vendas[[#This Row],[ID Vendedor]],Vendedores[ID],Vendedores[Nome])</f>
        <v>Beatriz</v>
      </c>
      <c r="C5646" s="7" t="str">
        <f>_xlfn.XLOOKUP(Vendas[[#This Row],[ID Vendedor]],Vendedores[ID],Vendedores[Setor])</f>
        <v>SC</v>
      </c>
      <c r="D5646" s="7" t="s">
        <v>14</v>
      </c>
      <c r="E5646" t="str">
        <f>_xlfn.XLOOKUP(Vendas[[#This Row],[ID Item Vendido]],Agregado[ID],Agregado[Produto])</f>
        <v>Barril de plástico 200L</v>
      </c>
      <c r="F5646" s="39">
        <v>46147</v>
      </c>
      <c r="G5646" s="7">
        <v>13</v>
      </c>
      <c r="H5646" s="3">
        <f>_xlfn.XLOOKUP(Vendas[[#This Row],[ID Item Vendido]],Agregado[ID],Agregado[Revenda])</f>
        <v>114</v>
      </c>
      <c r="I5646" s="3">
        <f>Vendas[[#This Row],[Valor Unitário]]*Vendas[[#This Row],[Qnt Vendida]]</f>
        <v>1482</v>
      </c>
      <c r="J5646" s="3">
        <f>Vendas[[#This Row],[Valor da Venda]]-(_xlfn.XLOOKUP(Vendas[[#This Row],[ID Item Vendido]],Agregado[ID],Agregado[Custo])*Vendas[[#This Row],[Qnt Vendida]])</f>
        <v>247</v>
      </c>
      <c r="K5646" s="70">
        <f>Vendas[[#This Row],[Lucro da Venda]]/Vendas[[#This Row],[Valor da Venda]]</f>
        <v>0.16666666666666666</v>
      </c>
      <c r="L5646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5646"/>
    </row>
    <row r="5647" spans="1:13" x14ac:dyDescent="0.3">
      <c r="A5647" s="7">
        <v>400244</v>
      </c>
      <c r="B5647" t="str">
        <f>_xlfn.XLOOKUP(Vendas[[#This Row],[ID Vendedor]],Vendedores[ID],Vendedores[Nome])</f>
        <v>Camila</v>
      </c>
      <c r="C5647" s="7" t="str">
        <f>_xlfn.XLOOKUP(Vendas[[#This Row],[ID Vendedor]],Vendedores[ID],Vendedores[Setor])</f>
        <v>AHD</v>
      </c>
      <c r="D5647" s="7" t="s">
        <v>9</v>
      </c>
      <c r="E5647" t="str">
        <f>_xlfn.XLOOKUP(Vendas[[#This Row],[ID Item Vendido]],Agregado[ID],Agregado[Produto])</f>
        <v>Barra de aço simples</v>
      </c>
      <c r="F5647" s="39">
        <v>46147</v>
      </c>
      <c r="G5647" s="7">
        <v>109</v>
      </c>
      <c r="H5647" s="3">
        <f>_xlfn.XLOOKUP(Vendas[[#This Row],[ID Item Vendido]],Agregado[ID],Agregado[Revenda])</f>
        <v>6.7</v>
      </c>
      <c r="I5647" s="3">
        <f>Vendas[[#This Row],[Valor Unitário]]*Vendas[[#This Row],[Qnt Vendida]]</f>
        <v>730.30000000000007</v>
      </c>
      <c r="J5647" s="3">
        <f>Vendas[[#This Row],[Valor da Venda]]-(_xlfn.XLOOKUP(Vendas[[#This Row],[ID Item Vendido]],Agregado[ID],Agregado[Custo])*Vendas[[#This Row],[Qnt Vendida]])</f>
        <v>98.100000000000136</v>
      </c>
      <c r="K5647" s="70">
        <f>Vendas[[#This Row],[Lucro da Venda]]/Vendas[[#This Row],[Valor da Venda]]</f>
        <v>0.13432835820895539</v>
      </c>
      <c r="L5647" s="3">
        <f>_xlfn.IFS(Vendas[[#This Row],[Margem de Lucro (%)]]&lt;15%,Vendas[[#This Row],[Valor da Venda]]*3%,Vendas[[#This Row],[Margem de Lucro (%)]]&lt;=20%,Vendas[[#This Row],[Valor da Venda]]*4.5%,TRUE,Vendas[[#This Row],[Valor da Venda]]*6%)</f>
        <v>21.909000000000002</v>
      </c>
      <c r="M5647"/>
    </row>
    <row r="5648" spans="1:13" x14ac:dyDescent="0.3">
      <c r="A5648" s="7">
        <v>400241</v>
      </c>
      <c r="B5648" t="str">
        <f>_xlfn.XLOOKUP(Vendas[[#This Row],[ID Vendedor]],Vendedores[ID],Vendedores[Nome])</f>
        <v>Rodrigo</v>
      </c>
      <c r="C5648" s="7" t="str">
        <f>_xlfn.XLOOKUP(Vendas[[#This Row],[ID Vendedor]],Vendedores[ID],Vendedores[Setor])</f>
        <v>FM</v>
      </c>
      <c r="D5648" s="7" t="s">
        <v>6</v>
      </c>
      <c r="E5648" t="str">
        <f>_xlfn.XLOOKUP(Vendas[[#This Row],[ID Item Vendido]],Agregado[ID],Agregado[Produto])</f>
        <v>Parafuso comum 500un</v>
      </c>
      <c r="F5648" s="39">
        <v>46147</v>
      </c>
      <c r="G5648" s="7">
        <v>12</v>
      </c>
      <c r="H5648" s="3">
        <f>_xlfn.XLOOKUP(Vendas[[#This Row],[ID Item Vendido]],Agregado[ID],Agregado[Revenda])</f>
        <v>24.6</v>
      </c>
      <c r="I5648" s="3">
        <f>Vendas[[#This Row],[Valor Unitário]]*Vendas[[#This Row],[Qnt Vendida]]</f>
        <v>295.20000000000005</v>
      </c>
      <c r="J5648" s="3">
        <f>Vendas[[#This Row],[Valor da Venda]]-(_xlfn.XLOOKUP(Vendas[[#This Row],[ID Item Vendido]],Agregado[ID],Agregado[Custo])*Vendas[[#This Row],[Qnt Vendida]])</f>
        <v>31.200000000000045</v>
      </c>
      <c r="K5648" s="70">
        <f>Vendas[[#This Row],[Lucro da Venda]]/Vendas[[#This Row],[Valor da Venda]]</f>
        <v>0.10569105691056924</v>
      </c>
      <c r="L5648" s="3">
        <f>_xlfn.IFS(Vendas[[#This Row],[Margem de Lucro (%)]]&lt;15%,Vendas[[#This Row],[Valor da Venda]]*3%,Vendas[[#This Row],[Margem de Lucro (%)]]&lt;=20%,Vendas[[#This Row],[Valor da Venda]]*4.5%,TRUE,Vendas[[#This Row],[Valor da Venda]]*6%)</f>
        <v>8.8560000000000016</v>
      </c>
      <c r="M5648"/>
    </row>
    <row r="5649" spans="1:13" x14ac:dyDescent="0.3">
      <c r="A5649" s="7">
        <v>400248</v>
      </c>
      <c r="B5649" t="str">
        <f>_xlfn.XLOOKUP(Vendas[[#This Row],[ID Vendedor]],Vendedores[ID],Vendedores[Nome])</f>
        <v>Patrícia</v>
      </c>
      <c r="C5649" s="7" t="str">
        <f>_xlfn.XLOOKUP(Vendas[[#This Row],[ID Vendedor]],Vendedores[ID],Vendedores[Setor])</f>
        <v>CM</v>
      </c>
      <c r="D5649" s="7" t="s">
        <v>22</v>
      </c>
      <c r="E5649" t="str">
        <f>_xlfn.XLOOKUP(Vendas[[#This Row],[ID Item Vendido]],Agregado[ID],Agregado[Produto])</f>
        <v>Painel MDP 2,75x1,83m</v>
      </c>
      <c r="F5649" s="39">
        <v>46148</v>
      </c>
      <c r="G5649" s="7">
        <v>8</v>
      </c>
      <c r="H5649" s="3">
        <f>_xlfn.XLOOKUP(Vendas[[#This Row],[ID Item Vendido]],Agregado[ID],Agregado[Revenda])</f>
        <v>119</v>
      </c>
      <c r="I5649" s="3">
        <f>Vendas[[#This Row],[Valor Unitário]]*Vendas[[#This Row],[Qnt Vendida]]</f>
        <v>952</v>
      </c>
      <c r="J5649" s="3">
        <f>Vendas[[#This Row],[Valor da Venda]]-(_xlfn.XLOOKUP(Vendas[[#This Row],[ID Item Vendido]],Agregado[ID],Agregado[Custo])*Vendas[[#This Row],[Qnt Vendida]])</f>
        <v>192</v>
      </c>
      <c r="K5649" s="70">
        <f>Vendas[[#This Row],[Lucro da Venda]]/Vendas[[#This Row],[Valor da Venda]]</f>
        <v>0.20168067226890757</v>
      </c>
      <c r="L5649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5649"/>
    </row>
    <row r="5650" spans="1:13" x14ac:dyDescent="0.3">
      <c r="A5650" s="7">
        <v>400252</v>
      </c>
      <c r="B5650" t="str">
        <f>_xlfn.XLOOKUP(Vendas[[#This Row],[ID Vendedor]],Vendedores[ID],Vendedores[Nome])</f>
        <v>Renata</v>
      </c>
      <c r="C5650" s="7" t="str">
        <f>_xlfn.XLOOKUP(Vendas[[#This Row],[ID Vendedor]],Vendedores[ID],Vendedores[Setor])</f>
        <v>AB</v>
      </c>
      <c r="D5650" s="7" t="s">
        <v>36</v>
      </c>
      <c r="E5650" t="str">
        <f>_xlfn.XLOOKUP(Vendas[[#This Row],[ID Item Vendido]],Agregado[ID],Agregado[Produto])</f>
        <v>Borracha vulcanizada em manta</v>
      </c>
      <c r="F5650" s="39">
        <v>46148</v>
      </c>
      <c r="G5650" s="7">
        <v>50</v>
      </c>
      <c r="H5650" s="3">
        <f>_xlfn.XLOOKUP(Vendas[[#This Row],[ID Item Vendido]],Agregado[ID],Agregado[Revenda])</f>
        <v>7.8</v>
      </c>
      <c r="I5650" s="3">
        <f>Vendas[[#This Row],[Valor Unitário]]*Vendas[[#This Row],[Qnt Vendida]]</f>
        <v>390</v>
      </c>
      <c r="J5650" s="3">
        <f>Vendas[[#This Row],[Valor da Venda]]-(_xlfn.XLOOKUP(Vendas[[#This Row],[ID Item Vendido]],Agregado[ID],Agregado[Custo])*Vendas[[#This Row],[Qnt Vendida]])</f>
        <v>90</v>
      </c>
      <c r="K5650" s="70">
        <f>Vendas[[#This Row],[Lucro da Venda]]/Vendas[[#This Row],[Valor da Venda]]</f>
        <v>0.23076923076923078</v>
      </c>
      <c r="L5650" s="3">
        <f>_xlfn.IFS(Vendas[[#This Row],[Margem de Lucro (%)]]&lt;15%,Vendas[[#This Row],[Valor da Venda]]*3%,Vendas[[#This Row],[Margem de Lucro (%)]]&lt;=20%,Vendas[[#This Row],[Valor da Venda]]*4.5%,TRUE,Vendas[[#This Row],[Valor da Venda]]*6%)</f>
        <v>23.4</v>
      </c>
      <c r="M5650"/>
    </row>
    <row r="5651" spans="1:13" x14ac:dyDescent="0.3">
      <c r="A5651" s="7">
        <v>400246</v>
      </c>
      <c r="B5651" t="str">
        <f>_xlfn.XLOOKUP(Vendas[[#This Row],[ID Vendedor]],Vendedores[ID],Vendedores[Nome])</f>
        <v>Juliana</v>
      </c>
      <c r="C5651" s="7" t="str">
        <f>_xlfn.XLOOKUP(Vendas[[#This Row],[ID Vendedor]],Vendedores[ID],Vendedores[Setor])</f>
        <v>AHD</v>
      </c>
      <c r="D5651" s="7" t="s">
        <v>9</v>
      </c>
      <c r="E5651" t="str">
        <f>_xlfn.XLOOKUP(Vendas[[#This Row],[ID Item Vendido]],Agregado[ID],Agregado[Produto])</f>
        <v>Barra de aço simples</v>
      </c>
      <c r="F5651" s="39">
        <v>46148</v>
      </c>
      <c r="G5651" s="7">
        <v>36</v>
      </c>
      <c r="H5651" s="3">
        <f>_xlfn.XLOOKUP(Vendas[[#This Row],[ID Item Vendido]],Agregado[ID],Agregado[Revenda])</f>
        <v>6.7</v>
      </c>
      <c r="I5651" s="3">
        <f>Vendas[[#This Row],[Valor Unitário]]*Vendas[[#This Row],[Qnt Vendida]]</f>
        <v>241.20000000000002</v>
      </c>
      <c r="J5651" s="3">
        <f>Vendas[[#This Row],[Valor da Venda]]-(_xlfn.XLOOKUP(Vendas[[#This Row],[ID Item Vendido]],Agregado[ID],Agregado[Custo])*Vendas[[#This Row],[Qnt Vendida]])</f>
        <v>32.400000000000034</v>
      </c>
      <c r="K5651" s="70">
        <f>Vendas[[#This Row],[Lucro da Venda]]/Vendas[[#This Row],[Valor da Venda]]</f>
        <v>0.13432835820895536</v>
      </c>
      <c r="L5651" s="3">
        <f>_xlfn.IFS(Vendas[[#This Row],[Margem de Lucro (%)]]&lt;15%,Vendas[[#This Row],[Valor da Venda]]*3%,Vendas[[#This Row],[Margem de Lucro (%)]]&lt;=20%,Vendas[[#This Row],[Valor da Venda]]*4.5%,TRUE,Vendas[[#This Row],[Valor da Venda]]*6%)</f>
        <v>7.2360000000000007</v>
      </c>
      <c r="M5651"/>
    </row>
    <row r="5652" spans="1:13" x14ac:dyDescent="0.3">
      <c r="A5652" s="7">
        <v>400247</v>
      </c>
      <c r="B5652" t="str">
        <f>_xlfn.XLOOKUP(Vendas[[#This Row],[ID Vendedor]],Vendedores[ID],Vendedores[Nome])</f>
        <v>André</v>
      </c>
      <c r="C5652" s="7" t="str">
        <f>_xlfn.XLOOKUP(Vendas[[#This Row],[ID Vendedor]],Vendedores[ID],Vendedores[Setor])</f>
        <v>CM</v>
      </c>
      <c r="D5652" s="7" t="s">
        <v>34</v>
      </c>
      <c r="E5652" t="str">
        <f>_xlfn.XLOOKUP(Vendas[[#This Row],[ID Item Vendido]],Agregado[ID],Agregado[Produto])</f>
        <v>Restos de madeira p/ MDP/OSB saco de 20kg</v>
      </c>
      <c r="F5652" s="39">
        <v>46148</v>
      </c>
      <c r="G5652" s="7">
        <v>13</v>
      </c>
      <c r="H5652" s="3">
        <f>_xlfn.XLOOKUP(Vendas[[#This Row],[ID Item Vendido]],Agregado[ID],Agregado[Revenda])</f>
        <v>13.8</v>
      </c>
      <c r="I5652" s="3">
        <f>Vendas[[#This Row],[Valor Unitário]]*Vendas[[#This Row],[Qnt Vendida]]</f>
        <v>179.4</v>
      </c>
      <c r="J5652" s="3">
        <f>Vendas[[#This Row],[Valor da Venda]]-(_xlfn.XLOOKUP(Vendas[[#This Row],[ID Item Vendido]],Agregado[ID],Agregado[Custo])*Vendas[[#This Row],[Qnt Vendida]])</f>
        <v>23.400000000000006</v>
      </c>
      <c r="K5652" s="70">
        <f>Vendas[[#This Row],[Lucro da Venda]]/Vendas[[#This Row],[Valor da Venda]]</f>
        <v>0.13043478260869568</v>
      </c>
      <c r="L5652" s="3">
        <f>_xlfn.IFS(Vendas[[#This Row],[Margem de Lucro (%)]]&lt;15%,Vendas[[#This Row],[Valor da Venda]]*3%,Vendas[[#This Row],[Margem de Lucro (%)]]&lt;=20%,Vendas[[#This Row],[Valor da Venda]]*4.5%,TRUE,Vendas[[#This Row],[Valor da Venda]]*6%)</f>
        <v>5.3819999999999997</v>
      </c>
      <c r="M5652"/>
    </row>
    <row r="5653" spans="1:13" x14ac:dyDescent="0.3">
      <c r="A5653" s="7">
        <v>400254</v>
      </c>
      <c r="B5653" t="str">
        <f>_xlfn.XLOOKUP(Vendas[[#This Row],[ID Vendedor]],Vendedores[ID],Vendedores[Nome])</f>
        <v>Beatriz</v>
      </c>
      <c r="C5653" s="7" t="str">
        <f>_xlfn.XLOOKUP(Vendas[[#This Row],[ID Vendedor]],Vendedores[ID],Vendedores[Setor])</f>
        <v>SC</v>
      </c>
      <c r="D5653" s="7" t="s">
        <v>14</v>
      </c>
      <c r="E5653" t="str">
        <f>_xlfn.XLOOKUP(Vendas[[#This Row],[ID Item Vendido]],Agregado[ID],Agregado[Produto])</f>
        <v>Barril de plástico 200L</v>
      </c>
      <c r="F5653" s="39">
        <v>46149</v>
      </c>
      <c r="G5653" s="7">
        <v>12</v>
      </c>
      <c r="H5653" s="3">
        <f>_xlfn.XLOOKUP(Vendas[[#This Row],[ID Item Vendido]],Agregado[ID],Agregado[Revenda])</f>
        <v>114</v>
      </c>
      <c r="I5653" s="3">
        <f>Vendas[[#This Row],[Valor Unitário]]*Vendas[[#This Row],[Qnt Vendida]]</f>
        <v>1368</v>
      </c>
      <c r="J5653" s="3">
        <f>Vendas[[#This Row],[Valor da Venda]]-(_xlfn.XLOOKUP(Vendas[[#This Row],[ID Item Vendido]],Agregado[ID],Agregado[Custo])*Vendas[[#This Row],[Qnt Vendida]])</f>
        <v>228</v>
      </c>
      <c r="K5653" s="70">
        <f>Vendas[[#This Row],[Lucro da Venda]]/Vendas[[#This Row],[Valor da Venda]]</f>
        <v>0.16666666666666666</v>
      </c>
      <c r="L5653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5653"/>
    </row>
    <row r="5654" spans="1:13" x14ac:dyDescent="0.3">
      <c r="A5654" s="7">
        <v>400252</v>
      </c>
      <c r="B5654" t="str">
        <f>_xlfn.XLOOKUP(Vendas[[#This Row],[ID Vendedor]],Vendedores[ID],Vendedores[Nome])</f>
        <v>Renata</v>
      </c>
      <c r="C5654" s="7" t="str">
        <f>_xlfn.XLOOKUP(Vendas[[#This Row],[ID Vendedor]],Vendedores[ID],Vendedores[Setor])</f>
        <v>AB</v>
      </c>
      <c r="D5654" s="7" t="s">
        <v>12</v>
      </c>
      <c r="E5654" t="str">
        <f>_xlfn.XLOOKUP(Vendas[[#This Row],[ID Item Vendido]],Agregado[ID],Agregado[Produto])</f>
        <v>Grânulo de plástico reciclado refinado</v>
      </c>
      <c r="F5654" s="39">
        <v>46149</v>
      </c>
      <c r="G5654" s="7">
        <v>99</v>
      </c>
      <c r="H5654" s="3">
        <f>_xlfn.XLOOKUP(Vendas[[#This Row],[ID Item Vendido]],Agregado[ID],Agregado[Revenda])</f>
        <v>4.7</v>
      </c>
      <c r="I5654" s="3">
        <f>Vendas[[#This Row],[Valor Unitário]]*Vendas[[#This Row],[Qnt Vendida]]</f>
        <v>465.3</v>
      </c>
      <c r="J5654" s="3">
        <f>Vendas[[#This Row],[Valor da Venda]]-(_xlfn.XLOOKUP(Vendas[[#This Row],[ID Item Vendido]],Agregado[ID],Agregado[Custo])*Vendas[[#This Row],[Qnt Vendida]])</f>
        <v>118.80000000000001</v>
      </c>
      <c r="K5654" s="70">
        <f>Vendas[[#This Row],[Lucro da Venda]]/Vendas[[#This Row],[Valor da Venda]]</f>
        <v>0.25531914893617025</v>
      </c>
      <c r="L5654" s="3">
        <f>_xlfn.IFS(Vendas[[#This Row],[Margem de Lucro (%)]]&lt;15%,Vendas[[#This Row],[Valor da Venda]]*3%,Vendas[[#This Row],[Margem de Lucro (%)]]&lt;=20%,Vendas[[#This Row],[Valor da Venda]]*4.5%,TRUE,Vendas[[#This Row],[Valor da Venda]]*6%)</f>
        <v>27.917999999999999</v>
      </c>
      <c r="M5654"/>
    </row>
    <row r="5655" spans="1:13" x14ac:dyDescent="0.3">
      <c r="A5655" s="7">
        <v>400252</v>
      </c>
      <c r="B5655" t="str">
        <f>_xlfn.XLOOKUP(Vendas[[#This Row],[ID Vendedor]],Vendedores[ID],Vendedores[Nome])</f>
        <v>Renata</v>
      </c>
      <c r="C5655" s="7" t="str">
        <f>_xlfn.XLOOKUP(Vendas[[#This Row],[ID Vendedor]],Vendedores[ID],Vendedores[Setor])</f>
        <v>AB</v>
      </c>
      <c r="D5655" s="7" t="s">
        <v>37</v>
      </c>
      <c r="E5655" t="str">
        <f>_xlfn.XLOOKUP(Vendas[[#This Row],[ID Item Vendido]],Agregado[ID],Agregado[Produto])</f>
        <v>Composto de borracha para vedação rolo 10m</v>
      </c>
      <c r="F5655" s="39">
        <v>46150</v>
      </c>
      <c r="G5655" s="7">
        <v>25</v>
      </c>
      <c r="H5655" s="3">
        <f>_xlfn.XLOOKUP(Vendas[[#This Row],[ID Item Vendido]],Agregado[ID],Agregado[Revenda])</f>
        <v>51.2</v>
      </c>
      <c r="I5655" s="3">
        <f>Vendas[[#This Row],[Valor Unitário]]*Vendas[[#This Row],[Qnt Vendida]]</f>
        <v>1280</v>
      </c>
      <c r="J5655" s="3">
        <f>Vendas[[#This Row],[Valor da Venda]]-(_xlfn.XLOOKUP(Vendas[[#This Row],[ID Item Vendido]],Agregado[ID],Agregado[Custo])*Vendas[[#This Row],[Qnt Vendida]])</f>
        <v>280</v>
      </c>
      <c r="K5655" s="70">
        <f>Vendas[[#This Row],[Lucro da Venda]]/Vendas[[#This Row],[Valor da Venda]]</f>
        <v>0.21875</v>
      </c>
      <c r="L5655" s="3">
        <f>_xlfn.IFS(Vendas[[#This Row],[Margem de Lucro (%)]]&lt;15%,Vendas[[#This Row],[Valor da Venda]]*3%,Vendas[[#This Row],[Margem de Lucro (%)]]&lt;=20%,Vendas[[#This Row],[Valor da Venda]]*4.5%,TRUE,Vendas[[#This Row],[Valor da Venda]]*6%)</f>
        <v>76.8</v>
      </c>
      <c r="M5655"/>
    </row>
    <row r="5656" spans="1:13" x14ac:dyDescent="0.3">
      <c r="A5656" s="7">
        <v>400251</v>
      </c>
      <c r="B5656" t="str">
        <f>_xlfn.XLOOKUP(Vendas[[#This Row],[ID Vendedor]],Vendedores[ID],Vendedores[Nome])</f>
        <v>Diego</v>
      </c>
      <c r="C5656" s="7" t="str">
        <f>_xlfn.XLOOKUP(Vendas[[#This Row],[ID Vendedor]],Vendedores[ID],Vendedores[Setor])</f>
        <v>AB</v>
      </c>
      <c r="D5656" s="7" t="s">
        <v>37</v>
      </c>
      <c r="E5656" t="str">
        <f>_xlfn.XLOOKUP(Vendas[[#This Row],[ID Item Vendido]],Agregado[ID],Agregado[Produto])</f>
        <v>Composto de borracha para vedação rolo 10m</v>
      </c>
      <c r="F5656" s="39">
        <v>46151</v>
      </c>
      <c r="G5656" s="7">
        <v>23</v>
      </c>
      <c r="H5656" s="3">
        <f>_xlfn.XLOOKUP(Vendas[[#This Row],[ID Item Vendido]],Agregado[ID],Agregado[Revenda])</f>
        <v>51.2</v>
      </c>
      <c r="I5656" s="3">
        <f>Vendas[[#This Row],[Valor Unitário]]*Vendas[[#This Row],[Qnt Vendida]]</f>
        <v>1177.6000000000001</v>
      </c>
      <c r="J5656" s="3">
        <f>Vendas[[#This Row],[Valor da Venda]]-(_xlfn.XLOOKUP(Vendas[[#This Row],[ID Item Vendido]],Agregado[ID],Agregado[Custo])*Vendas[[#This Row],[Qnt Vendida]])</f>
        <v>257.60000000000014</v>
      </c>
      <c r="K5656" s="70">
        <f>Vendas[[#This Row],[Lucro da Venda]]/Vendas[[#This Row],[Valor da Venda]]</f>
        <v>0.21875000000000008</v>
      </c>
      <c r="L5656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656"/>
    </row>
    <row r="5657" spans="1:13" x14ac:dyDescent="0.3">
      <c r="A5657" s="7">
        <v>400250</v>
      </c>
      <c r="B5657" t="str">
        <f>_xlfn.XLOOKUP(Vendas[[#This Row],[ID Vendedor]],Vendedores[ID],Vendedores[Nome])</f>
        <v>Larissa</v>
      </c>
      <c r="C5657" s="7" t="str">
        <f>_xlfn.XLOOKUP(Vendas[[#This Row],[ID Vendedor]],Vendedores[ID],Vendedores[Setor])</f>
        <v>AB</v>
      </c>
      <c r="D5657" s="7" t="s">
        <v>12</v>
      </c>
      <c r="E5657" t="str">
        <f>_xlfn.XLOOKUP(Vendas[[#This Row],[ID Item Vendido]],Agregado[ID],Agregado[Produto])</f>
        <v>Grânulo de plástico reciclado refinado</v>
      </c>
      <c r="F5657" s="39">
        <v>46151</v>
      </c>
      <c r="G5657" s="7">
        <v>118</v>
      </c>
      <c r="H5657" s="3">
        <f>_xlfn.XLOOKUP(Vendas[[#This Row],[ID Item Vendido]],Agregado[ID],Agregado[Revenda])</f>
        <v>4.7</v>
      </c>
      <c r="I5657" s="3">
        <f>Vendas[[#This Row],[Valor Unitário]]*Vendas[[#This Row],[Qnt Vendida]]</f>
        <v>554.6</v>
      </c>
      <c r="J5657" s="3">
        <f>Vendas[[#This Row],[Valor da Venda]]-(_xlfn.XLOOKUP(Vendas[[#This Row],[ID Item Vendido]],Agregado[ID],Agregado[Custo])*Vendas[[#This Row],[Qnt Vendida]])</f>
        <v>141.60000000000002</v>
      </c>
      <c r="K5657" s="70">
        <f>Vendas[[#This Row],[Lucro da Venda]]/Vendas[[#This Row],[Valor da Venda]]</f>
        <v>0.25531914893617025</v>
      </c>
      <c r="L5657" s="3">
        <f>_xlfn.IFS(Vendas[[#This Row],[Margem de Lucro (%)]]&lt;15%,Vendas[[#This Row],[Valor da Venda]]*3%,Vendas[[#This Row],[Margem de Lucro (%)]]&lt;=20%,Vendas[[#This Row],[Valor da Venda]]*4.5%,TRUE,Vendas[[#This Row],[Valor da Venda]]*6%)</f>
        <v>33.276000000000003</v>
      </c>
      <c r="M5657"/>
    </row>
    <row r="5658" spans="1:13" x14ac:dyDescent="0.3">
      <c r="A5658" s="7">
        <v>400242</v>
      </c>
      <c r="B5658" t="str">
        <f>_xlfn.XLOOKUP(Vendas[[#This Row],[ID Vendedor]],Vendedores[ID],Vendedores[Nome])</f>
        <v>Fernanda</v>
      </c>
      <c r="C5658" s="7" t="str">
        <f>_xlfn.XLOOKUP(Vendas[[#This Row],[ID Vendedor]],Vendedores[ID],Vendedores[Setor])</f>
        <v>FM</v>
      </c>
      <c r="D5658" s="7" t="s">
        <v>47</v>
      </c>
      <c r="E5658" t="str">
        <f>_xlfn.XLOOKUP(Vendas[[#This Row],[ID Item Vendido]],Agregado[ID],Agregado[Produto])</f>
        <v>Fio de arame galvanizado rolo 50m</v>
      </c>
      <c r="F5658" s="39">
        <v>46151</v>
      </c>
      <c r="G5658" s="7">
        <v>4</v>
      </c>
      <c r="H5658" s="3">
        <f>_xlfn.XLOOKUP(Vendas[[#This Row],[ID Item Vendido]],Agregado[ID],Agregado[Revenda])</f>
        <v>21.2</v>
      </c>
      <c r="I5658" s="3">
        <f>Vendas[[#This Row],[Valor Unitário]]*Vendas[[#This Row],[Qnt Vendida]]</f>
        <v>84.8</v>
      </c>
      <c r="J5658" s="3">
        <f>Vendas[[#This Row],[Valor da Venda]]-(_xlfn.XLOOKUP(Vendas[[#This Row],[ID Item Vendido]],Agregado[ID],Agregado[Custo])*Vendas[[#This Row],[Qnt Vendida]])</f>
        <v>12.799999999999997</v>
      </c>
      <c r="K5658" s="70">
        <f>Vendas[[#This Row],[Lucro da Venda]]/Vendas[[#This Row],[Valor da Venda]]</f>
        <v>0.15094339622641506</v>
      </c>
      <c r="L5658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5658"/>
    </row>
    <row r="5659" spans="1:13" x14ac:dyDescent="0.3">
      <c r="A5659" s="7">
        <v>400244</v>
      </c>
      <c r="B5659" t="str">
        <f>_xlfn.XLOOKUP(Vendas[[#This Row],[ID Vendedor]],Vendedores[ID],Vendedores[Nome])</f>
        <v>Camila</v>
      </c>
      <c r="C5659" s="7" t="str">
        <f>_xlfn.XLOOKUP(Vendas[[#This Row],[ID Vendedor]],Vendedores[ID],Vendedores[Setor])</f>
        <v>AHD</v>
      </c>
      <c r="D5659" s="7" t="s">
        <v>44</v>
      </c>
      <c r="E5659" t="str">
        <f>_xlfn.XLOOKUP(Vendas[[#This Row],[ID Item Vendido]],Agregado[ID],Agregado[Produto])</f>
        <v>Liga metálica especial</v>
      </c>
      <c r="F5659" s="39">
        <v>46152</v>
      </c>
      <c r="G5659" s="7">
        <v>57</v>
      </c>
      <c r="H5659" s="3">
        <f>_xlfn.XLOOKUP(Vendas[[#This Row],[ID Item Vendido]],Agregado[ID],Agregado[Revenda])</f>
        <v>32.5</v>
      </c>
      <c r="I5659" s="3">
        <f>Vendas[[#This Row],[Valor Unitário]]*Vendas[[#This Row],[Qnt Vendida]]</f>
        <v>1852.5</v>
      </c>
      <c r="J5659" s="3">
        <f>Vendas[[#This Row],[Valor da Venda]]-(_xlfn.XLOOKUP(Vendas[[#This Row],[ID Item Vendido]],Agregado[ID],Agregado[Custo])*Vendas[[#This Row],[Qnt Vendida]])</f>
        <v>427.5</v>
      </c>
      <c r="K5659" s="70">
        <f>Vendas[[#This Row],[Lucro da Venda]]/Vendas[[#This Row],[Valor da Venda]]</f>
        <v>0.23076923076923078</v>
      </c>
      <c r="L5659" s="3">
        <f>_xlfn.IFS(Vendas[[#This Row],[Margem de Lucro (%)]]&lt;15%,Vendas[[#This Row],[Valor da Venda]]*3%,Vendas[[#This Row],[Margem de Lucro (%)]]&lt;=20%,Vendas[[#This Row],[Valor da Venda]]*4.5%,TRUE,Vendas[[#This Row],[Valor da Venda]]*6%)</f>
        <v>111.14999999999999</v>
      </c>
      <c r="M5659"/>
    </row>
    <row r="5660" spans="1:13" x14ac:dyDescent="0.3">
      <c r="A5660" s="7">
        <v>400247</v>
      </c>
      <c r="B5660" t="str">
        <f>_xlfn.XLOOKUP(Vendas[[#This Row],[ID Vendedor]],Vendedores[ID],Vendedores[Nome])</f>
        <v>André</v>
      </c>
      <c r="C5660" s="7" t="str">
        <f>_xlfn.XLOOKUP(Vendas[[#This Row],[ID Vendedor]],Vendedores[ID],Vendedores[Setor])</f>
        <v>CM</v>
      </c>
      <c r="D5660" s="7" t="s">
        <v>32</v>
      </c>
      <c r="E5660" t="str">
        <f>_xlfn.XLOOKUP(Vendas[[#This Row],[ID Item Vendido]],Agregado[ID],Agregado[Produto])</f>
        <v>Tábua tratada e cortada 3m</v>
      </c>
      <c r="F5660" s="39">
        <v>46152</v>
      </c>
      <c r="G5660" s="7">
        <v>20</v>
      </c>
      <c r="H5660" s="3">
        <f>_xlfn.XLOOKUP(Vendas[[#This Row],[ID Item Vendido]],Agregado[ID],Agregado[Revenda])</f>
        <v>39</v>
      </c>
      <c r="I5660" s="3">
        <f>Vendas[[#This Row],[Valor Unitário]]*Vendas[[#This Row],[Qnt Vendida]]</f>
        <v>780</v>
      </c>
      <c r="J5660" s="3">
        <f>Vendas[[#This Row],[Valor da Venda]]-(_xlfn.XLOOKUP(Vendas[[#This Row],[ID Item Vendido]],Agregado[ID],Agregado[Custo])*Vendas[[#This Row],[Qnt Vendida]])</f>
        <v>140</v>
      </c>
      <c r="K5660" s="70">
        <f>Vendas[[#This Row],[Lucro da Venda]]/Vendas[[#This Row],[Valor da Venda]]</f>
        <v>0.17948717948717949</v>
      </c>
      <c r="L5660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660"/>
    </row>
    <row r="5661" spans="1:13" x14ac:dyDescent="0.3">
      <c r="A5661" s="7">
        <v>400244</v>
      </c>
      <c r="B5661" t="str">
        <f>_xlfn.XLOOKUP(Vendas[[#This Row],[ID Vendedor]],Vendedores[ID],Vendedores[Nome])</f>
        <v>Camila</v>
      </c>
      <c r="C5661" s="7" t="str">
        <f>_xlfn.XLOOKUP(Vendas[[#This Row],[ID Vendedor]],Vendedores[ID],Vendedores[Setor])</f>
        <v>AHD</v>
      </c>
      <c r="D5661" s="7" t="s">
        <v>28</v>
      </c>
      <c r="E5661" t="str">
        <f>_xlfn.XLOOKUP(Vendas[[#This Row],[ID Item Vendido]],Agregado[ID],Agregado[Produto])</f>
        <v>Peça usinada CNC</v>
      </c>
      <c r="F5661" s="39">
        <v>46152</v>
      </c>
      <c r="G5661" s="7">
        <v>4</v>
      </c>
      <c r="H5661" s="3">
        <f>_xlfn.XLOOKUP(Vendas[[#This Row],[ID Item Vendido]],Agregado[ID],Agregado[Revenda])</f>
        <v>192</v>
      </c>
      <c r="I5661" s="3">
        <f>Vendas[[#This Row],[Valor Unitário]]*Vendas[[#This Row],[Qnt Vendida]]</f>
        <v>768</v>
      </c>
      <c r="J5661" s="3">
        <f>Vendas[[#This Row],[Valor da Venda]]-(_xlfn.XLOOKUP(Vendas[[#This Row],[ID Item Vendido]],Agregado[ID],Agregado[Custo])*Vendas[[#This Row],[Qnt Vendida]])</f>
        <v>168</v>
      </c>
      <c r="K5661" s="70">
        <f>Vendas[[#This Row],[Lucro da Venda]]/Vendas[[#This Row],[Valor da Venda]]</f>
        <v>0.21875</v>
      </c>
      <c r="L5661" s="3">
        <f>_xlfn.IFS(Vendas[[#This Row],[Margem de Lucro (%)]]&lt;15%,Vendas[[#This Row],[Valor da Venda]]*3%,Vendas[[#This Row],[Margem de Lucro (%)]]&lt;=20%,Vendas[[#This Row],[Valor da Venda]]*4.5%,TRUE,Vendas[[#This Row],[Valor da Venda]]*6%)</f>
        <v>46.08</v>
      </c>
      <c r="M5661"/>
    </row>
    <row r="5662" spans="1:13" x14ac:dyDescent="0.3">
      <c r="A5662" s="7">
        <v>400242</v>
      </c>
      <c r="B5662" t="str">
        <f>_xlfn.XLOOKUP(Vendas[[#This Row],[ID Vendedor]],Vendedores[ID],Vendedores[Nome])</f>
        <v>Fernanda</v>
      </c>
      <c r="C5662" s="7" t="str">
        <f>_xlfn.XLOOKUP(Vendas[[#This Row],[ID Vendedor]],Vendedores[ID],Vendedores[Setor])</f>
        <v>FM</v>
      </c>
      <c r="D5662" s="7" t="s">
        <v>31</v>
      </c>
      <c r="E5662" t="str">
        <f>_xlfn.XLOOKUP(Vendas[[#This Row],[ID Item Vendido]],Agregado[ID],Agregado[Produto])</f>
        <v>Tela de metal soldada rolo 2x25m</v>
      </c>
      <c r="F5662" s="39">
        <v>46152</v>
      </c>
      <c r="G5662" s="7">
        <v>10</v>
      </c>
      <c r="H5662" s="3">
        <f>_xlfn.XLOOKUP(Vendas[[#This Row],[ID Item Vendido]],Agregado[ID],Agregado[Revenda])</f>
        <v>43.7</v>
      </c>
      <c r="I5662" s="3">
        <f>Vendas[[#This Row],[Valor Unitário]]*Vendas[[#This Row],[Qnt Vendida]]</f>
        <v>437</v>
      </c>
      <c r="J5662" s="3">
        <f>Vendas[[#This Row],[Valor da Venda]]-(_xlfn.XLOOKUP(Vendas[[#This Row],[ID Item Vendido]],Agregado[ID],Agregado[Custo])*Vendas[[#This Row],[Qnt Vendida]])</f>
        <v>57</v>
      </c>
      <c r="K5662" s="70">
        <f>Vendas[[#This Row],[Lucro da Venda]]/Vendas[[#This Row],[Valor da Venda]]</f>
        <v>0.13043478260869565</v>
      </c>
      <c r="L5662" s="3">
        <f>_xlfn.IFS(Vendas[[#This Row],[Margem de Lucro (%)]]&lt;15%,Vendas[[#This Row],[Valor da Venda]]*3%,Vendas[[#This Row],[Margem de Lucro (%)]]&lt;=20%,Vendas[[#This Row],[Valor da Venda]]*4.5%,TRUE,Vendas[[#This Row],[Valor da Venda]]*6%)</f>
        <v>13.11</v>
      </c>
      <c r="M5662"/>
    </row>
    <row r="5663" spans="1:13" x14ac:dyDescent="0.3">
      <c r="A5663" s="7">
        <v>400247</v>
      </c>
      <c r="B5663" t="str">
        <f>_xlfn.XLOOKUP(Vendas[[#This Row],[ID Vendedor]],Vendedores[ID],Vendedores[Nome])</f>
        <v>André</v>
      </c>
      <c r="C5663" s="7" t="str">
        <f>_xlfn.XLOOKUP(Vendas[[#This Row],[ID Vendedor]],Vendedores[ID],Vendedores[Setor])</f>
        <v>CM</v>
      </c>
      <c r="D5663" s="7" t="s">
        <v>34</v>
      </c>
      <c r="E5663" t="str">
        <f>_xlfn.XLOOKUP(Vendas[[#This Row],[ID Item Vendido]],Agregado[ID],Agregado[Produto])</f>
        <v>Restos de madeira p/ MDP/OSB saco de 20kg</v>
      </c>
      <c r="F5663" s="39">
        <v>46152</v>
      </c>
      <c r="G5663" s="7">
        <v>20</v>
      </c>
      <c r="H5663" s="3">
        <f>_xlfn.XLOOKUP(Vendas[[#This Row],[ID Item Vendido]],Agregado[ID],Agregado[Revenda])</f>
        <v>13.8</v>
      </c>
      <c r="I5663" s="3">
        <f>Vendas[[#This Row],[Valor Unitário]]*Vendas[[#This Row],[Qnt Vendida]]</f>
        <v>276</v>
      </c>
      <c r="J5663" s="3">
        <f>Vendas[[#This Row],[Valor da Venda]]-(_xlfn.XLOOKUP(Vendas[[#This Row],[ID Item Vendido]],Agregado[ID],Agregado[Custo])*Vendas[[#This Row],[Qnt Vendida]])</f>
        <v>36</v>
      </c>
      <c r="K5663" s="70">
        <f>Vendas[[#This Row],[Lucro da Venda]]/Vendas[[#This Row],[Valor da Venda]]</f>
        <v>0.13043478260869565</v>
      </c>
      <c r="L5663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5663"/>
    </row>
    <row r="5664" spans="1:13" x14ac:dyDescent="0.3">
      <c r="A5664" s="7">
        <v>400248</v>
      </c>
      <c r="B5664" t="str">
        <f>_xlfn.XLOOKUP(Vendas[[#This Row],[ID Vendedor]],Vendedores[ID],Vendedores[Nome])</f>
        <v>Patrícia</v>
      </c>
      <c r="C5664" s="7" t="str">
        <f>_xlfn.XLOOKUP(Vendas[[#This Row],[ID Vendedor]],Vendedores[ID],Vendedores[Setor])</f>
        <v>CM</v>
      </c>
      <c r="D5664" s="7" t="s">
        <v>34</v>
      </c>
      <c r="E5664" t="str">
        <f>_xlfn.XLOOKUP(Vendas[[#This Row],[ID Item Vendido]],Agregado[ID],Agregado[Produto])</f>
        <v>Restos de madeira p/ MDP/OSB saco de 20kg</v>
      </c>
      <c r="F5664" s="39">
        <v>46152</v>
      </c>
      <c r="G5664" s="7">
        <v>19</v>
      </c>
      <c r="H5664" s="3">
        <f>_xlfn.XLOOKUP(Vendas[[#This Row],[ID Item Vendido]],Agregado[ID],Agregado[Revenda])</f>
        <v>13.8</v>
      </c>
      <c r="I5664" s="3">
        <f>Vendas[[#This Row],[Valor Unitário]]*Vendas[[#This Row],[Qnt Vendida]]</f>
        <v>262.2</v>
      </c>
      <c r="J5664" s="3">
        <f>Vendas[[#This Row],[Valor da Venda]]-(_xlfn.XLOOKUP(Vendas[[#This Row],[ID Item Vendido]],Agregado[ID],Agregado[Custo])*Vendas[[#This Row],[Qnt Vendida]])</f>
        <v>34.199999999999989</v>
      </c>
      <c r="K5664" s="70">
        <f>Vendas[[#This Row],[Lucro da Venda]]/Vendas[[#This Row],[Valor da Venda]]</f>
        <v>0.13043478260869562</v>
      </c>
      <c r="L5664" s="3">
        <f>_xlfn.IFS(Vendas[[#This Row],[Margem de Lucro (%)]]&lt;15%,Vendas[[#This Row],[Valor da Venda]]*3%,Vendas[[#This Row],[Margem de Lucro (%)]]&lt;=20%,Vendas[[#This Row],[Valor da Venda]]*4.5%,TRUE,Vendas[[#This Row],[Valor da Venda]]*6%)</f>
        <v>7.8659999999999997</v>
      </c>
      <c r="M5664"/>
    </row>
    <row r="5665" spans="1:13" x14ac:dyDescent="0.3">
      <c r="A5665" s="7">
        <v>400251</v>
      </c>
      <c r="B5665" t="str">
        <f>_xlfn.XLOOKUP(Vendas[[#This Row],[ID Vendedor]],Vendedores[ID],Vendedores[Nome])</f>
        <v>Diego</v>
      </c>
      <c r="C5665" s="7" t="str">
        <f>_xlfn.XLOOKUP(Vendas[[#This Row],[ID Vendedor]],Vendedores[ID],Vendedores[Setor])</f>
        <v>AB</v>
      </c>
      <c r="D5665" s="7" t="s">
        <v>39</v>
      </c>
      <c r="E5665" t="str">
        <f>_xlfn.XLOOKUP(Vendas[[#This Row],[ID Item Vendido]],Agregado[ID],Agregado[Produto])</f>
        <v>Filme plástico industrial rolo 50m</v>
      </c>
      <c r="F5665" s="39">
        <v>46152</v>
      </c>
      <c r="G5665" s="7">
        <v>4</v>
      </c>
      <c r="H5665" s="3">
        <f>_xlfn.XLOOKUP(Vendas[[#This Row],[ID Item Vendido]],Agregado[ID],Agregado[Revenda])</f>
        <v>37</v>
      </c>
      <c r="I5665" s="3">
        <f>Vendas[[#This Row],[Valor Unitário]]*Vendas[[#This Row],[Qnt Vendida]]</f>
        <v>148</v>
      </c>
      <c r="J5665" s="3">
        <f>Vendas[[#This Row],[Valor da Venda]]-(_xlfn.XLOOKUP(Vendas[[#This Row],[ID Item Vendido]],Agregado[ID],Agregado[Custo])*Vendas[[#This Row],[Qnt Vendida]])</f>
        <v>36</v>
      </c>
      <c r="K5665" s="70">
        <f>Vendas[[#This Row],[Lucro da Venda]]/Vendas[[#This Row],[Valor da Venda]]</f>
        <v>0.24324324324324326</v>
      </c>
      <c r="L5665" s="3">
        <f>_xlfn.IFS(Vendas[[#This Row],[Margem de Lucro (%)]]&lt;15%,Vendas[[#This Row],[Valor da Venda]]*3%,Vendas[[#This Row],[Margem de Lucro (%)]]&lt;=20%,Vendas[[#This Row],[Valor da Venda]]*4.5%,TRUE,Vendas[[#This Row],[Valor da Venda]]*6%)</f>
        <v>8.879999999999999</v>
      </c>
      <c r="M5665"/>
    </row>
    <row r="5666" spans="1:13" x14ac:dyDescent="0.3">
      <c r="A5666" s="7">
        <v>400253</v>
      </c>
      <c r="B5666" t="str">
        <f>_xlfn.XLOOKUP(Vendas[[#This Row],[ID Vendedor]],Vendedores[ID],Vendedores[Nome])</f>
        <v>Gustavo</v>
      </c>
      <c r="C5666" s="7" t="str">
        <f>_xlfn.XLOOKUP(Vendas[[#This Row],[ID Vendedor]],Vendedores[ID],Vendedores[Setor])</f>
        <v>SC</v>
      </c>
      <c r="D5666" s="7" t="s">
        <v>14</v>
      </c>
      <c r="E5666" t="str">
        <f>_xlfn.XLOOKUP(Vendas[[#This Row],[ID Item Vendido]],Agregado[ID],Agregado[Produto])</f>
        <v>Barril de plástico 200L</v>
      </c>
      <c r="F5666" s="39">
        <v>46153</v>
      </c>
      <c r="G5666" s="7">
        <v>12</v>
      </c>
      <c r="H5666" s="3">
        <f>_xlfn.XLOOKUP(Vendas[[#This Row],[ID Item Vendido]],Agregado[ID],Agregado[Revenda])</f>
        <v>114</v>
      </c>
      <c r="I5666" s="3">
        <f>Vendas[[#This Row],[Valor Unitário]]*Vendas[[#This Row],[Qnt Vendida]]</f>
        <v>1368</v>
      </c>
      <c r="J5666" s="3">
        <f>Vendas[[#This Row],[Valor da Venda]]-(_xlfn.XLOOKUP(Vendas[[#This Row],[ID Item Vendido]],Agregado[ID],Agregado[Custo])*Vendas[[#This Row],[Qnt Vendida]])</f>
        <v>228</v>
      </c>
      <c r="K5666" s="70">
        <f>Vendas[[#This Row],[Lucro da Venda]]/Vendas[[#This Row],[Valor da Venda]]</f>
        <v>0.16666666666666666</v>
      </c>
      <c r="L5666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5666"/>
    </row>
    <row r="5667" spans="1:13" x14ac:dyDescent="0.3">
      <c r="A5667" s="7">
        <v>400243</v>
      </c>
      <c r="B5667" t="str">
        <f>_xlfn.XLOOKUP(Vendas[[#This Row],[ID Vendedor]],Vendedores[ID],Vendedores[Nome])</f>
        <v>Marcelo</v>
      </c>
      <c r="C5667" s="7" t="str">
        <f>_xlfn.XLOOKUP(Vendas[[#This Row],[ID Vendedor]],Vendedores[ID],Vendedores[Setor])</f>
        <v>FM</v>
      </c>
      <c r="D5667" s="7" t="s">
        <v>6</v>
      </c>
      <c r="E5667" t="str">
        <f>_xlfn.XLOOKUP(Vendas[[#This Row],[ID Item Vendido]],Agregado[ID],Agregado[Produto])</f>
        <v>Parafuso comum 500un</v>
      </c>
      <c r="F5667" s="39">
        <v>46153</v>
      </c>
      <c r="G5667" s="7">
        <v>4</v>
      </c>
      <c r="H5667" s="3">
        <f>_xlfn.XLOOKUP(Vendas[[#This Row],[ID Item Vendido]],Agregado[ID],Agregado[Revenda])</f>
        <v>24.6</v>
      </c>
      <c r="I5667" s="3">
        <f>Vendas[[#This Row],[Valor Unitário]]*Vendas[[#This Row],[Qnt Vendida]]</f>
        <v>98.4</v>
      </c>
      <c r="J5667" s="3">
        <f>Vendas[[#This Row],[Valor da Venda]]-(_xlfn.XLOOKUP(Vendas[[#This Row],[ID Item Vendido]],Agregado[ID],Agregado[Custo])*Vendas[[#This Row],[Qnt Vendida]])</f>
        <v>10.400000000000006</v>
      </c>
      <c r="K5667" s="70">
        <f>Vendas[[#This Row],[Lucro da Venda]]/Vendas[[#This Row],[Valor da Venda]]</f>
        <v>0.10569105691056915</v>
      </c>
      <c r="L5667" s="3">
        <f>_xlfn.IFS(Vendas[[#This Row],[Margem de Lucro (%)]]&lt;15%,Vendas[[#This Row],[Valor da Venda]]*3%,Vendas[[#This Row],[Margem de Lucro (%)]]&lt;=20%,Vendas[[#This Row],[Valor da Venda]]*4.5%,TRUE,Vendas[[#This Row],[Valor da Venda]]*6%)</f>
        <v>2.952</v>
      </c>
      <c r="M5667"/>
    </row>
    <row r="5668" spans="1:13" x14ac:dyDescent="0.3">
      <c r="A5668" s="7">
        <v>400249</v>
      </c>
      <c r="B5668" t="str">
        <f>_xlfn.XLOOKUP(Vendas[[#This Row],[ID Vendedor]],Vendedores[ID],Vendedores[Nome])</f>
        <v>Bruno</v>
      </c>
      <c r="C5668" s="7" t="str">
        <f>_xlfn.XLOOKUP(Vendas[[#This Row],[ID Vendedor]],Vendedores[ID],Vendedores[Setor])</f>
        <v>CM</v>
      </c>
      <c r="D5668" s="7" t="s">
        <v>32</v>
      </c>
      <c r="E5668" t="str">
        <f>_xlfn.XLOOKUP(Vendas[[#This Row],[ID Item Vendido]],Agregado[ID],Agregado[Produto])</f>
        <v>Tábua tratada e cortada 3m</v>
      </c>
      <c r="F5668" s="39">
        <v>46154</v>
      </c>
      <c r="G5668" s="7">
        <v>26</v>
      </c>
      <c r="H5668" s="3">
        <f>_xlfn.XLOOKUP(Vendas[[#This Row],[ID Item Vendido]],Agregado[ID],Agregado[Revenda])</f>
        <v>39</v>
      </c>
      <c r="I5668" s="3">
        <f>Vendas[[#This Row],[Valor Unitário]]*Vendas[[#This Row],[Qnt Vendida]]</f>
        <v>1014</v>
      </c>
      <c r="J5668" s="3">
        <f>Vendas[[#This Row],[Valor da Venda]]-(_xlfn.XLOOKUP(Vendas[[#This Row],[ID Item Vendido]],Agregado[ID],Agregado[Custo])*Vendas[[#This Row],[Qnt Vendida]])</f>
        <v>182</v>
      </c>
      <c r="K5668" s="70">
        <f>Vendas[[#This Row],[Lucro da Venda]]/Vendas[[#This Row],[Valor da Venda]]</f>
        <v>0.17948717948717949</v>
      </c>
      <c r="L5668" s="3">
        <f>_xlfn.IFS(Vendas[[#This Row],[Margem de Lucro (%)]]&lt;15%,Vendas[[#This Row],[Valor da Venda]]*3%,Vendas[[#This Row],[Margem de Lucro (%)]]&lt;=20%,Vendas[[#This Row],[Valor da Venda]]*4.5%,TRUE,Vendas[[#This Row],[Valor da Venda]]*6%)</f>
        <v>45.629999999999995</v>
      </c>
      <c r="M5668"/>
    </row>
    <row r="5669" spans="1:13" x14ac:dyDescent="0.3">
      <c r="A5669" s="7">
        <v>400252</v>
      </c>
      <c r="B5669" t="str">
        <f>_xlfn.XLOOKUP(Vendas[[#This Row],[ID Vendedor]],Vendedores[ID],Vendedores[Nome])</f>
        <v>Renata</v>
      </c>
      <c r="C5669" s="7" t="str">
        <f>_xlfn.XLOOKUP(Vendas[[#This Row],[ID Vendedor]],Vendedores[ID],Vendedores[Setor])</f>
        <v>AB</v>
      </c>
      <c r="D5669" s="7" t="s">
        <v>12</v>
      </c>
      <c r="E5669" t="str">
        <f>_xlfn.XLOOKUP(Vendas[[#This Row],[ID Item Vendido]],Agregado[ID],Agregado[Produto])</f>
        <v>Grânulo de plástico reciclado refinado</v>
      </c>
      <c r="F5669" s="39">
        <v>46154</v>
      </c>
      <c r="G5669" s="7">
        <v>33</v>
      </c>
      <c r="H5669" s="3">
        <f>_xlfn.XLOOKUP(Vendas[[#This Row],[ID Item Vendido]],Agregado[ID],Agregado[Revenda])</f>
        <v>4.7</v>
      </c>
      <c r="I5669" s="3">
        <f>Vendas[[#This Row],[Valor Unitário]]*Vendas[[#This Row],[Qnt Vendida]]</f>
        <v>155.1</v>
      </c>
      <c r="J5669" s="3">
        <f>Vendas[[#This Row],[Valor da Venda]]-(_xlfn.XLOOKUP(Vendas[[#This Row],[ID Item Vendido]],Agregado[ID],Agregado[Custo])*Vendas[[#This Row],[Qnt Vendida]])</f>
        <v>39.599999999999994</v>
      </c>
      <c r="K5669" s="70">
        <f>Vendas[[#This Row],[Lucro da Venda]]/Vendas[[#This Row],[Valor da Venda]]</f>
        <v>0.25531914893617019</v>
      </c>
      <c r="L5669" s="3">
        <f>_xlfn.IFS(Vendas[[#This Row],[Margem de Lucro (%)]]&lt;15%,Vendas[[#This Row],[Valor da Venda]]*3%,Vendas[[#This Row],[Margem de Lucro (%)]]&lt;=20%,Vendas[[#This Row],[Valor da Venda]]*4.5%,TRUE,Vendas[[#This Row],[Valor da Venda]]*6%)</f>
        <v>9.3059999999999992</v>
      </c>
      <c r="M5669"/>
    </row>
    <row r="5670" spans="1:13" x14ac:dyDescent="0.3">
      <c r="A5670" s="7">
        <v>400254</v>
      </c>
      <c r="B5670" t="str">
        <f>_xlfn.XLOOKUP(Vendas[[#This Row],[ID Vendedor]],Vendedores[ID],Vendedores[Nome])</f>
        <v>Beatriz</v>
      </c>
      <c r="C5670" s="7" t="str">
        <f>_xlfn.XLOOKUP(Vendas[[#This Row],[ID Vendedor]],Vendedores[ID],Vendedores[Setor])</f>
        <v>SC</v>
      </c>
      <c r="D5670" s="7" t="s">
        <v>14</v>
      </c>
      <c r="E5670" t="str">
        <f>_xlfn.XLOOKUP(Vendas[[#This Row],[ID Item Vendido]],Agregado[ID],Agregado[Produto])</f>
        <v>Barril de plástico 200L</v>
      </c>
      <c r="F5670" s="39">
        <v>46155</v>
      </c>
      <c r="G5670" s="7">
        <v>8</v>
      </c>
      <c r="H5670" s="3">
        <f>_xlfn.XLOOKUP(Vendas[[#This Row],[ID Item Vendido]],Agregado[ID],Agregado[Revenda])</f>
        <v>114</v>
      </c>
      <c r="I5670" s="3">
        <f>Vendas[[#This Row],[Valor Unitário]]*Vendas[[#This Row],[Qnt Vendida]]</f>
        <v>912</v>
      </c>
      <c r="J5670" s="3">
        <f>Vendas[[#This Row],[Valor da Venda]]-(_xlfn.XLOOKUP(Vendas[[#This Row],[ID Item Vendido]],Agregado[ID],Agregado[Custo])*Vendas[[#This Row],[Qnt Vendida]])</f>
        <v>152</v>
      </c>
      <c r="K5670" s="70">
        <f>Vendas[[#This Row],[Lucro da Venda]]/Vendas[[#This Row],[Valor da Venda]]</f>
        <v>0.16666666666666666</v>
      </c>
      <c r="L5670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5670"/>
    </row>
    <row r="5671" spans="1:13" x14ac:dyDescent="0.3">
      <c r="A5671" s="7">
        <v>400245</v>
      </c>
      <c r="B5671" t="str">
        <f>_xlfn.XLOOKUP(Vendas[[#This Row],[ID Vendedor]],Vendedores[ID],Vendedores[Nome])</f>
        <v>Thiago</v>
      </c>
      <c r="C5671" s="7" t="str">
        <f>_xlfn.XLOOKUP(Vendas[[#This Row],[ID Vendedor]],Vendedores[ID],Vendedores[Setor])</f>
        <v>AHD</v>
      </c>
      <c r="D5671" s="7" t="s">
        <v>18</v>
      </c>
      <c r="E5671" t="str">
        <f>_xlfn.XLOOKUP(Vendas[[#This Row],[ID Item Vendido]],Agregado[ID],Agregado[Produto])</f>
        <v>Peça forjada sob encomenda</v>
      </c>
      <c r="F5671" s="39">
        <v>46157</v>
      </c>
      <c r="G5671" s="7">
        <v>6</v>
      </c>
      <c r="H5671" s="3">
        <f>_xlfn.XLOOKUP(Vendas[[#This Row],[ID Item Vendido]],Agregado[ID],Agregado[Revenda])</f>
        <v>264.60000000000002</v>
      </c>
      <c r="I5671" s="3">
        <f>Vendas[[#This Row],[Valor Unitário]]*Vendas[[#This Row],[Qnt Vendida]]</f>
        <v>1587.6000000000001</v>
      </c>
      <c r="J5671" s="3">
        <f>Vendas[[#This Row],[Valor da Venda]]-(_xlfn.XLOOKUP(Vendas[[#This Row],[ID Item Vendido]],Agregado[ID],Agregado[Custo])*Vendas[[#This Row],[Qnt Vendida]])</f>
        <v>87.600000000000136</v>
      </c>
      <c r="K5671" s="70">
        <f>Vendas[[#This Row],[Lucro da Venda]]/Vendas[[#This Row],[Valor da Venda]]</f>
        <v>5.5177626606198113E-2</v>
      </c>
      <c r="L567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671"/>
    </row>
    <row r="5672" spans="1:13" x14ac:dyDescent="0.3">
      <c r="A5672" s="7">
        <v>400244</v>
      </c>
      <c r="B5672" t="str">
        <f>_xlfn.XLOOKUP(Vendas[[#This Row],[ID Vendedor]],Vendedores[ID],Vendedores[Nome])</f>
        <v>Camila</v>
      </c>
      <c r="C5672" s="7" t="str">
        <f>_xlfn.XLOOKUP(Vendas[[#This Row],[ID Vendedor]],Vendedores[ID],Vendedores[Setor])</f>
        <v>AHD</v>
      </c>
      <c r="D5672" s="7" t="s">
        <v>30</v>
      </c>
      <c r="E5672" t="str">
        <f>_xlfn.XLOOKUP(Vendas[[#This Row],[ID Item Vendido]],Agregado[ID],Agregado[Produto])</f>
        <v>Estrutura metálica soldada</v>
      </c>
      <c r="F5672" s="39">
        <v>46157</v>
      </c>
      <c r="G5672" s="7">
        <v>1</v>
      </c>
      <c r="H5672" s="3">
        <f>_xlfn.XLOOKUP(Vendas[[#This Row],[ID Item Vendido]],Agregado[ID],Agregado[Revenda])</f>
        <v>400</v>
      </c>
      <c r="I5672" s="3">
        <f>Vendas[[#This Row],[Valor Unitário]]*Vendas[[#This Row],[Qnt Vendida]]</f>
        <v>400</v>
      </c>
      <c r="J5672" s="3">
        <f>Vendas[[#This Row],[Valor da Venda]]-(_xlfn.XLOOKUP(Vendas[[#This Row],[ID Item Vendido]],Agregado[ID],Agregado[Custo])*Vendas[[#This Row],[Qnt Vendida]])</f>
        <v>80</v>
      </c>
      <c r="K5672" s="70">
        <f>Vendas[[#This Row],[Lucro da Venda]]/Vendas[[#This Row],[Valor da Venda]]</f>
        <v>0.2</v>
      </c>
      <c r="L5672" s="3">
        <f>_xlfn.IFS(Vendas[[#This Row],[Margem de Lucro (%)]]&lt;15%,Vendas[[#This Row],[Valor da Venda]]*3%,Vendas[[#This Row],[Margem de Lucro (%)]]&lt;=20%,Vendas[[#This Row],[Valor da Venda]]*4.5%,TRUE,Vendas[[#This Row],[Valor da Venda]]*6%)</f>
        <v>18</v>
      </c>
      <c r="M5672"/>
    </row>
    <row r="5673" spans="1:13" x14ac:dyDescent="0.3">
      <c r="A5673" s="7">
        <v>400241</v>
      </c>
      <c r="B5673" t="str">
        <f>_xlfn.XLOOKUP(Vendas[[#This Row],[ID Vendedor]],Vendedores[ID],Vendedores[Nome])</f>
        <v>Rodrigo</v>
      </c>
      <c r="C5673" s="7" t="str">
        <f>_xlfn.XLOOKUP(Vendas[[#This Row],[ID Vendedor]],Vendedores[ID],Vendedores[Setor])</f>
        <v>FM</v>
      </c>
      <c r="D5673" s="7" t="s">
        <v>6</v>
      </c>
      <c r="E5673" t="str">
        <f>_xlfn.XLOOKUP(Vendas[[#This Row],[ID Item Vendido]],Agregado[ID],Agregado[Produto])</f>
        <v>Parafuso comum 500un</v>
      </c>
      <c r="F5673" s="39">
        <v>46157</v>
      </c>
      <c r="G5673" s="7">
        <v>13</v>
      </c>
      <c r="H5673" s="3">
        <f>_xlfn.XLOOKUP(Vendas[[#This Row],[ID Item Vendido]],Agregado[ID],Agregado[Revenda])</f>
        <v>24.6</v>
      </c>
      <c r="I5673" s="3">
        <f>Vendas[[#This Row],[Valor Unitário]]*Vendas[[#This Row],[Qnt Vendida]]</f>
        <v>319.8</v>
      </c>
      <c r="J5673" s="3">
        <f>Vendas[[#This Row],[Valor da Venda]]-(_xlfn.XLOOKUP(Vendas[[#This Row],[ID Item Vendido]],Agregado[ID],Agregado[Custo])*Vendas[[#This Row],[Qnt Vendida]])</f>
        <v>33.800000000000011</v>
      </c>
      <c r="K5673" s="70">
        <f>Vendas[[#This Row],[Lucro da Venda]]/Vendas[[#This Row],[Valor da Venda]]</f>
        <v>0.10569105691056914</v>
      </c>
      <c r="L5673" s="3">
        <f>_xlfn.IFS(Vendas[[#This Row],[Margem de Lucro (%)]]&lt;15%,Vendas[[#This Row],[Valor da Venda]]*3%,Vendas[[#This Row],[Margem de Lucro (%)]]&lt;=20%,Vendas[[#This Row],[Valor da Venda]]*4.5%,TRUE,Vendas[[#This Row],[Valor da Venda]]*6%)</f>
        <v>9.5939999999999994</v>
      </c>
      <c r="M5673"/>
    </row>
    <row r="5674" spans="1:13" x14ac:dyDescent="0.3">
      <c r="A5674" s="7">
        <v>400244</v>
      </c>
      <c r="B5674" t="str">
        <f>_xlfn.XLOOKUP(Vendas[[#This Row],[ID Vendedor]],Vendedores[ID],Vendedores[Nome])</f>
        <v>Camila</v>
      </c>
      <c r="C5674" s="7" t="str">
        <f>_xlfn.XLOOKUP(Vendas[[#This Row],[ID Vendedor]],Vendedores[ID],Vendedores[Setor])</f>
        <v>AHD</v>
      </c>
      <c r="D5674" s="7" t="s">
        <v>18</v>
      </c>
      <c r="E5674" t="str">
        <f>_xlfn.XLOOKUP(Vendas[[#This Row],[ID Item Vendido]],Agregado[ID],Agregado[Produto])</f>
        <v>Peça forjada sob encomenda</v>
      </c>
      <c r="F5674" s="39">
        <v>46158</v>
      </c>
      <c r="G5674" s="7">
        <v>3</v>
      </c>
      <c r="H5674" s="3">
        <f>_xlfn.XLOOKUP(Vendas[[#This Row],[ID Item Vendido]],Agregado[ID],Agregado[Revenda])</f>
        <v>264.60000000000002</v>
      </c>
      <c r="I5674" s="3">
        <f>Vendas[[#This Row],[Valor Unitário]]*Vendas[[#This Row],[Qnt Vendida]]</f>
        <v>793.80000000000007</v>
      </c>
      <c r="J5674" s="3">
        <f>Vendas[[#This Row],[Valor da Venda]]-(_xlfn.XLOOKUP(Vendas[[#This Row],[ID Item Vendido]],Agregado[ID],Agregado[Custo])*Vendas[[#This Row],[Qnt Vendida]])</f>
        <v>43.800000000000068</v>
      </c>
      <c r="K5674" s="70">
        <f>Vendas[[#This Row],[Lucro da Venda]]/Vendas[[#This Row],[Valor da Venda]]</f>
        <v>5.5177626606198113E-2</v>
      </c>
      <c r="L5674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674"/>
    </row>
    <row r="5675" spans="1:13" x14ac:dyDescent="0.3">
      <c r="A5675" s="7">
        <v>400246</v>
      </c>
      <c r="B5675" t="str">
        <f>_xlfn.XLOOKUP(Vendas[[#This Row],[ID Vendedor]],Vendedores[ID],Vendedores[Nome])</f>
        <v>Juliana</v>
      </c>
      <c r="C5675" s="7" t="str">
        <f>_xlfn.XLOOKUP(Vendas[[#This Row],[ID Vendedor]],Vendedores[ID],Vendedores[Setor])</f>
        <v>AHD</v>
      </c>
      <c r="D5675" s="7" t="s">
        <v>9</v>
      </c>
      <c r="E5675" t="str">
        <f>_xlfn.XLOOKUP(Vendas[[#This Row],[ID Item Vendido]],Agregado[ID],Agregado[Produto])</f>
        <v>Barra de aço simples</v>
      </c>
      <c r="F5675" s="39">
        <v>46158</v>
      </c>
      <c r="G5675" s="7">
        <v>150</v>
      </c>
      <c r="H5675" s="3">
        <f>_xlfn.XLOOKUP(Vendas[[#This Row],[ID Item Vendido]],Agregado[ID],Agregado[Revenda])</f>
        <v>6.7</v>
      </c>
      <c r="I5675" s="3">
        <f>Vendas[[#This Row],[Valor Unitário]]*Vendas[[#This Row],[Qnt Vendida]]</f>
        <v>1005</v>
      </c>
      <c r="J5675" s="3">
        <f>Vendas[[#This Row],[Valor da Venda]]-(_xlfn.XLOOKUP(Vendas[[#This Row],[ID Item Vendido]],Agregado[ID],Agregado[Custo])*Vendas[[#This Row],[Qnt Vendida]])</f>
        <v>135</v>
      </c>
      <c r="K5675" s="70">
        <f>Vendas[[#This Row],[Lucro da Venda]]/Vendas[[#This Row],[Valor da Venda]]</f>
        <v>0.13432835820895522</v>
      </c>
      <c r="L5675" s="3">
        <f>_xlfn.IFS(Vendas[[#This Row],[Margem de Lucro (%)]]&lt;15%,Vendas[[#This Row],[Valor da Venda]]*3%,Vendas[[#This Row],[Margem de Lucro (%)]]&lt;=20%,Vendas[[#This Row],[Valor da Venda]]*4.5%,TRUE,Vendas[[#This Row],[Valor da Venda]]*6%)</f>
        <v>30.15</v>
      </c>
      <c r="M5675"/>
    </row>
    <row r="5676" spans="1:13" x14ac:dyDescent="0.3">
      <c r="A5676" s="7">
        <v>400251</v>
      </c>
      <c r="B5676" t="str">
        <f>_xlfn.XLOOKUP(Vendas[[#This Row],[ID Vendedor]],Vendedores[ID],Vendedores[Nome])</f>
        <v>Diego</v>
      </c>
      <c r="C5676" s="7" t="str">
        <f>_xlfn.XLOOKUP(Vendas[[#This Row],[ID Vendedor]],Vendedores[ID],Vendedores[Setor])</f>
        <v>AB</v>
      </c>
      <c r="D5676" s="7" t="s">
        <v>37</v>
      </c>
      <c r="E5676" t="str">
        <f>_xlfn.XLOOKUP(Vendas[[#This Row],[ID Item Vendido]],Agregado[ID],Agregado[Produto])</f>
        <v>Composto de borracha para vedação rolo 10m</v>
      </c>
      <c r="F5676" s="39">
        <v>46158</v>
      </c>
      <c r="G5676" s="7">
        <v>9</v>
      </c>
      <c r="H5676" s="3">
        <f>_xlfn.XLOOKUP(Vendas[[#This Row],[ID Item Vendido]],Agregado[ID],Agregado[Revenda])</f>
        <v>51.2</v>
      </c>
      <c r="I5676" s="3">
        <f>Vendas[[#This Row],[Valor Unitário]]*Vendas[[#This Row],[Qnt Vendida]]</f>
        <v>460.8</v>
      </c>
      <c r="J5676" s="3">
        <f>Vendas[[#This Row],[Valor da Venda]]-(_xlfn.XLOOKUP(Vendas[[#This Row],[ID Item Vendido]],Agregado[ID],Agregado[Custo])*Vendas[[#This Row],[Qnt Vendida]])</f>
        <v>100.80000000000001</v>
      </c>
      <c r="K5676" s="70">
        <f>Vendas[[#This Row],[Lucro da Venda]]/Vendas[[#This Row],[Valor da Venda]]</f>
        <v>0.21875000000000003</v>
      </c>
      <c r="L5676" s="3">
        <f>_xlfn.IFS(Vendas[[#This Row],[Margem de Lucro (%)]]&lt;15%,Vendas[[#This Row],[Valor da Venda]]*3%,Vendas[[#This Row],[Margem de Lucro (%)]]&lt;=20%,Vendas[[#This Row],[Valor da Venda]]*4.5%,TRUE,Vendas[[#This Row],[Valor da Venda]]*6%)</f>
        <v>27.648</v>
      </c>
      <c r="M5676"/>
    </row>
    <row r="5677" spans="1:13" x14ac:dyDescent="0.3">
      <c r="A5677" s="7">
        <v>400244</v>
      </c>
      <c r="B5677" t="str">
        <f>_xlfn.XLOOKUP(Vendas[[#This Row],[ID Vendedor]],Vendedores[ID],Vendedores[Nome])</f>
        <v>Camila</v>
      </c>
      <c r="C5677" s="7" t="str">
        <f>_xlfn.XLOOKUP(Vendas[[#This Row],[ID Vendedor]],Vendedores[ID],Vendedores[Setor])</f>
        <v>AHD</v>
      </c>
      <c r="D5677" s="7" t="s">
        <v>18</v>
      </c>
      <c r="E5677" t="str">
        <f>_xlfn.XLOOKUP(Vendas[[#This Row],[ID Item Vendido]],Agregado[ID],Agregado[Produto])</f>
        <v>Peça forjada sob encomenda</v>
      </c>
      <c r="F5677" s="39">
        <v>46159</v>
      </c>
      <c r="G5677" s="7">
        <v>6</v>
      </c>
      <c r="H5677" s="3">
        <f>_xlfn.XLOOKUP(Vendas[[#This Row],[ID Item Vendido]],Agregado[ID],Agregado[Revenda])</f>
        <v>264.60000000000002</v>
      </c>
      <c r="I5677" s="3">
        <f>Vendas[[#This Row],[Valor Unitário]]*Vendas[[#This Row],[Qnt Vendida]]</f>
        <v>1587.6000000000001</v>
      </c>
      <c r="J5677" s="3">
        <f>Vendas[[#This Row],[Valor da Venda]]-(_xlfn.XLOOKUP(Vendas[[#This Row],[ID Item Vendido]],Agregado[ID],Agregado[Custo])*Vendas[[#This Row],[Qnt Vendida]])</f>
        <v>87.600000000000136</v>
      </c>
      <c r="K5677" s="70">
        <f>Vendas[[#This Row],[Lucro da Venda]]/Vendas[[#This Row],[Valor da Venda]]</f>
        <v>5.5177626606198113E-2</v>
      </c>
      <c r="L567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677"/>
    </row>
    <row r="5678" spans="1:13" x14ac:dyDescent="0.3">
      <c r="A5678" s="7">
        <v>400246</v>
      </c>
      <c r="B5678" t="str">
        <f>_xlfn.XLOOKUP(Vendas[[#This Row],[ID Vendedor]],Vendedores[ID],Vendedores[Nome])</f>
        <v>Juliana</v>
      </c>
      <c r="C5678" s="7" t="str">
        <f>_xlfn.XLOOKUP(Vendas[[#This Row],[ID Vendedor]],Vendedores[ID],Vendedores[Setor])</f>
        <v>AHD</v>
      </c>
      <c r="D5678" s="7" t="s">
        <v>44</v>
      </c>
      <c r="E5678" t="str">
        <f>_xlfn.XLOOKUP(Vendas[[#This Row],[ID Item Vendido]],Agregado[ID],Agregado[Produto])</f>
        <v>Liga metálica especial</v>
      </c>
      <c r="F5678" s="39">
        <v>46159</v>
      </c>
      <c r="G5678" s="7">
        <v>40</v>
      </c>
      <c r="H5678" s="3">
        <f>_xlfn.XLOOKUP(Vendas[[#This Row],[ID Item Vendido]],Agregado[ID],Agregado[Revenda])</f>
        <v>32.5</v>
      </c>
      <c r="I5678" s="3">
        <f>Vendas[[#This Row],[Valor Unitário]]*Vendas[[#This Row],[Qnt Vendida]]</f>
        <v>1300</v>
      </c>
      <c r="J5678" s="3">
        <f>Vendas[[#This Row],[Valor da Venda]]-(_xlfn.XLOOKUP(Vendas[[#This Row],[ID Item Vendido]],Agregado[ID],Agregado[Custo])*Vendas[[#This Row],[Qnt Vendida]])</f>
        <v>300</v>
      </c>
      <c r="K5678" s="70">
        <f>Vendas[[#This Row],[Lucro da Venda]]/Vendas[[#This Row],[Valor da Venda]]</f>
        <v>0.23076923076923078</v>
      </c>
      <c r="L5678" s="3">
        <f>_xlfn.IFS(Vendas[[#This Row],[Margem de Lucro (%)]]&lt;15%,Vendas[[#This Row],[Valor da Venda]]*3%,Vendas[[#This Row],[Margem de Lucro (%)]]&lt;=20%,Vendas[[#This Row],[Valor da Venda]]*4.5%,TRUE,Vendas[[#This Row],[Valor da Venda]]*6%)</f>
        <v>78</v>
      </c>
      <c r="M5678"/>
    </row>
    <row r="5679" spans="1:13" x14ac:dyDescent="0.3">
      <c r="A5679" s="7">
        <v>400246</v>
      </c>
      <c r="B5679" t="str">
        <f>_xlfn.XLOOKUP(Vendas[[#This Row],[ID Vendedor]],Vendedores[ID],Vendedores[Nome])</f>
        <v>Juliana</v>
      </c>
      <c r="C5679" s="7" t="str">
        <f>_xlfn.XLOOKUP(Vendas[[#This Row],[ID Vendedor]],Vendedores[ID],Vendedores[Setor])</f>
        <v>AHD</v>
      </c>
      <c r="D5679" s="7" t="s">
        <v>9</v>
      </c>
      <c r="E5679" t="str">
        <f>_xlfn.XLOOKUP(Vendas[[#This Row],[ID Item Vendido]],Agregado[ID],Agregado[Produto])</f>
        <v>Barra de aço simples</v>
      </c>
      <c r="F5679" s="39">
        <v>46159</v>
      </c>
      <c r="G5679" s="7">
        <v>137</v>
      </c>
      <c r="H5679" s="3">
        <f>_xlfn.XLOOKUP(Vendas[[#This Row],[ID Item Vendido]],Agregado[ID],Agregado[Revenda])</f>
        <v>6.7</v>
      </c>
      <c r="I5679" s="3">
        <f>Vendas[[#This Row],[Valor Unitário]]*Vendas[[#This Row],[Qnt Vendida]]</f>
        <v>917.9</v>
      </c>
      <c r="J5679" s="3">
        <f>Vendas[[#This Row],[Valor da Venda]]-(_xlfn.XLOOKUP(Vendas[[#This Row],[ID Item Vendido]],Agregado[ID],Agregado[Custo])*Vendas[[#This Row],[Qnt Vendida]])</f>
        <v>123.29999999999995</v>
      </c>
      <c r="K5679" s="70">
        <f>Vendas[[#This Row],[Lucro da Venda]]/Vendas[[#This Row],[Valor da Venda]]</f>
        <v>0.13432835820895517</v>
      </c>
      <c r="L5679" s="3">
        <f>_xlfn.IFS(Vendas[[#This Row],[Margem de Lucro (%)]]&lt;15%,Vendas[[#This Row],[Valor da Venda]]*3%,Vendas[[#This Row],[Margem de Lucro (%)]]&lt;=20%,Vendas[[#This Row],[Valor da Venda]]*4.5%,TRUE,Vendas[[#This Row],[Valor da Venda]]*6%)</f>
        <v>27.536999999999999</v>
      </c>
      <c r="M5679"/>
    </row>
    <row r="5680" spans="1:13" x14ac:dyDescent="0.3">
      <c r="A5680" s="7">
        <v>400252</v>
      </c>
      <c r="B5680" t="str">
        <f>_xlfn.XLOOKUP(Vendas[[#This Row],[ID Vendedor]],Vendedores[ID],Vendedores[Nome])</f>
        <v>Renata</v>
      </c>
      <c r="C5680" s="7" t="str">
        <f>_xlfn.XLOOKUP(Vendas[[#This Row],[ID Vendedor]],Vendedores[ID],Vendedores[Setor])</f>
        <v>AB</v>
      </c>
      <c r="D5680" s="7" t="s">
        <v>12</v>
      </c>
      <c r="E5680" t="str">
        <f>_xlfn.XLOOKUP(Vendas[[#This Row],[ID Item Vendido]],Agregado[ID],Agregado[Produto])</f>
        <v>Grânulo de plástico reciclado refinado</v>
      </c>
      <c r="F5680" s="39">
        <v>46159</v>
      </c>
      <c r="G5680" s="7">
        <v>111</v>
      </c>
      <c r="H5680" s="3">
        <f>_xlfn.XLOOKUP(Vendas[[#This Row],[ID Item Vendido]],Agregado[ID],Agregado[Revenda])</f>
        <v>4.7</v>
      </c>
      <c r="I5680" s="3">
        <f>Vendas[[#This Row],[Valor Unitário]]*Vendas[[#This Row],[Qnt Vendida]]</f>
        <v>521.70000000000005</v>
      </c>
      <c r="J5680" s="3">
        <f>Vendas[[#This Row],[Valor da Venda]]-(_xlfn.XLOOKUP(Vendas[[#This Row],[ID Item Vendido]],Agregado[ID],Agregado[Custo])*Vendas[[#This Row],[Qnt Vendida]])</f>
        <v>133.20000000000005</v>
      </c>
      <c r="K5680" s="70">
        <f>Vendas[[#This Row],[Lucro da Venda]]/Vendas[[#This Row],[Valor da Venda]]</f>
        <v>0.2553191489361703</v>
      </c>
      <c r="L5680" s="3">
        <f>_xlfn.IFS(Vendas[[#This Row],[Margem de Lucro (%)]]&lt;15%,Vendas[[#This Row],[Valor da Venda]]*3%,Vendas[[#This Row],[Margem de Lucro (%)]]&lt;=20%,Vendas[[#This Row],[Valor da Venda]]*4.5%,TRUE,Vendas[[#This Row],[Valor da Venda]]*6%)</f>
        <v>31.302000000000003</v>
      </c>
      <c r="M5680"/>
    </row>
    <row r="5681" spans="1:13" x14ac:dyDescent="0.3">
      <c r="A5681" s="7">
        <v>400246</v>
      </c>
      <c r="B5681" t="str">
        <f>_xlfn.XLOOKUP(Vendas[[#This Row],[ID Vendedor]],Vendedores[ID],Vendedores[Nome])</f>
        <v>Juliana</v>
      </c>
      <c r="C5681" s="7" t="str">
        <f>_xlfn.XLOOKUP(Vendas[[#This Row],[ID Vendedor]],Vendedores[ID],Vendedores[Setor])</f>
        <v>AHD</v>
      </c>
      <c r="D5681" s="7" t="s">
        <v>18</v>
      </c>
      <c r="E5681" t="str">
        <f>_xlfn.XLOOKUP(Vendas[[#This Row],[ID Item Vendido]],Agregado[ID],Agregado[Produto])</f>
        <v>Peça forjada sob encomenda</v>
      </c>
      <c r="F5681" s="39">
        <v>46160</v>
      </c>
      <c r="G5681" s="7">
        <v>3</v>
      </c>
      <c r="H5681" s="3">
        <f>_xlfn.XLOOKUP(Vendas[[#This Row],[ID Item Vendido]],Agregado[ID],Agregado[Revenda])</f>
        <v>264.60000000000002</v>
      </c>
      <c r="I5681" s="3">
        <f>Vendas[[#This Row],[Valor Unitário]]*Vendas[[#This Row],[Qnt Vendida]]</f>
        <v>793.80000000000007</v>
      </c>
      <c r="J5681" s="3">
        <f>Vendas[[#This Row],[Valor da Venda]]-(_xlfn.XLOOKUP(Vendas[[#This Row],[ID Item Vendido]],Agregado[ID],Agregado[Custo])*Vendas[[#This Row],[Qnt Vendida]])</f>
        <v>43.800000000000068</v>
      </c>
      <c r="K5681" s="70">
        <f>Vendas[[#This Row],[Lucro da Venda]]/Vendas[[#This Row],[Valor da Venda]]</f>
        <v>5.5177626606198113E-2</v>
      </c>
      <c r="L5681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681"/>
    </row>
    <row r="5682" spans="1:13" x14ac:dyDescent="0.3">
      <c r="A5682" s="7">
        <v>400243</v>
      </c>
      <c r="B5682" t="str">
        <f>_xlfn.XLOOKUP(Vendas[[#This Row],[ID Vendedor]],Vendedores[ID],Vendedores[Nome])</f>
        <v>Marcelo</v>
      </c>
      <c r="C5682" s="7" t="str">
        <f>_xlfn.XLOOKUP(Vendas[[#This Row],[ID Vendedor]],Vendedores[ID],Vendedores[Setor])</f>
        <v>FM</v>
      </c>
      <c r="D5682" s="7" t="s">
        <v>20</v>
      </c>
      <c r="E5682" t="str">
        <f>_xlfn.XLOOKUP(Vendas[[#This Row],[ID Item Vendido]],Agregado[ID],Agregado[Produto])</f>
        <v>Barra de aço simples</v>
      </c>
      <c r="F5682" s="39">
        <v>46160</v>
      </c>
      <c r="G5682" s="7">
        <v>181</v>
      </c>
      <c r="H5682" s="3">
        <f>_xlfn.XLOOKUP(Vendas[[#This Row],[ID Item Vendido]],Agregado[ID],Agregado[Revenda])</f>
        <v>4.8</v>
      </c>
      <c r="I5682" s="3">
        <f>Vendas[[#This Row],[Valor Unitário]]*Vendas[[#This Row],[Qnt Vendida]]</f>
        <v>868.8</v>
      </c>
      <c r="J5682" s="3">
        <f>Vendas[[#This Row],[Valor da Venda]]-(_xlfn.XLOOKUP(Vendas[[#This Row],[ID Item Vendido]],Agregado[ID],Agregado[Custo])*Vendas[[#This Row],[Qnt Vendida]])</f>
        <v>108.59999999999991</v>
      </c>
      <c r="K5682" s="70">
        <f>Vendas[[#This Row],[Lucro da Venda]]/Vendas[[#This Row],[Valor da Venda]]</f>
        <v>0.1249999999999999</v>
      </c>
      <c r="L5682" s="3">
        <f>_xlfn.IFS(Vendas[[#This Row],[Margem de Lucro (%)]]&lt;15%,Vendas[[#This Row],[Valor da Venda]]*3%,Vendas[[#This Row],[Margem de Lucro (%)]]&lt;=20%,Vendas[[#This Row],[Valor da Venda]]*4.5%,TRUE,Vendas[[#This Row],[Valor da Venda]]*6%)</f>
        <v>26.063999999999997</v>
      </c>
      <c r="M5682"/>
    </row>
    <row r="5683" spans="1:13" x14ac:dyDescent="0.3">
      <c r="A5683" s="7">
        <v>400247</v>
      </c>
      <c r="B5683" t="str">
        <f>_xlfn.XLOOKUP(Vendas[[#This Row],[ID Vendedor]],Vendedores[ID],Vendedores[Nome])</f>
        <v>André</v>
      </c>
      <c r="C5683" s="7" t="str">
        <f>_xlfn.XLOOKUP(Vendas[[#This Row],[ID Vendedor]],Vendedores[ID],Vendedores[Setor])</f>
        <v>CM</v>
      </c>
      <c r="D5683" s="7" t="s">
        <v>32</v>
      </c>
      <c r="E5683" t="str">
        <f>_xlfn.XLOOKUP(Vendas[[#This Row],[ID Item Vendido]],Agregado[ID],Agregado[Produto])</f>
        <v>Tábua tratada e cortada 3m</v>
      </c>
      <c r="F5683" s="39">
        <v>46160</v>
      </c>
      <c r="G5683" s="7">
        <v>20</v>
      </c>
      <c r="H5683" s="3">
        <f>_xlfn.XLOOKUP(Vendas[[#This Row],[ID Item Vendido]],Agregado[ID],Agregado[Revenda])</f>
        <v>39</v>
      </c>
      <c r="I5683" s="3">
        <f>Vendas[[#This Row],[Valor Unitário]]*Vendas[[#This Row],[Qnt Vendida]]</f>
        <v>780</v>
      </c>
      <c r="J5683" s="3">
        <f>Vendas[[#This Row],[Valor da Venda]]-(_xlfn.XLOOKUP(Vendas[[#This Row],[ID Item Vendido]],Agregado[ID],Agregado[Custo])*Vendas[[#This Row],[Qnt Vendida]])</f>
        <v>140</v>
      </c>
      <c r="K5683" s="70">
        <f>Vendas[[#This Row],[Lucro da Venda]]/Vendas[[#This Row],[Valor da Venda]]</f>
        <v>0.17948717948717949</v>
      </c>
      <c r="L5683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683"/>
    </row>
    <row r="5684" spans="1:13" x14ac:dyDescent="0.3">
      <c r="A5684" s="7">
        <v>400252</v>
      </c>
      <c r="B5684" t="str">
        <f>_xlfn.XLOOKUP(Vendas[[#This Row],[ID Vendedor]],Vendedores[ID],Vendedores[Nome])</f>
        <v>Renata</v>
      </c>
      <c r="C5684" s="7" t="str">
        <f>_xlfn.XLOOKUP(Vendas[[#This Row],[ID Vendedor]],Vendedores[ID],Vendedores[Setor])</f>
        <v>AB</v>
      </c>
      <c r="D5684" s="7" t="s">
        <v>24</v>
      </c>
      <c r="E5684" t="str">
        <f>_xlfn.XLOOKUP(Vendas[[#This Row],[ID Item Vendido]],Agregado[ID],Agregado[Produto])</f>
        <v>Resina plástica PET purificada saco de 25kg</v>
      </c>
      <c r="F5684" s="39">
        <v>46161</v>
      </c>
      <c r="G5684" s="7">
        <v>19</v>
      </c>
      <c r="H5684" s="3">
        <f>_xlfn.XLOOKUP(Vendas[[#This Row],[ID Item Vendido]],Agregado[ID],Agregado[Revenda])</f>
        <v>119</v>
      </c>
      <c r="I5684" s="3">
        <f>Vendas[[#This Row],[Valor Unitário]]*Vendas[[#This Row],[Qnt Vendida]]</f>
        <v>2261</v>
      </c>
      <c r="J5684" s="3">
        <f>Vendas[[#This Row],[Valor da Venda]]-(_xlfn.XLOOKUP(Vendas[[#This Row],[ID Item Vendido]],Agregado[ID],Agregado[Custo])*Vendas[[#This Row],[Qnt Vendida]])</f>
        <v>646</v>
      </c>
      <c r="K5684" s="70">
        <f>Vendas[[#This Row],[Lucro da Venda]]/Vendas[[#This Row],[Valor da Venda]]</f>
        <v>0.2857142857142857</v>
      </c>
      <c r="L5684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5684"/>
    </row>
    <row r="5685" spans="1:13" x14ac:dyDescent="0.3">
      <c r="A5685" s="7">
        <v>400247</v>
      </c>
      <c r="B5685" t="str">
        <f>_xlfn.XLOOKUP(Vendas[[#This Row],[ID Vendedor]],Vendedores[ID],Vendedores[Nome])</f>
        <v>André</v>
      </c>
      <c r="C5685" s="7" t="str">
        <f>_xlfn.XLOOKUP(Vendas[[#This Row],[ID Vendedor]],Vendedores[ID],Vendedores[Setor])</f>
        <v>CM</v>
      </c>
      <c r="D5685" s="7" t="s">
        <v>43</v>
      </c>
      <c r="E5685" t="str">
        <f>_xlfn.XLOOKUP(Vendas[[#This Row],[ID Item Vendido]],Agregado[ID],Agregado[Produto])</f>
        <v>Madeira Bruta (Tora)</v>
      </c>
      <c r="F5685" s="39">
        <v>46161</v>
      </c>
      <c r="G5685" s="7">
        <v>10</v>
      </c>
      <c r="H5685" s="3">
        <f>_xlfn.XLOOKUP(Vendas[[#This Row],[ID Item Vendido]],Agregado[ID],Agregado[Revenda])</f>
        <v>212</v>
      </c>
      <c r="I5685" s="3">
        <f>Vendas[[#This Row],[Valor Unitário]]*Vendas[[#This Row],[Qnt Vendida]]</f>
        <v>2120</v>
      </c>
      <c r="J5685" s="3">
        <f>Vendas[[#This Row],[Valor da Venda]]-(_xlfn.XLOOKUP(Vendas[[#This Row],[ID Item Vendido]],Agregado[ID],Agregado[Custo])*Vendas[[#This Row],[Qnt Vendida]])</f>
        <v>320</v>
      </c>
      <c r="K5685" s="70">
        <f>Vendas[[#This Row],[Lucro da Venda]]/Vendas[[#This Row],[Valor da Venda]]</f>
        <v>0.15094339622641509</v>
      </c>
      <c r="L5685" s="3">
        <f>_xlfn.IFS(Vendas[[#This Row],[Margem de Lucro (%)]]&lt;15%,Vendas[[#This Row],[Valor da Venda]]*3%,Vendas[[#This Row],[Margem de Lucro (%)]]&lt;=20%,Vendas[[#This Row],[Valor da Venda]]*4.5%,TRUE,Vendas[[#This Row],[Valor da Venda]]*6%)</f>
        <v>95.399999999999991</v>
      </c>
      <c r="M5685"/>
    </row>
    <row r="5686" spans="1:13" x14ac:dyDescent="0.3">
      <c r="A5686" s="7">
        <v>400247</v>
      </c>
      <c r="B5686" t="str">
        <f>_xlfn.XLOOKUP(Vendas[[#This Row],[ID Vendedor]],Vendedores[ID],Vendedores[Nome])</f>
        <v>André</v>
      </c>
      <c r="C5686" s="7" t="str">
        <f>_xlfn.XLOOKUP(Vendas[[#This Row],[ID Vendedor]],Vendedores[ID],Vendedores[Setor])</f>
        <v>CM</v>
      </c>
      <c r="D5686" s="7" t="s">
        <v>45</v>
      </c>
      <c r="E5686" t="str">
        <f>_xlfn.XLOOKUP(Vendas[[#This Row],[ID Item Vendido]],Agregado[ID],Agregado[Produto])</f>
        <v>Viga de madeira tratada 4m</v>
      </c>
      <c r="F5686" s="39">
        <v>46161</v>
      </c>
      <c r="G5686" s="7">
        <v>19</v>
      </c>
      <c r="H5686" s="3">
        <f>_xlfn.XLOOKUP(Vendas[[#This Row],[ID Item Vendido]],Agregado[ID],Agregado[Revenda])</f>
        <v>66</v>
      </c>
      <c r="I5686" s="3">
        <f>Vendas[[#This Row],[Valor Unitário]]*Vendas[[#This Row],[Qnt Vendida]]</f>
        <v>1254</v>
      </c>
      <c r="J5686" s="3">
        <f>Vendas[[#This Row],[Valor da Venda]]-(_xlfn.XLOOKUP(Vendas[[#This Row],[ID Item Vendido]],Agregado[ID],Agregado[Custo])*Vendas[[#This Row],[Qnt Vendida]])</f>
        <v>209</v>
      </c>
      <c r="K5686" s="70">
        <f>Vendas[[#This Row],[Lucro da Venda]]/Vendas[[#This Row],[Valor da Venda]]</f>
        <v>0.16666666666666666</v>
      </c>
      <c r="L5686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686"/>
    </row>
    <row r="5687" spans="1:13" x14ac:dyDescent="0.3">
      <c r="A5687" s="7">
        <v>400246</v>
      </c>
      <c r="B5687" t="str">
        <f>_xlfn.XLOOKUP(Vendas[[#This Row],[ID Vendedor]],Vendedores[ID],Vendedores[Nome])</f>
        <v>Juliana</v>
      </c>
      <c r="C5687" s="7" t="str">
        <f>_xlfn.XLOOKUP(Vendas[[#This Row],[ID Vendedor]],Vendedores[ID],Vendedores[Setor])</f>
        <v>AHD</v>
      </c>
      <c r="D5687" s="7" t="s">
        <v>18</v>
      </c>
      <c r="E5687" t="str">
        <f>_xlfn.XLOOKUP(Vendas[[#This Row],[ID Item Vendido]],Agregado[ID],Agregado[Produto])</f>
        <v>Peça forjada sob encomenda</v>
      </c>
      <c r="F5687" s="39">
        <v>46162</v>
      </c>
      <c r="G5687" s="7">
        <v>3</v>
      </c>
      <c r="H5687" s="3">
        <f>_xlfn.XLOOKUP(Vendas[[#This Row],[ID Item Vendido]],Agregado[ID],Agregado[Revenda])</f>
        <v>264.60000000000002</v>
      </c>
      <c r="I5687" s="3">
        <f>Vendas[[#This Row],[Valor Unitário]]*Vendas[[#This Row],[Qnt Vendida]]</f>
        <v>793.80000000000007</v>
      </c>
      <c r="J5687" s="3">
        <f>Vendas[[#This Row],[Valor da Venda]]-(_xlfn.XLOOKUP(Vendas[[#This Row],[ID Item Vendido]],Agregado[ID],Agregado[Custo])*Vendas[[#This Row],[Qnt Vendida]])</f>
        <v>43.800000000000068</v>
      </c>
      <c r="K5687" s="70">
        <f>Vendas[[#This Row],[Lucro da Venda]]/Vendas[[#This Row],[Valor da Venda]]</f>
        <v>5.5177626606198113E-2</v>
      </c>
      <c r="L5687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687"/>
    </row>
    <row r="5688" spans="1:13" x14ac:dyDescent="0.3">
      <c r="A5688" s="7">
        <v>400252</v>
      </c>
      <c r="B5688" t="str">
        <f>_xlfn.XLOOKUP(Vendas[[#This Row],[ID Vendedor]],Vendedores[ID],Vendedores[Nome])</f>
        <v>Renata</v>
      </c>
      <c r="C5688" s="7" t="str">
        <f>_xlfn.XLOOKUP(Vendas[[#This Row],[ID Vendedor]],Vendedores[ID],Vendedores[Setor])</f>
        <v>AB</v>
      </c>
      <c r="D5688" s="7" t="s">
        <v>24</v>
      </c>
      <c r="E5688" t="str">
        <f>_xlfn.XLOOKUP(Vendas[[#This Row],[ID Item Vendido]],Agregado[ID],Agregado[Produto])</f>
        <v>Resina plástica PET purificada saco de 25kg</v>
      </c>
      <c r="F5688" s="39">
        <v>46162</v>
      </c>
      <c r="G5688" s="7">
        <v>9</v>
      </c>
      <c r="H5688" s="3">
        <f>_xlfn.XLOOKUP(Vendas[[#This Row],[ID Item Vendido]],Agregado[ID],Agregado[Revenda])</f>
        <v>119</v>
      </c>
      <c r="I5688" s="3">
        <f>Vendas[[#This Row],[Valor Unitário]]*Vendas[[#This Row],[Qnt Vendida]]</f>
        <v>1071</v>
      </c>
      <c r="J5688" s="3">
        <f>Vendas[[#This Row],[Valor da Venda]]-(_xlfn.XLOOKUP(Vendas[[#This Row],[ID Item Vendido]],Agregado[ID],Agregado[Custo])*Vendas[[#This Row],[Qnt Vendida]])</f>
        <v>306</v>
      </c>
      <c r="K5688" s="70">
        <f>Vendas[[#This Row],[Lucro da Venda]]/Vendas[[#This Row],[Valor da Venda]]</f>
        <v>0.2857142857142857</v>
      </c>
      <c r="L5688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5688"/>
    </row>
    <row r="5689" spans="1:13" x14ac:dyDescent="0.3">
      <c r="A5689" s="7">
        <v>400253</v>
      </c>
      <c r="B5689" t="str">
        <f>_xlfn.XLOOKUP(Vendas[[#This Row],[ID Vendedor]],Vendedores[ID],Vendedores[Nome])</f>
        <v>Gustavo</v>
      </c>
      <c r="C5689" s="7" t="str">
        <f>_xlfn.XLOOKUP(Vendas[[#This Row],[ID Vendedor]],Vendedores[ID],Vendedores[Setor])</f>
        <v>SC</v>
      </c>
      <c r="D5689" s="7" t="s">
        <v>48</v>
      </c>
      <c r="E5689" t="str">
        <f>_xlfn.XLOOKUP(Vendas[[#This Row],[ID Item Vendido]],Agregado[ID],Agregado[Produto])</f>
        <v>Tambor metálico 200L</v>
      </c>
      <c r="F5689" s="39">
        <v>46162</v>
      </c>
      <c r="G5689" s="7">
        <v>3</v>
      </c>
      <c r="H5689" s="3">
        <f>_xlfn.XLOOKUP(Vendas[[#This Row],[ID Item Vendido]],Agregado[ID],Agregado[Revenda])</f>
        <v>144</v>
      </c>
      <c r="I5689" s="3">
        <f>Vendas[[#This Row],[Valor Unitário]]*Vendas[[#This Row],[Qnt Vendida]]</f>
        <v>432</v>
      </c>
      <c r="J5689" s="3">
        <f>Vendas[[#This Row],[Valor da Venda]]-(_xlfn.XLOOKUP(Vendas[[#This Row],[ID Item Vendido]],Agregado[ID],Agregado[Custo])*Vendas[[#This Row],[Qnt Vendida]])</f>
        <v>72</v>
      </c>
      <c r="K5689" s="70">
        <f>Vendas[[#This Row],[Lucro da Venda]]/Vendas[[#This Row],[Valor da Venda]]</f>
        <v>0.16666666666666666</v>
      </c>
      <c r="L5689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5689"/>
    </row>
    <row r="5690" spans="1:13" x14ac:dyDescent="0.3">
      <c r="A5690" s="7">
        <v>400252</v>
      </c>
      <c r="B5690" t="str">
        <f>_xlfn.XLOOKUP(Vendas[[#This Row],[ID Vendedor]],Vendedores[ID],Vendedores[Nome])</f>
        <v>Renata</v>
      </c>
      <c r="C5690" s="7" t="str">
        <f>_xlfn.XLOOKUP(Vendas[[#This Row],[ID Vendedor]],Vendedores[ID],Vendedores[Setor])</f>
        <v>AB</v>
      </c>
      <c r="D5690" s="7" t="s">
        <v>36</v>
      </c>
      <c r="E5690" t="str">
        <f>_xlfn.XLOOKUP(Vendas[[#This Row],[ID Item Vendido]],Agregado[ID],Agregado[Produto])</f>
        <v>Borracha vulcanizada em manta</v>
      </c>
      <c r="F5690" s="39">
        <v>46162</v>
      </c>
      <c r="G5690" s="7">
        <v>45</v>
      </c>
      <c r="H5690" s="3">
        <f>_xlfn.XLOOKUP(Vendas[[#This Row],[ID Item Vendido]],Agregado[ID],Agregado[Revenda])</f>
        <v>7.8</v>
      </c>
      <c r="I5690" s="3">
        <f>Vendas[[#This Row],[Valor Unitário]]*Vendas[[#This Row],[Qnt Vendida]]</f>
        <v>351</v>
      </c>
      <c r="J5690" s="3">
        <f>Vendas[[#This Row],[Valor da Venda]]-(_xlfn.XLOOKUP(Vendas[[#This Row],[ID Item Vendido]],Agregado[ID],Agregado[Custo])*Vendas[[#This Row],[Qnt Vendida]])</f>
        <v>81</v>
      </c>
      <c r="K5690" s="70">
        <f>Vendas[[#This Row],[Lucro da Venda]]/Vendas[[#This Row],[Valor da Venda]]</f>
        <v>0.23076923076923078</v>
      </c>
      <c r="L5690" s="3">
        <f>_xlfn.IFS(Vendas[[#This Row],[Margem de Lucro (%)]]&lt;15%,Vendas[[#This Row],[Valor da Venda]]*3%,Vendas[[#This Row],[Margem de Lucro (%)]]&lt;=20%,Vendas[[#This Row],[Valor da Venda]]*4.5%,TRUE,Vendas[[#This Row],[Valor da Venda]]*6%)</f>
        <v>21.06</v>
      </c>
      <c r="M5690"/>
    </row>
    <row r="5691" spans="1:13" x14ac:dyDescent="0.3">
      <c r="A5691" s="7">
        <v>400242</v>
      </c>
      <c r="B5691" t="str">
        <f>_xlfn.XLOOKUP(Vendas[[#This Row],[ID Vendedor]],Vendedores[ID],Vendedores[Nome])</f>
        <v>Fernanda</v>
      </c>
      <c r="C5691" s="7" t="str">
        <f>_xlfn.XLOOKUP(Vendas[[#This Row],[ID Vendedor]],Vendedores[ID],Vendedores[Setor])</f>
        <v>FM</v>
      </c>
      <c r="D5691" s="7" t="s">
        <v>31</v>
      </c>
      <c r="E5691" t="str">
        <f>_xlfn.XLOOKUP(Vendas[[#This Row],[ID Item Vendido]],Agregado[ID],Agregado[Produto])</f>
        <v>Tela de metal soldada rolo 2x25m</v>
      </c>
      <c r="F5691" s="39">
        <v>46162</v>
      </c>
      <c r="G5691" s="7">
        <v>6</v>
      </c>
      <c r="H5691" s="3">
        <f>_xlfn.XLOOKUP(Vendas[[#This Row],[ID Item Vendido]],Agregado[ID],Agregado[Revenda])</f>
        <v>43.7</v>
      </c>
      <c r="I5691" s="3">
        <f>Vendas[[#This Row],[Valor Unitário]]*Vendas[[#This Row],[Qnt Vendida]]</f>
        <v>262.20000000000005</v>
      </c>
      <c r="J5691" s="3">
        <f>Vendas[[#This Row],[Valor da Venda]]-(_xlfn.XLOOKUP(Vendas[[#This Row],[ID Item Vendido]],Agregado[ID],Agregado[Custo])*Vendas[[#This Row],[Qnt Vendida]])</f>
        <v>34.200000000000045</v>
      </c>
      <c r="K5691" s="70">
        <f>Vendas[[#This Row],[Lucro da Venda]]/Vendas[[#This Row],[Valor da Venda]]</f>
        <v>0.13043478260869582</v>
      </c>
      <c r="L5691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5691"/>
    </row>
    <row r="5692" spans="1:13" x14ac:dyDescent="0.3">
      <c r="A5692" s="7">
        <v>400248</v>
      </c>
      <c r="B5692" t="str">
        <f>_xlfn.XLOOKUP(Vendas[[#This Row],[ID Vendedor]],Vendedores[ID],Vendedores[Nome])</f>
        <v>Patrícia</v>
      </c>
      <c r="C5692" s="7" t="str">
        <f>_xlfn.XLOOKUP(Vendas[[#This Row],[ID Vendedor]],Vendedores[ID],Vendedores[Setor])</f>
        <v>CM</v>
      </c>
      <c r="D5692" s="7" t="s">
        <v>22</v>
      </c>
      <c r="E5692" t="str">
        <f>_xlfn.XLOOKUP(Vendas[[#This Row],[ID Item Vendido]],Agregado[ID],Agregado[Produto])</f>
        <v>Painel MDP 2,75x1,83m</v>
      </c>
      <c r="F5692" s="39">
        <v>46163</v>
      </c>
      <c r="G5692" s="7">
        <v>15</v>
      </c>
      <c r="H5692" s="3">
        <f>_xlfn.XLOOKUP(Vendas[[#This Row],[ID Item Vendido]],Agregado[ID],Agregado[Revenda])</f>
        <v>119</v>
      </c>
      <c r="I5692" s="3">
        <f>Vendas[[#This Row],[Valor Unitário]]*Vendas[[#This Row],[Qnt Vendida]]</f>
        <v>1785</v>
      </c>
      <c r="J5692" s="3">
        <f>Vendas[[#This Row],[Valor da Venda]]-(_xlfn.XLOOKUP(Vendas[[#This Row],[ID Item Vendido]],Agregado[ID],Agregado[Custo])*Vendas[[#This Row],[Qnt Vendida]])</f>
        <v>360</v>
      </c>
      <c r="K5692" s="70">
        <f>Vendas[[#This Row],[Lucro da Venda]]/Vendas[[#This Row],[Valor da Venda]]</f>
        <v>0.20168067226890757</v>
      </c>
      <c r="L5692" s="3">
        <f>_xlfn.IFS(Vendas[[#This Row],[Margem de Lucro (%)]]&lt;15%,Vendas[[#This Row],[Valor da Venda]]*3%,Vendas[[#This Row],[Margem de Lucro (%)]]&lt;=20%,Vendas[[#This Row],[Valor da Venda]]*4.5%,TRUE,Vendas[[#This Row],[Valor da Venda]]*6%)</f>
        <v>107.1</v>
      </c>
      <c r="M5692"/>
    </row>
    <row r="5693" spans="1:13" x14ac:dyDescent="0.3">
      <c r="A5693" s="7">
        <v>400247</v>
      </c>
      <c r="B5693" t="str">
        <f>_xlfn.XLOOKUP(Vendas[[#This Row],[ID Vendedor]],Vendedores[ID],Vendedores[Nome])</f>
        <v>André</v>
      </c>
      <c r="C5693" s="7" t="str">
        <f>_xlfn.XLOOKUP(Vendas[[#This Row],[ID Vendedor]],Vendedores[ID],Vendedores[Setor])</f>
        <v>CM</v>
      </c>
      <c r="D5693" s="7" t="s">
        <v>45</v>
      </c>
      <c r="E5693" t="str">
        <f>_xlfn.XLOOKUP(Vendas[[#This Row],[ID Item Vendido]],Agregado[ID],Agregado[Produto])</f>
        <v>Viga de madeira tratada 4m</v>
      </c>
      <c r="F5693" s="39">
        <v>46163</v>
      </c>
      <c r="G5693" s="7">
        <v>18</v>
      </c>
      <c r="H5693" s="3">
        <f>_xlfn.XLOOKUP(Vendas[[#This Row],[ID Item Vendido]],Agregado[ID],Agregado[Revenda])</f>
        <v>66</v>
      </c>
      <c r="I5693" s="3">
        <f>Vendas[[#This Row],[Valor Unitário]]*Vendas[[#This Row],[Qnt Vendida]]</f>
        <v>1188</v>
      </c>
      <c r="J5693" s="3">
        <f>Vendas[[#This Row],[Valor da Venda]]-(_xlfn.XLOOKUP(Vendas[[#This Row],[ID Item Vendido]],Agregado[ID],Agregado[Custo])*Vendas[[#This Row],[Qnt Vendida]])</f>
        <v>198</v>
      </c>
      <c r="K5693" s="70">
        <f>Vendas[[#This Row],[Lucro da Venda]]/Vendas[[#This Row],[Valor da Venda]]</f>
        <v>0.16666666666666666</v>
      </c>
      <c r="L5693" s="3">
        <f>_xlfn.IFS(Vendas[[#This Row],[Margem de Lucro (%)]]&lt;15%,Vendas[[#This Row],[Valor da Venda]]*3%,Vendas[[#This Row],[Margem de Lucro (%)]]&lt;=20%,Vendas[[#This Row],[Valor da Venda]]*4.5%,TRUE,Vendas[[#This Row],[Valor da Venda]]*6%)</f>
        <v>53.46</v>
      </c>
      <c r="M5693"/>
    </row>
    <row r="5694" spans="1:13" x14ac:dyDescent="0.3">
      <c r="A5694" s="7">
        <v>400253</v>
      </c>
      <c r="B5694" t="str">
        <f>_xlfn.XLOOKUP(Vendas[[#This Row],[ID Vendedor]],Vendedores[ID],Vendedores[Nome])</f>
        <v>Gustavo</v>
      </c>
      <c r="C5694" s="7" t="str">
        <f>_xlfn.XLOOKUP(Vendas[[#This Row],[ID Vendedor]],Vendedores[ID],Vendedores[Setor])</f>
        <v>SC</v>
      </c>
      <c r="D5694" s="7" t="s">
        <v>25</v>
      </c>
      <c r="E5694" t="str">
        <f>_xlfn.XLOOKUP(Vendas[[#This Row],[ID Item Vendido]],Agregado[ID],Agregado[Produto])</f>
        <v>Palete de plástico</v>
      </c>
      <c r="F5694" s="39">
        <v>46163</v>
      </c>
      <c r="G5694" s="7">
        <v>9</v>
      </c>
      <c r="H5694" s="3">
        <f>_xlfn.XLOOKUP(Vendas[[#This Row],[ID Item Vendido]],Agregado[ID],Agregado[Revenda])</f>
        <v>70.8</v>
      </c>
      <c r="I5694" s="3">
        <f>Vendas[[#This Row],[Valor Unitário]]*Vendas[[#This Row],[Qnt Vendida]]</f>
        <v>637.19999999999993</v>
      </c>
      <c r="J5694" s="3">
        <f>Vendas[[#This Row],[Valor da Venda]]-(_xlfn.XLOOKUP(Vendas[[#This Row],[ID Item Vendido]],Agregado[ID],Agregado[Custo])*Vendas[[#This Row],[Qnt Vendida]])</f>
        <v>97.199999999999932</v>
      </c>
      <c r="K5694" s="70">
        <f>Vendas[[#This Row],[Lucro da Venda]]/Vendas[[#This Row],[Valor da Venda]]</f>
        <v>0.15254237288135583</v>
      </c>
      <c r="L5694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5694"/>
    </row>
    <row r="5695" spans="1:13" x14ac:dyDescent="0.3">
      <c r="A5695" s="7">
        <v>400252</v>
      </c>
      <c r="B5695" t="str">
        <f>_xlfn.XLOOKUP(Vendas[[#This Row],[ID Vendedor]],Vendedores[ID],Vendedores[Nome])</f>
        <v>Renata</v>
      </c>
      <c r="C5695" s="7" t="str">
        <f>_xlfn.XLOOKUP(Vendas[[#This Row],[ID Vendedor]],Vendedores[ID],Vendedores[Setor])</f>
        <v>AB</v>
      </c>
      <c r="D5695" s="7" t="s">
        <v>24</v>
      </c>
      <c r="E5695" t="str">
        <f>_xlfn.XLOOKUP(Vendas[[#This Row],[ID Item Vendido]],Agregado[ID],Agregado[Produto])</f>
        <v>Resina plástica PET purificada saco de 25kg</v>
      </c>
      <c r="F5695" s="39">
        <v>46163</v>
      </c>
      <c r="G5695" s="7">
        <v>2</v>
      </c>
      <c r="H5695" s="3">
        <f>_xlfn.XLOOKUP(Vendas[[#This Row],[ID Item Vendido]],Agregado[ID],Agregado[Revenda])</f>
        <v>119</v>
      </c>
      <c r="I5695" s="3">
        <f>Vendas[[#This Row],[Valor Unitário]]*Vendas[[#This Row],[Qnt Vendida]]</f>
        <v>238</v>
      </c>
      <c r="J5695" s="3">
        <f>Vendas[[#This Row],[Valor da Venda]]-(_xlfn.XLOOKUP(Vendas[[#This Row],[ID Item Vendido]],Agregado[ID],Agregado[Custo])*Vendas[[#This Row],[Qnt Vendida]])</f>
        <v>68</v>
      </c>
      <c r="K5695" s="70">
        <f>Vendas[[#This Row],[Lucro da Venda]]/Vendas[[#This Row],[Valor da Venda]]</f>
        <v>0.2857142857142857</v>
      </c>
      <c r="L5695" s="3">
        <f>_xlfn.IFS(Vendas[[#This Row],[Margem de Lucro (%)]]&lt;15%,Vendas[[#This Row],[Valor da Venda]]*3%,Vendas[[#This Row],[Margem de Lucro (%)]]&lt;=20%,Vendas[[#This Row],[Valor da Venda]]*4.5%,TRUE,Vendas[[#This Row],[Valor da Venda]]*6%)</f>
        <v>14.28</v>
      </c>
      <c r="M5695"/>
    </row>
    <row r="5696" spans="1:13" x14ac:dyDescent="0.3">
      <c r="A5696" s="7">
        <v>400250</v>
      </c>
      <c r="B5696" t="str">
        <f>_xlfn.XLOOKUP(Vendas[[#This Row],[ID Vendedor]],Vendedores[ID],Vendedores[Nome])</f>
        <v>Larissa</v>
      </c>
      <c r="C5696" s="7" t="str">
        <f>_xlfn.XLOOKUP(Vendas[[#This Row],[ID Vendedor]],Vendedores[ID],Vendedores[Setor])</f>
        <v>AB</v>
      </c>
      <c r="D5696" s="7" t="s">
        <v>24</v>
      </c>
      <c r="E5696" t="str">
        <f>_xlfn.XLOOKUP(Vendas[[#This Row],[ID Item Vendido]],Agregado[ID],Agregado[Produto])</f>
        <v>Resina plástica PET purificada saco de 25kg</v>
      </c>
      <c r="F5696" s="39">
        <v>46164</v>
      </c>
      <c r="G5696" s="7">
        <v>23</v>
      </c>
      <c r="H5696" s="3">
        <f>_xlfn.XLOOKUP(Vendas[[#This Row],[ID Item Vendido]],Agregado[ID],Agregado[Revenda])</f>
        <v>119</v>
      </c>
      <c r="I5696" s="3">
        <f>Vendas[[#This Row],[Valor Unitário]]*Vendas[[#This Row],[Qnt Vendida]]</f>
        <v>2737</v>
      </c>
      <c r="J5696" s="3">
        <f>Vendas[[#This Row],[Valor da Venda]]-(_xlfn.XLOOKUP(Vendas[[#This Row],[ID Item Vendido]],Agregado[ID],Agregado[Custo])*Vendas[[#This Row],[Qnt Vendida]])</f>
        <v>782</v>
      </c>
      <c r="K5696" s="70">
        <f>Vendas[[#This Row],[Lucro da Venda]]/Vendas[[#This Row],[Valor da Venda]]</f>
        <v>0.2857142857142857</v>
      </c>
      <c r="L5696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696"/>
    </row>
    <row r="5697" spans="1:13" x14ac:dyDescent="0.3">
      <c r="A5697" s="7">
        <v>400254</v>
      </c>
      <c r="B5697" t="str">
        <f>_xlfn.XLOOKUP(Vendas[[#This Row],[ID Vendedor]],Vendedores[ID],Vendedores[Nome])</f>
        <v>Beatriz</v>
      </c>
      <c r="C5697" s="7" t="str">
        <f>_xlfn.XLOOKUP(Vendas[[#This Row],[ID Vendedor]],Vendedores[ID],Vendedores[Setor])</f>
        <v>SC</v>
      </c>
      <c r="D5697" s="7" t="s">
        <v>14</v>
      </c>
      <c r="E5697" t="str">
        <f>_xlfn.XLOOKUP(Vendas[[#This Row],[ID Item Vendido]],Agregado[ID],Agregado[Produto])</f>
        <v>Barril de plástico 200L</v>
      </c>
      <c r="F5697" s="39">
        <v>46164</v>
      </c>
      <c r="G5697" s="7">
        <v>19</v>
      </c>
      <c r="H5697" s="3">
        <f>_xlfn.XLOOKUP(Vendas[[#This Row],[ID Item Vendido]],Agregado[ID],Agregado[Revenda])</f>
        <v>114</v>
      </c>
      <c r="I5697" s="3">
        <f>Vendas[[#This Row],[Valor Unitário]]*Vendas[[#This Row],[Qnt Vendida]]</f>
        <v>2166</v>
      </c>
      <c r="J5697" s="3">
        <f>Vendas[[#This Row],[Valor da Venda]]-(_xlfn.XLOOKUP(Vendas[[#This Row],[ID Item Vendido]],Agregado[ID],Agregado[Custo])*Vendas[[#This Row],[Qnt Vendida]])</f>
        <v>361</v>
      </c>
      <c r="K5697" s="70">
        <f>Vendas[[#This Row],[Lucro da Venda]]/Vendas[[#This Row],[Valor da Venda]]</f>
        <v>0.16666666666666666</v>
      </c>
      <c r="L5697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5697"/>
    </row>
    <row r="5698" spans="1:13" x14ac:dyDescent="0.3">
      <c r="A5698" s="7">
        <v>400246</v>
      </c>
      <c r="B5698" t="str">
        <f>_xlfn.XLOOKUP(Vendas[[#This Row],[ID Vendedor]],Vendedores[ID],Vendedores[Nome])</f>
        <v>Juliana</v>
      </c>
      <c r="C5698" s="7" t="str">
        <f>_xlfn.XLOOKUP(Vendas[[#This Row],[ID Vendedor]],Vendedores[ID],Vendedores[Setor])</f>
        <v>AHD</v>
      </c>
      <c r="D5698" s="7" t="s">
        <v>18</v>
      </c>
      <c r="E5698" t="str">
        <f>_xlfn.XLOOKUP(Vendas[[#This Row],[ID Item Vendido]],Agregado[ID],Agregado[Produto])</f>
        <v>Peça forjada sob encomenda</v>
      </c>
      <c r="F5698" s="39">
        <v>46164</v>
      </c>
      <c r="G5698" s="7">
        <v>4</v>
      </c>
      <c r="H5698" s="3">
        <f>_xlfn.XLOOKUP(Vendas[[#This Row],[ID Item Vendido]],Agregado[ID],Agregado[Revenda])</f>
        <v>264.60000000000002</v>
      </c>
      <c r="I5698" s="3">
        <f>Vendas[[#This Row],[Valor Unitário]]*Vendas[[#This Row],[Qnt Vendida]]</f>
        <v>1058.4000000000001</v>
      </c>
      <c r="J5698" s="3">
        <f>Vendas[[#This Row],[Valor da Venda]]-(_xlfn.XLOOKUP(Vendas[[#This Row],[ID Item Vendido]],Agregado[ID],Agregado[Custo])*Vendas[[#This Row],[Qnt Vendida]])</f>
        <v>58.400000000000091</v>
      </c>
      <c r="K5698" s="70">
        <f>Vendas[[#This Row],[Lucro da Venda]]/Vendas[[#This Row],[Valor da Venda]]</f>
        <v>5.5177626606198113E-2</v>
      </c>
      <c r="L5698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698"/>
    </row>
    <row r="5699" spans="1:13" x14ac:dyDescent="0.3">
      <c r="A5699" s="7">
        <v>400247</v>
      </c>
      <c r="B5699" t="str">
        <f>_xlfn.XLOOKUP(Vendas[[#This Row],[ID Vendedor]],Vendedores[ID],Vendedores[Nome])</f>
        <v>André</v>
      </c>
      <c r="C5699" s="7" t="str">
        <f>_xlfn.XLOOKUP(Vendas[[#This Row],[ID Vendedor]],Vendedores[ID],Vendedores[Setor])</f>
        <v>CM</v>
      </c>
      <c r="D5699" s="7" t="s">
        <v>32</v>
      </c>
      <c r="E5699" t="str">
        <f>_xlfn.XLOOKUP(Vendas[[#This Row],[ID Item Vendido]],Agregado[ID],Agregado[Produto])</f>
        <v>Tábua tratada e cortada 3m</v>
      </c>
      <c r="F5699" s="39">
        <v>46164</v>
      </c>
      <c r="G5699" s="7">
        <v>27</v>
      </c>
      <c r="H5699" s="3">
        <f>_xlfn.XLOOKUP(Vendas[[#This Row],[ID Item Vendido]],Agregado[ID],Agregado[Revenda])</f>
        <v>39</v>
      </c>
      <c r="I5699" s="3">
        <f>Vendas[[#This Row],[Valor Unitário]]*Vendas[[#This Row],[Qnt Vendida]]</f>
        <v>1053</v>
      </c>
      <c r="J5699" s="3">
        <f>Vendas[[#This Row],[Valor da Venda]]-(_xlfn.XLOOKUP(Vendas[[#This Row],[ID Item Vendido]],Agregado[ID],Agregado[Custo])*Vendas[[#This Row],[Qnt Vendida]])</f>
        <v>189</v>
      </c>
      <c r="K5699" s="70">
        <f>Vendas[[#This Row],[Lucro da Venda]]/Vendas[[#This Row],[Valor da Venda]]</f>
        <v>0.17948717948717949</v>
      </c>
      <c r="L5699" s="3">
        <f>_xlfn.IFS(Vendas[[#This Row],[Margem de Lucro (%)]]&lt;15%,Vendas[[#This Row],[Valor da Venda]]*3%,Vendas[[#This Row],[Margem de Lucro (%)]]&lt;=20%,Vendas[[#This Row],[Valor da Venda]]*4.5%,TRUE,Vendas[[#This Row],[Valor da Venda]]*6%)</f>
        <v>47.384999999999998</v>
      </c>
      <c r="M5699"/>
    </row>
    <row r="5700" spans="1:13" x14ac:dyDescent="0.3">
      <c r="A5700" s="7">
        <v>400248</v>
      </c>
      <c r="B5700" t="str">
        <f>_xlfn.XLOOKUP(Vendas[[#This Row],[ID Vendedor]],Vendedores[ID],Vendedores[Nome])</f>
        <v>Patrícia</v>
      </c>
      <c r="C5700" s="7" t="str">
        <f>_xlfn.XLOOKUP(Vendas[[#This Row],[ID Vendedor]],Vendedores[ID],Vendedores[Setor])</f>
        <v>CM</v>
      </c>
      <c r="D5700" s="7" t="s">
        <v>45</v>
      </c>
      <c r="E5700" t="str">
        <f>_xlfn.XLOOKUP(Vendas[[#This Row],[ID Item Vendido]],Agregado[ID],Agregado[Produto])</f>
        <v>Viga de madeira tratada 4m</v>
      </c>
      <c r="F5700" s="39">
        <v>46164</v>
      </c>
      <c r="G5700" s="7">
        <v>2</v>
      </c>
      <c r="H5700" s="3">
        <f>_xlfn.XLOOKUP(Vendas[[#This Row],[ID Item Vendido]],Agregado[ID],Agregado[Revenda])</f>
        <v>66</v>
      </c>
      <c r="I5700" s="3">
        <f>Vendas[[#This Row],[Valor Unitário]]*Vendas[[#This Row],[Qnt Vendida]]</f>
        <v>132</v>
      </c>
      <c r="J5700" s="3">
        <f>Vendas[[#This Row],[Valor da Venda]]-(_xlfn.XLOOKUP(Vendas[[#This Row],[ID Item Vendido]],Agregado[ID],Agregado[Custo])*Vendas[[#This Row],[Qnt Vendida]])</f>
        <v>22</v>
      </c>
      <c r="K5700" s="70">
        <f>Vendas[[#This Row],[Lucro da Venda]]/Vendas[[#This Row],[Valor da Venda]]</f>
        <v>0.16666666666666666</v>
      </c>
      <c r="L5700" s="3">
        <f>_xlfn.IFS(Vendas[[#This Row],[Margem de Lucro (%)]]&lt;15%,Vendas[[#This Row],[Valor da Venda]]*3%,Vendas[[#This Row],[Margem de Lucro (%)]]&lt;=20%,Vendas[[#This Row],[Valor da Venda]]*4.5%,TRUE,Vendas[[#This Row],[Valor da Venda]]*6%)</f>
        <v>5.9399999999999995</v>
      </c>
      <c r="M5700"/>
    </row>
    <row r="5701" spans="1:13" x14ac:dyDescent="0.3">
      <c r="A5701" s="7">
        <v>400252</v>
      </c>
      <c r="B5701" t="str">
        <f>_xlfn.XLOOKUP(Vendas[[#This Row],[ID Vendedor]],Vendedores[ID],Vendedores[Nome])</f>
        <v>Renata</v>
      </c>
      <c r="C5701" s="7" t="str">
        <f>_xlfn.XLOOKUP(Vendas[[#This Row],[ID Vendedor]],Vendedores[ID],Vendedores[Setor])</f>
        <v>AB</v>
      </c>
      <c r="D5701" s="7" t="s">
        <v>12</v>
      </c>
      <c r="E5701" t="str">
        <f>_xlfn.XLOOKUP(Vendas[[#This Row],[ID Item Vendido]],Agregado[ID],Agregado[Produto])</f>
        <v>Grânulo de plástico reciclado refinado</v>
      </c>
      <c r="F5701" s="39">
        <v>46164</v>
      </c>
      <c r="G5701" s="7">
        <v>18</v>
      </c>
      <c r="H5701" s="3">
        <f>_xlfn.XLOOKUP(Vendas[[#This Row],[ID Item Vendido]],Agregado[ID],Agregado[Revenda])</f>
        <v>4.7</v>
      </c>
      <c r="I5701" s="3">
        <f>Vendas[[#This Row],[Valor Unitário]]*Vendas[[#This Row],[Qnt Vendida]]</f>
        <v>84.600000000000009</v>
      </c>
      <c r="J5701" s="3">
        <f>Vendas[[#This Row],[Valor da Venda]]-(_xlfn.XLOOKUP(Vendas[[#This Row],[ID Item Vendido]],Agregado[ID],Agregado[Custo])*Vendas[[#This Row],[Qnt Vendida]])</f>
        <v>21.600000000000009</v>
      </c>
      <c r="K5701" s="70">
        <f>Vendas[[#This Row],[Lucro da Venda]]/Vendas[[#This Row],[Valor da Venda]]</f>
        <v>0.2553191489361703</v>
      </c>
      <c r="L5701" s="3">
        <f>_xlfn.IFS(Vendas[[#This Row],[Margem de Lucro (%)]]&lt;15%,Vendas[[#This Row],[Valor da Venda]]*3%,Vendas[[#This Row],[Margem de Lucro (%)]]&lt;=20%,Vendas[[#This Row],[Valor da Venda]]*4.5%,TRUE,Vendas[[#This Row],[Valor da Venda]]*6%)</f>
        <v>5.0760000000000005</v>
      </c>
      <c r="M5701"/>
    </row>
    <row r="5702" spans="1:13" x14ac:dyDescent="0.3">
      <c r="A5702" s="7">
        <v>400245</v>
      </c>
      <c r="B5702" t="str">
        <f>_xlfn.XLOOKUP(Vendas[[#This Row],[ID Vendedor]],Vendedores[ID],Vendedores[Nome])</f>
        <v>Thiago</v>
      </c>
      <c r="C5702" s="7" t="str">
        <f>_xlfn.XLOOKUP(Vendas[[#This Row],[ID Vendedor]],Vendedores[ID],Vendedores[Setor])</f>
        <v>AHD</v>
      </c>
      <c r="D5702" s="7" t="s">
        <v>9</v>
      </c>
      <c r="E5702" t="str">
        <f>_xlfn.XLOOKUP(Vendas[[#This Row],[ID Item Vendido]],Agregado[ID],Agregado[Produto])</f>
        <v>Barra de aço simples</v>
      </c>
      <c r="F5702" s="39">
        <v>46165</v>
      </c>
      <c r="G5702" s="7">
        <v>32</v>
      </c>
      <c r="H5702" s="3">
        <f>_xlfn.XLOOKUP(Vendas[[#This Row],[ID Item Vendido]],Agregado[ID],Agregado[Revenda])</f>
        <v>6.7</v>
      </c>
      <c r="I5702" s="3">
        <f>Vendas[[#This Row],[Valor Unitário]]*Vendas[[#This Row],[Qnt Vendida]]</f>
        <v>214.4</v>
      </c>
      <c r="J5702" s="3">
        <f>Vendas[[#This Row],[Valor da Venda]]-(_xlfn.XLOOKUP(Vendas[[#This Row],[ID Item Vendido]],Agregado[ID],Agregado[Custo])*Vendas[[#This Row],[Qnt Vendida]])</f>
        <v>28.800000000000011</v>
      </c>
      <c r="K5702" s="70">
        <f>Vendas[[#This Row],[Lucro da Venda]]/Vendas[[#This Row],[Valor da Venda]]</f>
        <v>0.13432835820895528</v>
      </c>
      <c r="L5702" s="3">
        <f>_xlfn.IFS(Vendas[[#This Row],[Margem de Lucro (%)]]&lt;15%,Vendas[[#This Row],[Valor da Venda]]*3%,Vendas[[#This Row],[Margem de Lucro (%)]]&lt;=20%,Vendas[[#This Row],[Valor da Venda]]*4.5%,TRUE,Vendas[[#This Row],[Valor da Venda]]*6%)</f>
        <v>6.4319999999999995</v>
      </c>
      <c r="M5702"/>
    </row>
    <row r="5703" spans="1:13" x14ac:dyDescent="0.3">
      <c r="A5703" s="7">
        <v>400253</v>
      </c>
      <c r="B5703" t="str">
        <f>_xlfn.XLOOKUP(Vendas[[#This Row],[ID Vendedor]],Vendedores[ID],Vendedores[Nome])</f>
        <v>Gustavo</v>
      </c>
      <c r="C5703" s="7" t="str">
        <f>_xlfn.XLOOKUP(Vendas[[#This Row],[ID Vendedor]],Vendedores[ID],Vendedores[Setor])</f>
        <v>SC</v>
      </c>
      <c r="D5703" s="7" t="s">
        <v>42</v>
      </c>
      <c r="E5703" t="str">
        <f>_xlfn.XLOOKUP(Vendas[[#This Row],[ID Item Vendido]],Agregado[ID],Agregado[Produto])</f>
        <v>Container de ferro industrial</v>
      </c>
      <c r="F5703" s="39">
        <v>46166</v>
      </c>
      <c r="G5703" s="7">
        <v>5</v>
      </c>
      <c r="H5703" s="3">
        <f>_xlfn.XLOOKUP(Vendas[[#This Row],[ID Item Vendido]],Agregado[ID],Agregado[Revenda])</f>
        <v>830</v>
      </c>
      <c r="I5703" s="3">
        <f>Vendas[[#This Row],[Valor Unitário]]*Vendas[[#This Row],[Qnt Vendida]]</f>
        <v>4150</v>
      </c>
      <c r="J5703" s="3">
        <f>Vendas[[#This Row],[Valor da Venda]]-(_xlfn.XLOOKUP(Vendas[[#This Row],[ID Item Vendido]],Agregado[ID],Agregado[Custo])*Vendas[[#This Row],[Qnt Vendida]])</f>
        <v>750</v>
      </c>
      <c r="K5703" s="70">
        <f>Vendas[[#This Row],[Lucro da Venda]]/Vendas[[#This Row],[Valor da Venda]]</f>
        <v>0.18072289156626506</v>
      </c>
      <c r="L5703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703"/>
    </row>
    <row r="5704" spans="1:13" x14ac:dyDescent="0.3">
      <c r="A5704" s="7">
        <v>400248</v>
      </c>
      <c r="B5704" t="str">
        <f>_xlfn.XLOOKUP(Vendas[[#This Row],[ID Vendedor]],Vendedores[ID],Vendedores[Nome])</f>
        <v>Patrícia</v>
      </c>
      <c r="C5704" s="7" t="str">
        <f>_xlfn.XLOOKUP(Vendas[[#This Row],[ID Vendedor]],Vendedores[ID],Vendedores[Setor])</f>
        <v>CM</v>
      </c>
      <c r="D5704" s="7" t="s">
        <v>43</v>
      </c>
      <c r="E5704" t="str">
        <f>_xlfn.XLOOKUP(Vendas[[#This Row],[ID Item Vendido]],Agregado[ID],Agregado[Produto])</f>
        <v>Madeira Bruta (Tora)</v>
      </c>
      <c r="F5704" s="39">
        <v>46166</v>
      </c>
      <c r="G5704" s="7">
        <v>11</v>
      </c>
      <c r="H5704" s="3">
        <f>_xlfn.XLOOKUP(Vendas[[#This Row],[ID Item Vendido]],Agregado[ID],Agregado[Revenda])</f>
        <v>212</v>
      </c>
      <c r="I5704" s="3">
        <f>Vendas[[#This Row],[Valor Unitário]]*Vendas[[#This Row],[Qnt Vendida]]</f>
        <v>2332</v>
      </c>
      <c r="J5704" s="3">
        <f>Vendas[[#This Row],[Valor da Venda]]-(_xlfn.XLOOKUP(Vendas[[#This Row],[ID Item Vendido]],Agregado[ID],Agregado[Custo])*Vendas[[#This Row],[Qnt Vendida]])</f>
        <v>352</v>
      </c>
      <c r="K5704" s="70">
        <f>Vendas[[#This Row],[Lucro da Venda]]/Vendas[[#This Row],[Valor da Venda]]</f>
        <v>0.15094339622641509</v>
      </c>
      <c r="L5704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5704"/>
    </row>
    <row r="5705" spans="1:13" x14ac:dyDescent="0.3">
      <c r="A5705" s="7">
        <v>400254</v>
      </c>
      <c r="B5705" t="str">
        <f>_xlfn.XLOOKUP(Vendas[[#This Row],[ID Vendedor]],Vendedores[ID],Vendedores[Nome])</f>
        <v>Beatriz</v>
      </c>
      <c r="C5705" s="7" t="str">
        <f>_xlfn.XLOOKUP(Vendas[[#This Row],[ID Vendedor]],Vendedores[ID],Vendedores[Setor])</f>
        <v>SC</v>
      </c>
      <c r="D5705" s="7" t="s">
        <v>48</v>
      </c>
      <c r="E5705" t="str">
        <f>_xlfn.XLOOKUP(Vendas[[#This Row],[ID Item Vendido]],Agregado[ID],Agregado[Produto])</f>
        <v>Tambor metálico 200L</v>
      </c>
      <c r="F5705" s="39">
        <v>46166</v>
      </c>
      <c r="G5705" s="7">
        <v>13</v>
      </c>
      <c r="H5705" s="3">
        <f>_xlfn.XLOOKUP(Vendas[[#This Row],[ID Item Vendido]],Agregado[ID],Agregado[Revenda])</f>
        <v>144</v>
      </c>
      <c r="I5705" s="3">
        <f>Vendas[[#This Row],[Valor Unitário]]*Vendas[[#This Row],[Qnt Vendida]]</f>
        <v>1872</v>
      </c>
      <c r="J5705" s="3">
        <f>Vendas[[#This Row],[Valor da Venda]]-(_xlfn.XLOOKUP(Vendas[[#This Row],[ID Item Vendido]],Agregado[ID],Agregado[Custo])*Vendas[[#This Row],[Qnt Vendida]])</f>
        <v>312</v>
      </c>
      <c r="K5705" s="70">
        <f>Vendas[[#This Row],[Lucro da Venda]]/Vendas[[#This Row],[Valor da Venda]]</f>
        <v>0.16666666666666666</v>
      </c>
      <c r="L5705" s="3">
        <f>_xlfn.IFS(Vendas[[#This Row],[Margem de Lucro (%)]]&lt;15%,Vendas[[#This Row],[Valor da Venda]]*3%,Vendas[[#This Row],[Margem de Lucro (%)]]&lt;=20%,Vendas[[#This Row],[Valor da Venda]]*4.5%,TRUE,Vendas[[#This Row],[Valor da Venda]]*6%)</f>
        <v>84.24</v>
      </c>
      <c r="M5705"/>
    </row>
    <row r="5706" spans="1:13" x14ac:dyDescent="0.3">
      <c r="A5706" s="7">
        <v>400245</v>
      </c>
      <c r="B5706" t="str">
        <f>_xlfn.XLOOKUP(Vendas[[#This Row],[ID Vendedor]],Vendedores[ID],Vendedores[Nome])</f>
        <v>Thiago</v>
      </c>
      <c r="C5706" s="7" t="str">
        <f>_xlfn.XLOOKUP(Vendas[[#This Row],[ID Vendedor]],Vendedores[ID],Vendedores[Setor])</f>
        <v>AHD</v>
      </c>
      <c r="D5706" s="7" t="s">
        <v>9</v>
      </c>
      <c r="E5706" t="str">
        <f>_xlfn.XLOOKUP(Vendas[[#This Row],[ID Item Vendido]],Agregado[ID],Agregado[Produto])</f>
        <v>Barra de aço simples</v>
      </c>
      <c r="F5706" s="39">
        <v>46166</v>
      </c>
      <c r="G5706" s="7">
        <v>65</v>
      </c>
      <c r="H5706" s="3">
        <f>_xlfn.XLOOKUP(Vendas[[#This Row],[ID Item Vendido]],Agregado[ID],Agregado[Revenda])</f>
        <v>6.7</v>
      </c>
      <c r="I5706" s="3">
        <f>Vendas[[#This Row],[Valor Unitário]]*Vendas[[#This Row],[Qnt Vendida]]</f>
        <v>435.5</v>
      </c>
      <c r="J5706" s="3">
        <f>Vendas[[#This Row],[Valor da Venda]]-(_xlfn.XLOOKUP(Vendas[[#This Row],[ID Item Vendido]],Agregado[ID],Agregado[Custo])*Vendas[[#This Row],[Qnt Vendida]])</f>
        <v>58.5</v>
      </c>
      <c r="K5706" s="70">
        <f>Vendas[[#This Row],[Lucro da Venda]]/Vendas[[#This Row],[Valor da Venda]]</f>
        <v>0.13432835820895522</v>
      </c>
      <c r="L5706" s="3">
        <f>_xlfn.IFS(Vendas[[#This Row],[Margem de Lucro (%)]]&lt;15%,Vendas[[#This Row],[Valor da Venda]]*3%,Vendas[[#This Row],[Margem de Lucro (%)]]&lt;=20%,Vendas[[#This Row],[Valor da Venda]]*4.5%,TRUE,Vendas[[#This Row],[Valor da Venda]]*6%)</f>
        <v>13.065</v>
      </c>
      <c r="M5706"/>
    </row>
    <row r="5707" spans="1:13" x14ac:dyDescent="0.3">
      <c r="A5707" s="7">
        <v>400250</v>
      </c>
      <c r="B5707" t="str">
        <f>_xlfn.XLOOKUP(Vendas[[#This Row],[ID Vendedor]],Vendedores[ID],Vendedores[Nome])</f>
        <v>Larissa</v>
      </c>
      <c r="C5707" s="7" t="str">
        <f>_xlfn.XLOOKUP(Vendas[[#This Row],[ID Vendedor]],Vendedores[ID],Vendedores[Setor])</f>
        <v>AB</v>
      </c>
      <c r="D5707" s="7" t="s">
        <v>24</v>
      </c>
      <c r="E5707" t="str">
        <f>_xlfn.XLOOKUP(Vendas[[#This Row],[ID Item Vendido]],Agregado[ID],Agregado[Produto])</f>
        <v>Resina plástica PET purificada saco de 25kg</v>
      </c>
      <c r="F5707" s="39">
        <v>46167</v>
      </c>
      <c r="G5707" s="7">
        <v>23</v>
      </c>
      <c r="H5707" s="3">
        <f>_xlfn.XLOOKUP(Vendas[[#This Row],[ID Item Vendido]],Agregado[ID],Agregado[Revenda])</f>
        <v>119</v>
      </c>
      <c r="I5707" s="3">
        <f>Vendas[[#This Row],[Valor Unitário]]*Vendas[[#This Row],[Qnt Vendida]]</f>
        <v>2737</v>
      </c>
      <c r="J5707" s="3">
        <f>Vendas[[#This Row],[Valor da Venda]]-(_xlfn.XLOOKUP(Vendas[[#This Row],[ID Item Vendido]],Agregado[ID],Agregado[Custo])*Vendas[[#This Row],[Qnt Vendida]])</f>
        <v>782</v>
      </c>
      <c r="K5707" s="70">
        <f>Vendas[[#This Row],[Lucro da Venda]]/Vendas[[#This Row],[Valor da Venda]]</f>
        <v>0.2857142857142857</v>
      </c>
      <c r="L5707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707"/>
    </row>
    <row r="5708" spans="1:13" x14ac:dyDescent="0.3">
      <c r="A5708" s="7">
        <v>400249</v>
      </c>
      <c r="B5708" t="str">
        <f>_xlfn.XLOOKUP(Vendas[[#This Row],[ID Vendedor]],Vendedores[ID],Vendedores[Nome])</f>
        <v>Bruno</v>
      </c>
      <c r="C5708" s="7" t="str">
        <f>_xlfn.XLOOKUP(Vendas[[#This Row],[ID Vendedor]],Vendedores[ID],Vendedores[Setor])</f>
        <v>CM</v>
      </c>
      <c r="D5708" s="7" t="s">
        <v>43</v>
      </c>
      <c r="E5708" t="str">
        <f>_xlfn.XLOOKUP(Vendas[[#This Row],[ID Item Vendido]],Agregado[ID],Agregado[Produto])</f>
        <v>Madeira Bruta (Tora)</v>
      </c>
      <c r="F5708" s="39">
        <v>46167</v>
      </c>
      <c r="G5708" s="7">
        <v>11</v>
      </c>
      <c r="H5708" s="3">
        <f>_xlfn.XLOOKUP(Vendas[[#This Row],[ID Item Vendido]],Agregado[ID],Agregado[Revenda])</f>
        <v>212</v>
      </c>
      <c r="I5708" s="3">
        <f>Vendas[[#This Row],[Valor Unitário]]*Vendas[[#This Row],[Qnt Vendida]]</f>
        <v>2332</v>
      </c>
      <c r="J5708" s="3">
        <f>Vendas[[#This Row],[Valor da Venda]]-(_xlfn.XLOOKUP(Vendas[[#This Row],[ID Item Vendido]],Agregado[ID],Agregado[Custo])*Vendas[[#This Row],[Qnt Vendida]])</f>
        <v>352</v>
      </c>
      <c r="K5708" s="70">
        <f>Vendas[[#This Row],[Lucro da Venda]]/Vendas[[#This Row],[Valor da Venda]]</f>
        <v>0.15094339622641509</v>
      </c>
      <c r="L5708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5708"/>
    </row>
    <row r="5709" spans="1:13" x14ac:dyDescent="0.3">
      <c r="A5709" s="7">
        <v>400253</v>
      </c>
      <c r="B5709" t="str">
        <f>_xlfn.XLOOKUP(Vendas[[#This Row],[ID Vendedor]],Vendedores[ID],Vendedores[Nome])</f>
        <v>Gustavo</v>
      </c>
      <c r="C5709" s="7" t="str">
        <f>_xlfn.XLOOKUP(Vendas[[#This Row],[ID Vendedor]],Vendedores[ID],Vendedores[Setor])</f>
        <v>SC</v>
      </c>
      <c r="D5709" s="7" t="s">
        <v>41</v>
      </c>
      <c r="E5709" t="str">
        <f>_xlfn.XLOOKUP(Vendas[[#This Row],[ID Item Vendido]],Agregado[ID],Agregado[Produto])</f>
        <v>Palete de madeira reforçado</v>
      </c>
      <c r="F5709" s="39">
        <v>46167</v>
      </c>
      <c r="G5709" s="7">
        <v>7</v>
      </c>
      <c r="H5709" s="3">
        <f>_xlfn.XLOOKUP(Vendas[[#This Row],[ID Item Vendido]],Agregado[ID],Agregado[Revenda])</f>
        <v>131</v>
      </c>
      <c r="I5709" s="3">
        <f>Vendas[[#This Row],[Valor Unitário]]*Vendas[[#This Row],[Qnt Vendida]]</f>
        <v>917</v>
      </c>
      <c r="J5709" s="3">
        <f>Vendas[[#This Row],[Valor da Venda]]-(_xlfn.XLOOKUP(Vendas[[#This Row],[ID Item Vendido]],Agregado[ID],Agregado[Custo])*Vendas[[#This Row],[Qnt Vendida]])</f>
        <v>147</v>
      </c>
      <c r="K5709" s="70">
        <f>Vendas[[#This Row],[Lucro da Venda]]/Vendas[[#This Row],[Valor da Venda]]</f>
        <v>0.16030534351145037</v>
      </c>
      <c r="L5709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5709"/>
    </row>
    <row r="5710" spans="1:13" x14ac:dyDescent="0.3">
      <c r="A5710" s="7">
        <v>400248</v>
      </c>
      <c r="B5710" t="str">
        <f>_xlfn.XLOOKUP(Vendas[[#This Row],[ID Vendedor]],Vendedores[ID],Vendedores[Nome])</f>
        <v>Patrícia</v>
      </c>
      <c r="C5710" s="7" t="str">
        <f>_xlfn.XLOOKUP(Vendas[[#This Row],[ID Vendedor]],Vendedores[ID],Vendedores[Setor])</f>
        <v>CM</v>
      </c>
      <c r="D5710" s="7" t="s">
        <v>45</v>
      </c>
      <c r="E5710" t="str">
        <f>_xlfn.XLOOKUP(Vendas[[#This Row],[ID Item Vendido]],Agregado[ID],Agregado[Produto])</f>
        <v>Viga de madeira tratada 4m</v>
      </c>
      <c r="F5710" s="39">
        <v>46167</v>
      </c>
      <c r="G5710" s="7">
        <v>9</v>
      </c>
      <c r="H5710" s="3">
        <f>_xlfn.XLOOKUP(Vendas[[#This Row],[ID Item Vendido]],Agregado[ID],Agregado[Revenda])</f>
        <v>66</v>
      </c>
      <c r="I5710" s="3">
        <f>Vendas[[#This Row],[Valor Unitário]]*Vendas[[#This Row],[Qnt Vendida]]</f>
        <v>594</v>
      </c>
      <c r="J5710" s="3">
        <f>Vendas[[#This Row],[Valor da Venda]]-(_xlfn.XLOOKUP(Vendas[[#This Row],[ID Item Vendido]],Agregado[ID],Agregado[Custo])*Vendas[[#This Row],[Qnt Vendida]])</f>
        <v>99</v>
      </c>
      <c r="K5710" s="70">
        <f>Vendas[[#This Row],[Lucro da Venda]]/Vendas[[#This Row],[Valor da Venda]]</f>
        <v>0.16666666666666666</v>
      </c>
      <c r="L5710" s="3">
        <f>_xlfn.IFS(Vendas[[#This Row],[Margem de Lucro (%)]]&lt;15%,Vendas[[#This Row],[Valor da Venda]]*3%,Vendas[[#This Row],[Margem de Lucro (%)]]&lt;=20%,Vendas[[#This Row],[Valor da Venda]]*4.5%,TRUE,Vendas[[#This Row],[Valor da Venda]]*6%)</f>
        <v>26.73</v>
      </c>
      <c r="M5710"/>
    </row>
    <row r="5711" spans="1:13" x14ac:dyDescent="0.3">
      <c r="A5711" s="7">
        <v>400244</v>
      </c>
      <c r="B5711" t="str">
        <f>_xlfn.XLOOKUP(Vendas[[#This Row],[ID Vendedor]],Vendedores[ID],Vendedores[Nome])</f>
        <v>Camila</v>
      </c>
      <c r="C5711" s="7" t="str">
        <f>_xlfn.XLOOKUP(Vendas[[#This Row],[ID Vendedor]],Vendedores[ID],Vendedores[Setor])</f>
        <v>AHD</v>
      </c>
      <c r="D5711" s="7" t="s">
        <v>30</v>
      </c>
      <c r="E5711" t="str">
        <f>_xlfn.XLOOKUP(Vendas[[#This Row],[ID Item Vendido]],Agregado[ID],Agregado[Produto])</f>
        <v>Estrutura metálica soldada</v>
      </c>
      <c r="F5711" s="39">
        <v>46168</v>
      </c>
      <c r="G5711" s="7">
        <v>6</v>
      </c>
      <c r="H5711" s="3">
        <f>_xlfn.XLOOKUP(Vendas[[#This Row],[ID Item Vendido]],Agregado[ID],Agregado[Revenda])</f>
        <v>400</v>
      </c>
      <c r="I5711" s="3">
        <f>Vendas[[#This Row],[Valor Unitário]]*Vendas[[#This Row],[Qnt Vendida]]</f>
        <v>2400</v>
      </c>
      <c r="J5711" s="3">
        <f>Vendas[[#This Row],[Valor da Venda]]-(_xlfn.XLOOKUP(Vendas[[#This Row],[ID Item Vendido]],Agregado[ID],Agregado[Custo])*Vendas[[#This Row],[Qnt Vendida]])</f>
        <v>480</v>
      </c>
      <c r="K5711" s="70">
        <f>Vendas[[#This Row],[Lucro da Venda]]/Vendas[[#This Row],[Valor da Venda]]</f>
        <v>0.2</v>
      </c>
      <c r="L5711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5711"/>
    </row>
    <row r="5712" spans="1:13" x14ac:dyDescent="0.3">
      <c r="A5712" s="7">
        <v>400242</v>
      </c>
      <c r="B5712" t="str">
        <f>_xlfn.XLOOKUP(Vendas[[#This Row],[ID Vendedor]],Vendedores[ID],Vendedores[Nome])</f>
        <v>Fernanda</v>
      </c>
      <c r="C5712" s="7" t="str">
        <f>_xlfn.XLOOKUP(Vendas[[#This Row],[ID Vendedor]],Vendedores[ID],Vendedores[Setor])</f>
        <v>FM</v>
      </c>
      <c r="D5712" s="7" t="s">
        <v>31</v>
      </c>
      <c r="E5712" t="str">
        <f>_xlfn.XLOOKUP(Vendas[[#This Row],[ID Item Vendido]],Agregado[ID],Agregado[Produto])</f>
        <v>Tela de metal soldada rolo 2x25m</v>
      </c>
      <c r="F5712" s="39">
        <v>46168</v>
      </c>
      <c r="G5712" s="7">
        <v>15</v>
      </c>
      <c r="H5712" s="3">
        <f>_xlfn.XLOOKUP(Vendas[[#This Row],[ID Item Vendido]],Agregado[ID],Agregado[Revenda])</f>
        <v>43.7</v>
      </c>
      <c r="I5712" s="3">
        <f>Vendas[[#This Row],[Valor Unitário]]*Vendas[[#This Row],[Qnt Vendida]]</f>
        <v>655.5</v>
      </c>
      <c r="J5712" s="3">
        <f>Vendas[[#This Row],[Valor da Venda]]-(_xlfn.XLOOKUP(Vendas[[#This Row],[ID Item Vendido]],Agregado[ID],Agregado[Custo])*Vendas[[#This Row],[Qnt Vendida]])</f>
        <v>85.5</v>
      </c>
      <c r="K5712" s="70">
        <f>Vendas[[#This Row],[Lucro da Venda]]/Vendas[[#This Row],[Valor da Venda]]</f>
        <v>0.13043478260869565</v>
      </c>
      <c r="L5712" s="3">
        <f>_xlfn.IFS(Vendas[[#This Row],[Margem de Lucro (%)]]&lt;15%,Vendas[[#This Row],[Valor da Venda]]*3%,Vendas[[#This Row],[Margem de Lucro (%)]]&lt;=20%,Vendas[[#This Row],[Valor da Venda]]*4.5%,TRUE,Vendas[[#This Row],[Valor da Venda]]*6%)</f>
        <v>19.664999999999999</v>
      </c>
      <c r="M5712"/>
    </row>
    <row r="5713" spans="1:13" x14ac:dyDescent="0.3">
      <c r="A5713" s="7">
        <v>400254</v>
      </c>
      <c r="B5713" t="str">
        <f>_xlfn.XLOOKUP(Vendas[[#This Row],[ID Vendedor]],Vendedores[ID],Vendedores[Nome])</f>
        <v>Beatriz</v>
      </c>
      <c r="C5713" s="7" t="str">
        <f>_xlfn.XLOOKUP(Vendas[[#This Row],[ID Vendedor]],Vendedores[ID],Vendedores[Setor])</f>
        <v>SC</v>
      </c>
      <c r="D5713" s="7" t="s">
        <v>25</v>
      </c>
      <c r="E5713" t="str">
        <f>_xlfn.XLOOKUP(Vendas[[#This Row],[ID Item Vendido]],Agregado[ID],Agregado[Produto])</f>
        <v>Palete de plástico</v>
      </c>
      <c r="F5713" s="39">
        <v>46168</v>
      </c>
      <c r="G5713" s="7">
        <v>8</v>
      </c>
      <c r="H5713" s="3">
        <f>_xlfn.XLOOKUP(Vendas[[#This Row],[ID Item Vendido]],Agregado[ID],Agregado[Revenda])</f>
        <v>70.8</v>
      </c>
      <c r="I5713" s="3">
        <f>Vendas[[#This Row],[Valor Unitário]]*Vendas[[#This Row],[Qnt Vendida]]</f>
        <v>566.4</v>
      </c>
      <c r="J5713" s="3">
        <f>Vendas[[#This Row],[Valor da Venda]]-(_xlfn.XLOOKUP(Vendas[[#This Row],[ID Item Vendido]],Agregado[ID],Agregado[Custo])*Vendas[[#This Row],[Qnt Vendida]])</f>
        <v>86.399999999999977</v>
      </c>
      <c r="K5713" s="70">
        <f>Vendas[[#This Row],[Lucro da Venda]]/Vendas[[#This Row],[Valor da Venda]]</f>
        <v>0.15254237288135589</v>
      </c>
      <c r="L5713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5713"/>
    </row>
    <row r="5714" spans="1:13" x14ac:dyDescent="0.3">
      <c r="A5714" s="7">
        <v>400242</v>
      </c>
      <c r="B5714" t="str">
        <f>_xlfn.XLOOKUP(Vendas[[#This Row],[ID Vendedor]],Vendedores[ID],Vendedores[Nome])</f>
        <v>Fernanda</v>
      </c>
      <c r="C5714" s="7" t="str">
        <f>_xlfn.XLOOKUP(Vendas[[#This Row],[ID Vendedor]],Vendedores[ID],Vendedores[Setor])</f>
        <v>FM</v>
      </c>
      <c r="D5714" s="7" t="s">
        <v>47</v>
      </c>
      <c r="E5714" t="str">
        <f>_xlfn.XLOOKUP(Vendas[[#This Row],[ID Item Vendido]],Agregado[ID],Agregado[Produto])</f>
        <v>Fio de arame galvanizado rolo 50m</v>
      </c>
      <c r="F5714" s="39">
        <v>46168</v>
      </c>
      <c r="G5714" s="7">
        <v>14</v>
      </c>
      <c r="H5714" s="3">
        <f>_xlfn.XLOOKUP(Vendas[[#This Row],[ID Item Vendido]],Agregado[ID],Agregado[Revenda])</f>
        <v>21.2</v>
      </c>
      <c r="I5714" s="3">
        <f>Vendas[[#This Row],[Valor Unitário]]*Vendas[[#This Row],[Qnt Vendida]]</f>
        <v>296.8</v>
      </c>
      <c r="J5714" s="3">
        <f>Vendas[[#This Row],[Valor da Venda]]-(_xlfn.XLOOKUP(Vendas[[#This Row],[ID Item Vendido]],Agregado[ID],Agregado[Custo])*Vendas[[#This Row],[Qnt Vendida]])</f>
        <v>44.800000000000011</v>
      </c>
      <c r="K5714" s="70">
        <f>Vendas[[#This Row],[Lucro da Venda]]/Vendas[[#This Row],[Valor da Venda]]</f>
        <v>0.15094339622641512</v>
      </c>
      <c r="L5714" s="3">
        <f>_xlfn.IFS(Vendas[[#This Row],[Margem de Lucro (%)]]&lt;15%,Vendas[[#This Row],[Valor da Venda]]*3%,Vendas[[#This Row],[Margem de Lucro (%)]]&lt;=20%,Vendas[[#This Row],[Valor da Venda]]*4.5%,TRUE,Vendas[[#This Row],[Valor da Venda]]*6%)</f>
        <v>13.356</v>
      </c>
      <c r="M5714"/>
    </row>
    <row r="5715" spans="1:13" x14ac:dyDescent="0.3">
      <c r="A5715" s="7">
        <v>400246</v>
      </c>
      <c r="B5715" t="str">
        <f>_xlfn.XLOOKUP(Vendas[[#This Row],[ID Vendedor]],Vendedores[ID],Vendedores[Nome])</f>
        <v>Juliana</v>
      </c>
      <c r="C5715" s="7" t="str">
        <f>_xlfn.XLOOKUP(Vendas[[#This Row],[ID Vendedor]],Vendedores[ID],Vendedores[Setor])</f>
        <v>AHD</v>
      </c>
      <c r="D5715" s="7" t="s">
        <v>9</v>
      </c>
      <c r="E5715" t="str">
        <f>_xlfn.XLOOKUP(Vendas[[#This Row],[ID Item Vendido]],Agregado[ID],Agregado[Produto])</f>
        <v>Barra de aço simples</v>
      </c>
      <c r="F5715" s="39">
        <v>46169</v>
      </c>
      <c r="G5715" s="7">
        <v>50</v>
      </c>
      <c r="H5715" s="3">
        <f>_xlfn.XLOOKUP(Vendas[[#This Row],[ID Item Vendido]],Agregado[ID],Agregado[Revenda])</f>
        <v>6.7</v>
      </c>
      <c r="I5715" s="3">
        <f>Vendas[[#This Row],[Valor Unitário]]*Vendas[[#This Row],[Qnt Vendida]]</f>
        <v>335</v>
      </c>
      <c r="J5715" s="3">
        <f>Vendas[[#This Row],[Valor da Venda]]-(_xlfn.XLOOKUP(Vendas[[#This Row],[ID Item Vendido]],Agregado[ID],Agregado[Custo])*Vendas[[#This Row],[Qnt Vendida]])</f>
        <v>45</v>
      </c>
      <c r="K5715" s="70">
        <f>Vendas[[#This Row],[Lucro da Venda]]/Vendas[[#This Row],[Valor da Venda]]</f>
        <v>0.13432835820895522</v>
      </c>
      <c r="L5715" s="3">
        <f>_xlfn.IFS(Vendas[[#This Row],[Margem de Lucro (%)]]&lt;15%,Vendas[[#This Row],[Valor da Venda]]*3%,Vendas[[#This Row],[Margem de Lucro (%)]]&lt;=20%,Vendas[[#This Row],[Valor da Venda]]*4.5%,TRUE,Vendas[[#This Row],[Valor da Venda]]*6%)</f>
        <v>10.049999999999999</v>
      </c>
      <c r="M5715"/>
    </row>
    <row r="5716" spans="1:13" x14ac:dyDescent="0.3">
      <c r="A5716" s="7">
        <v>400246</v>
      </c>
      <c r="B5716" t="str">
        <f>_xlfn.XLOOKUP(Vendas[[#This Row],[ID Vendedor]],Vendedores[ID],Vendedores[Nome])</f>
        <v>Juliana</v>
      </c>
      <c r="C5716" s="7" t="str">
        <f>_xlfn.XLOOKUP(Vendas[[#This Row],[ID Vendedor]],Vendedores[ID],Vendedores[Setor])</f>
        <v>AHD</v>
      </c>
      <c r="D5716" s="7" t="s">
        <v>30</v>
      </c>
      <c r="E5716" t="str">
        <f>_xlfn.XLOOKUP(Vendas[[#This Row],[ID Item Vendido]],Agregado[ID],Agregado[Produto])</f>
        <v>Estrutura metálica soldada</v>
      </c>
      <c r="F5716" s="39">
        <v>46170</v>
      </c>
      <c r="G5716" s="7">
        <v>6</v>
      </c>
      <c r="H5716" s="3">
        <f>_xlfn.XLOOKUP(Vendas[[#This Row],[ID Item Vendido]],Agregado[ID],Agregado[Revenda])</f>
        <v>400</v>
      </c>
      <c r="I5716" s="3">
        <f>Vendas[[#This Row],[Valor Unitário]]*Vendas[[#This Row],[Qnt Vendida]]</f>
        <v>2400</v>
      </c>
      <c r="J5716" s="3">
        <f>Vendas[[#This Row],[Valor da Venda]]-(_xlfn.XLOOKUP(Vendas[[#This Row],[ID Item Vendido]],Agregado[ID],Agregado[Custo])*Vendas[[#This Row],[Qnt Vendida]])</f>
        <v>480</v>
      </c>
      <c r="K5716" s="70">
        <f>Vendas[[#This Row],[Lucro da Venda]]/Vendas[[#This Row],[Valor da Venda]]</f>
        <v>0.2</v>
      </c>
      <c r="L5716" s="3">
        <f>_xlfn.IFS(Vendas[[#This Row],[Margem de Lucro (%)]]&lt;15%,Vendas[[#This Row],[Valor da Venda]]*3%,Vendas[[#This Row],[Margem de Lucro (%)]]&lt;=20%,Vendas[[#This Row],[Valor da Venda]]*4.5%,TRUE,Vendas[[#This Row],[Valor da Venda]]*6%)</f>
        <v>108</v>
      </c>
      <c r="M5716"/>
    </row>
    <row r="5717" spans="1:13" x14ac:dyDescent="0.3">
      <c r="A5717" s="7">
        <v>400242</v>
      </c>
      <c r="B5717" t="str">
        <f>_xlfn.XLOOKUP(Vendas[[#This Row],[ID Vendedor]],Vendedores[ID],Vendedores[Nome])</f>
        <v>Fernanda</v>
      </c>
      <c r="C5717" s="7" t="str">
        <f>_xlfn.XLOOKUP(Vendas[[#This Row],[ID Vendedor]],Vendedores[ID],Vendedores[Setor])</f>
        <v>FM</v>
      </c>
      <c r="D5717" s="7" t="s">
        <v>20</v>
      </c>
      <c r="E5717" t="str">
        <f>_xlfn.XLOOKUP(Vendas[[#This Row],[ID Item Vendido]],Agregado[ID],Agregado[Produto])</f>
        <v>Barra de aço simples</v>
      </c>
      <c r="F5717" s="39">
        <v>46170</v>
      </c>
      <c r="G5717" s="7">
        <v>166</v>
      </c>
      <c r="H5717" s="3">
        <f>_xlfn.XLOOKUP(Vendas[[#This Row],[ID Item Vendido]],Agregado[ID],Agregado[Revenda])</f>
        <v>4.8</v>
      </c>
      <c r="I5717" s="3">
        <f>Vendas[[#This Row],[Valor Unitário]]*Vendas[[#This Row],[Qnt Vendida]]</f>
        <v>796.8</v>
      </c>
      <c r="J5717" s="3">
        <f>Vendas[[#This Row],[Valor da Venda]]-(_xlfn.XLOOKUP(Vendas[[#This Row],[ID Item Vendido]],Agregado[ID],Agregado[Custo])*Vendas[[#This Row],[Qnt Vendida]])</f>
        <v>99.599999999999909</v>
      </c>
      <c r="K5717" s="70">
        <f>Vendas[[#This Row],[Lucro da Venda]]/Vendas[[#This Row],[Valor da Venda]]</f>
        <v>0.12499999999999989</v>
      </c>
      <c r="L5717" s="3">
        <f>_xlfn.IFS(Vendas[[#This Row],[Margem de Lucro (%)]]&lt;15%,Vendas[[#This Row],[Valor da Venda]]*3%,Vendas[[#This Row],[Margem de Lucro (%)]]&lt;=20%,Vendas[[#This Row],[Valor da Venda]]*4.5%,TRUE,Vendas[[#This Row],[Valor da Venda]]*6%)</f>
        <v>23.903999999999996</v>
      </c>
      <c r="M5717"/>
    </row>
    <row r="5718" spans="1:13" x14ac:dyDescent="0.3">
      <c r="A5718" s="7">
        <v>400252</v>
      </c>
      <c r="B5718" t="str">
        <f>_xlfn.XLOOKUP(Vendas[[#This Row],[ID Vendedor]],Vendedores[ID],Vendedores[Nome])</f>
        <v>Renata</v>
      </c>
      <c r="C5718" s="7" t="str">
        <f>_xlfn.XLOOKUP(Vendas[[#This Row],[ID Vendedor]],Vendedores[ID],Vendedores[Setor])</f>
        <v>AB</v>
      </c>
      <c r="D5718" s="7" t="s">
        <v>36</v>
      </c>
      <c r="E5718" t="str">
        <f>_xlfn.XLOOKUP(Vendas[[#This Row],[ID Item Vendido]],Agregado[ID],Agregado[Produto])</f>
        <v>Borracha vulcanizada em manta</v>
      </c>
      <c r="F5718" s="39">
        <v>46170</v>
      </c>
      <c r="G5718" s="7">
        <v>30</v>
      </c>
      <c r="H5718" s="3">
        <f>_xlfn.XLOOKUP(Vendas[[#This Row],[ID Item Vendido]],Agregado[ID],Agregado[Revenda])</f>
        <v>7.8</v>
      </c>
      <c r="I5718" s="3">
        <f>Vendas[[#This Row],[Valor Unitário]]*Vendas[[#This Row],[Qnt Vendida]]</f>
        <v>234</v>
      </c>
      <c r="J5718" s="3">
        <f>Vendas[[#This Row],[Valor da Venda]]-(_xlfn.XLOOKUP(Vendas[[#This Row],[ID Item Vendido]],Agregado[ID],Agregado[Custo])*Vendas[[#This Row],[Qnt Vendida]])</f>
        <v>54</v>
      </c>
      <c r="K5718" s="70">
        <f>Vendas[[#This Row],[Lucro da Venda]]/Vendas[[#This Row],[Valor da Venda]]</f>
        <v>0.23076923076923078</v>
      </c>
      <c r="L5718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718"/>
    </row>
    <row r="5719" spans="1:13" x14ac:dyDescent="0.3">
      <c r="A5719" s="7">
        <v>400255</v>
      </c>
      <c r="B5719" t="str">
        <f>_xlfn.XLOOKUP(Vendas[[#This Row],[ID Vendedor]],Vendedores[ID],Vendedores[Nome])</f>
        <v>Carlos</v>
      </c>
      <c r="C5719" s="7" t="str">
        <f>_xlfn.XLOOKUP(Vendas[[#This Row],[ID Vendedor]],Vendedores[ID],Vendedores[Setor])</f>
        <v>SC</v>
      </c>
      <c r="D5719" s="7" t="s">
        <v>48</v>
      </c>
      <c r="E5719" t="str">
        <f>_xlfn.XLOOKUP(Vendas[[#This Row],[ID Item Vendido]],Agregado[ID],Agregado[Produto])</f>
        <v>Tambor metálico 200L</v>
      </c>
      <c r="F5719" s="39">
        <v>46171</v>
      </c>
      <c r="G5719" s="7">
        <v>14</v>
      </c>
      <c r="H5719" s="3">
        <f>_xlfn.XLOOKUP(Vendas[[#This Row],[ID Item Vendido]],Agregado[ID],Agregado[Revenda])</f>
        <v>144</v>
      </c>
      <c r="I5719" s="3">
        <f>Vendas[[#This Row],[Valor Unitário]]*Vendas[[#This Row],[Qnt Vendida]]</f>
        <v>2016</v>
      </c>
      <c r="J5719" s="3">
        <f>Vendas[[#This Row],[Valor da Venda]]-(_xlfn.XLOOKUP(Vendas[[#This Row],[ID Item Vendido]],Agregado[ID],Agregado[Custo])*Vendas[[#This Row],[Qnt Vendida]])</f>
        <v>336</v>
      </c>
      <c r="K5719" s="70">
        <f>Vendas[[#This Row],[Lucro da Venda]]/Vendas[[#This Row],[Valor da Venda]]</f>
        <v>0.16666666666666666</v>
      </c>
      <c r="L5719" s="3">
        <f>_xlfn.IFS(Vendas[[#This Row],[Margem de Lucro (%)]]&lt;15%,Vendas[[#This Row],[Valor da Venda]]*3%,Vendas[[#This Row],[Margem de Lucro (%)]]&lt;=20%,Vendas[[#This Row],[Valor da Venda]]*4.5%,TRUE,Vendas[[#This Row],[Valor da Venda]]*6%)</f>
        <v>90.72</v>
      </c>
      <c r="M5719"/>
    </row>
    <row r="5720" spans="1:13" x14ac:dyDescent="0.3">
      <c r="A5720" s="7">
        <v>400251</v>
      </c>
      <c r="B5720" t="str">
        <f>_xlfn.XLOOKUP(Vendas[[#This Row],[ID Vendedor]],Vendedores[ID],Vendedores[Nome])</f>
        <v>Diego</v>
      </c>
      <c r="C5720" s="7" t="str">
        <f>_xlfn.XLOOKUP(Vendas[[#This Row],[ID Vendedor]],Vendedores[ID],Vendedores[Setor])</f>
        <v>AB</v>
      </c>
      <c r="D5720" s="7" t="s">
        <v>37</v>
      </c>
      <c r="E5720" t="str">
        <f>_xlfn.XLOOKUP(Vendas[[#This Row],[ID Item Vendido]],Agregado[ID],Agregado[Produto])</f>
        <v>Composto de borracha para vedação rolo 10m</v>
      </c>
      <c r="F5720" s="39">
        <v>46171</v>
      </c>
      <c r="G5720" s="7">
        <v>23</v>
      </c>
      <c r="H5720" s="3">
        <f>_xlfn.XLOOKUP(Vendas[[#This Row],[ID Item Vendido]],Agregado[ID],Agregado[Revenda])</f>
        <v>51.2</v>
      </c>
      <c r="I5720" s="3">
        <f>Vendas[[#This Row],[Valor Unitário]]*Vendas[[#This Row],[Qnt Vendida]]</f>
        <v>1177.6000000000001</v>
      </c>
      <c r="J5720" s="3">
        <f>Vendas[[#This Row],[Valor da Venda]]-(_xlfn.XLOOKUP(Vendas[[#This Row],[ID Item Vendido]],Agregado[ID],Agregado[Custo])*Vendas[[#This Row],[Qnt Vendida]])</f>
        <v>257.60000000000014</v>
      </c>
      <c r="K5720" s="70">
        <f>Vendas[[#This Row],[Lucro da Venda]]/Vendas[[#This Row],[Valor da Venda]]</f>
        <v>0.21875000000000008</v>
      </c>
      <c r="L5720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720"/>
    </row>
    <row r="5721" spans="1:13" x14ac:dyDescent="0.3">
      <c r="A5721" s="7">
        <v>400252</v>
      </c>
      <c r="B5721" t="str">
        <f>_xlfn.XLOOKUP(Vendas[[#This Row],[ID Vendedor]],Vendedores[ID],Vendedores[Nome])</f>
        <v>Renata</v>
      </c>
      <c r="C5721" s="7" t="str">
        <f>_xlfn.XLOOKUP(Vendas[[#This Row],[ID Vendedor]],Vendedores[ID],Vendedores[Setor])</f>
        <v>AB</v>
      </c>
      <c r="D5721" s="7" t="s">
        <v>37</v>
      </c>
      <c r="E5721" t="str">
        <f>_xlfn.XLOOKUP(Vendas[[#This Row],[ID Item Vendido]],Agregado[ID],Agregado[Produto])</f>
        <v>Composto de borracha para vedação rolo 10m</v>
      </c>
      <c r="F5721" s="39">
        <v>46172</v>
      </c>
      <c r="G5721" s="7">
        <v>23</v>
      </c>
      <c r="H5721" s="3">
        <f>_xlfn.XLOOKUP(Vendas[[#This Row],[ID Item Vendido]],Agregado[ID],Agregado[Revenda])</f>
        <v>51.2</v>
      </c>
      <c r="I5721" s="3">
        <f>Vendas[[#This Row],[Valor Unitário]]*Vendas[[#This Row],[Qnt Vendida]]</f>
        <v>1177.6000000000001</v>
      </c>
      <c r="J5721" s="3">
        <f>Vendas[[#This Row],[Valor da Venda]]-(_xlfn.XLOOKUP(Vendas[[#This Row],[ID Item Vendido]],Agregado[ID],Agregado[Custo])*Vendas[[#This Row],[Qnt Vendida]])</f>
        <v>257.60000000000014</v>
      </c>
      <c r="K5721" s="70">
        <f>Vendas[[#This Row],[Lucro da Venda]]/Vendas[[#This Row],[Valor da Venda]]</f>
        <v>0.21875000000000008</v>
      </c>
      <c r="L5721" s="3">
        <f>_xlfn.IFS(Vendas[[#This Row],[Margem de Lucro (%)]]&lt;15%,Vendas[[#This Row],[Valor da Venda]]*3%,Vendas[[#This Row],[Margem de Lucro (%)]]&lt;=20%,Vendas[[#This Row],[Valor da Venda]]*4.5%,TRUE,Vendas[[#This Row],[Valor da Venda]]*6%)</f>
        <v>70.656000000000006</v>
      </c>
      <c r="M5721"/>
    </row>
    <row r="5722" spans="1:13" x14ac:dyDescent="0.3">
      <c r="A5722" s="7">
        <v>400255</v>
      </c>
      <c r="B5722" t="str">
        <f>_xlfn.XLOOKUP(Vendas[[#This Row],[ID Vendedor]],Vendedores[ID],Vendedores[Nome])</f>
        <v>Carlos</v>
      </c>
      <c r="C5722" s="7" t="str">
        <f>_xlfn.XLOOKUP(Vendas[[#This Row],[ID Vendedor]],Vendedores[ID],Vendedores[Setor])</f>
        <v>SC</v>
      </c>
      <c r="D5722" s="7" t="s">
        <v>14</v>
      </c>
      <c r="E5722" t="str">
        <f>_xlfn.XLOOKUP(Vendas[[#This Row],[ID Item Vendido]],Agregado[ID],Agregado[Produto])</f>
        <v>Barril de plástico 200L</v>
      </c>
      <c r="F5722" s="39">
        <v>46172</v>
      </c>
      <c r="G5722" s="7">
        <v>10</v>
      </c>
      <c r="H5722" s="3">
        <f>_xlfn.XLOOKUP(Vendas[[#This Row],[ID Item Vendido]],Agregado[ID],Agregado[Revenda])</f>
        <v>114</v>
      </c>
      <c r="I5722" s="3">
        <f>Vendas[[#This Row],[Valor Unitário]]*Vendas[[#This Row],[Qnt Vendida]]</f>
        <v>1140</v>
      </c>
      <c r="J5722" s="3">
        <f>Vendas[[#This Row],[Valor da Venda]]-(_xlfn.XLOOKUP(Vendas[[#This Row],[ID Item Vendido]],Agregado[ID],Agregado[Custo])*Vendas[[#This Row],[Qnt Vendida]])</f>
        <v>190</v>
      </c>
      <c r="K5722" s="70">
        <f>Vendas[[#This Row],[Lucro da Venda]]/Vendas[[#This Row],[Valor da Venda]]</f>
        <v>0.16666666666666666</v>
      </c>
      <c r="L5722" s="3">
        <f>_xlfn.IFS(Vendas[[#This Row],[Margem de Lucro (%)]]&lt;15%,Vendas[[#This Row],[Valor da Venda]]*3%,Vendas[[#This Row],[Margem de Lucro (%)]]&lt;=20%,Vendas[[#This Row],[Valor da Venda]]*4.5%,TRUE,Vendas[[#This Row],[Valor da Venda]]*6%)</f>
        <v>51.3</v>
      </c>
      <c r="M5722"/>
    </row>
    <row r="5723" spans="1:13" x14ac:dyDescent="0.3">
      <c r="A5723" s="7">
        <v>400254</v>
      </c>
      <c r="B5723" t="str">
        <f>_xlfn.XLOOKUP(Vendas[[#This Row],[ID Vendedor]],Vendedores[ID],Vendedores[Nome])</f>
        <v>Beatriz</v>
      </c>
      <c r="C5723" s="7" t="str">
        <f>_xlfn.XLOOKUP(Vendas[[#This Row],[ID Vendedor]],Vendedores[ID],Vendedores[Setor])</f>
        <v>SC</v>
      </c>
      <c r="D5723" s="7" t="s">
        <v>14</v>
      </c>
      <c r="E5723" t="str">
        <f>_xlfn.XLOOKUP(Vendas[[#This Row],[ID Item Vendido]],Agregado[ID],Agregado[Produto])</f>
        <v>Barril de plástico 200L</v>
      </c>
      <c r="F5723" s="39">
        <v>46172</v>
      </c>
      <c r="G5723" s="7">
        <v>8</v>
      </c>
      <c r="H5723" s="3">
        <f>_xlfn.XLOOKUP(Vendas[[#This Row],[ID Item Vendido]],Agregado[ID],Agregado[Revenda])</f>
        <v>114</v>
      </c>
      <c r="I5723" s="3">
        <f>Vendas[[#This Row],[Valor Unitário]]*Vendas[[#This Row],[Qnt Vendida]]</f>
        <v>912</v>
      </c>
      <c r="J5723" s="3">
        <f>Vendas[[#This Row],[Valor da Venda]]-(_xlfn.XLOOKUP(Vendas[[#This Row],[ID Item Vendido]],Agregado[ID],Agregado[Custo])*Vendas[[#This Row],[Qnt Vendida]])</f>
        <v>152</v>
      </c>
      <c r="K5723" s="70">
        <f>Vendas[[#This Row],[Lucro da Venda]]/Vendas[[#This Row],[Valor da Venda]]</f>
        <v>0.16666666666666666</v>
      </c>
      <c r="L5723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5723"/>
    </row>
    <row r="5724" spans="1:13" x14ac:dyDescent="0.3">
      <c r="A5724" s="7">
        <v>400248</v>
      </c>
      <c r="B5724" t="str">
        <f>_xlfn.XLOOKUP(Vendas[[#This Row],[ID Vendedor]],Vendedores[ID],Vendedores[Nome])</f>
        <v>Patrícia</v>
      </c>
      <c r="C5724" s="7" t="str">
        <f>_xlfn.XLOOKUP(Vendas[[#This Row],[ID Vendedor]],Vendedores[ID],Vendedores[Setor])</f>
        <v>CM</v>
      </c>
      <c r="D5724" s="7" t="s">
        <v>22</v>
      </c>
      <c r="E5724" t="str">
        <f>_xlfn.XLOOKUP(Vendas[[#This Row],[ID Item Vendido]],Agregado[ID],Agregado[Produto])</f>
        <v>Painel MDP 2,75x1,83m</v>
      </c>
      <c r="F5724" s="39">
        <v>46172</v>
      </c>
      <c r="G5724" s="7">
        <v>7</v>
      </c>
      <c r="H5724" s="3">
        <f>_xlfn.XLOOKUP(Vendas[[#This Row],[ID Item Vendido]],Agregado[ID],Agregado[Revenda])</f>
        <v>119</v>
      </c>
      <c r="I5724" s="3">
        <f>Vendas[[#This Row],[Valor Unitário]]*Vendas[[#This Row],[Qnt Vendida]]</f>
        <v>833</v>
      </c>
      <c r="J5724" s="3">
        <f>Vendas[[#This Row],[Valor da Venda]]-(_xlfn.XLOOKUP(Vendas[[#This Row],[ID Item Vendido]],Agregado[ID],Agregado[Custo])*Vendas[[#This Row],[Qnt Vendida]])</f>
        <v>168</v>
      </c>
      <c r="K5724" s="70">
        <f>Vendas[[#This Row],[Lucro da Venda]]/Vendas[[#This Row],[Valor da Venda]]</f>
        <v>0.20168067226890757</v>
      </c>
      <c r="L5724" s="3">
        <f>_xlfn.IFS(Vendas[[#This Row],[Margem de Lucro (%)]]&lt;15%,Vendas[[#This Row],[Valor da Venda]]*3%,Vendas[[#This Row],[Margem de Lucro (%)]]&lt;=20%,Vendas[[#This Row],[Valor da Venda]]*4.5%,TRUE,Vendas[[#This Row],[Valor da Venda]]*6%)</f>
        <v>49.98</v>
      </c>
      <c r="M5724"/>
    </row>
    <row r="5725" spans="1:13" x14ac:dyDescent="0.3">
      <c r="A5725" s="7">
        <v>400254</v>
      </c>
      <c r="B5725" t="str">
        <f>_xlfn.XLOOKUP(Vendas[[#This Row],[ID Vendedor]],Vendedores[ID],Vendedores[Nome])</f>
        <v>Beatriz</v>
      </c>
      <c r="C5725" s="7" t="str">
        <f>_xlfn.XLOOKUP(Vendas[[#This Row],[ID Vendedor]],Vendedores[ID],Vendedores[Setor])</f>
        <v>SC</v>
      </c>
      <c r="D5725" s="7" t="s">
        <v>42</v>
      </c>
      <c r="E5725" t="str">
        <f>_xlfn.XLOOKUP(Vendas[[#This Row],[ID Item Vendido]],Agregado[ID],Agregado[Produto])</f>
        <v>Container de ferro industrial</v>
      </c>
      <c r="F5725" s="39">
        <v>46172</v>
      </c>
      <c r="G5725" s="7">
        <v>1</v>
      </c>
      <c r="H5725" s="3">
        <f>_xlfn.XLOOKUP(Vendas[[#This Row],[ID Item Vendido]],Agregado[ID],Agregado[Revenda])</f>
        <v>830</v>
      </c>
      <c r="I5725" s="3">
        <f>Vendas[[#This Row],[Valor Unitário]]*Vendas[[#This Row],[Qnt Vendida]]</f>
        <v>830</v>
      </c>
      <c r="J5725" s="3">
        <f>Vendas[[#This Row],[Valor da Venda]]-(_xlfn.XLOOKUP(Vendas[[#This Row],[ID Item Vendido]],Agregado[ID],Agregado[Custo])*Vendas[[#This Row],[Qnt Vendida]])</f>
        <v>150</v>
      </c>
      <c r="K5725" s="70">
        <f>Vendas[[#This Row],[Lucro da Venda]]/Vendas[[#This Row],[Valor da Venda]]</f>
        <v>0.18072289156626506</v>
      </c>
      <c r="L5725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725"/>
    </row>
    <row r="5726" spans="1:13" x14ac:dyDescent="0.3">
      <c r="A5726" s="7">
        <v>400244</v>
      </c>
      <c r="B5726" t="str">
        <f>_xlfn.XLOOKUP(Vendas[[#This Row],[ID Vendedor]],Vendedores[ID],Vendedores[Nome])</f>
        <v>Camila</v>
      </c>
      <c r="C5726" s="7" t="str">
        <f>_xlfn.XLOOKUP(Vendas[[#This Row],[ID Vendedor]],Vendedores[ID],Vendedores[Setor])</f>
        <v>AHD</v>
      </c>
      <c r="D5726" s="7" t="s">
        <v>28</v>
      </c>
      <c r="E5726" t="str">
        <f>_xlfn.XLOOKUP(Vendas[[#This Row],[ID Item Vendido]],Agregado[ID],Agregado[Produto])</f>
        <v>Peça usinada CNC</v>
      </c>
      <c r="F5726" s="39">
        <v>46173</v>
      </c>
      <c r="G5726" s="7">
        <v>15</v>
      </c>
      <c r="H5726" s="3">
        <f>_xlfn.XLOOKUP(Vendas[[#This Row],[ID Item Vendido]],Agregado[ID],Agregado[Revenda])</f>
        <v>192</v>
      </c>
      <c r="I5726" s="3">
        <f>Vendas[[#This Row],[Valor Unitário]]*Vendas[[#This Row],[Qnt Vendida]]</f>
        <v>2880</v>
      </c>
      <c r="J5726" s="3">
        <f>Vendas[[#This Row],[Valor da Venda]]-(_xlfn.XLOOKUP(Vendas[[#This Row],[ID Item Vendido]],Agregado[ID],Agregado[Custo])*Vendas[[#This Row],[Qnt Vendida]])</f>
        <v>630</v>
      </c>
      <c r="K5726" s="70">
        <f>Vendas[[#This Row],[Lucro da Venda]]/Vendas[[#This Row],[Valor da Venda]]</f>
        <v>0.21875</v>
      </c>
      <c r="L5726" s="3">
        <f>_xlfn.IFS(Vendas[[#This Row],[Margem de Lucro (%)]]&lt;15%,Vendas[[#This Row],[Valor da Venda]]*3%,Vendas[[#This Row],[Margem de Lucro (%)]]&lt;=20%,Vendas[[#This Row],[Valor da Venda]]*4.5%,TRUE,Vendas[[#This Row],[Valor da Venda]]*6%)</f>
        <v>172.79999999999998</v>
      </c>
      <c r="M5726"/>
    </row>
    <row r="5727" spans="1:13" x14ac:dyDescent="0.3">
      <c r="A5727" s="7">
        <v>400242</v>
      </c>
      <c r="B5727" t="str">
        <f>_xlfn.XLOOKUP(Vendas[[#This Row],[ID Vendedor]],Vendedores[ID],Vendedores[Nome])</f>
        <v>Fernanda</v>
      </c>
      <c r="C5727" s="7" t="str">
        <f>_xlfn.XLOOKUP(Vendas[[#This Row],[ID Vendedor]],Vendedores[ID],Vendedores[Setor])</f>
        <v>FM</v>
      </c>
      <c r="D5727" s="7" t="s">
        <v>27</v>
      </c>
      <c r="E5727" t="str">
        <f>_xlfn.XLOOKUP(Vendas[[#This Row],[ID Item Vendido]],Agregado[ID],Agregado[Produto])</f>
        <v>Chapa de metal lisa 1x2m</v>
      </c>
      <c r="F5727" s="39">
        <v>46173</v>
      </c>
      <c r="G5727" s="7">
        <v>28</v>
      </c>
      <c r="H5727" s="3">
        <f>_xlfn.XLOOKUP(Vendas[[#This Row],[ID Item Vendido]],Agregado[ID],Agregado[Revenda])</f>
        <v>52</v>
      </c>
      <c r="I5727" s="3">
        <f>Vendas[[#This Row],[Valor Unitário]]*Vendas[[#This Row],[Qnt Vendida]]</f>
        <v>1456</v>
      </c>
      <c r="J5727" s="3">
        <f>Vendas[[#This Row],[Valor da Venda]]-(_xlfn.XLOOKUP(Vendas[[#This Row],[ID Item Vendido]],Agregado[ID],Agregado[Custo])*Vendas[[#This Row],[Qnt Vendida]])</f>
        <v>196</v>
      </c>
      <c r="K5727" s="70">
        <f>Vendas[[#This Row],[Lucro da Venda]]/Vendas[[#This Row],[Valor da Venda]]</f>
        <v>0.13461538461538461</v>
      </c>
      <c r="L5727" s="3">
        <f>_xlfn.IFS(Vendas[[#This Row],[Margem de Lucro (%)]]&lt;15%,Vendas[[#This Row],[Valor da Venda]]*3%,Vendas[[#This Row],[Margem de Lucro (%)]]&lt;=20%,Vendas[[#This Row],[Valor da Venda]]*4.5%,TRUE,Vendas[[#This Row],[Valor da Venda]]*6%)</f>
        <v>43.68</v>
      </c>
      <c r="M5727"/>
    </row>
    <row r="5728" spans="1:13" x14ac:dyDescent="0.3">
      <c r="A5728" s="7">
        <v>400250</v>
      </c>
      <c r="B5728" t="str">
        <f>_xlfn.XLOOKUP(Vendas[[#This Row],[ID Vendedor]],Vendedores[ID],Vendedores[Nome])</f>
        <v>Larissa</v>
      </c>
      <c r="C5728" s="7" t="str">
        <f>_xlfn.XLOOKUP(Vendas[[#This Row],[ID Vendedor]],Vendedores[ID],Vendedores[Setor])</f>
        <v>AB</v>
      </c>
      <c r="D5728" s="7" t="s">
        <v>12</v>
      </c>
      <c r="E5728" t="str">
        <f>_xlfn.XLOOKUP(Vendas[[#This Row],[ID Item Vendido]],Agregado[ID],Agregado[Produto])</f>
        <v>Grânulo de plástico reciclado refinado</v>
      </c>
      <c r="F5728" s="39">
        <v>46173</v>
      </c>
      <c r="G5728" s="7">
        <v>103</v>
      </c>
      <c r="H5728" s="3">
        <f>_xlfn.XLOOKUP(Vendas[[#This Row],[ID Item Vendido]],Agregado[ID],Agregado[Revenda])</f>
        <v>4.7</v>
      </c>
      <c r="I5728" s="3">
        <f>Vendas[[#This Row],[Valor Unitário]]*Vendas[[#This Row],[Qnt Vendida]]</f>
        <v>484.1</v>
      </c>
      <c r="J5728" s="3">
        <f>Vendas[[#This Row],[Valor da Venda]]-(_xlfn.XLOOKUP(Vendas[[#This Row],[ID Item Vendido]],Agregado[ID],Agregado[Custo])*Vendas[[#This Row],[Qnt Vendida]])</f>
        <v>123.60000000000002</v>
      </c>
      <c r="K5728" s="70">
        <f>Vendas[[#This Row],[Lucro da Venda]]/Vendas[[#This Row],[Valor da Venda]]</f>
        <v>0.25531914893617025</v>
      </c>
      <c r="L5728" s="3">
        <f>_xlfn.IFS(Vendas[[#This Row],[Margem de Lucro (%)]]&lt;15%,Vendas[[#This Row],[Valor da Venda]]*3%,Vendas[[#This Row],[Margem de Lucro (%)]]&lt;=20%,Vendas[[#This Row],[Valor da Venda]]*4.5%,TRUE,Vendas[[#This Row],[Valor da Venda]]*6%)</f>
        <v>29.045999999999999</v>
      </c>
      <c r="M5728"/>
    </row>
    <row r="5729" spans="1:13" x14ac:dyDescent="0.3">
      <c r="A5729" s="7">
        <v>400252</v>
      </c>
      <c r="B5729" t="str">
        <f>_xlfn.XLOOKUP(Vendas[[#This Row],[ID Vendedor]],Vendedores[ID],Vendedores[Nome])</f>
        <v>Renata</v>
      </c>
      <c r="C5729" s="7" t="str">
        <f>_xlfn.XLOOKUP(Vendas[[#This Row],[ID Vendedor]],Vendedores[ID],Vendedores[Setor])</f>
        <v>AB</v>
      </c>
      <c r="D5729" s="7" t="s">
        <v>36</v>
      </c>
      <c r="E5729" t="str">
        <f>_xlfn.XLOOKUP(Vendas[[#This Row],[ID Item Vendido]],Agregado[ID],Agregado[Produto])</f>
        <v>Borracha vulcanizada em manta</v>
      </c>
      <c r="F5729" s="39">
        <v>46173</v>
      </c>
      <c r="G5729" s="7">
        <v>16</v>
      </c>
      <c r="H5729" s="3">
        <f>_xlfn.XLOOKUP(Vendas[[#This Row],[ID Item Vendido]],Agregado[ID],Agregado[Revenda])</f>
        <v>7.8</v>
      </c>
      <c r="I5729" s="3">
        <f>Vendas[[#This Row],[Valor Unitário]]*Vendas[[#This Row],[Qnt Vendida]]</f>
        <v>124.8</v>
      </c>
      <c r="J5729" s="3">
        <f>Vendas[[#This Row],[Valor da Venda]]-(_xlfn.XLOOKUP(Vendas[[#This Row],[ID Item Vendido]],Agregado[ID],Agregado[Custo])*Vendas[[#This Row],[Qnt Vendida]])</f>
        <v>28.799999999999997</v>
      </c>
      <c r="K5729" s="70">
        <f>Vendas[[#This Row],[Lucro da Venda]]/Vendas[[#This Row],[Valor da Venda]]</f>
        <v>0.23076923076923075</v>
      </c>
      <c r="L5729" s="3">
        <f>_xlfn.IFS(Vendas[[#This Row],[Margem de Lucro (%)]]&lt;15%,Vendas[[#This Row],[Valor da Venda]]*3%,Vendas[[#This Row],[Margem de Lucro (%)]]&lt;=20%,Vendas[[#This Row],[Valor da Venda]]*4.5%,TRUE,Vendas[[#This Row],[Valor da Venda]]*6%)</f>
        <v>7.4879999999999995</v>
      </c>
      <c r="M5729"/>
    </row>
    <row r="5730" spans="1:13" x14ac:dyDescent="0.3">
      <c r="A5730" s="7">
        <v>400245</v>
      </c>
      <c r="B5730" t="str">
        <f>_xlfn.XLOOKUP(Vendas[[#This Row],[ID Vendedor]],Vendedores[ID],Vendedores[Nome])</f>
        <v>Thiago</v>
      </c>
      <c r="C5730" s="7" t="str">
        <f>_xlfn.XLOOKUP(Vendas[[#This Row],[ID Vendedor]],Vendedores[ID],Vendedores[Setor])</f>
        <v>AHD</v>
      </c>
      <c r="D5730" s="7" t="s">
        <v>30</v>
      </c>
      <c r="E5730" t="str">
        <f>_xlfn.XLOOKUP(Vendas[[#This Row],[ID Item Vendido]],Agregado[ID],Agregado[Produto])</f>
        <v>Estrutura metálica soldada</v>
      </c>
      <c r="F5730" s="39">
        <v>46174</v>
      </c>
      <c r="G5730" s="7">
        <v>7</v>
      </c>
      <c r="H5730" s="3">
        <f>_xlfn.XLOOKUP(Vendas[[#This Row],[ID Item Vendido]],Agregado[ID],Agregado[Revenda])</f>
        <v>400</v>
      </c>
      <c r="I5730" s="3">
        <f>Vendas[[#This Row],[Valor Unitário]]*Vendas[[#This Row],[Qnt Vendida]]</f>
        <v>2800</v>
      </c>
      <c r="J5730" s="3">
        <f>Vendas[[#This Row],[Valor da Venda]]-(_xlfn.XLOOKUP(Vendas[[#This Row],[ID Item Vendido]],Agregado[ID],Agregado[Custo])*Vendas[[#This Row],[Qnt Vendida]])</f>
        <v>560</v>
      </c>
      <c r="K5730" s="70">
        <f>Vendas[[#This Row],[Lucro da Venda]]/Vendas[[#This Row],[Valor da Venda]]</f>
        <v>0.2</v>
      </c>
      <c r="L5730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730"/>
    </row>
    <row r="5731" spans="1:13" x14ac:dyDescent="0.3">
      <c r="A5731" s="7">
        <v>400245</v>
      </c>
      <c r="B5731" t="str">
        <f>_xlfn.XLOOKUP(Vendas[[#This Row],[ID Vendedor]],Vendedores[ID],Vendedores[Nome])</f>
        <v>Thiago</v>
      </c>
      <c r="C5731" s="7" t="str">
        <f>_xlfn.XLOOKUP(Vendas[[#This Row],[ID Vendedor]],Vendedores[ID],Vendedores[Setor])</f>
        <v>AHD</v>
      </c>
      <c r="D5731" s="7" t="s">
        <v>18</v>
      </c>
      <c r="E5731" t="str">
        <f>_xlfn.XLOOKUP(Vendas[[#This Row],[ID Item Vendido]],Agregado[ID],Agregado[Produto])</f>
        <v>Peça forjada sob encomenda</v>
      </c>
      <c r="F5731" s="39">
        <v>46174</v>
      </c>
      <c r="G5731" s="7">
        <v>4</v>
      </c>
      <c r="H5731" s="3">
        <f>_xlfn.XLOOKUP(Vendas[[#This Row],[ID Item Vendido]],Agregado[ID],Agregado[Revenda])</f>
        <v>264.60000000000002</v>
      </c>
      <c r="I5731" s="3">
        <f>Vendas[[#This Row],[Valor Unitário]]*Vendas[[#This Row],[Qnt Vendida]]</f>
        <v>1058.4000000000001</v>
      </c>
      <c r="J5731" s="3">
        <f>Vendas[[#This Row],[Valor da Venda]]-(_xlfn.XLOOKUP(Vendas[[#This Row],[ID Item Vendido]],Agregado[ID],Agregado[Custo])*Vendas[[#This Row],[Qnt Vendida]])</f>
        <v>58.400000000000091</v>
      </c>
      <c r="K5731" s="70">
        <f>Vendas[[#This Row],[Lucro da Venda]]/Vendas[[#This Row],[Valor da Venda]]</f>
        <v>5.5177626606198113E-2</v>
      </c>
      <c r="L5731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731"/>
    </row>
    <row r="5732" spans="1:13" x14ac:dyDescent="0.3">
      <c r="A5732" s="7">
        <v>400247</v>
      </c>
      <c r="B5732" t="str">
        <f>_xlfn.XLOOKUP(Vendas[[#This Row],[ID Vendedor]],Vendedores[ID],Vendedores[Nome])</f>
        <v>André</v>
      </c>
      <c r="C5732" s="7" t="str">
        <f>_xlfn.XLOOKUP(Vendas[[#This Row],[ID Vendedor]],Vendedores[ID],Vendedores[Setor])</f>
        <v>CM</v>
      </c>
      <c r="D5732" s="7" t="s">
        <v>22</v>
      </c>
      <c r="E5732" t="str">
        <f>_xlfn.XLOOKUP(Vendas[[#This Row],[ID Item Vendido]],Agregado[ID],Agregado[Produto])</f>
        <v>Painel MDP 2,75x1,83m</v>
      </c>
      <c r="F5732" s="39">
        <v>46174</v>
      </c>
      <c r="G5732" s="7">
        <v>11</v>
      </c>
      <c r="H5732" s="3">
        <f>_xlfn.XLOOKUP(Vendas[[#This Row],[ID Item Vendido]],Agregado[ID],Agregado[Revenda])</f>
        <v>119</v>
      </c>
      <c r="I5732" s="3">
        <f>Vendas[[#This Row],[Valor Unitário]]*Vendas[[#This Row],[Qnt Vendida]]</f>
        <v>1309</v>
      </c>
      <c r="J5732" s="3">
        <f>Vendas[[#This Row],[Valor da Venda]]-(_xlfn.XLOOKUP(Vendas[[#This Row],[ID Item Vendido]],Agregado[ID],Agregado[Custo])*Vendas[[#This Row],[Qnt Vendida]])</f>
        <v>264</v>
      </c>
      <c r="K5732" s="70">
        <f>Vendas[[#This Row],[Lucro da Venda]]/Vendas[[#This Row],[Valor da Venda]]</f>
        <v>0.20168067226890757</v>
      </c>
      <c r="L5732" s="3">
        <f>_xlfn.IFS(Vendas[[#This Row],[Margem de Lucro (%)]]&lt;15%,Vendas[[#This Row],[Valor da Venda]]*3%,Vendas[[#This Row],[Margem de Lucro (%)]]&lt;=20%,Vendas[[#This Row],[Valor da Venda]]*4.5%,TRUE,Vendas[[#This Row],[Valor da Venda]]*6%)</f>
        <v>78.539999999999992</v>
      </c>
      <c r="M5732"/>
    </row>
    <row r="5733" spans="1:13" x14ac:dyDescent="0.3">
      <c r="A5733" s="7">
        <v>400249</v>
      </c>
      <c r="B5733" t="str">
        <f>_xlfn.XLOOKUP(Vendas[[#This Row],[ID Vendedor]],Vendedores[ID],Vendedores[Nome])</f>
        <v>Bruno</v>
      </c>
      <c r="C5733" s="7" t="str">
        <f>_xlfn.XLOOKUP(Vendas[[#This Row],[ID Vendedor]],Vendedores[ID],Vendedores[Setor])</f>
        <v>CM</v>
      </c>
      <c r="D5733" s="7" t="s">
        <v>32</v>
      </c>
      <c r="E5733" t="str">
        <f>_xlfn.XLOOKUP(Vendas[[#This Row],[ID Item Vendido]],Agregado[ID],Agregado[Produto])</f>
        <v>Tábua tratada e cortada 3m</v>
      </c>
      <c r="F5733" s="39">
        <v>46174</v>
      </c>
      <c r="G5733" s="7">
        <v>23</v>
      </c>
      <c r="H5733" s="3">
        <f>_xlfn.XLOOKUP(Vendas[[#This Row],[ID Item Vendido]],Agregado[ID],Agregado[Revenda])</f>
        <v>39</v>
      </c>
      <c r="I5733" s="3">
        <f>Vendas[[#This Row],[Valor Unitário]]*Vendas[[#This Row],[Qnt Vendida]]</f>
        <v>897</v>
      </c>
      <c r="J5733" s="3">
        <f>Vendas[[#This Row],[Valor da Venda]]-(_xlfn.XLOOKUP(Vendas[[#This Row],[ID Item Vendido]],Agregado[ID],Agregado[Custo])*Vendas[[#This Row],[Qnt Vendida]])</f>
        <v>161</v>
      </c>
      <c r="K5733" s="70">
        <f>Vendas[[#This Row],[Lucro da Venda]]/Vendas[[#This Row],[Valor da Venda]]</f>
        <v>0.17948717948717949</v>
      </c>
      <c r="L5733" s="3">
        <f>_xlfn.IFS(Vendas[[#This Row],[Margem de Lucro (%)]]&lt;15%,Vendas[[#This Row],[Valor da Venda]]*3%,Vendas[[#This Row],[Margem de Lucro (%)]]&lt;=20%,Vendas[[#This Row],[Valor da Venda]]*4.5%,TRUE,Vendas[[#This Row],[Valor da Venda]]*6%)</f>
        <v>40.365000000000002</v>
      </c>
      <c r="M5733"/>
    </row>
    <row r="5734" spans="1:13" x14ac:dyDescent="0.3">
      <c r="A5734" s="7">
        <v>400246</v>
      </c>
      <c r="B5734" t="str">
        <f>_xlfn.XLOOKUP(Vendas[[#This Row],[ID Vendedor]],Vendedores[ID],Vendedores[Nome])</f>
        <v>Juliana</v>
      </c>
      <c r="C5734" s="7" t="str">
        <f>_xlfn.XLOOKUP(Vendas[[#This Row],[ID Vendedor]],Vendedores[ID],Vendedores[Setor])</f>
        <v>AHD</v>
      </c>
      <c r="D5734" s="7" t="s">
        <v>9</v>
      </c>
      <c r="E5734" t="str">
        <f>_xlfn.XLOOKUP(Vendas[[#This Row],[ID Item Vendido]],Agregado[ID],Agregado[Produto])</f>
        <v>Barra de aço simples</v>
      </c>
      <c r="F5734" s="39">
        <v>46174</v>
      </c>
      <c r="G5734" s="7">
        <v>41</v>
      </c>
      <c r="H5734" s="3">
        <f>_xlfn.XLOOKUP(Vendas[[#This Row],[ID Item Vendido]],Agregado[ID],Agregado[Revenda])</f>
        <v>6.7</v>
      </c>
      <c r="I5734" s="3">
        <f>Vendas[[#This Row],[Valor Unitário]]*Vendas[[#This Row],[Qnt Vendida]]</f>
        <v>274.7</v>
      </c>
      <c r="J5734" s="3">
        <f>Vendas[[#This Row],[Valor da Venda]]-(_xlfn.XLOOKUP(Vendas[[#This Row],[ID Item Vendido]],Agregado[ID],Agregado[Custo])*Vendas[[#This Row],[Qnt Vendida]])</f>
        <v>36.900000000000006</v>
      </c>
      <c r="K5734" s="70">
        <f>Vendas[[#This Row],[Lucro da Venda]]/Vendas[[#This Row],[Valor da Venda]]</f>
        <v>0.13432835820895525</v>
      </c>
      <c r="L5734" s="3">
        <f>_xlfn.IFS(Vendas[[#This Row],[Margem de Lucro (%)]]&lt;15%,Vendas[[#This Row],[Valor da Venda]]*3%,Vendas[[#This Row],[Margem de Lucro (%)]]&lt;=20%,Vendas[[#This Row],[Valor da Venda]]*4.5%,TRUE,Vendas[[#This Row],[Valor da Venda]]*6%)</f>
        <v>8.2409999999999997</v>
      </c>
      <c r="M5734"/>
    </row>
    <row r="5735" spans="1:13" x14ac:dyDescent="0.3">
      <c r="A5735" s="7">
        <v>400243</v>
      </c>
      <c r="B5735" t="str">
        <f>_xlfn.XLOOKUP(Vendas[[#This Row],[ID Vendedor]],Vendedores[ID],Vendedores[Nome])</f>
        <v>Marcelo</v>
      </c>
      <c r="C5735" s="7" t="str">
        <f>_xlfn.XLOOKUP(Vendas[[#This Row],[ID Vendedor]],Vendedores[ID],Vendedores[Setor])</f>
        <v>FM</v>
      </c>
      <c r="D5735" s="7" t="s">
        <v>27</v>
      </c>
      <c r="E5735" t="str">
        <f>_xlfn.XLOOKUP(Vendas[[#This Row],[ID Item Vendido]],Agregado[ID],Agregado[Produto])</f>
        <v>Chapa de metal lisa 1x2m</v>
      </c>
      <c r="F5735" s="39">
        <v>46174</v>
      </c>
      <c r="G5735" s="7">
        <v>2</v>
      </c>
      <c r="H5735" s="3">
        <f>_xlfn.XLOOKUP(Vendas[[#This Row],[ID Item Vendido]],Agregado[ID],Agregado[Revenda])</f>
        <v>52</v>
      </c>
      <c r="I5735" s="3">
        <f>Vendas[[#This Row],[Valor Unitário]]*Vendas[[#This Row],[Qnt Vendida]]</f>
        <v>104</v>
      </c>
      <c r="J5735" s="3">
        <f>Vendas[[#This Row],[Valor da Venda]]-(_xlfn.XLOOKUP(Vendas[[#This Row],[ID Item Vendido]],Agregado[ID],Agregado[Custo])*Vendas[[#This Row],[Qnt Vendida]])</f>
        <v>14</v>
      </c>
      <c r="K5735" s="70">
        <f>Vendas[[#This Row],[Lucro da Venda]]/Vendas[[#This Row],[Valor da Venda]]</f>
        <v>0.13461538461538461</v>
      </c>
      <c r="L5735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5735"/>
    </row>
    <row r="5736" spans="1:13" x14ac:dyDescent="0.3">
      <c r="A5736" s="7">
        <v>400242</v>
      </c>
      <c r="B5736" t="str">
        <f>_xlfn.XLOOKUP(Vendas[[#This Row],[ID Vendedor]],Vendedores[ID],Vendedores[Nome])</f>
        <v>Fernanda</v>
      </c>
      <c r="C5736" s="7" t="str">
        <f>_xlfn.XLOOKUP(Vendas[[#This Row],[ID Vendedor]],Vendedores[ID],Vendedores[Setor])</f>
        <v>FM</v>
      </c>
      <c r="D5736" s="7" t="s">
        <v>6</v>
      </c>
      <c r="E5736" t="str">
        <f>_xlfn.XLOOKUP(Vendas[[#This Row],[ID Item Vendido]],Agregado[ID],Agregado[Produto])</f>
        <v>Parafuso comum 500un</v>
      </c>
      <c r="F5736" s="39">
        <v>46175</v>
      </c>
      <c r="G5736" s="7">
        <v>5</v>
      </c>
      <c r="H5736" s="3">
        <f>_xlfn.XLOOKUP(Vendas[[#This Row],[ID Item Vendido]],Agregado[ID],Agregado[Revenda])</f>
        <v>24.6</v>
      </c>
      <c r="I5736" s="3">
        <f>Vendas[[#This Row],[Valor Unitário]]*Vendas[[#This Row],[Qnt Vendida]]</f>
        <v>123</v>
      </c>
      <c r="J5736" s="3">
        <f>Vendas[[#This Row],[Valor da Venda]]-(_xlfn.XLOOKUP(Vendas[[#This Row],[ID Item Vendido]],Agregado[ID],Agregado[Custo])*Vendas[[#This Row],[Qnt Vendida]])</f>
        <v>13</v>
      </c>
      <c r="K5736" s="70">
        <f>Vendas[[#This Row],[Lucro da Venda]]/Vendas[[#This Row],[Valor da Venda]]</f>
        <v>0.10569105691056911</v>
      </c>
      <c r="L5736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5736"/>
    </row>
    <row r="5737" spans="1:13" x14ac:dyDescent="0.3">
      <c r="A5737" s="7">
        <v>400249</v>
      </c>
      <c r="B5737" t="str">
        <f>_xlfn.XLOOKUP(Vendas[[#This Row],[ID Vendedor]],Vendedores[ID],Vendedores[Nome])</f>
        <v>Bruno</v>
      </c>
      <c r="C5737" s="7" t="str">
        <f>_xlfn.XLOOKUP(Vendas[[#This Row],[ID Vendedor]],Vendedores[ID],Vendedores[Setor])</f>
        <v>CM</v>
      </c>
      <c r="D5737" s="7" t="s">
        <v>43</v>
      </c>
      <c r="E5737" t="str">
        <f>_xlfn.XLOOKUP(Vendas[[#This Row],[ID Item Vendido]],Agregado[ID],Agregado[Produto])</f>
        <v>Madeira Bruta (Tora)</v>
      </c>
      <c r="F5737" s="39">
        <v>46176</v>
      </c>
      <c r="G5737" s="7">
        <v>11</v>
      </c>
      <c r="H5737" s="3">
        <f>_xlfn.XLOOKUP(Vendas[[#This Row],[ID Item Vendido]],Agregado[ID],Agregado[Revenda])</f>
        <v>212</v>
      </c>
      <c r="I5737" s="3">
        <f>Vendas[[#This Row],[Valor Unitário]]*Vendas[[#This Row],[Qnt Vendida]]</f>
        <v>2332</v>
      </c>
      <c r="J5737" s="3">
        <f>Vendas[[#This Row],[Valor da Venda]]-(_xlfn.XLOOKUP(Vendas[[#This Row],[ID Item Vendido]],Agregado[ID],Agregado[Custo])*Vendas[[#This Row],[Qnt Vendida]])</f>
        <v>352</v>
      </c>
      <c r="K5737" s="70">
        <f>Vendas[[#This Row],[Lucro da Venda]]/Vendas[[#This Row],[Valor da Venda]]</f>
        <v>0.15094339622641509</v>
      </c>
      <c r="L5737" s="3">
        <f>_xlfn.IFS(Vendas[[#This Row],[Margem de Lucro (%)]]&lt;15%,Vendas[[#This Row],[Valor da Venda]]*3%,Vendas[[#This Row],[Margem de Lucro (%)]]&lt;=20%,Vendas[[#This Row],[Valor da Venda]]*4.5%,TRUE,Vendas[[#This Row],[Valor da Venda]]*6%)</f>
        <v>104.94</v>
      </c>
      <c r="M5737"/>
    </row>
    <row r="5738" spans="1:13" x14ac:dyDescent="0.3">
      <c r="A5738" s="7">
        <v>400251</v>
      </c>
      <c r="B5738" t="str">
        <f>_xlfn.XLOOKUP(Vendas[[#This Row],[ID Vendedor]],Vendedores[ID],Vendedores[Nome])</f>
        <v>Diego</v>
      </c>
      <c r="C5738" s="7" t="str">
        <f>_xlfn.XLOOKUP(Vendas[[#This Row],[ID Vendedor]],Vendedores[ID],Vendedores[Setor])</f>
        <v>AB</v>
      </c>
      <c r="D5738" s="7" t="s">
        <v>12</v>
      </c>
      <c r="E5738" t="str">
        <f>_xlfn.XLOOKUP(Vendas[[#This Row],[ID Item Vendido]],Agregado[ID],Agregado[Produto])</f>
        <v>Grânulo de plástico reciclado refinado</v>
      </c>
      <c r="F5738" s="39">
        <v>46176</v>
      </c>
      <c r="G5738" s="7">
        <v>24</v>
      </c>
      <c r="H5738" s="3">
        <f>_xlfn.XLOOKUP(Vendas[[#This Row],[ID Item Vendido]],Agregado[ID],Agregado[Revenda])</f>
        <v>4.7</v>
      </c>
      <c r="I5738" s="3">
        <f>Vendas[[#This Row],[Valor Unitário]]*Vendas[[#This Row],[Qnt Vendida]]</f>
        <v>112.80000000000001</v>
      </c>
      <c r="J5738" s="3">
        <f>Vendas[[#This Row],[Valor da Venda]]-(_xlfn.XLOOKUP(Vendas[[#This Row],[ID Item Vendido]],Agregado[ID],Agregado[Custo])*Vendas[[#This Row],[Qnt Vendida]])</f>
        <v>28.800000000000011</v>
      </c>
      <c r="K5738" s="70">
        <f>Vendas[[#This Row],[Lucro da Venda]]/Vendas[[#This Row],[Valor da Venda]]</f>
        <v>0.2553191489361703</v>
      </c>
      <c r="L5738" s="3">
        <f>_xlfn.IFS(Vendas[[#This Row],[Margem de Lucro (%)]]&lt;15%,Vendas[[#This Row],[Valor da Venda]]*3%,Vendas[[#This Row],[Margem de Lucro (%)]]&lt;=20%,Vendas[[#This Row],[Valor da Venda]]*4.5%,TRUE,Vendas[[#This Row],[Valor da Venda]]*6%)</f>
        <v>6.7680000000000007</v>
      </c>
      <c r="M5738"/>
    </row>
    <row r="5739" spans="1:13" x14ac:dyDescent="0.3">
      <c r="A5739" s="7">
        <v>400248</v>
      </c>
      <c r="B5739" t="str">
        <f>_xlfn.XLOOKUP(Vendas[[#This Row],[ID Vendedor]],Vendedores[ID],Vendedores[Nome])</f>
        <v>Patrícia</v>
      </c>
      <c r="C5739" s="7" t="str">
        <f>_xlfn.XLOOKUP(Vendas[[#This Row],[ID Vendedor]],Vendedores[ID],Vendedores[Setor])</f>
        <v>CM</v>
      </c>
      <c r="D5739" s="7" t="s">
        <v>34</v>
      </c>
      <c r="E5739" t="str">
        <f>_xlfn.XLOOKUP(Vendas[[#This Row],[ID Item Vendido]],Agregado[ID],Agregado[Produto])</f>
        <v>Restos de madeira p/ MDP/OSB saco de 20kg</v>
      </c>
      <c r="F5739" s="39">
        <v>46177</v>
      </c>
      <c r="G5739" s="7">
        <v>29</v>
      </c>
      <c r="H5739" s="3">
        <f>_xlfn.XLOOKUP(Vendas[[#This Row],[ID Item Vendido]],Agregado[ID],Agregado[Revenda])</f>
        <v>13.8</v>
      </c>
      <c r="I5739" s="3">
        <f>Vendas[[#This Row],[Valor Unitário]]*Vendas[[#This Row],[Qnt Vendida]]</f>
        <v>400.20000000000005</v>
      </c>
      <c r="J5739" s="3">
        <f>Vendas[[#This Row],[Valor da Venda]]-(_xlfn.XLOOKUP(Vendas[[#This Row],[ID Item Vendido]],Agregado[ID],Agregado[Custo])*Vendas[[#This Row],[Qnt Vendida]])</f>
        <v>52.200000000000045</v>
      </c>
      <c r="K5739" s="70">
        <f>Vendas[[#This Row],[Lucro da Venda]]/Vendas[[#This Row],[Valor da Venda]]</f>
        <v>0.13043478260869576</v>
      </c>
      <c r="L5739" s="3">
        <f>_xlfn.IFS(Vendas[[#This Row],[Margem de Lucro (%)]]&lt;15%,Vendas[[#This Row],[Valor da Venda]]*3%,Vendas[[#This Row],[Margem de Lucro (%)]]&lt;=20%,Vendas[[#This Row],[Valor da Venda]]*4.5%,TRUE,Vendas[[#This Row],[Valor da Venda]]*6%)</f>
        <v>12.006</v>
      </c>
      <c r="M5739"/>
    </row>
    <row r="5740" spans="1:13" x14ac:dyDescent="0.3">
      <c r="A5740" s="7">
        <v>400252</v>
      </c>
      <c r="B5740" t="str">
        <f>_xlfn.XLOOKUP(Vendas[[#This Row],[ID Vendedor]],Vendedores[ID],Vendedores[Nome])</f>
        <v>Renata</v>
      </c>
      <c r="C5740" s="7" t="str">
        <f>_xlfn.XLOOKUP(Vendas[[#This Row],[ID Vendedor]],Vendedores[ID],Vendedores[Setor])</f>
        <v>AB</v>
      </c>
      <c r="D5740" s="7" t="s">
        <v>12</v>
      </c>
      <c r="E5740" t="str">
        <f>_xlfn.XLOOKUP(Vendas[[#This Row],[ID Item Vendido]],Agregado[ID],Agregado[Produto])</f>
        <v>Grânulo de plástico reciclado refinado</v>
      </c>
      <c r="F5740" s="39">
        <v>46178</v>
      </c>
      <c r="G5740" s="7">
        <v>137</v>
      </c>
      <c r="H5740" s="3">
        <f>_xlfn.XLOOKUP(Vendas[[#This Row],[ID Item Vendido]],Agregado[ID],Agregado[Revenda])</f>
        <v>4.7</v>
      </c>
      <c r="I5740" s="3">
        <f>Vendas[[#This Row],[Valor Unitário]]*Vendas[[#This Row],[Qnt Vendida]]</f>
        <v>643.9</v>
      </c>
      <c r="J5740" s="3">
        <f>Vendas[[#This Row],[Valor da Venda]]-(_xlfn.XLOOKUP(Vendas[[#This Row],[ID Item Vendido]],Agregado[ID],Agregado[Custo])*Vendas[[#This Row],[Qnt Vendida]])</f>
        <v>164.39999999999998</v>
      </c>
      <c r="K5740" s="70">
        <f>Vendas[[#This Row],[Lucro da Venda]]/Vendas[[#This Row],[Valor da Venda]]</f>
        <v>0.25531914893617019</v>
      </c>
      <c r="L5740" s="3">
        <f>_xlfn.IFS(Vendas[[#This Row],[Margem de Lucro (%)]]&lt;15%,Vendas[[#This Row],[Valor da Venda]]*3%,Vendas[[#This Row],[Margem de Lucro (%)]]&lt;=20%,Vendas[[#This Row],[Valor da Venda]]*4.5%,TRUE,Vendas[[#This Row],[Valor da Venda]]*6%)</f>
        <v>38.634</v>
      </c>
      <c r="M5740"/>
    </row>
    <row r="5741" spans="1:13" x14ac:dyDescent="0.3">
      <c r="A5741" s="7">
        <v>400246</v>
      </c>
      <c r="B5741" t="str">
        <f>_xlfn.XLOOKUP(Vendas[[#This Row],[ID Vendedor]],Vendedores[ID],Vendedores[Nome])</f>
        <v>Juliana</v>
      </c>
      <c r="C5741" s="7" t="str">
        <f>_xlfn.XLOOKUP(Vendas[[#This Row],[ID Vendedor]],Vendedores[ID],Vendedores[Setor])</f>
        <v>AHD</v>
      </c>
      <c r="D5741" s="7" t="s">
        <v>9</v>
      </c>
      <c r="E5741" t="str">
        <f>_xlfn.XLOOKUP(Vendas[[#This Row],[ID Item Vendido]],Agregado[ID],Agregado[Produto])</f>
        <v>Barra de aço simples</v>
      </c>
      <c r="F5741" s="39">
        <v>46179</v>
      </c>
      <c r="G5741" s="7">
        <v>133</v>
      </c>
      <c r="H5741" s="3">
        <f>_xlfn.XLOOKUP(Vendas[[#This Row],[ID Item Vendido]],Agregado[ID],Agregado[Revenda])</f>
        <v>6.7</v>
      </c>
      <c r="I5741" s="3">
        <f>Vendas[[#This Row],[Valor Unitário]]*Vendas[[#This Row],[Qnt Vendida]]</f>
        <v>891.1</v>
      </c>
      <c r="J5741" s="3">
        <f>Vendas[[#This Row],[Valor da Venda]]-(_xlfn.XLOOKUP(Vendas[[#This Row],[ID Item Vendido]],Agregado[ID],Agregado[Custo])*Vendas[[#This Row],[Qnt Vendida]])</f>
        <v>119.70000000000005</v>
      </c>
      <c r="K5741" s="70">
        <f>Vendas[[#This Row],[Lucro da Venda]]/Vendas[[#This Row],[Valor da Venda]]</f>
        <v>0.13432835820895528</v>
      </c>
      <c r="L5741" s="3">
        <f>_xlfn.IFS(Vendas[[#This Row],[Margem de Lucro (%)]]&lt;15%,Vendas[[#This Row],[Valor da Venda]]*3%,Vendas[[#This Row],[Margem de Lucro (%)]]&lt;=20%,Vendas[[#This Row],[Valor da Venda]]*4.5%,TRUE,Vendas[[#This Row],[Valor da Venda]]*6%)</f>
        <v>26.733000000000001</v>
      </c>
      <c r="M5741"/>
    </row>
    <row r="5742" spans="1:13" x14ac:dyDescent="0.3">
      <c r="A5742" s="7">
        <v>400245</v>
      </c>
      <c r="B5742" t="str">
        <f>_xlfn.XLOOKUP(Vendas[[#This Row],[ID Vendedor]],Vendedores[ID],Vendedores[Nome])</f>
        <v>Thiago</v>
      </c>
      <c r="C5742" s="7" t="str">
        <f>_xlfn.XLOOKUP(Vendas[[#This Row],[ID Vendedor]],Vendedores[ID],Vendedores[Setor])</f>
        <v>AHD</v>
      </c>
      <c r="D5742" s="7" t="s">
        <v>9</v>
      </c>
      <c r="E5742" t="str">
        <f>_xlfn.XLOOKUP(Vendas[[#This Row],[ID Item Vendido]],Agregado[ID],Agregado[Produto])</f>
        <v>Barra de aço simples</v>
      </c>
      <c r="F5742" s="39">
        <v>46179</v>
      </c>
      <c r="G5742" s="7">
        <v>97</v>
      </c>
      <c r="H5742" s="3">
        <f>_xlfn.XLOOKUP(Vendas[[#This Row],[ID Item Vendido]],Agregado[ID],Agregado[Revenda])</f>
        <v>6.7</v>
      </c>
      <c r="I5742" s="3">
        <f>Vendas[[#This Row],[Valor Unitário]]*Vendas[[#This Row],[Qnt Vendida]]</f>
        <v>649.9</v>
      </c>
      <c r="J5742" s="3">
        <f>Vendas[[#This Row],[Valor da Venda]]-(_xlfn.XLOOKUP(Vendas[[#This Row],[ID Item Vendido]],Agregado[ID],Agregado[Custo])*Vendas[[#This Row],[Qnt Vendida]])</f>
        <v>87.299999999999955</v>
      </c>
      <c r="K5742" s="70">
        <f>Vendas[[#This Row],[Lucro da Venda]]/Vendas[[#This Row],[Valor da Venda]]</f>
        <v>0.13432835820895517</v>
      </c>
      <c r="L5742" s="3">
        <f>_xlfn.IFS(Vendas[[#This Row],[Margem de Lucro (%)]]&lt;15%,Vendas[[#This Row],[Valor da Venda]]*3%,Vendas[[#This Row],[Margem de Lucro (%)]]&lt;=20%,Vendas[[#This Row],[Valor da Venda]]*4.5%,TRUE,Vendas[[#This Row],[Valor da Venda]]*6%)</f>
        <v>19.497</v>
      </c>
      <c r="M5742"/>
    </row>
    <row r="5743" spans="1:13" x14ac:dyDescent="0.3">
      <c r="A5743" s="7">
        <v>400242</v>
      </c>
      <c r="B5743" t="str">
        <f>_xlfn.XLOOKUP(Vendas[[#This Row],[ID Vendedor]],Vendedores[ID],Vendedores[Nome])</f>
        <v>Fernanda</v>
      </c>
      <c r="C5743" s="7" t="str">
        <f>_xlfn.XLOOKUP(Vendas[[#This Row],[ID Vendedor]],Vendedores[ID],Vendedores[Setor])</f>
        <v>FM</v>
      </c>
      <c r="D5743" s="7" t="s">
        <v>27</v>
      </c>
      <c r="E5743" t="str">
        <f>_xlfn.XLOOKUP(Vendas[[#This Row],[ID Item Vendido]],Agregado[ID],Agregado[Produto])</f>
        <v>Chapa de metal lisa 1x2m</v>
      </c>
      <c r="F5743" s="39">
        <v>46180</v>
      </c>
      <c r="G5743" s="7">
        <v>27</v>
      </c>
      <c r="H5743" s="3">
        <f>_xlfn.XLOOKUP(Vendas[[#This Row],[ID Item Vendido]],Agregado[ID],Agregado[Revenda])</f>
        <v>52</v>
      </c>
      <c r="I5743" s="3">
        <f>Vendas[[#This Row],[Valor Unitário]]*Vendas[[#This Row],[Qnt Vendida]]</f>
        <v>1404</v>
      </c>
      <c r="J5743" s="3">
        <f>Vendas[[#This Row],[Valor da Venda]]-(_xlfn.XLOOKUP(Vendas[[#This Row],[ID Item Vendido]],Agregado[ID],Agregado[Custo])*Vendas[[#This Row],[Qnt Vendida]])</f>
        <v>189</v>
      </c>
      <c r="K5743" s="70">
        <f>Vendas[[#This Row],[Lucro da Venda]]/Vendas[[#This Row],[Valor da Venda]]</f>
        <v>0.13461538461538461</v>
      </c>
      <c r="L5743" s="3">
        <f>_xlfn.IFS(Vendas[[#This Row],[Margem de Lucro (%)]]&lt;15%,Vendas[[#This Row],[Valor da Venda]]*3%,Vendas[[#This Row],[Margem de Lucro (%)]]&lt;=20%,Vendas[[#This Row],[Valor da Venda]]*4.5%,TRUE,Vendas[[#This Row],[Valor da Venda]]*6%)</f>
        <v>42.12</v>
      </c>
      <c r="M5743"/>
    </row>
    <row r="5744" spans="1:13" x14ac:dyDescent="0.3">
      <c r="A5744" s="7">
        <v>400252</v>
      </c>
      <c r="B5744" t="str">
        <f>_xlfn.XLOOKUP(Vendas[[#This Row],[ID Vendedor]],Vendedores[ID],Vendedores[Nome])</f>
        <v>Renata</v>
      </c>
      <c r="C5744" s="7" t="str">
        <f>_xlfn.XLOOKUP(Vendas[[#This Row],[ID Vendedor]],Vendedores[ID],Vendedores[Setor])</f>
        <v>AB</v>
      </c>
      <c r="D5744" s="7" t="s">
        <v>36</v>
      </c>
      <c r="E5744" t="str">
        <f>_xlfn.XLOOKUP(Vendas[[#This Row],[ID Item Vendido]],Agregado[ID],Agregado[Produto])</f>
        <v>Borracha vulcanizada em manta</v>
      </c>
      <c r="F5744" s="39">
        <v>46180</v>
      </c>
      <c r="G5744" s="7">
        <v>63</v>
      </c>
      <c r="H5744" s="3">
        <f>_xlfn.XLOOKUP(Vendas[[#This Row],[ID Item Vendido]],Agregado[ID],Agregado[Revenda])</f>
        <v>7.8</v>
      </c>
      <c r="I5744" s="3">
        <f>Vendas[[#This Row],[Valor Unitário]]*Vendas[[#This Row],[Qnt Vendida]]</f>
        <v>491.4</v>
      </c>
      <c r="J5744" s="3">
        <f>Vendas[[#This Row],[Valor da Venda]]-(_xlfn.XLOOKUP(Vendas[[#This Row],[ID Item Vendido]],Agregado[ID],Agregado[Custo])*Vendas[[#This Row],[Qnt Vendida]])</f>
        <v>113.39999999999998</v>
      </c>
      <c r="K5744" s="70">
        <f>Vendas[[#This Row],[Lucro da Venda]]/Vendas[[#This Row],[Valor da Venda]]</f>
        <v>0.23076923076923073</v>
      </c>
      <c r="L5744" s="3">
        <f>_xlfn.IFS(Vendas[[#This Row],[Margem de Lucro (%)]]&lt;15%,Vendas[[#This Row],[Valor da Venda]]*3%,Vendas[[#This Row],[Margem de Lucro (%)]]&lt;=20%,Vendas[[#This Row],[Valor da Venda]]*4.5%,TRUE,Vendas[[#This Row],[Valor da Venda]]*6%)</f>
        <v>29.483999999999998</v>
      </c>
      <c r="M5744"/>
    </row>
    <row r="5745" spans="1:13" x14ac:dyDescent="0.3">
      <c r="A5745" s="7">
        <v>400246</v>
      </c>
      <c r="B5745" t="str">
        <f>_xlfn.XLOOKUP(Vendas[[#This Row],[ID Vendedor]],Vendedores[ID],Vendedores[Nome])</f>
        <v>Juliana</v>
      </c>
      <c r="C5745" s="7" t="str">
        <f>_xlfn.XLOOKUP(Vendas[[#This Row],[ID Vendedor]],Vendedores[ID],Vendedores[Setor])</f>
        <v>AHD</v>
      </c>
      <c r="D5745" s="7" t="s">
        <v>9</v>
      </c>
      <c r="E5745" t="str">
        <f>_xlfn.XLOOKUP(Vendas[[#This Row],[ID Item Vendido]],Agregado[ID],Agregado[Produto])</f>
        <v>Barra de aço simples</v>
      </c>
      <c r="F5745" s="39">
        <v>46180</v>
      </c>
      <c r="G5745" s="7">
        <v>37</v>
      </c>
      <c r="H5745" s="3">
        <f>_xlfn.XLOOKUP(Vendas[[#This Row],[ID Item Vendido]],Agregado[ID],Agregado[Revenda])</f>
        <v>6.7</v>
      </c>
      <c r="I5745" s="3">
        <f>Vendas[[#This Row],[Valor Unitário]]*Vendas[[#This Row],[Qnt Vendida]]</f>
        <v>247.9</v>
      </c>
      <c r="J5745" s="3">
        <f>Vendas[[#This Row],[Valor da Venda]]-(_xlfn.XLOOKUP(Vendas[[#This Row],[ID Item Vendido]],Agregado[ID],Agregado[Custo])*Vendas[[#This Row],[Qnt Vendida]])</f>
        <v>33.300000000000011</v>
      </c>
      <c r="K5745" s="70">
        <f>Vendas[[#This Row],[Lucro da Venda]]/Vendas[[#This Row],[Valor da Venda]]</f>
        <v>0.13432835820895528</v>
      </c>
      <c r="L5745" s="3">
        <f>_xlfn.IFS(Vendas[[#This Row],[Margem de Lucro (%)]]&lt;15%,Vendas[[#This Row],[Valor da Venda]]*3%,Vendas[[#This Row],[Margem de Lucro (%)]]&lt;=20%,Vendas[[#This Row],[Valor da Venda]]*4.5%,TRUE,Vendas[[#This Row],[Valor da Venda]]*6%)</f>
        <v>7.4370000000000003</v>
      </c>
      <c r="M5745"/>
    </row>
    <row r="5746" spans="1:13" x14ac:dyDescent="0.3">
      <c r="A5746" s="7">
        <v>400247</v>
      </c>
      <c r="B5746" t="str">
        <f>_xlfn.XLOOKUP(Vendas[[#This Row],[ID Vendedor]],Vendedores[ID],Vendedores[Nome])</f>
        <v>André</v>
      </c>
      <c r="C5746" s="7" t="str">
        <f>_xlfn.XLOOKUP(Vendas[[#This Row],[ID Vendedor]],Vendedores[ID],Vendedores[Setor])</f>
        <v>CM</v>
      </c>
      <c r="D5746" s="7" t="s">
        <v>22</v>
      </c>
      <c r="E5746" t="str">
        <f>_xlfn.XLOOKUP(Vendas[[#This Row],[ID Item Vendido]],Agregado[ID],Agregado[Produto])</f>
        <v>Painel MDP 2,75x1,83m</v>
      </c>
      <c r="F5746" s="39">
        <v>46181</v>
      </c>
      <c r="G5746" s="7">
        <v>19</v>
      </c>
      <c r="H5746" s="3">
        <f>_xlfn.XLOOKUP(Vendas[[#This Row],[ID Item Vendido]],Agregado[ID],Agregado[Revenda])</f>
        <v>119</v>
      </c>
      <c r="I5746" s="3">
        <f>Vendas[[#This Row],[Valor Unitário]]*Vendas[[#This Row],[Qnt Vendida]]</f>
        <v>2261</v>
      </c>
      <c r="J5746" s="3">
        <f>Vendas[[#This Row],[Valor da Venda]]-(_xlfn.XLOOKUP(Vendas[[#This Row],[ID Item Vendido]],Agregado[ID],Agregado[Custo])*Vendas[[#This Row],[Qnt Vendida]])</f>
        <v>456</v>
      </c>
      <c r="K5746" s="70">
        <f>Vendas[[#This Row],[Lucro da Venda]]/Vendas[[#This Row],[Valor da Venda]]</f>
        <v>0.20168067226890757</v>
      </c>
      <c r="L5746" s="3">
        <f>_xlfn.IFS(Vendas[[#This Row],[Margem de Lucro (%)]]&lt;15%,Vendas[[#This Row],[Valor da Venda]]*3%,Vendas[[#This Row],[Margem de Lucro (%)]]&lt;=20%,Vendas[[#This Row],[Valor da Venda]]*4.5%,TRUE,Vendas[[#This Row],[Valor da Venda]]*6%)</f>
        <v>135.66</v>
      </c>
      <c r="M5746"/>
    </row>
    <row r="5747" spans="1:13" x14ac:dyDescent="0.3">
      <c r="A5747" s="7">
        <v>400244</v>
      </c>
      <c r="B5747" t="str">
        <f>_xlfn.XLOOKUP(Vendas[[#This Row],[ID Vendedor]],Vendedores[ID],Vendedores[Nome])</f>
        <v>Camila</v>
      </c>
      <c r="C5747" s="7" t="str">
        <f>_xlfn.XLOOKUP(Vendas[[#This Row],[ID Vendedor]],Vendedores[ID],Vendedores[Setor])</f>
        <v>AHD</v>
      </c>
      <c r="D5747" s="7" t="s">
        <v>44</v>
      </c>
      <c r="E5747" t="str">
        <f>_xlfn.XLOOKUP(Vendas[[#This Row],[ID Item Vendido]],Agregado[ID],Agregado[Produto])</f>
        <v>Liga metálica especial</v>
      </c>
      <c r="F5747" s="39">
        <v>46181</v>
      </c>
      <c r="G5747" s="7">
        <v>55</v>
      </c>
      <c r="H5747" s="3">
        <f>_xlfn.XLOOKUP(Vendas[[#This Row],[ID Item Vendido]],Agregado[ID],Agregado[Revenda])</f>
        <v>32.5</v>
      </c>
      <c r="I5747" s="3">
        <f>Vendas[[#This Row],[Valor Unitário]]*Vendas[[#This Row],[Qnt Vendida]]</f>
        <v>1787.5</v>
      </c>
      <c r="J5747" s="3">
        <f>Vendas[[#This Row],[Valor da Venda]]-(_xlfn.XLOOKUP(Vendas[[#This Row],[ID Item Vendido]],Agregado[ID],Agregado[Custo])*Vendas[[#This Row],[Qnt Vendida]])</f>
        <v>412.5</v>
      </c>
      <c r="K5747" s="70">
        <f>Vendas[[#This Row],[Lucro da Venda]]/Vendas[[#This Row],[Valor da Venda]]</f>
        <v>0.23076923076923078</v>
      </c>
      <c r="L5747" s="3">
        <f>_xlfn.IFS(Vendas[[#This Row],[Margem de Lucro (%)]]&lt;15%,Vendas[[#This Row],[Valor da Venda]]*3%,Vendas[[#This Row],[Margem de Lucro (%)]]&lt;=20%,Vendas[[#This Row],[Valor da Venda]]*4.5%,TRUE,Vendas[[#This Row],[Valor da Venda]]*6%)</f>
        <v>107.25</v>
      </c>
      <c r="M5747"/>
    </row>
    <row r="5748" spans="1:13" x14ac:dyDescent="0.3">
      <c r="A5748" s="7">
        <v>400246</v>
      </c>
      <c r="B5748" t="str">
        <f>_xlfn.XLOOKUP(Vendas[[#This Row],[ID Vendedor]],Vendedores[ID],Vendedores[Nome])</f>
        <v>Juliana</v>
      </c>
      <c r="C5748" s="7" t="str">
        <f>_xlfn.XLOOKUP(Vendas[[#This Row],[ID Vendedor]],Vendedores[ID],Vendedores[Setor])</f>
        <v>AHD</v>
      </c>
      <c r="D5748" s="7" t="s">
        <v>44</v>
      </c>
      <c r="E5748" t="str">
        <f>_xlfn.XLOOKUP(Vendas[[#This Row],[ID Item Vendido]],Agregado[ID],Agregado[Produto])</f>
        <v>Liga metálica especial</v>
      </c>
      <c r="F5748" s="39">
        <v>46181</v>
      </c>
      <c r="G5748" s="7">
        <v>37</v>
      </c>
      <c r="H5748" s="3">
        <f>_xlfn.XLOOKUP(Vendas[[#This Row],[ID Item Vendido]],Agregado[ID],Agregado[Revenda])</f>
        <v>32.5</v>
      </c>
      <c r="I5748" s="3">
        <f>Vendas[[#This Row],[Valor Unitário]]*Vendas[[#This Row],[Qnt Vendida]]</f>
        <v>1202.5</v>
      </c>
      <c r="J5748" s="3">
        <f>Vendas[[#This Row],[Valor da Venda]]-(_xlfn.XLOOKUP(Vendas[[#This Row],[ID Item Vendido]],Agregado[ID],Agregado[Custo])*Vendas[[#This Row],[Qnt Vendida]])</f>
        <v>277.5</v>
      </c>
      <c r="K5748" s="70">
        <f>Vendas[[#This Row],[Lucro da Venda]]/Vendas[[#This Row],[Valor da Venda]]</f>
        <v>0.23076923076923078</v>
      </c>
      <c r="L5748" s="3">
        <f>_xlfn.IFS(Vendas[[#This Row],[Margem de Lucro (%)]]&lt;15%,Vendas[[#This Row],[Valor da Venda]]*3%,Vendas[[#This Row],[Margem de Lucro (%)]]&lt;=20%,Vendas[[#This Row],[Valor da Venda]]*4.5%,TRUE,Vendas[[#This Row],[Valor da Venda]]*6%)</f>
        <v>72.149999999999991</v>
      </c>
      <c r="M5748"/>
    </row>
    <row r="5749" spans="1:13" x14ac:dyDescent="0.3">
      <c r="A5749" s="7">
        <v>400252</v>
      </c>
      <c r="B5749" t="str">
        <f>_xlfn.XLOOKUP(Vendas[[#This Row],[ID Vendedor]],Vendedores[ID],Vendedores[Nome])</f>
        <v>Renata</v>
      </c>
      <c r="C5749" s="7" t="str">
        <f>_xlfn.XLOOKUP(Vendas[[#This Row],[ID Vendedor]],Vendedores[ID],Vendedores[Setor])</f>
        <v>AB</v>
      </c>
      <c r="D5749" s="7" t="s">
        <v>24</v>
      </c>
      <c r="E5749" t="str">
        <f>_xlfn.XLOOKUP(Vendas[[#This Row],[ID Item Vendido]],Agregado[ID],Agregado[Produto])</f>
        <v>Resina plástica PET purificada saco de 25kg</v>
      </c>
      <c r="F5749" s="39">
        <v>46181</v>
      </c>
      <c r="G5749" s="7">
        <v>8</v>
      </c>
      <c r="H5749" s="3">
        <f>_xlfn.XLOOKUP(Vendas[[#This Row],[ID Item Vendido]],Agregado[ID],Agregado[Revenda])</f>
        <v>119</v>
      </c>
      <c r="I5749" s="3">
        <f>Vendas[[#This Row],[Valor Unitário]]*Vendas[[#This Row],[Qnt Vendida]]</f>
        <v>952</v>
      </c>
      <c r="J5749" s="3">
        <f>Vendas[[#This Row],[Valor da Venda]]-(_xlfn.XLOOKUP(Vendas[[#This Row],[ID Item Vendido]],Agregado[ID],Agregado[Custo])*Vendas[[#This Row],[Qnt Vendida]])</f>
        <v>272</v>
      </c>
      <c r="K5749" s="70">
        <f>Vendas[[#This Row],[Lucro da Venda]]/Vendas[[#This Row],[Valor da Venda]]</f>
        <v>0.2857142857142857</v>
      </c>
      <c r="L5749" s="3">
        <f>_xlfn.IFS(Vendas[[#This Row],[Margem de Lucro (%)]]&lt;15%,Vendas[[#This Row],[Valor da Venda]]*3%,Vendas[[#This Row],[Margem de Lucro (%)]]&lt;=20%,Vendas[[#This Row],[Valor da Venda]]*4.5%,TRUE,Vendas[[#This Row],[Valor da Venda]]*6%)</f>
        <v>57.12</v>
      </c>
      <c r="M5749"/>
    </row>
    <row r="5750" spans="1:13" x14ac:dyDescent="0.3">
      <c r="A5750" s="7">
        <v>400242</v>
      </c>
      <c r="B5750" t="str">
        <f>_xlfn.XLOOKUP(Vendas[[#This Row],[ID Vendedor]],Vendedores[ID],Vendedores[Nome])</f>
        <v>Fernanda</v>
      </c>
      <c r="C5750" s="7" t="str">
        <f>_xlfn.XLOOKUP(Vendas[[#This Row],[ID Vendedor]],Vendedores[ID],Vendedores[Setor])</f>
        <v>FM</v>
      </c>
      <c r="D5750" s="7" t="s">
        <v>20</v>
      </c>
      <c r="E5750" t="str">
        <f>_xlfn.XLOOKUP(Vendas[[#This Row],[ID Item Vendido]],Agregado[ID],Agregado[Produto])</f>
        <v>Barra de aço simples</v>
      </c>
      <c r="F5750" s="39">
        <v>46181</v>
      </c>
      <c r="G5750" s="7">
        <v>109</v>
      </c>
      <c r="H5750" s="3">
        <f>_xlfn.XLOOKUP(Vendas[[#This Row],[ID Item Vendido]],Agregado[ID],Agregado[Revenda])</f>
        <v>4.8</v>
      </c>
      <c r="I5750" s="3">
        <f>Vendas[[#This Row],[Valor Unitário]]*Vendas[[#This Row],[Qnt Vendida]]</f>
        <v>523.19999999999993</v>
      </c>
      <c r="J5750" s="3">
        <f>Vendas[[#This Row],[Valor da Venda]]-(_xlfn.XLOOKUP(Vendas[[#This Row],[ID Item Vendido]],Agregado[ID],Agregado[Custo])*Vendas[[#This Row],[Qnt Vendida]])</f>
        <v>65.39999999999992</v>
      </c>
      <c r="K5750" s="70">
        <f>Vendas[[#This Row],[Lucro da Venda]]/Vendas[[#This Row],[Valor da Venda]]</f>
        <v>0.12499999999999986</v>
      </c>
      <c r="L5750" s="3">
        <f>_xlfn.IFS(Vendas[[#This Row],[Margem de Lucro (%)]]&lt;15%,Vendas[[#This Row],[Valor da Venda]]*3%,Vendas[[#This Row],[Margem de Lucro (%)]]&lt;=20%,Vendas[[#This Row],[Valor da Venda]]*4.5%,TRUE,Vendas[[#This Row],[Valor da Venda]]*6%)</f>
        <v>15.695999999999998</v>
      </c>
      <c r="M5750"/>
    </row>
    <row r="5751" spans="1:13" x14ac:dyDescent="0.3">
      <c r="A5751" s="7">
        <v>400252</v>
      </c>
      <c r="B5751" t="str">
        <f>_xlfn.XLOOKUP(Vendas[[#This Row],[ID Vendedor]],Vendedores[ID],Vendedores[Nome])</f>
        <v>Renata</v>
      </c>
      <c r="C5751" s="7" t="str">
        <f>_xlfn.XLOOKUP(Vendas[[#This Row],[ID Vendedor]],Vendedores[ID],Vendedores[Setor])</f>
        <v>AB</v>
      </c>
      <c r="D5751" s="7" t="s">
        <v>36</v>
      </c>
      <c r="E5751" t="str">
        <f>_xlfn.XLOOKUP(Vendas[[#This Row],[ID Item Vendido]],Agregado[ID],Agregado[Produto])</f>
        <v>Borracha vulcanizada em manta</v>
      </c>
      <c r="F5751" s="39">
        <v>46181</v>
      </c>
      <c r="G5751" s="7">
        <v>57</v>
      </c>
      <c r="H5751" s="3">
        <f>_xlfn.XLOOKUP(Vendas[[#This Row],[ID Item Vendido]],Agregado[ID],Agregado[Revenda])</f>
        <v>7.8</v>
      </c>
      <c r="I5751" s="3">
        <f>Vendas[[#This Row],[Valor Unitário]]*Vendas[[#This Row],[Qnt Vendida]]</f>
        <v>444.59999999999997</v>
      </c>
      <c r="J5751" s="3">
        <f>Vendas[[#This Row],[Valor da Venda]]-(_xlfn.XLOOKUP(Vendas[[#This Row],[ID Item Vendido]],Agregado[ID],Agregado[Custo])*Vendas[[#This Row],[Qnt Vendida]])</f>
        <v>102.59999999999997</v>
      </c>
      <c r="K5751" s="70">
        <f>Vendas[[#This Row],[Lucro da Venda]]/Vendas[[#This Row],[Valor da Venda]]</f>
        <v>0.2307692307692307</v>
      </c>
      <c r="L5751" s="3">
        <f>_xlfn.IFS(Vendas[[#This Row],[Margem de Lucro (%)]]&lt;15%,Vendas[[#This Row],[Valor da Venda]]*3%,Vendas[[#This Row],[Margem de Lucro (%)]]&lt;=20%,Vendas[[#This Row],[Valor da Venda]]*4.5%,TRUE,Vendas[[#This Row],[Valor da Venda]]*6%)</f>
        <v>26.675999999999998</v>
      </c>
      <c r="M5751"/>
    </row>
    <row r="5752" spans="1:13" x14ac:dyDescent="0.3">
      <c r="A5752" s="7">
        <v>400242</v>
      </c>
      <c r="B5752" t="str">
        <f>_xlfn.XLOOKUP(Vendas[[#This Row],[ID Vendedor]],Vendedores[ID],Vendedores[Nome])</f>
        <v>Fernanda</v>
      </c>
      <c r="C5752" s="7" t="str">
        <f>_xlfn.XLOOKUP(Vendas[[#This Row],[ID Vendedor]],Vendedores[ID],Vendedores[Setor])</f>
        <v>FM</v>
      </c>
      <c r="D5752" s="7" t="s">
        <v>20</v>
      </c>
      <c r="E5752" t="str">
        <f>_xlfn.XLOOKUP(Vendas[[#This Row],[ID Item Vendido]],Agregado[ID],Agregado[Produto])</f>
        <v>Barra de aço simples</v>
      </c>
      <c r="F5752" s="39">
        <v>46181</v>
      </c>
      <c r="G5752" s="7">
        <v>92</v>
      </c>
      <c r="H5752" s="3">
        <f>_xlfn.XLOOKUP(Vendas[[#This Row],[ID Item Vendido]],Agregado[ID],Agregado[Revenda])</f>
        <v>4.8</v>
      </c>
      <c r="I5752" s="3">
        <f>Vendas[[#This Row],[Valor Unitário]]*Vendas[[#This Row],[Qnt Vendida]]</f>
        <v>441.59999999999997</v>
      </c>
      <c r="J5752" s="3">
        <f>Vendas[[#This Row],[Valor da Venda]]-(_xlfn.XLOOKUP(Vendas[[#This Row],[ID Item Vendido]],Agregado[ID],Agregado[Custo])*Vendas[[#This Row],[Qnt Vendida]])</f>
        <v>55.199999999999932</v>
      </c>
      <c r="K5752" s="70">
        <f>Vendas[[#This Row],[Lucro da Venda]]/Vendas[[#This Row],[Valor da Venda]]</f>
        <v>0.12499999999999986</v>
      </c>
      <c r="L5752" s="3">
        <f>_xlfn.IFS(Vendas[[#This Row],[Margem de Lucro (%)]]&lt;15%,Vendas[[#This Row],[Valor da Venda]]*3%,Vendas[[#This Row],[Margem de Lucro (%)]]&lt;=20%,Vendas[[#This Row],[Valor da Venda]]*4.5%,TRUE,Vendas[[#This Row],[Valor da Venda]]*6%)</f>
        <v>13.247999999999999</v>
      </c>
      <c r="M5752"/>
    </row>
    <row r="5753" spans="1:13" x14ac:dyDescent="0.3">
      <c r="A5753" s="7">
        <v>400255</v>
      </c>
      <c r="B5753" t="str">
        <f>_xlfn.XLOOKUP(Vendas[[#This Row],[ID Vendedor]],Vendedores[ID],Vendedores[Nome])</f>
        <v>Carlos</v>
      </c>
      <c r="C5753" s="7" t="str">
        <f>_xlfn.XLOOKUP(Vendas[[#This Row],[ID Vendedor]],Vendedores[ID],Vendedores[Setor])</f>
        <v>SC</v>
      </c>
      <c r="D5753" s="7" t="s">
        <v>25</v>
      </c>
      <c r="E5753" t="str">
        <f>_xlfn.XLOOKUP(Vendas[[#This Row],[ID Item Vendido]],Agregado[ID],Agregado[Produto])</f>
        <v>Palete de plástico</v>
      </c>
      <c r="F5753" s="39">
        <v>46181</v>
      </c>
      <c r="G5753" s="7">
        <v>2</v>
      </c>
      <c r="H5753" s="3">
        <f>_xlfn.XLOOKUP(Vendas[[#This Row],[ID Item Vendido]],Agregado[ID],Agregado[Revenda])</f>
        <v>70.8</v>
      </c>
      <c r="I5753" s="3">
        <f>Vendas[[#This Row],[Valor Unitário]]*Vendas[[#This Row],[Qnt Vendida]]</f>
        <v>141.6</v>
      </c>
      <c r="J5753" s="3">
        <f>Vendas[[#This Row],[Valor da Venda]]-(_xlfn.XLOOKUP(Vendas[[#This Row],[ID Item Vendido]],Agregado[ID],Agregado[Custo])*Vendas[[#This Row],[Qnt Vendida]])</f>
        <v>21.599999999999994</v>
      </c>
      <c r="K5753" s="70">
        <f>Vendas[[#This Row],[Lucro da Venda]]/Vendas[[#This Row],[Valor da Venda]]</f>
        <v>0.15254237288135589</v>
      </c>
      <c r="L5753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5753"/>
    </row>
    <row r="5754" spans="1:13" x14ac:dyDescent="0.3">
      <c r="A5754" s="7">
        <v>400255</v>
      </c>
      <c r="B5754" t="str">
        <f>_xlfn.XLOOKUP(Vendas[[#This Row],[ID Vendedor]],Vendedores[ID],Vendedores[Nome])</f>
        <v>Carlos</v>
      </c>
      <c r="C5754" s="7" t="str">
        <f>_xlfn.XLOOKUP(Vendas[[#This Row],[ID Vendedor]],Vendedores[ID],Vendedores[Setor])</f>
        <v>SC</v>
      </c>
      <c r="D5754" s="7" t="s">
        <v>42</v>
      </c>
      <c r="E5754" t="str">
        <f>_xlfn.XLOOKUP(Vendas[[#This Row],[ID Item Vendido]],Agregado[ID],Agregado[Produto])</f>
        <v>Container de ferro industrial</v>
      </c>
      <c r="F5754" s="39">
        <v>46182</v>
      </c>
      <c r="G5754" s="7">
        <v>3</v>
      </c>
      <c r="H5754" s="3">
        <f>_xlfn.XLOOKUP(Vendas[[#This Row],[ID Item Vendido]],Agregado[ID],Agregado[Revenda])</f>
        <v>830</v>
      </c>
      <c r="I5754" s="3">
        <f>Vendas[[#This Row],[Valor Unitário]]*Vendas[[#This Row],[Qnt Vendida]]</f>
        <v>2490</v>
      </c>
      <c r="J5754" s="3">
        <f>Vendas[[#This Row],[Valor da Venda]]-(_xlfn.XLOOKUP(Vendas[[#This Row],[ID Item Vendido]],Agregado[ID],Agregado[Custo])*Vendas[[#This Row],[Qnt Vendida]])</f>
        <v>450</v>
      </c>
      <c r="K5754" s="70">
        <f>Vendas[[#This Row],[Lucro da Venda]]/Vendas[[#This Row],[Valor da Venda]]</f>
        <v>0.18072289156626506</v>
      </c>
      <c r="L5754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754"/>
    </row>
    <row r="5755" spans="1:13" x14ac:dyDescent="0.3">
      <c r="A5755" s="7">
        <v>400255</v>
      </c>
      <c r="B5755" t="str">
        <f>_xlfn.XLOOKUP(Vendas[[#This Row],[ID Vendedor]],Vendedores[ID],Vendedores[Nome])</f>
        <v>Carlos</v>
      </c>
      <c r="C5755" s="7" t="str">
        <f>_xlfn.XLOOKUP(Vendas[[#This Row],[ID Vendedor]],Vendedores[ID],Vendedores[Setor])</f>
        <v>SC</v>
      </c>
      <c r="D5755" s="7" t="s">
        <v>14</v>
      </c>
      <c r="E5755" t="str">
        <f>_xlfn.XLOOKUP(Vendas[[#This Row],[ID Item Vendido]],Agregado[ID],Agregado[Produto])</f>
        <v>Barril de plástico 200L</v>
      </c>
      <c r="F5755" s="39">
        <v>46182</v>
      </c>
      <c r="G5755" s="7">
        <v>18</v>
      </c>
      <c r="H5755" s="3">
        <f>_xlfn.XLOOKUP(Vendas[[#This Row],[ID Item Vendido]],Agregado[ID],Agregado[Revenda])</f>
        <v>114</v>
      </c>
      <c r="I5755" s="3">
        <f>Vendas[[#This Row],[Valor Unitário]]*Vendas[[#This Row],[Qnt Vendida]]</f>
        <v>2052</v>
      </c>
      <c r="J5755" s="3">
        <f>Vendas[[#This Row],[Valor da Venda]]-(_xlfn.XLOOKUP(Vendas[[#This Row],[ID Item Vendido]],Agregado[ID],Agregado[Custo])*Vendas[[#This Row],[Qnt Vendida]])</f>
        <v>342</v>
      </c>
      <c r="K5755" s="70">
        <f>Vendas[[#This Row],[Lucro da Venda]]/Vendas[[#This Row],[Valor da Venda]]</f>
        <v>0.16666666666666666</v>
      </c>
      <c r="L5755" s="3">
        <f>_xlfn.IFS(Vendas[[#This Row],[Margem de Lucro (%)]]&lt;15%,Vendas[[#This Row],[Valor da Venda]]*3%,Vendas[[#This Row],[Margem de Lucro (%)]]&lt;=20%,Vendas[[#This Row],[Valor da Venda]]*4.5%,TRUE,Vendas[[#This Row],[Valor da Venda]]*6%)</f>
        <v>92.34</v>
      </c>
      <c r="M5755"/>
    </row>
    <row r="5756" spans="1:13" x14ac:dyDescent="0.3">
      <c r="A5756" s="7">
        <v>400241</v>
      </c>
      <c r="B5756" t="str">
        <f>_xlfn.XLOOKUP(Vendas[[#This Row],[ID Vendedor]],Vendedores[ID],Vendedores[Nome])</f>
        <v>Rodrigo</v>
      </c>
      <c r="C5756" s="7" t="str">
        <f>_xlfn.XLOOKUP(Vendas[[#This Row],[ID Vendedor]],Vendedores[ID],Vendedores[Setor])</f>
        <v>FM</v>
      </c>
      <c r="D5756" s="7" t="s">
        <v>47</v>
      </c>
      <c r="E5756" t="str">
        <f>_xlfn.XLOOKUP(Vendas[[#This Row],[ID Item Vendido]],Agregado[ID],Agregado[Produto])</f>
        <v>Fio de arame galvanizado rolo 50m</v>
      </c>
      <c r="F5756" s="39">
        <v>46182</v>
      </c>
      <c r="G5756" s="7">
        <v>34</v>
      </c>
      <c r="H5756" s="3">
        <f>_xlfn.XLOOKUP(Vendas[[#This Row],[ID Item Vendido]],Agregado[ID],Agregado[Revenda])</f>
        <v>21.2</v>
      </c>
      <c r="I5756" s="3">
        <f>Vendas[[#This Row],[Valor Unitário]]*Vendas[[#This Row],[Qnt Vendida]]</f>
        <v>720.8</v>
      </c>
      <c r="J5756" s="3">
        <f>Vendas[[#This Row],[Valor da Venda]]-(_xlfn.XLOOKUP(Vendas[[#This Row],[ID Item Vendido]],Agregado[ID],Agregado[Custo])*Vendas[[#This Row],[Qnt Vendida]])</f>
        <v>108.79999999999995</v>
      </c>
      <c r="K5756" s="70">
        <f>Vendas[[#This Row],[Lucro da Venda]]/Vendas[[#This Row],[Valor da Venda]]</f>
        <v>0.15094339622641503</v>
      </c>
      <c r="L5756" s="3">
        <f>_xlfn.IFS(Vendas[[#This Row],[Margem de Lucro (%)]]&lt;15%,Vendas[[#This Row],[Valor da Venda]]*3%,Vendas[[#This Row],[Margem de Lucro (%)]]&lt;=20%,Vendas[[#This Row],[Valor da Venda]]*4.5%,TRUE,Vendas[[#This Row],[Valor da Venda]]*6%)</f>
        <v>32.436</v>
      </c>
      <c r="M5756"/>
    </row>
    <row r="5757" spans="1:13" x14ac:dyDescent="0.3">
      <c r="A5757" s="7">
        <v>400249</v>
      </c>
      <c r="B5757" t="str">
        <f>_xlfn.XLOOKUP(Vendas[[#This Row],[ID Vendedor]],Vendedores[ID],Vendedores[Nome])</f>
        <v>Bruno</v>
      </c>
      <c r="C5757" s="7" t="str">
        <f>_xlfn.XLOOKUP(Vendas[[#This Row],[ID Vendedor]],Vendedores[ID],Vendedores[Setor])</f>
        <v>CM</v>
      </c>
      <c r="D5757" s="7" t="s">
        <v>22</v>
      </c>
      <c r="E5757" t="str">
        <f>_xlfn.XLOOKUP(Vendas[[#This Row],[ID Item Vendido]],Agregado[ID],Agregado[Produto])</f>
        <v>Painel MDP 2,75x1,83m</v>
      </c>
      <c r="F5757" s="39">
        <v>46183</v>
      </c>
      <c r="G5757" s="7">
        <v>25</v>
      </c>
      <c r="H5757" s="3">
        <f>_xlfn.XLOOKUP(Vendas[[#This Row],[ID Item Vendido]],Agregado[ID],Agregado[Revenda])</f>
        <v>119</v>
      </c>
      <c r="I5757" s="3">
        <f>Vendas[[#This Row],[Valor Unitário]]*Vendas[[#This Row],[Qnt Vendida]]</f>
        <v>2975</v>
      </c>
      <c r="J5757" s="3">
        <f>Vendas[[#This Row],[Valor da Venda]]-(_xlfn.XLOOKUP(Vendas[[#This Row],[ID Item Vendido]],Agregado[ID],Agregado[Custo])*Vendas[[#This Row],[Qnt Vendida]])</f>
        <v>600</v>
      </c>
      <c r="K5757" s="70">
        <f>Vendas[[#This Row],[Lucro da Venda]]/Vendas[[#This Row],[Valor da Venda]]</f>
        <v>0.20168067226890757</v>
      </c>
      <c r="L5757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757"/>
    </row>
    <row r="5758" spans="1:13" x14ac:dyDescent="0.3">
      <c r="A5758" s="7">
        <v>400246</v>
      </c>
      <c r="B5758" t="str">
        <f>_xlfn.XLOOKUP(Vendas[[#This Row],[ID Vendedor]],Vendedores[ID],Vendedores[Nome])</f>
        <v>Juliana</v>
      </c>
      <c r="C5758" s="7" t="str">
        <f>_xlfn.XLOOKUP(Vendas[[#This Row],[ID Vendedor]],Vendedores[ID],Vendedores[Setor])</f>
        <v>AHD</v>
      </c>
      <c r="D5758" s="7" t="s">
        <v>30</v>
      </c>
      <c r="E5758" t="str">
        <f>_xlfn.XLOOKUP(Vendas[[#This Row],[ID Item Vendido]],Agregado[ID],Agregado[Produto])</f>
        <v>Estrutura metálica soldada</v>
      </c>
      <c r="F5758" s="39">
        <v>46183</v>
      </c>
      <c r="G5758" s="7">
        <v>7</v>
      </c>
      <c r="H5758" s="3">
        <f>_xlfn.XLOOKUP(Vendas[[#This Row],[ID Item Vendido]],Agregado[ID],Agregado[Revenda])</f>
        <v>400</v>
      </c>
      <c r="I5758" s="3">
        <f>Vendas[[#This Row],[Valor Unitário]]*Vendas[[#This Row],[Qnt Vendida]]</f>
        <v>2800</v>
      </c>
      <c r="J5758" s="3">
        <f>Vendas[[#This Row],[Valor da Venda]]-(_xlfn.XLOOKUP(Vendas[[#This Row],[ID Item Vendido]],Agregado[ID],Agregado[Custo])*Vendas[[#This Row],[Qnt Vendida]])</f>
        <v>560</v>
      </c>
      <c r="K5758" s="70">
        <f>Vendas[[#This Row],[Lucro da Venda]]/Vendas[[#This Row],[Valor da Venda]]</f>
        <v>0.2</v>
      </c>
      <c r="L5758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758"/>
    </row>
    <row r="5759" spans="1:13" x14ac:dyDescent="0.3">
      <c r="A5759" s="7">
        <v>400254</v>
      </c>
      <c r="B5759" t="str">
        <f>_xlfn.XLOOKUP(Vendas[[#This Row],[ID Vendedor]],Vendedores[ID],Vendedores[Nome])</f>
        <v>Beatriz</v>
      </c>
      <c r="C5759" s="7" t="str">
        <f>_xlfn.XLOOKUP(Vendas[[#This Row],[ID Vendedor]],Vendedores[ID],Vendedores[Setor])</f>
        <v>SC</v>
      </c>
      <c r="D5759" s="7" t="s">
        <v>48</v>
      </c>
      <c r="E5759" t="str">
        <f>_xlfn.XLOOKUP(Vendas[[#This Row],[ID Item Vendido]],Agregado[ID],Agregado[Produto])</f>
        <v>Tambor metálico 200L</v>
      </c>
      <c r="F5759" s="39">
        <v>46183</v>
      </c>
      <c r="G5759" s="7">
        <v>2</v>
      </c>
      <c r="H5759" s="3">
        <f>_xlfn.XLOOKUP(Vendas[[#This Row],[ID Item Vendido]],Agregado[ID],Agregado[Revenda])</f>
        <v>144</v>
      </c>
      <c r="I5759" s="3">
        <f>Vendas[[#This Row],[Valor Unitário]]*Vendas[[#This Row],[Qnt Vendida]]</f>
        <v>288</v>
      </c>
      <c r="J5759" s="3">
        <f>Vendas[[#This Row],[Valor da Venda]]-(_xlfn.XLOOKUP(Vendas[[#This Row],[ID Item Vendido]],Agregado[ID],Agregado[Custo])*Vendas[[#This Row],[Qnt Vendida]])</f>
        <v>48</v>
      </c>
      <c r="K5759" s="70">
        <f>Vendas[[#This Row],[Lucro da Venda]]/Vendas[[#This Row],[Valor da Venda]]</f>
        <v>0.16666666666666666</v>
      </c>
      <c r="L5759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5759"/>
    </row>
    <row r="5760" spans="1:13" x14ac:dyDescent="0.3">
      <c r="A5760" s="7">
        <v>400245</v>
      </c>
      <c r="B5760" t="str">
        <f>_xlfn.XLOOKUP(Vendas[[#This Row],[ID Vendedor]],Vendedores[ID],Vendedores[Nome])</f>
        <v>Thiago</v>
      </c>
      <c r="C5760" s="7" t="str">
        <f>_xlfn.XLOOKUP(Vendas[[#This Row],[ID Vendedor]],Vendedores[ID],Vendedores[Setor])</f>
        <v>AHD</v>
      </c>
      <c r="D5760" s="7" t="s">
        <v>28</v>
      </c>
      <c r="E5760" t="str">
        <f>_xlfn.XLOOKUP(Vendas[[#This Row],[ID Item Vendido]],Agregado[ID],Agregado[Produto])</f>
        <v>Peça usinada CNC</v>
      </c>
      <c r="F5760" s="39">
        <v>46184</v>
      </c>
      <c r="G5760" s="7">
        <v>2</v>
      </c>
      <c r="H5760" s="3">
        <f>_xlfn.XLOOKUP(Vendas[[#This Row],[ID Item Vendido]],Agregado[ID],Agregado[Revenda])</f>
        <v>192</v>
      </c>
      <c r="I5760" s="3">
        <f>Vendas[[#This Row],[Valor Unitário]]*Vendas[[#This Row],[Qnt Vendida]]</f>
        <v>384</v>
      </c>
      <c r="J5760" s="3">
        <f>Vendas[[#This Row],[Valor da Venda]]-(_xlfn.XLOOKUP(Vendas[[#This Row],[ID Item Vendido]],Agregado[ID],Agregado[Custo])*Vendas[[#This Row],[Qnt Vendida]])</f>
        <v>84</v>
      </c>
      <c r="K5760" s="70">
        <f>Vendas[[#This Row],[Lucro da Venda]]/Vendas[[#This Row],[Valor da Venda]]</f>
        <v>0.21875</v>
      </c>
      <c r="L5760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  <c r="M5760"/>
    </row>
    <row r="5761" spans="1:13" x14ac:dyDescent="0.3">
      <c r="A5761" s="7">
        <v>400248</v>
      </c>
      <c r="B5761" t="str">
        <f>_xlfn.XLOOKUP(Vendas[[#This Row],[ID Vendedor]],Vendedores[ID],Vendedores[Nome])</f>
        <v>Patrícia</v>
      </c>
      <c r="C5761" s="7" t="str">
        <f>_xlfn.XLOOKUP(Vendas[[#This Row],[ID Vendedor]],Vendedores[ID],Vendedores[Setor])</f>
        <v>CM</v>
      </c>
      <c r="D5761" s="7" t="s">
        <v>34</v>
      </c>
      <c r="E5761" t="str">
        <f>_xlfn.XLOOKUP(Vendas[[#This Row],[ID Item Vendido]],Agregado[ID],Agregado[Produto])</f>
        <v>Restos de madeira p/ MDP/OSB saco de 20kg</v>
      </c>
      <c r="F5761" s="39">
        <v>46184</v>
      </c>
      <c r="G5761" s="7">
        <v>25</v>
      </c>
      <c r="H5761" s="3">
        <f>_xlfn.XLOOKUP(Vendas[[#This Row],[ID Item Vendido]],Agregado[ID],Agregado[Revenda])</f>
        <v>13.8</v>
      </c>
      <c r="I5761" s="3">
        <f>Vendas[[#This Row],[Valor Unitário]]*Vendas[[#This Row],[Qnt Vendida]]</f>
        <v>345</v>
      </c>
      <c r="J5761" s="3">
        <f>Vendas[[#This Row],[Valor da Venda]]-(_xlfn.XLOOKUP(Vendas[[#This Row],[ID Item Vendido]],Agregado[ID],Agregado[Custo])*Vendas[[#This Row],[Qnt Vendida]])</f>
        <v>45</v>
      </c>
      <c r="K5761" s="70">
        <f>Vendas[[#This Row],[Lucro da Venda]]/Vendas[[#This Row],[Valor da Venda]]</f>
        <v>0.13043478260869565</v>
      </c>
      <c r="L5761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5761"/>
    </row>
    <row r="5762" spans="1:13" x14ac:dyDescent="0.3">
      <c r="A5762" s="7">
        <v>400247</v>
      </c>
      <c r="B5762" t="str">
        <f>_xlfn.XLOOKUP(Vendas[[#This Row],[ID Vendedor]],Vendedores[ID],Vendedores[Nome])</f>
        <v>André</v>
      </c>
      <c r="C5762" s="7" t="str">
        <f>_xlfn.XLOOKUP(Vendas[[#This Row],[ID Vendedor]],Vendedores[ID],Vendedores[Setor])</f>
        <v>CM</v>
      </c>
      <c r="D5762" s="7" t="s">
        <v>34</v>
      </c>
      <c r="E5762" t="str">
        <f>_xlfn.XLOOKUP(Vendas[[#This Row],[ID Item Vendido]],Agregado[ID],Agregado[Produto])</f>
        <v>Restos de madeira p/ MDP/OSB saco de 20kg</v>
      </c>
      <c r="F5762" s="39">
        <v>46184</v>
      </c>
      <c r="G5762" s="7">
        <v>11</v>
      </c>
      <c r="H5762" s="3">
        <f>_xlfn.XLOOKUP(Vendas[[#This Row],[ID Item Vendido]],Agregado[ID],Agregado[Revenda])</f>
        <v>13.8</v>
      </c>
      <c r="I5762" s="3">
        <f>Vendas[[#This Row],[Valor Unitário]]*Vendas[[#This Row],[Qnt Vendida]]</f>
        <v>151.80000000000001</v>
      </c>
      <c r="J5762" s="3">
        <f>Vendas[[#This Row],[Valor da Venda]]-(_xlfn.XLOOKUP(Vendas[[#This Row],[ID Item Vendido]],Agregado[ID],Agregado[Custo])*Vendas[[#This Row],[Qnt Vendida]])</f>
        <v>19.800000000000011</v>
      </c>
      <c r="K5762" s="70">
        <f>Vendas[[#This Row],[Lucro da Venda]]/Vendas[[#This Row],[Valor da Venda]]</f>
        <v>0.1304347826086957</v>
      </c>
      <c r="L5762" s="3">
        <f>_xlfn.IFS(Vendas[[#This Row],[Margem de Lucro (%)]]&lt;15%,Vendas[[#This Row],[Valor da Venda]]*3%,Vendas[[#This Row],[Margem de Lucro (%)]]&lt;=20%,Vendas[[#This Row],[Valor da Venda]]*4.5%,TRUE,Vendas[[#This Row],[Valor da Venda]]*6%)</f>
        <v>4.5540000000000003</v>
      </c>
      <c r="M5762"/>
    </row>
    <row r="5763" spans="1:13" x14ac:dyDescent="0.3">
      <c r="A5763" s="7">
        <v>400252</v>
      </c>
      <c r="B5763" t="str">
        <f>_xlfn.XLOOKUP(Vendas[[#This Row],[ID Vendedor]],Vendedores[ID],Vendedores[Nome])</f>
        <v>Renata</v>
      </c>
      <c r="C5763" s="7" t="str">
        <f>_xlfn.XLOOKUP(Vendas[[#This Row],[ID Vendedor]],Vendedores[ID],Vendedores[Setor])</f>
        <v>AB</v>
      </c>
      <c r="D5763" s="7" t="s">
        <v>39</v>
      </c>
      <c r="E5763" t="str">
        <f>_xlfn.XLOOKUP(Vendas[[#This Row],[ID Item Vendido]],Agregado[ID],Agregado[Produto])</f>
        <v>Filme plástico industrial rolo 50m</v>
      </c>
      <c r="F5763" s="39">
        <v>46186</v>
      </c>
      <c r="G5763" s="7">
        <v>24</v>
      </c>
      <c r="H5763" s="3">
        <f>_xlfn.XLOOKUP(Vendas[[#This Row],[ID Item Vendido]],Agregado[ID],Agregado[Revenda])</f>
        <v>37</v>
      </c>
      <c r="I5763" s="3">
        <f>Vendas[[#This Row],[Valor Unitário]]*Vendas[[#This Row],[Qnt Vendida]]</f>
        <v>888</v>
      </c>
      <c r="J5763" s="3">
        <f>Vendas[[#This Row],[Valor da Venda]]-(_xlfn.XLOOKUP(Vendas[[#This Row],[ID Item Vendido]],Agregado[ID],Agregado[Custo])*Vendas[[#This Row],[Qnt Vendida]])</f>
        <v>216</v>
      </c>
      <c r="K5763" s="70">
        <f>Vendas[[#This Row],[Lucro da Venda]]/Vendas[[#This Row],[Valor da Venda]]</f>
        <v>0.24324324324324326</v>
      </c>
      <c r="L5763" s="3">
        <f>_xlfn.IFS(Vendas[[#This Row],[Margem de Lucro (%)]]&lt;15%,Vendas[[#This Row],[Valor da Venda]]*3%,Vendas[[#This Row],[Margem de Lucro (%)]]&lt;=20%,Vendas[[#This Row],[Valor da Venda]]*4.5%,TRUE,Vendas[[#This Row],[Valor da Venda]]*6%)</f>
        <v>53.28</v>
      </c>
      <c r="M5763"/>
    </row>
    <row r="5764" spans="1:13" x14ac:dyDescent="0.3">
      <c r="A5764" s="7">
        <v>400251</v>
      </c>
      <c r="B5764" t="str">
        <f>_xlfn.XLOOKUP(Vendas[[#This Row],[ID Vendedor]],Vendedores[ID],Vendedores[Nome])</f>
        <v>Diego</v>
      </c>
      <c r="C5764" s="7" t="str">
        <f>_xlfn.XLOOKUP(Vendas[[#This Row],[ID Vendedor]],Vendedores[ID],Vendedores[Setor])</f>
        <v>AB</v>
      </c>
      <c r="D5764" s="7" t="s">
        <v>36</v>
      </c>
      <c r="E5764" t="str">
        <f>_xlfn.XLOOKUP(Vendas[[#This Row],[ID Item Vendido]],Agregado[ID],Agregado[Produto])</f>
        <v>Borracha vulcanizada em manta</v>
      </c>
      <c r="F5764" s="39">
        <v>46186</v>
      </c>
      <c r="G5764" s="7">
        <v>30</v>
      </c>
      <c r="H5764" s="3">
        <f>_xlfn.XLOOKUP(Vendas[[#This Row],[ID Item Vendido]],Agregado[ID],Agregado[Revenda])</f>
        <v>7.8</v>
      </c>
      <c r="I5764" s="3">
        <f>Vendas[[#This Row],[Valor Unitário]]*Vendas[[#This Row],[Qnt Vendida]]</f>
        <v>234</v>
      </c>
      <c r="J5764" s="3">
        <f>Vendas[[#This Row],[Valor da Venda]]-(_xlfn.XLOOKUP(Vendas[[#This Row],[ID Item Vendido]],Agregado[ID],Agregado[Custo])*Vendas[[#This Row],[Qnt Vendida]])</f>
        <v>54</v>
      </c>
      <c r="K5764" s="70">
        <f>Vendas[[#This Row],[Lucro da Venda]]/Vendas[[#This Row],[Valor da Venda]]</f>
        <v>0.23076923076923078</v>
      </c>
      <c r="L5764" s="3">
        <f>_xlfn.IFS(Vendas[[#This Row],[Margem de Lucro (%)]]&lt;15%,Vendas[[#This Row],[Valor da Venda]]*3%,Vendas[[#This Row],[Margem de Lucro (%)]]&lt;=20%,Vendas[[#This Row],[Valor da Venda]]*4.5%,TRUE,Vendas[[#This Row],[Valor da Venda]]*6%)</f>
        <v>14.04</v>
      </c>
      <c r="M5764"/>
    </row>
    <row r="5765" spans="1:13" x14ac:dyDescent="0.3">
      <c r="A5765" s="7">
        <v>400254</v>
      </c>
      <c r="B5765" t="str">
        <f>_xlfn.XLOOKUP(Vendas[[#This Row],[ID Vendedor]],Vendedores[ID],Vendedores[Nome])</f>
        <v>Beatriz</v>
      </c>
      <c r="C5765" s="7" t="str">
        <f>_xlfn.XLOOKUP(Vendas[[#This Row],[ID Vendedor]],Vendedores[ID],Vendedores[Setor])</f>
        <v>SC</v>
      </c>
      <c r="D5765" s="7" t="s">
        <v>42</v>
      </c>
      <c r="E5765" t="str">
        <f>_xlfn.XLOOKUP(Vendas[[#This Row],[ID Item Vendido]],Agregado[ID],Agregado[Produto])</f>
        <v>Container de ferro industrial</v>
      </c>
      <c r="F5765" s="39">
        <v>46187</v>
      </c>
      <c r="G5765" s="7">
        <v>4</v>
      </c>
      <c r="H5765" s="3">
        <f>_xlfn.XLOOKUP(Vendas[[#This Row],[ID Item Vendido]],Agregado[ID],Agregado[Revenda])</f>
        <v>830</v>
      </c>
      <c r="I5765" s="3">
        <f>Vendas[[#This Row],[Valor Unitário]]*Vendas[[#This Row],[Qnt Vendida]]</f>
        <v>3320</v>
      </c>
      <c r="J5765" s="3">
        <f>Vendas[[#This Row],[Valor da Venda]]-(_xlfn.XLOOKUP(Vendas[[#This Row],[ID Item Vendido]],Agregado[ID],Agregado[Custo])*Vendas[[#This Row],[Qnt Vendida]])</f>
        <v>600</v>
      </c>
      <c r="K5765" s="70">
        <f>Vendas[[#This Row],[Lucro da Venda]]/Vendas[[#This Row],[Valor da Venda]]</f>
        <v>0.18072289156626506</v>
      </c>
      <c r="L5765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765"/>
    </row>
    <row r="5766" spans="1:13" x14ac:dyDescent="0.3">
      <c r="A5766" s="7">
        <v>400250</v>
      </c>
      <c r="B5766" t="str">
        <f>_xlfn.XLOOKUP(Vendas[[#This Row],[ID Vendedor]],Vendedores[ID],Vendedores[Nome])</f>
        <v>Larissa</v>
      </c>
      <c r="C5766" s="7" t="str">
        <f>_xlfn.XLOOKUP(Vendas[[#This Row],[ID Vendedor]],Vendedores[ID],Vendedores[Setor])</f>
        <v>AB</v>
      </c>
      <c r="D5766" s="7" t="s">
        <v>39</v>
      </c>
      <c r="E5766" t="str">
        <f>_xlfn.XLOOKUP(Vendas[[#This Row],[ID Item Vendido]],Agregado[ID],Agregado[Produto])</f>
        <v>Filme plástico industrial rolo 50m</v>
      </c>
      <c r="F5766" s="39">
        <v>46187</v>
      </c>
      <c r="G5766" s="7">
        <v>26</v>
      </c>
      <c r="H5766" s="3">
        <f>_xlfn.XLOOKUP(Vendas[[#This Row],[ID Item Vendido]],Agregado[ID],Agregado[Revenda])</f>
        <v>37</v>
      </c>
      <c r="I5766" s="3">
        <f>Vendas[[#This Row],[Valor Unitário]]*Vendas[[#This Row],[Qnt Vendida]]</f>
        <v>962</v>
      </c>
      <c r="J5766" s="3">
        <f>Vendas[[#This Row],[Valor da Venda]]-(_xlfn.XLOOKUP(Vendas[[#This Row],[ID Item Vendido]],Agregado[ID],Agregado[Custo])*Vendas[[#This Row],[Qnt Vendida]])</f>
        <v>234</v>
      </c>
      <c r="K5766" s="70">
        <f>Vendas[[#This Row],[Lucro da Venda]]/Vendas[[#This Row],[Valor da Venda]]</f>
        <v>0.24324324324324326</v>
      </c>
      <c r="L5766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5766"/>
    </row>
    <row r="5767" spans="1:13" x14ac:dyDescent="0.3">
      <c r="A5767" s="7">
        <v>400246</v>
      </c>
      <c r="B5767" t="str">
        <f>_xlfn.XLOOKUP(Vendas[[#This Row],[ID Vendedor]],Vendedores[ID],Vendedores[Nome])</f>
        <v>Juliana</v>
      </c>
      <c r="C5767" s="7" t="str">
        <f>_xlfn.XLOOKUP(Vendas[[#This Row],[ID Vendedor]],Vendedores[ID],Vendedores[Setor])</f>
        <v>AHD</v>
      </c>
      <c r="D5767" s="7" t="s">
        <v>9</v>
      </c>
      <c r="E5767" t="str">
        <f>_xlfn.XLOOKUP(Vendas[[#This Row],[ID Item Vendido]],Agregado[ID],Agregado[Produto])</f>
        <v>Barra de aço simples</v>
      </c>
      <c r="F5767" s="39">
        <v>46187</v>
      </c>
      <c r="G5767" s="7">
        <v>17</v>
      </c>
      <c r="H5767" s="3">
        <f>_xlfn.XLOOKUP(Vendas[[#This Row],[ID Item Vendido]],Agregado[ID],Agregado[Revenda])</f>
        <v>6.7</v>
      </c>
      <c r="I5767" s="3">
        <f>Vendas[[#This Row],[Valor Unitário]]*Vendas[[#This Row],[Qnt Vendida]]</f>
        <v>113.9</v>
      </c>
      <c r="J5767" s="3">
        <f>Vendas[[#This Row],[Valor da Venda]]-(_xlfn.XLOOKUP(Vendas[[#This Row],[ID Item Vendido]],Agregado[ID],Agregado[Custo])*Vendas[[#This Row],[Qnt Vendida]])</f>
        <v>15.300000000000011</v>
      </c>
      <c r="K5767" s="70">
        <f>Vendas[[#This Row],[Lucro da Venda]]/Vendas[[#This Row],[Valor da Venda]]</f>
        <v>0.13432835820895531</v>
      </c>
      <c r="L5767" s="3">
        <f>_xlfn.IFS(Vendas[[#This Row],[Margem de Lucro (%)]]&lt;15%,Vendas[[#This Row],[Valor da Venda]]*3%,Vendas[[#This Row],[Margem de Lucro (%)]]&lt;=20%,Vendas[[#This Row],[Valor da Venda]]*4.5%,TRUE,Vendas[[#This Row],[Valor da Venda]]*6%)</f>
        <v>3.4170000000000003</v>
      </c>
      <c r="M5767"/>
    </row>
    <row r="5768" spans="1:13" x14ac:dyDescent="0.3">
      <c r="A5768" s="7">
        <v>400254</v>
      </c>
      <c r="B5768" t="str">
        <f>_xlfn.XLOOKUP(Vendas[[#This Row],[ID Vendedor]],Vendedores[ID],Vendedores[Nome])</f>
        <v>Beatriz</v>
      </c>
      <c r="C5768" s="7" t="str">
        <f>_xlfn.XLOOKUP(Vendas[[#This Row],[ID Vendedor]],Vendedores[ID],Vendedores[Setor])</f>
        <v>SC</v>
      </c>
      <c r="D5768" s="7" t="s">
        <v>42</v>
      </c>
      <c r="E5768" t="str">
        <f>_xlfn.XLOOKUP(Vendas[[#This Row],[ID Item Vendido]],Agregado[ID],Agregado[Produto])</f>
        <v>Container de ferro industrial</v>
      </c>
      <c r="F5768" s="39">
        <v>46188</v>
      </c>
      <c r="G5768" s="7">
        <v>1</v>
      </c>
      <c r="H5768" s="3">
        <f>_xlfn.XLOOKUP(Vendas[[#This Row],[ID Item Vendido]],Agregado[ID],Agregado[Revenda])</f>
        <v>830</v>
      </c>
      <c r="I5768" s="3">
        <f>Vendas[[#This Row],[Valor Unitário]]*Vendas[[#This Row],[Qnt Vendida]]</f>
        <v>830</v>
      </c>
      <c r="J5768" s="3">
        <f>Vendas[[#This Row],[Valor da Venda]]-(_xlfn.XLOOKUP(Vendas[[#This Row],[ID Item Vendido]],Agregado[ID],Agregado[Custo])*Vendas[[#This Row],[Qnt Vendida]])</f>
        <v>150</v>
      </c>
      <c r="K5768" s="70">
        <f>Vendas[[#This Row],[Lucro da Venda]]/Vendas[[#This Row],[Valor da Venda]]</f>
        <v>0.18072289156626506</v>
      </c>
      <c r="L5768" s="3">
        <f>_xlfn.IFS(Vendas[[#This Row],[Margem de Lucro (%)]]&lt;15%,Vendas[[#This Row],[Valor da Venda]]*3%,Vendas[[#This Row],[Margem de Lucro (%)]]&lt;=20%,Vendas[[#This Row],[Valor da Venda]]*4.5%,TRUE,Vendas[[#This Row],[Valor da Venda]]*6%)</f>
        <v>37.35</v>
      </c>
      <c r="M5768"/>
    </row>
    <row r="5769" spans="1:13" x14ac:dyDescent="0.3">
      <c r="A5769" s="7">
        <v>400248</v>
      </c>
      <c r="B5769" t="str">
        <f>_xlfn.XLOOKUP(Vendas[[#This Row],[ID Vendedor]],Vendedores[ID],Vendedores[Nome])</f>
        <v>Patrícia</v>
      </c>
      <c r="C5769" s="7" t="str">
        <f>_xlfn.XLOOKUP(Vendas[[#This Row],[ID Vendedor]],Vendedores[ID],Vendedores[Setor])</f>
        <v>CM</v>
      </c>
      <c r="D5769" s="7" t="s">
        <v>22</v>
      </c>
      <c r="E5769" t="str">
        <f>_xlfn.XLOOKUP(Vendas[[#This Row],[ID Item Vendido]],Agregado[ID],Agregado[Produto])</f>
        <v>Painel MDP 2,75x1,83m</v>
      </c>
      <c r="F5769" s="39">
        <v>46189</v>
      </c>
      <c r="G5769" s="7">
        <v>20</v>
      </c>
      <c r="H5769" s="3">
        <f>_xlfn.XLOOKUP(Vendas[[#This Row],[ID Item Vendido]],Agregado[ID],Agregado[Revenda])</f>
        <v>119</v>
      </c>
      <c r="I5769" s="3">
        <f>Vendas[[#This Row],[Valor Unitário]]*Vendas[[#This Row],[Qnt Vendida]]</f>
        <v>2380</v>
      </c>
      <c r="J5769" s="3">
        <f>Vendas[[#This Row],[Valor da Venda]]-(_xlfn.XLOOKUP(Vendas[[#This Row],[ID Item Vendido]],Agregado[ID],Agregado[Custo])*Vendas[[#This Row],[Qnt Vendida]])</f>
        <v>480</v>
      </c>
      <c r="K5769" s="70">
        <f>Vendas[[#This Row],[Lucro da Venda]]/Vendas[[#This Row],[Valor da Venda]]</f>
        <v>0.20168067226890757</v>
      </c>
      <c r="L5769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769"/>
    </row>
    <row r="5770" spans="1:13" x14ac:dyDescent="0.3">
      <c r="A5770" s="7">
        <v>400244</v>
      </c>
      <c r="B5770" t="str">
        <f>_xlfn.XLOOKUP(Vendas[[#This Row],[ID Vendedor]],Vendedores[ID],Vendedores[Nome])</f>
        <v>Camila</v>
      </c>
      <c r="C5770" s="7" t="str">
        <f>_xlfn.XLOOKUP(Vendas[[#This Row],[ID Vendedor]],Vendedores[ID],Vendedores[Setor])</f>
        <v>AHD</v>
      </c>
      <c r="D5770" s="7" t="s">
        <v>30</v>
      </c>
      <c r="E5770" t="str">
        <f>_xlfn.XLOOKUP(Vendas[[#This Row],[ID Item Vendido]],Agregado[ID],Agregado[Produto])</f>
        <v>Estrutura metálica soldada</v>
      </c>
      <c r="F5770" s="39">
        <v>46189</v>
      </c>
      <c r="G5770" s="7">
        <v>5</v>
      </c>
      <c r="H5770" s="3">
        <f>_xlfn.XLOOKUP(Vendas[[#This Row],[ID Item Vendido]],Agregado[ID],Agregado[Revenda])</f>
        <v>400</v>
      </c>
      <c r="I5770" s="3">
        <f>Vendas[[#This Row],[Valor Unitário]]*Vendas[[#This Row],[Qnt Vendida]]</f>
        <v>2000</v>
      </c>
      <c r="J5770" s="3">
        <f>Vendas[[#This Row],[Valor da Venda]]-(_xlfn.XLOOKUP(Vendas[[#This Row],[ID Item Vendido]],Agregado[ID],Agregado[Custo])*Vendas[[#This Row],[Qnt Vendida]])</f>
        <v>400</v>
      </c>
      <c r="K5770" s="70">
        <f>Vendas[[#This Row],[Lucro da Venda]]/Vendas[[#This Row],[Valor da Venda]]</f>
        <v>0.2</v>
      </c>
      <c r="L5770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770"/>
    </row>
    <row r="5771" spans="1:13" x14ac:dyDescent="0.3">
      <c r="A5771" s="7">
        <v>400255</v>
      </c>
      <c r="B5771" t="str">
        <f>_xlfn.XLOOKUP(Vendas[[#This Row],[ID Vendedor]],Vendedores[ID],Vendedores[Nome])</f>
        <v>Carlos</v>
      </c>
      <c r="C5771" s="7" t="str">
        <f>_xlfn.XLOOKUP(Vendas[[#This Row],[ID Vendedor]],Vendedores[ID],Vendedores[Setor])</f>
        <v>SC</v>
      </c>
      <c r="D5771" s="7" t="s">
        <v>14</v>
      </c>
      <c r="E5771" t="str">
        <f>_xlfn.XLOOKUP(Vendas[[#This Row],[ID Item Vendido]],Agregado[ID],Agregado[Produto])</f>
        <v>Barril de plástico 200L</v>
      </c>
      <c r="F5771" s="39">
        <v>46190</v>
      </c>
      <c r="G5771" s="7">
        <v>25</v>
      </c>
      <c r="H5771" s="3">
        <f>_xlfn.XLOOKUP(Vendas[[#This Row],[ID Item Vendido]],Agregado[ID],Agregado[Revenda])</f>
        <v>114</v>
      </c>
      <c r="I5771" s="3">
        <f>Vendas[[#This Row],[Valor Unitário]]*Vendas[[#This Row],[Qnt Vendida]]</f>
        <v>2850</v>
      </c>
      <c r="J5771" s="3">
        <f>Vendas[[#This Row],[Valor da Venda]]-(_xlfn.XLOOKUP(Vendas[[#This Row],[ID Item Vendido]],Agregado[ID],Agregado[Custo])*Vendas[[#This Row],[Qnt Vendida]])</f>
        <v>475</v>
      </c>
      <c r="K5771" s="70">
        <f>Vendas[[#This Row],[Lucro da Venda]]/Vendas[[#This Row],[Valor da Venda]]</f>
        <v>0.16666666666666666</v>
      </c>
      <c r="L5771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5771"/>
    </row>
    <row r="5772" spans="1:13" x14ac:dyDescent="0.3">
      <c r="A5772" s="7">
        <v>400248</v>
      </c>
      <c r="B5772" t="str">
        <f>_xlfn.XLOOKUP(Vendas[[#This Row],[ID Vendedor]],Vendedores[ID],Vendedores[Nome])</f>
        <v>Patrícia</v>
      </c>
      <c r="C5772" s="7" t="str">
        <f>_xlfn.XLOOKUP(Vendas[[#This Row],[ID Vendedor]],Vendedores[ID],Vendedores[Setor])</f>
        <v>CM</v>
      </c>
      <c r="D5772" s="7" t="s">
        <v>43</v>
      </c>
      <c r="E5772" t="str">
        <f>_xlfn.XLOOKUP(Vendas[[#This Row],[ID Item Vendido]],Agregado[ID],Agregado[Produto])</f>
        <v>Madeira Bruta (Tora)</v>
      </c>
      <c r="F5772" s="39">
        <v>46190</v>
      </c>
      <c r="G5772" s="7">
        <v>12</v>
      </c>
      <c r="H5772" s="3">
        <f>_xlfn.XLOOKUP(Vendas[[#This Row],[ID Item Vendido]],Agregado[ID],Agregado[Revenda])</f>
        <v>212</v>
      </c>
      <c r="I5772" s="3">
        <f>Vendas[[#This Row],[Valor Unitário]]*Vendas[[#This Row],[Qnt Vendida]]</f>
        <v>2544</v>
      </c>
      <c r="J5772" s="3">
        <f>Vendas[[#This Row],[Valor da Venda]]-(_xlfn.XLOOKUP(Vendas[[#This Row],[ID Item Vendido]],Agregado[ID],Agregado[Custo])*Vendas[[#This Row],[Qnt Vendida]])</f>
        <v>384</v>
      </c>
      <c r="K5772" s="70">
        <f>Vendas[[#This Row],[Lucro da Venda]]/Vendas[[#This Row],[Valor da Venda]]</f>
        <v>0.15094339622641509</v>
      </c>
      <c r="L5772" s="3">
        <f>_xlfn.IFS(Vendas[[#This Row],[Margem de Lucro (%)]]&lt;15%,Vendas[[#This Row],[Valor da Venda]]*3%,Vendas[[#This Row],[Margem de Lucro (%)]]&lt;=20%,Vendas[[#This Row],[Valor da Venda]]*4.5%,TRUE,Vendas[[#This Row],[Valor da Venda]]*6%)</f>
        <v>114.47999999999999</v>
      </c>
      <c r="M5772"/>
    </row>
    <row r="5773" spans="1:13" x14ac:dyDescent="0.3">
      <c r="A5773" s="7">
        <v>400251</v>
      </c>
      <c r="B5773" t="str">
        <f>_xlfn.XLOOKUP(Vendas[[#This Row],[ID Vendedor]],Vendedores[ID],Vendedores[Nome])</f>
        <v>Diego</v>
      </c>
      <c r="C5773" s="7" t="str">
        <f>_xlfn.XLOOKUP(Vendas[[#This Row],[ID Vendedor]],Vendedores[ID],Vendedores[Setor])</f>
        <v>AB</v>
      </c>
      <c r="D5773" s="7" t="s">
        <v>24</v>
      </c>
      <c r="E5773" t="str">
        <f>_xlfn.XLOOKUP(Vendas[[#This Row],[ID Item Vendido]],Agregado[ID],Agregado[Produto])</f>
        <v>Resina plástica PET purificada saco de 25kg</v>
      </c>
      <c r="F5773" s="39">
        <v>46190</v>
      </c>
      <c r="G5773" s="7">
        <v>20</v>
      </c>
      <c r="H5773" s="3">
        <f>_xlfn.XLOOKUP(Vendas[[#This Row],[ID Item Vendido]],Agregado[ID],Agregado[Revenda])</f>
        <v>119</v>
      </c>
      <c r="I5773" s="3">
        <f>Vendas[[#This Row],[Valor Unitário]]*Vendas[[#This Row],[Qnt Vendida]]</f>
        <v>2380</v>
      </c>
      <c r="J5773" s="3">
        <f>Vendas[[#This Row],[Valor da Venda]]-(_xlfn.XLOOKUP(Vendas[[#This Row],[ID Item Vendido]],Agregado[ID],Agregado[Custo])*Vendas[[#This Row],[Qnt Vendida]])</f>
        <v>680</v>
      </c>
      <c r="K5773" s="70">
        <f>Vendas[[#This Row],[Lucro da Venda]]/Vendas[[#This Row],[Valor da Venda]]</f>
        <v>0.2857142857142857</v>
      </c>
      <c r="L5773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773"/>
    </row>
    <row r="5774" spans="1:13" x14ac:dyDescent="0.3">
      <c r="A5774" s="7">
        <v>400242</v>
      </c>
      <c r="B5774" t="str">
        <f>_xlfn.XLOOKUP(Vendas[[#This Row],[ID Vendedor]],Vendedores[ID],Vendedores[Nome])</f>
        <v>Fernanda</v>
      </c>
      <c r="C5774" s="7" t="str">
        <f>_xlfn.XLOOKUP(Vendas[[#This Row],[ID Vendedor]],Vendedores[ID],Vendedores[Setor])</f>
        <v>FM</v>
      </c>
      <c r="D5774" s="7" t="s">
        <v>20</v>
      </c>
      <c r="E5774" t="str">
        <f>_xlfn.XLOOKUP(Vendas[[#This Row],[ID Item Vendido]],Agregado[ID],Agregado[Produto])</f>
        <v>Barra de aço simples</v>
      </c>
      <c r="F5774" s="39">
        <v>46190</v>
      </c>
      <c r="G5774" s="7">
        <v>173</v>
      </c>
      <c r="H5774" s="3">
        <f>_xlfn.XLOOKUP(Vendas[[#This Row],[ID Item Vendido]],Agregado[ID],Agregado[Revenda])</f>
        <v>4.8</v>
      </c>
      <c r="I5774" s="3">
        <f>Vendas[[#This Row],[Valor Unitário]]*Vendas[[#This Row],[Qnt Vendida]]</f>
        <v>830.4</v>
      </c>
      <c r="J5774" s="3">
        <f>Vendas[[#This Row],[Valor da Venda]]-(_xlfn.XLOOKUP(Vendas[[#This Row],[ID Item Vendido]],Agregado[ID],Agregado[Custo])*Vendas[[#This Row],[Qnt Vendida]])</f>
        <v>103.79999999999995</v>
      </c>
      <c r="K5774" s="70">
        <f>Vendas[[#This Row],[Lucro da Venda]]/Vendas[[#This Row],[Valor da Venda]]</f>
        <v>0.12499999999999994</v>
      </c>
      <c r="L5774" s="3">
        <f>_xlfn.IFS(Vendas[[#This Row],[Margem de Lucro (%)]]&lt;15%,Vendas[[#This Row],[Valor da Venda]]*3%,Vendas[[#This Row],[Margem de Lucro (%)]]&lt;=20%,Vendas[[#This Row],[Valor da Venda]]*4.5%,TRUE,Vendas[[#This Row],[Valor da Venda]]*6%)</f>
        <v>24.911999999999999</v>
      </c>
      <c r="M5774"/>
    </row>
    <row r="5775" spans="1:13" x14ac:dyDescent="0.3">
      <c r="A5775" s="7">
        <v>400253</v>
      </c>
      <c r="B5775" t="str">
        <f>_xlfn.XLOOKUP(Vendas[[#This Row],[ID Vendedor]],Vendedores[ID],Vendedores[Nome])</f>
        <v>Gustavo</v>
      </c>
      <c r="C5775" s="7" t="str">
        <f>_xlfn.XLOOKUP(Vendas[[#This Row],[ID Vendedor]],Vendedores[ID],Vendedores[Setor])</f>
        <v>SC</v>
      </c>
      <c r="D5775" s="7" t="s">
        <v>41</v>
      </c>
      <c r="E5775" t="str">
        <f>_xlfn.XLOOKUP(Vendas[[#This Row],[ID Item Vendido]],Agregado[ID],Agregado[Produto])</f>
        <v>Palete de madeira reforçado</v>
      </c>
      <c r="F5775" s="39">
        <v>46190</v>
      </c>
      <c r="G5775" s="7">
        <v>3</v>
      </c>
      <c r="H5775" s="3">
        <f>_xlfn.XLOOKUP(Vendas[[#This Row],[ID Item Vendido]],Agregado[ID],Agregado[Revenda])</f>
        <v>131</v>
      </c>
      <c r="I5775" s="3">
        <f>Vendas[[#This Row],[Valor Unitário]]*Vendas[[#This Row],[Qnt Vendida]]</f>
        <v>393</v>
      </c>
      <c r="J5775" s="3">
        <f>Vendas[[#This Row],[Valor da Venda]]-(_xlfn.XLOOKUP(Vendas[[#This Row],[ID Item Vendido]],Agregado[ID],Agregado[Custo])*Vendas[[#This Row],[Qnt Vendida]])</f>
        <v>63</v>
      </c>
      <c r="K5775" s="70">
        <f>Vendas[[#This Row],[Lucro da Venda]]/Vendas[[#This Row],[Valor da Venda]]</f>
        <v>0.16030534351145037</v>
      </c>
      <c r="L5775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5775"/>
    </row>
    <row r="5776" spans="1:13" x14ac:dyDescent="0.3">
      <c r="A5776" s="7">
        <v>400252</v>
      </c>
      <c r="B5776" t="str">
        <f>_xlfn.XLOOKUP(Vendas[[#This Row],[ID Vendedor]],Vendedores[ID],Vendedores[Nome])</f>
        <v>Renata</v>
      </c>
      <c r="C5776" s="7" t="str">
        <f>_xlfn.XLOOKUP(Vendas[[#This Row],[ID Vendedor]],Vendedores[ID],Vendedores[Setor])</f>
        <v>AB</v>
      </c>
      <c r="D5776" s="7" t="s">
        <v>24</v>
      </c>
      <c r="E5776" t="str">
        <f>_xlfn.XLOOKUP(Vendas[[#This Row],[ID Item Vendido]],Agregado[ID],Agregado[Produto])</f>
        <v>Resina plástica PET purificada saco de 25kg</v>
      </c>
      <c r="F5776" s="39">
        <v>46191</v>
      </c>
      <c r="G5776" s="7">
        <v>12</v>
      </c>
      <c r="H5776" s="3">
        <f>_xlfn.XLOOKUP(Vendas[[#This Row],[ID Item Vendido]],Agregado[ID],Agregado[Revenda])</f>
        <v>119</v>
      </c>
      <c r="I5776" s="3">
        <f>Vendas[[#This Row],[Valor Unitário]]*Vendas[[#This Row],[Qnt Vendida]]</f>
        <v>1428</v>
      </c>
      <c r="J5776" s="3">
        <f>Vendas[[#This Row],[Valor da Venda]]-(_xlfn.XLOOKUP(Vendas[[#This Row],[ID Item Vendido]],Agregado[ID],Agregado[Custo])*Vendas[[#This Row],[Qnt Vendida]])</f>
        <v>408</v>
      </c>
      <c r="K5776" s="70">
        <f>Vendas[[#This Row],[Lucro da Venda]]/Vendas[[#This Row],[Valor da Venda]]</f>
        <v>0.2857142857142857</v>
      </c>
      <c r="L5776" s="3">
        <f>_xlfn.IFS(Vendas[[#This Row],[Margem de Lucro (%)]]&lt;15%,Vendas[[#This Row],[Valor da Venda]]*3%,Vendas[[#This Row],[Margem de Lucro (%)]]&lt;=20%,Vendas[[#This Row],[Valor da Venda]]*4.5%,TRUE,Vendas[[#This Row],[Valor da Venda]]*6%)</f>
        <v>85.679999999999993</v>
      </c>
      <c r="M5776"/>
    </row>
    <row r="5777" spans="1:13" x14ac:dyDescent="0.3">
      <c r="A5777" s="7">
        <v>400242</v>
      </c>
      <c r="B5777" t="str">
        <f>_xlfn.XLOOKUP(Vendas[[#This Row],[ID Vendedor]],Vendedores[ID],Vendedores[Nome])</f>
        <v>Fernanda</v>
      </c>
      <c r="C5777" s="7" t="str">
        <f>_xlfn.XLOOKUP(Vendas[[#This Row],[ID Vendedor]],Vendedores[ID],Vendedores[Setor])</f>
        <v>FM</v>
      </c>
      <c r="D5777" s="7" t="s">
        <v>31</v>
      </c>
      <c r="E5777" t="str">
        <f>_xlfn.XLOOKUP(Vendas[[#This Row],[ID Item Vendido]],Agregado[ID],Agregado[Produto])</f>
        <v>Tela de metal soldada rolo 2x25m</v>
      </c>
      <c r="F5777" s="39">
        <v>46191</v>
      </c>
      <c r="G5777" s="7">
        <v>8</v>
      </c>
      <c r="H5777" s="3">
        <f>_xlfn.XLOOKUP(Vendas[[#This Row],[ID Item Vendido]],Agregado[ID],Agregado[Revenda])</f>
        <v>43.7</v>
      </c>
      <c r="I5777" s="3">
        <f>Vendas[[#This Row],[Valor Unitário]]*Vendas[[#This Row],[Qnt Vendida]]</f>
        <v>349.6</v>
      </c>
      <c r="J5777" s="3">
        <f>Vendas[[#This Row],[Valor da Venda]]-(_xlfn.XLOOKUP(Vendas[[#This Row],[ID Item Vendido]],Agregado[ID],Agregado[Custo])*Vendas[[#This Row],[Qnt Vendida]])</f>
        <v>45.600000000000023</v>
      </c>
      <c r="K5777" s="70">
        <f>Vendas[[#This Row],[Lucro da Venda]]/Vendas[[#This Row],[Valor da Venda]]</f>
        <v>0.1304347826086957</v>
      </c>
      <c r="L5777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5777"/>
    </row>
    <row r="5778" spans="1:13" x14ac:dyDescent="0.3">
      <c r="A5778" s="7">
        <v>400252</v>
      </c>
      <c r="B5778" t="str">
        <f>_xlfn.XLOOKUP(Vendas[[#This Row],[ID Vendedor]],Vendedores[ID],Vendedores[Nome])</f>
        <v>Renata</v>
      </c>
      <c r="C5778" s="7" t="str">
        <f>_xlfn.XLOOKUP(Vendas[[#This Row],[ID Vendedor]],Vendedores[ID],Vendedores[Setor])</f>
        <v>AB</v>
      </c>
      <c r="D5778" s="7" t="s">
        <v>37</v>
      </c>
      <c r="E5778" t="str">
        <f>_xlfn.XLOOKUP(Vendas[[#This Row],[ID Item Vendido]],Agregado[ID],Agregado[Produto])</f>
        <v>Composto de borracha para vedação rolo 10m</v>
      </c>
      <c r="F5778" s="39">
        <v>46191</v>
      </c>
      <c r="G5778" s="7">
        <v>6</v>
      </c>
      <c r="H5778" s="3">
        <f>_xlfn.XLOOKUP(Vendas[[#This Row],[ID Item Vendido]],Agregado[ID],Agregado[Revenda])</f>
        <v>51.2</v>
      </c>
      <c r="I5778" s="3">
        <f>Vendas[[#This Row],[Valor Unitário]]*Vendas[[#This Row],[Qnt Vendida]]</f>
        <v>307.20000000000005</v>
      </c>
      <c r="J5778" s="3">
        <f>Vendas[[#This Row],[Valor da Venda]]-(_xlfn.XLOOKUP(Vendas[[#This Row],[ID Item Vendido]],Agregado[ID],Agregado[Custo])*Vendas[[#This Row],[Qnt Vendida]])</f>
        <v>67.200000000000045</v>
      </c>
      <c r="K5778" s="70">
        <f>Vendas[[#This Row],[Lucro da Venda]]/Vendas[[#This Row],[Valor da Venda]]</f>
        <v>0.21875000000000011</v>
      </c>
      <c r="L5778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5778"/>
    </row>
    <row r="5779" spans="1:13" x14ac:dyDescent="0.3">
      <c r="A5779" s="7">
        <v>400242</v>
      </c>
      <c r="B5779" t="str">
        <f>_xlfn.XLOOKUP(Vendas[[#This Row],[ID Vendedor]],Vendedores[ID],Vendedores[Nome])</f>
        <v>Fernanda</v>
      </c>
      <c r="C5779" s="7" t="str">
        <f>_xlfn.XLOOKUP(Vendas[[#This Row],[ID Vendedor]],Vendedores[ID],Vendedores[Setor])</f>
        <v>FM</v>
      </c>
      <c r="D5779" s="7" t="s">
        <v>31</v>
      </c>
      <c r="E5779" t="str">
        <f>_xlfn.XLOOKUP(Vendas[[#This Row],[ID Item Vendido]],Agregado[ID],Agregado[Produto])</f>
        <v>Tela de metal soldada rolo 2x25m</v>
      </c>
      <c r="F5779" s="39">
        <v>46191</v>
      </c>
      <c r="G5779" s="7">
        <v>4</v>
      </c>
      <c r="H5779" s="3">
        <f>_xlfn.XLOOKUP(Vendas[[#This Row],[ID Item Vendido]],Agregado[ID],Agregado[Revenda])</f>
        <v>43.7</v>
      </c>
      <c r="I5779" s="3">
        <f>Vendas[[#This Row],[Valor Unitário]]*Vendas[[#This Row],[Qnt Vendida]]</f>
        <v>174.8</v>
      </c>
      <c r="J5779" s="3">
        <f>Vendas[[#This Row],[Valor da Venda]]-(_xlfn.XLOOKUP(Vendas[[#This Row],[ID Item Vendido]],Agregado[ID],Agregado[Custo])*Vendas[[#This Row],[Qnt Vendida]])</f>
        <v>22.800000000000011</v>
      </c>
      <c r="K5779" s="70">
        <f>Vendas[[#This Row],[Lucro da Venda]]/Vendas[[#This Row],[Valor da Venda]]</f>
        <v>0.1304347826086957</v>
      </c>
      <c r="L5779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5779"/>
    </row>
    <row r="5780" spans="1:13" x14ac:dyDescent="0.3">
      <c r="A5780" s="7">
        <v>400248</v>
      </c>
      <c r="B5780" t="str">
        <f>_xlfn.XLOOKUP(Vendas[[#This Row],[ID Vendedor]],Vendedores[ID],Vendedores[Nome])</f>
        <v>Patrícia</v>
      </c>
      <c r="C5780" s="7" t="str">
        <f>_xlfn.XLOOKUP(Vendas[[#This Row],[ID Vendedor]],Vendedores[ID],Vendedores[Setor])</f>
        <v>CM</v>
      </c>
      <c r="D5780" s="7" t="s">
        <v>34</v>
      </c>
      <c r="E5780" t="str">
        <f>_xlfn.XLOOKUP(Vendas[[#This Row],[ID Item Vendido]],Agregado[ID],Agregado[Produto])</f>
        <v>Restos de madeira p/ MDP/OSB saco de 20kg</v>
      </c>
      <c r="F5780" s="39">
        <v>46191</v>
      </c>
      <c r="G5780" s="7">
        <v>9</v>
      </c>
      <c r="H5780" s="3">
        <f>_xlfn.XLOOKUP(Vendas[[#This Row],[ID Item Vendido]],Agregado[ID],Agregado[Revenda])</f>
        <v>13.8</v>
      </c>
      <c r="I5780" s="3">
        <f>Vendas[[#This Row],[Valor Unitário]]*Vendas[[#This Row],[Qnt Vendida]]</f>
        <v>124.2</v>
      </c>
      <c r="J5780" s="3">
        <f>Vendas[[#This Row],[Valor da Venda]]-(_xlfn.XLOOKUP(Vendas[[#This Row],[ID Item Vendido]],Agregado[ID],Agregado[Custo])*Vendas[[#This Row],[Qnt Vendida]])</f>
        <v>16.200000000000003</v>
      </c>
      <c r="K5780" s="70">
        <f>Vendas[[#This Row],[Lucro da Venda]]/Vendas[[#This Row],[Valor da Venda]]</f>
        <v>0.13043478260869568</v>
      </c>
      <c r="L5780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5780"/>
    </row>
    <row r="5781" spans="1:13" x14ac:dyDescent="0.3">
      <c r="A5781" s="7">
        <v>400245</v>
      </c>
      <c r="B5781" t="str">
        <f>_xlfn.XLOOKUP(Vendas[[#This Row],[ID Vendedor]],Vendedores[ID],Vendedores[Nome])</f>
        <v>Thiago</v>
      </c>
      <c r="C5781" s="7" t="str">
        <f>_xlfn.XLOOKUP(Vendas[[#This Row],[ID Vendedor]],Vendedores[ID],Vendedores[Setor])</f>
        <v>AHD</v>
      </c>
      <c r="D5781" s="7" t="s">
        <v>18</v>
      </c>
      <c r="E5781" t="str">
        <f>_xlfn.XLOOKUP(Vendas[[#This Row],[ID Item Vendido]],Agregado[ID],Agregado[Produto])</f>
        <v>Peça forjada sob encomenda</v>
      </c>
      <c r="F5781" s="39">
        <v>46192</v>
      </c>
      <c r="G5781" s="7">
        <v>5</v>
      </c>
      <c r="H5781" s="3">
        <f>_xlfn.XLOOKUP(Vendas[[#This Row],[ID Item Vendido]],Agregado[ID],Agregado[Revenda])</f>
        <v>264.60000000000002</v>
      </c>
      <c r="I5781" s="3">
        <f>Vendas[[#This Row],[Valor Unitário]]*Vendas[[#This Row],[Qnt Vendida]]</f>
        <v>1323</v>
      </c>
      <c r="J5781" s="3">
        <f>Vendas[[#This Row],[Valor da Venda]]-(_xlfn.XLOOKUP(Vendas[[#This Row],[ID Item Vendido]],Agregado[ID],Agregado[Custo])*Vendas[[#This Row],[Qnt Vendida]])</f>
        <v>73</v>
      </c>
      <c r="K5781" s="70">
        <f>Vendas[[#This Row],[Lucro da Venda]]/Vendas[[#This Row],[Valor da Venda]]</f>
        <v>5.5177626606198037E-2</v>
      </c>
      <c r="L5781" s="3">
        <f>_xlfn.IFS(Vendas[[#This Row],[Margem de Lucro (%)]]&lt;15%,Vendas[[#This Row],[Valor da Venda]]*3%,Vendas[[#This Row],[Margem de Lucro (%)]]&lt;=20%,Vendas[[#This Row],[Valor da Venda]]*4.5%,TRUE,Vendas[[#This Row],[Valor da Venda]]*6%)</f>
        <v>39.69</v>
      </c>
      <c r="M5781"/>
    </row>
    <row r="5782" spans="1:13" x14ac:dyDescent="0.3">
      <c r="A5782" s="7">
        <v>400248</v>
      </c>
      <c r="B5782" t="str">
        <f>_xlfn.XLOOKUP(Vendas[[#This Row],[ID Vendedor]],Vendedores[ID],Vendedores[Nome])</f>
        <v>Patrícia</v>
      </c>
      <c r="C5782" s="7" t="str">
        <f>_xlfn.XLOOKUP(Vendas[[#This Row],[ID Vendedor]],Vendedores[ID],Vendedores[Setor])</f>
        <v>CM</v>
      </c>
      <c r="D5782" s="7" t="s">
        <v>43</v>
      </c>
      <c r="E5782" t="str">
        <f>_xlfn.XLOOKUP(Vendas[[#This Row],[ID Item Vendido]],Agregado[ID],Agregado[Produto])</f>
        <v>Madeira Bruta (Tora)</v>
      </c>
      <c r="F5782" s="39">
        <v>46192</v>
      </c>
      <c r="G5782" s="7">
        <v>3</v>
      </c>
      <c r="H5782" s="3">
        <f>_xlfn.XLOOKUP(Vendas[[#This Row],[ID Item Vendido]],Agregado[ID],Agregado[Revenda])</f>
        <v>212</v>
      </c>
      <c r="I5782" s="3">
        <f>Vendas[[#This Row],[Valor Unitário]]*Vendas[[#This Row],[Qnt Vendida]]</f>
        <v>636</v>
      </c>
      <c r="J5782" s="3">
        <f>Vendas[[#This Row],[Valor da Venda]]-(_xlfn.XLOOKUP(Vendas[[#This Row],[ID Item Vendido]],Agregado[ID],Agregado[Custo])*Vendas[[#This Row],[Qnt Vendida]])</f>
        <v>96</v>
      </c>
      <c r="K5782" s="70">
        <f>Vendas[[#This Row],[Lucro da Venda]]/Vendas[[#This Row],[Valor da Venda]]</f>
        <v>0.15094339622641509</v>
      </c>
      <c r="L5782" s="3">
        <f>_xlfn.IFS(Vendas[[#This Row],[Margem de Lucro (%)]]&lt;15%,Vendas[[#This Row],[Valor da Venda]]*3%,Vendas[[#This Row],[Margem de Lucro (%)]]&lt;=20%,Vendas[[#This Row],[Valor da Venda]]*4.5%,TRUE,Vendas[[#This Row],[Valor da Venda]]*6%)</f>
        <v>28.619999999999997</v>
      </c>
      <c r="M5782"/>
    </row>
    <row r="5783" spans="1:13" x14ac:dyDescent="0.3">
      <c r="A5783" s="7">
        <v>400244</v>
      </c>
      <c r="B5783" t="str">
        <f>_xlfn.XLOOKUP(Vendas[[#This Row],[ID Vendedor]],Vendedores[ID],Vendedores[Nome])</f>
        <v>Camila</v>
      </c>
      <c r="C5783" s="7" t="str">
        <f>_xlfn.XLOOKUP(Vendas[[#This Row],[ID Vendedor]],Vendedores[ID],Vendedores[Setor])</f>
        <v>AHD</v>
      </c>
      <c r="D5783" s="7" t="s">
        <v>9</v>
      </c>
      <c r="E5783" t="str">
        <f>_xlfn.XLOOKUP(Vendas[[#This Row],[ID Item Vendido]],Agregado[ID],Agregado[Produto])</f>
        <v>Barra de aço simples</v>
      </c>
      <c r="F5783" s="39">
        <v>46192</v>
      </c>
      <c r="G5783" s="7">
        <v>19</v>
      </c>
      <c r="H5783" s="3">
        <f>_xlfn.XLOOKUP(Vendas[[#This Row],[ID Item Vendido]],Agregado[ID],Agregado[Revenda])</f>
        <v>6.7</v>
      </c>
      <c r="I5783" s="3">
        <f>Vendas[[#This Row],[Valor Unitário]]*Vendas[[#This Row],[Qnt Vendida]]</f>
        <v>127.3</v>
      </c>
      <c r="J5783" s="3">
        <f>Vendas[[#This Row],[Valor da Venda]]-(_xlfn.XLOOKUP(Vendas[[#This Row],[ID Item Vendido]],Agregado[ID],Agregado[Custo])*Vendas[[#This Row],[Qnt Vendida]])</f>
        <v>17.099999999999994</v>
      </c>
      <c r="K5783" s="70">
        <f>Vendas[[#This Row],[Lucro da Venda]]/Vendas[[#This Row],[Valor da Venda]]</f>
        <v>0.1343283582089552</v>
      </c>
      <c r="L5783" s="3">
        <f>_xlfn.IFS(Vendas[[#This Row],[Margem de Lucro (%)]]&lt;15%,Vendas[[#This Row],[Valor da Venda]]*3%,Vendas[[#This Row],[Margem de Lucro (%)]]&lt;=20%,Vendas[[#This Row],[Valor da Venda]]*4.5%,TRUE,Vendas[[#This Row],[Valor da Venda]]*6%)</f>
        <v>3.819</v>
      </c>
      <c r="M5783"/>
    </row>
    <row r="5784" spans="1:13" x14ac:dyDescent="0.3">
      <c r="A5784" s="7">
        <v>400253</v>
      </c>
      <c r="B5784" t="str">
        <f>_xlfn.XLOOKUP(Vendas[[#This Row],[ID Vendedor]],Vendedores[ID],Vendedores[Nome])</f>
        <v>Gustavo</v>
      </c>
      <c r="C5784" s="7" t="str">
        <f>_xlfn.XLOOKUP(Vendas[[#This Row],[ID Vendedor]],Vendedores[ID],Vendedores[Setor])</f>
        <v>SC</v>
      </c>
      <c r="D5784" s="7" t="s">
        <v>48</v>
      </c>
      <c r="E5784" t="str">
        <f>_xlfn.XLOOKUP(Vendas[[#This Row],[ID Item Vendido]],Agregado[ID],Agregado[Produto])</f>
        <v>Tambor metálico 200L</v>
      </c>
      <c r="F5784" s="39">
        <v>46193</v>
      </c>
      <c r="G5784" s="7">
        <v>18</v>
      </c>
      <c r="H5784" s="3">
        <f>_xlfn.XLOOKUP(Vendas[[#This Row],[ID Item Vendido]],Agregado[ID],Agregado[Revenda])</f>
        <v>144</v>
      </c>
      <c r="I5784" s="3">
        <f>Vendas[[#This Row],[Valor Unitário]]*Vendas[[#This Row],[Qnt Vendida]]</f>
        <v>2592</v>
      </c>
      <c r="J5784" s="3">
        <f>Vendas[[#This Row],[Valor da Venda]]-(_xlfn.XLOOKUP(Vendas[[#This Row],[ID Item Vendido]],Agregado[ID],Agregado[Custo])*Vendas[[#This Row],[Qnt Vendida]])</f>
        <v>432</v>
      </c>
      <c r="K5784" s="70">
        <f>Vendas[[#This Row],[Lucro da Venda]]/Vendas[[#This Row],[Valor da Venda]]</f>
        <v>0.16666666666666666</v>
      </c>
      <c r="L5784" s="3">
        <f>_xlfn.IFS(Vendas[[#This Row],[Margem de Lucro (%)]]&lt;15%,Vendas[[#This Row],[Valor da Venda]]*3%,Vendas[[#This Row],[Margem de Lucro (%)]]&lt;=20%,Vendas[[#This Row],[Valor da Venda]]*4.5%,TRUE,Vendas[[#This Row],[Valor da Venda]]*6%)</f>
        <v>116.64</v>
      </c>
      <c r="M5784"/>
    </row>
    <row r="5785" spans="1:13" x14ac:dyDescent="0.3">
      <c r="A5785" s="7">
        <v>400244</v>
      </c>
      <c r="B5785" t="str">
        <f>_xlfn.XLOOKUP(Vendas[[#This Row],[ID Vendedor]],Vendedores[ID],Vendedores[Nome])</f>
        <v>Camila</v>
      </c>
      <c r="C5785" s="7" t="str">
        <f>_xlfn.XLOOKUP(Vendas[[#This Row],[ID Vendedor]],Vendedores[ID],Vendedores[Setor])</f>
        <v>AHD</v>
      </c>
      <c r="D5785" s="7" t="s">
        <v>30</v>
      </c>
      <c r="E5785" t="str">
        <f>_xlfn.XLOOKUP(Vendas[[#This Row],[ID Item Vendido]],Agregado[ID],Agregado[Produto])</f>
        <v>Estrutura metálica soldada</v>
      </c>
      <c r="F5785" s="39">
        <v>46193</v>
      </c>
      <c r="G5785" s="7">
        <v>5</v>
      </c>
      <c r="H5785" s="3">
        <f>_xlfn.XLOOKUP(Vendas[[#This Row],[ID Item Vendido]],Agregado[ID],Agregado[Revenda])</f>
        <v>400</v>
      </c>
      <c r="I5785" s="3">
        <f>Vendas[[#This Row],[Valor Unitário]]*Vendas[[#This Row],[Qnt Vendida]]</f>
        <v>2000</v>
      </c>
      <c r="J5785" s="3">
        <f>Vendas[[#This Row],[Valor da Venda]]-(_xlfn.XLOOKUP(Vendas[[#This Row],[ID Item Vendido]],Agregado[ID],Agregado[Custo])*Vendas[[#This Row],[Qnt Vendida]])</f>
        <v>400</v>
      </c>
      <c r="K5785" s="70">
        <f>Vendas[[#This Row],[Lucro da Venda]]/Vendas[[#This Row],[Valor da Venda]]</f>
        <v>0.2</v>
      </c>
      <c r="L5785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785"/>
    </row>
    <row r="5786" spans="1:13" x14ac:dyDescent="0.3">
      <c r="A5786" s="7">
        <v>400250</v>
      </c>
      <c r="B5786" t="str">
        <f>_xlfn.XLOOKUP(Vendas[[#This Row],[ID Vendedor]],Vendedores[ID],Vendedores[Nome])</f>
        <v>Larissa</v>
      </c>
      <c r="C5786" s="7" t="str">
        <f>_xlfn.XLOOKUP(Vendas[[#This Row],[ID Vendedor]],Vendedores[ID],Vendedores[Setor])</f>
        <v>AB</v>
      </c>
      <c r="D5786" s="7" t="s">
        <v>39</v>
      </c>
      <c r="E5786" t="str">
        <f>_xlfn.XLOOKUP(Vendas[[#This Row],[ID Item Vendido]],Agregado[ID],Agregado[Produto])</f>
        <v>Filme plástico industrial rolo 50m</v>
      </c>
      <c r="F5786" s="39">
        <v>46193</v>
      </c>
      <c r="G5786" s="7">
        <v>13</v>
      </c>
      <c r="H5786" s="3">
        <f>_xlfn.XLOOKUP(Vendas[[#This Row],[ID Item Vendido]],Agregado[ID],Agregado[Revenda])</f>
        <v>37</v>
      </c>
      <c r="I5786" s="3">
        <f>Vendas[[#This Row],[Valor Unitário]]*Vendas[[#This Row],[Qnt Vendida]]</f>
        <v>481</v>
      </c>
      <c r="J5786" s="3">
        <f>Vendas[[#This Row],[Valor da Venda]]-(_xlfn.XLOOKUP(Vendas[[#This Row],[ID Item Vendido]],Agregado[ID],Agregado[Custo])*Vendas[[#This Row],[Qnt Vendida]])</f>
        <v>117</v>
      </c>
      <c r="K5786" s="70">
        <f>Vendas[[#This Row],[Lucro da Venda]]/Vendas[[#This Row],[Valor da Venda]]</f>
        <v>0.24324324324324326</v>
      </c>
      <c r="L5786" s="3">
        <f>_xlfn.IFS(Vendas[[#This Row],[Margem de Lucro (%)]]&lt;15%,Vendas[[#This Row],[Valor da Venda]]*3%,Vendas[[#This Row],[Margem de Lucro (%)]]&lt;=20%,Vendas[[#This Row],[Valor da Venda]]*4.5%,TRUE,Vendas[[#This Row],[Valor da Venda]]*6%)</f>
        <v>28.86</v>
      </c>
      <c r="M5786"/>
    </row>
    <row r="5787" spans="1:13" x14ac:dyDescent="0.3">
      <c r="A5787" s="7">
        <v>400252</v>
      </c>
      <c r="B5787" t="str">
        <f>_xlfn.XLOOKUP(Vendas[[#This Row],[ID Vendedor]],Vendedores[ID],Vendedores[Nome])</f>
        <v>Renata</v>
      </c>
      <c r="C5787" s="7" t="str">
        <f>_xlfn.XLOOKUP(Vendas[[#This Row],[ID Vendedor]],Vendedores[ID],Vendedores[Setor])</f>
        <v>AB</v>
      </c>
      <c r="D5787" s="7" t="s">
        <v>39</v>
      </c>
      <c r="E5787" t="str">
        <f>_xlfn.XLOOKUP(Vendas[[#This Row],[ID Item Vendido]],Agregado[ID],Agregado[Produto])</f>
        <v>Filme plástico industrial rolo 50m</v>
      </c>
      <c r="F5787" s="39">
        <v>46193</v>
      </c>
      <c r="G5787" s="7">
        <v>12</v>
      </c>
      <c r="H5787" s="3">
        <f>_xlfn.XLOOKUP(Vendas[[#This Row],[ID Item Vendido]],Agregado[ID],Agregado[Revenda])</f>
        <v>37</v>
      </c>
      <c r="I5787" s="3">
        <f>Vendas[[#This Row],[Valor Unitário]]*Vendas[[#This Row],[Qnt Vendida]]</f>
        <v>444</v>
      </c>
      <c r="J5787" s="3">
        <f>Vendas[[#This Row],[Valor da Venda]]-(_xlfn.XLOOKUP(Vendas[[#This Row],[ID Item Vendido]],Agregado[ID],Agregado[Custo])*Vendas[[#This Row],[Qnt Vendida]])</f>
        <v>108</v>
      </c>
      <c r="K5787" s="70">
        <f>Vendas[[#This Row],[Lucro da Venda]]/Vendas[[#This Row],[Valor da Venda]]</f>
        <v>0.24324324324324326</v>
      </c>
      <c r="L5787" s="3">
        <f>_xlfn.IFS(Vendas[[#This Row],[Margem de Lucro (%)]]&lt;15%,Vendas[[#This Row],[Valor da Venda]]*3%,Vendas[[#This Row],[Margem de Lucro (%)]]&lt;=20%,Vendas[[#This Row],[Valor da Venda]]*4.5%,TRUE,Vendas[[#This Row],[Valor da Venda]]*6%)</f>
        <v>26.64</v>
      </c>
      <c r="M5787"/>
    </row>
    <row r="5788" spans="1:13" x14ac:dyDescent="0.3">
      <c r="A5788" s="7">
        <v>400245</v>
      </c>
      <c r="B5788" t="str">
        <f>_xlfn.XLOOKUP(Vendas[[#This Row],[ID Vendedor]],Vendedores[ID],Vendedores[Nome])</f>
        <v>Thiago</v>
      </c>
      <c r="C5788" s="7" t="str">
        <f>_xlfn.XLOOKUP(Vendas[[#This Row],[ID Vendedor]],Vendedores[ID],Vendedores[Setor])</f>
        <v>AHD</v>
      </c>
      <c r="D5788" s="7" t="s">
        <v>28</v>
      </c>
      <c r="E5788" t="str">
        <f>_xlfn.XLOOKUP(Vendas[[#This Row],[ID Item Vendido]],Agregado[ID],Agregado[Produto])</f>
        <v>Peça usinada CNC</v>
      </c>
      <c r="F5788" s="39">
        <v>46193</v>
      </c>
      <c r="G5788" s="7">
        <v>1</v>
      </c>
      <c r="H5788" s="3">
        <f>_xlfn.XLOOKUP(Vendas[[#This Row],[ID Item Vendido]],Agregado[ID],Agregado[Revenda])</f>
        <v>192</v>
      </c>
      <c r="I5788" s="3">
        <f>Vendas[[#This Row],[Valor Unitário]]*Vendas[[#This Row],[Qnt Vendida]]</f>
        <v>192</v>
      </c>
      <c r="J5788" s="3">
        <f>Vendas[[#This Row],[Valor da Venda]]-(_xlfn.XLOOKUP(Vendas[[#This Row],[ID Item Vendido]],Agregado[ID],Agregado[Custo])*Vendas[[#This Row],[Qnt Vendida]])</f>
        <v>42</v>
      </c>
      <c r="K5788" s="70">
        <f>Vendas[[#This Row],[Lucro da Venda]]/Vendas[[#This Row],[Valor da Venda]]</f>
        <v>0.21875</v>
      </c>
      <c r="L5788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5788"/>
    </row>
    <row r="5789" spans="1:13" x14ac:dyDescent="0.3">
      <c r="A5789" s="7">
        <v>400254</v>
      </c>
      <c r="B5789" t="str">
        <f>_xlfn.XLOOKUP(Vendas[[#This Row],[ID Vendedor]],Vendedores[ID],Vendedores[Nome])</f>
        <v>Beatriz</v>
      </c>
      <c r="C5789" s="7" t="str">
        <f>_xlfn.XLOOKUP(Vendas[[#This Row],[ID Vendedor]],Vendedores[ID],Vendedores[Setor])</f>
        <v>SC</v>
      </c>
      <c r="D5789" s="7" t="s">
        <v>41</v>
      </c>
      <c r="E5789" t="str">
        <f>_xlfn.XLOOKUP(Vendas[[#This Row],[ID Item Vendido]],Agregado[ID],Agregado[Produto])</f>
        <v>Palete de madeira reforçado</v>
      </c>
      <c r="F5789" s="39">
        <v>46195</v>
      </c>
      <c r="G5789" s="7">
        <v>8</v>
      </c>
      <c r="H5789" s="3">
        <f>_xlfn.XLOOKUP(Vendas[[#This Row],[ID Item Vendido]],Agregado[ID],Agregado[Revenda])</f>
        <v>131</v>
      </c>
      <c r="I5789" s="3">
        <f>Vendas[[#This Row],[Valor Unitário]]*Vendas[[#This Row],[Qnt Vendida]]</f>
        <v>1048</v>
      </c>
      <c r="J5789" s="3">
        <f>Vendas[[#This Row],[Valor da Venda]]-(_xlfn.XLOOKUP(Vendas[[#This Row],[ID Item Vendido]],Agregado[ID],Agregado[Custo])*Vendas[[#This Row],[Qnt Vendida]])</f>
        <v>168</v>
      </c>
      <c r="K5789" s="70">
        <f>Vendas[[#This Row],[Lucro da Venda]]/Vendas[[#This Row],[Valor da Venda]]</f>
        <v>0.16030534351145037</v>
      </c>
      <c r="L5789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5789"/>
    </row>
    <row r="5790" spans="1:13" x14ac:dyDescent="0.3">
      <c r="A5790" s="7">
        <v>400254</v>
      </c>
      <c r="B5790" t="str">
        <f>_xlfn.XLOOKUP(Vendas[[#This Row],[ID Vendedor]],Vendedores[ID],Vendedores[Nome])</f>
        <v>Beatriz</v>
      </c>
      <c r="C5790" s="7" t="str">
        <f>_xlfn.XLOOKUP(Vendas[[#This Row],[ID Vendedor]],Vendedores[ID],Vendedores[Setor])</f>
        <v>SC</v>
      </c>
      <c r="D5790" s="7" t="s">
        <v>42</v>
      </c>
      <c r="E5790" t="str">
        <f>_xlfn.XLOOKUP(Vendas[[#This Row],[ID Item Vendido]],Agregado[ID],Agregado[Produto])</f>
        <v>Container de ferro industrial</v>
      </c>
      <c r="F5790" s="39">
        <v>46196</v>
      </c>
      <c r="G5790" s="7">
        <v>6</v>
      </c>
      <c r="H5790" s="3">
        <f>_xlfn.XLOOKUP(Vendas[[#This Row],[ID Item Vendido]],Agregado[ID],Agregado[Revenda])</f>
        <v>830</v>
      </c>
      <c r="I5790" s="3">
        <f>Vendas[[#This Row],[Valor Unitário]]*Vendas[[#This Row],[Qnt Vendida]]</f>
        <v>4980</v>
      </c>
      <c r="J5790" s="3">
        <f>Vendas[[#This Row],[Valor da Venda]]-(_xlfn.XLOOKUP(Vendas[[#This Row],[ID Item Vendido]],Agregado[ID],Agregado[Custo])*Vendas[[#This Row],[Qnt Vendida]])</f>
        <v>900</v>
      </c>
      <c r="K5790" s="70">
        <f>Vendas[[#This Row],[Lucro da Venda]]/Vendas[[#This Row],[Valor da Venda]]</f>
        <v>0.18072289156626506</v>
      </c>
      <c r="L5790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790"/>
    </row>
    <row r="5791" spans="1:13" x14ac:dyDescent="0.3">
      <c r="A5791" s="7">
        <v>400254</v>
      </c>
      <c r="B5791" t="str">
        <f>_xlfn.XLOOKUP(Vendas[[#This Row],[ID Vendedor]],Vendedores[ID],Vendedores[Nome])</f>
        <v>Beatriz</v>
      </c>
      <c r="C5791" s="7" t="str">
        <f>_xlfn.XLOOKUP(Vendas[[#This Row],[ID Vendedor]],Vendedores[ID],Vendedores[Setor])</f>
        <v>SC</v>
      </c>
      <c r="D5791" s="7" t="s">
        <v>14</v>
      </c>
      <c r="E5791" t="str">
        <f>_xlfn.XLOOKUP(Vendas[[#This Row],[ID Item Vendido]],Agregado[ID],Agregado[Produto])</f>
        <v>Barril de plástico 200L</v>
      </c>
      <c r="F5791" s="39">
        <v>46196</v>
      </c>
      <c r="G5791" s="7">
        <v>12</v>
      </c>
      <c r="H5791" s="3">
        <f>_xlfn.XLOOKUP(Vendas[[#This Row],[ID Item Vendido]],Agregado[ID],Agregado[Revenda])</f>
        <v>114</v>
      </c>
      <c r="I5791" s="3">
        <f>Vendas[[#This Row],[Valor Unitário]]*Vendas[[#This Row],[Qnt Vendida]]</f>
        <v>1368</v>
      </c>
      <c r="J5791" s="3">
        <f>Vendas[[#This Row],[Valor da Venda]]-(_xlfn.XLOOKUP(Vendas[[#This Row],[ID Item Vendido]],Agregado[ID],Agregado[Custo])*Vendas[[#This Row],[Qnt Vendida]])</f>
        <v>228</v>
      </c>
      <c r="K5791" s="70">
        <f>Vendas[[#This Row],[Lucro da Venda]]/Vendas[[#This Row],[Valor da Venda]]</f>
        <v>0.16666666666666666</v>
      </c>
      <c r="L5791" s="3">
        <f>_xlfn.IFS(Vendas[[#This Row],[Margem de Lucro (%)]]&lt;15%,Vendas[[#This Row],[Valor da Venda]]*3%,Vendas[[#This Row],[Margem de Lucro (%)]]&lt;=20%,Vendas[[#This Row],[Valor da Venda]]*4.5%,TRUE,Vendas[[#This Row],[Valor da Venda]]*6%)</f>
        <v>61.559999999999995</v>
      </c>
      <c r="M5791"/>
    </row>
    <row r="5792" spans="1:13" x14ac:dyDescent="0.3">
      <c r="A5792" s="7">
        <v>400254</v>
      </c>
      <c r="B5792" t="str">
        <f>_xlfn.XLOOKUP(Vendas[[#This Row],[ID Vendedor]],Vendedores[ID],Vendedores[Nome])</f>
        <v>Beatriz</v>
      </c>
      <c r="C5792" s="7" t="str">
        <f>_xlfn.XLOOKUP(Vendas[[#This Row],[ID Vendedor]],Vendedores[ID],Vendedores[Setor])</f>
        <v>SC</v>
      </c>
      <c r="D5792" s="7" t="s">
        <v>14</v>
      </c>
      <c r="E5792" t="str">
        <f>_xlfn.XLOOKUP(Vendas[[#This Row],[ID Item Vendido]],Agregado[ID],Agregado[Produto])</f>
        <v>Barril de plástico 200L</v>
      </c>
      <c r="F5792" s="39">
        <v>46196</v>
      </c>
      <c r="G5792" s="7">
        <v>11</v>
      </c>
      <c r="H5792" s="3">
        <f>_xlfn.XLOOKUP(Vendas[[#This Row],[ID Item Vendido]],Agregado[ID],Agregado[Revenda])</f>
        <v>114</v>
      </c>
      <c r="I5792" s="3">
        <f>Vendas[[#This Row],[Valor Unitário]]*Vendas[[#This Row],[Qnt Vendida]]</f>
        <v>1254</v>
      </c>
      <c r="J5792" s="3">
        <f>Vendas[[#This Row],[Valor da Venda]]-(_xlfn.XLOOKUP(Vendas[[#This Row],[ID Item Vendido]],Agregado[ID],Agregado[Custo])*Vendas[[#This Row],[Qnt Vendida]])</f>
        <v>209</v>
      </c>
      <c r="K5792" s="70">
        <f>Vendas[[#This Row],[Lucro da Venda]]/Vendas[[#This Row],[Valor da Venda]]</f>
        <v>0.16666666666666666</v>
      </c>
      <c r="L5792" s="3">
        <f>_xlfn.IFS(Vendas[[#This Row],[Margem de Lucro (%)]]&lt;15%,Vendas[[#This Row],[Valor da Venda]]*3%,Vendas[[#This Row],[Margem de Lucro (%)]]&lt;=20%,Vendas[[#This Row],[Valor da Venda]]*4.5%,TRUE,Vendas[[#This Row],[Valor da Venda]]*6%)</f>
        <v>56.43</v>
      </c>
      <c r="M5792"/>
    </row>
    <row r="5793" spans="1:13" x14ac:dyDescent="0.3">
      <c r="A5793" s="7">
        <v>400252</v>
      </c>
      <c r="B5793" t="str">
        <f>_xlfn.XLOOKUP(Vendas[[#This Row],[ID Vendedor]],Vendedores[ID],Vendedores[Nome])</f>
        <v>Renata</v>
      </c>
      <c r="C5793" s="7" t="str">
        <f>_xlfn.XLOOKUP(Vendas[[#This Row],[ID Vendedor]],Vendedores[ID],Vendedores[Setor])</f>
        <v>AB</v>
      </c>
      <c r="D5793" s="7" t="s">
        <v>37</v>
      </c>
      <c r="E5793" t="str">
        <f>_xlfn.XLOOKUP(Vendas[[#This Row],[ID Item Vendido]],Agregado[ID],Agregado[Produto])</f>
        <v>Composto de borracha para vedação rolo 10m</v>
      </c>
      <c r="F5793" s="39">
        <v>46196</v>
      </c>
      <c r="G5793" s="7">
        <v>16</v>
      </c>
      <c r="H5793" s="3">
        <f>_xlfn.XLOOKUP(Vendas[[#This Row],[ID Item Vendido]],Agregado[ID],Agregado[Revenda])</f>
        <v>51.2</v>
      </c>
      <c r="I5793" s="3">
        <f>Vendas[[#This Row],[Valor Unitário]]*Vendas[[#This Row],[Qnt Vendida]]</f>
        <v>819.2</v>
      </c>
      <c r="J5793" s="3">
        <f>Vendas[[#This Row],[Valor da Venda]]-(_xlfn.XLOOKUP(Vendas[[#This Row],[ID Item Vendido]],Agregado[ID],Agregado[Custo])*Vendas[[#This Row],[Qnt Vendida]])</f>
        <v>179.20000000000005</v>
      </c>
      <c r="K5793" s="70">
        <f>Vendas[[#This Row],[Lucro da Venda]]/Vendas[[#This Row],[Valor da Venda]]</f>
        <v>0.21875000000000006</v>
      </c>
      <c r="L5793" s="3">
        <f>_xlfn.IFS(Vendas[[#This Row],[Margem de Lucro (%)]]&lt;15%,Vendas[[#This Row],[Valor da Venda]]*3%,Vendas[[#This Row],[Margem de Lucro (%)]]&lt;=20%,Vendas[[#This Row],[Valor da Venda]]*4.5%,TRUE,Vendas[[#This Row],[Valor da Venda]]*6%)</f>
        <v>49.152000000000001</v>
      </c>
      <c r="M5793"/>
    </row>
    <row r="5794" spans="1:13" x14ac:dyDescent="0.3">
      <c r="A5794" s="7">
        <v>400242</v>
      </c>
      <c r="B5794" t="str">
        <f>_xlfn.XLOOKUP(Vendas[[#This Row],[ID Vendedor]],Vendedores[ID],Vendedores[Nome])</f>
        <v>Fernanda</v>
      </c>
      <c r="C5794" s="7" t="str">
        <f>_xlfn.XLOOKUP(Vendas[[#This Row],[ID Vendedor]],Vendedores[ID],Vendedores[Setor])</f>
        <v>FM</v>
      </c>
      <c r="D5794" s="7" t="s">
        <v>47</v>
      </c>
      <c r="E5794" t="str">
        <f>_xlfn.XLOOKUP(Vendas[[#This Row],[ID Item Vendido]],Agregado[ID],Agregado[Produto])</f>
        <v>Fio de arame galvanizado rolo 50m</v>
      </c>
      <c r="F5794" s="39">
        <v>46196</v>
      </c>
      <c r="G5794" s="7">
        <v>29</v>
      </c>
      <c r="H5794" s="3">
        <f>_xlfn.XLOOKUP(Vendas[[#This Row],[ID Item Vendido]],Agregado[ID],Agregado[Revenda])</f>
        <v>21.2</v>
      </c>
      <c r="I5794" s="3">
        <f>Vendas[[#This Row],[Valor Unitário]]*Vendas[[#This Row],[Qnt Vendida]]</f>
        <v>614.79999999999995</v>
      </c>
      <c r="J5794" s="3">
        <f>Vendas[[#This Row],[Valor da Venda]]-(_xlfn.XLOOKUP(Vendas[[#This Row],[ID Item Vendido]],Agregado[ID],Agregado[Custo])*Vendas[[#This Row],[Qnt Vendida]])</f>
        <v>92.799999999999955</v>
      </c>
      <c r="K5794" s="70">
        <f>Vendas[[#This Row],[Lucro da Venda]]/Vendas[[#This Row],[Valor da Venda]]</f>
        <v>0.15094339622641503</v>
      </c>
      <c r="L5794" s="3">
        <f>_xlfn.IFS(Vendas[[#This Row],[Margem de Lucro (%)]]&lt;15%,Vendas[[#This Row],[Valor da Venda]]*3%,Vendas[[#This Row],[Margem de Lucro (%)]]&lt;=20%,Vendas[[#This Row],[Valor da Venda]]*4.5%,TRUE,Vendas[[#This Row],[Valor da Venda]]*6%)</f>
        <v>27.665999999999997</v>
      </c>
      <c r="M5794"/>
    </row>
    <row r="5795" spans="1:13" x14ac:dyDescent="0.3">
      <c r="A5795" s="7">
        <v>400251</v>
      </c>
      <c r="B5795" t="str">
        <f>_xlfn.XLOOKUP(Vendas[[#This Row],[ID Vendedor]],Vendedores[ID],Vendedores[Nome])</f>
        <v>Diego</v>
      </c>
      <c r="C5795" s="7" t="str">
        <f>_xlfn.XLOOKUP(Vendas[[#This Row],[ID Vendedor]],Vendedores[ID],Vendedores[Setor])</f>
        <v>AB</v>
      </c>
      <c r="D5795" s="7" t="s">
        <v>39</v>
      </c>
      <c r="E5795" t="str">
        <f>_xlfn.XLOOKUP(Vendas[[#This Row],[ID Item Vendido]],Agregado[ID],Agregado[Produto])</f>
        <v>Filme plástico industrial rolo 50m</v>
      </c>
      <c r="F5795" s="39">
        <v>46196</v>
      </c>
      <c r="G5795" s="7">
        <v>10</v>
      </c>
      <c r="H5795" s="3">
        <f>_xlfn.XLOOKUP(Vendas[[#This Row],[ID Item Vendido]],Agregado[ID],Agregado[Revenda])</f>
        <v>37</v>
      </c>
      <c r="I5795" s="3">
        <f>Vendas[[#This Row],[Valor Unitário]]*Vendas[[#This Row],[Qnt Vendida]]</f>
        <v>370</v>
      </c>
      <c r="J5795" s="3">
        <f>Vendas[[#This Row],[Valor da Venda]]-(_xlfn.XLOOKUP(Vendas[[#This Row],[ID Item Vendido]],Agregado[ID],Agregado[Custo])*Vendas[[#This Row],[Qnt Vendida]])</f>
        <v>90</v>
      </c>
      <c r="K5795" s="70">
        <f>Vendas[[#This Row],[Lucro da Venda]]/Vendas[[#This Row],[Valor da Venda]]</f>
        <v>0.24324324324324326</v>
      </c>
      <c r="L5795" s="3">
        <f>_xlfn.IFS(Vendas[[#This Row],[Margem de Lucro (%)]]&lt;15%,Vendas[[#This Row],[Valor da Venda]]*3%,Vendas[[#This Row],[Margem de Lucro (%)]]&lt;=20%,Vendas[[#This Row],[Valor da Venda]]*4.5%,TRUE,Vendas[[#This Row],[Valor da Venda]]*6%)</f>
        <v>22.2</v>
      </c>
      <c r="M5795"/>
    </row>
    <row r="5796" spans="1:13" x14ac:dyDescent="0.3">
      <c r="A5796" s="7">
        <v>400243</v>
      </c>
      <c r="B5796" t="str">
        <f>_xlfn.XLOOKUP(Vendas[[#This Row],[ID Vendedor]],Vendedores[ID],Vendedores[Nome])</f>
        <v>Marcelo</v>
      </c>
      <c r="C5796" s="7" t="str">
        <f>_xlfn.XLOOKUP(Vendas[[#This Row],[ID Vendedor]],Vendedores[ID],Vendedores[Setor])</f>
        <v>FM</v>
      </c>
      <c r="D5796" s="7" t="s">
        <v>31</v>
      </c>
      <c r="E5796" t="str">
        <f>_xlfn.XLOOKUP(Vendas[[#This Row],[ID Item Vendido]],Agregado[ID],Agregado[Produto])</f>
        <v>Tela de metal soldada rolo 2x25m</v>
      </c>
      <c r="F5796" s="39">
        <v>46196</v>
      </c>
      <c r="G5796" s="7">
        <v>6</v>
      </c>
      <c r="H5796" s="3">
        <f>_xlfn.XLOOKUP(Vendas[[#This Row],[ID Item Vendido]],Agregado[ID],Agregado[Revenda])</f>
        <v>43.7</v>
      </c>
      <c r="I5796" s="3">
        <f>Vendas[[#This Row],[Valor Unitário]]*Vendas[[#This Row],[Qnt Vendida]]</f>
        <v>262.20000000000005</v>
      </c>
      <c r="J5796" s="3">
        <f>Vendas[[#This Row],[Valor da Venda]]-(_xlfn.XLOOKUP(Vendas[[#This Row],[ID Item Vendido]],Agregado[ID],Agregado[Custo])*Vendas[[#This Row],[Qnt Vendida]])</f>
        <v>34.200000000000045</v>
      </c>
      <c r="K5796" s="70">
        <f>Vendas[[#This Row],[Lucro da Venda]]/Vendas[[#This Row],[Valor da Venda]]</f>
        <v>0.13043478260869582</v>
      </c>
      <c r="L5796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5796"/>
    </row>
    <row r="5797" spans="1:13" x14ac:dyDescent="0.3">
      <c r="A5797" s="7">
        <v>400244</v>
      </c>
      <c r="B5797" t="str">
        <f>_xlfn.XLOOKUP(Vendas[[#This Row],[ID Vendedor]],Vendedores[ID],Vendedores[Nome])</f>
        <v>Camila</v>
      </c>
      <c r="C5797" s="7" t="str">
        <f>_xlfn.XLOOKUP(Vendas[[#This Row],[ID Vendedor]],Vendedores[ID],Vendedores[Setor])</f>
        <v>AHD</v>
      </c>
      <c r="D5797" s="7" t="s">
        <v>18</v>
      </c>
      <c r="E5797" t="str">
        <f>_xlfn.XLOOKUP(Vendas[[#This Row],[ID Item Vendido]],Agregado[ID],Agregado[Produto])</f>
        <v>Peça forjada sob encomenda</v>
      </c>
      <c r="F5797" s="39">
        <v>46197</v>
      </c>
      <c r="G5797" s="7">
        <v>6</v>
      </c>
      <c r="H5797" s="3">
        <f>_xlfn.XLOOKUP(Vendas[[#This Row],[ID Item Vendido]],Agregado[ID],Agregado[Revenda])</f>
        <v>264.60000000000002</v>
      </c>
      <c r="I5797" s="3">
        <f>Vendas[[#This Row],[Valor Unitário]]*Vendas[[#This Row],[Qnt Vendida]]</f>
        <v>1587.6000000000001</v>
      </c>
      <c r="J5797" s="3">
        <f>Vendas[[#This Row],[Valor da Venda]]-(_xlfn.XLOOKUP(Vendas[[#This Row],[ID Item Vendido]],Agregado[ID],Agregado[Custo])*Vendas[[#This Row],[Qnt Vendida]])</f>
        <v>87.600000000000136</v>
      </c>
      <c r="K5797" s="70">
        <f>Vendas[[#This Row],[Lucro da Venda]]/Vendas[[#This Row],[Valor da Venda]]</f>
        <v>5.5177626606198113E-2</v>
      </c>
      <c r="L579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797"/>
    </row>
    <row r="5798" spans="1:13" x14ac:dyDescent="0.3">
      <c r="A5798" s="7">
        <v>400246</v>
      </c>
      <c r="B5798" t="str">
        <f>_xlfn.XLOOKUP(Vendas[[#This Row],[ID Vendedor]],Vendedores[ID],Vendedores[Nome])</f>
        <v>Juliana</v>
      </c>
      <c r="C5798" s="7" t="str">
        <f>_xlfn.XLOOKUP(Vendas[[#This Row],[ID Vendedor]],Vendedores[ID],Vendedores[Setor])</f>
        <v>AHD</v>
      </c>
      <c r="D5798" s="7" t="s">
        <v>9</v>
      </c>
      <c r="E5798" t="str">
        <f>_xlfn.XLOOKUP(Vendas[[#This Row],[ID Item Vendido]],Agregado[ID],Agregado[Produto])</f>
        <v>Barra de aço simples</v>
      </c>
      <c r="F5798" s="39">
        <v>46197</v>
      </c>
      <c r="G5798" s="7">
        <v>39</v>
      </c>
      <c r="H5798" s="3">
        <f>_xlfn.XLOOKUP(Vendas[[#This Row],[ID Item Vendido]],Agregado[ID],Agregado[Revenda])</f>
        <v>6.7</v>
      </c>
      <c r="I5798" s="3">
        <f>Vendas[[#This Row],[Valor Unitário]]*Vendas[[#This Row],[Qnt Vendida]]</f>
        <v>261.3</v>
      </c>
      <c r="J5798" s="3">
        <f>Vendas[[#This Row],[Valor da Venda]]-(_xlfn.XLOOKUP(Vendas[[#This Row],[ID Item Vendido]],Agregado[ID],Agregado[Custo])*Vendas[[#This Row],[Qnt Vendida]])</f>
        <v>35.100000000000023</v>
      </c>
      <c r="K5798" s="70">
        <f>Vendas[[#This Row],[Lucro da Venda]]/Vendas[[#This Row],[Valor da Venda]]</f>
        <v>0.13432835820895531</v>
      </c>
      <c r="L5798" s="3">
        <f>_xlfn.IFS(Vendas[[#This Row],[Margem de Lucro (%)]]&lt;15%,Vendas[[#This Row],[Valor da Venda]]*3%,Vendas[[#This Row],[Margem de Lucro (%)]]&lt;=20%,Vendas[[#This Row],[Valor da Venda]]*4.5%,TRUE,Vendas[[#This Row],[Valor da Venda]]*6%)</f>
        <v>7.8390000000000004</v>
      </c>
      <c r="M5798"/>
    </row>
    <row r="5799" spans="1:13" x14ac:dyDescent="0.3">
      <c r="A5799" s="7">
        <v>400251</v>
      </c>
      <c r="B5799" t="str">
        <f>_xlfn.XLOOKUP(Vendas[[#This Row],[ID Vendedor]],Vendedores[ID],Vendedores[Nome])</f>
        <v>Diego</v>
      </c>
      <c r="C5799" s="7" t="str">
        <f>_xlfn.XLOOKUP(Vendas[[#This Row],[ID Vendedor]],Vendedores[ID],Vendedores[Setor])</f>
        <v>AB</v>
      </c>
      <c r="D5799" s="7" t="s">
        <v>36</v>
      </c>
      <c r="E5799" t="str">
        <f>_xlfn.XLOOKUP(Vendas[[#This Row],[ID Item Vendido]],Agregado[ID],Agregado[Produto])</f>
        <v>Borracha vulcanizada em manta</v>
      </c>
      <c r="F5799" s="39">
        <v>46198</v>
      </c>
      <c r="G5799" s="7">
        <v>94</v>
      </c>
      <c r="H5799" s="3">
        <f>_xlfn.XLOOKUP(Vendas[[#This Row],[ID Item Vendido]],Agregado[ID],Agregado[Revenda])</f>
        <v>7.8</v>
      </c>
      <c r="I5799" s="3">
        <f>Vendas[[#This Row],[Valor Unitário]]*Vendas[[#This Row],[Qnt Vendida]]</f>
        <v>733.19999999999993</v>
      </c>
      <c r="J5799" s="3">
        <f>Vendas[[#This Row],[Valor da Venda]]-(_xlfn.XLOOKUP(Vendas[[#This Row],[ID Item Vendido]],Agregado[ID],Agregado[Custo])*Vendas[[#This Row],[Qnt Vendida]])</f>
        <v>169.19999999999993</v>
      </c>
      <c r="K5799" s="70">
        <f>Vendas[[#This Row],[Lucro da Venda]]/Vendas[[#This Row],[Valor da Venda]]</f>
        <v>0.2307692307692307</v>
      </c>
      <c r="L5799" s="3">
        <f>_xlfn.IFS(Vendas[[#This Row],[Margem de Lucro (%)]]&lt;15%,Vendas[[#This Row],[Valor da Venda]]*3%,Vendas[[#This Row],[Margem de Lucro (%)]]&lt;=20%,Vendas[[#This Row],[Valor da Venda]]*4.5%,TRUE,Vendas[[#This Row],[Valor da Venda]]*6%)</f>
        <v>43.991999999999997</v>
      </c>
      <c r="M5799"/>
    </row>
    <row r="5800" spans="1:13" x14ac:dyDescent="0.3">
      <c r="A5800" s="7">
        <v>400254</v>
      </c>
      <c r="B5800" t="str">
        <f>_xlfn.XLOOKUP(Vendas[[#This Row],[ID Vendedor]],Vendedores[ID],Vendedores[Nome])</f>
        <v>Beatriz</v>
      </c>
      <c r="C5800" s="7" t="str">
        <f>_xlfn.XLOOKUP(Vendas[[#This Row],[ID Vendedor]],Vendedores[ID],Vendedores[Setor])</f>
        <v>SC</v>
      </c>
      <c r="D5800" s="7" t="s">
        <v>48</v>
      </c>
      <c r="E5800" t="str">
        <f>_xlfn.XLOOKUP(Vendas[[#This Row],[ID Item Vendido]],Agregado[ID],Agregado[Produto])</f>
        <v>Tambor metálico 200L</v>
      </c>
      <c r="F5800" s="39">
        <v>46198</v>
      </c>
      <c r="G5800" s="7">
        <v>5</v>
      </c>
      <c r="H5800" s="3">
        <f>_xlfn.XLOOKUP(Vendas[[#This Row],[ID Item Vendido]],Agregado[ID],Agregado[Revenda])</f>
        <v>144</v>
      </c>
      <c r="I5800" s="3">
        <f>Vendas[[#This Row],[Valor Unitário]]*Vendas[[#This Row],[Qnt Vendida]]</f>
        <v>720</v>
      </c>
      <c r="J5800" s="3">
        <f>Vendas[[#This Row],[Valor da Venda]]-(_xlfn.XLOOKUP(Vendas[[#This Row],[ID Item Vendido]],Agregado[ID],Agregado[Custo])*Vendas[[#This Row],[Qnt Vendida]])</f>
        <v>120</v>
      </c>
      <c r="K5800" s="70">
        <f>Vendas[[#This Row],[Lucro da Venda]]/Vendas[[#This Row],[Valor da Venda]]</f>
        <v>0.16666666666666666</v>
      </c>
      <c r="L5800" s="3">
        <f>_xlfn.IFS(Vendas[[#This Row],[Margem de Lucro (%)]]&lt;15%,Vendas[[#This Row],[Valor da Venda]]*3%,Vendas[[#This Row],[Margem de Lucro (%)]]&lt;=20%,Vendas[[#This Row],[Valor da Venda]]*4.5%,TRUE,Vendas[[#This Row],[Valor da Venda]]*6%)</f>
        <v>32.4</v>
      </c>
      <c r="M5800"/>
    </row>
    <row r="5801" spans="1:13" x14ac:dyDescent="0.3">
      <c r="A5801" s="7">
        <v>400252</v>
      </c>
      <c r="B5801" t="str">
        <f>_xlfn.XLOOKUP(Vendas[[#This Row],[ID Vendedor]],Vendedores[ID],Vendedores[Nome])</f>
        <v>Renata</v>
      </c>
      <c r="C5801" s="7" t="str">
        <f>_xlfn.XLOOKUP(Vendas[[#This Row],[ID Vendedor]],Vendedores[ID],Vendedores[Setor])</f>
        <v>AB</v>
      </c>
      <c r="D5801" s="7" t="s">
        <v>39</v>
      </c>
      <c r="E5801" t="str">
        <f>_xlfn.XLOOKUP(Vendas[[#This Row],[ID Item Vendido]],Agregado[ID],Agregado[Produto])</f>
        <v>Filme plástico industrial rolo 50m</v>
      </c>
      <c r="F5801" s="39">
        <v>46198</v>
      </c>
      <c r="G5801" s="7">
        <v>6</v>
      </c>
      <c r="H5801" s="3">
        <f>_xlfn.XLOOKUP(Vendas[[#This Row],[ID Item Vendido]],Agregado[ID],Agregado[Revenda])</f>
        <v>37</v>
      </c>
      <c r="I5801" s="3">
        <f>Vendas[[#This Row],[Valor Unitário]]*Vendas[[#This Row],[Qnt Vendida]]</f>
        <v>222</v>
      </c>
      <c r="J5801" s="3">
        <f>Vendas[[#This Row],[Valor da Venda]]-(_xlfn.XLOOKUP(Vendas[[#This Row],[ID Item Vendido]],Agregado[ID],Agregado[Custo])*Vendas[[#This Row],[Qnt Vendida]])</f>
        <v>54</v>
      </c>
      <c r="K5801" s="70">
        <f>Vendas[[#This Row],[Lucro da Venda]]/Vendas[[#This Row],[Valor da Venda]]</f>
        <v>0.24324324324324326</v>
      </c>
      <c r="L5801" s="3">
        <f>_xlfn.IFS(Vendas[[#This Row],[Margem de Lucro (%)]]&lt;15%,Vendas[[#This Row],[Valor da Venda]]*3%,Vendas[[#This Row],[Margem de Lucro (%)]]&lt;=20%,Vendas[[#This Row],[Valor da Venda]]*4.5%,TRUE,Vendas[[#This Row],[Valor da Venda]]*6%)</f>
        <v>13.32</v>
      </c>
      <c r="M5801"/>
    </row>
    <row r="5802" spans="1:13" x14ac:dyDescent="0.3">
      <c r="A5802" s="7">
        <v>400244</v>
      </c>
      <c r="B5802" t="str">
        <f>_xlfn.XLOOKUP(Vendas[[#This Row],[ID Vendedor]],Vendedores[ID],Vendedores[Nome])</f>
        <v>Camila</v>
      </c>
      <c r="C5802" s="7" t="str">
        <f>_xlfn.XLOOKUP(Vendas[[#This Row],[ID Vendedor]],Vendedores[ID],Vendedores[Setor])</f>
        <v>AHD</v>
      </c>
      <c r="D5802" s="7" t="s">
        <v>28</v>
      </c>
      <c r="E5802" t="str">
        <f>_xlfn.XLOOKUP(Vendas[[#This Row],[ID Item Vendido]],Agregado[ID],Agregado[Produto])</f>
        <v>Peça usinada CNC</v>
      </c>
      <c r="F5802" s="39">
        <v>46199</v>
      </c>
      <c r="G5802" s="7">
        <v>14</v>
      </c>
      <c r="H5802" s="3">
        <f>_xlfn.XLOOKUP(Vendas[[#This Row],[ID Item Vendido]],Agregado[ID],Agregado[Revenda])</f>
        <v>192</v>
      </c>
      <c r="I5802" s="3">
        <f>Vendas[[#This Row],[Valor Unitário]]*Vendas[[#This Row],[Qnt Vendida]]</f>
        <v>2688</v>
      </c>
      <c r="J5802" s="3">
        <f>Vendas[[#This Row],[Valor da Venda]]-(_xlfn.XLOOKUP(Vendas[[#This Row],[ID Item Vendido]],Agregado[ID],Agregado[Custo])*Vendas[[#This Row],[Qnt Vendida]])</f>
        <v>588</v>
      </c>
      <c r="K5802" s="70">
        <f>Vendas[[#This Row],[Lucro da Venda]]/Vendas[[#This Row],[Valor da Venda]]</f>
        <v>0.21875</v>
      </c>
      <c r="L5802" s="3">
        <f>_xlfn.IFS(Vendas[[#This Row],[Margem de Lucro (%)]]&lt;15%,Vendas[[#This Row],[Valor da Venda]]*3%,Vendas[[#This Row],[Margem de Lucro (%)]]&lt;=20%,Vendas[[#This Row],[Valor da Venda]]*4.5%,TRUE,Vendas[[#This Row],[Valor da Venda]]*6%)</f>
        <v>161.28</v>
      </c>
      <c r="M5802"/>
    </row>
    <row r="5803" spans="1:13" x14ac:dyDescent="0.3">
      <c r="A5803" s="7">
        <v>400254</v>
      </c>
      <c r="B5803" t="str">
        <f>_xlfn.XLOOKUP(Vendas[[#This Row],[ID Vendedor]],Vendedores[ID],Vendedores[Nome])</f>
        <v>Beatriz</v>
      </c>
      <c r="C5803" s="7" t="str">
        <f>_xlfn.XLOOKUP(Vendas[[#This Row],[ID Vendedor]],Vendedores[ID],Vendedores[Setor])</f>
        <v>SC</v>
      </c>
      <c r="D5803" s="7" t="s">
        <v>42</v>
      </c>
      <c r="E5803" t="str">
        <f>_xlfn.XLOOKUP(Vendas[[#This Row],[ID Item Vendido]],Agregado[ID],Agregado[Produto])</f>
        <v>Container de ferro industrial</v>
      </c>
      <c r="F5803" s="39">
        <v>46199</v>
      </c>
      <c r="G5803" s="7">
        <v>3</v>
      </c>
      <c r="H5803" s="3">
        <f>_xlfn.XLOOKUP(Vendas[[#This Row],[ID Item Vendido]],Agregado[ID],Agregado[Revenda])</f>
        <v>830</v>
      </c>
      <c r="I5803" s="3">
        <f>Vendas[[#This Row],[Valor Unitário]]*Vendas[[#This Row],[Qnt Vendida]]</f>
        <v>2490</v>
      </c>
      <c r="J5803" s="3">
        <f>Vendas[[#This Row],[Valor da Venda]]-(_xlfn.XLOOKUP(Vendas[[#This Row],[ID Item Vendido]],Agregado[ID],Agregado[Custo])*Vendas[[#This Row],[Qnt Vendida]])</f>
        <v>450</v>
      </c>
      <c r="K5803" s="70">
        <f>Vendas[[#This Row],[Lucro da Venda]]/Vendas[[#This Row],[Valor da Venda]]</f>
        <v>0.18072289156626506</v>
      </c>
      <c r="L5803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803"/>
    </row>
    <row r="5804" spans="1:13" x14ac:dyDescent="0.3">
      <c r="A5804" s="7">
        <v>400246</v>
      </c>
      <c r="B5804" t="str">
        <f>_xlfn.XLOOKUP(Vendas[[#This Row],[ID Vendedor]],Vendedores[ID],Vendedores[Nome])</f>
        <v>Juliana</v>
      </c>
      <c r="C5804" s="7" t="str">
        <f>_xlfn.XLOOKUP(Vendas[[#This Row],[ID Vendedor]],Vendedores[ID],Vendedores[Setor])</f>
        <v>AHD</v>
      </c>
      <c r="D5804" s="7" t="s">
        <v>44</v>
      </c>
      <c r="E5804" t="str">
        <f>_xlfn.XLOOKUP(Vendas[[#This Row],[ID Item Vendido]],Agregado[ID],Agregado[Produto])</f>
        <v>Liga metálica especial</v>
      </c>
      <c r="F5804" s="39">
        <v>46199</v>
      </c>
      <c r="G5804" s="7">
        <v>48</v>
      </c>
      <c r="H5804" s="3">
        <f>_xlfn.XLOOKUP(Vendas[[#This Row],[ID Item Vendido]],Agregado[ID],Agregado[Revenda])</f>
        <v>32.5</v>
      </c>
      <c r="I5804" s="3">
        <f>Vendas[[#This Row],[Valor Unitário]]*Vendas[[#This Row],[Qnt Vendida]]</f>
        <v>1560</v>
      </c>
      <c r="J5804" s="3">
        <f>Vendas[[#This Row],[Valor da Venda]]-(_xlfn.XLOOKUP(Vendas[[#This Row],[ID Item Vendido]],Agregado[ID],Agregado[Custo])*Vendas[[#This Row],[Qnt Vendida]])</f>
        <v>360</v>
      </c>
      <c r="K5804" s="70">
        <f>Vendas[[#This Row],[Lucro da Venda]]/Vendas[[#This Row],[Valor da Venda]]</f>
        <v>0.23076923076923078</v>
      </c>
      <c r="L5804" s="3">
        <f>_xlfn.IFS(Vendas[[#This Row],[Margem de Lucro (%)]]&lt;15%,Vendas[[#This Row],[Valor da Venda]]*3%,Vendas[[#This Row],[Margem de Lucro (%)]]&lt;=20%,Vendas[[#This Row],[Valor da Venda]]*4.5%,TRUE,Vendas[[#This Row],[Valor da Venda]]*6%)</f>
        <v>93.6</v>
      </c>
      <c r="M5804"/>
    </row>
    <row r="5805" spans="1:13" x14ac:dyDescent="0.3">
      <c r="A5805" s="7">
        <v>400247</v>
      </c>
      <c r="B5805" t="str">
        <f>_xlfn.XLOOKUP(Vendas[[#This Row],[ID Vendedor]],Vendedores[ID],Vendedores[Nome])</f>
        <v>André</v>
      </c>
      <c r="C5805" s="7" t="str">
        <f>_xlfn.XLOOKUP(Vendas[[#This Row],[ID Vendedor]],Vendedores[ID],Vendedores[Setor])</f>
        <v>CM</v>
      </c>
      <c r="D5805" s="7" t="s">
        <v>43</v>
      </c>
      <c r="E5805" t="str">
        <f>_xlfn.XLOOKUP(Vendas[[#This Row],[ID Item Vendido]],Agregado[ID],Agregado[Produto])</f>
        <v>Madeira Bruta (Tora)</v>
      </c>
      <c r="F5805" s="39">
        <v>46199</v>
      </c>
      <c r="G5805" s="7">
        <v>4</v>
      </c>
      <c r="H5805" s="3">
        <f>_xlfn.XLOOKUP(Vendas[[#This Row],[ID Item Vendido]],Agregado[ID],Agregado[Revenda])</f>
        <v>212</v>
      </c>
      <c r="I5805" s="3">
        <f>Vendas[[#This Row],[Valor Unitário]]*Vendas[[#This Row],[Qnt Vendida]]</f>
        <v>848</v>
      </c>
      <c r="J5805" s="3">
        <f>Vendas[[#This Row],[Valor da Venda]]-(_xlfn.XLOOKUP(Vendas[[#This Row],[ID Item Vendido]],Agregado[ID],Agregado[Custo])*Vendas[[#This Row],[Qnt Vendida]])</f>
        <v>128</v>
      </c>
      <c r="K5805" s="70">
        <f>Vendas[[#This Row],[Lucro da Venda]]/Vendas[[#This Row],[Valor da Venda]]</f>
        <v>0.15094339622641509</v>
      </c>
      <c r="L5805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805"/>
    </row>
    <row r="5806" spans="1:13" x14ac:dyDescent="0.3">
      <c r="A5806" s="7">
        <v>400250</v>
      </c>
      <c r="B5806" t="str">
        <f>_xlfn.XLOOKUP(Vendas[[#This Row],[ID Vendedor]],Vendedores[ID],Vendedores[Nome])</f>
        <v>Larissa</v>
      </c>
      <c r="C5806" s="7" t="str">
        <f>_xlfn.XLOOKUP(Vendas[[#This Row],[ID Vendedor]],Vendedores[ID],Vendedores[Setor])</f>
        <v>AB</v>
      </c>
      <c r="D5806" s="7" t="s">
        <v>36</v>
      </c>
      <c r="E5806" t="str">
        <f>_xlfn.XLOOKUP(Vendas[[#This Row],[ID Item Vendido]],Agregado[ID],Agregado[Produto])</f>
        <v>Borracha vulcanizada em manta</v>
      </c>
      <c r="F5806" s="39">
        <v>46199</v>
      </c>
      <c r="G5806" s="7">
        <v>85</v>
      </c>
      <c r="H5806" s="3">
        <f>_xlfn.XLOOKUP(Vendas[[#This Row],[ID Item Vendido]],Agregado[ID],Agregado[Revenda])</f>
        <v>7.8</v>
      </c>
      <c r="I5806" s="3">
        <f>Vendas[[#This Row],[Valor Unitário]]*Vendas[[#This Row],[Qnt Vendida]]</f>
        <v>663</v>
      </c>
      <c r="J5806" s="3">
        <f>Vendas[[#This Row],[Valor da Venda]]-(_xlfn.XLOOKUP(Vendas[[#This Row],[ID Item Vendido]],Agregado[ID],Agregado[Custo])*Vendas[[#This Row],[Qnt Vendida]])</f>
        <v>153</v>
      </c>
      <c r="K5806" s="70">
        <f>Vendas[[#This Row],[Lucro da Venda]]/Vendas[[#This Row],[Valor da Venda]]</f>
        <v>0.23076923076923078</v>
      </c>
      <c r="L5806" s="3">
        <f>_xlfn.IFS(Vendas[[#This Row],[Margem de Lucro (%)]]&lt;15%,Vendas[[#This Row],[Valor da Venda]]*3%,Vendas[[#This Row],[Margem de Lucro (%)]]&lt;=20%,Vendas[[#This Row],[Valor da Venda]]*4.5%,TRUE,Vendas[[#This Row],[Valor da Venda]]*6%)</f>
        <v>39.78</v>
      </c>
      <c r="M5806"/>
    </row>
    <row r="5807" spans="1:13" x14ac:dyDescent="0.3">
      <c r="A5807" s="7">
        <v>400252</v>
      </c>
      <c r="B5807" t="str">
        <f>_xlfn.XLOOKUP(Vendas[[#This Row],[ID Vendedor]],Vendedores[ID],Vendedores[Nome])</f>
        <v>Renata</v>
      </c>
      <c r="C5807" s="7" t="str">
        <f>_xlfn.XLOOKUP(Vendas[[#This Row],[ID Vendedor]],Vendedores[ID],Vendedores[Setor])</f>
        <v>AB</v>
      </c>
      <c r="D5807" s="7" t="s">
        <v>36</v>
      </c>
      <c r="E5807" t="str">
        <f>_xlfn.XLOOKUP(Vendas[[#This Row],[ID Item Vendido]],Agregado[ID],Agregado[Produto])</f>
        <v>Borracha vulcanizada em manta</v>
      </c>
      <c r="F5807" s="39">
        <v>46199</v>
      </c>
      <c r="G5807" s="7">
        <v>80</v>
      </c>
      <c r="H5807" s="3">
        <f>_xlfn.XLOOKUP(Vendas[[#This Row],[ID Item Vendido]],Agregado[ID],Agregado[Revenda])</f>
        <v>7.8</v>
      </c>
      <c r="I5807" s="3">
        <f>Vendas[[#This Row],[Valor Unitário]]*Vendas[[#This Row],[Qnt Vendida]]</f>
        <v>624</v>
      </c>
      <c r="J5807" s="3">
        <f>Vendas[[#This Row],[Valor da Venda]]-(_xlfn.XLOOKUP(Vendas[[#This Row],[ID Item Vendido]],Agregado[ID],Agregado[Custo])*Vendas[[#This Row],[Qnt Vendida]])</f>
        <v>144</v>
      </c>
      <c r="K5807" s="70">
        <f>Vendas[[#This Row],[Lucro da Venda]]/Vendas[[#This Row],[Valor da Venda]]</f>
        <v>0.23076923076923078</v>
      </c>
      <c r="L5807" s="3">
        <f>_xlfn.IFS(Vendas[[#This Row],[Margem de Lucro (%)]]&lt;15%,Vendas[[#This Row],[Valor da Venda]]*3%,Vendas[[#This Row],[Margem de Lucro (%)]]&lt;=20%,Vendas[[#This Row],[Valor da Venda]]*4.5%,TRUE,Vendas[[#This Row],[Valor da Venda]]*6%)</f>
        <v>37.44</v>
      </c>
      <c r="M5807"/>
    </row>
    <row r="5808" spans="1:13" x14ac:dyDescent="0.3">
      <c r="A5808" s="7">
        <v>400251</v>
      </c>
      <c r="B5808" t="str">
        <f>_xlfn.XLOOKUP(Vendas[[#This Row],[ID Vendedor]],Vendedores[ID],Vendedores[Nome])</f>
        <v>Diego</v>
      </c>
      <c r="C5808" s="7" t="str">
        <f>_xlfn.XLOOKUP(Vendas[[#This Row],[ID Vendedor]],Vendedores[ID],Vendedores[Setor])</f>
        <v>AB</v>
      </c>
      <c r="D5808" s="7" t="s">
        <v>37</v>
      </c>
      <c r="E5808" t="str">
        <f>_xlfn.XLOOKUP(Vendas[[#This Row],[ID Item Vendido]],Agregado[ID],Agregado[Produto])</f>
        <v>Composto de borracha para vedação rolo 10m</v>
      </c>
      <c r="F5808" s="39">
        <v>46199</v>
      </c>
      <c r="G5808" s="7">
        <v>12</v>
      </c>
      <c r="H5808" s="3">
        <f>_xlfn.XLOOKUP(Vendas[[#This Row],[ID Item Vendido]],Agregado[ID],Agregado[Revenda])</f>
        <v>51.2</v>
      </c>
      <c r="I5808" s="3">
        <f>Vendas[[#This Row],[Valor Unitário]]*Vendas[[#This Row],[Qnt Vendida]]</f>
        <v>614.40000000000009</v>
      </c>
      <c r="J5808" s="3">
        <f>Vendas[[#This Row],[Valor da Venda]]-(_xlfn.XLOOKUP(Vendas[[#This Row],[ID Item Vendido]],Agregado[ID],Agregado[Custo])*Vendas[[#This Row],[Qnt Vendida]])</f>
        <v>134.40000000000009</v>
      </c>
      <c r="K5808" s="70">
        <f>Vendas[[#This Row],[Lucro da Venda]]/Vendas[[#This Row],[Valor da Venda]]</f>
        <v>0.21875000000000011</v>
      </c>
      <c r="L5808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5808"/>
    </row>
    <row r="5809" spans="1:13" x14ac:dyDescent="0.3">
      <c r="A5809" s="7">
        <v>400251</v>
      </c>
      <c r="B5809" t="str">
        <f>_xlfn.XLOOKUP(Vendas[[#This Row],[ID Vendedor]],Vendedores[ID],Vendedores[Nome])</f>
        <v>Diego</v>
      </c>
      <c r="C5809" s="7" t="str">
        <f>_xlfn.XLOOKUP(Vendas[[#This Row],[ID Vendedor]],Vendedores[ID],Vendedores[Setor])</f>
        <v>AB</v>
      </c>
      <c r="D5809" s="7" t="s">
        <v>39</v>
      </c>
      <c r="E5809" t="str">
        <f>_xlfn.XLOOKUP(Vendas[[#This Row],[ID Item Vendido]],Agregado[ID],Agregado[Produto])</f>
        <v>Filme plástico industrial rolo 50m</v>
      </c>
      <c r="F5809" s="39">
        <v>46199</v>
      </c>
      <c r="G5809" s="7">
        <v>14</v>
      </c>
      <c r="H5809" s="3">
        <f>_xlfn.XLOOKUP(Vendas[[#This Row],[ID Item Vendido]],Agregado[ID],Agregado[Revenda])</f>
        <v>37</v>
      </c>
      <c r="I5809" s="3">
        <f>Vendas[[#This Row],[Valor Unitário]]*Vendas[[#This Row],[Qnt Vendida]]</f>
        <v>518</v>
      </c>
      <c r="J5809" s="3">
        <f>Vendas[[#This Row],[Valor da Venda]]-(_xlfn.XLOOKUP(Vendas[[#This Row],[ID Item Vendido]],Agregado[ID],Agregado[Custo])*Vendas[[#This Row],[Qnt Vendida]])</f>
        <v>126</v>
      </c>
      <c r="K5809" s="70">
        <f>Vendas[[#This Row],[Lucro da Venda]]/Vendas[[#This Row],[Valor da Venda]]</f>
        <v>0.24324324324324326</v>
      </c>
      <c r="L5809" s="3">
        <f>_xlfn.IFS(Vendas[[#This Row],[Margem de Lucro (%)]]&lt;15%,Vendas[[#This Row],[Valor da Venda]]*3%,Vendas[[#This Row],[Margem de Lucro (%)]]&lt;=20%,Vendas[[#This Row],[Valor da Venda]]*4.5%,TRUE,Vendas[[#This Row],[Valor da Venda]]*6%)</f>
        <v>31.08</v>
      </c>
      <c r="M5809"/>
    </row>
    <row r="5810" spans="1:13" x14ac:dyDescent="0.3">
      <c r="A5810" s="7">
        <v>400250</v>
      </c>
      <c r="B5810" t="str">
        <f>_xlfn.XLOOKUP(Vendas[[#This Row],[ID Vendedor]],Vendedores[ID],Vendedores[Nome])</f>
        <v>Larissa</v>
      </c>
      <c r="C5810" s="7" t="str">
        <f>_xlfn.XLOOKUP(Vendas[[#This Row],[ID Vendedor]],Vendedores[ID],Vendedores[Setor])</f>
        <v>AB</v>
      </c>
      <c r="D5810" s="7" t="s">
        <v>12</v>
      </c>
      <c r="E5810" t="str">
        <f>_xlfn.XLOOKUP(Vendas[[#This Row],[ID Item Vendido]],Agregado[ID],Agregado[Produto])</f>
        <v>Grânulo de plástico reciclado refinado</v>
      </c>
      <c r="F5810" s="39">
        <v>46199</v>
      </c>
      <c r="G5810" s="7">
        <v>15</v>
      </c>
      <c r="H5810" s="3">
        <f>_xlfn.XLOOKUP(Vendas[[#This Row],[ID Item Vendido]],Agregado[ID],Agregado[Revenda])</f>
        <v>4.7</v>
      </c>
      <c r="I5810" s="3">
        <f>Vendas[[#This Row],[Valor Unitário]]*Vendas[[#This Row],[Qnt Vendida]]</f>
        <v>70.5</v>
      </c>
      <c r="J5810" s="3">
        <f>Vendas[[#This Row],[Valor da Venda]]-(_xlfn.XLOOKUP(Vendas[[#This Row],[ID Item Vendido]],Agregado[ID],Agregado[Custo])*Vendas[[#This Row],[Qnt Vendida]])</f>
        <v>18</v>
      </c>
      <c r="K5810" s="70">
        <f>Vendas[[#This Row],[Lucro da Venda]]/Vendas[[#This Row],[Valor da Venda]]</f>
        <v>0.25531914893617019</v>
      </c>
      <c r="L5810" s="3">
        <f>_xlfn.IFS(Vendas[[#This Row],[Margem de Lucro (%)]]&lt;15%,Vendas[[#This Row],[Valor da Venda]]*3%,Vendas[[#This Row],[Margem de Lucro (%)]]&lt;=20%,Vendas[[#This Row],[Valor da Venda]]*4.5%,TRUE,Vendas[[#This Row],[Valor da Venda]]*6%)</f>
        <v>4.2299999999999995</v>
      </c>
      <c r="M5810"/>
    </row>
    <row r="5811" spans="1:13" x14ac:dyDescent="0.3">
      <c r="A5811" s="7">
        <v>400253</v>
      </c>
      <c r="B5811" t="str">
        <f>_xlfn.XLOOKUP(Vendas[[#This Row],[ID Vendedor]],Vendedores[ID],Vendedores[Nome])</f>
        <v>Gustavo</v>
      </c>
      <c r="C5811" s="7" t="str">
        <f>_xlfn.XLOOKUP(Vendas[[#This Row],[ID Vendedor]],Vendedores[ID],Vendedores[Setor])</f>
        <v>SC</v>
      </c>
      <c r="D5811" s="7" t="s">
        <v>14</v>
      </c>
      <c r="E5811" t="str">
        <f>_xlfn.XLOOKUP(Vendas[[#This Row],[ID Item Vendido]],Agregado[ID],Agregado[Produto])</f>
        <v>Barril de plástico 200L</v>
      </c>
      <c r="F5811" s="39">
        <v>46200</v>
      </c>
      <c r="G5811" s="7">
        <v>9</v>
      </c>
      <c r="H5811" s="3">
        <f>_xlfn.XLOOKUP(Vendas[[#This Row],[ID Item Vendido]],Agregado[ID],Agregado[Revenda])</f>
        <v>114</v>
      </c>
      <c r="I5811" s="3">
        <f>Vendas[[#This Row],[Valor Unitário]]*Vendas[[#This Row],[Qnt Vendida]]</f>
        <v>1026</v>
      </c>
      <c r="J5811" s="3">
        <f>Vendas[[#This Row],[Valor da Venda]]-(_xlfn.XLOOKUP(Vendas[[#This Row],[ID Item Vendido]],Agregado[ID],Agregado[Custo])*Vendas[[#This Row],[Qnt Vendida]])</f>
        <v>171</v>
      </c>
      <c r="K5811" s="70">
        <f>Vendas[[#This Row],[Lucro da Venda]]/Vendas[[#This Row],[Valor da Venda]]</f>
        <v>0.16666666666666666</v>
      </c>
      <c r="L5811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5811"/>
    </row>
    <row r="5812" spans="1:13" x14ac:dyDescent="0.3">
      <c r="A5812" s="7">
        <v>400244</v>
      </c>
      <c r="B5812" t="str">
        <f>_xlfn.XLOOKUP(Vendas[[#This Row],[ID Vendedor]],Vendedores[ID],Vendedores[Nome])</f>
        <v>Camila</v>
      </c>
      <c r="C5812" s="7" t="str">
        <f>_xlfn.XLOOKUP(Vendas[[#This Row],[ID Vendedor]],Vendedores[ID],Vendedores[Setor])</f>
        <v>AHD</v>
      </c>
      <c r="D5812" s="7" t="s">
        <v>9</v>
      </c>
      <c r="E5812" t="str">
        <f>_xlfn.XLOOKUP(Vendas[[#This Row],[ID Item Vendido]],Agregado[ID],Agregado[Produto])</f>
        <v>Barra de aço simples</v>
      </c>
      <c r="F5812" s="39">
        <v>46200</v>
      </c>
      <c r="G5812" s="7">
        <v>122</v>
      </c>
      <c r="H5812" s="3">
        <f>_xlfn.XLOOKUP(Vendas[[#This Row],[ID Item Vendido]],Agregado[ID],Agregado[Revenda])</f>
        <v>6.7</v>
      </c>
      <c r="I5812" s="3">
        <f>Vendas[[#This Row],[Valor Unitário]]*Vendas[[#This Row],[Qnt Vendida]]</f>
        <v>817.4</v>
      </c>
      <c r="J5812" s="3">
        <f>Vendas[[#This Row],[Valor da Venda]]-(_xlfn.XLOOKUP(Vendas[[#This Row],[ID Item Vendido]],Agregado[ID],Agregado[Custo])*Vendas[[#This Row],[Qnt Vendida]])</f>
        <v>109.79999999999995</v>
      </c>
      <c r="K5812" s="70">
        <f>Vendas[[#This Row],[Lucro da Venda]]/Vendas[[#This Row],[Valor da Venda]]</f>
        <v>0.13432835820895517</v>
      </c>
      <c r="L5812" s="3">
        <f>_xlfn.IFS(Vendas[[#This Row],[Margem de Lucro (%)]]&lt;15%,Vendas[[#This Row],[Valor da Venda]]*3%,Vendas[[#This Row],[Margem de Lucro (%)]]&lt;=20%,Vendas[[#This Row],[Valor da Venda]]*4.5%,TRUE,Vendas[[#This Row],[Valor da Venda]]*6%)</f>
        <v>24.521999999999998</v>
      </c>
      <c r="M5812"/>
    </row>
    <row r="5813" spans="1:13" x14ac:dyDescent="0.3">
      <c r="A5813" s="7">
        <v>400250</v>
      </c>
      <c r="B5813" t="str">
        <f>_xlfn.XLOOKUP(Vendas[[#This Row],[ID Vendedor]],Vendedores[ID],Vendedores[Nome])</f>
        <v>Larissa</v>
      </c>
      <c r="C5813" s="7" t="str">
        <f>_xlfn.XLOOKUP(Vendas[[#This Row],[ID Vendedor]],Vendedores[ID],Vendedores[Setor])</f>
        <v>AB</v>
      </c>
      <c r="D5813" s="7" t="s">
        <v>37</v>
      </c>
      <c r="E5813" t="str">
        <f>_xlfn.XLOOKUP(Vendas[[#This Row],[ID Item Vendido]],Agregado[ID],Agregado[Produto])</f>
        <v>Composto de borracha para vedação rolo 10m</v>
      </c>
      <c r="F5813" s="39">
        <v>46200</v>
      </c>
      <c r="G5813" s="7">
        <v>12</v>
      </c>
      <c r="H5813" s="3">
        <f>_xlfn.XLOOKUP(Vendas[[#This Row],[ID Item Vendido]],Agregado[ID],Agregado[Revenda])</f>
        <v>51.2</v>
      </c>
      <c r="I5813" s="3">
        <f>Vendas[[#This Row],[Valor Unitário]]*Vendas[[#This Row],[Qnt Vendida]]</f>
        <v>614.40000000000009</v>
      </c>
      <c r="J5813" s="3">
        <f>Vendas[[#This Row],[Valor da Venda]]-(_xlfn.XLOOKUP(Vendas[[#This Row],[ID Item Vendido]],Agregado[ID],Agregado[Custo])*Vendas[[#This Row],[Qnt Vendida]])</f>
        <v>134.40000000000009</v>
      </c>
      <c r="K5813" s="70">
        <f>Vendas[[#This Row],[Lucro da Venda]]/Vendas[[#This Row],[Valor da Venda]]</f>
        <v>0.21875000000000011</v>
      </c>
      <c r="L5813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5813"/>
    </row>
    <row r="5814" spans="1:13" x14ac:dyDescent="0.3">
      <c r="A5814" s="7">
        <v>400254</v>
      </c>
      <c r="B5814" t="str">
        <f>_xlfn.XLOOKUP(Vendas[[#This Row],[ID Vendedor]],Vendedores[ID],Vendedores[Nome])</f>
        <v>Beatriz</v>
      </c>
      <c r="C5814" s="7" t="str">
        <f>_xlfn.XLOOKUP(Vendas[[#This Row],[ID Vendedor]],Vendedores[ID],Vendedores[Setor])</f>
        <v>SC</v>
      </c>
      <c r="D5814" s="7" t="s">
        <v>14</v>
      </c>
      <c r="E5814" t="str">
        <f>_xlfn.XLOOKUP(Vendas[[#This Row],[ID Item Vendido]],Agregado[ID],Agregado[Produto])</f>
        <v>Barril de plástico 200L</v>
      </c>
      <c r="F5814" s="39">
        <v>46201</v>
      </c>
      <c r="G5814" s="7">
        <v>9</v>
      </c>
      <c r="H5814" s="3">
        <f>_xlfn.XLOOKUP(Vendas[[#This Row],[ID Item Vendido]],Agregado[ID],Agregado[Revenda])</f>
        <v>114</v>
      </c>
      <c r="I5814" s="3">
        <f>Vendas[[#This Row],[Valor Unitário]]*Vendas[[#This Row],[Qnt Vendida]]</f>
        <v>1026</v>
      </c>
      <c r="J5814" s="3">
        <f>Vendas[[#This Row],[Valor da Venda]]-(_xlfn.XLOOKUP(Vendas[[#This Row],[ID Item Vendido]],Agregado[ID],Agregado[Custo])*Vendas[[#This Row],[Qnt Vendida]])</f>
        <v>171</v>
      </c>
      <c r="K5814" s="70">
        <f>Vendas[[#This Row],[Lucro da Venda]]/Vendas[[#This Row],[Valor da Venda]]</f>
        <v>0.16666666666666666</v>
      </c>
      <c r="L5814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5814"/>
    </row>
    <row r="5815" spans="1:13" x14ac:dyDescent="0.3">
      <c r="A5815" s="7">
        <v>400247</v>
      </c>
      <c r="B5815" t="str">
        <f>_xlfn.XLOOKUP(Vendas[[#This Row],[ID Vendedor]],Vendedores[ID],Vendedores[Nome])</f>
        <v>André</v>
      </c>
      <c r="C5815" s="7" t="str">
        <f>_xlfn.XLOOKUP(Vendas[[#This Row],[ID Vendedor]],Vendedores[ID],Vendedores[Setor])</f>
        <v>CM</v>
      </c>
      <c r="D5815" s="7" t="s">
        <v>32</v>
      </c>
      <c r="E5815" t="str">
        <f>_xlfn.XLOOKUP(Vendas[[#This Row],[ID Item Vendido]],Agregado[ID],Agregado[Produto])</f>
        <v>Tábua tratada e cortada 3m</v>
      </c>
      <c r="F5815" s="39">
        <v>46201</v>
      </c>
      <c r="G5815" s="7">
        <v>18</v>
      </c>
      <c r="H5815" s="3">
        <f>_xlfn.XLOOKUP(Vendas[[#This Row],[ID Item Vendido]],Agregado[ID],Agregado[Revenda])</f>
        <v>39</v>
      </c>
      <c r="I5815" s="3">
        <f>Vendas[[#This Row],[Valor Unitário]]*Vendas[[#This Row],[Qnt Vendida]]</f>
        <v>702</v>
      </c>
      <c r="J5815" s="3">
        <f>Vendas[[#This Row],[Valor da Venda]]-(_xlfn.XLOOKUP(Vendas[[#This Row],[ID Item Vendido]],Agregado[ID],Agregado[Custo])*Vendas[[#This Row],[Qnt Vendida]])</f>
        <v>126</v>
      </c>
      <c r="K5815" s="70">
        <f>Vendas[[#This Row],[Lucro da Venda]]/Vendas[[#This Row],[Valor da Venda]]</f>
        <v>0.17948717948717949</v>
      </c>
      <c r="L5815" s="3">
        <f>_xlfn.IFS(Vendas[[#This Row],[Margem de Lucro (%)]]&lt;15%,Vendas[[#This Row],[Valor da Venda]]*3%,Vendas[[#This Row],[Margem de Lucro (%)]]&lt;=20%,Vendas[[#This Row],[Valor da Venda]]*4.5%,TRUE,Vendas[[#This Row],[Valor da Venda]]*6%)</f>
        <v>31.59</v>
      </c>
      <c r="M5815"/>
    </row>
    <row r="5816" spans="1:13" x14ac:dyDescent="0.3">
      <c r="A5816" s="7">
        <v>400245</v>
      </c>
      <c r="B5816" t="str">
        <f>_xlfn.XLOOKUP(Vendas[[#This Row],[ID Vendedor]],Vendedores[ID],Vendedores[Nome])</f>
        <v>Thiago</v>
      </c>
      <c r="C5816" s="7" t="str">
        <f>_xlfn.XLOOKUP(Vendas[[#This Row],[ID Vendedor]],Vendedores[ID],Vendedores[Setor])</f>
        <v>AHD</v>
      </c>
      <c r="D5816" s="7" t="s">
        <v>9</v>
      </c>
      <c r="E5816" t="str">
        <f>_xlfn.XLOOKUP(Vendas[[#This Row],[ID Item Vendido]],Agregado[ID],Agregado[Produto])</f>
        <v>Barra de aço simples</v>
      </c>
      <c r="F5816" s="39">
        <v>46201</v>
      </c>
      <c r="G5816" s="7">
        <v>102</v>
      </c>
      <c r="H5816" s="3">
        <f>_xlfn.XLOOKUP(Vendas[[#This Row],[ID Item Vendido]],Agregado[ID],Agregado[Revenda])</f>
        <v>6.7</v>
      </c>
      <c r="I5816" s="3">
        <f>Vendas[[#This Row],[Valor Unitário]]*Vendas[[#This Row],[Qnt Vendida]]</f>
        <v>683.4</v>
      </c>
      <c r="J5816" s="3">
        <f>Vendas[[#This Row],[Valor da Venda]]-(_xlfn.XLOOKUP(Vendas[[#This Row],[ID Item Vendido]],Agregado[ID],Agregado[Custo])*Vendas[[#This Row],[Qnt Vendida]])</f>
        <v>91.799999999999955</v>
      </c>
      <c r="K5816" s="70">
        <f>Vendas[[#This Row],[Lucro da Venda]]/Vendas[[#This Row],[Valor da Venda]]</f>
        <v>0.13432835820895517</v>
      </c>
      <c r="L5816" s="3">
        <f>_xlfn.IFS(Vendas[[#This Row],[Margem de Lucro (%)]]&lt;15%,Vendas[[#This Row],[Valor da Venda]]*3%,Vendas[[#This Row],[Margem de Lucro (%)]]&lt;=20%,Vendas[[#This Row],[Valor da Venda]]*4.5%,TRUE,Vendas[[#This Row],[Valor da Venda]]*6%)</f>
        <v>20.501999999999999</v>
      </c>
      <c r="M5816"/>
    </row>
    <row r="5817" spans="1:13" x14ac:dyDescent="0.3">
      <c r="A5817" s="7">
        <v>400254</v>
      </c>
      <c r="B5817" t="str">
        <f>_xlfn.XLOOKUP(Vendas[[#This Row],[ID Vendedor]],Vendedores[ID],Vendedores[Nome])</f>
        <v>Beatriz</v>
      </c>
      <c r="C5817" s="7" t="str">
        <f>_xlfn.XLOOKUP(Vendas[[#This Row],[ID Vendedor]],Vendedores[ID],Vendedores[Setor])</f>
        <v>SC</v>
      </c>
      <c r="D5817" s="7" t="s">
        <v>41</v>
      </c>
      <c r="E5817" t="str">
        <f>_xlfn.XLOOKUP(Vendas[[#This Row],[ID Item Vendido]],Agregado[ID],Agregado[Produto])</f>
        <v>Palete de madeira reforçado</v>
      </c>
      <c r="F5817" s="39">
        <v>46201</v>
      </c>
      <c r="G5817" s="7">
        <v>5</v>
      </c>
      <c r="H5817" s="3">
        <f>_xlfn.XLOOKUP(Vendas[[#This Row],[ID Item Vendido]],Agregado[ID],Agregado[Revenda])</f>
        <v>131</v>
      </c>
      <c r="I5817" s="3">
        <f>Vendas[[#This Row],[Valor Unitário]]*Vendas[[#This Row],[Qnt Vendida]]</f>
        <v>655</v>
      </c>
      <c r="J5817" s="3">
        <f>Vendas[[#This Row],[Valor da Venda]]-(_xlfn.XLOOKUP(Vendas[[#This Row],[ID Item Vendido]],Agregado[ID],Agregado[Custo])*Vendas[[#This Row],[Qnt Vendida]])</f>
        <v>105</v>
      </c>
      <c r="K5817" s="70">
        <f>Vendas[[#This Row],[Lucro da Venda]]/Vendas[[#This Row],[Valor da Venda]]</f>
        <v>0.16030534351145037</v>
      </c>
      <c r="L5817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817"/>
    </row>
    <row r="5818" spans="1:13" x14ac:dyDescent="0.3">
      <c r="A5818" s="7">
        <v>400241</v>
      </c>
      <c r="B5818" t="str">
        <f>_xlfn.XLOOKUP(Vendas[[#This Row],[ID Vendedor]],Vendedores[ID],Vendedores[Nome])</f>
        <v>Rodrigo</v>
      </c>
      <c r="C5818" s="7" t="str">
        <f>_xlfn.XLOOKUP(Vendas[[#This Row],[ID Vendedor]],Vendedores[ID],Vendedores[Setor])</f>
        <v>FM</v>
      </c>
      <c r="D5818" s="7" t="s">
        <v>6</v>
      </c>
      <c r="E5818" t="str">
        <f>_xlfn.XLOOKUP(Vendas[[#This Row],[ID Item Vendido]],Agregado[ID],Agregado[Produto])</f>
        <v>Parafuso comum 500un</v>
      </c>
      <c r="F5818" s="39">
        <v>46201</v>
      </c>
      <c r="G5818" s="7">
        <v>20</v>
      </c>
      <c r="H5818" s="3">
        <f>_xlfn.XLOOKUP(Vendas[[#This Row],[ID Item Vendido]],Agregado[ID],Agregado[Revenda])</f>
        <v>24.6</v>
      </c>
      <c r="I5818" s="3">
        <f>Vendas[[#This Row],[Valor Unitário]]*Vendas[[#This Row],[Qnt Vendida]]</f>
        <v>492</v>
      </c>
      <c r="J5818" s="3">
        <f>Vendas[[#This Row],[Valor da Venda]]-(_xlfn.XLOOKUP(Vendas[[#This Row],[ID Item Vendido]],Agregado[ID],Agregado[Custo])*Vendas[[#This Row],[Qnt Vendida]])</f>
        <v>52</v>
      </c>
      <c r="K5818" s="70">
        <f>Vendas[[#This Row],[Lucro da Venda]]/Vendas[[#This Row],[Valor da Venda]]</f>
        <v>0.10569105691056911</v>
      </c>
      <c r="L5818" s="3">
        <f>_xlfn.IFS(Vendas[[#This Row],[Margem de Lucro (%)]]&lt;15%,Vendas[[#This Row],[Valor da Venda]]*3%,Vendas[[#This Row],[Margem de Lucro (%)]]&lt;=20%,Vendas[[#This Row],[Valor da Venda]]*4.5%,TRUE,Vendas[[#This Row],[Valor da Venda]]*6%)</f>
        <v>14.76</v>
      </c>
      <c r="M5818"/>
    </row>
    <row r="5819" spans="1:13" x14ac:dyDescent="0.3">
      <c r="A5819" s="7">
        <v>400254</v>
      </c>
      <c r="B5819" t="str">
        <f>_xlfn.XLOOKUP(Vendas[[#This Row],[ID Vendedor]],Vendedores[ID],Vendedores[Nome])</f>
        <v>Beatriz</v>
      </c>
      <c r="C5819" s="7" t="str">
        <f>_xlfn.XLOOKUP(Vendas[[#This Row],[ID Vendedor]],Vendedores[ID],Vendedores[Setor])</f>
        <v>SC</v>
      </c>
      <c r="D5819" s="7" t="s">
        <v>42</v>
      </c>
      <c r="E5819" t="str">
        <f>_xlfn.XLOOKUP(Vendas[[#This Row],[ID Item Vendido]],Agregado[ID],Agregado[Produto])</f>
        <v>Container de ferro industrial</v>
      </c>
      <c r="F5819" s="39">
        <v>46202</v>
      </c>
      <c r="G5819" s="7">
        <v>3</v>
      </c>
      <c r="H5819" s="3">
        <f>_xlfn.XLOOKUP(Vendas[[#This Row],[ID Item Vendido]],Agregado[ID],Agregado[Revenda])</f>
        <v>830</v>
      </c>
      <c r="I5819" s="3">
        <f>Vendas[[#This Row],[Valor Unitário]]*Vendas[[#This Row],[Qnt Vendida]]</f>
        <v>2490</v>
      </c>
      <c r="J5819" s="3">
        <f>Vendas[[#This Row],[Valor da Venda]]-(_xlfn.XLOOKUP(Vendas[[#This Row],[ID Item Vendido]],Agregado[ID],Agregado[Custo])*Vendas[[#This Row],[Qnt Vendida]])</f>
        <v>450</v>
      </c>
      <c r="K5819" s="70">
        <f>Vendas[[#This Row],[Lucro da Venda]]/Vendas[[#This Row],[Valor da Venda]]</f>
        <v>0.18072289156626506</v>
      </c>
      <c r="L5819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819"/>
    </row>
    <row r="5820" spans="1:13" x14ac:dyDescent="0.3">
      <c r="A5820" s="7">
        <v>400250</v>
      </c>
      <c r="B5820" t="str">
        <f>_xlfn.XLOOKUP(Vendas[[#This Row],[ID Vendedor]],Vendedores[ID],Vendedores[Nome])</f>
        <v>Larissa</v>
      </c>
      <c r="C5820" s="7" t="str">
        <f>_xlfn.XLOOKUP(Vendas[[#This Row],[ID Vendedor]],Vendedores[ID],Vendedores[Setor])</f>
        <v>AB</v>
      </c>
      <c r="D5820" s="7" t="s">
        <v>39</v>
      </c>
      <c r="E5820" t="str">
        <f>_xlfn.XLOOKUP(Vendas[[#This Row],[ID Item Vendido]],Agregado[ID],Agregado[Produto])</f>
        <v>Filme plástico industrial rolo 50m</v>
      </c>
      <c r="F5820" s="39">
        <v>46202</v>
      </c>
      <c r="G5820" s="7">
        <v>30</v>
      </c>
      <c r="H5820" s="3">
        <f>_xlfn.XLOOKUP(Vendas[[#This Row],[ID Item Vendido]],Agregado[ID],Agregado[Revenda])</f>
        <v>37</v>
      </c>
      <c r="I5820" s="3">
        <f>Vendas[[#This Row],[Valor Unitário]]*Vendas[[#This Row],[Qnt Vendida]]</f>
        <v>1110</v>
      </c>
      <c r="J5820" s="3">
        <f>Vendas[[#This Row],[Valor da Venda]]-(_xlfn.XLOOKUP(Vendas[[#This Row],[ID Item Vendido]],Agregado[ID],Agregado[Custo])*Vendas[[#This Row],[Qnt Vendida]])</f>
        <v>270</v>
      </c>
      <c r="K5820" s="70">
        <f>Vendas[[#This Row],[Lucro da Venda]]/Vendas[[#This Row],[Valor da Venda]]</f>
        <v>0.24324324324324326</v>
      </c>
      <c r="L5820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5820"/>
    </row>
    <row r="5821" spans="1:13" x14ac:dyDescent="0.3">
      <c r="A5821" s="7">
        <v>400254</v>
      </c>
      <c r="B5821" t="str">
        <f>_xlfn.XLOOKUP(Vendas[[#This Row],[ID Vendedor]],Vendedores[ID],Vendedores[Nome])</f>
        <v>Beatriz</v>
      </c>
      <c r="C5821" s="7" t="str">
        <f>_xlfn.XLOOKUP(Vendas[[#This Row],[ID Vendedor]],Vendedores[ID],Vendedores[Setor])</f>
        <v>SC</v>
      </c>
      <c r="D5821" s="7" t="s">
        <v>41</v>
      </c>
      <c r="E5821" t="str">
        <f>_xlfn.XLOOKUP(Vendas[[#This Row],[ID Item Vendido]],Agregado[ID],Agregado[Produto])</f>
        <v>Palete de madeira reforçado</v>
      </c>
      <c r="F5821" s="39">
        <v>46202</v>
      </c>
      <c r="G5821" s="7">
        <v>6</v>
      </c>
      <c r="H5821" s="3">
        <f>_xlfn.XLOOKUP(Vendas[[#This Row],[ID Item Vendido]],Agregado[ID],Agregado[Revenda])</f>
        <v>131</v>
      </c>
      <c r="I5821" s="3">
        <f>Vendas[[#This Row],[Valor Unitário]]*Vendas[[#This Row],[Qnt Vendida]]</f>
        <v>786</v>
      </c>
      <c r="J5821" s="3">
        <f>Vendas[[#This Row],[Valor da Venda]]-(_xlfn.XLOOKUP(Vendas[[#This Row],[ID Item Vendido]],Agregado[ID],Agregado[Custo])*Vendas[[#This Row],[Qnt Vendida]])</f>
        <v>126</v>
      </c>
      <c r="K5821" s="70">
        <f>Vendas[[#This Row],[Lucro da Venda]]/Vendas[[#This Row],[Valor da Venda]]</f>
        <v>0.16030534351145037</v>
      </c>
      <c r="L5821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5821"/>
    </row>
    <row r="5822" spans="1:13" x14ac:dyDescent="0.3">
      <c r="A5822" s="7">
        <v>400245</v>
      </c>
      <c r="B5822" t="str">
        <f>_xlfn.XLOOKUP(Vendas[[#This Row],[ID Vendedor]],Vendedores[ID],Vendedores[Nome])</f>
        <v>Thiago</v>
      </c>
      <c r="C5822" s="7" t="str">
        <f>_xlfn.XLOOKUP(Vendas[[#This Row],[ID Vendedor]],Vendedores[ID],Vendedores[Setor])</f>
        <v>AHD</v>
      </c>
      <c r="D5822" s="7" t="s">
        <v>18</v>
      </c>
      <c r="E5822" t="str">
        <f>_xlfn.XLOOKUP(Vendas[[#This Row],[ID Item Vendido]],Agregado[ID],Agregado[Produto])</f>
        <v>Peça forjada sob encomenda</v>
      </c>
      <c r="F5822" s="39">
        <v>46202</v>
      </c>
      <c r="G5822" s="7">
        <v>1</v>
      </c>
      <c r="H5822" s="3">
        <f>_xlfn.XLOOKUP(Vendas[[#This Row],[ID Item Vendido]],Agregado[ID],Agregado[Revenda])</f>
        <v>264.60000000000002</v>
      </c>
      <c r="I5822" s="3">
        <f>Vendas[[#This Row],[Valor Unitário]]*Vendas[[#This Row],[Qnt Vendida]]</f>
        <v>264.60000000000002</v>
      </c>
      <c r="J5822" s="3">
        <f>Vendas[[#This Row],[Valor da Venda]]-(_xlfn.XLOOKUP(Vendas[[#This Row],[ID Item Vendido]],Agregado[ID],Agregado[Custo])*Vendas[[#This Row],[Qnt Vendida]])</f>
        <v>14.600000000000023</v>
      </c>
      <c r="K5822" s="70">
        <f>Vendas[[#This Row],[Lucro da Venda]]/Vendas[[#This Row],[Valor da Venda]]</f>
        <v>5.5177626606198113E-2</v>
      </c>
      <c r="L5822" s="3">
        <f>_xlfn.IFS(Vendas[[#This Row],[Margem de Lucro (%)]]&lt;15%,Vendas[[#This Row],[Valor da Venda]]*3%,Vendas[[#This Row],[Margem de Lucro (%)]]&lt;=20%,Vendas[[#This Row],[Valor da Venda]]*4.5%,TRUE,Vendas[[#This Row],[Valor da Venda]]*6%)</f>
        <v>7.9380000000000006</v>
      </c>
      <c r="M5822"/>
    </row>
    <row r="5823" spans="1:13" x14ac:dyDescent="0.3">
      <c r="A5823" s="7">
        <v>400242</v>
      </c>
      <c r="B5823" t="str">
        <f>_xlfn.XLOOKUP(Vendas[[#This Row],[ID Vendedor]],Vendedores[ID],Vendedores[Nome])</f>
        <v>Fernanda</v>
      </c>
      <c r="C5823" s="7" t="str">
        <f>_xlfn.XLOOKUP(Vendas[[#This Row],[ID Vendedor]],Vendedores[ID],Vendedores[Setor])</f>
        <v>FM</v>
      </c>
      <c r="D5823" s="7" t="s">
        <v>31</v>
      </c>
      <c r="E5823" t="str">
        <f>_xlfn.XLOOKUP(Vendas[[#This Row],[ID Item Vendido]],Agregado[ID],Agregado[Produto])</f>
        <v>Tela de metal soldada rolo 2x25m</v>
      </c>
      <c r="F5823" s="39">
        <v>46202</v>
      </c>
      <c r="G5823" s="7">
        <v>8</v>
      </c>
      <c r="H5823" s="3">
        <f>_xlfn.XLOOKUP(Vendas[[#This Row],[ID Item Vendido]],Agregado[ID],Agregado[Revenda])</f>
        <v>43.7</v>
      </c>
      <c r="I5823" s="3">
        <f>Vendas[[#This Row],[Valor Unitário]]*Vendas[[#This Row],[Qnt Vendida]]</f>
        <v>349.6</v>
      </c>
      <c r="J5823" s="3">
        <f>Vendas[[#This Row],[Valor da Venda]]-(_xlfn.XLOOKUP(Vendas[[#This Row],[ID Item Vendido]],Agregado[ID],Agregado[Custo])*Vendas[[#This Row],[Qnt Vendida]])</f>
        <v>45.600000000000023</v>
      </c>
      <c r="K5823" s="70">
        <f>Vendas[[#This Row],[Lucro da Venda]]/Vendas[[#This Row],[Valor da Venda]]</f>
        <v>0.1304347826086957</v>
      </c>
      <c r="L5823" s="3">
        <f>_xlfn.IFS(Vendas[[#This Row],[Margem de Lucro (%)]]&lt;15%,Vendas[[#This Row],[Valor da Venda]]*3%,Vendas[[#This Row],[Margem de Lucro (%)]]&lt;=20%,Vendas[[#This Row],[Valor da Venda]]*4.5%,TRUE,Vendas[[#This Row],[Valor da Venda]]*6%)</f>
        <v>10.488</v>
      </c>
      <c r="M5823"/>
    </row>
    <row r="5824" spans="1:13" x14ac:dyDescent="0.3">
      <c r="A5824" s="7">
        <v>400243</v>
      </c>
      <c r="B5824" t="str">
        <f>_xlfn.XLOOKUP(Vendas[[#This Row],[ID Vendedor]],Vendedores[ID],Vendedores[Nome])</f>
        <v>Marcelo</v>
      </c>
      <c r="C5824" s="7" t="str">
        <f>_xlfn.XLOOKUP(Vendas[[#This Row],[ID Vendedor]],Vendedores[ID],Vendedores[Setor])</f>
        <v>FM</v>
      </c>
      <c r="D5824" s="7" t="s">
        <v>47</v>
      </c>
      <c r="E5824" t="str">
        <f>_xlfn.XLOOKUP(Vendas[[#This Row],[ID Item Vendido]],Agregado[ID],Agregado[Produto])</f>
        <v>Fio de arame galvanizado rolo 50m</v>
      </c>
      <c r="F5824" s="39">
        <v>46202</v>
      </c>
      <c r="G5824" s="7">
        <v>11</v>
      </c>
      <c r="H5824" s="3">
        <f>_xlfn.XLOOKUP(Vendas[[#This Row],[ID Item Vendido]],Agregado[ID],Agregado[Revenda])</f>
        <v>21.2</v>
      </c>
      <c r="I5824" s="3">
        <f>Vendas[[#This Row],[Valor Unitário]]*Vendas[[#This Row],[Qnt Vendida]]</f>
        <v>233.2</v>
      </c>
      <c r="J5824" s="3">
        <f>Vendas[[#This Row],[Valor da Venda]]-(_xlfn.XLOOKUP(Vendas[[#This Row],[ID Item Vendido]],Agregado[ID],Agregado[Custo])*Vendas[[#This Row],[Qnt Vendida]])</f>
        <v>35.199999999999989</v>
      </c>
      <c r="K5824" s="70">
        <f>Vendas[[#This Row],[Lucro da Venda]]/Vendas[[#This Row],[Valor da Venda]]</f>
        <v>0.15094339622641506</v>
      </c>
      <c r="L5824" s="3">
        <f>_xlfn.IFS(Vendas[[#This Row],[Margem de Lucro (%)]]&lt;15%,Vendas[[#This Row],[Valor da Venda]]*3%,Vendas[[#This Row],[Margem de Lucro (%)]]&lt;=20%,Vendas[[#This Row],[Valor da Venda]]*4.5%,TRUE,Vendas[[#This Row],[Valor da Venda]]*6%)</f>
        <v>10.494</v>
      </c>
      <c r="M5824"/>
    </row>
    <row r="5825" spans="1:13" x14ac:dyDescent="0.3">
      <c r="A5825" s="7">
        <v>400252</v>
      </c>
      <c r="B5825" t="str">
        <f>_xlfn.XLOOKUP(Vendas[[#This Row],[ID Vendedor]],Vendedores[ID],Vendedores[Nome])</f>
        <v>Renata</v>
      </c>
      <c r="C5825" s="7" t="str">
        <f>_xlfn.XLOOKUP(Vendas[[#This Row],[ID Vendedor]],Vendedores[ID],Vendedores[Setor])</f>
        <v>AB</v>
      </c>
      <c r="D5825" s="7" t="s">
        <v>24</v>
      </c>
      <c r="E5825" t="str">
        <f>_xlfn.XLOOKUP(Vendas[[#This Row],[ID Item Vendido]],Agregado[ID],Agregado[Produto])</f>
        <v>Resina plástica PET purificada saco de 25kg</v>
      </c>
      <c r="F5825" s="39">
        <v>46203</v>
      </c>
      <c r="G5825" s="7">
        <v>26</v>
      </c>
      <c r="H5825" s="3">
        <f>_xlfn.XLOOKUP(Vendas[[#This Row],[ID Item Vendido]],Agregado[ID],Agregado[Revenda])</f>
        <v>119</v>
      </c>
      <c r="I5825" s="3">
        <f>Vendas[[#This Row],[Valor Unitário]]*Vendas[[#This Row],[Qnt Vendida]]</f>
        <v>3094</v>
      </c>
      <c r="J5825" s="3">
        <f>Vendas[[#This Row],[Valor da Venda]]-(_xlfn.XLOOKUP(Vendas[[#This Row],[ID Item Vendido]],Agregado[ID],Agregado[Custo])*Vendas[[#This Row],[Qnt Vendida]])</f>
        <v>884</v>
      </c>
      <c r="K5825" s="70">
        <f>Vendas[[#This Row],[Lucro da Venda]]/Vendas[[#This Row],[Valor da Venda]]</f>
        <v>0.2857142857142857</v>
      </c>
      <c r="L5825" s="3">
        <f>_xlfn.IFS(Vendas[[#This Row],[Margem de Lucro (%)]]&lt;15%,Vendas[[#This Row],[Valor da Venda]]*3%,Vendas[[#This Row],[Margem de Lucro (%)]]&lt;=20%,Vendas[[#This Row],[Valor da Venda]]*4.5%,TRUE,Vendas[[#This Row],[Valor da Venda]]*6%)</f>
        <v>185.64</v>
      </c>
      <c r="M5825"/>
    </row>
    <row r="5826" spans="1:13" x14ac:dyDescent="0.3">
      <c r="A5826" s="7">
        <v>400254</v>
      </c>
      <c r="B5826" t="str">
        <f>_xlfn.XLOOKUP(Vendas[[#This Row],[ID Vendedor]],Vendedores[ID],Vendedores[Nome])</f>
        <v>Beatriz</v>
      </c>
      <c r="C5826" s="7" t="str">
        <f>_xlfn.XLOOKUP(Vendas[[#This Row],[ID Vendedor]],Vendedores[ID],Vendedores[Setor])</f>
        <v>SC</v>
      </c>
      <c r="D5826" s="7" t="s">
        <v>14</v>
      </c>
      <c r="E5826" t="str">
        <f>_xlfn.XLOOKUP(Vendas[[#This Row],[ID Item Vendido]],Agregado[ID],Agregado[Produto])</f>
        <v>Barril de plástico 200L</v>
      </c>
      <c r="F5826" s="39">
        <v>46203</v>
      </c>
      <c r="G5826" s="7">
        <v>19</v>
      </c>
      <c r="H5826" s="3">
        <f>_xlfn.XLOOKUP(Vendas[[#This Row],[ID Item Vendido]],Agregado[ID],Agregado[Revenda])</f>
        <v>114</v>
      </c>
      <c r="I5826" s="3">
        <f>Vendas[[#This Row],[Valor Unitário]]*Vendas[[#This Row],[Qnt Vendida]]</f>
        <v>2166</v>
      </c>
      <c r="J5826" s="3">
        <f>Vendas[[#This Row],[Valor da Venda]]-(_xlfn.XLOOKUP(Vendas[[#This Row],[ID Item Vendido]],Agregado[ID],Agregado[Custo])*Vendas[[#This Row],[Qnt Vendida]])</f>
        <v>361</v>
      </c>
      <c r="K5826" s="70">
        <f>Vendas[[#This Row],[Lucro da Venda]]/Vendas[[#This Row],[Valor da Venda]]</f>
        <v>0.16666666666666666</v>
      </c>
      <c r="L5826" s="3">
        <f>_xlfn.IFS(Vendas[[#This Row],[Margem de Lucro (%)]]&lt;15%,Vendas[[#This Row],[Valor da Venda]]*3%,Vendas[[#This Row],[Margem de Lucro (%)]]&lt;=20%,Vendas[[#This Row],[Valor da Venda]]*4.5%,TRUE,Vendas[[#This Row],[Valor da Venda]]*6%)</f>
        <v>97.47</v>
      </c>
      <c r="M5826"/>
    </row>
    <row r="5827" spans="1:13" x14ac:dyDescent="0.3">
      <c r="A5827" s="7">
        <v>400246</v>
      </c>
      <c r="B5827" t="str">
        <f>_xlfn.XLOOKUP(Vendas[[#This Row],[ID Vendedor]],Vendedores[ID],Vendedores[Nome])</f>
        <v>Juliana</v>
      </c>
      <c r="C5827" s="7" t="str">
        <f>_xlfn.XLOOKUP(Vendas[[#This Row],[ID Vendedor]],Vendedores[ID],Vendedores[Setor])</f>
        <v>AHD</v>
      </c>
      <c r="D5827" s="7" t="s">
        <v>9</v>
      </c>
      <c r="E5827" t="str">
        <f>_xlfn.XLOOKUP(Vendas[[#This Row],[ID Item Vendido]],Agregado[ID],Agregado[Produto])</f>
        <v>Barra de aço simples</v>
      </c>
      <c r="F5827" s="39">
        <v>46203</v>
      </c>
      <c r="G5827" s="7">
        <v>87</v>
      </c>
      <c r="H5827" s="3">
        <f>_xlfn.XLOOKUP(Vendas[[#This Row],[ID Item Vendido]],Agregado[ID],Agregado[Revenda])</f>
        <v>6.7</v>
      </c>
      <c r="I5827" s="3">
        <f>Vendas[[#This Row],[Valor Unitário]]*Vendas[[#This Row],[Qnt Vendida]]</f>
        <v>582.9</v>
      </c>
      <c r="J5827" s="3">
        <f>Vendas[[#This Row],[Valor da Venda]]-(_xlfn.XLOOKUP(Vendas[[#This Row],[ID Item Vendido]],Agregado[ID],Agregado[Custo])*Vendas[[#This Row],[Qnt Vendida]])</f>
        <v>78.300000000000011</v>
      </c>
      <c r="K5827" s="70">
        <f>Vendas[[#This Row],[Lucro da Venda]]/Vendas[[#This Row],[Valor da Venda]]</f>
        <v>0.13432835820895525</v>
      </c>
      <c r="L5827" s="3">
        <f>_xlfn.IFS(Vendas[[#This Row],[Margem de Lucro (%)]]&lt;15%,Vendas[[#This Row],[Valor da Venda]]*3%,Vendas[[#This Row],[Margem de Lucro (%)]]&lt;=20%,Vendas[[#This Row],[Valor da Venda]]*4.5%,TRUE,Vendas[[#This Row],[Valor da Venda]]*6%)</f>
        <v>17.486999999999998</v>
      </c>
      <c r="M5827"/>
    </row>
    <row r="5828" spans="1:13" x14ac:dyDescent="0.3">
      <c r="A5828" s="7">
        <v>400248</v>
      </c>
      <c r="B5828" t="str">
        <f>_xlfn.XLOOKUP(Vendas[[#This Row],[ID Vendedor]],Vendedores[ID],Vendedores[Nome])</f>
        <v>Patrícia</v>
      </c>
      <c r="C5828" s="7" t="str">
        <f>_xlfn.XLOOKUP(Vendas[[#This Row],[ID Vendedor]],Vendedores[ID],Vendedores[Setor])</f>
        <v>CM</v>
      </c>
      <c r="D5828" s="7" t="s">
        <v>34</v>
      </c>
      <c r="E5828" t="str">
        <f>_xlfn.XLOOKUP(Vendas[[#This Row],[ID Item Vendido]],Agregado[ID],Agregado[Produto])</f>
        <v>Restos de madeira p/ MDP/OSB saco de 20kg</v>
      </c>
      <c r="F5828" s="39">
        <v>46203</v>
      </c>
      <c r="G5828" s="7">
        <v>25</v>
      </c>
      <c r="H5828" s="3">
        <f>_xlfn.XLOOKUP(Vendas[[#This Row],[ID Item Vendido]],Agregado[ID],Agregado[Revenda])</f>
        <v>13.8</v>
      </c>
      <c r="I5828" s="3">
        <f>Vendas[[#This Row],[Valor Unitário]]*Vendas[[#This Row],[Qnt Vendida]]</f>
        <v>345</v>
      </c>
      <c r="J5828" s="3">
        <f>Vendas[[#This Row],[Valor da Venda]]-(_xlfn.XLOOKUP(Vendas[[#This Row],[ID Item Vendido]],Agregado[ID],Agregado[Custo])*Vendas[[#This Row],[Qnt Vendida]])</f>
        <v>45</v>
      </c>
      <c r="K5828" s="70">
        <f>Vendas[[#This Row],[Lucro da Venda]]/Vendas[[#This Row],[Valor da Venda]]</f>
        <v>0.13043478260869565</v>
      </c>
      <c r="L5828" s="3">
        <f>_xlfn.IFS(Vendas[[#This Row],[Margem de Lucro (%)]]&lt;15%,Vendas[[#This Row],[Valor da Venda]]*3%,Vendas[[#This Row],[Margem de Lucro (%)]]&lt;=20%,Vendas[[#This Row],[Valor da Venda]]*4.5%,TRUE,Vendas[[#This Row],[Valor da Venda]]*6%)</f>
        <v>10.35</v>
      </c>
      <c r="M5828"/>
    </row>
    <row r="5829" spans="1:13" x14ac:dyDescent="0.3">
      <c r="A5829" s="7">
        <v>400241</v>
      </c>
      <c r="B5829" t="str">
        <f>_xlfn.XLOOKUP(Vendas[[#This Row],[ID Vendedor]],Vendedores[ID],Vendedores[Nome])</f>
        <v>Rodrigo</v>
      </c>
      <c r="C5829" s="7" t="str">
        <f>_xlfn.XLOOKUP(Vendas[[#This Row],[ID Vendedor]],Vendedores[ID],Vendedores[Setor])</f>
        <v>FM</v>
      </c>
      <c r="D5829" s="7" t="s">
        <v>47</v>
      </c>
      <c r="E5829" t="str">
        <f>_xlfn.XLOOKUP(Vendas[[#This Row],[ID Item Vendido]],Agregado[ID],Agregado[Produto])</f>
        <v>Fio de arame galvanizado rolo 50m</v>
      </c>
      <c r="F5829" s="39">
        <v>46203</v>
      </c>
      <c r="G5829" s="7">
        <v>4</v>
      </c>
      <c r="H5829" s="3">
        <f>_xlfn.XLOOKUP(Vendas[[#This Row],[ID Item Vendido]],Agregado[ID],Agregado[Revenda])</f>
        <v>21.2</v>
      </c>
      <c r="I5829" s="3">
        <f>Vendas[[#This Row],[Valor Unitário]]*Vendas[[#This Row],[Qnt Vendida]]</f>
        <v>84.8</v>
      </c>
      <c r="J5829" s="3">
        <f>Vendas[[#This Row],[Valor da Venda]]-(_xlfn.XLOOKUP(Vendas[[#This Row],[ID Item Vendido]],Agregado[ID],Agregado[Custo])*Vendas[[#This Row],[Qnt Vendida]])</f>
        <v>12.799999999999997</v>
      </c>
      <c r="K5829" s="70">
        <f>Vendas[[#This Row],[Lucro da Venda]]/Vendas[[#This Row],[Valor da Venda]]</f>
        <v>0.15094339622641506</v>
      </c>
      <c r="L5829" s="3">
        <f>_xlfn.IFS(Vendas[[#This Row],[Margem de Lucro (%)]]&lt;15%,Vendas[[#This Row],[Valor da Venda]]*3%,Vendas[[#This Row],[Margem de Lucro (%)]]&lt;=20%,Vendas[[#This Row],[Valor da Venda]]*4.5%,TRUE,Vendas[[#This Row],[Valor da Venda]]*6%)</f>
        <v>3.8159999999999998</v>
      </c>
      <c r="M5829"/>
    </row>
    <row r="5830" spans="1:13" x14ac:dyDescent="0.3">
      <c r="A5830" s="7">
        <v>400245</v>
      </c>
      <c r="B5830" t="str">
        <f>_xlfn.XLOOKUP(Vendas[[#This Row],[ID Vendedor]],Vendedores[ID],Vendedores[Nome])</f>
        <v>Thiago</v>
      </c>
      <c r="C5830" s="7" t="str">
        <f>_xlfn.XLOOKUP(Vendas[[#This Row],[ID Vendedor]],Vendedores[ID],Vendedores[Setor])</f>
        <v>AHD</v>
      </c>
      <c r="D5830" s="7" t="s">
        <v>28</v>
      </c>
      <c r="E5830" t="str">
        <f>_xlfn.XLOOKUP(Vendas[[#This Row],[ID Item Vendido]],Agregado[ID],Agregado[Produto])</f>
        <v>Peça usinada CNC</v>
      </c>
      <c r="F5830" s="39">
        <v>46204</v>
      </c>
      <c r="G5830" s="7">
        <v>10</v>
      </c>
      <c r="H5830" s="3">
        <f>_xlfn.XLOOKUP(Vendas[[#This Row],[ID Item Vendido]],Agregado[ID],Agregado[Revenda])</f>
        <v>192</v>
      </c>
      <c r="I5830" s="3">
        <f>Vendas[[#This Row],[Valor Unitário]]*Vendas[[#This Row],[Qnt Vendida]]</f>
        <v>1920</v>
      </c>
      <c r="J5830" s="3">
        <f>Vendas[[#This Row],[Valor da Venda]]-(_xlfn.XLOOKUP(Vendas[[#This Row],[ID Item Vendido]],Agregado[ID],Agregado[Custo])*Vendas[[#This Row],[Qnt Vendida]])</f>
        <v>420</v>
      </c>
      <c r="K5830" s="70">
        <f>Vendas[[#This Row],[Lucro da Venda]]/Vendas[[#This Row],[Valor da Venda]]</f>
        <v>0.21875</v>
      </c>
      <c r="L5830" s="3">
        <f>_xlfn.IFS(Vendas[[#This Row],[Margem de Lucro (%)]]&lt;15%,Vendas[[#This Row],[Valor da Venda]]*3%,Vendas[[#This Row],[Margem de Lucro (%)]]&lt;=20%,Vendas[[#This Row],[Valor da Venda]]*4.5%,TRUE,Vendas[[#This Row],[Valor da Venda]]*6%)</f>
        <v>115.19999999999999</v>
      </c>
      <c r="M5830"/>
    </row>
    <row r="5831" spans="1:13" x14ac:dyDescent="0.3">
      <c r="A5831" s="7">
        <v>400255</v>
      </c>
      <c r="B5831" t="str">
        <f>_xlfn.XLOOKUP(Vendas[[#This Row],[ID Vendedor]],Vendedores[ID],Vendedores[Nome])</f>
        <v>Carlos</v>
      </c>
      <c r="C5831" s="7" t="str">
        <f>_xlfn.XLOOKUP(Vendas[[#This Row],[ID Vendedor]],Vendedores[ID],Vendedores[Setor])</f>
        <v>SC</v>
      </c>
      <c r="D5831" s="7" t="s">
        <v>42</v>
      </c>
      <c r="E5831" t="str">
        <f>_xlfn.XLOOKUP(Vendas[[#This Row],[ID Item Vendido]],Agregado[ID],Agregado[Produto])</f>
        <v>Container de ferro industrial</v>
      </c>
      <c r="F5831" s="39">
        <v>46204</v>
      </c>
      <c r="G5831" s="7">
        <v>2</v>
      </c>
      <c r="H5831" s="3">
        <f>_xlfn.XLOOKUP(Vendas[[#This Row],[ID Item Vendido]],Agregado[ID],Agregado[Revenda])</f>
        <v>830</v>
      </c>
      <c r="I5831" s="3">
        <f>Vendas[[#This Row],[Valor Unitário]]*Vendas[[#This Row],[Qnt Vendida]]</f>
        <v>1660</v>
      </c>
      <c r="J5831" s="3">
        <f>Vendas[[#This Row],[Valor da Venda]]-(_xlfn.XLOOKUP(Vendas[[#This Row],[ID Item Vendido]],Agregado[ID],Agregado[Custo])*Vendas[[#This Row],[Qnt Vendida]])</f>
        <v>300</v>
      </c>
      <c r="K5831" s="70">
        <f>Vendas[[#This Row],[Lucro da Venda]]/Vendas[[#This Row],[Valor da Venda]]</f>
        <v>0.18072289156626506</v>
      </c>
      <c r="L5831" s="3">
        <f>_xlfn.IFS(Vendas[[#This Row],[Margem de Lucro (%)]]&lt;15%,Vendas[[#This Row],[Valor da Venda]]*3%,Vendas[[#This Row],[Margem de Lucro (%)]]&lt;=20%,Vendas[[#This Row],[Valor da Venda]]*4.5%,TRUE,Vendas[[#This Row],[Valor da Venda]]*6%)</f>
        <v>74.7</v>
      </c>
      <c r="M5831"/>
    </row>
    <row r="5832" spans="1:13" x14ac:dyDescent="0.3">
      <c r="A5832" s="7">
        <v>400254</v>
      </c>
      <c r="B5832" t="str">
        <f>_xlfn.XLOOKUP(Vendas[[#This Row],[ID Vendedor]],Vendedores[ID],Vendedores[Nome])</f>
        <v>Beatriz</v>
      </c>
      <c r="C5832" s="7" t="str">
        <f>_xlfn.XLOOKUP(Vendas[[#This Row],[ID Vendedor]],Vendedores[ID],Vendedores[Setor])</f>
        <v>SC</v>
      </c>
      <c r="D5832" s="7" t="s">
        <v>41</v>
      </c>
      <c r="E5832" t="str">
        <f>_xlfn.XLOOKUP(Vendas[[#This Row],[ID Item Vendido]],Agregado[ID],Agregado[Produto])</f>
        <v>Palete de madeira reforçado</v>
      </c>
      <c r="F5832" s="39">
        <v>46204</v>
      </c>
      <c r="G5832" s="7">
        <v>8</v>
      </c>
      <c r="H5832" s="3">
        <f>_xlfn.XLOOKUP(Vendas[[#This Row],[ID Item Vendido]],Agregado[ID],Agregado[Revenda])</f>
        <v>131</v>
      </c>
      <c r="I5832" s="3">
        <f>Vendas[[#This Row],[Valor Unitário]]*Vendas[[#This Row],[Qnt Vendida]]</f>
        <v>1048</v>
      </c>
      <c r="J5832" s="3">
        <f>Vendas[[#This Row],[Valor da Venda]]-(_xlfn.XLOOKUP(Vendas[[#This Row],[ID Item Vendido]],Agregado[ID],Agregado[Custo])*Vendas[[#This Row],[Qnt Vendida]])</f>
        <v>168</v>
      </c>
      <c r="K5832" s="70">
        <f>Vendas[[#This Row],[Lucro da Venda]]/Vendas[[#This Row],[Valor da Venda]]</f>
        <v>0.16030534351145037</v>
      </c>
      <c r="L5832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5832"/>
    </row>
    <row r="5833" spans="1:13" x14ac:dyDescent="0.3">
      <c r="A5833" s="7">
        <v>400252</v>
      </c>
      <c r="B5833" t="str">
        <f>_xlfn.XLOOKUP(Vendas[[#This Row],[ID Vendedor]],Vendedores[ID],Vendedores[Nome])</f>
        <v>Renata</v>
      </c>
      <c r="C5833" s="7" t="str">
        <f>_xlfn.XLOOKUP(Vendas[[#This Row],[ID Vendedor]],Vendedores[ID],Vendedores[Setor])</f>
        <v>AB</v>
      </c>
      <c r="D5833" s="7" t="s">
        <v>12</v>
      </c>
      <c r="E5833" t="str">
        <f>_xlfn.XLOOKUP(Vendas[[#This Row],[ID Item Vendido]],Agregado[ID],Agregado[Produto])</f>
        <v>Grânulo de plástico reciclado refinado</v>
      </c>
      <c r="F5833" s="39">
        <v>46204</v>
      </c>
      <c r="G5833" s="7">
        <v>71</v>
      </c>
      <c r="H5833" s="3">
        <f>_xlfn.XLOOKUP(Vendas[[#This Row],[ID Item Vendido]],Agregado[ID],Agregado[Revenda])</f>
        <v>4.7</v>
      </c>
      <c r="I5833" s="3">
        <f>Vendas[[#This Row],[Valor Unitário]]*Vendas[[#This Row],[Qnt Vendida]]</f>
        <v>333.7</v>
      </c>
      <c r="J5833" s="3">
        <f>Vendas[[#This Row],[Valor da Venda]]-(_xlfn.XLOOKUP(Vendas[[#This Row],[ID Item Vendido]],Agregado[ID],Agregado[Custo])*Vendas[[#This Row],[Qnt Vendida]])</f>
        <v>85.199999999999989</v>
      </c>
      <c r="K5833" s="70">
        <f>Vendas[[#This Row],[Lucro da Venda]]/Vendas[[#This Row],[Valor da Venda]]</f>
        <v>0.25531914893617019</v>
      </c>
      <c r="L5833" s="3">
        <f>_xlfn.IFS(Vendas[[#This Row],[Margem de Lucro (%)]]&lt;15%,Vendas[[#This Row],[Valor da Venda]]*3%,Vendas[[#This Row],[Margem de Lucro (%)]]&lt;=20%,Vendas[[#This Row],[Valor da Venda]]*4.5%,TRUE,Vendas[[#This Row],[Valor da Venda]]*6%)</f>
        <v>20.021999999999998</v>
      </c>
      <c r="M5833"/>
    </row>
    <row r="5834" spans="1:13" x14ac:dyDescent="0.3">
      <c r="A5834" s="7">
        <v>400241</v>
      </c>
      <c r="B5834" t="str">
        <f>_xlfn.XLOOKUP(Vendas[[#This Row],[ID Vendedor]],Vendedores[ID],Vendedores[Nome])</f>
        <v>Rodrigo</v>
      </c>
      <c r="C5834" s="7" t="str">
        <f>_xlfn.XLOOKUP(Vendas[[#This Row],[ID Vendedor]],Vendedores[ID],Vendedores[Setor])</f>
        <v>FM</v>
      </c>
      <c r="D5834" s="7" t="s">
        <v>47</v>
      </c>
      <c r="E5834" t="str">
        <f>_xlfn.XLOOKUP(Vendas[[#This Row],[ID Item Vendido]],Agregado[ID],Agregado[Produto])</f>
        <v>Fio de arame galvanizado rolo 50m</v>
      </c>
      <c r="F5834" s="39">
        <v>46205</v>
      </c>
      <c r="G5834" s="7">
        <v>32</v>
      </c>
      <c r="H5834" s="3">
        <f>_xlfn.XLOOKUP(Vendas[[#This Row],[ID Item Vendido]],Agregado[ID],Agregado[Revenda])</f>
        <v>21.2</v>
      </c>
      <c r="I5834" s="3">
        <f>Vendas[[#This Row],[Valor Unitário]]*Vendas[[#This Row],[Qnt Vendida]]</f>
        <v>678.4</v>
      </c>
      <c r="J5834" s="3">
        <f>Vendas[[#This Row],[Valor da Venda]]-(_xlfn.XLOOKUP(Vendas[[#This Row],[ID Item Vendido]],Agregado[ID],Agregado[Custo])*Vendas[[#This Row],[Qnt Vendida]])</f>
        <v>102.39999999999998</v>
      </c>
      <c r="K5834" s="70">
        <f>Vendas[[#This Row],[Lucro da Venda]]/Vendas[[#This Row],[Valor da Venda]]</f>
        <v>0.15094339622641506</v>
      </c>
      <c r="L5834" s="3">
        <f>_xlfn.IFS(Vendas[[#This Row],[Margem de Lucro (%)]]&lt;15%,Vendas[[#This Row],[Valor da Venda]]*3%,Vendas[[#This Row],[Margem de Lucro (%)]]&lt;=20%,Vendas[[#This Row],[Valor da Venda]]*4.5%,TRUE,Vendas[[#This Row],[Valor da Venda]]*6%)</f>
        <v>30.527999999999999</v>
      </c>
      <c r="M5834"/>
    </row>
    <row r="5835" spans="1:13" x14ac:dyDescent="0.3">
      <c r="A5835" s="7">
        <v>400251</v>
      </c>
      <c r="B5835" t="str">
        <f>_xlfn.XLOOKUP(Vendas[[#This Row],[ID Vendedor]],Vendedores[ID],Vendedores[Nome])</f>
        <v>Diego</v>
      </c>
      <c r="C5835" s="7" t="str">
        <f>_xlfn.XLOOKUP(Vendas[[#This Row],[ID Vendedor]],Vendedores[ID],Vendedores[Setor])</f>
        <v>AB</v>
      </c>
      <c r="D5835" s="7" t="s">
        <v>12</v>
      </c>
      <c r="E5835" t="str">
        <f>_xlfn.XLOOKUP(Vendas[[#This Row],[ID Item Vendido]],Agregado[ID],Agregado[Produto])</f>
        <v>Grânulo de plástico reciclado refinado</v>
      </c>
      <c r="F5835" s="39">
        <v>46205</v>
      </c>
      <c r="G5835" s="7">
        <v>108</v>
      </c>
      <c r="H5835" s="3">
        <f>_xlfn.XLOOKUP(Vendas[[#This Row],[ID Item Vendido]],Agregado[ID],Agregado[Revenda])</f>
        <v>4.7</v>
      </c>
      <c r="I5835" s="3">
        <f>Vendas[[#This Row],[Valor Unitário]]*Vendas[[#This Row],[Qnt Vendida]]</f>
        <v>507.6</v>
      </c>
      <c r="J5835" s="3">
        <f>Vendas[[#This Row],[Valor da Venda]]-(_xlfn.XLOOKUP(Vendas[[#This Row],[ID Item Vendido]],Agregado[ID],Agregado[Custo])*Vendas[[#This Row],[Qnt Vendida]])</f>
        <v>129.60000000000002</v>
      </c>
      <c r="K5835" s="70">
        <f>Vendas[[#This Row],[Lucro da Venda]]/Vendas[[#This Row],[Valor da Venda]]</f>
        <v>0.25531914893617025</v>
      </c>
      <c r="L5835" s="3">
        <f>_xlfn.IFS(Vendas[[#This Row],[Margem de Lucro (%)]]&lt;15%,Vendas[[#This Row],[Valor da Venda]]*3%,Vendas[[#This Row],[Margem de Lucro (%)]]&lt;=20%,Vendas[[#This Row],[Valor da Venda]]*4.5%,TRUE,Vendas[[#This Row],[Valor da Venda]]*6%)</f>
        <v>30.456</v>
      </c>
      <c r="M5835"/>
    </row>
    <row r="5836" spans="1:13" x14ac:dyDescent="0.3">
      <c r="A5836" s="7">
        <v>400252</v>
      </c>
      <c r="B5836" t="str">
        <f>_xlfn.XLOOKUP(Vendas[[#This Row],[ID Vendedor]],Vendedores[ID],Vendedores[Nome])</f>
        <v>Renata</v>
      </c>
      <c r="C5836" s="7" t="str">
        <f>_xlfn.XLOOKUP(Vendas[[#This Row],[ID Vendedor]],Vendedores[ID],Vendedores[Setor])</f>
        <v>AB</v>
      </c>
      <c r="D5836" s="7" t="s">
        <v>24</v>
      </c>
      <c r="E5836" t="str">
        <f>_xlfn.XLOOKUP(Vendas[[#This Row],[ID Item Vendido]],Agregado[ID],Agregado[Produto])</f>
        <v>Resina plástica PET purificada saco de 25kg</v>
      </c>
      <c r="F5836" s="39">
        <v>46205</v>
      </c>
      <c r="G5836" s="7">
        <v>3</v>
      </c>
      <c r="H5836" s="3">
        <f>_xlfn.XLOOKUP(Vendas[[#This Row],[ID Item Vendido]],Agregado[ID],Agregado[Revenda])</f>
        <v>119</v>
      </c>
      <c r="I5836" s="3">
        <f>Vendas[[#This Row],[Valor Unitário]]*Vendas[[#This Row],[Qnt Vendida]]</f>
        <v>357</v>
      </c>
      <c r="J5836" s="3">
        <f>Vendas[[#This Row],[Valor da Venda]]-(_xlfn.XLOOKUP(Vendas[[#This Row],[ID Item Vendido]],Agregado[ID],Agregado[Custo])*Vendas[[#This Row],[Qnt Vendida]])</f>
        <v>102</v>
      </c>
      <c r="K5836" s="70">
        <f>Vendas[[#This Row],[Lucro da Venda]]/Vendas[[#This Row],[Valor da Venda]]</f>
        <v>0.2857142857142857</v>
      </c>
      <c r="L5836" s="3">
        <f>_xlfn.IFS(Vendas[[#This Row],[Margem de Lucro (%)]]&lt;15%,Vendas[[#This Row],[Valor da Venda]]*3%,Vendas[[#This Row],[Margem de Lucro (%)]]&lt;=20%,Vendas[[#This Row],[Valor da Venda]]*4.5%,TRUE,Vendas[[#This Row],[Valor da Venda]]*6%)</f>
        <v>21.419999999999998</v>
      </c>
      <c r="M5836"/>
    </row>
    <row r="5837" spans="1:13" x14ac:dyDescent="0.3">
      <c r="A5837" s="7">
        <v>400242</v>
      </c>
      <c r="B5837" t="str">
        <f>_xlfn.XLOOKUP(Vendas[[#This Row],[ID Vendedor]],Vendedores[ID],Vendedores[Nome])</f>
        <v>Fernanda</v>
      </c>
      <c r="C5837" s="7" t="str">
        <f>_xlfn.XLOOKUP(Vendas[[#This Row],[ID Vendedor]],Vendedores[ID],Vendedores[Setor])</f>
        <v>FM</v>
      </c>
      <c r="D5837" s="7" t="s">
        <v>31</v>
      </c>
      <c r="E5837" t="str">
        <f>_xlfn.XLOOKUP(Vendas[[#This Row],[ID Item Vendido]],Agregado[ID],Agregado[Produto])</f>
        <v>Tela de metal soldada rolo 2x25m</v>
      </c>
      <c r="F5837" s="39">
        <v>46205</v>
      </c>
      <c r="G5837" s="7">
        <v>2</v>
      </c>
      <c r="H5837" s="3">
        <f>_xlfn.XLOOKUP(Vendas[[#This Row],[ID Item Vendido]],Agregado[ID],Agregado[Revenda])</f>
        <v>43.7</v>
      </c>
      <c r="I5837" s="3">
        <f>Vendas[[#This Row],[Valor Unitário]]*Vendas[[#This Row],[Qnt Vendida]]</f>
        <v>87.4</v>
      </c>
      <c r="J5837" s="3">
        <f>Vendas[[#This Row],[Valor da Venda]]-(_xlfn.XLOOKUP(Vendas[[#This Row],[ID Item Vendido]],Agregado[ID],Agregado[Custo])*Vendas[[#This Row],[Qnt Vendida]])</f>
        <v>11.400000000000006</v>
      </c>
      <c r="K5837" s="70">
        <f>Vendas[[#This Row],[Lucro da Venda]]/Vendas[[#This Row],[Valor da Venda]]</f>
        <v>0.1304347826086957</v>
      </c>
      <c r="L5837" s="3">
        <f>_xlfn.IFS(Vendas[[#This Row],[Margem de Lucro (%)]]&lt;15%,Vendas[[#This Row],[Valor da Venda]]*3%,Vendas[[#This Row],[Margem de Lucro (%)]]&lt;=20%,Vendas[[#This Row],[Valor da Venda]]*4.5%,TRUE,Vendas[[#This Row],[Valor da Venda]]*6%)</f>
        <v>2.6219999999999999</v>
      </c>
      <c r="M5837"/>
    </row>
    <row r="5838" spans="1:13" x14ac:dyDescent="0.3">
      <c r="A5838" s="7">
        <v>400251</v>
      </c>
      <c r="B5838" t="str">
        <f>_xlfn.XLOOKUP(Vendas[[#This Row],[ID Vendedor]],Vendedores[ID],Vendedores[Nome])</f>
        <v>Diego</v>
      </c>
      <c r="C5838" s="7" t="str">
        <f>_xlfn.XLOOKUP(Vendas[[#This Row],[ID Vendedor]],Vendedores[ID],Vendedores[Setor])</f>
        <v>AB</v>
      </c>
      <c r="D5838" s="7" t="s">
        <v>12</v>
      </c>
      <c r="E5838" t="str">
        <f>_xlfn.XLOOKUP(Vendas[[#This Row],[ID Item Vendido]],Agregado[ID],Agregado[Produto])</f>
        <v>Grânulo de plástico reciclado refinado</v>
      </c>
      <c r="F5838" s="39">
        <v>46206</v>
      </c>
      <c r="G5838" s="7">
        <v>84</v>
      </c>
      <c r="H5838" s="3">
        <f>_xlfn.XLOOKUP(Vendas[[#This Row],[ID Item Vendido]],Agregado[ID],Agregado[Revenda])</f>
        <v>4.7</v>
      </c>
      <c r="I5838" s="3">
        <f>Vendas[[#This Row],[Valor Unitário]]*Vendas[[#This Row],[Qnt Vendida]]</f>
        <v>394.8</v>
      </c>
      <c r="J5838" s="3">
        <f>Vendas[[#This Row],[Valor da Venda]]-(_xlfn.XLOOKUP(Vendas[[#This Row],[ID Item Vendido]],Agregado[ID],Agregado[Custo])*Vendas[[#This Row],[Qnt Vendida]])</f>
        <v>100.80000000000001</v>
      </c>
      <c r="K5838" s="70">
        <f>Vendas[[#This Row],[Lucro da Venda]]/Vendas[[#This Row],[Valor da Venda]]</f>
        <v>0.25531914893617025</v>
      </c>
      <c r="L5838" s="3">
        <f>_xlfn.IFS(Vendas[[#This Row],[Margem de Lucro (%)]]&lt;15%,Vendas[[#This Row],[Valor da Venda]]*3%,Vendas[[#This Row],[Margem de Lucro (%)]]&lt;=20%,Vendas[[#This Row],[Valor da Venda]]*4.5%,TRUE,Vendas[[#This Row],[Valor da Venda]]*6%)</f>
        <v>23.687999999999999</v>
      </c>
      <c r="M5838"/>
    </row>
    <row r="5839" spans="1:13" x14ac:dyDescent="0.3">
      <c r="A5839" s="7">
        <v>400242</v>
      </c>
      <c r="B5839" t="str">
        <f>_xlfn.XLOOKUP(Vendas[[#This Row],[ID Vendedor]],Vendedores[ID],Vendedores[Nome])</f>
        <v>Fernanda</v>
      </c>
      <c r="C5839" s="7" t="str">
        <f>_xlfn.XLOOKUP(Vendas[[#This Row],[ID Vendedor]],Vendedores[ID],Vendedores[Setor])</f>
        <v>FM</v>
      </c>
      <c r="D5839" s="7" t="s">
        <v>20</v>
      </c>
      <c r="E5839" t="str">
        <f>_xlfn.XLOOKUP(Vendas[[#This Row],[ID Item Vendido]],Agregado[ID],Agregado[Produto])</f>
        <v>Barra de aço simples</v>
      </c>
      <c r="F5839" s="39">
        <v>46207</v>
      </c>
      <c r="G5839" s="7">
        <v>155</v>
      </c>
      <c r="H5839" s="3">
        <f>_xlfn.XLOOKUP(Vendas[[#This Row],[ID Item Vendido]],Agregado[ID],Agregado[Revenda])</f>
        <v>4.8</v>
      </c>
      <c r="I5839" s="3">
        <f>Vendas[[#This Row],[Valor Unitário]]*Vendas[[#This Row],[Qnt Vendida]]</f>
        <v>744</v>
      </c>
      <c r="J5839" s="3">
        <f>Vendas[[#This Row],[Valor da Venda]]-(_xlfn.XLOOKUP(Vendas[[#This Row],[ID Item Vendido]],Agregado[ID],Agregado[Custo])*Vendas[[#This Row],[Qnt Vendida]])</f>
        <v>93</v>
      </c>
      <c r="K5839" s="70">
        <f>Vendas[[#This Row],[Lucro da Venda]]/Vendas[[#This Row],[Valor da Venda]]</f>
        <v>0.125</v>
      </c>
      <c r="L5839" s="3">
        <f>_xlfn.IFS(Vendas[[#This Row],[Margem de Lucro (%)]]&lt;15%,Vendas[[#This Row],[Valor da Venda]]*3%,Vendas[[#This Row],[Margem de Lucro (%)]]&lt;=20%,Vendas[[#This Row],[Valor da Venda]]*4.5%,TRUE,Vendas[[#This Row],[Valor da Venda]]*6%)</f>
        <v>22.32</v>
      </c>
      <c r="M5839"/>
    </row>
    <row r="5840" spans="1:13" x14ac:dyDescent="0.3">
      <c r="A5840" s="7">
        <v>400242</v>
      </c>
      <c r="B5840" t="str">
        <f>_xlfn.XLOOKUP(Vendas[[#This Row],[ID Vendedor]],Vendedores[ID],Vendedores[Nome])</f>
        <v>Fernanda</v>
      </c>
      <c r="C5840" s="7" t="str">
        <f>_xlfn.XLOOKUP(Vendas[[#This Row],[ID Vendedor]],Vendedores[ID],Vendedores[Setor])</f>
        <v>FM</v>
      </c>
      <c r="D5840" s="7" t="s">
        <v>27</v>
      </c>
      <c r="E5840" t="str">
        <f>_xlfn.XLOOKUP(Vendas[[#This Row],[ID Item Vendido]],Agregado[ID],Agregado[Produto])</f>
        <v>Chapa de metal lisa 1x2m</v>
      </c>
      <c r="F5840" s="39">
        <v>46207</v>
      </c>
      <c r="G5840" s="7">
        <v>3</v>
      </c>
      <c r="H5840" s="3">
        <f>_xlfn.XLOOKUP(Vendas[[#This Row],[ID Item Vendido]],Agregado[ID],Agregado[Revenda])</f>
        <v>52</v>
      </c>
      <c r="I5840" s="3">
        <f>Vendas[[#This Row],[Valor Unitário]]*Vendas[[#This Row],[Qnt Vendida]]</f>
        <v>156</v>
      </c>
      <c r="J5840" s="3">
        <f>Vendas[[#This Row],[Valor da Venda]]-(_xlfn.XLOOKUP(Vendas[[#This Row],[ID Item Vendido]],Agregado[ID],Agregado[Custo])*Vendas[[#This Row],[Qnt Vendida]])</f>
        <v>21</v>
      </c>
      <c r="K5840" s="70">
        <f>Vendas[[#This Row],[Lucro da Venda]]/Vendas[[#This Row],[Valor da Venda]]</f>
        <v>0.13461538461538461</v>
      </c>
      <c r="L5840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840"/>
    </row>
    <row r="5841" spans="1:13" x14ac:dyDescent="0.3">
      <c r="A5841" s="7">
        <v>400248</v>
      </c>
      <c r="B5841" t="str">
        <f>_xlfn.XLOOKUP(Vendas[[#This Row],[ID Vendedor]],Vendedores[ID],Vendedores[Nome])</f>
        <v>Patrícia</v>
      </c>
      <c r="C5841" s="7" t="str">
        <f>_xlfn.XLOOKUP(Vendas[[#This Row],[ID Vendedor]],Vendedores[ID],Vendedores[Setor])</f>
        <v>CM</v>
      </c>
      <c r="D5841" s="7" t="s">
        <v>32</v>
      </c>
      <c r="E5841" t="str">
        <f>_xlfn.XLOOKUP(Vendas[[#This Row],[ID Item Vendido]],Agregado[ID],Agregado[Produto])</f>
        <v>Tábua tratada e cortada 3m</v>
      </c>
      <c r="F5841" s="39">
        <v>46208</v>
      </c>
      <c r="G5841" s="7">
        <v>46</v>
      </c>
      <c r="H5841" s="3">
        <f>_xlfn.XLOOKUP(Vendas[[#This Row],[ID Item Vendido]],Agregado[ID],Agregado[Revenda])</f>
        <v>39</v>
      </c>
      <c r="I5841" s="3">
        <f>Vendas[[#This Row],[Valor Unitário]]*Vendas[[#This Row],[Qnt Vendida]]</f>
        <v>1794</v>
      </c>
      <c r="J5841" s="3">
        <f>Vendas[[#This Row],[Valor da Venda]]-(_xlfn.XLOOKUP(Vendas[[#This Row],[ID Item Vendido]],Agregado[ID],Agregado[Custo])*Vendas[[#This Row],[Qnt Vendida]])</f>
        <v>322</v>
      </c>
      <c r="K5841" s="70">
        <f>Vendas[[#This Row],[Lucro da Venda]]/Vendas[[#This Row],[Valor da Venda]]</f>
        <v>0.17948717948717949</v>
      </c>
      <c r="L5841" s="3">
        <f>_xlfn.IFS(Vendas[[#This Row],[Margem de Lucro (%)]]&lt;15%,Vendas[[#This Row],[Valor da Venda]]*3%,Vendas[[#This Row],[Margem de Lucro (%)]]&lt;=20%,Vendas[[#This Row],[Valor da Venda]]*4.5%,TRUE,Vendas[[#This Row],[Valor da Venda]]*6%)</f>
        <v>80.73</v>
      </c>
      <c r="M5841"/>
    </row>
    <row r="5842" spans="1:13" x14ac:dyDescent="0.3">
      <c r="A5842" s="7">
        <v>400246</v>
      </c>
      <c r="B5842" t="str">
        <f>_xlfn.XLOOKUP(Vendas[[#This Row],[ID Vendedor]],Vendedores[ID],Vendedores[Nome])</f>
        <v>Juliana</v>
      </c>
      <c r="C5842" s="7" t="str">
        <f>_xlfn.XLOOKUP(Vendas[[#This Row],[ID Vendedor]],Vendedores[ID],Vendedores[Setor])</f>
        <v>AHD</v>
      </c>
      <c r="D5842" s="7" t="s">
        <v>18</v>
      </c>
      <c r="E5842" t="str">
        <f>_xlfn.XLOOKUP(Vendas[[#This Row],[ID Item Vendido]],Agregado[ID],Agregado[Produto])</f>
        <v>Peça forjada sob encomenda</v>
      </c>
      <c r="F5842" s="39">
        <v>46208</v>
      </c>
      <c r="G5842" s="7">
        <v>4</v>
      </c>
      <c r="H5842" s="3">
        <f>_xlfn.XLOOKUP(Vendas[[#This Row],[ID Item Vendido]],Agregado[ID],Agregado[Revenda])</f>
        <v>264.60000000000002</v>
      </c>
      <c r="I5842" s="3">
        <f>Vendas[[#This Row],[Valor Unitário]]*Vendas[[#This Row],[Qnt Vendida]]</f>
        <v>1058.4000000000001</v>
      </c>
      <c r="J5842" s="3">
        <f>Vendas[[#This Row],[Valor da Venda]]-(_xlfn.XLOOKUP(Vendas[[#This Row],[ID Item Vendido]],Agregado[ID],Agregado[Custo])*Vendas[[#This Row],[Qnt Vendida]])</f>
        <v>58.400000000000091</v>
      </c>
      <c r="K5842" s="70">
        <f>Vendas[[#This Row],[Lucro da Venda]]/Vendas[[#This Row],[Valor da Venda]]</f>
        <v>5.5177626606198113E-2</v>
      </c>
      <c r="L5842" s="3">
        <f>_xlfn.IFS(Vendas[[#This Row],[Margem de Lucro (%)]]&lt;15%,Vendas[[#This Row],[Valor da Venda]]*3%,Vendas[[#This Row],[Margem de Lucro (%)]]&lt;=20%,Vendas[[#This Row],[Valor da Venda]]*4.5%,TRUE,Vendas[[#This Row],[Valor da Venda]]*6%)</f>
        <v>31.752000000000002</v>
      </c>
      <c r="M5842"/>
    </row>
    <row r="5843" spans="1:13" x14ac:dyDescent="0.3">
      <c r="A5843" s="7">
        <v>400252</v>
      </c>
      <c r="B5843" t="str">
        <f>_xlfn.XLOOKUP(Vendas[[#This Row],[ID Vendedor]],Vendedores[ID],Vendedores[Nome])</f>
        <v>Renata</v>
      </c>
      <c r="C5843" s="7" t="str">
        <f>_xlfn.XLOOKUP(Vendas[[#This Row],[ID Vendedor]],Vendedores[ID],Vendedores[Setor])</f>
        <v>AB</v>
      </c>
      <c r="D5843" s="7" t="s">
        <v>37</v>
      </c>
      <c r="E5843" t="str">
        <f>_xlfn.XLOOKUP(Vendas[[#This Row],[ID Item Vendido]],Agregado[ID],Agregado[Produto])</f>
        <v>Composto de borracha para vedação rolo 10m</v>
      </c>
      <c r="F5843" s="39">
        <v>46209</v>
      </c>
      <c r="G5843" s="7">
        <v>24</v>
      </c>
      <c r="H5843" s="3">
        <f>_xlfn.XLOOKUP(Vendas[[#This Row],[ID Item Vendido]],Agregado[ID],Agregado[Revenda])</f>
        <v>51.2</v>
      </c>
      <c r="I5843" s="3">
        <f>Vendas[[#This Row],[Valor Unitário]]*Vendas[[#This Row],[Qnt Vendida]]</f>
        <v>1228.8000000000002</v>
      </c>
      <c r="J5843" s="3">
        <f>Vendas[[#This Row],[Valor da Venda]]-(_xlfn.XLOOKUP(Vendas[[#This Row],[ID Item Vendido]],Agregado[ID],Agregado[Custo])*Vendas[[#This Row],[Qnt Vendida]])</f>
        <v>268.80000000000018</v>
      </c>
      <c r="K5843" s="70">
        <f>Vendas[[#This Row],[Lucro da Venda]]/Vendas[[#This Row],[Valor da Venda]]</f>
        <v>0.21875000000000011</v>
      </c>
      <c r="L5843" s="3">
        <f>_xlfn.IFS(Vendas[[#This Row],[Margem de Lucro (%)]]&lt;15%,Vendas[[#This Row],[Valor da Venda]]*3%,Vendas[[#This Row],[Margem de Lucro (%)]]&lt;=20%,Vendas[[#This Row],[Valor da Venda]]*4.5%,TRUE,Vendas[[#This Row],[Valor da Venda]]*6%)</f>
        <v>73.728000000000009</v>
      </c>
      <c r="M5843"/>
    </row>
    <row r="5844" spans="1:13" x14ac:dyDescent="0.3">
      <c r="A5844" s="7">
        <v>400254</v>
      </c>
      <c r="B5844" t="str">
        <f>_xlfn.XLOOKUP(Vendas[[#This Row],[ID Vendedor]],Vendedores[ID],Vendedores[Nome])</f>
        <v>Beatriz</v>
      </c>
      <c r="C5844" s="7" t="str">
        <f>_xlfn.XLOOKUP(Vendas[[#This Row],[ID Vendedor]],Vendedores[ID],Vendedores[Setor])</f>
        <v>SC</v>
      </c>
      <c r="D5844" s="7" t="s">
        <v>41</v>
      </c>
      <c r="E5844" t="str">
        <f>_xlfn.XLOOKUP(Vendas[[#This Row],[ID Item Vendido]],Agregado[ID],Agregado[Produto])</f>
        <v>Palete de madeira reforçado</v>
      </c>
      <c r="F5844" s="39">
        <v>46209</v>
      </c>
      <c r="G5844" s="7">
        <v>5</v>
      </c>
      <c r="H5844" s="3">
        <f>_xlfn.XLOOKUP(Vendas[[#This Row],[ID Item Vendido]],Agregado[ID],Agregado[Revenda])</f>
        <v>131</v>
      </c>
      <c r="I5844" s="3">
        <f>Vendas[[#This Row],[Valor Unitário]]*Vendas[[#This Row],[Qnt Vendida]]</f>
        <v>655</v>
      </c>
      <c r="J5844" s="3">
        <f>Vendas[[#This Row],[Valor da Venda]]-(_xlfn.XLOOKUP(Vendas[[#This Row],[ID Item Vendido]],Agregado[ID],Agregado[Custo])*Vendas[[#This Row],[Qnt Vendida]])</f>
        <v>105</v>
      </c>
      <c r="K5844" s="70">
        <f>Vendas[[#This Row],[Lucro da Venda]]/Vendas[[#This Row],[Valor da Venda]]</f>
        <v>0.16030534351145037</v>
      </c>
      <c r="L5844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844"/>
    </row>
    <row r="5845" spans="1:13" x14ac:dyDescent="0.3">
      <c r="A5845" s="7">
        <v>400252</v>
      </c>
      <c r="B5845" t="str">
        <f>_xlfn.XLOOKUP(Vendas[[#This Row],[ID Vendedor]],Vendedores[ID],Vendedores[Nome])</f>
        <v>Renata</v>
      </c>
      <c r="C5845" s="7" t="str">
        <f>_xlfn.XLOOKUP(Vendas[[#This Row],[ID Vendedor]],Vendedores[ID],Vendedores[Setor])</f>
        <v>AB</v>
      </c>
      <c r="D5845" s="7" t="s">
        <v>12</v>
      </c>
      <c r="E5845" t="str">
        <f>_xlfn.XLOOKUP(Vendas[[#This Row],[ID Item Vendido]],Agregado[ID],Agregado[Produto])</f>
        <v>Grânulo de plástico reciclado refinado</v>
      </c>
      <c r="F5845" s="39">
        <v>46209</v>
      </c>
      <c r="G5845" s="7">
        <v>80</v>
      </c>
      <c r="H5845" s="3">
        <f>_xlfn.XLOOKUP(Vendas[[#This Row],[ID Item Vendido]],Agregado[ID],Agregado[Revenda])</f>
        <v>4.7</v>
      </c>
      <c r="I5845" s="3">
        <f>Vendas[[#This Row],[Valor Unitário]]*Vendas[[#This Row],[Qnt Vendida]]</f>
        <v>376</v>
      </c>
      <c r="J5845" s="3">
        <f>Vendas[[#This Row],[Valor da Venda]]-(_xlfn.XLOOKUP(Vendas[[#This Row],[ID Item Vendido]],Agregado[ID],Agregado[Custo])*Vendas[[#This Row],[Qnt Vendida]])</f>
        <v>96</v>
      </c>
      <c r="K5845" s="70">
        <f>Vendas[[#This Row],[Lucro da Venda]]/Vendas[[#This Row],[Valor da Venda]]</f>
        <v>0.25531914893617019</v>
      </c>
      <c r="L5845" s="3">
        <f>_xlfn.IFS(Vendas[[#This Row],[Margem de Lucro (%)]]&lt;15%,Vendas[[#This Row],[Valor da Venda]]*3%,Vendas[[#This Row],[Margem de Lucro (%)]]&lt;=20%,Vendas[[#This Row],[Valor da Venda]]*4.5%,TRUE,Vendas[[#This Row],[Valor da Venda]]*6%)</f>
        <v>22.56</v>
      </c>
      <c r="M5845"/>
    </row>
    <row r="5846" spans="1:13" x14ac:dyDescent="0.3">
      <c r="A5846" s="7">
        <v>400243</v>
      </c>
      <c r="B5846" t="str">
        <f>_xlfn.XLOOKUP(Vendas[[#This Row],[ID Vendedor]],Vendedores[ID],Vendedores[Nome])</f>
        <v>Marcelo</v>
      </c>
      <c r="C5846" s="7" t="str">
        <f>_xlfn.XLOOKUP(Vendas[[#This Row],[ID Vendedor]],Vendedores[ID],Vendedores[Setor])</f>
        <v>FM</v>
      </c>
      <c r="D5846" s="7" t="s">
        <v>31</v>
      </c>
      <c r="E5846" t="str">
        <f>_xlfn.XLOOKUP(Vendas[[#This Row],[ID Item Vendido]],Agregado[ID],Agregado[Produto])</f>
        <v>Tela de metal soldada rolo 2x25m</v>
      </c>
      <c r="F5846" s="39">
        <v>46209</v>
      </c>
      <c r="G5846" s="7">
        <v>4</v>
      </c>
      <c r="H5846" s="3">
        <f>_xlfn.XLOOKUP(Vendas[[#This Row],[ID Item Vendido]],Agregado[ID],Agregado[Revenda])</f>
        <v>43.7</v>
      </c>
      <c r="I5846" s="3">
        <f>Vendas[[#This Row],[Valor Unitário]]*Vendas[[#This Row],[Qnt Vendida]]</f>
        <v>174.8</v>
      </c>
      <c r="J5846" s="3">
        <f>Vendas[[#This Row],[Valor da Venda]]-(_xlfn.XLOOKUP(Vendas[[#This Row],[ID Item Vendido]],Agregado[ID],Agregado[Custo])*Vendas[[#This Row],[Qnt Vendida]])</f>
        <v>22.800000000000011</v>
      </c>
      <c r="K5846" s="70">
        <f>Vendas[[#This Row],[Lucro da Venda]]/Vendas[[#This Row],[Valor da Venda]]</f>
        <v>0.1304347826086957</v>
      </c>
      <c r="L5846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5846"/>
    </row>
    <row r="5847" spans="1:13" x14ac:dyDescent="0.3">
      <c r="A5847" s="7">
        <v>400250</v>
      </c>
      <c r="B5847" t="str">
        <f>_xlfn.XLOOKUP(Vendas[[#This Row],[ID Vendedor]],Vendedores[ID],Vendedores[Nome])</f>
        <v>Larissa</v>
      </c>
      <c r="C5847" s="7" t="str">
        <f>_xlfn.XLOOKUP(Vendas[[#This Row],[ID Vendedor]],Vendedores[ID],Vendedores[Setor])</f>
        <v>AB</v>
      </c>
      <c r="D5847" s="7" t="s">
        <v>37</v>
      </c>
      <c r="E5847" t="str">
        <f>_xlfn.XLOOKUP(Vendas[[#This Row],[ID Item Vendido]],Agregado[ID],Agregado[Produto])</f>
        <v>Composto de borracha para vedação rolo 10m</v>
      </c>
      <c r="F5847" s="39">
        <v>46210</v>
      </c>
      <c r="G5847" s="7">
        <v>20</v>
      </c>
      <c r="H5847" s="3">
        <f>_xlfn.XLOOKUP(Vendas[[#This Row],[ID Item Vendido]],Agregado[ID],Agregado[Revenda])</f>
        <v>51.2</v>
      </c>
      <c r="I5847" s="3">
        <f>Vendas[[#This Row],[Valor Unitário]]*Vendas[[#This Row],[Qnt Vendida]]</f>
        <v>1024</v>
      </c>
      <c r="J5847" s="3">
        <f>Vendas[[#This Row],[Valor da Venda]]-(_xlfn.XLOOKUP(Vendas[[#This Row],[ID Item Vendido]],Agregado[ID],Agregado[Custo])*Vendas[[#This Row],[Qnt Vendida]])</f>
        <v>224</v>
      </c>
      <c r="K5847" s="70">
        <f>Vendas[[#This Row],[Lucro da Venda]]/Vendas[[#This Row],[Valor da Venda]]</f>
        <v>0.21875</v>
      </c>
      <c r="L5847" s="3">
        <f>_xlfn.IFS(Vendas[[#This Row],[Margem de Lucro (%)]]&lt;15%,Vendas[[#This Row],[Valor da Venda]]*3%,Vendas[[#This Row],[Margem de Lucro (%)]]&lt;=20%,Vendas[[#This Row],[Valor da Venda]]*4.5%,TRUE,Vendas[[#This Row],[Valor da Venda]]*6%)</f>
        <v>61.44</v>
      </c>
      <c r="M5847"/>
    </row>
    <row r="5848" spans="1:13" x14ac:dyDescent="0.3">
      <c r="A5848" s="7">
        <v>400246</v>
      </c>
      <c r="B5848" t="str">
        <f>_xlfn.XLOOKUP(Vendas[[#This Row],[ID Vendedor]],Vendedores[ID],Vendedores[Nome])</f>
        <v>Juliana</v>
      </c>
      <c r="C5848" s="7" t="str">
        <f>_xlfn.XLOOKUP(Vendas[[#This Row],[ID Vendedor]],Vendedores[ID],Vendedores[Setor])</f>
        <v>AHD</v>
      </c>
      <c r="D5848" s="7" t="s">
        <v>9</v>
      </c>
      <c r="E5848" t="str">
        <f>_xlfn.XLOOKUP(Vendas[[#This Row],[ID Item Vendido]],Agregado[ID],Agregado[Produto])</f>
        <v>Barra de aço simples</v>
      </c>
      <c r="F5848" s="39">
        <v>46210</v>
      </c>
      <c r="G5848" s="7">
        <v>103</v>
      </c>
      <c r="H5848" s="3">
        <f>_xlfn.XLOOKUP(Vendas[[#This Row],[ID Item Vendido]],Agregado[ID],Agregado[Revenda])</f>
        <v>6.7</v>
      </c>
      <c r="I5848" s="3">
        <f>Vendas[[#This Row],[Valor Unitário]]*Vendas[[#This Row],[Qnt Vendida]]</f>
        <v>690.1</v>
      </c>
      <c r="J5848" s="3">
        <f>Vendas[[#This Row],[Valor da Venda]]-(_xlfn.XLOOKUP(Vendas[[#This Row],[ID Item Vendido]],Agregado[ID],Agregado[Custo])*Vendas[[#This Row],[Qnt Vendida]])</f>
        <v>92.700000000000045</v>
      </c>
      <c r="K5848" s="70">
        <f>Vendas[[#This Row],[Lucro da Venda]]/Vendas[[#This Row],[Valor da Venda]]</f>
        <v>0.13432835820895528</v>
      </c>
      <c r="L5848" s="3">
        <f>_xlfn.IFS(Vendas[[#This Row],[Margem de Lucro (%)]]&lt;15%,Vendas[[#This Row],[Valor da Venda]]*3%,Vendas[[#This Row],[Margem de Lucro (%)]]&lt;=20%,Vendas[[#This Row],[Valor da Venda]]*4.5%,TRUE,Vendas[[#This Row],[Valor da Venda]]*6%)</f>
        <v>20.702999999999999</v>
      </c>
      <c r="M5848"/>
    </row>
    <row r="5849" spans="1:13" x14ac:dyDescent="0.3">
      <c r="A5849" s="7">
        <v>400250</v>
      </c>
      <c r="B5849" t="str">
        <f>_xlfn.XLOOKUP(Vendas[[#This Row],[ID Vendedor]],Vendedores[ID],Vendedores[Nome])</f>
        <v>Larissa</v>
      </c>
      <c r="C5849" s="7" t="str">
        <f>_xlfn.XLOOKUP(Vendas[[#This Row],[ID Vendedor]],Vendedores[ID],Vendedores[Setor])</f>
        <v>AB</v>
      </c>
      <c r="D5849" s="7" t="s">
        <v>12</v>
      </c>
      <c r="E5849" t="str">
        <f>_xlfn.XLOOKUP(Vendas[[#This Row],[ID Item Vendido]],Agregado[ID],Agregado[Produto])</f>
        <v>Grânulo de plástico reciclado refinado</v>
      </c>
      <c r="F5849" s="39">
        <v>46210</v>
      </c>
      <c r="G5849" s="7">
        <v>37</v>
      </c>
      <c r="H5849" s="3">
        <f>_xlfn.XLOOKUP(Vendas[[#This Row],[ID Item Vendido]],Agregado[ID],Agregado[Revenda])</f>
        <v>4.7</v>
      </c>
      <c r="I5849" s="3">
        <f>Vendas[[#This Row],[Valor Unitário]]*Vendas[[#This Row],[Qnt Vendida]]</f>
        <v>173.9</v>
      </c>
      <c r="J5849" s="3">
        <f>Vendas[[#This Row],[Valor da Venda]]-(_xlfn.XLOOKUP(Vendas[[#This Row],[ID Item Vendido]],Agregado[ID],Agregado[Custo])*Vendas[[#This Row],[Qnt Vendida]])</f>
        <v>44.400000000000006</v>
      </c>
      <c r="K5849" s="70">
        <f>Vendas[[#This Row],[Lucro da Venda]]/Vendas[[#This Row],[Valor da Venda]]</f>
        <v>0.25531914893617025</v>
      </c>
      <c r="L5849" s="3">
        <f>_xlfn.IFS(Vendas[[#This Row],[Margem de Lucro (%)]]&lt;15%,Vendas[[#This Row],[Valor da Venda]]*3%,Vendas[[#This Row],[Margem de Lucro (%)]]&lt;=20%,Vendas[[#This Row],[Valor da Venda]]*4.5%,TRUE,Vendas[[#This Row],[Valor da Venda]]*6%)</f>
        <v>10.433999999999999</v>
      </c>
      <c r="M5849"/>
    </row>
    <row r="5850" spans="1:13" x14ac:dyDescent="0.3">
      <c r="A5850" s="7">
        <v>400254</v>
      </c>
      <c r="B5850" t="str">
        <f>_xlfn.XLOOKUP(Vendas[[#This Row],[ID Vendedor]],Vendedores[ID],Vendedores[Nome])</f>
        <v>Beatriz</v>
      </c>
      <c r="C5850" s="7" t="str">
        <f>_xlfn.XLOOKUP(Vendas[[#This Row],[ID Vendedor]],Vendedores[ID],Vendedores[Setor])</f>
        <v>SC</v>
      </c>
      <c r="D5850" s="7" t="s">
        <v>48</v>
      </c>
      <c r="E5850" t="str">
        <f>_xlfn.XLOOKUP(Vendas[[#This Row],[ID Item Vendido]],Agregado[ID],Agregado[Produto])</f>
        <v>Tambor metálico 200L</v>
      </c>
      <c r="F5850" s="39">
        <v>46211</v>
      </c>
      <c r="G5850" s="7">
        <v>8</v>
      </c>
      <c r="H5850" s="3">
        <f>_xlfn.XLOOKUP(Vendas[[#This Row],[ID Item Vendido]],Agregado[ID],Agregado[Revenda])</f>
        <v>144</v>
      </c>
      <c r="I5850" s="3">
        <f>Vendas[[#This Row],[Valor Unitário]]*Vendas[[#This Row],[Qnt Vendida]]</f>
        <v>1152</v>
      </c>
      <c r="J5850" s="3">
        <f>Vendas[[#This Row],[Valor da Venda]]-(_xlfn.XLOOKUP(Vendas[[#This Row],[ID Item Vendido]],Agregado[ID],Agregado[Custo])*Vendas[[#This Row],[Qnt Vendida]])</f>
        <v>192</v>
      </c>
      <c r="K5850" s="70">
        <f>Vendas[[#This Row],[Lucro da Venda]]/Vendas[[#This Row],[Valor da Venda]]</f>
        <v>0.16666666666666666</v>
      </c>
      <c r="L5850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5850"/>
    </row>
    <row r="5851" spans="1:13" x14ac:dyDescent="0.3">
      <c r="A5851" s="7">
        <v>400242</v>
      </c>
      <c r="B5851" t="str">
        <f>_xlfn.XLOOKUP(Vendas[[#This Row],[ID Vendedor]],Vendedores[ID],Vendedores[Nome])</f>
        <v>Fernanda</v>
      </c>
      <c r="C5851" s="7" t="str">
        <f>_xlfn.XLOOKUP(Vendas[[#This Row],[ID Vendedor]],Vendedores[ID],Vendedores[Setor])</f>
        <v>FM</v>
      </c>
      <c r="D5851" s="7" t="s">
        <v>6</v>
      </c>
      <c r="E5851" t="str">
        <f>_xlfn.XLOOKUP(Vendas[[#This Row],[ID Item Vendido]],Agregado[ID],Agregado[Produto])</f>
        <v>Parafuso comum 500un</v>
      </c>
      <c r="F5851" s="39">
        <v>46211</v>
      </c>
      <c r="G5851" s="7">
        <v>23</v>
      </c>
      <c r="H5851" s="3">
        <f>_xlfn.XLOOKUP(Vendas[[#This Row],[ID Item Vendido]],Agregado[ID],Agregado[Revenda])</f>
        <v>24.6</v>
      </c>
      <c r="I5851" s="3">
        <f>Vendas[[#This Row],[Valor Unitário]]*Vendas[[#This Row],[Qnt Vendida]]</f>
        <v>565.80000000000007</v>
      </c>
      <c r="J5851" s="3">
        <f>Vendas[[#This Row],[Valor da Venda]]-(_xlfn.XLOOKUP(Vendas[[#This Row],[ID Item Vendido]],Agregado[ID],Agregado[Custo])*Vendas[[#This Row],[Qnt Vendida]])</f>
        <v>59.800000000000068</v>
      </c>
      <c r="K5851" s="70">
        <f>Vendas[[#This Row],[Lucro da Venda]]/Vendas[[#This Row],[Valor da Venda]]</f>
        <v>0.10569105691056921</v>
      </c>
      <c r="L5851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5851"/>
    </row>
    <row r="5852" spans="1:13" x14ac:dyDescent="0.3">
      <c r="A5852" s="7">
        <v>400254</v>
      </c>
      <c r="B5852" t="str">
        <f>_xlfn.XLOOKUP(Vendas[[#This Row],[ID Vendedor]],Vendedores[ID],Vendedores[Nome])</f>
        <v>Beatriz</v>
      </c>
      <c r="C5852" s="7" t="str">
        <f>_xlfn.XLOOKUP(Vendas[[#This Row],[ID Vendedor]],Vendedores[ID],Vendedores[Setor])</f>
        <v>SC</v>
      </c>
      <c r="D5852" s="7" t="s">
        <v>25</v>
      </c>
      <c r="E5852" t="str">
        <f>_xlfn.XLOOKUP(Vendas[[#This Row],[ID Item Vendido]],Agregado[ID],Agregado[Produto])</f>
        <v>Palete de plástico</v>
      </c>
      <c r="F5852" s="39">
        <v>46211</v>
      </c>
      <c r="G5852" s="7">
        <v>2</v>
      </c>
      <c r="H5852" s="3">
        <f>_xlfn.XLOOKUP(Vendas[[#This Row],[ID Item Vendido]],Agregado[ID],Agregado[Revenda])</f>
        <v>70.8</v>
      </c>
      <c r="I5852" s="3">
        <f>Vendas[[#This Row],[Valor Unitário]]*Vendas[[#This Row],[Qnt Vendida]]</f>
        <v>141.6</v>
      </c>
      <c r="J5852" s="3">
        <f>Vendas[[#This Row],[Valor da Venda]]-(_xlfn.XLOOKUP(Vendas[[#This Row],[ID Item Vendido]],Agregado[ID],Agregado[Custo])*Vendas[[#This Row],[Qnt Vendida]])</f>
        <v>21.599999999999994</v>
      </c>
      <c r="K5852" s="70">
        <f>Vendas[[#This Row],[Lucro da Venda]]/Vendas[[#This Row],[Valor da Venda]]</f>
        <v>0.15254237288135589</v>
      </c>
      <c r="L5852" s="3">
        <f>_xlfn.IFS(Vendas[[#This Row],[Margem de Lucro (%)]]&lt;15%,Vendas[[#This Row],[Valor da Venda]]*3%,Vendas[[#This Row],[Margem de Lucro (%)]]&lt;=20%,Vendas[[#This Row],[Valor da Venda]]*4.5%,TRUE,Vendas[[#This Row],[Valor da Venda]]*6%)</f>
        <v>6.3719999999999999</v>
      </c>
      <c r="M5852"/>
    </row>
    <row r="5853" spans="1:13" x14ac:dyDescent="0.3">
      <c r="A5853" s="7">
        <v>400242</v>
      </c>
      <c r="B5853" t="str">
        <f>_xlfn.XLOOKUP(Vendas[[#This Row],[ID Vendedor]],Vendedores[ID],Vendedores[Nome])</f>
        <v>Fernanda</v>
      </c>
      <c r="C5853" s="7" t="str">
        <f>_xlfn.XLOOKUP(Vendas[[#This Row],[ID Vendedor]],Vendedores[ID],Vendedores[Setor])</f>
        <v>FM</v>
      </c>
      <c r="D5853" s="7" t="s">
        <v>27</v>
      </c>
      <c r="E5853" t="str">
        <f>_xlfn.XLOOKUP(Vendas[[#This Row],[ID Item Vendido]],Agregado[ID],Agregado[Produto])</f>
        <v>Chapa de metal lisa 1x2m</v>
      </c>
      <c r="F5853" s="39">
        <v>46211</v>
      </c>
      <c r="G5853" s="7">
        <v>2</v>
      </c>
      <c r="H5853" s="3">
        <f>_xlfn.XLOOKUP(Vendas[[#This Row],[ID Item Vendido]],Agregado[ID],Agregado[Revenda])</f>
        <v>52</v>
      </c>
      <c r="I5853" s="3">
        <f>Vendas[[#This Row],[Valor Unitário]]*Vendas[[#This Row],[Qnt Vendida]]</f>
        <v>104</v>
      </c>
      <c r="J5853" s="3">
        <f>Vendas[[#This Row],[Valor da Venda]]-(_xlfn.XLOOKUP(Vendas[[#This Row],[ID Item Vendido]],Agregado[ID],Agregado[Custo])*Vendas[[#This Row],[Qnt Vendida]])</f>
        <v>14</v>
      </c>
      <c r="K5853" s="70">
        <f>Vendas[[#This Row],[Lucro da Venda]]/Vendas[[#This Row],[Valor da Venda]]</f>
        <v>0.13461538461538461</v>
      </c>
      <c r="L5853" s="3">
        <f>_xlfn.IFS(Vendas[[#This Row],[Margem de Lucro (%)]]&lt;15%,Vendas[[#This Row],[Valor da Venda]]*3%,Vendas[[#This Row],[Margem de Lucro (%)]]&lt;=20%,Vendas[[#This Row],[Valor da Venda]]*4.5%,TRUE,Vendas[[#This Row],[Valor da Venda]]*6%)</f>
        <v>3.12</v>
      </c>
      <c r="M5853"/>
    </row>
    <row r="5854" spans="1:13" x14ac:dyDescent="0.3">
      <c r="A5854" s="7">
        <v>400248</v>
      </c>
      <c r="B5854" t="str">
        <f>_xlfn.XLOOKUP(Vendas[[#This Row],[ID Vendedor]],Vendedores[ID],Vendedores[Nome])</f>
        <v>Patrícia</v>
      </c>
      <c r="C5854" s="7" t="str">
        <f>_xlfn.XLOOKUP(Vendas[[#This Row],[ID Vendedor]],Vendedores[ID],Vendedores[Setor])</f>
        <v>CM</v>
      </c>
      <c r="D5854" s="7" t="s">
        <v>32</v>
      </c>
      <c r="E5854" t="str">
        <f>_xlfn.XLOOKUP(Vendas[[#This Row],[ID Item Vendido]],Agregado[ID],Agregado[Produto])</f>
        <v>Tábua tratada e cortada 3m</v>
      </c>
      <c r="F5854" s="39">
        <v>46212</v>
      </c>
      <c r="G5854" s="7">
        <v>43</v>
      </c>
      <c r="H5854" s="3">
        <f>_xlfn.XLOOKUP(Vendas[[#This Row],[ID Item Vendido]],Agregado[ID],Agregado[Revenda])</f>
        <v>39</v>
      </c>
      <c r="I5854" s="3">
        <f>Vendas[[#This Row],[Valor Unitário]]*Vendas[[#This Row],[Qnt Vendida]]</f>
        <v>1677</v>
      </c>
      <c r="J5854" s="3">
        <f>Vendas[[#This Row],[Valor da Venda]]-(_xlfn.XLOOKUP(Vendas[[#This Row],[ID Item Vendido]],Agregado[ID],Agregado[Custo])*Vendas[[#This Row],[Qnt Vendida]])</f>
        <v>301</v>
      </c>
      <c r="K5854" s="70">
        <f>Vendas[[#This Row],[Lucro da Venda]]/Vendas[[#This Row],[Valor da Venda]]</f>
        <v>0.17948717948717949</v>
      </c>
      <c r="L5854" s="3">
        <f>_xlfn.IFS(Vendas[[#This Row],[Margem de Lucro (%)]]&lt;15%,Vendas[[#This Row],[Valor da Venda]]*3%,Vendas[[#This Row],[Margem de Lucro (%)]]&lt;=20%,Vendas[[#This Row],[Valor da Venda]]*4.5%,TRUE,Vendas[[#This Row],[Valor da Venda]]*6%)</f>
        <v>75.465000000000003</v>
      </c>
      <c r="M5854"/>
    </row>
    <row r="5855" spans="1:13" x14ac:dyDescent="0.3">
      <c r="A5855" s="7">
        <v>400254</v>
      </c>
      <c r="B5855" t="str">
        <f>_xlfn.XLOOKUP(Vendas[[#This Row],[ID Vendedor]],Vendedores[ID],Vendedores[Nome])</f>
        <v>Beatriz</v>
      </c>
      <c r="C5855" s="7" t="str">
        <f>_xlfn.XLOOKUP(Vendas[[#This Row],[ID Vendedor]],Vendedores[ID],Vendedores[Setor])</f>
        <v>SC</v>
      </c>
      <c r="D5855" s="7" t="s">
        <v>41</v>
      </c>
      <c r="E5855" t="str">
        <f>_xlfn.XLOOKUP(Vendas[[#This Row],[ID Item Vendido]],Agregado[ID],Agregado[Produto])</f>
        <v>Palete de madeira reforçado</v>
      </c>
      <c r="F5855" s="39">
        <v>46212</v>
      </c>
      <c r="G5855" s="7">
        <v>8</v>
      </c>
      <c r="H5855" s="3">
        <f>_xlfn.XLOOKUP(Vendas[[#This Row],[ID Item Vendido]],Agregado[ID],Agregado[Revenda])</f>
        <v>131</v>
      </c>
      <c r="I5855" s="3">
        <f>Vendas[[#This Row],[Valor Unitário]]*Vendas[[#This Row],[Qnt Vendida]]</f>
        <v>1048</v>
      </c>
      <c r="J5855" s="3">
        <f>Vendas[[#This Row],[Valor da Venda]]-(_xlfn.XLOOKUP(Vendas[[#This Row],[ID Item Vendido]],Agregado[ID],Agregado[Custo])*Vendas[[#This Row],[Qnt Vendida]])</f>
        <v>168</v>
      </c>
      <c r="K5855" s="70">
        <f>Vendas[[#This Row],[Lucro da Venda]]/Vendas[[#This Row],[Valor da Venda]]</f>
        <v>0.16030534351145037</v>
      </c>
      <c r="L5855" s="3">
        <f>_xlfn.IFS(Vendas[[#This Row],[Margem de Lucro (%)]]&lt;15%,Vendas[[#This Row],[Valor da Venda]]*3%,Vendas[[#This Row],[Margem de Lucro (%)]]&lt;=20%,Vendas[[#This Row],[Valor da Venda]]*4.5%,TRUE,Vendas[[#This Row],[Valor da Venda]]*6%)</f>
        <v>47.16</v>
      </c>
      <c r="M5855"/>
    </row>
    <row r="5856" spans="1:13" x14ac:dyDescent="0.3">
      <c r="A5856" s="7">
        <v>400242</v>
      </c>
      <c r="B5856" t="str">
        <f>_xlfn.XLOOKUP(Vendas[[#This Row],[ID Vendedor]],Vendedores[ID],Vendedores[Nome])</f>
        <v>Fernanda</v>
      </c>
      <c r="C5856" s="7" t="str">
        <f>_xlfn.XLOOKUP(Vendas[[#This Row],[ID Vendedor]],Vendedores[ID],Vendedores[Setor])</f>
        <v>FM</v>
      </c>
      <c r="D5856" s="7" t="s">
        <v>20</v>
      </c>
      <c r="E5856" t="str">
        <f>_xlfn.XLOOKUP(Vendas[[#This Row],[ID Item Vendido]],Agregado[ID],Agregado[Produto])</f>
        <v>Barra de aço simples</v>
      </c>
      <c r="F5856" s="39">
        <v>46212</v>
      </c>
      <c r="G5856" s="7">
        <v>136</v>
      </c>
      <c r="H5856" s="3">
        <f>_xlfn.XLOOKUP(Vendas[[#This Row],[ID Item Vendido]],Agregado[ID],Agregado[Revenda])</f>
        <v>4.8</v>
      </c>
      <c r="I5856" s="3">
        <f>Vendas[[#This Row],[Valor Unitário]]*Vendas[[#This Row],[Qnt Vendida]]</f>
        <v>652.79999999999995</v>
      </c>
      <c r="J5856" s="3">
        <f>Vendas[[#This Row],[Valor da Venda]]-(_xlfn.XLOOKUP(Vendas[[#This Row],[ID Item Vendido]],Agregado[ID],Agregado[Custo])*Vendas[[#This Row],[Qnt Vendida]])</f>
        <v>81.599999999999909</v>
      </c>
      <c r="K5856" s="70">
        <f>Vendas[[#This Row],[Lucro da Venda]]/Vendas[[#This Row],[Valor da Venda]]</f>
        <v>0.12499999999999988</v>
      </c>
      <c r="L5856" s="3">
        <f>_xlfn.IFS(Vendas[[#This Row],[Margem de Lucro (%)]]&lt;15%,Vendas[[#This Row],[Valor da Venda]]*3%,Vendas[[#This Row],[Margem de Lucro (%)]]&lt;=20%,Vendas[[#This Row],[Valor da Venda]]*4.5%,TRUE,Vendas[[#This Row],[Valor da Venda]]*6%)</f>
        <v>19.584</v>
      </c>
      <c r="M5856"/>
    </row>
    <row r="5857" spans="1:13" x14ac:dyDescent="0.3">
      <c r="A5857" s="7">
        <v>400243</v>
      </c>
      <c r="B5857" t="str">
        <f>_xlfn.XLOOKUP(Vendas[[#This Row],[ID Vendedor]],Vendedores[ID],Vendedores[Nome])</f>
        <v>Marcelo</v>
      </c>
      <c r="C5857" s="7" t="str">
        <f>_xlfn.XLOOKUP(Vendas[[#This Row],[ID Vendedor]],Vendedores[ID],Vendedores[Setor])</f>
        <v>FM</v>
      </c>
      <c r="D5857" s="7" t="s">
        <v>31</v>
      </c>
      <c r="E5857" t="str">
        <f>_xlfn.XLOOKUP(Vendas[[#This Row],[ID Item Vendido]],Agregado[ID],Agregado[Produto])</f>
        <v>Tela de metal soldada rolo 2x25m</v>
      </c>
      <c r="F5857" s="39">
        <v>46212</v>
      </c>
      <c r="G5857" s="7">
        <v>9</v>
      </c>
      <c r="H5857" s="3">
        <f>_xlfn.XLOOKUP(Vendas[[#This Row],[ID Item Vendido]],Agregado[ID],Agregado[Revenda])</f>
        <v>43.7</v>
      </c>
      <c r="I5857" s="3">
        <f>Vendas[[#This Row],[Valor Unitário]]*Vendas[[#This Row],[Qnt Vendida]]</f>
        <v>393.3</v>
      </c>
      <c r="J5857" s="3">
        <f>Vendas[[#This Row],[Valor da Venda]]-(_xlfn.XLOOKUP(Vendas[[#This Row],[ID Item Vendido]],Agregado[ID],Agregado[Custo])*Vendas[[#This Row],[Qnt Vendida]])</f>
        <v>51.300000000000011</v>
      </c>
      <c r="K5857" s="70">
        <f>Vendas[[#This Row],[Lucro da Venda]]/Vendas[[#This Row],[Valor da Venda]]</f>
        <v>0.13043478260869568</v>
      </c>
      <c r="L5857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5857"/>
    </row>
    <row r="5858" spans="1:13" x14ac:dyDescent="0.3">
      <c r="A5858" s="7">
        <v>400250</v>
      </c>
      <c r="B5858" t="str">
        <f>_xlfn.XLOOKUP(Vendas[[#This Row],[ID Vendedor]],Vendedores[ID],Vendedores[Nome])</f>
        <v>Larissa</v>
      </c>
      <c r="C5858" s="7" t="str">
        <f>_xlfn.XLOOKUP(Vendas[[#This Row],[ID Vendedor]],Vendedores[ID],Vendedores[Setor])</f>
        <v>AB</v>
      </c>
      <c r="D5858" s="7" t="s">
        <v>37</v>
      </c>
      <c r="E5858" t="str">
        <f>_xlfn.XLOOKUP(Vendas[[#This Row],[ID Item Vendido]],Agregado[ID],Agregado[Produto])</f>
        <v>Composto de borracha para vedação rolo 10m</v>
      </c>
      <c r="F5858" s="39">
        <v>46212</v>
      </c>
      <c r="G5858" s="7">
        <v>4</v>
      </c>
      <c r="H5858" s="3">
        <f>_xlfn.XLOOKUP(Vendas[[#This Row],[ID Item Vendido]],Agregado[ID],Agregado[Revenda])</f>
        <v>51.2</v>
      </c>
      <c r="I5858" s="3">
        <f>Vendas[[#This Row],[Valor Unitário]]*Vendas[[#This Row],[Qnt Vendida]]</f>
        <v>204.8</v>
      </c>
      <c r="J5858" s="3">
        <f>Vendas[[#This Row],[Valor da Venda]]-(_xlfn.XLOOKUP(Vendas[[#This Row],[ID Item Vendido]],Agregado[ID],Agregado[Custo])*Vendas[[#This Row],[Qnt Vendida]])</f>
        <v>44.800000000000011</v>
      </c>
      <c r="K5858" s="70">
        <f>Vendas[[#This Row],[Lucro da Venda]]/Vendas[[#This Row],[Valor da Venda]]</f>
        <v>0.21875000000000006</v>
      </c>
      <c r="L5858" s="3">
        <f>_xlfn.IFS(Vendas[[#This Row],[Margem de Lucro (%)]]&lt;15%,Vendas[[#This Row],[Valor da Venda]]*3%,Vendas[[#This Row],[Margem de Lucro (%)]]&lt;=20%,Vendas[[#This Row],[Valor da Venda]]*4.5%,TRUE,Vendas[[#This Row],[Valor da Venda]]*6%)</f>
        <v>12.288</v>
      </c>
      <c r="M5858"/>
    </row>
    <row r="5859" spans="1:13" x14ac:dyDescent="0.3">
      <c r="A5859" s="7">
        <v>400242</v>
      </c>
      <c r="B5859" t="str">
        <f>_xlfn.XLOOKUP(Vendas[[#This Row],[ID Vendedor]],Vendedores[ID],Vendedores[Nome])</f>
        <v>Fernanda</v>
      </c>
      <c r="C5859" s="7" t="str">
        <f>_xlfn.XLOOKUP(Vendas[[#This Row],[ID Vendedor]],Vendedores[ID],Vendedores[Setor])</f>
        <v>FM</v>
      </c>
      <c r="D5859" s="7" t="s">
        <v>20</v>
      </c>
      <c r="E5859" t="str">
        <f>_xlfn.XLOOKUP(Vendas[[#This Row],[ID Item Vendido]],Agregado[ID],Agregado[Produto])</f>
        <v>Barra de aço simples</v>
      </c>
      <c r="F5859" s="39">
        <v>46213</v>
      </c>
      <c r="G5859" s="7">
        <v>82</v>
      </c>
      <c r="H5859" s="3">
        <f>_xlfn.XLOOKUP(Vendas[[#This Row],[ID Item Vendido]],Agregado[ID],Agregado[Revenda])</f>
        <v>4.8</v>
      </c>
      <c r="I5859" s="3">
        <f>Vendas[[#This Row],[Valor Unitário]]*Vendas[[#This Row],[Qnt Vendida]]</f>
        <v>393.59999999999997</v>
      </c>
      <c r="J5859" s="3">
        <f>Vendas[[#This Row],[Valor da Venda]]-(_xlfn.XLOOKUP(Vendas[[#This Row],[ID Item Vendido]],Agregado[ID],Agregado[Custo])*Vendas[[#This Row],[Qnt Vendida]])</f>
        <v>49.199999999999932</v>
      </c>
      <c r="K5859" s="70">
        <f>Vendas[[#This Row],[Lucro da Venda]]/Vendas[[#This Row],[Valor da Venda]]</f>
        <v>0.12499999999999983</v>
      </c>
      <c r="L5859" s="3">
        <f>_xlfn.IFS(Vendas[[#This Row],[Margem de Lucro (%)]]&lt;15%,Vendas[[#This Row],[Valor da Venda]]*3%,Vendas[[#This Row],[Margem de Lucro (%)]]&lt;=20%,Vendas[[#This Row],[Valor da Venda]]*4.5%,TRUE,Vendas[[#This Row],[Valor da Venda]]*6%)</f>
        <v>11.807999999999998</v>
      </c>
      <c r="M5859"/>
    </row>
    <row r="5860" spans="1:13" x14ac:dyDescent="0.3">
      <c r="A5860" s="7">
        <v>400242</v>
      </c>
      <c r="B5860" t="str">
        <f>_xlfn.XLOOKUP(Vendas[[#This Row],[ID Vendedor]],Vendedores[ID],Vendedores[Nome])</f>
        <v>Fernanda</v>
      </c>
      <c r="C5860" s="7" t="str">
        <f>_xlfn.XLOOKUP(Vendas[[#This Row],[ID Vendedor]],Vendedores[ID],Vendedores[Setor])</f>
        <v>FM</v>
      </c>
      <c r="D5860" s="7" t="s">
        <v>6</v>
      </c>
      <c r="E5860" t="str">
        <f>_xlfn.XLOOKUP(Vendas[[#This Row],[ID Item Vendido]],Agregado[ID],Agregado[Produto])</f>
        <v>Parafuso comum 500un</v>
      </c>
      <c r="F5860" s="39">
        <v>46213</v>
      </c>
      <c r="G5860" s="7">
        <v>10</v>
      </c>
      <c r="H5860" s="3">
        <f>_xlfn.XLOOKUP(Vendas[[#This Row],[ID Item Vendido]],Agregado[ID],Agregado[Revenda])</f>
        <v>24.6</v>
      </c>
      <c r="I5860" s="3">
        <f>Vendas[[#This Row],[Valor Unitário]]*Vendas[[#This Row],[Qnt Vendida]]</f>
        <v>246</v>
      </c>
      <c r="J5860" s="3">
        <f>Vendas[[#This Row],[Valor da Venda]]-(_xlfn.XLOOKUP(Vendas[[#This Row],[ID Item Vendido]],Agregado[ID],Agregado[Custo])*Vendas[[#This Row],[Qnt Vendida]])</f>
        <v>26</v>
      </c>
      <c r="K5860" s="70">
        <f>Vendas[[#This Row],[Lucro da Venda]]/Vendas[[#This Row],[Valor da Venda]]</f>
        <v>0.10569105691056911</v>
      </c>
      <c r="L5860" s="3">
        <f>_xlfn.IFS(Vendas[[#This Row],[Margem de Lucro (%)]]&lt;15%,Vendas[[#This Row],[Valor da Venda]]*3%,Vendas[[#This Row],[Margem de Lucro (%)]]&lt;=20%,Vendas[[#This Row],[Valor da Venda]]*4.5%,TRUE,Vendas[[#This Row],[Valor da Venda]]*6%)</f>
        <v>7.38</v>
      </c>
      <c r="M5860"/>
    </row>
    <row r="5861" spans="1:13" x14ac:dyDescent="0.3">
      <c r="A5861" s="7">
        <v>400244</v>
      </c>
      <c r="B5861" t="str">
        <f>_xlfn.XLOOKUP(Vendas[[#This Row],[ID Vendedor]],Vendedores[ID],Vendedores[Nome])</f>
        <v>Camila</v>
      </c>
      <c r="C5861" s="7" t="str">
        <f>_xlfn.XLOOKUP(Vendas[[#This Row],[ID Vendedor]],Vendedores[ID],Vendedores[Setor])</f>
        <v>AHD</v>
      </c>
      <c r="D5861" s="7" t="s">
        <v>28</v>
      </c>
      <c r="E5861" t="str">
        <f>_xlfn.XLOOKUP(Vendas[[#This Row],[ID Item Vendido]],Agregado[ID],Agregado[Produto])</f>
        <v>Peça usinada CNC</v>
      </c>
      <c r="F5861" s="39">
        <v>46214</v>
      </c>
      <c r="G5861" s="7">
        <v>12</v>
      </c>
      <c r="H5861" s="3">
        <f>_xlfn.XLOOKUP(Vendas[[#This Row],[ID Item Vendido]],Agregado[ID],Agregado[Revenda])</f>
        <v>192</v>
      </c>
      <c r="I5861" s="3">
        <f>Vendas[[#This Row],[Valor Unitário]]*Vendas[[#This Row],[Qnt Vendida]]</f>
        <v>2304</v>
      </c>
      <c r="J5861" s="3">
        <f>Vendas[[#This Row],[Valor da Venda]]-(_xlfn.XLOOKUP(Vendas[[#This Row],[ID Item Vendido]],Agregado[ID],Agregado[Custo])*Vendas[[#This Row],[Qnt Vendida]])</f>
        <v>504</v>
      </c>
      <c r="K5861" s="70">
        <f>Vendas[[#This Row],[Lucro da Venda]]/Vendas[[#This Row],[Valor da Venda]]</f>
        <v>0.21875</v>
      </c>
      <c r="L5861" s="3">
        <f>_xlfn.IFS(Vendas[[#This Row],[Margem de Lucro (%)]]&lt;15%,Vendas[[#This Row],[Valor da Venda]]*3%,Vendas[[#This Row],[Margem de Lucro (%)]]&lt;=20%,Vendas[[#This Row],[Valor da Venda]]*4.5%,TRUE,Vendas[[#This Row],[Valor da Venda]]*6%)</f>
        <v>138.24</v>
      </c>
      <c r="M5861"/>
    </row>
    <row r="5862" spans="1:13" x14ac:dyDescent="0.3">
      <c r="A5862" s="7">
        <v>400248</v>
      </c>
      <c r="B5862" t="str">
        <f>_xlfn.XLOOKUP(Vendas[[#This Row],[ID Vendedor]],Vendedores[ID],Vendedores[Nome])</f>
        <v>Patrícia</v>
      </c>
      <c r="C5862" s="7" t="str">
        <f>_xlfn.XLOOKUP(Vendas[[#This Row],[ID Vendedor]],Vendedores[ID],Vendedores[Setor])</f>
        <v>CM</v>
      </c>
      <c r="D5862" s="7" t="s">
        <v>43</v>
      </c>
      <c r="E5862" t="str">
        <f>_xlfn.XLOOKUP(Vendas[[#This Row],[ID Item Vendido]],Agregado[ID],Agregado[Produto])</f>
        <v>Madeira Bruta (Tora)</v>
      </c>
      <c r="F5862" s="39">
        <v>46214</v>
      </c>
      <c r="G5862" s="7">
        <v>4</v>
      </c>
      <c r="H5862" s="3">
        <f>_xlfn.XLOOKUP(Vendas[[#This Row],[ID Item Vendido]],Agregado[ID],Agregado[Revenda])</f>
        <v>212</v>
      </c>
      <c r="I5862" s="3">
        <f>Vendas[[#This Row],[Valor Unitário]]*Vendas[[#This Row],[Qnt Vendida]]</f>
        <v>848</v>
      </c>
      <c r="J5862" s="3">
        <f>Vendas[[#This Row],[Valor da Venda]]-(_xlfn.XLOOKUP(Vendas[[#This Row],[ID Item Vendido]],Agregado[ID],Agregado[Custo])*Vendas[[#This Row],[Qnt Vendida]])</f>
        <v>128</v>
      </c>
      <c r="K5862" s="70">
        <f>Vendas[[#This Row],[Lucro da Venda]]/Vendas[[#This Row],[Valor da Venda]]</f>
        <v>0.15094339622641509</v>
      </c>
      <c r="L5862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862"/>
    </row>
    <row r="5863" spans="1:13" x14ac:dyDescent="0.3">
      <c r="A5863" s="7">
        <v>400243</v>
      </c>
      <c r="B5863" t="str">
        <f>_xlfn.XLOOKUP(Vendas[[#This Row],[ID Vendedor]],Vendedores[ID],Vendedores[Nome])</f>
        <v>Marcelo</v>
      </c>
      <c r="C5863" s="7" t="str">
        <f>_xlfn.XLOOKUP(Vendas[[#This Row],[ID Vendedor]],Vendedores[ID],Vendedores[Setor])</f>
        <v>FM</v>
      </c>
      <c r="D5863" s="7" t="s">
        <v>31</v>
      </c>
      <c r="E5863" t="str">
        <f>_xlfn.XLOOKUP(Vendas[[#This Row],[ID Item Vendido]],Agregado[ID],Agregado[Produto])</f>
        <v>Tela de metal soldada rolo 2x25m</v>
      </c>
      <c r="F5863" s="39">
        <v>46214</v>
      </c>
      <c r="G5863" s="7">
        <v>14</v>
      </c>
      <c r="H5863" s="3">
        <f>_xlfn.XLOOKUP(Vendas[[#This Row],[ID Item Vendido]],Agregado[ID],Agregado[Revenda])</f>
        <v>43.7</v>
      </c>
      <c r="I5863" s="3">
        <f>Vendas[[#This Row],[Valor Unitário]]*Vendas[[#This Row],[Qnt Vendida]]</f>
        <v>611.80000000000007</v>
      </c>
      <c r="J5863" s="3">
        <f>Vendas[[#This Row],[Valor da Venda]]-(_xlfn.XLOOKUP(Vendas[[#This Row],[ID Item Vendido]],Agregado[ID],Agregado[Custo])*Vendas[[#This Row],[Qnt Vendida]])</f>
        <v>79.800000000000068</v>
      </c>
      <c r="K5863" s="70">
        <f>Vendas[[#This Row],[Lucro da Venda]]/Vendas[[#This Row],[Valor da Venda]]</f>
        <v>0.13043478260869576</v>
      </c>
      <c r="L5863" s="3">
        <f>_xlfn.IFS(Vendas[[#This Row],[Margem de Lucro (%)]]&lt;15%,Vendas[[#This Row],[Valor da Venda]]*3%,Vendas[[#This Row],[Margem de Lucro (%)]]&lt;=20%,Vendas[[#This Row],[Valor da Venda]]*4.5%,TRUE,Vendas[[#This Row],[Valor da Venda]]*6%)</f>
        <v>18.354000000000003</v>
      </c>
      <c r="M5863"/>
    </row>
    <row r="5864" spans="1:13" x14ac:dyDescent="0.3">
      <c r="A5864" s="7">
        <v>400248</v>
      </c>
      <c r="B5864" t="str">
        <f>_xlfn.XLOOKUP(Vendas[[#This Row],[ID Vendedor]],Vendedores[ID],Vendedores[Nome])</f>
        <v>Patrícia</v>
      </c>
      <c r="C5864" s="7" t="str">
        <f>_xlfn.XLOOKUP(Vendas[[#This Row],[ID Vendedor]],Vendedores[ID],Vendedores[Setor])</f>
        <v>CM</v>
      </c>
      <c r="D5864" s="7" t="s">
        <v>45</v>
      </c>
      <c r="E5864" t="str">
        <f>_xlfn.XLOOKUP(Vendas[[#This Row],[ID Item Vendido]],Agregado[ID],Agregado[Produto])</f>
        <v>Viga de madeira tratada 4m</v>
      </c>
      <c r="F5864" s="39">
        <v>46214</v>
      </c>
      <c r="G5864" s="7">
        <v>5</v>
      </c>
      <c r="H5864" s="3">
        <f>_xlfn.XLOOKUP(Vendas[[#This Row],[ID Item Vendido]],Agregado[ID],Agregado[Revenda])</f>
        <v>66</v>
      </c>
      <c r="I5864" s="3">
        <f>Vendas[[#This Row],[Valor Unitário]]*Vendas[[#This Row],[Qnt Vendida]]</f>
        <v>330</v>
      </c>
      <c r="J5864" s="3">
        <f>Vendas[[#This Row],[Valor da Venda]]-(_xlfn.XLOOKUP(Vendas[[#This Row],[ID Item Vendido]],Agregado[ID],Agregado[Custo])*Vendas[[#This Row],[Qnt Vendida]])</f>
        <v>55</v>
      </c>
      <c r="K5864" s="70">
        <f>Vendas[[#This Row],[Lucro da Venda]]/Vendas[[#This Row],[Valor da Venda]]</f>
        <v>0.16666666666666666</v>
      </c>
      <c r="L5864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5864"/>
    </row>
    <row r="5865" spans="1:13" x14ac:dyDescent="0.3">
      <c r="A5865" s="7">
        <v>400242</v>
      </c>
      <c r="B5865" t="str">
        <f>_xlfn.XLOOKUP(Vendas[[#This Row],[ID Vendedor]],Vendedores[ID],Vendedores[Nome])</f>
        <v>Fernanda</v>
      </c>
      <c r="C5865" s="7" t="str">
        <f>_xlfn.XLOOKUP(Vendas[[#This Row],[ID Vendedor]],Vendedores[ID],Vendedores[Setor])</f>
        <v>FM</v>
      </c>
      <c r="D5865" s="7" t="s">
        <v>6</v>
      </c>
      <c r="E5865" t="str">
        <f>_xlfn.XLOOKUP(Vendas[[#This Row],[ID Item Vendido]],Agregado[ID],Agregado[Produto])</f>
        <v>Parafuso comum 500un</v>
      </c>
      <c r="F5865" s="39">
        <v>46214</v>
      </c>
      <c r="G5865" s="7">
        <v>8</v>
      </c>
      <c r="H5865" s="3">
        <f>_xlfn.XLOOKUP(Vendas[[#This Row],[ID Item Vendido]],Agregado[ID],Agregado[Revenda])</f>
        <v>24.6</v>
      </c>
      <c r="I5865" s="3">
        <f>Vendas[[#This Row],[Valor Unitário]]*Vendas[[#This Row],[Qnt Vendida]]</f>
        <v>196.8</v>
      </c>
      <c r="J5865" s="3">
        <f>Vendas[[#This Row],[Valor da Venda]]-(_xlfn.XLOOKUP(Vendas[[#This Row],[ID Item Vendido]],Agregado[ID],Agregado[Custo])*Vendas[[#This Row],[Qnt Vendida]])</f>
        <v>20.800000000000011</v>
      </c>
      <c r="K5865" s="70">
        <f>Vendas[[#This Row],[Lucro da Venda]]/Vendas[[#This Row],[Valor da Venda]]</f>
        <v>0.10569105691056915</v>
      </c>
      <c r="L5865" s="3">
        <f>_xlfn.IFS(Vendas[[#This Row],[Margem de Lucro (%)]]&lt;15%,Vendas[[#This Row],[Valor da Venda]]*3%,Vendas[[#This Row],[Margem de Lucro (%)]]&lt;=20%,Vendas[[#This Row],[Valor da Venda]]*4.5%,TRUE,Vendas[[#This Row],[Valor da Venda]]*6%)</f>
        <v>5.9039999999999999</v>
      </c>
      <c r="M5865"/>
    </row>
    <row r="5866" spans="1:13" x14ac:dyDescent="0.3">
      <c r="A5866" s="7">
        <v>400242</v>
      </c>
      <c r="B5866" t="str">
        <f>_xlfn.XLOOKUP(Vendas[[#This Row],[ID Vendedor]],Vendedores[ID],Vendedores[Nome])</f>
        <v>Fernanda</v>
      </c>
      <c r="C5866" s="7" t="str">
        <f>_xlfn.XLOOKUP(Vendas[[#This Row],[ID Vendedor]],Vendedores[ID],Vendedores[Setor])</f>
        <v>FM</v>
      </c>
      <c r="D5866" s="7" t="s">
        <v>6</v>
      </c>
      <c r="E5866" t="str">
        <f>_xlfn.XLOOKUP(Vendas[[#This Row],[ID Item Vendido]],Agregado[ID],Agregado[Produto])</f>
        <v>Parafuso comum 500un</v>
      </c>
      <c r="F5866" s="39">
        <v>46214</v>
      </c>
      <c r="G5866" s="7">
        <v>6</v>
      </c>
      <c r="H5866" s="3">
        <f>_xlfn.XLOOKUP(Vendas[[#This Row],[ID Item Vendido]],Agregado[ID],Agregado[Revenda])</f>
        <v>24.6</v>
      </c>
      <c r="I5866" s="3">
        <f>Vendas[[#This Row],[Valor Unitário]]*Vendas[[#This Row],[Qnt Vendida]]</f>
        <v>147.60000000000002</v>
      </c>
      <c r="J5866" s="3">
        <f>Vendas[[#This Row],[Valor da Venda]]-(_xlfn.XLOOKUP(Vendas[[#This Row],[ID Item Vendido]],Agregado[ID],Agregado[Custo])*Vendas[[#This Row],[Qnt Vendida]])</f>
        <v>15.600000000000023</v>
      </c>
      <c r="K5866" s="70">
        <f>Vendas[[#This Row],[Lucro da Venda]]/Vendas[[#This Row],[Valor da Venda]]</f>
        <v>0.10569105691056924</v>
      </c>
      <c r="L5866" s="3">
        <f>_xlfn.IFS(Vendas[[#This Row],[Margem de Lucro (%)]]&lt;15%,Vendas[[#This Row],[Valor da Venda]]*3%,Vendas[[#This Row],[Margem de Lucro (%)]]&lt;=20%,Vendas[[#This Row],[Valor da Venda]]*4.5%,TRUE,Vendas[[#This Row],[Valor da Venda]]*6%)</f>
        <v>4.4280000000000008</v>
      </c>
      <c r="M5866"/>
    </row>
    <row r="5867" spans="1:13" x14ac:dyDescent="0.3">
      <c r="A5867" s="7">
        <v>400244</v>
      </c>
      <c r="B5867" t="str">
        <f>_xlfn.XLOOKUP(Vendas[[#This Row],[ID Vendedor]],Vendedores[ID],Vendedores[Nome])</f>
        <v>Camila</v>
      </c>
      <c r="C5867" s="7" t="str">
        <f>_xlfn.XLOOKUP(Vendas[[#This Row],[ID Vendedor]],Vendedores[ID],Vendedores[Setor])</f>
        <v>AHD</v>
      </c>
      <c r="D5867" s="7" t="s">
        <v>9</v>
      </c>
      <c r="E5867" t="str">
        <f>_xlfn.XLOOKUP(Vendas[[#This Row],[ID Item Vendido]],Agregado[ID],Agregado[Produto])</f>
        <v>Barra de aço simples</v>
      </c>
      <c r="F5867" s="39">
        <v>46214</v>
      </c>
      <c r="G5867" s="7">
        <v>20</v>
      </c>
      <c r="H5867" s="3">
        <f>_xlfn.XLOOKUP(Vendas[[#This Row],[ID Item Vendido]],Agregado[ID],Agregado[Revenda])</f>
        <v>6.7</v>
      </c>
      <c r="I5867" s="3">
        <f>Vendas[[#This Row],[Valor Unitário]]*Vendas[[#This Row],[Qnt Vendida]]</f>
        <v>134</v>
      </c>
      <c r="J5867" s="3">
        <f>Vendas[[#This Row],[Valor da Venda]]-(_xlfn.XLOOKUP(Vendas[[#This Row],[ID Item Vendido]],Agregado[ID],Agregado[Custo])*Vendas[[#This Row],[Qnt Vendida]])</f>
        <v>18</v>
      </c>
      <c r="K5867" s="70">
        <f>Vendas[[#This Row],[Lucro da Venda]]/Vendas[[#This Row],[Valor da Venda]]</f>
        <v>0.13432835820895522</v>
      </c>
      <c r="L5867" s="3">
        <f>_xlfn.IFS(Vendas[[#This Row],[Margem de Lucro (%)]]&lt;15%,Vendas[[#This Row],[Valor da Venda]]*3%,Vendas[[#This Row],[Margem de Lucro (%)]]&lt;=20%,Vendas[[#This Row],[Valor da Venda]]*4.5%,TRUE,Vendas[[#This Row],[Valor da Venda]]*6%)</f>
        <v>4.0199999999999996</v>
      </c>
      <c r="M5867"/>
    </row>
    <row r="5868" spans="1:13" x14ac:dyDescent="0.3">
      <c r="A5868" s="7">
        <v>400254</v>
      </c>
      <c r="B5868" t="str">
        <f>_xlfn.XLOOKUP(Vendas[[#This Row],[ID Vendedor]],Vendedores[ID],Vendedores[Nome])</f>
        <v>Beatriz</v>
      </c>
      <c r="C5868" s="7" t="str">
        <f>_xlfn.XLOOKUP(Vendas[[#This Row],[ID Vendedor]],Vendedores[ID],Vendedores[Setor])</f>
        <v>SC</v>
      </c>
      <c r="D5868" s="7" t="s">
        <v>41</v>
      </c>
      <c r="E5868" t="str">
        <f>_xlfn.XLOOKUP(Vendas[[#This Row],[ID Item Vendido]],Agregado[ID],Agregado[Produto])</f>
        <v>Palete de madeira reforçado</v>
      </c>
      <c r="F5868" s="39">
        <v>46215</v>
      </c>
      <c r="G5868" s="7">
        <v>7</v>
      </c>
      <c r="H5868" s="3">
        <f>_xlfn.XLOOKUP(Vendas[[#This Row],[ID Item Vendido]],Agregado[ID],Agregado[Revenda])</f>
        <v>131</v>
      </c>
      <c r="I5868" s="3">
        <f>Vendas[[#This Row],[Valor Unitário]]*Vendas[[#This Row],[Qnt Vendida]]</f>
        <v>917</v>
      </c>
      <c r="J5868" s="3">
        <f>Vendas[[#This Row],[Valor da Venda]]-(_xlfn.XLOOKUP(Vendas[[#This Row],[ID Item Vendido]],Agregado[ID],Agregado[Custo])*Vendas[[#This Row],[Qnt Vendida]])</f>
        <v>147</v>
      </c>
      <c r="K5868" s="70">
        <f>Vendas[[#This Row],[Lucro da Venda]]/Vendas[[#This Row],[Valor da Venda]]</f>
        <v>0.16030534351145037</v>
      </c>
      <c r="L5868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5868"/>
    </row>
    <row r="5869" spans="1:13" x14ac:dyDescent="0.3">
      <c r="A5869" s="7">
        <v>400253</v>
      </c>
      <c r="B5869" t="str">
        <f>_xlfn.XLOOKUP(Vendas[[#This Row],[ID Vendedor]],Vendedores[ID],Vendedores[Nome])</f>
        <v>Gustavo</v>
      </c>
      <c r="C5869" s="7" t="str">
        <f>_xlfn.XLOOKUP(Vendas[[#This Row],[ID Vendedor]],Vendedores[ID],Vendedores[Setor])</f>
        <v>SC</v>
      </c>
      <c r="D5869" s="7" t="s">
        <v>25</v>
      </c>
      <c r="E5869" t="str">
        <f>_xlfn.XLOOKUP(Vendas[[#This Row],[ID Item Vendido]],Agregado[ID],Agregado[Produto])</f>
        <v>Palete de plástico</v>
      </c>
      <c r="F5869" s="39">
        <v>46215</v>
      </c>
      <c r="G5869" s="7">
        <v>9</v>
      </c>
      <c r="H5869" s="3">
        <f>_xlfn.XLOOKUP(Vendas[[#This Row],[ID Item Vendido]],Agregado[ID],Agregado[Revenda])</f>
        <v>70.8</v>
      </c>
      <c r="I5869" s="3">
        <f>Vendas[[#This Row],[Valor Unitário]]*Vendas[[#This Row],[Qnt Vendida]]</f>
        <v>637.19999999999993</v>
      </c>
      <c r="J5869" s="3">
        <f>Vendas[[#This Row],[Valor da Venda]]-(_xlfn.XLOOKUP(Vendas[[#This Row],[ID Item Vendido]],Agregado[ID],Agregado[Custo])*Vendas[[#This Row],[Qnt Vendida]])</f>
        <v>97.199999999999932</v>
      </c>
      <c r="K5869" s="70">
        <f>Vendas[[#This Row],[Lucro da Venda]]/Vendas[[#This Row],[Valor da Venda]]</f>
        <v>0.15254237288135583</v>
      </c>
      <c r="L5869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5869"/>
    </row>
    <row r="5870" spans="1:13" x14ac:dyDescent="0.3">
      <c r="A5870" s="7">
        <v>400247</v>
      </c>
      <c r="B5870" t="str">
        <f>_xlfn.XLOOKUP(Vendas[[#This Row],[ID Vendedor]],Vendedores[ID],Vendedores[Nome])</f>
        <v>André</v>
      </c>
      <c r="C5870" s="7" t="str">
        <f>_xlfn.XLOOKUP(Vendas[[#This Row],[ID Vendedor]],Vendedores[ID],Vendedores[Setor])</f>
        <v>CM</v>
      </c>
      <c r="D5870" s="7" t="s">
        <v>34</v>
      </c>
      <c r="E5870" t="str">
        <f>_xlfn.XLOOKUP(Vendas[[#This Row],[ID Item Vendido]],Agregado[ID],Agregado[Produto])</f>
        <v>Restos de madeira p/ MDP/OSB saco de 20kg</v>
      </c>
      <c r="F5870" s="39">
        <v>46215</v>
      </c>
      <c r="G5870" s="7">
        <v>9</v>
      </c>
      <c r="H5870" s="3">
        <f>_xlfn.XLOOKUP(Vendas[[#This Row],[ID Item Vendido]],Agregado[ID],Agregado[Revenda])</f>
        <v>13.8</v>
      </c>
      <c r="I5870" s="3">
        <f>Vendas[[#This Row],[Valor Unitário]]*Vendas[[#This Row],[Qnt Vendida]]</f>
        <v>124.2</v>
      </c>
      <c r="J5870" s="3">
        <f>Vendas[[#This Row],[Valor da Venda]]-(_xlfn.XLOOKUP(Vendas[[#This Row],[ID Item Vendido]],Agregado[ID],Agregado[Custo])*Vendas[[#This Row],[Qnt Vendida]])</f>
        <v>16.200000000000003</v>
      </c>
      <c r="K5870" s="70">
        <f>Vendas[[#This Row],[Lucro da Venda]]/Vendas[[#This Row],[Valor da Venda]]</f>
        <v>0.13043478260869568</v>
      </c>
      <c r="L5870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5870"/>
    </row>
    <row r="5871" spans="1:13" x14ac:dyDescent="0.3">
      <c r="A5871" s="7">
        <v>400242</v>
      </c>
      <c r="B5871" t="str">
        <f>_xlfn.XLOOKUP(Vendas[[#This Row],[ID Vendedor]],Vendedores[ID],Vendedores[Nome])</f>
        <v>Fernanda</v>
      </c>
      <c r="C5871" s="7" t="str">
        <f>_xlfn.XLOOKUP(Vendas[[#This Row],[ID Vendedor]],Vendedores[ID],Vendedores[Setor])</f>
        <v>FM</v>
      </c>
      <c r="D5871" s="7" t="s">
        <v>31</v>
      </c>
      <c r="E5871" t="str">
        <f>_xlfn.XLOOKUP(Vendas[[#This Row],[ID Item Vendido]],Agregado[ID],Agregado[Produto])</f>
        <v>Tela de metal soldada rolo 2x25m</v>
      </c>
      <c r="F5871" s="39">
        <v>46216</v>
      </c>
      <c r="G5871" s="7">
        <v>17</v>
      </c>
      <c r="H5871" s="3">
        <f>_xlfn.XLOOKUP(Vendas[[#This Row],[ID Item Vendido]],Agregado[ID],Agregado[Revenda])</f>
        <v>43.7</v>
      </c>
      <c r="I5871" s="3">
        <f>Vendas[[#This Row],[Valor Unitário]]*Vendas[[#This Row],[Qnt Vendida]]</f>
        <v>742.90000000000009</v>
      </c>
      <c r="J5871" s="3">
        <f>Vendas[[#This Row],[Valor da Venda]]-(_xlfn.XLOOKUP(Vendas[[#This Row],[ID Item Vendido]],Agregado[ID],Agregado[Custo])*Vendas[[#This Row],[Qnt Vendida]])</f>
        <v>96.900000000000091</v>
      </c>
      <c r="K5871" s="70">
        <f>Vendas[[#This Row],[Lucro da Venda]]/Vendas[[#This Row],[Valor da Venda]]</f>
        <v>0.13043478260869576</v>
      </c>
      <c r="L5871" s="3">
        <f>_xlfn.IFS(Vendas[[#This Row],[Margem de Lucro (%)]]&lt;15%,Vendas[[#This Row],[Valor da Venda]]*3%,Vendas[[#This Row],[Margem de Lucro (%)]]&lt;=20%,Vendas[[#This Row],[Valor da Venda]]*4.5%,TRUE,Vendas[[#This Row],[Valor da Venda]]*6%)</f>
        <v>22.287000000000003</v>
      </c>
      <c r="M5871"/>
    </row>
    <row r="5872" spans="1:13" x14ac:dyDescent="0.3">
      <c r="A5872" s="7">
        <v>400252</v>
      </c>
      <c r="B5872" t="str">
        <f>_xlfn.XLOOKUP(Vendas[[#This Row],[ID Vendedor]],Vendedores[ID],Vendedores[Nome])</f>
        <v>Renata</v>
      </c>
      <c r="C5872" s="7" t="str">
        <f>_xlfn.XLOOKUP(Vendas[[#This Row],[ID Vendedor]],Vendedores[ID],Vendedores[Setor])</f>
        <v>AB</v>
      </c>
      <c r="D5872" s="7" t="s">
        <v>37</v>
      </c>
      <c r="E5872" t="str">
        <f>_xlfn.XLOOKUP(Vendas[[#This Row],[ID Item Vendido]],Agregado[ID],Agregado[Produto])</f>
        <v>Composto de borracha para vedação rolo 10m</v>
      </c>
      <c r="F5872" s="39">
        <v>46217</v>
      </c>
      <c r="G5872" s="7">
        <v>6</v>
      </c>
      <c r="H5872" s="3">
        <f>_xlfn.XLOOKUP(Vendas[[#This Row],[ID Item Vendido]],Agregado[ID],Agregado[Revenda])</f>
        <v>51.2</v>
      </c>
      <c r="I5872" s="3">
        <f>Vendas[[#This Row],[Valor Unitário]]*Vendas[[#This Row],[Qnt Vendida]]</f>
        <v>307.20000000000005</v>
      </c>
      <c r="J5872" s="3">
        <f>Vendas[[#This Row],[Valor da Venda]]-(_xlfn.XLOOKUP(Vendas[[#This Row],[ID Item Vendido]],Agregado[ID],Agregado[Custo])*Vendas[[#This Row],[Qnt Vendida]])</f>
        <v>67.200000000000045</v>
      </c>
      <c r="K5872" s="70">
        <f>Vendas[[#This Row],[Lucro da Venda]]/Vendas[[#This Row],[Valor da Venda]]</f>
        <v>0.21875000000000011</v>
      </c>
      <c r="L5872" s="3">
        <f>_xlfn.IFS(Vendas[[#This Row],[Margem de Lucro (%)]]&lt;15%,Vendas[[#This Row],[Valor da Venda]]*3%,Vendas[[#This Row],[Margem de Lucro (%)]]&lt;=20%,Vendas[[#This Row],[Valor da Venda]]*4.5%,TRUE,Vendas[[#This Row],[Valor da Venda]]*6%)</f>
        <v>18.432000000000002</v>
      </c>
      <c r="M5872"/>
    </row>
    <row r="5873" spans="1:13" x14ac:dyDescent="0.3">
      <c r="A5873" s="7">
        <v>400248</v>
      </c>
      <c r="B5873" t="str">
        <f>_xlfn.XLOOKUP(Vendas[[#This Row],[ID Vendedor]],Vendedores[ID],Vendedores[Nome])</f>
        <v>Patrícia</v>
      </c>
      <c r="C5873" s="7" t="str">
        <f>_xlfn.XLOOKUP(Vendas[[#This Row],[ID Vendedor]],Vendedores[ID],Vendedores[Setor])</f>
        <v>CM</v>
      </c>
      <c r="D5873" s="7" t="s">
        <v>32</v>
      </c>
      <c r="E5873" t="str">
        <f>_xlfn.XLOOKUP(Vendas[[#This Row],[ID Item Vendido]],Agregado[ID],Agregado[Produto])</f>
        <v>Tábua tratada e cortada 3m</v>
      </c>
      <c r="F5873" s="39">
        <v>46218</v>
      </c>
      <c r="G5873" s="7">
        <v>30</v>
      </c>
      <c r="H5873" s="3">
        <f>_xlfn.XLOOKUP(Vendas[[#This Row],[ID Item Vendido]],Agregado[ID],Agregado[Revenda])</f>
        <v>39</v>
      </c>
      <c r="I5873" s="3">
        <f>Vendas[[#This Row],[Valor Unitário]]*Vendas[[#This Row],[Qnt Vendida]]</f>
        <v>1170</v>
      </c>
      <c r="J5873" s="3">
        <f>Vendas[[#This Row],[Valor da Venda]]-(_xlfn.XLOOKUP(Vendas[[#This Row],[ID Item Vendido]],Agregado[ID],Agregado[Custo])*Vendas[[#This Row],[Qnt Vendida]])</f>
        <v>210</v>
      </c>
      <c r="K5873" s="70">
        <f>Vendas[[#This Row],[Lucro da Venda]]/Vendas[[#This Row],[Valor da Venda]]</f>
        <v>0.17948717948717949</v>
      </c>
      <c r="L5873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5873"/>
    </row>
    <row r="5874" spans="1:13" x14ac:dyDescent="0.3">
      <c r="A5874" s="7">
        <v>400254</v>
      </c>
      <c r="B5874" t="str">
        <f>_xlfn.XLOOKUP(Vendas[[#This Row],[ID Vendedor]],Vendedores[ID],Vendedores[Nome])</f>
        <v>Beatriz</v>
      </c>
      <c r="C5874" s="7" t="str">
        <f>_xlfn.XLOOKUP(Vendas[[#This Row],[ID Vendedor]],Vendedores[ID],Vendedores[Setor])</f>
        <v>SC</v>
      </c>
      <c r="D5874" s="7" t="s">
        <v>48</v>
      </c>
      <c r="E5874" t="str">
        <f>_xlfn.XLOOKUP(Vendas[[#This Row],[ID Item Vendido]],Agregado[ID],Agregado[Produto])</f>
        <v>Tambor metálico 200L</v>
      </c>
      <c r="F5874" s="39">
        <v>46218</v>
      </c>
      <c r="G5874" s="7">
        <v>8</v>
      </c>
      <c r="H5874" s="3">
        <f>_xlfn.XLOOKUP(Vendas[[#This Row],[ID Item Vendido]],Agregado[ID],Agregado[Revenda])</f>
        <v>144</v>
      </c>
      <c r="I5874" s="3">
        <f>Vendas[[#This Row],[Valor Unitário]]*Vendas[[#This Row],[Qnt Vendida]]</f>
        <v>1152</v>
      </c>
      <c r="J5874" s="3">
        <f>Vendas[[#This Row],[Valor da Venda]]-(_xlfn.XLOOKUP(Vendas[[#This Row],[ID Item Vendido]],Agregado[ID],Agregado[Custo])*Vendas[[#This Row],[Qnt Vendida]])</f>
        <v>192</v>
      </c>
      <c r="K5874" s="70">
        <f>Vendas[[#This Row],[Lucro da Venda]]/Vendas[[#This Row],[Valor da Venda]]</f>
        <v>0.16666666666666666</v>
      </c>
      <c r="L5874" s="3">
        <f>_xlfn.IFS(Vendas[[#This Row],[Margem de Lucro (%)]]&lt;15%,Vendas[[#This Row],[Valor da Venda]]*3%,Vendas[[#This Row],[Margem de Lucro (%)]]&lt;=20%,Vendas[[#This Row],[Valor da Venda]]*4.5%,TRUE,Vendas[[#This Row],[Valor da Venda]]*6%)</f>
        <v>51.839999999999996</v>
      </c>
      <c r="M5874"/>
    </row>
    <row r="5875" spans="1:13" x14ac:dyDescent="0.3">
      <c r="A5875" s="7">
        <v>400242</v>
      </c>
      <c r="B5875" t="str">
        <f>_xlfn.XLOOKUP(Vendas[[#This Row],[ID Vendedor]],Vendedores[ID],Vendedores[Nome])</f>
        <v>Fernanda</v>
      </c>
      <c r="C5875" s="7" t="str">
        <f>_xlfn.XLOOKUP(Vendas[[#This Row],[ID Vendedor]],Vendedores[ID],Vendedores[Setor])</f>
        <v>FM</v>
      </c>
      <c r="D5875" s="7" t="s">
        <v>20</v>
      </c>
      <c r="E5875" t="str">
        <f>_xlfn.XLOOKUP(Vendas[[#This Row],[ID Item Vendido]],Agregado[ID],Agregado[Produto])</f>
        <v>Barra de aço simples</v>
      </c>
      <c r="F5875" s="39">
        <v>46218</v>
      </c>
      <c r="G5875" s="7">
        <v>191</v>
      </c>
      <c r="H5875" s="3">
        <f>_xlfn.XLOOKUP(Vendas[[#This Row],[ID Item Vendido]],Agregado[ID],Agregado[Revenda])</f>
        <v>4.8</v>
      </c>
      <c r="I5875" s="3">
        <f>Vendas[[#This Row],[Valor Unitário]]*Vendas[[#This Row],[Qnt Vendida]]</f>
        <v>916.8</v>
      </c>
      <c r="J5875" s="3">
        <f>Vendas[[#This Row],[Valor da Venda]]-(_xlfn.XLOOKUP(Vendas[[#This Row],[ID Item Vendido]],Agregado[ID],Agregado[Custo])*Vendas[[#This Row],[Qnt Vendida]])</f>
        <v>114.59999999999991</v>
      </c>
      <c r="K5875" s="70">
        <f>Vendas[[#This Row],[Lucro da Venda]]/Vendas[[#This Row],[Valor da Venda]]</f>
        <v>0.1249999999999999</v>
      </c>
      <c r="L5875" s="3">
        <f>_xlfn.IFS(Vendas[[#This Row],[Margem de Lucro (%)]]&lt;15%,Vendas[[#This Row],[Valor da Venda]]*3%,Vendas[[#This Row],[Margem de Lucro (%)]]&lt;=20%,Vendas[[#This Row],[Valor da Venda]]*4.5%,TRUE,Vendas[[#This Row],[Valor da Venda]]*6%)</f>
        <v>27.503999999999998</v>
      </c>
      <c r="M5875"/>
    </row>
    <row r="5876" spans="1:13" x14ac:dyDescent="0.3">
      <c r="A5876" s="7">
        <v>400247</v>
      </c>
      <c r="B5876" t="str">
        <f>_xlfn.XLOOKUP(Vendas[[#This Row],[ID Vendedor]],Vendedores[ID],Vendedores[Nome])</f>
        <v>André</v>
      </c>
      <c r="C5876" s="7" t="str">
        <f>_xlfn.XLOOKUP(Vendas[[#This Row],[ID Vendedor]],Vendedores[ID],Vendedores[Setor])</f>
        <v>CM</v>
      </c>
      <c r="D5876" s="7" t="s">
        <v>32</v>
      </c>
      <c r="E5876" t="str">
        <f>_xlfn.XLOOKUP(Vendas[[#This Row],[ID Item Vendido]],Agregado[ID],Agregado[Produto])</f>
        <v>Tábua tratada e cortada 3m</v>
      </c>
      <c r="F5876" s="39">
        <v>46218</v>
      </c>
      <c r="G5876" s="7">
        <v>22</v>
      </c>
      <c r="H5876" s="3">
        <f>_xlfn.XLOOKUP(Vendas[[#This Row],[ID Item Vendido]],Agregado[ID],Agregado[Revenda])</f>
        <v>39</v>
      </c>
      <c r="I5876" s="3">
        <f>Vendas[[#This Row],[Valor Unitário]]*Vendas[[#This Row],[Qnt Vendida]]</f>
        <v>858</v>
      </c>
      <c r="J5876" s="3">
        <f>Vendas[[#This Row],[Valor da Venda]]-(_xlfn.XLOOKUP(Vendas[[#This Row],[ID Item Vendido]],Agregado[ID],Agregado[Custo])*Vendas[[#This Row],[Qnt Vendida]])</f>
        <v>154</v>
      </c>
      <c r="K5876" s="70">
        <f>Vendas[[#This Row],[Lucro da Venda]]/Vendas[[#This Row],[Valor da Venda]]</f>
        <v>0.17948717948717949</v>
      </c>
      <c r="L5876" s="3">
        <f>_xlfn.IFS(Vendas[[#This Row],[Margem de Lucro (%)]]&lt;15%,Vendas[[#This Row],[Valor da Venda]]*3%,Vendas[[#This Row],[Margem de Lucro (%)]]&lt;=20%,Vendas[[#This Row],[Valor da Venda]]*4.5%,TRUE,Vendas[[#This Row],[Valor da Venda]]*6%)</f>
        <v>38.61</v>
      </c>
      <c r="M5876"/>
    </row>
    <row r="5877" spans="1:13" x14ac:dyDescent="0.3">
      <c r="A5877" s="7">
        <v>400254</v>
      </c>
      <c r="B5877" t="str">
        <f>_xlfn.XLOOKUP(Vendas[[#This Row],[ID Vendedor]],Vendedores[ID],Vendedores[Nome])</f>
        <v>Beatriz</v>
      </c>
      <c r="C5877" s="7" t="str">
        <f>_xlfn.XLOOKUP(Vendas[[#This Row],[ID Vendedor]],Vendedores[ID],Vendedores[Setor])</f>
        <v>SC</v>
      </c>
      <c r="D5877" s="7" t="s">
        <v>42</v>
      </c>
      <c r="E5877" t="str">
        <f>_xlfn.XLOOKUP(Vendas[[#This Row],[ID Item Vendido]],Agregado[ID],Agregado[Produto])</f>
        <v>Container de ferro industrial</v>
      </c>
      <c r="F5877" s="39">
        <v>46219</v>
      </c>
      <c r="G5877" s="7">
        <v>4</v>
      </c>
      <c r="H5877" s="3">
        <f>_xlfn.XLOOKUP(Vendas[[#This Row],[ID Item Vendido]],Agregado[ID],Agregado[Revenda])</f>
        <v>830</v>
      </c>
      <c r="I5877" s="3">
        <f>Vendas[[#This Row],[Valor Unitário]]*Vendas[[#This Row],[Qnt Vendida]]</f>
        <v>3320</v>
      </c>
      <c r="J5877" s="3">
        <f>Vendas[[#This Row],[Valor da Venda]]-(_xlfn.XLOOKUP(Vendas[[#This Row],[ID Item Vendido]],Agregado[ID],Agregado[Custo])*Vendas[[#This Row],[Qnt Vendida]])</f>
        <v>600</v>
      </c>
      <c r="K5877" s="70">
        <f>Vendas[[#This Row],[Lucro da Venda]]/Vendas[[#This Row],[Valor da Venda]]</f>
        <v>0.18072289156626506</v>
      </c>
      <c r="L5877" s="3">
        <f>_xlfn.IFS(Vendas[[#This Row],[Margem de Lucro (%)]]&lt;15%,Vendas[[#This Row],[Valor da Venda]]*3%,Vendas[[#This Row],[Margem de Lucro (%)]]&lt;=20%,Vendas[[#This Row],[Valor da Venda]]*4.5%,TRUE,Vendas[[#This Row],[Valor da Venda]]*6%)</f>
        <v>149.4</v>
      </c>
      <c r="M5877"/>
    </row>
    <row r="5878" spans="1:13" x14ac:dyDescent="0.3">
      <c r="A5878" s="7">
        <v>400247</v>
      </c>
      <c r="B5878" t="str">
        <f>_xlfn.XLOOKUP(Vendas[[#This Row],[ID Vendedor]],Vendedores[ID],Vendedores[Nome])</f>
        <v>André</v>
      </c>
      <c r="C5878" s="7" t="str">
        <f>_xlfn.XLOOKUP(Vendas[[#This Row],[ID Vendedor]],Vendedores[ID],Vendedores[Setor])</f>
        <v>CM</v>
      </c>
      <c r="D5878" s="7" t="s">
        <v>43</v>
      </c>
      <c r="E5878" t="str">
        <f>_xlfn.XLOOKUP(Vendas[[#This Row],[ID Item Vendido]],Agregado[ID],Agregado[Produto])</f>
        <v>Madeira Bruta (Tora)</v>
      </c>
      <c r="F5878" s="39">
        <v>46219</v>
      </c>
      <c r="G5878" s="7">
        <v>7</v>
      </c>
      <c r="H5878" s="3">
        <f>_xlfn.XLOOKUP(Vendas[[#This Row],[ID Item Vendido]],Agregado[ID],Agregado[Revenda])</f>
        <v>212</v>
      </c>
      <c r="I5878" s="3">
        <f>Vendas[[#This Row],[Valor Unitário]]*Vendas[[#This Row],[Qnt Vendida]]</f>
        <v>1484</v>
      </c>
      <c r="J5878" s="3">
        <f>Vendas[[#This Row],[Valor da Venda]]-(_xlfn.XLOOKUP(Vendas[[#This Row],[ID Item Vendido]],Agregado[ID],Agregado[Custo])*Vendas[[#This Row],[Qnt Vendida]])</f>
        <v>224</v>
      </c>
      <c r="K5878" s="70">
        <f>Vendas[[#This Row],[Lucro da Venda]]/Vendas[[#This Row],[Valor da Venda]]</f>
        <v>0.15094339622641509</v>
      </c>
      <c r="L5878" s="3">
        <f>_xlfn.IFS(Vendas[[#This Row],[Margem de Lucro (%)]]&lt;15%,Vendas[[#This Row],[Valor da Venda]]*3%,Vendas[[#This Row],[Margem de Lucro (%)]]&lt;=20%,Vendas[[#This Row],[Valor da Venda]]*4.5%,TRUE,Vendas[[#This Row],[Valor da Venda]]*6%)</f>
        <v>66.78</v>
      </c>
      <c r="M5878"/>
    </row>
    <row r="5879" spans="1:13" x14ac:dyDescent="0.3">
      <c r="A5879" s="7">
        <v>400249</v>
      </c>
      <c r="B5879" t="str">
        <f>_xlfn.XLOOKUP(Vendas[[#This Row],[ID Vendedor]],Vendedores[ID],Vendedores[Nome])</f>
        <v>Bruno</v>
      </c>
      <c r="C5879" s="7" t="str">
        <f>_xlfn.XLOOKUP(Vendas[[#This Row],[ID Vendedor]],Vendedores[ID],Vendedores[Setor])</f>
        <v>CM</v>
      </c>
      <c r="D5879" s="7" t="s">
        <v>32</v>
      </c>
      <c r="E5879" t="str">
        <f>_xlfn.XLOOKUP(Vendas[[#This Row],[ID Item Vendido]],Agregado[ID],Agregado[Produto])</f>
        <v>Tábua tratada e cortada 3m</v>
      </c>
      <c r="F5879" s="39">
        <v>46219</v>
      </c>
      <c r="G5879" s="7">
        <v>38</v>
      </c>
      <c r="H5879" s="3">
        <f>_xlfn.XLOOKUP(Vendas[[#This Row],[ID Item Vendido]],Agregado[ID],Agregado[Revenda])</f>
        <v>39</v>
      </c>
      <c r="I5879" s="3">
        <f>Vendas[[#This Row],[Valor Unitário]]*Vendas[[#This Row],[Qnt Vendida]]</f>
        <v>1482</v>
      </c>
      <c r="J5879" s="3">
        <f>Vendas[[#This Row],[Valor da Venda]]-(_xlfn.XLOOKUP(Vendas[[#This Row],[ID Item Vendido]],Agregado[ID],Agregado[Custo])*Vendas[[#This Row],[Qnt Vendida]])</f>
        <v>266</v>
      </c>
      <c r="K5879" s="70">
        <f>Vendas[[#This Row],[Lucro da Venda]]/Vendas[[#This Row],[Valor da Venda]]</f>
        <v>0.17948717948717949</v>
      </c>
      <c r="L5879" s="3">
        <f>_xlfn.IFS(Vendas[[#This Row],[Margem de Lucro (%)]]&lt;15%,Vendas[[#This Row],[Valor da Venda]]*3%,Vendas[[#This Row],[Margem de Lucro (%)]]&lt;=20%,Vendas[[#This Row],[Valor da Venda]]*4.5%,TRUE,Vendas[[#This Row],[Valor da Venda]]*6%)</f>
        <v>66.69</v>
      </c>
      <c r="M5879"/>
    </row>
    <row r="5880" spans="1:13" x14ac:dyDescent="0.3">
      <c r="A5880" s="7">
        <v>400248</v>
      </c>
      <c r="B5880" t="str">
        <f>_xlfn.XLOOKUP(Vendas[[#This Row],[ID Vendedor]],Vendedores[ID],Vendedores[Nome])</f>
        <v>Patrícia</v>
      </c>
      <c r="C5880" s="7" t="str">
        <f>_xlfn.XLOOKUP(Vendas[[#This Row],[ID Vendedor]],Vendedores[ID],Vendedores[Setor])</f>
        <v>CM</v>
      </c>
      <c r="D5880" s="7" t="s">
        <v>34</v>
      </c>
      <c r="E5880" t="str">
        <f>_xlfn.XLOOKUP(Vendas[[#This Row],[ID Item Vendido]],Agregado[ID],Agregado[Produto])</f>
        <v>Restos de madeira p/ MDP/OSB saco de 20kg</v>
      </c>
      <c r="F5880" s="39">
        <v>46219</v>
      </c>
      <c r="G5880" s="7">
        <v>30</v>
      </c>
      <c r="H5880" s="3">
        <f>_xlfn.XLOOKUP(Vendas[[#This Row],[ID Item Vendido]],Agregado[ID],Agregado[Revenda])</f>
        <v>13.8</v>
      </c>
      <c r="I5880" s="3">
        <f>Vendas[[#This Row],[Valor Unitário]]*Vendas[[#This Row],[Qnt Vendida]]</f>
        <v>414</v>
      </c>
      <c r="J5880" s="3">
        <f>Vendas[[#This Row],[Valor da Venda]]-(_xlfn.XLOOKUP(Vendas[[#This Row],[ID Item Vendido]],Agregado[ID],Agregado[Custo])*Vendas[[#This Row],[Qnt Vendida]])</f>
        <v>54</v>
      </c>
      <c r="K5880" s="70">
        <f>Vendas[[#This Row],[Lucro da Venda]]/Vendas[[#This Row],[Valor da Venda]]</f>
        <v>0.13043478260869565</v>
      </c>
      <c r="L5880" s="3">
        <f>_xlfn.IFS(Vendas[[#This Row],[Margem de Lucro (%)]]&lt;15%,Vendas[[#This Row],[Valor da Venda]]*3%,Vendas[[#This Row],[Margem de Lucro (%)]]&lt;=20%,Vendas[[#This Row],[Valor da Venda]]*4.5%,TRUE,Vendas[[#This Row],[Valor da Venda]]*6%)</f>
        <v>12.42</v>
      </c>
      <c r="M5880"/>
    </row>
    <row r="5881" spans="1:13" x14ac:dyDescent="0.3">
      <c r="A5881" s="7">
        <v>400252</v>
      </c>
      <c r="B5881" t="str">
        <f>_xlfn.XLOOKUP(Vendas[[#This Row],[ID Vendedor]],Vendedores[ID],Vendedores[Nome])</f>
        <v>Renata</v>
      </c>
      <c r="C5881" s="7" t="str">
        <f>_xlfn.XLOOKUP(Vendas[[#This Row],[ID Vendedor]],Vendedores[ID],Vendedores[Setor])</f>
        <v>AB</v>
      </c>
      <c r="D5881" s="7" t="s">
        <v>24</v>
      </c>
      <c r="E5881" t="str">
        <f>_xlfn.XLOOKUP(Vendas[[#This Row],[ID Item Vendido]],Agregado[ID],Agregado[Produto])</f>
        <v>Resina plástica PET purificada saco de 25kg</v>
      </c>
      <c r="F5881" s="39">
        <v>46220</v>
      </c>
      <c r="G5881" s="7">
        <v>28</v>
      </c>
      <c r="H5881" s="3">
        <f>_xlfn.XLOOKUP(Vendas[[#This Row],[ID Item Vendido]],Agregado[ID],Agregado[Revenda])</f>
        <v>119</v>
      </c>
      <c r="I5881" s="3">
        <f>Vendas[[#This Row],[Valor Unitário]]*Vendas[[#This Row],[Qnt Vendida]]</f>
        <v>3332</v>
      </c>
      <c r="J5881" s="3">
        <f>Vendas[[#This Row],[Valor da Venda]]-(_xlfn.XLOOKUP(Vendas[[#This Row],[ID Item Vendido]],Agregado[ID],Agregado[Custo])*Vendas[[#This Row],[Qnt Vendida]])</f>
        <v>952</v>
      </c>
      <c r="K5881" s="70">
        <f>Vendas[[#This Row],[Lucro da Venda]]/Vendas[[#This Row],[Valor da Venda]]</f>
        <v>0.2857142857142857</v>
      </c>
      <c r="L5881" s="3">
        <f>_xlfn.IFS(Vendas[[#This Row],[Margem de Lucro (%)]]&lt;15%,Vendas[[#This Row],[Valor da Venda]]*3%,Vendas[[#This Row],[Margem de Lucro (%)]]&lt;=20%,Vendas[[#This Row],[Valor da Venda]]*4.5%,TRUE,Vendas[[#This Row],[Valor da Venda]]*6%)</f>
        <v>199.92</v>
      </c>
      <c r="M5881"/>
    </row>
    <row r="5882" spans="1:13" x14ac:dyDescent="0.3">
      <c r="A5882" s="7">
        <v>400252</v>
      </c>
      <c r="B5882" t="str">
        <f>_xlfn.XLOOKUP(Vendas[[#This Row],[ID Vendedor]],Vendedores[ID],Vendedores[Nome])</f>
        <v>Renata</v>
      </c>
      <c r="C5882" s="7" t="str">
        <f>_xlfn.XLOOKUP(Vendas[[#This Row],[ID Vendedor]],Vendedores[ID],Vendedores[Setor])</f>
        <v>AB</v>
      </c>
      <c r="D5882" s="7" t="s">
        <v>24</v>
      </c>
      <c r="E5882" t="str">
        <f>_xlfn.XLOOKUP(Vendas[[#This Row],[ID Item Vendido]],Agregado[ID],Agregado[Produto])</f>
        <v>Resina plástica PET purificada saco de 25kg</v>
      </c>
      <c r="F5882" s="39">
        <v>46220</v>
      </c>
      <c r="G5882" s="7">
        <v>20</v>
      </c>
      <c r="H5882" s="3">
        <f>_xlfn.XLOOKUP(Vendas[[#This Row],[ID Item Vendido]],Agregado[ID],Agregado[Revenda])</f>
        <v>119</v>
      </c>
      <c r="I5882" s="3">
        <f>Vendas[[#This Row],[Valor Unitário]]*Vendas[[#This Row],[Qnt Vendida]]</f>
        <v>2380</v>
      </c>
      <c r="J5882" s="3">
        <f>Vendas[[#This Row],[Valor da Venda]]-(_xlfn.XLOOKUP(Vendas[[#This Row],[ID Item Vendido]],Agregado[ID],Agregado[Custo])*Vendas[[#This Row],[Qnt Vendida]])</f>
        <v>680</v>
      </c>
      <c r="K5882" s="70">
        <f>Vendas[[#This Row],[Lucro da Venda]]/Vendas[[#This Row],[Valor da Venda]]</f>
        <v>0.2857142857142857</v>
      </c>
      <c r="L5882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882"/>
    </row>
    <row r="5883" spans="1:13" x14ac:dyDescent="0.3">
      <c r="A5883" s="7">
        <v>400253</v>
      </c>
      <c r="B5883" t="str">
        <f>_xlfn.XLOOKUP(Vendas[[#This Row],[ID Vendedor]],Vendedores[ID],Vendedores[Nome])</f>
        <v>Gustavo</v>
      </c>
      <c r="C5883" s="7" t="str">
        <f>_xlfn.XLOOKUP(Vendas[[#This Row],[ID Vendedor]],Vendedores[ID],Vendedores[Setor])</f>
        <v>SC</v>
      </c>
      <c r="D5883" s="7" t="s">
        <v>48</v>
      </c>
      <c r="E5883" t="str">
        <f>_xlfn.XLOOKUP(Vendas[[#This Row],[ID Item Vendido]],Agregado[ID],Agregado[Produto])</f>
        <v>Tambor metálico 200L</v>
      </c>
      <c r="F5883" s="39">
        <v>46220</v>
      </c>
      <c r="G5883" s="7">
        <v>3</v>
      </c>
      <c r="H5883" s="3">
        <f>_xlfn.XLOOKUP(Vendas[[#This Row],[ID Item Vendido]],Agregado[ID],Agregado[Revenda])</f>
        <v>144</v>
      </c>
      <c r="I5883" s="3">
        <f>Vendas[[#This Row],[Valor Unitário]]*Vendas[[#This Row],[Qnt Vendida]]</f>
        <v>432</v>
      </c>
      <c r="J5883" s="3">
        <f>Vendas[[#This Row],[Valor da Venda]]-(_xlfn.XLOOKUP(Vendas[[#This Row],[ID Item Vendido]],Agregado[ID],Agregado[Custo])*Vendas[[#This Row],[Qnt Vendida]])</f>
        <v>72</v>
      </c>
      <c r="K5883" s="70">
        <f>Vendas[[#This Row],[Lucro da Venda]]/Vendas[[#This Row],[Valor da Venda]]</f>
        <v>0.16666666666666666</v>
      </c>
      <c r="L5883" s="3">
        <f>_xlfn.IFS(Vendas[[#This Row],[Margem de Lucro (%)]]&lt;15%,Vendas[[#This Row],[Valor da Venda]]*3%,Vendas[[#This Row],[Margem de Lucro (%)]]&lt;=20%,Vendas[[#This Row],[Valor da Venda]]*4.5%,TRUE,Vendas[[#This Row],[Valor da Venda]]*6%)</f>
        <v>19.439999999999998</v>
      </c>
      <c r="M5883"/>
    </row>
    <row r="5884" spans="1:13" x14ac:dyDescent="0.3">
      <c r="A5884" s="7">
        <v>400243</v>
      </c>
      <c r="B5884" t="str">
        <f>_xlfn.XLOOKUP(Vendas[[#This Row],[ID Vendedor]],Vendedores[ID],Vendedores[Nome])</f>
        <v>Marcelo</v>
      </c>
      <c r="C5884" s="7" t="str">
        <f>_xlfn.XLOOKUP(Vendas[[#This Row],[ID Vendedor]],Vendedores[ID],Vendedores[Setor])</f>
        <v>FM</v>
      </c>
      <c r="D5884" s="7" t="s">
        <v>6</v>
      </c>
      <c r="E5884" t="str">
        <f>_xlfn.XLOOKUP(Vendas[[#This Row],[ID Item Vendido]],Agregado[ID],Agregado[Produto])</f>
        <v>Parafuso comum 500un</v>
      </c>
      <c r="F5884" s="39">
        <v>46221</v>
      </c>
      <c r="G5884" s="7">
        <v>23</v>
      </c>
      <c r="H5884" s="3">
        <f>_xlfn.XLOOKUP(Vendas[[#This Row],[ID Item Vendido]],Agregado[ID],Agregado[Revenda])</f>
        <v>24.6</v>
      </c>
      <c r="I5884" s="3">
        <f>Vendas[[#This Row],[Valor Unitário]]*Vendas[[#This Row],[Qnt Vendida]]</f>
        <v>565.80000000000007</v>
      </c>
      <c r="J5884" s="3">
        <f>Vendas[[#This Row],[Valor da Venda]]-(_xlfn.XLOOKUP(Vendas[[#This Row],[ID Item Vendido]],Agregado[ID],Agregado[Custo])*Vendas[[#This Row],[Qnt Vendida]])</f>
        <v>59.800000000000068</v>
      </c>
      <c r="K5884" s="70">
        <f>Vendas[[#This Row],[Lucro da Venda]]/Vendas[[#This Row],[Valor da Venda]]</f>
        <v>0.10569105691056921</v>
      </c>
      <c r="L5884" s="3">
        <f>_xlfn.IFS(Vendas[[#This Row],[Margem de Lucro (%)]]&lt;15%,Vendas[[#This Row],[Valor da Venda]]*3%,Vendas[[#This Row],[Margem de Lucro (%)]]&lt;=20%,Vendas[[#This Row],[Valor da Venda]]*4.5%,TRUE,Vendas[[#This Row],[Valor da Venda]]*6%)</f>
        <v>16.974</v>
      </c>
      <c r="M5884"/>
    </row>
    <row r="5885" spans="1:13" x14ac:dyDescent="0.3">
      <c r="A5885" s="7">
        <v>400247</v>
      </c>
      <c r="B5885" t="str">
        <f>_xlfn.XLOOKUP(Vendas[[#This Row],[ID Vendedor]],Vendedores[ID],Vendedores[Nome])</f>
        <v>André</v>
      </c>
      <c r="C5885" s="7" t="str">
        <f>_xlfn.XLOOKUP(Vendas[[#This Row],[ID Vendedor]],Vendedores[ID],Vendedores[Setor])</f>
        <v>CM</v>
      </c>
      <c r="D5885" s="7" t="s">
        <v>22</v>
      </c>
      <c r="E5885" t="str">
        <f>_xlfn.XLOOKUP(Vendas[[#This Row],[ID Item Vendido]],Agregado[ID],Agregado[Produto])</f>
        <v>Painel MDP 2,75x1,83m</v>
      </c>
      <c r="F5885" s="39">
        <v>46222</v>
      </c>
      <c r="G5885" s="7">
        <v>23</v>
      </c>
      <c r="H5885" s="3">
        <f>_xlfn.XLOOKUP(Vendas[[#This Row],[ID Item Vendido]],Agregado[ID],Agregado[Revenda])</f>
        <v>119</v>
      </c>
      <c r="I5885" s="3">
        <f>Vendas[[#This Row],[Valor Unitário]]*Vendas[[#This Row],[Qnt Vendida]]</f>
        <v>2737</v>
      </c>
      <c r="J5885" s="3">
        <f>Vendas[[#This Row],[Valor da Venda]]-(_xlfn.XLOOKUP(Vendas[[#This Row],[ID Item Vendido]],Agregado[ID],Agregado[Custo])*Vendas[[#This Row],[Qnt Vendida]])</f>
        <v>552</v>
      </c>
      <c r="K5885" s="70">
        <f>Vendas[[#This Row],[Lucro da Venda]]/Vendas[[#This Row],[Valor da Venda]]</f>
        <v>0.20168067226890757</v>
      </c>
      <c r="L5885" s="3">
        <f>_xlfn.IFS(Vendas[[#This Row],[Margem de Lucro (%)]]&lt;15%,Vendas[[#This Row],[Valor da Venda]]*3%,Vendas[[#This Row],[Margem de Lucro (%)]]&lt;=20%,Vendas[[#This Row],[Valor da Venda]]*4.5%,TRUE,Vendas[[#This Row],[Valor da Venda]]*6%)</f>
        <v>164.22</v>
      </c>
      <c r="M5885"/>
    </row>
    <row r="5886" spans="1:13" x14ac:dyDescent="0.3">
      <c r="A5886" s="7">
        <v>400253</v>
      </c>
      <c r="B5886" t="str">
        <f>_xlfn.XLOOKUP(Vendas[[#This Row],[ID Vendedor]],Vendedores[ID],Vendedores[Nome])</f>
        <v>Gustavo</v>
      </c>
      <c r="C5886" s="7" t="str">
        <f>_xlfn.XLOOKUP(Vendas[[#This Row],[ID Vendedor]],Vendedores[ID],Vendedores[Setor])</f>
        <v>SC</v>
      </c>
      <c r="D5886" s="7" t="s">
        <v>48</v>
      </c>
      <c r="E5886" t="str">
        <f>_xlfn.XLOOKUP(Vendas[[#This Row],[ID Item Vendido]],Agregado[ID],Agregado[Produto])</f>
        <v>Tambor metálico 200L</v>
      </c>
      <c r="F5886" s="39">
        <v>46222</v>
      </c>
      <c r="G5886" s="7">
        <v>6</v>
      </c>
      <c r="H5886" s="3">
        <f>_xlfn.XLOOKUP(Vendas[[#This Row],[ID Item Vendido]],Agregado[ID],Agregado[Revenda])</f>
        <v>144</v>
      </c>
      <c r="I5886" s="3">
        <f>Vendas[[#This Row],[Valor Unitário]]*Vendas[[#This Row],[Qnt Vendida]]</f>
        <v>864</v>
      </c>
      <c r="J5886" s="3">
        <f>Vendas[[#This Row],[Valor da Venda]]-(_xlfn.XLOOKUP(Vendas[[#This Row],[ID Item Vendido]],Agregado[ID],Agregado[Custo])*Vendas[[#This Row],[Qnt Vendida]])</f>
        <v>144</v>
      </c>
      <c r="K5886" s="70">
        <f>Vendas[[#This Row],[Lucro da Venda]]/Vendas[[#This Row],[Valor da Venda]]</f>
        <v>0.16666666666666666</v>
      </c>
      <c r="L5886" s="3">
        <f>_xlfn.IFS(Vendas[[#This Row],[Margem de Lucro (%)]]&lt;15%,Vendas[[#This Row],[Valor da Venda]]*3%,Vendas[[#This Row],[Margem de Lucro (%)]]&lt;=20%,Vendas[[#This Row],[Valor da Venda]]*4.5%,TRUE,Vendas[[#This Row],[Valor da Venda]]*6%)</f>
        <v>38.879999999999995</v>
      </c>
      <c r="M5886"/>
    </row>
    <row r="5887" spans="1:13" x14ac:dyDescent="0.3">
      <c r="A5887" s="7">
        <v>400243</v>
      </c>
      <c r="B5887" t="str">
        <f>_xlfn.XLOOKUP(Vendas[[#This Row],[ID Vendedor]],Vendedores[ID],Vendedores[Nome])</f>
        <v>Marcelo</v>
      </c>
      <c r="C5887" s="7" t="str">
        <f>_xlfn.XLOOKUP(Vendas[[#This Row],[ID Vendedor]],Vendedores[ID],Vendedores[Setor])</f>
        <v>FM</v>
      </c>
      <c r="D5887" s="7" t="s">
        <v>31</v>
      </c>
      <c r="E5887" t="str">
        <f>_xlfn.XLOOKUP(Vendas[[#This Row],[ID Item Vendido]],Agregado[ID],Agregado[Produto])</f>
        <v>Tela de metal soldada rolo 2x25m</v>
      </c>
      <c r="F5887" s="39">
        <v>46222</v>
      </c>
      <c r="G5887" s="7">
        <v>6</v>
      </c>
      <c r="H5887" s="3">
        <f>_xlfn.XLOOKUP(Vendas[[#This Row],[ID Item Vendido]],Agregado[ID],Agregado[Revenda])</f>
        <v>43.7</v>
      </c>
      <c r="I5887" s="3">
        <f>Vendas[[#This Row],[Valor Unitário]]*Vendas[[#This Row],[Qnt Vendida]]</f>
        <v>262.20000000000005</v>
      </c>
      <c r="J5887" s="3">
        <f>Vendas[[#This Row],[Valor da Venda]]-(_xlfn.XLOOKUP(Vendas[[#This Row],[ID Item Vendido]],Agregado[ID],Agregado[Custo])*Vendas[[#This Row],[Qnt Vendida]])</f>
        <v>34.200000000000045</v>
      </c>
      <c r="K5887" s="70">
        <f>Vendas[[#This Row],[Lucro da Venda]]/Vendas[[#This Row],[Valor da Venda]]</f>
        <v>0.13043478260869582</v>
      </c>
      <c r="L5887" s="3">
        <f>_xlfn.IFS(Vendas[[#This Row],[Margem de Lucro (%)]]&lt;15%,Vendas[[#This Row],[Valor da Venda]]*3%,Vendas[[#This Row],[Margem de Lucro (%)]]&lt;=20%,Vendas[[#This Row],[Valor da Venda]]*4.5%,TRUE,Vendas[[#This Row],[Valor da Venda]]*6%)</f>
        <v>7.8660000000000014</v>
      </c>
      <c r="M5887"/>
    </row>
    <row r="5888" spans="1:13" x14ac:dyDescent="0.3">
      <c r="A5888" s="7">
        <v>400252</v>
      </c>
      <c r="B5888" t="str">
        <f>_xlfn.XLOOKUP(Vendas[[#This Row],[ID Vendedor]],Vendedores[ID],Vendedores[Nome])</f>
        <v>Renata</v>
      </c>
      <c r="C5888" s="7" t="str">
        <f>_xlfn.XLOOKUP(Vendas[[#This Row],[ID Vendedor]],Vendedores[ID],Vendedores[Setor])</f>
        <v>AB</v>
      </c>
      <c r="D5888" s="7" t="s">
        <v>39</v>
      </c>
      <c r="E5888" t="str">
        <f>_xlfn.XLOOKUP(Vendas[[#This Row],[ID Item Vendido]],Agregado[ID],Agregado[Produto])</f>
        <v>Filme plástico industrial rolo 50m</v>
      </c>
      <c r="F5888" s="39">
        <v>46222</v>
      </c>
      <c r="G5888" s="7">
        <v>7</v>
      </c>
      <c r="H5888" s="3">
        <f>_xlfn.XLOOKUP(Vendas[[#This Row],[ID Item Vendido]],Agregado[ID],Agregado[Revenda])</f>
        <v>37</v>
      </c>
      <c r="I5888" s="3">
        <f>Vendas[[#This Row],[Valor Unitário]]*Vendas[[#This Row],[Qnt Vendida]]</f>
        <v>259</v>
      </c>
      <c r="J5888" s="3">
        <f>Vendas[[#This Row],[Valor da Venda]]-(_xlfn.XLOOKUP(Vendas[[#This Row],[ID Item Vendido]],Agregado[ID],Agregado[Custo])*Vendas[[#This Row],[Qnt Vendida]])</f>
        <v>63</v>
      </c>
      <c r="K5888" s="70">
        <f>Vendas[[#This Row],[Lucro da Venda]]/Vendas[[#This Row],[Valor da Venda]]</f>
        <v>0.24324324324324326</v>
      </c>
      <c r="L5888" s="3">
        <f>_xlfn.IFS(Vendas[[#This Row],[Margem de Lucro (%)]]&lt;15%,Vendas[[#This Row],[Valor da Venda]]*3%,Vendas[[#This Row],[Margem de Lucro (%)]]&lt;=20%,Vendas[[#This Row],[Valor da Venda]]*4.5%,TRUE,Vendas[[#This Row],[Valor da Venda]]*6%)</f>
        <v>15.54</v>
      </c>
      <c r="M5888"/>
    </row>
    <row r="5889" spans="1:13" x14ac:dyDescent="0.3">
      <c r="A5889" s="7">
        <v>400242</v>
      </c>
      <c r="B5889" t="str">
        <f>_xlfn.XLOOKUP(Vendas[[#This Row],[ID Vendedor]],Vendedores[ID],Vendedores[Nome])</f>
        <v>Fernanda</v>
      </c>
      <c r="C5889" s="7" t="str">
        <f>_xlfn.XLOOKUP(Vendas[[#This Row],[ID Vendedor]],Vendedores[ID],Vendedores[Setor])</f>
        <v>FM</v>
      </c>
      <c r="D5889" s="7" t="s">
        <v>31</v>
      </c>
      <c r="E5889" t="str">
        <f>_xlfn.XLOOKUP(Vendas[[#This Row],[ID Item Vendido]],Agregado[ID],Agregado[Produto])</f>
        <v>Tela de metal soldada rolo 2x25m</v>
      </c>
      <c r="F5889" s="39">
        <v>46222</v>
      </c>
      <c r="G5889" s="7">
        <v>4</v>
      </c>
      <c r="H5889" s="3">
        <f>_xlfn.XLOOKUP(Vendas[[#This Row],[ID Item Vendido]],Agregado[ID],Agregado[Revenda])</f>
        <v>43.7</v>
      </c>
      <c r="I5889" s="3">
        <f>Vendas[[#This Row],[Valor Unitário]]*Vendas[[#This Row],[Qnt Vendida]]</f>
        <v>174.8</v>
      </c>
      <c r="J5889" s="3">
        <f>Vendas[[#This Row],[Valor da Venda]]-(_xlfn.XLOOKUP(Vendas[[#This Row],[ID Item Vendido]],Agregado[ID],Agregado[Custo])*Vendas[[#This Row],[Qnt Vendida]])</f>
        <v>22.800000000000011</v>
      </c>
      <c r="K5889" s="70">
        <f>Vendas[[#This Row],[Lucro da Venda]]/Vendas[[#This Row],[Valor da Venda]]</f>
        <v>0.1304347826086957</v>
      </c>
      <c r="L5889" s="3">
        <f>_xlfn.IFS(Vendas[[#This Row],[Margem de Lucro (%)]]&lt;15%,Vendas[[#This Row],[Valor da Venda]]*3%,Vendas[[#This Row],[Margem de Lucro (%)]]&lt;=20%,Vendas[[#This Row],[Valor da Venda]]*4.5%,TRUE,Vendas[[#This Row],[Valor da Venda]]*6%)</f>
        <v>5.2439999999999998</v>
      </c>
      <c r="M5889"/>
    </row>
    <row r="5890" spans="1:13" x14ac:dyDescent="0.3">
      <c r="A5890" s="7">
        <v>400250</v>
      </c>
      <c r="B5890" t="str">
        <f>_xlfn.XLOOKUP(Vendas[[#This Row],[ID Vendedor]],Vendedores[ID],Vendedores[Nome])</f>
        <v>Larissa</v>
      </c>
      <c r="C5890" s="7" t="str">
        <f>_xlfn.XLOOKUP(Vendas[[#This Row],[ID Vendedor]],Vendedores[ID],Vendedores[Setor])</f>
        <v>AB</v>
      </c>
      <c r="D5890" s="7" t="s">
        <v>12</v>
      </c>
      <c r="E5890" t="str">
        <f>_xlfn.XLOOKUP(Vendas[[#This Row],[ID Item Vendido]],Agregado[ID],Agregado[Produto])</f>
        <v>Grânulo de plástico reciclado refinado</v>
      </c>
      <c r="F5890" s="39">
        <v>46223</v>
      </c>
      <c r="G5890" s="7">
        <v>43</v>
      </c>
      <c r="H5890" s="3">
        <f>_xlfn.XLOOKUP(Vendas[[#This Row],[ID Item Vendido]],Agregado[ID],Agregado[Revenda])</f>
        <v>4.7</v>
      </c>
      <c r="I5890" s="3">
        <f>Vendas[[#This Row],[Valor Unitário]]*Vendas[[#This Row],[Qnt Vendida]]</f>
        <v>202.1</v>
      </c>
      <c r="J5890" s="3">
        <f>Vendas[[#This Row],[Valor da Venda]]-(_xlfn.XLOOKUP(Vendas[[#This Row],[ID Item Vendido]],Agregado[ID],Agregado[Custo])*Vendas[[#This Row],[Qnt Vendida]])</f>
        <v>51.599999999999994</v>
      </c>
      <c r="K5890" s="70">
        <f>Vendas[[#This Row],[Lucro da Venda]]/Vendas[[#This Row],[Valor da Venda]]</f>
        <v>0.25531914893617019</v>
      </c>
      <c r="L5890" s="3">
        <f>_xlfn.IFS(Vendas[[#This Row],[Margem de Lucro (%)]]&lt;15%,Vendas[[#This Row],[Valor da Venda]]*3%,Vendas[[#This Row],[Margem de Lucro (%)]]&lt;=20%,Vendas[[#This Row],[Valor da Venda]]*4.5%,TRUE,Vendas[[#This Row],[Valor da Venda]]*6%)</f>
        <v>12.125999999999999</v>
      </c>
      <c r="M5890"/>
    </row>
    <row r="5891" spans="1:13" x14ac:dyDescent="0.3">
      <c r="A5891" s="7">
        <v>400245</v>
      </c>
      <c r="B5891" t="str">
        <f>_xlfn.XLOOKUP(Vendas[[#This Row],[ID Vendedor]],Vendedores[ID],Vendedores[Nome])</f>
        <v>Thiago</v>
      </c>
      <c r="C5891" s="7" t="str">
        <f>_xlfn.XLOOKUP(Vendas[[#This Row],[ID Vendedor]],Vendedores[ID],Vendedores[Setor])</f>
        <v>AHD</v>
      </c>
      <c r="D5891" s="7" t="s">
        <v>18</v>
      </c>
      <c r="E5891" t="str">
        <f>_xlfn.XLOOKUP(Vendas[[#This Row],[ID Item Vendido]],Agregado[ID],Agregado[Produto])</f>
        <v>Peça forjada sob encomenda</v>
      </c>
      <c r="F5891" s="39">
        <v>46224</v>
      </c>
      <c r="G5891" s="7">
        <v>6</v>
      </c>
      <c r="H5891" s="3">
        <f>_xlfn.XLOOKUP(Vendas[[#This Row],[ID Item Vendido]],Agregado[ID],Agregado[Revenda])</f>
        <v>264.60000000000002</v>
      </c>
      <c r="I5891" s="3">
        <f>Vendas[[#This Row],[Valor Unitário]]*Vendas[[#This Row],[Qnt Vendida]]</f>
        <v>1587.6000000000001</v>
      </c>
      <c r="J5891" s="3">
        <f>Vendas[[#This Row],[Valor da Venda]]-(_xlfn.XLOOKUP(Vendas[[#This Row],[ID Item Vendido]],Agregado[ID],Agregado[Custo])*Vendas[[#This Row],[Qnt Vendida]])</f>
        <v>87.600000000000136</v>
      </c>
      <c r="K5891" s="70">
        <f>Vendas[[#This Row],[Lucro da Venda]]/Vendas[[#This Row],[Valor da Venda]]</f>
        <v>5.5177626606198113E-2</v>
      </c>
      <c r="L5891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891"/>
    </row>
    <row r="5892" spans="1:13" x14ac:dyDescent="0.3">
      <c r="A5892" s="7">
        <v>400254</v>
      </c>
      <c r="B5892" t="str">
        <f>_xlfn.XLOOKUP(Vendas[[#This Row],[ID Vendedor]],Vendedores[ID],Vendedores[Nome])</f>
        <v>Beatriz</v>
      </c>
      <c r="C5892" s="7" t="str">
        <f>_xlfn.XLOOKUP(Vendas[[#This Row],[ID Vendedor]],Vendedores[ID],Vendedores[Setor])</f>
        <v>SC</v>
      </c>
      <c r="D5892" s="7" t="s">
        <v>48</v>
      </c>
      <c r="E5892" t="str">
        <f>_xlfn.XLOOKUP(Vendas[[#This Row],[ID Item Vendido]],Agregado[ID],Agregado[Produto])</f>
        <v>Tambor metálico 200L</v>
      </c>
      <c r="F5892" s="39">
        <v>46224</v>
      </c>
      <c r="G5892" s="7">
        <v>16</v>
      </c>
      <c r="H5892" s="3">
        <f>_xlfn.XLOOKUP(Vendas[[#This Row],[ID Item Vendido]],Agregado[ID],Agregado[Revenda])</f>
        <v>144</v>
      </c>
      <c r="I5892" s="3">
        <f>Vendas[[#This Row],[Valor Unitário]]*Vendas[[#This Row],[Qnt Vendida]]</f>
        <v>2304</v>
      </c>
      <c r="J5892" s="3">
        <f>Vendas[[#This Row],[Valor da Venda]]-(_xlfn.XLOOKUP(Vendas[[#This Row],[ID Item Vendido]],Agregado[ID],Agregado[Custo])*Vendas[[#This Row],[Qnt Vendida]])</f>
        <v>384</v>
      </c>
      <c r="K5892" s="70">
        <f>Vendas[[#This Row],[Lucro da Venda]]/Vendas[[#This Row],[Valor da Venda]]</f>
        <v>0.16666666666666666</v>
      </c>
      <c r="L5892" s="3">
        <f>_xlfn.IFS(Vendas[[#This Row],[Margem de Lucro (%)]]&lt;15%,Vendas[[#This Row],[Valor da Venda]]*3%,Vendas[[#This Row],[Margem de Lucro (%)]]&lt;=20%,Vendas[[#This Row],[Valor da Venda]]*4.5%,TRUE,Vendas[[#This Row],[Valor da Venda]]*6%)</f>
        <v>103.67999999999999</v>
      </c>
      <c r="M5892"/>
    </row>
    <row r="5893" spans="1:13" x14ac:dyDescent="0.3">
      <c r="A5893" s="7">
        <v>400241</v>
      </c>
      <c r="B5893" t="str">
        <f>_xlfn.XLOOKUP(Vendas[[#This Row],[ID Vendedor]],Vendedores[ID],Vendedores[Nome])</f>
        <v>Rodrigo</v>
      </c>
      <c r="C5893" s="7" t="str">
        <f>_xlfn.XLOOKUP(Vendas[[#This Row],[ID Vendedor]],Vendedores[ID],Vendedores[Setor])</f>
        <v>FM</v>
      </c>
      <c r="D5893" s="7" t="s">
        <v>47</v>
      </c>
      <c r="E5893" t="str">
        <f>_xlfn.XLOOKUP(Vendas[[#This Row],[ID Item Vendido]],Agregado[ID],Agregado[Produto])</f>
        <v>Fio de arame galvanizado rolo 50m</v>
      </c>
      <c r="F5893" s="39">
        <v>46224</v>
      </c>
      <c r="G5893" s="7">
        <v>25</v>
      </c>
      <c r="H5893" s="3">
        <f>_xlfn.XLOOKUP(Vendas[[#This Row],[ID Item Vendido]],Agregado[ID],Agregado[Revenda])</f>
        <v>21.2</v>
      </c>
      <c r="I5893" s="3">
        <f>Vendas[[#This Row],[Valor Unitário]]*Vendas[[#This Row],[Qnt Vendida]]</f>
        <v>530</v>
      </c>
      <c r="J5893" s="3">
        <f>Vendas[[#This Row],[Valor da Venda]]-(_xlfn.XLOOKUP(Vendas[[#This Row],[ID Item Vendido]],Agregado[ID],Agregado[Custo])*Vendas[[#This Row],[Qnt Vendida]])</f>
        <v>80</v>
      </c>
      <c r="K5893" s="70">
        <f>Vendas[[#This Row],[Lucro da Venda]]/Vendas[[#This Row],[Valor da Venda]]</f>
        <v>0.15094339622641509</v>
      </c>
      <c r="L5893" s="3">
        <f>_xlfn.IFS(Vendas[[#This Row],[Margem de Lucro (%)]]&lt;15%,Vendas[[#This Row],[Valor da Venda]]*3%,Vendas[[#This Row],[Margem de Lucro (%)]]&lt;=20%,Vendas[[#This Row],[Valor da Venda]]*4.5%,TRUE,Vendas[[#This Row],[Valor da Venda]]*6%)</f>
        <v>23.849999999999998</v>
      </c>
      <c r="M5893"/>
    </row>
    <row r="5894" spans="1:13" x14ac:dyDescent="0.3">
      <c r="A5894" s="7">
        <v>400242</v>
      </c>
      <c r="B5894" t="str">
        <f>_xlfn.XLOOKUP(Vendas[[#This Row],[ID Vendedor]],Vendedores[ID],Vendedores[Nome])</f>
        <v>Fernanda</v>
      </c>
      <c r="C5894" s="7" t="str">
        <f>_xlfn.XLOOKUP(Vendas[[#This Row],[ID Vendedor]],Vendedores[ID],Vendedores[Setor])</f>
        <v>FM</v>
      </c>
      <c r="D5894" s="7" t="s">
        <v>31</v>
      </c>
      <c r="E5894" t="str">
        <f>_xlfn.XLOOKUP(Vendas[[#This Row],[ID Item Vendido]],Agregado[ID],Agregado[Produto])</f>
        <v>Tela de metal soldada rolo 2x25m</v>
      </c>
      <c r="F5894" s="39">
        <v>46224</v>
      </c>
      <c r="G5894" s="7">
        <v>5</v>
      </c>
      <c r="H5894" s="3">
        <f>_xlfn.XLOOKUP(Vendas[[#This Row],[ID Item Vendido]],Agregado[ID],Agregado[Revenda])</f>
        <v>43.7</v>
      </c>
      <c r="I5894" s="3">
        <f>Vendas[[#This Row],[Valor Unitário]]*Vendas[[#This Row],[Qnt Vendida]]</f>
        <v>218.5</v>
      </c>
      <c r="J5894" s="3">
        <f>Vendas[[#This Row],[Valor da Venda]]-(_xlfn.XLOOKUP(Vendas[[#This Row],[ID Item Vendido]],Agregado[ID],Agregado[Custo])*Vendas[[#This Row],[Qnt Vendida]])</f>
        <v>28.5</v>
      </c>
      <c r="K5894" s="70">
        <f>Vendas[[#This Row],[Lucro da Venda]]/Vendas[[#This Row],[Valor da Venda]]</f>
        <v>0.13043478260869565</v>
      </c>
      <c r="L5894" s="3">
        <f>_xlfn.IFS(Vendas[[#This Row],[Margem de Lucro (%)]]&lt;15%,Vendas[[#This Row],[Valor da Venda]]*3%,Vendas[[#This Row],[Margem de Lucro (%)]]&lt;=20%,Vendas[[#This Row],[Valor da Venda]]*4.5%,TRUE,Vendas[[#This Row],[Valor da Venda]]*6%)</f>
        <v>6.5549999999999997</v>
      </c>
      <c r="M5894"/>
    </row>
    <row r="5895" spans="1:13" x14ac:dyDescent="0.3">
      <c r="A5895" s="7">
        <v>400248</v>
      </c>
      <c r="B5895" t="str">
        <f>_xlfn.XLOOKUP(Vendas[[#This Row],[ID Vendedor]],Vendedores[ID],Vendedores[Nome])</f>
        <v>Patrícia</v>
      </c>
      <c r="C5895" s="7" t="str">
        <f>_xlfn.XLOOKUP(Vendas[[#This Row],[ID Vendedor]],Vendedores[ID],Vendedores[Setor])</f>
        <v>CM</v>
      </c>
      <c r="D5895" s="7" t="s">
        <v>43</v>
      </c>
      <c r="E5895" t="str">
        <f>_xlfn.XLOOKUP(Vendas[[#This Row],[ID Item Vendido]],Agregado[ID],Agregado[Produto])</f>
        <v>Madeira Bruta (Tora)</v>
      </c>
      <c r="F5895" s="39">
        <v>46225</v>
      </c>
      <c r="G5895" s="7">
        <v>4</v>
      </c>
      <c r="H5895" s="3">
        <f>_xlfn.XLOOKUP(Vendas[[#This Row],[ID Item Vendido]],Agregado[ID],Agregado[Revenda])</f>
        <v>212</v>
      </c>
      <c r="I5895" s="3">
        <f>Vendas[[#This Row],[Valor Unitário]]*Vendas[[#This Row],[Qnt Vendida]]</f>
        <v>848</v>
      </c>
      <c r="J5895" s="3">
        <f>Vendas[[#This Row],[Valor da Venda]]-(_xlfn.XLOOKUP(Vendas[[#This Row],[ID Item Vendido]],Agregado[ID],Agregado[Custo])*Vendas[[#This Row],[Qnt Vendida]])</f>
        <v>128</v>
      </c>
      <c r="K5895" s="70">
        <f>Vendas[[#This Row],[Lucro da Venda]]/Vendas[[#This Row],[Valor da Venda]]</f>
        <v>0.15094339622641509</v>
      </c>
      <c r="L5895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895"/>
    </row>
    <row r="5896" spans="1:13" x14ac:dyDescent="0.3">
      <c r="A5896" s="7">
        <v>400253</v>
      </c>
      <c r="B5896" t="str">
        <f>_xlfn.XLOOKUP(Vendas[[#This Row],[ID Vendedor]],Vendedores[ID],Vendedores[Nome])</f>
        <v>Gustavo</v>
      </c>
      <c r="C5896" s="7" t="str">
        <f>_xlfn.XLOOKUP(Vendas[[#This Row],[ID Vendedor]],Vendedores[ID],Vendedores[Setor])</f>
        <v>SC</v>
      </c>
      <c r="D5896" s="7" t="s">
        <v>25</v>
      </c>
      <c r="E5896" t="str">
        <f>_xlfn.XLOOKUP(Vendas[[#This Row],[ID Item Vendido]],Agregado[ID],Agregado[Produto])</f>
        <v>Palete de plástico</v>
      </c>
      <c r="F5896" s="39">
        <v>46225</v>
      </c>
      <c r="G5896" s="7">
        <v>7</v>
      </c>
      <c r="H5896" s="3">
        <f>_xlfn.XLOOKUP(Vendas[[#This Row],[ID Item Vendido]],Agregado[ID],Agregado[Revenda])</f>
        <v>70.8</v>
      </c>
      <c r="I5896" s="3">
        <f>Vendas[[#This Row],[Valor Unitário]]*Vendas[[#This Row],[Qnt Vendida]]</f>
        <v>495.59999999999997</v>
      </c>
      <c r="J5896" s="3">
        <f>Vendas[[#This Row],[Valor da Venda]]-(_xlfn.XLOOKUP(Vendas[[#This Row],[ID Item Vendido]],Agregado[ID],Agregado[Custo])*Vendas[[#This Row],[Qnt Vendida]])</f>
        <v>75.599999999999966</v>
      </c>
      <c r="K5896" s="70">
        <f>Vendas[[#This Row],[Lucro da Venda]]/Vendas[[#This Row],[Valor da Venda]]</f>
        <v>0.15254237288135589</v>
      </c>
      <c r="L5896" s="3">
        <f>_xlfn.IFS(Vendas[[#This Row],[Margem de Lucro (%)]]&lt;15%,Vendas[[#This Row],[Valor da Venda]]*3%,Vendas[[#This Row],[Margem de Lucro (%)]]&lt;=20%,Vendas[[#This Row],[Valor da Venda]]*4.5%,TRUE,Vendas[[#This Row],[Valor da Venda]]*6%)</f>
        <v>22.301999999999996</v>
      </c>
      <c r="M5896"/>
    </row>
    <row r="5897" spans="1:13" x14ac:dyDescent="0.3">
      <c r="A5897" s="7">
        <v>400246</v>
      </c>
      <c r="B5897" t="str">
        <f>_xlfn.XLOOKUP(Vendas[[#This Row],[ID Vendedor]],Vendedores[ID],Vendedores[Nome])</f>
        <v>Juliana</v>
      </c>
      <c r="C5897" s="7" t="str">
        <f>_xlfn.XLOOKUP(Vendas[[#This Row],[ID Vendedor]],Vendedores[ID],Vendedores[Setor])</f>
        <v>AHD</v>
      </c>
      <c r="D5897" s="7" t="s">
        <v>9</v>
      </c>
      <c r="E5897" t="str">
        <f>_xlfn.XLOOKUP(Vendas[[#This Row],[ID Item Vendido]],Agregado[ID],Agregado[Produto])</f>
        <v>Barra de aço simples</v>
      </c>
      <c r="F5897" s="39">
        <v>46225</v>
      </c>
      <c r="G5897" s="7">
        <v>40</v>
      </c>
      <c r="H5897" s="3">
        <f>_xlfn.XLOOKUP(Vendas[[#This Row],[ID Item Vendido]],Agregado[ID],Agregado[Revenda])</f>
        <v>6.7</v>
      </c>
      <c r="I5897" s="3">
        <f>Vendas[[#This Row],[Valor Unitário]]*Vendas[[#This Row],[Qnt Vendida]]</f>
        <v>268</v>
      </c>
      <c r="J5897" s="3">
        <f>Vendas[[#This Row],[Valor da Venda]]-(_xlfn.XLOOKUP(Vendas[[#This Row],[ID Item Vendido]],Agregado[ID],Agregado[Custo])*Vendas[[#This Row],[Qnt Vendida]])</f>
        <v>36</v>
      </c>
      <c r="K5897" s="70">
        <f>Vendas[[#This Row],[Lucro da Venda]]/Vendas[[#This Row],[Valor da Venda]]</f>
        <v>0.13432835820895522</v>
      </c>
      <c r="L5897" s="3">
        <f>_xlfn.IFS(Vendas[[#This Row],[Margem de Lucro (%)]]&lt;15%,Vendas[[#This Row],[Valor da Venda]]*3%,Vendas[[#This Row],[Margem de Lucro (%)]]&lt;=20%,Vendas[[#This Row],[Valor da Venda]]*4.5%,TRUE,Vendas[[#This Row],[Valor da Venda]]*6%)</f>
        <v>8.0399999999999991</v>
      </c>
      <c r="M5897"/>
    </row>
    <row r="5898" spans="1:13" x14ac:dyDescent="0.3">
      <c r="A5898" s="7">
        <v>400255</v>
      </c>
      <c r="B5898" t="str">
        <f>_xlfn.XLOOKUP(Vendas[[#This Row],[ID Vendedor]],Vendedores[ID],Vendedores[Nome])</f>
        <v>Carlos</v>
      </c>
      <c r="C5898" s="7" t="str">
        <f>_xlfn.XLOOKUP(Vendas[[#This Row],[ID Vendedor]],Vendedores[ID],Vendedores[Setor])</f>
        <v>SC</v>
      </c>
      <c r="D5898" s="7" t="s">
        <v>42</v>
      </c>
      <c r="E5898" t="str">
        <f>_xlfn.XLOOKUP(Vendas[[#This Row],[ID Item Vendido]],Agregado[ID],Agregado[Produto])</f>
        <v>Container de ferro industrial</v>
      </c>
      <c r="F5898" s="39">
        <v>46226</v>
      </c>
      <c r="G5898" s="7">
        <v>6</v>
      </c>
      <c r="H5898" s="3">
        <f>_xlfn.XLOOKUP(Vendas[[#This Row],[ID Item Vendido]],Agregado[ID],Agregado[Revenda])</f>
        <v>830</v>
      </c>
      <c r="I5898" s="3">
        <f>Vendas[[#This Row],[Valor Unitário]]*Vendas[[#This Row],[Qnt Vendida]]</f>
        <v>4980</v>
      </c>
      <c r="J5898" s="3">
        <f>Vendas[[#This Row],[Valor da Venda]]-(_xlfn.XLOOKUP(Vendas[[#This Row],[ID Item Vendido]],Agregado[ID],Agregado[Custo])*Vendas[[#This Row],[Qnt Vendida]])</f>
        <v>900</v>
      </c>
      <c r="K5898" s="70">
        <f>Vendas[[#This Row],[Lucro da Venda]]/Vendas[[#This Row],[Valor da Venda]]</f>
        <v>0.18072289156626506</v>
      </c>
      <c r="L5898" s="3">
        <f>_xlfn.IFS(Vendas[[#This Row],[Margem de Lucro (%)]]&lt;15%,Vendas[[#This Row],[Valor da Venda]]*3%,Vendas[[#This Row],[Margem de Lucro (%)]]&lt;=20%,Vendas[[#This Row],[Valor da Venda]]*4.5%,TRUE,Vendas[[#This Row],[Valor da Venda]]*6%)</f>
        <v>224.1</v>
      </c>
      <c r="M5898"/>
    </row>
    <row r="5899" spans="1:13" x14ac:dyDescent="0.3">
      <c r="A5899" s="7">
        <v>400253</v>
      </c>
      <c r="B5899" t="str">
        <f>_xlfn.XLOOKUP(Vendas[[#This Row],[ID Vendedor]],Vendedores[ID],Vendedores[Nome])</f>
        <v>Gustavo</v>
      </c>
      <c r="C5899" s="7" t="str">
        <f>_xlfn.XLOOKUP(Vendas[[#This Row],[ID Vendedor]],Vendedores[ID],Vendedores[Setor])</f>
        <v>SC</v>
      </c>
      <c r="D5899" s="7" t="s">
        <v>42</v>
      </c>
      <c r="E5899" t="str">
        <f>_xlfn.XLOOKUP(Vendas[[#This Row],[ID Item Vendido]],Agregado[ID],Agregado[Produto])</f>
        <v>Container de ferro industrial</v>
      </c>
      <c r="F5899" s="39">
        <v>46226</v>
      </c>
      <c r="G5899" s="7">
        <v>5</v>
      </c>
      <c r="H5899" s="3">
        <f>_xlfn.XLOOKUP(Vendas[[#This Row],[ID Item Vendido]],Agregado[ID],Agregado[Revenda])</f>
        <v>830</v>
      </c>
      <c r="I5899" s="3">
        <f>Vendas[[#This Row],[Valor Unitário]]*Vendas[[#This Row],[Qnt Vendida]]</f>
        <v>4150</v>
      </c>
      <c r="J5899" s="3">
        <f>Vendas[[#This Row],[Valor da Venda]]-(_xlfn.XLOOKUP(Vendas[[#This Row],[ID Item Vendido]],Agregado[ID],Agregado[Custo])*Vendas[[#This Row],[Qnt Vendida]])</f>
        <v>750</v>
      </c>
      <c r="K5899" s="70">
        <f>Vendas[[#This Row],[Lucro da Venda]]/Vendas[[#This Row],[Valor da Venda]]</f>
        <v>0.18072289156626506</v>
      </c>
      <c r="L5899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899"/>
    </row>
    <row r="5900" spans="1:13" x14ac:dyDescent="0.3">
      <c r="A5900" s="7">
        <v>400252</v>
      </c>
      <c r="B5900" t="str">
        <f>_xlfn.XLOOKUP(Vendas[[#This Row],[ID Vendedor]],Vendedores[ID],Vendedores[Nome])</f>
        <v>Renata</v>
      </c>
      <c r="C5900" s="7" t="str">
        <f>_xlfn.XLOOKUP(Vendas[[#This Row],[ID Vendedor]],Vendedores[ID],Vendedores[Setor])</f>
        <v>AB</v>
      </c>
      <c r="D5900" s="7" t="s">
        <v>36</v>
      </c>
      <c r="E5900" t="str">
        <f>_xlfn.XLOOKUP(Vendas[[#This Row],[ID Item Vendido]],Agregado[ID],Agregado[Produto])</f>
        <v>Borracha vulcanizada em manta</v>
      </c>
      <c r="F5900" s="39">
        <v>46226</v>
      </c>
      <c r="G5900" s="7">
        <v>61</v>
      </c>
      <c r="H5900" s="3">
        <f>_xlfn.XLOOKUP(Vendas[[#This Row],[ID Item Vendido]],Agregado[ID],Agregado[Revenda])</f>
        <v>7.8</v>
      </c>
      <c r="I5900" s="3">
        <f>Vendas[[#This Row],[Valor Unitário]]*Vendas[[#This Row],[Qnt Vendida]]</f>
        <v>475.8</v>
      </c>
      <c r="J5900" s="3">
        <f>Vendas[[#This Row],[Valor da Venda]]-(_xlfn.XLOOKUP(Vendas[[#This Row],[ID Item Vendido]],Agregado[ID],Agregado[Custo])*Vendas[[#This Row],[Qnt Vendida]])</f>
        <v>109.80000000000001</v>
      </c>
      <c r="K5900" s="70">
        <f>Vendas[[#This Row],[Lucro da Venda]]/Vendas[[#This Row],[Valor da Venda]]</f>
        <v>0.23076923076923078</v>
      </c>
      <c r="L5900" s="3">
        <f>_xlfn.IFS(Vendas[[#This Row],[Margem de Lucro (%)]]&lt;15%,Vendas[[#This Row],[Valor da Venda]]*3%,Vendas[[#This Row],[Margem de Lucro (%)]]&lt;=20%,Vendas[[#This Row],[Valor da Venda]]*4.5%,TRUE,Vendas[[#This Row],[Valor da Venda]]*6%)</f>
        <v>28.547999999999998</v>
      </c>
      <c r="M5900"/>
    </row>
    <row r="5901" spans="1:13" x14ac:dyDescent="0.3">
      <c r="A5901" s="7">
        <v>400250</v>
      </c>
      <c r="B5901" t="str">
        <f>_xlfn.XLOOKUP(Vendas[[#This Row],[ID Vendedor]],Vendedores[ID],Vendedores[Nome])</f>
        <v>Larissa</v>
      </c>
      <c r="C5901" s="7" t="str">
        <f>_xlfn.XLOOKUP(Vendas[[#This Row],[ID Vendedor]],Vendedores[ID],Vendedores[Setor])</f>
        <v>AB</v>
      </c>
      <c r="D5901" s="7" t="s">
        <v>12</v>
      </c>
      <c r="E5901" t="str">
        <f>_xlfn.XLOOKUP(Vendas[[#This Row],[ID Item Vendido]],Agregado[ID],Agregado[Produto])</f>
        <v>Grânulo de plástico reciclado refinado</v>
      </c>
      <c r="F5901" s="39">
        <v>46226</v>
      </c>
      <c r="G5901" s="7">
        <v>35</v>
      </c>
      <c r="H5901" s="3">
        <f>_xlfn.XLOOKUP(Vendas[[#This Row],[ID Item Vendido]],Agregado[ID],Agregado[Revenda])</f>
        <v>4.7</v>
      </c>
      <c r="I5901" s="3">
        <f>Vendas[[#This Row],[Valor Unitário]]*Vendas[[#This Row],[Qnt Vendida]]</f>
        <v>164.5</v>
      </c>
      <c r="J5901" s="3">
        <f>Vendas[[#This Row],[Valor da Venda]]-(_xlfn.XLOOKUP(Vendas[[#This Row],[ID Item Vendido]],Agregado[ID],Agregado[Custo])*Vendas[[#This Row],[Qnt Vendida]])</f>
        <v>42</v>
      </c>
      <c r="K5901" s="70">
        <f>Vendas[[#This Row],[Lucro da Venda]]/Vendas[[#This Row],[Valor da Venda]]</f>
        <v>0.25531914893617019</v>
      </c>
      <c r="L5901" s="3">
        <f>_xlfn.IFS(Vendas[[#This Row],[Margem de Lucro (%)]]&lt;15%,Vendas[[#This Row],[Valor da Venda]]*3%,Vendas[[#This Row],[Margem de Lucro (%)]]&lt;=20%,Vendas[[#This Row],[Valor da Venda]]*4.5%,TRUE,Vendas[[#This Row],[Valor da Venda]]*6%)</f>
        <v>9.8699999999999992</v>
      </c>
      <c r="M5901"/>
    </row>
    <row r="5902" spans="1:13" x14ac:dyDescent="0.3">
      <c r="A5902" s="7">
        <v>400244</v>
      </c>
      <c r="B5902" t="str">
        <f>_xlfn.XLOOKUP(Vendas[[#This Row],[ID Vendedor]],Vendedores[ID],Vendedores[Nome])</f>
        <v>Camila</v>
      </c>
      <c r="C5902" s="7" t="str">
        <f>_xlfn.XLOOKUP(Vendas[[#This Row],[ID Vendedor]],Vendedores[ID],Vendedores[Setor])</f>
        <v>AHD</v>
      </c>
      <c r="D5902" s="7" t="s">
        <v>30</v>
      </c>
      <c r="E5902" t="str">
        <f>_xlfn.XLOOKUP(Vendas[[#This Row],[ID Item Vendido]],Agregado[ID],Agregado[Produto])</f>
        <v>Estrutura metálica soldada</v>
      </c>
      <c r="F5902" s="39">
        <v>46227</v>
      </c>
      <c r="G5902" s="7">
        <v>5</v>
      </c>
      <c r="H5902" s="3">
        <f>_xlfn.XLOOKUP(Vendas[[#This Row],[ID Item Vendido]],Agregado[ID],Agregado[Revenda])</f>
        <v>400</v>
      </c>
      <c r="I5902" s="3">
        <f>Vendas[[#This Row],[Valor Unitário]]*Vendas[[#This Row],[Qnt Vendida]]</f>
        <v>2000</v>
      </c>
      <c r="J5902" s="3">
        <f>Vendas[[#This Row],[Valor da Venda]]-(_xlfn.XLOOKUP(Vendas[[#This Row],[ID Item Vendido]],Agregado[ID],Agregado[Custo])*Vendas[[#This Row],[Qnt Vendida]])</f>
        <v>400</v>
      </c>
      <c r="K5902" s="70">
        <f>Vendas[[#This Row],[Lucro da Venda]]/Vendas[[#This Row],[Valor da Venda]]</f>
        <v>0.2</v>
      </c>
      <c r="L5902" s="3">
        <f>_xlfn.IFS(Vendas[[#This Row],[Margem de Lucro (%)]]&lt;15%,Vendas[[#This Row],[Valor da Venda]]*3%,Vendas[[#This Row],[Margem de Lucro (%)]]&lt;=20%,Vendas[[#This Row],[Valor da Venda]]*4.5%,TRUE,Vendas[[#This Row],[Valor da Venda]]*6%)</f>
        <v>90</v>
      </c>
      <c r="M5902"/>
    </row>
    <row r="5903" spans="1:13" x14ac:dyDescent="0.3">
      <c r="A5903" s="7">
        <v>400249</v>
      </c>
      <c r="B5903" t="str">
        <f>_xlfn.XLOOKUP(Vendas[[#This Row],[ID Vendedor]],Vendedores[ID],Vendedores[Nome])</f>
        <v>Bruno</v>
      </c>
      <c r="C5903" s="7" t="str">
        <f>_xlfn.XLOOKUP(Vendas[[#This Row],[ID Vendedor]],Vendedores[ID],Vendedores[Setor])</f>
        <v>CM</v>
      </c>
      <c r="D5903" s="7" t="s">
        <v>43</v>
      </c>
      <c r="E5903" t="str">
        <f>_xlfn.XLOOKUP(Vendas[[#This Row],[ID Item Vendido]],Agregado[ID],Agregado[Produto])</f>
        <v>Madeira Bruta (Tora)</v>
      </c>
      <c r="F5903" s="39">
        <v>46227</v>
      </c>
      <c r="G5903" s="7">
        <v>9</v>
      </c>
      <c r="H5903" s="3">
        <f>_xlfn.XLOOKUP(Vendas[[#This Row],[ID Item Vendido]],Agregado[ID],Agregado[Revenda])</f>
        <v>212</v>
      </c>
      <c r="I5903" s="3">
        <f>Vendas[[#This Row],[Valor Unitário]]*Vendas[[#This Row],[Qnt Vendida]]</f>
        <v>1908</v>
      </c>
      <c r="J5903" s="3">
        <f>Vendas[[#This Row],[Valor da Venda]]-(_xlfn.XLOOKUP(Vendas[[#This Row],[ID Item Vendido]],Agregado[ID],Agregado[Custo])*Vendas[[#This Row],[Qnt Vendida]])</f>
        <v>288</v>
      </c>
      <c r="K5903" s="70">
        <f>Vendas[[#This Row],[Lucro da Venda]]/Vendas[[#This Row],[Valor da Venda]]</f>
        <v>0.15094339622641509</v>
      </c>
      <c r="L5903" s="3">
        <f>_xlfn.IFS(Vendas[[#This Row],[Margem de Lucro (%)]]&lt;15%,Vendas[[#This Row],[Valor da Venda]]*3%,Vendas[[#This Row],[Margem de Lucro (%)]]&lt;=20%,Vendas[[#This Row],[Valor da Venda]]*4.5%,TRUE,Vendas[[#This Row],[Valor da Venda]]*6%)</f>
        <v>85.86</v>
      </c>
      <c r="M5903"/>
    </row>
    <row r="5904" spans="1:13" x14ac:dyDescent="0.3">
      <c r="A5904" s="7">
        <v>400249</v>
      </c>
      <c r="B5904" t="str">
        <f>_xlfn.XLOOKUP(Vendas[[#This Row],[ID Vendedor]],Vendedores[ID],Vendedores[Nome])</f>
        <v>Bruno</v>
      </c>
      <c r="C5904" s="7" t="str">
        <f>_xlfn.XLOOKUP(Vendas[[#This Row],[ID Vendedor]],Vendedores[ID],Vendedores[Setor])</f>
        <v>CM</v>
      </c>
      <c r="D5904" s="7" t="s">
        <v>45</v>
      </c>
      <c r="E5904" t="str">
        <f>_xlfn.XLOOKUP(Vendas[[#This Row],[ID Item Vendido]],Agregado[ID],Agregado[Produto])</f>
        <v>Viga de madeira tratada 4m</v>
      </c>
      <c r="F5904" s="39">
        <v>46227</v>
      </c>
      <c r="G5904" s="7">
        <v>17</v>
      </c>
      <c r="H5904" s="3">
        <f>_xlfn.XLOOKUP(Vendas[[#This Row],[ID Item Vendido]],Agregado[ID],Agregado[Revenda])</f>
        <v>66</v>
      </c>
      <c r="I5904" s="3">
        <f>Vendas[[#This Row],[Valor Unitário]]*Vendas[[#This Row],[Qnt Vendida]]</f>
        <v>1122</v>
      </c>
      <c r="J5904" s="3">
        <f>Vendas[[#This Row],[Valor da Venda]]-(_xlfn.XLOOKUP(Vendas[[#This Row],[ID Item Vendido]],Agregado[ID],Agregado[Custo])*Vendas[[#This Row],[Qnt Vendida]])</f>
        <v>187</v>
      </c>
      <c r="K5904" s="70">
        <f>Vendas[[#This Row],[Lucro da Venda]]/Vendas[[#This Row],[Valor da Venda]]</f>
        <v>0.16666666666666666</v>
      </c>
      <c r="L5904" s="3">
        <f>_xlfn.IFS(Vendas[[#This Row],[Margem de Lucro (%)]]&lt;15%,Vendas[[#This Row],[Valor da Venda]]*3%,Vendas[[#This Row],[Margem de Lucro (%)]]&lt;=20%,Vendas[[#This Row],[Valor da Venda]]*4.5%,TRUE,Vendas[[#This Row],[Valor da Venda]]*6%)</f>
        <v>50.489999999999995</v>
      </c>
      <c r="M5904"/>
    </row>
    <row r="5905" spans="1:13" x14ac:dyDescent="0.3">
      <c r="A5905" s="7">
        <v>400244</v>
      </c>
      <c r="B5905" t="str">
        <f>_xlfn.XLOOKUP(Vendas[[#This Row],[ID Vendedor]],Vendedores[ID],Vendedores[Nome])</f>
        <v>Camila</v>
      </c>
      <c r="C5905" s="7" t="str">
        <f>_xlfn.XLOOKUP(Vendas[[#This Row],[ID Vendedor]],Vendedores[ID],Vendedores[Setor])</f>
        <v>AHD</v>
      </c>
      <c r="D5905" s="7" t="s">
        <v>9</v>
      </c>
      <c r="E5905" t="str">
        <f>_xlfn.XLOOKUP(Vendas[[#This Row],[ID Item Vendido]],Agregado[ID],Agregado[Produto])</f>
        <v>Barra de aço simples</v>
      </c>
      <c r="F5905" s="39">
        <v>46227</v>
      </c>
      <c r="G5905" s="7">
        <v>129</v>
      </c>
      <c r="H5905" s="3">
        <f>_xlfn.XLOOKUP(Vendas[[#This Row],[ID Item Vendido]],Agregado[ID],Agregado[Revenda])</f>
        <v>6.7</v>
      </c>
      <c r="I5905" s="3">
        <f>Vendas[[#This Row],[Valor Unitário]]*Vendas[[#This Row],[Qnt Vendida]]</f>
        <v>864.30000000000007</v>
      </c>
      <c r="J5905" s="3">
        <f>Vendas[[#This Row],[Valor da Venda]]-(_xlfn.XLOOKUP(Vendas[[#This Row],[ID Item Vendido]],Agregado[ID],Agregado[Custo])*Vendas[[#This Row],[Qnt Vendida]])</f>
        <v>116.10000000000014</v>
      </c>
      <c r="K5905" s="70">
        <f>Vendas[[#This Row],[Lucro da Venda]]/Vendas[[#This Row],[Valor da Venda]]</f>
        <v>0.13432835820895536</v>
      </c>
      <c r="L5905" s="3">
        <f>_xlfn.IFS(Vendas[[#This Row],[Margem de Lucro (%)]]&lt;15%,Vendas[[#This Row],[Valor da Venda]]*3%,Vendas[[#This Row],[Margem de Lucro (%)]]&lt;=20%,Vendas[[#This Row],[Valor da Venda]]*4.5%,TRUE,Vendas[[#This Row],[Valor da Venda]]*6%)</f>
        <v>25.929000000000002</v>
      </c>
      <c r="M5905"/>
    </row>
    <row r="5906" spans="1:13" x14ac:dyDescent="0.3">
      <c r="A5906" s="7">
        <v>400248</v>
      </c>
      <c r="B5906" t="str">
        <f>_xlfn.XLOOKUP(Vendas[[#This Row],[ID Vendedor]],Vendedores[ID],Vendedores[Nome])</f>
        <v>Patrícia</v>
      </c>
      <c r="C5906" s="7" t="str">
        <f>_xlfn.XLOOKUP(Vendas[[#This Row],[ID Vendedor]],Vendedores[ID],Vendedores[Setor])</f>
        <v>CM</v>
      </c>
      <c r="D5906" s="7" t="s">
        <v>43</v>
      </c>
      <c r="E5906" t="str">
        <f>_xlfn.XLOOKUP(Vendas[[#This Row],[ID Item Vendido]],Agregado[ID],Agregado[Produto])</f>
        <v>Madeira Bruta (Tora)</v>
      </c>
      <c r="F5906" s="39">
        <v>46228</v>
      </c>
      <c r="G5906" s="7">
        <v>14</v>
      </c>
      <c r="H5906" s="3">
        <f>_xlfn.XLOOKUP(Vendas[[#This Row],[ID Item Vendido]],Agregado[ID],Agregado[Revenda])</f>
        <v>212</v>
      </c>
      <c r="I5906" s="3">
        <f>Vendas[[#This Row],[Valor Unitário]]*Vendas[[#This Row],[Qnt Vendida]]</f>
        <v>2968</v>
      </c>
      <c r="J5906" s="3">
        <f>Vendas[[#This Row],[Valor da Venda]]-(_xlfn.XLOOKUP(Vendas[[#This Row],[ID Item Vendido]],Agregado[ID],Agregado[Custo])*Vendas[[#This Row],[Qnt Vendida]])</f>
        <v>448</v>
      </c>
      <c r="K5906" s="70">
        <f>Vendas[[#This Row],[Lucro da Venda]]/Vendas[[#This Row],[Valor da Venda]]</f>
        <v>0.15094339622641509</v>
      </c>
      <c r="L5906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5906"/>
    </row>
    <row r="5907" spans="1:13" x14ac:dyDescent="0.3">
      <c r="A5907" s="7">
        <v>400245</v>
      </c>
      <c r="B5907" t="str">
        <f>_xlfn.XLOOKUP(Vendas[[#This Row],[ID Vendedor]],Vendedores[ID],Vendedores[Nome])</f>
        <v>Thiago</v>
      </c>
      <c r="C5907" s="7" t="str">
        <f>_xlfn.XLOOKUP(Vendas[[#This Row],[ID Vendedor]],Vendedores[ID],Vendedores[Setor])</f>
        <v>AHD</v>
      </c>
      <c r="D5907" s="7" t="s">
        <v>18</v>
      </c>
      <c r="E5907" t="str">
        <f>_xlfn.XLOOKUP(Vendas[[#This Row],[ID Item Vendido]],Agregado[ID],Agregado[Produto])</f>
        <v>Peça forjada sob encomenda</v>
      </c>
      <c r="F5907" s="39">
        <v>46228</v>
      </c>
      <c r="G5907" s="7">
        <v>6</v>
      </c>
      <c r="H5907" s="3">
        <f>_xlfn.XLOOKUP(Vendas[[#This Row],[ID Item Vendido]],Agregado[ID],Agregado[Revenda])</f>
        <v>264.60000000000002</v>
      </c>
      <c r="I5907" s="3">
        <f>Vendas[[#This Row],[Valor Unitário]]*Vendas[[#This Row],[Qnt Vendida]]</f>
        <v>1587.6000000000001</v>
      </c>
      <c r="J5907" s="3">
        <f>Vendas[[#This Row],[Valor da Venda]]-(_xlfn.XLOOKUP(Vendas[[#This Row],[ID Item Vendido]],Agregado[ID],Agregado[Custo])*Vendas[[#This Row],[Qnt Vendida]])</f>
        <v>87.600000000000136</v>
      </c>
      <c r="K5907" s="70">
        <f>Vendas[[#This Row],[Lucro da Venda]]/Vendas[[#This Row],[Valor da Venda]]</f>
        <v>5.5177626606198113E-2</v>
      </c>
      <c r="L5907" s="3">
        <f>_xlfn.IFS(Vendas[[#This Row],[Margem de Lucro (%)]]&lt;15%,Vendas[[#This Row],[Valor da Venda]]*3%,Vendas[[#This Row],[Margem de Lucro (%)]]&lt;=20%,Vendas[[#This Row],[Valor da Venda]]*4.5%,TRUE,Vendas[[#This Row],[Valor da Venda]]*6%)</f>
        <v>47.628</v>
      </c>
      <c r="M5907"/>
    </row>
    <row r="5908" spans="1:13" x14ac:dyDescent="0.3">
      <c r="A5908" s="7">
        <v>400246</v>
      </c>
      <c r="B5908" t="str">
        <f>_xlfn.XLOOKUP(Vendas[[#This Row],[ID Vendedor]],Vendedores[ID],Vendedores[Nome])</f>
        <v>Juliana</v>
      </c>
      <c r="C5908" s="7" t="str">
        <f>_xlfn.XLOOKUP(Vendas[[#This Row],[ID Vendedor]],Vendedores[ID],Vendedores[Setor])</f>
        <v>AHD</v>
      </c>
      <c r="D5908" s="7" t="s">
        <v>44</v>
      </c>
      <c r="E5908" t="str">
        <f>_xlfn.XLOOKUP(Vendas[[#This Row],[ID Item Vendido]],Agregado[ID],Agregado[Produto])</f>
        <v>Liga metálica especial</v>
      </c>
      <c r="F5908" s="39">
        <v>46228</v>
      </c>
      <c r="G5908" s="7">
        <v>18</v>
      </c>
      <c r="H5908" s="3">
        <f>_xlfn.XLOOKUP(Vendas[[#This Row],[ID Item Vendido]],Agregado[ID],Agregado[Revenda])</f>
        <v>32.5</v>
      </c>
      <c r="I5908" s="3">
        <f>Vendas[[#This Row],[Valor Unitário]]*Vendas[[#This Row],[Qnt Vendida]]</f>
        <v>585</v>
      </c>
      <c r="J5908" s="3">
        <f>Vendas[[#This Row],[Valor da Venda]]-(_xlfn.XLOOKUP(Vendas[[#This Row],[ID Item Vendido]],Agregado[ID],Agregado[Custo])*Vendas[[#This Row],[Qnt Vendida]])</f>
        <v>135</v>
      </c>
      <c r="K5908" s="70">
        <f>Vendas[[#This Row],[Lucro da Venda]]/Vendas[[#This Row],[Valor da Venda]]</f>
        <v>0.23076923076923078</v>
      </c>
      <c r="L5908" s="3">
        <f>_xlfn.IFS(Vendas[[#This Row],[Margem de Lucro (%)]]&lt;15%,Vendas[[#This Row],[Valor da Venda]]*3%,Vendas[[#This Row],[Margem de Lucro (%)]]&lt;=20%,Vendas[[#This Row],[Valor da Venda]]*4.5%,TRUE,Vendas[[#This Row],[Valor da Venda]]*6%)</f>
        <v>35.1</v>
      </c>
      <c r="M5908"/>
    </row>
    <row r="5909" spans="1:13" x14ac:dyDescent="0.3">
      <c r="A5909" s="7">
        <v>400246</v>
      </c>
      <c r="B5909" t="str">
        <f>_xlfn.XLOOKUP(Vendas[[#This Row],[ID Vendedor]],Vendedores[ID],Vendedores[Nome])</f>
        <v>Juliana</v>
      </c>
      <c r="C5909" s="7" t="str">
        <f>_xlfn.XLOOKUP(Vendas[[#This Row],[ID Vendedor]],Vendedores[ID],Vendedores[Setor])</f>
        <v>AHD</v>
      </c>
      <c r="D5909" s="7" t="s">
        <v>28</v>
      </c>
      <c r="E5909" t="str">
        <f>_xlfn.XLOOKUP(Vendas[[#This Row],[ID Item Vendido]],Agregado[ID],Agregado[Produto])</f>
        <v>Peça usinada CNC</v>
      </c>
      <c r="F5909" s="39">
        <v>46228</v>
      </c>
      <c r="G5909" s="7">
        <v>1</v>
      </c>
      <c r="H5909" s="3">
        <f>_xlfn.XLOOKUP(Vendas[[#This Row],[ID Item Vendido]],Agregado[ID],Agregado[Revenda])</f>
        <v>192</v>
      </c>
      <c r="I5909" s="3">
        <f>Vendas[[#This Row],[Valor Unitário]]*Vendas[[#This Row],[Qnt Vendida]]</f>
        <v>192</v>
      </c>
      <c r="J5909" s="3">
        <f>Vendas[[#This Row],[Valor da Venda]]-(_xlfn.XLOOKUP(Vendas[[#This Row],[ID Item Vendido]],Agregado[ID],Agregado[Custo])*Vendas[[#This Row],[Qnt Vendida]])</f>
        <v>42</v>
      </c>
      <c r="K5909" s="70">
        <f>Vendas[[#This Row],[Lucro da Venda]]/Vendas[[#This Row],[Valor da Venda]]</f>
        <v>0.21875</v>
      </c>
      <c r="L5909" s="3">
        <f>_xlfn.IFS(Vendas[[#This Row],[Margem de Lucro (%)]]&lt;15%,Vendas[[#This Row],[Valor da Venda]]*3%,Vendas[[#This Row],[Margem de Lucro (%)]]&lt;=20%,Vendas[[#This Row],[Valor da Venda]]*4.5%,TRUE,Vendas[[#This Row],[Valor da Venda]]*6%)</f>
        <v>11.52</v>
      </c>
      <c r="M5909"/>
    </row>
    <row r="5910" spans="1:13" x14ac:dyDescent="0.3">
      <c r="A5910" s="7">
        <v>400253</v>
      </c>
      <c r="B5910" t="str">
        <f>_xlfn.XLOOKUP(Vendas[[#This Row],[ID Vendedor]],Vendedores[ID],Vendedores[Nome])</f>
        <v>Gustavo</v>
      </c>
      <c r="C5910" s="7" t="str">
        <f>_xlfn.XLOOKUP(Vendas[[#This Row],[ID Vendedor]],Vendedores[ID],Vendedores[Setor])</f>
        <v>SC</v>
      </c>
      <c r="D5910" s="7" t="s">
        <v>14</v>
      </c>
      <c r="E5910" t="str">
        <f>_xlfn.XLOOKUP(Vendas[[#This Row],[ID Item Vendido]],Agregado[ID],Agregado[Produto])</f>
        <v>Barril de plástico 200L</v>
      </c>
      <c r="F5910" s="39">
        <v>46229</v>
      </c>
      <c r="G5910" s="7">
        <v>17</v>
      </c>
      <c r="H5910" s="3">
        <f>_xlfn.XLOOKUP(Vendas[[#This Row],[ID Item Vendido]],Agregado[ID],Agregado[Revenda])</f>
        <v>114</v>
      </c>
      <c r="I5910" s="3">
        <f>Vendas[[#This Row],[Valor Unitário]]*Vendas[[#This Row],[Qnt Vendida]]</f>
        <v>1938</v>
      </c>
      <c r="J5910" s="3">
        <f>Vendas[[#This Row],[Valor da Venda]]-(_xlfn.XLOOKUP(Vendas[[#This Row],[ID Item Vendido]],Agregado[ID],Agregado[Custo])*Vendas[[#This Row],[Qnt Vendida]])</f>
        <v>323</v>
      </c>
      <c r="K5910" s="70">
        <f>Vendas[[#This Row],[Lucro da Venda]]/Vendas[[#This Row],[Valor da Venda]]</f>
        <v>0.16666666666666666</v>
      </c>
      <c r="L5910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5910"/>
    </row>
    <row r="5911" spans="1:13" x14ac:dyDescent="0.3">
      <c r="A5911" s="7">
        <v>400251</v>
      </c>
      <c r="B5911" t="str">
        <f>_xlfn.XLOOKUP(Vendas[[#This Row],[ID Vendedor]],Vendedores[ID],Vendedores[Nome])</f>
        <v>Diego</v>
      </c>
      <c r="C5911" s="7" t="str">
        <f>_xlfn.XLOOKUP(Vendas[[#This Row],[ID Vendedor]],Vendedores[ID],Vendedores[Setor])</f>
        <v>AB</v>
      </c>
      <c r="D5911" s="7" t="s">
        <v>24</v>
      </c>
      <c r="E5911" t="str">
        <f>_xlfn.XLOOKUP(Vendas[[#This Row],[ID Item Vendido]],Agregado[ID],Agregado[Produto])</f>
        <v>Resina plástica PET purificada saco de 25kg</v>
      </c>
      <c r="F5911" s="39">
        <v>46229</v>
      </c>
      <c r="G5911" s="7">
        <v>9</v>
      </c>
      <c r="H5911" s="3">
        <f>_xlfn.XLOOKUP(Vendas[[#This Row],[ID Item Vendido]],Agregado[ID],Agregado[Revenda])</f>
        <v>119</v>
      </c>
      <c r="I5911" s="3">
        <f>Vendas[[#This Row],[Valor Unitário]]*Vendas[[#This Row],[Qnt Vendida]]</f>
        <v>1071</v>
      </c>
      <c r="J5911" s="3">
        <f>Vendas[[#This Row],[Valor da Venda]]-(_xlfn.XLOOKUP(Vendas[[#This Row],[ID Item Vendido]],Agregado[ID],Agregado[Custo])*Vendas[[#This Row],[Qnt Vendida]])</f>
        <v>306</v>
      </c>
      <c r="K5911" s="70">
        <f>Vendas[[#This Row],[Lucro da Venda]]/Vendas[[#This Row],[Valor da Venda]]</f>
        <v>0.2857142857142857</v>
      </c>
      <c r="L5911" s="3">
        <f>_xlfn.IFS(Vendas[[#This Row],[Margem de Lucro (%)]]&lt;15%,Vendas[[#This Row],[Valor da Venda]]*3%,Vendas[[#This Row],[Margem de Lucro (%)]]&lt;=20%,Vendas[[#This Row],[Valor da Venda]]*4.5%,TRUE,Vendas[[#This Row],[Valor da Venda]]*6%)</f>
        <v>64.259999999999991</v>
      </c>
      <c r="M5911"/>
    </row>
    <row r="5912" spans="1:13" x14ac:dyDescent="0.3">
      <c r="A5912" s="7">
        <v>400249</v>
      </c>
      <c r="B5912" t="str">
        <f>_xlfn.XLOOKUP(Vendas[[#This Row],[ID Vendedor]],Vendedores[ID],Vendedores[Nome])</f>
        <v>Bruno</v>
      </c>
      <c r="C5912" s="7" t="str">
        <f>_xlfn.XLOOKUP(Vendas[[#This Row],[ID Vendedor]],Vendedores[ID],Vendedores[Setor])</f>
        <v>CM</v>
      </c>
      <c r="D5912" s="7" t="s">
        <v>32</v>
      </c>
      <c r="E5912" t="str">
        <f>_xlfn.XLOOKUP(Vendas[[#This Row],[ID Item Vendido]],Agregado[ID],Agregado[Produto])</f>
        <v>Tábua tratada e cortada 3m</v>
      </c>
      <c r="F5912" s="39">
        <v>46229</v>
      </c>
      <c r="G5912" s="7">
        <v>13</v>
      </c>
      <c r="H5912" s="3">
        <f>_xlfn.XLOOKUP(Vendas[[#This Row],[ID Item Vendido]],Agregado[ID],Agregado[Revenda])</f>
        <v>39</v>
      </c>
      <c r="I5912" s="3">
        <f>Vendas[[#This Row],[Valor Unitário]]*Vendas[[#This Row],[Qnt Vendida]]</f>
        <v>507</v>
      </c>
      <c r="J5912" s="3">
        <f>Vendas[[#This Row],[Valor da Venda]]-(_xlfn.XLOOKUP(Vendas[[#This Row],[ID Item Vendido]],Agregado[ID],Agregado[Custo])*Vendas[[#This Row],[Qnt Vendida]])</f>
        <v>91</v>
      </c>
      <c r="K5912" s="70">
        <f>Vendas[[#This Row],[Lucro da Venda]]/Vendas[[#This Row],[Valor da Venda]]</f>
        <v>0.17948717948717949</v>
      </c>
      <c r="L5912" s="3">
        <f>_xlfn.IFS(Vendas[[#This Row],[Margem de Lucro (%)]]&lt;15%,Vendas[[#This Row],[Valor da Venda]]*3%,Vendas[[#This Row],[Margem de Lucro (%)]]&lt;=20%,Vendas[[#This Row],[Valor da Venda]]*4.5%,TRUE,Vendas[[#This Row],[Valor da Venda]]*6%)</f>
        <v>22.814999999999998</v>
      </c>
      <c r="M5912"/>
    </row>
    <row r="5913" spans="1:13" x14ac:dyDescent="0.3">
      <c r="A5913" s="7">
        <v>400244</v>
      </c>
      <c r="B5913" t="str">
        <f>_xlfn.XLOOKUP(Vendas[[#This Row],[ID Vendedor]],Vendedores[ID],Vendedores[Nome])</f>
        <v>Camila</v>
      </c>
      <c r="C5913" s="7" t="str">
        <f>_xlfn.XLOOKUP(Vendas[[#This Row],[ID Vendedor]],Vendedores[ID],Vendedores[Setor])</f>
        <v>AHD</v>
      </c>
      <c r="D5913" s="7" t="s">
        <v>30</v>
      </c>
      <c r="E5913" t="str">
        <f>_xlfn.XLOOKUP(Vendas[[#This Row],[ID Item Vendido]],Agregado[ID],Agregado[Produto])</f>
        <v>Estrutura metálica soldada</v>
      </c>
      <c r="F5913" s="39">
        <v>46230</v>
      </c>
      <c r="G5913" s="7">
        <v>8</v>
      </c>
      <c r="H5913" s="3">
        <f>_xlfn.XLOOKUP(Vendas[[#This Row],[ID Item Vendido]],Agregado[ID],Agregado[Revenda])</f>
        <v>400</v>
      </c>
      <c r="I5913" s="3">
        <f>Vendas[[#This Row],[Valor Unitário]]*Vendas[[#This Row],[Qnt Vendida]]</f>
        <v>3200</v>
      </c>
      <c r="J5913" s="3">
        <f>Vendas[[#This Row],[Valor da Venda]]-(_xlfn.XLOOKUP(Vendas[[#This Row],[ID Item Vendido]],Agregado[ID],Agregado[Custo])*Vendas[[#This Row],[Qnt Vendida]])</f>
        <v>640</v>
      </c>
      <c r="K5913" s="70">
        <f>Vendas[[#This Row],[Lucro da Venda]]/Vendas[[#This Row],[Valor da Venda]]</f>
        <v>0.2</v>
      </c>
      <c r="L591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5913"/>
    </row>
    <row r="5914" spans="1:13" x14ac:dyDescent="0.3">
      <c r="A5914" s="7">
        <v>400241</v>
      </c>
      <c r="B5914" t="str">
        <f>_xlfn.XLOOKUP(Vendas[[#This Row],[ID Vendedor]],Vendedores[ID],Vendedores[Nome])</f>
        <v>Rodrigo</v>
      </c>
      <c r="C5914" s="7" t="str">
        <f>_xlfn.XLOOKUP(Vendas[[#This Row],[ID Vendedor]],Vendedores[ID],Vendedores[Setor])</f>
        <v>FM</v>
      </c>
      <c r="D5914" s="7" t="s">
        <v>27</v>
      </c>
      <c r="E5914" t="str">
        <f>_xlfn.XLOOKUP(Vendas[[#This Row],[ID Item Vendido]],Agregado[ID],Agregado[Produto])</f>
        <v>Chapa de metal lisa 1x2m</v>
      </c>
      <c r="F5914" s="39">
        <v>46230</v>
      </c>
      <c r="G5914" s="7">
        <v>26</v>
      </c>
      <c r="H5914" s="3">
        <f>_xlfn.XLOOKUP(Vendas[[#This Row],[ID Item Vendido]],Agregado[ID],Agregado[Revenda])</f>
        <v>52</v>
      </c>
      <c r="I5914" s="3">
        <f>Vendas[[#This Row],[Valor Unitário]]*Vendas[[#This Row],[Qnt Vendida]]</f>
        <v>1352</v>
      </c>
      <c r="J5914" s="3">
        <f>Vendas[[#This Row],[Valor da Venda]]-(_xlfn.XLOOKUP(Vendas[[#This Row],[ID Item Vendido]],Agregado[ID],Agregado[Custo])*Vendas[[#This Row],[Qnt Vendida]])</f>
        <v>182</v>
      </c>
      <c r="K5914" s="70">
        <f>Vendas[[#This Row],[Lucro da Venda]]/Vendas[[#This Row],[Valor da Venda]]</f>
        <v>0.13461538461538461</v>
      </c>
      <c r="L5914" s="3">
        <f>_xlfn.IFS(Vendas[[#This Row],[Margem de Lucro (%)]]&lt;15%,Vendas[[#This Row],[Valor da Venda]]*3%,Vendas[[#This Row],[Margem de Lucro (%)]]&lt;=20%,Vendas[[#This Row],[Valor da Venda]]*4.5%,TRUE,Vendas[[#This Row],[Valor da Venda]]*6%)</f>
        <v>40.559999999999995</v>
      </c>
      <c r="M5914"/>
    </row>
    <row r="5915" spans="1:13" x14ac:dyDescent="0.3">
      <c r="A5915" s="7">
        <v>400245</v>
      </c>
      <c r="B5915" t="str">
        <f>_xlfn.XLOOKUP(Vendas[[#This Row],[ID Vendedor]],Vendedores[ID],Vendedores[Nome])</f>
        <v>Thiago</v>
      </c>
      <c r="C5915" s="7" t="str">
        <f>_xlfn.XLOOKUP(Vendas[[#This Row],[ID Vendedor]],Vendedores[ID],Vendedores[Setor])</f>
        <v>AHD</v>
      </c>
      <c r="D5915" s="7" t="s">
        <v>44</v>
      </c>
      <c r="E5915" t="str">
        <f>_xlfn.XLOOKUP(Vendas[[#This Row],[ID Item Vendido]],Agregado[ID],Agregado[Produto])</f>
        <v>Liga metálica especial</v>
      </c>
      <c r="F5915" s="39">
        <v>46230</v>
      </c>
      <c r="G5915" s="7">
        <v>6</v>
      </c>
      <c r="H5915" s="3">
        <f>_xlfn.XLOOKUP(Vendas[[#This Row],[ID Item Vendido]],Agregado[ID],Agregado[Revenda])</f>
        <v>32.5</v>
      </c>
      <c r="I5915" s="3">
        <f>Vendas[[#This Row],[Valor Unitário]]*Vendas[[#This Row],[Qnt Vendida]]</f>
        <v>195</v>
      </c>
      <c r="J5915" s="3">
        <f>Vendas[[#This Row],[Valor da Venda]]-(_xlfn.XLOOKUP(Vendas[[#This Row],[ID Item Vendido]],Agregado[ID],Agregado[Custo])*Vendas[[#This Row],[Qnt Vendida]])</f>
        <v>45</v>
      </c>
      <c r="K5915" s="70">
        <f>Vendas[[#This Row],[Lucro da Venda]]/Vendas[[#This Row],[Valor da Venda]]</f>
        <v>0.23076923076923078</v>
      </c>
      <c r="L5915" s="3">
        <f>_xlfn.IFS(Vendas[[#This Row],[Margem de Lucro (%)]]&lt;15%,Vendas[[#This Row],[Valor da Venda]]*3%,Vendas[[#This Row],[Margem de Lucro (%)]]&lt;=20%,Vendas[[#This Row],[Valor da Venda]]*4.5%,TRUE,Vendas[[#This Row],[Valor da Venda]]*6%)</f>
        <v>11.7</v>
      </c>
      <c r="M5915"/>
    </row>
    <row r="5916" spans="1:13" x14ac:dyDescent="0.3">
      <c r="A5916" s="7">
        <v>400254</v>
      </c>
      <c r="B5916" t="str">
        <f>_xlfn.XLOOKUP(Vendas[[#This Row],[ID Vendedor]],Vendedores[ID],Vendedores[Nome])</f>
        <v>Beatriz</v>
      </c>
      <c r="C5916" s="7" t="str">
        <f>_xlfn.XLOOKUP(Vendas[[#This Row],[ID Vendedor]],Vendedores[ID],Vendedores[Setor])</f>
        <v>SC</v>
      </c>
      <c r="D5916" s="7" t="s">
        <v>41</v>
      </c>
      <c r="E5916" t="str">
        <f>_xlfn.XLOOKUP(Vendas[[#This Row],[ID Item Vendido]],Agregado[ID],Agregado[Produto])</f>
        <v>Palete de madeira reforçado</v>
      </c>
      <c r="F5916" s="39">
        <v>46230</v>
      </c>
      <c r="G5916" s="7">
        <v>1</v>
      </c>
      <c r="H5916" s="3">
        <f>_xlfn.XLOOKUP(Vendas[[#This Row],[ID Item Vendido]],Agregado[ID],Agregado[Revenda])</f>
        <v>131</v>
      </c>
      <c r="I5916" s="3">
        <f>Vendas[[#This Row],[Valor Unitário]]*Vendas[[#This Row],[Qnt Vendida]]</f>
        <v>131</v>
      </c>
      <c r="J5916" s="3">
        <f>Vendas[[#This Row],[Valor da Venda]]-(_xlfn.XLOOKUP(Vendas[[#This Row],[ID Item Vendido]],Agregado[ID],Agregado[Custo])*Vendas[[#This Row],[Qnt Vendida]])</f>
        <v>21</v>
      </c>
      <c r="K5916" s="70">
        <f>Vendas[[#This Row],[Lucro da Venda]]/Vendas[[#This Row],[Valor da Venda]]</f>
        <v>0.16030534351145037</v>
      </c>
      <c r="L5916" s="3">
        <f>_xlfn.IFS(Vendas[[#This Row],[Margem de Lucro (%)]]&lt;15%,Vendas[[#This Row],[Valor da Venda]]*3%,Vendas[[#This Row],[Margem de Lucro (%)]]&lt;=20%,Vendas[[#This Row],[Valor da Venda]]*4.5%,TRUE,Vendas[[#This Row],[Valor da Venda]]*6%)</f>
        <v>5.8949999999999996</v>
      </c>
      <c r="M5916"/>
    </row>
    <row r="5917" spans="1:13" x14ac:dyDescent="0.3">
      <c r="A5917" s="7">
        <v>400255</v>
      </c>
      <c r="B5917" t="str">
        <f>_xlfn.XLOOKUP(Vendas[[#This Row],[ID Vendedor]],Vendedores[ID],Vendedores[Nome])</f>
        <v>Carlos</v>
      </c>
      <c r="C5917" s="7" t="str">
        <f>_xlfn.XLOOKUP(Vendas[[#This Row],[ID Vendedor]],Vendedores[ID],Vendedores[Setor])</f>
        <v>SC</v>
      </c>
      <c r="D5917" s="7" t="s">
        <v>25</v>
      </c>
      <c r="E5917" t="str">
        <f>_xlfn.XLOOKUP(Vendas[[#This Row],[ID Item Vendido]],Agregado[ID],Agregado[Produto])</f>
        <v>Palete de plástico</v>
      </c>
      <c r="F5917" s="39">
        <v>46231</v>
      </c>
      <c r="G5917" s="7">
        <v>9</v>
      </c>
      <c r="H5917" s="3">
        <f>_xlfn.XLOOKUP(Vendas[[#This Row],[ID Item Vendido]],Agregado[ID],Agregado[Revenda])</f>
        <v>70.8</v>
      </c>
      <c r="I5917" s="3">
        <f>Vendas[[#This Row],[Valor Unitário]]*Vendas[[#This Row],[Qnt Vendida]]</f>
        <v>637.19999999999993</v>
      </c>
      <c r="J5917" s="3">
        <f>Vendas[[#This Row],[Valor da Venda]]-(_xlfn.XLOOKUP(Vendas[[#This Row],[ID Item Vendido]],Agregado[ID],Agregado[Custo])*Vendas[[#This Row],[Qnt Vendida]])</f>
        <v>97.199999999999932</v>
      </c>
      <c r="K5917" s="70">
        <f>Vendas[[#This Row],[Lucro da Venda]]/Vendas[[#This Row],[Valor da Venda]]</f>
        <v>0.15254237288135583</v>
      </c>
      <c r="L5917" s="3">
        <f>_xlfn.IFS(Vendas[[#This Row],[Margem de Lucro (%)]]&lt;15%,Vendas[[#This Row],[Valor da Venda]]*3%,Vendas[[#This Row],[Margem de Lucro (%)]]&lt;=20%,Vendas[[#This Row],[Valor da Venda]]*4.5%,TRUE,Vendas[[#This Row],[Valor da Venda]]*6%)</f>
        <v>28.673999999999996</v>
      </c>
      <c r="M5917"/>
    </row>
    <row r="5918" spans="1:13" x14ac:dyDescent="0.3">
      <c r="A5918" s="7">
        <v>400249</v>
      </c>
      <c r="B5918" t="str">
        <f>_xlfn.XLOOKUP(Vendas[[#This Row],[ID Vendedor]],Vendedores[ID],Vendedores[Nome])</f>
        <v>Bruno</v>
      </c>
      <c r="C5918" s="7" t="str">
        <f>_xlfn.XLOOKUP(Vendas[[#This Row],[ID Vendedor]],Vendedores[ID],Vendedores[Setor])</f>
        <v>CM</v>
      </c>
      <c r="D5918" s="7" t="s">
        <v>34</v>
      </c>
      <c r="E5918" t="str">
        <f>_xlfn.XLOOKUP(Vendas[[#This Row],[ID Item Vendido]],Agregado[ID],Agregado[Produto])</f>
        <v>Restos de madeira p/ MDP/OSB saco de 20kg</v>
      </c>
      <c r="F5918" s="39">
        <v>46231</v>
      </c>
      <c r="G5918" s="7">
        <v>27</v>
      </c>
      <c r="H5918" s="3">
        <f>_xlfn.XLOOKUP(Vendas[[#This Row],[ID Item Vendido]],Agregado[ID],Agregado[Revenda])</f>
        <v>13.8</v>
      </c>
      <c r="I5918" s="3">
        <f>Vendas[[#This Row],[Valor Unitário]]*Vendas[[#This Row],[Qnt Vendida]]</f>
        <v>372.6</v>
      </c>
      <c r="J5918" s="3">
        <f>Vendas[[#This Row],[Valor da Venda]]-(_xlfn.XLOOKUP(Vendas[[#This Row],[ID Item Vendido]],Agregado[ID],Agregado[Custo])*Vendas[[#This Row],[Qnt Vendida]])</f>
        <v>48.600000000000023</v>
      </c>
      <c r="K5918" s="70">
        <f>Vendas[[#This Row],[Lucro da Venda]]/Vendas[[#This Row],[Valor da Venda]]</f>
        <v>0.1304347826086957</v>
      </c>
      <c r="L5918" s="3">
        <f>_xlfn.IFS(Vendas[[#This Row],[Margem de Lucro (%)]]&lt;15%,Vendas[[#This Row],[Valor da Venda]]*3%,Vendas[[#This Row],[Margem de Lucro (%)]]&lt;=20%,Vendas[[#This Row],[Valor da Venda]]*4.5%,TRUE,Vendas[[#This Row],[Valor da Venda]]*6%)</f>
        <v>11.178000000000001</v>
      </c>
      <c r="M5918"/>
    </row>
    <row r="5919" spans="1:13" x14ac:dyDescent="0.3">
      <c r="A5919" s="7">
        <v>400252</v>
      </c>
      <c r="B5919" t="str">
        <f>_xlfn.XLOOKUP(Vendas[[#This Row],[ID Vendedor]],Vendedores[ID],Vendedores[Nome])</f>
        <v>Renata</v>
      </c>
      <c r="C5919" s="7" t="str">
        <f>_xlfn.XLOOKUP(Vendas[[#This Row],[ID Vendedor]],Vendedores[ID],Vendedores[Setor])</f>
        <v>AB</v>
      </c>
      <c r="D5919" s="7" t="s">
        <v>12</v>
      </c>
      <c r="E5919" t="str">
        <f>_xlfn.XLOOKUP(Vendas[[#This Row],[ID Item Vendido]],Agregado[ID],Agregado[Produto])</f>
        <v>Grânulo de plástico reciclado refinado</v>
      </c>
      <c r="F5919" s="39">
        <v>46231</v>
      </c>
      <c r="G5919" s="7">
        <v>18</v>
      </c>
      <c r="H5919" s="3">
        <f>_xlfn.XLOOKUP(Vendas[[#This Row],[ID Item Vendido]],Agregado[ID],Agregado[Revenda])</f>
        <v>4.7</v>
      </c>
      <c r="I5919" s="3">
        <f>Vendas[[#This Row],[Valor Unitário]]*Vendas[[#This Row],[Qnt Vendida]]</f>
        <v>84.600000000000009</v>
      </c>
      <c r="J5919" s="3">
        <f>Vendas[[#This Row],[Valor da Venda]]-(_xlfn.XLOOKUP(Vendas[[#This Row],[ID Item Vendido]],Agregado[ID],Agregado[Custo])*Vendas[[#This Row],[Qnt Vendida]])</f>
        <v>21.600000000000009</v>
      </c>
      <c r="K5919" s="70">
        <f>Vendas[[#This Row],[Lucro da Venda]]/Vendas[[#This Row],[Valor da Venda]]</f>
        <v>0.2553191489361703</v>
      </c>
      <c r="L5919" s="3">
        <f>_xlfn.IFS(Vendas[[#This Row],[Margem de Lucro (%)]]&lt;15%,Vendas[[#This Row],[Valor da Venda]]*3%,Vendas[[#This Row],[Margem de Lucro (%)]]&lt;=20%,Vendas[[#This Row],[Valor da Venda]]*4.5%,TRUE,Vendas[[#This Row],[Valor da Venda]]*6%)</f>
        <v>5.0760000000000005</v>
      </c>
      <c r="M5919"/>
    </row>
    <row r="5920" spans="1:13" x14ac:dyDescent="0.3">
      <c r="A5920" s="7">
        <v>400254</v>
      </c>
      <c r="B5920" t="str">
        <f>_xlfn.XLOOKUP(Vendas[[#This Row],[ID Vendedor]],Vendedores[ID],Vendedores[Nome])</f>
        <v>Beatriz</v>
      </c>
      <c r="C5920" s="7" t="str">
        <f>_xlfn.XLOOKUP(Vendas[[#This Row],[ID Vendedor]],Vendedores[ID],Vendedores[Setor])</f>
        <v>SC</v>
      </c>
      <c r="D5920" s="7" t="s">
        <v>14</v>
      </c>
      <c r="E5920" t="str">
        <f>_xlfn.XLOOKUP(Vendas[[#This Row],[ID Item Vendido]],Agregado[ID],Agregado[Produto])</f>
        <v>Barril de plástico 200L</v>
      </c>
      <c r="F5920" s="39">
        <v>46232</v>
      </c>
      <c r="G5920" s="7">
        <v>16</v>
      </c>
      <c r="H5920" s="3">
        <f>_xlfn.XLOOKUP(Vendas[[#This Row],[ID Item Vendido]],Agregado[ID],Agregado[Revenda])</f>
        <v>114</v>
      </c>
      <c r="I5920" s="3">
        <f>Vendas[[#This Row],[Valor Unitário]]*Vendas[[#This Row],[Qnt Vendida]]</f>
        <v>1824</v>
      </c>
      <c r="J5920" s="3">
        <f>Vendas[[#This Row],[Valor da Venda]]-(_xlfn.XLOOKUP(Vendas[[#This Row],[ID Item Vendido]],Agregado[ID],Agregado[Custo])*Vendas[[#This Row],[Qnt Vendida]])</f>
        <v>304</v>
      </c>
      <c r="K5920" s="70">
        <f>Vendas[[#This Row],[Lucro da Venda]]/Vendas[[#This Row],[Valor da Venda]]</f>
        <v>0.16666666666666666</v>
      </c>
      <c r="L5920" s="3">
        <f>_xlfn.IFS(Vendas[[#This Row],[Margem de Lucro (%)]]&lt;15%,Vendas[[#This Row],[Valor da Venda]]*3%,Vendas[[#This Row],[Margem de Lucro (%)]]&lt;=20%,Vendas[[#This Row],[Valor da Venda]]*4.5%,TRUE,Vendas[[#This Row],[Valor da Venda]]*6%)</f>
        <v>82.08</v>
      </c>
      <c r="M5920"/>
    </row>
    <row r="5921" spans="1:13" x14ac:dyDescent="0.3">
      <c r="A5921" s="7">
        <v>400244</v>
      </c>
      <c r="B5921" t="str">
        <f>_xlfn.XLOOKUP(Vendas[[#This Row],[ID Vendedor]],Vendedores[ID],Vendedores[Nome])</f>
        <v>Camila</v>
      </c>
      <c r="C5921" s="7" t="str">
        <f>_xlfn.XLOOKUP(Vendas[[#This Row],[ID Vendedor]],Vendedores[ID],Vendedores[Setor])</f>
        <v>AHD</v>
      </c>
      <c r="D5921" s="7" t="s">
        <v>44</v>
      </c>
      <c r="E5921" t="str">
        <f>_xlfn.XLOOKUP(Vendas[[#This Row],[ID Item Vendido]],Agregado[ID],Agregado[Produto])</f>
        <v>Liga metálica especial</v>
      </c>
      <c r="F5921" s="39">
        <v>46232</v>
      </c>
      <c r="G5921" s="7">
        <v>42</v>
      </c>
      <c r="H5921" s="3">
        <f>_xlfn.XLOOKUP(Vendas[[#This Row],[ID Item Vendido]],Agregado[ID],Agregado[Revenda])</f>
        <v>32.5</v>
      </c>
      <c r="I5921" s="3">
        <f>Vendas[[#This Row],[Valor Unitário]]*Vendas[[#This Row],[Qnt Vendida]]</f>
        <v>1365</v>
      </c>
      <c r="J5921" s="3">
        <f>Vendas[[#This Row],[Valor da Venda]]-(_xlfn.XLOOKUP(Vendas[[#This Row],[ID Item Vendido]],Agregado[ID],Agregado[Custo])*Vendas[[#This Row],[Qnt Vendida]])</f>
        <v>315</v>
      </c>
      <c r="K5921" s="70">
        <f>Vendas[[#This Row],[Lucro da Venda]]/Vendas[[#This Row],[Valor da Venda]]</f>
        <v>0.23076923076923078</v>
      </c>
      <c r="L5921" s="3">
        <f>_xlfn.IFS(Vendas[[#This Row],[Margem de Lucro (%)]]&lt;15%,Vendas[[#This Row],[Valor da Venda]]*3%,Vendas[[#This Row],[Margem de Lucro (%)]]&lt;=20%,Vendas[[#This Row],[Valor da Venda]]*4.5%,TRUE,Vendas[[#This Row],[Valor da Venda]]*6%)</f>
        <v>81.899999999999991</v>
      </c>
      <c r="M5921"/>
    </row>
    <row r="5922" spans="1:13" x14ac:dyDescent="0.3">
      <c r="A5922" s="7">
        <v>400254</v>
      </c>
      <c r="B5922" t="str">
        <f>_xlfn.XLOOKUP(Vendas[[#This Row],[ID Vendedor]],Vendedores[ID],Vendedores[Nome])</f>
        <v>Beatriz</v>
      </c>
      <c r="C5922" s="7" t="str">
        <f>_xlfn.XLOOKUP(Vendas[[#This Row],[ID Vendedor]],Vendedores[ID],Vendedores[Setor])</f>
        <v>SC</v>
      </c>
      <c r="D5922" s="7" t="s">
        <v>14</v>
      </c>
      <c r="E5922" t="str">
        <f>_xlfn.XLOOKUP(Vendas[[#This Row],[ID Item Vendido]],Agregado[ID],Agregado[Produto])</f>
        <v>Barril de plástico 200L</v>
      </c>
      <c r="F5922" s="39">
        <v>46232</v>
      </c>
      <c r="G5922" s="7">
        <v>8</v>
      </c>
      <c r="H5922" s="3">
        <f>_xlfn.XLOOKUP(Vendas[[#This Row],[ID Item Vendido]],Agregado[ID],Agregado[Revenda])</f>
        <v>114</v>
      </c>
      <c r="I5922" s="3">
        <f>Vendas[[#This Row],[Valor Unitário]]*Vendas[[#This Row],[Qnt Vendida]]</f>
        <v>912</v>
      </c>
      <c r="J5922" s="3">
        <f>Vendas[[#This Row],[Valor da Venda]]-(_xlfn.XLOOKUP(Vendas[[#This Row],[ID Item Vendido]],Agregado[ID],Agregado[Custo])*Vendas[[#This Row],[Qnt Vendida]])</f>
        <v>152</v>
      </c>
      <c r="K5922" s="70">
        <f>Vendas[[#This Row],[Lucro da Venda]]/Vendas[[#This Row],[Valor da Venda]]</f>
        <v>0.16666666666666666</v>
      </c>
      <c r="L5922" s="3">
        <f>_xlfn.IFS(Vendas[[#This Row],[Margem de Lucro (%)]]&lt;15%,Vendas[[#This Row],[Valor da Venda]]*3%,Vendas[[#This Row],[Margem de Lucro (%)]]&lt;=20%,Vendas[[#This Row],[Valor da Venda]]*4.5%,TRUE,Vendas[[#This Row],[Valor da Venda]]*6%)</f>
        <v>41.04</v>
      </c>
      <c r="M5922"/>
    </row>
    <row r="5923" spans="1:13" x14ac:dyDescent="0.3">
      <c r="A5923" s="7">
        <v>400253</v>
      </c>
      <c r="B5923" t="str">
        <f>_xlfn.XLOOKUP(Vendas[[#This Row],[ID Vendedor]],Vendedores[ID],Vendedores[Nome])</f>
        <v>Gustavo</v>
      </c>
      <c r="C5923" s="7" t="str">
        <f>_xlfn.XLOOKUP(Vendas[[#This Row],[ID Vendedor]],Vendedores[ID],Vendedores[Setor])</f>
        <v>SC</v>
      </c>
      <c r="D5923" s="7" t="s">
        <v>25</v>
      </c>
      <c r="E5923" t="str">
        <f>_xlfn.XLOOKUP(Vendas[[#This Row],[ID Item Vendido]],Agregado[ID],Agregado[Produto])</f>
        <v>Palete de plástico</v>
      </c>
      <c r="F5923" s="39">
        <v>46232</v>
      </c>
      <c r="G5923" s="7">
        <v>12</v>
      </c>
      <c r="H5923" s="3">
        <f>_xlfn.XLOOKUP(Vendas[[#This Row],[ID Item Vendido]],Agregado[ID],Agregado[Revenda])</f>
        <v>70.8</v>
      </c>
      <c r="I5923" s="3">
        <f>Vendas[[#This Row],[Valor Unitário]]*Vendas[[#This Row],[Qnt Vendida]]</f>
        <v>849.59999999999991</v>
      </c>
      <c r="J5923" s="3">
        <f>Vendas[[#This Row],[Valor da Venda]]-(_xlfn.XLOOKUP(Vendas[[#This Row],[ID Item Vendido]],Agregado[ID],Agregado[Custo])*Vendas[[#This Row],[Qnt Vendida]])</f>
        <v>129.59999999999991</v>
      </c>
      <c r="K5923" s="70">
        <f>Vendas[[#This Row],[Lucro da Venda]]/Vendas[[#This Row],[Valor da Venda]]</f>
        <v>0.15254237288135583</v>
      </c>
      <c r="L5923" s="3">
        <f>_xlfn.IFS(Vendas[[#This Row],[Margem de Lucro (%)]]&lt;15%,Vendas[[#This Row],[Valor da Venda]]*3%,Vendas[[#This Row],[Margem de Lucro (%)]]&lt;=20%,Vendas[[#This Row],[Valor da Venda]]*4.5%,TRUE,Vendas[[#This Row],[Valor da Venda]]*6%)</f>
        <v>38.231999999999992</v>
      </c>
      <c r="M5923"/>
    </row>
    <row r="5924" spans="1:13" x14ac:dyDescent="0.3">
      <c r="A5924" s="7">
        <v>400252</v>
      </c>
      <c r="B5924" t="str">
        <f>_xlfn.XLOOKUP(Vendas[[#This Row],[ID Vendedor]],Vendedores[ID],Vendedores[Nome])</f>
        <v>Renata</v>
      </c>
      <c r="C5924" s="7" t="str">
        <f>_xlfn.XLOOKUP(Vendas[[#This Row],[ID Vendedor]],Vendedores[ID],Vendedores[Setor])</f>
        <v>AB</v>
      </c>
      <c r="D5924" s="7" t="s">
        <v>36</v>
      </c>
      <c r="E5924" t="str">
        <f>_xlfn.XLOOKUP(Vendas[[#This Row],[ID Item Vendido]],Agregado[ID],Agregado[Produto])</f>
        <v>Borracha vulcanizada em manta</v>
      </c>
      <c r="F5924" s="39">
        <v>46232</v>
      </c>
      <c r="G5924" s="7">
        <v>87</v>
      </c>
      <c r="H5924" s="3">
        <f>_xlfn.XLOOKUP(Vendas[[#This Row],[ID Item Vendido]],Agregado[ID],Agregado[Revenda])</f>
        <v>7.8</v>
      </c>
      <c r="I5924" s="3">
        <f>Vendas[[#This Row],[Valor Unitário]]*Vendas[[#This Row],[Qnt Vendida]]</f>
        <v>678.6</v>
      </c>
      <c r="J5924" s="3">
        <f>Vendas[[#This Row],[Valor da Venda]]-(_xlfn.XLOOKUP(Vendas[[#This Row],[ID Item Vendido]],Agregado[ID],Agregado[Custo])*Vendas[[#This Row],[Qnt Vendida]])</f>
        <v>156.60000000000002</v>
      </c>
      <c r="K5924" s="70">
        <f>Vendas[[#This Row],[Lucro da Venda]]/Vendas[[#This Row],[Valor da Venda]]</f>
        <v>0.23076923076923078</v>
      </c>
      <c r="L5924" s="3">
        <f>_xlfn.IFS(Vendas[[#This Row],[Margem de Lucro (%)]]&lt;15%,Vendas[[#This Row],[Valor da Venda]]*3%,Vendas[[#This Row],[Margem de Lucro (%)]]&lt;=20%,Vendas[[#This Row],[Valor da Venda]]*4.5%,TRUE,Vendas[[#This Row],[Valor da Venda]]*6%)</f>
        <v>40.716000000000001</v>
      </c>
      <c r="M5924"/>
    </row>
    <row r="5925" spans="1:13" x14ac:dyDescent="0.3">
      <c r="A5925" s="7">
        <v>400253</v>
      </c>
      <c r="B5925" t="str">
        <f>_xlfn.XLOOKUP(Vendas[[#This Row],[ID Vendedor]],Vendedores[ID],Vendedores[Nome])</f>
        <v>Gustavo</v>
      </c>
      <c r="C5925" s="7" t="str">
        <f>_xlfn.XLOOKUP(Vendas[[#This Row],[ID Vendedor]],Vendedores[ID],Vendedores[Setor])</f>
        <v>SC</v>
      </c>
      <c r="D5925" s="7" t="s">
        <v>25</v>
      </c>
      <c r="E5925" t="str">
        <f>_xlfn.XLOOKUP(Vendas[[#This Row],[ID Item Vendido]],Agregado[ID],Agregado[Produto])</f>
        <v>Palete de plástico</v>
      </c>
      <c r="F5925" s="39">
        <v>46232</v>
      </c>
      <c r="G5925" s="7">
        <v>8</v>
      </c>
      <c r="H5925" s="3">
        <f>_xlfn.XLOOKUP(Vendas[[#This Row],[ID Item Vendido]],Agregado[ID],Agregado[Revenda])</f>
        <v>70.8</v>
      </c>
      <c r="I5925" s="3">
        <f>Vendas[[#This Row],[Valor Unitário]]*Vendas[[#This Row],[Qnt Vendida]]</f>
        <v>566.4</v>
      </c>
      <c r="J5925" s="3">
        <f>Vendas[[#This Row],[Valor da Venda]]-(_xlfn.XLOOKUP(Vendas[[#This Row],[ID Item Vendido]],Agregado[ID],Agregado[Custo])*Vendas[[#This Row],[Qnt Vendida]])</f>
        <v>86.399999999999977</v>
      </c>
      <c r="K5925" s="70">
        <f>Vendas[[#This Row],[Lucro da Venda]]/Vendas[[#This Row],[Valor da Venda]]</f>
        <v>0.15254237288135589</v>
      </c>
      <c r="L5925" s="3">
        <f>_xlfn.IFS(Vendas[[#This Row],[Margem de Lucro (%)]]&lt;15%,Vendas[[#This Row],[Valor da Venda]]*3%,Vendas[[#This Row],[Margem de Lucro (%)]]&lt;=20%,Vendas[[#This Row],[Valor da Venda]]*4.5%,TRUE,Vendas[[#This Row],[Valor da Venda]]*6%)</f>
        <v>25.488</v>
      </c>
      <c r="M5925"/>
    </row>
    <row r="5926" spans="1:13" x14ac:dyDescent="0.3">
      <c r="A5926" s="7">
        <v>400241</v>
      </c>
      <c r="B5926" t="str">
        <f>_xlfn.XLOOKUP(Vendas[[#This Row],[ID Vendedor]],Vendedores[ID],Vendedores[Nome])</f>
        <v>Rodrigo</v>
      </c>
      <c r="C5926" s="7" t="str">
        <f>_xlfn.XLOOKUP(Vendas[[#This Row],[ID Vendedor]],Vendedores[ID],Vendedores[Setor])</f>
        <v>FM</v>
      </c>
      <c r="D5926" s="7" t="s">
        <v>6</v>
      </c>
      <c r="E5926" t="str">
        <f>_xlfn.XLOOKUP(Vendas[[#This Row],[ID Item Vendido]],Agregado[ID],Agregado[Produto])</f>
        <v>Parafuso comum 500un</v>
      </c>
      <c r="F5926" s="39">
        <v>46232</v>
      </c>
      <c r="G5926" s="7">
        <v>21</v>
      </c>
      <c r="H5926" s="3">
        <f>_xlfn.XLOOKUP(Vendas[[#This Row],[ID Item Vendido]],Agregado[ID],Agregado[Revenda])</f>
        <v>24.6</v>
      </c>
      <c r="I5926" s="3">
        <f>Vendas[[#This Row],[Valor Unitário]]*Vendas[[#This Row],[Qnt Vendida]]</f>
        <v>516.6</v>
      </c>
      <c r="J5926" s="3">
        <f>Vendas[[#This Row],[Valor da Venda]]-(_xlfn.XLOOKUP(Vendas[[#This Row],[ID Item Vendido]],Agregado[ID],Agregado[Custo])*Vendas[[#This Row],[Qnt Vendida]])</f>
        <v>54.600000000000023</v>
      </c>
      <c r="K5926" s="70">
        <f>Vendas[[#This Row],[Lucro da Venda]]/Vendas[[#This Row],[Valor da Venda]]</f>
        <v>0.10569105691056914</v>
      </c>
      <c r="L5926" s="3">
        <f>_xlfn.IFS(Vendas[[#This Row],[Margem de Lucro (%)]]&lt;15%,Vendas[[#This Row],[Valor da Venda]]*3%,Vendas[[#This Row],[Margem de Lucro (%)]]&lt;=20%,Vendas[[#This Row],[Valor da Venda]]*4.5%,TRUE,Vendas[[#This Row],[Valor da Venda]]*6%)</f>
        <v>15.497999999999999</v>
      </c>
      <c r="M5926"/>
    </row>
    <row r="5927" spans="1:13" x14ac:dyDescent="0.3">
      <c r="A5927" s="7">
        <v>400248</v>
      </c>
      <c r="B5927" t="str">
        <f>_xlfn.XLOOKUP(Vendas[[#This Row],[ID Vendedor]],Vendedores[ID],Vendedores[Nome])</f>
        <v>Patrícia</v>
      </c>
      <c r="C5927" s="7" t="str">
        <f>_xlfn.XLOOKUP(Vendas[[#This Row],[ID Vendedor]],Vendedores[ID],Vendedores[Setor])</f>
        <v>CM</v>
      </c>
      <c r="D5927" s="7" t="s">
        <v>43</v>
      </c>
      <c r="E5927" t="str">
        <f>_xlfn.XLOOKUP(Vendas[[#This Row],[ID Item Vendido]],Agregado[ID],Agregado[Produto])</f>
        <v>Madeira Bruta (Tora)</v>
      </c>
      <c r="F5927" s="39">
        <v>46233</v>
      </c>
      <c r="G5927" s="7">
        <v>14</v>
      </c>
      <c r="H5927" s="3">
        <f>_xlfn.XLOOKUP(Vendas[[#This Row],[ID Item Vendido]],Agregado[ID],Agregado[Revenda])</f>
        <v>212</v>
      </c>
      <c r="I5927" s="3">
        <f>Vendas[[#This Row],[Valor Unitário]]*Vendas[[#This Row],[Qnt Vendida]]</f>
        <v>2968</v>
      </c>
      <c r="J5927" s="3">
        <f>Vendas[[#This Row],[Valor da Venda]]-(_xlfn.XLOOKUP(Vendas[[#This Row],[ID Item Vendido]],Agregado[ID],Agregado[Custo])*Vendas[[#This Row],[Qnt Vendida]])</f>
        <v>448</v>
      </c>
      <c r="K5927" s="70">
        <f>Vendas[[#This Row],[Lucro da Venda]]/Vendas[[#This Row],[Valor da Venda]]</f>
        <v>0.15094339622641509</v>
      </c>
      <c r="L5927" s="3">
        <f>_xlfn.IFS(Vendas[[#This Row],[Margem de Lucro (%)]]&lt;15%,Vendas[[#This Row],[Valor da Venda]]*3%,Vendas[[#This Row],[Margem de Lucro (%)]]&lt;=20%,Vendas[[#This Row],[Valor da Venda]]*4.5%,TRUE,Vendas[[#This Row],[Valor da Venda]]*6%)</f>
        <v>133.56</v>
      </c>
      <c r="M5927"/>
    </row>
    <row r="5928" spans="1:13" x14ac:dyDescent="0.3">
      <c r="A5928" s="7">
        <v>400246</v>
      </c>
      <c r="B5928" t="str">
        <f>_xlfn.XLOOKUP(Vendas[[#This Row],[ID Vendedor]],Vendedores[ID],Vendedores[Nome])</f>
        <v>Juliana</v>
      </c>
      <c r="C5928" s="7" t="str">
        <f>_xlfn.XLOOKUP(Vendas[[#This Row],[ID Vendedor]],Vendedores[ID],Vendedores[Setor])</f>
        <v>AHD</v>
      </c>
      <c r="D5928" s="7" t="s">
        <v>18</v>
      </c>
      <c r="E5928" t="str">
        <f>_xlfn.XLOOKUP(Vendas[[#This Row],[ID Item Vendido]],Agregado[ID],Agregado[Produto])</f>
        <v>Peça forjada sob encomenda</v>
      </c>
      <c r="F5928" s="39">
        <v>46233</v>
      </c>
      <c r="G5928" s="7">
        <v>2</v>
      </c>
      <c r="H5928" s="3">
        <f>_xlfn.XLOOKUP(Vendas[[#This Row],[ID Item Vendido]],Agregado[ID],Agregado[Revenda])</f>
        <v>264.60000000000002</v>
      </c>
      <c r="I5928" s="3">
        <f>Vendas[[#This Row],[Valor Unitário]]*Vendas[[#This Row],[Qnt Vendida]]</f>
        <v>529.20000000000005</v>
      </c>
      <c r="J5928" s="3">
        <f>Vendas[[#This Row],[Valor da Venda]]-(_xlfn.XLOOKUP(Vendas[[#This Row],[ID Item Vendido]],Agregado[ID],Agregado[Custo])*Vendas[[#This Row],[Qnt Vendida]])</f>
        <v>29.200000000000045</v>
      </c>
      <c r="K5928" s="70">
        <f>Vendas[[#This Row],[Lucro da Venda]]/Vendas[[#This Row],[Valor da Venda]]</f>
        <v>5.5177626606198113E-2</v>
      </c>
      <c r="L5928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928"/>
    </row>
    <row r="5929" spans="1:13" x14ac:dyDescent="0.3">
      <c r="A5929" s="7">
        <v>400244</v>
      </c>
      <c r="B5929" t="str">
        <f>_xlfn.XLOOKUP(Vendas[[#This Row],[ID Vendedor]],Vendedores[ID],Vendedores[Nome])</f>
        <v>Camila</v>
      </c>
      <c r="C5929" s="7" t="str">
        <f>_xlfn.XLOOKUP(Vendas[[#This Row],[ID Vendedor]],Vendedores[ID],Vendedores[Setor])</f>
        <v>AHD</v>
      </c>
      <c r="D5929" s="7" t="s">
        <v>9</v>
      </c>
      <c r="E5929" t="str">
        <f>_xlfn.XLOOKUP(Vendas[[#This Row],[ID Item Vendido]],Agregado[ID],Agregado[Produto])</f>
        <v>Barra de aço simples</v>
      </c>
      <c r="F5929" s="39">
        <v>46233</v>
      </c>
      <c r="G5929" s="7">
        <v>20</v>
      </c>
      <c r="H5929" s="3">
        <f>_xlfn.XLOOKUP(Vendas[[#This Row],[ID Item Vendido]],Agregado[ID],Agregado[Revenda])</f>
        <v>6.7</v>
      </c>
      <c r="I5929" s="3">
        <f>Vendas[[#This Row],[Valor Unitário]]*Vendas[[#This Row],[Qnt Vendida]]</f>
        <v>134</v>
      </c>
      <c r="J5929" s="3">
        <f>Vendas[[#This Row],[Valor da Venda]]-(_xlfn.XLOOKUP(Vendas[[#This Row],[ID Item Vendido]],Agregado[ID],Agregado[Custo])*Vendas[[#This Row],[Qnt Vendida]])</f>
        <v>18</v>
      </c>
      <c r="K5929" s="70">
        <f>Vendas[[#This Row],[Lucro da Venda]]/Vendas[[#This Row],[Valor da Venda]]</f>
        <v>0.13432835820895522</v>
      </c>
      <c r="L5929" s="3">
        <f>_xlfn.IFS(Vendas[[#This Row],[Margem de Lucro (%)]]&lt;15%,Vendas[[#This Row],[Valor da Venda]]*3%,Vendas[[#This Row],[Margem de Lucro (%)]]&lt;=20%,Vendas[[#This Row],[Valor da Venda]]*4.5%,TRUE,Vendas[[#This Row],[Valor da Venda]]*6%)</f>
        <v>4.0199999999999996</v>
      </c>
      <c r="M5929"/>
    </row>
    <row r="5930" spans="1:13" x14ac:dyDescent="0.3">
      <c r="A5930" s="7">
        <v>400244</v>
      </c>
      <c r="B5930" t="str">
        <f>_xlfn.XLOOKUP(Vendas[[#This Row],[ID Vendedor]],Vendedores[ID],Vendedores[Nome])</f>
        <v>Camila</v>
      </c>
      <c r="C5930" s="7" t="str">
        <f>_xlfn.XLOOKUP(Vendas[[#This Row],[ID Vendedor]],Vendedores[ID],Vendedores[Setor])</f>
        <v>AHD</v>
      </c>
      <c r="D5930" s="7" t="s">
        <v>30</v>
      </c>
      <c r="E5930" t="str">
        <f>_xlfn.XLOOKUP(Vendas[[#This Row],[ID Item Vendido]],Agregado[ID],Agregado[Produto])</f>
        <v>Estrutura metálica soldada</v>
      </c>
      <c r="F5930" s="39">
        <v>46234</v>
      </c>
      <c r="G5930" s="7">
        <v>4</v>
      </c>
      <c r="H5930" s="3">
        <f>_xlfn.XLOOKUP(Vendas[[#This Row],[ID Item Vendido]],Agregado[ID],Agregado[Revenda])</f>
        <v>400</v>
      </c>
      <c r="I5930" s="3">
        <f>Vendas[[#This Row],[Valor Unitário]]*Vendas[[#This Row],[Qnt Vendida]]</f>
        <v>1600</v>
      </c>
      <c r="J5930" s="3">
        <f>Vendas[[#This Row],[Valor da Venda]]-(_xlfn.XLOOKUP(Vendas[[#This Row],[ID Item Vendido]],Agregado[ID],Agregado[Custo])*Vendas[[#This Row],[Qnt Vendida]])</f>
        <v>320</v>
      </c>
      <c r="K5930" s="70">
        <f>Vendas[[#This Row],[Lucro da Venda]]/Vendas[[#This Row],[Valor da Venda]]</f>
        <v>0.2</v>
      </c>
      <c r="L5930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5930"/>
    </row>
    <row r="5931" spans="1:13" x14ac:dyDescent="0.3">
      <c r="A5931" s="7">
        <v>400242</v>
      </c>
      <c r="B5931" t="str">
        <f>_xlfn.XLOOKUP(Vendas[[#This Row],[ID Vendedor]],Vendedores[ID],Vendedores[Nome])</f>
        <v>Fernanda</v>
      </c>
      <c r="C5931" s="7" t="str">
        <f>_xlfn.XLOOKUP(Vendas[[#This Row],[ID Vendedor]],Vendedores[ID],Vendedores[Setor])</f>
        <v>FM</v>
      </c>
      <c r="D5931" s="7" t="s">
        <v>6</v>
      </c>
      <c r="E5931" t="str">
        <f>_xlfn.XLOOKUP(Vendas[[#This Row],[ID Item Vendido]],Agregado[ID],Agregado[Produto])</f>
        <v>Parafuso comum 500un</v>
      </c>
      <c r="F5931" s="39">
        <v>46234</v>
      </c>
      <c r="G5931" s="7">
        <v>24</v>
      </c>
      <c r="H5931" s="3">
        <f>_xlfn.XLOOKUP(Vendas[[#This Row],[ID Item Vendido]],Agregado[ID],Agregado[Revenda])</f>
        <v>24.6</v>
      </c>
      <c r="I5931" s="3">
        <f>Vendas[[#This Row],[Valor Unitário]]*Vendas[[#This Row],[Qnt Vendida]]</f>
        <v>590.40000000000009</v>
      </c>
      <c r="J5931" s="3">
        <f>Vendas[[#This Row],[Valor da Venda]]-(_xlfn.XLOOKUP(Vendas[[#This Row],[ID Item Vendido]],Agregado[ID],Agregado[Custo])*Vendas[[#This Row],[Qnt Vendida]])</f>
        <v>62.400000000000091</v>
      </c>
      <c r="K5931" s="70">
        <f>Vendas[[#This Row],[Lucro da Venda]]/Vendas[[#This Row],[Valor da Venda]]</f>
        <v>0.10569105691056924</v>
      </c>
      <c r="L5931" s="3">
        <f>_xlfn.IFS(Vendas[[#This Row],[Margem de Lucro (%)]]&lt;15%,Vendas[[#This Row],[Valor da Venda]]*3%,Vendas[[#This Row],[Margem de Lucro (%)]]&lt;=20%,Vendas[[#This Row],[Valor da Venda]]*4.5%,TRUE,Vendas[[#This Row],[Valor da Venda]]*6%)</f>
        <v>17.712000000000003</v>
      </c>
      <c r="M5931"/>
    </row>
    <row r="5932" spans="1:13" x14ac:dyDescent="0.3">
      <c r="A5932" s="7">
        <v>400243</v>
      </c>
      <c r="B5932" t="str">
        <f>_xlfn.XLOOKUP(Vendas[[#This Row],[ID Vendedor]],Vendedores[ID],Vendedores[Nome])</f>
        <v>Marcelo</v>
      </c>
      <c r="C5932" s="7" t="str">
        <f>_xlfn.XLOOKUP(Vendas[[#This Row],[ID Vendedor]],Vendedores[ID],Vendedores[Setor])</f>
        <v>FM</v>
      </c>
      <c r="D5932" s="7" t="s">
        <v>6</v>
      </c>
      <c r="E5932" t="str">
        <f>_xlfn.XLOOKUP(Vendas[[#This Row],[ID Item Vendido]],Agregado[ID],Agregado[Produto])</f>
        <v>Parafuso comum 500un</v>
      </c>
      <c r="F5932" s="39">
        <v>46234</v>
      </c>
      <c r="G5932" s="7">
        <v>11</v>
      </c>
      <c r="H5932" s="3">
        <f>_xlfn.XLOOKUP(Vendas[[#This Row],[ID Item Vendido]],Agregado[ID],Agregado[Revenda])</f>
        <v>24.6</v>
      </c>
      <c r="I5932" s="3">
        <f>Vendas[[#This Row],[Valor Unitário]]*Vendas[[#This Row],[Qnt Vendida]]</f>
        <v>270.60000000000002</v>
      </c>
      <c r="J5932" s="3">
        <f>Vendas[[#This Row],[Valor da Venda]]-(_xlfn.XLOOKUP(Vendas[[#This Row],[ID Item Vendido]],Agregado[ID],Agregado[Custo])*Vendas[[#This Row],[Qnt Vendida]])</f>
        <v>28.600000000000023</v>
      </c>
      <c r="K5932" s="70">
        <f>Vendas[[#This Row],[Lucro da Venda]]/Vendas[[#This Row],[Valor da Venda]]</f>
        <v>0.10569105691056918</v>
      </c>
      <c r="L5932" s="3">
        <f>_xlfn.IFS(Vendas[[#This Row],[Margem de Lucro (%)]]&lt;15%,Vendas[[#This Row],[Valor da Venda]]*3%,Vendas[[#This Row],[Margem de Lucro (%)]]&lt;=20%,Vendas[[#This Row],[Valor da Venda]]*4.5%,TRUE,Vendas[[#This Row],[Valor da Venda]]*6%)</f>
        <v>8.1180000000000003</v>
      </c>
      <c r="M5932"/>
    </row>
    <row r="5933" spans="1:13" x14ac:dyDescent="0.3">
      <c r="A5933" s="7">
        <v>400246</v>
      </c>
      <c r="B5933" t="str">
        <f>_xlfn.XLOOKUP(Vendas[[#This Row],[ID Vendedor]],Vendedores[ID],Vendedores[Nome])</f>
        <v>Juliana</v>
      </c>
      <c r="C5933" s="7" t="str">
        <f>_xlfn.XLOOKUP(Vendas[[#This Row],[ID Vendedor]],Vendedores[ID],Vendedores[Setor])</f>
        <v>AHD</v>
      </c>
      <c r="D5933" s="7" t="s">
        <v>30</v>
      </c>
      <c r="E5933" t="str">
        <f>_xlfn.XLOOKUP(Vendas[[#This Row],[ID Item Vendido]],Agregado[ID],Agregado[Produto])</f>
        <v>Estrutura metálica soldada</v>
      </c>
      <c r="F5933" s="39">
        <v>46235</v>
      </c>
      <c r="G5933" s="7">
        <v>3</v>
      </c>
      <c r="H5933" s="3">
        <f>_xlfn.XLOOKUP(Vendas[[#This Row],[ID Item Vendido]],Agregado[ID],Agregado[Revenda])</f>
        <v>400</v>
      </c>
      <c r="I5933" s="3">
        <f>Vendas[[#This Row],[Valor Unitário]]*Vendas[[#This Row],[Qnt Vendida]]</f>
        <v>1200</v>
      </c>
      <c r="J5933" s="3">
        <f>Vendas[[#This Row],[Valor da Venda]]-(_xlfn.XLOOKUP(Vendas[[#This Row],[ID Item Vendido]],Agregado[ID],Agregado[Custo])*Vendas[[#This Row],[Qnt Vendida]])</f>
        <v>240</v>
      </c>
      <c r="K5933" s="70">
        <f>Vendas[[#This Row],[Lucro da Venda]]/Vendas[[#This Row],[Valor da Venda]]</f>
        <v>0.2</v>
      </c>
      <c r="L5933" s="3">
        <f>_xlfn.IFS(Vendas[[#This Row],[Margem de Lucro (%)]]&lt;15%,Vendas[[#This Row],[Valor da Venda]]*3%,Vendas[[#This Row],[Margem de Lucro (%)]]&lt;=20%,Vendas[[#This Row],[Valor da Venda]]*4.5%,TRUE,Vendas[[#This Row],[Valor da Venda]]*6%)</f>
        <v>54</v>
      </c>
      <c r="M5933"/>
    </row>
    <row r="5934" spans="1:13" x14ac:dyDescent="0.3">
      <c r="A5934" s="7">
        <v>400252</v>
      </c>
      <c r="B5934" t="str">
        <f>_xlfn.XLOOKUP(Vendas[[#This Row],[ID Vendedor]],Vendedores[ID],Vendedores[Nome])</f>
        <v>Renata</v>
      </c>
      <c r="C5934" s="7" t="str">
        <f>_xlfn.XLOOKUP(Vendas[[#This Row],[ID Vendedor]],Vendedores[ID],Vendedores[Setor])</f>
        <v>AB</v>
      </c>
      <c r="D5934" s="7" t="s">
        <v>39</v>
      </c>
      <c r="E5934" t="str">
        <f>_xlfn.XLOOKUP(Vendas[[#This Row],[ID Item Vendido]],Agregado[ID],Agregado[Produto])</f>
        <v>Filme plástico industrial rolo 50m</v>
      </c>
      <c r="F5934" s="39">
        <v>46235</v>
      </c>
      <c r="G5934" s="7">
        <v>30</v>
      </c>
      <c r="H5934" s="3">
        <f>_xlfn.XLOOKUP(Vendas[[#This Row],[ID Item Vendido]],Agregado[ID],Agregado[Revenda])</f>
        <v>37</v>
      </c>
      <c r="I5934" s="3">
        <f>Vendas[[#This Row],[Valor Unitário]]*Vendas[[#This Row],[Qnt Vendida]]</f>
        <v>1110</v>
      </c>
      <c r="J5934" s="3">
        <f>Vendas[[#This Row],[Valor da Venda]]-(_xlfn.XLOOKUP(Vendas[[#This Row],[ID Item Vendido]],Agregado[ID],Agregado[Custo])*Vendas[[#This Row],[Qnt Vendida]])</f>
        <v>270</v>
      </c>
      <c r="K5934" s="70">
        <f>Vendas[[#This Row],[Lucro da Venda]]/Vendas[[#This Row],[Valor da Venda]]</f>
        <v>0.24324324324324326</v>
      </c>
      <c r="L5934" s="3">
        <f>_xlfn.IFS(Vendas[[#This Row],[Margem de Lucro (%)]]&lt;15%,Vendas[[#This Row],[Valor da Venda]]*3%,Vendas[[#This Row],[Margem de Lucro (%)]]&lt;=20%,Vendas[[#This Row],[Valor da Venda]]*4.5%,TRUE,Vendas[[#This Row],[Valor da Venda]]*6%)</f>
        <v>66.599999999999994</v>
      </c>
      <c r="M5934"/>
    </row>
    <row r="5935" spans="1:13" x14ac:dyDescent="0.3">
      <c r="A5935" s="7">
        <v>400247</v>
      </c>
      <c r="B5935" t="str">
        <f>_xlfn.XLOOKUP(Vendas[[#This Row],[ID Vendedor]],Vendedores[ID],Vendedores[Nome])</f>
        <v>André</v>
      </c>
      <c r="C5935" s="7" t="str">
        <f>_xlfn.XLOOKUP(Vendas[[#This Row],[ID Vendedor]],Vendedores[ID],Vendedores[Setor])</f>
        <v>CM</v>
      </c>
      <c r="D5935" s="7" t="s">
        <v>43</v>
      </c>
      <c r="E5935" t="str">
        <f>_xlfn.XLOOKUP(Vendas[[#This Row],[ID Item Vendido]],Agregado[ID],Agregado[Produto])</f>
        <v>Madeira Bruta (Tora)</v>
      </c>
      <c r="F5935" s="39">
        <v>46235</v>
      </c>
      <c r="G5935" s="7">
        <v>5</v>
      </c>
      <c r="H5935" s="3">
        <f>_xlfn.XLOOKUP(Vendas[[#This Row],[ID Item Vendido]],Agregado[ID],Agregado[Revenda])</f>
        <v>212</v>
      </c>
      <c r="I5935" s="3">
        <f>Vendas[[#This Row],[Valor Unitário]]*Vendas[[#This Row],[Qnt Vendida]]</f>
        <v>1060</v>
      </c>
      <c r="J5935" s="3">
        <f>Vendas[[#This Row],[Valor da Venda]]-(_xlfn.XLOOKUP(Vendas[[#This Row],[ID Item Vendido]],Agregado[ID],Agregado[Custo])*Vendas[[#This Row],[Qnt Vendida]])</f>
        <v>160</v>
      </c>
      <c r="K5935" s="70">
        <f>Vendas[[#This Row],[Lucro da Venda]]/Vendas[[#This Row],[Valor da Venda]]</f>
        <v>0.15094339622641509</v>
      </c>
      <c r="L5935" s="3">
        <f>_xlfn.IFS(Vendas[[#This Row],[Margem de Lucro (%)]]&lt;15%,Vendas[[#This Row],[Valor da Venda]]*3%,Vendas[[#This Row],[Margem de Lucro (%)]]&lt;=20%,Vendas[[#This Row],[Valor da Venda]]*4.5%,TRUE,Vendas[[#This Row],[Valor da Venda]]*6%)</f>
        <v>47.699999999999996</v>
      </c>
      <c r="M5935"/>
    </row>
    <row r="5936" spans="1:13" x14ac:dyDescent="0.3">
      <c r="A5936" s="7">
        <v>400242</v>
      </c>
      <c r="B5936" t="str">
        <f>_xlfn.XLOOKUP(Vendas[[#This Row],[ID Vendedor]],Vendedores[ID],Vendedores[Nome])</f>
        <v>Fernanda</v>
      </c>
      <c r="C5936" s="7" t="str">
        <f>_xlfn.XLOOKUP(Vendas[[#This Row],[ID Vendedor]],Vendedores[ID],Vendedores[Setor])</f>
        <v>FM</v>
      </c>
      <c r="D5936" s="7" t="s">
        <v>31</v>
      </c>
      <c r="E5936" t="str">
        <f>_xlfn.XLOOKUP(Vendas[[#This Row],[ID Item Vendido]],Agregado[ID],Agregado[Produto])</f>
        <v>Tela de metal soldada rolo 2x25m</v>
      </c>
      <c r="F5936" s="39">
        <v>46235</v>
      </c>
      <c r="G5936" s="7">
        <v>9</v>
      </c>
      <c r="H5936" s="3">
        <f>_xlfn.XLOOKUP(Vendas[[#This Row],[ID Item Vendido]],Agregado[ID],Agregado[Revenda])</f>
        <v>43.7</v>
      </c>
      <c r="I5936" s="3">
        <f>Vendas[[#This Row],[Valor Unitário]]*Vendas[[#This Row],[Qnt Vendida]]</f>
        <v>393.3</v>
      </c>
      <c r="J5936" s="3">
        <f>Vendas[[#This Row],[Valor da Venda]]-(_xlfn.XLOOKUP(Vendas[[#This Row],[ID Item Vendido]],Agregado[ID],Agregado[Custo])*Vendas[[#This Row],[Qnt Vendida]])</f>
        <v>51.300000000000011</v>
      </c>
      <c r="K5936" s="70">
        <f>Vendas[[#This Row],[Lucro da Venda]]/Vendas[[#This Row],[Valor da Venda]]</f>
        <v>0.13043478260869568</v>
      </c>
      <c r="L5936" s="3">
        <f>_xlfn.IFS(Vendas[[#This Row],[Margem de Lucro (%)]]&lt;15%,Vendas[[#This Row],[Valor da Venda]]*3%,Vendas[[#This Row],[Margem de Lucro (%)]]&lt;=20%,Vendas[[#This Row],[Valor da Venda]]*4.5%,TRUE,Vendas[[#This Row],[Valor da Venda]]*6%)</f>
        <v>11.798999999999999</v>
      </c>
      <c r="M5936"/>
    </row>
    <row r="5937" spans="1:13" x14ac:dyDescent="0.3">
      <c r="A5937" s="7">
        <v>400241</v>
      </c>
      <c r="B5937" t="str">
        <f>_xlfn.XLOOKUP(Vendas[[#This Row],[ID Vendedor]],Vendedores[ID],Vendedores[Nome])</f>
        <v>Rodrigo</v>
      </c>
      <c r="C5937" s="7" t="str">
        <f>_xlfn.XLOOKUP(Vendas[[#This Row],[ID Vendedor]],Vendedores[ID],Vendedores[Setor])</f>
        <v>FM</v>
      </c>
      <c r="D5937" s="7" t="s">
        <v>20</v>
      </c>
      <c r="E5937" t="str">
        <f>_xlfn.XLOOKUP(Vendas[[#This Row],[ID Item Vendido]],Agregado[ID],Agregado[Produto])</f>
        <v>Barra de aço simples</v>
      </c>
      <c r="F5937" s="39">
        <v>46235</v>
      </c>
      <c r="G5937" s="7">
        <v>75</v>
      </c>
      <c r="H5937" s="3">
        <f>_xlfn.XLOOKUP(Vendas[[#This Row],[ID Item Vendido]],Agregado[ID],Agregado[Revenda])</f>
        <v>4.8</v>
      </c>
      <c r="I5937" s="3">
        <f>Vendas[[#This Row],[Valor Unitário]]*Vendas[[#This Row],[Qnt Vendida]]</f>
        <v>360</v>
      </c>
      <c r="J5937" s="3">
        <f>Vendas[[#This Row],[Valor da Venda]]-(_xlfn.XLOOKUP(Vendas[[#This Row],[ID Item Vendido]],Agregado[ID],Agregado[Custo])*Vendas[[#This Row],[Qnt Vendida]])</f>
        <v>45</v>
      </c>
      <c r="K5937" s="70">
        <f>Vendas[[#This Row],[Lucro da Venda]]/Vendas[[#This Row],[Valor da Venda]]</f>
        <v>0.125</v>
      </c>
      <c r="L5937" s="3">
        <f>_xlfn.IFS(Vendas[[#This Row],[Margem de Lucro (%)]]&lt;15%,Vendas[[#This Row],[Valor da Venda]]*3%,Vendas[[#This Row],[Margem de Lucro (%)]]&lt;=20%,Vendas[[#This Row],[Valor da Venda]]*4.5%,TRUE,Vendas[[#This Row],[Valor da Venda]]*6%)</f>
        <v>10.799999999999999</v>
      </c>
      <c r="M5937"/>
    </row>
    <row r="5938" spans="1:13" x14ac:dyDescent="0.3">
      <c r="A5938" s="7">
        <v>400246</v>
      </c>
      <c r="B5938" t="str">
        <f>_xlfn.XLOOKUP(Vendas[[#This Row],[ID Vendedor]],Vendedores[ID],Vendedores[Nome])</f>
        <v>Juliana</v>
      </c>
      <c r="C5938" s="7" t="str">
        <f>_xlfn.XLOOKUP(Vendas[[#This Row],[ID Vendedor]],Vendedores[ID],Vendedores[Setor])</f>
        <v>AHD</v>
      </c>
      <c r="D5938" s="7" t="s">
        <v>9</v>
      </c>
      <c r="E5938" t="str">
        <f>_xlfn.XLOOKUP(Vendas[[#This Row],[ID Item Vendido]],Agregado[ID],Agregado[Produto])</f>
        <v>Barra de aço simples</v>
      </c>
      <c r="F5938" s="39">
        <v>46236</v>
      </c>
      <c r="G5938" s="7">
        <v>137</v>
      </c>
      <c r="H5938" s="3">
        <f>_xlfn.XLOOKUP(Vendas[[#This Row],[ID Item Vendido]],Agregado[ID],Agregado[Revenda])</f>
        <v>6.7</v>
      </c>
      <c r="I5938" s="3">
        <f>Vendas[[#This Row],[Valor Unitário]]*Vendas[[#This Row],[Qnt Vendida]]</f>
        <v>917.9</v>
      </c>
      <c r="J5938" s="3">
        <f>Vendas[[#This Row],[Valor da Venda]]-(_xlfn.XLOOKUP(Vendas[[#This Row],[ID Item Vendido]],Agregado[ID],Agregado[Custo])*Vendas[[#This Row],[Qnt Vendida]])</f>
        <v>123.29999999999995</v>
      </c>
      <c r="K5938" s="70">
        <f>Vendas[[#This Row],[Lucro da Venda]]/Vendas[[#This Row],[Valor da Venda]]</f>
        <v>0.13432835820895517</v>
      </c>
      <c r="L5938" s="3">
        <f>_xlfn.IFS(Vendas[[#This Row],[Margem de Lucro (%)]]&lt;15%,Vendas[[#This Row],[Valor da Venda]]*3%,Vendas[[#This Row],[Margem de Lucro (%)]]&lt;=20%,Vendas[[#This Row],[Valor da Venda]]*4.5%,TRUE,Vendas[[#This Row],[Valor da Venda]]*6%)</f>
        <v>27.536999999999999</v>
      </c>
      <c r="M5938"/>
    </row>
    <row r="5939" spans="1:13" x14ac:dyDescent="0.3">
      <c r="A5939" s="7">
        <v>400254</v>
      </c>
      <c r="B5939" t="str">
        <f>_xlfn.XLOOKUP(Vendas[[#This Row],[ID Vendedor]],Vendedores[ID],Vendedores[Nome])</f>
        <v>Beatriz</v>
      </c>
      <c r="C5939" s="7" t="str">
        <f>_xlfn.XLOOKUP(Vendas[[#This Row],[ID Vendedor]],Vendedores[ID],Vendedores[Setor])</f>
        <v>SC</v>
      </c>
      <c r="D5939" s="7" t="s">
        <v>25</v>
      </c>
      <c r="E5939" t="str">
        <f>_xlfn.XLOOKUP(Vendas[[#This Row],[ID Item Vendido]],Agregado[ID],Agregado[Produto])</f>
        <v>Palete de plástico</v>
      </c>
      <c r="F5939" s="39">
        <v>46236</v>
      </c>
      <c r="G5939" s="7">
        <v>10</v>
      </c>
      <c r="H5939" s="3">
        <f>_xlfn.XLOOKUP(Vendas[[#This Row],[ID Item Vendido]],Agregado[ID],Agregado[Revenda])</f>
        <v>70.8</v>
      </c>
      <c r="I5939" s="3">
        <f>Vendas[[#This Row],[Valor Unitário]]*Vendas[[#This Row],[Qnt Vendida]]</f>
        <v>708</v>
      </c>
      <c r="J5939" s="3">
        <f>Vendas[[#This Row],[Valor da Venda]]-(_xlfn.XLOOKUP(Vendas[[#This Row],[ID Item Vendido]],Agregado[ID],Agregado[Custo])*Vendas[[#This Row],[Qnt Vendida]])</f>
        <v>108</v>
      </c>
      <c r="K5939" s="70">
        <f>Vendas[[#This Row],[Lucro da Venda]]/Vendas[[#This Row],[Valor da Venda]]</f>
        <v>0.15254237288135594</v>
      </c>
      <c r="L5939" s="3">
        <f>_xlfn.IFS(Vendas[[#This Row],[Margem de Lucro (%)]]&lt;15%,Vendas[[#This Row],[Valor da Venda]]*3%,Vendas[[#This Row],[Margem de Lucro (%)]]&lt;=20%,Vendas[[#This Row],[Valor da Venda]]*4.5%,TRUE,Vendas[[#This Row],[Valor da Venda]]*6%)</f>
        <v>31.86</v>
      </c>
      <c r="M5939"/>
    </row>
    <row r="5940" spans="1:13" x14ac:dyDescent="0.3">
      <c r="A5940" s="7">
        <v>400252</v>
      </c>
      <c r="B5940" t="str">
        <f>_xlfn.XLOOKUP(Vendas[[#This Row],[ID Vendedor]],Vendedores[ID],Vendedores[Nome])</f>
        <v>Renata</v>
      </c>
      <c r="C5940" s="7" t="str">
        <f>_xlfn.XLOOKUP(Vendas[[#This Row],[ID Vendedor]],Vendedores[ID],Vendedores[Setor])</f>
        <v>AB</v>
      </c>
      <c r="D5940" s="7" t="s">
        <v>12</v>
      </c>
      <c r="E5940" t="str">
        <f>_xlfn.XLOOKUP(Vendas[[#This Row],[ID Item Vendido]],Agregado[ID],Agregado[Produto])</f>
        <v>Grânulo de plástico reciclado refinado</v>
      </c>
      <c r="F5940" s="39">
        <v>46237</v>
      </c>
      <c r="G5940" s="7">
        <v>46</v>
      </c>
      <c r="H5940" s="3">
        <f>_xlfn.XLOOKUP(Vendas[[#This Row],[ID Item Vendido]],Agregado[ID],Agregado[Revenda])</f>
        <v>4.7</v>
      </c>
      <c r="I5940" s="3">
        <f>Vendas[[#This Row],[Valor Unitário]]*Vendas[[#This Row],[Qnt Vendida]]</f>
        <v>216.20000000000002</v>
      </c>
      <c r="J5940" s="3">
        <f>Vendas[[#This Row],[Valor da Venda]]-(_xlfn.XLOOKUP(Vendas[[#This Row],[ID Item Vendido]],Agregado[ID],Agregado[Custo])*Vendas[[#This Row],[Qnt Vendida]])</f>
        <v>55.200000000000017</v>
      </c>
      <c r="K5940" s="70">
        <f>Vendas[[#This Row],[Lucro da Venda]]/Vendas[[#This Row],[Valor da Venda]]</f>
        <v>0.25531914893617025</v>
      </c>
      <c r="L5940" s="3">
        <f>_xlfn.IFS(Vendas[[#This Row],[Margem de Lucro (%)]]&lt;15%,Vendas[[#This Row],[Valor da Venda]]*3%,Vendas[[#This Row],[Margem de Lucro (%)]]&lt;=20%,Vendas[[#This Row],[Valor da Venda]]*4.5%,TRUE,Vendas[[#This Row],[Valor da Venda]]*6%)</f>
        <v>12.972000000000001</v>
      </c>
      <c r="M5940"/>
    </row>
    <row r="5941" spans="1:13" x14ac:dyDescent="0.3">
      <c r="A5941" s="7">
        <v>400242</v>
      </c>
      <c r="B5941" t="str">
        <f>_xlfn.XLOOKUP(Vendas[[#This Row],[ID Vendedor]],Vendedores[ID],Vendedores[Nome])</f>
        <v>Fernanda</v>
      </c>
      <c r="C5941" s="7" t="str">
        <f>_xlfn.XLOOKUP(Vendas[[#This Row],[ID Vendedor]],Vendedores[ID],Vendedores[Setor])</f>
        <v>FM</v>
      </c>
      <c r="D5941" s="7" t="s">
        <v>47</v>
      </c>
      <c r="E5941" t="str">
        <f>_xlfn.XLOOKUP(Vendas[[#This Row],[ID Item Vendido]],Agregado[ID],Agregado[Produto])</f>
        <v>Fio de arame galvanizado rolo 50m</v>
      </c>
      <c r="F5941" s="39">
        <v>46237</v>
      </c>
      <c r="G5941" s="7">
        <v>8</v>
      </c>
      <c r="H5941" s="3">
        <f>_xlfn.XLOOKUP(Vendas[[#This Row],[ID Item Vendido]],Agregado[ID],Agregado[Revenda])</f>
        <v>21.2</v>
      </c>
      <c r="I5941" s="3">
        <f>Vendas[[#This Row],[Valor Unitário]]*Vendas[[#This Row],[Qnt Vendida]]</f>
        <v>169.6</v>
      </c>
      <c r="J5941" s="3">
        <f>Vendas[[#This Row],[Valor da Venda]]-(_xlfn.XLOOKUP(Vendas[[#This Row],[ID Item Vendido]],Agregado[ID],Agregado[Custo])*Vendas[[#This Row],[Qnt Vendida]])</f>
        <v>25.599999999999994</v>
      </c>
      <c r="K5941" s="70">
        <f>Vendas[[#This Row],[Lucro da Venda]]/Vendas[[#This Row],[Valor da Venda]]</f>
        <v>0.15094339622641506</v>
      </c>
      <c r="L5941" s="3">
        <f>_xlfn.IFS(Vendas[[#This Row],[Margem de Lucro (%)]]&lt;15%,Vendas[[#This Row],[Valor da Venda]]*3%,Vendas[[#This Row],[Margem de Lucro (%)]]&lt;=20%,Vendas[[#This Row],[Valor da Venda]]*4.5%,TRUE,Vendas[[#This Row],[Valor da Venda]]*6%)</f>
        <v>7.6319999999999997</v>
      </c>
      <c r="M5941"/>
    </row>
    <row r="5942" spans="1:13" x14ac:dyDescent="0.3">
      <c r="A5942" s="7">
        <v>400255</v>
      </c>
      <c r="B5942" t="str">
        <f>_xlfn.XLOOKUP(Vendas[[#This Row],[ID Vendedor]],Vendedores[ID],Vendedores[Nome])</f>
        <v>Carlos</v>
      </c>
      <c r="C5942" s="7" t="str">
        <f>_xlfn.XLOOKUP(Vendas[[#This Row],[ID Vendedor]],Vendedores[ID],Vendedores[Setor])</f>
        <v>SC</v>
      </c>
      <c r="D5942" s="7" t="s">
        <v>42</v>
      </c>
      <c r="E5942" t="str">
        <f>_xlfn.XLOOKUP(Vendas[[#This Row],[ID Item Vendido]],Agregado[ID],Agregado[Produto])</f>
        <v>Container de ferro industrial</v>
      </c>
      <c r="F5942" s="39">
        <v>46238</v>
      </c>
      <c r="G5942" s="7">
        <v>3</v>
      </c>
      <c r="H5942" s="3">
        <f>_xlfn.XLOOKUP(Vendas[[#This Row],[ID Item Vendido]],Agregado[ID],Agregado[Revenda])</f>
        <v>830</v>
      </c>
      <c r="I5942" s="3">
        <f>Vendas[[#This Row],[Valor Unitário]]*Vendas[[#This Row],[Qnt Vendida]]</f>
        <v>2490</v>
      </c>
      <c r="J5942" s="3">
        <f>Vendas[[#This Row],[Valor da Venda]]-(_xlfn.XLOOKUP(Vendas[[#This Row],[ID Item Vendido]],Agregado[ID],Agregado[Custo])*Vendas[[#This Row],[Qnt Vendida]])</f>
        <v>450</v>
      </c>
      <c r="K5942" s="70">
        <f>Vendas[[#This Row],[Lucro da Venda]]/Vendas[[#This Row],[Valor da Venda]]</f>
        <v>0.18072289156626506</v>
      </c>
      <c r="L5942" s="3">
        <f>_xlfn.IFS(Vendas[[#This Row],[Margem de Lucro (%)]]&lt;15%,Vendas[[#This Row],[Valor da Venda]]*3%,Vendas[[#This Row],[Margem de Lucro (%)]]&lt;=20%,Vendas[[#This Row],[Valor da Venda]]*4.5%,TRUE,Vendas[[#This Row],[Valor da Venda]]*6%)</f>
        <v>112.05</v>
      </c>
      <c r="M5942"/>
    </row>
    <row r="5943" spans="1:13" x14ac:dyDescent="0.3">
      <c r="A5943" s="7">
        <v>400250</v>
      </c>
      <c r="B5943" t="str">
        <f>_xlfn.XLOOKUP(Vendas[[#This Row],[ID Vendedor]],Vendedores[ID],Vendedores[Nome])</f>
        <v>Larissa</v>
      </c>
      <c r="C5943" s="7" t="str">
        <f>_xlfn.XLOOKUP(Vendas[[#This Row],[ID Vendedor]],Vendedores[ID],Vendedores[Setor])</f>
        <v>AB</v>
      </c>
      <c r="D5943" s="7" t="s">
        <v>37</v>
      </c>
      <c r="E5943" t="str">
        <f>_xlfn.XLOOKUP(Vendas[[#This Row],[ID Item Vendido]],Agregado[ID],Agregado[Produto])</f>
        <v>Composto de borracha para vedação rolo 10m</v>
      </c>
      <c r="F5943" s="39">
        <v>46238</v>
      </c>
      <c r="G5943" s="7">
        <v>12</v>
      </c>
      <c r="H5943" s="3">
        <f>_xlfn.XLOOKUP(Vendas[[#This Row],[ID Item Vendido]],Agregado[ID],Agregado[Revenda])</f>
        <v>51.2</v>
      </c>
      <c r="I5943" s="3">
        <f>Vendas[[#This Row],[Valor Unitário]]*Vendas[[#This Row],[Qnt Vendida]]</f>
        <v>614.40000000000009</v>
      </c>
      <c r="J5943" s="3">
        <f>Vendas[[#This Row],[Valor da Venda]]-(_xlfn.XLOOKUP(Vendas[[#This Row],[ID Item Vendido]],Agregado[ID],Agregado[Custo])*Vendas[[#This Row],[Qnt Vendida]])</f>
        <v>134.40000000000009</v>
      </c>
      <c r="K5943" s="70">
        <f>Vendas[[#This Row],[Lucro da Venda]]/Vendas[[#This Row],[Valor da Venda]]</f>
        <v>0.21875000000000011</v>
      </c>
      <c r="L5943" s="3">
        <f>_xlfn.IFS(Vendas[[#This Row],[Margem de Lucro (%)]]&lt;15%,Vendas[[#This Row],[Valor da Venda]]*3%,Vendas[[#This Row],[Margem de Lucro (%)]]&lt;=20%,Vendas[[#This Row],[Valor da Venda]]*4.5%,TRUE,Vendas[[#This Row],[Valor da Venda]]*6%)</f>
        <v>36.864000000000004</v>
      </c>
      <c r="M5943"/>
    </row>
    <row r="5944" spans="1:13" x14ac:dyDescent="0.3">
      <c r="A5944" s="7">
        <v>400242</v>
      </c>
      <c r="B5944" t="str">
        <f>_xlfn.XLOOKUP(Vendas[[#This Row],[ID Vendedor]],Vendedores[ID],Vendedores[Nome])</f>
        <v>Fernanda</v>
      </c>
      <c r="C5944" s="7" t="str">
        <f>_xlfn.XLOOKUP(Vendas[[#This Row],[ID Vendedor]],Vendedores[ID],Vendedores[Setor])</f>
        <v>FM</v>
      </c>
      <c r="D5944" s="7" t="s">
        <v>20</v>
      </c>
      <c r="E5944" t="str">
        <f>_xlfn.XLOOKUP(Vendas[[#This Row],[ID Item Vendido]],Agregado[ID],Agregado[Produto])</f>
        <v>Barra de aço simples</v>
      </c>
      <c r="F5944" s="39">
        <v>46238</v>
      </c>
      <c r="G5944" s="7">
        <v>116</v>
      </c>
      <c r="H5944" s="3">
        <f>_xlfn.XLOOKUP(Vendas[[#This Row],[ID Item Vendido]],Agregado[ID],Agregado[Revenda])</f>
        <v>4.8</v>
      </c>
      <c r="I5944" s="3">
        <f>Vendas[[#This Row],[Valor Unitário]]*Vendas[[#This Row],[Qnt Vendida]]</f>
        <v>556.79999999999995</v>
      </c>
      <c r="J5944" s="3">
        <f>Vendas[[#This Row],[Valor da Venda]]-(_xlfn.XLOOKUP(Vendas[[#This Row],[ID Item Vendido]],Agregado[ID],Agregado[Custo])*Vendas[[#This Row],[Qnt Vendida]])</f>
        <v>69.599999999999909</v>
      </c>
      <c r="K5944" s="70">
        <f>Vendas[[#This Row],[Lucro da Venda]]/Vendas[[#This Row],[Valor da Venda]]</f>
        <v>0.12499999999999985</v>
      </c>
      <c r="L5944" s="3">
        <f>_xlfn.IFS(Vendas[[#This Row],[Margem de Lucro (%)]]&lt;15%,Vendas[[#This Row],[Valor da Venda]]*3%,Vendas[[#This Row],[Margem de Lucro (%)]]&lt;=20%,Vendas[[#This Row],[Valor da Venda]]*4.5%,TRUE,Vendas[[#This Row],[Valor da Venda]]*6%)</f>
        <v>16.703999999999997</v>
      </c>
      <c r="M5944"/>
    </row>
    <row r="5945" spans="1:13" x14ac:dyDescent="0.3">
      <c r="A5945" s="7">
        <v>400254</v>
      </c>
      <c r="B5945" t="str">
        <f>_xlfn.XLOOKUP(Vendas[[#This Row],[ID Vendedor]],Vendedores[ID],Vendedores[Nome])</f>
        <v>Beatriz</v>
      </c>
      <c r="C5945" s="7" t="str">
        <f>_xlfn.XLOOKUP(Vendas[[#This Row],[ID Vendedor]],Vendedores[ID],Vendedores[Setor])</f>
        <v>SC</v>
      </c>
      <c r="D5945" s="7" t="s">
        <v>41</v>
      </c>
      <c r="E5945" t="str">
        <f>_xlfn.XLOOKUP(Vendas[[#This Row],[ID Item Vendido]],Agregado[ID],Agregado[Produto])</f>
        <v>Palete de madeira reforçado</v>
      </c>
      <c r="F5945" s="39">
        <v>46238</v>
      </c>
      <c r="G5945" s="7">
        <v>4</v>
      </c>
      <c r="H5945" s="3">
        <f>_xlfn.XLOOKUP(Vendas[[#This Row],[ID Item Vendido]],Agregado[ID],Agregado[Revenda])</f>
        <v>131</v>
      </c>
      <c r="I5945" s="3">
        <f>Vendas[[#This Row],[Valor Unitário]]*Vendas[[#This Row],[Qnt Vendida]]</f>
        <v>524</v>
      </c>
      <c r="J5945" s="3">
        <f>Vendas[[#This Row],[Valor da Venda]]-(_xlfn.XLOOKUP(Vendas[[#This Row],[ID Item Vendido]],Agregado[ID],Agregado[Custo])*Vendas[[#This Row],[Qnt Vendida]])</f>
        <v>84</v>
      </c>
      <c r="K5945" s="70">
        <f>Vendas[[#This Row],[Lucro da Venda]]/Vendas[[#This Row],[Valor da Venda]]</f>
        <v>0.16030534351145037</v>
      </c>
      <c r="L5945" s="3">
        <f>_xlfn.IFS(Vendas[[#This Row],[Margem de Lucro (%)]]&lt;15%,Vendas[[#This Row],[Valor da Venda]]*3%,Vendas[[#This Row],[Margem de Lucro (%)]]&lt;=20%,Vendas[[#This Row],[Valor da Venda]]*4.5%,TRUE,Vendas[[#This Row],[Valor da Venda]]*6%)</f>
        <v>23.58</v>
      </c>
      <c r="M5945"/>
    </row>
    <row r="5946" spans="1:13" x14ac:dyDescent="0.3">
      <c r="A5946" s="7">
        <v>400241</v>
      </c>
      <c r="B5946" t="str">
        <f>_xlfn.XLOOKUP(Vendas[[#This Row],[ID Vendedor]],Vendedores[ID],Vendedores[Nome])</f>
        <v>Rodrigo</v>
      </c>
      <c r="C5946" s="7" t="str">
        <f>_xlfn.XLOOKUP(Vendas[[#This Row],[ID Vendedor]],Vendedores[ID],Vendedores[Setor])</f>
        <v>FM</v>
      </c>
      <c r="D5946" s="7" t="s">
        <v>31</v>
      </c>
      <c r="E5946" t="str">
        <f>_xlfn.XLOOKUP(Vendas[[#This Row],[ID Item Vendido]],Agregado[ID],Agregado[Produto])</f>
        <v>Tela de metal soldada rolo 2x25m</v>
      </c>
      <c r="F5946" s="39">
        <v>46239</v>
      </c>
      <c r="G5946" s="7">
        <v>13</v>
      </c>
      <c r="H5946" s="3">
        <f>_xlfn.XLOOKUP(Vendas[[#This Row],[ID Item Vendido]],Agregado[ID],Agregado[Revenda])</f>
        <v>43.7</v>
      </c>
      <c r="I5946" s="3">
        <f>Vendas[[#This Row],[Valor Unitário]]*Vendas[[#This Row],[Qnt Vendida]]</f>
        <v>568.1</v>
      </c>
      <c r="J5946" s="3">
        <f>Vendas[[#This Row],[Valor da Venda]]-(_xlfn.XLOOKUP(Vendas[[#This Row],[ID Item Vendido]],Agregado[ID],Agregado[Custo])*Vendas[[#This Row],[Qnt Vendida]])</f>
        <v>74.100000000000023</v>
      </c>
      <c r="K5946" s="70">
        <f>Vendas[[#This Row],[Lucro da Venda]]/Vendas[[#This Row],[Valor da Venda]]</f>
        <v>0.13043478260869568</v>
      </c>
      <c r="L5946" s="3">
        <f>_xlfn.IFS(Vendas[[#This Row],[Margem de Lucro (%)]]&lt;15%,Vendas[[#This Row],[Valor da Venda]]*3%,Vendas[[#This Row],[Margem de Lucro (%)]]&lt;=20%,Vendas[[#This Row],[Valor da Venda]]*4.5%,TRUE,Vendas[[#This Row],[Valor da Venda]]*6%)</f>
        <v>17.042999999999999</v>
      </c>
      <c r="M5946"/>
    </row>
    <row r="5947" spans="1:13" x14ac:dyDescent="0.3">
      <c r="A5947" s="7">
        <v>400253</v>
      </c>
      <c r="B5947" t="str">
        <f>_xlfn.XLOOKUP(Vendas[[#This Row],[ID Vendedor]],Vendedores[ID],Vendedores[Nome])</f>
        <v>Gustavo</v>
      </c>
      <c r="C5947" s="7" t="str">
        <f>_xlfn.XLOOKUP(Vendas[[#This Row],[ID Vendedor]],Vendedores[ID],Vendedores[Setor])</f>
        <v>SC</v>
      </c>
      <c r="D5947" s="7" t="s">
        <v>25</v>
      </c>
      <c r="E5947" t="str">
        <f>_xlfn.XLOOKUP(Vendas[[#This Row],[ID Item Vendido]],Agregado[ID],Agregado[Produto])</f>
        <v>Palete de plástico</v>
      </c>
      <c r="F5947" s="39">
        <v>46239</v>
      </c>
      <c r="G5947" s="7">
        <v>1</v>
      </c>
      <c r="H5947" s="3">
        <f>_xlfn.XLOOKUP(Vendas[[#This Row],[ID Item Vendido]],Agregado[ID],Agregado[Revenda])</f>
        <v>70.8</v>
      </c>
      <c r="I5947" s="3">
        <f>Vendas[[#This Row],[Valor Unitário]]*Vendas[[#This Row],[Qnt Vendida]]</f>
        <v>70.8</v>
      </c>
      <c r="J5947" s="3">
        <f>Vendas[[#This Row],[Valor da Venda]]-(_xlfn.XLOOKUP(Vendas[[#This Row],[ID Item Vendido]],Agregado[ID],Agregado[Custo])*Vendas[[#This Row],[Qnt Vendida]])</f>
        <v>10.799999999999997</v>
      </c>
      <c r="K5947" s="70">
        <f>Vendas[[#This Row],[Lucro da Venda]]/Vendas[[#This Row],[Valor da Venda]]</f>
        <v>0.15254237288135589</v>
      </c>
      <c r="L5947" s="3">
        <f>_xlfn.IFS(Vendas[[#This Row],[Margem de Lucro (%)]]&lt;15%,Vendas[[#This Row],[Valor da Venda]]*3%,Vendas[[#This Row],[Margem de Lucro (%)]]&lt;=20%,Vendas[[#This Row],[Valor da Venda]]*4.5%,TRUE,Vendas[[#This Row],[Valor da Venda]]*6%)</f>
        <v>3.1859999999999999</v>
      </c>
      <c r="M5947"/>
    </row>
    <row r="5948" spans="1:13" x14ac:dyDescent="0.3">
      <c r="A5948" s="7">
        <v>400254</v>
      </c>
      <c r="B5948" t="str">
        <f>_xlfn.XLOOKUP(Vendas[[#This Row],[ID Vendedor]],Vendedores[ID],Vendedores[Nome])</f>
        <v>Beatriz</v>
      </c>
      <c r="C5948" s="7" t="str">
        <f>_xlfn.XLOOKUP(Vendas[[#This Row],[ID Vendedor]],Vendedores[ID],Vendedores[Setor])</f>
        <v>SC</v>
      </c>
      <c r="D5948" s="7" t="s">
        <v>14</v>
      </c>
      <c r="E5948" t="str">
        <f>_xlfn.XLOOKUP(Vendas[[#This Row],[ID Item Vendido]],Agregado[ID],Agregado[Produto])</f>
        <v>Barril de plástico 200L</v>
      </c>
      <c r="F5948" s="39">
        <v>46240</v>
      </c>
      <c r="G5948" s="7">
        <v>17</v>
      </c>
      <c r="H5948" s="3">
        <f>_xlfn.XLOOKUP(Vendas[[#This Row],[ID Item Vendido]],Agregado[ID],Agregado[Revenda])</f>
        <v>114</v>
      </c>
      <c r="I5948" s="3">
        <f>Vendas[[#This Row],[Valor Unitário]]*Vendas[[#This Row],[Qnt Vendida]]</f>
        <v>1938</v>
      </c>
      <c r="J5948" s="3">
        <f>Vendas[[#This Row],[Valor da Venda]]-(_xlfn.XLOOKUP(Vendas[[#This Row],[ID Item Vendido]],Agregado[ID],Agregado[Custo])*Vendas[[#This Row],[Qnt Vendida]])</f>
        <v>323</v>
      </c>
      <c r="K5948" s="70">
        <f>Vendas[[#This Row],[Lucro da Venda]]/Vendas[[#This Row],[Valor da Venda]]</f>
        <v>0.16666666666666666</v>
      </c>
      <c r="L5948" s="3">
        <f>_xlfn.IFS(Vendas[[#This Row],[Margem de Lucro (%)]]&lt;15%,Vendas[[#This Row],[Valor da Venda]]*3%,Vendas[[#This Row],[Margem de Lucro (%)]]&lt;=20%,Vendas[[#This Row],[Valor da Venda]]*4.5%,TRUE,Vendas[[#This Row],[Valor da Venda]]*6%)</f>
        <v>87.21</v>
      </c>
      <c r="M5948"/>
    </row>
    <row r="5949" spans="1:13" x14ac:dyDescent="0.3">
      <c r="A5949" s="7">
        <v>400246</v>
      </c>
      <c r="B5949" t="str">
        <f>_xlfn.XLOOKUP(Vendas[[#This Row],[ID Vendedor]],Vendedores[ID],Vendedores[Nome])</f>
        <v>Juliana</v>
      </c>
      <c r="C5949" s="7" t="str">
        <f>_xlfn.XLOOKUP(Vendas[[#This Row],[ID Vendedor]],Vendedores[ID],Vendedores[Setor])</f>
        <v>AHD</v>
      </c>
      <c r="D5949" s="7" t="s">
        <v>30</v>
      </c>
      <c r="E5949" t="str">
        <f>_xlfn.XLOOKUP(Vendas[[#This Row],[ID Item Vendido]],Agregado[ID],Agregado[Produto])</f>
        <v>Estrutura metálica soldada</v>
      </c>
      <c r="F5949" s="39">
        <v>46240</v>
      </c>
      <c r="G5949" s="7">
        <v>4</v>
      </c>
      <c r="H5949" s="3">
        <f>_xlfn.XLOOKUP(Vendas[[#This Row],[ID Item Vendido]],Agregado[ID],Agregado[Revenda])</f>
        <v>400</v>
      </c>
      <c r="I5949" s="3">
        <f>Vendas[[#This Row],[Valor Unitário]]*Vendas[[#This Row],[Qnt Vendida]]</f>
        <v>1600</v>
      </c>
      <c r="J5949" s="3">
        <f>Vendas[[#This Row],[Valor da Venda]]-(_xlfn.XLOOKUP(Vendas[[#This Row],[ID Item Vendido]],Agregado[ID],Agregado[Custo])*Vendas[[#This Row],[Qnt Vendida]])</f>
        <v>320</v>
      </c>
      <c r="K5949" s="70">
        <f>Vendas[[#This Row],[Lucro da Venda]]/Vendas[[#This Row],[Valor da Venda]]</f>
        <v>0.2</v>
      </c>
      <c r="L5949" s="3">
        <f>_xlfn.IFS(Vendas[[#This Row],[Margem de Lucro (%)]]&lt;15%,Vendas[[#This Row],[Valor da Venda]]*3%,Vendas[[#This Row],[Margem de Lucro (%)]]&lt;=20%,Vendas[[#This Row],[Valor da Venda]]*4.5%,TRUE,Vendas[[#This Row],[Valor da Venda]]*6%)</f>
        <v>72</v>
      </c>
      <c r="M5949"/>
    </row>
    <row r="5950" spans="1:13" x14ac:dyDescent="0.3">
      <c r="A5950" s="7">
        <v>400251</v>
      </c>
      <c r="B5950" t="str">
        <f>_xlfn.XLOOKUP(Vendas[[#This Row],[ID Vendedor]],Vendedores[ID],Vendedores[Nome])</f>
        <v>Diego</v>
      </c>
      <c r="C5950" s="7" t="str">
        <f>_xlfn.XLOOKUP(Vendas[[#This Row],[ID Vendedor]],Vendedores[ID],Vendedores[Setor])</f>
        <v>AB</v>
      </c>
      <c r="D5950" s="7" t="s">
        <v>39</v>
      </c>
      <c r="E5950" t="str">
        <f>_xlfn.XLOOKUP(Vendas[[#This Row],[ID Item Vendido]],Agregado[ID],Agregado[Produto])</f>
        <v>Filme plástico industrial rolo 50m</v>
      </c>
      <c r="F5950" s="39">
        <v>46240</v>
      </c>
      <c r="G5950" s="7">
        <v>26</v>
      </c>
      <c r="H5950" s="3">
        <f>_xlfn.XLOOKUP(Vendas[[#This Row],[ID Item Vendido]],Agregado[ID],Agregado[Revenda])</f>
        <v>37</v>
      </c>
      <c r="I5950" s="3">
        <f>Vendas[[#This Row],[Valor Unitário]]*Vendas[[#This Row],[Qnt Vendida]]</f>
        <v>962</v>
      </c>
      <c r="J5950" s="3">
        <f>Vendas[[#This Row],[Valor da Venda]]-(_xlfn.XLOOKUP(Vendas[[#This Row],[ID Item Vendido]],Agregado[ID],Agregado[Custo])*Vendas[[#This Row],[Qnt Vendida]])</f>
        <v>234</v>
      </c>
      <c r="K5950" s="70">
        <f>Vendas[[#This Row],[Lucro da Venda]]/Vendas[[#This Row],[Valor da Venda]]</f>
        <v>0.24324324324324326</v>
      </c>
      <c r="L5950" s="3">
        <f>_xlfn.IFS(Vendas[[#This Row],[Margem de Lucro (%)]]&lt;15%,Vendas[[#This Row],[Valor da Venda]]*3%,Vendas[[#This Row],[Margem de Lucro (%)]]&lt;=20%,Vendas[[#This Row],[Valor da Venda]]*4.5%,TRUE,Vendas[[#This Row],[Valor da Venda]]*6%)</f>
        <v>57.72</v>
      </c>
      <c r="M5950"/>
    </row>
    <row r="5951" spans="1:13" x14ac:dyDescent="0.3">
      <c r="A5951" s="7">
        <v>400248</v>
      </c>
      <c r="B5951" t="str">
        <f>_xlfn.XLOOKUP(Vendas[[#This Row],[ID Vendedor]],Vendedores[ID],Vendedores[Nome])</f>
        <v>Patrícia</v>
      </c>
      <c r="C5951" s="7" t="str">
        <f>_xlfn.XLOOKUP(Vendas[[#This Row],[ID Vendedor]],Vendedores[ID],Vendedores[Setor])</f>
        <v>CM</v>
      </c>
      <c r="D5951" s="7" t="s">
        <v>22</v>
      </c>
      <c r="E5951" t="str">
        <f>_xlfn.XLOOKUP(Vendas[[#This Row],[ID Item Vendido]],Agregado[ID],Agregado[Produto])</f>
        <v>Painel MDP 2,75x1,83m</v>
      </c>
      <c r="F5951" s="39">
        <v>46242</v>
      </c>
      <c r="G5951" s="7">
        <v>20</v>
      </c>
      <c r="H5951" s="3">
        <f>_xlfn.XLOOKUP(Vendas[[#This Row],[ID Item Vendido]],Agregado[ID],Agregado[Revenda])</f>
        <v>119</v>
      </c>
      <c r="I5951" s="3">
        <f>Vendas[[#This Row],[Valor Unitário]]*Vendas[[#This Row],[Qnt Vendida]]</f>
        <v>2380</v>
      </c>
      <c r="J5951" s="3">
        <f>Vendas[[#This Row],[Valor da Venda]]-(_xlfn.XLOOKUP(Vendas[[#This Row],[ID Item Vendido]],Agregado[ID],Agregado[Custo])*Vendas[[#This Row],[Qnt Vendida]])</f>
        <v>480</v>
      </c>
      <c r="K5951" s="70">
        <f>Vendas[[#This Row],[Lucro da Venda]]/Vendas[[#This Row],[Valor da Venda]]</f>
        <v>0.20168067226890757</v>
      </c>
      <c r="L5951" s="3">
        <f>_xlfn.IFS(Vendas[[#This Row],[Margem de Lucro (%)]]&lt;15%,Vendas[[#This Row],[Valor da Venda]]*3%,Vendas[[#This Row],[Margem de Lucro (%)]]&lt;=20%,Vendas[[#This Row],[Valor da Venda]]*4.5%,TRUE,Vendas[[#This Row],[Valor da Venda]]*6%)</f>
        <v>142.79999999999998</v>
      </c>
      <c r="M5951"/>
    </row>
    <row r="5952" spans="1:13" x14ac:dyDescent="0.3">
      <c r="A5952" s="7">
        <v>400252</v>
      </c>
      <c r="B5952" t="str">
        <f>_xlfn.XLOOKUP(Vendas[[#This Row],[ID Vendedor]],Vendedores[ID],Vendedores[Nome])</f>
        <v>Renata</v>
      </c>
      <c r="C5952" s="7" t="str">
        <f>_xlfn.XLOOKUP(Vendas[[#This Row],[ID Vendedor]],Vendedores[ID],Vendedores[Setor])</f>
        <v>AB</v>
      </c>
      <c r="D5952" s="7" t="s">
        <v>39</v>
      </c>
      <c r="E5952" t="str">
        <f>_xlfn.XLOOKUP(Vendas[[#This Row],[ID Item Vendido]],Agregado[ID],Agregado[Produto])</f>
        <v>Filme plástico industrial rolo 50m</v>
      </c>
      <c r="F5952" s="39">
        <v>46242</v>
      </c>
      <c r="G5952" s="7">
        <v>21</v>
      </c>
      <c r="H5952" s="3">
        <f>_xlfn.XLOOKUP(Vendas[[#This Row],[ID Item Vendido]],Agregado[ID],Agregado[Revenda])</f>
        <v>37</v>
      </c>
      <c r="I5952" s="3">
        <f>Vendas[[#This Row],[Valor Unitário]]*Vendas[[#This Row],[Qnt Vendida]]</f>
        <v>777</v>
      </c>
      <c r="J5952" s="3">
        <f>Vendas[[#This Row],[Valor da Venda]]-(_xlfn.XLOOKUP(Vendas[[#This Row],[ID Item Vendido]],Agregado[ID],Agregado[Custo])*Vendas[[#This Row],[Qnt Vendida]])</f>
        <v>189</v>
      </c>
      <c r="K5952" s="70">
        <f>Vendas[[#This Row],[Lucro da Venda]]/Vendas[[#This Row],[Valor da Venda]]</f>
        <v>0.24324324324324326</v>
      </c>
      <c r="L5952" s="3">
        <f>_xlfn.IFS(Vendas[[#This Row],[Margem de Lucro (%)]]&lt;15%,Vendas[[#This Row],[Valor da Venda]]*3%,Vendas[[#This Row],[Margem de Lucro (%)]]&lt;=20%,Vendas[[#This Row],[Valor da Venda]]*4.5%,TRUE,Vendas[[#This Row],[Valor da Venda]]*6%)</f>
        <v>46.62</v>
      </c>
      <c r="M5952"/>
    </row>
    <row r="5953" spans="1:13" x14ac:dyDescent="0.3">
      <c r="A5953" s="7">
        <v>400248</v>
      </c>
      <c r="B5953" t="str">
        <f>_xlfn.XLOOKUP(Vendas[[#This Row],[ID Vendedor]],Vendedores[ID],Vendedores[Nome])</f>
        <v>Patrícia</v>
      </c>
      <c r="C5953" s="7" t="str">
        <f>_xlfn.XLOOKUP(Vendas[[#This Row],[ID Vendedor]],Vendedores[ID],Vendedores[Setor])</f>
        <v>CM</v>
      </c>
      <c r="D5953" s="7" t="s">
        <v>34</v>
      </c>
      <c r="E5953" t="str">
        <f>_xlfn.XLOOKUP(Vendas[[#This Row],[ID Item Vendido]],Agregado[ID],Agregado[Produto])</f>
        <v>Restos de madeira p/ MDP/OSB saco de 20kg</v>
      </c>
      <c r="F5953" s="39">
        <v>46242</v>
      </c>
      <c r="G5953" s="7">
        <v>17</v>
      </c>
      <c r="H5953" s="3">
        <f>_xlfn.XLOOKUP(Vendas[[#This Row],[ID Item Vendido]],Agregado[ID],Agregado[Revenda])</f>
        <v>13.8</v>
      </c>
      <c r="I5953" s="3">
        <f>Vendas[[#This Row],[Valor Unitário]]*Vendas[[#This Row],[Qnt Vendida]]</f>
        <v>234.60000000000002</v>
      </c>
      <c r="J5953" s="3">
        <f>Vendas[[#This Row],[Valor da Venda]]-(_xlfn.XLOOKUP(Vendas[[#This Row],[ID Item Vendido]],Agregado[ID],Agregado[Custo])*Vendas[[#This Row],[Qnt Vendida]])</f>
        <v>30.600000000000023</v>
      </c>
      <c r="K5953" s="70">
        <f>Vendas[[#This Row],[Lucro da Venda]]/Vendas[[#This Row],[Valor da Venda]]</f>
        <v>0.13043478260869573</v>
      </c>
      <c r="L5953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5953"/>
    </row>
    <row r="5954" spans="1:13" x14ac:dyDescent="0.3">
      <c r="A5954" s="7">
        <v>400251</v>
      </c>
      <c r="B5954" t="str">
        <f>_xlfn.XLOOKUP(Vendas[[#This Row],[ID Vendedor]],Vendedores[ID],Vendedores[Nome])</f>
        <v>Diego</v>
      </c>
      <c r="C5954" s="7" t="str">
        <f>_xlfn.XLOOKUP(Vendas[[#This Row],[ID Vendedor]],Vendedores[ID],Vendedores[Setor])</f>
        <v>AB</v>
      </c>
      <c r="D5954" s="7" t="s">
        <v>37</v>
      </c>
      <c r="E5954" t="str">
        <f>_xlfn.XLOOKUP(Vendas[[#This Row],[ID Item Vendido]],Agregado[ID],Agregado[Produto])</f>
        <v>Composto de borracha para vedação rolo 10m</v>
      </c>
      <c r="F5954" s="39">
        <v>46243</v>
      </c>
      <c r="G5954" s="7">
        <v>19</v>
      </c>
      <c r="H5954" s="3">
        <f>_xlfn.XLOOKUP(Vendas[[#This Row],[ID Item Vendido]],Agregado[ID],Agregado[Revenda])</f>
        <v>51.2</v>
      </c>
      <c r="I5954" s="3">
        <f>Vendas[[#This Row],[Valor Unitário]]*Vendas[[#This Row],[Qnt Vendida]]</f>
        <v>972.80000000000007</v>
      </c>
      <c r="J5954" s="3">
        <f>Vendas[[#This Row],[Valor da Venda]]-(_xlfn.XLOOKUP(Vendas[[#This Row],[ID Item Vendido]],Agregado[ID],Agregado[Custo])*Vendas[[#This Row],[Qnt Vendida]])</f>
        <v>212.80000000000007</v>
      </c>
      <c r="K5954" s="70">
        <f>Vendas[[#This Row],[Lucro da Venda]]/Vendas[[#This Row],[Valor da Venda]]</f>
        <v>0.21875000000000006</v>
      </c>
      <c r="L5954" s="3">
        <f>_xlfn.IFS(Vendas[[#This Row],[Margem de Lucro (%)]]&lt;15%,Vendas[[#This Row],[Valor da Venda]]*3%,Vendas[[#This Row],[Margem de Lucro (%)]]&lt;=20%,Vendas[[#This Row],[Valor da Venda]]*4.5%,TRUE,Vendas[[#This Row],[Valor da Venda]]*6%)</f>
        <v>58.368000000000002</v>
      </c>
      <c r="M5954"/>
    </row>
    <row r="5955" spans="1:13" x14ac:dyDescent="0.3">
      <c r="A5955" s="7">
        <v>400252</v>
      </c>
      <c r="B5955" t="str">
        <f>_xlfn.XLOOKUP(Vendas[[#This Row],[ID Vendedor]],Vendedores[ID],Vendedores[Nome])</f>
        <v>Renata</v>
      </c>
      <c r="C5955" s="7" t="str">
        <f>_xlfn.XLOOKUP(Vendas[[#This Row],[ID Vendedor]],Vendedores[ID],Vendedores[Setor])</f>
        <v>AB</v>
      </c>
      <c r="D5955" s="7" t="s">
        <v>36</v>
      </c>
      <c r="E5955" t="str">
        <f>_xlfn.XLOOKUP(Vendas[[#This Row],[ID Item Vendido]],Agregado[ID],Agregado[Produto])</f>
        <v>Borracha vulcanizada em manta</v>
      </c>
      <c r="F5955" s="39">
        <v>46243</v>
      </c>
      <c r="G5955" s="7">
        <v>28</v>
      </c>
      <c r="H5955" s="3">
        <f>_xlfn.XLOOKUP(Vendas[[#This Row],[ID Item Vendido]],Agregado[ID],Agregado[Revenda])</f>
        <v>7.8</v>
      </c>
      <c r="I5955" s="3">
        <f>Vendas[[#This Row],[Valor Unitário]]*Vendas[[#This Row],[Qnt Vendida]]</f>
        <v>218.4</v>
      </c>
      <c r="J5955" s="3">
        <f>Vendas[[#This Row],[Valor da Venda]]-(_xlfn.XLOOKUP(Vendas[[#This Row],[ID Item Vendido]],Agregado[ID],Agregado[Custo])*Vendas[[#This Row],[Qnt Vendida]])</f>
        <v>50.400000000000006</v>
      </c>
      <c r="K5955" s="70">
        <f>Vendas[[#This Row],[Lucro da Venda]]/Vendas[[#This Row],[Valor da Venda]]</f>
        <v>0.23076923076923078</v>
      </c>
      <c r="L5955" s="3">
        <f>_xlfn.IFS(Vendas[[#This Row],[Margem de Lucro (%)]]&lt;15%,Vendas[[#This Row],[Valor da Venda]]*3%,Vendas[[#This Row],[Margem de Lucro (%)]]&lt;=20%,Vendas[[#This Row],[Valor da Venda]]*4.5%,TRUE,Vendas[[#This Row],[Valor da Venda]]*6%)</f>
        <v>13.103999999999999</v>
      </c>
      <c r="M5955"/>
    </row>
    <row r="5956" spans="1:13" x14ac:dyDescent="0.3">
      <c r="A5956" s="7">
        <v>400248</v>
      </c>
      <c r="B5956" t="str">
        <f>_xlfn.XLOOKUP(Vendas[[#This Row],[ID Vendedor]],Vendedores[ID],Vendedores[Nome])</f>
        <v>Patrícia</v>
      </c>
      <c r="C5956" s="7" t="str">
        <f>_xlfn.XLOOKUP(Vendas[[#This Row],[ID Vendedor]],Vendedores[ID],Vendedores[Setor])</f>
        <v>CM</v>
      </c>
      <c r="D5956" s="7" t="s">
        <v>22</v>
      </c>
      <c r="E5956" t="str">
        <f>_xlfn.XLOOKUP(Vendas[[#This Row],[ID Item Vendido]],Agregado[ID],Agregado[Produto])</f>
        <v>Painel MDP 2,75x1,83m</v>
      </c>
      <c r="F5956" s="39">
        <v>46244</v>
      </c>
      <c r="G5956" s="7">
        <v>25</v>
      </c>
      <c r="H5956" s="3">
        <f>_xlfn.XLOOKUP(Vendas[[#This Row],[ID Item Vendido]],Agregado[ID],Agregado[Revenda])</f>
        <v>119</v>
      </c>
      <c r="I5956" s="3">
        <f>Vendas[[#This Row],[Valor Unitário]]*Vendas[[#This Row],[Qnt Vendida]]</f>
        <v>2975</v>
      </c>
      <c r="J5956" s="3">
        <f>Vendas[[#This Row],[Valor da Venda]]-(_xlfn.XLOOKUP(Vendas[[#This Row],[ID Item Vendido]],Agregado[ID],Agregado[Custo])*Vendas[[#This Row],[Qnt Vendida]])</f>
        <v>600</v>
      </c>
      <c r="K5956" s="70">
        <f>Vendas[[#This Row],[Lucro da Venda]]/Vendas[[#This Row],[Valor da Venda]]</f>
        <v>0.20168067226890757</v>
      </c>
      <c r="L5956" s="3">
        <f>_xlfn.IFS(Vendas[[#This Row],[Margem de Lucro (%)]]&lt;15%,Vendas[[#This Row],[Valor da Venda]]*3%,Vendas[[#This Row],[Margem de Lucro (%)]]&lt;=20%,Vendas[[#This Row],[Valor da Venda]]*4.5%,TRUE,Vendas[[#This Row],[Valor da Venda]]*6%)</f>
        <v>178.5</v>
      </c>
      <c r="M5956"/>
    </row>
    <row r="5957" spans="1:13" x14ac:dyDescent="0.3">
      <c r="A5957" s="7">
        <v>400253</v>
      </c>
      <c r="B5957" t="str">
        <f>_xlfn.XLOOKUP(Vendas[[#This Row],[ID Vendedor]],Vendedores[ID],Vendedores[Nome])</f>
        <v>Gustavo</v>
      </c>
      <c r="C5957" s="7" t="str">
        <f>_xlfn.XLOOKUP(Vendas[[#This Row],[ID Vendedor]],Vendedores[ID],Vendedores[Setor])</f>
        <v>SC</v>
      </c>
      <c r="D5957" s="7" t="s">
        <v>41</v>
      </c>
      <c r="E5957" t="str">
        <f>_xlfn.XLOOKUP(Vendas[[#This Row],[ID Item Vendido]],Agregado[ID],Agregado[Produto])</f>
        <v>Palete de madeira reforçado</v>
      </c>
      <c r="F5957" s="39">
        <v>46244</v>
      </c>
      <c r="G5957" s="7">
        <v>6</v>
      </c>
      <c r="H5957" s="3">
        <f>_xlfn.XLOOKUP(Vendas[[#This Row],[ID Item Vendido]],Agregado[ID],Agregado[Revenda])</f>
        <v>131</v>
      </c>
      <c r="I5957" s="3">
        <f>Vendas[[#This Row],[Valor Unitário]]*Vendas[[#This Row],[Qnt Vendida]]</f>
        <v>786</v>
      </c>
      <c r="J5957" s="3">
        <f>Vendas[[#This Row],[Valor da Venda]]-(_xlfn.XLOOKUP(Vendas[[#This Row],[ID Item Vendido]],Agregado[ID],Agregado[Custo])*Vendas[[#This Row],[Qnt Vendida]])</f>
        <v>126</v>
      </c>
      <c r="K5957" s="70">
        <f>Vendas[[#This Row],[Lucro da Venda]]/Vendas[[#This Row],[Valor da Venda]]</f>
        <v>0.16030534351145037</v>
      </c>
      <c r="L5957" s="3">
        <f>_xlfn.IFS(Vendas[[#This Row],[Margem de Lucro (%)]]&lt;15%,Vendas[[#This Row],[Valor da Venda]]*3%,Vendas[[#This Row],[Margem de Lucro (%)]]&lt;=20%,Vendas[[#This Row],[Valor da Venda]]*4.5%,TRUE,Vendas[[#This Row],[Valor da Venda]]*6%)</f>
        <v>35.369999999999997</v>
      </c>
      <c r="M5957"/>
    </row>
    <row r="5958" spans="1:13" x14ac:dyDescent="0.3">
      <c r="A5958" s="7">
        <v>400254</v>
      </c>
      <c r="B5958" t="str">
        <f>_xlfn.XLOOKUP(Vendas[[#This Row],[ID Vendedor]],Vendedores[ID],Vendedores[Nome])</f>
        <v>Beatriz</v>
      </c>
      <c r="C5958" s="7" t="str">
        <f>_xlfn.XLOOKUP(Vendas[[#This Row],[ID Vendedor]],Vendedores[ID],Vendedores[Setor])</f>
        <v>SC</v>
      </c>
      <c r="D5958" s="7" t="s">
        <v>42</v>
      </c>
      <c r="E5958" t="str">
        <f>_xlfn.XLOOKUP(Vendas[[#This Row],[ID Item Vendido]],Agregado[ID],Agregado[Produto])</f>
        <v>Container de ferro industrial</v>
      </c>
      <c r="F5958" s="39">
        <v>46245</v>
      </c>
      <c r="G5958" s="7">
        <v>5</v>
      </c>
      <c r="H5958" s="3">
        <f>_xlfn.XLOOKUP(Vendas[[#This Row],[ID Item Vendido]],Agregado[ID],Agregado[Revenda])</f>
        <v>830</v>
      </c>
      <c r="I5958" s="3">
        <f>Vendas[[#This Row],[Valor Unitário]]*Vendas[[#This Row],[Qnt Vendida]]</f>
        <v>4150</v>
      </c>
      <c r="J5958" s="3">
        <f>Vendas[[#This Row],[Valor da Venda]]-(_xlfn.XLOOKUP(Vendas[[#This Row],[ID Item Vendido]],Agregado[ID],Agregado[Custo])*Vendas[[#This Row],[Qnt Vendida]])</f>
        <v>750</v>
      </c>
      <c r="K5958" s="70">
        <f>Vendas[[#This Row],[Lucro da Venda]]/Vendas[[#This Row],[Valor da Venda]]</f>
        <v>0.18072289156626506</v>
      </c>
      <c r="L5958" s="3">
        <f>_xlfn.IFS(Vendas[[#This Row],[Margem de Lucro (%)]]&lt;15%,Vendas[[#This Row],[Valor da Venda]]*3%,Vendas[[#This Row],[Margem de Lucro (%)]]&lt;=20%,Vendas[[#This Row],[Valor da Venda]]*4.5%,TRUE,Vendas[[#This Row],[Valor da Venda]]*6%)</f>
        <v>186.75</v>
      </c>
      <c r="M5958"/>
    </row>
    <row r="5959" spans="1:13" x14ac:dyDescent="0.3">
      <c r="A5959" s="7">
        <v>400248</v>
      </c>
      <c r="B5959" t="str">
        <f>_xlfn.XLOOKUP(Vendas[[#This Row],[ID Vendedor]],Vendedores[ID],Vendedores[Nome])</f>
        <v>Patrícia</v>
      </c>
      <c r="C5959" s="7" t="str">
        <f>_xlfn.XLOOKUP(Vendas[[#This Row],[ID Vendedor]],Vendedores[ID],Vendedores[Setor])</f>
        <v>CM</v>
      </c>
      <c r="D5959" s="7" t="s">
        <v>22</v>
      </c>
      <c r="E5959" t="str">
        <f>_xlfn.XLOOKUP(Vendas[[#This Row],[ID Item Vendido]],Agregado[ID],Agregado[Produto])</f>
        <v>Painel MDP 2,75x1,83m</v>
      </c>
      <c r="F5959" s="39">
        <v>46246</v>
      </c>
      <c r="G5959" s="7">
        <v>24</v>
      </c>
      <c r="H5959" s="3">
        <f>_xlfn.XLOOKUP(Vendas[[#This Row],[ID Item Vendido]],Agregado[ID],Agregado[Revenda])</f>
        <v>119</v>
      </c>
      <c r="I5959" s="3">
        <f>Vendas[[#This Row],[Valor Unitário]]*Vendas[[#This Row],[Qnt Vendida]]</f>
        <v>2856</v>
      </c>
      <c r="J5959" s="3">
        <f>Vendas[[#This Row],[Valor da Venda]]-(_xlfn.XLOOKUP(Vendas[[#This Row],[ID Item Vendido]],Agregado[ID],Agregado[Custo])*Vendas[[#This Row],[Qnt Vendida]])</f>
        <v>576</v>
      </c>
      <c r="K5959" s="70">
        <f>Vendas[[#This Row],[Lucro da Venda]]/Vendas[[#This Row],[Valor da Venda]]</f>
        <v>0.20168067226890757</v>
      </c>
      <c r="L5959" s="3">
        <f>_xlfn.IFS(Vendas[[#This Row],[Margem de Lucro (%)]]&lt;15%,Vendas[[#This Row],[Valor da Venda]]*3%,Vendas[[#This Row],[Margem de Lucro (%)]]&lt;=20%,Vendas[[#This Row],[Valor da Venda]]*4.5%,TRUE,Vendas[[#This Row],[Valor da Venda]]*6%)</f>
        <v>171.35999999999999</v>
      </c>
      <c r="M5959"/>
    </row>
    <row r="5960" spans="1:13" x14ac:dyDescent="0.3">
      <c r="A5960" s="7">
        <v>400247</v>
      </c>
      <c r="B5960" t="str">
        <f>_xlfn.XLOOKUP(Vendas[[#This Row],[ID Vendedor]],Vendedores[ID],Vendedores[Nome])</f>
        <v>André</v>
      </c>
      <c r="C5960" s="7" t="str">
        <f>_xlfn.XLOOKUP(Vendas[[#This Row],[ID Vendedor]],Vendedores[ID],Vendedores[Setor])</f>
        <v>CM</v>
      </c>
      <c r="D5960" s="7" t="s">
        <v>22</v>
      </c>
      <c r="E5960" t="str">
        <f>_xlfn.XLOOKUP(Vendas[[#This Row],[ID Item Vendido]],Agregado[ID],Agregado[Produto])</f>
        <v>Painel MDP 2,75x1,83m</v>
      </c>
      <c r="F5960" s="39">
        <v>46246</v>
      </c>
      <c r="G5960" s="7">
        <v>18</v>
      </c>
      <c r="H5960" s="3">
        <f>_xlfn.XLOOKUP(Vendas[[#This Row],[ID Item Vendido]],Agregado[ID],Agregado[Revenda])</f>
        <v>119</v>
      </c>
      <c r="I5960" s="3">
        <f>Vendas[[#This Row],[Valor Unitário]]*Vendas[[#This Row],[Qnt Vendida]]</f>
        <v>2142</v>
      </c>
      <c r="J5960" s="3">
        <f>Vendas[[#This Row],[Valor da Venda]]-(_xlfn.XLOOKUP(Vendas[[#This Row],[ID Item Vendido]],Agregado[ID],Agregado[Custo])*Vendas[[#This Row],[Qnt Vendida]])</f>
        <v>432</v>
      </c>
      <c r="K5960" s="70">
        <f>Vendas[[#This Row],[Lucro da Venda]]/Vendas[[#This Row],[Valor da Venda]]</f>
        <v>0.20168067226890757</v>
      </c>
      <c r="L5960" s="3">
        <f>_xlfn.IFS(Vendas[[#This Row],[Margem de Lucro (%)]]&lt;15%,Vendas[[#This Row],[Valor da Venda]]*3%,Vendas[[#This Row],[Margem de Lucro (%)]]&lt;=20%,Vendas[[#This Row],[Valor da Venda]]*4.5%,TRUE,Vendas[[#This Row],[Valor da Venda]]*6%)</f>
        <v>128.51999999999998</v>
      </c>
      <c r="M5960"/>
    </row>
    <row r="5961" spans="1:13" x14ac:dyDescent="0.3">
      <c r="A5961" s="7">
        <v>400244</v>
      </c>
      <c r="B5961" t="str">
        <f>_xlfn.XLOOKUP(Vendas[[#This Row],[ID Vendedor]],Vendedores[ID],Vendedores[Nome])</f>
        <v>Camila</v>
      </c>
      <c r="C5961" s="7" t="str">
        <f>_xlfn.XLOOKUP(Vendas[[#This Row],[ID Vendedor]],Vendedores[ID],Vendedores[Setor])</f>
        <v>AHD</v>
      </c>
      <c r="D5961" s="7" t="s">
        <v>18</v>
      </c>
      <c r="E5961" t="str">
        <f>_xlfn.XLOOKUP(Vendas[[#This Row],[ID Item Vendido]],Agregado[ID],Agregado[Produto])</f>
        <v>Peça forjada sob encomenda</v>
      </c>
      <c r="F5961" s="39">
        <v>46246</v>
      </c>
      <c r="G5961" s="7">
        <v>2</v>
      </c>
      <c r="H5961" s="3">
        <f>_xlfn.XLOOKUP(Vendas[[#This Row],[ID Item Vendido]],Agregado[ID],Agregado[Revenda])</f>
        <v>264.60000000000002</v>
      </c>
      <c r="I5961" s="3">
        <f>Vendas[[#This Row],[Valor Unitário]]*Vendas[[#This Row],[Qnt Vendida]]</f>
        <v>529.20000000000005</v>
      </c>
      <c r="J5961" s="3">
        <f>Vendas[[#This Row],[Valor da Venda]]-(_xlfn.XLOOKUP(Vendas[[#This Row],[ID Item Vendido]],Agregado[ID],Agregado[Custo])*Vendas[[#This Row],[Qnt Vendida]])</f>
        <v>29.200000000000045</v>
      </c>
      <c r="K5961" s="70">
        <f>Vendas[[#This Row],[Lucro da Venda]]/Vendas[[#This Row],[Valor da Venda]]</f>
        <v>5.5177626606198113E-2</v>
      </c>
      <c r="L5961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961"/>
    </row>
    <row r="5962" spans="1:13" x14ac:dyDescent="0.3">
      <c r="A5962" s="7">
        <v>400248</v>
      </c>
      <c r="B5962" t="str">
        <f>_xlfn.XLOOKUP(Vendas[[#This Row],[ID Vendedor]],Vendedores[ID],Vendedores[Nome])</f>
        <v>Patrícia</v>
      </c>
      <c r="C5962" s="7" t="str">
        <f>_xlfn.XLOOKUP(Vendas[[#This Row],[ID Vendedor]],Vendedores[ID],Vendedores[Setor])</f>
        <v>CM</v>
      </c>
      <c r="D5962" s="7" t="s">
        <v>34</v>
      </c>
      <c r="E5962" t="str">
        <f>_xlfn.XLOOKUP(Vendas[[#This Row],[ID Item Vendido]],Agregado[ID],Agregado[Produto])</f>
        <v>Restos de madeira p/ MDP/OSB saco de 20kg</v>
      </c>
      <c r="F5962" s="39">
        <v>46246</v>
      </c>
      <c r="G5962" s="7">
        <v>20</v>
      </c>
      <c r="H5962" s="3">
        <f>_xlfn.XLOOKUP(Vendas[[#This Row],[ID Item Vendido]],Agregado[ID],Agregado[Revenda])</f>
        <v>13.8</v>
      </c>
      <c r="I5962" s="3">
        <f>Vendas[[#This Row],[Valor Unitário]]*Vendas[[#This Row],[Qnt Vendida]]</f>
        <v>276</v>
      </c>
      <c r="J5962" s="3">
        <f>Vendas[[#This Row],[Valor da Venda]]-(_xlfn.XLOOKUP(Vendas[[#This Row],[ID Item Vendido]],Agregado[ID],Agregado[Custo])*Vendas[[#This Row],[Qnt Vendida]])</f>
        <v>36</v>
      </c>
      <c r="K5962" s="70">
        <f>Vendas[[#This Row],[Lucro da Venda]]/Vendas[[#This Row],[Valor da Venda]]</f>
        <v>0.13043478260869565</v>
      </c>
      <c r="L5962" s="3">
        <f>_xlfn.IFS(Vendas[[#This Row],[Margem de Lucro (%)]]&lt;15%,Vendas[[#This Row],[Valor da Venda]]*3%,Vendas[[#This Row],[Margem de Lucro (%)]]&lt;=20%,Vendas[[#This Row],[Valor da Venda]]*4.5%,TRUE,Vendas[[#This Row],[Valor da Venda]]*6%)</f>
        <v>8.2799999999999994</v>
      </c>
      <c r="M5962"/>
    </row>
    <row r="5963" spans="1:13" x14ac:dyDescent="0.3">
      <c r="A5963" s="7">
        <v>400250</v>
      </c>
      <c r="B5963" t="str">
        <f>_xlfn.XLOOKUP(Vendas[[#This Row],[ID Vendedor]],Vendedores[ID],Vendedores[Nome])</f>
        <v>Larissa</v>
      </c>
      <c r="C5963" s="7" t="str">
        <f>_xlfn.XLOOKUP(Vendas[[#This Row],[ID Vendedor]],Vendedores[ID],Vendedores[Setor])</f>
        <v>AB</v>
      </c>
      <c r="D5963" s="7" t="s">
        <v>24</v>
      </c>
      <c r="E5963" t="str">
        <f>_xlfn.XLOOKUP(Vendas[[#This Row],[ID Item Vendido]],Agregado[ID],Agregado[Produto])</f>
        <v>Resina plástica PET purificada saco de 25kg</v>
      </c>
      <c r="F5963" s="39">
        <v>46247</v>
      </c>
      <c r="G5963" s="7">
        <v>22</v>
      </c>
      <c r="H5963" s="3">
        <f>_xlfn.XLOOKUP(Vendas[[#This Row],[ID Item Vendido]],Agregado[ID],Agregado[Revenda])</f>
        <v>119</v>
      </c>
      <c r="I5963" s="3">
        <f>Vendas[[#This Row],[Valor Unitário]]*Vendas[[#This Row],[Qnt Vendida]]</f>
        <v>2618</v>
      </c>
      <c r="J5963" s="3">
        <f>Vendas[[#This Row],[Valor da Venda]]-(_xlfn.XLOOKUP(Vendas[[#This Row],[ID Item Vendido]],Agregado[ID],Agregado[Custo])*Vendas[[#This Row],[Qnt Vendida]])</f>
        <v>748</v>
      </c>
      <c r="K5963" s="70">
        <f>Vendas[[#This Row],[Lucro da Venda]]/Vendas[[#This Row],[Valor da Venda]]</f>
        <v>0.2857142857142857</v>
      </c>
      <c r="L5963" s="3">
        <f>_xlfn.IFS(Vendas[[#This Row],[Margem de Lucro (%)]]&lt;15%,Vendas[[#This Row],[Valor da Venda]]*3%,Vendas[[#This Row],[Margem de Lucro (%)]]&lt;=20%,Vendas[[#This Row],[Valor da Venda]]*4.5%,TRUE,Vendas[[#This Row],[Valor da Venda]]*6%)</f>
        <v>157.07999999999998</v>
      </c>
      <c r="M5963"/>
    </row>
    <row r="5964" spans="1:13" x14ac:dyDescent="0.3">
      <c r="A5964" s="7">
        <v>400246</v>
      </c>
      <c r="B5964" t="str">
        <f>_xlfn.XLOOKUP(Vendas[[#This Row],[ID Vendedor]],Vendedores[ID],Vendedores[Nome])</f>
        <v>Juliana</v>
      </c>
      <c r="C5964" s="7" t="str">
        <f>_xlfn.XLOOKUP(Vendas[[#This Row],[ID Vendedor]],Vendedores[ID],Vendedores[Setor])</f>
        <v>AHD</v>
      </c>
      <c r="D5964" s="7" t="s">
        <v>18</v>
      </c>
      <c r="E5964" t="str">
        <f>_xlfn.XLOOKUP(Vendas[[#This Row],[ID Item Vendido]],Agregado[ID],Agregado[Produto])</f>
        <v>Peça forjada sob encomenda</v>
      </c>
      <c r="F5964" s="39">
        <v>46247</v>
      </c>
      <c r="G5964" s="7">
        <v>2</v>
      </c>
      <c r="H5964" s="3">
        <f>_xlfn.XLOOKUP(Vendas[[#This Row],[ID Item Vendido]],Agregado[ID],Agregado[Revenda])</f>
        <v>264.60000000000002</v>
      </c>
      <c r="I5964" s="3">
        <f>Vendas[[#This Row],[Valor Unitário]]*Vendas[[#This Row],[Qnt Vendida]]</f>
        <v>529.20000000000005</v>
      </c>
      <c r="J5964" s="3">
        <f>Vendas[[#This Row],[Valor da Venda]]-(_xlfn.XLOOKUP(Vendas[[#This Row],[ID Item Vendido]],Agregado[ID],Agregado[Custo])*Vendas[[#This Row],[Qnt Vendida]])</f>
        <v>29.200000000000045</v>
      </c>
      <c r="K5964" s="70">
        <f>Vendas[[#This Row],[Lucro da Venda]]/Vendas[[#This Row],[Valor da Venda]]</f>
        <v>5.5177626606198113E-2</v>
      </c>
      <c r="L5964" s="3">
        <f>_xlfn.IFS(Vendas[[#This Row],[Margem de Lucro (%)]]&lt;15%,Vendas[[#This Row],[Valor da Venda]]*3%,Vendas[[#This Row],[Margem de Lucro (%)]]&lt;=20%,Vendas[[#This Row],[Valor da Venda]]*4.5%,TRUE,Vendas[[#This Row],[Valor da Venda]]*6%)</f>
        <v>15.876000000000001</v>
      </c>
      <c r="M5964"/>
    </row>
    <row r="5965" spans="1:13" x14ac:dyDescent="0.3">
      <c r="A5965" s="7">
        <v>400254</v>
      </c>
      <c r="B5965" t="str">
        <f>_xlfn.XLOOKUP(Vendas[[#This Row],[ID Vendedor]],Vendedores[ID],Vendedores[Nome])</f>
        <v>Beatriz</v>
      </c>
      <c r="C5965" s="7" t="str">
        <f>_xlfn.XLOOKUP(Vendas[[#This Row],[ID Vendedor]],Vendedores[ID],Vendedores[Setor])</f>
        <v>SC</v>
      </c>
      <c r="D5965" s="7" t="s">
        <v>41</v>
      </c>
      <c r="E5965" t="str">
        <f>_xlfn.XLOOKUP(Vendas[[#This Row],[ID Item Vendido]],Agregado[ID],Agregado[Produto])</f>
        <v>Palete de madeira reforçado</v>
      </c>
      <c r="F5965" s="39">
        <v>46247</v>
      </c>
      <c r="G5965" s="7">
        <v>5</v>
      </c>
      <c r="H5965" s="3">
        <f>_xlfn.XLOOKUP(Vendas[[#This Row],[ID Item Vendido]],Agregado[ID],Agregado[Revenda])</f>
        <v>131</v>
      </c>
      <c r="I5965" s="3">
        <f>Vendas[[#This Row],[Valor Unitário]]*Vendas[[#This Row],[Qnt Vendida]]</f>
        <v>655</v>
      </c>
      <c r="J5965" s="3">
        <f>Vendas[[#This Row],[Valor da Venda]]-(_xlfn.XLOOKUP(Vendas[[#This Row],[ID Item Vendido]],Agregado[ID],Agregado[Custo])*Vendas[[#This Row],[Qnt Vendida]])</f>
        <v>105</v>
      </c>
      <c r="K5965" s="70">
        <f>Vendas[[#This Row],[Lucro da Venda]]/Vendas[[#This Row],[Valor da Venda]]</f>
        <v>0.16030534351145037</v>
      </c>
      <c r="L5965" s="3">
        <f>_xlfn.IFS(Vendas[[#This Row],[Margem de Lucro (%)]]&lt;15%,Vendas[[#This Row],[Valor da Venda]]*3%,Vendas[[#This Row],[Margem de Lucro (%)]]&lt;=20%,Vendas[[#This Row],[Valor da Venda]]*4.5%,TRUE,Vendas[[#This Row],[Valor da Venda]]*6%)</f>
        <v>29.474999999999998</v>
      </c>
      <c r="M5965"/>
    </row>
    <row r="5966" spans="1:13" x14ac:dyDescent="0.3">
      <c r="A5966" s="7">
        <v>400254</v>
      </c>
      <c r="B5966" t="str">
        <f>_xlfn.XLOOKUP(Vendas[[#This Row],[ID Vendedor]],Vendedores[ID],Vendedores[Nome])</f>
        <v>Beatriz</v>
      </c>
      <c r="C5966" s="7" t="str">
        <f>_xlfn.XLOOKUP(Vendas[[#This Row],[ID Vendedor]],Vendedores[ID],Vendedores[Setor])</f>
        <v>SC</v>
      </c>
      <c r="D5966" s="7" t="s">
        <v>41</v>
      </c>
      <c r="E5966" t="str">
        <f>_xlfn.XLOOKUP(Vendas[[#This Row],[ID Item Vendido]],Agregado[ID],Agregado[Produto])</f>
        <v>Palete de madeira reforçado</v>
      </c>
      <c r="F5966" s="39">
        <v>46247</v>
      </c>
      <c r="G5966" s="7">
        <v>3</v>
      </c>
      <c r="H5966" s="3">
        <f>_xlfn.XLOOKUP(Vendas[[#This Row],[ID Item Vendido]],Agregado[ID],Agregado[Revenda])</f>
        <v>131</v>
      </c>
      <c r="I5966" s="3">
        <f>Vendas[[#This Row],[Valor Unitário]]*Vendas[[#This Row],[Qnt Vendida]]</f>
        <v>393</v>
      </c>
      <c r="J5966" s="3">
        <f>Vendas[[#This Row],[Valor da Venda]]-(_xlfn.XLOOKUP(Vendas[[#This Row],[ID Item Vendido]],Agregado[ID],Agregado[Custo])*Vendas[[#This Row],[Qnt Vendida]])</f>
        <v>63</v>
      </c>
      <c r="K5966" s="70">
        <f>Vendas[[#This Row],[Lucro da Venda]]/Vendas[[#This Row],[Valor da Venda]]</f>
        <v>0.16030534351145037</v>
      </c>
      <c r="L5966" s="3">
        <f>_xlfn.IFS(Vendas[[#This Row],[Margem de Lucro (%)]]&lt;15%,Vendas[[#This Row],[Valor da Venda]]*3%,Vendas[[#This Row],[Margem de Lucro (%)]]&lt;=20%,Vendas[[#This Row],[Valor da Venda]]*4.5%,TRUE,Vendas[[#This Row],[Valor da Venda]]*6%)</f>
        <v>17.684999999999999</v>
      </c>
      <c r="M5966"/>
    </row>
    <row r="5967" spans="1:13" x14ac:dyDescent="0.3">
      <c r="A5967" s="7">
        <v>400252</v>
      </c>
      <c r="B5967" t="str">
        <f>_xlfn.XLOOKUP(Vendas[[#This Row],[ID Vendedor]],Vendedores[ID],Vendedores[Nome])</f>
        <v>Renata</v>
      </c>
      <c r="C5967" s="7" t="str">
        <f>_xlfn.XLOOKUP(Vendas[[#This Row],[ID Vendedor]],Vendedores[ID],Vendedores[Setor])</f>
        <v>AB</v>
      </c>
      <c r="D5967" s="7" t="s">
        <v>36</v>
      </c>
      <c r="E5967" t="str">
        <f>_xlfn.XLOOKUP(Vendas[[#This Row],[ID Item Vendido]],Agregado[ID],Agregado[Produto])</f>
        <v>Borracha vulcanizada em manta</v>
      </c>
      <c r="F5967" s="39">
        <v>46247</v>
      </c>
      <c r="G5967" s="7">
        <v>40</v>
      </c>
      <c r="H5967" s="3">
        <f>_xlfn.XLOOKUP(Vendas[[#This Row],[ID Item Vendido]],Agregado[ID],Agregado[Revenda])</f>
        <v>7.8</v>
      </c>
      <c r="I5967" s="3">
        <f>Vendas[[#This Row],[Valor Unitário]]*Vendas[[#This Row],[Qnt Vendida]]</f>
        <v>312</v>
      </c>
      <c r="J5967" s="3">
        <f>Vendas[[#This Row],[Valor da Venda]]-(_xlfn.XLOOKUP(Vendas[[#This Row],[ID Item Vendido]],Agregado[ID],Agregado[Custo])*Vendas[[#This Row],[Qnt Vendida]])</f>
        <v>72</v>
      </c>
      <c r="K5967" s="70">
        <f>Vendas[[#This Row],[Lucro da Venda]]/Vendas[[#This Row],[Valor da Venda]]</f>
        <v>0.23076923076923078</v>
      </c>
      <c r="L5967" s="3">
        <f>_xlfn.IFS(Vendas[[#This Row],[Margem de Lucro (%)]]&lt;15%,Vendas[[#This Row],[Valor da Venda]]*3%,Vendas[[#This Row],[Margem de Lucro (%)]]&lt;=20%,Vendas[[#This Row],[Valor da Venda]]*4.5%,TRUE,Vendas[[#This Row],[Valor da Venda]]*6%)</f>
        <v>18.72</v>
      </c>
      <c r="M5967"/>
    </row>
    <row r="5968" spans="1:13" x14ac:dyDescent="0.3">
      <c r="A5968" s="7">
        <v>400242</v>
      </c>
      <c r="B5968" t="str">
        <f>_xlfn.XLOOKUP(Vendas[[#This Row],[ID Vendedor]],Vendedores[ID],Vendedores[Nome])</f>
        <v>Fernanda</v>
      </c>
      <c r="C5968" s="7" t="str">
        <f>_xlfn.XLOOKUP(Vendas[[#This Row],[ID Vendedor]],Vendedores[ID],Vendedores[Setor])</f>
        <v>FM</v>
      </c>
      <c r="D5968" s="7" t="s">
        <v>20</v>
      </c>
      <c r="E5968" t="str">
        <f>_xlfn.XLOOKUP(Vendas[[#This Row],[ID Item Vendido]],Agregado[ID],Agregado[Produto])</f>
        <v>Barra de aço simples</v>
      </c>
      <c r="F5968" s="39">
        <v>46247</v>
      </c>
      <c r="G5968" s="7">
        <v>65</v>
      </c>
      <c r="H5968" s="3">
        <f>_xlfn.XLOOKUP(Vendas[[#This Row],[ID Item Vendido]],Agregado[ID],Agregado[Revenda])</f>
        <v>4.8</v>
      </c>
      <c r="I5968" s="3">
        <f>Vendas[[#This Row],[Valor Unitário]]*Vendas[[#This Row],[Qnt Vendida]]</f>
        <v>312</v>
      </c>
      <c r="J5968" s="3">
        <f>Vendas[[#This Row],[Valor da Venda]]-(_xlfn.XLOOKUP(Vendas[[#This Row],[ID Item Vendido]],Agregado[ID],Agregado[Custo])*Vendas[[#This Row],[Qnt Vendida]])</f>
        <v>39</v>
      </c>
      <c r="K5968" s="70">
        <f>Vendas[[#This Row],[Lucro da Venda]]/Vendas[[#This Row],[Valor da Venda]]</f>
        <v>0.125</v>
      </c>
      <c r="L5968" s="3">
        <f>_xlfn.IFS(Vendas[[#This Row],[Margem de Lucro (%)]]&lt;15%,Vendas[[#This Row],[Valor da Venda]]*3%,Vendas[[#This Row],[Margem de Lucro (%)]]&lt;=20%,Vendas[[#This Row],[Valor da Venda]]*4.5%,TRUE,Vendas[[#This Row],[Valor da Venda]]*6%)</f>
        <v>9.36</v>
      </c>
      <c r="M5968"/>
    </row>
    <row r="5969" spans="1:13" x14ac:dyDescent="0.3">
      <c r="A5969" s="7">
        <v>400252</v>
      </c>
      <c r="B5969" t="str">
        <f>_xlfn.XLOOKUP(Vendas[[#This Row],[ID Vendedor]],Vendedores[ID],Vendedores[Nome])</f>
        <v>Renata</v>
      </c>
      <c r="C5969" s="7" t="str">
        <f>_xlfn.XLOOKUP(Vendas[[#This Row],[ID Vendedor]],Vendedores[ID],Vendedores[Setor])</f>
        <v>AB</v>
      </c>
      <c r="D5969" s="7" t="s">
        <v>39</v>
      </c>
      <c r="E5969" t="str">
        <f>_xlfn.XLOOKUP(Vendas[[#This Row],[ID Item Vendido]],Agregado[ID],Agregado[Produto])</f>
        <v>Filme plástico industrial rolo 50m</v>
      </c>
      <c r="F5969" s="39">
        <v>46247</v>
      </c>
      <c r="G5969" s="7">
        <v>2</v>
      </c>
      <c r="H5969" s="3">
        <f>_xlfn.XLOOKUP(Vendas[[#This Row],[ID Item Vendido]],Agregado[ID],Agregado[Revenda])</f>
        <v>37</v>
      </c>
      <c r="I5969" s="3">
        <f>Vendas[[#This Row],[Valor Unitário]]*Vendas[[#This Row],[Qnt Vendida]]</f>
        <v>74</v>
      </c>
      <c r="J5969" s="3">
        <f>Vendas[[#This Row],[Valor da Venda]]-(_xlfn.XLOOKUP(Vendas[[#This Row],[ID Item Vendido]],Agregado[ID],Agregado[Custo])*Vendas[[#This Row],[Qnt Vendida]])</f>
        <v>18</v>
      </c>
      <c r="K5969" s="70">
        <f>Vendas[[#This Row],[Lucro da Venda]]/Vendas[[#This Row],[Valor da Venda]]</f>
        <v>0.24324324324324326</v>
      </c>
      <c r="L5969" s="3">
        <f>_xlfn.IFS(Vendas[[#This Row],[Margem de Lucro (%)]]&lt;15%,Vendas[[#This Row],[Valor da Venda]]*3%,Vendas[[#This Row],[Margem de Lucro (%)]]&lt;=20%,Vendas[[#This Row],[Valor da Venda]]*4.5%,TRUE,Vendas[[#This Row],[Valor da Venda]]*6%)</f>
        <v>4.4399999999999995</v>
      </c>
      <c r="M5969"/>
    </row>
    <row r="5970" spans="1:13" x14ac:dyDescent="0.3">
      <c r="A5970" s="7">
        <v>400244</v>
      </c>
      <c r="B5970" t="str">
        <f>_xlfn.XLOOKUP(Vendas[[#This Row],[ID Vendedor]],Vendedores[ID],Vendedores[Nome])</f>
        <v>Camila</v>
      </c>
      <c r="C5970" s="7" t="str">
        <f>_xlfn.XLOOKUP(Vendas[[#This Row],[ID Vendedor]],Vendedores[ID],Vendedores[Setor])</f>
        <v>AHD</v>
      </c>
      <c r="D5970" s="7" t="s">
        <v>18</v>
      </c>
      <c r="E5970" t="str">
        <f>_xlfn.XLOOKUP(Vendas[[#This Row],[ID Item Vendido]],Agregado[ID],Agregado[Produto])</f>
        <v>Peça forjada sob encomenda</v>
      </c>
      <c r="F5970" s="39">
        <v>46248</v>
      </c>
      <c r="G5970" s="7">
        <v>3</v>
      </c>
      <c r="H5970" s="3">
        <f>_xlfn.XLOOKUP(Vendas[[#This Row],[ID Item Vendido]],Agregado[ID],Agregado[Revenda])</f>
        <v>264.60000000000002</v>
      </c>
      <c r="I5970" s="3">
        <f>Vendas[[#This Row],[Valor Unitário]]*Vendas[[#This Row],[Qnt Vendida]]</f>
        <v>793.80000000000007</v>
      </c>
      <c r="J5970" s="3">
        <f>Vendas[[#This Row],[Valor da Venda]]-(_xlfn.XLOOKUP(Vendas[[#This Row],[ID Item Vendido]],Agregado[ID],Agregado[Custo])*Vendas[[#This Row],[Qnt Vendida]])</f>
        <v>43.800000000000068</v>
      </c>
      <c r="K5970" s="70">
        <f>Vendas[[#This Row],[Lucro da Venda]]/Vendas[[#This Row],[Valor da Venda]]</f>
        <v>5.5177626606198113E-2</v>
      </c>
      <c r="L5970" s="3">
        <f>_xlfn.IFS(Vendas[[#This Row],[Margem de Lucro (%)]]&lt;15%,Vendas[[#This Row],[Valor da Venda]]*3%,Vendas[[#This Row],[Margem de Lucro (%)]]&lt;=20%,Vendas[[#This Row],[Valor da Venda]]*4.5%,TRUE,Vendas[[#This Row],[Valor da Venda]]*6%)</f>
        <v>23.814</v>
      </c>
      <c r="M5970"/>
    </row>
    <row r="5971" spans="1:13" x14ac:dyDescent="0.3">
      <c r="A5971" s="7">
        <v>400247</v>
      </c>
      <c r="B5971" t="str">
        <f>_xlfn.XLOOKUP(Vendas[[#This Row],[ID Vendedor]],Vendedores[ID],Vendedores[Nome])</f>
        <v>André</v>
      </c>
      <c r="C5971" s="7" t="str">
        <f>_xlfn.XLOOKUP(Vendas[[#This Row],[ID Vendedor]],Vendedores[ID],Vendedores[Setor])</f>
        <v>CM</v>
      </c>
      <c r="D5971" s="7" t="s">
        <v>43</v>
      </c>
      <c r="E5971" t="str">
        <f>_xlfn.XLOOKUP(Vendas[[#This Row],[ID Item Vendido]],Agregado[ID],Agregado[Produto])</f>
        <v>Madeira Bruta (Tora)</v>
      </c>
      <c r="F5971" s="39">
        <v>46248</v>
      </c>
      <c r="G5971" s="7">
        <v>2</v>
      </c>
      <c r="H5971" s="3">
        <f>_xlfn.XLOOKUP(Vendas[[#This Row],[ID Item Vendido]],Agregado[ID],Agregado[Revenda])</f>
        <v>212</v>
      </c>
      <c r="I5971" s="3">
        <f>Vendas[[#This Row],[Valor Unitário]]*Vendas[[#This Row],[Qnt Vendida]]</f>
        <v>424</v>
      </c>
      <c r="J5971" s="3">
        <f>Vendas[[#This Row],[Valor da Venda]]-(_xlfn.XLOOKUP(Vendas[[#This Row],[ID Item Vendido]],Agregado[ID],Agregado[Custo])*Vendas[[#This Row],[Qnt Vendida]])</f>
        <v>64</v>
      </c>
      <c r="K5971" s="70">
        <f>Vendas[[#This Row],[Lucro da Venda]]/Vendas[[#This Row],[Valor da Venda]]</f>
        <v>0.15094339622641509</v>
      </c>
      <c r="L5971" s="3">
        <f>_xlfn.IFS(Vendas[[#This Row],[Margem de Lucro (%)]]&lt;15%,Vendas[[#This Row],[Valor da Venda]]*3%,Vendas[[#This Row],[Margem de Lucro (%)]]&lt;=20%,Vendas[[#This Row],[Valor da Venda]]*4.5%,TRUE,Vendas[[#This Row],[Valor da Venda]]*6%)</f>
        <v>19.079999999999998</v>
      </c>
      <c r="M5971"/>
    </row>
    <row r="5972" spans="1:13" x14ac:dyDescent="0.3">
      <c r="A5972" s="7">
        <v>400254</v>
      </c>
      <c r="B5972" t="str">
        <f>_xlfn.XLOOKUP(Vendas[[#This Row],[ID Vendedor]],Vendedores[ID],Vendedores[Nome])</f>
        <v>Beatriz</v>
      </c>
      <c r="C5972" s="7" t="str">
        <f>_xlfn.XLOOKUP(Vendas[[#This Row],[ID Vendedor]],Vendedores[ID],Vendedores[Setor])</f>
        <v>SC</v>
      </c>
      <c r="D5972" s="7" t="s">
        <v>48</v>
      </c>
      <c r="E5972" t="str">
        <f>_xlfn.XLOOKUP(Vendas[[#This Row],[ID Item Vendido]],Agregado[ID],Agregado[Produto])</f>
        <v>Tambor metálico 200L</v>
      </c>
      <c r="F5972" s="39">
        <v>46248</v>
      </c>
      <c r="G5972" s="7">
        <v>2</v>
      </c>
      <c r="H5972" s="3">
        <f>_xlfn.XLOOKUP(Vendas[[#This Row],[ID Item Vendido]],Agregado[ID],Agregado[Revenda])</f>
        <v>144</v>
      </c>
      <c r="I5972" s="3">
        <f>Vendas[[#This Row],[Valor Unitário]]*Vendas[[#This Row],[Qnt Vendida]]</f>
        <v>288</v>
      </c>
      <c r="J5972" s="3">
        <f>Vendas[[#This Row],[Valor da Venda]]-(_xlfn.XLOOKUP(Vendas[[#This Row],[ID Item Vendido]],Agregado[ID],Agregado[Custo])*Vendas[[#This Row],[Qnt Vendida]])</f>
        <v>48</v>
      </c>
      <c r="K5972" s="70">
        <f>Vendas[[#This Row],[Lucro da Venda]]/Vendas[[#This Row],[Valor da Venda]]</f>
        <v>0.16666666666666666</v>
      </c>
      <c r="L5972" s="3">
        <f>_xlfn.IFS(Vendas[[#This Row],[Margem de Lucro (%)]]&lt;15%,Vendas[[#This Row],[Valor da Venda]]*3%,Vendas[[#This Row],[Margem de Lucro (%)]]&lt;=20%,Vendas[[#This Row],[Valor da Venda]]*4.5%,TRUE,Vendas[[#This Row],[Valor da Venda]]*6%)</f>
        <v>12.959999999999999</v>
      </c>
      <c r="M5972"/>
    </row>
    <row r="5973" spans="1:13" x14ac:dyDescent="0.3">
      <c r="A5973" s="7">
        <v>400243</v>
      </c>
      <c r="B5973" t="str">
        <f>_xlfn.XLOOKUP(Vendas[[#This Row],[ID Vendedor]],Vendedores[ID],Vendedores[Nome])</f>
        <v>Marcelo</v>
      </c>
      <c r="C5973" s="7" t="str">
        <f>_xlfn.XLOOKUP(Vendas[[#This Row],[ID Vendedor]],Vendedores[ID],Vendedores[Setor])</f>
        <v>FM</v>
      </c>
      <c r="D5973" s="7" t="s">
        <v>6</v>
      </c>
      <c r="E5973" t="str">
        <f>_xlfn.XLOOKUP(Vendas[[#This Row],[ID Item Vendido]],Agregado[ID],Agregado[Produto])</f>
        <v>Parafuso comum 500un</v>
      </c>
      <c r="F5973" s="39">
        <v>46248</v>
      </c>
      <c r="G5973" s="7">
        <v>5</v>
      </c>
      <c r="H5973" s="3">
        <f>_xlfn.XLOOKUP(Vendas[[#This Row],[ID Item Vendido]],Agregado[ID],Agregado[Revenda])</f>
        <v>24.6</v>
      </c>
      <c r="I5973" s="3">
        <f>Vendas[[#This Row],[Valor Unitário]]*Vendas[[#This Row],[Qnt Vendida]]</f>
        <v>123</v>
      </c>
      <c r="J5973" s="3">
        <f>Vendas[[#This Row],[Valor da Venda]]-(_xlfn.XLOOKUP(Vendas[[#This Row],[ID Item Vendido]],Agregado[ID],Agregado[Custo])*Vendas[[#This Row],[Qnt Vendida]])</f>
        <v>13</v>
      </c>
      <c r="K5973" s="70">
        <f>Vendas[[#This Row],[Lucro da Venda]]/Vendas[[#This Row],[Valor da Venda]]</f>
        <v>0.10569105691056911</v>
      </c>
      <c r="L5973" s="3">
        <f>_xlfn.IFS(Vendas[[#This Row],[Margem de Lucro (%)]]&lt;15%,Vendas[[#This Row],[Valor da Venda]]*3%,Vendas[[#This Row],[Margem de Lucro (%)]]&lt;=20%,Vendas[[#This Row],[Valor da Venda]]*4.5%,TRUE,Vendas[[#This Row],[Valor da Venda]]*6%)</f>
        <v>3.69</v>
      </c>
      <c r="M5973"/>
    </row>
    <row r="5974" spans="1:13" x14ac:dyDescent="0.3">
      <c r="A5974" s="7">
        <v>400252</v>
      </c>
      <c r="B5974" t="str">
        <f>_xlfn.XLOOKUP(Vendas[[#This Row],[ID Vendedor]],Vendedores[ID],Vendedores[Nome])</f>
        <v>Renata</v>
      </c>
      <c r="C5974" s="7" t="str">
        <f>_xlfn.XLOOKUP(Vendas[[#This Row],[ID Vendedor]],Vendedores[ID],Vendedores[Setor])</f>
        <v>AB</v>
      </c>
      <c r="D5974" s="7" t="s">
        <v>12</v>
      </c>
      <c r="E5974" t="str">
        <f>_xlfn.XLOOKUP(Vendas[[#This Row],[ID Item Vendido]],Agregado[ID],Agregado[Produto])</f>
        <v>Grânulo de plástico reciclado refinado</v>
      </c>
      <c r="F5974" s="39">
        <v>46249</v>
      </c>
      <c r="G5974" s="7">
        <v>25</v>
      </c>
      <c r="H5974" s="3">
        <f>_xlfn.XLOOKUP(Vendas[[#This Row],[ID Item Vendido]],Agregado[ID],Agregado[Revenda])</f>
        <v>4.7</v>
      </c>
      <c r="I5974" s="3">
        <f>Vendas[[#This Row],[Valor Unitário]]*Vendas[[#This Row],[Qnt Vendida]]</f>
        <v>117.5</v>
      </c>
      <c r="J5974" s="3">
        <f>Vendas[[#This Row],[Valor da Venda]]-(_xlfn.XLOOKUP(Vendas[[#This Row],[ID Item Vendido]],Agregado[ID],Agregado[Custo])*Vendas[[#This Row],[Qnt Vendida]])</f>
        <v>30</v>
      </c>
      <c r="K5974" s="70">
        <f>Vendas[[#This Row],[Lucro da Venda]]/Vendas[[#This Row],[Valor da Venda]]</f>
        <v>0.25531914893617019</v>
      </c>
      <c r="L5974" s="3">
        <f>_xlfn.IFS(Vendas[[#This Row],[Margem de Lucro (%)]]&lt;15%,Vendas[[#This Row],[Valor da Venda]]*3%,Vendas[[#This Row],[Margem de Lucro (%)]]&lt;=20%,Vendas[[#This Row],[Valor da Venda]]*4.5%,TRUE,Vendas[[#This Row],[Valor da Venda]]*6%)</f>
        <v>7.05</v>
      </c>
      <c r="M5974"/>
    </row>
    <row r="5975" spans="1:13" x14ac:dyDescent="0.3">
      <c r="A5975" s="7">
        <v>400243</v>
      </c>
      <c r="B5975" t="str">
        <f>_xlfn.XLOOKUP(Vendas[[#This Row],[ID Vendedor]],Vendedores[ID],Vendedores[Nome])</f>
        <v>Marcelo</v>
      </c>
      <c r="C5975" s="7" t="str">
        <f>_xlfn.XLOOKUP(Vendas[[#This Row],[ID Vendedor]],Vendedores[ID],Vendedores[Setor])</f>
        <v>FM</v>
      </c>
      <c r="D5975" s="7" t="s">
        <v>6</v>
      </c>
      <c r="E5975" t="str">
        <f>_xlfn.XLOOKUP(Vendas[[#This Row],[ID Item Vendido]],Agregado[ID],Agregado[Produto])</f>
        <v>Parafuso comum 500un</v>
      </c>
      <c r="F5975" s="39">
        <v>46249</v>
      </c>
      <c r="G5975" s="7">
        <v>3</v>
      </c>
      <c r="H5975" s="3">
        <f>_xlfn.XLOOKUP(Vendas[[#This Row],[ID Item Vendido]],Agregado[ID],Agregado[Revenda])</f>
        <v>24.6</v>
      </c>
      <c r="I5975" s="3">
        <f>Vendas[[#This Row],[Valor Unitário]]*Vendas[[#This Row],[Qnt Vendida]]</f>
        <v>73.800000000000011</v>
      </c>
      <c r="J5975" s="3">
        <f>Vendas[[#This Row],[Valor da Venda]]-(_xlfn.XLOOKUP(Vendas[[#This Row],[ID Item Vendido]],Agregado[ID],Agregado[Custo])*Vendas[[#This Row],[Qnt Vendida]])</f>
        <v>7.8000000000000114</v>
      </c>
      <c r="K5975" s="70">
        <f>Vendas[[#This Row],[Lucro da Venda]]/Vendas[[#This Row],[Valor da Venda]]</f>
        <v>0.10569105691056924</v>
      </c>
      <c r="L5975" s="3">
        <f>_xlfn.IFS(Vendas[[#This Row],[Margem de Lucro (%)]]&lt;15%,Vendas[[#This Row],[Valor da Venda]]*3%,Vendas[[#This Row],[Margem de Lucro (%)]]&lt;=20%,Vendas[[#This Row],[Valor da Venda]]*4.5%,TRUE,Vendas[[#This Row],[Valor da Venda]]*6%)</f>
        <v>2.2140000000000004</v>
      </c>
      <c r="M5975"/>
    </row>
    <row r="5976" spans="1:13" x14ac:dyDescent="0.3">
      <c r="A5976" s="7">
        <v>400245</v>
      </c>
      <c r="B5976" t="str">
        <f>_xlfn.XLOOKUP(Vendas[[#This Row],[ID Vendedor]],Vendedores[ID],Vendedores[Nome])</f>
        <v>Thiago</v>
      </c>
      <c r="C5976" s="7" t="str">
        <f>_xlfn.XLOOKUP(Vendas[[#This Row],[ID Vendedor]],Vendedores[ID],Vendedores[Setor])</f>
        <v>AHD</v>
      </c>
      <c r="D5976" s="7" t="s">
        <v>30</v>
      </c>
      <c r="E5976" t="str">
        <f>_xlfn.XLOOKUP(Vendas[[#This Row],[ID Item Vendido]],Agregado[ID],Agregado[Produto])</f>
        <v>Estrutura metálica soldada</v>
      </c>
      <c r="F5976" s="39">
        <v>46250</v>
      </c>
      <c r="G5976" s="7">
        <v>7</v>
      </c>
      <c r="H5976" s="3">
        <f>_xlfn.XLOOKUP(Vendas[[#This Row],[ID Item Vendido]],Agregado[ID],Agregado[Revenda])</f>
        <v>400</v>
      </c>
      <c r="I5976" s="3">
        <f>Vendas[[#This Row],[Valor Unitário]]*Vendas[[#This Row],[Qnt Vendida]]</f>
        <v>2800</v>
      </c>
      <c r="J5976" s="3">
        <f>Vendas[[#This Row],[Valor da Venda]]-(_xlfn.XLOOKUP(Vendas[[#This Row],[ID Item Vendido]],Agregado[ID],Agregado[Custo])*Vendas[[#This Row],[Qnt Vendida]])</f>
        <v>560</v>
      </c>
      <c r="K5976" s="70">
        <f>Vendas[[#This Row],[Lucro da Venda]]/Vendas[[#This Row],[Valor da Venda]]</f>
        <v>0.2</v>
      </c>
      <c r="L5976" s="3">
        <f>_xlfn.IFS(Vendas[[#This Row],[Margem de Lucro (%)]]&lt;15%,Vendas[[#This Row],[Valor da Venda]]*3%,Vendas[[#This Row],[Margem de Lucro (%)]]&lt;=20%,Vendas[[#This Row],[Valor da Venda]]*4.5%,TRUE,Vendas[[#This Row],[Valor da Venda]]*6%)</f>
        <v>126</v>
      </c>
      <c r="M5976"/>
    </row>
    <row r="5977" spans="1:13" x14ac:dyDescent="0.3">
      <c r="A5977" s="7">
        <v>400245</v>
      </c>
      <c r="B5977" t="str">
        <f>_xlfn.XLOOKUP(Vendas[[#This Row],[ID Vendedor]],Vendedores[ID],Vendedores[Nome])</f>
        <v>Thiago</v>
      </c>
      <c r="C5977" s="7" t="str">
        <f>_xlfn.XLOOKUP(Vendas[[#This Row],[ID Vendedor]],Vendedores[ID],Vendedores[Setor])</f>
        <v>AHD</v>
      </c>
      <c r="D5977" s="7" t="s">
        <v>44</v>
      </c>
      <c r="E5977" t="str">
        <f>_xlfn.XLOOKUP(Vendas[[#This Row],[ID Item Vendido]],Agregado[ID],Agregado[Produto])</f>
        <v>Liga metálica especial</v>
      </c>
      <c r="F5977" s="39">
        <v>46250</v>
      </c>
      <c r="G5977" s="7">
        <v>27</v>
      </c>
      <c r="H5977" s="3">
        <f>_xlfn.XLOOKUP(Vendas[[#This Row],[ID Item Vendido]],Agregado[ID],Agregado[Revenda])</f>
        <v>32.5</v>
      </c>
      <c r="I5977" s="3">
        <f>Vendas[[#This Row],[Valor Unitário]]*Vendas[[#This Row],[Qnt Vendida]]</f>
        <v>877.5</v>
      </c>
      <c r="J5977" s="3">
        <f>Vendas[[#This Row],[Valor da Venda]]-(_xlfn.XLOOKUP(Vendas[[#This Row],[ID Item Vendido]],Agregado[ID],Agregado[Custo])*Vendas[[#This Row],[Qnt Vendida]])</f>
        <v>202.5</v>
      </c>
      <c r="K5977" s="70">
        <f>Vendas[[#This Row],[Lucro da Venda]]/Vendas[[#This Row],[Valor da Venda]]</f>
        <v>0.23076923076923078</v>
      </c>
      <c r="L5977" s="3">
        <f>_xlfn.IFS(Vendas[[#This Row],[Margem de Lucro (%)]]&lt;15%,Vendas[[#This Row],[Valor da Venda]]*3%,Vendas[[#This Row],[Margem de Lucro (%)]]&lt;=20%,Vendas[[#This Row],[Valor da Venda]]*4.5%,TRUE,Vendas[[#This Row],[Valor da Venda]]*6%)</f>
        <v>52.65</v>
      </c>
      <c r="M5977"/>
    </row>
    <row r="5978" spans="1:13" x14ac:dyDescent="0.3">
      <c r="A5978" s="7">
        <v>400241</v>
      </c>
      <c r="B5978" t="str">
        <f>_xlfn.XLOOKUP(Vendas[[#This Row],[ID Vendedor]],Vendedores[ID],Vendedores[Nome])</f>
        <v>Rodrigo</v>
      </c>
      <c r="C5978" s="7" t="str">
        <f>_xlfn.XLOOKUP(Vendas[[#This Row],[ID Vendedor]],Vendedores[ID],Vendedores[Setor])</f>
        <v>FM</v>
      </c>
      <c r="D5978" s="7" t="s">
        <v>47</v>
      </c>
      <c r="E5978" t="str">
        <f>_xlfn.XLOOKUP(Vendas[[#This Row],[ID Item Vendido]],Agregado[ID],Agregado[Produto])</f>
        <v>Fio de arame galvanizado rolo 50m</v>
      </c>
      <c r="F5978" s="39">
        <v>46250</v>
      </c>
      <c r="G5978" s="7">
        <v>9</v>
      </c>
      <c r="H5978" s="3">
        <f>_xlfn.XLOOKUP(Vendas[[#This Row],[ID Item Vendido]],Agregado[ID],Agregado[Revenda])</f>
        <v>21.2</v>
      </c>
      <c r="I5978" s="3">
        <f>Vendas[[#This Row],[Valor Unitário]]*Vendas[[#This Row],[Qnt Vendida]]</f>
        <v>190.79999999999998</v>
      </c>
      <c r="J5978" s="3">
        <f>Vendas[[#This Row],[Valor da Venda]]-(_xlfn.XLOOKUP(Vendas[[#This Row],[ID Item Vendido]],Agregado[ID],Agregado[Custo])*Vendas[[#This Row],[Qnt Vendida]])</f>
        <v>28.799999999999983</v>
      </c>
      <c r="K5978" s="70">
        <f>Vendas[[#This Row],[Lucro da Venda]]/Vendas[[#This Row],[Valor da Venda]]</f>
        <v>0.15094339622641501</v>
      </c>
      <c r="L5978" s="3">
        <f>_xlfn.IFS(Vendas[[#This Row],[Margem de Lucro (%)]]&lt;15%,Vendas[[#This Row],[Valor da Venda]]*3%,Vendas[[#This Row],[Margem de Lucro (%)]]&lt;=20%,Vendas[[#This Row],[Valor da Venda]]*4.5%,TRUE,Vendas[[#This Row],[Valor da Venda]]*6%)</f>
        <v>8.5859999999999985</v>
      </c>
      <c r="M5978"/>
    </row>
    <row r="5979" spans="1:13" x14ac:dyDescent="0.3">
      <c r="A5979" s="7">
        <v>400247</v>
      </c>
      <c r="B5979" t="str">
        <f>_xlfn.XLOOKUP(Vendas[[#This Row],[ID Vendedor]],Vendedores[ID],Vendedores[Nome])</f>
        <v>André</v>
      </c>
      <c r="C5979" s="7" t="str">
        <f>_xlfn.XLOOKUP(Vendas[[#This Row],[ID Vendedor]],Vendedores[ID],Vendedores[Setor])</f>
        <v>CM</v>
      </c>
      <c r="D5979" s="7" t="s">
        <v>43</v>
      </c>
      <c r="E5979" t="str">
        <f>_xlfn.XLOOKUP(Vendas[[#This Row],[ID Item Vendido]],Agregado[ID],Agregado[Produto])</f>
        <v>Madeira Bruta (Tora)</v>
      </c>
      <c r="F5979" s="39">
        <v>46251</v>
      </c>
      <c r="G5979" s="7">
        <v>4</v>
      </c>
      <c r="H5979" s="3">
        <f>_xlfn.XLOOKUP(Vendas[[#This Row],[ID Item Vendido]],Agregado[ID],Agregado[Revenda])</f>
        <v>212</v>
      </c>
      <c r="I5979" s="3">
        <f>Vendas[[#This Row],[Valor Unitário]]*Vendas[[#This Row],[Qnt Vendida]]</f>
        <v>848</v>
      </c>
      <c r="J5979" s="3">
        <f>Vendas[[#This Row],[Valor da Venda]]-(_xlfn.XLOOKUP(Vendas[[#This Row],[ID Item Vendido]],Agregado[ID],Agregado[Custo])*Vendas[[#This Row],[Qnt Vendida]])</f>
        <v>128</v>
      </c>
      <c r="K5979" s="70">
        <f>Vendas[[#This Row],[Lucro da Venda]]/Vendas[[#This Row],[Valor da Venda]]</f>
        <v>0.15094339622641509</v>
      </c>
      <c r="L5979" s="3">
        <f>_xlfn.IFS(Vendas[[#This Row],[Margem de Lucro (%)]]&lt;15%,Vendas[[#This Row],[Valor da Venda]]*3%,Vendas[[#This Row],[Margem de Lucro (%)]]&lt;=20%,Vendas[[#This Row],[Valor da Venda]]*4.5%,TRUE,Vendas[[#This Row],[Valor da Venda]]*6%)</f>
        <v>38.159999999999997</v>
      </c>
      <c r="M5979"/>
    </row>
    <row r="5980" spans="1:13" x14ac:dyDescent="0.3">
      <c r="A5980" s="7">
        <v>400255</v>
      </c>
      <c r="B5980" t="str">
        <f>_xlfn.XLOOKUP(Vendas[[#This Row],[ID Vendedor]],Vendedores[ID],Vendedores[Nome])</f>
        <v>Carlos</v>
      </c>
      <c r="C5980" s="7" t="str">
        <f>_xlfn.XLOOKUP(Vendas[[#This Row],[ID Vendedor]],Vendedores[ID],Vendedores[Setor])</f>
        <v>SC</v>
      </c>
      <c r="D5980" s="7" t="s">
        <v>41</v>
      </c>
      <c r="E5980" t="str">
        <f>_xlfn.XLOOKUP(Vendas[[#This Row],[ID Item Vendido]],Agregado[ID],Agregado[Produto])</f>
        <v>Palete de madeira reforçado</v>
      </c>
      <c r="F5980" s="39">
        <v>46252</v>
      </c>
      <c r="G5980" s="7">
        <v>7</v>
      </c>
      <c r="H5980" s="3">
        <f>_xlfn.XLOOKUP(Vendas[[#This Row],[ID Item Vendido]],Agregado[ID],Agregado[Revenda])</f>
        <v>131</v>
      </c>
      <c r="I5980" s="3">
        <f>Vendas[[#This Row],[Valor Unitário]]*Vendas[[#This Row],[Qnt Vendida]]</f>
        <v>917</v>
      </c>
      <c r="J5980" s="3">
        <f>Vendas[[#This Row],[Valor da Venda]]-(_xlfn.XLOOKUP(Vendas[[#This Row],[ID Item Vendido]],Agregado[ID],Agregado[Custo])*Vendas[[#This Row],[Qnt Vendida]])</f>
        <v>147</v>
      </c>
      <c r="K5980" s="70">
        <f>Vendas[[#This Row],[Lucro da Venda]]/Vendas[[#This Row],[Valor da Venda]]</f>
        <v>0.16030534351145037</v>
      </c>
      <c r="L5980" s="3">
        <f>_xlfn.IFS(Vendas[[#This Row],[Margem de Lucro (%)]]&lt;15%,Vendas[[#This Row],[Valor da Venda]]*3%,Vendas[[#This Row],[Margem de Lucro (%)]]&lt;=20%,Vendas[[#This Row],[Valor da Venda]]*4.5%,TRUE,Vendas[[#This Row],[Valor da Venda]]*6%)</f>
        <v>41.265000000000001</v>
      </c>
      <c r="M5980"/>
    </row>
    <row r="5981" spans="1:13" x14ac:dyDescent="0.3">
      <c r="A5981" s="7">
        <v>400252</v>
      </c>
      <c r="B5981" t="str">
        <f>_xlfn.XLOOKUP(Vendas[[#This Row],[ID Vendedor]],Vendedores[ID],Vendedores[Nome])</f>
        <v>Renata</v>
      </c>
      <c r="C5981" s="7" t="str">
        <f>_xlfn.XLOOKUP(Vendas[[#This Row],[ID Vendedor]],Vendedores[ID],Vendedores[Setor])</f>
        <v>AB</v>
      </c>
      <c r="D5981" s="7" t="s">
        <v>12</v>
      </c>
      <c r="E5981" t="str">
        <f>_xlfn.XLOOKUP(Vendas[[#This Row],[ID Item Vendido]],Agregado[ID],Agregado[Produto])</f>
        <v>Grânulo de plástico reciclado refinado</v>
      </c>
      <c r="F5981" s="39">
        <v>46252</v>
      </c>
      <c r="G5981" s="7">
        <v>129</v>
      </c>
      <c r="H5981" s="3">
        <f>_xlfn.XLOOKUP(Vendas[[#This Row],[ID Item Vendido]],Agregado[ID],Agregado[Revenda])</f>
        <v>4.7</v>
      </c>
      <c r="I5981" s="3">
        <f>Vendas[[#This Row],[Valor Unitário]]*Vendas[[#This Row],[Qnt Vendida]]</f>
        <v>606.30000000000007</v>
      </c>
      <c r="J5981" s="3">
        <f>Vendas[[#This Row],[Valor da Venda]]-(_xlfn.XLOOKUP(Vendas[[#This Row],[ID Item Vendido]],Agregado[ID],Agregado[Custo])*Vendas[[#This Row],[Qnt Vendida]])</f>
        <v>154.80000000000007</v>
      </c>
      <c r="K5981" s="70">
        <f>Vendas[[#This Row],[Lucro da Venda]]/Vendas[[#This Row],[Valor da Venda]]</f>
        <v>0.2553191489361703</v>
      </c>
      <c r="L5981" s="3">
        <f>_xlfn.IFS(Vendas[[#This Row],[Margem de Lucro (%)]]&lt;15%,Vendas[[#This Row],[Valor da Venda]]*3%,Vendas[[#This Row],[Margem de Lucro (%)]]&lt;=20%,Vendas[[#This Row],[Valor da Venda]]*4.5%,TRUE,Vendas[[#This Row],[Valor da Venda]]*6%)</f>
        <v>36.378</v>
      </c>
      <c r="M5981"/>
    </row>
    <row r="5982" spans="1:13" x14ac:dyDescent="0.3">
      <c r="A5982" s="7">
        <v>400248</v>
      </c>
      <c r="B5982" t="str">
        <f>_xlfn.XLOOKUP(Vendas[[#This Row],[ID Vendedor]],Vendedores[ID],Vendedores[Nome])</f>
        <v>Patrícia</v>
      </c>
      <c r="C5982" s="7" t="str">
        <f>_xlfn.XLOOKUP(Vendas[[#This Row],[ID Vendedor]],Vendedores[ID],Vendedores[Setor])</f>
        <v>CM</v>
      </c>
      <c r="D5982" s="7" t="s">
        <v>34</v>
      </c>
      <c r="E5982" t="str">
        <f>_xlfn.XLOOKUP(Vendas[[#This Row],[ID Item Vendido]],Agregado[ID],Agregado[Produto])</f>
        <v>Restos de madeira p/ MDP/OSB saco de 20kg</v>
      </c>
      <c r="F5982" s="39">
        <v>46252</v>
      </c>
      <c r="G5982" s="7">
        <v>4</v>
      </c>
      <c r="H5982" s="3">
        <f>_xlfn.XLOOKUP(Vendas[[#This Row],[ID Item Vendido]],Agregado[ID],Agregado[Revenda])</f>
        <v>13.8</v>
      </c>
      <c r="I5982" s="3">
        <f>Vendas[[#This Row],[Valor Unitário]]*Vendas[[#This Row],[Qnt Vendida]]</f>
        <v>55.2</v>
      </c>
      <c r="J5982" s="3">
        <f>Vendas[[#This Row],[Valor da Venda]]-(_xlfn.XLOOKUP(Vendas[[#This Row],[ID Item Vendido]],Agregado[ID],Agregado[Custo])*Vendas[[#This Row],[Qnt Vendida]])</f>
        <v>7.2000000000000028</v>
      </c>
      <c r="K5982" s="70">
        <f>Vendas[[#This Row],[Lucro da Venda]]/Vendas[[#This Row],[Valor da Venda]]</f>
        <v>0.1304347826086957</v>
      </c>
      <c r="L5982" s="3">
        <f>_xlfn.IFS(Vendas[[#This Row],[Margem de Lucro (%)]]&lt;15%,Vendas[[#This Row],[Valor da Venda]]*3%,Vendas[[#This Row],[Margem de Lucro (%)]]&lt;=20%,Vendas[[#This Row],[Valor da Venda]]*4.5%,TRUE,Vendas[[#This Row],[Valor da Venda]]*6%)</f>
        <v>1.6559999999999999</v>
      </c>
      <c r="M5982"/>
    </row>
    <row r="5983" spans="1:13" x14ac:dyDescent="0.3">
      <c r="A5983" s="7">
        <v>400251</v>
      </c>
      <c r="B5983" t="str">
        <f>_xlfn.XLOOKUP(Vendas[[#This Row],[ID Vendedor]],Vendedores[ID],Vendedores[Nome])</f>
        <v>Diego</v>
      </c>
      <c r="C5983" s="7" t="str">
        <f>_xlfn.XLOOKUP(Vendas[[#This Row],[ID Vendedor]],Vendedores[ID],Vendedores[Setor])</f>
        <v>AB</v>
      </c>
      <c r="D5983" s="7" t="s">
        <v>12</v>
      </c>
      <c r="E5983" t="str">
        <f>_xlfn.XLOOKUP(Vendas[[#This Row],[ID Item Vendido]],Agregado[ID],Agregado[Produto])</f>
        <v>Grânulo de plástico reciclado refinado</v>
      </c>
      <c r="F5983" s="39">
        <v>46253</v>
      </c>
      <c r="G5983" s="7">
        <v>94</v>
      </c>
      <c r="H5983" s="3">
        <f>_xlfn.XLOOKUP(Vendas[[#This Row],[ID Item Vendido]],Agregado[ID],Agregado[Revenda])</f>
        <v>4.7</v>
      </c>
      <c r="I5983" s="3">
        <f>Vendas[[#This Row],[Valor Unitário]]*Vendas[[#This Row],[Qnt Vendida]]</f>
        <v>441.8</v>
      </c>
      <c r="J5983" s="3">
        <f>Vendas[[#This Row],[Valor da Venda]]-(_xlfn.XLOOKUP(Vendas[[#This Row],[ID Item Vendido]],Agregado[ID],Agregado[Custo])*Vendas[[#This Row],[Qnt Vendida]])</f>
        <v>112.80000000000001</v>
      </c>
      <c r="K5983" s="70">
        <f>Vendas[[#This Row],[Lucro da Venda]]/Vendas[[#This Row],[Valor da Venda]]</f>
        <v>0.25531914893617025</v>
      </c>
      <c r="L5983" s="3">
        <f>_xlfn.IFS(Vendas[[#This Row],[Margem de Lucro (%)]]&lt;15%,Vendas[[#This Row],[Valor da Venda]]*3%,Vendas[[#This Row],[Margem de Lucro (%)]]&lt;=20%,Vendas[[#This Row],[Valor da Venda]]*4.5%,TRUE,Vendas[[#This Row],[Valor da Venda]]*6%)</f>
        <v>26.507999999999999</v>
      </c>
      <c r="M5983"/>
    </row>
    <row r="5984" spans="1:13" x14ac:dyDescent="0.3">
      <c r="A5984" s="7">
        <v>400246</v>
      </c>
      <c r="B5984" t="str">
        <f>_xlfn.XLOOKUP(Vendas[[#This Row],[ID Vendedor]],Vendedores[ID],Vendedores[Nome])</f>
        <v>Juliana</v>
      </c>
      <c r="C5984" s="7" t="str">
        <f>_xlfn.XLOOKUP(Vendas[[#This Row],[ID Vendedor]],Vendedores[ID],Vendedores[Setor])</f>
        <v>AHD</v>
      </c>
      <c r="D5984" s="7" t="s">
        <v>9</v>
      </c>
      <c r="E5984" t="str">
        <f>_xlfn.XLOOKUP(Vendas[[#This Row],[ID Item Vendido]],Agregado[ID],Agregado[Produto])</f>
        <v>Barra de aço simples</v>
      </c>
      <c r="F5984" s="39">
        <v>46254</v>
      </c>
      <c r="G5984" s="7">
        <v>16</v>
      </c>
      <c r="H5984" s="3">
        <f>_xlfn.XLOOKUP(Vendas[[#This Row],[ID Item Vendido]],Agregado[ID],Agregado[Revenda])</f>
        <v>6.7</v>
      </c>
      <c r="I5984" s="3">
        <f>Vendas[[#This Row],[Valor Unitário]]*Vendas[[#This Row],[Qnt Vendida]]</f>
        <v>107.2</v>
      </c>
      <c r="J5984" s="3">
        <f>Vendas[[#This Row],[Valor da Venda]]-(_xlfn.XLOOKUP(Vendas[[#This Row],[ID Item Vendido]],Agregado[ID],Agregado[Custo])*Vendas[[#This Row],[Qnt Vendida]])</f>
        <v>14.400000000000006</v>
      </c>
      <c r="K5984" s="70">
        <f>Vendas[[#This Row],[Lucro da Venda]]/Vendas[[#This Row],[Valor da Venda]]</f>
        <v>0.13432835820895528</v>
      </c>
      <c r="L5984" s="3">
        <f>_xlfn.IFS(Vendas[[#This Row],[Margem de Lucro (%)]]&lt;15%,Vendas[[#This Row],[Valor da Venda]]*3%,Vendas[[#This Row],[Margem de Lucro (%)]]&lt;=20%,Vendas[[#This Row],[Valor da Venda]]*4.5%,TRUE,Vendas[[#This Row],[Valor da Venda]]*6%)</f>
        <v>3.2159999999999997</v>
      </c>
      <c r="M5984"/>
    </row>
    <row r="5985" spans="1:13" x14ac:dyDescent="0.3">
      <c r="A5985" s="7">
        <v>400252</v>
      </c>
      <c r="B5985" t="str">
        <f>_xlfn.XLOOKUP(Vendas[[#This Row],[ID Vendedor]],Vendedores[ID],Vendedores[Nome])</f>
        <v>Renata</v>
      </c>
      <c r="C5985" s="7" t="str">
        <f>_xlfn.XLOOKUP(Vendas[[#This Row],[ID Vendedor]],Vendedores[ID],Vendedores[Setor])</f>
        <v>AB</v>
      </c>
      <c r="D5985" s="7" t="s">
        <v>37</v>
      </c>
      <c r="E5985" t="str">
        <f>_xlfn.XLOOKUP(Vendas[[#This Row],[ID Item Vendido]],Agregado[ID],Agregado[Produto])</f>
        <v>Composto de borracha para vedação rolo 10m</v>
      </c>
      <c r="F5985" s="39">
        <v>46255</v>
      </c>
      <c r="G5985" s="7">
        <v>17</v>
      </c>
      <c r="H5985" s="3">
        <f>_xlfn.XLOOKUP(Vendas[[#This Row],[ID Item Vendido]],Agregado[ID],Agregado[Revenda])</f>
        <v>51.2</v>
      </c>
      <c r="I5985" s="3">
        <f>Vendas[[#This Row],[Valor Unitário]]*Vendas[[#This Row],[Qnt Vendida]]</f>
        <v>870.40000000000009</v>
      </c>
      <c r="J5985" s="3">
        <f>Vendas[[#This Row],[Valor da Venda]]-(_xlfn.XLOOKUP(Vendas[[#This Row],[ID Item Vendido]],Agregado[ID],Agregado[Custo])*Vendas[[#This Row],[Qnt Vendida]])</f>
        <v>190.40000000000009</v>
      </c>
      <c r="K5985" s="70">
        <f>Vendas[[#This Row],[Lucro da Venda]]/Vendas[[#This Row],[Valor da Venda]]</f>
        <v>0.21875000000000008</v>
      </c>
      <c r="L5985" s="3">
        <f>_xlfn.IFS(Vendas[[#This Row],[Margem de Lucro (%)]]&lt;15%,Vendas[[#This Row],[Valor da Venda]]*3%,Vendas[[#This Row],[Margem de Lucro (%)]]&lt;=20%,Vendas[[#This Row],[Valor da Venda]]*4.5%,TRUE,Vendas[[#This Row],[Valor da Venda]]*6%)</f>
        <v>52.224000000000004</v>
      </c>
      <c r="M5985"/>
    </row>
    <row r="5986" spans="1:13" x14ac:dyDescent="0.3">
      <c r="A5986" s="7">
        <v>400253</v>
      </c>
      <c r="B5986" t="str">
        <f>_xlfn.XLOOKUP(Vendas[[#This Row],[ID Vendedor]],Vendedores[ID],Vendedores[Nome])</f>
        <v>Gustavo</v>
      </c>
      <c r="C5986" s="7" t="str">
        <f>_xlfn.XLOOKUP(Vendas[[#This Row],[ID Vendedor]],Vendedores[ID],Vendedores[Setor])</f>
        <v>SC</v>
      </c>
      <c r="D5986" s="7" t="s">
        <v>14</v>
      </c>
      <c r="E5986" t="str">
        <f>_xlfn.XLOOKUP(Vendas[[#This Row],[ID Item Vendido]],Agregado[ID],Agregado[Produto])</f>
        <v>Barril de plástico 200L</v>
      </c>
      <c r="F5986" s="39">
        <v>46255</v>
      </c>
      <c r="G5986" s="7">
        <v>5</v>
      </c>
      <c r="H5986" s="3">
        <f>_xlfn.XLOOKUP(Vendas[[#This Row],[ID Item Vendido]],Agregado[ID],Agregado[Revenda])</f>
        <v>114</v>
      </c>
      <c r="I5986" s="3">
        <f>Vendas[[#This Row],[Valor Unitário]]*Vendas[[#This Row],[Qnt Vendida]]</f>
        <v>570</v>
      </c>
      <c r="J5986" s="3">
        <f>Vendas[[#This Row],[Valor da Venda]]-(_xlfn.XLOOKUP(Vendas[[#This Row],[ID Item Vendido]],Agregado[ID],Agregado[Custo])*Vendas[[#This Row],[Qnt Vendida]])</f>
        <v>95</v>
      </c>
      <c r="K5986" s="70">
        <f>Vendas[[#This Row],[Lucro da Venda]]/Vendas[[#This Row],[Valor da Venda]]</f>
        <v>0.16666666666666666</v>
      </c>
      <c r="L5986" s="3">
        <f>_xlfn.IFS(Vendas[[#This Row],[Margem de Lucro (%)]]&lt;15%,Vendas[[#This Row],[Valor da Venda]]*3%,Vendas[[#This Row],[Margem de Lucro (%)]]&lt;=20%,Vendas[[#This Row],[Valor da Venda]]*4.5%,TRUE,Vendas[[#This Row],[Valor da Venda]]*6%)</f>
        <v>25.65</v>
      </c>
      <c r="M5986"/>
    </row>
    <row r="5987" spans="1:13" x14ac:dyDescent="0.3">
      <c r="A5987" s="7">
        <v>400248</v>
      </c>
      <c r="B5987" t="str">
        <f>_xlfn.XLOOKUP(Vendas[[#This Row],[ID Vendedor]],Vendedores[ID],Vendedores[Nome])</f>
        <v>Patrícia</v>
      </c>
      <c r="C5987" s="7" t="str">
        <f>_xlfn.XLOOKUP(Vendas[[#This Row],[ID Vendedor]],Vendedores[ID],Vendedores[Setor])</f>
        <v>CM</v>
      </c>
      <c r="D5987" s="7" t="s">
        <v>45</v>
      </c>
      <c r="E5987" t="str">
        <f>_xlfn.XLOOKUP(Vendas[[#This Row],[ID Item Vendido]],Agregado[ID],Agregado[Produto])</f>
        <v>Viga de madeira tratada 4m</v>
      </c>
      <c r="F5987" s="39">
        <v>46255</v>
      </c>
      <c r="G5987" s="7">
        <v>6</v>
      </c>
      <c r="H5987" s="3">
        <f>_xlfn.XLOOKUP(Vendas[[#This Row],[ID Item Vendido]],Agregado[ID],Agregado[Revenda])</f>
        <v>66</v>
      </c>
      <c r="I5987" s="3">
        <f>Vendas[[#This Row],[Valor Unitário]]*Vendas[[#This Row],[Qnt Vendida]]</f>
        <v>396</v>
      </c>
      <c r="J5987" s="3">
        <f>Vendas[[#This Row],[Valor da Venda]]-(_xlfn.XLOOKUP(Vendas[[#This Row],[ID Item Vendido]],Agregado[ID],Agregado[Custo])*Vendas[[#This Row],[Qnt Vendida]])</f>
        <v>66</v>
      </c>
      <c r="K5987" s="70">
        <f>Vendas[[#This Row],[Lucro da Venda]]/Vendas[[#This Row],[Valor da Venda]]</f>
        <v>0.16666666666666666</v>
      </c>
      <c r="L5987" s="3">
        <f>_xlfn.IFS(Vendas[[#This Row],[Margem de Lucro (%)]]&lt;15%,Vendas[[#This Row],[Valor da Venda]]*3%,Vendas[[#This Row],[Margem de Lucro (%)]]&lt;=20%,Vendas[[#This Row],[Valor da Venda]]*4.5%,TRUE,Vendas[[#This Row],[Valor da Venda]]*6%)</f>
        <v>17.82</v>
      </c>
      <c r="M5987"/>
    </row>
    <row r="5988" spans="1:13" x14ac:dyDescent="0.3">
      <c r="A5988" s="7">
        <v>400248</v>
      </c>
      <c r="B5988" t="str">
        <f>_xlfn.XLOOKUP(Vendas[[#This Row],[ID Vendedor]],Vendedores[ID],Vendedores[Nome])</f>
        <v>Patrícia</v>
      </c>
      <c r="C5988" s="7" t="str">
        <f>_xlfn.XLOOKUP(Vendas[[#This Row],[ID Vendedor]],Vendedores[ID],Vendedores[Setor])</f>
        <v>CM</v>
      </c>
      <c r="D5988" s="7" t="s">
        <v>45</v>
      </c>
      <c r="E5988" t="str">
        <f>_xlfn.XLOOKUP(Vendas[[#This Row],[ID Item Vendido]],Agregado[ID],Agregado[Produto])</f>
        <v>Viga de madeira tratada 4m</v>
      </c>
      <c r="F5988" s="39">
        <v>46256</v>
      </c>
      <c r="G5988" s="7">
        <v>5</v>
      </c>
      <c r="H5988" s="3">
        <f>_xlfn.XLOOKUP(Vendas[[#This Row],[ID Item Vendido]],Agregado[ID],Agregado[Revenda])</f>
        <v>66</v>
      </c>
      <c r="I5988" s="3">
        <f>Vendas[[#This Row],[Valor Unitário]]*Vendas[[#This Row],[Qnt Vendida]]</f>
        <v>330</v>
      </c>
      <c r="J5988" s="3">
        <f>Vendas[[#This Row],[Valor da Venda]]-(_xlfn.XLOOKUP(Vendas[[#This Row],[ID Item Vendido]],Agregado[ID],Agregado[Custo])*Vendas[[#This Row],[Qnt Vendida]])</f>
        <v>55</v>
      </c>
      <c r="K5988" s="70">
        <f>Vendas[[#This Row],[Lucro da Venda]]/Vendas[[#This Row],[Valor da Venda]]</f>
        <v>0.16666666666666666</v>
      </c>
      <c r="L5988" s="3">
        <f>_xlfn.IFS(Vendas[[#This Row],[Margem de Lucro (%)]]&lt;15%,Vendas[[#This Row],[Valor da Venda]]*3%,Vendas[[#This Row],[Margem de Lucro (%)]]&lt;=20%,Vendas[[#This Row],[Valor da Venda]]*4.5%,TRUE,Vendas[[#This Row],[Valor da Venda]]*6%)</f>
        <v>14.85</v>
      </c>
      <c r="M5988"/>
    </row>
    <row r="5989" spans="1:13" x14ac:dyDescent="0.3">
      <c r="A5989" s="7">
        <v>400252</v>
      </c>
      <c r="B5989" t="str">
        <f>_xlfn.XLOOKUP(Vendas[[#This Row],[ID Vendedor]],Vendedores[ID],Vendedores[Nome])</f>
        <v>Renata</v>
      </c>
      <c r="C5989" s="7" t="str">
        <f>_xlfn.XLOOKUP(Vendas[[#This Row],[ID Vendedor]],Vendedores[ID],Vendedores[Setor])</f>
        <v>AB</v>
      </c>
      <c r="D5989" s="7" t="s">
        <v>36</v>
      </c>
      <c r="E5989" t="str">
        <f>_xlfn.XLOOKUP(Vendas[[#This Row],[ID Item Vendido]],Agregado[ID],Agregado[Produto])</f>
        <v>Borracha vulcanizada em manta</v>
      </c>
      <c r="F5989" s="39">
        <v>46256</v>
      </c>
      <c r="G5989" s="7">
        <v>10</v>
      </c>
      <c r="H5989" s="3">
        <f>_xlfn.XLOOKUP(Vendas[[#This Row],[ID Item Vendido]],Agregado[ID],Agregado[Revenda])</f>
        <v>7.8</v>
      </c>
      <c r="I5989" s="3">
        <f>Vendas[[#This Row],[Valor Unitário]]*Vendas[[#This Row],[Qnt Vendida]]</f>
        <v>78</v>
      </c>
      <c r="J5989" s="3">
        <f>Vendas[[#This Row],[Valor da Venda]]-(_xlfn.XLOOKUP(Vendas[[#This Row],[ID Item Vendido]],Agregado[ID],Agregado[Custo])*Vendas[[#This Row],[Qnt Vendida]])</f>
        <v>18</v>
      </c>
      <c r="K5989" s="70">
        <f>Vendas[[#This Row],[Lucro da Venda]]/Vendas[[#This Row],[Valor da Venda]]</f>
        <v>0.23076923076923078</v>
      </c>
      <c r="L5989" s="3">
        <f>_xlfn.IFS(Vendas[[#This Row],[Margem de Lucro (%)]]&lt;15%,Vendas[[#This Row],[Valor da Venda]]*3%,Vendas[[#This Row],[Margem de Lucro (%)]]&lt;=20%,Vendas[[#This Row],[Valor da Venda]]*4.5%,TRUE,Vendas[[#This Row],[Valor da Venda]]*6%)</f>
        <v>4.68</v>
      </c>
      <c r="M5989"/>
    </row>
    <row r="5990" spans="1:13" x14ac:dyDescent="0.3">
      <c r="A5990" s="7">
        <v>400254</v>
      </c>
      <c r="B5990" t="str">
        <f>_xlfn.XLOOKUP(Vendas[[#This Row],[ID Vendedor]],Vendedores[ID],Vendedores[Nome])</f>
        <v>Beatriz</v>
      </c>
      <c r="C5990" s="7" t="str">
        <f>_xlfn.XLOOKUP(Vendas[[#This Row],[ID Vendedor]],Vendedores[ID],Vendedores[Setor])</f>
        <v>SC</v>
      </c>
      <c r="D5990" s="7" t="s">
        <v>48</v>
      </c>
      <c r="E5990" t="str">
        <f>_xlfn.XLOOKUP(Vendas[[#This Row],[ID Item Vendido]],Agregado[ID],Agregado[Produto])</f>
        <v>Tambor metálico 200L</v>
      </c>
      <c r="F5990" s="39">
        <v>46257</v>
      </c>
      <c r="G5990" s="7">
        <v>15</v>
      </c>
      <c r="H5990" s="3">
        <f>_xlfn.XLOOKUP(Vendas[[#This Row],[ID Item Vendido]],Agregado[ID],Agregado[Revenda])</f>
        <v>144</v>
      </c>
      <c r="I5990" s="3">
        <f>Vendas[[#This Row],[Valor Unitário]]*Vendas[[#This Row],[Qnt Vendida]]</f>
        <v>2160</v>
      </c>
      <c r="J5990" s="3">
        <f>Vendas[[#This Row],[Valor da Venda]]-(_xlfn.XLOOKUP(Vendas[[#This Row],[ID Item Vendido]],Agregado[ID],Agregado[Custo])*Vendas[[#This Row],[Qnt Vendida]])</f>
        <v>360</v>
      </c>
      <c r="K5990" s="70">
        <f>Vendas[[#This Row],[Lucro da Venda]]/Vendas[[#This Row],[Valor da Venda]]</f>
        <v>0.16666666666666666</v>
      </c>
      <c r="L5990" s="3">
        <f>_xlfn.IFS(Vendas[[#This Row],[Margem de Lucro (%)]]&lt;15%,Vendas[[#This Row],[Valor da Venda]]*3%,Vendas[[#This Row],[Margem de Lucro (%)]]&lt;=20%,Vendas[[#This Row],[Valor da Venda]]*4.5%,TRUE,Vendas[[#This Row],[Valor da Venda]]*6%)</f>
        <v>97.2</v>
      </c>
      <c r="M5990"/>
    </row>
    <row r="5991" spans="1:13" x14ac:dyDescent="0.3">
      <c r="A5991" s="7">
        <v>400252</v>
      </c>
      <c r="B5991" t="str">
        <f>_xlfn.XLOOKUP(Vendas[[#This Row],[ID Vendedor]],Vendedores[ID],Vendedores[Nome])</f>
        <v>Renata</v>
      </c>
      <c r="C5991" s="7" t="str">
        <f>_xlfn.XLOOKUP(Vendas[[#This Row],[ID Vendedor]],Vendedores[ID],Vendedores[Setor])</f>
        <v>AB</v>
      </c>
      <c r="D5991" s="7" t="s">
        <v>12</v>
      </c>
      <c r="E5991" t="str">
        <f>_xlfn.XLOOKUP(Vendas[[#This Row],[ID Item Vendido]],Agregado[ID],Agregado[Produto])</f>
        <v>Grânulo de plástico reciclado refinado</v>
      </c>
      <c r="F5991" s="39">
        <v>46257</v>
      </c>
      <c r="G5991" s="7">
        <v>21</v>
      </c>
      <c r="H5991" s="3">
        <f>_xlfn.XLOOKUP(Vendas[[#This Row],[ID Item Vendido]],Agregado[ID],Agregado[Revenda])</f>
        <v>4.7</v>
      </c>
      <c r="I5991" s="3">
        <f>Vendas[[#This Row],[Valor Unitário]]*Vendas[[#This Row],[Qnt Vendida]]</f>
        <v>98.7</v>
      </c>
      <c r="J5991" s="3">
        <f>Vendas[[#This Row],[Valor da Venda]]-(_xlfn.XLOOKUP(Vendas[[#This Row],[ID Item Vendido]],Agregado[ID],Agregado[Custo])*Vendas[[#This Row],[Qnt Vendida]])</f>
        <v>25.200000000000003</v>
      </c>
      <c r="K5991" s="70">
        <f>Vendas[[#This Row],[Lucro da Venda]]/Vendas[[#This Row],[Valor da Venda]]</f>
        <v>0.25531914893617025</v>
      </c>
      <c r="L5991" s="3">
        <f>_xlfn.IFS(Vendas[[#This Row],[Margem de Lucro (%)]]&lt;15%,Vendas[[#This Row],[Valor da Venda]]*3%,Vendas[[#This Row],[Margem de Lucro (%)]]&lt;=20%,Vendas[[#This Row],[Valor da Venda]]*4.5%,TRUE,Vendas[[#This Row],[Valor da Venda]]*6%)</f>
        <v>5.9219999999999997</v>
      </c>
      <c r="M5991"/>
    </row>
    <row r="5992" spans="1:13" x14ac:dyDescent="0.3">
      <c r="A5992" s="7">
        <v>400252</v>
      </c>
      <c r="B5992" t="str">
        <f>_xlfn.XLOOKUP(Vendas[[#This Row],[ID Vendedor]],Vendedores[ID],Vendedores[Nome])</f>
        <v>Renata</v>
      </c>
      <c r="C5992" s="7" t="str">
        <f>_xlfn.XLOOKUP(Vendas[[#This Row],[ID Vendedor]],Vendedores[ID],Vendedores[Setor])</f>
        <v>AB</v>
      </c>
      <c r="D5992" s="7" t="s">
        <v>12</v>
      </c>
      <c r="E5992" t="str">
        <f>_xlfn.XLOOKUP(Vendas[[#This Row],[ID Item Vendido]],Agregado[ID],Agregado[Produto])</f>
        <v>Grânulo de plástico reciclado refinado</v>
      </c>
      <c r="F5992" s="39">
        <v>46258</v>
      </c>
      <c r="G5992" s="7">
        <v>141</v>
      </c>
      <c r="H5992" s="3">
        <f>_xlfn.XLOOKUP(Vendas[[#This Row],[ID Item Vendido]],Agregado[ID],Agregado[Revenda])</f>
        <v>4.7</v>
      </c>
      <c r="I5992" s="3">
        <f>Vendas[[#This Row],[Valor Unitário]]*Vendas[[#This Row],[Qnt Vendida]]</f>
        <v>662.7</v>
      </c>
      <c r="J5992" s="3">
        <f>Vendas[[#This Row],[Valor da Venda]]-(_xlfn.XLOOKUP(Vendas[[#This Row],[ID Item Vendido]],Agregado[ID],Agregado[Custo])*Vendas[[#This Row],[Qnt Vendida]])</f>
        <v>169.20000000000005</v>
      </c>
      <c r="K5992" s="70">
        <f>Vendas[[#This Row],[Lucro da Venda]]/Vendas[[#This Row],[Valor da Venda]]</f>
        <v>0.25531914893617025</v>
      </c>
      <c r="L5992" s="3">
        <f>_xlfn.IFS(Vendas[[#This Row],[Margem de Lucro (%)]]&lt;15%,Vendas[[#This Row],[Valor da Venda]]*3%,Vendas[[#This Row],[Margem de Lucro (%)]]&lt;=20%,Vendas[[#This Row],[Valor da Venda]]*4.5%,TRUE,Vendas[[#This Row],[Valor da Venda]]*6%)</f>
        <v>39.762</v>
      </c>
      <c r="M5992"/>
    </row>
    <row r="5993" spans="1:13" x14ac:dyDescent="0.3">
      <c r="A5993" s="7">
        <v>400242</v>
      </c>
      <c r="B5993" t="str">
        <f>_xlfn.XLOOKUP(Vendas[[#This Row],[ID Vendedor]],Vendedores[ID],Vendedores[Nome])</f>
        <v>Fernanda</v>
      </c>
      <c r="C5993" s="7" t="str">
        <f>_xlfn.XLOOKUP(Vendas[[#This Row],[ID Vendedor]],Vendedores[ID],Vendedores[Setor])</f>
        <v>FM</v>
      </c>
      <c r="D5993" s="7" t="s">
        <v>27</v>
      </c>
      <c r="E5993" t="str">
        <f>_xlfn.XLOOKUP(Vendas[[#This Row],[ID Item Vendido]],Agregado[ID],Agregado[Produto])</f>
        <v>Chapa de metal lisa 1x2m</v>
      </c>
      <c r="F5993" s="39">
        <v>46258</v>
      </c>
      <c r="G5993" s="7">
        <v>4</v>
      </c>
      <c r="H5993" s="3">
        <f>_xlfn.XLOOKUP(Vendas[[#This Row],[ID Item Vendido]],Agregado[ID],Agregado[Revenda])</f>
        <v>52</v>
      </c>
      <c r="I5993" s="3">
        <f>Vendas[[#This Row],[Valor Unitário]]*Vendas[[#This Row],[Qnt Vendida]]</f>
        <v>208</v>
      </c>
      <c r="J5993" s="3">
        <f>Vendas[[#This Row],[Valor da Venda]]-(_xlfn.XLOOKUP(Vendas[[#This Row],[ID Item Vendido]],Agregado[ID],Agregado[Custo])*Vendas[[#This Row],[Qnt Vendida]])</f>
        <v>28</v>
      </c>
      <c r="K5993" s="70">
        <f>Vendas[[#This Row],[Lucro da Venda]]/Vendas[[#This Row],[Valor da Venda]]</f>
        <v>0.13461538461538461</v>
      </c>
      <c r="L5993" s="3">
        <f>_xlfn.IFS(Vendas[[#This Row],[Margem de Lucro (%)]]&lt;15%,Vendas[[#This Row],[Valor da Venda]]*3%,Vendas[[#This Row],[Margem de Lucro (%)]]&lt;=20%,Vendas[[#This Row],[Valor da Venda]]*4.5%,TRUE,Vendas[[#This Row],[Valor da Venda]]*6%)</f>
        <v>6.24</v>
      </c>
      <c r="M5993"/>
    </row>
    <row r="5994" spans="1:13" x14ac:dyDescent="0.3">
      <c r="A5994" s="7">
        <v>400254</v>
      </c>
      <c r="B5994" t="str">
        <f>_xlfn.XLOOKUP(Vendas[[#This Row],[ID Vendedor]],Vendedores[ID],Vendedores[Nome])</f>
        <v>Beatriz</v>
      </c>
      <c r="C5994" s="7" t="str">
        <f>_xlfn.XLOOKUP(Vendas[[#This Row],[ID Vendedor]],Vendedores[ID],Vendedores[Setor])</f>
        <v>SC</v>
      </c>
      <c r="D5994" s="7" t="s">
        <v>14</v>
      </c>
      <c r="E5994" t="str">
        <f>_xlfn.XLOOKUP(Vendas[[#This Row],[ID Item Vendido]],Agregado[ID],Agregado[Produto])</f>
        <v>Barril de plástico 200L</v>
      </c>
      <c r="F5994" s="39">
        <v>46259</v>
      </c>
      <c r="G5994" s="7">
        <v>25</v>
      </c>
      <c r="H5994" s="3">
        <f>_xlfn.XLOOKUP(Vendas[[#This Row],[ID Item Vendido]],Agregado[ID],Agregado[Revenda])</f>
        <v>114</v>
      </c>
      <c r="I5994" s="3">
        <f>Vendas[[#This Row],[Valor Unitário]]*Vendas[[#This Row],[Qnt Vendida]]</f>
        <v>2850</v>
      </c>
      <c r="J5994" s="3">
        <f>Vendas[[#This Row],[Valor da Venda]]-(_xlfn.XLOOKUP(Vendas[[#This Row],[ID Item Vendido]],Agregado[ID],Agregado[Custo])*Vendas[[#This Row],[Qnt Vendida]])</f>
        <v>475</v>
      </c>
      <c r="K5994" s="70">
        <f>Vendas[[#This Row],[Lucro da Venda]]/Vendas[[#This Row],[Valor da Venda]]</f>
        <v>0.16666666666666666</v>
      </c>
      <c r="L5994" s="3">
        <f>_xlfn.IFS(Vendas[[#This Row],[Margem de Lucro (%)]]&lt;15%,Vendas[[#This Row],[Valor da Venda]]*3%,Vendas[[#This Row],[Margem de Lucro (%)]]&lt;=20%,Vendas[[#This Row],[Valor da Venda]]*4.5%,TRUE,Vendas[[#This Row],[Valor da Venda]]*6%)</f>
        <v>128.25</v>
      </c>
      <c r="M5994"/>
    </row>
    <row r="5995" spans="1:13" x14ac:dyDescent="0.3">
      <c r="A5995" s="7">
        <v>400254</v>
      </c>
      <c r="B5995" t="str">
        <f>_xlfn.XLOOKUP(Vendas[[#This Row],[ID Vendedor]],Vendedores[ID],Vendedores[Nome])</f>
        <v>Beatriz</v>
      </c>
      <c r="C5995" s="7" t="str">
        <f>_xlfn.XLOOKUP(Vendas[[#This Row],[ID Vendedor]],Vendedores[ID],Vendedores[Setor])</f>
        <v>SC</v>
      </c>
      <c r="D5995" s="7" t="s">
        <v>14</v>
      </c>
      <c r="E5995" t="str">
        <f>_xlfn.XLOOKUP(Vendas[[#This Row],[ID Item Vendido]],Agregado[ID],Agregado[Produto])</f>
        <v>Barril de plástico 200L</v>
      </c>
      <c r="F5995" s="39">
        <v>46259</v>
      </c>
      <c r="G5995" s="7">
        <v>9</v>
      </c>
      <c r="H5995" s="3">
        <f>_xlfn.XLOOKUP(Vendas[[#This Row],[ID Item Vendido]],Agregado[ID],Agregado[Revenda])</f>
        <v>114</v>
      </c>
      <c r="I5995" s="3">
        <f>Vendas[[#This Row],[Valor Unitário]]*Vendas[[#This Row],[Qnt Vendida]]</f>
        <v>1026</v>
      </c>
      <c r="J5995" s="3">
        <f>Vendas[[#This Row],[Valor da Venda]]-(_xlfn.XLOOKUP(Vendas[[#This Row],[ID Item Vendido]],Agregado[ID],Agregado[Custo])*Vendas[[#This Row],[Qnt Vendida]])</f>
        <v>171</v>
      </c>
      <c r="K5995" s="70">
        <f>Vendas[[#This Row],[Lucro da Venda]]/Vendas[[#This Row],[Valor da Venda]]</f>
        <v>0.16666666666666666</v>
      </c>
      <c r="L5995" s="3">
        <f>_xlfn.IFS(Vendas[[#This Row],[Margem de Lucro (%)]]&lt;15%,Vendas[[#This Row],[Valor da Venda]]*3%,Vendas[[#This Row],[Margem de Lucro (%)]]&lt;=20%,Vendas[[#This Row],[Valor da Venda]]*4.5%,TRUE,Vendas[[#This Row],[Valor da Venda]]*6%)</f>
        <v>46.17</v>
      </c>
      <c r="M5995"/>
    </row>
    <row r="5996" spans="1:13" x14ac:dyDescent="0.3">
      <c r="A5996" s="7">
        <v>400252</v>
      </c>
      <c r="B5996" t="str">
        <f>_xlfn.XLOOKUP(Vendas[[#This Row],[ID Vendedor]],Vendedores[ID],Vendedores[Nome])</f>
        <v>Renata</v>
      </c>
      <c r="C5996" s="7" t="str">
        <f>_xlfn.XLOOKUP(Vendas[[#This Row],[ID Vendedor]],Vendedores[ID],Vendedores[Setor])</f>
        <v>AB</v>
      </c>
      <c r="D5996" s="7" t="s">
        <v>12</v>
      </c>
      <c r="E5996" t="str">
        <f>_xlfn.XLOOKUP(Vendas[[#This Row],[ID Item Vendido]],Agregado[ID],Agregado[Produto])</f>
        <v>Grânulo de plástico reciclado refinado</v>
      </c>
      <c r="F5996" s="39">
        <v>46259</v>
      </c>
      <c r="G5996" s="7">
        <v>33</v>
      </c>
      <c r="H5996" s="3">
        <f>_xlfn.XLOOKUP(Vendas[[#This Row],[ID Item Vendido]],Agregado[ID],Agregado[Revenda])</f>
        <v>4.7</v>
      </c>
      <c r="I5996" s="3">
        <f>Vendas[[#This Row],[Valor Unitário]]*Vendas[[#This Row],[Qnt Vendida]]</f>
        <v>155.1</v>
      </c>
      <c r="J5996" s="3">
        <f>Vendas[[#This Row],[Valor da Venda]]-(_xlfn.XLOOKUP(Vendas[[#This Row],[ID Item Vendido]],Agregado[ID],Agregado[Custo])*Vendas[[#This Row],[Qnt Vendida]])</f>
        <v>39.599999999999994</v>
      </c>
      <c r="K5996" s="70">
        <f>Vendas[[#This Row],[Lucro da Venda]]/Vendas[[#This Row],[Valor da Venda]]</f>
        <v>0.25531914893617019</v>
      </c>
      <c r="L5996" s="3">
        <f>_xlfn.IFS(Vendas[[#This Row],[Margem de Lucro (%)]]&lt;15%,Vendas[[#This Row],[Valor da Venda]]*3%,Vendas[[#This Row],[Margem de Lucro (%)]]&lt;=20%,Vendas[[#This Row],[Valor da Venda]]*4.5%,TRUE,Vendas[[#This Row],[Valor da Venda]]*6%)</f>
        <v>9.3059999999999992</v>
      </c>
      <c r="M5996"/>
    </row>
    <row r="5997" spans="1:13" x14ac:dyDescent="0.3">
      <c r="A5997" s="7">
        <v>400250</v>
      </c>
      <c r="B5997" t="str">
        <f>_xlfn.XLOOKUP(Vendas[[#This Row],[ID Vendedor]],Vendedores[ID],Vendedores[Nome])</f>
        <v>Larissa</v>
      </c>
      <c r="C5997" s="7" t="str">
        <f>_xlfn.XLOOKUP(Vendas[[#This Row],[ID Vendedor]],Vendedores[ID],Vendedores[Setor])</f>
        <v>AB</v>
      </c>
      <c r="D5997" s="7" t="s">
        <v>12</v>
      </c>
      <c r="E5997" t="str">
        <f>_xlfn.XLOOKUP(Vendas[[#This Row],[ID Item Vendido]],Agregado[ID],Agregado[Produto])</f>
        <v>Grânulo de plástico reciclado refinado</v>
      </c>
      <c r="F5997" s="39">
        <v>46260</v>
      </c>
      <c r="G5997" s="7">
        <v>50</v>
      </c>
      <c r="H5997" s="3">
        <f>_xlfn.XLOOKUP(Vendas[[#This Row],[ID Item Vendido]],Agregado[ID],Agregado[Revenda])</f>
        <v>4.7</v>
      </c>
      <c r="I5997" s="3">
        <f>Vendas[[#This Row],[Valor Unitário]]*Vendas[[#This Row],[Qnt Vendida]]</f>
        <v>235</v>
      </c>
      <c r="J5997" s="3">
        <f>Vendas[[#This Row],[Valor da Venda]]-(_xlfn.XLOOKUP(Vendas[[#This Row],[ID Item Vendido]],Agregado[ID],Agregado[Custo])*Vendas[[#This Row],[Qnt Vendida]])</f>
        <v>60</v>
      </c>
      <c r="K5997" s="70">
        <f>Vendas[[#This Row],[Lucro da Venda]]/Vendas[[#This Row],[Valor da Venda]]</f>
        <v>0.25531914893617019</v>
      </c>
      <c r="L5997" s="3">
        <f>_xlfn.IFS(Vendas[[#This Row],[Margem de Lucro (%)]]&lt;15%,Vendas[[#This Row],[Valor da Venda]]*3%,Vendas[[#This Row],[Margem de Lucro (%)]]&lt;=20%,Vendas[[#This Row],[Valor da Venda]]*4.5%,TRUE,Vendas[[#This Row],[Valor da Venda]]*6%)</f>
        <v>14.1</v>
      </c>
      <c r="M5997"/>
    </row>
    <row r="5998" spans="1:13" x14ac:dyDescent="0.3">
      <c r="A5998" s="7">
        <v>400249</v>
      </c>
      <c r="B5998" t="str">
        <f>_xlfn.XLOOKUP(Vendas[[#This Row],[ID Vendedor]],Vendedores[ID],Vendedores[Nome])</f>
        <v>Bruno</v>
      </c>
      <c r="C5998" s="7" t="str">
        <f>_xlfn.XLOOKUP(Vendas[[#This Row],[ID Vendedor]],Vendedores[ID],Vendedores[Setor])</f>
        <v>CM</v>
      </c>
      <c r="D5998" s="7" t="s">
        <v>34</v>
      </c>
      <c r="E5998" t="str">
        <f>_xlfn.XLOOKUP(Vendas[[#This Row],[ID Item Vendido]],Agregado[ID],Agregado[Produto])</f>
        <v>Restos de madeira p/ MDP/OSB saco de 20kg</v>
      </c>
      <c r="F5998" s="39">
        <v>46260</v>
      </c>
      <c r="G5998" s="7">
        <v>17</v>
      </c>
      <c r="H5998" s="3">
        <f>_xlfn.XLOOKUP(Vendas[[#This Row],[ID Item Vendido]],Agregado[ID],Agregado[Revenda])</f>
        <v>13.8</v>
      </c>
      <c r="I5998" s="3">
        <f>Vendas[[#This Row],[Valor Unitário]]*Vendas[[#This Row],[Qnt Vendida]]</f>
        <v>234.60000000000002</v>
      </c>
      <c r="J5998" s="3">
        <f>Vendas[[#This Row],[Valor da Venda]]-(_xlfn.XLOOKUP(Vendas[[#This Row],[ID Item Vendido]],Agregado[ID],Agregado[Custo])*Vendas[[#This Row],[Qnt Vendida]])</f>
        <v>30.600000000000023</v>
      </c>
      <c r="K5998" s="70">
        <f>Vendas[[#This Row],[Lucro da Venda]]/Vendas[[#This Row],[Valor da Venda]]</f>
        <v>0.13043478260869573</v>
      </c>
      <c r="L5998" s="3">
        <f>_xlfn.IFS(Vendas[[#This Row],[Margem de Lucro (%)]]&lt;15%,Vendas[[#This Row],[Valor da Venda]]*3%,Vendas[[#This Row],[Margem de Lucro (%)]]&lt;=20%,Vendas[[#This Row],[Valor da Venda]]*4.5%,TRUE,Vendas[[#This Row],[Valor da Venda]]*6%)</f>
        <v>7.0380000000000003</v>
      </c>
      <c r="M5998"/>
    </row>
    <row r="5999" spans="1:13" x14ac:dyDescent="0.3">
      <c r="A5999" s="7">
        <v>400254</v>
      </c>
      <c r="B5999" t="str">
        <f>_xlfn.XLOOKUP(Vendas[[#This Row],[ID Vendedor]],Vendedores[ID],Vendedores[Nome])</f>
        <v>Beatriz</v>
      </c>
      <c r="C5999" s="7" t="str">
        <f>_xlfn.XLOOKUP(Vendas[[#This Row],[ID Vendedor]],Vendedores[ID],Vendedores[Setor])</f>
        <v>SC</v>
      </c>
      <c r="D5999" s="7" t="s">
        <v>48</v>
      </c>
      <c r="E5999" t="str">
        <f>_xlfn.XLOOKUP(Vendas[[#This Row],[ID Item Vendido]],Agregado[ID],Agregado[Produto])</f>
        <v>Tambor metálico 200L</v>
      </c>
      <c r="F5999" s="39">
        <v>46261</v>
      </c>
      <c r="G5999" s="7">
        <v>12</v>
      </c>
      <c r="H5999" s="3">
        <f>_xlfn.XLOOKUP(Vendas[[#This Row],[ID Item Vendido]],Agregado[ID],Agregado[Revenda])</f>
        <v>144</v>
      </c>
      <c r="I5999" s="3">
        <f>Vendas[[#This Row],[Valor Unitário]]*Vendas[[#This Row],[Qnt Vendida]]</f>
        <v>1728</v>
      </c>
      <c r="J5999" s="3">
        <f>Vendas[[#This Row],[Valor da Venda]]-(_xlfn.XLOOKUP(Vendas[[#This Row],[ID Item Vendido]],Agregado[ID],Agregado[Custo])*Vendas[[#This Row],[Qnt Vendida]])</f>
        <v>288</v>
      </c>
      <c r="K5999" s="70">
        <f>Vendas[[#This Row],[Lucro da Venda]]/Vendas[[#This Row],[Valor da Venda]]</f>
        <v>0.16666666666666666</v>
      </c>
      <c r="L5999" s="3">
        <f>_xlfn.IFS(Vendas[[#This Row],[Margem de Lucro (%)]]&lt;15%,Vendas[[#This Row],[Valor da Venda]]*3%,Vendas[[#This Row],[Margem de Lucro (%)]]&lt;=20%,Vendas[[#This Row],[Valor da Venda]]*4.5%,TRUE,Vendas[[#This Row],[Valor da Venda]]*6%)</f>
        <v>77.759999999999991</v>
      </c>
      <c r="M5999"/>
    </row>
    <row r="6000" spans="1:13" x14ac:dyDescent="0.3">
      <c r="A6000" s="7">
        <v>400247</v>
      </c>
      <c r="B6000" t="str">
        <f>_xlfn.XLOOKUP(Vendas[[#This Row],[ID Vendedor]],Vendedores[ID],Vendedores[Nome])</f>
        <v>André</v>
      </c>
      <c r="C6000" s="7" t="str">
        <f>_xlfn.XLOOKUP(Vendas[[#This Row],[ID Vendedor]],Vendedores[ID],Vendedores[Setor])</f>
        <v>CM</v>
      </c>
      <c r="D6000" s="7" t="s">
        <v>34</v>
      </c>
      <c r="E6000" t="str">
        <f>_xlfn.XLOOKUP(Vendas[[#This Row],[ID Item Vendido]],Agregado[ID],Agregado[Produto])</f>
        <v>Restos de madeira p/ MDP/OSB saco de 20kg</v>
      </c>
      <c r="F6000" s="39">
        <v>46261</v>
      </c>
      <c r="G6000" s="7">
        <v>9</v>
      </c>
      <c r="H6000" s="3">
        <f>_xlfn.XLOOKUP(Vendas[[#This Row],[ID Item Vendido]],Agregado[ID],Agregado[Revenda])</f>
        <v>13.8</v>
      </c>
      <c r="I6000" s="3">
        <f>Vendas[[#This Row],[Valor Unitário]]*Vendas[[#This Row],[Qnt Vendida]]</f>
        <v>124.2</v>
      </c>
      <c r="J6000" s="3">
        <f>Vendas[[#This Row],[Valor da Venda]]-(_xlfn.XLOOKUP(Vendas[[#This Row],[ID Item Vendido]],Agregado[ID],Agregado[Custo])*Vendas[[#This Row],[Qnt Vendida]])</f>
        <v>16.200000000000003</v>
      </c>
      <c r="K6000" s="70">
        <f>Vendas[[#This Row],[Lucro da Venda]]/Vendas[[#This Row],[Valor da Venda]]</f>
        <v>0.13043478260869568</v>
      </c>
      <c r="L6000" s="3">
        <f>_xlfn.IFS(Vendas[[#This Row],[Margem de Lucro (%)]]&lt;15%,Vendas[[#This Row],[Valor da Venda]]*3%,Vendas[[#This Row],[Margem de Lucro (%)]]&lt;=20%,Vendas[[#This Row],[Valor da Venda]]*4.5%,TRUE,Vendas[[#This Row],[Valor da Venda]]*6%)</f>
        <v>3.726</v>
      </c>
      <c r="M6000"/>
    </row>
    <row r="6001" spans="1:13" x14ac:dyDescent="0.3">
      <c r="A6001" s="7">
        <v>400244</v>
      </c>
      <c r="B6001" t="str">
        <f>_xlfn.XLOOKUP(Vendas[[#This Row],[ID Vendedor]],Vendedores[ID],Vendedores[Nome])</f>
        <v>Camila</v>
      </c>
      <c r="C6001" s="7" t="str">
        <f>_xlfn.XLOOKUP(Vendas[[#This Row],[ID Vendedor]],Vendedores[ID],Vendedores[Setor])</f>
        <v>AHD</v>
      </c>
      <c r="D6001" s="7" t="s">
        <v>30</v>
      </c>
      <c r="E6001" t="str">
        <f>_xlfn.XLOOKUP(Vendas[[#This Row],[ID Item Vendido]],Agregado[ID],Agregado[Produto])</f>
        <v>Estrutura metálica soldada</v>
      </c>
      <c r="F6001" s="39">
        <v>46262</v>
      </c>
      <c r="G6001" s="7">
        <v>8</v>
      </c>
      <c r="H6001" s="3">
        <f>_xlfn.XLOOKUP(Vendas[[#This Row],[ID Item Vendido]],Agregado[ID],Agregado[Revenda])</f>
        <v>400</v>
      </c>
      <c r="I6001" s="3">
        <f>Vendas[[#This Row],[Valor Unitário]]*Vendas[[#This Row],[Qnt Vendida]]</f>
        <v>3200</v>
      </c>
      <c r="J6001" s="3">
        <f>Vendas[[#This Row],[Valor da Venda]]-(_xlfn.XLOOKUP(Vendas[[#This Row],[ID Item Vendido]],Agregado[ID],Agregado[Custo])*Vendas[[#This Row],[Qnt Vendida]])</f>
        <v>640</v>
      </c>
      <c r="K6001" s="70">
        <f>Vendas[[#This Row],[Lucro da Venda]]/Vendas[[#This Row],[Valor da Venda]]</f>
        <v>0.2</v>
      </c>
      <c r="L6001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  <c r="M6001"/>
    </row>
    <row r="6002" spans="1:13" x14ac:dyDescent="0.3">
      <c r="A6002" s="7">
        <v>400245</v>
      </c>
      <c r="B6002" t="str">
        <f>_xlfn.XLOOKUP(Vendas[[#This Row],[ID Vendedor]],Vendedores[ID],Vendedores[Nome])</f>
        <v>Thiago</v>
      </c>
      <c r="C6002" s="7" t="str">
        <f>_xlfn.XLOOKUP(Vendas[[#This Row],[ID Vendedor]],Vendedores[ID],Vendedores[Setor])</f>
        <v>AHD</v>
      </c>
      <c r="D6002" s="7" t="s">
        <v>44</v>
      </c>
      <c r="E6002" t="str">
        <f>_xlfn.XLOOKUP(Vendas[[#This Row],[ID Item Vendido]],Agregado[ID],Agregado[Produto])</f>
        <v>Liga metálica especial</v>
      </c>
      <c r="F6002" s="39">
        <v>46262</v>
      </c>
      <c r="G6002" s="7">
        <v>20</v>
      </c>
      <c r="H6002" s="3">
        <f>_xlfn.XLOOKUP(Vendas[[#This Row],[ID Item Vendido]],Agregado[ID],Agregado[Revenda])</f>
        <v>32.5</v>
      </c>
      <c r="I6002" s="3">
        <f>Vendas[[#This Row],[Valor Unitário]]*Vendas[[#This Row],[Qnt Vendida]]</f>
        <v>650</v>
      </c>
      <c r="J6002" s="3">
        <f>Vendas[[#This Row],[Valor da Venda]]-(_xlfn.XLOOKUP(Vendas[[#This Row],[ID Item Vendido]],Agregado[ID],Agregado[Custo])*Vendas[[#This Row],[Qnt Vendida]])</f>
        <v>150</v>
      </c>
      <c r="K6002" s="70">
        <f>Vendas[[#This Row],[Lucro da Venda]]/Vendas[[#This Row],[Valor da Venda]]</f>
        <v>0.23076923076923078</v>
      </c>
      <c r="L6002" s="3">
        <f>_xlfn.IFS(Vendas[[#This Row],[Margem de Lucro (%)]]&lt;15%,Vendas[[#This Row],[Valor da Venda]]*3%,Vendas[[#This Row],[Margem de Lucro (%)]]&lt;=20%,Vendas[[#This Row],[Valor da Venda]]*4.5%,TRUE,Vendas[[#This Row],[Valor da Venda]]*6%)</f>
        <v>39</v>
      </c>
      <c r="M6002"/>
    </row>
    <row r="6003" spans="1:13" x14ac:dyDescent="0.3">
      <c r="A6003" s="7">
        <v>400246</v>
      </c>
      <c r="B6003" t="str">
        <f>_xlfn.XLOOKUP(Vendas[[#This Row],[ID Vendedor]],Vendedores[ID],Vendedores[Nome])</f>
        <v>Juliana</v>
      </c>
      <c r="C6003" s="7" t="str">
        <f>_xlfn.XLOOKUP(Vendas[[#This Row],[ID Vendedor]],Vendedores[ID],Vendedores[Setor])</f>
        <v>AHD</v>
      </c>
      <c r="D6003" s="7" t="s">
        <v>30</v>
      </c>
      <c r="E6003" t="str">
        <f>_xlfn.XLOOKUP(Vendas[[#This Row],[ID Item Vendido]],Agregado[ID],Agregado[Produto])</f>
        <v>Estrutura metálica soldada</v>
      </c>
      <c r="F6003" s="39">
        <v>46263</v>
      </c>
      <c r="G6003" s="7">
        <v>8</v>
      </c>
      <c r="H6003" s="3">
        <f>_xlfn.XLOOKUP(Vendas[[#This Row],[ID Item Vendido]],Agregado[ID],Agregado[Revenda])</f>
        <v>400</v>
      </c>
      <c r="I6003" s="3">
        <f>Vendas[[#This Row],[Valor Unitário]]*Vendas[[#This Row],[Qnt Vendida]]</f>
        <v>3200</v>
      </c>
      <c r="J6003" s="3">
        <f>Vendas[[#This Row],[Valor da Venda]]-(_xlfn.XLOOKUP(Vendas[[#This Row],[ID Item Vendido]],Agregado[ID],Agregado[Custo])*Vendas[[#This Row],[Qnt Vendida]])</f>
        <v>640</v>
      </c>
      <c r="K6003" s="70">
        <f>Vendas[[#This Row],[Lucro da Venda]]/Vendas[[#This Row],[Valor da Venda]]</f>
        <v>0.2</v>
      </c>
      <c r="L6003" s="3">
        <f>_xlfn.IFS(Vendas[[#This Row],[Margem de Lucro (%)]]&lt;15%,Vendas[[#This Row],[Valor da Venda]]*3%,Vendas[[#This Row],[Margem de Lucro (%)]]&lt;=20%,Vendas[[#This Row],[Valor da Venda]]*4.5%,TRUE,Vendas[[#This Row],[Valor da Venda]]*6%)</f>
        <v>144</v>
      </c>
    </row>
    <row r="6004" spans="1:13" x14ac:dyDescent="0.3">
      <c r="A6004" s="7">
        <v>400246</v>
      </c>
      <c r="B6004" t="str">
        <f>_xlfn.XLOOKUP(Vendas[[#This Row],[ID Vendedor]],Vendedores[ID],Vendedores[Nome])</f>
        <v>Juliana</v>
      </c>
      <c r="C6004" s="7" t="str">
        <f>_xlfn.XLOOKUP(Vendas[[#This Row],[ID Vendedor]],Vendedores[ID],Vendedores[Setor])</f>
        <v>AHD</v>
      </c>
      <c r="D6004" s="7" t="s">
        <v>28</v>
      </c>
      <c r="E6004" t="str">
        <f>_xlfn.XLOOKUP(Vendas[[#This Row],[ID Item Vendido]],Agregado[ID],Agregado[Produto])</f>
        <v>Peça usinada CNC</v>
      </c>
      <c r="F6004" s="39">
        <v>46263</v>
      </c>
      <c r="G6004" s="7">
        <v>2</v>
      </c>
      <c r="H6004" s="3">
        <f>_xlfn.XLOOKUP(Vendas[[#This Row],[ID Item Vendido]],Agregado[ID],Agregado[Revenda])</f>
        <v>192</v>
      </c>
      <c r="I6004" s="3">
        <f>Vendas[[#This Row],[Valor Unitário]]*Vendas[[#This Row],[Qnt Vendida]]</f>
        <v>384</v>
      </c>
      <c r="J6004" s="3">
        <f>Vendas[[#This Row],[Valor da Venda]]-(_xlfn.XLOOKUP(Vendas[[#This Row],[ID Item Vendido]],Agregado[ID],Agregado[Custo])*Vendas[[#This Row],[Qnt Vendida]])</f>
        <v>84</v>
      </c>
      <c r="K6004" s="70">
        <f>Vendas[[#This Row],[Lucro da Venda]]/Vendas[[#This Row],[Valor da Venda]]</f>
        <v>0.21875</v>
      </c>
      <c r="L6004" s="3">
        <f>_xlfn.IFS(Vendas[[#This Row],[Margem de Lucro (%)]]&lt;15%,Vendas[[#This Row],[Valor da Venda]]*3%,Vendas[[#This Row],[Margem de Lucro (%)]]&lt;=20%,Vendas[[#This Row],[Valor da Venda]]*4.5%,TRUE,Vendas[[#This Row],[Valor da Venda]]*6%)</f>
        <v>23.04</v>
      </c>
    </row>
    <row r="6005" spans="1:13" x14ac:dyDescent="0.3">
      <c r="A6005" s="7">
        <v>400252</v>
      </c>
      <c r="B6005" t="str">
        <f>_xlfn.XLOOKUP(Vendas[[#This Row],[ID Vendedor]],Vendedores[ID],Vendedores[Nome])</f>
        <v>Renata</v>
      </c>
      <c r="C6005" s="7" t="str">
        <f>_xlfn.XLOOKUP(Vendas[[#This Row],[ID Vendedor]],Vendedores[ID],Vendedores[Setor])</f>
        <v>AB</v>
      </c>
      <c r="D6005" s="7" t="s">
        <v>37</v>
      </c>
      <c r="E6005" t="str">
        <f>_xlfn.XLOOKUP(Vendas[[#This Row],[ID Item Vendido]],Agregado[ID],Agregado[Produto])</f>
        <v>Composto de borracha para vedação rolo 10m</v>
      </c>
      <c r="F6005" s="39">
        <v>46263</v>
      </c>
      <c r="G6005" s="7">
        <v>3</v>
      </c>
      <c r="H6005" s="3">
        <f>_xlfn.XLOOKUP(Vendas[[#This Row],[ID Item Vendido]],Agregado[ID],Agregado[Revenda])</f>
        <v>51.2</v>
      </c>
      <c r="I6005" s="3">
        <f>Vendas[[#This Row],[Valor Unitário]]*Vendas[[#This Row],[Qnt Vendida]]</f>
        <v>153.60000000000002</v>
      </c>
      <c r="J6005" s="3">
        <f>Vendas[[#This Row],[Valor da Venda]]-(_xlfn.XLOOKUP(Vendas[[#This Row],[ID Item Vendido]],Agregado[ID],Agregado[Custo])*Vendas[[#This Row],[Qnt Vendida]])</f>
        <v>33.600000000000023</v>
      </c>
      <c r="K6005" s="70">
        <f>Vendas[[#This Row],[Lucro da Venda]]/Vendas[[#This Row],[Valor da Venda]]</f>
        <v>0.21875000000000011</v>
      </c>
      <c r="L6005" s="3">
        <f>_xlfn.IFS(Vendas[[#This Row],[Margem de Lucro (%)]]&lt;15%,Vendas[[#This Row],[Valor da Venda]]*3%,Vendas[[#This Row],[Margem de Lucro (%)]]&lt;=20%,Vendas[[#This Row],[Valor da Venda]]*4.5%,TRUE,Vendas[[#This Row],[Valor da Venda]]*6%)</f>
        <v>9.2160000000000011</v>
      </c>
    </row>
    <row r="6006" spans="1:13" x14ac:dyDescent="0.3">
      <c r="A6006" s="7">
        <v>400256</v>
      </c>
      <c r="B6006" s="79" t="str">
        <f>_xlfn.XLOOKUP(Vendas[[#This Row],[ID Vendedor]],Vendedores[ID],Vendedores[Nome])</f>
        <v>Adriano</v>
      </c>
      <c r="C6006" s="7" t="str">
        <f>_xlfn.XLOOKUP(Vendas[[#This Row],[ID Vendedor]],Vendedores[ID],Vendedores[Setor])</f>
        <v>FM</v>
      </c>
      <c r="D6006" s="7" t="s">
        <v>27</v>
      </c>
      <c r="E6006" s="79" t="str">
        <f>_xlfn.XLOOKUP(Vendas[[#This Row],[ID Item Vendido]],Agregado[ID],Agregado[Produto])</f>
        <v>Chapa de metal lisa 1x2m</v>
      </c>
      <c r="F6006" s="39">
        <v>46266</v>
      </c>
      <c r="G6006" s="7">
        <v>8</v>
      </c>
      <c r="H6006" s="3">
        <f>_xlfn.XLOOKUP(Vendas[[#This Row],[ID Item Vendido]],Agregado[ID],Agregado[Revenda])</f>
        <v>52</v>
      </c>
      <c r="I6006" s="3">
        <f>Vendas[[#This Row],[Valor Unitário]]*Vendas[[#This Row],[Qnt Vendida]]</f>
        <v>416</v>
      </c>
      <c r="J6006" s="3">
        <f>Vendas[[#This Row],[Valor da Venda]]-(_xlfn.XLOOKUP(Vendas[[#This Row],[ID Item Vendido]],Agregado[ID],Agregado[Custo])*Vendas[[#This Row],[Qnt Vendida]])</f>
        <v>56</v>
      </c>
      <c r="K6006" s="70">
        <f>Vendas[[#This Row],[Lucro da Venda]]/Vendas[[#This Row],[Valor da Venda]]</f>
        <v>0.13461538461538461</v>
      </c>
      <c r="L6006" s="3">
        <f>_xlfn.IFS(Vendas[[#This Row],[Margem de Lucro (%)]]&lt;15%,Vendas[[#This Row],[Valor da Venda]]*3%,Vendas[[#This Row],[Margem de Lucro (%)]]&lt;=20%,Vendas[[#This Row],[Valor da Venda]]*4.5%,TRUE,Vendas[[#This Row],[Valor da Venda]]*6%)</f>
        <v>12.48</v>
      </c>
    </row>
  </sheetData>
  <mergeCells count="1">
    <mergeCell ref="A1:M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4E4A-475C-498B-A90A-95F92313D26D}">
  <sheetPr codeName="Planilha3"/>
  <dimension ref="A1:G27"/>
  <sheetViews>
    <sheetView showGridLines="0" workbookViewId="0">
      <selection activeCell="I6" sqref="I6"/>
    </sheetView>
  </sheetViews>
  <sheetFormatPr defaultRowHeight="14.4" x14ac:dyDescent="0.3"/>
  <cols>
    <col min="1" max="1" width="9.5546875" bestFit="1" customWidth="1"/>
    <col min="2" max="2" width="43.109375" bestFit="1" customWidth="1"/>
    <col min="3" max="3" width="14.21875" bestFit="1" customWidth="1"/>
    <col min="4" max="4" width="12.21875" style="3" bestFit="1" customWidth="1"/>
    <col min="5" max="5" width="15" style="3" bestFit="1" customWidth="1"/>
    <col min="6" max="6" width="11.88671875" style="3" bestFit="1" customWidth="1"/>
    <col min="7" max="7" width="17.21875" style="5" bestFit="1" customWidth="1"/>
    <col min="9" max="9" width="8.77734375" bestFit="1" customWidth="1"/>
    <col min="10" max="10" width="11.21875" bestFit="1" customWidth="1"/>
  </cols>
  <sheetData>
    <row r="1" spans="1:7" ht="36.6" x14ac:dyDescent="0.3">
      <c r="A1" s="57" t="s">
        <v>122</v>
      </c>
      <c r="B1" s="57"/>
      <c r="C1" s="57"/>
      <c r="D1" s="57"/>
      <c r="E1" s="57"/>
      <c r="F1" s="57"/>
      <c r="G1" s="57"/>
    </row>
    <row r="2" spans="1:7" ht="36" x14ac:dyDescent="0.3">
      <c r="A2" s="21" t="s">
        <v>85</v>
      </c>
      <c r="B2" s="21" t="s">
        <v>62</v>
      </c>
      <c r="C2" s="21" t="s">
        <v>63</v>
      </c>
      <c r="D2" s="22" t="s">
        <v>64</v>
      </c>
      <c r="E2" s="22" t="s">
        <v>65</v>
      </c>
      <c r="F2" s="22" t="s">
        <v>86</v>
      </c>
      <c r="G2" s="23" t="s">
        <v>87</v>
      </c>
    </row>
    <row r="3" spans="1:7" ht="15.6" x14ac:dyDescent="0.3">
      <c r="A3" s="9" t="s">
        <v>20</v>
      </c>
      <c r="B3" s="9" t="str">
        <f>_xlfn.XLOOKUP(Agregado[[#This Row],[ID]],FM[ID],FM[Produto])</f>
        <v>Barra de aço simples</v>
      </c>
      <c r="C3" s="9" t="str">
        <f>_xlfn.XLOOKUP(Agregado[[#This Row],[ID]],FM[ID],FM[Unidade])</f>
        <v>Kg</v>
      </c>
      <c r="D3" s="13">
        <f>_xlfn.XLOOKUP(Agregado[[#This Row],[ID]],FM[ID],FM[Custo])</f>
        <v>4.2</v>
      </c>
      <c r="E3" s="13">
        <f>_xlfn.XLOOKUP(Agregado[[#This Row],[ID]],FM[ID],FM[Revenda])</f>
        <v>4.8</v>
      </c>
      <c r="F3" s="13">
        <f>E3-D3</f>
        <v>0.59999999999999964</v>
      </c>
      <c r="G3" s="20">
        <f>F3/E3</f>
        <v>0.12499999999999993</v>
      </c>
    </row>
    <row r="4" spans="1:7" ht="15.6" x14ac:dyDescent="0.3">
      <c r="A4" s="9" t="s">
        <v>27</v>
      </c>
      <c r="B4" s="9" t="str">
        <f>_xlfn.XLOOKUP(Agregado[[#This Row],[ID]],FM[ID],FM[Produto])</f>
        <v>Chapa de metal lisa 1x2m</v>
      </c>
      <c r="C4" s="9" t="str">
        <f>_xlfn.XLOOKUP(Agregado[[#This Row],[ID]],FM[ID],FM[Unidade])</f>
        <v>Un</v>
      </c>
      <c r="D4" s="13">
        <f>_xlfn.XLOOKUP(Agregado[[#This Row],[ID]],FM[ID],FM[Custo])</f>
        <v>45</v>
      </c>
      <c r="E4" s="13">
        <f>_xlfn.XLOOKUP(Agregado[[#This Row],[ID]],FM[ID],FM[Revenda])</f>
        <v>52</v>
      </c>
      <c r="F4" s="13">
        <f t="shared" ref="F4:F7" si="0">E4-D4</f>
        <v>7</v>
      </c>
      <c r="G4" s="20">
        <f t="shared" ref="G4:G8" si="1">F4/E4</f>
        <v>0.13461538461538461</v>
      </c>
    </row>
    <row r="5" spans="1:7" ht="15.6" x14ac:dyDescent="0.3">
      <c r="A5" s="9" t="s">
        <v>47</v>
      </c>
      <c r="B5" s="9" t="str">
        <f>_xlfn.XLOOKUP(Agregado[[#This Row],[ID]],FM[ID],FM[Produto])</f>
        <v>Fio de arame galvanizado rolo 50m</v>
      </c>
      <c r="C5" s="9" t="str">
        <f>_xlfn.XLOOKUP(Agregado[[#This Row],[ID]],FM[ID],FM[Unidade])</f>
        <v>Un</v>
      </c>
      <c r="D5" s="13">
        <f>_xlfn.XLOOKUP(Agregado[[#This Row],[ID]],FM[ID],FM[Custo])</f>
        <v>18</v>
      </c>
      <c r="E5" s="13">
        <f>_xlfn.XLOOKUP(Agregado[[#This Row],[ID]],FM[ID],FM[Revenda])</f>
        <v>21.2</v>
      </c>
      <c r="F5" s="13">
        <f t="shared" si="0"/>
        <v>3.1999999999999993</v>
      </c>
      <c r="G5" s="20">
        <f t="shared" si="1"/>
        <v>0.15094339622641506</v>
      </c>
    </row>
    <row r="6" spans="1:7" ht="15.6" x14ac:dyDescent="0.3">
      <c r="A6" s="9" t="s">
        <v>6</v>
      </c>
      <c r="B6" s="9" t="str">
        <f>_xlfn.XLOOKUP(Agregado[[#This Row],[ID]],FM[ID],FM[Produto])</f>
        <v>Parafuso comum 500un</v>
      </c>
      <c r="C6" s="9" t="str">
        <f>_xlfn.XLOOKUP(Agregado[[#This Row],[ID]],FM[ID],FM[Unidade])</f>
        <v>Un</v>
      </c>
      <c r="D6" s="13">
        <f>_xlfn.XLOOKUP(Agregado[[#This Row],[ID]],FM[ID],FM[Custo])</f>
        <v>22</v>
      </c>
      <c r="E6" s="13">
        <f>_xlfn.XLOOKUP(Agregado[[#This Row],[ID]],FM[ID],FM[Revenda])</f>
        <v>24.6</v>
      </c>
      <c r="F6" s="13">
        <f t="shared" si="0"/>
        <v>2.6000000000000014</v>
      </c>
      <c r="G6" s="20">
        <f t="shared" si="1"/>
        <v>0.10569105691056915</v>
      </c>
    </row>
    <row r="7" spans="1:7" ht="15.6" x14ac:dyDescent="0.3">
      <c r="A7" s="9" t="s">
        <v>31</v>
      </c>
      <c r="B7" s="9" t="str">
        <f>_xlfn.XLOOKUP(Agregado[[#This Row],[ID]],FM[ID],FM[Produto])</f>
        <v>Tela de metal soldada rolo 2x25m</v>
      </c>
      <c r="C7" s="9" t="str">
        <f>_xlfn.XLOOKUP(Agregado[[#This Row],[ID]],FM[ID],FM[Unidade])</f>
        <v>Un</v>
      </c>
      <c r="D7" s="13">
        <f>_xlfn.XLOOKUP(Agregado[[#This Row],[ID]],FM[ID],FM[Custo])</f>
        <v>38</v>
      </c>
      <c r="E7" s="13">
        <f>_xlfn.XLOOKUP(Agregado[[#This Row],[ID]],FM[ID],FM[Revenda])</f>
        <v>43.7</v>
      </c>
      <c r="F7" s="13">
        <f t="shared" si="0"/>
        <v>5.7000000000000028</v>
      </c>
      <c r="G7" s="20">
        <f t="shared" si="1"/>
        <v>0.1304347826086957</v>
      </c>
    </row>
    <row r="8" spans="1:7" ht="15.6" x14ac:dyDescent="0.3">
      <c r="A8" s="9" t="s">
        <v>9</v>
      </c>
      <c r="B8" s="9" t="str">
        <f>_xlfn.XLOOKUP(Agregado[[#This Row],[ID]],AHD[ID],AHD[Produto])</f>
        <v>Barra de aço simples</v>
      </c>
      <c r="C8" s="9" t="str">
        <f>_xlfn.XLOOKUP(Agregado[[#This Row],[ID]],AHD[ID],AHD[Unidade])</f>
        <v>Kg</v>
      </c>
      <c r="D8" s="13">
        <f>_xlfn.XLOOKUP(Agregado[[#This Row],[ID]],AHD[ID],AHD[Custo])</f>
        <v>5.8</v>
      </c>
      <c r="E8" s="13">
        <f>_xlfn.XLOOKUP(Agregado[[#This Row],[ID]],AHD[ID],AHD[Revenda])</f>
        <v>6.7</v>
      </c>
      <c r="F8" s="13">
        <f t="shared" ref="F8" si="2">E8-D8</f>
        <v>0.90000000000000036</v>
      </c>
      <c r="G8" s="20">
        <f t="shared" si="1"/>
        <v>0.13432835820895528</v>
      </c>
    </row>
    <row r="9" spans="1:7" ht="15.6" x14ac:dyDescent="0.3">
      <c r="A9" s="9" t="s">
        <v>28</v>
      </c>
      <c r="B9" s="9" t="str">
        <f>_xlfn.XLOOKUP(Agregado[[#This Row],[ID]],AHD[ID],AHD[Produto])</f>
        <v>Peça usinada CNC</v>
      </c>
      <c r="C9" s="9" t="str">
        <f>_xlfn.XLOOKUP(Agregado[[#This Row],[ID]],AHD[ID],AHD[Unidade])</f>
        <v>Un</v>
      </c>
      <c r="D9" s="13">
        <f>_xlfn.XLOOKUP(Agregado[[#This Row],[ID]],AHD[ID],AHD[Custo])</f>
        <v>150</v>
      </c>
      <c r="E9" s="13">
        <f>_xlfn.XLOOKUP(Agregado[[#This Row],[ID]],AHD[ID],AHD[Revenda])</f>
        <v>192</v>
      </c>
      <c r="F9" s="13">
        <f t="shared" ref="F9:F27" si="3">E9-D9</f>
        <v>42</v>
      </c>
      <c r="G9" s="20">
        <f t="shared" ref="G9:G27" si="4">F9/E9</f>
        <v>0.21875</v>
      </c>
    </row>
    <row r="10" spans="1:7" ht="15.6" x14ac:dyDescent="0.3">
      <c r="A10" s="9" t="s">
        <v>30</v>
      </c>
      <c r="B10" s="9" t="str">
        <f>_xlfn.XLOOKUP(Agregado[[#This Row],[ID]],AHD[ID],AHD[Produto])</f>
        <v>Estrutura metálica soldada</v>
      </c>
      <c r="C10" s="9" t="str">
        <f>_xlfn.XLOOKUP(Agregado[[#This Row],[ID]],AHD[ID],AHD[Unidade])</f>
        <v>Un</v>
      </c>
      <c r="D10" s="13">
        <f>_xlfn.XLOOKUP(Agregado[[#This Row],[ID]],AHD[ID],AHD[Custo])</f>
        <v>320</v>
      </c>
      <c r="E10" s="13">
        <f>_xlfn.XLOOKUP(Agregado[[#This Row],[ID]],AHD[ID],AHD[Revenda])</f>
        <v>400</v>
      </c>
      <c r="F10" s="13">
        <f t="shared" si="3"/>
        <v>80</v>
      </c>
      <c r="G10" s="20">
        <f t="shared" si="4"/>
        <v>0.2</v>
      </c>
    </row>
    <row r="11" spans="1:7" ht="15.6" x14ac:dyDescent="0.3">
      <c r="A11" s="9" t="s">
        <v>44</v>
      </c>
      <c r="B11" s="9" t="str">
        <f>_xlfn.XLOOKUP(Agregado[[#This Row],[ID]],AHD[ID],AHD[Produto])</f>
        <v>Liga metálica especial</v>
      </c>
      <c r="C11" s="9" t="str">
        <f>_xlfn.XLOOKUP(Agregado[[#This Row],[ID]],AHD[ID],AHD[Unidade])</f>
        <v>Kg</v>
      </c>
      <c r="D11" s="13">
        <f>_xlfn.XLOOKUP(Agregado[[#This Row],[ID]],AHD[ID],AHD[Custo])</f>
        <v>25</v>
      </c>
      <c r="E11" s="13">
        <f>_xlfn.XLOOKUP(Agregado[[#This Row],[ID]],AHD[ID],AHD[Revenda])</f>
        <v>32.5</v>
      </c>
      <c r="F11" s="13">
        <f t="shared" si="3"/>
        <v>7.5</v>
      </c>
      <c r="G11" s="20">
        <f t="shared" si="4"/>
        <v>0.23076923076923078</v>
      </c>
    </row>
    <row r="12" spans="1:7" ht="15.6" x14ac:dyDescent="0.3">
      <c r="A12" s="9" t="s">
        <v>18</v>
      </c>
      <c r="B12" s="9" t="str">
        <f>_xlfn.XLOOKUP(Agregado[[#This Row],[ID]],AHD[ID],AHD[Produto])</f>
        <v>Peça forjada sob encomenda</v>
      </c>
      <c r="C12" s="9" t="str">
        <f>_xlfn.XLOOKUP(Agregado[[#This Row],[ID]],AHD[ID],AHD[Unidade])</f>
        <v>Un</v>
      </c>
      <c r="D12" s="13">
        <f>_xlfn.XLOOKUP(Agregado[[#This Row],[ID]],AHD[ID],AHD[Custo])</f>
        <v>250</v>
      </c>
      <c r="E12" s="13">
        <f>_xlfn.XLOOKUP(Agregado[[#This Row],[ID]],AHD[ID],AHD[Revenda])</f>
        <v>264.60000000000002</v>
      </c>
      <c r="F12" s="13">
        <f t="shared" si="3"/>
        <v>14.600000000000023</v>
      </c>
      <c r="G12" s="20">
        <f t="shared" si="4"/>
        <v>5.5177626606198113E-2</v>
      </c>
    </row>
    <row r="13" spans="1:7" ht="15.6" x14ac:dyDescent="0.3">
      <c r="A13" s="9" t="s">
        <v>43</v>
      </c>
      <c r="B13" s="9" t="str">
        <f>_xlfn.XLOOKUP(Agregado[[#This Row],[ID]],CM[ID],CM[Produto])</f>
        <v>Madeira Bruta (Tora)</v>
      </c>
      <c r="C13" s="9" t="str">
        <f>_xlfn.XLOOKUP(Agregado[[#This Row],[ID]],CM[ID],CM[Unidade])</f>
        <v>m³</v>
      </c>
      <c r="D13" s="13">
        <f>_xlfn.XLOOKUP(Agregado[[#This Row],[ID]],CM[ID],CM[Custo])</f>
        <v>180</v>
      </c>
      <c r="E13" s="13">
        <f>_xlfn.XLOOKUP(Agregado[[#This Row],[ID]],CM[ID],CM[Revenda])</f>
        <v>212</v>
      </c>
      <c r="F13" s="13">
        <f t="shared" si="3"/>
        <v>32</v>
      </c>
      <c r="G13" s="20">
        <f t="shared" si="4"/>
        <v>0.15094339622641509</v>
      </c>
    </row>
    <row r="14" spans="1:7" ht="15.6" x14ac:dyDescent="0.3">
      <c r="A14" s="9" t="s">
        <v>32</v>
      </c>
      <c r="B14" s="9" t="str">
        <f>_xlfn.XLOOKUP(Agregado[[#This Row],[ID]],CM[ID],CM[Produto])</f>
        <v>Tábua tratada e cortada 3m</v>
      </c>
      <c r="C14" s="9" t="str">
        <f>_xlfn.XLOOKUP(Agregado[[#This Row],[ID]],CM[ID],CM[Unidade])</f>
        <v>Un</v>
      </c>
      <c r="D14" s="13">
        <f>_xlfn.XLOOKUP(Agregado[[#This Row],[ID]],CM[ID],CM[Custo])</f>
        <v>32</v>
      </c>
      <c r="E14" s="13">
        <f>_xlfn.XLOOKUP(Agregado[[#This Row],[ID]],CM[ID],CM[Revenda])</f>
        <v>39</v>
      </c>
      <c r="F14" s="13">
        <f t="shared" si="3"/>
        <v>7</v>
      </c>
      <c r="G14" s="20">
        <f t="shared" si="4"/>
        <v>0.17948717948717949</v>
      </c>
    </row>
    <row r="15" spans="1:7" ht="15.6" x14ac:dyDescent="0.3">
      <c r="A15" s="9" t="s">
        <v>34</v>
      </c>
      <c r="B15" s="9" t="str">
        <f>_xlfn.XLOOKUP(Agregado[[#This Row],[ID]],CM[ID],CM[Produto])</f>
        <v>Restos de madeira p/ MDP/OSB saco de 20kg</v>
      </c>
      <c r="C15" s="9" t="str">
        <f>_xlfn.XLOOKUP(Agregado[[#This Row],[ID]],CM[ID],CM[Unidade])</f>
        <v>Un</v>
      </c>
      <c r="D15" s="13">
        <f>_xlfn.XLOOKUP(Agregado[[#This Row],[ID]],CM[ID],CM[Custo])</f>
        <v>12</v>
      </c>
      <c r="E15" s="13">
        <f>_xlfn.XLOOKUP(Agregado[[#This Row],[ID]],CM[ID],CM[Revenda])</f>
        <v>13.8</v>
      </c>
      <c r="F15" s="13">
        <f t="shared" si="3"/>
        <v>1.8000000000000007</v>
      </c>
      <c r="G15" s="20">
        <f t="shared" si="4"/>
        <v>0.1304347826086957</v>
      </c>
    </row>
    <row r="16" spans="1:7" ht="15.6" x14ac:dyDescent="0.3">
      <c r="A16" s="9" t="s">
        <v>22</v>
      </c>
      <c r="B16" s="9" t="str">
        <f>_xlfn.XLOOKUP(Agregado[[#This Row],[ID]],CM[ID],CM[Produto])</f>
        <v>Painel MDP 2,75x1,83m</v>
      </c>
      <c r="C16" s="9" t="str">
        <f>_xlfn.XLOOKUP(Agregado[[#This Row],[ID]],CM[ID],CM[Unidade])</f>
        <v>Un</v>
      </c>
      <c r="D16" s="13">
        <f>_xlfn.XLOOKUP(Agregado[[#This Row],[ID]],CM[ID],CM[Custo])</f>
        <v>95</v>
      </c>
      <c r="E16" s="13">
        <f>_xlfn.XLOOKUP(Agregado[[#This Row],[ID]],CM[ID],CM[Revenda])</f>
        <v>119</v>
      </c>
      <c r="F16" s="13">
        <f t="shared" si="3"/>
        <v>24</v>
      </c>
      <c r="G16" s="20">
        <f t="shared" si="4"/>
        <v>0.20168067226890757</v>
      </c>
    </row>
    <row r="17" spans="1:7" ht="15.6" x14ac:dyDescent="0.3">
      <c r="A17" s="9" t="s">
        <v>45</v>
      </c>
      <c r="B17" s="9" t="str">
        <f>_xlfn.XLOOKUP(Agregado[[#This Row],[ID]],CM[ID],CM[Produto])</f>
        <v>Viga de madeira tratada 4m</v>
      </c>
      <c r="C17" s="9" t="str">
        <f>_xlfn.XLOOKUP(Agregado[[#This Row],[ID]],CM[ID],CM[Unidade])</f>
        <v>Un</v>
      </c>
      <c r="D17" s="13">
        <f>_xlfn.XLOOKUP(Agregado[[#This Row],[ID]],CM[ID],CM[Custo])</f>
        <v>55</v>
      </c>
      <c r="E17" s="13">
        <f>_xlfn.XLOOKUP(Agregado[[#This Row],[ID]],CM[ID],CM[Revenda])</f>
        <v>66</v>
      </c>
      <c r="F17" s="13">
        <f t="shared" si="3"/>
        <v>11</v>
      </c>
      <c r="G17" s="20">
        <f t="shared" si="4"/>
        <v>0.16666666666666666</v>
      </c>
    </row>
    <row r="18" spans="1:7" ht="15.6" x14ac:dyDescent="0.3">
      <c r="A18" s="9" t="s">
        <v>12</v>
      </c>
      <c r="B18" s="9" t="str">
        <f>_xlfn.XLOOKUP(Agregado[[#This Row],[ID]],AB[ID],AB[Produto])</f>
        <v>Grânulo de plástico reciclado refinado</v>
      </c>
      <c r="C18" s="9" t="str">
        <f>_xlfn.XLOOKUP(Agregado[[#This Row],[ID]],AB[ID],AB[Unidade])</f>
        <v>Kg</v>
      </c>
      <c r="D18" s="13">
        <f>_xlfn.XLOOKUP(Agregado[[#This Row],[ID]],AB[ID],AB[Custo])</f>
        <v>3.5</v>
      </c>
      <c r="E18" s="13">
        <f>_xlfn.XLOOKUP(Agregado[[#This Row],[ID]],AB[ID],AB[Revenda])</f>
        <v>4.7</v>
      </c>
      <c r="F18" s="13">
        <f t="shared" si="3"/>
        <v>1.2000000000000002</v>
      </c>
      <c r="G18" s="20">
        <f t="shared" si="4"/>
        <v>0.25531914893617025</v>
      </c>
    </row>
    <row r="19" spans="1:7" ht="15.6" x14ac:dyDescent="0.3">
      <c r="A19" s="9" t="s">
        <v>36</v>
      </c>
      <c r="B19" s="9" t="str">
        <f>_xlfn.XLOOKUP(Agregado[[#This Row],[ID]],AB[ID],AB[Produto])</f>
        <v>Borracha vulcanizada em manta</v>
      </c>
      <c r="C19" s="9" t="str">
        <f>_xlfn.XLOOKUP(Agregado[[#This Row],[ID]],AB[ID],AB[Unidade])</f>
        <v>Kg</v>
      </c>
      <c r="D19" s="13">
        <f>_xlfn.XLOOKUP(Agregado[[#This Row],[ID]],AB[ID],AB[Custo])</f>
        <v>6</v>
      </c>
      <c r="E19" s="13">
        <f>_xlfn.XLOOKUP(Agregado[[#This Row],[ID]],AB[ID],AB[Revenda])</f>
        <v>7.8</v>
      </c>
      <c r="F19" s="13">
        <f t="shared" si="3"/>
        <v>1.7999999999999998</v>
      </c>
      <c r="G19" s="20">
        <f t="shared" si="4"/>
        <v>0.23076923076923075</v>
      </c>
    </row>
    <row r="20" spans="1:7" ht="15.6" x14ac:dyDescent="0.3">
      <c r="A20" s="9" t="s">
        <v>24</v>
      </c>
      <c r="B20" s="9" t="str">
        <f>_xlfn.XLOOKUP(Agregado[[#This Row],[ID]],AB[ID],AB[Produto])</f>
        <v>Resina plástica PET purificada saco de 25kg</v>
      </c>
      <c r="C20" s="9" t="str">
        <f>_xlfn.XLOOKUP(Agregado[[#This Row],[ID]],AB[ID],AB[Unidade])</f>
        <v>Un</v>
      </c>
      <c r="D20" s="13">
        <f>_xlfn.XLOOKUP(Agregado[[#This Row],[ID]],AB[ID],AB[Custo])</f>
        <v>85</v>
      </c>
      <c r="E20" s="13">
        <f>_xlfn.XLOOKUP(Agregado[[#This Row],[ID]],AB[ID],AB[Revenda])</f>
        <v>119</v>
      </c>
      <c r="F20" s="13">
        <f t="shared" si="3"/>
        <v>34</v>
      </c>
      <c r="G20" s="20">
        <f t="shared" si="4"/>
        <v>0.2857142857142857</v>
      </c>
    </row>
    <row r="21" spans="1:7" ht="15.6" x14ac:dyDescent="0.3">
      <c r="A21" s="9" t="s">
        <v>37</v>
      </c>
      <c r="B21" s="9" t="str">
        <f>_xlfn.XLOOKUP(Agregado[[#This Row],[ID]],AB[ID],AB[Produto])</f>
        <v>Composto de borracha para vedação rolo 10m</v>
      </c>
      <c r="C21" s="9" t="str">
        <f>_xlfn.XLOOKUP(Agregado[[#This Row],[ID]],AB[ID],AB[Unidade])</f>
        <v>Un</v>
      </c>
      <c r="D21" s="13">
        <f>_xlfn.XLOOKUP(Agregado[[#This Row],[ID]],AB[ID],AB[Custo])</f>
        <v>40</v>
      </c>
      <c r="E21" s="13">
        <f>_xlfn.XLOOKUP(Agregado[[#This Row],[ID]],AB[ID],AB[Revenda])</f>
        <v>51.2</v>
      </c>
      <c r="F21" s="13">
        <f t="shared" si="3"/>
        <v>11.200000000000003</v>
      </c>
      <c r="G21" s="20">
        <f t="shared" si="4"/>
        <v>0.21875000000000006</v>
      </c>
    </row>
    <row r="22" spans="1:7" ht="15.6" x14ac:dyDescent="0.3">
      <c r="A22" s="9" t="s">
        <v>39</v>
      </c>
      <c r="B22" s="9" t="str">
        <f>_xlfn.XLOOKUP(Agregado[[#This Row],[ID]],AB[ID],AB[Produto])</f>
        <v>Filme plástico industrial rolo 50m</v>
      </c>
      <c r="C22" s="9" t="str">
        <f>_xlfn.XLOOKUP(Agregado[[#This Row],[ID]],AB[ID],AB[Unidade])</f>
        <v>Un</v>
      </c>
      <c r="D22" s="13">
        <f>_xlfn.XLOOKUP(Agregado[[#This Row],[ID]],AB[ID],AB[Custo])</f>
        <v>28</v>
      </c>
      <c r="E22" s="13">
        <f>_xlfn.XLOOKUP(Agregado[[#This Row],[ID]],AB[ID],AB[Revenda])</f>
        <v>37</v>
      </c>
      <c r="F22" s="13">
        <f t="shared" si="3"/>
        <v>9</v>
      </c>
      <c r="G22" s="20">
        <f t="shared" si="4"/>
        <v>0.24324324324324326</v>
      </c>
    </row>
    <row r="23" spans="1:7" ht="15.6" x14ac:dyDescent="0.3">
      <c r="A23" s="9" t="s">
        <v>14</v>
      </c>
      <c r="B23" s="9" t="str">
        <f>_xlfn.XLOOKUP(Agregado[[#This Row],[ID]],SC[ID],SC[Produto])</f>
        <v>Barril de plástico 200L</v>
      </c>
      <c r="C23" s="9" t="str">
        <f>_xlfn.XLOOKUP(Agregado[[#This Row],[ID]],SC[ID],SC[Unidade])</f>
        <v>Un</v>
      </c>
      <c r="D23" s="13">
        <f>_xlfn.XLOOKUP(Agregado[[#This Row],[ID]],SC[ID],SC[Custo])</f>
        <v>95</v>
      </c>
      <c r="E23" s="13">
        <f>_xlfn.XLOOKUP(Agregado[[#This Row],[ID]],SC[ID],SC[Revenda])</f>
        <v>114</v>
      </c>
      <c r="F23" s="13">
        <f t="shared" si="3"/>
        <v>19</v>
      </c>
      <c r="G23" s="20">
        <f t="shared" si="4"/>
        <v>0.16666666666666666</v>
      </c>
    </row>
    <row r="24" spans="1:7" ht="15.6" x14ac:dyDescent="0.3">
      <c r="A24" s="9" t="s">
        <v>42</v>
      </c>
      <c r="B24" s="9" t="str">
        <f>_xlfn.XLOOKUP(Agregado[[#This Row],[ID]],SC[ID],SC[Produto])</f>
        <v>Container de ferro industrial</v>
      </c>
      <c r="C24" s="9" t="str">
        <f>_xlfn.XLOOKUP(Agregado[[#This Row],[ID]],SC[ID],SC[Unidade])</f>
        <v>Un</v>
      </c>
      <c r="D24" s="13">
        <f>_xlfn.XLOOKUP(Agregado[[#This Row],[ID]],SC[ID],SC[Custo])</f>
        <v>680</v>
      </c>
      <c r="E24" s="13">
        <f>_xlfn.XLOOKUP(Agregado[[#This Row],[ID]],SC[ID],SC[Revenda])</f>
        <v>830</v>
      </c>
      <c r="F24" s="13">
        <f t="shared" si="3"/>
        <v>150</v>
      </c>
      <c r="G24" s="20">
        <f t="shared" si="4"/>
        <v>0.18072289156626506</v>
      </c>
    </row>
    <row r="25" spans="1:7" ht="15.6" x14ac:dyDescent="0.3">
      <c r="A25" s="9" t="s">
        <v>25</v>
      </c>
      <c r="B25" s="9" t="str">
        <f>_xlfn.XLOOKUP(Agregado[[#This Row],[ID]],SC[ID],SC[Produto])</f>
        <v>Palete de plástico</v>
      </c>
      <c r="C25" s="9" t="str">
        <f>_xlfn.XLOOKUP(Agregado[[#This Row],[ID]],SC[ID],SC[Unidade])</f>
        <v>Un</v>
      </c>
      <c r="D25" s="13">
        <f>_xlfn.XLOOKUP(Agregado[[#This Row],[ID]],SC[ID],SC[Custo])</f>
        <v>60</v>
      </c>
      <c r="E25" s="13">
        <f>_xlfn.XLOOKUP(Agregado[[#This Row],[ID]],SC[ID],SC[Revenda])</f>
        <v>70.8</v>
      </c>
      <c r="F25" s="13">
        <f t="shared" si="3"/>
        <v>10.799999999999997</v>
      </c>
      <c r="G25" s="20">
        <f t="shared" si="4"/>
        <v>0.15254237288135589</v>
      </c>
    </row>
    <row r="26" spans="1:7" ht="15.6" x14ac:dyDescent="0.3">
      <c r="A26" s="9" t="s">
        <v>41</v>
      </c>
      <c r="B26" s="9" t="str">
        <f>_xlfn.XLOOKUP(Agregado[[#This Row],[ID]],SC[ID],SC[Produto])</f>
        <v>Palete de madeira reforçado</v>
      </c>
      <c r="C26" s="9" t="str">
        <f>_xlfn.XLOOKUP(Agregado[[#This Row],[ID]],SC[ID],SC[Unidade])</f>
        <v>Un</v>
      </c>
      <c r="D26" s="13">
        <f>_xlfn.XLOOKUP(Agregado[[#This Row],[ID]],SC[ID],SC[Custo])</f>
        <v>110</v>
      </c>
      <c r="E26" s="13">
        <f>_xlfn.XLOOKUP(Agregado[[#This Row],[ID]],SC[ID],SC[Revenda])</f>
        <v>131</v>
      </c>
      <c r="F26" s="13">
        <f t="shared" si="3"/>
        <v>21</v>
      </c>
      <c r="G26" s="20">
        <f t="shared" si="4"/>
        <v>0.16030534351145037</v>
      </c>
    </row>
    <row r="27" spans="1:7" ht="15.6" x14ac:dyDescent="0.3">
      <c r="A27" s="9" t="s">
        <v>48</v>
      </c>
      <c r="B27" s="9" t="str">
        <f>_xlfn.XLOOKUP(Agregado[[#This Row],[ID]],SC[ID],SC[Produto])</f>
        <v>Tambor metálico 200L</v>
      </c>
      <c r="C27" s="9" t="str">
        <f>_xlfn.XLOOKUP(Agregado[[#This Row],[ID]],SC[ID],SC[Unidade])</f>
        <v>Un</v>
      </c>
      <c r="D27" s="13">
        <f>_xlfn.XLOOKUP(Agregado[[#This Row],[ID]],SC[ID],SC[Custo])</f>
        <v>120</v>
      </c>
      <c r="E27" s="13">
        <f>_xlfn.XLOOKUP(Agregado[[#This Row],[ID]],SC[ID],SC[Revenda])</f>
        <v>144</v>
      </c>
      <c r="F27" s="13">
        <f t="shared" si="3"/>
        <v>24</v>
      </c>
      <c r="G27" s="20">
        <f t="shared" si="4"/>
        <v>0.16666666666666666</v>
      </c>
    </row>
  </sheetData>
  <sheetProtection sheet="1" formatCells="0" formatColumns="0" formatRows="0" insertColumns="0" insertRows="0" insertHyperlinks="0" deleteColumns="0" deleteRows="0" sort="0" pivotTables="0"/>
  <mergeCells count="1">
    <mergeCell ref="A1:G1"/>
  </mergeCells>
  <pageMargins left="0.511811024" right="0.511811024" top="0.78740157499999996" bottom="0.78740157499999996" header="0.31496062000000002" footer="0.31496062000000002"/>
  <ignoredErrors>
    <ignoredError sqref="B3:E27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4206-23EF-45CE-AD62-7ECD930C1171}">
  <sheetPr codeName="Planilha4"/>
  <dimension ref="A1:O18"/>
  <sheetViews>
    <sheetView showGridLines="0" zoomScale="76" zoomScaleNormal="76" workbookViewId="0">
      <selection activeCell="J23" sqref="J23"/>
    </sheetView>
  </sheetViews>
  <sheetFormatPr defaultRowHeight="14.4" x14ac:dyDescent="0.3"/>
  <cols>
    <col min="1" max="1" width="9.33203125" style="7" bestFit="1" customWidth="1"/>
    <col min="2" max="2" width="13.5546875" bestFit="1" customWidth="1"/>
    <col min="3" max="3" width="20" bestFit="1" customWidth="1"/>
    <col min="4" max="4" width="25.5546875" bestFit="1" customWidth="1"/>
    <col min="5" max="5" width="12.33203125" style="7" bestFit="1" customWidth="1"/>
    <col min="6" max="6" width="12.88671875" style="7" bestFit="1" customWidth="1"/>
    <col min="7" max="7" width="20.21875" style="7" bestFit="1" customWidth="1"/>
    <col min="8" max="8" width="20.6640625" style="7" bestFit="1" customWidth="1"/>
    <col min="9" max="9" width="14.88671875" style="7" bestFit="1" customWidth="1"/>
    <col min="10" max="10" width="25.109375" style="7" bestFit="1" customWidth="1"/>
    <col min="11" max="11" width="21.77734375" style="7" bestFit="1" customWidth="1"/>
    <col min="12" max="12" width="16.6640625" style="3" bestFit="1" customWidth="1"/>
    <col min="13" max="13" width="17.6640625" style="3" bestFit="1" customWidth="1"/>
    <col min="14" max="14" width="20.109375" style="1" bestFit="1" customWidth="1"/>
    <col min="15" max="15" width="19.5546875" style="1" bestFit="1" customWidth="1"/>
  </cols>
  <sheetData>
    <row r="1" spans="1:15" ht="36.6" x14ac:dyDescent="0.3">
      <c r="A1" s="58" t="s">
        <v>97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s="16" customFormat="1" ht="36" x14ac:dyDescent="0.3">
      <c r="A2" s="17" t="s">
        <v>85</v>
      </c>
      <c r="B2" s="17" t="s">
        <v>52</v>
      </c>
      <c r="C2" s="17" t="s">
        <v>101</v>
      </c>
      <c r="D2" s="17" t="s">
        <v>102</v>
      </c>
      <c r="E2" s="17" t="s">
        <v>53</v>
      </c>
      <c r="F2" s="17" t="s">
        <v>54</v>
      </c>
      <c r="G2" s="17" t="s">
        <v>55</v>
      </c>
      <c r="H2" s="17" t="s">
        <v>56</v>
      </c>
      <c r="I2" s="17" t="s">
        <v>94</v>
      </c>
      <c r="J2" s="17" t="s">
        <v>95</v>
      </c>
      <c r="K2" s="17" t="s">
        <v>125</v>
      </c>
      <c r="L2" s="18" t="s">
        <v>96</v>
      </c>
      <c r="M2" s="18" t="s">
        <v>124</v>
      </c>
      <c r="N2" s="19" t="s">
        <v>123</v>
      </c>
      <c r="O2" s="19" t="s">
        <v>127</v>
      </c>
    </row>
    <row r="3" spans="1:15" ht="15.6" x14ac:dyDescent="0.3">
      <c r="A3" s="12">
        <v>400255</v>
      </c>
      <c r="B3" s="9" t="s">
        <v>13</v>
      </c>
      <c r="C3" s="9" t="s">
        <v>117</v>
      </c>
      <c r="D3" s="9" t="str">
        <f>Vendedores[[#This Row],[Nome]]&amp;" "&amp;Vendedores[[#This Row],[Sobrenome]]</f>
        <v>Carlos Eduardo Monteiro</v>
      </c>
      <c r="E3" s="12" t="s">
        <v>50</v>
      </c>
      <c r="F3" s="12" t="s">
        <v>15</v>
      </c>
      <c r="G3" s="14">
        <v>29472</v>
      </c>
      <c r="H3" s="14">
        <v>42913</v>
      </c>
      <c r="I3" s="12">
        <f>COUNTIF(Vendas[ID Vendedor],Vendedores[[#This Row],[ID]])</f>
        <v>405</v>
      </c>
      <c r="J3" s="12">
        <f>SUMIF(Vendas[ID Vendedor],Vendedores[[#This Row],[ID]],Vendas[Qnt Vendida])</f>
        <v>3625</v>
      </c>
      <c r="K3" s="15">
        <f>AVERAGEIF(Vendas[ID Vendedor],Vendedores[[#This Row],[ID]],Vendas[Qnt Vendida])</f>
        <v>8.9506172839506171</v>
      </c>
      <c r="L3" s="13">
        <f>SUMIF(Vendas[ID Vendedor],Vendedores[[#This Row],[ID]],Vendas[Valor da Venda])</f>
        <v>690515.99999999977</v>
      </c>
      <c r="M3" s="13">
        <f>AVERAGEIF(Vendas[ID Vendedor],Vendedores[[#This Row],[ID]],Vendas[Valor da Venda])</f>
        <v>1704.9777777777772</v>
      </c>
      <c r="N3" s="10">
        <f>SUMIF(Vendas[ID Vendedor],Vendedores[[#This Row],[ID]],Vendas[Comissão])</f>
        <v>31073.219999999976</v>
      </c>
      <c r="O3" s="10">
        <f>AVERAGEIF(Vendas[ID Vendedor],Vendedores[[#This Row],[ID]],Vendas[Comissão])</f>
        <v>76.723999999999947</v>
      </c>
    </row>
    <row r="4" spans="1:15" ht="15.6" x14ac:dyDescent="0.3">
      <c r="A4" s="12">
        <v>400243</v>
      </c>
      <c r="B4" s="9" t="s">
        <v>26</v>
      </c>
      <c r="C4" s="9" t="s">
        <v>105</v>
      </c>
      <c r="D4" s="9" t="str">
        <f>Vendedores[[#This Row],[Nome]]&amp;" "&amp;Vendedores[[#This Row],[Sobrenome]]</f>
        <v>Marcelo Vieira Nunes</v>
      </c>
      <c r="E4" s="12" t="s">
        <v>50</v>
      </c>
      <c r="F4" s="12" t="s">
        <v>7</v>
      </c>
      <c r="G4" s="14">
        <v>29039</v>
      </c>
      <c r="H4" s="14">
        <v>43057</v>
      </c>
      <c r="I4" s="12">
        <f>COUNTIF(Vendas[ID Vendedor],Vendedores[[#This Row],[ID]])</f>
        <v>410</v>
      </c>
      <c r="J4" s="12">
        <f>SUMIF(Vendas[ID Vendedor],Vendedores[[#This Row],[ID]],Vendas[Qnt Vendida])</f>
        <v>13086</v>
      </c>
      <c r="K4" s="15">
        <f>AVERAGEIF(Vendas[ID Vendedor],Vendedores[[#This Row],[ID]],Vendas[Qnt Vendida])</f>
        <v>31.917073170731708</v>
      </c>
      <c r="L4" s="13">
        <f>SUMIF(Vendas[ID Vendedor],Vendedores[[#This Row],[ID]],Vendas[Valor da Venda])</f>
        <v>202342.69999999995</v>
      </c>
      <c r="M4" s="13">
        <f>AVERAGEIF(Vendas[ID Vendedor],Vendedores[[#This Row],[ID]],Vendas[Valor da Venda])</f>
        <v>493.51878048780475</v>
      </c>
      <c r="N4" s="10">
        <f>SUMIF(Vendas[ID Vendedor],Vendedores[[#This Row],[ID]],Vendas[Comissão])</f>
        <v>6631.5510000000022</v>
      </c>
      <c r="O4" s="10">
        <f>AVERAGEIF(Vendas[ID Vendedor],Vendedores[[#This Row],[ID]],Vendas[Comissão])</f>
        <v>16.174514634146348</v>
      </c>
    </row>
    <row r="5" spans="1:15" ht="15.6" x14ac:dyDescent="0.3">
      <c r="A5" s="12">
        <v>400249</v>
      </c>
      <c r="B5" s="9" t="s">
        <v>33</v>
      </c>
      <c r="C5" s="9" t="s">
        <v>111</v>
      </c>
      <c r="D5" s="9" t="str">
        <f>Vendedores[[#This Row],[Nome]]&amp;" "&amp;Vendedores[[#This Row],[Sobrenome]]</f>
        <v>Bruno Cardoso Teixeira</v>
      </c>
      <c r="E5" s="12" t="s">
        <v>50</v>
      </c>
      <c r="F5" s="12" t="s">
        <v>23</v>
      </c>
      <c r="G5" s="14">
        <v>32016</v>
      </c>
      <c r="H5" s="14">
        <v>43189</v>
      </c>
      <c r="I5" s="12">
        <f>COUNTIF(Vendas[ID Vendedor],Vendedores[[#This Row],[ID]])</f>
        <v>378</v>
      </c>
      <c r="J5" s="12">
        <f>SUMIF(Vendas[ID Vendedor],Vendedores[[#This Row],[ID]],Vendas[Qnt Vendida])</f>
        <v>6165</v>
      </c>
      <c r="K5" s="15">
        <f>AVERAGEIF(Vendas[ID Vendedor],Vendedores[[#This Row],[ID]],Vendas[Qnt Vendida])</f>
        <v>16.30952380952381</v>
      </c>
      <c r="L5" s="13">
        <f>SUMIF(Vendas[ID Vendedor],Vendedores[[#This Row],[ID]],Vendas[Valor da Venda])</f>
        <v>431951.2</v>
      </c>
      <c r="M5" s="13">
        <f>AVERAGEIF(Vendas[ID Vendedor],Vendedores[[#This Row],[ID]],Vendas[Valor da Venda])</f>
        <v>1142.7280423280424</v>
      </c>
      <c r="N5" s="10">
        <f>SUMIF(Vendas[ID Vendedor],Vendedores[[#This Row],[ID]],Vendas[Comissão])</f>
        <v>21382.881000000005</v>
      </c>
      <c r="O5" s="10">
        <f>AVERAGEIF(Vendas[ID Vendedor],Vendedores[[#This Row],[ID]],Vendas[Comissão])</f>
        <v>56.56846825396827</v>
      </c>
    </row>
    <row r="6" spans="1:15" ht="15.6" x14ac:dyDescent="0.3">
      <c r="A6" s="12">
        <v>400245</v>
      </c>
      <c r="B6" s="9" t="s">
        <v>29</v>
      </c>
      <c r="C6" s="9" t="s">
        <v>107</v>
      </c>
      <c r="D6" s="9" t="str">
        <f>Vendedores[[#This Row],[Nome]]&amp;" "&amp;Vendedores[[#This Row],[Sobrenome]]</f>
        <v>Thiago Barbosa Lima</v>
      </c>
      <c r="E6" s="12" t="s">
        <v>50</v>
      </c>
      <c r="F6" s="12" t="s">
        <v>10</v>
      </c>
      <c r="G6" s="14">
        <v>31095</v>
      </c>
      <c r="H6" s="14">
        <v>43346</v>
      </c>
      <c r="I6" s="12">
        <f>COUNTIF(Vendas[ID Vendedor],Vendedores[[#This Row],[ID]])</f>
        <v>384</v>
      </c>
      <c r="J6" s="12">
        <f>SUMIF(Vendas[ID Vendedor],Vendedores[[#This Row],[ID]],Vendas[Qnt Vendida])</f>
        <v>9173</v>
      </c>
      <c r="K6" s="15">
        <f>AVERAGEIF(Vendas[ID Vendedor],Vendedores[[#This Row],[ID]],Vendas[Qnt Vendida])</f>
        <v>23.888020833333332</v>
      </c>
      <c r="L6" s="13">
        <f>SUMIF(Vendas[ID Vendedor],Vendedores[[#This Row],[ID]],Vendas[Valor da Venda])</f>
        <v>460851.09999999992</v>
      </c>
      <c r="M6" s="13">
        <f>AVERAGEIF(Vendas[ID Vendedor],Vendedores[[#This Row],[ID]],Vendas[Valor da Venda])</f>
        <v>1200.1330729166664</v>
      </c>
      <c r="N6" s="10">
        <f>SUMIF(Vendas[ID Vendedor],Vendedores[[#This Row],[ID]],Vendas[Comissão])</f>
        <v>22193.043000000001</v>
      </c>
      <c r="O6" s="10">
        <f>AVERAGEIF(Vendas[ID Vendedor],Vendedores[[#This Row],[ID]],Vendas[Comissão])</f>
        <v>57.794382812500004</v>
      </c>
    </row>
    <row r="7" spans="1:15" ht="15.6" x14ac:dyDescent="0.3">
      <c r="A7" s="12">
        <v>400241</v>
      </c>
      <c r="B7" s="9" t="s">
        <v>5</v>
      </c>
      <c r="C7" s="9" t="s">
        <v>103</v>
      </c>
      <c r="D7" s="9" t="str">
        <f>Vendedores[[#This Row],[Nome]]&amp;" "&amp;Vendedores[[#This Row],[Sobrenome]]</f>
        <v>Rodrigo Almeida Santos</v>
      </c>
      <c r="E7" s="12" t="s">
        <v>50</v>
      </c>
      <c r="F7" s="12" t="s">
        <v>7</v>
      </c>
      <c r="G7" s="14">
        <v>32216</v>
      </c>
      <c r="H7" s="14">
        <v>43621</v>
      </c>
      <c r="I7" s="12">
        <f>COUNTIF(Vendas[ID Vendedor],Vendedores[[#This Row],[ID]])</f>
        <v>394</v>
      </c>
      <c r="J7" s="12">
        <f>SUMIF(Vendas[ID Vendedor],Vendedores[[#This Row],[ID]],Vendas[Qnt Vendida])</f>
        <v>15093</v>
      </c>
      <c r="K7" s="15">
        <f>AVERAGEIF(Vendas[ID Vendedor],Vendedores[[#This Row],[ID]],Vendas[Qnt Vendida])</f>
        <v>38.307106598984774</v>
      </c>
      <c r="L7" s="13">
        <f>SUMIF(Vendas[ID Vendedor],Vendedores[[#This Row],[ID]],Vendas[Valor da Venda])</f>
        <v>214048.29999999996</v>
      </c>
      <c r="M7" s="13">
        <f>AVERAGEIF(Vendas[ID Vendedor],Vendedores[[#This Row],[ID]],Vendas[Valor da Venda])</f>
        <v>543.26979695431464</v>
      </c>
      <c r="N7" s="10">
        <f>SUMIF(Vendas[ID Vendedor],Vendedores[[#This Row],[ID]],Vendas[Comissão])</f>
        <v>6932.1569999999965</v>
      </c>
      <c r="O7" s="10">
        <f>AVERAGEIF(Vendas[ID Vendedor],Vendedores[[#This Row],[ID]],Vendas[Comissão])</f>
        <v>17.594307106598976</v>
      </c>
    </row>
    <row r="8" spans="1:15" ht="15.6" x14ac:dyDescent="0.3">
      <c r="A8" s="12">
        <v>400247</v>
      </c>
      <c r="B8" s="9" t="s">
        <v>21</v>
      </c>
      <c r="C8" s="9" t="s">
        <v>109</v>
      </c>
      <c r="D8" s="9" t="str">
        <f>Vendedores[[#This Row],[Nome]]&amp;" "&amp;Vendedores[[#This Row],[Sobrenome]]</f>
        <v>André Luiz Carvalho</v>
      </c>
      <c r="E8" s="12" t="s">
        <v>50</v>
      </c>
      <c r="F8" s="12" t="s">
        <v>23</v>
      </c>
      <c r="G8" s="14">
        <v>30290</v>
      </c>
      <c r="H8" s="14">
        <v>43668</v>
      </c>
      <c r="I8" s="12">
        <f>COUNTIF(Vendas[ID Vendedor],Vendedores[[#This Row],[ID]])</f>
        <v>381</v>
      </c>
      <c r="J8" s="12">
        <f>SUMIF(Vendas[ID Vendedor],Vendedores[[#This Row],[ID]],Vendas[Qnt Vendida])</f>
        <v>5755</v>
      </c>
      <c r="K8" s="15">
        <f>AVERAGEIF(Vendas[ID Vendedor],Vendedores[[#This Row],[ID]],Vendas[Qnt Vendida])</f>
        <v>15.104986876640419</v>
      </c>
      <c r="L8" s="13">
        <f>SUMIF(Vendas[ID Vendedor],Vendedores[[#This Row],[ID]],Vendas[Valor da Venda])</f>
        <v>413361.79999999993</v>
      </c>
      <c r="M8" s="13">
        <f>AVERAGEIF(Vendas[ID Vendedor],Vendedores[[#This Row],[ID]],Vendas[Valor da Venda])</f>
        <v>1084.9391076115485</v>
      </c>
      <c r="N8" s="10">
        <f>SUMIF(Vendas[ID Vendedor],Vendedores[[#This Row],[ID]],Vendas[Comissão])</f>
        <v>20505.879000000023</v>
      </c>
      <c r="O8" s="10">
        <f>AVERAGEIF(Vendas[ID Vendedor],Vendedores[[#This Row],[ID]],Vendas[Comissão])</f>
        <v>53.821204724409512</v>
      </c>
    </row>
    <row r="9" spans="1:15" ht="15.6" x14ac:dyDescent="0.3">
      <c r="A9" s="12">
        <v>400251</v>
      </c>
      <c r="B9" s="9" t="s">
        <v>35</v>
      </c>
      <c r="C9" s="9" t="s">
        <v>113</v>
      </c>
      <c r="D9" s="9" t="str">
        <f>Vendedores[[#This Row],[Nome]]&amp;" "&amp;Vendedores[[#This Row],[Sobrenome]]</f>
        <v>Diego Fernandes Rocha</v>
      </c>
      <c r="E9" s="12" t="s">
        <v>50</v>
      </c>
      <c r="F9" s="12" t="s">
        <v>49</v>
      </c>
      <c r="G9" s="14">
        <v>31709</v>
      </c>
      <c r="H9" s="14">
        <v>43686</v>
      </c>
      <c r="I9" s="12">
        <f>COUNTIF(Vendas[ID Vendedor],Vendedores[[#This Row],[ID]])</f>
        <v>424</v>
      </c>
      <c r="J9" s="12">
        <f>SUMIF(Vendas[ID Vendedor],Vendedores[[#This Row],[ID]],Vendas[Qnt Vendida])</f>
        <v>15628</v>
      </c>
      <c r="K9" s="15">
        <f>AVERAGEIF(Vendas[ID Vendedor],Vendedores[[#This Row],[ID]],Vendas[Qnt Vendida])</f>
        <v>36.858490566037737</v>
      </c>
      <c r="L9" s="13">
        <f>SUMIF(Vendas[ID Vendedor],Vendedores[[#This Row],[ID]],Vendas[Valor da Venda])</f>
        <v>345064.1</v>
      </c>
      <c r="M9" s="13">
        <f>AVERAGEIF(Vendas[ID Vendedor],Vendedores[[#This Row],[ID]],Vendas[Valor da Venda])</f>
        <v>813.83042452830182</v>
      </c>
      <c r="N9" s="10">
        <f>SUMIF(Vendas[ID Vendedor],Vendedores[[#This Row],[ID]],Vendas[Comissão])</f>
        <v>20703.846000000005</v>
      </c>
      <c r="O9" s="10">
        <f>AVERAGEIF(Vendas[ID Vendedor],Vendedores[[#This Row],[ID]],Vendas[Comissão])</f>
        <v>48.829825471698122</v>
      </c>
    </row>
    <row r="10" spans="1:15" ht="15.6" x14ac:dyDescent="0.3">
      <c r="A10" s="12">
        <v>400244</v>
      </c>
      <c r="B10" s="9" t="s">
        <v>17</v>
      </c>
      <c r="C10" s="9" t="s">
        <v>106</v>
      </c>
      <c r="D10" s="9" t="str">
        <f>Vendedores[[#This Row],[Nome]]&amp;" "&amp;Vendedores[[#This Row],[Sobrenome]]</f>
        <v>Camila Rezende Duarte</v>
      </c>
      <c r="E10" s="12" t="s">
        <v>51</v>
      </c>
      <c r="F10" s="12" t="s">
        <v>10</v>
      </c>
      <c r="G10" s="14">
        <v>33186</v>
      </c>
      <c r="H10" s="14">
        <v>43946</v>
      </c>
      <c r="I10" s="12">
        <f>COUNTIF(Vendas[ID Vendedor],Vendedores[[#This Row],[ID]])</f>
        <v>452</v>
      </c>
      <c r="J10" s="12">
        <f>SUMIF(Vendas[ID Vendedor],Vendedores[[#This Row],[ID]],Vendas[Qnt Vendida])</f>
        <v>11846</v>
      </c>
      <c r="K10" s="15">
        <f>AVERAGEIF(Vendas[ID Vendedor],Vendedores[[#This Row],[ID]],Vendas[Qnt Vendida])</f>
        <v>26.207964601769913</v>
      </c>
      <c r="L10" s="13">
        <f>SUMIF(Vendas[ID Vendedor],Vendedores[[#This Row],[ID]],Vendas[Valor da Venda])</f>
        <v>511399.39999999991</v>
      </c>
      <c r="M10" s="13">
        <f>AVERAGEIF(Vendas[ID Vendedor],Vendedores[[#This Row],[ID]],Vendas[Valor da Venda])</f>
        <v>1131.4146017699113</v>
      </c>
      <c r="N10" s="10">
        <f>SUMIF(Vendas[ID Vendedor],Vendedores[[#This Row],[ID]],Vendas[Comissão])</f>
        <v>24320.157000000028</v>
      </c>
      <c r="O10" s="10">
        <f>AVERAGEIF(Vendas[ID Vendedor],Vendedores[[#This Row],[ID]],Vendas[Comissão])</f>
        <v>53.805657079646082</v>
      </c>
    </row>
    <row r="11" spans="1:15" ht="15.6" x14ac:dyDescent="0.3">
      <c r="A11" s="12">
        <v>400253</v>
      </c>
      <c r="B11" s="9" t="s">
        <v>40</v>
      </c>
      <c r="C11" s="9" t="s">
        <v>115</v>
      </c>
      <c r="D11" s="9" t="str">
        <f>Vendedores[[#This Row],[Nome]]&amp;" "&amp;Vendedores[[#This Row],[Sobrenome]]</f>
        <v>Gustavo Henrique Prado</v>
      </c>
      <c r="E11" s="12" t="s">
        <v>50</v>
      </c>
      <c r="F11" s="12" t="s">
        <v>15</v>
      </c>
      <c r="G11" s="14">
        <v>32674</v>
      </c>
      <c r="H11" s="14">
        <v>44085</v>
      </c>
      <c r="I11" s="12">
        <f>COUNTIF(Vendas[ID Vendedor],Vendedores[[#This Row],[ID]])</f>
        <v>378</v>
      </c>
      <c r="J11" s="12">
        <f>SUMIF(Vendas[ID Vendedor],Vendedores[[#This Row],[ID]],Vendas[Qnt Vendida])</f>
        <v>3164</v>
      </c>
      <c r="K11" s="15">
        <f>AVERAGEIF(Vendas[ID Vendedor],Vendedores[[#This Row],[ID]],Vendas[Qnt Vendida])</f>
        <v>8.3703703703703702</v>
      </c>
      <c r="L11" s="13">
        <f>SUMIF(Vendas[ID Vendedor],Vendedores[[#This Row],[ID]],Vendas[Valor da Venda])</f>
        <v>628447.4</v>
      </c>
      <c r="M11" s="13">
        <f>AVERAGEIF(Vendas[ID Vendedor],Vendedores[[#This Row],[ID]],Vendas[Valor da Venda])</f>
        <v>1662.5592592592593</v>
      </c>
      <c r="N11" s="10">
        <f>SUMIF(Vendas[ID Vendedor],Vendedores[[#This Row],[ID]],Vendas[Comissão])</f>
        <v>28280.132999999973</v>
      </c>
      <c r="O11" s="10">
        <f>AVERAGEIF(Vendas[ID Vendedor],Vendedores[[#This Row],[ID]],Vendas[Comissão])</f>
        <v>74.815166666666599</v>
      </c>
    </row>
    <row r="12" spans="1:15" ht="15.6" x14ac:dyDescent="0.3">
      <c r="A12" s="12">
        <v>400250</v>
      </c>
      <c r="B12" s="9" t="s">
        <v>11</v>
      </c>
      <c r="C12" s="9" t="s">
        <v>112</v>
      </c>
      <c r="D12" s="9" t="str">
        <f>Vendedores[[#This Row],[Nome]]&amp;" "&amp;Vendedores[[#This Row],[Sobrenome]]</f>
        <v>Larissa Moreira Cunha</v>
      </c>
      <c r="E12" s="12" t="s">
        <v>51</v>
      </c>
      <c r="F12" s="12" t="s">
        <v>49</v>
      </c>
      <c r="G12" s="14">
        <v>34345</v>
      </c>
      <c r="H12" s="14">
        <v>44332</v>
      </c>
      <c r="I12" s="12">
        <f>COUNTIF(Vendas[ID Vendedor],Vendedores[[#This Row],[ID]])</f>
        <v>416</v>
      </c>
      <c r="J12" s="12">
        <f>SUMIF(Vendas[ID Vendedor],Vendedores[[#This Row],[ID]],Vendas[Qnt Vendida])</f>
        <v>15432</v>
      </c>
      <c r="K12" s="15">
        <f>AVERAGEIF(Vendas[ID Vendedor],Vendedores[[#This Row],[ID]],Vendas[Qnt Vendida])</f>
        <v>37.096153846153847</v>
      </c>
      <c r="L12" s="13">
        <f>SUMIF(Vendas[ID Vendedor],Vendedores[[#This Row],[ID]],Vendas[Valor da Venda])</f>
        <v>332779.40000000014</v>
      </c>
      <c r="M12" s="13">
        <f>AVERAGEIF(Vendas[ID Vendedor],Vendedores[[#This Row],[ID]],Vendas[Valor da Venda])</f>
        <v>799.95048076923115</v>
      </c>
      <c r="N12" s="10">
        <f>SUMIF(Vendas[ID Vendedor],Vendedores[[#This Row],[ID]],Vendas[Comissão])</f>
        <v>19966.763999999996</v>
      </c>
      <c r="O12" s="10">
        <f>AVERAGEIF(Vendas[ID Vendedor],Vendedores[[#This Row],[ID]],Vendas[Comissão])</f>
        <v>47.997028846153839</v>
      </c>
    </row>
    <row r="13" spans="1:15" ht="15.6" x14ac:dyDescent="0.3">
      <c r="A13" s="12">
        <v>400248</v>
      </c>
      <c r="B13" s="9" t="s">
        <v>46</v>
      </c>
      <c r="C13" s="9" t="s">
        <v>110</v>
      </c>
      <c r="D13" s="9" t="str">
        <f>Vendedores[[#This Row],[Nome]]&amp;" "&amp;Vendedores[[#This Row],[Sobrenome]]</f>
        <v>Patrícia Gomes Alencar</v>
      </c>
      <c r="E13" s="12" t="s">
        <v>51</v>
      </c>
      <c r="F13" s="12" t="s">
        <v>23</v>
      </c>
      <c r="G13" s="14">
        <v>33347</v>
      </c>
      <c r="H13" s="14">
        <v>44477</v>
      </c>
      <c r="I13" s="12">
        <f>COUNTIF(Vendas[ID Vendedor],Vendedores[[#This Row],[ID]])</f>
        <v>392</v>
      </c>
      <c r="J13" s="12">
        <f>SUMIF(Vendas[ID Vendedor],Vendedores[[#This Row],[ID]],Vendas[Qnt Vendida])</f>
        <v>5620</v>
      </c>
      <c r="K13" s="15">
        <f>AVERAGEIF(Vendas[ID Vendedor],Vendedores[[#This Row],[ID]],Vendas[Qnt Vendida])</f>
        <v>14.336734693877551</v>
      </c>
      <c r="L13" s="13">
        <f>SUMIF(Vendas[ID Vendedor],Vendedores[[#This Row],[ID]],Vendas[Valor da Venda])</f>
        <v>420207.00000000006</v>
      </c>
      <c r="M13" s="13">
        <f>AVERAGEIF(Vendas[ID Vendedor],Vendedores[[#This Row],[ID]],Vendas[Valor da Venda])</f>
        <v>1071.9566326530614</v>
      </c>
      <c r="N13" s="10">
        <f>SUMIF(Vendas[ID Vendedor],Vendedores[[#This Row],[ID]],Vendas[Comissão])</f>
        <v>20526.990000000005</v>
      </c>
      <c r="O13" s="10">
        <f>AVERAGEIF(Vendas[ID Vendedor],Vendedores[[#This Row],[ID]],Vendas[Comissão])</f>
        <v>52.364770408163281</v>
      </c>
    </row>
    <row r="14" spans="1:15" ht="15.6" x14ac:dyDescent="0.3">
      <c r="A14" s="12">
        <v>400242</v>
      </c>
      <c r="B14" s="9" t="s">
        <v>19</v>
      </c>
      <c r="C14" s="9" t="s">
        <v>104</v>
      </c>
      <c r="D14" s="9" t="str">
        <f>Vendedores[[#This Row],[Nome]]&amp;" "&amp;Vendedores[[#This Row],[Sobrenome]]</f>
        <v>Fernanda Costa Ribeiro</v>
      </c>
      <c r="E14" s="12" t="s">
        <v>51</v>
      </c>
      <c r="F14" s="12" t="s">
        <v>7</v>
      </c>
      <c r="G14" s="14">
        <v>34964</v>
      </c>
      <c r="H14" s="14">
        <v>44573</v>
      </c>
      <c r="I14" s="12">
        <f>COUNTIF(Vendas[ID Vendedor],Vendedores[[#This Row],[ID]])</f>
        <v>427</v>
      </c>
      <c r="J14" s="12">
        <f>SUMIF(Vendas[ID Vendedor],Vendedores[[#This Row],[ID]],Vendas[Qnt Vendida])</f>
        <v>14629</v>
      </c>
      <c r="K14" s="15">
        <f>AVERAGEIF(Vendas[ID Vendedor],Vendedores[[#This Row],[ID]],Vendas[Qnt Vendida])</f>
        <v>34.259953161592506</v>
      </c>
      <c r="L14" s="13">
        <f>SUMIF(Vendas[ID Vendedor],Vendedores[[#This Row],[ID]],Vendas[Valor da Venda])</f>
        <v>218721.19999999995</v>
      </c>
      <c r="M14" s="13">
        <f>AVERAGEIF(Vendas[ID Vendedor],Vendedores[[#This Row],[ID]],Vendas[Valor da Venda])</f>
        <v>512.22763466042147</v>
      </c>
      <c r="N14" s="10">
        <f>SUMIF(Vendas[ID Vendedor],Vendedores[[#This Row],[ID]],Vendas[Comissão])</f>
        <v>7154.0700000000015</v>
      </c>
      <c r="O14" s="10">
        <f>AVERAGEIF(Vendas[ID Vendedor],Vendedores[[#This Row],[ID]],Vendas[Comissão])</f>
        <v>16.754262295081972</v>
      </c>
    </row>
    <row r="15" spans="1:15" ht="15.6" x14ac:dyDescent="0.3">
      <c r="A15" s="12">
        <v>400254</v>
      </c>
      <c r="B15" s="9" t="s">
        <v>16</v>
      </c>
      <c r="C15" s="9" t="s">
        <v>116</v>
      </c>
      <c r="D15" s="9" t="str">
        <f>Vendedores[[#This Row],[Nome]]&amp;" "&amp;Vendedores[[#This Row],[Sobrenome]]</f>
        <v>Beatriz Nascimento Farias</v>
      </c>
      <c r="E15" s="12" t="s">
        <v>51</v>
      </c>
      <c r="F15" s="12" t="s">
        <v>15</v>
      </c>
      <c r="G15" s="14">
        <v>35152</v>
      </c>
      <c r="H15" s="14">
        <v>44961</v>
      </c>
      <c r="I15" s="12">
        <f>COUNTIF(Vendas[ID Vendedor],Vendedores[[#This Row],[ID]])</f>
        <v>388</v>
      </c>
      <c r="J15" s="12">
        <f>SUMIF(Vendas[ID Vendedor],Vendedores[[#This Row],[ID]],Vendas[Qnt Vendida])</f>
        <v>3418</v>
      </c>
      <c r="K15" s="15">
        <f>AVERAGEIF(Vendas[ID Vendedor],Vendedores[[#This Row],[ID]],Vendas[Qnt Vendida])</f>
        <v>8.8092783505154646</v>
      </c>
      <c r="L15" s="13">
        <f>SUMIF(Vendas[ID Vendedor],Vendedores[[#This Row],[ID]],Vendas[Valor da Venda])</f>
        <v>671036.4</v>
      </c>
      <c r="M15" s="13">
        <f>AVERAGEIF(Vendas[ID Vendedor],Vendedores[[#This Row],[ID]],Vendas[Valor da Venda])</f>
        <v>1729.4752577319589</v>
      </c>
      <c r="N15" s="10">
        <f>SUMIF(Vendas[ID Vendedor],Vendedores[[#This Row],[ID]],Vendas[Comissão])</f>
        <v>30196.637999999974</v>
      </c>
      <c r="O15" s="10">
        <f>AVERAGEIF(Vendas[ID Vendedor],Vendedores[[#This Row],[ID]],Vendas[Comissão])</f>
        <v>77.826386597938082</v>
      </c>
    </row>
    <row r="16" spans="1:15" ht="15.6" x14ac:dyDescent="0.3">
      <c r="A16" s="12">
        <v>400246</v>
      </c>
      <c r="B16" s="9" t="s">
        <v>8</v>
      </c>
      <c r="C16" s="9" t="s">
        <v>108</v>
      </c>
      <c r="D16" s="9" t="str">
        <f>Vendedores[[#This Row],[Nome]]&amp;" "&amp;Vendedores[[#This Row],[Sobrenome]]</f>
        <v>Juliana Martins Freitas</v>
      </c>
      <c r="E16" s="12" t="s">
        <v>51</v>
      </c>
      <c r="F16" s="12" t="s">
        <v>10</v>
      </c>
      <c r="G16" s="14">
        <v>34150</v>
      </c>
      <c r="H16" s="14">
        <v>44971</v>
      </c>
      <c r="I16" s="12">
        <f>COUNTIF(Vendas[ID Vendedor],Vendedores[[#This Row],[ID]])</f>
        <v>367</v>
      </c>
      <c r="J16" s="12">
        <f>SUMIF(Vendas[ID Vendedor],Vendedores[[#This Row],[ID]],Vendas[Qnt Vendida])</f>
        <v>9889</v>
      </c>
      <c r="K16" s="15">
        <f>AVERAGEIF(Vendas[ID Vendedor],Vendedores[[#This Row],[ID]],Vendas[Qnt Vendida])</f>
        <v>26.945504087193459</v>
      </c>
      <c r="L16" s="13">
        <f>SUMIF(Vendas[ID Vendedor],Vendedores[[#This Row],[ID]],Vendas[Valor da Venda])</f>
        <v>435614.59999999986</v>
      </c>
      <c r="M16" s="13">
        <f>AVERAGEIF(Vendas[ID Vendedor],Vendedores[[#This Row],[ID]],Vendas[Valor da Venda])</f>
        <v>1186.960762942779</v>
      </c>
      <c r="N16" s="10">
        <f>SUMIF(Vendas[ID Vendedor],Vendedores[[#This Row],[ID]],Vendas[Comissão])</f>
        <v>20648.418000000016</v>
      </c>
      <c r="O16" s="10">
        <f>AVERAGEIF(Vendas[ID Vendedor],Vendedores[[#This Row],[ID]],Vendas[Comissão])</f>
        <v>56.262719346049089</v>
      </c>
    </row>
    <row r="17" spans="1:15" ht="15.6" x14ac:dyDescent="0.3">
      <c r="A17" s="12">
        <v>400252</v>
      </c>
      <c r="B17" s="9" t="s">
        <v>38</v>
      </c>
      <c r="C17" s="9" t="s">
        <v>114</v>
      </c>
      <c r="D17" s="9" t="str">
        <f>Vendedores[[#This Row],[Nome]]&amp;" "&amp;Vendedores[[#This Row],[Sobrenome]]</f>
        <v>Renata Souza Pinheiro</v>
      </c>
      <c r="E17" s="12" t="s">
        <v>51</v>
      </c>
      <c r="F17" s="12" t="s">
        <v>49</v>
      </c>
      <c r="G17" s="14">
        <v>35552</v>
      </c>
      <c r="H17" s="14">
        <v>45311</v>
      </c>
      <c r="I17" s="12">
        <f>COUNTIF(Vendas[ID Vendedor],Vendedores[[#This Row],[ID]])</f>
        <v>407</v>
      </c>
      <c r="J17" s="12">
        <f>SUMIF(Vendas[ID Vendedor],Vendedores[[#This Row],[ID]],Vendas[Qnt Vendida])</f>
        <v>15679</v>
      </c>
      <c r="K17" s="15">
        <f>AVERAGEIF(Vendas[ID Vendedor],Vendedores[[#This Row],[ID]],Vendas[Qnt Vendida])</f>
        <v>38.523341523341522</v>
      </c>
      <c r="L17" s="13">
        <f>SUMIF(Vendas[ID Vendedor],Vendedores[[#This Row],[ID]],Vendas[Valor da Venda])</f>
        <v>304834.3</v>
      </c>
      <c r="M17" s="13">
        <f>AVERAGEIF(Vendas[ID Vendedor],Vendedores[[#This Row],[ID]],Vendas[Valor da Venda])</f>
        <v>748.97862407862408</v>
      </c>
      <c r="N17" s="10">
        <f>SUMIF(Vendas[ID Vendedor],Vendedores[[#This Row],[ID]],Vendas[Comissão])</f>
        <v>18290.057999999997</v>
      </c>
      <c r="O17" s="10">
        <f>AVERAGEIF(Vendas[ID Vendedor],Vendedores[[#This Row],[ID]],Vendas[Comissão])</f>
        <v>44.93871744471744</v>
      </c>
    </row>
    <row r="18" spans="1:15" ht="15.6" x14ac:dyDescent="0.3">
      <c r="A18" s="12">
        <v>400256</v>
      </c>
      <c r="B18" s="9" t="s">
        <v>153</v>
      </c>
      <c r="C18" s="9" t="s">
        <v>154</v>
      </c>
      <c r="D18" s="87" t="str">
        <f>Vendedores[[#This Row],[Nome]]&amp;" "&amp;Vendedores[[#This Row],[Sobrenome]]</f>
        <v>Adriano Rosa Silva</v>
      </c>
      <c r="E18" s="12" t="s">
        <v>50</v>
      </c>
      <c r="F18" s="12" t="s">
        <v>7</v>
      </c>
      <c r="G18" s="14">
        <v>33410</v>
      </c>
      <c r="H18" s="14">
        <v>46248</v>
      </c>
      <c r="I18" s="88">
        <f>COUNTIF(Vendas[ID Vendedor],Vendedores[[#This Row],[ID]])</f>
        <v>1</v>
      </c>
      <c r="J18" s="88">
        <f>SUMIF(Vendas[ID Vendedor],Vendedores[[#This Row],[ID]],Vendas[Qnt Vendida])</f>
        <v>8</v>
      </c>
      <c r="K18" s="15">
        <f>AVERAGEIF(Vendas[ID Vendedor],Vendedores[[#This Row],[ID]],Vendas[Qnt Vendida])</f>
        <v>8</v>
      </c>
      <c r="L18" s="13">
        <f>SUMIF(Vendas[ID Vendedor],Vendedores[[#This Row],[ID]],Vendas[Valor da Venda])</f>
        <v>416</v>
      </c>
      <c r="M18" s="13">
        <f>AVERAGEIF(Vendas[ID Vendedor],Vendedores[[#This Row],[ID]],Vendas[Valor da Venda])</f>
        <v>416</v>
      </c>
      <c r="N18" s="10">
        <f>SUMIF(Vendas[ID Vendedor],Vendedores[[#This Row],[ID]],Vendas[Comissão])</f>
        <v>12.48</v>
      </c>
      <c r="O18" s="10">
        <f>AVERAGEIF(Vendas[ID Vendedor],Vendedores[[#This Row],[ID]],Vendas[Comissão])</f>
        <v>12.48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E3F8A-8F95-435D-9968-3CD0AABC9077}">
  <sheetPr codeName="Planilha5"/>
  <dimension ref="A1:G7"/>
  <sheetViews>
    <sheetView showGridLines="0" zoomScale="150" zoomScaleNormal="150" workbookViewId="0">
      <selection activeCell="E15" sqref="E15"/>
    </sheetView>
  </sheetViews>
  <sheetFormatPr defaultRowHeight="14.4" x14ac:dyDescent="0.3"/>
  <cols>
    <col min="1" max="1" width="8.109375" style="7" bestFit="1" customWidth="1"/>
    <col min="2" max="2" width="32.33203125" bestFit="1" customWidth="1"/>
    <col min="3" max="3" width="14.44140625" style="7" bestFit="1" customWidth="1"/>
    <col min="4" max="4" width="12.44140625" style="1" bestFit="1" customWidth="1"/>
    <col min="5" max="5" width="15.33203125" style="1" bestFit="1" customWidth="1"/>
    <col min="6" max="6" width="12" style="1" bestFit="1" customWidth="1"/>
    <col min="7" max="7" width="17.5546875" style="2" bestFit="1" customWidth="1"/>
  </cols>
  <sheetData>
    <row r="1" spans="1:7" ht="36.6" x14ac:dyDescent="0.3">
      <c r="A1" s="59" t="s">
        <v>92</v>
      </c>
      <c r="B1" s="59"/>
      <c r="C1" s="59"/>
      <c r="D1" s="59"/>
      <c r="E1" s="59"/>
      <c r="F1" s="59"/>
      <c r="G1" s="59"/>
    </row>
    <row r="2" spans="1:7" ht="36" x14ac:dyDescent="0.3">
      <c r="A2" s="17" t="s">
        <v>85</v>
      </c>
      <c r="B2" s="17" t="s">
        <v>62</v>
      </c>
      <c r="C2" s="17" t="s">
        <v>63</v>
      </c>
      <c r="D2" s="19" t="s">
        <v>64</v>
      </c>
      <c r="E2" s="19" t="s">
        <v>65</v>
      </c>
      <c r="F2" s="19" t="s">
        <v>86</v>
      </c>
      <c r="G2" s="24" t="s">
        <v>87</v>
      </c>
    </row>
    <row r="3" spans="1:7" ht="15.6" x14ac:dyDescent="0.3">
      <c r="A3" s="12" t="s">
        <v>20</v>
      </c>
      <c r="B3" s="9" t="s">
        <v>57</v>
      </c>
      <c r="C3" s="12" t="s">
        <v>121</v>
      </c>
      <c r="D3" s="10">
        <v>4.2</v>
      </c>
      <c r="E3" s="10">
        <v>4.8</v>
      </c>
      <c r="F3" s="10">
        <f>E3-D3</f>
        <v>0.59999999999999964</v>
      </c>
      <c r="G3" s="11">
        <f>F3/E3</f>
        <v>0.12499999999999993</v>
      </c>
    </row>
    <row r="4" spans="1:7" ht="15.6" x14ac:dyDescent="0.3">
      <c r="A4" s="12" t="s">
        <v>27</v>
      </c>
      <c r="B4" s="9" t="s">
        <v>58</v>
      </c>
      <c r="C4" s="12" t="s">
        <v>120</v>
      </c>
      <c r="D4" s="10">
        <v>45</v>
      </c>
      <c r="E4" s="10">
        <v>52</v>
      </c>
      <c r="F4" s="10">
        <f t="shared" ref="F4:F7" si="0">E4-D4</f>
        <v>7</v>
      </c>
      <c r="G4" s="11">
        <f t="shared" ref="G4:G7" si="1">F4/E4</f>
        <v>0.13461538461538461</v>
      </c>
    </row>
    <row r="5" spans="1:7" ht="15.6" x14ac:dyDescent="0.3">
      <c r="A5" s="12" t="s">
        <v>47</v>
      </c>
      <c r="B5" s="9" t="s">
        <v>59</v>
      </c>
      <c r="C5" s="12" t="s">
        <v>120</v>
      </c>
      <c r="D5" s="10">
        <v>18</v>
      </c>
      <c r="E5" s="10">
        <v>21.2</v>
      </c>
      <c r="F5" s="10">
        <f t="shared" si="0"/>
        <v>3.1999999999999993</v>
      </c>
      <c r="G5" s="11">
        <f t="shared" si="1"/>
        <v>0.15094339622641506</v>
      </c>
    </row>
    <row r="6" spans="1:7" ht="15.6" x14ac:dyDescent="0.3">
      <c r="A6" s="12" t="s">
        <v>6</v>
      </c>
      <c r="B6" s="9" t="s">
        <v>60</v>
      </c>
      <c r="C6" s="12" t="s">
        <v>120</v>
      </c>
      <c r="D6" s="10">
        <v>22</v>
      </c>
      <c r="E6" s="10">
        <v>24.6</v>
      </c>
      <c r="F6" s="10">
        <f t="shared" si="0"/>
        <v>2.6000000000000014</v>
      </c>
      <c r="G6" s="11">
        <f t="shared" si="1"/>
        <v>0.10569105691056915</v>
      </c>
    </row>
    <row r="7" spans="1:7" ht="15.6" x14ac:dyDescent="0.3">
      <c r="A7" s="12" t="s">
        <v>31</v>
      </c>
      <c r="B7" s="9" t="s">
        <v>61</v>
      </c>
      <c r="C7" s="12" t="s">
        <v>120</v>
      </c>
      <c r="D7" s="10">
        <v>38</v>
      </c>
      <c r="E7" s="10">
        <v>43.7</v>
      </c>
      <c r="F7" s="10">
        <f t="shared" si="0"/>
        <v>5.7000000000000028</v>
      </c>
      <c r="G7" s="11">
        <f t="shared" si="1"/>
        <v>0.1304347826086957</v>
      </c>
    </row>
  </sheetData>
  <mergeCells count="1">
    <mergeCell ref="A1:G1"/>
  </mergeCells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65AE6-2A33-43CD-8C0F-B8FDA263D80A}">
  <sheetPr codeName="Planilha6"/>
  <dimension ref="A1:G7"/>
  <sheetViews>
    <sheetView showGridLines="0" zoomScale="150" zoomScaleNormal="150" workbookViewId="0">
      <selection activeCell="E15" sqref="E15"/>
    </sheetView>
  </sheetViews>
  <sheetFormatPr defaultRowHeight="14.4" x14ac:dyDescent="0.3"/>
  <cols>
    <col min="1" max="1" width="8.6640625" bestFit="1" customWidth="1"/>
    <col min="2" max="2" width="24.5546875" bestFit="1" customWidth="1"/>
    <col min="3" max="3" width="12.88671875" bestFit="1" customWidth="1"/>
    <col min="4" max="4" width="12.21875" style="3" bestFit="1" customWidth="1"/>
    <col min="5" max="5" width="15" style="3" bestFit="1" customWidth="1"/>
    <col min="6" max="6" width="11.88671875" style="3" bestFit="1" customWidth="1"/>
    <col min="7" max="7" width="17.21875" style="5" bestFit="1" customWidth="1"/>
  </cols>
  <sheetData>
    <row r="1" spans="1:7" ht="36.6" x14ac:dyDescent="0.3">
      <c r="A1" s="57" t="s">
        <v>91</v>
      </c>
      <c r="B1" s="57"/>
      <c r="C1" s="57"/>
      <c r="D1" s="57"/>
      <c r="E1" s="57"/>
      <c r="F1" s="57"/>
      <c r="G1" s="57"/>
    </row>
    <row r="2" spans="1:7" ht="36" x14ac:dyDescent="0.3">
      <c r="A2" s="21" t="s">
        <v>85</v>
      </c>
      <c r="B2" s="21" t="s">
        <v>62</v>
      </c>
      <c r="C2" s="21" t="s">
        <v>63</v>
      </c>
      <c r="D2" s="22" t="s">
        <v>64</v>
      </c>
      <c r="E2" s="22" t="s">
        <v>65</v>
      </c>
      <c r="F2" s="25" t="s">
        <v>86</v>
      </c>
      <c r="G2" s="26" t="s">
        <v>87</v>
      </c>
    </row>
    <row r="3" spans="1:7" x14ac:dyDescent="0.3">
      <c r="A3" s="7" t="s">
        <v>9</v>
      </c>
      <c r="B3" t="s">
        <v>57</v>
      </c>
      <c r="C3" s="7" t="s">
        <v>121</v>
      </c>
      <c r="D3" s="3">
        <v>5.8</v>
      </c>
      <c r="E3" s="3">
        <v>6.7</v>
      </c>
      <c r="F3" s="1">
        <f>E3-D3</f>
        <v>0.90000000000000036</v>
      </c>
      <c r="G3" s="4">
        <f>F3/E3</f>
        <v>0.13432835820895528</v>
      </c>
    </row>
    <row r="4" spans="1:7" x14ac:dyDescent="0.3">
      <c r="A4" s="7" t="s">
        <v>28</v>
      </c>
      <c r="B4" t="s">
        <v>66</v>
      </c>
      <c r="C4" s="7" t="s">
        <v>120</v>
      </c>
      <c r="D4" s="3">
        <v>150</v>
      </c>
      <c r="E4" s="3">
        <v>192</v>
      </c>
      <c r="F4" s="1">
        <f t="shared" ref="F4:F7" si="0">E4-D4</f>
        <v>42</v>
      </c>
      <c r="G4" s="4">
        <f t="shared" ref="G4:G7" si="1">F4/E4</f>
        <v>0.21875</v>
      </c>
    </row>
    <row r="5" spans="1:7" x14ac:dyDescent="0.3">
      <c r="A5" s="7" t="s">
        <v>30</v>
      </c>
      <c r="B5" t="s">
        <v>67</v>
      </c>
      <c r="C5" s="7" t="s">
        <v>120</v>
      </c>
      <c r="D5" s="3">
        <v>320</v>
      </c>
      <c r="E5" s="3">
        <v>400</v>
      </c>
      <c r="F5" s="1">
        <f t="shared" si="0"/>
        <v>80</v>
      </c>
      <c r="G5" s="4">
        <f t="shared" si="1"/>
        <v>0.2</v>
      </c>
    </row>
    <row r="6" spans="1:7" x14ac:dyDescent="0.3">
      <c r="A6" s="7" t="s">
        <v>44</v>
      </c>
      <c r="B6" t="s">
        <v>68</v>
      </c>
      <c r="C6" s="7" t="s">
        <v>121</v>
      </c>
      <c r="D6" s="3">
        <v>25</v>
      </c>
      <c r="E6" s="3">
        <v>32.5</v>
      </c>
      <c r="F6" s="1">
        <f t="shared" si="0"/>
        <v>7.5</v>
      </c>
      <c r="G6" s="4">
        <f t="shared" si="1"/>
        <v>0.23076923076923078</v>
      </c>
    </row>
    <row r="7" spans="1:7" x14ac:dyDescent="0.3">
      <c r="A7" s="7" t="s">
        <v>18</v>
      </c>
      <c r="B7" t="s">
        <v>69</v>
      </c>
      <c r="C7" s="7" t="s">
        <v>120</v>
      </c>
      <c r="D7" s="3">
        <v>250</v>
      </c>
      <c r="E7" s="3">
        <v>264.60000000000002</v>
      </c>
      <c r="F7" s="1">
        <f t="shared" si="0"/>
        <v>14.600000000000023</v>
      </c>
      <c r="G7" s="4">
        <f t="shared" si="1"/>
        <v>5.5177626606198113E-2</v>
      </c>
    </row>
  </sheetData>
  <mergeCells count="1">
    <mergeCell ref="A1:G1"/>
  </mergeCells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74923-BB34-48FD-96C7-A09C49AF64C5}">
  <sheetPr codeName="Planilha7"/>
  <dimension ref="A1:G7"/>
  <sheetViews>
    <sheetView showGridLines="0" zoomScale="150" zoomScaleNormal="150" workbookViewId="0">
      <selection activeCell="E15" sqref="E15"/>
    </sheetView>
  </sheetViews>
  <sheetFormatPr defaultRowHeight="14.4" x14ac:dyDescent="0.3"/>
  <cols>
    <col min="1" max="1" width="7.77734375" bestFit="1" customWidth="1"/>
    <col min="2" max="2" width="37.33203125" bestFit="1" customWidth="1"/>
    <col min="3" max="3" width="12.88671875" style="7" bestFit="1" customWidth="1"/>
    <col min="4" max="4" width="12.21875" style="3" bestFit="1" customWidth="1"/>
    <col min="5" max="5" width="15" style="3" bestFit="1" customWidth="1"/>
    <col min="6" max="6" width="11.88671875" style="3" bestFit="1" customWidth="1"/>
    <col min="7" max="7" width="17.21875" style="5" bestFit="1" customWidth="1"/>
  </cols>
  <sheetData>
    <row r="1" spans="1:7" ht="36.6" x14ac:dyDescent="0.3">
      <c r="A1" s="60" t="s">
        <v>90</v>
      </c>
      <c r="B1" s="60"/>
      <c r="C1" s="60"/>
      <c r="D1" s="60"/>
      <c r="E1" s="60"/>
      <c r="F1" s="60"/>
      <c r="G1" s="60"/>
    </row>
    <row r="2" spans="1:7" ht="36" x14ac:dyDescent="0.3">
      <c r="A2" s="21" t="s">
        <v>85</v>
      </c>
      <c r="B2" s="21" t="s">
        <v>62</v>
      </c>
      <c r="C2" s="21" t="s">
        <v>63</v>
      </c>
      <c r="D2" s="22" t="s">
        <v>64</v>
      </c>
      <c r="E2" s="22" t="s">
        <v>65</v>
      </c>
      <c r="F2" s="25" t="s">
        <v>86</v>
      </c>
      <c r="G2" s="26" t="s">
        <v>87</v>
      </c>
    </row>
    <row r="3" spans="1:7" x14ac:dyDescent="0.3">
      <c r="A3" s="7" t="s">
        <v>43</v>
      </c>
      <c r="B3" t="s">
        <v>70</v>
      </c>
      <c r="C3" s="7" t="s">
        <v>71</v>
      </c>
      <c r="D3" s="3">
        <v>180</v>
      </c>
      <c r="E3" s="3">
        <v>212</v>
      </c>
      <c r="F3" s="1">
        <f>E3-D3</f>
        <v>32</v>
      </c>
      <c r="G3" s="4">
        <f>F3/E3</f>
        <v>0.15094339622641509</v>
      </c>
    </row>
    <row r="4" spans="1:7" x14ac:dyDescent="0.3">
      <c r="A4" s="7" t="s">
        <v>32</v>
      </c>
      <c r="B4" t="s">
        <v>72</v>
      </c>
      <c r="C4" s="7" t="s">
        <v>120</v>
      </c>
      <c r="D4" s="3">
        <v>32</v>
      </c>
      <c r="E4" s="3">
        <v>39</v>
      </c>
      <c r="F4" s="1">
        <f t="shared" ref="F4:F7" si="0">E4-D4</f>
        <v>7</v>
      </c>
      <c r="G4" s="4">
        <f t="shared" ref="G4:G7" si="1">F4/E4</f>
        <v>0.17948717948717949</v>
      </c>
    </row>
    <row r="5" spans="1:7" x14ac:dyDescent="0.3">
      <c r="A5" s="7" t="s">
        <v>34</v>
      </c>
      <c r="B5" t="s">
        <v>73</v>
      </c>
      <c r="C5" s="7" t="s">
        <v>120</v>
      </c>
      <c r="D5" s="3">
        <v>12</v>
      </c>
      <c r="E5" s="3">
        <v>13.8</v>
      </c>
      <c r="F5" s="1">
        <f t="shared" si="0"/>
        <v>1.8000000000000007</v>
      </c>
      <c r="G5" s="4">
        <f t="shared" si="1"/>
        <v>0.1304347826086957</v>
      </c>
    </row>
    <row r="6" spans="1:7" x14ac:dyDescent="0.3">
      <c r="A6" s="7" t="s">
        <v>22</v>
      </c>
      <c r="B6" t="s">
        <v>74</v>
      </c>
      <c r="C6" s="7" t="s">
        <v>120</v>
      </c>
      <c r="D6" s="3">
        <v>95</v>
      </c>
      <c r="E6" s="3">
        <v>119</v>
      </c>
      <c r="F6" s="1">
        <f t="shared" si="0"/>
        <v>24</v>
      </c>
      <c r="G6" s="4">
        <f t="shared" si="1"/>
        <v>0.20168067226890757</v>
      </c>
    </row>
    <row r="7" spans="1:7" x14ac:dyDescent="0.3">
      <c r="A7" s="7" t="s">
        <v>45</v>
      </c>
      <c r="B7" t="s">
        <v>75</v>
      </c>
      <c r="C7" s="7" t="s">
        <v>120</v>
      </c>
      <c r="D7" s="3">
        <v>55</v>
      </c>
      <c r="E7" s="3">
        <v>66</v>
      </c>
      <c r="F7" s="1">
        <f t="shared" si="0"/>
        <v>11</v>
      </c>
      <c r="G7" s="4">
        <f t="shared" si="1"/>
        <v>0.16666666666666666</v>
      </c>
    </row>
  </sheetData>
  <mergeCells count="1">
    <mergeCell ref="A1:G1"/>
  </mergeCells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7E575-BD7F-45A4-971F-61966AEF14CB}">
  <sheetPr codeName="Planilha8"/>
  <dimension ref="A1:J7"/>
  <sheetViews>
    <sheetView showGridLines="0" zoomScale="150" zoomScaleNormal="150" workbookViewId="0">
      <selection activeCell="E15" sqref="E15"/>
    </sheetView>
  </sheetViews>
  <sheetFormatPr defaultRowHeight="14.4" x14ac:dyDescent="0.3"/>
  <cols>
    <col min="1" max="1" width="7.77734375" bestFit="1" customWidth="1"/>
    <col min="2" max="2" width="38.44140625" bestFit="1" customWidth="1"/>
    <col min="3" max="3" width="12.88671875" style="7" bestFit="1" customWidth="1"/>
    <col min="4" max="4" width="12.21875" style="3" bestFit="1" customWidth="1"/>
    <col min="5" max="5" width="15" style="3" bestFit="1" customWidth="1"/>
    <col min="6" max="6" width="11.88671875" style="3" bestFit="1" customWidth="1"/>
    <col min="7" max="7" width="17.21875" style="5" bestFit="1" customWidth="1"/>
    <col min="10" max="10" width="10.33203125" bestFit="1" customWidth="1"/>
  </cols>
  <sheetData>
    <row r="1" spans="1:10" ht="36.6" x14ac:dyDescent="0.3">
      <c r="A1" s="61" t="s">
        <v>89</v>
      </c>
      <c r="B1" s="61"/>
      <c r="C1" s="61"/>
      <c r="D1" s="61"/>
      <c r="E1" s="61"/>
      <c r="F1" s="61"/>
      <c r="G1" s="61"/>
    </row>
    <row r="2" spans="1:10" ht="36" x14ac:dyDescent="0.3">
      <c r="A2" s="21" t="s">
        <v>85</v>
      </c>
      <c r="B2" s="21" t="s">
        <v>62</v>
      </c>
      <c r="C2" s="21" t="s">
        <v>63</v>
      </c>
      <c r="D2" s="22" t="s">
        <v>64</v>
      </c>
      <c r="E2" s="22" t="s">
        <v>65</v>
      </c>
      <c r="F2" s="25" t="s">
        <v>86</v>
      </c>
      <c r="G2" s="26" t="s">
        <v>87</v>
      </c>
    </row>
    <row r="3" spans="1:10" x14ac:dyDescent="0.3">
      <c r="A3" s="7" t="s">
        <v>12</v>
      </c>
      <c r="B3" t="s">
        <v>76</v>
      </c>
      <c r="C3" s="7" t="s">
        <v>121</v>
      </c>
      <c r="D3" s="3">
        <v>3.5</v>
      </c>
      <c r="E3" s="3">
        <v>4.7</v>
      </c>
      <c r="F3" s="1">
        <f>E3-D3</f>
        <v>1.2000000000000002</v>
      </c>
      <c r="G3" s="4">
        <f>F3/E3</f>
        <v>0.25531914893617025</v>
      </c>
    </row>
    <row r="4" spans="1:10" x14ac:dyDescent="0.3">
      <c r="A4" s="7" t="s">
        <v>36</v>
      </c>
      <c r="B4" t="s">
        <v>77</v>
      </c>
      <c r="C4" s="7" t="s">
        <v>121</v>
      </c>
      <c r="D4" s="3">
        <v>6</v>
      </c>
      <c r="E4" s="3">
        <v>7.8</v>
      </c>
      <c r="F4" s="1">
        <f t="shared" ref="F4:F7" si="0">E4-D4</f>
        <v>1.7999999999999998</v>
      </c>
      <c r="G4" s="4">
        <f t="shared" ref="G4:G7" si="1">F4/E4</f>
        <v>0.23076923076923075</v>
      </c>
    </row>
    <row r="5" spans="1:10" x14ac:dyDescent="0.3">
      <c r="A5" s="7" t="s">
        <v>24</v>
      </c>
      <c r="B5" t="s">
        <v>78</v>
      </c>
      <c r="C5" s="7" t="s">
        <v>120</v>
      </c>
      <c r="D5" s="3">
        <v>85</v>
      </c>
      <c r="E5" s="3">
        <v>119</v>
      </c>
      <c r="F5" s="1">
        <f t="shared" si="0"/>
        <v>34</v>
      </c>
      <c r="G5" s="4">
        <f t="shared" si="1"/>
        <v>0.2857142857142857</v>
      </c>
      <c r="J5" s="3"/>
    </row>
    <row r="6" spans="1:10" x14ac:dyDescent="0.3">
      <c r="A6" s="7" t="s">
        <v>37</v>
      </c>
      <c r="B6" t="s">
        <v>79</v>
      </c>
      <c r="C6" s="7" t="s">
        <v>120</v>
      </c>
      <c r="D6" s="3">
        <v>40</v>
      </c>
      <c r="E6" s="3">
        <v>51.2</v>
      </c>
      <c r="F6" s="1">
        <f t="shared" si="0"/>
        <v>11.200000000000003</v>
      </c>
      <c r="G6" s="4">
        <f t="shared" si="1"/>
        <v>0.21875000000000006</v>
      </c>
    </row>
    <row r="7" spans="1:10" x14ac:dyDescent="0.3">
      <c r="A7" s="7" t="s">
        <v>39</v>
      </c>
      <c r="B7" t="s">
        <v>80</v>
      </c>
      <c r="C7" s="7" t="s">
        <v>120</v>
      </c>
      <c r="D7" s="3">
        <v>28</v>
      </c>
      <c r="E7" s="3">
        <v>37</v>
      </c>
      <c r="F7" s="1">
        <f t="shared" si="0"/>
        <v>9</v>
      </c>
      <c r="G7" s="4">
        <f t="shared" si="1"/>
        <v>0.24324324324324326</v>
      </c>
    </row>
  </sheetData>
  <mergeCells count="1">
    <mergeCell ref="A1:G1"/>
  </mergeCells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F72CF-B54B-4715-93D5-9BC233CC4908}">
  <sheetPr codeName="Planilha9"/>
  <dimension ref="A1:G7"/>
  <sheetViews>
    <sheetView showGridLines="0" zoomScale="150" zoomScaleNormal="150" workbookViewId="0">
      <selection activeCell="E15" sqref="E15"/>
    </sheetView>
  </sheetViews>
  <sheetFormatPr defaultRowHeight="14.4" x14ac:dyDescent="0.3"/>
  <cols>
    <col min="1" max="1" width="7.21875" bestFit="1" customWidth="1"/>
    <col min="2" max="2" width="24" bestFit="1" customWidth="1"/>
    <col min="3" max="3" width="14.21875" bestFit="1" customWidth="1"/>
    <col min="4" max="4" width="12.21875" style="3" bestFit="1" customWidth="1"/>
    <col min="5" max="5" width="15" style="3" bestFit="1" customWidth="1"/>
    <col min="6" max="6" width="11.88671875" style="3" bestFit="1" customWidth="1"/>
    <col min="7" max="7" width="17.21875" style="5" bestFit="1" customWidth="1"/>
  </cols>
  <sheetData>
    <row r="1" spans="1:7" ht="36.6" x14ac:dyDescent="0.3">
      <c r="A1" s="57" t="s">
        <v>88</v>
      </c>
      <c r="B1" s="62"/>
      <c r="C1" s="62"/>
      <c r="D1" s="62"/>
      <c r="E1" s="62"/>
      <c r="F1" s="62"/>
      <c r="G1" s="62"/>
    </row>
    <row r="2" spans="1:7" ht="36" x14ac:dyDescent="0.3">
      <c r="A2" s="21" t="s">
        <v>85</v>
      </c>
      <c r="B2" s="21" t="s">
        <v>62</v>
      </c>
      <c r="C2" s="21" t="s">
        <v>63</v>
      </c>
      <c r="D2" s="22" t="s">
        <v>64</v>
      </c>
      <c r="E2" s="22" t="s">
        <v>65</v>
      </c>
      <c r="F2" s="25" t="s">
        <v>86</v>
      </c>
      <c r="G2" s="26" t="s">
        <v>87</v>
      </c>
    </row>
    <row r="3" spans="1:7" x14ac:dyDescent="0.3">
      <c r="A3" s="7" t="s">
        <v>14</v>
      </c>
      <c r="B3" t="s">
        <v>81</v>
      </c>
      <c r="C3" s="7" t="s">
        <v>120</v>
      </c>
      <c r="D3" s="3">
        <v>95</v>
      </c>
      <c r="E3" s="3">
        <v>114</v>
      </c>
      <c r="F3" s="1">
        <f>E3-D3</f>
        <v>19</v>
      </c>
      <c r="G3" s="4">
        <f>F3/E3</f>
        <v>0.16666666666666666</v>
      </c>
    </row>
    <row r="4" spans="1:7" x14ac:dyDescent="0.3">
      <c r="A4" s="7" t="s">
        <v>42</v>
      </c>
      <c r="B4" t="s">
        <v>82</v>
      </c>
      <c r="C4" s="7" t="s">
        <v>120</v>
      </c>
      <c r="D4" s="3">
        <v>680</v>
      </c>
      <c r="E4" s="3">
        <v>830</v>
      </c>
      <c r="F4" s="1">
        <f t="shared" ref="F4:F7" si="0">E4-D4</f>
        <v>150</v>
      </c>
      <c r="G4" s="4">
        <f t="shared" ref="G4:G7" si="1">F4/E4</f>
        <v>0.18072289156626506</v>
      </c>
    </row>
    <row r="5" spans="1:7" x14ac:dyDescent="0.3">
      <c r="A5" s="7" t="s">
        <v>25</v>
      </c>
      <c r="B5" t="s">
        <v>83</v>
      </c>
      <c r="C5" s="7" t="s">
        <v>120</v>
      </c>
      <c r="D5" s="3">
        <v>60</v>
      </c>
      <c r="E5" s="3">
        <v>70.8</v>
      </c>
      <c r="F5" s="1">
        <f t="shared" si="0"/>
        <v>10.799999999999997</v>
      </c>
      <c r="G5" s="4">
        <f t="shared" si="1"/>
        <v>0.15254237288135589</v>
      </c>
    </row>
    <row r="6" spans="1:7" x14ac:dyDescent="0.3">
      <c r="A6" s="7" t="s">
        <v>41</v>
      </c>
      <c r="B6" t="s">
        <v>93</v>
      </c>
      <c r="C6" s="7" t="s">
        <v>120</v>
      </c>
      <c r="D6" s="3">
        <v>110</v>
      </c>
      <c r="E6" s="3">
        <v>131</v>
      </c>
      <c r="F6" s="1">
        <f t="shared" si="0"/>
        <v>21</v>
      </c>
      <c r="G6" s="4">
        <f t="shared" si="1"/>
        <v>0.16030534351145037</v>
      </c>
    </row>
    <row r="7" spans="1:7" x14ac:dyDescent="0.3">
      <c r="A7" s="7" t="s">
        <v>48</v>
      </c>
      <c r="B7" t="s">
        <v>84</v>
      </c>
      <c r="C7" s="7" t="s">
        <v>120</v>
      </c>
      <c r="D7" s="3">
        <v>120</v>
      </c>
      <c r="E7" s="3">
        <v>144</v>
      </c>
      <c r="F7" s="1">
        <f t="shared" si="0"/>
        <v>24</v>
      </c>
      <c r="G7" s="4">
        <f t="shared" si="1"/>
        <v>0.16666666666666666</v>
      </c>
    </row>
  </sheetData>
  <mergeCells count="1">
    <mergeCell ref="A1:G1"/>
  </mergeCells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3491-31E8-4587-9D13-61F25430C92C}">
  <sheetPr codeName="Planilha10"/>
  <dimension ref="A2:C26"/>
  <sheetViews>
    <sheetView topLeftCell="A4" workbookViewId="0">
      <selection activeCell="C21" sqref="C21"/>
    </sheetView>
  </sheetViews>
  <sheetFormatPr defaultRowHeight="14.4" x14ac:dyDescent="0.3"/>
  <sheetData>
    <row r="2" spans="1:3" x14ac:dyDescent="0.3">
      <c r="A2" cm="1">
        <f t="array" ref="A2:A17">Vendedores[ID]</f>
        <v>400255</v>
      </c>
      <c r="C2" t="str" cm="1">
        <f t="array" ref="C2:C26">Agregado[ID]</f>
        <v>FM0001</v>
      </c>
    </row>
    <row r="3" spans="1:3" x14ac:dyDescent="0.3">
      <c r="A3">
        <v>400243</v>
      </c>
      <c r="C3" t="str">
        <v>FM0002</v>
      </c>
    </row>
    <row r="4" spans="1:3" x14ac:dyDescent="0.3">
      <c r="A4">
        <v>400249</v>
      </c>
      <c r="C4" t="str">
        <v>FM0003</v>
      </c>
    </row>
    <row r="5" spans="1:3" x14ac:dyDescent="0.3">
      <c r="A5">
        <v>400245</v>
      </c>
      <c r="C5" t="str">
        <v>FM0004</v>
      </c>
    </row>
    <row r="6" spans="1:3" x14ac:dyDescent="0.3">
      <c r="A6">
        <v>400241</v>
      </c>
      <c r="C6" t="str">
        <v>FM0005</v>
      </c>
    </row>
    <row r="7" spans="1:3" x14ac:dyDescent="0.3">
      <c r="A7">
        <v>400247</v>
      </c>
      <c r="C7" t="str">
        <v>AHD0001</v>
      </c>
    </row>
    <row r="8" spans="1:3" x14ac:dyDescent="0.3">
      <c r="A8">
        <v>400251</v>
      </c>
      <c r="C8" t="str">
        <v>AHD0002</v>
      </c>
    </row>
    <row r="9" spans="1:3" x14ac:dyDescent="0.3">
      <c r="A9">
        <v>400244</v>
      </c>
      <c r="C9" t="str">
        <v>AHD0003</v>
      </c>
    </row>
    <row r="10" spans="1:3" x14ac:dyDescent="0.3">
      <c r="A10">
        <v>400253</v>
      </c>
      <c r="C10" t="str">
        <v>AHD0004</v>
      </c>
    </row>
    <row r="11" spans="1:3" x14ac:dyDescent="0.3">
      <c r="A11">
        <v>400250</v>
      </c>
      <c r="C11" t="str">
        <v>AHD0005</v>
      </c>
    </row>
    <row r="12" spans="1:3" x14ac:dyDescent="0.3">
      <c r="A12">
        <v>400248</v>
      </c>
      <c r="C12" t="str">
        <v>CM0001</v>
      </c>
    </row>
    <row r="13" spans="1:3" x14ac:dyDescent="0.3">
      <c r="A13">
        <v>400242</v>
      </c>
      <c r="C13" t="str">
        <v>CM0002</v>
      </c>
    </row>
    <row r="14" spans="1:3" x14ac:dyDescent="0.3">
      <c r="A14">
        <v>400254</v>
      </c>
      <c r="C14" t="str">
        <v>CM0003</v>
      </c>
    </row>
    <row r="15" spans="1:3" x14ac:dyDescent="0.3">
      <c r="A15">
        <v>400246</v>
      </c>
      <c r="C15" t="str">
        <v>CM0004</v>
      </c>
    </row>
    <row r="16" spans="1:3" x14ac:dyDescent="0.3">
      <c r="A16">
        <v>400252</v>
      </c>
      <c r="C16" t="str">
        <v>CM0005</v>
      </c>
    </row>
    <row r="17" spans="1:3" x14ac:dyDescent="0.3">
      <c r="A17">
        <v>400256</v>
      </c>
      <c r="C17" t="str">
        <v>AB0001</v>
      </c>
    </row>
    <row r="18" spans="1:3" x14ac:dyDescent="0.3">
      <c r="C18" t="str">
        <v>AB0002</v>
      </c>
    </row>
    <row r="19" spans="1:3" x14ac:dyDescent="0.3">
      <c r="C19" t="str">
        <v>AB0003</v>
      </c>
    </row>
    <row r="20" spans="1:3" x14ac:dyDescent="0.3">
      <c r="C20" t="str">
        <v>AB0004</v>
      </c>
    </row>
    <row r="21" spans="1:3" x14ac:dyDescent="0.3">
      <c r="C21" t="str">
        <v>AB0005</v>
      </c>
    </row>
    <row r="22" spans="1:3" x14ac:dyDescent="0.3">
      <c r="C22" t="str">
        <v>SC0001</v>
      </c>
    </row>
    <row r="23" spans="1:3" x14ac:dyDescent="0.3">
      <c r="C23" t="str">
        <v>SC0002</v>
      </c>
    </row>
    <row r="24" spans="1:3" x14ac:dyDescent="0.3">
      <c r="C24" t="str">
        <v>SC0003</v>
      </c>
    </row>
    <row r="25" spans="1:3" x14ac:dyDescent="0.3">
      <c r="C25" t="str">
        <v>SC0004</v>
      </c>
    </row>
    <row r="26" spans="1:3" x14ac:dyDescent="0.3">
      <c r="C26" t="str">
        <v>SC0005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Menus</vt:lpstr>
      <vt:lpstr>Vendas</vt:lpstr>
      <vt:lpstr>Agregado Itens</vt:lpstr>
      <vt:lpstr>Vendedores</vt:lpstr>
      <vt:lpstr>FM</vt:lpstr>
      <vt:lpstr>AHD</vt:lpstr>
      <vt:lpstr>CM</vt:lpstr>
      <vt:lpstr>AB</vt:lpstr>
      <vt:lpstr>SC</vt:lpstr>
      <vt:lpstr>Tabelas Auxiliares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Jaré Albino</dc:creator>
  <cp:lastModifiedBy>Jaré Albino</cp:lastModifiedBy>
  <dcterms:created xsi:type="dcterms:W3CDTF">2026-08-29T17:11:43Z</dcterms:created>
  <dcterms:modified xsi:type="dcterms:W3CDTF">2026-09-07T01:37:34Z</dcterms:modified>
</cp:coreProperties>
</file>